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85" firstSheet="0" activeTab="0" autoFilterDateGrouping="1"/>
  </bookViews>
  <sheets>
    <sheet name="Conciliacao" sheetId="1" state="visible" r:id="rId1"/>
    <sheet name="df_extrato_zig" sheetId="2" state="visible" r:id="rId2"/>
    <sheet name="df_zig_faturam" sheetId="3" state="visible" r:id="rId3"/>
    <sheet name="view_parc_agrup" sheetId="4" state="visible" r:id="rId4"/>
    <sheet name="df_eventos" sheetId="5" state="visible" r:id="rId5"/>
    <sheet name="df_blueme_sem_parcelamento" sheetId="6" state="visible" r:id="rId6"/>
    <sheet name="df_blueme_com_parcelamento" sheetId="7" state="visible" r:id="rId7"/>
    <sheet name="df_extratos" sheetId="8" state="visible" r:id="rId8"/>
    <sheet name="df_mutuos" sheetId="9" state="visible" r:id="rId9"/>
    <sheet name="df_tesouraria_trans" sheetId="10" state="visible" r:id="rId10"/>
    <sheet name="df_ajustes_conciliaco" sheetId="11" state="visible" r:id="rId11"/>
    <sheet name="df_bloqueios_judiciais" sheetId="12" state="visible" r:id="rId12"/>
  </sheets>
  <definedNames>
    <definedName name="_xlnm._FilterDatabase" localSheetId="0" hidden="1">'Conciliacao'!$A$1:$Q$1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4" fontId="0" fillId="7" borderId="0" applyAlignment="1" pivotButton="0" quotePrefix="0" xfId="0">
      <alignment horizontal="center"/>
    </xf>
    <xf numFmtId="4" fontId="0" fillId="9" borderId="0" applyAlignment="1" pivotButton="0" quotePrefix="0" xfId="0">
      <alignment horizontal="center"/>
    </xf>
    <xf numFmtId="14" fontId="0" fillId="6" borderId="1" applyAlignment="1" pivotButton="0" quotePrefix="0" xfId="0">
      <alignment horizontal="center"/>
    </xf>
    <xf numFmtId="4" fontId="0" fillId="7" borderId="1" applyAlignment="1" pivotButton="0" quotePrefix="0" xfId="0">
      <alignment horizontal="center"/>
    </xf>
    <xf numFmtId="4" fontId="0" fillId="6" borderId="1" applyAlignment="1" pivotButton="0" quotePrefix="0" xfId="0">
      <alignment horizontal="center"/>
    </xf>
    <xf numFmtId="4" fontId="0" fillId="9" borderId="1" applyAlignment="1" pivotButton="0" quotePrefix="0" xfId="0">
      <alignment horizontal="center"/>
    </xf>
    <xf numFmtId="4" fontId="0" fillId="8" borderId="2" applyAlignment="1" pivotButton="0" quotePrefix="0" xfId="0">
      <alignment horizontal="center"/>
    </xf>
    <xf numFmtId="4" fontId="0" fillId="6" borderId="4" applyAlignment="1" pivotButton="0" quotePrefix="0" xfId="0">
      <alignment horizontal="center"/>
    </xf>
    <xf numFmtId="4" fontId="0" fillId="8" borderId="3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4" fontId="1" fillId="3" borderId="0" applyAlignment="1" pivotButton="0" quotePrefix="0" xfId="0">
      <alignment horizontal="center" vertical="center" wrapText="1"/>
    </xf>
    <xf numFmtId="4" fontId="1" fillId="3" borderId="1" applyAlignment="1" pivotButton="0" quotePrefix="0" xfId="0">
      <alignment horizontal="center" vertical="center" wrapText="1"/>
    </xf>
    <xf numFmtId="4" fontId="1" fillId="4" borderId="2" applyAlignment="1" pivotButton="0" quotePrefix="0" xfId="0">
      <alignment horizontal="center" vertical="center" wrapText="1"/>
    </xf>
    <xf numFmtId="4" fontId="1" fillId="5" borderId="0" applyAlignment="1" pivotButton="0" quotePrefix="0" xfId="0">
      <alignment horizontal="center" vertical="center" wrapText="1"/>
    </xf>
    <xf numFmtId="4" fontId="1" fillId="5" borderId="1" applyAlignment="1" pivotButton="0" quotePrefix="0" xfId="0">
      <alignment horizontal="center" vertical="center" wrapText="1"/>
    </xf>
    <xf numFmtId="4" fontId="1" fillId="4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0" pivotButton="0" quotePrefix="0" xfId="0"/>
    <xf numFmtId="0" fontId="1" fillId="10" borderId="5" applyAlignment="1" pivotButton="0" quotePrefix="0" xfId="0">
      <alignment horizontal="center" vertical="center" wrapText="1"/>
    </xf>
    <xf numFmtId="4" fontId="0" fillId="6" borderId="6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4" fontId="0" fillId="11" borderId="2" applyAlignment="1" pivotButton="0" quotePrefix="0" xfId="0">
      <alignment horizontal="center"/>
    </xf>
    <xf numFmtId="4" fontId="1" fillId="12" borderId="2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731"/>
  <sheetViews>
    <sheetView tabSelected="1" workbookViewId="0">
      <pane ySplit="1" topLeftCell="A715" activePane="bottomLeft" state="frozen"/>
      <selection pane="bottomLeft" activeCell="B733" sqref="B733"/>
    </sheetView>
  </sheetViews>
  <sheetFormatPr baseColWidth="8" defaultRowHeight="14.4"/>
  <cols>
    <col width="20.21875" customWidth="1" style="1" min="1" max="1"/>
    <col width="20.21875" customWidth="1" style="2" min="2" max="3"/>
    <col width="17.109375" customWidth="1" style="2" min="4" max="6"/>
    <col width="19.88671875" customWidth="1" style="2" min="7" max="7"/>
    <col width="19.33203125" bestFit="1" customWidth="1" style="2" min="8" max="8"/>
    <col width="22.77734375" bestFit="1" customWidth="1" style="2" min="9" max="9"/>
    <col width="20.21875" customWidth="1" style="2" min="10" max="12"/>
    <col width="17.77734375" bestFit="1" customWidth="1" style="2" min="13" max="13"/>
    <col width="19.33203125" bestFit="1" customWidth="1" style="2" min="14" max="14"/>
    <col width="22.77734375" bestFit="1" customWidth="1" style="2" min="15" max="15"/>
    <col width="22.77734375" customWidth="1" style="2" min="16" max="16"/>
    <col width="18.77734375" customWidth="1" style="1" min="17" max="17"/>
    <col width="18.109375" bestFit="1" customWidth="1" min="57" max="60"/>
  </cols>
  <sheetData>
    <row r="1" ht="28.95" customFormat="1" customHeight="1" s="19">
      <c r="A1" s="12" t="inlineStr">
        <is>
          <t>Data</t>
        </is>
      </c>
      <c r="B1" s="13" t="inlineStr">
        <is>
          <t>Extrato Zig (Saques)</t>
        </is>
      </c>
      <c r="C1" s="13" t="inlineStr">
        <is>
          <t>Faturam Dinheiro</t>
        </is>
      </c>
      <c r="D1" s="13" t="inlineStr">
        <is>
          <t>Receitas Extraord</t>
        </is>
      </c>
      <c r="E1" s="13" t="inlineStr">
        <is>
          <t>Eventos</t>
        </is>
      </c>
      <c r="F1" s="13" t="inlineStr">
        <is>
          <t>Entradas Mútuos</t>
        </is>
      </c>
      <c r="G1" s="14" t="inlineStr">
        <is>
          <t>Desbloqueios Judiciais</t>
        </is>
      </c>
      <c r="H1" s="12" t="inlineStr">
        <is>
          <t>Extrato Bancário (Crédito)</t>
        </is>
      </c>
      <c r="I1" s="15" t="inlineStr">
        <is>
          <t>Diferenças (Contas a Receber)</t>
        </is>
      </c>
      <c r="J1" s="16" t="inlineStr">
        <is>
          <t>Custos Sem Parcelamento</t>
        </is>
      </c>
      <c r="K1" s="16" t="inlineStr">
        <is>
          <t>Custos Com Parcelamento</t>
        </is>
      </c>
      <c r="L1" s="16" t="inlineStr">
        <is>
          <t>Saídas Mútuos</t>
        </is>
      </c>
      <c r="M1" s="17" t="inlineStr">
        <is>
          <t>Bloqueios Judiciais</t>
        </is>
      </c>
      <c r="N1" s="12" t="inlineStr">
        <is>
          <t>Extrato Bancário (Débito)</t>
        </is>
      </c>
      <c r="O1" s="18" t="inlineStr">
        <is>
          <t>Diferenças (Contas a Pagar)</t>
        </is>
      </c>
      <c r="P1" s="26" t="inlineStr">
        <is>
          <t>Ajustes Conciliação</t>
        </is>
      </c>
      <c r="Q1" s="21" t="inlineStr">
        <is>
          <t>Conciliação</t>
        </is>
      </c>
      <c r="AC1" s="23" t="n"/>
      <c r="BE1" s="24" t="inlineStr">
        <is>
          <t>Coluna Auxiliar Data</t>
        </is>
      </c>
      <c r="BF1" s="24" t="inlineStr">
        <is>
          <t>Coluna Auxiliar Data 2</t>
        </is>
      </c>
      <c r="BG1" s="24" t="inlineStr">
        <is>
          <t>Coluna Auxiliar Data 3</t>
        </is>
      </c>
      <c r="BH1" s="24" t="inlineStr">
        <is>
          <t>Coluna Auxiliar Data 4</t>
        </is>
      </c>
    </row>
    <row r="2">
      <c r="A2" s="5" t="n">
        <v>45658</v>
      </c>
      <c r="B2" s="3">
        <f>-SUMIFS(df_extrato_zig!G:G,df_extrato_zig!E:E,Conciliacao!A2,df_extrato_zig!D:D,"Saque")-SUMIFS(df_extrato_zig!G:G,df_extrato_zig!E:E,Conciliacao!A2,df_extrato_zig!D:D,"Antecipação")</f>
        <v/>
      </c>
      <c r="C2" s="3">
        <f>SUMIFS(df_extrato_zig!E:E,df_extrato_zig!L:L,Conciliacao!A2,df_extrato_zig!F:F,"DINHEIRO")</f>
        <v/>
      </c>
      <c r="D2" s="3">
        <f>SUMIFS(view_parc_agrup!H:H,view_parc_agrup!G:G,Conciliacao!A2)</f>
        <v/>
      </c>
      <c r="E2" s="3">
        <f>SUMIFS(df_eventos!F:F,df_eventos!H:H,Conciliacao!A2)</f>
        <v/>
      </c>
      <c r="F2" s="3">
        <f>SUMIFS(df_mutuos!M:M,df_mutuos!B:B,Conciliacao!A2)</f>
        <v/>
      </c>
      <c r="G2" s="6">
        <f>SUMIFS(df_bloqueios_judiciais!G:G,df_bloqueios_judiciais!D:D,Conciliacao!A2,df_bloqueios_judiciais!G:G,"&gt;0")</f>
        <v/>
      </c>
      <c r="H2" s="7">
        <f>SUMIFS(df_extratos!I:I,df_extratos!F:F,Conciliacao!BE2,df_extratos!G:G,"CREDITO")+SUMIFS(df_extratos!I:I,df_extratos!F:F,Conciliacao!A2,df_extratos!G:G,"CREDITO")+SUMIFS(df_extratos!I:I,df_extratos!F:F,Conciliacao!BF2,df_extratos!G:G,"CREDITO")+SUMIFS(df_extratos!I:I,df_extratos!F:F,Conciliacao!BG2,df_extratos!G:G,"CREDITO")+SUMIFS(df_extratos!I:I,df_extratos!F:F,Conciliacao!BH2,df_extratos!G:G,"CREDITO")</f>
        <v/>
      </c>
      <c r="I2" s="9">
        <f>H2-SUM(B2:G2)</f>
        <v/>
      </c>
      <c r="J2" s="4">
        <f>SUMIFS(df_blueme_sem_parcelamento!E:E,df_blueme_sem_parcelamento!H:H,Conciliacao!A2)*(-1)</f>
        <v/>
      </c>
      <c r="K2" s="4">
        <f>SUMIFS(df_blueme_com_parcelamento!J:J,df_blueme_com_parcelamento!M:M,Conciliacao!A2)*(-1)</f>
        <v/>
      </c>
      <c r="L2" s="4">
        <f>SUMIFS(df_mutuos!N:N,df_mutuos!B:B,Conciliacao!A2)*(-1)</f>
        <v/>
      </c>
      <c r="M2" s="8">
        <f>SUMIFS(df_bloqueios_judiciais!E:E,df_bloqueios_judiciais!D:D,Conciliacao!A2,df_bloqueios_judiciais!E:E,"&lt;0")</f>
        <v/>
      </c>
      <c r="N2" s="10">
        <f>SUMIFS(df_extratos!I:I,df_extratos!F:F,Conciliacao!BE2,df_extratos!G:G,"DEBITO")+SUMIFS(df_extratos!I:I,df_extratos!F:F,Conciliacao!A2,df_extratos!G:G,"DEBITO")+SUMIFS(df_extratos!I:I,df_extratos!F:F,Conciliacao!BF2,df_extratos!G:G,"DEBITO")+SUMIFS(df_extratos!I:I,df_extratos!F:F,Conciliacao!BG2,df_extratos!G:G,"DEBITO")+SUMIFS(df_extratos!I:I,df_extratos!F:F,Conciliacao!BH2,df_extratos!G:G,"DEBITO")</f>
        <v/>
      </c>
      <c r="O2" s="11">
        <f>N2-SUM(J2:M2)</f>
        <v/>
      </c>
      <c r="P2" s="25">
        <f>SUMIFS(df_ajustes_conciliaco!D:D,df_ajustes_conciliaco!C:C,Conciliacao!A2)</f>
        <v/>
      </c>
      <c r="Q2" s="22">
        <f>O2+I2-P2</f>
        <v/>
      </c>
      <c r="BE2" s="20" t="n">
        <v>45658.5</v>
      </c>
      <c r="BF2" s="20" t="n">
        <v>45658.125</v>
      </c>
      <c r="BG2" s="20" t="n">
        <v>45658.54166666666</v>
      </c>
      <c r="BH2" s="20" t="n">
        <v>45658.625</v>
      </c>
    </row>
    <row r="3">
      <c r="A3" s="5">
        <f>A2+1</f>
        <v/>
      </c>
      <c r="B3" s="3">
        <f>-SUMIFS(df_extrato_zig!G:G,df_extrato_zig!E:E,Conciliacao!A3,df_extrato_zig!D:D,"Saque")-SUMIFS(df_extrato_zig!G:G,df_extrato_zig!E:E,Conciliacao!A3,df_extrato_zig!D:D,"Antecipação")</f>
        <v/>
      </c>
      <c r="C3" s="3">
        <f>SUMIFS(df_extrato_zig!E:E,df_extrato_zig!L:L,Conciliacao!A3,df_extrato_zig!F:F,"DINHEIRO")</f>
        <v/>
      </c>
      <c r="D3" s="3">
        <f>SUMIFS(view_parc_agrup!H:H,view_parc_agrup!G:G,Conciliacao!A3)</f>
        <v/>
      </c>
      <c r="E3" s="3">
        <f>SUMIFS(df_eventos!F:F,df_eventos!H:H,Conciliacao!A3)</f>
        <v/>
      </c>
      <c r="F3" s="3">
        <f>SUMIFS(df_mutuos!M:M,df_mutuos!B:B,Conciliacao!A3)</f>
        <v/>
      </c>
      <c r="G3" s="6">
        <f>SUMIFS(df_bloqueios_judiciais!G:G,df_bloqueios_judiciais!D:D,Conciliacao!A3,df_bloqueios_judiciais!G:G,"&gt;0")</f>
        <v/>
      </c>
      <c r="H3" s="7">
        <f>SUMIFS(df_extratos!I:I,df_extratos!F:F,Conciliacao!BE3,df_extratos!G:G,"CREDITO")+SUMIFS(df_extratos!I:I,df_extratos!F:F,Conciliacao!A3,df_extratos!G:G,"CREDITO")+SUMIFS(df_extratos!I:I,df_extratos!F:F,Conciliacao!BF3,df_extratos!G:G,"CREDITO")+SUMIFS(df_extratos!I:I,df_extratos!F:F,Conciliacao!BG3,df_extratos!G:G,"CREDITO")+SUMIFS(df_extratos!I:I,df_extratos!F:F,Conciliacao!BH3,df_extratos!G:G,"CREDITO")</f>
        <v/>
      </c>
      <c r="I3" s="9">
        <f>H3-SUM(B3:G3)</f>
        <v/>
      </c>
      <c r="J3" s="4">
        <f>SUMIFS(df_blueme_sem_parcelamento!E:E,df_blueme_sem_parcelamento!H:H,Conciliacao!A3)*(-1)</f>
        <v/>
      </c>
      <c r="K3" s="4">
        <f>SUMIFS(df_blueme_com_parcelamento!J:J,df_blueme_com_parcelamento!M:M,Conciliacao!A3)*(-1)</f>
        <v/>
      </c>
      <c r="L3" s="4">
        <f>SUMIFS(df_mutuos!N:N,df_mutuos!B:B,Conciliacao!A3)*(-1)</f>
        <v/>
      </c>
      <c r="M3" s="8">
        <f>SUMIFS(df_bloqueios_judiciais!E:E,df_bloqueios_judiciais!D:D,Conciliacao!A3,df_bloqueios_judiciais!E:E,"&lt;0")</f>
        <v/>
      </c>
      <c r="N3" s="10">
        <f>SUMIFS(df_extratos!I:I,df_extratos!F:F,Conciliacao!BE3,df_extratos!G:G,"DEBITO")+SUMIFS(df_extratos!I:I,df_extratos!F:F,Conciliacao!A3,df_extratos!G:G,"DEBITO")+SUMIFS(df_extratos!I:I,df_extratos!F:F,Conciliacao!BF3,df_extratos!G:G,"DEBITO")+SUMIFS(df_extratos!I:I,df_extratos!F:F,Conciliacao!BG3,df_extratos!G:G,"DEBITO")+SUMIFS(df_extratos!I:I,df_extratos!F:F,Conciliacao!BH3,df_extratos!G:G,"DEBITO")</f>
        <v/>
      </c>
      <c r="O3" s="11">
        <f>N3-SUM(J3:M3)</f>
        <v/>
      </c>
      <c r="P3" s="25">
        <f>SUMIFS(df_ajustes_conciliaco!D:D,df_ajustes_conciliaco!C:C,Conciliacao!A3)</f>
        <v/>
      </c>
      <c r="Q3" s="22">
        <f>O3+I3-P3</f>
        <v/>
      </c>
      <c r="BE3" s="20" t="n">
        <v>45659.5</v>
      </c>
      <c r="BF3" s="20" t="n">
        <v>45659.125</v>
      </c>
      <c r="BG3" s="20" t="n">
        <v>45659.54166666666</v>
      </c>
      <c r="BH3" s="20" t="n">
        <v>45659.625</v>
      </c>
    </row>
    <row r="4">
      <c r="A4" s="5">
        <f>A3+1</f>
        <v/>
      </c>
      <c r="B4" s="3">
        <f>-SUMIFS(df_extrato_zig!G:G,df_extrato_zig!E:E,Conciliacao!A4,df_extrato_zig!D:D,"Saque")-SUMIFS(df_extrato_zig!G:G,df_extrato_zig!E:E,Conciliacao!A4,df_extrato_zig!D:D,"Antecipação")</f>
        <v/>
      </c>
      <c r="C4" s="3">
        <f>SUMIFS(df_extrato_zig!E:E,df_extrato_zig!L:L,Conciliacao!A4,df_extrato_zig!F:F,"DINHEIRO")</f>
        <v/>
      </c>
      <c r="D4" s="3">
        <f>SUMIFS(view_parc_agrup!H:H,view_parc_agrup!G:G,Conciliacao!A4)</f>
        <v/>
      </c>
      <c r="E4" s="3">
        <f>SUMIFS(df_eventos!F:F,df_eventos!H:H,Conciliacao!A4)</f>
        <v/>
      </c>
      <c r="F4" s="3">
        <f>SUMIFS(df_mutuos!M:M,df_mutuos!B:B,Conciliacao!A4)</f>
        <v/>
      </c>
      <c r="G4" s="6">
        <f>SUMIFS(df_bloqueios_judiciais!G:G,df_bloqueios_judiciais!D:D,Conciliacao!A4,df_bloqueios_judiciais!G:G,"&gt;0")</f>
        <v/>
      </c>
      <c r="H4" s="7">
        <f>SUMIFS(df_extratos!I:I,df_extratos!F:F,Conciliacao!BE4,df_extratos!G:G,"CREDITO")+SUMIFS(df_extratos!I:I,df_extratos!F:F,Conciliacao!A4,df_extratos!G:G,"CREDITO")+SUMIFS(df_extratos!I:I,df_extratos!F:F,Conciliacao!BF4,df_extratos!G:G,"CREDITO")+SUMIFS(df_extratos!I:I,df_extratos!F:F,Conciliacao!BG4,df_extratos!G:G,"CREDITO")+SUMIFS(df_extratos!I:I,df_extratos!F:F,Conciliacao!BH4,df_extratos!G:G,"CREDITO")</f>
        <v/>
      </c>
      <c r="I4" s="9">
        <f>H4-SUM(B4:G4)</f>
        <v/>
      </c>
      <c r="J4" s="4">
        <f>SUMIFS(df_blueme_sem_parcelamento!E:E,df_blueme_sem_parcelamento!H:H,Conciliacao!A4)*(-1)</f>
        <v/>
      </c>
      <c r="K4" s="4">
        <f>SUMIFS(df_blueme_com_parcelamento!J:J,df_blueme_com_parcelamento!M:M,Conciliacao!A4)*(-1)</f>
        <v/>
      </c>
      <c r="L4" s="4">
        <f>SUMIFS(df_mutuos!N:N,df_mutuos!B:B,Conciliacao!A4)*(-1)</f>
        <v/>
      </c>
      <c r="M4" s="8">
        <f>SUMIFS(df_bloqueios_judiciais!E:E,df_bloqueios_judiciais!D:D,Conciliacao!A4,df_bloqueios_judiciais!E:E,"&lt;0")</f>
        <v/>
      </c>
      <c r="N4" s="10">
        <f>SUMIFS(df_extratos!I:I,df_extratos!F:F,Conciliacao!BE4,df_extratos!G:G,"DEBITO")+SUMIFS(df_extratos!I:I,df_extratos!F:F,Conciliacao!A4,df_extratos!G:G,"DEBITO")+SUMIFS(df_extratos!I:I,df_extratos!F:F,Conciliacao!BF4,df_extratos!G:G,"DEBITO")+SUMIFS(df_extratos!I:I,df_extratos!F:F,Conciliacao!BG4,df_extratos!G:G,"DEBITO")+SUMIFS(df_extratos!I:I,df_extratos!F:F,Conciliacao!BH4,df_extratos!G:G,"DEBITO")</f>
        <v/>
      </c>
      <c r="O4" s="11">
        <f>N4-SUM(J4:M4)</f>
        <v/>
      </c>
      <c r="P4" s="25">
        <f>SUMIFS(df_ajustes_conciliaco!D:D,df_ajustes_conciliaco!C:C,Conciliacao!A4)</f>
        <v/>
      </c>
      <c r="Q4" s="22">
        <f>O4+I4-P4</f>
        <v/>
      </c>
      <c r="BE4" s="20" t="n">
        <v>45660.5</v>
      </c>
      <c r="BF4" s="20" t="n">
        <v>45660.125</v>
      </c>
      <c r="BG4" s="20" t="n">
        <v>45660.54166666666</v>
      </c>
      <c r="BH4" s="20" t="n">
        <v>45660.625</v>
      </c>
    </row>
    <row r="5">
      <c r="A5" s="5">
        <f>A4+1</f>
        <v/>
      </c>
      <c r="B5" s="3">
        <f>-SUMIFS(df_extrato_zig!G:G,df_extrato_zig!E:E,Conciliacao!A5,df_extrato_zig!D:D,"Saque")-SUMIFS(df_extrato_zig!G:G,df_extrato_zig!E:E,Conciliacao!A5,df_extrato_zig!D:D,"Antecipação")</f>
        <v/>
      </c>
      <c r="C5" s="3">
        <f>SUMIFS(df_extrato_zig!E:E,df_extrato_zig!L:L,Conciliacao!A5,df_extrato_zig!F:F,"DINHEIRO")</f>
        <v/>
      </c>
      <c r="D5" s="3">
        <f>SUMIFS(view_parc_agrup!H:H,view_parc_agrup!G:G,Conciliacao!A5)</f>
        <v/>
      </c>
      <c r="E5" s="3">
        <f>SUMIFS(df_eventos!F:F,df_eventos!H:H,Conciliacao!A5)</f>
        <v/>
      </c>
      <c r="F5" s="3">
        <f>SUMIFS(df_mutuos!M:M,df_mutuos!B:B,Conciliacao!A5)</f>
        <v/>
      </c>
      <c r="G5" s="6">
        <f>SUMIFS(df_bloqueios_judiciais!G:G,df_bloqueios_judiciais!D:D,Conciliacao!A5,df_bloqueios_judiciais!G:G,"&gt;0")</f>
        <v/>
      </c>
      <c r="H5" s="7">
        <f>SUMIFS(df_extratos!I:I,df_extratos!F:F,Conciliacao!BE5,df_extratos!G:G,"CREDITO")+SUMIFS(df_extratos!I:I,df_extratos!F:F,Conciliacao!A5,df_extratos!G:G,"CREDITO")+SUMIFS(df_extratos!I:I,df_extratos!F:F,Conciliacao!BF5,df_extratos!G:G,"CREDITO")+SUMIFS(df_extratos!I:I,df_extratos!F:F,Conciliacao!BG5,df_extratos!G:G,"CREDITO")+SUMIFS(df_extratos!I:I,df_extratos!F:F,Conciliacao!BH5,df_extratos!G:G,"CREDITO")</f>
        <v/>
      </c>
      <c r="I5" s="9">
        <f>H5-SUM(B5:G5)</f>
        <v/>
      </c>
      <c r="J5" s="4">
        <f>SUMIFS(df_blueme_sem_parcelamento!E:E,df_blueme_sem_parcelamento!H:H,Conciliacao!A5)*(-1)</f>
        <v/>
      </c>
      <c r="K5" s="4">
        <f>SUMIFS(df_blueme_com_parcelamento!J:J,df_blueme_com_parcelamento!M:M,Conciliacao!A5)*(-1)</f>
        <v/>
      </c>
      <c r="L5" s="4">
        <f>SUMIFS(df_mutuos!N:N,df_mutuos!B:B,Conciliacao!A5)*(-1)</f>
        <v/>
      </c>
      <c r="M5" s="8">
        <f>SUMIFS(df_bloqueios_judiciais!E:E,df_bloqueios_judiciais!D:D,Conciliacao!A5,df_bloqueios_judiciais!E:E,"&lt;0")</f>
        <v/>
      </c>
      <c r="N5" s="10">
        <f>SUMIFS(df_extratos!I:I,df_extratos!F:F,Conciliacao!BE5,df_extratos!G:G,"DEBITO")+SUMIFS(df_extratos!I:I,df_extratos!F:F,Conciliacao!A5,df_extratos!G:G,"DEBITO")+SUMIFS(df_extratos!I:I,df_extratos!F:F,Conciliacao!BF5,df_extratos!G:G,"DEBITO")+SUMIFS(df_extratos!I:I,df_extratos!F:F,Conciliacao!BG5,df_extratos!G:G,"DEBITO")+SUMIFS(df_extratos!I:I,df_extratos!F:F,Conciliacao!BH5,df_extratos!G:G,"DEBITO")</f>
        <v/>
      </c>
      <c r="O5" s="11">
        <f>N5-SUM(J5:M5)</f>
        <v/>
      </c>
      <c r="P5" s="25">
        <f>SUMIFS(df_ajustes_conciliaco!D:D,df_ajustes_conciliaco!C:C,Conciliacao!A5)</f>
        <v/>
      </c>
      <c r="Q5" s="22">
        <f>O5+I5-P5</f>
        <v/>
      </c>
      <c r="BE5" s="20" t="n">
        <v>45661.5</v>
      </c>
      <c r="BF5" s="20" t="n">
        <v>45661.125</v>
      </c>
      <c r="BG5" s="20" t="n">
        <v>45661.54166666666</v>
      </c>
      <c r="BH5" s="20" t="n">
        <v>45661.625</v>
      </c>
    </row>
    <row r="6">
      <c r="A6" s="5">
        <f>A5+1</f>
        <v/>
      </c>
      <c r="B6" s="3">
        <f>-SUMIFS(df_extrato_zig!G:G,df_extrato_zig!E:E,Conciliacao!A6,df_extrato_zig!D:D,"Saque")-SUMIFS(df_extrato_zig!G:G,df_extrato_zig!E:E,Conciliacao!A6,df_extrato_zig!D:D,"Antecipação")</f>
        <v/>
      </c>
      <c r="C6" s="3">
        <f>SUMIFS(df_extrato_zig!E:E,df_extrato_zig!L:L,Conciliacao!A6,df_extrato_zig!F:F,"DINHEIRO")</f>
        <v/>
      </c>
      <c r="D6" s="3">
        <f>SUMIFS(view_parc_agrup!H:H,view_parc_agrup!G:G,Conciliacao!A6)</f>
        <v/>
      </c>
      <c r="E6" s="3">
        <f>SUMIFS(df_eventos!F:F,df_eventos!H:H,Conciliacao!A6)</f>
        <v/>
      </c>
      <c r="F6" s="3">
        <f>SUMIFS(df_mutuos!M:M,df_mutuos!B:B,Conciliacao!A6)</f>
        <v/>
      </c>
      <c r="G6" s="6">
        <f>SUMIFS(df_bloqueios_judiciais!G:G,df_bloqueios_judiciais!D:D,Conciliacao!A6,df_bloqueios_judiciais!G:G,"&gt;0")</f>
        <v/>
      </c>
      <c r="H6" s="7">
        <f>SUMIFS(df_extratos!I:I,df_extratos!F:F,Conciliacao!BE6,df_extratos!G:G,"CREDITO")+SUMIFS(df_extratos!I:I,df_extratos!F:F,Conciliacao!A6,df_extratos!G:G,"CREDITO")+SUMIFS(df_extratos!I:I,df_extratos!F:F,Conciliacao!BF6,df_extratos!G:G,"CREDITO")+SUMIFS(df_extratos!I:I,df_extratos!F:F,Conciliacao!BG6,df_extratos!G:G,"CREDITO")+SUMIFS(df_extratos!I:I,df_extratos!F:F,Conciliacao!BH6,df_extratos!G:G,"CREDITO")</f>
        <v/>
      </c>
      <c r="I6" s="9">
        <f>H6-SUM(B6:G6)</f>
        <v/>
      </c>
      <c r="J6" s="4">
        <f>SUMIFS(df_blueme_sem_parcelamento!E:E,df_blueme_sem_parcelamento!H:H,Conciliacao!A6)*(-1)</f>
        <v/>
      </c>
      <c r="K6" s="4">
        <f>SUMIFS(df_blueme_com_parcelamento!J:J,df_blueme_com_parcelamento!M:M,Conciliacao!A6)*(-1)</f>
        <v/>
      </c>
      <c r="L6" s="4">
        <f>SUMIFS(df_mutuos!N:N,df_mutuos!B:B,Conciliacao!A6)*(-1)</f>
        <v/>
      </c>
      <c r="M6" s="8">
        <f>SUMIFS(df_bloqueios_judiciais!E:E,df_bloqueios_judiciais!D:D,Conciliacao!A6,df_bloqueios_judiciais!E:E,"&lt;0")</f>
        <v/>
      </c>
      <c r="N6" s="10">
        <f>SUMIFS(df_extratos!I:I,df_extratos!F:F,Conciliacao!BE6,df_extratos!G:G,"DEBITO")+SUMIFS(df_extratos!I:I,df_extratos!F:F,Conciliacao!A6,df_extratos!G:G,"DEBITO")+SUMIFS(df_extratos!I:I,df_extratos!F:F,Conciliacao!BF6,df_extratos!G:G,"DEBITO")+SUMIFS(df_extratos!I:I,df_extratos!F:F,Conciliacao!BG6,df_extratos!G:G,"DEBITO")+SUMIFS(df_extratos!I:I,df_extratos!F:F,Conciliacao!BH6,df_extratos!G:G,"DEBITO")</f>
        <v/>
      </c>
      <c r="O6" s="11">
        <f>N6-SUM(J6:M6)</f>
        <v/>
      </c>
      <c r="P6" s="25">
        <f>SUMIFS(df_ajustes_conciliaco!D:D,df_ajustes_conciliaco!C:C,Conciliacao!A6)</f>
        <v/>
      </c>
      <c r="Q6" s="22">
        <f>O6+I6-P6</f>
        <v/>
      </c>
      <c r="BE6" s="20" t="n">
        <v>45662.5</v>
      </c>
      <c r="BF6" s="20" t="n">
        <v>45662.125</v>
      </c>
      <c r="BG6" s="20" t="n">
        <v>45662.54166666666</v>
      </c>
      <c r="BH6" s="20" t="n">
        <v>45662.625</v>
      </c>
    </row>
    <row r="7">
      <c r="A7" s="5">
        <f>A6+1</f>
        <v/>
      </c>
      <c r="B7" s="3">
        <f>-SUMIFS(df_extrato_zig!G:G,df_extrato_zig!E:E,Conciliacao!A7,df_extrato_zig!D:D,"Saque")-SUMIFS(df_extrato_zig!G:G,df_extrato_zig!E:E,Conciliacao!A7,df_extrato_zig!D:D,"Antecipação")</f>
        <v/>
      </c>
      <c r="C7" s="3">
        <f>SUMIFS(df_extrato_zig!E:E,df_extrato_zig!L:L,Conciliacao!A7,df_extrato_zig!F:F,"DINHEIRO")</f>
        <v/>
      </c>
      <c r="D7" s="3">
        <f>SUMIFS(view_parc_agrup!H:H,view_parc_agrup!G:G,Conciliacao!A7)</f>
        <v/>
      </c>
      <c r="E7" s="3">
        <f>SUMIFS(df_eventos!F:F,df_eventos!H:H,Conciliacao!A7)</f>
        <v/>
      </c>
      <c r="F7" s="3">
        <f>SUMIFS(df_mutuos!M:M,df_mutuos!B:B,Conciliacao!A7)</f>
        <v/>
      </c>
      <c r="G7" s="6">
        <f>SUMIFS(df_bloqueios_judiciais!G:G,df_bloqueios_judiciais!D:D,Conciliacao!A7,df_bloqueios_judiciais!G:G,"&gt;0")</f>
        <v/>
      </c>
      <c r="H7" s="7">
        <f>SUMIFS(df_extratos!I:I,df_extratos!F:F,Conciliacao!BE7,df_extratos!G:G,"CREDITO")+SUMIFS(df_extratos!I:I,df_extratos!F:F,Conciliacao!A7,df_extratos!G:G,"CREDITO")+SUMIFS(df_extratos!I:I,df_extratos!F:F,Conciliacao!BF7,df_extratos!G:G,"CREDITO")+SUMIFS(df_extratos!I:I,df_extratos!F:F,Conciliacao!BG7,df_extratos!G:G,"CREDITO")+SUMIFS(df_extratos!I:I,df_extratos!F:F,Conciliacao!BH7,df_extratos!G:G,"CREDITO")</f>
        <v/>
      </c>
      <c r="I7" s="9">
        <f>H7-SUM(B7:G7)</f>
        <v/>
      </c>
      <c r="J7" s="4">
        <f>SUMIFS(df_blueme_sem_parcelamento!E:E,df_blueme_sem_parcelamento!H:H,Conciliacao!A7)*(-1)</f>
        <v/>
      </c>
      <c r="K7" s="4">
        <f>SUMIFS(df_blueme_com_parcelamento!J:J,df_blueme_com_parcelamento!M:M,Conciliacao!A7)*(-1)</f>
        <v/>
      </c>
      <c r="L7" s="4">
        <f>SUMIFS(df_mutuos!N:N,df_mutuos!B:B,Conciliacao!A7)*(-1)</f>
        <v/>
      </c>
      <c r="M7" s="8">
        <f>SUMIFS(df_bloqueios_judiciais!E:E,df_bloqueios_judiciais!D:D,Conciliacao!A7,df_bloqueios_judiciais!E:E,"&lt;0")</f>
        <v/>
      </c>
      <c r="N7" s="10">
        <f>SUMIFS(df_extratos!I:I,df_extratos!F:F,Conciliacao!BE7,df_extratos!G:G,"DEBITO")+SUMIFS(df_extratos!I:I,df_extratos!F:F,Conciliacao!A7,df_extratos!G:G,"DEBITO")+SUMIFS(df_extratos!I:I,df_extratos!F:F,Conciliacao!BF7,df_extratos!G:G,"DEBITO")+SUMIFS(df_extratos!I:I,df_extratos!F:F,Conciliacao!BG7,df_extratos!G:G,"DEBITO")+SUMIFS(df_extratos!I:I,df_extratos!F:F,Conciliacao!BH7,df_extratos!G:G,"DEBITO")</f>
        <v/>
      </c>
      <c r="O7" s="11">
        <f>N7-SUM(J7:M7)</f>
        <v/>
      </c>
      <c r="P7" s="25">
        <f>SUMIFS(df_ajustes_conciliaco!D:D,df_ajustes_conciliaco!C:C,Conciliacao!A7)</f>
        <v/>
      </c>
      <c r="Q7" s="22">
        <f>O7+I7-P7</f>
        <v/>
      </c>
      <c r="BE7" s="20" t="n">
        <v>45663.5</v>
      </c>
      <c r="BF7" s="20" t="n">
        <v>45663.125</v>
      </c>
      <c r="BG7" s="20" t="n">
        <v>45663.54166666666</v>
      </c>
      <c r="BH7" s="20" t="n">
        <v>45663.625</v>
      </c>
    </row>
    <row r="8">
      <c r="A8" s="5">
        <f>A7+1</f>
        <v/>
      </c>
      <c r="B8" s="3">
        <f>-SUMIFS(df_extrato_zig!G:G,df_extrato_zig!E:E,Conciliacao!A8,df_extrato_zig!D:D,"Saque")-SUMIFS(df_extrato_zig!G:G,df_extrato_zig!E:E,Conciliacao!A8,df_extrato_zig!D:D,"Antecipação")</f>
        <v/>
      </c>
      <c r="C8" s="3">
        <f>SUMIFS(df_extrato_zig!E:E,df_extrato_zig!L:L,Conciliacao!A8,df_extrato_zig!F:F,"DINHEIRO")</f>
        <v/>
      </c>
      <c r="D8" s="3">
        <f>SUMIFS(view_parc_agrup!H:H,view_parc_agrup!G:G,Conciliacao!A8)</f>
        <v/>
      </c>
      <c r="E8" s="3">
        <f>SUMIFS(df_eventos!F:F,df_eventos!H:H,Conciliacao!A8)</f>
        <v/>
      </c>
      <c r="F8" s="3">
        <f>SUMIFS(df_mutuos!M:M,df_mutuos!B:B,Conciliacao!A8)</f>
        <v/>
      </c>
      <c r="G8" s="6">
        <f>SUMIFS(df_bloqueios_judiciais!G:G,df_bloqueios_judiciais!D:D,Conciliacao!A8,df_bloqueios_judiciais!G:G,"&gt;0")</f>
        <v/>
      </c>
      <c r="H8" s="7">
        <f>SUMIFS(df_extratos!I:I,df_extratos!F:F,Conciliacao!BE8,df_extratos!G:G,"CREDITO")+SUMIFS(df_extratos!I:I,df_extratos!F:F,Conciliacao!A8,df_extratos!G:G,"CREDITO")+SUMIFS(df_extratos!I:I,df_extratos!F:F,Conciliacao!BF8,df_extratos!G:G,"CREDITO")+SUMIFS(df_extratos!I:I,df_extratos!F:F,Conciliacao!BG8,df_extratos!G:G,"CREDITO")+SUMIFS(df_extratos!I:I,df_extratos!F:F,Conciliacao!BH8,df_extratos!G:G,"CREDITO")</f>
        <v/>
      </c>
      <c r="I8" s="9">
        <f>H8-SUM(B8:G8)</f>
        <v/>
      </c>
      <c r="J8" s="4">
        <f>SUMIFS(df_blueme_sem_parcelamento!E:E,df_blueme_sem_parcelamento!H:H,Conciliacao!A8)*(-1)</f>
        <v/>
      </c>
      <c r="K8" s="4">
        <f>SUMIFS(df_blueme_com_parcelamento!J:J,df_blueme_com_parcelamento!M:M,Conciliacao!A8)*(-1)</f>
        <v/>
      </c>
      <c r="L8" s="4">
        <f>SUMIFS(df_mutuos!N:N,df_mutuos!B:B,Conciliacao!A8)*(-1)</f>
        <v/>
      </c>
      <c r="M8" s="8">
        <f>SUMIFS(df_bloqueios_judiciais!E:E,df_bloqueios_judiciais!D:D,Conciliacao!A8,df_bloqueios_judiciais!E:E,"&lt;0")</f>
        <v/>
      </c>
      <c r="N8" s="10">
        <f>SUMIFS(df_extratos!I:I,df_extratos!F:F,Conciliacao!BE8,df_extratos!G:G,"DEBITO")+SUMIFS(df_extratos!I:I,df_extratos!F:F,Conciliacao!A8,df_extratos!G:G,"DEBITO")+SUMIFS(df_extratos!I:I,df_extratos!F:F,Conciliacao!BF8,df_extratos!G:G,"DEBITO")+SUMIFS(df_extratos!I:I,df_extratos!F:F,Conciliacao!BG8,df_extratos!G:G,"DEBITO")+SUMIFS(df_extratos!I:I,df_extratos!F:F,Conciliacao!BH8,df_extratos!G:G,"DEBITO")</f>
        <v/>
      </c>
      <c r="O8" s="11">
        <f>N8-SUM(J8:M8)</f>
        <v/>
      </c>
      <c r="P8" s="25">
        <f>SUMIFS(df_ajustes_conciliaco!D:D,df_ajustes_conciliaco!C:C,Conciliacao!A8)</f>
        <v/>
      </c>
      <c r="Q8" s="22">
        <f>O8+I8-P8</f>
        <v/>
      </c>
      <c r="BE8" s="20" t="n">
        <v>45664.5</v>
      </c>
      <c r="BF8" s="20" t="n">
        <v>45664.125</v>
      </c>
      <c r="BG8" s="20" t="n">
        <v>45664.54166666666</v>
      </c>
      <c r="BH8" s="20" t="n">
        <v>45664.625</v>
      </c>
    </row>
    <row r="9">
      <c r="A9" s="5">
        <f>A8+1</f>
        <v/>
      </c>
      <c r="B9" s="3">
        <f>-SUMIFS(df_extrato_zig!G:G,df_extrato_zig!E:E,Conciliacao!A9,df_extrato_zig!D:D,"Saque")-SUMIFS(df_extrato_zig!G:G,df_extrato_zig!E:E,Conciliacao!A9,df_extrato_zig!D:D,"Antecipação")</f>
        <v/>
      </c>
      <c r="C9" s="3">
        <f>SUMIFS(df_extrato_zig!E:E,df_extrato_zig!L:L,Conciliacao!A9,df_extrato_zig!F:F,"DINHEIRO")</f>
        <v/>
      </c>
      <c r="D9" s="3">
        <f>SUMIFS(view_parc_agrup!H:H,view_parc_agrup!G:G,Conciliacao!A9)</f>
        <v/>
      </c>
      <c r="E9" s="3">
        <f>SUMIFS(df_eventos!F:F,df_eventos!H:H,Conciliacao!A9)</f>
        <v/>
      </c>
      <c r="F9" s="3">
        <f>SUMIFS(df_mutuos!M:M,df_mutuos!B:B,Conciliacao!A9)</f>
        <v/>
      </c>
      <c r="G9" s="6">
        <f>SUMIFS(df_bloqueios_judiciais!G:G,df_bloqueios_judiciais!D:D,Conciliacao!A9,df_bloqueios_judiciais!G:G,"&gt;0")</f>
        <v/>
      </c>
      <c r="H9" s="7">
        <f>SUMIFS(df_extratos!I:I,df_extratos!F:F,Conciliacao!BE9,df_extratos!G:G,"CREDITO")+SUMIFS(df_extratos!I:I,df_extratos!F:F,Conciliacao!A9,df_extratos!G:G,"CREDITO")+SUMIFS(df_extratos!I:I,df_extratos!F:F,Conciliacao!BF9,df_extratos!G:G,"CREDITO")+SUMIFS(df_extratos!I:I,df_extratos!F:F,Conciliacao!BG9,df_extratos!G:G,"CREDITO")+SUMIFS(df_extratos!I:I,df_extratos!F:F,Conciliacao!BH9,df_extratos!G:G,"CREDITO")</f>
        <v/>
      </c>
      <c r="I9" s="9">
        <f>H9-SUM(B9:G9)</f>
        <v/>
      </c>
      <c r="J9" s="4">
        <f>SUMIFS(df_blueme_sem_parcelamento!E:E,df_blueme_sem_parcelamento!H:H,Conciliacao!A9)*(-1)</f>
        <v/>
      </c>
      <c r="K9" s="4">
        <f>SUMIFS(df_blueme_com_parcelamento!J:J,df_blueme_com_parcelamento!M:M,Conciliacao!A9)*(-1)</f>
        <v/>
      </c>
      <c r="L9" s="4">
        <f>SUMIFS(df_mutuos!N:N,df_mutuos!B:B,Conciliacao!A9)*(-1)</f>
        <v/>
      </c>
      <c r="M9" s="8">
        <f>SUMIFS(df_bloqueios_judiciais!E:E,df_bloqueios_judiciais!D:D,Conciliacao!A9,df_bloqueios_judiciais!E:E,"&lt;0")</f>
        <v/>
      </c>
      <c r="N9" s="10">
        <f>SUMIFS(df_extratos!I:I,df_extratos!F:F,Conciliacao!BE9,df_extratos!G:G,"DEBITO")+SUMIFS(df_extratos!I:I,df_extratos!F:F,Conciliacao!A9,df_extratos!G:G,"DEBITO")+SUMIFS(df_extratos!I:I,df_extratos!F:F,Conciliacao!BF9,df_extratos!G:G,"DEBITO")+SUMIFS(df_extratos!I:I,df_extratos!F:F,Conciliacao!BG9,df_extratos!G:G,"DEBITO")+SUMIFS(df_extratos!I:I,df_extratos!F:F,Conciliacao!BH9,df_extratos!G:G,"DEBITO")</f>
        <v/>
      </c>
      <c r="O9" s="11">
        <f>N9-SUM(J9:M9)</f>
        <v/>
      </c>
      <c r="P9" s="25">
        <f>SUMIFS(df_ajustes_conciliaco!D:D,df_ajustes_conciliaco!C:C,Conciliacao!A9)</f>
        <v/>
      </c>
      <c r="Q9" s="22">
        <f>O9+I9-P9</f>
        <v/>
      </c>
      <c r="BE9" s="20" t="n">
        <v>45665.5</v>
      </c>
      <c r="BF9" s="20" t="n">
        <v>45665.125</v>
      </c>
      <c r="BG9" s="20" t="n">
        <v>45665.54166666666</v>
      </c>
      <c r="BH9" s="20" t="n">
        <v>45665.625</v>
      </c>
    </row>
    <row r="10">
      <c r="A10" s="5">
        <f>A9+1</f>
        <v/>
      </c>
      <c r="B10" s="3">
        <f>-SUMIFS(df_extrato_zig!G:G,df_extrato_zig!E:E,Conciliacao!A10,df_extrato_zig!D:D,"Saque")-SUMIFS(df_extrato_zig!G:G,df_extrato_zig!E:E,Conciliacao!A10,df_extrato_zig!D:D,"Antecipação")</f>
        <v/>
      </c>
      <c r="C10" s="3">
        <f>SUMIFS(df_extrato_zig!E:E,df_extrato_zig!L:L,Conciliacao!A10,df_extrato_zig!F:F,"DINHEIRO")</f>
        <v/>
      </c>
      <c r="D10" s="3">
        <f>SUMIFS(view_parc_agrup!H:H,view_parc_agrup!G:G,Conciliacao!A10)</f>
        <v/>
      </c>
      <c r="E10" s="3">
        <f>SUMIFS(df_eventos!F:F,df_eventos!H:H,Conciliacao!A10)</f>
        <v/>
      </c>
      <c r="F10" s="3">
        <f>SUMIFS(df_mutuos!M:M,df_mutuos!B:B,Conciliacao!A10)</f>
        <v/>
      </c>
      <c r="G10" s="6">
        <f>SUMIFS(df_bloqueios_judiciais!G:G,df_bloqueios_judiciais!D:D,Conciliacao!A10,df_bloqueios_judiciais!G:G,"&gt;0")</f>
        <v/>
      </c>
      <c r="H10" s="7">
        <f>SUMIFS(df_extratos!I:I,df_extratos!F:F,Conciliacao!BE10,df_extratos!G:G,"CREDITO")+SUMIFS(df_extratos!I:I,df_extratos!F:F,Conciliacao!A10,df_extratos!G:G,"CREDITO")+SUMIFS(df_extratos!I:I,df_extratos!F:F,Conciliacao!BF10,df_extratos!G:G,"CREDITO")+SUMIFS(df_extratos!I:I,df_extratos!F:F,Conciliacao!BG10,df_extratos!G:G,"CREDITO")+SUMIFS(df_extratos!I:I,df_extratos!F:F,Conciliacao!BH10,df_extratos!G:G,"CREDITO")</f>
        <v/>
      </c>
      <c r="I10" s="9">
        <f>H10-SUM(B10:G10)</f>
        <v/>
      </c>
      <c r="J10" s="4">
        <f>SUMIFS(df_blueme_sem_parcelamento!E:E,df_blueme_sem_parcelamento!H:H,Conciliacao!A10)*(-1)</f>
        <v/>
      </c>
      <c r="K10" s="4">
        <f>SUMIFS(df_blueme_com_parcelamento!J:J,df_blueme_com_parcelamento!M:M,Conciliacao!A10)*(-1)</f>
        <v/>
      </c>
      <c r="L10" s="4">
        <f>SUMIFS(df_mutuos!N:N,df_mutuos!B:B,Conciliacao!A10)*(-1)</f>
        <v/>
      </c>
      <c r="M10" s="8">
        <f>SUMIFS(df_bloqueios_judiciais!E:E,df_bloqueios_judiciais!D:D,Conciliacao!A10,df_bloqueios_judiciais!E:E,"&lt;0")</f>
        <v/>
      </c>
      <c r="N10" s="10">
        <f>SUMIFS(df_extratos!I:I,df_extratos!F:F,Conciliacao!BE10,df_extratos!G:G,"DEBITO")+SUMIFS(df_extratos!I:I,df_extratos!F:F,Conciliacao!A10,df_extratos!G:G,"DEBITO")+SUMIFS(df_extratos!I:I,df_extratos!F:F,Conciliacao!BF10,df_extratos!G:G,"DEBITO")+SUMIFS(df_extratos!I:I,df_extratos!F:F,Conciliacao!BG10,df_extratos!G:G,"DEBITO")+SUMIFS(df_extratos!I:I,df_extratos!F:F,Conciliacao!BH10,df_extratos!G:G,"DEBITO")</f>
        <v/>
      </c>
      <c r="O10" s="11">
        <f>N10-SUM(J10:M10)</f>
        <v/>
      </c>
      <c r="P10" s="25">
        <f>SUMIFS(df_ajustes_conciliaco!D:D,df_ajustes_conciliaco!C:C,Conciliacao!A10)</f>
        <v/>
      </c>
      <c r="Q10" s="22">
        <f>O10+I10-P10</f>
        <v/>
      </c>
      <c r="BE10" s="20" t="n">
        <v>45666.5</v>
      </c>
      <c r="BF10" s="20" t="n">
        <v>45666.125</v>
      </c>
      <c r="BG10" s="20" t="n">
        <v>45666.54166666666</v>
      </c>
      <c r="BH10" s="20" t="n">
        <v>45666.625</v>
      </c>
    </row>
    <row r="11">
      <c r="A11" s="5">
        <f>A10+1</f>
        <v/>
      </c>
      <c r="B11" s="3">
        <f>-SUMIFS(df_extrato_zig!G:G,df_extrato_zig!E:E,Conciliacao!A11,df_extrato_zig!D:D,"Saque")-SUMIFS(df_extrato_zig!G:G,df_extrato_zig!E:E,Conciliacao!A11,df_extrato_zig!D:D,"Antecipação")</f>
        <v/>
      </c>
      <c r="C11" s="3">
        <f>SUMIFS(df_extrato_zig!E:E,df_extrato_zig!L:L,Conciliacao!A11,df_extrato_zig!F:F,"DINHEIRO")</f>
        <v/>
      </c>
      <c r="D11" s="3">
        <f>SUMIFS(view_parc_agrup!H:H,view_parc_agrup!G:G,Conciliacao!A11)</f>
        <v/>
      </c>
      <c r="E11" s="3">
        <f>SUMIFS(df_eventos!F:F,df_eventos!H:H,Conciliacao!A11)</f>
        <v/>
      </c>
      <c r="F11" s="3">
        <f>SUMIFS(df_mutuos!M:M,df_mutuos!B:B,Conciliacao!A11)</f>
        <v/>
      </c>
      <c r="G11" s="6">
        <f>SUMIFS(df_bloqueios_judiciais!G:G,df_bloqueios_judiciais!D:D,Conciliacao!A11,df_bloqueios_judiciais!G:G,"&gt;0")</f>
        <v/>
      </c>
      <c r="H11" s="7">
        <f>SUMIFS(df_extratos!I:I,df_extratos!F:F,Conciliacao!BE11,df_extratos!G:G,"CREDITO")+SUMIFS(df_extratos!I:I,df_extratos!F:F,Conciliacao!A11,df_extratos!G:G,"CREDITO")+SUMIFS(df_extratos!I:I,df_extratos!F:F,Conciliacao!BF11,df_extratos!G:G,"CREDITO")+SUMIFS(df_extratos!I:I,df_extratos!F:F,Conciliacao!BG11,df_extratos!G:G,"CREDITO")+SUMIFS(df_extratos!I:I,df_extratos!F:F,Conciliacao!BH11,df_extratos!G:G,"CREDITO")</f>
        <v/>
      </c>
      <c r="I11" s="9">
        <f>H11-SUM(B11:G11)</f>
        <v/>
      </c>
      <c r="J11" s="4">
        <f>SUMIFS(df_blueme_sem_parcelamento!E:E,df_blueme_sem_parcelamento!H:H,Conciliacao!A11)*(-1)</f>
        <v/>
      </c>
      <c r="K11" s="4">
        <f>SUMIFS(df_blueme_com_parcelamento!J:J,df_blueme_com_parcelamento!M:M,Conciliacao!A11)*(-1)</f>
        <v/>
      </c>
      <c r="L11" s="4">
        <f>SUMIFS(df_mutuos!N:N,df_mutuos!B:B,Conciliacao!A11)*(-1)</f>
        <v/>
      </c>
      <c r="M11" s="8">
        <f>SUMIFS(df_bloqueios_judiciais!E:E,df_bloqueios_judiciais!D:D,Conciliacao!A11,df_bloqueios_judiciais!E:E,"&lt;0")</f>
        <v/>
      </c>
      <c r="N11" s="10">
        <f>SUMIFS(df_extratos!I:I,df_extratos!F:F,Conciliacao!BE11,df_extratos!G:G,"DEBITO")+SUMIFS(df_extratos!I:I,df_extratos!F:F,Conciliacao!A11,df_extratos!G:G,"DEBITO")+SUMIFS(df_extratos!I:I,df_extratos!F:F,Conciliacao!BF11,df_extratos!G:G,"DEBITO")+SUMIFS(df_extratos!I:I,df_extratos!F:F,Conciliacao!BG11,df_extratos!G:G,"DEBITO")+SUMIFS(df_extratos!I:I,df_extratos!F:F,Conciliacao!BH11,df_extratos!G:G,"DEBITO")</f>
        <v/>
      </c>
      <c r="O11" s="11">
        <f>N11-SUM(J11:M11)</f>
        <v/>
      </c>
      <c r="P11" s="25">
        <f>SUMIFS(df_ajustes_conciliaco!D:D,df_ajustes_conciliaco!C:C,Conciliacao!A11)</f>
        <v/>
      </c>
      <c r="Q11" s="22">
        <f>O11+I11-P11</f>
        <v/>
      </c>
      <c r="BE11" s="20" t="n">
        <v>45667.5</v>
      </c>
      <c r="BF11" s="20" t="n">
        <v>45667.125</v>
      </c>
      <c r="BG11" s="20" t="n">
        <v>45667.54166666666</v>
      </c>
      <c r="BH11" s="20" t="n">
        <v>45667.625</v>
      </c>
    </row>
    <row r="12">
      <c r="A12" s="5">
        <f>A11+1</f>
        <v/>
      </c>
      <c r="B12" s="3">
        <f>-SUMIFS(df_extrato_zig!G:G,df_extrato_zig!E:E,Conciliacao!A12,df_extrato_zig!D:D,"Saque")-SUMIFS(df_extrato_zig!G:G,df_extrato_zig!E:E,Conciliacao!A12,df_extrato_zig!D:D,"Antecipação")</f>
        <v/>
      </c>
      <c r="C12" s="3">
        <f>SUMIFS(df_extrato_zig!E:E,df_extrato_zig!L:L,Conciliacao!A12,df_extrato_zig!F:F,"DINHEIRO")</f>
        <v/>
      </c>
      <c r="D12" s="3">
        <f>SUMIFS(view_parc_agrup!H:H,view_parc_agrup!G:G,Conciliacao!A12)</f>
        <v/>
      </c>
      <c r="E12" s="3">
        <f>SUMIFS(df_eventos!F:F,df_eventos!H:H,Conciliacao!A12)</f>
        <v/>
      </c>
      <c r="F12" s="3">
        <f>SUMIFS(df_mutuos!M:M,df_mutuos!B:B,Conciliacao!A12)</f>
        <v/>
      </c>
      <c r="G12" s="6">
        <f>SUMIFS(df_bloqueios_judiciais!G:G,df_bloqueios_judiciais!D:D,Conciliacao!A12,df_bloqueios_judiciais!G:G,"&gt;0")</f>
        <v/>
      </c>
      <c r="H12" s="7">
        <f>SUMIFS(df_extratos!I:I,df_extratos!F:F,Conciliacao!BE12,df_extratos!G:G,"CREDITO")+SUMIFS(df_extratos!I:I,df_extratos!F:F,Conciliacao!A12,df_extratos!G:G,"CREDITO")+SUMIFS(df_extratos!I:I,df_extratos!F:F,Conciliacao!BF12,df_extratos!G:G,"CREDITO")+SUMIFS(df_extratos!I:I,df_extratos!F:F,Conciliacao!BG12,df_extratos!G:G,"CREDITO")+SUMIFS(df_extratos!I:I,df_extratos!F:F,Conciliacao!BH12,df_extratos!G:G,"CREDITO")</f>
        <v/>
      </c>
      <c r="I12" s="9">
        <f>H12-SUM(B12:G12)</f>
        <v/>
      </c>
      <c r="J12" s="4">
        <f>SUMIFS(df_blueme_sem_parcelamento!E:E,df_blueme_sem_parcelamento!H:H,Conciliacao!A12)*(-1)</f>
        <v/>
      </c>
      <c r="K12" s="4">
        <f>SUMIFS(df_blueme_com_parcelamento!J:J,df_blueme_com_parcelamento!M:M,Conciliacao!A12)*(-1)</f>
        <v/>
      </c>
      <c r="L12" s="4">
        <f>SUMIFS(df_mutuos!N:N,df_mutuos!B:B,Conciliacao!A12)*(-1)</f>
        <v/>
      </c>
      <c r="M12" s="8">
        <f>SUMIFS(df_bloqueios_judiciais!E:E,df_bloqueios_judiciais!D:D,Conciliacao!A12,df_bloqueios_judiciais!E:E,"&lt;0")</f>
        <v/>
      </c>
      <c r="N12" s="10">
        <f>SUMIFS(df_extratos!I:I,df_extratos!F:F,Conciliacao!BE12,df_extratos!G:G,"DEBITO")+SUMIFS(df_extratos!I:I,df_extratos!F:F,Conciliacao!A12,df_extratos!G:G,"DEBITO")+SUMIFS(df_extratos!I:I,df_extratos!F:F,Conciliacao!BF12,df_extratos!G:G,"DEBITO")+SUMIFS(df_extratos!I:I,df_extratos!F:F,Conciliacao!BG12,df_extratos!G:G,"DEBITO")+SUMIFS(df_extratos!I:I,df_extratos!F:F,Conciliacao!BH12,df_extratos!G:G,"DEBITO")</f>
        <v/>
      </c>
      <c r="O12" s="11">
        <f>N12-SUM(J12:M12)</f>
        <v/>
      </c>
      <c r="P12" s="25">
        <f>SUMIFS(df_ajustes_conciliaco!D:D,df_ajustes_conciliaco!C:C,Conciliacao!A12)</f>
        <v/>
      </c>
      <c r="Q12" s="22">
        <f>O12+I12-P12</f>
        <v/>
      </c>
      <c r="BE12" s="20" t="n">
        <v>45668.5</v>
      </c>
      <c r="BF12" s="20" t="n">
        <v>45668.125</v>
      </c>
      <c r="BG12" s="20" t="n">
        <v>45668.54166666666</v>
      </c>
      <c r="BH12" s="20" t="n">
        <v>45668.625</v>
      </c>
    </row>
    <row r="13">
      <c r="A13" s="5">
        <f>A12+1</f>
        <v/>
      </c>
      <c r="B13" s="3">
        <f>-SUMIFS(df_extrato_zig!G:G,df_extrato_zig!E:E,Conciliacao!A13,df_extrato_zig!D:D,"Saque")-SUMIFS(df_extrato_zig!G:G,df_extrato_zig!E:E,Conciliacao!A13,df_extrato_zig!D:D,"Antecipação")</f>
        <v/>
      </c>
      <c r="C13" s="3">
        <f>SUMIFS(df_extrato_zig!E:E,df_extrato_zig!L:L,Conciliacao!A13,df_extrato_zig!F:F,"DINHEIRO")</f>
        <v/>
      </c>
      <c r="D13" s="3">
        <f>SUMIFS(view_parc_agrup!H:H,view_parc_agrup!G:G,Conciliacao!A13)</f>
        <v/>
      </c>
      <c r="E13" s="3">
        <f>SUMIFS(df_eventos!F:F,df_eventos!H:H,Conciliacao!A13)</f>
        <v/>
      </c>
      <c r="F13" s="3">
        <f>SUMIFS(df_mutuos!M:M,df_mutuos!B:B,Conciliacao!A13)</f>
        <v/>
      </c>
      <c r="G13" s="6">
        <f>SUMIFS(df_bloqueios_judiciais!G:G,df_bloqueios_judiciais!D:D,Conciliacao!A13,df_bloqueios_judiciais!G:G,"&gt;0")</f>
        <v/>
      </c>
      <c r="H13" s="7">
        <f>SUMIFS(df_extratos!I:I,df_extratos!F:F,Conciliacao!BE13,df_extratos!G:G,"CREDITO")+SUMIFS(df_extratos!I:I,df_extratos!F:F,Conciliacao!A13,df_extratos!G:G,"CREDITO")+SUMIFS(df_extratos!I:I,df_extratos!F:F,Conciliacao!BF13,df_extratos!G:G,"CREDITO")+SUMIFS(df_extratos!I:I,df_extratos!F:F,Conciliacao!BG13,df_extratos!G:G,"CREDITO")+SUMIFS(df_extratos!I:I,df_extratos!F:F,Conciliacao!BH13,df_extratos!G:G,"CREDITO")</f>
        <v/>
      </c>
      <c r="I13" s="9">
        <f>H13-SUM(B13:G13)</f>
        <v/>
      </c>
      <c r="J13" s="4">
        <f>SUMIFS(df_blueme_sem_parcelamento!E:E,df_blueme_sem_parcelamento!H:H,Conciliacao!A13)*(-1)</f>
        <v/>
      </c>
      <c r="K13" s="4">
        <f>SUMIFS(df_blueme_com_parcelamento!J:J,df_blueme_com_parcelamento!M:M,Conciliacao!A13)*(-1)</f>
        <v/>
      </c>
      <c r="L13" s="4">
        <f>SUMIFS(df_mutuos!N:N,df_mutuos!B:B,Conciliacao!A13)*(-1)</f>
        <v/>
      </c>
      <c r="M13" s="8">
        <f>SUMIFS(df_bloqueios_judiciais!E:E,df_bloqueios_judiciais!D:D,Conciliacao!A13,df_bloqueios_judiciais!E:E,"&lt;0")</f>
        <v/>
      </c>
      <c r="N13" s="10">
        <f>SUMIFS(df_extratos!I:I,df_extratos!F:F,Conciliacao!BE13,df_extratos!G:G,"DEBITO")+SUMIFS(df_extratos!I:I,df_extratos!F:F,Conciliacao!A13,df_extratos!G:G,"DEBITO")+SUMIFS(df_extratos!I:I,df_extratos!F:F,Conciliacao!BF13,df_extratos!G:G,"DEBITO")+SUMIFS(df_extratos!I:I,df_extratos!F:F,Conciliacao!BG13,df_extratos!G:G,"DEBITO")+SUMIFS(df_extratos!I:I,df_extratos!F:F,Conciliacao!BH13,df_extratos!G:G,"DEBITO")</f>
        <v/>
      </c>
      <c r="O13" s="11">
        <f>N13-SUM(J13:M13)</f>
        <v/>
      </c>
      <c r="P13" s="25">
        <f>SUMIFS(df_ajustes_conciliaco!D:D,df_ajustes_conciliaco!C:C,Conciliacao!A13)</f>
        <v/>
      </c>
      <c r="Q13" s="22">
        <f>O13+I13-P13</f>
        <v/>
      </c>
      <c r="BE13" s="20" t="n">
        <v>45669.5</v>
      </c>
      <c r="BF13" s="20" t="n">
        <v>45669.125</v>
      </c>
      <c r="BG13" s="20" t="n">
        <v>45669.54166666666</v>
      </c>
      <c r="BH13" s="20" t="n">
        <v>45669.625</v>
      </c>
    </row>
    <row r="14">
      <c r="A14" s="5">
        <f>A13+1</f>
        <v/>
      </c>
      <c r="B14" s="3">
        <f>-SUMIFS(df_extrato_zig!G:G,df_extrato_zig!E:E,Conciliacao!A14,df_extrato_zig!D:D,"Saque")-SUMIFS(df_extrato_zig!G:G,df_extrato_zig!E:E,Conciliacao!A14,df_extrato_zig!D:D,"Antecipação")</f>
        <v/>
      </c>
      <c r="C14" s="3">
        <f>SUMIFS(df_extrato_zig!E:E,df_extrato_zig!L:L,Conciliacao!A14,df_extrato_zig!F:F,"DINHEIRO")</f>
        <v/>
      </c>
      <c r="D14" s="3">
        <f>SUMIFS(view_parc_agrup!H:H,view_parc_agrup!G:G,Conciliacao!A14)</f>
        <v/>
      </c>
      <c r="E14" s="3">
        <f>SUMIFS(df_eventos!F:F,df_eventos!H:H,Conciliacao!A14)</f>
        <v/>
      </c>
      <c r="F14" s="3">
        <f>SUMIFS(df_mutuos!M:M,df_mutuos!B:B,Conciliacao!A14)</f>
        <v/>
      </c>
      <c r="G14" s="6">
        <f>SUMIFS(df_bloqueios_judiciais!G:G,df_bloqueios_judiciais!D:D,Conciliacao!A14,df_bloqueios_judiciais!G:G,"&gt;0")</f>
        <v/>
      </c>
      <c r="H14" s="7">
        <f>SUMIFS(df_extratos!I:I,df_extratos!F:F,Conciliacao!BE14,df_extratos!G:G,"CREDITO")+SUMIFS(df_extratos!I:I,df_extratos!F:F,Conciliacao!A14,df_extratos!G:G,"CREDITO")+SUMIFS(df_extratos!I:I,df_extratos!F:F,Conciliacao!BF14,df_extratos!G:G,"CREDITO")+SUMIFS(df_extratos!I:I,df_extratos!F:F,Conciliacao!BG14,df_extratos!G:G,"CREDITO")+SUMIFS(df_extratos!I:I,df_extratos!F:F,Conciliacao!BH14,df_extratos!G:G,"CREDITO")</f>
        <v/>
      </c>
      <c r="I14" s="9">
        <f>H14-SUM(B14:G14)</f>
        <v/>
      </c>
      <c r="J14" s="4">
        <f>SUMIFS(df_blueme_sem_parcelamento!E:E,df_blueme_sem_parcelamento!H:H,Conciliacao!A14)*(-1)</f>
        <v/>
      </c>
      <c r="K14" s="4">
        <f>SUMIFS(df_blueme_com_parcelamento!J:J,df_blueme_com_parcelamento!M:M,Conciliacao!A14)*(-1)</f>
        <v/>
      </c>
      <c r="L14" s="4">
        <f>SUMIFS(df_mutuos!N:N,df_mutuos!B:B,Conciliacao!A14)*(-1)</f>
        <v/>
      </c>
      <c r="M14" s="8">
        <f>SUMIFS(df_bloqueios_judiciais!E:E,df_bloqueios_judiciais!D:D,Conciliacao!A14,df_bloqueios_judiciais!E:E,"&lt;0")</f>
        <v/>
      </c>
      <c r="N14" s="10">
        <f>SUMIFS(df_extratos!I:I,df_extratos!F:F,Conciliacao!BE14,df_extratos!G:G,"DEBITO")+SUMIFS(df_extratos!I:I,df_extratos!F:F,Conciliacao!A14,df_extratos!G:G,"DEBITO")+SUMIFS(df_extratos!I:I,df_extratos!F:F,Conciliacao!BF14,df_extratos!G:G,"DEBITO")+SUMIFS(df_extratos!I:I,df_extratos!F:F,Conciliacao!BG14,df_extratos!G:G,"DEBITO")+SUMIFS(df_extratos!I:I,df_extratos!F:F,Conciliacao!BH14,df_extratos!G:G,"DEBITO")</f>
        <v/>
      </c>
      <c r="O14" s="11">
        <f>N14-SUM(J14:M14)</f>
        <v/>
      </c>
      <c r="P14" s="25">
        <f>SUMIFS(df_ajustes_conciliaco!D:D,df_ajustes_conciliaco!C:C,Conciliacao!A14)</f>
        <v/>
      </c>
      <c r="Q14" s="22">
        <f>O14+I14-P14</f>
        <v/>
      </c>
      <c r="BE14" s="20" t="n">
        <v>45670.5</v>
      </c>
      <c r="BF14" s="20" t="n">
        <v>45670.125</v>
      </c>
      <c r="BG14" s="20" t="n">
        <v>45670.54166666666</v>
      </c>
      <c r="BH14" s="20" t="n">
        <v>45670.625</v>
      </c>
    </row>
    <row r="15">
      <c r="A15" s="5">
        <f>A14+1</f>
        <v/>
      </c>
      <c r="B15" s="3">
        <f>-SUMIFS(df_extrato_zig!G:G,df_extrato_zig!E:E,Conciliacao!A15,df_extrato_zig!D:D,"Saque")-SUMIFS(df_extrato_zig!G:G,df_extrato_zig!E:E,Conciliacao!A15,df_extrato_zig!D:D,"Antecipação")</f>
        <v/>
      </c>
      <c r="C15" s="3">
        <f>SUMIFS(df_extrato_zig!E:E,df_extrato_zig!L:L,Conciliacao!A15,df_extrato_zig!F:F,"DINHEIRO")</f>
        <v/>
      </c>
      <c r="D15" s="3">
        <f>SUMIFS(view_parc_agrup!H:H,view_parc_agrup!G:G,Conciliacao!A15)</f>
        <v/>
      </c>
      <c r="E15" s="3">
        <f>SUMIFS(df_eventos!F:F,df_eventos!H:H,Conciliacao!A15)</f>
        <v/>
      </c>
      <c r="F15" s="3">
        <f>SUMIFS(df_mutuos!M:M,df_mutuos!B:B,Conciliacao!A15)</f>
        <v/>
      </c>
      <c r="G15" s="6">
        <f>SUMIFS(df_bloqueios_judiciais!G:G,df_bloqueios_judiciais!D:D,Conciliacao!A15,df_bloqueios_judiciais!G:G,"&gt;0")</f>
        <v/>
      </c>
      <c r="H15" s="7">
        <f>SUMIFS(df_extratos!I:I,df_extratos!F:F,Conciliacao!BE15,df_extratos!G:G,"CREDITO")+SUMIFS(df_extratos!I:I,df_extratos!F:F,Conciliacao!A15,df_extratos!G:G,"CREDITO")+SUMIFS(df_extratos!I:I,df_extratos!F:F,Conciliacao!BF15,df_extratos!G:G,"CREDITO")+SUMIFS(df_extratos!I:I,df_extratos!F:F,Conciliacao!BG15,df_extratos!G:G,"CREDITO")+SUMIFS(df_extratos!I:I,df_extratos!F:F,Conciliacao!BH15,df_extratos!G:G,"CREDITO")</f>
        <v/>
      </c>
      <c r="I15" s="9">
        <f>H15-SUM(B15:G15)</f>
        <v/>
      </c>
      <c r="J15" s="4">
        <f>SUMIFS(df_blueme_sem_parcelamento!E:E,df_blueme_sem_parcelamento!H:H,Conciliacao!A15)*(-1)</f>
        <v/>
      </c>
      <c r="K15" s="4">
        <f>SUMIFS(df_blueme_com_parcelamento!J:J,df_blueme_com_parcelamento!M:M,Conciliacao!A15)*(-1)</f>
        <v/>
      </c>
      <c r="L15" s="4">
        <f>SUMIFS(df_mutuos!N:N,df_mutuos!B:B,Conciliacao!A15)*(-1)</f>
        <v/>
      </c>
      <c r="M15" s="8">
        <f>SUMIFS(df_bloqueios_judiciais!E:E,df_bloqueios_judiciais!D:D,Conciliacao!A15,df_bloqueios_judiciais!E:E,"&lt;0")</f>
        <v/>
      </c>
      <c r="N15" s="10">
        <f>SUMIFS(df_extratos!I:I,df_extratos!F:F,Conciliacao!BE15,df_extratos!G:G,"DEBITO")+SUMIFS(df_extratos!I:I,df_extratos!F:F,Conciliacao!A15,df_extratos!G:G,"DEBITO")+SUMIFS(df_extratos!I:I,df_extratos!F:F,Conciliacao!BF15,df_extratos!G:G,"DEBITO")+SUMIFS(df_extratos!I:I,df_extratos!F:F,Conciliacao!BG15,df_extratos!G:G,"DEBITO")+SUMIFS(df_extratos!I:I,df_extratos!F:F,Conciliacao!BH15,df_extratos!G:G,"DEBITO")</f>
        <v/>
      </c>
      <c r="O15" s="11">
        <f>N15-SUM(J15:M15)</f>
        <v/>
      </c>
      <c r="P15" s="25">
        <f>SUMIFS(df_ajustes_conciliaco!D:D,df_ajustes_conciliaco!C:C,Conciliacao!A15)</f>
        <v/>
      </c>
      <c r="Q15" s="22">
        <f>O15+I15-P15</f>
        <v/>
      </c>
      <c r="BE15" s="20" t="n">
        <v>45671.5</v>
      </c>
      <c r="BF15" s="20" t="n">
        <v>45671.125</v>
      </c>
      <c r="BG15" s="20" t="n">
        <v>45671.54166666666</v>
      </c>
      <c r="BH15" s="20" t="n">
        <v>45671.625</v>
      </c>
    </row>
    <row r="16">
      <c r="A16" s="5">
        <f>A15+1</f>
        <v/>
      </c>
      <c r="B16" s="3">
        <f>-SUMIFS(df_extrato_zig!G:G,df_extrato_zig!E:E,Conciliacao!A16,df_extrato_zig!D:D,"Saque")-SUMIFS(df_extrato_zig!G:G,df_extrato_zig!E:E,Conciliacao!A16,df_extrato_zig!D:D,"Antecipação")</f>
        <v/>
      </c>
      <c r="C16" s="3">
        <f>SUMIFS(df_extrato_zig!E:E,df_extrato_zig!L:L,Conciliacao!A16,df_extrato_zig!F:F,"DINHEIRO")</f>
        <v/>
      </c>
      <c r="D16" s="3">
        <f>SUMIFS(view_parc_agrup!H:H,view_parc_agrup!G:G,Conciliacao!A16)</f>
        <v/>
      </c>
      <c r="E16" s="3">
        <f>SUMIFS(df_eventos!F:F,df_eventos!H:H,Conciliacao!A16)</f>
        <v/>
      </c>
      <c r="F16" s="3">
        <f>SUMIFS(df_mutuos!M:M,df_mutuos!B:B,Conciliacao!A16)</f>
        <v/>
      </c>
      <c r="G16" s="6">
        <f>SUMIFS(df_bloqueios_judiciais!G:G,df_bloqueios_judiciais!D:D,Conciliacao!A16,df_bloqueios_judiciais!G:G,"&gt;0")</f>
        <v/>
      </c>
      <c r="H16" s="7">
        <f>SUMIFS(df_extratos!I:I,df_extratos!F:F,Conciliacao!BE16,df_extratos!G:G,"CREDITO")+SUMIFS(df_extratos!I:I,df_extratos!F:F,Conciliacao!A16,df_extratos!G:G,"CREDITO")+SUMIFS(df_extratos!I:I,df_extratos!F:F,Conciliacao!BF16,df_extratos!G:G,"CREDITO")+SUMIFS(df_extratos!I:I,df_extratos!F:F,Conciliacao!BG16,df_extratos!G:G,"CREDITO")+SUMIFS(df_extratos!I:I,df_extratos!F:F,Conciliacao!BH16,df_extratos!G:G,"CREDITO")</f>
        <v/>
      </c>
      <c r="I16" s="9">
        <f>H16-SUM(B16:G16)</f>
        <v/>
      </c>
      <c r="J16" s="4">
        <f>SUMIFS(df_blueme_sem_parcelamento!E:E,df_blueme_sem_parcelamento!H:H,Conciliacao!A16)*(-1)</f>
        <v/>
      </c>
      <c r="K16" s="4">
        <f>SUMIFS(df_blueme_com_parcelamento!J:J,df_blueme_com_parcelamento!M:M,Conciliacao!A16)*(-1)</f>
        <v/>
      </c>
      <c r="L16" s="4">
        <f>SUMIFS(df_mutuos!N:N,df_mutuos!B:B,Conciliacao!A16)*(-1)</f>
        <v/>
      </c>
      <c r="M16" s="8">
        <f>SUMIFS(df_bloqueios_judiciais!E:E,df_bloqueios_judiciais!D:D,Conciliacao!A16,df_bloqueios_judiciais!E:E,"&lt;0")</f>
        <v/>
      </c>
      <c r="N16" s="10">
        <f>SUMIFS(df_extratos!I:I,df_extratos!F:F,Conciliacao!BE16,df_extratos!G:G,"DEBITO")+SUMIFS(df_extratos!I:I,df_extratos!F:F,Conciliacao!A16,df_extratos!G:G,"DEBITO")+SUMIFS(df_extratos!I:I,df_extratos!F:F,Conciliacao!BF16,df_extratos!G:G,"DEBITO")+SUMIFS(df_extratos!I:I,df_extratos!F:F,Conciliacao!BG16,df_extratos!G:G,"DEBITO")+SUMIFS(df_extratos!I:I,df_extratos!F:F,Conciliacao!BH16,df_extratos!G:G,"DEBITO")</f>
        <v/>
      </c>
      <c r="O16" s="11">
        <f>N16-SUM(J16:M16)</f>
        <v/>
      </c>
      <c r="P16" s="25">
        <f>SUMIFS(df_ajustes_conciliaco!D:D,df_ajustes_conciliaco!C:C,Conciliacao!A16)</f>
        <v/>
      </c>
      <c r="Q16" s="22">
        <f>O16+I16-P16</f>
        <v/>
      </c>
      <c r="BE16" s="20" t="n">
        <v>45672.5</v>
      </c>
      <c r="BF16" s="20" t="n">
        <v>45672.125</v>
      </c>
      <c r="BG16" s="20" t="n">
        <v>45672.54166666666</v>
      </c>
      <c r="BH16" s="20" t="n">
        <v>45672.625</v>
      </c>
    </row>
    <row r="17">
      <c r="A17" s="5">
        <f>A16+1</f>
        <v/>
      </c>
      <c r="B17" s="3">
        <f>-SUMIFS(df_extrato_zig!G:G,df_extrato_zig!E:E,Conciliacao!A17,df_extrato_zig!D:D,"Saque")-SUMIFS(df_extrato_zig!G:G,df_extrato_zig!E:E,Conciliacao!A17,df_extrato_zig!D:D,"Antecipação")</f>
        <v/>
      </c>
      <c r="C17" s="3">
        <f>SUMIFS(df_extrato_zig!E:E,df_extrato_zig!L:L,Conciliacao!A17,df_extrato_zig!F:F,"DINHEIRO")</f>
        <v/>
      </c>
      <c r="D17" s="3">
        <f>SUMIFS(view_parc_agrup!H:H,view_parc_agrup!G:G,Conciliacao!A17)</f>
        <v/>
      </c>
      <c r="E17" s="3">
        <f>SUMIFS(df_eventos!F:F,df_eventos!H:H,Conciliacao!A17)</f>
        <v/>
      </c>
      <c r="F17" s="3">
        <f>SUMIFS(df_mutuos!M:M,df_mutuos!B:B,Conciliacao!A17)</f>
        <v/>
      </c>
      <c r="G17" s="6">
        <f>SUMIFS(df_bloqueios_judiciais!G:G,df_bloqueios_judiciais!D:D,Conciliacao!A17,df_bloqueios_judiciais!G:G,"&gt;0")</f>
        <v/>
      </c>
      <c r="H17" s="7">
        <f>SUMIFS(df_extratos!I:I,df_extratos!F:F,Conciliacao!BE17,df_extratos!G:G,"CREDITO")+SUMIFS(df_extratos!I:I,df_extratos!F:F,Conciliacao!A17,df_extratos!G:G,"CREDITO")+SUMIFS(df_extratos!I:I,df_extratos!F:F,Conciliacao!BF17,df_extratos!G:G,"CREDITO")+SUMIFS(df_extratos!I:I,df_extratos!F:F,Conciliacao!BG17,df_extratos!G:G,"CREDITO")+SUMIFS(df_extratos!I:I,df_extratos!F:F,Conciliacao!BH17,df_extratos!G:G,"CREDITO")</f>
        <v/>
      </c>
      <c r="I17" s="9">
        <f>H17-SUM(B17:G17)</f>
        <v/>
      </c>
      <c r="J17" s="4">
        <f>SUMIFS(df_blueme_sem_parcelamento!E:E,df_blueme_sem_parcelamento!H:H,Conciliacao!A17)*(-1)</f>
        <v/>
      </c>
      <c r="K17" s="4">
        <f>SUMIFS(df_blueme_com_parcelamento!J:J,df_blueme_com_parcelamento!M:M,Conciliacao!A17)*(-1)</f>
        <v/>
      </c>
      <c r="L17" s="4">
        <f>SUMIFS(df_mutuos!N:N,df_mutuos!B:B,Conciliacao!A17)*(-1)</f>
        <v/>
      </c>
      <c r="M17" s="8">
        <f>SUMIFS(df_bloqueios_judiciais!E:E,df_bloqueios_judiciais!D:D,Conciliacao!A17,df_bloqueios_judiciais!E:E,"&lt;0")</f>
        <v/>
      </c>
      <c r="N17" s="10">
        <f>SUMIFS(df_extratos!I:I,df_extratos!F:F,Conciliacao!BE17,df_extratos!G:G,"DEBITO")+SUMIFS(df_extratos!I:I,df_extratos!F:F,Conciliacao!A17,df_extratos!G:G,"DEBITO")+SUMIFS(df_extratos!I:I,df_extratos!F:F,Conciliacao!BF17,df_extratos!G:G,"DEBITO")+SUMIFS(df_extratos!I:I,df_extratos!F:F,Conciliacao!BG17,df_extratos!G:G,"DEBITO")+SUMIFS(df_extratos!I:I,df_extratos!F:F,Conciliacao!BH17,df_extratos!G:G,"DEBITO")</f>
        <v/>
      </c>
      <c r="O17" s="11">
        <f>N17-SUM(J17:M17)</f>
        <v/>
      </c>
      <c r="P17" s="25">
        <f>SUMIFS(df_ajustes_conciliaco!D:D,df_ajustes_conciliaco!C:C,Conciliacao!A17)</f>
        <v/>
      </c>
      <c r="Q17" s="22">
        <f>O17+I17-P17</f>
        <v/>
      </c>
      <c r="BE17" s="20" t="n">
        <v>45673.5</v>
      </c>
      <c r="BF17" s="20" t="n">
        <v>45673.125</v>
      </c>
      <c r="BG17" s="20" t="n">
        <v>45673.54166666666</v>
      </c>
      <c r="BH17" s="20" t="n">
        <v>45673.625</v>
      </c>
    </row>
    <row r="18">
      <c r="A18" s="5">
        <f>A17+1</f>
        <v/>
      </c>
      <c r="B18" s="3">
        <f>-SUMIFS(df_extrato_zig!G:G,df_extrato_zig!E:E,Conciliacao!A18,df_extrato_zig!D:D,"Saque")-SUMIFS(df_extrato_zig!G:G,df_extrato_zig!E:E,Conciliacao!A18,df_extrato_zig!D:D,"Antecipação")</f>
        <v/>
      </c>
      <c r="C18" s="3">
        <f>SUMIFS(df_extrato_zig!E:E,df_extrato_zig!L:L,Conciliacao!A18,df_extrato_zig!F:F,"DINHEIRO")</f>
        <v/>
      </c>
      <c r="D18" s="3">
        <f>SUMIFS(view_parc_agrup!H:H,view_parc_agrup!G:G,Conciliacao!A18)</f>
        <v/>
      </c>
      <c r="E18" s="3">
        <f>SUMIFS(df_eventos!F:F,df_eventos!H:H,Conciliacao!A18)</f>
        <v/>
      </c>
      <c r="F18" s="3">
        <f>SUMIFS(df_mutuos!M:M,df_mutuos!B:B,Conciliacao!A18)</f>
        <v/>
      </c>
      <c r="G18" s="6">
        <f>SUMIFS(df_bloqueios_judiciais!G:G,df_bloqueios_judiciais!D:D,Conciliacao!A18,df_bloqueios_judiciais!G:G,"&gt;0")</f>
        <v/>
      </c>
      <c r="H18" s="7">
        <f>SUMIFS(df_extratos!I:I,df_extratos!F:F,Conciliacao!BE18,df_extratos!G:G,"CREDITO")+SUMIFS(df_extratos!I:I,df_extratos!F:F,Conciliacao!A18,df_extratos!G:G,"CREDITO")+SUMIFS(df_extratos!I:I,df_extratos!F:F,Conciliacao!BF18,df_extratos!G:G,"CREDITO")+SUMIFS(df_extratos!I:I,df_extratos!F:F,Conciliacao!BG18,df_extratos!G:G,"CREDITO")+SUMIFS(df_extratos!I:I,df_extratos!F:F,Conciliacao!BH18,df_extratos!G:G,"CREDITO")</f>
        <v/>
      </c>
      <c r="I18" s="9">
        <f>H18-SUM(B18:G18)</f>
        <v/>
      </c>
      <c r="J18" s="4">
        <f>SUMIFS(df_blueme_sem_parcelamento!E:E,df_blueme_sem_parcelamento!H:H,Conciliacao!A18)*(-1)</f>
        <v/>
      </c>
      <c r="K18" s="4">
        <f>SUMIFS(df_blueme_com_parcelamento!J:J,df_blueme_com_parcelamento!M:M,Conciliacao!A18)*(-1)</f>
        <v/>
      </c>
      <c r="L18" s="4">
        <f>SUMIFS(df_mutuos!N:N,df_mutuos!B:B,Conciliacao!A18)*(-1)</f>
        <v/>
      </c>
      <c r="M18" s="8">
        <f>SUMIFS(df_bloqueios_judiciais!E:E,df_bloqueios_judiciais!D:D,Conciliacao!A18,df_bloqueios_judiciais!E:E,"&lt;0")</f>
        <v/>
      </c>
      <c r="N18" s="10">
        <f>SUMIFS(df_extratos!I:I,df_extratos!F:F,Conciliacao!BE18,df_extratos!G:G,"DEBITO")+SUMIFS(df_extratos!I:I,df_extratos!F:F,Conciliacao!A18,df_extratos!G:G,"DEBITO")+SUMIFS(df_extratos!I:I,df_extratos!F:F,Conciliacao!BF18,df_extratos!G:G,"DEBITO")+SUMIFS(df_extratos!I:I,df_extratos!F:F,Conciliacao!BG18,df_extratos!G:G,"DEBITO")+SUMIFS(df_extratos!I:I,df_extratos!F:F,Conciliacao!BH18,df_extratos!G:G,"DEBITO")</f>
        <v/>
      </c>
      <c r="O18" s="11">
        <f>N18-SUM(J18:M18)</f>
        <v/>
      </c>
      <c r="P18" s="25">
        <f>SUMIFS(df_ajustes_conciliaco!D:D,df_ajustes_conciliaco!C:C,Conciliacao!A18)</f>
        <v/>
      </c>
      <c r="Q18" s="22">
        <f>O18+I18-P18</f>
        <v/>
      </c>
      <c r="BE18" s="20" t="n">
        <v>45674.5</v>
      </c>
      <c r="BF18" s="20" t="n">
        <v>45674.125</v>
      </c>
      <c r="BG18" s="20" t="n">
        <v>45674.54166666666</v>
      </c>
      <c r="BH18" s="20" t="n">
        <v>45674.625</v>
      </c>
    </row>
    <row r="19">
      <c r="A19" s="5">
        <f>A18+1</f>
        <v/>
      </c>
      <c r="B19" s="3">
        <f>-SUMIFS(df_extrato_zig!G:G,df_extrato_zig!E:E,Conciliacao!A19,df_extrato_zig!D:D,"Saque")-SUMIFS(df_extrato_zig!G:G,df_extrato_zig!E:E,Conciliacao!A19,df_extrato_zig!D:D,"Antecipação")</f>
        <v/>
      </c>
      <c r="C19" s="3">
        <f>SUMIFS(df_extrato_zig!E:E,df_extrato_zig!L:L,Conciliacao!A19,df_extrato_zig!F:F,"DINHEIRO")</f>
        <v/>
      </c>
      <c r="D19" s="3">
        <f>SUMIFS(view_parc_agrup!H:H,view_parc_agrup!G:G,Conciliacao!A19)</f>
        <v/>
      </c>
      <c r="E19" s="3">
        <f>SUMIFS(df_eventos!F:F,df_eventos!H:H,Conciliacao!A19)</f>
        <v/>
      </c>
      <c r="F19" s="3">
        <f>SUMIFS(df_mutuos!M:M,df_mutuos!B:B,Conciliacao!A19)</f>
        <v/>
      </c>
      <c r="G19" s="6">
        <f>SUMIFS(df_bloqueios_judiciais!G:G,df_bloqueios_judiciais!D:D,Conciliacao!A19,df_bloqueios_judiciais!G:G,"&gt;0")</f>
        <v/>
      </c>
      <c r="H19" s="7">
        <f>SUMIFS(df_extratos!I:I,df_extratos!F:F,Conciliacao!BE19,df_extratos!G:G,"CREDITO")+SUMIFS(df_extratos!I:I,df_extratos!F:F,Conciliacao!A19,df_extratos!G:G,"CREDITO")+SUMIFS(df_extratos!I:I,df_extratos!F:F,Conciliacao!BF19,df_extratos!G:G,"CREDITO")+SUMIFS(df_extratos!I:I,df_extratos!F:F,Conciliacao!BG19,df_extratos!G:G,"CREDITO")+SUMIFS(df_extratos!I:I,df_extratos!F:F,Conciliacao!BH19,df_extratos!G:G,"CREDITO")</f>
        <v/>
      </c>
      <c r="I19" s="9">
        <f>H19-SUM(B19:G19)</f>
        <v/>
      </c>
      <c r="J19" s="4">
        <f>SUMIFS(df_blueme_sem_parcelamento!E:E,df_blueme_sem_parcelamento!H:H,Conciliacao!A19)*(-1)</f>
        <v/>
      </c>
      <c r="K19" s="4">
        <f>SUMIFS(df_blueme_com_parcelamento!J:J,df_blueme_com_parcelamento!M:M,Conciliacao!A19)*(-1)</f>
        <v/>
      </c>
      <c r="L19" s="4">
        <f>SUMIFS(df_mutuos!N:N,df_mutuos!B:B,Conciliacao!A19)*(-1)</f>
        <v/>
      </c>
      <c r="M19" s="8">
        <f>SUMIFS(df_bloqueios_judiciais!E:E,df_bloqueios_judiciais!D:D,Conciliacao!A19,df_bloqueios_judiciais!E:E,"&lt;0")</f>
        <v/>
      </c>
      <c r="N19" s="10">
        <f>SUMIFS(df_extratos!I:I,df_extratos!F:F,Conciliacao!BE19,df_extratos!G:G,"DEBITO")+SUMIFS(df_extratos!I:I,df_extratos!F:F,Conciliacao!A19,df_extratos!G:G,"DEBITO")+SUMIFS(df_extratos!I:I,df_extratos!F:F,Conciliacao!BF19,df_extratos!G:G,"DEBITO")+SUMIFS(df_extratos!I:I,df_extratos!F:F,Conciliacao!BG19,df_extratos!G:G,"DEBITO")+SUMIFS(df_extratos!I:I,df_extratos!F:F,Conciliacao!BH19,df_extratos!G:G,"DEBITO")</f>
        <v/>
      </c>
      <c r="O19" s="11">
        <f>N19-SUM(J19:M19)</f>
        <v/>
      </c>
      <c r="P19" s="25">
        <f>SUMIFS(df_ajustes_conciliaco!D:D,df_ajustes_conciliaco!C:C,Conciliacao!A19)</f>
        <v/>
      </c>
      <c r="Q19" s="22">
        <f>O19+I19-P19</f>
        <v/>
      </c>
      <c r="BE19" s="20" t="n">
        <v>45675.5</v>
      </c>
      <c r="BF19" s="20" t="n">
        <v>45675.125</v>
      </c>
      <c r="BG19" s="20" t="n">
        <v>45675.54166666666</v>
      </c>
      <c r="BH19" s="20" t="n">
        <v>45675.625</v>
      </c>
    </row>
    <row r="20">
      <c r="A20" s="5">
        <f>A19+1</f>
        <v/>
      </c>
      <c r="B20" s="3">
        <f>-SUMIFS(df_extrato_zig!G:G,df_extrato_zig!E:E,Conciliacao!A20,df_extrato_zig!D:D,"Saque")-SUMIFS(df_extrato_zig!G:G,df_extrato_zig!E:E,Conciliacao!A20,df_extrato_zig!D:D,"Antecipação")</f>
        <v/>
      </c>
      <c r="C20" s="3">
        <f>SUMIFS(df_extrato_zig!E:E,df_extrato_zig!L:L,Conciliacao!A20,df_extrato_zig!F:F,"DINHEIRO")</f>
        <v/>
      </c>
      <c r="D20" s="3">
        <f>SUMIFS(view_parc_agrup!H:H,view_parc_agrup!G:G,Conciliacao!A20)</f>
        <v/>
      </c>
      <c r="E20" s="3">
        <f>SUMIFS(df_eventos!F:F,df_eventos!H:H,Conciliacao!A20)</f>
        <v/>
      </c>
      <c r="F20" s="3">
        <f>SUMIFS(df_mutuos!M:M,df_mutuos!B:B,Conciliacao!A20)</f>
        <v/>
      </c>
      <c r="G20" s="6">
        <f>SUMIFS(df_bloqueios_judiciais!G:G,df_bloqueios_judiciais!D:D,Conciliacao!A20,df_bloqueios_judiciais!G:G,"&gt;0")</f>
        <v/>
      </c>
      <c r="H20" s="7">
        <f>SUMIFS(df_extratos!I:I,df_extratos!F:F,Conciliacao!BE20,df_extratos!G:G,"CREDITO")+SUMIFS(df_extratos!I:I,df_extratos!F:F,Conciliacao!A20,df_extratos!G:G,"CREDITO")+SUMIFS(df_extratos!I:I,df_extratos!F:F,Conciliacao!BF20,df_extratos!G:G,"CREDITO")+SUMIFS(df_extratos!I:I,df_extratos!F:F,Conciliacao!BG20,df_extratos!G:G,"CREDITO")+SUMIFS(df_extratos!I:I,df_extratos!F:F,Conciliacao!BH20,df_extratos!G:G,"CREDITO")</f>
        <v/>
      </c>
      <c r="I20" s="9">
        <f>H20-SUM(B20:G20)</f>
        <v/>
      </c>
      <c r="J20" s="4">
        <f>SUMIFS(df_blueme_sem_parcelamento!E:E,df_blueme_sem_parcelamento!H:H,Conciliacao!A20)*(-1)</f>
        <v/>
      </c>
      <c r="K20" s="4">
        <f>SUMIFS(df_blueme_com_parcelamento!J:J,df_blueme_com_parcelamento!M:M,Conciliacao!A20)*(-1)</f>
        <v/>
      </c>
      <c r="L20" s="4">
        <f>SUMIFS(df_mutuos!N:N,df_mutuos!B:B,Conciliacao!A20)*(-1)</f>
        <v/>
      </c>
      <c r="M20" s="8">
        <f>SUMIFS(df_bloqueios_judiciais!E:E,df_bloqueios_judiciais!D:D,Conciliacao!A20,df_bloqueios_judiciais!E:E,"&lt;0")</f>
        <v/>
      </c>
      <c r="N20" s="10">
        <f>SUMIFS(df_extratos!I:I,df_extratos!F:F,Conciliacao!BE20,df_extratos!G:G,"DEBITO")+SUMIFS(df_extratos!I:I,df_extratos!F:F,Conciliacao!A20,df_extratos!G:G,"DEBITO")+SUMIFS(df_extratos!I:I,df_extratos!F:F,Conciliacao!BF20,df_extratos!G:G,"DEBITO")+SUMIFS(df_extratos!I:I,df_extratos!F:F,Conciliacao!BG20,df_extratos!G:G,"DEBITO")+SUMIFS(df_extratos!I:I,df_extratos!F:F,Conciliacao!BH20,df_extratos!G:G,"DEBITO")</f>
        <v/>
      </c>
      <c r="O20" s="11">
        <f>N20-SUM(J20:M20)</f>
        <v/>
      </c>
      <c r="P20" s="25">
        <f>SUMIFS(df_ajustes_conciliaco!D:D,df_ajustes_conciliaco!C:C,Conciliacao!A20)</f>
        <v/>
      </c>
      <c r="Q20" s="22">
        <f>O20+I20-P20</f>
        <v/>
      </c>
      <c r="BE20" s="20" t="n">
        <v>45676.5</v>
      </c>
      <c r="BF20" s="20" t="n">
        <v>45676.125</v>
      </c>
      <c r="BG20" s="20" t="n">
        <v>45676.54166666666</v>
      </c>
      <c r="BH20" s="20" t="n">
        <v>45676.625</v>
      </c>
    </row>
    <row r="21">
      <c r="A21" s="5">
        <f>A20+1</f>
        <v/>
      </c>
      <c r="B21" s="3">
        <f>-SUMIFS(df_extrato_zig!G:G,df_extrato_zig!E:E,Conciliacao!A21,df_extrato_zig!D:D,"Saque")-SUMIFS(df_extrato_zig!G:G,df_extrato_zig!E:E,Conciliacao!A21,df_extrato_zig!D:D,"Antecipação")</f>
        <v/>
      </c>
      <c r="C21" s="3">
        <f>SUMIFS(df_extrato_zig!E:E,df_extrato_zig!L:L,Conciliacao!A21,df_extrato_zig!F:F,"DINHEIRO")</f>
        <v/>
      </c>
      <c r="D21" s="3">
        <f>SUMIFS(view_parc_agrup!H:H,view_parc_agrup!G:G,Conciliacao!A21)</f>
        <v/>
      </c>
      <c r="E21" s="3">
        <f>SUMIFS(df_eventos!F:F,df_eventos!H:H,Conciliacao!A21)</f>
        <v/>
      </c>
      <c r="F21" s="3">
        <f>SUMIFS(df_mutuos!M:M,df_mutuos!B:B,Conciliacao!A21)</f>
        <v/>
      </c>
      <c r="G21" s="6">
        <f>SUMIFS(df_bloqueios_judiciais!G:G,df_bloqueios_judiciais!D:D,Conciliacao!A21,df_bloqueios_judiciais!G:G,"&gt;0")</f>
        <v/>
      </c>
      <c r="H21" s="7">
        <f>SUMIFS(df_extratos!I:I,df_extratos!F:F,Conciliacao!BE21,df_extratos!G:G,"CREDITO")+SUMIFS(df_extratos!I:I,df_extratos!F:F,Conciliacao!A21,df_extratos!G:G,"CREDITO")+SUMIFS(df_extratos!I:I,df_extratos!F:F,Conciliacao!BF21,df_extratos!G:G,"CREDITO")+SUMIFS(df_extratos!I:I,df_extratos!F:F,Conciliacao!BG21,df_extratos!G:G,"CREDITO")+SUMIFS(df_extratos!I:I,df_extratos!F:F,Conciliacao!BH21,df_extratos!G:G,"CREDITO")</f>
        <v/>
      </c>
      <c r="I21" s="9">
        <f>H21-SUM(B21:G21)</f>
        <v/>
      </c>
      <c r="J21" s="4">
        <f>SUMIFS(df_blueme_sem_parcelamento!E:E,df_blueme_sem_parcelamento!H:H,Conciliacao!A21)*(-1)</f>
        <v/>
      </c>
      <c r="K21" s="4">
        <f>SUMIFS(df_blueme_com_parcelamento!J:J,df_blueme_com_parcelamento!M:M,Conciliacao!A21)*(-1)</f>
        <v/>
      </c>
      <c r="L21" s="4">
        <f>SUMIFS(df_mutuos!N:N,df_mutuos!B:B,Conciliacao!A21)*(-1)</f>
        <v/>
      </c>
      <c r="M21" s="8">
        <f>SUMIFS(df_bloqueios_judiciais!E:E,df_bloqueios_judiciais!D:D,Conciliacao!A21,df_bloqueios_judiciais!E:E,"&lt;0")</f>
        <v/>
      </c>
      <c r="N21" s="10">
        <f>SUMIFS(df_extratos!I:I,df_extratos!F:F,Conciliacao!BE21,df_extratos!G:G,"DEBITO")+SUMIFS(df_extratos!I:I,df_extratos!F:F,Conciliacao!A21,df_extratos!G:G,"DEBITO")+SUMIFS(df_extratos!I:I,df_extratos!F:F,Conciliacao!BF21,df_extratos!G:G,"DEBITO")+SUMIFS(df_extratos!I:I,df_extratos!F:F,Conciliacao!BG21,df_extratos!G:G,"DEBITO")+SUMIFS(df_extratos!I:I,df_extratos!F:F,Conciliacao!BH21,df_extratos!G:G,"DEBITO")</f>
        <v/>
      </c>
      <c r="O21" s="11">
        <f>N21-SUM(J21:M21)</f>
        <v/>
      </c>
      <c r="P21" s="25">
        <f>SUMIFS(df_ajustes_conciliaco!D:D,df_ajustes_conciliaco!C:C,Conciliacao!A21)</f>
        <v/>
      </c>
      <c r="Q21" s="22">
        <f>O21+I21-P21</f>
        <v/>
      </c>
      <c r="BE21" s="20" t="n">
        <v>45677.5</v>
      </c>
      <c r="BF21" s="20" t="n">
        <v>45677.125</v>
      </c>
      <c r="BG21" s="20" t="n">
        <v>45677.54166666666</v>
      </c>
      <c r="BH21" s="20" t="n">
        <v>45677.625</v>
      </c>
    </row>
    <row r="22">
      <c r="A22" s="5">
        <f>A21+1</f>
        <v/>
      </c>
      <c r="B22" s="3">
        <f>-SUMIFS(df_extrato_zig!G:G,df_extrato_zig!E:E,Conciliacao!A22,df_extrato_zig!D:D,"Saque")-SUMIFS(df_extrato_zig!G:G,df_extrato_zig!E:E,Conciliacao!A22,df_extrato_zig!D:D,"Antecipação")</f>
        <v/>
      </c>
      <c r="C22" s="3">
        <f>SUMIFS(df_extrato_zig!E:E,df_extrato_zig!L:L,Conciliacao!A22,df_extrato_zig!F:F,"DINHEIRO")</f>
        <v/>
      </c>
      <c r="D22" s="3">
        <f>SUMIFS(view_parc_agrup!H:H,view_parc_agrup!G:G,Conciliacao!A22)</f>
        <v/>
      </c>
      <c r="E22" s="3">
        <f>SUMIFS(df_eventos!F:F,df_eventos!H:H,Conciliacao!A22)</f>
        <v/>
      </c>
      <c r="F22" s="3">
        <f>SUMIFS(df_mutuos!M:M,df_mutuos!B:B,Conciliacao!A22)</f>
        <v/>
      </c>
      <c r="G22" s="6">
        <f>SUMIFS(df_bloqueios_judiciais!G:G,df_bloqueios_judiciais!D:D,Conciliacao!A22,df_bloqueios_judiciais!G:G,"&gt;0")</f>
        <v/>
      </c>
      <c r="H22" s="7">
        <f>SUMIFS(df_extratos!I:I,df_extratos!F:F,Conciliacao!BE22,df_extratos!G:G,"CREDITO")+SUMIFS(df_extratos!I:I,df_extratos!F:F,Conciliacao!A22,df_extratos!G:G,"CREDITO")+SUMIFS(df_extratos!I:I,df_extratos!F:F,Conciliacao!BF22,df_extratos!G:G,"CREDITO")+SUMIFS(df_extratos!I:I,df_extratos!F:F,Conciliacao!BG22,df_extratos!G:G,"CREDITO")+SUMIFS(df_extratos!I:I,df_extratos!F:F,Conciliacao!BH22,df_extratos!G:G,"CREDITO")</f>
        <v/>
      </c>
      <c r="I22" s="9">
        <f>H22-SUM(B22:G22)</f>
        <v/>
      </c>
      <c r="J22" s="4">
        <f>SUMIFS(df_blueme_sem_parcelamento!E:E,df_blueme_sem_parcelamento!H:H,Conciliacao!A22)*(-1)</f>
        <v/>
      </c>
      <c r="K22" s="4">
        <f>SUMIFS(df_blueme_com_parcelamento!J:J,df_blueme_com_parcelamento!M:M,Conciliacao!A22)*(-1)</f>
        <v/>
      </c>
      <c r="L22" s="4">
        <f>SUMIFS(df_mutuos!N:N,df_mutuos!B:B,Conciliacao!A22)*(-1)</f>
        <v/>
      </c>
      <c r="M22" s="8">
        <f>SUMIFS(df_bloqueios_judiciais!E:E,df_bloqueios_judiciais!D:D,Conciliacao!A22,df_bloqueios_judiciais!E:E,"&lt;0")</f>
        <v/>
      </c>
      <c r="N22" s="10">
        <f>SUMIFS(df_extratos!I:I,df_extratos!F:F,Conciliacao!BE22,df_extratos!G:G,"DEBITO")+SUMIFS(df_extratos!I:I,df_extratos!F:F,Conciliacao!A22,df_extratos!G:G,"DEBITO")+SUMIFS(df_extratos!I:I,df_extratos!F:F,Conciliacao!BF22,df_extratos!G:G,"DEBITO")+SUMIFS(df_extratos!I:I,df_extratos!F:F,Conciliacao!BG22,df_extratos!G:G,"DEBITO")+SUMIFS(df_extratos!I:I,df_extratos!F:F,Conciliacao!BH22,df_extratos!G:G,"DEBITO")</f>
        <v/>
      </c>
      <c r="O22" s="11">
        <f>N22-SUM(J22:M22)</f>
        <v/>
      </c>
      <c r="P22" s="25">
        <f>SUMIFS(df_ajustes_conciliaco!D:D,df_ajustes_conciliaco!C:C,Conciliacao!A22)</f>
        <v/>
      </c>
      <c r="Q22" s="22">
        <f>O22+I22-P22</f>
        <v/>
      </c>
      <c r="BE22" s="20" t="n">
        <v>45678.5</v>
      </c>
      <c r="BF22" s="20" t="n">
        <v>45678.125</v>
      </c>
      <c r="BG22" s="20" t="n">
        <v>45678.54166666666</v>
      </c>
      <c r="BH22" s="20" t="n">
        <v>45678.625</v>
      </c>
    </row>
    <row r="23">
      <c r="A23" s="5">
        <f>A22+1</f>
        <v/>
      </c>
      <c r="B23" s="3">
        <f>-SUMIFS(df_extrato_zig!G:G,df_extrato_zig!E:E,Conciliacao!A23,df_extrato_zig!D:D,"Saque")-SUMIFS(df_extrato_zig!G:G,df_extrato_zig!E:E,Conciliacao!A23,df_extrato_zig!D:D,"Antecipação")</f>
        <v/>
      </c>
      <c r="C23" s="3">
        <f>SUMIFS(df_extrato_zig!E:E,df_extrato_zig!L:L,Conciliacao!A23,df_extrato_zig!F:F,"DINHEIRO")</f>
        <v/>
      </c>
      <c r="D23" s="3">
        <f>SUMIFS(view_parc_agrup!H:H,view_parc_agrup!G:G,Conciliacao!A23)</f>
        <v/>
      </c>
      <c r="E23" s="3">
        <f>SUMIFS(df_eventos!F:F,df_eventos!H:H,Conciliacao!A23)</f>
        <v/>
      </c>
      <c r="F23" s="3">
        <f>SUMIFS(df_mutuos!M:M,df_mutuos!B:B,Conciliacao!A23)</f>
        <v/>
      </c>
      <c r="G23" s="6">
        <f>SUMIFS(df_bloqueios_judiciais!G:G,df_bloqueios_judiciais!D:D,Conciliacao!A23,df_bloqueios_judiciais!G:G,"&gt;0")</f>
        <v/>
      </c>
      <c r="H23" s="7">
        <f>SUMIFS(df_extratos!I:I,df_extratos!F:F,Conciliacao!BE23,df_extratos!G:G,"CREDITO")+SUMIFS(df_extratos!I:I,df_extratos!F:F,Conciliacao!A23,df_extratos!G:G,"CREDITO")+SUMIFS(df_extratos!I:I,df_extratos!F:F,Conciliacao!BF23,df_extratos!G:G,"CREDITO")+SUMIFS(df_extratos!I:I,df_extratos!F:F,Conciliacao!BG23,df_extratos!G:G,"CREDITO")+SUMIFS(df_extratos!I:I,df_extratos!F:F,Conciliacao!BH23,df_extratos!G:G,"CREDITO")</f>
        <v/>
      </c>
      <c r="I23" s="9">
        <f>H23-SUM(B23:G23)</f>
        <v/>
      </c>
      <c r="J23" s="4">
        <f>SUMIFS(df_blueme_sem_parcelamento!E:E,df_blueme_sem_parcelamento!H:H,Conciliacao!A23)*(-1)</f>
        <v/>
      </c>
      <c r="K23" s="4">
        <f>SUMIFS(df_blueme_com_parcelamento!J:J,df_blueme_com_parcelamento!M:M,Conciliacao!A23)*(-1)</f>
        <v/>
      </c>
      <c r="L23" s="4">
        <f>SUMIFS(df_mutuos!N:N,df_mutuos!B:B,Conciliacao!A23)*(-1)</f>
        <v/>
      </c>
      <c r="M23" s="8">
        <f>SUMIFS(df_bloqueios_judiciais!E:E,df_bloqueios_judiciais!D:D,Conciliacao!A23,df_bloqueios_judiciais!E:E,"&lt;0")</f>
        <v/>
      </c>
      <c r="N23" s="10">
        <f>SUMIFS(df_extratos!I:I,df_extratos!F:F,Conciliacao!BE23,df_extratos!G:G,"DEBITO")+SUMIFS(df_extratos!I:I,df_extratos!F:F,Conciliacao!A23,df_extratos!G:G,"DEBITO")+SUMIFS(df_extratos!I:I,df_extratos!F:F,Conciliacao!BF23,df_extratos!G:G,"DEBITO")+SUMIFS(df_extratos!I:I,df_extratos!F:F,Conciliacao!BG23,df_extratos!G:G,"DEBITO")+SUMIFS(df_extratos!I:I,df_extratos!F:F,Conciliacao!BH23,df_extratos!G:G,"DEBITO")</f>
        <v/>
      </c>
      <c r="O23" s="11">
        <f>N23-SUM(J23:M23)</f>
        <v/>
      </c>
      <c r="P23" s="25">
        <f>SUMIFS(df_ajustes_conciliaco!D:D,df_ajustes_conciliaco!C:C,Conciliacao!A23)</f>
        <v/>
      </c>
      <c r="Q23" s="22">
        <f>O23+I23-P23</f>
        <v/>
      </c>
      <c r="BE23" s="20" t="n">
        <v>45679.5</v>
      </c>
      <c r="BF23" s="20" t="n">
        <v>45679.125</v>
      </c>
      <c r="BG23" s="20" t="n">
        <v>45679.54166666666</v>
      </c>
      <c r="BH23" s="20" t="n">
        <v>45679.625</v>
      </c>
    </row>
    <row r="24">
      <c r="A24" s="5">
        <f>A23+1</f>
        <v/>
      </c>
      <c r="B24" s="3">
        <f>-SUMIFS(df_extrato_zig!G:G,df_extrato_zig!E:E,Conciliacao!A24,df_extrato_zig!D:D,"Saque")-SUMIFS(df_extrato_zig!G:G,df_extrato_zig!E:E,Conciliacao!A24,df_extrato_zig!D:D,"Antecipação")</f>
        <v/>
      </c>
      <c r="C24" s="3">
        <f>SUMIFS(df_extrato_zig!E:E,df_extrato_zig!L:L,Conciliacao!A24,df_extrato_zig!F:F,"DINHEIRO")</f>
        <v/>
      </c>
      <c r="D24" s="3">
        <f>SUMIFS(view_parc_agrup!H:H,view_parc_agrup!G:G,Conciliacao!A24)</f>
        <v/>
      </c>
      <c r="E24" s="3">
        <f>SUMIFS(df_eventos!F:F,df_eventos!H:H,Conciliacao!A24)</f>
        <v/>
      </c>
      <c r="F24" s="3">
        <f>SUMIFS(df_mutuos!M:M,df_mutuos!B:B,Conciliacao!A24)</f>
        <v/>
      </c>
      <c r="G24" s="6">
        <f>SUMIFS(df_bloqueios_judiciais!G:G,df_bloqueios_judiciais!D:D,Conciliacao!A24,df_bloqueios_judiciais!G:G,"&gt;0")</f>
        <v/>
      </c>
      <c r="H24" s="7">
        <f>SUMIFS(df_extratos!I:I,df_extratos!F:F,Conciliacao!BE24,df_extratos!G:G,"CREDITO")+SUMIFS(df_extratos!I:I,df_extratos!F:F,Conciliacao!A24,df_extratos!G:G,"CREDITO")+SUMIFS(df_extratos!I:I,df_extratos!F:F,Conciliacao!BF24,df_extratos!G:G,"CREDITO")+SUMIFS(df_extratos!I:I,df_extratos!F:F,Conciliacao!BG24,df_extratos!G:G,"CREDITO")+SUMIFS(df_extratos!I:I,df_extratos!F:F,Conciliacao!BH24,df_extratos!G:G,"CREDITO")</f>
        <v/>
      </c>
      <c r="I24" s="9">
        <f>H24-SUM(B24:G24)</f>
        <v/>
      </c>
      <c r="J24" s="4">
        <f>SUMIFS(df_blueme_sem_parcelamento!E:E,df_blueme_sem_parcelamento!H:H,Conciliacao!A24)*(-1)</f>
        <v/>
      </c>
      <c r="K24" s="4">
        <f>SUMIFS(df_blueme_com_parcelamento!J:J,df_blueme_com_parcelamento!M:M,Conciliacao!A24)*(-1)</f>
        <v/>
      </c>
      <c r="L24" s="4">
        <f>SUMIFS(df_mutuos!N:N,df_mutuos!B:B,Conciliacao!A24)*(-1)</f>
        <v/>
      </c>
      <c r="M24" s="8">
        <f>SUMIFS(df_bloqueios_judiciais!E:E,df_bloqueios_judiciais!D:D,Conciliacao!A24,df_bloqueios_judiciais!E:E,"&lt;0")</f>
        <v/>
      </c>
      <c r="N24" s="10">
        <f>SUMIFS(df_extratos!I:I,df_extratos!F:F,Conciliacao!BE24,df_extratos!G:G,"DEBITO")+SUMIFS(df_extratos!I:I,df_extratos!F:F,Conciliacao!A24,df_extratos!G:G,"DEBITO")+SUMIFS(df_extratos!I:I,df_extratos!F:F,Conciliacao!BF24,df_extratos!G:G,"DEBITO")+SUMIFS(df_extratos!I:I,df_extratos!F:F,Conciliacao!BG24,df_extratos!G:G,"DEBITO")+SUMIFS(df_extratos!I:I,df_extratos!F:F,Conciliacao!BH24,df_extratos!G:G,"DEBITO")</f>
        <v/>
      </c>
      <c r="O24" s="11">
        <f>N24-SUM(J24:M24)</f>
        <v/>
      </c>
      <c r="P24" s="25">
        <f>SUMIFS(df_ajustes_conciliaco!D:D,df_ajustes_conciliaco!C:C,Conciliacao!A24)</f>
        <v/>
      </c>
      <c r="Q24" s="22">
        <f>O24+I24-P24</f>
        <v/>
      </c>
      <c r="BE24" s="20" t="n">
        <v>45680.5</v>
      </c>
      <c r="BF24" s="20" t="n">
        <v>45680.125</v>
      </c>
      <c r="BG24" s="20" t="n">
        <v>45680.54166666666</v>
      </c>
      <c r="BH24" s="20" t="n">
        <v>45680.625</v>
      </c>
    </row>
    <row r="25">
      <c r="A25" s="5">
        <f>A24+1</f>
        <v/>
      </c>
      <c r="B25" s="3">
        <f>-SUMIFS(df_extrato_zig!G:G,df_extrato_zig!E:E,Conciliacao!A25,df_extrato_zig!D:D,"Saque")-SUMIFS(df_extrato_zig!G:G,df_extrato_zig!E:E,Conciliacao!A25,df_extrato_zig!D:D,"Antecipação")</f>
        <v/>
      </c>
      <c r="C25" s="3">
        <f>SUMIFS(df_extrato_zig!E:E,df_extrato_zig!L:L,Conciliacao!A25,df_extrato_zig!F:F,"DINHEIRO")</f>
        <v/>
      </c>
      <c r="D25" s="3">
        <f>SUMIFS(view_parc_agrup!H:H,view_parc_agrup!G:G,Conciliacao!A25)</f>
        <v/>
      </c>
      <c r="E25" s="3">
        <f>SUMIFS(df_eventos!F:F,df_eventos!H:H,Conciliacao!A25)</f>
        <v/>
      </c>
      <c r="F25" s="3">
        <f>SUMIFS(df_mutuos!M:M,df_mutuos!B:B,Conciliacao!A25)</f>
        <v/>
      </c>
      <c r="G25" s="6">
        <f>SUMIFS(df_bloqueios_judiciais!G:G,df_bloqueios_judiciais!D:D,Conciliacao!A25,df_bloqueios_judiciais!G:G,"&gt;0")</f>
        <v/>
      </c>
      <c r="H25" s="7">
        <f>SUMIFS(df_extratos!I:I,df_extratos!F:F,Conciliacao!BE25,df_extratos!G:G,"CREDITO")+SUMIFS(df_extratos!I:I,df_extratos!F:F,Conciliacao!A25,df_extratos!G:G,"CREDITO")+SUMIFS(df_extratos!I:I,df_extratos!F:F,Conciliacao!BF25,df_extratos!G:G,"CREDITO")+SUMIFS(df_extratos!I:I,df_extratos!F:F,Conciliacao!BG25,df_extratos!G:G,"CREDITO")+SUMIFS(df_extratos!I:I,df_extratos!F:F,Conciliacao!BH25,df_extratos!G:G,"CREDITO")</f>
        <v/>
      </c>
      <c r="I25" s="9">
        <f>H25-SUM(B25:G25)</f>
        <v/>
      </c>
      <c r="J25" s="4">
        <f>SUMIFS(df_blueme_sem_parcelamento!E:E,df_blueme_sem_parcelamento!H:H,Conciliacao!A25)*(-1)</f>
        <v/>
      </c>
      <c r="K25" s="4">
        <f>SUMIFS(df_blueme_com_parcelamento!J:J,df_blueme_com_parcelamento!M:M,Conciliacao!A25)*(-1)</f>
        <v/>
      </c>
      <c r="L25" s="4">
        <f>SUMIFS(df_mutuos!N:N,df_mutuos!B:B,Conciliacao!A25)*(-1)</f>
        <v/>
      </c>
      <c r="M25" s="8">
        <f>SUMIFS(df_bloqueios_judiciais!E:E,df_bloqueios_judiciais!D:D,Conciliacao!A25,df_bloqueios_judiciais!E:E,"&lt;0")</f>
        <v/>
      </c>
      <c r="N25" s="10">
        <f>SUMIFS(df_extratos!I:I,df_extratos!F:F,Conciliacao!BE25,df_extratos!G:G,"DEBITO")+SUMIFS(df_extratos!I:I,df_extratos!F:F,Conciliacao!A25,df_extratos!G:G,"DEBITO")+SUMIFS(df_extratos!I:I,df_extratos!F:F,Conciliacao!BF25,df_extratos!G:G,"DEBITO")+SUMIFS(df_extratos!I:I,df_extratos!F:F,Conciliacao!BG25,df_extratos!G:G,"DEBITO")+SUMIFS(df_extratos!I:I,df_extratos!F:F,Conciliacao!BH25,df_extratos!G:G,"DEBITO")</f>
        <v/>
      </c>
      <c r="O25" s="11">
        <f>N25-SUM(J25:M25)</f>
        <v/>
      </c>
      <c r="P25" s="25">
        <f>SUMIFS(df_ajustes_conciliaco!D:D,df_ajustes_conciliaco!C:C,Conciliacao!A25)</f>
        <v/>
      </c>
      <c r="Q25" s="22">
        <f>O25+I25-P25</f>
        <v/>
      </c>
      <c r="BE25" s="20" t="n">
        <v>45681.5</v>
      </c>
      <c r="BF25" s="20" t="n">
        <v>45681.125</v>
      </c>
      <c r="BG25" s="20" t="n">
        <v>45681.54166666666</v>
      </c>
      <c r="BH25" s="20" t="n">
        <v>45681.625</v>
      </c>
    </row>
    <row r="26">
      <c r="A26" s="5">
        <f>A25+1</f>
        <v/>
      </c>
      <c r="B26" s="3">
        <f>-SUMIFS(df_extrato_zig!G:G,df_extrato_zig!E:E,Conciliacao!A26,df_extrato_zig!D:D,"Saque")-SUMIFS(df_extrato_zig!G:G,df_extrato_zig!E:E,Conciliacao!A26,df_extrato_zig!D:D,"Antecipação")</f>
        <v/>
      </c>
      <c r="C26" s="3">
        <f>SUMIFS(df_extrato_zig!E:E,df_extrato_zig!L:L,Conciliacao!A26,df_extrato_zig!F:F,"DINHEIRO")</f>
        <v/>
      </c>
      <c r="D26" s="3">
        <f>SUMIFS(view_parc_agrup!H:H,view_parc_agrup!G:G,Conciliacao!A26)</f>
        <v/>
      </c>
      <c r="E26" s="3">
        <f>SUMIFS(df_eventos!F:F,df_eventos!H:H,Conciliacao!A26)</f>
        <v/>
      </c>
      <c r="F26" s="3">
        <f>SUMIFS(df_mutuos!M:M,df_mutuos!B:B,Conciliacao!A26)</f>
        <v/>
      </c>
      <c r="G26" s="6">
        <f>SUMIFS(df_bloqueios_judiciais!G:G,df_bloqueios_judiciais!D:D,Conciliacao!A26,df_bloqueios_judiciais!G:G,"&gt;0")</f>
        <v/>
      </c>
      <c r="H26" s="7">
        <f>SUMIFS(df_extratos!I:I,df_extratos!F:F,Conciliacao!BE26,df_extratos!G:G,"CREDITO")+SUMIFS(df_extratos!I:I,df_extratos!F:F,Conciliacao!A26,df_extratos!G:G,"CREDITO")+SUMIFS(df_extratos!I:I,df_extratos!F:F,Conciliacao!BF26,df_extratos!G:G,"CREDITO")+SUMIFS(df_extratos!I:I,df_extratos!F:F,Conciliacao!BG26,df_extratos!G:G,"CREDITO")+SUMIFS(df_extratos!I:I,df_extratos!F:F,Conciliacao!BH26,df_extratos!G:G,"CREDITO")</f>
        <v/>
      </c>
      <c r="I26" s="9">
        <f>H26-SUM(B26:G26)</f>
        <v/>
      </c>
      <c r="J26" s="4">
        <f>SUMIFS(df_blueme_sem_parcelamento!E:E,df_blueme_sem_parcelamento!H:H,Conciliacao!A26)*(-1)</f>
        <v/>
      </c>
      <c r="K26" s="4">
        <f>SUMIFS(df_blueme_com_parcelamento!J:J,df_blueme_com_parcelamento!M:M,Conciliacao!A26)*(-1)</f>
        <v/>
      </c>
      <c r="L26" s="4">
        <f>SUMIFS(df_mutuos!N:N,df_mutuos!B:B,Conciliacao!A26)*(-1)</f>
        <v/>
      </c>
      <c r="M26" s="8">
        <f>SUMIFS(df_bloqueios_judiciais!E:E,df_bloqueios_judiciais!D:D,Conciliacao!A26,df_bloqueios_judiciais!E:E,"&lt;0")</f>
        <v/>
      </c>
      <c r="N26" s="10">
        <f>SUMIFS(df_extratos!I:I,df_extratos!F:F,Conciliacao!BE26,df_extratos!G:G,"DEBITO")+SUMIFS(df_extratos!I:I,df_extratos!F:F,Conciliacao!A26,df_extratos!G:G,"DEBITO")+SUMIFS(df_extratos!I:I,df_extratos!F:F,Conciliacao!BF26,df_extratos!G:G,"DEBITO")+SUMIFS(df_extratos!I:I,df_extratos!F:F,Conciliacao!BG26,df_extratos!G:G,"DEBITO")+SUMIFS(df_extratos!I:I,df_extratos!F:F,Conciliacao!BH26,df_extratos!G:G,"DEBITO")</f>
        <v/>
      </c>
      <c r="O26" s="11">
        <f>N26-SUM(J26:M26)</f>
        <v/>
      </c>
      <c r="P26" s="25">
        <f>SUMIFS(df_ajustes_conciliaco!D:D,df_ajustes_conciliaco!C:C,Conciliacao!A26)</f>
        <v/>
      </c>
      <c r="Q26" s="22">
        <f>O26+I26-P26</f>
        <v/>
      </c>
      <c r="BE26" s="20" t="n">
        <v>45682.5</v>
      </c>
      <c r="BF26" s="20" t="n">
        <v>45682.125</v>
      </c>
      <c r="BG26" s="20" t="n">
        <v>45682.54166666666</v>
      </c>
      <c r="BH26" s="20" t="n">
        <v>45682.625</v>
      </c>
    </row>
    <row r="27">
      <c r="A27" s="5">
        <f>A26+1</f>
        <v/>
      </c>
      <c r="B27" s="3">
        <f>-SUMIFS(df_extrato_zig!G:G,df_extrato_zig!E:E,Conciliacao!A27,df_extrato_zig!D:D,"Saque")-SUMIFS(df_extrato_zig!G:G,df_extrato_zig!E:E,Conciliacao!A27,df_extrato_zig!D:D,"Antecipação")</f>
        <v/>
      </c>
      <c r="C27" s="3">
        <f>SUMIFS(df_extrato_zig!E:E,df_extrato_zig!L:L,Conciliacao!A27,df_extrato_zig!F:F,"DINHEIRO")</f>
        <v/>
      </c>
      <c r="D27" s="3">
        <f>SUMIFS(view_parc_agrup!H:H,view_parc_agrup!G:G,Conciliacao!A27)</f>
        <v/>
      </c>
      <c r="E27" s="3">
        <f>SUMIFS(df_eventos!F:F,df_eventos!H:H,Conciliacao!A27)</f>
        <v/>
      </c>
      <c r="F27" s="3">
        <f>SUMIFS(df_mutuos!M:M,df_mutuos!B:B,Conciliacao!A27)</f>
        <v/>
      </c>
      <c r="G27" s="6">
        <f>SUMIFS(df_bloqueios_judiciais!G:G,df_bloqueios_judiciais!D:D,Conciliacao!A27,df_bloqueios_judiciais!G:G,"&gt;0")</f>
        <v/>
      </c>
      <c r="H27" s="7">
        <f>SUMIFS(df_extratos!I:I,df_extratos!F:F,Conciliacao!BE27,df_extratos!G:G,"CREDITO")+SUMIFS(df_extratos!I:I,df_extratos!F:F,Conciliacao!A27,df_extratos!G:G,"CREDITO")+SUMIFS(df_extratos!I:I,df_extratos!F:F,Conciliacao!BF27,df_extratos!G:G,"CREDITO")+SUMIFS(df_extratos!I:I,df_extratos!F:F,Conciliacao!BG27,df_extratos!G:G,"CREDITO")+SUMIFS(df_extratos!I:I,df_extratos!F:F,Conciliacao!BH27,df_extratos!G:G,"CREDITO")</f>
        <v/>
      </c>
      <c r="I27" s="9">
        <f>H27-SUM(B27:G27)</f>
        <v/>
      </c>
      <c r="J27" s="4">
        <f>SUMIFS(df_blueme_sem_parcelamento!E:E,df_blueme_sem_parcelamento!H:H,Conciliacao!A27)*(-1)</f>
        <v/>
      </c>
      <c r="K27" s="4">
        <f>SUMIFS(df_blueme_com_parcelamento!J:J,df_blueme_com_parcelamento!M:M,Conciliacao!A27)*(-1)</f>
        <v/>
      </c>
      <c r="L27" s="4">
        <f>SUMIFS(df_mutuos!N:N,df_mutuos!B:B,Conciliacao!A27)*(-1)</f>
        <v/>
      </c>
      <c r="M27" s="8">
        <f>SUMIFS(df_bloqueios_judiciais!E:E,df_bloqueios_judiciais!D:D,Conciliacao!A27,df_bloqueios_judiciais!E:E,"&lt;0")</f>
        <v/>
      </c>
      <c r="N27" s="10">
        <f>SUMIFS(df_extratos!I:I,df_extratos!F:F,Conciliacao!BE27,df_extratos!G:G,"DEBITO")+SUMIFS(df_extratos!I:I,df_extratos!F:F,Conciliacao!A27,df_extratos!G:G,"DEBITO")+SUMIFS(df_extratos!I:I,df_extratos!F:F,Conciliacao!BF27,df_extratos!G:G,"DEBITO")+SUMIFS(df_extratos!I:I,df_extratos!F:F,Conciliacao!BG27,df_extratos!G:G,"DEBITO")+SUMIFS(df_extratos!I:I,df_extratos!F:F,Conciliacao!BH27,df_extratos!G:G,"DEBITO")</f>
        <v/>
      </c>
      <c r="O27" s="11">
        <f>N27-SUM(J27:M27)</f>
        <v/>
      </c>
      <c r="P27" s="25">
        <f>SUMIFS(df_ajustes_conciliaco!D:D,df_ajustes_conciliaco!C:C,Conciliacao!A27)</f>
        <v/>
      </c>
      <c r="Q27" s="22">
        <f>O27+I27-P27</f>
        <v/>
      </c>
      <c r="BE27" s="20" t="n">
        <v>45683.5</v>
      </c>
      <c r="BF27" s="20" t="n">
        <v>45683.125</v>
      </c>
      <c r="BG27" s="20" t="n">
        <v>45683.54166666666</v>
      </c>
      <c r="BH27" s="20" t="n">
        <v>45683.625</v>
      </c>
    </row>
    <row r="28">
      <c r="A28" s="5">
        <f>A27+1</f>
        <v/>
      </c>
      <c r="B28" s="3">
        <f>-SUMIFS(df_extrato_zig!G:G,df_extrato_zig!E:E,Conciliacao!A28,df_extrato_zig!D:D,"Saque")-SUMIFS(df_extrato_zig!G:G,df_extrato_zig!E:E,Conciliacao!A28,df_extrato_zig!D:D,"Antecipação")</f>
        <v/>
      </c>
      <c r="C28" s="3">
        <f>SUMIFS(df_extrato_zig!E:E,df_extrato_zig!L:L,Conciliacao!A28,df_extrato_zig!F:F,"DINHEIRO")</f>
        <v/>
      </c>
      <c r="D28" s="3">
        <f>SUMIFS(view_parc_agrup!H:H,view_parc_agrup!G:G,Conciliacao!A28)</f>
        <v/>
      </c>
      <c r="E28" s="3">
        <f>SUMIFS(df_eventos!F:F,df_eventos!H:H,Conciliacao!A28)</f>
        <v/>
      </c>
      <c r="F28" s="3">
        <f>SUMIFS(df_mutuos!M:M,df_mutuos!B:B,Conciliacao!A28)</f>
        <v/>
      </c>
      <c r="G28" s="6">
        <f>SUMIFS(df_bloqueios_judiciais!G:G,df_bloqueios_judiciais!D:D,Conciliacao!A28,df_bloqueios_judiciais!G:G,"&gt;0")</f>
        <v/>
      </c>
      <c r="H28" s="7">
        <f>SUMIFS(df_extratos!I:I,df_extratos!F:F,Conciliacao!BE28,df_extratos!G:G,"CREDITO")+SUMIFS(df_extratos!I:I,df_extratos!F:F,Conciliacao!A28,df_extratos!G:G,"CREDITO")+SUMIFS(df_extratos!I:I,df_extratos!F:F,Conciliacao!BF28,df_extratos!G:G,"CREDITO")+SUMIFS(df_extratos!I:I,df_extratos!F:F,Conciliacao!BG28,df_extratos!G:G,"CREDITO")+SUMIFS(df_extratos!I:I,df_extratos!F:F,Conciliacao!BH28,df_extratos!G:G,"CREDITO")</f>
        <v/>
      </c>
      <c r="I28" s="9">
        <f>H28-SUM(B28:G28)</f>
        <v/>
      </c>
      <c r="J28" s="4">
        <f>SUMIFS(df_blueme_sem_parcelamento!E:E,df_blueme_sem_parcelamento!H:H,Conciliacao!A28)*(-1)</f>
        <v/>
      </c>
      <c r="K28" s="4">
        <f>SUMIFS(df_blueme_com_parcelamento!J:J,df_blueme_com_parcelamento!M:M,Conciliacao!A28)*(-1)</f>
        <v/>
      </c>
      <c r="L28" s="4">
        <f>SUMIFS(df_mutuos!N:N,df_mutuos!B:B,Conciliacao!A28)*(-1)</f>
        <v/>
      </c>
      <c r="M28" s="8">
        <f>SUMIFS(df_bloqueios_judiciais!E:E,df_bloqueios_judiciais!D:D,Conciliacao!A28,df_bloqueios_judiciais!E:E,"&lt;0")</f>
        <v/>
      </c>
      <c r="N28" s="10">
        <f>SUMIFS(df_extratos!I:I,df_extratos!F:F,Conciliacao!BE28,df_extratos!G:G,"DEBITO")+SUMIFS(df_extratos!I:I,df_extratos!F:F,Conciliacao!A28,df_extratos!G:G,"DEBITO")+SUMIFS(df_extratos!I:I,df_extratos!F:F,Conciliacao!BF28,df_extratos!G:G,"DEBITO")+SUMIFS(df_extratos!I:I,df_extratos!F:F,Conciliacao!BG28,df_extratos!G:G,"DEBITO")+SUMIFS(df_extratos!I:I,df_extratos!F:F,Conciliacao!BH28,df_extratos!G:G,"DEBITO")</f>
        <v/>
      </c>
      <c r="O28" s="11">
        <f>N28-SUM(J28:M28)</f>
        <v/>
      </c>
      <c r="P28" s="25">
        <f>SUMIFS(df_ajustes_conciliaco!D:D,df_ajustes_conciliaco!C:C,Conciliacao!A28)</f>
        <v/>
      </c>
      <c r="Q28" s="22">
        <f>O28+I28-P28</f>
        <v/>
      </c>
      <c r="BE28" s="20" t="n">
        <v>45684.5</v>
      </c>
      <c r="BF28" s="20" t="n">
        <v>45684.125</v>
      </c>
      <c r="BG28" s="20" t="n">
        <v>45684.54166666666</v>
      </c>
      <c r="BH28" s="20" t="n">
        <v>45684.625</v>
      </c>
    </row>
    <row r="29">
      <c r="A29" s="5">
        <f>A28+1</f>
        <v/>
      </c>
      <c r="B29" s="3">
        <f>-SUMIFS(df_extrato_zig!G:G,df_extrato_zig!E:E,Conciliacao!A29,df_extrato_zig!D:D,"Saque")-SUMIFS(df_extrato_zig!G:G,df_extrato_zig!E:E,Conciliacao!A29,df_extrato_zig!D:D,"Antecipação")</f>
        <v/>
      </c>
      <c r="C29" s="3">
        <f>SUMIFS(df_extrato_zig!E:E,df_extrato_zig!L:L,Conciliacao!A29,df_extrato_zig!F:F,"DINHEIRO")</f>
        <v/>
      </c>
      <c r="D29" s="3">
        <f>SUMIFS(view_parc_agrup!H:H,view_parc_agrup!G:G,Conciliacao!A29)</f>
        <v/>
      </c>
      <c r="E29" s="3">
        <f>SUMIFS(df_eventos!F:F,df_eventos!H:H,Conciliacao!A29)</f>
        <v/>
      </c>
      <c r="F29" s="3">
        <f>SUMIFS(df_mutuos!M:M,df_mutuos!B:B,Conciliacao!A29)</f>
        <v/>
      </c>
      <c r="G29" s="6">
        <f>SUMIFS(df_bloqueios_judiciais!G:G,df_bloqueios_judiciais!D:D,Conciliacao!A29,df_bloqueios_judiciais!G:G,"&gt;0")</f>
        <v/>
      </c>
      <c r="H29" s="7">
        <f>SUMIFS(df_extratos!I:I,df_extratos!F:F,Conciliacao!BE29,df_extratos!G:G,"CREDITO")+SUMIFS(df_extratos!I:I,df_extratos!F:F,Conciliacao!A29,df_extratos!G:G,"CREDITO")+SUMIFS(df_extratos!I:I,df_extratos!F:F,Conciliacao!BF29,df_extratos!G:G,"CREDITO")+SUMIFS(df_extratos!I:I,df_extratos!F:F,Conciliacao!BG29,df_extratos!G:G,"CREDITO")+SUMIFS(df_extratos!I:I,df_extratos!F:F,Conciliacao!BH29,df_extratos!G:G,"CREDITO")</f>
        <v/>
      </c>
      <c r="I29" s="9">
        <f>H29-SUM(B29:G29)</f>
        <v/>
      </c>
      <c r="J29" s="4">
        <f>SUMIFS(df_blueme_sem_parcelamento!E:E,df_blueme_sem_parcelamento!H:H,Conciliacao!A29)*(-1)</f>
        <v/>
      </c>
      <c r="K29" s="4">
        <f>SUMIFS(df_blueme_com_parcelamento!J:J,df_blueme_com_parcelamento!M:M,Conciliacao!A29)*(-1)</f>
        <v/>
      </c>
      <c r="L29" s="4">
        <f>SUMIFS(df_mutuos!N:N,df_mutuos!B:B,Conciliacao!A29)*(-1)</f>
        <v/>
      </c>
      <c r="M29" s="8">
        <f>SUMIFS(df_bloqueios_judiciais!E:E,df_bloqueios_judiciais!D:D,Conciliacao!A29,df_bloqueios_judiciais!E:E,"&lt;0")</f>
        <v/>
      </c>
      <c r="N29" s="10">
        <f>SUMIFS(df_extratos!I:I,df_extratos!F:F,Conciliacao!BE29,df_extratos!G:G,"DEBITO")+SUMIFS(df_extratos!I:I,df_extratos!F:F,Conciliacao!A29,df_extratos!G:G,"DEBITO")+SUMIFS(df_extratos!I:I,df_extratos!F:F,Conciliacao!BF29,df_extratos!G:G,"DEBITO")+SUMIFS(df_extratos!I:I,df_extratos!F:F,Conciliacao!BG29,df_extratos!G:G,"DEBITO")+SUMIFS(df_extratos!I:I,df_extratos!F:F,Conciliacao!BH29,df_extratos!G:G,"DEBITO")</f>
        <v/>
      </c>
      <c r="O29" s="11">
        <f>N29-SUM(J29:M29)</f>
        <v/>
      </c>
      <c r="P29" s="25">
        <f>SUMIFS(df_ajustes_conciliaco!D:D,df_ajustes_conciliaco!C:C,Conciliacao!A29)</f>
        <v/>
      </c>
      <c r="Q29" s="22">
        <f>O29+I29-P29</f>
        <v/>
      </c>
      <c r="BE29" s="20" t="n">
        <v>45685.5</v>
      </c>
      <c r="BF29" s="20" t="n">
        <v>45685.125</v>
      </c>
      <c r="BG29" s="20" t="n">
        <v>45685.54166666666</v>
      </c>
      <c r="BH29" s="20" t="n">
        <v>45685.625</v>
      </c>
    </row>
    <row r="30">
      <c r="A30" s="5">
        <f>A29+1</f>
        <v/>
      </c>
      <c r="B30" s="3">
        <f>-SUMIFS(df_extrato_zig!G:G,df_extrato_zig!E:E,Conciliacao!A30,df_extrato_zig!D:D,"Saque")-SUMIFS(df_extrato_zig!G:G,df_extrato_zig!E:E,Conciliacao!A30,df_extrato_zig!D:D,"Antecipação")</f>
        <v/>
      </c>
      <c r="C30" s="3">
        <f>SUMIFS(df_extrato_zig!E:E,df_extrato_zig!L:L,Conciliacao!A30,df_extrato_zig!F:F,"DINHEIRO")</f>
        <v/>
      </c>
      <c r="D30" s="3">
        <f>SUMIFS(view_parc_agrup!H:H,view_parc_agrup!G:G,Conciliacao!A30)</f>
        <v/>
      </c>
      <c r="E30" s="3">
        <f>SUMIFS(df_eventos!F:F,df_eventos!H:H,Conciliacao!A30)</f>
        <v/>
      </c>
      <c r="F30" s="3">
        <f>SUMIFS(df_mutuos!M:M,df_mutuos!B:B,Conciliacao!A30)</f>
        <v/>
      </c>
      <c r="G30" s="6">
        <f>SUMIFS(df_bloqueios_judiciais!G:G,df_bloqueios_judiciais!D:D,Conciliacao!A30,df_bloqueios_judiciais!G:G,"&gt;0")</f>
        <v/>
      </c>
      <c r="H30" s="7">
        <f>SUMIFS(df_extratos!I:I,df_extratos!F:F,Conciliacao!BE30,df_extratos!G:G,"CREDITO")+SUMIFS(df_extratos!I:I,df_extratos!F:F,Conciliacao!A30,df_extratos!G:G,"CREDITO")+SUMIFS(df_extratos!I:I,df_extratos!F:F,Conciliacao!BF30,df_extratos!G:G,"CREDITO")+SUMIFS(df_extratos!I:I,df_extratos!F:F,Conciliacao!BG30,df_extratos!G:G,"CREDITO")+SUMIFS(df_extratos!I:I,df_extratos!F:F,Conciliacao!BH30,df_extratos!G:G,"CREDITO")</f>
        <v/>
      </c>
      <c r="I30" s="9">
        <f>H30-SUM(B30:G30)</f>
        <v/>
      </c>
      <c r="J30" s="4">
        <f>SUMIFS(df_blueme_sem_parcelamento!E:E,df_blueme_sem_parcelamento!H:H,Conciliacao!A30)*(-1)</f>
        <v/>
      </c>
      <c r="K30" s="4">
        <f>SUMIFS(df_blueme_com_parcelamento!J:J,df_blueme_com_parcelamento!M:M,Conciliacao!A30)*(-1)</f>
        <v/>
      </c>
      <c r="L30" s="4">
        <f>SUMIFS(df_mutuos!N:N,df_mutuos!B:B,Conciliacao!A30)*(-1)</f>
        <v/>
      </c>
      <c r="M30" s="8">
        <f>SUMIFS(df_bloqueios_judiciais!E:E,df_bloqueios_judiciais!D:D,Conciliacao!A30,df_bloqueios_judiciais!E:E,"&lt;0")</f>
        <v/>
      </c>
      <c r="N30" s="10">
        <f>SUMIFS(df_extratos!I:I,df_extratos!F:F,Conciliacao!BE30,df_extratos!G:G,"DEBITO")+SUMIFS(df_extratos!I:I,df_extratos!F:F,Conciliacao!A30,df_extratos!G:G,"DEBITO")+SUMIFS(df_extratos!I:I,df_extratos!F:F,Conciliacao!BF30,df_extratos!G:G,"DEBITO")+SUMIFS(df_extratos!I:I,df_extratos!F:F,Conciliacao!BG30,df_extratos!G:G,"DEBITO")+SUMIFS(df_extratos!I:I,df_extratos!F:F,Conciliacao!BH30,df_extratos!G:G,"DEBITO")</f>
        <v/>
      </c>
      <c r="O30" s="11">
        <f>N30-SUM(J30:M30)</f>
        <v/>
      </c>
      <c r="P30" s="25">
        <f>SUMIFS(df_ajustes_conciliaco!D:D,df_ajustes_conciliaco!C:C,Conciliacao!A30)</f>
        <v/>
      </c>
      <c r="Q30" s="22">
        <f>O30+I30-P30</f>
        <v/>
      </c>
      <c r="BE30" s="20" t="n">
        <v>45686.5</v>
      </c>
      <c r="BF30" s="20" t="n">
        <v>45686.125</v>
      </c>
      <c r="BG30" s="20" t="n">
        <v>45686.54166666666</v>
      </c>
      <c r="BH30" s="20" t="n">
        <v>45686.625</v>
      </c>
    </row>
    <row r="31">
      <c r="A31" s="5">
        <f>A30+1</f>
        <v/>
      </c>
      <c r="B31" s="3">
        <f>-SUMIFS(df_extrato_zig!G:G,df_extrato_zig!E:E,Conciliacao!A31,df_extrato_zig!D:D,"Saque")-SUMIFS(df_extrato_zig!G:G,df_extrato_zig!E:E,Conciliacao!A31,df_extrato_zig!D:D,"Antecipação")</f>
        <v/>
      </c>
      <c r="C31" s="3">
        <f>SUMIFS(df_extrato_zig!E:E,df_extrato_zig!L:L,Conciliacao!A31,df_extrato_zig!F:F,"DINHEIRO")</f>
        <v/>
      </c>
      <c r="D31" s="3">
        <f>SUMIFS(view_parc_agrup!H:H,view_parc_agrup!G:G,Conciliacao!A31)</f>
        <v/>
      </c>
      <c r="E31" s="3">
        <f>SUMIFS(df_eventos!F:F,df_eventos!H:H,Conciliacao!A31)</f>
        <v/>
      </c>
      <c r="F31" s="3">
        <f>SUMIFS(df_mutuos!M:M,df_mutuos!B:B,Conciliacao!A31)</f>
        <v/>
      </c>
      <c r="G31" s="6">
        <f>SUMIFS(df_bloqueios_judiciais!G:G,df_bloqueios_judiciais!D:D,Conciliacao!A31,df_bloqueios_judiciais!G:G,"&gt;0")</f>
        <v/>
      </c>
      <c r="H31" s="7">
        <f>SUMIFS(df_extratos!I:I,df_extratos!F:F,Conciliacao!BE31,df_extratos!G:G,"CREDITO")+SUMIFS(df_extratos!I:I,df_extratos!F:F,Conciliacao!A31,df_extratos!G:G,"CREDITO")+SUMIFS(df_extratos!I:I,df_extratos!F:F,Conciliacao!BF31,df_extratos!G:G,"CREDITO")+SUMIFS(df_extratos!I:I,df_extratos!F:F,Conciliacao!BG31,df_extratos!G:G,"CREDITO")+SUMIFS(df_extratos!I:I,df_extratos!F:F,Conciliacao!BH31,df_extratos!G:G,"CREDITO")</f>
        <v/>
      </c>
      <c r="I31" s="9">
        <f>H31-SUM(B31:G31)</f>
        <v/>
      </c>
      <c r="J31" s="4">
        <f>SUMIFS(df_blueme_sem_parcelamento!E:E,df_blueme_sem_parcelamento!H:H,Conciliacao!A31)*(-1)</f>
        <v/>
      </c>
      <c r="K31" s="4">
        <f>SUMIFS(df_blueme_com_parcelamento!J:J,df_blueme_com_parcelamento!M:M,Conciliacao!A31)*(-1)</f>
        <v/>
      </c>
      <c r="L31" s="4">
        <f>SUMIFS(df_mutuos!N:N,df_mutuos!B:B,Conciliacao!A31)*(-1)</f>
        <v/>
      </c>
      <c r="M31" s="8">
        <f>SUMIFS(df_bloqueios_judiciais!E:E,df_bloqueios_judiciais!D:D,Conciliacao!A31,df_bloqueios_judiciais!E:E,"&lt;0")</f>
        <v/>
      </c>
      <c r="N31" s="10">
        <f>SUMIFS(df_extratos!I:I,df_extratos!F:F,Conciliacao!BE31,df_extratos!G:G,"DEBITO")+SUMIFS(df_extratos!I:I,df_extratos!F:F,Conciliacao!A31,df_extratos!G:G,"DEBITO")+SUMIFS(df_extratos!I:I,df_extratos!F:F,Conciliacao!BF31,df_extratos!G:G,"DEBITO")+SUMIFS(df_extratos!I:I,df_extratos!F:F,Conciliacao!BG31,df_extratos!G:G,"DEBITO")+SUMIFS(df_extratos!I:I,df_extratos!F:F,Conciliacao!BH31,df_extratos!G:G,"DEBITO")</f>
        <v/>
      </c>
      <c r="O31" s="11">
        <f>N31-SUM(J31:M31)</f>
        <v/>
      </c>
      <c r="P31" s="25">
        <f>SUMIFS(df_ajustes_conciliaco!D:D,df_ajustes_conciliaco!C:C,Conciliacao!A31)</f>
        <v/>
      </c>
      <c r="Q31" s="22">
        <f>O31+I31-P31</f>
        <v/>
      </c>
      <c r="BE31" s="20" t="n">
        <v>45687.5</v>
      </c>
      <c r="BF31" s="20" t="n">
        <v>45687.125</v>
      </c>
      <c r="BG31" s="20" t="n">
        <v>45687.54166666666</v>
      </c>
      <c r="BH31" s="20" t="n">
        <v>45687.625</v>
      </c>
    </row>
    <row r="32">
      <c r="A32" s="5">
        <f>A31+1</f>
        <v/>
      </c>
      <c r="B32" s="3">
        <f>-SUMIFS(df_extrato_zig!G:G,df_extrato_zig!E:E,Conciliacao!A32,df_extrato_zig!D:D,"Saque")-SUMIFS(df_extrato_zig!G:G,df_extrato_zig!E:E,Conciliacao!A32,df_extrato_zig!D:D,"Antecipação")</f>
        <v/>
      </c>
      <c r="C32" s="3">
        <f>SUMIFS(df_extrato_zig!E:E,df_extrato_zig!L:L,Conciliacao!A32,df_extrato_zig!F:F,"DINHEIRO")</f>
        <v/>
      </c>
      <c r="D32" s="3">
        <f>SUMIFS(view_parc_agrup!H:H,view_parc_agrup!G:G,Conciliacao!A32)</f>
        <v/>
      </c>
      <c r="E32" s="3">
        <f>SUMIFS(df_eventos!F:F,df_eventos!H:H,Conciliacao!A32)</f>
        <v/>
      </c>
      <c r="F32" s="3">
        <f>SUMIFS(df_mutuos!M:M,df_mutuos!B:B,Conciliacao!A32)</f>
        <v/>
      </c>
      <c r="G32" s="6">
        <f>SUMIFS(df_bloqueios_judiciais!G:G,df_bloqueios_judiciais!D:D,Conciliacao!A32,df_bloqueios_judiciais!G:G,"&gt;0")</f>
        <v/>
      </c>
      <c r="H32" s="7">
        <f>SUMIFS(df_extratos!I:I,df_extratos!F:F,Conciliacao!BE32,df_extratos!G:G,"CREDITO")+SUMIFS(df_extratos!I:I,df_extratos!F:F,Conciliacao!A32,df_extratos!G:G,"CREDITO")+SUMIFS(df_extratos!I:I,df_extratos!F:F,Conciliacao!BF32,df_extratos!G:G,"CREDITO")+SUMIFS(df_extratos!I:I,df_extratos!F:F,Conciliacao!BG32,df_extratos!G:G,"CREDITO")+SUMIFS(df_extratos!I:I,df_extratos!F:F,Conciliacao!BH32,df_extratos!G:G,"CREDITO")</f>
        <v/>
      </c>
      <c r="I32" s="9">
        <f>H32-SUM(B32:G32)</f>
        <v/>
      </c>
      <c r="J32" s="4">
        <f>SUMIFS(df_blueme_sem_parcelamento!E:E,df_blueme_sem_parcelamento!H:H,Conciliacao!A32)*(-1)</f>
        <v/>
      </c>
      <c r="K32" s="4">
        <f>SUMIFS(df_blueme_com_parcelamento!J:J,df_blueme_com_parcelamento!M:M,Conciliacao!A32)*(-1)</f>
        <v/>
      </c>
      <c r="L32" s="4">
        <f>SUMIFS(df_mutuos!N:N,df_mutuos!B:B,Conciliacao!A32)*(-1)</f>
        <v/>
      </c>
      <c r="M32" s="8">
        <f>SUMIFS(df_bloqueios_judiciais!E:E,df_bloqueios_judiciais!D:D,Conciliacao!A32,df_bloqueios_judiciais!E:E,"&lt;0")</f>
        <v/>
      </c>
      <c r="N32" s="10">
        <f>SUMIFS(df_extratos!I:I,df_extratos!F:F,Conciliacao!BE32,df_extratos!G:G,"DEBITO")+SUMIFS(df_extratos!I:I,df_extratos!F:F,Conciliacao!A32,df_extratos!G:G,"DEBITO")+SUMIFS(df_extratos!I:I,df_extratos!F:F,Conciliacao!BF32,df_extratos!G:G,"DEBITO")+SUMIFS(df_extratos!I:I,df_extratos!F:F,Conciliacao!BG32,df_extratos!G:G,"DEBITO")+SUMIFS(df_extratos!I:I,df_extratos!F:F,Conciliacao!BH32,df_extratos!G:G,"DEBITO")</f>
        <v/>
      </c>
      <c r="O32" s="11">
        <f>N32-SUM(J32:M32)</f>
        <v/>
      </c>
      <c r="P32" s="25">
        <f>SUMIFS(df_ajustes_conciliaco!D:D,df_ajustes_conciliaco!C:C,Conciliacao!A32)</f>
        <v/>
      </c>
      <c r="Q32" s="22">
        <f>O32+I32-P32</f>
        <v/>
      </c>
      <c r="BE32" s="20" t="n">
        <v>45688.5</v>
      </c>
      <c r="BF32" s="20" t="n">
        <v>45688.125</v>
      </c>
      <c r="BG32" s="20" t="n">
        <v>45688.54166666666</v>
      </c>
      <c r="BH32" s="20" t="n">
        <v>45688.625</v>
      </c>
    </row>
    <row r="33">
      <c r="A33" s="5">
        <f>A32+1</f>
        <v/>
      </c>
      <c r="B33" s="3">
        <f>-SUMIFS(df_extrato_zig!G:G,df_extrato_zig!E:E,Conciliacao!A33,df_extrato_zig!D:D,"Saque")-SUMIFS(df_extrato_zig!G:G,df_extrato_zig!E:E,Conciliacao!A33,df_extrato_zig!D:D,"Antecipação")</f>
        <v/>
      </c>
      <c r="C33" s="3">
        <f>SUMIFS(df_extrato_zig!E:E,df_extrato_zig!L:L,Conciliacao!A33,df_extrato_zig!F:F,"DINHEIRO")</f>
        <v/>
      </c>
      <c r="D33" s="3">
        <f>SUMIFS(view_parc_agrup!H:H,view_parc_agrup!G:G,Conciliacao!A33)</f>
        <v/>
      </c>
      <c r="E33" s="3">
        <f>SUMIFS(df_eventos!F:F,df_eventos!H:H,Conciliacao!A33)</f>
        <v/>
      </c>
      <c r="F33" s="3">
        <f>SUMIFS(df_mutuos!M:M,df_mutuos!B:B,Conciliacao!A33)</f>
        <v/>
      </c>
      <c r="G33" s="6">
        <f>SUMIFS(df_bloqueios_judiciais!G:G,df_bloqueios_judiciais!D:D,Conciliacao!A33,df_bloqueios_judiciais!G:G,"&gt;0")</f>
        <v/>
      </c>
      <c r="H33" s="7">
        <f>SUMIFS(df_extratos!I:I,df_extratos!F:F,Conciliacao!BE33,df_extratos!G:G,"CREDITO")+SUMIFS(df_extratos!I:I,df_extratos!F:F,Conciliacao!A33,df_extratos!G:G,"CREDITO")+SUMIFS(df_extratos!I:I,df_extratos!F:F,Conciliacao!BF33,df_extratos!G:G,"CREDITO")+SUMIFS(df_extratos!I:I,df_extratos!F:F,Conciliacao!BG33,df_extratos!G:G,"CREDITO")+SUMIFS(df_extratos!I:I,df_extratos!F:F,Conciliacao!BH33,df_extratos!G:G,"CREDITO")</f>
        <v/>
      </c>
      <c r="I33" s="9">
        <f>H33-SUM(B33:G33)</f>
        <v/>
      </c>
      <c r="J33" s="4">
        <f>SUMIFS(df_blueme_sem_parcelamento!E:E,df_blueme_sem_parcelamento!H:H,Conciliacao!A33)*(-1)</f>
        <v/>
      </c>
      <c r="K33" s="4">
        <f>SUMIFS(df_blueme_com_parcelamento!J:J,df_blueme_com_parcelamento!M:M,Conciliacao!A33)*(-1)</f>
        <v/>
      </c>
      <c r="L33" s="4">
        <f>SUMIFS(df_mutuos!N:N,df_mutuos!B:B,Conciliacao!A33)*(-1)</f>
        <v/>
      </c>
      <c r="M33" s="8">
        <f>SUMIFS(df_bloqueios_judiciais!E:E,df_bloqueios_judiciais!D:D,Conciliacao!A33,df_bloqueios_judiciais!E:E,"&lt;0")</f>
        <v/>
      </c>
      <c r="N33" s="10">
        <f>SUMIFS(df_extratos!I:I,df_extratos!F:F,Conciliacao!BE33,df_extratos!G:G,"DEBITO")+SUMIFS(df_extratos!I:I,df_extratos!F:F,Conciliacao!A33,df_extratos!G:G,"DEBITO")+SUMIFS(df_extratos!I:I,df_extratos!F:F,Conciliacao!BF33,df_extratos!G:G,"DEBITO")+SUMIFS(df_extratos!I:I,df_extratos!F:F,Conciliacao!BG33,df_extratos!G:G,"DEBITO")+SUMIFS(df_extratos!I:I,df_extratos!F:F,Conciliacao!BH33,df_extratos!G:G,"DEBITO")</f>
        <v/>
      </c>
      <c r="O33" s="11">
        <f>N33-SUM(J33:M33)</f>
        <v/>
      </c>
      <c r="P33" s="25">
        <f>SUMIFS(df_ajustes_conciliaco!D:D,df_ajustes_conciliaco!C:C,Conciliacao!A33)</f>
        <v/>
      </c>
      <c r="Q33" s="22">
        <f>O33+I33-P33</f>
        <v/>
      </c>
      <c r="BE33" s="20" t="n">
        <v>45689.5</v>
      </c>
      <c r="BF33" s="20" t="n">
        <v>45689.125</v>
      </c>
      <c r="BG33" s="20" t="n">
        <v>45689.54166666666</v>
      </c>
      <c r="BH33" s="20" t="n">
        <v>45689.625</v>
      </c>
    </row>
    <row r="34">
      <c r="A34" s="5">
        <f>A33+1</f>
        <v/>
      </c>
      <c r="B34" s="3">
        <f>-SUMIFS(df_extrato_zig!G:G,df_extrato_zig!E:E,Conciliacao!A34,df_extrato_zig!D:D,"Saque")-SUMIFS(df_extrato_zig!G:G,df_extrato_zig!E:E,Conciliacao!A34,df_extrato_zig!D:D,"Antecipação")</f>
        <v/>
      </c>
      <c r="C34" s="3">
        <f>SUMIFS(df_extrato_zig!E:E,df_extrato_zig!L:L,Conciliacao!A34,df_extrato_zig!F:F,"DINHEIRO")</f>
        <v/>
      </c>
      <c r="D34" s="3">
        <f>SUMIFS(view_parc_agrup!H:H,view_parc_agrup!G:G,Conciliacao!A34)</f>
        <v/>
      </c>
      <c r="E34" s="3">
        <f>SUMIFS(df_eventos!F:F,df_eventos!H:H,Conciliacao!A34)</f>
        <v/>
      </c>
      <c r="F34" s="3">
        <f>SUMIFS(df_mutuos!M:M,df_mutuos!B:B,Conciliacao!A34)</f>
        <v/>
      </c>
      <c r="G34" s="6">
        <f>SUMIFS(df_bloqueios_judiciais!G:G,df_bloqueios_judiciais!D:D,Conciliacao!A34,df_bloqueios_judiciais!G:G,"&gt;0")</f>
        <v/>
      </c>
      <c r="H34" s="7">
        <f>SUMIFS(df_extratos!I:I,df_extratos!F:F,Conciliacao!BE34,df_extratos!G:G,"CREDITO")+SUMIFS(df_extratos!I:I,df_extratos!F:F,Conciliacao!A34,df_extratos!G:G,"CREDITO")+SUMIFS(df_extratos!I:I,df_extratos!F:F,Conciliacao!BF34,df_extratos!G:G,"CREDITO")+SUMIFS(df_extratos!I:I,df_extratos!F:F,Conciliacao!BG34,df_extratos!G:G,"CREDITO")+SUMIFS(df_extratos!I:I,df_extratos!F:F,Conciliacao!BH34,df_extratos!G:G,"CREDITO")</f>
        <v/>
      </c>
      <c r="I34" s="9">
        <f>H34-SUM(B34:G34)</f>
        <v/>
      </c>
      <c r="J34" s="4">
        <f>SUMIFS(df_blueme_sem_parcelamento!E:E,df_blueme_sem_parcelamento!H:H,Conciliacao!A34)*(-1)</f>
        <v/>
      </c>
      <c r="K34" s="4">
        <f>SUMIFS(df_blueme_com_parcelamento!J:J,df_blueme_com_parcelamento!M:M,Conciliacao!A34)*(-1)</f>
        <v/>
      </c>
      <c r="L34" s="4">
        <f>SUMIFS(df_mutuos!N:N,df_mutuos!B:B,Conciliacao!A34)*(-1)</f>
        <v/>
      </c>
      <c r="M34" s="8">
        <f>SUMIFS(df_bloqueios_judiciais!E:E,df_bloqueios_judiciais!D:D,Conciliacao!A34,df_bloqueios_judiciais!E:E,"&lt;0")</f>
        <v/>
      </c>
      <c r="N34" s="10">
        <f>SUMIFS(df_extratos!I:I,df_extratos!F:F,Conciliacao!BE34,df_extratos!G:G,"DEBITO")+SUMIFS(df_extratos!I:I,df_extratos!F:F,Conciliacao!A34,df_extratos!G:G,"DEBITO")+SUMIFS(df_extratos!I:I,df_extratos!F:F,Conciliacao!BF34,df_extratos!G:G,"DEBITO")+SUMIFS(df_extratos!I:I,df_extratos!F:F,Conciliacao!BG34,df_extratos!G:G,"DEBITO")+SUMIFS(df_extratos!I:I,df_extratos!F:F,Conciliacao!BH34,df_extratos!G:G,"DEBITO")</f>
        <v/>
      </c>
      <c r="O34" s="11">
        <f>N34-SUM(J34:M34)</f>
        <v/>
      </c>
      <c r="P34" s="25">
        <f>SUMIFS(df_ajustes_conciliaco!D:D,df_ajustes_conciliaco!C:C,Conciliacao!A34)</f>
        <v/>
      </c>
      <c r="Q34" s="22">
        <f>O34+I34-P34</f>
        <v/>
      </c>
      <c r="BE34" s="20" t="n">
        <v>45690.5</v>
      </c>
      <c r="BF34" s="20" t="n">
        <v>45690.125</v>
      </c>
      <c r="BG34" s="20" t="n">
        <v>45690.54166666666</v>
      </c>
      <c r="BH34" s="20" t="n">
        <v>45690.625</v>
      </c>
    </row>
    <row r="35">
      <c r="A35" s="5">
        <f>A34+1</f>
        <v/>
      </c>
      <c r="B35" s="3">
        <f>-SUMIFS(df_extrato_zig!G:G,df_extrato_zig!E:E,Conciliacao!A35,df_extrato_zig!D:D,"Saque")-SUMIFS(df_extrato_zig!G:G,df_extrato_zig!E:E,Conciliacao!A35,df_extrato_zig!D:D,"Antecipação")</f>
        <v/>
      </c>
      <c r="C35" s="3">
        <f>SUMIFS(df_extrato_zig!E:E,df_extrato_zig!L:L,Conciliacao!A35,df_extrato_zig!F:F,"DINHEIRO")</f>
        <v/>
      </c>
      <c r="D35" s="3">
        <f>SUMIFS(view_parc_agrup!H:H,view_parc_agrup!G:G,Conciliacao!A35)</f>
        <v/>
      </c>
      <c r="E35" s="3">
        <f>SUMIFS(df_eventos!F:F,df_eventos!H:H,Conciliacao!A35)</f>
        <v/>
      </c>
      <c r="F35" s="3">
        <f>SUMIFS(df_mutuos!M:M,df_mutuos!B:B,Conciliacao!A35)</f>
        <v/>
      </c>
      <c r="G35" s="6">
        <f>SUMIFS(df_bloqueios_judiciais!G:G,df_bloqueios_judiciais!D:D,Conciliacao!A35,df_bloqueios_judiciais!G:G,"&gt;0")</f>
        <v/>
      </c>
      <c r="H35" s="7">
        <f>SUMIFS(df_extratos!I:I,df_extratos!F:F,Conciliacao!BE35,df_extratos!G:G,"CREDITO")+SUMIFS(df_extratos!I:I,df_extratos!F:F,Conciliacao!A35,df_extratos!G:G,"CREDITO")+SUMIFS(df_extratos!I:I,df_extratos!F:F,Conciliacao!BF35,df_extratos!G:G,"CREDITO")+SUMIFS(df_extratos!I:I,df_extratos!F:F,Conciliacao!BG35,df_extratos!G:G,"CREDITO")+SUMIFS(df_extratos!I:I,df_extratos!F:F,Conciliacao!BH35,df_extratos!G:G,"CREDITO")</f>
        <v/>
      </c>
      <c r="I35" s="9">
        <f>H35-SUM(B35:G35)</f>
        <v/>
      </c>
      <c r="J35" s="4">
        <f>SUMIFS(df_blueme_sem_parcelamento!E:E,df_blueme_sem_parcelamento!H:H,Conciliacao!A35)*(-1)</f>
        <v/>
      </c>
      <c r="K35" s="4">
        <f>SUMIFS(df_blueme_com_parcelamento!J:J,df_blueme_com_parcelamento!M:M,Conciliacao!A35)*(-1)</f>
        <v/>
      </c>
      <c r="L35" s="4">
        <f>SUMIFS(df_mutuos!N:N,df_mutuos!B:B,Conciliacao!A35)*(-1)</f>
        <v/>
      </c>
      <c r="M35" s="8">
        <f>SUMIFS(df_bloqueios_judiciais!G:G,df_bloqueios_judiciais!D:D,Conciliacao!A35,df_bloqueios_judiciais!G:G,"&lt;0")</f>
        <v/>
      </c>
      <c r="N35" s="10">
        <f>SUMIFS(df_extratos!I:I,df_extratos!F:F,Conciliacao!BE35,df_extratos!G:G,"DEBITO")+SUMIFS(df_extratos!I:I,df_extratos!F:F,Conciliacao!A35,df_extratos!G:G,"DEBITO")+SUMIFS(df_extratos!I:I,df_extratos!F:F,Conciliacao!BF35,df_extratos!G:G,"DEBITO")+SUMIFS(df_extratos!I:I,df_extratos!F:F,Conciliacao!BG35,df_extratos!G:G,"DEBITO")+SUMIFS(df_extratos!I:I,df_extratos!F:F,Conciliacao!BH35,df_extratos!G:G,"DEBITO")</f>
        <v/>
      </c>
      <c r="O35" s="11">
        <f>N35-SUM(J35:M35)</f>
        <v/>
      </c>
      <c r="P35" s="25">
        <f>SUMIFS(df_ajustes_conciliaco!D:D,df_ajustes_conciliaco!C:C,Conciliacao!A35)</f>
        <v/>
      </c>
      <c r="Q35" s="22">
        <f>O35+I35-P35</f>
        <v/>
      </c>
      <c r="BE35" s="20" t="n">
        <v>45691.5</v>
      </c>
      <c r="BF35" s="20" t="n">
        <v>45691.125</v>
      </c>
      <c r="BG35" s="20" t="n">
        <v>45691.54166666666</v>
      </c>
      <c r="BH35" s="20" t="n">
        <v>45691.625</v>
      </c>
    </row>
    <row r="36">
      <c r="A36" s="5">
        <f>A35+1</f>
        <v/>
      </c>
      <c r="B36" s="3">
        <f>-SUMIFS(df_extrato_zig!G:G,df_extrato_zig!E:E,Conciliacao!A36,df_extrato_zig!D:D,"Saque")-SUMIFS(df_extrato_zig!G:G,df_extrato_zig!E:E,Conciliacao!A36,df_extrato_zig!D:D,"Antecipação")</f>
        <v/>
      </c>
      <c r="C36" s="3">
        <f>SUMIFS(df_extrato_zig!E:E,df_extrato_zig!L:L,Conciliacao!A36,df_extrato_zig!F:F,"DINHEIRO")</f>
        <v/>
      </c>
      <c r="D36" s="3">
        <f>SUMIFS(view_parc_agrup!H:H,view_parc_agrup!G:G,Conciliacao!A36)</f>
        <v/>
      </c>
      <c r="E36" s="3">
        <f>SUMIFS(df_eventos!F:F,df_eventos!H:H,Conciliacao!A36)</f>
        <v/>
      </c>
      <c r="F36" s="3">
        <f>SUMIFS(df_mutuos!M:M,df_mutuos!B:B,Conciliacao!A36)</f>
        <v/>
      </c>
      <c r="G36" s="6">
        <f>SUMIFS(df_bloqueios_judiciais!G:G,df_bloqueios_judiciais!D:D,Conciliacao!A36,df_bloqueios_judiciais!G:G,"&gt;0")</f>
        <v/>
      </c>
      <c r="H36" s="7">
        <f>SUMIFS(df_extratos!I:I,df_extratos!F:F,Conciliacao!BE36,df_extratos!G:G,"CREDITO")+SUMIFS(df_extratos!I:I,df_extratos!F:F,Conciliacao!A36,df_extratos!G:G,"CREDITO")+SUMIFS(df_extratos!I:I,df_extratos!F:F,Conciliacao!BF36,df_extratos!G:G,"CREDITO")+SUMIFS(df_extratos!I:I,df_extratos!F:F,Conciliacao!BG36,df_extratos!G:G,"CREDITO")+SUMIFS(df_extratos!I:I,df_extratos!F:F,Conciliacao!BH36,df_extratos!G:G,"CREDITO")</f>
        <v/>
      </c>
      <c r="I36" s="9">
        <f>H36-SUM(B36:G36)</f>
        <v/>
      </c>
      <c r="J36" s="4">
        <f>SUMIFS(df_blueme_sem_parcelamento!E:E,df_blueme_sem_parcelamento!H:H,Conciliacao!A36)*(-1)</f>
        <v/>
      </c>
      <c r="K36" s="4">
        <f>SUMIFS(df_blueme_com_parcelamento!J:J,df_blueme_com_parcelamento!M:M,Conciliacao!A36)*(-1)</f>
        <v/>
      </c>
      <c r="L36" s="4">
        <f>SUMIFS(df_mutuos!N:N,df_mutuos!B:B,Conciliacao!A36)*(-1)</f>
        <v/>
      </c>
      <c r="M36" s="8">
        <f>SUMIFS(df_bloqueios_judiciais!G:G,df_bloqueios_judiciais!D:D,Conciliacao!A36,df_bloqueios_judiciais!G:G,"&lt;0")</f>
        <v/>
      </c>
      <c r="N36" s="10">
        <f>SUMIFS(df_extratos!I:I,df_extratos!F:F,Conciliacao!BE36,df_extratos!G:G,"DEBITO")+SUMIFS(df_extratos!I:I,df_extratos!F:F,Conciliacao!A36,df_extratos!G:G,"DEBITO")+SUMIFS(df_extratos!I:I,df_extratos!F:F,Conciliacao!BF36,df_extratos!G:G,"DEBITO")+SUMIFS(df_extratos!I:I,df_extratos!F:F,Conciliacao!BG36,df_extratos!G:G,"DEBITO")+SUMIFS(df_extratos!I:I,df_extratos!F:F,Conciliacao!BH36,df_extratos!G:G,"DEBITO")</f>
        <v/>
      </c>
      <c r="O36" s="11">
        <f>N36-SUM(J36:M36)</f>
        <v/>
      </c>
      <c r="P36" s="25">
        <f>SUMIFS(df_ajustes_conciliaco!D:D,df_ajustes_conciliaco!C:C,Conciliacao!A36)</f>
        <v/>
      </c>
      <c r="Q36" s="22">
        <f>O36+I36-P36</f>
        <v/>
      </c>
      <c r="BE36" s="20" t="n">
        <v>45692.5</v>
      </c>
      <c r="BF36" s="20" t="n">
        <v>45692.125</v>
      </c>
      <c r="BG36" s="20" t="n">
        <v>45692.54166666666</v>
      </c>
      <c r="BH36" s="20" t="n">
        <v>45692.625</v>
      </c>
    </row>
    <row r="37">
      <c r="A37" s="5">
        <f>A36+1</f>
        <v/>
      </c>
      <c r="B37" s="3">
        <f>-SUMIFS(df_extrato_zig!G:G,df_extrato_zig!E:E,Conciliacao!A37,df_extrato_zig!D:D,"Saque")-SUMIFS(df_extrato_zig!G:G,df_extrato_zig!E:E,Conciliacao!A37,df_extrato_zig!D:D,"Antecipação")</f>
        <v/>
      </c>
      <c r="C37" s="3">
        <f>SUMIFS(df_extrato_zig!E:E,df_extrato_zig!L:L,Conciliacao!A37,df_extrato_zig!F:F,"DINHEIRO")</f>
        <v/>
      </c>
      <c r="D37" s="3">
        <f>SUMIFS(view_parc_agrup!H:H,view_parc_agrup!G:G,Conciliacao!A37)</f>
        <v/>
      </c>
      <c r="E37" s="3">
        <f>SUMIFS(df_eventos!F:F,df_eventos!H:H,Conciliacao!A37)</f>
        <v/>
      </c>
      <c r="F37" s="3">
        <f>SUMIFS(df_mutuos!M:M,df_mutuos!B:B,Conciliacao!A37)</f>
        <v/>
      </c>
      <c r="G37" s="6">
        <f>SUMIFS(df_bloqueios_judiciais!G:G,df_bloqueios_judiciais!D:D,Conciliacao!A37,df_bloqueios_judiciais!G:G,"&gt;0")</f>
        <v/>
      </c>
      <c r="H37" s="7">
        <f>SUMIFS(df_extratos!I:I,df_extratos!F:F,Conciliacao!BE37,df_extratos!G:G,"CREDITO")+SUMIFS(df_extratos!I:I,df_extratos!F:F,Conciliacao!A37,df_extratos!G:G,"CREDITO")+SUMIFS(df_extratos!I:I,df_extratos!F:F,Conciliacao!BF37,df_extratos!G:G,"CREDITO")+SUMIFS(df_extratos!I:I,df_extratos!F:F,Conciliacao!BG37,df_extratos!G:G,"CREDITO")+SUMIFS(df_extratos!I:I,df_extratos!F:F,Conciliacao!BH37,df_extratos!G:G,"CREDITO")</f>
        <v/>
      </c>
      <c r="I37" s="9">
        <f>H37-SUM(B37:G37)</f>
        <v/>
      </c>
      <c r="J37" s="4">
        <f>SUMIFS(df_blueme_sem_parcelamento!E:E,df_blueme_sem_parcelamento!H:H,Conciliacao!A37)*(-1)</f>
        <v/>
      </c>
      <c r="K37" s="4">
        <f>SUMIFS(df_blueme_com_parcelamento!J:J,df_blueme_com_parcelamento!M:M,Conciliacao!A37)*(-1)</f>
        <v/>
      </c>
      <c r="L37" s="4">
        <f>SUMIFS(df_mutuos!N:N,df_mutuos!B:B,Conciliacao!A37)*(-1)</f>
        <v/>
      </c>
      <c r="M37" s="8">
        <f>SUMIFS(df_bloqueios_judiciais!G:G,df_bloqueios_judiciais!D:D,Conciliacao!A37,df_bloqueios_judiciais!G:G,"&lt;0")</f>
        <v/>
      </c>
      <c r="N37" s="10">
        <f>SUMIFS(df_extratos!I:I,df_extratos!F:F,Conciliacao!BE37,df_extratos!G:G,"DEBITO")+SUMIFS(df_extratos!I:I,df_extratos!F:F,Conciliacao!A37,df_extratos!G:G,"DEBITO")+SUMIFS(df_extratos!I:I,df_extratos!F:F,Conciliacao!BF37,df_extratos!G:G,"DEBITO")+SUMIFS(df_extratos!I:I,df_extratos!F:F,Conciliacao!BG37,df_extratos!G:G,"DEBITO")+SUMIFS(df_extratos!I:I,df_extratos!F:F,Conciliacao!BH37,df_extratos!G:G,"DEBITO")</f>
        <v/>
      </c>
      <c r="O37" s="11">
        <f>N37-SUM(J37:M37)</f>
        <v/>
      </c>
      <c r="P37" s="25">
        <f>SUMIFS(df_ajustes_conciliaco!D:D,df_ajustes_conciliaco!C:C,Conciliacao!A37)</f>
        <v/>
      </c>
      <c r="Q37" s="22">
        <f>O37+I37-P37</f>
        <v/>
      </c>
      <c r="BE37" s="20" t="n">
        <v>45693.5</v>
      </c>
      <c r="BF37" s="20" t="n">
        <v>45693.125</v>
      </c>
      <c r="BG37" s="20" t="n">
        <v>45693.54166666666</v>
      </c>
      <c r="BH37" s="20" t="n">
        <v>45693.625</v>
      </c>
    </row>
    <row r="38">
      <c r="A38" s="5">
        <f>A37+1</f>
        <v/>
      </c>
      <c r="B38" s="3">
        <f>-SUMIFS(df_extrato_zig!G:G,df_extrato_zig!E:E,Conciliacao!A38,df_extrato_zig!D:D,"Saque")-SUMIFS(df_extrato_zig!G:G,df_extrato_zig!E:E,Conciliacao!A38,df_extrato_zig!D:D,"Antecipação")</f>
        <v/>
      </c>
      <c r="C38" s="3">
        <f>SUMIFS(df_extrato_zig!E:E,df_extrato_zig!L:L,Conciliacao!A38,df_extrato_zig!F:F,"DINHEIRO")</f>
        <v/>
      </c>
      <c r="D38" s="3">
        <f>SUMIFS(view_parc_agrup!H:H,view_parc_agrup!G:G,Conciliacao!A38)</f>
        <v/>
      </c>
      <c r="E38" s="3">
        <f>SUMIFS(df_eventos!F:F,df_eventos!H:H,Conciliacao!A38)</f>
        <v/>
      </c>
      <c r="F38" s="3">
        <f>SUMIFS(df_mutuos!M:M,df_mutuos!B:B,Conciliacao!A38)</f>
        <v/>
      </c>
      <c r="G38" s="6">
        <f>SUMIFS(df_bloqueios_judiciais!G:G,df_bloqueios_judiciais!D:D,Conciliacao!A38,df_bloqueios_judiciais!G:G,"&gt;0")</f>
        <v/>
      </c>
      <c r="H38" s="7">
        <f>SUMIFS(df_extratos!I:I,df_extratos!F:F,Conciliacao!BE38,df_extratos!G:G,"CREDITO")+SUMIFS(df_extratos!I:I,df_extratos!F:F,Conciliacao!A38,df_extratos!G:G,"CREDITO")+SUMIFS(df_extratos!I:I,df_extratos!F:F,Conciliacao!BF38,df_extratos!G:G,"CREDITO")+SUMIFS(df_extratos!I:I,df_extratos!F:F,Conciliacao!BG38,df_extratos!G:G,"CREDITO")+SUMIFS(df_extratos!I:I,df_extratos!F:F,Conciliacao!BH38,df_extratos!G:G,"CREDITO")</f>
        <v/>
      </c>
      <c r="I38" s="9">
        <f>H38-SUM(B38:G38)</f>
        <v/>
      </c>
      <c r="J38" s="4">
        <f>SUMIFS(df_blueme_sem_parcelamento!E:E,df_blueme_sem_parcelamento!H:H,Conciliacao!A38)*(-1)</f>
        <v/>
      </c>
      <c r="K38" s="4">
        <f>SUMIFS(df_blueme_com_parcelamento!J:J,df_blueme_com_parcelamento!M:M,Conciliacao!A38)*(-1)</f>
        <v/>
      </c>
      <c r="L38" s="4">
        <f>SUMIFS(df_mutuos!N:N,df_mutuos!B:B,Conciliacao!A38)*(-1)</f>
        <v/>
      </c>
      <c r="M38" s="8">
        <f>SUMIFS(df_bloqueios_judiciais!G:G,df_bloqueios_judiciais!D:D,Conciliacao!A38,df_bloqueios_judiciais!G:G,"&lt;0")</f>
        <v/>
      </c>
      <c r="N38" s="10">
        <f>SUMIFS(df_extratos!I:I,df_extratos!F:F,Conciliacao!BE38,df_extratos!G:G,"DEBITO")+SUMIFS(df_extratos!I:I,df_extratos!F:F,Conciliacao!A38,df_extratos!G:G,"DEBITO")+SUMIFS(df_extratos!I:I,df_extratos!F:F,Conciliacao!BF38,df_extratos!G:G,"DEBITO")+SUMIFS(df_extratos!I:I,df_extratos!F:F,Conciliacao!BG38,df_extratos!G:G,"DEBITO")+SUMIFS(df_extratos!I:I,df_extratos!F:F,Conciliacao!BH38,df_extratos!G:G,"DEBITO")</f>
        <v/>
      </c>
      <c r="O38" s="11">
        <f>N38-SUM(J38:M38)</f>
        <v/>
      </c>
      <c r="P38" s="25">
        <f>SUMIFS(df_ajustes_conciliaco!D:D,df_ajustes_conciliaco!C:C,Conciliacao!A38)</f>
        <v/>
      </c>
      <c r="Q38" s="22">
        <f>O38+I38-P38</f>
        <v/>
      </c>
      <c r="BE38" s="20" t="n">
        <v>45694.5</v>
      </c>
      <c r="BF38" s="20" t="n">
        <v>45694.125</v>
      </c>
      <c r="BG38" s="20" t="n">
        <v>45694.54166666666</v>
      </c>
      <c r="BH38" s="20" t="n">
        <v>45694.625</v>
      </c>
    </row>
    <row r="39">
      <c r="A39" s="5">
        <f>A38+1</f>
        <v/>
      </c>
      <c r="B39" s="3">
        <f>-SUMIFS(df_extrato_zig!G:G,df_extrato_zig!E:E,Conciliacao!A39,df_extrato_zig!D:D,"Saque")-SUMIFS(df_extrato_zig!G:G,df_extrato_zig!E:E,Conciliacao!A39,df_extrato_zig!D:D,"Antecipação")</f>
        <v/>
      </c>
      <c r="C39" s="3">
        <f>SUMIFS(df_extrato_zig!E:E,df_extrato_zig!L:L,Conciliacao!A39,df_extrato_zig!F:F,"DINHEIRO")</f>
        <v/>
      </c>
      <c r="D39" s="3">
        <f>SUMIFS(view_parc_agrup!H:H,view_parc_agrup!G:G,Conciliacao!A39)</f>
        <v/>
      </c>
      <c r="E39" s="3">
        <f>SUMIFS(df_eventos!F:F,df_eventos!H:H,Conciliacao!A39)</f>
        <v/>
      </c>
      <c r="F39" s="3">
        <f>SUMIFS(df_mutuos!M:M,df_mutuos!B:B,Conciliacao!A39)</f>
        <v/>
      </c>
      <c r="G39" s="6">
        <f>SUMIFS(df_bloqueios_judiciais!G:G,df_bloqueios_judiciais!D:D,Conciliacao!A39,df_bloqueios_judiciais!G:G,"&gt;0")</f>
        <v/>
      </c>
      <c r="H39" s="7">
        <f>SUMIFS(df_extratos!I:I,df_extratos!F:F,Conciliacao!BE39,df_extratos!G:G,"CREDITO")+SUMIFS(df_extratos!I:I,df_extratos!F:F,Conciliacao!A39,df_extratos!G:G,"CREDITO")+SUMIFS(df_extratos!I:I,df_extratos!F:F,Conciliacao!BF39,df_extratos!G:G,"CREDITO")+SUMIFS(df_extratos!I:I,df_extratos!F:F,Conciliacao!BG39,df_extratos!G:G,"CREDITO")+SUMIFS(df_extratos!I:I,df_extratos!F:F,Conciliacao!BH39,df_extratos!G:G,"CREDITO")</f>
        <v/>
      </c>
      <c r="I39" s="9">
        <f>H39-SUM(B39:G39)</f>
        <v/>
      </c>
      <c r="J39" s="4">
        <f>SUMIFS(df_blueme_sem_parcelamento!E:E,df_blueme_sem_parcelamento!H:H,Conciliacao!A39)*(-1)</f>
        <v/>
      </c>
      <c r="K39" s="4">
        <f>SUMIFS(df_blueme_com_parcelamento!J:J,df_blueme_com_parcelamento!M:M,Conciliacao!A39)*(-1)</f>
        <v/>
      </c>
      <c r="L39" s="4">
        <f>SUMIFS(df_mutuos!N:N,df_mutuos!B:B,Conciliacao!A39)*(-1)</f>
        <v/>
      </c>
      <c r="M39" s="8">
        <f>SUMIFS(df_bloqueios_judiciais!G:G,df_bloqueios_judiciais!D:D,Conciliacao!A39,df_bloqueios_judiciais!G:G,"&lt;0")</f>
        <v/>
      </c>
      <c r="N39" s="10">
        <f>SUMIFS(df_extratos!I:I,df_extratos!F:F,Conciliacao!BE39,df_extratos!G:G,"DEBITO")+SUMIFS(df_extratos!I:I,df_extratos!F:F,Conciliacao!A39,df_extratos!G:G,"DEBITO")+SUMIFS(df_extratos!I:I,df_extratos!F:F,Conciliacao!BF39,df_extratos!G:G,"DEBITO")+SUMIFS(df_extratos!I:I,df_extratos!F:F,Conciliacao!BG39,df_extratos!G:G,"DEBITO")+SUMIFS(df_extratos!I:I,df_extratos!F:F,Conciliacao!BH39,df_extratos!G:G,"DEBITO")</f>
        <v/>
      </c>
      <c r="O39" s="11">
        <f>N39-SUM(J39:M39)</f>
        <v/>
      </c>
      <c r="P39" s="25">
        <f>SUMIFS(df_ajustes_conciliaco!D:D,df_ajustes_conciliaco!C:C,Conciliacao!A39)</f>
        <v/>
      </c>
      <c r="Q39" s="22">
        <f>O39+I39-P39</f>
        <v/>
      </c>
      <c r="BE39" s="20" t="n">
        <v>45695.5</v>
      </c>
      <c r="BF39" s="20" t="n">
        <v>45695.125</v>
      </c>
      <c r="BG39" s="20" t="n">
        <v>45695.54166666666</v>
      </c>
      <c r="BH39" s="20" t="n">
        <v>45695.625</v>
      </c>
    </row>
    <row r="40">
      <c r="A40" s="5">
        <f>A39+1</f>
        <v/>
      </c>
      <c r="B40" s="3">
        <f>-SUMIFS(df_extrato_zig!G:G,df_extrato_zig!E:E,Conciliacao!A40,df_extrato_zig!D:D,"Saque")-SUMIFS(df_extrato_zig!G:G,df_extrato_zig!E:E,Conciliacao!A40,df_extrato_zig!D:D,"Antecipação")</f>
        <v/>
      </c>
      <c r="C40" s="3">
        <f>SUMIFS(df_extrato_zig!E:E,df_extrato_zig!L:L,Conciliacao!A40,df_extrato_zig!F:F,"DINHEIRO")</f>
        <v/>
      </c>
      <c r="D40" s="3">
        <f>SUMIFS(view_parc_agrup!H:H,view_parc_agrup!G:G,Conciliacao!A40)</f>
        <v/>
      </c>
      <c r="E40" s="3">
        <f>SUMIFS(df_eventos!F:F,df_eventos!H:H,Conciliacao!A40)</f>
        <v/>
      </c>
      <c r="F40" s="3">
        <f>SUMIFS(df_mutuos!M:M,df_mutuos!B:B,Conciliacao!A40)</f>
        <v/>
      </c>
      <c r="G40" s="6">
        <f>SUMIFS(df_bloqueios_judiciais!G:G,df_bloqueios_judiciais!D:D,Conciliacao!A40,df_bloqueios_judiciais!G:G,"&gt;0")</f>
        <v/>
      </c>
      <c r="H40" s="7">
        <f>SUMIFS(df_extratos!I:I,df_extratos!F:F,Conciliacao!BE40,df_extratos!G:G,"CREDITO")+SUMIFS(df_extratos!I:I,df_extratos!F:F,Conciliacao!A40,df_extratos!G:G,"CREDITO")+SUMIFS(df_extratos!I:I,df_extratos!F:F,Conciliacao!BF40,df_extratos!G:G,"CREDITO")+SUMIFS(df_extratos!I:I,df_extratos!F:F,Conciliacao!BG40,df_extratos!G:G,"CREDITO")+SUMIFS(df_extratos!I:I,df_extratos!F:F,Conciliacao!BH40,df_extratos!G:G,"CREDITO")</f>
        <v/>
      </c>
      <c r="I40" s="9">
        <f>H40-SUM(B40:G40)</f>
        <v/>
      </c>
      <c r="J40" s="4">
        <f>SUMIFS(df_blueme_sem_parcelamento!E:E,df_blueme_sem_parcelamento!H:H,Conciliacao!A40)*(-1)</f>
        <v/>
      </c>
      <c r="K40" s="4">
        <f>SUMIFS(df_blueme_com_parcelamento!J:J,df_blueme_com_parcelamento!M:M,Conciliacao!A40)*(-1)</f>
        <v/>
      </c>
      <c r="L40" s="4">
        <f>SUMIFS(df_mutuos!N:N,df_mutuos!B:B,Conciliacao!A40)*(-1)</f>
        <v/>
      </c>
      <c r="M40" s="8">
        <f>SUMIFS(df_bloqueios_judiciais!G:G,df_bloqueios_judiciais!D:D,Conciliacao!A40,df_bloqueios_judiciais!G:G,"&lt;0")</f>
        <v/>
      </c>
      <c r="N40" s="10">
        <f>SUMIFS(df_extratos!I:I,df_extratos!F:F,Conciliacao!BE40,df_extratos!G:G,"DEBITO")+SUMIFS(df_extratos!I:I,df_extratos!F:F,Conciliacao!A40,df_extratos!G:G,"DEBITO")+SUMIFS(df_extratos!I:I,df_extratos!F:F,Conciliacao!BF40,df_extratos!G:G,"DEBITO")+SUMIFS(df_extratos!I:I,df_extratos!F:F,Conciliacao!BG40,df_extratos!G:G,"DEBITO")+SUMIFS(df_extratos!I:I,df_extratos!F:F,Conciliacao!BH40,df_extratos!G:G,"DEBITO")</f>
        <v/>
      </c>
      <c r="O40" s="11">
        <f>N40-SUM(J40:M40)</f>
        <v/>
      </c>
      <c r="P40" s="25">
        <f>SUMIFS(df_ajustes_conciliaco!D:D,df_ajustes_conciliaco!C:C,Conciliacao!A40)</f>
        <v/>
      </c>
      <c r="Q40" s="22">
        <f>O40+I40-P40</f>
        <v/>
      </c>
      <c r="BE40" s="20" t="n">
        <v>45696.5</v>
      </c>
      <c r="BF40" s="20" t="n">
        <v>45696.125</v>
      </c>
      <c r="BG40" s="20" t="n">
        <v>45696.54166666666</v>
      </c>
      <c r="BH40" s="20" t="n">
        <v>45696.625</v>
      </c>
    </row>
    <row r="41">
      <c r="A41" s="5">
        <f>A40+1</f>
        <v/>
      </c>
      <c r="B41" s="3">
        <f>-SUMIFS(df_extrato_zig!G:G,df_extrato_zig!E:E,Conciliacao!A41,df_extrato_zig!D:D,"Saque")-SUMIFS(df_extrato_zig!G:G,df_extrato_zig!E:E,Conciliacao!A41,df_extrato_zig!D:D,"Antecipação")</f>
        <v/>
      </c>
      <c r="C41" s="3">
        <f>SUMIFS(df_extrato_zig!E:E,df_extrato_zig!L:L,Conciliacao!A41,df_extrato_zig!F:F,"DINHEIRO")</f>
        <v/>
      </c>
      <c r="D41" s="3">
        <f>SUMIFS(view_parc_agrup!H:H,view_parc_agrup!G:G,Conciliacao!A41)</f>
        <v/>
      </c>
      <c r="E41" s="3">
        <f>SUMIFS(df_eventos!F:F,df_eventos!H:H,Conciliacao!A41)</f>
        <v/>
      </c>
      <c r="F41" s="3">
        <f>SUMIFS(df_mutuos!M:M,df_mutuos!B:B,Conciliacao!A41)</f>
        <v/>
      </c>
      <c r="G41" s="6">
        <f>SUMIFS(df_bloqueios_judiciais!G:G,df_bloqueios_judiciais!D:D,Conciliacao!A41,df_bloqueios_judiciais!G:G,"&gt;0")</f>
        <v/>
      </c>
      <c r="H41" s="7">
        <f>SUMIFS(df_extratos!I:I,df_extratos!F:F,Conciliacao!BE41,df_extratos!G:G,"CREDITO")+SUMIFS(df_extratos!I:I,df_extratos!F:F,Conciliacao!A41,df_extratos!G:G,"CREDITO")+SUMIFS(df_extratos!I:I,df_extratos!F:F,Conciliacao!BF41,df_extratos!G:G,"CREDITO")+SUMIFS(df_extratos!I:I,df_extratos!F:F,Conciliacao!BG41,df_extratos!G:G,"CREDITO")+SUMIFS(df_extratos!I:I,df_extratos!F:F,Conciliacao!BH41,df_extratos!G:G,"CREDITO")</f>
        <v/>
      </c>
      <c r="I41" s="9">
        <f>H41-SUM(B41:G41)</f>
        <v/>
      </c>
      <c r="J41" s="4">
        <f>SUMIFS(df_blueme_sem_parcelamento!E:E,df_blueme_sem_parcelamento!H:H,Conciliacao!A41)*(-1)</f>
        <v/>
      </c>
      <c r="K41" s="4">
        <f>SUMIFS(df_blueme_com_parcelamento!J:J,df_blueme_com_parcelamento!M:M,Conciliacao!A41)*(-1)</f>
        <v/>
      </c>
      <c r="L41" s="4">
        <f>SUMIFS(df_mutuos!N:N,df_mutuos!B:B,Conciliacao!A41)*(-1)</f>
        <v/>
      </c>
      <c r="M41" s="8">
        <f>SUMIFS(df_bloqueios_judiciais!G:G,df_bloqueios_judiciais!D:D,Conciliacao!A41,df_bloqueios_judiciais!G:G,"&lt;0")</f>
        <v/>
      </c>
      <c r="N41" s="10">
        <f>SUMIFS(df_extratos!I:I,df_extratos!F:F,Conciliacao!BE41,df_extratos!G:G,"DEBITO")+SUMIFS(df_extratos!I:I,df_extratos!F:F,Conciliacao!A41,df_extratos!G:G,"DEBITO")+SUMIFS(df_extratos!I:I,df_extratos!F:F,Conciliacao!BF41,df_extratos!G:G,"DEBITO")+SUMIFS(df_extratos!I:I,df_extratos!F:F,Conciliacao!BG41,df_extratos!G:G,"DEBITO")+SUMIFS(df_extratos!I:I,df_extratos!F:F,Conciliacao!BH41,df_extratos!G:G,"DEBITO")</f>
        <v/>
      </c>
      <c r="O41" s="11">
        <f>N41-SUM(J41:M41)</f>
        <v/>
      </c>
      <c r="P41" s="25">
        <f>SUMIFS(df_ajustes_conciliaco!D:D,df_ajustes_conciliaco!C:C,Conciliacao!A41)</f>
        <v/>
      </c>
      <c r="Q41" s="22">
        <f>O41+I41-P41</f>
        <v/>
      </c>
      <c r="BE41" s="20" t="n">
        <v>45697.5</v>
      </c>
      <c r="BF41" s="20" t="n">
        <v>45697.125</v>
      </c>
      <c r="BG41" s="20" t="n">
        <v>45697.54166666666</v>
      </c>
      <c r="BH41" s="20" t="n">
        <v>45697.625</v>
      </c>
    </row>
    <row r="42">
      <c r="A42" s="5">
        <f>A41+1</f>
        <v/>
      </c>
      <c r="B42" s="3">
        <f>-SUMIFS(df_extrato_zig!G:G,df_extrato_zig!E:E,Conciliacao!A42,df_extrato_zig!D:D,"Saque")-SUMIFS(df_extrato_zig!G:G,df_extrato_zig!E:E,Conciliacao!A42,df_extrato_zig!D:D,"Antecipação")</f>
        <v/>
      </c>
      <c r="C42" s="3">
        <f>SUMIFS(df_extrato_zig!E:E,df_extrato_zig!L:L,Conciliacao!A42,df_extrato_zig!F:F,"DINHEIRO")</f>
        <v/>
      </c>
      <c r="D42" s="3">
        <f>SUMIFS(view_parc_agrup!H:H,view_parc_agrup!G:G,Conciliacao!A42)</f>
        <v/>
      </c>
      <c r="E42" s="3">
        <f>SUMIFS(df_eventos!F:F,df_eventos!H:H,Conciliacao!A42)</f>
        <v/>
      </c>
      <c r="F42" s="3">
        <f>SUMIFS(df_mutuos!M:M,df_mutuos!B:B,Conciliacao!A42)</f>
        <v/>
      </c>
      <c r="G42" s="6">
        <f>SUMIFS(df_bloqueios_judiciais!G:G,df_bloqueios_judiciais!D:D,Conciliacao!A42,df_bloqueios_judiciais!G:G,"&gt;0")</f>
        <v/>
      </c>
      <c r="H42" s="7">
        <f>SUMIFS(df_extratos!I:I,df_extratos!F:F,Conciliacao!BE42,df_extratos!G:G,"CREDITO")+SUMIFS(df_extratos!I:I,df_extratos!F:F,Conciliacao!A42,df_extratos!G:G,"CREDITO")+SUMIFS(df_extratos!I:I,df_extratos!F:F,Conciliacao!BF42,df_extratos!G:G,"CREDITO")+SUMIFS(df_extratos!I:I,df_extratos!F:F,Conciliacao!BG42,df_extratos!G:G,"CREDITO")+SUMIFS(df_extratos!I:I,df_extratos!F:F,Conciliacao!BH42,df_extratos!G:G,"CREDITO")</f>
        <v/>
      </c>
      <c r="I42" s="9">
        <f>H42-SUM(B42:G42)</f>
        <v/>
      </c>
      <c r="J42" s="4">
        <f>SUMIFS(df_blueme_sem_parcelamento!E:E,df_blueme_sem_parcelamento!H:H,Conciliacao!A42)*(-1)</f>
        <v/>
      </c>
      <c r="K42" s="4">
        <f>SUMIFS(df_blueme_com_parcelamento!J:J,df_blueme_com_parcelamento!M:M,Conciliacao!A42)*(-1)</f>
        <v/>
      </c>
      <c r="L42" s="4">
        <f>SUMIFS(df_mutuos!N:N,df_mutuos!B:B,Conciliacao!A42)*(-1)</f>
        <v/>
      </c>
      <c r="M42" s="8">
        <f>SUMIFS(df_bloqueios_judiciais!G:G,df_bloqueios_judiciais!D:D,Conciliacao!A42,df_bloqueios_judiciais!G:G,"&lt;0")</f>
        <v/>
      </c>
      <c r="N42" s="10">
        <f>SUMIFS(df_extratos!I:I,df_extratos!F:F,Conciliacao!BE42,df_extratos!G:G,"DEBITO")+SUMIFS(df_extratos!I:I,df_extratos!F:F,Conciliacao!A42,df_extratos!G:G,"DEBITO")+SUMIFS(df_extratos!I:I,df_extratos!F:F,Conciliacao!BF42,df_extratos!G:G,"DEBITO")+SUMIFS(df_extratos!I:I,df_extratos!F:F,Conciliacao!BG42,df_extratos!G:G,"DEBITO")+SUMIFS(df_extratos!I:I,df_extratos!F:F,Conciliacao!BH42,df_extratos!G:G,"DEBITO")</f>
        <v/>
      </c>
      <c r="O42" s="11">
        <f>N42-SUM(J42:M42)</f>
        <v/>
      </c>
      <c r="P42" s="25">
        <f>SUMIFS(df_ajustes_conciliaco!D:D,df_ajustes_conciliaco!C:C,Conciliacao!A42)</f>
        <v/>
      </c>
      <c r="Q42" s="22">
        <f>O42+I42-P42</f>
        <v/>
      </c>
      <c r="BE42" s="20" t="n">
        <v>45698.5</v>
      </c>
      <c r="BF42" s="20" t="n">
        <v>45698.125</v>
      </c>
      <c r="BG42" s="20" t="n">
        <v>45698.54166666666</v>
      </c>
      <c r="BH42" s="20" t="n">
        <v>45698.625</v>
      </c>
    </row>
    <row r="43">
      <c r="A43" s="5">
        <f>A42+1</f>
        <v/>
      </c>
      <c r="B43" s="3">
        <f>-SUMIFS(df_extrato_zig!G:G,df_extrato_zig!E:E,Conciliacao!A43,df_extrato_zig!D:D,"Saque")-SUMIFS(df_extrato_zig!G:G,df_extrato_zig!E:E,Conciliacao!A43,df_extrato_zig!D:D,"Antecipação")</f>
        <v/>
      </c>
      <c r="C43" s="3">
        <f>SUMIFS(df_extrato_zig!E:E,df_extrato_zig!L:L,Conciliacao!A43,df_extrato_zig!F:F,"DINHEIRO")</f>
        <v/>
      </c>
      <c r="D43" s="3">
        <f>SUMIFS(view_parc_agrup!H:H,view_parc_agrup!G:G,Conciliacao!A43)</f>
        <v/>
      </c>
      <c r="E43" s="3">
        <f>SUMIFS(df_eventos!F:F,df_eventos!H:H,Conciliacao!A43)</f>
        <v/>
      </c>
      <c r="F43" s="3">
        <f>SUMIFS(df_mutuos!M:M,df_mutuos!B:B,Conciliacao!A43)</f>
        <v/>
      </c>
      <c r="G43" s="6">
        <f>SUMIFS(df_bloqueios_judiciais!G:G,df_bloqueios_judiciais!D:D,Conciliacao!A43,df_bloqueios_judiciais!G:G,"&gt;0")</f>
        <v/>
      </c>
      <c r="H43" s="7">
        <f>SUMIFS(df_extratos!I:I,df_extratos!F:F,Conciliacao!BE43,df_extratos!G:G,"CREDITO")+SUMIFS(df_extratos!I:I,df_extratos!F:F,Conciliacao!A43,df_extratos!G:G,"CREDITO")+SUMIFS(df_extratos!I:I,df_extratos!F:F,Conciliacao!BF43,df_extratos!G:G,"CREDITO")+SUMIFS(df_extratos!I:I,df_extratos!F:F,Conciliacao!BG43,df_extratos!G:G,"CREDITO")+SUMIFS(df_extratos!I:I,df_extratos!F:F,Conciliacao!BH43,df_extratos!G:G,"CREDITO")</f>
        <v/>
      </c>
      <c r="I43" s="9">
        <f>H43-SUM(B43:G43)</f>
        <v/>
      </c>
      <c r="J43" s="4">
        <f>SUMIFS(df_blueme_sem_parcelamento!E:E,df_blueme_sem_parcelamento!H:H,Conciliacao!A43)*(-1)</f>
        <v/>
      </c>
      <c r="K43" s="4">
        <f>SUMIFS(df_blueme_com_parcelamento!J:J,df_blueme_com_parcelamento!M:M,Conciliacao!A43)*(-1)</f>
        <v/>
      </c>
      <c r="L43" s="4">
        <f>SUMIFS(df_mutuos!N:N,df_mutuos!B:B,Conciliacao!A43)*(-1)</f>
        <v/>
      </c>
      <c r="M43" s="8">
        <f>SUMIFS(df_bloqueios_judiciais!G:G,df_bloqueios_judiciais!D:D,Conciliacao!A43,df_bloqueios_judiciais!G:G,"&lt;0")</f>
        <v/>
      </c>
      <c r="N43" s="10">
        <f>SUMIFS(df_extratos!I:I,df_extratos!F:F,Conciliacao!BE43,df_extratos!G:G,"DEBITO")+SUMIFS(df_extratos!I:I,df_extratos!F:F,Conciliacao!A43,df_extratos!G:G,"DEBITO")+SUMIFS(df_extratos!I:I,df_extratos!F:F,Conciliacao!BF43,df_extratos!G:G,"DEBITO")+SUMIFS(df_extratos!I:I,df_extratos!F:F,Conciliacao!BG43,df_extratos!G:G,"DEBITO")+SUMIFS(df_extratos!I:I,df_extratos!F:F,Conciliacao!BH43,df_extratos!G:G,"DEBITO")</f>
        <v/>
      </c>
      <c r="O43" s="11">
        <f>N43-SUM(J43:M43)</f>
        <v/>
      </c>
      <c r="P43" s="25">
        <f>SUMIFS(df_ajustes_conciliaco!D:D,df_ajustes_conciliaco!C:C,Conciliacao!A43)</f>
        <v/>
      </c>
      <c r="Q43" s="22">
        <f>O43+I43-P43</f>
        <v/>
      </c>
      <c r="BE43" s="20" t="n">
        <v>45699.5</v>
      </c>
      <c r="BF43" s="20" t="n">
        <v>45699.125</v>
      </c>
      <c r="BG43" s="20" t="n">
        <v>45699.54166666666</v>
      </c>
      <c r="BH43" s="20" t="n">
        <v>45699.625</v>
      </c>
    </row>
    <row r="44">
      <c r="A44" s="5">
        <f>A43+1</f>
        <v/>
      </c>
      <c r="B44" s="3">
        <f>-SUMIFS(df_extrato_zig!G:G,df_extrato_zig!E:E,Conciliacao!A44,df_extrato_zig!D:D,"Saque")-SUMIFS(df_extrato_zig!G:G,df_extrato_zig!E:E,Conciliacao!A44,df_extrato_zig!D:D,"Antecipação")</f>
        <v/>
      </c>
      <c r="C44" s="3">
        <f>SUMIFS(df_extrato_zig!E:E,df_extrato_zig!L:L,Conciliacao!A44,df_extrato_zig!F:F,"DINHEIRO")</f>
        <v/>
      </c>
      <c r="D44" s="3">
        <f>SUMIFS(view_parc_agrup!H:H,view_parc_agrup!G:G,Conciliacao!A44)</f>
        <v/>
      </c>
      <c r="E44" s="3">
        <f>SUMIFS(df_eventos!F:F,df_eventos!H:H,Conciliacao!A44)</f>
        <v/>
      </c>
      <c r="F44" s="3">
        <f>SUMIFS(df_mutuos!M:M,df_mutuos!B:B,Conciliacao!A44)</f>
        <v/>
      </c>
      <c r="G44" s="6">
        <f>SUMIFS(df_bloqueios_judiciais!G:G,df_bloqueios_judiciais!D:D,Conciliacao!A44,df_bloqueios_judiciais!G:G,"&gt;0")</f>
        <v/>
      </c>
      <c r="H44" s="7">
        <f>SUMIFS(df_extratos!I:I,df_extratos!F:F,Conciliacao!BE44,df_extratos!G:G,"CREDITO")+SUMIFS(df_extratos!I:I,df_extratos!F:F,Conciliacao!A44,df_extratos!G:G,"CREDITO")+SUMIFS(df_extratos!I:I,df_extratos!F:F,Conciliacao!BF44,df_extratos!G:G,"CREDITO")+SUMIFS(df_extratos!I:I,df_extratos!F:F,Conciliacao!BG44,df_extratos!G:G,"CREDITO")+SUMIFS(df_extratos!I:I,df_extratos!F:F,Conciliacao!BH44,df_extratos!G:G,"CREDITO")</f>
        <v/>
      </c>
      <c r="I44" s="9">
        <f>H44-SUM(B44:G44)</f>
        <v/>
      </c>
      <c r="J44" s="4">
        <f>SUMIFS(df_blueme_sem_parcelamento!E:E,df_blueme_sem_parcelamento!H:H,Conciliacao!A44)*(-1)</f>
        <v/>
      </c>
      <c r="K44" s="4">
        <f>SUMIFS(df_blueme_com_parcelamento!J:J,df_blueme_com_parcelamento!M:M,Conciliacao!A44)*(-1)</f>
        <v/>
      </c>
      <c r="L44" s="4">
        <f>SUMIFS(df_mutuos!N:N,df_mutuos!B:B,Conciliacao!A44)*(-1)</f>
        <v/>
      </c>
      <c r="M44" s="8">
        <f>SUMIFS(df_bloqueios_judiciais!G:G,df_bloqueios_judiciais!D:D,Conciliacao!A44,df_bloqueios_judiciais!G:G,"&lt;0")</f>
        <v/>
      </c>
      <c r="N44" s="10">
        <f>SUMIFS(df_extratos!I:I,df_extratos!F:F,Conciliacao!BE44,df_extratos!G:G,"DEBITO")+SUMIFS(df_extratos!I:I,df_extratos!F:F,Conciliacao!A44,df_extratos!G:G,"DEBITO")+SUMIFS(df_extratos!I:I,df_extratos!F:F,Conciliacao!BF44,df_extratos!G:G,"DEBITO")+SUMIFS(df_extratos!I:I,df_extratos!F:F,Conciliacao!BG44,df_extratos!G:G,"DEBITO")+SUMIFS(df_extratos!I:I,df_extratos!F:F,Conciliacao!BH44,df_extratos!G:G,"DEBITO")</f>
        <v/>
      </c>
      <c r="O44" s="11">
        <f>N44-SUM(J44:M44)</f>
        <v/>
      </c>
      <c r="P44" s="25">
        <f>SUMIFS(df_ajustes_conciliaco!D:D,df_ajustes_conciliaco!C:C,Conciliacao!A44)</f>
        <v/>
      </c>
      <c r="Q44" s="22">
        <f>O44+I44-P44</f>
        <v/>
      </c>
      <c r="BE44" s="20" t="n">
        <v>45700.5</v>
      </c>
      <c r="BF44" s="20" t="n">
        <v>45700.125</v>
      </c>
      <c r="BG44" s="20" t="n">
        <v>45700.54166666666</v>
      </c>
      <c r="BH44" s="20" t="n">
        <v>45700.625</v>
      </c>
    </row>
    <row r="45">
      <c r="A45" s="5">
        <f>A44+1</f>
        <v/>
      </c>
      <c r="B45" s="3">
        <f>-SUMIFS(df_extrato_zig!G:G,df_extrato_zig!E:E,Conciliacao!A45,df_extrato_zig!D:D,"Saque")-SUMIFS(df_extrato_zig!G:G,df_extrato_zig!E:E,Conciliacao!A45,df_extrato_zig!D:D,"Antecipação")</f>
        <v/>
      </c>
      <c r="C45" s="3">
        <f>SUMIFS(df_extrato_zig!E:E,df_extrato_zig!L:L,Conciliacao!A45,df_extrato_zig!F:F,"DINHEIRO")</f>
        <v/>
      </c>
      <c r="D45" s="3">
        <f>SUMIFS(view_parc_agrup!H:H,view_parc_agrup!G:G,Conciliacao!A45)</f>
        <v/>
      </c>
      <c r="E45" s="3">
        <f>SUMIFS(df_eventos!F:F,df_eventos!H:H,Conciliacao!A45)</f>
        <v/>
      </c>
      <c r="F45" s="3">
        <f>SUMIFS(df_mutuos!M:M,df_mutuos!B:B,Conciliacao!A45)</f>
        <v/>
      </c>
      <c r="G45" s="6">
        <f>SUMIFS(df_bloqueios_judiciais!G:G,df_bloqueios_judiciais!D:D,Conciliacao!A45,df_bloqueios_judiciais!G:G,"&gt;0")</f>
        <v/>
      </c>
      <c r="H45" s="7">
        <f>SUMIFS(df_extratos!I:I,df_extratos!F:F,Conciliacao!BE45,df_extratos!G:G,"CREDITO")+SUMIFS(df_extratos!I:I,df_extratos!F:F,Conciliacao!A45,df_extratos!G:G,"CREDITO")+SUMIFS(df_extratos!I:I,df_extratos!F:F,Conciliacao!BF45,df_extratos!G:G,"CREDITO")+SUMIFS(df_extratos!I:I,df_extratos!F:F,Conciliacao!BG45,df_extratos!G:G,"CREDITO")+SUMIFS(df_extratos!I:I,df_extratos!F:F,Conciliacao!BH45,df_extratos!G:G,"CREDITO")</f>
        <v/>
      </c>
      <c r="I45" s="9">
        <f>H45-SUM(B45:G45)</f>
        <v/>
      </c>
      <c r="J45" s="4">
        <f>SUMIFS(df_blueme_sem_parcelamento!E:E,df_blueme_sem_parcelamento!H:H,Conciliacao!A45)*(-1)</f>
        <v/>
      </c>
      <c r="K45" s="4">
        <f>SUMIFS(df_blueme_com_parcelamento!J:J,df_blueme_com_parcelamento!M:M,Conciliacao!A45)*(-1)</f>
        <v/>
      </c>
      <c r="L45" s="4">
        <f>SUMIFS(df_mutuos!N:N,df_mutuos!B:B,Conciliacao!A45)*(-1)</f>
        <v/>
      </c>
      <c r="M45" s="8">
        <f>SUMIFS(df_bloqueios_judiciais!G:G,df_bloqueios_judiciais!D:D,Conciliacao!A45,df_bloqueios_judiciais!G:G,"&lt;0")</f>
        <v/>
      </c>
      <c r="N45" s="10">
        <f>SUMIFS(df_extratos!I:I,df_extratos!F:F,Conciliacao!BE45,df_extratos!G:G,"DEBITO")+SUMIFS(df_extratos!I:I,df_extratos!F:F,Conciliacao!A45,df_extratos!G:G,"DEBITO")+SUMIFS(df_extratos!I:I,df_extratos!F:F,Conciliacao!BF45,df_extratos!G:G,"DEBITO")+SUMIFS(df_extratos!I:I,df_extratos!F:F,Conciliacao!BG45,df_extratos!G:G,"DEBITO")+SUMIFS(df_extratos!I:I,df_extratos!F:F,Conciliacao!BH45,df_extratos!G:G,"DEBITO")</f>
        <v/>
      </c>
      <c r="O45" s="11">
        <f>N45-SUM(J45:M45)</f>
        <v/>
      </c>
      <c r="P45" s="25">
        <f>SUMIFS(df_ajustes_conciliaco!D:D,df_ajustes_conciliaco!C:C,Conciliacao!A45)</f>
        <v/>
      </c>
      <c r="Q45" s="22">
        <f>O45+I45-P45</f>
        <v/>
      </c>
      <c r="BE45" s="20" t="n">
        <v>45701.5</v>
      </c>
      <c r="BF45" s="20" t="n">
        <v>45701.125</v>
      </c>
      <c r="BG45" s="20" t="n">
        <v>45701.54166666666</v>
      </c>
      <c r="BH45" s="20" t="n">
        <v>45701.625</v>
      </c>
    </row>
    <row r="46">
      <c r="A46" s="5">
        <f>A45+1</f>
        <v/>
      </c>
      <c r="B46" s="3">
        <f>-SUMIFS(df_extrato_zig!G:G,df_extrato_zig!E:E,Conciliacao!A46,df_extrato_zig!D:D,"Saque")-SUMIFS(df_extrato_zig!G:G,df_extrato_zig!E:E,Conciliacao!A46,df_extrato_zig!D:D,"Antecipação")</f>
        <v/>
      </c>
      <c r="C46" s="3">
        <f>SUMIFS(df_extrato_zig!E:E,df_extrato_zig!L:L,Conciliacao!A46,df_extrato_zig!F:F,"DINHEIRO")</f>
        <v/>
      </c>
      <c r="D46" s="3">
        <f>SUMIFS(view_parc_agrup!H:H,view_parc_agrup!G:G,Conciliacao!A46)</f>
        <v/>
      </c>
      <c r="E46" s="3">
        <f>SUMIFS(df_eventos!F:F,df_eventos!H:H,Conciliacao!A46)</f>
        <v/>
      </c>
      <c r="F46" s="3">
        <f>SUMIFS(df_mutuos!M:M,df_mutuos!B:B,Conciliacao!A46)</f>
        <v/>
      </c>
      <c r="G46" s="6">
        <f>SUMIFS(df_bloqueios_judiciais!G:G,df_bloqueios_judiciais!D:D,Conciliacao!A46,df_bloqueios_judiciais!G:G,"&gt;0")</f>
        <v/>
      </c>
      <c r="H46" s="7">
        <f>SUMIFS(df_extratos!I:I,df_extratos!F:F,Conciliacao!BE46,df_extratos!G:G,"CREDITO")+SUMIFS(df_extratos!I:I,df_extratos!F:F,Conciliacao!A46,df_extratos!G:G,"CREDITO")+SUMIFS(df_extratos!I:I,df_extratos!F:F,Conciliacao!BF46,df_extratos!G:G,"CREDITO")+SUMIFS(df_extratos!I:I,df_extratos!F:F,Conciliacao!BG46,df_extratos!G:G,"CREDITO")+SUMIFS(df_extratos!I:I,df_extratos!F:F,Conciliacao!BH46,df_extratos!G:G,"CREDITO")</f>
        <v/>
      </c>
      <c r="I46" s="9">
        <f>H46-SUM(B46:G46)</f>
        <v/>
      </c>
      <c r="J46" s="4">
        <f>SUMIFS(df_blueme_sem_parcelamento!E:E,df_blueme_sem_parcelamento!H:H,Conciliacao!A46)*(-1)</f>
        <v/>
      </c>
      <c r="K46" s="4">
        <f>SUMIFS(df_blueme_com_parcelamento!J:J,df_blueme_com_parcelamento!M:M,Conciliacao!A46)*(-1)</f>
        <v/>
      </c>
      <c r="L46" s="4">
        <f>SUMIFS(df_mutuos!N:N,df_mutuos!B:B,Conciliacao!A46)*(-1)</f>
        <v/>
      </c>
      <c r="M46" s="8">
        <f>SUMIFS(df_bloqueios_judiciais!G:G,df_bloqueios_judiciais!D:D,Conciliacao!A46,df_bloqueios_judiciais!G:G,"&lt;0")</f>
        <v/>
      </c>
      <c r="N46" s="10">
        <f>SUMIFS(df_extratos!I:I,df_extratos!F:F,Conciliacao!BE46,df_extratos!G:G,"DEBITO")+SUMIFS(df_extratos!I:I,df_extratos!F:F,Conciliacao!A46,df_extratos!G:G,"DEBITO")+SUMIFS(df_extratos!I:I,df_extratos!F:F,Conciliacao!BF46,df_extratos!G:G,"DEBITO")+SUMIFS(df_extratos!I:I,df_extratos!F:F,Conciliacao!BG46,df_extratos!G:G,"DEBITO")+SUMIFS(df_extratos!I:I,df_extratos!F:F,Conciliacao!BH46,df_extratos!G:G,"DEBITO")</f>
        <v/>
      </c>
      <c r="O46" s="11">
        <f>N46-SUM(J46:M46)</f>
        <v/>
      </c>
      <c r="P46" s="25">
        <f>SUMIFS(df_ajustes_conciliaco!D:D,df_ajustes_conciliaco!C:C,Conciliacao!A46)</f>
        <v/>
      </c>
      <c r="Q46" s="22">
        <f>O46+I46-P46</f>
        <v/>
      </c>
      <c r="BE46" s="20" t="n">
        <v>45702.5</v>
      </c>
      <c r="BF46" s="20" t="n">
        <v>45702.125</v>
      </c>
      <c r="BG46" s="20" t="n">
        <v>45702.54166666666</v>
      </c>
      <c r="BH46" s="20" t="n">
        <v>45702.625</v>
      </c>
    </row>
    <row r="47">
      <c r="A47" s="5">
        <f>A46+1</f>
        <v/>
      </c>
      <c r="B47" s="3">
        <f>-SUMIFS(df_extrato_zig!G:G,df_extrato_zig!E:E,Conciliacao!A47,df_extrato_zig!D:D,"Saque")-SUMIFS(df_extrato_zig!G:G,df_extrato_zig!E:E,Conciliacao!A47,df_extrato_zig!D:D,"Antecipação")</f>
        <v/>
      </c>
      <c r="C47" s="3">
        <f>SUMIFS(df_extrato_zig!E:E,df_extrato_zig!L:L,Conciliacao!A47,df_extrato_zig!F:F,"DINHEIRO")</f>
        <v/>
      </c>
      <c r="D47" s="3">
        <f>SUMIFS(view_parc_agrup!H:H,view_parc_agrup!G:G,Conciliacao!A47)</f>
        <v/>
      </c>
      <c r="E47" s="3">
        <f>SUMIFS(df_eventos!F:F,df_eventos!H:H,Conciliacao!A47)</f>
        <v/>
      </c>
      <c r="F47" s="3">
        <f>SUMIFS(df_mutuos!M:M,df_mutuos!B:B,Conciliacao!A47)</f>
        <v/>
      </c>
      <c r="G47" s="6">
        <f>SUMIFS(df_bloqueios_judiciais!G:G,df_bloqueios_judiciais!D:D,Conciliacao!A47,df_bloqueios_judiciais!G:G,"&gt;0")</f>
        <v/>
      </c>
      <c r="H47" s="7">
        <f>SUMIFS(df_extratos!I:I,df_extratos!F:F,Conciliacao!BE47,df_extratos!G:G,"CREDITO")+SUMIFS(df_extratos!I:I,df_extratos!F:F,Conciliacao!A47,df_extratos!G:G,"CREDITO")+SUMIFS(df_extratos!I:I,df_extratos!F:F,Conciliacao!BF47,df_extratos!G:G,"CREDITO")+SUMIFS(df_extratos!I:I,df_extratos!F:F,Conciliacao!BG47,df_extratos!G:G,"CREDITO")+SUMIFS(df_extratos!I:I,df_extratos!F:F,Conciliacao!BH47,df_extratos!G:G,"CREDITO")</f>
        <v/>
      </c>
      <c r="I47" s="9">
        <f>H47-SUM(B47:G47)</f>
        <v/>
      </c>
      <c r="J47" s="4">
        <f>SUMIFS(df_blueme_sem_parcelamento!E:E,df_blueme_sem_parcelamento!H:H,Conciliacao!A47)*(-1)</f>
        <v/>
      </c>
      <c r="K47" s="4">
        <f>SUMIFS(df_blueme_com_parcelamento!J:J,df_blueme_com_parcelamento!M:M,Conciliacao!A47)*(-1)</f>
        <v/>
      </c>
      <c r="L47" s="4">
        <f>SUMIFS(df_mutuos!N:N,df_mutuos!B:B,Conciliacao!A47)*(-1)</f>
        <v/>
      </c>
      <c r="M47" s="8">
        <f>SUMIFS(df_bloqueios_judiciais!G:G,df_bloqueios_judiciais!D:D,Conciliacao!A47,df_bloqueios_judiciais!G:G,"&lt;0")</f>
        <v/>
      </c>
      <c r="N47" s="10">
        <f>SUMIFS(df_extratos!I:I,df_extratos!F:F,Conciliacao!BE47,df_extratos!G:G,"DEBITO")+SUMIFS(df_extratos!I:I,df_extratos!F:F,Conciliacao!A47,df_extratos!G:G,"DEBITO")+SUMIFS(df_extratos!I:I,df_extratos!F:F,Conciliacao!BF47,df_extratos!G:G,"DEBITO")+SUMIFS(df_extratos!I:I,df_extratos!F:F,Conciliacao!BG47,df_extratos!G:G,"DEBITO")+SUMIFS(df_extratos!I:I,df_extratos!F:F,Conciliacao!BH47,df_extratos!G:G,"DEBITO")</f>
        <v/>
      </c>
      <c r="O47" s="11">
        <f>N47-SUM(J47:M47)</f>
        <v/>
      </c>
      <c r="P47" s="25">
        <f>SUMIFS(df_ajustes_conciliaco!D:D,df_ajustes_conciliaco!C:C,Conciliacao!A47)</f>
        <v/>
      </c>
      <c r="Q47" s="22">
        <f>O47+I47-P47</f>
        <v/>
      </c>
      <c r="BE47" s="20" t="n">
        <v>45703.5</v>
      </c>
      <c r="BF47" s="20" t="n">
        <v>45703.125</v>
      </c>
      <c r="BG47" s="20" t="n">
        <v>45703.54166666666</v>
      </c>
      <c r="BH47" s="20" t="n">
        <v>45703.625</v>
      </c>
    </row>
    <row r="48">
      <c r="A48" s="5">
        <f>A47+1</f>
        <v/>
      </c>
      <c r="B48" s="3">
        <f>-SUMIFS(df_extrato_zig!G:G,df_extrato_zig!E:E,Conciliacao!A48,df_extrato_zig!D:D,"Saque")-SUMIFS(df_extrato_zig!G:G,df_extrato_zig!E:E,Conciliacao!A48,df_extrato_zig!D:D,"Antecipação")</f>
        <v/>
      </c>
      <c r="C48" s="3">
        <f>SUMIFS(df_extrato_zig!E:E,df_extrato_zig!L:L,Conciliacao!A48,df_extrato_zig!F:F,"DINHEIRO")</f>
        <v/>
      </c>
      <c r="D48" s="3">
        <f>SUMIFS(view_parc_agrup!H:H,view_parc_agrup!G:G,Conciliacao!A48)</f>
        <v/>
      </c>
      <c r="E48" s="3">
        <f>SUMIFS(df_eventos!F:F,df_eventos!H:H,Conciliacao!A48)</f>
        <v/>
      </c>
      <c r="F48" s="3">
        <f>SUMIFS(df_mutuos!M:M,df_mutuos!B:B,Conciliacao!A48)</f>
        <v/>
      </c>
      <c r="G48" s="6">
        <f>SUMIFS(df_bloqueios_judiciais!G:G,df_bloqueios_judiciais!D:D,Conciliacao!A48,df_bloqueios_judiciais!G:G,"&gt;0")</f>
        <v/>
      </c>
      <c r="H48" s="7">
        <f>SUMIFS(df_extratos!I:I,df_extratos!F:F,Conciliacao!BE48,df_extratos!G:G,"CREDITO")+SUMIFS(df_extratos!I:I,df_extratos!F:F,Conciliacao!A48,df_extratos!G:G,"CREDITO")+SUMIFS(df_extratos!I:I,df_extratos!F:F,Conciliacao!BF48,df_extratos!G:G,"CREDITO")+SUMIFS(df_extratos!I:I,df_extratos!F:F,Conciliacao!BG48,df_extratos!G:G,"CREDITO")+SUMIFS(df_extratos!I:I,df_extratos!F:F,Conciliacao!BH48,df_extratos!G:G,"CREDITO")</f>
        <v/>
      </c>
      <c r="I48" s="9">
        <f>H48-SUM(B48:G48)</f>
        <v/>
      </c>
      <c r="J48" s="4">
        <f>SUMIFS(df_blueme_sem_parcelamento!E:E,df_blueme_sem_parcelamento!H:H,Conciliacao!A48)*(-1)</f>
        <v/>
      </c>
      <c r="K48" s="4">
        <f>SUMIFS(df_blueme_com_parcelamento!J:J,df_blueme_com_parcelamento!M:M,Conciliacao!A48)*(-1)</f>
        <v/>
      </c>
      <c r="L48" s="4">
        <f>SUMIFS(df_mutuos!N:N,df_mutuos!B:B,Conciliacao!A48)*(-1)</f>
        <v/>
      </c>
      <c r="M48" s="8">
        <f>SUMIFS(df_bloqueios_judiciais!G:G,df_bloqueios_judiciais!D:D,Conciliacao!A48,df_bloqueios_judiciais!G:G,"&lt;0")</f>
        <v/>
      </c>
      <c r="N48" s="10">
        <f>SUMIFS(df_extratos!I:I,df_extratos!F:F,Conciliacao!BE48,df_extratos!G:G,"DEBITO")+SUMIFS(df_extratos!I:I,df_extratos!F:F,Conciliacao!A48,df_extratos!G:G,"DEBITO")+SUMIFS(df_extratos!I:I,df_extratos!F:F,Conciliacao!BF48,df_extratos!G:G,"DEBITO")+SUMIFS(df_extratos!I:I,df_extratos!F:F,Conciliacao!BG48,df_extratos!G:G,"DEBITO")+SUMIFS(df_extratos!I:I,df_extratos!F:F,Conciliacao!BH48,df_extratos!G:G,"DEBITO")</f>
        <v/>
      </c>
      <c r="O48" s="11">
        <f>N48-SUM(J48:M48)</f>
        <v/>
      </c>
      <c r="P48" s="25">
        <f>SUMIFS(df_ajustes_conciliaco!D:D,df_ajustes_conciliaco!C:C,Conciliacao!A48)</f>
        <v/>
      </c>
      <c r="Q48" s="22">
        <f>O48+I48-P48</f>
        <v/>
      </c>
      <c r="BE48" s="20" t="n">
        <v>45704.5</v>
      </c>
      <c r="BF48" s="20" t="n">
        <v>45704.125</v>
      </c>
      <c r="BG48" s="20" t="n">
        <v>45704.54166666666</v>
      </c>
      <c r="BH48" s="20" t="n">
        <v>45704.625</v>
      </c>
    </row>
    <row r="49">
      <c r="A49" s="5">
        <f>A48+1</f>
        <v/>
      </c>
      <c r="B49" s="3">
        <f>-SUMIFS(df_extrato_zig!G:G,df_extrato_zig!E:E,Conciliacao!A49,df_extrato_zig!D:D,"Saque")-SUMIFS(df_extrato_zig!G:G,df_extrato_zig!E:E,Conciliacao!A49,df_extrato_zig!D:D,"Antecipação")</f>
        <v/>
      </c>
      <c r="C49" s="3">
        <f>SUMIFS(df_extrato_zig!E:E,df_extrato_zig!L:L,Conciliacao!A49,df_extrato_zig!F:F,"DINHEIRO")</f>
        <v/>
      </c>
      <c r="D49" s="3">
        <f>SUMIFS(view_parc_agrup!H:H,view_parc_agrup!G:G,Conciliacao!A49)</f>
        <v/>
      </c>
      <c r="E49" s="3">
        <f>SUMIFS(df_eventos!F:F,df_eventos!H:H,Conciliacao!A49)</f>
        <v/>
      </c>
      <c r="F49" s="3">
        <f>SUMIFS(df_mutuos!M:M,df_mutuos!B:B,Conciliacao!A49)</f>
        <v/>
      </c>
      <c r="G49" s="6">
        <f>SUMIFS(df_bloqueios_judiciais!G:G,df_bloqueios_judiciais!D:D,Conciliacao!A49,df_bloqueios_judiciais!G:G,"&gt;0")</f>
        <v/>
      </c>
      <c r="H49" s="7">
        <f>SUMIFS(df_extratos!I:I,df_extratos!F:F,Conciliacao!BE49,df_extratos!G:G,"CREDITO")+SUMIFS(df_extratos!I:I,df_extratos!F:F,Conciliacao!A49,df_extratos!G:G,"CREDITO")+SUMIFS(df_extratos!I:I,df_extratos!F:F,Conciliacao!BF49,df_extratos!G:G,"CREDITO")+SUMIFS(df_extratos!I:I,df_extratos!F:F,Conciliacao!BG49,df_extratos!G:G,"CREDITO")+SUMIFS(df_extratos!I:I,df_extratos!F:F,Conciliacao!BH49,df_extratos!G:G,"CREDITO")</f>
        <v/>
      </c>
      <c r="I49" s="9">
        <f>H49-SUM(B49:G49)</f>
        <v/>
      </c>
      <c r="J49" s="4">
        <f>SUMIFS(df_blueme_sem_parcelamento!E:E,df_blueme_sem_parcelamento!H:H,Conciliacao!A49)*(-1)</f>
        <v/>
      </c>
      <c r="K49" s="4">
        <f>SUMIFS(df_blueme_com_parcelamento!J:J,df_blueme_com_parcelamento!M:M,Conciliacao!A49)*(-1)</f>
        <v/>
      </c>
      <c r="L49" s="4">
        <f>SUMIFS(df_mutuos!N:N,df_mutuos!B:B,Conciliacao!A49)*(-1)</f>
        <v/>
      </c>
      <c r="M49" s="8">
        <f>SUMIFS(df_bloqueios_judiciais!G:G,df_bloqueios_judiciais!D:D,Conciliacao!A49,df_bloqueios_judiciais!G:G,"&lt;0")</f>
        <v/>
      </c>
      <c r="N49" s="10">
        <f>SUMIFS(df_extratos!I:I,df_extratos!F:F,Conciliacao!BE49,df_extratos!G:G,"DEBITO")+SUMIFS(df_extratos!I:I,df_extratos!F:F,Conciliacao!A49,df_extratos!G:G,"DEBITO")+SUMIFS(df_extratos!I:I,df_extratos!F:F,Conciliacao!BF49,df_extratos!G:G,"DEBITO")+SUMIFS(df_extratos!I:I,df_extratos!F:F,Conciliacao!BG49,df_extratos!G:G,"DEBITO")+SUMIFS(df_extratos!I:I,df_extratos!F:F,Conciliacao!BH49,df_extratos!G:G,"DEBITO")</f>
        <v/>
      </c>
      <c r="O49" s="11">
        <f>N49-SUM(J49:M49)</f>
        <v/>
      </c>
      <c r="P49" s="25">
        <f>SUMIFS(df_ajustes_conciliaco!D:D,df_ajustes_conciliaco!C:C,Conciliacao!A49)</f>
        <v/>
      </c>
      <c r="Q49" s="22">
        <f>O49+I49-P49</f>
        <v/>
      </c>
      <c r="BE49" s="20" t="n">
        <v>45705.5</v>
      </c>
      <c r="BF49" s="20" t="n">
        <v>45705.125</v>
      </c>
      <c r="BG49" s="20" t="n">
        <v>45705.54166666666</v>
      </c>
      <c r="BH49" s="20" t="n">
        <v>45705.625</v>
      </c>
    </row>
    <row r="50">
      <c r="A50" s="5">
        <f>A49+1</f>
        <v/>
      </c>
      <c r="B50" s="3">
        <f>-SUMIFS(df_extrato_zig!G:G,df_extrato_zig!E:E,Conciliacao!A50,df_extrato_zig!D:D,"Saque")-SUMIFS(df_extrato_zig!G:G,df_extrato_zig!E:E,Conciliacao!A50,df_extrato_zig!D:D,"Antecipação")</f>
        <v/>
      </c>
      <c r="C50" s="3">
        <f>SUMIFS(df_extrato_zig!E:E,df_extrato_zig!L:L,Conciliacao!A50,df_extrato_zig!F:F,"DINHEIRO")</f>
        <v/>
      </c>
      <c r="D50" s="3">
        <f>SUMIFS(view_parc_agrup!H:H,view_parc_agrup!G:G,Conciliacao!A50)</f>
        <v/>
      </c>
      <c r="E50" s="3">
        <f>SUMIFS(df_eventos!F:F,df_eventos!H:H,Conciliacao!A50)</f>
        <v/>
      </c>
      <c r="F50" s="3">
        <f>SUMIFS(df_mutuos!M:M,df_mutuos!B:B,Conciliacao!A50)</f>
        <v/>
      </c>
      <c r="G50" s="6">
        <f>SUMIFS(df_bloqueios_judiciais!G:G,df_bloqueios_judiciais!D:D,Conciliacao!A50,df_bloqueios_judiciais!G:G,"&gt;0")</f>
        <v/>
      </c>
      <c r="H50" s="7">
        <f>SUMIFS(df_extratos!I:I,df_extratos!F:F,Conciliacao!BE50,df_extratos!G:G,"CREDITO")+SUMIFS(df_extratos!I:I,df_extratos!F:F,Conciliacao!A50,df_extratos!G:G,"CREDITO")+SUMIFS(df_extratos!I:I,df_extratos!F:F,Conciliacao!BF50,df_extratos!G:G,"CREDITO")+SUMIFS(df_extratos!I:I,df_extratos!F:F,Conciliacao!BG50,df_extratos!G:G,"CREDITO")+SUMIFS(df_extratos!I:I,df_extratos!F:F,Conciliacao!BH50,df_extratos!G:G,"CREDITO")</f>
        <v/>
      </c>
      <c r="I50" s="9">
        <f>H50-SUM(B50:G50)</f>
        <v/>
      </c>
      <c r="J50" s="4">
        <f>SUMIFS(df_blueme_sem_parcelamento!E:E,df_blueme_sem_parcelamento!H:H,Conciliacao!A50)*(-1)</f>
        <v/>
      </c>
      <c r="K50" s="4">
        <f>SUMIFS(df_blueme_com_parcelamento!J:J,df_blueme_com_parcelamento!M:M,Conciliacao!A50)*(-1)</f>
        <v/>
      </c>
      <c r="L50" s="4">
        <f>SUMIFS(df_mutuos!N:N,df_mutuos!B:B,Conciliacao!A50)*(-1)</f>
        <v/>
      </c>
      <c r="M50" s="8">
        <f>SUMIFS(df_bloqueios_judiciais!G:G,df_bloqueios_judiciais!D:D,Conciliacao!A50,df_bloqueios_judiciais!G:G,"&lt;0")</f>
        <v/>
      </c>
      <c r="N50" s="10">
        <f>SUMIFS(df_extratos!I:I,df_extratos!F:F,Conciliacao!BE50,df_extratos!G:G,"DEBITO")+SUMIFS(df_extratos!I:I,df_extratos!F:F,Conciliacao!A50,df_extratos!G:G,"DEBITO")+SUMIFS(df_extratos!I:I,df_extratos!F:F,Conciliacao!BF50,df_extratos!G:G,"DEBITO")+SUMIFS(df_extratos!I:I,df_extratos!F:F,Conciliacao!BG50,df_extratos!G:G,"DEBITO")+SUMIFS(df_extratos!I:I,df_extratos!F:F,Conciliacao!BH50,df_extratos!G:G,"DEBITO")</f>
        <v/>
      </c>
      <c r="O50" s="11">
        <f>N50-SUM(J50:M50)</f>
        <v/>
      </c>
      <c r="P50" s="25">
        <f>SUMIFS(df_ajustes_conciliaco!D:D,df_ajustes_conciliaco!C:C,Conciliacao!A50)</f>
        <v/>
      </c>
      <c r="Q50" s="22">
        <f>O50+I50-P50</f>
        <v/>
      </c>
      <c r="BE50" s="20" t="n">
        <v>45706.5</v>
      </c>
      <c r="BF50" s="20" t="n">
        <v>45706.125</v>
      </c>
      <c r="BG50" s="20" t="n">
        <v>45706.54166666666</v>
      </c>
      <c r="BH50" s="20" t="n">
        <v>45706.625</v>
      </c>
    </row>
    <row r="51">
      <c r="A51" s="5">
        <f>A50+1</f>
        <v/>
      </c>
      <c r="B51" s="3">
        <f>-SUMIFS(df_extrato_zig!G:G,df_extrato_zig!E:E,Conciliacao!A51,df_extrato_zig!D:D,"Saque")-SUMIFS(df_extrato_zig!G:G,df_extrato_zig!E:E,Conciliacao!A51,df_extrato_zig!D:D,"Antecipação")</f>
        <v/>
      </c>
      <c r="C51" s="3">
        <f>SUMIFS(df_extrato_zig!E:E,df_extrato_zig!L:L,Conciliacao!A51,df_extrato_zig!F:F,"DINHEIRO")</f>
        <v/>
      </c>
      <c r="D51" s="3">
        <f>SUMIFS(view_parc_agrup!H:H,view_parc_agrup!G:G,Conciliacao!A51)</f>
        <v/>
      </c>
      <c r="E51" s="3">
        <f>SUMIFS(df_eventos!F:F,df_eventos!H:H,Conciliacao!A51)</f>
        <v/>
      </c>
      <c r="F51" s="3">
        <f>SUMIFS(df_mutuos!M:M,df_mutuos!B:B,Conciliacao!A51)</f>
        <v/>
      </c>
      <c r="G51" s="6">
        <f>SUMIFS(df_bloqueios_judiciais!G:G,df_bloqueios_judiciais!D:D,Conciliacao!A51,df_bloqueios_judiciais!G:G,"&gt;0")</f>
        <v/>
      </c>
      <c r="H51" s="7">
        <f>SUMIFS(df_extratos!I:I,df_extratos!F:F,Conciliacao!BE51,df_extratos!G:G,"CREDITO")+SUMIFS(df_extratos!I:I,df_extratos!F:F,Conciliacao!A51,df_extratos!G:G,"CREDITO")+SUMIFS(df_extratos!I:I,df_extratos!F:F,Conciliacao!BF51,df_extratos!G:G,"CREDITO")+SUMIFS(df_extratos!I:I,df_extratos!F:F,Conciliacao!BG51,df_extratos!G:G,"CREDITO")+SUMIFS(df_extratos!I:I,df_extratos!F:F,Conciliacao!BH51,df_extratos!G:G,"CREDITO")</f>
        <v/>
      </c>
      <c r="I51" s="9">
        <f>H51-SUM(B51:G51)</f>
        <v/>
      </c>
      <c r="J51" s="4">
        <f>SUMIFS(df_blueme_sem_parcelamento!E:E,df_blueme_sem_parcelamento!H:H,Conciliacao!A51)*(-1)</f>
        <v/>
      </c>
      <c r="K51" s="4">
        <f>SUMIFS(df_blueme_com_parcelamento!J:J,df_blueme_com_parcelamento!M:M,Conciliacao!A51)*(-1)</f>
        <v/>
      </c>
      <c r="L51" s="4">
        <f>SUMIFS(df_mutuos!N:N,df_mutuos!B:B,Conciliacao!A51)*(-1)</f>
        <v/>
      </c>
      <c r="M51" s="8">
        <f>SUMIFS(df_bloqueios_judiciais!G:G,df_bloqueios_judiciais!D:D,Conciliacao!A51,df_bloqueios_judiciais!G:G,"&lt;0")</f>
        <v/>
      </c>
      <c r="N51" s="10">
        <f>SUMIFS(df_extratos!I:I,df_extratos!F:F,Conciliacao!BE51,df_extratos!G:G,"DEBITO")+SUMIFS(df_extratos!I:I,df_extratos!F:F,Conciliacao!A51,df_extratos!G:G,"DEBITO")+SUMIFS(df_extratos!I:I,df_extratos!F:F,Conciliacao!BF51,df_extratos!G:G,"DEBITO")+SUMIFS(df_extratos!I:I,df_extratos!F:F,Conciliacao!BG51,df_extratos!G:G,"DEBITO")+SUMIFS(df_extratos!I:I,df_extratos!F:F,Conciliacao!BH51,df_extratos!G:G,"DEBITO")</f>
        <v/>
      </c>
      <c r="O51" s="11">
        <f>N51-SUM(J51:M51)</f>
        <v/>
      </c>
      <c r="P51" s="25">
        <f>SUMIFS(df_ajustes_conciliaco!D:D,df_ajustes_conciliaco!C:C,Conciliacao!A51)</f>
        <v/>
      </c>
      <c r="Q51" s="22">
        <f>O51+I51-P51</f>
        <v/>
      </c>
      <c r="BE51" s="20" t="n">
        <v>45707.5</v>
      </c>
      <c r="BF51" s="20" t="n">
        <v>45707.125</v>
      </c>
      <c r="BG51" s="20" t="n">
        <v>45707.54166666666</v>
      </c>
      <c r="BH51" s="20" t="n">
        <v>45707.625</v>
      </c>
    </row>
    <row r="52">
      <c r="A52" s="5">
        <f>A51+1</f>
        <v/>
      </c>
      <c r="B52" s="3">
        <f>-SUMIFS(df_extrato_zig!G:G,df_extrato_zig!E:E,Conciliacao!A52,df_extrato_zig!D:D,"Saque")-SUMIFS(df_extrato_zig!G:G,df_extrato_zig!E:E,Conciliacao!A52,df_extrato_zig!D:D,"Antecipação")</f>
        <v/>
      </c>
      <c r="C52" s="3">
        <f>SUMIFS(df_extrato_zig!E:E,df_extrato_zig!L:L,Conciliacao!A52,df_extrato_zig!F:F,"DINHEIRO")</f>
        <v/>
      </c>
      <c r="D52" s="3">
        <f>SUMIFS(view_parc_agrup!H:H,view_parc_agrup!G:G,Conciliacao!A52)</f>
        <v/>
      </c>
      <c r="E52" s="3">
        <f>SUMIFS(df_eventos!F:F,df_eventos!H:H,Conciliacao!A52)</f>
        <v/>
      </c>
      <c r="F52" s="3">
        <f>SUMIFS(df_mutuos!M:M,df_mutuos!B:B,Conciliacao!A52)</f>
        <v/>
      </c>
      <c r="G52" s="6">
        <f>SUMIFS(df_bloqueios_judiciais!G:G,df_bloqueios_judiciais!D:D,Conciliacao!A52,df_bloqueios_judiciais!G:G,"&gt;0")</f>
        <v/>
      </c>
      <c r="H52" s="7">
        <f>SUMIFS(df_extratos!I:I,df_extratos!F:F,Conciliacao!BE52,df_extratos!G:G,"CREDITO")+SUMIFS(df_extratos!I:I,df_extratos!F:F,Conciliacao!A52,df_extratos!G:G,"CREDITO")+SUMIFS(df_extratos!I:I,df_extratos!F:F,Conciliacao!BF52,df_extratos!G:G,"CREDITO")+SUMIFS(df_extratos!I:I,df_extratos!F:F,Conciliacao!BG52,df_extratos!G:G,"CREDITO")+SUMIFS(df_extratos!I:I,df_extratos!F:F,Conciliacao!BH52,df_extratos!G:G,"CREDITO")</f>
        <v/>
      </c>
      <c r="I52" s="9">
        <f>H52-SUM(B52:G52)</f>
        <v/>
      </c>
      <c r="J52" s="4">
        <f>SUMIFS(df_blueme_sem_parcelamento!E:E,df_blueme_sem_parcelamento!H:H,Conciliacao!A52)*(-1)</f>
        <v/>
      </c>
      <c r="K52" s="4">
        <f>SUMIFS(df_blueme_com_parcelamento!J:J,df_blueme_com_parcelamento!M:M,Conciliacao!A52)*(-1)</f>
        <v/>
      </c>
      <c r="L52" s="4">
        <f>SUMIFS(df_mutuos!N:N,df_mutuos!B:B,Conciliacao!A52)*(-1)</f>
        <v/>
      </c>
      <c r="M52" s="8">
        <f>SUMIFS(df_bloqueios_judiciais!G:G,df_bloqueios_judiciais!D:D,Conciliacao!A52,df_bloqueios_judiciais!G:G,"&lt;0")</f>
        <v/>
      </c>
      <c r="N52" s="10">
        <f>SUMIFS(df_extratos!I:I,df_extratos!F:F,Conciliacao!BE52,df_extratos!G:G,"DEBITO")+SUMIFS(df_extratos!I:I,df_extratos!F:F,Conciliacao!A52,df_extratos!G:G,"DEBITO")+SUMIFS(df_extratos!I:I,df_extratos!F:F,Conciliacao!BF52,df_extratos!G:G,"DEBITO")+SUMIFS(df_extratos!I:I,df_extratos!F:F,Conciliacao!BG52,df_extratos!G:G,"DEBITO")+SUMIFS(df_extratos!I:I,df_extratos!F:F,Conciliacao!BH52,df_extratos!G:G,"DEBITO")</f>
        <v/>
      </c>
      <c r="O52" s="11">
        <f>N52-SUM(J52:M52)</f>
        <v/>
      </c>
      <c r="P52" s="25">
        <f>SUMIFS(df_ajustes_conciliaco!D:D,df_ajustes_conciliaco!C:C,Conciliacao!A52)</f>
        <v/>
      </c>
      <c r="Q52" s="22">
        <f>O52+I52-P52</f>
        <v/>
      </c>
      <c r="BE52" s="20" t="n">
        <v>45708.5</v>
      </c>
      <c r="BF52" s="20" t="n">
        <v>45708.125</v>
      </c>
      <c r="BG52" s="20" t="n">
        <v>45708.54166666666</v>
      </c>
      <c r="BH52" s="20" t="n">
        <v>45708.625</v>
      </c>
    </row>
    <row r="53">
      <c r="A53" s="5">
        <f>A52+1</f>
        <v/>
      </c>
      <c r="B53" s="3">
        <f>-SUMIFS(df_extrato_zig!G:G,df_extrato_zig!E:E,Conciliacao!A53,df_extrato_zig!D:D,"Saque")-SUMIFS(df_extrato_zig!G:G,df_extrato_zig!E:E,Conciliacao!A53,df_extrato_zig!D:D,"Antecipação")</f>
        <v/>
      </c>
      <c r="C53" s="3">
        <f>SUMIFS(df_extrato_zig!E:E,df_extrato_zig!L:L,Conciliacao!A53,df_extrato_zig!F:F,"DINHEIRO")</f>
        <v/>
      </c>
      <c r="D53" s="3">
        <f>SUMIFS(view_parc_agrup!H:H,view_parc_agrup!G:G,Conciliacao!A53)</f>
        <v/>
      </c>
      <c r="E53" s="3">
        <f>SUMIFS(df_eventos!F:F,df_eventos!H:H,Conciliacao!A53)</f>
        <v/>
      </c>
      <c r="F53" s="3">
        <f>SUMIFS(df_mutuos!M:M,df_mutuos!B:B,Conciliacao!A53)</f>
        <v/>
      </c>
      <c r="G53" s="6">
        <f>SUMIFS(df_bloqueios_judiciais!G:G,df_bloqueios_judiciais!D:D,Conciliacao!A53,df_bloqueios_judiciais!G:G,"&gt;0")</f>
        <v/>
      </c>
      <c r="H53" s="7">
        <f>SUMIFS(df_extratos!I:I,df_extratos!F:F,Conciliacao!BE53,df_extratos!G:G,"CREDITO")+SUMIFS(df_extratos!I:I,df_extratos!F:F,Conciliacao!A53,df_extratos!G:G,"CREDITO")+SUMIFS(df_extratos!I:I,df_extratos!F:F,Conciliacao!BF53,df_extratos!G:G,"CREDITO")+SUMIFS(df_extratos!I:I,df_extratos!F:F,Conciliacao!BG53,df_extratos!G:G,"CREDITO")+SUMIFS(df_extratos!I:I,df_extratos!F:F,Conciliacao!BH53,df_extratos!G:G,"CREDITO")</f>
        <v/>
      </c>
      <c r="I53" s="9">
        <f>H53-SUM(B53:G53)</f>
        <v/>
      </c>
      <c r="J53" s="4">
        <f>SUMIFS(df_blueme_sem_parcelamento!E:E,df_blueme_sem_parcelamento!H:H,Conciliacao!A53)*(-1)</f>
        <v/>
      </c>
      <c r="K53" s="4">
        <f>SUMIFS(df_blueme_com_parcelamento!J:J,df_blueme_com_parcelamento!M:M,Conciliacao!A53)*(-1)</f>
        <v/>
      </c>
      <c r="L53" s="4">
        <f>SUMIFS(df_mutuos!N:N,df_mutuos!B:B,Conciliacao!A53)*(-1)</f>
        <v/>
      </c>
      <c r="M53" s="8">
        <f>SUMIFS(df_bloqueios_judiciais!G:G,df_bloqueios_judiciais!D:D,Conciliacao!A53,df_bloqueios_judiciais!G:G,"&lt;0")</f>
        <v/>
      </c>
      <c r="N53" s="10">
        <f>SUMIFS(df_extratos!I:I,df_extratos!F:F,Conciliacao!BE53,df_extratos!G:G,"DEBITO")+SUMIFS(df_extratos!I:I,df_extratos!F:F,Conciliacao!A53,df_extratos!G:G,"DEBITO")+SUMIFS(df_extratos!I:I,df_extratos!F:F,Conciliacao!BF53,df_extratos!G:G,"DEBITO")+SUMIFS(df_extratos!I:I,df_extratos!F:F,Conciliacao!BG53,df_extratos!G:G,"DEBITO")+SUMIFS(df_extratos!I:I,df_extratos!F:F,Conciliacao!BH53,df_extratos!G:G,"DEBITO")</f>
        <v/>
      </c>
      <c r="O53" s="11">
        <f>N53-SUM(J53:M53)</f>
        <v/>
      </c>
      <c r="P53" s="25">
        <f>SUMIFS(df_ajustes_conciliaco!D:D,df_ajustes_conciliaco!C:C,Conciliacao!A53)</f>
        <v/>
      </c>
      <c r="Q53" s="22">
        <f>O53+I53-P53</f>
        <v/>
      </c>
      <c r="BE53" s="20" t="n">
        <v>45709.5</v>
      </c>
      <c r="BF53" s="20" t="n">
        <v>45709.125</v>
      </c>
      <c r="BG53" s="20" t="n">
        <v>45709.54166666666</v>
      </c>
      <c r="BH53" s="20" t="n">
        <v>45709.625</v>
      </c>
    </row>
    <row r="54">
      <c r="A54" s="5">
        <f>A53+1</f>
        <v/>
      </c>
      <c r="B54" s="3">
        <f>-SUMIFS(df_extrato_zig!G:G,df_extrato_zig!E:E,Conciliacao!A54,df_extrato_zig!D:D,"Saque")-SUMIFS(df_extrato_zig!G:G,df_extrato_zig!E:E,Conciliacao!A54,df_extrato_zig!D:D,"Antecipação")</f>
        <v/>
      </c>
      <c r="C54" s="3">
        <f>SUMIFS(df_extrato_zig!E:E,df_extrato_zig!L:L,Conciliacao!A54,df_extrato_zig!F:F,"DINHEIRO")</f>
        <v/>
      </c>
      <c r="D54" s="3">
        <f>SUMIFS(view_parc_agrup!H:H,view_parc_agrup!G:G,Conciliacao!A54)</f>
        <v/>
      </c>
      <c r="E54" s="3">
        <f>SUMIFS(df_eventos!F:F,df_eventos!H:H,Conciliacao!A54)</f>
        <v/>
      </c>
      <c r="F54" s="3">
        <f>SUMIFS(df_mutuos!M:M,df_mutuos!B:B,Conciliacao!A54)</f>
        <v/>
      </c>
      <c r="G54" s="6">
        <f>SUMIFS(df_bloqueios_judiciais!G:G,df_bloqueios_judiciais!D:D,Conciliacao!A54,df_bloqueios_judiciais!G:G,"&gt;0")</f>
        <v/>
      </c>
      <c r="H54" s="7">
        <f>SUMIFS(df_extratos!I:I,df_extratos!F:F,Conciliacao!BE54,df_extratos!G:G,"CREDITO")+SUMIFS(df_extratos!I:I,df_extratos!F:F,Conciliacao!A54,df_extratos!G:G,"CREDITO")+SUMIFS(df_extratos!I:I,df_extratos!F:F,Conciliacao!BF54,df_extratos!G:G,"CREDITO")+SUMIFS(df_extratos!I:I,df_extratos!F:F,Conciliacao!BG54,df_extratos!G:G,"CREDITO")+SUMIFS(df_extratos!I:I,df_extratos!F:F,Conciliacao!BH54,df_extratos!G:G,"CREDITO")</f>
        <v/>
      </c>
      <c r="I54" s="9">
        <f>H54-SUM(B54:G54)</f>
        <v/>
      </c>
      <c r="J54" s="4">
        <f>SUMIFS(df_blueme_sem_parcelamento!E:E,df_blueme_sem_parcelamento!H:H,Conciliacao!A54)*(-1)</f>
        <v/>
      </c>
      <c r="K54" s="4">
        <f>SUMIFS(df_blueme_com_parcelamento!J:J,df_blueme_com_parcelamento!M:M,Conciliacao!A54)*(-1)</f>
        <v/>
      </c>
      <c r="L54" s="4">
        <f>SUMIFS(df_mutuos!N:N,df_mutuos!B:B,Conciliacao!A54)*(-1)</f>
        <v/>
      </c>
      <c r="M54" s="8">
        <f>SUMIFS(df_bloqueios_judiciais!G:G,df_bloqueios_judiciais!D:D,Conciliacao!A54,df_bloqueios_judiciais!G:G,"&lt;0")</f>
        <v/>
      </c>
      <c r="N54" s="10">
        <f>SUMIFS(df_extratos!I:I,df_extratos!F:F,Conciliacao!BE54,df_extratos!G:G,"DEBITO")+SUMIFS(df_extratos!I:I,df_extratos!F:F,Conciliacao!A54,df_extratos!G:G,"DEBITO")+SUMIFS(df_extratos!I:I,df_extratos!F:F,Conciliacao!BF54,df_extratos!G:G,"DEBITO")+SUMIFS(df_extratos!I:I,df_extratos!F:F,Conciliacao!BG54,df_extratos!G:G,"DEBITO")+SUMIFS(df_extratos!I:I,df_extratos!F:F,Conciliacao!BH54,df_extratos!G:G,"DEBITO")</f>
        <v/>
      </c>
      <c r="O54" s="11">
        <f>N54-SUM(J54:M54)</f>
        <v/>
      </c>
      <c r="P54" s="25">
        <f>SUMIFS(df_ajustes_conciliaco!D:D,df_ajustes_conciliaco!C:C,Conciliacao!A54)</f>
        <v/>
      </c>
      <c r="Q54" s="22">
        <f>O54+I54-P54</f>
        <v/>
      </c>
      <c r="BE54" s="20" t="n">
        <v>45710.5</v>
      </c>
      <c r="BF54" s="20" t="n">
        <v>45710.125</v>
      </c>
      <c r="BG54" s="20" t="n">
        <v>45710.54166666666</v>
      </c>
      <c r="BH54" s="20" t="n">
        <v>45710.625</v>
      </c>
    </row>
    <row r="55">
      <c r="A55" s="5">
        <f>A54+1</f>
        <v/>
      </c>
      <c r="B55" s="3">
        <f>-SUMIFS(df_extrato_zig!G:G,df_extrato_zig!E:E,Conciliacao!A55,df_extrato_zig!D:D,"Saque")-SUMIFS(df_extrato_zig!G:G,df_extrato_zig!E:E,Conciliacao!A55,df_extrato_zig!D:D,"Antecipação")</f>
        <v/>
      </c>
      <c r="C55" s="3">
        <f>SUMIFS(df_extrato_zig!E:E,df_extrato_zig!L:L,Conciliacao!A55,df_extrato_zig!F:F,"DINHEIRO")</f>
        <v/>
      </c>
      <c r="D55" s="3">
        <f>SUMIFS(view_parc_agrup!H:H,view_parc_agrup!G:G,Conciliacao!A55)</f>
        <v/>
      </c>
      <c r="E55" s="3">
        <f>SUMIFS(df_eventos!F:F,df_eventos!H:H,Conciliacao!A55)</f>
        <v/>
      </c>
      <c r="F55" s="3">
        <f>SUMIFS(df_mutuos!M:M,df_mutuos!B:B,Conciliacao!A55)</f>
        <v/>
      </c>
      <c r="G55" s="6">
        <f>SUMIFS(df_bloqueios_judiciais!G:G,df_bloqueios_judiciais!D:D,Conciliacao!A55,df_bloqueios_judiciais!G:G,"&gt;0")</f>
        <v/>
      </c>
      <c r="H55" s="7">
        <f>SUMIFS(df_extratos!I:I,df_extratos!F:F,Conciliacao!BE55,df_extratos!G:G,"CREDITO")+SUMIFS(df_extratos!I:I,df_extratos!F:F,Conciliacao!A55,df_extratos!G:G,"CREDITO")+SUMIFS(df_extratos!I:I,df_extratos!F:F,Conciliacao!BF55,df_extratos!G:G,"CREDITO")+SUMIFS(df_extratos!I:I,df_extratos!F:F,Conciliacao!BG55,df_extratos!G:G,"CREDITO")+SUMIFS(df_extratos!I:I,df_extratos!F:F,Conciliacao!BH55,df_extratos!G:G,"CREDITO")</f>
        <v/>
      </c>
      <c r="I55" s="9">
        <f>H55-SUM(B55:G55)</f>
        <v/>
      </c>
      <c r="J55" s="4">
        <f>SUMIFS(df_blueme_sem_parcelamento!E:E,df_blueme_sem_parcelamento!H:H,Conciliacao!A55)*(-1)</f>
        <v/>
      </c>
      <c r="K55" s="4">
        <f>SUMIFS(df_blueme_com_parcelamento!J:J,df_blueme_com_parcelamento!M:M,Conciliacao!A55)*(-1)</f>
        <v/>
      </c>
      <c r="L55" s="4">
        <f>SUMIFS(df_mutuos!N:N,df_mutuos!B:B,Conciliacao!A55)*(-1)</f>
        <v/>
      </c>
      <c r="M55" s="8">
        <f>SUMIFS(df_bloqueios_judiciais!G:G,df_bloqueios_judiciais!D:D,Conciliacao!A55,df_bloqueios_judiciais!G:G,"&lt;0")</f>
        <v/>
      </c>
      <c r="N55" s="10">
        <f>SUMIFS(df_extratos!I:I,df_extratos!F:F,Conciliacao!BE55,df_extratos!G:G,"DEBITO")+SUMIFS(df_extratos!I:I,df_extratos!F:F,Conciliacao!A55,df_extratos!G:G,"DEBITO")+SUMIFS(df_extratos!I:I,df_extratos!F:F,Conciliacao!BF55,df_extratos!G:G,"DEBITO")+SUMIFS(df_extratos!I:I,df_extratos!F:F,Conciliacao!BG55,df_extratos!G:G,"DEBITO")+SUMIFS(df_extratos!I:I,df_extratos!F:F,Conciliacao!BH55,df_extratos!G:G,"DEBITO")</f>
        <v/>
      </c>
      <c r="O55" s="11">
        <f>N55-SUM(J55:M55)</f>
        <v/>
      </c>
      <c r="P55" s="25">
        <f>SUMIFS(df_ajustes_conciliaco!D:D,df_ajustes_conciliaco!C:C,Conciliacao!A55)</f>
        <v/>
      </c>
      <c r="Q55" s="22">
        <f>O55+I55-P55</f>
        <v/>
      </c>
      <c r="BE55" s="20" t="n">
        <v>45711.5</v>
      </c>
      <c r="BF55" s="20" t="n">
        <v>45711.125</v>
      </c>
      <c r="BG55" s="20" t="n">
        <v>45711.54166666666</v>
      </c>
      <c r="BH55" s="20" t="n">
        <v>45711.625</v>
      </c>
    </row>
    <row r="56">
      <c r="A56" s="5">
        <f>A55+1</f>
        <v/>
      </c>
      <c r="B56" s="3">
        <f>-SUMIFS(df_extrato_zig!G:G,df_extrato_zig!E:E,Conciliacao!A56,df_extrato_zig!D:D,"Saque")-SUMIFS(df_extrato_zig!G:G,df_extrato_zig!E:E,Conciliacao!A56,df_extrato_zig!D:D,"Antecipação")</f>
        <v/>
      </c>
      <c r="C56" s="3">
        <f>SUMIFS(df_extrato_zig!E:E,df_extrato_zig!L:L,Conciliacao!A56,df_extrato_zig!F:F,"DINHEIRO")</f>
        <v/>
      </c>
      <c r="D56" s="3">
        <f>SUMIFS(view_parc_agrup!H:H,view_parc_agrup!G:G,Conciliacao!A56)</f>
        <v/>
      </c>
      <c r="E56" s="3">
        <f>SUMIFS(df_eventos!F:F,df_eventos!H:H,Conciliacao!A56)</f>
        <v/>
      </c>
      <c r="F56" s="3">
        <f>SUMIFS(df_mutuos!M:M,df_mutuos!B:B,Conciliacao!A56)</f>
        <v/>
      </c>
      <c r="G56" s="6">
        <f>SUMIFS(df_bloqueios_judiciais!G:G,df_bloqueios_judiciais!D:D,Conciliacao!A56,df_bloqueios_judiciais!G:G,"&gt;0")</f>
        <v/>
      </c>
      <c r="H56" s="7">
        <f>SUMIFS(df_extratos!I:I,df_extratos!F:F,Conciliacao!BE56,df_extratos!G:G,"CREDITO")+SUMIFS(df_extratos!I:I,df_extratos!F:F,Conciliacao!A56,df_extratos!G:G,"CREDITO")+SUMIFS(df_extratos!I:I,df_extratos!F:F,Conciliacao!BF56,df_extratos!G:G,"CREDITO")+SUMIFS(df_extratos!I:I,df_extratos!F:F,Conciliacao!BG56,df_extratos!G:G,"CREDITO")+SUMIFS(df_extratos!I:I,df_extratos!F:F,Conciliacao!BH56,df_extratos!G:G,"CREDITO")</f>
        <v/>
      </c>
      <c r="I56" s="9">
        <f>H56-SUM(B56:G56)</f>
        <v/>
      </c>
      <c r="J56" s="4">
        <f>SUMIFS(df_blueme_sem_parcelamento!E:E,df_blueme_sem_parcelamento!H:H,Conciliacao!A56)*(-1)</f>
        <v/>
      </c>
      <c r="K56" s="4">
        <f>SUMIFS(df_blueme_com_parcelamento!J:J,df_blueme_com_parcelamento!M:M,Conciliacao!A56)*(-1)</f>
        <v/>
      </c>
      <c r="L56" s="4">
        <f>SUMIFS(df_mutuos!N:N,df_mutuos!B:B,Conciliacao!A56)*(-1)</f>
        <v/>
      </c>
      <c r="M56" s="8">
        <f>SUMIFS(df_bloqueios_judiciais!G:G,df_bloqueios_judiciais!D:D,Conciliacao!A56,df_bloqueios_judiciais!G:G,"&lt;0")</f>
        <v/>
      </c>
      <c r="N56" s="10">
        <f>SUMIFS(df_extratos!I:I,df_extratos!F:F,Conciliacao!BE56,df_extratos!G:G,"DEBITO")+SUMIFS(df_extratos!I:I,df_extratos!F:F,Conciliacao!A56,df_extratos!G:G,"DEBITO")+SUMIFS(df_extratos!I:I,df_extratos!F:F,Conciliacao!BF56,df_extratos!G:G,"DEBITO")+SUMIFS(df_extratos!I:I,df_extratos!F:F,Conciliacao!BG56,df_extratos!G:G,"DEBITO")+SUMIFS(df_extratos!I:I,df_extratos!F:F,Conciliacao!BH56,df_extratos!G:G,"DEBITO")</f>
        <v/>
      </c>
      <c r="O56" s="11">
        <f>N56-SUM(J56:M56)</f>
        <v/>
      </c>
      <c r="P56" s="25">
        <f>SUMIFS(df_ajustes_conciliaco!D:D,df_ajustes_conciliaco!C:C,Conciliacao!A56)</f>
        <v/>
      </c>
      <c r="Q56" s="22">
        <f>O56+I56-P56</f>
        <v/>
      </c>
      <c r="BE56" s="20" t="n">
        <v>45712.5</v>
      </c>
      <c r="BF56" s="20" t="n">
        <v>45712.125</v>
      </c>
      <c r="BG56" s="20" t="n">
        <v>45712.54166666666</v>
      </c>
      <c r="BH56" s="20" t="n">
        <v>45712.625</v>
      </c>
    </row>
    <row r="57">
      <c r="A57" s="5">
        <f>A56+1</f>
        <v/>
      </c>
      <c r="B57" s="3">
        <f>-SUMIFS(df_extrato_zig!G:G,df_extrato_zig!E:E,Conciliacao!A57,df_extrato_zig!D:D,"Saque")-SUMIFS(df_extrato_zig!G:G,df_extrato_zig!E:E,Conciliacao!A57,df_extrato_zig!D:D,"Antecipação")</f>
        <v/>
      </c>
      <c r="C57" s="3">
        <f>SUMIFS(df_extrato_zig!E:E,df_extrato_zig!L:L,Conciliacao!A57,df_extrato_zig!F:F,"DINHEIRO")</f>
        <v/>
      </c>
      <c r="D57" s="3">
        <f>SUMIFS(view_parc_agrup!H:H,view_parc_agrup!G:G,Conciliacao!A57)</f>
        <v/>
      </c>
      <c r="E57" s="3">
        <f>SUMIFS(df_eventos!F:F,df_eventos!H:H,Conciliacao!A57)</f>
        <v/>
      </c>
      <c r="F57" s="3">
        <f>SUMIFS(df_mutuos!M:M,df_mutuos!B:B,Conciliacao!A57)</f>
        <v/>
      </c>
      <c r="G57" s="6">
        <f>SUMIFS(df_bloqueios_judiciais!G:G,df_bloqueios_judiciais!D:D,Conciliacao!A57,df_bloqueios_judiciais!G:G,"&gt;0")</f>
        <v/>
      </c>
      <c r="H57" s="7">
        <f>SUMIFS(df_extratos!I:I,df_extratos!F:F,Conciliacao!BE57,df_extratos!G:G,"CREDITO")+SUMIFS(df_extratos!I:I,df_extratos!F:F,Conciliacao!A57,df_extratos!G:G,"CREDITO")+SUMIFS(df_extratos!I:I,df_extratos!F:F,Conciliacao!BF57,df_extratos!G:G,"CREDITO")+SUMIFS(df_extratos!I:I,df_extratos!F:F,Conciliacao!BG57,df_extratos!G:G,"CREDITO")+SUMIFS(df_extratos!I:I,df_extratos!F:F,Conciliacao!BH57,df_extratos!G:G,"CREDITO")</f>
        <v/>
      </c>
      <c r="I57" s="9">
        <f>H57-SUM(B57:G57)</f>
        <v/>
      </c>
      <c r="J57" s="4">
        <f>SUMIFS(df_blueme_sem_parcelamento!E:E,df_blueme_sem_parcelamento!H:H,Conciliacao!A57)*(-1)</f>
        <v/>
      </c>
      <c r="K57" s="4">
        <f>SUMIFS(df_blueme_com_parcelamento!J:J,df_blueme_com_parcelamento!M:M,Conciliacao!A57)*(-1)</f>
        <v/>
      </c>
      <c r="L57" s="4">
        <f>SUMIFS(df_mutuos!N:N,df_mutuos!B:B,Conciliacao!A57)*(-1)</f>
        <v/>
      </c>
      <c r="M57" s="8">
        <f>SUMIFS(df_bloqueios_judiciais!G:G,df_bloqueios_judiciais!D:D,Conciliacao!A57,df_bloqueios_judiciais!G:G,"&lt;0")</f>
        <v/>
      </c>
      <c r="N57" s="10">
        <f>SUMIFS(df_extratos!I:I,df_extratos!F:F,Conciliacao!BE57,df_extratos!G:G,"DEBITO")+SUMIFS(df_extratos!I:I,df_extratos!F:F,Conciliacao!A57,df_extratos!G:G,"DEBITO")+SUMIFS(df_extratos!I:I,df_extratos!F:F,Conciliacao!BF57,df_extratos!G:G,"DEBITO")+SUMIFS(df_extratos!I:I,df_extratos!F:F,Conciliacao!BG57,df_extratos!G:G,"DEBITO")+SUMIFS(df_extratos!I:I,df_extratos!F:F,Conciliacao!BH57,df_extratos!G:G,"DEBITO")</f>
        <v/>
      </c>
      <c r="O57" s="11">
        <f>N57-SUM(J57:M57)</f>
        <v/>
      </c>
      <c r="P57" s="25">
        <f>SUMIFS(df_ajustes_conciliaco!D:D,df_ajustes_conciliaco!C:C,Conciliacao!A57)</f>
        <v/>
      </c>
      <c r="Q57" s="22">
        <f>O57+I57-P57</f>
        <v/>
      </c>
      <c r="BE57" s="20" t="n">
        <v>45713.5</v>
      </c>
      <c r="BF57" s="20" t="n">
        <v>45713.125</v>
      </c>
      <c r="BG57" s="20" t="n">
        <v>45713.54166666666</v>
      </c>
      <c r="BH57" s="20" t="n">
        <v>45713.625</v>
      </c>
    </row>
    <row r="58">
      <c r="A58" s="5">
        <f>A57+1</f>
        <v/>
      </c>
      <c r="B58" s="3">
        <f>-SUMIFS(df_extrato_zig!G:G,df_extrato_zig!E:E,Conciliacao!A58,df_extrato_zig!D:D,"Saque")-SUMIFS(df_extrato_zig!G:G,df_extrato_zig!E:E,Conciliacao!A58,df_extrato_zig!D:D,"Antecipação")</f>
        <v/>
      </c>
      <c r="C58" s="3">
        <f>SUMIFS(df_extrato_zig!E:E,df_extrato_zig!L:L,Conciliacao!A58,df_extrato_zig!F:F,"DINHEIRO")</f>
        <v/>
      </c>
      <c r="D58" s="3">
        <f>SUMIFS(view_parc_agrup!H:H,view_parc_agrup!G:G,Conciliacao!A58)</f>
        <v/>
      </c>
      <c r="E58" s="3">
        <f>SUMIFS(df_eventos!F:F,df_eventos!H:H,Conciliacao!A58)</f>
        <v/>
      </c>
      <c r="F58" s="3">
        <f>SUMIFS(df_mutuos!M:M,df_mutuos!B:B,Conciliacao!A58)</f>
        <v/>
      </c>
      <c r="G58" s="6">
        <f>SUMIFS(df_bloqueios_judiciais!G:G,df_bloqueios_judiciais!D:D,Conciliacao!A58,df_bloqueios_judiciais!G:G,"&gt;0")</f>
        <v/>
      </c>
      <c r="H58" s="7">
        <f>SUMIFS(df_extratos!I:I,df_extratos!F:F,Conciliacao!BE58,df_extratos!G:G,"CREDITO")+SUMIFS(df_extratos!I:I,df_extratos!F:F,Conciliacao!A58,df_extratos!G:G,"CREDITO")+SUMIFS(df_extratos!I:I,df_extratos!F:F,Conciliacao!BF58,df_extratos!G:G,"CREDITO")+SUMIFS(df_extratos!I:I,df_extratos!F:F,Conciliacao!BG58,df_extratos!G:G,"CREDITO")+SUMIFS(df_extratos!I:I,df_extratos!F:F,Conciliacao!BH58,df_extratos!G:G,"CREDITO")</f>
        <v/>
      </c>
      <c r="I58" s="9">
        <f>H58-SUM(B58:G58)</f>
        <v/>
      </c>
      <c r="J58" s="4">
        <f>SUMIFS(df_blueme_sem_parcelamento!E:E,df_blueme_sem_parcelamento!H:H,Conciliacao!A58)*(-1)</f>
        <v/>
      </c>
      <c r="K58" s="4">
        <f>SUMIFS(df_blueme_com_parcelamento!J:J,df_blueme_com_parcelamento!M:M,Conciliacao!A58)*(-1)</f>
        <v/>
      </c>
      <c r="L58" s="4">
        <f>SUMIFS(df_mutuos!N:N,df_mutuos!B:B,Conciliacao!A58)*(-1)</f>
        <v/>
      </c>
      <c r="M58" s="8">
        <f>SUMIFS(df_bloqueios_judiciais!G:G,df_bloqueios_judiciais!D:D,Conciliacao!A58,df_bloqueios_judiciais!G:G,"&lt;0")</f>
        <v/>
      </c>
      <c r="N58" s="10">
        <f>SUMIFS(df_extratos!I:I,df_extratos!F:F,Conciliacao!BE58,df_extratos!G:G,"DEBITO")+SUMIFS(df_extratos!I:I,df_extratos!F:F,Conciliacao!A58,df_extratos!G:G,"DEBITO")+SUMIFS(df_extratos!I:I,df_extratos!F:F,Conciliacao!BF58,df_extratos!G:G,"DEBITO")+SUMIFS(df_extratos!I:I,df_extratos!F:F,Conciliacao!BG58,df_extratos!G:G,"DEBITO")+SUMIFS(df_extratos!I:I,df_extratos!F:F,Conciliacao!BH58,df_extratos!G:G,"DEBITO")</f>
        <v/>
      </c>
      <c r="O58" s="11">
        <f>N58-SUM(J58:M58)</f>
        <v/>
      </c>
      <c r="P58" s="25">
        <f>SUMIFS(df_ajustes_conciliaco!D:D,df_ajustes_conciliaco!C:C,Conciliacao!A58)</f>
        <v/>
      </c>
      <c r="Q58" s="22">
        <f>O58+I58-P58</f>
        <v/>
      </c>
      <c r="BE58" s="20" t="n">
        <v>45714.5</v>
      </c>
      <c r="BF58" s="20" t="n">
        <v>45714.125</v>
      </c>
      <c r="BG58" s="20" t="n">
        <v>45714.54166666666</v>
      </c>
      <c r="BH58" s="20" t="n">
        <v>45714.625</v>
      </c>
    </row>
    <row r="59">
      <c r="A59" s="5">
        <f>A58+1</f>
        <v/>
      </c>
      <c r="B59" s="3">
        <f>-SUMIFS(df_extrato_zig!G:G,df_extrato_zig!E:E,Conciliacao!A59,df_extrato_zig!D:D,"Saque")-SUMIFS(df_extrato_zig!G:G,df_extrato_zig!E:E,Conciliacao!A59,df_extrato_zig!D:D,"Antecipação")</f>
        <v/>
      </c>
      <c r="C59" s="3">
        <f>SUMIFS(df_extrato_zig!E:E,df_extrato_zig!L:L,Conciliacao!A59,df_extrato_zig!F:F,"DINHEIRO")</f>
        <v/>
      </c>
      <c r="D59" s="3">
        <f>SUMIFS(view_parc_agrup!H:H,view_parc_agrup!G:G,Conciliacao!A59)</f>
        <v/>
      </c>
      <c r="E59" s="3">
        <f>SUMIFS(df_eventos!F:F,df_eventos!H:H,Conciliacao!A59)</f>
        <v/>
      </c>
      <c r="F59" s="3">
        <f>SUMIFS(df_mutuos!M:M,df_mutuos!B:B,Conciliacao!A59)</f>
        <v/>
      </c>
      <c r="G59" s="6">
        <f>SUMIFS(df_bloqueios_judiciais!G:G,df_bloqueios_judiciais!D:D,Conciliacao!A59,df_bloqueios_judiciais!G:G,"&gt;0")</f>
        <v/>
      </c>
      <c r="H59" s="7">
        <f>SUMIFS(df_extratos!I:I,df_extratos!F:F,Conciliacao!BE59,df_extratos!G:G,"CREDITO")+SUMIFS(df_extratos!I:I,df_extratos!F:F,Conciliacao!A59,df_extratos!G:G,"CREDITO")+SUMIFS(df_extratos!I:I,df_extratos!F:F,Conciliacao!BF59,df_extratos!G:G,"CREDITO")+SUMIFS(df_extratos!I:I,df_extratos!F:F,Conciliacao!BG59,df_extratos!G:G,"CREDITO")+SUMIFS(df_extratos!I:I,df_extratos!F:F,Conciliacao!BH59,df_extratos!G:G,"CREDITO")</f>
        <v/>
      </c>
      <c r="I59" s="9">
        <f>H59-SUM(B59:G59)</f>
        <v/>
      </c>
      <c r="J59" s="4">
        <f>SUMIFS(df_blueme_sem_parcelamento!E:E,df_blueme_sem_parcelamento!H:H,Conciliacao!A59)*(-1)</f>
        <v/>
      </c>
      <c r="K59" s="4">
        <f>SUMIFS(df_blueme_com_parcelamento!J:J,df_blueme_com_parcelamento!M:M,Conciliacao!A59)*(-1)</f>
        <v/>
      </c>
      <c r="L59" s="4">
        <f>SUMIFS(df_mutuos!N:N,df_mutuos!B:B,Conciliacao!A59)*(-1)</f>
        <v/>
      </c>
      <c r="M59" s="8">
        <f>SUMIFS(df_bloqueios_judiciais!G:G,df_bloqueios_judiciais!D:D,Conciliacao!A59,df_bloqueios_judiciais!G:G,"&lt;0")</f>
        <v/>
      </c>
      <c r="N59" s="10">
        <f>SUMIFS(df_extratos!I:I,df_extratos!F:F,Conciliacao!BE59,df_extratos!G:G,"DEBITO")+SUMIFS(df_extratos!I:I,df_extratos!F:F,Conciliacao!A59,df_extratos!G:G,"DEBITO")+SUMIFS(df_extratos!I:I,df_extratos!F:F,Conciliacao!BF59,df_extratos!G:G,"DEBITO")+SUMIFS(df_extratos!I:I,df_extratos!F:F,Conciliacao!BG59,df_extratos!G:G,"DEBITO")+SUMIFS(df_extratos!I:I,df_extratos!F:F,Conciliacao!BH59,df_extratos!G:G,"DEBITO")</f>
        <v/>
      </c>
      <c r="O59" s="11">
        <f>N59-SUM(J59:M59)</f>
        <v/>
      </c>
      <c r="P59" s="25">
        <f>SUMIFS(df_ajustes_conciliaco!D:D,df_ajustes_conciliaco!C:C,Conciliacao!A59)</f>
        <v/>
      </c>
      <c r="Q59" s="22">
        <f>O59+I59-P59</f>
        <v/>
      </c>
      <c r="BE59" s="20" t="n">
        <v>45715.5</v>
      </c>
      <c r="BF59" s="20" t="n">
        <v>45715.125</v>
      </c>
      <c r="BG59" s="20" t="n">
        <v>45715.54166666666</v>
      </c>
      <c r="BH59" s="20" t="n">
        <v>45715.625</v>
      </c>
    </row>
    <row r="60">
      <c r="A60" s="5">
        <f>A59+1</f>
        <v/>
      </c>
      <c r="B60" s="3">
        <f>-SUMIFS(df_extrato_zig!G:G,df_extrato_zig!E:E,Conciliacao!A60,df_extrato_zig!D:D,"Saque")-SUMIFS(df_extrato_zig!G:G,df_extrato_zig!E:E,Conciliacao!A60,df_extrato_zig!D:D,"Antecipação")</f>
        <v/>
      </c>
      <c r="C60" s="3">
        <f>SUMIFS(df_extrato_zig!E:E,df_extrato_zig!L:L,Conciliacao!A60,df_extrato_zig!F:F,"DINHEIRO")</f>
        <v/>
      </c>
      <c r="D60" s="3">
        <f>SUMIFS(view_parc_agrup!H:H,view_parc_agrup!G:G,Conciliacao!A60)</f>
        <v/>
      </c>
      <c r="E60" s="3">
        <f>SUMIFS(df_eventos!F:F,df_eventos!H:H,Conciliacao!A60)</f>
        <v/>
      </c>
      <c r="F60" s="3">
        <f>SUMIFS(df_mutuos!M:M,df_mutuos!B:B,Conciliacao!A60)</f>
        <v/>
      </c>
      <c r="G60" s="6">
        <f>SUMIFS(df_bloqueios_judiciais!G:G,df_bloqueios_judiciais!D:D,Conciliacao!A60,df_bloqueios_judiciais!G:G,"&gt;0")</f>
        <v/>
      </c>
      <c r="H60" s="7">
        <f>SUMIFS(df_extratos!I:I,df_extratos!F:F,Conciliacao!BE60,df_extratos!G:G,"CREDITO")+SUMIFS(df_extratos!I:I,df_extratos!F:F,Conciliacao!A60,df_extratos!G:G,"CREDITO")+SUMIFS(df_extratos!I:I,df_extratos!F:F,Conciliacao!BF60,df_extratos!G:G,"CREDITO")+SUMIFS(df_extratos!I:I,df_extratos!F:F,Conciliacao!BG60,df_extratos!G:G,"CREDITO")+SUMIFS(df_extratos!I:I,df_extratos!F:F,Conciliacao!BH60,df_extratos!G:G,"CREDITO")</f>
        <v/>
      </c>
      <c r="I60" s="9">
        <f>H60-SUM(B60:G60)</f>
        <v/>
      </c>
      <c r="J60" s="4">
        <f>SUMIFS(df_blueme_sem_parcelamento!E:E,df_blueme_sem_parcelamento!H:H,Conciliacao!A60)*(-1)</f>
        <v/>
      </c>
      <c r="K60" s="4">
        <f>SUMIFS(df_blueme_com_parcelamento!J:J,df_blueme_com_parcelamento!M:M,Conciliacao!A60)*(-1)</f>
        <v/>
      </c>
      <c r="L60" s="4">
        <f>SUMIFS(df_mutuos!N:N,df_mutuos!B:B,Conciliacao!A60)*(-1)</f>
        <v/>
      </c>
      <c r="M60" s="8">
        <f>SUMIFS(df_bloqueios_judiciais!G:G,df_bloqueios_judiciais!D:D,Conciliacao!A60,df_bloqueios_judiciais!G:G,"&lt;0")</f>
        <v/>
      </c>
      <c r="N60" s="10">
        <f>SUMIFS(df_extratos!I:I,df_extratos!F:F,Conciliacao!BE60,df_extratos!G:G,"DEBITO")+SUMIFS(df_extratos!I:I,df_extratos!F:F,Conciliacao!A60,df_extratos!G:G,"DEBITO")+SUMIFS(df_extratos!I:I,df_extratos!F:F,Conciliacao!BF60,df_extratos!G:G,"DEBITO")+SUMIFS(df_extratos!I:I,df_extratos!F:F,Conciliacao!BG60,df_extratos!G:G,"DEBITO")+SUMIFS(df_extratos!I:I,df_extratos!F:F,Conciliacao!BH60,df_extratos!G:G,"DEBITO")</f>
        <v/>
      </c>
      <c r="O60" s="11">
        <f>N60-SUM(J60:M60)</f>
        <v/>
      </c>
      <c r="P60" s="25">
        <f>SUMIFS(df_ajustes_conciliaco!D:D,df_ajustes_conciliaco!C:C,Conciliacao!A60)</f>
        <v/>
      </c>
      <c r="Q60" s="22">
        <f>O60+I60-P60</f>
        <v/>
      </c>
      <c r="BE60" s="20" t="n">
        <v>45716.5</v>
      </c>
      <c r="BF60" s="20" t="n">
        <v>45716.125</v>
      </c>
      <c r="BG60" s="20" t="n">
        <v>45716.54166666666</v>
      </c>
      <c r="BH60" s="20" t="n">
        <v>45716.625</v>
      </c>
    </row>
    <row r="61">
      <c r="A61" s="5">
        <f>A60+1</f>
        <v/>
      </c>
      <c r="B61" s="3">
        <f>-SUMIFS(df_extrato_zig!G:G,df_extrato_zig!E:E,Conciliacao!A61,df_extrato_zig!D:D,"Saque")-SUMIFS(df_extrato_zig!G:G,df_extrato_zig!E:E,Conciliacao!A61,df_extrato_zig!D:D,"Antecipação")</f>
        <v/>
      </c>
      <c r="C61" s="3">
        <f>SUMIFS(df_extrato_zig!E:E,df_extrato_zig!L:L,Conciliacao!A61,df_extrato_zig!F:F,"DINHEIRO")</f>
        <v/>
      </c>
      <c r="D61" s="3">
        <f>SUMIFS(view_parc_agrup!H:H,view_parc_agrup!G:G,Conciliacao!A61)</f>
        <v/>
      </c>
      <c r="E61" s="3">
        <f>SUMIFS(df_eventos!F:F,df_eventos!H:H,Conciliacao!A61)</f>
        <v/>
      </c>
      <c r="F61" s="3">
        <f>SUMIFS(df_mutuos!M:M,df_mutuos!B:B,Conciliacao!A61)</f>
        <v/>
      </c>
      <c r="G61" s="6">
        <f>SUMIFS(df_bloqueios_judiciais!G:G,df_bloqueios_judiciais!D:D,Conciliacao!A61,df_bloqueios_judiciais!G:G,"&gt;0")</f>
        <v/>
      </c>
      <c r="H61" s="7">
        <f>SUMIFS(df_extratos!I:I,df_extratos!F:F,Conciliacao!BE61,df_extratos!G:G,"CREDITO")+SUMIFS(df_extratos!I:I,df_extratos!F:F,Conciliacao!A61,df_extratos!G:G,"CREDITO")+SUMIFS(df_extratos!I:I,df_extratos!F:F,Conciliacao!BF61,df_extratos!G:G,"CREDITO")+SUMIFS(df_extratos!I:I,df_extratos!F:F,Conciliacao!BG61,df_extratos!G:G,"CREDITO")+SUMIFS(df_extratos!I:I,df_extratos!F:F,Conciliacao!BH61,df_extratos!G:G,"CREDITO")</f>
        <v/>
      </c>
      <c r="I61" s="9">
        <f>H61-SUM(B61:G61)</f>
        <v/>
      </c>
      <c r="J61" s="4">
        <f>SUMIFS(df_blueme_sem_parcelamento!E:E,df_blueme_sem_parcelamento!H:H,Conciliacao!A61)*(-1)</f>
        <v/>
      </c>
      <c r="K61" s="4">
        <f>SUMIFS(df_blueme_com_parcelamento!J:J,df_blueme_com_parcelamento!M:M,Conciliacao!A61)*(-1)</f>
        <v/>
      </c>
      <c r="L61" s="4">
        <f>SUMIFS(df_mutuos!N:N,df_mutuos!B:B,Conciliacao!A61)*(-1)</f>
        <v/>
      </c>
      <c r="M61" s="8">
        <f>SUMIFS(df_bloqueios_judiciais!G:G,df_bloqueios_judiciais!D:D,Conciliacao!A61,df_bloqueios_judiciais!G:G,"&lt;0")</f>
        <v/>
      </c>
      <c r="N61" s="10">
        <f>SUMIFS(df_extratos!I:I,df_extratos!F:F,Conciliacao!BE61,df_extratos!G:G,"DEBITO")+SUMIFS(df_extratos!I:I,df_extratos!F:F,Conciliacao!A61,df_extratos!G:G,"DEBITO")+SUMIFS(df_extratos!I:I,df_extratos!F:F,Conciliacao!BF61,df_extratos!G:G,"DEBITO")+SUMIFS(df_extratos!I:I,df_extratos!F:F,Conciliacao!BG61,df_extratos!G:G,"DEBITO")+SUMIFS(df_extratos!I:I,df_extratos!F:F,Conciliacao!BH61,df_extratos!G:G,"DEBITO")</f>
        <v/>
      </c>
      <c r="O61" s="11">
        <f>N61-SUM(J61:M61)</f>
        <v/>
      </c>
      <c r="P61" s="25">
        <f>SUMIFS(df_ajustes_conciliaco!D:D,df_ajustes_conciliaco!C:C,Conciliacao!A61)</f>
        <v/>
      </c>
      <c r="Q61" s="22">
        <f>O61+I61-P61</f>
        <v/>
      </c>
      <c r="BE61" s="20" t="n">
        <v>45717.5</v>
      </c>
      <c r="BF61" s="20" t="n">
        <v>45717.125</v>
      </c>
      <c r="BG61" s="20" t="n">
        <v>45717.54166666666</v>
      </c>
      <c r="BH61" s="20" t="n">
        <v>45717.625</v>
      </c>
    </row>
    <row r="62">
      <c r="A62" s="5">
        <f>A61+1</f>
        <v/>
      </c>
      <c r="B62" s="3">
        <f>-SUMIFS(df_extrato_zig!G:G,df_extrato_zig!E:E,Conciliacao!A62,df_extrato_zig!D:D,"Saque")-SUMIFS(df_extrato_zig!G:G,df_extrato_zig!E:E,Conciliacao!A62,df_extrato_zig!D:D,"Antecipação")</f>
        <v/>
      </c>
      <c r="C62" s="3">
        <f>SUMIFS(df_extrato_zig!E:E,df_extrato_zig!L:L,Conciliacao!A62,df_extrato_zig!F:F,"DINHEIRO")</f>
        <v/>
      </c>
      <c r="D62" s="3">
        <f>SUMIFS(view_parc_agrup!H:H,view_parc_agrup!G:G,Conciliacao!A62)</f>
        <v/>
      </c>
      <c r="E62" s="3">
        <f>SUMIFS(df_eventos!F:F,df_eventos!H:H,Conciliacao!A62)</f>
        <v/>
      </c>
      <c r="F62" s="3">
        <f>SUMIFS(df_mutuos!M:M,df_mutuos!B:B,Conciliacao!A62)</f>
        <v/>
      </c>
      <c r="G62" s="6">
        <f>SUMIFS(df_bloqueios_judiciais!G:G,df_bloqueios_judiciais!D:D,Conciliacao!A62,df_bloqueios_judiciais!G:G,"&gt;0")</f>
        <v/>
      </c>
      <c r="H62" s="7">
        <f>SUMIFS(df_extratos!I:I,df_extratos!F:F,Conciliacao!BE62,df_extratos!G:G,"CREDITO")+SUMIFS(df_extratos!I:I,df_extratos!F:F,Conciliacao!A62,df_extratos!G:G,"CREDITO")+SUMIFS(df_extratos!I:I,df_extratos!F:F,Conciliacao!BF62,df_extratos!G:G,"CREDITO")+SUMIFS(df_extratos!I:I,df_extratos!F:F,Conciliacao!BG62,df_extratos!G:G,"CREDITO")+SUMIFS(df_extratos!I:I,df_extratos!F:F,Conciliacao!BH62,df_extratos!G:G,"CREDITO")</f>
        <v/>
      </c>
      <c r="I62" s="9">
        <f>H62-SUM(B62:G62)</f>
        <v/>
      </c>
      <c r="J62" s="4">
        <f>SUMIFS(df_blueme_sem_parcelamento!E:E,df_blueme_sem_parcelamento!H:H,Conciliacao!A62)*(-1)</f>
        <v/>
      </c>
      <c r="K62" s="4">
        <f>SUMIFS(df_blueme_com_parcelamento!J:J,df_blueme_com_parcelamento!M:M,Conciliacao!A62)*(-1)</f>
        <v/>
      </c>
      <c r="L62" s="4">
        <f>SUMIFS(df_mutuos!N:N,df_mutuos!B:B,Conciliacao!A62)*(-1)</f>
        <v/>
      </c>
      <c r="M62" s="8">
        <f>SUMIFS(df_bloqueios_judiciais!G:G,df_bloqueios_judiciais!D:D,Conciliacao!A62,df_bloqueios_judiciais!G:G,"&lt;0")</f>
        <v/>
      </c>
      <c r="N62" s="10">
        <f>SUMIFS(df_extratos!I:I,df_extratos!F:F,Conciliacao!BE62,df_extratos!G:G,"DEBITO")+SUMIFS(df_extratos!I:I,df_extratos!F:F,Conciliacao!A62,df_extratos!G:G,"DEBITO")+SUMIFS(df_extratos!I:I,df_extratos!F:F,Conciliacao!BF62,df_extratos!G:G,"DEBITO")+SUMIFS(df_extratos!I:I,df_extratos!F:F,Conciliacao!BG62,df_extratos!G:G,"DEBITO")+SUMIFS(df_extratos!I:I,df_extratos!F:F,Conciliacao!BH62,df_extratos!G:G,"DEBITO")</f>
        <v/>
      </c>
      <c r="O62" s="11">
        <f>N62-SUM(J62:M62)</f>
        <v/>
      </c>
      <c r="P62" s="25">
        <f>SUMIFS(df_ajustes_conciliaco!D:D,df_ajustes_conciliaco!C:C,Conciliacao!A62)</f>
        <v/>
      </c>
      <c r="Q62" s="22">
        <f>O62+I62-P62</f>
        <v/>
      </c>
      <c r="BE62" s="20" t="n">
        <v>45718.5</v>
      </c>
      <c r="BF62" s="20" t="n">
        <v>45718.125</v>
      </c>
      <c r="BG62" s="20" t="n">
        <v>45718.54166666666</v>
      </c>
      <c r="BH62" s="20" t="n">
        <v>45718.625</v>
      </c>
    </row>
    <row r="63">
      <c r="A63" s="5">
        <f>A62+1</f>
        <v/>
      </c>
      <c r="B63" s="3">
        <f>-SUMIFS(df_extrato_zig!G:G,df_extrato_zig!E:E,Conciliacao!A63,df_extrato_zig!D:D,"Saque")-SUMIFS(df_extrato_zig!G:G,df_extrato_zig!E:E,Conciliacao!A63,df_extrato_zig!D:D,"Antecipação")</f>
        <v/>
      </c>
      <c r="C63" s="3">
        <f>SUMIFS(df_extrato_zig!E:E,df_extrato_zig!L:L,Conciliacao!A63,df_extrato_zig!F:F,"DINHEIRO")</f>
        <v/>
      </c>
      <c r="D63" s="3">
        <f>SUMIFS(view_parc_agrup!H:H,view_parc_agrup!G:G,Conciliacao!A63)</f>
        <v/>
      </c>
      <c r="E63" s="3">
        <f>SUMIFS(df_eventos!F:F,df_eventos!H:H,Conciliacao!A63)</f>
        <v/>
      </c>
      <c r="F63" s="3">
        <f>SUMIFS(df_mutuos!M:M,df_mutuos!B:B,Conciliacao!A63)</f>
        <v/>
      </c>
      <c r="G63" s="6">
        <f>SUMIFS(df_bloqueios_judiciais!G:G,df_bloqueios_judiciais!D:D,Conciliacao!A63,df_bloqueios_judiciais!G:G,"&gt;0")</f>
        <v/>
      </c>
      <c r="H63" s="7">
        <f>SUMIFS(df_extratos!I:I,df_extratos!F:F,Conciliacao!BE63,df_extratos!G:G,"CREDITO")+SUMIFS(df_extratos!I:I,df_extratos!F:F,Conciliacao!A63,df_extratos!G:G,"CREDITO")+SUMIFS(df_extratos!I:I,df_extratos!F:F,Conciliacao!BF63,df_extratos!G:G,"CREDITO")+SUMIFS(df_extratos!I:I,df_extratos!F:F,Conciliacao!BG63,df_extratos!G:G,"CREDITO")+SUMIFS(df_extratos!I:I,df_extratos!F:F,Conciliacao!BH63,df_extratos!G:G,"CREDITO")</f>
        <v/>
      </c>
      <c r="I63" s="9">
        <f>H63-SUM(B63:G63)</f>
        <v/>
      </c>
      <c r="J63" s="4">
        <f>SUMIFS(df_blueme_sem_parcelamento!E:E,df_blueme_sem_parcelamento!H:H,Conciliacao!A63)*(-1)</f>
        <v/>
      </c>
      <c r="K63" s="4">
        <f>SUMIFS(df_blueme_com_parcelamento!J:J,df_blueme_com_parcelamento!M:M,Conciliacao!A63)*(-1)</f>
        <v/>
      </c>
      <c r="L63" s="4">
        <f>SUMIFS(df_mutuos!N:N,df_mutuos!B:B,Conciliacao!A63)*(-1)</f>
        <v/>
      </c>
      <c r="M63" s="8">
        <f>SUMIFS(df_bloqueios_judiciais!G:G,df_bloqueios_judiciais!D:D,Conciliacao!A63,df_bloqueios_judiciais!G:G,"&lt;0")</f>
        <v/>
      </c>
      <c r="N63" s="10">
        <f>SUMIFS(df_extratos!I:I,df_extratos!F:F,Conciliacao!BE63,df_extratos!G:G,"DEBITO")+SUMIFS(df_extratos!I:I,df_extratos!F:F,Conciliacao!A63,df_extratos!G:G,"DEBITO")+SUMIFS(df_extratos!I:I,df_extratos!F:F,Conciliacao!BF63,df_extratos!G:G,"DEBITO")+SUMIFS(df_extratos!I:I,df_extratos!F:F,Conciliacao!BG63,df_extratos!G:G,"DEBITO")+SUMIFS(df_extratos!I:I,df_extratos!F:F,Conciliacao!BH63,df_extratos!G:G,"DEBITO")</f>
        <v/>
      </c>
      <c r="O63" s="11">
        <f>N63-SUM(J63:M63)</f>
        <v/>
      </c>
      <c r="P63" s="25">
        <f>SUMIFS(df_ajustes_conciliaco!D:D,df_ajustes_conciliaco!C:C,Conciliacao!A63)</f>
        <v/>
      </c>
      <c r="Q63" s="22">
        <f>O63+I63-P63</f>
        <v/>
      </c>
      <c r="BE63" s="20" t="n">
        <v>45719.5</v>
      </c>
      <c r="BF63" s="20" t="n">
        <v>45719.125</v>
      </c>
      <c r="BG63" s="20" t="n">
        <v>45719.54166666666</v>
      </c>
      <c r="BH63" s="20" t="n">
        <v>45719.625</v>
      </c>
    </row>
    <row r="64">
      <c r="A64" s="5">
        <f>A63+1</f>
        <v/>
      </c>
      <c r="B64" s="3">
        <f>-SUMIFS(df_extrato_zig!G:G,df_extrato_zig!E:E,Conciliacao!A64,df_extrato_zig!D:D,"Saque")-SUMIFS(df_extrato_zig!G:G,df_extrato_zig!E:E,Conciliacao!A64,df_extrato_zig!D:D,"Antecipação")</f>
        <v/>
      </c>
      <c r="C64" s="3">
        <f>SUMIFS(df_extrato_zig!E:E,df_extrato_zig!L:L,Conciliacao!A64,df_extrato_zig!F:F,"DINHEIRO")</f>
        <v/>
      </c>
      <c r="D64" s="3">
        <f>SUMIFS(view_parc_agrup!H:H,view_parc_agrup!G:G,Conciliacao!A64)</f>
        <v/>
      </c>
      <c r="E64" s="3">
        <f>SUMIFS(df_eventos!F:F,df_eventos!H:H,Conciliacao!A64)</f>
        <v/>
      </c>
      <c r="F64" s="3">
        <f>SUMIFS(df_mutuos!M:M,df_mutuos!B:B,Conciliacao!A64)</f>
        <v/>
      </c>
      <c r="G64" s="6">
        <f>SUMIFS(df_bloqueios_judiciais!G:G,df_bloqueios_judiciais!D:D,Conciliacao!A64,df_bloqueios_judiciais!G:G,"&gt;0")</f>
        <v/>
      </c>
      <c r="H64" s="7">
        <f>SUMIFS(df_extratos!I:I,df_extratos!F:F,Conciliacao!BE64,df_extratos!G:G,"CREDITO")+SUMIFS(df_extratos!I:I,df_extratos!F:F,Conciliacao!A64,df_extratos!G:G,"CREDITO")+SUMIFS(df_extratos!I:I,df_extratos!F:F,Conciliacao!BF64,df_extratos!G:G,"CREDITO")+SUMIFS(df_extratos!I:I,df_extratos!F:F,Conciliacao!BG64,df_extratos!G:G,"CREDITO")+SUMIFS(df_extratos!I:I,df_extratos!F:F,Conciliacao!BH64,df_extratos!G:G,"CREDITO")</f>
        <v/>
      </c>
      <c r="I64" s="9">
        <f>H64-SUM(B64:G64)</f>
        <v/>
      </c>
      <c r="J64" s="4">
        <f>SUMIFS(df_blueme_sem_parcelamento!E:E,df_blueme_sem_parcelamento!H:H,Conciliacao!A64)*(-1)</f>
        <v/>
      </c>
      <c r="K64" s="4">
        <f>SUMIFS(df_blueme_com_parcelamento!J:J,df_blueme_com_parcelamento!M:M,Conciliacao!A64)*(-1)</f>
        <v/>
      </c>
      <c r="L64" s="4">
        <f>SUMIFS(df_mutuos!N:N,df_mutuos!B:B,Conciliacao!A64)*(-1)</f>
        <v/>
      </c>
      <c r="M64" s="8">
        <f>SUMIFS(df_bloqueios_judiciais!G:G,df_bloqueios_judiciais!D:D,Conciliacao!A64,df_bloqueios_judiciais!G:G,"&lt;0")</f>
        <v/>
      </c>
      <c r="N64" s="10">
        <f>SUMIFS(df_extratos!I:I,df_extratos!F:F,Conciliacao!BE64,df_extratos!G:G,"DEBITO")+SUMIFS(df_extratos!I:I,df_extratos!F:F,Conciliacao!A64,df_extratos!G:G,"DEBITO")+SUMIFS(df_extratos!I:I,df_extratos!F:F,Conciliacao!BF64,df_extratos!G:G,"DEBITO")+SUMIFS(df_extratos!I:I,df_extratos!F:F,Conciliacao!BG64,df_extratos!G:G,"DEBITO")+SUMIFS(df_extratos!I:I,df_extratos!F:F,Conciliacao!BH64,df_extratos!G:G,"DEBITO")</f>
        <v/>
      </c>
      <c r="O64" s="11">
        <f>N64-SUM(J64:M64)</f>
        <v/>
      </c>
      <c r="P64" s="25">
        <f>SUMIFS(df_ajustes_conciliaco!D:D,df_ajustes_conciliaco!C:C,Conciliacao!A64)</f>
        <v/>
      </c>
      <c r="Q64" s="22">
        <f>O64+I64-P64</f>
        <v/>
      </c>
      <c r="BE64" s="20" t="n">
        <v>45720.5</v>
      </c>
      <c r="BF64" s="20" t="n">
        <v>45720.125</v>
      </c>
      <c r="BG64" s="20" t="n">
        <v>45720.54166666666</v>
      </c>
      <c r="BH64" s="20" t="n">
        <v>45720.625</v>
      </c>
    </row>
    <row r="65">
      <c r="A65" s="5">
        <f>A64+1</f>
        <v/>
      </c>
      <c r="B65" s="3">
        <f>-SUMIFS(df_extrato_zig!G:G,df_extrato_zig!E:E,Conciliacao!A65,df_extrato_zig!D:D,"Saque")-SUMIFS(df_extrato_zig!G:G,df_extrato_zig!E:E,Conciliacao!A65,df_extrato_zig!D:D,"Antecipação")</f>
        <v/>
      </c>
      <c r="C65" s="3">
        <f>SUMIFS(df_extrato_zig!E:E,df_extrato_zig!L:L,Conciliacao!A65,df_extrato_zig!F:F,"DINHEIRO")</f>
        <v/>
      </c>
      <c r="D65" s="3">
        <f>SUMIFS(view_parc_agrup!H:H,view_parc_agrup!G:G,Conciliacao!A65)</f>
        <v/>
      </c>
      <c r="E65" s="3">
        <f>SUMIFS(df_eventos!F:F,df_eventos!H:H,Conciliacao!A65)</f>
        <v/>
      </c>
      <c r="F65" s="3">
        <f>SUMIFS(df_mutuos!M:M,df_mutuos!B:B,Conciliacao!A65)</f>
        <v/>
      </c>
      <c r="G65" s="6">
        <f>SUMIFS(df_bloqueios_judiciais!G:G,df_bloqueios_judiciais!D:D,Conciliacao!A65,df_bloqueios_judiciais!G:G,"&gt;0")</f>
        <v/>
      </c>
      <c r="H65" s="7">
        <f>SUMIFS(df_extratos!I:I,df_extratos!F:F,Conciliacao!BE65,df_extratos!G:G,"CREDITO")+SUMIFS(df_extratos!I:I,df_extratos!F:F,Conciliacao!A65,df_extratos!G:G,"CREDITO")+SUMIFS(df_extratos!I:I,df_extratos!F:F,Conciliacao!BF65,df_extratos!G:G,"CREDITO")+SUMIFS(df_extratos!I:I,df_extratos!F:F,Conciliacao!BG65,df_extratos!G:G,"CREDITO")+SUMIFS(df_extratos!I:I,df_extratos!F:F,Conciliacao!BH65,df_extratos!G:G,"CREDITO")</f>
        <v/>
      </c>
      <c r="I65" s="9">
        <f>H65-SUM(B65:G65)</f>
        <v/>
      </c>
      <c r="J65" s="4">
        <f>SUMIFS(df_blueme_sem_parcelamento!E:E,df_blueme_sem_parcelamento!H:H,Conciliacao!A65)*(-1)</f>
        <v/>
      </c>
      <c r="K65" s="4">
        <f>SUMIFS(df_blueme_com_parcelamento!J:J,df_blueme_com_parcelamento!M:M,Conciliacao!A65)*(-1)</f>
        <v/>
      </c>
      <c r="L65" s="4">
        <f>SUMIFS(df_mutuos!N:N,df_mutuos!B:B,Conciliacao!A65)*(-1)</f>
        <v/>
      </c>
      <c r="M65" s="8">
        <f>SUMIFS(df_bloqueios_judiciais!G:G,df_bloqueios_judiciais!D:D,Conciliacao!A65,df_bloqueios_judiciais!G:G,"&lt;0")</f>
        <v/>
      </c>
      <c r="N65" s="10">
        <f>SUMIFS(df_extratos!I:I,df_extratos!F:F,Conciliacao!BE65,df_extratos!G:G,"DEBITO")+SUMIFS(df_extratos!I:I,df_extratos!F:F,Conciliacao!A65,df_extratos!G:G,"DEBITO")+SUMIFS(df_extratos!I:I,df_extratos!F:F,Conciliacao!BF65,df_extratos!G:G,"DEBITO")+SUMIFS(df_extratos!I:I,df_extratos!F:F,Conciliacao!BG65,df_extratos!G:G,"DEBITO")+SUMIFS(df_extratos!I:I,df_extratos!F:F,Conciliacao!BH65,df_extratos!G:G,"DEBITO")</f>
        <v/>
      </c>
      <c r="O65" s="11">
        <f>N65-SUM(J65:M65)</f>
        <v/>
      </c>
      <c r="P65" s="25">
        <f>SUMIFS(df_ajustes_conciliaco!D:D,df_ajustes_conciliaco!C:C,Conciliacao!A65)</f>
        <v/>
      </c>
      <c r="Q65" s="22">
        <f>O65+I65-P65</f>
        <v/>
      </c>
      <c r="BE65" s="20" t="n">
        <v>45721.5</v>
      </c>
      <c r="BF65" s="20" t="n">
        <v>45721.125</v>
      </c>
      <c r="BG65" s="20" t="n">
        <v>45721.54166666666</v>
      </c>
      <c r="BH65" s="20" t="n">
        <v>45721.625</v>
      </c>
    </row>
    <row r="66">
      <c r="A66" s="5">
        <f>A65+1</f>
        <v/>
      </c>
      <c r="B66" s="3">
        <f>-SUMIFS(df_extrato_zig!G:G,df_extrato_zig!E:E,Conciliacao!A66,df_extrato_zig!D:D,"Saque")-SUMIFS(df_extrato_zig!G:G,df_extrato_zig!E:E,Conciliacao!A66,df_extrato_zig!D:D,"Antecipação")</f>
        <v/>
      </c>
      <c r="C66" s="3">
        <f>SUMIFS(df_extrato_zig!E:E,df_extrato_zig!L:L,Conciliacao!A66,df_extrato_zig!F:F,"DINHEIRO")</f>
        <v/>
      </c>
      <c r="D66" s="3">
        <f>SUMIFS(view_parc_agrup!H:H,view_parc_agrup!G:G,Conciliacao!A66)</f>
        <v/>
      </c>
      <c r="E66" s="3">
        <f>SUMIFS(df_eventos!F:F,df_eventos!H:H,Conciliacao!A66)</f>
        <v/>
      </c>
      <c r="F66" s="3">
        <f>SUMIFS(df_mutuos!M:M,df_mutuos!B:B,Conciliacao!A66)</f>
        <v/>
      </c>
      <c r="G66" s="6">
        <f>SUMIFS(df_bloqueios_judiciais!G:G,df_bloqueios_judiciais!D:D,Conciliacao!A66,df_bloqueios_judiciais!G:G,"&gt;0")</f>
        <v/>
      </c>
      <c r="H66" s="7">
        <f>SUMIFS(df_extratos!I:I,df_extratos!F:F,Conciliacao!BE66,df_extratos!G:G,"CREDITO")+SUMIFS(df_extratos!I:I,df_extratos!F:F,Conciliacao!A66,df_extratos!G:G,"CREDITO")+SUMIFS(df_extratos!I:I,df_extratos!F:F,Conciliacao!BF66,df_extratos!G:G,"CREDITO")+SUMIFS(df_extratos!I:I,df_extratos!F:F,Conciliacao!BG66,df_extratos!G:G,"CREDITO")+SUMIFS(df_extratos!I:I,df_extratos!F:F,Conciliacao!BH66,df_extratos!G:G,"CREDITO")</f>
        <v/>
      </c>
      <c r="I66" s="9">
        <f>H66-SUM(B66:G66)</f>
        <v/>
      </c>
      <c r="J66" s="4">
        <f>SUMIFS(df_blueme_sem_parcelamento!E:E,df_blueme_sem_parcelamento!H:H,Conciliacao!A66)*(-1)</f>
        <v/>
      </c>
      <c r="K66" s="4">
        <f>SUMIFS(df_blueme_com_parcelamento!J:J,df_blueme_com_parcelamento!M:M,Conciliacao!A66)*(-1)</f>
        <v/>
      </c>
      <c r="L66" s="4">
        <f>SUMIFS(df_mutuos!N:N,df_mutuos!B:B,Conciliacao!A66)*(-1)</f>
        <v/>
      </c>
      <c r="M66" s="8">
        <f>SUMIFS(df_bloqueios_judiciais!G:G,df_bloqueios_judiciais!D:D,Conciliacao!A66,df_bloqueios_judiciais!G:G,"&lt;0")</f>
        <v/>
      </c>
      <c r="N66" s="10">
        <f>SUMIFS(df_extratos!I:I,df_extratos!F:F,Conciliacao!BE66,df_extratos!G:G,"DEBITO")+SUMIFS(df_extratos!I:I,df_extratos!F:F,Conciliacao!A66,df_extratos!G:G,"DEBITO")+SUMIFS(df_extratos!I:I,df_extratos!F:F,Conciliacao!BF66,df_extratos!G:G,"DEBITO")+SUMIFS(df_extratos!I:I,df_extratos!F:F,Conciliacao!BG66,df_extratos!G:G,"DEBITO")+SUMIFS(df_extratos!I:I,df_extratos!F:F,Conciliacao!BH66,df_extratos!G:G,"DEBITO")</f>
        <v/>
      </c>
      <c r="O66" s="11">
        <f>N66-SUM(J66:M66)</f>
        <v/>
      </c>
      <c r="P66" s="25">
        <f>SUMIFS(df_ajustes_conciliaco!D:D,df_ajustes_conciliaco!C:C,Conciliacao!A66)</f>
        <v/>
      </c>
      <c r="Q66" s="22">
        <f>O66+I66-P66</f>
        <v/>
      </c>
      <c r="BE66" s="20" t="n">
        <v>45722.5</v>
      </c>
      <c r="BF66" s="20" t="n">
        <v>45722.125</v>
      </c>
      <c r="BG66" s="20" t="n">
        <v>45722.54166666666</v>
      </c>
      <c r="BH66" s="20" t="n">
        <v>45722.625</v>
      </c>
    </row>
    <row r="67">
      <c r="A67" s="5">
        <f>A66+1</f>
        <v/>
      </c>
      <c r="B67" s="3">
        <f>-SUMIFS(df_extrato_zig!G:G,df_extrato_zig!E:E,Conciliacao!A67,df_extrato_zig!D:D,"Saque")-SUMIFS(df_extrato_zig!G:G,df_extrato_zig!E:E,Conciliacao!A67,df_extrato_zig!D:D,"Antecipação")</f>
        <v/>
      </c>
      <c r="C67" s="3">
        <f>SUMIFS(df_extrato_zig!E:E,df_extrato_zig!L:L,Conciliacao!A67,df_extrato_zig!F:F,"DINHEIRO")</f>
        <v/>
      </c>
      <c r="D67" s="3">
        <f>SUMIFS(view_parc_agrup!H:H,view_parc_agrup!G:G,Conciliacao!A67)</f>
        <v/>
      </c>
      <c r="E67" s="3">
        <f>SUMIFS(df_eventos!F:F,df_eventos!H:H,Conciliacao!A67)</f>
        <v/>
      </c>
      <c r="F67" s="3">
        <f>SUMIFS(df_mutuos!M:M,df_mutuos!B:B,Conciliacao!A67)</f>
        <v/>
      </c>
      <c r="G67" s="6">
        <f>SUMIFS(df_bloqueios_judiciais!G:G,df_bloqueios_judiciais!D:D,Conciliacao!A67,df_bloqueios_judiciais!G:G,"&gt;0")</f>
        <v/>
      </c>
      <c r="H67" s="7">
        <f>SUMIFS(df_extratos!I:I,df_extratos!F:F,Conciliacao!BE67,df_extratos!G:G,"CREDITO")+SUMIFS(df_extratos!I:I,df_extratos!F:F,Conciliacao!A67,df_extratos!G:G,"CREDITO")+SUMIFS(df_extratos!I:I,df_extratos!F:F,Conciliacao!BF67,df_extratos!G:G,"CREDITO")+SUMIFS(df_extratos!I:I,df_extratos!F:F,Conciliacao!BG67,df_extratos!G:G,"CREDITO")+SUMIFS(df_extratos!I:I,df_extratos!F:F,Conciliacao!BH67,df_extratos!G:G,"CREDITO")</f>
        <v/>
      </c>
      <c r="I67" s="9">
        <f>H67-SUM(B67:G67)</f>
        <v/>
      </c>
      <c r="J67" s="4">
        <f>SUMIFS(df_blueme_sem_parcelamento!E:E,df_blueme_sem_parcelamento!H:H,Conciliacao!A67)*(-1)</f>
        <v/>
      </c>
      <c r="K67" s="4">
        <f>SUMIFS(df_blueme_com_parcelamento!J:J,df_blueme_com_parcelamento!M:M,Conciliacao!A67)*(-1)</f>
        <v/>
      </c>
      <c r="L67" s="4">
        <f>SUMIFS(df_mutuos!N:N,df_mutuos!B:B,Conciliacao!A67)*(-1)</f>
        <v/>
      </c>
      <c r="M67" s="8">
        <f>SUMIFS(df_bloqueios_judiciais!G:G,df_bloqueios_judiciais!D:D,Conciliacao!A67,df_bloqueios_judiciais!G:G,"&lt;0")</f>
        <v/>
      </c>
      <c r="N67" s="10">
        <f>SUMIFS(df_extratos!I:I,df_extratos!F:F,Conciliacao!BE67,df_extratos!G:G,"DEBITO")+SUMIFS(df_extratos!I:I,df_extratos!F:F,Conciliacao!A67,df_extratos!G:G,"DEBITO")+SUMIFS(df_extratos!I:I,df_extratos!F:F,Conciliacao!BF67,df_extratos!G:G,"DEBITO")+SUMIFS(df_extratos!I:I,df_extratos!F:F,Conciliacao!BG67,df_extratos!G:G,"DEBITO")+SUMIFS(df_extratos!I:I,df_extratos!F:F,Conciliacao!BH67,df_extratos!G:G,"DEBITO")</f>
        <v/>
      </c>
      <c r="O67" s="11">
        <f>N67-SUM(J67:M67)</f>
        <v/>
      </c>
      <c r="P67" s="25">
        <f>SUMIFS(df_ajustes_conciliaco!D:D,df_ajustes_conciliaco!C:C,Conciliacao!A67)</f>
        <v/>
      </c>
      <c r="Q67" s="22">
        <f>O67+I67-P67</f>
        <v/>
      </c>
      <c r="BE67" s="20" t="n">
        <v>45723.5</v>
      </c>
      <c r="BF67" s="20" t="n">
        <v>45723.125</v>
      </c>
      <c r="BG67" s="20" t="n">
        <v>45723.54166666666</v>
      </c>
      <c r="BH67" s="20" t="n">
        <v>45723.625</v>
      </c>
    </row>
    <row r="68">
      <c r="A68" s="5">
        <f>A67+1</f>
        <v/>
      </c>
      <c r="B68" s="3">
        <f>-SUMIFS(df_extrato_zig!G:G,df_extrato_zig!E:E,Conciliacao!A68,df_extrato_zig!D:D,"Saque")-SUMIFS(df_extrato_zig!G:G,df_extrato_zig!E:E,Conciliacao!A68,df_extrato_zig!D:D,"Antecipação")</f>
        <v/>
      </c>
      <c r="C68" s="3">
        <f>SUMIFS(df_extrato_zig!E:E,df_extrato_zig!L:L,Conciliacao!A68,df_extrato_zig!F:F,"DINHEIRO")</f>
        <v/>
      </c>
      <c r="D68" s="3">
        <f>SUMIFS(view_parc_agrup!H:H,view_parc_agrup!G:G,Conciliacao!A68)</f>
        <v/>
      </c>
      <c r="E68" s="3">
        <f>SUMIFS(df_eventos!F:F,df_eventos!H:H,Conciliacao!A68)</f>
        <v/>
      </c>
      <c r="F68" s="3">
        <f>SUMIFS(df_mutuos!M:M,df_mutuos!B:B,Conciliacao!A68)</f>
        <v/>
      </c>
      <c r="G68" s="6">
        <f>SUMIFS(df_bloqueios_judiciais!G:G,df_bloqueios_judiciais!D:D,Conciliacao!A68,df_bloqueios_judiciais!G:G,"&gt;0")</f>
        <v/>
      </c>
      <c r="H68" s="7">
        <f>SUMIFS(df_extratos!I:I,df_extratos!F:F,Conciliacao!BE68,df_extratos!G:G,"CREDITO")+SUMIFS(df_extratos!I:I,df_extratos!F:F,Conciliacao!A68,df_extratos!G:G,"CREDITO")+SUMIFS(df_extratos!I:I,df_extratos!F:F,Conciliacao!BF68,df_extratos!G:G,"CREDITO")+SUMIFS(df_extratos!I:I,df_extratos!F:F,Conciliacao!BG68,df_extratos!G:G,"CREDITO")+SUMIFS(df_extratos!I:I,df_extratos!F:F,Conciliacao!BH68,df_extratos!G:G,"CREDITO")</f>
        <v/>
      </c>
      <c r="I68" s="9">
        <f>H68-SUM(B68:G68)</f>
        <v/>
      </c>
      <c r="J68" s="4">
        <f>SUMIFS(df_blueme_sem_parcelamento!E:E,df_blueme_sem_parcelamento!H:H,Conciliacao!A68)*(-1)</f>
        <v/>
      </c>
      <c r="K68" s="4">
        <f>SUMIFS(df_blueme_com_parcelamento!J:J,df_blueme_com_parcelamento!M:M,Conciliacao!A68)*(-1)</f>
        <v/>
      </c>
      <c r="L68" s="4">
        <f>SUMIFS(df_mutuos!N:N,df_mutuos!B:B,Conciliacao!A68)*(-1)</f>
        <v/>
      </c>
      <c r="M68" s="8">
        <f>SUMIFS(df_bloqueios_judiciais!G:G,df_bloqueios_judiciais!D:D,Conciliacao!A68,df_bloqueios_judiciais!G:G,"&lt;0")</f>
        <v/>
      </c>
      <c r="N68" s="10">
        <f>SUMIFS(df_extratos!I:I,df_extratos!F:F,Conciliacao!BE68,df_extratos!G:G,"DEBITO")+SUMIFS(df_extratos!I:I,df_extratos!F:F,Conciliacao!A68,df_extratos!G:G,"DEBITO")+SUMIFS(df_extratos!I:I,df_extratos!F:F,Conciliacao!BF68,df_extratos!G:G,"DEBITO")+SUMIFS(df_extratos!I:I,df_extratos!F:F,Conciliacao!BG68,df_extratos!G:G,"DEBITO")+SUMIFS(df_extratos!I:I,df_extratos!F:F,Conciliacao!BH68,df_extratos!G:G,"DEBITO")</f>
        <v/>
      </c>
      <c r="O68" s="11">
        <f>N68-SUM(J68:M68)</f>
        <v/>
      </c>
      <c r="P68" s="25">
        <f>SUMIFS(df_ajustes_conciliaco!D:D,df_ajustes_conciliaco!C:C,Conciliacao!A68)</f>
        <v/>
      </c>
      <c r="Q68" s="22">
        <f>O68+I68-P68</f>
        <v/>
      </c>
      <c r="BE68" s="20" t="n">
        <v>45724.5</v>
      </c>
      <c r="BF68" s="20" t="n">
        <v>45724.125</v>
      </c>
      <c r="BG68" s="20" t="n">
        <v>45724.54166666666</v>
      </c>
      <c r="BH68" s="20" t="n">
        <v>45724.625</v>
      </c>
    </row>
    <row r="69">
      <c r="A69" s="5">
        <f>A68+1</f>
        <v/>
      </c>
      <c r="B69" s="3">
        <f>-SUMIFS(df_extrato_zig!G:G,df_extrato_zig!E:E,Conciliacao!A69,df_extrato_zig!D:D,"Saque")-SUMIFS(df_extrato_zig!G:G,df_extrato_zig!E:E,Conciliacao!A69,df_extrato_zig!D:D,"Antecipação")</f>
        <v/>
      </c>
      <c r="C69" s="3">
        <f>SUMIFS(df_extrato_zig!E:E,df_extrato_zig!L:L,Conciliacao!A69,df_extrato_zig!F:F,"DINHEIRO")</f>
        <v/>
      </c>
      <c r="D69" s="3">
        <f>SUMIFS(view_parc_agrup!H:H,view_parc_agrup!G:G,Conciliacao!A69)</f>
        <v/>
      </c>
      <c r="E69" s="3">
        <f>SUMIFS(df_eventos!F:F,df_eventos!H:H,Conciliacao!A69)</f>
        <v/>
      </c>
      <c r="F69" s="3">
        <f>SUMIFS(df_mutuos!M:M,df_mutuos!B:B,Conciliacao!A69)</f>
        <v/>
      </c>
      <c r="G69" s="6">
        <f>SUMIFS(df_bloqueios_judiciais!G:G,df_bloqueios_judiciais!D:D,Conciliacao!A69,df_bloqueios_judiciais!G:G,"&gt;0")</f>
        <v/>
      </c>
      <c r="H69" s="7">
        <f>SUMIFS(df_extratos!I:I,df_extratos!F:F,Conciliacao!BE69,df_extratos!G:G,"CREDITO")+SUMIFS(df_extratos!I:I,df_extratos!F:F,Conciliacao!A69,df_extratos!G:G,"CREDITO")+SUMIFS(df_extratos!I:I,df_extratos!F:F,Conciliacao!BF69,df_extratos!G:G,"CREDITO")+SUMIFS(df_extratos!I:I,df_extratos!F:F,Conciliacao!BG69,df_extratos!G:G,"CREDITO")+SUMIFS(df_extratos!I:I,df_extratos!F:F,Conciliacao!BH69,df_extratos!G:G,"CREDITO")</f>
        <v/>
      </c>
      <c r="I69" s="9">
        <f>H69-SUM(B69:G69)</f>
        <v/>
      </c>
      <c r="J69" s="4">
        <f>SUMIFS(df_blueme_sem_parcelamento!E:E,df_blueme_sem_parcelamento!H:H,Conciliacao!A69)*(-1)</f>
        <v/>
      </c>
      <c r="K69" s="4">
        <f>SUMIFS(df_blueme_com_parcelamento!J:J,df_blueme_com_parcelamento!M:M,Conciliacao!A69)*(-1)</f>
        <v/>
      </c>
      <c r="L69" s="4">
        <f>SUMIFS(df_mutuos!N:N,df_mutuos!B:B,Conciliacao!A69)*(-1)</f>
        <v/>
      </c>
      <c r="M69" s="8">
        <f>SUMIFS(df_bloqueios_judiciais!G:G,df_bloqueios_judiciais!D:D,Conciliacao!A69,df_bloqueios_judiciais!G:G,"&lt;0")</f>
        <v/>
      </c>
      <c r="N69" s="10">
        <f>SUMIFS(df_extratos!I:I,df_extratos!F:F,Conciliacao!BE69,df_extratos!G:G,"DEBITO")+SUMIFS(df_extratos!I:I,df_extratos!F:F,Conciliacao!A69,df_extratos!G:G,"DEBITO")+SUMIFS(df_extratos!I:I,df_extratos!F:F,Conciliacao!BF69,df_extratos!G:G,"DEBITO")+SUMIFS(df_extratos!I:I,df_extratos!F:F,Conciliacao!BG69,df_extratos!G:G,"DEBITO")+SUMIFS(df_extratos!I:I,df_extratos!F:F,Conciliacao!BH69,df_extratos!G:G,"DEBITO")</f>
        <v/>
      </c>
      <c r="O69" s="11">
        <f>N69-SUM(J69:M69)</f>
        <v/>
      </c>
      <c r="P69" s="25">
        <f>SUMIFS(df_ajustes_conciliaco!D:D,df_ajustes_conciliaco!C:C,Conciliacao!A69)</f>
        <v/>
      </c>
      <c r="Q69" s="22">
        <f>O69+I69-P69</f>
        <v/>
      </c>
      <c r="BE69" s="20" t="n">
        <v>45725.5</v>
      </c>
      <c r="BF69" s="20" t="n">
        <v>45725.125</v>
      </c>
      <c r="BG69" s="20" t="n">
        <v>45725.54166666666</v>
      </c>
      <c r="BH69" s="20" t="n">
        <v>45725.625</v>
      </c>
    </row>
    <row r="70">
      <c r="A70" s="5">
        <f>A69+1</f>
        <v/>
      </c>
      <c r="B70" s="3">
        <f>-SUMIFS(df_extrato_zig!G:G,df_extrato_zig!E:E,Conciliacao!A70,df_extrato_zig!D:D,"Saque")-SUMIFS(df_extrato_zig!G:G,df_extrato_zig!E:E,Conciliacao!A70,df_extrato_zig!D:D,"Antecipação")</f>
        <v/>
      </c>
      <c r="C70" s="3">
        <f>SUMIFS(df_extrato_zig!E:E,df_extrato_zig!L:L,Conciliacao!A70,df_extrato_zig!F:F,"DINHEIRO")</f>
        <v/>
      </c>
      <c r="D70" s="3">
        <f>SUMIFS(view_parc_agrup!H:H,view_parc_agrup!G:G,Conciliacao!A70)</f>
        <v/>
      </c>
      <c r="E70" s="3">
        <f>SUMIFS(df_eventos!F:F,df_eventos!H:H,Conciliacao!A70)</f>
        <v/>
      </c>
      <c r="F70" s="3">
        <f>SUMIFS(df_mutuos!M:M,df_mutuos!B:B,Conciliacao!A70)</f>
        <v/>
      </c>
      <c r="G70" s="6">
        <f>SUMIFS(df_bloqueios_judiciais!G:G,df_bloqueios_judiciais!D:D,Conciliacao!A70,df_bloqueios_judiciais!G:G,"&gt;0")</f>
        <v/>
      </c>
      <c r="H70" s="7">
        <f>SUMIFS(df_extratos!I:I,df_extratos!F:F,Conciliacao!BE70,df_extratos!G:G,"CREDITO")+SUMIFS(df_extratos!I:I,df_extratos!F:F,Conciliacao!A70,df_extratos!G:G,"CREDITO")+SUMIFS(df_extratos!I:I,df_extratos!F:F,Conciliacao!BF70,df_extratos!G:G,"CREDITO")+SUMIFS(df_extratos!I:I,df_extratos!F:F,Conciliacao!BG70,df_extratos!G:G,"CREDITO")+SUMIFS(df_extratos!I:I,df_extratos!F:F,Conciliacao!BH70,df_extratos!G:G,"CREDITO")</f>
        <v/>
      </c>
      <c r="I70" s="9">
        <f>H70-SUM(B70:G70)</f>
        <v/>
      </c>
      <c r="J70" s="4">
        <f>SUMIFS(df_blueme_sem_parcelamento!E:E,df_blueme_sem_parcelamento!H:H,Conciliacao!A70)*(-1)</f>
        <v/>
      </c>
      <c r="K70" s="4">
        <f>SUMIFS(df_blueme_com_parcelamento!J:J,df_blueme_com_parcelamento!M:M,Conciliacao!A70)*(-1)</f>
        <v/>
      </c>
      <c r="L70" s="4">
        <f>SUMIFS(df_mutuos!N:N,df_mutuos!B:B,Conciliacao!A70)*(-1)</f>
        <v/>
      </c>
      <c r="M70" s="8">
        <f>SUMIFS(df_bloqueios_judiciais!G:G,df_bloqueios_judiciais!D:D,Conciliacao!A70,df_bloqueios_judiciais!G:G,"&lt;0")</f>
        <v/>
      </c>
      <c r="N70" s="10">
        <f>SUMIFS(df_extratos!I:I,df_extratos!F:F,Conciliacao!BE70,df_extratos!G:G,"DEBITO")+SUMIFS(df_extratos!I:I,df_extratos!F:F,Conciliacao!A70,df_extratos!G:G,"DEBITO")+SUMIFS(df_extratos!I:I,df_extratos!F:F,Conciliacao!BF70,df_extratos!G:G,"DEBITO")+SUMIFS(df_extratos!I:I,df_extratos!F:F,Conciliacao!BG70,df_extratos!G:G,"DEBITO")+SUMIFS(df_extratos!I:I,df_extratos!F:F,Conciliacao!BH70,df_extratos!G:G,"DEBITO")</f>
        <v/>
      </c>
      <c r="O70" s="11">
        <f>N70-SUM(J70:M70)</f>
        <v/>
      </c>
      <c r="P70" s="25">
        <f>SUMIFS(df_ajustes_conciliaco!D:D,df_ajustes_conciliaco!C:C,Conciliacao!A70)</f>
        <v/>
      </c>
      <c r="Q70" s="22">
        <f>O70+I70-P70</f>
        <v/>
      </c>
      <c r="BE70" s="20" t="n">
        <v>45726.5</v>
      </c>
      <c r="BF70" s="20" t="n">
        <v>45726.125</v>
      </c>
      <c r="BG70" s="20" t="n">
        <v>45726.54166666666</v>
      </c>
      <c r="BH70" s="20" t="n">
        <v>45726.625</v>
      </c>
    </row>
    <row r="71">
      <c r="A71" s="5">
        <f>A70+1</f>
        <v/>
      </c>
      <c r="B71" s="3">
        <f>-SUMIFS(df_extrato_zig!G:G,df_extrato_zig!E:E,Conciliacao!A71,df_extrato_zig!D:D,"Saque")-SUMIFS(df_extrato_zig!G:G,df_extrato_zig!E:E,Conciliacao!A71,df_extrato_zig!D:D,"Antecipação")</f>
        <v/>
      </c>
      <c r="C71" s="3">
        <f>SUMIFS(df_extrato_zig!E:E,df_extrato_zig!L:L,Conciliacao!A71,df_extrato_zig!F:F,"DINHEIRO")</f>
        <v/>
      </c>
      <c r="D71" s="3">
        <f>SUMIFS(view_parc_agrup!H:H,view_parc_agrup!G:G,Conciliacao!A71)</f>
        <v/>
      </c>
      <c r="E71" s="3">
        <f>SUMIFS(df_eventos!F:F,df_eventos!H:H,Conciliacao!A71)</f>
        <v/>
      </c>
      <c r="F71" s="3">
        <f>SUMIFS(df_mutuos!M:M,df_mutuos!B:B,Conciliacao!A71)</f>
        <v/>
      </c>
      <c r="G71" s="6">
        <f>SUMIFS(df_bloqueios_judiciais!G:G,df_bloqueios_judiciais!D:D,Conciliacao!A71,df_bloqueios_judiciais!G:G,"&gt;0")</f>
        <v/>
      </c>
      <c r="H71" s="7">
        <f>SUMIFS(df_extratos!I:I,df_extratos!F:F,Conciliacao!BE71,df_extratos!G:G,"CREDITO")+SUMIFS(df_extratos!I:I,df_extratos!F:F,Conciliacao!A71,df_extratos!G:G,"CREDITO")+SUMIFS(df_extratos!I:I,df_extratos!F:F,Conciliacao!BF71,df_extratos!G:G,"CREDITO")+SUMIFS(df_extratos!I:I,df_extratos!F:F,Conciliacao!BG71,df_extratos!G:G,"CREDITO")+SUMIFS(df_extratos!I:I,df_extratos!F:F,Conciliacao!BH71,df_extratos!G:G,"CREDITO")</f>
        <v/>
      </c>
      <c r="I71" s="9">
        <f>H71-SUM(B71:G71)</f>
        <v/>
      </c>
      <c r="J71" s="4">
        <f>SUMIFS(df_blueme_sem_parcelamento!E:E,df_blueme_sem_parcelamento!H:H,Conciliacao!A71)*(-1)</f>
        <v/>
      </c>
      <c r="K71" s="4">
        <f>SUMIFS(df_blueme_com_parcelamento!J:J,df_blueme_com_parcelamento!M:M,Conciliacao!A71)*(-1)</f>
        <v/>
      </c>
      <c r="L71" s="4">
        <f>SUMIFS(df_mutuos!N:N,df_mutuos!B:B,Conciliacao!A71)*(-1)</f>
        <v/>
      </c>
      <c r="M71" s="8">
        <f>SUMIFS(df_bloqueios_judiciais!G:G,df_bloqueios_judiciais!D:D,Conciliacao!A71,df_bloqueios_judiciais!G:G,"&lt;0")</f>
        <v/>
      </c>
      <c r="N71" s="10">
        <f>SUMIFS(df_extratos!I:I,df_extratos!F:F,Conciliacao!BE71,df_extratos!G:G,"DEBITO")+SUMIFS(df_extratos!I:I,df_extratos!F:F,Conciliacao!A71,df_extratos!G:G,"DEBITO")+SUMIFS(df_extratos!I:I,df_extratos!F:F,Conciliacao!BF71,df_extratos!G:G,"DEBITO")+SUMIFS(df_extratos!I:I,df_extratos!F:F,Conciliacao!BG71,df_extratos!G:G,"DEBITO")+SUMIFS(df_extratos!I:I,df_extratos!F:F,Conciliacao!BH71,df_extratos!G:G,"DEBITO")</f>
        <v/>
      </c>
      <c r="O71" s="11">
        <f>N71-SUM(J71:M71)</f>
        <v/>
      </c>
      <c r="P71" s="25">
        <f>SUMIFS(df_ajustes_conciliaco!D:D,df_ajustes_conciliaco!C:C,Conciliacao!A71)</f>
        <v/>
      </c>
      <c r="Q71" s="22">
        <f>O71+I71-P71</f>
        <v/>
      </c>
      <c r="BE71" s="20" t="n">
        <v>45727.5</v>
      </c>
      <c r="BF71" s="20" t="n">
        <v>45727.125</v>
      </c>
      <c r="BG71" s="20" t="n">
        <v>45727.54166666666</v>
      </c>
      <c r="BH71" s="20" t="n">
        <v>45727.625</v>
      </c>
    </row>
    <row r="72">
      <c r="A72" s="5">
        <f>A71+1</f>
        <v/>
      </c>
      <c r="B72" s="3">
        <f>-SUMIFS(df_extrato_zig!G:G,df_extrato_zig!E:E,Conciliacao!A72,df_extrato_zig!D:D,"Saque")-SUMIFS(df_extrato_zig!G:G,df_extrato_zig!E:E,Conciliacao!A72,df_extrato_zig!D:D,"Antecipação")</f>
        <v/>
      </c>
      <c r="C72" s="3">
        <f>SUMIFS(df_extrato_zig!E:E,df_extrato_zig!L:L,Conciliacao!A72,df_extrato_zig!F:F,"DINHEIRO")</f>
        <v/>
      </c>
      <c r="D72" s="3">
        <f>SUMIFS(view_parc_agrup!H:H,view_parc_agrup!G:G,Conciliacao!A72)</f>
        <v/>
      </c>
      <c r="E72" s="3">
        <f>SUMIFS(df_eventos!F:F,df_eventos!H:H,Conciliacao!A72)</f>
        <v/>
      </c>
      <c r="F72" s="3">
        <f>SUMIFS(df_mutuos!M:M,df_mutuos!B:B,Conciliacao!A72)</f>
        <v/>
      </c>
      <c r="G72" s="6">
        <f>SUMIFS(df_bloqueios_judiciais!G:G,df_bloqueios_judiciais!D:D,Conciliacao!A72,df_bloqueios_judiciais!G:G,"&gt;0")</f>
        <v/>
      </c>
      <c r="H72" s="7">
        <f>SUMIFS(df_extratos!I:I,df_extratos!F:F,Conciliacao!BE72,df_extratos!G:G,"CREDITO")+SUMIFS(df_extratos!I:I,df_extratos!F:F,Conciliacao!A72,df_extratos!G:G,"CREDITO")+SUMIFS(df_extratos!I:I,df_extratos!F:F,Conciliacao!BF72,df_extratos!G:G,"CREDITO")+SUMIFS(df_extratos!I:I,df_extratos!F:F,Conciliacao!BG72,df_extratos!G:G,"CREDITO")+SUMIFS(df_extratos!I:I,df_extratos!F:F,Conciliacao!BH72,df_extratos!G:G,"CREDITO")</f>
        <v/>
      </c>
      <c r="I72" s="9">
        <f>H72-SUM(B72:G72)</f>
        <v/>
      </c>
      <c r="J72" s="4">
        <f>SUMIFS(df_blueme_sem_parcelamento!E:E,df_blueme_sem_parcelamento!H:H,Conciliacao!A72)*(-1)</f>
        <v/>
      </c>
      <c r="K72" s="4">
        <f>SUMIFS(df_blueme_com_parcelamento!J:J,df_blueme_com_parcelamento!M:M,Conciliacao!A72)*(-1)</f>
        <v/>
      </c>
      <c r="L72" s="4">
        <f>SUMIFS(df_mutuos!N:N,df_mutuos!B:B,Conciliacao!A72)*(-1)</f>
        <v/>
      </c>
      <c r="M72" s="8">
        <f>SUMIFS(df_bloqueios_judiciais!G:G,df_bloqueios_judiciais!D:D,Conciliacao!A72,df_bloqueios_judiciais!G:G,"&lt;0")</f>
        <v/>
      </c>
      <c r="N72" s="10">
        <f>SUMIFS(df_extratos!I:I,df_extratos!F:F,Conciliacao!BE72,df_extratos!G:G,"DEBITO")+SUMIFS(df_extratos!I:I,df_extratos!F:F,Conciliacao!A72,df_extratos!G:G,"DEBITO")+SUMIFS(df_extratos!I:I,df_extratos!F:F,Conciliacao!BF72,df_extratos!G:G,"DEBITO")+SUMIFS(df_extratos!I:I,df_extratos!F:F,Conciliacao!BG72,df_extratos!G:G,"DEBITO")+SUMIFS(df_extratos!I:I,df_extratos!F:F,Conciliacao!BH72,df_extratos!G:G,"DEBITO")</f>
        <v/>
      </c>
      <c r="O72" s="11">
        <f>N72-SUM(J72:M72)</f>
        <v/>
      </c>
      <c r="P72" s="25">
        <f>SUMIFS(df_ajustes_conciliaco!D:D,df_ajustes_conciliaco!C:C,Conciliacao!A72)</f>
        <v/>
      </c>
      <c r="Q72" s="22">
        <f>O72+I72-P72</f>
        <v/>
      </c>
      <c r="BE72" s="20" t="n">
        <v>45728.5</v>
      </c>
      <c r="BF72" s="20" t="n">
        <v>45728.125</v>
      </c>
      <c r="BG72" s="20" t="n">
        <v>45728.54166666666</v>
      </c>
      <c r="BH72" s="20" t="n">
        <v>45728.625</v>
      </c>
    </row>
    <row r="73">
      <c r="A73" s="5">
        <f>A72+1</f>
        <v/>
      </c>
      <c r="B73" s="3">
        <f>-SUMIFS(df_extrato_zig!G:G,df_extrato_zig!E:E,Conciliacao!A73,df_extrato_zig!D:D,"Saque")-SUMIFS(df_extrato_zig!G:G,df_extrato_zig!E:E,Conciliacao!A73,df_extrato_zig!D:D,"Antecipação")</f>
        <v/>
      </c>
      <c r="C73" s="3">
        <f>SUMIFS(df_extrato_zig!E:E,df_extrato_zig!L:L,Conciliacao!A73,df_extrato_zig!F:F,"DINHEIRO")</f>
        <v/>
      </c>
      <c r="D73" s="3">
        <f>SUMIFS(view_parc_agrup!H:H,view_parc_agrup!G:G,Conciliacao!A73)</f>
        <v/>
      </c>
      <c r="E73" s="3">
        <f>SUMIFS(df_eventos!F:F,df_eventos!H:H,Conciliacao!A73)</f>
        <v/>
      </c>
      <c r="F73" s="3">
        <f>SUMIFS(df_mutuos!M:M,df_mutuos!B:B,Conciliacao!A73)</f>
        <v/>
      </c>
      <c r="G73" s="6">
        <f>SUMIFS(df_bloqueios_judiciais!G:G,df_bloqueios_judiciais!D:D,Conciliacao!A73,df_bloqueios_judiciais!G:G,"&gt;0")</f>
        <v/>
      </c>
      <c r="H73" s="7">
        <f>SUMIFS(df_extratos!I:I,df_extratos!F:F,Conciliacao!BE73,df_extratos!G:G,"CREDITO")+SUMIFS(df_extratos!I:I,df_extratos!F:F,Conciliacao!A73,df_extratos!G:G,"CREDITO")+SUMIFS(df_extratos!I:I,df_extratos!F:F,Conciliacao!BF73,df_extratos!G:G,"CREDITO")+SUMIFS(df_extratos!I:I,df_extratos!F:F,Conciliacao!BG73,df_extratos!G:G,"CREDITO")+SUMIFS(df_extratos!I:I,df_extratos!F:F,Conciliacao!BH73,df_extratos!G:G,"CREDITO")</f>
        <v/>
      </c>
      <c r="I73" s="9">
        <f>H73-SUM(B73:G73)</f>
        <v/>
      </c>
      <c r="J73" s="4">
        <f>SUMIFS(df_blueme_sem_parcelamento!E:E,df_blueme_sem_parcelamento!H:H,Conciliacao!A73)*(-1)</f>
        <v/>
      </c>
      <c r="K73" s="4">
        <f>SUMIFS(df_blueme_com_parcelamento!J:J,df_blueme_com_parcelamento!M:M,Conciliacao!A73)*(-1)</f>
        <v/>
      </c>
      <c r="L73" s="4">
        <f>SUMIFS(df_mutuos!N:N,df_mutuos!B:B,Conciliacao!A73)*(-1)</f>
        <v/>
      </c>
      <c r="M73" s="8">
        <f>SUMIFS(df_bloqueios_judiciais!G:G,df_bloqueios_judiciais!D:D,Conciliacao!A73,df_bloqueios_judiciais!G:G,"&lt;0")</f>
        <v/>
      </c>
      <c r="N73" s="10">
        <f>SUMIFS(df_extratos!I:I,df_extratos!F:F,Conciliacao!BE73,df_extratos!G:G,"DEBITO")+SUMIFS(df_extratos!I:I,df_extratos!F:F,Conciliacao!A73,df_extratos!G:G,"DEBITO")+SUMIFS(df_extratos!I:I,df_extratos!F:F,Conciliacao!BF73,df_extratos!G:G,"DEBITO")+SUMIFS(df_extratos!I:I,df_extratos!F:F,Conciliacao!BG73,df_extratos!G:G,"DEBITO")+SUMIFS(df_extratos!I:I,df_extratos!F:F,Conciliacao!BH73,df_extratos!G:G,"DEBITO")</f>
        <v/>
      </c>
      <c r="O73" s="11">
        <f>N73-SUM(J73:M73)</f>
        <v/>
      </c>
      <c r="P73" s="25">
        <f>SUMIFS(df_ajustes_conciliaco!D:D,df_ajustes_conciliaco!C:C,Conciliacao!A73)</f>
        <v/>
      </c>
      <c r="Q73" s="22">
        <f>O73+I73-P73</f>
        <v/>
      </c>
      <c r="BE73" s="20" t="n">
        <v>45729.5</v>
      </c>
      <c r="BF73" s="20" t="n">
        <v>45729.125</v>
      </c>
      <c r="BG73" s="20" t="n">
        <v>45729.54166666666</v>
      </c>
      <c r="BH73" s="20" t="n">
        <v>45729.625</v>
      </c>
    </row>
    <row r="74">
      <c r="A74" s="5">
        <f>A73+1</f>
        <v/>
      </c>
      <c r="B74" s="3">
        <f>-SUMIFS(df_extrato_zig!G:G,df_extrato_zig!E:E,Conciliacao!A74,df_extrato_zig!D:D,"Saque")-SUMIFS(df_extrato_zig!G:G,df_extrato_zig!E:E,Conciliacao!A74,df_extrato_zig!D:D,"Antecipação")</f>
        <v/>
      </c>
      <c r="C74" s="3">
        <f>SUMIFS(df_extrato_zig!E:E,df_extrato_zig!L:L,Conciliacao!A74,df_extrato_zig!F:F,"DINHEIRO")</f>
        <v/>
      </c>
      <c r="D74" s="3">
        <f>SUMIFS(view_parc_agrup!H:H,view_parc_agrup!G:G,Conciliacao!A74)</f>
        <v/>
      </c>
      <c r="E74" s="3">
        <f>SUMIFS(df_eventos!F:F,df_eventos!H:H,Conciliacao!A74)</f>
        <v/>
      </c>
      <c r="F74" s="3">
        <f>SUMIFS(df_mutuos!M:M,df_mutuos!B:B,Conciliacao!A74)</f>
        <v/>
      </c>
      <c r="G74" s="6">
        <f>SUMIFS(df_bloqueios_judiciais!G:G,df_bloqueios_judiciais!D:D,Conciliacao!A74,df_bloqueios_judiciais!G:G,"&gt;0")</f>
        <v/>
      </c>
      <c r="H74" s="7">
        <f>SUMIFS(df_extratos!I:I,df_extratos!F:F,Conciliacao!BE74,df_extratos!G:G,"CREDITO")+SUMIFS(df_extratos!I:I,df_extratos!F:F,Conciliacao!A74,df_extratos!G:G,"CREDITO")+SUMIFS(df_extratos!I:I,df_extratos!F:F,Conciliacao!BF74,df_extratos!G:G,"CREDITO")+SUMIFS(df_extratos!I:I,df_extratos!F:F,Conciliacao!BG74,df_extratos!G:G,"CREDITO")+SUMIFS(df_extratos!I:I,df_extratos!F:F,Conciliacao!BH74,df_extratos!G:G,"CREDITO")</f>
        <v/>
      </c>
      <c r="I74" s="9">
        <f>H74-SUM(B74:G74)</f>
        <v/>
      </c>
      <c r="J74" s="4">
        <f>SUMIFS(df_blueme_sem_parcelamento!E:E,df_blueme_sem_parcelamento!H:H,Conciliacao!A74)*(-1)</f>
        <v/>
      </c>
      <c r="K74" s="4">
        <f>SUMIFS(df_blueme_com_parcelamento!J:J,df_blueme_com_parcelamento!M:M,Conciliacao!A74)*(-1)</f>
        <v/>
      </c>
      <c r="L74" s="4">
        <f>SUMIFS(df_mutuos!N:N,df_mutuos!B:B,Conciliacao!A74)*(-1)</f>
        <v/>
      </c>
      <c r="M74" s="8">
        <f>SUMIFS(df_bloqueios_judiciais!G:G,df_bloqueios_judiciais!D:D,Conciliacao!A74,df_bloqueios_judiciais!G:G,"&lt;0")</f>
        <v/>
      </c>
      <c r="N74" s="10">
        <f>SUMIFS(df_extratos!I:I,df_extratos!F:F,Conciliacao!BE74,df_extratos!G:G,"DEBITO")+SUMIFS(df_extratos!I:I,df_extratos!F:F,Conciliacao!A74,df_extratos!G:G,"DEBITO")+SUMIFS(df_extratos!I:I,df_extratos!F:F,Conciliacao!BF74,df_extratos!G:G,"DEBITO")+SUMIFS(df_extratos!I:I,df_extratos!F:F,Conciliacao!BG74,df_extratos!G:G,"DEBITO")+SUMIFS(df_extratos!I:I,df_extratos!F:F,Conciliacao!BH74,df_extratos!G:G,"DEBITO")</f>
        <v/>
      </c>
      <c r="O74" s="11">
        <f>N74-SUM(J74:M74)</f>
        <v/>
      </c>
      <c r="P74" s="25">
        <f>SUMIFS(df_ajustes_conciliaco!D:D,df_ajustes_conciliaco!C:C,Conciliacao!A74)</f>
        <v/>
      </c>
      <c r="Q74" s="22">
        <f>O74+I74-P74</f>
        <v/>
      </c>
      <c r="BE74" s="20" t="n">
        <v>45730.5</v>
      </c>
      <c r="BF74" s="20" t="n">
        <v>45730.125</v>
      </c>
      <c r="BG74" s="20" t="n">
        <v>45730.54166666666</v>
      </c>
      <c r="BH74" s="20" t="n">
        <v>45730.625</v>
      </c>
    </row>
    <row r="75">
      <c r="A75" s="5">
        <f>A74+1</f>
        <v/>
      </c>
      <c r="B75" s="3">
        <f>-SUMIFS(df_extrato_zig!G:G,df_extrato_zig!E:E,Conciliacao!A75,df_extrato_zig!D:D,"Saque")-SUMIFS(df_extrato_zig!G:G,df_extrato_zig!E:E,Conciliacao!A75,df_extrato_zig!D:D,"Antecipação")</f>
        <v/>
      </c>
      <c r="C75" s="3">
        <f>SUMIFS(df_extrato_zig!E:E,df_extrato_zig!L:L,Conciliacao!A75,df_extrato_zig!F:F,"DINHEIRO")</f>
        <v/>
      </c>
      <c r="D75" s="3">
        <f>SUMIFS(view_parc_agrup!H:H,view_parc_agrup!G:G,Conciliacao!A75)</f>
        <v/>
      </c>
      <c r="E75" s="3">
        <f>SUMIFS(df_eventos!F:F,df_eventos!H:H,Conciliacao!A75)</f>
        <v/>
      </c>
      <c r="F75" s="3">
        <f>SUMIFS(df_mutuos!M:M,df_mutuos!B:B,Conciliacao!A75)</f>
        <v/>
      </c>
      <c r="G75" s="6">
        <f>SUMIFS(df_bloqueios_judiciais!G:G,df_bloqueios_judiciais!D:D,Conciliacao!A75,df_bloqueios_judiciais!G:G,"&gt;0")</f>
        <v/>
      </c>
      <c r="H75" s="7">
        <f>SUMIFS(df_extratos!I:I,df_extratos!F:F,Conciliacao!BE75,df_extratos!G:G,"CREDITO")+SUMIFS(df_extratos!I:I,df_extratos!F:F,Conciliacao!A75,df_extratos!G:G,"CREDITO")+SUMIFS(df_extratos!I:I,df_extratos!F:F,Conciliacao!BF75,df_extratos!G:G,"CREDITO")+SUMIFS(df_extratos!I:I,df_extratos!F:F,Conciliacao!BG75,df_extratos!G:G,"CREDITO")+SUMIFS(df_extratos!I:I,df_extratos!F:F,Conciliacao!BH75,df_extratos!G:G,"CREDITO")</f>
        <v/>
      </c>
      <c r="I75" s="9">
        <f>H75-SUM(B75:G75)</f>
        <v/>
      </c>
      <c r="J75" s="4">
        <f>SUMIFS(df_blueme_sem_parcelamento!E:E,df_blueme_sem_parcelamento!H:H,Conciliacao!A75)*(-1)</f>
        <v/>
      </c>
      <c r="K75" s="4">
        <f>SUMIFS(df_blueme_com_parcelamento!J:J,df_blueme_com_parcelamento!M:M,Conciliacao!A75)*(-1)</f>
        <v/>
      </c>
      <c r="L75" s="4">
        <f>SUMIFS(df_mutuos!N:N,df_mutuos!B:B,Conciliacao!A75)*(-1)</f>
        <v/>
      </c>
      <c r="M75" s="8">
        <f>SUMIFS(df_bloqueios_judiciais!G:G,df_bloqueios_judiciais!D:D,Conciliacao!A75,df_bloqueios_judiciais!G:G,"&lt;0")</f>
        <v/>
      </c>
      <c r="N75" s="10">
        <f>SUMIFS(df_extratos!I:I,df_extratos!F:F,Conciliacao!BE75,df_extratos!G:G,"DEBITO")+SUMIFS(df_extratos!I:I,df_extratos!F:F,Conciliacao!A75,df_extratos!G:G,"DEBITO")+SUMIFS(df_extratos!I:I,df_extratos!F:F,Conciliacao!BF75,df_extratos!G:G,"DEBITO")+SUMIFS(df_extratos!I:I,df_extratos!F:F,Conciliacao!BG75,df_extratos!G:G,"DEBITO")+SUMIFS(df_extratos!I:I,df_extratos!F:F,Conciliacao!BH75,df_extratos!G:G,"DEBITO")</f>
        <v/>
      </c>
      <c r="O75" s="11">
        <f>N75-SUM(J75:M75)</f>
        <v/>
      </c>
      <c r="P75" s="25">
        <f>SUMIFS(df_ajustes_conciliaco!D:D,df_ajustes_conciliaco!C:C,Conciliacao!A75)</f>
        <v/>
      </c>
      <c r="Q75" s="22">
        <f>O75+I75-P75</f>
        <v/>
      </c>
      <c r="BE75" s="20" t="n">
        <v>45731.5</v>
      </c>
      <c r="BF75" s="20" t="n">
        <v>45731.125</v>
      </c>
      <c r="BG75" s="20" t="n">
        <v>45731.54166666666</v>
      </c>
      <c r="BH75" s="20" t="n">
        <v>45731.625</v>
      </c>
    </row>
    <row r="76">
      <c r="A76" s="5">
        <f>A75+1</f>
        <v/>
      </c>
      <c r="B76" s="3">
        <f>-SUMIFS(df_extrato_zig!G:G,df_extrato_zig!E:E,Conciliacao!A76,df_extrato_zig!D:D,"Saque")-SUMIFS(df_extrato_zig!G:G,df_extrato_zig!E:E,Conciliacao!A76,df_extrato_zig!D:D,"Antecipação")</f>
        <v/>
      </c>
      <c r="C76" s="3">
        <f>SUMIFS(df_extrato_zig!E:E,df_extrato_zig!L:L,Conciliacao!A76,df_extrato_zig!F:F,"DINHEIRO")</f>
        <v/>
      </c>
      <c r="D76" s="3">
        <f>SUMIFS(view_parc_agrup!H:H,view_parc_agrup!G:G,Conciliacao!A76)</f>
        <v/>
      </c>
      <c r="E76" s="3">
        <f>SUMIFS(df_eventos!F:F,df_eventos!H:H,Conciliacao!A76)</f>
        <v/>
      </c>
      <c r="F76" s="3">
        <f>SUMIFS(df_mutuos!M:M,df_mutuos!B:B,Conciliacao!A76)</f>
        <v/>
      </c>
      <c r="G76" s="6">
        <f>SUMIFS(df_bloqueios_judiciais!G:G,df_bloqueios_judiciais!D:D,Conciliacao!A76,df_bloqueios_judiciais!G:G,"&gt;0")</f>
        <v/>
      </c>
      <c r="H76" s="7">
        <f>SUMIFS(df_extratos!I:I,df_extratos!F:F,Conciliacao!BE76,df_extratos!G:G,"CREDITO")+SUMIFS(df_extratos!I:I,df_extratos!F:F,Conciliacao!A76,df_extratos!G:G,"CREDITO")+SUMIFS(df_extratos!I:I,df_extratos!F:F,Conciliacao!BF76,df_extratos!G:G,"CREDITO")+SUMIFS(df_extratos!I:I,df_extratos!F:F,Conciliacao!BG76,df_extratos!G:G,"CREDITO")+SUMIFS(df_extratos!I:I,df_extratos!F:F,Conciliacao!BH76,df_extratos!G:G,"CREDITO")</f>
        <v/>
      </c>
      <c r="I76" s="9">
        <f>H76-SUM(B76:G76)</f>
        <v/>
      </c>
      <c r="J76" s="4">
        <f>SUMIFS(df_blueme_sem_parcelamento!E:E,df_blueme_sem_parcelamento!H:H,Conciliacao!A76)*(-1)</f>
        <v/>
      </c>
      <c r="K76" s="4">
        <f>SUMIFS(df_blueme_com_parcelamento!J:J,df_blueme_com_parcelamento!M:M,Conciliacao!A76)*(-1)</f>
        <v/>
      </c>
      <c r="L76" s="4">
        <f>SUMIFS(df_mutuos!N:N,df_mutuos!B:B,Conciliacao!A76)*(-1)</f>
        <v/>
      </c>
      <c r="M76" s="8">
        <f>SUMIFS(df_bloqueios_judiciais!G:G,df_bloqueios_judiciais!D:D,Conciliacao!A76,df_bloqueios_judiciais!G:G,"&lt;0")</f>
        <v/>
      </c>
      <c r="N76" s="10">
        <f>SUMIFS(df_extratos!I:I,df_extratos!F:F,Conciliacao!BE76,df_extratos!G:G,"DEBITO")+SUMIFS(df_extratos!I:I,df_extratos!F:F,Conciliacao!A76,df_extratos!G:G,"DEBITO")+SUMIFS(df_extratos!I:I,df_extratos!F:F,Conciliacao!BF76,df_extratos!G:G,"DEBITO")+SUMIFS(df_extratos!I:I,df_extratos!F:F,Conciliacao!BG76,df_extratos!G:G,"DEBITO")+SUMIFS(df_extratos!I:I,df_extratos!F:F,Conciliacao!BH76,df_extratos!G:G,"DEBITO")</f>
        <v/>
      </c>
      <c r="O76" s="11">
        <f>N76-SUM(J76:M76)</f>
        <v/>
      </c>
      <c r="P76" s="25">
        <f>SUMIFS(df_ajustes_conciliaco!D:D,df_ajustes_conciliaco!C:C,Conciliacao!A76)</f>
        <v/>
      </c>
      <c r="Q76" s="22">
        <f>O76+I76-P76</f>
        <v/>
      </c>
      <c r="BE76" s="20" t="n">
        <v>45732.5</v>
      </c>
      <c r="BF76" s="20" t="n">
        <v>45732.125</v>
      </c>
      <c r="BG76" s="20" t="n">
        <v>45732.54166666666</v>
      </c>
      <c r="BH76" s="20" t="n">
        <v>45732.625</v>
      </c>
    </row>
    <row r="77">
      <c r="A77" s="5">
        <f>A76+1</f>
        <v/>
      </c>
      <c r="B77" s="3">
        <f>-SUMIFS(df_extrato_zig!G:G,df_extrato_zig!E:E,Conciliacao!A77,df_extrato_zig!D:D,"Saque")-SUMIFS(df_extrato_zig!G:G,df_extrato_zig!E:E,Conciliacao!A77,df_extrato_zig!D:D,"Antecipação")</f>
        <v/>
      </c>
      <c r="C77" s="3">
        <f>SUMIFS(df_extrato_zig!E:E,df_extrato_zig!L:L,Conciliacao!A77,df_extrato_zig!F:F,"DINHEIRO")</f>
        <v/>
      </c>
      <c r="D77" s="3">
        <f>SUMIFS(view_parc_agrup!H:H,view_parc_agrup!G:G,Conciliacao!A77)</f>
        <v/>
      </c>
      <c r="E77" s="3">
        <f>SUMIFS(df_eventos!F:F,df_eventos!H:H,Conciliacao!A77)</f>
        <v/>
      </c>
      <c r="F77" s="3">
        <f>SUMIFS(df_mutuos!M:M,df_mutuos!B:B,Conciliacao!A77)</f>
        <v/>
      </c>
      <c r="G77" s="6">
        <f>SUMIFS(df_bloqueios_judiciais!G:G,df_bloqueios_judiciais!D:D,Conciliacao!A77,df_bloqueios_judiciais!G:G,"&gt;0")</f>
        <v/>
      </c>
      <c r="H77" s="7">
        <f>SUMIFS(df_extratos!I:I,df_extratos!F:F,Conciliacao!BE77,df_extratos!G:G,"CREDITO")+SUMIFS(df_extratos!I:I,df_extratos!F:F,Conciliacao!A77,df_extratos!G:G,"CREDITO")+SUMIFS(df_extratos!I:I,df_extratos!F:F,Conciliacao!BF77,df_extratos!G:G,"CREDITO")+SUMIFS(df_extratos!I:I,df_extratos!F:F,Conciliacao!BG77,df_extratos!G:G,"CREDITO")+SUMIFS(df_extratos!I:I,df_extratos!F:F,Conciliacao!BH77,df_extratos!G:G,"CREDITO")</f>
        <v/>
      </c>
      <c r="I77" s="9">
        <f>H77-SUM(B77:G77)</f>
        <v/>
      </c>
      <c r="J77" s="4">
        <f>SUMIFS(df_blueme_sem_parcelamento!E:E,df_blueme_sem_parcelamento!H:H,Conciliacao!A77)*(-1)</f>
        <v/>
      </c>
      <c r="K77" s="4">
        <f>SUMIFS(df_blueme_com_parcelamento!J:J,df_blueme_com_parcelamento!M:M,Conciliacao!A77)*(-1)</f>
        <v/>
      </c>
      <c r="L77" s="4">
        <f>SUMIFS(df_mutuos!N:N,df_mutuos!B:B,Conciliacao!A77)*(-1)</f>
        <v/>
      </c>
      <c r="M77" s="8">
        <f>SUMIFS(df_bloqueios_judiciais!G:G,df_bloqueios_judiciais!D:D,Conciliacao!A77,df_bloqueios_judiciais!G:G,"&lt;0")</f>
        <v/>
      </c>
      <c r="N77" s="10">
        <f>SUMIFS(df_extratos!I:I,df_extratos!F:F,Conciliacao!BE77,df_extratos!G:G,"DEBITO")+SUMIFS(df_extratos!I:I,df_extratos!F:F,Conciliacao!A77,df_extratos!G:G,"DEBITO")+SUMIFS(df_extratos!I:I,df_extratos!F:F,Conciliacao!BF77,df_extratos!G:G,"DEBITO")+SUMIFS(df_extratos!I:I,df_extratos!F:F,Conciliacao!BG77,df_extratos!G:G,"DEBITO")+SUMIFS(df_extratos!I:I,df_extratos!F:F,Conciliacao!BH77,df_extratos!G:G,"DEBITO")</f>
        <v/>
      </c>
      <c r="O77" s="11">
        <f>N77-SUM(J77:M77)</f>
        <v/>
      </c>
      <c r="P77" s="25">
        <f>SUMIFS(df_ajustes_conciliaco!D:D,df_ajustes_conciliaco!C:C,Conciliacao!A77)</f>
        <v/>
      </c>
      <c r="Q77" s="22">
        <f>O77+I77-P77</f>
        <v/>
      </c>
      <c r="BE77" s="20" t="n">
        <v>45733.5</v>
      </c>
      <c r="BF77" s="20" t="n">
        <v>45733.125</v>
      </c>
      <c r="BG77" s="20" t="n">
        <v>45733.54166666666</v>
      </c>
      <c r="BH77" s="20" t="n">
        <v>45733.625</v>
      </c>
    </row>
    <row r="78">
      <c r="A78" s="5">
        <f>A77+1</f>
        <v/>
      </c>
      <c r="B78" s="3">
        <f>-SUMIFS(df_extrato_zig!G:G,df_extrato_zig!E:E,Conciliacao!A78,df_extrato_zig!D:D,"Saque")-SUMIFS(df_extrato_zig!G:G,df_extrato_zig!E:E,Conciliacao!A78,df_extrato_zig!D:D,"Antecipação")</f>
        <v/>
      </c>
      <c r="C78" s="3">
        <f>SUMIFS(df_extrato_zig!E:E,df_extrato_zig!L:L,Conciliacao!A78,df_extrato_zig!F:F,"DINHEIRO")</f>
        <v/>
      </c>
      <c r="D78" s="3">
        <f>SUMIFS(view_parc_agrup!H:H,view_parc_agrup!G:G,Conciliacao!A78)</f>
        <v/>
      </c>
      <c r="E78" s="3">
        <f>SUMIFS(df_eventos!F:F,df_eventos!H:H,Conciliacao!A78)</f>
        <v/>
      </c>
      <c r="F78" s="3">
        <f>SUMIFS(df_mutuos!M:M,df_mutuos!B:B,Conciliacao!A78)</f>
        <v/>
      </c>
      <c r="G78" s="6">
        <f>SUMIFS(df_bloqueios_judiciais!G:G,df_bloqueios_judiciais!D:D,Conciliacao!A78,df_bloqueios_judiciais!G:G,"&gt;0")</f>
        <v/>
      </c>
      <c r="H78" s="7">
        <f>SUMIFS(df_extratos!I:I,df_extratos!F:F,Conciliacao!BE78,df_extratos!G:G,"CREDITO")+SUMIFS(df_extratos!I:I,df_extratos!F:F,Conciliacao!A78,df_extratos!G:G,"CREDITO")+SUMIFS(df_extratos!I:I,df_extratos!F:F,Conciliacao!BF78,df_extratos!G:G,"CREDITO")+SUMIFS(df_extratos!I:I,df_extratos!F:F,Conciliacao!BG78,df_extratos!G:G,"CREDITO")+SUMIFS(df_extratos!I:I,df_extratos!F:F,Conciliacao!BH78,df_extratos!G:G,"CREDITO")</f>
        <v/>
      </c>
      <c r="I78" s="9">
        <f>H78-SUM(B78:G78)</f>
        <v/>
      </c>
      <c r="J78" s="4">
        <f>SUMIFS(df_blueme_sem_parcelamento!E:E,df_blueme_sem_parcelamento!H:H,Conciliacao!A78)*(-1)</f>
        <v/>
      </c>
      <c r="K78" s="4">
        <f>SUMIFS(df_blueme_com_parcelamento!J:J,df_blueme_com_parcelamento!M:M,Conciliacao!A78)*(-1)</f>
        <v/>
      </c>
      <c r="L78" s="4">
        <f>SUMIFS(df_mutuos!N:N,df_mutuos!B:B,Conciliacao!A78)*(-1)</f>
        <v/>
      </c>
      <c r="M78" s="8">
        <f>SUMIFS(df_bloqueios_judiciais!G:G,df_bloqueios_judiciais!D:D,Conciliacao!A78,df_bloqueios_judiciais!G:G,"&lt;0")</f>
        <v/>
      </c>
      <c r="N78" s="10">
        <f>SUMIFS(df_extratos!I:I,df_extratos!F:F,Conciliacao!BE78,df_extratos!G:G,"DEBITO")+SUMIFS(df_extratos!I:I,df_extratos!F:F,Conciliacao!A78,df_extratos!G:G,"DEBITO")+SUMIFS(df_extratos!I:I,df_extratos!F:F,Conciliacao!BF78,df_extratos!G:G,"DEBITO")+SUMIFS(df_extratos!I:I,df_extratos!F:F,Conciliacao!BG78,df_extratos!G:G,"DEBITO")+SUMIFS(df_extratos!I:I,df_extratos!F:F,Conciliacao!BH78,df_extratos!G:G,"DEBITO")</f>
        <v/>
      </c>
      <c r="O78" s="11">
        <f>N78-SUM(J78:M78)</f>
        <v/>
      </c>
      <c r="P78" s="25">
        <f>SUMIFS(df_ajustes_conciliaco!D:D,df_ajustes_conciliaco!C:C,Conciliacao!A78)</f>
        <v/>
      </c>
      <c r="Q78" s="22">
        <f>O78+I78-P78</f>
        <v/>
      </c>
      <c r="BE78" s="20" t="n">
        <v>45734.5</v>
      </c>
      <c r="BF78" s="20" t="n">
        <v>45734.125</v>
      </c>
      <c r="BG78" s="20" t="n">
        <v>45734.54166666666</v>
      </c>
      <c r="BH78" s="20" t="n">
        <v>45734.625</v>
      </c>
    </row>
    <row r="79">
      <c r="A79" s="5">
        <f>A78+1</f>
        <v/>
      </c>
      <c r="B79" s="3">
        <f>-SUMIFS(df_extrato_zig!G:G,df_extrato_zig!E:E,Conciliacao!A79,df_extrato_zig!D:D,"Saque")-SUMIFS(df_extrato_zig!G:G,df_extrato_zig!E:E,Conciliacao!A79,df_extrato_zig!D:D,"Antecipação")</f>
        <v/>
      </c>
      <c r="C79" s="3">
        <f>SUMIFS(df_extrato_zig!E:E,df_extrato_zig!L:L,Conciliacao!A79,df_extrato_zig!F:F,"DINHEIRO")</f>
        <v/>
      </c>
      <c r="D79" s="3">
        <f>SUMIFS(view_parc_agrup!H:H,view_parc_agrup!G:G,Conciliacao!A79)</f>
        <v/>
      </c>
      <c r="E79" s="3">
        <f>SUMIFS(df_eventos!F:F,df_eventos!H:H,Conciliacao!A79)</f>
        <v/>
      </c>
      <c r="F79" s="3">
        <f>SUMIFS(df_mutuos!M:M,df_mutuos!B:B,Conciliacao!A79)</f>
        <v/>
      </c>
      <c r="G79" s="6">
        <f>SUMIFS(df_bloqueios_judiciais!G:G,df_bloqueios_judiciais!D:D,Conciliacao!A79,df_bloqueios_judiciais!G:G,"&gt;0")</f>
        <v/>
      </c>
      <c r="H79" s="7">
        <f>SUMIFS(df_extratos!I:I,df_extratos!F:F,Conciliacao!BE79,df_extratos!G:G,"CREDITO")+SUMIFS(df_extratos!I:I,df_extratos!F:F,Conciliacao!A79,df_extratos!G:G,"CREDITO")+SUMIFS(df_extratos!I:I,df_extratos!F:F,Conciliacao!BF79,df_extratos!G:G,"CREDITO")+SUMIFS(df_extratos!I:I,df_extratos!F:F,Conciliacao!BG79,df_extratos!G:G,"CREDITO")+SUMIFS(df_extratos!I:I,df_extratos!F:F,Conciliacao!BH79,df_extratos!G:G,"CREDITO")</f>
        <v/>
      </c>
      <c r="I79" s="9">
        <f>H79-SUM(B79:G79)</f>
        <v/>
      </c>
      <c r="J79" s="4">
        <f>SUMIFS(df_blueme_sem_parcelamento!E:E,df_blueme_sem_parcelamento!H:H,Conciliacao!A79)*(-1)</f>
        <v/>
      </c>
      <c r="K79" s="4">
        <f>SUMIFS(df_blueme_com_parcelamento!J:J,df_blueme_com_parcelamento!M:M,Conciliacao!A79)*(-1)</f>
        <v/>
      </c>
      <c r="L79" s="4">
        <f>SUMIFS(df_mutuos!N:N,df_mutuos!B:B,Conciliacao!A79)*(-1)</f>
        <v/>
      </c>
      <c r="M79" s="8">
        <f>SUMIFS(df_bloqueios_judiciais!G:G,df_bloqueios_judiciais!D:D,Conciliacao!A79,df_bloqueios_judiciais!G:G,"&lt;0")</f>
        <v/>
      </c>
      <c r="N79" s="10">
        <f>SUMIFS(df_extratos!I:I,df_extratos!F:F,Conciliacao!BE79,df_extratos!G:G,"DEBITO")+SUMIFS(df_extratos!I:I,df_extratos!F:F,Conciliacao!A79,df_extratos!G:G,"DEBITO")+SUMIFS(df_extratos!I:I,df_extratos!F:F,Conciliacao!BF79,df_extratos!G:G,"DEBITO")+SUMIFS(df_extratos!I:I,df_extratos!F:F,Conciliacao!BG79,df_extratos!G:G,"DEBITO")+SUMIFS(df_extratos!I:I,df_extratos!F:F,Conciliacao!BH79,df_extratos!G:G,"DEBITO")</f>
        <v/>
      </c>
      <c r="O79" s="11">
        <f>N79-SUM(J79:M79)</f>
        <v/>
      </c>
      <c r="P79" s="25">
        <f>SUMIFS(df_ajustes_conciliaco!D:D,df_ajustes_conciliaco!C:C,Conciliacao!A79)</f>
        <v/>
      </c>
      <c r="Q79" s="22">
        <f>O79+I79-P79</f>
        <v/>
      </c>
      <c r="BE79" s="20" t="n">
        <v>45735.5</v>
      </c>
      <c r="BF79" s="20" t="n">
        <v>45735.125</v>
      </c>
      <c r="BG79" s="20" t="n">
        <v>45735.54166666666</v>
      </c>
      <c r="BH79" s="20" t="n">
        <v>45735.625</v>
      </c>
    </row>
    <row r="80">
      <c r="A80" s="5">
        <f>A79+1</f>
        <v/>
      </c>
      <c r="B80" s="3">
        <f>-SUMIFS(df_extrato_zig!G:G,df_extrato_zig!E:E,Conciliacao!A80,df_extrato_zig!D:D,"Saque")-SUMIFS(df_extrato_zig!G:G,df_extrato_zig!E:E,Conciliacao!A80,df_extrato_zig!D:D,"Antecipação")</f>
        <v/>
      </c>
      <c r="C80" s="3">
        <f>SUMIFS(df_extrato_zig!E:E,df_extrato_zig!L:L,Conciliacao!A80,df_extrato_zig!F:F,"DINHEIRO")</f>
        <v/>
      </c>
      <c r="D80" s="3">
        <f>SUMIFS(view_parc_agrup!H:H,view_parc_agrup!G:G,Conciliacao!A80)</f>
        <v/>
      </c>
      <c r="E80" s="3">
        <f>SUMIFS(df_eventos!F:F,df_eventos!H:H,Conciliacao!A80)</f>
        <v/>
      </c>
      <c r="F80" s="3">
        <f>SUMIFS(df_mutuos!M:M,df_mutuos!B:B,Conciliacao!A80)</f>
        <v/>
      </c>
      <c r="G80" s="6">
        <f>SUMIFS(df_bloqueios_judiciais!G:G,df_bloqueios_judiciais!D:D,Conciliacao!A80,df_bloqueios_judiciais!G:G,"&gt;0")</f>
        <v/>
      </c>
      <c r="H80" s="7">
        <f>SUMIFS(df_extratos!I:I,df_extratos!F:F,Conciliacao!BE80,df_extratos!G:G,"CREDITO")+SUMIFS(df_extratos!I:I,df_extratos!F:F,Conciliacao!A80,df_extratos!G:G,"CREDITO")+SUMIFS(df_extratos!I:I,df_extratos!F:F,Conciliacao!BF80,df_extratos!G:G,"CREDITO")+SUMIFS(df_extratos!I:I,df_extratos!F:F,Conciliacao!BG80,df_extratos!G:G,"CREDITO")+SUMIFS(df_extratos!I:I,df_extratos!F:F,Conciliacao!BH80,df_extratos!G:G,"CREDITO")</f>
        <v/>
      </c>
      <c r="I80" s="9">
        <f>H80-SUM(B80:G80)</f>
        <v/>
      </c>
      <c r="J80" s="4">
        <f>SUMIFS(df_blueme_sem_parcelamento!E:E,df_blueme_sem_parcelamento!H:H,Conciliacao!A80)*(-1)</f>
        <v/>
      </c>
      <c r="K80" s="4">
        <f>SUMIFS(df_blueme_com_parcelamento!J:J,df_blueme_com_parcelamento!M:M,Conciliacao!A80)*(-1)</f>
        <v/>
      </c>
      <c r="L80" s="4">
        <f>SUMIFS(df_mutuos!N:N,df_mutuos!B:B,Conciliacao!A80)*(-1)</f>
        <v/>
      </c>
      <c r="M80" s="8">
        <f>SUMIFS(df_bloqueios_judiciais!G:G,df_bloqueios_judiciais!D:D,Conciliacao!A80,df_bloqueios_judiciais!G:G,"&lt;0")</f>
        <v/>
      </c>
      <c r="N80" s="10">
        <f>SUMIFS(df_extratos!I:I,df_extratos!F:F,Conciliacao!BE80,df_extratos!G:G,"DEBITO")+SUMIFS(df_extratos!I:I,df_extratos!F:F,Conciliacao!A80,df_extratos!G:G,"DEBITO")+SUMIFS(df_extratos!I:I,df_extratos!F:F,Conciliacao!BF80,df_extratos!G:G,"DEBITO")+SUMIFS(df_extratos!I:I,df_extratos!F:F,Conciliacao!BG80,df_extratos!G:G,"DEBITO")+SUMIFS(df_extratos!I:I,df_extratos!F:F,Conciliacao!BH80,df_extratos!G:G,"DEBITO")</f>
        <v/>
      </c>
      <c r="O80" s="11">
        <f>N80-SUM(J80:M80)</f>
        <v/>
      </c>
      <c r="P80" s="25">
        <f>SUMIFS(df_ajustes_conciliaco!D:D,df_ajustes_conciliaco!C:C,Conciliacao!A80)</f>
        <v/>
      </c>
      <c r="Q80" s="22">
        <f>O80+I80-P80</f>
        <v/>
      </c>
      <c r="BE80" s="20" t="n">
        <v>45736.5</v>
      </c>
      <c r="BF80" s="20" t="n">
        <v>45736.125</v>
      </c>
      <c r="BG80" s="20" t="n">
        <v>45736.54166666666</v>
      </c>
      <c r="BH80" s="20" t="n">
        <v>45736.625</v>
      </c>
    </row>
    <row r="81">
      <c r="A81" s="5">
        <f>A80+1</f>
        <v/>
      </c>
      <c r="B81" s="3">
        <f>-SUMIFS(df_extrato_zig!G:G,df_extrato_zig!E:E,Conciliacao!A81,df_extrato_zig!D:D,"Saque")-SUMIFS(df_extrato_zig!G:G,df_extrato_zig!E:E,Conciliacao!A81,df_extrato_zig!D:D,"Antecipação")</f>
        <v/>
      </c>
      <c r="C81" s="3">
        <f>SUMIFS(df_extrato_zig!E:E,df_extrato_zig!L:L,Conciliacao!A81,df_extrato_zig!F:F,"DINHEIRO")</f>
        <v/>
      </c>
      <c r="D81" s="3">
        <f>SUMIFS(view_parc_agrup!H:H,view_parc_agrup!G:G,Conciliacao!A81)</f>
        <v/>
      </c>
      <c r="E81" s="3">
        <f>SUMIFS(df_eventos!F:F,df_eventos!H:H,Conciliacao!A81)</f>
        <v/>
      </c>
      <c r="F81" s="3">
        <f>SUMIFS(df_mutuos!M:M,df_mutuos!B:B,Conciliacao!A81)</f>
        <v/>
      </c>
      <c r="G81" s="6">
        <f>SUMIFS(df_bloqueios_judiciais!G:G,df_bloqueios_judiciais!D:D,Conciliacao!A81,df_bloqueios_judiciais!G:G,"&gt;0")</f>
        <v/>
      </c>
      <c r="H81" s="7">
        <f>SUMIFS(df_extratos!I:I,df_extratos!F:F,Conciliacao!BE81,df_extratos!G:G,"CREDITO")+SUMIFS(df_extratos!I:I,df_extratos!F:F,Conciliacao!A81,df_extratos!G:G,"CREDITO")+SUMIFS(df_extratos!I:I,df_extratos!F:F,Conciliacao!BF81,df_extratos!G:G,"CREDITO")+SUMIFS(df_extratos!I:I,df_extratos!F:F,Conciliacao!BG81,df_extratos!G:G,"CREDITO")+SUMIFS(df_extratos!I:I,df_extratos!F:F,Conciliacao!BH81,df_extratos!G:G,"CREDITO")</f>
        <v/>
      </c>
      <c r="I81" s="9">
        <f>H81-SUM(B81:G81)</f>
        <v/>
      </c>
      <c r="J81" s="4">
        <f>SUMIFS(df_blueme_sem_parcelamento!E:E,df_blueme_sem_parcelamento!H:H,Conciliacao!A81)*(-1)</f>
        <v/>
      </c>
      <c r="K81" s="4">
        <f>SUMIFS(df_blueme_com_parcelamento!J:J,df_blueme_com_parcelamento!M:M,Conciliacao!A81)*(-1)</f>
        <v/>
      </c>
      <c r="L81" s="4">
        <f>SUMIFS(df_mutuos!N:N,df_mutuos!B:B,Conciliacao!A81)*(-1)</f>
        <v/>
      </c>
      <c r="M81" s="8">
        <f>SUMIFS(df_bloqueios_judiciais!G:G,df_bloqueios_judiciais!D:D,Conciliacao!A81,df_bloqueios_judiciais!G:G,"&lt;0")</f>
        <v/>
      </c>
      <c r="N81" s="10">
        <f>SUMIFS(df_extratos!I:I,df_extratos!F:F,Conciliacao!BE81,df_extratos!G:G,"DEBITO")+SUMIFS(df_extratos!I:I,df_extratos!F:F,Conciliacao!A81,df_extratos!G:G,"DEBITO")+SUMIFS(df_extratos!I:I,df_extratos!F:F,Conciliacao!BF81,df_extratos!G:G,"DEBITO")+SUMIFS(df_extratos!I:I,df_extratos!F:F,Conciliacao!BG81,df_extratos!G:G,"DEBITO")+SUMIFS(df_extratos!I:I,df_extratos!F:F,Conciliacao!BH81,df_extratos!G:G,"DEBITO")</f>
        <v/>
      </c>
      <c r="O81" s="11">
        <f>N81-SUM(J81:M81)</f>
        <v/>
      </c>
      <c r="P81" s="25">
        <f>SUMIFS(df_ajustes_conciliaco!D:D,df_ajustes_conciliaco!C:C,Conciliacao!A81)</f>
        <v/>
      </c>
      <c r="Q81" s="22">
        <f>O81+I81-P81</f>
        <v/>
      </c>
      <c r="BE81" s="20" t="n">
        <v>45737.5</v>
      </c>
      <c r="BF81" s="20" t="n">
        <v>45737.125</v>
      </c>
      <c r="BG81" s="20" t="n">
        <v>45737.54166666666</v>
      </c>
      <c r="BH81" s="20" t="n">
        <v>45737.625</v>
      </c>
    </row>
    <row r="82">
      <c r="A82" s="5">
        <f>A81+1</f>
        <v/>
      </c>
      <c r="B82" s="3">
        <f>-SUMIFS(df_extrato_zig!G:G,df_extrato_zig!E:E,Conciliacao!A82,df_extrato_zig!D:D,"Saque")-SUMIFS(df_extrato_zig!G:G,df_extrato_zig!E:E,Conciliacao!A82,df_extrato_zig!D:D,"Antecipação")</f>
        <v/>
      </c>
      <c r="C82" s="3">
        <f>SUMIFS(df_extrato_zig!E:E,df_extrato_zig!L:L,Conciliacao!A82,df_extrato_zig!F:F,"DINHEIRO")</f>
        <v/>
      </c>
      <c r="D82" s="3">
        <f>SUMIFS(view_parc_agrup!H:H,view_parc_agrup!G:G,Conciliacao!A82)</f>
        <v/>
      </c>
      <c r="E82" s="3">
        <f>SUMIFS(df_eventos!F:F,df_eventos!H:H,Conciliacao!A82)</f>
        <v/>
      </c>
      <c r="F82" s="3">
        <f>SUMIFS(df_mutuos!M:M,df_mutuos!B:B,Conciliacao!A82)</f>
        <v/>
      </c>
      <c r="G82" s="6">
        <f>SUMIFS(df_bloqueios_judiciais!G:G,df_bloqueios_judiciais!D:D,Conciliacao!A82,df_bloqueios_judiciais!G:G,"&gt;0")</f>
        <v/>
      </c>
      <c r="H82" s="7">
        <f>SUMIFS(df_extratos!I:I,df_extratos!F:F,Conciliacao!BE82,df_extratos!G:G,"CREDITO")+SUMIFS(df_extratos!I:I,df_extratos!F:F,Conciliacao!A82,df_extratos!G:G,"CREDITO")+SUMIFS(df_extratos!I:I,df_extratos!F:F,Conciliacao!BF82,df_extratos!G:G,"CREDITO")+SUMIFS(df_extratos!I:I,df_extratos!F:F,Conciliacao!BG82,df_extratos!G:G,"CREDITO")+SUMIFS(df_extratos!I:I,df_extratos!F:F,Conciliacao!BH82,df_extratos!G:G,"CREDITO")</f>
        <v/>
      </c>
      <c r="I82" s="9">
        <f>H82-SUM(B82:G82)</f>
        <v/>
      </c>
      <c r="J82" s="4">
        <f>SUMIFS(df_blueme_sem_parcelamento!E:E,df_blueme_sem_parcelamento!H:H,Conciliacao!A82)*(-1)</f>
        <v/>
      </c>
      <c r="K82" s="4">
        <f>SUMIFS(df_blueme_com_parcelamento!J:J,df_blueme_com_parcelamento!M:M,Conciliacao!A82)*(-1)</f>
        <v/>
      </c>
      <c r="L82" s="4">
        <f>SUMIFS(df_mutuos!N:N,df_mutuos!B:B,Conciliacao!A82)*(-1)</f>
        <v/>
      </c>
      <c r="M82" s="8">
        <f>SUMIFS(df_bloqueios_judiciais!G:G,df_bloqueios_judiciais!D:D,Conciliacao!A82,df_bloqueios_judiciais!G:G,"&lt;0")</f>
        <v/>
      </c>
      <c r="N82" s="10">
        <f>SUMIFS(df_extratos!I:I,df_extratos!F:F,Conciliacao!BE82,df_extratos!G:G,"DEBITO")+SUMIFS(df_extratos!I:I,df_extratos!F:F,Conciliacao!A82,df_extratos!G:G,"DEBITO")+SUMIFS(df_extratos!I:I,df_extratos!F:F,Conciliacao!BF82,df_extratos!G:G,"DEBITO")+SUMIFS(df_extratos!I:I,df_extratos!F:F,Conciliacao!BG82,df_extratos!G:G,"DEBITO")+SUMIFS(df_extratos!I:I,df_extratos!F:F,Conciliacao!BH82,df_extratos!G:G,"DEBITO")</f>
        <v/>
      </c>
      <c r="O82" s="11">
        <f>N82-SUM(J82:M82)</f>
        <v/>
      </c>
      <c r="P82" s="25">
        <f>SUMIFS(df_ajustes_conciliaco!D:D,df_ajustes_conciliaco!C:C,Conciliacao!A82)</f>
        <v/>
      </c>
      <c r="Q82" s="22">
        <f>O82+I82-P82</f>
        <v/>
      </c>
      <c r="BE82" s="20" t="n">
        <v>45738.5</v>
      </c>
      <c r="BF82" s="20" t="n">
        <v>45738.125</v>
      </c>
      <c r="BG82" s="20" t="n">
        <v>45738.54166666666</v>
      </c>
      <c r="BH82" s="20" t="n">
        <v>45738.625</v>
      </c>
    </row>
    <row r="83">
      <c r="A83" s="5">
        <f>A82+1</f>
        <v/>
      </c>
      <c r="B83" s="3">
        <f>-SUMIFS(df_extrato_zig!G:G,df_extrato_zig!E:E,Conciliacao!A83,df_extrato_zig!D:D,"Saque")-SUMIFS(df_extrato_zig!G:G,df_extrato_zig!E:E,Conciliacao!A83,df_extrato_zig!D:D,"Antecipação")</f>
        <v/>
      </c>
      <c r="C83" s="3">
        <f>SUMIFS(df_extrato_zig!E:E,df_extrato_zig!L:L,Conciliacao!A83,df_extrato_zig!F:F,"DINHEIRO")</f>
        <v/>
      </c>
      <c r="D83" s="3">
        <f>SUMIFS(view_parc_agrup!H:H,view_parc_agrup!G:G,Conciliacao!A83)</f>
        <v/>
      </c>
      <c r="E83" s="3">
        <f>SUMIFS(df_eventos!F:F,df_eventos!H:H,Conciliacao!A83)</f>
        <v/>
      </c>
      <c r="F83" s="3">
        <f>SUMIFS(df_mutuos!M:M,df_mutuos!B:B,Conciliacao!A83)</f>
        <v/>
      </c>
      <c r="G83" s="6">
        <f>SUMIFS(df_bloqueios_judiciais!G:G,df_bloqueios_judiciais!D:D,Conciliacao!A83,df_bloqueios_judiciais!G:G,"&gt;0")</f>
        <v/>
      </c>
      <c r="H83" s="7">
        <f>SUMIFS(df_extratos!I:I,df_extratos!F:F,Conciliacao!BE83,df_extratos!G:G,"CREDITO")+SUMIFS(df_extratos!I:I,df_extratos!F:F,Conciliacao!A83,df_extratos!G:G,"CREDITO")+SUMIFS(df_extratos!I:I,df_extratos!F:F,Conciliacao!BF83,df_extratos!G:G,"CREDITO")+SUMIFS(df_extratos!I:I,df_extratos!F:F,Conciliacao!BG83,df_extratos!G:G,"CREDITO")+SUMIFS(df_extratos!I:I,df_extratos!F:F,Conciliacao!BH83,df_extratos!G:G,"CREDITO")</f>
        <v/>
      </c>
      <c r="I83" s="9">
        <f>H83-SUM(B83:G83)</f>
        <v/>
      </c>
      <c r="J83" s="4">
        <f>SUMIFS(df_blueme_sem_parcelamento!E:E,df_blueme_sem_parcelamento!H:H,Conciliacao!A83)*(-1)</f>
        <v/>
      </c>
      <c r="K83" s="4">
        <f>SUMIFS(df_blueme_com_parcelamento!J:J,df_blueme_com_parcelamento!M:M,Conciliacao!A83)*(-1)</f>
        <v/>
      </c>
      <c r="L83" s="4">
        <f>SUMIFS(df_mutuos!N:N,df_mutuos!B:B,Conciliacao!A83)*(-1)</f>
        <v/>
      </c>
      <c r="M83" s="8">
        <f>SUMIFS(df_bloqueios_judiciais!G:G,df_bloqueios_judiciais!D:D,Conciliacao!A83,df_bloqueios_judiciais!G:G,"&lt;0")</f>
        <v/>
      </c>
      <c r="N83" s="10">
        <f>SUMIFS(df_extratos!I:I,df_extratos!F:F,Conciliacao!BE83,df_extratos!G:G,"DEBITO")+SUMIFS(df_extratos!I:I,df_extratos!F:F,Conciliacao!A83,df_extratos!G:G,"DEBITO")+SUMIFS(df_extratos!I:I,df_extratos!F:F,Conciliacao!BF83,df_extratos!G:G,"DEBITO")+SUMIFS(df_extratos!I:I,df_extratos!F:F,Conciliacao!BG83,df_extratos!G:G,"DEBITO")+SUMIFS(df_extratos!I:I,df_extratos!F:F,Conciliacao!BH83,df_extratos!G:G,"DEBITO")</f>
        <v/>
      </c>
      <c r="O83" s="11">
        <f>N83-SUM(J83:M83)</f>
        <v/>
      </c>
      <c r="P83" s="25">
        <f>SUMIFS(df_ajustes_conciliaco!D:D,df_ajustes_conciliaco!C:C,Conciliacao!A83)</f>
        <v/>
      </c>
      <c r="Q83" s="22">
        <f>O83+I83-P83</f>
        <v/>
      </c>
      <c r="BE83" s="20" t="n">
        <v>45739.5</v>
      </c>
      <c r="BF83" s="20" t="n">
        <v>45739.125</v>
      </c>
      <c r="BG83" s="20" t="n">
        <v>45739.54166666666</v>
      </c>
      <c r="BH83" s="20" t="n">
        <v>45739.625</v>
      </c>
    </row>
    <row r="84">
      <c r="A84" s="5">
        <f>A83+1</f>
        <v/>
      </c>
      <c r="B84" s="3">
        <f>-SUMIFS(df_extrato_zig!G:G,df_extrato_zig!E:E,Conciliacao!A84,df_extrato_zig!D:D,"Saque")-SUMIFS(df_extrato_zig!G:G,df_extrato_zig!E:E,Conciliacao!A84,df_extrato_zig!D:D,"Antecipação")</f>
        <v/>
      </c>
      <c r="C84" s="3">
        <f>SUMIFS(df_extrato_zig!E:E,df_extrato_zig!L:L,Conciliacao!A84,df_extrato_zig!F:F,"DINHEIRO")</f>
        <v/>
      </c>
      <c r="D84" s="3">
        <f>SUMIFS(view_parc_agrup!H:H,view_parc_agrup!G:G,Conciliacao!A84)</f>
        <v/>
      </c>
      <c r="E84" s="3">
        <f>SUMIFS(df_eventos!F:F,df_eventos!H:H,Conciliacao!A84)</f>
        <v/>
      </c>
      <c r="F84" s="3">
        <f>SUMIFS(df_mutuos!M:M,df_mutuos!B:B,Conciliacao!A84)</f>
        <v/>
      </c>
      <c r="G84" s="6">
        <f>SUMIFS(df_bloqueios_judiciais!G:G,df_bloqueios_judiciais!D:D,Conciliacao!A84,df_bloqueios_judiciais!G:G,"&gt;0")</f>
        <v/>
      </c>
      <c r="H84" s="7">
        <f>SUMIFS(df_extratos!I:I,df_extratos!F:F,Conciliacao!BE84,df_extratos!G:G,"CREDITO")+SUMIFS(df_extratos!I:I,df_extratos!F:F,Conciliacao!A84,df_extratos!G:G,"CREDITO")+SUMIFS(df_extratos!I:I,df_extratos!F:F,Conciliacao!BF84,df_extratos!G:G,"CREDITO")+SUMIFS(df_extratos!I:I,df_extratos!F:F,Conciliacao!BG84,df_extratos!G:G,"CREDITO")+SUMIFS(df_extratos!I:I,df_extratos!F:F,Conciliacao!BH84,df_extratos!G:G,"CREDITO")</f>
        <v/>
      </c>
      <c r="I84" s="9">
        <f>H84-SUM(B84:G84)</f>
        <v/>
      </c>
      <c r="J84" s="4">
        <f>SUMIFS(df_blueme_sem_parcelamento!E:E,df_blueme_sem_parcelamento!H:H,Conciliacao!A84)*(-1)</f>
        <v/>
      </c>
      <c r="K84" s="4">
        <f>SUMIFS(df_blueme_com_parcelamento!J:J,df_blueme_com_parcelamento!M:M,Conciliacao!A84)*(-1)</f>
        <v/>
      </c>
      <c r="L84" s="4">
        <f>SUMIFS(df_mutuos!N:N,df_mutuos!B:B,Conciliacao!A84)*(-1)</f>
        <v/>
      </c>
      <c r="M84" s="8">
        <f>SUMIFS(df_bloqueios_judiciais!G:G,df_bloqueios_judiciais!D:D,Conciliacao!A84,df_bloqueios_judiciais!G:G,"&lt;0")</f>
        <v/>
      </c>
      <c r="N84" s="10">
        <f>SUMIFS(df_extratos!I:I,df_extratos!F:F,Conciliacao!BE84,df_extratos!G:G,"DEBITO")+SUMIFS(df_extratos!I:I,df_extratos!F:F,Conciliacao!A84,df_extratos!G:G,"DEBITO")+SUMIFS(df_extratos!I:I,df_extratos!F:F,Conciliacao!BF84,df_extratos!G:G,"DEBITO")+SUMIFS(df_extratos!I:I,df_extratos!F:F,Conciliacao!BG84,df_extratos!G:G,"DEBITO")+SUMIFS(df_extratos!I:I,df_extratos!F:F,Conciliacao!BH84,df_extratos!G:G,"DEBITO")</f>
        <v/>
      </c>
      <c r="O84" s="11">
        <f>N84-SUM(J84:M84)</f>
        <v/>
      </c>
      <c r="P84" s="25">
        <f>SUMIFS(df_ajustes_conciliaco!D:D,df_ajustes_conciliaco!C:C,Conciliacao!A84)</f>
        <v/>
      </c>
      <c r="Q84" s="22">
        <f>O84+I84-P84</f>
        <v/>
      </c>
      <c r="BE84" s="20" t="n">
        <v>45740.5</v>
      </c>
      <c r="BF84" s="20" t="n">
        <v>45740.125</v>
      </c>
      <c r="BG84" s="20" t="n">
        <v>45740.54166666666</v>
      </c>
      <c r="BH84" s="20" t="n">
        <v>45740.625</v>
      </c>
    </row>
    <row r="85">
      <c r="A85" s="5">
        <f>A84+1</f>
        <v/>
      </c>
      <c r="B85" s="3">
        <f>-SUMIFS(df_extrato_zig!G:G,df_extrato_zig!E:E,Conciliacao!A85,df_extrato_zig!D:D,"Saque")-SUMIFS(df_extrato_zig!G:G,df_extrato_zig!E:E,Conciliacao!A85,df_extrato_zig!D:D,"Antecipação")</f>
        <v/>
      </c>
      <c r="C85" s="3">
        <f>SUMIFS(df_extrato_zig!E:E,df_extrato_zig!L:L,Conciliacao!A85,df_extrato_zig!F:F,"DINHEIRO")</f>
        <v/>
      </c>
      <c r="D85" s="3">
        <f>SUMIFS(view_parc_agrup!H:H,view_parc_agrup!G:G,Conciliacao!A85)</f>
        <v/>
      </c>
      <c r="E85" s="3">
        <f>SUMIFS(df_eventos!F:F,df_eventos!H:H,Conciliacao!A85)</f>
        <v/>
      </c>
      <c r="F85" s="3">
        <f>SUMIFS(df_mutuos!M:M,df_mutuos!B:B,Conciliacao!A85)</f>
        <v/>
      </c>
      <c r="G85" s="6">
        <f>SUMIFS(df_bloqueios_judiciais!G:G,df_bloqueios_judiciais!D:D,Conciliacao!A85,df_bloqueios_judiciais!G:G,"&gt;0")</f>
        <v/>
      </c>
      <c r="H85" s="7">
        <f>SUMIFS(df_extratos!I:I,df_extratos!F:F,Conciliacao!BE85,df_extratos!G:G,"CREDITO")+SUMIFS(df_extratos!I:I,df_extratos!F:F,Conciliacao!A85,df_extratos!G:G,"CREDITO")+SUMIFS(df_extratos!I:I,df_extratos!F:F,Conciliacao!BF85,df_extratos!G:G,"CREDITO")+SUMIFS(df_extratos!I:I,df_extratos!F:F,Conciliacao!BG85,df_extratos!G:G,"CREDITO")+SUMIFS(df_extratos!I:I,df_extratos!F:F,Conciliacao!BH85,df_extratos!G:G,"CREDITO")</f>
        <v/>
      </c>
      <c r="I85" s="9">
        <f>H85-SUM(B85:G85)</f>
        <v/>
      </c>
      <c r="J85" s="4">
        <f>SUMIFS(df_blueme_sem_parcelamento!E:E,df_blueme_sem_parcelamento!H:H,Conciliacao!A85)*(-1)</f>
        <v/>
      </c>
      <c r="K85" s="4">
        <f>SUMIFS(df_blueme_com_parcelamento!J:J,df_blueme_com_parcelamento!M:M,Conciliacao!A85)*(-1)</f>
        <v/>
      </c>
      <c r="L85" s="4">
        <f>SUMIFS(df_mutuos!N:N,df_mutuos!B:B,Conciliacao!A85)*(-1)</f>
        <v/>
      </c>
      <c r="M85" s="8">
        <f>SUMIFS(df_bloqueios_judiciais!G:G,df_bloqueios_judiciais!D:D,Conciliacao!A85,df_bloqueios_judiciais!G:G,"&lt;0")</f>
        <v/>
      </c>
      <c r="N85" s="10">
        <f>SUMIFS(df_extratos!I:I,df_extratos!F:F,Conciliacao!BE85,df_extratos!G:G,"DEBITO")+SUMIFS(df_extratos!I:I,df_extratos!F:F,Conciliacao!A85,df_extratos!G:G,"DEBITO")+SUMIFS(df_extratos!I:I,df_extratos!F:F,Conciliacao!BF85,df_extratos!G:G,"DEBITO")+SUMIFS(df_extratos!I:I,df_extratos!F:F,Conciliacao!BG85,df_extratos!G:G,"DEBITO")+SUMIFS(df_extratos!I:I,df_extratos!F:F,Conciliacao!BH85,df_extratos!G:G,"DEBITO")</f>
        <v/>
      </c>
      <c r="O85" s="11">
        <f>N85-SUM(J85:M85)</f>
        <v/>
      </c>
      <c r="P85" s="25">
        <f>SUMIFS(df_ajustes_conciliaco!D:D,df_ajustes_conciliaco!C:C,Conciliacao!A85)</f>
        <v/>
      </c>
      <c r="Q85" s="22">
        <f>O85+I85-P85</f>
        <v/>
      </c>
      <c r="BE85" s="20" t="n">
        <v>45741.5</v>
      </c>
      <c r="BF85" s="20" t="n">
        <v>45741.125</v>
      </c>
      <c r="BG85" s="20" t="n">
        <v>45741.54166666666</v>
      </c>
      <c r="BH85" s="20" t="n">
        <v>45741.625</v>
      </c>
    </row>
    <row r="86">
      <c r="A86" s="5">
        <f>A85+1</f>
        <v/>
      </c>
      <c r="B86" s="3">
        <f>-SUMIFS(df_extrato_zig!G:G,df_extrato_zig!E:E,Conciliacao!A86,df_extrato_zig!D:D,"Saque")-SUMIFS(df_extrato_zig!G:G,df_extrato_zig!E:E,Conciliacao!A86,df_extrato_zig!D:D,"Antecipação")</f>
        <v/>
      </c>
      <c r="C86" s="3">
        <f>SUMIFS(df_extrato_zig!E:E,df_extrato_zig!L:L,Conciliacao!A86,df_extrato_zig!F:F,"DINHEIRO")</f>
        <v/>
      </c>
      <c r="D86" s="3">
        <f>SUMIFS(view_parc_agrup!H:H,view_parc_agrup!G:G,Conciliacao!A86)</f>
        <v/>
      </c>
      <c r="E86" s="3">
        <f>SUMIFS(df_eventos!F:F,df_eventos!H:H,Conciliacao!A86)</f>
        <v/>
      </c>
      <c r="F86" s="3">
        <f>SUMIFS(df_mutuos!M:M,df_mutuos!B:B,Conciliacao!A86)</f>
        <v/>
      </c>
      <c r="G86" s="6">
        <f>SUMIFS(df_bloqueios_judiciais!G:G,df_bloqueios_judiciais!D:D,Conciliacao!A86,df_bloqueios_judiciais!G:G,"&gt;0")</f>
        <v/>
      </c>
      <c r="H86" s="7">
        <f>SUMIFS(df_extratos!I:I,df_extratos!F:F,Conciliacao!BE86,df_extratos!G:G,"CREDITO")+SUMIFS(df_extratos!I:I,df_extratos!F:F,Conciliacao!A86,df_extratos!G:G,"CREDITO")+SUMIFS(df_extratos!I:I,df_extratos!F:F,Conciliacao!BF86,df_extratos!G:G,"CREDITO")+SUMIFS(df_extratos!I:I,df_extratos!F:F,Conciliacao!BG86,df_extratos!G:G,"CREDITO")+SUMIFS(df_extratos!I:I,df_extratos!F:F,Conciliacao!BH86,df_extratos!G:G,"CREDITO")</f>
        <v/>
      </c>
      <c r="I86" s="9">
        <f>H86-SUM(B86:G86)</f>
        <v/>
      </c>
      <c r="J86" s="4">
        <f>SUMIFS(df_blueme_sem_parcelamento!E:E,df_blueme_sem_parcelamento!H:H,Conciliacao!A86)*(-1)</f>
        <v/>
      </c>
      <c r="K86" s="4">
        <f>SUMIFS(df_blueme_com_parcelamento!J:J,df_blueme_com_parcelamento!M:M,Conciliacao!A86)*(-1)</f>
        <v/>
      </c>
      <c r="L86" s="4">
        <f>SUMIFS(df_mutuos!N:N,df_mutuos!B:B,Conciliacao!A86)*(-1)</f>
        <v/>
      </c>
      <c r="M86" s="8">
        <f>SUMIFS(df_bloqueios_judiciais!G:G,df_bloqueios_judiciais!D:D,Conciliacao!A86,df_bloqueios_judiciais!G:G,"&lt;0")</f>
        <v/>
      </c>
      <c r="N86" s="10">
        <f>SUMIFS(df_extratos!I:I,df_extratos!F:F,Conciliacao!BE86,df_extratos!G:G,"DEBITO")+SUMIFS(df_extratos!I:I,df_extratos!F:F,Conciliacao!A86,df_extratos!G:G,"DEBITO")+SUMIFS(df_extratos!I:I,df_extratos!F:F,Conciliacao!BF86,df_extratos!G:G,"DEBITO")+SUMIFS(df_extratos!I:I,df_extratos!F:F,Conciliacao!BG86,df_extratos!G:G,"DEBITO")+SUMIFS(df_extratos!I:I,df_extratos!F:F,Conciliacao!BH86,df_extratos!G:G,"DEBITO")</f>
        <v/>
      </c>
      <c r="O86" s="11">
        <f>N86-SUM(J86:M86)</f>
        <v/>
      </c>
      <c r="P86" s="25">
        <f>SUMIFS(df_ajustes_conciliaco!D:D,df_ajustes_conciliaco!C:C,Conciliacao!A86)</f>
        <v/>
      </c>
      <c r="Q86" s="22">
        <f>O86+I86-P86</f>
        <v/>
      </c>
      <c r="BE86" s="20" t="n">
        <v>45742.5</v>
      </c>
      <c r="BF86" s="20" t="n">
        <v>45742.125</v>
      </c>
      <c r="BG86" s="20" t="n">
        <v>45742.54166666666</v>
      </c>
      <c r="BH86" s="20" t="n">
        <v>45742.625</v>
      </c>
    </row>
    <row r="87">
      <c r="A87" s="5">
        <f>A86+1</f>
        <v/>
      </c>
      <c r="B87" s="3">
        <f>-SUMIFS(df_extrato_zig!G:G,df_extrato_zig!E:E,Conciliacao!A87,df_extrato_zig!D:D,"Saque")-SUMIFS(df_extrato_zig!G:G,df_extrato_zig!E:E,Conciliacao!A87,df_extrato_zig!D:D,"Antecipação")</f>
        <v/>
      </c>
      <c r="C87" s="3">
        <f>SUMIFS(df_extrato_zig!E:E,df_extrato_zig!L:L,Conciliacao!A87,df_extrato_zig!F:F,"DINHEIRO")</f>
        <v/>
      </c>
      <c r="D87" s="3">
        <f>SUMIFS(view_parc_agrup!H:H,view_parc_agrup!G:G,Conciliacao!A87)</f>
        <v/>
      </c>
      <c r="E87" s="3">
        <f>SUMIFS(df_eventos!F:F,df_eventos!H:H,Conciliacao!A87)</f>
        <v/>
      </c>
      <c r="F87" s="3">
        <f>SUMIFS(df_mutuos!M:M,df_mutuos!B:B,Conciliacao!A87)</f>
        <v/>
      </c>
      <c r="G87" s="6">
        <f>SUMIFS(df_bloqueios_judiciais!G:G,df_bloqueios_judiciais!D:D,Conciliacao!A87,df_bloqueios_judiciais!G:G,"&gt;0")</f>
        <v/>
      </c>
      <c r="H87" s="7">
        <f>SUMIFS(df_extratos!I:I,df_extratos!F:F,Conciliacao!BE87,df_extratos!G:G,"CREDITO")+SUMIFS(df_extratos!I:I,df_extratos!F:F,Conciliacao!A87,df_extratos!G:G,"CREDITO")+SUMIFS(df_extratos!I:I,df_extratos!F:F,Conciliacao!BF87,df_extratos!G:G,"CREDITO")+SUMIFS(df_extratos!I:I,df_extratos!F:F,Conciliacao!BG87,df_extratos!G:G,"CREDITO")+SUMIFS(df_extratos!I:I,df_extratos!F:F,Conciliacao!BH87,df_extratos!G:G,"CREDITO")</f>
        <v/>
      </c>
      <c r="I87" s="9">
        <f>H87-SUM(B87:G87)</f>
        <v/>
      </c>
      <c r="J87" s="4">
        <f>SUMIFS(df_blueme_sem_parcelamento!E:E,df_blueme_sem_parcelamento!H:H,Conciliacao!A87)*(-1)</f>
        <v/>
      </c>
      <c r="K87" s="4">
        <f>SUMIFS(df_blueme_com_parcelamento!J:J,df_blueme_com_parcelamento!M:M,Conciliacao!A87)*(-1)</f>
        <v/>
      </c>
      <c r="L87" s="4">
        <f>SUMIFS(df_mutuos!N:N,df_mutuos!B:B,Conciliacao!A87)*(-1)</f>
        <v/>
      </c>
      <c r="M87" s="8">
        <f>SUMIFS(df_bloqueios_judiciais!G:G,df_bloqueios_judiciais!D:D,Conciliacao!A87,df_bloqueios_judiciais!G:G,"&lt;0")</f>
        <v/>
      </c>
      <c r="N87" s="10">
        <f>SUMIFS(df_extratos!I:I,df_extratos!F:F,Conciliacao!BE87,df_extratos!G:G,"DEBITO")+SUMIFS(df_extratos!I:I,df_extratos!F:F,Conciliacao!A87,df_extratos!G:G,"DEBITO")+SUMIFS(df_extratos!I:I,df_extratos!F:F,Conciliacao!BF87,df_extratos!G:G,"DEBITO")+SUMIFS(df_extratos!I:I,df_extratos!F:F,Conciliacao!BG87,df_extratos!G:G,"DEBITO")+SUMIFS(df_extratos!I:I,df_extratos!F:F,Conciliacao!BH87,df_extratos!G:G,"DEBITO")</f>
        <v/>
      </c>
      <c r="O87" s="11">
        <f>N87-SUM(J87:M87)</f>
        <v/>
      </c>
      <c r="P87" s="25">
        <f>SUMIFS(df_ajustes_conciliaco!D:D,df_ajustes_conciliaco!C:C,Conciliacao!A87)</f>
        <v/>
      </c>
      <c r="Q87" s="22">
        <f>O87+I87-P87</f>
        <v/>
      </c>
      <c r="BE87" s="20" t="n">
        <v>45743.5</v>
      </c>
      <c r="BF87" s="20" t="n">
        <v>45743.125</v>
      </c>
      <c r="BG87" s="20" t="n">
        <v>45743.54166666666</v>
      </c>
      <c r="BH87" s="20" t="n">
        <v>45743.625</v>
      </c>
    </row>
    <row r="88">
      <c r="A88" s="5">
        <f>A87+1</f>
        <v/>
      </c>
      <c r="B88" s="3">
        <f>-SUMIFS(df_extrato_zig!G:G,df_extrato_zig!E:E,Conciliacao!A88,df_extrato_zig!D:D,"Saque")-SUMIFS(df_extrato_zig!G:G,df_extrato_zig!E:E,Conciliacao!A88,df_extrato_zig!D:D,"Antecipação")</f>
        <v/>
      </c>
      <c r="C88" s="3">
        <f>SUMIFS(df_extrato_zig!E:E,df_extrato_zig!L:L,Conciliacao!A88,df_extrato_zig!F:F,"DINHEIRO")</f>
        <v/>
      </c>
      <c r="D88" s="3">
        <f>SUMIFS(view_parc_agrup!H:H,view_parc_agrup!G:G,Conciliacao!A88)</f>
        <v/>
      </c>
      <c r="E88" s="3">
        <f>SUMIFS(df_eventos!F:F,df_eventos!H:H,Conciliacao!A88)</f>
        <v/>
      </c>
      <c r="F88" s="3">
        <f>SUMIFS(df_mutuos!M:M,df_mutuos!B:B,Conciliacao!A88)</f>
        <v/>
      </c>
      <c r="G88" s="6">
        <f>SUMIFS(df_bloqueios_judiciais!G:G,df_bloqueios_judiciais!D:D,Conciliacao!A88,df_bloqueios_judiciais!G:G,"&gt;0")</f>
        <v/>
      </c>
      <c r="H88" s="7">
        <f>SUMIFS(df_extratos!I:I,df_extratos!F:F,Conciliacao!BE88,df_extratos!G:G,"CREDITO")+SUMIFS(df_extratos!I:I,df_extratos!F:F,Conciliacao!A88,df_extratos!G:G,"CREDITO")+SUMIFS(df_extratos!I:I,df_extratos!F:F,Conciliacao!BF88,df_extratos!G:G,"CREDITO")+SUMIFS(df_extratos!I:I,df_extratos!F:F,Conciliacao!BG88,df_extratos!G:G,"CREDITO")+SUMIFS(df_extratos!I:I,df_extratos!F:F,Conciliacao!BH88,df_extratos!G:G,"CREDITO")</f>
        <v/>
      </c>
      <c r="I88" s="9">
        <f>H88-SUM(B88:G88)</f>
        <v/>
      </c>
      <c r="J88" s="4">
        <f>SUMIFS(df_blueme_sem_parcelamento!E:E,df_blueme_sem_parcelamento!H:H,Conciliacao!A88)*(-1)</f>
        <v/>
      </c>
      <c r="K88" s="4">
        <f>SUMIFS(df_blueme_com_parcelamento!J:J,df_blueme_com_parcelamento!M:M,Conciliacao!A88)*(-1)</f>
        <v/>
      </c>
      <c r="L88" s="4">
        <f>SUMIFS(df_mutuos!N:N,df_mutuos!B:B,Conciliacao!A88)*(-1)</f>
        <v/>
      </c>
      <c r="M88" s="8">
        <f>SUMIFS(df_bloqueios_judiciais!G:G,df_bloqueios_judiciais!D:D,Conciliacao!A88,df_bloqueios_judiciais!G:G,"&lt;0")</f>
        <v/>
      </c>
      <c r="N88" s="10">
        <f>SUMIFS(df_extratos!I:I,df_extratos!F:F,Conciliacao!BE88,df_extratos!G:G,"DEBITO")+SUMIFS(df_extratos!I:I,df_extratos!F:F,Conciliacao!A88,df_extratos!G:G,"DEBITO")+SUMIFS(df_extratos!I:I,df_extratos!F:F,Conciliacao!BF88,df_extratos!G:G,"DEBITO")+SUMIFS(df_extratos!I:I,df_extratos!F:F,Conciliacao!BG88,df_extratos!G:G,"DEBITO")+SUMIFS(df_extratos!I:I,df_extratos!F:F,Conciliacao!BH88,df_extratos!G:G,"DEBITO")</f>
        <v/>
      </c>
      <c r="O88" s="11">
        <f>N88-SUM(J88:M88)</f>
        <v/>
      </c>
      <c r="P88" s="25">
        <f>SUMIFS(df_ajustes_conciliaco!D:D,df_ajustes_conciliaco!C:C,Conciliacao!A88)</f>
        <v/>
      </c>
      <c r="Q88" s="22">
        <f>O88+I88-P88</f>
        <v/>
      </c>
      <c r="BE88" s="20" t="n">
        <v>45744.5</v>
      </c>
      <c r="BF88" s="20" t="n">
        <v>45744.125</v>
      </c>
      <c r="BG88" s="20" t="n">
        <v>45744.54166666666</v>
      </c>
      <c r="BH88" s="20" t="n">
        <v>45744.625</v>
      </c>
    </row>
    <row r="89">
      <c r="A89" s="5">
        <f>A88+1</f>
        <v/>
      </c>
      <c r="B89" s="3">
        <f>-SUMIFS(df_extrato_zig!G:G,df_extrato_zig!E:E,Conciliacao!A89,df_extrato_zig!D:D,"Saque")-SUMIFS(df_extrato_zig!G:G,df_extrato_zig!E:E,Conciliacao!A89,df_extrato_zig!D:D,"Antecipação")</f>
        <v/>
      </c>
      <c r="C89" s="3">
        <f>SUMIFS(df_extrato_zig!E:E,df_extrato_zig!L:L,Conciliacao!A89,df_extrato_zig!F:F,"DINHEIRO")</f>
        <v/>
      </c>
      <c r="D89" s="3">
        <f>SUMIFS(view_parc_agrup!H:H,view_parc_agrup!G:G,Conciliacao!A89)</f>
        <v/>
      </c>
      <c r="E89" s="3">
        <f>SUMIFS(df_eventos!F:F,df_eventos!H:H,Conciliacao!A89)</f>
        <v/>
      </c>
      <c r="F89" s="3">
        <f>SUMIFS(df_mutuos!M:M,df_mutuos!B:B,Conciliacao!A89)</f>
        <v/>
      </c>
      <c r="G89" s="6">
        <f>SUMIFS(df_bloqueios_judiciais!G:G,df_bloqueios_judiciais!D:D,Conciliacao!A89,df_bloqueios_judiciais!G:G,"&gt;0")</f>
        <v/>
      </c>
      <c r="H89" s="7">
        <f>SUMIFS(df_extratos!I:I,df_extratos!F:F,Conciliacao!BE89,df_extratos!G:G,"CREDITO")+SUMIFS(df_extratos!I:I,df_extratos!F:F,Conciliacao!A89,df_extratos!G:G,"CREDITO")+SUMIFS(df_extratos!I:I,df_extratos!F:F,Conciliacao!BF89,df_extratos!G:G,"CREDITO")+SUMIFS(df_extratos!I:I,df_extratos!F:F,Conciliacao!BG89,df_extratos!G:G,"CREDITO")+SUMIFS(df_extratos!I:I,df_extratos!F:F,Conciliacao!BH89,df_extratos!G:G,"CREDITO")</f>
        <v/>
      </c>
      <c r="I89" s="9">
        <f>H89-SUM(B89:G89)</f>
        <v/>
      </c>
      <c r="J89" s="4">
        <f>SUMIFS(df_blueme_sem_parcelamento!E:E,df_blueme_sem_parcelamento!H:H,Conciliacao!A89)*(-1)</f>
        <v/>
      </c>
      <c r="K89" s="4">
        <f>SUMIFS(df_blueme_com_parcelamento!J:J,df_blueme_com_parcelamento!M:M,Conciliacao!A89)*(-1)</f>
        <v/>
      </c>
      <c r="L89" s="4">
        <f>SUMIFS(df_mutuos!N:N,df_mutuos!B:B,Conciliacao!A89)*(-1)</f>
        <v/>
      </c>
      <c r="M89" s="8">
        <f>SUMIFS(df_bloqueios_judiciais!G:G,df_bloqueios_judiciais!D:D,Conciliacao!A89,df_bloqueios_judiciais!G:G,"&lt;0")</f>
        <v/>
      </c>
      <c r="N89" s="10">
        <f>SUMIFS(df_extratos!I:I,df_extratos!F:F,Conciliacao!BE89,df_extratos!G:G,"DEBITO")+SUMIFS(df_extratos!I:I,df_extratos!F:F,Conciliacao!A89,df_extratos!G:G,"DEBITO")+SUMIFS(df_extratos!I:I,df_extratos!F:F,Conciliacao!BF89,df_extratos!G:G,"DEBITO")+SUMIFS(df_extratos!I:I,df_extratos!F:F,Conciliacao!BG89,df_extratos!G:G,"DEBITO")+SUMIFS(df_extratos!I:I,df_extratos!F:F,Conciliacao!BH89,df_extratos!G:G,"DEBITO")</f>
        <v/>
      </c>
      <c r="O89" s="11">
        <f>N89-SUM(J89:M89)</f>
        <v/>
      </c>
      <c r="P89" s="25">
        <f>SUMIFS(df_ajustes_conciliaco!D:D,df_ajustes_conciliaco!C:C,Conciliacao!A89)</f>
        <v/>
      </c>
      <c r="Q89" s="22">
        <f>O89+I89-P89</f>
        <v/>
      </c>
      <c r="BE89" s="20" t="n">
        <v>45745.5</v>
      </c>
      <c r="BF89" s="20" t="n">
        <v>45745.125</v>
      </c>
      <c r="BG89" s="20" t="n">
        <v>45745.54166666666</v>
      </c>
      <c r="BH89" s="20" t="n">
        <v>45745.625</v>
      </c>
    </row>
    <row r="90">
      <c r="A90" s="5">
        <f>A89+1</f>
        <v/>
      </c>
      <c r="B90" s="3">
        <f>-SUMIFS(df_extrato_zig!G:G,df_extrato_zig!E:E,Conciliacao!A90,df_extrato_zig!D:D,"Saque")-SUMIFS(df_extrato_zig!G:G,df_extrato_zig!E:E,Conciliacao!A90,df_extrato_zig!D:D,"Antecipação")</f>
        <v/>
      </c>
      <c r="C90" s="3">
        <f>SUMIFS(df_extrato_zig!E:E,df_extrato_zig!L:L,Conciliacao!A90,df_extrato_zig!F:F,"DINHEIRO")</f>
        <v/>
      </c>
      <c r="D90" s="3">
        <f>SUMIFS(view_parc_agrup!H:H,view_parc_agrup!G:G,Conciliacao!A90)</f>
        <v/>
      </c>
      <c r="E90" s="3">
        <f>SUMIFS(df_eventos!F:F,df_eventos!H:H,Conciliacao!A90)</f>
        <v/>
      </c>
      <c r="F90" s="3">
        <f>SUMIFS(df_mutuos!M:M,df_mutuos!B:B,Conciliacao!A90)</f>
        <v/>
      </c>
      <c r="G90" s="6">
        <f>SUMIFS(df_bloqueios_judiciais!G:G,df_bloqueios_judiciais!D:D,Conciliacao!A90,df_bloqueios_judiciais!G:G,"&gt;0")</f>
        <v/>
      </c>
      <c r="H90" s="7">
        <f>SUMIFS(df_extratos!I:I,df_extratos!F:F,Conciliacao!BE90,df_extratos!G:G,"CREDITO")+SUMIFS(df_extratos!I:I,df_extratos!F:F,Conciliacao!A90,df_extratos!G:G,"CREDITO")+SUMIFS(df_extratos!I:I,df_extratos!F:F,Conciliacao!BF90,df_extratos!G:G,"CREDITO")+SUMIFS(df_extratos!I:I,df_extratos!F:F,Conciliacao!BG90,df_extratos!G:G,"CREDITO")+SUMIFS(df_extratos!I:I,df_extratos!F:F,Conciliacao!BH90,df_extratos!G:G,"CREDITO")</f>
        <v/>
      </c>
      <c r="I90" s="9">
        <f>H90-SUM(B90:G90)</f>
        <v/>
      </c>
      <c r="J90" s="4">
        <f>SUMIFS(df_blueme_sem_parcelamento!E:E,df_blueme_sem_parcelamento!H:H,Conciliacao!A90)*(-1)</f>
        <v/>
      </c>
      <c r="K90" s="4">
        <f>SUMIFS(df_blueme_com_parcelamento!J:J,df_blueme_com_parcelamento!M:M,Conciliacao!A90)*(-1)</f>
        <v/>
      </c>
      <c r="L90" s="4">
        <f>SUMIFS(df_mutuos!N:N,df_mutuos!B:B,Conciliacao!A90)*(-1)</f>
        <v/>
      </c>
      <c r="M90" s="8">
        <f>SUMIFS(df_bloqueios_judiciais!G:G,df_bloqueios_judiciais!D:D,Conciliacao!A90,df_bloqueios_judiciais!G:G,"&lt;0")</f>
        <v/>
      </c>
      <c r="N90" s="10">
        <f>SUMIFS(df_extratos!I:I,df_extratos!F:F,Conciliacao!BE90,df_extratos!G:G,"DEBITO")+SUMIFS(df_extratos!I:I,df_extratos!F:F,Conciliacao!A90,df_extratos!G:G,"DEBITO")+SUMIFS(df_extratos!I:I,df_extratos!F:F,Conciliacao!BF90,df_extratos!G:G,"DEBITO")+SUMIFS(df_extratos!I:I,df_extratos!F:F,Conciliacao!BG90,df_extratos!G:G,"DEBITO")+SUMIFS(df_extratos!I:I,df_extratos!F:F,Conciliacao!BH90,df_extratos!G:G,"DEBITO")</f>
        <v/>
      </c>
      <c r="O90" s="11">
        <f>N90-SUM(J90:M90)</f>
        <v/>
      </c>
      <c r="P90" s="25">
        <f>SUMIFS(df_ajustes_conciliaco!D:D,df_ajustes_conciliaco!C:C,Conciliacao!A90)</f>
        <v/>
      </c>
      <c r="Q90" s="22">
        <f>O90+I90-P90</f>
        <v/>
      </c>
      <c r="BE90" s="20" t="n">
        <v>45746.5</v>
      </c>
      <c r="BF90" s="20" t="n">
        <v>45746.125</v>
      </c>
      <c r="BG90" s="20" t="n">
        <v>45746.54166666666</v>
      </c>
      <c r="BH90" s="20" t="n">
        <v>45746.625</v>
      </c>
    </row>
    <row r="91">
      <c r="A91" s="5">
        <f>A90+1</f>
        <v/>
      </c>
      <c r="B91" s="3">
        <f>-SUMIFS(df_extrato_zig!G:G,df_extrato_zig!E:E,Conciliacao!A91,df_extrato_zig!D:D,"Saque")-SUMIFS(df_extrato_zig!G:G,df_extrato_zig!E:E,Conciliacao!A91,df_extrato_zig!D:D,"Antecipação")</f>
        <v/>
      </c>
      <c r="C91" s="3">
        <f>SUMIFS(df_extrato_zig!E:E,df_extrato_zig!L:L,Conciliacao!A91,df_extrato_zig!F:F,"DINHEIRO")</f>
        <v/>
      </c>
      <c r="D91" s="3">
        <f>SUMIFS(view_parc_agrup!H:H,view_parc_agrup!G:G,Conciliacao!A91)</f>
        <v/>
      </c>
      <c r="E91" s="3">
        <f>SUMIFS(df_eventos!F:F,df_eventos!H:H,Conciliacao!A91)</f>
        <v/>
      </c>
      <c r="F91" s="3">
        <f>SUMIFS(df_mutuos!M:M,df_mutuos!B:B,Conciliacao!A91)</f>
        <v/>
      </c>
      <c r="G91" s="6">
        <f>SUMIFS(df_bloqueios_judiciais!G:G,df_bloqueios_judiciais!D:D,Conciliacao!A91,df_bloqueios_judiciais!G:G,"&gt;0")</f>
        <v/>
      </c>
      <c r="H91" s="7">
        <f>SUMIFS(df_extratos!I:I,df_extratos!F:F,Conciliacao!BE91,df_extratos!G:G,"CREDITO")+SUMIFS(df_extratos!I:I,df_extratos!F:F,Conciliacao!A91,df_extratos!G:G,"CREDITO")+SUMIFS(df_extratos!I:I,df_extratos!F:F,Conciliacao!BF91,df_extratos!G:G,"CREDITO")+SUMIFS(df_extratos!I:I,df_extratos!F:F,Conciliacao!BG91,df_extratos!G:G,"CREDITO")+SUMIFS(df_extratos!I:I,df_extratos!F:F,Conciliacao!BH91,df_extratos!G:G,"CREDITO")</f>
        <v/>
      </c>
      <c r="I91" s="9">
        <f>H91-SUM(B91:G91)</f>
        <v/>
      </c>
      <c r="J91" s="4">
        <f>SUMIFS(df_blueme_sem_parcelamento!E:E,df_blueme_sem_parcelamento!H:H,Conciliacao!A91)*(-1)</f>
        <v/>
      </c>
      <c r="K91" s="4">
        <f>SUMIFS(df_blueme_com_parcelamento!J:J,df_blueme_com_parcelamento!M:M,Conciliacao!A91)*(-1)</f>
        <v/>
      </c>
      <c r="L91" s="4">
        <f>SUMIFS(df_mutuos!N:N,df_mutuos!B:B,Conciliacao!A91)*(-1)</f>
        <v/>
      </c>
      <c r="M91" s="8">
        <f>SUMIFS(df_bloqueios_judiciais!G:G,df_bloqueios_judiciais!D:D,Conciliacao!A91,df_bloqueios_judiciais!G:G,"&lt;0")</f>
        <v/>
      </c>
      <c r="N91" s="10">
        <f>SUMIFS(df_extratos!I:I,df_extratos!F:F,Conciliacao!BE91,df_extratos!G:G,"DEBITO")+SUMIFS(df_extratos!I:I,df_extratos!F:F,Conciliacao!A91,df_extratos!G:G,"DEBITO")+SUMIFS(df_extratos!I:I,df_extratos!F:F,Conciliacao!BF91,df_extratos!G:G,"DEBITO")+SUMIFS(df_extratos!I:I,df_extratos!F:F,Conciliacao!BG91,df_extratos!G:G,"DEBITO")+SUMIFS(df_extratos!I:I,df_extratos!F:F,Conciliacao!BH91,df_extratos!G:G,"DEBITO")</f>
        <v/>
      </c>
      <c r="O91" s="11">
        <f>N91-SUM(J91:M91)</f>
        <v/>
      </c>
      <c r="P91" s="25">
        <f>SUMIFS(df_ajustes_conciliaco!D:D,df_ajustes_conciliaco!C:C,Conciliacao!A91)</f>
        <v/>
      </c>
      <c r="Q91" s="22">
        <f>O91+I91-P91</f>
        <v/>
      </c>
      <c r="BE91" s="20" t="n">
        <v>45747.5</v>
      </c>
      <c r="BF91" s="20" t="n">
        <v>45747.125</v>
      </c>
      <c r="BG91" s="20" t="n">
        <v>45747.54166666666</v>
      </c>
      <c r="BH91" s="20" t="n">
        <v>45747.625</v>
      </c>
    </row>
    <row r="92">
      <c r="A92" s="5">
        <f>A91+1</f>
        <v/>
      </c>
      <c r="B92" s="3">
        <f>-SUMIFS(df_extrato_zig!G:G,df_extrato_zig!E:E,Conciliacao!A92,df_extrato_zig!D:D,"Saque")-SUMIFS(df_extrato_zig!G:G,df_extrato_zig!E:E,Conciliacao!A92,df_extrato_zig!D:D,"Antecipação")</f>
        <v/>
      </c>
      <c r="C92" s="3">
        <f>SUMIFS(df_extrato_zig!E:E,df_extrato_zig!L:L,Conciliacao!A92,df_extrato_zig!F:F,"DINHEIRO")</f>
        <v/>
      </c>
      <c r="D92" s="3">
        <f>SUMIFS(view_parc_agrup!H:H,view_parc_agrup!G:G,Conciliacao!A92)</f>
        <v/>
      </c>
      <c r="E92" s="3">
        <f>SUMIFS(df_eventos!F:F,df_eventos!H:H,Conciliacao!A92)</f>
        <v/>
      </c>
      <c r="F92" s="3">
        <f>SUMIFS(df_mutuos!M:M,df_mutuos!B:B,Conciliacao!A92)</f>
        <v/>
      </c>
      <c r="G92" s="6">
        <f>SUMIFS(df_bloqueios_judiciais!G:G,df_bloqueios_judiciais!D:D,Conciliacao!A92,df_bloqueios_judiciais!G:G,"&gt;0")</f>
        <v/>
      </c>
      <c r="H92" s="7">
        <f>SUMIFS(df_extratos!I:I,df_extratos!F:F,Conciliacao!BE92,df_extratos!G:G,"CREDITO")+SUMIFS(df_extratos!I:I,df_extratos!F:F,Conciliacao!A92,df_extratos!G:G,"CREDITO")+SUMIFS(df_extratos!I:I,df_extratos!F:F,Conciliacao!BF92,df_extratos!G:G,"CREDITO")+SUMIFS(df_extratos!I:I,df_extratos!F:F,Conciliacao!BG92,df_extratos!G:G,"CREDITO")+SUMIFS(df_extratos!I:I,df_extratos!F:F,Conciliacao!BH92,df_extratos!G:G,"CREDITO")</f>
        <v/>
      </c>
      <c r="I92" s="9">
        <f>H92-SUM(B92:G92)</f>
        <v/>
      </c>
      <c r="J92" s="4">
        <f>SUMIFS(df_blueme_sem_parcelamento!E:E,df_blueme_sem_parcelamento!H:H,Conciliacao!A92)*(-1)</f>
        <v/>
      </c>
      <c r="K92" s="4">
        <f>SUMIFS(df_blueme_com_parcelamento!J:J,df_blueme_com_parcelamento!M:M,Conciliacao!A92)*(-1)</f>
        <v/>
      </c>
      <c r="L92" s="4">
        <f>SUMIFS(df_mutuos!N:N,df_mutuos!B:B,Conciliacao!A92)*(-1)</f>
        <v/>
      </c>
      <c r="M92" s="8">
        <f>SUMIFS(df_bloqueios_judiciais!G:G,df_bloqueios_judiciais!D:D,Conciliacao!A92,df_bloqueios_judiciais!G:G,"&lt;0")</f>
        <v/>
      </c>
      <c r="N92" s="10">
        <f>SUMIFS(df_extratos!I:I,df_extratos!F:F,Conciliacao!BE92,df_extratos!G:G,"DEBITO")+SUMIFS(df_extratos!I:I,df_extratos!F:F,Conciliacao!A92,df_extratos!G:G,"DEBITO")+SUMIFS(df_extratos!I:I,df_extratos!F:F,Conciliacao!BF92,df_extratos!G:G,"DEBITO")+SUMIFS(df_extratos!I:I,df_extratos!F:F,Conciliacao!BG92,df_extratos!G:G,"DEBITO")+SUMIFS(df_extratos!I:I,df_extratos!F:F,Conciliacao!BH92,df_extratos!G:G,"DEBITO")</f>
        <v/>
      </c>
      <c r="O92" s="11">
        <f>N92-SUM(J92:M92)</f>
        <v/>
      </c>
      <c r="P92" s="25">
        <f>SUMIFS(df_ajustes_conciliaco!D:D,df_ajustes_conciliaco!C:C,Conciliacao!A92)</f>
        <v/>
      </c>
      <c r="Q92" s="22">
        <f>O92+I92-P92</f>
        <v/>
      </c>
      <c r="BE92" s="20" t="n">
        <v>45748.5</v>
      </c>
      <c r="BF92" s="20" t="n">
        <v>45748.125</v>
      </c>
      <c r="BG92" s="20" t="n">
        <v>45748.54166666666</v>
      </c>
      <c r="BH92" s="20" t="n">
        <v>45748.625</v>
      </c>
    </row>
    <row r="93">
      <c r="A93" s="5">
        <f>A92+1</f>
        <v/>
      </c>
      <c r="B93" s="3">
        <f>-SUMIFS(df_extrato_zig!G:G,df_extrato_zig!E:E,Conciliacao!A93,df_extrato_zig!D:D,"Saque")-SUMIFS(df_extrato_zig!G:G,df_extrato_zig!E:E,Conciliacao!A93,df_extrato_zig!D:D,"Antecipação")</f>
        <v/>
      </c>
      <c r="C93" s="3">
        <f>SUMIFS(df_extrato_zig!E:E,df_extrato_zig!L:L,Conciliacao!A93,df_extrato_zig!F:F,"DINHEIRO")</f>
        <v/>
      </c>
      <c r="D93" s="3">
        <f>SUMIFS(view_parc_agrup!H:H,view_parc_agrup!G:G,Conciliacao!A93)</f>
        <v/>
      </c>
      <c r="E93" s="3">
        <f>SUMIFS(df_eventos!F:F,df_eventos!H:H,Conciliacao!A93)</f>
        <v/>
      </c>
      <c r="F93" s="3">
        <f>SUMIFS(df_mutuos!M:M,df_mutuos!B:B,Conciliacao!A93)</f>
        <v/>
      </c>
      <c r="G93" s="6">
        <f>SUMIFS(df_bloqueios_judiciais!G:G,df_bloqueios_judiciais!D:D,Conciliacao!A93,df_bloqueios_judiciais!G:G,"&gt;0")</f>
        <v/>
      </c>
      <c r="H93" s="7">
        <f>SUMIFS(df_extratos!I:I,df_extratos!F:F,Conciliacao!BE93,df_extratos!G:G,"CREDITO")+SUMIFS(df_extratos!I:I,df_extratos!F:F,Conciliacao!A93,df_extratos!G:G,"CREDITO")+SUMIFS(df_extratos!I:I,df_extratos!F:F,Conciliacao!BF93,df_extratos!G:G,"CREDITO")+SUMIFS(df_extratos!I:I,df_extratos!F:F,Conciliacao!BG93,df_extratos!G:G,"CREDITO")+SUMIFS(df_extratos!I:I,df_extratos!F:F,Conciliacao!BH93,df_extratos!G:G,"CREDITO")</f>
        <v/>
      </c>
      <c r="I93" s="9">
        <f>H93-SUM(B93:G93)</f>
        <v/>
      </c>
      <c r="J93" s="4">
        <f>SUMIFS(df_blueme_sem_parcelamento!E:E,df_blueme_sem_parcelamento!H:H,Conciliacao!A93)*(-1)</f>
        <v/>
      </c>
      <c r="K93" s="4">
        <f>SUMIFS(df_blueme_com_parcelamento!J:J,df_blueme_com_parcelamento!M:M,Conciliacao!A93)*(-1)</f>
        <v/>
      </c>
      <c r="L93" s="4">
        <f>SUMIFS(df_mutuos!N:N,df_mutuos!B:B,Conciliacao!A93)*(-1)</f>
        <v/>
      </c>
      <c r="M93" s="8">
        <f>SUMIFS(df_bloqueios_judiciais!G:G,df_bloqueios_judiciais!D:D,Conciliacao!A93,df_bloqueios_judiciais!G:G,"&lt;0")</f>
        <v/>
      </c>
      <c r="N93" s="10">
        <f>SUMIFS(df_extratos!I:I,df_extratos!F:F,Conciliacao!BE93,df_extratos!G:G,"DEBITO")+SUMIFS(df_extratos!I:I,df_extratos!F:F,Conciliacao!A93,df_extratos!G:G,"DEBITO")+SUMIFS(df_extratos!I:I,df_extratos!F:F,Conciliacao!BF93,df_extratos!G:G,"DEBITO")+SUMIFS(df_extratos!I:I,df_extratos!F:F,Conciliacao!BG93,df_extratos!G:G,"DEBITO")+SUMIFS(df_extratos!I:I,df_extratos!F:F,Conciliacao!BH93,df_extratos!G:G,"DEBITO")</f>
        <v/>
      </c>
      <c r="O93" s="11">
        <f>N93-SUM(J93:M93)</f>
        <v/>
      </c>
      <c r="P93" s="25">
        <f>SUMIFS(df_ajustes_conciliaco!D:D,df_ajustes_conciliaco!C:C,Conciliacao!A93)</f>
        <v/>
      </c>
      <c r="Q93" s="22">
        <f>O93+I93-P93</f>
        <v/>
      </c>
      <c r="BE93" s="20" t="n">
        <v>45749.5</v>
      </c>
      <c r="BF93" s="20" t="n">
        <v>45749.125</v>
      </c>
      <c r="BG93" s="20" t="n">
        <v>45749.54166666666</v>
      </c>
      <c r="BH93" s="20" t="n">
        <v>45749.625</v>
      </c>
    </row>
    <row r="94">
      <c r="A94" s="5">
        <f>A93+1</f>
        <v/>
      </c>
      <c r="B94" s="3">
        <f>-SUMIFS(df_extrato_zig!G:G,df_extrato_zig!E:E,Conciliacao!A94,df_extrato_zig!D:D,"Saque")-SUMIFS(df_extrato_zig!G:G,df_extrato_zig!E:E,Conciliacao!A94,df_extrato_zig!D:D,"Antecipação")</f>
        <v/>
      </c>
      <c r="C94" s="3">
        <f>SUMIFS(df_extrato_zig!E:E,df_extrato_zig!L:L,Conciliacao!A94,df_extrato_zig!F:F,"DINHEIRO")</f>
        <v/>
      </c>
      <c r="D94" s="3">
        <f>SUMIFS(view_parc_agrup!H:H,view_parc_agrup!G:G,Conciliacao!A94)</f>
        <v/>
      </c>
      <c r="E94" s="3">
        <f>SUMIFS(df_eventos!F:F,df_eventos!H:H,Conciliacao!A94)</f>
        <v/>
      </c>
      <c r="F94" s="3">
        <f>SUMIFS(df_mutuos!M:M,df_mutuos!B:B,Conciliacao!A94)</f>
        <v/>
      </c>
      <c r="G94" s="6">
        <f>SUMIFS(df_bloqueios_judiciais!G:G,df_bloqueios_judiciais!D:D,Conciliacao!A94,df_bloqueios_judiciais!G:G,"&gt;0")</f>
        <v/>
      </c>
      <c r="H94" s="7">
        <f>SUMIFS(df_extratos!I:I,df_extratos!F:F,Conciliacao!BE94,df_extratos!G:G,"CREDITO")+SUMIFS(df_extratos!I:I,df_extratos!F:F,Conciliacao!A94,df_extratos!G:G,"CREDITO")+SUMIFS(df_extratos!I:I,df_extratos!F:F,Conciliacao!BF94,df_extratos!G:G,"CREDITO")+SUMIFS(df_extratos!I:I,df_extratos!F:F,Conciliacao!BG94,df_extratos!G:G,"CREDITO")+SUMIFS(df_extratos!I:I,df_extratos!F:F,Conciliacao!BH94,df_extratos!G:G,"CREDITO")</f>
        <v/>
      </c>
      <c r="I94" s="9">
        <f>H94-SUM(B94:G94)</f>
        <v/>
      </c>
      <c r="J94" s="4">
        <f>SUMIFS(df_blueme_sem_parcelamento!E:E,df_blueme_sem_parcelamento!H:H,Conciliacao!A94)*(-1)</f>
        <v/>
      </c>
      <c r="K94" s="4">
        <f>SUMIFS(df_blueme_com_parcelamento!J:J,df_blueme_com_parcelamento!M:M,Conciliacao!A94)*(-1)</f>
        <v/>
      </c>
      <c r="L94" s="4">
        <f>SUMIFS(df_mutuos!N:N,df_mutuos!B:B,Conciliacao!A94)*(-1)</f>
        <v/>
      </c>
      <c r="M94" s="8">
        <f>SUMIFS(df_bloqueios_judiciais!G:G,df_bloqueios_judiciais!D:D,Conciliacao!A94,df_bloqueios_judiciais!G:G,"&lt;0")</f>
        <v/>
      </c>
      <c r="N94" s="10">
        <f>SUMIFS(df_extratos!I:I,df_extratos!F:F,Conciliacao!BE94,df_extratos!G:G,"DEBITO")+SUMIFS(df_extratos!I:I,df_extratos!F:F,Conciliacao!A94,df_extratos!G:G,"DEBITO")+SUMIFS(df_extratos!I:I,df_extratos!F:F,Conciliacao!BF94,df_extratos!G:G,"DEBITO")+SUMIFS(df_extratos!I:I,df_extratos!F:F,Conciliacao!BG94,df_extratos!G:G,"DEBITO")+SUMIFS(df_extratos!I:I,df_extratos!F:F,Conciliacao!BH94,df_extratos!G:G,"DEBITO")</f>
        <v/>
      </c>
      <c r="O94" s="11">
        <f>N94-SUM(J94:M94)</f>
        <v/>
      </c>
      <c r="P94" s="25">
        <f>SUMIFS(df_ajustes_conciliaco!D:D,df_ajustes_conciliaco!C:C,Conciliacao!A94)</f>
        <v/>
      </c>
      <c r="Q94" s="22">
        <f>O94+I94-P94</f>
        <v/>
      </c>
      <c r="BE94" s="20" t="n">
        <v>45750.5</v>
      </c>
      <c r="BF94" s="20" t="n">
        <v>45750.125</v>
      </c>
      <c r="BG94" s="20" t="n">
        <v>45750.54166666666</v>
      </c>
      <c r="BH94" s="20" t="n">
        <v>45750.625</v>
      </c>
    </row>
    <row r="95">
      <c r="A95" s="5">
        <f>A94+1</f>
        <v/>
      </c>
      <c r="B95" s="3">
        <f>-SUMIFS(df_extrato_zig!G:G,df_extrato_zig!E:E,Conciliacao!A95,df_extrato_zig!D:D,"Saque")-SUMIFS(df_extrato_zig!G:G,df_extrato_zig!E:E,Conciliacao!A95,df_extrato_zig!D:D,"Antecipação")</f>
        <v/>
      </c>
      <c r="C95" s="3">
        <f>SUMIFS(df_extrato_zig!E:E,df_extrato_zig!L:L,Conciliacao!A95,df_extrato_zig!F:F,"DINHEIRO")</f>
        <v/>
      </c>
      <c r="D95" s="3">
        <f>SUMIFS(view_parc_agrup!H:H,view_parc_agrup!G:G,Conciliacao!A95)</f>
        <v/>
      </c>
      <c r="E95" s="3">
        <f>SUMIFS(df_eventos!F:F,df_eventos!H:H,Conciliacao!A95)</f>
        <v/>
      </c>
      <c r="F95" s="3">
        <f>SUMIFS(df_mutuos!M:M,df_mutuos!B:B,Conciliacao!A95)</f>
        <v/>
      </c>
      <c r="G95" s="6">
        <f>SUMIFS(df_bloqueios_judiciais!G:G,df_bloqueios_judiciais!D:D,Conciliacao!A95,df_bloqueios_judiciais!G:G,"&gt;0")</f>
        <v/>
      </c>
      <c r="H95" s="7">
        <f>SUMIFS(df_extratos!I:I,df_extratos!F:F,Conciliacao!BE95,df_extratos!G:G,"CREDITO")+SUMIFS(df_extratos!I:I,df_extratos!F:F,Conciliacao!A95,df_extratos!G:G,"CREDITO")+SUMIFS(df_extratos!I:I,df_extratos!F:F,Conciliacao!BF95,df_extratos!G:G,"CREDITO")+SUMIFS(df_extratos!I:I,df_extratos!F:F,Conciliacao!BG95,df_extratos!G:G,"CREDITO")+SUMIFS(df_extratos!I:I,df_extratos!F:F,Conciliacao!BH95,df_extratos!G:G,"CREDITO")</f>
        <v/>
      </c>
      <c r="I95" s="9">
        <f>H95-SUM(B95:G95)</f>
        <v/>
      </c>
      <c r="J95" s="4">
        <f>SUMIFS(df_blueme_sem_parcelamento!E:E,df_blueme_sem_parcelamento!H:H,Conciliacao!A95)*(-1)</f>
        <v/>
      </c>
      <c r="K95" s="4">
        <f>SUMIFS(df_blueme_com_parcelamento!J:J,df_blueme_com_parcelamento!M:M,Conciliacao!A95)*(-1)</f>
        <v/>
      </c>
      <c r="L95" s="4">
        <f>SUMIFS(df_mutuos!N:N,df_mutuos!B:B,Conciliacao!A95)*(-1)</f>
        <v/>
      </c>
      <c r="M95" s="8">
        <f>SUMIFS(df_bloqueios_judiciais!G:G,df_bloqueios_judiciais!D:D,Conciliacao!A95,df_bloqueios_judiciais!G:G,"&lt;0")</f>
        <v/>
      </c>
      <c r="N95" s="10">
        <f>SUMIFS(df_extratos!I:I,df_extratos!F:F,Conciliacao!BE95,df_extratos!G:G,"DEBITO")+SUMIFS(df_extratos!I:I,df_extratos!F:F,Conciliacao!A95,df_extratos!G:G,"DEBITO")+SUMIFS(df_extratos!I:I,df_extratos!F:F,Conciliacao!BF95,df_extratos!G:G,"DEBITO")+SUMIFS(df_extratos!I:I,df_extratos!F:F,Conciliacao!BG95,df_extratos!G:G,"DEBITO")+SUMIFS(df_extratos!I:I,df_extratos!F:F,Conciliacao!BH95,df_extratos!G:G,"DEBITO")</f>
        <v/>
      </c>
      <c r="O95" s="11">
        <f>N95-SUM(J95:M95)</f>
        <v/>
      </c>
      <c r="P95" s="25">
        <f>SUMIFS(df_ajustes_conciliaco!D:D,df_ajustes_conciliaco!C:C,Conciliacao!A95)</f>
        <v/>
      </c>
      <c r="Q95" s="22">
        <f>O95+I95-P95</f>
        <v/>
      </c>
      <c r="BE95" s="20" t="n">
        <v>45751.5</v>
      </c>
      <c r="BF95" s="20" t="n">
        <v>45751.125</v>
      </c>
      <c r="BG95" s="20" t="n">
        <v>45751.54166666666</v>
      </c>
      <c r="BH95" s="20" t="n">
        <v>45751.625</v>
      </c>
    </row>
    <row r="96">
      <c r="A96" s="5">
        <f>A95+1</f>
        <v/>
      </c>
      <c r="B96" s="3">
        <f>-SUMIFS(df_extrato_zig!G:G,df_extrato_zig!E:E,Conciliacao!A96,df_extrato_zig!D:D,"Saque")-SUMIFS(df_extrato_zig!G:G,df_extrato_zig!E:E,Conciliacao!A96,df_extrato_zig!D:D,"Antecipação")</f>
        <v/>
      </c>
      <c r="C96" s="3">
        <f>SUMIFS(df_extrato_zig!E:E,df_extrato_zig!L:L,Conciliacao!A96,df_extrato_zig!F:F,"DINHEIRO")</f>
        <v/>
      </c>
      <c r="D96" s="3">
        <f>SUMIFS(view_parc_agrup!H:H,view_parc_agrup!G:G,Conciliacao!A96)</f>
        <v/>
      </c>
      <c r="E96" s="3">
        <f>SUMIFS(df_eventos!F:F,df_eventos!H:H,Conciliacao!A96)</f>
        <v/>
      </c>
      <c r="F96" s="3">
        <f>SUMIFS(df_mutuos!M:M,df_mutuos!B:B,Conciliacao!A96)</f>
        <v/>
      </c>
      <c r="G96" s="6">
        <f>SUMIFS(df_bloqueios_judiciais!G:G,df_bloqueios_judiciais!D:D,Conciliacao!A96,df_bloqueios_judiciais!G:G,"&gt;0")</f>
        <v/>
      </c>
      <c r="H96" s="7">
        <f>SUMIFS(df_extratos!I:I,df_extratos!F:F,Conciliacao!BE96,df_extratos!G:G,"CREDITO")+SUMIFS(df_extratos!I:I,df_extratos!F:F,Conciliacao!A96,df_extratos!G:G,"CREDITO")+SUMIFS(df_extratos!I:I,df_extratos!F:F,Conciliacao!BF96,df_extratos!G:G,"CREDITO")+SUMIFS(df_extratos!I:I,df_extratos!F:F,Conciliacao!BG96,df_extratos!G:G,"CREDITO")+SUMIFS(df_extratos!I:I,df_extratos!F:F,Conciliacao!BH96,df_extratos!G:G,"CREDITO")</f>
        <v/>
      </c>
      <c r="I96" s="9">
        <f>H96-SUM(B96:G96)</f>
        <v/>
      </c>
      <c r="J96" s="4">
        <f>SUMIFS(df_blueme_sem_parcelamento!E:E,df_blueme_sem_parcelamento!H:H,Conciliacao!A96)*(-1)</f>
        <v/>
      </c>
      <c r="K96" s="4">
        <f>SUMIFS(df_blueme_com_parcelamento!J:J,df_blueme_com_parcelamento!M:M,Conciliacao!A96)*(-1)</f>
        <v/>
      </c>
      <c r="L96" s="4">
        <f>SUMIFS(df_mutuos!N:N,df_mutuos!B:B,Conciliacao!A96)*(-1)</f>
        <v/>
      </c>
      <c r="M96" s="8">
        <f>SUMIFS(df_bloqueios_judiciais!G:G,df_bloqueios_judiciais!D:D,Conciliacao!A96,df_bloqueios_judiciais!G:G,"&lt;0")</f>
        <v/>
      </c>
      <c r="N96" s="10">
        <f>SUMIFS(df_extratos!I:I,df_extratos!F:F,Conciliacao!BE96,df_extratos!G:G,"DEBITO")+SUMIFS(df_extratos!I:I,df_extratos!F:F,Conciliacao!A96,df_extratos!G:G,"DEBITO")+SUMIFS(df_extratos!I:I,df_extratos!F:F,Conciliacao!BF96,df_extratos!G:G,"DEBITO")+SUMIFS(df_extratos!I:I,df_extratos!F:F,Conciliacao!BG96,df_extratos!G:G,"DEBITO")+SUMIFS(df_extratos!I:I,df_extratos!F:F,Conciliacao!BH96,df_extratos!G:G,"DEBITO")</f>
        <v/>
      </c>
      <c r="O96" s="11">
        <f>N96-SUM(J96:M96)</f>
        <v/>
      </c>
      <c r="P96" s="25">
        <f>SUMIFS(df_ajustes_conciliaco!D:D,df_ajustes_conciliaco!C:C,Conciliacao!A96)</f>
        <v/>
      </c>
      <c r="Q96" s="22">
        <f>O96+I96-P96</f>
        <v/>
      </c>
      <c r="BE96" s="20" t="n">
        <v>45752.5</v>
      </c>
      <c r="BF96" s="20" t="n">
        <v>45752.125</v>
      </c>
      <c r="BG96" s="20" t="n">
        <v>45752.54166666666</v>
      </c>
      <c r="BH96" s="20" t="n">
        <v>45752.625</v>
      </c>
    </row>
    <row r="97">
      <c r="A97" s="5">
        <f>A96+1</f>
        <v/>
      </c>
      <c r="B97" s="3">
        <f>-SUMIFS(df_extrato_zig!G:G,df_extrato_zig!E:E,Conciliacao!A97,df_extrato_zig!D:D,"Saque")-SUMIFS(df_extrato_zig!G:G,df_extrato_zig!E:E,Conciliacao!A97,df_extrato_zig!D:D,"Antecipação")</f>
        <v/>
      </c>
      <c r="C97" s="3">
        <f>SUMIFS(df_extrato_zig!E:E,df_extrato_zig!L:L,Conciliacao!A97,df_extrato_zig!F:F,"DINHEIRO")</f>
        <v/>
      </c>
      <c r="D97" s="3">
        <f>SUMIFS(view_parc_agrup!H:H,view_parc_agrup!G:G,Conciliacao!A97)</f>
        <v/>
      </c>
      <c r="E97" s="3">
        <f>SUMIFS(df_eventos!F:F,df_eventos!H:H,Conciliacao!A97)</f>
        <v/>
      </c>
      <c r="F97" s="3">
        <f>SUMIFS(df_mutuos!M:M,df_mutuos!B:B,Conciliacao!A97)</f>
        <v/>
      </c>
      <c r="G97" s="6">
        <f>SUMIFS(df_bloqueios_judiciais!G:G,df_bloqueios_judiciais!D:D,Conciliacao!A97,df_bloqueios_judiciais!G:G,"&gt;0")</f>
        <v/>
      </c>
      <c r="H97" s="7">
        <f>SUMIFS(df_extratos!I:I,df_extratos!F:F,Conciliacao!BE97,df_extratos!G:G,"CREDITO")+SUMIFS(df_extratos!I:I,df_extratos!F:F,Conciliacao!A97,df_extratos!G:G,"CREDITO")+SUMIFS(df_extratos!I:I,df_extratos!F:F,Conciliacao!BF97,df_extratos!G:G,"CREDITO")+SUMIFS(df_extratos!I:I,df_extratos!F:F,Conciliacao!BG97,df_extratos!G:G,"CREDITO")+SUMIFS(df_extratos!I:I,df_extratos!F:F,Conciliacao!BH97,df_extratos!G:G,"CREDITO")</f>
        <v/>
      </c>
      <c r="I97" s="9">
        <f>H97-SUM(B97:G97)</f>
        <v/>
      </c>
      <c r="J97" s="4">
        <f>SUMIFS(df_blueme_sem_parcelamento!E:E,df_blueme_sem_parcelamento!H:H,Conciliacao!A97)*(-1)</f>
        <v/>
      </c>
      <c r="K97" s="4">
        <f>SUMIFS(df_blueme_com_parcelamento!J:J,df_blueme_com_parcelamento!M:M,Conciliacao!A97)*(-1)</f>
        <v/>
      </c>
      <c r="L97" s="4">
        <f>SUMIFS(df_mutuos!N:N,df_mutuos!B:B,Conciliacao!A97)*(-1)</f>
        <v/>
      </c>
      <c r="M97" s="8">
        <f>SUMIFS(df_bloqueios_judiciais!G:G,df_bloqueios_judiciais!D:D,Conciliacao!A97,df_bloqueios_judiciais!G:G,"&lt;0")</f>
        <v/>
      </c>
      <c r="N97" s="10">
        <f>SUMIFS(df_extratos!I:I,df_extratos!F:F,Conciliacao!BE97,df_extratos!G:G,"DEBITO")+SUMIFS(df_extratos!I:I,df_extratos!F:F,Conciliacao!A97,df_extratos!G:G,"DEBITO")+SUMIFS(df_extratos!I:I,df_extratos!F:F,Conciliacao!BF97,df_extratos!G:G,"DEBITO")+SUMIFS(df_extratos!I:I,df_extratos!F:F,Conciliacao!BG97,df_extratos!G:G,"DEBITO")+SUMIFS(df_extratos!I:I,df_extratos!F:F,Conciliacao!BH97,df_extratos!G:G,"DEBITO")</f>
        <v/>
      </c>
      <c r="O97" s="11">
        <f>N97-SUM(J97:M97)</f>
        <v/>
      </c>
      <c r="P97" s="25">
        <f>SUMIFS(df_ajustes_conciliaco!D:D,df_ajustes_conciliaco!C:C,Conciliacao!A97)</f>
        <v/>
      </c>
      <c r="Q97" s="22">
        <f>O97+I97-P97</f>
        <v/>
      </c>
      <c r="BE97" s="20" t="n">
        <v>45753.5</v>
      </c>
      <c r="BF97" s="20" t="n">
        <v>45753.125</v>
      </c>
      <c r="BG97" s="20" t="n">
        <v>45753.54166666666</v>
      </c>
      <c r="BH97" s="20" t="n">
        <v>45753.625</v>
      </c>
    </row>
    <row r="98">
      <c r="A98" s="5">
        <f>A97+1</f>
        <v/>
      </c>
      <c r="B98" s="3">
        <f>-SUMIFS(df_extrato_zig!G:G,df_extrato_zig!E:E,Conciliacao!A98,df_extrato_zig!D:D,"Saque")-SUMIFS(df_extrato_zig!G:G,df_extrato_zig!E:E,Conciliacao!A98,df_extrato_zig!D:D,"Antecipação")</f>
        <v/>
      </c>
      <c r="C98" s="3">
        <f>SUMIFS(df_extrato_zig!E:E,df_extrato_zig!L:L,Conciliacao!A98,df_extrato_zig!F:F,"DINHEIRO")</f>
        <v/>
      </c>
      <c r="D98" s="3">
        <f>SUMIFS(view_parc_agrup!H:H,view_parc_agrup!G:G,Conciliacao!A98)</f>
        <v/>
      </c>
      <c r="E98" s="3">
        <f>SUMIFS(df_eventos!F:F,df_eventos!H:H,Conciliacao!A98)</f>
        <v/>
      </c>
      <c r="F98" s="3">
        <f>SUMIFS(df_mutuos!M:M,df_mutuos!B:B,Conciliacao!A98)</f>
        <v/>
      </c>
      <c r="G98" s="6">
        <f>SUMIFS(df_bloqueios_judiciais!G:G,df_bloqueios_judiciais!D:D,Conciliacao!A98,df_bloqueios_judiciais!G:G,"&gt;0")</f>
        <v/>
      </c>
      <c r="H98" s="7">
        <f>SUMIFS(df_extratos!I:I,df_extratos!F:F,Conciliacao!BE98,df_extratos!G:G,"CREDITO")+SUMIFS(df_extratos!I:I,df_extratos!F:F,Conciliacao!A98,df_extratos!G:G,"CREDITO")+SUMIFS(df_extratos!I:I,df_extratos!F:F,Conciliacao!BF98,df_extratos!G:G,"CREDITO")+SUMIFS(df_extratos!I:I,df_extratos!F:F,Conciliacao!BG98,df_extratos!G:G,"CREDITO")+SUMIFS(df_extratos!I:I,df_extratos!F:F,Conciliacao!BH98,df_extratos!G:G,"CREDITO")</f>
        <v/>
      </c>
      <c r="I98" s="9">
        <f>H98-SUM(B98:G98)</f>
        <v/>
      </c>
      <c r="J98" s="4">
        <f>SUMIFS(df_blueme_sem_parcelamento!E:E,df_blueme_sem_parcelamento!H:H,Conciliacao!A98)*(-1)</f>
        <v/>
      </c>
      <c r="K98" s="4">
        <f>SUMIFS(df_blueme_com_parcelamento!J:J,df_blueme_com_parcelamento!M:M,Conciliacao!A98)*(-1)</f>
        <v/>
      </c>
      <c r="L98" s="4">
        <f>SUMIFS(df_mutuos!N:N,df_mutuos!B:B,Conciliacao!A98)*(-1)</f>
        <v/>
      </c>
      <c r="M98" s="8">
        <f>SUMIFS(df_bloqueios_judiciais!G:G,df_bloqueios_judiciais!D:D,Conciliacao!A98,df_bloqueios_judiciais!G:G,"&lt;0")</f>
        <v/>
      </c>
      <c r="N98" s="10">
        <f>SUMIFS(df_extratos!I:I,df_extratos!F:F,Conciliacao!BE98,df_extratos!G:G,"DEBITO")+SUMIFS(df_extratos!I:I,df_extratos!F:F,Conciliacao!A98,df_extratos!G:G,"DEBITO")+SUMIFS(df_extratos!I:I,df_extratos!F:F,Conciliacao!BF98,df_extratos!G:G,"DEBITO")+SUMIFS(df_extratos!I:I,df_extratos!F:F,Conciliacao!BG98,df_extratos!G:G,"DEBITO")+SUMIFS(df_extratos!I:I,df_extratos!F:F,Conciliacao!BH98,df_extratos!G:G,"DEBITO")</f>
        <v/>
      </c>
      <c r="O98" s="11">
        <f>N98-SUM(J98:M98)</f>
        <v/>
      </c>
      <c r="P98" s="25">
        <f>SUMIFS(df_ajustes_conciliaco!D:D,df_ajustes_conciliaco!C:C,Conciliacao!A98)</f>
        <v/>
      </c>
      <c r="Q98" s="22">
        <f>O98+I98-P98</f>
        <v/>
      </c>
      <c r="BE98" s="20" t="n">
        <v>45754.5</v>
      </c>
      <c r="BF98" s="20" t="n">
        <v>45754.125</v>
      </c>
      <c r="BG98" s="20" t="n">
        <v>45754.54166666666</v>
      </c>
      <c r="BH98" s="20" t="n">
        <v>45754.625</v>
      </c>
    </row>
    <row r="99">
      <c r="A99" s="5">
        <f>A98+1</f>
        <v/>
      </c>
      <c r="B99" s="3">
        <f>-SUMIFS(df_extrato_zig!G:G,df_extrato_zig!E:E,Conciliacao!A99,df_extrato_zig!D:D,"Saque")-SUMIFS(df_extrato_zig!G:G,df_extrato_zig!E:E,Conciliacao!A99,df_extrato_zig!D:D,"Antecipação")</f>
        <v/>
      </c>
      <c r="C99" s="3">
        <f>SUMIFS(df_extrato_zig!E:E,df_extrato_zig!L:L,Conciliacao!A99,df_extrato_zig!F:F,"DINHEIRO")</f>
        <v/>
      </c>
      <c r="D99" s="3">
        <f>SUMIFS(view_parc_agrup!H:H,view_parc_agrup!G:G,Conciliacao!A99)</f>
        <v/>
      </c>
      <c r="E99" s="3">
        <f>SUMIFS(df_eventos!F:F,df_eventos!H:H,Conciliacao!A99)</f>
        <v/>
      </c>
      <c r="F99" s="3">
        <f>SUMIFS(df_mutuos!M:M,df_mutuos!B:B,Conciliacao!A99)</f>
        <v/>
      </c>
      <c r="G99" s="6">
        <f>SUMIFS(df_bloqueios_judiciais!G:G,df_bloqueios_judiciais!D:D,Conciliacao!A99,df_bloqueios_judiciais!G:G,"&gt;0")</f>
        <v/>
      </c>
      <c r="H99" s="7">
        <f>SUMIFS(df_extratos!I:I,df_extratos!F:F,Conciliacao!BE99,df_extratos!G:G,"CREDITO")+SUMIFS(df_extratos!I:I,df_extratos!F:F,Conciliacao!A99,df_extratos!G:G,"CREDITO")+SUMIFS(df_extratos!I:I,df_extratos!F:F,Conciliacao!BF99,df_extratos!G:G,"CREDITO")+SUMIFS(df_extratos!I:I,df_extratos!F:F,Conciliacao!BG99,df_extratos!G:G,"CREDITO")+SUMIFS(df_extratos!I:I,df_extratos!F:F,Conciliacao!BH99,df_extratos!G:G,"CREDITO")</f>
        <v/>
      </c>
      <c r="I99" s="9">
        <f>H99-SUM(B99:G99)</f>
        <v/>
      </c>
      <c r="J99" s="4">
        <f>SUMIFS(df_blueme_sem_parcelamento!E:E,df_blueme_sem_parcelamento!H:H,Conciliacao!A99)*(-1)</f>
        <v/>
      </c>
      <c r="K99" s="4">
        <f>SUMIFS(df_blueme_com_parcelamento!J:J,df_blueme_com_parcelamento!M:M,Conciliacao!A99)*(-1)</f>
        <v/>
      </c>
      <c r="L99" s="4">
        <f>SUMIFS(df_mutuos!N:N,df_mutuos!B:B,Conciliacao!A99)*(-1)</f>
        <v/>
      </c>
      <c r="M99" s="8">
        <f>SUMIFS(df_bloqueios_judiciais!G:G,df_bloqueios_judiciais!D:D,Conciliacao!A99,df_bloqueios_judiciais!G:G,"&lt;0")</f>
        <v/>
      </c>
      <c r="N99" s="10">
        <f>SUMIFS(df_extratos!I:I,df_extratos!F:F,Conciliacao!BE99,df_extratos!G:G,"DEBITO")+SUMIFS(df_extratos!I:I,df_extratos!F:F,Conciliacao!A99,df_extratos!G:G,"DEBITO")+SUMIFS(df_extratos!I:I,df_extratos!F:F,Conciliacao!BF99,df_extratos!G:G,"DEBITO")+SUMIFS(df_extratos!I:I,df_extratos!F:F,Conciliacao!BG99,df_extratos!G:G,"DEBITO")+SUMIFS(df_extratos!I:I,df_extratos!F:F,Conciliacao!BH99,df_extratos!G:G,"DEBITO")</f>
        <v/>
      </c>
      <c r="O99" s="11">
        <f>N99-SUM(J99:M99)</f>
        <v/>
      </c>
      <c r="P99" s="25">
        <f>SUMIFS(df_ajustes_conciliaco!D:D,df_ajustes_conciliaco!C:C,Conciliacao!A99)</f>
        <v/>
      </c>
      <c r="Q99" s="22">
        <f>O99+I99-P99</f>
        <v/>
      </c>
      <c r="BE99" s="20" t="n">
        <v>45755.5</v>
      </c>
      <c r="BF99" s="20" t="n">
        <v>45755.125</v>
      </c>
      <c r="BG99" s="20" t="n">
        <v>45755.54166666666</v>
      </c>
      <c r="BH99" s="20" t="n">
        <v>45755.625</v>
      </c>
    </row>
    <row r="100">
      <c r="A100" s="5">
        <f>A99+1</f>
        <v/>
      </c>
      <c r="B100" s="3">
        <f>-SUMIFS(df_extrato_zig!G:G,df_extrato_zig!E:E,Conciliacao!A100,df_extrato_zig!D:D,"Saque")-SUMIFS(df_extrato_zig!G:G,df_extrato_zig!E:E,Conciliacao!A100,df_extrato_zig!D:D,"Antecipação")</f>
        <v/>
      </c>
      <c r="C100" s="3">
        <f>SUMIFS(df_extrato_zig!E:E,df_extrato_zig!L:L,Conciliacao!A100,df_extrato_zig!F:F,"DINHEIRO")</f>
        <v/>
      </c>
      <c r="D100" s="3">
        <f>SUMIFS(view_parc_agrup!H:H,view_parc_agrup!G:G,Conciliacao!A100)</f>
        <v/>
      </c>
      <c r="E100" s="3">
        <f>SUMIFS(df_eventos!F:F,df_eventos!H:H,Conciliacao!A100)</f>
        <v/>
      </c>
      <c r="F100" s="3">
        <f>SUMIFS(df_mutuos!M:M,df_mutuos!B:B,Conciliacao!A100)</f>
        <v/>
      </c>
      <c r="G100" s="6">
        <f>SUMIFS(df_bloqueios_judiciais!G:G,df_bloqueios_judiciais!D:D,Conciliacao!A100,df_bloqueios_judiciais!G:G,"&gt;0")</f>
        <v/>
      </c>
      <c r="H100" s="7">
        <f>SUMIFS(df_extratos!I:I,df_extratos!F:F,Conciliacao!BE100,df_extratos!G:G,"CREDITO")+SUMIFS(df_extratos!I:I,df_extratos!F:F,Conciliacao!A100,df_extratos!G:G,"CREDITO")+SUMIFS(df_extratos!I:I,df_extratos!F:F,Conciliacao!BF100,df_extratos!G:G,"CREDITO")+SUMIFS(df_extratos!I:I,df_extratos!F:F,Conciliacao!BG100,df_extratos!G:G,"CREDITO")+SUMIFS(df_extratos!I:I,df_extratos!F:F,Conciliacao!BH100,df_extratos!G:G,"CREDITO")</f>
        <v/>
      </c>
      <c r="I100" s="9">
        <f>H100-SUM(B100:G100)</f>
        <v/>
      </c>
      <c r="J100" s="4">
        <f>SUMIFS(df_blueme_sem_parcelamento!E:E,df_blueme_sem_parcelamento!H:H,Conciliacao!A100)*(-1)</f>
        <v/>
      </c>
      <c r="K100" s="4">
        <f>SUMIFS(df_blueme_com_parcelamento!J:J,df_blueme_com_parcelamento!M:M,Conciliacao!A100)*(-1)</f>
        <v/>
      </c>
      <c r="L100" s="4">
        <f>SUMIFS(df_mutuos!N:N,df_mutuos!B:B,Conciliacao!A100)*(-1)</f>
        <v/>
      </c>
      <c r="M100" s="8">
        <f>SUMIFS(df_bloqueios_judiciais!G:G,df_bloqueios_judiciais!D:D,Conciliacao!A100,df_bloqueios_judiciais!G:G,"&lt;0")</f>
        <v/>
      </c>
      <c r="N100" s="10">
        <f>SUMIFS(df_extratos!I:I,df_extratos!F:F,Conciliacao!BE100,df_extratos!G:G,"DEBITO")+SUMIFS(df_extratos!I:I,df_extratos!F:F,Conciliacao!A100,df_extratos!G:G,"DEBITO")+SUMIFS(df_extratos!I:I,df_extratos!F:F,Conciliacao!BF100,df_extratos!G:G,"DEBITO")+SUMIFS(df_extratos!I:I,df_extratos!F:F,Conciliacao!BG100,df_extratos!G:G,"DEBITO")+SUMIFS(df_extratos!I:I,df_extratos!F:F,Conciliacao!BH100,df_extratos!G:G,"DEBITO")</f>
        <v/>
      </c>
      <c r="O100" s="11">
        <f>N100-SUM(J100:M100)</f>
        <v/>
      </c>
      <c r="P100" s="25">
        <f>SUMIFS(df_ajustes_conciliaco!D:D,df_ajustes_conciliaco!C:C,Conciliacao!A100)</f>
        <v/>
      </c>
      <c r="Q100" s="22">
        <f>O100+I100-P100</f>
        <v/>
      </c>
      <c r="BE100" s="20" t="n">
        <v>45756.5</v>
      </c>
      <c r="BF100" s="20" t="n">
        <v>45756.125</v>
      </c>
      <c r="BG100" s="20" t="n">
        <v>45756.54166666666</v>
      </c>
      <c r="BH100" s="20" t="n">
        <v>45756.625</v>
      </c>
    </row>
    <row r="101">
      <c r="A101" s="5">
        <f>A100+1</f>
        <v/>
      </c>
      <c r="B101" s="3">
        <f>-SUMIFS(df_extrato_zig!G:G,df_extrato_zig!E:E,Conciliacao!A101,df_extrato_zig!D:D,"Saque")-SUMIFS(df_extrato_zig!G:G,df_extrato_zig!E:E,Conciliacao!A101,df_extrato_zig!D:D,"Antecipação")</f>
        <v/>
      </c>
      <c r="C101" s="3">
        <f>SUMIFS(df_extrato_zig!E:E,df_extrato_zig!L:L,Conciliacao!A101,df_extrato_zig!F:F,"DINHEIRO")</f>
        <v/>
      </c>
      <c r="D101" s="3">
        <f>SUMIFS(view_parc_agrup!H:H,view_parc_agrup!G:G,Conciliacao!A101)</f>
        <v/>
      </c>
      <c r="E101" s="3">
        <f>SUMIFS(df_eventos!F:F,df_eventos!H:H,Conciliacao!A101)</f>
        <v/>
      </c>
      <c r="F101" s="3">
        <f>SUMIFS(df_mutuos!M:M,df_mutuos!B:B,Conciliacao!A101)</f>
        <v/>
      </c>
      <c r="G101" s="6">
        <f>SUMIFS(df_bloqueios_judiciais!G:G,df_bloqueios_judiciais!D:D,Conciliacao!A101,df_bloqueios_judiciais!G:G,"&gt;0")</f>
        <v/>
      </c>
      <c r="H101" s="7">
        <f>SUMIFS(df_extratos!I:I,df_extratos!F:F,Conciliacao!BE101,df_extratos!G:G,"CREDITO")+SUMIFS(df_extratos!I:I,df_extratos!F:F,Conciliacao!A101,df_extratos!G:G,"CREDITO")+SUMIFS(df_extratos!I:I,df_extratos!F:F,Conciliacao!BF101,df_extratos!G:G,"CREDITO")+SUMIFS(df_extratos!I:I,df_extratos!F:F,Conciliacao!BG101,df_extratos!G:G,"CREDITO")+SUMIFS(df_extratos!I:I,df_extratos!F:F,Conciliacao!BH101,df_extratos!G:G,"CREDITO")</f>
        <v/>
      </c>
      <c r="I101" s="9">
        <f>H101-SUM(B101:G101)</f>
        <v/>
      </c>
      <c r="J101" s="4">
        <f>SUMIFS(df_blueme_sem_parcelamento!E:E,df_blueme_sem_parcelamento!H:H,Conciliacao!A101)*(-1)</f>
        <v/>
      </c>
      <c r="K101" s="4">
        <f>SUMIFS(df_blueme_com_parcelamento!J:J,df_blueme_com_parcelamento!M:M,Conciliacao!A101)*(-1)</f>
        <v/>
      </c>
      <c r="L101" s="4">
        <f>SUMIFS(df_mutuos!N:N,df_mutuos!B:B,Conciliacao!A101)*(-1)</f>
        <v/>
      </c>
      <c r="M101" s="8">
        <f>SUMIFS(df_bloqueios_judiciais!G:G,df_bloqueios_judiciais!D:D,Conciliacao!A101,df_bloqueios_judiciais!G:G,"&lt;0")</f>
        <v/>
      </c>
      <c r="N101" s="10">
        <f>SUMIFS(df_extratos!I:I,df_extratos!F:F,Conciliacao!BE101,df_extratos!G:G,"DEBITO")+SUMIFS(df_extratos!I:I,df_extratos!F:F,Conciliacao!A101,df_extratos!G:G,"DEBITO")+SUMIFS(df_extratos!I:I,df_extratos!F:F,Conciliacao!BF101,df_extratos!G:G,"DEBITO")+SUMIFS(df_extratos!I:I,df_extratos!F:F,Conciliacao!BG101,df_extratos!G:G,"DEBITO")+SUMIFS(df_extratos!I:I,df_extratos!F:F,Conciliacao!BH101,df_extratos!G:G,"DEBITO")</f>
        <v/>
      </c>
      <c r="O101" s="11">
        <f>N101-SUM(J101:M101)</f>
        <v/>
      </c>
      <c r="P101" s="25">
        <f>SUMIFS(df_ajustes_conciliaco!D:D,df_ajustes_conciliaco!C:C,Conciliacao!A101)</f>
        <v/>
      </c>
      <c r="Q101" s="22">
        <f>O101+I101-P101</f>
        <v/>
      </c>
      <c r="BE101" s="20" t="n">
        <v>45757.5</v>
      </c>
      <c r="BF101" s="20" t="n">
        <v>45757.125</v>
      </c>
      <c r="BG101" s="20" t="n">
        <v>45757.54166666666</v>
      </c>
      <c r="BH101" s="20" t="n">
        <v>45757.625</v>
      </c>
    </row>
    <row r="102">
      <c r="A102" s="5">
        <f>A101+1</f>
        <v/>
      </c>
      <c r="B102" s="3">
        <f>-SUMIFS(df_extrato_zig!G:G,df_extrato_zig!E:E,Conciliacao!A102,df_extrato_zig!D:D,"Saque")-SUMIFS(df_extrato_zig!G:G,df_extrato_zig!E:E,Conciliacao!A102,df_extrato_zig!D:D,"Antecipação")</f>
        <v/>
      </c>
      <c r="C102" s="3">
        <f>SUMIFS(df_extrato_zig!E:E,df_extrato_zig!L:L,Conciliacao!A102,df_extrato_zig!F:F,"DINHEIRO")</f>
        <v/>
      </c>
      <c r="D102" s="3">
        <f>SUMIFS(view_parc_agrup!H:H,view_parc_agrup!G:G,Conciliacao!A102)</f>
        <v/>
      </c>
      <c r="E102" s="3">
        <f>SUMIFS(df_eventos!F:F,df_eventos!H:H,Conciliacao!A102)</f>
        <v/>
      </c>
      <c r="F102" s="3">
        <f>SUMIFS(df_mutuos!M:M,df_mutuos!B:B,Conciliacao!A102)</f>
        <v/>
      </c>
      <c r="G102" s="6">
        <f>SUMIFS(df_bloqueios_judiciais!G:G,df_bloqueios_judiciais!D:D,Conciliacao!A102,df_bloqueios_judiciais!G:G,"&gt;0")</f>
        <v/>
      </c>
      <c r="H102" s="7">
        <f>SUMIFS(df_extratos!I:I,df_extratos!F:F,Conciliacao!BE102,df_extratos!G:G,"CREDITO")+SUMIFS(df_extratos!I:I,df_extratos!F:F,Conciliacao!A102,df_extratos!G:G,"CREDITO")+SUMIFS(df_extratos!I:I,df_extratos!F:F,Conciliacao!BF102,df_extratos!G:G,"CREDITO")+SUMIFS(df_extratos!I:I,df_extratos!F:F,Conciliacao!BG102,df_extratos!G:G,"CREDITO")+SUMIFS(df_extratos!I:I,df_extratos!F:F,Conciliacao!BH102,df_extratos!G:G,"CREDITO")</f>
        <v/>
      </c>
      <c r="I102" s="9">
        <f>H102-SUM(B102:G102)</f>
        <v/>
      </c>
      <c r="J102" s="4">
        <f>SUMIFS(df_blueme_sem_parcelamento!E:E,df_blueme_sem_parcelamento!H:H,Conciliacao!A102)*(-1)</f>
        <v/>
      </c>
      <c r="K102" s="4">
        <f>SUMIFS(df_blueme_com_parcelamento!J:J,df_blueme_com_parcelamento!M:M,Conciliacao!A102)*(-1)</f>
        <v/>
      </c>
      <c r="L102" s="4">
        <f>SUMIFS(df_mutuos!N:N,df_mutuos!B:B,Conciliacao!A102)*(-1)</f>
        <v/>
      </c>
      <c r="M102" s="8">
        <f>SUMIFS(df_bloqueios_judiciais!G:G,df_bloqueios_judiciais!D:D,Conciliacao!A102,df_bloqueios_judiciais!G:G,"&lt;0")</f>
        <v/>
      </c>
      <c r="N102" s="10">
        <f>SUMIFS(df_extratos!I:I,df_extratos!F:F,Conciliacao!BE102,df_extratos!G:G,"DEBITO")+SUMIFS(df_extratos!I:I,df_extratos!F:F,Conciliacao!A102,df_extratos!G:G,"DEBITO")+SUMIFS(df_extratos!I:I,df_extratos!F:F,Conciliacao!BF102,df_extratos!G:G,"DEBITO")+SUMIFS(df_extratos!I:I,df_extratos!F:F,Conciliacao!BG102,df_extratos!G:G,"DEBITO")+SUMIFS(df_extratos!I:I,df_extratos!F:F,Conciliacao!BH102,df_extratos!G:G,"DEBITO")</f>
        <v/>
      </c>
      <c r="O102" s="11">
        <f>N102-SUM(J102:M102)</f>
        <v/>
      </c>
      <c r="P102" s="25">
        <f>SUMIFS(df_ajustes_conciliaco!D:D,df_ajustes_conciliaco!C:C,Conciliacao!A102)</f>
        <v/>
      </c>
      <c r="Q102" s="22">
        <f>O102+I102-P102</f>
        <v/>
      </c>
      <c r="BE102" s="20" t="n">
        <v>45758.5</v>
      </c>
      <c r="BF102" s="20" t="n">
        <v>45758.125</v>
      </c>
      <c r="BG102" s="20" t="n">
        <v>45758.54166666666</v>
      </c>
      <c r="BH102" s="20" t="n">
        <v>45758.625</v>
      </c>
    </row>
    <row r="103">
      <c r="A103" s="5">
        <f>A102+1</f>
        <v/>
      </c>
      <c r="B103" s="3">
        <f>-SUMIFS(df_extrato_zig!G:G,df_extrato_zig!E:E,Conciliacao!A103,df_extrato_zig!D:D,"Saque")-SUMIFS(df_extrato_zig!G:G,df_extrato_zig!E:E,Conciliacao!A103,df_extrato_zig!D:D,"Antecipação")</f>
        <v/>
      </c>
      <c r="C103" s="3">
        <f>SUMIFS(df_extrato_zig!E:E,df_extrato_zig!L:L,Conciliacao!A103,df_extrato_zig!F:F,"DINHEIRO")</f>
        <v/>
      </c>
      <c r="D103" s="3">
        <f>SUMIFS(view_parc_agrup!H:H,view_parc_agrup!G:G,Conciliacao!A103)</f>
        <v/>
      </c>
      <c r="E103" s="3">
        <f>SUMIFS(df_eventos!F:F,df_eventos!H:H,Conciliacao!A103)</f>
        <v/>
      </c>
      <c r="F103" s="3">
        <f>SUMIFS(df_mutuos!M:M,df_mutuos!B:B,Conciliacao!A103)</f>
        <v/>
      </c>
      <c r="G103" s="6">
        <f>SUMIFS(df_bloqueios_judiciais!G:G,df_bloqueios_judiciais!D:D,Conciliacao!A103,df_bloqueios_judiciais!G:G,"&gt;0")</f>
        <v/>
      </c>
      <c r="H103" s="7">
        <f>SUMIFS(df_extratos!I:I,df_extratos!F:F,Conciliacao!BE103,df_extratos!G:G,"CREDITO")+SUMIFS(df_extratos!I:I,df_extratos!F:F,Conciliacao!A103,df_extratos!G:G,"CREDITO")+SUMIFS(df_extratos!I:I,df_extratos!F:F,Conciliacao!BF103,df_extratos!G:G,"CREDITO")+SUMIFS(df_extratos!I:I,df_extratos!F:F,Conciliacao!BG103,df_extratos!G:G,"CREDITO")+SUMIFS(df_extratos!I:I,df_extratos!F:F,Conciliacao!BH103,df_extratos!G:G,"CREDITO")</f>
        <v/>
      </c>
      <c r="I103" s="9">
        <f>H103-SUM(B103:G103)</f>
        <v/>
      </c>
      <c r="J103" s="4">
        <f>SUMIFS(df_blueme_sem_parcelamento!E:E,df_blueme_sem_parcelamento!H:H,Conciliacao!A103)*(-1)</f>
        <v/>
      </c>
      <c r="K103" s="4">
        <f>SUMIFS(df_blueme_com_parcelamento!J:J,df_blueme_com_parcelamento!M:M,Conciliacao!A103)*(-1)</f>
        <v/>
      </c>
      <c r="L103" s="4">
        <f>SUMIFS(df_mutuos!N:N,df_mutuos!B:B,Conciliacao!A103)*(-1)</f>
        <v/>
      </c>
      <c r="M103" s="8">
        <f>SUMIFS(df_bloqueios_judiciais!G:G,df_bloqueios_judiciais!D:D,Conciliacao!A103,df_bloqueios_judiciais!G:G,"&lt;0")</f>
        <v/>
      </c>
      <c r="N103" s="10">
        <f>SUMIFS(df_extratos!I:I,df_extratos!F:F,Conciliacao!BE103,df_extratos!G:G,"DEBITO")+SUMIFS(df_extratos!I:I,df_extratos!F:F,Conciliacao!A103,df_extratos!G:G,"DEBITO")+SUMIFS(df_extratos!I:I,df_extratos!F:F,Conciliacao!BF103,df_extratos!G:G,"DEBITO")+SUMIFS(df_extratos!I:I,df_extratos!F:F,Conciliacao!BG103,df_extratos!G:G,"DEBITO")+SUMIFS(df_extratos!I:I,df_extratos!F:F,Conciliacao!BH103,df_extratos!G:G,"DEBITO")</f>
        <v/>
      </c>
      <c r="O103" s="11">
        <f>N103-SUM(J103:M103)</f>
        <v/>
      </c>
      <c r="P103" s="25">
        <f>SUMIFS(df_ajustes_conciliaco!D:D,df_ajustes_conciliaco!C:C,Conciliacao!A103)</f>
        <v/>
      </c>
      <c r="Q103" s="22">
        <f>O103+I103-P103</f>
        <v/>
      </c>
      <c r="BE103" s="20" t="n">
        <v>45759.5</v>
      </c>
      <c r="BF103" s="20" t="n">
        <v>45759.125</v>
      </c>
      <c r="BG103" s="20" t="n">
        <v>45759.54166666666</v>
      </c>
      <c r="BH103" s="20" t="n">
        <v>45759.625</v>
      </c>
    </row>
    <row r="104">
      <c r="A104" s="5">
        <f>A103+1</f>
        <v/>
      </c>
      <c r="B104" s="3">
        <f>-SUMIFS(df_extrato_zig!G:G,df_extrato_zig!E:E,Conciliacao!A104,df_extrato_zig!D:D,"Saque")-SUMIFS(df_extrato_zig!G:G,df_extrato_zig!E:E,Conciliacao!A104,df_extrato_zig!D:D,"Antecipação")</f>
        <v/>
      </c>
      <c r="C104" s="3">
        <f>SUMIFS(df_extrato_zig!E:E,df_extrato_zig!L:L,Conciliacao!A104,df_extrato_zig!F:F,"DINHEIRO")</f>
        <v/>
      </c>
      <c r="D104" s="3">
        <f>SUMIFS(view_parc_agrup!H:H,view_parc_agrup!G:G,Conciliacao!A104)</f>
        <v/>
      </c>
      <c r="E104" s="3">
        <f>SUMIFS(df_eventos!F:F,df_eventos!H:H,Conciliacao!A104)</f>
        <v/>
      </c>
      <c r="F104" s="3">
        <f>SUMIFS(df_mutuos!M:M,df_mutuos!B:B,Conciliacao!A104)</f>
        <v/>
      </c>
      <c r="G104" s="6">
        <f>SUMIFS(df_bloqueios_judiciais!G:G,df_bloqueios_judiciais!D:D,Conciliacao!A104,df_bloqueios_judiciais!G:G,"&gt;0")</f>
        <v/>
      </c>
      <c r="H104" s="7">
        <f>SUMIFS(df_extratos!I:I,df_extratos!F:F,Conciliacao!BE104,df_extratos!G:G,"CREDITO")+SUMIFS(df_extratos!I:I,df_extratos!F:F,Conciliacao!A104,df_extratos!G:G,"CREDITO")+SUMIFS(df_extratos!I:I,df_extratos!F:F,Conciliacao!BF104,df_extratos!G:G,"CREDITO")+SUMIFS(df_extratos!I:I,df_extratos!F:F,Conciliacao!BG104,df_extratos!G:G,"CREDITO")+SUMIFS(df_extratos!I:I,df_extratos!F:F,Conciliacao!BH104,df_extratos!G:G,"CREDITO")</f>
        <v/>
      </c>
      <c r="I104" s="9">
        <f>H104-SUM(B104:G104)</f>
        <v/>
      </c>
      <c r="J104" s="4">
        <f>SUMIFS(df_blueme_sem_parcelamento!E:E,df_blueme_sem_parcelamento!H:H,Conciliacao!A104)*(-1)</f>
        <v/>
      </c>
      <c r="K104" s="4">
        <f>SUMIFS(df_blueme_com_parcelamento!J:J,df_blueme_com_parcelamento!M:M,Conciliacao!A104)*(-1)</f>
        <v/>
      </c>
      <c r="L104" s="4">
        <f>SUMIFS(df_mutuos!N:N,df_mutuos!B:B,Conciliacao!A104)*(-1)</f>
        <v/>
      </c>
      <c r="M104" s="8">
        <f>SUMIFS(df_bloqueios_judiciais!G:G,df_bloqueios_judiciais!D:D,Conciliacao!A104,df_bloqueios_judiciais!G:G,"&lt;0")</f>
        <v/>
      </c>
      <c r="N104" s="10">
        <f>SUMIFS(df_extratos!I:I,df_extratos!F:F,Conciliacao!BE104,df_extratos!G:G,"DEBITO")+SUMIFS(df_extratos!I:I,df_extratos!F:F,Conciliacao!A104,df_extratos!G:G,"DEBITO")+SUMIFS(df_extratos!I:I,df_extratos!F:F,Conciliacao!BF104,df_extratos!G:G,"DEBITO")+SUMIFS(df_extratos!I:I,df_extratos!F:F,Conciliacao!BG104,df_extratos!G:G,"DEBITO")+SUMIFS(df_extratos!I:I,df_extratos!F:F,Conciliacao!BH104,df_extratos!G:G,"DEBITO")</f>
        <v/>
      </c>
      <c r="O104" s="11">
        <f>N104-SUM(J104:M104)</f>
        <v/>
      </c>
      <c r="P104" s="25">
        <f>SUMIFS(df_ajustes_conciliaco!D:D,df_ajustes_conciliaco!C:C,Conciliacao!A104)</f>
        <v/>
      </c>
      <c r="Q104" s="22">
        <f>O104+I104-P104</f>
        <v/>
      </c>
      <c r="BE104" s="20" t="n">
        <v>45760.5</v>
      </c>
      <c r="BF104" s="20" t="n">
        <v>45760.125</v>
      </c>
      <c r="BG104" s="20" t="n">
        <v>45760.54166666666</v>
      </c>
      <c r="BH104" s="20" t="n">
        <v>45760.625</v>
      </c>
    </row>
    <row r="105">
      <c r="A105" s="5">
        <f>A104+1</f>
        <v/>
      </c>
      <c r="B105" s="3">
        <f>-SUMIFS(df_extrato_zig!G:G,df_extrato_zig!E:E,Conciliacao!A105,df_extrato_zig!D:D,"Saque")-SUMIFS(df_extrato_zig!G:G,df_extrato_zig!E:E,Conciliacao!A105,df_extrato_zig!D:D,"Antecipação")</f>
        <v/>
      </c>
      <c r="C105" s="3">
        <f>SUMIFS(df_extrato_zig!E:E,df_extrato_zig!L:L,Conciliacao!A105,df_extrato_zig!F:F,"DINHEIRO")</f>
        <v/>
      </c>
      <c r="D105" s="3">
        <f>SUMIFS(view_parc_agrup!H:H,view_parc_agrup!G:G,Conciliacao!A105)</f>
        <v/>
      </c>
      <c r="E105" s="3">
        <f>SUMIFS(df_eventos!F:F,df_eventos!H:H,Conciliacao!A105)</f>
        <v/>
      </c>
      <c r="F105" s="3">
        <f>SUMIFS(df_mutuos!M:M,df_mutuos!B:B,Conciliacao!A105)</f>
        <v/>
      </c>
      <c r="G105" s="6">
        <f>SUMIFS(df_bloqueios_judiciais!G:G,df_bloqueios_judiciais!D:D,Conciliacao!A105,df_bloqueios_judiciais!G:G,"&gt;0")</f>
        <v/>
      </c>
      <c r="H105" s="7">
        <f>SUMIFS(df_extratos!I:I,df_extratos!F:F,Conciliacao!BE105,df_extratos!G:G,"CREDITO")+SUMIFS(df_extratos!I:I,df_extratos!F:F,Conciliacao!A105,df_extratos!G:G,"CREDITO")+SUMIFS(df_extratos!I:I,df_extratos!F:F,Conciliacao!BF105,df_extratos!G:G,"CREDITO")+SUMIFS(df_extratos!I:I,df_extratos!F:F,Conciliacao!BG105,df_extratos!G:G,"CREDITO")+SUMIFS(df_extratos!I:I,df_extratos!F:F,Conciliacao!BH105,df_extratos!G:G,"CREDITO")</f>
        <v/>
      </c>
      <c r="I105" s="9">
        <f>H105-SUM(B105:G105)</f>
        <v/>
      </c>
      <c r="J105" s="4">
        <f>SUMIFS(df_blueme_sem_parcelamento!E:E,df_blueme_sem_parcelamento!H:H,Conciliacao!A105)*(-1)</f>
        <v/>
      </c>
      <c r="K105" s="4">
        <f>SUMIFS(df_blueme_com_parcelamento!J:J,df_blueme_com_parcelamento!M:M,Conciliacao!A105)*(-1)</f>
        <v/>
      </c>
      <c r="L105" s="4">
        <f>SUMIFS(df_mutuos!N:N,df_mutuos!B:B,Conciliacao!A105)*(-1)</f>
        <v/>
      </c>
      <c r="M105" s="8">
        <f>SUMIFS(df_bloqueios_judiciais!G:G,df_bloqueios_judiciais!D:D,Conciliacao!A105,df_bloqueios_judiciais!G:G,"&lt;0")</f>
        <v/>
      </c>
      <c r="N105" s="10">
        <f>SUMIFS(df_extratos!I:I,df_extratos!F:F,Conciliacao!BE105,df_extratos!G:G,"DEBITO")+SUMIFS(df_extratos!I:I,df_extratos!F:F,Conciliacao!A105,df_extratos!G:G,"DEBITO")+SUMIFS(df_extratos!I:I,df_extratos!F:F,Conciliacao!BF105,df_extratos!G:G,"DEBITO")+SUMIFS(df_extratos!I:I,df_extratos!F:F,Conciliacao!BG105,df_extratos!G:G,"DEBITO")+SUMIFS(df_extratos!I:I,df_extratos!F:F,Conciliacao!BH105,df_extratos!G:G,"DEBITO")</f>
        <v/>
      </c>
      <c r="O105" s="11">
        <f>N105-SUM(J105:M105)</f>
        <v/>
      </c>
      <c r="P105" s="25">
        <f>SUMIFS(df_ajustes_conciliaco!D:D,df_ajustes_conciliaco!C:C,Conciliacao!A105)</f>
        <v/>
      </c>
      <c r="Q105" s="22">
        <f>O105+I105-P105</f>
        <v/>
      </c>
      <c r="BE105" s="20" t="n">
        <v>45761.5</v>
      </c>
      <c r="BF105" s="20" t="n">
        <v>45761.125</v>
      </c>
      <c r="BG105" s="20" t="n">
        <v>45761.54166666666</v>
      </c>
      <c r="BH105" s="20" t="n">
        <v>45761.625</v>
      </c>
    </row>
    <row r="106">
      <c r="A106" s="5">
        <f>A105+1</f>
        <v/>
      </c>
      <c r="B106" s="3">
        <f>-SUMIFS(df_extrato_zig!G:G,df_extrato_zig!E:E,Conciliacao!A106,df_extrato_zig!D:D,"Saque")-SUMIFS(df_extrato_zig!G:G,df_extrato_zig!E:E,Conciliacao!A106,df_extrato_zig!D:D,"Antecipação")</f>
        <v/>
      </c>
      <c r="C106" s="3">
        <f>SUMIFS(df_extrato_zig!E:E,df_extrato_zig!L:L,Conciliacao!A106,df_extrato_zig!F:F,"DINHEIRO")</f>
        <v/>
      </c>
      <c r="D106" s="3">
        <f>SUMIFS(view_parc_agrup!H:H,view_parc_agrup!G:G,Conciliacao!A106)</f>
        <v/>
      </c>
      <c r="E106" s="3">
        <f>SUMIFS(df_eventos!F:F,df_eventos!H:H,Conciliacao!A106)</f>
        <v/>
      </c>
      <c r="F106" s="3">
        <f>SUMIFS(df_mutuos!M:M,df_mutuos!B:B,Conciliacao!A106)</f>
        <v/>
      </c>
      <c r="G106" s="6">
        <f>SUMIFS(df_bloqueios_judiciais!G:G,df_bloqueios_judiciais!D:D,Conciliacao!A106,df_bloqueios_judiciais!G:G,"&gt;0")</f>
        <v/>
      </c>
      <c r="H106" s="7">
        <f>SUMIFS(df_extratos!I:I,df_extratos!F:F,Conciliacao!BE106,df_extratos!G:G,"CREDITO")+SUMIFS(df_extratos!I:I,df_extratos!F:F,Conciliacao!A106,df_extratos!G:G,"CREDITO")+SUMIFS(df_extratos!I:I,df_extratos!F:F,Conciliacao!BF106,df_extratos!G:G,"CREDITO")+SUMIFS(df_extratos!I:I,df_extratos!F:F,Conciliacao!BG106,df_extratos!G:G,"CREDITO")+SUMIFS(df_extratos!I:I,df_extratos!F:F,Conciliacao!BH106,df_extratos!G:G,"CREDITO")</f>
        <v/>
      </c>
      <c r="I106" s="9">
        <f>H106-SUM(B106:G106)</f>
        <v/>
      </c>
      <c r="J106" s="4">
        <f>SUMIFS(df_blueme_sem_parcelamento!E:E,df_blueme_sem_parcelamento!H:H,Conciliacao!A106)*(-1)</f>
        <v/>
      </c>
      <c r="K106" s="4">
        <f>SUMIFS(df_blueme_com_parcelamento!J:J,df_blueme_com_parcelamento!M:M,Conciliacao!A106)*(-1)</f>
        <v/>
      </c>
      <c r="L106" s="4">
        <f>SUMIFS(df_mutuos!N:N,df_mutuos!B:B,Conciliacao!A106)*(-1)</f>
        <v/>
      </c>
      <c r="M106" s="8">
        <f>SUMIFS(df_bloqueios_judiciais!G:G,df_bloqueios_judiciais!D:D,Conciliacao!A106,df_bloqueios_judiciais!G:G,"&lt;0")</f>
        <v/>
      </c>
      <c r="N106" s="10">
        <f>SUMIFS(df_extratos!I:I,df_extratos!F:F,Conciliacao!BE106,df_extratos!G:G,"DEBITO")+SUMIFS(df_extratos!I:I,df_extratos!F:F,Conciliacao!A106,df_extratos!G:G,"DEBITO")+SUMIFS(df_extratos!I:I,df_extratos!F:F,Conciliacao!BF106,df_extratos!G:G,"DEBITO")+SUMIFS(df_extratos!I:I,df_extratos!F:F,Conciliacao!BG106,df_extratos!G:G,"DEBITO")+SUMIFS(df_extratos!I:I,df_extratos!F:F,Conciliacao!BH106,df_extratos!G:G,"DEBITO")</f>
        <v/>
      </c>
      <c r="O106" s="11">
        <f>N106-SUM(J106:M106)</f>
        <v/>
      </c>
      <c r="P106" s="25">
        <f>SUMIFS(df_ajustes_conciliaco!D:D,df_ajustes_conciliaco!C:C,Conciliacao!A106)</f>
        <v/>
      </c>
      <c r="Q106" s="22">
        <f>O106+I106-P106</f>
        <v/>
      </c>
      <c r="BE106" s="20" t="n">
        <v>45762.5</v>
      </c>
      <c r="BF106" s="20" t="n">
        <v>45762.125</v>
      </c>
      <c r="BG106" s="20" t="n">
        <v>45762.54166666666</v>
      </c>
      <c r="BH106" s="20" t="n">
        <v>45762.625</v>
      </c>
    </row>
    <row r="107">
      <c r="A107" s="5">
        <f>A106+1</f>
        <v/>
      </c>
      <c r="B107" s="3">
        <f>-SUMIFS(df_extrato_zig!G:G,df_extrato_zig!E:E,Conciliacao!A107,df_extrato_zig!D:D,"Saque")-SUMIFS(df_extrato_zig!G:G,df_extrato_zig!E:E,Conciliacao!A107,df_extrato_zig!D:D,"Antecipação")</f>
        <v/>
      </c>
      <c r="C107" s="3">
        <f>SUMIFS(df_extrato_zig!E:E,df_extrato_zig!L:L,Conciliacao!A107,df_extrato_zig!F:F,"DINHEIRO")</f>
        <v/>
      </c>
      <c r="D107" s="3">
        <f>SUMIFS(view_parc_agrup!H:H,view_parc_agrup!G:G,Conciliacao!A107)</f>
        <v/>
      </c>
      <c r="E107" s="3">
        <f>SUMIFS(df_eventos!F:F,df_eventos!H:H,Conciliacao!A107)</f>
        <v/>
      </c>
      <c r="F107" s="3">
        <f>SUMIFS(df_mutuos!M:M,df_mutuos!B:B,Conciliacao!A107)</f>
        <v/>
      </c>
      <c r="G107" s="6">
        <f>SUMIFS(df_bloqueios_judiciais!G:G,df_bloqueios_judiciais!D:D,Conciliacao!A107,df_bloqueios_judiciais!G:G,"&gt;0")</f>
        <v/>
      </c>
      <c r="H107" s="7">
        <f>SUMIFS(df_extratos!I:I,df_extratos!F:F,Conciliacao!BE107,df_extratos!G:G,"CREDITO")+SUMIFS(df_extratos!I:I,df_extratos!F:F,Conciliacao!A107,df_extratos!G:G,"CREDITO")+SUMIFS(df_extratos!I:I,df_extratos!F:F,Conciliacao!BF107,df_extratos!G:G,"CREDITO")+SUMIFS(df_extratos!I:I,df_extratos!F:F,Conciliacao!BG107,df_extratos!G:G,"CREDITO")+SUMIFS(df_extratos!I:I,df_extratos!F:F,Conciliacao!BH107,df_extratos!G:G,"CREDITO")</f>
        <v/>
      </c>
      <c r="I107" s="9">
        <f>H107-SUM(B107:G107)</f>
        <v/>
      </c>
      <c r="J107" s="4">
        <f>SUMIFS(df_blueme_sem_parcelamento!E:E,df_blueme_sem_parcelamento!H:H,Conciliacao!A107)*(-1)</f>
        <v/>
      </c>
      <c r="K107" s="4">
        <f>SUMIFS(df_blueme_com_parcelamento!J:J,df_blueme_com_parcelamento!M:M,Conciliacao!A107)*(-1)</f>
        <v/>
      </c>
      <c r="L107" s="4">
        <f>SUMIFS(df_mutuos!N:N,df_mutuos!B:B,Conciliacao!A107)*(-1)</f>
        <v/>
      </c>
      <c r="M107" s="8">
        <f>SUMIFS(df_bloqueios_judiciais!G:G,df_bloqueios_judiciais!D:D,Conciliacao!A107,df_bloqueios_judiciais!G:G,"&lt;0")</f>
        <v/>
      </c>
      <c r="N107" s="10">
        <f>SUMIFS(df_extratos!I:I,df_extratos!F:F,Conciliacao!BE107,df_extratos!G:G,"DEBITO")+SUMIFS(df_extratos!I:I,df_extratos!F:F,Conciliacao!A107,df_extratos!G:G,"DEBITO")+SUMIFS(df_extratos!I:I,df_extratos!F:F,Conciliacao!BF107,df_extratos!G:G,"DEBITO")+SUMIFS(df_extratos!I:I,df_extratos!F:F,Conciliacao!BG107,df_extratos!G:G,"DEBITO")+SUMIFS(df_extratos!I:I,df_extratos!F:F,Conciliacao!BH107,df_extratos!G:G,"DEBITO")</f>
        <v/>
      </c>
      <c r="O107" s="11">
        <f>N107-SUM(J107:M107)</f>
        <v/>
      </c>
      <c r="P107" s="25">
        <f>SUMIFS(df_ajustes_conciliaco!D:D,df_ajustes_conciliaco!C:C,Conciliacao!A107)</f>
        <v/>
      </c>
      <c r="Q107" s="22">
        <f>O107+I107-P107</f>
        <v/>
      </c>
      <c r="BE107" s="20" t="n">
        <v>45763.5</v>
      </c>
      <c r="BF107" s="20" t="n">
        <v>45763.125</v>
      </c>
      <c r="BG107" s="20" t="n">
        <v>45763.54166666666</v>
      </c>
      <c r="BH107" s="20" t="n">
        <v>45763.625</v>
      </c>
    </row>
    <row r="108">
      <c r="A108" s="5">
        <f>A107+1</f>
        <v/>
      </c>
      <c r="B108" s="3">
        <f>-SUMIFS(df_extrato_zig!G:G,df_extrato_zig!E:E,Conciliacao!A108,df_extrato_zig!D:D,"Saque")-SUMIFS(df_extrato_zig!G:G,df_extrato_zig!E:E,Conciliacao!A108,df_extrato_zig!D:D,"Antecipação")</f>
        <v/>
      </c>
      <c r="C108" s="3">
        <f>SUMIFS(df_extrato_zig!E:E,df_extrato_zig!L:L,Conciliacao!A108,df_extrato_zig!F:F,"DINHEIRO")</f>
        <v/>
      </c>
      <c r="D108" s="3">
        <f>SUMIFS(view_parc_agrup!H:H,view_parc_agrup!G:G,Conciliacao!A108)</f>
        <v/>
      </c>
      <c r="E108" s="3">
        <f>SUMIFS(df_eventos!F:F,df_eventos!H:H,Conciliacao!A108)</f>
        <v/>
      </c>
      <c r="F108" s="3">
        <f>SUMIFS(df_mutuos!M:M,df_mutuos!B:B,Conciliacao!A108)</f>
        <v/>
      </c>
      <c r="G108" s="6">
        <f>SUMIFS(df_bloqueios_judiciais!G:G,df_bloqueios_judiciais!D:D,Conciliacao!A108,df_bloqueios_judiciais!G:G,"&gt;0")</f>
        <v/>
      </c>
      <c r="H108" s="7">
        <f>SUMIFS(df_extratos!I:I,df_extratos!F:F,Conciliacao!BE108,df_extratos!G:G,"CREDITO")+SUMIFS(df_extratos!I:I,df_extratos!F:F,Conciliacao!A108,df_extratos!G:G,"CREDITO")+SUMIFS(df_extratos!I:I,df_extratos!F:F,Conciliacao!BF108,df_extratos!G:G,"CREDITO")+SUMIFS(df_extratos!I:I,df_extratos!F:F,Conciliacao!BG108,df_extratos!G:G,"CREDITO")+SUMIFS(df_extratos!I:I,df_extratos!F:F,Conciliacao!BH108,df_extratos!G:G,"CREDITO")</f>
        <v/>
      </c>
      <c r="I108" s="9">
        <f>H108-SUM(B108:G108)</f>
        <v/>
      </c>
      <c r="J108" s="4">
        <f>SUMIFS(df_blueme_sem_parcelamento!E:E,df_blueme_sem_parcelamento!H:H,Conciliacao!A108)*(-1)</f>
        <v/>
      </c>
      <c r="K108" s="4">
        <f>SUMIFS(df_blueme_com_parcelamento!J:J,df_blueme_com_parcelamento!M:M,Conciliacao!A108)*(-1)</f>
        <v/>
      </c>
      <c r="L108" s="4">
        <f>SUMIFS(df_mutuos!N:N,df_mutuos!B:B,Conciliacao!A108)*(-1)</f>
        <v/>
      </c>
      <c r="M108" s="8">
        <f>SUMIFS(df_bloqueios_judiciais!G:G,df_bloqueios_judiciais!D:D,Conciliacao!A108,df_bloqueios_judiciais!G:G,"&lt;0")</f>
        <v/>
      </c>
      <c r="N108" s="10">
        <f>SUMIFS(df_extratos!I:I,df_extratos!F:F,Conciliacao!BE108,df_extratos!G:G,"DEBITO")+SUMIFS(df_extratos!I:I,df_extratos!F:F,Conciliacao!A108,df_extratos!G:G,"DEBITO")+SUMIFS(df_extratos!I:I,df_extratos!F:F,Conciliacao!BF108,df_extratos!G:G,"DEBITO")+SUMIFS(df_extratos!I:I,df_extratos!F:F,Conciliacao!BG108,df_extratos!G:G,"DEBITO")+SUMIFS(df_extratos!I:I,df_extratos!F:F,Conciliacao!BH108,df_extratos!G:G,"DEBITO")</f>
        <v/>
      </c>
      <c r="O108" s="11">
        <f>N108-SUM(J108:M108)</f>
        <v/>
      </c>
      <c r="P108" s="25">
        <f>SUMIFS(df_ajustes_conciliaco!D:D,df_ajustes_conciliaco!C:C,Conciliacao!A108)</f>
        <v/>
      </c>
      <c r="Q108" s="22">
        <f>O108+I108-P108</f>
        <v/>
      </c>
      <c r="BE108" s="20" t="n">
        <v>45764.5</v>
      </c>
      <c r="BF108" s="20" t="n">
        <v>45764.125</v>
      </c>
      <c r="BG108" s="20" t="n">
        <v>45764.54166666666</v>
      </c>
      <c r="BH108" s="20" t="n">
        <v>45764.625</v>
      </c>
    </row>
    <row r="109">
      <c r="A109" s="5">
        <f>A108+1</f>
        <v/>
      </c>
      <c r="B109" s="3">
        <f>-SUMIFS(df_extrato_zig!G:G,df_extrato_zig!E:E,Conciliacao!A109,df_extrato_zig!D:D,"Saque")-SUMIFS(df_extrato_zig!G:G,df_extrato_zig!E:E,Conciliacao!A109,df_extrato_zig!D:D,"Antecipação")</f>
        <v/>
      </c>
      <c r="C109" s="3">
        <f>SUMIFS(df_extrato_zig!E:E,df_extrato_zig!L:L,Conciliacao!A109,df_extrato_zig!F:F,"DINHEIRO")</f>
        <v/>
      </c>
      <c r="D109" s="3">
        <f>SUMIFS(view_parc_agrup!H:H,view_parc_agrup!G:G,Conciliacao!A109)</f>
        <v/>
      </c>
      <c r="E109" s="3">
        <f>SUMIFS(df_eventos!F:F,df_eventos!H:H,Conciliacao!A109)</f>
        <v/>
      </c>
      <c r="F109" s="3">
        <f>SUMIFS(df_mutuos!M:M,df_mutuos!B:B,Conciliacao!A109)</f>
        <v/>
      </c>
      <c r="G109" s="6">
        <f>SUMIFS(df_bloqueios_judiciais!G:G,df_bloqueios_judiciais!D:D,Conciliacao!A109,df_bloqueios_judiciais!G:G,"&gt;0")</f>
        <v/>
      </c>
      <c r="H109" s="7">
        <f>SUMIFS(df_extratos!I:I,df_extratos!F:F,Conciliacao!BE109,df_extratos!G:G,"CREDITO")+SUMIFS(df_extratos!I:I,df_extratos!F:F,Conciliacao!A109,df_extratos!G:G,"CREDITO")+SUMIFS(df_extratos!I:I,df_extratos!F:F,Conciliacao!BF109,df_extratos!G:G,"CREDITO")+SUMIFS(df_extratos!I:I,df_extratos!F:F,Conciliacao!BG109,df_extratos!G:G,"CREDITO")+SUMIFS(df_extratos!I:I,df_extratos!F:F,Conciliacao!BH109,df_extratos!G:G,"CREDITO")</f>
        <v/>
      </c>
      <c r="I109" s="9">
        <f>H109-SUM(B109:G109)</f>
        <v/>
      </c>
      <c r="J109" s="4">
        <f>SUMIFS(df_blueme_sem_parcelamento!E:E,df_blueme_sem_parcelamento!H:H,Conciliacao!A109)*(-1)</f>
        <v/>
      </c>
      <c r="K109" s="4">
        <f>SUMIFS(df_blueme_com_parcelamento!J:J,df_blueme_com_parcelamento!M:M,Conciliacao!A109)*(-1)</f>
        <v/>
      </c>
      <c r="L109" s="4">
        <f>SUMIFS(df_mutuos!N:N,df_mutuos!B:B,Conciliacao!A109)*(-1)</f>
        <v/>
      </c>
      <c r="M109" s="8">
        <f>SUMIFS(df_bloqueios_judiciais!G:G,df_bloqueios_judiciais!D:D,Conciliacao!A109,df_bloqueios_judiciais!G:G,"&lt;0")</f>
        <v/>
      </c>
      <c r="N109" s="10">
        <f>SUMIFS(df_extratos!I:I,df_extratos!F:F,Conciliacao!BE109,df_extratos!G:G,"DEBITO")+SUMIFS(df_extratos!I:I,df_extratos!F:F,Conciliacao!A109,df_extratos!G:G,"DEBITO")+SUMIFS(df_extratos!I:I,df_extratos!F:F,Conciliacao!BF109,df_extratos!G:G,"DEBITO")+SUMIFS(df_extratos!I:I,df_extratos!F:F,Conciliacao!BG109,df_extratos!G:G,"DEBITO")+SUMIFS(df_extratos!I:I,df_extratos!F:F,Conciliacao!BH109,df_extratos!G:G,"DEBITO")</f>
        <v/>
      </c>
      <c r="O109" s="11">
        <f>N109-SUM(J109:M109)</f>
        <v/>
      </c>
      <c r="P109" s="25">
        <f>SUMIFS(df_ajustes_conciliaco!D:D,df_ajustes_conciliaco!C:C,Conciliacao!A109)</f>
        <v/>
      </c>
      <c r="Q109" s="22">
        <f>O109+I109-P109</f>
        <v/>
      </c>
      <c r="BE109" s="20" t="n">
        <v>45765.5</v>
      </c>
      <c r="BF109" s="20" t="n">
        <v>45765.125</v>
      </c>
      <c r="BG109" s="20" t="n">
        <v>45765.54166666666</v>
      </c>
      <c r="BH109" s="20" t="n">
        <v>45765.625</v>
      </c>
    </row>
    <row r="110">
      <c r="A110" s="5">
        <f>A109+1</f>
        <v/>
      </c>
      <c r="B110" s="3">
        <f>-SUMIFS(df_extrato_zig!G:G,df_extrato_zig!E:E,Conciliacao!A110,df_extrato_zig!D:D,"Saque")-SUMIFS(df_extrato_zig!G:G,df_extrato_zig!E:E,Conciliacao!A110,df_extrato_zig!D:D,"Antecipação")</f>
        <v/>
      </c>
      <c r="C110" s="3">
        <f>SUMIFS(df_extrato_zig!E:E,df_extrato_zig!L:L,Conciliacao!A110,df_extrato_zig!F:F,"DINHEIRO")</f>
        <v/>
      </c>
      <c r="D110" s="3">
        <f>SUMIFS(view_parc_agrup!H:H,view_parc_agrup!G:G,Conciliacao!A110)</f>
        <v/>
      </c>
      <c r="E110" s="3">
        <f>SUMIFS(df_eventos!F:F,df_eventos!H:H,Conciliacao!A110)</f>
        <v/>
      </c>
      <c r="F110" s="3">
        <f>SUMIFS(df_mutuos!M:M,df_mutuos!B:B,Conciliacao!A110)</f>
        <v/>
      </c>
      <c r="G110" s="6">
        <f>SUMIFS(df_bloqueios_judiciais!G:G,df_bloqueios_judiciais!D:D,Conciliacao!A110,df_bloqueios_judiciais!G:G,"&gt;0")</f>
        <v/>
      </c>
      <c r="H110" s="7">
        <f>SUMIFS(df_extratos!I:I,df_extratos!F:F,Conciliacao!BE110,df_extratos!G:G,"CREDITO")+SUMIFS(df_extratos!I:I,df_extratos!F:F,Conciliacao!A110,df_extratos!G:G,"CREDITO")+SUMIFS(df_extratos!I:I,df_extratos!F:F,Conciliacao!BF110,df_extratos!G:G,"CREDITO")+SUMIFS(df_extratos!I:I,df_extratos!F:F,Conciliacao!BG110,df_extratos!G:G,"CREDITO")+SUMIFS(df_extratos!I:I,df_extratos!F:F,Conciliacao!BH110,df_extratos!G:G,"CREDITO")</f>
        <v/>
      </c>
      <c r="I110" s="9">
        <f>H110-SUM(B110:G110)</f>
        <v/>
      </c>
      <c r="J110" s="4">
        <f>SUMIFS(df_blueme_sem_parcelamento!E:E,df_blueme_sem_parcelamento!H:H,Conciliacao!A110)*(-1)</f>
        <v/>
      </c>
      <c r="K110" s="4">
        <f>SUMIFS(df_blueme_com_parcelamento!J:J,df_blueme_com_parcelamento!M:M,Conciliacao!A110)*(-1)</f>
        <v/>
      </c>
      <c r="L110" s="4">
        <f>SUMIFS(df_mutuos!N:N,df_mutuos!B:B,Conciliacao!A110)*(-1)</f>
        <v/>
      </c>
      <c r="M110" s="8">
        <f>SUMIFS(df_bloqueios_judiciais!G:G,df_bloqueios_judiciais!D:D,Conciliacao!A110,df_bloqueios_judiciais!G:G,"&lt;0")</f>
        <v/>
      </c>
      <c r="N110" s="10">
        <f>SUMIFS(df_extratos!I:I,df_extratos!F:F,Conciliacao!BE110,df_extratos!G:G,"DEBITO")+SUMIFS(df_extratos!I:I,df_extratos!F:F,Conciliacao!A110,df_extratos!G:G,"DEBITO")+SUMIFS(df_extratos!I:I,df_extratos!F:F,Conciliacao!BF110,df_extratos!G:G,"DEBITO")+SUMIFS(df_extratos!I:I,df_extratos!F:F,Conciliacao!BG110,df_extratos!G:G,"DEBITO")+SUMIFS(df_extratos!I:I,df_extratos!F:F,Conciliacao!BH110,df_extratos!G:G,"DEBITO")</f>
        <v/>
      </c>
      <c r="O110" s="11">
        <f>N110-SUM(J110:M110)</f>
        <v/>
      </c>
      <c r="P110" s="25">
        <f>SUMIFS(df_ajustes_conciliaco!D:D,df_ajustes_conciliaco!C:C,Conciliacao!A110)</f>
        <v/>
      </c>
      <c r="Q110" s="22">
        <f>O110+I110-P110</f>
        <v/>
      </c>
      <c r="BE110" s="20" t="n">
        <v>45766.5</v>
      </c>
      <c r="BF110" s="20" t="n">
        <v>45766.125</v>
      </c>
      <c r="BG110" s="20" t="n">
        <v>45766.54166666666</v>
      </c>
      <c r="BH110" s="20" t="n">
        <v>45766.625</v>
      </c>
    </row>
    <row r="111">
      <c r="A111" s="5">
        <f>A110+1</f>
        <v/>
      </c>
      <c r="B111" s="3">
        <f>-SUMIFS(df_extrato_zig!G:G,df_extrato_zig!E:E,Conciliacao!A111,df_extrato_zig!D:D,"Saque")-SUMIFS(df_extrato_zig!G:G,df_extrato_zig!E:E,Conciliacao!A111,df_extrato_zig!D:D,"Antecipação")</f>
        <v/>
      </c>
      <c r="C111" s="3">
        <f>SUMIFS(df_extrato_zig!E:E,df_extrato_zig!L:L,Conciliacao!A111,df_extrato_zig!F:F,"DINHEIRO")</f>
        <v/>
      </c>
      <c r="D111" s="3">
        <f>SUMIFS(view_parc_agrup!H:H,view_parc_agrup!G:G,Conciliacao!A111)</f>
        <v/>
      </c>
      <c r="E111" s="3">
        <f>SUMIFS(df_eventos!F:F,df_eventos!H:H,Conciliacao!A111)</f>
        <v/>
      </c>
      <c r="F111" s="3">
        <f>SUMIFS(df_mutuos!M:M,df_mutuos!B:B,Conciliacao!A111)</f>
        <v/>
      </c>
      <c r="G111" s="6">
        <f>SUMIFS(df_bloqueios_judiciais!G:G,df_bloqueios_judiciais!D:D,Conciliacao!A111,df_bloqueios_judiciais!G:G,"&gt;0")</f>
        <v/>
      </c>
      <c r="H111" s="7">
        <f>SUMIFS(df_extratos!I:I,df_extratos!F:F,Conciliacao!BE111,df_extratos!G:G,"CREDITO")+SUMIFS(df_extratos!I:I,df_extratos!F:F,Conciliacao!A111,df_extratos!G:G,"CREDITO")+SUMIFS(df_extratos!I:I,df_extratos!F:F,Conciliacao!BF111,df_extratos!G:G,"CREDITO")+SUMIFS(df_extratos!I:I,df_extratos!F:F,Conciliacao!BG111,df_extratos!G:G,"CREDITO")+SUMIFS(df_extratos!I:I,df_extratos!F:F,Conciliacao!BH111,df_extratos!G:G,"CREDITO")</f>
        <v/>
      </c>
      <c r="I111" s="9">
        <f>H111-SUM(B111:G111)</f>
        <v/>
      </c>
      <c r="J111" s="4">
        <f>SUMIFS(df_blueme_sem_parcelamento!E:E,df_blueme_sem_parcelamento!H:H,Conciliacao!A111)*(-1)</f>
        <v/>
      </c>
      <c r="K111" s="4">
        <f>SUMIFS(df_blueme_com_parcelamento!J:J,df_blueme_com_parcelamento!M:M,Conciliacao!A111)*(-1)</f>
        <v/>
      </c>
      <c r="L111" s="4">
        <f>SUMIFS(df_mutuos!N:N,df_mutuos!B:B,Conciliacao!A111)*(-1)</f>
        <v/>
      </c>
      <c r="M111" s="8">
        <f>SUMIFS(df_bloqueios_judiciais!G:G,df_bloqueios_judiciais!D:D,Conciliacao!A111,df_bloqueios_judiciais!G:G,"&lt;0")</f>
        <v/>
      </c>
      <c r="N111" s="10">
        <f>SUMIFS(df_extratos!I:I,df_extratos!F:F,Conciliacao!BE111,df_extratos!G:G,"DEBITO")+SUMIFS(df_extratos!I:I,df_extratos!F:F,Conciliacao!A111,df_extratos!G:G,"DEBITO")+SUMIFS(df_extratos!I:I,df_extratos!F:F,Conciliacao!BF111,df_extratos!G:G,"DEBITO")+SUMIFS(df_extratos!I:I,df_extratos!F:F,Conciliacao!BG111,df_extratos!G:G,"DEBITO")+SUMIFS(df_extratos!I:I,df_extratos!F:F,Conciliacao!BH111,df_extratos!G:G,"DEBITO")</f>
        <v/>
      </c>
      <c r="O111" s="11">
        <f>N111-SUM(J111:M111)</f>
        <v/>
      </c>
      <c r="P111" s="25">
        <f>SUMIFS(df_ajustes_conciliaco!D:D,df_ajustes_conciliaco!C:C,Conciliacao!A111)</f>
        <v/>
      </c>
      <c r="Q111" s="22">
        <f>O111+I111-P111</f>
        <v/>
      </c>
      <c r="BE111" s="20" t="n">
        <v>45767.5</v>
      </c>
      <c r="BF111" s="20" t="n">
        <v>45767.125</v>
      </c>
      <c r="BG111" s="20" t="n">
        <v>45767.54166666666</v>
      </c>
      <c r="BH111" s="20" t="n">
        <v>45767.625</v>
      </c>
    </row>
    <row r="112">
      <c r="A112" s="5">
        <f>A111+1</f>
        <v/>
      </c>
      <c r="B112" s="3">
        <f>-SUMIFS(df_extrato_zig!G:G,df_extrato_zig!E:E,Conciliacao!A112,df_extrato_zig!D:D,"Saque")-SUMIFS(df_extrato_zig!G:G,df_extrato_zig!E:E,Conciliacao!A112,df_extrato_zig!D:D,"Antecipação")</f>
        <v/>
      </c>
      <c r="C112" s="3">
        <f>SUMIFS(df_extrato_zig!E:E,df_extrato_zig!L:L,Conciliacao!A112,df_extrato_zig!F:F,"DINHEIRO")</f>
        <v/>
      </c>
      <c r="D112" s="3">
        <f>SUMIFS(view_parc_agrup!H:H,view_parc_agrup!G:G,Conciliacao!A112)</f>
        <v/>
      </c>
      <c r="E112" s="3">
        <f>SUMIFS(df_eventos!F:F,df_eventos!H:H,Conciliacao!A112)</f>
        <v/>
      </c>
      <c r="F112" s="3">
        <f>SUMIFS(df_mutuos!M:M,df_mutuos!B:B,Conciliacao!A112)</f>
        <v/>
      </c>
      <c r="G112" s="6">
        <f>SUMIFS(df_bloqueios_judiciais!G:G,df_bloqueios_judiciais!D:D,Conciliacao!A112,df_bloqueios_judiciais!G:G,"&gt;0")</f>
        <v/>
      </c>
      <c r="H112" s="7">
        <f>SUMIFS(df_extratos!I:I,df_extratos!F:F,Conciliacao!BE112,df_extratos!G:G,"CREDITO")+SUMIFS(df_extratos!I:I,df_extratos!F:F,Conciliacao!A112,df_extratos!G:G,"CREDITO")+SUMIFS(df_extratos!I:I,df_extratos!F:F,Conciliacao!BF112,df_extratos!G:G,"CREDITO")+SUMIFS(df_extratos!I:I,df_extratos!F:F,Conciliacao!BG112,df_extratos!G:G,"CREDITO")+SUMIFS(df_extratos!I:I,df_extratos!F:F,Conciliacao!BH112,df_extratos!G:G,"CREDITO")</f>
        <v/>
      </c>
      <c r="I112" s="9">
        <f>H112-SUM(B112:G112)</f>
        <v/>
      </c>
      <c r="J112" s="4">
        <f>SUMIFS(df_blueme_sem_parcelamento!E:E,df_blueme_sem_parcelamento!H:H,Conciliacao!A112)*(-1)</f>
        <v/>
      </c>
      <c r="K112" s="4">
        <f>SUMIFS(df_blueme_com_parcelamento!J:J,df_blueme_com_parcelamento!M:M,Conciliacao!A112)*(-1)</f>
        <v/>
      </c>
      <c r="L112" s="4">
        <f>SUMIFS(df_mutuos!N:N,df_mutuos!B:B,Conciliacao!A112)*(-1)</f>
        <v/>
      </c>
      <c r="M112" s="8">
        <f>SUMIFS(df_bloqueios_judiciais!G:G,df_bloqueios_judiciais!D:D,Conciliacao!A112,df_bloqueios_judiciais!G:G,"&lt;0")</f>
        <v/>
      </c>
      <c r="N112" s="10">
        <f>SUMIFS(df_extratos!I:I,df_extratos!F:F,Conciliacao!BE112,df_extratos!G:G,"DEBITO")+SUMIFS(df_extratos!I:I,df_extratos!F:F,Conciliacao!A112,df_extratos!G:G,"DEBITO")+SUMIFS(df_extratos!I:I,df_extratos!F:F,Conciliacao!BF112,df_extratos!G:G,"DEBITO")+SUMIFS(df_extratos!I:I,df_extratos!F:F,Conciliacao!BG112,df_extratos!G:G,"DEBITO")+SUMIFS(df_extratos!I:I,df_extratos!F:F,Conciliacao!BH112,df_extratos!G:G,"DEBITO")</f>
        <v/>
      </c>
      <c r="O112" s="11">
        <f>N112-SUM(J112:M112)</f>
        <v/>
      </c>
      <c r="P112" s="25">
        <f>SUMIFS(df_ajustes_conciliaco!D:D,df_ajustes_conciliaco!C:C,Conciliacao!A112)</f>
        <v/>
      </c>
      <c r="Q112" s="22">
        <f>O112+I112-P112</f>
        <v/>
      </c>
      <c r="BE112" s="20" t="n">
        <v>45768.5</v>
      </c>
      <c r="BF112" s="20" t="n">
        <v>45768.125</v>
      </c>
      <c r="BG112" s="20" t="n">
        <v>45768.54166666666</v>
      </c>
      <c r="BH112" s="20" t="n">
        <v>45768.625</v>
      </c>
    </row>
    <row r="113">
      <c r="A113" s="5">
        <f>A112+1</f>
        <v/>
      </c>
      <c r="B113" s="3">
        <f>-SUMIFS(df_extrato_zig!G:G,df_extrato_zig!E:E,Conciliacao!A113,df_extrato_zig!D:D,"Saque")-SUMIFS(df_extrato_zig!G:G,df_extrato_zig!E:E,Conciliacao!A113,df_extrato_zig!D:D,"Antecipação")</f>
        <v/>
      </c>
      <c r="C113" s="3">
        <f>SUMIFS(df_extrato_zig!E:E,df_extrato_zig!L:L,Conciliacao!A113,df_extrato_zig!F:F,"DINHEIRO")</f>
        <v/>
      </c>
      <c r="D113" s="3">
        <f>SUMIFS(view_parc_agrup!H:H,view_parc_agrup!G:G,Conciliacao!A113)</f>
        <v/>
      </c>
      <c r="E113" s="3">
        <f>SUMIFS(df_eventos!F:F,df_eventos!H:H,Conciliacao!A113)</f>
        <v/>
      </c>
      <c r="F113" s="3">
        <f>SUMIFS(df_mutuos!M:M,df_mutuos!B:B,Conciliacao!A113)</f>
        <v/>
      </c>
      <c r="G113" s="6">
        <f>SUMIFS(df_bloqueios_judiciais!G:G,df_bloqueios_judiciais!D:D,Conciliacao!A113,df_bloqueios_judiciais!G:G,"&gt;0")</f>
        <v/>
      </c>
      <c r="H113" s="7">
        <f>SUMIFS(df_extratos!I:I,df_extratos!F:F,Conciliacao!BE113,df_extratos!G:G,"CREDITO")+SUMIFS(df_extratos!I:I,df_extratos!F:F,Conciliacao!A113,df_extratos!G:G,"CREDITO")+SUMIFS(df_extratos!I:I,df_extratos!F:F,Conciliacao!BF113,df_extratos!G:G,"CREDITO")+SUMIFS(df_extratos!I:I,df_extratos!F:F,Conciliacao!BG113,df_extratos!G:G,"CREDITO")+SUMIFS(df_extratos!I:I,df_extratos!F:F,Conciliacao!BH113,df_extratos!G:G,"CREDITO")</f>
        <v/>
      </c>
      <c r="I113" s="9">
        <f>H113-SUM(B113:G113)</f>
        <v/>
      </c>
      <c r="J113" s="4">
        <f>SUMIFS(df_blueme_sem_parcelamento!E:E,df_blueme_sem_parcelamento!H:H,Conciliacao!A113)*(-1)</f>
        <v/>
      </c>
      <c r="K113" s="4">
        <f>SUMIFS(df_blueme_com_parcelamento!J:J,df_blueme_com_parcelamento!M:M,Conciliacao!A113)*(-1)</f>
        <v/>
      </c>
      <c r="L113" s="4">
        <f>SUMIFS(df_mutuos!N:N,df_mutuos!B:B,Conciliacao!A113)*(-1)</f>
        <v/>
      </c>
      <c r="M113" s="8">
        <f>SUMIFS(df_bloqueios_judiciais!G:G,df_bloqueios_judiciais!D:D,Conciliacao!A113,df_bloqueios_judiciais!G:G,"&lt;0")</f>
        <v/>
      </c>
      <c r="N113" s="10">
        <f>SUMIFS(df_extratos!I:I,df_extratos!F:F,Conciliacao!BE113,df_extratos!G:G,"DEBITO")+SUMIFS(df_extratos!I:I,df_extratos!F:F,Conciliacao!A113,df_extratos!G:G,"DEBITO")+SUMIFS(df_extratos!I:I,df_extratos!F:F,Conciliacao!BF113,df_extratos!G:G,"DEBITO")+SUMIFS(df_extratos!I:I,df_extratos!F:F,Conciliacao!BG113,df_extratos!G:G,"DEBITO")+SUMIFS(df_extratos!I:I,df_extratos!F:F,Conciliacao!BH113,df_extratos!G:G,"DEBITO")</f>
        <v/>
      </c>
      <c r="O113" s="11">
        <f>N113-SUM(J113:M113)</f>
        <v/>
      </c>
      <c r="P113" s="25">
        <f>SUMIFS(df_ajustes_conciliaco!D:D,df_ajustes_conciliaco!C:C,Conciliacao!A113)</f>
        <v/>
      </c>
      <c r="Q113" s="22">
        <f>O113+I113-P113</f>
        <v/>
      </c>
      <c r="BE113" s="20" t="n">
        <v>45769.5</v>
      </c>
      <c r="BF113" s="20" t="n">
        <v>45769.125</v>
      </c>
      <c r="BG113" s="20" t="n">
        <v>45769.54166666666</v>
      </c>
      <c r="BH113" s="20" t="n">
        <v>45769.625</v>
      </c>
    </row>
    <row r="114">
      <c r="A114" s="5">
        <f>A113+1</f>
        <v/>
      </c>
      <c r="B114" s="3">
        <f>-SUMIFS(df_extrato_zig!G:G,df_extrato_zig!E:E,Conciliacao!A114,df_extrato_zig!D:D,"Saque")-SUMIFS(df_extrato_zig!G:G,df_extrato_zig!E:E,Conciliacao!A114,df_extrato_zig!D:D,"Antecipação")</f>
        <v/>
      </c>
      <c r="C114" s="3">
        <f>SUMIFS(df_extrato_zig!E:E,df_extrato_zig!L:L,Conciliacao!A114,df_extrato_zig!F:F,"DINHEIRO")</f>
        <v/>
      </c>
      <c r="D114" s="3">
        <f>SUMIFS(view_parc_agrup!H:H,view_parc_agrup!G:G,Conciliacao!A114)</f>
        <v/>
      </c>
      <c r="E114" s="3">
        <f>SUMIFS(df_eventos!F:F,df_eventos!H:H,Conciliacao!A114)</f>
        <v/>
      </c>
      <c r="F114" s="3">
        <f>SUMIFS(df_mutuos!M:M,df_mutuos!B:B,Conciliacao!A114)</f>
        <v/>
      </c>
      <c r="G114" s="6">
        <f>SUMIFS(df_bloqueios_judiciais!G:G,df_bloqueios_judiciais!D:D,Conciliacao!A114,df_bloqueios_judiciais!G:G,"&gt;0")</f>
        <v/>
      </c>
      <c r="H114" s="7">
        <f>SUMIFS(df_extratos!I:I,df_extratos!F:F,Conciliacao!BE114,df_extratos!G:G,"CREDITO")+SUMIFS(df_extratos!I:I,df_extratos!F:F,Conciliacao!A114,df_extratos!G:G,"CREDITO")+SUMIFS(df_extratos!I:I,df_extratos!F:F,Conciliacao!BF114,df_extratos!G:G,"CREDITO")+SUMIFS(df_extratos!I:I,df_extratos!F:F,Conciliacao!BG114,df_extratos!G:G,"CREDITO")+SUMIFS(df_extratos!I:I,df_extratos!F:F,Conciliacao!BH114,df_extratos!G:G,"CREDITO")</f>
        <v/>
      </c>
      <c r="I114" s="9">
        <f>H114-SUM(B114:G114)</f>
        <v/>
      </c>
      <c r="J114" s="4">
        <f>SUMIFS(df_blueme_sem_parcelamento!E:E,df_blueme_sem_parcelamento!H:H,Conciliacao!A114)*(-1)</f>
        <v/>
      </c>
      <c r="K114" s="4">
        <f>SUMIFS(df_blueme_com_parcelamento!J:J,df_blueme_com_parcelamento!M:M,Conciliacao!A114)*(-1)</f>
        <v/>
      </c>
      <c r="L114" s="4">
        <f>SUMIFS(df_mutuos!N:N,df_mutuos!B:B,Conciliacao!A114)*(-1)</f>
        <v/>
      </c>
      <c r="M114" s="8">
        <f>SUMIFS(df_bloqueios_judiciais!G:G,df_bloqueios_judiciais!D:D,Conciliacao!A114,df_bloqueios_judiciais!G:G,"&lt;0")</f>
        <v/>
      </c>
      <c r="N114" s="10">
        <f>SUMIFS(df_extratos!I:I,df_extratos!F:F,Conciliacao!BE114,df_extratos!G:G,"DEBITO")+SUMIFS(df_extratos!I:I,df_extratos!F:F,Conciliacao!A114,df_extratos!G:G,"DEBITO")+SUMIFS(df_extratos!I:I,df_extratos!F:F,Conciliacao!BF114,df_extratos!G:G,"DEBITO")+SUMIFS(df_extratos!I:I,df_extratos!F:F,Conciliacao!BG114,df_extratos!G:G,"DEBITO")+SUMIFS(df_extratos!I:I,df_extratos!F:F,Conciliacao!BH114,df_extratos!G:G,"DEBITO")</f>
        <v/>
      </c>
      <c r="O114" s="11">
        <f>N114-SUM(J114:M114)</f>
        <v/>
      </c>
      <c r="P114" s="25">
        <f>SUMIFS(df_ajustes_conciliaco!D:D,df_ajustes_conciliaco!C:C,Conciliacao!A114)</f>
        <v/>
      </c>
      <c r="Q114" s="22">
        <f>O114+I114-P114</f>
        <v/>
      </c>
      <c r="BE114" s="20" t="n">
        <v>45770.5</v>
      </c>
      <c r="BF114" s="20" t="n">
        <v>45770.125</v>
      </c>
      <c r="BG114" s="20" t="n">
        <v>45770.54166666666</v>
      </c>
      <c r="BH114" s="20" t="n">
        <v>45770.625</v>
      </c>
    </row>
    <row r="115">
      <c r="A115" s="5">
        <f>A114+1</f>
        <v/>
      </c>
      <c r="B115" s="3">
        <f>-SUMIFS(df_extrato_zig!G:G,df_extrato_zig!E:E,Conciliacao!A115,df_extrato_zig!D:D,"Saque")-SUMIFS(df_extrato_zig!G:G,df_extrato_zig!E:E,Conciliacao!A115,df_extrato_zig!D:D,"Antecipação")</f>
        <v/>
      </c>
      <c r="C115" s="3">
        <f>SUMIFS(df_extrato_zig!E:E,df_extrato_zig!L:L,Conciliacao!A115,df_extrato_zig!F:F,"DINHEIRO")</f>
        <v/>
      </c>
      <c r="D115" s="3">
        <f>SUMIFS(view_parc_agrup!H:H,view_parc_agrup!G:G,Conciliacao!A115)</f>
        <v/>
      </c>
      <c r="E115" s="3">
        <f>SUMIFS(df_eventos!F:F,df_eventos!H:H,Conciliacao!A115)</f>
        <v/>
      </c>
      <c r="F115" s="3">
        <f>SUMIFS(df_mutuos!M:M,df_mutuos!B:B,Conciliacao!A115)</f>
        <v/>
      </c>
      <c r="G115" s="6">
        <f>SUMIFS(df_bloqueios_judiciais!G:G,df_bloqueios_judiciais!D:D,Conciliacao!A115,df_bloqueios_judiciais!G:G,"&gt;0")</f>
        <v/>
      </c>
      <c r="H115" s="7">
        <f>SUMIFS(df_extratos!I:I,df_extratos!F:F,Conciliacao!BE115,df_extratos!G:G,"CREDITO")+SUMIFS(df_extratos!I:I,df_extratos!F:F,Conciliacao!A115,df_extratos!G:G,"CREDITO")+SUMIFS(df_extratos!I:I,df_extratos!F:F,Conciliacao!BF115,df_extratos!G:G,"CREDITO")+SUMIFS(df_extratos!I:I,df_extratos!F:F,Conciliacao!BG115,df_extratos!G:G,"CREDITO")+SUMIFS(df_extratos!I:I,df_extratos!F:F,Conciliacao!BH115,df_extratos!G:G,"CREDITO")</f>
        <v/>
      </c>
      <c r="I115" s="9">
        <f>H115-SUM(B115:G115)</f>
        <v/>
      </c>
      <c r="J115" s="4">
        <f>SUMIFS(df_blueme_sem_parcelamento!E:E,df_blueme_sem_parcelamento!H:H,Conciliacao!A115)*(-1)</f>
        <v/>
      </c>
      <c r="K115" s="4">
        <f>SUMIFS(df_blueme_com_parcelamento!J:J,df_blueme_com_parcelamento!M:M,Conciliacao!A115)*(-1)</f>
        <v/>
      </c>
      <c r="L115" s="4">
        <f>SUMIFS(df_mutuos!N:N,df_mutuos!B:B,Conciliacao!A115)*(-1)</f>
        <v/>
      </c>
      <c r="M115" s="8">
        <f>SUMIFS(df_bloqueios_judiciais!G:G,df_bloqueios_judiciais!D:D,Conciliacao!A115,df_bloqueios_judiciais!G:G,"&lt;0")</f>
        <v/>
      </c>
      <c r="N115" s="10">
        <f>SUMIFS(df_extratos!I:I,df_extratos!F:F,Conciliacao!BE115,df_extratos!G:G,"DEBITO")+SUMIFS(df_extratos!I:I,df_extratos!F:F,Conciliacao!A115,df_extratos!G:G,"DEBITO")+SUMIFS(df_extratos!I:I,df_extratos!F:F,Conciliacao!BF115,df_extratos!G:G,"DEBITO")+SUMIFS(df_extratos!I:I,df_extratos!F:F,Conciliacao!BG115,df_extratos!G:G,"DEBITO")+SUMIFS(df_extratos!I:I,df_extratos!F:F,Conciliacao!BH115,df_extratos!G:G,"DEBITO")</f>
        <v/>
      </c>
      <c r="O115" s="11">
        <f>N115-SUM(J115:M115)</f>
        <v/>
      </c>
      <c r="P115" s="25">
        <f>SUMIFS(df_ajustes_conciliaco!D:D,df_ajustes_conciliaco!C:C,Conciliacao!A115)</f>
        <v/>
      </c>
      <c r="Q115" s="22">
        <f>O115+I115-P115</f>
        <v/>
      </c>
      <c r="BE115" s="20" t="n">
        <v>45771.5</v>
      </c>
      <c r="BF115" s="20" t="n">
        <v>45771.125</v>
      </c>
      <c r="BG115" s="20" t="n">
        <v>45771.54166666666</v>
      </c>
      <c r="BH115" s="20" t="n">
        <v>45771.625</v>
      </c>
    </row>
    <row r="116">
      <c r="A116" s="5">
        <f>A115+1</f>
        <v/>
      </c>
      <c r="B116" s="3">
        <f>-SUMIFS(df_extrato_zig!G:G,df_extrato_zig!E:E,Conciliacao!A116,df_extrato_zig!D:D,"Saque")-SUMIFS(df_extrato_zig!G:G,df_extrato_zig!E:E,Conciliacao!A116,df_extrato_zig!D:D,"Antecipação")</f>
        <v/>
      </c>
      <c r="C116" s="3">
        <f>SUMIFS(df_extrato_zig!E:E,df_extrato_zig!L:L,Conciliacao!A116,df_extrato_zig!F:F,"DINHEIRO")</f>
        <v/>
      </c>
      <c r="D116" s="3">
        <f>SUMIFS(view_parc_agrup!H:H,view_parc_agrup!G:G,Conciliacao!A116)</f>
        <v/>
      </c>
      <c r="E116" s="3">
        <f>SUMIFS(df_eventos!F:F,df_eventos!H:H,Conciliacao!A116)</f>
        <v/>
      </c>
      <c r="F116" s="3">
        <f>SUMIFS(df_mutuos!M:M,df_mutuos!B:B,Conciliacao!A116)</f>
        <v/>
      </c>
      <c r="G116" s="6">
        <f>SUMIFS(df_bloqueios_judiciais!G:G,df_bloqueios_judiciais!D:D,Conciliacao!A116,df_bloqueios_judiciais!G:G,"&gt;0")</f>
        <v/>
      </c>
      <c r="H116" s="7">
        <f>SUMIFS(df_extratos!I:I,df_extratos!F:F,Conciliacao!BE116,df_extratos!G:G,"CREDITO")+SUMIFS(df_extratos!I:I,df_extratos!F:F,Conciliacao!A116,df_extratos!G:G,"CREDITO")+SUMIFS(df_extratos!I:I,df_extratos!F:F,Conciliacao!BF116,df_extratos!G:G,"CREDITO")+SUMIFS(df_extratos!I:I,df_extratos!F:F,Conciliacao!BG116,df_extratos!G:G,"CREDITO")+SUMIFS(df_extratos!I:I,df_extratos!F:F,Conciliacao!BH116,df_extratos!G:G,"CREDITO")</f>
        <v/>
      </c>
      <c r="I116" s="9">
        <f>H116-SUM(B116:G116)</f>
        <v/>
      </c>
      <c r="J116" s="4">
        <f>SUMIFS(df_blueme_sem_parcelamento!E:E,df_blueme_sem_parcelamento!H:H,Conciliacao!A116)*(-1)</f>
        <v/>
      </c>
      <c r="K116" s="4">
        <f>SUMIFS(df_blueme_com_parcelamento!J:J,df_blueme_com_parcelamento!M:M,Conciliacao!A116)*(-1)</f>
        <v/>
      </c>
      <c r="L116" s="4">
        <f>SUMIFS(df_mutuos!N:N,df_mutuos!B:B,Conciliacao!A116)*(-1)</f>
        <v/>
      </c>
      <c r="M116" s="8">
        <f>SUMIFS(df_bloqueios_judiciais!G:G,df_bloqueios_judiciais!D:D,Conciliacao!A116,df_bloqueios_judiciais!G:G,"&lt;0")</f>
        <v/>
      </c>
      <c r="N116" s="10">
        <f>SUMIFS(df_extratos!I:I,df_extratos!F:F,Conciliacao!BE116,df_extratos!G:G,"DEBITO")+SUMIFS(df_extratos!I:I,df_extratos!F:F,Conciliacao!A116,df_extratos!G:G,"DEBITO")+SUMIFS(df_extratos!I:I,df_extratos!F:F,Conciliacao!BF116,df_extratos!G:G,"DEBITO")+SUMIFS(df_extratos!I:I,df_extratos!F:F,Conciliacao!BG116,df_extratos!G:G,"DEBITO")+SUMIFS(df_extratos!I:I,df_extratos!F:F,Conciliacao!BH116,df_extratos!G:G,"DEBITO")</f>
        <v/>
      </c>
      <c r="O116" s="11">
        <f>N116-SUM(J116:M116)</f>
        <v/>
      </c>
      <c r="P116" s="25">
        <f>SUMIFS(df_ajustes_conciliaco!D:D,df_ajustes_conciliaco!C:C,Conciliacao!A116)</f>
        <v/>
      </c>
      <c r="Q116" s="22">
        <f>O116+I116-P116</f>
        <v/>
      </c>
      <c r="BE116" s="20" t="n">
        <v>45772.5</v>
      </c>
      <c r="BF116" s="20" t="n">
        <v>45772.125</v>
      </c>
      <c r="BG116" s="20" t="n">
        <v>45772.54166666666</v>
      </c>
      <c r="BH116" s="20" t="n">
        <v>45772.625</v>
      </c>
    </row>
    <row r="117">
      <c r="A117" s="5">
        <f>A116+1</f>
        <v/>
      </c>
      <c r="B117" s="3">
        <f>-SUMIFS(df_extrato_zig!G:G,df_extrato_zig!E:E,Conciliacao!A117,df_extrato_zig!D:D,"Saque")-SUMIFS(df_extrato_zig!G:G,df_extrato_zig!E:E,Conciliacao!A117,df_extrato_zig!D:D,"Antecipação")</f>
        <v/>
      </c>
      <c r="C117" s="3">
        <f>SUMIFS(df_extrato_zig!E:E,df_extrato_zig!L:L,Conciliacao!A117,df_extrato_zig!F:F,"DINHEIRO")</f>
        <v/>
      </c>
      <c r="D117" s="3">
        <f>SUMIFS(view_parc_agrup!H:H,view_parc_agrup!G:G,Conciliacao!A117)</f>
        <v/>
      </c>
      <c r="E117" s="3">
        <f>SUMIFS(df_eventos!F:F,df_eventos!H:H,Conciliacao!A117)</f>
        <v/>
      </c>
      <c r="F117" s="3">
        <f>SUMIFS(df_mutuos!M:M,df_mutuos!B:B,Conciliacao!A117)</f>
        <v/>
      </c>
      <c r="G117" s="6">
        <f>SUMIFS(df_bloqueios_judiciais!G:G,df_bloqueios_judiciais!D:D,Conciliacao!A117,df_bloqueios_judiciais!G:G,"&gt;0")</f>
        <v/>
      </c>
      <c r="H117" s="7">
        <f>SUMIFS(df_extratos!I:I,df_extratos!F:F,Conciliacao!BE117,df_extratos!G:G,"CREDITO")+SUMIFS(df_extratos!I:I,df_extratos!F:F,Conciliacao!A117,df_extratos!G:G,"CREDITO")+SUMIFS(df_extratos!I:I,df_extratos!F:F,Conciliacao!BF117,df_extratos!G:G,"CREDITO")+SUMIFS(df_extratos!I:I,df_extratos!F:F,Conciliacao!BG117,df_extratos!G:G,"CREDITO")+SUMIFS(df_extratos!I:I,df_extratos!F:F,Conciliacao!BH117,df_extratos!G:G,"CREDITO")</f>
        <v/>
      </c>
      <c r="I117" s="9">
        <f>H117-SUM(B117:G117)</f>
        <v/>
      </c>
      <c r="J117" s="4">
        <f>SUMIFS(df_blueme_sem_parcelamento!E:E,df_blueme_sem_parcelamento!H:H,Conciliacao!A117)*(-1)</f>
        <v/>
      </c>
      <c r="K117" s="4">
        <f>SUMIFS(df_blueme_com_parcelamento!J:J,df_blueme_com_parcelamento!M:M,Conciliacao!A117)*(-1)</f>
        <v/>
      </c>
      <c r="L117" s="4">
        <f>SUMIFS(df_mutuos!N:N,df_mutuos!B:B,Conciliacao!A117)*(-1)</f>
        <v/>
      </c>
      <c r="M117" s="8">
        <f>SUMIFS(df_bloqueios_judiciais!G:G,df_bloqueios_judiciais!D:D,Conciliacao!A117,df_bloqueios_judiciais!G:G,"&lt;0")</f>
        <v/>
      </c>
      <c r="N117" s="10">
        <f>SUMIFS(df_extratos!I:I,df_extratos!F:F,Conciliacao!BE117,df_extratos!G:G,"DEBITO")+SUMIFS(df_extratos!I:I,df_extratos!F:F,Conciliacao!A117,df_extratos!G:G,"DEBITO")+SUMIFS(df_extratos!I:I,df_extratos!F:F,Conciliacao!BF117,df_extratos!G:G,"DEBITO")+SUMIFS(df_extratos!I:I,df_extratos!F:F,Conciliacao!BG117,df_extratos!G:G,"DEBITO")+SUMIFS(df_extratos!I:I,df_extratos!F:F,Conciliacao!BH117,df_extratos!G:G,"DEBITO")</f>
        <v/>
      </c>
      <c r="O117" s="11">
        <f>N117-SUM(J117:M117)</f>
        <v/>
      </c>
      <c r="P117" s="25">
        <f>SUMIFS(df_ajustes_conciliaco!D:D,df_ajustes_conciliaco!C:C,Conciliacao!A117)</f>
        <v/>
      </c>
      <c r="Q117" s="22">
        <f>O117+I117-P117</f>
        <v/>
      </c>
      <c r="BE117" s="20" t="n">
        <v>45773.5</v>
      </c>
      <c r="BF117" s="20" t="n">
        <v>45773.125</v>
      </c>
      <c r="BG117" s="20" t="n">
        <v>45773.54166666666</v>
      </c>
      <c r="BH117" s="20" t="n">
        <v>45773.625</v>
      </c>
    </row>
    <row r="118">
      <c r="A118" s="5">
        <f>A117+1</f>
        <v/>
      </c>
      <c r="B118" s="3">
        <f>-SUMIFS(df_extrato_zig!G:G,df_extrato_zig!E:E,Conciliacao!A118,df_extrato_zig!D:D,"Saque")-SUMIFS(df_extrato_zig!G:G,df_extrato_zig!E:E,Conciliacao!A118,df_extrato_zig!D:D,"Antecipação")</f>
        <v/>
      </c>
      <c r="C118" s="3">
        <f>SUMIFS(df_extrato_zig!E:E,df_extrato_zig!L:L,Conciliacao!A118,df_extrato_zig!F:F,"DINHEIRO")</f>
        <v/>
      </c>
      <c r="D118" s="3">
        <f>SUMIFS(view_parc_agrup!H:H,view_parc_agrup!G:G,Conciliacao!A118)</f>
        <v/>
      </c>
      <c r="E118" s="3">
        <f>SUMIFS(df_eventos!F:F,df_eventos!H:H,Conciliacao!A118)</f>
        <v/>
      </c>
      <c r="F118" s="3">
        <f>SUMIFS(df_mutuos!M:M,df_mutuos!B:B,Conciliacao!A118)</f>
        <v/>
      </c>
      <c r="G118" s="6">
        <f>SUMIFS(df_bloqueios_judiciais!G:G,df_bloqueios_judiciais!D:D,Conciliacao!A118,df_bloqueios_judiciais!G:G,"&gt;0")</f>
        <v/>
      </c>
      <c r="H118" s="7">
        <f>SUMIFS(df_extratos!I:I,df_extratos!F:F,Conciliacao!BE118,df_extratos!G:G,"CREDITO")+SUMIFS(df_extratos!I:I,df_extratos!F:F,Conciliacao!A118,df_extratos!G:G,"CREDITO")+SUMIFS(df_extratos!I:I,df_extratos!F:F,Conciliacao!BF118,df_extratos!G:G,"CREDITO")+SUMIFS(df_extratos!I:I,df_extratos!F:F,Conciliacao!BG118,df_extratos!G:G,"CREDITO")+SUMIFS(df_extratos!I:I,df_extratos!F:F,Conciliacao!BH118,df_extratos!G:G,"CREDITO")</f>
        <v/>
      </c>
      <c r="I118" s="9">
        <f>H118-SUM(B118:G118)</f>
        <v/>
      </c>
      <c r="J118" s="4">
        <f>SUMIFS(df_blueme_sem_parcelamento!E:E,df_blueme_sem_parcelamento!H:H,Conciliacao!A118)*(-1)</f>
        <v/>
      </c>
      <c r="K118" s="4">
        <f>SUMIFS(df_blueme_com_parcelamento!J:J,df_blueme_com_parcelamento!M:M,Conciliacao!A118)*(-1)</f>
        <v/>
      </c>
      <c r="L118" s="4">
        <f>SUMIFS(df_mutuos!N:N,df_mutuos!B:B,Conciliacao!A118)*(-1)</f>
        <v/>
      </c>
      <c r="M118" s="8">
        <f>SUMIFS(df_bloqueios_judiciais!G:G,df_bloqueios_judiciais!D:D,Conciliacao!A118,df_bloqueios_judiciais!G:G,"&lt;0")</f>
        <v/>
      </c>
      <c r="N118" s="10">
        <f>SUMIFS(df_extratos!I:I,df_extratos!F:F,Conciliacao!BE118,df_extratos!G:G,"DEBITO")+SUMIFS(df_extratos!I:I,df_extratos!F:F,Conciliacao!A118,df_extratos!G:G,"DEBITO")+SUMIFS(df_extratos!I:I,df_extratos!F:F,Conciliacao!BF118,df_extratos!G:G,"DEBITO")+SUMIFS(df_extratos!I:I,df_extratos!F:F,Conciliacao!BG118,df_extratos!G:G,"DEBITO")+SUMIFS(df_extratos!I:I,df_extratos!F:F,Conciliacao!BH118,df_extratos!G:G,"DEBITO")</f>
        <v/>
      </c>
      <c r="O118" s="11">
        <f>N118-SUM(J118:M118)</f>
        <v/>
      </c>
      <c r="P118" s="25">
        <f>SUMIFS(df_ajustes_conciliaco!D:D,df_ajustes_conciliaco!C:C,Conciliacao!A118)</f>
        <v/>
      </c>
      <c r="Q118" s="22">
        <f>O118+I118-P118</f>
        <v/>
      </c>
      <c r="BE118" s="20" t="n">
        <v>45774.5</v>
      </c>
      <c r="BF118" s="20" t="n">
        <v>45774.125</v>
      </c>
      <c r="BG118" s="20" t="n">
        <v>45774.54166666666</v>
      </c>
      <c r="BH118" s="20" t="n">
        <v>45774.625</v>
      </c>
    </row>
    <row r="119">
      <c r="A119" s="5">
        <f>A118+1</f>
        <v/>
      </c>
      <c r="B119" s="3">
        <f>-SUMIFS(df_extrato_zig!G:G,df_extrato_zig!E:E,Conciliacao!A119,df_extrato_zig!D:D,"Saque")-SUMIFS(df_extrato_zig!G:G,df_extrato_zig!E:E,Conciliacao!A119,df_extrato_zig!D:D,"Antecipação")</f>
        <v/>
      </c>
      <c r="C119" s="3">
        <f>SUMIFS(df_extrato_zig!E:E,df_extrato_zig!L:L,Conciliacao!A119,df_extrato_zig!F:F,"DINHEIRO")</f>
        <v/>
      </c>
      <c r="D119" s="3">
        <f>SUMIFS(view_parc_agrup!H:H,view_parc_agrup!G:G,Conciliacao!A119)</f>
        <v/>
      </c>
      <c r="E119" s="3">
        <f>SUMIFS(df_eventos!F:F,df_eventos!H:H,Conciliacao!A119)</f>
        <v/>
      </c>
      <c r="F119" s="3">
        <f>SUMIFS(df_mutuos!M:M,df_mutuos!B:B,Conciliacao!A119)</f>
        <v/>
      </c>
      <c r="G119" s="6">
        <f>SUMIFS(df_bloqueios_judiciais!G:G,df_bloqueios_judiciais!D:D,Conciliacao!A119,df_bloqueios_judiciais!G:G,"&gt;0")</f>
        <v/>
      </c>
      <c r="H119" s="7">
        <f>SUMIFS(df_extratos!I:I,df_extratos!F:F,Conciliacao!BE119,df_extratos!G:G,"CREDITO")+SUMIFS(df_extratos!I:I,df_extratos!F:F,Conciliacao!A119,df_extratos!G:G,"CREDITO")+SUMIFS(df_extratos!I:I,df_extratos!F:F,Conciliacao!BF119,df_extratos!G:G,"CREDITO")+SUMIFS(df_extratos!I:I,df_extratos!F:F,Conciliacao!BG119,df_extratos!G:G,"CREDITO")+SUMIFS(df_extratos!I:I,df_extratos!F:F,Conciliacao!BH119,df_extratos!G:G,"CREDITO")</f>
        <v/>
      </c>
      <c r="I119" s="9">
        <f>H119-SUM(B119:G119)</f>
        <v/>
      </c>
      <c r="J119" s="4">
        <f>SUMIFS(df_blueme_sem_parcelamento!E:E,df_blueme_sem_parcelamento!H:H,Conciliacao!A119)*(-1)</f>
        <v/>
      </c>
      <c r="K119" s="4">
        <f>SUMIFS(df_blueme_com_parcelamento!J:J,df_blueme_com_parcelamento!M:M,Conciliacao!A119)*(-1)</f>
        <v/>
      </c>
      <c r="L119" s="4">
        <f>SUMIFS(df_mutuos!N:N,df_mutuos!B:B,Conciliacao!A119)*(-1)</f>
        <v/>
      </c>
      <c r="M119" s="8">
        <f>SUMIFS(df_bloqueios_judiciais!G:G,df_bloqueios_judiciais!D:D,Conciliacao!A119,df_bloqueios_judiciais!G:G,"&lt;0")</f>
        <v/>
      </c>
      <c r="N119" s="10">
        <f>SUMIFS(df_extratos!I:I,df_extratos!F:F,Conciliacao!BE119,df_extratos!G:G,"DEBITO")+SUMIFS(df_extratos!I:I,df_extratos!F:F,Conciliacao!A119,df_extratos!G:G,"DEBITO")+SUMIFS(df_extratos!I:I,df_extratos!F:F,Conciliacao!BF119,df_extratos!G:G,"DEBITO")+SUMIFS(df_extratos!I:I,df_extratos!F:F,Conciliacao!BG119,df_extratos!G:G,"DEBITO")+SUMIFS(df_extratos!I:I,df_extratos!F:F,Conciliacao!BH119,df_extratos!G:G,"DEBITO")</f>
        <v/>
      </c>
      <c r="O119" s="11">
        <f>N119-SUM(J119:M119)</f>
        <v/>
      </c>
      <c r="P119" s="25">
        <f>SUMIFS(df_ajustes_conciliaco!D:D,df_ajustes_conciliaco!C:C,Conciliacao!A119)</f>
        <v/>
      </c>
      <c r="Q119" s="22">
        <f>O119+I119-P119</f>
        <v/>
      </c>
      <c r="BE119" s="20" t="n">
        <v>45775.5</v>
      </c>
      <c r="BF119" s="20" t="n">
        <v>45775.125</v>
      </c>
      <c r="BG119" s="20" t="n">
        <v>45775.54166666666</v>
      </c>
      <c r="BH119" s="20" t="n">
        <v>45775.625</v>
      </c>
    </row>
    <row r="120">
      <c r="A120" s="5">
        <f>A119+1</f>
        <v/>
      </c>
      <c r="B120" s="3">
        <f>-SUMIFS(df_extrato_zig!G:G,df_extrato_zig!E:E,Conciliacao!A120,df_extrato_zig!D:D,"Saque")-SUMIFS(df_extrato_zig!G:G,df_extrato_zig!E:E,Conciliacao!A120,df_extrato_zig!D:D,"Antecipação")</f>
        <v/>
      </c>
      <c r="C120" s="3">
        <f>SUMIFS(df_extrato_zig!E:E,df_extrato_zig!L:L,Conciliacao!A120,df_extrato_zig!F:F,"DINHEIRO")</f>
        <v/>
      </c>
      <c r="D120" s="3">
        <f>SUMIFS(view_parc_agrup!H:H,view_parc_agrup!G:G,Conciliacao!A120)</f>
        <v/>
      </c>
      <c r="E120" s="3">
        <f>SUMIFS(df_eventos!F:F,df_eventos!H:H,Conciliacao!A120)</f>
        <v/>
      </c>
      <c r="F120" s="3">
        <f>SUMIFS(df_mutuos!M:M,df_mutuos!B:B,Conciliacao!A120)</f>
        <v/>
      </c>
      <c r="G120" s="6">
        <f>SUMIFS(df_bloqueios_judiciais!G:G,df_bloqueios_judiciais!D:D,Conciliacao!A120,df_bloqueios_judiciais!G:G,"&gt;0")</f>
        <v/>
      </c>
      <c r="H120" s="7">
        <f>SUMIFS(df_extratos!I:I,df_extratos!F:F,Conciliacao!BE120,df_extratos!G:G,"CREDITO")+SUMIFS(df_extratos!I:I,df_extratos!F:F,Conciliacao!A120,df_extratos!G:G,"CREDITO")+SUMIFS(df_extratos!I:I,df_extratos!F:F,Conciliacao!BF120,df_extratos!G:G,"CREDITO")+SUMIFS(df_extratos!I:I,df_extratos!F:F,Conciliacao!BG120,df_extratos!G:G,"CREDITO")+SUMIFS(df_extratos!I:I,df_extratos!F:F,Conciliacao!BH120,df_extratos!G:G,"CREDITO")</f>
        <v/>
      </c>
      <c r="I120" s="9">
        <f>H120-SUM(B120:G120)</f>
        <v/>
      </c>
      <c r="J120" s="4">
        <f>SUMIFS(df_blueme_sem_parcelamento!E:E,df_blueme_sem_parcelamento!H:H,Conciliacao!A120)*(-1)</f>
        <v/>
      </c>
      <c r="K120" s="4">
        <f>SUMIFS(df_blueme_com_parcelamento!J:J,df_blueme_com_parcelamento!M:M,Conciliacao!A120)*(-1)</f>
        <v/>
      </c>
      <c r="L120" s="4">
        <f>SUMIFS(df_mutuos!N:N,df_mutuos!B:B,Conciliacao!A120)*(-1)</f>
        <v/>
      </c>
      <c r="M120" s="8">
        <f>SUMIFS(df_bloqueios_judiciais!G:G,df_bloqueios_judiciais!D:D,Conciliacao!A120,df_bloqueios_judiciais!G:G,"&lt;0")</f>
        <v/>
      </c>
      <c r="N120" s="10">
        <f>SUMIFS(df_extratos!I:I,df_extratos!F:F,Conciliacao!BE120,df_extratos!G:G,"DEBITO")+SUMIFS(df_extratos!I:I,df_extratos!F:F,Conciliacao!A120,df_extratos!G:G,"DEBITO")+SUMIFS(df_extratos!I:I,df_extratos!F:F,Conciliacao!BF120,df_extratos!G:G,"DEBITO")+SUMIFS(df_extratos!I:I,df_extratos!F:F,Conciliacao!BG120,df_extratos!G:G,"DEBITO")+SUMIFS(df_extratos!I:I,df_extratos!F:F,Conciliacao!BH120,df_extratos!G:G,"DEBITO")</f>
        <v/>
      </c>
      <c r="O120" s="11">
        <f>N120-SUM(J120:M120)</f>
        <v/>
      </c>
      <c r="P120" s="25">
        <f>SUMIFS(df_ajustes_conciliaco!D:D,df_ajustes_conciliaco!C:C,Conciliacao!A120)</f>
        <v/>
      </c>
      <c r="Q120" s="22">
        <f>O120+I120-P120</f>
        <v/>
      </c>
      <c r="BE120" s="20" t="n">
        <v>45776.5</v>
      </c>
      <c r="BF120" s="20" t="n">
        <v>45776.125</v>
      </c>
      <c r="BG120" s="20" t="n">
        <v>45776.54166666666</v>
      </c>
      <c r="BH120" s="20" t="n">
        <v>45776.625</v>
      </c>
    </row>
    <row r="121">
      <c r="A121" s="5">
        <f>A120+1</f>
        <v/>
      </c>
      <c r="B121" s="3">
        <f>-SUMIFS(df_extrato_zig!G:G,df_extrato_zig!E:E,Conciliacao!A121,df_extrato_zig!D:D,"Saque")-SUMIFS(df_extrato_zig!G:G,df_extrato_zig!E:E,Conciliacao!A121,df_extrato_zig!D:D,"Antecipação")</f>
        <v/>
      </c>
      <c r="C121" s="3">
        <f>SUMIFS(df_extrato_zig!E:E,df_extrato_zig!L:L,Conciliacao!A121,df_extrato_zig!F:F,"DINHEIRO")</f>
        <v/>
      </c>
      <c r="D121" s="3">
        <f>SUMIFS(view_parc_agrup!H:H,view_parc_agrup!G:G,Conciliacao!A121)</f>
        <v/>
      </c>
      <c r="E121" s="3">
        <f>SUMIFS(df_eventos!F:F,df_eventos!H:H,Conciliacao!A121)</f>
        <v/>
      </c>
      <c r="F121" s="3">
        <f>SUMIFS(df_mutuos!M:M,df_mutuos!B:B,Conciliacao!A121)</f>
        <v/>
      </c>
      <c r="G121" s="6">
        <f>SUMIFS(df_bloqueios_judiciais!G:G,df_bloqueios_judiciais!D:D,Conciliacao!A121,df_bloqueios_judiciais!G:G,"&gt;0")</f>
        <v/>
      </c>
      <c r="H121" s="7">
        <f>SUMIFS(df_extratos!I:I,df_extratos!F:F,Conciliacao!BE121,df_extratos!G:G,"CREDITO")+SUMIFS(df_extratos!I:I,df_extratos!F:F,Conciliacao!A121,df_extratos!G:G,"CREDITO")+SUMIFS(df_extratos!I:I,df_extratos!F:F,Conciliacao!BF121,df_extratos!G:G,"CREDITO")+SUMIFS(df_extratos!I:I,df_extratos!F:F,Conciliacao!BG121,df_extratos!G:G,"CREDITO")+SUMIFS(df_extratos!I:I,df_extratos!F:F,Conciliacao!BH121,df_extratos!G:G,"CREDITO")</f>
        <v/>
      </c>
      <c r="I121" s="9">
        <f>H121-SUM(B121:G121)</f>
        <v/>
      </c>
      <c r="J121" s="4">
        <f>SUMIFS(df_blueme_sem_parcelamento!E:E,df_blueme_sem_parcelamento!H:H,Conciliacao!A121)*(-1)</f>
        <v/>
      </c>
      <c r="K121" s="4">
        <f>SUMIFS(df_blueme_com_parcelamento!J:J,df_blueme_com_parcelamento!M:M,Conciliacao!A121)*(-1)</f>
        <v/>
      </c>
      <c r="L121" s="4">
        <f>SUMIFS(df_mutuos!N:N,df_mutuos!B:B,Conciliacao!A121)*(-1)</f>
        <v/>
      </c>
      <c r="M121" s="8">
        <f>SUMIFS(df_bloqueios_judiciais!G:G,df_bloqueios_judiciais!D:D,Conciliacao!A121,df_bloqueios_judiciais!G:G,"&lt;0")</f>
        <v/>
      </c>
      <c r="N121" s="10">
        <f>SUMIFS(df_extratos!I:I,df_extratos!F:F,Conciliacao!BE121,df_extratos!G:G,"DEBITO")+SUMIFS(df_extratos!I:I,df_extratos!F:F,Conciliacao!A121,df_extratos!G:G,"DEBITO")+SUMIFS(df_extratos!I:I,df_extratos!F:F,Conciliacao!BF121,df_extratos!G:G,"DEBITO")+SUMIFS(df_extratos!I:I,df_extratos!F:F,Conciliacao!BG121,df_extratos!G:G,"DEBITO")+SUMIFS(df_extratos!I:I,df_extratos!F:F,Conciliacao!BH121,df_extratos!G:G,"DEBITO")</f>
        <v/>
      </c>
      <c r="O121" s="11">
        <f>N121-SUM(J121:M121)</f>
        <v/>
      </c>
      <c r="P121" s="25">
        <f>SUMIFS(df_ajustes_conciliaco!D:D,df_ajustes_conciliaco!C:C,Conciliacao!A121)</f>
        <v/>
      </c>
      <c r="Q121" s="22">
        <f>O121+I121-P121</f>
        <v/>
      </c>
      <c r="BE121" s="20" t="n">
        <v>45777.5</v>
      </c>
      <c r="BF121" s="20" t="n">
        <v>45777.125</v>
      </c>
      <c r="BG121" s="20" t="n">
        <v>45777.54166666666</v>
      </c>
      <c r="BH121" s="20" t="n">
        <v>45777.625</v>
      </c>
    </row>
    <row r="122">
      <c r="A122" s="5">
        <f>A121+1</f>
        <v/>
      </c>
      <c r="B122" s="3">
        <f>-SUMIFS(df_extrato_zig!G:G,df_extrato_zig!E:E,Conciliacao!A122,df_extrato_zig!D:D,"Saque")-SUMIFS(df_extrato_zig!G:G,df_extrato_zig!E:E,Conciliacao!A122,df_extrato_zig!D:D,"Antecipação")</f>
        <v/>
      </c>
      <c r="C122" s="3">
        <f>SUMIFS(df_extrato_zig!E:E,df_extrato_zig!L:L,Conciliacao!A122,df_extrato_zig!F:F,"DINHEIRO")</f>
        <v/>
      </c>
      <c r="D122" s="3">
        <f>SUMIFS(view_parc_agrup!H:H,view_parc_agrup!G:G,Conciliacao!A122)</f>
        <v/>
      </c>
      <c r="E122" s="3">
        <f>SUMIFS(df_eventos!F:F,df_eventos!H:H,Conciliacao!A122)</f>
        <v/>
      </c>
      <c r="F122" s="3">
        <f>SUMIFS(df_mutuos!M:M,df_mutuos!B:B,Conciliacao!A122)</f>
        <v/>
      </c>
      <c r="G122" s="6">
        <f>SUMIFS(df_bloqueios_judiciais!G:G,df_bloqueios_judiciais!D:D,Conciliacao!A122,df_bloqueios_judiciais!G:G,"&gt;0")</f>
        <v/>
      </c>
      <c r="H122" s="7">
        <f>SUMIFS(df_extratos!I:I,df_extratos!F:F,Conciliacao!BE122,df_extratos!G:G,"CREDITO")+SUMIFS(df_extratos!I:I,df_extratos!F:F,Conciliacao!A122,df_extratos!G:G,"CREDITO")+SUMIFS(df_extratos!I:I,df_extratos!F:F,Conciliacao!BF122,df_extratos!G:G,"CREDITO")+SUMIFS(df_extratos!I:I,df_extratos!F:F,Conciliacao!BG122,df_extratos!G:G,"CREDITO")+SUMIFS(df_extratos!I:I,df_extratos!F:F,Conciliacao!BH122,df_extratos!G:G,"CREDITO")</f>
        <v/>
      </c>
      <c r="I122" s="9">
        <f>H122-SUM(B122:G122)</f>
        <v/>
      </c>
      <c r="J122" s="4">
        <f>SUMIFS(df_blueme_sem_parcelamento!E:E,df_blueme_sem_parcelamento!H:H,Conciliacao!A122)*(-1)</f>
        <v/>
      </c>
      <c r="K122" s="4">
        <f>SUMIFS(df_blueme_com_parcelamento!J:J,df_blueme_com_parcelamento!M:M,Conciliacao!A122)*(-1)</f>
        <v/>
      </c>
      <c r="L122" s="4">
        <f>SUMIFS(df_mutuos!N:N,df_mutuos!B:B,Conciliacao!A122)*(-1)</f>
        <v/>
      </c>
      <c r="M122" s="8">
        <f>SUMIFS(df_bloqueios_judiciais!G:G,df_bloqueios_judiciais!D:D,Conciliacao!A122,df_bloqueios_judiciais!G:G,"&lt;0")</f>
        <v/>
      </c>
      <c r="N122" s="10">
        <f>SUMIFS(df_extratos!I:I,df_extratos!F:F,Conciliacao!BE122,df_extratos!G:G,"DEBITO")+SUMIFS(df_extratos!I:I,df_extratos!F:F,Conciliacao!A122,df_extratos!G:G,"DEBITO")+SUMIFS(df_extratos!I:I,df_extratos!F:F,Conciliacao!BF122,df_extratos!G:G,"DEBITO")+SUMIFS(df_extratos!I:I,df_extratos!F:F,Conciliacao!BG122,df_extratos!G:G,"DEBITO")+SUMIFS(df_extratos!I:I,df_extratos!F:F,Conciliacao!BH122,df_extratos!G:G,"DEBITO")</f>
        <v/>
      </c>
      <c r="O122" s="11">
        <f>N122-SUM(J122:M122)</f>
        <v/>
      </c>
      <c r="P122" s="25">
        <f>SUMIFS(df_ajustes_conciliaco!D:D,df_ajustes_conciliaco!C:C,Conciliacao!A122)</f>
        <v/>
      </c>
      <c r="Q122" s="22">
        <f>O122+I122-P122</f>
        <v/>
      </c>
      <c r="BE122" s="20" t="n">
        <v>45778.5</v>
      </c>
      <c r="BF122" s="20" t="n">
        <v>45778.125</v>
      </c>
      <c r="BG122" s="20" t="n">
        <v>45778.54166666666</v>
      </c>
      <c r="BH122" s="20" t="n">
        <v>45778.625</v>
      </c>
    </row>
    <row r="123">
      <c r="A123" s="5">
        <f>A122+1</f>
        <v/>
      </c>
      <c r="B123" s="3">
        <f>-SUMIFS(df_extrato_zig!G:G,df_extrato_zig!E:E,Conciliacao!A123,df_extrato_zig!D:D,"Saque")-SUMIFS(df_extrato_zig!G:G,df_extrato_zig!E:E,Conciliacao!A123,df_extrato_zig!D:D,"Antecipação")</f>
        <v/>
      </c>
      <c r="C123" s="3">
        <f>SUMIFS(df_extrato_zig!E:E,df_extrato_zig!L:L,Conciliacao!A123,df_extrato_zig!F:F,"DINHEIRO")</f>
        <v/>
      </c>
      <c r="D123" s="3">
        <f>SUMIFS(view_parc_agrup!H:H,view_parc_agrup!G:G,Conciliacao!A123)</f>
        <v/>
      </c>
      <c r="E123" s="3">
        <f>SUMIFS(df_eventos!F:F,df_eventos!H:H,Conciliacao!A123)</f>
        <v/>
      </c>
      <c r="F123" s="3">
        <f>SUMIFS(df_mutuos!M:M,df_mutuos!B:B,Conciliacao!A123)</f>
        <v/>
      </c>
      <c r="G123" s="6">
        <f>SUMIFS(df_bloqueios_judiciais!G:G,df_bloqueios_judiciais!D:D,Conciliacao!A123,df_bloqueios_judiciais!G:G,"&gt;0")</f>
        <v/>
      </c>
      <c r="H123" s="7">
        <f>SUMIFS(df_extratos!I:I,df_extratos!F:F,Conciliacao!BE123,df_extratos!G:G,"CREDITO")+SUMIFS(df_extratos!I:I,df_extratos!F:F,Conciliacao!A123,df_extratos!G:G,"CREDITO")+SUMIFS(df_extratos!I:I,df_extratos!F:F,Conciliacao!BF123,df_extratos!G:G,"CREDITO")+SUMIFS(df_extratos!I:I,df_extratos!F:F,Conciliacao!BG123,df_extratos!G:G,"CREDITO")+SUMIFS(df_extratos!I:I,df_extratos!F:F,Conciliacao!BH123,df_extratos!G:G,"CREDITO")</f>
        <v/>
      </c>
      <c r="I123" s="9">
        <f>H123-SUM(B123:G123)</f>
        <v/>
      </c>
      <c r="J123" s="4">
        <f>SUMIFS(df_blueme_sem_parcelamento!E:E,df_blueme_sem_parcelamento!H:H,Conciliacao!A123)*(-1)</f>
        <v/>
      </c>
      <c r="K123" s="4">
        <f>SUMIFS(df_blueme_com_parcelamento!J:J,df_blueme_com_parcelamento!M:M,Conciliacao!A123)*(-1)</f>
        <v/>
      </c>
      <c r="L123" s="4">
        <f>SUMIFS(df_mutuos!N:N,df_mutuos!B:B,Conciliacao!A123)*(-1)</f>
        <v/>
      </c>
      <c r="M123" s="8">
        <f>SUMIFS(df_bloqueios_judiciais!G:G,df_bloqueios_judiciais!D:D,Conciliacao!A123,df_bloqueios_judiciais!G:G,"&lt;0")</f>
        <v/>
      </c>
      <c r="N123" s="10">
        <f>SUMIFS(df_extratos!I:I,df_extratos!F:F,Conciliacao!BE123,df_extratos!G:G,"DEBITO")+SUMIFS(df_extratos!I:I,df_extratos!F:F,Conciliacao!A123,df_extratos!G:G,"DEBITO")+SUMIFS(df_extratos!I:I,df_extratos!F:F,Conciliacao!BF123,df_extratos!G:G,"DEBITO")+SUMIFS(df_extratos!I:I,df_extratos!F:F,Conciliacao!BG123,df_extratos!G:G,"DEBITO")+SUMIFS(df_extratos!I:I,df_extratos!F:F,Conciliacao!BH123,df_extratos!G:G,"DEBITO")</f>
        <v/>
      </c>
      <c r="O123" s="11">
        <f>N123-SUM(J123:M123)</f>
        <v/>
      </c>
      <c r="P123" s="25">
        <f>SUMIFS(df_ajustes_conciliaco!D:D,df_ajustes_conciliaco!C:C,Conciliacao!A123)</f>
        <v/>
      </c>
      <c r="Q123" s="22">
        <f>O123+I123-P123</f>
        <v/>
      </c>
      <c r="BE123" s="20" t="n">
        <v>45779.5</v>
      </c>
      <c r="BF123" s="20" t="n">
        <v>45779.125</v>
      </c>
      <c r="BG123" s="20" t="n">
        <v>45779.54166666666</v>
      </c>
      <c r="BH123" s="20" t="n">
        <v>45779.625</v>
      </c>
    </row>
    <row r="124">
      <c r="A124" s="5">
        <f>A123+1</f>
        <v/>
      </c>
      <c r="B124" s="3">
        <f>-SUMIFS(df_extrato_zig!G:G,df_extrato_zig!E:E,Conciliacao!A124,df_extrato_zig!D:D,"Saque")-SUMIFS(df_extrato_zig!G:G,df_extrato_zig!E:E,Conciliacao!A124,df_extrato_zig!D:D,"Antecipação")</f>
        <v/>
      </c>
      <c r="C124" s="3">
        <f>SUMIFS(df_extrato_zig!E:E,df_extrato_zig!L:L,Conciliacao!A124,df_extrato_zig!F:F,"DINHEIRO")</f>
        <v/>
      </c>
      <c r="D124" s="3">
        <f>SUMIFS(view_parc_agrup!H:H,view_parc_agrup!G:G,Conciliacao!A124)</f>
        <v/>
      </c>
      <c r="E124" s="3">
        <f>SUMIFS(df_eventos!F:F,df_eventos!H:H,Conciliacao!A124)</f>
        <v/>
      </c>
      <c r="F124" s="3">
        <f>SUMIFS(df_mutuos!M:M,df_mutuos!B:B,Conciliacao!A124)</f>
        <v/>
      </c>
      <c r="G124" s="6">
        <f>SUMIFS(df_bloqueios_judiciais!G:G,df_bloqueios_judiciais!D:D,Conciliacao!A124,df_bloqueios_judiciais!G:G,"&gt;0")</f>
        <v/>
      </c>
      <c r="H124" s="7">
        <f>SUMIFS(df_extratos!I:I,df_extratos!F:F,Conciliacao!BE124,df_extratos!G:G,"CREDITO")+SUMIFS(df_extratos!I:I,df_extratos!F:F,Conciliacao!A124,df_extratos!G:G,"CREDITO")+SUMIFS(df_extratos!I:I,df_extratos!F:F,Conciliacao!BF124,df_extratos!G:G,"CREDITO")+SUMIFS(df_extratos!I:I,df_extratos!F:F,Conciliacao!BG124,df_extratos!G:G,"CREDITO")+SUMIFS(df_extratos!I:I,df_extratos!F:F,Conciliacao!BH124,df_extratos!G:G,"CREDITO")</f>
        <v/>
      </c>
      <c r="I124" s="9">
        <f>H124-SUM(B124:G124)</f>
        <v/>
      </c>
      <c r="J124" s="4">
        <f>SUMIFS(df_blueme_sem_parcelamento!E:E,df_blueme_sem_parcelamento!H:H,Conciliacao!A124)*(-1)</f>
        <v/>
      </c>
      <c r="K124" s="4">
        <f>SUMIFS(df_blueme_com_parcelamento!J:J,df_blueme_com_parcelamento!M:M,Conciliacao!A124)*(-1)</f>
        <v/>
      </c>
      <c r="L124" s="4">
        <f>SUMIFS(df_mutuos!N:N,df_mutuos!B:B,Conciliacao!A124)*(-1)</f>
        <v/>
      </c>
      <c r="M124" s="8">
        <f>SUMIFS(df_bloqueios_judiciais!G:G,df_bloqueios_judiciais!D:D,Conciliacao!A124,df_bloqueios_judiciais!G:G,"&lt;0")</f>
        <v/>
      </c>
      <c r="N124" s="10">
        <f>SUMIFS(df_extratos!I:I,df_extratos!F:F,Conciliacao!BE124,df_extratos!G:G,"DEBITO")+SUMIFS(df_extratos!I:I,df_extratos!F:F,Conciliacao!A124,df_extratos!G:G,"DEBITO")+SUMIFS(df_extratos!I:I,df_extratos!F:F,Conciliacao!BF124,df_extratos!G:G,"DEBITO")+SUMIFS(df_extratos!I:I,df_extratos!F:F,Conciliacao!BG124,df_extratos!G:G,"DEBITO")+SUMIFS(df_extratos!I:I,df_extratos!F:F,Conciliacao!BH124,df_extratos!G:G,"DEBITO")</f>
        <v/>
      </c>
      <c r="O124" s="11">
        <f>N124-SUM(J124:M124)</f>
        <v/>
      </c>
      <c r="P124" s="25">
        <f>SUMIFS(df_ajustes_conciliaco!D:D,df_ajustes_conciliaco!C:C,Conciliacao!A124)</f>
        <v/>
      </c>
      <c r="Q124" s="22">
        <f>O124+I124-P124</f>
        <v/>
      </c>
      <c r="BE124" s="20" t="n">
        <v>45780.5</v>
      </c>
      <c r="BF124" s="20" t="n">
        <v>45780.125</v>
      </c>
      <c r="BG124" s="20" t="n">
        <v>45780.54166666666</v>
      </c>
      <c r="BH124" s="20" t="n">
        <v>45780.625</v>
      </c>
    </row>
    <row r="125">
      <c r="A125" s="5">
        <f>A124+1</f>
        <v/>
      </c>
      <c r="B125" s="3">
        <f>-SUMIFS(df_extrato_zig!G:G,df_extrato_zig!E:E,Conciliacao!A125,df_extrato_zig!D:D,"Saque")-SUMIFS(df_extrato_zig!G:G,df_extrato_zig!E:E,Conciliacao!A125,df_extrato_zig!D:D,"Antecipação")</f>
        <v/>
      </c>
      <c r="C125" s="3">
        <f>SUMIFS(df_extrato_zig!E:E,df_extrato_zig!L:L,Conciliacao!A125,df_extrato_zig!F:F,"DINHEIRO")</f>
        <v/>
      </c>
      <c r="D125" s="3">
        <f>SUMIFS(view_parc_agrup!H:H,view_parc_agrup!G:G,Conciliacao!A125)</f>
        <v/>
      </c>
      <c r="E125" s="3">
        <f>SUMIFS(df_eventos!F:F,df_eventos!H:H,Conciliacao!A125)</f>
        <v/>
      </c>
      <c r="F125" s="3">
        <f>SUMIFS(df_mutuos!M:M,df_mutuos!B:B,Conciliacao!A125)</f>
        <v/>
      </c>
      <c r="G125" s="6">
        <f>SUMIFS(df_bloqueios_judiciais!G:G,df_bloqueios_judiciais!D:D,Conciliacao!A125,df_bloqueios_judiciais!G:G,"&gt;0")</f>
        <v/>
      </c>
      <c r="H125" s="7">
        <f>SUMIFS(df_extratos!I:I,df_extratos!F:F,Conciliacao!BE125,df_extratos!G:G,"CREDITO")+SUMIFS(df_extratos!I:I,df_extratos!F:F,Conciliacao!A125,df_extratos!G:G,"CREDITO")+SUMIFS(df_extratos!I:I,df_extratos!F:F,Conciliacao!BF125,df_extratos!G:G,"CREDITO")+SUMIFS(df_extratos!I:I,df_extratos!F:F,Conciliacao!BG125,df_extratos!G:G,"CREDITO")+SUMIFS(df_extratos!I:I,df_extratos!F:F,Conciliacao!BH125,df_extratos!G:G,"CREDITO")</f>
        <v/>
      </c>
      <c r="I125" s="9">
        <f>H125-SUM(B125:G125)</f>
        <v/>
      </c>
      <c r="J125" s="4">
        <f>SUMIFS(df_blueme_sem_parcelamento!E:E,df_blueme_sem_parcelamento!H:H,Conciliacao!A125)*(-1)</f>
        <v/>
      </c>
      <c r="K125" s="4">
        <f>SUMIFS(df_blueme_com_parcelamento!J:J,df_blueme_com_parcelamento!M:M,Conciliacao!A125)*(-1)</f>
        <v/>
      </c>
      <c r="L125" s="4">
        <f>SUMIFS(df_mutuos!N:N,df_mutuos!B:B,Conciliacao!A125)*(-1)</f>
        <v/>
      </c>
      <c r="M125" s="8">
        <f>SUMIFS(df_bloqueios_judiciais!G:G,df_bloqueios_judiciais!D:D,Conciliacao!A125,df_bloqueios_judiciais!G:G,"&lt;0")</f>
        <v/>
      </c>
      <c r="N125" s="10">
        <f>SUMIFS(df_extratos!I:I,df_extratos!F:F,Conciliacao!BE125,df_extratos!G:G,"DEBITO")+SUMIFS(df_extratos!I:I,df_extratos!F:F,Conciliacao!A125,df_extratos!G:G,"DEBITO")+SUMIFS(df_extratos!I:I,df_extratos!F:F,Conciliacao!BF125,df_extratos!G:G,"DEBITO")+SUMIFS(df_extratos!I:I,df_extratos!F:F,Conciliacao!BG125,df_extratos!G:G,"DEBITO")+SUMIFS(df_extratos!I:I,df_extratos!F:F,Conciliacao!BH125,df_extratos!G:G,"DEBITO")</f>
        <v/>
      </c>
      <c r="O125" s="11">
        <f>N125-SUM(J125:M125)</f>
        <v/>
      </c>
      <c r="P125" s="25">
        <f>SUMIFS(df_ajustes_conciliaco!D:D,df_ajustes_conciliaco!C:C,Conciliacao!A125)</f>
        <v/>
      </c>
      <c r="Q125" s="22">
        <f>O125+I125-P125</f>
        <v/>
      </c>
      <c r="BE125" s="20" t="n">
        <v>45781.5</v>
      </c>
      <c r="BF125" s="20" t="n">
        <v>45781.125</v>
      </c>
      <c r="BG125" s="20" t="n">
        <v>45781.54166666666</v>
      </c>
      <c r="BH125" s="20" t="n">
        <v>45781.625</v>
      </c>
    </row>
    <row r="126">
      <c r="A126" s="5">
        <f>A125+1</f>
        <v/>
      </c>
      <c r="B126" s="3">
        <f>-SUMIFS(df_extrato_zig!G:G,df_extrato_zig!E:E,Conciliacao!A126,df_extrato_zig!D:D,"Saque")-SUMIFS(df_extrato_zig!G:G,df_extrato_zig!E:E,Conciliacao!A126,df_extrato_zig!D:D,"Antecipação")</f>
        <v/>
      </c>
      <c r="C126" s="3">
        <f>SUMIFS(df_extrato_zig!E:E,df_extrato_zig!L:L,Conciliacao!A126,df_extrato_zig!F:F,"DINHEIRO")</f>
        <v/>
      </c>
      <c r="D126" s="3">
        <f>SUMIFS(view_parc_agrup!H:H,view_parc_agrup!G:G,Conciliacao!A126)</f>
        <v/>
      </c>
      <c r="E126" s="3">
        <f>SUMIFS(df_eventos!F:F,df_eventos!H:H,Conciliacao!A126)</f>
        <v/>
      </c>
      <c r="F126" s="3">
        <f>SUMIFS(df_mutuos!M:M,df_mutuos!B:B,Conciliacao!A126)</f>
        <v/>
      </c>
      <c r="G126" s="6">
        <f>SUMIFS(df_bloqueios_judiciais!G:G,df_bloqueios_judiciais!D:D,Conciliacao!A126,df_bloqueios_judiciais!G:G,"&gt;0")</f>
        <v/>
      </c>
      <c r="H126" s="7">
        <f>SUMIFS(df_extratos!I:I,df_extratos!F:F,Conciliacao!BE126,df_extratos!G:G,"CREDITO")+SUMIFS(df_extratos!I:I,df_extratos!F:F,Conciliacao!A126,df_extratos!G:G,"CREDITO")+SUMIFS(df_extratos!I:I,df_extratos!F:F,Conciliacao!BF126,df_extratos!G:G,"CREDITO")+SUMIFS(df_extratos!I:I,df_extratos!F:F,Conciliacao!BG126,df_extratos!G:G,"CREDITO")+SUMIFS(df_extratos!I:I,df_extratos!F:F,Conciliacao!BH126,df_extratos!G:G,"CREDITO")</f>
        <v/>
      </c>
      <c r="I126" s="9">
        <f>H126-SUM(B126:G126)</f>
        <v/>
      </c>
      <c r="J126" s="4">
        <f>SUMIFS(df_blueme_sem_parcelamento!E:E,df_blueme_sem_parcelamento!H:H,Conciliacao!A126)*(-1)</f>
        <v/>
      </c>
      <c r="K126" s="4">
        <f>SUMIFS(df_blueme_com_parcelamento!J:J,df_blueme_com_parcelamento!M:M,Conciliacao!A126)*(-1)</f>
        <v/>
      </c>
      <c r="L126" s="4">
        <f>SUMIFS(df_mutuos!N:N,df_mutuos!B:B,Conciliacao!A126)*(-1)</f>
        <v/>
      </c>
      <c r="M126" s="8">
        <f>SUMIFS(df_bloqueios_judiciais!G:G,df_bloqueios_judiciais!D:D,Conciliacao!A126,df_bloqueios_judiciais!G:G,"&lt;0")</f>
        <v/>
      </c>
      <c r="N126" s="10">
        <f>SUMIFS(df_extratos!I:I,df_extratos!F:F,Conciliacao!BE126,df_extratos!G:G,"DEBITO")+SUMIFS(df_extratos!I:I,df_extratos!F:F,Conciliacao!A126,df_extratos!G:G,"DEBITO")+SUMIFS(df_extratos!I:I,df_extratos!F:F,Conciliacao!BF126,df_extratos!G:G,"DEBITO")+SUMIFS(df_extratos!I:I,df_extratos!F:F,Conciliacao!BG126,df_extratos!G:G,"DEBITO")+SUMIFS(df_extratos!I:I,df_extratos!F:F,Conciliacao!BH126,df_extratos!G:G,"DEBITO")</f>
        <v/>
      </c>
      <c r="O126" s="11">
        <f>N126-SUM(J126:M126)</f>
        <v/>
      </c>
      <c r="P126" s="25">
        <f>SUMIFS(df_ajustes_conciliaco!D:D,df_ajustes_conciliaco!C:C,Conciliacao!A126)</f>
        <v/>
      </c>
      <c r="Q126" s="22">
        <f>O126+I126-P126</f>
        <v/>
      </c>
      <c r="BE126" s="20" t="n">
        <v>45782.5</v>
      </c>
      <c r="BF126" s="20" t="n">
        <v>45782.125</v>
      </c>
      <c r="BG126" s="20" t="n">
        <v>45782.54166666666</v>
      </c>
      <c r="BH126" s="20" t="n">
        <v>45782.625</v>
      </c>
    </row>
    <row r="127">
      <c r="A127" s="5">
        <f>A126+1</f>
        <v/>
      </c>
      <c r="B127" s="3">
        <f>-SUMIFS(df_extrato_zig!G:G,df_extrato_zig!E:E,Conciliacao!A127,df_extrato_zig!D:D,"Saque")-SUMIFS(df_extrato_zig!G:G,df_extrato_zig!E:E,Conciliacao!A127,df_extrato_zig!D:D,"Antecipação")</f>
        <v/>
      </c>
      <c r="C127" s="3">
        <f>SUMIFS(df_extrato_zig!E:E,df_extrato_zig!L:L,Conciliacao!A127,df_extrato_zig!F:F,"DINHEIRO")</f>
        <v/>
      </c>
      <c r="D127" s="3">
        <f>SUMIFS(view_parc_agrup!H:H,view_parc_agrup!G:G,Conciliacao!A127)</f>
        <v/>
      </c>
      <c r="E127" s="3">
        <f>SUMIFS(df_eventos!F:F,df_eventos!H:H,Conciliacao!A127)</f>
        <v/>
      </c>
      <c r="F127" s="3">
        <f>SUMIFS(df_mutuos!M:M,df_mutuos!B:B,Conciliacao!A127)</f>
        <v/>
      </c>
      <c r="G127" s="6">
        <f>SUMIFS(df_bloqueios_judiciais!G:G,df_bloqueios_judiciais!D:D,Conciliacao!A127,df_bloqueios_judiciais!G:G,"&gt;0")</f>
        <v/>
      </c>
      <c r="H127" s="7">
        <f>SUMIFS(df_extratos!I:I,df_extratos!F:F,Conciliacao!BE127,df_extratos!G:G,"CREDITO")+SUMIFS(df_extratos!I:I,df_extratos!F:F,Conciliacao!A127,df_extratos!G:G,"CREDITO")+SUMIFS(df_extratos!I:I,df_extratos!F:F,Conciliacao!BF127,df_extratos!G:G,"CREDITO")+SUMIFS(df_extratos!I:I,df_extratos!F:F,Conciliacao!BG127,df_extratos!G:G,"CREDITO")+SUMIFS(df_extratos!I:I,df_extratos!F:F,Conciliacao!BH127,df_extratos!G:G,"CREDITO")</f>
        <v/>
      </c>
      <c r="I127" s="9">
        <f>H127-SUM(B127:G127)</f>
        <v/>
      </c>
      <c r="J127" s="4">
        <f>SUMIFS(df_blueme_sem_parcelamento!E:E,df_blueme_sem_parcelamento!H:H,Conciliacao!A127)*(-1)</f>
        <v/>
      </c>
      <c r="K127" s="4">
        <f>SUMIFS(df_blueme_com_parcelamento!J:J,df_blueme_com_parcelamento!M:M,Conciliacao!A127)*(-1)</f>
        <v/>
      </c>
      <c r="L127" s="4">
        <f>SUMIFS(df_mutuos!N:N,df_mutuos!B:B,Conciliacao!A127)*(-1)</f>
        <v/>
      </c>
      <c r="M127" s="8">
        <f>SUMIFS(df_bloqueios_judiciais!G:G,df_bloqueios_judiciais!D:D,Conciliacao!A127,df_bloqueios_judiciais!G:G,"&lt;0")</f>
        <v/>
      </c>
      <c r="N127" s="10">
        <f>SUMIFS(df_extratos!I:I,df_extratos!F:F,Conciliacao!BE127,df_extratos!G:G,"DEBITO")+SUMIFS(df_extratos!I:I,df_extratos!F:F,Conciliacao!A127,df_extratos!G:G,"DEBITO")+SUMIFS(df_extratos!I:I,df_extratos!F:F,Conciliacao!BF127,df_extratos!G:G,"DEBITO")+SUMIFS(df_extratos!I:I,df_extratos!F:F,Conciliacao!BG127,df_extratos!G:G,"DEBITO")+SUMIFS(df_extratos!I:I,df_extratos!F:F,Conciliacao!BH127,df_extratos!G:G,"DEBITO")</f>
        <v/>
      </c>
      <c r="O127" s="11">
        <f>N127-SUM(J127:M127)</f>
        <v/>
      </c>
      <c r="P127" s="25">
        <f>SUMIFS(df_ajustes_conciliaco!D:D,df_ajustes_conciliaco!C:C,Conciliacao!A127)</f>
        <v/>
      </c>
      <c r="Q127" s="22">
        <f>O127+I127-P127</f>
        <v/>
      </c>
      <c r="BE127" s="20" t="n">
        <v>45783.5</v>
      </c>
      <c r="BF127" s="20" t="n">
        <v>45783.125</v>
      </c>
      <c r="BG127" s="20" t="n">
        <v>45783.54166666666</v>
      </c>
      <c r="BH127" s="20" t="n">
        <v>45783.625</v>
      </c>
    </row>
    <row r="128">
      <c r="A128" s="5">
        <f>A127+1</f>
        <v/>
      </c>
      <c r="B128" s="3">
        <f>-SUMIFS(df_extrato_zig!G:G,df_extrato_zig!E:E,Conciliacao!A128,df_extrato_zig!D:D,"Saque")-SUMIFS(df_extrato_zig!G:G,df_extrato_zig!E:E,Conciliacao!A128,df_extrato_zig!D:D,"Antecipação")</f>
        <v/>
      </c>
      <c r="C128" s="3">
        <f>SUMIFS(df_extrato_zig!E:E,df_extrato_zig!L:L,Conciliacao!A128,df_extrato_zig!F:F,"DINHEIRO")</f>
        <v/>
      </c>
      <c r="D128" s="3">
        <f>SUMIFS(view_parc_agrup!H:H,view_parc_agrup!G:G,Conciliacao!A128)</f>
        <v/>
      </c>
      <c r="E128" s="3">
        <f>SUMIFS(df_eventos!F:F,df_eventos!H:H,Conciliacao!A128)</f>
        <v/>
      </c>
      <c r="F128" s="3">
        <f>SUMIFS(df_mutuos!M:M,df_mutuos!B:B,Conciliacao!A128)</f>
        <v/>
      </c>
      <c r="G128" s="6">
        <f>SUMIFS(df_bloqueios_judiciais!G:G,df_bloqueios_judiciais!D:D,Conciliacao!A128,df_bloqueios_judiciais!G:G,"&gt;0")</f>
        <v/>
      </c>
      <c r="H128" s="7">
        <f>SUMIFS(df_extratos!I:I,df_extratos!F:F,Conciliacao!BE128,df_extratos!G:G,"CREDITO")+SUMIFS(df_extratos!I:I,df_extratos!F:F,Conciliacao!A128,df_extratos!G:G,"CREDITO")+SUMIFS(df_extratos!I:I,df_extratos!F:F,Conciliacao!BF128,df_extratos!G:G,"CREDITO")+SUMIFS(df_extratos!I:I,df_extratos!F:F,Conciliacao!BG128,df_extratos!G:G,"CREDITO")+SUMIFS(df_extratos!I:I,df_extratos!F:F,Conciliacao!BH128,df_extratos!G:G,"CREDITO")</f>
        <v/>
      </c>
      <c r="I128" s="9">
        <f>H128-SUM(B128:G128)</f>
        <v/>
      </c>
      <c r="J128" s="4">
        <f>SUMIFS(df_blueme_sem_parcelamento!E:E,df_blueme_sem_parcelamento!H:H,Conciliacao!A128)*(-1)</f>
        <v/>
      </c>
      <c r="K128" s="4">
        <f>SUMIFS(df_blueme_com_parcelamento!J:J,df_blueme_com_parcelamento!M:M,Conciliacao!A128)*(-1)</f>
        <v/>
      </c>
      <c r="L128" s="4">
        <f>SUMIFS(df_mutuos!N:N,df_mutuos!B:B,Conciliacao!A128)*(-1)</f>
        <v/>
      </c>
      <c r="M128" s="8">
        <f>SUMIFS(df_bloqueios_judiciais!G:G,df_bloqueios_judiciais!D:D,Conciliacao!A128,df_bloqueios_judiciais!G:G,"&lt;0")</f>
        <v/>
      </c>
      <c r="N128" s="10">
        <f>SUMIFS(df_extratos!I:I,df_extratos!F:F,Conciliacao!BE128,df_extratos!G:G,"DEBITO")+SUMIFS(df_extratos!I:I,df_extratos!F:F,Conciliacao!A128,df_extratos!G:G,"DEBITO")+SUMIFS(df_extratos!I:I,df_extratos!F:F,Conciliacao!BF128,df_extratos!G:G,"DEBITO")+SUMIFS(df_extratos!I:I,df_extratos!F:F,Conciliacao!BG128,df_extratos!G:G,"DEBITO")+SUMIFS(df_extratos!I:I,df_extratos!F:F,Conciliacao!BH128,df_extratos!G:G,"DEBITO")</f>
        <v/>
      </c>
      <c r="O128" s="11">
        <f>N128-SUM(J128:M128)</f>
        <v/>
      </c>
      <c r="P128" s="25">
        <f>SUMIFS(df_ajustes_conciliaco!D:D,df_ajustes_conciliaco!C:C,Conciliacao!A128)</f>
        <v/>
      </c>
      <c r="Q128" s="22">
        <f>O128+I128-P128</f>
        <v/>
      </c>
      <c r="BE128" s="20" t="n">
        <v>45784.5</v>
      </c>
      <c r="BF128" s="20" t="n">
        <v>45784.125</v>
      </c>
      <c r="BG128" s="20" t="n">
        <v>45784.54166666666</v>
      </c>
      <c r="BH128" s="20" t="n">
        <v>45784.625</v>
      </c>
    </row>
    <row r="129">
      <c r="A129" s="5">
        <f>A128+1</f>
        <v/>
      </c>
      <c r="B129" s="3">
        <f>-SUMIFS(df_extrato_zig!G:G,df_extrato_zig!E:E,Conciliacao!A129,df_extrato_zig!D:D,"Saque")-SUMIFS(df_extrato_zig!G:G,df_extrato_zig!E:E,Conciliacao!A129,df_extrato_zig!D:D,"Antecipação")</f>
        <v/>
      </c>
      <c r="C129" s="3">
        <f>SUMIFS(df_extrato_zig!E:E,df_extrato_zig!L:L,Conciliacao!A129,df_extrato_zig!F:F,"DINHEIRO")</f>
        <v/>
      </c>
      <c r="D129" s="3">
        <f>SUMIFS(view_parc_agrup!H:H,view_parc_agrup!G:G,Conciliacao!A129)</f>
        <v/>
      </c>
      <c r="E129" s="3">
        <f>SUMIFS(df_eventos!F:F,df_eventos!H:H,Conciliacao!A129)</f>
        <v/>
      </c>
      <c r="F129" s="3">
        <f>SUMIFS(df_mutuos!M:M,df_mutuos!B:B,Conciliacao!A129)</f>
        <v/>
      </c>
      <c r="G129" s="6">
        <f>SUMIFS(df_bloqueios_judiciais!G:G,df_bloqueios_judiciais!D:D,Conciliacao!A129,df_bloqueios_judiciais!G:G,"&gt;0")</f>
        <v/>
      </c>
      <c r="H129" s="7">
        <f>SUMIFS(df_extratos!I:I,df_extratos!F:F,Conciliacao!BE129,df_extratos!G:G,"CREDITO")+SUMIFS(df_extratos!I:I,df_extratos!F:F,Conciliacao!A129,df_extratos!G:G,"CREDITO")+SUMIFS(df_extratos!I:I,df_extratos!F:F,Conciliacao!BF129,df_extratos!G:G,"CREDITO")+SUMIFS(df_extratos!I:I,df_extratos!F:F,Conciliacao!BG129,df_extratos!G:G,"CREDITO")+SUMIFS(df_extratos!I:I,df_extratos!F:F,Conciliacao!BH129,df_extratos!G:G,"CREDITO")</f>
        <v/>
      </c>
      <c r="I129" s="9">
        <f>H129-SUM(B129:G129)</f>
        <v/>
      </c>
      <c r="J129" s="4">
        <f>SUMIFS(df_blueme_sem_parcelamento!E:E,df_blueme_sem_parcelamento!H:H,Conciliacao!A129)*(-1)</f>
        <v/>
      </c>
      <c r="K129" s="4">
        <f>SUMIFS(df_blueme_com_parcelamento!J:J,df_blueme_com_parcelamento!M:M,Conciliacao!A129)*(-1)</f>
        <v/>
      </c>
      <c r="L129" s="4">
        <f>SUMIFS(df_mutuos!N:N,df_mutuos!B:B,Conciliacao!A129)*(-1)</f>
        <v/>
      </c>
      <c r="M129" s="8">
        <f>SUMIFS(df_bloqueios_judiciais!G:G,df_bloqueios_judiciais!D:D,Conciliacao!A129,df_bloqueios_judiciais!G:G,"&lt;0")</f>
        <v/>
      </c>
      <c r="N129" s="10">
        <f>SUMIFS(df_extratos!I:I,df_extratos!F:F,Conciliacao!BE129,df_extratos!G:G,"DEBITO")+SUMIFS(df_extratos!I:I,df_extratos!F:F,Conciliacao!A129,df_extratos!G:G,"DEBITO")+SUMIFS(df_extratos!I:I,df_extratos!F:F,Conciliacao!BF129,df_extratos!G:G,"DEBITO")+SUMIFS(df_extratos!I:I,df_extratos!F:F,Conciliacao!BG129,df_extratos!G:G,"DEBITO")+SUMIFS(df_extratos!I:I,df_extratos!F:F,Conciliacao!BH129,df_extratos!G:G,"DEBITO")</f>
        <v/>
      </c>
      <c r="O129" s="11">
        <f>N129-SUM(J129:M129)</f>
        <v/>
      </c>
      <c r="P129" s="25">
        <f>SUMIFS(df_ajustes_conciliaco!D:D,df_ajustes_conciliaco!C:C,Conciliacao!A129)</f>
        <v/>
      </c>
      <c r="Q129" s="22">
        <f>O129+I129-P129</f>
        <v/>
      </c>
      <c r="BE129" s="20" t="n">
        <v>45785.5</v>
      </c>
      <c r="BF129" s="20" t="n">
        <v>45785.125</v>
      </c>
      <c r="BG129" s="20" t="n">
        <v>45785.54166666666</v>
      </c>
      <c r="BH129" s="20" t="n">
        <v>45785.625</v>
      </c>
    </row>
    <row r="130">
      <c r="A130" s="5">
        <f>A129+1</f>
        <v/>
      </c>
      <c r="B130" s="3">
        <f>-SUMIFS(df_extrato_zig!G:G,df_extrato_zig!E:E,Conciliacao!A130,df_extrato_zig!D:D,"Saque")-SUMIFS(df_extrato_zig!G:G,df_extrato_zig!E:E,Conciliacao!A130,df_extrato_zig!D:D,"Antecipação")</f>
        <v/>
      </c>
      <c r="C130" s="3">
        <f>SUMIFS(df_extrato_zig!E:E,df_extrato_zig!L:L,Conciliacao!A130,df_extrato_zig!F:F,"DINHEIRO")</f>
        <v/>
      </c>
      <c r="D130" s="3">
        <f>SUMIFS(view_parc_agrup!H:H,view_parc_agrup!G:G,Conciliacao!A130)</f>
        <v/>
      </c>
      <c r="E130" s="3">
        <f>SUMIFS(df_eventos!F:F,df_eventos!H:H,Conciliacao!A130)</f>
        <v/>
      </c>
      <c r="F130" s="3">
        <f>SUMIFS(df_mutuos!M:M,df_mutuos!B:B,Conciliacao!A130)</f>
        <v/>
      </c>
      <c r="G130" s="6">
        <f>SUMIFS(df_bloqueios_judiciais!G:G,df_bloqueios_judiciais!D:D,Conciliacao!A130,df_bloqueios_judiciais!G:G,"&gt;0")</f>
        <v/>
      </c>
      <c r="H130" s="7">
        <f>SUMIFS(df_extratos!I:I,df_extratos!F:F,Conciliacao!BE130,df_extratos!G:G,"CREDITO")+SUMIFS(df_extratos!I:I,df_extratos!F:F,Conciliacao!A130,df_extratos!G:G,"CREDITO")+SUMIFS(df_extratos!I:I,df_extratos!F:F,Conciliacao!BF130,df_extratos!G:G,"CREDITO")+SUMIFS(df_extratos!I:I,df_extratos!F:F,Conciliacao!BG130,df_extratos!G:G,"CREDITO")+SUMIFS(df_extratos!I:I,df_extratos!F:F,Conciliacao!BH130,df_extratos!G:G,"CREDITO")</f>
        <v/>
      </c>
      <c r="I130" s="9">
        <f>H130-SUM(B130:G130)</f>
        <v/>
      </c>
      <c r="J130" s="4">
        <f>SUMIFS(df_blueme_sem_parcelamento!E:E,df_blueme_sem_parcelamento!H:H,Conciliacao!A130)*(-1)</f>
        <v/>
      </c>
      <c r="K130" s="4">
        <f>SUMIFS(df_blueme_com_parcelamento!J:J,df_blueme_com_parcelamento!M:M,Conciliacao!A130)*(-1)</f>
        <v/>
      </c>
      <c r="L130" s="4">
        <f>SUMIFS(df_mutuos!N:N,df_mutuos!B:B,Conciliacao!A130)*(-1)</f>
        <v/>
      </c>
      <c r="M130" s="8">
        <f>SUMIFS(df_bloqueios_judiciais!G:G,df_bloqueios_judiciais!D:D,Conciliacao!A130,df_bloqueios_judiciais!G:G,"&lt;0")</f>
        <v/>
      </c>
      <c r="N130" s="10">
        <f>SUMIFS(df_extratos!I:I,df_extratos!F:F,Conciliacao!BE130,df_extratos!G:G,"DEBITO")+SUMIFS(df_extratos!I:I,df_extratos!F:F,Conciliacao!A130,df_extratos!G:G,"DEBITO")+SUMIFS(df_extratos!I:I,df_extratos!F:F,Conciliacao!BF130,df_extratos!G:G,"DEBITO")+SUMIFS(df_extratos!I:I,df_extratos!F:F,Conciliacao!BG130,df_extratos!G:G,"DEBITO")+SUMIFS(df_extratos!I:I,df_extratos!F:F,Conciliacao!BH130,df_extratos!G:G,"DEBITO")</f>
        <v/>
      </c>
      <c r="O130" s="11">
        <f>N130-SUM(J130:M130)</f>
        <v/>
      </c>
      <c r="P130" s="25">
        <f>SUMIFS(df_ajustes_conciliaco!D:D,df_ajustes_conciliaco!C:C,Conciliacao!A130)</f>
        <v/>
      </c>
      <c r="Q130" s="22">
        <f>O130+I130-P130</f>
        <v/>
      </c>
      <c r="BE130" s="20" t="n">
        <v>45786.5</v>
      </c>
      <c r="BF130" s="20" t="n">
        <v>45786.125</v>
      </c>
      <c r="BG130" s="20" t="n">
        <v>45786.54166666666</v>
      </c>
      <c r="BH130" s="20" t="n">
        <v>45786.625</v>
      </c>
    </row>
    <row r="131">
      <c r="A131" s="5">
        <f>A130+1</f>
        <v/>
      </c>
      <c r="B131" s="3">
        <f>-SUMIFS(df_extrato_zig!G:G,df_extrato_zig!E:E,Conciliacao!A131,df_extrato_zig!D:D,"Saque")-SUMIFS(df_extrato_zig!G:G,df_extrato_zig!E:E,Conciliacao!A131,df_extrato_zig!D:D,"Antecipação")</f>
        <v/>
      </c>
      <c r="C131" s="3">
        <f>SUMIFS(df_extrato_zig!E:E,df_extrato_zig!L:L,Conciliacao!A131,df_extrato_zig!F:F,"DINHEIRO")</f>
        <v/>
      </c>
      <c r="D131" s="3">
        <f>SUMIFS(view_parc_agrup!H:H,view_parc_agrup!G:G,Conciliacao!A131)</f>
        <v/>
      </c>
      <c r="E131" s="3">
        <f>SUMIFS(df_eventos!F:F,df_eventos!H:H,Conciliacao!A131)</f>
        <v/>
      </c>
      <c r="F131" s="3">
        <f>SUMIFS(df_mutuos!M:M,df_mutuos!B:B,Conciliacao!A131)</f>
        <v/>
      </c>
      <c r="G131" s="6">
        <f>SUMIFS(df_bloqueios_judiciais!G:G,df_bloqueios_judiciais!D:D,Conciliacao!A131,df_bloqueios_judiciais!G:G,"&gt;0")</f>
        <v/>
      </c>
      <c r="H131" s="7">
        <f>SUMIFS(df_extratos!I:I,df_extratos!F:F,Conciliacao!BE131,df_extratos!G:G,"CREDITO")+SUMIFS(df_extratos!I:I,df_extratos!F:F,Conciliacao!A131,df_extratos!G:G,"CREDITO")+SUMIFS(df_extratos!I:I,df_extratos!F:F,Conciliacao!BF131,df_extratos!G:G,"CREDITO")+SUMIFS(df_extratos!I:I,df_extratos!F:F,Conciliacao!BG131,df_extratos!G:G,"CREDITO")+SUMIFS(df_extratos!I:I,df_extratos!F:F,Conciliacao!BH131,df_extratos!G:G,"CREDITO")</f>
        <v/>
      </c>
      <c r="I131" s="9">
        <f>H131-SUM(B131:G131)</f>
        <v/>
      </c>
      <c r="J131" s="4">
        <f>SUMIFS(df_blueme_sem_parcelamento!E:E,df_blueme_sem_parcelamento!H:H,Conciliacao!A131)*(-1)</f>
        <v/>
      </c>
      <c r="K131" s="4">
        <f>SUMIFS(df_blueme_com_parcelamento!J:J,df_blueme_com_parcelamento!M:M,Conciliacao!A131)*(-1)</f>
        <v/>
      </c>
      <c r="L131" s="4">
        <f>SUMIFS(df_mutuos!N:N,df_mutuos!B:B,Conciliacao!A131)*(-1)</f>
        <v/>
      </c>
      <c r="M131" s="8">
        <f>SUMIFS(df_bloqueios_judiciais!G:G,df_bloqueios_judiciais!D:D,Conciliacao!A131,df_bloqueios_judiciais!G:G,"&lt;0")</f>
        <v/>
      </c>
      <c r="N131" s="10">
        <f>SUMIFS(df_extratos!I:I,df_extratos!F:F,Conciliacao!BE131,df_extratos!G:G,"DEBITO")+SUMIFS(df_extratos!I:I,df_extratos!F:F,Conciliacao!A131,df_extratos!G:G,"DEBITO")+SUMIFS(df_extratos!I:I,df_extratos!F:F,Conciliacao!BF131,df_extratos!G:G,"DEBITO")+SUMIFS(df_extratos!I:I,df_extratos!F:F,Conciliacao!BG131,df_extratos!G:G,"DEBITO")+SUMIFS(df_extratos!I:I,df_extratos!F:F,Conciliacao!BH131,df_extratos!G:G,"DEBITO")</f>
        <v/>
      </c>
      <c r="O131" s="11">
        <f>N131-SUM(J131:M131)</f>
        <v/>
      </c>
      <c r="P131" s="25">
        <f>SUMIFS(df_ajustes_conciliaco!D:D,df_ajustes_conciliaco!C:C,Conciliacao!A131)</f>
        <v/>
      </c>
      <c r="Q131" s="22">
        <f>O131+I131-P131</f>
        <v/>
      </c>
      <c r="BE131" s="20" t="n">
        <v>45787.5</v>
      </c>
      <c r="BF131" s="20" t="n">
        <v>45787.125</v>
      </c>
      <c r="BG131" s="20" t="n">
        <v>45787.54166666666</v>
      </c>
      <c r="BH131" s="20" t="n">
        <v>45787.625</v>
      </c>
    </row>
    <row r="132">
      <c r="A132" s="5">
        <f>A131+1</f>
        <v/>
      </c>
      <c r="B132" s="3">
        <f>-SUMIFS(df_extrato_zig!G:G,df_extrato_zig!E:E,Conciliacao!A132,df_extrato_zig!D:D,"Saque")-SUMIFS(df_extrato_zig!G:G,df_extrato_zig!E:E,Conciliacao!A132,df_extrato_zig!D:D,"Antecipação")</f>
        <v/>
      </c>
      <c r="C132" s="3">
        <f>SUMIFS(df_extrato_zig!E:E,df_extrato_zig!L:L,Conciliacao!A132,df_extrato_zig!F:F,"DINHEIRO")</f>
        <v/>
      </c>
      <c r="D132" s="3">
        <f>SUMIFS(view_parc_agrup!H:H,view_parc_agrup!G:G,Conciliacao!A132)</f>
        <v/>
      </c>
      <c r="E132" s="3">
        <f>SUMIFS(df_eventos!F:F,df_eventos!H:H,Conciliacao!A132)</f>
        <v/>
      </c>
      <c r="F132" s="3">
        <f>SUMIFS(df_mutuos!M:M,df_mutuos!B:B,Conciliacao!A132)</f>
        <v/>
      </c>
      <c r="G132" s="6">
        <f>SUMIFS(df_bloqueios_judiciais!G:G,df_bloqueios_judiciais!D:D,Conciliacao!A132,df_bloqueios_judiciais!G:G,"&gt;0")</f>
        <v/>
      </c>
      <c r="H132" s="7">
        <f>SUMIFS(df_extratos!I:I,df_extratos!F:F,Conciliacao!BE132,df_extratos!G:G,"CREDITO")+SUMIFS(df_extratos!I:I,df_extratos!F:F,Conciliacao!A132,df_extratos!G:G,"CREDITO")+SUMIFS(df_extratos!I:I,df_extratos!F:F,Conciliacao!BF132,df_extratos!G:G,"CREDITO")+SUMIFS(df_extratos!I:I,df_extratos!F:F,Conciliacao!BG132,df_extratos!G:G,"CREDITO")+SUMIFS(df_extratos!I:I,df_extratos!F:F,Conciliacao!BH132,df_extratos!G:G,"CREDITO")</f>
        <v/>
      </c>
      <c r="I132" s="9">
        <f>H132-SUM(B132:G132)</f>
        <v/>
      </c>
      <c r="J132" s="4">
        <f>SUMIFS(df_blueme_sem_parcelamento!E:E,df_blueme_sem_parcelamento!H:H,Conciliacao!A132)*(-1)</f>
        <v/>
      </c>
      <c r="K132" s="4">
        <f>SUMIFS(df_blueme_com_parcelamento!J:J,df_blueme_com_parcelamento!M:M,Conciliacao!A132)*(-1)</f>
        <v/>
      </c>
      <c r="L132" s="4">
        <f>SUMIFS(df_mutuos!N:N,df_mutuos!B:B,Conciliacao!A132)*(-1)</f>
        <v/>
      </c>
      <c r="M132" s="8">
        <f>SUMIFS(df_bloqueios_judiciais!G:G,df_bloqueios_judiciais!D:D,Conciliacao!A132,df_bloqueios_judiciais!G:G,"&lt;0")</f>
        <v/>
      </c>
      <c r="N132" s="10">
        <f>SUMIFS(df_extratos!I:I,df_extratos!F:F,Conciliacao!BE132,df_extratos!G:G,"DEBITO")+SUMIFS(df_extratos!I:I,df_extratos!F:F,Conciliacao!A132,df_extratos!G:G,"DEBITO")+SUMIFS(df_extratos!I:I,df_extratos!F:F,Conciliacao!BF132,df_extratos!G:G,"DEBITO")+SUMIFS(df_extratos!I:I,df_extratos!F:F,Conciliacao!BG132,df_extratos!G:G,"DEBITO")+SUMIFS(df_extratos!I:I,df_extratos!F:F,Conciliacao!BH132,df_extratos!G:G,"DEBITO")</f>
        <v/>
      </c>
      <c r="O132" s="11">
        <f>N132-SUM(J132:M132)</f>
        <v/>
      </c>
      <c r="P132" s="25">
        <f>SUMIFS(df_ajustes_conciliaco!D:D,df_ajustes_conciliaco!C:C,Conciliacao!A132)</f>
        <v/>
      </c>
      <c r="Q132" s="22">
        <f>O132+I132-P132</f>
        <v/>
      </c>
      <c r="BE132" s="20" t="n">
        <v>45788.5</v>
      </c>
      <c r="BF132" s="20" t="n">
        <v>45788.125</v>
      </c>
      <c r="BG132" s="20" t="n">
        <v>45788.54166666666</v>
      </c>
      <c r="BH132" s="20" t="n">
        <v>45788.625</v>
      </c>
    </row>
    <row r="133">
      <c r="A133" s="5">
        <f>A132+1</f>
        <v/>
      </c>
      <c r="B133" s="3">
        <f>-SUMIFS(df_extrato_zig!G:G,df_extrato_zig!E:E,Conciliacao!A133,df_extrato_zig!D:D,"Saque")-SUMIFS(df_extrato_zig!G:G,df_extrato_zig!E:E,Conciliacao!A133,df_extrato_zig!D:D,"Antecipação")</f>
        <v/>
      </c>
      <c r="C133" s="3">
        <f>SUMIFS(df_extrato_zig!E:E,df_extrato_zig!L:L,Conciliacao!A133,df_extrato_zig!F:F,"DINHEIRO")</f>
        <v/>
      </c>
      <c r="D133" s="3">
        <f>SUMIFS(view_parc_agrup!H:H,view_parc_agrup!G:G,Conciliacao!A133)</f>
        <v/>
      </c>
      <c r="E133" s="3">
        <f>SUMIFS(df_eventos!F:F,df_eventos!H:H,Conciliacao!A133)</f>
        <v/>
      </c>
      <c r="F133" s="3">
        <f>SUMIFS(df_mutuos!M:M,df_mutuos!B:B,Conciliacao!A133)</f>
        <v/>
      </c>
      <c r="G133" s="6">
        <f>SUMIFS(df_bloqueios_judiciais!G:G,df_bloqueios_judiciais!D:D,Conciliacao!A133,df_bloqueios_judiciais!G:G,"&gt;0")</f>
        <v/>
      </c>
      <c r="H133" s="7">
        <f>SUMIFS(df_extratos!I:I,df_extratos!F:F,Conciliacao!BE133,df_extratos!G:G,"CREDITO")+SUMIFS(df_extratos!I:I,df_extratos!F:F,Conciliacao!A133,df_extratos!G:G,"CREDITO")+SUMIFS(df_extratos!I:I,df_extratos!F:F,Conciliacao!BF133,df_extratos!G:G,"CREDITO")+SUMIFS(df_extratos!I:I,df_extratos!F:F,Conciliacao!BG133,df_extratos!G:G,"CREDITO")+SUMIFS(df_extratos!I:I,df_extratos!F:F,Conciliacao!BH133,df_extratos!G:G,"CREDITO")</f>
        <v/>
      </c>
      <c r="I133" s="9">
        <f>H133-SUM(B133:G133)</f>
        <v/>
      </c>
      <c r="J133" s="4">
        <f>SUMIFS(df_blueme_sem_parcelamento!E:E,df_blueme_sem_parcelamento!H:H,Conciliacao!A133)*(-1)</f>
        <v/>
      </c>
      <c r="K133" s="4">
        <f>SUMIFS(df_blueme_com_parcelamento!J:J,df_blueme_com_parcelamento!M:M,Conciliacao!A133)*(-1)</f>
        <v/>
      </c>
      <c r="L133" s="4">
        <f>SUMIFS(df_mutuos!N:N,df_mutuos!B:B,Conciliacao!A133)*(-1)</f>
        <v/>
      </c>
      <c r="M133" s="8">
        <f>SUMIFS(df_bloqueios_judiciais!G:G,df_bloqueios_judiciais!D:D,Conciliacao!A133,df_bloqueios_judiciais!G:G,"&lt;0")</f>
        <v/>
      </c>
      <c r="N133" s="10">
        <f>SUMIFS(df_extratos!I:I,df_extratos!F:F,Conciliacao!BE133,df_extratos!G:G,"DEBITO")+SUMIFS(df_extratos!I:I,df_extratos!F:F,Conciliacao!A133,df_extratos!G:G,"DEBITO")+SUMIFS(df_extratos!I:I,df_extratos!F:F,Conciliacao!BF133,df_extratos!G:G,"DEBITO")+SUMIFS(df_extratos!I:I,df_extratos!F:F,Conciliacao!BG133,df_extratos!G:G,"DEBITO")+SUMIFS(df_extratos!I:I,df_extratos!F:F,Conciliacao!BH133,df_extratos!G:G,"DEBITO")</f>
        <v/>
      </c>
      <c r="O133" s="11">
        <f>N133-SUM(J133:M133)</f>
        <v/>
      </c>
      <c r="P133" s="25">
        <f>SUMIFS(df_ajustes_conciliaco!D:D,df_ajustes_conciliaco!C:C,Conciliacao!A133)</f>
        <v/>
      </c>
      <c r="Q133" s="22">
        <f>O133+I133-P133</f>
        <v/>
      </c>
      <c r="BE133" s="20" t="n">
        <v>45789.5</v>
      </c>
      <c r="BF133" s="20" t="n">
        <v>45789.125</v>
      </c>
      <c r="BG133" s="20" t="n">
        <v>45789.54166666666</v>
      </c>
      <c r="BH133" s="20" t="n">
        <v>45789.625</v>
      </c>
    </row>
    <row r="134">
      <c r="A134" s="5">
        <f>A133+1</f>
        <v/>
      </c>
      <c r="B134" s="3">
        <f>-SUMIFS(df_extrato_zig!G:G,df_extrato_zig!E:E,Conciliacao!A134,df_extrato_zig!D:D,"Saque")-SUMIFS(df_extrato_zig!G:G,df_extrato_zig!E:E,Conciliacao!A134,df_extrato_zig!D:D,"Antecipação")</f>
        <v/>
      </c>
      <c r="C134" s="3">
        <f>SUMIFS(df_extrato_zig!E:E,df_extrato_zig!L:L,Conciliacao!A134,df_extrato_zig!F:F,"DINHEIRO")</f>
        <v/>
      </c>
      <c r="D134" s="3">
        <f>SUMIFS(view_parc_agrup!H:H,view_parc_agrup!G:G,Conciliacao!A134)</f>
        <v/>
      </c>
      <c r="E134" s="3">
        <f>SUMIFS(df_eventos!F:F,df_eventos!H:H,Conciliacao!A134)</f>
        <v/>
      </c>
      <c r="F134" s="3">
        <f>SUMIFS(df_mutuos!M:M,df_mutuos!B:B,Conciliacao!A134)</f>
        <v/>
      </c>
      <c r="G134" s="6">
        <f>SUMIFS(df_bloqueios_judiciais!G:G,df_bloqueios_judiciais!D:D,Conciliacao!A134,df_bloqueios_judiciais!G:G,"&gt;0")</f>
        <v/>
      </c>
      <c r="H134" s="7">
        <f>SUMIFS(df_extratos!I:I,df_extratos!F:F,Conciliacao!BE134,df_extratos!G:G,"CREDITO")+SUMIFS(df_extratos!I:I,df_extratos!F:F,Conciliacao!A134,df_extratos!G:G,"CREDITO")+SUMIFS(df_extratos!I:I,df_extratos!F:F,Conciliacao!BF134,df_extratos!G:G,"CREDITO")+SUMIFS(df_extratos!I:I,df_extratos!F:F,Conciliacao!BG134,df_extratos!G:G,"CREDITO")+SUMIFS(df_extratos!I:I,df_extratos!F:F,Conciliacao!BH134,df_extratos!G:G,"CREDITO")</f>
        <v/>
      </c>
      <c r="I134" s="9">
        <f>H134-SUM(B134:G134)</f>
        <v/>
      </c>
      <c r="J134" s="4">
        <f>SUMIFS(df_blueme_sem_parcelamento!E:E,df_blueme_sem_parcelamento!H:H,Conciliacao!A134)*(-1)</f>
        <v/>
      </c>
      <c r="K134" s="4">
        <f>SUMIFS(df_blueme_com_parcelamento!J:J,df_blueme_com_parcelamento!M:M,Conciliacao!A134)*(-1)</f>
        <v/>
      </c>
      <c r="L134" s="4">
        <f>SUMIFS(df_mutuos!N:N,df_mutuos!B:B,Conciliacao!A134)*(-1)</f>
        <v/>
      </c>
      <c r="M134" s="8">
        <f>SUMIFS(df_bloqueios_judiciais!G:G,df_bloqueios_judiciais!D:D,Conciliacao!A134,df_bloqueios_judiciais!G:G,"&lt;0")</f>
        <v/>
      </c>
      <c r="N134" s="10">
        <f>SUMIFS(df_extratos!I:I,df_extratos!F:F,Conciliacao!BE134,df_extratos!G:G,"DEBITO")+SUMIFS(df_extratos!I:I,df_extratos!F:F,Conciliacao!A134,df_extratos!G:G,"DEBITO")+SUMIFS(df_extratos!I:I,df_extratos!F:F,Conciliacao!BF134,df_extratos!G:G,"DEBITO")+SUMIFS(df_extratos!I:I,df_extratos!F:F,Conciliacao!BG134,df_extratos!G:G,"DEBITO")+SUMIFS(df_extratos!I:I,df_extratos!F:F,Conciliacao!BH134,df_extratos!G:G,"DEBITO")</f>
        <v/>
      </c>
      <c r="O134" s="11">
        <f>N134-SUM(J134:M134)</f>
        <v/>
      </c>
      <c r="P134" s="25">
        <f>SUMIFS(df_ajustes_conciliaco!D:D,df_ajustes_conciliaco!C:C,Conciliacao!A134)</f>
        <v/>
      </c>
      <c r="Q134" s="22">
        <f>O134+I134-P134</f>
        <v/>
      </c>
      <c r="BE134" s="20" t="n">
        <v>45790.5</v>
      </c>
      <c r="BF134" s="20" t="n">
        <v>45790.125</v>
      </c>
      <c r="BG134" s="20" t="n">
        <v>45790.54166666666</v>
      </c>
      <c r="BH134" s="20" t="n">
        <v>45790.625</v>
      </c>
    </row>
    <row r="135">
      <c r="A135" s="5">
        <f>A134+1</f>
        <v/>
      </c>
      <c r="B135" s="3">
        <f>-SUMIFS(df_extrato_zig!G:G,df_extrato_zig!E:E,Conciliacao!A135,df_extrato_zig!D:D,"Saque")-SUMIFS(df_extrato_zig!G:G,df_extrato_zig!E:E,Conciliacao!A135,df_extrato_zig!D:D,"Antecipação")</f>
        <v/>
      </c>
      <c r="C135" s="3">
        <f>SUMIFS(df_extrato_zig!E:E,df_extrato_zig!L:L,Conciliacao!A135,df_extrato_zig!F:F,"DINHEIRO")</f>
        <v/>
      </c>
      <c r="D135" s="3">
        <f>SUMIFS(view_parc_agrup!H:H,view_parc_agrup!G:G,Conciliacao!A135)</f>
        <v/>
      </c>
      <c r="E135" s="3">
        <f>SUMIFS(df_eventos!F:F,df_eventos!H:H,Conciliacao!A135)</f>
        <v/>
      </c>
      <c r="F135" s="3">
        <f>SUMIFS(df_mutuos!M:M,df_mutuos!B:B,Conciliacao!A135)</f>
        <v/>
      </c>
      <c r="G135" s="6">
        <f>SUMIFS(df_bloqueios_judiciais!G:G,df_bloqueios_judiciais!D:D,Conciliacao!A135,df_bloqueios_judiciais!G:G,"&gt;0")</f>
        <v/>
      </c>
      <c r="H135" s="7">
        <f>SUMIFS(df_extratos!I:I,df_extratos!F:F,Conciliacao!BE135,df_extratos!G:G,"CREDITO")+SUMIFS(df_extratos!I:I,df_extratos!F:F,Conciliacao!A135,df_extratos!G:G,"CREDITO")+SUMIFS(df_extratos!I:I,df_extratos!F:F,Conciliacao!BF135,df_extratos!G:G,"CREDITO")+SUMIFS(df_extratos!I:I,df_extratos!F:F,Conciliacao!BG135,df_extratos!G:G,"CREDITO")+SUMIFS(df_extratos!I:I,df_extratos!F:F,Conciliacao!BH135,df_extratos!G:G,"CREDITO")</f>
        <v/>
      </c>
      <c r="I135" s="9">
        <f>H135-SUM(B135:G135)</f>
        <v/>
      </c>
      <c r="J135" s="4">
        <f>SUMIFS(df_blueme_sem_parcelamento!E:E,df_blueme_sem_parcelamento!H:H,Conciliacao!A135)*(-1)</f>
        <v/>
      </c>
      <c r="K135" s="4">
        <f>SUMIFS(df_blueme_com_parcelamento!J:J,df_blueme_com_parcelamento!M:M,Conciliacao!A135)*(-1)</f>
        <v/>
      </c>
      <c r="L135" s="4">
        <f>SUMIFS(df_mutuos!N:N,df_mutuos!B:B,Conciliacao!A135)*(-1)</f>
        <v/>
      </c>
      <c r="M135" s="8">
        <f>SUMIFS(df_bloqueios_judiciais!G:G,df_bloqueios_judiciais!D:D,Conciliacao!A135,df_bloqueios_judiciais!G:G,"&lt;0")</f>
        <v/>
      </c>
      <c r="N135" s="10">
        <f>SUMIFS(df_extratos!I:I,df_extratos!F:F,Conciliacao!BE135,df_extratos!G:G,"DEBITO")+SUMIFS(df_extratos!I:I,df_extratos!F:F,Conciliacao!A135,df_extratos!G:G,"DEBITO")+SUMIFS(df_extratos!I:I,df_extratos!F:F,Conciliacao!BF135,df_extratos!G:G,"DEBITO")+SUMIFS(df_extratos!I:I,df_extratos!F:F,Conciliacao!BG135,df_extratos!G:G,"DEBITO")+SUMIFS(df_extratos!I:I,df_extratos!F:F,Conciliacao!BH135,df_extratos!G:G,"DEBITO")</f>
        <v/>
      </c>
      <c r="O135" s="11">
        <f>N135-SUM(J135:M135)</f>
        <v/>
      </c>
      <c r="P135" s="25">
        <f>SUMIFS(df_ajustes_conciliaco!D:D,df_ajustes_conciliaco!C:C,Conciliacao!A135)</f>
        <v/>
      </c>
      <c r="Q135" s="22">
        <f>O135+I135-P135</f>
        <v/>
      </c>
      <c r="BE135" s="20" t="n">
        <v>45791.5</v>
      </c>
      <c r="BF135" s="20" t="n">
        <v>45791.125</v>
      </c>
      <c r="BG135" s="20" t="n">
        <v>45791.54166666666</v>
      </c>
      <c r="BH135" s="20" t="n">
        <v>45791.625</v>
      </c>
    </row>
    <row r="136">
      <c r="A136" s="5">
        <f>A135+1</f>
        <v/>
      </c>
      <c r="B136" s="3">
        <f>-SUMIFS(df_extrato_zig!G:G,df_extrato_zig!E:E,Conciliacao!A136,df_extrato_zig!D:D,"Saque")-SUMIFS(df_extrato_zig!G:G,df_extrato_zig!E:E,Conciliacao!A136,df_extrato_zig!D:D,"Antecipação")</f>
        <v/>
      </c>
      <c r="C136" s="3">
        <f>SUMIFS(df_extrato_zig!E:E,df_extrato_zig!L:L,Conciliacao!A136,df_extrato_zig!F:F,"DINHEIRO")</f>
        <v/>
      </c>
      <c r="D136" s="3">
        <f>SUMIFS(view_parc_agrup!H:H,view_parc_agrup!G:G,Conciliacao!A136)</f>
        <v/>
      </c>
      <c r="E136" s="3">
        <f>SUMIFS(df_eventos!F:F,df_eventos!H:H,Conciliacao!A136)</f>
        <v/>
      </c>
      <c r="F136" s="3">
        <f>SUMIFS(df_mutuos!M:M,df_mutuos!B:B,Conciliacao!A136)</f>
        <v/>
      </c>
      <c r="G136" s="6">
        <f>SUMIFS(df_bloqueios_judiciais!G:G,df_bloqueios_judiciais!D:D,Conciliacao!A136,df_bloqueios_judiciais!G:G,"&gt;0")</f>
        <v/>
      </c>
      <c r="H136" s="7">
        <f>SUMIFS(df_extratos!I:I,df_extratos!F:F,Conciliacao!BE136,df_extratos!G:G,"CREDITO")+SUMIFS(df_extratos!I:I,df_extratos!F:F,Conciliacao!A136,df_extratos!G:G,"CREDITO")+SUMIFS(df_extratos!I:I,df_extratos!F:F,Conciliacao!BF136,df_extratos!G:G,"CREDITO")+SUMIFS(df_extratos!I:I,df_extratos!F:F,Conciliacao!BG136,df_extratos!G:G,"CREDITO")+SUMIFS(df_extratos!I:I,df_extratos!F:F,Conciliacao!BH136,df_extratos!G:G,"CREDITO")</f>
        <v/>
      </c>
      <c r="I136" s="9">
        <f>H136-SUM(B136:G136)</f>
        <v/>
      </c>
      <c r="J136" s="4">
        <f>SUMIFS(df_blueme_sem_parcelamento!E:E,df_blueme_sem_parcelamento!H:H,Conciliacao!A136)*(-1)</f>
        <v/>
      </c>
      <c r="K136" s="4">
        <f>SUMIFS(df_blueme_com_parcelamento!J:J,df_blueme_com_parcelamento!M:M,Conciliacao!A136)*(-1)</f>
        <v/>
      </c>
      <c r="L136" s="4">
        <f>SUMIFS(df_mutuos!N:N,df_mutuos!B:B,Conciliacao!A136)*(-1)</f>
        <v/>
      </c>
      <c r="M136" s="8">
        <f>SUMIFS(df_bloqueios_judiciais!G:G,df_bloqueios_judiciais!D:D,Conciliacao!A136,df_bloqueios_judiciais!G:G,"&lt;0")</f>
        <v/>
      </c>
      <c r="N136" s="10">
        <f>SUMIFS(df_extratos!I:I,df_extratos!F:F,Conciliacao!BE136,df_extratos!G:G,"DEBITO")+SUMIFS(df_extratos!I:I,df_extratos!F:F,Conciliacao!A136,df_extratos!G:G,"DEBITO")+SUMIFS(df_extratos!I:I,df_extratos!F:F,Conciliacao!BF136,df_extratos!G:G,"DEBITO")+SUMIFS(df_extratos!I:I,df_extratos!F:F,Conciliacao!BG136,df_extratos!G:G,"DEBITO")+SUMIFS(df_extratos!I:I,df_extratos!F:F,Conciliacao!BH136,df_extratos!G:G,"DEBITO")</f>
        <v/>
      </c>
      <c r="O136" s="11">
        <f>N136-SUM(J136:M136)</f>
        <v/>
      </c>
      <c r="P136" s="25">
        <f>SUMIFS(df_ajustes_conciliaco!D:D,df_ajustes_conciliaco!C:C,Conciliacao!A136)</f>
        <v/>
      </c>
      <c r="Q136" s="22">
        <f>O136+I136-P136</f>
        <v/>
      </c>
      <c r="BE136" s="20" t="n">
        <v>45792.5</v>
      </c>
      <c r="BF136" s="20" t="n">
        <v>45792.125</v>
      </c>
      <c r="BG136" s="20" t="n">
        <v>45792.54166666666</v>
      </c>
      <c r="BH136" s="20" t="n">
        <v>45792.625</v>
      </c>
    </row>
    <row r="137">
      <c r="A137" s="5">
        <f>A136+1</f>
        <v/>
      </c>
      <c r="B137" s="3">
        <f>-SUMIFS(df_extrato_zig!G:G,df_extrato_zig!E:E,Conciliacao!A137,df_extrato_zig!D:D,"Saque")-SUMIFS(df_extrato_zig!G:G,df_extrato_zig!E:E,Conciliacao!A137,df_extrato_zig!D:D,"Antecipação")</f>
        <v/>
      </c>
      <c r="C137" s="3">
        <f>SUMIFS(df_extrato_zig!E:E,df_extrato_zig!L:L,Conciliacao!A137,df_extrato_zig!F:F,"DINHEIRO")</f>
        <v/>
      </c>
      <c r="D137" s="3">
        <f>SUMIFS(view_parc_agrup!H:H,view_parc_agrup!G:G,Conciliacao!A137)</f>
        <v/>
      </c>
      <c r="E137" s="3">
        <f>SUMIFS(df_eventos!F:F,df_eventos!H:H,Conciliacao!A137)</f>
        <v/>
      </c>
      <c r="F137" s="3">
        <f>SUMIFS(df_mutuos!M:M,df_mutuos!B:B,Conciliacao!A137)</f>
        <v/>
      </c>
      <c r="G137" s="6">
        <f>SUMIFS(df_bloqueios_judiciais!G:G,df_bloqueios_judiciais!D:D,Conciliacao!A137,df_bloqueios_judiciais!G:G,"&gt;0")</f>
        <v/>
      </c>
      <c r="H137" s="7">
        <f>SUMIFS(df_extratos!I:I,df_extratos!F:F,Conciliacao!BE137,df_extratos!G:G,"CREDITO")+SUMIFS(df_extratos!I:I,df_extratos!F:F,Conciliacao!A137,df_extratos!G:G,"CREDITO")+SUMIFS(df_extratos!I:I,df_extratos!F:F,Conciliacao!BF137,df_extratos!G:G,"CREDITO")+SUMIFS(df_extratos!I:I,df_extratos!F:F,Conciliacao!BG137,df_extratos!G:G,"CREDITO")+SUMIFS(df_extratos!I:I,df_extratos!F:F,Conciliacao!BH137,df_extratos!G:G,"CREDITO")</f>
        <v/>
      </c>
      <c r="I137" s="9">
        <f>H137-SUM(B137:G137)</f>
        <v/>
      </c>
      <c r="J137" s="4">
        <f>SUMIFS(df_blueme_sem_parcelamento!E:E,df_blueme_sem_parcelamento!H:H,Conciliacao!A137)*(-1)</f>
        <v/>
      </c>
      <c r="K137" s="4">
        <f>SUMIFS(df_blueme_com_parcelamento!J:J,df_blueme_com_parcelamento!M:M,Conciliacao!A137)*(-1)</f>
        <v/>
      </c>
      <c r="L137" s="4">
        <f>SUMIFS(df_mutuos!N:N,df_mutuos!B:B,Conciliacao!A137)*(-1)</f>
        <v/>
      </c>
      <c r="M137" s="8">
        <f>SUMIFS(df_bloqueios_judiciais!G:G,df_bloqueios_judiciais!D:D,Conciliacao!A137,df_bloqueios_judiciais!G:G,"&lt;0")</f>
        <v/>
      </c>
      <c r="N137" s="10">
        <f>SUMIFS(df_extratos!I:I,df_extratos!F:F,Conciliacao!BE137,df_extratos!G:G,"DEBITO")+SUMIFS(df_extratos!I:I,df_extratos!F:F,Conciliacao!A137,df_extratos!G:G,"DEBITO")+SUMIFS(df_extratos!I:I,df_extratos!F:F,Conciliacao!BF137,df_extratos!G:G,"DEBITO")+SUMIFS(df_extratos!I:I,df_extratos!F:F,Conciliacao!BG137,df_extratos!G:G,"DEBITO")+SUMIFS(df_extratos!I:I,df_extratos!F:F,Conciliacao!BH137,df_extratos!G:G,"DEBITO")</f>
        <v/>
      </c>
      <c r="O137" s="11">
        <f>N137-SUM(J137:M137)</f>
        <v/>
      </c>
      <c r="P137" s="25">
        <f>SUMIFS(df_ajustes_conciliaco!D:D,df_ajustes_conciliaco!C:C,Conciliacao!A137)</f>
        <v/>
      </c>
      <c r="Q137" s="22">
        <f>O137+I137-P137</f>
        <v/>
      </c>
      <c r="BE137" s="20" t="n">
        <v>45793.5</v>
      </c>
      <c r="BF137" s="20" t="n">
        <v>45793.125</v>
      </c>
      <c r="BG137" s="20" t="n">
        <v>45793.54166666666</v>
      </c>
      <c r="BH137" s="20" t="n">
        <v>45793.625</v>
      </c>
    </row>
    <row r="138">
      <c r="A138" s="5">
        <f>A137+1</f>
        <v/>
      </c>
      <c r="B138" s="3">
        <f>-SUMIFS(df_extrato_zig!G:G,df_extrato_zig!E:E,Conciliacao!A138,df_extrato_zig!D:D,"Saque")-SUMIFS(df_extrato_zig!G:G,df_extrato_zig!E:E,Conciliacao!A138,df_extrato_zig!D:D,"Antecipação")</f>
        <v/>
      </c>
      <c r="C138" s="3">
        <f>SUMIFS(df_extrato_zig!E:E,df_extrato_zig!L:L,Conciliacao!A138,df_extrato_zig!F:F,"DINHEIRO")</f>
        <v/>
      </c>
      <c r="D138" s="3">
        <f>SUMIFS(view_parc_agrup!H:H,view_parc_agrup!G:G,Conciliacao!A138)</f>
        <v/>
      </c>
      <c r="E138" s="3">
        <f>SUMIFS(df_eventos!F:F,df_eventos!H:H,Conciliacao!A138)</f>
        <v/>
      </c>
      <c r="F138" s="3">
        <f>SUMIFS(df_mutuos!M:M,df_mutuos!B:B,Conciliacao!A138)</f>
        <v/>
      </c>
      <c r="G138" s="6">
        <f>SUMIFS(df_bloqueios_judiciais!G:G,df_bloqueios_judiciais!D:D,Conciliacao!A138,df_bloqueios_judiciais!G:G,"&gt;0")</f>
        <v/>
      </c>
      <c r="H138" s="7">
        <f>SUMIFS(df_extratos!I:I,df_extratos!F:F,Conciliacao!BE138,df_extratos!G:G,"CREDITO")+SUMIFS(df_extratos!I:I,df_extratos!F:F,Conciliacao!A138,df_extratos!G:G,"CREDITO")+SUMIFS(df_extratos!I:I,df_extratos!F:F,Conciliacao!BF138,df_extratos!G:G,"CREDITO")+SUMIFS(df_extratos!I:I,df_extratos!F:F,Conciliacao!BG138,df_extratos!G:G,"CREDITO")+SUMIFS(df_extratos!I:I,df_extratos!F:F,Conciliacao!BH138,df_extratos!G:G,"CREDITO")</f>
        <v/>
      </c>
      <c r="I138" s="9">
        <f>H138-SUM(B138:G138)</f>
        <v/>
      </c>
      <c r="J138" s="4">
        <f>SUMIFS(df_blueme_sem_parcelamento!E:E,df_blueme_sem_parcelamento!H:H,Conciliacao!A138)*(-1)</f>
        <v/>
      </c>
      <c r="K138" s="4">
        <f>SUMIFS(df_blueme_com_parcelamento!J:J,df_blueme_com_parcelamento!M:M,Conciliacao!A138)*(-1)</f>
        <v/>
      </c>
      <c r="L138" s="4">
        <f>SUMIFS(df_mutuos!N:N,df_mutuos!B:B,Conciliacao!A138)*(-1)</f>
        <v/>
      </c>
      <c r="M138" s="8">
        <f>SUMIFS(df_bloqueios_judiciais!G:G,df_bloqueios_judiciais!D:D,Conciliacao!A138,df_bloqueios_judiciais!G:G,"&lt;0")</f>
        <v/>
      </c>
      <c r="N138" s="10">
        <f>SUMIFS(df_extratos!I:I,df_extratos!F:F,Conciliacao!BE138,df_extratos!G:G,"DEBITO")+SUMIFS(df_extratos!I:I,df_extratos!F:F,Conciliacao!A138,df_extratos!G:G,"DEBITO")+SUMIFS(df_extratos!I:I,df_extratos!F:F,Conciliacao!BF138,df_extratos!G:G,"DEBITO")+SUMIFS(df_extratos!I:I,df_extratos!F:F,Conciliacao!BG138,df_extratos!G:G,"DEBITO")+SUMIFS(df_extratos!I:I,df_extratos!F:F,Conciliacao!BH138,df_extratos!G:G,"DEBITO")</f>
        <v/>
      </c>
      <c r="O138" s="11">
        <f>N138-SUM(J138:M138)</f>
        <v/>
      </c>
      <c r="P138" s="25">
        <f>SUMIFS(df_ajustes_conciliaco!D:D,df_ajustes_conciliaco!C:C,Conciliacao!A138)</f>
        <v/>
      </c>
      <c r="Q138" s="22">
        <f>O138+I138-P138</f>
        <v/>
      </c>
      <c r="BE138" s="20" t="n">
        <v>45794.5</v>
      </c>
      <c r="BF138" s="20" t="n">
        <v>45794.125</v>
      </c>
      <c r="BG138" s="20" t="n">
        <v>45794.54166666666</v>
      </c>
      <c r="BH138" s="20" t="n">
        <v>45794.625</v>
      </c>
    </row>
    <row r="139">
      <c r="A139" s="5">
        <f>A138+1</f>
        <v/>
      </c>
      <c r="B139" s="3">
        <f>-SUMIFS(df_extrato_zig!G:G,df_extrato_zig!E:E,Conciliacao!A139,df_extrato_zig!D:D,"Saque")-SUMIFS(df_extrato_zig!G:G,df_extrato_zig!E:E,Conciliacao!A139,df_extrato_zig!D:D,"Antecipação")</f>
        <v/>
      </c>
      <c r="C139" s="3">
        <f>SUMIFS(df_extrato_zig!E:E,df_extrato_zig!L:L,Conciliacao!A139,df_extrato_zig!F:F,"DINHEIRO")</f>
        <v/>
      </c>
      <c r="D139" s="3">
        <f>SUMIFS(view_parc_agrup!H:H,view_parc_agrup!G:G,Conciliacao!A139)</f>
        <v/>
      </c>
      <c r="E139" s="3">
        <f>SUMIFS(df_eventos!F:F,df_eventos!H:H,Conciliacao!A139)</f>
        <v/>
      </c>
      <c r="F139" s="3">
        <f>SUMIFS(df_mutuos!M:M,df_mutuos!B:B,Conciliacao!A139)</f>
        <v/>
      </c>
      <c r="G139" s="6">
        <f>SUMIFS(df_bloqueios_judiciais!G:G,df_bloqueios_judiciais!D:D,Conciliacao!A139,df_bloqueios_judiciais!G:G,"&gt;0")</f>
        <v/>
      </c>
      <c r="H139" s="7">
        <f>SUMIFS(df_extratos!I:I,df_extratos!F:F,Conciliacao!BE139,df_extratos!G:G,"CREDITO")+SUMIFS(df_extratos!I:I,df_extratos!F:F,Conciliacao!A139,df_extratos!G:G,"CREDITO")+SUMIFS(df_extratos!I:I,df_extratos!F:F,Conciliacao!BF139,df_extratos!G:G,"CREDITO")+SUMIFS(df_extratos!I:I,df_extratos!F:F,Conciliacao!BG139,df_extratos!G:G,"CREDITO")+SUMIFS(df_extratos!I:I,df_extratos!F:F,Conciliacao!BH139,df_extratos!G:G,"CREDITO")</f>
        <v/>
      </c>
      <c r="I139" s="9">
        <f>H139-SUM(B139:G139)</f>
        <v/>
      </c>
      <c r="J139" s="4">
        <f>SUMIFS(df_blueme_sem_parcelamento!E:E,df_blueme_sem_parcelamento!H:H,Conciliacao!A139)*(-1)</f>
        <v/>
      </c>
      <c r="K139" s="4">
        <f>SUMIFS(df_blueme_com_parcelamento!J:J,df_blueme_com_parcelamento!M:M,Conciliacao!A139)*(-1)</f>
        <v/>
      </c>
      <c r="L139" s="4">
        <f>SUMIFS(df_mutuos!N:N,df_mutuos!B:B,Conciliacao!A139)*(-1)</f>
        <v/>
      </c>
      <c r="M139" s="8">
        <f>SUMIFS(df_bloqueios_judiciais!G:G,df_bloqueios_judiciais!D:D,Conciliacao!A139,df_bloqueios_judiciais!G:G,"&lt;0")</f>
        <v/>
      </c>
      <c r="N139" s="10">
        <f>SUMIFS(df_extratos!I:I,df_extratos!F:F,Conciliacao!BE139,df_extratos!G:G,"DEBITO")+SUMIFS(df_extratos!I:I,df_extratos!F:F,Conciliacao!A139,df_extratos!G:G,"DEBITO")+SUMIFS(df_extratos!I:I,df_extratos!F:F,Conciliacao!BF139,df_extratos!G:G,"DEBITO")+SUMIFS(df_extratos!I:I,df_extratos!F:F,Conciliacao!BG139,df_extratos!G:G,"DEBITO")+SUMIFS(df_extratos!I:I,df_extratos!F:F,Conciliacao!BH139,df_extratos!G:G,"DEBITO")</f>
        <v/>
      </c>
      <c r="O139" s="11">
        <f>N139-SUM(J139:M139)</f>
        <v/>
      </c>
      <c r="P139" s="25">
        <f>SUMIFS(df_ajustes_conciliaco!D:D,df_ajustes_conciliaco!C:C,Conciliacao!A139)</f>
        <v/>
      </c>
      <c r="Q139" s="22">
        <f>O139+I139-P139</f>
        <v/>
      </c>
      <c r="BE139" s="20" t="n">
        <v>45795.5</v>
      </c>
      <c r="BF139" s="20" t="n">
        <v>45795.125</v>
      </c>
      <c r="BG139" s="20" t="n">
        <v>45795.54166666666</v>
      </c>
      <c r="BH139" s="20" t="n">
        <v>45795.625</v>
      </c>
    </row>
    <row r="140">
      <c r="A140" s="5">
        <f>A139+1</f>
        <v/>
      </c>
      <c r="B140" s="3">
        <f>-SUMIFS(df_extrato_zig!G:G,df_extrato_zig!E:E,Conciliacao!A140,df_extrato_zig!D:D,"Saque")-SUMIFS(df_extrato_zig!G:G,df_extrato_zig!E:E,Conciliacao!A140,df_extrato_zig!D:D,"Antecipação")</f>
        <v/>
      </c>
      <c r="C140" s="3">
        <f>SUMIFS(df_extrato_zig!E:E,df_extrato_zig!L:L,Conciliacao!A140,df_extrato_zig!F:F,"DINHEIRO")</f>
        <v/>
      </c>
      <c r="D140" s="3">
        <f>SUMIFS(view_parc_agrup!H:H,view_parc_agrup!G:G,Conciliacao!A140)</f>
        <v/>
      </c>
      <c r="E140" s="3">
        <f>SUMIFS(df_eventos!F:F,df_eventos!H:H,Conciliacao!A140)</f>
        <v/>
      </c>
      <c r="F140" s="3">
        <f>SUMIFS(df_mutuos!M:M,df_mutuos!B:B,Conciliacao!A140)</f>
        <v/>
      </c>
      <c r="G140" s="6">
        <f>SUMIFS(df_bloqueios_judiciais!G:G,df_bloqueios_judiciais!D:D,Conciliacao!A140,df_bloqueios_judiciais!G:G,"&gt;0")</f>
        <v/>
      </c>
      <c r="H140" s="7">
        <f>SUMIFS(df_extratos!I:I,df_extratos!F:F,Conciliacao!BE140,df_extratos!G:G,"CREDITO")+SUMIFS(df_extratos!I:I,df_extratos!F:F,Conciliacao!A140,df_extratos!G:G,"CREDITO")+SUMIFS(df_extratos!I:I,df_extratos!F:F,Conciliacao!BF140,df_extratos!G:G,"CREDITO")+SUMIFS(df_extratos!I:I,df_extratos!F:F,Conciliacao!BG140,df_extratos!G:G,"CREDITO")+SUMIFS(df_extratos!I:I,df_extratos!F:F,Conciliacao!BH140,df_extratos!G:G,"CREDITO")</f>
        <v/>
      </c>
      <c r="I140" s="9">
        <f>H140-SUM(B140:G140)</f>
        <v/>
      </c>
      <c r="J140" s="4">
        <f>SUMIFS(df_blueme_sem_parcelamento!E:E,df_blueme_sem_parcelamento!H:H,Conciliacao!A140)*(-1)</f>
        <v/>
      </c>
      <c r="K140" s="4">
        <f>SUMIFS(df_blueme_com_parcelamento!J:J,df_blueme_com_parcelamento!M:M,Conciliacao!A140)*(-1)</f>
        <v/>
      </c>
      <c r="L140" s="4">
        <f>SUMIFS(df_mutuos!N:N,df_mutuos!B:B,Conciliacao!A140)*(-1)</f>
        <v/>
      </c>
      <c r="M140" s="8">
        <f>SUMIFS(df_bloqueios_judiciais!G:G,df_bloqueios_judiciais!D:D,Conciliacao!A140,df_bloqueios_judiciais!G:G,"&lt;0")</f>
        <v/>
      </c>
      <c r="N140" s="10">
        <f>SUMIFS(df_extratos!I:I,df_extratos!F:F,Conciliacao!BE140,df_extratos!G:G,"DEBITO")+SUMIFS(df_extratos!I:I,df_extratos!F:F,Conciliacao!A140,df_extratos!G:G,"DEBITO")+SUMIFS(df_extratos!I:I,df_extratos!F:F,Conciliacao!BF140,df_extratos!G:G,"DEBITO")+SUMIFS(df_extratos!I:I,df_extratos!F:F,Conciliacao!BG140,df_extratos!G:G,"DEBITO")+SUMIFS(df_extratos!I:I,df_extratos!F:F,Conciliacao!BH140,df_extratos!G:G,"DEBITO")</f>
        <v/>
      </c>
      <c r="O140" s="11">
        <f>N140-SUM(J140:M140)</f>
        <v/>
      </c>
      <c r="P140" s="25">
        <f>SUMIFS(df_ajustes_conciliaco!D:D,df_ajustes_conciliaco!C:C,Conciliacao!A140)</f>
        <v/>
      </c>
      <c r="Q140" s="22">
        <f>O140+I140-P140</f>
        <v/>
      </c>
      <c r="BE140" s="20" t="n">
        <v>45796.5</v>
      </c>
      <c r="BF140" s="20" t="n">
        <v>45796.125</v>
      </c>
      <c r="BG140" s="20" t="n">
        <v>45796.54166666666</v>
      </c>
      <c r="BH140" s="20" t="n">
        <v>45796.625</v>
      </c>
    </row>
    <row r="141">
      <c r="A141" s="5">
        <f>A140+1</f>
        <v/>
      </c>
      <c r="B141" s="3">
        <f>-SUMIFS(df_extrato_zig!G:G,df_extrato_zig!E:E,Conciliacao!A141,df_extrato_zig!D:D,"Saque")-SUMIFS(df_extrato_zig!G:G,df_extrato_zig!E:E,Conciliacao!A141,df_extrato_zig!D:D,"Antecipação")</f>
        <v/>
      </c>
      <c r="C141" s="3">
        <f>SUMIFS(df_extrato_zig!E:E,df_extrato_zig!L:L,Conciliacao!A141,df_extrato_zig!F:F,"DINHEIRO")</f>
        <v/>
      </c>
      <c r="D141" s="3">
        <f>SUMIFS(view_parc_agrup!H:H,view_parc_agrup!G:G,Conciliacao!A141)</f>
        <v/>
      </c>
      <c r="E141" s="3">
        <f>SUMIFS(df_eventos!F:F,df_eventos!H:H,Conciliacao!A141)</f>
        <v/>
      </c>
      <c r="F141" s="3">
        <f>SUMIFS(df_mutuos!M:M,df_mutuos!B:B,Conciliacao!A141)</f>
        <v/>
      </c>
      <c r="G141" s="6">
        <f>SUMIFS(df_bloqueios_judiciais!G:G,df_bloqueios_judiciais!D:D,Conciliacao!A141,df_bloqueios_judiciais!G:G,"&gt;0")</f>
        <v/>
      </c>
      <c r="H141" s="7">
        <f>SUMIFS(df_extratos!I:I,df_extratos!F:F,Conciliacao!BE141,df_extratos!G:G,"CREDITO")+SUMIFS(df_extratos!I:I,df_extratos!F:F,Conciliacao!A141,df_extratos!G:G,"CREDITO")+SUMIFS(df_extratos!I:I,df_extratos!F:F,Conciliacao!BF141,df_extratos!G:G,"CREDITO")+SUMIFS(df_extratos!I:I,df_extratos!F:F,Conciliacao!BG141,df_extratos!G:G,"CREDITO")+SUMIFS(df_extratos!I:I,df_extratos!F:F,Conciliacao!BH141,df_extratos!G:G,"CREDITO")</f>
        <v/>
      </c>
      <c r="I141" s="9">
        <f>H141-SUM(B141:G141)</f>
        <v/>
      </c>
      <c r="J141" s="4">
        <f>SUMIFS(df_blueme_sem_parcelamento!E:E,df_blueme_sem_parcelamento!H:H,Conciliacao!A141)*(-1)</f>
        <v/>
      </c>
      <c r="K141" s="4">
        <f>SUMIFS(df_blueme_com_parcelamento!J:J,df_blueme_com_parcelamento!M:M,Conciliacao!A141)*(-1)</f>
        <v/>
      </c>
      <c r="L141" s="4">
        <f>SUMIFS(df_mutuos!N:N,df_mutuos!B:B,Conciliacao!A141)*(-1)</f>
        <v/>
      </c>
      <c r="M141" s="8">
        <f>SUMIFS(df_bloqueios_judiciais!G:G,df_bloqueios_judiciais!D:D,Conciliacao!A141,df_bloqueios_judiciais!G:G,"&lt;0")</f>
        <v/>
      </c>
      <c r="N141" s="10">
        <f>SUMIFS(df_extratos!I:I,df_extratos!F:F,Conciliacao!BE141,df_extratos!G:G,"DEBITO")+SUMIFS(df_extratos!I:I,df_extratos!F:F,Conciliacao!A141,df_extratos!G:G,"DEBITO")+SUMIFS(df_extratos!I:I,df_extratos!F:F,Conciliacao!BF141,df_extratos!G:G,"DEBITO")+SUMIFS(df_extratos!I:I,df_extratos!F:F,Conciliacao!BG141,df_extratos!G:G,"DEBITO")+SUMIFS(df_extratos!I:I,df_extratos!F:F,Conciliacao!BH141,df_extratos!G:G,"DEBITO")</f>
        <v/>
      </c>
      <c r="O141" s="11">
        <f>N141-SUM(J141:M141)</f>
        <v/>
      </c>
      <c r="P141" s="25">
        <f>SUMIFS(df_ajustes_conciliaco!D:D,df_ajustes_conciliaco!C:C,Conciliacao!A141)</f>
        <v/>
      </c>
      <c r="Q141" s="22">
        <f>O141+I141-P141</f>
        <v/>
      </c>
      <c r="BE141" s="20" t="n">
        <v>45797.5</v>
      </c>
      <c r="BF141" s="20" t="n">
        <v>45797.125</v>
      </c>
      <c r="BG141" s="20" t="n">
        <v>45797.54166666666</v>
      </c>
      <c r="BH141" s="20" t="n">
        <v>45797.625</v>
      </c>
    </row>
    <row r="142">
      <c r="A142" s="5">
        <f>A141+1</f>
        <v/>
      </c>
      <c r="B142" s="3">
        <f>-SUMIFS(df_extrato_zig!G:G,df_extrato_zig!E:E,Conciliacao!A142,df_extrato_zig!D:D,"Saque")-SUMIFS(df_extrato_zig!G:G,df_extrato_zig!E:E,Conciliacao!A142,df_extrato_zig!D:D,"Antecipação")</f>
        <v/>
      </c>
      <c r="C142" s="3">
        <f>SUMIFS(df_extrato_zig!E:E,df_extrato_zig!L:L,Conciliacao!A142,df_extrato_zig!F:F,"DINHEIRO")</f>
        <v/>
      </c>
      <c r="D142" s="3">
        <f>SUMIFS(view_parc_agrup!H:H,view_parc_agrup!G:G,Conciliacao!A142)</f>
        <v/>
      </c>
      <c r="E142" s="3">
        <f>SUMIFS(df_eventos!F:F,df_eventos!H:H,Conciliacao!A142)</f>
        <v/>
      </c>
      <c r="F142" s="3">
        <f>SUMIFS(df_mutuos!M:M,df_mutuos!B:B,Conciliacao!A142)</f>
        <v/>
      </c>
      <c r="G142" s="6">
        <f>SUMIFS(df_bloqueios_judiciais!G:G,df_bloqueios_judiciais!D:D,Conciliacao!A142,df_bloqueios_judiciais!G:G,"&gt;0")</f>
        <v/>
      </c>
      <c r="H142" s="7">
        <f>SUMIFS(df_extratos!I:I,df_extratos!F:F,Conciliacao!BE142,df_extratos!G:G,"CREDITO")+SUMIFS(df_extratos!I:I,df_extratos!F:F,Conciliacao!A142,df_extratos!G:G,"CREDITO")+SUMIFS(df_extratos!I:I,df_extratos!F:F,Conciliacao!BF142,df_extratos!G:G,"CREDITO")+SUMIFS(df_extratos!I:I,df_extratos!F:F,Conciliacao!BG142,df_extratos!G:G,"CREDITO")+SUMIFS(df_extratos!I:I,df_extratos!F:F,Conciliacao!BH142,df_extratos!G:G,"CREDITO")</f>
        <v/>
      </c>
      <c r="I142" s="9">
        <f>H142-SUM(B142:G142)</f>
        <v/>
      </c>
      <c r="J142" s="4">
        <f>SUMIFS(df_blueme_sem_parcelamento!E:E,df_blueme_sem_parcelamento!H:H,Conciliacao!A142)*(-1)</f>
        <v/>
      </c>
      <c r="K142" s="4">
        <f>SUMIFS(df_blueme_com_parcelamento!J:J,df_blueme_com_parcelamento!M:M,Conciliacao!A142)*(-1)</f>
        <v/>
      </c>
      <c r="L142" s="4">
        <f>SUMIFS(df_mutuos!N:N,df_mutuos!B:B,Conciliacao!A142)*(-1)</f>
        <v/>
      </c>
      <c r="M142" s="8">
        <f>SUMIFS(df_bloqueios_judiciais!G:G,df_bloqueios_judiciais!D:D,Conciliacao!A142,df_bloqueios_judiciais!G:G,"&lt;0")</f>
        <v/>
      </c>
      <c r="N142" s="10">
        <f>SUMIFS(df_extratos!I:I,df_extratos!F:F,Conciliacao!BE142,df_extratos!G:G,"DEBITO")+SUMIFS(df_extratos!I:I,df_extratos!F:F,Conciliacao!A142,df_extratos!G:G,"DEBITO")+SUMIFS(df_extratos!I:I,df_extratos!F:F,Conciliacao!BF142,df_extratos!G:G,"DEBITO")+SUMIFS(df_extratos!I:I,df_extratos!F:F,Conciliacao!BG142,df_extratos!G:G,"DEBITO")+SUMIFS(df_extratos!I:I,df_extratos!F:F,Conciliacao!BH142,df_extratos!G:G,"DEBITO")</f>
        <v/>
      </c>
      <c r="O142" s="11">
        <f>N142-SUM(J142:M142)</f>
        <v/>
      </c>
      <c r="P142" s="25">
        <f>SUMIFS(df_ajustes_conciliaco!D:D,df_ajustes_conciliaco!C:C,Conciliacao!A142)</f>
        <v/>
      </c>
      <c r="Q142" s="22">
        <f>O142+I142-P142</f>
        <v/>
      </c>
      <c r="BE142" s="20" t="n">
        <v>45798.5</v>
      </c>
      <c r="BF142" s="20" t="n">
        <v>45798.125</v>
      </c>
      <c r="BG142" s="20" t="n">
        <v>45798.54166666666</v>
      </c>
      <c r="BH142" s="20" t="n">
        <v>45798.625</v>
      </c>
    </row>
    <row r="143">
      <c r="A143" s="5">
        <f>A142+1</f>
        <v/>
      </c>
      <c r="B143" s="3">
        <f>-SUMIFS(df_extrato_zig!G:G,df_extrato_zig!E:E,Conciliacao!A143,df_extrato_zig!D:D,"Saque")-SUMIFS(df_extrato_zig!G:G,df_extrato_zig!E:E,Conciliacao!A143,df_extrato_zig!D:D,"Antecipação")</f>
        <v/>
      </c>
      <c r="C143" s="3">
        <f>SUMIFS(df_extrato_zig!E:E,df_extrato_zig!L:L,Conciliacao!A143,df_extrato_zig!F:F,"DINHEIRO")</f>
        <v/>
      </c>
      <c r="D143" s="3">
        <f>SUMIFS(view_parc_agrup!H:H,view_parc_agrup!G:G,Conciliacao!A143)</f>
        <v/>
      </c>
      <c r="E143" s="3">
        <f>SUMIFS(df_eventos!F:F,df_eventos!H:H,Conciliacao!A143)</f>
        <v/>
      </c>
      <c r="F143" s="3">
        <f>SUMIFS(df_mutuos!M:M,df_mutuos!B:B,Conciliacao!A143)</f>
        <v/>
      </c>
      <c r="G143" s="6">
        <f>SUMIFS(df_bloqueios_judiciais!G:G,df_bloqueios_judiciais!D:D,Conciliacao!A143,df_bloqueios_judiciais!G:G,"&gt;0")</f>
        <v/>
      </c>
      <c r="H143" s="7">
        <f>SUMIFS(df_extratos!I:I,df_extratos!F:F,Conciliacao!BE143,df_extratos!G:G,"CREDITO")+SUMIFS(df_extratos!I:I,df_extratos!F:F,Conciliacao!A143,df_extratos!G:G,"CREDITO")+SUMIFS(df_extratos!I:I,df_extratos!F:F,Conciliacao!BF143,df_extratos!G:G,"CREDITO")+SUMIFS(df_extratos!I:I,df_extratos!F:F,Conciliacao!BG143,df_extratos!G:G,"CREDITO")+SUMIFS(df_extratos!I:I,df_extratos!F:F,Conciliacao!BH143,df_extratos!G:G,"CREDITO")</f>
        <v/>
      </c>
      <c r="I143" s="9">
        <f>H143-SUM(B143:G143)</f>
        <v/>
      </c>
      <c r="J143" s="4">
        <f>SUMIFS(df_blueme_sem_parcelamento!E:E,df_blueme_sem_parcelamento!H:H,Conciliacao!A143)*(-1)</f>
        <v/>
      </c>
      <c r="K143" s="4">
        <f>SUMIFS(df_blueme_com_parcelamento!J:J,df_blueme_com_parcelamento!M:M,Conciliacao!A143)*(-1)</f>
        <v/>
      </c>
      <c r="L143" s="4">
        <f>SUMIFS(df_mutuos!N:N,df_mutuos!B:B,Conciliacao!A143)*(-1)</f>
        <v/>
      </c>
      <c r="M143" s="8">
        <f>SUMIFS(df_bloqueios_judiciais!G:G,df_bloqueios_judiciais!D:D,Conciliacao!A143,df_bloqueios_judiciais!G:G,"&lt;0")</f>
        <v/>
      </c>
      <c r="N143" s="10">
        <f>SUMIFS(df_extratos!I:I,df_extratos!F:F,Conciliacao!BE143,df_extratos!G:G,"DEBITO")+SUMIFS(df_extratos!I:I,df_extratos!F:F,Conciliacao!A143,df_extratos!G:G,"DEBITO")+SUMIFS(df_extratos!I:I,df_extratos!F:F,Conciliacao!BF143,df_extratos!G:G,"DEBITO")+SUMIFS(df_extratos!I:I,df_extratos!F:F,Conciliacao!BG143,df_extratos!G:G,"DEBITO")+SUMIFS(df_extratos!I:I,df_extratos!F:F,Conciliacao!BH143,df_extratos!G:G,"DEBITO")</f>
        <v/>
      </c>
      <c r="O143" s="11">
        <f>N143-SUM(J143:M143)</f>
        <v/>
      </c>
      <c r="P143" s="25">
        <f>SUMIFS(df_ajustes_conciliaco!D:D,df_ajustes_conciliaco!C:C,Conciliacao!A143)</f>
        <v/>
      </c>
      <c r="Q143" s="22">
        <f>O143+I143-P143</f>
        <v/>
      </c>
      <c r="BE143" s="20" t="n">
        <v>45799.5</v>
      </c>
      <c r="BF143" s="20" t="n">
        <v>45799.125</v>
      </c>
      <c r="BG143" s="20" t="n">
        <v>45799.54166666666</v>
      </c>
      <c r="BH143" s="20" t="n">
        <v>45799.625</v>
      </c>
    </row>
    <row r="144">
      <c r="A144" s="5">
        <f>A143+1</f>
        <v/>
      </c>
      <c r="B144" s="3">
        <f>-SUMIFS(df_extrato_zig!G:G,df_extrato_zig!E:E,Conciliacao!A144,df_extrato_zig!D:D,"Saque")-SUMIFS(df_extrato_zig!G:G,df_extrato_zig!E:E,Conciliacao!A144,df_extrato_zig!D:D,"Antecipação")</f>
        <v/>
      </c>
      <c r="C144" s="3">
        <f>SUMIFS(df_extrato_zig!E:E,df_extrato_zig!L:L,Conciliacao!A144,df_extrato_zig!F:F,"DINHEIRO")</f>
        <v/>
      </c>
      <c r="D144" s="3">
        <f>SUMIFS(view_parc_agrup!H:H,view_parc_agrup!G:G,Conciliacao!A144)</f>
        <v/>
      </c>
      <c r="E144" s="3">
        <f>SUMIFS(df_eventos!F:F,df_eventos!H:H,Conciliacao!A144)</f>
        <v/>
      </c>
      <c r="F144" s="3">
        <f>SUMIFS(df_mutuos!M:M,df_mutuos!B:B,Conciliacao!A144)</f>
        <v/>
      </c>
      <c r="G144" s="6">
        <f>SUMIFS(df_bloqueios_judiciais!G:G,df_bloqueios_judiciais!D:D,Conciliacao!A144,df_bloqueios_judiciais!G:G,"&gt;0")</f>
        <v/>
      </c>
      <c r="H144" s="7">
        <f>SUMIFS(df_extratos!I:I,df_extratos!F:F,Conciliacao!BE144,df_extratos!G:G,"CREDITO")+SUMIFS(df_extratos!I:I,df_extratos!F:F,Conciliacao!A144,df_extratos!G:G,"CREDITO")+SUMIFS(df_extratos!I:I,df_extratos!F:F,Conciliacao!BF144,df_extratos!G:G,"CREDITO")+SUMIFS(df_extratos!I:I,df_extratos!F:F,Conciliacao!BG144,df_extratos!G:G,"CREDITO")+SUMIFS(df_extratos!I:I,df_extratos!F:F,Conciliacao!BH144,df_extratos!G:G,"CREDITO")</f>
        <v/>
      </c>
      <c r="I144" s="9">
        <f>H144-SUM(B144:G144)</f>
        <v/>
      </c>
      <c r="J144" s="4">
        <f>SUMIFS(df_blueme_sem_parcelamento!E:E,df_blueme_sem_parcelamento!H:H,Conciliacao!A144)*(-1)</f>
        <v/>
      </c>
      <c r="K144" s="4">
        <f>SUMIFS(df_blueme_com_parcelamento!J:J,df_blueme_com_parcelamento!M:M,Conciliacao!A144)*(-1)</f>
        <v/>
      </c>
      <c r="L144" s="4">
        <f>SUMIFS(df_mutuos!N:N,df_mutuos!B:B,Conciliacao!A144)*(-1)</f>
        <v/>
      </c>
      <c r="M144" s="8">
        <f>SUMIFS(df_bloqueios_judiciais!G:G,df_bloqueios_judiciais!D:D,Conciliacao!A144,df_bloqueios_judiciais!G:G,"&lt;0")</f>
        <v/>
      </c>
      <c r="N144" s="10">
        <f>SUMIFS(df_extratos!I:I,df_extratos!F:F,Conciliacao!BE144,df_extratos!G:G,"DEBITO")+SUMIFS(df_extratos!I:I,df_extratos!F:F,Conciliacao!A144,df_extratos!G:G,"DEBITO")+SUMIFS(df_extratos!I:I,df_extratos!F:F,Conciliacao!BF144,df_extratos!G:G,"DEBITO")+SUMIFS(df_extratos!I:I,df_extratos!F:F,Conciliacao!BG144,df_extratos!G:G,"DEBITO")+SUMIFS(df_extratos!I:I,df_extratos!F:F,Conciliacao!BH144,df_extratos!G:G,"DEBITO")</f>
        <v/>
      </c>
      <c r="O144" s="11">
        <f>N144-SUM(J144:M144)</f>
        <v/>
      </c>
      <c r="P144" s="25">
        <f>SUMIFS(df_ajustes_conciliaco!D:D,df_ajustes_conciliaco!C:C,Conciliacao!A144)</f>
        <v/>
      </c>
      <c r="Q144" s="22">
        <f>O144+I144-P144</f>
        <v/>
      </c>
      <c r="BE144" s="20" t="n">
        <v>45800.5</v>
      </c>
      <c r="BF144" s="20" t="n">
        <v>45800.125</v>
      </c>
      <c r="BG144" s="20" t="n">
        <v>45800.54166666666</v>
      </c>
      <c r="BH144" s="20" t="n">
        <v>45800.625</v>
      </c>
    </row>
    <row r="145">
      <c r="A145" s="5">
        <f>A144+1</f>
        <v/>
      </c>
      <c r="B145" s="3">
        <f>-SUMIFS(df_extrato_zig!G:G,df_extrato_zig!E:E,Conciliacao!A145,df_extrato_zig!D:D,"Saque")-SUMIFS(df_extrato_zig!G:G,df_extrato_zig!E:E,Conciliacao!A145,df_extrato_zig!D:D,"Antecipação")</f>
        <v/>
      </c>
      <c r="C145" s="3">
        <f>SUMIFS(df_extrato_zig!E:E,df_extrato_zig!L:L,Conciliacao!A145,df_extrato_zig!F:F,"DINHEIRO")</f>
        <v/>
      </c>
      <c r="D145" s="3">
        <f>SUMIFS(view_parc_agrup!H:H,view_parc_agrup!G:G,Conciliacao!A145)</f>
        <v/>
      </c>
      <c r="E145" s="3">
        <f>SUMIFS(df_eventos!F:F,df_eventos!H:H,Conciliacao!A145)</f>
        <v/>
      </c>
      <c r="F145" s="3">
        <f>SUMIFS(df_mutuos!M:M,df_mutuos!B:B,Conciliacao!A145)</f>
        <v/>
      </c>
      <c r="G145" s="6">
        <f>SUMIFS(df_bloqueios_judiciais!G:G,df_bloqueios_judiciais!D:D,Conciliacao!A145,df_bloqueios_judiciais!G:G,"&gt;0")</f>
        <v/>
      </c>
      <c r="H145" s="7">
        <f>SUMIFS(df_extratos!I:I,df_extratos!F:F,Conciliacao!BE145,df_extratos!G:G,"CREDITO")+SUMIFS(df_extratos!I:I,df_extratos!F:F,Conciliacao!A145,df_extratos!G:G,"CREDITO")+SUMIFS(df_extratos!I:I,df_extratos!F:F,Conciliacao!BF145,df_extratos!G:G,"CREDITO")+SUMIFS(df_extratos!I:I,df_extratos!F:F,Conciliacao!BG145,df_extratos!G:G,"CREDITO")+SUMIFS(df_extratos!I:I,df_extratos!F:F,Conciliacao!BH145,df_extratos!G:G,"CREDITO")</f>
        <v/>
      </c>
      <c r="I145" s="9">
        <f>H145-SUM(B145:G145)</f>
        <v/>
      </c>
      <c r="J145" s="4">
        <f>SUMIFS(df_blueme_sem_parcelamento!E:E,df_blueme_sem_parcelamento!H:H,Conciliacao!A145)*(-1)</f>
        <v/>
      </c>
      <c r="K145" s="4">
        <f>SUMIFS(df_blueme_com_parcelamento!J:J,df_blueme_com_parcelamento!M:M,Conciliacao!A145)*(-1)</f>
        <v/>
      </c>
      <c r="L145" s="4">
        <f>SUMIFS(df_mutuos!N:N,df_mutuos!B:B,Conciliacao!A145)*(-1)</f>
        <v/>
      </c>
      <c r="M145" s="8">
        <f>SUMIFS(df_bloqueios_judiciais!G:G,df_bloqueios_judiciais!D:D,Conciliacao!A145,df_bloqueios_judiciais!G:G,"&lt;0")</f>
        <v/>
      </c>
      <c r="N145" s="10">
        <f>SUMIFS(df_extratos!I:I,df_extratos!F:F,Conciliacao!BE145,df_extratos!G:G,"DEBITO")+SUMIFS(df_extratos!I:I,df_extratos!F:F,Conciliacao!A145,df_extratos!G:G,"DEBITO")+SUMIFS(df_extratos!I:I,df_extratos!F:F,Conciliacao!BF145,df_extratos!G:G,"DEBITO")+SUMIFS(df_extratos!I:I,df_extratos!F:F,Conciliacao!BG145,df_extratos!G:G,"DEBITO")+SUMIFS(df_extratos!I:I,df_extratos!F:F,Conciliacao!BH145,df_extratos!G:G,"DEBITO")</f>
        <v/>
      </c>
      <c r="O145" s="11">
        <f>N145-SUM(J145:M145)</f>
        <v/>
      </c>
      <c r="P145" s="25">
        <f>SUMIFS(df_ajustes_conciliaco!D:D,df_ajustes_conciliaco!C:C,Conciliacao!A145)</f>
        <v/>
      </c>
      <c r="Q145" s="22">
        <f>O145+I145-P145</f>
        <v/>
      </c>
      <c r="BE145" s="20" t="n">
        <v>45801.5</v>
      </c>
      <c r="BF145" s="20" t="n">
        <v>45801.125</v>
      </c>
      <c r="BG145" s="20" t="n">
        <v>45801.54166666666</v>
      </c>
      <c r="BH145" s="20" t="n">
        <v>45801.625</v>
      </c>
    </row>
    <row r="146">
      <c r="A146" s="5">
        <f>A145+1</f>
        <v/>
      </c>
      <c r="B146" s="3">
        <f>-SUMIFS(df_extrato_zig!G:G,df_extrato_zig!E:E,Conciliacao!A146,df_extrato_zig!D:D,"Saque")-SUMIFS(df_extrato_zig!G:G,df_extrato_zig!E:E,Conciliacao!A146,df_extrato_zig!D:D,"Antecipação")</f>
        <v/>
      </c>
      <c r="C146" s="3">
        <f>SUMIFS(df_extrato_zig!E:E,df_extrato_zig!L:L,Conciliacao!A146,df_extrato_zig!F:F,"DINHEIRO")</f>
        <v/>
      </c>
      <c r="D146" s="3">
        <f>SUMIFS(view_parc_agrup!H:H,view_parc_agrup!G:G,Conciliacao!A146)</f>
        <v/>
      </c>
      <c r="E146" s="3">
        <f>SUMIFS(df_eventos!F:F,df_eventos!H:H,Conciliacao!A146)</f>
        <v/>
      </c>
      <c r="F146" s="3">
        <f>SUMIFS(df_mutuos!M:M,df_mutuos!B:B,Conciliacao!A146)</f>
        <v/>
      </c>
      <c r="G146" s="6">
        <f>SUMIFS(df_bloqueios_judiciais!G:G,df_bloqueios_judiciais!D:D,Conciliacao!A146,df_bloqueios_judiciais!G:G,"&gt;0")</f>
        <v/>
      </c>
      <c r="H146" s="7">
        <f>SUMIFS(df_extratos!I:I,df_extratos!F:F,Conciliacao!BE146,df_extratos!G:G,"CREDITO")+SUMIFS(df_extratos!I:I,df_extratos!F:F,Conciliacao!A146,df_extratos!G:G,"CREDITO")+SUMIFS(df_extratos!I:I,df_extratos!F:F,Conciliacao!BF146,df_extratos!G:G,"CREDITO")+SUMIFS(df_extratos!I:I,df_extratos!F:F,Conciliacao!BG146,df_extratos!G:G,"CREDITO")+SUMIFS(df_extratos!I:I,df_extratos!F:F,Conciliacao!BH146,df_extratos!G:G,"CREDITO")</f>
        <v/>
      </c>
      <c r="I146" s="9">
        <f>H146-SUM(B146:G146)</f>
        <v/>
      </c>
      <c r="J146" s="4">
        <f>SUMIFS(df_blueme_sem_parcelamento!E:E,df_blueme_sem_parcelamento!H:H,Conciliacao!A146)*(-1)</f>
        <v/>
      </c>
      <c r="K146" s="4">
        <f>SUMIFS(df_blueme_com_parcelamento!J:J,df_blueme_com_parcelamento!M:M,Conciliacao!A146)*(-1)</f>
        <v/>
      </c>
      <c r="L146" s="4">
        <f>SUMIFS(df_mutuos!N:N,df_mutuos!B:B,Conciliacao!A146)*(-1)</f>
        <v/>
      </c>
      <c r="M146" s="8">
        <f>SUMIFS(df_bloqueios_judiciais!G:G,df_bloqueios_judiciais!D:D,Conciliacao!A146,df_bloqueios_judiciais!G:G,"&lt;0")</f>
        <v/>
      </c>
      <c r="N146" s="10">
        <f>SUMIFS(df_extratos!I:I,df_extratos!F:F,Conciliacao!BE146,df_extratos!G:G,"DEBITO")+SUMIFS(df_extratos!I:I,df_extratos!F:F,Conciliacao!A146,df_extratos!G:G,"DEBITO")+SUMIFS(df_extratos!I:I,df_extratos!F:F,Conciliacao!BF146,df_extratos!G:G,"DEBITO")+SUMIFS(df_extratos!I:I,df_extratos!F:F,Conciliacao!BG146,df_extratos!G:G,"DEBITO")+SUMIFS(df_extratos!I:I,df_extratos!F:F,Conciliacao!BH146,df_extratos!G:G,"DEBITO")</f>
        <v/>
      </c>
      <c r="O146" s="11">
        <f>N146-SUM(J146:M146)</f>
        <v/>
      </c>
      <c r="P146" s="25">
        <f>SUMIFS(df_ajustes_conciliaco!D:D,df_ajustes_conciliaco!C:C,Conciliacao!A146)</f>
        <v/>
      </c>
      <c r="Q146" s="22">
        <f>O146+I146-P146</f>
        <v/>
      </c>
      <c r="BE146" s="20" t="n">
        <v>45802.5</v>
      </c>
      <c r="BF146" s="20" t="n">
        <v>45802.125</v>
      </c>
      <c r="BG146" s="20" t="n">
        <v>45802.54166666666</v>
      </c>
      <c r="BH146" s="20" t="n">
        <v>45802.625</v>
      </c>
    </row>
    <row r="147">
      <c r="A147" s="5">
        <f>A146+1</f>
        <v/>
      </c>
      <c r="B147" s="3">
        <f>-SUMIFS(df_extrato_zig!G:G,df_extrato_zig!E:E,Conciliacao!A147,df_extrato_zig!D:D,"Saque")-SUMIFS(df_extrato_zig!G:G,df_extrato_zig!E:E,Conciliacao!A147,df_extrato_zig!D:D,"Antecipação")</f>
        <v/>
      </c>
      <c r="C147" s="3">
        <f>SUMIFS(df_extrato_zig!E:E,df_extrato_zig!L:L,Conciliacao!A147,df_extrato_zig!F:F,"DINHEIRO")</f>
        <v/>
      </c>
      <c r="D147" s="3">
        <f>SUMIFS(view_parc_agrup!H:H,view_parc_agrup!G:G,Conciliacao!A147)</f>
        <v/>
      </c>
      <c r="E147" s="3">
        <f>SUMIFS(df_eventos!F:F,df_eventos!H:H,Conciliacao!A147)</f>
        <v/>
      </c>
      <c r="F147" s="3">
        <f>SUMIFS(df_mutuos!M:M,df_mutuos!B:B,Conciliacao!A147)</f>
        <v/>
      </c>
      <c r="G147" s="6">
        <f>SUMIFS(df_bloqueios_judiciais!G:G,df_bloqueios_judiciais!D:D,Conciliacao!A147,df_bloqueios_judiciais!G:G,"&gt;0")</f>
        <v/>
      </c>
      <c r="H147" s="7">
        <f>SUMIFS(df_extratos!I:I,df_extratos!F:F,Conciliacao!BE147,df_extratos!G:G,"CREDITO")+SUMIFS(df_extratos!I:I,df_extratos!F:F,Conciliacao!A147,df_extratos!G:G,"CREDITO")+SUMIFS(df_extratos!I:I,df_extratos!F:F,Conciliacao!BF147,df_extratos!G:G,"CREDITO")+SUMIFS(df_extratos!I:I,df_extratos!F:F,Conciliacao!BG147,df_extratos!G:G,"CREDITO")+SUMIFS(df_extratos!I:I,df_extratos!F:F,Conciliacao!BH147,df_extratos!G:G,"CREDITO")</f>
        <v/>
      </c>
      <c r="I147" s="9">
        <f>H147-SUM(B147:G147)</f>
        <v/>
      </c>
      <c r="J147" s="4">
        <f>SUMIFS(df_blueme_sem_parcelamento!E:E,df_blueme_sem_parcelamento!H:H,Conciliacao!A147)*(-1)</f>
        <v/>
      </c>
      <c r="K147" s="4">
        <f>SUMIFS(df_blueme_com_parcelamento!J:J,df_blueme_com_parcelamento!M:M,Conciliacao!A147)*(-1)</f>
        <v/>
      </c>
      <c r="L147" s="4">
        <f>SUMIFS(df_mutuos!N:N,df_mutuos!B:B,Conciliacao!A147)*(-1)</f>
        <v/>
      </c>
      <c r="M147" s="8">
        <f>SUMIFS(df_bloqueios_judiciais!G:G,df_bloqueios_judiciais!D:D,Conciliacao!A147,df_bloqueios_judiciais!G:G,"&lt;0")</f>
        <v/>
      </c>
      <c r="N147" s="10">
        <f>SUMIFS(df_extratos!I:I,df_extratos!F:F,Conciliacao!BE147,df_extratos!G:G,"DEBITO")+SUMIFS(df_extratos!I:I,df_extratos!F:F,Conciliacao!A147,df_extratos!G:G,"DEBITO")+SUMIFS(df_extratos!I:I,df_extratos!F:F,Conciliacao!BF147,df_extratos!G:G,"DEBITO")+SUMIFS(df_extratos!I:I,df_extratos!F:F,Conciliacao!BG147,df_extratos!G:G,"DEBITO")+SUMIFS(df_extratos!I:I,df_extratos!F:F,Conciliacao!BH147,df_extratos!G:G,"DEBITO")</f>
        <v/>
      </c>
      <c r="O147" s="11">
        <f>N147-SUM(J147:M147)</f>
        <v/>
      </c>
      <c r="P147" s="25">
        <f>SUMIFS(df_ajustes_conciliaco!D:D,df_ajustes_conciliaco!C:C,Conciliacao!A147)</f>
        <v/>
      </c>
      <c r="Q147" s="22">
        <f>O147+I147-P147</f>
        <v/>
      </c>
      <c r="BE147" s="20" t="n">
        <v>45803.5</v>
      </c>
      <c r="BF147" s="20" t="n">
        <v>45803.125</v>
      </c>
      <c r="BG147" s="20" t="n">
        <v>45803.54166666666</v>
      </c>
      <c r="BH147" s="20" t="n">
        <v>45803.625</v>
      </c>
    </row>
    <row r="148">
      <c r="A148" s="5">
        <f>A147+1</f>
        <v/>
      </c>
      <c r="B148" s="3">
        <f>-SUMIFS(df_extrato_zig!G:G,df_extrato_zig!E:E,Conciliacao!A148,df_extrato_zig!D:D,"Saque")-SUMIFS(df_extrato_zig!G:G,df_extrato_zig!E:E,Conciliacao!A148,df_extrato_zig!D:D,"Antecipação")</f>
        <v/>
      </c>
      <c r="C148" s="3">
        <f>SUMIFS(df_extrato_zig!E:E,df_extrato_zig!L:L,Conciliacao!A148,df_extrato_zig!F:F,"DINHEIRO")</f>
        <v/>
      </c>
      <c r="D148" s="3">
        <f>SUMIFS(view_parc_agrup!H:H,view_parc_agrup!G:G,Conciliacao!A148)</f>
        <v/>
      </c>
      <c r="E148" s="3">
        <f>SUMIFS(df_eventos!F:F,df_eventos!H:H,Conciliacao!A148)</f>
        <v/>
      </c>
      <c r="F148" s="3">
        <f>SUMIFS(df_mutuos!M:M,df_mutuos!B:B,Conciliacao!A148)</f>
        <v/>
      </c>
      <c r="G148" s="6">
        <f>SUMIFS(df_bloqueios_judiciais!G:G,df_bloqueios_judiciais!D:D,Conciliacao!A148,df_bloqueios_judiciais!G:G,"&gt;0")</f>
        <v/>
      </c>
      <c r="H148" s="7">
        <f>SUMIFS(df_extratos!I:I,df_extratos!F:F,Conciliacao!BE148,df_extratos!G:G,"CREDITO")+SUMIFS(df_extratos!I:I,df_extratos!F:F,Conciliacao!A148,df_extratos!G:G,"CREDITO")+SUMIFS(df_extratos!I:I,df_extratos!F:F,Conciliacao!BF148,df_extratos!G:G,"CREDITO")+SUMIFS(df_extratos!I:I,df_extratos!F:F,Conciliacao!BG148,df_extratos!G:G,"CREDITO")+SUMIFS(df_extratos!I:I,df_extratos!F:F,Conciliacao!BH148,df_extratos!G:G,"CREDITO")</f>
        <v/>
      </c>
      <c r="I148" s="9">
        <f>H148-SUM(B148:G148)</f>
        <v/>
      </c>
      <c r="J148" s="4">
        <f>SUMIFS(df_blueme_sem_parcelamento!E:E,df_blueme_sem_parcelamento!H:H,Conciliacao!A148)*(-1)</f>
        <v/>
      </c>
      <c r="K148" s="4">
        <f>SUMIFS(df_blueme_com_parcelamento!J:J,df_blueme_com_parcelamento!M:M,Conciliacao!A148)*(-1)</f>
        <v/>
      </c>
      <c r="L148" s="4">
        <f>SUMIFS(df_mutuos!N:N,df_mutuos!B:B,Conciliacao!A148)*(-1)</f>
        <v/>
      </c>
      <c r="M148" s="8">
        <f>SUMIFS(df_bloqueios_judiciais!G:G,df_bloqueios_judiciais!D:D,Conciliacao!A148,df_bloqueios_judiciais!G:G,"&lt;0")</f>
        <v/>
      </c>
      <c r="N148" s="10">
        <f>SUMIFS(df_extratos!I:I,df_extratos!F:F,Conciliacao!BE148,df_extratos!G:G,"DEBITO")+SUMIFS(df_extratos!I:I,df_extratos!F:F,Conciliacao!A148,df_extratos!G:G,"DEBITO")+SUMIFS(df_extratos!I:I,df_extratos!F:F,Conciliacao!BF148,df_extratos!G:G,"DEBITO")+SUMIFS(df_extratos!I:I,df_extratos!F:F,Conciliacao!BG148,df_extratos!G:G,"DEBITO")+SUMIFS(df_extratos!I:I,df_extratos!F:F,Conciliacao!BH148,df_extratos!G:G,"DEBITO")</f>
        <v/>
      </c>
      <c r="O148" s="11">
        <f>N148-SUM(J148:M148)</f>
        <v/>
      </c>
      <c r="P148" s="25">
        <f>SUMIFS(df_ajustes_conciliaco!D:D,df_ajustes_conciliaco!C:C,Conciliacao!A148)</f>
        <v/>
      </c>
      <c r="Q148" s="22">
        <f>O148+I148-P148</f>
        <v/>
      </c>
      <c r="BE148" s="20" t="n">
        <v>45804.5</v>
      </c>
      <c r="BF148" s="20" t="n">
        <v>45804.125</v>
      </c>
      <c r="BG148" s="20" t="n">
        <v>45804.54166666666</v>
      </c>
      <c r="BH148" s="20" t="n">
        <v>45804.625</v>
      </c>
    </row>
    <row r="149">
      <c r="A149" s="5">
        <f>A148+1</f>
        <v/>
      </c>
      <c r="B149" s="3">
        <f>-SUMIFS(df_extrato_zig!G:G,df_extrato_zig!E:E,Conciliacao!A149,df_extrato_zig!D:D,"Saque")-SUMIFS(df_extrato_zig!G:G,df_extrato_zig!E:E,Conciliacao!A149,df_extrato_zig!D:D,"Antecipação")</f>
        <v/>
      </c>
      <c r="C149" s="3">
        <f>SUMIFS(df_extrato_zig!E:E,df_extrato_zig!L:L,Conciliacao!A149,df_extrato_zig!F:F,"DINHEIRO")</f>
        <v/>
      </c>
      <c r="D149" s="3">
        <f>SUMIFS(view_parc_agrup!H:H,view_parc_agrup!G:G,Conciliacao!A149)</f>
        <v/>
      </c>
      <c r="E149" s="3">
        <f>SUMIFS(df_eventos!F:F,df_eventos!H:H,Conciliacao!A149)</f>
        <v/>
      </c>
      <c r="F149" s="3">
        <f>SUMIFS(df_mutuos!M:M,df_mutuos!B:B,Conciliacao!A149)</f>
        <v/>
      </c>
      <c r="G149" s="6">
        <f>SUMIFS(df_bloqueios_judiciais!G:G,df_bloqueios_judiciais!D:D,Conciliacao!A149,df_bloqueios_judiciais!G:G,"&gt;0")</f>
        <v/>
      </c>
      <c r="H149" s="7">
        <f>SUMIFS(df_extratos!I:I,df_extratos!F:F,Conciliacao!BE149,df_extratos!G:G,"CREDITO")+SUMIFS(df_extratos!I:I,df_extratos!F:F,Conciliacao!A149,df_extratos!G:G,"CREDITO")+SUMIFS(df_extratos!I:I,df_extratos!F:F,Conciliacao!BF149,df_extratos!G:G,"CREDITO")+SUMIFS(df_extratos!I:I,df_extratos!F:F,Conciliacao!BG149,df_extratos!G:G,"CREDITO")+SUMIFS(df_extratos!I:I,df_extratos!F:F,Conciliacao!BH149,df_extratos!G:G,"CREDITO")</f>
        <v/>
      </c>
      <c r="I149" s="9">
        <f>H149-SUM(B149:G149)</f>
        <v/>
      </c>
      <c r="J149" s="4">
        <f>SUMIFS(df_blueme_sem_parcelamento!E:E,df_blueme_sem_parcelamento!H:H,Conciliacao!A149)*(-1)</f>
        <v/>
      </c>
      <c r="K149" s="4">
        <f>SUMIFS(df_blueme_com_parcelamento!J:J,df_blueme_com_parcelamento!M:M,Conciliacao!A149)*(-1)</f>
        <v/>
      </c>
      <c r="L149" s="4">
        <f>SUMIFS(df_mutuos!N:N,df_mutuos!B:B,Conciliacao!A149)*(-1)</f>
        <v/>
      </c>
      <c r="M149" s="8">
        <f>SUMIFS(df_bloqueios_judiciais!G:G,df_bloqueios_judiciais!D:D,Conciliacao!A149,df_bloqueios_judiciais!G:G,"&lt;0")</f>
        <v/>
      </c>
      <c r="N149" s="10">
        <f>SUMIFS(df_extratos!I:I,df_extratos!F:F,Conciliacao!BE149,df_extratos!G:G,"DEBITO")+SUMIFS(df_extratos!I:I,df_extratos!F:F,Conciliacao!A149,df_extratos!G:G,"DEBITO")+SUMIFS(df_extratos!I:I,df_extratos!F:F,Conciliacao!BF149,df_extratos!G:G,"DEBITO")+SUMIFS(df_extratos!I:I,df_extratos!F:F,Conciliacao!BG149,df_extratos!G:G,"DEBITO")+SUMIFS(df_extratos!I:I,df_extratos!F:F,Conciliacao!BH149,df_extratos!G:G,"DEBITO")</f>
        <v/>
      </c>
      <c r="O149" s="11">
        <f>N149-SUM(J149:M149)</f>
        <v/>
      </c>
      <c r="P149" s="25">
        <f>SUMIFS(df_ajustes_conciliaco!D:D,df_ajustes_conciliaco!C:C,Conciliacao!A149)</f>
        <v/>
      </c>
      <c r="Q149" s="22">
        <f>O149+I149-P149</f>
        <v/>
      </c>
      <c r="BE149" s="20" t="n">
        <v>45805.5</v>
      </c>
      <c r="BF149" s="20" t="n">
        <v>45805.125</v>
      </c>
      <c r="BG149" s="20" t="n">
        <v>45805.54166666666</v>
      </c>
      <c r="BH149" s="20" t="n">
        <v>45805.625</v>
      </c>
    </row>
    <row r="150">
      <c r="A150" s="5">
        <f>A149+1</f>
        <v/>
      </c>
      <c r="B150" s="3">
        <f>-SUMIFS(df_extrato_zig!G:G,df_extrato_zig!E:E,Conciliacao!A150,df_extrato_zig!D:D,"Saque")-SUMIFS(df_extrato_zig!G:G,df_extrato_zig!E:E,Conciliacao!A150,df_extrato_zig!D:D,"Antecipação")</f>
        <v/>
      </c>
      <c r="C150" s="3">
        <f>SUMIFS(df_extrato_zig!E:E,df_extrato_zig!L:L,Conciliacao!A150,df_extrato_zig!F:F,"DINHEIRO")</f>
        <v/>
      </c>
      <c r="D150" s="3">
        <f>SUMIFS(view_parc_agrup!H:H,view_parc_agrup!G:G,Conciliacao!A150)</f>
        <v/>
      </c>
      <c r="E150" s="3">
        <f>SUMIFS(df_eventos!F:F,df_eventos!H:H,Conciliacao!A150)</f>
        <v/>
      </c>
      <c r="F150" s="3">
        <f>SUMIFS(df_mutuos!M:M,df_mutuos!B:B,Conciliacao!A150)</f>
        <v/>
      </c>
      <c r="G150" s="6">
        <f>SUMIFS(df_bloqueios_judiciais!G:G,df_bloqueios_judiciais!D:D,Conciliacao!A150,df_bloqueios_judiciais!G:G,"&gt;0")</f>
        <v/>
      </c>
      <c r="H150" s="7">
        <f>SUMIFS(df_extratos!I:I,df_extratos!F:F,Conciliacao!BE150,df_extratos!G:G,"CREDITO")+SUMIFS(df_extratos!I:I,df_extratos!F:F,Conciliacao!A150,df_extratos!G:G,"CREDITO")+SUMIFS(df_extratos!I:I,df_extratos!F:F,Conciliacao!BF150,df_extratos!G:G,"CREDITO")+SUMIFS(df_extratos!I:I,df_extratos!F:F,Conciliacao!BG150,df_extratos!G:G,"CREDITO")+SUMIFS(df_extratos!I:I,df_extratos!F:F,Conciliacao!BH150,df_extratos!G:G,"CREDITO")</f>
        <v/>
      </c>
      <c r="I150" s="9">
        <f>H150-SUM(B150:G150)</f>
        <v/>
      </c>
      <c r="J150" s="4">
        <f>SUMIFS(df_blueme_sem_parcelamento!E:E,df_blueme_sem_parcelamento!H:H,Conciliacao!A150)*(-1)</f>
        <v/>
      </c>
      <c r="K150" s="4">
        <f>SUMIFS(df_blueme_com_parcelamento!J:J,df_blueme_com_parcelamento!M:M,Conciliacao!A150)*(-1)</f>
        <v/>
      </c>
      <c r="L150" s="4">
        <f>SUMIFS(df_mutuos!N:N,df_mutuos!B:B,Conciliacao!A150)*(-1)</f>
        <v/>
      </c>
      <c r="M150" s="8">
        <f>SUMIFS(df_bloqueios_judiciais!G:G,df_bloqueios_judiciais!D:D,Conciliacao!A150,df_bloqueios_judiciais!G:G,"&lt;0")</f>
        <v/>
      </c>
      <c r="N150" s="10">
        <f>SUMIFS(df_extratos!I:I,df_extratos!F:F,Conciliacao!BE150,df_extratos!G:G,"DEBITO")+SUMIFS(df_extratos!I:I,df_extratos!F:F,Conciliacao!A150,df_extratos!G:G,"DEBITO")+SUMIFS(df_extratos!I:I,df_extratos!F:F,Conciliacao!BF150,df_extratos!G:G,"DEBITO")+SUMIFS(df_extratos!I:I,df_extratos!F:F,Conciliacao!BG150,df_extratos!G:G,"DEBITO")+SUMIFS(df_extratos!I:I,df_extratos!F:F,Conciliacao!BH150,df_extratos!G:G,"DEBITO")</f>
        <v/>
      </c>
      <c r="O150" s="11">
        <f>N150-SUM(J150:M150)</f>
        <v/>
      </c>
      <c r="P150" s="25">
        <f>SUMIFS(df_ajustes_conciliaco!D:D,df_ajustes_conciliaco!C:C,Conciliacao!A150)</f>
        <v/>
      </c>
      <c r="Q150" s="22">
        <f>O150+I150-P150</f>
        <v/>
      </c>
      <c r="BE150" s="20" t="n">
        <v>45806.5</v>
      </c>
      <c r="BF150" s="20" t="n">
        <v>45806.125</v>
      </c>
      <c r="BG150" s="20" t="n">
        <v>45806.54166666666</v>
      </c>
      <c r="BH150" s="20" t="n">
        <v>45806.625</v>
      </c>
    </row>
    <row r="151">
      <c r="A151" s="5">
        <f>A150+1</f>
        <v/>
      </c>
      <c r="B151" s="3">
        <f>-SUMIFS(df_extrato_zig!G:G,df_extrato_zig!E:E,Conciliacao!A151,df_extrato_zig!D:D,"Saque")-SUMIFS(df_extrato_zig!G:G,df_extrato_zig!E:E,Conciliacao!A151,df_extrato_zig!D:D,"Antecipação")</f>
        <v/>
      </c>
      <c r="C151" s="3">
        <f>SUMIFS(df_extrato_zig!E:E,df_extrato_zig!L:L,Conciliacao!A151,df_extrato_zig!F:F,"DINHEIRO")</f>
        <v/>
      </c>
      <c r="D151" s="3">
        <f>SUMIFS(view_parc_agrup!H:H,view_parc_agrup!G:G,Conciliacao!A151)</f>
        <v/>
      </c>
      <c r="E151" s="3">
        <f>SUMIFS(df_eventos!F:F,df_eventos!H:H,Conciliacao!A151)</f>
        <v/>
      </c>
      <c r="F151" s="3">
        <f>SUMIFS(df_mutuos!M:M,df_mutuos!B:B,Conciliacao!A151)</f>
        <v/>
      </c>
      <c r="G151" s="6">
        <f>SUMIFS(df_bloqueios_judiciais!G:G,df_bloqueios_judiciais!D:D,Conciliacao!A151,df_bloqueios_judiciais!G:G,"&gt;0")</f>
        <v/>
      </c>
      <c r="H151" s="7">
        <f>SUMIFS(df_extratos!I:I,df_extratos!F:F,Conciliacao!BE151,df_extratos!G:G,"CREDITO")+SUMIFS(df_extratos!I:I,df_extratos!F:F,Conciliacao!A151,df_extratos!G:G,"CREDITO")+SUMIFS(df_extratos!I:I,df_extratos!F:F,Conciliacao!BF151,df_extratos!G:G,"CREDITO")+SUMIFS(df_extratos!I:I,df_extratos!F:F,Conciliacao!BG151,df_extratos!G:G,"CREDITO")+SUMIFS(df_extratos!I:I,df_extratos!F:F,Conciliacao!BH151,df_extratos!G:G,"CREDITO")</f>
        <v/>
      </c>
      <c r="I151" s="9">
        <f>H151-SUM(B151:G151)</f>
        <v/>
      </c>
      <c r="J151" s="4">
        <f>SUMIFS(df_blueme_sem_parcelamento!E:E,df_blueme_sem_parcelamento!H:H,Conciliacao!A151)*(-1)</f>
        <v/>
      </c>
      <c r="K151" s="4">
        <f>SUMIFS(df_blueme_com_parcelamento!J:J,df_blueme_com_parcelamento!M:M,Conciliacao!A151)*(-1)</f>
        <v/>
      </c>
      <c r="L151" s="4">
        <f>SUMIFS(df_mutuos!N:N,df_mutuos!B:B,Conciliacao!A151)*(-1)</f>
        <v/>
      </c>
      <c r="M151" s="8">
        <f>SUMIFS(df_bloqueios_judiciais!G:G,df_bloqueios_judiciais!D:D,Conciliacao!A151,df_bloqueios_judiciais!G:G,"&lt;0")</f>
        <v/>
      </c>
      <c r="N151" s="10">
        <f>SUMIFS(df_extratos!I:I,df_extratos!F:F,Conciliacao!BE151,df_extratos!G:G,"DEBITO")+SUMIFS(df_extratos!I:I,df_extratos!F:F,Conciliacao!A151,df_extratos!G:G,"DEBITO")+SUMIFS(df_extratos!I:I,df_extratos!F:F,Conciliacao!BF151,df_extratos!G:G,"DEBITO")+SUMIFS(df_extratos!I:I,df_extratos!F:F,Conciliacao!BG151,df_extratos!G:G,"DEBITO")+SUMIFS(df_extratos!I:I,df_extratos!F:F,Conciliacao!BH151,df_extratos!G:G,"DEBITO")</f>
        <v/>
      </c>
      <c r="O151" s="11">
        <f>N151-SUM(J151:M151)</f>
        <v/>
      </c>
      <c r="P151" s="25">
        <f>SUMIFS(df_ajustes_conciliaco!D:D,df_ajustes_conciliaco!C:C,Conciliacao!A151)</f>
        <v/>
      </c>
      <c r="Q151" s="22">
        <f>O151+I151-P151</f>
        <v/>
      </c>
      <c r="BE151" s="20" t="n">
        <v>45807.5</v>
      </c>
      <c r="BF151" s="20" t="n">
        <v>45807.125</v>
      </c>
      <c r="BG151" s="20" t="n">
        <v>45807.54166666666</v>
      </c>
      <c r="BH151" s="20" t="n">
        <v>45807.625</v>
      </c>
    </row>
    <row r="152">
      <c r="A152" s="5">
        <f>A151+1</f>
        <v/>
      </c>
      <c r="B152" s="3">
        <f>-SUMIFS(df_extrato_zig!G:G,df_extrato_zig!E:E,Conciliacao!A152,df_extrato_zig!D:D,"Saque")-SUMIFS(df_extrato_zig!G:G,df_extrato_zig!E:E,Conciliacao!A152,df_extrato_zig!D:D,"Antecipação")</f>
        <v/>
      </c>
      <c r="C152" s="3">
        <f>SUMIFS(df_extrato_zig!E:E,df_extrato_zig!L:L,Conciliacao!A152,df_extrato_zig!F:F,"DINHEIRO")</f>
        <v/>
      </c>
      <c r="D152" s="3">
        <f>SUMIFS(view_parc_agrup!H:H,view_parc_agrup!G:G,Conciliacao!A152)</f>
        <v/>
      </c>
      <c r="E152" s="3">
        <f>SUMIFS(df_eventos!F:F,df_eventos!H:H,Conciliacao!A152)</f>
        <v/>
      </c>
      <c r="F152" s="3">
        <f>SUMIFS(df_mutuos!M:M,df_mutuos!B:B,Conciliacao!A152)</f>
        <v/>
      </c>
      <c r="G152" s="6">
        <f>SUMIFS(df_bloqueios_judiciais!G:G,df_bloqueios_judiciais!D:D,Conciliacao!A152,df_bloqueios_judiciais!G:G,"&gt;0")</f>
        <v/>
      </c>
      <c r="H152" s="7">
        <f>SUMIFS(df_extratos!I:I,df_extratos!F:F,Conciliacao!BE152,df_extratos!G:G,"CREDITO")+SUMIFS(df_extratos!I:I,df_extratos!F:F,Conciliacao!A152,df_extratos!G:G,"CREDITO")+SUMIFS(df_extratos!I:I,df_extratos!F:F,Conciliacao!BF152,df_extratos!G:G,"CREDITO")+SUMIFS(df_extratos!I:I,df_extratos!F:F,Conciliacao!BG152,df_extratos!G:G,"CREDITO")+SUMIFS(df_extratos!I:I,df_extratos!F:F,Conciliacao!BH152,df_extratos!G:G,"CREDITO")</f>
        <v/>
      </c>
      <c r="I152" s="9">
        <f>H152-SUM(B152:G152)</f>
        <v/>
      </c>
      <c r="J152" s="4">
        <f>SUMIFS(df_blueme_sem_parcelamento!E:E,df_blueme_sem_parcelamento!H:H,Conciliacao!A152)*(-1)</f>
        <v/>
      </c>
      <c r="K152" s="4">
        <f>SUMIFS(df_blueme_com_parcelamento!J:J,df_blueme_com_parcelamento!M:M,Conciliacao!A152)*(-1)</f>
        <v/>
      </c>
      <c r="L152" s="4">
        <f>SUMIFS(df_mutuos!N:N,df_mutuos!B:B,Conciliacao!A152)*(-1)</f>
        <v/>
      </c>
      <c r="M152" s="8">
        <f>SUMIFS(df_bloqueios_judiciais!G:G,df_bloqueios_judiciais!D:D,Conciliacao!A152,df_bloqueios_judiciais!G:G,"&lt;0")</f>
        <v/>
      </c>
      <c r="N152" s="10">
        <f>SUMIFS(df_extratos!I:I,df_extratos!F:F,Conciliacao!BE152,df_extratos!G:G,"DEBITO")+SUMIFS(df_extratos!I:I,df_extratos!F:F,Conciliacao!A152,df_extratos!G:G,"DEBITO")+SUMIFS(df_extratos!I:I,df_extratos!F:F,Conciliacao!BF152,df_extratos!G:G,"DEBITO")+SUMIFS(df_extratos!I:I,df_extratos!F:F,Conciliacao!BG152,df_extratos!G:G,"DEBITO")+SUMIFS(df_extratos!I:I,df_extratos!F:F,Conciliacao!BH152,df_extratos!G:G,"DEBITO")</f>
        <v/>
      </c>
      <c r="O152" s="11">
        <f>N152-SUM(J152:M152)</f>
        <v/>
      </c>
      <c r="P152" s="25">
        <f>SUMIFS(df_ajustes_conciliaco!D:D,df_ajustes_conciliaco!C:C,Conciliacao!A152)</f>
        <v/>
      </c>
      <c r="Q152" s="22">
        <f>O152+I152-P152</f>
        <v/>
      </c>
      <c r="BE152" s="20" t="n">
        <v>45808.5</v>
      </c>
      <c r="BF152" s="20" t="n">
        <v>45808.125</v>
      </c>
      <c r="BG152" s="20" t="n">
        <v>45808.54166666666</v>
      </c>
      <c r="BH152" s="20" t="n">
        <v>45808.625</v>
      </c>
    </row>
    <row r="153">
      <c r="A153" s="5">
        <f>A152+1</f>
        <v/>
      </c>
      <c r="B153" s="3">
        <f>-SUMIFS(df_extrato_zig!G:G,df_extrato_zig!E:E,Conciliacao!A153,df_extrato_zig!D:D,"Saque")-SUMIFS(df_extrato_zig!G:G,df_extrato_zig!E:E,Conciliacao!A153,df_extrato_zig!D:D,"Antecipação")</f>
        <v/>
      </c>
      <c r="C153" s="3">
        <f>SUMIFS(df_extrato_zig!E:E,df_extrato_zig!L:L,Conciliacao!A153,df_extrato_zig!F:F,"DINHEIRO")</f>
        <v/>
      </c>
      <c r="D153" s="3">
        <f>SUMIFS(view_parc_agrup!H:H,view_parc_agrup!G:G,Conciliacao!A153)</f>
        <v/>
      </c>
      <c r="E153" s="3">
        <f>SUMIFS(df_eventos!F:F,df_eventos!H:H,Conciliacao!A153)</f>
        <v/>
      </c>
      <c r="F153" s="3">
        <f>SUMIFS(df_mutuos!M:M,df_mutuos!B:B,Conciliacao!A153)</f>
        <v/>
      </c>
      <c r="G153" s="6">
        <f>SUMIFS(df_bloqueios_judiciais!G:G,df_bloqueios_judiciais!D:D,Conciliacao!A153,df_bloqueios_judiciais!G:G,"&gt;0")</f>
        <v/>
      </c>
      <c r="H153" s="7">
        <f>SUMIFS(df_extratos!I:I,df_extratos!F:F,Conciliacao!BE153,df_extratos!G:G,"CREDITO")+SUMIFS(df_extratos!I:I,df_extratos!F:F,Conciliacao!A153,df_extratos!G:G,"CREDITO")+SUMIFS(df_extratos!I:I,df_extratos!F:F,Conciliacao!BF153,df_extratos!G:G,"CREDITO")+SUMIFS(df_extratos!I:I,df_extratos!F:F,Conciliacao!BG153,df_extratos!G:G,"CREDITO")+SUMIFS(df_extratos!I:I,df_extratos!F:F,Conciliacao!BH153,df_extratos!G:G,"CREDITO")</f>
        <v/>
      </c>
      <c r="I153" s="9">
        <f>H153-SUM(B153:G153)</f>
        <v/>
      </c>
      <c r="J153" s="4">
        <f>SUMIFS(df_blueme_sem_parcelamento!E:E,df_blueme_sem_parcelamento!H:H,Conciliacao!A153)*(-1)</f>
        <v/>
      </c>
      <c r="K153" s="4">
        <f>SUMIFS(df_blueme_com_parcelamento!J:J,df_blueme_com_parcelamento!M:M,Conciliacao!A153)*(-1)</f>
        <v/>
      </c>
      <c r="L153" s="4">
        <f>SUMIFS(df_mutuos!N:N,df_mutuos!B:B,Conciliacao!A153)*(-1)</f>
        <v/>
      </c>
      <c r="M153" s="8">
        <f>SUMIFS(df_bloqueios_judiciais!G:G,df_bloqueios_judiciais!D:D,Conciliacao!A153,df_bloqueios_judiciais!G:G,"&lt;0")</f>
        <v/>
      </c>
      <c r="N153" s="10">
        <f>SUMIFS(df_extratos!I:I,df_extratos!F:F,Conciliacao!BE153,df_extratos!G:G,"DEBITO")+SUMIFS(df_extratos!I:I,df_extratos!F:F,Conciliacao!A153,df_extratos!G:G,"DEBITO")+SUMIFS(df_extratos!I:I,df_extratos!F:F,Conciliacao!BF153,df_extratos!G:G,"DEBITO")+SUMIFS(df_extratos!I:I,df_extratos!F:F,Conciliacao!BG153,df_extratos!G:G,"DEBITO")+SUMIFS(df_extratos!I:I,df_extratos!F:F,Conciliacao!BH153,df_extratos!G:G,"DEBITO")</f>
        <v/>
      </c>
      <c r="O153" s="11">
        <f>N153-SUM(J153:M153)</f>
        <v/>
      </c>
      <c r="P153" s="25">
        <f>SUMIFS(df_ajustes_conciliaco!D:D,df_ajustes_conciliaco!C:C,Conciliacao!A153)</f>
        <v/>
      </c>
      <c r="Q153" s="22">
        <f>O153+I153-P153</f>
        <v/>
      </c>
      <c r="BE153" s="20" t="n">
        <v>45809.5</v>
      </c>
      <c r="BF153" s="20" t="n">
        <v>45809.125</v>
      </c>
      <c r="BG153" s="20" t="n">
        <v>45809.54166666666</v>
      </c>
      <c r="BH153" s="20" t="n">
        <v>45809.625</v>
      </c>
    </row>
    <row r="154">
      <c r="A154" s="5">
        <f>A153+1</f>
        <v/>
      </c>
      <c r="B154" s="3">
        <f>-SUMIFS(df_extrato_zig!G:G,df_extrato_zig!E:E,Conciliacao!A154,df_extrato_zig!D:D,"Saque")-SUMIFS(df_extrato_zig!G:G,df_extrato_zig!E:E,Conciliacao!A154,df_extrato_zig!D:D,"Antecipação")</f>
        <v/>
      </c>
      <c r="C154" s="3">
        <f>SUMIFS(df_extrato_zig!E:E,df_extrato_zig!L:L,Conciliacao!A154,df_extrato_zig!F:F,"DINHEIRO")</f>
        <v/>
      </c>
      <c r="D154" s="3">
        <f>SUMIFS(view_parc_agrup!H:H,view_parc_agrup!G:G,Conciliacao!A154)</f>
        <v/>
      </c>
      <c r="E154" s="3">
        <f>SUMIFS(df_eventos!F:F,df_eventos!H:H,Conciliacao!A154)</f>
        <v/>
      </c>
      <c r="F154" s="3">
        <f>SUMIFS(df_mutuos!M:M,df_mutuos!B:B,Conciliacao!A154)</f>
        <v/>
      </c>
      <c r="G154" s="6">
        <f>SUMIFS(df_bloqueios_judiciais!G:G,df_bloqueios_judiciais!D:D,Conciliacao!A154,df_bloqueios_judiciais!G:G,"&gt;0")</f>
        <v/>
      </c>
      <c r="H154" s="7">
        <f>SUMIFS(df_extratos!I:I,df_extratos!F:F,Conciliacao!BE154,df_extratos!G:G,"CREDITO")+SUMIFS(df_extratos!I:I,df_extratos!F:F,Conciliacao!A154,df_extratos!G:G,"CREDITO")+SUMIFS(df_extratos!I:I,df_extratos!F:F,Conciliacao!BF154,df_extratos!G:G,"CREDITO")+SUMIFS(df_extratos!I:I,df_extratos!F:F,Conciliacao!BG154,df_extratos!G:G,"CREDITO")+SUMIFS(df_extratos!I:I,df_extratos!F:F,Conciliacao!BH154,df_extratos!G:G,"CREDITO")</f>
        <v/>
      </c>
      <c r="I154" s="9">
        <f>H154-SUM(B154:G154)</f>
        <v/>
      </c>
      <c r="J154" s="4">
        <f>SUMIFS(df_blueme_sem_parcelamento!E:E,df_blueme_sem_parcelamento!H:H,Conciliacao!A154)*(-1)</f>
        <v/>
      </c>
      <c r="K154" s="4">
        <f>SUMIFS(df_blueme_com_parcelamento!J:J,df_blueme_com_parcelamento!M:M,Conciliacao!A154)*(-1)</f>
        <v/>
      </c>
      <c r="L154" s="4">
        <f>SUMIFS(df_mutuos!N:N,df_mutuos!B:B,Conciliacao!A154)*(-1)</f>
        <v/>
      </c>
      <c r="M154" s="8">
        <f>SUMIFS(df_bloqueios_judiciais!G:G,df_bloqueios_judiciais!D:D,Conciliacao!A154,df_bloqueios_judiciais!G:G,"&lt;0")</f>
        <v/>
      </c>
      <c r="N154" s="10">
        <f>SUMIFS(df_extratos!I:I,df_extratos!F:F,Conciliacao!BE154,df_extratos!G:G,"DEBITO")+SUMIFS(df_extratos!I:I,df_extratos!F:F,Conciliacao!A154,df_extratos!G:G,"DEBITO")+SUMIFS(df_extratos!I:I,df_extratos!F:F,Conciliacao!BF154,df_extratos!G:G,"DEBITO")+SUMIFS(df_extratos!I:I,df_extratos!F:F,Conciliacao!BG154,df_extratos!G:G,"DEBITO")+SUMIFS(df_extratos!I:I,df_extratos!F:F,Conciliacao!BH154,df_extratos!G:G,"DEBITO")</f>
        <v/>
      </c>
      <c r="O154" s="11">
        <f>N154-SUM(J154:M154)</f>
        <v/>
      </c>
      <c r="P154" s="25">
        <f>SUMIFS(df_ajustes_conciliaco!D:D,df_ajustes_conciliaco!C:C,Conciliacao!A154)</f>
        <v/>
      </c>
      <c r="Q154" s="22">
        <f>O154+I154-P154</f>
        <v/>
      </c>
      <c r="BE154" s="20" t="n">
        <v>45810.5</v>
      </c>
      <c r="BF154" s="20" t="n">
        <v>45810.125</v>
      </c>
      <c r="BG154" s="20" t="n">
        <v>45810.54166666666</v>
      </c>
      <c r="BH154" s="20" t="n">
        <v>45810.625</v>
      </c>
    </row>
    <row r="155">
      <c r="A155" s="5">
        <f>A154+1</f>
        <v/>
      </c>
      <c r="B155" s="3">
        <f>-SUMIFS(df_extrato_zig!G:G,df_extrato_zig!E:E,Conciliacao!A155,df_extrato_zig!D:D,"Saque")-SUMIFS(df_extrato_zig!G:G,df_extrato_zig!E:E,Conciliacao!A155,df_extrato_zig!D:D,"Antecipação")</f>
        <v/>
      </c>
      <c r="C155" s="3">
        <f>SUMIFS(df_extrato_zig!E:E,df_extrato_zig!L:L,Conciliacao!A155,df_extrato_zig!F:F,"DINHEIRO")</f>
        <v/>
      </c>
      <c r="D155" s="3">
        <f>SUMIFS(view_parc_agrup!H:H,view_parc_agrup!G:G,Conciliacao!A155)</f>
        <v/>
      </c>
      <c r="E155" s="3">
        <f>SUMIFS(df_eventos!F:F,df_eventos!H:H,Conciliacao!A155)</f>
        <v/>
      </c>
      <c r="F155" s="3">
        <f>SUMIFS(df_mutuos!M:M,df_mutuos!B:B,Conciliacao!A155)</f>
        <v/>
      </c>
      <c r="G155" s="6">
        <f>SUMIFS(df_bloqueios_judiciais!G:G,df_bloqueios_judiciais!D:D,Conciliacao!A155,df_bloqueios_judiciais!G:G,"&gt;0")</f>
        <v/>
      </c>
      <c r="H155" s="7">
        <f>SUMIFS(df_extratos!I:I,df_extratos!F:F,Conciliacao!BE155,df_extratos!G:G,"CREDITO")+SUMIFS(df_extratos!I:I,df_extratos!F:F,Conciliacao!A155,df_extratos!G:G,"CREDITO")+SUMIFS(df_extratos!I:I,df_extratos!F:F,Conciliacao!BF155,df_extratos!G:G,"CREDITO")+SUMIFS(df_extratos!I:I,df_extratos!F:F,Conciliacao!BG155,df_extratos!G:G,"CREDITO")+SUMIFS(df_extratos!I:I,df_extratos!F:F,Conciliacao!BH155,df_extratos!G:G,"CREDITO")</f>
        <v/>
      </c>
      <c r="I155" s="9">
        <f>H155-SUM(B155:G155)</f>
        <v/>
      </c>
      <c r="J155" s="4">
        <f>SUMIFS(df_blueme_sem_parcelamento!E:E,df_blueme_sem_parcelamento!H:H,Conciliacao!A155)*(-1)</f>
        <v/>
      </c>
      <c r="K155" s="4">
        <f>SUMIFS(df_blueme_com_parcelamento!J:J,df_blueme_com_parcelamento!M:M,Conciliacao!A155)*(-1)</f>
        <v/>
      </c>
      <c r="L155" s="4">
        <f>SUMIFS(df_mutuos!N:N,df_mutuos!B:B,Conciliacao!A155)*(-1)</f>
        <v/>
      </c>
      <c r="M155" s="8">
        <f>SUMIFS(df_bloqueios_judiciais!G:G,df_bloqueios_judiciais!D:D,Conciliacao!A155,df_bloqueios_judiciais!G:G,"&lt;0")</f>
        <v/>
      </c>
      <c r="N155" s="10">
        <f>SUMIFS(df_extratos!I:I,df_extratos!F:F,Conciliacao!BE155,df_extratos!G:G,"DEBITO")+SUMIFS(df_extratos!I:I,df_extratos!F:F,Conciliacao!A155,df_extratos!G:G,"DEBITO")+SUMIFS(df_extratos!I:I,df_extratos!F:F,Conciliacao!BF155,df_extratos!G:G,"DEBITO")+SUMIFS(df_extratos!I:I,df_extratos!F:F,Conciliacao!BG155,df_extratos!G:G,"DEBITO")+SUMIFS(df_extratos!I:I,df_extratos!F:F,Conciliacao!BH155,df_extratos!G:G,"DEBITO")</f>
        <v/>
      </c>
      <c r="O155" s="11">
        <f>N155-SUM(J155:M155)</f>
        <v/>
      </c>
      <c r="P155" s="25">
        <f>SUMIFS(df_ajustes_conciliaco!D:D,df_ajustes_conciliaco!C:C,Conciliacao!A155)</f>
        <v/>
      </c>
      <c r="Q155" s="22">
        <f>O155+I155-P155</f>
        <v/>
      </c>
      <c r="BE155" s="20" t="n">
        <v>45811.5</v>
      </c>
      <c r="BF155" s="20" t="n">
        <v>45811.125</v>
      </c>
      <c r="BG155" s="20" t="n">
        <v>45811.54166666666</v>
      </c>
      <c r="BH155" s="20" t="n">
        <v>45811.625</v>
      </c>
    </row>
    <row r="156">
      <c r="A156" s="5">
        <f>A155+1</f>
        <v/>
      </c>
      <c r="B156" s="3">
        <f>-SUMIFS(df_extrato_zig!G:G,df_extrato_zig!E:E,Conciliacao!A156,df_extrato_zig!D:D,"Saque")-SUMIFS(df_extrato_zig!G:G,df_extrato_zig!E:E,Conciliacao!A156,df_extrato_zig!D:D,"Antecipação")</f>
        <v/>
      </c>
      <c r="C156" s="3">
        <f>SUMIFS(df_extrato_zig!E:E,df_extrato_zig!L:L,Conciliacao!A156,df_extrato_zig!F:F,"DINHEIRO")</f>
        <v/>
      </c>
      <c r="D156" s="3">
        <f>SUMIFS(view_parc_agrup!H:H,view_parc_agrup!G:G,Conciliacao!A156)</f>
        <v/>
      </c>
      <c r="E156" s="3">
        <f>SUMIFS(df_eventos!F:F,df_eventos!H:H,Conciliacao!A156)</f>
        <v/>
      </c>
      <c r="F156" s="3">
        <f>SUMIFS(df_mutuos!M:M,df_mutuos!B:B,Conciliacao!A156)</f>
        <v/>
      </c>
      <c r="G156" s="6">
        <f>SUMIFS(df_bloqueios_judiciais!G:G,df_bloqueios_judiciais!D:D,Conciliacao!A156,df_bloqueios_judiciais!G:G,"&gt;0")</f>
        <v/>
      </c>
      <c r="H156" s="7">
        <f>SUMIFS(df_extratos!I:I,df_extratos!F:F,Conciliacao!BE156,df_extratos!G:G,"CREDITO")+SUMIFS(df_extratos!I:I,df_extratos!F:F,Conciliacao!A156,df_extratos!G:G,"CREDITO")+SUMIFS(df_extratos!I:I,df_extratos!F:F,Conciliacao!BF156,df_extratos!G:G,"CREDITO")+SUMIFS(df_extratos!I:I,df_extratos!F:F,Conciliacao!BG156,df_extratos!G:G,"CREDITO")+SUMIFS(df_extratos!I:I,df_extratos!F:F,Conciliacao!BH156,df_extratos!G:G,"CREDITO")</f>
        <v/>
      </c>
      <c r="I156" s="9">
        <f>H156-SUM(B156:G156)</f>
        <v/>
      </c>
      <c r="J156" s="4">
        <f>SUMIFS(df_blueme_sem_parcelamento!E:E,df_blueme_sem_parcelamento!H:H,Conciliacao!A156)*(-1)</f>
        <v/>
      </c>
      <c r="K156" s="4">
        <f>SUMIFS(df_blueme_com_parcelamento!J:J,df_blueme_com_parcelamento!M:M,Conciliacao!A156)*(-1)</f>
        <v/>
      </c>
      <c r="L156" s="4">
        <f>SUMIFS(df_mutuos!N:N,df_mutuos!B:B,Conciliacao!A156)*(-1)</f>
        <v/>
      </c>
      <c r="M156" s="8">
        <f>SUMIFS(df_bloqueios_judiciais!G:G,df_bloqueios_judiciais!D:D,Conciliacao!A156,df_bloqueios_judiciais!G:G,"&lt;0")</f>
        <v/>
      </c>
      <c r="N156" s="10">
        <f>SUMIFS(df_extratos!I:I,df_extratos!F:F,Conciliacao!BE156,df_extratos!G:G,"DEBITO")+SUMIFS(df_extratos!I:I,df_extratos!F:F,Conciliacao!A156,df_extratos!G:G,"DEBITO")+SUMIFS(df_extratos!I:I,df_extratos!F:F,Conciliacao!BF156,df_extratos!G:G,"DEBITO")+SUMIFS(df_extratos!I:I,df_extratos!F:F,Conciliacao!BG156,df_extratos!G:G,"DEBITO")+SUMIFS(df_extratos!I:I,df_extratos!F:F,Conciliacao!BH156,df_extratos!G:G,"DEBITO")</f>
        <v/>
      </c>
      <c r="O156" s="11">
        <f>N156-SUM(J156:M156)</f>
        <v/>
      </c>
      <c r="P156" s="25">
        <f>SUMIFS(df_ajustes_conciliaco!D:D,df_ajustes_conciliaco!C:C,Conciliacao!A156)</f>
        <v/>
      </c>
      <c r="Q156" s="22">
        <f>O156+I156-P156</f>
        <v/>
      </c>
      <c r="BE156" s="20" t="n">
        <v>45812.5</v>
      </c>
      <c r="BF156" s="20" t="n">
        <v>45812.125</v>
      </c>
      <c r="BG156" s="20" t="n">
        <v>45812.54166666666</v>
      </c>
      <c r="BH156" s="20" t="n">
        <v>45812.625</v>
      </c>
    </row>
    <row r="157">
      <c r="A157" s="5">
        <f>A156+1</f>
        <v/>
      </c>
      <c r="B157" s="3">
        <f>-SUMIFS(df_extrato_zig!G:G,df_extrato_zig!E:E,Conciliacao!A157,df_extrato_zig!D:D,"Saque")-SUMIFS(df_extrato_zig!G:G,df_extrato_zig!E:E,Conciliacao!A157,df_extrato_zig!D:D,"Antecipação")</f>
        <v/>
      </c>
      <c r="C157" s="3">
        <f>SUMIFS(df_extrato_zig!E:E,df_extrato_zig!L:L,Conciliacao!A157,df_extrato_zig!F:F,"DINHEIRO")</f>
        <v/>
      </c>
      <c r="D157" s="3">
        <f>SUMIFS(view_parc_agrup!H:H,view_parc_agrup!G:G,Conciliacao!A157)</f>
        <v/>
      </c>
      <c r="E157" s="3">
        <f>SUMIFS(df_eventos!F:F,df_eventos!H:H,Conciliacao!A157)</f>
        <v/>
      </c>
      <c r="F157" s="3">
        <f>SUMIFS(df_mutuos!M:M,df_mutuos!B:B,Conciliacao!A157)</f>
        <v/>
      </c>
      <c r="G157" s="6">
        <f>SUMIFS(df_bloqueios_judiciais!G:G,df_bloqueios_judiciais!D:D,Conciliacao!A157,df_bloqueios_judiciais!G:G,"&gt;0")</f>
        <v/>
      </c>
      <c r="H157" s="7">
        <f>SUMIFS(df_extratos!I:I,df_extratos!F:F,Conciliacao!BE157,df_extratos!G:G,"CREDITO")+SUMIFS(df_extratos!I:I,df_extratos!F:F,Conciliacao!A157,df_extratos!G:G,"CREDITO")+SUMIFS(df_extratos!I:I,df_extratos!F:F,Conciliacao!BF157,df_extratos!G:G,"CREDITO")+SUMIFS(df_extratos!I:I,df_extratos!F:F,Conciliacao!BG157,df_extratos!G:G,"CREDITO")+SUMIFS(df_extratos!I:I,df_extratos!F:F,Conciliacao!BH157,df_extratos!G:G,"CREDITO")</f>
        <v/>
      </c>
      <c r="I157" s="9">
        <f>H157-SUM(B157:G157)</f>
        <v/>
      </c>
      <c r="J157" s="4">
        <f>SUMIFS(df_blueme_sem_parcelamento!E:E,df_blueme_sem_parcelamento!H:H,Conciliacao!A157)*(-1)</f>
        <v/>
      </c>
      <c r="K157" s="4">
        <f>SUMIFS(df_blueme_com_parcelamento!J:J,df_blueme_com_parcelamento!M:M,Conciliacao!A157)*(-1)</f>
        <v/>
      </c>
      <c r="L157" s="4">
        <f>SUMIFS(df_mutuos!N:N,df_mutuos!B:B,Conciliacao!A157)*(-1)</f>
        <v/>
      </c>
      <c r="M157" s="8">
        <f>SUMIFS(df_bloqueios_judiciais!G:G,df_bloqueios_judiciais!D:D,Conciliacao!A157,df_bloqueios_judiciais!G:G,"&lt;0")</f>
        <v/>
      </c>
      <c r="N157" s="10">
        <f>SUMIFS(df_extratos!I:I,df_extratos!F:F,Conciliacao!BE157,df_extratos!G:G,"DEBITO")+SUMIFS(df_extratos!I:I,df_extratos!F:F,Conciliacao!A157,df_extratos!G:G,"DEBITO")+SUMIFS(df_extratos!I:I,df_extratos!F:F,Conciliacao!BF157,df_extratos!G:G,"DEBITO")+SUMIFS(df_extratos!I:I,df_extratos!F:F,Conciliacao!BG157,df_extratos!G:G,"DEBITO")+SUMIFS(df_extratos!I:I,df_extratos!F:F,Conciliacao!BH157,df_extratos!G:G,"DEBITO")</f>
        <v/>
      </c>
      <c r="O157" s="11">
        <f>N157-SUM(J157:M157)</f>
        <v/>
      </c>
      <c r="P157" s="25">
        <f>SUMIFS(df_ajustes_conciliaco!D:D,df_ajustes_conciliaco!C:C,Conciliacao!A157)</f>
        <v/>
      </c>
      <c r="Q157" s="22">
        <f>O157+I157-P157</f>
        <v/>
      </c>
      <c r="BE157" s="20" t="n">
        <v>45813.5</v>
      </c>
      <c r="BF157" s="20" t="n">
        <v>45813.125</v>
      </c>
      <c r="BG157" s="20" t="n">
        <v>45813.54166666666</v>
      </c>
      <c r="BH157" s="20" t="n">
        <v>45813.625</v>
      </c>
    </row>
    <row r="158">
      <c r="A158" s="5">
        <f>A157+1</f>
        <v/>
      </c>
      <c r="B158" s="3">
        <f>-SUMIFS(df_extrato_zig!G:G,df_extrato_zig!E:E,Conciliacao!A158,df_extrato_zig!D:D,"Saque")-SUMIFS(df_extrato_zig!G:G,df_extrato_zig!E:E,Conciliacao!A158,df_extrato_zig!D:D,"Antecipação")</f>
        <v/>
      </c>
      <c r="C158" s="3">
        <f>SUMIFS(df_extrato_zig!E:E,df_extrato_zig!L:L,Conciliacao!A158,df_extrato_zig!F:F,"DINHEIRO")</f>
        <v/>
      </c>
      <c r="D158" s="3">
        <f>SUMIFS(view_parc_agrup!H:H,view_parc_agrup!G:G,Conciliacao!A158)</f>
        <v/>
      </c>
      <c r="E158" s="3">
        <f>SUMIFS(df_eventos!F:F,df_eventos!H:H,Conciliacao!A158)</f>
        <v/>
      </c>
      <c r="F158" s="3">
        <f>SUMIFS(df_mutuos!M:M,df_mutuos!B:B,Conciliacao!A158)</f>
        <v/>
      </c>
      <c r="G158" s="6">
        <f>SUMIFS(df_bloqueios_judiciais!G:G,df_bloqueios_judiciais!D:D,Conciliacao!A158,df_bloqueios_judiciais!G:G,"&gt;0")</f>
        <v/>
      </c>
      <c r="H158" s="7">
        <f>SUMIFS(df_extratos!I:I,df_extratos!F:F,Conciliacao!BE158,df_extratos!G:G,"CREDITO")+SUMIFS(df_extratos!I:I,df_extratos!F:F,Conciliacao!A158,df_extratos!G:G,"CREDITO")+SUMIFS(df_extratos!I:I,df_extratos!F:F,Conciliacao!BF158,df_extratos!G:G,"CREDITO")+SUMIFS(df_extratos!I:I,df_extratos!F:F,Conciliacao!BG158,df_extratos!G:G,"CREDITO")+SUMIFS(df_extratos!I:I,df_extratos!F:F,Conciliacao!BH158,df_extratos!G:G,"CREDITO")</f>
        <v/>
      </c>
      <c r="I158" s="9">
        <f>H158-SUM(B158:G158)</f>
        <v/>
      </c>
      <c r="J158" s="4">
        <f>SUMIFS(df_blueme_sem_parcelamento!E:E,df_blueme_sem_parcelamento!H:H,Conciliacao!A158)*(-1)</f>
        <v/>
      </c>
      <c r="K158" s="4">
        <f>SUMIFS(df_blueme_com_parcelamento!J:J,df_blueme_com_parcelamento!M:M,Conciliacao!A158)*(-1)</f>
        <v/>
      </c>
      <c r="L158" s="4">
        <f>SUMIFS(df_mutuos!N:N,df_mutuos!B:B,Conciliacao!A158)*(-1)</f>
        <v/>
      </c>
      <c r="M158" s="8">
        <f>SUMIFS(df_bloqueios_judiciais!G:G,df_bloqueios_judiciais!D:D,Conciliacao!A158,df_bloqueios_judiciais!G:G,"&lt;0")</f>
        <v/>
      </c>
      <c r="N158" s="10">
        <f>SUMIFS(df_extratos!I:I,df_extratos!F:F,Conciliacao!BE158,df_extratos!G:G,"DEBITO")+SUMIFS(df_extratos!I:I,df_extratos!F:F,Conciliacao!A158,df_extratos!G:G,"DEBITO")+SUMIFS(df_extratos!I:I,df_extratos!F:F,Conciliacao!BF158,df_extratos!G:G,"DEBITO")+SUMIFS(df_extratos!I:I,df_extratos!F:F,Conciliacao!BG158,df_extratos!G:G,"DEBITO")+SUMIFS(df_extratos!I:I,df_extratos!F:F,Conciliacao!BH158,df_extratos!G:G,"DEBITO")</f>
        <v/>
      </c>
      <c r="O158" s="11">
        <f>N158-SUM(J158:M158)</f>
        <v/>
      </c>
      <c r="P158" s="25">
        <f>SUMIFS(df_ajustes_conciliaco!D:D,df_ajustes_conciliaco!C:C,Conciliacao!A158)</f>
        <v/>
      </c>
      <c r="Q158" s="22">
        <f>O158+I158-P158</f>
        <v/>
      </c>
      <c r="BE158" s="20" t="n">
        <v>45814.5</v>
      </c>
      <c r="BF158" s="20" t="n">
        <v>45814.125</v>
      </c>
      <c r="BG158" s="20" t="n">
        <v>45814.54166666666</v>
      </c>
      <c r="BH158" s="20" t="n">
        <v>45814.625</v>
      </c>
    </row>
    <row r="159">
      <c r="A159" s="5">
        <f>A158+1</f>
        <v/>
      </c>
      <c r="B159" s="3">
        <f>-SUMIFS(df_extrato_zig!G:G,df_extrato_zig!E:E,Conciliacao!A159,df_extrato_zig!D:D,"Saque")-SUMIFS(df_extrato_zig!G:G,df_extrato_zig!E:E,Conciliacao!A159,df_extrato_zig!D:D,"Antecipação")</f>
        <v/>
      </c>
      <c r="C159" s="3">
        <f>SUMIFS(df_extrato_zig!E:E,df_extrato_zig!L:L,Conciliacao!A159,df_extrato_zig!F:F,"DINHEIRO")</f>
        <v/>
      </c>
      <c r="D159" s="3">
        <f>SUMIFS(view_parc_agrup!H:H,view_parc_agrup!G:G,Conciliacao!A159)</f>
        <v/>
      </c>
      <c r="E159" s="3">
        <f>SUMIFS(df_eventos!F:F,df_eventos!H:H,Conciliacao!A159)</f>
        <v/>
      </c>
      <c r="F159" s="3">
        <f>SUMIFS(df_mutuos!M:M,df_mutuos!B:B,Conciliacao!A159)</f>
        <v/>
      </c>
      <c r="G159" s="6">
        <f>SUMIFS(df_bloqueios_judiciais!G:G,df_bloqueios_judiciais!D:D,Conciliacao!A159,df_bloqueios_judiciais!G:G,"&gt;0")</f>
        <v/>
      </c>
      <c r="H159" s="7">
        <f>SUMIFS(df_extratos!I:I,df_extratos!F:F,Conciliacao!BE159,df_extratos!G:G,"CREDITO")+SUMIFS(df_extratos!I:I,df_extratos!F:F,Conciliacao!A159,df_extratos!G:G,"CREDITO")+SUMIFS(df_extratos!I:I,df_extratos!F:F,Conciliacao!BF159,df_extratos!G:G,"CREDITO")+SUMIFS(df_extratos!I:I,df_extratos!F:F,Conciliacao!BG159,df_extratos!G:G,"CREDITO")+SUMIFS(df_extratos!I:I,df_extratos!F:F,Conciliacao!BH159,df_extratos!G:G,"CREDITO")</f>
        <v/>
      </c>
      <c r="I159" s="9">
        <f>H159-SUM(B159:G159)</f>
        <v/>
      </c>
      <c r="J159" s="4">
        <f>SUMIFS(df_blueme_sem_parcelamento!E:E,df_blueme_sem_parcelamento!H:H,Conciliacao!A159)*(-1)</f>
        <v/>
      </c>
      <c r="K159" s="4">
        <f>SUMIFS(df_blueme_com_parcelamento!J:J,df_blueme_com_parcelamento!M:M,Conciliacao!A159)*(-1)</f>
        <v/>
      </c>
      <c r="L159" s="4">
        <f>SUMIFS(df_mutuos!N:N,df_mutuos!B:B,Conciliacao!A159)*(-1)</f>
        <v/>
      </c>
      <c r="M159" s="8">
        <f>SUMIFS(df_bloqueios_judiciais!G:G,df_bloqueios_judiciais!D:D,Conciliacao!A159,df_bloqueios_judiciais!G:G,"&lt;0")</f>
        <v/>
      </c>
      <c r="N159" s="10">
        <f>SUMIFS(df_extratos!I:I,df_extratos!F:F,Conciliacao!BE159,df_extratos!G:G,"DEBITO")+SUMIFS(df_extratos!I:I,df_extratos!F:F,Conciliacao!A159,df_extratos!G:G,"DEBITO")+SUMIFS(df_extratos!I:I,df_extratos!F:F,Conciliacao!BF159,df_extratos!G:G,"DEBITO")+SUMIFS(df_extratos!I:I,df_extratos!F:F,Conciliacao!BG159,df_extratos!G:G,"DEBITO")+SUMIFS(df_extratos!I:I,df_extratos!F:F,Conciliacao!BH159,df_extratos!G:G,"DEBITO")</f>
        <v/>
      </c>
      <c r="O159" s="11">
        <f>N159-SUM(J159:M159)</f>
        <v/>
      </c>
      <c r="P159" s="25">
        <f>SUMIFS(df_ajustes_conciliaco!D:D,df_ajustes_conciliaco!C:C,Conciliacao!A159)</f>
        <v/>
      </c>
      <c r="Q159" s="22">
        <f>O159+I159-P159</f>
        <v/>
      </c>
      <c r="BE159" s="20" t="n">
        <v>45815.5</v>
      </c>
      <c r="BF159" s="20" t="n">
        <v>45815.125</v>
      </c>
      <c r="BG159" s="20" t="n">
        <v>45815.54166666666</v>
      </c>
      <c r="BH159" s="20" t="n">
        <v>45815.625</v>
      </c>
    </row>
    <row r="160">
      <c r="A160" s="5">
        <f>A159+1</f>
        <v/>
      </c>
      <c r="B160" s="3">
        <f>-SUMIFS(df_extrato_zig!G:G,df_extrato_zig!E:E,Conciliacao!A160,df_extrato_zig!D:D,"Saque")-SUMIFS(df_extrato_zig!G:G,df_extrato_zig!E:E,Conciliacao!A160,df_extrato_zig!D:D,"Antecipação")</f>
        <v/>
      </c>
      <c r="C160" s="3">
        <f>SUMIFS(df_extrato_zig!E:E,df_extrato_zig!L:L,Conciliacao!A160,df_extrato_zig!F:F,"DINHEIRO")</f>
        <v/>
      </c>
      <c r="D160" s="3">
        <f>SUMIFS(view_parc_agrup!H:H,view_parc_agrup!G:G,Conciliacao!A160)</f>
        <v/>
      </c>
      <c r="E160" s="3">
        <f>SUMIFS(df_eventos!F:F,df_eventos!H:H,Conciliacao!A160)</f>
        <v/>
      </c>
      <c r="F160" s="3">
        <f>SUMIFS(df_mutuos!M:M,df_mutuos!B:B,Conciliacao!A160)</f>
        <v/>
      </c>
      <c r="G160" s="6">
        <f>SUMIFS(df_bloqueios_judiciais!G:G,df_bloqueios_judiciais!D:D,Conciliacao!A160,df_bloqueios_judiciais!G:G,"&gt;0")</f>
        <v/>
      </c>
      <c r="H160" s="7">
        <f>SUMIFS(df_extratos!I:I,df_extratos!F:F,Conciliacao!BE160,df_extratos!G:G,"CREDITO")+SUMIFS(df_extratos!I:I,df_extratos!F:F,Conciliacao!A160,df_extratos!G:G,"CREDITO")+SUMIFS(df_extratos!I:I,df_extratos!F:F,Conciliacao!BF160,df_extratos!G:G,"CREDITO")+SUMIFS(df_extratos!I:I,df_extratos!F:F,Conciliacao!BG160,df_extratos!G:G,"CREDITO")+SUMIFS(df_extratos!I:I,df_extratos!F:F,Conciliacao!BH160,df_extratos!G:G,"CREDITO")</f>
        <v/>
      </c>
      <c r="I160" s="9">
        <f>H160-SUM(B160:G160)</f>
        <v/>
      </c>
      <c r="J160" s="4">
        <f>SUMIFS(df_blueme_sem_parcelamento!E:E,df_blueme_sem_parcelamento!H:H,Conciliacao!A160)*(-1)</f>
        <v/>
      </c>
      <c r="K160" s="4">
        <f>SUMIFS(df_blueme_com_parcelamento!J:J,df_blueme_com_parcelamento!M:M,Conciliacao!A160)*(-1)</f>
        <v/>
      </c>
      <c r="L160" s="4">
        <f>SUMIFS(df_mutuos!N:N,df_mutuos!B:B,Conciliacao!A160)*(-1)</f>
        <v/>
      </c>
      <c r="M160" s="8">
        <f>SUMIFS(df_bloqueios_judiciais!G:G,df_bloqueios_judiciais!D:D,Conciliacao!A160,df_bloqueios_judiciais!G:G,"&lt;0")</f>
        <v/>
      </c>
      <c r="N160" s="10">
        <f>SUMIFS(df_extratos!I:I,df_extratos!F:F,Conciliacao!BE160,df_extratos!G:G,"DEBITO")+SUMIFS(df_extratos!I:I,df_extratos!F:F,Conciliacao!A160,df_extratos!G:G,"DEBITO")+SUMIFS(df_extratos!I:I,df_extratos!F:F,Conciliacao!BF160,df_extratos!G:G,"DEBITO")+SUMIFS(df_extratos!I:I,df_extratos!F:F,Conciliacao!BG160,df_extratos!G:G,"DEBITO")+SUMIFS(df_extratos!I:I,df_extratos!F:F,Conciliacao!BH160,df_extratos!G:G,"DEBITO")</f>
        <v/>
      </c>
      <c r="O160" s="11">
        <f>N160-SUM(J160:M160)</f>
        <v/>
      </c>
      <c r="P160" s="25">
        <f>SUMIFS(df_ajustes_conciliaco!D:D,df_ajustes_conciliaco!C:C,Conciliacao!A160)</f>
        <v/>
      </c>
      <c r="Q160" s="22">
        <f>O160+I160-P160</f>
        <v/>
      </c>
      <c r="BE160" s="20" t="n">
        <v>45816.5</v>
      </c>
      <c r="BF160" s="20" t="n">
        <v>45816.125</v>
      </c>
      <c r="BG160" s="20" t="n">
        <v>45816.54166666666</v>
      </c>
      <c r="BH160" s="20" t="n">
        <v>45816.625</v>
      </c>
    </row>
    <row r="161">
      <c r="A161" s="5">
        <f>A160+1</f>
        <v/>
      </c>
      <c r="B161" s="3">
        <f>-SUMIFS(df_extrato_zig!G:G,df_extrato_zig!E:E,Conciliacao!A161,df_extrato_zig!D:D,"Saque")-SUMIFS(df_extrato_zig!G:G,df_extrato_zig!E:E,Conciliacao!A161,df_extrato_zig!D:D,"Antecipação")</f>
        <v/>
      </c>
      <c r="C161" s="3">
        <f>SUMIFS(df_extrato_zig!E:E,df_extrato_zig!L:L,Conciliacao!A161,df_extrato_zig!F:F,"DINHEIRO")</f>
        <v/>
      </c>
      <c r="D161" s="3">
        <f>SUMIFS(view_parc_agrup!H:H,view_parc_agrup!G:G,Conciliacao!A161)</f>
        <v/>
      </c>
      <c r="E161" s="3">
        <f>SUMIFS(df_eventos!F:F,df_eventos!H:H,Conciliacao!A161)</f>
        <v/>
      </c>
      <c r="F161" s="3">
        <f>SUMIFS(df_mutuos!M:M,df_mutuos!B:B,Conciliacao!A161)</f>
        <v/>
      </c>
      <c r="G161" s="6">
        <f>SUMIFS(df_bloqueios_judiciais!G:G,df_bloqueios_judiciais!D:D,Conciliacao!A161,df_bloqueios_judiciais!G:G,"&gt;0")</f>
        <v/>
      </c>
      <c r="H161" s="7">
        <f>SUMIFS(df_extratos!I:I,df_extratos!F:F,Conciliacao!BE161,df_extratos!G:G,"CREDITO")+SUMIFS(df_extratos!I:I,df_extratos!F:F,Conciliacao!A161,df_extratos!G:G,"CREDITO")+SUMIFS(df_extratos!I:I,df_extratos!F:F,Conciliacao!BF161,df_extratos!G:G,"CREDITO")+SUMIFS(df_extratos!I:I,df_extratos!F:F,Conciliacao!BG161,df_extratos!G:G,"CREDITO")+SUMIFS(df_extratos!I:I,df_extratos!F:F,Conciliacao!BH161,df_extratos!G:G,"CREDITO")</f>
        <v/>
      </c>
      <c r="I161" s="9">
        <f>H161-SUM(B161:G161)</f>
        <v/>
      </c>
      <c r="J161" s="4">
        <f>SUMIFS(df_blueme_sem_parcelamento!E:E,df_blueme_sem_parcelamento!H:H,Conciliacao!A161)*(-1)</f>
        <v/>
      </c>
      <c r="K161" s="4">
        <f>SUMIFS(df_blueme_com_parcelamento!J:J,df_blueme_com_parcelamento!M:M,Conciliacao!A161)*(-1)</f>
        <v/>
      </c>
      <c r="L161" s="4">
        <f>SUMIFS(df_mutuos!N:N,df_mutuos!B:B,Conciliacao!A161)*(-1)</f>
        <v/>
      </c>
      <c r="M161" s="8">
        <f>SUMIFS(df_bloqueios_judiciais!G:G,df_bloqueios_judiciais!D:D,Conciliacao!A161,df_bloqueios_judiciais!G:G,"&lt;0")</f>
        <v/>
      </c>
      <c r="N161" s="10">
        <f>SUMIFS(df_extratos!I:I,df_extratos!F:F,Conciliacao!BE161,df_extratos!G:G,"DEBITO")+SUMIFS(df_extratos!I:I,df_extratos!F:F,Conciliacao!A161,df_extratos!G:G,"DEBITO")+SUMIFS(df_extratos!I:I,df_extratos!F:F,Conciliacao!BF161,df_extratos!G:G,"DEBITO")+SUMIFS(df_extratos!I:I,df_extratos!F:F,Conciliacao!BG161,df_extratos!G:G,"DEBITO")+SUMIFS(df_extratos!I:I,df_extratos!F:F,Conciliacao!BH161,df_extratos!G:G,"DEBITO")</f>
        <v/>
      </c>
      <c r="O161" s="11">
        <f>N161-SUM(J161:M161)</f>
        <v/>
      </c>
      <c r="P161" s="25">
        <f>SUMIFS(df_ajustes_conciliaco!D:D,df_ajustes_conciliaco!C:C,Conciliacao!A161)</f>
        <v/>
      </c>
      <c r="Q161" s="22">
        <f>O161+I161-P161</f>
        <v/>
      </c>
      <c r="BE161" s="20" t="n">
        <v>45817.5</v>
      </c>
      <c r="BF161" s="20" t="n">
        <v>45817.125</v>
      </c>
      <c r="BG161" s="20" t="n">
        <v>45817.54166666666</v>
      </c>
      <c r="BH161" s="20" t="n">
        <v>45817.625</v>
      </c>
    </row>
    <row r="162">
      <c r="A162" s="5">
        <f>A161+1</f>
        <v/>
      </c>
      <c r="B162" s="3">
        <f>-SUMIFS(df_extrato_zig!G:G,df_extrato_zig!E:E,Conciliacao!A162,df_extrato_zig!D:D,"Saque")-SUMIFS(df_extrato_zig!G:G,df_extrato_zig!E:E,Conciliacao!A162,df_extrato_zig!D:D,"Antecipação")</f>
        <v/>
      </c>
      <c r="C162" s="3">
        <f>SUMIFS(df_extrato_zig!E:E,df_extrato_zig!L:L,Conciliacao!A162,df_extrato_zig!F:F,"DINHEIRO")</f>
        <v/>
      </c>
      <c r="D162" s="3">
        <f>SUMIFS(view_parc_agrup!H:H,view_parc_agrup!G:G,Conciliacao!A162)</f>
        <v/>
      </c>
      <c r="E162" s="3">
        <f>SUMIFS(df_eventos!F:F,df_eventos!H:H,Conciliacao!A162)</f>
        <v/>
      </c>
      <c r="F162" s="3">
        <f>SUMIFS(df_mutuos!M:M,df_mutuos!B:B,Conciliacao!A162)</f>
        <v/>
      </c>
      <c r="G162" s="6">
        <f>SUMIFS(df_bloqueios_judiciais!G:G,df_bloqueios_judiciais!D:D,Conciliacao!A162,df_bloqueios_judiciais!G:G,"&gt;0")</f>
        <v/>
      </c>
      <c r="H162" s="7">
        <f>SUMIFS(df_extratos!I:I,df_extratos!F:F,Conciliacao!BE162,df_extratos!G:G,"CREDITO")+SUMIFS(df_extratos!I:I,df_extratos!F:F,Conciliacao!A162,df_extratos!G:G,"CREDITO")+SUMIFS(df_extratos!I:I,df_extratos!F:F,Conciliacao!BF162,df_extratos!G:G,"CREDITO")+SUMIFS(df_extratos!I:I,df_extratos!F:F,Conciliacao!BG162,df_extratos!G:G,"CREDITO")+SUMIFS(df_extratos!I:I,df_extratos!F:F,Conciliacao!BH162,df_extratos!G:G,"CREDITO")</f>
        <v/>
      </c>
      <c r="I162" s="9">
        <f>H162-SUM(B162:G162)</f>
        <v/>
      </c>
      <c r="J162" s="4">
        <f>SUMIFS(df_blueme_sem_parcelamento!E:E,df_blueme_sem_parcelamento!H:H,Conciliacao!A162)*(-1)</f>
        <v/>
      </c>
      <c r="K162" s="4">
        <f>SUMIFS(df_blueme_com_parcelamento!J:J,df_blueme_com_parcelamento!M:M,Conciliacao!A162)*(-1)</f>
        <v/>
      </c>
      <c r="L162" s="4">
        <f>SUMIFS(df_mutuos!N:N,df_mutuos!B:B,Conciliacao!A162)*(-1)</f>
        <v/>
      </c>
      <c r="M162" s="8">
        <f>SUMIFS(df_bloqueios_judiciais!G:G,df_bloqueios_judiciais!D:D,Conciliacao!A162,df_bloqueios_judiciais!G:G,"&lt;0")</f>
        <v/>
      </c>
      <c r="N162" s="10">
        <f>SUMIFS(df_extratos!I:I,df_extratos!F:F,Conciliacao!BE162,df_extratos!G:G,"DEBITO")+SUMIFS(df_extratos!I:I,df_extratos!F:F,Conciliacao!A162,df_extratos!G:G,"DEBITO")+SUMIFS(df_extratos!I:I,df_extratos!F:F,Conciliacao!BF162,df_extratos!G:G,"DEBITO")+SUMIFS(df_extratos!I:I,df_extratos!F:F,Conciliacao!BG162,df_extratos!G:G,"DEBITO")+SUMIFS(df_extratos!I:I,df_extratos!F:F,Conciliacao!BH162,df_extratos!G:G,"DEBITO")</f>
        <v/>
      </c>
      <c r="O162" s="11">
        <f>N162-SUM(J162:M162)</f>
        <v/>
      </c>
      <c r="P162" s="25">
        <f>SUMIFS(df_ajustes_conciliaco!D:D,df_ajustes_conciliaco!C:C,Conciliacao!A162)</f>
        <v/>
      </c>
      <c r="Q162" s="22">
        <f>O162+I162-P162</f>
        <v/>
      </c>
      <c r="BE162" s="20" t="n">
        <v>45818.5</v>
      </c>
      <c r="BF162" s="20" t="n">
        <v>45818.125</v>
      </c>
      <c r="BG162" s="20" t="n">
        <v>45818.54166666666</v>
      </c>
      <c r="BH162" s="20" t="n">
        <v>45818.625</v>
      </c>
    </row>
    <row r="163">
      <c r="A163" s="5">
        <f>A162+1</f>
        <v/>
      </c>
      <c r="B163" s="3">
        <f>-SUMIFS(df_extrato_zig!G:G,df_extrato_zig!E:E,Conciliacao!A163,df_extrato_zig!D:D,"Saque")-SUMIFS(df_extrato_zig!G:G,df_extrato_zig!E:E,Conciliacao!A163,df_extrato_zig!D:D,"Antecipação")</f>
        <v/>
      </c>
      <c r="C163" s="3">
        <f>SUMIFS(df_extrato_zig!E:E,df_extrato_zig!L:L,Conciliacao!A163,df_extrato_zig!F:F,"DINHEIRO")</f>
        <v/>
      </c>
      <c r="D163" s="3">
        <f>SUMIFS(view_parc_agrup!H:H,view_parc_agrup!G:G,Conciliacao!A163)</f>
        <v/>
      </c>
      <c r="E163" s="3">
        <f>SUMIFS(df_eventos!F:F,df_eventos!H:H,Conciliacao!A163)</f>
        <v/>
      </c>
      <c r="F163" s="3">
        <f>SUMIFS(df_mutuos!M:M,df_mutuos!B:B,Conciliacao!A163)</f>
        <v/>
      </c>
      <c r="G163" s="6">
        <f>SUMIFS(df_bloqueios_judiciais!G:G,df_bloqueios_judiciais!D:D,Conciliacao!A163,df_bloqueios_judiciais!G:G,"&gt;0")</f>
        <v/>
      </c>
      <c r="H163" s="7">
        <f>SUMIFS(df_extratos!I:I,df_extratos!F:F,Conciliacao!BE163,df_extratos!G:G,"CREDITO")+SUMIFS(df_extratos!I:I,df_extratos!F:F,Conciliacao!A163,df_extratos!G:G,"CREDITO")+SUMIFS(df_extratos!I:I,df_extratos!F:F,Conciliacao!BF163,df_extratos!G:G,"CREDITO")+SUMIFS(df_extratos!I:I,df_extratos!F:F,Conciliacao!BG163,df_extratos!G:G,"CREDITO")+SUMIFS(df_extratos!I:I,df_extratos!F:F,Conciliacao!BH163,df_extratos!G:G,"CREDITO")</f>
        <v/>
      </c>
      <c r="I163" s="9">
        <f>H163-SUM(B163:G163)</f>
        <v/>
      </c>
      <c r="J163" s="4">
        <f>SUMIFS(df_blueme_sem_parcelamento!E:E,df_blueme_sem_parcelamento!H:H,Conciliacao!A163)*(-1)</f>
        <v/>
      </c>
      <c r="K163" s="4">
        <f>SUMIFS(df_blueme_com_parcelamento!J:J,df_blueme_com_parcelamento!M:M,Conciliacao!A163)*(-1)</f>
        <v/>
      </c>
      <c r="L163" s="4">
        <f>SUMIFS(df_mutuos!N:N,df_mutuos!B:B,Conciliacao!A163)*(-1)</f>
        <v/>
      </c>
      <c r="M163" s="8">
        <f>SUMIFS(df_bloqueios_judiciais!G:G,df_bloqueios_judiciais!D:D,Conciliacao!A163,df_bloqueios_judiciais!G:G,"&lt;0")</f>
        <v/>
      </c>
      <c r="N163" s="10">
        <f>SUMIFS(df_extratos!I:I,df_extratos!F:F,Conciliacao!BE163,df_extratos!G:G,"DEBITO")+SUMIFS(df_extratos!I:I,df_extratos!F:F,Conciliacao!A163,df_extratos!G:G,"DEBITO")+SUMIFS(df_extratos!I:I,df_extratos!F:F,Conciliacao!BF163,df_extratos!G:G,"DEBITO")+SUMIFS(df_extratos!I:I,df_extratos!F:F,Conciliacao!BG163,df_extratos!G:G,"DEBITO")+SUMIFS(df_extratos!I:I,df_extratos!F:F,Conciliacao!BH163,df_extratos!G:G,"DEBITO")</f>
        <v/>
      </c>
      <c r="O163" s="11">
        <f>N163-SUM(J163:M163)</f>
        <v/>
      </c>
      <c r="P163" s="25">
        <f>SUMIFS(df_ajustes_conciliaco!D:D,df_ajustes_conciliaco!C:C,Conciliacao!A163)</f>
        <v/>
      </c>
      <c r="Q163" s="22">
        <f>O163+I163-P163</f>
        <v/>
      </c>
      <c r="BE163" s="20" t="n">
        <v>45819.5</v>
      </c>
      <c r="BF163" s="20" t="n">
        <v>45819.125</v>
      </c>
      <c r="BG163" s="20" t="n">
        <v>45819.54166666666</v>
      </c>
      <c r="BH163" s="20" t="n">
        <v>45819.625</v>
      </c>
    </row>
    <row r="164">
      <c r="A164" s="5">
        <f>A163+1</f>
        <v/>
      </c>
      <c r="B164" s="3">
        <f>-SUMIFS(df_extrato_zig!G:G,df_extrato_zig!E:E,Conciliacao!A164,df_extrato_zig!D:D,"Saque")-SUMIFS(df_extrato_zig!G:G,df_extrato_zig!E:E,Conciliacao!A164,df_extrato_zig!D:D,"Antecipação")</f>
        <v/>
      </c>
      <c r="C164" s="3">
        <f>SUMIFS(df_extrato_zig!E:E,df_extrato_zig!L:L,Conciliacao!A164,df_extrato_zig!F:F,"DINHEIRO")</f>
        <v/>
      </c>
      <c r="D164" s="3">
        <f>SUMIFS(view_parc_agrup!H:H,view_parc_agrup!G:G,Conciliacao!A164)</f>
        <v/>
      </c>
      <c r="E164" s="3">
        <f>SUMIFS(df_eventos!F:F,df_eventos!H:H,Conciliacao!A164)</f>
        <v/>
      </c>
      <c r="F164" s="3">
        <f>SUMIFS(df_mutuos!M:M,df_mutuos!B:B,Conciliacao!A164)</f>
        <v/>
      </c>
      <c r="G164" s="6">
        <f>SUMIFS(df_bloqueios_judiciais!G:G,df_bloqueios_judiciais!D:D,Conciliacao!A164,df_bloqueios_judiciais!G:G,"&gt;0")</f>
        <v/>
      </c>
      <c r="H164" s="7">
        <f>SUMIFS(df_extratos!I:I,df_extratos!F:F,Conciliacao!BE164,df_extratos!G:G,"CREDITO")+SUMIFS(df_extratos!I:I,df_extratos!F:F,Conciliacao!A164,df_extratos!G:G,"CREDITO")+SUMIFS(df_extratos!I:I,df_extratos!F:F,Conciliacao!BF164,df_extratos!G:G,"CREDITO")+SUMIFS(df_extratos!I:I,df_extratos!F:F,Conciliacao!BG164,df_extratos!G:G,"CREDITO")+SUMIFS(df_extratos!I:I,df_extratos!F:F,Conciliacao!BH164,df_extratos!G:G,"CREDITO")</f>
        <v/>
      </c>
      <c r="I164" s="9">
        <f>H164-SUM(B164:G164)</f>
        <v/>
      </c>
      <c r="J164" s="4">
        <f>SUMIFS(df_blueme_sem_parcelamento!E:E,df_blueme_sem_parcelamento!H:H,Conciliacao!A164)*(-1)</f>
        <v/>
      </c>
      <c r="K164" s="4">
        <f>SUMIFS(df_blueme_com_parcelamento!J:J,df_blueme_com_parcelamento!M:M,Conciliacao!A164)*(-1)</f>
        <v/>
      </c>
      <c r="L164" s="4">
        <f>SUMIFS(df_mutuos!N:N,df_mutuos!B:B,Conciliacao!A164)*(-1)</f>
        <v/>
      </c>
      <c r="M164" s="8">
        <f>SUMIFS(df_bloqueios_judiciais!G:G,df_bloqueios_judiciais!D:D,Conciliacao!A164,df_bloqueios_judiciais!G:G,"&lt;0")</f>
        <v/>
      </c>
      <c r="N164" s="10">
        <f>SUMIFS(df_extratos!I:I,df_extratos!F:F,Conciliacao!BE164,df_extratos!G:G,"DEBITO")+SUMIFS(df_extratos!I:I,df_extratos!F:F,Conciliacao!A164,df_extratos!G:G,"DEBITO")+SUMIFS(df_extratos!I:I,df_extratos!F:F,Conciliacao!BF164,df_extratos!G:G,"DEBITO")+SUMIFS(df_extratos!I:I,df_extratos!F:F,Conciliacao!BG164,df_extratos!G:G,"DEBITO")+SUMIFS(df_extratos!I:I,df_extratos!F:F,Conciliacao!BH164,df_extratos!G:G,"DEBITO")</f>
        <v/>
      </c>
      <c r="O164" s="11">
        <f>N164-SUM(J164:M164)</f>
        <v/>
      </c>
      <c r="P164" s="25">
        <f>SUMIFS(df_ajustes_conciliaco!D:D,df_ajustes_conciliaco!C:C,Conciliacao!A164)</f>
        <v/>
      </c>
      <c r="Q164" s="22">
        <f>O164+I164-P164</f>
        <v/>
      </c>
      <c r="BE164" s="20" t="n">
        <v>45820.5</v>
      </c>
      <c r="BF164" s="20" t="n">
        <v>45820.125</v>
      </c>
      <c r="BG164" s="20" t="n">
        <v>45820.54166666666</v>
      </c>
      <c r="BH164" s="20" t="n">
        <v>45820.625</v>
      </c>
    </row>
    <row r="165">
      <c r="A165" s="5">
        <f>A164+1</f>
        <v/>
      </c>
      <c r="B165" s="3">
        <f>-SUMIFS(df_extrato_zig!G:G,df_extrato_zig!E:E,Conciliacao!A165,df_extrato_zig!D:D,"Saque")-SUMIFS(df_extrato_zig!G:G,df_extrato_zig!E:E,Conciliacao!A165,df_extrato_zig!D:D,"Antecipação")</f>
        <v/>
      </c>
      <c r="C165" s="3">
        <f>SUMIFS(df_extrato_zig!E:E,df_extrato_zig!L:L,Conciliacao!A165,df_extrato_zig!F:F,"DINHEIRO")</f>
        <v/>
      </c>
      <c r="D165" s="3">
        <f>SUMIFS(view_parc_agrup!H:H,view_parc_agrup!G:G,Conciliacao!A165)</f>
        <v/>
      </c>
      <c r="E165" s="3">
        <f>SUMIFS(df_eventos!F:F,df_eventos!H:H,Conciliacao!A165)</f>
        <v/>
      </c>
      <c r="F165" s="3">
        <f>SUMIFS(df_mutuos!M:M,df_mutuos!B:B,Conciliacao!A165)</f>
        <v/>
      </c>
      <c r="G165" s="6">
        <f>SUMIFS(df_bloqueios_judiciais!G:G,df_bloqueios_judiciais!D:D,Conciliacao!A165,df_bloqueios_judiciais!G:G,"&gt;0")</f>
        <v/>
      </c>
      <c r="H165" s="7">
        <f>SUMIFS(df_extratos!I:I,df_extratos!F:F,Conciliacao!BE165,df_extratos!G:G,"CREDITO")+SUMIFS(df_extratos!I:I,df_extratos!F:F,Conciliacao!A165,df_extratos!G:G,"CREDITO")+SUMIFS(df_extratos!I:I,df_extratos!F:F,Conciliacao!BF165,df_extratos!G:G,"CREDITO")+SUMIFS(df_extratos!I:I,df_extratos!F:F,Conciliacao!BG165,df_extratos!G:G,"CREDITO")+SUMIFS(df_extratos!I:I,df_extratos!F:F,Conciliacao!BH165,df_extratos!G:G,"CREDITO")</f>
        <v/>
      </c>
      <c r="I165" s="9">
        <f>H165-SUM(B165:G165)</f>
        <v/>
      </c>
      <c r="J165" s="4">
        <f>SUMIFS(df_blueme_sem_parcelamento!E:E,df_blueme_sem_parcelamento!H:H,Conciliacao!A165)*(-1)</f>
        <v/>
      </c>
      <c r="K165" s="4">
        <f>SUMIFS(df_blueme_com_parcelamento!J:J,df_blueme_com_parcelamento!M:M,Conciliacao!A165)*(-1)</f>
        <v/>
      </c>
      <c r="L165" s="4">
        <f>SUMIFS(df_mutuos!N:N,df_mutuos!B:B,Conciliacao!A165)*(-1)</f>
        <v/>
      </c>
      <c r="M165" s="8">
        <f>SUMIFS(df_bloqueios_judiciais!G:G,df_bloqueios_judiciais!D:D,Conciliacao!A165,df_bloqueios_judiciais!G:G,"&lt;0")</f>
        <v/>
      </c>
      <c r="N165" s="10">
        <f>SUMIFS(df_extratos!I:I,df_extratos!F:F,Conciliacao!BE165,df_extratos!G:G,"DEBITO")+SUMIFS(df_extratos!I:I,df_extratos!F:F,Conciliacao!A165,df_extratos!G:G,"DEBITO")+SUMIFS(df_extratos!I:I,df_extratos!F:F,Conciliacao!BF165,df_extratos!G:G,"DEBITO")+SUMIFS(df_extratos!I:I,df_extratos!F:F,Conciliacao!BG165,df_extratos!G:G,"DEBITO")+SUMIFS(df_extratos!I:I,df_extratos!F:F,Conciliacao!BH165,df_extratos!G:G,"DEBITO")</f>
        <v/>
      </c>
      <c r="O165" s="11">
        <f>N165-SUM(J165:M165)</f>
        <v/>
      </c>
      <c r="P165" s="25">
        <f>SUMIFS(df_ajustes_conciliaco!D:D,df_ajustes_conciliaco!C:C,Conciliacao!A165)</f>
        <v/>
      </c>
      <c r="Q165" s="22">
        <f>O165+I165-P165</f>
        <v/>
      </c>
      <c r="BE165" s="20" t="n">
        <v>45821.5</v>
      </c>
      <c r="BF165" s="20" t="n">
        <v>45821.125</v>
      </c>
      <c r="BG165" s="20" t="n">
        <v>45821.54166666666</v>
      </c>
      <c r="BH165" s="20" t="n">
        <v>45821.625</v>
      </c>
    </row>
    <row r="166">
      <c r="A166" s="5">
        <f>A165+1</f>
        <v/>
      </c>
      <c r="B166" s="3">
        <f>-SUMIFS(df_extrato_zig!G:G,df_extrato_zig!E:E,Conciliacao!A166,df_extrato_zig!D:D,"Saque")-SUMIFS(df_extrato_zig!G:G,df_extrato_zig!E:E,Conciliacao!A166,df_extrato_zig!D:D,"Antecipação")</f>
        <v/>
      </c>
      <c r="C166" s="3">
        <f>SUMIFS(df_extrato_zig!E:E,df_extrato_zig!L:L,Conciliacao!A166,df_extrato_zig!F:F,"DINHEIRO")</f>
        <v/>
      </c>
      <c r="D166" s="3">
        <f>SUMIFS(view_parc_agrup!H:H,view_parc_agrup!G:G,Conciliacao!A166)</f>
        <v/>
      </c>
      <c r="E166" s="3">
        <f>SUMIFS(df_eventos!F:F,df_eventos!H:H,Conciliacao!A166)</f>
        <v/>
      </c>
      <c r="F166" s="3">
        <f>SUMIFS(df_mutuos!M:M,df_mutuos!B:B,Conciliacao!A166)</f>
        <v/>
      </c>
      <c r="G166" s="6">
        <f>SUMIFS(df_bloqueios_judiciais!G:G,df_bloqueios_judiciais!D:D,Conciliacao!A166,df_bloqueios_judiciais!G:G,"&gt;0")</f>
        <v/>
      </c>
      <c r="H166" s="7">
        <f>SUMIFS(df_extratos!I:I,df_extratos!F:F,Conciliacao!BE166,df_extratos!G:G,"CREDITO")+SUMIFS(df_extratos!I:I,df_extratos!F:F,Conciliacao!A166,df_extratos!G:G,"CREDITO")+SUMIFS(df_extratos!I:I,df_extratos!F:F,Conciliacao!BF166,df_extratos!G:G,"CREDITO")+SUMIFS(df_extratos!I:I,df_extratos!F:F,Conciliacao!BG166,df_extratos!G:G,"CREDITO")+SUMIFS(df_extratos!I:I,df_extratos!F:F,Conciliacao!BH166,df_extratos!G:G,"CREDITO")</f>
        <v/>
      </c>
      <c r="I166" s="9">
        <f>H166-SUM(B166:G166)</f>
        <v/>
      </c>
      <c r="J166" s="4">
        <f>SUMIFS(df_blueme_sem_parcelamento!E:E,df_blueme_sem_parcelamento!H:H,Conciliacao!A166)*(-1)</f>
        <v/>
      </c>
      <c r="K166" s="4">
        <f>SUMIFS(df_blueme_com_parcelamento!J:J,df_blueme_com_parcelamento!M:M,Conciliacao!A166)*(-1)</f>
        <v/>
      </c>
      <c r="L166" s="4">
        <f>SUMIFS(df_mutuos!N:N,df_mutuos!B:B,Conciliacao!A166)*(-1)</f>
        <v/>
      </c>
      <c r="M166" s="8">
        <f>SUMIFS(df_bloqueios_judiciais!G:G,df_bloqueios_judiciais!D:D,Conciliacao!A166,df_bloqueios_judiciais!G:G,"&lt;0")</f>
        <v/>
      </c>
      <c r="N166" s="10">
        <f>SUMIFS(df_extratos!I:I,df_extratos!F:F,Conciliacao!BE166,df_extratos!G:G,"DEBITO")+SUMIFS(df_extratos!I:I,df_extratos!F:F,Conciliacao!A166,df_extratos!G:G,"DEBITO")+SUMIFS(df_extratos!I:I,df_extratos!F:F,Conciliacao!BF166,df_extratos!G:G,"DEBITO")+SUMIFS(df_extratos!I:I,df_extratos!F:F,Conciliacao!BG166,df_extratos!G:G,"DEBITO")+SUMIFS(df_extratos!I:I,df_extratos!F:F,Conciliacao!BH166,df_extratos!G:G,"DEBITO")</f>
        <v/>
      </c>
      <c r="O166" s="11">
        <f>N166-SUM(J166:M166)</f>
        <v/>
      </c>
      <c r="P166" s="25">
        <f>SUMIFS(df_ajustes_conciliaco!D:D,df_ajustes_conciliaco!C:C,Conciliacao!A166)</f>
        <v/>
      </c>
      <c r="Q166" s="22">
        <f>O166+I166-P166</f>
        <v/>
      </c>
      <c r="BE166" s="20" t="n">
        <v>45822.5</v>
      </c>
      <c r="BF166" s="20" t="n">
        <v>45822.125</v>
      </c>
      <c r="BG166" s="20" t="n">
        <v>45822.54166666666</v>
      </c>
      <c r="BH166" s="20" t="n">
        <v>45822.625</v>
      </c>
    </row>
    <row r="167">
      <c r="A167" s="5">
        <f>A166+1</f>
        <v/>
      </c>
      <c r="B167" s="3">
        <f>-SUMIFS(df_extrato_zig!G:G,df_extrato_zig!E:E,Conciliacao!A167,df_extrato_zig!D:D,"Saque")-SUMIFS(df_extrato_zig!G:G,df_extrato_zig!E:E,Conciliacao!A167,df_extrato_zig!D:D,"Antecipação")</f>
        <v/>
      </c>
      <c r="C167" s="3">
        <f>SUMIFS(df_extrato_zig!E:E,df_extrato_zig!L:L,Conciliacao!A167,df_extrato_zig!F:F,"DINHEIRO")</f>
        <v/>
      </c>
      <c r="D167" s="3">
        <f>SUMIFS(view_parc_agrup!H:H,view_parc_agrup!G:G,Conciliacao!A167)</f>
        <v/>
      </c>
      <c r="E167" s="3">
        <f>SUMIFS(df_eventos!F:F,df_eventos!H:H,Conciliacao!A167)</f>
        <v/>
      </c>
      <c r="F167" s="3">
        <f>SUMIFS(df_mutuos!M:M,df_mutuos!B:B,Conciliacao!A167)</f>
        <v/>
      </c>
      <c r="G167" s="6">
        <f>SUMIFS(df_bloqueios_judiciais!G:G,df_bloqueios_judiciais!D:D,Conciliacao!A167,df_bloqueios_judiciais!G:G,"&gt;0")</f>
        <v/>
      </c>
      <c r="H167" s="7">
        <f>SUMIFS(df_extratos!I:I,df_extratos!F:F,Conciliacao!BE167,df_extratos!G:G,"CREDITO")+SUMIFS(df_extratos!I:I,df_extratos!F:F,Conciliacao!A167,df_extratos!G:G,"CREDITO")+SUMIFS(df_extratos!I:I,df_extratos!F:F,Conciliacao!BF167,df_extratos!G:G,"CREDITO")+SUMIFS(df_extratos!I:I,df_extratos!F:F,Conciliacao!BG167,df_extratos!G:G,"CREDITO")+SUMIFS(df_extratos!I:I,df_extratos!F:F,Conciliacao!BH167,df_extratos!G:G,"CREDITO")</f>
        <v/>
      </c>
      <c r="I167" s="9">
        <f>H167-SUM(B167:G167)</f>
        <v/>
      </c>
      <c r="J167" s="4">
        <f>SUMIFS(df_blueme_sem_parcelamento!E:E,df_blueme_sem_parcelamento!H:H,Conciliacao!A167)*(-1)</f>
        <v/>
      </c>
      <c r="K167" s="4">
        <f>SUMIFS(df_blueme_com_parcelamento!J:J,df_blueme_com_parcelamento!M:M,Conciliacao!A167)*(-1)</f>
        <v/>
      </c>
      <c r="L167" s="4">
        <f>SUMIFS(df_mutuos!N:N,df_mutuos!B:B,Conciliacao!A167)*(-1)</f>
        <v/>
      </c>
      <c r="M167" s="8">
        <f>SUMIFS(df_bloqueios_judiciais!G:G,df_bloqueios_judiciais!D:D,Conciliacao!A167,df_bloqueios_judiciais!G:G,"&lt;0")</f>
        <v/>
      </c>
      <c r="N167" s="10">
        <f>SUMIFS(df_extratos!I:I,df_extratos!F:F,Conciliacao!BE167,df_extratos!G:G,"DEBITO")+SUMIFS(df_extratos!I:I,df_extratos!F:F,Conciliacao!A167,df_extratos!G:G,"DEBITO")+SUMIFS(df_extratos!I:I,df_extratos!F:F,Conciliacao!BF167,df_extratos!G:G,"DEBITO")+SUMIFS(df_extratos!I:I,df_extratos!F:F,Conciliacao!BG167,df_extratos!G:G,"DEBITO")+SUMIFS(df_extratos!I:I,df_extratos!F:F,Conciliacao!BH167,df_extratos!G:G,"DEBITO")</f>
        <v/>
      </c>
      <c r="O167" s="11">
        <f>N167-SUM(J167:M167)</f>
        <v/>
      </c>
      <c r="P167" s="25">
        <f>SUMIFS(df_ajustes_conciliaco!D:D,df_ajustes_conciliaco!C:C,Conciliacao!A167)</f>
        <v/>
      </c>
      <c r="Q167" s="22">
        <f>O167+I167-P167</f>
        <v/>
      </c>
      <c r="BE167" s="20" t="n">
        <v>45823.5</v>
      </c>
      <c r="BF167" s="20" t="n">
        <v>45823.125</v>
      </c>
      <c r="BG167" s="20" t="n">
        <v>45823.54166666666</v>
      </c>
      <c r="BH167" s="20" t="n">
        <v>45823.625</v>
      </c>
    </row>
    <row r="168">
      <c r="A168" s="5">
        <f>A167+1</f>
        <v/>
      </c>
      <c r="B168" s="3">
        <f>-SUMIFS(df_extrato_zig!G:G,df_extrato_zig!E:E,Conciliacao!A168,df_extrato_zig!D:D,"Saque")-SUMIFS(df_extrato_zig!G:G,df_extrato_zig!E:E,Conciliacao!A168,df_extrato_zig!D:D,"Antecipação")</f>
        <v/>
      </c>
      <c r="C168" s="3">
        <f>SUMIFS(df_extrato_zig!E:E,df_extrato_zig!L:L,Conciliacao!A168,df_extrato_zig!F:F,"DINHEIRO")</f>
        <v/>
      </c>
      <c r="D168" s="3">
        <f>SUMIFS(view_parc_agrup!H:H,view_parc_agrup!G:G,Conciliacao!A168)</f>
        <v/>
      </c>
      <c r="E168" s="3">
        <f>SUMIFS(df_eventos!F:F,df_eventos!H:H,Conciliacao!A168)</f>
        <v/>
      </c>
      <c r="F168" s="3">
        <f>SUMIFS(df_mutuos!M:M,df_mutuos!B:B,Conciliacao!A168)</f>
        <v/>
      </c>
      <c r="G168" s="6">
        <f>SUMIFS(df_bloqueios_judiciais!G:G,df_bloqueios_judiciais!D:D,Conciliacao!A168,df_bloqueios_judiciais!G:G,"&gt;0")</f>
        <v/>
      </c>
      <c r="H168" s="7">
        <f>SUMIFS(df_extratos!I:I,df_extratos!F:F,Conciliacao!BE168,df_extratos!G:G,"CREDITO")+SUMIFS(df_extratos!I:I,df_extratos!F:F,Conciliacao!A168,df_extratos!G:G,"CREDITO")+SUMIFS(df_extratos!I:I,df_extratos!F:F,Conciliacao!BF168,df_extratos!G:G,"CREDITO")+SUMIFS(df_extratos!I:I,df_extratos!F:F,Conciliacao!BG168,df_extratos!G:G,"CREDITO")+SUMIFS(df_extratos!I:I,df_extratos!F:F,Conciliacao!BH168,df_extratos!G:G,"CREDITO")</f>
        <v/>
      </c>
      <c r="I168" s="9">
        <f>H168-SUM(B168:G168)</f>
        <v/>
      </c>
      <c r="J168" s="4">
        <f>SUMIFS(df_blueme_sem_parcelamento!E:E,df_blueme_sem_parcelamento!H:H,Conciliacao!A168)*(-1)</f>
        <v/>
      </c>
      <c r="K168" s="4">
        <f>SUMIFS(df_blueme_com_parcelamento!J:J,df_blueme_com_parcelamento!M:M,Conciliacao!A168)*(-1)</f>
        <v/>
      </c>
      <c r="L168" s="4">
        <f>SUMIFS(df_mutuos!N:N,df_mutuos!B:B,Conciliacao!A168)*(-1)</f>
        <v/>
      </c>
      <c r="M168" s="8">
        <f>SUMIFS(df_bloqueios_judiciais!G:G,df_bloqueios_judiciais!D:D,Conciliacao!A168,df_bloqueios_judiciais!G:G,"&lt;0")</f>
        <v/>
      </c>
      <c r="N168" s="10">
        <f>SUMIFS(df_extratos!I:I,df_extratos!F:F,Conciliacao!BE168,df_extratos!G:G,"DEBITO")+SUMIFS(df_extratos!I:I,df_extratos!F:F,Conciliacao!A168,df_extratos!G:G,"DEBITO")+SUMIFS(df_extratos!I:I,df_extratos!F:F,Conciliacao!BF168,df_extratos!G:G,"DEBITO")+SUMIFS(df_extratos!I:I,df_extratos!F:F,Conciliacao!BG168,df_extratos!G:G,"DEBITO")+SUMIFS(df_extratos!I:I,df_extratos!F:F,Conciliacao!BH168,df_extratos!G:G,"DEBITO")</f>
        <v/>
      </c>
      <c r="O168" s="11">
        <f>N168-SUM(J168:M168)</f>
        <v/>
      </c>
      <c r="P168" s="25">
        <f>SUMIFS(df_ajustes_conciliaco!D:D,df_ajustes_conciliaco!C:C,Conciliacao!A168)</f>
        <v/>
      </c>
      <c r="Q168" s="22">
        <f>O168+I168-P168</f>
        <v/>
      </c>
      <c r="BE168" s="20" t="n">
        <v>45824.5</v>
      </c>
      <c r="BF168" s="20" t="n">
        <v>45824.125</v>
      </c>
      <c r="BG168" s="20" t="n">
        <v>45824.54166666666</v>
      </c>
      <c r="BH168" s="20" t="n">
        <v>45824.625</v>
      </c>
    </row>
    <row r="169">
      <c r="A169" s="5">
        <f>A168+1</f>
        <v/>
      </c>
      <c r="B169" s="3">
        <f>-SUMIFS(df_extrato_zig!G:G,df_extrato_zig!E:E,Conciliacao!A169,df_extrato_zig!D:D,"Saque")-SUMIFS(df_extrato_zig!G:G,df_extrato_zig!E:E,Conciliacao!A169,df_extrato_zig!D:D,"Antecipação")</f>
        <v/>
      </c>
      <c r="C169" s="3">
        <f>SUMIFS(df_extrato_zig!E:E,df_extrato_zig!L:L,Conciliacao!A169,df_extrato_zig!F:F,"DINHEIRO")</f>
        <v/>
      </c>
      <c r="D169" s="3">
        <f>SUMIFS(view_parc_agrup!H:H,view_parc_agrup!G:G,Conciliacao!A169)</f>
        <v/>
      </c>
      <c r="E169" s="3">
        <f>SUMIFS(df_eventos!F:F,df_eventos!H:H,Conciliacao!A169)</f>
        <v/>
      </c>
      <c r="F169" s="3">
        <f>SUMIFS(df_mutuos!M:M,df_mutuos!B:B,Conciliacao!A169)</f>
        <v/>
      </c>
      <c r="G169" s="6">
        <f>SUMIFS(df_bloqueios_judiciais!G:G,df_bloqueios_judiciais!D:D,Conciliacao!A169,df_bloqueios_judiciais!G:G,"&gt;0")</f>
        <v/>
      </c>
      <c r="H169" s="7">
        <f>SUMIFS(df_extratos!I:I,df_extratos!F:F,Conciliacao!BE169,df_extratos!G:G,"CREDITO")+SUMIFS(df_extratos!I:I,df_extratos!F:F,Conciliacao!A169,df_extratos!G:G,"CREDITO")+SUMIFS(df_extratos!I:I,df_extratos!F:F,Conciliacao!BF169,df_extratos!G:G,"CREDITO")+SUMIFS(df_extratos!I:I,df_extratos!F:F,Conciliacao!BG169,df_extratos!G:G,"CREDITO")+SUMIFS(df_extratos!I:I,df_extratos!F:F,Conciliacao!BH169,df_extratos!G:G,"CREDITO")</f>
        <v/>
      </c>
      <c r="I169" s="9">
        <f>H169-SUM(B169:G169)</f>
        <v/>
      </c>
      <c r="J169" s="4">
        <f>SUMIFS(df_blueme_sem_parcelamento!E:E,df_blueme_sem_parcelamento!H:H,Conciliacao!A169)*(-1)</f>
        <v/>
      </c>
      <c r="K169" s="4">
        <f>SUMIFS(df_blueme_com_parcelamento!J:J,df_blueme_com_parcelamento!M:M,Conciliacao!A169)*(-1)</f>
        <v/>
      </c>
      <c r="L169" s="4">
        <f>SUMIFS(df_mutuos!N:N,df_mutuos!B:B,Conciliacao!A169)*(-1)</f>
        <v/>
      </c>
      <c r="M169" s="8">
        <f>SUMIFS(df_bloqueios_judiciais!G:G,df_bloqueios_judiciais!D:D,Conciliacao!A169,df_bloqueios_judiciais!G:G,"&lt;0")</f>
        <v/>
      </c>
      <c r="N169" s="10">
        <f>SUMIFS(df_extratos!I:I,df_extratos!F:F,Conciliacao!BE169,df_extratos!G:G,"DEBITO")+SUMIFS(df_extratos!I:I,df_extratos!F:F,Conciliacao!A169,df_extratos!G:G,"DEBITO")+SUMIFS(df_extratos!I:I,df_extratos!F:F,Conciliacao!BF169,df_extratos!G:G,"DEBITO")+SUMIFS(df_extratos!I:I,df_extratos!F:F,Conciliacao!BG169,df_extratos!G:G,"DEBITO")+SUMIFS(df_extratos!I:I,df_extratos!F:F,Conciliacao!BH169,df_extratos!G:G,"DEBITO")</f>
        <v/>
      </c>
      <c r="O169" s="11">
        <f>N169-SUM(J169:M169)</f>
        <v/>
      </c>
      <c r="P169" s="25">
        <f>SUMIFS(df_ajustes_conciliaco!D:D,df_ajustes_conciliaco!C:C,Conciliacao!A169)</f>
        <v/>
      </c>
      <c r="Q169" s="22">
        <f>O169+I169-P169</f>
        <v/>
      </c>
      <c r="BE169" s="20" t="n">
        <v>45825.5</v>
      </c>
      <c r="BF169" s="20" t="n">
        <v>45825.125</v>
      </c>
      <c r="BG169" s="20" t="n">
        <v>45825.54166666666</v>
      </c>
      <c r="BH169" s="20" t="n">
        <v>45825.625</v>
      </c>
    </row>
    <row r="170">
      <c r="A170" s="5">
        <f>A169+1</f>
        <v/>
      </c>
      <c r="B170" s="3">
        <f>-SUMIFS(df_extrato_zig!G:G,df_extrato_zig!E:E,Conciliacao!A170,df_extrato_zig!D:D,"Saque")-SUMIFS(df_extrato_zig!G:G,df_extrato_zig!E:E,Conciliacao!A170,df_extrato_zig!D:D,"Antecipação")</f>
        <v/>
      </c>
      <c r="C170" s="3">
        <f>SUMIFS(df_extrato_zig!E:E,df_extrato_zig!L:L,Conciliacao!A170,df_extrato_zig!F:F,"DINHEIRO")</f>
        <v/>
      </c>
      <c r="D170" s="3">
        <f>SUMIFS(view_parc_agrup!H:H,view_parc_agrup!G:G,Conciliacao!A170)</f>
        <v/>
      </c>
      <c r="E170" s="3">
        <f>SUMIFS(df_eventos!F:F,df_eventos!H:H,Conciliacao!A170)</f>
        <v/>
      </c>
      <c r="F170" s="3">
        <f>SUMIFS(df_mutuos!M:M,df_mutuos!B:B,Conciliacao!A170)</f>
        <v/>
      </c>
      <c r="G170" s="6">
        <f>SUMIFS(df_bloqueios_judiciais!G:G,df_bloqueios_judiciais!D:D,Conciliacao!A170,df_bloqueios_judiciais!G:G,"&gt;0")</f>
        <v/>
      </c>
      <c r="H170" s="7">
        <f>SUMIFS(df_extratos!I:I,df_extratos!F:F,Conciliacao!BE170,df_extratos!G:G,"CREDITO")+SUMIFS(df_extratos!I:I,df_extratos!F:F,Conciliacao!A170,df_extratos!G:G,"CREDITO")+SUMIFS(df_extratos!I:I,df_extratos!F:F,Conciliacao!BF170,df_extratos!G:G,"CREDITO")+SUMIFS(df_extratos!I:I,df_extratos!F:F,Conciliacao!BG170,df_extratos!G:G,"CREDITO")+SUMIFS(df_extratos!I:I,df_extratos!F:F,Conciliacao!BH170,df_extratos!G:G,"CREDITO")</f>
        <v/>
      </c>
      <c r="I170" s="9">
        <f>H170-SUM(B170:G170)</f>
        <v/>
      </c>
      <c r="J170" s="4">
        <f>SUMIFS(df_blueme_sem_parcelamento!E:E,df_blueme_sem_parcelamento!H:H,Conciliacao!A170)*(-1)</f>
        <v/>
      </c>
      <c r="K170" s="4">
        <f>SUMIFS(df_blueme_com_parcelamento!J:J,df_blueme_com_parcelamento!M:M,Conciliacao!A170)*(-1)</f>
        <v/>
      </c>
      <c r="L170" s="4">
        <f>SUMIFS(df_mutuos!N:N,df_mutuos!B:B,Conciliacao!A170)*(-1)</f>
        <v/>
      </c>
      <c r="M170" s="8">
        <f>SUMIFS(df_bloqueios_judiciais!G:G,df_bloqueios_judiciais!D:D,Conciliacao!A170,df_bloqueios_judiciais!G:G,"&lt;0")</f>
        <v/>
      </c>
      <c r="N170" s="10">
        <f>SUMIFS(df_extratos!I:I,df_extratos!F:F,Conciliacao!BE170,df_extratos!G:G,"DEBITO")+SUMIFS(df_extratos!I:I,df_extratos!F:F,Conciliacao!A170,df_extratos!G:G,"DEBITO")+SUMIFS(df_extratos!I:I,df_extratos!F:F,Conciliacao!BF170,df_extratos!G:G,"DEBITO")+SUMIFS(df_extratos!I:I,df_extratos!F:F,Conciliacao!BG170,df_extratos!G:G,"DEBITO")+SUMIFS(df_extratos!I:I,df_extratos!F:F,Conciliacao!BH170,df_extratos!G:G,"DEBITO")</f>
        <v/>
      </c>
      <c r="O170" s="11">
        <f>N170-SUM(J170:M170)</f>
        <v/>
      </c>
      <c r="P170" s="25">
        <f>SUMIFS(df_ajustes_conciliaco!D:D,df_ajustes_conciliaco!C:C,Conciliacao!A170)</f>
        <v/>
      </c>
      <c r="Q170" s="22">
        <f>O170+I170-P170</f>
        <v/>
      </c>
      <c r="BE170" s="20" t="n">
        <v>45826.5</v>
      </c>
      <c r="BF170" s="20" t="n">
        <v>45826.125</v>
      </c>
      <c r="BG170" s="20" t="n">
        <v>45826.54166666666</v>
      </c>
      <c r="BH170" s="20" t="n">
        <v>45826.625</v>
      </c>
    </row>
    <row r="171">
      <c r="A171" s="5">
        <f>A170+1</f>
        <v/>
      </c>
      <c r="B171" s="3">
        <f>-SUMIFS(df_extrato_zig!G:G,df_extrato_zig!E:E,Conciliacao!A171,df_extrato_zig!D:D,"Saque")-SUMIFS(df_extrato_zig!G:G,df_extrato_zig!E:E,Conciliacao!A171,df_extrato_zig!D:D,"Antecipação")</f>
        <v/>
      </c>
      <c r="C171" s="3">
        <f>SUMIFS(df_extrato_zig!E:E,df_extrato_zig!L:L,Conciliacao!A171,df_extrato_zig!F:F,"DINHEIRO")</f>
        <v/>
      </c>
      <c r="D171" s="3">
        <f>SUMIFS(view_parc_agrup!H:H,view_parc_agrup!G:G,Conciliacao!A171)</f>
        <v/>
      </c>
      <c r="E171" s="3">
        <f>SUMIFS(df_eventos!F:F,df_eventos!H:H,Conciliacao!A171)</f>
        <v/>
      </c>
      <c r="F171" s="3">
        <f>SUMIFS(df_mutuos!M:M,df_mutuos!B:B,Conciliacao!A171)</f>
        <v/>
      </c>
      <c r="G171" s="6">
        <f>SUMIFS(df_bloqueios_judiciais!G:G,df_bloqueios_judiciais!D:D,Conciliacao!A171,df_bloqueios_judiciais!G:G,"&gt;0")</f>
        <v/>
      </c>
      <c r="H171" s="7">
        <f>SUMIFS(df_extratos!I:I,df_extratos!F:F,Conciliacao!BE171,df_extratos!G:G,"CREDITO")+SUMIFS(df_extratos!I:I,df_extratos!F:F,Conciliacao!A171,df_extratos!G:G,"CREDITO")+SUMIFS(df_extratos!I:I,df_extratos!F:F,Conciliacao!BF171,df_extratos!G:G,"CREDITO")+SUMIFS(df_extratos!I:I,df_extratos!F:F,Conciliacao!BG171,df_extratos!G:G,"CREDITO")+SUMIFS(df_extratos!I:I,df_extratos!F:F,Conciliacao!BH171,df_extratos!G:G,"CREDITO")</f>
        <v/>
      </c>
      <c r="I171" s="9">
        <f>H171-SUM(B171:G171)</f>
        <v/>
      </c>
      <c r="J171" s="4">
        <f>SUMIFS(df_blueme_sem_parcelamento!E:E,df_blueme_sem_parcelamento!H:H,Conciliacao!A171)*(-1)</f>
        <v/>
      </c>
      <c r="K171" s="4">
        <f>SUMIFS(df_blueme_com_parcelamento!J:J,df_blueme_com_parcelamento!M:M,Conciliacao!A171)*(-1)</f>
        <v/>
      </c>
      <c r="L171" s="4">
        <f>SUMIFS(df_mutuos!N:N,df_mutuos!B:B,Conciliacao!A171)*(-1)</f>
        <v/>
      </c>
      <c r="M171" s="8">
        <f>SUMIFS(df_bloqueios_judiciais!G:G,df_bloqueios_judiciais!D:D,Conciliacao!A171,df_bloqueios_judiciais!G:G,"&lt;0")</f>
        <v/>
      </c>
      <c r="N171" s="10">
        <f>SUMIFS(df_extratos!I:I,df_extratos!F:F,Conciliacao!BE171,df_extratos!G:G,"DEBITO")+SUMIFS(df_extratos!I:I,df_extratos!F:F,Conciliacao!A171,df_extratos!G:G,"DEBITO")+SUMIFS(df_extratos!I:I,df_extratos!F:F,Conciliacao!BF171,df_extratos!G:G,"DEBITO")+SUMIFS(df_extratos!I:I,df_extratos!F:F,Conciliacao!BG171,df_extratos!G:G,"DEBITO")+SUMIFS(df_extratos!I:I,df_extratos!F:F,Conciliacao!BH171,df_extratos!G:G,"DEBITO")</f>
        <v/>
      </c>
      <c r="O171" s="11">
        <f>N171-SUM(J171:M171)</f>
        <v/>
      </c>
      <c r="P171" s="25">
        <f>SUMIFS(df_ajustes_conciliaco!D:D,df_ajustes_conciliaco!C:C,Conciliacao!A171)</f>
        <v/>
      </c>
      <c r="Q171" s="22">
        <f>O171+I171-P171</f>
        <v/>
      </c>
      <c r="BE171" s="20" t="n">
        <v>45827.5</v>
      </c>
      <c r="BF171" s="20" t="n">
        <v>45827.125</v>
      </c>
      <c r="BG171" s="20" t="n">
        <v>45827.54166666666</v>
      </c>
      <c r="BH171" s="20" t="n">
        <v>45827.625</v>
      </c>
    </row>
    <row r="172">
      <c r="A172" s="5">
        <f>A171+1</f>
        <v/>
      </c>
      <c r="B172" s="3">
        <f>-SUMIFS(df_extrato_zig!G:G,df_extrato_zig!E:E,Conciliacao!A172,df_extrato_zig!D:D,"Saque")-SUMIFS(df_extrato_zig!G:G,df_extrato_zig!E:E,Conciliacao!A172,df_extrato_zig!D:D,"Antecipação")</f>
        <v/>
      </c>
      <c r="C172" s="3">
        <f>SUMIFS(df_extrato_zig!E:E,df_extrato_zig!L:L,Conciliacao!A172,df_extrato_zig!F:F,"DINHEIRO")</f>
        <v/>
      </c>
      <c r="D172" s="3">
        <f>SUMIFS(view_parc_agrup!H:H,view_parc_agrup!G:G,Conciliacao!A172)</f>
        <v/>
      </c>
      <c r="E172" s="3">
        <f>SUMIFS(df_eventos!F:F,df_eventos!H:H,Conciliacao!A172)</f>
        <v/>
      </c>
      <c r="F172" s="3">
        <f>SUMIFS(df_mutuos!M:M,df_mutuos!B:B,Conciliacao!A172)</f>
        <v/>
      </c>
      <c r="G172" s="6">
        <f>SUMIFS(df_bloqueios_judiciais!G:G,df_bloqueios_judiciais!D:D,Conciliacao!A172,df_bloqueios_judiciais!G:G,"&gt;0")</f>
        <v/>
      </c>
      <c r="H172" s="7">
        <f>SUMIFS(df_extratos!I:I,df_extratos!F:F,Conciliacao!BE172,df_extratos!G:G,"CREDITO")+SUMIFS(df_extratos!I:I,df_extratos!F:F,Conciliacao!A172,df_extratos!G:G,"CREDITO")+SUMIFS(df_extratos!I:I,df_extratos!F:F,Conciliacao!BF172,df_extratos!G:G,"CREDITO")+SUMIFS(df_extratos!I:I,df_extratos!F:F,Conciliacao!BG172,df_extratos!G:G,"CREDITO")+SUMIFS(df_extratos!I:I,df_extratos!F:F,Conciliacao!BH172,df_extratos!G:G,"CREDITO")</f>
        <v/>
      </c>
      <c r="I172" s="9">
        <f>H172-SUM(B172:G172)</f>
        <v/>
      </c>
      <c r="J172" s="4">
        <f>SUMIFS(df_blueme_sem_parcelamento!E:E,df_blueme_sem_parcelamento!H:H,Conciliacao!A172)*(-1)</f>
        <v/>
      </c>
      <c r="K172" s="4">
        <f>SUMIFS(df_blueme_com_parcelamento!J:J,df_blueme_com_parcelamento!M:M,Conciliacao!A172)*(-1)</f>
        <v/>
      </c>
      <c r="L172" s="4">
        <f>SUMIFS(df_mutuos!N:N,df_mutuos!B:B,Conciliacao!A172)*(-1)</f>
        <v/>
      </c>
      <c r="M172" s="8">
        <f>SUMIFS(df_bloqueios_judiciais!G:G,df_bloqueios_judiciais!D:D,Conciliacao!A172,df_bloqueios_judiciais!G:G,"&lt;0")</f>
        <v/>
      </c>
      <c r="N172" s="10">
        <f>SUMIFS(df_extratos!I:I,df_extratos!F:F,Conciliacao!BE172,df_extratos!G:G,"DEBITO")+SUMIFS(df_extratos!I:I,df_extratos!F:F,Conciliacao!A172,df_extratos!G:G,"DEBITO")+SUMIFS(df_extratos!I:I,df_extratos!F:F,Conciliacao!BF172,df_extratos!G:G,"DEBITO")+SUMIFS(df_extratos!I:I,df_extratos!F:F,Conciliacao!BG172,df_extratos!G:G,"DEBITO")+SUMIFS(df_extratos!I:I,df_extratos!F:F,Conciliacao!BH172,df_extratos!G:G,"DEBITO")</f>
        <v/>
      </c>
      <c r="O172" s="11">
        <f>N172-SUM(J172:M172)</f>
        <v/>
      </c>
      <c r="P172" s="25">
        <f>SUMIFS(df_ajustes_conciliaco!D:D,df_ajustes_conciliaco!C:C,Conciliacao!A172)</f>
        <v/>
      </c>
      <c r="Q172" s="22">
        <f>O172+I172-P172</f>
        <v/>
      </c>
      <c r="BE172" s="20" t="n">
        <v>45828.5</v>
      </c>
      <c r="BF172" s="20" t="n">
        <v>45828.125</v>
      </c>
      <c r="BG172" s="20" t="n">
        <v>45828.54166666666</v>
      </c>
      <c r="BH172" s="20" t="n">
        <v>45828.625</v>
      </c>
    </row>
    <row r="173">
      <c r="A173" s="5">
        <f>A172+1</f>
        <v/>
      </c>
      <c r="B173" s="3">
        <f>-SUMIFS(df_extrato_zig!G:G,df_extrato_zig!E:E,Conciliacao!A173,df_extrato_zig!D:D,"Saque")-SUMIFS(df_extrato_zig!G:G,df_extrato_zig!E:E,Conciliacao!A173,df_extrato_zig!D:D,"Antecipação")</f>
        <v/>
      </c>
      <c r="C173" s="3">
        <f>SUMIFS(df_extrato_zig!E:E,df_extrato_zig!L:L,Conciliacao!A173,df_extrato_zig!F:F,"DINHEIRO")</f>
        <v/>
      </c>
      <c r="D173" s="3">
        <f>SUMIFS(view_parc_agrup!H:H,view_parc_agrup!G:G,Conciliacao!A173)</f>
        <v/>
      </c>
      <c r="E173" s="3">
        <f>SUMIFS(df_eventos!F:F,df_eventos!H:H,Conciliacao!A173)</f>
        <v/>
      </c>
      <c r="F173" s="3">
        <f>SUMIFS(df_mutuos!M:M,df_mutuos!B:B,Conciliacao!A173)</f>
        <v/>
      </c>
      <c r="G173" s="6">
        <f>SUMIFS(df_bloqueios_judiciais!G:G,df_bloqueios_judiciais!D:D,Conciliacao!A173,df_bloqueios_judiciais!G:G,"&gt;0")</f>
        <v/>
      </c>
      <c r="H173" s="7">
        <f>SUMIFS(df_extratos!I:I,df_extratos!F:F,Conciliacao!BE173,df_extratos!G:G,"CREDITO")+SUMIFS(df_extratos!I:I,df_extratos!F:F,Conciliacao!A173,df_extratos!G:G,"CREDITO")+SUMIFS(df_extratos!I:I,df_extratos!F:F,Conciliacao!BF173,df_extratos!G:G,"CREDITO")+SUMIFS(df_extratos!I:I,df_extratos!F:F,Conciliacao!BG173,df_extratos!G:G,"CREDITO")+SUMIFS(df_extratos!I:I,df_extratos!F:F,Conciliacao!BH173,df_extratos!G:G,"CREDITO")</f>
        <v/>
      </c>
      <c r="I173" s="9">
        <f>H173-SUM(B173:G173)</f>
        <v/>
      </c>
      <c r="J173" s="4">
        <f>SUMIFS(df_blueme_sem_parcelamento!E:E,df_blueme_sem_parcelamento!H:H,Conciliacao!A173)*(-1)</f>
        <v/>
      </c>
      <c r="K173" s="4">
        <f>SUMIFS(df_blueme_com_parcelamento!J:J,df_blueme_com_parcelamento!M:M,Conciliacao!A173)*(-1)</f>
        <v/>
      </c>
      <c r="L173" s="4">
        <f>SUMIFS(df_mutuos!N:N,df_mutuos!B:B,Conciliacao!A173)*(-1)</f>
        <v/>
      </c>
      <c r="M173" s="8">
        <f>SUMIFS(df_bloqueios_judiciais!G:G,df_bloqueios_judiciais!D:D,Conciliacao!A173,df_bloqueios_judiciais!G:G,"&lt;0")</f>
        <v/>
      </c>
      <c r="N173" s="10">
        <f>SUMIFS(df_extratos!I:I,df_extratos!F:F,Conciliacao!BE173,df_extratos!G:G,"DEBITO")+SUMIFS(df_extratos!I:I,df_extratos!F:F,Conciliacao!A173,df_extratos!G:G,"DEBITO")+SUMIFS(df_extratos!I:I,df_extratos!F:F,Conciliacao!BF173,df_extratos!G:G,"DEBITO")+SUMIFS(df_extratos!I:I,df_extratos!F:F,Conciliacao!BG173,df_extratos!G:G,"DEBITO")+SUMIFS(df_extratos!I:I,df_extratos!F:F,Conciliacao!BH173,df_extratos!G:G,"DEBITO")</f>
        <v/>
      </c>
      <c r="O173" s="11">
        <f>N173-SUM(J173:M173)</f>
        <v/>
      </c>
      <c r="P173" s="25">
        <f>SUMIFS(df_ajustes_conciliaco!D:D,df_ajustes_conciliaco!C:C,Conciliacao!A173)</f>
        <v/>
      </c>
      <c r="Q173" s="22">
        <f>O173+I173-P173</f>
        <v/>
      </c>
      <c r="BE173" s="20" t="n">
        <v>45829.5</v>
      </c>
      <c r="BF173" s="20" t="n">
        <v>45829.125</v>
      </c>
      <c r="BG173" s="20" t="n">
        <v>45829.54166666666</v>
      </c>
      <c r="BH173" s="20" t="n">
        <v>45829.625</v>
      </c>
    </row>
    <row r="174">
      <c r="A174" s="5">
        <f>A173+1</f>
        <v/>
      </c>
      <c r="B174" s="3">
        <f>-SUMIFS(df_extrato_zig!G:G,df_extrato_zig!E:E,Conciliacao!A174,df_extrato_zig!D:D,"Saque")-SUMIFS(df_extrato_zig!G:G,df_extrato_zig!E:E,Conciliacao!A174,df_extrato_zig!D:D,"Antecipação")</f>
        <v/>
      </c>
      <c r="C174" s="3">
        <f>SUMIFS(df_extrato_zig!E:E,df_extrato_zig!L:L,Conciliacao!A174,df_extrato_zig!F:F,"DINHEIRO")</f>
        <v/>
      </c>
      <c r="D174" s="3">
        <f>SUMIFS(view_parc_agrup!H:H,view_parc_agrup!G:G,Conciliacao!A174)</f>
        <v/>
      </c>
      <c r="E174" s="3">
        <f>SUMIFS(df_eventos!F:F,df_eventos!H:H,Conciliacao!A174)</f>
        <v/>
      </c>
      <c r="F174" s="3">
        <f>SUMIFS(df_mutuos!M:M,df_mutuos!B:B,Conciliacao!A174)</f>
        <v/>
      </c>
      <c r="G174" s="6">
        <f>SUMIFS(df_bloqueios_judiciais!G:G,df_bloqueios_judiciais!D:D,Conciliacao!A174,df_bloqueios_judiciais!G:G,"&gt;0")</f>
        <v/>
      </c>
      <c r="H174" s="7">
        <f>SUMIFS(df_extratos!I:I,df_extratos!F:F,Conciliacao!BE174,df_extratos!G:G,"CREDITO")+SUMIFS(df_extratos!I:I,df_extratos!F:F,Conciliacao!A174,df_extratos!G:G,"CREDITO")+SUMIFS(df_extratos!I:I,df_extratos!F:F,Conciliacao!BF174,df_extratos!G:G,"CREDITO")+SUMIFS(df_extratos!I:I,df_extratos!F:F,Conciliacao!BG174,df_extratos!G:G,"CREDITO")+SUMIFS(df_extratos!I:I,df_extratos!F:F,Conciliacao!BH174,df_extratos!G:G,"CREDITO")</f>
        <v/>
      </c>
      <c r="I174" s="9">
        <f>H174-SUM(B174:G174)</f>
        <v/>
      </c>
      <c r="J174" s="4">
        <f>SUMIFS(df_blueme_sem_parcelamento!E:E,df_blueme_sem_parcelamento!H:H,Conciliacao!A174)*(-1)</f>
        <v/>
      </c>
      <c r="K174" s="4">
        <f>SUMIFS(df_blueme_com_parcelamento!J:J,df_blueme_com_parcelamento!M:M,Conciliacao!A174)*(-1)</f>
        <v/>
      </c>
      <c r="L174" s="4">
        <f>SUMIFS(df_mutuos!N:N,df_mutuos!B:B,Conciliacao!A174)*(-1)</f>
        <v/>
      </c>
      <c r="M174" s="8">
        <f>SUMIFS(df_bloqueios_judiciais!G:G,df_bloqueios_judiciais!D:D,Conciliacao!A174,df_bloqueios_judiciais!G:G,"&lt;0")</f>
        <v/>
      </c>
      <c r="N174" s="10">
        <f>SUMIFS(df_extratos!I:I,df_extratos!F:F,Conciliacao!BE174,df_extratos!G:G,"DEBITO")+SUMIFS(df_extratos!I:I,df_extratos!F:F,Conciliacao!A174,df_extratos!G:G,"DEBITO")+SUMIFS(df_extratos!I:I,df_extratos!F:F,Conciliacao!BF174,df_extratos!G:G,"DEBITO")+SUMIFS(df_extratos!I:I,df_extratos!F:F,Conciliacao!BG174,df_extratos!G:G,"DEBITO")+SUMIFS(df_extratos!I:I,df_extratos!F:F,Conciliacao!BH174,df_extratos!G:G,"DEBITO")</f>
        <v/>
      </c>
      <c r="O174" s="11">
        <f>N174-SUM(J174:M174)</f>
        <v/>
      </c>
      <c r="P174" s="25">
        <f>SUMIFS(df_ajustes_conciliaco!D:D,df_ajustes_conciliaco!C:C,Conciliacao!A174)</f>
        <v/>
      </c>
      <c r="Q174" s="22">
        <f>O174+I174-P174</f>
        <v/>
      </c>
      <c r="BE174" s="20" t="n">
        <v>45830.5</v>
      </c>
      <c r="BF174" s="20" t="n">
        <v>45830.125</v>
      </c>
      <c r="BG174" s="20" t="n">
        <v>45830.54166666666</v>
      </c>
      <c r="BH174" s="20" t="n">
        <v>45830.625</v>
      </c>
    </row>
    <row r="175">
      <c r="A175" s="5">
        <f>A174+1</f>
        <v/>
      </c>
      <c r="B175" s="3">
        <f>-SUMIFS(df_extrato_zig!G:G,df_extrato_zig!E:E,Conciliacao!A175,df_extrato_zig!D:D,"Saque")-SUMIFS(df_extrato_zig!G:G,df_extrato_zig!E:E,Conciliacao!A175,df_extrato_zig!D:D,"Antecipação")</f>
        <v/>
      </c>
      <c r="C175" s="3">
        <f>SUMIFS(df_extrato_zig!E:E,df_extrato_zig!L:L,Conciliacao!A175,df_extrato_zig!F:F,"DINHEIRO")</f>
        <v/>
      </c>
      <c r="D175" s="3">
        <f>SUMIFS(view_parc_agrup!H:H,view_parc_agrup!G:G,Conciliacao!A175)</f>
        <v/>
      </c>
      <c r="E175" s="3">
        <f>SUMIFS(df_eventos!F:F,df_eventos!H:H,Conciliacao!A175)</f>
        <v/>
      </c>
      <c r="F175" s="3">
        <f>SUMIFS(df_mutuos!M:M,df_mutuos!B:B,Conciliacao!A175)</f>
        <v/>
      </c>
      <c r="G175" s="6">
        <f>SUMIFS(df_bloqueios_judiciais!G:G,df_bloqueios_judiciais!D:D,Conciliacao!A175,df_bloqueios_judiciais!G:G,"&gt;0")</f>
        <v/>
      </c>
      <c r="H175" s="7">
        <f>SUMIFS(df_extratos!I:I,df_extratos!F:F,Conciliacao!BE175,df_extratos!G:G,"CREDITO")+SUMIFS(df_extratos!I:I,df_extratos!F:F,Conciliacao!A175,df_extratos!G:G,"CREDITO")+SUMIFS(df_extratos!I:I,df_extratos!F:F,Conciliacao!BF175,df_extratos!G:G,"CREDITO")+SUMIFS(df_extratos!I:I,df_extratos!F:F,Conciliacao!BG175,df_extratos!G:G,"CREDITO")+SUMIFS(df_extratos!I:I,df_extratos!F:F,Conciliacao!BH175,df_extratos!G:G,"CREDITO")</f>
        <v/>
      </c>
      <c r="I175" s="9">
        <f>H175-SUM(B175:G175)</f>
        <v/>
      </c>
      <c r="J175" s="4">
        <f>SUMIFS(df_blueme_sem_parcelamento!E:E,df_blueme_sem_parcelamento!H:H,Conciliacao!A175)*(-1)</f>
        <v/>
      </c>
      <c r="K175" s="4">
        <f>SUMIFS(df_blueme_com_parcelamento!J:J,df_blueme_com_parcelamento!M:M,Conciliacao!A175)*(-1)</f>
        <v/>
      </c>
      <c r="L175" s="4">
        <f>SUMIFS(df_mutuos!N:N,df_mutuos!B:B,Conciliacao!A175)*(-1)</f>
        <v/>
      </c>
      <c r="M175" s="8">
        <f>SUMIFS(df_bloqueios_judiciais!G:G,df_bloqueios_judiciais!D:D,Conciliacao!A175,df_bloqueios_judiciais!G:G,"&lt;0")</f>
        <v/>
      </c>
      <c r="N175" s="10">
        <f>SUMIFS(df_extratos!I:I,df_extratos!F:F,Conciliacao!BE175,df_extratos!G:G,"DEBITO")+SUMIFS(df_extratos!I:I,df_extratos!F:F,Conciliacao!A175,df_extratos!G:G,"DEBITO")+SUMIFS(df_extratos!I:I,df_extratos!F:F,Conciliacao!BF175,df_extratos!G:G,"DEBITO")+SUMIFS(df_extratos!I:I,df_extratos!F:F,Conciliacao!BG175,df_extratos!G:G,"DEBITO")+SUMIFS(df_extratos!I:I,df_extratos!F:F,Conciliacao!BH175,df_extratos!G:G,"DEBITO")</f>
        <v/>
      </c>
      <c r="O175" s="11">
        <f>N175-SUM(J175:M175)</f>
        <v/>
      </c>
      <c r="P175" s="25">
        <f>SUMIFS(df_ajustes_conciliaco!D:D,df_ajustes_conciliaco!C:C,Conciliacao!A175)</f>
        <v/>
      </c>
      <c r="Q175" s="22">
        <f>O175+I175-P175</f>
        <v/>
      </c>
      <c r="BE175" s="20" t="n">
        <v>45831.5</v>
      </c>
      <c r="BF175" s="20" t="n">
        <v>45831.125</v>
      </c>
      <c r="BG175" s="20" t="n">
        <v>45831.54166666666</v>
      </c>
      <c r="BH175" s="20" t="n">
        <v>45831.625</v>
      </c>
    </row>
    <row r="176">
      <c r="A176" s="5">
        <f>A175+1</f>
        <v/>
      </c>
      <c r="B176" s="3">
        <f>-SUMIFS(df_extrato_zig!G:G,df_extrato_zig!E:E,Conciliacao!A176,df_extrato_zig!D:D,"Saque")-SUMIFS(df_extrato_zig!G:G,df_extrato_zig!E:E,Conciliacao!A176,df_extrato_zig!D:D,"Antecipação")</f>
        <v/>
      </c>
      <c r="C176" s="3">
        <f>SUMIFS(df_extrato_zig!E:E,df_extrato_zig!L:L,Conciliacao!A176,df_extrato_zig!F:F,"DINHEIRO")</f>
        <v/>
      </c>
      <c r="D176" s="3">
        <f>SUMIFS(view_parc_agrup!H:H,view_parc_agrup!G:G,Conciliacao!A176)</f>
        <v/>
      </c>
      <c r="E176" s="3">
        <f>SUMIFS(df_eventos!F:F,df_eventos!H:H,Conciliacao!A176)</f>
        <v/>
      </c>
      <c r="F176" s="3">
        <f>SUMIFS(df_mutuos!M:M,df_mutuos!B:B,Conciliacao!A176)</f>
        <v/>
      </c>
      <c r="G176" s="6">
        <f>SUMIFS(df_bloqueios_judiciais!G:G,df_bloqueios_judiciais!D:D,Conciliacao!A176,df_bloqueios_judiciais!G:G,"&gt;0")</f>
        <v/>
      </c>
      <c r="H176" s="7">
        <f>SUMIFS(df_extratos!I:I,df_extratos!F:F,Conciliacao!BE176,df_extratos!G:G,"CREDITO")+SUMIFS(df_extratos!I:I,df_extratos!F:F,Conciliacao!A176,df_extratos!G:G,"CREDITO")+SUMIFS(df_extratos!I:I,df_extratos!F:F,Conciliacao!BF176,df_extratos!G:G,"CREDITO")+SUMIFS(df_extratos!I:I,df_extratos!F:F,Conciliacao!BG176,df_extratos!G:G,"CREDITO")+SUMIFS(df_extratos!I:I,df_extratos!F:F,Conciliacao!BH176,df_extratos!G:G,"CREDITO")</f>
        <v/>
      </c>
      <c r="I176" s="9">
        <f>H176-SUM(B176:G176)</f>
        <v/>
      </c>
      <c r="J176" s="4">
        <f>SUMIFS(df_blueme_sem_parcelamento!E:E,df_blueme_sem_parcelamento!H:H,Conciliacao!A176)*(-1)</f>
        <v/>
      </c>
      <c r="K176" s="4">
        <f>SUMIFS(df_blueme_com_parcelamento!J:J,df_blueme_com_parcelamento!M:M,Conciliacao!A176)*(-1)</f>
        <v/>
      </c>
      <c r="L176" s="4">
        <f>SUMIFS(df_mutuos!N:N,df_mutuos!B:B,Conciliacao!A176)*(-1)</f>
        <v/>
      </c>
      <c r="M176" s="8">
        <f>SUMIFS(df_bloqueios_judiciais!G:G,df_bloqueios_judiciais!D:D,Conciliacao!A176,df_bloqueios_judiciais!G:G,"&lt;0")</f>
        <v/>
      </c>
      <c r="N176" s="10">
        <f>SUMIFS(df_extratos!I:I,df_extratos!F:F,Conciliacao!BE176,df_extratos!G:G,"DEBITO")+SUMIFS(df_extratos!I:I,df_extratos!F:F,Conciliacao!A176,df_extratos!G:G,"DEBITO")+SUMIFS(df_extratos!I:I,df_extratos!F:F,Conciliacao!BF176,df_extratos!G:G,"DEBITO")+SUMIFS(df_extratos!I:I,df_extratos!F:F,Conciliacao!BG176,df_extratos!G:G,"DEBITO")+SUMIFS(df_extratos!I:I,df_extratos!F:F,Conciliacao!BH176,df_extratos!G:G,"DEBITO")</f>
        <v/>
      </c>
      <c r="O176" s="11">
        <f>N176-SUM(J176:M176)</f>
        <v/>
      </c>
      <c r="P176" s="25">
        <f>SUMIFS(df_ajustes_conciliaco!D:D,df_ajustes_conciliaco!C:C,Conciliacao!A176)</f>
        <v/>
      </c>
      <c r="Q176" s="22">
        <f>O176+I176-P176</f>
        <v/>
      </c>
      <c r="BE176" s="20" t="n">
        <v>45832.5</v>
      </c>
      <c r="BF176" s="20" t="n">
        <v>45832.125</v>
      </c>
      <c r="BG176" s="20" t="n">
        <v>45832.54166666666</v>
      </c>
      <c r="BH176" s="20" t="n">
        <v>45832.625</v>
      </c>
    </row>
    <row r="177">
      <c r="A177" s="5">
        <f>A176+1</f>
        <v/>
      </c>
      <c r="B177" s="3">
        <f>-SUMIFS(df_extrato_zig!G:G,df_extrato_zig!E:E,Conciliacao!A177,df_extrato_zig!D:D,"Saque")-SUMIFS(df_extrato_zig!G:G,df_extrato_zig!E:E,Conciliacao!A177,df_extrato_zig!D:D,"Antecipação")</f>
        <v/>
      </c>
      <c r="C177" s="3">
        <f>SUMIFS(df_extrato_zig!E:E,df_extrato_zig!L:L,Conciliacao!A177,df_extrato_zig!F:F,"DINHEIRO")</f>
        <v/>
      </c>
      <c r="D177" s="3">
        <f>SUMIFS(view_parc_agrup!H:H,view_parc_agrup!G:G,Conciliacao!A177)</f>
        <v/>
      </c>
      <c r="E177" s="3">
        <f>SUMIFS(df_eventos!F:F,df_eventos!H:H,Conciliacao!A177)</f>
        <v/>
      </c>
      <c r="F177" s="3">
        <f>SUMIFS(df_mutuos!M:M,df_mutuos!B:B,Conciliacao!A177)</f>
        <v/>
      </c>
      <c r="G177" s="6">
        <f>SUMIFS(df_bloqueios_judiciais!G:G,df_bloqueios_judiciais!D:D,Conciliacao!A177,df_bloqueios_judiciais!G:G,"&gt;0")</f>
        <v/>
      </c>
      <c r="H177" s="7">
        <f>SUMIFS(df_extratos!I:I,df_extratos!F:F,Conciliacao!BE177,df_extratos!G:G,"CREDITO")+SUMIFS(df_extratos!I:I,df_extratos!F:F,Conciliacao!A177,df_extratos!G:G,"CREDITO")+SUMIFS(df_extratos!I:I,df_extratos!F:F,Conciliacao!BF177,df_extratos!G:G,"CREDITO")+SUMIFS(df_extratos!I:I,df_extratos!F:F,Conciliacao!BG177,df_extratos!G:G,"CREDITO")+SUMIFS(df_extratos!I:I,df_extratos!F:F,Conciliacao!BH177,df_extratos!G:G,"CREDITO")</f>
        <v/>
      </c>
      <c r="I177" s="9">
        <f>H177-SUM(B177:G177)</f>
        <v/>
      </c>
      <c r="J177" s="4">
        <f>SUMIFS(df_blueme_sem_parcelamento!E:E,df_blueme_sem_parcelamento!H:H,Conciliacao!A177)*(-1)</f>
        <v/>
      </c>
      <c r="K177" s="4">
        <f>SUMIFS(df_blueme_com_parcelamento!J:J,df_blueme_com_parcelamento!M:M,Conciliacao!A177)*(-1)</f>
        <v/>
      </c>
      <c r="L177" s="4">
        <f>SUMIFS(df_mutuos!N:N,df_mutuos!B:B,Conciliacao!A177)*(-1)</f>
        <v/>
      </c>
      <c r="M177" s="8">
        <f>SUMIFS(df_bloqueios_judiciais!G:G,df_bloqueios_judiciais!D:D,Conciliacao!A177,df_bloqueios_judiciais!G:G,"&lt;0")</f>
        <v/>
      </c>
      <c r="N177" s="10">
        <f>SUMIFS(df_extratos!I:I,df_extratos!F:F,Conciliacao!BE177,df_extratos!G:G,"DEBITO")+SUMIFS(df_extratos!I:I,df_extratos!F:F,Conciliacao!A177,df_extratos!G:G,"DEBITO")+SUMIFS(df_extratos!I:I,df_extratos!F:F,Conciliacao!BF177,df_extratos!G:G,"DEBITO")+SUMIFS(df_extratos!I:I,df_extratos!F:F,Conciliacao!BG177,df_extratos!G:G,"DEBITO")+SUMIFS(df_extratos!I:I,df_extratos!F:F,Conciliacao!BH177,df_extratos!G:G,"DEBITO")</f>
        <v/>
      </c>
      <c r="O177" s="11">
        <f>N177-SUM(J177:M177)</f>
        <v/>
      </c>
      <c r="P177" s="25">
        <f>SUMIFS(df_ajustes_conciliaco!D:D,df_ajustes_conciliaco!C:C,Conciliacao!A177)</f>
        <v/>
      </c>
      <c r="Q177" s="22">
        <f>O177+I177-P177</f>
        <v/>
      </c>
      <c r="BE177" s="20" t="n">
        <v>45833.5</v>
      </c>
      <c r="BF177" s="20" t="n">
        <v>45833.125</v>
      </c>
      <c r="BG177" s="20" t="n">
        <v>45833.54166666666</v>
      </c>
      <c r="BH177" s="20" t="n">
        <v>45833.625</v>
      </c>
    </row>
    <row r="178">
      <c r="A178" s="5">
        <f>A177+1</f>
        <v/>
      </c>
      <c r="B178" s="3">
        <f>-SUMIFS(df_extrato_zig!G:G,df_extrato_zig!E:E,Conciliacao!A178,df_extrato_zig!D:D,"Saque")-SUMIFS(df_extrato_zig!G:G,df_extrato_zig!E:E,Conciliacao!A178,df_extrato_zig!D:D,"Antecipação")</f>
        <v/>
      </c>
      <c r="C178" s="3">
        <f>SUMIFS(df_extrato_zig!E:E,df_extrato_zig!L:L,Conciliacao!A178,df_extrato_zig!F:F,"DINHEIRO")</f>
        <v/>
      </c>
      <c r="D178" s="3">
        <f>SUMIFS(view_parc_agrup!H:H,view_parc_agrup!G:G,Conciliacao!A178)</f>
        <v/>
      </c>
      <c r="E178" s="3">
        <f>SUMIFS(df_eventos!F:F,df_eventos!H:H,Conciliacao!A178)</f>
        <v/>
      </c>
      <c r="F178" s="3">
        <f>SUMIFS(df_mutuos!M:M,df_mutuos!B:B,Conciliacao!A178)</f>
        <v/>
      </c>
      <c r="G178" s="6">
        <f>SUMIFS(df_bloqueios_judiciais!G:G,df_bloqueios_judiciais!D:D,Conciliacao!A178,df_bloqueios_judiciais!G:G,"&gt;0")</f>
        <v/>
      </c>
      <c r="H178" s="7">
        <f>SUMIFS(df_extratos!I:I,df_extratos!F:F,Conciliacao!BE178,df_extratos!G:G,"CREDITO")+SUMIFS(df_extratos!I:I,df_extratos!F:F,Conciliacao!A178,df_extratos!G:G,"CREDITO")+SUMIFS(df_extratos!I:I,df_extratos!F:F,Conciliacao!BF178,df_extratos!G:G,"CREDITO")+SUMIFS(df_extratos!I:I,df_extratos!F:F,Conciliacao!BG178,df_extratos!G:G,"CREDITO")+SUMIFS(df_extratos!I:I,df_extratos!F:F,Conciliacao!BH178,df_extratos!G:G,"CREDITO")</f>
        <v/>
      </c>
      <c r="I178" s="9">
        <f>H178-SUM(B178:G178)</f>
        <v/>
      </c>
      <c r="J178" s="4">
        <f>SUMIFS(df_blueme_sem_parcelamento!E:E,df_blueme_sem_parcelamento!H:H,Conciliacao!A178)*(-1)</f>
        <v/>
      </c>
      <c r="K178" s="4">
        <f>SUMIFS(df_blueme_com_parcelamento!J:J,df_blueme_com_parcelamento!M:M,Conciliacao!A178)*(-1)</f>
        <v/>
      </c>
      <c r="L178" s="4">
        <f>SUMIFS(df_mutuos!N:N,df_mutuos!B:B,Conciliacao!A178)*(-1)</f>
        <v/>
      </c>
      <c r="M178" s="8">
        <f>SUMIFS(df_bloqueios_judiciais!G:G,df_bloqueios_judiciais!D:D,Conciliacao!A178,df_bloqueios_judiciais!G:G,"&lt;0")</f>
        <v/>
      </c>
      <c r="N178" s="10">
        <f>SUMIFS(df_extratos!I:I,df_extratos!F:F,Conciliacao!BE178,df_extratos!G:G,"DEBITO")+SUMIFS(df_extratos!I:I,df_extratos!F:F,Conciliacao!A178,df_extratos!G:G,"DEBITO")+SUMIFS(df_extratos!I:I,df_extratos!F:F,Conciliacao!BF178,df_extratos!G:G,"DEBITO")+SUMIFS(df_extratos!I:I,df_extratos!F:F,Conciliacao!BG178,df_extratos!G:G,"DEBITO")+SUMIFS(df_extratos!I:I,df_extratos!F:F,Conciliacao!BH178,df_extratos!G:G,"DEBITO")</f>
        <v/>
      </c>
      <c r="O178" s="11">
        <f>N178-SUM(J178:M178)</f>
        <v/>
      </c>
      <c r="P178" s="25">
        <f>SUMIFS(df_ajustes_conciliaco!D:D,df_ajustes_conciliaco!C:C,Conciliacao!A178)</f>
        <v/>
      </c>
      <c r="Q178" s="22">
        <f>O178+I178-P178</f>
        <v/>
      </c>
      <c r="BE178" s="20" t="n">
        <v>45834.5</v>
      </c>
      <c r="BF178" s="20" t="n">
        <v>45834.125</v>
      </c>
      <c r="BG178" s="20" t="n">
        <v>45834.54166666666</v>
      </c>
      <c r="BH178" s="20" t="n">
        <v>45834.625</v>
      </c>
    </row>
    <row r="179">
      <c r="A179" s="5">
        <f>A178+1</f>
        <v/>
      </c>
      <c r="B179" s="3">
        <f>-SUMIFS(df_extrato_zig!G:G,df_extrato_zig!E:E,Conciliacao!A179,df_extrato_zig!D:D,"Saque")-SUMIFS(df_extrato_zig!G:G,df_extrato_zig!E:E,Conciliacao!A179,df_extrato_zig!D:D,"Antecipação")</f>
        <v/>
      </c>
      <c r="C179" s="3">
        <f>SUMIFS(df_extrato_zig!E:E,df_extrato_zig!L:L,Conciliacao!A179,df_extrato_zig!F:F,"DINHEIRO")</f>
        <v/>
      </c>
      <c r="D179" s="3">
        <f>SUMIFS(view_parc_agrup!H:H,view_parc_agrup!G:G,Conciliacao!A179)</f>
        <v/>
      </c>
      <c r="E179" s="3">
        <f>SUMIFS(df_eventos!F:F,df_eventos!H:H,Conciliacao!A179)</f>
        <v/>
      </c>
      <c r="F179" s="3">
        <f>SUMIFS(df_mutuos!M:M,df_mutuos!B:B,Conciliacao!A179)</f>
        <v/>
      </c>
      <c r="G179" s="6">
        <f>SUMIFS(df_bloqueios_judiciais!G:G,df_bloqueios_judiciais!D:D,Conciliacao!A179,df_bloqueios_judiciais!G:G,"&gt;0")</f>
        <v/>
      </c>
      <c r="H179" s="7">
        <f>SUMIFS(df_extratos!I:I,df_extratos!F:F,Conciliacao!BE179,df_extratos!G:G,"CREDITO")+SUMIFS(df_extratos!I:I,df_extratos!F:F,Conciliacao!A179,df_extratos!G:G,"CREDITO")+SUMIFS(df_extratos!I:I,df_extratos!F:F,Conciliacao!BF179,df_extratos!G:G,"CREDITO")+SUMIFS(df_extratos!I:I,df_extratos!F:F,Conciliacao!BG179,df_extratos!G:G,"CREDITO")+SUMIFS(df_extratos!I:I,df_extratos!F:F,Conciliacao!BH179,df_extratos!G:G,"CREDITO")</f>
        <v/>
      </c>
      <c r="I179" s="9">
        <f>H179-SUM(B179:G179)</f>
        <v/>
      </c>
      <c r="J179" s="4">
        <f>SUMIFS(df_blueme_sem_parcelamento!E:E,df_blueme_sem_parcelamento!H:H,Conciliacao!A179)*(-1)</f>
        <v/>
      </c>
      <c r="K179" s="4">
        <f>SUMIFS(df_blueme_com_parcelamento!J:J,df_blueme_com_parcelamento!M:M,Conciliacao!A179)*(-1)</f>
        <v/>
      </c>
      <c r="L179" s="4">
        <f>SUMIFS(df_mutuos!N:N,df_mutuos!B:B,Conciliacao!A179)*(-1)</f>
        <v/>
      </c>
      <c r="M179" s="8">
        <f>SUMIFS(df_bloqueios_judiciais!G:G,df_bloqueios_judiciais!D:D,Conciliacao!A179,df_bloqueios_judiciais!G:G,"&lt;0")</f>
        <v/>
      </c>
      <c r="N179" s="10">
        <f>SUMIFS(df_extratos!I:I,df_extratos!F:F,Conciliacao!BE179,df_extratos!G:G,"DEBITO")+SUMIFS(df_extratos!I:I,df_extratos!F:F,Conciliacao!A179,df_extratos!G:G,"DEBITO")+SUMIFS(df_extratos!I:I,df_extratos!F:F,Conciliacao!BF179,df_extratos!G:G,"DEBITO")+SUMIFS(df_extratos!I:I,df_extratos!F:F,Conciliacao!BG179,df_extratos!G:G,"DEBITO")+SUMIFS(df_extratos!I:I,df_extratos!F:F,Conciliacao!BH179,df_extratos!G:G,"DEBITO")</f>
        <v/>
      </c>
      <c r="O179" s="11">
        <f>N179-SUM(J179:M179)</f>
        <v/>
      </c>
      <c r="P179" s="25">
        <f>SUMIFS(df_ajustes_conciliaco!D:D,df_ajustes_conciliaco!C:C,Conciliacao!A179)</f>
        <v/>
      </c>
      <c r="Q179" s="22">
        <f>O179+I179-P179</f>
        <v/>
      </c>
      <c r="BE179" s="20" t="n">
        <v>45835.5</v>
      </c>
      <c r="BF179" s="20" t="n">
        <v>45835.125</v>
      </c>
      <c r="BG179" s="20" t="n">
        <v>45835.54166666666</v>
      </c>
      <c r="BH179" s="20" t="n">
        <v>45835.625</v>
      </c>
    </row>
    <row r="180">
      <c r="A180" s="5">
        <f>A179+1</f>
        <v/>
      </c>
      <c r="B180" s="3">
        <f>-SUMIFS(df_extrato_zig!G:G,df_extrato_zig!E:E,Conciliacao!A180,df_extrato_zig!D:D,"Saque")-SUMIFS(df_extrato_zig!G:G,df_extrato_zig!E:E,Conciliacao!A180,df_extrato_zig!D:D,"Antecipação")</f>
        <v/>
      </c>
      <c r="C180" s="3">
        <f>SUMIFS(df_extrato_zig!E:E,df_extrato_zig!L:L,Conciliacao!A180,df_extrato_zig!F:F,"DINHEIRO")</f>
        <v/>
      </c>
      <c r="D180" s="3">
        <f>SUMIFS(view_parc_agrup!H:H,view_parc_agrup!G:G,Conciliacao!A180)</f>
        <v/>
      </c>
      <c r="E180" s="3">
        <f>SUMIFS(df_eventos!F:F,df_eventos!H:H,Conciliacao!A180)</f>
        <v/>
      </c>
      <c r="F180" s="3">
        <f>SUMIFS(df_mutuos!M:M,df_mutuos!B:B,Conciliacao!A180)</f>
        <v/>
      </c>
      <c r="G180" s="6">
        <f>SUMIFS(df_bloqueios_judiciais!G:G,df_bloqueios_judiciais!D:D,Conciliacao!A180,df_bloqueios_judiciais!G:G,"&gt;0")</f>
        <v/>
      </c>
      <c r="H180" s="7">
        <f>SUMIFS(df_extratos!I:I,df_extratos!F:F,Conciliacao!BE180,df_extratos!G:G,"CREDITO")+SUMIFS(df_extratos!I:I,df_extratos!F:F,Conciliacao!A180,df_extratos!G:G,"CREDITO")+SUMIFS(df_extratos!I:I,df_extratos!F:F,Conciliacao!BF180,df_extratos!G:G,"CREDITO")+SUMIFS(df_extratos!I:I,df_extratos!F:F,Conciliacao!BG180,df_extratos!G:G,"CREDITO")+SUMIFS(df_extratos!I:I,df_extratos!F:F,Conciliacao!BH180,df_extratos!G:G,"CREDITO")</f>
        <v/>
      </c>
      <c r="I180" s="9">
        <f>H180-SUM(B180:G180)</f>
        <v/>
      </c>
      <c r="J180" s="4">
        <f>SUMIFS(df_blueme_sem_parcelamento!E:E,df_blueme_sem_parcelamento!H:H,Conciliacao!A180)*(-1)</f>
        <v/>
      </c>
      <c r="K180" s="4">
        <f>SUMIFS(df_blueme_com_parcelamento!J:J,df_blueme_com_parcelamento!M:M,Conciliacao!A180)*(-1)</f>
        <v/>
      </c>
      <c r="L180" s="4">
        <f>SUMIFS(df_mutuos!N:N,df_mutuos!B:B,Conciliacao!A180)*(-1)</f>
        <v/>
      </c>
      <c r="M180" s="8">
        <f>SUMIFS(df_bloqueios_judiciais!G:G,df_bloqueios_judiciais!D:D,Conciliacao!A180,df_bloqueios_judiciais!G:G,"&lt;0")</f>
        <v/>
      </c>
      <c r="N180" s="10">
        <f>SUMIFS(df_extratos!I:I,df_extratos!F:F,Conciliacao!BE180,df_extratos!G:G,"DEBITO")+SUMIFS(df_extratos!I:I,df_extratos!F:F,Conciliacao!A180,df_extratos!G:G,"DEBITO")+SUMIFS(df_extratos!I:I,df_extratos!F:F,Conciliacao!BF180,df_extratos!G:G,"DEBITO")+SUMIFS(df_extratos!I:I,df_extratos!F:F,Conciliacao!BG180,df_extratos!G:G,"DEBITO")+SUMIFS(df_extratos!I:I,df_extratos!F:F,Conciliacao!BH180,df_extratos!G:G,"DEBITO")</f>
        <v/>
      </c>
      <c r="O180" s="11">
        <f>N180-SUM(J180:M180)</f>
        <v/>
      </c>
      <c r="P180" s="25">
        <f>SUMIFS(df_ajustes_conciliaco!D:D,df_ajustes_conciliaco!C:C,Conciliacao!A180)</f>
        <v/>
      </c>
      <c r="Q180" s="22">
        <f>O180+I180-P180</f>
        <v/>
      </c>
      <c r="BE180" s="20" t="n">
        <v>45836.5</v>
      </c>
      <c r="BF180" s="20" t="n">
        <v>45836.125</v>
      </c>
      <c r="BG180" s="20" t="n">
        <v>45836.54166666666</v>
      </c>
      <c r="BH180" s="20" t="n">
        <v>45836.625</v>
      </c>
    </row>
    <row r="181">
      <c r="A181" s="5">
        <f>A180+1</f>
        <v/>
      </c>
      <c r="B181" s="3">
        <f>-SUMIFS(df_extrato_zig!G:G,df_extrato_zig!E:E,Conciliacao!A181,df_extrato_zig!D:D,"Saque")-SUMIFS(df_extrato_zig!G:G,df_extrato_zig!E:E,Conciliacao!A181,df_extrato_zig!D:D,"Antecipação")</f>
        <v/>
      </c>
      <c r="C181" s="3">
        <f>SUMIFS(df_extrato_zig!E:E,df_extrato_zig!L:L,Conciliacao!A181,df_extrato_zig!F:F,"DINHEIRO")</f>
        <v/>
      </c>
      <c r="D181" s="3">
        <f>SUMIFS(view_parc_agrup!H:H,view_parc_agrup!G:G,Conciliacao!A181)</f>
        <v/>
      </c>
      <c r="E181" s="3">
        <f>SUMIFS(df_eventos!F:F,df_eventos!H:H,Conciliacao!A181)</f>
        <v/>
      </c>
      <c r="F181" s="3">
        <f>SUMIFS(df_mutuos!M:M,df_mutuos!B:B,Conciliacao!A181)</f>
        <v/>
      </c>
      <c r="G181" s="6">
        <f>SUMIFS(df_bloqueios_judiciais!G:G,df_bloqueios_judiciais!D:D,Conciliacao!A181,df_bloqueios_judiciais!G:G,"&gt;0")</f>
        <v/>
      </c>
      <c r="H181" s="7">
        <f>SUMIFS(df_extratos!I:I,df_extratos!F:F,Conciliacao!BE181,df_extratos!G:G,"CREDITO")+SUMIFS(df_extratos!I:I,df_extratos!F:F,Conciliacao!A181,df_extratos!G:G,"CREDITO")+SUMIFS(df_extratos!I:I,df_extratos!F:F,Conciliacao!BF181,df_extratos!G:G,"CREDITO")+SUMIFS(df_extratos!I:I,df_extratos!F:F,Conciliacao!BG181,df_extratos!G:G,"CREDITO")+SUMIFS(df_extratos!I:I,df_extratos!F:F,Conciliacao!BH181,df_extratos!G:G,"CREDITO")</f>
        <v/>
      </c>
      <c r="I181" s="9">
        <f>H181-SUM(B181:G181)</f>
        <v/>
      </c>
      <c r="J181" s="4">
        <f>SUMIFS(df_blueme_sem_parcelamento!E:E,df_blueme_sem_parcelamento!H:H,Conciliacao!A181)*(-1)</f>
        <v/>
      </c>
      <c r="K181" s="4">
        <f>SUMIFS(df_blueme_com_parcelamento!J:J,df_blueme_com_parcelamento!M:M,Conciliacao!A181)*(-1)</f>
        <v/>
      </c>
      <c r="L181" s="4">
        <f>SUMIFS(df_mutuos!N:N,df_mutuos!B:B,Conciliacao!A181)*(-1)</f>
        <v/>
      </c>
      <c r="M181" s="8">
        <f>SUMIFS(df_bloqueios_judiciais!G:G,df_bloqueios_judiciais!D:D,Conciliacao!A181,df_bloqueios_judiciais!G:G,"&lt;0")</f>
        <v/>
      </c>
      <c r="N181" s="10">
        <f>SUMIFS(df_extratos!I:I,df_extratos!F:F,Conciliacao!BE181,df_extratos!G:G,"DEBITO")+SUMIFS(df_extratos!I:I,df_extratos!F:F,Conciliacao!A181,df_extratos!G:G,"DEBITO")+SUMIFS(df_extratos!I:I,df_extratos!F:F,Conciliacao!BF181,df_extratos!G:G,"DEBITO")+SUMIFS(df_extratos!I:I,df_extratos!F:F,Conciliacao!BG181,df_extratos!G:G,"DEBITO")+SUMIFS(df_extratos!I:I,df_extratos!F:F,Conciliacao!BH181,df_extratos!G:G,"DEBITO")</f>
        <v/>
      </c>
      <c r="O181" s="11">
        <f>N181-SUM(J181:M181)</f>
        <v/>
      </c>
      <c r="P181" s="25">
        <f>SUMIFS(df_ajustes_conciliaco!D:D,df_ajustes_conciliaco!C:C,Conciliacao!A181)</f>
        <v/>
      </c>
      <c r="Q181" s="22">
        <f>O181+I181-P181</f>
        <v/>
      </c>
      <c r="BE181" s="20" t="n">
        <v>45837.5</v>
      </c>
      <c r="BF181" s="20" t="n">
        <v>45837.125</v>
      </c>
      <c r="BG181" s="20" t="n">
        <v>45837.54166666666</v>
      </c>
      <c r="BH181" s="20" t="n">
        <v>45837.625</v>
      </c>
    </row>
    <row r="182">
      <c r="A182" s="5">
        <f>A181+1</f>
        <v/>
      </c>
      <c r="B182" s="3">
        <f>-SUMIFS(df_extrato_zig!G:G,df_extrato_zig!E:E,Conciliacao!A182,df_extrato_zig!D:D,"Saque")-SUMIFS(df_extrato_zig!G:G,df_extrato_zig!E:E,Conciliacao!A182,df_extrato_zig!D:D,"Antecipação")</f>
        <v/>
      </c>
      <c r="C182" s="3">
        <f>SUMIFS(df_extrato_zig!E:E,df_extrato_zig!L:L,Conciliacao!A182,df_extrato_zig!F:F,"DINHEIRO")</f>
        <v/>
      </c>
      <c r="D182" s="3">
        <f>SUMIFS(view_parc_agrup!H:H,view_parc_agrup!G:G,Conciliacao!A182)</f>
        <v/>
      </c>
      <c r="E182" s="3">
        <f>SUMIFS(df_eventos!F:F,df_eventos!H:H,Conciliacao!A182)</f>
        <v/>
      </c>
      <c r="F182" s="3">
        <f>SUMIFS(df_mutuos!M:M,df_mutuos!B:B,Conciliacao!A182)</f>
        <v/>
      </c>
      <c r="G182" s="6">
        <f>SUMIFS(df_bloqueios_judiciais!G:G,df_bloqueios_judiciais!D:D,Conciliacao!A182,df_bloqueios_judiciais!G:G,"&gt;0")</f>
        <v/>
      </c>
      <c r="H182" s="7">
        <f>SUMIFS(df_extratos!I:I,df_extratos!F:F,Conciliacao!BE182,df_extratos!G:G,"CREDITO")+SUMIFS(df_extratos!I:I,df_extratos!F:F,Conciliacao!A182,df_extratos!G:G,"CREDITO")+SUMIFS(df_extratos!I:I,df_extratos!F:F,Conciliacao!BF182,df_extratos!G:G,"CREDITO")+SUMIFS(df_extratos!I:I,df_extratos!F:F,Conciliacao!BG182,df_extratos!G:G,"CREDITO")+SUMIFS(df_extratos!I:I,df_extratos!F:F,Conciliacao!BH182,df_extratos!G:G,"CREDITO")</f>
        <v/>
      </c>
      <c r="I182" s="9">
        <f>H182-SUM(B182:G182)</f>
        <v/>
      </c>
      <c r="J182" s="4">
        <f>SUMIFS(df_blueme_sem_parcelamento!E:E,df_blueme_sem_parcelamento!H:H,Conciliacao!A182)*(-1)</f>
        <v/>
      </c>
      <c r="K182" s="4">
        <f>SUMIFS(df_blueme_com_parcelamento!J:J,df_blueme_com_parcelamento!M:M,Conciliacao!A182)*(-1)</f>
        <v/>
      </c>
      <c r="L182" s="4">
        <f>SUMIFS(df_mutuos!N:N,df_mutuos!B:B,Conciliacao!A182)*(-1)</f>
        <v/>
      </c>
      <c r="M182" s="8">
        <f>SUMIFS(df_bloqueios_judiciais!G:G,df_bloqueios_judiciais!D:D,Conciliacao!A182,df_bloqueios_judiciais!G:G,"&lt;0")</f>
        <v/>
      </c>
      <c r="N182" s="10">
        <f>SUMIFS(df_extratos!I:I,df_extratos!F:F,Conciliacao!BE182,df_extratos!G:G,"DEBITO")+SUMIFS(df_extratos!I:I,df_extratos!F:F,Conciliacao!A182,df_extratos!G:G,"DEBITO")+SUMIFS(df_extratos!I:I,df_extratos!F:F,Conciliacao!BF182,df_extratos!G:G,"DEBITO")+SUMIFS(df_extratos!I:I,df_extratos!F:F,Conciliacao!BG182,df_extratos!G:G,"DEBITO")+SUMIFS(df_extratos!I:I,df_extratos!F:F,Conciliacao!BH182,df_extratos!G:G,"DEBITO")</f>
        <v/>
      </c>
      <c r="O182" s="11">
        <f>N182-SUM(J182:M182)</f>
        <v/>
      </c>
      <c r="P182" s="25">
        <f>SUMIFS(df_ajustes_conciliaco!D:D,df_ajustes_conciliaco!C:C,Conciliacao!A182)</f>
        <v/>
      </c>
      <c r="Q182" s="22">
        <f>O182+I182-P182</f>
        <v/>
      </c>
      <c r="BE182" s="20" t="n">
        <v>45838.5</v>
      </c>
      <c r="BF182" s="20" t="n">
        <v>45838.125</v>
      </c>
      <c r="BG182" s="20" t="n">
        <v>45838.54166666666</v>
      </c>
      <c r="BH182" s="20" t="n">
        <v>45838.625</v>
      </c>
    </row>
    <row r="183">
      <c r="A183" s="5">
        <f>A182+1</f>
        <v/>
      </c>
      <c r="B183" s="3">
        <f>-SUMIFS(df_extrato_zig!G:G,df_extrato_zig!E:E,Conciliacao!A183,df_extrato_zig!D:D,"Saque")-SUMIFS(df_extrato_zig!G:G,df_extrato_zig!E:E,Conciliacao!A183,df_extrato_zig!D:D,"Antecipação")</f>
        <v/>
      </c>
      <c r="C183" s="3">
        <f>SUMIFS(df_extrato_zig!E:E,df_extrato_zig!L:L,Conciliacao!A183,df_extrato_zig!F:F,"DINHEIRO")</f>
        <v/>
      </c>
      <c r="D183" s="3">
        <f>SUMIFS(view_parc_agrup!H:H,view_parc_agrup!G:G,Conciliacao!A183)</f>
        <v/>
      </c>
      <c r="E183" s="3">
        <f>SUMIFS(df_eventos!F:F,df_eventos!H:H,Conciliacao!A183)</f>
        <v/>
      </c>
      <c r="F183" s="3">
        <f>SUMIFS(df_mutuos!M:M,df_mutuos!B:B,Conciliacao!A183)</f>
        <v/>
      </c>
      <c r="G183" s="6">
        <f>SUMIFS(df_bloqueios_judiciais!G:G,df_bloqueios_judiciais!D:D,Conciliacao!A183,df_bloqueios_judiciais!G:G,"&gt;0")</f>
        <v/>
      </c>
      <c r="H183" s="7">
        <f>SUMIFS(df_extratos!I:I,df_extratos!F:F,Conciliacao!BE183,df_extratos!G:G,"CREDITO")+SUMIFS(df_extratos!I:I,df_extratos!F:F,Conciliacao!A183,df_extratos!G:G,"CREDITO")+SUMIFS(df_extratos!I:I,df_extratos!F:F,Conciliacao!BF183,df_extratos!G:G,"CREDITO")+SUMIFS(df_extratos!I:I,df_extratos!F:F,Conciliacao!BG183,df_extratos!G:G,"CREDITO")+SUMIFS(df_extratos!I:I,df_extratos!F:F,Conciliacao!BH183,df_extratos!G:G,"CREDITO")</f>
        <v/>
      </c>
      <c r="I183" s="9">
        <f>H183-SUM(B183:G183)</f>
        <v/>
      </c>
      <c r="J183" s="4">
        <f>SUMIFS(df_blueme_sem_parcelamento!E:E,df_blueme_sem_parcelamento!H:H,Conciliacao!A183)*(-1)</f>
        <v/>
      </c>
      <c r="K183" s="4">
        <f>SUMIFS(df_blueme_com_parcelamento!J:J,df_blueme_com_parcelamento!M:M,Conciliacao!A183)*(-1)</f>
        <v/>
      </c>
      <c r="L183" s="4">
        <f>SUMIFS(df_mutuos!N:N,df_mutuos!B:B,Conciliacao!A183)*(-1)</f>
        <v/>
      </c>
      <c r="M183" s="8">
        <f>SUMIFS(df_bloqueios_judiciais!G:G,df_bloqueios_judiciais!D:D,Conciliacao!A183,df_bloqueios_judiciais!G:G,"&lt;0")</f>
        <v/>
      </c>
      <c r="N183" s="10">
        <f>SUMIFS(df_extratos!I:I,df_extratos!F:F,Conciliacao!BE183,df_extratos!G:G,"DEBITO")+SUMIFS(df_extratos!I:I,df_extratos!F:F,Conciliacao!A183,df_extratos!G:G,"DEBITO")+SUMIFS(df_extratos!I:I,df_extratos!F:F,Conciliacao!BF183,df_extratos!G:G,"DEBITO")+SUMIFS(df_extratos!I:I,df_extratos!F:F,Conciliacao!BG183,df_extratos!G:G,"DEBITO")+SUMIFS(df_extratos!I:I,df_extratos!F:F,Conciliacao!BH183,df_extratos!G:G,"DEBITO")</f>
        <v/>
      </c>
      <c r="O183" s="11">
        <f>N183-SUM(J183:M183)</f>
        <v/>
      </c>
      <c r="P183" s="25">
        <f>SUMIFS(df_ajustes_conciliaco!D:D,df_ajustes_conciliaco!C:C,Conciliacao!A183)</f>
        <v/>
      </c>
      <c r="Q183" s="22">
        <f>O183+I183-P183</f>
        <v/>
      </c>
      <c r="BE183" s="20" t="n">
        <v>45839.5</v>
      </c>
      <c r="BF183" s="20" t="n">
        <v>45839.125</v>
      </c>
      <c r="BG183" s="20" t="n">
        <v>45839.54166666666</v>
      </c>
      <c r="BH183" s="20" t="n">
        <v>45839.625</v>
      </c>
    </row>
    <row r="184">
      <c r="A184" s="5">
        <f>A183+1</f>
        <v/>
      </c>
      <c r="B184" s="3">
        <f>-SUMIFS(df_extrato_zig!G:G,df_extrato_zig!E:E,Conciliacao!A184,df_extrato_zig!D:D,"Saque")-SUMIFS(df_extrato_zig!G:G,df_extrato_zig!E:E,Conciliacao!A184,df_extrato_zig!D:D,"Antecipação")</f>
        <v/>
      </c>
      <c r="C184" s="3">
        <f>SUMIFS(df_extrato_zig!E:E,df_extrato_zig!L:L,Conciliacao!A184,df_extrato_zig!F:F,"DINHEIRO")</f>
        <v/>
      </c>
      <c r="D184" s="3">
        <f>SUMIFS(view_parc_agrup!H:H,view_parc_agrup!G:G,Conciliacao!A184)</f>
        <v/>
      </c>
      <c r="E184" s="3">
        <f>SUMIFS(df_eventos!F:F,df_eventos!H:H,Conciliacao!A184)</f>
        <v/>
      </c>
      <c r="F184" s="3">
        <f>SUMIFS(df_mutuos!M:M,df_mutuos!B:B,Conciliacao!A184)</f>
        <v/>
      </c>
      <c r="G184" s="6">
        <f>SUMIFS(df_bloqueios_judiciais!G:G,df_bloqueios_judiciais!D:D,Conciliacao!A184,df_bloqueios_judiciais!G:G,"&gt;0")</f>
        <v/>
      </c>
      <c r="H184" s="7">
        <f>SUMIFS(df_extratos!I:I,df_extratos!F:F,Conciliacao!BE184,df_extratos!G:G,"CREDITO")+SUMIFS(df_extratos!I:I,df_extratos!F:F,Conciliacao!A184,df_extratos!G:G,"CREDITO")+SUMIFS(df_extratos!I:I,df_extratos!F:F,Conciliacao!BF184,df_extratos!G:G,"CREDITO")+SUMIFS(df_extratos!I:I,df_extratos!F:F,Conciliacao!BG184,df_extratos!G:G,"CREDITO")+SUMIFS(df_extratos!I:I,df_extratos!F:F,Conciliacao!BH184,df_extratos!G:G,"CREDITO")</f>
        <v/>
      </c>
      <c r="I184" s="9">
        <f>H184-SUM(B184:G184)</f>
        <v/>
      </c>
      <c r="J184" s="4">
        <f>SUMIFS(df_blueme_sem_parcelamento!E:E,df_blueme_sem_parcelamento!H:H,Conciliacao!A184)*(-1)</f>
        <v/>
      </c>
      <c r="K184" s="4">
        <f>SUMIFS(df_blueme_com_parcelamento!J:J,df_blueme_com_parcelamento!M:M,Conciliacao!A184)*(-1)</f>
        <v/>
      </c>
      <c r="L184" s="4">
        <f>SUMIFS(df_mutuos!N:N,df_mutuos!B:B,Conciliacao!A184)*(-1)</f>
        <v/>
      </c>
      <c r="M184" s="8">
        <f>SUMIFS(df_bloqueios_judiciais!G:G,df_bloqueios_judiciais!D:D,Conciliacao!A184,df_bloqueios_judiciais!G:G,"&lt;0")</f>
        <v/>
      </c>
      <c r="N184" s="10">
        <f>SUMIFS(df_extratos!I:I,df_extratos!F:F,Conciliacao!BE184,df_extratos!G:G,"DEBITO")+SUMIFS(df_extratos!I:I,df_extratos!F:F,Conciliacao!A184,df_extratos!G:G,"DEBITO")+SUMIFS(df_extratos!I:I,df_extratos!F:F,Conciliacao!BF184,df_extratos!G:G,"DEBITO")+SUMIFS(df_extratos!I:I,df_extratos!F:F,Conciliacao!BG184,df_extratos!G:G,"DEBITO")+SUMIFS(df_extratos!I:I,df_extratos!F:F,Conciliacao!BH184,df_extratos!G:G,"DEBITO")</f>
        <v/>
      </c>
      <c r="O184" s="11">
        <f>N184-SUM(J184:M184)</f>
        <v/>
      </c>
      <c r="P184" s="25">
        <f>SUMIFS(df_ajustes_conciliaco!D:D,df_ajustes_conciliaco!C:C,Conciliacao!A184)</f>
        <v/>
      </c>
      <c r="Q184" s="22">
        <f>O184+I184-P184</f>
        <v/>
      </c>
      <c r="BE184" s="20" t="n">
        <v>45840.5</v>
      </c>
      <c r="BF184" s="20" t="n">
        <v>45840.125</v>
      </c>
      <c r="BG184" s="20" t="n">
        <v>45840.54166666666</v>
      </c>
      <c r="BH184" s="20" t="n">
        <v>45840.625</v>
      </c>
    </row>
    <row r="185">
      <c r="A185" s="5">
        <f>A184+1</f>
        <v/>
      </c>
      <c r="B185" s="3">
        <f>-SUMIFS(df_extrato_zig!G:G,df_extrato_zig!E:E,Conciliacao!A185,df_extrato_zig!D:D,"Saque")-SUMIFS(df_extrato_zig!G:G,df_extrato_zig!E:E,Conciliacao!A185,df_extrato_zig!D:D,"Antecipação")</f>
        <v/>
      </c>
      <c r="C185" s="3">
        <f>SUMIFS(df_extrato_zig!E:E,df_extrato_zig!L:L,Conciliacao!A185,df_extrato_zig!F:F,"DINHEIRO")</f>
        <v/>
      </c>
      <c r="D185" s="3">
        <f>SUMIFS(view_parc_agrup!H:H,view_parc_agrup!G:G,Conciliacao!A185)</f>
        <v/>
      </c>
      <c r="E185" s="3">
        <f>SUMIFS(df_eventos!F:F,df_eventos!H:H,Conciliacao!A185)</f>
        <v/>
      </c>
      <c r="F185" s="3">
        <f>SUMIFS(df_mutuos!M:M,df_mutuos!B:B,Conciliacao!A185)</f>
        <v/>
      </c>
      <c r="G185" s="6">
        <f>SUMIFS(df_bloqueios_judiciais!G:G,df_bloqueios_judiciais!D:D,Conciliacao!A185,df_bloqueios_judiciais!G:G,"&gt;0")</f>
        <v/>
      </c>
      <c r="H185" s="7">
        <f>SUMIFS(df_extratos!I:I,df_extratos!F:F,Conciliacao!BE185,df_extratos!G:G,"CREDITO")+SUMIFS(df_extratos!I:I,df_extratos!F:F,Conciliacao!A185,df_extratos!G:G,"CREDITO")+SUMIFS(df_extratos!I:I,df_extratos!F:F,Conciliacao!BF185,df_extratos!G:G,"CREDITO")+SUMIFS(df_extratos!I:I,df_extratos!F:F,Conciliacao!BG185,df_extratos!G:G,"CREDITO")+SUMIFS(df_extratos!I:I,df_extratos!F:F,Conciliacao!BH185,df_extratos!G:G,"CREDITO")</f>
        <v/>
      </c>
      <c r="I185" s="9">
        <f>H185-SUM(B185:G185)</f>
        <v/>
      </c>
      <c r="J185" s="4">
        <f>SUMIFS(df_blueme_sem_parcelamento!E:E,df_blueme_sem_parcelamento!H:H,Conciliacao!A185)*(-1)</f>
        <v/>
      </c>
      <c r="K185" s="4">
        <f>SUMIFS(df_blueme_com_parcelamento!J:J,df_blueme_com_parcelamento!M:M,Conciliacao!A185)*(-1)</f>
        <v/>
      </c>
      <c r="L185" s="4">
        <f>SUMIFS(df_mutuos!N:N,df_mutuos!B:B,Conciliacao!A185)*(-1)</f>
        <v/>
      </c>
      <c r="M185" s="8">
        <f>SUMIFS(df_bloqueios_judiciais!G:G,df_bloqueios_judiciais!D:D,Conciliacao!A185,df_bloqueios_judiciais!G:G,"&lt;0")</f>
        <v/>
      </c>
      <c r="N185" s="10">
        <f>SUMIFS(df_extratos!I:I,df_extratos!F:F,Conciliacao!BE185,df_extratos!G:G,"DEBITO")+SUMIFS(df_extratos!I:I,df_extratos!F:F,Conciliacao!A185,df_extratos!G:G,"DEBITO")+SUMIFS(df_extratos!I:I,df_extratos!F:F,Conciliacao!BF185,df_extratos!G:G,"DEBITO")+SUMIFS(df_extratos!I:I,df_extratos!F:F,Conciliacao!BG185,df_extratos!G:G,"DEBITO")+SUMIFS(df_extratos!I:I,df_extratos!F:F,Conciliacao!BH185,df_extratos!G:G,"DEBITO")</f>
        <v/>
      </c>
      <c r="O185" s="11">
        <f>N185-SUM(J185:M185)</f>
        <v/>
      </c>
      <c r="P185" s="25">
        <f>SUMIFS(df_ajustes_conciliaco!D:D,df_ajustes_conciliaco!C:C,Conciliacao!A185)</f>
        <v/>
      </c>
      <c r="Q185" s="22">
        <f>O185+I185-P185</f>
        <v/>
      </c>
      <c r="BE185" s="20" t="n">
        <v>45841.5</v>
      </c>
      <c r="BF185" s="20" t="n">
        <v>45841.125</v>
      </c>
      <c r="BG185" s="20" t="n">
        <v>45841.54166666666</v>
      </c>
      <c r="BH185" s="20" t="n">
        <v>45841.625</v>
      </c>
    </row>
    <row r="186">
      <c r="A186" s="5">
        <f>A185+1</f>
        <v/>
      </c>
      <c r="B186" s="3">
        <f>-SUMIFS(df_extrato_zig!G:G,df_extrato_zig!E:E,Conciliacao!A186,df_extrato_zig!D:D,"Saque")-SUMIFS(df_extrato_zig!G:G,df_extrato_zig!E:E,Conciliacao!A186,df_extrato_zig!D:D,"Antecipação")</f>
        <v/>
      </c>
      <c r="C186" s="3">
        <f>SUMIFS(df_extrato_zig!E:E,df_extrato_zig!L:L,Conciliacao!A186,df_extrato_zig!F:F,"DINHEIRO")</f>
        <v/>
      </c>
      <c r="D186" s="3">
        <f>SUMIFS(view_parc_agrup!H:H,view_parc_agrup!G:G,Conciliacao!A186)</f>
        <v/>
      </c>
      <c r="E186" s="3">
        <f>SUMIFS(df_eventos!F:F,df_eventos!H:H,Conciliacao!A186)</f>
        <v/>
      </c>
      <c r="F186" s="3">
        <f>SUMIFS(df_mutuos!M:M,df_mutuos!B:B,Conciliacao!A186)</f>
        <v/>
      </c>
      <c r="G186" s="6">
        <f>SUMIFS(df_bloqueios_judiciais!G:G,df_bloqueios_judiciais!D:D,Conciliacao!A186,df_bloqueios_judiciais!G:G,"&gt;0")</f>
        <v/>
      </c>
      <c r="H186" s="7">
        <f>SUMIFS(df_extratos!I:I,df_extratos!F:F,Conciliacao!BE186,df_extratos!G:G,"CREDITO")+SUMIFS(df_extratos!I:I,df_extratos!F:F,Conciliacao!A186,df_extratos!G:G,"CREDITO")+SUMIFS(df_extratos!I:I,df_extratos!F:F,Conciliacao!BF186,df_extratos!G:G,"CREDITO")+SUMIFS(df_extratos!I:I,df_extratos!F:F,Conciliacao!BG186,df_extratos!G:G,"CREDITO")+SUMIFS(df_extratos!I:I,df_extratos!F:F,Conciliacao!BH186,df_extratos!G:G,"CREDITO")</f>
        <v/>
      </c>
      <c r="I186" s="9">
        <f>H186-SUM(B186:G186)</f>
        <v/>
      </c>
      <c r="J186" s="4">
        <f>SUMIFS(df_blueme_sem_parcelamento!E:E,df_blueme_sem_parcelamento!H:H,Conciliacao!A186)*(-1)</f>
        <v/>
      </c>
      <c r="K186" s="4">
        <f>SUMIFS(df_blueme_com_parcelamento!J:J,df_blueme_com_parcelamento!M:M,Conciliacao!A186)*(-1)</f>
        <v/>
      </c>
      <c r="L186" s="4">
        <f>SUMIFS(df_mutuos!N:N,df_mutuos!B:B,Conciliacao!A186)*(-1)</f>
        <v/>
      </c>
      <c r="M186" s="8">
        <f>SUMIFS(df_bloqueios_judiciais!G:G,df_bloqueios_judiciais!D:D,Conciliacao!A186,df_bloqueios_judiciais!G:G,"&lt;0")</f>
        <v/>
      </c>
      <c r="N186" s="10">
        <f>SUMIFS(df_extratos!I:I,df_extratos!F:F,Conciliacao!BE186,df_extratos!G:G,"DEBITO")+SUMIFS(df_extratos!I:I,df_extratos!F:F,Conciliacao!A186,df_extratos!G:G,"DEBITO")+SUMIFS(df_extratos!I:I,df_extratos!F:F,Conciliacao!BF186,df_extratos!G:G,"DEBITO")+SUMIFS(df_extratos!I:I,df_extratos!F:F,Conciliacao!BG186,df_extratos!G:G,"DEBITO")+SUMIFS(df_extratos!I:I,df_extratos!F:F,Conciliacao!BH186,df_extratos!G:G,"DEBITO")</f>
        <v/>
      </c>
      <c r="O186" s="11">
        <f>N186-SUM(J186:M186)</f>
        <v/>
      </c>
      <c r="P186" s="25">
        <f>SUMIFS(df_ajustes_conciliaco!D:D,df_ajustes_conciliaco!C:C,Conciliacao!A186)</f>
        <v/>
      </c>
      <c r="Q186" s="22">
        <f>O186+I186-P186</f>
        <v/>
      </c>
      <c r="BE186" s="20" t="n">
        <v>45842.5</v>
      </c>
      <c r="BF186" s="20" t="n">
        <v>45842.125</v>
      </c>
      <c r="BG186" s="20" t="n">
        <v>45842.54166666666</v>
      </c>
      <c r="BH186" s="20" t="n">
        <v>45842.625</v>
      </c>
    </row>
    <row r="187">
      <c r="A187" s="5">
        <f>A186+1</f>
        <v/>
      </c>
      <c r="B187" s="3">
        <f>-SUMIFS(df_extrato_zig!G:G,df_extrato_zig!E:E,Conciliacao!A187,df_extrato_zig!D:D,"Saque")-SUMIFS(df_extrato_zig!G:G,df_extrato_zig!E:E,Conciliacao!A187,df_extrato_zig!D:D,"Antecipação")</f>
        <v/>
      </c>
      <c r="C187" s="3">
        <f>SUMIFS(df_extrato_zig!E:E,df_extrato_zig!L:L,Conciliacao!A187,df_extrato_zig!F:F,"DINHEIRO")</f>
        <v/>
      </c>
      <c r="D187" s="3">
        <f>SUMIFS(view_parc_agrup!H:H,view_parc_agrup!G:G,Conciliacao!A187)</f>
        <v/>
      </c>
      <c r="E187" s="3">
        <f>SUMIFS(df_eventos!F:F,df_eventos!H:H,Conciliacao!A187)</f>
        <v/>
      </c>
      <c r="F187" s="3">
        <f>SUMIFS(df_mutuos!M:M,df_mutuos!B:B,Conciliacao!A187)</f>
        <v/>
      </c>
      <c r="G187" s="6">
        <f>SUMIFS(df_bloqueios_judiciais!G:G,df_bloqueios_judiciais!D:D,Conciliacao!A187,df_bloqueios_judiciais!G:G,"&gt;0")</f>
        <v/>
      </c>
      <c r="H187" s="7">
        <f>SUMIFS(df_extratos!I:I,df_extratos!F:F,Conciliacao!BE187,df_extratos!G:G,"CREDITO")+SUMIFS(df_extratos!I:I,df_extratos!F:F,Conciliacao!A187,df_extratos!G:G,"CREDITO")+SUMIFS(df_extratos!I:I,df_extratos!F:F,Conciliacao!BF187,df_extratos!G:G,"CREDITO")+SUMIFS(df_extratos!I:I,df_extratos!F:F,Conciliacao!BG187,df_extratos!G:G,"CREDITO")+SUMIFS(df_extratos!I:I,df_extratos!F:F,Conciliacao!BH187,df_extratos!G:G,"CREDITO")</f>
        <v/>
      </c>
      <c r="I187" s="9">
        <f>H187-SUM(B187:G187)</f>
        <v/>
      </c>
      <c r="J187" s="4">
        <f>SUMIFS(df_blueme_sem_parcelamento!E:E,df_blueme_sem_parcelamento!H:H,Conciliacao!A187)*(-1)</f>
        <v/>
      </c>
      <c r="K187" s="4">
        <f>SUMIFS(df_blueme_com_parcelamento!J:J,df_blueme_com_parcelamento!M:M,Conciliacao!A187)*(-1)</f>
        <v/>
      </c>
      <c r="L187" s="4">
        <f>SUMIFS(df_mutuos!N:N,df_mutuos!B:B,Conciliacao!A187)*(-1)</f>
        <v/>
      </c>
      <c r="M187" s="8">
        <f>SUMIFS(df_bloqueios_judiciais!G:G,df_bloqueios_judiciais!D:D,Conciliacao!A187,df_bloqueios_judiciais!G:G,"&lt;0")</f>
        <v/>
      </c>
      <c r="N187" s="10">
        <f>SUMIFS(df_extratos!I:I,df_extratos!F:F,Conciliacao!BE187,df_extratos!G:G,"DEBITO")+SUMIFS(df_extratos!I:I,df_extratos!F:F,Conciliacao!A187,df_extratos!G:G,"DEBITO")+SUMIFS(df_extratos!I:I,df_extratos!F:F,Conciliacao!BF187,df_extratos!G:G,"DEBITO")+SUMIFS(df_extratos!I:I,df_extratos!F:F,Conciliacao!BG187,df_extratos!G:G,"DEBITO")+SUMIFS(df_extratos!I:I,df_extratos!F:F,Conciliacao!BH187,df_extratos!G:G,"DEBITO")</f>
        <v/>
      </c>
      <c r="O187" s="11">
        <f>N187-SUM(J187:M187)</f>
        <v/>
      </c>
      <c r="P187" s="25">
        <f>SUMIFS(df_ajustes_conciliaco!D:D,df_ajustes_conciliaco!C:C,Conciliacao!A187)</f>
        <v/>
      </c>
      <c r="Q187" s="22">
        <f>O187+I187-P187</f>
        <v/>
      </c>
      <c r="BE187" s="20" t="n">
        <v>45843.5</v>
      </c>
      <c r="BF187" s="20" t="n">
        <v>45843.125</v>
      </c>
      <c r="BG187" s="20" t="n">
        <v>45843.54166666666</v>
      </c>
      <c r="BH187" s="20" t="n">
        <v>45843.625</v>
      </c>
    </row>
    <row r="188">
      <c r="A188" s="5">
        <f>A187+1</f>
        <v/>
      </c>
      <c r="B188" s="3">
        <f>-SUMIFS(df_extrato_zig!G:G,df_extrato_zig!E:E,Conciliacao!A188,df_extrato_zig!D:D,"Saque")-SUMIFS(df_extrato_zig!G:G,df_extrato_zig!E:E,Conciliacao!A188,df_extrato_zig!D:D,"Antecipação")</f>
        <v/>
      </c>
      <c r="C188" s="3">
        <f>SUMIFS(df_extrato_zig!E:E,df_extrato_zig!L:L,Conciliacao!A188,df_extrato_zig!F:F,"DINHEIRO")</f>
        <v/>
      </c>
      <c r="D188" s="3">
        <f>SUMIFS(view_parc_agrup!H:H,view_parc_agrup!G:G,Conciliacao!A188)</f>
        <v/>
      </c>
      <c r="E188" s="3">
        <f>SUMIFS(df_eventos!F:F,df_eventos!H:H,Conciliacao!A188)</f>
        <v/>
      </c>
      <c r="F188" s="3">
        <f>SUMIFS(df_mutuos!M:M,df_mutuos!B:B,Conciliacao!A188)</f>
        <v/>
      </c>
      <c r="G188" s="6">
        <f>SUMIFS(df_bloqueios_judiciais!G:G,df_bloqueios_judiciais!D:D,Conciliacao!A188,df_bloqueios_judiciais!G:G,"&gt;0")</f>
        <v/>
      </c>
      <c r="H188" s="7">
        <f>SUMIFS(df_extratos!I:I,df_extratos!F:F,Conciliacao!BE188,df_extratos!G:G,"CREDITO")+SUMIFS(df_extratos!I:I,df_extratos!F:F,Conciliacao!A188,df_extratos!G:G,"CREDITO")+SUMIFS(df_extratos!I:I,df_extratos!F:F,Conciliacao!BF188,df_extratos!G:G,"CREDITO")+SUMIFS(df_extratos!I:I,df_extratos!F:F,Conciliacao!BG188,df_extratos!G:G,"CREDITO")+SUMIFS(df_extratos!I:I,df_extratos!F:F,Conciliacao!BH188,df_extratos!G:G,"CREDITO")</f>
        <v/>
      </c>
      <c r="I188" s="9">
        <f>H188-SUM(B188:G188)</f>
        <v/>
      </c>
      <c r="J188" s="4">
        <f>SUMIFS(df_blueme_sem_parcelamento!E:E,df_blueme_sem_parcelamento!H:H,Conciliacao!A188)*(-1)</f>
        <v/>
      </c>
      <c r="K188" s="4">
        <f>SUMIFS(df_blueme_com_parcelamento!J:J,df_blueme_com_parcelamento!M:M,Conciliacao!A188)*(-1)</f>
        <v/>
      </c>
      <c r="L188" s="4">
        <f>SUMIFS(df_mutuos!N:N,df_mutuos!B:B,Conciliacao!A188)*(-1)</f>
        <v/>
      </c>
      <c r="M188" s="8">
        <f>SUMIFS(df_bloqueios_judiciais!G:G,df_bloqueios_judiciais!D:D,Conciliacao!A188,df_bloqueios_judiciais!G:G,"&lt;0")</f>
        <v/>
      </c>
      <c r="N188" s="10">
        <f>SUMIFS(df_extratos!I:I,df_extratos!F:F,Conciliacao!BE188,df_extratos!G:G,"DEBITO")+SUMIFS(df_extratos!I:I,df_extratos!F:F,Conciliacao!A188,df_extratos!G:G,"DEBITO")+SUMIFS(df_extratos!I:I,df_extratos!F:F,Conciliacao!BF188,df_extratos!G:G,"DEBITO")+SUMIFS(df_extratos!I:I,df_extratos!F:F,Conciliacao!BG188,df_extratos!G:G,"DEBITO")+SUMIFS(df_extratos!I:I,df_extratos!F:F,Conciliacao!BH188,df_extratos!G:G,"DEBITO")</f>
        <v/>
      </c>
      <c r="O188" s="11">
        <f>N188-SUM(J188:M188)</f>
        <v/>
      </c>
      <c r="P188" s="25">
        <f>SUMIFS(df_ajustes_conciliaco!D:D,df_ajustes_conciliaco!C:C,Conciliacao!A188)</f>
        <v/>
      </c>
      <c r="Q188" s="22">
        <f>O188+I188-P188</f>
        <v/>
      </c>
      <c r="BE188" s="20" t="n">
        <v>45844.5</v>
      </c>
      <c r="BF188" s="20" t="n">
        <v>45844.125</v>
      </c>
      <c r="BG188" s="20" t="n">
        <v>45844.54166666666</v>
      </c>
      <c r="BH188" s="20" t="n">
        <v>45844.625</v>
      </c>
    </row>
    <row r="189">
      <c r="A189" s="5">
        <f>A188+1</f>
        <v/>
      </c>
      <c r="B189" s="3">
        <f>-SUMIFS(df_extrato_zig!G:G,df_extrato_zig!E:E,Conciliacao!A189,df_extrato_zig!D:D,"Saque")-SUMIFS(df_extrato_zig!G:G,df_extrato_zig!E:E,Conciliacao!A189,df_extrato_zig!D:D,"Antecipação")</f>
        <v/>
      </c>
      <c r="C189" s="3">
        <f>SUMIFS(df_extrato_zig!E:E,df_extrato_zig!L:L,Conciliacao!A189,df_extrato_zig!F:F,"DINHEIRO")</f>
        <v/>
      </c>
      <c r="D189" s="3">
        <f>SUMIFS(view_parc_agrup!H:H,view_parc_agrup!G:G,Conciliacao!A189)</f>
        <v/>
      </c>
      <c r="E189" s="3">
        <f>SUMIFS(df_eventos!F:F,df_eventos!H:H,Conciliacao!A189)</f>
        <v/>
      </c>
      <c r="F189" s="3">
        <f>SUMIFS(df_mutuos!M:M,df_mutuos!B:B,Conciliacao!A189)</f>
        <v/>
      </c>
      <c r="G189" s="6">
        <f>SUMIFS(df_bloqueios_judiciais!G:G,df_bloqueios_judiciais!D:D,Conciliacao!A189,df_bloqueios_judiciais!G:G,"&gt;0")</f>
        <v/>
      </c>
      <c r="H189" s="7">
        <f>SUMIFS(df_extratos!I:I,df_extratos!F:F,Conciliacao!BE189,df_extratos!G:G,"CREDITO")+SUMIFS(df_extratos!I:I,df_extratos!F:F,Conciliacao!A189,df_extratos!G:G,"CREDITO")+SUMIFS(df_extratos!I:I,df_extratos!F:F,Conciliacao!BF189,df_extratos!G:G,"CREDITO")+SUMIFS(df_extratos!I:I,df_extratos!F:F,Conciliacao!BG189,df_extratos!G:G,"CREDITO")+SUMIFS(df_extratos!I:I,df_extratos!F:F,Conciliacao!BH189,df_extratos!G:G,"CREDITO")</f>
        <v/>
      </c>
      <c r="I189" s="9">
        <f>H189-SUM(B189:G189)</f>
        <v/>
      </c>
      <c r="J189" s="4">
        <f>SUMIFS(df_blueme_sem_parcelamento!E:E,df_blueme_sem_parcelamento!H:H,Conciliacao!A189)*(-1)</f>
        <v/>
      </c>
      <c r="K189" s="4">
        <f>SUMIFS(df_blueme_com_parcelamento!J:J,df_blueme_com_parcelamento!M:M,Conciliacao!A189)*(-1)</f>
        <v/>
      </c>
      <c r="L189" s="4">
        <f>SUMIFS(df_mutuos!N:N,df_mutuos!B:B,Conciliacao!A189)*(-1)</f>
        <v/>
      </c>
      <c r="M189" s="8">
        <f>SUMIFS(df_bloqueios_judiciais!G:G,df_bloqueios_judiciais!D:D,Conciliacao!A189,df_bloqueios_judiciais!G:G,"&lt;0")</f>
        <v/>
      </c>
      <c r="N189" s="10">
        <f>SUMIFS(df_extratos!I:I,df_extratos!F:F,Conciliacao!BE189,df_extratos!G:G,"DEBITO")+SUMIFS(df_extratos!I:I,df_extratos!F:F,Conciliacao!A189,df_extratos!G:G,"DEBITO")+SUMIFS(df_extratos!I:I,df_extratos!F:F,Conciliacao!BF189,df_extratos!G:G,"DEBITO")+SUMIFS(df_extratos!I:I,df_extratos!F:F,Conciliacao!BG189,df_extratos!G:G,"DEBITO")+SUMIFS(df_extratos!I:I,df_extratos!F:F,Conciliacao!BH189,df_extratos!G:G,"DEBITO")</f>
        <v/>
      </c>
      <c r="O189" s="11">
        <f>N189-SUM(J189:M189)</f>
        <v/>
      </c>
      <c r="P189" s="25">
        <f>SUMIFS(df_ajustes_conciliaco!D:D,df_ajustes_conciliaco!C:C,Conciliacao!A189)</f>
        <v/>
      </c>
      <c r="Q189" s="22">
        <f>O189+I189-P189</f>
        <v/>
      </c>
      <c r="BE189" s="20" t="n">
        <v>45845.5</v>
      </c>
      <c r="BF189" s="20" t="n">
        <v>45845.125</v>
      </c>
      <c r="BG189" s="20" t="n">
        <v>45845.54166666666</v>
      </c>
      <c r="BH189" s="20" t="n">
        <v>45845.625</v>
      </c>
    </row>
    <row r="190">
      <c r="A190" s="5">
        <f>A189+1</f>
        <v/>
      </c>
      <c r="B190" s="3">
        <f>-SUMIFS(df_extrato_zig!G:G,df_extrato_zig!E:E,Conciliacao!A190,df_extrato_zig!D:D,"Saque")-SUMIFS(df_extrato_zig!G:G,df_extrato_zig!E:E,Conciliacao!A190,df_extrato_zig!D:D,"Antecipação")</f>
        <v/>
      </c>
      <c r="C190" s="3">
        <f>SUMIFS(df_extrato_zig!E:E,df_extrato_zig!L:L,Conciliacao!A190,df_extrato_zig!F:F,"DINHEIRO")</f>
        <v/>
      </c>
      <c r="D190" s="3">
        <f>SUMIFS(view_parc_agrup!H:H,view_parc_agrup!G:G,Conciliacao!A190)</f>
        <v/>
      </c>
      <c r="E190" s="3">
        <f>SUMIFS(df_eventos!F:F,df_eventos!H:H,Conciliacao!A190)</f>
        <v/>
      </c>
      <c r="F190" s="3">
        <f>SUMIFS(df_mutuos!M:M,df_mutuos!B:B,Conciliacao!A190)</f>
        <v/>
      </c>
      <c r="G190" s="6">
        <f>SUMIFS(df_bloqueios_judiciais!G:G,df_bloqueios_judiciais!D:D,Conciliacao!A190,df_bloqueios_judiciais!G:G,"&gt;0")</f>
        <v/>
      </c>
      <c r="H190" s="7">
        <f>SUMIFS(df_extratos!I:I,df_extratos!F:F,Conciliacao!BE190,df_extratos!G:G,"CREDITO")+SUMIFS(df_extratos!I:I,df_extratos!F:F,Conciliacao!A190,df_extratos!G:G,"CREDITO")+SUMIFS(df_extratos!I:I,df_extratos!F:F,Conciliacao!BF190,df_extratos!G:G,"CREDITO")+SUMIFS(df_extratos!I:I,df_extratos!F:F,Conciliacao!BG190,df_extratos!G:G,"CREDITO")+SUMIFS(df_extratos!I:I,df_extratos!F:F,Conciliacao!BH190,df_extratos!G:G,"CREDITO")</f>
        <v/>
      </c>
      <c r="I190" s="9">
        <f>H190-SUM(B190:G190)</f>
        <v/>
      </c>
      <c r="J190" s="4">
        <f>SUMIFS(df_blueme_sem_parcelamento!E:E,df_blueme_sem_parcelamento!H:H,Conciliacao!A190)*(-1)</f>
        <v/>
      </c>
      <c r="K190" s="4">
        <f>SUMIFS(df_blueme_com_parcelamento!J:J,df_blueme_com_parcelamento!M:M,Conciliacao!A190)*(-1)</f>
        <v/>
      </c>
      <c r="L190" s="4">
        <f>SUMIFS(df_mutuos!N:N,df_mutuos!B:B,Conciliacao!A190)*(-1)</f>
        <v/>
      </c>
      <c r="M190" s="8">
        <f>SUMIFS(df_bloqueios_judiciais!G:G,df_bloqueios_judiciais!D:D,Conciliacao!A190,df_bloqueios_judiciais!G:G,"&lt;0")</f>
        <v/>
      </c>
      <c r="N190" s="10">
        <f>SUMIFS(df_extratos!I:I,df_extratos!F:F,Conciliacao!BE190,df_extratos!G:G,"DEBITO")+SUMIFS(df_extratos!I:I,df_extratos!F:F,Conciliacao!A190,df_extratos!G:G,"DEBITO")+SUMIFS(df_extratos!I:I,df_extratos!F:F,Conciliacao!BF190,df_extratos!G:G,"DEBITO")+SUMIFS(df_extratos!I:I,df_extratos!F:F,Conciliacao!BG190,df_extratos!G:G,"DEBITO")+SUMIFS(df_extratos!I:I,df_extratos!F:F,Conciliacao!BH190,df_extratos!G:G,"DEBITO")</f>
        <v/>
      </c>
      <c r="O190" s="11">
        <f>N190-SUM(J190:M190)</f>
        <v/>
      </c>
      <c r="P190" s="25">
        <f>SUMIFS(df_ajustes_conciliaco!D:D,df_ajustes_conciliaco!C:C,Conciliacao!A190)</f>
        <v/>
      </c>
      <c r="Q190" s="22">
        <f>O190+I190-P190</f>
        <v/>
      </c>
      <c r="BE190" s="20" t="n">
        <v>45846.5</v>
      </c>
      <c r="BF190" s="20" t="n">
        <v>45846.125</v>
      </c>
      <c r="BG190" s="20" t="n">
        <v>45846.54166666666</v>
      </c>
      <c r="BH190" s="20" t="n">
        <v>45846.625</v>
      </c>
    </row>
    <row r="191">
      <c r="A191" s="5">
        <f>A190+1</f>
        <v/>
      </c>
      <c r="B191" s="3">
        <f>-SUMIFS(df_extrato_zig!G:G,df_extrato_zig!E:E,Conciliacao!A191,df_extrato_zig!D:D,"Saque")-SUMIFS(df_extrato_zig!G:G,df_extrato_zig!E:E,Conciliacao!A191,df_extrato_zig!D:D,"Antecipação")</f>
        <v/>
      </c>
      <c r="C191" s="3">
        <f>SUMIFS(df_extrato_zig!E:E,df_extrato_zig!L:L,Conciliacao!A191,df_extrato_zig!F:F,"DINHEIRO")</f>
        <v/>
      </c>
      <c r="D191" s="3">
        <f>SUMIFS(view_parc_agrup!H:H,view_parc_agrup!G:G,Conciliacao!A191)</f>
        <v/>
      </c>
      <c r="E191" s="3">
        <f>SUMIFS(df_eventos!F:F,df_eventos!H:H,Conciliacao!A191)</f>
        <v/>
      </c>
      <c r="F191" s="3">
        <f>SUMIFS(df_mutuos!M:M,df_mutuos!B:B,Conciliacao!A191)</f>
        <v/>
      </c>
      <c r="G191" s="6">
        <f>SUMIFS(df_bloqueios_judiciais!G:G,df_bloqueios_judiciais!D:D,Conciliacao!A191,df_bloqueios_judiciais!G:G,"&gt;0")</f>
        <v/>
      </c>
      <c r="H191" s="7">
        <f>SUMIFS(df_extratos!I:I,df_extratos!F:F,Conciliacao!BE191,df_extratos!G:G,"CREDITO")+SUMIFS(df_extratos!I:I,df_extratos!F:F,Conciliacao!A191,df_extratos!G:G,"CREDITO")+SUMIFS(df_extratos!I:I,df_extratos!F:F,Conciliacao!BF191,df_extratos!G:G,"CREDITO")+SUMIFS(df_extratos!I:I,df_extratos!F:F,Conciliacao!BG191,df_extratos!G:G,"CREDITO")+SUMIFS(df_extratos!I:I,df_extratos!F:F,Conciliacao!BH191,df_extratos!G:G,"CREDITO")</f>
        <v/>
      </c>
      <c r="I191" s="9">
        <f>H191-SUM(B191:G191)</f>
        <v/>
      </c>
      <c r="J191" s="4">
        <f>SUMIFS(df_blueme_sem_parcelamento!E:E,df_blueme_sem_parcelamento!H:H,Conciliacao!A191)*(-1)</f>
        <v/>
      </c>
      <c r="K191" s="4">
        <f>SUMIFS(df_blueme_com_parcelamento!J:J,df_blueme_com_parcelamento!M:M,Conciliacao!A191)*(-1)</f>
        <v/>
      </c>
      <c r="L191" s="4">
        <f>SUMIFS(df_mutuos!N:N,df_mutuos!B:B,Conciliacao!A191)*(-1)</f>
        <v/>
      </c>
      <c r="M191" s="8">
        <f>SUMIFS(df_bloqueios_judiciais!G:G,df_bloqueios_judiciais!D:D,Conciliacao!A191,df_bloqueios_judiciais!G:G,"&lt;0")</f>
        <v/>
      </c>
      <c r="N191" s="10">
        <f>SUMIFS(df_extratos!I:I,df_extratos!F:F,Conciliacao!BE191,df_extratos!G:G,"DEBITO")+SUMIFS(df_extratos!I:I,df_extratos!F:F,Conciliacao!A191,df_extratos!G:G,"DEBITO")+SUMIFS(df_extratos!I:I,df_extratos!F:F,Conciliacao!BF191,df_extratos!G:G,"DEBITO")+SUMIFS(df_extratos!I:I,df_extratos!F:F,Conciliacao!BG191,df_extratos!G:G,"DEBITO")+SUMIFS(df_extratos!I:I,df_extratos!F:F,Conciliacao!BH191,df_extratos!G:G,"DEBITO")</f>
        <v/>
      </c>
      <c r="O191" s="11">
        <f>N191-SUM(J191:M191)</f>
        <v/>
      </c>
      <c r="P191" s="25">
        <f>SUMIFS(df_ajustes_conciliaco!D:D,df_ajustes_conciliaco!C:C,Conciliacao!A191)</f>
        <v/>
      </c>
      <c r="Q191" s="22">
        <f>O191+I191-P191</f>
        <v/>
      </c>
      <c r="BE191" s="20" t="n">
        <v>45847.5</v>
      </c>
      <c r="BF191" s="20" t="n">
        <v>45847.125</v>
      </c>
      <c r="BG191" s="20" t="n">
        <v>45847.54166666666</v>
      </c>
      <c r="BH191" s="20" t="n">
        <v>45847.625</v>
      </c>
    </row>
    <row r="192">
      <c r="A192" s="5">
        <f>A191+1</f>
        <v/>
      </c>
      <c r="B192" s="3">
        <f>-SUMIFS(df_extrato_zig!G:G,df_extrato_zig!E:E,Conciliacao!A192,df_extrato_zig!D:D,"Saque")-SUMIFS(df_extrato_zig!G:G,df_extrato_zig!E:E,Conciliacao!A192,df_extrato_zig!D:D,"Antecipação")</f>
        <v/>
      </c>
      <c r="C192" s="3">
        <f>SUMIFS(df_extrato_zig!E:E,df_extrato_zig!L:L,Conciliacao!A192,df_extrato_zig!F:F,"DINHEIRO")</f>
        <v/>
      </c>
      <c r="D192" s="3">
        <f>SUMIFS(view_parc_agrup!H:H,view_parc_agrup!G:G,Conciliacao!A192)</f>
        <v/>
      </c>
      <c r="E192" s="3">
        <f>SUMIFS(df_eventos!F:F,df_eventos!H:H,Conciliacao!A192)</f>
        <v/>
      </c>
      <c r="F192" s="3">
        <f>SUMIFS(df_mutuos!M:M,df_mutuos!B:B,Conciliacao!A192)</f>
        <v/>
      </c>
      <c r="G192" s="6">
        <f>SUMIFS(df_bloqueios_judiciais!G:G,df_bloqueios_judiciais!D:D,Conciliacao!A192,df_bloqueios_judiciais!G:G,"&gt;0")</f>
        <v/>
      </c>
      <c r="H192" s="7">
        <f>SUMIFS(df_extratos!I:I,df_extratos!F:F,Conciliacao!BE192,df_extratos!G:G,"CREDITO")+SUMIFS(df_extratos!I:I,df_extratos!F:F,Conciliacao!A192,df_extratos!G:G,"CREDITO")+SUMIFS(df_extratos!I:I,df_extratos!F:F,Conciliacao!BF192,df_extratos!G:G,"CREDITO")+SUMIFS(df_extratos!I:I,df_extratos!F:F,Conciliacao!BG192,df_extratos!G:G,"CREDITO")+SUMIFS(df_extratos!I:I,df_extratos!F:F,Conciliacao!BH192,df_extratos!G:G,"CREDITO")</f>
        <v/>
      </c>
      <c r="I192" s="9">
        <f>H192-SUM(B192:G192)</f>
        <v/>
      </c>
      <c r="J192" s="4">
        <f>SUMIFS(df_blueme_sem_parcelamento!E:E,df_blueme_sem_parcelamento!H:H,Conciliacao!A192)*(-1)</f>
        <v/>
      </c>
      <c r="K192" s="4">
        <f>SUMIFS(df_blueme_com_parcelamento!J:J,df_blueme_com_parcelamento!M:M,Conciliacao!A192)*(-1)</f>
        <v/>
      </c>
      <c r="L192" s="4">
        <f>SUMIFS(df_mutuos!N:N,df_mutuos!B:B,Conciliacao!A192)*(-1)</f>
        <v/>
      </c>
      <c r="M192" s="8">
        <f>SUMIFS(df_bloqueios_judiciais!G:G,df_bloqueios_judiciais!D:D,Conciliacao!A192,df_bloqueios_judiciais!G:G,"&lt;0")</f>
        <v/>
      </c>
      <c r="N192" s="10">
        <f>SUMIFS(df_extratos!I:I,df_extratos!F:F,Conciliacao!BE192,df_extratos!G:G,"DEBITO")+SUMIFS(df_extratos!I:I,df_extratos!F:F,Conciliacao!A192,df_extratos!G:G,"DEBITO")+SUMIFS(df_extratos!I:I,df_extratos!F:F,Conciliacao!BF192,df_extratos!G:G,"DEBITO")+SUMIFS(df_extratos!I:I,df_extratos!F:F,Conciliacao!BG192,df_extratos!G:G,"DEBITO")+SUMIFS(df_extratos!I:I,df_extratos!F:F,Conciliacao!BH192,df_extratos!G:G,"DEBITO")</f>
        <v/>
      </c>
      <c r="O192" s="11">
        <f>N192-SUM(J192:M192)</f>
        <v/>
      </c>
      <c r="P192" s="25">
        <f>SUMIFS(df_ajustes_conciliaco!D:D,df_ajustes_conciliaco!C:C,Conciliacao!A192)</f>
        <v/>
      </c>
      <c r="Q192" s="22">
        <f>O192+I192-P192</f>
        <v/>
      </c>
      <c r="BE192" s="20" t="n">
        <v>45848.5</v>
      </c>
      <c r="BF192" s="20" t="n">
        <v>45848.125</v>
      </c>
      <c r="BG192" s="20" t="n">
        <v>45848.54166666666</v>
      </c>
      <c r="BH192" s="20" t="n">
        <v>45848.625</v>
      </c>
    </row>
    <row r="193">
      <c r="A193" s="5">
        <f>A192+1</f>
        <v/>
      </c>
      <c r="B193" s="3">
        <f>-SUMIFS(df_extrato_zig!G:G,df_extrato_zig!E:E,Conciliacao!A193,df_extrato_zig!D:D,"Saque")-SUMIFS(df_extrato_zig!G:G,df_extrato_zig!E:E,Conciliacao!A193,df_extrato_zig!D:D,"Antecipação")</f>
        <v/>
      </c>
      <c r="C193" s="3">
        <f>SUMIFS(df_extrato_zig!E:E,df_extrato_zig!L:L,Conciliacao!A193,df_extrato_zig!F:F,"DINHEIRO")</f>
        <v/>
      </c>
      <c r="D193" s="3">
        <f>SUMIFS(view_parc_agrup!H:H,view_parc_agrup!G:G,Conciliacao!A193)</f>
        <v/>
      </c>
      <c r="E193" s="3">
        <f>SUMIFS(df_eventos!F:F,df_eventos!H:H,Conciliacao!A193)</f>
        <v/>
      </c>
      <c r="F193" s="3">
        <f>SUMIFS(df_mutuos!M:M,df_mutuos!B:B,Conciliacao!A193)</f>
        <v/>
      </c>
      <c r="G193" s="6">
        <f>SUMIFS(df_bloqueios_judiciais!G:G,df_bloqueios_judiciais!D:D,Conciliacao!A193,df_bloqueios_judiciais!G:G,"&gt;0")</f>
        <v/>
      </c>
      <c r="H193" s="7">
        <f>SUMIFS(df_extratos!I:I,df_extratos!F:F,Conciliacao!BE193,df_extratos!G:G,"CREDITO")+SUMIFS(df_extratos!I:I,df_extratos!F:F,Conciliacao!A193,df_extratos!G:G,"CREDITO")+SUMIFS(df_extratos!I:I,df_extratos!F:F,Conciliacao!BF193,df_extratos!G:G,"CREDITO")+SUMIFS(df_extratos!I:I,df_extratos!F:F,Conciliacao!BG193,df_extratos!G:G,"CREDITO")+SUMIFS(df_extratos!I:I,df_extratos!F:F,Conciliacao!BH193,df_extratos!G:G,"CREDITO")</f>
        <v/>
      </c>
      <c r="I193" s="9">
        <f>H193-SUM(B193:G193)</f>
        <v/>
      </c>
      <c r="J193" s="4">
        <f>SUMIFS(df_blueme_sem_parcelamento!E:E,df_blueme_sem_parcelamento!H:H,Conciliacao!A193)*(-1)</f>
        <v/>
      </c>
      <c r="K193" s="4">
        <f>SUMIFS(df_blueme_com_parcelamento!J:J,df_blueme_com_parcelamento!M:M,Conciliacao!A193)*(-1)</f>
        <v/>
      </c>
      <c r="L193" s="4">
        <f>SUMIFS(df_mutuos!N:N,df_mutuos!B:B,Conciliacao!A193)*(-1)</f>
        <v/>
      </c>
      <c r="M193" s="8">
        <f>SUMIFS(df_bloqueios_judiciais!G:G,df_bloqueios_judiciais!D:D,Conciliacao!A193,df_bloqueios_judiciais!G:G,"&lt;0")</f>
        <v/>
      </c>
      <c r="N193" s="10">
        <f>SUMIFS(df_extratos!I:I,df_extratos!F:F,Conciliacao!BE193,df_extratos!G:G,"DEBITO")+SUMIFS(df_extratos!I:I,df_extratos!F:F,Conciliacao!A193,df_extratos!G:G,"DEBITO")+SUMIFS(df_extratos!I:I,df_extratos!F:F,Conciliacao!BF193,df_extratos!G:G,"DEBITO")+SUMIFS(df_extratos!I:I,df_extratos!F:F,Conciliacao!BG193,df_extratos!G:G,"DEBITO")+SUMIFS(df_extratos!I:I,df_extratos!F:F,Conciliacao!BH193,df_extratos!G:G,"DEBITO")</f>
        <v/>
      </c>
      <c r="O193" s="11">
        <f>N193-SUM(J193:M193)</f>
        <v/>
      </c>
      <c r="P193" s="25">
        <f>SUMIFS(df_ajustes_conciliaco!D:D,df_ajustes_conciliaco!C:C,Conciliacao!A193)</f>
        <v/>
      </c>
      <c r="Q193" s="22">
        <f>O193+I193-P193</f>
        <v/>
      </c>
      <c r="BE193" s="20" t="n">
        <v>45849.5</v>
      </c>
      <c r="BF193" s="20" t="n">
        <v>45849.125</v>
      </c>
      <c r="BG193" s="20" t="n">
        <v>45849.54166666666</v>
      </c>
      <c r="BH193" s="20" t="n">
        <v>45849.625</v>
      </c>
    </row>
    <row r="194">
      <c r="A194" s="5">
        <f>A193+1</f>
        <v/>
      </c>
      <c r="B194" s="3">
        <f>-SUMIFS(df_extrato_zig!G:G,df_extrato_zig!E:E,Conciliacao!A194,df_extrato_zig!D:D,"Saque")-SUMIFS(df_extrato_zig!G:G,df_extrato_zig!E:E,Conciliacao!A194,df_extrato_zig!D:D,"Antecipação")</f>
        <v/>
      </c>
      <c r="C194" s="3">
        <f>SUMIFS(df_extrato_zig!E:E,df_extrato_zig!L:L,Conciliacao!A194,df_extrato_zig!F:F,"DINHEIRO")</f>
        <v/>
      </c>
      <c r="D194" s="3">
        <f>SUMIFS(view_parc_agrup!H:H,view_parc_agrup!G:G,Conciliacao!A194)</f>
        <v/>
      </c>
      <c r="E194" s="3">
        <f>SUMIFS(df_eventos!F:F,df_eventos!H:H,Conciliacao!A194)</f>
        <v/>
      </c>
      <c r="F194" s="3">
        <f>SUMIFS(df_mutuos!M:M,df_mutuos!B:B,Conciliacao!A194)</f>
        <v/>
      </c>
      <c r="G194" s="6">
        <f>SUMIFS(df_bloqueios_judiciais!G:G,df_bloqueios_judiciais!D:D,Conciliacao!A194,df_bloqueios_judiciais!G:G,"&gt;0")</f>
        <v/>
      </c>
      <c r="H194" s="7">
        <f>SUMIFS(df_extratos!I:I,df_extratos!F:F,Conciliacao!BE194,df_extratos!G:G,"CREDITO")+SUMIFS(df_extratos!I:I,df_extratos!F:F,Conciliacao!A194,df_extratos!G:G,"CREDITO")+SUMIFS(df_extratos!I:I,df_extratos!F:F,Conciliacao!BF194,df_extratos!G:G,"CREDITO")+SUMIFS(df_extratos!I:I,df_extratos!F:F,Conciliacao!BG194,df_extratos!G:G,"CREDITO")+SUMIFS(df_extratos!I:I,df_extratos!F:F,Conciliacao!BH194,df_extratos!G:G,"CREDITO")</f>
        <v/>
      </c>
      <c r="I194" s="9">
        <f>H194-SUM(B194:G194)</f>
        <v/>
      </c>
      <c r="J194" s="4">
        <f>SUMIFS(df_blueme_sem_parcelamento!E:E,df_blueme_sem_parcelamento!H:H,Conciliacao!A194)*(-1)</f>
        <v/>
      </c>
      <c r="K194" s="4">
        <f>SUMIFS(df_blueme_com_parcelamento!J:J,df_blueme_com_parcelamento!M:M,Conciliacao!A194)*(-1)</f>
        <v/>
      </c>
      <c r="L194" s="4">
        <f>SUMIFS(df_mutuos!N:N,df_mutuos!B:B,Conciliacao!A194)*(-1)</f>
        <v/>
      </c>
      <c r="M194" s="8">
        <f>SUMIFS(df_bloqueios_judiciais!G:G,df_bloqueios_judiciais!D:D,Conciliacao!A194,df_bloqueios_judiciais!G:G,"&lt;0")</f>
        <v/>
      </c>
      <c r="N194" s="10">
        <f>SUMIFS(df_extratos!I:I,df_extratos!F:F,Conciliacao!BE194,df_extratos!G:G,"DEBITO")+SUMIFS(df_extratos!I:I,df_extratos!F:F,Conciliacao!A194,df_extratos!G:G,"DEBITO")+SUMIFS(df_extratos!I:I,df_extratos!F:F,Conciliacao!BF194,df_extratos!G:G,"DEBITO")+SUMIFS(df_extratos!I:I,df_extratos!F:F,Conciliacao!BG194,df_extratos!G:G,"DEBITO")+SUMIFS(df_extratos!I:I,df_extratos!F:F,Conciliacao!BH194,df_extratos!G:G,"DEBITO")</f>
        <v/>
      </c>
      <c r="O194" s="11">
        <f>N194-SUM(J194:M194)</f>
        <v/>
      </c>
      <c r="P194" s="25">
        <f>SUMIFS(df_ajustes_conciliaco!D:D,df_ajustes_conciliaco!C:C,Conciliacao!A194)</f>
        <v/>
      </c>
      <c r="Q194" s="22">
        <f>O194+I194-P194</f>
        <v/>
      </c>
      <c r="BE194" s="20" t="n">
        <v>45850.5</v>
      </c>
      <c r="BF194" s="20" t="n">
        <v>45850.125</v>
      </c>
      <c r="BG194" s="20" t="n">
        <v>45850.54166666666</v>
      </c>
      <c r="BH194" s="20" t="n">
        <v>45850.625</v>
      </c>
    </row>
    <row r="195">
      <c r="A195" s="5">
        <f>A194+1</f>
        <v/>
      </c>
      <c r="B195" s="3">
        <f>-SUMIFS(df_extrato_zig!G:G,df_extrato_zig!E:E,Conciliacao!A195,df_extrato_zig!D:D,"Saque")-SUMIFS(df_extrato_zig!G:G,df_extrato_zig!E:E,Conciliacao!A195,df_extrato_zig!D:D,"Antecipação")</f>
        <v/>
      </c>
      <c r="C195" s="3">
        <f>SUMIFS(df_extrato_zig!E:E,df_extrato_zig!L:L,Conciliacao!A195,df_extrato_zig!F:F,"DINHEIRO")</f>
        <v/>
      </c>
      <c r="D195" s="3">
        <f>SUMIFS(view_parc_agrup!H:H,view_parc_agrup!G:G,Conciliacao!A195)</f>
        <v/>
      </c>
      <c r="E195" s="3">
        <f>SUMIFS(df_eventos!F:F,df_eventos!H:H,Conciliacao!A195)</f>
        <v/>
      </c>
      <c r="F195" s="3">
        <f>SUMIFS(df_mutuos!M:M,df_mutuos!B:B,Conciliacao!A195)</f>
        <v/>
      </c>
      <c r="G195" s="6">
        <f>SUMIFS(df_bloqueios_judiciais!G:G,df_bloqueios_judiciais!D:D,Conciliacao!A195,df_bloqueios_judiciais!G:G,"&gt;0")</f>
        <v/>
      </c>
      <c r="H195" s="7">
        <f>SUMIFS(df_extratos!I:I,df_extratos!F:F,Conciliacao!BE195,df_extratos!G:G,"CREDITO")+SUMIFS(df_extratos!I:I,df_extratos!F:F,Conciliacao!A195,df_extratos!G:G,"CREDITO")+SUMIFS(df_extratos!I:I,df_extratos!F:F,Conciliacao!BF195,df_extratos!G:G,"CREDITO")+SUMIFS(df_extratos!I:I,df_extratos!F:F,Conciliacao!BG195,df_extratos!G:G,"CREDITO")+SUMIFS(df_extratos!I:I,df_extratos!F:F,Conciliacao!BH195,df_extratos!G:G,"CREDITO")</f>
        <v/>
      </c>
      <c r="I195" s="9">
        <f>H195-SUM(B195:G195)</f>
        <v/>
      </c>
      <c r="J195" s="4">
        <f>SUMIFS(df_blueme_sem_parcelamento!E:E,df_blueme_sem_parcelamento!H:H,Conciliacao!A195)*(-1)</f>
        <v/>
      </c>
      <c r="K195" s="4">
        <f>SUMIFS(df_blueme_com_parcelamento!J:J,df_blueme_com_parcelamento!M:M,Conciliacao!A195)*(-1)</f>
        <v/>
      </c>
      <c r="L195" s="4">
        <f>SUMIFS(df_mutuos!N:N,df_mutuos!B:B,Conciliacao!A195)*(-1)</f>
        <v/>
      </c>
      <c r="M195" s="8">
        <f>SUMIFS(df_bloqueios_judiciais!G:G,df_bloqueios_judiciais!D:D,Conciliacao!A195,df_bloqueios_judiciais!G:G,"&lt;0")</f>
        <v/>
      </c>
      <c r="N195" s="10">
        <f>SUMIFS(df_extratos!I:I,df_extratos!F:F,Conciliacao!BE195,df_extratos!G:G,"DEBITO")+SUMIFS(df_extratos!I:I,df_extratos!F:F,Conciliacao!A195,df_extratos!G:G,"DEBITO")+SUMIFS(df_extratos!I:I,df_extratos!F:F,Conciliacao!BF195,df_extratos!G:G,"DEBITO")+SUMIFS(df_extratos!I:I,df_extratos!F:F,Conciliacao!BG195,df_extratos!G:G,"DEBITO")+SUMIFS(df_extratos!I:I,df_extratos!F:F,Conciliacao!BH195,df_extratos!G:G,"DEBITO")</f>
        <v/>
      </c>
      <c r="O195" s="11">
        <f>N195-SUM(J195:M195)</f>
        <v/>
      </c>
      <c r="P195" s="25">
        <f>SUMIFS(df_ajustes_conciliaco!D:D,df_ajustes_conciliaco!C:C,Conciliacao!A195)</f>
        <v/>
      </c>
      <c r="Q195" s="22">
        <f>O195+I195-P195</f>
        <v/>
      </c>
      <c r="BE195" s="20" t="n">
        <v>45851.5</v>
      </c>
      <c r="BF195" s="20" t="n">
        <v>45851.125</v>
      </c>
      <c r="BG195" s="20" t="n">
        <v>45851.54166666666</v>
      </c>
      <c r="BH195" s="20" t="n">
        <v>45851.625</v>
      </c>
    </row>
    <row r="196">
      <c r="A196" s="5">
        <f>A195+1</f>
        <v/>
      </c>
      <c r="B196" s="3">
        <f>-SUMIFS(df_extrato_zig!G:G,df_extrato_zig!E:E,Conciliacao!A196,df_extrato_zig!D:D,"Saque")-SUMIFS(df_extrato_zig!G:G,df_extrato_zig!E:E,Conciliacao!A196,df_extrato_zig!D:D,"Antecipação")</f>
        <v/>
      </c>
      <c r="C196" s="3">
        <f>SUMIFS(df_extrato_zig!E:E,df_extrato_zig!L:L,Conciliacao!A196,df_extrato_zig!F:F,"DINHEIRO")</f>
        <v/>
      </c>
      <c r="D196" s="3">
        <f>SUMIFS(view_parc_agrup!H:H,view_parc_agrup!G:G,Conciliacao!A196)</f>
        <v/>
      </c>
      <c r="E196" s="3">
        <f>SUMIFS(df_eventos!F:F,df_eventos!H:H,Conciliacao!A196)</f>
        <v/>
      </c>
      <c r="F196" s="3">
        <f>SUMIFS(df_mutuos!M:M,df_mutuos!B:B,Conciliacao!A196)</f>
        <v/>
      </c>
      <c r="G196" s="6">
        <f>SUMIFS(df_bloqueios_judiciais!G:G,df_bloqueios_judiciais!D:D,Conciliacao!A196,df_bloqueios_judiciais!G:G,"&gt;0")</f>
        <v/>
      </c>
      <c r="H196" s="7">
        <f>SUMIFS(df_extratos!I:I,df_extratos!F:F,Conciliacao!BE196,df_extratos!G:G,"CREDITO")+SUMIFS(df_extratos!I:I,df_extratos!F:F,Conciliacao!A196,df_extratos!G:G,"CREDITO")+SUMIFS(df_extratos!I:I,df_extratos!F:F,Conciliacao!BF196,df_extratos!G:G,"CREDITO")+SUMIFS(df_extratos!I:I,df_extratos!F:F,Conciliacao!BG196,df_extratos!G:G,"CREDITO")+SUMIFS(df_extratos!I:I,df_extratos!F:F,Conciliacao!BH196,df_extratos!G:G,"CREDITO")</f>
        <v/>
      </c>
      <c r="I196" s="9">
        <f>H196-SUM(B196:G196)</f>
        <v/>
      </c>
      <c r="J196" s="4">
        <f>SUMIFS(df_blueme_sem_parcelamento!E:E,df_blueme_sem_parcelamento!H:H,Conciliacao!A196)*(-1)</f>
        <v/>
      </c>
      <c r="K196" s="4">
        <f>SUMIFS(df_blueme_com_parcelamento!J:J,df_blueme_com_parcelamento!M:M,Conciliacao!A196)*(-1)</f>
        <v/>
      </c>
      <c r="L196" s="4">
        <f>SUMIFS(df_mutuos!N:N,df_mutuos!B:B,Conciliacao!A196)*(-1)</f>
        <v/>
      </c>
      <c r="M196" s="8">
        <f>SUMIFS(df_bloqueios_judiciais!G:G,df_bloqueios_judiciais!D:D,Conciliacao!A196,df_bloqueios_judiciais!G:G,"&lt;0")</f>
        <v/>
      </c>
      <c r="N196" s="10">
        <f>SUMIFS(df_extratos!I:I,df_extratos!F:F,Conciliacao!BE196,df_extratos!G:G,"DEBITO")+SUMIFS(df_extratos!I:I,df_extratos!F:F,Conciliacao!A196,df_extratos!G:G,"DEBITO")+SUMIFS(df_extratos!I:I,df_extratos!F:F,Conciliacao!BF196,df_extratos!G:G,"DEBITO")+SUMIFS(df_extratos!I:I,df_extratos!F:F,Conciliacao!BG196,df_extratos!G:G,"DEBITO")+SUMIFS(df_extratos!I:I,df_extratos!F:F,Conciliacao!BH196,df_extratos!G:G,"DEBITO")</f>
        <v/>
      </c>
      <c r="O196" s="11">
        <f>N196-SUM(J196:M196)</f>
        <v/>
      </c>
      <c r="P196" s="25">
        <f>SUMIFS(df_ajustes_conciliaco!D:D,df_ajustes_conciliaco!C:C,Conciliacao!A196)</f>
        <v/>
      </c>
      <c r="Q196" s="22">
        <f>O196+I196-P196</f>
        <v/>
      </c>
      <c r="BE196" s="20" t="n">
        <v>45852.5</v>
      </c>
      <c r="BF196" s="20" t="n">
        <v>45852.125</v>
      </c>
      <c r="BG196" s="20" t="n">
        <v>45852.54166666666</v>
      </c>
      <c r="BH196" s="20" t="n">
        <v>45852.625</v>
      </c>
    </row>
    <row r="197">
      <c r="A197" s="5">
        <f>A196+1</f>
        <v/>
      </c>
      <c r="B197" s="3">
        <f>-SUMIFS(df_extrato_zig!G:G,df_extrato_zig!E:E,Conciliacao!A197,df_extrato_zig!D:D,"Saque")-SUMIFS(df_extrato_zig!G:G,df_extrato_zig!E:E,Conciliacao!A197,df_extrato_zig!D:D,"Antecipação")</f>
        <v/>
      </c>
      <c r="C197" s="3">
        <f>SUMIFS(df_extrato_zig!E:E,df_extrato_zig!L:L,Conciliacao!A197,df_extrato_zig!F:F,"DINHEIRO")</f>
        <v/>
      </c>
      <c r="D197" s="3">
        <f>SUMIFS(view_parc_agrup!H:H,view_parc_agrup!G:G,Conciliacao!A197)</f>
        <v/>
      </c>
      <c r="E197" s="3">
        <f>SUMIFS(df_eventos!F:F,df_eventos!H:H,Conciliacao!A197)</f>
        <v/>
      </c>
      <c r="F197" s="3">
        <f>SUMIFS(df_mutuos!M:M,df_mutuos!B:B,Conciliacao!A197)</f>
        <v/>
      </c>
      <c r="G197" s="6">
        <f>SUMIFS(df_bloqueios_judiciais!G:G,df_bloqueios_judiciais!D:D,Conciliacao!A197,df_bloqueios_judiciais!G:G,"&gt;0")</f>
        <v/>
      </c>
      <c r="H197" s="7">
        <f>SUMIFS(df_extratos!I:I,df_extratos!F:F,Conciliacao!BE197,df_extratos!G:G,"CREDITO")+SUMIFS(df_extratos!I:I,df_extratos!F:F,Conciliacao!A197,df_extratos!G:G,"CREDITO")+SUMIFS(df_extratos!I:I,df_extratos!F:F,Conciliacao!BF197,df_extratos!G:G,"CREDITO")+SUMIFS(df_extratos!I:I,df_extratos!F:F,Conciliacao!BG197,df_extratos!G:G,"CREDITO")+SUMIFS(df_extratos!I:I,df_extratos!F:F,Conciliacao!BH197,df_extratos!G:G,"CREDITO")</f>
        <v/>
      </c>
      <c r="I197" s="9">
        <f>H197-SUM(B197:G197)</f>
        <v/>
      </c>
      <c r="J197" s="4">
        <f>SUMIFS(df_blueme_sem_parcelamento!E:E,df_blueme_sem_parcelamento!H:H,Conciliacao!A197)*(-1)</f>
        <v/>
      </c>
      <c r="K197" s="4">
        <f>SUMIFS(df_blueme_com_parcelamento!J:J,df_blueme_com_parcelamento!M:M,Conciliacao!A197)*(-1)</f>
        <v/>
      </c>
      <c r="L197" s="4">
        <f>SUMIFS(df_mutuos!N:N,df_mutuos!B:B,Conciliacao!A197)*(-1)</f>
        <v/>
      </c>
      <c r="M197" s="8">
        <f>SUMIFS(df_bloqueios_judiciais!G:G,df_bloqueios_judiciais!D:D,Conciliacao!A197,df_bloqueios_judiciais!G:G,"&lt;0")</f>
        <v/>
      </c>
      <c r="N197" s="10">
        <f>SUMIFS(df_extratos!I:I,df_extratos!F:F,Conciliacao!BE197,df_extratos!G:G,"DEBITO")+SUMIFS(df_extratos!I:I,df_extratos!F:F,Conciliacao!A197,df_extratos!G:G,"DEBITO")+SUMIFS(df_extratos!I:I,df_extratos!F:F,Conciliacao!BF197,df_extratos!G:G,"DEBITO")+SUMIFS(df_extratos!I:I,df_extratos!F:F,Conciliacao!BG197,df_extratos!G:G,"DEBITO")+SUMIFS(df_extratos!I:I,df_extratos!F:F,Conciliacao!BH197,df_extratos!G:G,"DEBITO")</f>
        <v/>
      </c>
      <c r="O197" s="11">
        <f>N197-SUM(J197:M197)</f>
        <v/>
      </c>
      <c r="P197" s="25">
        <f>SUMIFS(df_ajustes_conciliaco!D:D,df_ajustes_conciliaco!C:C,Conciliacao!A197)</f>
        <v/>
      </c>
      <c r="Q197" s="22">
        <f>O197+I197-P197</f>
        <v/>
      </c>
      <c r="BE197" s="20" t="n">
        <v>45853.5</v>
      </c>
      <c r="BF197" s="20" t="n">
        <v>45853.125</v>
      </c>
      <c r="BG197" s="20" t="n">
        <v>45853.54166666666</v>
      </c>
      <c r="BH197" s="20" t="n">
        <v>45853.625</v>
      </c>
    </row>
    <row r="198">
      <c r="A198" s="5">
        <f>A197+1</f>
        <v/>
      </c>
      <c r="B198" s="3">
        <f>-SUMIFS(df_extrato_zig!G:G,df_extrato_zig!E:E,Conciliacao!A198,df_extrato_zig!D:D,"Saque")-SUMIFS(df_extrato_zig!G:G,df_extrato_zig!E:E,Conciliacao!A198,df_extrato_zig!D:D,"Antecipação")</f>
        <v/>
      </c>
      <c r="C198" s="3">
        <f>SUMIFS(df_extrato_zig!E:E,df_extrato_zig!L:L,Conciliacao!A198,df_extrato_zig!F:F,"DINHEIRO")</f>
        <v/>
      </c>
      <c r="D198" s="3">
        <f>SUMIFS(view_parc_agrup!H:H,view_parc_agrup!G:G,Conciliacao!A198)</f>
        <v/>
      </c>
      <c r="E198" s="3">
        <f>SUMIFS(df_eventos!F:F,df_eventos!H:H,Conciliacao!A198)</f>
        <v/>
      </c>
      <c r="F198" s="3">
        <f>SUMIFS(df_mutuos!M:M,df_mutuos!B:B,Conciliacao!A198)</f>
        <v/>
      </c>
      <c r="G198" s="6">
        <f>SUMIFS(df_bloqueios_judiciais!G:G,df_bloqueios_judiciais!D:D,Conciliacao!A198,df_bloqueios_judiciais!G:G,"&gt;0")</f>
        <v/>
      </c>
      <c r="H198" s="7">
        <f>SUMIFS(df_extratos!I:I,df_extratos!F:F,Conciliacao!BE198,df_extratos!G:G,"CREDITO")+SUMIFS(df_extratos!I:I,df_extratos!F:F,Conciliacao!A198,df_extratos!G:G,"CREDITO")+SUMIFS(df_extratos!I:I,df_extratos!F:F,Conciliacao!BF198,df_extratos!G:G,"CREDITO")+SUMIFS(df_extratos!I:I,df_extratos!F:F,Conciliacao!BG198,df_extratos!G:G,"CREDITO")+SUMIFS(df_extratos!I:I,df_extratos!F:F,Conciliacao!BH198,df_extratos!G:G,"CREDITO")</f>
        <v/>
      </c>
      <c r="I198" s="9">
        <f>H198-SUM(B198:G198)</f>
        <v/>
      </c>
      <c r="J198" s="4">
        <f>SUMIFS(df_blueme_sem_parcelamento!E:E,df_blueme_sem_parcelamento!H:H,Conciliacao!A198)*(-1)</f>
        <v/>
      </c>
      <c r="K198" s="4">
        <f>SUMIFS(df_blueme_com_parcelamento!J:J,df_blueme_com_parcelamento!M:M,Conciliacao!A198)*(-1)</f>
        <v/>
      </c>
      <c r="L198" s="4">
        <f>SUMIFS(df_mutuos!N:N,df_mutuos!B:B,Conciliacao!A198)*(-1)</f>
        <v/>
      </c>
      <c r="M198" s="8">
        <f>SUMIFS(df_bloqueios_judiciais!G:G,df_bloqueios_judiciais!D:D,Conciliacao!A198,df_bloqueios_judiciais!G:G,"&lt;0")</f>
        <v/>
      </c>
      <c r="N198" s="10">
        <f>SUMIFS(df_extratos!I:I,df_extratos!F:F,Conciliacao!BE198,df_extratos!G:G,"DEBITO")+SUMIFS(df_extratos!I:I,df_extratos!F:F,Conciliacao!A198,df_extratos!G:G,"DEBITO")+SUMIFS(df_extratos!I:I,df_extratos!F:F,Conciliacao!BF198,df_extratos!G:G,"DEBITO")+SUMIFS(df_extratos!I:I,df_extratos!F:F,Conciliacao!BG198,df_extratos!G:G,"DEBITO")+SUMIFS(df_extratos!I:I,df_extratos!F:F,Conciliacao!BH198,df_extratos!G:G,"DEBITO")</f>
        <v/>
      </c>
      <c r="O198" s="11">
        <f>N198-SUM(J198:M198)</f>
        <v/>
      </c>
      <c r="P198" s="25">
        <f>SUMIFS(df_ajustes_conciliaco!D:D,df_ajustes_conciliaco!C:C,Conciliacao!A198)</f>
        <v/>
      </c>
      <c r="Q198" s="22">
        <f>O198+I198-P198</f>
        <v/>
      </c>
      <c r="BE198" s="20" t="n">
        <v>45854.5</v>
      </c>
      <c r="BF198" s="20" t="n">
        <v>45854.125</v>
      </c>
      <c r="BG198" s="20" t="n">
        <v>45854.54166666666</v>
      </c>
      <c r="BH198" s="20" t="n">
        <v>45854.625</v>
      </c>
    </row>
    <row r="199">
      <c r="A199" s="5">
        <f>A198+1</f>
        <v/>
      </c>
      <c r="B199" s="3">
        <f>-SUMIFS(df_extrato_zig!G:G,df_extrato_zig!E:E,Conciliacao!A199,df_extrato_zig!D:D,"Saque")-SUMIFS(df_extrato_zig!G:G,df_extrato_zig!E:E,Conciliacao!A199,df_extrato_zig!D:D,"Antecipação")</f>
        <v/>
      </c>
      <c r="C199" s="3">
        <f>SUMIFS(df_extrato_zig!E:E,df_extrato_zig!L:L,Conciliacao!A199,df_extrato_zig!F:F,"DINHEIRO")</f>
        <v/>
      </c>
      <c r="D199" s="3">
        <f>SUMIFS(view_parc_agrup!H:H,view_parc_agrup!G:G,Conciliacao!A199)</f>
        <v/>
      </c>
      <c r="E199" s="3">
        <f>SUMIFS(df_eventos!F:F,df_eventos!H:H,Conciliacao!A199)</f>
        <v/>
      </c>
      <c r="F199" s="3">
        <f>SUMIFS(df_mutuos!M:M,df_mutuos!B:B,Conciliacao!A199)</f>
        <v/>
      </c>
      <c r="G199" s="6">
        <f>SUMIFS(df_bloqueios_judiciais!G:G,df_bloqueios_judiciais!D:D,Conciliacao!A199,df_bloqueios_judiciais!G:G,"&gt;0")</f>
        <v/>
      </c>
      <c r="H199" s="7">
        <f>SUMIFS(df_extratos!I:I,df_extratos!F:F,Conciliacao!BE199,df_extratos!G:G,"CREDITO")+SUMIFS(df_extratos!I:I,df_extratos!F:F,Conciliacao!A199,df_extratos!G:G,"CREDITO")+SUMIFS(df_extratos!I:I,df_extratos!F:F,Conciliacao!BF199,df_extratos!G:G,"CREDITO")+SUMIFS(df_extratos!I:I,df_extratos!F:F,Conciliacao!BG199,df_extratos!G:G,"CREDITO")+SUMIFS(df_extratos!I:I,df_extratos!F:F,Conciliacao!BH199,df_extratos!G:G,"CREDITO")</f>
        <v/>
      </c>
      <c r="I199" s="9">
        <f>H199-SUM(B199:G199)</f>
        <v/>
      </c>
      <c r="J199" s="4">
        <f>SUMIFS(df_blueme_sem_parcelamento!E:E,df_blueme_sem_parcelamento!H:H,Conciliacao!A199)*(-1)</f>
        <v/>
      </c>
      <c r="K199" s="4">
        <f>SUMIFS(df_blueme_com_parcelamento!J:J,df_blueme_com_parcelamento!M:M,Conciliacao!A199)*(-1)</f>
        <v/>
      </c>
      <c r="L199" s="4">
        <f>SUMIFS(df_mutuos!N:N,df_mutuos!B:B,Conciliacao!A199)*(-1)</f>
        <v/>
      </c>
      <c r="M199" s="8">
        <f>SUMIFS(df_bloqueios_judiciais!G:G,df_bloqueios_judiciais!D:D,Conciliacao!A199,df_bloqueios_judiciais!G:G,"&lt;0")</f>
        <v/>
      </c>
      <c r="N199" s="10">
        <f>SUMIFS(df_extratos!I:I,df_extratos!F:F,Conciliacao!BE199,df_extratos!G:G,"DEBITO")+SUMIFS(df_extratos!I:I,df_extratos!F:F,Conciliacao!A199,df_extratos!G:G,"DEBITO")+SUMIFS(df_extratos!I:I,df_extratos!F:F,Conciliacao!BF199,df_extratos!G:G,"DEBITO")+SUMIFS(df_extratos!I:I,df_extratos!F:F,Conciliacao!BG199,df_extratos!G:G,"DEBITO")+SUMIFS(df_extratos!I:I,df_extratos!F:F,Conciliacao!BH199,df_extratos!G:G,"DEBITO")</f>
        <v/>
      </c>
      <c r="O199" s="11">
        <f>N199-SUM(J199:M199)</f>
        <v/>
      </c>
      <c r="P199" s="25">
        <f>SUMIFS(df_ajustes_conciliaco!D:D,df_ajustes_conciliaco!C:C,Conciliacao!A199)</f>
        <v/>
      </c>
      <c r="Q199" s="22">
        <f>O199+I199-P199</f>
        <v/>
      </c>
      <c r="BE199" s="20" t="n">
        <v>45855.5</v>
      </c>
      <c r="BF199" s="20" t="n">
        <v>45855.125</v>
      </c>
      <c r="BG199" s="20" t="n">
        <v>45855.54166666666</v>
      </c>
      <c r="BH199" s="20" t="n">
        <v>45855.625</v>
      </c>
    </row>
    <row r="200">
      <c r="A200" s="5">
        <f>A199+1</f>
        <v/>
      </c>
      <c r="B200" s="3">
        <f>-SUMIFS(df_extrato_zig!G:G,df_extrato_zig!E:E,Conciliacao!A200,df_extrato_zig!D:D,"Saque")-SUMIFS(df_extrato_zig!G:G,df_extrato_zig!E:E,Conciliacao!A200,df_extrato_zig!D:D,"Antecipação")</f>
        <v/>
      </c>
      <c r="C200" s="3">
        <f>SUMIFS(df_extrato_zig!E:E,df_extrato_zig!L:L,Conciliacao!A200,df_extrato_zig!F:F,"DINHEIRO")</f>
        <v/>
      </c>
      <c r="D200" s="3">
        <f>SUMIFS(view_parc_agrup!H:H,view_parc_agrup!G:G,Conciliacao!A200)</f>
        <v/>
      </c>
      <c r="E200" s="3">
        <f>SUMIFS(df_eventos!F:F,df_eventos!H:H,Conciliacao!A200)</f>
        <v/>
      </c>
      <c r="F200" s="3">
        <f>SUMIFS(df_mutuos!M:M,df_mutuos!B:B,Conciliacao!A200)</f>
        <v/>
      </c>
      <c r="G200" s="6">
        <f>SUMIFS(df_bloqueios_judiciais!G:G,df_bloqueios_judiciais!D:D,Conciliacao!A200,df_bloqueios_judiciais!G:G,"&gt;0")</f>
        <v/>
      </c>
      <c r="H200" s="7">
        <f>SUMIFS(df_extratos!I:I,df_extratos!F:F,Conciliacao!BE200,df_extratos!G:G,"CREDITO")+SUMIFS(df_extratos!I:I,df_extratos!F:F,Conciliacao!A200,df_extratos!G:G,"CREDITO")+SUMIFS(df_extratos!I:I,df_extratos!F:F,Conciliacao!BF200,df_extratos!G:G,"CREDITO")+SUMIFS(df_extratos!I:I,df_extratos!F:F,Conciliacao!BG200,df_extratos!G:G,"CREDITO")+SUMIFS(df_extratos!I:I,df_extratos!F:F,Conciliacao!BH200,df_extratos!G:G,"CREDITO")</f>
        <v/>
      </c>
      <c r="I200" s="9">
        <f>H200-SUM(B200:G200)</f>
        <v/>
      </c>
      <c r="J200" s="4">
        <f>SUMIFS(df_blueme_sem_parcelamento!E:E,df_blueme_sem_parcelamento!H:H,Conciliacao!A200)*(-1)</f>
        <v/>
      </c>
      <c r="K200" s="4">
        <f>SUMIFS(df_blueme_com_parcelamento!J:J,df_blueme_com_parcelamento!M:M,Conciliacao!A200)*(-1)</f>
        <v/>
      </c>
      <c r="L200" s="4">
        <f>SUMIFS(df_mutuos!N:N,df_mutuos!B:B,Conciliacao!A200)*(-1)</f>
        <v/>
      </c>
      <c r="M200" s="8">
        <f>SUMIFS(df_bloqueios_judiciais!G:G,df_bloqueios_judiciais!D:D,Conciliacao!A200,df_bloqueios_judiciais!G:G,"&lt;0")</f>
        <v/>
      </c>
      <c r="N200" s="10">
        <f>SUMIFS(df_extratos!I:I,df_extratos!F:F,Conciliacao!BE200,df_extratos!G:G,"DEBITO")+SUMIFS(df_extratos!I:I,df_extratos!F:F,Conciliacao!A200,df_extratos!G:G,"DEBITO")+SUMIFS(df_extratos!I:I,df_extratos!F:F,Conciliacao!BF200,df_extratos!G:G,"DEBITO")+SUMIFS(df_extratos!I:I,df_extratos!F:F,Conciliacao!BG200,df_extratos!G:G,"DEBITO")+SUMIFS(df_extratos!I:I,df_extratos!F:F,Conciliacao!BH200,df_extratos!G:G,"DEBITO")</f>
        <v/>
      </c>
      <c r="O200" s="11">
        <f>N200-SUM(J200:M200)</f>
        <v/>
      </c>
      <c r="P200" s="25">
        <f>SUMIFS(df_ajustes_conciliaco!D:D,df_ajustes_conciliaco!C:C,Conciliacao!A200)</f>
        <v/>
      </c>
      <c r="Q200" s="22">
        <f>O200+I200-P200</f>
        <v/>
      </c>
      <c r="BE200" s="20" t="n">
        <v>45856.5</v>
      </c>
      <c r="BF200" s="20" t="n">
        <v>45856.125</v>
      </c>
      <c r="BG200" s="20" t="n">
        <v>45856.54166666666</v>
      </c>
      <c r="BH200" s="20" t="n">
        <v>45856.625</v>
      </c>
    </row>
    <row r="201">
      <c r="A201" s="5">
        <f>A200+1</f>
        <v/>
      </c>
      <c r="B201" s="3">
        <f>-SUMIFS(df_extrato_zig!G:G,df_extrato_zig!E:E,Conciliacao!A201,df_extrato_zig!D:D,"Saque")-SUMIFS(df_extrato_zig!G:G,df_extrato_zig!E:E,Conciliacao!A201,df_extrato_zig!D:D,"Antecipação")</f>
        <v/>
      </c>
      <c r="C201" s="3">
        <f>SUMIFS(df_extrato_zig!E:E,df_extrato_zig!L:L,Conciliacao!A201,df_extrato_zig!F:F,"DINHEIRO")</f>
        <v/>
      </c>
      <c r="D201" s="3">
        <f>SUMIFS(view_parc_agrup!H:H,view_parc_agrup!G:G,Conciliacao!A201)</f>
        <v/>
      </c>
      <c r="E201" s="3">
        <f>SUMIFS(df_eventos!F:F,df_eventos!H:H,Conciliacao!A201)</f>
        <v/>
      </c>
      <c r="F201" s="3">
        <f>SUMIFS(df_mutuos!M:M,df_mutuos!B:B,Conciliacao!A201)</f>
        <v/>
      </c>
      <c r="G201" s="6">
        <f>SUMIFS(df_bloqueios_judiciais!G:G,df_bloqueios_judiciais!D:D,Conciliacao!A201,df_bloqueios_judiciais!G:G,"&gt;0")</f>
        <v/>
      </c>
      <c r="H201" s="7">
        <f>SUMIFS(df_extratos!I:I,df_extratos!F:F,Conciliacao!BE201,df_extratos!G:G,"CREDITO")+SUMIFS(df_extratos!I:I,df_extratos!F:F,Conciliacao!A201,df_extratos!G:G,"CREDITO")+SUMIFS(df_extratos!I:I,df_extratos!F:F,Conciliacao!BF201,df_extratos!G:G,"CREDITO")+SUMIFS(df_extratos!I:I,df_extratos!F:F,Conciliacao!BG201,df_extratos!G:G,"CREDITO")+SUMIFS(df_extratos!I:I,df_extratos!F:F,Conciliacao!BH201,df_extratos!G:G,"CREDITO")</f>
        <v/>
      </c>
      <c r="I201" s="9">
        <f>H201-SUM(B201:G201)</f>
        <v/>
      </c>
      <c r="J201" s="4">
        <f>SUMIFS(df_blueme_sem_parcelamento!E:E,df_blueme_sem_parcelamento!H:H,Conciliacao!A201)*(-1)</f>
        <v/>
      </c>
      <c r="K201" s="4">
        <f>SUMIFS(df_blueme_com_parcelamento!J:J,df_blueme_com_parcelamento!M:M,Conciliacao!A201)*(-1)</f>
        <v/>
      </c>
      <c r="L201" s="4">
        <f>SUMIFS(df_mutuos!N:N,df_mutuos!B:B,Conciliacao!A201)*(-1)</f>
        <v/>
      </c>
      <c r="M201" s="8">
        <f>SUMIFS(df_bloqueios_judiciais!G:G,df_bloqueios_judiciais!D:D,Conciliacao!A201,df_bloqueios_judiciais!G:G,"&lt;0")</f>
        <v/>
      </c>
      <c r="N201" s="10">
        <f>SUMIFS(df_extratos!I:I,df_extratos!F:F,Conciliacao!BE201,df_extratos!G:G,"DEBITO")+SUMIFS(df_extratos!I:I,df_extratos!F:F,Conciliacao!A201,df_extratos!G:G,"DEBITO")+SUMIFS(df_extratos!I:I,df_extratos!F:F,Conciliacao!BF201,df_extratos!G:G,"DEBITO")+SUMIFS(df_extratos!I:I,df_extratos!F:F,Conciliacao!BG201,df_extratos!G:G,"DEBITO")+SUMIFS(df_extratos!I:I,df_extratos!F:F,Conciliacao!BH201,df_extratos!G:G,"DEBITO")</f>
        <v/>
      </c>
      <c r="O201" s="11">
        <f>N201-SUM(J201:M201)</f>
        <v/>
      </c>
      <c r="P201" s="25">
        <f>SUMIFS(df_ajustes_conciliaco!D:D,df_ajustes_conciliaco!C:C,Conciliacao!A201)</f>
        <v/>
      </c>
      <c r="Q201" s="22">
        <f>O201+I201-P201</f>
        <v/>
      </c>
      <c r="BE201" s="20" t="n">
        <v>45857.5</v>
      </c>
      <c r="BF201" s="20" t="n">
        <v>45857.125</v>
      </c>
      <c r="BG201" s="20" t="n">
        <v>45857.54166666666</v>
      </c>
      <c r="BH201" s="20" t="n">
        <v>45857.625</v>
      </c>
    </row>
    <row r="202">
      <c r="A202" s="5">
        <f>A201+1</f>
        <v/>
      </c>
      <c r="B202" s="3">
        <f>-SUMIFS(df_extrato_zig!G:G,df_extrato_zig!E:E,Conciliacao!A202,df_extrato_zig!D:D,"Saque")-SUMIFS(df_extrato_zig!G:G,df_extrato_zig!E:E,Conciliacao!A202,df_extrato_zig!D:D,"Antecipação")</f>
        <v/>
      </c>
      <c r="C202" s="3">
        <f>SUMIFS(df_extrato_zig!E:E,df_extrato_zig!L:L,Conciliacao!A202,df_extrato_zig!F:F,"DINHEIRO")</f>
        <v/>
      </c>
      <c r="D202" s="3">
        <f>SUMIFS(view_parc_agrup!H:H,view_parc_agrup!G:G,Conciliacao!A202)</f>
        <v/>
      </c>
      <c r="E202" s="3">
        <f>SUMIFS(df_eventos!F:F,df_eventos!H:H,Conciliacao!A202)</f>
        <v/>
      </c>
      <c r="F202" s="3">
        <f>SUMIFS(df_mutuos!M:M,df_mutuos!B:B,Conciliacao!A202)</f>
        <v/>
      </c>
      <c r="G202" s="6">
        <f>SUMIFS(df_bloqueios_judiciais!G:G,df_bloqueios_judiciais!D:D,Conciliacao!A202,df_bloqueios_judiciais!G:G,"&gt;0")</f>
        <v/>
      </c>
      <c r="H202" s="7">
        <f>SUMIFS(df_extratos!I:I,df_extratos!F:F,Conciliacao!BE202,df_extratos!G:G,"CREDITO")+SUMIFS(df_extratos!I:I,df_extratos!F:F,Conciliacao!A202,df_extratos!G:G,"CREDITO")+SUMIFS(df_extratos!I:I,df_extratos!F:F,Conciliacao!BF202,df_extratos!G:G,"CREDITO")+SUMIFS(df_extratos!I:I,df_extratos!F:F,Conciliacao!BG202,df_extratos!G:G,"CREDITO")+SUMIFS(df_extratos!I:I,df_extratos!F:F,Conciliacao!BH202,df_extratos!G:G,"CREDITO")</f>
        <v/>
      </c>
      <c r="I202" s="9">
        <f>H202-SUM(B202:G202)</f>
        <v/>
      </c>
      <c r="J202" s="4">
        <f>SUMIFS(df_blueme_sem_parcelamento!E:E,df_blueme_sem_parcelamento!H:H,Conciliacao!A202)*(-1)</f>
        <v/>
      </c>
      <c r="K202" s="4">
        <f>SUMIFS(df_blueme_com_parcelamento!J:J,df_blueme_com_parcelamento!M:M,Conciliacao!A202)*(-1)</f>
        <v/>
      </c>
      <c r="L202" s="4">
        <f>SUMIFS(df_mutuos!N:N,df_mutuos!B:B,Conciliacao!A202)*(-1)</f>
        <v/>
      </c>
      <c r="M202" s="8">
        <f>SUMIFS(df_bloqueios_judiciais!G:G,df_bloqueios_judiciais!D:D,Conciliacao!A202,df_bloqueios_judiciais!G:G,"&lt;0")</f>
        <v/>
      </c>
      <c r="N202" s="10">
        <f>SUMIFS(df_extratos!I:I,df_extratos!F:F,Conciliacao!BE202,df_extratos!G:G,"DEBITO")+SUMIFS(df_extratos!I:I,df_extratos!F:F,Conciliacao!A202,df_extratos!G:G,"DEBITO")+SUMIFS(df_extratos!I:I,df_extratos!F:F,Conciliacao!BF202,df_extratos!G:G,"DEBITO")+SUMIFS(df_extratos!I:I,df_extratos!F:F,Conciliacao!BG202,df_extratos!G:G,"DEBITO")+SUMIFS(df_extratos!I:I,df_extratos!F:F,Conciliacao!BH202,df_extratos!G:G,"DEBITO")</f>
        <v/>
      </c>
      <c r="O202" s="11">
        <f>N202-SUM(J202:M202)</f>
        <v/>
      </c>
      <c r="P202" s="25">
        <f>SUMIFS(df_ajustes_conciliaco!D:D,df_ajustes_conciliaco!C:C,Conciliacao!A202)</f>
        <v/>
      </c>
      <c r="Q202" s="22">
        <f>O202+I202-P202</f>
        <v/>
      </c>
      <c r="BE202" s="20" t="n">
        <v>45858.5</v>
      </c>
      <c r="BF202" s="20" t="n">
        <v>45858.125</v>
      </c>
      <c r="BG202" s="20" t="n">
        <v>45858.54166666666</v>
      </c>
      <c r="BH202" s="20" t="n">
        <v>45858.625</v>
      </c>
    </row>
    <row r="203">
      <c r="A203" s="5">
        <f>A202+1</f>
        <v/>
      </c>
      <c r="B203" s="3">
        <f>-SUMIFS(df_extrato_zig!G:G,df_extrato_zig!E:E,Conciliacao!A203,df_extrato_zig!D:D,"Saque")-SUMIFS(df_extrato_zig!G:G,df_extrato_zig!E:E,Conciliacao!A203,df_extrato_zig!D:D,"Antecipação")</f>
        <v/>
      </c>
      <c r="C203" s="3">
        <f>SUMIFS(df_extrato_zig!E:E,df_extrato_zig!L:L,Conciliacao!A203,df_extrato_zig!F:F,"DINHEIRO")</f>
        <v/>
      </c>
      <c r="D203" s="3">
        <f>SUMIFS(view_parc_agrup!H:H,view_parc_agrup!G:G,Conciliacao!A203)</f>
        <v/>
      </c>
      <c r="E203" s="3">
        <f>SUMIFS(df_eventos!F:F,df_eventos!H:H,Conciliacao!A203)</f>
        <v/>
      </c>
      <c r="F203" s="3">
        <f>SUMIFS(df_mutuos!M:M,df_mutuos!B:B,Conciliacao!A203)</f>
        <v/>
      </c>
      <c r="G203" s="6">
        <f>SUMIFS(df_bloqueios_judiciais!G:G,df_bloqueios_judiciais!D:D,Conciliacao!A203,df_bloqueios_judiciais!G:G,"&gt;0")</f>
        <v/>
      </c>
      <c r="H203" s="7">
        <f>SUMIFS(df_extratos!I:I,df_extratos!F:F,Conciliacao!BE203,df_extratos!G:G,"CREDITO")+SUMIFS(df_extratos!I:I,df_extratos!F:F,Conciliacao!A203,df_extratos!G:G,"CREDITO")+SUMIFS(df_extratos!I:I,df_extratos!F:F,Conciliacao!BF203,df_extratos!G:G,"CREDITO")+SUMIFS(df_extratos!I:I,df_extratos!F:F,Conciliacao!BG203,df_extratos!G:G,"CREDITO")+SUMIFS(df_extratos!I:I,df_extratos!F:F,Conciliacao!BH203,df_extratos!G:G,"CREDITO")</f>
        <v/>
      </c>
      <c r="I203" s="9">
        <f>H203-SUM(B203:G203)</f>
        <v/>
      </c>
      <c r="J203" s="4">
        <f>SUMIFS(df_blueme_sem_parcelamento!E:E,df_blueme_sem_parcelamento!H:H,Conciliacao!A203)*(-1)</f>
        <v/>
      </c>
      <c r="K203" s="4">
        <f>SUMIFS(df_blueme_com_parcelamento!J:J,df_blueme_com_parcelamento!M:M,Conciliacao!A203)*(-1)</f>
        <v/>
      </c>
      <c r="L203" s="4">
        <f>SUMIFS(df_mutuos!N:N,df_mutuos!B:B,Conciliacao!A203)*(-1)</f>
        <v/>
      </c>
      <c r="M203" s="8">
        <f>SUMIFS(df_bloqueios_judiciais!G:G,df_bloqueios_judiciais!D:D,Conciliacao!A203,df_bloqueios_judiciais!G:G,"&lt;0")</f>
        <v/>
      </c>
      <c r="N203" s="10">
        <f>SUMIFS(df_extratos!I:I,df_extratos!F:F,Conciliacao!BE203,df_extratos!G:G,"DEBITO")+SUMIFS(df_extratos!I:I,df_extratos!F:F,Conciliacao!A203,df_extratos!G:G,"DEBITO")+SUMIFS(df_extratos!I:I,df_extratos!F:F,Conciliacao!BF203,df_extratos!G:G,"DEBITO")+SUMIFS(df_extratos!I:I,df_extratos!F:F,Conciliacao!BG203,df_extratos!G:G,"DEBITO")+SUMIFS(df_extratos!I:I,df_extratos!F:F,Conciliacao!BH203,df_extratos!G:G,"DEBITO")</f>
        <v/>
      </c>
      <c r="O203" s="11">
        <f>N203-SUM(J203:M203)</f>
        <v/>
      </c>
      <c r="P203" s="25">
        <f>SUMIFS(df_ajustes_conciliaco!D:D,df_ajustes_conciliaco!C:C,Conciliacao!A203)</f>
        <v/>
      </c>
      <c r="Q203" s="22">
        <f>O203+I203-P203</f>
        <v/>
      </c>
      <c r="BE203" s="20" t="n">
        <v>45859.5</v>
      </c>
      <c r="BF203" s="20" t="n">
        <v>45859.125</v>
      </c>
      <c r="BG203" s="20" t="n">
        <v>45859.54166666666</v>
      </c>
      <c r="BH203" s="20" t="n">
        <v>45859.625</v>
      </c>
    </row>
    <row r="204">
      <c r="A204" s="5">
        <f>A203+1</f>
        <v/>
      </c>
      <c r="B204" s="3">
        <f>-SUMIFS(df_extrato_zig!G:G,df_extrato_zig!E:E,Conciliacao!A204,df_extrato_zig!D:D,"Saque")-SUMIFS(df_extrato_zig!G:G,df_extrato_zig!E:E,Conciliacao!A204,df_extrato_zig!D:D,"Antecipação")</f>
        <v/>
      </c>
      <c r="C204" s="3">
        <f>SUMIFS(df_extrato_zig!E:E,df_extrato_zig!L:L,Conciliacao!A204,df_extrato_zig!F:F,"DINHEIRO")</f>
        <v/>
      </c>
      <c r="D204" s="3">
        <f>SUMIFS(view_parc_agrup!H:H,view_parc_agrup!G:G,Conciliacao!A204)</f>
        <v/>
      </c>
      <c r="E204" s="3">
        <f>SUMIFS(df_eventos!F:F,df_eventos!H:H,Conciliacao!A204)</f>
        <v/>
      </c>
      <c r="F204" s="3">
        <f>SUMIFS(df_mutuos!M:M,df_mutuos!B:B,Conciliacao!A204)</f>
        <v/>
      </c>
      <c r="G204" s="6">
        <f>SUMIFS(df_bloqueios_judiciais!G:G,df_bloqueios_judiciais!D:D,Conciliacao!A204,df_bloqueios_judiciais!G:G,"&gt;0")</f>
        <v/>
      </c>
      <c r="H204" s="7">
        <f>SUMIFS(df_extratos!I:I,df_extratos!F:F,Conciliacao!BE204,df_extratos!G:G,"CREDITO")+SUMIFS(df_extratos!I:I,df_extratos!F:F,Conciliacao!A204,df_extratos!G:G,"CREDITO")+SUMIFS(df_extratos!I:I,df_extratos!F:F,Conciliacao!BF204,df_extratos!G:G,"CREDITO")+SUMIFS(df_extratos!I:I,df_extratos!F:F,Conciliacao!BG204,df_extratos!G:G,"CREDITO")+SUMIFS(df_extratos!I:I,df_extratos!F:F,Conciliacao!BH204,df_extratos!G:G,"CREDITO")</f>
        <v/>
      </c>
      <c r="I204" s="9">
        <f>H204-SUM(B204:G204)</f>
        <v/>
      </c>
      <c r="J204" s="4">
        <f>SUMIFS(df_blueme_sem_parcelamento!E:E,df_blueme_sem_parcelamento!H:H,Conciliacao!A204)*(-1)</f>
        <v/>
      </c>
      <c r="K204" s="4">
        <f>SUMIFS(df_blueme_com_parcelamento!J:J,df_blueme_com_parcelamento!M:M,Conciliacao!A204)*(-1)</f>
        <v/>
      </c>
      <c r="L204" s="4">
        <f>SUMIFS(df_mutuos!N:N,df_mutuos!B:B,Conciliacao!A204)*(-1)</f>
        <v/>
      </c>
      <c r="M204" s="8">
        <f>SUMIFS(df_bloqueios_judiciais!G:G,df_bloqueios_judiciais!D:D,Conciliacao!A204,df_bloqueios_judiciais!G:G,"&lt;0")</f>
        <v/>
      </c>
      <c r="N204" s="10">
        <f>SUMIFS(df_extratos!I:I,df_extratos!F:F,Conciliacao!BE204,df_extratos!G:G,"DEBITO")+SUMIFS(df_extratos!I:I,df_extratos!F:F,Conciliacao!A204,df_extratos!G:G,"DEBITO")+SUMIFS(df_extratos!I:I,df_extratos!F:F,Conciliacao!BF204,df_extratos!G:G,"DEBITO")+SUMIFS(df_extratos!I:I,df_extratos!F:F,Conciliacao!BG204,df_extratos!G:G,"DEBITO")+SUMIFS(df_extratos!I:I,df_extratos!F:F,Conciliacao!BH204,df_extratos!G:G,"DEBITO")</f>
        <v/>
      </c>
      <c r="O204" s="11">
        <f>N204-SUM(J204:M204)</f>
        <v/>
      </c>
      <c r="P204" s="25">
        <f>SUMIFS(df_ajustes_conciliaco!D:D,df_ajustes_conciliaco!C:C,Conciliacao!A204)</f>
        <v/>
      </c>
      <c r="Q204" s="22">
        <f>O204+I204-P204</f>
        <v/>
      </c>
      <c r="BE204" s="20" t="n">
        <v>45860.5</v>
      </c>
      <c r="BF204" s="20" t="n">
        <v>45860.125</v>
      </c>
      <c r="BG204" s="20" t="n">
        <v>45860.54166666666</v>
      </c>
      <c r="BH204" s="20" t="n">
        <v>45860.625</v>
      </c>
    </row>
    <row r="205">
      <c r="A205" s="5">
        <f>A204+1</f>
        <v/>
      </c>
      <c r="B205" s="3">
        <f>-SUMIFS(df_extrato_zig!G:G,df_extrato_zig!E:E,Conciliacao!A205,df_extrato_zig!D:D,"Saque")-SUMIFS(df_extrato_zig!G:G,df_extrato_zig!E:E,Conciliacao!A205,df_extrato_zig!D:D,"Antecipação")</f>
        <v/>
      </c>
      <c r="C205" s="3">
        <f>SUMIFS(df_extrato_zig!E:E,df_extrato_zig!L:L,Conciliacao!A205,df_extrato_zig!F:F,"DINHEIRO")</f>
        <v/>
      </c>
      <c r="D205" s="3">
        <f>SUMIFS(view_parc_agrup!H:H,view_parc_agrup!G:G,Conciliacao!A205)</f>
        <v/>
      </c>
      <c r="E205" s="3">
        <f>SUMIFS(df_eventos!F:F,df_eventos!H:H,Conciliacao!A205)</f>
        <v/>
      </c>
      <c r="F205" s="3">
        <f>SUMIFS(df_mutuos!M:M,df_mutuos!B:B,Conciliacao!A205)</f>
        <v/>
      </c>
      <c r="G205" s="6">
        <f>SUMIFS(df_bloqueios_judiciais!G:G,df_bloqueios_judiciais!D:D,Conciliacao!A205,df_bloqueios_judiciais!G:G,"&gt;0")</f>
        <v/>
      </c>
      <c r="H205" s="7">
        <f>SUMIFS(df_extratos!I:I,df_extratos!F:F,Conciliacao!BE205,df_extratos!G:G,"CREDITO")+SUMIFS(df_extratos!I:I,df_extratos!F:F,Conciliacao!A205,df_extratos!G:G,"CREDITO")+SUMIFS(df_extratos!I:I,df_extratos!F:F,Conciliacao!BF205,df_extratos!G:G,"CREDITO")+SUMIFS(df_extratos!I:I,df_extratos!F:F,Conciliacao!BG205,df_extratos!G:G,"CREDITO")+SUMIFS(df_extratos!I:I,df_extratos!F:F,Conciliacao!BH205,df_extratos!G:G,"CREDITO")</f>
        <v/>
      </c>
      <c r="I205" s="9">
        <f>H205-SUM(B205:G205)</f>
        <v/>
      </c>
      <c r="J205" s="4">
        <f>SUMIFS(df_blueme_sem_parcelamento!E:E,df_blueme_sem_parcelamento!H:H,Conciliacao!A205)*(-1)</f>
        <v/>
      </c>
      <c r="K205" s="4">
        <f>SUMIFS(df_blueme_com_parcelamento!J:J,df_blueme_com_parcelamento!M:M,Conciliacao!A205)*(-1)</f>
        <v/>
      </c>
      <c r="L205" s="4">
        <f>SUMIFS(df_mutuos!N:N,df_mutuos!B:B,Conciliacao!A205)*(-1)</f>
        <v/>
      </c>
      <c r="M205" s="8">
        <f>SUMIFS(df_bloqueios_judiciais!G:G,df_bloqueios_judiciais!D:D,Conciliacao!A205,df_bloqueios_judiciais!G:G,"&lt;0")</f>
        <v/>
      </c>
      <c r="N205" s="10">
        <f>SUMIFS(df_extratos!I:I,df_extratos!F:F,Conciliacao!BE205,df_extratos!G:G,"DEBITO")+SUMIFS(df_extratos!I:I,df_extratos!F:F,Conciliacao!A205,df_extratos!G:G,"DEBITO")+SUMIFS(df_extratos!I:I,df_extratos!F:F,Conciliacao!BF205,df_extratos!G:G,"DEBITO")+SUMIFS(df_extratos!I:I,df_extratos!F:F,Conciliacao!BG205,df_extratos!G:G,"DEBITO")+SUMIFS(df_extratos!I:I,df_extratos!F:F,Conciliacao!BH205,df_extratos!G:G,"DEBITO")</f>
        <v/>
      </c>
      <c r="O205" s="11">
        <f>N205-SUM(J205:M205)</f>
        <v/>
      </c>
      <c r="P205" s="25">
        <f>SUMIFS(df_ajustes_conciliaco!D:D,df_ajustes_conciliaco!C:C,Conciliacao!A205)</f>
        <v/>
      </c>
      <c r="Q205" s="22">
        <f>O205+I205-P205</f>
        <v/>
      </c>
      <c r="BE205" s="20" t="n">
        <v>45861.5</v>
      </c>
      <c r="BF205" s="20" t="n">
        <v>45861.125</v>
      </c>
      <c r="BG205" s="20" t="n">
        <v>45861.54166666666</v>
      </c>
      <c r="BH205" s="20" t="n">
        <v>45861.625</v>
      </c>
    </row>
    <row r="206">
      <c r="A206" s="5">
        <f>A205+1</f>
        <v/>
      </c>
      <c r="B206" s="3">
        <f>-SUMIFS(df_extrato_zig!G:G,df_extrato_zig!E:E,Conciliacao!A206,df_extrato_zig!D:D,"Saque")-SUMIFS(df_extrato_zig!G:G,df_extrato_zig!E:E,Conciliacao!A206,df_extrato_zig!D:D,"Antecipação")</f>
        <v/>
      </c>
      <c r="C206" s="3">
        <f>SUMIFS(df_extrato_zig!E:E,df_extrato_zig!L:L,Conciliacao!A206,df_extrato_zig!F:F,"DINHEIRO")</f>
        <v/>
      </c>
      <c r="D206" s="3">
        <f>SUMIFS(view_parc_agrup!H:H,view_parc_agrup!G:G,Conciliacao!A206)</f>
        <v/>
      </c>
      <c r="E206" s="3">
        <f>SUMIFS(df_eventos!F:F,df_eventos!H:H,Conciliacao!A206)</f>
        <v/>
      </c>
      <c r="F206" s="3">
        <f>SUMIFS(df_mutuos!M:M,df_mutuos!B:B,Conciliacao!A206)</f>
        <v/>
      </c>
      <c r="G206" s="6">
        <f>SUMIFS(df_bloqueios_judiciais!G:G,df_bloqueios_judiciais!D:D,Conciliacao!A206,df_bloqueios_judiciais!G:G,"&gt;0")</f>
        <v/>
      </c>
      <c r="H206" s="7">
        <f>SUMIFS(df_extratos!I:I,df_extratos!F:F,Conciliacao!BE206,df_extratos!G:G,"CREDITO")+SUMIFS(df_extratos!I:I,df_extratos!F:F,Conciliacao!A206,df_extratos!G:G,"CREDITO")+SUMIFS(df_extratos!I:I,df_extratos!F:F,Conciliacao!BF206,df_extratos!G:G,"CREDITO")+SUMIFS(df_extratos!I:I,df_extratos!F:F,Conciliacao!BG206,df_extratos!G:G,"CREDITO")+SUMIFS(df_extratos!I:I,df_extratos!F:F,Conciliacao!BH206,df_extratos!G:G,"CREDITO")</f>
        <v/>
      </c>
      <c r="I206" s="9">
        <f>H206-SUM(B206:G206)</f>
        <v/>
      </c>
      <c r="J206" s="4">
        <f>SUMIFS(df_blueme_sem_parcelamento!E:E,df_blueme_sem_parcelamento!H:H,Conciliacao!A206)*(-1)</f>
        <v/>
      </c>
      <c r="K206" s="4">
        <f>SUMIFS(df_blueme_com_parcelamento!J:J,df_blueme_com_parcelamento!M:M,Conciliacao!A206)*(-1)</f>
        <v/>
      </c>
      <c r="L206" s="4">
        <f>SUMIFS(df_mutuos!N:N,df_mutuos!B:B,Conciliacao!A206)*(-1)</f>
        <v/>
      </c>
      <c r="M206" s="8">
        <f>SUMIFS(df_bloqueios_judiciais!G:G,df_bloqueios_judiciais!D:D,Conciliacao!A206,df_bloqueios_judiciais!G:G,"&lt;0")</f>
        <v/>
      </c>
      <c r="N206" s="10">
        <f>SUMIFS(df_extratos!I:I,df_extratos!F:F,Conciliacao!BE206,df_extratos!G:G,"DEBITO")+SUMIFS(df_extratos!I:I,df_extratos!F:F,Conciliacao!A206,df_extratos!G:G,"DEBITO")+SUMIFS(df_extratos!I:I,df_extratos!F:F,Conciliacao!BF206,df_extratos!G:G,"DEBITO")+SUMIFS(df_extratos!I:I,df_extratos!F:F,Conciliacao!BG206,df_extratos!G:G,"DEBITO")+SUMIFS(df_extratos!I:I,df_extratos!F:F,Conciliacao!BH206,df_extratos!G:G,"DEBITO")</f>
        <v/>
      </c>
      <c r="O206" s="11">
        <f>N206-SUM(J206:M206)</f>
        <v/>
      </c>
      <c r="P206" s="25">
        <f>SUMIFS(df_ajustes_conciliaco!D:D,df_ajustes_conciliaco!C:C,Conciliacao!A206)</f>
        <v/>
      </c>
      <c r="Q206" s="22">
        <f>O206+I206-P206</f>
        <v/>
      </c>
      <c r="BE206" s="20" t="n">
        <v>45862.5</v>
      </c>
      <c r="BF206" s="20" t="n">
        <v>45862.125</v>
      </c>
      <c r="BG206" s="20" t="n">
        <v>45862.54166666666</v>
      </c>
      <c r="BH206" s="20" t="n">
        <v>45862.625</v>
      </c>
    </row>
    <row r="207">
      <c r="A207" s="5">
        <f>A206+1</f>
        <v/>
      </c>
      <c r="B207" s="3">
        <f>-SUMIFS(df_extrato_zig!G:G,df_extrato_zig!E:E,Conciliacao!A207,df_extrato_zig!D:D,"Saque")-SUMIFS(df_extrato_zig!G:G,df_extrato_zig!E:E,Conciliacao!A207,df_extrato_zig!D:D,"Antecipação")</f>
        <v/>
      </c>
      <c r="C207" s="3">
        <f>SUMIFS(df_extrato_zig!E:E,df_extrato_zig!L:L,Conciliacao!A207,df_extrato_zig!F:F,"DINHEIRO")</f>
        <v/>
      </c>
      <c r="D207" s="3">
        <f>SUMIFS(view_parc_agrup!H:H,view_parc_agrup!G:G,Conciliacao!A207)</f>
        <v/>
      </c>
      <c r="E207" s="3">
        <f>SUMIFS(df_eventos!F:F,df_eventos!H:H,Conciliacao!A207)</f>
        <v/>
      </c>
      <c r="F207" s="3">
        <f>SUMIFS(df_mutuos!M:M,df_mutuos!B:B,Conciliacao!A207)</f>
        <v/>
      </c>
      <c r="G207" s="6">
        <f>SUMIFS(df_bloqueios_judiciais!G:G,df_bloqueios_judiciais!D:D,Conciliacao!A207,df_bloqueios_judiciais!G:G,"&gt;0")</f>
        <v/>
      </c>
      <c r="H207" s="7">
        <f>SUMIFS(df_extratos!I:I,df_extratos!F:F,Conciliacao!BE207,df_extratos!G:G,"CREDITO")+SUMIFS(df_extratos!I:I,df_extratos!F:F,Conciliacao!A207,df_extratos!G:G,"CREDITO")+SUMIFS(df_extratos!I:I,df_extratos!F:F,Conciliacao!BF207,df_extratos!G:G,"CREDITO")+SUMIFS(df_extratos!I:I,df_extratos!F:F,Conciliacao!BG207,df_extratos!G:G,"CREDITO")+SUMIFS(df_extratos!I:I,df_extratos!F:F,Conciliacao!BH207,df_extratos!G:G,"CREDITO")</f>
        <v/>
      </c>
      <c r="I207" s="9">
        <f>H207-SUM(B207:G207)</f>
        <v/>
      </c>
      <c r="J207" s="4">
        <f>SUMIFS(df_blueme_sem_parcelamento!E:E,df_blueme_sem_parcelamento!H:H,Conciliacao!A207)*(-1)</f>
        <v/>
      </c>
      <c r="K207" s="4">
        <f>SUMIFS(df_blueme_com_parcelamento!J:J,df_blueme_com_parcelamento!M:M,Conciliacao!A207)*(-1)</f>
        <v/>
      </c>
      <c r="L207" s="4">
        <f>SUMIFS(df_mutuos!N:N,df_mutuos!B:B,Conciliacao!A207)*(-1)</f>
        <v/>
      </c>
      <c r="M207" s="8">
        <f>SUMIFS(df_bloqueios_judiciais!G:G,df_bloqueios_judiciais!D:D,Conciliacao!A207,df_bloqueios_judiciais!G:G,"&lt;0")</f>
        <v/>
      </c>
      <c r="N207" s="10">
        <f>SUMIFS(df_extratos!I:I,df_extratos!F:F,Conciliacao!BE207,df_extratos!G:G,"DEBITO")+SUMIFS(df_extratos!I:I,df_extratos!F:F,Conciliacao!A207,df_extratos!G:G,"DEBITO")+SUMIFS(df_extratos!I:I,df_extratos!F:F,Conciliacao!BF207,df_extratos!G:G,"DEBITO")+SUMIFS(df_extratos!I:I,df_extratos!F:F,Conciliacao!BG207,df_extratos!G:G,"DEBITO")+SUMIFS(df_extratos!I:I,df_extratos!F:F,Conciliacao!BH207,df_extratos!G:G,"DEBITO")</f>
        <v/>
      </c>
      <c r="O207" s="11">
        <f>N207-SUM(J207:M207)</f>
        <v/>
      </c>
      <c r="P207" s="25">
        <f>SUMIFS(df_ajustes_conciliaco!D:D,df_ajustes_conciliaco!C:C,Conciliacao!A207)</f>
        <v/>
      </c>
      <c r="Q207" s="22">
        <f>O207+I207-P207</f>
        <v/>
      </c>
      <c r="BE207" s="20" t="n">
        <v>45863.5</v>
      </c>
      <c r="BF207" s="20" t="n">
        <v>45863.125</v>
      </c>
      <c r="BG207" s="20" t="n">
        <v>45863.54166666666</v>
      </c>
      <c r="BH207" s="20" t="n">
        <v>45863.625</v>
      </c>
    </row>
    <row r="208">
      <c r="A208" s="5">
        <f>A207+1</f>
        <v/>
      </c>
      <c r="B208" s="3">
        <f>-SUMIFS(df_extrato_zig!G:G,df_extrato_zig!E:E,Conciliacao!A208,df_extrato_zig!D:D,"Saque")-SUMIFS(df_extrato_zig!G:G,df_extrato_zig!E:E,Conciliacao!A208,df_extrato_zig!D:D,"Antecipação")</f>
        <v/>
      </c>
      <c r="C208" s="3">
        <f>SUMIFS(df_extrato_zig!E:E,df_extrato_zig!L:L,Conciliacao!A208,df_extrato_zig!F:F,"DINHEIRO")</f>
        <v/>
      </c>
      <c r="D208" s="3">
        <f>SUMIFS(view_parc_agrup!H:H,view_parc_agrup!G:G,Conciliacao!A208)</f>
        <v/>
      </c>
      <c r="E208" s="3">
        <f>SUMIFS(df_eventos!F:F,df_eventos!H:H,Conciliacao!A208)</f>
        <v/>
      </c>
      <c r="F208" s="3">
        <f>SUMIFS(df_mutuos!M:M,df_mutuos!B:B,Conciliacao!A208)</f>
        <v/>
      </c>
      <c r="G208" s="6">
        <f>SUMIFS(df_bloqueios_judiciais!G:G,df_bloqueios_judiciais!D:D,Conciliacao!A208,df_bloqueios_judiciais!G:G,"&gt;0")</f>
        <v/>
      </c>
      <c r="H208" s="7">
        <f>SUMIFS(df_extratos!I:I,df_extratos!F:F,Conciliacao!BE208,df_extratos!G:G,"CREDITO")+SUMIFS(df_extratos!I:I,df_extratos!F:F,Conciliacao!A208,df_extratos!G:G,"CREDITO")+SUMIFS(df_extratos!I:I,df_extratos!F:F,Conciliacao!BF208,df_extratos!G:G,"CREDITO")+SUMIFS(df_extratos!I:I,df_extratos!F:F,Conciliacao!BG208,df_extratos!G:G,"CREDITO")+SUMIFS(df_extratos!I:I,df_extratos!F:F,Conciliacao!BH208,df_extratos!G:G,"CREDITO")</f>
        <v/>
      </c>
      <c r="I208" s="9">
        <f>H208-SUM(B208:G208)</f>
        <v/>
      </c>
      <c r="J208" s="4">
        <f>SUMIFS(df_blueme_sem_parcelamento!E:E,df_blueme_sem_parcelamento!H:H,Conciliacao!A208)*(-1)</f>
        <v/>
      </c>
      <c r="K208" s="4">
        <f>SUMIFS(df_blueme_com_parcelamento!J:J,df_blueme_com_parcelamento!M:M,Conciliacao!A208)*(-1)</f>
        <v/>
      </c>
      <c r="L208" s="4">
        <f>SUMIFS(df_mutuos!N:N,df_mutuos!B:B,Conciliacao!A208)*(-1)</f>
        <v/>
      </c>
      <c r="M208" s="8">
        <f>SUMIFS(df_bloqueios_judiciais!G:G,df_bloqueios_judiciais!D:D,Conciliacao!A208,df_bloqueios_judiciais!G:G,"&lt;0")</f>
        <v/>
      </c>
      <c r="N208" s="10">
        <f>SUMIFS(df_extratos!I:I,df_extratos!F:F,Conciliacao!BE208,df_extratos!G:G,"DEBITO")+SUMIFS(df_extratos!I:I,df_extratos!F:F,Conciliacao!A208,df_extratos!G:G,"DEBITO")+SUMIFS(df_extratos!I:I,df_extratos!F:F,Conciliacao!BF208,df_extratos!G:G,"DEBITO")+SUMIFS(df_extratos!I:I,df_extratos!F:F,Conciliacao!BG208,df_extratos!G:G,"DEBITO")+SUMIFS(df_extratos!I:I,df_extratos!F:F,Conciliacao!BH208,df_extratos!G:G,"DEBITO")</f>
        <v/>
      </c>
      <c r="O208" s="11">
        <f>N208-SUM(J208:M208)</f>
        <v/>
      </c>
      <c r="P208" s="25">
        <f>SUMIFS(df_ajustes_conciliaco!D:D,df_ajustes_conciliaco!C:C,Conciliacao!A208)</f>
        <v/>
      </c>
      <c r="Q208" s="22">
        <f>O208+I208-P208</f>
        <v/>
      </c>
      <c r="BE208" s="20" t="n">
        <v>45864.5</v>
      </c>
      <c r="BF208" s="20" t="n">
        <v>45864.125</v>
      </c>
      <c r="BG208" s="20" t="n">
        <v>45864.54166666666</v>
      </c>
      <c r="BH208" s="20" t="n">
        <v>45864.625</v>
      </c>
    </row>
    <row r="209">
      <c r="A209" s="5">
        <f>A208+1</f>
        <v/>
      </c>
      <c r="B209" s="3">
        <f>-SUMIFS(df_extrato_zig!G:G,df_extrato_zig!E:E,Conciliacao!A209,df_extrato_zig!D:D,"Saque")-SUMIFS(df_extrato_zig!G:G,df_extrato_zig!E:E,Conciliacao!A209,df_extrato_zig!D:D,"Antecipação")</f>
        <v/>
      </c>
      <c r="C209" s="3">
        <f>SUMIFS(df_extrato_zig!E:E,df_extrato_zig!L:L,Conciliacao!A209,df_extrato_zig!F:F,"DINHEIRO")</f>
        <v/>
      </c>
      <c r="D209" s="3">
        <f>SUMIFS(view_parc_agrup!H:H,view_parc_agrup!G:G,Conciliacao!A209)</f>
        <v/>
      </c>
      <c r="E209" s="3">
        <f>SUMIFS(df_eventos!F:F,df_eventos!H:H,Conciliacao!A209)</f>
        <v/>
      </c>
      <c r="F209" s="3">
        <f>SUMIFS(df_mutuos!M:M,df_mutuos!B:B,Conciliacao!A209)</f>
        <v/>
      </c>
      <c r="G209" s="6">
        <f>SUMIFS(df_bloqueios_judiciais!G:G,df_bloqueios_judiciais!D:D,Conciliacao!A209,df_bloqueios_judiciais!G:G,"&gt;0")</f>
        <v/>
      </c>
      <c r="H209" s="7">
        <f>SUMIFS(df_extratos!I:I,df_extratos!F:F,Conciliacao!BE209,df_extratos!G:G,"CREDITO")+SUMIFS(df_extratos!I:I,df_extratos!F:F,Conciliacao!A209,df_extratos!G:G,"CREDITO")+SUMIFS(df_extratos!I:I,df_extratos!F:F,Conciliacao!BF209,df_extratos!G:G,"CREDITO")+SUMIFS(df_extratos!I:I,df_extratos!F:F,Conciliacao!BG209,df_extratos!G:G,"CREDITO")+SUMIFS(df_extratos!I:I,df_extratos!F:F,Conciliacao!BH209,df_extratos!G:G,"CREDITO")</f>
        <v/>
      </c>
      <c r="I209" s="9">
        <f>H209-SUM(B209:G209)</f>
        <v/>
      </c>
      <c r="J209" s="4">
        <f>SUMIFS(df_blueme_sem_parcelamento!E:E,df_blueme_sem_parcelamento!H:H,Conciliacao!A209)*(-1)</f>
        <v/>
      </c>
      <c r="K209" s="4">
        <f>SUMIFS(df_blueme_com_parcelamento!J:J,df_blueme_com_parcelamento!M:M,Conciliacao!A209)*(-1)</f>
        <v/>
      </c>
      <c r="L209" s="4">
        <f>SUMIFS(df_mutuos!N:N,df_mutuos!B:B,Conciliacao!A209)*(-1)</f>
        <v/>
      </c>
      <c r="M209" s="8">
        <f>SUMIFS(df_bloqueios_judiciais!G:G,df_bloqueios_judiciais!D:D,Conciliacao!A209,df_bloqueios_judiciais!G:G,"&lt;0")</f>
        <v/>
      </c>
      <c r="N209" s="10">
        <f>SUMIFS(df_extratos!I:I,df_extratos!F:F,Conciliacao!BE209,df_extratos!G:G,"DEBITO")+SUMIFS(df_extratos!I:I,df_extratos!F:F,Conciliacao!A209,df_extratos!G:G,"DEBITO")+SUMIFS(df_extratos!I:I,df_extratos!F:F,Conciliacao!BF209,df_extratos!G:G,"DEBITO")+SUMIFS(df_extratos!I:I,df_extratos!F:F,Conciliacao!BG209,df_extratos!G:G,"DEBITO")+SUMIFS(df_extratos!I:I,df_extratos!F:F,Conciliacao!BH209,df_extratos!G:G,"DEBITO")</f>
        <v/>
      </c>
      <c r="O209" s="11">
        <f>N209-SUM(J209:M209)</f>
        <v/>
      </c>
      <c r="P209" s="25">
        <f>SUMIFS(df_ajustes_conciliaco!D:D,df_ajustes_conciliaco!C:C,Conciliacao!A209)</f>
        <v/>
      </c>
      <c r="Q209" s="22">
        <f>O209+I209-P209</f>
        <v/>
      </c>
      <c r="BE209" s="20" t="n">
        <v>45865.5</v>
      </c>
      <c r="BF209" s="20" t="n">
        <v>45865.125</v>
      </c>
      <c r="BG209" s="20" t="n">
        <v>45865.54166666666</v>
      </c>
      <c r="BH209" s="20" t="n">
        <v>45865.625</v>
      </c>
    </row>
    <row r="210">
      <c r="A210" s="5">
        <f>A209+1</f>
        <v/>
      </c>
      <c r="B210" s="3">
        <f>-SUMIFS(df_extrato_zig!G:G,df_extrato_zig!E:E,Conciliacao!A210,df_extrato_zig!D:D,"Saque")-SUMIFS(df_extrato_zig!G:G,df_extrato_zig!E:E,Conciliacao!A210,df_extrato_zig!D:D,"Antecipação")</f>
        <v/>
      </c>
      <c r="C210" s="3">
        <f>SUMIFS(df_extrato_zig!E:E,df_extrato_zig!L:L,Conciliacao!A210,df_extrato_zig!F:F,"DINHEIRO")</f>
        <v/>
      </c>
      <c r="D210" s="3">
        <f>SUMIFS(view_parc_agrup!H:H,view_parc_agrup!G:G,Conciliacao!A210)</f>
        <v/>
      </c>
      <c r="E210" s="3">
        <f>SUMIFS(df_eventos!F:F,df_eventos!H:H,Conciliacao!A210)</f>
        <v/>
      </c>
      <c r="F210" s="3">
        <f>SUMIFS(df_mutuos!M:M,df_mutuos!B:B,Conciliacao!A210)</f>
        <v/>
      </c>
      <c r="G210" s="6">
        <f>SUMIFS(df_bloqueios_judiciais!G:G,df_bloqueios_judiciais!D:D,Conciliacao!A210,df_bloqueios_judiciais!G:G,"&gt;0")</f>
        <v/>
      </c>
      <c r="H210" s="7">
        <f>SUMIFS(df_extratos!I:I,df_extratos!F:F,Conciliacao!BE210,df_extratos!G:G,"CREDITO")+SUMIFS(df_extratos!I:I,df_extratos!F:F,Conciliacao!A210,df_extratos!G:G,"CREDITO")+SUMIFS(df_extratos!I:I,df_extratos!F:F,Conciliacao!BF210,df_extratos!G:G,"CREDITO")+SUMIFS(df_extratos!I:I,df_extratos!F:F,Conciliacao!BG210,df_extratos!G:G,"CREDITO")+SUMIFS(df_extratos!I:I,df_extratos!F:F,Conciliacao!BH210,df_extratos!G:G,"CREDITO")</f>
        <v/>
      </c>
      <c r="I210" s="9">
        <f>H210-SUM(B210:G210)</f>
        <v/>
      </c>
      <c r="J210" s="4">
        <f>SUMIFS(df_blueme_sem_parcelamento!E:E,df_blueme_sem_parcelamento!H:H,Conciliacao!A210)*(-1)</f>
        <v/>
      </c>
      <c r="K210" s="4">
        <f>SUMIFS(df_blueme_com_parcelamento!J:J,df_blueme_com_parcelamento!M:M,Conciliacao!A210)*(-1)</f>
        <v/>
      </c>
      <c r="L210" s="4">
        <f>SUMIFS(df_mutuos!N:N,df_mutuos!B:B,Conciliacao!A210)*(-1)</f>
        <v/>
      </c>
      <c r="M210" s="8">
        <f>SUMIFS(df_bloqueios_judiciais!G:G,df_bloqueios_judiciais!D:D,Conciliacao!A210,df_bloqueios_judiciais!G:G,"&lt;0")</f>
        <v/>
      </c>
      <c r="N210" s="10">
        <f>SUMIFS(df_extratos!I:I,df_extratos!F:F,Conciliacao!BE210,df_extratos!G:G,"DEBITO")+SUMIFS(df_extratos!I:I,df_extratos!F:F,Conciliacao!A210,df_extratos!G:G,"DEBITO")+SUMIFS(df_extratos!I:I,df_extratos!F:F,Conciliacao!BF210,df_extratos!G:G,"DEBITO")+SUMIFS(df_extratos!I:I,df_extratos!F:F,Conciliacao!BG210,df_extratos!G:G,"DEBITO")+SUMIFS(df_extratos!I:I,df_extratos!F:F,Conciliacao!BH210,df_extratos!G:G,"DEBITO")</f>
        <v/>
      </c>
      <c r="O210" s="11">
        <f>N210-SUM(J210:M210)</f>
        <v/>
      </c>
      <c r="P210" s="25">
        <f>SUMIFS(df_ajustes_conciliaco!D:D,df_ajustes_conciliaco!C:C,Conciliacao!A210)</f>
        <v/>
      </c>
      <c r="Q210" s="22">
        <f>O210+I210-P210</f>
        <v/>
      </c>
      <c r="BE210" s="20" t="n">
        <v>45866.5</v>
      </c>
      <c r="BF210" s="20" t="n">
        <v>45866.125</v>
      </c>
      <c r="BG210" s="20" t="n">
        <v>45866.54166666666</v>
      </c>
      <c r="BH210" s="20" t="n">
        <v>45866.625</v>
      </c>
    </row>
    <row r="211">
      <c r="A211" s="5">
        <f>A210+1</f>
        <v/>
      </c>
      <c r="B211" s="3">
        <f>-SUMIFS(df_extrato_zig!G:G,df_extrato_zig!E:E,Conciliacao!A211,df_extrato_zig!D:D,"Saque")-SUMIFS(df_extrato_zig!G:G,df_extrato_zig!E:E,Conciliacao!A211,df_extrato_zig!D:D,"Antecipação")</f>
        <v/>
      </c>
      <c r="C211" s="3">
        <f>SUMIFS(df_extrato_zig!E:E,df_extrato_zig!L:L,Conciliacao!A211,df_extrato_zig!F:F,"DINHEIRO")</f>
        <v/>
      </c>
      <c r="D211" s="3">
        <f>SUMIFS(view_parc_agrup!H:H,view_parc_agrup!G:G,Conciliacao!A211)</f>
        <v/>
      </c>
      <c r="E211" s="3">
        <f>SUMIFS(df_eventos!F:F,df_eventos!H:H,Conciliacao!A211)</f>
        <v/>
      </c>
      <c r="F211" s="3">
        <f>SUMIFS(df_mutuos!M:M,df_mutuos!B:B,Conciliacao!A211)</f>
        <v/>
      </c>
      <c r="G211" s="6">
        <f>SUMIFS(df_bloqueios_judiciais!G:G,df_bloqueios_judiciais!D:D,Conciliacao!A211,df_bloqueios_judiciais!G:G,"&gt;0")</f>
        <v/>
      </c>
      <c r="H211" s="7">
        <f>SUMIFS(df_extratos!I:I,df_extratos!F:F,Conciliacao!BE211,df_extratos!G:G,"CREDITO")+SUMIFS(df_extratos!I:I,df_extratos!F:F,Conciliacao!A211,df_extratos!G:G,"CREDITO")+SUMIFS(df_extratos!I:I,df_extratos!F:F,Conciliacao!BF211,df_extratos!G:G,"CREDITO")+SUMIFS(df_extratos!I:I,df_extratos!F:F,Conciliacao!BG211,df_extratos!G:G,"CREDITO")+SUMIFS(df_extratos!I:I,df_extratos!F:F,Conciliacao!BH211,df_extratos!G:G,"CREDITO")</f>
        <v/>
      </c>
      <c r="I211" s="9">
        <f>H211-SUM(B211:G211)</f>
        <v/>
      </c>
      <c r="J211" s="4">
        <f>SUMIFS(df_blueme_sem_parcelamento!E:E,df_blueme_sem_parcelamento!H:H,Conciliacao!A211)*(-1)</f>
        <v/>
      </c>
      <c r="K211" s="4">
        <f>SUMIFS(df_blueme_com_parcelamento!J:J,df_blueme_com_parcelamento!M:M,Conciliacao!A211)*(-1)</f>
        <v/>
      </c>
      <c r="L211" s="4">
        <f>SUMIFS(df_mutuos!N:N,df_mutuos!B:B,Conciliacao!A211)*(-1)</f>
        <v/>
      </c>
      <c r="M211" s="8">
        <f>SUMIFS(df_bloqueios_judiciais!G:G,df_bloqueios_judiciais!D:D,Conciliacao!A211,df_bloqueios_judiciais!G:G,"&lt;0")</f>
        <v/>
      </c>
      <c r="N211" s="10">
        <f>SUMIFS(df_extratos!I:I,df_extratos!F:F,Conciliacao!BE211,df_extratos!G:G,"DEBITO")+SUMIFS(df_extratos!I:I,df_extratos!F:F,Conciliacao!A211,df_extratos!G:G,"DEBITO")+SUMIFS(df_extratos!I:I,df_extratos!F:F,Conciliacao!BF211,df_extratos!G:G,"DEBITO")+SUMIFS(df_extratos!I:I,df_extratos!F:F,Conciliacao!BG211,df_extratos!G:G,"DEBITO")+SUMIFS(df_extratos!I:I,df_extratos!F:F,Conciliacao!BH211,df_extratos!G:G,"DEBITO")</f>
        <v/>
      </c>
      <c r="O211" s="11">
        <f>N211-SUM(J211:M211)</f>
        <v/>
      </c>
      <c r="P211" s="25">
        <f>SUMIFS(df_ajustes_conciliaco!D:D,df_ajustes_conciliaco!C:C,Conciliacao!A211)</f>
        <v/>
      </c>
      <c r="Q211" s="22">
        <f>O211+I211-P211</f>
        <v/>
      </c>
      <c r="BE211" s="20" t="n">
        <v>45867.5</v>
      </c>
      <c r="BF211" s="20" t="n">
        <v>45867.125</v>
      </c>
      <c r="BG211" s="20" t="n">
        <v>45867.54166666666</v>
      </c>
      <c r="BH211" s="20" t="n">
        <v>45867.625</v>
      </c>
    </row>
    <row r="212">
      <c r="A212" s="5">
        <f>A211+1</f>
        <v/>
      </c>
      <c r="B212" s="3">
        <f>-SUMIFS(df_extrato_zig!G:G,df_extrato_zig!E:E,Conciliacao!A212,df_extrato_zig!D:D,"Saque")-SUMIFS(df_extrato_zig!G:G,df_extrato_zig!E:E,Conciliacao!A212,df_extrato_zig!D:D,"Antecipação")</f>
        <v/>
      </c>
      <c r="C212" s="3">
        <f>SUMIFS(df_extrato_zig!E:E,df_extrato_zig!L:L,Conciliacao!A212,df_extrato_zig!F:F,"DINHEIRO")</f>
        <v/>
      </c>
      <c r="D212" s="3">
        <f>SUMIFS(view_parc_agrup!H:H,view_parc_agrup!G:G,Conciliacao!A212)</f>
        <v/>
      </c>
      <c r="E212" s="3">
        <f>SUMIFS(df_eventos!F:F,df_eventos!H:H,Conciliacao!A212)</f>
        <v/>
      </c>
      <c r="F212" s="3">
        <f>SUMIFS(df_mutuos!M:M,df_mutuos!B:B,Conciliacao!A212)</f>
        <v/>
      </c>
      <c r="G212" s="6">
        <f>SUMIFS(df_bloqueios_judiciais!G:G,df_bloqueios_judiciais!D:D,Conciliacao!A212,df_bloqueios_judiciais!G:G,"&gt;0")</f>
        <v/>
      </c>
      <c r="H212" s="7">
        <f>SUMIFS(df_extratos!I:I,df_extratos!F:F,Conciliacao!BE212,df_extratos!G:G,"CREDITO")+SUMIFS(df_extratos!I:I,df_extratos!F:F,Conciliacao!A212,df_extratos!G:G,"CREDITO")+SUMIFS(df_extratos!I:I,df_extratos!F:F,Conciliacao!BF212,df_extratos!G:G,"CREDITO")+SUMIFS(df_extratos!I:I,df_extratos!F:F,Conciliacao!BG212,df_extratos!G:G,"CREDITO")+SUMIFS(df_extratos!I:I,df_extratos!F:F,Conciliacao!BH212,df_extratos!G:G,"CREDITO")</f>
        <v/>
      </c>
      <c r="I212" s="9">
        <f>H212-SUM(B212:G212)</f>
        <v/>
      </c>
      <c r="J212" s="4">
        <f>SUMIFS(df_blueme_sem_parcelamento!E:E,df_blueme_sem_parcelamento!H:H,Conciliacao!A212)*(-1)</f>
        <v/>
      </c>
      <c r="K212" s="4">
        <f>SUMIFS(df_blueme_com_parcelamento!J:J,df_blueme_com_parcelamento!M:M,Conciliacao!A212)*(-1)</f>
        <v/>
      </c>
      <c r="L212" s="4">
        <f>SUMIFS(df_mutuos!N:N,df_mutuos!B:B,Conciliacao!A212)*(-1)</f>
        <v/>
      </c>
      <c r="M212" s="8">
        <f>SUMIFS(df_bloqueios_judiciais!G:G,df_bloqueios_judiciais!D:D,Conciliacao!A212,df_bloqueios_judiciais!G:G,"&lt;0")</f>
        <v/>
      </c>
      <c r="N212" s="10">
        <f>SUMIFS(df_extratos!I:I,df_extratos!F:F,Conciliacao!BE212,df_extratos!G:G,"DEBITO")+SUMIFS(df_extratos!I:I,df_extratos!F:F,Conciliacao!A212,df_extratos!G:G,"DEBITO")+SUMIFS(df_extratos!I:I,df_extratos!F:F,Conciliacao!BF212,df_extratos!G:G,"DEBITO")+SUMIFS(df_extratos!I:I,df_extratos!F:F,Conciliacao!BG212,df_extratos!G:G,"DEBITO")+SUMIFS(df_extratos!I:I,df_extratos!F:F,Conciliacao!BH212,df_extratos!G:G,"DEBITO")</f>
        <v/>
      </c>
      <c r="O212" s="11">
        <f>N212-SUM(J212:M212)</f>
        <v/>
      </c>
      <c r="P212" s="25">
        <f>SUMIFS(df_ajustes_conciliaco!D:D,df_ajustes_conciliaco!C:C,Conciliacao!A212)</f>
        <v/>
      </c>
      <c r="Q212" s="22">
        <f>O212+I212-P212</f>
        <v/>
      </c>
      <c r="BE212" s="20" t="n">
        <v>45868.5</v>
      </c>
      <c r="BF212" s="20" t="n">
        <v>45868.125</v>
      </c>
      <c r="BG212" s="20" t="n">
        <v>45868.54166666666</v>
      </c>
      <c r="BH212" s="20" t="n">
        <v>45868.625</v>
      </c>
    </row>
    <row r="213">
      <c r="A213" s="5">
        <f>A212+1</f>
        <v/>
      </c>
      <c r="B213" s="3">
        <f>-SUMIFS(df_extrato_zig!G:G,df_extrato_zig!E:E,Conciliacao!A213,df_extrato_zig!D:D,"Saque")-SUMIFS(df_extrato_zig!G:G,df_extrato_zig!E:E,Conciliacao!A213,df_extrato_zig!D:D,"Antecipação")</f>
        <v/>
      </c>
      <c r="C213" s="3">
        <f>SUMIFS(df_extrato_zig!E:E,df_extrato_zig!L:L,Conciliacao!A213,df_extrato_zig!F:F,"DINHEIRO")</f>
        <v/>
      </c>
      <c r="D213" s="3">
        <f>SUMIFS(view_parc_agrup!H:H,view_parc_agrup!G:G,Conciliacao!A213)</f>
        <v/>
      </c>
      <c r="E213" s="3">
        <f>SUMIFS(df_eventos!F:F,df_eventos!H:H,Conciliacao!A213)</f>
        <v/>
      </c>
      <c r="F213" s="3">
        <f>SUMIFS(df_mutuos!M:M,df_mutuos!B:B,Conciliacao!A213)</f>
        <v/>
      </c>
      <c r="G213" s="6">
        <f>SUMIFS(df_bloqueios_judiciais!G:G,df_bloqueios_judiciais!D:D,Conciliacao!A213,df_bloqueios_judiciais!G:G,"&gt;0")</f>
        <v/>
      </c>
      <c r="H213" s="7">
        <f>SUMIFS(df_extratos!I:I,df_extratos!F:F,Conciliacao!BE213,df_extratos!G:G,"CREDITO")+SUMIFS(df_extratos!I:I,df_extratos!F:F,Conciliacao!A213,df_extratos!G:G,"CREDITO")+SUMIFS(df_extratos!I:I,df_extratos!F:F,Conciliacao!BF213,df_extratos!G:G,"CREDITO")+SUMIFS(df_extratos!I:I,df_extratos!F:F,Conciliacao!BG213,df_extratos!G:G,"CREDITO")+SUMIFS(df_extratos!I:I,df_extratos!F:F,Conciliacao!BH213,df_extratos!G:G,"CREDITO")</f>
        <v/>
      </c>
      <c r="I213" s="9">
        <f>H213-SUM(B213:G213)</f>
        <v/>
      </c>
      <c r="J213" s="4">
        <f>SUMIFS(df_blueme_sem_parcelamento!E:E,df_blueme_sem_parcelamento!H:H,Conciliacao!A213)*(-1)</f>
        <v/>
      </c>
      <c r="K213" s="4">
        <f>SUMIFS(df_blueme_com_parcelamento!J:J,df_blueme_com_parcelamento!M:M,Conciliacao!A213)*(-1)</f>
        <v/>
      </c>
      <c r="L213" s="4">
        <f>SUMIFS(df_mutuos!N:N,df_mutuos!B:B,Conciliacao!A213)*(-1)</f>
        <v/>
      </c>
      <c r="M213" s="8">
        <f>SUMIFS(df_bloqueios_judiciais!G:G,df_bloqueios_judiciais!D:D,Conciliacao!A213,df_bloqueios_judiciais!G:G,"&lt;0")</f>
        <v/>
      </c>
      <c r="N213" s="10">
        <f>SUMIFS(df_extratos!I:I,df_extratos!F:F,Conciliacao!BE213,df_extratos!G:G,"DEBITO")+SUMIFS(df_extratos!I:I,df_extratos!F:F,Conciliacao!A213,df_extratos!G:G,"DEBITO")+SUMIFS(df_extratos!I:I,df_extratos!F:F,Conciliacao!BF213,df_extratos!G:G,"DEBITO")+SUMIFS(df_extratos!I:I,df_extratos!F:F,Conciliacao!BG213,df_extratos!G:G,"DEBITO")+SUMIFS(df_extratos!I:I,df_extratos!F:F,Conciliacao!BH213,df_extratos!G:G,"DEBITO")</f>
        <v/>
      </c>
      <c r="O213" s="11">
        <f>N213-SUM(J213:M213)</f>
        <v/>
      </c>
      <c r="P213" s="25">
        <f>SUMIFS(df_ajustes_conciliaco!D:D,df_ajustes_conciliaco!C:C,Conciliacao!A213)</f>
        <v/>
      </c>
      <c r="Q213" s="22">
        <f>O213+I213-P213</f>
        <v/>
      </c>
      <c r="BE213" s="20" t="n">
        <v>45869.5</v>
      </c>
      <c r="BF213" s="20" t="n">
        <v>45869.125</v>
      </c>
      <c r="BG213" s="20" t="n">
        <v>45869.54166666666</v>
      </c>
      <c r="BH213" s="20" t="n">
        <v>45869.625</v>
      </c>
    </row>
    <row r="214">
      <c r="A214" s="5">
        <f>A213+1</f>
        <v/>
      </c>
      <c r="B214" s="3">
        <f>-SUMIFS(df_extrato_zig!G:G,df_extrato_zig!E:E,Conciliacao!A214,df_extrato_zig!D:D,"Saque")-SUMIFS(df_extrato_zig!G:G,df_extrato_zig!E:E,Conciliacao!A214,df_extrato_zig!D:D,"Antecipação")</f>
        <v/>
      </c>
      <c r="C214" s="3">
        <f>SUMIFS(df_extrato_zig!E:E,df_extrato_zig!L:L,Conciliacao!A214,df_extrato_zig!F:F,"DINHEIRO")</f>
        <v/>
      </c>
      <c r="D214" s="3">
        <f>SUMIFS(view_parc_agrup!H:H,view_parc_agrup!G:G,Conciliacao!A214)</f>
        <v/>
      </c>
      <c r="E214" s="3">
        <f>SUMIFS(df_eventos!F:F,df_eventos!H:H,Conciliacao!A214)</f>
        <v/>
      </c>
      <c r="F214" s="3">
        <f>SUMIFS(df_mutuos!M:M,df_mutuos!B:B,Conciliacao!A214)</f>
        <v/>
      </c>
      <c r="G214" s="6">
        <f>SUMIFS(df_bloqueios_judiciais!G:G,df_bloqueios_judiciais!D:D,Conciliacao!A214,df_bloqueios_judiciais!G:G,"&gt;0")</f>
        <v/>
      </c>
      <c r="H214" s="7">
        <f>SUMIFS(df_extratos!I:I,df_extratos!F:F,Conciliacao!BE214,df_extratos!G:G,"CREDITO")+SUMIFS(df_extratos!I:I,df_extratos!F:F,Conciliacao!A214,df_extratos!G:G,"CREDITO")+SUMIFS(df_extratos!I:I,df_extratos!F:F,Conciliacao!BF214,df_extratos!G:G,"CREDITO")+SUMIFS(df_extratos!I:I,df_extratos!F:F,Conciliacao!BG214,df_extratos!G:G,"CREDITO")+SUMIFS(df_extratos!I:I,df_extratos!F:F,Conciliacao!BH214,df_extratos!G:G,"CREDITO")</f>
        <v/>
      </c>
      <c r="I214" s="9">
        <f>H214-SUM(B214:G214)</f>
        <v/>
      </c>
      <c r="J214" s="4">
        <f>SUMIFS(df_blueme_sem_parcelamento!E:E,df_blueme_sem_parcelamento!H:H,Conciliacao!A214)*(-1)</f>
        <v/>
      </c>
      <c r="K214" s="4">
        <f>SUMIFS(df_blueme_com_parcelamento!J:J,df_blueme_com_parcelamento!M:M,Conciliacao!A214)*(-1)</f>
        <v/>
      </c>
      <c r="L214" s="4">
        <f>SUMIFS(df_mutuos!N:N,df_mutuos!B:B,Conciliacao!A214)*(-1)</f>
        <v/>
      </c>
      <c r="M214" s="8">
        <f>SUMIFS(df_bloqueios_judiciais!G:G,df_bloqueios_judiciais!D:D,Conciliacao!A214,df_bloqueios_judiciais!G:G,"&lt;0")</f>
        <v/>
      </c>
      <c r="N214" s="10">
        <f>SUMIFS(df_extratos!I:I,df_extratos!F:F,Conciliacao!BE214,df_extratos!G:G,"DEBITO")+SUMIFS(df_extratos!I:I,df_extratos!F:F,Conciliacao!A214,df_extratos!G:G,"DEBITO")+SUMIFS(df_extratos!I:I,df_extratos!F:F,Conciliacao!BF214,df_extratos!G:G,"DEBITO")+SUMIFS(df_extratos!I:I,df_extratos!F:F,Conciliacao!BG214,df_extratos!G:G,"DEBITO")+SUMIFS(df_extratos!I:I,df_extratos!F:F,Conciliacao!BH214,df_extratos!G:G,"DEBITO")</f>
        <v/>
      </c>
      <c r="O214" s="11">
        <f>N214-SUM(J214:M214)</f>
        <v/>
      </c>
      <c r="P214" s="25">
        <f>SUMIFS(df_ajustes_conciliaco!D:D,df_ajustes_conciliaco!C:C,Conciliacao!A214)</f>
        <v/>
      </c>
      <c r="Q214" s="22">
        <f>O214+I214-P214</f>
        <v/>
      </c>
      <c r="BE214" s="20" t="n">
        <v>45870.5</v>
      </c>
      <c r="BF214" s="20" t="n">
        <v>45870.125</v>
      </c>
      <c r="BG214" s="20" t="n">
        <v>45870.54166666666</v>
      </c>
      <c r="BH214" s="20" t="n">
        <v>45870.625</v>
      </c>
    </row>
    <row r="215">
      <c r="A215" s="5">
        <f>A214+1</f>
        <v/>
      </c>
      <c r="B215" s="3">
        <f>-SUMIFS(df_extrato_zig!G:G,df_extrato_zig!E:E,Conciliacao!A215,df_extrato_zig!D:D,"Saque")-SUMIFS(df_extrato_zig!G:G,df_extrato_zig!E:E,Conciliacao!A215,df_extrato_zig!D:D,"Antecipação")</f>
        <v/>
      </c>
      <c r="C215" s="3">
        <f>SUMIFS(df_extrato_zig!E:E,df_extrato_zig!L:L,Conciliacao!A215,df_extrato_zig!F:F,"DINHEIRO")</f>
        <v/>
      </c>
      <c r="D215" s="3">
        <f>SUMIFS(view_parc_agrup!H:H,view_parc_agrup!G:G,Conciliacao!A215)</f>
        <v/>
      </c>
      <c r="E215" s="3">
        <f>SUMIFS(df_eventos!F:F,df_eventos!H:H,Conciliacao!A215)</f>
        <v/>
      </c>
      <c r="F215" s="3">
        <f>SUMIFS(df_mutuos!M:M,df_mutuos!B:B,Conciliacao!A215)</f>
        <v/>
      </c>
      <c r="G215" s="6">
        <f>SUMIFS(df_bloqueios_judiciais!G:G,df_bloqueios_judiciais!D:D,Conciliacao!A215,df_bloqueios_judiciais!G:G,"&gt;0")</f>
        <v/>
      </c>
      <c r="H215" s="7">
        <f>SUMIFS(df_extratos!I:I,df_extratos!F:F,Conciliacao!BE215,df_extratos!G:G,"CREDITO")+SUMIFS(df_extratos!I:I,df_extratos!F:F,Conciliacao!A215,df_extratos!G:G,"CREDITO")+SUMIFS(df_extratos!I:I,df_extratos!F:F,Conciliacao!BF215,df_extratos!G:G,"CREDITO")+SUMIFS(df_extratos!I:I,df_extratos!F:F,Conciliacao!BG215,df_extratos!G:G,"CREDITO")+SUMIFS(df_extratos!I:I,df_extratos!F:F,Conciliacao!BH215,df_extratos!G:G,"CREDITO")</f>
        <v/>
      </c>
      <c r="I215" s="9">
        <f>H215-SUM(B215:G215)</f>
        <v/>
      </c>
      <c r="J215" s="4">
        <f>SUMIFS(df_blueme_sem_parcelamento!E:E,df_blueme_sem_parcelamento!H:H,Conciliacao!A215)*(-1)</f>
        <v/>
      </c>
      <c r="K215" s="4">
        <f>SUMIFS(df_blueme_com_parcelamento!J:J,df_blueme_com_parcelamento!M:M,Conciliacao!A215)*(-1)</f>
        <v/>
      </c>
      <c r="L215" s="4">
        <f>SUMIFS(df_mutuos!N:N,df_mutuos!B:B,Conciliacao!A215)*(-1)</f>
        <v/>
      </c>
      <c r="M215" s="8">
        <f>SUMIFS(df_bloqueios_judiciais!G:G,df_bloqueios_judiciais!D:D,Conciliacao!A215,df_bloqueios_judiciais!G:G,"&lt;0")</f>
        <v/>
      </c>
      <c r="N215" s="10">
        <f>SUMIFS(df_extratos!I:I,df_extratos!F:F,Conciliacao!BE215,df_extratos!G:G,"DEBITO")+SUMIFS(df_extratos!I:I,df_extratos!F:F,Conciliacao!A215,df_extratos!G:G,"DEBITO")+SUMIFS(df_extratos!I:I,df_extratos!F:F,Conciliacao!BF215,df_extratos!G:G,"DEBITO")+SUMIFS(df_extratos!I:I,df_extratos!F:F,Conciliacao!BG215,df_extratos!G:G,"DEBITO")+SUMIFS(df_extratos!I:I,df_extratos!F:F,Conciliacao!BH215,df_extratos!G:G,"DEBITO")</f>
        <v/>
      </c>
      <c r="O215" s="11">
        <f>N215-SUM(J215:M215)</f>
        <v/>
      </c>
      <c r="P215" s="25">
        <f>SUMIFS(df_ajustes_conciliaco!D:D,df_ajustes_conciliaco!C:C,Conciliacao!A215)</f>
        <v/>
      </c>
      <c r="Q215" s="22">
        <f>O215+I215-P215</f>
        <v/>
      </c>
      <c r="BE215" s="20" t="n">
        <v>45871.5</v>
      </c>
      <c r="BF215" s="20" t="n">
        <v>45871.125</v>
      </c>
      <c r="BG215" s="20" t="n">
        <v>45871.54166666666</v>
      </c>
      <c r="BH215" s="20" t="n">
        <v>45871.625</v>
      </c>
    </row>
    <row r="216">
      <c r="A216" s="5">
        <f>A215+1</f>
        <v/>
      </c>
      <c r="B216" s="3">
        <f>-SUMIFS(df_extrato_zig!G:G,df_extrato_zig!E:E,Conciliacao!A216,df_extrato_zig!D:D,"Saque")-SUMIFS(df_extrato_zig!G:G,df_extrato_zig!E:E,Conciliacao!A216,df_extrato_zig!D:D,"Antecipação")</f>
        <v/>
      </c>
      <c r="C216" s="3">
        <f>SUMIFS(df_extrato_zig!E:E,df_extrato_zig!L:L,Conciliacao!A216,df_extrato_zig!F:F,"DINHEIRO")</f>
        <v/>
      </c>
      <c r="D216" s="3">
        <f>SUMIFS(view_parc_agrup!H:H,view_parc_agrup!G:G,Conciliacao!A216)</f>
        <v/>
      </c>
      <c r="E216" s="3">
        <f>SUMIFS(df_eventos!F:F,df_eventos!H:H,Conciliacao!A216)</f>
        <v/>
      </c>
      <c r="F216" s="3">
        <f>SUMIFS(df_mutuos!M:M,df_mutuos!B:B,Conciliacao!A216)</f>
        <v/>
      </c>
      <c r="G216" s="6">
        <f>SUMIFS(df_bloqueios_judiciais!G:G,df_bloqueios_judiciais!D:D,Conciliacao!A216,df_bloqueios_judiciais!G:G,"&gt;0")</f>
        <v/>
      </c>
      <c r="H216" s="7">
        <f>SUMIFS(df_extratos!I:I,df_extratos!F:F,Conciliacao!BE216,df_extratos!G:G,"CREDITO")+SUMIFS(df_extratos!I:I,df_extratos!F:F,Conciliacao!A216,df_extratos!G:G,"CREDITO")+SUMIFS(df_extratos!I:I,df_extratos!F:F,Conciliacao!BF216,df_extratos!G:G,"CREDITO")+SUMIFS(df_extratos!I:I,df_extratos!F:F,Conciliacao!BG216,df_extratos!G:G,"CREDITO")+SUMIFS(df_extratos!I:I,df_extratos!F:F,Conciliacao!BH216,df_extratos!G:G,"CREDITO")</f>
        <v/>
      </c>
      <c r="I216" s="9">
        <f>H216-SUM(B216:G216)</f>
        <v/>
      </c>
      <c r="J216" s="4">
        <f>SUMIFS(df_blueme_sem_parcelamento!E:E,df_blueme_sem_parcelamento!H:H,Conciliacao!A216)*(-1)</f>
        <v/>
      </c>
      <c r="K216" s="4">
        <f>SUMIFS(df_blueme_com_parcelamento!J:J,df_blueme_com_parcelamento!M:M,Conciliacao!A216)*(-1)</f>
        <v/>
      </c>
      <c r="L216" s="4">
        <f>SUMIFS(df_mutuos!N:N,df_mutuos!B:B,Conciliacao!A216)*(-1)</f>
        <v/>
      </c>
      <c r="M216" s="8">
        <f>SUMIFS(df_bloqueios_judiciais!G:G,df_bloqueios_judiciais!D:D,Conciliacao!A216,df_bloqueios_judiciais!G:G,"&lt;0")</f>
        <v/>
      </c>
      <c r="N216" s="10">
        <f>SUMIFS(df_extratos!I:I,df_extratos!F:F,Conciliacao!BE216,df_extratos!G:G,"DEBITO")+SUMIFS(df_extratos!I:I,df_extratos!F:F,Conciliacao!A216,df_extratos!G:G,"DEBITO")+SUMIFS(df_extratos!I:I,df_extratos!F:F,Conciliacao!BF216,df_extratos!G:G,"DEBITO")+SUMIFS(df_extratos!I:I,df_extratos!F:F,Conciliacao!BG216,df_extratos!G:G,"DEBITO")+SUMIFS(df_extratos!I:I,df_extratos!F:F,Conciliacao!BH216,df_extratos!G:G,"DEBITO")</f>
        <v/>
      </c>
      <c r="O216" s="11">
        <f>N216-SUM(J216:M216)</f>
        <v/>
      </c>
      <c r="P216" s="25">
        <f>SUMIFS(df_ajustes_conciliaco!D:D,df_ajustes_conciliaco!C:C,Conciliacao!A216)</f>
        <v/>
      </c>
      <c r="Q216" s="22">
        <f>O216+I216-P216</f>
        <v/>
      </c>
      <c r="BE216" s="20" t="n">
        <v>45872.5</v>
      </c>
      <c r="BF216" s="20" t="n">
        <v>45872.125</v>
      </c>
      <c r="BG216" s="20" t="n">
        <v>45872.54166666666</v>
      </c>
      <c r="BH216" s="20" t="n">
        <v>45872.625</v>
      </c>
    </row>
    <row r="217">
      <c r="A217" s="5">
        <f>A216+1</f>
        <v/>
      </c>
      <c r="B217" s="3">
        <f>-SUMIFS(df_extrato_zig!G:G,df_extrato_zig!E:E,Conciliacao!A217,df_extrato_zig!D:D,"Saque")-SUMIFS(df_extrato_zig!G:G,df_extrato_zig!E:E,Conciliacao!A217,df_extrato_zig!D:D,"Antecipação")</f>
        <v/>
      </c>
      <c r="C217" s="3">
        <f>SUMIFS(df_extrato_zig!E:E,df_extrato_zig!L:L,Conciliacao!A217,df_extrato_zig!F:F,"DINHEIRO")</f>
        <v/>
      </c>
      <c r="D217" s="3">
        <f>SUMIFS(view_parc_agrup!H:H,view_parc_agrup!G:G,Conciliacao!A217)</f>
        <v/>
      </c>
      <c r="E217" s="3">
        <f>SUMIFS(df_eventos!F:F,df_eventos!H:H,Conciliacao!A217)</f>
        <v/>
      </c>
      <c r="F217" s="3">
        <f>SUMIFS(df_mutuos!M:M,df_mutuos!B:B,Conciliacao!A217)</f>
        <v/>
      </c>
      <c r="G217" s="6">
        <f>SUMIFS(df_bloqueios_judiciais!G:G,df_bloqueios_judiciais!D:D,Conciliacao!A217,df_bloqueios_judiciais!G:G,"&gt;0")</f>
        <v/>
      </c>
      <c r="H217" s="7">
        <f>SUMIFS(df_extratos!I:I,df_extratos!F:F,Conciliacao!BE217,df_extratos!G:G,"CREDITO")+SUMIFS(df_extratos!I:I,df_extratos!F:F,Conciliacao!A217,df_extratos!G:G,"CREDITO")+SUMIFS(df_extratos!I:I,df_extratos!F:F,Conciliacao!BF217,df_extratos!G:G,"CREDITO")+SUMIFS(df_extratos!I:I,df_extratos!F:F,Conciliacao!BG217,df_extratos!G:G,"CREDITO")+SUMIFS(df_extratos!I:I,df_extratos!F:F,Conciliacao!BH217,df_extratos!G:G,"CREDITO")</f>
        <v/>
      </c>
      <c r="I217" s="9">
        <f>H217-SUM(B217:G217)</f>
        <v/>
      </c>
      <c r="J217" s="4">
        <f>SUMIFS(df_blueme_sem_parcelamento!E:E,df_blueme_sem_parcelamento!H:H,Conciliacao!A217)*(-1)</f>
        <v/>
      </c>
      <c r="K217" s="4">
        <f>SUMIFS(df_blueme_com_parcelamento!J:J,df_blueme_com_parcelamento!M:M,Conciliacao!A217)*(-1)</f>
        <v/>
      </c>
      <c r="L217" s="4">
        <f>SUMIFS(df_mutuos!N:N,df_mutuos!B:B,Conciliacao!A217)*(-1)</f>
        <v/>
      </c>
      <c r="M217" s="8">
        <f>SUMIFS(df_bloqueios_judiciais!G:G,df_bloqueios_judiciais!D:D,Conciliacao!A217,df_bloqueios_judiciais!G:G,"&lt;0")</f>
        <v/>
      </c>
      <c r="N217" s="10">
        <f>SUMIFS(df_extratos!I:I,df_extratos!F:F,Conciliacao!BE217,df_extratos!G:G,"DEBITO")+SUMIFS(df_extratos!I:I,df_extratos!F:F,Conciliacao!A217,df_extratos!G:G,"DEBITO")+SUMIFS(df_extratos!I:I,df_extratos!F:F,Conciliacao!BF217,df_extratos!G:G,"DEBITO")+SUMIFS(df_extratos!I:I,df_extratos!F:F,Conciliacao!BG217,df_extratos!G:G,"DEBITO")+SUMIFS(df_extratos!I:I,df_extratos!F:F,Conciliacao!BH217,df_extratos!G:G,"DEBITO")</f>
        <v/>
      </c>
      <c r="O217" s="11">
        <f>N217-SUM(J217:M217)</f>
        <v/>
      </c>
      <c r="P217" s="25">
        <f>SUMIFS(df_ajustes_conciliaco!D:D,df_ajustes_conciliaco!C:C,Conciliacao!A217)</f>
        <v/>
      </c>
      <c r="Q217" s="22">
        <f>O217+I217-P217</f>
        <v/>
      </c>
      <c r="BE217" s="20" t="n">
        <v>45873.5</v>
      </c>
      <c r="BF217" s="20" t="n">
        <v>45873.125</v>
      </c>
      <c r="BG217" s="20" t="n">
        <v>45873.54166666666</v>
      </c>
      <c r="BH217" s="20" t="n">
        <v>45873.625</v>
      </c>
    </row>
    <row r="218">
      <c r="A218" s="5">
        <f>A217+1</f>
        <v/>
      </c>
      <c r="B218" s="3">
        <f>-SUMIFS(df_extrato_zig!G:G,df_extrato_zig!E:E,Conciliacao!A218,df_extrato_zig!D:D,"Saque")-SUMIFS(df_extrato_zig!G:G,df_extrato_zig!E:E,Conciliacao!A218,df_extrato_zig!D:D,"Antecipação")</f>
        <v/>
      </c>
      <c r="C218" s="3">
        <f>SUMIFS(df_extrato_zig!E:E,df_extrato_zig!L:L,Conciliacao!A218,df_extrato_zig!F:F,"DINHEIRO")</f>
        <v/>
      </c>
      <c r="D218" s="3">
        <f>SUMIFS(view_parc_agrup!H:H,view_parc_agrup!G:G,Conciliacao!A218)</f>
        <v/>
      </c>
      <c r="E218" s="3">
        <f>SUMIFS(df_eventos!F:F,df_eventos!H:H,Conciliacao!A218)</f>
        <v/>
      </c>
      <c r="F218" s="3">
        <f>SUMIFS(df_mutuos!M:M,df_mutuos!B:B,Conciliacao!A218)</f>
        <v/>
      </c>
      <c r="G218" s="6">
        <f>SUMIFS(df_bloqueios_judiciais!G:G,df_bloqueios_judiciais!D:D,Conciliacao!A218,df_bloqueios_judiciais!G:G,"&gt;0")</f>
        <v/>
      </c>
      <c r="H218" s="7">
        <f>SUMIFS(df_extratos!I:I,df_extratos!F:F,Conciliacao!BE218,df_extratos!G:G,"CREDITO")+SUMIFS(df_extratos!I:I,df_extratos!F:F,Conciliacao!A218,df_extratos!G:G,"CREDITO")+SUMIFS(df_extratos!I:I,df_extratos!F:F,Conciliacao!BF218,df_extratos!G:G,"CREDITO")+SUMIFS(df_extratos!I:I,df_extratos!F:F,Conciliacao!BG218,df_extratos!G:G,"CREDITO")+SUMIFS(df_extratos!I:I,df_extratos!F:F,Conciliacao!BH218,df_extratos!G:G,"CREDITO")</f>
        <v/>
      </c>
      <c r="I218" s="9">
        <f>H218-SUM(B218:G218)</f>
        <v/>
      </c>
      <c r="J218" s="4">
        <f>SUMIFS(df_blueme_sem_parcelamento!E:E,df_blueme_sem_parcelamento!H:H,Conciliacao!A218)*(-1)</f>
        <v/>
      </c>
      <c r="K218" s="4">
        <f>SUMIFS(df_blueme_com_parcelamento!J:J,df_blueme_com_parcelamento!M:M,Conciliacao!A218)*(-1)</f>
        <v/>
      </c>
      <c r="L218" s="4">
        <f>SUMIFS(df_mutuos!N:N,df_mutuos!B:B,Conciliacao!A218)*(-1)</f>
        <v/>
      </c>
      <c r="M218" s="8">
        <f>SUMIFS(df_bloqueios_judiciais!G:G,df_bloqueios_judiciais!D:D,Conciliacao!A218,df_bloqueios_judiciais!G:G,"&lt;0")</f>
        <v/>
      </c>
      <c r="N218" s="10">
        <f>SUMIFS(df_extratos!I:I,df_extratos!F:F,Conciliacao!BE218,df_extratos!G:G,"DEBITO")+SUMIFS(df_extratos!I:I,df_extratos!F:F,Conciliacao!A218,df_extratos!G:G,"DEBITO")+SUMIFS(df_extratos!I:I,df_extratos!F:F,Conciliacao!BF218,df_extratos!G:G,"DEBITO")+SUMIFS(df_extratos!I:I,df_extratos!F:F,Conciliacao!BG218,df_extratos!G:G,"DEBITO")+SUMIFS(df_extratos!I:I,df_extratos!F:F,Conciliacao!BH218,df_extratos!G:G,"DEBITO")</f>
        <v/>
      </c>
      <c r="O218" s="11">
        <f>N218-SUM(J218:M218)</f>
        <v/>
      </c>
      <c r="P218" s="25">
        <f>SUMIFS(df_ajustes_conciliaco!D:D,df_ajustes_conciliaco!C:C,Conciliacao!A218)</f>
        <v/>
      </c>
      <c r="Q218" s="22">
        <f>O218+I218-P218</f>
        <v/>
      </c>
      <c r="BE218" s="20" t="n">
        <v>45874.5</v>
      </c>
      <c r="BF218" s="20" t="n">
        <v>45874.125</v>
      </c>
      <c r="BG218" s="20" t="n">
        <v>45874.54166666666</v>
      </c>
      <c r="BH218" s="20" t="n">
        <v>45874.625</v>
      </c>
    </row>
    <row r="219">
      <c r="A219" s="5">
        <f>A218+1</f>
        <v/>
      </c>
      <c r="B219" s="3">
        <f>-SUMIFS(df_extrato_zig!G:G,df_extrato_zig!E:E,Conciliacao!A219,df_extrato_zig!D:D,"Saque")-SUMIFS(df_extrato_zig!G:G,df_extrato_zig!E:E,Conciliacao!A219,df_extrato_zig!D:D,"Antecipação")</f>
        <v/>
      </c>
      <c r="C219" s="3">
        <f>SUMIFS(df_extrato_zig!E:E,df_extrato_zig!L:L,Conciliacao!A219,df_extrato_zig!F:F,"DINHEIRO")</f>
        <v/>
      </c>
      <c r="D219" s="3">
        <f>SUMIFS(view_parc_agrup!H:H,view_parc_agrup!G:G,Conciliacao!A219)</f>
        <v/>
      </c>
      <c r="E219" s="3">
        <f>SUMIFS(df_eventos!F:F,df_eventos!H:H,Conciliacao!A219)</f>
        <v/>
      </c>
      <c r="F219" s="3">
        <f>SUMIFS(df_mutuos!M:M,df_mutuos!B:B,Conciliacao!A219)</f>
        <v/>
      </c>
      <c r="G219" s="6">
        <f>SUMIFS(df_bloqueios_judiciais!G:G,df_bloqueios_judiciais!D:D,Conciliacao!A219,df_bloqueios_judiciais!G:G,"&gt;0")</f>
        <v/>
      </c>
      <c r="H219" s="7">
        <f>SUMIFS(df_extratos!I:I,df_extratos!F:F,Conciliacao!BE219,df_extratos!G:G,"CREDITO")+SUMIFS(df_extratos!I:I,df_extratos!F:F,Conciliacao!A219,df_extratos!G:G,"CREDITO")+SUMIFS(df_extratos!I:I,df_extratos!F:F,Conciliacao!BF219,df_extratos!G:G,"CREDITO")+SUMIFS(df_extratos!I:I,df_extratos!F:F,Conciliacao!BG219,df_extratos!G:G,"CREDITO")+SUMIFS(df_extratos!I:I,df_extratos!F:F,Conciliacao!BH219,df_extratos!G:G,"CREDITO")</f>
        <v/>
      </c>
      <c r="I219" s="9">
        <f>H219-SUM(B219:G219)</f>
        <v/>
      </c>
      <c r="J219" s="4">
        <f>SUMIFS(df_blueme_sem_parcelamento!E:E,df_blueme_sem_parcelamento!H:H,Conciliacao!A219)*(-1)</f>
        <v/>
      </c>
      <c r="K219" s="4">
        <f>SUMIFS(df_blueme_com_parcelamento!J:J,df_blueme_com_parcelamento!M:M,Conciliacao!A219)*(-1)</f>
        <v/>
      </c>
      <c r="L219" s="4">
        <f>SUMIFS(df_mutuos!N:N,df_mutuos!B:B,Conciliacao!A219)*(-1)</f>
        <v/>
      </c>
      <c r="M219" s="8">
        <f>SUMIFS(df_bloqueios_judiciais!G:G,df_bloqueios_judiciais!D:D,Conciliacao!A219,df_bloqueios_judiciais!G:G,"&lt;0")</f>
        <v/>
      </c>
      <c r="N219" s="10">
        <f>SUMIFS(df_extratos!I:I,df_extratos!F:F,Conciliacao!BE219,df_extratos!G:G,"DEBITO")+SUMIFS(df_extratos!I:I,df_extratos!F:F,Conciliacao!A219,df_extratos!G:G,"DEBITO")+SUMIFS(df_extratos!I:I,df_extratos!F:F,Conciliacao!BF219,df_extratos!G:G,"DEBITO")+SUMIFS(df_extratos!I:I,df_extratos!F:F,Conciliacao!BG219,df_extratos!G:G,"DEBITO")+SUMIFS(df_extratos!I:I,df_extratos!F:F,Conciliacao!BH219,df_extratos!G:G,"DEBITO")</f>
        <v/>
      </c>
      <c r="O219" s="11">
        <f>N219-SUM(J219:M219)</f>
        <v/>
      </c>
      <c r="P219" s="25">
        <f>SUMIFS(df_ajustes_conciliaco!D:D,df_ajustes_conciliaco!C:C,Conciliacao!A219)</f>
        <v/>
      </c>
      <c r="Q219" s="22">
        <f>O219+I219-P219</f>
        <v/>
      </c>
      <c r="BE219" s="20" t="n">
        <v>45875.5</v>
      </c>
      <c r="BF219" s="20" t="n">
        <v>45875.125</v>
      </c>
      <c r="BG219" s="20" t="n">
        <v>45875.54166666666</v>
      </c>
      <c r="BH219" s="20" t="n">
        <v>45875.625</v>
      </c>
    </row>
    <row r="220">
      <c r="A220" s="5">
        <f>A219+1</f>
        <v/>
      </c>
      <c r="B220" s="3">
        <f>-SUMIFS(df_extrato_zig!G:G,df_extrato_zig!E:E,Conciliacao!A220,df_extrato_zig!D:D,"Saque")-SUMIFS(df_extrato_zig!G:G,df_extrato_zig!E:E,Conciliacao!A220,df_extrato_zig!D:D,"Antecipação")</f>
        <v/>
      </c>
      <c r="C220" s="3">
        <f>SUMIFS(df_extrato_zig!E:E,df_extrato_zig!L:L,Conciliacao!A220,df_extrato_zig!F:F,"DINHEIRO")</f>
        <v/>
      </c>
      <c r="D220" s="3">
        <f>SUMIFS(view_parc_agrup!H:H,view_parc_agrup!G:G,Conciliacao!A220)</f>
        <v/>
      </c>
      <c r="E220" s="3">
        <f>SUMIFS(df_eventos!F:F,df_eventos!H:H,Conciliacao!A220)</f>
        <v/>
      </c>
      <c r="F220" s="3">
        <f>SUMIFS(df_mutuos!M:M,df_mutuos!B:B,Conciliacao!A220)</f>
        <v/>
      </c>
      <c r="G220" s="6">
        <f>SUMIFS(df_bloqueios_judiciais!G:G,df_bloqueios_judiciais!D:D,Conciliacao!A220,df_bloqueios_judiciais!G:G,"&gt;0")</f>
        <v/>
      </c>
      <c r="H220" s="7">
        <f>SUMIFS(df_extratos!I:I,df_extratos!F:F,Conciliacao!BE220,df_extratos!G:G,"CREDITO")+SUMIFS(df_extratos!I:I,df_extratos!F:F,Conciliacao!A220,df_extratos!G:G,"CREDITO")+SUMIFS(df_extratos!I:I,df_extratos!F:F,Conciliacao!BF220,df_extratos!G:G,"CREDITO")+SUMIFS(df_extratos!I:I,df_extratos!F:F,Conciliacao!BG220,df_extratos!G:G,"CREDITO")+SUMIFS(df_extratos!I:I,df_extratos!F:F,Conciliacao!BH220,df_extratos!G:G,"CREDITO")</f>
        <v/>
      </c>
      <c r="I220" s="9">
        <f>H220-SUM(B220:G220)</f>
        <v/>
      </c>
      <c r="J220" s="4">
        <f>SUMIFS(df_blueme_sem_parcelamento!E:E,df_blueme_sem_parcelamento!H:H,Conciliacao!A220)*(-1)</f>
        <v/>
      </c>
      <c r="K220" s="4">
        <f>SUMIFS(df_blueme_com_parcelamento!J:J,df_blueme_com_parcelamento!M:M,Conciliacao!A220)*(-1)</f>
        <v/>
      </c>
      <c r="L220" s="4">
        <f>SUMIFS(df_mutuos!N:N,df_mutuos!B:B,Conciliacao!A220)*(-1)</f>
        <v/>
      </c>
      <c r="M220" s="8">
        <f>SUMIFS(df_bloqueios_judiciais!G:G,df_bloqueios_judiciais!D:D,Conciliacao!A220,df_bloqueios_judiciais!G:G,"&lt;0")</f>
        <v/>
      </c>
      <c r="N220" s="10">
        <f>SUMIFS(df_extratos!I:I,df_extratos!F:F,Conciliacao!BE220,df_extratos!G:G,"DEBITO")+SUMIFS(df_extratos!I:I,df_extratos!F:F,Conciliacao!A220,df_extratos!G:G,"DEBITO")+SUMIFS(df_extratos!I:I,df_extratos!F:F,Conciliacao!BF220,df_extratos!G:G,"DEBITO")+SUMIFS(df_extratos!I:I,df_extratos!F:F,Conciliacao!BG220,df_extratos!G:G,"DEBITO")+SUMIFS(df_extratos!I:I,df_extratos!F:F,Conciliacao!BH220,df_extratos!G:G,"DEBITO")</f>
        <v/>
      </c>
      <c r="O220" s="11">
        <f>N220-SUM(J220:M220)</f>
        <v/>
      </c>
      <c r="P220" s="25">
        <f>SUMIFS(df_ajustes_conciliaco!D:D,df_ajustes_conciliaco!C:C,Conciliacao!A220)</f>
        <v/>
      </c>
      <c r="Q220" s="22">
        <f>O220+I220-P220</f>
        <v/>
      </c>
      <c r="BE220" s="20" t="n">
        <v>45876.5</v>
      </c>
      <c r="BF220" s="20" t="n">
        <v>45876.125</v>
      </c>
      <c r="BG220" s="20" t="n">
        <v>45876.54166666666</v>
      </c>
      <c r="BH220" s="20" t="n">
        <v>45876.625</v>
      </c>
    </row>
    <row r="221">
      <c r="A221" s="5">
        <f>A220+1</f>
        <v/>
      </c>
      <c r="B221" s="3">
        <f>-SUMIFS(df_extrato_zig!G:G,df_extrato_zig!E:E,Conciliacao!A221,df_extrato_zig!D:D,"Saque")-SUMIFS(df_extrato_zig!G:G,df_extrato_zig!E:E,Conciliacao!A221,df_extrato_zig!D:D,"Antecipação")</f>
        <v/>
      </c>
      <c r="C221" s="3">
        <f>SUMIFS(df_extrato_zig!E:E,df_extrato_zig!L:L,Conciliacao!A221,df_extrato_zig!F:F,"DINHEIRO")</f>
        <v/>
      </c>
      <c r="D221" s="3">
        <f>SUMIFS(view_parc_agrup!H:H,view_parc_agrup!G:G,Conciliacao!A221)</f>
        <v/>
      </c>
      <c r="E221" s="3">
        <f>SUMIFS(df_eventos!F:F,df_eventos!H:H,Conciliacao!A221)</f>
        <v/>
      </c>
      <c r="F221" s="3">
        <f>SUMIFS(df_mutuos!M:M,df_mutuos!B:B,Conciliacao!A221)</f>
        <v/>
      </c>
      <c r="G221" s="6">
        <f>SUMIFS(df_bloqueios_judiciais!G:G,df_bloqueios_judiciais!D:D,Conciliacao!A221,df_bloqueios_judiciais!G:G,"&gt;0")</f>
        <v/>
      </c>
      <c r="H221" s="7">
        <f>SUMIFS(df_extratos!I:I,df_extratos!F:F,Conciliacao!BE221,df_extratos!G:G,"CREDITO")+SUMIFS(df_extratos!I:I,df_extratos!F:F,Conciliacao!A221,df_extratos!G:G,"CREDITO")+SUMIFS(df_extratos!I:I,df_extratos!F:F,Conciliacao!BF221,df_extratos!G:G,"CREDITO")+SUMIFS(df_extratos!I:I,df_extratos!F:F,Conciliacao!BG221,df_extratos!G:G,"CREDITO")+SUMIFS(df_extratos!I:I,df_extratos!F:F,Conciliacao!BH221,df_extratos!G:G,"CREDITO")</f>
        <v/>
      </c>
      <c r="I221" s="9">
        <f>H221-SUM(B221:G221)</f>
        <v/>
      </c>
      <c r="J221" s="4">
        <f>SUMIFS(df_blueme_sem_parcelamento!E:E,df_blueme_sem_parcelamento!H:H,Conciliacao!A221)*(-1)</f>
        <v/>
      </c>
      <c r="K221" s="4">
        <f>SUMIFS(df_blueme_com_parcelamento!J:J,df_blueme_com_parcelamento!M:M,Conciliacao!A221)*(-1)</f>
        <v/>
      </c>
      <c r="L221" s="4">
        <f>SUMIFS(df_mutuos!N:N,df_mutuos!B:B,Conciliacao!A221)*(-1)</f>
        <v/>
      </c>
      <c r="M221" s="8">
        <f>SUMIFS(df_bloqueios_judiciais!G:G,df_bloqueios_judiciais!D:D,Conciliacao!A221,df_bloqueios_judiciais!G:G,"&lt;0")</f>
        <v/>
      </c>
      <c r="N221" s="10">
        <f>SUMIFS(df_extratos!I:I,df_extratos!F:F,Conciliacao!BE221,df_extratos!G:G,"DEBITO")+SUMIFS(df_extratos!I:I,df_extratos!F:F,Conciliacao!A221,df_extratos!G:G,"DEBITO")+SUMIFS(df_extratos!I:I,df_extratos!F:F,Conciliacao!BF221,df_extratos!G:G,"DEBITO")+SUMIFS(df_extratos!I:I,df_extratos!F:F,Conciliacao!BG221,df_extratos!G:G,"DEBITO")+SUMIFS(df_extratos!I:I,df_extratos!F:F,Conciliacao!BH221,df_extratos!G:G,"DEBITO")</f>
        <v/>
      </c>
      <c r="O221" s="11">
        <f>N221-SUM(J221:M221)</f>
        <v/>
      </c>
      <c r="P221" s="25">
        <f>SUMIFS(df_ajustes_conciliaco!D:D,df_ajustes_conciliaco!C:C,Conciliacao!A221)</f>
        <v/>
      </c>
      <c r="Q221" s="22">
        <f>O221+I221-P221</f>
        <v/>
      </c>
      <c r="BE221" s="20" t="n">
        <v>45877.5</v>
      </c>
      <c r="BF221" s="20" t="n">
        <v>45877.125</v>
      </c>
      <c r="BG221" s="20" t="n">
        <v>45877.54166666666</v>
      </c>
      <c r="BH221" s="20" t="n">
        <v>45877.625</v>
      </c>
    </row>
    <row r="222">
      <c r="A222" s="5">
        <f>A221+1</f>
        <v/>
      </c>
      <c r="B222" s="3">
        <f>-SUMIFS(df_extrato_zig!G:G,df_extrato_zig!E:E,Conciliacao!A222,df_extrato_zig!D:D,"Saque")-SUMIFS(df_extrato_zig!G:G,df_extrato_zig!E:E,Conciliacao!A222,df_extrato_zig!D:D,"Antecipação")</f>
        <v/>
      </c>
      <c r="C222" s="3">
        <f>SUMIFS(df_extrato_zig!E:E,df_extrato_zig!L:L,Conciliacao!A222,df_extrato_zig!F:F,"DINHEIRO")</f>
        <v/>
      </c>
      <c r="D222" s="3">
        <f>SUMIFS(view_parc_agrup!H:H,view_parc_agrup!G:G,Conciliacao!A222)</f>
        <v/>
      </c>
      <c r="E222" s="3">
        <f>SUMIFS(df_eventos!F:F,df_eventos!H:H,Conciliacao!A222)</f>
        <v/>
      </c>
      <c r="F222" s="3">
        <f>SUMIFS(df_mutuos!M:M,df_mutuos!B:B,Conciliacao!A222)</f>
        <v/>
      </c>
      <c r="G222" s="6">
        <f>SUMIFS(df_bloqueios_judiciais!G:G,df_bloqueios_judiciais!D:D,Conciliacao!A222,df_bloqueios_judiciais!G:G,"&gt;0")</f>
        <v/>
      </c>
      <c r="H222" s="7">
        <f>SUMIFS(df_extratos!I:I,df_extratos!F:F,Conciliacao!BE222,df_extratos!G:G,"CREDITO")+SUMIFS(df_extratos!I:I,df_extratos!F:F,Conciliacao!A222,df_extratos!G:G,"CREDITO")+SUMIFS(df_extratos!I:I,df_extratos!F:F,Conciliacao!BF222,df_extratos!G:G,"CREDITO")+SUMIFS(df_extratos!I:I,df_extratos!F:F,Conciliacao!BG222,df_extratos!G:G,"CREDITO")+SUMIFS(df_extratos!I:I,df_extratos!F:F,Conciliacao!BH222,df_extratos!G:G,"CREDITO")</f>
        <v/>
      </c>
      <c r="I222" s="9">
        <f>H222-SUM(B222:G222)</f>
        <v/>
      </c>
      <c r="J222" s="4">
        <f>SUMIFS(df_blueme_sem_parcelamento!E:E,df_blueme_sem_parcelamento!H:H,Conciliacao!A222)*(-1)</f>
        <v/>
      </c>
      <c r="K222" s="4">
        <f>SUMIFS(df_blueme_com_parcelamento!J:J,df_blueme_com_parcelamento!M:M,Conciliacao!A222)*(-1)</f>
        <v/>
      </c>
      <c r="L222" s="4">
        <f>SUMIFS(df_mutuos!N:N,df_mutuos!B:B,Conciliacao!A222)*(-1)</f>
        <v/>
      </c>
      <c r="M222" s="8">
        <f>SUMIFS(df_bloqueios_judiciais!G:G,df_bloqueios_judiciais!D:D,Conciliacao!A222,df_bloqueios_judiciais!G:G,"&lt;0")</f>
        <v/>
      </c>
      <c r="N222" s="10">
        <f>SUMIFS(df_extratos!I:I,df_extratos!F:F,Conciliacao!BE222,df_extratos!G:G,"DEBITO")+SUMIFS(df_extratos!I:I,df_extratos!F:F,Conciliacao!A222,df_extratos!G:G,"DEBITO")+SUMIFS(df_extratos!I:I,df_extratos!F:F,Conciliacao!BF222,df_extratos!G:G,"DEBITO")+SUMIFS(df_extratos!I:I,df_extratos!F:F,Conciliacao!BG222,df_extratos!G:G,"DEBITO")+SUMIFS(df_extratos!I:I,df_extratos!F:F,Conciliacao!BH222,df_extratos!G:G,"DEBITO")</f>
        <v/>
      </c>
      <c r="O222" s="11">
        <f>N222-SUM(J222:M222)</f>
        <v/>
      </c>
      <c r="P222" s="25">
        <f>SUMIFS(df_ajustes_conciliaco!D:D,df_ajustes_conciliaco!C:C,Conciliacao!A222)</f>
        <v/>
      </c>
      <c r="Q222" s="22">
        <f>O222+I222-P222</f>
        <v/>
      </c>
      <c r="BE222" s="20" t="n">
        <v>45878.5</v>
      </c>
      <c r="BF222" s="20" t="n">
        <v>45878.125</v>
      </c>
      <c r="BG222" s="20" t="n">
        <v>45878.54166666666</v>
      </c>
      <c r="BH222" s="20" t="n">
        <v>45878.625</v>
      </c>
    </row>
    <row r="223">
      <c r="A223" s="5">
        <f>A222+1</f>
        <v/>
      </c>
      <c r="B223" s="3">
        <f>-SUMIFS(df_extrato_zig!G:G,df_extrato_zig!E:E,Conciliacao!A223,df_extrato_zig!D:D,"Saque")-SUMIFS(df_extrato_zig!G:G,df_extrato_zig!E:E,Conciliacao!A223,df_extrato_zig!D:D,"Antecipação")</f>
        <v/>
      </c>
      <c r="C223" s="3">
        <f>SUMIFS(df_extrato_zig!E:E,df_extrato_zig!L:L,Conciliacao!A223,df_extrato_zig!F:F,"DINHEIRO")</f>
        <v/>
      </c>
      <c r="D223" s="3">
        <f>SUMIFS(view_parc_agrup!H:H,view_parc_agrup!G:G,Conciliacao!A223)</f>
        <v/>
      </c>
      <c r="E223" s="3">
        <f>SUMIFS(df_eventos!F:F,df_eventos!H:H,Conciliacao!A223)</f>
        <v/>
      </c>
      <c r="F223" s="3">
        <f>SUMIFS(df_mutuos!M:M,df_mutuos!B:B,Conciliacao!A223)</f>
        <v/>
      </c>
      <c r="G223" s="6">
        <f>SUMIFS(df_bloqueios_judiciais!G:G,df_bloqueios_judiciais!D:D,Conciliacao!A223,df_bloqueios_judiciais!G:G,"&gt;0")</f>
        <v/>
      </c>
      <c r="H223" s="7">
        <f>SUMIFS(df_extratos!I:I,df_extratos!F:F,Conciliacao!BE223,df_extratos!G:G,"CREDITO")+SUMIFS(df_extratos!I:I,df_extratos!F:F,Conciliacao!A223,df_extratos!G:G,"CREDITO")+SUMIFS(df_extratos!I:I,df_extratos!F:F,Conciliacao!BF223,df_extratos!G:G,"CREDITO")+SUMIFS(df_extratos!I:I,df_extratos!F:F,Conciliacao!BG223,df_extratos!G:G,"CREDITO")+SUMIFS(df_extratos!I:I,df_extratos!F:F,Conciliacao!BH223,df_extratos!G:G,"CREDITO")</f>
        <v/>
      </c>
      <c r="I223" s="9">
        <f>H223-SUM(B223:G223)</f>
        <v/>
      </c>
      <c r="J223" s="4">
        <f>SUMIFS(df_blueme_sem_parcelamento!E:E,df_blueme_sem_parcelamento!H:H,Conciliacao!A223)*(-1)</f>
        <v/>
      </c>
      <c r="K223" s="4">
        <f>SUMIFS(df_blueme_com_parcelamento!J:J,df_blueme_com_parcelamento!M:M,Conciliacao!A223)*(-1)</f>
        <v/>
      </c>
      <c r="L223" s="4">
        <f>SUMIFS(df_mutuos!N:N,df_mutuos!B:B,Conciliacao!A223)*(-1)</f>
        <v/>
      </c>
      <c r="M223" s="8">
        <f>SUMIFS(df_bloqueios_judiciais!G:G,df_bloqueios_judiciais!D:D,Conciliacao!A223,df_bloqueios_judiciais!G:G,"&lt;0")</f>
        <v/>
      </c>
      <c r="N223" s="10">
        <f>SUMIFS(df_extratos!I:I,df_extratos!F:F,Conciliacao!BE223,df_extratos!G:G,"DEBITO")+SUMIFS(df_extratos!I:I,df_extratos!F:F,Conciliacao!A223,df_extratos!G:G,"DEBITO")+SUMIFS(df_extratos!I:I,df_extratos!F:F,Conciliacao!BF223,df_extratos!G:G,"DEBITO")+SUMIFS(df_extratos!I:I,df_extratos!F:F,Conciliacao!BG223,df_extratos!G:G,"DEBITO")+SUMIFS(df_extratos!I:I,df_extratos!F:F,Conciliacao!BH223,df_extratos!G:G,"DEBITO")</f>
        <v/>
      </c>
      <c r="O223" s="11">
        <f>N223-SUM(J223:M223)</f>
        <v/>
      </c>
      <c r="P223" s="25">
        <f>SUMIFS(df_ajustes_conciliaco!D:D,df_ajustes_conciliaco!C:C,Conciliacao!A223)</f>
        <v/>
      </c>
      <c r="Q223" s="22">
        <f>O223+I223-P223</f>
        <v/>
      </c>
      <c r="BE223" s="20" t="n">
        <v>45879.5</v>
      </c>
      <c r="BF223" s="20" t="n">
        <v>45879.125</v>
      </c>
      <c r="BG223" s="20" t="n">
        <v>45879.54166666666</v>
      </c>
      <c r="BH223" s="20" t="n">
        <v>45879.625</v>
      </c>
    </row>
    <row r="224">
      <c r="A224" s="5">
        <f>A223+1</f>
        <v/>
      </c>
      <c r="B224" s="3">
        <f>-SUMIFS(df_extrato_zig!G:G,df_extrato_zig!E:E,Conciliacao!A224,df_extrato_zig!D:D,"Saque")-SUMIFS(df_extrato_zig!G:G,df_extrato_zig!E:E,Conciliacao!A224,df_extrato_zig!D:D,"Antecipação")</f>
        <v/>
      </c>
      <c r="C224" s="3">
        <f>SUMIFS(df_extrato_zig!E:E,df_extrato_zig!L:L,Conciliacao!A224,df_extrato_zig!F:F,"DINHEIRO")</f>
        <v/>
      </c>
      <c r="D224" s="3">
        <f>SUMIFS(view_parc_agrup!H:H,view_parc_agrup!G:G,Conciliacao!A224)</f>
        <v/>
      </c>
      <c r="E224" s="3">
        <f>SUMIFS(df_eventos!F:F,df_eventos!H:H,Conciliacao!A224)</f>
        <v/>
      </c>
      <c r="F224" s="3">
        <f>SUMIFS(df_mutuos!M:M,df_mutuos!B:B,Conciliacao!A224)</f>
        <v/>
      </c>
      <c r="G224" s="6">
        <f>SUMIFS(df_bloqueios_judiciais!G:G,df_bloqueios_judiciais!D:D,Conciliacao!A224,df_bloqueios_judiciais!G:G,"&gt;0")</f>
        <v/>
      </c>
      <c r="H224" s="7">
        <f>SUMIFS(df_extratos!I:I,df_extratos!F:F,Conciliacao!BE224,df_extratos!G:G,"CREDITO")+SUMIFS(df_extratos!I:I,df_extratos!F:F,Conciliacao!A224,df_extratos!G:G,"CREDITO")+SUMIFS(df_extratos!I:I,df_extratos!F:F,Conciliacao!BF224,df_extratos!G:G,"CREDITO")+SUMIFS(df_extratos!I:I,df_extratos!F:F,Conciliacao!BG224,df_extratos!G:G,"CREDITO")+SUMIFS(df_extratos!I:I,df_extratos!F:F,Conciliacao!BH224,df_extratos!G:G,"CREDITO")</f>
        <v/>
      </c>
      <c r="I224" s="9">
        <f>H224-SUM(B224:G224)</f>
        <v/>
      </c>
      <c r="J224" s="4">
        <f>SUMIFS(df_blueme_sem_parcelamento!E:E,df_blueme_sem_parcelamento!H:H,Conciliacao!A224)*(-1)</f>
        <v/>
      </c>
      <c r="K224" s="4">
        <f>SUMIFS(df_blueme_com_parcelamento!J:J,df_blueme_com_parcelamento!M:M,Conciliacao!A224)*(-1)</f>
        <v/>
      </c>
      <c r="L224" s="4">
        <f>SUMIFS(df_mutuos!N:N,df_mutuos!B:B,Conciliacao!A224)*(-1)</f>
        <v/>
      </c>
      <c r="M224" s="8">
        <f>SUMIFS(df_bloqueios_judiciais!G:G,df_bloqueios_judiciais!D:D,Conciliacao!A224,df_bloqueios_judiciais!G:G,"&lt;0")</f>
        <v/>
      </c>
      <c r="N224" s="10">
        <f>SUMIFS(df_extratos!I:I,df_extratos!F:F,Conciliacao!BE224,df_extratos!G:G,"DEBITO")+SUMIFS(df_extratos!I:I,df_extratos!F:F,Conciliacao!A224,df_extratos!G:G,"DEBITO")+SUMIFS(df_extratos!I:I,df_extratos!F:F,Conciliacao!BF224,df_extratos!G:G,"DEBITO")+SUMIFS(df_extratos!I:I,df_extratos!F:F,Conciliacao!BG224,df_extratos!G:G,"DEBITO")+SUMIFS(df_extratos!I:I,df_extratos!F:F,Conciliacao!BH224,df_extratos!G:G,"DEBITO")</f>
        <v/>
      </c>
      <c r="O224" s="11">
        <f>N224-SUM(J224:M224)</f>
        <v/>
      </c>
      <c r="P224" s="25">
        <f>SUMIFS(df_ajustes_conciliaco!D:D,df_ajustes_conciliaco!C:C,Conciliacao!A224)</f>
        <v/>
      </c>
      <c r="Q224" s="22">
        <f>O224+I224-P224</f>
        <v/>
      </c>
      <c r="BE224" s="20" t="n">
        <v>45880.5</v>
      </c>
      <c r="BF224" s="20" t="n">
        <v>45880.125</v>
      </c>
      <c r="BG224" s="20" t="n">
        <v>45880.54166666666</v>
      </c>
      <c r="BH224" s="20" t="n">
        <v>45880.625</v>
      </c>
    </row>
    <row r="225">
      <c r="A225" s="5">
        <f>A224+1</f>
        <v/>
      </c>
      <c r="B225" s="3">
        <f>-SUMIFS(df_extrato_zig!G:G,df_extrato_zig!E:E,Conciliacao!A225,df_extrato_zig!D:D,"Saque")-SUMIFS(df_extrato_zig!G:G,df_extrato_zig!E:E,Conciliacao!A225,df_extrato_zig!D:D,"Antecipação")</f>
        <v/>
      </c>
      <c r="C225" s="3">
        <f>SUMIFS(df_extrato_zig!E:E,df_extrato_zig!L:L,Conciliacao!A225,df_extrato_zig!F:F,"DINHEIRO")</f>
        <v/>
      </c>
      <c r="D225" s="3">
        <f>SUMIFS(view_parc_agrup!H:H,view_parc_agrup!G:G,Conciliacao!A225)</f>
        <v/>
      </c>
      <c r="E225" s="3">
        <f>SUMIFS(df_eventos!F:F,df_eventos!H:H,Conciliacao!A225)</f>
        <v/>
      </c>
      <c r="F225" s="3">
        <f>SUMIFS(df_mutuos!M:M,df_mutuos!B:B,Conciliacao!A225)</f>
        <v/>
      </c>
      <c r="G225" s="6">
        <f>SUMIFS(df_bloqueios_judiciais!G:G,df_bloqueios_judiciais!D:D,Conciliacao!A225,df_bloqueios_judiciais!G:G,"&gt;0")</f>
        <v/>
      </c>
      <c r="H225" s="7">
        <f>SUMIFS(df_extratos!I:I,df_extratos!F:F,Conciliacao!BE225,df_extratos!G:G,"CREDITO")+SUMIFS(df_extratos!I:I,df_extratos!F:F,Conciliacao!A225,df_extratos!G:G,"CREDITO")+SUMIFS(df_extratos!I:I,df_extratos!F:F,Conciliacao!BF225,df_extratos!G:G,"CREDITO")+SUMIFS(df_extratos!I:I,df_extratos!F:F,Conciliacao!BG225,df_extratos!G:G,"CREDITO")+SUMIFS(df_extratos!I:I,df_extratos!F:F,Conciliacao!BH225,df_extratos!G:G,"CREDITO")</f>
        <v/>
      </c>
      <c r="I225" s="9">
        <f>H225-SUM(B225:G225)</f>
        <v/>
      </c>
      <c r="J225" s="4">
        <f>SUMIFS(df_blueme_sem_parcelamento!E:E,df_blueme_sem_parcelamento!H:H,Conciliacao!A225)*(-1)</f>
        <v/>
      </c>
      <c r="K225" s="4">
        <f>SUMIFS(df_blueme_com_parcelamento!J:J,df_blueme_com_parcelamento!M:M,Conciliacao!A225)*(-1)</f>
        <v/>
      </c>
      <c r="L225" s="4">
        <f>SUMIFS(df_mutuos!N:N,df_mutuos!B:B,Conciliacao!A225)*(-1)</f>
        <v/>
      </c>
      <c r="M225" s="8">
        <f>SUMIFS(df_bloqueios_judiciais!G:G,df_bloqueios_judiciais!D:D,Conciliacao!A225,df_bloqueios_judiciais!G:G,"&lt;0")</f>
        <v/>
      </c>
      <c r="N225" s="10">
        <f>SUMIFS(df_extratos!I:I,df_extratos!F:F,Conciliacao!BE225,df_extratos!G:G,"DEBITO")+SUMIFS(df_extratos!I:I,df_extratos!F:F,Conciliacao!A225,df_extratos!G:G,"DEBITO")+SUMIFS(df_extratos!I:I,df_extratos!F:F,Conciliacao!BF225,df_extratos!G:G,"DEBITO")+SUMIFS(df_extratos!I:I,df_extratos!F:F,Conciliacao!BG225,df_extratos!G:G,"DEBITO")+SUMIFS(df_extratos!I:I,df_extratos!F:F,Conciliacao!BH225,df_extratos!G:G,"DEBITO")</f>
        <v/>
      </c>
      <c r="O225" s="11">
        <f>N225-SUM(J225:M225)</f>
        <v/>
      </c>
      <c r="P225" s="25">
        <f>SUMIFS(df_ajustes_conciliaco!D:D,df_ajustes_conciliaco!C:C,Conciliacao!A225)</f>
        <v/>
      </c>
      <c r="Q225" s="22">
        <f>O225+I225-P225</f>
        <v/>
      </c>
      <c r="BE225" s="20" t="n">
        <v>45881.5</v>
      </c>
      <c r="BF225" s="20" t="n">
        <v>45881.125</v>
      </c>
      <c r="BG225" s="20" t="n">
        <v>45881.54166666666</v>
      </c>
      <c r="BH225" s="20" t="n">
        <v>45881.625</v>
      </c>
    </row>
    <row r="226">
      <c r="A226" s="5">
        <f>A225+1</f>
        <v/>
      </c>
      <c r="B226" s="3">
        <f>-SUMIFS(df_extrato_zig!G:G,df_extrato_zig!E:E,Conciliacao!A226,df_extrato_zig!D:D,"Saque")-SUMIFS(df_extrato_zig!G:G,df_extrato_zig!E:E,Conciliacao!A226,df_extrato_zig!D:D,"Antecipação")</f>
        <v/>
      </c>
      <c r="C226" s="3">
        <f>SUMIFS(df_extrato_zig!E:E,df_extrato_zig!L:L,Conciliacao!A226,df_extrato_zig!F:F,"DINHEIRO")</f>
        <v/>
      </c>
      <c r="D226" s="3">
        <f>SUMIFS(view_parc_agrup!H:H,view_parc_agrup!G:G,Conciliacao!A226)</f>
        <v/>
      </c>
      <c r="E226" s="3">
        <f>SUMIFS(df_eventos!F:F,df_eventos!H:H,Conciliacao!A226)</f>
        <v/>
      </c>
      <c r="F226" s="3">
        <f>SUMIFS(df_mutuos!M:M,df_mutuos!B:B,Conciliacao!A226)</f>
        <v/>
      </c>
      <c r="G226" s="6">
        <f>SUMIFS(df_bloqueios_judiciais!G:G,df_bloqueios_judiciais!D:D,Conciliacao!A226,df_bloqueios_judiciais!G:G,"&gt;0")</f>
        <v/>
      </c>
      <c r="H226" s="7">
        <f>SUMIFS(df_extratos!I:I,df_extratos!F:F,Conciliacao!BE226,df_extratos!G:G,"CREDITO")+SUMIFS(df_extratos!I:I,df_extratos!F:F,Conciliacao!A226,df_extratos!G:G,"CREDITO")+SUMIFS(df_extratos!I:I,df_extratos!F:F,Conciliacao!BF226,df_extratos!G:G,"CREDITO")+SUMIFS(df_extratos!I:I,df_extratos!F:F,Conciliacao!BG226,df_extratos!G:G,"CREDITO")+SUMIFS(df_extratos!I:I,df_extratos!F:F,Conciliacao!BH226,df_extratos!G:G,"CREDITO")</f>
        <v/>
      </c>
      <c r="I226" s="9">
        <f>H226-SUM(B226:G226)</f>
        <v/>
      </c>
      <c r="J226" s="4">
        <f>SUMIFS(df_blueme_sem_parcelamento!E:E,df_blueme_sem_parcelamento!H:H,Conciliacao!A226)*(-1)</f>
        <v/>
      </c>
      <c r="K226" s="4">
        <f>SUMIFS(df_blueme_com_parcelamento!J:J,df_blueme_com_parcelamento!M:M,Conciliacao!A226)*(-1)</f>
        <v/>
      </c>
      <c r="L226" s="4">
        <f>SUMIFS(df_mutuos!N:N,df_mutuos!B:B,Conciliacao!A226)*(-1)</f>
        <v/>
      </c>
      <c r="M226" s="8">
        <f>SUMIFS(df_bloqueios_judiciais!G:G,df_bloqueios_judiciais!D:D,Conciliacao!A226,df_bloqueios_judiciais!G:G,"&lt;0")</f>
        <v/>
      </c>
      <c r="N226" s="10">
        <f>SUMIFS(df_extratos!I:I,df_extratos!F:F,Conciliacao!BE226,df_extratos!G:G,"DEBITO")+SUMIFS(df_extratos!I:I,df_extratos!F:F,Conciliacao!A226,df_extratos!G:G,"DEBITO")+SUMIFS(df_extratos!I:I,df_extratos!F:F,Conciliacao!BF226,df_extratos!G:G,"DEBITO")+SUMIFS(df_extratos!I:I,df_extratos!F:F,Conciliacao!BG226,df_extratos!G:G,"DEBITO")+SUMIFS(df_extratos!I:I,df_extratos!F:F,Conciliacao!BH226,df_extratos!G:G,"DEBITO")</f>
        <v/>
      </c>
      <c r="O226" s="11">
        <f>N226-SUM(J226:M226)</f>
        <v/>
      </c>
      <c r="P226" s="25">
        <f>SUMIFS(df_ajustes_conciliaco!D:D,df_ajustes_conciliaco!C:C,Conciliacao!A226)</f>
        <v/>
      </c>
      <c r="Q226" s="22">
        <f>O226+I226-P226</f>
        <v/>
      </c>
      <c r="BE226" s="20" t="n">
        <v>45882.5</v>
      </c>
      <c r="BF226" s="20" t="n">
        <v>45882.125</v>
      </c>
      <c r="BG226" s="20" t="n">
        <v>45882.54166666666</v>
      </c>
      <c r="BH226" s="20" t="n">
        <v>45882.625</v>
      </c>
    </row>
    <row r="227">
      <c r="A227" s="5">
        <f>A226+1</f>
        <v/>
      </c>
      <c r="B227" s="3">
        <f>-SUMIFS(df_extrato_zig!G:G,df_extrato_zig!E:E,Conciliacao!A227,df_extrato_zig!D:D,"Saque")-SUMIFS(df_extrato_zig!G:G,df_extrato_zig!E:E,Conciliacao!A227,df_extrato_zig!D:D,"Antecipação")</f>
        <v/>
      </c>
      <c r="C227" s="3">
        <f>SUMIFS(df_extrato_zig!E:E,df_extrato_zig!L:L,Conciliacao!A227,df_extrato_zig!F:F,"DINHEIRO")</f>
        <v/>
      </c>
      <c r="D227" s="3">
        <f>SUMIFS(view_parc_agrup!H:H,view_parc_agrup!G:G,Conciliacao!A227)</f>
        <v/>
      </c>
      <c r="E227" s="3">
        <f>SUMIFS(df_eventos!F:F,df_eventos!H:H,Conciliacao!A227)</f>
        <v/>
      </c>
      <c r="F227" s="3">
        <f>SUMIFS(df_mutuos!M:M,df_mutuos!B:B,Conciliacao!A227)</f>
        <v/>
      </c>
      <c r="G227" s="6">
        <f>SUMIFS(df_bloqueios_judiciais!G:G,df_bloqueios_judiciais!D:D,Conciliacao!A227,df_bloqueios_judiciais!G:G,"&gt;0")</f>
        <v/>
      </c>
      <c r="H227" s="7">
        <f>SUMIFS(df_extratos!I:I,df_extratos!F:F,Conciliacao!BE227,df_extratos!G:G,"CREDITO")+SUMIFS(df_extratos!I:I,df_extratos!F:F,Conciliacao!A227,df_extratos!G:G,"CREDITO")+SUMIFS(df_extratos!I:I,df_extratos!F:F,Conciliacao!BF227,df_extratos!G:G,"CREDITO")+SUMIFS(df_extratos!I:I,df_extratos!F:F,Conciliacao!BG227,df_extratos!G:G,"CREDITO")+SUMIFS(df_extratos!I:I,df_extratos!F:F,Conciliacao!BH227,df_extratos!G:G,"CREDITO")</f>
        <v/>
      </c>
      <c r="I227" s="9">
        <f>H227-SUM(B227:G227)</f>
        <v/>
      </c>
      <c r="J227" s="4">
        <f>SUMIFS(df_blueme_sem_parcelamento!E:E,df_blueme_sem_parcelamento!H:H,Conciliacao!A227)*(-1)</f>
        <v/>
      </c>
      <c r="K227" s="4">
        <f>SUMIFS(df_blueme_com_parcelamento!J:J,df_blueme_com_parcelamento!M:M,Conciliacao!A227)*(-1)</f>
        <v/>
      </c>
      <c r="L227" s="4">
        <f>SUMIFS(df_mutuos!N:N,df_mutuos!B:B,Conciliacao!A227)*(-1)</f>
        <v/>
      </c>
      <c r="M227" s="8">
        <f>SUMIFS(df_bloqueios_judiciais!G:G,df_bloqueios_judiciais!D:D,Conciliacao!A227,df_bloqueios_judiciais!G:G,"&lt;0")</f>
        <v/>
      </c>
      <c r="N227" s="10">
        <f>SUMIFS(df_extratos!I:I,df_extratos!F:F,Conciliacao!BE227,df_extratos!G:G,"DEBITO")+SUMIFS(df_extratos!I:I,df_extratos!F:F,Conciliacao!A227,df_extratos!G:G,"DEBITO")+SUMIFS(df_extratos!I:I,df_extratos!F:F,Conciliacao!BF227,df_extratos!G:G,"DEBITO")+SUMIFS(df_extratos!I:I,df_extratos!F:F,Conciliacao!BG227,df_extratos!G:G,"DEBITO")+SUMIFS(df_extratos!I:I,df_extratos!F:F,Conciliacao!BH227,df_extratos!G:G,"DEBITO")</f>
        <v/>
      </c>
      <c r="O227" s="11">
        <f>N227-SUM(J227:M227)</f>
        <v/>
      </c>
      <c r="P227" s="25">
        <f>SUMIFS(df_ajustes_conciliaco!D:D,df_ajustes_conciliaco!C:C,Conciliacao!A227)</f>
        <v/>
      </c>
      <c r="Q227" s="22">
        <f>O227+I227-P227</f>
        <v/>
      </c>
      <c r="BE227" s="20" t="n">
        <v>45883.5</v>
      </c>
      <c r="BF227" s="20" t="n">
        <v>45883.125</v>
      </c>
      <c r="BG227" s="20" t="n">
        <v>45883.54166666666</v>
      </c>
      <c r="BH227" s="20" t="n">
        <v>45883.625</v>
      </c>
    </row>
    <row r="228">
      <c r="A228" s="5">
        <f>A227+1</f>
        <v/>
      </c>
      <c r="B228" s="3">
        <f>-SUMIFS(df_extrato_zig!G:G,df_extrato_zig!E:E,Conciliacao!A228,df_extrato_zig!D:D,"Saque")-SUMIFS(df_extrato_zig!G:G,df_extrato_zig!E:E,Conciliacao!A228,df_extrato_zig!D:D,"Antecipação")</f>
        <v/>
      </c>
      <c r="C228" s="3">
        <f>SUMIFS(df_extrato_zig!E:E,df_extrato_zig!L:L,Conciliacao!A228,df_extrato_zig!F:F,"DINHEIRO")</f>
        <v/>
      </c>
      <c r="D228" s="3">
        <f>SUMIFS(view_parc_agrup!H:H,view_parc_agrup!G:G,Conciliacao!A228)</f>
        <v/>
      </c>
      <c r="E228" s="3">
        <f>SUMIFS(df_eventos!F:F,df_eventos!H:H,Conciliacao!A228)</f>
        <v/>
      </c>
      <c r="F228" s="3">
        <f>SUMIFS(df_mutuos!M:M,df_mutuos!B:B,Conciliacao!A228)</f>
        <v/>
      </c>
      <c r="G228" s="6">
        <f>SUMIFS(df_bloqueios_judiciais!G:G,df_bloqueios_judiciais!D:D,Conciliacao!A228,df_bloqueios_judiciais!G:G,"&gt;0")</f>
        <v/>
      </c>
      <c r="H228" s="7">
        <f>SUMIFS(df_extratos!I:I,df_extratos!F:F,Conciliacao!BE228,df_extratos!G:G,"CREDITO")+SUMIFS(df_extratos!I:I,df_extratos!F:F,Conciliacao!A228,df_extratos!G:G,"CREDITO")+SUMIFS(df_extratos!I:I,df_extratos!F:F,Conciliacao!BF228,df_extratos!G:G,"CREDITO")+SUMIFS(df_extratos!I:I,df_extratos!F:F,Conciliacao!BG228,df_extratos!G:G,"CREDITO")+SUMIFS(df_extratos!I:I,df_extratos!F:F,Conciliacao!BH228,df_extratos!G:G,"CREDITO")</f>
        <v/>
      </c>
      <c r="I228" s="9">
        <f>H228-SUM(B228:G228)</f>
        <v/>
      </c>
      <c r="J228" s="4">
        <f>SUMIFS(df_blueme_sem_parcelamento!E:E,df_blueme_sem_parcelamento!H:H,Conciliacao!A228)*(-1)</f>
        <v/>
      </c>
      <c r="K228" s="4">
        <f>SUMIFS(df_blueme_com_parcelamento!J:J,df_blueme_com_parcelamento!M:M,Conciliacao!A228)*(-1)</f>
        <v/>
      </c>
      <c r="L228" s="4">
        <f>SUMIFS(df_mutuos!N:N,df_mutuos!B:B,Conciliacao!A228)*(-1)</f>
        <v/>
      </c>
      <c r="M228" s="8">
        <f>SUMIFS(df_bloqueios_judiciais!G:G,df_bloqueios_judiciais!D:D,Conciliacao!A228,df_bloqueios_judiciais!G:G,"&lt;0")</f>
        <v/>
      </c>
      <c r="N228" s="10">
        <f>SUMIFS(df_extratos!I:I,df_extratos!F:F,Conciliacao!BE228,df_extratos!G:G,"DEBITO")+SUMIFS(df_extratos!I:I,df_extratos!F:F,Conciliacao!A228,df_extratos!G:G,"DEBITO")+SUMIFS(df_extratos!I:I,df_extratos!F:F,Conciliacao!BF228,df_extratos!G:G,"DEBITO")+SUMIFS(df_extratos!I:I,df_extratos!F:F,Conciliacao!BG228,df_extratos!G:G,"DEBITO")+SUMIFS(df_extratos!I:I,df_extratos!F:F,Conciliacao!BH228,df_extratos!G:G,"DEBITO")</f>
        <v/>
      </c>
      <c r="O228" s="11">
        <f>N228-SUM(J228:M228)</f>
        <v/>
      </c>
      <c r="P228" s="25">
        <f>SUMIFS(df_ajustes_conciliaco!D:D,df_ajustes_conciliaco!C:C,Conciliacao!A228)</f>
        <v/>
      </c>
      <c r="Q228" s="22">
        <f>O228+I228-P228</f>
        <v/>
      </c>
      <c r="BE228" s="20" t="n">
        <v>45884.5</v>
      </c>
      <c r="BF228" s="20" t="n">
        <v>45884.125</v>
      </c>
      <c r="BG228" s="20" t="n">
        <v>45884.54166666666</v>
      </c>
      <c r="BH228" s="20" t="n">
        <v>45884.625</v>
      </c>
    </row>
    <row r="229">
      <c r="A229" s="5">
        <f>A228+1</f>
        <v/>
      </c>
      <c r="B229" s="3">
        <f>-SUMIFS(df_extrato_zig!G:G,df_extrato_zig!E:E,Conciliacao!A229,df_extrato_zig!D:D,"Saque")-SUMIFS(df_extrato_zig!G:G,df_extrato_zig!E:E,Conciliacao!A229,df_extrato_zig!D:D,"Antecipação")</f>
        <v/>
      </c>
      <c r="C229" s="3">
        <f>SUMIFS(df_extrato_zig!E:E,df_extrato_zig!L:L,Conciliacao!A229,df_extrato_zig!F:F,"DINHEIRO")</f>
        <v/>
      </c>
      <c r="D229" s="3">
        <f>SUMIFS(view_parc_agrup!H:H,view_parc_agrup!G:G,Conciliacao!A229)</f>
        <v/>
      </c>
      <c r="E229" s="3">
        <f>SUMIFS(df_eventos!F:F,df_eventos!H:H,Conciliacao!A229)</f>
        <v/>
      </c>
      <c r="F229" s="3">
        <f>SUMIFS(df_mutuos!M:M,df_mutuos!B:B,Conciliacao!A229)</f>
        <v/>
      </c>
      <c r="G229" s="6">
        <f>SUMIFS(df_bloqueios_judiciais!G:G,df_bloqueios_judiciais!D:D,Conciliacao!A229,df_bloqueios_judiciais!G:G,"&gt;0")</f>
        <v/>
      </c>
      <c r="H229" s="7">
        <f>SUMIFS(df_extratos!I:I,df_extratos!F:F,Conciliacao!BE229,df_extratos!G:G,"CREDITO")+SUMIFS(df_extratos!I:I,df_extratos!F:F,Conciliacao!A229,df_extratos!G:G,"CREDITO")+SUMIFS(df_extratos!I:I,df_extratos!F:F,Conciliacao!BF229,df_extratos!G:G,"CREDITO")+SUMIFS(df_extratos!I:I,df_extratos!F:F,Conciliacao!BG229,df_extratos!G:G,"CREDITO")+SUMIFS(df_extratos!I:I,df_extratos!F:F,Conciliacao!BH229,df_extratos!G:G,"CREDITO")</f>
        <v/>
      </c>
      <c r="I229" s="9">
        <f>H229-SUM(B229:G229)</f>
        <v/>
      </c>
      <c r="J229" s="4">
        <f>SUMIFS(df_blueme_sem_parcelamento!E:E,df_blueme_sem_parcelamento!H:H,Conciliacao!A229)*(-1)</f>
        <v/>
      </c>
      <c r="K229" s="4">
        <f>SUMIFS(df_blueme_com_parcelamento!J:J,df_blueme_com_parcelamento!M:M,Conciliacao!A229)*(-1)</f>
        <v/>
      </c>
      <c r="L229" s="4">
        <f>SUMIFS(df_mutuos!N:N,df_mutuos!B:B,Conciliacao!A229)*(-1)</f>
        <v/>
      </c>
      <c r="M229" s="8">
        <f>SUMIFS(df_bloqueios_judiciais!G:G,df_bloqueios_judiciais!D:D,Conciliacao!A229,df_bloqueios_judiciais!G:G,"&lt;0")</f>
        <v/>
      </c>
      <c r="N229" s="10">
        <f>SUMIFS(df_extratos!I:I,df_extratos!F:F,Conciliacao!BE229,df_extratos!G:G,"DEBITO")+SUMIFS(df_extratos!I:I,df_extratos!F:F,Conciliacao!A229,df_extratos!G:G,"DEBITO")+SUMIFS(df_extratos!I:I,df_extratos!F:F,Conciliacao!BF229,df_extratos!G:G,"DEBITO")+SUMIFS(df_extratos!I:I,df_extratos!F:F,Conciliacao!BG229,df_extratos!G:G,"DEBITO")+SUMIFS(df_extratos!I:I,df_extratos!F:F,Conciliacao!BH229,df_extratos!G:G,"DEBITO")</f>
        <v/>
      </c>
      <c r="O229" s="11">
        <f>N229-SUM(J229:M229)</f>
        <v/>
      </c>
      <c r="P229" s="25">
        <f>SUMIFS(df_ajustes_conciliaco!D:D,df_ajustes_conciliaco!C:C,Conciliacao!A229)</f>
        <v/>
      </c>
      <c r="Q229" s="22">
        <f>O229+I229-P229</f>
        <v/>
      </c>
      <c r="BE229" s="20" t="n">
        <v>45885.5</v>
      </c>
      <c r="BF229" s="20" t="n">
        <v>45885.125</v>
      </c>
      <c r="BG229" s="20" t="n">
        <v>45885.54166666666</v>
      </c>
      <c r="BH229" s="20" t="n">
        <v>45885.625</v>
      </c>
    </row>
    <row r="230">
      <c r="A230" s="5">
        <f>A229+1</f>
        <v/>
      </c>
      <c r="B230" s="3">
        <f>-SUMIFS(df_extrato_zig!G:G,df_extrato_zig!E:E,Conciliacao!A230,df_extrato_zig!D:D,"Saque")-SUMIFS(df_extrato_zig!G:G,df_extrato_zig!E:E,Conciliacao!A230,df_extrato_zig!D:D,"Antecipação")</f>
        <v/>
      </c>
      <c r="C230" s="3">
        <f>SUMIFS(df_extrato_zig!E:E,df_extrato_zig!L:L,Conciliacao!A230,df_extrato_zig!F:F,"DINHEIRO")</f>
        <v/>
      </c>
      <c r="D230" s="3">
        <f>SUMIFS(view_parc_agrup!H:H,view_parc_agrup!G:G,Conciliacao!A230)</f>
        <v/>
      </c>
      <c r="E230" s="3">
        <f>SUMIFS(df_eventos!F:F,df_eventos!H:H,Conciliacao!A230)</f>
        <v/>
      </c>
      <c r="F230" s="3">
        <f>SUMIFS(df_mutuos!M:M,df_mutuos!B:B,Conciliacao!A230)</f>
        <v/>
      </c>
      <c r="G230" s="6">
        <f>SUMIFS(df_bloqueios_judiciais!G:G,df_bloqueios_judiciais!D:D,Conciliacao!A230,df_bloqueios_judiciais!G:G,"&gt;0")</f>
        <v/>
      </c>
      <c r="H230" s="7">
        <f>SUMIFS(df_extratos!I:I,df_extratos!F:F,Conciliacao!BE230,df_extratos!G:G,"CREDITO")+SUMIFS(df_extratos!I:I,df_extratos!F:F,Conciliacao!A230,df_extratos!G:G,"CREDITO")+SUMIFS(df_extratos!I:I,df_extratos!F:F,Conciliacao!BF230,df_extratos!G:G,"CREDITO")+SUMIFS(df_extratos!I:I,df_extratos!F:F,Conciliacao!BG230,df_extratos!G:G,"CREDITO")+SUMIFS(df_extratos!I:I,df_extratos!F:F,Conciliacao!BH230,df_extratos!G:G,"CREDITO")</f>
        <v/>
      </c>
      <c r="I230" s="9">
        <f>H230-SUM(B230:G230)</f>
        <v/>
      </c>
      <c r="J230" s="4">
        <f>SUMIFS(df_blueme_sem_parcelamento!E:E,df_blueme_sem_parcelamento!H:H,Conciliacao!A230)*(-1)</f>
        <v/>
      </c>
      <c r="K230" s="4">
        <f>SUMIFS(df_blueme_com_parcelamento!J:J,df_blueme_com_parcelamento!M:M,Conciliacao!A230)*(-1)</f>
        <v/>
      </c>
      <c r="L230" s="4">
        <f>SUMIFS(df_mutuos!N:N,df_mutuos!B:B,Conciliacao!A230)*(-1)</f>
        <v/>
      </c>
      <c r="M230" s="8">
        <f>SUMIFS(df_bloqueios_judiciais!G:G,df_bloqueios_judiciais!D:D,Conciliacao!A230,df_bloqueios_judiciais!G:G,"&lt;0")</f>
        <v/>
      </c>
      <c r="N230" s="10">
        <f>SUMIFS(df_extratos!I:I,df_extratos!F:F,Conciliacao!BE230,df_extratos!G:G,"DEBITO")+SUMIFS(df_extratos!I:I,df_extratos!F:F,Conciliacao!A230,df_extratos!G:G,"DEBITO")+SUMIFS(df_extratos!I:I,df_extratos!F:F,Conciliacao!BF230,df_extratos!G:G,"DEBITO")+SUMIFS(df_extratos!I:I,df_extratos!F:F,Conciliacao!BG230,df_extratos!G:G,"DEBITO")+SUMIFS(df_extratos!I:I,df_extratos!F:F,Conciliacao!BH230,df_extratos!G:G,"DEBITO")</f>
        <v/>
      </c>
      <c r="O230" s="11">
        <f>N230-SUM(J230:M230)</f>
        <v/>
      </c>
      <c r="P230" s="25">
        <f>SUMIFS(df_ajustes_conciliaco!D:D,df_ajustes_conciliaco!C:C,Conciliacao!A230)</f>
        <v/>
      </c>
      <c r="Q230" s="22">
        <f>O230+I230-P230</f>
        <v/>
      </c>
      <c r="BE230" s="20" t="n">
        <v>45886.5</v>
      </c>
      <c r="BF230" s="20" t="n">
        <v>45886.125</v>
      </c>
      <c r="BG230" s="20" t="n">
        <v>45886.54166666666</v>
      </c>
      <c r="BH230" s="20" t="n">
        <v>45886.625</v>
      </c>
    </row>
    <row r="231">
      <c r="A231" s="5">
        <f>A230+1</f>
        <v/>
      </c>
      <c r="B231" s="3">
        <f>-SUMIFS(df_extrato_zig!G:G,df_extrato_zig!E:E,Conciliacao!A231,df_extrato_zig!D:D,"Saque")-SUMIFS(df_extrato_zig!G:G,df_extrato_zig!E:E,Conciliacao!A231,df_extrato_zig!D:D,"Antecipação")</f>
        <v/>
      </c>
      <c r="C231" s="3">
        <f>SUMIFS(df_extrato_zig!E:E,df_extrato_zig!L:L,Conciliacao!A231,df_extrato_zig!F:F,"DINHEIRO")</f>
        <v/>
      </c>
      <c r="D231" s="3">
        <f>SUMIFS(view_parc_agrup!H:H,view_parc_agrup!G:G,Conciliacao!A231)</f>
        <v/>
      </c>
      <c r="E231" s="3">
        <f>SUMIFS(df_eventos!F:F,df_eventos!H:H,Conciliacao!A231)</f>
        <v/>
      </c>
      <c r="F231" s="3">
        <f>SUMIFS(df_mutuos!M:M,df_mutuos!B:B,Conciliacao!A231)</f>
        <v/>
      </c>
      <c r="G231" s="6">
        <f>SUMIFS(df_bloqueios_judiciais!G:G,df_bloqueios_judiciais!D:D,Conciliacao!A231,df_bloqueios_judiciais!G:G,"&gt;0")</f>
        <v/>
      </c>
      <c r="H231" s="7">
        <f>SUMIFS(df_extratos!I:I,df_extratos!F:F,Conciliacao!BE231,df_extratos!G:G,"CREDITO")+SUMIFS(df_extratos!I:I,df_extratos!F:F,Conciliacao!A231,df_extratos!G:G,"CREDITO")+SUMIFS(df_extratos!I:I,df_extratos!F:F,Conciliacao!BF231,df_extratos!G:G,"CREDITO")+SUMIFS(df_extratos!I:I,df_extratos!F:F,Conciliacao!BG231,df_extratos!G:G,"CREDITO")+SUMIFS(df_extratos!I:I,df_extratos!F:F,Conciliacao!BH231,df_extratos!G:G,"CREDITO")</f>
        <v/>
      </c>
      <c r="I231" s="9">
        <f>H231-SUM(B231:G231)</f>
        <v/>
      </c>
      <c r="J231" s="4">
        <f>SUMIFS(df_blueme_sem_parcelamento!E:E,df_blueme_sem_parcelamento!H:H,Conciliacao!A231)*(-1)</f>
        <v/>
      </c>
      <c r="K231" s="4">
        <f>SUMIFS(df_blueme_com_parcelamento!J:J,df_blueme_com_parcelamento!M:M,Conciliacao!A231)*(-1)</f>
        <v/>
      </c>
      <c r="L231" s="4">
        <f>SUMIFS(df_mutuos!N:N,df_mutuos!B:B,Conciliacao!A231)*(-1)</f>
        <v/>
      </c>
      <c r="M231" s="8">
        <f>SUMIFS(df_bloqueios_judiciais!G:G,df_bloqueios_judiciais!D:D,Conciliacao!A231,df_bloqueios_judiciais!G:G,"&lt;0")</f>
        <v/>
      </c>
      <c r="N231" s="10">
        <f>SUMIFS(df_extratos!I:I,df_extratos!F:F,Conciliacao!BE231,df_extratos!G:G,"DEBITO")+SUMIFS(df_extratos!I:I,df_extratos!F:F,Conciliacao!A231,df_extratos!G:G,"DEBITO")+SUMIFS(df_extratos!I:I,df_extratos!F:F,Conciliacao!BF231,df_extratos!G:G,"DEBITO")+SUMIFS(df_extratos!I:I,df_extratos!F:F,Conciliacao!BG231,df_extratos!G:G,"DEBITO")+SUMIFS(df_extratos!I:I,df_extratos!F:F,Conciliacao!BH231,df_extratos!G:G,"DEBITO")</f>
        <v/>
      </c>
      <c r="O231" s="11">
        <f>N231-SUM(J231:M231)</f>
        <v/>
      </c>
      <c r="P231" s="25">
        <f>SUMIFS(df_ajustes_conciliaco!D:D,df_ajustes_conciliaco!C:C,Conciliacao!A231)</f>
        <v/>
      </c>
      <c r="Q231" s="22">
        <f>O231+I231-P231</f>
        <v/>
      </c>
      <c r="BE231" s="20" t="n">
        <v>45887.5</v>
      </c>
      <c r="BF231" s="20" t="n">
        <v>45887.125</v>
      </c>
      <c r="BG231" s="20" t="n">
        <v>45887.54166666666</v>
      </c>
      <c r="BH231" s="20" t="n">
        <v>45887.625</v>
      </c>
    </row>
    <row r="232">
      <c r="A232" s="5">
        <f>A231+1</f>
        <v/>
      </c>
      <c r="B232" s="3">
        <f>-SUMIFS(df_extrato_zig!G:G,df_extrato_zig!E:E,Conciliacao!A232,df_extrato_zig!D:D,"Saque")-SUMIFS(df_extrato_zig!G:G,df_extrato_zig!E:E,Conciliacao!A232,df_extrato_zig!D:D,"Antecipação")</f>
        <v/>
      </c>
      <c r="C232" s="3">
        <f>SUMIFS(df_extrato_zig!E:E,df_extrato_zig!L:L,Conciliacao!A232,df_extrato_zig!F:F,"DINHEIRO")</f>
        <v/>
      </c>
      <c r="D232" s="3">
        <f>SUMIFS(view_parc_agrup!H:H,view_parc_agrup!G:G,Conciliacao!A232)</f>
        <v/>
      </c>
      <c r="E232" s="3">
        <f>SUMIFS(df_eventos!F:F,df_eventos!H:H,Conciliacao!A232)</f>
        <v/>
      </c>
      <c r="F232" s="3">
        <f>SUMIFS(df_mutuos!M:M,df_mutuos!B:B,Conciliacao!A232)</f>
        <v/>
      </c>
      <c r="G232" s="6">
        <f>SUMIFS(df_bloqueios_judiciais!G:G,df_bloqueios_judiciais!D:D,Conciliacao!A232,df_bloqueios_judiciais!G:G,"&gt;0")</f>
        <v/>
      </c>
      <c r="H232" s="7">
        <f>SUMIFS(df_extratos!I:I,df_extratos!F:F,Conciliacao!BE232,df_extratos!G:G,"CREDITO")+SUMIFS(df_extratos!I:I,df_extratos!F:F,Conciliacao!A232,df_extratos!G:G,"CREDITO")+SUMIFS(df_extratos!I:I,df_extratos!F:F,Conciliacao!BF232,df_extratos!G:G,"CREDITO")+SUMIFS(df_extratos!I:I,df_extratos!F:F,Conciliacao!BG232,df_extratos!G:G,"CREDITO")+SUMIFS(df_extratos!I:I,df_extratos!F:F,Conciliacao!BH232,df_extratos!G:G,"CREDITO")</f>
        <v/>
      </c>
      <c r="I232" s="9">
        <f>H232-SUM(B232:G232)</f>
        <v/>
      </c>
      <c r="J232" s="4">
        <f>SUMIFS(df_blueme_sem_parcelamento!E:E,df_blueme_sem_parcelamento!H:H,Conciliacao!A232)*(-1)</f>
        <v/>
      </c>
      <c r="K232" s="4">
        <f>SUMIFS(df_blueme_com_parcelamento!J:J,df_blueme_com_parcelamento!M:M,Conciliacao!A232)*(-1)</f>
        <v/>
      </c>
      <c r="L232" s="4">
        <f>SUMIFS(df_mutuos!N:N,df_mutuos!B:B,Conciliacao!A232)*(-1)</f>
        <v/>
      </c>
      <c r="M232" s="8">
        <f>SUMIFS(df_bloqueios_judiciais!G:G,df_bloqueios_judiciais!D:D,Conciliacao!A232,df_bloqueios_judiciais!G:G,"&lt;0")</f>
        <v/>
      </c>
      <c r="N232" s="10">
        <f>SUMIFS(df_extratos!I:I,df_extratos!F:F,Conciliacao!BE232,df_extratos!G:G,"DEBITO")+SUMIFS(df_extratos!I:I,df_extratos!F:F,Conciliacao!A232,df_extratos!G:G,"DEBITO")+SUMIFS(df_extratos!I:I,df_extratos!F:F,Conciliacao!BF232,df_extratos!G:G,"DEBITO")+SUMIFS(df_extratos!I:I,df_extratos!F:F,Conciliacao!BG232,df_extratos!G:G,"DEBITO")+SUMIFS(df_extratos!I:I,df_extratos!F:F,Conciliacao!BH232,df_extratos!G:G,"DEBITO")</f>
        <v/>
      </c>
      <c r="O232" s="11">
        <f>N232-SUM(J232:M232)</f>
        <v/>
      </c>
      <c r="P232" s="25">
        <f>SUMIFS(df_ajustes_conciliaco!D:D,df_ajustes_conciliaco!C:C,Conciliacao!A232)</f>
        <v/>
      </c>
      <c r="Q232" s="22">
        <f>O232+I232-P232</f>
        <v/>
      </c>
      <c r="BE232" s="20" t="n">
        <v>45888.5</v>
      </c>
      <c r="BF232" s="20" t="n">
        <v>45888.125</v>
      </c>
      <c r="BG232" s="20" t="n">
        <v>45888.54166666666</v>
      </c>
      <c r="BH232" s="20" t="n">
        <v>45888.625</v>
      </c>
    </row>
    <row r="233">
      <c r="A233" s="5">
        <f>A232+1</f>
        <v/>
      </c>
      <c r="B233" s="3">
        <f>-SUMIFS(df_extrato_zig!G:G,df_extrato_zig!E:E,Conciliacao!A233,df_extrato_zig!D:D,"Saque")-SUMIFS(df_extrato_zig!G:G,df_extrato_zig!E:E,Conciliacao!A233,df_extrato_zig!D:D,"Antecipação")</f>
        <v/>
      </c>
      <c r="C233" s="3">
        <f>SUMIFS(df_extrato_zig!E:E,df_extrato_zig!L:L,Conciliacao!A233,df_extrato_zig!F:F,"DINHEIRO")</f>
        <v/>
      </c>
      <c r="D233" s="3">
        <f>SUMIFS(view_parc_agrup!H:H,view_parc_agrup!G:G,Conciliacao!A233)</f>
        <v/>
      </c>
      <c r="E233" s="3">
        <f>SUMIFS(df_eventos!F:F,df_eventos!H:H,Conciliacao!A233)</f>
        <v/>
      </c>
      <c r="F233" s="3">
        <f>SUMIFS(df_mutuos!M:M,df_mutuos!B:B,Conciliacao!A233)</f>
        <v/>
      </c>
      <c r="G233" s="6">
        <f>SUMIFS(df_bloqueios_judiciais!G:G,df_bloqueios_judiciais!D:D,Conciliacao!A233,df_bloqueios_judiciais!G:G,"&gt;0")</f>
        <v/>
      </c>
      <c r="H233" s="7">
        <f>SUMIFS(df_extratos!I:I,df_extratos!F:F,Conciliacao!BE233,df_extratos!G:G,"CREDITO")+SUMIFS(df_extratos!I:I,df_extratos!F:F,Conciliacao!A233,df_extratos!G:G,"CREDITO")+SUMIFS(df_extratos!I:I,df_extratos!F:F,Conciliacao!BF233,df_extratos!G:G,"CREDITO")+SUMIFS(df_extratos!I:I,df_extratos!F:F,Conciliacao!BG233,df_extratos!G:G,"CREDITO")+SUMIFS(df_extratos!I:I,df_extratos!F:F,Conciliacao!BH233,df_extratos!G:G,"CREDITO")</f>
        <v/>
      </c>
      <c r="I233" s="9">
        <f>H233-SUM(B233:G233)</f>
        <v/>
      </c>
      <c r="J233" s="4">
        <f>SUMIFS(df_blueme_sem_parcelamento!E:E,df_blueme_sem_parcelamento!H:H,Conciliacao!A233)*(-1)</f>
        <v/>
      </c>
      <c r="K233" s="4">
        <f>SUMIFS(df_blueme_com_parcelamento!J:J,df_blueme_com_parcelamento!M:M,Conciliacao!A233)*(-1)</f>
        <v/>
      </c>
      <c r="L233" s="4">
        <f>SUMIFS(df_mutuos!N:N,df_mutuos!B:B,Conciliacao!A233)*(-1)</f>
        <v/>
      </c>
      <c r="M233" s="8">
        <f>SUMIFS(df_bloqueios_judiciais!G:G,df_bloqueios_judiciais!D:D,Conciliacao!A233,df_bloqueios_judiciais!G:G,"&lt;0")</f>
        <v/>
      </c>
      <c r="N233" s="10">
        <f>SUMIFS(df_extratos!I:I,df_extratos!F:F,Conciliacao!BE233,df_extratos!G:G,"DEBITO")+SUMIFS(df_extratos!I:I,df_extratos!F:F,Conciliacao!A233,df_extratos!G:G,"DEBITO")+SUMIFS(df_extratos!I:I,df_extratos!F:F,Conciliacao!BF233,df_extratos!G:G,"DEBITO")+SUMIFS(df_extratos!I:I,df_extratos!F:F,Conciliacao!BG233,df_extratos!G:G,"DEBITO")+SUMIFS(df_extratos!I:I,df_extratos!F:F,Conciliacao!BH233,df_extratos!G:G,"DEBITO")</f>
        <v/>
      </c>
      <c r="O233" s="11">
        <f>N233-SUM(J233:M233)</f>
        <v/>
      </c>
      <c r="P233" s="25">
        <f>SUMIFS(df_ajustes_conciliaco!D:D,df_ajustes_conciliaco!C:C,Conciliacao!A233)</f>
        <v/>
      </c>
      <c r="Q233" s="22">
        <f>O233+I233-P233</f>
        <v/>
      </c>
      <c r="BE233" s="20" t="n">
        <v>45889.5</v>
      </c>
      <c r="BF233" s="20" t="n">
        <v>45889.125</v>
      </c>
      <c r="BG233" s="20" t="n">
        <v>45889.54166666666</v>
      </c>
      <c r="BH233" s="20" t="n">
        <v>45889.625</v>
      </c>
    </row>
    <row r="234">
      <c r="A234" s="5">
        <f>A233+1</f>
        <v/>
      </c>
      <c r="B234" s="3">
        <f>-SUMIFS(df_extrato_zig!G:G,df_extrato_zig!E:E,Conciliacao!A234,df_extrato_zig!D:D,"Saque")-SUMIFS(df_extrato_zig!G:G,df_extrato_zig!E:E,Conciliacao!A234,df_extrato_zig!D:D,"Antecipação")</f>
        <v/>
      </c>
      <c r="C234" s="3">
        <f>SUMIFS(df_extrato_zig!E:E,df_extrato_zig!L:L,Conciliacao!A234,df_extrato_zig!F:F,"DINHEIRO")</f>
        <v/>
      </c>
      <c r="D234" s="3">
        <f>SUMIFS(view_parc_agrup!H:H,view_parc_agrup!G:G,Conciliacao!A234)</f>
        <v/>
      </c>
      <c r="E234" s="3">
        <f>SUMIFS(df_eventos!F:F,df_eventos!H:H,Conciliacao!A234)</f>
        <v/>
      </c>
      <c r="F234" s="3">
        <f>SUMIFS(df_mutuos!M:M,df_mutuos!B:B,Conciliacao!A234)</f>
        <v/>
      </c>
      <c r="G234" s="6">
        <f>SUMIFS(df_bloqueios_judiciais!G:G,df_bloqueios_judiciais!D:D,Conciliacao!A234,df_bloqueios_judiciais!G:G,"&gt;0")</f>
        <v/>
      </c>
      <c r="H234" s="7">
        <f>SUMIFS(df_extratos!I:I,df_extratos!F:F,Conciliacao!BE234,df_extratos!G:G,"CREDITO")+SUMIFS(df_extratos!I:I,df_extratos!F:F,Conciliacao!A234,df_extratos!G:G,"CREDITO")+SUMIFS(df_extratos!I:I,df_extratos!F:F,Conciliacao!BF234,df_extratos!G:G,"CREDITO")+SUMIFS(df_extratos!I:I,df_extratos!F:F,Conciliacao!BG234,df_extratos!G:G,"CREDITO")+SUMIFS(df_extratos!I:I,df_extratos!F:F,Conciliacao!BH234,df_extratos!G:G,"CREDITO")</f>
        <v/>
      </c>
      <c r="I234" s="9">
        <f>H234-SUM(B234:G234)</f>
        <v/>
      </c>
      <c r="J234" s="4">
        <f>SUMIFS(df_blueme_sem_parcelamento!E:E,df_blueme_sem_parcelamento!H:H,Conciliacao!A234)*(-1)</f>
        <v/>
      </c>
      <c r="K234" s="4">
        <f>SUMIFS(df_blueme_com_parcelamento!J:J,df_blueme_com_parcelamento!M:M,Conciliacao!A234)*(-1)</f>
        <v/>
      </c>
      <c r="L234" s="4">
        <f>SUMIFS(df_mutuos!N:N,df_mutuos!B:B,Conciliacao!A234)*(-1)</f>
        <v/>
      </c>
      <c r="M234" s="8">
        <f>SUMIFS(df_bloqueios_judiciais!G:G,df_bloqueios_judiciais!D:D,Conciliacao!A234,df_bloqueios_judiciais!G:G,"&lt;0")</f>
        <v/>
      </c>
      <c r="N234" s="10">
        <f>SUMIFS(df_extratos!I:I,df_extratos!F:F,Conciliacao!BE234,df_extratos!G:G,"DEBITO")+SUMIFS(df_extratos!I:I,df_extratos!F:F,Conciliacao!A234,df_extratos!G:G,"DEBITO")+SUMIFS(df_extratos!I:I,df_extratos!F:F,Conciliacao!BF234,df_extratos!G:G,"DEBITO")+SUMIFS(df_extratos!I:I,df_extratos!F:F,Conciliacao!BG234,df_extratos!G:G,"DEBITO")+SUMIFS(df_extratos!I:I,df_extratos!F:F,Conciliacao!BH234,df_extratos!G:G,"DEBITO")</f>
        <v/>
      </c>
      <c r="O234" s="11">
        <f>N234-SUM(J234:M234)</f>
        <v/>
      </c>
      <c r="P234" s="25">
        <f>SUMIFS(df_ajustes_conciliaco!D:D,df_ajustes_conciliaco!C:C,Conciliacao!A234)</f>
        <v/>
      </c>
      <c r="Q234" s="22">
        <f>O234+I234-P234</f>
        <v/>
      </c>
      <c r="BE234" s="20" t="n">
        <v>45890.5</v>
      </c>
      <c r="BF234" s="20" t="n">
        <v>45890.125</v>
      </c>
      <c r="BG234" s="20" t="n">
        <v>45890.54166666666</v>
      </c>
      <c r="BH234" s="20" t="n">
        <v>45890.625</v>
      </c>
    </row>
    <row r="235">
      <c r="A235" s="5">
        <f>A234+1</f>
        <v/>
      </c>
      <c r="B235" s="3">
        <f>-SUMIFS(df_extrato_zig!G:G,df_extrato_zig!E:E,Conciliacao!A235,df_extrato_zig!D:D,"Saque")-SUMIFS(df_extrato_zig!G:G,df_extrato_zig!E:E,Conciliacao!A235,df_extrato_zig!D:D,"Antecipação")</f>
        <v/>
      </c>
      <c r="C235" s="3">
        <f>SUMIFS(df_extrato_zig!E:E,df_extrato_zig!L:L,Conciliacao!A235,df_extrato_zig!F:F,"DINHEIRO")</f>
        <v/>
      </c>
      <c r="D235" s="3">
        <f>SUMIFS(view_parc_agrup!H:H,view_parc_agrup!G:G,Conciliacao!A235)</f>
        <v/>
      </c>
      <c r="E235" s="3">
        <f>SUMIFS(df_eventos!F:F,df_eventos!H:H,Conciliacao!A235)</f>
        <v/>
      </c>
      <c r="F235" s="3">
        <f>SUMIFS(df_mutuos!M:M,df_mutuos!B:B,Conciliacao!A235)</f>
        <v/>
      </c>
      <c r="G235" s="6">
        <f>SUMIFS(df_bloqueios_judiciais!G:G,df_bloqueios_judiciais!D:D,Conciliacao!A235,df_bloqueios_judiciais!G:G,"&gt;0")</f>
        <v/>
      </c>
      <c r="H235" s="7">
        <f>SUMIFS(df_extratos!I:I,df_extratos!F:F,Conciliacao!BE235,df_extratos!G:G,"CREDITO")+SUMIFS(df_extratos!I:I,df_extratos!F:F,Conciliacao!A235,df_extratos!G:G,"CREDITO")+SUMIFS(df_extratos!I:I,df_extratos!F:F,Conciliacao!BF235,df_extratos!G:G,"CREDITO")+SUMIFS(df_extratos!I:I,df_extratos!F:F,Conciliacao!BG235,df_extratos!G:G,"CREDITO")+SUMIFS(df_extratos!I:I,df_extratos!F:F,Conciliacao!BH235,df_extratos!G:G,"CREDITO")</f>
        <v/>
      </c>
      <c r="I235" s="9">
        <f>H235-SUM(B235:G235)</f>
        <v/>
      </c>
      <c r="J235" s="4">
        <f>SUMIFS(df_blueme_sem_parcelamento!E:E,df_blueme_sem_parcelamento!H:H,Conciliacao!A235)*(-1)</f>
        <v/>
      </c>
      <c r="K235" s="4">
        <f>SUMIFS(df_blueme_com_parcelamento!J:J,df_blueme_com_parcelamento!M:M,Conciliacao!A235)*(-1)</f>
        <v/>
      </c>
      <c r="L235" s="4">
        <f>SUMIFS(df_mutuos!N:N,df_mutuos!B:B,Conciliacao!A235)*(-1)</f>
        <v/>
      </c>
      <c r="M235" s="8">
        <f>SUMIFS(df_bloqueios_judiciais!G:G,df_bloqueios_judiciais!D:D,Conciliacao!A235,df_bloqueios_judiciais!G:G,"&lt;0")</f>
        <v/>
      </c>
      <c r="N235" s="10">
        <f>SUMIFS(df_extratos!I:I,df_extratos!F:F,Conciliacao!BE235,df_extratos!G:G,"DEBITO")+SUMIFS(df_extratos!I:I,df_extratos!F:F,Conciliacao!A235,df_extratos!G:G,"DEBITO")+SUMIFS(df_extratos!I:I,df_extratos!F:F,Conciliacao!BF235,df_extratos!G:G,"DEBITO")+SUMIFS(df_extratos!I:I,df_extratos!F:F,Conciliacao!BG235,df_extratos!G:G,"DEBITO")+SUMIFS(df_extratos!I:I,df_extratos!F:F,Conciliacao!BH235,df_extratos!G:G,"DEBITO")</f>
        <v/>
      </c>
      <c r="O235" s="11">
        <f>N235-SUM(J235:M235)</f>
        <v/>
      </c>
      <c r="P235" s="25">
        <f>SUMIFS(df_ajustes_conciliaco!D:D,df_ajustes_conciliaco!C:C,Conciliacao!A235)</f>
        <v/>
      </c>
      <c r="Q235" s="22">
        <f>O235+I235-P235</f>
        <v/>
      </c>
      <c r="BE235" s="20" t="n">
        <v>45891.5</v>
      </c>
      <c r="BF235" s="20" t="n">
        <v>45891.125</v>
      </c>
      <c r="BG235" s="20" t="n">
        <v>45891.54166666666</v>
      </c>
      <c r="BH235" s="20" t="n">
        <v>45891.625</v>
      </c>
    </row>
    <row r="236">
      <c r="A236" s="5">
        <f>A235+1</f>
        <v/>
      </c>
      <c r="B236" s="3">
        <f>-SUMIFS(df_extrato_zig!G:G,df_extrato_zig!E:E,Conciliacao!A236,df_extrato_zig!D:D,"Saque")-SUMIFS(df_extrato_zig!G:G,df_extrato_zig!E:E,Conciliacao!A236,df_extrato_zig!D:D,"Antecipação")</f>
        <v/>
      </c>
      <c r="C236" s="3">
        <f>SUMIFS(df_extrato_zig!E:E,df_extrato_zig!L:L,Conciliacao!A236,df_extrato_zig!F:F,"DINHEIRO")</f>
        <v/>
      </c>
      <c r="D236" s="3">
        <f>SUMIFS(view_parc_agrup!H:H,view_parc_agrup!G:G,Conciliacao!A236)</f>
        <v/>
      </c>
      <c r="E236" s="3">
        <f>SUMIFS(df_eventos!F:F,df_eventos!H:H,Conciliacao!A236)</f>
        <v/>
      </c>
      <c r="F236" s="3">
        <f>SUMIFS(df_mutuos!M:M,df_mutuos!B:B,Conciliacao!A236)</f>
        <v/>
      </c>
      <c r="G236" s="6">
        <f>SUMIFS(df_bloqueios_judiciais!G:G,df_bloqueios_judiciais!D:D,Conciliacao!A236,df_bloqueios_judiciais!G:G,"&gt;0")</f>
        <v/>
      </c>
      <c r="H236" s="7">
        <f>SUMIFS(df_extratos!I:I,df_extratos!F:F,Conciliacao!BE236,df_extratos!G:G,"CREDITO")+SUMIFS(df_extratos!I:I,df_extratos!F:F,Conciliacao!A236,df_extratos!G:G,"CREDITO")+SUMIFS(df_extratos!I:I,df_extratos!F:F,Conciliacao!BF236,df_extratos!G:G,"CREDITO")+SUMIFS(df_extratos!I:I,df_extratos!F:F,Conciliacao!BG236,df_extratos!G:G,"CREDITO")+SUMIFS(df_extratos!I:I,df_extratos!F:F,Conciliacao!BH236,df_extratos!G:G,"CREDITO")</f>
        <v/>
      </c>
      <c r="I236" s="9">
        <f>H236-SUM(B236:G236)</f>
        <v/>
      </c>
      <c r="J236" s="4">
        <f>SUMIFS(df_blueme_sem_parcelamento!E:E,df_blueme_sem_parcelamento!H:H,Conciliacao!A236)*(-1)</f>
        <v/>
      </c>
      <c r="K236" s="4">
        <f>SUMIFS(df_blueme_com_parcelamento!J:J,df_blueme_com_parcelamento!M:M,Conciliacao!A236)*(-1)</f>
        <v/>
      </c>
      <c r="L236" s="4">
        <f>SUMIFS(df_mutuos!N:N,df_mutuos!B:B,Conciliacao!A236)*(-1)</f>
        <v/>
      </c>
      <c r="M236" s="8">
        <f>SUMIFS(df_bloqueios_judiciais!G:G,df_bloqueios_judiciais!D:D,Conciliacao!A236,df_bloqueios_judiciais!G:G,"&lt;0")</f>
        <v/>
      </c>
      <c r="N236" s="10">
        <f>SUMIFS(df_extratos!I:I,df_extratos!F:F,Conciliacao!BE236,df_extratos!G:G,"DEBITO")+SUMIFS(df_extratos!I:I,df_extratos!F:F,Conciliacao!A236,df_extratos!G:G,"DEBITO")+SUMIFS(df_extratos!I:I,df_extratos!F:F,Conciliacao!BF236,df_extratos!G:G,"DEBITO")+SUMIFS(df_extratos!I:I,df_extratos!F:F,Conciliacao!BG236,df_extratos!G:G,"DEBITO")+SUMIFS(df_extratos!I:I,df_extratos!F:F,Conciliacao!BH236,df_extratos!G:G,"DEBITO")</f>
        <v/>
      </c>
      <c r="O236" s="11">
        <f>N236-SUM(J236:M236)</f>
        <v/>
      </c>
      <c r="P236" s="25">
        <f>SUMIFS(df_ajustes_conciliaco!D:D,df_ajustes_conciliaco!C:C,Conciliacao!A236)</f>
        <v/>
      </c>
      <c r="Q236" s="22">
        <f>O236+I236-P236</f>
        <v/>
      </c>
      <c r="BE236" s="20" t="n">
        <v>45892.5</v>
      </c>
      <c r="BF236" s="20" t="n">
        <v>45892.125</v>
      </c>
      <c r="BG236" s="20" t="n">
        <v>45892.54166666666</v>
      </c>
      <c r="BH236" s="20" t="n">
        <v>45892.625</v>
      </c>
    </row>
    <row r="237">
      <c r="A237" s="5">
        <f>A236+1</f>
        <v/>
      </c>
      <c r="B237" s="3">
        <f>-SUMIFS(df_extrato_zig!G:G,df_extrato_zig!E:E,Conciliacao!A237,df_extrato_zig!D:D,"Saque")-SUMIFS(df_extrato_zig!G:G,df_extrato_zig!E:E,Conciliacao!A237,df_extrato_zig!D:D,"Antecipação")</f>
        <v/>
      </c>
      <c r="C237" s="3">
        <f>SUMIFS(df_extrato_zig!E:E,df_extrato_zig!L:L,Conciliacao!A237,df_extrato_zig!F:F,"DINHEIRO")</f>
        <v/>
      </c>
      <c r="D237" s="3">
        <f>SUMIFS(view_parc_agrup!H:H,view_parc_agrup!G:G,Conciliacao!A237)</f>
        <v/>
      </c>
      <c r="E237" s="3">
        <f>SUMIFS(df_eventos!F:F,df_eventos!H:H,Conciliacao!A237)</f>
        <v/>
      </c>
      <c r="F237" s="3">
        <f>SUMIFS(df_mutuos!M:M,df_mutuos!B:B,Conciliacao!A237)</f>
        <v/>
      </c>
      <c r="G237" s="6">
        <f>SUMIFS(df_bloqueios_judiciais!G:G,df_bloqueios_judiciais!D:D,Conciliacao!A237,df_bloqueios_judiciais!G:G,"&gt;0")</f>
        <v/>
      </c>
      <c r="H237" s="7">
        <f>SUMIFS(df_extratos!I:I,df_extratos!F:F,Conciliacao!BE237,df_extratos!G:G,"CREDITO")+SUMIFS(df_extratos!I:I,df_extratos!F:F,Conciliacao!A237,df_extratos!G:G,"CREDITO")+SUMIFS(df_extratos!I:I,df_extratos!F:F,Conciliacao!BF237,df_extratos!G:G,"CREDITO")+SUMIFS(df_extratos!I:I,df_extratos!F:F,Conciliacao!BG237,df_extratos!G:G,"CREDITO")+SUMIFS(df_extratos!I:I,df_extratos!F:F,Conciliacao!BH237,df_extratos!G:G,"CREDITO")</f>
        <v/>
      </c>
      <c r="I237" s="9">
        <f>H237-SUM(B237:G237)</f>
        <v/>
      </c>
      <c r="J237" s="4">
        <f>SUMIFS(df_blueme_sem_parcelamento!E:E,df_blueme_sem_parcelamento!H:H,Conciliacao!A237)*(-1)</f>
        <v/>
      </c>
      <c r="K237" s="4">
        <f>SUMIFS(df_blueme_com_parcelamento!J:J,df_blueme_com_parcelamento!M:M,Conciliacao!A237)*(-1)</f>
        <v/>
      </c>
      <c r="L237" s="4">
        <f>SUMIFS(df_mutuos!N:N,df_mutuos!B:B,Conciliacao!A237)*(-1)</f>
        <v/>
      </c>
      <c r="M237" s="8">
        <f>SUMIFS(df_bloqueios_judiciais!G:G,df_bloqueios_judiciais!D:D,Conciliacao!A237,df_bloqueios_judiciais!G:G,"&lt;0")</f>
        <v/>
      </c>
      <c r="N237" s="10">
        <f>SUMIFS(df_extratos!I:I,df_extratos!F:F,Conciliacao!BE237,df_extratos!G:G,"DEBITO")+SUMIFS(df_extratos!I:I,df_extratos!F:F,Conciliacao!A237,df_extratos!G:G,"DEBITO")+SUMIFS(df_extratos!I:I,df_extratos!F:F,Conciliacao!BF237,df_extratos!G:G,"DEBITO")+SUMIFS(df_extratos!I:I,df_extratos!F:F,Conciliacao!BG237,df_extratos!G:G,"DEBITO")+SUMIFS(df_extratos!I:I,df_extratos!F:F,Conciliacao!BH237,df_extratos!G:G,"DEBITO")</f>
        <v/>
      </c>
      <c r="O237" s="11">
        <f>N237-SUM(J237:M237)</f>
        <v/>
      </c>
      <c r="P237" s="25">
        <f>SUMIFS(df_ajustes_conciliaco!D:D,df_ajustes_conciliaco!C:C,Conciliacao!A237)</f>
        <v/>
      </c>
      <c r="Q237" s="22">
        <f>O237+I237-P237</f>
        <v/>
      </c>
      <c r="BE237" s="20" t="n">
        <v>45893.5</v>
      </c>
      <c r="BF237" s="20" t="n">
        <v>45893.125</v>
      </c>
      <c r="BG237" s="20" t="n">
        <v>45893.54166666666</v>
      </c>
      <c r="BH237" s="20" t="n">
        <v>45893.625</v>
      </c>
    </row>
    <row r="238">
      <c r="A238" s="5">
        <f>A237+1</f>
        <v/>
      </c>
      <c r="B238" s="3">
        <f>-SUMIFS(df_extrato_zig!G:G,df_extrato_zig!E:E,Conciliacao!A238,df_extrato_zig!D:D,"Saque")-SUMIFS(df_extrato_zig!G:G,df_extrato_zig!E:E,Conciliacao!A238,df_extrato_zig!D:D,"Antecipação")</f>
        <v/>
      </c>
      <c r="C238" s="3">
        <f>SUMIFS(df_extrato_zig!E:E,df_extrato_zig!L:L,Conciliacao!A238,df_extrato_zig!F:F,"DINHEIRO")</f>
        <v/>
      </c>
      <c r="D238" s="3">
        <f>SUMIFS(view_parc_agrup!H:H,view_parc_agrup!G:G,Conciliacao!A238)</f>
        <v/>
      </c>
      <c r="E238" s="3">
        <f>SUMIFS(df_eventos!F:F,df_eventos!H:H,Conciliacao!A238)</f>
        <v/>
      </c>
      <c r="F238" s="3">
        <f>SUMIFS(df_mutuos!M:M,df_mutuos!B:B,Conciliacao!A238)</f>
        <v/>
      </c>
      <c r="G238" s="6">
        <f>SUMIFS(df_bloqueios_judiciais!G:G,df_bloqueios_judiciais!D:D,Conciliacao!A238,df_bloqueios_judiciais!G:G,"&gt;0")</f>
        <v/>
      </c>
      <c r="H238" s="7">
        <f>SUMIFS(df_extratos!I:I,df_extratos!F:F,Conciliacao!BE238,df_extratos!G:G,"CREDITO")+SUMIFS(df_extratos!I:I,df_extratos!F:F,Conciliacao!A238,df_extratos!G:G,"CREDITO")+SUMIFS(df_extratos!I:I,df_extratos!F:F,Conciliacao!BF238,df_extratos!G:G,"CREDITO")+SUMIFS(df_extratos!I:I,df_extratos!F:F,Conciliacao!BG238,df_extratos!G:G,"CREDITO")+SUMIFS(df_extratos!I:I,df_extratos!F:F,Conciliacao!BH238,df_extratos!G:G,"CREDITO")</f>
        <v/>
      </c>
      <c r="I238" s="9">
        <f>H238-SUM(B238:G238)</f>
        <v/>
      </c>
      <c r="J238" s="4">
        <f>SUMIFS(df_blueme_sem_parcelamento!E:E,df_blueme_sem_parcelamento!H:H,Conciliacao!A238)*(-1)</f>
        <v/>
      </c>
      <c r="K238" s="4">
        <f>SUMIFS(df_blueme_com_parcelamento!J:J,df_blueme_com_parcelamento!M:M,Conciliacao!A238)*(-1)</f>
        <v/>
      </c>
      <c r="L238" s="4">
        <f>SUMIFS(df_mutuos!N:N,df_mutuos!B:B,Conciliacao!A238)*(-1)</f>
        <v/>
      </c>
      <c r="M238" s="8">
        <f>SUMIFS(df_bloqueios_judiciais!G:G,df_bloqueios_judiciais!D:D,Conciliacao!A238,df_bloqueios_judiciais!G:G,"&lt;0")</f>
        <v/>
      </c>
      <c r="N238" s="10">
        <f>SUMIFS(df_extratos!I:I,df_extratos!F:F,Conciliacao!BE238,df_extratos!G:G,"DEBITO")+SUMIFS(df_extratos!I:I,df_extratos!F:F,Conciliacao!A238,df_extratos!G:G,"DEBITO")+SUMIFS(df_extratos!I:I,df_extratos!F:F,Conciliacao!BF238,df_extratos!G:G,"DEBITO")+SUMIFS(df_extratos!I:I,df_extratos!F:F,Conciliacao!BG238,df_extratos!G:G,"DEBITO")+SUMIFS(df_extratos!I:I,df_extratos!F:F,Conciliacao!BH238,df_extratos!G:G,"DEBITO")</f>
        <v/>
      </c>
      <c r="O238" s="11">
        <f>N238-SUM(J238:M238)</f>
        <v/>
      </c>
      <c r="P238" s="25">
        <f>SUMIFS(df_ajustes_conciliaco!D:D,df_ajustes_conciliaco!C:C,Conciliacao!A238)</f>
        <v/>
      </c>
      <c r="Q238" s="22">
        <f>O238+I238-P238</f>
        <v/>
      </c>
      <c r="BE238" s="20" t="n">
        <v>45894.5</v>
      </c>
      <c r="BF238" s="20" t="n">
        <v>45894.125</v>
      </c>
      <c r="BG238" s="20" t="n">
        <v>45894.54166666666</v>
      </c>
      <c r="BH238" s="20" t="n">
        <v>45894.625</v>
      </c>
    </row>
    <row r="239">
      <c r="A239" s="5">
        <f>A238+1</f>
        <v/>
      </c>
      <c r="B239" s="3">
        <f>-SUMIFS(df_extrato_zig!G:G,df_extrato_zig!E:E,Conciliacao!A239,df_extrato_zig!D:D,"Saque")-SUMIFS(df_extrato_zig!G:G,df_extrato_zig!E:E,Conciliacao!A239,df_extrato_zig!D:D,"Antecipação")</f>
        <v/>
      </c>
      <c r="C239" s="3">
        <f>SUMIFS(df_extrato_zig!E:E,df_extrato_zig!L:L,Conciliacao!A239,df_extrato_zig!F:F,"DINHEIRO")</f>
        <v/>
      </c>
      <c r="D239" s="3">
        <f>SUMIFS(view_parc_agrup!H:H,view_parc_agrup!G:G,Conciliacao!A239)</f>
        <v/>
      </c>
      <c r="E239" s="3">
        <f>SUMIFS(df_eventos!F:F,df_eventos!H:H,Conciliacao!A239)</f>
        <v/>
      </c>
      <c r="F239" s="3">
        <f>SUMIFS(df_mutuos!M:M,df_mutuos!B:B,Conciliacao!A239)</f>
        <v/>
      </c>
      <c r="G239" s="6">
        <f>SUMIFS(df_bloqueios_judiciais!G:G,df_bloqueios_judiciais!D:D,Conciliacao!A239,df_bloqueios_judiciais!G:G,"&gt;0")</f>
        <v/>
      </c>
      <c r="H239" s="7">
        <f>SUMIFS(df_extratos!I:I,df_extratos!F:F,Conciliacao!BE239,df_extratos!G:G,"CREDITO")+SUMIFS(df_extratos!I:I,df_extratos!F:F,Conciliacao!A239,df_extratos!G:G,"CREDITO")+SUMIFS(df_extratos!I:I,df_extratos!F:F,Conciliacao!BF239,df_extratos!G:G,"CREDITO")+SUMIFS(df_extratos!I:I,df_extratos!F:F,Conciliacao!BG239,df_extratos!G:G,"CREDITO")+SUMIFS(df_extratos!I:I,df_extratos!F:F,Conciliacao!BH239,df_extratos!G:G,"CREDITO")</f>
        <v/>
      </c>
      <c r="I239" s="9">
        <f>H239-SUM(B239:G239)</f>
        <v/>
      </c>
      <c r="J239" s="4">
        <f>SUMIFS(df_blueme_sem_parcelamento!E:E,df_blueme_sem_parcelamento!H:H,Conciliacao!A239)*(-1)</f>
        <v/>
      </c>
      <c r="K239" s="4">
        <f>SUMIFS(df_blueme_com_parcelamento!J:J,df_blueme_com_parcelamento!M:M,Conciliacao!A239)*(-1)</f>
        <v/>
      </c>
      <c r="L239" s="4">
        <f>SUMIFS(df_mutuos!N:N,df_mutuos!B:B,Conciliacao!A239)*(-1)</f>
        <v/>
      </c>
      <c r="M239" s="8">
        <f>SUMIFS(df_bloqueios_judiciais!G:G,df_bloqueios_judiciais!D:D,Conciliacao!A239,df_bloqueios_judiciais!G:G,"&lt;0")</f>
        <v/>
      </c>
      <c r="N239" s="10">
        <f>SUMIFS(df_extratos!I:I,df_extratos!F:F,Conciliacao!BE239,df_extratos!G:G,"DEBITO")+SUMIFS(df_extratos!I:I,df_extratos!F:F,Conciliacao!A239,df_extratos!G:G,"DEBITO")+SUMIFS(df_extratos!I:I,df_extratos!F:F,Conciliacao!BF239,df_extratos!G:G,"DEBITO")+SUMIFS(df_extratos!I:I,df_extratos!F:F,Conciliacao!BG239,df_extratos!G:G,"DEBITO")+SUMIFS(df_extratos!I:I,df_extratos!F:F,Conciliacao!BH239,df_extratos!G:G,"DEBITO")</f>
        <v/>
      </c>
      <c r="O239" s="11">
        <f>N239-SUM(J239:M239)</f>
        <v/>
      </c>
      <c r="P239" s="25">
        <f>SUMIFS(df_ajustes_conciliaco!D:D,df_ajustes_conciliaco!C:C,Conciliacao!A239)</f>
        <v/>
      </c>
      <c r="Q239" s="22">
        <f>O239+I239-P239</f>
        <v/>
      </c>
      <c r="BE239" s="20" t="n">
        <v>45895.5</v>
      </c>
      <c r="BF239" s="20" t="n">
        <v>45895.125</v>
      </c>
      <c r="BG239" s="20" t="n">
        <v>45895.54166666666</v>
      </c>
      <c r="BH239" s="20" t="n">
        <v>45895.625</v>
      </c>
    </row>
    <row r="240">
      <c r="A240" s="5">
        <f>A239+1</f>
        <v/>
      </c>
      <c r="B240" s="3">
        <f>-SUMIFS(df_extrato_zig!G:G,df_extrato_zig!E:E,Conciliacao!A240,df_extrato_zig!D:D,"Saque")-SUMIFS(df_extrato_zig!G:G,df_extrato_zig!E:E,Conciliacao!A240,df_extrato_zig!D:D,"Antecipação")</f>
        <v/>
      </c>
      <c r="C240" s="3">
        <f>SUMIFS(df_extrato_zig!E:E,df_extrato_zig!L:L,Conciliacao!A240,df_extrato_zig!F:F,"DINHEIRO")</f>
        <v/>
      </c>
      <c r="D240" s="3">
        <f>SUMIFS(view_parc_agrup!H:H,view_parc_agrup!G:G,Conciliacao!A240)</f>
        <v/>
      </c>
      <c r="E240" s="3">
        <f>SUMIFS(df_eventos!F:F,df_eventos!H:H,Conciliacao!A240)</f>
        <v/>
      </c>
      <c r="F240" s="3">
        <f>SUMIFS(df_mutuos!M:M,df_mutuos!B:B,Conciliacao!A240)</f>
        <v/>
      </c>
      <c r="G240" s="6">
        <f>SUMIFS(df_bloqueios_judiciais!G:G,df_bloqueios_judiciais!D:D,Conciliacao!A240,df_bloqueios_judiciais!G:G,"&gt;0")</f>
        <v/>
      </c>
      <c r="H240" s="7">
        <f>SUMIFS(df_extratos!I:I,df_extratos!F:F,Conciliacao!BE240,df_extratos!G:G,"CREDITO")+SUMIFS(df_extratos!I:I,df_extratos!F:F,Conciliacao!A240,df_extratos!G:G,"CREDITO")+SUMIFS(df_extratos!I:I,df_extratos!F:F,Conciliacao!BF240,df_extratos!G:G,"CREDITO")+SUMIFS(df_extratos!I:I,df_extratos!F:F,Conciliacao!BG240,df_extratos!G:G,"CREDITO")+SUMIFS(df_extratos!I:I,df_extratos!F:F,Conciliacao!BH240,df_extratos!G:G,"CREDITO")</f>
        <v/>
      </c>
      <c r="I240" s="9">
        <f>H240-SUM(B240:G240)</f>
        <v/>
      </c>
      <c r="J240" s="4">
        <f>SUMIFS(df_blueme_sem_parcelamento!E:E,df_blueme_sem_parcelamento!H:H,Conciliacao!A240)*(-1)</f>
        <v/>
      </c>
      <c r="K240" s="4">
        <f>SUMIFS(df_blueme_com_parcelamento!J:J,df_blueme_com_parcelamento!M:M,Conciliacao!A240)*(-1)</f>
        <v/>
      </c>
      <c r="L240" s="4">
        <f>SUMIFS(df_mutuos!N:N,df_mutuos!B:B,Conciliacao!A240)*(-1)</f>
        <v/>
      </c>
      <c r="M240" s="8">
        <f>SUMIFS(df_bloqueios_judiciais!G:G,df_bloqueios_judiciais!D:D,Conciliacao!A240,df_bloqueios_judiciais!G:G,"&lt;0")</f>
        <v/>
      </c>
      <c r="N240" s="10">
        <f>SUMIFS(df_extratos!I:I,df_extratos!F:F,Conciliacao!BE240,df_extratos!G:G,"DEBITO")+SUMIFS(df_extratos!I:I,df_extratos!F:F,Conciliacao!A240,df_extratos!G:G,"DEBITO")+SUMIFS(df_extratos!I:I,df_extratos!F:F,Conciliacao!BF240,df_extratos!G:G,"DEBITO")+SUMIFS(df_extratos!I:I,df_extratos!F:F,Conciliacao!BG240,df_extratos!G:G,"DEBITO")+SUMIFS(df_extratos!I:I,df_extratos!F:F,Conciliacao!BH240,df_extratos!G:G,"DEBITO")</f>
        <v/>
      </c>
      <c r="O240" s="11">
        <f>N240-SUM(J240:M240)</f>
        <v/>
      </c>
      <c r="P240" s="25">
        <f>SUMIFS(df_ajustes_conciliaco!D:D,df_ajustes_conciliaco!C:C,Conciliacao!A240)</f>
        <v/>
      </c>
      <c r="Q240" s="22">
        <f>O240+I240-P240</f>
        <v/>
      </c>
      <c r="BE240" s="20" t="n">
        <v>45896.5</v>
      </c>
      <c r="BF240" s="20" t="n">
        <v>45896.125</v>
      </c>
      <c r="BG240" s="20" t="n">
        <v>45896.54166666666</v>
      </c>
      <c r="BH240" s="20" t="n">
        <v>45896.625</v>
      </c>
    </row>
    <row r="241">
      <c r="A241" s="5">
        <f>A240+1</f>
        <v/>
      </c>
      <c r="B241" s="3">
        <f>-SUMIFS(df_extrato_zig!G:G,df_extrato_zig!E:E,Conciliacao!A241,df_extrato_zig!D:D,"Saque")-SUMIFS(df_extrato_zig!G:G,df_extrato_zig!E:E,Conciliacao!A241,df_extrato_zig!D:D,"Antecipação")</f>
        <v/>
      </c>
      <c r="C241" s="3">
        <f>SUMIFS(df_extrato_zig!E:E,df_extrato_zig!L:L,Conciliacao!A241,df_extrato_zig!F:F,"DINHEIRO")</f>
        <v/>
      </c>
      <c r="D241" s="3">
        <f>SUMIFS(view_parc_agrup!H:H,view_parc_agrup!G:G,Conciliacao!A241)</f>
        <v/>
      </c>
      <c r="E241" s="3">
        <f>SUMIFS(df_eventos!F:F,df_eventos!H:H,Conciliacao!A241)</f>
        <v/>
      </c>
      <c r="F241" s="3">
        <f>SUMIFS(df_mutuos!M:M,df_mutuos!B:B,Conciliacao!A241)</f>
        <v/>
      </c>
      <c r="G241" s="6">
        <f>SUMIFS(df_bloqueios_judiciais!G:G,df_bloqueios_judiciais!D:D,Conciliacao!A241,df_bloqueios_judiciais!G:G,"&gt;0")</f>
        <v/>
      </c>
      <c r="H241" s="7">
        <f>SUMIFS(df_extratos!I:I,df_extratos!F:F,Conciliacao!BE241,df_extratos!G:G,"CREDITO")+SUMIFS(df_extratos!I:I,df_extratos!F:F,Conciliacao!A241,df_extratos!G:G,"CREDITO")+SUMIFS(df_extratos!I:I,df_extratos!F:F,Conciliacao!BF241,df_extratos!G:G,"CREDITO")+SUMIFS(df_extratos!I:I,df_extratos!F:F,Conciliacao!BG241,df_extratos!G:G,"CREDITO")+SUMIFS(df_extratos!I:I,df_extratos!F:F,Conciliacao!BH241,df_extratos!G:G,"CREDITO")</f>
        <v/>
      </c>
      <c r="I241" s="9">
        <f>H241-SUM(B241:G241)</f>
        <v/>
      </c>
      <c r="J241" s="4">
        <f>SUMIFS(df_blueme_sem_parcelamento!E:E,df_blueme_sem_parcelamento!H:H,Conciliacao!A241)*(-1)</f>
        <v/>
      </c>
      <c r="K241" s="4">
        <f>SUMIFS(df_blueme_com_parcelamento!J:J,df_blueme_com_parcelamento!M:M,Conciliacao!A241)*(-1)</f>
        <v/>
      </c>
      <c r="L241" s="4">
        <f>SUMIFS(df_mutuos!N:N,df_mutuos!B:B,Conciliacao!A241)*(-1)</f>
        <v/>
      </c>
      <c r="M241" s="8">
        <f>SUMIFS(df_bloqueios_judiciais!G:G,df_bloqueios_judiciais!D:D,Conciliacao!A241,df_bloqueios_judiciais!G:G,"&lt;0")</f>
        <v/>
      </c>
      <c r="N241" s="10">
        <f>SUMIFS(df_extratos!I:I,df_extratos!F:F,Conciliacao!BE241,df_extratos!G:G,"DEBITO")+SUMIFS(df_extratos!I:I,df_extratos!F:F,Conciliacao!A241,df_extratos!G:G,"DEBITO")+SUMIFS(df_extratos!I:I,df_extratos!F:F,Conciliacao!BF241,df_extratos!G:G,"DEBITO")+SUMIFS(df_extratos!I:I,df_extratos!F:F,Conciliacao!BG241,df_extratos!G:G,"DEBITO")+SUMIFS(df_extratos!I:I,df_extratos!F:F,Conciliacao!BH241,df_extratos!G:G,"DEBITO")</f>
        <v/>
      </c>
      <c r="O241" s="11">
        <f>N241-SUM(J241:M241)</f>
        <v/>
      </c>
      <c r="P241" s="25">
        <f>SUMIFS(df_ajustes_conciliaco!D:D,df_ajustes_conciliaco!C:C,Conciliacao!A241)</f>
        <v/>
      </c>
      <c r="Q241" s="22">
        <f>O241+I241-P241</f>
        <v/>
      </c>
      <c r="BE241" s="20" t="n">
        <v>45897.5</v>
      </c>
      <c r="BF241" s="20" t="n">
        <v>45897.125</v>
      </c>
      <c r="BG241" s="20" t="n">
        <v>45897.54166666666</v>
      </c>
      <c r="BH241" s="20" t="n">
        <v>45897.625</v>
      </c>
    </row>
    <row r="242">
      <c r="A242" s="5">
        <f>A241+1</f>
        <v/>
      </c>
      <c r="B242" s="3">
        <f>-SUMIFS(df_extrato_zig!G:G,df_extrato_zig!E:E,Conciliacao!A242,df_extrato_zig!D:D,"Saque")-SUMIFS(df_extrato_zig!G:G,df_extrato_zig!E:E,Conciliacao!A242,df_extrato_zig!D:D,"Antecipação")</f>
        <v/>
      </c>
      <c r="C242" s="3">
        <f>SUMIFS(df_extrato_zig!E:E,df_extrato_zig!L:L,Conciliacao!A242,df_extrato_zig!F:F,"DINHEIRO")</f>
        <v/>
      </c>
      <c r="D242" s="3">
        <f>SUMIFS(view_parc_agrup!H:H,view_parc_agrup!G:G,Conciliacao!A242)</f>
        <v/>
      </c>
      <c r="E242" s="3">
        <f>SUMIFS(df_eventos!F:F,df_eventos!H:H,Conciliacao!A242)</f>
        <v/>
      </c>
      <c r="F242" s="3">
        <f>SUMIFS(df_mutuos!M:M,df_mutuos!B:B,Conciliacao!A242)</f>
        <v/>
      </c>
      <c r="G242" s="6">
        <f>SUMIFS(df_bloqueios_judiciais!G:G,df_bloqueios_judiciais!D:D,Conciliacao!A242,df_bloqueios_judiciais!G:G,"&gt;0")</f>
        <v/>
      </c>
      <c r="H242" s="7">
        <f>SUMIFS(df_extratos!I:I,df_extratos!F:F,Conciliacao!BE242,df_extratos!G:G,"CREDITO")+SUMIFS(df_extratos!I:I,df_extratos!F:F,Conciliacao!A242,df_extratos!G:G,"CREDITO")+SUMIFS(df_extratos!I:I,df_extratos!F:F,Conciliacao!BF242,df_extratos!G:G,"CREDITO")+SUMIFS(df_extratos!I:I,df_extratos!F:F,Conciliacao!BG242,df_extratos!G:G,"CREDITO")+SUMIFS(df_extratos!I:I,df_extratos!F:F,Conciliacao!BH242,df_extratos!G:G,"CREDITO")</f>
        <v/>
      </c>
      <c r="I242" s="9">
        <f>H242-SUM(B242:G242)</f>
        <v/>
      </c>
      <c r="J242" s="4">
        <f>SUMIFS(df_blueme_sem_parcelamento!E:E,df_blueme_sem_parcelamento!H:H,Conciliacao!A242)*(-1)</f>
        <v/>
      </c>
      <c r="K242" s="4">
        <f>SUMIFS(df_blueme_com_parcelamento!J:J,df_blueme_com_parcelamento!M:M,Conciliacao!A242)*(-1)</f>
        <v/>
      </c>
      <c r="L242" s="4">
        <f>SUMIFS(df_mutuos!N:N,df_mutuos!B:B,Conciliacao!A242)*(-1)</f>
        <v/>
      </c>
      <c r="M242" s="8">
        <f>SUMIFS(df_bloqueios_judiciais!G:G,df_bloqueios_judiciais!D:D,Conciliacao!A242,df_bloqueios_judiciais!G:G,"&lt;0")</f>
        <v/>
      </c>
      <c r="N242" s="10">
        <f>SUMIFS(df_extratos!I:I,df_extratos!F:F,Conciliacao!BE242,df_extratos!G:G,"DEBITO")+SUMIFS(df_extratos!I:I,df_extratos!F:F,Conciliacao!A242,df_extratos!G:G,"DEBITO")+SUMIFS(df_extratos!I:I,df_extratos!F:F,Conciliacao!BF242,df_extratos!G:G,"DEBITO")+SUMIFS(df_extratos!I:I,df_extratos!F:F,Conciliacao!BG242,df_extratos!G:G,"DEBITO")+SUMIFS(df_extratos!I:I,df_extratos!F:F,Conciliacao!BH242,df_extratos!G:G,"DEBITO")</f>
        <v/>
      </c>
      <c r="O242" s="11">
        <f>N242-SUM(J242:M242)</f>
        <v/>
      </c>
      <c r="P242" s="25">
        <f>SUMIFS(df_ajustes_conciliaco!D:D,df_ajustes_conciliaco!C:C,Conciliacao!A242)</f>
        <v/>
      </c>
      <c r="Q242" s="22">
        <f>O242+I242-P242</f>
        <v/>
      </c>
      <c r="BE242" s="20" t="n">
        <v>45898.5</v>
      </c>
      <c r="BF242" s="20" t="n">
        <v>45898.125</v>
      </c>
      <c r="BG242" s="20" t="n">
        <v>45898.54166666666</v>
      </c>
      <c r="BH242" s="20" t="n">
        <v>45898.625</v>
      </c>
    </row>
    <row r="243">
      <c r="A243" s="5">
        <f>A242+1</f>
        <v/>
      </c>
      <c r="B243" s="3">
        <f>-SUMIFS(df_extrato_zig!G:G,df_extrato_zig!E:E,Conciliacao!A243,df_extrato_zig!D:D,"Saque")-SUMIFS(df_extrato_zig!G:G,df_extrato_zig!E:E,Conciliacao!A243,df_extrato_zig!D:D,"Antecipação")</f>
        <v/>
      </c>
      <c r="C243" s="3">
        <f>SUMIFS(df_extrato_zig!E:E,df_extrato_zig!L:L,Conciliacao!A243,df_extrato_zig!F:F,"DINHEIRO")</f>
        <v/>
      </c>
      <c r="D243" s="3">
        <f>SUMIFS(view_parc_agrup!H:H,view_parc_agrup!G:G,Conciliacao!A243)</f>
        <v/>
      </c>
      <c r="E243" s="3">
        <f>SUMIFS(df_eventos!F:F,df_eventos!H:H,Conciliacao!A243)</f>
        <v/>
      </c>
      <c r="F243" s="3">
        <f>SUMIFS(df_mutuos!M:M,df_mutuos!B:B,Conciliacao!A243)</f>
        <v/>
      </c>
      <c r="G243" s="6">
        <f>SUMIFS(df_bloqueios_judiciais!G:G,df_bloqueios_judiciais!D:D,Conciliacao!A243,df_bloqueios_judiciais!G:G,"&gt;0")</f>
        <v/>
      </c>
      <c r="H243" s="7">
        <f>SUMIFS(df_extratos!I:I,df_extratos!F:F,Conciliacao!BE243,df_extratos!G:G,"CREDITO")+SUMIFS(df_extratos!I:I,df_extratos!F:F,Conciliacao!A243,df_extratos!G:G,"CREDITO")+SUMIFS(df_extratos!I:I,df_extratos!F:F,Conciliacao!BF243,df_extratos!G:G,"CREDITO")+SUMIFS(df_extratos!I:I,df_extratos!F:F,Conciliacao!BG243,df_extratos!G:G,"CREDITO")+SUMIFS(df_extratos!I:I,df_extratos!F:F,Conciliacao!BH243,df_extratos!G:G,"CREDITO")</f>
        <v/>
      </c>
      <c r="I243" s="9">
        <f>H243-SUM(B243:G243)</f>
        <v/>
      </c>
      <c r="J243" s="4">
        <f>SUMIFS(df_blueme_sem_parcelamento!E:E,df_blueme_sem_parcelamento!H:H,Conciliacao!A243)*(-1)</f>
        <v/>
      </c>
      <c r="K243" s="4">
        <f>SUMIFS(df_blueme_com_parcelamento!J:J,df_blueme_com_parcelamento!M:M,Conciliacao!A243)*(-1)</f>
        <v/>
      </c>
      <c r="L243" s="4">
        <f>SUMIFS(df_mutuos!N:N,df_mutuos!B:B,Conciliacao!A243)*(-1)</f>
        <v/>
      </c>
      <c r="M243" s="8">
        <f>SUMIFS(df_bloqueios_judiciais!G:G,df_bloqueios_judiciais!D:D,Conciliacao!A243,df_bloqueios_judiciais!G:G,"&lt;0")</f>
        <v/>
      </c>
      <c r="N243" s="10">
        <f>SUMIFS(df_extratos!I:I,df_extratos!F:F,Conciliacao!BE243,df_extratos!G:G,"DEBITO")+SUMIFS(df_extratos!I:I,df_extratos!F:F,Conciliacao!A243,df_extratos!G:G,"DEBITO")+SUMIFS(df_extratos!I:I,df_extratos!F:F,Conciliacao!BF243,df_extratos!G:G,"DEBITO")+SUMIFS(df_extratos!I:I,df_extratos!F:F,Conciliacao!BG243,df_extratos!G:G,"DEBITO")+SUMIFS(df_extratos!I:I,df_extratos!F:F,Conciliacao!BH243,df_extratos!G:G,"DEBITO")</f>
        <v/>
      </c>
      <c r="O243" s="11">
        <f>N243-SUM(J243:M243)</f>
        <v/>
      </c>
      <c r="P243" s="25">
        <f>SUMIFS(df_ajustes_conciliaco!D:D,df_ajustes_conciliaco!C:C,Conciliacao!A243)</f>
        <v/>
      </c>
      <c r="Q243" s="22">
        <f>O243+I243-P243</f>
        <v/>
      </c>
      <c r="BE243" s="20" t="n">
        <v>45899.5</v>
      </c>
      <c r="BF243" s="20" t="n">
        <v>45899.125</v>
      </c>
      <c r="BG243" s="20" t="n">
        <v>45899.54166666666</v>
      </c>
      <c r="BH243" s="20" t="n">
        <v>45899.625</v>
      </c>
    </row>
    <row r="244">
      <c r="A244" s="5">
        <f>A243+1</f>
        <v/>
      </c>
      <c r="B244" s="3">
        <f>-SUMIFS(df_extrato_zig!G:G,df_extrato_zig!E:E,Conciliacao!A244,df_extrato_zig!D:D,"Saque")-SUMIFS(df_extrato_zig!G:G,df_extrato_zig!E:E,Conciliacao!A244,df_extrato_zig!D:D,"Antecipação")</f>
        <v/>
      </c>
      <c r="C244" s="3">
        <f>SUMIFS(df_extrato_zig!E:E,df_extrato_zig!L:L,Conciliacao!A244,df_extrato_zig!F:F,"DINHEIRO")</f>
        <v/>
      </c>
      <c r="D244" s="3">
        <f>SUMIFS(view_parc_agrup!H:H,view_parc_agrup!G:G,Conciliacao!A244)</f>
        <v/>
      </c>
      <c r="E244" s="3">
        <f>SUMIFS(df_eventos!F:F,df_eventos!H:H,Conciliacao!A244)</f>
        <v/>
      </c>
      <c r="F244" s="3">
        <f>SUMIFS(df_mutuos!M:M,df_mutuos!B:B,Conciliacao!A244)</f>
        <v/>
      </c>
      <c r="G244" s="6">
        <f>SUMIFS(df_bloqueios_judiciais!G:G,df_bloqueios_judiciais!D:D,Conciliacao!A244,df_bloqueios_judiciais!G:G,"&gt;0")</f>
        <v/>
      </c>
      <c r="H244" s="7">
        <f>SUMIFS(df_extratos!I:I,df_extratos!F:F,Conciliacao!BE244,df_extratos!G:G,"CREDITO")+SUMIFS(df_extratos!I:I,df_extratos!F:F,Conciliacao!A244,df_extratos!G:G,"CREDITO")+SUMIFS(df_extratos!I:I,df_extratos!F:F,Conciliacao!BF244,df_extratos!G:G,"CREDITO")+SUMIFS(df_extratos!I:I,df_extratos!F:F,Conciliacao!BG244,df_extratos!G:G,"CREDITO")+SUMIFS(df_extratos!I:I,df_extratos!F:F,Conciliacao!BH244,df_extratos!G:G,"CREDITO")</f>
        <v/>
      </c>
      <c r="I244" s="9">
        <f>H244-SUM(B244:G244)</f>
        <v/>
      </c>
      <c r="J244" s="4">
        <f>SUMIFS(df_blueme_sem_parcelamento!E:E,df_blueme_sem_parcelamento!H:H,Conciliacao!A244)*(-1)</f>
        <v/>
      </c>
      <c r="K244" s="4">
        <f>SUMIFS(df_blueme_com_parcelamento!J:J,df_blueme_com_parcelamento!M:M,Conciliacao!A244)*(-1)</f>
        <v/>
      </c>
      <c r="L244" s="4">
        <f>SUMIFS(df_mutuos!N:N,df_mutuos!B:B,Conciliacao!A244)*(-1)</f>
        <v/>
      </c>
      <c r="M244" s="8">
        <f>SUMIFS(df_bloqueios_judiciais!G:G,df_bloqueios_judiciais!D:D,Conciliacao!A244,df_bloqueios_judiciais!G:G,"&lt;0")</f>
        <v/>
      </c>
      <c r="N244" s="10">
        <f>SUMIFS(df_extratos!I:I,df_extratos!F:F,Conciliacao!BE244,df_extratos!G:G,"DEBITO")+SUMIFS(df_extratos!I:I,df_extratos!F:F,Conciliacao!A244,df_extratos!G:G,"DEBITO")+SUMIFS(df_extratos!I:I,df_extratos!F:F,Conciliacao!BF244,df_extratos!G:G,"DEBITO")+SUMIFS(df_extratos!I:I,df_extratos!F:F,Conciliacao!BG244,df_extratos!G:G,"DEBITO")+SUMIFS(df_extratos!I:I,df_extratos!F:F,Conciliacao!BH244,df_extratos!G:G,"DEBITO")</f>
        <v/>
      </c>
      <c r="O244" s="11">
        <f>N244-SUM(J244:M244)</f>
        <v/>
      </c>
      <c r="P244" s="25">
        <f>SUMIFS(df_ajustes_conciliaco!D:D,df_ajustes_conciliaco!C:C,Conciliacao!A244)</f>
        <v/>
      </c>
      <c r="Q244" s="22">
        <f>O244+I244-P244</f>
        <v/>
      </c>
      <c r="BE244" s="20" t="n">
        <v>45900.5</v>
      </c>
      <c r="BF244" s="20" t="n">
        <v>45900.125</v>
      </c>
      <c r="BG244" s="20" t="n">
        <v>45900.54166666666</v>
      </c>
      <c r="BH244" s="20" t="n">
        <v>45900.625</v>
      </c>
    </row>
    <row r="245">
      <c r="A245" s="5">
        <f>A244+1</f>
        <v/>
      </c>
      <c r="B245" s="3">
        <f>-SUMIFS(df_extrato_zig!G:G,df_extrato_zig!E:E,Conciliacao!A245,df_extrato_zig!D:D,"Saque")-SUMIFS(df_extrato_zig!G:G,df_extrato_zig!E:E,Conciliacao!A245,df_extrato_zig!D:D,"Antecipação")</f>
        <v/>
      </c>
      <c r="C245" s="3">
        <f>SUMIFS(df_extrato_zig!E:E,df_extrato_zig!L:L,Conciliacao!A245,df_extrato_zig!F:F,"DINHEIRO")</f>
        <v/>
      </c>
      <c r="D245" s="3">
        <f>SUMIFS(view_parc_agrup!H:H,view_parc_agrup!G:G,Conciliacao!A245)</f>
        <v/>
      </c>
      <c r="E245" s="3">
        <f>SUMIFS(df_eventos!F:F,df_eventos!H:H,Conciliacao!A245)</f>
        <v/>
      </c>
      <c r="F245" s="3">
        <f>SUMIFS(df_mutuos!M:M,df_mutuos!B:B,Conciliacao!A245)</f>
        <v/>
      </c>
      <c r="G245" s="6">
        <f>SUMIFS(df_bloqueios_judiciais!G:G,df_bloqueios_judiciais!D:D,Conciliacao!A245,df_bloqueios_judiciais!G:G,"&gt;0")</f>
        <v/>
      </c>
      <c r="H245" s="7">
        <f>SUMIFS(df_extratos!I:I,df_extratos!F:F,Conciliacao!BE245,df_extratos!G:G,"CREDITO")+SUMIFS(df_extratos!I:I,df_extratos!F:F,Conciliacao!A245,df_extratos!G:G,"CREDITO")+SUMIFS(df_extratos!I:I,df_extratos!F:F,Conciliacao!BF245,df_extratos!G:G,"CREDITO")+SUMIFS(df_extratos!I:I,df_extratos!F:F,Conciliacao!BG245,df_extratos!G:G,"CREDITO")+SUMIFS(df_extratos!I:I,df_extratos!F:F,Conciliacao!BH245,df_extratos!G:G,"CREDITO")</f>
        <v/>
      </c>
      <c r="I245" s="9">
        <f>H245-SUM(B245:G245)</f>
        <v/>
      </c>
      <c r="J245" s="4">
        <f>SUMIFS(df_blueme_sem_parcelamento!E:E,df_blueme_sem_parcelamento!H:H,Conciliacao!A245)*(-1)</f>
        <v/>
      </c>
      <c r="K245" s="4">
        <f>SUMIFS(df_blueme_com_parcelamento!J:J,df_blueme_com_parcelamento!M:M,Conciliacao!A245)*(-1)</f>
        <v/>
      </c>
      <c r="L245" s="4">
        <f>SUMIFS(df_mutuos!N:N,df_mutuos!B:B,Conciliacao!A245)*(-1)</f>
        <v/>
      </c>
      <c r="M245" s="8">
        <f>SUMIFS(df_bloqueios_judiciais!G:G,df_bloqueios_judiciais!D:D,Conciliacao!A245,df_bloqueios_judiciais!G:G,"&lt;0")</f>
        <v/>
      </c>
      <c r="N245" s="10">
        <f>SUMIFS(df_extratos!I:I,df_extratos!F:F,Conciliacao!BE245,df_extratos!G:G,"DEBITO")+SUMIFS(df_extratos!I:I,df_extratos!F:F,Conciliacao!A245,df_extratos!G:G,"DEBITO")+SUMIFS(df_extratos!I:I,df_extratos!F:F,Conciliacao!BF245,df_extratos!G:G,"DEBITO")+SUMIFS(df_extratos!I:I,df_extratos!F:F,Conciliacao!BG245,df_extratos!G:G,"DEBITO")+SUMIFS(df_extratos!I:I,df_extratos!F:F,Conciliacao!BH245,df_extratos!G:G,"DEBITO")</f>
        <v/>
      </c>
      <c r="O245" s="11">
        <f>N245-SUM(J245:M245)</f>
        <v/>
      </c>
      <c r="P245" s="25">
        <f>SUMIFS(df_ajustes_conciliaco!D:D,df_ajustes_conciliaco!C:C,Conciliacao!A245)</f>
        <v/>
      </c>
      <c r="Q245" s="22">
        <f>O245+I245-P245</f>
        <v/>
      </c>
      <c r="BE245" s="20" t="n">
        <v>45901.5</v>
      </c>
      <c r="BF245" s="20" t="n">
        <v>45901.125</v>
      </c>
      <c r="BG245" s="20" t="n">
        <v>45901.54166666666</v>
      </c>
      <c r="BH245" s="20" t="n">
        <v>45901.625</v>
      </c>
    </row>
    <row r="246">
      <c r="A246" s="5">
        <f>A245+1</f>
        <v/>
      </c>
      <c r="B246" s="3">
        <f>-SUMIFS(df_extrato_zig!G:G,df_extrato_zig!E:E,Conciliacao!A246,df_extrato_zig!D:D,"Saque")-SUMIFS(df_extrato_zig!G:G,df_extrato_zig!E:E,Conciliacao!A246,df_extrato_zig!D:D,"Antecipação")</f>
        <v/>
      </c>
      <c r="C246" s="3">
        <f>SUMIFS(df_extrato_zig!E:E,df_extrato_zig!L:L,Conciliacao!A246,df_extrato_zig!F:F,"DINHEIRO")</f>
        <v/>
      </c>
      <c r="D246" s="3">
        <f>SUMIFS(view_parc_agrup!H:H,view_parc_agrup!G:G,Conciliacao!A246)</f>
        <v/>
      </c>
      <c r="E246" s="3">
        <f>SUMIFS(df_eventos!F:F,df_eventos!H:H,Conciliacao!A246)</f>
        <v/>
      </c>
      <c r="F246" s="3">
        <f>SUMIFS(df_mutuos!M:M,df_mutuos!B:B,Conciliacao!A246)</f>
        <v/>
      </c>
      <c r="G246" s="6">
        <f>SUMIFS(df_bloqueios_judiciais!G:G,df_bloqueios_judiciais!D:D,Conciliacao!A246,df_bloqueios_judiciais!G:G,"&gt;0")</f>
        <v/>
      </c>
      <c r="H246" s="7">
        <f>SUMIFS(df_extratos!I:I,df_extratos!F:F,Conciliacao!BE246,df_extratos!G:G,"CREDITO")+SUMIFS(df_extratos!I:I,df_extratos!F:F,Conciliacao!A246,df_extratos!G:G,"CREDITO")+SUMIFS(df_extratos!I:I,df_extratos!F:F,Conciliacao!BF246,df_extratos!G:G,"CREDITO")+SUMIFS(df_extratos!I:I,df_extratos!F:F,Conciliacao!BG246,df_extratos!G:G,"CREDITO")+SUMIFS(df_extratos!I:I,df_extratos!F:F,Conciliacao!BH246,df_extratos!G:G,"CREDITO")</f>
        <v/>
      </c>
      <c r="I246" s="9">
        <f>H246-SUM(B246:G246)</f>
        <v/>
      </c>
      <c r="J246" s="4">
        <f>SUMIFS(df_blueme_sem_parcelamento!E:E,df_blueme_sem_parcelamento!H:H,Conciliacao!A246)*(-1)</f>
        <v/>
      </c>
      <c r="K246" s="4">
        <f>SUMIFS(df_blueme_com_parcelamento!J:J,df_blueme_com_parcelamento!M:M,Conciliacao!A246)*(-1)</f>
        <v/>
      </c>
      <c r="L246" s="4">
        <f>SUMIFS(df_mutuos!N:N,df_mutuos!B:B,Conciliacao!A246)*(-1)</f>
        <v/>
      </c>
      <c r="M246" s="8">
        <f>SUMIFS(df_bloqueios_judiciais!G:G,df_bloqueios_judiciais!D:D,Conciliacao!A246,df_bloqueios_judiciais!G:G,"&lt;0")</f>
        <v/>
      </c>
      <c r="N246" s="10">
        <f>SUMIFS(df_extratos!I:I,df_extratos!F:F,Conciliacao!BE246,df_extratos!G:G,"DEBITO")+SUMIFS(df_extratos!I:I,df_extratos!F:F,Conciliacao!A246,df_extratos!G:G,"DEBITO")+SUMIFS(df_extratos!I:I,df_extratos!F:F,Conciliacao!BF246,df_extratos!G:G,"DEBITO")+SUMIFS(df_extratos!I:I,df_extratos!F:F,Conciliacao!BG246,df_extratos!G:G,"DEBITO")+SUMIFS(df_extratos!I:I,df_extratos!F:F,Conciliacao!BH246,df_extratos!G:G,"DEBITO")</f>
        <v/>
      </c>
      <c r="O246" s="11">
        <f>N246-SUM(J246:M246)</f>
        <v/>
      </c>
      <c r="P246" s="25">
        <f>SUMIFS(df_ajustes_conciliaco!D:D,df_ajustes_conciliaco!C:C,Conciliacao!A246)</f>
        <v/>
      </c>
      <c r="Q246" s="22">
        <f>O246+I246-P246</f>
        <v/>
      </c>
      <c r="BE246" s="20" t="n">
        <v>45902.5</v>
      </c>
      <c r="BF246" s="20" t="n">
        <v>45902.125</v>
      </c>
      <c r="BG246" s="20" t="n">
        <v>45902.54166666666</v>
      </c>
      <c r="BH246" s="20" t="n">
        <v>45902.625</v>
      </c>
    </row>
    <row r="247">
      <c r="A247" s="5">
        <f>A246+1</f>
        <v/>
      </c>
      <c r="B247" s="3">
        <f>-SUMIFS(df_extrato_zig!G:G,df_extrato_zig!E:E,Conciliacao!A247,df_extrato_zig!D:D,"Saque")-SUMIFS(df_extrato_zig!G:G,df_extrato_zig!E:E,Conciliacao!A247,df_extrato_zig!D:D,"Antecipação")</f>
        <v/>
      </c>
      <c r="C247" s="3">
        <f>SUMIFS(df_extrato_zig!E:E,df_extrato_zig!L:L,Conciliacao!A247,df_extrato_zig!F:F,"DINHEIRO")</f>
        <v/>
      </c>
      <c r="D247" s="3">
        <f>SUMIFS(view_parc_agrup!H:H,view_parc_agrup!G:G,Conciliacao!A247)</f>
        <v/>
      </c>
      <c r="E247" s="3">
        <f>SUMIFS(df_eventos!F:F,df_eventos!H:H,Conciliacao!A247)</f>
        <v/>
      </c>
      <c r="F247" s="3">
        <f>SUMIFS(df_mutuos!M:M,df_mutuos!B:B,Conciliacao!A247)</f>
        <v/>
      </c>
      <c r="G247" s="6">
        <f>SUMIFS(df_bloqueios_judiciais!G:G,df_bloqueios_judiciais!D:D,Conciliacao!A247,df_bloqueios_judiciais!G:G,"&gt;0")</f>
        <v/>
      </c>
      <c r="H247" s="7">
        <f>SUMIFS(df_extratos!I:I,df_extratos!F:F,Conciliacao!BE247,df_extratos!G:G,"CREDITO")+SUMIFS(df_extratos!I:I,df_extratos!F:F,Conciliacao!A247,df_extratos!G:G,"CREDITO")+SUMIFS(df_extratos!I:I,df_extratos!F:F,Conciliacao!BF247,df_extratos!G:G,"CREDITO")+SUMIFS(df_extratos!I:I,df_extratos!F:F,Conciliacao!BG247,df_extratos!G:G,"CREDITO")+SUMIFS(df_extratos!I:I,df_extratos!F:F,Conciliacao!BH247,df_extratos!G:G,"CREDITO")</f>
        <v/>
      </c>
      <c r="I247" s="9">
        <f>H247-SUM(B247:G247)</f>
        <v/>
      </c>
      <c r="J247" s="4">
        <f>SUMIFS(df_blueme_sem_parcelamento!E:E,df_blueme_sem_parcelamento!H:H,Conciliacao!A247)*(-1)</f>
        <v/>
      </c>
      <c r="K247" s="4">
        <f>SUMIFS(df_blueme_com_parcelamento!J:J,df_blueme_com_parcelamento!M:M,Conciliacao!A247)*(-1)</f>
        <v/>
      </c>
      <c r="L247" s="4">
        <f>SUMIFS(df_mutuos!N:N,df_mutuos!B:B,Conciliacao!A247)*(-1)</f>
        <v/>
      </c>
      <c r="M247" s="8">
        <f>SUMIFS(df_bloqueios_judiciais!G:G,df_bloqueios_judiciais!D:D,Conciliacao!A247,df_bloqueios_judiciais!G:G,"&lt;0")</f>
        <v/>
      </c>
      <c r="N247" s="10">
        <f>SUMIFS(df_extratos!I:I,df_extratos!F:F,Conciliacao!BE247,df_extratos!G:G,"DEBITO")+SUMIFS(df_extratos!I:I,df_extratos!F:F,Conciliacao!A247,df_extratos!G:G,"DEBITO")+SUMIFS(df_extratos!I:I,df_extratos!F:F,Conciliacao!BF247,df_extratos!G:G,"DEBITO")+SUMIFS(df_extratos!I:I,df_extratos!F:F,Conciliacao!BG247,df_extratos!G:G,"DEBITO")+SUMIFS(df_extratos!I:I,df_extratos!F:F,Conciliacao!BH247,df_extratos!G:G,"DEBITO")</f>
        <v/>
      </c>
      <c r="O247" s="11">
        <f>N247-SUM(J247:M247)</f>
        <v/>
      </c>
      <c r="P247" s="25">
        <f>SUMIFS(df_ajustes_conciliaco!D:D,df_ajustes_conciliaco!C:C,Conciliacao!A247)</f>
        <v/>
      </c>
      <c r="Q247" s="22">
        <f>O247+I247-P247</f>
        <v/>
      </c>
      <c r="BE247" s="20" t="n">
        <v>45903.5</v>
      </c>
      <c r="BF247" s="20" t="n">
        <v>45903.125</v>
      </c>
      <c r="BG247" s="20" t="n">
        <v>45903.54166666666</v>
      </c>
      <c r="BH247" s="20" t="n">
        <v>45903.625</v>
      </c>
    </row>
    <row r="248">
      <c r="A248" s="5">
        <f>A247+1</f>
        <v/>
      </c>
      <c r="B248" s="3">
        <f>-SUMIFS(df_extrato_zig!G:G,df_extrato_zig!E:E,Conciliacao!A248,df_extrato_zig!D:D,"Saque")-SUMIFS(df_extrato_zig!G:G,df_extrato_zig!E:E,Conciliacao!A248,df_extrato_zig!D:D,"Antecipação")</f>
        <v/>
      </c>
      <c r="C248" s="3">
        <f>SUMIFS(df_extrato_zig!E:E,df_extrato_zig!L:L,Conciliacao!A248,df_extrato_zig!F:F,"DINHEIRO")</f>
        <v/>
      </c>
      <c r="D248" s="3">
        <f>SUMIFS(view_parc_agrup!H:H,view_parc_agrup!G:G,Conciliacao!A248)</f>
        <v/>
      </c>
      <c r="E248" s="3">
        <f>SUMIFS(df_eventos!F:F,df_eventos!H:H,Conciliacao!A248)</f>
        <v/>
      </c>
      <c r="F248" s="3">
        <f>SUMIFS(df_mutuos!M:M,df_mutuos!B:B,Conciliacao!A248)</f>
        <v/>
      </c>
      <c r="G248" s="6">
        <f>SUMIFS(df_bloqueios_judiciais!G:G,df_bloqueios_judiciais!D:D,Conciliacao!A248,df_bloqueios_judiciais!G:G,"&gt;0")</f>
        <v/>
      </c>
      <c r="H248" s="7">
        <f>SUMIFS(df_extratos!I:I,df_extratos!F:F,Conciliacao!BE248,df_extratos!G:G,"CREDITO")+SUMIFS(df_extratos!I:I,df_extratos!F:F,Conciliacao!A248,df_extratos!G:G,"CREDITO")+SUMIFS(df_extratos!I:I,df_extratos!F:F,Conciliacao!BF248,df_extratos!G:G,"CREDITO")+SUMIFS(df_extratos!I:I,df_extratos!F:F,Conciliacao!BG248,df_extratos!G:G,"CREDITO")+SUMIFS(df_extratos!I:I,df_extratos!F:F,Conciliacao!BH248,df_extratos!G:G,"CREDITO")</f>
        <v/>
      </c>
      <c r="I248" s="9">
        <f>H248-SUM(B248:G248)</f>
        <v/>
      </c>
      <c r="J248" s="4">
        <f>SUMIFS(df_blueme_sem_parcelamento!E:E,df_blueme_sem_parcelamento!H:H,Conciliacao!A248)*(-1)</f>
        <v/>
      </c>
      <c r="K248" s="4">
        <f>SUMIFS(df_blueme_com_parcelamento!J:J,df_blueme_com_parcelamento!M:M,Conciliacao!A248)*(-1)</f>
        <v/>
      </c>
      <c r="L248" s="4">
        <f>SUMIFS(df_mutuos!N:N,df_mutuos!B:B,Conciliacao!A248)*(-1)</f>
        <v/>
      </c>
      <c r="M248" s="8">
        <f>SUMIFS(df_bloqueios_judiciais!G:G,df_bloqueios_judiciais!D:D,Conciliacao!A248,df_bloqueios_judiciais!G:G,"&lt;0")</f>
        <v/>
      </c>
      <c r="N248" s="10">
        <f>SUMIFS(df_extratos!I:I,df_extratos!F:F,Conciliacao!BE248,df_extratos!G:G,"DEBITO")+SUMIFS(df_extratos!I:I,df_extratos!F:F,Conciliacao!A248,df_extratos!G:G,"DEBITO")+SUMIFS(df_extratos!I:I,df_extratos!F:F,Conciliacao!BF248,df_extratos!G:G,"DEBITO")+SUMIFS(df_extratos!I:I,df_extratos!F:F,Conciliacao!BG248,df_extratos!G:G,"DEBITO")+SUMIFS(df_extratos!I:I,df_extratos!F:F,Conciliacao!BH248,df_extratos!G:G,"DEBITO")</f>
        <v/>
      </c>
      <c r="O248" s="11">
        <f>N248-SUM(J248:M248)</f>
        <v/>
      </c>
      <c r="P248" s="25">
        <f>SUMIFS(df_ajustes_conciliaco!D:D,df_ajustes_conciliaco!C:C,Conciliacao!A248)</f>
        <v/>
      </c>
      <c r="Q248" s="22">
        <f>O248+I248-P248</f>
        <v/>
      </c>
      <c r="BE248" s="20" t="n">
        <v>45904.5</v>
      </c>
      <c r="BF248" s="20" t="n">
        <v>45904.125</v>
      </c>
      <c r="BG248" s="20" t="n">
        <v>45904.54166666666</v>
      </c>
      <c r="BH248" s="20" t="n">
        <v>45904.625</v>
      </c>
    </row>
    <row r="249">
      <c r="A249" s="5">
        <f>A248+1</f>
        <v/>
      </c>
      <c r="B249" s="3">
        <f>-SUMIFS(df_extrato_zig!G:G,df_extrato_zig!E:E,Conciliacao!A249,df_extrato_zig!D:D,"Saque")-SUMIFS(df_extrato_zig!G:G,df_extrato_zig!E:E,Conciliacao!A249,df_extrato_zig!D:D,"Antecipação")</f>
        <v/>
      </c>
      <c r="C249" s="3">
        <f>SUMIFS(df_extrato_zig!E:E,df_extrato_zig!L:L,Conciliacao!A249,df_extrato_zig!F:F,"DINHEIRO")</f>
        <v/>
      </c>
      <c r="D249" s="3">
        <f>SUMIFS(view_parc_agrup!H:H,view_parc_agrup!G:G,Conciliacao!A249)</f>
        <v/>
      </c>
      <c r="E249" s="3">
        <f>SUMIFS(df_eventos!F:F,df_eventos!H:H,Conciliacao!A249)</f>
        <v/>
      </c>
      <c r="F249" s="3">
        <f>SUMIFS(df_mutuos!M:M,df_mutuos!B:B,Conciliacao!A249)</f>
        <v/>
      </c>
      <c r="G249" s="6">
        <f>SUMIFS(df_bloqueios_judiciais!G:G,df_bloqueios_judiciais!D:D,Conciliacao!A249,df_bloqueios_judiciais!G:G,"&gt;0")</f>
        <v/>
      </c>
      <c r="H249" s="7">
        <f>SUMIFS(df_extratos!I:I,df_extratos!F:F,Conciliacao!BE249,df_extratos!G:G,"CREDITO")+SUMIFS(df_extratos!I:I,df_extratos!F:F,Conciliacao!A249,df_extratos!G:G,"CREDITO")+SUMIFS(df_extratos!I:I,df_extratos!F:F,Conciliacao!BF249,df_extratos!G:G,"CREDITO")+SUMIFS(df_extratos!I:I,df_extratos!F:F,Conciliacao!BG249,df_extratos!G:G,"CREDITO")+SUMIFS(df_extratos!I:I,df_extratos!F:F,Conciliacao!BH249,df_extratos!G:G,"CREDITO")</f>
        <v/>
      </c>
      <c r="I249" s="9">
        <f>H249-SUM(B249:G249)</f>
        <v/>
      </c>
      <c r="J249" s="4">
        <f>SUMIFS(df_blueme_sem_parcelamento!E:E,df_blueme_sem_parcelamento!H:H,Conciliacao!A249)*(-1)</f>
        <v/>
      </c>
      <c r="K249" s="4">
        <f>SUMIFS(df_blueme_com_parcelamento!J:J,df_blueme_com_parcelamento!M:M,Conciliacao!A249)*(-1)</f>
        <v/>
      </c>
      <c r="L249" s="4">
        <f>SUMIFS(df_mutuos!N:N,df_mutuos!B:B,Conciliacao!A249)*(-1)</f>
        <v/>
      </c>
      <c r="M249" s="8">
        <f>SUMIFS(df_bloqueios_judiciais!G:G,df_bloqueios_judiciais!D:D,Conciliacao!A249,df_bloqueios_judiciais!G:G,"&lt;0")</f>
        <v/>
      </c>
      <c r="N249" s="10">
        <f>SUMIFS(df_extratos!I:I,df_extratos!F:F,Conciliacao!BE249,df_extratos!G:G,"DEBITO")+SUMIFS(df_extratos!I:I,df_extratos!F:F,Conciliacao!A249,df_extratos!G:G,"DEBITO")+SUMIFS(df_extratos!I:I,df_extratos!F:F,Conciliacao!BF249,df_extratos!G:G,"DEBITO")+SUMIFS(df_extratos!I:I,df_extratos!F:F,Conciliacao!BG249,df_extratos!G:G,"DEBITO")+SUMIFS(df_extratos!I:I,df_extratos!F:F,Conciliacao!BH249,df_extratos!G:G,"DEBITO")</f>
        <v/>
      </c>
      <c r="O249" s="11">
        <f>N249-SUM(J249:M249)</f>
        <v/>
      </c>
      <c r="P249" s="25">
        <f>SUMIFS(df_ajustes_conciliaco!D:D,df_ajustes_conciliaco!C:C,Conciliacao!A249)</f>
        <v/>
      </c>
      <c r="Q249" s="22">
        <f>O249+I249-P249</f>
        <v/>
      </c>
      <c r="BE249" s="20" t="n">
        <v>45905.5</v>
      </c>
      <c r="BF249" s="20" t="n">
        <v>45905.125</v>
      </c>
      <c r="BG249" s="20" t="n">
        <v>45905.54166666666</v>
      </c>
      <c r="BH249" s="20" t="n">
        <v>45905.625</v>
      </c>
    </row>
    <row r="250">
      <c r="A250" s="5">
        <f>A249+1</f>
        <v/>
      </c>
      <c r="B250" s="3">
        <f>-SUMIFS(df_extrato_zig!G:G,df_extrato_zig!E:E,Conciliacao!A250,df_extrato_zig!D:D,"Saque")-SUMIFS(df_extrato_zig!G:G,df_extrato_zig!E:E,Conciliacao!A250,df_extrato_zig!D:D,"Antecipação")</f>
        <v/>
      </c>
      <c r="C250" s="3">
        <f>SUMIFS(df_extrato_zig!E:E,df_extrato_zig!L:L,Conciliacao!A250,df_extrato_zig!F:F,"DINHEIRO")</f>
        <v/>
      </c>
      <c r="D250" s="3">
        <f>SUMIFS(view_parc_agrup!H:H,view_parc_agrup!G:G,Conciliacao!A250)</f>
        <v/>
      </c>
      <c r="E250" s="3">
        <f>SUMIFS(df_eventos!F:F,df_eventos!H:H,Conciliacao!A250)</f>
        <v/>
      </c>
      <c r="F250" s="3">
        <f>SUMIFS(df_mutuos!M:M,df_mutuos!B:B,Conciliacao!A250)</f>
        <v/>
      </c>
      <c r="G250" s="6">
        <f>SUMIFS(df_bloqueios_judiciais!G:G,df_bloqueios_judiciais!D:D,Conciliacao!A250,df_bloqueios_judiciais!G:G,"&gt;0")</f>
        <v/>
      </c>
      <c r="H250" s="7">
        <f>SUMIFS(df_extratos!I:I,df_extratos!F:F,Conciliacao!BE250,df_extratos!G:G,"CREDITO")+SUMIFS(df_extratos!I:I,df_extratos!F:F,Conciliacao!A250,df_extratos!G:G,"CREDITO")+SUMIFS(df_extratos!I:I,df_extratos!F:F,Conciliacao!BF250,df_extratos!G:G,"CREDITO")+SUMIFS(df_extratos!I:I,df_extratos!F:F,Conciliacao!BG250,df_extratos!G:G,"CREDITO")+SUMIFS(df_extratos!I:I,df_extratos!F:F,Conciliacao!BH250,df_extratos!G:G,"CREDITO")</f>
        <v/>
      </c>
      <c r="I250" s="9">
        <f>H250-SUM(B250:G250)</f>
        <v/>
      </c>
      <c r="J250" s="4">
        <f>SUMIFS(df_blueme_sem_parcelamento!E:E,df_blueme_sem_parcelamento!H:H,Conciliacao!A250)*(-1)</f>
        <v/>
      </c>
      <c r="K250" s="4">
        <f>SUMIFS(df_blueme_com_parcelamento!J:J,df_blueme_com_parcelamento!M:M,Conciliacao!A250)*(-1)</f>
        <v/>
      </c>
      <c r="L250" s="4">
        <f>SUMIFS(df_mutuos!N:N,df_mutuos!B:B,Conciliacao!A250)*(-1)</f>
        <v/>
      </c>
      <c r="M250" s="8">
        <f>SUMIFS(df_bloqueios_judiciais!G:G,df_bloqueios_judiciais!D:D,Conciliacao!A250,df_bloqueios_judiciais!G:G,"&lt;0")</f>
        <v/>
      </c>
      <c r="N250" s="10">
        <f>SUMIFS(df_extratos!I:I,df_extratos!F:F,Conciliacao!BE250,df_extratos!G:G,"DEBITO")+SUMIFS(df_extratos!I:I,df_extratos!F:F,Conciliacao!A250,df_extratos!G:G,"DEBITO")+SUMIFS(df_extratos!I:I,df_extratos!F:F,Conciliacao!BF250,df_extratos!G:G,"DEBITO")+SUMIFS(df_extratos!I:I,df_extratos!F:F,Conciliacao!BG250,df_extratos!G:G,"DEBITO")+SUMIFS(df_extratos!I:I,df_extratos!F:F,Conciliacao!BH250,df_extratos!G:G,"DEBITO")</f>
        <v/>
      </c>
      <c r="O250" s="11">
        <f>N250-SUM(J250:M250)</f>
        <v/>
      </c>
      <c r="P250" s="25">
        <f>SUMIFS(df_ajustes_conciliaco!D:D,df_ajustes_conciliaco!C:C,Conciliacao!A250)</f>
        <v/>
      </c>
      <c r="Q250" s="22">
        <f>O250+I250-P250</f>
        <v/>
      </c>
      <c r="BE250" s="20" t="n">
        <v>45906.5</v>
      </c>
      <c r="BF250" s="20" t="n">
        <v>45906.125</v>
      </c>
      <c r="BG250" s="20" t="n">
        <v>45906.54166666666</v>
      </c>
      <c r="BH250" s="20" t="n">
        <v>45906.625</v>
      </c>
    </row>
    <row r="251">
      <c r="A251" s="5">
        <f>A250+1</f>
        <v/>
      </c>
      <c r="B251" s="3">
        <f>-SUMIFS(df_extrato_zig!G:G,df_extrato_zig!E:E,Conciliacao!A251,df_extrato_zig!D:D,"Saque")-SUMIFS(df_extrato_zig!G:G,df_extrato_zig!E:E,Conciliacao!A251,df_extrato_zig!D:D,"Antecipação")</f>
        <v/>
      </c>
      <c r="C251" s="3">
        <f>SUMIFS(df_extrato_zig!E:E,df_extrato_zig!L:L,Conciliacao!A251,df_extrato_zig!F:F,"DINHEIRO")</f>
        <v/>
      </c>
      <c r="D251" s="3">
        <f>SUMIFS(view_parc_agrup!H:H,view_parc_agrup!G:G,Conciliacao!A251)</f>
        <v/>
      </c>
      <c r="E251" s="3">
        <f>SUMIFS(df_eventos!F:F,df_eventos!H:H,Conciliacao!A251)</f>
        <v/>
      </c>
      <c r="F251" s="3">
        <f>SUMIFS(df_mutuos!M:M,df_mutuos!B:B,Conciliacao!A251)</f>
        <v/>
      </c>
      <c r="G251" s="6">
        <f>SUMIFS(df_bloqueios_judiciais!G:G,df_bloqueios_judiciais!D:D,Conciliacao!A251,df_bloqueios_judiciais!G:G,"&gt;0")</f>
        <v/>
      </c>
      <c r="H251" s="7">
        <f>SUMIFS(df_extratos!I:I,df_extratos!F:F,Conciliacao!BE251,df_extratos!G:G,"CREDITO")+SUMIFS(df_extratos!I:I,df_extratos!F:F,Conciliacao!A251,df_extratos!G:G,"CREDITO")+SUMIFS(df_extratos!I:I,df_extratos!F:F,Conciliacao!BF251,df_extratos!G:G,"CREDITO")+SUMIFS(df_extratos!I:I,df_extratos!F:F,Conciliacao!BG251,df_extratos!G:G,"CREDITO")+SUMIFS(df_extratos!I:I,df_extratos!F:F,Conciliacao!BH251,df_extratos!G:G,"CREDITO")</f>
        <v/>
      </c>
      <c r="I251" s="9">
        <f>H251-SUM(B251:G251)</f>
        <v/>
      </c>
      <c r="J251" s="4">
        <f>SUMIFS(df_blueme_sem_parcelamento!E:E,df_blueme_sem_parcelamento!H:H,Conciliacao!A251)*(-1)</f>
        <v/>
      </c>
      <c r="K251" s="4">
        <f>SUMIFS(df_blueme_com_parcelamento!J:J,df_blueme_com_parcelamento!M:M,Conciliacao!A251)*(-1)</f>
        <v/>
      </c>
      <c r="L251" s="4">
        <f>SUMIFS(df_mutuos!N:N,df_mutuos!B:B,Conciliacao!A251)*(-1)</f>
        <v/>
      </c>
      <c r="M251" s="8">
        <f>SUMIFS(df_bloqueios_judiciais!G:G,df_bloqueios_judiciais!D:D,Conciliacao!A251,df_bloqueios_judiciais!G:G,"&lt;0")</f>
        <v/>
      </c>
      <c r="N251" s="10">
        <f>SUMIFS(df_extratos!I:I,df_extratos!F:F,Conciliacao!BE251,df_extratos!G:G,"DEBITO")+SUMIFS(df_extratos!I:I,df_extratos!F:F,Conciliacao!A251,df_extratos!G:G,"DEBITO")+SUMIFS(df_extratos!I:I,df_extratos!F:F,Conciliacao!BF251,df_extratos!G:G,"DEBITO")+SUMIFS(df_extratos!I:I,df_extratos!F:F,Conciliacao!BG251,df_extratos!G:G,"DEBITO")+SUMIFS(df_extratos!I:I,df_extratos!F:F,Conciliacao!BH251,df_extratos!G:G,"DEBITO")</f>
        <v/>
      </c>
      <c r="O251" s="11">
        <f>N251-SUM(J251:M251)</f>
        <v/>
      </c>
      <c r="P251" s="25">
        <f>SUMIFS(df_ajustes_conciliaco!D:D,df_ajustes_conciliaco!C:C,Conciliacao!A251)</f>
        <v/>
      </c>
      <c r="Q251" s="22">
        <f>O251+I251-P251</f>
        <v/>
      </c>
      <c r="BE251" s="20" t="n">
        <v>45907.5</v>
      </c>
      <c r="BF251" s="20" t="n">
        <v>45907.125</v>
      </c>
      <c r="BG251" s="20" t="n">
        <v>45907.54166666666</v>
      </c>
      <c r="BH251" s="20" t="n">
        <v>45907.625</v>
      </c>
    </row>
    <row r="252">
      <c r="A252" s="5">
        <f>A251+1</f>
        <v/>
      </c>
      <c r="B252" s="3">
        <f>-SUMIFS(df_extrato_zig!G:G,df_extrato_zig!E:E,Conciliacao!A252,df_extrato_zig!D:D,"Saque")-SUMIFS(df_extrato_zig!G:G,df_extrato_zig!E:E,Conciliacao!A252,df_extrato_zig!D:D,"Antecipação")</f>
        <v/>
      </c>
      <c r="C252" s="3">
        <f>SUMIFS(df_extrato_zig!E:E,df_extrato_zig!L:L,Conciliacao!A252,df_extrato_zig!F:F,"DINHEIRO")</f>
        <v/>
      </c>
      <c r="D252" s="3">
        <f>SUMIFS(view_parc_agrup!H:H,view_parc_agrup!G:G,Conciliacao!A252)</f>
        <v/>
      </c>
      <c r="E252" s="3">
        <f>SUMIFS(df_eventos!F:F,df_eventos!H:H,Conciliacao!A252)</f>
        <v/>
      </c>
      <c r="F252" s="3">
        <f>SUMIFS(df_mutuos!M:M,df_mutuos!B:B,Conciliacao!A252)</f>
        <v/>
      </c>
      <c r="G252" s="6">
        <f>SUMIFS(df_bloqueios_judiciais!G:G,df_bloqueios_judiciais!D:D,Conciliacao!A252,df_bloqueios_judiciais!G:G,"&gt;0")</f>
        <v/>
      </c>
      <c r="H252" s="7">
        <f>SUMIFS(df_extratos!I:I,df_extratos!F:F,Conciliacao!BE252,df_extratos!G:G,"CREDITO")+SUMIFS(df_extratos!I:I,df_extratos!F:F,Conciliacao!A252,df_extratos!G:G,"CREDITO")+SUMIFS(df_extratos!I:I,df_extratos!F:F,Conciliacao!BF252,df_extratos!G:G,"CREDITO")+SUMIFS(df_extratos!I:I,df_extratos!F:F,Conciliacao!BG252,df_extratos!G:G,"CREDITO")+SUMIFS(df_extratos!I:I,df_extratos!F:F,Conciliacao!BH252,df_extratos!G:G,"CREDITO")</f>
        <v/>
      </c>
      <c r="I252" s="9">
        <f>H252-SUM(B252:G252)</f>
        <v/>
      </c>
      <c r="J252" s="4">
        <f>SUMIFS(df_blueme_sem_parcelamento!E:E,df_blueme_sem_parcelamento!H:H,Conciliacao!A252)*(-1)</f>
        <v/>
      </c>
      <c r="K252" s="4">
        <f>SUMIFS(df_blueme_com_parcelamento!J:J,df_blueme_com_parcelamento!M:M,Conciliacao!A252)*(-1)</f>
        <v/>
      </c>
      <c r="L252" s="4">
        <f>SUMIFS(df_mutuos!N:N,df_mutuos!B:B,Conciliacao!A252)*(-1)</f>
        <v/>
      </c>
      <c r="M252" s="8">
        <f>SUMIFS(df_bloqueios_judiciais!G:G,df_bloqueios_judiciais!D:D,Conciliacao!A252,df_bloqueios_judiciais!G:G,"&lt;0")</f>
        <v/>
      </c>
      <c r="N252" s="10">
        <f>SUMIFS(df_extratos!I:I,df_extratos!F:F,Conciliacao!BE252,df_extratos!G:G,"DEBITO")+SUMIFS(df_extratos!I:I,df_extratos!F:F,Conciliacao!A252,df_extratos!G:G,"DEBITO")+SUMIFS(df_extratos!I:I,df_extratos!F:F,Conciliacao!BF252,df_extratos!G:G,"DEBITO")+SUMIFS(df_extratos!I:I,df_extratos!F:F,Conciliacao!BG252,df_extratos!G:G,"DEBITO")+SUMIFS(df_extratos!I:I,df_extratos!F:F,Conciliacao!BH252,df_extratos!G:G,"DEBITO")</f>
        <v/>
      </c>
      <c r="O252" s="11">
        <f>N252-SUM(J252:M252)</f>
        <v/>
      </c>
      <c r="P252" s="25">
        <f>SUMIFS(df_ajustes_conciliaco!D:D,df_ajustes_conciliaco!C:C,Conciliacao!A252)</f>
        <v/>
      </c>
      <c r="Q252" s="22">
        <f>O252+I252-P252</f>
        <v/>
      </c>
      <c r="BE252" s="20" t="n">
        <v>45908.5</v>
      </c>
      <c r="BF252" s="20" t="n">
        <v>45908.125</v>
      </c>
      <c r="BG252" s="20" t="n">
        <v>45908.54166666666</v>
      </c>
      <c r="BH252" s="20" t="n">
        <v>45908.625</v>
      </c>
    </row>
    <row r="253">
      <c r="A253" s="5">
        <f>A252+1</f>
        <v/>
      </c>
      <c r="B253" s="3">
        <f>-SUMIFS(df_extrato_zig!G:G,df_extrato_zig!E:E,Conciliacao!A253,df_extrato_zig!D:D,"Saque")-SUMIFS(df_extrato_zig!G:G,df_extrato_zig!E:E,Conciliacao!A253,df_extrato_zig!D:D,"Antecipação")</f>
        <v/>
      </c>
      <c r="C253" s="3">
        <f>SUMIFS(df_extrato_zig!E:E,df_extrato_zig!L:L,Conciliacao!A253,df_extrato_zig!F:F,"DINHEIRO")</f>
        <v/>
      </c>
      <c r="D253" s="3">
        <f>SUMIFS(view_parc_agrup!H:H,view_parc_agrup!G:G,Conciliacao!A253)</f>
        <v/>
      </c>
      <c r="E253" s="3">
        <f>SUMIFS(df_eventos!F:F,df_eventos!H:H,Conciliacao!A253)</f>
        <v/>
      </c>
      <c r="F253" s="3">
        <f>SUMIFS(df_mutuos!M:M,df_mutuos!B:B,Conciliacao!A253)</f>
        <v/>
      </c>
      <c r="G253" s="6">
        <f>SUMIFS(df_bloqueios_judiciais!G:G,df_bloqueios_judiciais!D:D,Conciliacao!A253,df_bloqueios_judiciais!G:G,"&gt;0")</f>
        <v/>
      </c>
      <c r="H253" s="7">
        <f>SUMIFS(df_extratos!I:I,df_extratos!F:F,Conciliacao!BE253,df_extratos!G:G,"CREDITO")+SUMIFS(df_extratos!I:I,df_extratos!F:F,Conciliacao!A253,df_extratos!G:G,"CREDITO")+SUMIFS(df_extratos!I:I,df_extratos!F:F,Conciliacao!BF253,df_extratos!G:G,"CREDITO")+SUMIFS(df_extratos!I:I,df_extratos!F:F,Conciliacao!BG253,df_extratos!G:G,"CREDITO")+SUMIFS(df_extratos!I:I,df_extratos!F:F,Conciliacao!BH253,df_extratos!G:G,"CREDITO")</f>
        <v/>
      </c>
      <c r="I253" s="9">
        <f>H253-SUM(B253:G253)</f>
        <v/>
      </c>
      <c r="J253" s="4">
        <f>SUMIFS(df_blueme_sem_parcelamento!E:E,df_blueme_sem_parcelamento!H:H,Conciliacao!A253)*(-1)</f>
        <v/>
      </c>
      <c r="K253" s="4">
        <f>SUMIFS(df_blueme_com_parcelamento!J:J,df_blueme_com_parcelamento!M:M,Conciliacao!A253)*(-1)</f>
        <v/>
      </c>
      <c r="L253" s="4">
        <f>SUMIFS(df_mutuos!N:N,df_mutuos!B:B,Conciliacao!A253)*(-1)</f>
        <v/>
      </c>
      <c r="M253" s="8">
        <f>SUMIFS(df_bloqueios_judiciais!G:G,df_bloqueios_judiciais!D:D,Conciliacao!A253,df_bloqueios_judiciais!G:G,"&lt;0")</f>
        <v/>
      </c>
      <c r="N253" s="10">
        <f>SUMIFS(df_extratos!I:I,df_extratos!F:F,Conciliacao!BE253,df_extratos!G:G,"DEBITO")+SUMIFS(df_extratos!I:I,df_extratos!F:F,Conciliacao!A253,df_extratos!G:G,"DEBITO")+SUMIFS(df_extratos!I:I,df_extratos!F:F,Conciliacao!BF253,df_extratos!G:G,"DEBITO")+SUMIFS(df_extratos!I:I,df_extratos!F:F,Conciliacao!BG253,df_extratos!G:G,"DEBITO")+SUMIFS(df_extratos!I:I,df_extratos!F:F,Conciliacao!BH253,df_extratos!G:G,"DEBITO")</f>
        <v/>
      </c>
      <c r="O253" s="11">
        <f>N253-SUM(J253:M253)</f>
        <v/>
      </c>
      <c r="P253" s="25">
        <f>SUMIFS(df_ajustes_conciliaco!D:D,df_ajustes_conciliaco!C:C,Conciliacao!A253)</f>
        <v/>
      </c>
      <c r="Q253" s="22">
        <f>O253+I253-P253</f>
        <v/>
      </c>
      <c r="BE253" s="20" t="n">
        <v>45909.5</v>
      </c>
      <c r="BF253" s="20" t="n">
        <v>45909.125</v>
      </c>
      <c r="BG253" s="20" t="n">
        <v>45909.54166666666</v>
      </c>
      <c r="BH253" s="20" t="n">
        <v>45909.625</v>
      </c>
    </row>
    <row r="254">
      <c r="A254" s="5">
        <f>A253+1</f>
        <v/>
      </c>
      <c r="B254" s="3">
        <f>-SUMIFS(df_extrato_zig!G:G,df_extrato_zig!E:E,Conciliacao!A254,df_extrato_zig!D:D,"Saque")-SUMIFS(df_extrato_zig!G:G,df_extrato_zig!E:E,Conciliacao!A254,df_extrato_zig!D:D,"Antecipação")</f>
        <v/>
      </c>
      <c r="C254" s="3">
        <f>SUMIFS(df_extrato_zig!E:E,df_extrato_zig!L:L,Conciliacao!A254,df_extrato_zig!F:F,"DINHEIRO")</f>
        <v/>
      </c>
      <c r="D254" s="3">
        <f>SUMIFS(view_parc_agrup!H:H,view_parc_agrup!G:G,Conciliacao!A254)</f>
        <v/>
      </c>
      <c r="E254" s="3">
        <f>SUMIFS(df_eventos!F:F,df_eventos!H:H,Conciliacao!A254)</f>
        <v/>
      </c>
      <c r="F254" s="3">
        <f>SUMIFS(df_mutuos!M:M,df_mutuos!B:B,Conciliacao!A254)</f>
        <v/>
      </c>
      <c r="G254" s="6">
        <f>SUMIFS(df_bloqueios_judiciais!G:G,df_bloqueios_judiciais!D:D,Conciliacao!A254,df_bloqueios_judiciais!G:G,"&gt;0")</f>
        <v/>
      </c>
      <c r="H254" s="7">
        <f>SUMIFS(df_extratos!I:I,df_extratos!F:F,Conciliacao!BE254,df_extratos!G:G,"CREDITO")+SUMIFS(df_extratos!I:I,df_extratos!F:F,Conciliacao!A254,df_extratos!G:G,"CREDITO")+SUMIFS(df_extratos!I:I,df_extratos!F:F,Conciliacao!BF254,df_extratos!G:G,"CREDITO")+SUMIFS(df_extratos!I:I,df_extratos!F:F,Conciliacao!BG254,df_extratos!G:G,"CREDITO")+SUMIFS(df_extratos!I:I,df_extratos!F:F,Conciliacao!BH254,df_extratos!G:G,"CREDITO")</f>
        <v/>
      </c>
      <c r="I254" s="9">
        <f>H254-SUM(B254:G254)</f>
        <v/>
      </c>
      <c r="J254" s="4">
        <f>SUMIFS(df_blueme_sem_parcelamento!E:E,df_blueme_sem_parcelamento!H:H,Conciliacao!A254)*(-1)</f>
        <v/>
      </c>
      <c r="K254" s="4">
        <f>SUMIFS(df_blueme_com_parcelamento!J:J,df_blueme_com_parcelamento!M:M,Conciliacao!A254)*(-1)</f>
        <v/>
      </c>
      <c r="L254" s="4">
        <f>SUMIFS(df_mutuos!N:N,df_mutuos!B:B,Conciliacao!A254)*(-1)</f>
        <v/>
      </c>
      <c r="M254" s="8">
        <f>SUMIFS(df_bloqueios_judiciais!G:G,df_bloqueios_judiciais!D:D,Conciliacao!A254,df_bloqueios_judiciais!G:G,"&lt;0")</f>
        <v/>
      </c>
      <c r="N254" s="10">
        <f>SUMIFS(df_extratos!I:I,df_extratos!F:F,Conciliacao!BE254,df_extratos!G:G,"DEBITO")+SUMIFS(df_extratos!I:I,df_extratos!F:F,Conciliacao!A254,df_extratos!G:G,"DEBITO")+SUMIFS(df_extratos!I:I,df_extratos!F:F,Conciliacao!BF254,df_extratos!G:G,"DEBITO")+SUMIFS(df_extratos!I:I,df_extratos!F:F,Conciliacao!BG254,df_extratos!G:G,"DEBITO")+SUMIFS(df_extratos!I:I,df_extratos!F:F,Conciliacao!BH254,df_extratos!G:G,"DEBITO")</f>
        <v/>
      </c>
      <c r="O254" s="11">
        <f>N254-SUM(J254:M254)</f>
        <v/>
      </c>
      <c r="P254" s="25">
        <f>SUMIFS(df_ajustes_conciliaco!D:D,df_ajustes_conciliaco!C:C,Conciliacao!A254)</f>
        <v/>
      </c>
      <c r="Q254" s="22">
        <f>O254+I254-P254</f>
        <v/>
      </c>
      <c r="BE254" s="20" t="n">
        <v>45910.5</v>
      </c>
      <c r="BF254" s="20" t="n">
        <v>45910.125</v>
      </c>
      <c r="BG254" s="20" t="n">
        <v>45910.54166666666</v>
      </c>
      <c r="BH254" s="20" t="n">
        <v>45910.625</v>
      </c>
    </row>
    <row r="255">
      <c r="A255" s="5">
        <f>A254+1</f>
        <v/>
      </c>
      <c r="B255" s="3">
        <f>-SUMIFS(df_extrato_zig!G:G,df_extrato_zig!E:E,Conciliacao!A255,df_extrato_zig!D:D,"Saque")-SUMIFS(df_extrato_zig!G:G,df_extrato_zig!E:E,Conciliacao!A255,df_extrato_zig!D:D,"Antecipação")</f>
        <v/>
      </c>
      <c r="C255" s="3">
        <f>SUMIFS(df_extrato_zig!E:E,df_extrato_zig!L:L,Conciliacao!A255,df_extrato_zig!F:F,"DINHEIRO")</f>
        <v/>
      </c>
      <c r="D255" s="3">
        <f>SUMIFS(view_parc_agrup!H:H,view_parc_agrup!G:G,Conciliacao!A255)</f>
        <v/>
      </c>
      <c r="E255" s="3">
        <f>SUMIFS(df_eventos!F:F,df_eventos!H:H,Conciliacao!A255)</f>
        <v/>
      </c>
      <c r="F255" s="3">
        <f>SUMIFS(df_mutuos!M:M,df_mutuos!B:B,Conciliacao!A255)</f>
        <v/>
      </c>
      <c r="G255" s="6">
        <f>SUMIFS(df_bloqueios_judiciais!G:G,df_bloqueios_judiciais!D:D,Conciliacao!A255,df_bloqueios_judiciais!G:G,"&gt;0")</f>
        <v/>
      </c>
      <c r="H255" s="7">
        <f>SUMIFS(df_extratos!I:I,df_extratos!F:F,Conciliacao!BE255,df_extratos!G:G,"CREDITO")+SUMIFS(df_extratos!I:I,df_extratos!F:F,Conciliacao!A255,df_extratos!G:G,"CREDITO")+SUMIFS(df_extratos!I:I,df_extratos!F:F,Conciliacao!BF255,df_extratos!G:G,"CREDITO")+SUMIFS(df_extratos!I:I,df_extratos!F:F,Conciliacao!BG255,df_extratos!G:G,"CREDITO")+SUMIFS(df_extratos!I:I,df_extratos!F:F,Conciliacao!BH255,df_extratos!G:G,"CREDITO")</f>
        <v/>
      </c>
      <c r="I255" s="9">
        <f>H255-SUM(B255:G255)</f>
        <v/>
      </c>
      <c r="J255" s="4">
        <f>SUMIFS(df_blueme_sem_parcelamento!E:E,df_blueme_sem_parcelamento!H:H,Conciliacao!A255)*(-1)</f>
        <v/>
      </c>
      <c r="K255" s="4">
        <f>SUMIFS(df_blueme_com_parcelamento!J:J,df_blueme_com_parcelamento!M:M,Conciliacao!A255)*(-1)</f>
        <v/>
      </c>
      <c r="L255" s="4">
        <f>SUMIFS(df_mutuos!N:N,df_mutuos!B:B,Conciliacao!A255)*(-1)</f>
        <v/>
      </c>
      <c r="M255" s="8">
        <f>SUMIFS(df_bloqueios_judiciais!G:G,df_bloqueios_judiciais!D:D,Conciliacao!A255,df_bloqueios_judiciais!G:G,"&lt;0")</f>
        <v/>
      </c>
      <c r="N255" s="10">
        <f>SUMIFS(df_extratos!I:I,df_extratos!F:F,Conciliacao!BE255,df_extratos!G:G,"DEBITO")+SUMIFS(df_extratos!I:I,df_extratos!F:F,Conciliacao!A255,df_extratos!G:G,"DEBITO")+SUMIFS(df_extratos!I:I,df_extratos!F:F,Conciliacao!BF255,df_extratos!G:G,"DEBITO")+SUMIFS(df_extratos!I:I,df_extratos!F:F,Conciliacao!BG255,df_extratos!G:G,"DEBITO")+SUMIFS(df_extratos!I:I,df_extratos!F:F,Conciliacao!BH255,df_extratos!G:G,"DEBITO")</f>
        <v/>
      </c>
      <c r="O255" s="11">
        <f>N255-SUM(J255:M255)</f>
        <v/>
      </c>
      <c r="P255" s="25">
        <f>SUMIFS(df_ajustes_conciliaco!D:D,df_ajustes_conciliaco!C:C,Conciliacao!A255)</f>
        <v/>
      </c>
      <c r="Q255" s="22">
        <f>O255+I255-P255</f>
        <v/>
      </c>
      <c r="BE255" s="20" t="n">
        <v>45911.5</v>
      </c>
      <c r="BF255" s="20" t="n">
        <v>45911.125</v>
      </c>
      <c r="BG255" s="20" t="n">
        <v>45911.54166666666</v>
      </c>
      <c r="BH255" s="20" t="n">
        <v>45911.625</v>
      </c>
    </row>
    <row r="256">
      <c r="A256" s="5">
        <f>A255+1</f>
        <v/>
      </c>
      <c r="B256" s="3">
        <f>-SUMIFS(df_extrato_zig!G:G,df_extrato_zig!E:E,Conciliacao!A256,df_extrato_zig!D:D,"Saque")-SUMIFS(df_extrato_zig!G:G,df_extrato_zig!E:E,Conciliacao!A256,df_extrato_zig!D:D,"Antecipação")</f>
        <v/>
      </c>
      <c r="C256" s="3">
        <f>SUMIFS(df_extrato_zig!E:E,df_extrato_zig!L:L,Conciliacao!A256,df_extrato_zig!F:F,"DINHEIRO")</f>
        <v/>
      </c>
      <c r="D256" s="3">
        <f>SUMIFS(view_parc_agrup!H:H,view_parc_agrup!G:G,Conciliacao!A256)</f>
        <v/>
      </c>
      <c r="E256" s="3">
        <f>SUMIFS(df_eventos!F:F,df_eventos!H:H,Conciliacao!A256)</f>
        <v/>
      </c>
      <c r="F256" s="3">
        <f>SUMIFS(df_mutuos!M:M,df_mutuos!B:B,Conciliacao!A256)</f>
        <v/>
      </c>
      <c r="G256" s="6">
        <f>SUMIFS(df_bloqueios_judiciais!G:G,df_bloqueios_judiciais!D:D,Conciliacao!A256,df_bloqueios_judiciais!G:G,"&gt;0")</f>
        <v/>
      </c>
      <c r="H256" s="7">
        <f>SUMIFS(df_extratos!I:I,df_extratos!F:F,Conciliacao!BE256,df_extratos!G:G,"CREDITO")+SUMIFS(df_extratos!I:I,df_extratos!F:F,Conciliacao!A256,df_extratos!G:G,"CREDITO")+SUMIFS(df_extratos!I:I,df_extratos!F:F,Conciliacao!BF256,df_extratos!G:G,"CREDITO")+SUMIFS(df_extratos!I:I,df_extratos!F:F,Conciliacao!BG256,df_extratos!G:G,"CREDITO")+SUMIFS(df_extratos!I:I,df_extratos!F:F,Conciliacao!BH256,df_extratos!G:G,"CREDITO")</f>
        <v/>
      </c>
      <c r="I256" s="9">
        <f>H256-SUM(B256:G256)</f>
        <v/>
      </c>
      <c r="J256" s="4">
        <f>SUMIFS(df_blueme_sem_parcelamento!E:E,df_blueme_sem_parcelamento!H:H,Conciliacao!A256)*(-1)</f>
        <v/>
      </c>
      <c r="K256" s="4">
        <f>SUMIFS(df_blueme_com_parcelamento!J:J,df_blueme_com_parcelamento!M:M,Conciliacao!A256)*(-1)</f>
        <v/>
      </c>
      <c r="L256" s="4">
        <f>SUMIFS(df_mutuos!N:N,df_mutuos!B:B,Conciliacao!A256)*(-1)</f>
        <v/>
      </c>
      <c r="M256" s="8">
        <f>SUMIFS(df_bloqueios_judiciais!G:G,df_bloqueios_judiciais!D:D,Conciliacao!A256,df_bloqueios_judiciais!G:G,"&lt;0")</f>
        <v/>
      </c>
      <c r="N256" s="10">
        <f>SUMIFS(df_extratos!I:I,df_extratos!F:F,Conciliacao!BE256,df_extratos!G:G,"DEBITO")+SUMIFS(df_extratos!I:I,df_extratos!F:F,Conciliacao!A256,df_extratos!G:G,"DEBITO")+SUMIFS(df_extratos!I:I,df_extratos!F:F,Conciliacao!BF256,df_extratos!G:G,"DEBITO")+SUMIFS(df_extratos!I:I,df_extratos!F:F,Conciliacao!BG256,df_extratos!G:G,"DEBITO")+SUMIFS(df_extratos!I:I,df_extratos!F:F,Conciliacao!BH256,df_extratos!G:G,"DEBITO")</f>
        <v/>
      </c>
      <c r="O256" s="11">
        <f>N256-SUM(J256:M256)</f>
        <v/>
      </c>
      <c r="P256" s="25">
        <f>SUMIFS(df_ajustes_conciliaco!D:D,df_ajustes_conciliaco!C:C,Conciliacao!A256)</f>
        <v/>
      </c>
      <c r="Q256" s="22">
        <f>O256+I256-P256</f>
        <v/>
      </c>
      <c r="BE256" s="20" t="n">
        <v>45912.5</v>
      </c>
      <c r="BF256" s="20" t="n">
        <v>45912.125</v>
      </c>
      <c r="BG256" s="20" t="n">
        <v>45912.54166666666</v>
      </c>
      <c r="BH256" s="20" t="n">
        <v>45912.625</v>
      </c>
    </row>
    <row r="257">
      <c r="A257" s="5">
        <f>A256+1</f>
        <v/>
      </c>
      <c r="B257" s="3">
        <f>-SUMIFS(df_extrato_zig!G:G,df_extrato_zig!E:E,Conciliacao!A257,df_extrato_zig!D:D,"Saque")-SUMIFS(df_extrato_zig!G:G,df_extrato_zig!E:E,Conciliacao!A257,df_extrato_zig!D:D,"Antecipação")</f>
        <v/>
      </c>
      <c r="C257" s="3">
        <f>SUMIFS(df_extrato_zig!E:E,df_extrato_zig!L:L,Conciliacao!A257,df_extrato_zig!F:F,"DINHEIRO")</f>
        <v/>
      </c>
      <c r="D257" s="3">
        <f>SUMIFS(view_parc_agrup!H:H,view_parc_agrup!G:G,Conciliacao!A257)</f>
        <v/>
      </c>
      <c r="E257" s="3">
        <f>SUMIFS(df_eventos!F:F,df_eventos!H:H,Conciliacao!A257)</f>
        <v/>
      </c>
      <c r="F257" s="3">
        <f>SUMIFS(df_mutuos!M:M,df_mutuos!B:B,Conciliacao!A257)</f>
        <v/>
      </c>
      <c r="G257" s="6">
        <f>SUMIFS(df_bloqueios_judiciais!G:G,df_bloqueios_judiciais!D:D,Conciliacao!A257,df_bloqueios_judiciais!G:G,"&gt;0")</f>
        <v/>
      </c>
      <c r="H257" s="7">
        <f>SUMIFS(df_extratos!I:I,df_extratos!F:F,Conciliacao!BE257,df_extratos!G:G,"CREDITO")+SUMIFS(df_extratos!I:I,df_extratos!F:F,Conciliacao!A257,df_extratos!G:G,"CREDITO")+SUMIFS(df_extratos!I:I,df_extratos!F:F,Conciliacao!BF257,df_extratos!G:G,"CREDITO")+SUMIFS(df_extratos!I:I,df_extratos!F:F,Conciliacao!BG257,df_extratos!G:G,"CREDITO")+SUMIFS(df_extratos!I:I,df_extratos!F:F,Conciliacao!BH257,df_extratos!G:G,"CREDITO")</f>
        <v/>
      </c>
      <c r="I257" s="9">
        <f>H257-SUM(B257:G257)</f>
        <v/>
      </c>
      <c r="J257" s="4">
        <f>SUMIFS(df_blueme_sem_parcelamento!E:E,df_blueme_sem_parcelamento!H:H,Conciliacao!A257)*(-1)</f>
        <v/>
      </c>
      <c r="K257" s="4">
        <f>SUMIFS(df_blueme_com_parcelamento!J:J,df_blueme_com_parcelamento!M:M,Conciliacao!A257)*(-1)</f>
        <v/>
      </c>
      <c r="L257" s="4">
        <f>SUMIFS(df_mutuos!N:N,df_mutuos!B:B,Conciliacao!A257)*(-1)</f>
        <v/>
      </c>
      <c r="M257" s="8">
        <f>SUMIFS(df_bloqueios_judiciais!G:G,df_bloqueios_judiciais!D:D,Conciliacao!A257,df_bloqueios_judiciais!G:G,"&lt;0")</f>
        <v/>
      </c>
      <c r="N257" s="10">
        <f>SUMIFS(df_extratos!I:I,df_extratos!F:F,Conciliacao!BE257,df_extratos!G:G,"DEBITO")+SUMIFS(df_extratos!I:I,df_extratos!F:F,Conciliacao!A257,df_extratos!G:G,"DEBITO")+SUMIFS(df_extratos!I:I,df_extratos!F:F,Conciliacao!BF257,df_extratos!G:G,"DEBITO")+SUMIFS(df_extratos!I:I,df_extratos!F:F,Conciliacao!BG257,df_extratos!G:G,"DEBITO")+SUMIFS(df_extratos!I:I,df_extratos!F:F,Conciliacao!BH257,df_extratos!G:G,"DEBITO")</f>
        <v/>
      </c>
      <c r="O257" s="11">
        <f>N257-SUM(J257:M257)</f>
        <v/>
      </c>
      <c r="P257" s="25">
        <f>SUMIFS(df_ajustes_conciliaco!D:D,df_ajustes_conciliaco!C:C,Conciliacao!A257)</f>
        <v/>
      </c>
      <c r="Q257" s="22">
        <f>O257+I257-P257</f>
        <v/>
      </c>
      <c r="BE257" s="20" t="n">
        <v>45913.5</v>
      </c>
      <c r="BF257" s="20" t="n">
        <v>45913.125</v>
      </c>
      <c r="BG257" s="20" t="n">
        <v>45913.54166666666</v>
      </c>
      <c r="BH257" s="20" t="n">
        <v>45913.625</v>
      </c>
    </row>
    <row r="258">
      <c r="A258" s="5">
        <f>A257+1</f>
        <v/>
      </c>
      <c r="B258" s="3">
        <f>-SUMIFS(df_extrato_zig!G:G,df_extrato_zig!E:E,Conciliacao!A258,df_extrato_zig!D:D,"Saque")-SUMIFS(df_extrato_zig!G:G,df_extrato_zig!E:E,Conciliacao!A258,df_extrato_zig!D:D,"Antecipação")</f>
        <v/>
      </c>
      <c r="C258" s="3">
        <f>SUMIFS(df_extrato_zig!E:E,df_extrato_zig!L:L,Conciliacao!A258,df_extrato_zig!F:F,"DINHEIRO")</f>
        <v/>
      </c>
      <c r="D258" s="3">
        <f>SUMIFS(view_parc_agrup!H:H,view_parc_agrup!G:G,Conciliacao!A258)</f>
        <v/>
      </c>
      <c r="E258" s="3">
        <f>SUMIFS(df_eventos!F:F,df_eventos!H:H,Conciliacao!A258)</f>
        <v/>
      </c>
      <c r="F258" s="3">
        <f>SUMIFS(df_mutuos!M:M,df_mutuos!B:B,Conciliacao!A258)</f>
        <v/>
      </c>
      <c r="G258" s="6">
        <f>SUMIFS(df_bloqueios_judiciais!G:G,df_bloqueios_judiciais!D:D,Conciliacao!A258,df_bloqueios_judiciais!G:G,"&gt;0")</f>
        <v/>
      </c>
      <c r="H258" s="7">
        <f>SUMIFS(df_extratos!I:I,df_extratos!F:F,Conciliacao!BE258,df_extratos!G:G,"CREDITO")+SUMIFS(df_extratos!I:I,df_extratos!F:F,Conciliacao!A258,df_extratos!G:G,"CREDITO")+SUMIFS(df_extratos!I:I,df_extratos!F:F,Conciliacao!BF258,df_extratos!G:G,"CREDITO")+SUMIFS(df_extratos!I:I,df_extratos!F:F,Conciliacao!BG258,df_extratos!G:G,"CREDITO")+SUMIFS(df_extratos!I:I,df_extratos!F:F,Conciliacao!BH258,df_extratos!G:G,"CREDITO")</f>
        <v/>
      </c>
      <c r="I258" s="9">
        <f>H258-SUM(B258:G258)</f>
        <v/>
      </c>
      <c r="J258" s="4">
        <f>SUMIFS(df_blueme_sem_parcelamento!E:E,df_blueme_sem_parcelamento!H:H,Conciliacao!A258)*(-1)</f>
        <v/>
      </c>
      <c r="K258" s="4">
        <f>SUMIFS(df_blueme_com_parcelamento!J:J,df_blueme_com_parcelamento!M:M,Conciliacao!A258)*(-1)</f>
        <v/>
      </c>
      <c r="L258" s="4">
        <f>SUMIFS(df_mutuos!N:N,df_mutuos!B:B,Conciliacao!A258)*(-1)</f>
        <v/>
      </c>
      <c r="M258" s="8">
        <f>SUMIFS(df_bloqueios_judiciais!G:G,df_bloqueios_judiciais!D:D,Conciliacao!A258,df_bloqueios_judiciais!G:G,"&lt;0")</f>
        <v/>
      </c>
      <c r="N258" s="10">
        <f>SUMIFS(df_extratos!I:I,df_extratos!F:F,Conciliacao!BE258,df_extratos!G:G,"DEBITO")+SUMIFS(df_extratos!I:I,df_extratos!F:F,Conciliacao!A258,df_extratos!G:G,"DEBITO")+SUMIFS(df_extratos!I:I,df_extratos!F:F,Conciliacao!BF258,df_extratos!G:G,"DEBITO")+SUMIFS(df_extratos!I:I,df_extratos!F:F,Conciliacao!BG258,df_extratos!G:G,"DEBITO")+SUMIFS(df_extratos!I:I,df_extratos!F:F,Conciliacao!BH258,df_extratos!G:G,"DEBITO")</f>
        <v/>
      </c>
      <c r="O258" s="11">
        <f>N258-SUM(J258:M258)</f>
        <v/>
      </c>
      <c r="P258" s="25">
        <f>SUMIFS(df_ajustes_conciliaco!D:D,df_ajustes_conciliaco!C:C,Conciliacao!A258)</f>
        <v/>
      </c>
      <c r="Q258" s="22">
        <f>O258+I258-P258</f>
        <v/>
      </c>
      <c r="BE258" s="20" t="n">
        <v>45914.5</v>
      </c>
      <c r="BF258" s="20" t="n">
        <v>45914.125</v>
      </c>
      <c r="BG258" s="20" t="n">
        <v>45914.54166666666</v>
      </c>
      <c r="BH258" s="20" t="n">
        <v>45914.625</v>
      </c>
    </row>
    <row r="259">
      <c r="A259" s="5">
        <f>A258+1</f>
        <v/>
      </c>
      <c r="B259" s="3">
        <f>-SUMIFS(df_extrato_zig!G:G,df_extrato_zig!E:E,Conciliacao!A259,df_extrato_zig!D:D,"Saque")-SUMIFS(df_extrato_zig!G:G,df_extrato_zig!E:E,Conciliacao!A259,df_extrato_zig!D:D,"Antecipação")</f>
        <v/>
      </c>
      <c r="C259" s="3">
        <f>SUMIFS(df_extrato_zig!E:E,df_extrato_zig!L:L,Conciliacao!A259,df_extrato_zig!F:F,"DINHEIRO")</f>
        <v/>
      </c>
      <c r="D259" s="3">
        <f>SUMIFS(view_parc_agrup!H:H,view_parc_agrup!G:G,Conciliacao!A259)</f>
        <v/>
      </c>
      <c r="E259" s="3">
        <f>SUMIFS(df_eventos!F:F,df_eventos!H:H,Conciliacao!A259)</f>
        <v/>
      </c>
      <c r="F259" s="3">
        <f>SUMIFS(df_mutuos!M:M,df_mutuos!B:B,Conciliacao!A259)</f>
        <v/>
      </c>
      <c r="G259" s="6">
        <f>SUMIFS(df_bloqueios_judiciais!G:G,df_bloqueios_judiciais!D:D,Conciliacao!A259,df_bloqueios_judiciais!G:G,"&gt;0")</f>
        <v/>
      </c>
      <c r="H259" s="7">
        <f>SUMIFS(df_extratos!I:I,df_extratos!F:F,Conciliacao!BE259,df_extratos!G:G,"CREDITO")+SUMIFS(df_extratos!I:I,df_extratos!F:F,Conciliacao!A259,df_extratos!G:G,"CREDITO")+SUMIFS(df_extratos!I:I,df_extratos!F:F,Conciliacao!BF259,df_extratos!G:G,"CREDITO")+SUMIFS(df_extratos!I:I,df_extratos!F:F,Conciliacao!BG259,df_extratos!G:G,"CREDITO")+SUMIFS(df_extratos!I:I,df_extratos!F:F,Conciliacao!BH259,df_extratos!G:G,"CREDITO")</f>
        <v/>
      </c>
      <c r="I259" s="9">
        <f>H259-SUM(B259:G259)</f>
        <v/>
      </c>
      <c r="J259" s="4">
        <f>SUMIFS(df_blueme_sem_parcelamento!E:E,df_blueme_sem_parcelamento!H:H,Conciliacao!A259)*(-1)</f>
        <v/>
      </c>
      <c r="K259" s="4">
        <f>SUMIFS(df_blueme_com_parcelamento!J:J,df_blueme_com_parcelamento!M:M,Conciliacao!A259)*(-1)</f>
        <v/>
      </c>
      <c r="L259" s="4">
        <f>SUMIFS(df_mutuos!N:N,df_mutuos!B:B,Conciliacao!A259)*(-1)</f>
        <v/>
      </c>
      <c r="M259" s="8">
        <f>SUMIFS(df_bloqueios_judiciais!G:G,df_bloqueios_judiciais!D:D,Conciliacao!A259,df_bloqueios_judiciais!G:G,"&lt;0")</f>
        <v/>
      </c>
      <c r="N259" s="10">
        <f>SUMIFS(df_extratos!I:I,df_extratos!F:F,Conciliacao!BE259,df_extratos!G:G,"DEBITO")+SUMIFS(df_extratos!I:I,df_extratos!F:F,Conciliacao!A259,df_extratos!G:G,"DEBITO")+SUMIFS(df_extratos!I:I,df_extratos!F:F,Conciliacao!BF259,df_extratos!G:G,"DEBITO")+SUMIFS(df_extratos!I:I,df_extratos!F:F,Conciliacao!BG259,df_extratos!G:G,"DEBITO")+SUMIFS(df_extratos!I:I,df_extratos!F:F,Conciliacao!BH259,df_extratos!G:G,"DEBITO")</f>
        <v/>
      </c>
      <c r="O259" s="11">
        <f>N259-SUM(J259:M259)</f>
        <v/>
      </c>
      <c r="P259" s="25">
        <f>SUMIFS(df_ajustes_conciliaco!D:D,df_ajustes_conciliaco!C:C,Conciliacao!A259)</f>
        <v/>
      </c>
      <c r="Q259" s="22">
        <f>O259+I259-P259</f>
        <v/>
      </c>
      <c r="BE259" s="20" t="n">
        <v>45915.5</v>
      </c>
      <c r="BF259" s="20" t="n">
        <v>45915.125</v>
      </c>
      <c r="BG259" s="20" t="n">
        <v>45915.54166666666</v>
      </c>
      <c r="BH259" s="20" t="n">
        <v>45915.625</v>
      </c>
    </row>
    <row r="260">
      <c r="A260" s="5">
        <f>A259+1</f>
        <v/>
      </c>
      <c r="B260" s="3">
        <f>-SUMIFS(df_extrato_zig!G:G,df_extrato_zig!E:E,Conciliacao!A260,df_extrato_zig!D:D,"Saque")-SUMIFS(df_extrato_zig!G:G,df_extrato_zig!E:E,Conciliacao!A260,df_extrato_zig!D:D,"Antecipação")</f>
        <v/>
      </c>
      <c r="C260" s="3">
        <f>SUMIFS(df_extrato_zig!E:E,df_extrato_zig!L:L,Conciliacao!A260,df_extrato_zig!F:F,"DINHEIRO")</f>
        <v/>
      </c>
      <c r="D260" s="3">
        <f>SUMIFS(view_parc_agrup!H:H,view_parc_agrup!G:G,Conciliacao!A260)</f>
        <v/>
      </c>
      <c r="E260" s="3">
        <f>SUMIFS(df_eventos!F:F,df_eventos!H:H,Conciliacao!A260)</f>
        <v/>
      </c>
      <c r="F260" s="3">
        <f>SUMIFS(df_mutuos!M:M,df_mutuos!B:B,Conciliacao!A260)</f>
        <v/>
      </c>
      <c r="G260" s="6">
        <f>SUMIFS(df_bloqueios_judiciais!G:G,df_bloqueios_judiciais!D:D,Conciliacao!A260,df_bloqueios_judiciais!G:G,"&gt;0")</f>
        <v/>
      </c>
      <c r="H260" s="7">
        <f>SUMIFS(df_extratos!I:I,df_extratos!F:F,Conciliacao!BE260,df_extratos!G:G,"CREDITO")+SUMIFS(df_extratos!I:I,df_extratos!F:F,Conciliacao!A260,df_extratos!G:G,"CREDITO")+SUMIFS(df_extratos!I:I,df_extratos!F:F,Conciliacao!BF260,df_extratos!G:G,"CREDITO")+SUMIFS(df_extratos!I:I,df_extratos!F:F,Conciliacao!BG260,df_extratos!G:G,"CREDITO")+SUMIFS(df_extratos!I:I,df_extratos!F:F,Conciliacao!BH260,df_extratos!G:G,"CREDITO")</f>
        <v/>
      </c>
      <c r="I260" s="9">
        <f>H260-SUM(B260:G260)</f>
        <v/>
      </c>
      <c r="J260" s="4">
        <f>SUMIFS(df_blueme_sem_parcelamento!E:E,df_blueme_sem_parcelamento!H:H,Conciliacao!A260)*(-1)</f>
        <v/>
      </c>
      <c r="K260" s="4">
        <f>SUMIFS(df_blueme_com_parcelamento!J:J,df_blueme_com_parcelamento!M:M,Conciliacao!A260)*(-1)</f>
        <v/>
      </c>
      <c r="L260" s="4">
        <f>SUMIFS(df_mutuos!N:N,df_mutuos!B:B,Conciliacao!A260)*(-1)</f>
        <v/>
      </c>
      <c r="M260" s="8">
        <f>SUMIFS(df_bloqueios_judiciais!G:G,df_bloqueios_judiciais!D:D,Conciliacao!A260,df_bloqueios_judiciais!G:G,"&lt;0")</f>
        <v/>
      </c>
      <c r="N260" s="10">
        <f>SUMIFS(df_extratos!I:I,df_extratos!F:F,Conciliacao!BE260,df_extratos!G:G,"DEBITO")+SUMIFS(df_extratos!I:I,df_extratos!F:F,Conciliacao!A260,df_extratos!G:G,"DEBITO")+SUMIFS(df_extratos!I:I,df_extratos!F:F,Conciliacao!BF260,df_extratos!G:G,"DEBITO")+SUMIFS(df_extratos!I:I,df_extratos!F:F,Conciliacao!BG260,df_extratos!G:G,"DEBITO")+SUMIFS(df_extratos!I:I,df_extratos!F:F,Conciliacao!BH260,df_extratos!G:G,"DEBITO")</f>
        <v/>
      </c>
      <c r="O260" s="11">
        <f>N260-SUM(J260:M260)</f>
        <v/>
      </c>
      <c r="P260" s="25">
        <f>SUMIFS(df_ajustes_conciliaco!D:D,df_ajustes_conciliaco!C:C,Conciliacao!A260)</f>
        <v/>
      </c>
      <c r="Q260" s="22">
        <f>O260+I260-P260</f>
        <v/>
      </c>
      <c r="BE260" s="20" t="n">
        <v>45916.5</v>
      </c>
      <c r="BF260" s="20" t="n">
        <v>45916.125</v>
      </c>
      <c r="BG260" s="20" t="n">
        <v>45916.54166666666</v>
      </c>
      <c r="BH260" s="20" t="n">
        <v>45916.625</v>
      </c>
    </row>
    <row r="261">
      <c r="A261" s="5">
        <f>A260+1</f>
        <v/>
      </c>
      <c r="B261" s="3">
        <f>-SUMIFS(df_extrato_zig!G:G,df_extrato_zig!E:E,Conciliacao!A261,df_extrato_zig!D:D,"Saque")-SUMIFS(df_extrato_zig!G:G,df_extrato_zig!E:E,Conciliacao!A261,df_extrato_zig!D:D,"Antecipação")</f>
        <v/>
      </c>
      <c r="C261" s="3">
        <f>SUMIFS(df_extrato_zig!E:E,df_extrato_zig!L:L,Conciliacao!A261,df_extrato_zig!F:F,"DINHEIRO")</f>
        <v/>
      </c>
      <c r="D261" s="3">
        <f>SUMIFS(view_parc_agrup!H:H,view_parc_agrup!G:G,Conciliacao!A261)</f>
        <v/>
      </c>
      <c r="E261" s="3">
        <f>SUMIFS(df_eventos!F:F,df_eventos!H:H,Conciliacao!A261)</f>
        <v/>
      </c>
      <c r="F261" s="3">
        <f>SUMIFS(df_mutuos!M:M,df_mutuos!B:B,Conciliacao!A261)</f>
        <v/>
      </c>
      <c r="G261" s="6">
        <f>SUMIFS(df_bloqueios_judiciais!G:G,df_bloqueios_judiciais!D:D,Conciliacao!A261,df_bloqueios_judiciais!G:G,"&gt;0")</f>
        <v/>
      </c>
      <c r="H261" s="7">
        <f>SUMIFS(df_extratos!I:I,df_extratos!F:F,Conciliacao!BE261,df_extratos!G:G,"CREDITO")+SUMIFS(df_extratos!I:I,df_extratos!F:F,Conciliacao!A261,df_extratos!G:G,"CREDITO")+SUMIFS(df_extratos!I:I,df_extratos!F:F,Conciliacao!BF261,df_extratos!G:G,"CREDITO")+SUMIFS(df_extratos!I:I,df_extratos!F:F,Conciliacao!BG261,df_extratos!G:G,"CREDITO")+SUMIFS(df_extratos!I:I,df_extratos!F:F,Conciliacao!BH261,df_extratos!G:G,"CREDITO")</f>
        <v/>
      </c>
      <c r="I261" s="9">
        <f>H261-SUM(B261:G261)</f>
        <v/>
      </c>
      <c r="J261" s="4">
        <f>SUMIFS(df_blueme_sem_parcelamento!E:E,df_blueme_sem_parcelamento!H:H,Conciliacao!A261)*(-1)</f>
        <v/>
      </c>
      <c r="K261" s="4">
        <f>SUMIFS(df_blueme_com_parcelamento!J:J,df_blueme_com_parcelamento!M:M,Conciliacao!A261)*(-1)</f>
        <v/>
      </c>
      <c r="L261" s="4">
        <f>SUMIFS(df_mutuos!N:N,df_mutuos!B:B,Conciliacao!A261)*(-1)</f>
        <v/>
      </c>
      <c r="M261" s="8">
        <f>SUMIFS(df_bloqueios_judiciais!G:G,df_bloqueios_judiciais!D:D,Conciliacao!A261,df_bloqueios_judiciais!G:G,"&lt;0")</f>
        <v/>
      </c>
      <c r="N261" s="10">
        <f>SUMIFS(df_extratos!I:I,df_extratos!F:F,Conciliacao!BE261,df_extratos!G:G,"DEBITO")+SUMIFS(df_extratos!I:I,df_extratos!F:F,Conciliacao!A261,df_extratos!G:G,"DEBITO")+SUMIFS(df_extratos!I:I,df_extratos!F:F,Conciliacao!BF261,df_extratos!G:G,"DEBITO")+SUMIFS(df_extratos!I:I,df_extratos!F:F,Conciliacao!BG261,df_extratos!G:G,"DEBITO")+SUMIFS(df_extratos!I:I,df_extratos!F:F,Conciliacao!BH261,df_extratos!G:G,"DEBITO")</f>
        <v/>
      </c>
      <c r="O261" s="11">
        <f>N261-SUM(J261:M261)</f>
        <v/>
      </c>
      <c r="P261" s="25">
        <f>SUMIFS(df_ajustes_conciliaco!D:D,df_ajustes_conciliaco!C:C,Conciliacao!A261)</f>
        <v/>
      </c>
      <c r="Q261" s="22">
        <f>O261+I261-P261</f>
        <v/>
      </c>
      <c r="BE261" s="20" t="n">
        <v>45917.5</v>
      </c>
      <c r="BF261" s="20" t="n">
        <v>45917.125</v>
      </c>
      <c r="BG261" s="20" t="n">
        <v>45917.54166666666</v>
      </c>
      <c r="BH261" s="20" t="n">
        <v>45917.625</v>
      </c>
    </row>
    <row r="262">
      <c r="A262" s="5">
        <f>A261+1</f>
        <v/>
      </c>
      <c r="B262" s="3">
        <f>-SUMIFS(df_extrato_zig!G:G,df_extrato_zig!E:E,Conciliacao!A262,df_extrato_zig!D:D,"Saque")-SUMIFS(df_extrato_zig!G:G,df_extrato_zig!E:E,Conciliacao!A262,df_extrato_zig!D:D,"Antecipação")</f>
        <v/>
      </c>
      <c r="C262" s="3">
        <f>SUMIFS(df_extrato_zig!E:E,df_extrato_zig!L:L,Conciliacao!A262,df_extrato_zig!F:F,"DINHEIRO")</f>
        <v/>
      </c>
      <c r="D262" s="3">
        <f>SUMIFS(view_parc_agrup!H:H,view_parc_agrup!G:G,Conciliacao!A262)</f>
        <v/>
      </c>
      <c r="E262" s="3">
        <f>SUMIFS(df_eventos!F:F,df_eventos!H:H,Conciliacao!A262)</f>
        <v/>
      </c>
      <c r="F262" s="3">
        <f>SUMIFS(df_mutuos!M:M,df_mutuos!B:B,Conciliacao!A262)</f>
        <v/>
      </c>
      <c r="G262" s="6">
        <f>SUMIFS(df_bloqueios_judiciais!G:G,df_bloqueios_judiciais!D:D,Conciliacao!A262,df_bloqueios_judiciais!G:G,"&gt;0")</f>
        <v/>
      </c>
      <c r="H262" s="7">
        <f>SUMIFS(df_extratos!I:I,df_extratos!F:F,Conciliacao!BE262,df_extratos!G:G,"CREDITO")+SUMIFS(df_extratos!I:I,df_extratos!F:F,Conciliacao!A262,df_extratos!G:G,"CREDITO")+SUMIFS(df_extratos!I:I,df_extratos!F:F,Conciliacao!BF262,df_extratos!G:G,"CREDITO")+SUMIFS(df_extratos!I:I,df_extratos!F:F,Conciliacao!BG262,df_extratos!G:G,"CREDITO")+SUMIFS(df_extratos!I:I,df_extratos!F:F,Conciliacao!BH262,df_extratos!G:G,"CREDITO")</f>
        <v/>
      </c>
      <c r="I262" s="9">
        <f>H262-SUM(B262:G262)</f>
        <v/>
      </c>
      <c r="J262" s="4">
        <f>SUMIFS(df_blueme_sem_parcelamento!E:E,df_blueme_sem_parcelamento!H:H,Conciliacao!A262)*(-1)</f>
        <v/>
      </c>
      <c r="K262" s="4">
        <f>SUMIFS(df_blueme_com_parcelamento!J:J,df_blueme_com_parcelamento!M:M,Conciliacao!A262)*(-1)</f>
        <v/>
      </c>
      <c r="L262" s="4">
        <f>SUMIFS(df_mutuos!N:N,df_mutuos!B:B,Conciliacao!A262)*(-1)</f>
        <v/>
      </c>
      <c r="M262" s="8">
        <f>SUMIFS(df_bloqueios_judiciais!G:G,df_bloqueios_judiciais!D:D,Conciliacao!A262,df_bloqueios_judiciais!G:G,"&lt;0")</f>
        <v/>
      </c>
      <c r="N262" s="10">
        <f>SUMIFS(df_extratos!I:I,df_extratos!F:F,Conciliacao!BE262,df_extratos!G:G,"DEBITO")+SUMIFS(df_extratos!I:I,df_extratos!F:F,Conciliacao!A262,df_extratos!G:G,"DEBITO")+SUMIFS(df_extratos!I:I,df_extratos!F:F,Conciliacao!BF262,df_extratos!G:G,"DEBITO")+SUMIFS(df_extratos!I:I,df_extratos!F:F,Conciliacao!BG262,df_extratos!G:G,"DEBITO")+SUMIFS(df_extratos!I:I,df_extratos!F:F,Conciliacao!BH262,df_extratos!G:G,"DEBITO")</f>
        <v/>
      </c>
      <c r="O262" s="11">
        <f>N262-SUM(J262:M262)</f>
        <v/>
      </c>
      <c r="P262" s="25">
        <f>SUMIFS(df_ajustes_conciliaco!D:D,df_ajustes_conciliaco!C:C,Conciliacao!A262)</f>
        <v/>
      </c>
      <c r="Q262" s="22">
        <f>O262+I262-P262</f>
        <v/>
      </c>
      <c r="BE262" s="20" t="n">
        <v>45918.5</v>
      </c>
      <c r="BF262" s="20" t="n">
        <v>45918.125</v>
      </c>
      <c r="BG262" s="20" t="n">
        <v>45918.54166666666</v>
      </c>
      <c r="BH262" s="20" t="n">
        <v>45918.625</v>
      </c>
    </row>
    <row r="263">
      <c r="A263" s="5">
        <f>A262+1</f>
        <v/>
      </c>
      <c r="B263" s="3">
        <f>-SUMIFS(df_extrato_zig!G:G,df_extrato_zig!E:E,Conciliacao!A263,df_extrato_zig!D:D,"Saque")-SUMIFS(df_extrato_zig!G:G,df_extrato_zig!E:E,Conciliacao!A263,df_extrato_zig!D:D,"Antecipação")</f>
        <v/>
      </c>
      <c r="C263" s="3">
        <f>SUMIFS(df_extrato_zig!E:E,df_extrato_zig!L:L,Conciliacao!A263,df_extrato_zig!F:F,"DINHEIRO")</f>
        <v/>
      </c>
      <c r="D263" s="3">
        <f>SUMIFS(view_parc_agrup!H:H,view_parc_agrup!G:G,Conciliacao!A263)</f>
        <v/>
      </c>
      <c r="E263" s="3">
        <f>SUMIFS(df_eventos!F:F,df_eventos!H:H,Conciliacao!A263)</f>
        <v/>
      </c>
      <c r="F263" s="3">
        <f>SUMIFS(df_mutuos!M:M,df_mutuos!B:B,Conciliacao!A263)</f>
        <v/>
      </c>
      <c r="G263" s="6">
        <f>SUMIFS(df_bloqueios_judiciais!G:G,df_bloqueios_judiciais!D:D,Conciliacao!A263,df_bloqueios_judiciais!G:G,"&gt;0")</f>
        <v/>
      </c>
      <c r="H263" s="7">
        <f>SUMIFS(df_extratos!I:I,df_extratos!F:F,Conciliacao!BE263,df_extratos!G:G,"CREDITO")+SUMIFS(df_extratos!I:I,df_extratos!F:F,Conciliacao!A263,df_extratos!G:G,"CREDITO")+SUMIFS(df_extratos!I:I,df_extratos!F:F,Conciliacao!BF263,df_extratos!G:G,"CREDITO")+SUMIFS(df_extratos!I:I,df_extratos!F:F,Conciliacao!BG263,df_extratos!G:G,"CREDITO")+SUMIFS(df_extratos!I:I,df_extratos!F:F,Conciliacao!BH263,df_extratos!G:G,"CREDITO")</f>
        <v/>
      </c>
      <c r="I263" s="9">
        <f>H263-SUM(B263:G263)</f>
        <v/>
      </c>
      <c r="J263" s="4">
        <f>SUMIFS(df_blueme_sem_parcelamento!E:E,df_blueme_sem_parcelamento!H:H,Conciliacao!A263)*(-1)</f>
        <v/>
      </c>
      <c r="K263" s="4">
        <f>SUMIFS(df_blueme_com_parcelamento!J:J,df_blueme_com_parcelamento!M:M,Conciliacao!A263)*(-1)</f>
        <v/>
      </c>
      <c r="L263" s="4">
        <f>SUMIFS(df_mutuos!N:N,df_mutuos!B:B,Conciliacao!A263)*(-1)</f>
        <v/>
      </c>
      <c r="M263" s="8">
        <f>SUMIFS(df_bloqueios_judiciais!G:G,df_bloqueios_judiciais!D:D,Conciliacao!A263,df_bloqueios_judiciais!G:G,"&lt;0")</f>
        <v/>
      </c>
      <c r="N263" s="10">
        <f>SUMIFS(df_extratos!I:I,df_extratos!F:F,Conciliacao!BE263,df_extratos!G:G,"DEBITO")+SUMIFS(df_extratos!I:I,df_extratos!F:F,Conciliacao!A263,df_extratos!G:G,"DEBITO")+SUMIFS(df_extratos!I:I,df_extratos!F:F,Conciliacao!BF263,df_extratos!G:G,"DEBITO")+SUMIFS(df_extratos!I:I,df_extratos!F:F,Conciliacao!BG263,df_extratos!G:G,"DEBITO")+SUMIFS(df_extratos!I:I,df_extratos!F:F,Conciliacao!BH263,df_extratos!G:G,"DEBITO")</f>
        <v/>
      </c>
      <c r="O263" s="11">
        <f>N263-SUM(J263:M263)</f>
        <v/>
      </c>
      <c r="P263" s="25">
        <f>SUMIFS(df_ajustes_conciliaco!D:D,df_ajustes_conciliaco!C:C,Conciliacao!A263)</f>
        <v/>
      </c>
      <c r="Q263" s="22">
        <f>O263+I263-P263</f>
        <v/>
      </c>
      <c r="BE263" s="20" t="n">
        <v>45919.5</v>
      </c>
      <c r="BF263" s="20" t="n">
        <v>45919.125</v>
      </c>
      <c r="BG263" s="20" t="n">
        <v>45919.54166666666</v>
      </c>
      <c r="BH263" s="20" t="n">
        <v>45919.625</v>
      </c>
    </row>
    <row r="264">
      <c r="A264" s="5">
        <f>A263+1</f>
        <v/>
      </c>
      <c r="B264" s="3">
        <f>-SUMIFS(df_extrato_zig!G:G,df_extrato_zig!E:E,Conciliacao!A264,df_extrato_zig!D:D,"Saque")-SUMIFS(df_extrato_zig!G:G,df_extrato_zig!E:E,Conciliacao!A264,df_extrato_zig!D:D,"Antecipação")</f>
        <v/>
      </c>
      <c r="C264" s="3">
        <f>SUMIFS(df_extrato_zig!E:E,df_extrato_zig!L:L,Conciliacao!A264,df_extrato_zig!F:F,"DINHEIRO")</f>
        <v/>
      </c>
      <c r="D264" s="3">
        <f>SUMIFS(view_parc_agrup!H:H,view_parc_agrup!G:G,Conciliacao!A264)</f>
        <v/>
      </c>
      <c r="E264" s="3">
        <f>SUMIFS(df_eventos!F:F,df_eventos!H:H,Conciliacao!A264)</f>
        <v/>
      </c>
      <c r="F264" s="3">
        <f>SUMIFS(df_mutuos!M:M,df_mutuos!B:B,Conciliacao!A264)</f>
        <v/>
      </c>
      <c r="G264" s="6">
        <f>SUMIFS(df_bloqueios_judiciais!G:G,df_bloqueios_judiciais!D:D,Conciliacao!A264,df_bloqueios_judiciais!G:G,"&gt;0")</f>
        <v/>
      </c>
      <c r="H264" s="7">
        <f>SUMIFS(df_extratos!I:I,df_extratos!F:F,Conciliacao!BE264,df_extratos!G:G,"CREDITO")+SUMIFS(df_extratos!I:I,df_extratos!F:F,Conciliacao!A264,df_extratos!G:G,"CREDITO")+SUMIFS(df_extratos!I:I,df_extratos!F:F,Conciliacao!BF264,df_extratos!G:G,"CREDITO")+SUMIFS(df_extratos!I:I,df_extratos!F:F,Conciliacao!BG264,df_extratos!G:G,"CREDITO")+SUMIFS(df_extratos!I:I,df_extratos!F:F,Conciliacao!BH264,df_extratos!G:G,"CREDITO")</f>
        <v/>
      </c>
      <c r="I264" s="9">
        <f>H264-SUM(B264:G264)</f>
        <v/>
      </c>
      <c r="J264" s="4">
        <f>SUMIFS(df_blueme_sem_parcelamento!E:E,df_blueme_sem_parcelamento!H:H,Conciliacao!A264)*(-1)</f>
        <v/>
      </c>
      <c r="K264" s="4">
        <f>SUMIFS(df_blueme_com_parcelamento!J:J,df_blueme_com_parcelamento!M:M,Conciliacao!A264)*(-1)</f>
        <v/>
      </c>
      <c r="L264" s="4">
        <f>SUMIFS(df_mutuos!N:N,df_mutuos!B:B,Conciliacao!A264)*(-1)</f>
        <v/>
      </c>
      <c r="M264" s="8">
        <f>SUMIFS(df_bloqueios_judiciais!G:G,df_bloqueios_judiciais!D:D,Conciliacao!A264,df_bloqueios_judiciais!G:G,"&lt;0")</f>
        <v/>
      </c>
      <c r="N264" s="10">
        <f>SUMIFS(df_extratos!I:I,df_extratos!F:F,Conciliacao!BE264,df_extratos!G:G,"DEBITO")+SUMIFS(df_extratos!I:I,df_extratos!F:F,Conciliacao!A264,df_extratos!G:G,"DEBITO")+SUMIFS(df_extratos!I:I,df_extratos!F:F,Conciliacao!BF264,df_extratos!G:G,"DEBITO")+SUMIFS(df_extratos!I:I,df_extratos!F:F,Conciliacao!BG264,df_extratos!G:G,"DEBITO")+SUMIFS(df_extratos!I:I,df_extratos!F:F,Conciliacao!BH264,df_extratos!G:G,"DEBITO")</f>
        <v/>
      </c>
      <c r="O264" s="11">
        <f>N264-SUM(J264:M264)</f>
        <v/>
      </c>
      <c r="P264" s="25">
        <f>SUMIFS(df_ajustes_conciliaco!D:D,df_ajustes_conciliaco!C:C,Conciliacao!A264)</f>
        <v/>
      </c>
      <c r="Q264" s="22">
        <f>O264+I264-P264</f>
        <v/>
      </c>
      <c r="BE264" s="20" t="n">
        <v>45920.5</v>
      </c>
      <c r="BF264" s="20" t="n">
        <v>45920.125</v>
      </c>
      <c r="BG264" s="20" t="n">
        <v>45920.54166666666</v>
      </c>
      <c r="BH264" s="20" t="n">
        <v>45920.625</v>
      </c>
    </row>
    <row r="265">
      <c r="A265" s="5">
        <f>A264+1</f>
        <v/>
      </c>
      <c r="B265" s="3">
        <f>-SUMIFS(df_extrato_zig!G:G,df_extrato_zig!E:E,Conciliacao!A265,df_extrato_zig!D:D,"Saque")-SUMIFS(df_extrato_zig!G:G,df_extrato_zig!E:E,Conciliacao!A265,df_extrato_zig!D:D,"Antecipação")</f>
        <v/>
      </c>
      <c r="C265" s="3">
        <f>SUMIFS(df_extrato_zig!E:E,df_extrato_zig!L:L,Conciliacao!A265,df_extrato_zig!F:F,"DINHEIRO")</f>
        <v/>
      </c>
      <c r="D265" s="3">
        <f>SUMIFS(view_parc_agrup!H:H,view_parc_agrup!G:G,Conciliacao!A265)</f>
        <v/>
      </c>
      <c r="E265" s="3">
        <f>SUMIFS(df_eventos!F:F,df_eventos!H:H,Conciliacao!A265)</f>
        <v/>
      </c>
      <c r="F265" s="3">
        <f>SUMIFS(df_mutuos!M:M,df_mutuos!B:B,Conciliacao!A265)</f>
        <v/>
      </c>
      <c r="G265" s="6">
        <f>SUMIFS(df_bloqueios_judiciais!G:G,df_bloqueios_judiciais!D:D,Conciliacao!A265,df_bloqueios_judiciais!G:G,"&gt;0")</f>
        <v/>
      </c>
      <c r="H265" s="7">
        <f>SUMIFS(df_extratos!I:I,df_extratos!F:F,Conciliacao!BE265,df_extratos!G:G,"CREDITO")+SUMIFS(df_extratos!I:I,df_extratos!F:F,Conciliacao!A265,df_extratos!G:G,"CREDITO")+SUMIFS(df_extratos!I:I,df_extratos!F:F,Conciliacao!BF265,df_extratos!G:G,"CREDITO")+SUMIFS(df_extratos!I:I,df_extratos!F:F,Conciliacao!BG265,df_extratos!G:G,"CREDITO")+SUMIFS(df_extratos!I:I,df_extratos!F:F,Conciliacao!BH265,df_extratos!G:G,"CREDITO")</f>
        <v/>
      </c>
      <c r="I265" s="9">
        <f>H265-SUM(B265:G265)</f>
        <v/>
      </c>
      <c r="J265" s="4">
        <f>SUMIFS(df_blueme_sem_parcelamento!E:E,df_blueme_sem_parcelamento!H:H,Conciliacao!A265)*(-1)</f>
        <v/>
      </c>
      <c r="K265" s="4">
        <f>SUMIFS(df_blueme_com_parcelamento!J:J,df_blueme_com_parcelamento!M:M,Conciliacao!A265)*(-1)</f>
        <v/>
      </c>
      <c r="L265" s="4">
        <f>SUMIFS(df_mutuos!N:N,df_mutuos!B:B,Conciliacao!A265)*(-1)</f>
        <v/>
      </c>
      <c r="M265" s="8">
        <f>SUMIFS(df_bloqueios_judiciais!G:G,df_bloqueios_judiciais!D:D,Conciliacao!A265,df_bloqueios_judiciais!G:G,"&lt;0")</f>
        <v/>
      </c>
      <c r="N265" s="10">
        <f>SUMIFS(df_extratos!I:I,df_extratos!F:F,Conciliacao!BE265,df_extratos!G:G,"DEBITO")+SUMIFS(df_extratos!I:I,df_extratos!F:F,Conciliacao!A265,df_extratos!G:G,"DEBITO")+SUMIFS(df_extratos!I:I,df_extratos!F:F,Conciliacao!BF265,df_extratos!G:G,"DEBITO")+SUMIFS(df_extratos!I:I,df_extratos!F:F,Conciliacao!BG265,df_extratos!G:G,"DEBITO")+SUMIFS(df_extratos!I:I,df_extratos!F:F,Conciliacao!BH265,df_extratos!G:G,"DEBITO")</f>
        <v/>
      </c>
      <c r="O265" s="11">
        <f>N265-SUM(J265:M265)</f>
        <v/>
      </c>
      <c r="P265" s="25">
        <f>SUMIFS(df_ajustes_conciliaco!D:D,df_ajustes_conciliaco!C:C,Conciliacao!A265)</f>
        <v/>
      </c>
      <c r="Q265" s="22">
        <f>O265+I265-P265</f>
        <v/>
      </c>
      <c r="BE265" s="20" t="n">
        <v>45921.5</v>
      </c>
      <c r="BF265" s="20" t="n">
        <v>45921.125</v>
      </c>
      <c r="BG265" s="20" t="n">
        <v>45921.54166666666</v>
      </c>
      <c r="BH265" s="20" t="n">
        <v>45921.625</v>
      </c>
    </row>
    <row r="266">
      <c r="A266" s="5">
        <f>A265+1</f>
        <v/>
      </c>
      <c r="B266" s="3">
        <f>-SUMIFS(df_extrato_zig!G:G,df_extrato_zig!E:E,Conciliacao!A266,df_extrato_zig!D:D,"Saque")-SUMIFS(df_extrato_zig!G:G,df_extrato_zig!E:E,Conciliacao!A266,df_extrato_zig!D:D,"Antecipação")</f>
        <v/>
      </c>
      <c r="C266" s="3">
        <f>SUMIFS(df_extrato_zig!E:E,df_extrato_zig!L:L,Conciliacao!A266,df_extrato_zig!F:F,"DINHEIRO")</f>
        <v/>
      </c>
      <c r="D266" s="3">
        <f>SUMIFS(view_parc_agrup!H:H,view_parc_agrup!G:G,Conciliacao!A266)</f>
        <v/>
      </c>
      <c r="E266" s="3">
        <f>SUMIFS(df_eventos!F:F,df_eventos!H:H,Conciliacao!A266)</f>
        <v/>
      </c>
      <c r="F266" s="3">
        <f>SUMIFS(df_mutuos!M:M,df_mutuos!B:B,Conciliacao!A266)</f>
        <v/>
      </c>
      <c r="G266" s="6">
        <f>SUMIFS(df_bloqueios_judiciais!G:G,df_bloqueios_judiciais!D:D,Conciliacao!A266,df_bloqueios_judiciais!G:G,"&gt;0")</f>
        <v/>
      </c>
      <c r="H266" s="7">
        <f>SUMIFS(df_extratos!I:I,df_extratos!F:F,Conciliacao!BE266,df_extratos!G:G,"CREDITO")+SUMIFS(df_extratos!I:I,df_extratos!F:F,Conciliacao!A266,df_extratos!G:G,"CREDITO")+SUMIFS(df_extratos!I:I,df_extratos!F:F,Conciliacao!BF266,df_extratos!G:G,"CREDITO")+SUMIFS(df_extratos!I:I,df_extratos!F:F,Conciliacao!BG266,df_extratos!G:G,"CREDITO")+SUMIFS(df_extratos!I:I,df_extratos!F:F,Conciliacao!BH266,df_extratos!G:G,"CREDITO")</f>
        <v/>
      </c>
      <c r="I266" s="9">
        <f>H266-SUM(B266:G266)</f>
        <v/>
      </c>
      <c r="J266" s="4">
        <f>SUMIFS(df_blueme_sem_parcelamento!E:E,df_blueme_sem_parcelamento!H:H,Conciliacao!A266)*(-1)</f>
        <v/>
      </c>
      <c r="K266" s="4">
        <f>SUMIFS(df_blueme_com_parcelamento!J:J,df_blueme_com_parcelamento!M:M,Conciliacao!A266)*(-1)</f>
        <v/>
      </c>
      <c r="L266" s="4">
        <f>SUMIFS(df_mutuos!N:N,df_mutuos!B:B,Conciliacao!A266)*(-1)</f>
        <v/>
      </c>
      <c r="M266" s="8">
        <f>SUMIFS(df_bloqueios_judiciais!G:G,df_bloqueios_judiciais!D:D,Conciliacao!A266,df_bloqueios_judiciais!G:G,"&lt;0")</f>
        <v/>
      </c>
      <c r="N266" s="10">
        <f>SUMIFS(df_extratos!I:I,df_extratos!F:F,Conciliacao!BE266,df_extratos!G:G,"DEBITO")+SUMIFS(df_extratos!I:I,df_extratos!F:F,Conciliacao!A266,df_extratos!G:G,"DEBITO")+SUMIFS(df_extratos!I:I,df_extratos!F:F,Conciliacao!BF266,df_extratos!G:G,"DEBITO")+SUMIFS(df_extratos!I:I,df_extratos!F:F,Conciliacao!BG266,df_extratos!G:G,"DEBITO")+SUMIFS(df_extratos!I:I,df_extratos!F:F,Conciliacao!BH266,df_extratos!G:G,"DEBITO")</f>
        <v/>
      </c>
      <c r="O266" s="11">
        <f>N266-SUM(J266:M266)</f>
        <v/>
      </c>
      <c r="P266" s="25">
        <f>SUMIFS(df_ajustes_conciliaco!D:D,df_ajustes_conciliaco!C:C,Conciliacao!A266)</f>
        <v/>
      </c>
      <c r="Q266" s="22">
        <f>O266+I266-P266</f>
        <v/>
      </c>
      <c r="BE266" s="20" t="n">
        <v>45922.5</v>
      </c>
      <c r="BF266" s="20" t="n">
        <v>45922.125</v>
      </c>
      <c r="BG266" s="20" t="n">
        <v>45922.54166666666</v>
      </c>
      <c r="BH266" s="20" t="n">
        <v>45922.625</v>
      </c>
    </row>
    <row r="267">
      <c r="A267" s="5">
        <f>A266+1</f>
        <v/>
      </c>
      <c r="B267" s="3">
        <f>-SUMIFS(df_extrato_zig!G:G,df_extrato_zig!E:E,Conciliacao!A267,df_extrato_zig!D:D,"Saque")-SUMIFS(df_extrato_zig!G:G,df_extrato_zig!E:E,Conciliacao!A267,df_extrato_zig!D:D,"Antecipação")</f>
        <v/>
      </c>
      <c r="C267" s="3">
        <f>SUMIFS(df_extrato_zig!E:E,df_extrato_zig!L:L,Conciliacao!A267,df_extrato_zig!F:F,"DINHEIRO")</f>
        <v/>
      </c>
      <c r="D267" s="3">
        <f>SUMIFS(view_parc_agrup!H:H,view_parc_agrup!G:G,Conciliacao!A267)</f>
        <v/>
      </c>
      <c r="E267" s="3">
        <f>SUMIFS(df_eventos!F:F,df_eventos!H:H,Conciliacao!A267)</f>
        <v/>
      </c>
      <c r="F267" s="3">
        <f>SUMIFS(df_mutuos!M:M,df_mutuos!B:B,Conciliacao!A267)</f>
        <v/>
      </c>
      <c r="G267" s="6">
        <f>SUMIFS(df_bloqueios_judiciais!G:G,df_bloqueios_judiciais!D:D,Conciliacao!A267,df_bloqueios_judiciais!G:G,"&gt;0")</f>
        <v/>
      </c>
      <c r="H267" s="7">
        <f>SUMIFS(df_extratos!I:I,df_extratos!F:F,Conciliacao!BE267,df_extratos!G:G,"CREDITO")+SUMIFS(df_extratos!I:I,df_extratos!F:F,Conciliacao!A267,df_extratos!G:G,"CREDITO")+SUMIFS(df_extratos!I:I,df_extratos!F:F,Conciliacao!BF267,df_extratos!G:G,"CREDITO")+SUMIFS(df_extratos!I:I,df_extratos!F:F,Conciliacao!BG267,df_extratos!G:G,"CREDITO")+SUMIFS(df_extratos!I:I,df_extratos!F:F,Conciliacao!BH267,df_extratos!G:G,"CREDITO")</f>
        <v/>
      </c>
      <c r="I267" s="9">
        <f>H267-SUM(B267:G267)</f>
        <v/>
      </c>
      <c r="J267" s="4">
        <f>SUMIFS(df_blueme_sem_parcelamento!E:E,df_blueme_sem_parcelamento!H:H,Conciliacao!A267)*(-1)</f>
        <v/>
      </c>
      <c r="K267" s="4">
        <f>SUMIFS(df_blueme_com_parcelamento!J:J,df_blueme_com_parcelamento!M:M,Conciliacao!A267)*(-1)</f>
        <v/>
      </c>
      <c r="L267" s="4">
        <f>SUMIFS(df_mutuos!N:N,df_mutuos!B:B,Conciliacao!A267)*(-1)</f>
        <v/>
      </c>
      <c r="M267" s="8">
        <f>SUMIFS(df_bloqueios_judiciais!G:G,df_bloqueios_judiciais!D:D,Conciliacao!A267,df_bloqueios_judiciais!G:G,"&lt;0")</f>
        <v/>
      </c>
      <c r="N267" s="10">
        <f>SUMIFS(df_extratos!I:I,df_extratos!F:F,Conciliacao!BE267,df_extratos!G:G,"DEBITO")+SUMIFS(df_extratos!I:I,df_extratos!F:F,Conciliacao!A267,df_extratos!G:G,"DEBITO")+SUMIFS(df_extratos!I:I,df_extratos!F:F,Conciliacao!BF267,df_extratos!G:G,"DEBITO")+SUMIFS(df_extratos!I:I,df_extratos!F:F,Conciliacao!BG267,df_extratos!G:G,"DEBITO")+SUMIFS(df_extratos!I:I,df_extratos!F:F,Conciliacao!BH267,df_extratos!G:G,"DEBITO")</f>
        <v/>
      </c>
      <c r="O267" s="11">
        <f>N267-SUM(J267:M267)</f>
        <v/>
      </c>
      <c r="P267" s="25">
        <f>SUMIFS(df_ajustes_conciliaco!D:D,df_ajustes_conciliaco!C:C,Conciliacao!A267)</f>
        <v/>
      </c>
      <c r="Q267" s="22">
        <f>O267+I267-P267</f>
        <v/>
      </c>
      <c r="BE267" s="20" t="n">
        <v>45923.5</v>
      </c>
      <c r="BF267" s="20" t="n">
        <v>45923.125</v>
      </c>
      <c r="BG267" s="20" t="n">
        <v>45923.54166666666</v>
      </c>
      <c r="BH267" s="20" t="n">
        <v>45923.625</v>
      </c>
    </row>
    <row r="268">
      <c r="A268" s="5">
        <f>A267+1</f>
        <v/>
      </c>
      <c r="B268" s="3">
        <f>-SUMIFS(df_extrato_zig!G:G,df_extrato_zig!E:E,Conciliacao!A268,df_extrato_zig!D:D,"Saque")-SUMIFS(df_extrato_zig!G:G,df_extrato_zig!E:E,Conciliacao!A268,df_extrato_zig!D:D,"Antecipação")</f>
        <v/>
      </c>
      <c r="C268" s="3">
        <f>SUMIFS(df_extrato_zig!E:E,df_extrato_zig!L:L,Conciliacao!A268,df_extrato_zig!F:F,"DINHEIRO")</f>
        <v/>
      </c>
      <c r="D268" s="3">
        <f>SUMIFS(view_parc_agrup!H:H,view_parc_agrup!G:G,Conciliacao!A268)</f>
        <v/>
      </c>
      <c r="E268" s="3">
        <f>SUMIFS(df_eventos!F:F,df_eventos!H:H,Conciliacao!A268)</f>
        <v/>
      </c>
      <c r="F268" s="3">
        <f>SUMIFS(df_mutuos!M:M,df_mutuos!B:B,Conciliacao!A268)</f>
        <v/>
      </c>
      <c r="G268" s="6">
        <f>SUMIFS(df_bloqueios_judiciais!G:G,df_bloqueios_judiciais!D:D,Conciliacao!A268,df_bloqueios_judiciais!G:G,"&gt;0")</f>
        <v/>
      </c>
      <c r="H268" s="7">
        <f>SUMIFS(df_extratos!I:I,df_extratos!F:F,Conciliacao!BE268,df_extratos!G:G,"CREDITO")+SUMIFS(df_extratos!I:I,df_extratos!F:F,Conciliacao!A268,df_extratos!G:G,"CREDITO")+SUMIFS(df_extratos!I:I,df_extratos!F:F,Conciliacao!BF268,df_extratos!G:G,"CREDITO")+SUMIFS(df_extratos!I:I,df_extratos!F:F,Conciliacao!BG268,df_extratos!G:G,"CREDITO")+SUMIFS(df_extratos!I:I,df_extratos!F:F,Conciliacao!BH268,df_extratos!G:G,"CREDITO")</f>
        <v/>
      </c>
      <c r="I268" s="9">
        <f>H268-SUM(B268:G268)</f>
        <v/>
      </c>
      <c r="J268" s="4">
        <f>SUMIFS(df_blueme_sem_parcelamento!E:E,df_blueme_sem_parcelamento!H:H,Conciliacao!A268)*(-1)</f>
        <v/>
      </c>
      <c r="K268" s="4">
        <f>SUMIFS(df_blueme_com_parcelamento!J:J,df_blueme_com_parcelamento!M:M,Conciliacao!A268)*(-1)</f>
        <v/>
      </c>
      <c r="L268" s="4">
        <f>SUMIFS(df_mutuos!N:N,df_mutuos!B:B,Conciliacao!A268)*(-1)</f>
        <v/>
      </c>
      <c r="M268" s="8">
        <f>SUMIFS(df_bloqueios_judiciais!G:G,df_bloqueios_judiciais!D:D,Conciliacao!A268,df_bloqueios_judiciais!G:G,"&lt;0")</f>
        <v/>
      </c>
      <c r="N268" s="10">
        <f>SUMIFS(df_extratos!I:I,df_extratos!F:F,Conciliacao!BE268,df_extratos!G:G,"DEBITO")+SUMIFS(df_extratos!I:I,df_extratos!F:F,Conciliacao!A268,df_extratos!G:G,"DEBITO")+SUMIFS(df_extratos!I:I,df_extratos!F:F,Conciliacao!BF268,df_extratos!G:G,"DEBITO")+SUMIFS(df_extratos!I:I,df_extratos!F:F,Conciliacao!BG268,df_extratos!G:G,"DEBITO")+SUMIFS(df_extratos!I:I,df_extratos!F:F,Conciliacao!BH268,df_extratos!G:G,"DEBITO")</f>
        <v/>
      </c>
      <c r="O268" s="11">
        <f>N268-SUM(J268:M268)</f>
        <v/>
      </c>
      <c r="P268" s="25">
        <f>SUMIFS(df_ajustes_conciliaco!D:D,df_ajustes_conciliaco!C:C,Conciliacao!A268)</f>
        <v/>
      </c>
      <c r="Q268" s="22">
        <f>O268+I268-P268</f>
        <v/>
      </c>
      <c r="BE268" s="20" t="n">
        <v>45924.5</v>
      </c>
      <c r="BF268" s="20" t="n">
        <v>45924.125</v>
      </c>
      <c r="BG268" s="20" t="n">
        <v>45924.54166666666</v>
      </c>
      <c r="BH268" s="20" t="n">
        <v>45924.625</v>
      </c>
    </row>
    <row r="269">
      <c r="A269" s="5">
        <f>A268+1</f>
        <v/>
      </c>
      <c r="B269" s="3">
        <f>-SUMIFS(df_extrato_zig!G:G,df_extrato_zig!E:E,Conciliacao!A269,df_extrato_zig!D:D,"Saque")-SUMIFS(df_extrato_zig!G:G,df_extrato_zig!E:E,Conciliacao!A269,df_extrato_zig!D:D,"Antecipação")</f>
        <v/>
      </c>
      <c r="C269" s="3">
        <f>SUMIFS(df_extrato_zig!E:E,df_extrato_zig!L:L,Conciliacao!A269,df_extrato_zig!F:F,"DINHEIRO")</f>
        <v/>
      </c>
      <c r="D269" s="3">
        <f>SUMIFS(view_parc_agrup!H:H,view_parc_agrup!G:G,Conciliacao!A269)</f>
        <v/>
      </c>
      <c r="E269" s="3">
        <f>SUMIFS(df_eventos!F:F,df_eventos!H:H,Conciliacao!A269)</f>
        <v/>
      </c>
      <c r="F269" s="3">
        <f>SUMIFS(df_mutuos!M:M,df_mutuos!B:B,Conciliacao!A269)</f>
        <v/>
      </c>
      <c r="G269" s="6">
        <f>SUMIFS(df_bloqueios_judiciais!G:G,df_bloqueios_judiciais!D:D,Conciliacao!A269,df_bloqueios_judiciais!G:G,"&gt;0")</f>
        <v/>
      </c>
      <c r="H269" s="7">
        <f>SUMIFS(df_extratos!I:I,df_extratos!F:F,Conciliacao!BE269,df_extratos!G:G,"CREDITO")+SUMIFS(df_extratos!I:I,df_extratos!F:F,Conciliacao!A269,df_extratos!G:G,"CREDITO")+SUMIFS(df_extratos!I:I,df_extratos!F:F,Conciliacao!BF269,df_extratos!G:G,"CREDITO")+SUMIFS(df_extratos!I:I,df_extratos!F:F,Conciliacao!BG269,df_extratos!G:G,"CREDITO")+SUMIFS(df_extratos!I:I,df_extratos!F:F,Conciliacao!BH269,df_extratos!G:G,"CREDITO")</f>
        <v/>
      </c>
      <c r="I269" s="9">
        <f>H269-SUM(B269:G269)</f>
        <v/>
      </c>
      <c r="J269" s="4">
        <f>SUMIFS(df_blueme_sem_parcelamento!E:E,df_blueme_sem_parcelamento!H:H,Conciliacao!A269)*(-1)</f>
        <v/>
      </c>
      <c r="K269" s="4">
        <f>SUMIFS(df_blueme_com_parcelamento!J:J,df_blueme_com_parcelamento!M:M,Conciliacao!A269)*(-1)</f>
        <v/>
      </c>
      <c r="L269" s="4">
        <f>SUMIFS(df_mutuos!N:N,df_mutuos!B:B,Conciliacao!A269)*(-1)</f>
        <v/>
      </c>
      <c r="M269" s="8">
        <f>SUMIFS(df_bloqueios_judiciais!G:G,df_bloqueios_judiciais!D:D,Conciliacao!A269,df_bloqueios_judiciais!G:G,"&lt;0")</f>
        <v/>
      </c>
      <c r="N269" s="10">
        <f>SUMIFS(df_extratos!I:I,df_extratos!F:F,Conciliacao!BE269,df_extratos!G:G,"DEBITO")+SUMIFS(df_extratos!I:I,df_extratos!F:F,Conciliacao!A269,df_extratos!G:G,"DEBITO")+SUMIFS(df_extratos!I:I,df_extratos!F:F,Conciliacao!BF269,df_extratos!G:G,"DEBITO")+SUMIFS(df_extratos!I:I,df_extratos!F:F,Conciliacao!BG269,df_extratos!G:G,"DEBITO")+SUMIFS(df_extratos!I:I,df_extratos!F:F,Conciliacao!BH269,df_extratos!G:G,"DEBITO")</f>
        <v/>
      </c>
      <c r="O269" s="11">
        <f>N269-SUM(J269:M269)</f>
        <v/>
      </c>
      <c r="P269" s="25">
        <f>SUMIFS(df_ajustes_conciliaco!D:D,df_ajustes_conciliaco!C:C,Conciliacao!A269)</f>
        <v/>
      </c>
      <c r="Q269" s="22">
        <f>O269+I269-P269</f>
        <v/>
      </c>
      <c r="BE269" s="20" t="n">
        <v>45925.5</v>
      </c>
      <c r="BF269" s="20" t="n">
        <v>45925.125</v>
      </c>
      <c r="BG269" s="20" t="n">
        <v>45925.54166666666</v>
      </c>
      <c r="BH269" s="20" t="n">
        <v>45925.625</v>
      </c>
    </row>
    <row r="270">
      <c r="A270" s="5">
        <f>A269+1</f>
        <v/>
      </c>
      <c r="B270" s="3">
        <f>-SUMIFS(df_extrato_zig!G:G,df_extrato_zig!E:E,Conciliacao!A270,df_extrato_zig!D:D,"Saque")-SUMIFS(df_extrato_zig!G:G,df_extrato_zig!E:E,Conciliacao!A270,df_extrato_zig!D:D,"Antecipação")</f>
        <v/>
      </c>
      <c r="C270" s="3">
        <f>SUMIFS(df_extrato_zig!E:E,df_extrato_zig!L:L,Conciliacao!A270,df_extrato_zig!F:F,"DINHEIRO")</f>
        <v/>
      </c>
      <c r="D270" s="3">
        <f>SUMIFS(view_parc_agrup!H:H,view_parc_agrup!G:G,Conciliacao!A270)</f>
        <v/>
      </c>
      <c r="E270" s="3">
        <f>SUMIFS(df_eventos!F:F,df_eventos!H:H,Conciliacao!A270)</f>
        <v/>
      </c>
      <c r="F270" s="3">
        <f>SUMIFS(df_mutuos!M:M,df_mutuos!B:B,Conciliacao!A270)</f>
        <v/>
      </c>
      <c r="G270" s="6">
        <f>SUMIFS(df_bloqueios_judiciais!G:G,df_bloqueios_judiciais!D:D,Conciliacao!A270,df_bloqueios_judiciais!G:G,"&gt;0")</f>
        <v/>
      </c>
      <c r="H270" s="7">
        <f>SUMIFS(df_extratos!I:I,df_extratos!F:F,Conciliacao!BE270,df_extratos!G:G,"CREDITO")+SUMIFS(df_extratos!I:I,df_extratos!F:F,Conciliacao!A270,df_extratos!G:G,"CREDITO")+SUMIFS(df_extratos!I:I,df_extratos!F:F,Conciliacao!BF270,df_extratos!G:G,"CREDITO")+SUMIFS(df_extratos!I:I,df_extratos!F:F,Conciliacao!BG270,df_extratos!G:G,"CREDITO")+SUMIFS(df_extratos!I:I,df_extratos!F:F,Conciliacao!BH270,df_extratos!G:G,"CREDITO")</f>
        <v/>
      </c>
      <c r="I270" s="9">
        <f>H270-SUM(B270:G270)</f>
        <v/>
      </c>
      <c r="J270" s="4">
        <f>SUMIFS(df_blueme_sem_parcelamento!E:E,df_blueme_sem_parcelamento!H:H,Conciliacao!A270)*(-1)</f>
        <v/>
      </c>
      <c r="K270" s="4">
        <f>SUMIFS(df_blueme_com_parcelamento!J:J,df_blueme_com_parcelamento!M:M,Conciliacao!A270)*(-1)</f>
        <v/>
      </c>
      <c r="L270" s="4">
        <f>SUMIFS(df_mutuos!N:N,df_mutuos!B:B,Conciliacao!A270)*(-1)</f>
        <v/>
      </c>
      <c r="M270" s="8">
        <f>SUMIFS(df_bloqueios_judiciais!G:G,df_bloqueios_judiciais!D:D,Conciliacao!A270,df_bloqueios_judiciais!G:G,"&lt;0")</f>
        <v/>
      </c>
      <c r="N270" s="10">
        <f>SUMIFS(df_extratos!I:I,df_extratos!F:F,Conciliacao!BE270,df_extratos!G:G,"DEBITO")+SUMIFS(df_extratos!I:I,df_extratos!F:F,Conciliacao!A270,df_extratos!G:G,"DEBITO")+SUMIFS(df_extratos!I:I,df_extratos!F:F,Conciliacao!BF270,df_extratos!G:G,"DEBITO")+SUMIFS(df_extratos!I:I,df_extratos!F:F,Conciliacao!BG270,df_extratos!G:G,"DEBITO")+SUMIFS(df_extratos!I:I,df_extratos!F:F,Conciliacao!BH270,df_extratos!G:G,"DEBITO")</f>
        <v/>
      </c>
      <c r="O270" s="11">
        <f>N270-SUM(J270:M270)</f>
        <v/>
      </c>
      <c r="P270" s="25">
        <f>SUMIFS(df_ajustes_conciliaco!D:D,df_ajustes_conciliaco!C:C,Conciliacao!A270)</f>
        <v/>
      </c>
      <c r="Q270" s="22">
        <f>O270+I270-P270</f>
        <v/>
      </c>
      <c r="BE270" s="20" t="n">
        <v>45926.5</v>
      </c>
      <c r="BF270" s="20" t="n">
        <v>45926.125</v>
      </c>
      <c r="BG270" s="20" t="n">
        <v>45926.54166666666</v>
      </c>
      <c r="BH270" s="20" t="n">
        <v>45926.625</v>
      </c>
    </row>
    <row r="271">
      <c r="A271" s="5">
        <f>A270+1</f>
        <v/>
      </c>
      <c r="B271" s="3">
        <f>-SUMIFS(df_extrato_zig!G:G,df_extrato_zig!E:E,Conciliacao!A271,df_extrato_zig!D:D,"Saque")-SUMIFS(df_extrato_zig!G:G,df_extrato_zig!E:E,Conciliacao!A271,df_extrato_zig!D:D,"Antecipação")</f>
        <v/>
      </c>
      <c r="C271" s="3">
        <f>SUMIFS(df_extrato_zig!E:E,df_extrato_zig!L:L,Conciliacao!A271,df_extrato_zig!F:F,"DINHEIRO")</f>
        <v/>
      </c>
      <c r="D271" s="3">
        <f>SUMIFS(view_parc_agrup!H:H,view_parc_agrup!G:G,Conciliacao!A271)</f>
        <v/>
      </c>
      <c r="E271" s="3">
        <f>SUMIFS(df_eventos!F:F,df_eventos!H:H,Conciliacao!A271)</f>
        <v/>
      </c>
      <c r="F271" s="3">
        <f>SUMIFS(df_mutuos!M:M,df_mutuos!B:B,Conciliacao!A271)</f>
        <v/>
      </c>
      <c r="G271" s="6">
        <f>SUMIFS(df_bloqueios_judiciais!G:G,df_bloqueios_judiciais!D:D,Conciliacao!A271,df_bloqueios_judiciais!G:G,"&gt;0")</f>
        <v/>
      </c>
      <c r="H271" s="7">
        <f>SUMIFS(df_extratos!I:I,df_extratos!F:F,Conciliacao!BE271,df_extratos!G:G,"CREDITO")+SUMIFS(df_extratos!I:I,df_extratos!F:F,Conciliacao!A271,df_extratos!G:G,"CREDITO")+SUMIFS(df_extratos!I:I,df_extratos!F:F,Conciliacao!BF271,df_extratos!G:G,"CREDITO")+SUMIFS(df_extratos!I:I,df_extratos!F:F,Conciliacao!BG271,df_extratos!G:G,"CREDITO")+SUMIFS(df_extratos!I:I,df_extratos!F:F,Conciliacao!BH271,df_extratos!G:G,"CREDITO")</f>
        <v/>
      </c>
      <c r="I271" s="9">
        <f>H271-SUM(B271:G271)</f>
        <v/>
      </c>
      <c r="J271" s="4">
        <f>SUMIFS(df_blueme_sem_parcelamento!E:E,df_blueme_sem_parcelamento!H:H,Conciliacao!A271)*(-1)</f>
        <v/>
      </c>
      <c r="K271" s="4">
        <f>SUMIFS(df_blueme_com_parcelamento!J:J,df_blueme_com_parcelamento!M:M,Conciliacao!A271)*(-1)</f>
        <v/>
      </c>
      <c r="L271" s="4">
        <f>SUMIFS(df_mutuos!N:N,df_mutuos!B:B,Conciliacao!A271)*(-1)</f>
        <v/>
      </c>
      <c r="M271" s="8">
        <f>SUMIFS(df_bloqueios_judiciais!G:G,df_bloqueios_judiciais!D:D,Conciliacao!A271,df_bloqueios_judiciais!G:G,"&lt;0")</f>
        <v/>
      </c>
      <c r="N271" s="10">
        <f>SUMIFS(df_extratos!I:I,df_extratos!F:F,Conciliacao!BE271,df_extratos!G:G,"DEBITO")+SUMIFS(df_extratos!I:I,df_extratos!F:F,Conciliacao!A271,df_extratos!G:G,"DEBITO")+SUMIFS(df_extratos!I:I,df_extratos!F:F,Conciliacao!BF271,df_extratos!G:G,"DEBITO")+SUMIFS(df_extratos!I:I,df_extratos!F:F,Conciliacao!BG271,df_extratos!G:G,"DEBITO")+SUMIFS(df_extratos!I:I,df_extratos!F:F,Conciliacao!BH271,df_extratos!G:G,"DEBITO")</f>
        <v/>
      </c>
      <c r="O271" s="11">
        <f>N271-SUM(J271:M271)</f>
        <v/>
      </c>
      <c r="P271" s="25">
        <f>SUMIFS(df_ajustes_conciliaco!D:D,df_ajustes_conciliaco!C:C,Conciliacao!A271)</f>
        <v/>
      </c>
      <c r="Q271" s="22">
        <f>O271+I271-P271</f>
        <v/>
      </c>
      <c r="BE271" s="20" t="n">
        <v>45927.5</v>
      </c>
      <c r="BF271" s="20" t="n">
        <v>45927.125</v>
      </c>
      <c r="BG271" s="20" t="n">
        <v>45927.54166666666</v>
      </c>
      <c r="BH271" s="20" t="n">
        <v>45927.625</v>
      </c>
    </row>
    <row r="272">
      <c r="A272" s="5">
        <f>A271+1</f>
        <v/>
      </c>
      <c r="B272" s="3">
        <f>-SUMIFS(df_extrato_zig!G:G,df_extrato_zig!E:E,Conciliacao!A272,df_extrato_zig!D:D,"Saque")-SUMIFS(df_extrato_zig!G:G,df_extrato_zig!E:E,Conciliacao!A272,df_extrato_zig!D:D,"Antecipação")</f>
        <v/>
      </c>
      <c r="C272" s="3">
        <f>SUMIFS(df_extrato_zig!E:E,df_extrato_zig!L:L,Conciliacao!A272,df_extrato_zig!F:F,"DINHEIRO")</f>
        <v/>
      </c>
      <c r="D272" s="3">
        <f>SUMIFS(view_parc_agrup!H:H,view_parc_agrup!G:G,Conciliacao!A272)</f>
        <v/>
      </c>
      <c r="E272" s="3">
        <f>SUMIFS(df_eventos!F:F,df_eventos!H:H,Conciliacao!A272)</f>
        <v/>
      </c>
      <c r="F272" s="3">
        <f>SUMIFS(df_mutuos!M:M,df_mutuos!B:B,Conciliacao!A272)</f>
        <v/>
      </c>
      <c r="G272" s="6">
        <f>SUMIFS(df_bloqueios_judiciais!G:G,df_bloqueios_judiciais!D:D,Conciliacao!A272,df_bloqueios_judiciais!G:G,"&gt;0")</f>
        <v/>
      </c>
      <c r="H272" s="7">
        <f>SUMIFS(df_extratos!I:I,df_extratos!F:F,Conciliacao!BE272,df_extratos!G:G,"CREDITO")+SUMIFS(df_extratos!I:I,df_extratos!F:F,Conciliacao!A272,df_extratos!G:G,"CREDITO")+SUMIFS(df_extratos!I:I,df_extratos!F:F,Conciliacao!BF272,df_extratos!G:G,"CREDITO")+SUMIFS(df_extratos!I:I,df_extratos!F:F,Conciliacao!BG272,df_extratos!G:G,"CREDITO")+SUMIFS(df_extratos!I:I,df_extratos!F:F,Conciliacao!BH272,df_extratos!G:G,"CREDITO")</f>
        <v/>
      </c>
      <c r="I272" s="9">
        <f>H272-SUM(B272:G272)</f>
        <v/>
      </c>
      <c r="J272" s="4">
        <f>SUMIFS(df_blueme_sem_parcelamento!E:E,df_blueme_sem_parcelamento!H:H,Conciliacao!A272)*(-1)</f>
        <v/>
      </c>
      <c r="K272" s="4">
        <f>SUMIFS(df_blueme_com_parcelamento!J:J,df_blueme_com_parcelamento!M:M,Conciliacao!A272)*(-1)</f>
        <v/>
      </c>
      <c r="L272" s="4">
        <f>SUMIFS(df_mutuos!N:N,df_mutuos!B:B,Conciliacao!A272)*(-1)</f>
        <v/>
      </c>
      <c r="M272" s="8">
        <f>SUMIFS(df_bloqueios_judiciais!G:G,df_bloqueios_judiciais!D:D,Conciliacao!A272,df_bloqueios_judiciais!G:G,"&lt;0")</f>
        <v/>
      </c>
      <c r="N272" s="10">
        <f>SUMIFS(df_extratos!I:I,df_extratos!F:F,Conciliacao!BE272,df_extratos!G:G,"DEBITO")+SUMIFS(df_extratos!I:I,df_extratos!F:F,Conciliacao!A272,df_extratos!G:G,"DEBITO")+SUMIFS(df_extratos!I:I,df_extratos!F:F,Conciliacao!BF272,df_extratos!G:G,"DEBITO")+SUMIFS(df_extratos!I:I,df_extratos!F:F,Conciliacao!BG272,df_extratos!G:G,"DEBITO")+SUMIFS(df_extratos!I:I,df_extratos!F:F,Conciliacao!BH272,df_extratos!G:G,"DEBITO")</f>
        <v/>
      </c>
      <c r="O272" s="11">
        <f>N272-SUM(J272:M272)</f>
        <v/>
      </c>
      <c r="P272" s="25">
        <f>SUMIFS(df_ajustes_conciliaco!D:D,df_ajustes_conciliaco!C:C,Conciliacao!A272)</f>
        <v/>
      </c>
      <c r="Q272" s="22">
        <f>O272+I272-P272</f>
        <v/>
      </c>
      <c r="BE272" s="20" t="n">
        <v>45928.5</v>
      </c>
      <c r="BF272" s="20" t="n">
        <v>45928.125</v>
      </c>
      <c r="BG272" s="20" t="n">
        <v>45928.54166666666</v>
      </c>
      <c r="BH272" s="20" t="n">
        <v>45928.625</v>
      </c>
    </row>
    <row r="273">
      <c r="A273" s="5">
        <f>A272+1</f>
        <v/>
      </c>
      <c r="B273" s="3">
        <f>-SUMIFS(df_extrato_zig!G:G,df_extrato_zig!E:E,Conciliacao!A273,df_extrato_zig!D:D,"Saque")-SUMIFS(df_extrato_zig!G:G,df_extrato_zig!E:E,Conciliacao!A273,df_extrato_zig!D:D,"Antecipação")</f>
        <v/>
      </c>
      <c r="C273" s="3">
        <f>SUMIFS(df_extrato_zig!E:E,df_extrato_zig!L:L,Conciliacao!A273,df_extrato_zig!F:F,"DINHEIRO")</f>
        <v/>
      </c>
      <c r="D273" s="3">
        <f>SUMIFS(view_parc_agrup!H:H,view_parc_agrup!G:G,Conciliacao!A273)</f>
        <v/>
      </c>
      <c r="E273" s="3">
        <f>SUMIFS(df_eventos!F:F,df_eventos!H:H,Conciliacao!A273)</f>
        <v/>
      </c>
      <c r="F273" s="3">
        <f>SUMIFS(df_mutuos!M:M,df_mutuos!B:B,Conciliacao!A273)</f>
        <v/>
      </c>
      <c r="G273" s="6">
        <f>SUMIFS(df_bloqueios_judiciais!G:G,df_bloqueios_judiciais!D:D,Conciliacao!A273,df_bloqueios_judiciais!G:G,"&gt;0")</f>
        <v/>
      </c>
      <c r="H273" s="7">
        <f>SUMIFS(df_extratos!I:I,df_extratos!F:F,Conciliacao!BE273,df_extratos!G:G,"CREDITO")+SUMIFS(df_extratos!I:I,df_extratos!F:F,Conciliacao!A273,df_extratos!G:G,"CREDITO")+SUMIFS(df_extratos!I:I,df_extratos!F:F,Conciliacao!BF273,df_extratos!G:G,"CREDITO")+SUMIFS(df_extratos!I:I,df_extratos!F:F,Conciliacao!BG273,df_extratos!G:G,"CREDITO")+SUMIFS(df_extratos!I:I,df_extratos!F:F,Conciliacao!BH273,df_extratos!G:G,"CREDITO")</f>
        <v/>
      </c>
      <c r="I273" s="9">
        <f>H273-SUM(B273:G273)</f>
        <v/>
      </c>
      <c r="J273" s="4">
        <f>SUMIFS(df_blueme_sem_parcelamento!E:E,df_blueme_sem_parcelamento!H:H,Conciliacao!A273)*(-1)</f>
        <v/>
      </c>
      <c r="K273" s="4">
        <f>SUMIFS(df_blueme_com_parcelamento!J:J,df_blueme_com_parcelamento!M:M,Conciliacao!A273)*(-1)</f>
        <v/>
      </c>
      <c r="L273" s="4">
        <f>SUMIFS(df_mutuos!N:N,df_mutuos!B:B,Conciliacao!A273)*(-1)</f>
        <v/>
      </c>
      <c r="M273" s="8">
        <f>SUMIFS(df_bloqueios_judiciais!G:G,df_bloqueios_judiciais!D:D,Conciliacao!A273,df_bloqueios_judiciais!G:G,"&lt;0")</f>
        <v/>
      </c>
      <c r="N273" s="10">
        <f>SUMIFS(df_extratos!I:I,df_extratos!F:F,Conciliacao!BE273,df_extratos!G:G,"DEBITO")+SUMIFS(df_extratos!I:I,df_extratos!F:F,Conciliacao!A273,df_extratos!G:G,"DEBITO")+SUMIFS(df_extratos!I:I,df_extratos!F:F,Conciliacao!BF273,df_extratos!G:G,"DEBITO")+SUMIFS(df_extratos!I:I,df_extratos!F:F,Conciliacao!BG273,df_extratos!G:G,"DEBITO")+SUMIFS(df_extratos!I:I,df_extratos!F:F,Conciliacao!BH273,df_extratos!G:G,"DEBITO")</f>
        <v/>
      </c>
      <c r="O273" s="11">
        <f>N273-SUM(J273:M273)</f>
        <v/>
      </c>
      <c r="P273" s="25">
        <f>SUMIFS(df_ajustes_conciliaco!D:D,df_ajustes_conciliaco!C:C,Conciliacao!A273)</f>
        <v/>
      </c>
      <c r="Q273" s="22">
        <f>O273+I273-P273</f>
        <v/>
      </c>
      <c r="BE273" s="20" t="n">
        <v>45929.5</v>
      </c>
      <c r="BF273" s="20" t="n">
        <v>45929.125</v>
      </c>
      <c r="BG273" s="20" t="n">
        <v>45929.54166666666</v>
      </c>
      <c r="BH273" s="20" t="n">
        <v>45929.625</v>
      </c>
    </row>
    <row r="274">
      <c r="A274" s="5">
        <f>A273+1</f>
        <v/>
      </c>
      <c r="B274" s="3">
        <f>-SUMIFS(df_extrato_zig!G:G,df_extrato_zig!E:E,Conciliacao!A274,df_extrato_zig!D:D,"Saque")-SUMIFS(df_extrato_zig!G:G,df_extrato_zig!E:E,Conciliacao!A274,df_extrato_zig!D:D,"Antecipação")</f>
        <v/>
      </c>
      <c r="C274" s="3">
        <f>SUMIFS(df_extrato_zig!E:E,df_extrato_zig!L:L,Conciliacao!A274,df_extrato_zig!F:F,"DINHEIRO")</f>
        <v/>
      </c>
      <c r="D274" s="3">
        <f>SUMIFS(view_parc_agrup!H:H,view_parc_agrup!G:G,Conciliacao!A274)</f>
        <v/>
      </c>
      <c r="E274" s="3">
        <f>SUMIFS(df_eventos!F:F,df_eventos!H:H,Conciliacao!A274)</f>
        <v/>
      </c>
      <c r="F274" s="3">
        <f>SUMIFS(df_mutuos!M:M,df_mutuos!B:B,Conciliacao!A274)</f>
        <v/>
      </c>
      <c r="G274" s="6">
        <f>SUMIFS(df_bloqueios_judiciais!G:G,df_bloqueios_judiciais!D:D,Conciliacao!A274,df_bloqueios_judiciais!G:G,"&gt;0")</f>
        <v/>
      </c>
      <c r="H274" s="7">
        <f>SUMIFS(df_extratos!I:I,df_extratos!F:F,Conciliacao!BE274,df_extratos!G:G,"CREDITO")+SUMIFS(df_extratos!I:I,df_extratos!F:F,Conciliacao!A274,df_extratos!G:G,"CREDITO")+SUMIFS(df_extratos!I:I,df_extratos!F:F,Conciliacao!BF274,df_extratos!G:G,"CREDITO")+SUMIFS(df_extratos!I:I,df_extratos!F:F,Conciliacao!BG274,df_extratos!G:G,"CREDITO")+SUMIFS(df_extratos!I:I,df_extratos!F:F,Conciliacao!BH274,df_extratos!G:G,"CREDITO")</f>
        <v/>
      </c>
      <c r="I274" s="9">
        <f>H274-SUM(B274:G274)</f>
        <v/>
      </c>
      <c r="J274" s="4">
        <f>SUMIFS(df_blueme_sem_parcelamento!E:E,df_blueme_sem_parcelamento!H:H,Conciliacao!A274)*(-1)</f>
        <v/>
      </c>
      <c r="K274" s="4">
        <f>SUMIFS(df_blueme_com_parcelamento!J:J,df_blueme_com_parcelamento!M:M,Conciliacao!A274)*(-1)</f>
        <v/>
      </c>
      <c r="L274" s="4">
        <f>SUMIFS(df_mutuos!N:N,df_mutuos!B:B,Conciliacao!A274)*(-1)</f>
        <v/>
      </c>
      <c r="M274" s="8">
        <f>SUMIFS(df_bloqueios_judiciais!G:G,df_bloqueios_judiciais!D:D,Conciliacao!A274,df_bloqueios_judiciais!G:G,"&lt;0")</f>
        <v/>
      </c>
      <c r="N274" s="10">
        <f>SUMIFS(df_extratos!I:I,df_extratos!F:F,Conciliacao!BE274,df_extratos!G:G,"DEBITO")+SUMIFS(df_extratos!I:I,df_extratos!F:F,Conciliacao!A274,df_extratos!G:G,"DEBITO")+SUMIFS(df_extratos!I:I,df_extratos!F:F,Conciliacao!BF274,df_extratos!G:G,"DEBITO")+SUMIFS(df_extratos!I:I,df_extratos!F:F,Conciliacao!BG274,df_extratos!G:G,"DEBITO")+SUMIFS(df_extratos!I:I,df_extratos!F:F,Conciliacao!BH274,df_extratos!G:G,"DEBITO")</f>
        <v/>
      </c>
      <c r="O274" s="11">
        <f>N274-SUM(J274:M274)</f>
        <v/>
      </c>
      <c r="P274" s="25">
        <f>SUMIFS(df_ajustes_conciliaco!D:D,df_ajustes_conciliaco!C:C,Conciliacao!A274)</f>
        <v/>
      </c>
      <c r="Q274" s="22">
        <f>O274+I274-P274</f>
        <v/>
      </c>
      <c r="BE274" s="20" t="n">
        <v>45930.5</v>
      </c>
      <c r="BF274" s="20" t="n">
        <v>45930.125</v>
      </c>
      <c r="BG274" s="20" t="n">
        <v>45930.54166666666</v>
      </c>
      <c r="BH274" s="20" t="n">
        <v>45930.625</v>
      </c>
    </row>
    <row r="275">
      <c r="A275" s="5">
        <f>A274+1</f>
        <v/>
      </c>
      <c r="B275" s="3">
        <f>-SUMIFS(df_extrato_zig!G:G,df_extrato_zig!E:E,Conciliacao!A275,df_extrato_zig!D:D,"Saque")-SUMIFS(df_extrato_zig!G:G,df_extrato_zig!E:E,Conciliacao!A275,df_extrato_zig!D:D,"Antecipação")</f>
        <v/>
      </c>
      <c r="C275" s="3">
        <f>SUMIFS(df_extrato_zig!E:E,df_extrato_zig!L:L,Conciliacao!A275,df_extrato_zig!F:F,"DINHEIRO")</f>
        <v/>
      </c>
      <c r="D275" s="3">
        <f>SUMIFS(view_parc_agrup!H:H,view_parc_agrup!G:G,Conciliacao!A275)</f>
        <v/>
      </c>
      <c r="E275" s="3">
        <f>SUMIFS(df_eventos!F:F,df_eventos!H:H,Conciliacao!A275)</f>
        <v/>
      </c>
      <c r="F275" s="3">
        <f>SUMIFS(df_mutuos!M:M,df_mutuos!B:B,Conciliacao!A275)</f>
        <v/>
      </c>
      <c r="G275" s="6">
        <f>SUMIFS(df_bloqueios_judiciais!G:G,df_bloqueios_judiciais!D:D,Conciliacao!A275,df_bloqueios_judiciais!G:G,"&gt;0")</f>
        <v/>
      </c>
      <c r="H275" s="7">
        <f>SUMIFS(df_extratos!I:I,df_extratos!F:F,Conciliacao!BE275,df_extratos!G:G,"CREDITO")+SUMIFS(df_extratos!I:I,df_extratos!F:F,Conciliacao!A275,df_extratos!G:G,"CREDITO")+SUMIFS(df_extratos!I:I,df_extratos!F:F,Conciliacao!BF275,df_extratos!G:G,"CREDITO")+SUMIFS(df_extratos!I:I,df_extratos!F:F,Conciliacao!BG275,df_extratos!G:G,"CREDITO")+SUMIFS(df_extratos!I:I,df_extratos!F:F,Conciliacao!BH275,df_extratos!G:G,"CREDITO")</f>
        <v/>
      </c>
      <c r="I275" s="9">
        <f>H275-SUM(B275:G275)</f>
        <v/>
      </c>
      <c r="J275" s="4">
        <f>SUMIFS(df_blueme_sem_parcelamento!E:E,df_blueme_sem_parcelamento!H:H,Conciliacao!A275)*(-1)</f>
        <v/>
      </c>
      <c r="K275" s="4">
        <f>SUMIFS(df_blueme_com_parcelamento!J:J,df_blueme_com_parcelamento!M:M,Conciliacao!A275)*(-1)</f>
        <v/>
      </c>
      <c r="L275" s="4">
        <f>SUMIFS(df_mutuos!N:N,df_mutuos!B:B,Conciliacao!A275)*(-1)</f>
        <v/>
      </c>
      <c r="M275" s="8">
        <f>SUMIFS(df_bloqueios_judiciais!G:G,df_bloqueios_judiciais!D:D,Conciliacao!A275,df_bloqueios_judiciais!G:G,"&lt;0")</f>
        <v/>
      </c>
      <c r="N275" s="10">
        <f>SUMIFS(df_extratos!I:I,df_extratos!F:F,Conciliacao!BE275,df_extratos!G:G,"DEBITO")+SUMIFS(df_extratos!I:I,df_extratos!F:F,Conciliacao!A275,df_extratos!G:G,"DEBITO")+SUMIFS(df_extratos!I:I,df_extratos!F:F,Conciliacao!BF275,df_extratos!G:G,"DEBITO")+SUMIFS(df_extratos!I:I,df_extratos!F:F,Conciliacao!BG275,df_extratos!G:G,"DEBITO")+SUMIFS(df_extratos!I:I,df_extratos!F:F,Conciliacao!BH275,df_extratos!G:G,"DEBITO")</f>
        <v/>
      </c>
      <c r="O275" s="11">
        <f>N275-SUM(J275:M275)</f>
        <v/>
      </c>
      <c r="P275" s="25">
        <f>SUMIFS(df_ajustes_conciliaco!D:D,df_ajustes_conciliaco!C:C,Conciliacao!A275)</f>
        <v/>
      </c>
      <c r="Q275" s="22">
        <f>O275+I275-P275</f>
        <v/>
      </c>
      <c r="BE275" s="20" t="n">
        <v>45931.5</v>
      </c>
      <c r="BF275" s="20" t="n">
        <v>45931.125</v>
      </c>
      <c r="BG275" s="20" t="n">
        <v>45931.54166666666</v>
      </c>
      <c r="BH275" s="20" t="n">
        <v>45931.625</v>
      </c>
    </row>
    <row r="276">
      <c r="A276" s="5">
        <f>A275+1</f>
        <v/>
      </c>
      <c r="B276" s="3">
        <f>-SUMIFS(df_extrato_zig!G:G,df_extrato_zig!E:E,Conciliacao!A276,df_extrato_zig!D:D,"Saque")-SUMIFS(df_extrato_zig!G:G,df_extrato_zig!E:E,Conciliacao!A276,df_extrato_zig!D:D,"Antecipação")</f>
        <v/>
      </c>
      <c r="C276" s="3">
        <f>SUMIFS(df_extrato_zig!E:E,df_extrato_zig!L:L,Conciliacao!A276,df_extrato_zig!F:F,"DINHEIRO")</f>
        <v/>
      </c>
      <c r="D276" s="3">
        <f>SUMIFS(view_parc_agrup!H:H,view_parc_agrup!G:G,Conciliacao!A276)</f>
        <v/>
      </c>
      <c r="E276" s="3">
        <f>SUMIFS(df_eventos!F:F,df_eventos!H:H,Conciliacao!A276)</f>
        <v/>
      </c>
      <c r="F276" s="3">
        <f>SUMIFS(df_mutuos!M:M,df_mutuos!B:B,Conciliacao!A276)</f>
        <v/>
      </c>
      <c r="G276" s="6">
        <f>SUMIFS(df_bloqueios_judiciais!G:G,df_bloqueios_judiciais!D:D,Conciliacao!A276,df_bloqueios_judiciais!G:G,"&gt;0")</f>
        <v/>
      </c>
      <c r="H276" s="7">
        <f>SUMIFS(df_extratos!I:I,df_extratos!F:F,Conciliacao!BE276,df_extratos!G:G,"CREDITO")+SUMIFS(df_extratos!I:I,df_extratos!F:F,Conciliacao!A276,df_extratos!G:G,"CREDITO")+SUMIFS(df_extratos!I:I,df_extratos!F:F,Conciliacao!BF276,df_extratos!G:G,"CREDITO")+SUMIFS(df_extratos!I:I,df_extratos!F:F,Conciliacao!BG276,df_extratos!G:G,"CREDITO")+SUMIFS(df_extratos!I:I,df_extratos!F:F,Conciliacao!BH276,df_extratos!G:G,"CREDITO")</f>
        <v/>
      </c>
      <c r="I276" s="9">
        <f>H276-SUM(B276:G276)</f>
        <v/>
      </c>
      <c r="J276" s="4">
        <f>SUMIFS(df_blueme_sem_parcelamento!E:E,df_blueme_sem_parcelamento!H:H,Conciliacao!A276)*(-1)</f>
        <v/>
      </c>
      <c r="K276" s="4">
        <f>SUMIFS(df_blueme_com_parcelamento!J:J,df_blueme_com_parcelamento!M:M,Conciliacao!A276)*(-1)</f>
        <v/>
      </c>
      <c r="L276" s="4">
        <f>SUMIFS(df_mutuos!N:N,df_mutuos!B:B,Conciliacao!A276)*(-1)</f>
        <v/>
      </c>
      <c r="M276" s="8">
        <f>SUMIFS(df_bloqueios_judiciais!G:G,df_bloqueios_judiciais!D:D,Conciliacao!A276,df_bloqueios_judiciais!G:G,"&lt;0")</f>
        <v/>
      </c>
      <c r="N276" s="10">
        <f>SUMIFS(df_extratos!I:I,df_extratos!F:F,Conciliacao!BE276,df_extratos!G:G,"DEBITO")+SUMIFS(df_extratos!I:I,df_extratos!F:F,Conciliacao!A276,df_extratos!G:G,"DEBITO")+SUMIFS(df_extratos!I:I,df_extratos!F:F,Conciliacao!BF276,df_extratos!G:G,"DEBITO")+SUMIFS(df_extratos!I:I,df_extratos!F:F,Conciliacao!BG276,df_extratos!G:G,"DEBITO")+SUMIFS(df_extratos!I:I,df_extratos!F:F,Conciliacao!BH276,df_extratos!G:G,"DEBITO")</f>
        <v/>
      </c>
      <c r="O276" s="11">
        <f>N276-SUM(J276:M276)</f>
        <v/>
      </c>
      <c r="P276" s="25">
        <f>SUMIFS(df_ajustes_conciliaco!D:D,df_ajustes_conciliaco!C:C,Conciliacao!A276)</f>
        <v/>
      </c>
      <c r="Q276" s="22">
        <f>O276+I276-P276</f>
        <v/>
      </c>
      <c r="BE276" s="20" t="n">
        <v>45932.5</v>
      </c>
      <c r="BF276" s="20" t="n">
        <v>45932.125</v>
      </c>
      <c r="BG276" s="20" t="n">
        <v>45932.54166666666</v>
      </c>
      <c r="BH276" s="20" t="n">
        <v>45932.625</v>
      </c>
    </row>
    <row r="277">
      <c r="A277" s="5">
        <f>A276+1</f>
        <v/>
      </c>
      <c r="B277" s="3">
        <f>-SUMIFS(df_extrato_zig!G:G,df_extrato_zig!E:E,Conciliacao!A277,df_extrato_zig!D:D,"Saque")-SUMIFS(df_extrato_zig!G:G,df_extrato_zig!E:E,Conciliacao!A277,df_extrato_zig!D:D,"Antecipação")</f>
        <v/>
      </c>
      <c r="C277" s="3">
        <f>SUMIFS(df_extrato_zig!E:E,df_extrato_zig!L:L,Conciliacao!A277,df_extrato_zig!F:F,"DINHEIRO")</f>
        <v/>
      </c>
      <c r="D277" s="3">
        <f>SUMIFS(view_parc_agrup!H:H,view_parc_agrup!G:G,Conciliacao!A277)</f>
        <v/>
      </c>
      <c r="E277" s="3">
        <f>SUMIFS(df_eventos!F:F,df_eventos!H:H,Conciliacao!A277)</f>
        <v/>
      </c>
      <c r="F277" s="3">
        <f>SUMIFS(df_mutuos!M:M,df_mutuos!B:B,Conciliacao!A277)</f>
        <v/>
      </c>
      <c r="G277" s="6">
        <f>SUMIFS(df_bloqueios_judiciais!G:G,df_bloqueios_judiciais!D:D,Conciliacao!A277,df_bloqueios_judiciais!G:G,"&gt;0")</f>
        <v/>
      </c>
      <c r="H277" s="7">
        <f>SUMIFS(df_extratos!I:I,df_extratos!F:F,Conciliacao!BE277,df_extratos!G:G,"CREDITO")+SUMIFS(df_extratos!I:I,df_extratos!F:F,Conciliacao!A277,df_extratos!G:G,"CREDITO")+SUMIFS(df_extratos!I:I,df_extratos!F:F,Conciliacao!BF277,df_extratos!G:G,"CREDITO")+SUMIFS(df_extratos!I:I,df_extratos!F:F,Conciliacao!BG277,df_extratos!G:G,"CREDITO")+SUMIFS(df_extratos!I:I,df_extratos!F:F,Conciliacao!BH277,df_extratos!G:G,"CREDITO")</f>
        <v/>
      </c>
      <c r="I277" s="9">
        <f>H277-SUM(B277:G277)</f>
        <v/>
      </c>
      <c r="J277" s="4">
        <f>SUMIFS(df_blueme_sem_parcelamento!E:E,df_blueme_sem_parcelamento!H:H,Conciliacao!A277)*(-1)</f>
        <v/>
      </c>
      <c r="K277" s="4">
        <f>SUMIFS(df_blueme_com_parcelamento!J:J,df_blueme_com_parcelamento!M:M,Conciliacao!A277)*(-1)</f>
        <v/>
      </c>
      <c r="L277" s="4">
        <f>SUMIFS(df_mutuos!N:N,df_mutuos!B:B,Conciliacao!A277)*(-1)</f>
        <v/>
      </c>
      <c r="M277" s="8">
        <f>SUMIFS(df_bloqueios_judiciais!G:G,df_bloqueios_judiciais!D:D,Conciliacao!A277,df_bloqueios_judiciais!G:G,"&lt;0")</f>
        <v/>
      </c>
      <c r="N277" s="10">
        <f>SUMIFS(df_extratos!I:I,df_extratos!F:F,Conciliacao!BE277,df_extratos!G:G,"DEBITO")+SUMIFS(df_extratos!I:I,df_extratos!F:F,Conciliacao!A277,df_extratos!G:G,"DEBITO")+SUMIFS(df_extratos!I:I,df_extratos!F:F,Conciliacao!BF277,df_extratos!G:G,"DEBITO")+SUMIFS(df_extratos!I:I,df_extratos!F:F,Conciliacao!BG277,df_extratos!G:G,"DEBITO")+SUMIFS(df_extratos!I:I,df_extratos!F:F,Conciliacao!BH277,df_extratos!G:G,"DEBITO")</f>
        <v/>
      </c>
      <c r="O277" s="11">
        <f>N277-SUM(J277:M277)</f>
        <v/>
      </c>
      <c r="P277" s="25">
        <f>SUMIFS(df_ajustes_conciliaco!D:D,df_ajustes_conciliaco!C:C,Conciliacao!A277)</f>
        <v/>
      </c>
      <c r="Q277" s="22">
        <f>O277+I277-P277</f>
        <v/>
      </c>
      <c r="BE277" s="20" t="n">
        <v>45933.5</v>
      </c>
      <c r="BF277" s="20" t="n">
        <v>45933.125</v>
      </c>
      <c r="BG277" s="20" t="n">
        <v>45933.54166666666</v>
      </c>
      <c r="BH277" s="20" t="n">
        <v>45933.625</v>
      </c>
    </row>
    <row r="278">
      <c r="A278" s="5">
        <f>A277+1</f>
        <v/>
      </c>
      <c r="B278" s="3">
        <f>-SUMIFS(df_extrato_zig!G:G,df_extrato_zig!E:E,Conciliacao!A278,df_extrato_zig!D:D,"Saque")-SUMIFS(df_extrato_zig!G:G,df_extrato_zig!E:E,Conciliacao!A278,df_extrato_zig!D:D,"Antecipação")</f>
        <v/>
      </c>
      <c r="C278" s="3">
        <f>SUMIFS(df_extrato_zig!E:E,df_extrato_zig!L:L,Conciliacao!A278,df_extrato_zig!F:F,"DINHEIRO")</f>
        <v/>
      </c>
      <c r="D278" s="3">
        <f>SUMIFS(view_parc_agrup!H:H,view_parc_agrup!G:G,Conciliacao!A278)</f>
        <v/>
      </c>
      <c r="E278" s="3">
        <f>SUMIFS(df_eventos!F:F,df_eventos!H:H,Conciliacao!A278)</f>
        <v/>
      </c>
      <c r="F278" s="3">
        <f>SUMIFS(df_mutuos!M:M,df_mutuos!B:B,Conciliacao!A278)</f>
        <v/>
      </c>
      <c r="G278" s="6">
        <f>SUMIFS(df_bloqueios_judiciais!G:G,df_bloqueios_judiciais!D:D,Conciliacao!A278,df_bloqueios_judiciais!G:G,"&gt;0")</f>
        <v/>
      </c>
      <c r="H278" s="7">
        <f>SUMIFS(df_extratos!I:I,df_extratos!F:F,Conciliacao!BE278,df_extratos!G:G,"CREDITO")+SUMIFS(df_extratos!I:I,df_extratos!F:F,Conciliacao!A278,df_extratos!G:G,"CREDITO")+SUMIFS(df_extratos!I:I,df_extratos!F:F,Conciliacao!BF278,df_extratos!G:G,"CREDITO")+SUMIFS(df_extratos!I:I,df_extratos!F:F,Conciliacao!BG278,df_extratos!G:G,"CREDITO")+SUMIFS(df_extratos!I:I,df_extratos!F:F,Conciliacao!BH278,df_extratos!G:G,"CREDITO")</f>
        <v/>
      </c>
      <c r="I278" s="9">
        <f>H278-SUM(B278:G278)</f>
        <v/>
      </c>
      <c r="J278" s="4">
        <f>SUMIFS(df_blueme_sem_parcelamento!E:E,df_blueme_sem_parcelamento!H:H,Conciliacao!A278)*(-1)</f>
        <v/>
      </c>
      <c r="K278" s="4">
        <f>SUMIFS(df_blueme_com_parcelamento!J:J,df_blueme_com_parcelamento!M:M,Conciliacao!A278)*(-1)</f>
        <v/>
      </c>
      <c r="L278" s="4">
        <f>SUMIFS(df_mutuos!N:N,df_mutuos!B:B,Conciliacao!A278)*(-1)</f>
        <v/>
      </c>
      <c r="M278" s="8">
        <f>SUMIFS(df_bloqueios_judiciais!G:G,df_bloqueios_judiciais!D:D,Conciliacao!A278,df_bloqueios_judiciais!G:G,"&lt;0")</f>
        <v/>
      </c>
      <c r="N278" s="10">
        <f>SUMIFS(df_extratos!I:I,df_extratos!F:F,Conciliacao!BE278,df_extratos!G:G,"DEBITO")+SUMIFS(df_extratos!I:I,df_extratos!F:F,Conciliacao!A278,df_extratos!G:G,"DEBITO")+SUMIFS(df_extratos!I:I,df_extratos!F:F,Conciliacao!BF278,df_extratos!G:G,"DEBITO")+SUMIFS(df_extratos!I:I,df_extratos!F:F,Conciliacao!BG278,df_extratos!G:G,"DEBITO")+SUMIFS(df_extratos!I:I,df_extratos!F:F,Conciliacao!BH278,df_extratos!G:G,"DEBITO")</f>
        <v/>
      </c>
      <c r="O278" s="11">
        <f>N278-SUM(J278:M278)</f>
        <v/>
      </c>
      <c r="P278" s="25">
        <f>SUMIFS(df_ajustes_conciliaco!D:D,df_ajustes_conciliaco!C:C,Conciliacao!A278)</f>
        <v/>
      </c>
      <c r="Q278" s="22">
        <f>O278+I278-P278</f>
        <v/>
      </c>
      <c r="BE278" s="20" t="n">
        <v>45934.5</v>
      </c>
      <c r="BF278" s="20" t="n">
        <v>45934.125</v>
      </c>
      <c r="BG278" s="20" t="n">
        <v>45934.54166666666</v>
      </c>
      <c r="BH278" s="20" t="n">
        <v>45934.625</v>
      </c>
    </row>
    <row r="279">
      <c r="A279" s="5">
        <f>A278+1</f>
        <v/>
      </c>
      <c r="B279" s="3">
        <f>-SUMIFS(df_extrato_zig!G:G,df_extrato_zig!E:E,Conciliacao!A279,df_extrato_zig!D:D,"Saque")-SUMIFS(df_extrato_zig!G:G,df_extrato_zig!E:E,Conciliacao!A279,df_extrato_zig!D:D,"Antecipação")</f>
        <v/>
      </c>
      <c r="C279" s="3">
        <f>SUMIFS(df_extrato_zig!E:E,df_extrato_zig!L:L,Conciliacao!A279,df_extrato_zig!F:F,"DINHEIRO")</f>
        <v/>
      </c>
      <c r="D279" s="3">
        <f>SUMIFS(view_parc_agrup!H:H,view_parc_agrup!G:G,Conciliacao!A279)</f>
        <v/>
      </c>
      <c r="E279" s="3">
        <f>SUMIFS(df_eventos!F:F,df_eventos!H:H,Conciliacao!A279)</f>
        <v/>
      </c>
      <c r="F279" s="3">
        <f>SUMIFS(df_mutuos!M:M,df_mutuos!B:B,Conciliacao!A279)</f>
        <v/>
      </c>
      <c r="G279" s="6">
        <f>SUMIFS(df_bloqueios_judiciais!G:G,df_bloqueios_judiciais!D:D,Conciliacao!A279,df_bloqueios_judiciais!G:G,"&gt;0")</f>
        <v/>
      </c>
      <c r="H279" s="7">
        <f>SUMIFS(df_extratos!I:I,df_extratos!F:F,Conciliacao!BE279,df_extratos!G:G,"CREDITO")+SUMIFS(df_extratos!I:I,df_extratos!F:F,Conciliacao!A279,df_extratos!G:G,"CREDITO")+SUMIFS(df_extratos!I:I,df_extratos!F:F,Conciliacao!BF279,df_extratos!G:G,"CREDITO")+SUMIFS(df_extratos!I:I,df_extratos!F:F,Conciliacao!BG279,df_extratos!G:G,"CREDITO")+SUMIFS(df_extratos!I:I,df_extratos!F:F,Conciliacao!BH279,df_extratos!G:G,"CREDITO")</f>
        <v/>
      </c>
      <c r="I279" s="9">
        <f>H279-SUM(B279:G279)</f>
        <v/>
      </c>
      <c r="J279" s="4">
        <f>SUMIFS(df_blueme_sem_parcelamento!E:E,df_blueme_sem_parcelamento!H:H,Conciliacao!A279)*(-1)</f>
        <v/>
      </c>
      <c r="K279" s="4">
        <f>SUMIFS(df_blueme_com_parcelamento!J:J,df_blueme_com_parcelamento!M:M,Conciliacao!A279)*(-1)</f>
        <v/>
      </c>
      <c r="L279" s="4">
        <f>SUMIFS(df_mutuos!N:N,df_mutuos!B:B,Conciliacao!A279)*(-1)</f>
        <v/>
      </c>
      <c r="M279" s="8">
        <f>SUMIFS(df_bloqueios_judiciais!G:G,df_bloqueios_judiciais!D:D,Conciliacao!A279,df_bloqueios_judiciais!G:G,"&lt;0")</f>
        <v/>
      </c>
      <c r="N279" s="10">
        <f>SUMIFS(df_extratos!I:I,df_extratos!F:F,Conciliacao!BE279,df_extratos!G:G,"DEBITO")+SUMIFS(df_extratos!I:I,df_extratos!F:F,Conciliacao!A279,df_extratos!G:G,"DEBITO")+SUMIFS(df_extratos!I:I,df_extratos!F:F,Conciliacao!BF279,df_extratos!G:G,"DEBITO")+SUMIFS(df_extratos!I:I,df_extratos!F:F,Conciliacao!BG279,df_extratos!G:G,"DEBITO")+SUMIFS(df_extratos!I:I,df_extratos!F:F,Conciliacao!BH279,df_extratos!G:G,"DEBITO")</f>
        <v/>
      </c>
      <c r="O279" s="11">
        <f>N279-SUM(J279:M279)</f>
        <v/>
      </c>
      <c r="P279" s="25">
        <f>SUMIFS(df_ajustes_conciliaco!D:D,df_ajustes_conciliaco!C:C,Conciliacao!A279)</f>
        <v/>
      </c>
      <c r="Q279" s="22">
        <f>O279+I279-P279</f>
        <v/>
      </c>
      <c r="BE279" s="20" t="n">
        <v>45935.5</v>
      </c>
      <c r="BF279" s="20" t="n">
        <v>45935.125</v>
      </c>
      <c r="BG279" s="20" t="n">
        <v>45935.54166666666</v>
      </c>
      <c r="BH279" s="20" t="n">
        <v>45935.625</v>
      </c>
    </row>
    <row r="280">
      <c r="A280" s="5">
        <f>A279+1</f>
        <v/>
      </c>
      <c r="B280" s="3">
        <f>-SUMIFS(df_extrato_zig!G:G,df_extrato_zig!E:E,Conciliacao!A280,df_extrato_zig!D:D,"Saque")-SUMIFS(df_extrato_zig!G:G,df_extrato_zig!E:E,Conciliacao!A280,df_extrato_zig!D:D,"Antecipação")</f>
        <v/>
      </c>
      <c r="C280" s="3">
        <f>SUMIFS(df_extrato_zig!E:E,df_extrato_zig!L:L,Conciliacao!A280,df_extrato_zig!F:F,"DINHEIRO")</f>
        <v/>
      </c>
      <c r="D280" s="3">
        <f>SUMIFS(view_parc_agrup!H:H,view_parc_agrup!G:G,Conciliacao!A280)</f>
        <v/>
      </c>
      <c r="E280" s="3">
        <f>SUMIFS(df_eventos!F:F,df_eventos!H:H,Conciliacao!A280)</f>
        <v/>
      </c>
      <c r="F280" s="3">
        <f>SUMIFS(df_mutuos!M:M,df_mutuos!B:B,Conciliacao!A280)</f>
        <v/>
      </c>
      <c r="G280" s="6">
        <f>SUMIFS(df_bloqueios_judiciais!G:G,df_bloqueios_judiciais!D:D,Conciliacao!A280,df_bloqueios_judiciais!G:G,"&gt;0")</f>
        <v/>
      </c>
      <c r="H280" s="7">
        <f>SUMIFS(df_extratos!I:I,df_extratos!F:F,Conciliacao!BE280,df_extratos!G:G,"CREDITO")+SUMIFS(df_extratos!I:I,df_extratos!F:F,Conciliacao!A280,df_extratos!G:G,"CREDITO")+SUMIFS(df_extratos!I:I,df_extratos!F:F,Conciliacao!BF280,df_extratos!G:G,"CREDITO")+SUMIFS(df_extratos!I:I,df_extratos!F:F,Conciliacao!BG280,df_extratos!G:G,"CREDITO")+SUMIFS(df_extratos!I:I,df_extratos!F:F,Conciliacao!BH280,df_extratos!G:G,"CREDITO")</f>
        <v/>
      </c>
      <c r="I280" s="9">
        <f>H280-SUM(B280:G280)</f>
        <v/>
      </c>
      <c r="J280" s="4">
        <f>SUMIFS(df_blueme_sem_parcelamento!E:E,df_blueme_sem_parcelamento!H:H,Conciliacao!A280)*(-1)</f>
        <v/>
      </c>
      <c r="K280" s="4">
        <f>SUMIFS(df_blueme_com_parcelamento!J:J,df_blueme_com_parcelamento!M:M,Conciliacao!A280)*(-1)</f>
        <v/>
      </c>
      <c r="L280" s="4">
        <f>SUMIFS(df_mutuos!N:N,df_mutuos!B:B,Conciliacao!A280)*(-1)</f>
        <v/>
      </c>
      <c r="M280" s="8">
        <f>SUMIFS(df_bloqueios_judiciais!G:G,df_bloqueios_judiciais!D:D,Conciliacao!A280,df_bloqueios_judiciais!G:G,"&lt;0")</f>
        <v/>
      </c>
      <c r="N280" s="10">
        <f>SUMIFS(df_extratos!I:I,df_extratos!F:F,Conciliacao!BE280,df_extratos!G:G,"DEBITO")+SUMIFS(df_extratos!I:I,df_extratos!F:F,Conciliacao!A280,df_extratos!G:G,"DEBITO")+SUMIFS(df_extratos!I:I,df_extratos!F:F,Conciliacao!BF280,df_extratos!G:G,"DEBITO")+SUMIFS(df_extratos!I:I,df_extratos!F:F,Conciliacao!BG280,df_extratos!G:G,"DEBITO")+SUMIFS(df_extratos!I:I,df_extratos!F:F,Conciliacao!BH280,df_extratos!G:G,"DEBITO")</f>
        <v/>
      </c>
      <c r="O280" s="11">
        <f>N280-SUM(J280:M280)</f>
        <v/>
      </c>
      <c r="P280" s="25">
        <f>SUMIFS(df_ajustes_conciliaco!D:D,df_ajustes_conciliaco!C:C,Conciliacao!A280)</f>
        <v/>
      </c>
      <c r="Q280" s="22">
        <f>O280+I280-P280</f>
        <v/>
      </c>
      <c r="BE280" s="20" t="n">
        <v>45936.5</v>
      </c>
      <c r="BF280" s="20" t="n">
        <v>45936.125</v>
      </c>
      <c r="BG280" s="20" t="n">
        <v>45936.54166666666</v>
      </c>
      <c r="BH280" s="20" t="n">
        <v>45936.625</v>
      </c>
    </row>
    <row r="281">
      <c r="A281" s="5">
        <f>A280+1</f>
        <v/>
      </c>
      <c r="B281" s="3">
        <f>-SUMIFS(df_extrato_zig!G:G,df_extrato_zig!E:E,Conciliacao!A281,df_extrato_zig!D:D,"Saque")-SUMIFS(df_extrato_zig!G:G,df_extrato_zig!E:E,Conciliacao!A281,df_extrato_zig!D:D,"Antecipação")</f>
        <v/>
      </c>
      <c r="C281" s="3">
        <f>SUMIFS(df_extrato_zig!E:E,df_extrato_zig!L:L,Conciliacao!A281,df_extrato_zig!F:F,"DINHEIRO")</f>
        <v/>
      </c>
      <c r="D281" s="3">
        <f>SUMIFS(view_parc_agrup!H:H,view_parc_agrup!G:G,Conciliacao!A281)</f>
        <v/>
      </c>
      <c r="E281" s="3">
        <f>SUMIFS(df_eventos!F:F,df_eventos!H:H,Conciliacao!A281)</f>
        <v/>
      </c>
      <c r="F281" s="3">
        <f>SUMIFS(df_mutuos!M:M,df_mutuos!B:B,Conciliacao!A281)</f>
        <v/>
      </c>
      <c r="G281" s="6">
        <f>SUMIFS(df_bloqueios_judiciais!G:G,df_bloqueios_judiciais!D:D,Conciliacao!A281,df_bloqueios_judiciais!G:G,"&gt;0")</f>
        <v/>
      </c>
      <c r="H281" s="7">
        <f>SUMIFS(df_extratos!I:I,df_extratos!F:F,Conciliacao!BE281,df_extratos!G:G,"CREDITO")+SUMIFS(df_extratos!I:I,df_extratos!F:F,Conciliacao!A281,df_extratos!G:G,"CREDITO")+SUMIFS(df_extratos!I:I,df_extratos!F:F,Conciliacao!BF281,df_extratos!G:G,"CREDITO")+SUMIFS(df_extratos!I:I,df_extratos!F:F,Conciliacao!BG281,df_extratos!G:G,"CREDITO")+SUMIFS(df_extratos!I:I,df_extratos!F:F,Conciliacao!BH281,df_extratos!G:G,"CREDITO")</f>
        <v/>
      </c>
      <c r="I281" s="9">
        <f>H281-SUM(B281:G281)</f>
        <v/>
      </c>
      <c r="J281" s="4">
        <f>SUMIFS(df_blueme_sem_parcelamento!E:E,df_blueme_sem_parcelamento!H:H,Conciliacao!A281)*(-1)</f>
        <v/>
      </c>
      <c r="K281" s="4">
        <f>SUMIFS(df_blueme_com_parcelamento!J:J,df_blueme_com_parcelamento!M:M,Conciliacao!A281)*(-1)</f>
        <v/>
      </c>
      <c r="L281" s="4">
        <f>SUMIFS(df_mutuos!N:N,df_mutuos!B:B,Conciliacao!A281)*(-1)</f>
        <v/>
      </c>
      <c r="M281" s="8">
        <f>SUMIFS(df_bloqueios_judiciais!G:G,df_bloqueios_judiciais!D:D,Conciliacao!A281,df_bloqueios_judiciais!G:G,"&lt;0")</f>
        <v/>
      </c>
      <c r="N281" s="10">
        <f>SUMIFS(df_extratos!I:I,df_extratos!F:F,Conciliacao!BE281,df_extratos!G:G,"DEBITO")+SUMIFS(df_extratos!I:I,df_extratos!F:F,Conciliacao!A281,df_extratos!G:G,"DEBITO")+SUMIFS(df_extratos!I:I,df_extratos!F:F,Conciliacao!BF281,df_extratos!G:G,"DEBITO")+SUMIFS(df_extratos!I:I,df_extratos!F:F,Conciliacao!BG281,df_extratos!G:G,"DEBITO")+SUMIFS(df_extratos!I:I,df_extratos!F:F,Conciliacao!BH281,df_extratos!G:G,"DEBITO")</f>
        <v/>
      </c>
      <c r="O281" s="11">
        <f>N281-SUM(J281:M281)</f>
        <v/>
      </c>
      <c r="P281" s="25">
        <f>SUMIFS(df_ajustes_conciliaco!D:D,df_ajustes_conciliaco!C:C,Conciliacao!A281)</f>
        <v/>
      </c>
      <c r="Q281" s="22">
        <f>O281+I281-P281</f>
        <v/>
      </c>
      <c r="BE281" s="20" t="n">
        <v>45937.5</v>
      </c>
      <c r="BF281" s="20" t="n">
        <v>45937.125</v>
      </c>
      <c r="BG281" s="20" t="n">
        <v>45937.54166666666</v>
      </c>
      <c r="BH281" s="20" t="n">
        <v>45937.625</v>
      </c>
    </row>
    <row r="282">
      <c r="A282" s="5">
        <f>A281+1</f>
        <v/>
      </c>
      <c r="B282" s="3">
        <f>-SUMIFS(df_extrato_zig!G:G,df_extrato_zig!E:E,Conciliacao!A282,df_extrato_zig!D:D,"Saque")-SUMIFS(df_extrato_zig!G:G,df_extrato_zig!E:E,Conciliacao!A282,df_extrato_zig!D:D,"Antecipação")</f>
        <v/>
      </c>
      <c r="C282" s="3">
        <f>SUMIFS(df_extrato_zig!E:E,df_extrato_zig!L:L,Conciliacao!A282,df_extrato_zig!F:F,"DINHEIRO")</f>
        <v/>
      </c>
      <c r="D282" s="3">
        <f>SUMIFS(view_parc_agrup!H:H,view_parc_agrup!G:G,Conciliacao!A282)</f>
        <v/>
      </c>
      <c r="E282" s="3">
        <f>SUMIFS(df_eventos!F:F,df_eventos!H:H,Conciliacao!A282)</f>
        <v/>
      </c>
      <c r="F282" s="3">
        <f>SUMIFS(df_mutuos!M:M,df_mutuos!B:B,Conciliacao!A282)</f>
        <v/>
      </c>
      <c r="G282" s="6">
        <f>SUMIFS(df_bloqueios_judiciais!G:G,df_bloqueios_judiciais!D:D,Conciliacao!A282,df_bloqueios_judiciais!G:G,"&gt;0")</f>
        <v/>
      </c>
      <c r="H282" s="7">
        <f>SUMIFS(df_extratos!I:I,df_extratos!F:F,Conciliacao!BE282,df_extratos!G:G,"CREDITO")+SUMIFS(df_extratos!I:I,df_extratos!F:F,Conciliacao!A282,df_extratos!G:G,"CREDITO")+SUMIFS(df_extratos!I:I,df_extratos!F:F,Conciliacao!BF282,df_extratos!G:G,"CREDITO")+SUMIFS(df_extratos!I:I,df_extratos!F:F,Conciliacao!BG282,df_extratos!G:G,"CREDITO")+SUMIFS(df_extratos!I:I,df_extratos!F:F,Conciliacao!BH282,df_extratos!G:G,"CREDITO")</f>
        <v/>
      </c>
      <c r="I282" s="9">
        <f>H282-SUM(B282:G282)</f>
        <v/>
      </c>
      <c r="J282" s="4">
        <f>SUMIFS(df_blueme_sem_parcelamento!E:E,df_blueme_sem_parcelamento!H:H,Conciliacao!A282)*(-1)</f>
        <v/>
      </c>
      <c r="K282" s="4">
        <f>SUMIFS(df_blueme_com_parcelamento!J:J,df_blueme_com_parcelamento!M:M,Conciliacao!A282)*(-1)</f>
        <v/>
      </c>
      <c r="L282" s="4">
        <f>SUMIFS(df_mutuos!N:N,df_mutuos!B:B,Conciliacao!A282)*(-1)</f>
        <v/>
      </c>
      <c r="M282" s="8">
        <f>SUMIFS(df_bloqueios_judiciais!G:G,df_bloqueios_judiciais!D:D,Conciliacao!A282,df_bloqueios_judiciais!G:G,"&lt;0")</f>
        <v/>
      </c>
      <c r="N282" s="10">
        <f>SUMIFS(df_extratos!I:I,df_extratos!F:F,Conciliacao!BE282,df_extratos!G:G,"DEBITO")+SUMIFS(df_extratos!I:I,df_extratos!F:F,Conciliacao!A282,df_extratos!G:G,"DEBITO")+SUMIFS(df_extratos!I:I,df_extratos!F:F,Conciliacao!BF282,df_extratos!G:G,"DEBITO")+SUMIFS(df_extratos!I:I,df_extratos!F:F,Conciliacao!BG282,df_extratos!G:G,"DEBITO")+SUMIFS(df_extratos!I:I,df_extratos!F:F,Conciliacao!BH282,df_extratos!G:G,"DEBITO")</f>
        <v/>
      </c>
      <c r="O282" s="11">
        <f>N282-SUM(J282:M282)</f>
        <v/>
      </c>
      <c r="P282" s="25">
        <f>SUMIFS(df_ajustes_conciliaco!D:D,df_ajustes_conciliaco!C:C,Conciliacao!A282)</f>
        <v/>
      </c>
      <c r="Q282" s="22">
        <f>O282+I282-P282</f>
        <v/>
      </c>
      <c r="BE282" s="20" t="n">
        <v>45938.5</v>
      </c>
      <c r="BF282" s="20" t="n">
        <v>45938.125</v>
      </c>
      <c r="BG282" s="20" t="n">
        <v>45938.54166666666</v>
      </c>
      <c r="BH282" s="20" t="n">
        <v>45938.625</v>
      </c>
    </row>
    <row r="283">
      <c r="A283" s="5">
        <f>A282+1</f>
        <v/>
      </c>
      <c r="B283" s="3">
        <f>-SUMIFS(df_extrato_zig!G:G,df_extrato_zig!E:E,Conciliacao!A283,df_extrato_zig!D:D,"Saque")-SUMIFS(df_extrato_zig!G:G,df_extrato_zig!E:E,Conciliacao!A283,df_extrato_zig!D:D,"Antecipação")</f>
        <v/>
      </c>
      <c r="C283" s="3">
        <f>SUMIFS(df_extrato_zig!E:E,df_extrato_zig!L:L,Conciliacao!A283,df_extrato_zig!F:F,"DINHEIRO")</f>
        <v/>
      </c>
      <c r="D283" s="3">
        <f>SUMIFS(view_parc_agrup!H:H,view_parc_agrup!G:G,Conciliacao!A283)</f>
        <v/>
      </c>
      <c r="E283" s="3">
        <f>SUMIFS(df_eventos!F:F,df_eventos!H:H,Conciliacao!A283)</f>
        <v/>
      </c>
      <c r="F283" s="3">
        <f>SUMIFS(df_mutuos!M:M,df_mutuos!B:B,Conciliacao!A283)</f>
        <v/>
      </c>
      <c r="G283" s="6">
        <f>SUMIFS(df_bloqueios_judiciais!G:G,df_bloqueios_judiciais!D:D,Conciliacao!A283,df_bloqueios_judiciais!G:G,"&gt;0")</f>
        <v/>
      </c>
      <c r="H283" s="7">
        <f>SUMIFS(df_extratos!I:I,df_extratos!F:F,Conciliacao!BE283,df_extratos!G:G,"CREDITO")+SUMIFS(df_extratos!I:I,df_extratos!F:F,Conciliacao!A283,df_extratos!G:G,"CREDITO")+SUMIFS(df_extratos!I:I,df_extratos!F:F,Conciliacao!BF283,df_extratos!G:G,"CREDITO")+SUMIFS(df_extratos!I:I,df_extratos!F:F,Conciliacao!BG283,df_extratos!G:G,"CREDITO")+SUMIFS(df_extratos!I:I,df_extratos!F:F,Conciliacao!BH283,df_extratos!G:G,"CREDITO")</f>
        <v/>
      </c>
      <c r="I283" s="9">
        <f>H283-SUM(B283:G283)</f>
        <v/>
      </c>
      <c r="J283" s="4">
        <f>SUMIFS(df_blueme_sem_parcelamento!E:E,df_blueme_sem_parcelamento!H:H,Conciliacao!A283)*(-1)</f>
        <v/>
      </c>
      <c r="K283" s="4">
        <f>SUMIFS(df_blueme_com_parcelamento!J:J,df_blueme_com_parcelamento!M:M,Conciliacao!A283)*(-1)</f>
        <v/>
      </c>
      <c r="L283" s="4">
        <f>SUMIFS(df_mutuos!N:N,df_mutuos!B:B,Conciliacao!A283)*(-1)</f>
        <v/>
      </c>
      <c r="M283" s="8">
        <f>SUMIFS(df_bloqueios_judiciais!G:G,df_bloqueios_judiciais!D:D,Conciliacao!A283,df_bloqueios_judiciais!G:G,"&lt;0")</f>
        <v/>
      </c>
      <c r="N283" s="10">
        <f>SUMIFS(df_extratos!I:I,df_extratos!F:F,Conciliacao!BE283,df_extratos!G:G,"DEBITO")+SUMIFS(df_extratos!I:I,df_extratos!F:F,Conciliacao!A283,df_extratos!G:G,"DEBITO")+SUMIFS(df_extratos!I:I,df_extratos!F:F,Conciliacao!BF283,df_extratos!G:G,"DEBITO")+SUMIFS(df_extratos!I:I,df_extratos!F:F,Conciliacao!BG283,df_extratos!G:G,"DEBITO")+SUMIFS(df_extratos!I:I,df_extratos!F:F,Conciliacao!BH283,df_extratos!G:G,"DEBITO")</f>
        <v/>
      </c>
      <c r="O283" s="11">
        <f>N283-SUM(J283:M283)</f>
        <v/>
      </c>
      <c r="P283" s="25">
        <f>SUMIFS(df_ajustes_conciliaco!D:D,df_ajustes_conciliaco!C:C,Conciliacao!A283)</f>
        <v/>
      </c>
      <c r="Q283" s="22">
        <f>O283+I283-P283</f>
        <v/>
      </c>
      <c r="BE283" s="20" t="n">
        <v>45939.5</v>
      </c>
      <c r="BF283" s="20" t="n">
        <v>45939.125</v>
      </c>
      <c r="BG283" s="20" t="n">
        <v>45939.54166666666</v>
      </c>
      <c r="BH283" s="20" t="n">
        <v>45939.625</v>
      </c>
    </row>
    <row r="284">
      <c r="A284" s="5">
        <f>A283+1</f>
        <v/>
      </c>
      <c r="B284" s="3">
        <f>-SUMIFS(df_extrato_zig!G:G,df_extrato_zig!E:E,Conciliacao!A284,df_extrato_zig!D:D,"Saque")-SUMIFS(df_extrato_zig!G:G,df_extrato_zig!E:E,Conciliacao!A284,df_extrato_zig!D:D,"Antecipação")</f>
        <v/>
      </c>
      <c r="C284" s="3">
        <f>SUMIFS(df_extrato_zig!E:E,df_extrato_zig!L:L,Conciliacao!A284,df_extrato_zig!F:F,"DINHEIRO")</f>
        <v/>
      </c>
      <c r="D284" s="3">
        <f>SUMIFS(view_parc_agrup!H:H,view_parc_agrup!G:G,Conciliacao!A284)</f>
        <v/>
      </c>
      <c r="E284" s="3">
        <f>SUMIFS(df_eventos!F:F,df_eventos!H:H,Conciliacao!A284)</f>
        <v/>
      </c>
      <c r="F284" s="3">
        <f>SUMIFS(df_mutuos!M:M,df_mutuos!B:B,Conciliacao!A284)</f>
        <v/>
      </c>
      <c r="G284" s="6">
        <f>SUMIFS(df_bloqueios_judiciais!G:G,df_bloqueios_judiciais!D:D,Conciliacao!A284,df_bloqueios_judiciais!G:G,"&gt;0")</f>
        <v/>
      </c>
      <c r="H284" s="7">
        <f>SUMIFS(df_extratos!I:I,df_extratos!F:F,Conciliacao!BE284,df_extratos!G:G,"CREDITO")+SUMIFS(df_extratos!I:I,df_extratos!F:F,Conciliacao!A284,df_extratos!G:G,"CREDITO")+SUMIFS(df_extratos!I:I,df_extratos!F:F,Conciliacao!BF284,df_extratos!G:G,"CREDITO")+SUMIFS(df_extratos!I:I,df_extratos!F:F,Conciliacao!BG284,df_extratos!G:G,"CREDITO")+SUMIFS(df_extratos!I:I,df_extratos!F:F,Conciliacao!BH284,df_extratos!G:G,"CREDITO")</f>
        <v/>
      </c>
      <c r="I284" s="9">
        <f>H284-SUM(B284:G284)</f>
        <v/>
      </c>
      <c r="J284" s="4">
        <f>SUMIFS(df_blueme_sem_parcelamento!E:E,df_blueme_sem_parcelamento!H:H,Conciliacao!A284)*(-1)</f>
        <v/>
      </c>
      <c r="K284" s="4">
        <f>SUMIFS(df_blueme_com_parcelamento!J:J,df_blueme_com_parcelamento!M:M,Conciliacao!A284)*(-1)</f>
        <v/>
      </c>
      <c r="L284" s="4">
        <f>SUMIFS(df_mutuos!N:N,df_mutuos!B:B,Conciliacao!A284)*(-1)</f>
        <v/>
      </c>
      <c r="M284" s="8">
        <f>SUMIFS(df_bloqueios_judiciais!G:G,df_bloqueios_judiciais!D:D,Conciliacao!A284,df_bloqueios_judiciais!G:G,"&lt;0")</f>
        <v/>
      </c>
      <c r="N284" s="10">
        <f>SUMIFS(df_extratos!I:I,df_extratos!F:F,Conciliacao!BE284,df_extratos!G:G,"DEBITO")+SUMIFS(df_extratos!I:I,df_extratos!F:F,Conciliacao!A284,df_extratos!G:G,"DEBITO")+SUMIFS(df_extratos!I:I,df_extratos!F:F,Conciliacao!BF284,df_extratos!G:G,"DEBITO")+SUMIFS(df_extratos!I:I,df_extratos!F:F,Conciliacao!BG284,df_extratos!G:G,"DEBITO")+SUMIFS(df_extratos!I:I,df_extratos!F:F,Conciliacao!BH284,df_extratos!G:G,"DEBITO")</f>
        <v/>
      </c>
      <c r="O284" s="11">
        <f>N284-SUM(J284:M284)</f>
        <v/>
      </c>
      <c r="P284" s="25">
        <f>SUMIFS(df_ajustes_conciliaco!D:D,df_ajustes_conciliaco!C:C,Conciliacao!A284)</f>
        <v/>
      </c>
      <c r="Q284" s="22">
        <f>O284+I284-P284</f>
        <v/>
      </c>
      <c r="BE284" s="20" t="n">
        <v>45940.5</v>
      </c>
      <c r="BF284" s="20" t="n">
        <v>45940.125</v>
      </c>
      <c r="BG284" s="20" t="n">
        <v>45940.54166666666</v>
      </c>
      <c r="BH284" s="20" t="n">
        <v>45940.625</v>
      </c>
    </row>
    <row r="285">
      <c r="A285" s="5">
        <f>A284+1</f>
        <v/>
      </c>
      <c r="B285" s="3">
        <f>-SUMIFS(df_extrato_zig!G:G,df_extrato_zig!E:E,Conciliacao!A285,df_extrato_zig!D:D,"Saque")-SUMIFS(df_extrato_zig!G:G,df_extrato_zig!E:E,Conciliacao!A285,df_extrato_zig!D:D,"Antecipação")</f>
        <v/>
      </c>
      <c r="C285" s="3">
        <f>SUMIFS(df_extrato_zig!E:E,df_extrato_zig!L:L,Conciliacao!A285,df_extrato_zig!F:F,"DINHEIRO")</f>
        <v/>
      </c>
      <c r="D285" s="3">
        <f>SUMIFS(view_parc_agrup!H:H,view_parc_agrup!G:G,Conciliacao!A285)</f>
        <v/>
      </c>
      <c r="E285" s="3">
        <f>SUMIFS(df_eventos!F:F,df_eventos!H:H,Conciliacao!A285)</f>
        <v/>
      </c>
      <c r="F285" s="3">
        <f>SUMIFS(df_mutuos!M:M,df_mutuos!B:B,Conciliacao!A285)</f>
        <v/>
      </c>
      <c r="G285" s="6">
        <f>SUMIFS(df_bloqueios_judiciais!G:G,df_bloqueios_judiciais!D:D,Conciliacao!A285,df_bloqueios_judiciais!G:G,"&gt;0")</f>
        <v/>
      </c>
      <c r="H285" s="7">
        <f>SUMIFS(df_extratos!I:I,df_extratos!F:F,Conciliacao!BE285,df_extratos!G:G,"CREDITO")+SUMIFS(df_extratos!I:I,df_extratos!F:F,Conciliacao!A285,df_extratos!G:G,"CREDITO")+SUMIFS(df_extratos!I:I,df_extratos!F:F,Conciliacao!BF285,df_extratos!G:G,"CREDITO")+SUMIFS(df_extratos!I:I,df_extratos!F:F,Conciliacao!BG285,df_extratos!G:G,"CREDITO")+SUMIFS(df_extratos!I:I,df_extratos!F:F,Conciliacao!BH285,df_extratos!G:G,"CREDITO")</f>
        <v/>
      </c>
      <c r="I285" s="9">
        <f>H285-SUM(B285:G285)</f>
        <v/>
      </c>
      <c r="J285" s="4">
        <f>SUMIFS(df_blueme_sem_parcelamento!E:E,df_blueme_sem_parcelamento!H:H,Conciliacao!A285)*(-1)</f>
        <v/>
      </c>
      <c r="K285" s="4">
        <f>SUMIFS(df_blueme_com_parcelamento!J:J,df_blueme_com_parcelamento!M:M,Conciliacao!A285)*(-1)</f>
        <v/>
      </c>
      <c r="L285" s="4">
        <f>SUMIFS(df_mutuos!N:N,df_mutuos!B:B,Conciliacao!A285)*(-1)</f>
        <v/>
      </c>
      <c r="M285" s="8">
        <f>SUMIFS(df_bloqueios_judiciais!G:G,df_bloqueios_judiciais!D:D,Conciliacao!A285,df_bloqueios_judiciais!G:G,"&lt;0")</f>
        <v/>
      </c>
      <c r="N285" s="10">
        <f>SUMIFS(df_extratos!I:I,df_extratos!F:F,Conciliacao!BE285,df_extratos!G:G,"DEBITO")+SUMIFS(df_extratos!I:I,df_extratos!F:F,Conciliacao!A285,df_extratos!G:G,"DEBITO")+SUMIFS(df_extratos!I:I,df_extratos!F:F,Conciliacao!BF285,df_extratos!G:G,"DEBITO")+SUMIFS(df_extratos!I:I,df_extratos!F:F,Conciliacao!BG285,df_extratos!G:G,"DEBITO")+SUMIFS(df_extratos!I:I,df_extratos!F:F,Conciliacao!BH285,df_extratos!G:G,"DEBITO")</f>
        <v/>
      </c>
      <c r="O285" s="11">
        <f>N285-SUM(J285:M285)</f>
        <v/>
      </c>
      <c r="P285" s="25">
        <f>SUMIFS(df_ajustes_conciliaco!D:D,df_ajustes_conciliaco!C:C,Conciliacao!A285)</f>
        <v/>
      </c>
      <c r="Q285" s="22">
        <f>O285+I285-P285</f>
        <v/>
      </c>
      <c r="BE285" s="20" t="n">
        <v>45941.5</v>
      </c>
      <c r="BF285" s="20" t="n">
        <v>45941.125</v>
      </c>
      <c r="BG285" s="20" t="n">
        <v>45941.54166666666</v>
      </c>
      <c r="BH285" s="20" t="n">
        <v>45941.625</v>
      </c>
    </row>
    <row r="286">
      <c r="A286" s="5">
        <f>A285+1</f>
        <v/>
      </c>
      <c r="B286" s="3">
        <f>-SUMIFS(df_extrato_zig!G:G,df_extrato_zig!E:E,Conciliacao!A286,df_extrato_zig!D:D,"Saque")-SUMIFS(df_extrato_zig!G:G,df_extrato_zig!E:E,Conciliacao!A286,df_extrato_zig!D:D,"Antecipação")</f>
        <v/>
      </c>
      <c r="C286" s="3">
        <f>SUMIFS(df_extrato_zig!E:E,df_extrato_zig!L:L,Conciliacao!A286,df_extrato_zig!F:F,"DINHEIRO")</f>
        <v/>
      </c>
      <c r="D286" s="3">
        <f>SUMIFS(view_parc_agrup!H:H,view_parc_agrup!G:G,Conciliacao!A286)</f>
        <v/>
      </c>
      <c r="E286" s="3">
        <f>SUMIFS(df_eventos!F:F,df_eventos!H:H,Conciliacao!A286)</f>
        <v/>
      </c>
      <c r="F286" s="3">
        <f>SUMIFS(df_mutuos!M:M,df_mutuos!B:B,Conciliacao!A286)</f>
        <v/>
      </c>
      <c r="G286" s="6">
        <f>SUMIFS(df_bloqueios_judiciais!G:G,df_bloqueios_judiciais!D:D,Conciliacao!A286,df_bloqueios_judiciais!G:G,"&gt;0")</f>
        <v/>
      </c>
      <c r="H286" s="7">
        <f>SUMIFS(df_extratos!I:I,df_extratos!F:F,Conciliacao!BE286,df_extratos!G:G,"CREDITO")+SUMIFS(df_extratos!I:I,df_extratos!F:F,Conciliacao!A286,df_extratos!G:G,"CREDITO")+SUMIFS(df_extratos!I:I,df_extratos!F:F,Conciliacao!BF286,df_extratos!G:G,"CREDITO")+SUMIFS(df_extratos!I:I,df_extratos!F:F,Conciliacao!BG286,df_extratos!G:G,"CREDITO")+SUMIFS(df_extratos!I:I,df_extratos!F:F,Conciliacao!BH286,df_extratos!G:G,"CREDITO")</f>
        <v/>
      </c>
      <c r="I286" s="9">
        <f>H286-SUM(B286:G286)</f>
        <v/>
      </c>
      <c r="J286" s="4">
        <f>SUMIFS(df_blueme_sem_parcelamento!E:E,df_blueme_sem_parcelamento!H:H,Conciliacao!A286)*(-1)</f>
        <v/>
      </c>
      <c r="K286" s="4">
        <f>SUMIFS(df_blueme_com_parcelamento!J:J,df_blueme_com_parcelamento!M:M,Conciliacao!A286)*(-1)</f>
        <v/>
      </c>
      <c r="L286" s="4">
        <f>SUMIFS(df_mutuos!N:N,df_mutuos!B:B,Conciliacao!A286)*(-1)</f>
        <v/>
      </c>
      <c r="M286" s="8">
        <f>SUMIFS(df_bloqueios_judiciais!G:G,df_bloqueios_judiciais!D:D,Conciliacao!A286,df_bloqueios_judiciais!G:G,"&lt;0")</f>
        <v/>
      </c>
      <c r="N286" s="10">
        <f>SUMIFS(df_extratos!I:I,df_extratos!F:F,Conciliacao!BE286,df_extratos!G:G,"DEBITO")+SUMIFS(df_extratos!I:I,df_extratos!F:F,Conciliacao!A286,df_extratos!G:G,"DEBITO")+SUMIFS(df_extratos!I:I,df_extratos!F:F,Conciliacao!BF286,df_extratos!G:G,"DEBITO")+SUMIFS(df_extratos!I:I,df_extratos!F:F,Conciliacao!BG286,df_extratos!G:G,"DEBITO")+SUMIFS(df_extratos!I:I,df_extratos!F:F,Conciliacao!BH286,df_extratos!G:G,"DEBITO")</f>
        <v/>
      </c>
      <c r="O286" s="11">
        <f>N286-SUM(J286:M286)</f>
        <v/>
      </c>
      <c r="P286" s="25">
        <f>SUMIFS(df_ajustes_conciliaco!D:D,df_ajustes_conciliaco!C:C,Conciliacao!A286)</f>
        <v/>
      </c>
      <c r="Q286" s="22">
        <f>O286+I286-P286</f>
        <v/>
      </c>
      <c r="BE286" s="20" t="n">
        <v>45942.5</v>
      </c>
      <c r="BF286" s="20" t="n">
        <v>45942.125</v>
      </c>
      <c r="BG286" s="20" t="n">
        <v>45942.54166666666</v>
      </c>
      <c r="BH286" s="20" t="n">
        <v>45942.625</v>
      </c>
    </row>
    <row r="287">
      <c r="A287" s="5">
        <f>A286+1</f>
        <v/>
      </c>
      <c r="B287" s="3">
        <f>-SUMIFS(df_extrato_zig!G:G,df_extrato_zig!E:E,Conciliacao!A287,df_extrato_zig!D:D,"Saque")-SUMIFS(df_extrato_zig!G:G,df_extrato_zig!E:E,Conciliacao!A287,df_extrato_zig!D:D,"Antecipação")</f>
        <v/>
      </c>
      <c r="C287" s="3">
        <f>SUMIFS(df_extrato_zig!E:E,df_extrato_zig!L:L,Conciliacao!A287,df_extrato_zig!F:F,"DINHEIRO")</f>
        <v/>
      </c>
      <c r="D287" s="3">
        <f>SUMIFS(view_parc_agrup!H:H,view_parc_agrup!G:G,Conciliacao!A287)</f>
        <v/>
      </c>
      <c r="E287" s="3">
        <f>SUMIFS(df_eventos!F:F,df_eventos!H:H,Conciliacao!A287)</f>
        <v/>
      </c>
      <c r="F287" s="3">
        <f>SUMIFS(df_mutuos!M:M,df_mutuos!B:B,Conciliacao!A287)</f>
        <v/>
      </c>
      <c r="G287" s="6">
        <f>SUMIFS(df_bloqueios_judiciais!G:G,df_bloqueios_judiciais!D:D,Conciliacao!A287,df_bloqueios_judiciais!G:G,"&gt;0")</f>
        <v/>
      </c>
      <c r="H287" s="7">
        <f>SUMIFS(df_extratos!I:I,df_extratos!F:F,Conciliacao!BE287,df_extratos!G:G,"CREDITO")+SUMIFS(df_extratos!I:I,df_extratos!F:F,Conciliacao!A287,df_extratos!G:G,"CREDITO")+SUMIFS(df_extratos!I:I,df_extratos!F:F,Conciliacao!BF287,df_extratos!G:G,"CREDITO")+SUMIFS(df_extratos!I:I,df_extratos!F:F,Conciliacao!BG287,df_extratos!G:G,"CREDITO")+SUMIFS(df_extratos!I:I,df_extratos!F:F,Conciliacao!BH287,df_extratos!G:G,"CREDITO")</f>
        <v/>
      </c>
      <c r="I287" s="9">
        <f>H287-SUM(B287:G287)</f>
        <v/>
      </c>
      <c r="J287" s="4">
        <f>SUMIFS(df_blueme_sem_parcelamento!E:E,df_blueme_sem_parcelamento!H:H,Conciliacao!A287)*(-1)</f>
        <v/>
      </c>
      <c r="K287" s="4">
        <f>SUMIFS(df_blueme_com_parcelamento!J:J,df_blueme_com_parcelamento!M:M,Conciliacao!A287)*(-1)</f>
        <v/>
      </c>
      <c r="L287" s="4">
        <f>SUMIFS(df_mutuos!N:N,df_mutuos!B:B,Conciliacao!A287)*(-1)</f>
        <v/>
      </c>
      <c r="M287" s="8">
        <f>SUMIFS(df_bloqueios_judiciais!G:G,df_bloqueios_judiciais!D:D,Conciliacao!A287,df_bloqueios_judiciais!G:G,"&lt;0")</f>
        <v/>
      </c>
      <c r="N287" s="10">
        <f>SUMIFS(df_extratos!I:I,df_extratos!F:F,Conciliacao!BE287,df_extratos!G:G,"DEBITO")+SUMIFS(df_extratos!I:I,df_extratos!F:F,Conciliacao!A287,df_extratos!G:G,"DEBITO")+SUMIFS(df_extratos!I:I,df_extratos!F:F,Conciliacao!BF287,df_extratos!G:G,"DEBITO")+SUMIFS(df_extratos!I:I,df_extratos!F:F,Conciliacao!BG287,df_extratos!G:G,"DEBITO")+SUMIFS(df_extratos!I:I,df_extratos!F:F,Conciliacao!BH287,df_extratos!G:G,"DEBITO")</f>
        <v/>
      </c>
      <c r="O287" s="11">
        <f>N287-SUM(J287:M287)</f>
        <v/>
      </c>
      <c r="P287" s="25">
        <f>SUMIFS(df_ajustes_conciliaco!D:D,df_ajustes_conciliaco!C:C,Conciliacao!A287)</f>
        <v/>
      </c>
      <c r="Q287" s="22">
        <f>O287+I287-P287</f>
        <v/>
      </c>
      <c r="BE287" s="20" t="n">
        <v>45943.5</v>
      </c>
      <c r="BF287" s="20" t="n">
        <v>45943.125</v>
      </c>
      <c r="BG287" s="20" t="n">
        <v>45943.54166666666</v>
      </c>
      <c r="BH287" s="20" t="n">
        <v>45943.625</v>
      </c>
    </row>
    <row r="288">
      <c r="A288" s="5">
        <f>A287+1</f>
        <v/>
      </c>
      <c r="B288" s="3">
        <f>-SUMIFS(df_extrato_zig!G:G,df_extrato_zig!E:E,Conciliacao!A288,df_extrato_zig!D:D,"Saque")-SUMIFS(df_extrato_zig!G:G,df_extrato_zig!E:E,Conciliacao!A288,df_extrato_zig!D:D,"Antecipação")</f>
        <v/>
      </c>
      <c r="C288" s="3">
        <f>SUMIFS(df_extrato_zig!E:E,df_extrato_zig!L:L,Conciliacao!A288,df_extrato_zig!F:F,"DINHEIRO")</f>
        <v/>
      </c>
      <c r="D288" s="3">
        <f>SUMIFS(view_parc_agrup!H:H,view_parc_agrup!G:G,Conciliacao!A288)</f>
        <v/>
      </c>
      <c r="E288" s="3">
        <f>SUMIFS(df_eventos!F:F,df_eventos!H:H,Conciliacao!A288)</f>
        <v/>
      </c>
      <c r="F288" s="3">
        <f>SUMIFS(df_mutuos!M:M,df_mutuos!B:B,Conciliacao!A288)</f>
        <v/>
      </c>
      <c r="G288" s="6">
        <f>SUMIFS(df_bloqueios_judiciais!G:G,df_bloqueios_judiciais!D:D,Conciliacao!A288,df_bloqueios_judiciais!G:G,"&gt;0")</f>
        <v/>
      </c>
      <c r="H288" s="7">
        <f>SUMIFS(df_extratos!I:I,df_extratos!F:F,Conciliacao!BE288,df_extratos!G:G,"CREDITO")+SUMIFS(df_extratos!I:I,df_extratos!F:F,Conciliacao!A288,df_extratos!G:G,"CREDITO")+SUMIFS(df_extratos!I:I,df_extratos!F:F,Conciliacao!BF288,df_extratos!G:G,"CREDITO")+SUMIFS(df_extratos!I:I,df_extratos!F:F,Conciliacao!BG288,df_extratos!G:G,"CREDITO")+SUMIFS(df_extratos!I:I,df_extratos!F:F,Conciliacao!BH288,df_extratos!G:G,"CREDITO")</f>
        <v/>
      </c>
      <c r="I288" s="9">
        <f>H288-SUM(B288:G288)</f>
        <v/>
      </c>
      <c r="J288" s="4">
        <f>SUMIFS(df_blueme_sem_parcelamento!E:E,df_blueme_sem_parcelamento!H:H,Conciliacao!A288)*(-1)</f>
        <v/>
      </c>
      <c r="K288" s="4">
        <f>SUMIFS(df_blueme_com_parcelamento!J:J,df_blueme_com_parcelamento!M:M,Conciliacao!A288)*(-1)</f>
        <v/>
      </c>
      <c r="L288" s="4">
        <f>SUMIFS(df_mutuos!N:N,df_mutuos!B:B,Conciliacao!A288)*(-1)</f>
        <v/>
      </c>
      <c r="M288" s="8">
        <f>SUMIFS(df_bloqueios_judiciais!G:G,df_bloqueios_judiciais!D:D,Conciliacao!A288,df_bloqueios_judiciais!G:G,"&lt;0")</f>
        <v/>
      </c>
      <c r="N288" s="10">
        <f>SUMIFS(df_extratos!I:I,df_extratos!F:F,Conciliacao!BE288,df_extratos!G:G,"DEBITO")+SUMIFS(df_extratos!I:I,df_extratos!F:F,Conciliacao!A288,df_extratos!G:G,"DEBITO")+SUMIFS(df_extratos!I:I,df_extratos!F:F,Conciliacao!BF288,df_extratos!G:G,"DEBITO")+SUMIFS(df_extratos!I:I,df_extratos!F:F,Conciliacao!BG288,df_extratos!G:G,"DEBITO")+SUMIFS(df_extratos!I:I,df_extratos!F:F,Conciliacao!BH288,df_extratos!G:G,"DEBITO")</f>
        <v/>
      </c>
      <c r="O288" s="11">
        <f>N288-SUM(J288:M288)</f>
        <v/>
      </c>
      <c r="P288" s="25">
        <f>SUMIFS(df_ajustes_conciliaco!D:D,df_ajustes_conciliaco!C:C,Conciliacao!A288)</f>
        <v/>
      </c>
      <c r="Q288" s="22">
        <f>O288+I288-P288</f>
        <v/>
      </c>
      <c r="BE288" s="20" t="n">
        <v>45944.5</v>
      </c>
      <c r="BF288" s="20" t="n">
        <v>45944.125</v>
      </c>
      <c r="BG288" s="20" t="n">
        <v>45944.54166666666</v>
      </c>
      <c r="BH288" s="20" t="n">
        <v>45944.625</v>
      </c>
    </row>
    <row r="289">
      <c r="A289" s="5">
        <f>A288+1</f>
        <v/>
      </c>
      <c r="B289" s="3">
        <f>-SUMIFS(df_extrato_zig!G:G,df_extrato_zig!E:E,Conciliacao!A289,df_extrato_zig!D:D,"Saque")-SUMIFS(df_extrato_zig!G:G,df_extrato_zig!E:E,Conciliacao!A289,df_extrato_zig!D:D,"Antecipação")</f>
        <v/>
      </c>
      <c r="C289" s="3">
        <f>SUMIFS(df_extrato_zig!E:E,df_extrato_zig!L:L,Conciliacao!A289,df_extrato_zig!F:F,"DINHEIRO")</f>
        <v/>
      </c>
      <c r="D289" s="3">
        <f>SUMIFS(view_parc_agrup!H:H,view_parc_agrup!G:G,Conciliacao!A289)</f>
        <v/>
      </c>
      <c r="E289" s="3">
        <f>SUMIFS(df_eventos!F:F,df_eventos!H:H,Conciliacao!A289)</f>
        <v/>
      </c>
      <c r="F289" s="3">
        <f>SUMIFS(df_mutuos!M:M,df_mutuos!B:B,Conciliacao!A289)</f>
        <v/>
      </c>
      <c r="G289" s="6">
        <f>SUMIFS(df_bloqueios_judiciais!G:G,df_bloqueios_judiciais!D:D,Conciliacao!A289,df_bloqueios_judiciais!G:G,"&gt;0")</f>
        <v/>
      </c>
      <c r="H289" s="7">
        <f>SUMIFS(df_extratos!I:I,df_extratos!F:F,Conciliacao!BE289,df_extratos!G:G,"CREDITO")+SUMIFS(df_extratos!I:I,df_extratos!F:F,Conciliacao!A289,df_extratos!G:G,"CREDITO")+SUMIFS(df_extratos!I:I,df_extratos!F:F,Conciliacao!BF289,df_extratos!G:G,"CREDITO")+SUMIFS(df_extratos!I:I,df_extratos!F:F,Conciliacao!BG289,df_extratos!G:G,"CREDITO")+SUMIFS(df_extratos!I:I,df_extratos!F:F,Conciliacao!BH289,df_extratos!G:G,"CREDITO")</f>
        <v/>
      </c>
      <c r="I289" s="9">
        <f>H289-SUM(B289:G289)</f>
        <v/>
      </c>
      <c r="J289" s="4">
        <f>SUMIFS(df_blueme_sem_parcelamento!E:E,df_blueme_sem_parcelamento!H:H,Conciliacao!A289)*(-1)</f>
        <v/>
      </c>
      <c r="K289" s="4">
        <f>SUMIFS(df_blueme_com_parcelamento!J:J,df_blueme_com_parcelamento!M:M,Conciliacao!A289)*(-1)</f>
        <v/>
      </c>
      <c r="L289" s="4">
        <f>SUMIFS(df_mutuos!N:N,df_mutuos!B:B,Conciliacao!A289)*(-1)</f>
        <v/>
      </c>
      <c r="M289" s="8">
        <f>SUMIFS(df_bloqueios_judiciais!G:G,df_bloqueios_judiciais!D:D,Conciliacao!A289,df_bloqueios_judiciais!G:G,"&lt;0")</f>
        <v/>
      </c>
      <c r="N289" s="10">
        <f>SUMIFS(df_extratos!I:I,df_extratos!F:F,Conciliacao!BE289,df_extratos!G:G,"DEBITO")+SUMIFS(df_extratos!I:I,df_extratos!F:F,Conciliacao!A289,df_extratos!G:G,"DEBITO")+SUMIFS(df_extratos!I:I,df_extratos!F:F,Conciliacao!BF289,df_extratos!G:G,"DEBITO")+SUMIFS(df_extratos!I:I,df_extratos!F:F,Conciliacao!BG289,df_extratos!G:G,"DEBITO")+SUMIFS(df_extratos!I:I,df_extratos!F:F,Conciliacao!BH289,df_extratos!G:G,"DEBITO")</f>
        <v/>
      </c>
      <c r="O289" s="11">
        <f>N289-SUM(J289:M289)</f>
        <v/>
      </c>
      <c r="P289" s="25">
        <f>SUMIFS(df_ajustes_conciliaco!D:D,df_ajustes_conciliaco!C:C,Conciliacao!A289)</f>
        <v/>
      </c>
      <c r="Q289" s="22">
        <f>O289+I289-P289</f>
        <v/>
      </c>
      <c r="BE289" s="20" t="n">
        <v>45945.5</v>
      </c>
      <c r="BF289" s="20" t="n">
        <v>45945.125</v>
      </c>
      <c r="BG289" s="20" t="n">
        <v>45945.54166666666</v>
      </c>
      <c r="BH289" s="20" t="n">
        <v>45945.625</v>
      </c>
    </row>
    <row r="290">
      <c r="A290" s="5">
        <f>A289+1</f>
        <v/>
      </c>
      <c r="B290" s="3">
        <f>-SUMIFS(df_extrato_zig!G:G,df_extrato_zig!E:E,Conciliacao!A290,df_extrato_zig!D:D,"Saque")-SUMIFS(df_extrato_zig!G:G,df_extrato_zig!E:E,Conciliacao!A290,df_extrato_zig!D:D,"Antecipação")</f>
        <v/>
      </c>
      <c r="C290" s="3">
        <f>SUMIFS(df_extrato_zig!E:E,df_extrato_zig!L:L,Conciliacao!A290,df_extrato_zig!F:F,"DINHEIRO")</f>
        <v/>
      </c>
      <c r="D290" s="3">
        <f>SUMIFS(view_parc_agrup!H:H,view_parc_agrup!G:G,Conciliacao!A290)</f>
        <v/>
      </c>
      <c r="E290" s="3">
        <f>SUMIFS(df_eventos!F:F,df_eventos!H:H,Conciliacao!A290)</f>
        <v/>
      </c>
      <c r="F290" s="3">
        <f>SUMIFS(df_mutuos!M:M,df_mutuos!B:B,Conciliacao!A290)</f>
        <v/>
      </c>
      <c r="G290" s="6">
        <f>SUMIFS(df_bloqueios_judiciais!G:G,df_bloqueios_judiciais!D:D,Conciliacao!A290,df_bloqueios_judiciais!G:G,"&gt;0")</f>
        <v/>
      </c>
      <c r="H290" s="7">
        <f>SUMIFS(df_extratos!I:I,df_extratos!F:F,Conciliacao!BE290,df_extratos!G:G,"CREDITO")+SUMIFS(df_extratos!I:I,df_extratos!F:F,Conciliacao!A290,df_extratos!G:G,"CREDITO")+SUMIFS(df_extratos!I:I,df_extratos!F:F,Conciliacao!BF290,df_extratos!G:G,"CREDITO")+SUMIFS(df_extratos!I:I,df_extratos!F:F,Conciliacao!BG290,df_extratos!G:G,"CREDITO")+SUMIFS(df_extratos!I:I,df_extratos!F:F,Conciliacao!BH290,df_extratos!G:G,"CREDITO")</f>
        <v/>
      </c>
      <c r="I290" s="9">
        <f>H290-SUM(B290:G290)</f>
        <v/>
      </c>
      <c r="J290" s="4">
        <f>SUMIFS(df_blueme_sem_parcelamento!E:E,df_blueme_sem_parcelamento!H:H,Conciliacao!A290)*(-1)</f>
        <v/>
      </c>
      <c r="K290" s="4">
        <f>SUMIFS(df_blueme_com_parcelamento!J:J,df_blueme_com_parcelamento!M:M,Conciliacao!A290)*(-1)</f>
        <v/>
      </c>
      <c r="L290" s="4">
        <f>SUMIFS(df_mutuos!N:N,df_mutuos!B:B,Conciliacao!A290)*(-1)</f>
        <v/>
      </c>
      <c r="M290" s="8">
        <f>SUMIFS(df_bloqueios_judiciais!G:G,df_bloqueios_judiciais!D:D,Conciliacao!A290,df_bloqueios_judiciais!G:G,"&lt;0")</f>
        <v/>
      </c>
      <c r="N290" s="10">
        <f>SUMIFS(df_extratos!I:I,df_extratos!F:F,Conciliacao!BE290,df_extratos!G:G,"DEBITO")+SUMIFS(df_extratos!I:I,df_extratos!F:F,Conciliacao!A290,df_extratos!G:G,"DEBITO")+SUMIFS(df_extratos!I:I,df_extratos!F:F,Conciliacao!BF290,df_extratos!G:G,"DEBITO")+SUMIFS(df_extratos!I:I,df_extratos!F:F,Conciliacao!BG290,df_extratos!G:G,"DEBITO")+SUMIFS(df_extratos!I:I,df_extratos!F:F,Conciliacao!BH290,df_extratos!G:G,"DEBITO")</f>
        <v/>
      </c>
      <c r="O290" s="11">
        <f>N290-SUM(J290:M290)</f>
        <v/>
      </c>
      <c r="P290" s="25">
        <f>SUMIFS(df_ajustes_conciliaco!D:D,df_ajustes_conciliaco!C:C,Conciliacao!A290)</f>
        <v/>
      </c>
      <c r="Q290" s="22">
        <f>O290+I290-P290</f>
        <v/>
      </c>
      <c r="BE290" s="20" t="n">
        <v>45946.5</v>
      </c>
      <c r="BF290" s="20" t="n">
        <v>45946.125</v>
      </c>
      <c r="BG290" s="20" t="n">
        <v>45946.54166666666</v>
      </c>
      <c r="BH290" s="20" t="n">
        <v>45946.625</v>
      </c>
    </row>
    <row r="291">
      <c r="A291" s="5">
        <f>A290+1</f>
        <v/>
      </c>
      <c r="B291" s="3">
        <f>-SUMIFS(df_extrato_zig!G:G,df_extrato_zig!E:E,Conciliacao!A291,df_extrato_zig!D:D,"Saque")-SUMIFS(df_extrato_zig!G:G,df_extrato_zig!E:E,Conciliacao!A291,df_extrato_zig!D:D,"Antecipação")</f>
        <v/>
      </c>
      <c r="C291" s="3">
        <f>SUMIFS(df_extrato_zig!E:E,df_extrato_zig!L:L,Conciliacao!A291,df_extrato_zig!F:F,"DINHEIRO")</f>
        <v/>
      </c>
      <c r="D291" s="3">
        <f>SUMIFS(view_parc_agrup!H:H,view_parc_agrup!G:G,Conciliacao!A291)</f>
        <v/>
      </c>
      <c r="E291" s="3">
        <f>SUMIFS(df_eventos!F:F,df_eventos!H:H,Conciliacao!A291)</f>
        <v/>
      </c>
      <c r="F291" s="3">
        <f>SUMIFS(df_mutuos!M:M,df_mutuos!B:B,Conciliacao!A291)</f>
        <v/>
      </c>
      <c r="G291" s="6">
        <f>SUMIFS(df_bloqueios_judiciais!G:G,df_bloqueios_judiciais!D:D,Conciliacao!A291,df_bloqueios_judiciais!G:G,"&gt;0")</f>
        <v/>
      </c>
      <c r="H291" s="7">
        <f>SUMIFS(df_extratos!I:I,df_extratos!F:F,Conciliacao!BE291,df_extratos!G:G,"CREDITO")+SUMIFS(df_extratos!I:I,df_extratos!F:F,Conciliacao!A291,df_extratos!G:G,"CREDITO")+SUMIFS(df_extratos!I:I,df_extratos!F:F,Conciliacao!BF291,df_extratos!G:G,"CREDITO")+SUMIFS(df_extratos!I:I,df_extratos!F:F,Conciliacao!BG291,df_extratos!G:G,"CREDITO")+SUMIFS(df_extratos!I:I,df_extratos!F:F,Conciliacao!BH291,df_extratos!G:G,"CREDITO")</f>
        <v/>
      </c>
      <c r="I291" s="9">
        <f>H291-SUM(B291:G291)</f>
        <v/>
      </c>
      <c r="J291" s="4">
        <f>SUMIFS(df_blueme_sem_parcelamento!E:E,df_blueme_sem_parcelamento!H:H,Conciliacao!A291)*(-1)</f>
        <v/>
      </c>
      <c r="K291" s="4">
        <f>SUMIFS(df_blueme_com_parcelamento!J:J,df_blueme_com_parcelamento!M:M,Conciliacao!A291)*(-1)</f>
        <v/>
      </c>
      <c r="L291" s="4">
        <f>SUMIFS(df_mutuos!N:N,df_mutuos!B:B,Conciliacao!A291)*(-1)</f>
        <v/>
      </c>
      <c r="M291" s="8">
        <f>SUMIFS(df_bloqueios_judiciais!G:G,df_bloqueios_judiciais!D:D,Conciliacao!A291,df_bloqueios_judiciais!G:G,"&lt;0")</f>
        <v/>
      </c>
      <c r="N291" s="10">
        <f>SUMIFS(df_extratos!I:I,df_extratos!F:F,Conciliacao!BE291,df_extratos!G:G,"DEBITO")+SUMIFS(df_extratos!I:I,df_extratos!F:F,Conciliacao!A291,df_extratos!G:G,"DEBITO")+SUMIFS(df_extratos!I:I,df_extratos!F:F,Conciliacao!BF291,df_extratos!G:G,"DEBITO")+SUMIFS(df_extratos!I:I,df_extratos!F:F,Conciliacao!BG291,df_extratos!G:G,"DEBITO")+SUMIFS(df_extratos!I:I,df_extratos!F:F,Conciliacao!BH291,df_extratos!G:G,"DEBITO")</f>
        <v/>
      </c>
      <c r="O291" s="11">
        <f>N291-SUM(J291:M291)</f>
        <v/>
      </c>
      <c r="P291" s="25">
        <f>SUMIFS(df_ajustes_conciliaco!D:D,df_ajustes_conciliaco!C:C,Conciliacao!A291)</f>
        <v/>
      </c>
      <c r="Q291" s="22">
        <f>O291+I291-P291</f>
        <v/>
      </c>
      <c r="BE291" s="20" t="n">
        <v>45947.5</v>
      </c>
      <c r="BF291" s="20" t="n">
        <v>45947.125</v>
      </c>
      <c r="BG291" s="20" t="n">
        <v>45947.54166666666</v>
      </c>
      <c r="BH291" s="20" t="n">
        <v>45947.625</v>
      </c>
    </row>
    <row r="292">
      <c r="A292" s="5">
        <f>A291+1</f>
        <v/>
      </c>
      <c r="B292" s="3">
        <f>-SUMIFS(df_extrato_zig!G:G,df_extrato_zig!E:E,Conciliacao!A292,df_extrato_zig!D:D,"Saque")-SUMIFS(df_extrato_zig!G:G,df_extrato_zig!E:E,Conciliacao!A292,df_extrato_zig!D:D,"Antecipação")</f>
        <v/>
      </c>
      <c r="C292" s="3">
        <f>SUMIFS(df_extrato_zig!E:E,df_extrato_zig!L:L,Conciliacao!A292,df_extrato_zig!F:F,"DINHEIRO")</f>
        <v/>
      </c>
      <c r="D292" s="3">
        <f>SUMIFS(view_parc_agrup!H:H,view_parc_agrup!G:G,Conciliacao!A292)</f>
        <v/>
      </c>
      <c r="E292" s="3">
        <f>SUMIFS(df_eventos!F:F,df_eventos!H:H,Conciliacao!A292)</f>
        <v/>
      </c>
      <c r="F292" s="3">
        <f>SUMIFS(df_mutuos!M:M,df_mutuos!B:B,Conciliacao!A292)</f>
        <v/>
      </c>
      <c r="G292" s="6">
        <f>SUMIFS(df_bloqueios_judiciais!G:G,df_bloqueios_judiciais!D:D,Conciliacao!A292,df_bloqueios_judiciais!G:G,"&gt;0")</f>
        <v/>
      </c>
      <c r="H292" s="7">
        <f>SUMIFS(df_extratos!I:I,df_extratos!F:F,Conciliacao!BE292,df_extratos!G:G,"CREDITO")+SUMIFS(df_extratos!I:I,df_extratos!F:F,Conciliacao!A292,df_extratos!G:G,"CREDITO")+SUMIFS(df_extratos!I:I,df_extratos!F:F,Conciliacao!BF292,df_extratos!G:G,"CREDITO")+SUMIFS(df_extratos!I:I,df_extratos!F:F,Conciliacao!BG292,df_extratos!G:G,"CREDITO")+SUMIFS(df_extratos!I:I,df_extratos!F:F,Conciliacao!BH292,df_extratos!G:G,"CREDITO")</f>
        <v/>
      </c>
      <c r="I292" s="9">
        <f>H292-SUM(B292:G292)</f>
        <v/>
      </c>
      <c r="J292" s="4">
        <f>SUMIFS(df_blueme_sem_parcelamento!E:E,df_blueme_sem_parcelamento!H:H,Conciliacao!A292)*(-1)</f>
        <v/>
      </c>
      <c r="K292" s="4">
        <f>SUMIFS(df_blueme_com_parcelamento!J:J,df_blueme_com_parcelamento!M:M,Conciliacao!A292)*(-1)</f>
        <v/>
      </c>
      <c r="L292" s="4">
        <f>SUMIFS(df_mutuos!N:N,df_mutuos!B:B,Conciliacao!A292)*(-1)</f>
        <v/>
      </c>
      <c r="M292" s="8">
        <f>SUMIFS(df_bloqueios_judiciais!G:G,df_bloqueios_judiciais!D:D,Conciliacao!A292,df_bloqueios_judiciais!G:G,"&lt;0")</f>
        <v/>
      </c>
      <c r="N292" s="10">
        <f>SUMIFS(df_extratos!I:I,df_extratos!F:F,Conciliacao!BE292,df_extratos!G:G,"DEBITO")+SUMIFS(df_extratos!I:I,df_extratos!F:F,Conciliacao!A292,df_extratos!G:G,"DEBITO")+SUMIFS(df_extratos!I:I,df_extratos!F:F,Conciliacao!BF292,df_extratos!G:G,"DEBITO")+SUMIFS(df_extratos!I:I,df_extratos!F:F,Conciliacao!BG292,df_extratos!G:G,"DEBITO")+SUMIFS(df_extratos!I:I,df_extratos!F:F,Conciliacao!BH292,df_extratos!G:G,"DEBITO")</f>
        <v/>
      </c>
      <c r="O292" s="11">
        <f>N292-SUM(J292:M292)</f>
        <v/>
      </c>
      <c r="P292" s="25">
        <f>SUMIFS(df_ajustes_conciliaco!D:D,df_ajustes_conciliaco!C:C,Conciliacao!A292)</f>
        <v/>
      </c>
      <c r="Q292" s="22">
        <f>O292+I292-P292</f>
        <v/>
      </c>
      <c r="BE292" s="20" t="n">
        <v>45948.5</v>
      </c>
      <c r="BF292" s="20" t="n">
        <v>45948.125</v>
      </c>
      <c r="BG292" s="20" t="n">
        <v>45948.54166666666</v>
      </c>
      <c r="BH292" s="20" t="n">
        <v>45948.625</v>
      </c>
    </row>
    <row r="293">
      <c r="A293" s="5">
        <f>A292+1</f>
        <v/>
      </c>
      <c r="B293" s="3">
        <f>-SUMIFS(df_extrato_zig!G:G,df_extrato_zig!E:E,Conciliacao!A293,df_extrato_zig!D:D,"Saque")-SUMIFS(df_extrato_zig!G:G,df_extrato_zig!E:E,Conciliacao!A293,df_extrato_zig!D:D,"Antecipação")</f>
        <v/>
      </c>
      <c r="C293" s="3">
        <f>SUMIFS(df_extrato_zig!E:E,df_extrato_zig!L:L,Conciliacao!A293,df_extrato_zig!F:F,"DINHEIRO")</f>
        <v/>
      </c>
      <c r="D293" s="3">
        <f>SUMIFS(view_parc_agrup!H:H,view_parc_agrup!G:G,Conciliacao!A293)</f>
        <v/>
      </c>
      <c r="E293" s="3">
        <f>SUMIFS(df_eventos!F:F,df_eventos!H:H,Conciliacao!A293)</f>
        <v/>
      </c>
      <c r="F293" s="3">
        <f>SUMIFS(df_mutuos!M:M,df_mutuos!B:B,Conciliacao!A293)</f>
        <v/>
      </c>
      <c r="G293" s="6">
        <f>SUMIFS(df_bloqueios_judiciais!G:G,df_bloqueios_judiciais!D:D,Conciliacao!A293,df_bloqueios_judiciais!G:G,"&gt;0")</f>
        <v/>
      </c>
      <c r="H293" s="7">
        <f>SUMIFS(df_extratos!I:I,df_extratos!F:F,Conciliacao!BE293,df_extratos!G:G,"CREDITO")+SUMIFS(df_extratos!I:I,df_extratos!F:F,Conciliacao!A293,df_extratos!G:G,"CREDITO")+SUMIFS(df_extratos!I:I,df_extratos!F:F,Conciliacao!BF293,df_extratos!G:G,"CREDITO")+SUMIFS(df_extratos!I:I,df_extratos!F:F,Conciliacao!BG293,df_extratos!G:G,"CREDITO")+SUMIFS(df_extratos!I:I,df_extratos!F:F,Conciliacao!BH293,df_extratos!G:G,"CREDITO")</f>
        <v/>
      </c>
      <c r="I293" s="9">
        <f>H293-SUM(B293:G293)</f>
        <v/>
      </c>
      <c r="J293" s="4">
        <f>SUMIFS(df_blueme_sem_parcelamento!E:E,df_blueme_sem_parcelamento!H:H,Conciliacao!A293)*(-1)</f>
        <v/>
      </c>
      <c r="K293" s="4">
        <f>SUMIFS(df_blueme_com_parcelamento!J:J,df_blueme_com_parcelamento!M:M,Conciliacao!A293)*(-1)</f>
        <v/>
      </c>
      <c r="L293" s="4">
        <f>SUMIFS(df_mutuos!N:N,df_mutuos!B:B,Conciliacao!A293)*(-1)</f>
        <v/>
      </c>
      <c r="M293" s="8">
        <f>SUMIFS(df_bloqueios_judiciais!G:G,df_bloqueios_judiciais!D:D,Conciliacao!A293,df_bloqueios_judiciais!G:G,"&lt;0")</f>
        <v/>
      </c>
      <c r="N293" s="10">
        <f>SUMIFS(df_extratos!I:I,df_extratos!F:F,Conciliacao!BE293,df_extratos!G:G,"DEBITO")+SUMIFS(df_extratos!I:I,df_extratos!F:F,Conciliacao!A293,df_extratos!G:G,"DEBITO")+SUMIFS(df_extratos!I:I,df_extratos!F:F,Conciliacao!BF293,df_extratos!G:G,"DEBITO")+SUMIFS(df_extratos!I:I,df_extratos!F:F,Conciliacao!BG293,df_extratos!G:G,"DEBITO")+SUMIFS(df_extratos!I:I,df_extratos!F:F,Conciliacao!BH293,df_extratos!G:G,"DEBITO")</f>
        <v/>
      </c>
      <c r="O293" s="11">
        <f>N293-SUM(J293:M293)</f>
        <v/>
      </c>
      <c r="P293" s="25">
        <f>SUMIFS(df_ajustes_conciliaco!D:D,df_ajustes_conciliaco!C:C,Conciliacao!A293)</f>
        <v/>
      </c>
      <c r="Q293" s="22">
        <f>O293+I293-P293</f>
        <v/>
      </c>
      <c r="BE293" s="20" t="n">
        <v>45949.5</v>
      </c>
      <c r="BF293" s="20" t="n">
        <v>45949.125</v>
      </c>
      <c r="BG293" s="20" t="n">
        <v>45949.54166666666</v>
      </c>
      <c r="BH293" s="20" t="n">
        <v>45949.625</v>
      </c>
    </row>
    <row r="294">
      <c r="A294" s="5">
        <f>A293+1</f>
        <v/>
      </c>
      <c r="B294" s="3">
        <f>-SUMIFS(df_extrato_zig!G:G,df_extrato_zig!E:E,Conciliacao!A294,df_extrato_zig!D:D,"Saque")-SUMIFS(df_extrato_zig!G:G,df_extrato_zig!E:E,Conciliacao!A294,df_extrato_zig!D:D,"Antecipação")</f>
        <v/>
      </c>
      <c r="C294" s="3">
        <f>SUMIFS(df_extrato_zig!E:E,df_extrato_zig!L:L,Conciliacao!A294,df_extrato_zig!F:F,"DINHEIRO")</f>
        <v/>
      </c>
      <c r="D294" s="3">
        <f>SUMIFS(view_parc_agrup!H:H,view_parc_agrup!G:G,Conciliacao!A294)</f>
        <v/>
      </c>
      <c r="E294" s="3">
        <f>SUMIFS(df_eventos!F:F,df_eventos!H:H,Conciliacao!A294)</f>
        <v/>
      </c>
      <c r="F294" s="3">
        <f>SUMIFS(df_mutuos!M:M,df_mutuos!B:B,Conciliacao!A294)</f>
        <v/>
      </c>
      <c r="G294" s="6">
        <f>SUMIFS(df_bloqueios_judiciais!G:G,df_bloqueios_judiciais!D:D,Conciliacao!A294,df_bloqueios_judiciais!G:G,"&gt;0")</f>
        <v/>
      </c>
      <c r="H294" s="7">
        <f>SUMIFS(df_extratos!I:I,df_extratos!F:F,Conciliacao!BE294,df_extratos!G:G,"CREDITO")+SUMIFS(df_extratos!I:I,df_extratos!F:F,Conciliacao!A294,df_extratos!G:G,"CREDITO")+SUMIFS(df_extratos!I:I,df_extratos!F:F,Conciliacao!BF294,df_extratos!G:G,"CREDITO")+SUMIFS(df_extratos!I:I,df_extratos!F:F,Conciliacao!BG294,df_extratos!G:G,"CREDITO")+SUMIFS(df_extratos!I:I,df_extratos!F:F,Conciliacao!BH294,df_extratos!G:G,"CREDITO")</f>
        <v/>
      </c>
      <c r="I294" s="9">
        <f>H294-SUM(B294:G294)</f>
        <v/>
      </c>
      <c r="J294" s="4">
        <f>SUMIFS(df_blueme_sem_parcelamento!E:E,df_blueme_sem_parcelamento!H:H,Conciliacao!A294)*(-1)</f>
        <v/>
      </c>
      <c r="K294" s="4">
        <f>SUMIFS(df_blueme_com_parcelamento!J:J,df_blueme_com_parcelamento!M:M,Conciliacao!A294)*(-1)</f>
        <v/>
      </c>
      <c r="L294" s="4">
        <f>SUMIFS(df_mutuos!N:N,df_mutuos!B:B,Conciliacao!A294)*(-1)</f>
        <v/>
      </c>
      <c r="M294" s="8">
        <f>SUMIFS(df_bloqueios_judiciais!G:G,df_bloqueios_judiciais!D:D,Conciliacao!A294,df_bloqueios_judiciais!G:G,"&lt;0")</f>
        <v/>
      </c>
      <c r="N294" s="10">
        <f>SUMIFS(df_extratos!I:I,df_extratos!F:F,Conciliacao!BE294,df_extratos!G:G,"DEBITO")+SUMIFS(df_extratos!I:I,df_extratos!F:F,Conciliacao!A294,df_extratos!G:G,"DEBITO")+SUMIFS(df_extratos!I:I,df_extratos!F:F,Conciliacao!BF294,df_extratos!G:G,"DEBITO")+SUMIFS(df_extratos!I:I,df_extratos!F:F,Conciliacao!BG294,df_extratos!G:G,"DEBITO")+SUMIFS(df_extratos!I:I,df_extratos!F:F,Conciliacao!BH294,df_extratos!G:G,"DEBITO")</f>
        <v/>
      </c>
      <c r="O294" s="11">
        <f>N294-SUM(J294:M294)</f>
        <v/>
      </c>
      <c r="P294" s="25">
        <f>SUMIFS(df_ajustes_conciliaco!D:D,df_ajustes_conciliaco!C:C,Conciliacao!A294)</f>
        <v/>
      </c>
      <c r="Q294" s="22">
        <f>O294+I294-P294</f>
        <v/>
      </c>
      <c r="BE294" s="20" t="n">
        <v>45950.5</v>
      </c>
      <c r="BF294" s="20" t="n">
        <v>45950.125</v>
      </c>
      <c r="BG294" s="20" t="n">
        <v>45950.54166666666</v>
      </c>
      <c r="BH294" s="20" t="n">
        <v>45950.625</v>
      </c>
    </row>
    <row r="295">
      <c r="A295" s="5">
        <f>A294+1</f>
        <v/>
      </c>
      <c r="B295" s="3">
        <f>-SUMIFS(df_extrato_zig!G:G,df_extrato_zig!E:E,Conciliacao!A295,df_extrato_zig!D:D,"Saque")-SUMIFS(df_extrato_zig!G:G,df_extrato_zig!E:E,Conciliacao!A295,df_extrato_zig!D:D,"Antecipação")</f>
        <v/>
      </c>
      <c r="C295" s="3">
        <f>SUMIFS(df_extrato_zig!E:E,df_extrato_zig!L:L,Conciliacao!A295,df_extrato_zig!F:F,"DINHEIRO")</f>
        <v/>
      </c>
      <c r="D295" s="3">
        <f>SUMIFS(view_parc_agrup!H:H,view_parc_agrup!G:G,Conciliacao!A295)</f>
        <v/>
      </c>
      <c r="E295" s="3">
        <f>SUMIFS(df_eventos!F:F,df_eventos!H:H,Conciliacao!A295)</f>
        <v/>
      </c>
      <c r="F295" s="3">
        <f>SUMIFS(df_mutuos!M:M,df_mutuos!B:B,Conciliacao!A295)</f>
        <v/>
      </c>
      <c r="G295" s="6">
        <f>SUMIFS(df_bloqueios_judiciais!G:G,df_bloqueios_judiciais!D:D,Conciliacao!A295,df_bloqueios_judiciais!G:G,"&gt;0")</f>
        <v/>
      </c>
      <c r="H295" s="7">
        <f>SUMIFS(df_extratos!I:I,df_extratos!F:F,Conciliacao!BE295,df_extratos!G:G,"CREDITO")+SUMIFS(df_extratos!I:I,df_extratos!F:F,Conciliacao!A295,df_extratos!G:G,"CREDITO")+SUMIFS(df_extratos!I:I,df_extratos!F:F,Conciliacao!BF295,df_extratos!G:G,"CREDITO")+SUMIFS(df_extratos!I:I,df_extratos!F:F,Conciliacao!BG295,df_extratos!G:G,"CREDITO")+SUMIFS(df_extratos!I:I,df_extratos!F:F,Conciliacao!BH295,df_extratos!G:G,"CREDITO")</f>
        <v/>
      </c>
      <c r="I295" s="9">
        <f>H295-SUM(B295:G295)</f>
        <v/>
      </c>
      <c r="J295" s="4">
        <f>SUMIFS(df_blueme_sem_parcelamento!E:E,df_blueme_sem_parcelamento!H:H,Conciliacao!A295)*(-1)</f>
        <v/>
      </c>
      <c r="K295" s="4">
        <f>SUMIFS(df_blueme_com_parcelamento!J:J,df_blueme_com_parcelamento!M:M,Conciliacao!A295)*(-1)</f>
        <v/>
      </c>
      <c r="L295" s="4">
        <f>SUMIFS(df_mutuos!N:N,df_mutuos!B:B,Conciliacao!A295)*(-1)</f>
        <v/>
      </c>
      <c r="M295" s="8">
        <f>SUMIFS(df_bloqueios_judiciais!G:G,df_bloqueios_judiciais!D:D,Conciliacao!A295,df_bloqueios_judiciais!G:G,"&lt;0")</f>
        <v/>
      </c>
      <c r="N295" s="10">
        <f>SUMIFS(df_extratos!I:I,df_extratos!F:F,Conciliacao!BE295,df_extratos!G:G,"DEBITO")+SUMIFS(df_extratos!I:I,df_extratos!F:F,Conciliacao!A295,df_extratos!G:G,"DEBITO")+SUMIFS(df_extratos!I:I,df_extratos!F:F,Conciliacao!BF295,df_extratos!G:G,"DEBITO")+SUMIFS(df_extratos!I:I,df_extratos!F:F,Conciliacao!BG295,df_extratos!G:G,"DEBITO")+SUMIFS(df_extratos!I:I,df_extratos!F:F,Conciliacao!BH295,df_extratos!G:G,"DEBITO")</f>
        <v/>
      </c>
      <c r="O295" s="11">
        <f>N295-SUM(J295:M295)</f>
        <v/>
      </c>
      <c r="P295" s="25">
        <f>SUMIFS(df_ajustes_conciliaco!D:D,df_ajustes_conciliaco!C:C,Conciliacao!A295)</f>
        <v/>
      </c>
      <c r="Q295" s="22">
        <f>O295+I295-P295</f>
        <v/>
      </c>
      <c r="BE295" s="20" t="n">
        <v>45951.5</v>
      </c>
      <c r="BF295" s="20" t="n">
        <v>45951.125</v>
      </c>
      <c r="BG295" s="20" t="n">
        <v>45951.54166666666</v>
      </c>
      <c r="BH295" s="20" t="n">
        <v>45951.625</v>
      </c>
    </row>
    <row r="296">
      <c r="A296" s="5">
        <f>A295+1</f>
        <v/>
      </c>
      <c r="B296" s="3">
        <f>-SUMIFS(df_extrato_zig!G:G,df_extrato_zig!E:E,Conciliacao!A296,df_extrato_zig!D:D,"Saque")-SUMIFS(df_extrato_zig!G:G,df_extrato_zig!E:E,Conciliacao!A296,df_extrato_zig!D:D,"Antecipação")</f>
        <v/>
      </c>
      <c r="C296" s="3">
        <f>SUMIFS(df_extrato_zig!E:E,df_extrato_zig!L:L,Conciliacao!A296,df_extrato_zig!F:F,"DINHEIRO")</f>
        <v/>
      </c>
      <c r="D296" s="3">
        <f>SUMIFS(view_parc_agrup!H:H,view_parc_agrup!G:G,Conciliacao!A296)</f>
        <v/>
      </c>
      <c r="E296" s="3">
        <f>SUMIFS(df_eventos!F:F,df_eventos!H:H,Conciliacao!A296)</f>
        <v/>
      </c>
      <c r="F296" s="3">
        <f>SUMIFS(df_mutuos!M:M,df_mutuos!B:B,Conciliacao!A296)</f>
        <v/>
      </c>
      <c r="G296" s="6">
        <f>SUMIFS(df_bloqueios_judiciais!G:G,df_bloqueios_judiciais!D:D,Conciliacao!A296,df_bloqueios_judiciais!G:G,"&gt;0")</f>
        <v/>
      </c>
      <c r="H296" s="7">
        <f>SUMIFS(df_extratos!I:I,df_extratos!F:F,Conciliacao!BE296,df_extratos!G:G,"CREDITO")+SUMIFS(df_extratos!I:I,df_extratos!F:F,Conciliacao!A296,df_extratos!G:G,"CREDITO")+SUMIFS(df_extratos!I:I,df_extratos!F:F,Conciliacao!BF296,df_extratos!G:G,"CREDITO")+SUMIFS(df_extratos!I:I,df_extratos!F:F,Conciliacao!BG296,df_extratos!G:G,"CREDITO")+SUMIFS(df_extratos!I:I,df_extratos!F:F,Conciliacao!BH296,df_extratos!G:G,"CREDITO")</f>
        <v/>
      </c>
      <c r="I296" s="9">
        <f>H296-SUM(B296:G296)</f>
        <v/>
      </c>
      <c r="J296" s="4">
        <f>SUMIFS(df_blueme_sem_parcelamento!E:E,df_blueme_sem_parcelamento!H:H,Conciliacao!A296)*(-1)</f>
        <v/>
      </c>
      <c r="K296" s="4">
        <f>SUMIFS(df_blueme_com_parcelamento!J:J,df_blueme_com_parcelamento!M:M,Conciliacao!A296)*(-1)</f>
        <v/>
      </c>
      <c r="L296" s="4">
        <f>SUMIFS(df_mutuos!N:N,df_mutuos!B:B,Conciliacao!A296)*(-1)</f>
        <v/>
      </c>
      <c r="M296" s="8">
        <f>SUMIFS(df_bloqueios_judiciais!G:G,df_bloqueios_judiciais!D:D,Conciliacao!A296,df_bloqueios_judiciais!G:G,"&lt;0")</f>
        <v/>
      </c>
      <c r="N296" s="10">
        <f>SUMIFS(df_extratos!I:I,df_extratos!F:F,Conciliacao!BE296,df_extratos!G:G,"DEBITO")+SUMIFS(df_extratos!I:I,df_extratos!F:F,Conciliacao!A296,df_extratos!G:G,"DEBITO")+SUMIFS(df_extratos!I:I,df_extratos!F:F,Conciliacao!BF296,df_extratos!G:G,"DEBITO")+SUMIFS(df_extratos!I:I,df_extratos!F:F,Conciliacao!BG296,df_extratos!G:G,"DEBITO")+SUMIFS(df_extratos!I:I,df_extratos!F:F,Conciliacao!BH296,df_extratos!G:G,"DEBITO")</f>
        <v/>
      </c>
      <c r="O296" s="11">
        <f>N296-SUM(J296:M296)</f>
        <v/>
      </c>
      <c r="P296" s="25">
        <f>SUMIFS(df_ajustes_conciliaco!D:D,df_ajustes_conciliaco!C:C,Conciliacao!A296)</f>
        <v/>
      </c>
      <c r="Q296" s="22">
        <f>O296+I296-P296</f>
        <v/>
      </c>
      <c r="BE296" s="20" t="n">
        <v>45952.5</v>
      </c>
      <c r="BF296" s="20" t="n">
        <v>45952.125</v>
      </c>
      <c r="BG296" s="20" t="n">
        <v>45952.54166666666</v>
      </c>
      <c r="BH296" s="20" t="n">
        <v>45952.625</v>
      </c>
    </row>
    <row r="297">
      <c r="A297" s="5">
        <f>A296+1</f>
        <v/>
      </c>
      <c r="B297" s="3">
        <f>-SUMIFS(df_extrato_zig!G:G,df_extrato_zig!E:E,Conciliacao!A297,df_extrato_zig!D:D,"Saque")-SUMIFS(df_extrato_zig!G:G,df_extrato_zig!E:E,Conciliacao!A297,df_extrato_zig!D:D,"Antecipação")</f>
        <v/>
      </c>
      <c r="C297" s="3">
        <f>SUMIFS(df_extrato_zig!E:E,df_extrato_zig!L:L,Conciliacao!A297,df_extrato_zig!F:F,"DINHEIRO")</f>
        <v/>
      </c>
      <c r="D297" s="3">
        <f>SUMIFS(view_parc_agrup!H:H,view_parc_agrup!G:G,Conciliacao!A297)</f>
        <v/>
      </c>
      <c r="E297" s="3">
        <f>SUMIFS(df_eventos!F:F,df_eventos!H:H,Conciliacao!A297)</f>
        <v/>
      </c>
      <c r="F297" s="3">
        <f>SUMIFS(df_mutuos!M:M,df_mutuos!B:B,Conciliacao!A297)</f>
        <v/>
      </c>
      <c r="G297" s="6">
        <f>SUMIFS(df_bloqueios_judiciais!G:G,df_bloqueios_judiciais!D:D,Conciliacao!A297,df_bloqueios_judiciais!G:G,"&gt;0")</f>
        <v/>
      </c>
      <c r="H297" s="7">
        <f>SUMIFS(df_extratos!I:I,df_extratos!F:F,Conciliacao!BE297,df_extratos!G:G,"CREDITO")+SUMIFS(df_extratos!I:I,df_extratos!F:F,Conciliacao!A297,df_extratos!G:G,"CREDITO")+SUMIFS(df_extratos!I:I,df_extratos!F:F,Conciliacao!BF297,df_extratos!G:G,"CREDITO")+SUMIFS(df_extratos!I:I,df_extratos!F:F,Conciliacao!BG297,df_extratos!G:G,"CREDITO")+SUMIFS(df_extratos!I:I,df_extratos!F:F,Conciliacao!BH297,df_extratos!G:G,"CREDITO")</f>
        <v/>
      </c>
      <c r="I297" s="9">
        <f>H297-SUM(B297:G297)</f>
        <v/>
      </c>
      <c r="J297" s="4">
        <f>SUMIFS(df_blueme_sem_parcelamento!E:E,df_blueme_sem_parcelamento!H:H,Conciliacao!A297)*(-1)</f>
        <v/>
      </c>
      <c r="K297" s="4">
        <f>SUMIFS(df_blueme_com_parcelamento!J:J,df_blueme_com_parcelamento!M:M,Conciliacao!A297)*(-1)</f>
        <v/>
      </c>
      <c r="L297" s="4">
        <f>SUMIFS(df_mutuos!N:N,df_mutuos!B:B,Conciliacao!A297)*(-1)</f>
        <v/>
      </c>
      <c r="M297" s="8">
        <f>SUMIFS(df_bloqueios_judiciais!G:G,df_bloqueios_judiciais!D:D,Conciliacao!A297,df_bloqueios_judiciais!G:G,"&lt;0")</f>
        <v/>
      </c>
      <c r="N297" s="10">
        <f>SUMIFS(df_extratos!I:I,df_extratos!F:F,Conciliacao!BE297,df_extratos!G:G,"DEBITO")+SUMIFS(df_extratos!I:I,df_extratos!F:F,Conciliacao!A297,df_extratos!G:G,"DEBITO")+SUMIFS(df_extratos!I:I,df_extratos!F:F,Conciliacao!BF297,df_extratos!G:G,"DEBITO")+SUMIFS(df_extratos!I:I,df_extratos!F:F,Conciliacao!BG297,df_extratos!G:G,"DEBITO")+SUMIFS(df_extratos!I:I,df_extratos!F:F,Conciliacao!BH297,df_extratos!G:G,"DEBITO")</f>
        <v/>
      </c>
      <c r="O297" s="11">
        <f>N297-SUM(J297:M297)</f>
        <v/>
      </c>
      <c r="P297" s="25">
        <f>SUMIFS(df_ajustes_conciliaco!D:D,df_ajustes_conciliaco!C:C,Conciliacao!A297)</f>
        <v/>
      </c>
      <c r="Q297" s="22">
        <f>O297+I297-P297</f>
        <v/>
      </c>
      <c r="BE297" s="20" t="n">
        <v>45953.5</v>
      </c>
      <c r="BF297" s="20" t="n">
        <v>45953.125</v>
      </c>
      <c r="BG297" s="20" t="n">
        <v>45953.54166666666</v>
      </c>
      <c r="BH297" s="20" t="n">
        <v>45953.625</v>
      </c>
    </row>
    <row r="298">
      <c r="A298" s="5">
        <f>A297+1</f>
        <v/>
      </c>
      <c r="B298" s="3">
        <f>-SUMIFS(df_extrato_zig!G:G,df_extrato_zig!E:E,Conciliacao!A298,df_extrato_zig!D:D,"Saque")-SUMIFS(df_extrato_zig!G:G,df_extrato_zig!E:E,Conciliacao!A298,df_extrato_zig!D:D,"Antecipação")</f>
        <v/>
      </c>
      <c r="C298" s="3">
        <f>SUMIFS(df_extrato_zig!E:E,df_extrato_zig!L:L,Conciliacao!A298,df_extrato_zig!F:F,"DINHEIRO")</f>
        <v/>
      </c>
      <c r="D298" s="3">
        <f>SUMIFS(view_parc_agrup!H:H,view_parc_agrup!G:G,Conciliacao!A298)</f>
        <v/>
      </c>
      <c r="E298" s="3">
        <f>SUMIFS(df_eventos!F:F,df_eventos!H:H,Conciliacao!A298)</f>
        <v/>
      </c>
      <c r="F298" s="3">
        <f>SUMIFS(df_mutuos!M:M,df_mutuos!B:B,Conciliacao!A298)</f>
        <v/>
      </c>
      <c r="G298" s="6">
        <f>SUMIFS(df_bloqueios_judiciais!G:G,df_bloqueios_judiciais!D:D,Conciliacao!A298,df_bloqueios_judiciais!G:G,"&gt;0")</f>
        <v/>
      </c>
      <c r="H298" s="7">
        <f>SUMIFS(df_extratos!I:I,df_extratos!F:F,Conciliacao!BE298,df_extratos!G:G,"CREDITO")+SUMIFS(df_extratos!I:I,df_extratos!F:F,Conciliacao!A298,df_extratos!G:G,"CREDITO")+SUMIFS(df_extratos!I:I,df_extratos!F:F,Conciliacao!BF298,df_extratos!G:G,"CREDITO")+SUMIFS(df_extratos!I:I,df_extratos!F:F,Conciliacao!BG298,df_extratos!G:G,"CREDITO")+SUMIFS(df_extratos!I:I,df_extratos!F:F,Conciliacao!BH298,df_extratos!G:G,"CREDITO")</f>
        <v/>
      </c>
      <c r="I298" s="9">
        <f>H298-SUM(B298:G298)</f>
        <v/>
      </c>
      <c r="J298" s="4">
        <f>SUMIFS(df_blueme_sem_parcelamento!E:E,df_blueme_sem_parcelamento!H:H,Conciliacao!A298)*(-1)</f>
        <v/>
      </c>
      <c r="K298" s="4">
        <f>SUMIFS(df_blueme_com_parcelamento!J:J,df_blueme_com_parcelamento!M:M,Conciliacao!A298)*(-1)</f>
        <v/>
      </c>
      <c r="L298" s="4">
        <f>SUMIFS(df_mutuos!N:N,df_mutuos!B:B,Conciliacao!A298)*(-1)</f>
        <v/>
      </c>
      <c r="M298" s="8">
        <f>SUMIFS(df_bloqueios_judiciais!G:G,df_bloqueios_judiciais!D:D,Conciliacao!A298,df_bloqueios_judiciais!G:G,"&lt;0")</f>
        <v/>
      </c>
      <c r="N298" s="10">
        <f>SUMIFS(df_extratos!I:I,df_extratos!F:F,Conciliacao!BE298,df_extratos!G:G,"DEBITO")+SUMIFS(df_extratos!I:I,df_extratos!F:F,Conciliacao!A298,df_extratos!G:G,"DEBITO")+SUMIFS(df_extratos!I:I,df_extratos!F:F,Conciliacao!BF298,df_extratos!G:G,"DEBITO")+SUMIFS(df_extratos!I:I,df_extratos!F:F,Conciliacao!BG298,df_extratos!G:G,"DEBITO")+SUMIFS(df_extratos!I:I,df_extratos!F:F,Conciliacao!BH298,df_extratos!G:G,"DEBITO")</f>
        <v/>
      </c>
      <c r="O298" s="11">
        <f>N298-SUM(J298:M298)</f>
        <v/>
      </c>
      <c r="P298" s="25">
        <f>SUMIFS(df_ajustes_conciliaco!D:D,df_ajustes_conciliaco!C:C,Conciliacao!A298)</f>
        <v/>
      </c>
      <c r="Q298" s="22">
        <f>O298+I298-P298</f>
        <v/>
      </c>
      <c r="BE298" s="20" t="n">
        <v>45954.5</v>
      </c>
      <c r="BF298" s="20" t="n">
        <v>45954.125</v>
      </c>
      <c r="BG298" s="20" t="n">
        <v>45954.54166666666</v>
      </c>
      <c r="BH298" s="20" t="n">
        <v>45954.625</v>
      </c>
    </row>
    <row r="299">
      <c r="A299" s="5">
        <f>A298+1</f>
        <v/>
      </c>
      <c r="B299" s="3">
        <f>-SUMIFS(df_extrato_zig!G:G,df_extrato_zig!E:E,Conciliacao!A299,df_extrato_zig!D:D,"Saque")-SUMIFS(df_extrato_zig!G:G,df_extrato_zig!E:E,Conciliacao!A299,df_extrato_zig!D:D,"Antecipação")</f>
        <v/>
      </c>
      <c r="C299" s="3">
        <f>SUMIFS(df_extrato_zig!E:E,df_extrato_zig!L:L,Conciliacao!A299,df_extrato_zig!F:F,"DINHEIRO")</f>
        <v/>
      </c>
      <c r="D299" s="3">
        <f>SUMIFS(view_parc_agrup!H:H,view_parc_agrup!G:G,Conciliacao!A299)</f>
        <v/>
      </c>
      <c r="E299" s="3">
        <f>SUMIFS(df_eventos!F:F,df_eventos!H:H,Conciliacao!A299)</f>
        <v/>
      </c>
      <c r="F299" s="3">
        <f>SUMIFS(df_mutuos!M:M,df_mutuos!B:B,Conciliacao!A299)</f>
        <v/>
      </c>
      <c r="G299" s="6">
        <f>SUMIFS(df_bloqueios_judiciais!G:G,df_bloqueios_judiciais!D:D,Conciliacao!A299,df_bloqueios_judiciais!G:G,"&gt;0")</f>
        <v/>
      </c>
      <c r="H299" s="7">
        <f>SUMIFS(df_extratos!I:I,df_extratos!F:F,Conciliacao!BE299,df_extratos!G:G,"CREDITO")+SUMIFS(df_extratos!I:I,df_extratos!F:F,Conciliacao!A299,df_extratos!G:G,"CREDITO")+SUMIFS(df_extratos!I:I,df_extratos!F:F,Conciliacao!BF299,df_extratos!G:G,"CREDITO")+SUMIFS(df_extratos!I:I,df_extratos!F:F,Conciliacao!BG299,df_extratos!G:G,"CREDITO")+SUMIFS(df_extratos!I:I,df_extratos!F:F,Conciliacao!BH299,df_extratos!G:G,"CREDITO")</f>
        <v/>
      </c>
      <c r="I299" s="9">
        <f>H299-SUM(B299:G299)</f>
        <v/>
      </c>
      <c r="J299" s="4">
        <f>SUMIFS(df_blueme_sem_parcelamento!E:E,df_blueme_sem_parcelamento!H:H,Conciliacao!A299)*(-1)</f>
        <v/>
      </c>
      <c r="K299" s="4">
        <f>SUMIFS(df_blueme_com_parcelamento!J:J,df_blueme_com_parcelamento!M:M,Conciliacao!A299)*(-1)</f>
        <v/>
      </c>
      <c r="L299" s="4">
        <f>SUMIFS(df_mutuos!N:N,df_mutuos!B:B,Conciliacao!A299)*(-1)</f>
        <v/>
      </c>
      <c r="M299" s="8">
        <f>SUMIFS(df_bloqueios_judiciais!G:G,df_bloqueios_judiciais!D:D,Conciliacao!A299,df_bloqueios_judiciais!G:G,"&lt;0")</f>
        <v/>
      </c>
      <c r="N299" s="10">
        <f>SUMIFS(df_extratos!I:I,df_extratos!F:F,Conciliacao!BE299,df_extratos!G:G,"DEBITO")+SUMIFS(df_extratos!I:I,df_extratos!F:F,Conciliacao!A299,df_extratos!G:G,"DEBITO")+SUMIFS(df_extratos!I:I,df_extratos!F:F,Conciliacao!BF299,df_extratos!G:G,"DEBITO")+SUMIFS(df_extratos!I:I,df_extratos!F:F,Conciliacao!BG299,df_extratos!G:G,"DEBITO")+SUMIFS(df_extratos!I:I,df_extratos!F:F,Conciliacao!BH299,df_extratos!G:G,"DEBITO")</f>
        <v/>
      </c>
      <c r="O299" s="11">
        <f>N299-SUM(J299:M299)</f>
        <v/>
      </c>
      <c r="P299" s="25">
        <f>SUMIFS(df_ajustes_conciliaco!D:D,df_ajustes_conciliaco!C:C,Conciliacao!A299)</f>
        <v/>
      </c>
      <c r="Q299" s="22">
        <f>O299+I299-P299</f>
        <v/>
      </c>
      <c r="BE299" s="20" t="n">
        <v>45955.5</v>
      </c>
      <c r="BF299" s="20" t="n">
        <v>45955.125</v>
      </c>
      <c r="BG299" s="20" t="n">
        <v>45955.54166666666</v>
      </c>
      <c r="BH299" s="20" t="n">
        <v>45955.625</v>
      </c>
    </row>
    <row r="300">
      <c r="A300" s="5">
        <f>A299+1</f>
        <v/>
      </c>
      <c r="B300" s="3">
        <f>-SUMIFS(df_extrato_zig!G:G,df_extrato_zig!E:E,Conciliacao!A300,df_extrato_zig!D:D,"Saque")-SUMIFS(df_extrato_zig!G:G,df_extrato_zig!E:E,Conciliacao!A300,df_extrato_zig!D:D,"Antecipação")</f>
        <v/>
      </c>
      <c r="C300" s="3">
        <f>SUMIFS(df_extrato_zig!E:E,df_extrato_zig!L:L,Conciliacao!A300,df_extrato_zig!F:F,"DINHEIRO")</f>
        <v/>
      </c>
      <c r="D300" s="3">
        <f>SUMIFS(view_parc_agrup!H:H,view_parc_agrup!G:G,Conciliacao!A300)</f>
        <v/>
      </c>
      <c r="E300" s="3">
        <f>SUMIFS(df_eventos!F:F,df_eventos!H:H,Conciliacao!A300)</f>
        <v/>
      </c>
      <c r="F300" s="3">
        <f>SUMIFS(df_mutuos!M:M,df_mutuos!B:B,Conciliacao!A300)</f>
        <v/>
      </c>
      <c r="G300" s="6">
        <f>SUMIFS(df_bloqueios_judiciais!G:G,df_bloqueios_judiciais!D:D,Conciliacao!A300,df_bloqueios_judiciais!G:G,"&gt;0")</f>
        <v/>
      </c>
      <c r="H300" s="7">
        <f>SUMIFS(df_extratos!I:I,df_extratos!F:F,Conciliacao!BE300,df_extratos!G:G,"CREDITO")+SUMIFS(df_extratos!I:I,df_extratos!F:F,Conciliacao!A300,df_extratos!G:G,"CREDITO")+SUMIFS(df_extratos!I:I,df_extratos!F:F,Conciliacao!BF300,df_extratos!G:G,"CREDITO")+SUMIFS(df_extratos!I:I,df_extratos!F:F,Conciliacao!BG300,df_extratos!G:G,"CREDITO")+SUMIFS(df_extratos!I:I,df_extratos!F:F,Conciliacao!BH300,df_extratos!G:G,"CREDITO")</f>
        <v/>
      </c>
      <c r="I300" s="9">
        <f>H300-SUM(B300:G300)</f>
        <v/>
      </c>
      <c r="J300" s="4">
        <f>SUMIFS(df_blueme_sem_parcelamento!E:E,df_blueme_sem_parcelamento!H:H,Conciliacao!A300)*(-1)</f>
        <v/>
      </c>
      <c r="K300" s="4">
        <f>SUMIFS(df_blueme_com_parcelamento!J:J,df_blueme_com_parcelamento!M:M,Conciliacao!A300)*(-1)</f>
        <v/>
      </c>
      <c r="L300" s="4">
        <f>SUMIFS(df_mutuos!N:N,df_mutuos!B:B,Conciliacao!A300)*(-1)</f>
        <v/>
      </c>
      <c r="M300" s="8">
        <f>SUMIFS(df_bloqueios_judiciais!G:G,df_bloqueios_judiciais!D:D,Conciliacao!A300,df_bloqueios_judiciais!G:G,"&lt;0")</f>
        <v/>
      </c>
      <c r="N300" s="10">
        <f>SUMIFS(df_extratos!I:I,df_extratos!F:F,Conciliacao!BE300,df_extratos!G:G,"DEBITO")+SUMIFS(df_extratos!I:I,df_extratos!F:F,Conciliacao!A300,df_extratos!G:G,"DEBITO")+SUMIFS(df_extratos!I:I,df_extratos!F:F,Conciliacao!BF300,df_extratos!G:G,"DEBITO")+SUMIFS(df_extratos!I:I,df_extratos!F:F,Conciliacao!BG300,df_extratos!G:G,"DEBITO")+SUMIFS(df_extratos!I:I,df_extratos!F:F,Conciliacao!BH300,df_extratos!G:G,"DEBITO")</f>
        <v/>
      </c>
      <c r="O300" s="11">
        <f>N300-SUM(J300:M300)</f>
        <v/>
      </c>
      <c r="P300" s="25">
        <f>SUMIFS(df_ajustes_conciliaco!D:D,df_ajustes_conciliaco!C:C,Conciliacao!A300)</f>
        <v/>
      </c>
      <c r="Q300" s="22">
        <f>O300+I300-P300</f>
        <v/>
      </c>
      <c r="BE300" s="20" t="n">
        <v>45956.5</v>
      </c>
      <c r="BF300" s="20" t="n">
        <v>45956.125</v>
      </c>
      <c r="BG300" s="20" t="n">
        <v>45956.54166666666</v>
      </c>
      <c r="BH300" s="20" t="n">
        <v>45956.625</v>
      </c>
    </row>
    <row r="301">
      <c r="A301" s="5">
        <f>A300+1</f>
        <v/>
      </c>
      <c r="B301" s="3">
        <f>-SUMIFS(df_extrato_zig!G:G,df_extrato_zig!E:E,Conciliacao!A301,df_extrato_zig!D:D,"Saque")-SUMIFS(df_extrato_zig!G:G,df_extrato_zig!E:E,Conciliacao!A301,df_extrato_zig!D:D,"Antecipação")</f>
        <v/>
      </c>
      <c r="C301" s="3">
        <f>SUMIFS(df_extrato_zig!E:E,df_extrato_zig!L:L,Conciliacao!A301,df_extrato_zig!F:F,"DINHEIRO")</f>
        <v/>
      </c>
      <c r="D301" s="3">
        <f>SUMIFS(view_parc_agrup!H:H,view_parc_agrup!G:G,Conciliacao!A301)</f>
        <v/>
      </c>
      <c r="E301" s="3">
        <f>SUMIFS(df_eventos!F:F,df_eventos!H:H,Conciliacao!A301)</f>
        <v/>
      </c>
      <c r="F301" s="3">
        <f>SUMIFS(df_mutuos!M:M,df_mutuos!B:B,Conciliacao!A301)</f>
        <v/>
      </c>
      <c r="G301" s="6">
        <f>SUMIFS(df_bloqueios_judiciais!G:G,df_bloqueios_judiciais!D:D,Conciliacao!A301,df_bloqueios_judiciais!G:G,"&gt;0")</f>
        <v/>
      </c>
      <c r="H301" s="7">
        <f>SUMIFS(df_extratos!I:I,df_extratos!F:F,Conciliacao!BE301,df_extratos!G:G,"CREDITO")+SUMIFS(df_extratos!I:I,df_extratos!F:F,Conciliacao!A301,df_extratos!G:G,"CREDITO")+SUMIFS(df_extratos!I:I,df_extratos!F:F,Conciliacao!BF301,df_extratos!G:G,"CREDITO")+SUMIFS(df_extratos!I:I,df_extratos!F:F,Conciliacao!BG301,df_extratos!G:G,"CREDITO")+SUMIFS(df_extratos!I:I,df_extratos!F:F,Conciliacao!BH301,df_extratos!G:G,"CREDITO")</f>
        <v/>
      </c>
      <c r="I301" s="9">
        <f>H301-SUM(B301:G301)</f>
        <v/>
      </c>
      <c r="J301" s="4">
        <f>SUMIFS(df_blueme_sem_parcelamento!E:E,df_blueme_sem_parcelamento!H:H,Conciliacao!A301)*(-1)</f>
        <v/>
      </c>
      <c r="K301" s="4">
        <f>SUMIFS(df_blueme_com_parcelamento!J:J,df_blueme_com_parcelamento!M:M,Conciliacao!A301)*(-1)</f>
        <v/>
      </c>
      <c r="L301" s="4">
        <f>SUMIFS(df_mutuos!N:N,df_mutuos!B:B,Conciliacao!A301)*(-1)</f>
        <v/>
      </c>
      <c r="M301" s="8">
        <f>SUMIFS(df_bloqueios_judiciais!G:G,df_bloqueios_judiciais!D:D,Conciliacao!A301,df_bloqueios_judiciais!G:G,"&lt;0")</f>
        <v/>
      </c>
      <c r="N301" s="10">
        <f>SUMIFS(df_extratos!I:I,df_extratos!F:F,Conciliacao!BE301,df_extratos!G:G,"DEBITO")+SUMIFS(df_extratos!I:I,df_extratos!F:F,Conciliacao!A301,df_extratos!G:G,"DEBITO")+SUMIFS(df_extratos!I:I,df_extratos!F:F,Conciliacao!BF301,df_extratos!G:G,"DEBITO")+SUMIFS(df_extratos!I:I,df_extratos!F:F,Conciliacao!BG301,df_extratos!G:G,"DEBITO")+SUMIFS(df_extratos!I:I,df_extratos!F:F,Conciliacao!BH301,df_extratos!G:G,"DEBITO")</f>
        <v/>
      </c>
      <c r="O301" s="11">
        <f>N301-SUM(J301:M301)</f>
        <v/>
      </c>
      <c r="P301" s="25">
        <f>SUMIFS(df_ajustes_conciliaco!D:D,df_ajustes_conciliaco!C:C,Conciliacao!A301)</f>
        <v/>
      </c>
      <c r="Q301" s="22">
        <f>O301+I301-P301</f>
        <v/>
      </c>
      <c r="BE301" s="20" t="n">
        <v>45957.5</v>
      </c>
      <c r="BF301" s="20" t="n">
        <v>45957.125</v>
      </c>
      <c r="BG301" s="20" t="n">
        <v>45957.54166666666</v>
      </c>
      <c r="BH301" s="20" t="n">
        <v>45957.625</v>
      </c>
    </row>
    <row r="302">
      <c r="A302" s="5">
        <f>A301+1</f>
        <v/>
      </c>
      <c r="B302" s="3">
        <f>-SUMIFS(df_extrato_zig!G:G,df_extrato_zig!E:E,Conciliacao!A302,df_extrato_zig!D:D,"Saque")-SUMIFS(df_extrato_zig!G:G,df_extrato_zig!E:E,Conciliacao!A302,df_extrato_zig!D:D,"Antecipação")</f>
        <v/>
      </c>
      <c r="C302" s="3">
        <f>SUMIFS(df_extrato_zig!E:E,df_extrato_zig!L:L,Conciliacao!A302,df_extrato_zig!F:F,"DINHEIRO")</f>
        <v/>
      </c>
      <c r="D302" s="3">
        <f>SUMIFS(view_parc_agrup!H:H,view_parc_agrup!G:G,Conciliacao!A302)</f>
        <v/>
      </c>
      <c r="E302" s="3">
        <f>SUMIFS(df_eventos!F:F,df_eventos!H:H,Conciliacao!A302)</f>
        <v/>
      </c>
      <c r="F302" s="3">
        <f>SUMIFS(df_mutuos!M:M,df_mutuos!B:B,Conciliacao!A302)</f>
        <v/>
      </c>
      <c r="G302" s="6">
        <f>SUMIFS(df_bloqueios_judiciais!G:G,df_bloqueios_judiciais!D:D,Conciliacao!A302,df_bloqueios_judiciais!G:G,"&gt;0")</f>
        <v/>
      </c>
      <c r="H302" s="7">
        <f>SUMIFS(df_extratos!I:I,df_extratos!F:F,Conciliacao!BE302,df_extratos!G:G,"CREDITO")+SUMIFS(df_extratos!I:I,df_extratos!F:F,Conciliacao!A302,df_extratos!G:G,"CREDITO")+SUMIFS(df_extratos!I:I,df_extratos!F:F,Conciliacao!BF302,df_extratos!G:G,"CREDITO")+SUMIFS(df_extratos!I:I,df_extratos!F:F,Conciliacao!BG302,df_extratos!G:G,"CREDITO")+SUMIFS(df_extratos!I:I,df_extratos!F:F,Conciliacao!BH302,df_extratos!G:G,"CREDITO")</f>
        <v/>
      </c>
      <c r="I302" s="9">
        <f>H302-SUM(B302:G302)</f>
        <v/>
      </c>
      <c r="J302" s="4">
        <f>SUMIFS(df_blueme_sem_parcelamento!E:E,df_blueme_sem_parcelamento!H:H,Conciliacao!A302)*(-1)</f>
        <v/>
      </c>
      <c r="K302" s="4">
        <f>SUMIFS(df_blueme_com_parcelamento!J:J,df_blueme_com_parcelamento!M:M,Conciliacao!A302)*(-1)</f>
        <v/>
      </c>
      <c r="L302" s="4">
        <f>SUMIFS(df_mutuos!N:N,df_mutuos!B:B,Conciliacao!A302)*(-1)</f>
        <v/>
      </c>
      <c r="M302" s="8">
        <f>SUMIFS(df_bloqueios_judiciais!G:G,df_bloqueios_judiciais!D:D,Conciliacao!A302,df_bloqueios_judiciais!G:G,"&lt;0")</f>
        <v/>
      </c>
      <c r="N302" s="10">
        <f>SUMIFS(df_extratos!I:I,df_extratos!F:F,Conciliacao!BE302,df_extratos!G:G,"DEBITO")+SUMIFS(df_extratos!I:I,df_extratos!F:F,Conciliacao!A302,df_extratos!G:G,"DEBITO")+SUMIFS(df_extratos!I:I,df_extratos!F:F,Conciliacao!BF302,df_extratos!G:G,"DEBITO")+SUMIFS(df_extratos!I:I,df_extratos!F:F,Conciliacao!BG302,df_extratos!G:G,"DEBITO")+SUMIFS(df_extratos!I:I,df_extratos!F:F,Conciliacao!BH302,df_extratos!G:G,"DEBITO")</f>
        <v/>
      </c>
      <c r="O302" s="11">
        <f>N302-SUM(J302:M302)</f>
        <v/>
      </c>
      <c r="P302" s="25">
        <f>SUMIFS(df_ajustes_conciliaco!D:D,df_ajustes_conciliaco!C:C,Conciliacao!A302)</f>
        <v/>
      </c>
      <c r="Q302" s="22">
        <f>O302+I302-P302</f>
        <v/>
      </c>
      <c r="BE302" s="20" t="n">
        <v>45958.5</v>
      </c>
      <c r="BF302" s="20" t="n">
        <v>45958.125</v>
      </c>
      <c r="BG302" s="20" t="n">
        <v>45958.54166666666</v>
      </c>
      <c r="BH302" s="20" t="n">
        <v>45958.625</v>
      </c>
    </row>
    <row r="303">
      <c r="A303" s="5">
        <f>A302+1</f>
        <v/>
      </c>
      <c r="B303" s="3">
        <f>-SUMIFS(df_extrato_zig!G:G,df_extrato_zig!E:E,Conciliacao!A303,df_extrato_zig!D:D,"Saque")-SUMIFS(df_extrato_zig!G:G,df_extrato_zig!E:E,Conciliacao!A303,df_extrato_zig!D:D,"Antecipação")</f>
        <v/>
      </c>
      <c r="C303" s="3">
        <f>SUMIFS(df_extrato_zig!E:E,df_extrato_zig!L:L,Conciliacao!A303,df_extrato_zig!F:F,"DINHEIRO")</f>
        <v/>
      </c>
      <c r="D303" s="3">
        <f>SUMIFS(view_parc_agrup!H:H,view_parc_agrup!G:G,Conciliacao!A303)</f>
        <v/>
      </c>
      <c r="E303" s="3">
        <f>SUMIFS(df_eventos!F:F,df_eventos!H:H,Conciliacao!A303)</f>
        <v/>
      </c>
      <c r="F303" s="3">
        <f>SUMIFS(df_mutuos!M:M,df_mutuos!B:B,Conciliacao!A303)</f>
        <v/>
      </c>
      <c r="G303" s="6">
        <f>SUMIFS(df_bloqueios_judiciais!G:G,df_bloqueios_judiciais!D:D,Conciliacao!A303,df_bloqueios_judiciais!G:G,"&gt;0")</f>
        <v/>
      </c>
      <c r="H303" s="7">
        <f>SUMIFS(df_extratos!I:I,df_extratos!F:F,Conciliacao!BE303,df_extratos!G:G,"CREDITO")+SUMIFS(df_extratos!I:I,df_extratos!F:F,Conciliacao!A303,df_extratos!G:G,"CREDITO")+SUMIFS(df_extratos!I:I,df_extratos!F:F,Conciliacao!BF303,df_extratos!G:G,"CREDITO")+SUMIFS(df_extratos!I:I,df_extratos!F:F,Conciliacao!BG303,df_extratos!G:G,"CREDITO")+SUMIFS(df_extratos!I:I,df_extratos!F:F,Conciliacao!BH303,df_extratos!G:G,"CREDITO")</f>
        <v/>
      </c>
      <c r="I303" s="9">
        <f>H303-SUM(B303:G303)</f>
        <v/>
      </c>
      <c r="J303" s="4">
        <f>SUMIFS(df_blueme_sem_parcelamento!E:E,df_blueme_sem_parcelamento!H:H,Conciliacao!A303)*(-1)</f>
        <v/>
      </c>
      <c r="K303" s="4">
        <f>SUMIFS(df_blueme_com_parcelamento!J:J,df_blueme_com_parcelamento!M:M,Conciliacao!A303)*(-1)</f>
        <v/>
      </c>
      <c r="L303" s="4">
        <f>SUMIFS(df_mutuos!N:N,df_mutuos!B:B,Conciliacao!A303)*(-1)</f>
        <v/>
      </c>
      <c r="M303" s="8">
        <f>SUMIFS(df_bloqueios_judiciais!G:G,df_bloqueios_judiciais!D:D,Conciliacao!A303,df_bloqueios_judiciais!G:G,"&lt;0")</f>
        <v/>
      </c>
      <c r="N303" s="10">
        <f>SUMIFS(df_extratos!I:I,df_extratos!F:F,Conciliacao!BE303,df_extratos!G:G,"DEBITO")+SUMIFS(df_extratos!I:I,df_extratos!F:F,Conciliacao!A303,df_extratos!G:G,"DEBITO")+SUMIFS(df_extratos!I:I,df_extratos!F:F,Conciliacao!BF303,df_extratos!G:G,"DEBITO")+SUMIFS(df_extratos!I:I,df_extratos!F:F,Conciliacao!BG303,df_extratos!G:G,"DEBITO")+SUMIFS(df_extratos!I:I,df_extratos!F:F,Conciliacao!BH303,df_extratos!G:G,"DEBITO")</f>
        <v/>
      </c>
      <c r="O303" s="11">
        <f>N303-SUM(J303:M303)</f>
        <v/>
      </c>
      <c r="P303" s="25">
        <f>SUMIFS(df_ajustes_conciliaco!D:D,df_ajustes_conciliaco!C:C,Conciliacao!A303)</f>
        <v/>
      </c>
      <c r="Q303" s="22">
        <f>O303+I303-P303</f>
        <v/>
      </c>
      <c r="BE303" s="20" t="n">
        <v>45959.5</v>
      </c>
      <c r="BF303" s="20" t="n">
        <v>45959.125</v>
      </c>
      <c r="BG303" s="20" t="n">
        <v>45959.54166666666</v>
      </c>
      <c r="BH303" s="20" t="n">
        <v>45959.625</v>
      </c>
    </row>
    <row r="304">
      <c r="A304" s="5">
        <f>A303+1</f>
        <v/>
      </c>
      <c r="B304" s="3">
        <f>-SUMIFS(df_extrato_zig!G:G,df_extrato_zig!E:E,Conciliacao!A304,df_extrato_zig!D:D,"Saque")-SUMIFS(df_extrato_zig!G:G,df_extrato_zig!E:E,Conciliacao!A304,df_extrato_zig!D:D,"Antecipação")</f>
        <v/>
      </c>
      <c r="C304" s="3">
        <f>SUMIFS(df_extrato_zig!E:E,df_extrato_zig!L:L,Conciliacao!A304,df_extrato_zig!F:F,"DINHEIRO")</f>
        <v/>
      </c>
      <c r="D304" s="3">
        <f>SUMIFS(view_parc_agrup!H:H,view_parc_agrup!G:G,Conciliacao!A304)</f>
        <v/>
      </c>
      <c r="E304" s="3">
        <f>SUMIFS(df_eventos!F:F,df_eventos!H:H,Conciliacao!A304)</f>
        <v/>
      </c>
      <c r="F304" s="3">
        <f>SUMIFS(df_mutuos!M:M,df_mutuos!B:B,Conciliacao!A304)</f>
        <v/>
      </c>
      <c r="G304" s="6">
        <f>SUMIFS(df_bloqueios_judiciais!G:G,df_bloqueios_judiciais!D:D,Conciliacao!A304,df_bloqueios_judiciais!G:G,"&gt;0")</f>
        <v/>
      </c>
      <c r="H304" s="7">
        <f>SUMIFS(df_extratos!I:I,df_extratos!F:F,Conciliacao!BE304,df_extratos!G:G,"CREDITO")+SUMIFS(df_extratos!I:I,df_extratos!F:F,Conciliacao!A304,df_extratos!G:G,"CREDITO")+SUMIFS(df_extratos!I:I,df_extratos!F:F,Conciliacao!BF304,df_extratos!G:G,"CREDITO")+SUMIFS(df_extratos!I:I,df_extratos!F:F,Conciliacao!BG304,df_extratos!G:G,"CREDITO")+SUMIFS(df_extratos!I:I,df_extratos!F:F,Conciliacao!BH304,df_extratos!G:G,"CREDITO")</f>
        <v/>
      </c>
      <c r="I304" s="9">
        <f>H304-SUM(B304:G304)</f>
        <v/>
      </c>
      <c r="J304" s="4">
        <f>SUMIFS(df_blueme_sem_parcelamento!E:E,df_blueme_sem_parcelamento!H:H,Conciliacao!A304)*(-1)</f>
        <v/>
      </c>
      <c r="K304" s="4">
        <f>SUMIFS(df_blueme_com_parcelamento!J:J,df_blueme_com_parcelamento!M:M,Conciliacao!A304)*(-1)</f>
        <v/>
      </c>
      <c r="L304" s="4">
        <f>SUMIFS(df_mutuos!N:N,df_mutuos!B:B,Conciliacao!A304)*(-1)</f>
        <v/>
      </c>
      <c r="M304" s="8">
        <f>SUMIFS(df_bloqueios_judiciais!G:G,df_bloqueios_judiciais!D:D,Conciliacao!A304,df_bloqueios_judiciais!G:G,"&lt;0")</f>
        <v/>
      </c>
      <c r="N304" s="10">
        <f>SUMIFS(df_extratos!I:I,df_extratos!F:F,Conciliacao!BE304,df_extratos!G:G,"DEBITO")+SUMIFS(df_extratos!I:I,df_extratos!F:F,Conciliacao!A304,df_extratos!G:G,"DEBITO")+SUMIFS(df_extratos!I:I,df_extratos!F:F,Conciliacao!BF304,df_extratos!G:G,"DEBITO")+SUMIFS(df_extratos!I:I,df_extratos!F:F,Conciliacao!BG304,df_extratos!G:G,"DEBITO")+SUMIFS(df_extratos!I:I,df_extratos!F:F,Conciliacao!BH304,df_extratos!G:G,"DEBITO")</f>
        <v/>
      </c>
      <c r="O304" s="11">
        <f>N304-SUM(J304:M304)</f>
        <v/>
      </c>
      <c r="P304" s="25">
        <f>SUMIFS(df_ajustes_conciliaco!D:D,df_ajustes_conciliaco!C:C,Conciliacao!A304)</f>
        <v/>
      </c>
      <c r="Q304" s="22">
        <f>O304+I304-P304</f>
        <v/>
      </c>
      <c r="BE304" s="20" t="n">
        <v>45960.5</v>
      </c>
      <c r="BF304" s="20" t="n">
        <v>45960.125</v>
      </c>
      <c r="BG304" s="20" t="n">
        <v>45960.54166666666</v>
      </c>
      <c r="BH304" s="20" t="n">
        <v>45960.625</v>
      </c>
    </row>
    <row r="305">
      <c r="A305" s="5">
        <f>A304+1</f>
        <v/>
      </c>
      <c r="B305" s="3">
        <f>-SUMIFS(df_extrato_zig!G:G,df_extrato_zig!E:E,Conciliacao!A305,df_extrato_zig!D:D,"Saque")-SUMIFS(df_extrato_zig!G:G,df_extrato_zig!E:E,Conciliacao!A305,df_extrato_zig!D:D,"Antecipação")</f>
        <v/>
      </c>
      <c r="C305" s="3">
        <f>SUMIFS(df_extrato_zig!E:E,df_extrato_zig!L:L,Conciliacao!A305,df_extrato_zig!F:F,"DINHEIRO")</f>
        <v/>
      </c>
      <c r="D305" s="3">
        <f>SUMIFS(view_parc_agrup!H:H,view_parc_agrup!G:G,Conciliacao!A305)</f>
        <v/>
      </c>
      <c r="E305" s="3">
        <f>SUMIFS(df_eventos!F:F,df_eventos!H:H,Conciliacao!A305)</f>
        <v/>
      </c>
      <c r="F305" s="3">
        <f>SUMIFS(df_mutuos!M:M,df_mutuos!B:B,Conciliacao!A305)</f>
        <v/>
      </c>
      <c r="G305" s="6">
        <f>SUMIFS(df_bloqueios_judiciais!G:G,df_bloqueios_judiciais!D:D,Conciliacao!A305,df_bloqueios_judiciais!G:G,"&gt;0")</f>
        <v/>
      </c>
      <c r="H305" s="7">
        <f>SUMIFS(df_extratos!I:I,df_extratos!F:F,Conciliacao!BE305,df_extratos!G:G,"CREDITO")+SUMIFS(df_extratos!I:I,df_extratos!F:F,Conciliacao!A305,df_extratos!G:G,"CREDITO")+SUMIFS(df_extratos!I:I,df_extratos!F:F,Conciliacao!BF305,df_extratos!G:G,"CREDITO")+SUMIFS(df_extratos!I:I,df_extratos!F:F,Conciliacao!BG305,df_extratos!G:G,"CREDITO")+SUMIFS(df_extratos!I:I,df_extratos!F:F,Conciliacao!BH305,df_extratos!G:G,"CREDITO")</f>
        <v/>
      </c>
      <c r="I305" s="9">
        <f>H305-SUM(B305:G305)</f>
        <v/>
      </c>
      <c r="J305" s="4">
        <f>SUMIFS(df_blueme_sem_parcelamento!E:E,df_blueme_sem_parcelamento!H:H,Conciliacao!A305)*(-1)</f>
        <v/>
      </c>
      <c r="K305" s="4">
        <f>SUMIFS(df_blueme_com_parcelamento!J:J,df_blueme_com_parcelamento!M:M,Conciliacao!A305)*(-1)</f>
        <v/>
      </c>
      <c r="L305" s="4">
        <f>SUMIFS(df_mutuos!N:N,df_mutuos!B:B,Conciliacao!A305)*(-1)</f>
        <v/>
      </c>
      <c r="M305" s="8">
        <f>SUMIFS(df_bloqueios_judiciais!G:G,df_bloqueios_judiciais!D:D,Conciliacao!A305,df_bloqueios_judiciais!G:G,"&lt;0")</f>
        <v/>
      </c>
      <c r="N305" s="10">
        <f>SUMIFS(df_extratos!I:I,df_extratos!F:F,Conciliacao!BE305,df_extratos!G:G,"DEBITO")+SUMIFS(df_extratos!I:I,df_extratos!F:F,Conciliacao!A305,df_extratos!G:G,"DEBITO")+SUMIFS(df_extratos!I:I,df_extratos!F:F,Conciliacao!BF305,df_extratos!G:G,"DEBITO")+SUMIFS(df_extratos!I:I,df_extratos!F:F,Conciliacao!BG305,df_extratos!G:G,"DEBITO")+SUMIFS(df_extratos!I:I,df_extratos!F:F,Conciliacao!BH305,df_extratos!G:G,"DEBITO")</f>
        <v/>
      </c>
      <c r="O305" s="11">
        <f>N305-SUM(J305:M305)</f>
        <v/>
      </c>
      <c r="P305" s="25">
        <f>SUMIFS(df_ajustes_conciliaco!D:D,df_ajustes_conciliaco!C:C,Conciliacao!A305)</f>
        <v/>
      </c>
      <c r="Q305" s="22">
        <f>O305+I305-P305</f>
        <v/>
      </c>
      <c r="BE305" s="20" t="n">
        <v>45961.5</v>
      </c>
      <c r="BF305" s="20" t="n">
        <v>45961.125</v>
      </c>
      <c r="BG305" s="20" t="n">
        <v>45961.54166666666</v>
      </c>
      <c r="BH305" s="20" t="n">
        <v>45961.625</v>
      </c>
    </row>
    <row r="306">
      <c r="A306" s="5">
        <f>A305+1</f>
        <v/>
      </c>
      <c r="B306" s="3">
        <f>-SUMIFS(df_extrato_zig!G:G,df_extrato_zig!E:E,Conciliacao!A306,df_extrato_zig!D:D,"Saque")-SUMIFS(df_extrato_zig!G:G,df_extrato_zig!E:E,Conciliacao!A306,df_extrato_zig!D:D,"Antecipação")</f>
        <v/>
      </c>
      <c r="C306" s="3">
        <f>SUMIFS(df_extrato_zig!E:E,df_extrato_zig!L:L,Conciliacao!A306,df_extrato_zig!F:F,"DINHEIRO")</f>
        <v/>
      </c>
      <c r="D306" s="3">
        <f>SUMIFS(view_parc_agrup!H:H,view_parc_agrup!G:G,Conciliacao!A306)</f>
        <v/>
      </c>
      <c r="E306" s="3">
        <f>SUMIFS(df_eventos!F:F,df_eventos!H:H,Conciliacao!A306)</f>
        <v/>
      </c>
      <c r="F306" s="3">
        <f>SUMIFS(df_mutuos!M:M,df_mutuos!B:B,Conciliacao!A306)</f>
        <v/>
      </c>
      <c r="G306" s="6">
        <f>SUMIFS(df_bloqueios_judiciais!G:G,df_bloqueios_judiciais!D:D,Conciliacao!A306,df_bloqueios_judiciais!G:G,"&gt;0")</f>
        <v/>
      </c>
      <c r="H306" s="7">
        <f>SUMIFS(df_extratos!I:I,df_extratos!F:F,Conciliacao!BE306,df_extratos!G:G,"CREDITO")+SUMIFS(df_extratos!I:I,df_extratos!F:F,Conciliacao!A306,df_extratos!G:G,"CREDITO")+SUMIFS(df_extratos!I:I,df_extratos!F:F,Conciliacao!BF306,df_extratos!G:G,"CREDITO")+SUMIFS(df_extratos!I:I,df_extratos!F:F,Conciliacao!BG306,df_extratos!G:G,"CREDITO")+SUMIFS(df_extratos!I:I,df_extratos!F:F,Conciliacao!BH306,df_extratos!G:G,"CREDITO")</f>
        <v/>
      </c>
      <c r="I306" s="9">
        <f>H306-SUM(B306:G306)</f>
        <v/>
      </c>
      <c r="J306" s="4">
        <f>SUMIFS(df_blueme_sem_parcelamento!E:E,df_blueme_sem_parcelamento!H:H,Conciliacao!A306)*(-1)</f>
        <v/>
      </c>
      <c r="K306" s="4">
        <f>SUMIFS(df_blueme_com_parcelamento!J:J,df_blueme_com_parcelamento!M:M,Conciliacao!A306)*(-1)</f>
        <v/>
      </c>
      <c r="L306" s="4">
        <f>SUMIFS(df_mutuos!N:N,df_mutuos!B:B,Conciliacao!A306)*(-1)</f>
        <v/>
      </c>
      <c r="M306" s="8">
        <f>SUMIFS(df_bloqueios_judiciais!G:G,df_bloqueios_judiciais!D:D,Conciliacao!A306,df_bloqueios_judiciais!G:G,"&lt;0")</f>
        <v/>
      </c>
      <c r="N306" s="10">
        <f>SUMIFS(df_extratos!I:I,df_extratos!F:F,Conciliacao!BE306,df_extratos!G:G,"DEBITO")+SUMIFS(df_extratos!I:I,df_extratos!F:F,Conciliacao!A306,df_extratos!G:G,"DEBITO")+SUMIFS(df_extratos!I:I,df_extratos!F:F,Conciliacao!BF306,df_extratos!G:G,"DEBITO")+SUMIFS(df_extratos!I:I,df_extratos!F:F,Conciliacao!BG306,df_extratos!G:G,"DEBITO")+SUMIFS(df_extratos!I:I,df_extratos!F:F,Conciliacao!BH306,df_extratos!G:G,"DEBITO")</f>
        <v/>
      </c>
      <c r="O306" s="11">
        <f>N306-SUM(J306:M306)</f>
        <v/>
      </c>
      <c r="P306" s="25">
        <f>SUMIFS(df_ajustes_conciliaco!D:D,df_ajustes_conciliaco!C:C,Conciliacao!A306)</f>
        <v/>
      </c>
      <c r="Q306" s="22">
        <f>O306+I306-P306</f>
        <v/>
      </c>
      <c r="BE306" s="20" t="n">
        <v>45962.5</v>
      </c>
      <c r="BF306" s="20" t="n">
        <v>45962.125</v>
      </c>
      <c r="BG306" s="20" t="n">
        <v>45962.54166666666</v>
      </c>
      <c r="BH306" s="20" t="n">
        <v>45962.625</v>
      </c>
    </row>
    <row r="307">
      <c r="A307" s="5">
        <f>A306+1</f>
        <v/>
      </c>
      <c r="B307" s="3">
        <f>-SUMIFS(df_extrato_zig!G:G,df_extrato_zig!E:E,Conciliacao!A307,df_extrato_zig!D:D,"Saque")-SUMIFS(df_extrato_zig!G:G,df_extrato_zig!E:E,Conciliacao!A307,df_extrato_zig!D:D,"Antecipação")</f>
        <v/>
      </c>
      <c r="C307" s="3">
        <f>SUMIFS(df_extrato_zig!E:E,df_extrato_zig!L:L,Conciliacao!A307,df_extrato_zig!F:F,"DINHEIRO")</f>
        <v/>
      </c>
      <c r="D307" s="3">
        <f>SUMIFS(view_parc_agrup!H:H,view_parc_agrup!G:G,Conciliacao!A307)</f>
        <v/>
      </c>
      <c r="E307" s="3">
        <f>SUMIFS(df_eventos!F:F,df_eventos!H:H,Conciliacao!A307)</f>
        <v/>
      </c>
      <c r="F307" s="3">
        <f>SUMIFS(df_mutuos!M:M,df_mutuos!B:B,Conciliacao!A307)</f>
        <v/>
      </c>
      <c r="G307" s="6">
        <f>SUMIFS(df_bloqueios_judiciais!G:G,df_bloqueios_judiciais!D:D,Conciliacao!A307,df_bloqueios_judiciais!G:G,"&gt;0")</f>
        <v/>
      </c>
      <c r="H307" s="7">
        <f>SUMIFS(df_extratos!I:I,df_extratos!F:F,Conciliacao!BE307,df_extratos!G:G,"CREDITO")+SUMIFS(df_extratos!I:I,df_extratos!F:F,Conciliacao!A307,df_extratos!G:G,"CREDITO")+SUMIFS(df_extratos!I:I,df_extratos!F:F,Conciliacao!BF307,df_extratos!G:G,"CREDITO")+SUMIFS(df_extratos!I:I,df_extratos!F:F,Conciliacao!BG307,df_extratos!G:G,"CREDITO")+SUMIFS(df_extratos!I:I,df_extratos!F:F,Conciliacao!BH307,df_extratos!G:G,"CREDITO")</f>
        <v/>
      </c>
      <c r="I307" s="9">
        <f>H307-SUM(B307:G307)</f>
        <v/>
      </c>
      <c r="J307" s="4">
        <f>SUMIFS(df_blueme_sem_parcelamento!E:E,df_blueme_sem_parcelamento!H:H,Conciliacao!A307)*(-1)</f>
        <v/>
      </c>
      <c r="K307" s="4">
        <f>SUMIFS(df_blueme_com_parcelamento!J:J,df_blueme_com_parcelamento!M:M,Conciliacao!A307)*(-1)</f>
        <v/>
      </c>
      <c r="L307" s="4">
        <f>SUMIFS(df_mutuos!N:N,df_mutuos!B:B,Conciliacao!A307)*(-1)</f>
        <v/>
      </c>
      <c r="M307" s="8">
        <f>SUMIFS(df_bloqueios_judiciais!G:G,df_bloqueios_judiciais!D:D,Conciliacao!A307,df_bloqueios_judiciais!G:G,"&lt;0")</f>
        <v/>
      </c>
      <c r="N307" s="10">
        <f>SUMIFS(df_extratos!I:I,df_extratos!F:F,Conciliacao!BE307,df_extratos!G:G,"DEBITO")+SUMIFS(df_extratos!I:I,df_extratos!F:F,Conciliacao!A307,df_extratos!G:G,"DEBITO")+SUMIFS(df_extratos!I:I,df_extratos!F:F,Conciliacao!BF307,df_extratos!G:G,"DEBITO")+SUMIFS(df_extratos!I:I,df_extratos!F:F,Conciliacao!BG307,df_extratos!G:G,"DEBITO")+SUMIFS(df_extratos!I:I,df_extratos!F:F,Conciliacao!BH307,df_extratos!G:G,"DEBITO")</f>
        <v/>
      </c>
      <c r="O307" s="11">
        <f>N307-SUM(J307:M307)</f>
        <v/>
      </c>
      <c r="P307" s="25">
        <f>SUMIFS(df_ajustes_conciliaco!D:D,df_ajustes_conciliaco!C:C,Conciliacao!A307)</f>
        <v/>
      </c>
      <c r="Q307" s="22">
        <f>O307+I307-P307</f>
        <v/>
      </c>
      <c r="BE307" s="20" t="n">
        <v>45963.5</v>
      </c>
      <c r="BF307" s="20" t="n">
        <v>45963.125</v>
      </c>
      <c r="BG307" s="20" t="n">
        <v>45963.54166666666</v>
      </c>
      <c r="BH307" s="20" t="n">
        <v>45963.625</v>
      </c>
    </row>
    <row r="308">
      <c r="A308" s="5">
        <f>A307+1</f>
        <v/>
      </c>
      <c r="B308" s="3">
        <f>-SUMIFS(df_extrato_zig!G:G,df_extrato_zig!E:E,Conciliacao!A308,df_extrato_zig!D:D,"Saque")-SUMIFS(df_extrato_zig!G:G,df_extrato_zig!E:E,Conciliacao!A308,df_extrato_zig!D:D,"Antecipação")</f>
        <v/>
      </c>
      <c r="C308" s="3">
        <f>SUMIFS(df_extrato_zig!E:E,df_extrato_zig!L:L,Conciliacao!A308,df_extrato_zig!F:F,"DINHEIRO")</f>
        <v/>
      </c>
      <c r="D308" s="3">
        <f>SUMIFS(view_parc_agrup!H:H,view_parc_agrup!G:G,Conciliacao!A308)</f>
        <v/>
      </c>
      <c r="E308" s="3">
        <f>SUMIFS(df_eventos!F:F,df_eventos!H:H,Conciliacao!A308)</f>
        <v/>
      </c>
      <c r="F308" s="3">
        <f>SUMIFS(df_mutuos!M:M,df_mutuos!B:B,Conciliacao!A308)</f>
        <v/>
      </c>
      <c r="G308" s="6">
        <f>SUMIFS(df_bloqueios_judiciais!G:G,df_bloqueios_judiciais!D:D,Conciliacao!A308,df_bloqueios_judiciais!G:G,"&gt;0")</f>
        <v/>
      </c>
      <c r="H308" s="7">
        <f>SUMIFS(df_extratos!I:I,df_extratos!F:F,Conciliacao!BE308,df_extratos!G:G,"CREDITO")+SUMIFS(df_extratos!I:I,df_extratos!F:F,Conciliacao!A308,df_extratos!G:G,"CREDITO")+SUMIFS(df_extratos!I:I,df_extratos!F:F,Conciliacao!BF308,df_extratos!G:G,"CREDITO")+SUMIFS(df_extratos!I:I,df_extratos!F:F,Conciliacao!BG308,df_extratos!G:G,"CREDITO")+SUMIFS(df_extratos!I:I,df_extratos!F:F,Conciliacao!BH308,df_extratos!G:G,"CREDITO")</f>
        <v/>
      </c>
      <c r="I308" s="9">
        <f>H308-SUM(B308:G308)</f>
        <v/>
      </c>
      <c r="J308" s="4">
        <f>SUMIFS(df_blueme_sem_parcelamento!E:E,df_blueme_sem_parcelamento!H:H,Conciliacao!A308)*(-1)</f>
        <v/>
      </c>
      <c r="K308" s="4">
        <f>SUMIFS(df_blueme_com_parcelamento!J:J,df_blueme_com_parcelamento!M:M,Conciliacao!A308)*(-1)</f>
        <v/>
      </c>
      <c r="L308" s="4">
        <f>SUMIFS(df_mutuos!N:N,df_mutuos!B:B,Conciliacao!A308)*(-1)</f>
        <v/>
      </c>
      <c r="M308" s="8">
        <f>SUMIFS(df_bloqueios_judiciais!G:G,df_bloqueios_judiciais!D:D,Conciliacao!A308,df_bloqueios_judiciais!G:G,"&lt;0")</f>
        <v/>
      </c>
      <c r="N308" s="10">
        <f>SUMIFS(df_extratos!I:I,df_extratos!F:F,Conciliacao!BE308,df_extratos!G:G,"DEBITO")+SUMIFS(df_extratos!I:I,df_extratos!F:F,Conciliacao!A308,df_extratos!G:G,"DEBITO")+SUMIFS(df_extratos!I:I,df_extratos!F:F,Conciliacao!BF308,df_extratos!G:G,"DEBITO")+SUMIFS(df_extratos!I:I,df_extratos!F:F,Conciliacao!BG308,df_extratos!G:G,"DEBITO")+SUMIFS(df_extratos!I:I,df_extratos!F:F,Conciliacao!BH308,df_extratos!G:G,"DEBITO")</f>
        <v/>
      </c>
      <c r="O308" s="11">
        <f>N308-SUM(J308:M308)</f>
        <v/>
      </c>
      <c r="P308" s="25">
        <f>SUMIFS(df_ajustes_conciliaco!D:D,df_ajustes_conciliaco!C:C,Conciliacao!A308)</f>
        <v/>
      </c>
      <c r="Q308" s="22">
        <f>O308+I308-P308</f>
        <v/>
      </c>
      <c r="BE308" s="20" t="n">
        <v>45964.5</v>
      </c>
      <c r="BF308" s="20" t="n">
        <v>45964.125</v>
      </c>
      <c r="BG308" s="20" t="n">
        <v>45964.54166666666</v>
      </c>
      <c r="BH308" s="20" t="n">
        <v>45964.625</v>
      </c>
    </row>
    <row r="309">
      <c r="A309" s="5">
        <f>A308+1</f>
        <v/>
      </c>
      <c r="B309" s="3">
        <f>-SUMIFS(df_extrato_zig!G:G,df_extrato_zig!E:E,Conciliacao!A309,df_extrato_zig!D:D,"Saque")-SUMIFS(df_extrato_zig!G:G,df_extrato_zig!E:E,Conciliacao!A309,df_extrato_zig!D:D,"Antecipação")</f>
        <v/>
      </c>
      <c r="C309" s="3">
        <f>SUMIFS(df_extrato_zig!E:E,df_extrato_zig!L:L,Conciliacao!A309,df_extrato_zig!F:F,"DINHEIRO")</f>
        <v/>
      </c>
      <c r="D309" s="3">
        <f>SUMIFS(view_parc_agrup!H:H,view_parc_agrup!G:G,Conciliacao!A309)</f>
        <v/>
      </c>
      <c r="E309" s="3">
        <f>SUMIFS(df_eventos!F:F,df_eventos!H:H,Conciliacao!A309)</f>
        <v/>
      </c>
      <c r="F309" s="3">
        <f>SUMIFS(df_mutuos!M:M,df_mutuos!B:B,Conciliacao!A309)</f>
        <v/>
      </c>
      <c r="G309" s="6">
        <f>SUMIFS(df_bloqueios_judiciais!G:G,df_bloqueios_judiciais!D:D,Conciliacao!A309,df_bloqueios_judiciais!G:G,"&gt;0")</f>
        <v/>
      </c>
      <c r="H309" s="7">
        <f>SUMIFS(df_extratos!I:I,df_extratos!F:F,Conciliacao!BE309,df_extratos!G:G,"CREDITO")+SUMIFS(df_extratos!I:I,df_extratos!F:F,Conciliacao!A309,df_extratos!G:G,"CREDITO")+SUMIFS(df_extratos!I:I,df_extratos!F:F,Conciliacao!BF309,df_extratos!G:G,"CREDITO")+SUMIFS(df_extratos!I:I,df_extratos!F:F,Conciliacao!BG309,df_extratos!G:G,"CREDITO")+SUMIFS(df_extratos!I:I,df_extratos!F:F,Conciliacao!BH309,df_extratos!G:G,"CREDITO")</f>
        <v/>
      </c>
      <c r="I309" s="9">
        <f>H309-SUM(B309:G309)</f>
        <v/>
      </c>
      <c r="J309" s="4">
        <f>SUMIFS(df_blueme_sem_parcelamento!E:E,df_blueme_sem_parcelamento!H:H,Conciliacao!A309)*(-1)</f>
        <v/>
      </c>
      <c r="K309" s="4">
        <f>SUMIFS(df_blueme_com_parcelamento!J:J,df_blueme_com_parcelamento!M:M,Conciliacao!A309)*(-1)</f>
        <v/>
      </c>
      <c r="L309" s="4">
        <f>SUMIFS(df_mutuos!N:N,df_mutuos!B:B,Conciliacao!A309)*(-1)</f>
        <v/>
      </c>
      <c r="M309" s="8">
        <f>SUMIFS(df_bloqueios_judiciais!G:G,df_bloqueios_judiciais!D:D,Conciliacao!A309,df_bloqueios_judiciais!G:G,"&lt;0")</f>
        <v/>
      </c>
      <c r="N309" s="10">
        <f>SUMIFS(df_extratos!I:I,df_extratos!F:F,Conciliacao!BE309,df_extratos!G:G,"DEBITO")+SUMIFS(df_extratos!I:I,df_extratos!F:F,Conciliacao!A309,df_extratos!G:G,"DEBITO")+SUMIFS(df_extratos!I:I,df_extratos!F:F,Conciliacao!BF309,df_extratos!G:G,"DEBITO")+SUMIFS(df_extratos!I:I,df_extratos!F:F,Conciliacao!BG309,df_extratos!G:G,"DEBITO")+SUMIFS(df_extratos!I:I,df_extratos!F:F,Conciliacao!BH309,df_extratos!G:G,"DEBITO")</f>
        <v/>
      </c>
      <c r="O309" s="11">
        <f>N309-SUM(J309:M309)</f>
        <v/>
      </c>
      <c r="P309" s="25">
        <f>SUMIFS(df_ajustes_conciliaco!D:D,df_ajustes_conciliaco!C:C,Conciliacao!A309)</f>
        <v/>
      </c>
      <c r="Q309" s="22">
        <f>O309+I309-P309</f>
        <v/>
      </c>
      <c r="BE309" s="20" t="n">
        <v>45965.5</v>
      </c>
      <c r="BF309" s="20" t="n">
        <v>45965.125</v>
      </c>
      <c r="BG309" s="20" t="n">
        <v>45965.54166666666</v>
      </c>
      <c r="BH309" s="20" t="n">
        <v>45965.625</v>
      </c>
    </row>
    <row r="310">
      <c r="A310" s="5">
        <f>A309+1</f>
        <v/>
      </c>
      <c r="B310" s="3">
        <f>-SUMIFS(df_extrato_zig!G:G,df_extrato_zig!E:E,Conciliacao!A310,df_extrato_zig!D:D,"Saque")-SUMIFS(df_extrato_zig!G:G,df_extrato_zig!E:E,Conciliacao!A310,df_extrato_zig!D:D,"Antecipação")</f>
        <v/>
      </c>
      <c r="C310" s="3">
        <f>SUMIFS(df_extrato_zig!E:E,df_extrato_zig!L:L,Conciliacao!A310,df_extrato_zig!F:F,"DINHEIRO")</f>
        <v/>
      </c>
      <c r="D310" s="3">
        <f>SUMIFS(view_parc_agrup!H:H,view_parc_agrup!G:G,Conciliacao!A310)</f>
        <v/>
      </c>
      <c r="E310" s="3">
        <f>SUMIFS(df_eventos!F:F,df_eventos!H:H,Conciliacao!A310)</f>
        <v/>
      </c>
      <c r="F310" s="3">
        <f>SUMIFS(df_mutuos!M:M,df_mutuos!B:B,Conciliacao!A310)</f>
        <v/>
      </c>
      <c r="G310" s="6">
        <f>SUMIFS(df_bloqueios_judiciais!G:G,df_bloqueios_judiciais!D:D,Conciliacao!A310,df_bloqueios_judiciais!G:G,"&gt;0")</f>
        <v/>
      </c>
      <c r="H310" s="7">
        <f>SUMIFS(df_extratos!I:I,df_extratos!F:F,Conciliacao!BE310,df_extratos!G:G,"CREDITO")+SUMIFS(df_extratos!I:I,df_extratos!F:F,Conciliacao!A310,df_extratos!G:G,"CREDITO")+SUMIFS(df_extratos!I:I,df_extratos!F:F,Conciliacao!BF310,df_extratos!G:G,"CREDITO")+SUMIFS(df_extratos!I:I,df_extratos!F:F,Conciliacao!BG310,df_extratos!G:G,"CREDITO")+SUMIFS(df_extratos!I:I,df_extratos!F:F,Conciliacao!BH310,df_extratos!G:G,"CREDITO")</f>
        <v/>
      </c>
      <c r="I310" s="9">
        <f>H310-SUM(B310:G310)</f>
        <v/>
      </c>
      <c r="J310" s="4">
        <f>SUMIFS(df_blueme_sem_parcelamento!E:E,df_blueme_sem_parcelamento!H:H,Conciliacao!A310)*(-1)</f>
        <v/>
      </c>
      <c r="K310" s="4">
        <f>SUMIFS(df_blueme_com_parcelamento!J:J,df_blueme_com_parcelamento!M:M,Conciliacao!A310)*(-1)</f>
        <v/>
      </c>
      <c r="L310" s="4">
        <f>SUMIFS(df_mutuos!N:N,df_mutuos!B:B,Conciliacao!A310)*(-1)</f>
        <v/>
      </c>
      <c r="M310" s="8">
        <f>SUMIFS(df_bloqueios_judiciais!G:G,df_bloqueios_judiciais!D:D,Conciliacao!A310,df_bloqueios_judiciais!G:G,"&lt;0")</f>
        <v/>
      </c>
      <c r="N310" s="10">
        <f>SUMIFS(df_extratos!I:I,df_extratos!F:F,Conciliacao!BE310,df_extratos!G:G,"DEBITO")+SUMIFS(df_extratos!I:I,df_extratos!F:F,Conciliacao!A310,df_extratos!G:G,"DEBITO")+SUMIFS(df_extratos!I:I,df_extratos!F:F,Conciliacao!BF310,df_extratos!G:G,"DEBITO")+SUMIFS(df_extratos!I:I,df_extratos!F:F,Conciliacao!BG310,df_extratos!G:G,"DEBITO")+SUMIFS(df_extratos!I:I,df_extratos!F:F,Conciliacao!BH310,df_extratos!G:G,"DEBITO")</f>
        <v/>
      </c>
      <c r="O310" s="11">
        <f>N310-SUM(J310:M310)</f>
        <v/>
      </c>
      <c r="P310" s="25">
        <f>SUMIFS(df_ajustes_conciliaco!D:D,df_ajustes_conciliaco!C:C,Conciliacao!A310)</f>
        <v/>
      </c>
      <c r="Q310" s="22">
        <f>O310+I310-P310</f>
        <v/>
      </c>
      <c r="BE310" s="20" t="n">
        <v>45966.5</v>
      </c>
      <c r="BF310" s="20" t="n">
        <v>45966.125</v>
      </c>
      <c r="BG310" s="20" t="n">
        <v>45966.54166666666</v>
      </c>
      <c r="BH310" s="20" t="n">
        <v>45966.625</v>
      </c>
    </row>
    <row r="311">
      <c r="A311" s="5">
        <f>A310+1</f>
        <v/>
      </c>
      <c r="B311" s="3">
        <f>-SUMIFS(df_extrato_zig!G:G,df_extrato_zig!E:E,Conciliacao!A311,df_extrato_zig!D:D,"Saque")-SUMIFS(df_extrato_zig!G:G,df_extrato_zig!E:E,Conciliacao!A311,df_extrato_zig!D:D,"Antecipação")</f>
        <v/>
      </c>
      <c r="C311" s="3">
        <f>SUMIFS(df_extrato_zig!E:E,df_extrato_zig!L:L,Conciliacao!A311,df_extrato_zig!F:F,"DINHEIRO")</f>
        <v/>
      </c>
      <c r="D311" s="3">
        <f>SUMIFS(view_parc_agrup!H:H,view_parc_agrup!G:G,Conciliacao!A311)</f>
        <v/>
      </c>
      <c r="E311" s="3">
        <f>SUMIFS(df_eventos!F:F,df_eventos!H:H,Conciliacao!A311)</f>
        <v/>
      </c>
      <c r="F311" s="3">
        <f>SUMIFS(df_mutuos!M:M,df_mutuos!B:B,Conciliacao!A311)</f>
        <v/>
      </c>
      <c r="G311" s="6">
        <f>SUMIFS(df_bloqueios_judiciais!G:G,df_bloqueios_judiciais!D:D,Conciliacao!A311,df_bloqueios_judiciais!G:G,"&gt;0")</f>
        <v/>
      </c>
      <c r="H311" s="7">
        <f>SUMIFS(df_extratos!I:I,df_extratos!F:F,Conciliacao!BE311,df_extratos!G:G,"CREDITO")+SUMIFS(df_extratos!I:I,df_extratos!F:F,Conciliacao!A311,df_extratos!G:G,"CREDITO")+SUMIFS(df_extratos!I:I,df_extratos!F:F,Conciliacao!BF311,df_extratos!G:G,"CREDITO")+SUMIFS(df_extratos!I:I,df_extratos!F:F,Conciliacao!BG311,df_extratos!G:G,"CREDITO")+SUMIFS(df_extratos!I:I,df_extratos!F:F,Conciliacao!BH311,df_extratos!G:G,"CREDITO")</f>
        <v/>
      </c>
      <c r="I311" s="9">
        <f>H311-SUM(B311:G311)</f>
        <v/>
      </c>
      <c r="J311" s="4">
        <f>SUMIFS(df_blueme_sem_parcelamento!E:E,df_blueme_sem_parcelamento!H:H,Conciliacao!A311)*(-1)</f>
        <v/>
      </c>
      <c r="K311" s="4">
        <f>SUMIFS(df_blueme_com_parcelamento!J:J,df_blueme_com_parcelamento!M:M,Conciliacao!A311)*(-1)</f>
        <v/>
      </c>
      <c r="L311" s="4">
        <f>SUMIFS(df_mutuos!N:N,df_mutuos!B:B,Conciliacao!A311)*(-1)</f>
        <v/>
      </c>
      <c r="M311" s="8">
        <f>SUMIFS(df_bloqueios_judiciais!G:G,df_bloqueios_judiciais!D:D,Conciliacao!A311,df_bloqueios_judiciais!G:G,"&lt;0")</f>
        <v/>
      </c>
      <c r="N311" s="10">
        <f>SUMIFS(df_extratos!I:I,df_extratos!F:F,Conciliacao!BE311,df_extratos!G:G,"DEBITO")+SUMIFS(df_extratos!I:I,df_extratos!F:F,Conciliacao!A311,df_extratos!G:G,"DEBITO")+SUMIFS(df_extratos!I:I,df_extratos!F:F,Conciliacao!BF311,df_extratos!G:G,"DEBITO")+SUMIFS(df_extratos!I:I,df_extratos!F:F,Conciliacao!BG311,df_extratos!G:G,"DEBITO")+SUMIFS(df_extratos!I:I,df_extratos!F:F,Conciliacao!BH311,df_extratos!G:G,"DEBITO")</f>
        <v/>
      </c>
      <c r="O311" s="11">
        <f>N311-SUM(J311:M311)</f>
        <v/>
      </c>
      <c r="P311" s="25">
        <f>SUMIFS(df_ajustes_conciliaco!D:D,df_ajustes_conciliaco!C:C,Conciliacao!A311)</f>
        <v/>
      </c>
      <c r="Q311" s="22">
        <f>O311+I311-P311</f>
        <v/>
      </c>
      <c r="BE311" s="20" t="n">
        <v>45967.5</v>
      </c>
      <c r="BF311" s="20" t="n">
        <v>45967.125</v>
      </c>
      <c r="BG311" s="20" t="n">
        <v>45967.54166666666</v>
      </c>
      <c r="BH311" s="20" t="n">
        <v>45967.625</v>
      </c>
    </row>
    <row r="312">
      <c r="A312" s="5">
        <f>A311+1</f>
        <v/>
      </c>
      <c r="B312" s="3">
        <f>-SUMIFS(df_extrato_zig!G:G,df_extrato_zig!E:E,Conciliacao!A312,df_extrato_zig!D:D,"Saque")-SUMIFS(df_extrato_zig!G:G,df_extrato_zig!E:E,Conciliacao!A312,df_extrato_zig!D:D,"Antecipação")</f>
        <v/>
      </c>
      <c r="C312" s="3">
        <f>SUMIFS(df_extrato_zig!E:E,df_extrato_zig!L:L,Conciliacao!A312,df_extrato_zig!F:F,"DINHEIRO")</f>
        <v/>
      </c>
      <c r="D312" s="3">
        <f>SUMIFS(view_parc_agrup!H:H,view_parc_agrup!G:G,Conciliacao!A312)</f>
        <v/>
      </c>
      <c r="E312" s="3">
        <f>SUMIFS(df_eventos!F:F,df_eventos!H:H,Conciliacao!A312)</f>
        <v/>
      </c>
      <c r="F312" s="3">
        <f>SUMIFS(df_mutuos!M:M,df_mutuos!B:B,Conciliacao!A312)</f>
        <v/>
      </c>
      <c r="G312" s="6">
        <f>SUMIFS(df_bloqueios_judiciais!G:G,df_bloqueios_judiciais!D:D,Conciliacao!A312,df_bloqueios_judiciais!G:G,"&gt;0")</f>
        <v/>
      </c>
      <c r="H312" s="7">
        <f>SUMIFS(df_extratos!I:I,df_extratos!F:F,Conciliacao!BE312,df_extratos!G:G,"CREDITO")+SUMIFS(df_extratos!I:I,df_extratos!F:F,Conciliacao!A312,df_extratos!G:G,"CREDITO")+SUMIFS(df_extratos!I:I,df_extratos!F:F,Conciliacao!BF312,df_extratos!G:G,"CREDITO")+SUMIFS(df_extratos!I:I,df_extratos!F:F,Conciliacao!BG312,df_extratos!G:G,"CREDITO")+SUMIFS(df_extratos!I:I,df_extratos!F:F,Conciliacao!BH312,df_extratos!G:G,"CREDITO")</f>
        <v/>
      </c>
      <c r="I312" s="9">
        <f>H312-SUM(B312:G312)</f>
        <v/>
      </c>
      <c r="J312" s="4">
        <f>SUMIFS(df_blueme_sem_parcelamento!E:E,df_blueme_sem_parcelamento!H:H,Conciliacao!A312)*(-1)</f>
        <v/>
      </c>
      <c r="K312" s="4">
        <f>SUMIFS(df_blueme_com_parcelamento!J:J,df_blueme_com_parcelamento!M:M,Conciliacao!A312)*(-1)</f>
        <v/>
      </c>
      <c r="L312" s="4">
        <f>SUMIFS(df_mutuos!N:N,df_mutuos!B:B,Conciliacao!A312)*(-1)</f>
        <v/>
      </c>
      <c r="M312" s="8">
        <f>SUMIFS(df_bloqueios_judiciais!G:G,df_bloqueios_judiciais!D:D,Conciliacao!A312,df_bloqueios_judiciais!G:G,"&lt;0")</f>
        <v/>
      </c>
      <c r="N312" s="10">
        <f>SUMIFS(df_extratos!I:I,df_extratos!F:F,Conciliacao!BE312,df_extratos!G:G,"DEBITO")+SUMIFS(df_extratos!I:I,df_extratos!F:F,Conciliacao!A312,df_extratos!G:G,"DEBITO")+SUMIFS(df_extratos!I:I,df_extratos!F:F,Conciliacao!BF312,df_extratos!G:G,"DEBITO")+SUMIFS(df_extratos!I:I,df_extratos!F:F,Conciliacao!BG312,df_extratos!G:G,"DEBITO")+SUMIFS(df_extratos!I:I,df_extratos!F:F,Conciliacao!BH312,df_extratos!G:G,"DEBITO")</f>
        <v/>
      </c>
      <c r="O312" s="11">
        <f>N312-SUM(J312:M312)</f>
        <v/>
      </c>
      <c r="P312" s="25">
        <f>SUMIFS(df_ajustes_conciliaco!D:D,df_ajustes_conciliaco!C:C,Conciliacao!A312)</f>
        <v/>
      </c>
      <c r="Q312" s="22">
        <f>O312+I312-P312</f>
        <v/>
      </c>
      <c r="BE312" s="20" t="n">
        <v>45968.5</v>
      </c>
      <c r="BF312" s="20" t="n">
        <v>45968.125</v>
      </c>
      <c r="BG312" s="20" t="n">
        <v>45968.54166666666</v>
      </c>
      <c r="BH312" s="20" t="n">
        <v>45968.625</v>
      </c>
    </row>
    <row r="313">
      <c r="A313" s="5">
        <f>A312+1</f>
        <v/>
      </c>
      <c r="B313" s="3">
        <f>-SUMIFS(df_extrato_zig!G:G,df_extrato_zig!E:E,Conciliacao!A313,df_extrato_zig!D:D,"Saque")-SUMIFS(df_extrato_zig!G:G,df_extrato_zig!E:E,Conciliacao!A313,df_extrato_zig!D:D,"Antecipação")</f>
        <v/>
      </c>
      <c r="C313" s="3">
        <f>SUMIFS(df_extrato_zig!E:E,df_extrato_zig!L:L,Conciliacao!A313,df_extrato_zig!F:F,"DINHEIRO")</f>
        <v/>
      </c>
      <c r="D313" s="3">
        <f>SUMIFS(view_parc_agrup!H:H,view_parc_agrup!G:G,Conciliacao!A313)</f>
        <v/>
      </c>
      <c r="E313" s="3">
        <f>SUMIFS(df_eventos!F:F,df_eventos!H:H,Conciliacao!A313)</f>
        <v/>
      </c>
      <c r="F313" s="3">
        <f>SUMIFS(df_mutuos!M:M,df_mutuos!B:B,Conciliacao!A313)</f>
        <v/>
      </c>
      <c r="G313" s="6">
        <f>SUMIFS(df_bloqueios_judiciais!G:G,df_bloqueios_judiciais!D:D,Conciliacao!A313,df_bloqueios_judiciais!G:G,"&gt;0")</f>
        <v/>
      </c>
      <c r="H313" s="7">
        <f>SUMIFS(df_extratos!I:I,df_extratos!F:F,Conciliacao!BE313,df_extratos!G:G,"CREDITO")+SUMIFS(df_extratos!I:I,df_extratos!F:F,Conciliacao!A313,df_extratos!G:G,"CREDITO")+SUMIFS(df_extratos!I:I,df_extratos!F:F,Conciliacao!BF313,df_extratos!G:G,"CREDITO")+SUMIFS(df_extratos!I:I,df_extratos!F:F,Conciliacao!BG313,df_extratos!G:G,"CREDITO")+SUMIFS(df_extratos!I:I,df_extratos!F:F,Conciliacao!BH313,df_extratos!G:G,"CREDITO")</f>
        <v/>
      </c>
      <c r="I313" s="9">
        <f>H313-SUM(B313:G313)</f>
        <v/>
      </c>
      <c r="J313" s="4">
        <f>SUMIFS(df_blueme_sem_parcelamento!E:E,df_blueme_sem_parcelamento!H:H,Conciliacao!A313)*(-1)</f>
        <v/>
      </c>
      <c r="K313" s="4">
        <f>SUMIFS(df_blueme_com_parcelamento!J:J,df_blueme_com_parcelamento!M:M,Conciliacao!A313)*(-1)</f>
        <v/>
      </c>
      <c r="L313" s="4">
        <f>SUMIFS(df_mutuos!N:N,df_mutuos!B:B,Conciliacao!A313)*(-1)</f>
        <v/>
      </c>
      <c r="M313" s="8">
        <f>SUMIFS(df_bloqueios_judiciais!G:G,df_bloqueios_judiciais!D:D,Conciliacao!A313,df_bloqueios_judiciais!G:G,"&lt;0")</f>
        <v/>
      </c>
      <c r="N313" s="10">
        <f>SUMIFS(df_extratos!I:I,df_extratos!F:F,Conciliacao!BE313,df_extratos!G:G,"DEBITO")+SUMIFS(df_extratos!I:I,df_extratos!F:F,Conciliacao!A313,df_extratos!G:G,"DEBITO")+SUMIFS(df_extratos!I:I,df_extratos!F:F,Conciliacao!BF313,df_extratos!G:G,"DEBITO")+SUMIFS(df_extratos!I:I,df_extratos!F:F,Conciliacao!BG313,df_extratos!G:G,"DEBITO")+SUMIFS(df_extratos!I:I,df_extratos!F:F,Conciliacao!BH313,df_extratos!G:G,"DEBITO")</f>
        <v/>
      </c>
      <c r="O313" s="11">
        <f>N313-SUM(J313:M313)</f>
        <v/>
      </c>
      <c r="P313" s="25">
        <f>SUMIFS(df_ajustes_conciliaco!D:D,df_ajustes_conciliaco!C:C,Conciliacao!A313)</f>
        <v/>
      </c>
      <c r="Q313" s="22">
        <f>O313+I313-P313</f>
        <v/>
      </c>
      <c r="BE313" s="20" t="n">
        <v>45969.5</v>
      </c>
      <c r="BF313" s="20" t="n">
        <v>45969.125</v>
      </c>
      <c r="BG313" s="20" t="n">
        <v>45969.54166666666</v>
      </c>
      <c r="BH313" s="20" t="n">
        <v>45969.625</v>
      </c>
    </row>
    <row r="314">
      <c r="A314" s="5">
        <f>A313+1</f>
        <v/>
      </c>
      <c r="B314" s="3">
        <f>-SUMIFS(df_extrato_zig!G:G,df_extrato_zig!E:E,Conciliacao!A314,df_extrato_zig!D:D,"Saque")-SUMIFS(df_extrato_zig!G:G,df_extrato_zig!E:E,Conciliacao!A314,df_extrato_zig!D:D,"Antecipação")</f>
        <v/>
      </c>
      <c r="C314" s="3">
        <f>SUMIFS(df_extrato_zig!E:E,df_extrato_zig!L:L,Conciliacao!A314,df_extrato_zig!F:F,"DINHEIRO")</f>
        <v/>
      </c>
      <c r="D314" s="3">
        <f>SUMIFS(view_parc_agrup!H:H,view_parc_agrup!G:G,Conciliacao!A314)</f>
        <v/>
      </c>
      <c r="E314" s="3">
        <f>SUMIFS(df_eventos!F:F,df_eventos!H:H,Conciliacao!A314)</f>
        <v/>
      </c>
      <c r="F314" s="3">
        <f>SUMIFS(df_mutuos!M:M,df_mutuos!B:B,Conciliacao!A314)</f>
        <v/>
      </c>
      <c r="G314" s="6">
        <f>SUMIFS(df_bloqueios_judiciais!G:G,df_bloqueios_judiciais!D:D,Conciliacao!A314,df_bloqueios_judiciais!G:G,"&gt;0")</f>
        <v/>
      </c>
      <c r="H314" s="7">
        <f>SUMIFS(df_extratos!I:I,df_extratos!F:F,Conciliacao!BE314,df_extratos!G:G,"CREDITO")+SUMIFS(df_extratos!I:I,df_extratos!F:F,Conciliacao!A314,df_extratos!G:G,"CREDITO")+SUMIFS(df_extratos!I:I,df_extratos!F:F,Conciliacao!BF314,df_extratos!G:G,"CREDITO")+SUMIFS(df_extratos!I:I,df_extratos!F:F,Conciliacao!BG314,df_extratos!G:G,"CREDITO")+SUMIFS(df_extratos!I:I,df_extratos!F:F,Conciliacao!BH314,df_extratos!G:G,"CREDITO")</f>
        <v/>
      </c>
      <c r="I314" s="9">
        <f>H314-SUM(B314:G314)</f>
        <v/>
      </c>
      <c r="J314" s="4">
        <f>SUMIFS(df_blueme_sem_parcelamento!E:E,df_blueme_sem_parcelamento!H:H,Conciliacao!A314)*(-1)</f>
        <v/>
      </c>
      <c r="K314" s="4">
        <f>SUMIFS(df_blueme_com_parcelamento!J:J,df_blueme_com_parcelamento!M:M,Conciliacao!A314)*(-1)</f>
        <v/>
      </c>
      <c r="L314" s="4">
        <f>SUMIFS(df_mutuos!N:N,df_mutuos!B:B,Conciliacao!A314)*(-1)</f>
        <v/>
      </c>
      <c r="M314" s="8">
        <f>SUMIFS(df_bloqueios_judiciais!G:G,df_bloqueios_judiciais!D:D,Conciliacao!A314,df_bloqueios_judiciais!G:G,"&lt;0")</f>
        <v/>
      </c>
      <c r="N314" s="10">
        <f>SUMIFS(df_extratos!I:I,df_extratos!F:F,Conciliacao!BE314,df_extratos!G:G,"DEBITO")+SUMIFS(df_extratos!I:I,df_extratos!F:F,Conciliacao!A314,df_extratos!G:G,"DEBITO")+SUMIFS(df_extratos!I:I,df_extratos!F:F,Conciliacao!BF314,df_extratos!G:G,"DEBITO")+SUMIFS(df_extratos!I:I,df_extratos!F:F,Conciliacao!BG314,df_extratos!G:G,"DEBITO")+SUMIFS(df_extratos!I:I,df_extratos!F:F,Conciliacao!BH314,df_extratos!G:G,"DEBITO")</f>
        <v/>
      </c>
      <c r="O314" s="11">
        <f>N314-SUM(J314:M314)</f>
        <v/>
      </c>
      <c r="P314" s="25">
        <f>SUMIFS(df_ajustes_conciliaco!D:D,df_ajustes_conciliaco!C:C,Conciliacao!A314)</f>
        <v/>
      </c>
      <c r="Q314" s="22">
        <f>O314+I314-P314</f>
        <v/>
      </c>
      <c r="BE314" s="20" t="n">
        <v>45970.5</v>
      </c>
      <c r="BF314" s="20" t="n">
        <v>45970.125</v>
      </c>
      <c r="BG314" s="20" t="n">
        <v>45970.54166666666</v>
      </c>
      <c r="BH314" s="20" t="n">
        <v>45970.625</v>
      </c>
    </row>
    <row r="315">
      <c r="A315" s="5">
        <f>A314+1</f>
        <v/>
      </c>
      <c r="B315" s="3">
        <f>-SUMIFS(df_extrato_zig!G:G,df_extrato_zig!E:E,Conciliacao!A315,df_extrato_zig!D:D,"Saque")-SUMIFS(df_extrato_zig!G:G,df_extrato_zig!E:E,Conciliacao!A315,df_extrato_zig!D:D,"Antecipação")</f>
        <v/>
      </c>
      <c r="C315" s="3">
        <f>SUMIFS(df_extrato_zig!E:E,df_extrato_zig!L:L,Conciliacao!A315,df_extrato_zig!F:F,"DINHEIRO")</f>
        <v/>
      </c>
      <c r="D315" s="3">
        <f>SUMIFS(view_parc_agrup!H:H,view_parc_agrup!G:G,Conciliacao!A315)</f>
        <v/>
      </c>
      <c r="E315" s="3">
        <f>SUMIFS(df_eventos!F:F,df_eventos!H:H,Conciliacao!A315)</f>
        <v/>
      </c>
      <c r="F315" s="3">
        <f>SUMIFS(df_mutuos!M:M,df_mutuos!B:B,Conciliacao!A315)</f>
        <v/>
      </c>
      <c r="G315" s="6">
        <f>SUMIFS(df_bloqueios_judiciais!G:G,df_bloqueios_judiciais!D:D,Conciliacao!A315,df_bloqueios_judiciais!G:G,"&gt;0")</f>
        <v/>
      </c>
      <c r="H315" s="7">
        <f>SUMIFS(df_extratos!I:I,df_extratos!F:F,Conciliacao!BE315,df_extratos!G:G,"CREDITO")+SUMIFS(df_extratos!I:I,df_extratos!F:F,Conciliacao!A315,df_extratos!G:G,"CREDITO")+SUMIFS(df_extratos!I:I,df_extratos!F:F,Conciliacao!BF315,df_extratos!G:G,"CREDITO")+SUMIFS(df_extratos!I:I,df_extratos!F:F,Conciliacao!BG315,df_extratos!G:G,"CREDITO")+SUMIFS(df_extratos!I:I,df_extratos!F:F,Conciliacao!BH315,df_extratos!G:G,"CREDITO")</f>
        <v/>
      </c>
      <c r="I315" s="9">
        <f>H315-SUM(B315:G315)</f>
        <v/>
      </c>
      <c r="J315" s="4">
        <f>SUMIFS(df_blueme_sem_parcelamento!E:E,df_blueme_sem_parcelamento!H:H,Conciliacao!A315)*(-1)</f>
        <v/>
      </c>
      <c r="K315" s="4">
        <f>SUMIFS(df_blueme_com_parcelamento!J:J,df_blueme_com_parcelamento!M:M,Conciliacao!A315)*(-1)</f>
        <v/>
      </c>
      <c r="L315" s="4">
        <f>SUMIFS(df_mutuos!N:N,df_mutuos!B:B,Conciliacao!A315)*(-1)</f>
        <v/>
      </c>
      <c r="M315" s="8">
        <f>SUMIFS(df_bloqueios_judiciais!G:G,df_bloqueios_judiciais!D:D,Conciliacao!A315,df_bloqueios_judiciais!G:G,"&lt;0")</f>
        <v/>
      </c>
      <c r="N315" s="10">
        <f>SUMIFS(df_extratos!I:I,df_extratos!F:F,Conciliacao!BE315,df_extratos!G:G,"DEBITO")+SUMIFS(df_extratos!I:I,df_extratos!F:F,Conciliacao!A315,df_extratos!G:G,"DEBITO")+SUMIFS(df_extratos!I:I,df_extratos!F:F,Conciliacao!BF315,df_extratos!G:G,"DEBITO")+SUMIFS(df_extratos!I:I,df_extratos!F:F,Conciliacao!BG315,df_extratos!G:G,"DEBITO")+SUMIFS(df_extratos!I:I,df_extratos!F:F,Conciliacao!BH315,df_extratos!G:G,"DEBITO")</f>
        <v/>
      </c>
      <c r="O315" s="11">
        <f>N315-SUM(J315:M315)</f>
        <v/>
      </c>
      <c r="P315" s="25">
        <f>SUMIFS(df_ajustes_conciliaco!D:D,df_ajustes_conciliaco!C:C,Conciliacao!A315)</f>
        <v/>
      </c>
      <c r="Q315" s="22">
        <f>O315+I315-P315</f>
        <v/>
      </c>
      <c r="BE315" s="20" t="n">
        <v>45971.5</v>
      </c>
      <c r="BF315" s="20" t="n">
        <v>45971.125</v>
      </c>
      <c r="BG315" s="20" t="n">
        <v>45971.54166666666</v>
      </c>
      <c r="BH315" s="20" t="n">
        <v>45971.625</v>
      </c>
    </row>
    <row r="316">
      <c r="A316" s="5">
        <f>A315+1</f>
        <v/>
      </c>
      <c r="B316" s="3">
        <f>-SUMIFS(df_extrato_zig!G:G,df_extrato_zig!E:E,Conciliacao!A316,df_extrato_zig!D:D,"Saque")-SUMIFS(df_extrato_zig!G:G,df_extrato_zig!E:E,Conciliacao!A316,df_extrato_zig!D:D,"Antecipação")</f>
        <v/>
      </c>
      <c r="C316" s="3">
        <f>SUMIFS(df_extrato_zig!E:E,df_extrato_zig!L:L,Conciliacao!A316,df_extrato_zig!F:F,"DINHEIRO")</f>
        <v/>
      </c>
      <c r="D316" s="3">
        <f>SUMIFS(view_parc_agrup!H:H,view_parc_agrup!G:G,Conciliacao!A316)</f>
        <v/>
      </c>
      <c r="E316" s="3">
        <f>SUMIFS(df_eventos!F:F,df_eventos!H:H,Conciliacao!A316)</f>
        <v/>
      </c>
      <c r="F316" s="3">
        <f>SUMIFS(df_mutuos!M:M,df_mutuos!B:B,Conciliacao!A316)</f>
        <v/>
      </c>
      <c r="G316" s="6">
        <f>SUMIFS(df_bloqueios_judiciais!G:G,df_bloqueios_judiciais!D:D,Conciliacao!A316,df_bloqueios_judiciais!G:G,"&gt;0")</f>
        <v/>
      </c>
      <c r="H316" s="7">
        <f>SUMIFS(df_extratos!I:I,df_extratos!F:F,Conciliacao!BE316,df_extratos!G:G,"CREDITO")+SUMIFS(df_extratos!I:I,df_extratos!F:F,Conciliacao!A316,df_extratos!G:G,"CREDITO")+SUMIFS(df_extratos!I:I,df_extratos!F:F,Conciliacao!BF316,df_extratos!G:G,"CREDITO")+SUMIFS(df_extratos!I:I,df_extratos!F:F,Conciliacao!BG316,df_extratos!G:G,"CREDITO")+SUMIFS(df_extratos!I:I,df_extratos!F:F,Conciliacao!BH316,df_extratos!G:G,"CREDITO")</f>
        <v/>
      </c>
      <c r="I316" s="9">
        <f>H316-SUM(B316:G316)</f>
        <v/>
      </c>
      <c r="J316" s="4">
        <f>SUMIFS(df_blueme_sem_parcelamento!E:E,df_blueme_sem_parcelamento!H:H,Conciliacao!A316)*(-1)</f>
        <v/>
      </c>
      <c r="K316" s="4">
        <f>SUMIFS(df_blueme_com_parcelamento!J:J,df_blueme_com_parcelamento!M:M,Conciliacao!A316)*(-1)</f>
        <v/>
      </c>
      <c r="L316" s="4">
        <f>SUMIFS(df_mutuos!N:N,df_mutuos!B:B,Conciliacao!A316)*(-1)</f>
        <v/>
      </c>
      <c r="M316" s="8">
        <f>SUMIFS(df_bloqueios_judiciais!G:G,df_bloqueios_judiciais!D:D,Conciliacao!A316,df_bloqueios_judiciais!G:G,"&lt;0")</f>
        <v/>
      </c>
      <c r="N316" s="10">
        <f>SUMIFS(df_extratos!I:I,df_extratos!F:F,Conciliacao!BE316,df_extratos!G:G,"DEBITO")+SUMIFS(df_extratos!I:I,df_extratos!F:F,Conciliacao!A316,df_extratos!G:G,"DEBITO")+SUMIFS(df_extratos!I:I,df_extratos!F:F,Conciliacao!BF316,df_extratos!G:G,"DEBITO")+SUMIFS(df_extratos!I:I,df_extratos!F:F,Conciliacao!BG316,df_extratos!G:G,"DEBITO")+SUMIFS(df_extratos!I:I,df_extratos!F:F,Conciliacao!BH316,df_extratos!G:G,"DEBITO")</f>
        <v/>
      </c>
      <c r="O316" s="11">
        <f>N316-SUM(J316:M316)</f>
        <v/>
      </c>
      <c r="P316" s="25">
        <f>SUMIFS(df_ajustes_conciliaco!D:D,df_ajustes_conciliaco!C:C,Conciliacao!A316)</f>
        <v/>
      </c>
      <c r="Q316" s="22">
        <f>O316+I316-P316</f>
        <v/>
      </c>
      <c r="BE316" s="20" t="n">
        <v>45972.5</v>
      </c>
      <c r="BF316" s="20" t="n">
        <v>45972.125</v>
      </c>
      <c r="BG316" s="20" t="n">
        <v>45972.54166666666</v>
      </c>
      <c r="BH316" s="20" t="n">
        <v>45972.625</v>
      </c>
    </row>
    <row r="317">
      <c r="A317" s="5">
        <f>A316+1</f>
        <v/>
      </c>
      <c r="B317" s="3">
        <f>-SUMIFS(df_extrato_zig!G:G,df_extrato_zig!E:E,Conciliacao!A317,df_extrato_zig!D:D,"Saque")-SUMIFS(df_extrato_zig!G:G,df_extrato_zig!E:E,Conciliacao!A317,df_extrato_zig!D:D,"Antecipação")</f>
        <v/>
      </c>
      <c r="C317" s="3">
        <f>SUMIFS(df_extrato_zig!E:E,df_extrato_zig!L:L,Conciliacao!A317,df_extrato_zig!F:F,"DINHEIRO")</f>
        <v/>
      </c>
      <c r="D317" s="3">
        <f>SUMIFS(view_parc_agrup!H:H,view_parc_agrup!G:G,Conciliacao!A317)</f>
        <v/>
      </c>
      <c r="E317" s="3">
        <f>SUMIFS(df_eventos!F:F,df_eventos!H:H,Conciliacao!A317)</f>
        <v/>
      </c>
      <c r="F317" s="3">
        <f>SUMIFS(df_mutuos!M:M,df_mutuos!B:B,Conciliacao!A317)</f>
        <v/>
      </c>
      <c r="G317" s="6">
        <f>SUMIFS(df_bloqueios_judiciais!G:G,df_bloqueios_judiciais!D:D,Conciliacao!A317,df_bloqueios_judiciais!G:G,"&gt;0")</f>
        <v/>
      </c>
      <c r="H317" s="7">
        <f>SUMIFS(df_extratos!I:I,df_extratos!F:F,Conciliacao!BE317,df_extratos!G:G,"CREDITO")+SUMIFS(df_extratos!I:I,df_extratos!F:F,Conciliacao!A317,df_extratos!G:G,"CREDITO")+SUMIFS(df_extratos!I:I,df_extratos!F:F,Conciliacao!BF317,df_extratos!G:G,"CREDITO")+SUMIFS(df_extratos!I:I,df_extratos!F:F,Conciliacao!BG317,df_extratos!G:G,"CREDITO")+SUMIFS(df_extratos!I:I,df_extratos!F:F,Conciliacao!BH317,df_extratos!G:G,"CREDITO")</f>
        <v/>
      </c>
      <c r="I317" s="9">
        <f>H317-SUM(B317:G317)</f>
        <v/>
      </c>
      <c r="J317" s="4">
        <f>SUMIFS(df_blueme_sem_parcelamento!E:E,df_blueme_sem_parcelamento!H:H,Conciliacao!A317)*(-1)</f>
        <v/>
      </c>
      <c r="K317" s="4">
        <f>SUMIFS(df_blueme_com_parcelamento!J:J,df_blueme_com_parcelamento!M:M,Conciliacao!A317)*(-1)</f>
        <v/>
      </c>
      <c r="L317" s="4">
        <f>SUMIFS(df_mutuos!N:N,df_mutuos!B:B,Conciliacao!A317)*(-1)</f>
        <v/>
      </c>
      <c r="M317" s="8">
        <f>SUMIFS(df_bloqueios_judiciais!G:G,df_bloqueios_judiciais!D:D,Conciliacao!A317,df_bloqueios_judiciais!G:G,"&lt;0")</f>
        <v/>
      </c>
      <c r="N317" s="10">
        <f>SUMIFS(df_extratos!I:I,df_extratos!F:F,Conciliacao!BE317,df_extratos!G:G,"DEBITO")+SUMIFS(df_extratos!I:I,df_extratos!F:F,Conciliacao!A317,df_extratos!G:G,"DEBITO")+SUMIFS(df_extratos!I:I,df_extratos!F:F,Conciliacao!BF317,df_extratos!G:G,"DEBITO")+SUMIFS(df_extratos!I:I,df_extratos!F:F,Conciliacao!BG317,df_extratos!G:G,"DEBITO")+SUMIFS(df_extratos!I:I,df_extratos!F:F,Conciliacao!BH317,df_extratos!G:G,"DEBITO")</f>
        <v/>
      </c>
      <c r="O317" s="11">
        <f>N317-SUM(J317:M317)</f>
        <v/>
      </c>
      <c r="P317" s="25">
        <f>SUMIFS(df_ajustes_conciliaco!D:D,df_ajustes_conciliaco!C:C,Conciliacao!A317)</f>
        <v/>
      </c>
      <c r="Q317" s="22">
        <f>O317+I317-P317</f>
        <v/>
      </c>
      <c r="BE317" s="20" t="n">
        <v>45973.5</v>
      </c>
      <c r="BF317" s="20" t="n">
        <v>45973.125</v>
      </c>
      <c r="BG317" s="20" t="n">
        <v>45973.54166666666</v>
      </c>
      <c r="BH317" s="20" t="n">
        <v>45973.625</v>
      </c>
    </row>
    <row r="318">
      <c r="A318" s="5">
        <f>A317+1</f>
        <v/>
      </c>
      <c r="B318" s="3">
        <f>-SUMIFS(df_extrato_zig!G:G,df_extrato_zig!E:E,Conciliacao!A318,df_extrato_zig!D:D,"Saque")-SUMIFS(df_extrato_zig!G:G,df_extrato_zig!E:E,Conciliacao!A318,df_extrato_zig!D:D,"Antecipação")</f>
        <v/>
      </c>
      <c r="C318" s="3">
        <f>SUMIFS(df_extrato_zig!E:E,df_extrato_zig!L:L,Conciliacao!A318,df_extrato_zig!F:F,"DINHEIRO")</f>
        <v/>
      </c>
      <c r="D318" s="3">
        <f>SUMIFS(view_parc_agrup!H:H,view_parc_agrup!G:G,Conciliacao!A318)</f>
        <v/>
      </c>
      <c r="E318" s="3">
        <f>SUMIFS(df_eventos!F:F,df_eventos!H:H,Conciliacao!A318)</f>
        <v/>
      </c>
      <c r="F318" s="3">
        <f>SUMIFS(df_mutuos!M:M,df_mutuos!B:B,Conciliacao!A318)</f>
        <v/>
      </c>
      <c r="G318" s="6">
        <f>SUMIFS(df_bloqueios_judiciais!G:G,df_bloqueios_judiciais!D:D,Conciliacao!A318,df_bloqueios_judiciais!G:G,"&gt;0")</f>
        <v/>
      </c>
      <c r="H318" s="7">
        <f>SUMIFS(df_extratos!I:I,df_extratos!F:F,Conciliacao!BE318,df_extratos!G:G,"CREDITO")+SUMIFS(df_extratos!I:I,df_extratos!F:F,Conciliacao!A318,df_extratos!G:G,"CREDITO")+SUMIFS(df_extratos!I:I,df_extratos!F:F,Conciliacao!BF318,df_extratos!G:G,"CREDITO")+SUMIFS(df_extratos!I:I,df_extratos!F:F,Conciliacao!BG318,df_extratos!G:G,"CREDITO")+SUMIFS(df_extratos!I:I,df_extratos!F:F,Conciliacao!BH318,df_extratos!G:G,"CREDITO")</f>
        <v/>
      </c>
      <c r="I318" s="9">
        <f>H318-SUM(B318:G318)</f>
        <v/>
      </c>
      <c r="J318" s="4">
        <f>SUMIFS(df_blueme_sem_parcelamento!E:E,df_blueme_sem_parcelamento!H:H,Conciliacao!A318)*(-1)</f>
        <v/>
      </c>
      <c r="K318" s="4">
        <f>SUMIFS(df_blueme_com_parcelamento!J:J,df_blueme_com_parcelamento!M:M,Conciliacao!A318)*(-1)</f>
        <v/>
      </c>
      <c r="L318" s="4">
        <f>SUMIFS(df_mutuos!N:N,df_mutuos!B:B,Conciliacao!A318)*(-1)</f>
        <v/>
      </c>
      <c r="M318" s="8">
        <f>SUMIFS(df_bloqueios_judiciais!G:G,df_bloqueios_judiciais!D:D,Conciliacao!A318,df_bloqueios_judiciais!G:G,"&lt;0")</f>
        <v/>
      </c>
      <c r="N318" s="10">
        <f>SUMIFS(df_extratos!I:I,df_extratos!F:F,Conciliacao!BE318,df_extratos!G:G,"DEBITO")+SUMIFS(df_extratos!I:I,df_extratos!F:F,Conciliacao!A318,df_extratos!G:G,"DEBITO")+SUMIFS(df_extratos!I:I,df_extratos!F:F,Conciliacao!BF318,df_extratos!G:G,"DEBITO")+SUMIFS(df_extratos!I:I,df_extratos!F:F,Conciliacao!BG318,df_extratos!G:G,"DEBITO")+SUMIFS(df_extratos!I:I,df_extratos!F:F,Conciliacao!BH318,df_extratos!G:G,"DEBITO")</f>
        <v/>
      </c>
      <c r="O318" s="11">
        <f>N318-SUM(J318:M318)</f>
        <v/>
      </c>
      <c r="P318" s="25">
        <f>SUMIFS(df_ajustes_conciliaco!D:D,df_ajustes_conciliaco!C:C,Conciliacao!A318)</f>
        <v/>
      </c>
      <c r="Q318" s="22">
        <f>O318+I318-P318</f>
        <v/>
      </c>
      <c r="BE318" s="20" t="n">
        <v>45974.5</v>
      </c>
      <c r="BF318" s="20" t="n">
        <v>45974.125</v>
      </c>
      <c r="BG318" s="20" t="n">
        <v>45974.54166666666</v>
      </c>
      <c r="BH318" s="20" t="n">
        <v>45974.625</v>
      </c>
    </row>
    <row r="319">
      <c r="A319" s="5">
        <f>A318+1</f>
        <v/>
      </c>
      <c r="B319" s="3">
        <f>-SUMIFS(df_extrato_zig!G:G,df_extrato_zig!E:E,Conciliacao!A319,df_extrato_zig!D:D,"Saque")-SUMIFS(df_extrato_zig!G:G,df_extrato_zig!E:E,Conciliacao!A319,df_extrato_zig!D:D,"Antecipação")</f>
        <v/>
      </c>
      <c r="C319" s="3">
        <f>SUMIFS(df_extrato_zig!E:E,df_extrato_zig!L:L,Conciliacao!A319,df_extrato_zig!F:F,"DINHEIRO")</f>
        <v/>
      </c>
      <c r="D319" s="3">
        <f>SUMIFS(view_parc_agrup!H:H,view_parc_agrup!G:G,Conciliacao!A319)</f>
        <v/>
      </c>
      <c r="E319" s="3">
        <f>SUMIFS(df_eventos!F:F,df_eventos!H:H,Conciliacao!A319)</f>
        <v/>
      </c>
      <c r="F319" s="3">
        <f>SUMIFS(df_mutuos!M:M,df_mutuos!B:B,Conciliacao!A319)</f>
        <v/>
      </c>
      <c r="G319" s="6">
        <f>SUMIFS(df_bloqueios_judiciais!G:G,df_bloqueios_judiciais!D:D,Conciliacao!A319,df_bloqueios_judiciais!G:G,"&gt;0")</f>
        <v/>
      </c>
      <c r="H319" s="7">
        <f>SUMIFS(df_extratos!I:I,df_extratos!F:F,Conciliacao!BE319,df_extratos!G:G,"CREDITO")+SUMIFS(df_extratos!I:I,df_extratos!F:F,Conciliacao!A319,df_extratos!G:G,"CREDITO")+SUMIFS(df_extratos!I:I,df_extratos!F:F,Conciliacao!BF319,df_extratos!G:G,"CREDITO")+SUMIFS(df_extratos!I:I,df_extratos!F:F,Conciliacao!BG319,df_extratos!G:G,"CREDITO")+SUMIFS(df_extratos!I:I,df_extratos!F:F,Conciliacao!BH319,df_extratos!G:G,"CREDITO")</f>
        <v/>
      </c>
      <c r="I319" s="9">
        <f>H319-SUM(B319:G319)</f>
        <v/>
      </c>
      <c r="J319" s="4">
        <f>SUMIFS(df_blueme_sem_parcelamento!E:E,df_blueme_sem_parcelamento!H:H,Conciliacao!A319)*(-1)</f>
        <v/>
      </c>
      <c r="K319" s="4">
        <f>SUMIFS(df_blueme_com_parcelamento!J:J,df_blueme_com_parcelamento!M:M,Conciliacao!A319)*(-1)</f>
        <v/>
      </c>
      <c r="L319" s="4">
        <f>SUMIFS(df_mutuos!N:N,df_mutuos!B:B,Conciliacao!A319)*(-1)</f>
        <v/>
      </c>
      <c r="M319" s="8">
        <f>SUMIFS(df_bloqueios_judiciais!G:G,df_bloqueios_judiciais!D:D,Conciliacao!A319,df_bloqueios_judiciais!G:G,"&lt;0")</f>
        <v/>
      </c>
      <c r="N319" s="10">
        <f>SUMIFS(df_extratos!I:I,df_extratos!F:F,Conciliacao!BE319,df_extratos!G:G,"DEBITO")+SUMIFS(df_extratos!I:I,df_extratos!F:F,Conciliacao!A319,df_extratos!G:G,"DEBITO")+SUMIFS(df_extratos!I:I,df_extratos!F:F,Conciliacao!BF319,df_extratos!G:G,"DEBITO")+SUMIFS(df_extratos!I:I,df_extratos!F:F,Conciliacao!BG319,df_extratos!G:G,"DEBITO")+SUMIFS(df_extratos!I:I,df_extratos!F:F,Conciliacao!BH319,df_extratos!G:G,"DEBITO")</f>
        <v/>
      </c>
      <c r="O319" s="11">
        <f>N319-SUM(J319:M319)</f>
        <v/>
      </c>
      <c r="P319" s="25">
        <f>SUMIFS(df_ajustes_conciliaco!D:D,df_ajustes_conciliaco!C:C,Conciliacao!A319)</f>
        <v/>
      </c>
      <c r="Q319" s="22">
        <f>O319+I319-P319</f>
        <v/>
      </c>
      <c r="BE319" s="20" t="n">
        <v>45975.5</v>
      </c>
      <c r="BF319" s="20" t="n">
        <v>45975.125</v>
      </c>
      <c r="BG319" s="20" t="n">
        <v>45975.54166666666</v>
      </c>
      <c r="BH319" s="20" t="n">
        <v>45975.625</v>
      </c>
    </row>
    <row r="320">
      <c r="A320" s="5">
        <f>A319+1</f>
        <v/>
      </c>
      <c r="B320" s="3">
        <f>-SUMIFS(df_extrato_zig!G:G,df_extrato_zig!E:E,Conciliacao!A320,df_extrato_zig!D:D,"Saque")-SUMIFS(df_extrato_zig!G:G,df_extrato_zig!E:E,Conciliacao!A320,df_extrato_zig!D:D,"Antecipação")</f>
        <v/>
      </c>
      <c r="C320" s="3">
        <f>SUMIFS(df_extrato_zig!E:E,df_extrato_zig!L:L,Conciliacao!A320,df_extrato_zig!F:F,"DINHEIRO")</f>
        <v/>
      </c>
      <c r="D320" s="3">
        <f>SUMIFS(view_parc_agrup!H:H,view_parc_agrup!G:G,Conciliacao!A320)</f>
        <v/>
      </c>
      <c r="E320" s="3">
        <f>SUMIFS(df_eventos!F:F,df_eventos!H:H,Conciliacao!A320)</f>
        <v/>
      </c>
      <c r="F320" s="3">
        <f>SUMIFS(df_mutuos!M:M,df_mutuos!B:B,Conciliacao!A320)</f>
        <v/>
      </c>
      <c r="G320" s="6">
        <f>SUMIFS(df_bloqueios_judiciais!G:G,df_bloqueios_judiciais!D:D,Conciliacao!A320,df_bloqueios_judiciais!G:G,"&gt;0")</f>
        <v/>
      </c>
      <c r="H320" s="7">
        <f>SUMIFS(df_extratos!I:I,df_extratos!F:F,Conciliacao!BE320,df_extratos!G:G,"CREDITO")+SUMIFS(df_extratos!I:I,df_extratos!F:F,Conciliacao!A320,df_extratos!G:G,"CREDITO")+SUMIFS(df_extratos!I:I,df_extratos!F:F,Conciliacao!BF320,df_extratos!G:G,"CREDITO")+SUMIFS(df_extratos!I:I,df_extratos!F:F,Conciliacao!BG320,df_extratos!G:G,"CREDITO")+SUMIFS(df_extratos!I:I,df_extratos!F:F,Conciliacao!BH320,df_extratos!G:G,"CREDITO")</f>
        <v/>
      </c>
      <c r="I320" s="9">
        <f>H320-SUM(B320:G320)</f>
        <v/>
      </c>
      <c r="J320" s="4">
        <f>SUMIFS(df_blueme_sem_parcelamento!E:E,df_blueme_sem_parcelamento!H:H,Conciliacao!A320)*(-1)</f>
        <v/>
      </c>
      <c r="K320" s="4">
        <f>SUMIFS(df_blueme_com_parcelamento!J:J,df_blueme_com_parcelamento!M:M,Conciliacao!A320)*(-1)</f>
        <v/>
      </c>
      <c r="L320" s="4">
        <f>SUMIFS(df_mutuos!N:N,df_mutuos!B:B,Conciliacao!A320)*(-1)</f>
        <v/>
      </c>
      <c r="M320" s="8">
        <f>SUMIFS(df_bloqueios_judiciais!G:G,df_bloqueios_judiciais!D:D,Conciliacao!A320,df_bloqueios_judiciais!G:G,"&lt;0")</f>
        <v/>
      </c>
      <c r="N320" s="10">
        <f>SUMIFS(df_extratos!I:I,df_extratos!F:F,Conciliacao!BE320,df_extratos!G:G,"DEBITO")+SUMIFS(df_extratos!I:I,df_extratos!F:F,Conciliacao!A320,df_extratos!G:G,"DEBITO")+SUMIFS(df_extratos!I:I,df_extratos!F:F,Conciliacao!BF320,df_extratos!G:G,"DEBITO")+SUMIFS(df_extratos!I:I,df_extratos!F:F,Conciliacao!BG320,df_extratos!G:G,"DEBITO")+SUMIFS(df_extratos!I:I,df_extratos!F:F,Conciliacao!BH320,df_extratos!G:G,"DEBITO")</f>
        <v/>
      </c>
      <c r="O320" s="11">
        <f>N320-SUM(J320:M320)</f>
        <v/>
      </c>
      <c r="P320" s="25">
        <f>SUMIFS(df_ajustes_conciliaco!D:D,df_ajustes_conciliaco!C:C,Conciliacao!A320)</f>
        <v/>
      </c>
      <c r="Q320" s="22">
        <f>O320+I320-P320</f>
        <v/>
      </c>
      <c r="BE320" s="20" t="n">
        <v>45976.5</v>
      </c>
      <c r="BF320" s="20" t="n">
        <v>45976.125</v>
      </c>
      <c r="BG320" s="20" t="n">
        <v>45976.54166666666</v>
      </c>
      <c r="BH320" s="20" t="n">
        <v>45976.625</v>
      </c>
    </row>
    <row r="321">
      <c r="A321" s="5">
        <f>A320+1</f>
        <v/>
      </c>
      <c r="B321" s="3">
        <f>-SUMIFS(df_extrato_zig!G:G,df_extrato_zig!E:E,Conciliacao!A321,df_extrato_zig!D:D,"Saque")-SUMIFS(df_extrato_zig!G:G,df_extrato_zig!E:E,Conciliacao!A321,df_extrato_zig!D:D,"Antecipação")</f>
        <v/>
      </c>
      <c r="C321" s="3">
        <f>SUMIFS(df_extrato_zig!E:E,df_extrato_zig!L:L,Conciliacao!A321,df_extrato_zig!F:F,"DINHEIRO")</f>
        <v/>
      </c>
      <c r="D321" s="3">
        <f>SUMIFS(view_parc_agrup!H:H,view_parc_agrup!G:G,Conciliacao!A321)</f>
        <v/>
      </c>
      <c r="E321" s="3">
        <f>SUMIFS(df_eventos!F:F,df_eventos!H:H,Conciliacao!A321)</f>
        <v/>
      </c>
      <c r="F321" s="3">
        <f>SUMIFS(df_mutuos!M:M,df_mutuos!B:B,Conciliacao!A321)</f>
        <v/>
      </c>
      <c r="G321" s="6">
        <f>SUMIFS(df_bloqueios_judiciais!G:G,df_bloqueios_judiciais!D:D,Conciliacao!A321,df_bloqueios_judiciais!G:G,"&gt;0")</f>
        <v/>
      </c>
      <c r="H321" s="7">
        <f>SUMIFS(df_extratos!I:I,df_extratos!F:F,Conciliacao!BE321,df_extratos!G:G,"CREDITO")+SUMIFS(df_extratos!I:I,df_extratos!F:F,Conciliacao!A321,df_extratos!G:G,"CREDITO")+SUMIFS(df_extratos!I:I,df_extratos!F:F,Conciliacao!BF321,df_extratos!G:G,"CREDITO")+SUMIFS(df_extratos!I:I,df_extratos!F:F,Conciliacao!BG321,df_extratos!G:G,"CREDITO")+SUMIFS(df_extratos!I:I,df_extratos!F:F,Conciliacao!BH321,df_extratos!G:G,"CREDITO")</f>
        <v/>
      </c>
      <c r="I321" s="9">
        <f>H321-SUM(B321:G321)</f>
        <v/>
      </c>
      <c r="J321" s="4">
        <f>SUMIFS(df_blueme_sem_parcelamento!E:E,df_blueme_sem_parcelamento!H:H,Conciliacao!A321)*(-1)</f>
        <v/>
      </c>
      <c r="K321" s="4">
        <f>SUMIFS(df_blueme_com_parcelamento!J:J,df_blueme_com_parcelamento!M:M,Conciliacao!A321)*(-1)</f>
        <v/>
      </c>
      <c r="L321" s="4">
        <f>SUMIFS(df_mutuos!N:N,df_mutuos!B:B,Conciliacao!A321)*(-1)</f>
        <v/>
      </c>
      <c r="M321" s="8">
        <f>SUMIFS(df_bloqueios_judiciais!G:G,df_bloqueios_judiciais!D:D,Conciliacao!A321,df_bloqueios_judiciais!G:G,"&lt;0")</f>
        <v/>
      </c>
      <c r="N321" s="10">
        <f>SUMIFS(df_extratos!I:I,df_extratos!F:F,Conciliacao!BE321,df_extratos!G:G,"DEBITO")+SUMIFS(df_extratos!I:I,df_extratos!F:F,Conciliacao!A321,df_extratos!G:G,"DEBITO")+SUMIFS(df_extratos!I:I,df_extratos!F:F,Conciliacao!BF321,df_extratos!G:G,"DEBITO")+SUMIFS(df_extratos!I:I,df_extratos!F:F,Conciliacao!BG321,df_extratos!G:G,"DEBITO")+SUMIFS(df_extratos!I:I,df_extratos!F:F,Conciliacao!BH321,df_extratos!G:G,"DEBITO")</f>
        <v/>
      </c>
      <c r="O321" s="11">
        <f>N321-SUM(J321:M321)</f>
        <v/>
      </c>
      <c r="P321" s="25">
        <f>SUMIFS(df_ajustes_conciliaco!D:D,df_ajustes_conciliaco!C:C,Conciliacao!A321)</f>
        <v/>
      </c>
      <c r="Q321" s="22">
        <f>O321+I321-P321</f>
        <v/>
      </c>
      <c r="BE321" s="20" t="n">
        <v>45977.5</v>
      </c>
      <c r="BF321" s="20" t="n">
        <v>45977.125</v>
      </c>
      <c r="BG321" s="20" t="n">
        <v>45977.54166666666</v>
      </c>
      <c r="BH321" s="20" t="n">
        <v>45977.625</v>
      </c>
    </row>
    <row r="322">
      <c r="A322" s="5">
        <f>A321+1</f>
        <v/>
      </c>
      <c r="B322" s="3">
        <f>-SUMIFS(df_extrato_zig!G:G,df_extrato_zig!E:E,Conciliacao!A322,df_extrato_zig!D:D,"Saque")-SUMIFS(df_extrato_zig!G:G,df_extrato_zig!E:E,Conciliacao!A322,df_extrato_zig!D:D,"Antecipação")</f>
        <v/>
      </c>
      <c r="C322" s="3">
        <f>SUMIFS(df_extrato_zig!E:E,df_extrato_zig!L:L,Conciliacao!A322,df_extrato_zig!F:F,"DINHEIRO")</f>
        <v/>
      </c>
      <c r="D322" s="3">
        <f>SUMIFS(view_parc_agrup!H:H,view_parc_agrup!G:G,Conciliacao!A322)</f>
        <v/>
      </c>
      <c r="E322" s="3">
        <f>SUMIFS(df_eventos!F:F,df_eventos!H:H,Conciliacao!A322)</f>
        <v/>
      </c>
      <c r="F322" s="3">
        <f>SUMIFS(df_mutuos!M:M,df_mutuos!B:B,Conciliacao!A322)</f>
        <v/>
      </c>
      <c r="G322" s="6">
        <f>SUMIFS(df_bloqueios_judiciais!G:G,df_bloqueios_judiciais!D:D,Conciliacao!A322,df_bloqueios_judiciais!G:G,"&gt;0")</f>
        <v/>
      </c>
      <c r="H322" s="7">
        <f>SUMIFS(df_extratos!I:I,df_extratos!F:F,Conciliacao!BE322,df_extratos!G:G,"CREDITO")+SUMIFS(df_extratos!I:I,df_extratos!F:F,Conciliacao!A322,df_extratos!G:G,"CREDITO")+SUMIFS(df_extratos!I:I,df_extratos!F:F,Conciliacao!BF322,df_extratos!G:G,"CREDITO")+SUMIFS(df_extratos!I:I,df_extratos!F:F,Conciliacao!BG322,df_extratos!G:G,"CREDITO")+SUMIFS(df_extratos!I:I,df_extratos!F:F,Conciliacao!BH322,df_extratos!G:G,"CREDITO")</f>
        <v/>
      </c>
      <c r="I322" s="9">
        <f>H322-SUM(B322:G322)</f>
        <v/>
      </c>
      <c r="J322" s="4">
        <f>SUMIFS(df_blueme_sem_parcelamento!E:E,df_blueme_sem_parcelamento!H:H,Conciliacao!A322)*(-1)</f>
        <v/>
      </c>
      <c r="K322" s="4">
        <f>SUMIFS(df_blueme_com_parcelamento!J:J,df_blueme_com_parcelamento!M:M,Conciliacao!A322)*(-1)</f>
        <v/>
      </c>
      <c r="L322" s="4">
        <f>SUMIFS(df_mutuos!N:N,df_mutuos!B:B,Conciliacao!A322)*(-1)</f>
        <v/>
      </c>
      <c r="M322" s="8">
        <f>SUMIFS(df_bloqueios_judiciais!G:G,df_bloqueios_judiciais!D:D,Conciliacao!A322,df_bloqueios_judiciais!G:G,"&lt;0")</f>
        <v/>
      </c>
      <c r="N322" s="10">
        <f>SUMIFS(df_extratos!I:I,df_extratos!F:F,Conciliacao!BE322,df_extratos!G:G,"DEBITO")+SUMIFS(df_extratos!I:I,df_extratos!F:F,Conciliacao!A322,df_extratos!G:G,"DEBITO")+SUMIFS(df_extratos!I:I,df_extratos!F:F,Conciliacao!BF322,df_extratos!G:G,"DEBITO")+SUMIFS(df_extratos!I:I,df_extratos!F:F,Conciliacao!BG322,df_extratos!G:G,"DEBITO")+SUMIFS(df_extratos!I:I,df_extratos!F:F,Conciliacao!BH322,df_extratos!G:G,"DEBITO")</f>
        <v/>
      </c>
      <c r="O322" s="11">
        <f>N322-SUM(J322:M322)</f>
        <v/>
      </c>
      <c r="P322" s="25">
        <f>SUMIFS(df_ajustes_conciliaco!D:D,df_ajustes_conciliaco!C:C,Conciliacao!A322)</f>
        <v/>
      </c>
      <c r="Q322" s="22">
        <f>O322+I322-P322</f>
        <v/>
      </c>
      <c r="BE322" s="20" t="n">
        <v>45978.5</v>
      </c>
      <c r="BF322" s="20" t="n">
        <v>45978.125</v>
      </c>
      <c r="BG322" s="20" t="n">
        <v>45978.54166666666</v>
      </c>
      <c r="BH322" s="20" t="n">
        <v>45978.625</v>
      </c>
    </row>
    <row r="323">
      <c r="A323" s="5">
        <f>A322+1</f>
        <v/>
      </c>
      <c r="B323" s="3">
        <f>-SUMIFS(df_extrato_zig!G:G,df_extrato_zig!E:E,Conciliacao!A323,df_extrato_zig!D:D,"Saque")-SUMIFS(df_extrato_zig!G:G,df_extrato_zig!E:E,Conciliacao!A323,df_extrato_zig!D:D,"Antecipação")</f>
        <v/>
      </c>
      <c r="C323" s="3">
        <f>SUMIFS(df_extrato_zig!E:E,df_extrato_zig!L:L,Conciliacao!A323,df_extrato_zig!F:F,"DINHEIRO")</f>
        <v/>
      </c>
      <c r="D323" s="3">
        <f>SUMIFS(view_parc_agrup!H:H,view_parc_agrup!G:G,Conciliacao!A323)</f>
        <v/>
      </c>
      <c r="E323" s="3">
        <f>SUMIFS(df_eventos!F:F,df_eventos!H:H,Conciliacao!A323)</f>
        <v/>
      </c>
      <c r="F323" s="3">
        <f>SUMIFS(df_mutuos!M:M,df_mutuos!B:B,Conciliacao!A323)</f>
        <v/>
      </c>
      <c r="G323" s="6">
        <f>SUMIFS(df_bloqueios_judiciais!G:G,df_bloqueios_judiciais!D:D,Conciliacao!A323,df_bloqueios_judiciais!G:G,"&gt;0")</f>
        <v/>
      </c>
      <c r="H323" s="7">
        <f>SUMIFS(df_extratos!I:I,df_extratos!F:F,Conciliacao!BE323,df_extratos!G:G,"CREDITO")+SUMIFS(df_extratos!I:I,df_extratos!F:F,Conciliacao!A323,df_extratos!G:G,"CREDITO")+SUMIFS(df_extratos!I:I,df_extratos!F:F,Conciliacao!BF323,df_extratos!G:G,"CREDITO")+SUMIFS(df_extratos!I:I,df_extratos!F:F,Conciliacao!BG323,df_extratos!G:G,"CREDITO")+SUMIFS(df_extratos!I:I,df_extratos!F:F,Conciliacao!BH323,df_extratos!G:G,"CREDITO")</f>
        <v/>
      </c>
      <c r="I323" s="9">
        <f>H323-SUM(B323:G323)</f>
        <v/>
      </c>
      <c r="J323" s="4">
        <f>SUMIFS(df_blueme_sem_parcelamento!E:E,df_blueme_sem_parcelamento!H:H,Conciliacao!A323)*(-1)</f>
        <v/>
      </c>
      <c r="K323" s="4">
        <f>SUMIFS(df_blueme_com_parcelamento!J:J,df_blueme_com_parcelamento!M:M,Conciliacao!A323)*(-1)</f>
        <v/>
      </c>
      <c r="L323" s="4">
        <f>SUMIFS(df_mutuos!N:N,df_mutuos!B:B,Conciliacao!A323)*(-1)</f>
        <v/>
      </c>
      <c r="M323" s="8">
        <f>SUMIFS(df_bloqueios_judiciais!G:G,df_bloqueios_judiciais!D:D,Conciliacao!A323,df_bloqueios_judiciais!G:G,"&lt;0")</f>
        <v/>
      </c>
      <c r="N323" s="10">
        <f>SUMIFS(df_extratos!I:I,df_extratos!F:F,Conciliacao!BE323,df_extratos!G:G,"DEBITO")+SUMIFS(df_extratos!I:I,df_extratos!F:F,Conciliacao!A323,df_extratos!G:G,"DEBITO")+SUMIFS(df_extratos!I:I,df_extratos!F:F,Conciliacao!BF323,df_extratos!G:G,"DEBITO")+SUMIFS(df_extratos!I:I,df_extratos!F:F,Conciliacao!BG323,df_extratos!G:G,"DEBITO")+SUMIFS(df_extratos!I:I,df_extratos!F:F,Conciliacao!BH323,df_extratos!G:G,"DEBITO")</f>
        <v/>
      </c>
      <c r="O323" s="11">
        <f>N323-SUM(J323:M323)</f>
        <v/>
      </c>
      <c r="P323" s="25">
        <f>SUMIFS(df_ajustes_conciliaco!D:D,df_ajustes_conciliaco!C:C,Conciliacao!A323)</f>
        <v/>
      </c>
      <c r="Q323" s="22">
        <f>O323+I323-P323</f>
        <v/>
      </c>
      <c r="BE323" s="20" t="n">
        <v>45979.5</v>
      </c>
      <c r="BF323" s="20" t="n">
        <v>45979.125</v>
      </c>
      <c r="BG323" s="20" t="n">
        <v>45979.54166666666</v>
      </c>
      <c r="BH323" s="20" t="n">
        <v>45979.625</v>
      </c>
    </row>
    <row r="324">
      <c r="A324" s="5">
        <f>A323+1</f>
        <v/>
      </c>
      <c r="B324" s="3">
        <f>-SUMIFS(df_extrato_zig!G:G,df_extrato_zig!E:E,Conciliacao!A324,df_extrato_zig!D:D,"Saque")-SUMIFS(df_extrato_zig!G:G,df_extrato_zig!E:E,Conciliacao!A324,df_extrato_zig!D:D,"Antecipação")</f>
        <v/>
      </c>
      <c r="C324" s="3">
        <f>SUMIFS(df_extrato_zig!E:E,df_extrato_zig!L:L,Conciliacao!A324,df_extrato_zig!F:F,"DINHEIRO")</f>
        <v/>
      </c>
      <c r="D324" s="3">
        <f>SUMIFS(view_parc_agrup!H:H,view_parc_agrup!G:G,Conciliacao!A324)</f>
        <v/>
      </c>
      <c r="E324" s="3">
        <f>SUMIFS(df_eventos!F:F,df_eventos!H:H,Conciliacao!A324)</f>
        <v/>
      </c>
      <c r="F324" s="3">
        <f>SUMIFS(df_mutuos!M:M,df_mutuos!B:B,Conciliacao!A324)</f>
        <v/>
      </c>
      <c r="G324" s="6">
        <f>SUMIFS(df_bloqueios_judiciais!G:G,df_bloqueios_judiciais!D:D,Conciliacao!A324,df_bloqueios_judiciais!G:G,"&gt;0")</f>
        <v/>
      </c>
      <c r="H324" s="7">
        <f>SUMIFS(df_extratos!I:I,df_extratos!F:F,Conciliacao!BE324,df_extratos!G:G,"CREDITO")+SUMIFS(df_extratos!I:I,df_extratos!F:F,Conciliacao!A324,df_extratos!G:G,"CREDITO")+SUMIFS(df_extratos!I:I,df_extratos!F:F,Conciliacao!BF324,df_extratos!G:G,"CREDITO")+SUMIFS(df_extratos!I:I,df_extratos!F:F,Conciliacao!BG324,df_extratos!G:G,"CREDITO")+SUMIFS(df_extratos!I:I,df_extratos!F:F,Conciliacao!BH324,df_extratos!G:G,"CREDITO")</f>
        <v/>
      </c>
      <c r="I324" s="9">
        <f>H324-SUM(B324:G324)</f>
        <v/>
      </c>
      <c r="J324" s="4">
        <f>SUMIFS(df_blueme_sem_parcelamento!E:E,df_blueme_sem_parcelamento!H:H,Conciliacao!A324)*(-1)</f>
        <v/>
      </c>
      <c r="K324" s="4">
        <f>SUMIFS(df_blueme_com_parcelamento!J:J,df_blueme_com_parcelamento!M:M,Conciliacao!A324)*(-1)</f>
        <v/>
      </c>
      <c r="L324" s="4">
        <f>SUMIFS(df_mutuos!N:N,df_mutuos!B:B,Conciliacao!A324)*(-1)</f>
        <v/>
      </c>
      <c r="M324" s="8">
        <f>SUMIFS(df_bloqueios_judiciais!G:G,df_bloqueios_judiciais!D:D,Conciliacao!A324,df_bloqueios_judiciais!G:G,"&lt;0")</f>
        <v/>
      </c>
      <c r="N324" s="10">
        <f>SUMIFS(df_extratos!I:I,df_extratos!F:F,Conciliacao!BE324,df_extratos!G:G,"DEBITO")+SUMIFS(df_extratos!I:I,df_extratos!F:F,Conciliacao!A324,df_extratos!G:G,"DEBITO")+SUMIFS(df_extratos!I:I,df_extratos!F:F,Conciliacao!BF324,df_extratos!G:G,"DEBITO")+SUMIFS(df_extratos!I:I,df_extratos!F:F,Conciliacao!BG324,df_extratos!G:G,"DEBITO")+SUMIFS(df_extratos!I:I,df_extratos!F:F,Conciliacao!BH324,df_extratos!G:G,"DEBITO")</f>
        <v/>
      </c>
      <c r="O324" s="11">
        <f>N324-SUM(J324:M324)</f>
        <v/>
      </c>
      <c r="P324" s="25">
        <f>SUMIFS(df_ajustes_conciliaco!D:D,df_ajustes_conciliaco!C:C,Conciliacao!A324)</f>
        <v/>
      </c>
      <c r="Q324" s="22">
        <f>O324+I324-P324</f>
        <v/>
      </c>
      <c r="BE324" s="20" t="n">
        <v>45980.5</v>
      </c>
      <c r="BF324" s="20" t="n">
        <v>45980.125</v>
      </c>
      <c r="BG324" s="20" t="n">
        <v>45980.54166666666</v>
      </c>
      <c r="BH324" s="20" t="n">
        <v>45980.625</v>
      </c>
    </row>
    <row r="325">
      <c r="A325" s="5">
        <f>A324+1</f>
        <v/>
      </c>
      <c r="B325" s="3">
        <f>-SUMIFS(df_extrato_zig!G:G,df_extrato_zig!E:E,Conciliacao!A325,df_extrato_zig!D:D,"Saque")-SUMIFS(df_extrato_zig!G:G,df_extrato_zig!E:E,Conciliacao!A325,df_extrato_zig!D:D,"Antecipação")</f>
        <v/>
      </c>
      <c r="C325" s="3">
        <f>SUMIFS(df_extrato_zig!E:E,df_extrato_zig!L:L,Conciliacao!A325,df_extrato_zig!F:F,"DINHEIRO")</f>
        <v/>
      </c>
      <c r="D325" s="3">
        <f>SUMIFS(view_parc_agrup!H:H,view_parc_agrup!G:G,Conciliacao!A325)</f>
        <v/>
      </c>
      <c r="E325" s="3">
        <f>SUMIFS(df_eventos!F:F,df_eventos!H:H,Conciliacao!A325)</f>
        <v/>
      </c>
      <c r="F325" s="3">
        <f>SUMIFS(df_mutuos!M:M,df_mutuos!B:B,Conciliacao!A325)</f>
        <v/>
      </c>
      <c r="G325" s="6">
        <f>SUMIFS(df_bloqueios_judiciais!G:G,df_bloqueios_judiciais!D:D,Conciliacao!A325,df_bloqueios_judiciais!G:G,"&gt;0")</f>
        <v/>
      </c>
      <c r="H325" s="7">
        <f>SUMIFS(df_extratos!I:I,df_extratos!F:F,Conciliacao!BE325,df_extratos!G:G,"CREDITO")+SUMIFS(df_extratos!I:I,df_extratos!F:F,Conciliacao!A325,df_extratos!G:G,"CREDITO")+SUMIFS(df_extratos!I:I,df_extratos!F:F,Conciliacao!BF325,df_extratos!G:G,"CREDITO")+SUMIFS(df_extratos!I:I,df_extratos!F:F,Conciliacao!BG325,df_extratos!G:G,"CREDITO")+SUMIFS(df_extratos!I:I,df_extratos!F:F,Conciliacao!BH325,df_extratos!G:G,"CREDITO")</f>
        <v/>
      </c>
      <c r="I325" s="9">
        <f>H325-SUM(B325:G325)</f>
        <v/>
      </c>
      <c r="J325" s="4">
        <f>SUMIFS(df_blueme_sem_parcelamento!E:E,df_blueme_sem_parcelamento!H:H,Conciliacao!A325)*(-1)</f>
        <v/>
      </c>
      <c r="K325" s="4">
        <f>SUMIFS(df_blueme_com_parcelamento!J:J,df_blueme_com_parcelamento!M:M,Conciliacao!A325)*(-1)</f>
        <v/>
      </c>
      <c r="L325" s="4">
        <f>SUMIFS(df_mutuos!N:N,df_mutuos!B:B,Conciliacao!A325)*(-1)</f>
        <v/>
      </c>
      <c r="M325" s="8">
        <f>SUMIFS(df_bloqueios_judiciais!G:G,df_bloqueios_judiciais!D:D,Conciliacao!A325,df_bloqueios_judiciais!G:G,"&lt;0")</f>
        <v/>
      </c>
      <c r="N325" s="10">
        <f>SUMIFS(df_extratos!I:I,df_extratos!F:F,Conciliacao!BE325,df_extratos!G:G,"DEBITO")+SUMIFS(df_extratos!I:I,df_extratos!F:F,Conciliacao!A325,df_extratos!G:G,"DEBITO")+SUMIFS(df_extratos!I:I,df_extratos!F:F,Conciliacao!BF325,df_extratos!G:G,"DEBITO")+SUMIFS(df_extratos!I:I,df_extratos!F:F,Conciliacao!BG325,df_extratos!G:G,"DEBITO")+SUMIFS(df_extratos!I:I,df_extratos!F:F,Conciliacao!BH325,df_extratos!G:G,"DEBITO")</f>
        <v/>
      </c>
      <c r="O325" s="11">
        <f>N325-SUM(J325:M325)</f>
        <v/>
      </c>
      <c r="P325" s="25">
        <f>SUMIFS(df_ajustes_conciliaco!D:D,df_ajustes_conciliaco!C:C,Conciliacao!A325)</f>
        <v/>
      </c>
      <c r="Q325" s="22">
        <f>O325+I325-P325</f>
        <v/>
      </c>
      <c r="BE325" s="20" t="n">
        <v>45981.5</v>
      </c>
      <c r="BF325" s="20" t="n">
        <v>45981.125</v>
      </c>
      <c r="BG325" s="20" t="n">
        <v>45981.54166666666</v>
      </c>
      <c r="BH325" s="20" t="n">
        <v>45981.625</v>
      </c>
    </row>
    <row r="326">
      <c r="A326" s="5">
        <f>A325+1</f>
        <v/>
      </c>
      <c r="B326" s="3">
        <f>-SUMIFS(df_extrato_zig!G:G,df_extrato_zig!E:E,Conciliacao!A326,df_extrato_zig!D:D,"Saque")-SUMIFS(df_extrato_zig!G:G,df_extrato_zig!E:E,Conciliacao!A326,df_extrato_zig!D:D,"Antecipação")</f>
        <v/>
      </c>
      <c r="C326" s="3">
        <f>SUMIFS(df_extrato_zig!E:E,df_extrato_zig!L:L,Conciliacao!A326,df_extrato_zig!F:F,"DINHEIRO")</f>
        <v/>
      </c>
      <c r="D326" s="3">
        <f>SUMIFS(view_parc_agrup!H:H,view_parc_agrup!G:G,Conciliacao!A326)</f>
        <v/>
      </c>
      <c r="E326" s="3">
        <f>SUMIFS(df_eventos!F:F,df_eventos!H:H,Conciliacao!A326)</f>
        <v/>
      </c>
      <c r="F326" s="3">
        <f>SUMIFS(df_mutuos!M:M,df_mutuos!B:B,Conciliacao!A326)</f>
        <v/>
      </c>
      <c r="G326" s="6">
        <f>SUMIFS(df_bloqueios_judiciais!G:G,df_bloqueios_judiciais!D:D,Conciliacao!A326,df_bloqueios_judiciais!G:G,"&gt;0")</f>
        <v/>
      </c>
      <c r="H326" s="7">
        <f>SUMIFS(df_extratos!I:I,df_extratos!F:F,Conciliacao!BE326,df_extratos!G:G,"CREDITO")+SUMIFS(df_extratos!I:I,df_extratos!F:F,Conciliacao!A326,df_extratos!G:G,"CREDITO")+SUMIFS(df_extratos!I:I,df_extratos!F:F,Conciliacao!BF326,df_extratos!G:G,"CREDITO")+SUMIFS(df_extratos!I:I,df_extratos!F:F,Conciliacao!BG326,df_extratos!G:G,"CREDITO")+SUMIFS(df_extratos!I:I,df_extratos!F:F,Conciliacao!BH326,df_extratos!G:G,"CREDITO")</f>
        <v/>
      </c>
      <c r="I326" s="9">
        <f>H326-SUM(B326:G326)</f>
        <v/>
      </c>
      <c r="J326" s="4">
        <f>SUMIFS(df_blueme_sem_parcelamento!E:E,df_blueme_sem_parcelamento!H:H,Conciliacao!A326)*(-1)</f>
        <v/>
      </c>
      <c r="K326" s="4">
        <f>SUMIFS(df_blueme_com_parcelamento!J:J,df_blueme_com_parcelamento!M:M,Conciliacao!A326)*(-1)</f>
        <v/>
      </c>
      <c r="L326" s="4">
        <f>SUMIFS(df_mutuos!N:N,df_mutuos!B:B,Conciliacao!A326)*(-1)</f>
        <v/>
      </c>
      <c r="M326" s="8">
        <f>SUMIFS(df_bloqueios_judiciais!G:G,df_bloqueios_judiciais!D:D,Conciliacao!A326,df_bloqueios_judiciais!G:G,"&lt;0")</f>
        <v/>
      </c>
      <c r="N326" s="10">
        <f>SUMIFS(df_extratos!I:I,df_extratos!F:F,Conciliacao!BE326,df_extratos!G:G,"DEBITO")+SUMIFS(df_extratos!I:I,df_extratos!F:F,Conciliacao!A326,df_extratos!G:G,"DEBITO")+SUMIFS(df_extratos!I:I,df_extratos!F:F,Conciliacao!BF326,df_extratos!G:G,"DEBITO")+SUMIFS(df_extratos!I:I,df_extratos!F:F,Conciliacao!BG326,df_extratos!G:G,"DEBITO")+SUMIFS(df_extratos!I:I,df_extratos!F:F,Conciliacao!BH326,df_extratos!G:G,"DEBITO")</f>
        <v/>
      </c>
      <c r="O326" s="11">
        <f>N326-SUM(J326:M326)</f>
        <v/>
      </c>
      <c r="P326" s="25">
        <f>SUMIFS(df_ajustes_conciliaco!D:D,df_ajustes_conciliaco!C:C,Conciliacao!A326)</f>
        <v/>
      </c>
      <c r="Q326" s="22">
        <f>O326+I326-P326</f>
        <v/>
      </c>
      <c r="BE326" s="20" t="n">
        <v>45982.5</v>
      </c>
      <c r="BF326" s="20" t="n">
        <v>45982.125</v>
      </c>
      <c r="BG326" s="20" t="n">
        <v>45982.54166666666</v>
      </c>
      <c r="BH326" s="20" t="n">
        <v>45982.625</v>
      </c>
    </row>
    <row r="327">
      <c r="A327" s="5">
        <f>A326+1</f>
        <v/>
      </c>
      <c r="B327" s="3">
        <f>-SUMIFS(df_extrato_zig!G:G,df_extrato_zig!E:E,Conciliacao!A327,df_extrato_zig!D:D,"Saque")-SUMIFS(df_extrato_zig!G:G,df_extrato_zig!E:E,Conciliacao!A327,df_extrato_zig!D:D,"Antecipação")</f>
        <v/>
      </c>
      <c r="C327" s="3">
        <f>SUMIFS(df_extrato_zig!E:E,df_extrato_zig!L:L,Conciliacao!A327,df_extrato_zig!F:F,"DINHEIRO")</f>
        <v/>
      </c>
      <c r="D327" s="3">
        <f>SUMIFS(view_parc_agrup!H:H,view_parc_agrup!G:G,Conciliacao!A327)</f>
        <v/>
      </c>
      <c r="E327" s="3">
        <f>SUMIFS(df_eventos!F:F,df_eventos!H:H,Conciliacao!A327)</f>
        <v/>
      </c>
      <c r="F327" s="3">
        <f>SUMIFS(df_mutuos!M:M,df_mutuos!B:B,Conciliacao!A327)</f>
        <v/>
      </c>
      <c r="G327" s="6">
        <f>SUMIFS(df_bloqueios_judiciais!G:G,df_bloqueios_judiciais!D:D,Conciliacao!A327,df_bloqueios_judiciais!G:G,"&gt;0")</f>
        <v/>
      </c>
      <c r="H327" s="7">
        <f>SUMIFS(df_extratos!I:I,df_extratos!F:F,Conciliacao!BE327,df_extratos!G:G,"CREDITO")+SUMIFS(df_extratos!I:I,df_extratos!F:F,Conciliacao!A327,df_extratos!G:G,"CREDITO")+SUMIFS(df_extratos!I:I,df_extratos!F:F,Conciliacao!BF327,df_extratos!G:G,"CREDITO")+SUMIFS(df_extratos!I:I,df_extratos!F:F,Conciliacao!BG327,df_extratos!G:G,"CREDITO")+SUMIFS(df_extratos!I:I,df_extratos!F:F,Conciliacao!BH327,df_extratos!G:G,"CREDITO")</f>
        <v/>
      </c>
      <c r="I327" s="9">
        <f>H327-SUM(B327:G327)</f>
        <v/>
      </c>
      <c r="J327" s="4">
        <f>SUMIFS(df_blueme_sem_parcelamento!E:E,df_blueme_sem_parcelamento!H:H,Conciliacao!A327)*(-1)</f>
        <v/>
      </c>
      <c r="K327" s="4">
        <f>SUMIFS(df_blueme_com_parcelamento!J:J,df_blueme_com_parcelamento!M:M,Conciliacao!A327)*(-1)</f>
        <v/>
      </c>
      <c r="L327" s="4">
        <f>SUMIFS(df_mutuos!N:N,df_mutuos!B:B,Conciliacao!A327)*(-1)</f>
        <v/>
      </c>
      <c r="M327" s="8">
        <f>SUMIFS(df_bloqueios_judiciais!G:G,df_bloqueios_judiciais!D:D,Conciliacao!A327,df_bloqueios_judiciais!G:G,"&lt;0")</f>
        <v/>
      </c>
      <c r="N327" s="10">
        <f>SUMIFS(df_extratos!I:I,df_extratos!F:F,Conciliacao!BE327,df_extratos!G:G,"DEBITO")+SUMIFS(df_extratos!I:I,df_extratos!F:F,Conciliacao!A327,df_extratos!G:G,"DEBITO")+SUMIFS(df_extratos!I:I,df_extratos!F:F,Conciliacao!BF327,df_extratos!G:G,"DEBITO")+SUMIFS(df_extratos!I:I,df_extratos!F:F,Conciliacao!BG327,df_extratos!G:G,"DEBITO")+SUMIFS(df_extratos!I:I,df_extratos!F:F,Conciliacao!BH327,df_extratos!G:G,"DEBITO")</f>
        <v/>
      </c>
      <c r="O327" s="11">
        <f>N327-SUM(J327:M327)</f>
        <v/>
      </c>
      <c r="P327" s="25">
        <f>SUMIFS(df_ajustes_conciliaco!D:D,df_ajustes_conciliaco!C:C,Conciliacao!A327)</f>
        <v/>
      </c>
      <c r="Q327" s="22">
        <f>O327+I327-P327</f>
        <v/>
      </c>
      <c r="BE327" s="20" t="n">
        <v>45983.5</v>
      </c>
      <c r="BF327" s="20" t="n">
        <v>45983.125</v>
      </c>
      <c r="BG327" s="20" t="n">
        <v>45983.54166666666</v>
      </c>
      <c r="BH327" s="20" t="n">
        <v>45983.625</v>
      </c>
    </row>
    <row r="328">
      <c r="A328" s="5">
        <f>A327+1</f>
        <v/>
      </c>
      <c r="B328" s="3">
        <f>-SUMIFS(df_extrato_zig!G:G,df_extrato_zig!E:E,Conciliacao!A328,df_extrato_zig!D:D,"Saque")-SUMIFS(df_extrato_zig!G:G,df_extrato_zig!E:E,Conciliacao!A328,df_extrato_zig!D:D,"Antecipação")</f>
        <v/>
      </c>
      <c r="C328" s="3">
        <f>SUMIFS(df_extrato_zig!E:E,df_extrato_zig!L:L,Conciliacao!A328,df_extrato_zig!F:F,"DINHEIRO")</f>
        <v/>
      </c>
      <c r="D328" s="3">
        <f>SUMIFS(view_parc_agrup!H:H,view_parc_agrup!G:G,Conciliacao!A328)</f>
        <v/>
      </c>
      <c r="E328" s="3">
        <f>SUMIFS(df_eventos!F:F,df_eventos!H:H,Conciliacao!A328)</f>
        <v/>
      </c>
      <c r="F328" s="3">
        <f>SUMIFS(df_mutuos!M:M,df_mutuos!B:B,Conciliacao!A328)</f>
        <v/>
      </c>
      <c r="G328" s="6">
        <f>SUMIFS(df_bloqueios_judiciais!G:G,df_bloqueios_judiciais!D:D,Conciliacao!A328,df_bloqueios_judiciais!G:G,"&gt;0")</f>
        <v/>
      </c>
      <c r="H328" s="7">
        <f>SUMIFS(df_extratos!I:I,df_extratos!F:F,Conciliacao!BE328,df_extratos!G:G,"CREDITO")+SUMIFS(df_extratos!I:I,df_extratos!F:F,Conciliacao!A328,df_extratos!G:G,"CREDITO")+SUMIFS(df_extratos!I:I,df_extratos!F:F,Conciliacao!BF328,df_extratos!G:G,"CREDITO")+SUMIFS(df_extratos!I:I,df_extratos!F:F,Conciliacao!BG328,df_extratos!G:G,"CREDITO")+SUMIFS(df_extratos!I:I,df_extratos!F:F,Conciliacao!BH328,df_extratos!G:G,"CREDITO")</f>
        <v/>
      </c>
      <c r="I328" s="9">
        <f>H328-SUM(B328:G328)</f>
        <v/>
      </c>
      <c r="J328" s="4">
        <f>SUMIFS(df_blueme_sem_parcelamento!E:E,df_blueme_sem_parcelamento!H:H,Conciliacao!A328)*(-1)</f>
        <v/>
      </c>
      <c r="K328" s="4">
        <f>SUMIFS(df_blueme_com_parcelamento!J:J,df_blueme_com_parcelamento!M:M,Conciliacao!A328)*(-1)</f>
        <v/>
      </c>
      <c r="L328" s="4">
        <f>SUMIFS(df_mutuos!N:N,df_mutuos!B:B,Conciliacao!A328)*(-1)</f>
        <v/>
      </c>
      <c r="M328" s="8">
        <f>SUMIFS(df_bloqueios_judiciais!G:G,df_bloqueios_judiciais!D:D,Conciliacao!A328,df_bloqueios_judiciais!G:G,"&lt;0")</f>
        <v/>
      </c>
      <c r="N328" s="10">
        <f>SUMIFS(df_extratos!I:I,df_extratos!F:F,Conciliacao!BE328,df_extratos!G:G,"DEBITO")+SUMIFS(df_extratos!I:I,df_extratos!F:F,Conciliacao!A328,df_extratos!G:G,"DEBITO")+SUMIFS(df_extratos!I:I,df_extratos!F:F,Conciliacao!BF328,df_extratos!G:G,"DEBITO")+SUMIFS(df_extratos!I:I,df_extratos!F:F,Conciliacao!BG328,df_extratos!G:G,"DEBITO")+SUMIFS(df_extratos!I:I,df_extratos!F:F,Conciliacao!BH328,df_extratos!G:G,"DEBITO")</f>
        <v/>
      </c>
      <c r="O328" s="11">
        <f>N328-SUM(J328:M328)</f>
        <v/>
      </c>
      <c r="P328" s="25">
        <f>SUMIFS(df_ajustes_conciliaco!D:D,df_ajustes_conciliaco!C:C,Conciliacao!A328)</f>
        <v/>
      </c>
      <c r="Q328" s="22">
        <f>O328+I328-P328</f>
        <v/>
      </c>
      <c r="BE328" s="20" t="n">
        <v>45984.5</v>
      </c>
      <c r="BF328" s="20" t="n">
        <v>45984.125</v>
      </c>
      <c r="BG328" s="20" t="n">
        <v>45984.54166666666</v>
      </c>
      <c r="BH328" s="20" t="n">
        <v>45984.625</v>
      </c>
    </row>
    <row r="329">
      <c r="A329" s="5">
        <f>A328+1</f>
        <v/>
      </c>
      <c r="B329" s="3">
        <f>-SUMIFS(df_extrato_zig!G:G,df_extrato_zig!E:E,Conciliacao!A329,df_extrato_zig!D:D,"Saque")-SUMIFS(df_extrato_zig!G:G,df_extrato_zig!E:E,Conciliacao!A329,df_extrato_zig!D:D,"Antecipação")</f>
        <v/>
      </c>
      <c r="C329" s="3">
        <f>SUMIFS(df_extrato_zig!E:E,df_extrato_zig!L:L,Conciliacao!A329,df_extrato_zig!F:F,"DINHEIRO")</f>
        <v/>
      </c>
      <c r="D329" s="3">
        <f>SUMIFS(view_parc_agrup!H:H,view_parc_agrup!G:G,Conciliacao!A329)</f>
        <v/>
      </c>
      <c r="E329" s="3">
        <f>SUMIFS(df_eventos!F:F,df_eventos!H:H,Conciliacao!A329)</f>
        <v/>
      </c>
      <c r="F329" s="3">
        <f>SUMIFS(df_mutuos!M:M,df_mutuos!B:B,Conciliacao!A329)</f>
        <v/>
      </c>
      <c r="G329" s="6">
        <f>SUMIFS(df_bloqueios_judiciais!G:G,df_bloqueios_judiciais!D:D,Conciliacao!A329,df_bloqueios_judiciais!G:G,"&gt;0")</f>
        <v/>
      </c>
      <c r="H329" s="7">
        <f>SUMIFS(df_extratos!I:I,df_extratos!F:F,Conciliacao!BE329,df_extratos!G:G,"CREDITO")+SUMIFS(df_extratos!I:I,df_extratos!F:F,Conciliacao!A329,df_extratos!G:G,"CREDITO")+SUMIFS(df_extratos!I:I,df_extratos!F:F,Conciliacao!BF329,df_extratos!G:G,"CREDITO")+SUMIFS(df_extratos!I:I,df_extratos!F:F,Conciliacao!BG329,df_extratos!G:G,"CREDITO")+SUMIFS(df_extratos!I:I,df_extratos!F:F,Conciliacao!BH329,df_extratos!G:G,"CREDITO")</f>
        <v/>
      </c>
      <c r="I329" s="9">
        <f>H329-SUM(B329:G329)</f>
        <v/>
      </c>
      <c r="J329" s="4">
        <f>SUMIFS(df_blueme_sem_parcelamento!E:E,df_blueme_sem_parcelamento!H:H,Conciliacao!A329)*(-1)</f>
        <v/>
      </c>
      <c r="K329" s="4">
        <f>SUMIFS(df_blueme_com_parcelamento!J:J,df_blueme_com_parcelamento!M:M,Conciliacao!A329)*(-1)</f>
        <v/>
      </c>
      <c r="L329" s="4">
        <f>SUMIFS(df_mutuos!N:N,df_mutuos!B:B,Conciliacao!A329)*(-1)</f>
        <v/>
      </c>
      <c r="M329" s="8">
        <f>SUMIFS(df_bloqueios_judiciais!G:G,df_bloqueios_judiciais!D:D,Conciliacao!A329,df_bloqueios_judiciais!G:G,"&lt;0")</f>
        <v/>
      </c>
      <c r="N329" s="10">
        <f>SUMIFS(df_extratos!I:I,df_extratos!F:F,Conciliacao!BE329,df_extratos!G:G,"DEBITO")+SUMIFS(df_extratos!I:I,df_extratos!F:F,Conciliacao!A329,df_extratos!G:G,"DEBITO")+SUMIFS(df_extratos!I:I,df_extratos!F:F,Conciliacao!BF329,df_extratos!G:G,"DEBITO")+SUMIFS(df_extratos!I:I,df_extratos!F:F,Conciliacao!BG329,df_extratos!G:G,"DEBITO")+SUMIFS(df_extratos!I:I,df_extratos!F:F,Conciliacao!BH329,df_extratos!G:G,"DEBITO")</f>
        <v/>
      </c>
      <c r="O329" s="11">
        <f>N329-SUM(J329:M329)</f>
        <v/>
      </c>
      <c r="P329" s="25">
        <f>SUMIFS(df_ajustes_conciliaco!D:D,df_ajustes_conciliaco!C:C,Conciliacao!A329)</f>
        <v/>
      </c>
      <c r="Q329" s="22">
        <f>O329+I329-P329</f>
        <v/>
      </c>
      <c r="BE329" s="20" t="n">
        <v>45985.5</v>
      </c>
      <c r="BF329" s="20" t="n">
        <v>45985.125</v>
      </c>
      <c r="BG329" s="20" t="n">
        <v>45985.54166666666</v>
      </c>
      <c r="BH329" s="20" t="n">
        <v>45985.625</v>
      </c>
    </row>
    <row r="330">
      <c r="A330" s="5">
        <f>A329+1</f>
        <v/>
      </c>
      <c r="B330" s="3">
        <f>-SUMIFS(df_extrato_zig!G:G,df_extrato_zig!E:E,Conciliacao!A330,df_extrato_zig!D:D,"Saque")-SUMIFS(df_extrato_zig!G:G,df_extrato_zig!E:E,Conciliacao!A330,df_extrato_zig!D:D,"Antecipação")</f>
        <v/>
      </c>
      <c r="C330" s="3">
        <f>SUMIFS(df_extrato_zig!E:E,df_extrato_zig!L:L,Conciliacao!A330,df_extrato_zig!F:F,"DINHEIRO")</f>
        <v/>
      </c>
      <c r="D330" s="3">
        <f>SUMIFS(view_parc_agrup!H:H,view_parc_agrup!G:G,Conciliacao!A330)</f>
        <v/>
      </c>
      <c r="E330" s="3">
        <f>SUMIFS(df_eventos!F:F,df_eventos!H:H,Conciliacao!A330)</f>
        <v/>
      </c>
      <c r="F330" s="3">
        <f>SUMIFS(df_mutuos!M:M,df_mutuos!B:B,Conciliacao!A330)</f>
        <v/>
      </c>
      <c r="G330" s="6">
        <f>SUMIFS(df_bloqueios_judiciais!G:G,df_bloqueios_judiciais!D:D,Conciliacao!A330,df_bloqueios_judiciais!G:G,"&gt;0")</f>
        <v/>
      </c>
      <c r="H330" s="7">
        <f>SUMIFS(df_extratos!I:I,df_extratos!F:F,Conciliacao!BE330,df_extratos!G:G,"CREDITO")+SUMIFS(df_extratos!I:I,df_extratos!F:F,Conciliacao!A330,df_extratos!G:G,"CREDITO")+SUMIFS(df_extratos!I:I,df_extratos!F:F,Conciliacao!BF330,df_extratos!G:G,"CREDITO")+SUMIFS(df_extratos!I:I,df_extratos!F:F,Conciliacao!BG330,df_extratos!G:G,"CREDITO")+SUMIFS(df_extratos!I:I,df_extratos!F:F,Conciliacao!BH330,df_extratos!G:G,"CREDITO")</f>
        <v/>
      </c>
      <c r="I330" s="9">
        <f>H330-SUM(B330:G330)</f>
        <v/>
      </c>
      <c r="J330" s="4">
        <f>SUMIFS(df_blueme_sem_parcelamento!E:E,df_blueme_sem_parcelamento!H:H,Conciliacao!A330)*(-1)</f>
        <v/>
      </c>
      <c r="K330" s="4">
        <f>SUMIFS(df_blueme_com_parcelamento!J:J,df_blueme_com_parcelamento!M:M,Conciliacao!A330)*(-1)</f>
        <v/>
      </c>
      <c r="L330" s="4">
        <f>SUMIFS(df_mutuos!N:N,df_mutuos!B:B,Conciliacao!A330)*(-1)</f>
        <v/>
      </c>
      <c r="M330" s="8">
        <f>SUMIFS(df_bloqueios_judiciais!G:G,df_bloqueios_judiciais!D:D,Conciliacao!A330,df_bloqueios_judiciais!G:G,"&lt;0")</f>
        <v/>
      </c>
      <c r="N330" s="10">
        <f>SUMIFS(df_extratos!I:I,df_extratos!F:F,Conciliacao!BE330,df_extratos!G:G,"DEBITO")+SUMIFS(df_extratos!I:I,df_extratos!F:F,Conciliacao!A330,df_extratos!G:G,"DEBITO")+SUMIFS(df_extratos!I:I,df_extratos!F:F,Conciliacao!BF330,df_extratos!G:G,"DEBITO")+SUMIFS(df_extratos!I:I,df_extratos!F:F,Conciliacao!BG330,df_extratos!G:G,"DEBITO")+SUMIFS(df_extratos!I:I,df_extratos!F:F,Conciliacao!BH330,df_extratos!G:G,"DEBITO")</f>
        <v/>
      </c>
      <c r="O330" s="11">
        <f>N330-SUM(J330:M330)</f>
        <v/>
      </c>
      <c r="P330" s="25">
        <f>SUMIFS(df_ajustes_conciliaco!D:D,df_ajustes_conciliaco!C:C,Conciliacao!A330)</f>
        <v/>
      </c>
      <c r="Q330" s="22">
        <f>O330+I330-P330</f>
        <v/>
      </c>
      <c r="BE330" s="20" t="n">
        <v>45986.5</v>
      </c>
      <c r="BF330" s="20" t="n">
        <v>45986.125</v>
      </c>
      <c r="BG330" s="20" t="n">
        <v>45986.54166666666</v>
      </c>
      <c r="BH330" s="20" t="n">
        <v>45986.625</v>
      </c>
    </row>
    <row r="331">
      <c r="A331" s="5">
        <f>A330+1</f>
        <v/>
      </c>
      <c r="B331" s="3">
        <f>-SUMIFS(df_extrato_zig!G:G,df_extrato_zig!E:E,Conciliacao!A331,df_extrato_zig!D:D,"Saque")-SUMIFS(df_extrato_zig!G:G,df_extrato_zig!E:E,Conciliacao!A331,df_extrato_zig!D:D,"Antecipação")</f>
        <v/>
      </c>
      <c r="C331" s="3">
        <f>SUMIFS(df_extrato_zig!E:E,df_extrato_zig!L:L,Conciliacao!A331,df_extrato_zig!F:F,"DINHEIRO")</f>
        <v/>
      </c>
      <c r="D331" s="3">
        <f>SUMIFS(view_parc_agrup!H:H,view_parc_agrup!G:G,Conciliacao!A331)</f>
        <v/>
      </c>
      <c r="E331" s="3">
        <f>SUMIFS(df_eventos!F:F,df_eventos!H:H,Conciliacao!A331)</f>
        <v/>
      </c>
      <c r="F331" s="3">
        <f>SUMIFS(df_mutuos!M:M,df_mutuos!B:B,Conciliacao!A331)</f>
        <v/>
      </c>
      <c r="G331" s="6">
        <f>SUMIFS(df_bloqueios_judiciais!G:G,df_bloqueios_judiciais!D:D,Conciliacao!A331,df_bloqueios_judiciais!G:G,"&gt;0")</f>
        <v/>
      </c>
      <c r="H331" s="7">
        <f>SUMIFS(df_extratos!I:I,df_extratos!F:F,Conciliacao!BE331,df_extratos!G:G,"CREDITO")+SUMIFS(df_extratos!I:I,df_extratos!F:F,Conciliacao!A331,df_extratos!G:G,"CREDITO")+SUMIFS(df_extratos!I:I,df_extratos!F:F,Conciliacao!BF331,df_extratos!G:G,"CREDITO")+SUMIFS(df_extratos!I:I,df_extratos!F:F,Conciliacao!BG331,df_extratos!G:G,"CREDITO")+SUMIFS(df_extratos!I:I,df_extratos!F:F,Conciliacao!BH331,df_extratos!G:G,"CREDITO")</f>
        <v/>
      </c>
      <c r="I331" s="9">
        <f>H331-SUM(B331:G331)</f>
        <v/>
      </c>
      <c r="J331" s="4">
        <f>SUMIFS(df_blueme_sem_parcelamento!E:E,df_blueme_sem_parcelamento!H:H,Conciliacao!A331)*(-1)</f>
        <v/>
      </c>
      <c r="K331" s="4">
        <f>SUMIFS(df_blueme_com_parcelamento!J:J,df_blueme_com_parcelamento!M:M,Conciliacao!A331)*(-1)</f>
        <v/>
      </c>
      <c r="L331" s="4">
        <f>SUMIFS(df_mutuos!N:N,df_mutuos!B:B,Conciliacao!A331)*(-1)</f>
        <v/>
      </c>
      <c r="M331" s="8">
        <f>SUMIFS(df_bloqueios_judiciais!G:G,df_bloqueios_judiciais!D:D,Conciliacao!A331,df_bloqueios_judiciais!G:G,"&lt;0")</f>
        <v/>
      </c>
      <c r="N331" s="10">
        <f>SUMIFS(df_extratos!I:I,df_extratos!F:F,Conciliacao!BE331,df_extratos!G:G,"DEBITO")+SUMIFS(df_extratos!I:I,df_extratos!F:F,Conciliacao!A331,df_extratos!G:G,"DEBITO")+SUMIFS(df_extratos!I:I,df_extratos!F:F,Conciliacao!BF331,df_extratos!G:G,"DEBITO")+SUMIFS(df_extratos!I:I,df_extratos!F:F,Conciliacao!BG331,df_extratos!G:G,"DEBITO")+SUMIFS(df_extratos!I:I,df_extratos!F:F,Conciliacao!BH331,df_extratos!G:G,"DEBITO")</f>
        <v/>
      </c>
      <c r="O331" s="11">
        <f>N331-SUM(J331:M331)</f>
        <v/>
      </c>
      <c r="P331" s="25">
        <f>SUMIFS(df_ajustes_conciliaco!D:D,df_ajustes_conciliaco!C:C,Conciliacao!A331)</f>
        <v/>
      </c>
      <c r="Q331" s="22">
        <f>O331+I331-P331</f>
        <v/>
      </c>
      <c r="BE331" s="20" t="n">
        <v>45987.5</v>
      </c>
      <c r="BF331" s="20" t="n">
        <v>45987.125</v>
      </c>
      <c r="BG331" s="20" t="n">
        <v>45987.54166666666</v>
      </c>
      <c r="BH331" s="20" t="n">
        <v>45987.625</v>
      </c>
    </row>
    <row r="332">
      <c r="A332" s="5">
        <f>A331+1</f>
        <v/>
      </c>
      <c r="B332" s="3">
        <f>-SUMIFS(df_extrato_zig!G:G,df_extrato_zig!E:E,Conciliacao!A332,df_extrato_zig!D:D,"Saque")-SUMIFS(df_extrato_zig!G:G,df_extrato_zig!E:E,Conciliacao!A332,df_extrato_zig!D:D,"Antecipação")</f>
        <v/>
      </c>
      <c r="C332" s="3">
        <f>SUMIFS(df_extrato_zig!E:E,df_extrato_zig!L:L,Conciliacao!A332,df_extrato_zig!F:F,"DINHEIRO")</f>
        <v/>
      </c>
      <c r="D332" s="3">
        <f>SUMIFS(view_parc_agrup!H:H,view_parc_agrup!G:G,Conciliacao!A332)</f>
        <v/>
      </c>
      <c r="E332" s="3">
        <f>SUMIFS(df_eventos!F:F,df_eventos!H:H,Conciliacao!A332)</f>
        <v/>
      </c>
      <c r="F332" s="3">
        <f>SUMIFS(df_mutuos!M:M,df_mutuos!B:B,Conciliacao!A332)</f>
        <v/>
      </c>
      <c r="G332" s="6">
        <f>SUMIFS(df_bloqueios_judiciais!G:G,df_bloqueios_judiciais!D:D,Conciliacao!A332,df_bloqueios_judiciais!G:G,"&gt;0")</f>
        <v/>
      </c>
      <c r="H332" s="7">
        <f>SUMIFS(df_extratos!I:I,df_extratos!F:F,Conciliacao!BE332,df_extratos!G:G,"CREDITO")+SUMIFS(df_extratos!I:I,df_extratos!F:F,Conciliacao!A332,df_extratos!G:G,"CREDITO")+SUMIFS(df_extratos!I:I,df_extratos!F:F,Conciliacao!BF332,df_extratos!G:G,"CREDITO")+SUMIFS(df_extratos!I:I,df_extratos!F:F,Conciliacao!BG332,df_extratos!G:G,"CREDITO")+SUMIFS(df_extratos!I:I,df_extratos!F:F,Conciliacao!BH332,df_extratos!G:G,"CREDITO")</f>
        <v/>
      </c>
      <c r="I332" s="9">
        <f>H332-SUM(B332:G332)</f>
        <v/>
      </c>
      <c r="J332" s="4">
        <f>SUMIFS(df_blueme_sem_parcelamento!E:E,df_blueme_sem_parcelamento!H:H,Conciliacao!A332)*(-1)</f>
        <v/>
      </c>
      <c r="K332" s="4">
        <f>SUMIFS(df_blueme_com_parcelamento!J:J,df_blueme_com_parcelamento!M:M,Conciliacao!A332)*(-1)</f>
        <v/>
      </c>
      <c r="L332" s="4">
        <f>SUMIFS(df_mutuos!N:N,df_mutuos!B:B,Conciliacao!A332)*(-1)</f>
        <v/>
      </c>
      <c r="M332" s="8">
        <f>SUMIFS(df_bloqueios_judiciais!G:G,df_bloqueios_judiciais!D:D,Conciliacao!A332,df_bloqueios_judiciais!G:G,"&lt;0")</f>
        <v/>
      </c>
      <c r="N332" s="10">
        <f>SUMIFS(df_extratos!I:I,df_extratos!F:F,Conciliacao!BE332,df_extratos!G:G,"DEBITO")+SUMIFS(df_extratos!I:I,df_extratos!F:F,Conciliacao!A332,df_extratos!G:G,"DEBITO")+SUMIFS(df_extratos!I:I,df_extratos!F:F,Conciliacao!BF332,df_extratos!G:G,"DEBITO")+SUMIFS(df_extratos!I:I,df_extratos!F:F,Conciliacao!BG332,df_extratos!G:G,"DEBITO")+SUMIFS(df_extratos!I:I,df_extratos!F:F,Conciliacao!BH332,df_extratos!G:G,"DEBITO")</f>
        <v/>
      </c>
      <c r="O332" s="11">
        <f>N332-SUM(J332:M332)</f>
        <v/>
      </c>
      <c r="P332" s="25">
        <f>SUMIFS(df_ajustes_conciliaco!D:D,df_ajustes_conciliaco!C:C,Conciliacao!A332)</f>
        <v/>
      </c>
      <c r="Q332" s="22">
        <f>O332+I332-P332</f>
        <v/>
      </c>
      <c r="BE332" s="20" t="n">
        <v>45988.5</v>
      </c>
      <c r="BF332" s="20" t="n">
        <v>45988.125</v>
      </c>
      <c r="BG332" s="20" t="n">
        <v>45988.54166666666</v>
      </c>
      <c r="BH332" s="20" t="n">
        <v>45988.625</v>
      </c>
    </row>
    <row r="333">
      <c r="A333" s="5">
        <f>A332+1</f>
        <v/>
      </c>
      <c r="B333" s="3">
        <f>-SUMIFS(df_extrato_zig!G:G,df_extrato_zig!E:E,Conciliacao!A333,df_extrato_zig!D:D,"Saque")-SUMIFS(df_extrato_zig!G:G,df_extrato_zig!E:E,Conciliacao!A333,df_extrato_zig!D:D,"Antecipação")</f>
        <v/>
      </c>
      <c r="C333" s="3">
        <f>SUMIFS(df_extrato_zig!E:E,df_extrato_zig!L:L,Conciliacao!A333,df_extrato_zig!F:F,"DINHEIRO")</f>
        <v/>
      </c>
      <c r="D333" s="3">
        <f>SUMIFS(view_parc_agrup!H:H,view_parc_agrup!G:G,Conciliacao!A333)</f>
        <v/>
      </c>
      <c r="E333" s="3">
        <f>SUMIFS(df_eventos!F:F,df_eventos!H:H,Conciliacao!A333)</f>
        <v/>
      </c>
      <c r="F333" s="3">
        <f>SUMIFS(df_mutuos!M:M,df_mutuos!B:B,Conciliacao!A333)</f>
        <v/>
      </c>
      <c r="G333" s="6">
        <f>SUMIFS(df_bloqueios_judiciais!G:G,df_bloqueios_judiciais!D:D,Conciliacao!A333,df_bloqueios_judiciais!G:G,"&gt;0")</f>
        <v/>
      </c>
      <c r="H333" s="7">
        <f>SUMIFS(df_extratos!I:I,df_extratos!F:F,Conciliacao!BE333,df_extratos!G:G,"CREDITO")+SUMIFS(df_extratos!I:I,df_extratos!F:F,Conciliacao!A333,df_extratos!G:G,"CREDITO")+SUMIFS(df_extratos!I:I,df_extratos!F:F,Conciliacao!BF333,df_extratos!G:G,"CREDITO")+SUMIFS(df_extratos!I:I,df_extratos!F:F,Conciliacao!BG333,df_extratos!G:G,"CREDITO")+SUMIFS(df_extratos!I:I,df_extratos!F:F,Conciliacao!BH333,df_extratos!G:G,"CREDITO")</f>
        <v/>
      </c>
      <c r="I333" s="9">
        <f>H333-SUM(B333:G333)</f>
        <v/>
      </c>
      <c r="J333" s="4">
        <f>SUMIFS(df_blueme_sem_parcelamento!E:E,df_blueme_sem_parcelamento!H:H,Conciliacao!A333)*(-1)</f>
        <v/>
      </c>
      <c r="K333" s="4">
        <f>SUMIFS(df_blueme_com_parcelamento!J:J,df_blueme_com_parcelamento!M:M,Conciliacao!A333)*(-1)</f>
        <v/>
      </c>
      <c r="L333" s="4">
        <f>SUMIFS(df_mutuos!N:N,df_mutuos!B:B,Conciliacao!A333)*(-1)</f>
        <v/>
      </c>
      <c r="M333" s="8">
        <f>SUMIFS(df_bloqueios_judiciais!G:G,df_bloqueios_judiciais!D:D,Conciliacao!A333,df_bloqueios_judiciais!G:G,"&lt;0")</f>
        <v/>
      </c>
      <c r="N333" s="10">
        <f>SUMIFS(df_extratos!I:I,df_extratos!F:F,Conciliacao!BE333,df_extratos!G:G,"DEBITO")+SUMIFS(df_extratos!I:I,df_extratos!F:F,Conciliacao!A333,df_extratos!G:G,"DEBITO")+SUMIFS(df_extratos!I:I,df_extratos!F:F,Conciliacao!BF333,df_extratos!G:G,"DEBITO")+SUMIFS(df_extratos!I:I,df_extratos!F:F,Conciliacao!BG333,df_extratos!G:G,"DEBITO")+SUMIFS(df_extratos!I:I,df_extratos!F:F,Conciliacao!BH333,df_extratos!G:G,"DEBITO")</f>
        <v/>
      </c>
      <c r="O333" s="11">
        <f>N333-SUM(J333:M333)</f>
        <v/>
      </c>
      <c r="P333" s="25">
        <f>SUMIFS(df_ajustes_conciliaco!D:D,df_ajustes_conciliaco!C:C,Conciliacao!A333)</f>
        <v/>
      </c>
      <c r="Q333" s="22">
        <f>O333+I333-P333</f>
        <v/>
      </c>
      <c r="BE333" s="20" t="n">
        <v>45989.5</v>
      </c>
      <c r="BF333" s="20" t="n">
        <v>45989.125</v>
      </c>
      <c r="BG333" s="20" t="n">
        <v>45989.54166666666</v>
      </c>
      <c r="BH333" s="20" t="n">
        <v>45989.625</v>
      </c>
    </row>
    <row r="334">
      <c r="A334" s="5">
        <f>A333+1</f>
        <v/>
      </c>
      <c r="B334" s="3">
        <f>-SUMIFS(df_extrato_zig!G:G,df_extrato_zig!E:E,Conciliacao!A334,df_extrato_zig!D:D,"Saque")-SUMIFS(df_extrato_zig!G:G,df_extrato_zig!E:E,Conciliacao!A334,df_extrato_zig!D:D,"Antecipação")</f>
        <v/>
      </c>
      <c r="C334" s="3">
        <f>SUMIFS(df_extrato_zig!E:E,df_extrato_zig!L:L,Conciliacao!A334,df_extrato_zig!F:F,"DINHEIRO")</f>
        <v/>
      </c>
      <c r="D334" s="3">
        <f>SUMIFS(view_parc_agrup!H:H,view_parc_agrup!G:G,Conciliacao!A334)</f>
        <v/>
      </c>
      <c r="E334" s="3">
        <f>SUMIFS(df_eventos!F:F,df_eventos!H:H,Conciliacao!A334)</f>
        <v/>
      </c>
      <c r="F334" s="3">
        <f>SUMIFS(df_mutuos!M:M,df_mutuos!B:B,Conciliacao!A334)</f>
        <v/>
      </c>
      <c r="G334" s="6">
        <f>SUMIFS(df_bloqueios_judiciais!G:G,df_bloqueios_judiciais!D:D,Conciliacao!A334,df_bloqueios_judiciais!G:G,"&gt;0")</f>
        <v/>
      </c>
      <c r="H334" s="7">
        <f>SUMIFS(df_extratos!I:I,df_extratos!F:F,Conciliacao!BE334,df_extratos!G:G,"CREDITO")+SUMIFS(df_extratos!I:I,df_extratos!F:F,Conciliacao!A334,df_extratos!G:G,"CREDITO")+SUMIFS(df_extratos!I:I,df_extratos!F:F,Conciliacao!BF334,df_extratos!G:G,"CREDITO")+SUMIFS(df_extratos!I:I,df_extratos!F:F,Conciliacao!BG334,df_extratos!G:G,"CREDITO")+SUMIFS(df_extratos!I:I,df_extratos!F:F,Conciliacao!BH334,df_extratos!G:G,"CREDITO")</f>
        <v/>
      </c>
      <c r="I334" s="9">
        <f>H334-SUM(B334:G334)</f>
        <v/>
      </c>
      <c r="J334" s="4">
        <f>SUMIFS(df_blueme_sem_parcelamento!E:E,df_blueme_sem_parcelamento!H:H,Conciliacao!A334)*(-1)</f>
        <v/>
      </c>
      <c r="K334" s="4">
        <f>SUMIFS(df_blueme_com_parcelamento!J:J,df_blueme_com_parcelamento!M:M,Conciliacao!A334)*(-1)</f>
        <v/>
      </c>
      <c r="L334" s="4">
        <f>SUMIFS(df_mutuos!N:N,df_mutuos!B:B,Conciliacao!A334)*(-1)</f>
        <v/>
      </c>
      <c r="M334" s="8">
        <f>SUMIFS(df_bloqueios_judiciais!G:G,df_bloqueios_judiciais!D:D,Conciliacao!A334,df_bloqueios_judiciais!G:G,"&lt;0")</f>
        <v/>
      </c>
      <c r="N334" s="10">
        <f>SUMIFS(df_extratos!I:I,df_extratos!F:F,Conciliacao!BE334,df_extratos!G:G,"DEBITO")+SUMIFS(df_extratos!I:I,df_extratos!F:F,Conciliacao!A334,df_extratos!G:G,"DEBITO")+SUMIFS(df_extratos!I:I,df_extratos!F:F,Conciliacao!BF334,df_extratos!G:G,"DEBITO")+SUMIFS(df_extratos!I:I,df_extratos!F:F,Conciliacao!BG334,df_extratos!G:G,"DEBITO")+SUMIFS(df_extratos!I:I,df_extratos!F:F,Conciliacao!BH334,df_extratos!G:G,"DEBITO")</f>
        <v/>
      </c>
      <c r="O334" s="11">
        <f>N334-SUM(J334:M334)</f>
        <v/>
      </c>
      <c r="P334" s="25">
        <f>SUMIFS(df_ajustes_conciliaco!D:D,df_ajustes_conciliaco!C:C,Conciliacao!A334)</f>
        <v/>
      </c>
      <c r="Q334" s="22">
        <f>O334+I334-P334</f>
        <v/>
      </c>
      <c r="BE334" s="20" t="n">
        <v>45990.5</v>
      </c>
      <c r="BF334" s="20" t="n">
        <v>45990.125</v>
      </c>
      <c r="BG334" s="20" t="n">
        <v>45990.54166666666</v>
      </c>
      <c r="BH334" s="20" t="n">
        <v>45990.625</v>
      </c>
    </row>
    <row r="335">
      <c r="A335" s="5">
        <f>A334+1</f>
        <v/>
      </c>
      <c r="B335" s="3">
        <f>-SUMIFS(df_extrato_zig!G:G,df_extrato_zig!E:E,Conciliacao!A335,df_extrato_zig!D:D,"Saque")-SUMIFS(df_extrato_zig!G:G,df_extrato_zig!E:E,Conciliacao!A335,df_extrato_zig!D:D,"Antecipação")</f>
        <v/>
      </c>
      <c r="C335" s="3">
        <f>SUMIFS(df_extrato_zig!E:E,df_extrato_zig!L:L,Conciliacao!A335,df_extrato_zig!F:F,"DINHEIRO")</f>
        <v/>
      </c>
      <c r="D335" s="3">
        <f>SUMIFS(view_parc_agrup!H:H,view_parc_agrup!G:G,Conciliacao!A335)</f>
        <v/>
      </c>
      <c r="E335" s="3">
        <f>SUMIFS(df_eventos!F:F,df_eventos!H:H,Conciliacao!A335)</f>
        <v/>
      </c>
      <c r="F335" s="3">
        <f>SUMIFS(df_mutuos!M:M,df_mutuos!B:B,Conciliacao!A335)</f>
        <v/>
      </c>
      <c r="G335" s="6">
        <f>SUMIFS(df_bloqueios_judiciais!G:G,df_bloqueios_judiciais!D:D,Conciliacao!A335,df_bloqueios_judiciais!G:G,"&gt;0")</f>
        <v/>
      </c>
      <c r="H335" s="7">
        <f>SUMIFS(df_extratos!I:I,df_extratos!F:F,Conciliacao!BE335,df_extratos!G:G,"CREDITO")+SUMIFS(df_extratos!I:I,df_extratos!F:F,Conciliacao!A335,df_extratos!G:G,"CREDITO")+SUMIFS(df_extratos!I:I,df_extratos!F:F,Conciliacao!BF335,df_extratos!G:G,"CREDITO")+SUMIFS(df_extratos!I:I,df_extratos!F:F,Conciliacao!BG335,df_extratos!G:G,"CREDITO")+SUMIFS(df_extratos!I:I,df_extratos!F:F,Conciliacao!BH335,df_extratos!G:G,"CREDITO")</f>
        <v/>
      </c>
      <c r="I335" s="9">
        <f>H335-SUM(B335:G335)</f>
        <v/>
      </c>
      <c r="J335" s="4">
        <f>SUMIFS(df_blueme_sem_parcelamento!E:E,df_blueme_sem_parcelamento!H:H,Conciliacao!A335)*(-1)</f>
        <v/>
      </c>
      <c r="K335" s="4">
        <f>SUMIFS(df_blueme_com_parcelamento!J:J,df_blueme_com_parcelamento!M:M,Conciliacao!A335)*(-1)</f>
        <v/>
      </c>
      <c r="L335" s="4">
        <f>SUMIFS(df_mutuos!N:N,df_mutuos!B:B,Conciliacao!A335)*(-1)</f>
        <v/>
      </c>
      <c r="M335" s="8">
        <f>SUMIFS(df_bloqueios_judiciais!G:G,df_bloqueios_judiciais!D:D,Conciliacao!A335,df_bloqueios_judiciais!G:G,"&lt;0")</f>
        <v/>
      </c>
      <c r="N335" s="10">
        <f>SUMIFS(df_extratos!I:I,df_extratos!F:F,Conciliacao!BE335,df_extratos!G:G,"DEBITO")+SUMIFS(df_extratos!I:I,df_extratos!F:F,Conciliacao!A335,df_extratos!G:G,"DEBITO")+SUMIFS(df_extratos!I:I,df_extratos!F:F,Conciliacao!BF335,df_extratos!G:G,"DEBITO")+SUMIFS(df_extratos!I:I,df_extratos!F:F,Conciliacao!BG335,df_extratos!G:G,"DEBITO")+SUMIFS(df_extratos!I:I,df_extratos!F:F,Conciliacao!BH335,df_extratos!G:G,"DEBITO")</f>
        <v/>
      </c>
      <c r="O335" s="11">
        <f>N335-SUM(J335:M335)</f>
        <v/>
      </c>
      <c r="P335" s="25">
        <f>SUMIFS(df_ajustes_conciliaco!D:D,df_ajustes_conciliaco!C:C,Conciliacao!A335)</f>
        <v/>
      </c>
      <c r="Q335" s="22">
        <f>O335+I335-P335</f>
        <v/>
      </c>
      <c r="BE335" s="20" t="n">
        <v>45991.5</v>
      </c>
      <c r="BF335" s="20" t="n">
        <v>45991.125</v>
      </c>
      <c r="BG335" s="20" t="n">
        <v>45991.54166666666</v>
      </c>
      <c r="BH335" s="20" t="n">
        <v>45991.625</v>
      </c>
    </row>
    <row r="336">
      <c r="A336" s="5">
        <f>A335+1</f>
        <v/>
      </c>
      <c r="B336" s="3">
        <f>-SUMIFS(df_extrato_zig!G:G,df_extrato_zig!E:E,Conciliacao!A336,df_extrato_zig!D:D,"Saque")-SUMIFS(df_extrato_zig!G:G,df_extrato_zig!E:E,Conciliacao!A336,df_extrato_zig!D:D,"Antecipação")</f>
        <v/>
      </c>
      <c r="C336" s="3">
        <f>SUMIFS(df_extrato_zig!E:E,df_extrato_zig!L:L,Conciliacao!A336,df_extrato_zig!F:F,"DINHEIRO")</f>
        <v/>
      </c>
      <c r="D336" s="3">
        <f>SUMIFS(view_parc_agrup!H:H,view_parc_agrup!G:G,Conciliacao!A336)</f>
        <v/>
      </c>
      <c r="E336" s="3">
        <f>SUMIFS(df_eventos!F:F,df_eventos!H:H,Conciliacao!A336)</f>
        <v/>
      </c>
      <c r="F336" s="3">
        <f>SUMIFS(df_mutuos!M:M,df_mutuos!B:B,Conciliacao!A336)</f>
        <v/>
      </c>
      <c r="G336" s="6">
        <f>SUMIFS(df_bloqueios_judiciais!G:G,df_bloqueios_judiciais!D:D,Conciliacao!A336,df_bloqueios_judiciais!G:G,"&gt;0")</f>
        <v/>
      </c>
      <c r="H336" s="7">
        <f>SUMIFS(df_extratos!I:I,df_extratos!F:F,Conciliacao!BE336,df_extratos!G:G,"CREDITO")+SUMIFS(df_extratos!I:I,df_extratos!F:F,Conciliacao!A336,df_extratos!G:G,"CREDITO")+SUMIFS(df_extratos!I:I,df_extratos!F:F,Conciliacao!BF336,df_extratos!G:G,"CREDITO")+SUMIFS(df_extratos!I:I,df_extratos!F:F,Conciliacao!BG336,df_extratos!G:G,"CREDITO")+SUMIFS(df_extratos!I:I,df_extratos!F:F,Conciliacao!BH336,df_extratos!G:G,"CREDITO")</f>
        <v/>
      </c>
      <c r="I336" s="9">
        <f>H336-SUM(B336:G336)</f>
        <v/>
      </c>
      <c r="J336" s="4">
        <f>SUMIFS(df_blueme_sem_parcelamento!E:E,df_blueme_sem_parcelamento!H:H,Conciliacao!A336)*(-1)</f>
        <v/>
      </c>
      <c r="K336" s="4">
        <f>SUMIFS(df_blueme_com_parcelamento!J:J,df_blueme_com_parcelamento!M:M,Conciliacao!A336)*(-1)</f>
        <v/>
      </c>
      <c r="L336" s="4">
        <f>SUMIFS(df_mutuos!N:N,df_mutuos!B:B,Conciliacao!A336)*(-1)</f>
        <v/>
      </c>
      <c r="M336" s="8">
        <f>SUMIFS(df_bloqueios_judiciais!G:G,df_bloqueios_judiciais!D:D,Conciliacao!A336,df_bloqueios_judiciais!G:G,"&lt;0")</f>
        <v/>
      </c>
      <c r="N336" s="10">
        <f>SUMIFS(df_extratos!I:I,df_extratos!F:F,Conciliacao!BE336,df_extratos!G:G,"DEBITO")+SUMIFS(df_extratos!I:I,df_extratos!F:F,Conciliacao!A336,df_extratos!G:G,"DEBITO")+SUMIFS(df_extratos!I:I,df_extratos!F:F,Conciliacao!BF336,df_extratos!G:G,"DEBITO")+SUMIFS(df_extratos!I:I,df_extratos!F:F,Conciliacao!BG336,df_extratos!G:G,"DEBITO")+SUMIFS(df_extratos!I:I,df_extratos!F:F,Conciliacao!BH336,df_extratos!G:G,"DEBITO")</f>
        <v/>
      </c>
      <c r="O336" s="11">
        <f>N336-SUM(J336:M336)</f>
        <v/>
      </c>
      <c r="P336" s="25">
        <f>SUMIFS(df_ajustes_conciliaco!D:D,df_ajustes_conciliaco!C:C,Conciliacao!A336)</f>
        <v/>
      </c>
      <c r="Q336" s="22">
        <f>O336+I336-P336</f>
        <v/>
      </c>
      <c r="BE336" s="20" t="n">
        <v>45992.5</v>
      </c>
      <c r="BF336" s="20" t="n">
        <v>45992.125</v>
      </c>
      <c r="BG336" s="20" t="n">
        <v>45992.54166666666</v>
      </c>
      <c r="BH336" s="20" t="n">
        <v>45992.625</v>
      </c>
    </row>
    <row r="337">
      <c r="A337" s="5">
        <f>A336+1</f>
        <v/>
      </c>
      <c r="B337" s="3">
        <f>-SUMIFS(df_extrato_zig!G:G,df_extrato_zig!E:E,Conciliacao!A337,df_extrato_zig!D:D,"Saque")-SUMIFS(df_extrato_zig!G:G,df_extrato_zig!E:E,Conciliacao!A337,df_extrato_zig!D:D,"Antecipação")</f>
        <v/>
      </c>
      <c r="C337" s="3">
        <f>SUMIFS(df_extrato_zig!E:E,df_extrato_zig!L:L,Conciliacao!A337,df_extrato_zig!F:F,"DINHEIRO")</f>
        <v/>
      </c>
      <c r="D337" s="3">
        <f>SUMIFS(view_parc_agrup!H:H,view_parc_agrup!G:G,Conciliacao!A337)</f>
        <v/>
      </c>
      <c r="E337" s="3">
        <f>SUMIFS(df_eventos!F:F,df_eventos!H:H,Conciliacao!A337)</f>
        <v/>
      </c>
      <c r="F337" s="3">
        <f>SUMIFS(df_mutuos!M:M,df_mutuos!B:B,Conciliacao!A337)</f>
        <v/>
      </c>
      <c r="G337" s="6">
        <f>SUMIFS(df_bloqueios_judiciais!G:G,df_bloqueios_judiciais!D:D,Conciliacao!A337,df_bloqueios_judiciais!G:G,"&gt;0")</f>
        <v/>
      </c>
      <c r="H337" s="7">
        <f>SUMIFS(df_extratos!I:I,df_extratos!F:F,Conciliacao!BE337,df_extratos!G:G,"CREDITO")+SUMIFS(df_extratos!I:I,df_extratos!F:F,Conciliacao!A337,df_extratos!G:G,"CREDITO")+SUMIFS(df_extratos!I:I,df_extratos!F:F,Conciliacao!BF337,df_extratos!G:G,"CREDITO")+SUMIFS(df_extratos!I:I,df_extratos!F:F,Conciliacao!BG337,df_extratos!G:G,"CREDITO")+SUMIFS(df_extratos!I:I,df_extratos!F:F,Conciliacao!BH337,df_extratos!G:G,"CREDITO")</f>
        <v/>
      </c>
      <c r="I337" s="9">
        <f>H337-SUM(B337:G337)</f>
        <v/>
      </c>
      <c r="J337" s="4">
        <f>SUMIFS(df_blueme_sem_parcelamento!E:E,df_blueme_sem_parcelamento!H:H,Conciliacao!A337)*(-1)</f>
        <v/>
      </c>
      <c r="K337" s="4">
        <f>SUMIFS(df_blueme_com_parcelamento!J:J,df_blueme_com_parcelamento!M:M,Conciliacao!A337)*(-1)</f>
        <v/>
      </c>
      <c r="L337" s="4">
        <f>SUMIFS(df_mutuos!N:N,df_mutuos!B:B,Conciliacao!A337)*(-1)</f>
        <v/>
      </c>
      <c r="M337" s="8">
        <f>SUMIFS(df_bloqueios_judiciais!G:G,df_bloqueios_judiciais!D:D,Conciliacao!A337,df_bloqueios_judiciais!G:G,"&lt;0")</f>
        <v/>
      </c>
      <c r="N337" s="10">
        <f>SUMIFS(df_extratos!I:I,df_extratos!F:F,Conciliacao!BE337,df_extratos!G:G,"DEBITO")+SUMIFS(df_extratos!I:I,df_extratos!F:F,Conciliacao!A337,df_extratos!G:G,"DEBITO")+SUMIFS(df_extratos!I:I,df_extratos!F:F,Conciliacao!BF337,df_extratos!G:G,"DEBITO")+SUMIFS(df_extratos!I:I,df_extratos!F:F,Conciliacao!BG337,df_extratos!G:G,"DEBITO")+SUMIFS(df_extratos!I:I,df_extratos!F:F,Conciliacao!BH337,df_extratos!G:G,"DEBITO")</f>
        <v/>
      </c>
      <c r="O337" s="11">
        <f>N337-SUM(J337:M337)</f>
        <v/>
      </c>
      <c r="P337" s="25">
        <f>SUMIFS(df_ajustes_conciliaco!D:D,df_ajustes_conciliaco!C:C,Conciliacao!A337)</f>
        <v/>
      </c>
      <c r="Q337" s="22">
        <f>O337+I337-P337</f>
        <v/>
      </c>
      <c r="BE337" s="20" t="n">
        <v>45993.5</v>
      </c>
      <c r="BF337" s="20" t="n">
        <v>45993.125</v>
      </c>
      <c r="BG337" s="20" t="n">
        <v>45993.54166666666</v>
      </c>
      <c r="BH337" s="20" t="n">
        <v>45993.625</v>
      </c>
    </row>
    <row r="338">
      <c r="A338" s="5">
        <f>A337+1</f>
        <v/>
      </c>
      <c r="B338" s="3">
        <f>-SUMIFS(df_extrato_zig!G:G,df_extrato_zig!E:E,Conciliacao!A338,df_extrato_zig!D:D,"Saque")-SUMIFS(df_extrato_zig!G:G,df_extrato_zig!E:E,Conciliacao!A338,df_extrato_zig!D:D,"Antecipação")</f>
        <v/>
      </c>
      <c r="C338" s="3">
        <f>SUMIFS(df_extrato_zig!E:E,df_extrato_zig!L:L,Conciliacao!A338,df_extrato_zig!F:F,"DINHEIRO")</f>
        <v/>
      </c>
      <c r="D338" s="3">
        <f>SUMIFS(view_parc_agrup!H:H,view_parc_agrup!G:G,Conciliacao!A338)</f>
        <v/>
      </c>
      <c r="E338" s="3">
        <f>SUMIFS(df_eventos!F:F,df_eventos!H:H,Conciliacao!A338)</f>
        <v/>
      </c>
      <c r="F338" s="3">
        <f>SUMIFS(df_mutuos!M:M,df_mutuos!B:B,Conciliacao!A338)</f>
        <v/>
      </c>
      <c r="G338" s="6">
        <f>SUMIFS(df_bloqueios_judiciais!G:G,df_bloqueios_judiciais!D:D,Conciliacao!A338,df_bloqueios_judiciais!G:G,"&gt;0")</f>
        <v/>
      </c>
      <c r="H338" s="7">
        <f>SUMIFS(df_extratos!I:I,df_extratos!F:F,Conciliacao!BE338,df_extratos!G:G,"CREDITO")+SUMIFS(df_extratos!I:I,df_extratos!F:F,Conciliacao!A338,df_extratos!G:G,"CREDITO")+SUMIFS(df_extratos!I:I,df_extratos!F:F,Conciliacao!BF338,df_extratos!G:G,"CREDITO")+SUMIFS(df_extratos!I:I,df_extratos!F:F,Conciliacao!BG338,df_extratos!G:G,"CREDITO")+SUMIFS(df_extratos!I:I,df_extratos!F:F,Conciliacao!BH338,df_extratos!G:G,"CREDITO")</f>
        <v/>
      </c>
      <c r="I338" s="9">
        <f>H338-SUM(B338:G338)</f>
        <v/>
      </c>
      <c r="J338" s="4">
        <f>SUMIFS(df_blueme_sem_parcelamento!E:E,df_blueme_sem_parcelamento!H:H,Conciliacao!A338)*(-1)</f>
        <v/>
      </c>
      <c r="K338" s="4">
        <f>SUMIFS(df_blueme_com_parcelamento!J:J,df_blueme_com_parcelamento!M:M,Conciliacao!A338)*(-1)</f>
        <v/>
      </c>
      <c r="L338" s="4">
        <f>SUMIFS(df_mutuos!N:N,df_mutuos!B:B,Conciliacao!A338)*(-1)</f>
        <v/>
      </c>
      <c r="M338" s="8">
        <f>SUMIFS(df_bloqueios_judiciais!G:G,df_bloqueios_judiciais!D:D,Conciliacao!A338,df_bloqueios_judiciais!G:G,"&lt;0")</f>
        <v/>
      </c>
      <c r="N338" s="10">
        <f>SUMIFS(df_extratos!I:I,df_extratos!F:F,Conciliacao!BE338,df_extratos!G:G,"DEBITO")+SUMIFS(df_extratos!I:I,df_extratos!F:F,Conciliacao!A338,df_extratos!G:G,"DEBITO")+SUMIFS(df_extratos!I:I,df_extratos!F:F,Conciliacao!BF338,df_extratos!G:G,"DEBITO")+SUMIFS(df_extratos!I:I,df_extratos!F:F,Conciliacao!BG338,df_extratos!G:G,"DEBITO")+SUMIFS(df_extratos!I:I,df_extratos!F:F,Conciliacao!BH338,df_extratos!G:G,"DEBITO")</f>
        <v/>
      </c>
      <c r="O338" s="11">
        <f>N338-SUM(J338:M338)</f>
        <v/>
      </c>
      <c r="P338" s="25">
        <f>SUMIFS(df_ajustes_conciliaco!D:D,df_ajustes_conciliaco!C:C,Conciliacao!A338)</f>
        <v/>
      </c>
      <c r="Q338" s="22">
        <f>O338+I338-P338</f>
        <v/>
      </c>
      <c r="BE338" s="20" t="n">
        <v>45994.5</v>
      </c>
      <c r="BF338" s="20" t="n">
        <v>45994.125</v>
      </c>
      <c r="BG338" s="20" t="n">
        <v>45994.54166666666</v>
      </c>
      <c r="BH338" s="20" t="n">
        <v>45994.625</v>
      </c>
    </row>
    <row r="339">
      <c r="A339" s="5">
        <f>A338+1</f>
        <v/>
      </c>
      <c r="B339" s="3">
        <f>-SUMIFS(df_extrato_zig!G:G,df_extrato_zig!E:E,Conciliacao!A339,df_extrato_zig!D:D,"Saque")-SUMIFS(df_extrato_zig!G:G,df_extrato_zig!E:E,Conciliacao!A339,df_extrato_zig!D:D,"Antecipação")</f>
        <v/>
      </c>
      <c r="C339" s="3">
        <f>SUMIFS(df_extrato_zig!E:E,df_extrato_zig!L:L,Conciliacao!A339,df_extrato_zig!F:F,"DINHEIRO")</f>
        <v/>
      </c>
      <c r="D339" s="3">
        <f>SUMIFS(view_parc_agrup!H:H,view_parc_agrup!G:G,Conciliacao!A339)</f>
        <v/>
      </c>
      <c r="E339" s="3">
        <f>SUMIFS(df_eventos!F:F,df_eventos!H:H,Conciliacao!A339)</f>
        <v/>
      </c>
      <c r="F339" s="3">
        <f>SUMIFS(df_mutuos!M:M,df_mutuos!B:B,Conciliacao!A339)</f>
        <v/>
      </c>
      <c r="G339" s="6">
        <f>SUMIFS(df_bloqueios_judiciais!G:G,df_bloqueios_judiciais!D:D,Conciliacao!A339,df_bloqueios_judiciais!G:G,"&gt;0")</f>
        <v/>
      </c>
      <c r="H339" s="7">
        <f>SUMIFS(df_extratos!I:I,df_extratos!F:F,Conciliacao!BE339,df_extratos!G:G,"CREDITO")+SUMIFS(df_extratos!I:I,df_extratos!F:F,Conciliacao!A339,df_extratos!G:G,"CREDITO")+SUMIFS(df_extratos!I:I,df_extratos!F:F,Conciliacao!BF339,df_extratos!G:G,"CREDITO")+SUMIFS(df_extratos!I:I,df_extratos!F:F,Conciliacao!BG339,df_extratos!G:G,"CREDITO")+SUMIFS(df_extratos!I:I,df_extratos!F:F,Conciliacao!BH339,df_extratos!G:G,"CREDITO")</f>
        <v/>
      </c>
      <c r="I339" s="9">
        <f>H339-SUM(B339:G339)</f>
        <v/>
      </c>
      <c r="J339" s="4">
        <f>SUMIFS(df_blueme_sem_parcelamento!E:E,df_blueme_sem_parcelamento!H:H,Conciliacao!A339)*(-1)</f>
        <v/>
      </c>
      <c r="K339" s="4">
        <f>SUMIFS(df_blueme_com_parcelamento!J:J,df_blueme_com_parcelamento!M:M,Conciliacao!A339)*(-1)</f>
        <v/>
      </c>
      <c r="L339" s="4">
        <f>SUMIFS(df_mutuos!N:N,df_mutuos!B:B,Conciliacao!A339)*(-1)</f>
        <v/>
      </c>
      <c r="M339" s="8">
        <f>SUMIFS(df_bloqueios_judiciais!G:G,df_bloqueios_judiciais!D:D,Conciliacao!A339,df_bloqueios_judiciais!G:G,"&lt;0")</f>
        <v/>
      </c>
      <c r="N339" s="10">
        <f>SUMIFS(df_extratos!I:I,df_extratos!F:F,Conciliacao!BE339,df_extratos!G:G,"DEBITO")+SUMIFS(df_extratos!I:I,df_extratos!F:F,Conciliacao!A339,df_extratos!G:G,"DEBITO")+SUMIFS(df_extratos!I:I,df_extratos!F:F,Conciliacao!BF339,df_extratos!G:G,"DEBITO")+SUMIFS(df_extratos!I:I,df_extratos!F:F,Conciliacao!BG339,df_extratos!G:G,"DEBITO")+SUMIFS(df_extratos!I:I,df_extratos!F:F,Conciliacao!BH339,df_extratos!G:G,"DEBITO")</f>
        <v/>
      </c>
      <c r="O339" s="11">
        <f>N339-SUM(J339:M339)</f>
        <v/>
      </c>
      <c r="P339" s="25">
        <f>SUMIFS(df_ajustes_conciliaco!D:D,df_ajustes_conciliaco!C:C,Conciliacao!A339)</f>
        <v/>
      </c>
      <c r="Q339" s="22">
        <f>O339+I339-P339</f>
        <v/>
      </c>
      <c r="BE339" s="20" t="n">
        <v>45995.5</v>
      </c>
      <c r="BF339" s="20" t="n">
        <v>45995.125</v>
      </c>
      <c r="BG339" s="20" t="n">
        <v>45995.54166666666</v>
      </c>
      <c r="BH339" s="20" t="n">
        <v>45995.625</v>
      </c>
    </row>
    <row r="340">
      <c r="A340" s="5">
        <f>A339+1</f>
        <v/>
      </c>
      <c r="B340" s="3">
        <f>-SUMIFS(df_extrato_zig!G:G,df_extrato_zig!E:E,Conciliacao!A340,df_extrato_zig!D:D,"Saque")-SUMIFS(df_extrato_zig!G:G,df_extrato_zig!E:E,Conciliacao!A340,df_extrato_zig!D:D,"Antecipação")</f>
        <v/>
      </c>
      <c r="C340" s="3">
        <f>SUMIFS(df_extrato_zig!E:E,df_extrato_zig!L:L,Conciliacao!A340,df_extrato_zig!F:F,"DINHEIRO")</f>
        <v/>
      </c>
      <c r="D340" s="3">
        <f>SUMIFS(view_parc_agrup!H:H,view_parc_agrup!G:G,Conciliacao!A340)</f>
        <v/>
      </c>
      <c r="E340" s="3">
        <f>SUMIFS(df_eventos!F:F,df_eventos!H:H,Conciliacao!A340)</f>
        <v/>
      </c>
      <c r="F340" s="3">
        <f>SUMIFS(df_mutuos!M:M,df_mutuos!B:B,Conciliacao!A340)</f>
        <v/>
      </c>
      <c r="G340" s="6">
        <f>SUMIFS(df_bloqueios_judiciais!G:G,df_bloqueios_judiciais!D:D,Conciliacao!A340,df_bloqueios_judiciais!G:G,"&gt;0")</f>
        <v/>
      </c>
      <c r="H340" s="7">
        <f>SUMIFS(df_extratos!I:I,df_extratos!F:F,Conciliacao!BE340,df_extratos!G:G,"CREDITO")+SUMIFS(df_extratos!I:I,df_extratos!F:F,Conciliacao!A340,df_extratos!G:G,"CREDITO")+SUMIFS(df_extratos!I:I,df_extratos!F:F,Conciliacao!BF340,df_extratos!G:G,"CREDITO")+SUMIFS(df_extratos!I:I,df_extratos!F:F,Conciliacao!BG340,df_extratos!G:G,"CREDITO")+SUMIFS(df_extratos!I:I,df_extratos!F:F,Conciliacao!BH340,df_extratos!G:G,"CREDITO")</f>
        <v/>
      </c>
      <c r="I340" s="9">
        <f>H340-SUM(B340:G340)</f>
        <v/>
      </c>
      <c r="J340" s="4">
        <f>SUMIFS(df_blueme_sem_parcelamento!E:E,df_blueme_sem_parcelamento!H:H,Conciliacao!A340)*(-1)</f>
        <v/>
      </c>
      <c r="K340" s="4">
        <f>SUMIFS(df_blueme_com_parcelamento!J:J,df_blueme_com_parcelamento!M:M,Conciliacao!A340)*(-1)</f>
        <v/>
      </c>
      <c r="L340" s="4">
        <f>SUMIFS(df_mutuos!N:N,df_mutuos!B:B,Conciliacao!A340)*(-1)</f>
        <v/>
      </c>
      <c r="M340" s="8">
        <f>SUMIFS(df_bloqueios_judiciais!G:G,df_bloqueios_judiciais!D:D,Conciliacao!A340,df_bloqueios_judiciais!G:G,"&lt;0")</f>
        <v/>
      </c>
      <c r="N340" s="10">
        <f>SUMIFS(df_extratos!I:I,df_extratos!F:F,Conciliacao!BE340,df_extratos!G:G,"DEBITO")+SUMIFS(df_extratos!I:I,df_extratos!F:F,Conciliacao!A340,df_extratos!G:G,"DEBITO")+SUMIFS(df_extratos!I:I,df_extratos!F:F,Conciliacao!BF340,df_extratos!G:G,"DEBITO")+SUMIFS(df_extratos!I:I,df_extratos!F:F,Conciliacao!BG340,df_extratos!G:G,"DEBITO")+SUMIFS(df_extratos!I:I,df_extratos!F:F,Conciliacao!BH340,df_extratos!G:G,"DEBITO")</f>
        <v/>
      </c>
      <c r="O340" s="11">
        <f>N340-SUM(J340:M340)</f>
        <v/>
      </c>
      <c r="P340" s="25">
        <f>SUMIFS(df_ajustes_conciliaco!D:D,df_ajustes_conciliaco!C:C,Conciliacao!A340)</f>
        <v/>
      </c>
      <c r="Q340" s="22">
        <f>O340+I340-P340</f>
        <v/>
      </c>
      <c r="BE340" s="20" t="n">
        <v>45996.5</v>
      </c>
      <c r="BF340" s="20" t="n">
        <v>45996.125</v>
      </c>
      <c r="BG340" s="20" t="n">
        <v>45996.54166666666</v>
      </c>
      <c r="BH340" s="20" t="n">
        <v>45996.625</v>
      </c>
    </row>
    <row r="341">
      <c r="A341" s="5">
        <f>A340+1</f>
        <v/>
      </c>
      <c r="B341" s="3">
        <f>-SUMIFS(df_extrato_zig!G:G,df_extrato_zig!E:E,Conciliacao!A341,df_extrato_zig!D:D,"Saque")-SUMIFS(df_extrato_zig!G:G,df_extrato_zig!E:E,Conciliacao!A341,df_extrato_zig!D:D,"Antecipação")</f>
        <v/>
      </c>
      <c r="C341" s="3">
        <f>SUMIFS(df_extrato_zig!E:E,df_extrato_zig!L:L,Conciliacao!A341,df_extrato_zig!F:F,"DINHEIRO")</f>
        <v/>
      </c>
      <c r="D341" s="3">
        <f>SUMIFS(view_parc_agrup!H:H,view_parc_agrup!G:G,Conciliacao!A341)</f>
        <v/>
      </c>
      <c r="E341" s="3">
        <f>SUMIFS(df_eventos!F:F,df_eventos!H:H,Conciliacao!A341)</f>
        <v/>
      </c>
      <c r="F341" s="3">
        <f>SUMIFS(df_mutuos!M:M,df_mutuos!B:B,Conciliacao!A341)</f>
        <v/>
      </c>
      <c r="G341" s="6">
        <f>SUMIFS(df_bloqueios_judiciais!G:G,df_bloqueios_judiciais!D:D,Conciliacao!A341,df_bloqueios_judiciais!G:G,"&gt;0")</f>
        <v/>
      </c>
      <c r="H341" s="7">
        <f>SUMIFS(df_extratos!I:I,df_extratos!F:F,Conciliacao!BE341,df_extratos!G:G,"CREDITO")+SUMIFS(df_extratos!I:I,df_extratos!F:F,Conciliacao!A341,df_extratos!G:G,"CREDITO")+SUMIFS(df_extratos!I:I,df_extratos!F:F,Conciliacao!BF341,df_extratos!G:G,"CREDITO")+SUMIFS(df_extratos!I:I,df_extratos!F:F,Conciliacao!BG341,df_extratos!G:G,"CREDITO")+SUMIFS(df_extratos!I:I,df_extratos!F:F,Conciliacao!BH341,df_extratos!G:G,"CREDITO")</f>
        <v/>
      </c>
      <c r="I341" s="9">
        <f>H341-SUM(B341:G341)</f>
        <v/>
      </c>
      <c r="J341" s="4">
        <f>SUMIFS(df_blueme_sem_parcelamento!E:E,df_blueme_sem_parcelamento!H:H,Conciliacao!A341)*(-1)</f>
        <v/>
      </c>
      <c r="K341" s="4">
        <f>SUMIFS(df_blueme_com_parcelamento!J:J,df_blueme_com_parcelamento!M:M,Conciliacao!A341)*(-1)</f>
        <v/>
      </c>
      <c r="L341" s="4">
        <f>SUMIFS(df_mutuos!N:N,df_mutuos!B:B,Conciliacao!A341)*(-1)</f>
        <v/>
      </c>
      <c r="M341" s="8">
        <f>SUMIFS(df_bloqueios_judiciais!G:G,df_bloqueios_judiciais!D:D,Conciliacao!A341,df_bloqueios_judiciais!G:G,"&lt;0")</f>
        <v/>
      </c>
      <c r="N341" s="10">
        <f>SUMIFS(df_extratos!I:I,df_extratos!F:F,Conciliacao!BE341,df_extratos!G:G,"DEBITO")+SUMIFS(df_extratos!I:I,df_extratos!F:F,Conciliacao!A341,df_extratos!G:G,"DEBITO")+SUMIFS(df_extratos!I:I,df_extratos!F:F,Conciliacao!BF341,df_extratos!G:G,"DEBITO")+SUMIFS(df_extratos!I:I,df_extratos!F:F,Conciliacao!BG341,df_extratos!G:G,"DEBITO")+SUMIFS(df_extratos!I:I,df_extratos!F:F,Conciliacao!BH341,df_extratos!G:G,"DEBITO")</f>
        <v/>
      </c>
      <c r="O341" s="11">
        <f>N341-SUM(J341:M341)</f>
        <v/>
      </c>
      <c r="P341" s="25">
        <f>SUMIFS(df_ajustes_conciliaco!D:D,df_ajustes_conciliaco!C:C,Conciliacao!A341)</f>
        <v/>
      </c>
      <c r="Q341" s="22">
        <f>O341+I341-P341</f>
        <v/>
      </c>
      <c r="BE341" s="20" t="n">
        <v>45997.5</v>
      </c>
      <c r="BF341" s="20" t="n">
        <v>45997.125</v>
      </c>
      <c r="BG341" s="20" t="n">
        <v>45997.54166666666</v>
      </c>
      <c r="BH341" s="20" t="n">
        <v>45997.625</v>
      </c>
    </row>
    <row r="342">
      <c r="A342" s="5">
        <f>A341+1</f>
        <v/>
      </c>
      <c r="B342" s="3">
        <f>-SUMIFS(df_extrato_zig!G:G,df_extrato_zig!E:E,Conciliacao!A342,df_extrato_zig!D:D,"Saque")-SUMIFS(df_extrato_zig!G:G,df_extrato_zig!E:E,Conciliacao!A342,df_extrato_zig!D:D,"Antecipação")</f>
        <v/>
      </c>
      <c r="C342" s="3">
        <f>SUMIFS(df_extrato_zig!E:E,df_extrato_zig!L:L,Conciliacao!A342,df_extrato_zig!F:F,"DINHEIRO")</f>
        <v/>
      </c>
      <c r="D342" s="3">
        <f>SUMIFS(view_parc_agrup!H:H,view_parc_agrup!G:G,Conciliacao!A342)</f>
        <v/>
      </c>
      <c r="E342" s="3">
        <f>SUMIFS(df_eventos!F:F,df_eventos!H:H,Conciliacao!A342)</f>
        <v/>
      </c>
      <c r="F342" s="3">
        <f>SUMIFS(df_mutuos!M:M,df_mutuos!B:B,Conciliacao!A342)</f>
        <v/>
      </c>
      <c r="G342" s="6">
        <f>SUMIFS(df_bloqueios_judiciais!G:G,df_bloqueios_judiciais!D:D,Conciliacao!A342,df_bloqueios_judiciais!G:G,"&gt;0")</f>
        <v/>
      </c>
      <c r="H342" s="7">
        <f>SUMIFS(df_extratos!I:I,df_extratos!F:F,Conciliacao!BE342,df_extratos!G:G,"CREDITO")+SUMIFS(df_extratos!I:I,df_extratos!F:F,Conciliacao!A342,df_extratos!G:G,"CREDITO")+SUMIFS(df_extratos!I:I,df_extratos!F:F,Conciliacao!BF342,df_extratos!G:G,"CREDITO")+SUMIFS(df_extratos!I:I,df_extratos!F:F,Conciliacao!BG342,df_extratos!G:G,"CREDITO")+SUMIFS(df_extratos!I:I,df_extratos!F:F,Conciliacao!BH342,df_extratos!G:G,"CREDITO")</f>
        <v/>
      </c>
      <c r="I342" s="9">
        <f>H342-SUM(B342:G342)</f>
        <v/>
      </c>
      <c r="J342" s="4">
        <f>SUMIFS(df_blueme_sem_parcelamento!E:E,df_blueme_sem_parcelamento!H:H,Conciliacao!A342)*(-1)</f>
        <v/>
      </c>
      <c r="K342" s="4">
        <f>SUMIFS(df_blueme_com_parcelamento!J:J,df_blueme_com_parcelamento!M:M,Conciliacao!A342)*(-1)</f>
        <v/>
      </c>
      <c r="L342" s="4">
        <f>SUMIFS(df_mutuos!N:N,df_mutuos!B:B,Conciliacao!A342)*(-1)</f>
        <v/>
      </c>
      <c r="M342" s="8">
        <f>SUMIFS(df_bloqueios_judiciais!G:G,df_bloqueios_judiciais!D:D,Conciliacao!A342,df_bloqueios_judiciais!G:G,"&lt;0")</f>
        <v/>
      </c>
      <c r="N342" s="10">
        <f>SUMIFS(df_extratos!I:I,df_extratos!F:F,Conciliacao!BE342,df_extratos!G:G,"DEBITO")+SUMIFS(df_extratos!I:I,df_extratos!F:F,Conciliacao!A342,df_extratos!G:G,"DEBITO")+SUMIFS(df_extratos!I:I,df_extratos!F:F,Conciliacao!BF342,df_extratos!G:G,"DEBITO")+SUMIFS(df_extratos!I:I,df_extratos!F:F,Conciliacao!BG342,df_extratos!G:G,"DEBITO")+SUMIFS(df_extratos!I:I,df_extratos!F:F,Conciliacao!BH342,df_extratos!G:G,"DEBITO")</f>
        <v/>
      </c>
      <c r="O342" s="11">
        <f>N342-SUM(J342:M342)</f>
        <v/>
      </c>
      <c r="P342" s="25">
        <f>SUMIFS(df_ajustes_conciliaco!D:D,df_ajustes_conciliaco!C:C,Conciliacao!A342)</f>
        <v/>
      </c>
      <c r="Q342" s="22">
        <f>O342+I342-P342</f>
        <v/>
      </c>
      <c r="BE342" s="20" t="n">
        <v>45998.5</v>
      </c>
      <c r="BF342" s="20" t="n">
        <v>45998.125</v>
      </c>
      <c r="BG342" s="20" t="n">
        <v>45998.54166666666</v>
      </c>
      <c r="BH342" s="20" t="n">
        <v>45998.625</v>
      </c>
    </row>
    <row r="343">
      <c r="A343" s="5">
        <f>A342+1</f>
        <v/>
      </c>
      <c r="B343" s="3">
        <f>-SUMIFS(df_extrato_zig!G:G,df_extrato_zig!E:E,Conciliacao!A343,df_extrato_zig!D:D,"Saque")-SUMIFS(df_extrato_zig!G:G,df_extrato_zig!E:E,Conciliacao!A343,df_extrato_zig!D:D,"Antecipação")</f>
        <v/>
      </c>
      <c r="C343" s="3">
        <f>SUMIFS(df_extrato_zig!E:E,df_extrato_zig!L:L,Conciliacao!A343,df_extrato_zig!F:F,"DINHEIRO")</f>
        <v/>
      </c>
      <c r="D343" s="3">
        <f>SUMIFS(view_parc_agrup!H:H,view_parc_agrup!G:G,Conciliacao!A343)</f>
        <v/>
      </c>
      <c r="E343" s="3">
        <f>SUMIFS(df_eventos!F:F,df_eventos!H:H,Conciliacao!A343)</f>
        <v/>
      </c>
      <c r="F343" s="3">
        <f>SUMIFS(df_mutuos!M:M,df_mutuos!B:B,Conciliacao!A343)</f>
        <v/>
      </c>
      <c r="G343" s="6">
        <f>SUMIFS(df_bloqueios_judiciais!G:G,df_bloqueios_judiciais!D:D,Conciliacao!A343,df_bloqueios_judiciais!G:G,"&gt;0")</f>
        <v/>
      </c>
      <c r="H343" s="7">
        <f>SUMIFS(df_extratos!I:I,df_extratos!F:F,Conciliacao!BE343,df_extratos!G:G,"CREDITO")+SUMIFS(df_extratos!I:I,df_extratos!F:F,Conciliacao!A343,df_extratos!G:G,"CREDITO")+SUMIFS(df_extratos!I:I,df_extratos!F:F,Conciliacao!BF343,df_extratos!G:G,"CREDITO")+SUMIFS(df_extratos!I:I,df_extratos!F:F,Conciliacao!BG343,df_extratos!G:G,"CREDITO")+SUMIFS(df_extratos!I:I,df_extratos!F:F,Conciliacao!BH343,df_extratos!G:G,"CREDITO")</f>
        <v/>
      </c>
      <c r="I343" s="9">
        <f>H343-SUM(B343:G343)</f>
        <v/>
      </c>
      <c r="J343" s="4">
        <f>SUMIFS(df_blueme_sem_parcelamento!E:E,df_blueme_sem_parcelamento!H:H,Conciliacao!A343)*(-1)</f>
        <v/>
      </c>
      <c r="K343" s="4">
        <f>SUMIFS(df_blueme_com_parcelamento!J:J,df_blueme_com_parcelamento!M:M,Conciliacao!A343)*(-1)</f>
        <v/>
      </c>
      <c r="L343" s="4">
        <f>SUMIFS(df_mutuos!N:N,df_mutuos!B:B,Conciliacao!A343)*(-1)</f>
        <v/>
      </c>
      <c r="M343" s="8">
        <f>SUMIFS(df_bloqueios_judiciais!G:G,df_bloqueios_judiciais!D:D,Conciliacao!A343,df_bloqueios_judiciais!G:G,"&lt;0")</f>
        <v/>
      </c>
      <c r="N343" s="10">
        <f>SUMIFS(df_extratos!I:I,df_extratos!F:F,Conciliacao!BE343,df_extratos!G:G,"DEBITO")+SUMIFS(df_extratos!I:I,df_extratos!F:F,Conciliacao!A343,df_extratos!G:G,"DEBITO")+SUMIFS(df_extratos!I:I,df_extratos!F:F,Conciliacao!BF343,df_extratos!G:G,"DEBITO")+SUMIFS(df_extratos!I:I,df_extratos!F:F,Conciliacao!BG343,df_extratos!G:G,"DEBITO")+SUMIFS(df_extratos!I:I,df_extratos!F:F,Conciliacao!BH343,df_extratos!G:G,"DEBITO")</f>
        <v/>
      </c>
      <c r="O343" s="11">
        <f>N343-SUM(J343:M343)</f>
        <v/>
      </c>
      <c r="P343" s="25">
        <f>SUMIFS(df_ajustes_conciliaco!D:D,df_ajustes_conciliaco!C:C,Conciliacao!A343)</f>
        <v/>
      </c>
      <c r="Q343" s="22">
        <f>O343+I343-P343</f>
        <v/>
      </c>
      <c r="BE343" s="20" t="n">
        <v>45999.5</v>
      </c>
      <c r="BF343" s="20" t="n">
        <v>45999.125</v>
      </c>
      <c r="BG343" s="20" t="n">
        <v>45999.54166666666</v>
      </c>
      <c r="BH343" s="20" t="n">
        <v>45999.625</v>
      </c>
    </row>
    <row r="344">
      <c r="A344" s="5">
        <f>A343+1</f>
        <v/>
      </c>
      <c r="B344" s="3">
        <f>-SUMIFS(df_extrato_zig!G:G,df_extrato_zig!E:E,Conciliacao!A344,df_extrato_zig!D:D,"Saque")-SUMIFS(df_extrato_zig!G:G,df_extrato_zig!E:E,Conciliacao!A344,df_extrato_zig!D:D,"Antecipação")</f>
        <v/>
      </c>
      <c r="C344" s="3">
        <f>SUMIFS(df_extrato_zig!E:E,df_extrato_zig!L:L,Conciliacao!A344,df_extrato_zig!F:F,"DINHEIRO")</f>
        <v/>
      </c>
      <c r="D344" s="3">
        <f>SUMIFS(view_parc_agrup!H:H,view_parc_agrup!G:G,Conciliacao!A344)</f>
        <v/>
      </c>
      <c r="E344" s="3">
        <f>SUMIFS(df_eventos!F:F,df_eventos!H:H,Conciliacao!A344)</f>
        <v/>
      </c>
      <c r="F344" s="3">
        <f>SUMIFS(df_mutuos!M:M,df_mutuos!B:B,Conciliacao!A344)</f>
        <v/>
      </c>
      <c r="G344" s="6">
        <f>SUMIFS(df_bloqueios_judiciais!G:G,df_bloqueios_judiciais!D:D,Conciliacao!A344,df_bloqueios_judiciais!G:G,"&gt;0")</f>
        <v/>
      </c>
      <c r="H344" s="7">
        <f>SUMIFS(df_extratos!I:I,df_extratos!F:F,Conciliacao!BE344,df_extratos!G:G,"CREDITO")+SUMIFS(df_extratos!I:I,df_extratos!F:F,Conciliacao!A344,df_extratos!G:G,"CREDITO")+SUMIFS(df_extratos!I:I,df_extratos!F:F,Conciliacao!BF344,df_extratos!G:G,"CREDITO")+SUMIFS(df_extratos!I:I,df_extratos!F:F,Conciliacao!BG344,df_extratos!G:G,"CREDITO")+SUMIFS(df_extratos!I:I,df_extratos!F:F,Conciliacao!BH344,df_extratos!G:G,"CREDITO")</f>
        <v/>
      </c>
      <c r="I344" s="9">
        <f>H344-SUM(B344:G344)</f>
        <v/>
      </c>
      <c r="J344" s="4">
        <f>SUMIFS(df_blueme_sem_parcelamento!E:E,df_blueme_sem_parcelamento!H:H,Conciliacao!A344)*(-1)</f>
        <v/>
      </c>
      <c r="K344" s="4">
        <f>SUMIFS(df_blueme_com_parcelamento!J:J,df_blueme_com_parcelamento!M:M,Conciliacao!A344)*(-1)</f>
        <v/>
      </c>
      <c r="L344" s="4">
        <f>SUMIFS(df_mutuos!N:N,df_mutuos!B:B,Conciliacao!A344)*(-1)</f>
        <v/>
      </c>
      <c r="M344" s="8">
        <f>SUMIFS(df_bloqueios_judiciais!G:G,df_bloqueios_judiciais!D:D,Conciliacao!A344,df_bloqueios_judiciais!G:G,"&lt;0")</f>
        <v/>
      </c>
      <c r="N344" s="10">
        <f>SUMIFS(df_extratos!I:I,df_extratos!F:F,Conciliacao!BE344,df_extratos!G:G,"DEBITO")+SUMIFS(df_extratos!I:I,df_extratos!F:F,Conciliacao!A344,df_extratos!G:G,"DEBITO")+SUMIFS(df_extratos!I:I,df_extratos!F:F,Conciliacao!BF344,df_extratos!G:G,"DEBITO")+SUMIFS(df_extratos!I:I,df_extratos!F:F,Conciliacao!BG344,df_extratos!G:G,"DEBITO")+SUMIFS(df_extratos!I:I,df_extratos!F:F,Conciliacao!BH344,df_extratos!G:G,"DEBITO")</f>
        <v/>
      </c>
      <c r="O344" s="11">
        <f>N344-SUM(J344:M344)</f>
        <v/>
      </c>
      <c r="P344" s="25">
        <f>SUMIFS(df_ajustes_conciliaco!D:D,df_ajustes_conciliaco!C:C,Conciliacao!A344)</f>
        <v/>
      </c>
      <c r="Q344" s="22">
        <f>O344+I344-P344</f>
        <v/>
      </c>
      <c r="BE344" s="20" t="n">
        <v>46000.5</v>
      </c>
      <c r="BF344" s="20" t="n">
        <v>46000.125</v>
      </c>
      <c r="BG344" s="20" t="n">
        <v>46000.54166666666</v>
      </c>
      <c r="BH344" s="20" t="n">
        <v>46000.625</v>
      </c>
    </row>
    <row r="345">
      <c r="A345" s="5">
        <f>A344+1</f>
        <v/>
      </c>
      <c r="B345" s="3">
        <f>-SUMIFS(df_extrato_zig!G:G,df_extrato_zig!E:E,Conciliacao!A345,df_extrato_zig!D:D,"Saque")-SUMIFS(df_extrato_zig!G:G,df_extrato_zig!E:E,Conciliacao!A345,df_extrato_zig!D:D,"Antecipação")</f>
        <v/>
      </c>
      <c r="C345" s="3">
        <f>SUMIFS(df_extrato_zig!E:E,df_extrato_zig!L:L,Conciliacao!A345,df_extrato_zig!F:F,"DINHEIRO")</f>
        <v/>
      </c>
      <c r="D345" s="3">
        <f>SUMIFS(view_parc_agrup!H:H,view_parc_agrup!G:G,Conciliacao!A345)</f>
        <v/>
      </c>
      <c r="E345" s="3">
        <f>SUMIFS(df_eventos!F:F,df_eventos!H:H,Conciliacao!A345)</f>
        <v/>
      </c>
      <c r="F345" s="3">
        <f>SUMIFS(df_mutuos!M:M,df_mutuos!B:B,Conciliacao!A345)</f>
        <v/>
      </c>
      <c r="G345" s="6">
        <f>SUMIFS(df_bloqueios_judiciais!G:G,df_bloqueios_judiciais!D:D,Conciliacao!A345,df_bloqueios_judiciais!G:G,"&gt;0")</f>
        <v/>
      </c>
      <c r="H345" s="7">
        <f>SUMIFS(df_extratos!I:I,df_extratos!F:F,Conciliacao!BE345,df_extratos!G:G,"CREDITO")+SUMIFS(df_extratos!I:I,df_extratos!F:F,Conciliacao!A345,df_extratos!G:G,"CREDITO")+SUMIFS(df_extratos!I:I,df_extratos!F:F,Conciliacao!BF345,df_extratos!G:G,"CREDITO")+SUMIFS(df_extratos!I:I,df_extratos!F:F,Conciliacao!BG345,df_extratos!G:G,"CREDITO")+SUMIFS(df_extratos!I:I,df_extratos!F:F,Conciliacao!BH345,df_extratos!G:G,"CREDITO")</f>
        <v/>
      </c>
      <c r="I345" s="9">
        <f>H345-SUM(B345:G345)</f>
        <v/>
      </c>
      <c r="J345" s="4">
        <f>SUMIFS(df_blueme_sem_parcelamento!E:E,df_blueme_sem_parcelamento!H:H,Conciliacao!A345)*(-1)</f>
        <v/>
      </c>
      <c r="K345" s="4">
        <f>SUMIFS(df_blueme_com_parcelamento!J:J,df_blueme_com_parcelamento!M:M,Conciliacao!A345)*(-1)</f>
        <v/>
      </c>
      <c r="L345" s="4">
        <f>SUMIFS(df_mutuos!N:N,df_mutuos!B:B,Conciliacao!A345)*(-1)</f>
        <v/>
      </c>
      <c r="M345" s="8">
        <f>SUMIFS(df_bloqueios_judiciais!G:G,df_bloqueios_judiciais!D:D,Conciliacao!A345,df_bloqueios_judiciais!G:G,"&lt;0")</f>
        <v/>
      </c>
      <c r="N345" s="10">
        <f>SUMIFS(df_extratos!I:I,df_extratos!F:F,Conciliacao!BE345,df_extratos!G:G,"DEBITO")+SUMIFS(df_extratos!I:I,df_extratos!F:F,Conciliacao!A345,df_extratos!G:G,"DEBITO")+SUMIFS(df_extratos!I:I,df_extratos!F:F,Conciliacao!BF345,df_extratos!G:G,"DEBITO")+SUMIFS(df_extratos!I:I,df_extratos!F:F,Conciliacao!BG345,df_extratos!G:G,"DEBITO")+SUMIFS(df_extratos!I:I,df_extratos!F:F,Conciliacao!BH345,df_extratos!G:G,"DEBITO")</f>
        <v/>
      </c>
      <c r="O345" s="11">
        <f>N345-SUM(J345:M345)</f>
        <v/>
      </c>
      <c r="P345" s="25">
        <f>SUMIFS(df_ajustes_conciliaco!D:D,df_ajustes_conciliaco!C:C,Conciliacao!A345)</f>
        <v/>
      </c>
      <c r="Q345" s="22">
        <f>O345+I345-P345</f>
        <v/>
      </c>
      <c r="BE345" s="20" t="n">
        <v>46001.5</v>
      </c>
      <c r="BF345" s="20" t="n">
        <v>46001.125</v>
      </c>
      <c r="BG345" s="20" t="n">
        <v>46001.54166666666</v>
      </c>
      <c r="BH345" s="20" t="n">
        <v>46001.625</v>
      </c>
    </row>
    <row r="346">
      <c r="A346" s="5">
        <f>A345+1</f>
        <v/>
      </c>
      <c r="B346" s="3">
        <f>-SUMIFS(df_extrato_zig!G:G,df_extrato_zig!E:E,Conciliacao!A346,df_extrato_zig!D:D,"Saque")-SUMIFS(df_extrato_zig!G:G,df_extrato_zig!E:E,Conciliacao!A346,df_extrato_zig!D:D,"Antecipação")</f>
        <v/>
      </c>
      <c r="C346" s="3">
        <f>SUMIFS(df_extrato_zig!E:E,df_extrato_zig!L:L,Conciliacao!A346,df_extrato_zig!F:F,"DINHEIRO")</f>
        <v/>
      </c>
      <c r="D346" s="3">
        <f>SUMIFS(view_parc_agrup!H:H,view_parc_agrup!G:G,Conciliacao!A346)</f>
        <v/>
      </c>
      <c r="E346" s="3">
        <f>SUMIFS(df_eventos!F:F,df_eventos!H:H,Conciliacao!A346)</f>
        <v/>
      </c>
      <c r="F346" s="3">
        <f>SUMIFS(df_mutuos!M:M,df_mutuos!B:B,Conciliacao!A346)</f>
        <v/>
      </c>
      <c r="G346" s="6">
        <f>SUMIFS(df_bloqueios_judiciais!G:G,df_bloqueios_judiciais!D:D,Conciliacao!A346,df_bloqueios_judiciais!G:G,"&gt;0")</f>
        <v/>
      </c>
      <c r="H346" s="7">
        <f>SUMIFS(df_extratos!I:I,df_extratos!F:F,Conciliacao!BE346,df_extratos!G:G,"CREDITO")+SUMIFS(df_extratos!I:I,df_extratos!F:F,Conciliacao!A346,df_extratos!G:G,"CREDITO")+SUMIFS(df_extratos!I:I,df_extratos!F:F,Conciliacao!BF346,df_extratos!G:G,"CREDITO")+SUMIFS(df_extratos!I:I,df_extratos!F:F,Conciliacao!BG346,df_extratos!G:G,"CREDITO")+SUMIFS(df_extratos!I:I,df_extratos!F:F,Conciliacao!BH346,df_extratos!G:G,"CREDITO")</f>
        <v/>
      </c>
      <c r="I346" s="9">
        <f>H346-SUM(B346:G346)</f>
        <v/>
      </c>
      <c r="J346" s="4">
        <f>SUMIFS(df_blueme_sem_parcelamento!E:E,df_blueme_sem_parcelamento!H:H,Conciliacao!A346)*(-1)</f>
        <v/>
      </c>
      <c r="K346" s="4">
        <f>SUMIFS(df_blueme_com_parcelamento!J:J,df_blueme_com_parcelamento!M:M,Conciliacao!A346)*(-1)</f>
        <v/>
      </c>
      <c r="L346" s="4">
        <f>SUMIFS(df_mutuos!N:N,df_mutuos!B:B,Conciliacao!A346)*(-1)</f>
        <v/>
      </c>
      <c r="M346" s="8">
        <f>SUMIFS(df_bloqueios_judiciais!G:G,df_bloqueios_judiciais!D:D,Conciliacao!A346,df_bloqueios_judiciais!G:G,"&lt;0")</f>
        <v/>
      </c>
      <c r="N346" s="10">
        <f>SUMIFS(df_extratos!I:I,df_extratos!F:F,Conciliacao!BE346,df_extratos!G:G,"DEBITO")+SUMIFS(df_extratos!I:I,df_extratos!F:F,Conciliacao!A346,df_extratos!G:G,"DEBITO")+SUMIFS(df_extratos!I:I,df_extratos!F:F,Conciliacao!BF346,df_extratos!G:G,"DEBITO")+SUMIFS(df_extratos!I:I,df_extratos!F:F,Conciliacao!BG346,df_extratos!G:G,"DEBITO")+SUMIFS(df_extratos!I:I,df_extratos!F:F,Conciliacao!BH346,df_extratos!G:G,"DEBITO")</f>
        <v/>
      </c>
      <c r="O346" s="11">
        <f>N346-SUM(J346:M346)</f>
        <v/>
      </c>
      <c r="P346" s="25">
        <f>SUMIFS(df_ajustes_conciliaco!D:D,df_ajustes_conciliaco!C:C,Conciliacao!A346)</f>
        <v/>
      </c>
      <c r="Q346" s="22">
        <f>O346+I346-P346</f>
        <v/>
      </c>
      <c r="BE346" s="20" t="n">
        <v>46002.5</v>
      </c>
      <c r="BF346" s="20" t="n">
        <v>46002.125</v>
      </c>
      <c r="BG346" s="20" t="n">
        <v>46002.54166666666</v>
      </c>
      <c r="BH346" s="20" t="n">
        <v>46002.625</v>
      </c>
    </row>
    <row r="347">
      <c r="A347" s="5">
        <f>A346+1</f>
        <v/>
      </c>
      <c r="B347" s="3">
        <f>-SUMIFS(df_extrato_zig!G:G,df_extrato_zig!E:E,Conciliacao!A347,df_extrato_zig!D:D,"Saque")-SUMIFS(df_extrato_zig!G:G,df_extrato_zig!E:E,Conciliacao!A347,df_extrato_zig!D:D,"Antecipação")</f>
        <v/>
      </c>
      <c r="C347" s="3">
        <f>SUMIFS(df_extrato_zig!E:E,df_extrato_zig!L:L,Conciliacao!A347,df_extrato_zig!F:F,"DINHEIRO")</f>
        <v/>
      </c>
      <c r="D347" s="3">
        <f>SUMIFS(view_parc_agrup!H:H,view_parc_agrup!G:G,Conciliacao!A347)</f>
        <v/>
      </c>
      <c r="E347" s="3">
        <f>SUMIFS(df_eventos!F:F,df_eventos!H:H,Conciliacao!A347)</f>
        <v/>
      </c>
      <c r="F347" s="3">
        <f>SUMIFS(df_mutuos!M:M,df_mutuos!B:B,Conciliacao!A347)</f>
        <v/>
      </c>
      <c r="G347" s="6">
        <f>SUMIFS(df_bloqueios_judiciais!G:G,df_bloqueios_judiciais!D:D,Conciliacao!A347,df_bloqueios_judiciais!G:G,"&gt;0")</f>
        <v/>
      </c>
      <c r="H347" s="7">
        <f>SUMIFS(df_extratos!I:I,df_extratos!F:F,Conciliacao!BE347,df_extratos!G:G,"CREDITO")+SUMIFS(df_extratos!I:I,df_extratos!F:F,Conciliacao!A347,df_extratos!G:G,"CREDITO")+SUMIFS(df_extratos!I:I,df_extratos!F:F,Conciliacao!BF347,df_extratos!G:G,"CREDITO")+SUMIFS(df_extratos!I:I,df_extratos!F:F,Conciliacao!BG347,df_extratos!G:G,"CREDITO")+SUMIFS(df_extratos!I:I,df_extratos!F:F,Conciliacao!BH347,df_extratos!G:G,"CREDITO")</f>
        <v/>
      </c>
      <c r="I347" s="9">
        <f>H347-SUM(B347:G347)</f>
        <v/>
      </c>
      <c r="J347" s="4">
        <f>SUMIFS(df_blueme_sem_parcelamento!E:E,df_blueme_sem_parcelamento!H:H,Conciliacao!A347)*(-1)</f>
        <v/>
      </c>
      <c r="K347" s="4">
        <f>SUMIFS(df_blueme_com_parcelamento!J:J,df_blueme_com_parcelamento!M:M,Conciliacao!A347)*(-1)</f>
        <v/>
      </c>
      <c r="L347" s="4">
        <f>SUMIFS(df_mutuos!N:N,df_mutuos!B:B,Conciliacao!A347)*(-1)</f>
        <v/>
      </c>
      <c r="M347" s="8">
        <f>SUMIFS(df_bloqueios_judiciais!G:G,df_bloqueios_judiciais!D:D,Conciliacao!A347,df_bloqueios_judiciais!G:G,"&lt;0")</f>
        <v/>
      </c>
      <c r="N347" s="10">
        <f>SUMIFS(df_extratos!I:I,df_extratos!F:F,Conciliacao!BE347,df_extratos!G:G,"DEBITO")+SUMIFS(df_extratos!I:I,df_extratos!F:F,Conciliacao!A347,df_extratos!G:G,"DEBITO")+SUMIFS(df_extratos!I:I,df_extratos!F:F,Conciliacao!BF347,df_extratos!G:G,"DEBITO")+SUMIFS(df_extratos!I:I,df_extratos!F:F,Conciliacao!BG347,df_extratos!G:G,"DEBITO")+SUMIFS(df_extratos!I:I,df_extratos!F:F,Conciliacao!BH347,df_extratos!G:G,"DEBITO")</f>
        <v/>
      </c>
      <c r="O347" s="11">
        <f>N347-SUM(J347:M347)</f>
        <v/>
      </c>
      <c r="P347" s="25">
        <f>SUMIFS(df_ajustes_conciliaco!D:D,df_ajustes_conciliaco!C:C,Conciliacao!A347)</f>
        <v/>
      </c>
      <c r="Q347" s="22">
        <f>O347+I347-P347</f>
        <v/>
      </c>
      <c r="BE347" s="20" t="n">
        <v>46003.5</v>
      </c>
      <c r="BF347" s="20" t="n">
        <v>46003.125</v>
      </c>
      <c r="BG347" s="20" t="n">
        <v>46003.54166666666</v>
      </c>
      <c r="BH347" s="20" t="n">
        <v>46003.625</v>
      </c>
    </row>
    <row r="348">
      <c r="A348" s="5">
        <f>A347+1</f>
        <v/>
      </c>
      <c r="B348" s="3">
        <f>-SUMIFS(df_extrato_zig!G:G,df_extrato_zig!E:E,Conciliacao!A348,df_extrato_zig!D:D,"Saque")-SUMIFS(df_extrato_zig!G:G,df_extrato_zig!E:E,Conciliacao!A348,df_extrato_zig!D:D,"Antecipação")</f>
        <v/>
      </c>
      <c r="C348" s="3">
        <f>SUMIFS(df_extrato_zig!E:E,df_extrato_zig!L:L,Conciliacao!A348,df_extrato_zig!F:F,"DINHEIRO")</f>
        <v/>
      </c>
      <c r="D348" s="3">
        <f>SUMIFS(view_parc_agrup!H:H,view_parc_agrup!G:G,Conciliacao!A348)</f>
        <v/>
      </c>
      <c r="E348" s="3">
        <f>SUMIFS(df_eventos!F:F,df_eventos!H:H,Conciliacao!A348)</f>
        <v/>
      </c>
      <c r="F348" s="3">
        <f>SUMIFS(df_mutuos!M:M,df_mutuos!B:B,Conciliacao!A348)</f>
        <v/>
      </c>
      <c r="G348" s="6">
        <f>SUMIFS(df_bloqueios_judiciais!G:G,df_bloqueios_judiciais!D:D,Conciliacao!A348,df_bloqueios_judiciais!G:G,"&gt;0")</f>
        <v/>
      </c>
      <c r="H348" s="7">
        <f>SUMIFS(df_extratos!I:I,df_extratos!F:F,Conciliacao!BE348,df_extratos!G:G,"CREDITO")+SUMIFS(df_extratos!I:I,df_extratos!F:F,Conciliacao!A348,df_extratos!G:G,"CREDITO")+SUMIFS(df_extratos!I:I,df_extratos!F:F,Conciliacao!BF348,df_extratos!G:G,"CREDITO")+SUMIFS(df_extratos!I:I,df_extratos!F:F,Conciliacao!BG348,df_extratos!G:G,"CREDITO")+SUMIFS(df_extratos!I:I,df_extratos!F:F,Conciliacao!BH348,df_extratos!G:G,"CREDITO")</f>
        <v/>
      </c>
      <c r="I348" s="9">
        <f>H348-SUM(B348:G348)</f>
        <v/>
      </c>
      <c r="J348" s="4">
        <f>SUMIFS(df_blueme_sem_parcelamento!E:E,df_blueme_sem_parcelamento!H:H,Conciliacao!A348)*(-1)</f>
        <v/>
      </c>
      <c r="K348" s="4">
        <f>SUMIFS(df_blueme_com_parcelamento!J:J,df_blueme_com_parcelamento!M:M,Conciliacao!A348)*(-1)</f>
        <v/>
      </c>
      <c r="L348" s="4">
        <f>SUMIFS(df_mutuos!N:N,df_mutuos!B:B,Conciliacao!A348)*(-1)</f>
        <v/>
      </c>
      <c r="M348" s="8">
        <f>SUMIFS(df_bloqueios_judiciais!G:G,df_bloqueios_judiciais!D:D,Conciliacao!A348,df_bloqueios_judiciais!G:G,"&lt;0")</f>
        <v/>
      </c>
      <c r="N348" s="10">
        <f>SUMIFS(df_extratos!I:I,df_extratos!F:F,Conciliacao!BE348,df_extratos!G:G,"DEBITO")+SUMIFS(df_extratos!I:I,df_extratos!F:F,Conciliacao!A348,df_extratos!G:G,"DEBITO")+SUMIFS(df_extratos!I:I,df_extratos!F:F,Conciliacao!BF348,df_extratos!G:G,"DEBITO")+SUMIFS(df_extratos!I:I,df_extratos!F:F,Conciliacao!BG348,df_extratos!G:G,"DEBITO")+SUMIFS(df_extratos!I:I,df_extratos!F:F,Conciliacao!BH348,df_extratos!G:G,"DEBITO")</f>
        <v/>
      </c>
      <c r="O348" s="11">
        <f>N348-SUM(J348:M348)</f>
        <v/>
      </c>
      <c r="P348" s="25">
        <f>SUMIFS(df_ajustes_conciliaco!D:D,df_ajustes_conciliaco!C:C,Conciliacao!A348)</f>
        <v/>
      </c>
      <c r="Q348" s="22">
        <f>O348+I348-P348</f>
        <v/>
      </c>
      <c r="BE348" s="20" t="n">
        <v>46004.5</v>
      </c>
      <c r="BF348" s="20" t="n">
        <v>46004.125</v>
      </c>
      <c r="BG348" s="20" t="n">
        <v>46004.54166666666</v>
      </c>
      <c r="BH348" s="20" t="n">
        <v>46004.625</v>
      </c>
    </row>
    <row r="349">
      <c r="A349" s="5">
        <f>A348+1</f>
        <v/>
      </c>
      <c r="B349" s="3">
        <f>-SUMIFS(df_extrato_zig!G:G,df_extrato_zig!E:E,Conciliacao!A349,df_extrato_zig!D:D,"Saque")-SUMIFS(df_extrato_zig!G:G,df_extrato_zig!E:E,Conciliacao!A349,df_extrato_zig!D:D,"Antecipação")</f>
        <v/>
      </c>
      <c r="C349" s="3">
        <f>SUMIFS(df_extrato_zig!E:E,df_extrato_zig!L:L,Conciliacao!A349,df_extrato_zig!F:F,"DINHEIRO")</f>
        <v/>
      </c>
      <c r="D349" s="3">
        <f>SUMIFS(view_parc_agrup!H:H,view_parc_agrup!G:G,Conciliacao!A349)</f>
        <v/>
      </c>
      <c r="E349" s="3">
        <f>SUMIFS(df_eventos!F:F,df_eventos!H:H,Conciliacao!A349)</f>
        <v/>
      </c>
      <c r="F349" s="3">
        <f>SUMIFS(df_mutuos!M:M,df_mutuos!B:B,Conciliacao!A349)</f>
        <v/>
      </c>
      <c r="G349" s="6">
        <f>SUMIFS(df_bloqueios_judiciais!G:G,df_bloqueios_judiciais!D:D,Conciliacao!A349,df_bloqueios_judiciais!G:G,"&gt;0")</f>
        <v/>
      </c>
      <c r="H349" s="7">
        <f>SUMIFS(df_extratos!I:I,df_extratos!F:F,Conciliacao!BE349,df_extratos!G:G,"CREDITO")+SUMIFS(df_extratos!I:I,df_extratos!F:F,Conciliacao!A349,df_extratos!G:G,"CREDITO")+SUMIFS(df_extratos!I:I,df_extratos!F:F,Conciliacao!BF349,df_extratos!G:G,"CREDITO")+SUMIFS(df_extratos!I:I,df_extratos!F:F,Conciliacao!BG349,df_extratos!G:G,"CREDITO")+SUMIFS(df_extratos!I:I,df_extratos!F:F,Conciliacao!BH349,df_extratos!G:G,"CREDITO")</f>
        <v/>
      </c>
      <c r="I349" s="9">
        <f>H349-SUM(B349:G349)</f>
        <v/>
      </c>
      <c r="J349" s="4">
        <f>SUMIFS(df_blueme_sem_parcelamento!E:E,df_blueme_sem_parcelamento!H:H,Conciliacao!A349)*(-1)</f>
        <v/>
      </c>
      <c r="K349" s="4">
        <f>SUMIFS(df_blueme_com_parcelamento!J:J,df_blueme_com_parcelamento!M:M,Conciliacao!A349)*(-1)</f>
        <v/>
      </c>
      <c r="L349" s="4">
        <f>SUMIFS(df_mutuos!N:N,df_mutuos!B:B,Conciliacao!A349)*(-1)</f>
        <v/>
      </c>
      <c r="M349" s="8">
        <f>SUMIFS(df_bloqueios_judiciais!G:G,df_bloqueios_judiciais!D:D,Conciliacao!A349,df_bloqueios_judiciais!G:G,"&lt;0")</f>
        <v/>
      </c>
      <c r="N349" s="10">
        <f>SUMIFS(df_extratos!I:I,df_extratos!F:F,Conciliacao!BE349,df_extratos!G:G,"DEBITO")+SUMIFS(df_extratos!I:I,df_extratos!F:F,Conciliacao!A349,df_extratos!G:G,"DEBITO")+SUMIFS(df_extratos!I:I,df_extratos!F:F,Conciliacao!BF349,df_extratos!G:G,"DEBITO")+SUMIFS(df_extratos!I:I,df_extratos!F:F,Conciliacao!BG349,df_extratos!G:G,"DEBITO")+SUMIFS(df_extratos!I:I,df_extratos!F:F,Conciliacao!BH349,df_extratos!G:G,"DEBITO")</f>
        <v/>
      </c>
      <c r="O349" s="11">
        <f>N349-SUM(J349:M349)</f>
        <v/>
      </c>
      <c r="P349" s="25">
        <f>SUMIFS(df_ajustes_conciliaco!D:D,df_ajustes_conciliaco!C:C,Conciliacao!A349)</f>
        <v/>
      </c>
      <c r="Q349" s="22">
        <f>O349+I349-P349</f>
        <v/>
      </c>
      <c r="BE349" s="20" t="n">
        <v>46005.5</v>
      </c>
      <c r="BF349" s="20" t="n">
        <v>46005.125</v>
      </c>
      <c r="BG349" s="20" t="n">
        <v>46005.54166666666</v>
      </c>
      <c r="BH349" s="20" t="n">
        <v>46005.625</v>
      </c>
    </row>
    <row r="350">
      <c r="A350" s="5">
        <f>A349+1</f>
        <v/>
      </c>
      <c r="B350" s="3">
        <f>-SUMIFS(df_extrato_zig!G:G,df_extrato_zig!E:E,Conciliacao!A350,df_extrato_zig!D:D,"Saque")-SUMIFS(df_extrato_zig!G:G,df_extrato_zig!E:E,Conciliacao!A350,df_extrato_zig!D:D,"Antecipação")</f>
        <v/>
      </c>
      <c r="C350" s="3">
        <f>SUMIFS(df_extrato_zig!E:E,df_extrato_zig!L:L,Conciliacao!A350,df_extrato_zig!F:F,"DINHEIRO")</f>
        <v/>
      </c>
      <c r="D350" s="3">
        <f>SUMIFS(view_parc_agrup!H:H,view_parc_agrup!G:G,Conciliacao!A350)</f>
        <v/>
      </c>
      <c r="E350" s="3">
        <f>SUMIFS(df_eventos!F:F,df_eventos!H:H,Conciliacao!A350)</f>
        <v/>
      </c>
      <c r="F350" s="3">
        <f>SUMIFS(df_mutuos!M:M,df_mutuos!B:B,Conciliacao!A350)</f>
        <v/>
      </c>
      <c r="G350" s="6">
        <f>SUMIFS(df_bloqueios_judiciais!G:G,df_bloqueios_judiciais!D:D,Conciliacao!A350,df_bloqueios_judiciais!G:G,"&gt;0")</f>
        <v/>
      </c>
      <c r="H350" s="7">
        <f>SUMIFS(df_extratos!I:I,df_extratos!F:F,Conciliacao!BE350,df_extratos!G:G,"CREDITO")+SUMIFS(df_extratos!I:I,df_extratos!F:F,Conciliacao!A350,df_extratos!G:G,"CREDITO")+SUMIFS(df_extratos!I:I,df_extratos!F:F,Conciliacao!BF350,df_extratos!G:G,"CREDITO")+SUMIFS(df_extratos!I:I,df_extratos!F:F,Conciliacao!BG350,df_extratos!G:G,"CREDITO")+SUMIFS(df_extratos!I:I,df_extratos!F:F,Conciliacao!BH350,df_extratos!G:G,"CREDITO")</f>
        <v/>
      </c>
      <c r="I350" s="9">
        <f>H350-SUM(B350:G350)</f>
        <v/>
      </c>
      <c r="J350" s="4">
        <f>SUMIFS(df_blueme_sem_parcelamento!E:E,df_blueme_sem_parcelamento!H:H,Conciliacao!A350)*(-1)</f>
        <v/>
      </c>
      <c r="K350" s="4">
        <f>SUMIFS(df_blueme_com_parcelamento!J:J,df_blueme_com_parcelamento!M:M,Conciliacao!A350)*(-1)</f>
        <v/>
      </c>
      <c r="L350" s="4">
        <f>SUMIFS(df_mutuos!N:N,df_mutuos!B:B,Conciliacao!A350)*(-1)</f>
        <v/>
      </c>
      <c r="M350" s="8">
        <f>SUMIFS(df_bloqueios_judiciais!G:G,df_bloqueios_judiciais!D:D,Conciliacao!A350,df_bloqueios_judiciais!G:G,"&lt;0")</f>
        <v/>
      </c>
      <c r="N350" s="10">
        <f>SUMIFS(df_extratos!I:I,df_extratos!F:F,Conciliacao!BE350,df_extratos!G:G,"DEBITO")+SUMIFS(df_extratos!I:I,df_extratos!F:F,Conciliacao!A350,df_extratos!G:G,"DEBITO")+SUMIFS(df_extratos!I:I,df_extratos!F:F,Conciliacao!BF350,df_extratos!G:G,"DEBITO")+SUMIFS(df_extratos!I:I,df_extratos!F:F,Conciliacao!BG350,df_extratos!G:G,"DEBITO")+SUMIFS(df_extratos!I:I,df_extratos!F:F,Conciliacao!BH350,df_extratos!G:G,"DEBITO")</f>
        <v/>
      </c>
      <c r="O350" s="11">
        <f>N350-SUM(J350:M350)</f>
        <v/>
      </c>
      <c r="P350" s="25">
        <f>SUMIFS(df_ajustes_conciliaco!D:D,df_ajustes_conciliaco!C:C,Conciliacao!A350)</f>
        <v/>
      </c>
      <c r="Q350" s="22">
        <f>O350+I350-P350</f>
        <v/>
      </c>
      <c r="BE350" s="20" t="n">
        <v>46006.5</v>
      </c>
      <c r="BF350" s="20" t="n">
        <v>46006.125</v>
      </c>
      <c r="BG350" s="20" t="n">
        <v>46006.54166666666</v>
      </c>
      <c r="BH350" s="20" t="n">
        <v>46006.625</v>
      </c>
    </row>
    <row r="351">
      <c r="A351" s="5">
        <f>A350+1</f>
        <v/>
      </c>
      <c r="B351" s="3">
        <f>-SUMIFS(df_extrato_zig!G:G,df_extrato_zig!E:E,Conciliacao!A351,df_extrato_zig!D:D,"Saque")-SUMIFS(df_extrato_zig!G:G,df_extrato_zig!E:E,Conciliacao!A351,df_extrato_zig!D:D,"Antecipação")</f>
        <v/>
      </c>
      <c r="C351" s="3">
        <f>SUMIFS(df_extrato_zig!E:E,df_extrato_zig!L:L,Conciliacao!A351,df_extrato_zig!F:F,"DINHEIRO")</f>
        <v/>
      </c>
      <c r="D351" s="3">
        <f>SUMIFS(view_parc_agrup!H:H,view_parc_agrup!G:G,Conciliacao!A351)</f>
        <v/>
      </c>
      <c r="E351" s="3">
        <f>SUMIFS(df_eventos!F:F,df_eventos!H:H,Conciliacao!A351)</f>
        <v/>
      </c>
      <c r="F351" s="3">
        <f>SUMIFS(df_mutuos!M:M,df_mutuos!B:B,Conciliacao!A351)</f>
        <v/>
      </c>
      <c r="G351" s="6">
        <f>SUMIFS(df_bloqueios_judiciais!G:G,df_bloqueios_judiciais!D:D,Conciliacao!A351,df_bloqueios_judiciais!G:G,"&gt;0")</f>
        <v/>
      </c>
      <c r="H351" s="7">
        <f>SUMIFS(df_extratos!I:I,df_extratos!F:F,Conciliacao!BE351,df_extratos!G:G,"CREDITO")+SUMIFS(df_extratos!I:I,df_extratos!F:F,Conciliacao!A351,df_extratos!G:G,"CREDITO")+SUMIFS(df_extratos!I:I,df_extratos!F:F,Conciliacao!BF351,df_extratos!G:G,"CREDITO")+SUMIFS(df_extratos!I:I,df_extratos!F:F,Conciliacao!BG351,df_extratos!G:G,"CREDITO")+SUMIFS(df_extratos!I:I,df_extratos!F:F,Conciliacao!BH351,df_extratos!G:G,"CREDITO")</f>
        <v/>
      </c>
      <c r="I351" s="9">
        <f>H351-SUM(B351:G351)</f>
        <v/>
      </c>
      <c r="J351" s="4">
        <f>SUMIFS(df_blueme_sem_parcelamento!E:E,df_blueme_sem_parcelamento!H:H,Conciliacao!A351)*(-1)</f>
        <v/>
      </c>
      <c r="K351" s="4">
        <f>SUMIFS(df_blueme_com_parcelamento!J:J,df_blueme_com_parcelamento!M:M,Conciliacao!A351)*(-1)</f>
        <v/>
      </c>
      <c r="L351" s="4">
        <f>SUMIFS(df_mutuos!N:N,df_mutuos!B:B,Conciliacao!A351)*(-1)</f>
        <v/>
      </c>
      <c r="M351" s="8">
        <f>SUMIFS(df_bloqueios_judiciais!G:G,df_bloqueios_judiciais!D:D,Conciliacao!A351,df_bloqueios_judiciais!G:G,"&lt;0")</f>
        <v/>
      </c>
      <c r="N351" s="10">
        <f>SUMIFS(df_extratos!I:I,df_extratos!F:F,Conciliacao!BE351,df_extratos!G:G,"DEBITO")+SUMIFS(df_extratos!I:I,df_extratos!F:F,Conciliacao!A351,df_extratos!G:G,"DEBITO")+SUMIFS(df_extratos!I:I,df_extratos!F:F,Conciliacao!BF351,df_extratos!G:G,"DEBITO")+SUMIFS(df_extratos!I:I,df_extratos!F:F,Conciliacao!BG351,df_extratos!G:G,"DEBITO")+SUMIFS(df_extratos!I:I,df_extratos!F:F,Conciliacao!BH351,df_extratos!G:G,"DEBITO")</f>
        <v/>
      </c>
      <c r="O351" s="11">
        <f>N351-SUM(J351:M351)</f>
        <v/>
      </c>
      <c r="P351" s="25">
        <f>SUMIFS(df_ajustes_conciliaco!D:D,df_ajustes_conciliaco!C:C,Conciliacao!A351)</f>
        <v/>
      </c>
      <c r="Q351" s="22">
        <f>O351+I351-P351</f>
        <v/>
      </c>
      <c r="BE351" s="20" t="n">
        <v>46007.5</v>
      </c>
      <c r="BF351" s="20" t="n">
        <v>46007.125</v>
      </c>
      <c r="BG351" s="20" t="n">
        <v>46007.54166666666</v>
      </c>
      <c r="BH351" s="20" t="n">
        <v>46007.625</v>
      </c>
    </row>
    <row r="352">
      <c r="A352" s="5">
        <f>A351+1</f>
        <v/>
      </c>
      <c r="B352" s="3">
        <f>-SUMIFS(df_extrato_zig!G:G,df_extrato_zig!E:E,Conciliacao!A352,df_extrato_zig!D:D,"Saque")-SUMIFS(df_extrato_zig!G:G,df_extrato_zig!E:E,Conciliacao!A352,df_extrato_zig!D:D,"Antecipação")</f>
        <v/>
      </c>
      <c r="C352" s="3">
        <f>SUMIFS(df_extrato_zig!E:E,df_extrato_zig!L:L,Conciliacao!A352,df_extrato_zig!F:F,"DINHEIRO")</f>
        <v/>
      </c>
      <c r="D352" s="3">
        <f>SUMIFS(view_parc_agrup!H:H,view_parc_agrup!G:G,Conciliacao!A352)</f>
        <v/>
      </c>
      <c r="E352" s="3">
        <f>SUMIFS(df_eventos!F:F,df_eventos!H:H,Conciliacao!A352)</f>
        <v/>
      </c>
      <c r="F352" s="3">
        <f>SUMIFS(df_mutuos!M:M,df_mutuos!B:B,Conciliacao!A352)</f>
        <v/>
      </c>
      <c r="G352" s="6">
        <f>SUMIFS(df_bloqueios_judiciais!G:G,df_bloqueios_judiciais!D:D,Conciliacao!A352,df_bloqueios_judiciais!G:G,"&gt;0")</f>
        <v/>
      </c>
      <c r="H352" s="7">
        <f>SUMIFS(df_extratos!I:I,df_extratos!F:F,Conciliacao!BE352,df_extratos!G:G,"CREDITO")+SUMIFS(df_extratos!I:I,df_extratos!F:F,Conciliacao!A352,df_extratos!G:G,"CREDITO")+SUMIFS(df_extratos!I:I,df_extratos!F:F,Conciliacao!BF352,df_extratos!G:G,"CREDITO")+SUMIFS(df_extratos!I:I,df_extratos!F:F,Conciliacao!BG352,df_extratos!G:G,"CREDITO")+SUMIFS(df_extratos!I:I,df_extratos!F:F,Conciliacao!BH352,df_extratos!G:G,"CREDITO")</f>
        <v/>
      </c>
      <c r="I352" s="9">
        <f>H352-SUM(B352:G352)</f>
        <v/>
      </c>
      <c r="J352" s="4">
        <f>SUMIFS(df_blueme_sem_parcelamento!E:E,df_blueme_sem_parcelamento!H:H,Conciliacao!A352)*(-1)</f>
        <v/>
      </c>
      <c r="K352" s="4">
        <f>SUMIFS(df_blueme_com_parcelamento!J:J,df_blueme_com_parcelamento!M:M,Conciliacao!A352)*(-1)</f>
        <v/>
      </c>
      <c r="L352" s="4">
        <f>SUMIFS(df_mutuos!N:N,df_mutuos!B:B,Conciliacao!A352)*(-1)</f>
        <v/>
      </c>
      <c r="M352" s="8">
        <f>SUMIFS(df_bloqueios_judiciais!G:G,df_bloqueios_judiciais!D:D,Conciliacao!A352,df_bloqueios_judiciais!G:G,"&lt;0")</f>
        <v/>
      </c>
      <c r="N352" s="10">
        <f>SUMIFS(df_extratos!I:I,df_extratos!F:F,Conciliacao!BE352,df_extratos!G:G,"DEBITO")+SUMIFS(df_extratos!I:I,df_extratos!F:F,Conciliacao!A352,df_extratos!G:G,"DEBITO")+SUMIFS(df_extratos!I:I,df_extratos!F:F,Conciliacao!BF352,df_extratos!G:G,"DEBITO")+SUMIFS(df_extratos!I:I,df_extratos!F:F,Conciliacao!BG352,df_extratos!G:G,"DEBITO")+SUMIFS(df_extratos!I:I,df_extratos!F:F,Conciliacao!BH352,df_extratos!G:G,"DEBITO")</f>
        <v/>
      </c>
      <c r="O352" s="11">
        <f>N352-SUM(J352:M352)</f>
        <v/>
      </c>
      <c r="P352" s="25">
        <f>SUMIFS(df_ajustes_conciliaco!D:D,df_ajustes_conciliaco!C:C,Conciliacao!A352)</f>
        <v/>
      </c>
      <c r="Q352" s="22">
        <f>O352+I352-P352</f>
        <v/>
      </c>
      <c r="BE352" s="20" t="n">
        <v>46008.5</v>
      </c>
      <c r="BF352" s="20" t="n">
        <v>46008.125</v>
      </c>
      <c r="BG352" s="20" t="n">
        <v>46008.54166666666</v>
      </c>
      <c r="BH352" s="20" t="n">
        <v>46008.625</v>
      </c>
    </row>
    <row r="353">
      <c r="A353" s="5">
        <f>A352+1</f>
        <v/>
      </c>
      <c r="B353" s="3">
        <f>-SUMIFS(df_extrato_zig!G:G,df_extrato_zig!E:E,Conciliacao!A353,df_extrato_zig!D:D,"Saque")-SUMIFS(df_extrato_zig!G:G,df_extrato_zig!E:E,Conciliacao!A353,df_extrato_zig!D:D,"Antecipação")</f>
        <v/>
      </c>
      <c r="C353" s="3">
        <f>SUMIFS(df_extrato_zig!E:E,df_extrato_zig!L:L,Conciliacao!A353,df_extrato_zig!F:F,"DINHEIRO")</f>
        <v/>
      </c>
      <c r="D353" s="3">
        <f>SUMIFS(view_parc_agrup!H:H,view_parc_agrup!G:G,Conciliacao!A353)</f>
        <v/>
      </c>
      <c r="E353" s="3">
        <f>SUMIFS(df_eventos!F:F,df_eventos!H:H,Conciliacao!A353)</f>
        <v/>
      </c>
      <c r="F353" s="3">
        <f>SUMIFS(df_mutuos!M:M,df_mutuos!B:B,Conciliacao!A353)</f>
        <v/>
      </c>
      <c r="G353" s="6">
        <f>SUMIFS(df_bloqueios_judiciais!G:G,df_bloqueios_judiciais!D:D,Conciliacao!A353,df_bloqueios_judiciais!G:G,"&gt;0")</f>
        <v/>
      </c>
      <c r="H353" s="7">
        <f>SUMIFS(df_extratos!I:I,df_extratos!F:F,Conciliacao!BE353,df_extratos!G:G,"CREDITO")+SUMIFS(df_extratos!I:I,df_extratos!F:F,Conciliacao!A353,df_extratos!G:G,"CREDITO")+SUMIFS(df_extratos!I:I,df_extratos!F:F,Conciliacao!BF353,df_extratos!G:G,"CREDITO")+SUMIFS(df_extratos!I:I,df_extratos!F:F,Conciliacao!BG353,df_extratos!G:G,"CREDITO")+SUMIFS(df_extratos!I:I,df_extratos!F:F,Conciliacao!BH353,df_extratos!G:G,"CREDITO")</f>
        <v/>
      </c>
      <c r="I353" s="9">
        <f>H353-SUM(B353:G353)</f>
        <v/>
      </c>
      <c r="J353" s="4">
        <f>SUMIFS(df_blueme_sem_parcelamento!E:E,df_blueme_sem_parcelamento!H:H,Conciliacao!A353)*(-1)</f>
        <v/>
      </c>
      <c r="K353" s="4">
        <f>SUMIFS(df_blueme_com_parcelamento!J:J,df_blueme_com_parcelamento!M:M,Conciliacao!A353)*(-1)</f>
        <v/>
      </c>
      <c r="L353" s="4">
        <f>SUMIFS(df_mutuos!N:N,df_mutuos!B:B,Conciliacao!A353)*(-1)</f>
        <v/>
      </c>
      <c r="M353" s="8">
        <f>SUMIFS(df_bloqueios_judiciais!G:G,df_bloqueios_judiciais!D:D,Conciliacao!A353,df_bloqueios_judiciais!G:G,"&lt;0")</f>
        <v/>
      </c>
      <c r="N353" s="10">
        <f>SUMIFS(df_extratos!I:I,df_extratos!F:F,Conciliacao!BE353,df_extratos!G:G,"DEBITO")+SUMIFS(df_extratos!I:I,df_extratos!F:F,Conciliacao!A353,df_extratos!G:G,"DEBITO")+SUMIFS(df_extratos!I:I,df_extratos!F:F,Conciliacao!BF353,df_extratos!G:G,"DEBITO")+SUMIFS(df_extratos!I:I,df_extratos!F:F,Conciliacao!BG353,df_extratos!G:G,"DEBITO")+SUMIFS(df_extratos!I:I,df_extratos!F:F,Conciliacao!BH353,df_extratos!G:G,"DEBITO")</f>
        <v/>
      </c>
      <c r="O353" s="11">
        <f>N353-SUM(J353:M353)</f>
        <v/>
      </c>
      <c r="P353" s="25">
        <f>SUMIFS(df_ajustes_conciliaco!D:D,df_ajustes_conciliaco!C:C,Conciliacao!A353)</f>
        <v/>
      </c>
      <c r="Q353" s="22">
        <f>O353+I353-P353</f>
        <v/>
      </c>
      <c r="BE353" s="20" t="n">
        <v>46009.5</v>
      </c>
      <c r="BF353" s="20" t="n">
        <v>46009.125</v>
      </c>
      <c r="BG353" s="20" t="n">
        <v>46009.54166666666</v>
      </c>
      <c r="BH353" s="20" t="n">
        <v>46009.625</v>
      </c>
    </row>
    <row r="354">
      <c r="A354" s="5">
        <f>A353+1</f>
        <v/>
      </c>
      <c r="B354" s="3">
        <f>-SUMIFS(df_extrato_zig!G:G,df_extrato_zig!E:E,Conciliacao!A354,df_extrato_zig!D:D,"Saque")-SUMIFS(df_extrato_zig!G:G,df_extrato_zig!E:E,Conciliacao!A354,df_extrato_zig!D:D,"Antecipação")</f>
        <v/>
      </c>
      <c r="C354" s="3">
        <f>SUMIFS(df_extrato_zig!E:E,df_extrato_zig!L:L,Conciliacao!A354,df_extrato_zig!F:F,"DINHEIRO")</f>
        <v/>
      </c>
      <c r="D354" s="3">
        <f>SUMIFS(view_parc_agrup!H:H,view_parc_agrup!G:G,Conciliacao!A354)</f>
        <v/>
      </c>
      <c r="E354" s="3">
        <f>SUMIFS(df_eventos!F:F,df_eventos!H:H,Conciliacao!A354)</f>
        <v/>
      </c>
      <c r="F354" s="3">
        <f>SUMIFS(df_mutuos!M:M,df_mutuos!B:B,Conciliacao!A354)</f>
        <v/>
      </c>
      <c r="G354" s="6">
        <f>SUMIFS(df_bloqueios_judiciais!G:G,df_bloqueios_judiciais!D:D,Conciliacao!A354,df_bloqueios_judiciais!G:G,"&gt;0")</f>
        <v/>
      </c>
      <c r="H354" s="7">
        <f>SUMIFS(df_extratos!I:I,df_extratos!F:F,Conciliacao!BE354,df_extratos!G:G,"CREDITO")+SUMIFS(df_extratos!I:I,df_extratos!F:F,Conciliacao!A354,df_extratos!G:G,"CREDITO")+SUMIFS(df_extratos!I:I,df_extratos!F:F,Conciliacao!BF354,df_extratos!G:G,"CREDITO")+SUMIFS(df_extratos!I:I,df_extratos!F:F,Conciliacao!BG354,df_extratos!G:G,"CREDITO")+SUMIFS(df_extratos!I:I,df_extratos!F:F,Conciliacao!BH354,df_extratos!G:G,"CREDITO")</f>
        <v/>
      </c>
      <c r="I354" s="9">
        <f>H354-SUM(B354:G354)</f>
        <v/>
      </c>
      <c r="J354" s="4">
        <f>SUMIFS(df_blueme_sem_parcelamento!E:E,df_blueme_sem_parcelamento!H:H,Conciliacao!A354)*(-1)</f>
        <v/>
      </c>
      <c r="K354" s="4">
        <f>SUMIFS(df_blueme_com_parcelamento!J:J,df_blueme_com_parcelamento!M:M,Conciliacao!A354)*(-1)</f>
        <v/>
      </c>
      <c r="L354" s="4">
        <f>SUMIFS(df_mutuos!N:N,df_mutuos!B:B,Conciliacao!A354)*(-1)</f>
        <v/>
      </c>
      <c r="M354" s="8">
        <f>SUMIFS(df_bloqueios_judiciais!G:G,df_bloqueios_judiciais!D:D,Conciliacao!A354,df_bloqueios_judiciais!G:G,"&lt;0")</f>
        <v/>
      </c>
      <c r="N354" s="10">
        <f>SUMIFS(df_extratos!I:I,df_extratos!F:F,Conciliacao!BE354,df_extratos!G:G,"DEBITO")+SUMIFS(df_extratos!I:I,df_extratos!F:F,Conciliacao!A354,df_extratos!G:G,"DEBITO")+SUMIFS(df_extratos!I:I,df_extratos!F:F,Conciliacao!BF354,df_extratos!G:G,"DEBITO")+SUMIFS(df_extratos!I:I,df_extratos!F:F,Conciliacao!BG354,df_extratos!G:G,"DEBITO")+SUMIFS(df_extratos!I:I,df_extratos!F:F,Conciliacao!BH354,df_extratos!G:G,"DEBITO")</f>
        <v/>
      </c>
      <c r="O354" s="11">
        <f>N354-SUM(J354:M354)</f>
        <v/>
      </c>
      <c r="P354" s="25">
        <f>SUMIFS(df_ajustes_conciliaco!D:D,df_ajustes_conciliaco!C:C,Conciliacao!A354)</f>
        <v/>
      </c>
      <c r="Q354" s="22">
        <f>O354+I354-P354</f>
        <v/>
      </c>
      <c r="BE354" s="20" t="n">
        <v>46010.5</v>
      </c>
      <c r="BF354" s="20" t="n">
        <v>46010.125</v>
      </c>
      <c r="BG354" s="20" t="n">
        <v>46010.54166666666</v>
      </c>
      <c r="BH354" s="20" t="n">
        <v>46010.625</v>
      </c>
    </row>
    <row r="355">
      <c r="A355" s="5">
        <f>A354+1</f>
        <v/>
      </c>
      <c r="B355" s="3">
        <f>-SUMIFS(df_extrato_zig!G:G,df_extrato_zig!E:E,Conciliacao!A355,df_extrato_zig!D:D,"Saque")-SUMIFS(df_extrato_zig!G:G,df_extrato_zig!E:E,Conciliacao!A355,df_extrato_zig!D:D,"Antecipação")</f>
        <v/>
      </c>
      <c r="C355" s="3">
        <f>SUMIFS(df_extrato_zig!E:E,df_extrato_zig!L:L,Conciliacao!A355,df_extrato_zig!F:F,"DINHEIRO")</f>
        <v/>
      </c>
      <c r="D355" s="3">
        <f>SUMIFS(view_parc_agrup!H:H,view_parc_agrup!G:G,Conciliacao!A355)</f>
        <v/>
      </c>
      <c r="E355" s="3">
        <f>SUMIFS(df_eventos!F:F,df_eventos!H:H,Conciliacao!A355)</f>
        <v/>
      </c>
      <c r="F355" s="3">
        <f>SUMIFS(df_mutuos!M:M,df_mutuos!B:B,Conciliacao!A355)</f>
        <v/>
      </c>
      <c r="G355" s="6">
        <f>SUMIFS(df_bloqueios_judiciais!G:G,df_bloqueios_judiciais!D:D,Conciliacao!A355,df_bloqueios_judiciais!G:G,"&gt;0")</f>
        <v/>
      </c>
      <c r="H355" s="7">
        <f>SUMIFS(df_extratos!I:I,df_extratos!F:F,Conciliacao!BE355,df_extratos!G:G,"CREDITO")+SUMIFS(df_extratos!I:I,df_extratos!F:F,Conciliacao!A355,df_extratos!G:G,"CREDITO")+SUMIFS(df_extratos!I:I,df_extratos!F:F,Conciliacao!BF355,df_extratos!G:G,"CREDITO")+SUMIFS(df_extratos!I:I,df_extratos!F:F,Conciliacao!BG355,df_extratos!G:G,"CREDITO")+SUMIFS(df_extratos!I:I,df_extratos!F:F,Conciliacao!BH355,df_extratos!G:G,"CREDITO")</f>
        <v/>
      </c>
      <c r="I355" s="9">
        <f>H355-SUM(B355:G355)</f>
        <v/>
      </c>
      <c r="J355" s="4">
        <f>SUMIFS(df_blueme_sem_parcelamento!E:E,df_blueme_sem_parcelamento!H:H,Conciliacao!A355)*(-1)</f>
        <v/>
      </c>
      <c r="K355" s="4">
        <f>SUMIFS(df_blueme_com_parcelamento!J:J,df_blueme_com_parcelamento!M:M,Conciliacao!A355)*(-1)</f>
        <v/>
      </c>
      <c r="L355" s="4">
        <f>SUMIFS(df_mutuos!N:N,df_mutuos!B:B,Conciliacao!A355)*(-1)</f>
        <v/>
      </c>
      <c r="M355" s="8">
        <f>SUMIFS(df_bloqueios_judiciais!G:G,df_bloqueios_judiciais!D:D,Conciliacao!A355,df_bloqueios_judiciais!G:G,"&lt;0")</f>
        <v/>
      </c>
      <c r="N355" s="10">
        <f>SUMIFS(df_extratos!I:I,df_extratos!F:F,Conciliacao!BE355,df_extratos!G:G,"DEBITO")+SUMIFS(df_extratos!I:I,df_extratos!F:F,Conciliacao!A355,df_extratos!G:G,"DEBITO")+SUMIFS(df_extratos!I:I,df_extratos!F:F,Conciliacao!BF355,df_extratos!G:G,"DEBITO")+SUMIFS(df_extratos!I:I,df_extratos!F:F,Conciliacao!BG355,df_extratos!G:G,"DEBITO")+SUMIFS(df_extratos!I:I,df_extratos!F:F,Conciliacao!BH355,df_extratos!G:G,"DEBITO")</f>
        <v/>
      </c>
      <c r="O355" s="11">
        <f>N355-SUM(J355:M355)</f>
        <v/>
      </c>
      <c r="P355" s="25">
        <f>SUMIFS(df_ajustes_conciliaco!D:D,df_ajustes_conciliaco!C:C,Conciliacao!A355)</f>
        <v/>
      </c>
      <c r="Q355" s="22">
        <f>O355+I355-P355</f>
        <v/>
      </c>
      <c r="BE355" s="20" t="n">
        <v>46011.5</v>
      </c>
      <c r="BF355" s="20" t="n">
        <v>46011.125</v>
      </c>
      <c r="BG355" s="20" t="n">
        <v>46011.54166666666</v>
      </c>
      <c r="BH355" s="20" t="n">
        <v>46011.625</v>
      </c>
    </row>
    <row r="356">
      <c r="A356" s="5">
        <f>A355+1</f>
        <v/>
      </c>
      <c r="B356" s="3">
        <f>-SUMIFS(df_extrato_zig!G:G,df_extrato_zig!E:E,Conciliacao!A356,df_extrato_zig!D:D,"Saque")-SUMIFS(df_extrato_zig!G:G,df_extrato_zig!E:E,Conciliacao!A356,df_extrato_zig!D:D,"Antecipação")</f>
        <v/>
      </c>
      <c r="C356" s="3">
        <f>SUMIFS(df_extrato_zig!E:E,df_extrato_zig!L:L,Conciliacao!A356,df_extrato_zig!F:F,"DINHEIRO")</f>
        <v/>
      </c>
      <c r="D356" s="3">
        <f>SUMIFS(view_parc_agrup!H:H,view_parc_agrup!G:G,Conciliacao!A356)</f>
        <v/>
      </c>
      <c r="E356" s="3">
        <f>SUMIFS(df_eventos!F:F,df_eventos!H:H,Conciliacao!A356)</f>
        <v/>
      </c>
      <c r="F356" s="3">
        <f>SUMIFS(df_mutuos!M:M,df_mutuos!B:B,Conciliacao!A356)</f>
        <v/>
      </c>
      <c r="G356" s="6">
        <f>SUMIFS(df_bloqueios_judiciais!G:G,df_bloqueios_judiciais!D:D,Conciliacao!A356,df_bloqueios_judiciais!G:G,"&gt;0")</f>
        <v/>
      </c>
      <c r="H356" s="7">
        <f>SUMIFS(df_extratos!I:I,df_extratos!F:F,Conciliacao!BE356,df_extratos!G:G,"CREDITO")+SUMIFS(df_extratos!I:I,df_extratos!F:F,Conciliacao!A356,df_extratos!G:G,"CREDITO")+SUMIFS(df_extratos!I:I,df_extratos!F:F,Conciliacao!BF356,df_extratos!G:G,"CREDITO")+SUMIFS(df_extratos!I:I,df_extratos!F:F,Conciliacao!BG356,df_extratos!G:G,"CREDITO")+SUMIFS(df_extratos!I:I,df_extratos!F:F,Conciliacao!BH356,df_extratos!G:G,"CREDITO")</f>
        <v/>
      </c>
      <c r="I356" s="9">
        <f>H356-SUM(B356:G356)</f>
        <v/>
      </c>
      <c r="J356" s="4">
        <f>SUMIFS(df_blueme_sem_parcelamento!E:E,df_blueme_sem_parcelamento!H:H,Conciliacao!A356)*(-1)</f>
        <v/>
      </c>
      <c r="K356" s="4">
        <f>SUMIFS(df_blueme_com_parcelamento!J:J,df_blueme_com_parcelamento!M:M,Conciliacao!A356)*(-1)</f>
        <v/>
      </c>
      <c r="L356" s="4">
        <f>SUMIFS(df_mutuos!N:N,df_mutuos!B:B,Conciliacao!A356)*(-1)</f>
        <v/>
      </c>
      <c r="M356" s="8">
        <f>SUMIFS(df_bloqueios_judiciais!G:G,df_bloqueios_judiciais!D:D,Conciliacao!A356,df_bloqueios_judiciais!G:G,"&lt;0")</f>
        <v/>
      </c>
      <c r="N356" s="10">
        <f>SUMIFS(df_extratos!I:I,df_extratos!F:F,Conciliacao!BE356,df_extratos!G:G,"DEBITO")+SUMIFS(df_extratos!I:I,df_extratos!F:F,Conciliacao!A356,df_extratos!G:G,"DEBITO")+SUMIFS(df_extratos!I:I,df_extratos!F:F,Conciliacao!BF356,df_extratos!G:G,"DEBITO")+SUMIFS(df_extratos!I:I,df_extratos!F:F,Conciliacao!BG356,df_extratos!G:G,"DEBITO")+SUMIFS(df_extratos!I:I,df_extratos!F:F,Conciliacao!BH356,df_extratos!G:G,"DEBITO")</f>
        <v/>
      </c>
      <c r="O356" s="11">
        <f>N356-SUM(J356:M356)</f>
        <v/>
      </c>
      <c r="P356" s="25">
        <f>SUMIFS(df_ajustes_conciliaco!D:D,df_ajustes_conciliaco!C:C,Conciliacao!A356)</f>
        <v/>
      </c>
      <c r="Q356" s="22">
        <f>O356+I356-P356</f>
        <v/>
      </c>
      <c r="BE356" s="20" t="n">
        <v>46012.5</v>
      </c>
      <c r="BF356" s="20" t="n">
        <v>46012.125</v>
      </c>
      <c r="BG356" s="20" t="n">
        <v>46012.54166666666</v>
      </c>
      <c r="BH356" s="20" t="n">
        <v>46012.625</v>
      </c>
    </row>
    <row r="357">
      <c r="A357" s="5">
        <f>A356+1</f>
        <v/>
      </c>
      <c r="B357" s="3">
        <f>-SUMIFS(df_extrato_zig!G:G,df_extrato_zig!E:E,Conciliacao!A357,df_extrato_zig!D:D,"Saque")-SUMIFS(df_extrato_zig!G:G,df_extrato_zig!E:E,Conciliacao!A357,df_extrato_zig!D:D,"Antecipação")</f>
        <v/>
      </c>
      <c r="C357" s="3">
        <f>SUMIFS(df_extrato_zig!E:E,df_extrato_zig!L:L,Conciliacao!A357,df_extrato_zig!F:F,"DINHEIRO")</f>
        <v/>
      </c>
      <c r="D357" s="3">
        <f>SUMIFS(view_parc_agrup!H:H,view_parc_agrup!G:G,Conciliacao!A357)</f>
        <v/>
      </c>
      <c r="E357" s="3">
        <f>SUMIFS(df_eventos!F:F,df_eventos!H:H,Conciliacao!A357)</f>
        <v/>
      </c>
      <c r="F357" s="3">
        <f>SUMIFS(df_mutuos!M:M,df_mutuos!B:B,Conciliacao!A357)</f>
        <v/>
      </c>
      <c r="G357" s="6">
        <f>SUMIFS(df_bloqueios_judiciais!G:G,df_bloqueios_judiciais!D:D,Conciliacao!A357,df_bloqueios_judiciais!G:G,"&gt;0")</f>
        <v/>
      </c>
      <c r="H357" s="7">
        <f>SUMIFS(df_extratos!I:I,df_extratos!F:F,Conciliacao!BE357,df_extratos!G:G,"CREDITO")+SUMIFS(df_extratos!I:I,df_extratos!F:F,Conciliacao!A357,df_extratos!G:G,"CREDITO")+SUMIFS(df_extratos!I:I,df_extratos!F:F,Conciliacao!BF357,df_extratos!G:G,"CREDITO")+SUMIFS(df_extratos!I:I,df_extratos!F:F,Conciliacao!BG357,df_extratos!G:G,"CREDITO")+SUMIFS(df_extratos!I:I,df_extratos!F:F,Conciliacao!BH357,df_extratos!G:G,"CREDITO")</f>
        <v/>
      </c>
      <c r="I357" s="9">
        <f>H357-SUM(B357:G357)</f>
        <v/>
      </c>
      <c r="J357" s="4">
        <f>SUMIFS(df_blueme_sem_parcelamento!E:E,df_blueme_sem_parcelamento!H:H,Conciliacao!A357)*(-1)</f>
        <v/>
      </c>
      <c r="K357" s="4">
        <f>SUMIFS(df_blueme_com_parcelamento!J:J,df_blueme_com_parcelamento!M:M,Conciliacao!A357)*(-1)</f>
        <v/>
      </c>
      <c r="L357" s="4">
        <f>SUMIFS(df_mutuos!N:N,df_mutuos!B:B,Conciliacao!A357)*(-1)</f>
        <v/>
      </c>
      <c r="M357" s="8">
        <f>SUMIFS(df_bloqueios_judiciais!G:G,df_bloqueios_judiciais!D:D,Conciliacao!A357,df_bloqueios_judiciais!G:G,"&lt;0")</f>
        <v/>
      </c>
      <c r="N357" s="10">
        <f>SUMIFS(df_extratos!I:I,df_extratos!F:F,Conciliacao!BE357,df_extratos!G:G,"DEBITO")+SUMIFS(df_extratos!I:I,df_extratos!F:F,Conciliacao!A357,df_extratos!G:G,"DEBITO")+SUMIFS(df_extratos!I:I,df_extratos!F:F,Conciliacao!BF357,df_extratos!G:G,"DEBITO")+SUMIFS(df_extratos!I:I,df_extratos!F:F,Conciliacao!BG357,df_extratos!G:G,"DEBITO")+SUMIFS(df_extratos!I:I,df_extratos!F:F,Conciliacao!BH357,df_extratos!G:G,"DEBITO")</f>
        <v/>
      </c>
      <c r="O357" s="11">
        <f>N357-SUM(J357:M357)</f>
        <v/>
      </c>
      <c r="P357" s="25">
        <f>SUMIFS(df_ajustes_conciliaco!D:D,df_ajustes_conciliaco!C:C,Conciliacao!A357)</f>
        <v/>
      </c>
      <c r="Q357" s="22">
        <f>O357+I357-P357</f>
        <v/>
      </c>
      <c r="BE357" s="20" t="n">
        <v>46013.5</v>
      </c>
      <c r="BF357" s="20" t="n">
        <v>46013.125</v>
      </c>
      <c r="BG357" s="20" t="n">
        <v>46013.54166666666</v>
      </c>
      <c r="BH357" s="20" t="n">
        <v>46013.625</v>
      </c>
    </row>
    <row r="358">
      <c r="A358" s="5">
        <f>A357+1</f>
        <v/>
      </c>
      <c r="B358" s="3">
        <f>-SUMIFS(df_extrato_zig!G:G,df_extrato_zig!E:E,Conciliacao!A358,df_extrato_zig!D:D,"Saque")-SUMIFS(df_extrato_zig!G:G,df_extrato_zig!E:E,Conciliacao!A358,df_extrato_zig!D:D,"Antecipação")</f>
        <v/>
      </c>
      <c r="C358" s="3">
        <f>SUMIFS(df_extrato_zig!E:E,df_extrato_zig!L:L,Conciliacao!A358,df_extrato_zig!F:F,"DINHEIRO")</f>
        <v/>
      </c>
      <c r="D358" s="3">
        <f>SUMIFS(view_parc_agrup!H:H,view_parc_agrup!G:G,Conciliacao!A358)</f>
        <v/>
      </c>
      <c r="E358" s="3">
        <f>SUMIFS(df_eventos!F:F,df_eventos!H:H,Conciliacao!A358)</f>
        <v/>
      </c>
      <c r="F358" s="3">
        <f>SUMIFS(df_mutuos!M:M,df_mutuos!B:B,Conciliacao!A358)</f>
        <v/>
      </c>
      <c r="G358" s="6">
        <f>SUMIFS(df_bloqueios_judiciais!G:G,df_bloqueios_judiciais!D:D,Conciliacao!A358,df_bloqueios_judiciais!G:G,"&gt;0")</f>
        <v/>
      </c>
      <c r="H358" s="7">
        <f>SUMIFS(df_extratos!I:I,df_extratos!F:F,Conciliacao!BE358,df_extratos!G:G,"CREDITO")+SUMIFS(df_extratos!I:I,df_extratos!F:F,Conciliacao!A358,df_extratos!G:G,"CREDITO")+SUMIFS(df_extratos!I:I,df_extratos!F:F,Conciliacao!BF358,df_extratos!G:G,"CREDITO")+SUMIFS(df_extratos!I:I,df_extratos!F:F,Conciliacao!BG358,df_extratos!G:G,"CREDITO")+SUMIFS(df_extratos!I:I,df_extratos!F:F,Conciliacao!BH358,df_extratos!G:G,"CREDITO")</f>
        <v/>
      </c>
      <c r="I358" s="9">
        <f>H358-SUM(B358:G358)</f>
        <v/>
      </c>
      <c r="J358" s="4">
        <f>SUMIFS(df_blueme_sem_parcelamento!E:E,df_blueme_sem_parcelamento!H:H,Conciliacao!A358)*(-1)</f>
        <v/>
      </c>
      <c r="K358" s="4">
        <f>SUMIFS(df_blueme_com_parcelamento!J:J,df_blueme_com_parcelamento!M:M,Conciliacao!A358)*(-1)</f>
        <v/>
      </c>
      <c r="L358" s="4">
        <f>SUMIFS(df_mutuos!N:N,df_mutuos!B:B,Conciliacao!A358)*(-1)</f>
        <v/>
      </c>
      <c r="M358" s="8">
        <f>SUMIFS(df_bloqueios_judiciais!G:G,df_bloqueios_judiciais!D:D,Conciliacao!A358,df_bloqueios_judiciais!G:G,"&lt;0")</f>
        <v/>
      </c>
      <c r="N358" s="10">
        <f>SUMIFS(df_extratos!I:I,df_extratos!F:F,Conciliacao!BE358,df_extratos!G:G,"DEBITO")+SUMIFS(df_extratos!I:I,df_extratos!F:F,Conciliacao!A358,df_extratos!G:G,"DEBITO")+SUMIFS(df_extratos!I:I,df_extratos!F:F,Conciliacao!BF358,df_extratos!G:G,"DEBITO")+SUMIFS(df_extratos!I:I,df_extratos!F:F,Conciliacao!BG358,df_extratos!G:G,"DEBITO")+SUMIFS(df_extratos!I:I,df_extratos!F:F,Conciliacao!BH358,df_extratos!G:G,"DEBITO")</f>
        <v/>
      </c>
      <c r="O358" s="11">
        <f>N358-SUM(J358:M358)</f>
        <v/>
      </c>
      <c r="P358" s="25">
        <f>SUMIFS(df_ajustes_conciliaco!D:D,df_ajustes_conciliaco!C:C,Conciliacao!A358)</f>
        <v/>
      </c>
      <c r="Q358" s="22">
        <f>O358+I358-P358</f>
        <v/>
      </c>
      <c r="BE358" s="20" t="n">
        <v>46014.5</v>
      </c>
      <c r="BF358" s="20" t="n">
        <v>46014.125</v>
      </c>
      <c r="BG358" s="20" t="n">
        <v>46014.54166666666</v>
      </c>
      <c r="BH358" s="20" t="n">
        <v>46014.625</v>
      </c>
    </row>
    <row r="359">
      <c r="A359" s="5">
        <f>A358+1</f>
        <v/>
      </c>
      <c r="B359" s="3">
        <f>-SUMIFS(df_extrato_zig!G:G,df_extrato_zig!E:E,Conciliacao!A359,df_extrato_zig!D:D,"Saque")-SUMIFS(df_extrato_zig!G:G,df_extrato_zig!E:E,Conciliacao!A359,df_extrato_zig!D:D,"Antecipação")</f>
        <v/>
      </c>
      <c r="C359" s="3">
        <f>SUMIFS(df_extrato_zig!E:E,df_extrato_zig!L:L,Conciliacao!A359,df_extrato_zig!F:F,"DINHEIRO")</f>
        <v/>
      </c>
      <c r="D359" s="3">
        <f>SUMIFS(view_parc_agrup!H:H,view_parc_agrup!G:G,Conciliacao!A359)</f>
        <v/>
      </c>
      <c r="E359" s="3">
        <f>SUMIFS(df_eventos!F:F,df_eventos!H:H,Conciliacao!A359)</f>
        <v/>
      </c>
      <c r="F359" s="3">
        <f>SUMIFS(df_mutuos!M:M,df_mutuos!B:B,Conciliacao!A359)</f>
        <v/>
      </c>
      <c r="G359" s="6">
        <f>SUMIFS(df_bloqueios_judiciais!G:G,df_bloqueios_judiciais!D:D,Conciliacao!A359,df_bloqueios_judiciais!G:G,"&gt;0")</f>
        <v/>
      </c>
      <c r="H359" s="7">
        <f>SUMIFS(df_extratos!I:I,df_extratos!F:F,Conciliacao!BE359,df_extratos!G:G,"CREDITO")+SUMIFS(df_extratos!I:I,df_extratos!F:F,Conciliacao!A359,df_extratos!G:G,"CREDITO")+SUMIFS(df_extratos!I:I,df_extratos!F:F,Conciliacao!BF359,df_extratos!G:G,"CREDITO")+SUMIFS(df_extratos!I:I,df_extratos!F:F,Conciliacao!BG359,df_extratos!G:G,"CREDITO")+SUMIFS(df_extratos!I:I,df_extratos!F:F,Conciliacao!BH359,df_extratos!G:G,"CREDITO")</f>
        <v/>
      </c>
      <c r="I359" s="9">
        <f>H359-SUM(B359:G359)</f>
        <v/>
      </c>
      <c r="J359" s="4">
        <f>SUMIFS(df_blueme_sem_parcelamento!E:E,df_blueme_sem_parcelamento!H:H,Conciliacao!A359)*(-1)</f>
        <v/>
      </c>
      <c r="K359" s="4">
        <f>SUMIFS(df_blueme_com_parcelamento!J:J,df_blueme_com_parcelamento!M:M,Conciliacao!A359)*(-1)</f>
        <v/>
      </c>
      <c r="L359" s="4">
        <f>SUMIFS(df_mutuos!N:N,df_mutuos!B:B,Conciliacao!A359)*(-1)</f>
        <v/>
      </c>
      <c r="M359" s="8">
        <f>SUMIFS(df_bloqueios_judiciais!G:G,df_bloqueios_judiciais!D:D,Conciliacao!A359,df_bloqueios_judiciais!G:G,"&lt;0")</f>
        <v/>
      </c>
      <c r="N359" s="10">
        <f>SUMIFS(df_extratos!I:I,df_extratos!F:F,Conciliacao!BE359,df_extratos!G:G,"DEBITO")+SUMIFS(df_extratos!I:I,df_extratos!F:F,Conciliacao!A359,df_extratos!G:G,"DEBITO")+SUMIFS(df_extratos!I:I,df_extratos!F:F,Conciliacao!BF359,df_extratos!G:G,"DEBITO")+SUMIFS(df_extratos!I:I,df_extratos!F:F,Conciliacao!BG359,df_extratos!G:G,"DEBITO")+SUMIFS(df_extratos!I:I,df_extratos!F:F,Conciliacao!BH359,df_extratos!G:G,"DEBITO")</f>
        <v/>
      </c>
      <c r="O359" s="11">
        <f>N359-SUM(J359:M359)</f>
        <v/>
      </c>
      <c r="P359" s="25">
        <f>SUMIFS(df_ajustes_conciliaco!D:D,df_ajustes_conciliaco!C:C,Conciliacao!A359)</f>
        <v/>
      </c>
      <c r="Q359" s="22">
        <f>O359+I359-P359</f>
        <v/>
      </c>
      <c r="BE359" s="20" t="n">
        <v>46015.5</v>
      </c>
      <c r="BF359" s="20" t="n">
        <v>46015.125</v>
      </c>
      <c r="BG359" s="20" t="n">
        <v>46015.54166666666</v>
      </c>
      <c r="BH359" s="20" t="n">
        <v>46015.625</v>
      </c>
    </row>
    <row r="360">
      <c r="A360" s="5">
        <f>A359+1</f>
        <v/>
      </c>
      <c r="B360" s="3">
        <f>-SUMIFS(df_extrato_zig!G:G,df_extrato_zig!E:E,Conciliacao!A360,df_extrato_zig!D:D,"Saque")-SUMIFS(df_extrato_zig!G:G,df_extrato_zig!E:E,Conciliacao!A360,df_extrato_zig!D:D,"Antecipação")</f>
        <v/>
      </c>
      <c r="C360" s="3">
        <f>SUMIFS(df_extrato_zig!E:E,df_extrato_zig!L:L,Conciliacao!A360,df_extrato_zig!F:F,"DINHEIRO")</f>
        <v/>
      </c>
      <c r="D360" s="3">
        <f>SUMIFS(view_parc_agrup!H:H,view_parc_agrup!G:G,Conciliacao!A360)</f>
        <v/>
      </c>
      <c r="E360" s="3">
        <f>SUMIFS(df_eventos!F:F,df_eventos!H:H,Conciliacao!A360)</f>
        <v/>
      </c>
      <c r="F360" s="3">
        <f>SUMIFS(df_mutuos!M:M,df_mutuos!B:B,Conciliacao!A360)</f>
        <v/>
      </c>
      <c r="G360" s="6">
        <f>SUMIFS(df_bloqueios_judiciais!G:G,df_bloqueios_judiciais!D:D,Conciliacao!A360,df_bloqueios_judiciais!G:G,"&gt;0")</f>
        <v/>
      </c>
      <c r="H360" s="7">
        <f>SUMIFS(df_extratos!I:I,df_extratos!F:F,Conciliacao!BE360,df_extratos!G:G,"CREDITO")+SUMIFS(df_extratos!I:I,df_extratos!F:F,Conciliacao!A360,df_extratos!G:G,"CREDITO")+SUMIFS(df_extratos!I:I,df_extratos!F:F,Conciliacao!BF360,df_extratos!G:G,"CREDITO")+SUMIFS(df_extratos!I:I,df_extratos!F:F,Conciliacao!BG360,df_extratos!G:G,"CREDITO")+SUMIFS(df_extratos!I:I,df_extratos!F:F,Conciliacao!BH360,df_extratos!G:G,"CREDITO")</f>
        <v/>
      </c>
      <c r="I360" s="9">
        <f>H360-SUM(B360:G360)</f>
        <v/>
      </c>
      <c r="J360" s="4">
        <f>SUMIFS(df_blueme_sem_parcelamento!E:E,df_blueme_sem_parcelamento!H:H,Conciliacao!A360)*(-1)</f>
        <v/>
      </c>
      <c r="K360" s="4">
        <f>SUMIFS(df_blueme_com_parcelamento!J:J,df_blueme_com_parcelamento!M:M,Conciliacao!A360)*(-1)</f>
        <v/>
      </c>
      <c r="L360" s="4">
        <f>SUMIFS(df_mutuos!N:N,df_mutuos!B:B,Conciliacao!A360)*(-1)</f>
        <v/>
      </c>
      <c r="M360" s="8">
        <f>SUMIFS(df_bloqueios_judiciais!G:G,df_bloqueios_judiciais!D:D,Conciliacao!A360,df_bloqueios_judiciais!G:G,"&lt;0")</f>
        <v/>
      </c>
      <c r="N360" s="10">
        <f>SUMIFS(df_extratos!I:I,df_extratos!F:F,Conciliacao!BE360,df_extratos!G:G,"DEBITO")+SUMIFS(df_extratos!I:I,df_extratos!F:F,Conciliacao!A360,df_extratos!G:G,"DEBITO")+SUMIFS(df_extratos!I:I,df_extratos!F:F,Conciliacao!BF360,df_extratos!G:G,"DEBITO")+SUMIFS(df_extratos!I:I,df_extratos!F:F,Conciliacao!BG360,df_extratos!G:G,"DEBITO")+SUMIFS(df_extratos!I:I,df_extratos!F:F,Conciliacao!BH360,df_extratos!G:G,"DEBITO")</f>
        <v/>
      </c>
      <c r="O360" s="11">
        <f>N360-SUM(J360:M360)</f>
        <v/>
      </c>
      <c r="P360" s="25">
        <f>SUMIFS(df_ajustes_conciliaco!D:D,df_ajustes_conciliaco!C:C,Conciliacao!A360)</f>
        <v/>
      </c>
      <c r="Q360" s="22">
        <f>O360+I360-P360</f>
        <v/>
      </c>
      <c r="BE360" s="20" t="n">
        <v>46016.5</v>
      </c>
      <c r="BF360" s="20" t="n">
        <v>46016.125</v>
      </c>
      <c r="BG360" s="20" t="n">
        <v>46016.54166666666</v>
      </c>
      <c r="BH360" s="20" t="n">
        <v>46016.625</v>
      </c>
    </row>
    <row r="361">
      <c r="A361" s="5">
        <f>A360+1</f>
        <v/>
      </c>
      <c r="B361" s="3">
        <f>-SUMIFS(df_extrato_zig!G:G,df_extrato_zig!E:E,Conciliacao!A361,df_extrato_zig!D:D,"Saque")-SUMIFS(df_extrato_zig!G:G,df_extrato_zig!E:E,Conciliacao!A361,df_extrato_zig!D:D,"Antecipação")</f>
        <v/>
      </c>
      <c r="C361" s="3">
        <f>SUMIFS(df_extrato_zig!E:E,df_extrato_zig!L:L,Conciliacao!A361,df_extrato_zig!F:F,"DINHEIRO")</f>
        <v/>
      </c>
      <c r="D361" s="3">
        <f>SUMIFS(view_parc_agrup!H:H,view_parc_agrup!G:G,Conciliacao!A361)</f>
        <v/>
      </c>
      <c r="E361" s="3">
        <f>SUMIFS(df_eventos!F:F,df_eventos!H:H,Conciliacao!A361)</f>
        <v/>
      </c>
      <c r="F361" s="3">
        <f>SUMIFS(df_mutuos!M:M,df_mutuos!B:B,Conciliacao!A361)</f>
        <v/>
      </c>
      <c r="G361" s="6">
        <f>SUMIFS(df_bloqueios_judiciais!G:G,df_bloqueios_judiciais!D:D,Conciliacao!A361,df_bloqueios_judiciais!G:G,"&gt;0")</f>
        <v/>
      </c>
      <c r="H361" s="7">
        <f>SUMIFS(df_extratos!I:I,df_extratos!F:F,Conciliacao!BE361,df_extratos!G:G,"CREDITO")+SUMIFS(df_extratos!I:I,df_extratos!F:F,Conciliacao!A361,df_extratos!G:G,"CREDITO")+SUMIFS(df_extratos!I:I,df_extratos!F:F,Conciliacao!BF361,df_extratos!G:G,"CREDITO")+SUMIFS(df_extratos!I:I,df_extratos!F:F,Conciliacao!BG361,df_extratos!G:G,"CREDITO")+SUMIFS(df_extratos!I:I,df_extratos!F:F,Conciliacao!BH361,df_extratos!G:G,"CREDITO")</f>
        <v/>
      </c>
      <c r="I361" s="9">
        <f>H361-SUM(B361:G361)</f>
        <v/>
      </c>
      <c r="J361" s="4">
        <f>SUMIFS(df_blueme_sem_parcelamento!E:E,df_blueme_sem_parcelamento!H:H,Conciliacao!A361)*(-1)</f>
        <v/>
      </c>
      <c r="K361" s="4">
        <f>SUMIFS(df_blueme_com_parcelamento!J:J,df_blueme_com_parcelamento!M:M,Conciliacao!A361)*(-1)</f>
        <v/>
      </c>
      <c r="L361" s="4">
        <f>SUMIFS(df_mutuos!N:N,df_mutuos!B:B,Conciliacao!A361)*(-1)</f>
        <v/>
      </c>
      <c r="M361" s="8">
        <f>SUMIFS(df_bloqueios_judiciais!G:G,df_bloqueios_judiciais!D:D,Conciliacao!A361,df_bloqueios_judiciais!G:G,"&lt;0")</f>
        <v/>
      </c>
      <c r="N361" s="10">
        <f>SUMIFS(df_extratos!I:I,df_extratos!F:F,Conciliacao!BE361,df_extratos!G:G,"DEBITO")+SUMIFS(df_extratos!I:I,df_extratos!F:F,Conciliacao!A361,df_extratos!G:G,"DEBITO")+SUMIFS(df_extratos!I:I,df_extratos!F:F,Conciliacao!BF361,df_extratos!G:G,"DEBITO")+SUMIFS(df_extratos!I:I,df_extratos!F:F,Conciliacao!BG361,df_extratos!G:G,"DEBITO")+SUMIFS(df_extratos!I:I,df_extratos!F:F,Conciliacao!BH361,df_extratos!G:G,"DEBITO")</f>
        <v/>
      </c>
      <c r="O361" s="11">
        <f>N361-SUM(J361:M361)</f>
        <v/>
      </c>
      <c r="P361" s="25">
        <f>SUMIFS(df_ajustes_conciliaco!D:D,df_ajustes_conciliaco!C:C,Conciliacao!A361)</f>
        <v/>
      </c>
      <c r="Q361" s="22">
        <f>O361+I361-P361</f>
        <v/>
      </c>
      <c r="BE361" s="20" t="n">
        <v>46017.5</v>
      </c>
      <c r="BF361" s="20" t="n">
        <v>46017.125</v>
      </c>
      <c r="BG361" s="20" t="n">
        <v>46017.54166666666</v>
      </c>
      <c r="BH361" s="20" t="n">
        <v>46017.625</v>
      </c>
    </row>
    <row r="362">
      <c r="A362" s="5">
        <f>A361+1</f>
        <v/>
      </c>
      <c r="B362" s="3">
        <f>-SUMIFS(df_extrato_zig!G:G,df_extrato_zig!E:E,Conciliacao!A362,df_extrato_zig!D:D,"Saque")-SUMIFS(df_extrato_zig!G:G,df_extrato_zig!E:E,Conciliacao!A362,df_extrato_zig!D:D,"Antecipação")</f>
        <v/>
      </c>
      <c r="C362" s="3">
        <f>SUMIFS(df_extrato_zig!E:E,df_extrato_zig!L:L,Conciliacao!A362,df_extrato_zig!F:F,"DINHEIRO")</f>
        <v/>
      </c>
      <c r="D362" s="3">
        <f>SUMIFS(view_parc_agrup!H:H,view_parc_agrup!G:G,Conciliacao!A362)</f>
        <v/>
      </c>
      <c r="E362" s="3">
        <f>SUMIFS(df_eventos!F:F,df_eventos!H:H,Conciliacao!A362)</f>
        <v/>
      </c>
      <c r="F362" s="3">
        <f>SUMIFS(df_mutuos!M:M,df_mutuos!B:B,Conciliacao!A362)</f>
        <v/>
      </c>
      <c r="G362" s="6">
        <f>SUMIFS(df_bloqueios_judiciais!G:G,df_bloqueios_judiciais!D:D,Conciliacao!A362,df_bloqueios_judiciais!G:G,"&gt;0")</f>
        <v/>
      </c>
      <c r="H362" s="7">
        <f>SUMIFS(df_extratos!I:I,df_extratos!F:F,Conciliacao!BE362,df_extratos!G:G,"CREDITO")+SUMIFS(df_extratos!I:I,df_extratos!F:F,Conciliacao!A362,df_extratos!G:G,"CREDITO")+SUMIFS(df_extratos!I:I,df_extratos!F:F,Conciliacao!BF362,df_extratos!G:G,"CREDITO")+SUMIFS(df_extratos!I:I,df_extratos!F:F,Conciliacao!BG362,df_extratos!G:G,"CREDITO")+SUMIFS(df_extratos!I:I,df_extratos!F:F,Conciliacao!BH362,df_extratos!G:G,"CREDITO")</f>
        <v/>
      </c>
      <c r="I362" s="9">
        <f>H362-SUM(B362:G362)</f>
        <v/>
      </c>
      <c r="J362" s="4">
        <f>SUMIFS(df_blueme_sem_parcelamento!E:E,df_blueme_sem_parcelamento!H:H,Conciliacao!A362)*(-1)</f>
        <v/>
      </c>
      <c r="K362" s="4">
        <f>SUMIFS(df_blueme_com_parcelamento!J:J,df_blueme_com_parcelamento!M:M,Conciliacao!A362)*(-1)</f>
        <v/>
      </c>
      <c r="L362" s="4">
        <f>SUMIFS(df_mutuos!N:N,df_mutuos!B:B,Conciliacao!A362)*(-1)</f>
        <v/>
      </c>
      <c r="M362" s="8">
        <f>SUMIFS(df_bloqueios_judiciais!G:G,df_bloqueios_judiciais!D:D,Conciliacao!A362,df_bloqueios_judiciais!G:G,"&lt;0")</f>
        <v/>
      </c>
      <c r="N362" s="10">
        <f>SUMIFS(df_extratos!I:I,df_extratos!F:F,Conciliacao!BE362,df_extratos!G:G,"DEBITO")+SUMIFS(df_extratos!I:I,df_extratos!F:F,Conciliacao!A362,df_extratos!G:G,"DEBITO")+SUMIFS(df_extratos!I:I,df_extratos!F:F,Conciliacao!BF362,df_extratos!G:G,"DEBITO")+SUMIFS(df_extratos!I:I,df_extratos!F:F,Conciliacao!BG362,df_extratos!G:G,"DEBITO")+SUMIFS(df_extratos!I:I,df_extratos!F:F,Conciliacao!BH362,df_extratos!G:G,"DEBITO")</f>
        <v/>
      </c>
      <c r="O362" s="11">
        <f>N362-SUM(J362:M362)</f>
        <v/>
      </c>
      <c r="P362" s="25">
        <f>SUMIFS(df_ajustes_conciliaco!D:D,df_ajustes_conciliaco!C:C,Conciliacao!A362)</f>
        <v/>
      </c>
      <c r="Q362" s="22">
        <f>O362+I362-P362</f>
        <v/>
      </c>
      <c r="BE362" s="20" t="n">
        <v>46018.5</v>
      </c>
      <c r="BF362" s="20" t="n">
        <v>46018.125</v>
      </c>
      <c r="BG362" s="20" t="n">
        <v>46018.54166666666</v>
      </c>
      <c r="BH362" s="20" t="n">
        <v>46018.625</v>
      </c>
    </row>
    <row r="363">
      <c r="A363" s="5">
        <f>A362+1</f>
        <v/>
      </c>
      <c r="B363" s="3">
        <f>-SUMIFS(df_extrato_zig!G:G,df_extrato_zig!E:E,Conciliacao!A363,df_extrato_zig!D:D,"Saque")-SUMIFS(df_extrato_zig!G:G,df_extrato_zig!E:E,Conciliacao!A363,df_extrato_zig!D:D,"Antecipação")</f>
        <v/>
      </c>
      <c r="C363" s="3">
        <f>SUMIFS(df_extrato_zig!E:E,df_extrato_zig!L:L,Conciliacao!A363,df_extrato_zig!F:F,"DINHEIRO")</f>
        <v/>
      </c>
      <c r="D363" s="3">
        <f>SUMIFS(view_parc_agrup!H:H,view_parc_agrup!G:G,Conciliacao!A363)</f>
        <v/>
      </c>
      <c r="E363" s="3">
        <f>SUMIFS(df_eventos!F:F,df_eventos!H:H,Conciliacao!A363)</f>
        <v/>
      </c>
      <c r="F363" s="3">
        <f>SUMIFS(df_mutuos!M:M,df_mutuos!B:B,Conciliacao!A363)</f>
        <v/>
      </c>
      <c r="G363" s="6">
        <f>SUMIFS(df_bloqueios_judiciais!G:G,df_bloqueios_judiciais!D:D,Conciliacao!A363,df_bloqueios_judiciais!G:G,"&gt;0")</f>
        <v/>
      </c>
      <c r="H363" s="7">
        <f>SUMIFS(df_extratos!I:I,df_extratos!F:F,Conciliacao!BE363,df_extratos!G:G,"CREDITO")+SUMIFS(df_extratos!I:I,df_extratos!F:F,Conciliacao!A363,df_extratos!G:G,"CREDITO")+SUMIFS(df_extratos!I:I,df_extratos!F:F,Conciliacao!BF363,df_extratos!G:G,"CREDITO")+SUMIFS(df_extratos!I:I,df_extratos!F:F,Conciliacao!BG363,df_extratos!G:G,"CREDITO")+SUMIFS(df_extratos!I:I,df_extratos!F:F,Conciliacao!BH363,df_extratos!G:G,"CREDITO")</f>
        <v/>
      </c>
      <c r="I363" s="9">
        <f>H363-SUM(B363:G363)</f>
        <v/>
      </c>
      <c r="J363" s="4">
        <f>SUMIFS(df_blueme_sem_parcelamento!E:E,df_blueme_sem_parcelamento!H:H,Conciliacao!A363)*(-1)</f>
        <v/>
      </c>
      <c r="K363" s="4">
        <f>SUMIFS(df_blueme_com_parcelamento!J:J,df_blueme_com_parcelamento!M:M,Conciliacao!A363)*(-1)</f>
        <v/>
      </c>
      <c r="L363" s="4">
        <f>SUMIFS(df_mutuos!N:N,df_mutuos!B:B,Conciliacao!A363)*(-1)</f>
        <v/>
      </c>
      <c r="M363" s="8">
        <f>SUMIFS(df_bloqueios_judiciais!G:G,df_bloqueios_judiciais!D:D,Conciliacao!A363,df_bloqueios_judiciais!G:G,"&lt;0")</f>
        <v/>
      </c>
      <c r="N363" s="10">
        <f>SUMIFS(df_extratos!I:I,df_extratos!F:F,Conciliacao!BE363,df_extratos!G:G,"DEBITO")+SUMIFS(df_extratos!I:I,df_extratos!F:F,Conciliacao!A363,df_extratos!G:G,"DEBITO")+SUMIFS(df_extratos!I:I,df_extratos!F:F,Conciliacao!BF363,df_extratos!G:G,"DEBITO")+SUMIFS(df_extratos!I:I,df_extratos!F:F,Conciliacao!BG363,df_extratos!G:G,"DEBITO")+SUMIFS(df_extratos!I:I,df_extratos!F:F,Conciliacao!BH363,df_extratos!G:G,"DEBITO")</f>
        <v/>
      </c>
      <c r="O363" s="11">
        <f>N363-SUM(J363:M363)</f>
        <v/>
      </c>
      <c r="P363" s="25">
        <f>SUMIFS(df_ajustes_conciliaco!D:D,df_ajustes_conciliaco!C:C,Conciliacao!A363)</f>
        <v/>
      </c>
      <c r="Q363" s="22">
        <f>O363+I363-P363</f>
        <v/>
      </c>
      <c r="BE363" s="20" t="n">
        <v>46019.5</v>
      </c>
      <c r="BF363" s="20" t="n">
        <v>46019.125</v>
      </c>
      <c r="BG363" s="20" t="n">
        <v>46019.54166666666</v>
      </c>
      <c r="BH363" s="20" t="n">
        <v>46019.625</v>
      </c>
    </row>
    <row r="364">
      <c r="A364" s="5">
        <f>A363+1</f>
        <v/>
      </c>
      <c r="B364" s="3">
        <f>-SUMIFS(df_extrato_zig!G:G,df_extrato_zig!E:E,Conciliacao!A364,df_extrato_zig!D:D,"Saque")-SUMIFS(df_extrato_zig!G:G,df_extrato_zig!E:E,Conciliacao!A364,df_extrato_zig!D:D,"Antecipação")</f>
        <v/>
      </c>
      <c r="C364" s="3">
        <f>SUMIFS(df_extrato_zig!E:E,df_extrato_zig!L:L,Conciliacao!A364,df_extrato_zig!F:F,"DINHEIRO")</f>
        <v/>
      </c>
      <c r="D364" s="3">
        <f>SUMIFS(view_parc_agrup!H:H,view_parc_agrup!G:G,Conciliacao!A364)</f>
        <v/>
      </c>
      <c r="E364" s="3">
        <f>SUMIFS(df_eventos!F:F,df_eventos!H:H,Conciliacao!A364)</f>
        <v/>
      </c>
      <c r="F364" s="3">
        <f>SUMIFS(df_mutuos!M:M,df_mutuos!B:B,Conciliacao!A364)</f>
        <v/>
      </c>
      <c r="G364" s="6">
        <f>SUMIFS(df_bloqueios_judiciais!G:G,df_bloqueios_judiciais!D:D,Conciliacao!A364,df_bloqueios_judiciais!G:G,"&gt;0")</f>
        <v/>
      </c>
      <c r="H364" s="7">
        <f>SUMIFS(df_extratos!I:I,df_extratos!F:F,Conciliacao!BE364,df_extratos!G:G,"CREDITO")+SUMIFS(df_extratos!I:I,df_extratos!F:F,Conciliacao!A364,df_extratos!G:G,"CREDITO")+SUMIFS(df_extratos!I:I,df_extratos!F:F,Conciliacao!BF364,df_extratos!G:G,"CREDITO")+SUMIFS(df_extratos!I:I,df_extratos!F:F,Conciliacao!BG364,df_extratos!G:G,"CREDITO")+SUMIFS(df_extratos!I:I,df_extratos!F:F,Conciliacao!BH364,df_extratos!G:G,"CREDITO")</f>
        <v/>
      </c>
      <c r="I364" s="9">
        <f>H364-SUM(B364:G364)</f>
        <v/>
      </c>
      <c r="J364" s="4">
        <f>SUMIFS(df_blueme_sem_parcelamento!E:E,df_blueme_sem_parcelamento!H:H,Conciliacao!A364)*(-1)</f>
        <v/>
      </c>
      <c r="K364" s="4">
        <f>SUMIFS(df_blueme_com_parcelamento!J:J,df_blueme_com_parcelamento!M:M,Conciliacao!A364)*(-1)</f>
        <v/>
      </c>
      <c r="L364" s="4">
        <f>SUMIFS(df_mutuos!N:N,df_mutuos!B:B,Conciliacao!A364)*(-1)</f>
        <v/>
      </c>
      <c r="M364" s="8">
        <f>SUMIFS(df_bloqueios_judiciais!G:G,df_bloqueios_judiciais!D:D,Conciliacao!A364,df_bloqueios_judiciais!G:G,"&lt;0")</f>
        <v/>
      </c>
      <c r="N364" s="10">
        <f>SUMIFS(df_extratos!I:I,df_extratos!F:F,Conciliacao!BE364,df_extratos!G:G,"DEBITO")+SUMIFS(df_extratos!I:I,df_extratos!F:F,Conciliacao!A364,df_extratos!G:G,"DEBITO")+SUMIFS(df_extratos!I:I,df_extratos!F:F,Conciliacao!BF364,df_extratos!G:G,"DEBITO")+SUMIFS(df_extratos!I:I,df_extratos!F:F,Conciliacao!BG364,df_extratos!G:G,"DEBITO")+SUMIFS(df_extratos!I:I,df_extratos!F:F,Conciliacao!BH364,df_extratos!G:G,"DEBITO")</f>
        <v/>
      </c>
      <c r="O364" s="11">
        <f>N364-SUM(J364:M364)</f>
        <v/>
      </c>
      <c r="P364" s="25">
        <f>SUMIFS(df_ajustes_conciliaco!D:D,df_ajustes_conciliaco!C:C,Conciliacao!A364)</f>
        <v/>
      </c>
      <c r="Q364" s="22">
        <f>O364+I364-P364</f>
        <v/>
      </c>
      <c r="BE364" s="20" t="n">
        <v>46020.5</v>
      </c>
      <c r="BF364" s="20" t="n">
        <v>46020.125</v>
      </c>
      <c r="BG364" s="20" t="n">
        <v>46020.54166666666</v>
      </c>
      <c r="BH364" s="20" t="n">
        <v>46020.625</v>
      </c>
    </row>
    <row r="365">
      <c r="A365" s="5">
        <f>A364+1</f>
        <v/>
      </c>
      <c r="B365" s="3">
        <f>-SUMIFS(df_extrato_zig!G:G,df_extrato_zig!E:E,Conciliacao!A365,df_extrato_zig!D:D,"Saque")-SUMIFS(df_extrato_zig!G:G,df_extrato_zig!E:E,Conciliacao!A365,df_extrato_zig!D:D,"Antecipação")</f>
        <v/>
      </c>
      <c r="C365" s="3">
        <f>SUMIFS(df_extrato_zig!E:E,df_extrato_zig!L:L,Conciliacao!A365,df_extrato_zig!F:F,"DINHEIRO")</f>
        <v/>
      </c>
      <c r="D365" s="3">
        <f>SUMIFS(view_parc_agrup!H:H,view_parc_agrup!G:G,Conciliacao!A365)</f>
        <v/>
      </c>
      <c r="E365" s="3">
        <f>SUMIFS(df_eventos!F:F,df_eventos!H:H,Conciliacao!A365)</f>
        <v/>
      </c>
      <c r="F365" s="3">
        <f>SUMIFS(df_mutuos!M:M,df_mutuos!B:B,Conciliacao!A365)</f>
        <v/>
      </c>
      <c r="G365" s="6">
        <f>SUMIFS(df_bloqueios_judiciais!G:G,df_bloqueios_judiciais!D:D,Conciliacao!A365,df_bloqueios_judiciais!G:G,"&gt;0")</f>
        <v/>
      </c>
      <c r="H365" s="7">
        <f>SUMIFS(df_extratos!I:I,df_extratos!F:F,Conciliacao!BE365,df_extratos!G:G,"CREDITO")+SUMIFS(df_extratos!I:I,df_extratos!F:F,Conciliacao!A365,df_extratos!G:G,"CREDITO")+SUMIFS(df_extratos!I:I,df_extratos!F:F,Conciliacao!BF365,df_extratos!G:G,"CREDITO")+SUMIFS(df_extratos!I:I,df_extratos!F:F,Conciliacao!BG365,df_extratos!G:G,"CREDITO")+SUMIFS(df_extratos!I:I,df_extratos!F:F,Conciliacao!BH365,df_extratos!G:G,"CREDITO")</f>
        <v/>
      </c>
      <c r="I365" s="9">
        <f>H365-SUM(B365:G365)</f>
        <v/>
      </c>
      <c r="J365" s="4">
        <f>SUMIFS(df_blueme_sem_parcelamento!E:E,df_blueme_sem_parcelamento!H:H,Conciliacao!A365)*(-1)</f>
        <v/>
      </c>
      <c r="K365" s="4">
        <f>SUMIFS(df_blueme_com_parcelamento!J:J,df_blueme_com_parcelamento!M:M,Conciliacao!A365)*(-1)</f>
        <v/>
      </c>
      <c r="L365" s="4">
        <f>SUMIFS(df_mutuos!N:N,df_mutuos!B:B,Conciliacao!A365)*(-1)</f>
        <v/>
      </c>
      <c r="M365" s="8">
        <f>SUMIFS(df_bloqueios_judiciais!G:G,df_bloqueios_judiciais!D:D,Conciliacao!A365,df_bloqueios_judiciais!G:G,"&lt;0")</f>
        <v/>
      </c>
      <c r="N365" s="10">
        <f>SUMIFS(df_extratos!I:I,df_extratos!F:F,Conciliacao!BE365,df_extratos!G:G,"DEBITO")+SUMIFS(df_extratos!I:I,df_extratos!F:F,Conciliacao!A365,df_extratos!G:G,"DEBITO")+SUMIFS(df_extratos!I:I,df_extratos!F:F,Conciliacao!BF365,df_extratos!G:G,"DEBITO")+SUMIFS(df_extratos!I:I,df_extratos!F:F,Conciliacao!BG365,df_extratos!G:G,"DEBITO")+SUMIFS(df_extratos!I:I,df_extratos!F:F,Conciliacao!BH365,df_extratos!G:G,"DEBITO")</f>
        <v/>
      </c>
      <c r="O365" s="11">
        <f>N365-SUM(J365:M365)</f>
        <v/>
      </c>
      <c r="P365" s="25">
        <f>SUMIFS(df_ajustes_conciliaco!D:D,df_ajustes_conciliaco!C:C,Conciliacao!A365)</f>
        <v/>
      </c>
      <c r="Q365" s="22">
        <f>O365+I365-P365</f>
        <v/>
      </c>
      <c r="BE365" s="20" t="n">
        <v>46021.5</v>
      </c>
      <c r="BF365" s="20" t="n">
        <v>46021.125</v>
      </c>
      <c r="BG365" s="20" t="n">
        <v>46021.54166666666</v>
      </c>
      <c r="BH365" s="20" t="n">
        <v>46021.625</v>
      </c>
    </row>
    <row r="366">
      <c r="A366" s="5">
        <f>A365+1</f>
        <v/>
      </c>
      <c r="B366" s="3">
        <f>-SUMIFS(df_extrato_zig!G:G,df_extrato_zig!E:E,Conciliacao!A366,df_extrato_zig!D:D,"Saque")-SUMIFS(df_extrato_zig!G:G,df_extrato_zig!E:E,Conciliacao!A366,df_extrato_zig!D:D,"Antecipação")</f>
        <v/>
      </c>
      <c r="C366" s="3">
        <f>SUMIFS(df_extrato_zig!E:E,df_extrato_zig!L:L,Conciliacao!A366,df_extrato_zig!F:F,"DINHEIRO")</f>
        <v/>
      </c>
      <c r="D366" s="3">
        <f>SUMIFS(view_parc_agrup!H:H,view_parc_agrup!G:G,Conciliacao!A366)</f>
        <v/>
      </c>
      <c r="E366" s="3">
        <f>SUMIFS(df_eventos!F:F,df_eventos!H:H,Conciliacao!A366)</f>
        <v/>
      </c>
      <c r="F366" s="3">
        <f>SUMIFS(df_mutuos!M:M,df_mutuos!B:B,Conciliacao!A366)</f>
        <v/>
      </c>
      <c r="G366" s="6">
        <f>SUMIFS(df_bloqueios_judiciais!G:G,df_bloqueios_judiciais!D:D,Conciliacao!A366,df_bloqueios_judiciais!G:G,"&gt;0")</f>
        <v/>
      </c>
      <c r="H366" s="7">
        <f>SUMIFS(df_extratos!I:I,df_extratos!F:F,Conciliacao!BE366,df_extratos!G:G,"CREDITO")+SUMIFS(df_extratos!I:I,df_extratos!F:F,Conciliacao!A366,df_extratos!G:G,"CREDITO")+SUMIFS(df_extratos!I:I,df_extratos!F:F,Conciliacao!BF366,df_extratos!G:G,"CREDITO")+SUMIFS(df_extratos!I:I,df_extratos!F:F,Conciliacao!BG366,df_extratos!G:G,"CREDITO")+SUMIFS(df_extratos!I:I,df_extratos!F:F,Conciliacao!BH366,df_extratos!G:G,"CREDITO")</f>
        <v/>
      </c>
      <c r="I366" s="9">
        <f>H366-SUM(B366:G366)</f>
        <v/>
      </c>
      <c r="J366" s="4">
        <f>SUMIFS(df_blueme_sem_parcelamento!E:E,df_blueme_sem_parcelamento!H:H,Conciliacao!A366)*(-1)</f>
        <v/>
      </c>
      <c r="K366" s="4">
        <f>SUMIFS(df_blueme_com_parcelamento!J:J,df_blueme_com_parcelamento!M:M,Conciliacao!A366)*(-1)</f>
        <v/>
      </c>
      <c r="L366" s="4">
        <f>SUMIFS(df_mutuos!N:N,df_mutuos!B:B,Conciliacao!A366)*(-1)</f>
        <v/>
      </c>
      <c r="M366" s="8">
        <f>SUMIFS(df_bloqueios_judiciais!G:G,df_bloqueios_judiciais!D:D,Conciliacao!A366,df_bloqueios_judiciais!G:G,"&lt;0")</f>
        <v/>
      </c>
      <c r="N366" s="10">
        <f>SUMIFS(df_extratos!I:I,df_extratos!F:F,Conciliacao!BE366,df_extratos!G:G,"DEBITO")+SUMIFS(df_extratos!I:I,df_extratos!F:F,Conciliacao!A366,df_extratos!G:G,"DEBITO")+SUMIFS(df_extratos!I:I,df_extratos!F:F,Conciliacao!BF366,df_extratos!G:G,"DEBITO")+SUMIFS(df_extratos!I:I,df_extratos!F:F,Conciliacao!BG366,df_extratos!G:G,"DEBITO")+SUMIFS(df_extratos!I:I,df_extratos!F:F,Conciliacao!BH366,df_extratos!G:G,"DEBITO")</f>
        <v/>
      </c>
      <c r="O366" s="11">
        <f>N366-SUM(J366:M366)</f>
        <v/>
      </c>
      <c r="P366" s="25">
        <f>SUMIFS(df_ajustes_conciliaco!D:D,df_ajustes_conciliaco!C:C,Conciliacao!A366)</f>
        <v/>
      </c>
      <c r="Q366" s="22">
        <f>O366+I366-P366</f>
        <v/>
      </c>
      <c r="BE366" s="20" t="n">
        <v>46022.5</v>
      </c>
      <c r="BF366" s="20" t="n">
        <v>46022.125</v>
      </c>
      <c r="BG366" s="20" t="n">
        <v>46022.54166666666</v>
      </c>
      <c r="BH366" s="20" t="n">
        <v>46022.625</v>
      </c>
    </row>
    <row r="367">
      <c r="A367" s="5">
        <f>A366+1</f>
        <v/>
      </c>
      <c r="B367" s="3">
        <f>-SUMIFS(df_extrato_zig!G:G,df_extrato_zig!E:E,Conciliacao!A367,df_extrato_zig!D:D,"Saque")-SUMIFS(df_extrato_zig!G:G,df_extrato_zig!E:E,Conciliacao!A367,df_extrato_zig!D:D,"Antecipação")</f>
        <v/>
      </c>
      <c r="C367" s="3">
        <f>SUMIFS(df_extrato_zig!E:E,df_extrato_zig!L:L,Conciliacao!A367,df_extrato_zig!F:F,"DINHEIRO")</f>
        <v/>
      </c>
      <c r="D367" s="3">
        <f>SUMIFS(view_parc_agrup!H:H,view_parc_agrup!G:G,Conciliacao!A367)</f>
        <v/>
      </c>
      <c r="E367" s="3">
        <f>SUMIFS(df_eventos!F:F,df_eventos!H:H,Conciliacao!A367)</f>
        <v/>
      </c>
      <c r="F367" s="3">
        <f>SUMIFS(df_mutuos!M:M,df_mutuos!B:B,Conciliacao!A367)</f>
        <v/>
      </c>
      <c r="G367" s="6">
        <f>SUMIFS(df_bloqueios_judiciais!G:G,df_bloqueios_judiciais!D:D,Conciliacao!A367,df_bloqueios_judiciais!G:G,"&gt;0")</f>
        <v/>
      </c>
      <c r="H367" s="7">
        <f>SUMIFS(df_extratos!I:I,df_extratos!F:F,Conciliacao!BE367,df_extratos!G:G,"CREDITO")+SUMIFS(df_extratos!I:I,df_extratos!F:F,Conciliacao!A367,df_extratos!G:G,"CREDITO")+SUMIFS(df_extratos!I:I,df_extratos!F:F,Conciliacao!BF367,df_extratos!G:G,"CREDITO")+SUMIFS(df_extratos!I:I,df_extratos!F:F,Conciliacao!BG367,df_extratos!G:G,"CREDITO")+SUMIFS(df_extratos!I:I,df_extratos!F:F,Conciliacao!BH367,df_extratos!G:G,"CREDITO")</f>
        <v/>
      </c>
      <c r="I367" s="9">
        <f>H367-SUM(B367:G367)</f>
        <v/>
      </c>
      <c r="J367" s="4">
        <f>SUMIFS(df_blueme_sem_parcelamento!E:E,df_blueme_sem_parcelamento!H:H,Conciliacao!A367)*(-1)</f>
        <v/>
      </c>
      <c r="K367" s="4">
        <f>SUMIFS(df_blueme_com_parcelamento!J:J,df_blueme_com_parcelamento!M:M,Conciliacao!A367)*(-1)</f>
        <v/>
      </c>
      <c r="L367" s="4">
        <f>SUMIFS(df_mutuos!N:N,df_mutuos!B:B,Conciliacao!A367)*(-1)</f>
        <v/>
      </c>
      <c r="M367" s="8">
        <f>SUMIFS(df_bloqueios_judiciais!G:G,df_bloqueios_judiciais!D:D,Conciliacao!A367,df_bloqueios_judiciais!G:G,"&lt;0")</f>
        <v/>
      </c>
      <c r="N367" s="10">
        <f>SUMIFS(df_extratos!I:I,df_extratos!F:F,Conciliacao!BE367,df_extratos!G:G,"DEBITO")+SUMIFS(df_extratos!I:I,df_extratos!F:F,Conciliacao!A367,df_extratos!G:G,"DEBITO")+SUMIFS(df_extratos!I:I,df_extratos!F:F,Conciliacao!BF367,df_extratos!G:G,"DEBITO")+SUMIFS(df_extratos!I:I,df_extratos!F:F,Conciliacao!BG367,df_extratos!G:G,"DEBITO")+SUMIFS(df_extratos!I:I,df_extratos!F:F,Conciliacao!BH367,df_extratos!G:G,"DEBITO")</f>
        <v/>
      </c>
      <c r="O367" s="11">
        <f>N367-SUM(J367:M367)</f>
        <v/>
      </c>
      <c r="P367" s="25">
        <f>SUMIFS(df_ajustes_conciliaco!D:D,df_ajustes_conciliaco!C:C,Conciliacao!A367)</f>
        <v/>
      </c>
      <c r="Q367" s="22">
        <f>O367+I367-P367</f>
        <v/>
      </c>
    </row>
    <row r="368">
      <c r="A368" s="5">
        <f>A367+1</f>
        <v/>
      </c>
      <c r="B368" s="3">
        <f>-SUMIFS(df_extrato_zig!G:G,df_extrato_zig!E:E,Conciliacao!A368,df_extrato_zig!D:D,"Saque")-SUMIFS(df_extrato_zig!G:G,df_extrato_zig!E:E,Conciliacao!A368,df_extrato_zig!D:D,"Antecipação")</f>
        <v/>
      </c>
      <c r="C368" s="3">
        <f>SUMIFS(df_extrato_zig!E:E,df_extrato_zig!L:L,Conciliacao!A368,df_extrato_zig!F:F,"DINHEIRO")</f>
        <v/>
      </c>
      <c r="D368" s="3">
        <f>SUMIFS(view_parc_agrup!H:H,view_parc_agrup!G:G,Conciliacao!A368)</f>
        <v/>
      </c>
      <c r="E368" s="3">
        <f>SUMIFS(df_eventos!F:F,df_eventos!H:H,Conciliacao!A368)</f>
        <v/>
      </c>
      <c r="F368" s="3">
        <f>SUMIFS(df_mutuos!M:M,df_mutuos!B:B,Conciliacao!A368)</f>
        <v/>
      </c>
      <c r="G368" s="6">
        <f>SUMIFS(df_bloqueios_judiciais!G:G,df_bloqueios_judiciais!D:D,Conciliacao!A368,df_bloqueios_judiciais!G:G,"&gt;0")</f>
        <v/>
      </c>
      <c r="H368" s="7">
        <f>SUMIFS(df_extratos!I:I,df_extratos!F:F,Conciliacao!BE368,df_extratos!G:G,"CREDITO")+SUMIFS(df_extratos!I:I,df_extratos!F:F,Conciliacao!A368,df_extratos!G:G,"CREDITO")+SUMIFS(df_extratos!I:I,df_extratos!F:F,Conciliacao!BF368,df_extratos!G:G,"CREDITO")+SUMIFS(df_extratos!I:I,df_extratos!F:F,Conciliacao!BG368,df_extratos!G:G,"CREDITO")+SUMIFS(df_extratos!I:I,df_extratos!F:F,Conciliacao!BH368,df_extratos!G:G,"CREDITO")</f>
        <v/>
      </c>
      <c r="I368" s="9">
        <f>H368-SUM(B368:G368)</f>
        <v/>
      </c>
      <c r="J368" s="4">
        <f>SUMIFS(df_blueme_sem_parcelamento!E:E,df_blueme_sem_parcelamento!H:H,Conciliacao!A368)*(-1)</f>
        <v/>
      </c>
      <c r="K368" s="4">
        <f>SUMIFS(df_blueme_com_parcelamento!J:J,df_blueme_com_parcelamento!M:M,Conciliacao!A368)*(-1)</f>
        <v/>
      </c>
      <c r="L368" s="4">
        <f>SUMIFS(df_mutuos!N:N,df_mutuos!B:B,Conciliacao!A368)*(-1)</f>
        <v/>
      </c>
      <c r="M368" s="8">
        <f>SUMIFS(df_bloqueios_judiciais!G:G,df_bloqueios_judiciais!D:D,Conciliacao!A368,df_bloqueios_judiciais!G:G,"&lt;0")</f>
        <v/>
      </c>
      <c r="N368" s="10">
        <f>SUMIFS(df_extratos!I:I,df_extratos!F:F,Conciliacao!BE368,df_extratos!G:G,"DEBITO")+SUMIFS(df_extratos!I:I,df_extratos!F:F,Conciliacao!A368,df_extratos!G:G,"DEBITO")+SUMIFS(df_extratos!I:I,df_extratos!F:F,Conciliacao!BF368,df_extratos!G:G,"DEBITO")+SUMIFS(df_extratos!I:I,df_extratos!F:F,Conciliacao!BG368,df_extratos!G:G,"DEBITO")+SUMIFS(df_extratos!I:I,df_extratos!F:F,Conciliacao!BH368,df_extratos!G:G,"DEBITO")</f>
        <v/>
      </c>
      <c r="O368" s="11">
        <f>N368-SUM(J368:M368)</f>
        <v/>
      </c>
      <c r="P368" s="25">
        <f>SUMIFS(df_ajustes_conciliaco!D:D,df_ajustes_conciliaco!C:C,Conciliacao!A368)</f>
        <v/>
      </c>
      <c r="Q368" s="22">
        <f>O368+I368-P368</f>
        <v/>
      </c>
    </row>
    <row r="369">
      <c r="A369" s="5">
        <f>A368+1</f>
        <v/>
      </c>
      <c r="B369" s="3">
        <f>-SUMIFS(df_extrato_zig!G:G,df_extrato_zig!E:E,Conciliacao!A369,df_extrato_zig!D:D,"Saque")-SUMIFS(df_extrato_zig!G:G,df_extrato_zig!E:E,Conciliacao!A369,df_extrato_zig!D:D,"Antecipação")</f>
        <v/>
      </c>
      <c r="C369" s="3">
        <f>SUMIFS(df_extrato_zig!E:E,df_extrato_zig!L:L,Conciliacao!A369,df_extrato_zig!F:F,"DINHEIRO")</f>
        <v/>
      </c>
      <c r="D369" s="3">
        <f>SUMIFS(view_parc_agrup!H:H,view_parc_agrup!G:G,Conciliacao!A369)</f>
        <v/>
      </c>
      <c r="E369" s="3">
        <f>SUMIFS(df_eventos!F:F,df_eventos!H:H,Conciliacao!A369)</f>
        <v/>
      </c>
      <c r="F369" s="3">
        <f>SUMIFS(df_mutuos!M:M,df_mutuos!B:B,Conciliacao!A369)</f>
        <v/>
      </c>
      <c r="G369" s="6">
        <f>SUMIFS(df_bloqueios_judiciais!G:G,df_bloqueios_judiciais!D:D,Conciliacao!A369,df_bloqueios_judiciais!G:G,"&gt;0")</f>
        <v/>
      </c>
      <c r="H369" s="7">
        <f>SUMIFS(df_extratos!I:I,df_extratos!F:F,Conciliacao!BE369,df_extratos!G:G,"CREDITO")+SUMIFS(df_extratos!I:I,df_extratos!F:F,Conciliacao!A369,df_extratos!G:G,"CREDITO")+SUMIFS(df_extratos!I:I,df_extratos!F:F,Conciliacao!BF369,df_extratos!G:G,"CREDITO")+SUMIFS(df_extratos!I:I,df_extratos!F:F,Conciliacao!BG369,df_extratos!G:G,"CREDITO")+SUMIFS(df_extratos!I:I,df_extratos!F:F,Conciliacao!BH369,df_extratos!G:G,"CREDITO")</f>
        <v/>
      </c>
      <c r="I369" s="9">
        <f>H369-SUM(B369:G369)</f>
        <v/>
      </c>
      <c r="J369" s="4">
        <f>SUMIFS(df_blueme_sem_parcelamento!E:E,df_blueme_sem_parcelamento!H:H,Conciliacao!A369)*(-1)</f>
        <v/>
      </c>
      <c r="K369" s="4">
        <f>SUMIFS(df_blueme_com_parcelamento!J:J,df_blueme_com_parcelamento!M:M,Conciliacao!A369)*(-1)</f>
        <v/>
      </c>
      <c r="L369" s="4">
        <f>SUMIFS(df_mutuos!N:N,df_mutuos!B:B,Conciliacao!A369)*(-1)</f>
        <v/>
      </c>
      <c r="M369" s="8">
        <f>SUMIFS(df_bloqueios_judiciais!G:G,df_bloqueios_judiciais!D:D,Conciliacao!A369,df_bloqueios_judiciais!G:G,"&lt;0")</f>
        <v/>
      </c>
      <c r="N369" s="10">
        <f>SUMIFS(df_extratos!I:I,df_extratos!F:F,Conciliacao!BE369,df_extratos!G:G,"DEBITO")+SUMIFS(df_extratos!I:I,df_extratos!F:F,Conciliacao!A369,df_extratos!G:G,"DEBITO")+SUMIFS(df_extratos!I:I,df_extratos!F:F,Conciliacao!BF369,df_extratos!G:G,"DEBITO")+SUMIFS(df_extratos!I:I,df_extratos!F:F,Conciliacao!BG369,df_extratos!G:G,"DEBITO")+SUMIFS(df_extratos!I:I,df_extratos!F:F,Conciliacao!BH369,df_extratos!G:G,"DEBITO")</f>
        <v/>
      </c>
      <c r="O369" s="11">
        <f>N369-SUM(J369:M369)</f>
        <v/>
      </c>
      <c r="P369" s="25">
        <f>SUMIFS(df_ajustes_conciliaco!D:D,df_ajustes_conciliaco!C:C,Conciliacao!A369)</f>
        <v/>
      </c>
      <c r="Q369" s="22">
        <f>O369+I369-P369</f>
        <v/>
      </c>
    </row>
    <row r="370">
      <c r="A370" s="5">
        <f>A369+1</f>
        <v/>
      </c>
      <c r="B370" s="3">
        <f>-SUMIFS(df_extrato_zig!G:G,df_extrato_zig!E:E,Conciliacao!A370,df_extrato_zig!D:D,"Saque")-SUMIFS(df_extrato_zig!G:G,df_extrato_zig!E:E,Conciliacao!A370,df_extrato_zig!D:D,"Antecipação")</f>
        <v/>
      </c>
      <c r="C370" s="3">
        <f>SUMIFS(df_extrato_zig!E:E,df_extrato_zig!L:L,Conciliacao!A370,df_extrato_zig!F:F,"DINHEIRO")</f>
        <v/>
      </c>
      <c r="D370" s="3">
        <f>SUMIFS(view_parc_agrup!H:H,view_parc_agrup!G:G,Conciliacao!A370)</f>
        <v/>
      </c>
      <c r="E370" s="3">
        <f>SUMIFS(df_eventos!F:F,df_eventos!H:H,Conciliacao!A370)</f>
        <v/>
      </c>
      <c r="F370" s="3">
        <f>SUMIFS(df_mutuos!M:M,df_mutuos!B:B,Conciliacao!A370)</f>
        <v/>
      </c>
      <c r="G370" s="6">
        <f>SUMIFS(df_bloqueios_judiciais!G:G,df_bloqueios_judiciais!D:D,Conciliacao!A370,df_bloqueios_judiciais!G:G,"&gt;0")</f>
        <v/>
      </c>
      <c r="H370" s="7">
        <f>SUMIFS(df_extratos!I:I,df_extratos!F:F,Conciliacao!BE370,df_extratos!G:G,"CREDITO")+SUMIFS(df_extratos!I:I,df_extratos!F:F,Conciliacao!A370,df_extratos!G:G,"CREDITO")+SUMIFS(df_extratos!I:I,df_extratos!F:F,Conciliacao!BF370,df_extratos!G:G,"CREDITO")+SUMIFS(df_extratos!I:I,df_extratos!F:F,Conciliacao!BG370,df_extratos!G:G,"CREDITO")+SUMIFS(df_extratos!I:I,df_extratos!F:F,Conciliacao!BH370,df_extratos!G:G,"CREDITO")</f>
        <v/>
      </c>
      <c r="I370" s="9">
        <f>H370-SUM(B370:G370)</f>
        <v/>
      </c>
      <c r="J370" s="4">
        <f>SUMIFS(df_blueme_sem_parcelamento!E:E,df_blueme_sem_parcelamento!H:H,Conciliacao!A370)*(-1)</f>
        <v/>
      </c>
      <c r="K370" s="4">
        <f>SUMIFS(df_blueme_com_parcelamento!J:J,df_blueme_com_parcelamento!M:M,Conciliacao!A370)*(-1)</f>
        <v/>
      </c>
      <c r="L370" s="4">
        <f>SUMIFS(df_mutuos!N:N,df_mutuos!B:B,Conciliacao!A370)*(-1)</f>
        <v/>
      </c>
      <c r="M370" s="8">
        <f>SUMIFS(df_bloqueios_judiciais!G:G,df_bloqueios_judiciais!D:D,Conciliacao!A370,df_bloqueios_judiciais!G:G,"&lt;0")</f>
        <v/>
      </c>
      <c r="N370" s="10">
        <f>SUMIFS(df_extratos!I:I,df_extratos!F:F,Conciliacao!BE370,df_extratos!G:G,"DEBITO")+SUMIFS(df_extratos!I:I,df_extratos!F:F,Conciliacao!A370,df_extratos!G:G,"DEBITO")+SUMIFS(df_extratos!I:I,df_extratos!F:F,Conciliacao!BF370,df_extratos!G:G,"DEBITO")+SUMIFS(df_extratos!I:I,df_extratos!F:F,Conciliacao!BG370,df_extratos!G:G,"DEBITO")+SUMIFS(df_extratos!I:I,df_extratos!F:F,Conciliacao!BH370,df_extratos!G:G,"DEBITO")</f>
        <v/>
      </c>
      <c r="O370" s="11">
        <f>N370-SUM(J370:M370)</f>
        <v/>
      </c>
      <c r="P370" s="25">
        <f>SUMIFS(df_ajustes_conciliaco!D:D,df_ajustes_conciliaco!C:C,Conciliacao!A370)</f>
        <v/>
      </c>
      <c r="Q370" s="22">
        <f>O370+I370-P370</f>
        <v/>
      </c>
    </row>
    <row r="371">
      <c r="A371" s="5">
        <f>A370+1</f>
        <v/>
      </c>
      <c r="B371" s="3">
        <f>-SUMIFS(df_extrato_zig!G:G,df_extrato_zig!E:E,Conciliacao!A371,df_extrato_zig!D:D,"Saque")-SUMIFS(df_extrato_zig!G:G,df_extrato_zig!E:E,Conciliacao!A371,df_extrato_zig!D:D,"Antecipação")</f>
        <v/>
      </c>
      <c r="C371" s="3">
        <f>SUMIFS(df_extrato_zig!E:E,df_extrato_zig!L:L,Conciliacao!A371,df_extrato_zig!F:F,"DINHEIRO")</f>
        <v/>
      </c>
      <c r="D371" s="3">
        <f>SUMIFS(view_parc_agrup!H:H,view_parc_agrup!G:G,Conciliacao!A371)</f>
        <v/>
      </c>
      <c r="E371" s="3">
        <f>SUMIFS(df_eventos!F:F,df_eventos!H:H,Conciliacao!A371)</f>
        <v/>
      </c>
      <c r="F371" s="3">
        <f>SUMIFS(df_mutuos!M:M,df_mutuos!B:B,Conciliacao!A371)</f>
        <v/>
      </c>
      <c r="G371" s="6">
        <f>SUMIFS(df_bloqueios_judiciais!G:G,df_bloqueios_judiciais!D:D,Conciliacao!A371,df_bloqueios_judiciais!G:G,"&gt;0")</f>
        <v/>
      </c>
      <c r="H371" s="7">
        <f>SUMIFS(df_extratos!I:I,df_extratos!F:F,Conciliacao!BE371,df_extratos!G:G,"CREDITO")+SUMIFS(df_extratos!I:I,df_extratos!F:F,Conciliacao!A371,df_extratos!G:G,"CREDITO")+SUMIFS(df_extratos!I:I,df_extratos!F:F,Conciliacao!BF371,df_extratos!G:G,"CREDITO")+SUMIFS(df_extratos!I:I,df_extratos!F:F,Conciliacao!BG371,df_extratos!G:G,"CREDITO")+SUMIFS(df_extratos!I:I,df_extratos!F:F,Conciliacao!BH371,df_extratos!G:G,"CREDITO")</f>
        <v/>
      </c>
      <c r="I371" s="9">
        <f>H371-SUM(B371:G371)</f>
        <v/>
      </c>
      <c r="J371" s="4">
        <f>SUMIFS(df_blueme_sem_parcelamento!E:E,df_blueme_sem_parcelamento!H:H,Conciliacao!A371)*(-1)</f>
        <v/>
      </c>
      <c r="K371" s="4">
        <f>SUMIFS(df_blueme_com_parcelamento!J:J,df_blueme_com_parcelamento!M:M,Conciliacao!A371)*(-1)</f>
        <v/>
      </c>
      <c r="L371" s="4">
        <f>SUMIFS(df_mutuos!N:N,df_mutuos!B:B,Conciliacao!A371)*(-1)</f>
        <v/>
      </c>
      <c r="M371" s="8">
        <f>SUMIFS(df_bloqueios_judiciais!G:G,df_bloqueios_judiciais!D:D,Conciliacao!A371,df_bloqueios_judiciais!G:G,"&lt;0")</f>
        <v/>
      </c>
      <c r="N371" s="10">
        <f>SUMIFS(df_extratos!I:I,df_extratos!F:F,Conciliacao!BE371,df_extratos!G:G,"DEBITO")+SUMIFS(df_extratos!I:I,df_extratos!F:F,Conciliacao!A371,df_extratos!G:G,"DEBITO")+SUMIFS(df_extratos!I:I,df_extratos!F:F,Conciliacao!BF371,df_extratos!G:G,"DEBITO")+SUMIFS(df_extratos!I:I,df_extratos!F:F,Conciliacao!BG371,df_extratos!G:G,"DEBITO")+SUMIFS(df_extratos!I:I,df_extratos!F:F,Conciliacao!BH371,df_extratos!G:G,"DEBITO")</f>
        <v/>
      </c>
      <c r="O371" s="11">
        <f>N371-SUM(J371:M371)</f>
        <v/>
      </c>
      <c r="P371" s="25">
        <f>SUMIFS(df_ajustes_conciliaco!D:D,df_ajustes_conciliaco!C:C,Conciliacao!A371)</f>
        <v/>
      </c>
      <c r="Q371" s="22">
        <f>O371+I371-P371</f>
        <v/>
      </c>
    </row>
    <row r="372">
      <c r="A372" s="5">
        <f>A371+1</f>
        <v/>
      </c>
      <c r="B372" s="3">
        <f>-SUMIFS(df_extrato_zig!G:G,df_extrato_zig!E:E,Conciliacao!A372,df_extrato_zig!D:D,"Saque")-SUMIFS(df_extrato_zig!G:G,df_extrato_zig!E:E,Conciliacao!A372,df_extrato_zig!D:D,"Antecipação")</f>
        <v/>
      </c>
      <c r="C372" s="3">
        <f>SUMIFS(df_extrato_zig!E:E,df_extrato_zig!L:L,Conciliacao!A372,df_extrato_zig!F:F,"DINHEIRO")</f>
        <v/>
      </c>
      <c r="D372" s="3">
        <f>SUMIFS(view_parc_agrup!H:H,view_parc_agrup!G:G,Conciliacao!A372)</f>
        <v/>
      </c>
      <c r="E372" s="3">
        <f>SUMIFS(df_eventos!F:F,df_eventos!H:H,Conciliacao!A372)</f>
        <v/>
      </c>
      <c r="F372" s="3">
        <f>SUMIFS(df_mutuos!M:M,df_mutuos!B:B,Conciliacao!A372)</f>
        <v/>
      </c>
      <c r="G372" s="6">
        <f>SUMIFS(df_bloqueios_judiciais!G:G,df_bloqueios_judiciais!D:D,Conciliacao!A372,df_bloqueios_judiciais!G:G,"&gt;0")</f>
        <v/>
      </c>
      <c r="H372" s="7">
        <f>SUMIFS(df_extratos!I:I,df_extratos!F:F,Conciliacao!BE372,df_extratos!G:G,"CREDITO")+SUMIFS(df_extratos!I:I,df_extratos!F:F,Conciliacao!A372,df_extratos!G:G,"CREDITO")+SUMIFS(df_extratos!I:I,df_extratos!F:F,Conciliacao!BF372,df_extratos!G:G,"CREDITO")+SUMIFS(df_extratos!I:I,df_extratos!F:F,Conciliacao!BG372,df_extratos!G:G,"CREDITO")+SUMIFS(df_extratos!I:I,df_extratos!F:F,Conciliacao!BH372,df_extratos!G:G,"CREDITO")</f>
        <v/>
      </c>
      <c r="I372" s="9">
        <f>H372-SUM(B372:G372)</f>
        <v/>
      </c>
      <c r="J372" s="4">
        <f>SUMIFS(df_blueme_sem_parcelamento!E:E,df_blueme_sem_parcelamento!H:H,Conciliacao!A372)*(-1)</f>
        <v/>
      </c>
      <c r="K372" s="4">
        <f>SUMIFS(df_blueme_com_parcelamento!J:J,df_blueme_com_parcelamento!M:M,Conciliacao!A372)*(-1)</f>
        <v/>
      </c>
      <c r="L372" s="4">
        <f>SUMIFS(df_mutuos!N:N,df_mutuos!B:B,Conciliacao!A372)*(-1)</f>
        <v/>
      </c>
      <c r="M372" s="8">
        <f>SUMIFS(df_bloqueios_judiciais!G:G,df_bloqueios_judiciais!D:D,Conciliacao!A372,df_bloqueios_judiciais!G:G,"&lt;0")</f>
        <v/>
      </c>
      <c r="N372" s="10">
        <f>SUMIFS(df_extratos!I:I,df_extratos!F:F,Conciliacao!BE372,df_extratos!G:G,"DEBITO")+SUMIFS(df_extratos!I:I,df_extratos!F:F,Conciliacao!A372,df_extratos!G:G,"DEBITO")+SUMIFS(df_extratos!I:I,df_extratos!F:F,Conciliacao!BF372,df_extratos!G:G,"DEBITO")+SUMIFS(df_extratos!I:I,df_extratos!F:F,Conciliacao!BG372,df_extratos!G:G,"DEBITO")+SUMIFS(df_extratos!I:I,df_extratos!F:F,Conciliacao!BH372,df_extratos!G:G,"DEBITO")</f>
        <v/>
      </c>
      <c r="O372" s="11">
        <f>N372-SUM(J372:M372)</f>
        <v/>
      </c>
      <c r="P372" s="25">
        <f>SUMIFS(df_ajustes_conciliaco!D:D,df_ajustes_conciliaco!C:C,Conciliacao!A372)</f>
        <v/>
      </c>
      <c r="Q372" s="22">
        <f>O372+I372-P372</f>
        <v/>
      </c>
    </row>
    <row r="373">
      <c r="A373" s="5">
        <f>A372+1</f>
        <v/>
      </c>
      <c r="B373" s="3">
        <f>-SUMIFS(df_extrato_zig!G:G,df_extrato_zig!E:E,Conciliacao!A373,df_extrato_zig!D:D,"Saque")-SUMIFS(df_extrato_zig!G:G,df_extrato_zig!E:E,Conciliacao!A373,df_extrato_zig!D:D,"Antecipação")</f>
        <v/>
      </c>
      <c r="C373" s="3">
        <f>SUMIFS(df_extrato_zig!E:E,df_extrato_zig!L:L,Conciliacao!A373,df_extrato_zig!F:F,"DINHEIRO")</f>
        <v/>
      </c>
      <c r="D373" s="3">
        <f>SUMIFS(view_parc_agrup!H:H,view_parc_agrup!G:G,Conciliacao!A373)</f>
        <v/>
      </c>
      <c r="E373" s="3">
        <f>SUMIFS(df_eventos!F:F,df_eventos!H:H,Conciliacao!A373)</f>
        <v/>
      </c>
      <c r="F373" s="3">
        <f>SUMIFS(df_mutuos!M:M,df_mutuos!B:B,Conciliacao!A373)</f>
        <v/>
      </c>
      <c r="G373" s="6">
        <f>SUMIFS(df_bloqueios_judiciais!G:G,df_bloqueios_judiciais!D:D,Conciliacao!A373,df_bloqueios_judiciais!G:G,"&gt;0")</f>
        <v/>
      </c>
      <c r="H373" s="7">
        <f>SUMIFS(df_extratos!I:I,df_extratos!F:F,Conciliacao!BE373,df_extratos!G:G,"CREDITO")+SUMIFS(df_extratos!I:I,df_extratos!F:F,Conciliacao!A373,df_extratos!G:G,"CREDITO")+SUMIFS(df_extratos!I:I,df_extratos!F:F,Conciliacao!BF373,df_extratos!G:G,"CREDITO")+SUMIFS(df_extratos!I:I,df_extratos!F:F,Conciliacao!BG373,df_extratos!G:G,"CREDITO")+SUMIFS(df_extratos!I:I,df_extratos!F:F,Conciliacao!BH373,df_extratos!G:G,"CREDITO")</f>
        <v/>
      </c>
      <c r="I373" s="9">
        <f>H373-SUM(B373:G373)</f>
        <v/>
      </c>
      <c r="J373" s="4">
        <f>SUMIFS(df_blueme_sem_parcelamento!E:E,df_blueme_sem_parcelamento!H:H,Conciliacao!A373)*(-1)</f>
        <v/>
      </c>
      <c r="K373" s="4">
        <f>SUMIFS(df_blueme_com_parcelamento!J:J,df_blueme_com_parcelamento!M:M,Conciliacao!A373)*(-1)</f>
        <v/>
      </c>
      <c r="L373" s="4">
        <f>SUMIFS(df_mutuos!N:N,df_mutuos!B:B,Conciliacao!A373)*(-1)</f>
        <v/>
      </c>
      <c r="M373" s="8">
        <f>SUMIFS(df_bloqueios_judiciais!G:G,df_bloqueios_judiciais!D:D,Conciliacao!A373,df_bloqueios_judiciais!G:G,"&lt;0")</f>
        <v/>
      </c>
      <c r="N373" s="10">
        <f>SUMIFS(df_extratos!I:I,df_extratos!F:F,Conciliacao!BE373,df_extratos!G:G,"DEBITO")+SUMIFS(df_extratos!I:I,df_extratos!F:F,Conciliacao!A373,df_extratos!G:G,"DEBITO")+SUMIFS(df_extratos!I:I,df_extratos!F:F,Conciliacao!BF373,df_extratos!G:G,"DEBITO")+SUMIFS(df_extratos!I:I,df_extratos!F:F,Conciliacao!BG373,df_extratos!G:G,"DEBITO")+SUMIFS(df_extratos!I:I,df_extratos!F:F,Conciliacao!BH373,df_extratos!G:G,"DEBITO")</f>
        <v/>
      </c>
      <c r="O373" s="11">
        <f>N373-SUM(J373:M373)</f>
        <v/>
      </c>
      <c r="P373" s="25">
        <f>SUMIFS(df_ajustes_conciliaco!D:D,df_ajustes_conciliaco!C:C,Conciliacao!A373)</f>
        <v/>
      </c>
      <c r="Q373" s="22">
        <f>O373+I373-P373</f>
        <v/>
      </c>
    </row>
    <row r="374">
      <c r="A374" s="5">
        <f>A373+1</f>
        <v/>
      </c>
      <c r="B374" s="3">
        <f>-SUMIFS(df_extrato_zig!G:G,df_extrato_zig!E:E,Conciliacao!A374,df_extrato_zig!D:D,"Saque")-SUMIFS(df_extrato_zig!G:G,df_extrato_zig!E:E,Conciliacao!A374,df_extrato_zig!D:D,"Antecipação")</f>
        <v/>
      </c>
      <c r="C374" s="3">
        <f>SUMIFS(df_extrato_zig!E:E,df_extrato_zig!L:L,Conciliacao!A374,df_extrato_zig!F:F,"DINHEIRO")</f>
        <v/>
      </c>
      <c r="D374" s="3">
        <f>SUMIFS(view_parc_agrup!H:H,view_parc_agrup!G:G,Conciliacao!A374)</f>
        <v/>
      </c>
      <c r="E374" s="3">
        <f>SUMIFS(df_eventos!F:F,df_eventos!H:H,Conciliacao!A374)</f>
        <v/>
      </c>
      <c r="F374" s="3">
        <f>SUMIFS(df_mutuos!M:M,df_mutuos!B:B,Conciliacao!A374)</f>
        <v/>
      </c>
      <c r="G374" s="6">
        <f>SUMIFS(df_bloqueios_judiciais!G:G,df_bloqueios_judiciais!D:D,Conciliacao!A374,df_bloqueios_judiciais!G:G,"&gt;0")</f>
        <v/>
      </c>
      <c r="H374" s="7">
        <f>SUMIFS(df_extratos!I:I,df_extratos!F:F,Conciliacao!BE374,df_extratos!G:G,"CREDITO")+SUMIFS(df_extratos!I:I,df_extratos!F:F,Conciliacao!A374,df_extratos!G:G,"CREDITO")+SUMIFS(df_extratos!I:I,df_extratos!F:F,Conciliacao!BF374,df_extratos!G:G,"CREDITO")+SUMIFS(df_extratos!I:I,df_extratos!F:F,Conciliacao!BG374,df_extratos!G:G,"CREDITO")+SUMIFS(df_extratos!I:I,df_extratos!F:F,Conciliacao!BH374,df_extratos!G:G,"CREDITO")</f>
        <v/>
      </c>
      <c r="I374" s="9">
        <f>H374-SUM(B374:G374)</f>
        <v/>
      </c>
      <c r="J374" s="4">
        <f>SUMIFS(df_blueme_sem_parcelamento!E:E,df_blueme_sem_parcelamento!H:H,Conciliacao!A374)*(-1)</f>
        <v/>
      </c>
      <c r="K374" s="4">
        <f>SUMIFS(df_blueme_com_parcelamento!J:J,df_blueme_com_parcelamento!M:M,Conciliacao!A374)*(-1)</f>
        <v/>
      </c>
      <c r="L374" s="4">
        <f>SUMIFS(df_mutuos!N:N,df_mutuos!B:B,Conciliacao!A374)*(-1)</f>
        <v/>
      </c>
      <c r="M374" s="8">
        <f>SUMIFS(df_bloqueios_judiciais!G:G,df_bloqueios_judiciais!D:D,Conciliacao!A374,df_bloqueios_judiciais!G:G,"&lt;0")</f>
        <v/>
      </c>
      <c r="N374" s="10">
        <f>SUMIFS(df_extratos!I:I,df_extratos!F:F,Conciliacao!BE374,df_extratos!G:G,"DEBITO")+SUMIFS(df_extratos!I:I,df_extratos!F:F,Conciliacao!A374,df_extratos!G:G,"DEBITO")+SUMIFS(df_extratos!I:I,df_extratos!F:F,Conciliacao!BF374,df_extratos!G:G,"DEBITO")+SUMIFS(df_extratos!I:I,df_extratos!F:F,Conciliacao!BG374,df_extratos!G:G,"DEBITO")+SUMIFS(df_extratos!I:I,df_extratos!F:F,Conciliacao!BH374,df_extratos!G:G,"DEBITO")</f>
        <v/>
      </c>
      <c r="O374" s="11">
        <f>N374-SUM(J374:M374)</f>
        <v/>
      </c>
      <c r="P374" s="25">
        <f>SUMIFS(df_ajustes_conciliaco!D:D,df_ajustes_conciliaco!C:C,Conciliacao!A374)</f>
        <v/>
      </c>
      <c r="Q374" s="22">
        <f>O374+I374-P374</f>
        <v/>
      </c>
    </row>
    <row r="375">
      <c r="A375" s="5">
        <f>A374+1</f>
        <v/>
      </c>
      <c r="B375" s="3">
        <f>-SUMIFS(df_extrato_zig!G:G,df_extrato_zig!E:E,Conciliacao!A375,df_extrato_zig!D:D,"Saque")-SUMIFS(df_extrato_zig!G:G,df_extrato_zig!E:E,Conciliacao!A375,df_extrato_zig!D:D,"Antecipação")</f>
        <v/>
      </c>
      <c r="C375" s="3">
        <f>SUMIFS(df_extrato_zig!E:E,df_extrato_zig!L:L,Conciliacao!A375,df_extrato_zig!F:F,"DINHEIRO")</f>
        <v/>
      </c>
      <c r="D375" s="3">
        <f>SUMIFS(view_parc_agrup!H:H,view_parc_agrup!G:G,Conciliacao!A375)</f>
        <v/>
      </c>
      <c r="E375" s="3">
        <f>SUMIFS(df_eventos!F:F,df_eventos!H:H,Conciliacao!A375)</f>
        <v/>
      </c>
      <c r="F375" s="3">
        <f>SUMIFS(df_mutuos!M:M,df_mutuos!B:B,Conciliacao!A375)</f>
        <v/>
      </c>
      <c r="G375" s="6">
        <f>SUMIFS(df_bloqueios_judiciais!G:G,df_bloqueios_judiciais!D:D,Conciliacao!A375,df_bloqueios_judiciais!G:G,"&gt;0")</f>
        <v/>
      </c>
      <c r="H375" s="7">
        <f>SUMIFS(df_extratos!I:I,df_extratos!F:F,Conciliacao!BE375,df_extratos!G:G,"CREDITO")+SUMIFS(df_extratos!I:I,df_extratos!F:F,Conciliacao!A375,df_extratos!G:G,"CREDITO")+SUMIFS(df_extratos!I:I,df_extratos!F:F,Conciliacao!BF375,df_extratos!G:G,"CREDITO")+SUMIFS(df_extratos!I:I,df_extratos!F:F,Conciliacao!BG375,df_extratos!G:G,"CREDITO")+SUMIFS(df_extratos!I:I,df_extratos!F:F,Conciliacao!BH375,df_extratos!G:G,"CREDITO")</f>
        <v/>
      </c>
      <c r="I375" s="9">
        <f>H375-SUM(B375:G375)</f>
        <v/>
      </c>
      <c r="J375" s="4">
        <f>SUMIFS(df_blueme_sem_parcelamento!E:E,df_blueme_sem_parcelamento!H:H,Conciliacao!A375)*(-1)</f>
        <v/>
      </c>
      <c r="K375" s="4">
        <f>SUMIFS(df_blueme_com_parcelamento!J:J,df_blueme_com_parcelamento!M:M,Conciliacao!A375)*(-1)</f>
        <v/>
      </c>
      <c r="L375" s="4">
        <f>SUMIFS(df_mutuos!N:N,df_mutuos!B:B,Conciliacao!A375)*(-1)</f>
        <v/>
      </c>
      <c r="M375" s="8">
        <f>SUMIFS(df_bloqueios_judiciais!G:G,df_bloqueios_judiciais!D:D,Conciliacao!A375,df_bloqueios_judiciais!G:G,"&lt;0")</f>
        <v/>
      </c>
      <c r="N375" s="10">
        <f>SUMIFS(df_extratos!I:I,df_extratos!F:F,Conciliacao!BE375,df_extratos!G:G,"DEBITO")+SUMIFS(df_extratos!I:I,df_extratos!F:F,Conciliacao!A375,df_extratos!G:G,"DEBITO")+SUMIFS(df_extratos!I:I,df_extratos!F:F,Conciliacao!BF375,df_extratos!G:G,"DEBITO")+SUMIFS(df_extratos!I:I,df_extratos!F:F,Conciliacao!BG375,df_extratos!G:G,"DEBITO")+SUMIFS(df_extratos!I:I,df_extratos!F:F,Conciliacao!BH375,df_extratos!G:G,"DEBITO")</f>
        <v/>
      </c>
      <c r="O375" s="11">
        <f>N375-SUM(J375:M375)</f>
        <v/>
      </c>
      <c r="P375" s="25">
        <f>SUMIFS(df_ajustes_conciliaco!D:D,df_ajustes_conciliaco!C:C,Conciliacao!A375)</f>
        <v/>
      </c>
      <c r="Q375" s="22">
        <f>O375+I375-P375</f>
        <v/>
      </c>
    </row>
    <row r="376">
      <c r="A376" s="5">
        <f>A375+1</f>
        <v/>
      </c>
      <c r="B376" s="3">
        <f>-SUMIFS(df_extrato_zig!G:G,df_extrato_zig!E:E,Conciliacao!A376,df_extrato_zig!D:D,"Saque")-SUMIFS(df_extrato_zig!G:G,df_extrato_zig!E:E,Conciliacao!A376,df_extrato_zig!D:D,"Antecipação")</f>
        <v/>
      </c>
      <c r="C376" s="3">
        <f>SUMIFS(df_extrato_zig!E:E,df_extrato_zig!L:L,Conciliacao!A376,df_extrato_zig!F:F,"DINHEIRO")</f>
        <v/>
      </c>
      <c r="D376" s="3">
        <f>SUMIFS(view_parc_agrup!H:H,view_parc_agrup!G:G,Conciliacao!A376)</f>
        <v/>
      </c>
      <c r="E376" s="3">
        <f>SUMIFS(df_eventos!F:F,df_eventos!H:H,Conciliacao!A376)</f>
        <v/>
      </c>
      <c r="F376" s="3">
        <f>SUMIFS(df_mutuos!M:M,df_mutuos!B:B,Conciliacao!A376)</f>
        <v/>
      </c>
      <c r="G376" s="6">
        <f>SUMIFS(df_bloqueios_judiciais!G:G,df_bloqueios_judiciais!D:D,Conciliacao!A376,df_bloqueios_judiciais!G:G,"&gt;0")</f>
        <v/>
      </c>
      <c r="H376" s="7">
        <f>SUMIFS(df_extratos!I:I,df_extratos!F:F,Conciliacao!BE376,df_extratos!G:G,"CREDITO")+SUMIFS(df_extratos!I:I,df_extratos!F:F,Conciliacao!A376,df_extratos!G:G,"CREDITO")+SUMIFS(df_extratos!I:I,df_extratos!F:F,Conciliacao!BF376,df_extratos!G:G,"CREDITO")+SUMIFS(df_extratos!I:I,df_extratos!F:F,Conciliacao!BG376,df_extratos!G:G,"CREDITO")+SUMIFS(df_extratos!I:I,df_extratos!F:F,Conciliacao!BH376,df_extratos!G:G,"CREDITO")</f>
        <v/>
      </c>
      <c r="I376" s="9">
        <f>H376-SUM(B376:G376)</f>
        <v/>
      </c>
      <c r="J376" s="4">
        <f>SUMIFS(df_blueme_sem_parcelamento!E:E,df_blueme_sem_parcelamento!H:H,Conciliacao!A376)*(-1)</f>
        <v/>
      </c>
      <c r="K376" s="4">
        <f>SUMIFS(df_blueme_com_parcelamento!J:J,df_blueme_com_parcelamento!M:M,Conciliacao!A376)*(-1)</f>
        <v/>
      </c>
      <c r="L376" s="4">
        <f>SUMIFS(df_mutuos!N:N,df_mutuos!B:B,Conciliacao!A376)*(-1)</f>
        <v/>
      </c>
      <c r="M376" s="8">
        <f>SUMIFS(df_bloqueios_judiciais!G:G,df_bloqueios_judiciais!D:D,Conciliacao!A376,df_bloqueios_judiciais!G:G,"&lt;0")</f>
        <v/>
      </c>
      <c r="N376" s="10">
        <f>SUMIFS(df_extratos!I:I,df_extratos!F:F,Conciliacao!BE376,df_extratos!G:G,"DEBITO")+SUMIFS(df_extratos!I:I,df_extratos!F:F,Conciliacao!A376,df_extratos!G:G,"DEBITO")+SUMIFS(df_extratos!I:I,df_extratos!F:F,Conciliacao!BF376,df_extratos!G:G,"DEBITO")+SUMIFS(df_extratos!I:I,df_extratos!F:F,Conciliacao!BG376,df_extratos!G:G,"DEBITO")+SUMIFS(df_extratos!I:I,df_extratos!F:F,Conciliacao!BH376,df_extratos!G:G,"DEBITO")</f>
        <v/>
      </c>
      <c r="O376" s="11">
        <f>N376-SUM(J376:M376)</f>
        <v/>
      </c>
      <c r="P376" s="25">
        <f>SUMIFS(df_ajustes_conciliaco!D:D,df_ajustes_conciliaco!C:C,Conciliacao!A376)</f>
        <v/>
      </c>
      <c r="Q376" s="22">
        <f>O376+I376-P376</f>
        <v/>
      </c>
    </row>
    <row r="377">
      <c r="A377" s="5">
        <f>A376+1</f>
        <v/>
      </c>
      <c r="B377" s="3">
        <f>-SUMIFS(df_extrato_zig!G:G,df_extrato_zig!E:E,Conciliacao!A377,df_extrato_zig!D:D,"Saque")-SUMIFS(df_extrato_zig!G:G,df_extrato_zig!E:E,Conciliacao!A377,df_extrato_zig!D:D,"Antecipação")</f>
        <v/>
      </c>
      <c r="C377" s="3">
        <f>SUMIFS(df_extrato_zig!E:E,df_extrato_zig!L:L,Conciliacao!A377,df_extrato_zig!F:F,"DINHEIRO")</f>
        <v/>
      </c>
      <c r="D377" s="3">
        <f>SUMIFS(view_parc_agrup!H:H,view_parc_agrup!G:G,Conciliacao!A377)</f>
        <v/>
      </c>
      <c r="E377" s="3">
        <f>SUMIFS(df_eventos!F:F,df_eventos!H:H,Conciliacao!A377)</f>
        <v/>
      </c>
      <c r="F377" s="3">
        <f>SUMIFS(df_mutuos!M:M,df_mutuos!B:B,Conciliacao!A377)</f>
        <v/>
      </c>
      <c r="G377" s="6">
        <f>SUMIFS(df_bloqueios_judiciais!G:G,df_bloqueios_judiciais!D:D,Conciliacao!A377,df_bloqueios_judiciais!G:G,"&gt;0")</f>
        <v/>
      </c>
      <c r="H377" s="7">
        <f>SUMIFS(df_extratos!I:I,df_extratos!F:F,Conciliacao!BE377,df_extratos!G:G,"CREDITO")+SUMIFS(df_extratos!I:I,df_extratos!F:F,Conciliacao!A377,df_extratos!G:G,"CREDITO")+SUMIFS(df_extratos!I:I,df_extratos!F:F,Conciliacao!BF377,df_extratos!G:G,"CREDITO")+SUMIFS(df_extratos!I:I,df_extratos!F:F,Conciliacao!BG377,df_extratos!G:G,"CREDITO")+SUMIFS(df_extratos!I:I,df_extratos!F:F,Conciliacao!BH377,df_extratos!G:G,"CREDITO")</f>
        <v/>
      </c>
      <c r="I377" s="9">
        <f>H377-SUM(B377:G377)</f>
        <v/>
      </c>
      <c r="J377" s="4">
        <f>SUMIFS(df_blueme_sem_parcelamento!E:E,df_blueme_sem_parcelamento!H:H,Conciliacao!A377)*(-1)</f>
        <v/>
      </c>
      <c r="K377" s="4">
        <f>SUMIFS(df_blueme_com_parcelamento!J:J,df_blueme_com_parcelamento!M:M,Conciliacao!A377)*(-1)</f>
        <v/>
      </c>
      <c r="L377" s="4">
        <f>SUMIFS(df_mutuos!N:N,df_mutuos!B:B,Conciliacao!A377)*(-1)</f>
        <v/>
      </c>
      <c r="M377" s="8">
        <f>SUMIFS(df_bloqueios_judiciais!G:G,df_bloqueios_judiciais!D:D,Conciliacao!A377,df_bloqueios_judiciais!G:G,"&lt;0")</f>
        <v/>
      </c>
      <c r="N377" s="10">
        <f>SUMIFS(df_extratos!I:I,df_extratos!F:F,Conciliacao!BE377,df_extratos!G:G,"DEBITO")+SUMIFS(df_extratos!I:I,df_extratos!F:F,Conciliacao!A377,df_extratos!G:G,"DEBITO")+SUMIFS(df_extratos!I:I,df_extratos!F:F,Conciliacao!BF377,df_extratos!G:G,"DEBITO")+SUMIFS(df_extratos!I:I,df_extratos!F:F,Conciliacao!BG377,df_extratos!G:G,"DEBITO")+SUMIFS(df_extratos!I:I,df_extratos!F:F,Conciliacao!BH377,df_extratos!G:G,"DEBITO")</f>
        <v/>
      </c>
      <c r="O377" s="11">
        <f>N377-SUM(J377:M377)</f>
        <v/>
      </c>
      <c r="P377" s="25">
        <f>SUMIFS(df_ajustes_conciliaco!D:D,df_ajustes_conciliaco!C:C,Conciliacao!A377)</f>
        <v/>
      </c>
      <c r="Q377" s="22">
        <f>O377+I377-P377</f>
        <v/>
      </c>
    </row>
    <row r="378">
      <c r="A378" s="5">
        <f>A377+1</f>
        <v/>
      </c>
      <c r="B378" s="3">
        <f>-SUMIFS(df_extrato_zig!G:G,df_extrato_zig!E:E,Conciliacao!A378,df_extrato_zig!D:D,"Saque")-SUMIFS(df_extrato_zig!G:G,df_extrato_zig!E:E,Conciliacao!A378,df_extrato_zig!D:D,"Antecipação")</f>
        <v/>
      </c>
      <c r="C378" s="3">
        <f>SUMIFS(df_extrato_zig!E:E,df_extrato_zig!L:L,Conciliacao!A378,df_extrato_zig!F:F,"DINHEIRO")</f>
        <v/>
      </c>
      <c r="D378" s="3">
        <f>SUMIFS(view_parc_agrup!H:H,view_parc_agrup!G:G,Conciliacao!A378)</f>
        <v/>
      </c>
      <c r="E378" s="3">
        <f>SUMIFS(df_eventos!F:F,df_eventos!H:H,Conciliacao!A378)</f>
        <v/>
      </c>
      <c r="F378" s="3">
        <f>SUMIFS(df_mutuos!M:M,df_mutuos!B:B,Conciliacao!A378)</f>
        <v/>
      </c>
      <c r="G378" s="6">
        <f>SUMIFS(df_bloqueios_judiciais!G:G,df_bloqueios_judiciais!D:D,Conciliacao!A378,df_bloqueios_judiciais!G:G,"&gt;0")</f>
        <v/>
      </c>
      <c r="H378" s="7">
        <f>SUMIFS(df_extratos!I:I,df_extratos!F:F,Conciliacao!BE378,df_extratos!G:G,"CREDITO")+SUMIFS(df_extratos!I:I,df_extratos!F:F,Conciliacao!A378,df_extratos!G:G,"CREDITO")+SUMIFS(df_extratos!I:I,df_extratos!F:F,Conciliacao!BF378,df_extratos!G:G,"CREDITO")+SUMIFS(df_extratos!I:I,df_extratos!F:F,Conciliacao!BG378,df_extratos!G:G,"CREDITO")+SUMIFS(df_extratos!I:I,df_extratos!F:F,Conciliacao!BH378,df_extratos!G:G,"CREDITO")</f>
        <v/>
      </c>
      <c r="I378" s="9">
        <f>H378-SUM(B378:G378)</f>
        <v/>
      </c>
      <c r="J378" s="4">
        <f>SUMIFS(df_blueme_sem_parcelamento!E:E,df_blueme_sem_parcelamento!H:H,Conciliacao!A378)*(-1)</f>
        <v/>
      </c>
      <c r="K378" s="4">
        <f>SUMIFS(df_blueme_com_parcelamento!J:J,df_blueme_com_parcelamento!M:M,Conciliacao!A378)*(-1)</f>
        <v/>
      </c>
      <c r="L378" s="4">
        <f>SUMIFS(df_mutuos!N:N,df_mutuos!B:B,Conciliacao!A378)*(-1)</f>
        <v/>
      </c>
      <c r="M378" s="8">
        <f>SUMIFS(df_bloqueios_judiciais!G:G,df_bloqueios_judiciais!D:D,Conciliacao!A378,df_bloqueios_judiciais!G:G,"&lt;0")</f>
        <v/>
      </c>
      <c r="N378" s="10">
        <f>SUMIFS(df_extratos!I:I,df_extratos!F:F,Conciliacao!BE378,df_extratos!G:G,"DEBITO")+SUMIFS(df_extratos!I:I,df_extratos!F:F,Conciliacao!A378,df_extratos!G:G,"DEBITO")+SUMIFS(df_extratos!I:I,df_extratos!F:F,Conciliacao!BF378,df_extratos!G:G,"DEBITO")+SUMIFS(df_extratos!I:I,df_extratos!F:F,Conciliacao!BG378,df_extratos!G:G,"DEBITO")+SUMIFS(df_extratos!I:I,df_extratos!F:F,Conciliacao!BH378,df_extratos!G:G,"DEBITO")</f>
        <v/>
      </c>
      <c r="O378" s="11">
        <f>N378-SUM(J378:M378)</f>
        <v/>
      </c>
      <c r="P378" s="25">
        <f>SUMIFS(df_ajustes_conciliaco!D:D,df_ajustes_conciliaco!C:C,Conciliacao!A378)</f>
        <v/>
      </c>
      <c r="Q378" s="22">
        <f>O378+I378-P378</f>
        <v/>
      </c>
    </row>
    <row r="379">
      <c r="A379" s="5">
        <f>A378+1</f>
        <v/>
      </c>
      <c r="B379" s="3">
        <f>-SUMIFS(df_extrato_zig!G:G,df_extrato_zig!E:E,Conciliacao!A379,df_extrato_zig!D:D,"Saque")-SUMIFS(df_extrato_zig!G:G,df_extrato_zig!E:E,Conciliacao!A379,df_extrato_zig!D:D,"Antecipação")</f>
        <v/>
      </c>
      <c r="C379" s="3">
        <f>SUMIFS(df_extrato_zig!E:E,df_extrato_zig!L:L,Conciliacao!A379,df_extrato_zig!F:F,"DINHEIRO")</f>
        <v/>
      </c>
      <c r="D379" s="3">
        <f>SUMIFS(view_parc_agrup!H:H,view_parc_agrup!G:G,Conciliacao!A379)</f>
        <v/>
      </c>
      <c r="E379" s="3">
        <f>SUMIFS(df_eventos!F:F,df_eventos!H:H,Conciliacao!A379)</f>
        <v/>
      </c>
      <c r="F379" s="3">
        <f>SUMIFS(df_mutuos!M:M,df_mutuos!B:B,Conciliacao!A379)</f>
        <v/>
      </c>
      <c r="G379" s="6">
        <f>SUMIFS(df_bloqueios_judiciais!G:G,df_bloqueios_judiciais!D:D,Conciliacao!A379,df_bloqueios_judiciais!G:G,"&gt;0")</f>
        <v/>
      </c>
      <c r="H379" s="7">
        <f>SUMIFS(df_extratos!I:I,df_extratos!F:F,Conciliacao!BE379,df_extratos!G:G,"CREDITO")+SUMIFS(df_extratos!I:I,df_extratos!F:F,Conciliacao!A379,df_extratos!G:G,"CREDITO")+SUMIFS(df_extratos!I:I,df_extratos!F:F,Conciliacao!BF379,df_extratos!G:G,"CREDITO")+SUMIFS(df_extratos!I:I,df_extratos!F:F,Conciliacao!BG379,df_extratos!G:G,"CREDITO")+SUMIFS(df_extratos!I:I,df_extratos!F:F,Conciliacao!BH379,df_extratos!G:G,"CREDITO")</f>
        <v/>
      </c>
      <c r="I379" s="9">
        <f>H379-SUM(B379:G379)</f>
        <v/>
      </c>
      <c r="J379" s="4">
        <f>SUMIFS(df_blueme_sem_parcelamento!E:E,df_blueme_sem_parcelamento!H:H,Conciliacao!A379)*(-1)</f>
        <v/>
      </c>
      <c r="K379" s="4">
        <f>SUMIFS(df_blueme_com_parcelamento!J:J,df_blueme_com_parcelamento!M:M,Conciliacao!A379)*(-1)</f>
        <v/>
      </c>
      <c r="L379" s="4">
        <f>SUMIFS(df_mutuos!N:N,df_mutuos!B:B,Conciliacao!A379)*(-1)</f>
        <v/>
      </c>
      <c r="M379" s="8">
        <f>SUMIFS(df_bloqueios_judiciais!G:G,df_bloqueios_judiciais!D:D,Conciliacao!A379,df_bloqueios_judiciais!G:G,"&lt;0")</f>
        <v/>
      </c>
      <c r="N379" s="10">
        <f>SUMIFS(df_extratos!I:I,df_extratos!F:F,Conciliacao!BE379,df_extratos!G:G,"DEBITO")+SUMIFS(df_extratos!I:I,df_extratos!F:F,Conciliacao!A379,df_extratos!G:G,"DEBITO")+SUMIFS(df_extratos!I:I,df_extratos!F:F,Conciliacao!BF379,df_extratos!G:G,"DEBITO")+SUMIFS(df_extratos!I:I,df_extratos!F:F,Conciliacao!BG379,df_extratos!G:G,"DEBITO")+SUMIFS(df_extratos!I:I,df_extratos!F:F,Conciliacao!BH379,df_extratos!G:G,"DEBITO")</f>
        <v/>
      </c>
      <c r="O379" s="11">
        <f>N379-SUM(J379:M379)</f>
        <v/>
      </c>
      <c r="P379" s="25">
        <f>SUMIFS(df_ajustes_conciliaco!D:D,df_ajustes_conciliaco!C:C,Conciliacao!A379)</f>
        <v/>
      </c>
      <c r="Q379" s="22">
        <f>O379+I379-P379</f>
        <v/>
      </c>
    </row>
    <row r="380">
      <c r="A380" s="5">
        <f>A379+1</f>
        <v/>
      </c>
      <c r="B380" s="3">
        <f>-SUMIFS(df_extrato_zig!G:G,df_extrato_zig!E:E,Conciliacao!A380,df_extrato_zig!D:D,"Saque")-SUMIFS(df_extrato_zig!G:G,df_extrato_zig!E:E,Conciliacao!A380,df_extrato_zig!D:D,"Antecipação")</f>
        <v/>
      </c>
      <c r="C380" s="3">
        <f>SUMIFS(df_extrato_zig!E:E,df_extrato_zig!L:L,Conciliacao!A380,df_extrato_zig!F:F,"DINHEIRO")</f>
        <v/>
      </c>
      <c r="D380" s="3">
        <f>SUMIFS(view_parc_agrup!H:H,view_parc_agrup!G:G,Conciliacao!A380)</f>
        <v/>
      </c>
      <c r="E380" s="3">
        <f>SUMIFS(df_eventos!F:F,df_eventos!H:H,Conciliacao!A380)</f>
        <v/>
      </c>
      <c r="F380" s="3">
        <f>SUMIFS(df_mutuos!M:M,df_mutuos!B:B,Conciliacao!A380)</f>
        <v/>
      </c>
      <c r="G380" s="6">
        <f>SUMIFS(df_bloqueios_judiciais!G:G,df_bloqueios_judiciais!D:D,Conciliacao!A380,df_bloqueios_judiciais!G:G,"&gt;0")</f>
        <v/>
      </c>
      <c r="H380" s="7">
        <f>SUMIFS(df_extratos!I:I,df_extratos!F:F,Conciliacao!BE380,df_extratos!G:G,"CREDITO")+SUMIFS(df_extratos!I:I,df_extratos!F:F,Conciliacao!A380,df_extratos!G:G,"CREDITO")+SUMIFS(df_extratos!I:I,df_extratos!F:F,Conciliacao!BF380,df_extratos!G:G,"CREDITO")+SUMIFS(df_extratos!I:I,df_extratos!F:F,Conciliacao!BG380,df_extratos!G:G,"CREDITO")+SUMIFS(df_extratos!I:I,df_extratos!F:F,Conciliacao!BH380,df_extratos!G:G,"CREDITO")</f>
        <v/>
      </c>
      <c r="I380" s="9">
        <f>H380-SUM(B380:G380)</f>
        <v/>
      </c>
      <c r="J380" s="4">
        <f>SUMIFS(df_blueme_sem_parcelamento!E:E,df_blueme_sem_parcelamento!H:H,Conciliacao!A380)*(-1)</f>
        <v/>
      </c>
      <c r="K380" s="4">
        <f>SUMIFS(df_blueme_com_parcelamento!J:J,df_blueme_com_parcelamento!M:M,Conciliacao!A380)*(-1)</f>
        <v/>
      </c>
      <c r="L380" s="4">
        <f>SUMIFS(df_mutuos!N:N,df_mutuos!B:B,Conciliacao!A380)*(-1)</f>
        <v/>
      </c>
      <c r="M380" s="8">
        <f>SUMIFS(df_bloqueios_judiciais!G:G,df_bloqueios_judiciais!D:D,Conciliacao!A380,df_bloqueios_judiciais!G:G,"&lt;0")</f>
        <v/>
      </c>
      <c r="N380" s="10">
        <f>SUMIFS(df_extratos!I:I,df_extratos!F:F,Conciliacao!BE380,df_extratos!G:G,"DEBITO")+SUMIFS(df_extratos!I:I,df_extratos!F:F,Conciliacao!A380,df_extratos!G:G,"DEBITO")+SUMIFS(df_extratos!I:I,df_extratos!F:F,Conciliacao!BF380,df_extratos!G:G,"DEBITO")+SUMIFS(df_extratos!I:I,df_extratos!F:F,Conciliacao!BG380,df_extratos!G:G,"DEBITO")+SUMIFS(df_extratos!I:I,df_extratos!F:F,Conciliacao!BH380,df_extratos!G:G,"DEBITO")</f>
        <v/>
      </c>
      <c r="O380" s="11">
        <f>N380-SUM(J380:M380)</f>
        <v/>
      </c>
      <c r="P380" s="25">
        <f>SUMIFS(df_ajustes_conciliaco!D:D,df_ajustes_conciliaco!C:C,Conciliacao!A380)</f>
        <v/>
      </c>
      <c r="Q380" s="22">
        <f>O380+I380-P380</f>
        <v/>
      </c>
    </row>
    <row r="381">
      <c r="A381" s="5">
        <f>A380+1</f>
        <v/>
      </c>
      <c r="B381" s="3">
        <f>-SUMIFS(df_extrato_zig!G:G,df_extrato_zig!E:E,Conciliacao!A381,df_extrato_zig!D:D,"Saque")-SUMIFS(df_extrato_zig!G:G,df_extrato_zig!E:E,Conciliacao!A381,df_extrato_zig!D:D,"Antecipação")</f>
        <v/>
      </c>
      <c r="C381" s="3">
        <f>SUMIFS(df_extrato_zig!E:E,df_extrato_zig!L:L,Conciliacao!A381,df_extrato_zig!F:F,"DINHEIRO")</f>
        <v/>
      </c>
      <c r="D381" s="3">
        <f>SUMIFS(view_parc_agrup!H:H,view_parc_agrup!G:G,Conciliacao!A381)</f>
        <v/>
      </c>
      <c r="E381" s="3">
        <f>SUMIFS(df_eventos!F:F,df_eventos!H:H,Conciliacao!A381)</f>
        <v/>
      </c>
      <c r="F381" s="3">
        <f>SUMIFS(df_mutuos!M:M,df_mutuos!B:B,Conciliacao!A381)</f>
        <v/>
      </c>
      <c r="G381" s="6">
        <f>SUMIFS(df_bloqueios_judiciais!G:G,df_bloqueios_judiciais!D:D,Conciliacao!A381,df_bloqueios_judiciais!G:G,"&gt;0")</f>
        <v/>
      </c>
      <c r="H381" s="7">
        <f>SUMIFS(df_extratos!I:I,df_extratos!F:F,Conciliacao!BE381,df_extratos!G:G,"CREDITO")+SUMIFS(df_extratos!I:I,df_extratos!F:F,Conciliacao!A381,df_extratos!G:G,"CREDITO")+SUMIFS(df_extratos!I:I,df_extratos!F:F,Conciliacao!BF381,df_extratos!G:G,"CREDITO")+SUMIFS(df_extratos!I:I,df_extratos!F:F,Conciliacao!BG381,df_extratos!G:G,"CREDITO")+SUMIFS(df_extratos!I:I,df_extratos!F:F,Conciliacao!BH381,df_extratos!G:G,"CREDITO")</f>
        <v/>
      </c>
      <c r="I381" s="9">
        <f>H381-SUM(B381:G381)</f>
        <v/>
      </c>
      <c r="J381" s="4">
        <f>SUMIFS(df_blueme_sem_parcelamento!E:E,df_blueme_sem_parcelamento!H:H,Conciliacao!A381)*(-1)</f>
        <v/>
      </c>
      <c r="K381" s="4">
        <f>SUMIFS(df_blueme_com_parcelamento!J:J,df_blueme_com_parcelamento!M:M,Conciliacao!A381)*(-1)</f>
        <v/>
      </c>
      <c r="L381" s="4">
        <f>SUMIFS(df_mutuos!N:N,df_mutuos!B:B,Conciliacao!A381)*(-1)</f>
        <v/>
      </c>
      <c r="M381" s="8">
        <f>SUMIFS(df_bloqueios_judiciais!G:G,df_bloqueios_judiciais!D:D,Conciliacao!A381,df_bloqueios_judiciais!G:G,"&lt;0")</f>
        <v/>
      </c>
      <c r="N381" s="10">
        <f>SUMIFS(df_extratos!I:I,df_extratos!F:F,Conciliacao!BE381,df_extratos!G:G,"DEBITO")+SUMIFS(df_extratos!I:I,df_extratos!F:F,Conciliacao!A381,df_extratos!G:G,"DEBITO")+SUMIFS(df_extratos!I:I,df_extratos!F:F,Conciliacao!BF381,df_extratos!G:G,"DEBITO")+SUMIFS(df_extratos!I:I,df_extratos!F:F,Conciliacao!BG381,df_extratos!G:G,"DEBITO")+SUMIFS(df_extratos!I:I,df_extratos!F:F,Conciliacao!BH381,df_extratos!G:G,"DEBITO")</f>
        <v/>
      </c>
      <c r="O381" s="11">
        <f>N381-SUM(J381:M381)</f>
        <v/>
      </c>
      <c r="P381" s="25">
        <f>SUMIFS(df_ajustes_conciliaco!D:D,df_ajustes_conciliaco!C:C,Conciliacao!A381)</f>
        <v/>
      </c>
      <c r="Q381" s="22">
        <f>O381+I381-P381</f>
        <v/>
      </c>
    </row>
    <row r="382">
      <c r="A382" s="5">
        <f>A381+1</f>
        <v/>
      </c>
      <c r="B382" s="3">
        <f>-SUMIFS(df_extrato_zig!G:G,df_extrato_zig!E:E,Conciliacao!A382,df_extrato_zig!D:D,"Saque")-SUMIFS(df_extrato_zig!G:G,df_extrato_zig!E:E,Conciliacao!A382,df_extrato_zig!D:D,"Antecipação")</f>
        <v/>
      </c>
      <c r="C382" s="3">
        <f>SUMIFS(df_extrato_zig!E:E,df_extrato_zig!L:L,Conciliacao!A382,df_extrato_zig!F:F,"DINHEIRO")</f>
        <v/>
      </c>
      <c r="D382" s="3">
        <f>SUMIFS(view_parc_agrup!H:H,view_parc_agrup!G:G,Conciliacao!A382)</f>
        <v/>
      </c>
      <c r="E382" s="3">
        <f>SUMIFS(df_eventos!F:F,df_eventos!H:H,Conciliacao!A382)</f>
        <v/>
      </c>
      <c r="F382" s="3">
        <f>SUMIFS(df_mutuos!M:M,df_mutuos!B:B,Conciliacao!A382)</f>
        <v/>
      </c>
      <c r="G382" s="6">
        <f>SUMIFS(df_bloqueios_judiciais!G:G,df_bloqueios_judiciais!D:D,Conciliacao!A382,df_bloqueios_judiciais!G:G,"&gt;0")</f>
        <v/>
      </c>
      <c r="H382" s="7">
        <f>SUMIFS(df_extratos!I:I,df_extratos!F:F,Conciliacao!BE382,df_extratos!G:G,"CREDITO")+SUMIFS(df_extratos!I:I,df_extratos!F:F,Conciliacao!A382,df_extratos!G:G,"CREDITO")+SUMIFS(df_extratos!I:I,df_extratos!F:F,Conciliacao!BF382,df_extratos!G:G,"CREDITO")+SUMIFS(df_extratos!I:I,df_extratos!F:F,Conciliacao!BG382,df_extratos!G:G,"CREDITO")+SUMIFS(df_extratos!I:I,df_extratos!F:F,Conciliacao!BH382,df_extratos!G:G,"CREDITO")</f>
        <v/>
      </c>
      <c r="I382" s="9">
        <f>H382-SUM(B382:G382)</f>
        <v/>
      </c>
      <c r="J382" s="4">
        <f>SUMIFS(df_blueme_sem_parcelamento!E:E,df_blueme_sem_parcelamento!H:H,Conciliacao!A382)*(-1)</f>
        <v/>
      </c>
      <c r="K382" s="4">
        <f>SUMIFS(df_blueme_com_parcelamento!J:J,df_blueme_com_parcelamento!M:M,Conciliacao!A382)*(-1)</f>
        <v/>
      </c>
      <c r="L382" s="4">
        <f>SUMIFS(df_mutuos!N:N,df_mutuos!B:B,Conciliacao!A382)*(-1)</f>
        <v/>
      </c>
      <c r="M382" s="8">
        <f>SUMIFS(df_bloqueios_judiciais!G:G,df_bloqueios_judiciais!D:D,Conciliacao!A382,df_bloqueios_judiciais!G:G,"&lt;0")</f>
        <v/>
      </c>
      <c r="N382" s="10">
        <f>SUMIFS(df_extratos!I:I,df_extratos!F:F,Conciliacao!BE382,df_extratos!G:G,"DEBITO")+SUMIFS(df_extratos!I:I,df_extratos!F:F,Conciliacao!A382,df_extratos!G:G,"DEBITO")+SUMIFS(df_extratos!I:I,df_extratos!F:F,Conciliacao!BF382,df_extratos!G:G,"DEBITO")+SUMIFS(df_extratos!I:I,df_extratos!F:F,Conciliacao!BG382,df_extratos!G:G,"DEBITO")+SUMIFS(df_extratos!I:I,df_extratos!F:F,Conciliacao!BH382,df_extratos!G:G,"DEBITO")</f>
        <v/>
      </c>
      <c r="O382" s="11">
        <f>N382-SUM(J382:M382)</f>
        <v/>
      </c>
      <c r="P382" s="25">
        <f>SUMIFS(df_ajustes_conciliaco!D:D,df_ajustes_conciliaco!C:C,Conciliacao!A382)</f>
        <v/>
      </c>
      <c r="Q382" s="22">
        <f>O382+I382-P382</f>
        <v/>
      </c>
    </row>
    <row r="383">
      <c r="A383" s="5">
        <f>A382+1</f>
        <v/>
      </c>
      <c r="B383" s="3">
        <f>-SUMIFS(df_extrato_zig!G:G,df_extrato_zig!E:E,Conciliacao!A383,df_extrato_zig!D:D,"Saque")-SUMIFS(df_extrato_zig!G:G,df_extrato_zig!E:E,Conciliacao!A383,df_extrato_zig!D:D,"Antecipação")</f>
        <v/>
      </c>
      <c r="C383" s="3">
        <f>SUMIFS(df_extrato_zig!E:E,df_extrato_zig!L:L,Conciliacao!A383,df_extrato_zig!F:F,"DINHEIRO")</f>
        <v/>
      </c>
      <c r="D383" s="3">
        <f>SUMIFS(view_parc_agrup!H:H,view_parc_agrup!G:G,Conciliacao!A383)</f>
        <v/>
      </c>
      <c r="E383" s="3">
        <f>SUMIFS(df_eventos!F:F,df_eventos!H:H,Conciliacao!A383)</f>
        <v/>
      </c>
      <c r="F383" s="3">
        <f>SUMIFS(df_mutuos!M:M,df_mutuos!B:B,Conciliacao!A383)</f>
        <v/>
      </c>
      <c r="G383" s="6">
        <f>SUMIFS(df_bloqueios_judiciais!G:G,df_bloqueios_judiciais!D:D,Conciliacao!A383,df_bloqueios_judiciais!G:G,"&gt;0")</f>
        <v/>
      </c>
      <c r="H383" s="7">
        <f>SUMIFS(df_extratos!I:I,df_extratos!F:F,Conciliacao!BE383,df_extratos!G:G,"CREDITO")+SUMIFS(df_extratos!I:I,df_extratos!F:F,Conciliacao!A383,df_extratos!G:G,"CREDITO")+SUMIFS(df_extratos!I:I,df_extratos!F:F,Conciliacao!BF383,df_extratos!G:G,"CREDITO")+SUMIFS(df_extratos!I:I,df_extratos!F:F,Conciliacao!BG383,df_extratos!G:G,"CREDITO")+SUMIFS(df_extratos!I:I,df_extratos!F:F,Conciliacao!BH383,df_extratos!G:G,"CREDITO")</f>
        <v/>
      </c>
      <c r="I383" s="9">
        <f>H383-SUM(B383:G383)</f>
        <v/>
      </c>
      <c r="J383" s="4">
        <f>SUMIFS(df_blueme_sem_parcelamento!E:E,df_blueme_sem_parcelamento!H:H,Conciliacao!A383)*(-1)</f>
        <v/>
      </c>
      <c r="K383" s="4">
        <f>SUMIFS(df_blueme_com_parcelamento!J:J,df_blueme_com_parcelamento!M:M,Conciliacao!A383)*(-1)</f>
        <v/>
      </c>
      <c r="L383" s="4">
        <f>SUMIFS(df_mutuos!N:N,df_mutuos!B:B,Conciliacao!A383)*(-1)</f>
        <v/>
      </c>
      <c r="M383" s="8">
        <f>SUMIFS(df_bloqueios_judiciais!G:G,df_bloqueios_judiciais!D:D,Conciliacao!A383,df_bloqueios_judiciais!G:G,"&lt;0")</f>
        <v/>
      </c>
      <c r="N383" s="10">
        <f>SUMIFS(df_extratos!I:I,df_extratos!F:F,Conciliacao!BE383,df_extratos!G:G,"DEBITO")+SUMIFS(df_extratos!I:I,df_extratos!F:F,Conciliacao!A383,df_extratos!G:G,"DEBITO")+SUMIFS(df_extratos!I:I,df_extratos!F:F,Conciliacao!BF383,df_extratos!G:G,"DEBITO")+SUMIFS(df_extratos!I:I,df_extratos!F:F,Conciliacao!BG383,df_extratos!G:G,"DEBITO")+SUMIFS(df_extratos!I:I,df_extratos!F:F,Conciliacao!BH383,df_extratos!G:G,"DEBITO")</f>
        <v/>
      </c>
      <c r="O383" s="11">
        <f>N383-SUM(J383:M383)</f>
        <v/>
      </c>
      <c r="P383" s="25">
        <f>SUMIFS(df_ajustes_conciliaco!D:D,df_ajustes_conciliaco!C:C,Conciliacao!A383)</f>
        <v/>
      </c>
      <c r="Q383" s="22">
        <f>O383+I383-P383</f>
        <v/>
      </c>
    </row>
    <row r="384">
      <c r="A384" s="5">
        <f>A383+1</f>
        <v/>
      </c>
      <c r="B384" s="3">
        <f>-SUMIFS(df_extrato_zig!G:G,df_extrato_zig!E:E,Conciliacao!A384,df_extrato_zig!D:D,"Saque")-SUMIFS(df_extrato_zig!G:G,df_extrato_zig!E:E,Conciliacao!A384,df_extrato_zig!D:D,"Antecipação")</f>
        <v/>
      </c>
      <c r="C384" s="3">
        <f>SUMIFS(df_extrato_zig!E:E,df_extrato_zig!L:L,Conciliacao!A384,df_extrato_zig!F:F,"DINHEIRO")</f>
        <v/>
      </c>
      <c r="D384" s="3">
        <f>SUMIFS(view_parc_agrup!H:H,view_parc_agrup!G:G,Conciliacao!A384)</f>
        <v/>
      </c>
      <c r="E384" s="3">
        <f>SUMIFS(df_eventos!F:F,df_eventos!H:H,Conciliacao!A384)</f>
        <v/>
      </c>
      <c r="F384" s="3">
        <f>SUMIFS(df_mutuos!M:M,df_mutuos!B:B,Conciliacao!A384)</f>
        <v/>
      </c>
      <c r="G384" s="6">
        <f>SUMIFS(df_bloqueios_judiciais!G:G,df_bloqueios_judiciais!D:D,Conciliacao!A384,df_bloqueios_judiciais!G:G,"&gt;0")</f>
        <v/>
      </c>
      <c r="H384" s="7">
        <f>SUMIFS(df_extratos!I:I,df_extratos!F:F,Conciliacao!BE384,df_extratos!G:G,"CREDITO")+SUMIFS(df_extratos!I:I,df_extratos!F:F,Conciliacao!A384,df_extratos!G:G,"CREDITO")+SUMIFS(df_extratos!I:I,df_extratos!F:F,Conciliacao!BF384,df_extratos!G:G,"CREDITO")+SUMIFS(df_extratos!I:I,df_extratos!F:F,Conciliacao!BG384,df_extratos!G:G,"CREDITO")+SUMIFS(df_extratos!I:I,df_extratos!F:F,Conciliacao!BH384,df_extratos!G:G,"CREDITO")</f>
        <v/>
      </c>
      <c r="I384" s="9">
        <f>H384-SUM(B384:G384)</f>
        <v/>
      </c>
      <c r="J384" s="4">
        <f>SUMIFS(df_blueme_sem_parcelamento!E:E,df_blueme_sem_parcelamento!H:H,Conciliacao!A384)*(-1)</f>
        <v/>
      </c>
      <c r="K384" s="4">
        <f>SUMIFS(df_blueme_com_parcelamento!J:J,df_blueme_com_parcelamento!M:M,Conciliacao!A384)*(-1)</f>
        <v/>
      </c>
      <c r="L384" s="4">
        <f>SUMIFS(df_mutuos!N:N,df_mutuos!B:B,Conciliacao!A384)*(-1)</f>
        <v/>
      </c>
      <c r="M384" s="8">
        <f>SUMIFS(df_bloqueios_judiciais!G:G,df_bloqueios_judiciais!D:D,Conciliacao!A384,df_bloqueios_judiciais!G:G,"&lt;0")</f>
        <v/>
      </c>
      <c r="N384" s="10">
        <f>SUMIFS(df_extratos!I:I,df_extratos!F:F,Conciliacao!BE384,df_extratos!G:G,"DEBITO")+SUMIFS(df_extratos!I:I,df_extratos!F:F,Conciliacao!A384,df_extratos!G:G,"DEBITO")+SUMIFS(df_extratos!I:I,df_extratos!F:F,Conciliacao!BF384,df_extratos!G:G,"DEBITO")+SUMIFS(df_extratos!I:I,df_extratos!F:F,Conciliacao!BG384,df_extratos!G:G,"DEBITO")+SUMIFS(df_extratos!I:I,df_extratos!F:F,Conciliacao!BH384,df_extratos!G:G,"DEBITO")</f>
        <v/>
      </c>
      <c r="O384" s="11">
        <f>N384-SUM(J384:M384)</f>
        <v/>
      </c>
      <c r="P384" s="25">
        <f>SUMIFS(df_ajustes_conciliaco!D:D,df_ajustes_conciliaco!C:C,Conciliacao!A384)</f>
        <v/>
      </c>
      <c r="Q384" s="22">
        <f>O384+I384-P384</f>
        <v/>
      </c>
    </row>
    <row r="385">
      <c r="A385" s="5">
        <f>A384+1</f>
        <v/>
      </c>
      <c r="B385" s="3">
        <f>-SUMIFS(df_extrato_zig!G:G,df_extrato_zig!E:E,Conciliacao!A385,df_extrato_zig!D:D,"Saque")-SUMIFS(df_extrato_zig!G:G,df_extrato_zig!E:E,Conciliacao!A385,df_extrato_zig!D:D,"Antecipação")</f>
        <v/>
      </c>
      <c r="C385" s="3">
        <f>SUMIFS(df_extrato_zig!E:E,df_extrato_zig!L:L,Conciliacao!A385,df_extrato_zig!F:F,"DINHEIRO")</f>
        <v/>
      </c>
      <c r="D385" s="3">
        <f>SUMIFS(view_parc_agrup!H:H,view_parc_agrup!G:G,Conciliacao!A385)</f>
        <v/>
      </c>
      <c r="E385" s="3">
        <f>SUMIFS(df_eventos!F:F,df_eventos!H:H,Conciliacao!A385)</f>
        <v/>
      </c>
      <c r="F385" s="3">
        <f>SUMIFS(df_mutuos!M:M,df_mutuos!B:B,Conciliacao!A385)</f>
        <v/>
      </c>
      <c r="G385" s="6">
        <f>SUMIFS(df_bloqueios_judiciais!G:G,df_bloqueios_judiciais!D:D,Conciliacao!A385,df_bloqueios_judiciais!G:G,"&gt;0")</f>
        <v/>
      </c>
      <c r="H385" s="7">
        <f>SUMIFS(df_extratos!I:I,df_extratos!F:F,Conciliacao!BE385,df_extratos!G:G,"CREDITO")+SUMIFS(df_extratos!I:I,df_extratos!F:F,Conciliacao!A385,df_extratos!G:G,"CREDITO")+SUMIFS(df_extratos!I:I,df_extratos!F:F,Conciliacao!BF385,df_extratos!G:G,"CREDITO")+SUMIFS(df_extratos!I:I,df_extratos!F:F,Conciliacao!BG385,df_extratos!G:G,"CREDITO")+SUMIFS(df_extratos!I:I,df_extratos!F:F,Conciliacao!BH385,df_extratos!G:G,"CREDITO")</f>
        <v/>
      </c>
      <c r="I385" s="9">
        <f>H385-SUM(B385:G385)</f>
        <v/>
      </c>
      <c r="J385" s="4">
        <f>SUMIFS(df_blueme_sem_parcelamento!E:E,df_blueme_sem_parcelamento!H:H,Conciliacao!A385)*(-1)</f>
        <v/>
      </c>
      <c r="K385" s="4">
        <f>SUMIFS(df_blueme_com_parcelamento!J:J,df_blueme_com_parcelamento!M:M,Conciliacao!A385)*(-1)</f>
        <v/>
      </c>
      <c r="L385" s="4">
        <f>SUMIFS(df_mutuos!N:N,df_mutuos!B:B,Conciliacao!A385)*(-1)</f>
        <v/>
      </c>
      <c r="M385" s="8">
        <f>SUMIFS(df_bloqueios_judiciais!G:G,df_bloqueios_judiciais!D:D,Conciliacao!A385,df_bloqueios_judiciais!G:G,"&lt;0")</f>
        <v/>
      </c>
      <c r="N385" s="10">
        <f>SUMIFS(df_extratos!I:I,df_extratos!F:F,Conciliacao!BE385,df_extratos!G:G,"DEBITO")+SUMIFS(df_extratos!I:I,df_extratos!F:F,Conciliacao!A385,df_extratos!G:G,"DEBITO")+SUMIFS(df_extratos!I:I,df_extratos!F:F,Conciliacao!BF385,df_extratos!G:G,"DEBITO")+SUMIFS(df_extratos!I:I,df_extratos!F:F,Conciliacao!BG385,df_extratos!G:G,"DEBITO")+SUMIFS(df_extratos!I:I,df_extratos!F:F,Conciliacao!BH385,df_extratos!G:G,"DEBITO")</f>
        <v/>
      </c>
      <c r="O385" s="11">
        <f>N385-SUM(J385:M385)</f>
        <v/>
      </c>
      <c r="P385" s="25">
        <f>SUMIFS(df_ajustes_conciliaco!D:D,df_ajustes_conciliaco!C:C,Conciliacao!A385)</f>
        <v/>
      </c>
      <c r="Q385" s="22">
        <f>O385+I385-P385</f>
        <v/>
      </c>
    </row>
    <row r="386">
      <c r="A386" s="5">
        <f>A385+1</f>
        <v/>
      </c>
      <c r="B386" s="3">
        <f>-SUMIFS(df_extrato_zig!G:G,df_extrato_zig!E:E,Conciliacao!A386,df_extrato_zig!D:D,"Saque")-SUMIFS(df_extrato_zig!G:G,df_extrato_zig!E:E,Conciliacao!A386,df_extrato_zig!D:D,"Antecipação")</f>
        <v/>
      </c>
      <c r="C386" s="3">
        <f>SUMIFS(df_extrato_zig!E:E,df_extrato_zig!L:L,Conciliacao!A386,df_extrato_zig!F:F,"DINHEIRO")</f>
        <v/>
      </c>
      <c r="D386" s="3">
        <f>SUMIFS(view_parc_agrup!H:H,view_parc_agrup!G:G,Conciliacao!A386)</f>
        <v/>
      </c>
      <c r="E386" s="3">
        <f>SUMIFS(df_eventos!F:F,df_eventos!H:H,Conciliacao!A386)</f>
        <v/>
      </c>
      <c r="F386" s="3">
        <f>SUMIFS(df_mutuos!M:M,df_mutuos!B:B,Conciliacao!A386)</f>
        <v/>
      </c>
      <c r="G386" s="6">
        <f>SUMIFS(df_bloqueios_judiciais!G:G,df_bloqueios_judiciais!D:D,Conciliacao!A386,df_bloqueios_judiciais!G:G,"&gt;0")</f>
        <v/>
      </c>
      <c r="H386" s="7">
        <f>SUMIFS(df_extratos!I:I,df_extratos!F:F,Conciliacao!BE386,df_extratos!G:G,"CREDITO")+SUMIFS(df_extratos!I:I,df_extratos!F:F,Conciliacao!A386,df_extratos!G:G,"CREDITO")+SUMIFS(df_extratos!I:I,df_extratos!F:F,Conciliacao!BF386,df_extratos!G:G,"CREDITO")+SUMIFS(df_extratos!I:I,df_extratos!F:F,Conciliacao!BG386,df_extratos!G:G,"CREDITO")+SUMIFS(df_extratos!I:I,df_extratos!F:F,Conciliacao!BH386,df_extratos!G:G,"CREDITO")</f>
        <v/>
      </c>
      <c r="I386" s="9">
        <f>H386-SUM(B386:G386)</f>
        <v/>
      </c>
      <c r="J386" s="4">
        <f>SUMIFS(df_blueme_sem_parcelamento!E:E,df_blueme_sem_parcelamento!H:H,Conciliacao!A386)*(-1)</f>
        <v/>
      </c>
      <c r="K386" s="4">
        <f>SUMIFS(df_blueme_com_parcelamento!J:J,df_blueme_com_parcelamento!M:M,Conciliacao!A386)*(-1)</f>
        <v/>
      </c>
      <c r="L386" s="4">
        <f>SUMIFS(df_mutuos!N:N,df_mutuos!B:B,Conciliacao!A386)*(-1)</f>
        <v/>
      </c>
      <c r="M386" s="8">
        <f>SUMIFS(df_bloqueios_judiciais!G:G,df_bloqueios_judiciais!D:D,Conciliacao!A386,df_bloqueios_judiciais!G:G,"&lt;0")</f>
        <v/>
      </c>
      <c r="N386" s="10">
        <f>SUMIFS(df_extratos!I:I,df_extratos!F:F,Conciliacao!BE386,df_extratos!G:G,"DEBITO")+SUMIFS(df_extratos!I:I,df_extratos!F:F,Conciliacao!A386,df_extratos!G:G,"DEBITO")+SUMIFS(df_extratos!I:I,df_extratos!F:F,Conciliacao!BF386,df_extratos!G:G,"DEBITO")+SUMIFS(df_extratos!I:I,df_extratos!F:F,Conciliacao!BG386,df_extratos!G:G,"DEBITO")+SUMIFS(df_extratos!I:I,df_extratos!F:F,Conciliacao!BH386,df_extratos!G:G,"DEBITO")</f>
        <v/>
      </c>
      <c r="O386" s="11">
        <f>N386-SUM(J386:M386)</f>
        <v/>
      </c>
      <c r="P386" s="25">
        <f>SUMIFS(df_ajustes_conciliaco!D:D,df_ajustes_conciliaco!C:C,Conciliacao!A386)</f>
        <v/>
      </c>
      <c r="Q386" s="22">
        <f>O386+I386-P386</f>
        <v/>
      </c>
    </row>
    <row r="387">
      <c r="A387" s="5">
        <f>A386+1</f>
        <v/>
      </c>
      <c r="B387" s="3">
        <f>-SUMIFS(df_extrato_zig!G:G,df_extrato_zig!E:E,Conciliacao!A387,df_extrato_zig!D:D,"Saque")-SUMIFS(df_extrato_zig!G:G,df_extrato_zig!E:E,Conciliacao!A387,df_extrato_zig!D:D,"Antecipação")</f>
        <v/>
      </c>
      <c r="C387" s="3">
        <f>SUMIFS(df_extrato_zig!E:E,df_extrato_zig!L:L,Conciliacao!A387,df_extrato_zig!F:F,"DINHEIRO")</f>
        <v/>
      </c>
      <c r="D387" s="3">
        <f>SUMIFS(view_parc_agrup!H:H,view_parc_agrup!G:G,Conciliacao!A387)</f>
        <v/>
      </c>
      <c r="E387" s="3">
        <f>SUMIFS(df_eventos!F:F,df_eventos!H:H,Conciliacao!A387)</f>
        <v/>
      </c>
      <c r="F387" s="3">
        <f>SUMIFS(df_mutuos!M:M,df_mutuos!B:B,Conciliacao!A387)</f>
        <v/>
      </c>
      <c r="G387" s="6">
        <f>SUMIFS(df_bloqueios_judiciais!G:G,df_bloqueios_judiciais!D:D,Conciliacao!A387,df_bloqueios_judiciais!G:G,"&gt;0")</f>
        <v/>
      </c>
      <c r="H387" s="7">
        <f>SUMIFS(df_extratos!I:I,df_extratos!F:F,Conciliacao!BE387,df_extratos!G:G,"CREDITO")+SUMIFS(df_extratos!I:I,df_extratos!F:F,Conciliacao!A387,df_extratos!G:G,"CREDITO")+SUMIFS(df_extratos!I:I,df_extratos!F:F,Conciliacao!BF387,df_extratos!G:G,"CREDITO")+SUMIFS(df_extratos!I:I,df_extratos!F:F,Conciliacao!BG387,df_extratos!G:G,"CREDITO")+SUMIFS(df_extratos!I:I,df_extratos!F:F,Conciliacao!BH387,df_extratos!G:G,"CREDITO")</f>
        <v/>
      </c>
      <c r="I387" s="9">
        <f>H387-SUM(B387:G387)</f>
        <v/>
      </c>
      <c r="J387" s="4">
        <f>SUMIFS(df_blueme_sem_parcelamento!E:E,df_blueme_sem_parcelamento!H:H,Conciliacao!A387)*(-1)</f>
        <v/>
      </c>
      <c r="K387" s="4">
        <f>SUMIFS(df_blueme_com_parcelamento!J:J,df_blueme_com_parcelamento!M:M,Conciliacao!A387)*(-1)</f>
        <v/>
      </c>
      <c r="L387" s="4">
        <f>SUMIFS(df_mutuos!N:N,df_mutuos!B:B,Conciliacao!A387)*(-1)</f>
        <v/>
      </c>
      <c r="M387" s="8">
        <f>SUMIFS(df_bloqueios_judiciais!G:G,df_bloqueios_judiciais!D:D,Conciliacao!A387,df_bloqueios_judiciais!G:G,"&lt;0")</f>
        <v/>
      </c>
      <c r="N387" s="10">
        <f>SUMIFS(df_extratos!I:I,df_extratos!F:F,Conciliacao!BE387,df_extratos!G:G,"DEBITO")+SUMIFS(df_extratos!I:I,df_extratos!F:F,Conciliacao!A387,df_extratos!G:G,"DEBITO")+SUMIFS(df_extratos!I:I,df_extratos!F:F,Conciliacao!BF387,df_extratos!G:G,"DEBITO")+SUMIFS(df_extratos!I:I,df_extratos!F:F,Conciliacao!BG387,df_extratos!G:G,"DEBITO")+SUMIFS(df_extratos!I:I,df_extratos!F:F,Conciliacao!BH387,df_extratos!G:G,"DEBITO")</f>
        <v/>
      </c>
      <c r="O387" s="11">
        <f>N387-SUM(J387:M387)</f>
        <v/>
      </c>
      <c r="P387" s="25">
        <f>SUMIFS(df_ajustes_conciliaco!D:D,df_ajustes_conciliaco!C:C,Conciliacao!A387)</f>
        <v/>
      </c>
      <c r="Q387" s="22">
        <f>O387+I387-P387</f>
        <v/>
      </c>
    </row>
    <row r="388">
      <c r="A388" s="5">
        <f>A387+1</f>
        <v/>
      </c>
      <c r="B388" s="3">
        <f>-SUMIFS(df_extrato_zig!G:G,df_extrato_zig!E:E,Conciliacao!A388,df_extrato_zig!D:D,"Saque")-SUMIFS(df_extrato_zig!G:G,df_extrato_zig!E:E,Conciliacao!A388,df_extrato_zig!D:D,"Antecipação")</f>
        <v/>
      </c>
      <c r="C388" s="3">
        <f>SUMIFS(df_extrato_zig!E:E,df_extrato_zig!L:L,Conciliacao!A388,df_extrato_zig!F:F,"DINHEIRO")</f>
        <v/>
      </c>
      <c r="D388" s="3">
        <f>SUMIFS(view_parc_agrup!H:H,view_parc_agrup!G:G,Conciliacao!A388)</f>
        <v/>
      </c>
      <c r="E388" s="3">
        <f>SUMIFS(df_eventos!F:F,df_eventos!H:H,Conciliacao!A388)</f>
        <v/>
      </c>
      <c r="F388" s="3">
        <f>SUMIFS(df_mutuos!M:M,df_mutuos!B:B,Conciliacao!A388)</f>
        <v/>
      </c>
      <c r="G388" s="6">
        <f>SUMIFS(df_bloqueios_judiciais!G:G,df_bloqueios_judiciais!D:D,Conciliacao!A388,df_bloqueios_judiciais!G:G,"&gt;0")</f>
        <v/>
      </c>
      <c r="H388" s="7">
        <f>SUMIFS(df_extratos!I:I,df_extratos!F:F,Conciliacao!BE388,df_extratos!G:G,"CREDITO")+SUMIFS(df_extratos!I:I,df_extratos!F:F,Conciliacao!A388,df_extratos!G:G,"CREDITO")+SUMIFS(df_extratos!I:I,df_extratos!F:F,Conciliacao!BF388,df_extratos!G:G,"CREDITO")+SUMIFS(df_extratos!I:I,df_extratos!F:F,Conciliacao!BG388,df_extratos!G:G,"CREDITO")+SUMIFS(df_extratos!I:I,df_extratos!F:F,Conciliacao!BH388,df_extratos!G:G,"CREDITO")</f>
        <v/>
      </c>
      <c r="I388" s="9">
        <f>H388-SUM(B388:G388)</f>
        <v/>
      </c>
      <c r="J388" s="4">
        <f>SUMIFS(df_blueme_sem_parcelamento!E:E,df_blueme_sem_parcelamento!H:H,Conciliacao!A388)*(-1)</f>
        <v/>
      </c>
      <c r="K388" s="4">
        <f>SUMIFS(df_blueme_com_parcelamento!J:J,df_blueme_com_parcelamento!M:M,Conciliacao!A388)*(-1)</f>
        <v/>
      </c>
      <c r="L388" s="4">
        <f>SUMIFS(df_mutuos!N:N,df_mutuos!B:B,Conciliacao!A388)*(-1)</f>
        <v/>
      </c>
      <c r="M388" s="8">
        <f>SUMIFS(df_bloqueios_judiciais!G:G,df_bloqueios_judiciais!D:D,Conciliacao!A388,df_bloqueios_judiciais!G:G,"&lt;0")</f>
        <v/>
      </c>
      <c r="N388" s="10">
        <f>SUMIFS(df_extratos!I:I,df_extratos!F:F,Conciliacao!BE388,df_extratos!G:G,"DEBITO")+SUMIFS(df_extratos!I:I,df_extratos!F:F,Conciliacao!A388,df_extratos!G:G,"DEBITO")+SUMIFS(df_extratos!I:I,df_extratos!F:F,Conciliacao!BF388,df_extratos!G:G,"DEBITO")+SUMIFS(df_extratos!I:I,df_extratos!F:F,Conciliacao!BG388,df_extratos!G:G,"DEBITO")+SUMIFS(df_extratos!I:I,df_extratos!F:F,Conciliacao!BH388,df_extratos!G:G,"DEBITO")</f>
        <v/>
      </c>
      <c r="O388" s="11">
        <f>N388-SUM(J388:M388)</f>
        <v/>
      </c>
      <c r="P388" s="25">
        <f>SUMIFS(df_ajustes_conciliaco!D:D,df_ajustes_conciliaco!C:C,Conciliacao!A388)</f>
        <v/>
      </c>
      <c r="Q388" s="22">
        <f>O388+I388-P388</f>
        <v/>
      </c>
    </row>
    <row r="389">
      <c r="A389" s="5">
        <f>A388+1</f>
        <v/>
      </c>
      <c r="B389" s="3">
        <f>-SUMIFS(df_extrato_zig!G:G,df_extrato_zig!E:E,Conciliacao!A389,df_extrato_zig!D:D,"Saque")-SUMIFS(df_extrato_zig!G:G,df_extrato_zig!E:E,Conciliacao!A389,df_extrato_zig!D:D,"Antecipação")</f>
        <v/>
      </c>
      <c r="C389" s="3">
        <f>SUMIFS(df_extrato_zig!E:E,df_extrato_zig!L:L,Conciliacao!A389,df_extrato_zig!F:F,"DINHEIRO")</f>
        <v/>
      </c>
      <c r="D389" s="3">
        <f>SUMIFS(view_parc_agrup!H:H,view_parc_agrup!G:G,Conciliacao!A389)</f>
        <v/>
      </c>
      <c r="E389" s="3">
        <f>SUMIFS(df_eventos!F:F,df_eventos!H:H,Conciliacao!A389)</f>
        <v/>
      </c>
      <c r="F389" s="3">
        <f>SUMIFS(df_mutuos!M:M,df_mutuos!B:B,Conciliacao!A389)</f>
        <v/>
      </c>
      <c r="G389" s="6">
        <f>SUMIFS(df_bloqueios_judiciais!G:G,df_bloqueios_judiciais!D:D,Conciliacao!A389,df_bloqueios_judiciais!G:G,"&gt;0")</f>
        <v/>
      </c>
      <c r="H389" s="7">
        <f>SUMIFS(df_extratos!I:I,df_extratos!F:F,Conciliacao!BE389,df_extratos!G:G,"CREDITO")+SUMIFS(df_extratos!I:I,df_extratos!F:F,Conciliacao!A389,df_extratos!G:G,"CREDITO")+SUMIFS(df_extratos!I:I,df_extratos!F:F,Conciliacao!BF389,df_extratos!G:G,"CREDITO")+SUMIFS(df_extratos!I:I,df_extratos!F:F,Conciliacao!BG389,df_extratos!G:G,"CREDITO")+SUMIFS(df_extratos!I:I,df_extratos!F:F,Conciliacao!BH389,df_extratos!G:G,"CREDITO")</f>
        <v/>
      </c>
      <c r="I389" s="9">
        <f>H389-SUM(B389:G389)</f>
        <v/>
      </c>
      <c r="J389" s="4">
        <f>SUMIFS(df_blueme_sem_parcelamento!E:E,df_blueme_sem_parcelamento!H:H,Conciliacao!A389)*(-1)</f>
        <v/>
      </c>
      <c r="K389" s="4">
        <f>SUMIFS(df_blueme_com_parcelamento!J:J,df_blueme_com_parcelamento!M:M,Conciliacao!A389)*(-1)</f>
        <v/>
      </c>
      <c r="L389" s="4">
        <f>SUMIFS(df_mutuos!N:N,df_mutuos!B:B,Conciliacao!A389)*(-1)</f>
        <v/>
      </c>
      <c r="M389" s="8">
        <f>SUMIFS(df_bloqueios_judiciais!G:G,df_bloqueios_judiciais!D:D,Conciliacao!A389,df_bloqueios_judiciais!G:G,"&lt;0")</f>
        <v/>
      </c>
      <c r="N389" s="10">
        <f>SUMIFS(df_extratos!I:I,df_extratos!F:F,Conciliacao!BE389,df_extratos!G:G,"DEBITO")+SUMIFS(df_extratos!I:I,df_extratos!F:F,Conciliacao!A389,df_extratos!G:G,"DEBITO")+SUMIFS(df_extratos!I:I,df_extratos!F:F,Conciliacao!BF389,df_extratos!G:G,"DEBITO")+SUMIFS(df_extratos!I:I,df_extratos!F:F,Conciliacao!BG389,df_extratos!G:G,"DEBITO")+SUMIFS(df_extratos!I:I,df_extratos!F:F,Conciliacao!BH389,df_extratos!G:G,"DEBITO")</f>
        <v/>
      </c>
      <c r="O389" s="11">
        <f>N389-SUM(J389:M389)</f>
        <v/>
      </c>
      <c r="P389" s="25">
        <f>SUMIFS(df_ajustes_conciliaco!D:D,df_ajustes_conciliaco!C:C,Conciliacao!A389)</f>
        <v/>
      </c>
      <c r="Q389" s="22">
        <f>O389+I389-P389</f>
        <v/>
      </c>
    </row>
    <row r="390">
      <c r="A390" s="5">
        <f>A389+1</f>
        <v/>
      </c>
      <c r="B390" s="3">
        <f>-SUMIFS(df_extrato_zig!G:G,df_extrato_zig!E:E,Conciliacao!A390,df_extrato_zig!D:D,"Saque")-SUMIFS(df_extrato_zig!G:G,df_extrato_zig!E:E,Conciliacao!A390,df_extrato_zig!D:D,"Antecipação")</f>
        <v/>
      </c>
      <c r="C390" s="3">
        <f>SUMIFS(df_extrato_zig!E:E,df_extrato_zig!L:L,Conciliacao!A390,df_extrato_zig!F:F,"DINHEIRO")</f>
        <v/>
      </c>
      <c r="D390" s="3">
        <f>SUMIFS(view_parc_agrup!H:H,view_parc_agrup!G:G,Conciliacao!A390)</f>
        <v/>
      </c>
      <c r="E390" s="3">
        <f>SUMIFS(df_eventos!F:F,df_eventos!H:H,Conciliacao!A390)</f>
        <v/>
      </c>
      <c r="F390" s="3">
        <f>SUMIFS(df_mutuos!M:M,df_mutuos!B:B,Conciliacao!A390)</f>
        <v/>
      </c>
      <c r="G390" s="6">
        <f>SUMIFS(df_bloqueios_judiciais!G:G,df_bloqueios_judiciais!D:D,Conciliacao!A390,df_bloqueios_judiciais!G:G,"&gt;0")</f>
        <v/>
      </c>
      <c r="H390" s="7">
        <f>SUMIFS(df_extratos!I:I,df_extratos!F:F,Conciliacao!BE390,df_extratos!G:G,"CREDITO")+SUMIFS(df_extratos!I:I,df_extratos!F:F,Conciliacao!A390,df_extratos!G:G,"CREDITO")+SUMIFS(df_extratos!I:I,df_extratos!F:F,Conciliacao!BF390,df_extratos!G:G,"CREDITO")+SUMIFS(df_extratos!I:I,df_extratos!F:F,Conciliacao!BG390,df_extratos!G:G,"CREDITO")+SUMIFS(df_extratos!I:I,df_extratos!F:F,Conciliacao!BH390,df_extratos!G:G,"CREDITO")</f>
        <v/>
      </c>
      <c r="I390" s="9">
        <f>H390-SUM(B390:G390)</f>
        <v/>
      </c>
      <c r="J390" s="4">
        <f>SUMIFS(df_blueme_sem_parcelamento!E:E,df_blueme_sem_parcelamento!H:H,Conciliacao!A390)*(-1)</f>
        <v/>
      </c>
      <c r="K390" s="4">
        <f>SUMIFS(df_blueme_com_parcelamento!J:J,df_blueme_com_parcelamento!M:M,Conciliacao!A390)*(-1)</f>
        <v/>
      </c>
      <c r="L390" s="4">
        <f>SUMIFS(df_mutuos!N:N,df_mutuos!B:B,Conciliacao!A390)*(-1)</f>
        <v/>
      </c>
      <c r="M390" s="8">
        <f>SUMIFS(df_bloqueios_judiciais!G:G,df_bloqueios_judiciais!D:D,Conciliacao!A390,df_bloqueios_judiciais!G:G,"&lt;0")</f>
        <v/>
      </c>
      <c r="N390" s="10">
        <f>SUMIFS(df_extratos!I:I,df_extratos!F:F,Conciliacao!BE390,df_extratos!G:G,"DEBITO")+SUMIFS(df_extratos!I:I,df_extratos!F:F,Conciliacao!A390,df_extratos!G:G,"DEBITO")+SUMIFS(df_extratos!I:I,df_extratos!F:F,Conciliacao!BF390,df_extratos!G:G,"DEBITO")+SUMIFS(df_extratos!I:I,df_extratos!F:F,Conciliacao!BG390,df_extratos!G:G,"DEBITO")+SUMIFS(df_extratos!I:I,df_extratos!F:F,Conciliacao!BH390,df_extratos!G:G,"DEBITO")</f>
        <v/>
      </c>
      <c r="O390" s="11">
        <f>N390-SUM(J390:M390)</f>
        <v/>
      </c>
      <c r="P390" s="25">
        <f>SUMIFS(df_ajustes_conciliaco!D:D,df_ajustes_conciliaco!C:C,Conciliacao!A390)</f>
        <v/>
      </c>
      <c r="Q390" s="22">
        <f>O390+I390-P390</f>
        <v/>
      </c>
    </row>
    <row r="391">
      <c r="A391" s="5">
        <f>A390+1</f>
        <v/>
      </c>
      <c r="B391" s="3">
        <f>-SUMIFS(df_extrato_zig!G:G,df_extrato_zig!E:E,Conciliacao!A391,df_extrato_zig!D:D,"Saque")-SUMIFS(df_extrato_zig!G:G,df_extrato_zig!E:E,Conciliacao!A391,df_extrato_zig!D:D,"Antecipação")</f>
        <v/>
      </c>
      <c r="C391" s="3">
        <f>SUMIFS(df_extrato_zig!E:E,df_extrato_zig!L:L,Conciliacao!A391,df_extrato_zig!F:F,"DINHEIRO")</f>
        <v/>
      </c>
      <c r="D391" s="3">
        <f>SUMIFS(view_parc_agrup!H:H,view_parc_agrup!G:G,Conciliacao!A391)</f>
        <v/>
      </c>
      <c r="E391" s="3">
        <f>SUMIFS(df_eventos!F:F,df_eventos!H:H,Conciliacao!A391)</f>
        <v/>
      </c>
      <c r="F391" s="3">
        <f>SUMIFS(df_mutuos!M:M,df_mutuos!B:B,Conciliacao!A391)</f>
        <v/>
      </c>
      <c r="G391" s="6">
        <f>SUMIFS(df_bloqueios_judiciais!G:G,df_bloqueios_judiciais!D:D,Conciliacao!A391,df_bloqueios_judiciais!G:G,"&gt;0")</f>
        <v/>
      </c>
      <c r="H391" s="7">
        <f>SUMIFS(df_extratos!I:I,df_extratos!F:F,Conciliacao!BE391,df_extratos!G:G,"CREDITO")+SUMIFS(df_extratos!I:I,df_extratos!F:F,Conciliacao!A391,df_extratos!G:G,"CREDITO")+SUMIFS(df_extratos!I:I,df_extratos!F:F,Conciliacao!BF391,df_extratos!G:G,"CREDITO")+SUMIFS(df_extratos!I:I,df_extratos!F:F,Conciliacao!BG391,df_extratos!G:G,"CREDITO")+SUMIFS(df_extratos!I:I,df_extratos!F:F,Conciliacao!BH391,df_extratos!G:G,"CREDITO")</f>
        <v/>
      </c>
      <c r="I391" s="9">
        <f>H391-SUM(B391:G391)</f>
        <v/>
      </c>
      <c r="J391" s="4">
        <f>SUMIFS(df_blueme_sem_parcelamento!E:E,df_blueme_sem_parcelamento!H:H,Conciliacao!A391)*(-1)</f>
        <v/>
      </c>
      <c r="K391" s="4">
        <f>SUMIFS(df_blueme_com_parcelamento!J:J,df_blueme_com_parcelamento!M:M,Conciliacao!A391)*(-1)</f>
        <v/>
      </c>
      <c r="L391" s="4">
        <f>SUMIFS(df_mutuos!N:N,df_mutuos!B:B,Conciliacao!A391)*(-1)</f>
        <v/>
      </c>
      <c r="M391" s="8">
        <f>SUMIFS(df_bloqueios_judiciais!G:G,df_bloqueios_judiciais!D:D,Conciliacao!A391,df_bloqueios_judiciais!G:G,"&lt;0")</f>
        <v/>
      </c>
      <c r="N391" s="10">
        <f>SUMIFS(df_extratos!I:I,df_extratos!F:F,Conciliacao!BE391,df_extratos!G:G,"DEBITO")+SUMIFS(df_extratos!I:I,df_extratos!F:F,Conciliacao!A391,df_extratos!G:G,"DEBITO")+SUMIFS(df_extratos!I:I,df_extratos!F:F,Conciliacao!BF391,df_extratos!G:G,"DEBITO")+SUMIFS(df_extratos!I:I,df_extratos!F:F,Conciliacao!BG391,df_extratos!G:G,"DEBITO")+SUMIFS(df_extratos!I:I,df_extratos!F:F,Conciliacao!BH391,df_extratos!G:G,"DEBITO")</f>
        <v/>
      </c>
      <c r="O391" s="11">
        <f>N391-SUM(J391:M391)</f>
        <v/>
      </c>
      <c r="P391" s="25">
        <f>SUMIFS(df_ajustes_conciliaco!D:D,df_ajustes_conciliaco!C:C,Conciliacao!A391)</f>
        <v/>
      </c>
      <c r="Q391" s="22">
        <f>O391+I391-P391</f>
        <v/>
      </c>
    </row>
    <row r="392">
      <c r="A392" s="5">
        <f>A391+1</f>
        <v/>
      </c>
      <c r="B392" s="3">
        <f>-SUMIFS(df_extrato_zig!G:G,df_extrato_zig!E:E,Conciliacao!A392,df_extrato_zig!D:D,"Saque")-SUMIFS(df_extrato_zig!G:G,df_extrato_zig!E:E,Conciliacao!A392,df_extrato_zig!D:D,"Antecipação")</f>
        <v/>
      </c>
      <c r="C392" s="3">
        <f>SUMIFS(df_extrato_zig!E:E,df_extrato_zig!L:L,Conciliacao!A392,df_extrato_zig!F:F,"DINHEIRO")</f>
        <v/>
      </c>
      <c r="D392" s="3">
        <f>SUMIFS(view_parc_agrup!H:H,view_parc_agrup!G:G,Conciliacao!A392)</f>
        <v/>
      </c>
      <c r="E392" s="3">
        <f>SUMIFS(df_eventos!F:F,df_eventos!H:H,Conciliacao!A392)</f>
        <v/>
      </c>
      <c r="F392" s="3">
        <f>SUMIFS(df_mutuos!M:M,df_mutuos!B:B,Conciliacao!A392)</f>
        <v/>
      </c>
      <c r="G392" s="6">
        <f>SUMIFS(df_bloqueios_judiciais!G:G,df_bloqueios_judiciais!D:D,Conciliacao!A392,df_bloqueios_judiciais!G:G,"&gt;0")</f>
        <v/>
      </c>
      <c r="H392" s="7">
        <f>SUMIFS(df_extratos!I:I,df_extratos!F:F,Conciliacao!BE392,df_extratos!G:G,"CREDITO")+SUMIFS(df_extratos!I:I,df_extratos!F:F,Conciliacao!A392,df_extratos!G:G,"CREDITO")+SUMIFS(df_extratos!I:I,df_extratos!F:F,Conciliacao!BF392,df_extratos!G:G,"CREDITO")+SUMIFS(df_extratos!I:I,df_extratos!F:F,Conciliacao!BG392,df_extratos!G:G,"CREDITO")+SUMIFS(df_extratos!I:I,df_extratos!F:F,Conciliacao!BH392,df_extratos!G:G,"CREDITO")</f>
        <v/>
      </c>
      <c r="I392" s="9">
        <f>H392-SUM(B392:G392)</f>
        <v/>
      </c>
      <c r="J392" s="4">
        <f>SUMIFS(df_blueme_sem_parcelamento!E:E,df_blueme_sem_parcelamento!H:H,Conciliacao!A392)*(-1)</f>
        <v/>
      </c>
      <c r="K392" s="4">
        <f>SUMIFS(df_blueme_com_parcelamento!J:J,df_blueme_com_parcelamento!M:M,Conciliacao!A392)*(-1)</f>
        <v/>
      </c>
      <c r="L392" s="4">
        <f>SUMIFS(df_mutuos!N:N,df_mutuos!B:B,Conciliacao!A392)*(-1)</f>
        <v/>
      </c>
      <c r="M392" s="8">
        <f>SUMIFS(df_bloqueios_judiciais!G:G,df_bloqueios_judiciais!D:D,Conciliacao!A392,df_bloqueios_judiciais!G:G,"&lt;0")</f>
        <v/>
      </c>
      <c r="N392" s="10">
        <f>SUMIFS(df_extratos!I:I,df_extratos!F:F,Conciliacao!BE392,df_extratos!G:G,"DEBITO")+SUMIFS(df_extratos!I:I,df_extratos!F:F,Conciliacao!A392,df_extratos!G:G,"DEBITO")+SUMIFS(df_extratos!I:I,df_extratos!F:F,Conciliacao!BF392,df_extratos!G:G,"DEBITO")+SUMIFS(df_extratos!I:I,df_extratos!F:F,Conciliacao!BG392,df_extratos!G:G,"DEBITO")+SUMIFS(df_extratos!I:I,df_extratos!F:F,Conciliacao!BH392,df_extratos!G:G,"DEBITO")</f>
        <v/>
      </c>
      <c r="O392" s="11">
        <f>N392-SUM(J392:M392)</f>
        <v/>
      </c>
      <c r="P392" s="25">
        <f>SUMIFS(df_ajustes_conciliaco!D:D,df_ajustes_conciliaco!C:C,Conciliacao!A392)</f>
        <v/>
      </c>
      <c r="Q392" s="22">
        <f>O392+I392-P392</f>
        <v/>
      </c>
    </row>
    <row r="393">
      <c r="A393" s="5">
        <f>A392+1</f>
        <v/>
      </c>
      <c r="B393" s="3">
        <f>-SUMIFS(df_extrato_zig!G:G,df_extrato_zig!E:E,Conciliacao!A393,df_extrato_zig!D:D,"Saque")-SUMIFS(df_extrato_zig!G:G,df_extrato_zig!E:E,Conciliacao!A393,df_extrato_zig!D:D,"Antecipação")</f>
        <v/>
      </c>
      <c r="C393" s="3">
        <f>SUMIFS(df_extrato_zig!E:E,df_extrato_zig!L:L,Conciliacao!A393,df_extrato_zig!F:F,"DINHEIRO")</f>
        <v/>
      </c>
      <c r="D393" s="3">
        <f>SUMIFS(view_parc_agrup!H:H,view_parc_agrup!G:G,Conciliacao!A393)</f>
        <v/>
      </c>
      <c r="E393" s="3">
        <f>SUMIFS(df_eventos!F:F,df_eventos!H:H,Conciliacao!A393)</f>
        <v/>
      </c>
      <c r="F393" s="3">
        <f>SUMIFS(df_mutuos!M:M,df_mutuos!B:B,Conciliacao!A393)</f>
        <v/>
      </c>
      <c r="G393" s="6">
        <f>SUMIFS(df_bloqueios_judiciais!G:G,df_bloqueios_judiciais!D:D,Conciliacao!A393,df_bloqueios_judiciais!G:G,"&gt;0")</f>
        <v/>
      </c>
      <c r="H393" s="7">
        <f>SUMIFS(df_extratos!I:I,df_extratos!F:F,Conciliacao!BE393,df_extratos!G:G,"CREDITO")+SUMIFS(df_extratos!I:I,df_extratos!F:F,Conciliacao!A393,df_extratos!G:G,"CREDITO")+SUMIFS(df_extratos!I:I,df_extratos!F:F,Conciliacao!BF393,df_extratos!G:G,"CREDITO")+SUMIFS(df_extratos!I:I,df_extratos!F:F,Conciliacao!BG393,df_extratos!G:G,"CREDITO")+SUMIFS(df_extratos!I:I,df_extratos!F:F,Conciliacao!BH393,df_extratos!G:G,"CREDITO")</f>
        <v/>
      </c>
      <c r="I393" s="9">
        <f>H393-SUM(B393:G393)</f>
        <v/>
      </c>
      <c r="J393" s="4">
        <f>SUMIFS(df_blueme_sem_parcelamento!E:E,df_blueme_sem_parcelamento!H:H,Conciliacao!A393)*(-1)</f>
        <v/>
      </c>
      <c r="K393" s="4">
        <f>SUMIFS(df_blueme_com_parcelamento!J:J,df_blueme_com_parcelamento!M:M,Conciliacao!A393)*(-1)</f>
        <v/>
      </c>
      <c r="L393" s="4">
        <f>SUMIFS(df_mutuos!N:N,df_mutuos!B:B,Conciliacao!A393)*(-1)</f>
        <v/>
      </c>
      <c r="M393" s="8">
        <f>SUMIFS(df_bloqueios_judiciais!G:G,df_bloqueios_judiciais!D:D,Conciliacao!A393,df_bloqueios_judiciais!G:G,"&lt;0")</f>
        <v/>
      </c>
      <c r="N393" s="10">
        <f>SUMIFS(df_extratos!I:I,df_extratos!F:F,Conciliacao!BE393,df_extratos!G:G,"DEBITO")+SUMIFS(df_extratos!I:I,df_extratos!F:F,Conciliacao!A393,df_extratos!G:G,"DEBITO")+SUMIFS(df_extratos!I:I,df_extratos!F:F,Conciliacao!BF393,df_extratos!G:G,"DEBITO")+SUMIFS(df_extratos!I:I,df_extratos!F:F,Conciliacao!BG393,df_extratos!G:G,"DEBITO")+SUMIFS(df_extratos!I:I,df_extratos!F:F,Conciliacao!BH393,df_extratos!G:G,"DEBITO")</f>
        <v/>
      </c>
      <c r="O393" s="11">
        <f>N393-SUM(J393:M393)</f>
        <v/>
      </c>
      <c r="P393" s="25">
        <f>SUMIFS(df_ajustes_conciliaco!D:D,df_ajustes_conciliaco!C:C,Conciliacao!A393)</f>
        <v/>
      </c>
      <c r="Q393" s="22">
        <f>O393+I393-P393</f>
        <v/>
      </c>
    </row>
    <row r="394">
      <c r="A394" s="5">
        <f>A393+1</f>
        <v/>
      </c>
      <c r="B394" s="3">
        <f>-SUMIFS(df_extrato_zig!G:G,df_extrato_zig!E:E,Conciliacao!A394,df_extrato_zig!D:D,"Saque")-SUMIFS(df_extrato_zig!G:G,df_extrato_zig!E:E,Conciliacao!A394,df_extrato_zig!D:D,"Antecipação")</f>
        <v/>
      </c>
      <c r="C394" s="3">
        <f>SUMIFS(df_extrato_zig!E:E,df_extrato_zig!L:L,Conciliacao!A394,df_extrato_zig!F:F,"DINHEIRO")</f>
        <v/>
      </c>
      <c r="D394" s="3">
        <f>SUMIFS(view_parc_agrup!H:H,view_parc_agrup!G:G,Conciliacao!A394)</f>
        <v/>
      </c>
      <c r="E394" s="3">
        <f>SUMIFS(df_eventos!F:F,df_eventos!H:H,Conciliacao!A394)</f>
        <v/>
      </c>
      <c r="F394" s="3">
        <f>SUMIFS(df_mutuos!M:M,df_mutuos!B:B,Conciliacao!A394)</f>
        <v/>
      </c>
      <c r="G394" s="6">
        <f>SUMIFS(df_bloqueios_judiciais!G:G,df_bloqueios_judiciais!D:D,Conciliacao!A394,df_bloqueios_judiciais!G:G,"&gt;0")</f>
        <v/>
      </c>
      <c r="H394" s="7">
        <f>SUMIFS(df_extratos!I:I,df_extratos!F:F,Conciliacao!BE394,df_extratos!G:G,"CREDITO")+SUMIFS(df_extratos!I:I,df_extratos!F:F,Conciliacao!A394,df_extratos!G:G,"CREDITO")+SUMIFS(df_extratos!I:I,df_extratos!F:F,Conciliacao!BF394,df_extratos!G:G,"CREDITO")+SUMIFS(df_extratos!I:I,df_extratos!F:F,Conciliacao!BG394,df_extratos!G:G,"CREDITO")+SUMIFS(df_extratos!I:I,df_extratos!F:F,Conciliacao!BH394,df_extratos!G:G,"CREDITO")</f>
        <v/>
      </c>
      <c r="I394" s="9">
        <f>H394-SUM(B394:G394)</f>
        <v/>
      </c>
      <c r="J394" s="4">
        <f>SUMIFS(df_blueme_sem_parcelamento!E:E,df_blueme_sem_parcelamento!H:H,Conciliacao!A394)*(-1)</f>
        <v/>
      </c>
      <c r="K394" s="4">
        <f>SUMIFS(df_blueme_com_parcelamento!J:J,df_blueme_com_parcelamento!M:M,Conciliacao!A394)*(-1)</f>
        <v/>
      </c>
      <c r="L394" s="4">
        <f>SUMIFS(df_mutuos!N:N,df_mutuos!B:B,Conciliacao!A394)*(-1)</f>
        <v/>
      </c>
      <c r="M394" s="8">
        <f>SUMIFS(df_bloqueios_judiciais!G:G,df_bloqueios_judiciais!D:D,Conciliacao!A394,df_bloqueios_judiciais!G:G,"&lt;0")</f>
        <v/>
      </c>
      <c r="N394" s="10">
        <f>SUMIFS(df_extratos!I:I,df_extratos!F:F,Conciliacao!BE394,df_extratos!G:G,"DEBITO")+SUMIFS(df_extratos!I:I,df_extratos!F:F,Conciliacao!A394,df_extratos!G:G,"DEBITO")+SUMIFS(df_extratos!I:I,df_extratos!F:F,Conciliacao!BF394,df_extratos!G:G,"DEBITO")+SUMIFS(df_extratos!I:I,df_extratos!F:F,Conciliacao!BG394,df_extratos!G:G,"DEBITO")+SUMIFS(df_extratos!I:I,df_extratos!F:F,Conciliacao!BH394,df_extratos!G:G,"DEBITO")</f>
        <v/>
      </c>
      <c r="O394" s="11">
        <f>N394-SUM(J394:M394)</f>
        <v/>
      </c>
      <c r="P394" s="25">
        <f>SUMIFS(df_ajustes_conciliaco!D:D,df_ajustes_conciliaco!C:C,Conciliacao!A394)</f>
        <v/>
      </c>
      <c r="Q394" s="22">
        <f>O394+I394-P394</f>
        <v/>
      </c>
    </row>
    <row r="395">
      <c r="A395" s="5">
        <f>A394+1</f>
        <v/>
      </c>
      <c r="B395" s="3">
        <f>-SUMIFS(df_extrato_zig!G:G,df_extrato_zig!E:E,Conciliacao!A395,df_extrato_zig!D:D,"Saque")-SUMIFS(df_extrato_zig!G:G,df_extrato_zig!E:E,Conciliacao!A395,df_extrato_zig!D:D,"Antecipação")</f>
        <v/>
      </c>
      <c r="C395" s="3">
        <f>SUMIFS(df_extrato_zig!E:E,df_extrato_zig!L:L,Conciliacao!A395,df_extrato_zig!F:F,"DINHEIRO")</f>
        <v/>
      </c>
      <c r="D395" s="3">
        <f>SUMIFS(view_parc_agrup!H:H,view_parc_agrup!G:G,Conciliacao!A395)</f>
        <v/>
      </c>
      <c r="E395" s="3">
        <f>SUMIFS(df_eventos!F:F,df_eventos!H:H,Conciliacao!A395)</f>
        <v/>
      </c>
      <c r="F395" s="3">
        <f>SUMIFS(df_mutuos!M:M,df_mutuos!B:B,Conciliacao!A395)</f>
        <v/>
      </c>
      <c r="G395" s="6">
        <f>SUMIFS(df_bloqueios_judiciais!G:G,df_bloqueios_judiciais!D:D,Conciliacao!A395,df_bloqueios_judiciais!G:G,"&gt;0")</f>
        <v/>
      </c>
      <c r="H395" s="7">
        <f>SUMIFS(df_extratos!I:I,df_extratos!F:F,Conciliacao!BE395,df_extratos!G:G,"CREDITO")+SUMIFS(df_extratos!I:I,df_extratos!F:F,Conciliacao!A395,df_extratos!G:G,"CREDITO")+SUMIFS(df_extratos!I:I,df_extratos!F:F,Conciliacao!BF395,df_extratos!G:G,"CREDITO")+SUMIFS(df_extratos!I:I,df_extratos!F:F,Conciliacao!BG395,df_extratos!G:G,"CREDITO")+SUMIFS(df_extratos!I:I,df_extratos!F:F,Conciliacao!BH395,df_extratos!G:G,"CREDITO")</f>
        <v/>
      </c>
      <c r="I395" s="9">
        <f>H395-SUM(B395:G395)</f>
        <v/>
      </c>
      <c r="J395" s="4">
        <f>SUMIFS(df_blueme_sem_parcelamento!E:E,df_blueme_sem_parcelamento!H:H,Conciliacao!A395)*(-1)</f>
        <v/>
      </c>
      <c r="K395" s="4">
        <f>SUMIFS(df_blueme_com_parcelamento!J:J,df_blueme_com_parcelamento!M:M,Conciliacao!A395)*(-1)</f>
        <v/>
      </c>
      <c r="L395" s="4">
        <f>SUMIFS(df_mutuos!N:N,df_mutuos!B:B,Conciliacao!A395)*(-1)</f>
        <v/>
      </c>
      <c r="M395" s="8">
        <f>SUMIFS(df_bloqueios_judiciais!G:G,df_bloqueios_judiciais!D:D,Conciliacao!A395,df_bloqueios_judiciais!G:G,"&lt;0")</f>
        <v/>
      </c>
      <c r="N395" s="10">
        <f>SUMIFS(df_extratos!I:I,df_extratos!F:F,Conciliacao!BE395,df_extratos!G:G,"DEBITO")+SUMIFS(df_extratos!I:I,df_extratos!F:F,Conciliacao!A395,df_extratos!G:G,"DEBITO")+SUMIFS(df_extratos!I:I,df_extratos!F:F,Conciliacao!BF395,df_extratos!G:G,"DEBITO")+SUMIFS(df_extratos!I:I,df_extratos!F:F,Conciliacao!BG395,df_extratos!G:G,"DEBITO")+SUMIFS(df_extratos!I:I,df_extratos!F:F,Conciliacao!BH395,df_extratos!G:G,"DEBITO")</f>
        <v/>
      </c>
      <c r="O395" s="11">
        <f>N395-SUM(J395:M395)</f>
        <v/>
      </c>
      <c r="P395" s="25">
        <f>SUMIFS(df_ajustes_conciliaco!D:D,df_ajustes_conciliaco!C:C,Conciliacao!A395)</f>
        <v/>
      </c>
      <c r="Q395" s="22">
        <f>O395+I395-P395</f>
        <v/>
      </c>
    </row>
    <row r="396">
      <c r="A396" s="5">
        <f>A395+1</f>
        <v/>
      </c>
      <c r="B396" s="3">
        <f>-SUMIFS(df_extrato_zig!G:G,df_extrato_zig!E:E,Conciliacao!A396,df_extrato_zig!D:D,"Saque")-SUMIFS(df_extrato_zig!G:G,df_extrato_zig!E:E,Conciliacao!A396,df_extrato_zig!D:D,"Antecipação")</f>
        <v/>
      </c>
      <c r="C396" s="3">
        <f>SUMIFS(df_extrato_zig!E:E,df_extrato_zig!L:L,Conciliacao!A396,df_extrato_zig!F:F,"DINHEIRO")</f>
        <v/>
      </c>
      <c r="D396" s="3">
        <f>SUMIFS(view_parc_agrup!H:H,view_parc_agrup!G:G,Conciliacao!A396)</f>
        <v/>
      </c>
      <c r="E396" s="3">
        <f>SUMIFS(df_eventos!F:F,df_eventos!H:H,Conciliacao!A396)</f>
        <v/>
      </c>
      <c r="F396" s="3">
        <f>SUMIFS(df_mutuos!M:M,df_mutuos!B:B,Conciliacao!A396)</f>
        <v/>
      </c>
      <c r="G396" s="6">
        <f>SUMIFS(df_bloqueios_judiciais!G:G,df_bloqueios_judiciais!D:D,Conciliacao!A396,df_bloqueios_judiciais!G:G,"&gt;0")</f>
        <v/>
      </c>
      <c r="H396" s="7">
        <f>SUMIFS(df_extratos!I:I,df_extratos!F:F,Conciliacao!BE396,df_extratos!G:G,"CREDITO")+SUMIFS(df_extratos!I:I,df_extratos!F:F,Conciliacao!A396,df_extratos!G:G,"CREDITO")+SUMIFS(df_extratos!I:I,df_extratos!F:F,Conciliacao!BF396,df_extratos!G:G,"CREDITO")+SUMIFS(df_extratos!I:I,df_extratos!F:F,Conciliacao!BG396,df_extratos!G:G,"CREDITO")+SUMIFS(df_extratos!I:I,df_extratos!F:F,Conciliacao!BH396,df_extratos!G:G,"CREDITO")</f>
        <v/>
      </c>
      <c r="I396" s="9">
        <f>H396-SUM(B396:G396)</f>
        <v/>
      </c>
      <c r="J396" s="4">
        <f>SUMIFS(df_blueme_sem_parcelamento!E:E,df_blueme_sem_parcelamento!H:H,Conciliacao!A396)*(-1)</f>
        <v/>
      </c>
      <c r="K396" s="4">
        <f>SUMIFS(df_blueme_com_parcelamento!J:J,df_blueme_com_parcelamento!M:M,Conciliacao!A396)*(-1)</f>
        <v/>
      </c>
      <c r="L396" s="4">
        <f>SUMIFS(df_mutuos!N:N,df_mutuos!B:B,Conciliacao!A396)*(-1)</f>
        <v/>
      </c>
      <c r="M396" s="8">
        <f>SUMIFS(df_bloqueios_judiciais!G:G,df_bloqueios_judiciais!D:D,Conciliacao!A396,df_bloqueios_judiciais!G:G,"&lt;0")</f>
        <v/>
      </c>
      <c r="N396" s="10">
        <f>SUMIFS(df_extratos!I:I,df_extratos!F:F,Conciliacao!BE396,df_extratos!G:G,"DEBITO")+SUMIFS(df_extratos!I:I,df_extratos!F:F,Conciliacao!A396,df_extratos!G:G,"DEBITO")+SUMIFS(df_extratos!I:I,df_extratos!F:F,Conciliacao!BF396,df_extratos!G:G,"DEBITO")+SUMIFS(df_extratos!I:I,df_extratos!F:F,Conciliacao!BG396,df_extratos!G:G,"DEBITO")+SUMIFS(df_extratos!I:I,df_extratos!F:F,Conciliacao!BH396,df_extratos!G:G,"DEBITO")</f>
        <v/>
      </c>
      <c r="O396" s="11">
        <f>N396-SUM(J396:M396)</f>
        <v/>
      </c>
      <c r="P396" s="25">
        <f>SUMIFS(df_ajustes_conciliaco!D:D,df_ajustes_conciliaco!C:C,Conciliacao!A396)</f>
        <v/>
      </c>
      <c r="Q396" s="22">
        <f>O396+I396-P396</f>
        <v/>
      </c>
    </row>
    <row r="397">
      <c r="A397" s="5">
        <f>A396+1</f>
        <v/>
      </c>
      <c r="B397" s="3">
        <f>-SUMIFS(df_extrato_zig!G:G,df_extrato_zig!E:E,Conciliacao!A397,df_extrato_zig!D:D,"Saque")-SUMIFS(df_extrato_zig!G:G,df_extrato_zig!E:E,Conciliacao!A397,df_extrato_zig!D:D,"Antecipação")</f>
        <v/>
      </c>
      <c r="C397" s="3">
        <f>SUMIFS(df_extrato_zig!E:E,df_extrato_zig!L:L,Conciliacao!A397,df_extrato_zig!F:F,"DINHEIRO")</f>
        <v/>
      </c>
      <c r="D397" s="3">
        <f>SUMIFS(view_parc_agrup!H:H,view_parc_agrup!G:G,Conciliacao!A397)</f>
        <v/>
      </c>
      <c r="E397" s="3">
        <f>SUMIFS(df_eventos!F:F,df_eventos!H:H,Conciliacao!A397)</f>
        <v/>
      </c>
      <c r="F397" s="3">
        <f>SUMIFS(df_mutuos!M:M,df_mutuos!B:B,Conciliacao!A397)</f>
        <v/>
      </c>
      <c r="G397" s="6">
        <f>SUMIFS(df_bloqueios_judiciais!G:G,df_bloqueios_judiciais!D:D,Conciliacao!A397,df_bloqueios_judiciais!G:G,"&gt;0")</f>
        <v/>
      </c>
      <c r="H397" s="7">
        <f>SUMIFS(df_extratos!I:I,df_extratos!F:F,Conciliacao!BE397,df_extratos!G:G,"CREDITO")+SUMIFS(df_extratos!I:I,df_extratos!F:F,Conciliacao!A397,df_extratos!G:G,"CREDITO")+SUMIFS(df_extratos!I:I,df_extratos!F:F,Conciliacao!BF397,df_extratos!G:G,"CREDITO")+SUMIFS(df_extratos!I:I,df_extratos!F:F,Conciliacao!BG397,df_extratos!G:G,"CREDITO")+SUMIFS(df_extratos!I:I,df_extratos!F:F,Conciliacao!BH397,df_extratos!G:G,"CREDITO")</f>
        <v/>
      </c>
      <c r="I397" s="9">
        <f>H397-SUM(B397:G397)</f>
        <v/>
      </c>
      <c r="J397" s="4">
        <f>SUMIFS(df_blueme_sem_parcelamento!E:E,df_blueme_sem_parcelamento!H:H,Conciliacao!A397)*(-1)</f>
        <v/>
      </c>
      <c r="K397" s="4">
        <f>SUMIFS(df_blueme_com_parcelamento!J:J,df_blueme_com_parcelamento!M:M,Conciliacao!A397)*(-1)</f>
        <v/>
      </c>
      <c r="L397" s="4">
        <f>SUMIFS(df_mutuos!N:N,df_mutuos!B:B,Conciliacao!A397)*(-1)</f>
        <v/>
      </c>
      <c r="M397" s="8">
        <f>SUMIFS(df_bloqueios_judiciais!G:G,df_bloqueios_judiciais!D:D,Conciliacao!A397,df_bloqueios_judiciais!G:G,"&lt;0")</f>
        <v/>
      </c>
      <c r="N397" s="10">
        <f>SUMIFS(df_extratos!I:I,df_extratos!F:F,Conciliacao!BE397,df_extratos!G:G,"DEBITO")+SUMIFS(df_extratos!I:I,df_extratos!F:F,Conciliacao!A397,df_extratos!G:G,"DEBITO")+SUMIFS(df_extratos!I:I,df_extratos!F:F,Conciliacao!BF397,df_extratos!G:G,"DEBITO")+SUMIFS(df_extratos!I:I,df_extratos!F:F,Conciliacao!BG397,df_extratos!G:G,"DEBITO")+SUMIFS(df_extratos!I:I,df_extratos!F:F,Conciliacao!BH397,df_extratos!G:G,"DEBITO")</f>
        <v/>
      </c>
      <c r="O397" s="11">
        <f>N397-SUM(J397:M397)</f>
        <v/>
      </c>
      <c r="P397" s="25">
        <f>SUMIFS(df_ajustes_conciliaco!D:D,df_ajustes_conciliaco!C:C,Conciliacao!A397)</f>
        <v/>
      </c>
      <c r="Q397" s="22">
        <f>O397+I397-P397</f>
        <v/>
      </c>
    </row>
    <row r="398">
      <c r="A398" s="5">
        <f>A397+1</f>
        <v/>
      </c>
      <c r="B398" s="3">
        <f>-SUMIFS(df_extrato_zig!G:G,df_extrato_zig!E:E,Conciliacao!A398,df_extrato_zig!D:D,"Saque")-SUMIFS(df_extrato_zig!G:G,df_extrato_zig!E:E,Conciliacao!A398,df_extrato_zig!D:D,"Antecipação")</f>
        <v/>
      </c>
      <c r="C398" s="3">
        <f>SUMIFS(df_extrato_zig!E:E,df_extrato_zig!L:L,Conciliacao!A398,df_extrato_zig!F:F,"DINHEIRO")</f>
        <v/>
      </c>
      <c r="D398" s="3">
        <f>SUMIFS(view_parc_agrup!H:H,view_parc_agrup!G:G,Conciliacao!A398)</f>
        <v/>
      </c>
      <c r="E398" s="3">
        <f>SUMIFS(df_eventos!F:F,df_eventos!H:H,Conciliacao!A398)</f>
        <v/>
      </c>
      <c r="F398" s="3">
        <f>SUMIFS(df_mutuos!M:M,df_mutuos!B:B,Conciliacao!A398)</f>
        <v/>
      </c>
      <c r="G398" s="6">
        <f>SUMIFS(df_bloqueios_judiciais!G:G,df_bloqueios_judiciais!D:D,Conciliacao!A398,df_bloqueios_judiciais!G:G,"&gt;0")</f>
        <v/>
      </c>
      <c r="H398" s="7">
        <f>SUMIFS(df_extratos!I:I,df_extratos!F:F,Conciliacao!BE398,df_extratos!G:G,"CREDITO")+SUMIFS(df_extratos!I:I,df_extratos!F:F,Conciliacao!A398,df_extratos!G:G,"CREDITO")+SUMIFS(df_extratos!I:I,df_extratos!F:F,Conciliacao!BF398,df_extratos!G:G,"CREDITO")+SUMIFS(df_extratos!I:I,df_extratos!F:F,Conciliacao!BG398,df_extratos!G:G,"CREDITO")+SUMIFS(df_extratos!I:I,df_extratos!F:F,Conciliacao!BH398,df_extratos!G:G,"CREDITO")</f>
        <v/>
      </c>
      <c r="I398" s="9">
        <f>H398-SUM(B398:G398)</f>
        <v/>
      </c>
      <c r="J398" s="4">
        <f>SUMIFS(df_blueme_sem_parcelamento!E:E,df_blueme_sem_parcelamento!H:H,Conciliacao!A398)*(-1)</f>
        <v/>
      </c>
      <c r="K398" s="4">
        <f>SUMIFS(df_blueme_com_parcelamento!J:J,df_blueme_com_parcelamento!M:M,Conciliacao!A398)*(-1)</f>
        <v/>
      </c>
      <c r="L398" s="4">
        <f>SUMIFS(df_mutuos!N:N,df_mutuos!B:B,Conciliacao!A398)*(-1)</f>
        <v/>
      </c>
      <c r="M398" s="8">
        <f>SUMIFS(df_bloqueios_judiciais!G:G,df_bloqueios_judiciais!D:D,Conciliacao!A398,df_bloqueios_judiciais!G:G,"&lt;0")</f>
        <v/>
      </c>
      <c r="N398" s="10">
        <f>SUMIFS(df_extratos!I:I,df_extratos!F:F,Conciliacao!BE398,df_extratos!G:G,"DEBITO")+SUMIFS(df_extratos!I:I,df_extratos!F:F,Conciliacao!A398,df_extratos!G:G,"DEBITO")+SUMIFS(df_extratos!I:I,df_extratos!F:F,Conciliacao!BF398,df_extratos!G:G,"DEBITO")+SUMIFS(df_extratos!I:I,df_extratos!F:F,Conciliacao!BG398,df_extratos!G:G,"DEBITO")+SUMIFS(df_extratos!I:I,df_extratos!F:F,Conciliacao!BH398,df_extratos!G:G,"DEBITO")</f>
        <v/>
      </c>
      <c r="O398" s="11">
        <f>N398-SUM(J398:M398)</f>
        <v/>
      </c>
      <c r="P398" s="25">
        <f>SUMIFS(df_ajustes_conciliaco!D:D,df_ajustes_conciliaco!C:C,Conciliacao!A398)</f>
        <v/>
      </c>
      <c r="Q398" s="22">
        <f>O398+I398-P398</f>
        <v/>
      </c>
    </row>
    <row r="399">
      <c r="A399" s="5">
        <f>A398+1</f>
        <v/>
      </c>
      <c r="B399" s="3">
        <f>-SUMIFS(df_extrato_zig!G:G,df_extrato_zig!E:E,Conciliacao!A399,df_extrato_zig!D:D,"Saque")-SUMIFS(df_extrato_zig!G:G,df_extrato_zig!E:E,Conciliacao!A399,df_extrato_zig!D:D,"Antecipação")</f>
        <v/>
      </c>
      <c r="C399" s="3">
        <f>SUMIFS(df_extrato_zig!E:E,df_extrato_zig!L:L,Conciliacao!A399,df_extrato_zig!F:F,"DINHEIRO")</f>
        <v/>
      </c>
      <c r="D399" s="3">
        <f>SUMIFS(view_parc_agrup!H:H,view_parc_agrup!G:G,Conciliacao!A399)</f>
        <v/>
      </c>
      <c r="E399" s="3">
        <f>SUMIFS(df_eventos!F:F,df_eventos!H:H,Conciliacao!A399)</f>
        <v/>
      </c>
      <c r="F399" s="3">
        <f>SUMIFS(df_mutuos!M:M,df_mutuos!B:B,Conciliacao!A399)</f>
        <v/>
      </c>
      <c r="G399" s="6">
        <f>SUMIFS(df_bloqueios_judiciais!G:G,df_bloqueios_judiciais!D:D,Conciliacao!A399,df_bloqueios_judiciais!G:G,"&gt;0")</f>
        <v/>
      </c>
      <c r="H399" s="7">
        <f>SUMIFS(df_extratos!I:I,df_extratos!F:F,Conciliacao!BE399,df_extratos!G:G,"CREDITO")+SUMIFS(df_extratos!I:I,df_extratos!F:F,Conciliacao!A399,df_extratos!G:G,"CREDITO")+SUMIFS(df_extratos!I:I,df_extratos!F:F,Conciliacao!BF399,df_extratos!G:G,"CREDITO")+SUMIFS(df_extratos!I:I,df_extratos!F:F,Conciliacao!BG399,df_extratos!G:G,"CREDITO")+SUMIFS(df_extratos!I:I,df_extratos!F:F,Conciliacao!BH399,df_extratos!G:G,"CREDITO")</f>
        <v/>
      </c>
      <c r="I399" s="9">
        <f>H399-SUM(B399:G399)</f>
        <v/>
      </c>
      <c r="J399" s="4">
        <f>SUMIFS(df_blueme_sem_parcelamento!E:E,df_blueme_sem_parcelamento!H:H,Conciliacao!A399)*(-1)</f>
        <v/>
      </c>
      <c r="K399" s="4">
        <f>SUMIFS(df_blueme_com_parcelamento!J:J,df_blueme_com_parcelamento!M:M,Conciliacao!A399)*(-1)</f>
        <v/>
      </c>
      <c r="L399" s="4">
        <f>SUMIFS(df_mutuos!N:N,df_mutuos!B:B,Conciliacao!A399)*(-1)</f>
        <v/>
      </c>
      <c r="M399" s="8">
        <f>SUMIFS(df_bloqueios_judiciais!G:G,df_bloqueios_judiciais!D:D,Conciliacao!A399,df_bloqueios_judiciais!G:G,"&lt;0")</f>
        <v/>
      </c>
      <c r="N399" s="10">
        <f>SUMIFS(df_extratos!I:I,df_extratos!F:F,Conciliacao!BE399,df_extratos!G:G,"DEBITO")+SUMIFS(df_extratos!I:I,df_extratos!F:F,Conciliacao!A399,df_extratos!G:G,"DEBITO")+SUMIFS(df_extratos!I:I,df_extratos!F:F,Conciliacao!BF399,df_extratos!G:G,"DEBITO")+SUMIFS(df_extratos!I:I,df_extratos!F:F,Conciliacao!BG399,df_extratos!G:G,"DEBITO")+SUMIFS(df_extratos!I:I,df_extratos!F:F,Conciliacao!BH399,df_extratos!G:G,"DEBITO")</f>
        <v/>
      </c>
      <c r="O399" s="11">
        <f>N399-SUM(J399:M399)</f>
        <v/>
      </c>
      <c r="P399" s="25">
        <f>SUMIFS(df_ajustes_conciliaco!D:D,df_ajustes_conciliaco!C:C,Conciliacao!A399)</f>
        <v/>
      </c>
      <c r="Q399" s="22">
        <f>O399+I399-P399</f>
        <v/>
      </c>
    </row>
    <row r="400">
      <c r="A400" s="5">
        <f>A399+1</f>
        <v/>
      </c>
      <c r="B400" s="3">
        <f>-SUMIFS(df_extrato_zig!G:G,df_extrato_zig!E:E,Conciliacao!A400,df_extrato_zig!D:D,"Saque")-SUMIFS(df_extrato_zig!G:G,df_extrato_zig!E:E,Conciliacao!A400,df_extrato_zig!D:D,"Antecipação")</f>
        <v/>
      </c>
      <c r="C400" s="3">
        <f>SUMIFS(df_extrato_zig!E:E,df_extrato_zig!L:L,Conciliacao!A400,df_extrato_zig!F:F,"DINHEIRO")</f>
        <v/>
      </c>
      <c r="D400" s="3">
        <f>SUMIFS(view_parc_agrup!H:H,view_parc_agrup!G:G,Conciliacao!A400)</f>
        <v/>
      </c>
      <c r="E400" s="3">
        <f>SUMIFS(df_eventos!F:F,df_eventos!H:H,Conciliacao!A400)</f>
        <v/>
      </c>
      <c r="F400" s="3">
        <f>SUMIFS(df_mutuos!M:M,df_mutuos!B:B,Conciliacao!A400)</f>
        <v/>
      </c>
      <c r="G400" s="6">
        <f>SUMIFS(df_bloqueios_judiciais!G:G,df_bloqueios_judiciais!D:D,Conciliacao!A400,df_bloqueios_judiciais!G:G,"&gt;0")</f>
        <v/>
      </c>
      <c r="H400" s="7">
        <f>SUMIFS(df_extratos!I:I,df_extratos!F:F,Conciliacao!BE400,df_extratos!G:G,"CREDITO")+SUMIFS(df_extratos!I:I,df_extratos!F:F,Conciliacao!A400,df_extratos!G:G,"CREDITO")+SUMIFS(df_extratos!I:I,df_extratos!F:F,Conciliacao!BF400,df_extratos!G:G,"CREDITO")+SUMIFS(df_extratos!I:I,df_extratos!F:F,Conciliacao!BG400,df_extratos!G:G,"CREDITO")+SUMIFS(df_extratos!I:I,df_extratos!F:F,Conciliacao!BH400,df_extratos!G:G,"CREDITO")</f>
        <v/>
      </c>
      <c r="I400" s="9">
        <f>H400-SUM(B400:G400)</f>
        <v/>
      </c>
      <c r="J400" s="4">
        <f>SUMIFS(df_blueme_sem_parcelamento!E:E,df_blueme_sem_parcelamento!H:H,Conciliacao!A400)*(-1)</f>
        <v/>
      </c>
      <c r="K400" s="4">
        <f>SUMIFS(df_blueme_com_parcelamento!J:J,df_blueme_com_parcelamento!M:M,Conciliacao!A400)*(-1)</f>
        <v/>
      </c>
      <c r="L400" s="4">
        <f>SUMIFS(df_mutuos!N:N,df_mutuos!B:B,Conciliacao!A400)*(-1)</f>
        <v/>
      </c>
      <c r="M400" s="8">
        <f>SUMIFS(df_bloqueios_judiciais!G:G,df_bloqueios_judiciais!D:D,Conciliacao!A400,df_bloqueios_judiciais!G:G,"&lt;0")</f>
        <v/>
      </c>
      <c r="N400" s="10">
        <f>SUMIFS(df_extratos!I:I,df_extratos!F:F,Conciliacao!BE400,df_extratos!G:G,"DEBITO")+SUMIFS(df_extratos!I:I,df_extratos!F:F,Conciliacao!A400,df_extratos!G:G,"DEBITO")+SUMIFS(df_extratos!I:I,df_extratos!F:F,Conciliacao!BF400,df_extratos!G:G,"DEBITO")+SUMIFS(df_extratos!I:I,df_extratos!F:F,Conciliacao!BG400,df_extratos!G:G,"DEBITO")+SUMIFS(df_extratos!I:I,df_extratos!F:F,Conciliacao!BH400,df_extratos!G:G,"DEBITO")</f>
        <v/>
      </c>
      <c r="O400" s="11">
        <f>N400-SUM(J400:M400)</f>
        <v/>
      </c>
      <c r="P400" s="25">
        <f>SUMIFS(df_ajustes_conciliaco!D:D,df_ajustes_conciliaco!C:C,Conciliacao!A400)</f>
        <v/>
      </c>
      <c r="Q400" s="22">
        <f>O400+I400-P400</f>
        <v/>
      </c>
    </row>
    <row r="401">
      <c r="A401" s="5">
        <f>A400+1</f>
        <v/>
      </c>
      <c r="B401" s="3">
        <f>-SUMIFS(df_extrato_zig!G:G,df_extrato_zig!E:E,Conciliacao!A401,df_extrato_zig!D:D,"Saque")-SUMIFS(df_extrato_zig!G:G,df_extrato_zig!E:E,Conciliacao!A401,df_extrato_zig!D:D,"Antecipação")</f>
        <v/>
      </c>
      <c r="C401" s="3">
        <f>SUMIFS(df_extrato_zig!E:E,df_extrato_zig!L:L,Conciliacao!A401,df_extrato_zig!F:F,"DINHEIRO")</f>
        <v/>
      </c>
      <c r="D401" s="3">
        <f>SUMIFS(view_parc_agrup!H:H,view_parc_agrup!G:G,Conciliacao!A401)</f>
        <v/>
      </c>
      <c r="E401" s="3">
        <f>SUMIFS(df_eventos!F:F,df_eventos!H:H,Conciliacao!A401)</f>
        <v/>
      </c>
      <c r="F401" s="3">
        <f>SUMIFS(df_mutuos!M:M,df_mutuos!B:B,Conciliacao!A401)</f>
        <v/>
      </c>
      <c r="G401" s="6">
        <f>SUMIFS(df_bloqueios_judiciais!G:G,df_bloqueios_judiciais!D:D,Conciliacao!A401,df_bloqueios_judiciais!G:G,"&gt;0")</f>
        <v/>
      </c>
      <c r="H401" s="7">
        <f>SUMIFS(df_extratos!I:I,df_extratos!F:F,Conciliacao!BE401,df_extratos!G:G,"CREDITO")+SUMIFS(df_extratos!I:I,df_extratos!F:F,Conciliacao!A401,df_extratos!G:G,"CREDITO")+SUMIFS(df_extratos!I:I,df_extratos!F:F,Conciliacao!BF401,df_extratos!G:G,"CREDITO")+SUMIFS(df_extratos!I:I,df_extratos!F:F,Conciliacao!BG401,df_extratos!G:G,"CREDITO")+SUMIFS(df_extratos!I:I,df_extratos!F:F,Conciliacao!BH401,df_extratos!G:G,"CREDITO")</f>
        <v/>
      </c>
      <c r="I401" s="9">
        <f>H401-SUM(B401:G401)</f>
        <v/>
      </c>
      <c r="J401" s="4">
        <f>SUMIFS(df_blueme_sem_parcelamento!E:E,df_blueme_sem_parcelamento!H:H,Conciliacao!A401)*(-1)</f>
        <v/>
      </c>
      <c r="K401" s="4">
        <f>SUMIFS(df_blueme_com_parcelamento!J:J,df_blueme_com_parcelamento!M:M,Conciliacao!A401)*(-1)</f>
        <v/>
      </c>
      <c r="L401" s="4">
        <f>SUMIFS(df_mutuos!N:N,df_mutuos!B:B,Conciliacao!A401)*(-1)</f>
        <v/>
      </c>
      <c r="M401" s="8">
        <f>SUMIFS(df_bloqueios_judiciais!G:G,df_bloqueios_judiciais!D:D,Conciliacao!A401,df_bloqueios_judiciais!G:G,"&lt;0")</f>
        <v/>
      </c>
      <c r="N401" s="10">
        <f>SUMIFS(df_extratos!I:I,df_extratos!F:F,Conciliacao!BE401,df_extratos!G:G,"DEBITO")+SUMIFS(df_extratos!I:I,df_extratos!F:F,Conciliacao!A401,df_extratos!G:G,"DEBITO")+SUMIFS(df_extratos!I:I,df_extratos!F:F,Conciliacao!BF401,df_extratos!G:G,"DEBITO")+SUMIFS(df_extratos!I:I,df_extratos!F:F,Conciliacao!BG401,df_extratos!G:G,"DEBITO")+SUMIFS(df_extratos!I:I,df_extratos!F:F,Conciliacao!BH401,df_extratos!G:G,"DEBITO")</f>
        <v/>
      </c>
      <c r="O401" s="11">
        <f>N401-SUM(J401:M401)</f>
        <v/>
      </c>
      <c r="P401" s="25">
        <f>SUMIFS(df_ajustes_conciliaco!D:D,df_ajustes_conciliaco!C:C,Conciliacao!A401)</f>
        <v/>
      </c>
      <c r="Q401" s="22">
        <f>O401+I401-P401</f>
        <v/>
      </c>
    </row>
    <row r="402">
      <c r="A402" s="5">
        <f>A401+1</f>
        <v/>
      </c>
      <c r="B402" s="3">
        <f>-SUMIFS(df_extrato_zig!G:G,df_extrato_zig!E:E,Conciliacao!A402,df_extrato_zig!D:D,"Saque")-SUMIFS(df_extrato_zig!G:G,df_extrato_zig!E:E,Conciliacao!A402,df_extrato_zig!D:D,"Antecipação")</f>
        <v/>
      </c>
      <c r="C402" s="3">
        <f>SUMIFS(df_extrato_zig!E:E,df_extrato_zig!L:L,Conciliacao!A402,df_extrato_zig!F:F,"DINHEIRO")</f>
        <v/>
      </c>
      <c r="D402" s="3">
        <f>SUMIFS(view_parc_agrup!H:H,view_parc_agrup!G:G,Conciliacao!A402)</f>
        <v/>
      </c>
      <c r="E402" s="3">
        <f>SUMIFS(df_eventos!F:F,df_eventos!H:H,Conciliacao!A402)</f>
        <v/>
      </c>
      <c r="F402" s="3">
        <f>SUMIFS(df_mutuos!M:M,df_mutuos!B:B,Conciliacao!A402)</f>
        <v/>
      </c>
      <c r="G402" s="6">
        <f>SUMIFS(df_bloqueios_judiciais!G:G,df_bloqueios_judiciais!D:D,Conciliacao!A402,df_bloqueios_judiciais!G:G,"&gt;0")</f>
        <v/>
      </c>
      <c r="H402" s="7">
        <f>SUMIFS(df_extratos!I:I,df_extratos!F:F,Conciliacao!BE402,df_extratos!G:G,"CREDITO")+SUMIFS(df_extratos!I:I,df_extratos!F:F,Conciliacao!A402,df_extratos!G:G,"CREDITO")+SUMIFS(df_extratos!I:I,df_extratos!F:F,Conciliacao!BF402,df_extratos!G:G,"CREDITO")+SUMIFS(df_extratos!I:I,df_extratos!F:F,Conciliacao!BG402,df_extratos!G:G,"CREDITO")+SUMIFS(df_extratos!I:I,df_extratos!F:F,Conciliacao!BH402,df_extratos!G:G,"CREDITO")</f>
        <v/>
      </c>
      <c r="I402" s="9">
        <f>H402-SUM(B402:G402)</f>
        <v/>
      </c>
      <c r="J402" s="4">
        <f>SUMIFS(df_blueme_sem_parcelamento!E:E,df_blueme_sem_parcelamento!H:H,Conciliacao!A402)*(-1)</f>
        <v/>
      </c>
      <c r="K402" s="4">
        <f>SUMIFS(df_blueme_com_parcelamento!J:J,df_blueme_com_parcelamento!M:M,Conciliacao!A402)*(-1)</f>
        <v/>
      </c>
      <c r="L402" s="4">
        <f>SUMIFS(df_mutuos!N:N,df_mutuos!B:B,Conciliacao!A402)*(-1)</f>
        <v/>
      </c>
      <c r="M402" s="8">
        <f>SUMIFS(df_bloqueios_judiciais!G:G,df_bloqueios_judiciais!D:D,Conciliacao!A402,df_bloqueios_judiciais!G:G,"&lt;0")</f>
        <v/>
      </c>
      <c r="N402" s="10">
        <f>SUMIFS(df_extratos!I:I,df_extratos!F:F,Conciliacao!BE402,df_extratos!G:G,"DEBITO")+SUMIFS(df_extratos!I:I,df_extratos!F:F,Conciliacao!A402,df_extratos!G:G,"DEBITO")+SUMIFS(df_extratos!I:I,df_extratos!F:F,Conciliacao!BF402,df_extratos!G:G,"DEBITO")+SUMIFS(df_extratos!I:I,df_extratos!F:F,Conciliacao!BG402,df_extratos!G:G,"DEBITO")+SUMIFS(df_extratos!I:I,df_extratos!F:F,Conciliacao!BH402,df_extratos!G:G,"DEBITO")</f>
        <v/>
      </c>
      <c r="O402" s="11">
        <f>N402-SUM(J402:M402)</f>
        <v/>
      </c>
      <c r="P402" s="25">
        <f>SUMIFS(df_ajustes_conciliaco!D:D,df_ajustes_conciliaco!C:C,Conciliacao!A402)</f>
        <v/>
      </c>
      <c r="Q402" s="22">
        <f>O402+I402-P402</f>
        <v/>
      </c>
    </row>
    <row r="403">
      <c r="A403" s="5">
        <f>A402+1</f>
        <v/>
      </c>
      <c r="B403" s="3">
        <f>-SUMIFS(df_extrato_zig!G:G,df_extrato_zig!E:E,Conciliacao!A403,df_extrato_zig!D:D,"Saque")-SUMIFS(df_extrato_zig!G:G,df_extrato_zig!E:E,Conciliacao!A403,df_extrato_zig!D:D,"Antecipação")</f>
        <v/>
      </c>
      <c r="C403" s="3">
        <f>SUMIFS(df_extrato_zig!E:E,df_extrato_zig!L:L,Conciliacao!A403,df_extrato_zig!F:F,"DINHEIRO")</f>
        <v/>
      </c>
      <c r="D403" s="3">
        <f>SUMIFS(view_parc_agrup!H:H,view_parc_agrup!G:G,Conciliacao!A403)</f>
        <v/>
      </c>
      <c r="E403" s="3">
        <f>SUMIFS(df_eventos!F:F,df_eventos!H:H,Conciliacao!A403)</f>
        <v/>
      </c>
      <c r="F403" s="3">
        <f>SUMIFS(df_mutuos!M:M,df_mutuos!B:B,Conciliacao!A403)</f>
        <v/>
      </c>
      <c r="G403" s="6">
        <f>SUMIFS(df_bloqueios_judiciais!G:G,df_bloqueios_judiciais!D:D,Conciliacao!A403,df_bloqueios_judiciais!G:G,"&gt;0")</f>
        <v/>
      </c>
      <c r="H403" s="7">
        <f>SUMIFS(df_extratos!I:I,df_extratos!F:F,Conciliacao!BE403,df_extratos!G:G,"CREDITO")+SUMIFS(df_extratos!I:I,df_extratos!F:F,Conciliacao!A403,df_extratos!G:G,"CREDITO")+SUMIFS(df_extratos!I:I,df_extratos!F:F,Conciliacao!BF403,df_extratos!G:G,"CREDITO")+SUMIFS(df_extratos!I:I,df_extratos!F:F,Conciliacao!BG403,df_extratos!G:G,"CREDITO")+SUMIFS(df_extratos!I:I,df_extratos!F:F,Conciliacao!BH403,df_extratos!G:G,"CREDITO")</f>
        <v/>
      </c>
      <c r="I403" s="9">
        <f>H403-SUM(B403:G403)</f>
        <v/>
      </c>
      <c r="J403" s="4">
        <f>SUMIFS(df_blueme_sem_parcelamento!E:E,df_blueme_sem_parcelamento!H:H,Conciliacao!A403)*(-1)</f>
        <v/>
      </c>
      <c r="K403" s="4">
        <f>SUMIFS(df_blueme_com_parcelamento!J:J,df_blueme_com_parcelamento!M:M,Conciliacao!A403)*(-1)</f>
        <v/>
      </c>
      <c r="L403" s="4">
        <f>SUMIFS(df_mutuos!N:N,df_mutuos!B:B,Conciliacao!A403)*(-1)</f>
        <v/>
      </c>
      <c r="M403" s="8">
        <f>SUMIFS(df_bloqueios_judiciais!G:G,df_bloqueios_judiciais!D:D,Conciliacao!A403,df_bloqueios_judiciais!G:G,"&lt;0")</f>
        <v/>
      </c>
      <c r="N403" s="10">
        <f>SUMIFS(df_extratos!I:I,df_extratos!F:F,Conciliacao!BE403,df_extratos!G:G,"DEBITO")+SUMIFS(df_extratos!I:I,df_extratos!F:F,Conciliacao!A403,df_extratos!G:G,"DEBITO")+SUMIFS(df_extratos!I:I,df_extratos!F:F,Conciliacao!BF403,df_extratos!G:G,"DEBITO")+SUMIFS(df_extratos!I:I,df_extratos!F:F,Conciliacao!BG403,df_extratos!G:G,"DEBITO")+SUMIFS(df_extratos!I:I,df_extratos!F:F,Conciliacao!BH403,df_extratos!G:G,"DEBITO")</f>
        <v/>
      </c>
      <c r="O403" s="11">
        <f>N403-SUM(J403:M403)</f>
        <v/>
      </c>
      <c r="P403" s="25">
        <f>SUMIFS(df_ajustes_conciliaco!D:D,df_ajustes_conciliaco!C:C,Conciliacao!A403)</f>
        <v/>
      </c>
      <c r="Q403" s="22">
        <f>O403+I403-P403</f>
        <v/>
      </c>
    </row>
    <row r="404">
      <c r="A404" s="5">
        <f>A403+1</f>
        <v/>
      </c>
      <c r="B404" s="3">
        <f>-SUMIFS(df_extrato_zig!G:G,df_extrato_zig!E:E,Conciliacao!A404,df_extrato_zig!D:D,"Saque")-SUMIFS(df_extrato_zig!G:G,df_extrato_zig!E:E,Conciliacao!A404,df_extrato_zig!D:D,"Antecipação")</f>
        <v/>
      </c>
      <c r="C404" s="3">
        <f>SUMIFS(df_extrato_zig!E:E,df_extrato_zig!L:L,Conciliacao!A404,df_extrato_zig!F:F,"DINHEIRO")</f>
        <v/>
      </c>
      <c r="D404" s="3">
        <f>SUMIFS(view_parc_agrup!H:H,view_parc_agrup!G:G,Conciliacao!A404)</f>
        <v/>
      </c>
      <c r="E404" s="3">
        <f>SUMIFS(df_eventos!F:F,df_eventos!H:H,Conciliacao!A404)</f>
        <v/>
      </c>
      <c r="F404" s="3">
        <f>SUMIFS(df_mutuos!M:M,df_mutuos!B:B,Conciliacao!A404)</f>
        <v/>
      </c>
      <c r="G404" s="6">
        <f>SUMIFS(df_bloqueios_judiciais!G:G,df_bloqueios_judiciais!D:D,Conciliacao!A404,df_bloqueios_judiciais!G:G,"&gt;0")</f>
        <v/>
      </c>
      <c r="H404" s="7">
        <f>SUMIFS(df_extratos!I:I,df_extratos!F:F,Conciliacao!BE404,df_extratos!G:G,"CREDITO")+SUMIFS(df_extratos!I:I,df_extratos!F:F,Conciliacao!A404,df_extratos!G:G,"CREDITO")+SUMIFS(df_extratos!I:I,df_extratos!F:F,Conciliacao!BF404,df_extratos!G:G,"CREDITO")+SUMIFS(df_extratos!I:I,df_extratos!F:F,Conciliacao!BG404,df_extratos!G:G,"CREDITO")+SUMIFS(df_extratos!I:I,df_extratos!F:F,Conciliacao!BH404,df_extratos!G:G,"CREDITO")</f>
        <v/>
      </c>
      <c r="I404" s="9">
        <f>H404-SUM(B404:G404)</f>
        <v/>
      </c>
      <c r="J404" s="4">
        <f>SUMIFS(df_blueme_sem_parcelamento!E:E,df_blueme_sem_parcelamento!H:H,Conciliacao!A404)*(-1)</f>
        <v/>
      </c>
      <c r="K404" s="4">
        <f>SUMIFS(df_blueme_com_parcelamento!J:J,df_blueme_com_parcelamento!M:M,Conciliacao!A404)*(-1)</f>
        <v/>
      </c>
      <c r="L404" s="4">
        <f>SUMIFS(df_mutuos!N:N,df_mutuos!B:B,Conciliacao!A404)*(-1)</f>
        <v/>
      </c>
      <c r="M404" s="8">
        <f>SUMIFS(df_bloqueios_judiciais!G:G,df_bloqueios_judiciais!D:D,Conciliacao!A404,df_bloqueios_judiciais!G:G,"&lt;0")</f>
        <v/>
      </c>
      <c r="N404" s="10">
        <f>SUMIFS(df_extratos!I:I,df_extratos!F:F,Conciliacao!BE404,df_extratos!G:G,"DEBITO")+SUMIFS(df_extratos!I:I,df_extratos!F:F,Conciliacao!A404,df_extratos!G:G,"DEBITO")+SUMIFS(df_extratos!I:I,df_extratos!F:F,Conciliacao!BF404,df_extratos!G:G,"DEBITO")+SUMIFS(df_extratos!I:I,df_extratos!F:F,Conciliacao!BG404,df_extratos!G:G,"DEBITO")+SUMIFS(df_extratos!I:I,df_extratos!F:F,Conciliacao!BH404,df_extratos!G:G,"DEBITO")</f>
        <v/>
      </c>
      <c r="O404" s="11">
        <f>N404-SUM(J404:M404)</f>
        <v/>
      </c>
      <c r="P404" s="25">
        <f>SUMIFS(df_ajustes_conciliaco!D:D,df_ajustes_conciliaco!C:C,Conciliacao!A404)</f>
        <v/>
      </c>
      <c r="Q404" s="22">
        <f>O404+I404-P404</f>
        <v/>
      </c>
    </row>
    <row r="405">
      <c r="A405" s="5">
        <f>A404+1</f>
        <v/>
      </c>
      <c r="B405" s="3">
        <f>-SUMIFS(df_extrato_zig!G:G,df_extrato_zig!E:E,Conciliacao!A405,df_extrato_zig!D:D,"Saque")-SUMIFS(df_extrato_zig!G:G,df_extrato_zig!E:E,Conciliacao!A405,df_extrato_zig!D:D,"Antecipação")</f>
        <v/>
      </c>
      <c r="C405" s="3">
        <f>SUMIFS(df_extrato_zig!E:E,df_extrato_zig!L:L,Conciliacao!A405,df_extrato_zig!F:F,"DINHEIRO")</f>
        <v/>
      </c>
      <c r="D405" s="3">
        <f>SUMIFS(view_parc_agrup!H:H,view_parc_agrup!G:G,Conciliacao!A405)</f>
        <v/>
      </c>
      <c r="E405" s="3">
        <f>SUMIFS(df_eventos!F:F,df_eventos!H:H,Conciliacao!A405)</f>
        <v/>
      </c>
      <c r="F405" s="3">
        <f>SUMIFS(df_mutuos!M:M,df_mutuos!B:B,Conciliacao!A405)</f>
        <v/>
      </c>
      <c r="G405" s="6">
        <f>SUMIFS(df_bloqueios_judiciais!G:G,df_bloqueios_judiciais!D:D,Conciliacao!A405,df_bloqueios_judiciais!G:G,"&gt;0")</f>
        <v/>
      </c>
      <c r="H405" s="7">
        <f>SUMIFS(df_extratos!I:I,df_extratos!F:F,Conciliacao!BE405,df_extratos!G:G,"CREDITO")+SUMIFS(df_extratos!I:I,df_extratos!F:F,Conciliacao!A405,df_extratos!G:G,"CREDITO")+SUMIFS(df_extratos!I:I,df_extratos!F:F,Conciliacao!BF405,df_extratos!G:G,"CREDITO")+SUMIFS(df_extratos!I:I,df_extratos!F:F,Conciliacao!BG405,df_extratos!G:G,"CREDITO")+SUMIFS(df_extratos!I:I,df_extratos!F:F,Conciliacao!BH405,df_extratos!G:G,"CREDITO")</f>
        <v/>
      </c>
      <c r="I405" s="9">
        <f>H405-SUM(B405:G405)</f>
        <v/>
      </c>
      <c r="J405" s="4">
        <f>SUMIFS(df_blueme_sem_parcelamento!E:E,df_blueme_sem_parcelamento!H:H,Conciliacao!A405)*(-1)</f>
        <v/>
      </c>
      <c r="K405" s="4">
        <f>SUMIFS(df_blueme_com_parcelamento!J:J,df_blueme_com_parcelamento!M:M,Conciliacao!A405)*(-1)</f>
        <v/>
      </c>
      <c r="L405" s="4">
        <f>SUMIFS(df_mutuos!N:N,df_mutuos!B:B,Conciliacao!A405)*(-1)</f>
        <v/>
      </c>
      <c r="M405" s="8">
        <f>SUMIFS(df_bloqueios_judiciais!G:G,df_bloqueios_judiciais!D:D,Conciliacao!A405,df_bloqueios_judiciais!G:G,"&lt;0")</f>
        <v/>
      </c>
      <c r="N405" s="10">
        <f>SUMIFS(df_extratos!I:I,df_extratos!F:F,Conciliacao!BE405,df_extratos!G:G,"DEBITO")+SUMIFS(df_extratos!I:I,df_extratos!F:F,Conciliacao!A405,df_extratos!G:G,"DEBITO")+SUMIFS(df_extratos!I:I,df_extratos!F:F,Conciliacao!BF405,df_extratos!G:G,"DEBITO")+SUMIFS(df_extratos!I:I,df_extratos!F:F,Conciliacao!BG405,df_extratos!G:G,"DEBITO")+SUMIFS(df_extratos!I:I,df_extratos!F:F,Conciliacao!BH405,df_extratos!G:G,"DEBITO")</f>
        <v/>
      </c>
      <c r="O405" s="11">
        <f>N405-SUM(J405:M405)</f>
        <v/>
      </c>
      <c r="P405" s="25">
        <f>SUMIFS(df_ajustes_conciliaco!D:D,df_ajustes_conciliaco!C:C,Conciliacao!A405)</f>
        <v/>
      </c>
      <c r="Q405" s="22">
        <f>O405+I405-P405</f>
        <v/>
      </c>
    </row>
    <row r="406">
      <c r="A406" s="5">
        <f>A405+1</f>
        <v/>
      </c>
      <c r="B406" s="3">
        <f>-SUMIFS(df_extrato_zig!G:G,df_extrato_zig!E:E,Conciliacao!A406,df_extrato_zig!D:D,"Saque")-SUMIFS(df_extrato_zig!G:G,df_extrato_zig!E:E,Conciliacao!A406,df_extrato_zig!D:D,"Antecipação")</f>
        <v/>
      </c>
      <c r="C406" s="3">
        <f>SUMIFS(df_extrato_zig!E:E,df_extrato_zig!L:L,Conciliacao!A406,df_extrato_zig!F:F,"DINHEIRO")</f>
        <v/>
      </c>
      <c r="D406" s="3">
        <f>SUMIFS(view_parc_agrup!H:H,view_parc_agrup!G:G,Conciliacao!A406)</f>
        <v/>
      </c>
      <c r="E406" s="3">
        <f>SUMIFS(df_eventos!F:F,df_eventos!H:H,Conciliacao!A406)</f>
        <v/>
      </c>
      <c r="F406" s="3">
        <f>SUMIFS(df_mutuos!M:M,df_mutuos!B:B,Conciliacao!A406)</f>
        <v/>
      </c>
      <c r="G406" s="6">
        <f>SUMIFS(df_bloqueios_judiciais!G:G,df_bloqueios_judiciais!D:D,Conciliacao!A406,df_bloqueios_judiciais!G:G,"&gt;0")</f>
        <v/>
      </c>
      <c r="H406" s="7">
        <f>SUMIFS(df_extratos!I:I,df_extratos!F:F,Conciliacao!BE406,df_extratos!G:G,"CREDITO")+SUMIFS(df_extratos!I:I,df_extratos!F:F,Conciliacao!A406,df_extratos!G:G,"CREDITO")+SUMIFS(df_extratos!I:I,df_extratos!F:F,Conciliacao!BF406,df_extratos!G:G,"CREDITO")+SUMIFS(df_extratos!I:I,df_extratos!F:F,Conciliacao!BG406,df_extratos!G:G,"CREDITO")+SUMIFS(df_extratos!I:I,df_extratos!F:F,Conciliacao!BH406,df_extratos!G:G,"CREDITO")</f>
        <v/>
      </c>
      <c r="I406" s="9">
        <f>H406-SUM(B406:G406)</f>
        <v/>
      </c>
      <c r="J406" s="4">
        <f>SUMIFS(df_blueme_sem_parcelamento!E:E,df_blueme_sem_parcelamento!H:H,Conciliacao!A406)*(-1)</f>
        <v/>
      </c>
      <c r="K406" s="4">
        <f>SUMIFS(df_blueme_com_parcelamento!J:J,df_blueme_com_parcelamento!M:M,Conciliacao!A406)*(-1)</f>
        <v/>
      </c>
      <c r="L406" s="4">
        <f>SUMIFS(df_mutuos!N:N,df_mutuos!B:B,Conciliacao!A406)*(-1)</f>
        <v/>
      </c>
      <c r="M406" s="8">
        <f>SUMIFS(df_bloqueios_judiciais!G:G,df_bloqueios_judiciais!D:D,Conciliacao!A406,df_bloqueios_judiciais!G:G,"&lt;0")</f>
        <v/>
      </c>
      <c r="N406" s="10">
        <f>SUMIFS(df_extratos!I:I,df_extratos!F:F,Conciliacao!BE406,df_extratos!G:G,"DEBITO")+SUMIFS(df_extratos!I:I,df_extratos!F:F,Conciliacao!A406,df_extratos!G:G,"DEBITO")+SUMIFS(df_extratos!I:I,df_extratos!F:F,Conciliacao!BF406,df_extratos!G:G,"DEBITO")+SUMIFS(df_extratos!I:I,df_extratos!F:F,Conciliacao!BG406,df_extratos!G:G,"DEBITO")+SUMIFS(df_extratos!I:I,df_extratos!F:F,Conciliacao!BH406,df_extratos!G:G,"DEBITO")</f>
        <v/>
      </c>
      <c r="O406" s="11">
        <f>N406-SUM(J406:M406)</f>
        <v/>
      </c>
      <c r="P406" s="25">
        <f>SUMIFS(df_ajustes_conciliaco!D:D,df_ajustes_conciliaco!C:C,Conciliacao!A406)</f>
        <v/>
      </c>
      <c r="Q406" s="22">
        <f>O406+I406-P406</f>
        <v/>
      </c>
    </row>
    <row r="407">
      <c r="A407" s="5">
        <f>A406+1</f>
        <v/>
      </c>
      <c r="B407" s="3">
        <f>-SUMIFS(df_extrato_zig!G:G,df_extrato_zig!E:E,Conciliacao!A407,df_extrato_zig!D:D,"Saque")-SUMIFS(df_extrato_zig!G:G,df_extrato_zig!E:E,Conciliacao!A407,df_extrato_zig!D:D,"Antecipação")</f>
        <v/>
      </c>
      <c r="C407" s="3">
        <f>SUMIFS(df_extrato_zig!E:E,df_extrato_zig!L:L,Conciliacao!A407,df_extrato_zig!F:F,"DINHEIRO")</f>
        <v/>
      </c>
      <c r="D407" s="3">
        <f>SUMIFS(view_parc_agrup!H:H,view_parc_agrup!G:G,Conciliacao!A407)</f>
        <v/>
      </c>
      <c r="E407" s="3">
        <f>SUMIFS(df_eventos!F:F,df_eventos!H:H,Conciliacao!A407)</f>
        <v/>
      </c>
      <c r="F407" s="3">
        <f>SUMIFS(df_mutuos!M:M,df_mutuos!B:B,Conciliacao!A407)</f>
        <v/>
      </c>
      <c r="G407" s="6">
        <f>SUMIFS(df_bloqueios_judiciais!G:G,df_bloqueios_judiciais!D:D,Conciliacao!A407,df_bloqueios_judiciais!G:G,"&gt;0")</f>
        <v/>
      </c>
      <c r="H407" s="7">
        <f>SUMIFS(df_extratos!I:I,df_extratos!F:F,Conciliacao!BE407,df_extratos!G:G,"CREDITO")+SUMIFS(df_extratos!I:I,df_extratos!F:F,Conciliacao!A407,df_extratos!G:G,"CREDITO")+SUMIFS(df_extratos!I:I,df_extratos!F:F,Conciliacao!BF407,df_extratos!G:G,"CREDITO")+SUMIFS(df_extratos!I:I,df_extratos!F:F,Conciliacao!BG407,df_extratos!G:G,"CREDITO")+SUMIFS(df_extratos!I:I,df_extratos!F:F,Conciliacao!BH407,df_extratos!G:G,"CREDITO")</f>
        <v/>
      </c>
      <c r="I407" s="9">
        <f>H407-SUM(B407:G407)</f>
        <v/>
      </c>
      <c r="J407" s="4">
        <f>SUMIFS(df_blueme_sem_parcelamento!E:E,df_blueme_sem_parcelamento!H:H,Conciliacao!A407)*(-1)</f>
        <v/>
      </c>
      <c r="K407" s="4">
        <f>SUMIFS(df_blueme_com_parcelamento!J:J,df_blueme_com_parcelamento!M:M,Conciliacao!A407)*(-1)</f>
        <v/>
      </c>
      <c r="L407" s="4">
        <f>SUMIFS(df_mutuos!N:N,df_mutuos!B:B,Conciliacao!A407)*(-1)</f>
        <v/>
      </c>
      <c r="M407" s="8">
        <f>SUMIFS(df_bloqueios_judiciais!G:G,df_bloqueios_judiciais!D:D,Conciliacao!A407,df_bloqueios_judiciais!G:G,"&lt;0")</f>
        <v/>
      </c>
      <c r="N407" s="10">
        <f>SUMIFS(df_extratos!I:I,df_extratos!F:F,Conciliacao!BE407,df_extratos!G:G,"DEBITO")+SUMIFS(df_extratos!I:I,df_extratos!F:F,Conciliacao!A407,df_extratos!G:G,"DEBITO")+SUMIFS(df_extratos!I:I,df_extratos!F:F,Conciliacao!BF407,df_extratos!G:G,"DEBITO")+SUMIFS(df_extratos!I:I,df_extratos!F:F,Conciliacao!BG407,df_extratos!G:G,"DEBITO")+SUMIFS(df_extratos!I:I,df_extratos!F:F,Conciliacao!BH407,df_extratos!G:G,"DEBITO")</f>
        <v/>
      </c>
      <c r="O407" s="11">
        <f>N407-SUM(J407:M407)</f>
        <v/>
      </c>
      <c r="P407" s="25">
        <f>SUMIFS(df_ajustes_conciliaco!D:D,df_ajustes_conciliaco!C:C,Conciliacao!A407)</f>
        <v/>
      </c>
      <c r="Q407" s="22">
        <f>O407+I407-P407</f>
        <v/>
      </c>
    </row>
    <row r="408">
      <c r="A408" s="5">
        <f>A407+1</f>
        <v/>
      </c>
      <c r="B408" s="3">
        <f>-SUMIFS(df_extrato_zig!G:G,df_extrato_zig!E:E,Conciliacao!A408,df_extrato_zig!D:D,"Saque")-SUMIFS(df_extrato_zig!G:G,df_extrato_zig!E:E,Conciliacao!A408,df_extrato_zig!D:D,"Antecipação")</f>
        <v/>
      </c>
      <c r="C408" s="3">
        <f>SUMIFS(df_extrato_zig!E:E,df_extrato_zig!L:L,Conciliacao!A408,df_extrato_zig!F:F,"DINHEIRO")</f>
        <v/>
      </c>
      <c r="D408" s="3">
        <f>SUMIFS(view_parc_agrup!H:H,view_parc_agrup!G:G,Conciliacao!A408)</f>
        <v/>
      </c>
      <c r="E408" s="3">
        <f>SUMIFS(df_eventos!F:F,df_eventos!H:H,Conciliacao!A408)</f>
        <v/>
      </c>
      <c r="F408" s="3">
        <f>SUMIFS(df_mutuos!M:M,df_mutuos!B:B,Conciliacao!A408)</f>
        <v/>
      </c>
      <c r="G408" s="6">
        <f>SUMIFS(df_bloqueios_judiciais!G:G,df_bloqueios_judiciais!D:D,Conciliacao!A408,df_bloqueios_judiciais!G:G,"&gt;0")</f>
        <v/>
      </c>
      <c r="H408" s="7">
        <f>SUMIFS(df_extratos!I:I,df_extratos!F:F,Conciliacao!BE408,df_extratos!G:G,"CREDITO")+SUMIFS(df_extratos!I:I,df_extratos!F:F,Conciliacao!A408,df_extratos!G:G,"CREDITO")+SUMIFS(df_extratos!I:I,df_extratos!F:F,Conciliacao!BF408,df_extratos!G:G,"CREDITO")+SUMIFS(df_extratos!I:I,df_extratos!F:F,Conciliacao!BG408,df_extratos!G:G,"CREDITO")+SUMIFS(df_extratos!I:I,df_extratos!F:F,Conciliacao!BH408,df_extratos!G:G,"CREDITO")</f>
        <v/>
      </c>
      <c r="I408" s="9">
        <f>H408-SUM(B408:G408)</f>
        <v/>
      </c>
      <c r="J408" s="4">
        <f>SUMIFS(df_blueme_sem_parcelamento!E:E,df_blueme_sem_parcelamento!H:H,Conciliacao!A408)*(-1)</f>
        <v/>
      </c>
      <c r="K408" s="4">
        <f>SUMIFS(df_blueme_com_parcelamento!J:J,df_blueme_com_parcelamento!M:M,Conciliacao!A408)*(-1)</f>
        <v/>
      </c>
      <c r="L408" s="4">
        <f>SUMIFS(df_mutuos!N:N,df_mutuos!B:B,Conciliacao!A408)*(-1)</f>
        <v/>
      </c>
      <c r="M408" s="8">
        <f>SUMIFS(df_bloqueios_judiciais!G:G,df_bloqueios_judiciais!D:D,Conciliacao!A408,df_bloqueios_judiciais!G:G,"&lt;0")</f>
        <v/>
      </c>
      <c r="N408" s="10">
        <f>SUMIFS(df_extratos!I:I,df_extratos!F:F,Conciliacao!BE408,df_extratos!G:G,"DEBITO")+SUMIFS(df_extratos!I:I,df_extratos!F:F,Conciliacao!A408,df_extratos!G:G,"DEBITO")+SUMIFS(df_extratos!I:I,df_extratos!F:F,Conciliacao!BF408,df_extratos!G:G,"DEBITO")+SUMIFS(df_extratos!I:I,df_extratos!F:F,Conciliacao!BG408,df_extratos!G:G,"DEBITO")+SUMIFS(df_extratos!I:I,df_extratos!F:F,Conciliacao!BH408,df_extratos!G:G,"DEBITO")</f>
        <v/>
      </c>
      <c r="O408" s="11">
        <f>N408-SUM(J408:M408)</f>
        <v/>
      </c>
      <c r="P408" s="25">
        <f>SUMIFS(df_ajustes_conciliaco!D:D,df_ajustes_conciliaco!C:C,Conciliacao!A408)</f>
        <v/>
      </c>
      <c r="Q408" s="22">
        <f>O408+I408-P408</f>
        <v/>
      </c>
    </row>
    <row r="409">
      <c r="A409" s="5">
        <f>A408+1</f>
        <v/>
      </c>
      <c r="B409" s="3">
        <f>-SUMIFS(df_extrato_zig!G:G,df_extrato_zig!E:E,Conciliacao!A409,df_extrato_zig!D:D,"Saque")-SUMIFS(df_extrato_zig!G:G,df_extrato_zig!E:E,Conciliacao!A409,df_extrato_zig!D:D,"Antecipação")</f>
        <v/>
      </c>
      <c r="C409" s="3">
        <f>SUMIFS(df_extrato_zig!E:E,df_extrato_zig!L:L,Conciliacao!A409,df_extrato_zig!F:F,"DINHEIRO")</f>
        <v/>
      </c>
      <c r="D409" s="3">
        <f>SUMIFS(view_parc_agrup!H:H,view_parc_agrup!G:G,Conciliacao!A409)</f>
        <v/>
      </c>
      <c r="E409" s="3">
        <f>SUMIFS(df_eventos!F:F,df_eventos!H:H,Conciliacao!A409)</f>
        <v/>
      </c>
      <c r="F409" s="3">
        <f>SUMIFS(df_mutuos!M:M,df_mutuos!B:B,Conciliacao!A409)</f>
        <v/>
      </c>
      <c r="G409" s="6">
        <f>SUMIFS(df_bloqueios_judiciais!G:G,df_bloqueios_judiciais!D:D,Conciliacao!A409,df_bloqueios_judiciais!G:G,"&gt;0")</f>
        <v/>
      </c>
      <c r="H409" s="7">
        <f>SUMIFS(df_extratos!I:I,df_extratos!F:F,Conciliacao!BE409,df_extratos!G:G,"CREDITO")+SUMIFS(df_extratos!I:I,df_extratos!F:F,Conciliacao!A409,df_extratos!G:G,"CREDITO")+SUMIFS(df_extratos!I:I,df_extratos!F:F,Conciliacao!BF409,df_extratos!G:G,"CREDITO")+SUMIFS(df_extratos!I:I,df_extratos!F:F,Conciliacao!BG409,df_extratos!G:G,"CREDITO")+SUMIFS(df_extratos!I:I,df_extratos!F:F,Conciliacao!BH409,df_extratos!G:G,"CREDITO")</f>
        <v/>
      </c>
      <c r="I409" s="9">
        <f>H409-SUM(B409:G409)</f>
        <v/>
      </c>
      <c r="J409" s="4">
        <f>SUMIFS(df_blueme_sem_parcelamento!E:E,df_blueme_sem_parcelamento!H:H,Conciliacao!A409)*(-1)</f>
        <v/>
      </c>
      <c r="K409" s="4">
        <f>SUMIFS(df_blueme_com_parcelamento!J:J,df_blueme_com_parcelamento!M:M,Conciliacao!A409)*(-1)</f>
        <v/>
      </c>
      <c r="L409" s="4">
        <f>SUMIFS(df_mutuos!N:N,df_mutuos!B:B,Conciliacao!A409)*(-1)</f>
        <v/>
      </c>
      <c r="M409" s="8">
        <f>SUMIFS(df_bloqueios_judiciais!G:G,df_bloqueios_judiciais!D:D,Conciliacao!A409,df_bloqueios_judiciais!G:G,"&lt;0")</f>
        <v/>
      </c>
      <c r="N409" s="10">
        <f>SUMIFS(df_extratos!I:I,df_extratos!F:F,Conciliacao!BE409,df_extratos!G:G,"DEBITO")+SUMIFS(df_extratos!I:I,df_extratos!F:F,Conciliacao!A409,df_extratos!G:G,"DEBITO")+SUMIFS(df_extratos!I:I,df_extratos!F:F,Conciliacao!BF409,df_extratos!G:G,"DEBITO")+SUMIFS(df_extratos!I:I,df_extratos!F:F,Conciliacao!BG409,df_extratos!G:G,"DEBITO")+SUMIFS(df_extratos!I:I,df_extratos!F:F,Conciliacao!BH409,df_extratos!G:G,"DEBITO")</f>
        <v/>
      </c>
      <c r="O409" s="11">
        <f>N409-SUM(J409:M409)</f>
        <v/>
      </c>
      <c r="P409" s="25">
        <f>SUMIFS(df_ajustes_conciliaco!D:D,df_ajustes_conciliaco!C:C,Conciliacao!A409)</f>
        <v/>
      </c>
      <c r="Q409" s="22">
        <f>O409+I409-P409</f>
        <v/>
      </c>
    </row>
    <row r="410">
      <c r="A410" s="5">
        <f>A409+1</f>
        <v/>
      </c>
      <c r="B410" s="3">
        <f>-SUMIFS(df_extrato_zig!G:G,df_extrato_zig!E:E,Conciliacao!A410,df_extrato_zig!D:D,"Saque")-SUMIFS(df_extrato_zig!G:G,df_extrato_zig!E:E,Conciliacao!A410,df_extrato_zig!D:D,"Antecipação")</f>
        <v/>
      </c>
      <c r="C410" s="3">
        <f>SUMIFS(df_extrato_zig!E:E,df_extrato_zig!L:L,Conciliacao!A410,df_extrato_zig!F:F,"DINHEIRO")</f>
        <v/>
      </c>
      <c r="D410" s="3">
        <f>SUMIFS(view_parc_agrup!H:H,view_parc_agrup!G:G,Conciliacao!A410)</f>
        <v/>
      </c>
      <c r="E410" s="3">
        <f>SUMIFS(df_eventos!F:F,df_eventos!H:H,Conciliacao!A410)</f>
        <v/>
      </c>
      <c r="F410" s="3">
        <f>SUMIFS(df_mutuos!M:M,df_mutuos!B:B,Conciliacao!A410)</f>
        <v/>
      </c>
      <c r="G410" s="6">
        <f>SUMIFS(df_bloqueios_judiciais!G:G,df_bloqueios_judiciais!D:D,Conciliacao!A410,df_bloqueios_judiciais!G:G,"&gt;0")</f>
        <v/>
      </c>
      <c r="H410" s="7">
        <f>SUMIFS(df_extratos!I:I,df_extratos!F:F,Conciliacao!BE410,df_extratos!G:G,"CREDITO")+SUMIFS(df_extratos!I:I,df_extratos!F:F,Conciliacao!A410,df_extratos!G:G,"CREDITO")+SUMIFS(df_extratos!I:I,df_extratos!F:F,Conciliacao!BF410,df_extratos!G:G,"CREDITO")+SUMIFS(df_extratos!I:I,df_extratos!F:F,Conciliacao!BG410,df_extratos!G:G,"CREDITO")+SUMIFS(df_extratos!I:I,df_extratos!F:F,Conciliacao!BH410,df_extratos!G:G,"CREDITO")</f>
        <v/>
      </c>
      <c r="I410" s="9">
        <f>H410-SUM(B410:G410)</f>
        <v/>
      </c>
      <c r="J410" s="4">
        <f>SUMIFS(df_blueme_sem_parcelamento!E:E,df_blueme_sem_parcelamento!H:H,Conciliacao!A410)*(-1)</f>
        <v/>
      </c>
      <c r="K410" s="4">
        <f>SUMIFS(df_blueme_com_parcelamento!J:J,df_blueme_com_parcelamento!M:M,Conciliacao!A410)*(-1)</f>
        <v/>
      </c>
      <c r="L410" s="4">
        <f>SUMIFS(df_mutuos!N:N,df_mutuos!B:B,Conciliacao!A410)*(-1)</f>
        <v/>
      </c>
      <c r="M410" s="8">
        <f>SUMIFS(df_bloqueios_judiciais!G:G,df_bloqueios_judiciais!D:D,Conciliacao!A410,df_bloqueios_judiciais!G:G,"&lt;0")</f>
        <v/>
      </c>
      <c r="N410" s="10">
        <f>SUMIFS(df_extratos!I:I,df_extratos!F:F,Conciliacao!BE410,df_extratos!G:G,"DEBITO")+SUMIFS(df_extratos!I:I,df_extratos!F:F,Conciliacao!A410,df_extratos!G:G,"DEBITO")+SUMIFS(df_extratos!I:I,df_extratos!F:F,Conciliacao!BF410,df_extratos!G:G,"DEBITO")+SUMIFS(df_extratos!I:I,df_extratos!F:F,Conciliacao!BG410,df_extratos!G:G,"DEBITO")+SUMIFS(df_extratos!I:I,df_extratos!F:F,Conciliacao!BH410,df_extratos!G:G,"DEBITO")</f>
        <v/>
      </c>
      <c r="O410" s="11">
        <f>N410-SUM(J410:M410)</f>
        <v/>
      </c>
      <c r="P410" s="25">
        <f>SUMIFS(df_ajustes_conciliaco!D:D,df_ajustes_conciliaco!C:C,Conciliacao!A410)</f>
        <v/>
      </c>
      <c r="Q410" s="22">
        <f>O410+I410-P410</f>
        <v/>
      </c>
    </row>
    <row r="411">
      <c r="A411" s="5">
        <f>A410+1</f>
        <v/>
      </c>
      <c r="B411" s="3">
        <f>-SUMIFS(df_extrato_zig!G:G,df_extrato_zig!E:E,Conciliacao!A411,df_extrato_zig!D:D,"Saque")-SUMIFS(df_extrato_zig!G:G,df_extrato_zig!E:E,Conciliacao!A411,df_extrato_zig!D:D,"Antecipação")</f>
        <v/>
      </c>
      <c r="C411" s="3">
        <f>SUMIFS(df_extrato_zig!E:E,df_extrato_zig!L:L,Conciliacao!A411,df_extrato_zig!F:F,"DINHEIRO")</f>
        <v/>
      </c>
      <c r="D411" s="3">
        <f>SUMIFS(view_parc_agrup!H:H,view_parc_agrup!G:G,Conciliacao!A411)</f>
        <v/>
      </c>
      <c r="E411" s="3">
        <f>SUMIFS(df_eventos!F:F,df_eventos!H:H,Conciliacao!A411)</f>
        <v/>
      </c>
      <c r="F411" s="3">
        <f>SUMIFS(df_mutuos!M:M,df_mutuos!B:B,Conciliacao!A411)</f>
        <v/>
      </c>
      <c r="G411" s="6">
        <f>SUMIFS(df_bloqueios_judiciais!G:G,df_bloqueios_judiciais!D:D,Conciliacao!A411,df_bloqueios_judiciais!G:G,"&gt;0")</f>
        <v/>
      </c>
      <c r="H411" s="7">
        <f>SUMIFS(df_extratos!I:I,df_extratos!F:F,Conciliacao!BE411,df_extratos!G:G,"CREDITO")+SUMIFS(df_extratos!I:I,df_extratos!F:F,Conciliacao!A411,df_extratos!G:G,"CREDITO")+SUMIFS(df_extratos!I:I,df_extratos!F:F,Conciliacao!BF411,df_extratos!G:G,"CREDITO")+SUMIFS(df_extratos!I:I,df_extratos!F:F,Conciliacao!BG411,df_extratos!G:G,"CREDITO")+SUMIFS(df_extratos!I:I,df_extratos!F:F,Conciliacao!BH411,df_extratos!G:G,"CREDITO")</f>
        <v/>
      </c>
      <c r="I411" s="9">
        <f>H411-SUM(B411:G411)</f>
        <v/>
      </c>
      <c r="J411" s="4">
        <f>SUMIFS(df_blueme_sem_parcelamento!E:E,df_blueme_sem_parcelamento!H:H,Conciliacao!A411)*(-1)</f>
        <v/>
      </c>
      <c r="K411" s="4">
        <f>SUMIFS(df_blueme_com_parcelamento!J:J,df_blueme_com_parcelamento!M:M,Conciliacao!A411)*(-1)</f>
        <v/>
      </c>
      <c r="L411" s="4">
        <f>SUMIFS(df_mutuos!N:N,df_mutuos!B:B,Conciliacao!A411)*(-1)</f>
        <v/>
      </c>
      <c r="M411" s="8">
        <f>SUMIFS(df_bloqueios_judiciais!G:G,df_bloqueios_judiciais!D:D,Conciliacao!A411,df_bloqueios_judiciais!G:G,"&lt;0")</f>
        <v/>
      </c>
      <c r="N411" s="10">
        <f>SUMIFS(df_extratos!I:I,df_extratos!F:F,Conciliacao!BE411,df_extratos!G:G,"DEBITO")+SUMIFS(df_extratos!I:I,df_extratos!F:F,Conciliacao!A411,df_extratos!G:G,"DEBITO")+SUMIFS(df_extratos!I:I,df_extratos!F:F,Conciliacao!BF411,df_extratos!G:G,"DEBITO")+SUMIFS(df_extratos!I:I,df_extratos!F:F,Conciliacao!BG411,df_extratos!G:G,"DEBITO")+SUMIFS(df_extratos!I:I,df_extratos!F:F,Conciliacao!BH411,df_extratos!G:G,"DEBITO")</f>
        <v/>
      </c>
      <c r="O411" s="11">
        <f>N411-SUM(J411:M411)</f>
        <v/>
      </c>
      <c r="P411" s="25">
        <f>SUMIFS(df_ajustes_conciliaco!D:D,df_ajustes_conciliaco!C:C,Conciliacao!A411)</f>
        <v/>
      </c>
      <c r="Q411" s="22">
        <f>O411+I411-P411</f>
        <v/>
      </c>
    </row>
    <row r="412">
      <c r="A412" s="5">
        <f>A411+1</f>
        <v/>
      </c>
      <c r="B412" s="3">
        <f>-SUMIFS(df_extrato_zig!G:G,df_extrato_zig!E:E,Conciliacao!A412,df_extrato_zig!D:D,"Saque")-SUMIFS(df_extrato_zig!G:G,df_extrato_zig!E:E,Conciliacao!A412,df_extrato_zig!D:D,"Antecipação")</f>
        <v/>
      </c>
      <c r="C412" s="3">
        <f>SUMIFS(df_extrato_zig!E:E,df_extrato_zig!L:L,Conciliacao!A412,df_extrato_zig!F:F,"DINHEIRO")</f>
        <v/>
      </c>
      <c r="D412" s="3">
        <f>SUMIFS(view_parc_agrup!H:H,view_parc_agrup!G:G,Conciliacao!A412)</f>
        <v/>
      </c>
      <c r="E412" s="3">
        <f>SUMIFS(df_eventos!F:F,df_eventos!H:H,Conciliacao!A412)</f>
        <v/>
      </c>
      <c r="F412" s="3">
        <f>SUMIFS(df_mutuos!M:M,df_mutuos!B:B,Conciliacao!A412)</f>
        <v/>
      </c>
      <c r="G412" s="6">
        <f>SUMIFS(df_bloqueios_judiciais!G:G,df_bloqueios_judiciais!D:D,Conciliacao!A412,df_bloqueios_judiciais!G:G,"&gt;0")</f>
        <v/>
      </c>
      <c r="H412" s="7">
        <f>SUMIFS(df_extratos!I:I,df_extratos!F:F,Conciliacao!BE412,df_extratos!G:G,"CREDITO")+SUMIFS(df_extratos!I:I,df_extratos!F:F,Conciliacao!A412,df_extratos!G:G,"CREDITO")+SUMIFS(df_extratos!I:I,df_extratos!F:F,Conciliacao!BF412,df_extratos!G:G,"CREDITO")+SUMIFS(df_extratos!I:I,df_extratos!F:F,Conciliacao!BG412,df_extratos!G:G,"CREDITO")+SUMIFS(df_extratos!I:I,df_extratos!F:F,Conciliacao!BH412,df_extratos!G:G,"CREDITO")</f>
        <v/>
      </c>
      <c r="I412" s="9">
        <f>H412-SUM(B412:G412)</f>
        <v/>
      </c>
      <c r="J412" s="4">
        <f>SUMIFS(df_blueme_sem_parcelamento!E:E,df_blueme_sem_parcelamento!H:H,Conciliacao!A412)*(-1)</f>
        <v/>
      </c>
      <c r="K412" s="4">
        <f>SUMIFS(df_blueme_com_parcelamento!J:J,df_blueme_com_parcelamento!M:M,Conciliacao!A412)*(-1)</f>
        <v/>
      </c>
      <c r="L412" s="4">
        <f>SUMIFS(df_mutuos!N:N,df_mutuos!B:B,Conciliacao!A412)*(-1)</f>
        <v/>
      </c>
      <c r="M412" s="8">
        <f>SUMIFS(df_bloqueios_judiciais!G:G,df_bloqueios_judiciais!D:D,Conciliacao!A412,df_bloqueios_judiciais!G:G,"&lt;0")</f>
        <v/>
      </c>
      <c r="N412" s="10">
        <f>SUMIFS(df_extratos!I:I,df_extratos!F:F,Conciliacao!BE412,df_extratos!G:G,"DEBITO")+SUMIFS(df_extratos!I:I,df_extratos!F:F,Conciliacao!A412,df_extratos!G:G,"DEBITO")+SUMIFS(df_extratos!I:I,df_extratos!F:F,Conciliacao!BF412,df_extratos!G:G,"DEBITO")+SUMIFS(df_extratos!I:I,df_extratos!F:F,Conciliacao!BG412,df_extratos!G:G,"DEBITO")+SUMIFS(df_extratos!I:I,df_extratos!F:F,Conciliacao!BH412,df_extratos!G:G,"DEBITO")</f>
        <v/>
      </c>
      <c r="O412" s="11">
        <f>N412-SUM(J412:M412)</f>
        <v/>
      </c>
      <c r="P412" s="25">
        <f>SUMIFS(df_ajustes_conciliaco!D:D,df_ajustes_conciliaco!C:C,Conciliacao!A412)</f>
        <v/>
      </c>
      <c r="Q412" s="22">
        <f>O412+I412-P412</f>
        <v/>
      </c>
    </row>
    <row r="413">
      <c r="A413" s="5">
        <f>A412+1</f>
        <v/>
      </c>
      <c r="B413" s="3">
        <f>-SUMIFS(df_extrato_zig!G:G,df_extrato_zig!E:E,Conciliacao!A413,df_extrato_zig!D:D,"Saque")-SUMIFS(df_extrato_zig!G:G,df_extrato_zig!E:E,Conciliacao!A413,df_extrato_zig!D:D,"Antecipação")</f>
        <v/>
      </c>
      <c r="C413" s="3">
        <f>SUMIFS(df_extrato_zig!E:E,df_extrato_zig!L:L,Conciliacao!A413,df_extrato_zig!F:F,"DINHEIRO")</f>
        <v/>
      </c>
      <c r="D413" s="3">
        <f>SUMIFS(view_parc_agrup!H:H,view_parc_agrup!G:G,Conciliacao!A413)</f>
        <v/>
      </c>
      <c r="E413" s="3">
        <f>SUMIFS(df_eventos!F:F,df_eventos!H:H,Conciliacao!A413)</f>
        <v/>
      </c>
      <c r="F413" s="3">
        <f>SUMIFS(df_mutuos!M:M,df_mutuos!B:B,Conciliacao!A413)</f>
        <v/>
      </c>
      <c r="G413" s="6">
        <f>SUMIFS(df_bloqueios_judiciais!G:G,df_bloqueios_judiciais!D:D,Conciliacao!A413,df_bloqueios_judiciais!G:G,"&gt;0")</f>
        <v/>
      </c>
      <c r="H413" s="7">
        <f>SUMIFS(df_extratos!I:I,df_extratos!F:F,Conciliacao!BE413,df_extratos!G:G,"CREDITO")+SUMIFS(df_extratos!I:I,df_extratos!F:F,Conciliacao!A413,df_extratos!G:G,"CREDITO")+SUMIFS(df_extratos!I:I,df_extratos!F:F,Conciliacao!BF413,df_extratos!G:G,"CREDITO")+SUMIFS(df_extratos!I:I,df_extratos!F:F,Conciliacao!BG413,df_extratos!G:G,"CREDITO")+SUMIFS(df_extratos!I:I,df_extratos!F:F,Conciliacao!BH413,df_extratos!G:G,"CREDITO")</f>
        <v/>
      </c>
      <c r="I413" s="9">
        <f>H413-SUM(B413:G413)</f>
        <v/>
      </c>
      <c r="J413" s="4">
        <f>SUMIFS(df_blueme_sem_parcelamento!E:E,df_blueme_sem_parcelamento!H:H,Conciliacao!A413)*(-1)</f>
        <v/>
      </c>
      <c r="K413" s="4">
        <f>SUMIFS(df_blueme_com_parcelamento!J:J,df_blueme_com_parcelamento!M:M,Conciliacao!A413)*(-1)</f>
        <v/>
      </c>
      <c r="L413" s="4">
        <f>SUMIFS(df_mutuos!N:N,df_mutuos!B:B,Conciliacao!A413)*(-1)</f>
        <v/>
      </c>
      <c r="M413" s="8">
        <f>SUMIFS(df_bloqueios_judiciais!G:G,df_bloqueios_judiciais!D:D,Conciliacao!A413,df_bloqueios_judiciais!G:G,"&lt;0")</f>
        <v/>
      </c>
      <c r="N413" s="10">
        <f>SUMIFS(df_extratos!I:I,df_extratos!F:F,Conciliacao!BE413,df_extratos!G:G,"DEBITO")+SUMIFS(df_extratos!I:I,df_extratos!F:F,Conciliacao!A413,df_extratos!G:G,"DEBITO")+SUMIFS(df_extratos!I:I,df_extratos!F:F,Conciliacao!BF413,df_extratos!G:G,"DEBITO")+SUMIFS(df_extratos!I:I,df_extratos!F:F,Conciliacao!BG413,df_extratos!G:G,"DEBITO")+SUMIFS(df_extratos!I:I,df_extratos!F:F,Conciliacao!BH413,df_extratos!G:G,"DEBITO")</f>
        <v/>
      </c>
      <c r="O413" s="11">
        <f>N413-SUM(J413:M413)</f>
        <v/>
      </c>
      <c r="P413" s="25">
        <f>SUMIFS(df_ajustes_conciliaco!D:D,df_ajustes_conciliaco!C:C,Conciliacao!A413)</f>
        <v/>
      </c>
      <c r="Q413" s="22">
        <f>O413+I413-P413</f>
        <v/>
      </c>
    </row>
    <row r="414">
      <c r="A414" s="5">
        <f>A413+1</f>
        <v/>
      </c>
      <c r="B414" s="3">
        <f>-SUMIFS(df_extrato_zig!G:G,df_extrato_zig!E:E,Conciliacao!A414,df_extrato_zig!D:D,"Saque")-SUMIFS(df_extrato_zig!G:G,df_extrato_zig!E:E,Conciliacao!A414,df_extrato_zig!D:D,"Antecipação")</f>
        <v/>
      </c>
      <c r="C414" s="3">
        <f>SUMIFS(df_extrato_zig!E:E,df_extrato_zig!L:L,Conciliacao!A414,df_extrato_zig!F:F,"DINHEIRO")</f>
        <v/>
      </c>
      <c r="D414" s="3">
        <f>SUMIFS(view_parc_agrup!H:H,view_parc_agrup!G:G,Conciliacao!A414)</f>
        <v/>
      </c>
      <c r="E414" s="3">
        <f>SUMIFS(df_eventos!F:F,df_eventos!H:H,Conciliacao!A414)</f>
        <v/>
      </c>
      <c r="F414" s="3">
        <f>SUMIFS(df_mutuos!M:M,df_mutuos!B:B,Conciliacao!A414)</f>
        <v/>
      </c>
      <c r="G414" s="6">
        <f>SUMIFS(df_bloqueios_judiciais!G:G,df_bloqueios_judiciais!D:D,Conciliacao!A414,df_bloqueios_judiciais!G:G,"&gt;0")</f>
        <v/>
      </c>
      <c r="H414" s="7">
        <f>SUMIFS(df_extratos!I:I,df_extratos!F:F,Conciliacao!BE414,df_extratos!G:G,"CREDITO")+SUMIFS(df_extratos!I:I,df_extratos!F:F,Conciliacao!A414,df_extratos!G:G,"CREDITO")+SUMIFS(df_extratos!I:I,df_extratos!F:F,Conciliacao!BF414,df_extratos!G:G,"CREDITO")+SUMIFS(df_extratos!I:I,df_extratos!F:F,Conciliacao!BG414,df_extratos!G:G,"CREDITO")+SUMIFS(df_extratos!I:I,df_extratos!F:F,Conciliacao!BH414,df_extratos!G:G,"CREDITO")</f>
        <v/>
      </c>
      <c r="I414" s="9">
        <f>H414-SUM(B414:G414)</f>
        <v/>
      </c>
      <c r="J414" s="4">
        <f>SUMIFS(df_blueme_sem_parcelamento!E:E,df_blueme_sem_parcelamento!H:H,Conciliacao!A414)*(-1)</f>
        <v/>
      </c>
      <c r="K414" s="4">
        <f>SUMIFS(df_blueme_com_parcelamento!J:J,df_blueme_com_parcelamento!M:M,Conciliacao!A414)*(-1)</f>
        <v/>
      </c>
      <c r="L414" s="4">
        <f>SUMIFS(df_mutuos!N:N,df_mutuos!B:B,Conciliacao!A414)*(-1)</f>
        <v/>
      </c>
      <c r="M414" s="8">
        <f>SUMIFS(df_bloqueios_judiciais!G:G,df_bloqueios_judiciais!D:D,Conciliacao!A414,df_bloqueios_judiciais!G:G,"&lt;0")</f>
        <v/>
      </c>
      <c r="N414" s="10">
        <f>SUMIFS(df_extratos!I:I,df_extratos!F:F,Conciliacao!BE414,df_extratos!G:G,"DEBITO")+SUMIFS(df_extratos!I:I,df_extratos!F:F,Conciliacao!A414,df_extratos!G:G,"DEBITO")+SUMIFS(df_extratos!I:I,df_extratos!F:F,Conciliacao!BF414,df_extratos!G:G,"DEBITO")+SUMIFS(df_extratos!I:I,df_extratos!F:F,Conciliacao!BG414,df_extratos!G:G,"DEBITO")+SUMIFS(df_extratos!I:I,df_extratos!F:F,Conciliacao!BH414,df_extratos!G:G,"DEBITO")</f>
        <v/>
      </c>
      <c r="O414" s="11">
        <f>N414-SUM(J414:M414)</f>
        <v/>
      </c>
      <c r="P414" s="25">
        <f>SUMIFS(df_ajustes_conciliaco!D:D,df_ajustes_conciliaco!C:C,Conciliacao!A414)</f>
        <v/>
      </c>
      <c r="Q414" s="22">
        <f>O414+I414-P414</f>
        <v/>
      </c>
    </row>
    <row r="415">
      <c r="A415" s="5">
        <f>A414+1</f>
        <v/>
      </c>
      <c r="B415" s="3">
        <f>-SUMIFS(df_extrato_zig!G:G,df_extrato_zig!E:E,Conciliacao!A415,df_extrato_zig!D:D,"Saque")-SUMIFS(df_extrato_zig!G:G,df_extrato_zig!E:E,Conciliacao!A415,df_extrato_zig!D:D,"Antecipação")</f>
        <v/>
      </c>
      <c r="C415" s="3">
        <f>SUMIFS(df_extrato_zig!E:E,df_extrato_zig!L:L,Conciliacao!A415,df_extrato_zig!F:F,"DINHEIRO")</f>
        <v/>
      </c>
      <c r="D415" s="3">
        <f>SUMIFS(view_parc_agrup!H:H,view_parc_agrup!G:G,Conciliacao!A415)</f>
        <v/>
      </c>
      <c r="E415" s="3">
        <f>SUMIFS(df_eventos!F:F,df_eventos!H:H,Conciliacao!A415)</f>
        <v/>
      </c>
      <c r="F415" s="3">
        <f>SUMIFS(df_mutuos!M:M,df_mutuos!B:B,Conciliacao!A415)</f>
        <v/>
      </c>
      <c r="G415" s="6">
        <f>SUMIFS(df_bloqueios_judiciais!G:G,df_bloqueios_judiciais!D:D,Conciliacao!A415,df_bloqueios_judiciais!G:G,"&gt;0")</f>
        <v/>
      </c>
      <c r="H415" s="7">
        <f>SUMIFS(df_extratos!I:I,df_extratos!F:F,Conciliacao!BE415,df_extratos!G:G,"CREDITO")+SUMIFS(df_extratos!I:I,df_extratos!F:F,Conciliacao!A415,df_extratos!G:G,"CREDITO")+SUMIFS(df_extratos!I:I,df_extratos!F:F,Conciliacao!BF415,df_extratos!G:G,"CREDITO")+SUMIFS(df_extratos!I:I,df_extratos!F:F,Conciliacao!BG415,df_extratos!G:G,"CREDITO")+SUMIFS(df_extratos!I:I,df_extratos!F:F,Conciliacao!BH415,df_extratos!G:G,"CREDITO")</f>
        <v/>
      </c>
      <c r="I415" s="9">
        <f>H415-SUM(B415:G415)</f>
        <v/>
      </c>
      <c r="J415" s="4">
        <f>SUMIFS(df_blueme_sem_parcelamento!E:E,df_blueme_sem_parcelamento!H:H,Conciliacao!A415)*(-1)</f>
        <v/>
      </c>
      <c r="K415" s="4">
        <f>SUMIFS(df_blueme_com_parcelamento!J:J,df_blueme_com_parcelamento!M:M,Conciliacao!A415)*(-1)</f>
        <v/>
      </c>
      <c r="L415" s="4">
        <f>SUMIFS(df_mutuos!N:N,df_mutuos!B:B,Conciliacao!A415)*(-1)</f>
        <v/>
      </c>
      <c r="M415" s="8">
        <f>SUMIFS(df_bloqueios_judiciais!G:G,df_bloqueios_judiciais!D:D,Conciliacao!A415,df_bloqueios_judiciais!G:G,"&lt;0")</f>
        <v/>
      </c>
      <c r="N415" s="10">
        <f>SUMIFS(df_extratos!I:I,df_extratos!F:F,Conciliacao!BE415,df_extratos!G:G,"DEBITO")+SUMIFS(df_extratos!I:I,df_extratos!F:F,Conciliacao!A415,df_extratos!G:G,"DEBITO")+SUMIFS(df_extratos!I:I,df_extratos!F:F,Conciliacao!BF415,df_extratos!G:G,"DEBITO")+SUMIFS(df_extratos!I:I,df_extratos!F:F,Conciliacao!BG415,df_extratos!G:G,"DEBITO")+SUMIFS(df_extratos!I:I,df_extratos!F:F,Conciliacao!BH415,df_extratos!G:G,"DEBITO")</f>
        <v/>
      </c>
      <c r="O415" s="11">
        <f>N415-SUM(J415:M415)</f>
        <v/>
      </c>
      <c r="P415" s="25">
        <f>SUMIFS(df_ajustes_conciliaco!D:D,df_ajustes_conciliaco!C:C,Conciliacao!A415)</f>
        <v/>
      </c>
      <c r="Q415" s="22">
        <f>O415+I415-P415</f>
        <v/>
      </c>
    </row>
    <row r="416">
      <c r="A416" s="5">
        <f>A415+1</f>
        <v/>
      </c>
      <c r="B416" s="3">
        <f>-SUMIFS(df_extrato_zig!G:G,df_extrato_zig!E:E,Conciliacao!A416,df_extrato_zig!D:D,"Saque")-SUMIFS(df_extrato_zig!G:G,df_extrato_zig!E:E,Conciliacao!A416,df_extrato_zig!D:D,"Antecipação")</f>
        <v/>
      </c>
      <c r="C416" s="3">
        <f>SUMIFS(df_extrato_zig!E:E,df_extrato_zig!L:L,Conciliacao!A416,df_extrato_zig!F:F,"DINHEIRO")</f>
        <v/>
      </c>
      <c r="D416" s="3">
        <f>SUMIFS(view_parc_agrup!H:H,view_parc_agrup!G:G,Conciliacao!A416)</f>
        <v/>
      </c>
      <c r="E416" s="3">
        <f>SUMIFS(df_eventos!F:F,df_eventos!H:H,Conciliacao!A416)</f>
        <v/>
      </c>
      <c r="F416" s="3">
        <f>SUMIFS(df_mutuos!M:M,df_mutuos!B:B,Conciliacao!A416)</f>
        <v/>
      </c>
      <c r="G416" s="6">
        <f>SUMIFS(df_bloqueios_judiciais!G:G,df_bloqueios_judiciais!D:D,Conciliacao!A416,df_bloqueios_judiciais!G:G,"&gt;0")</f>
        <v/>
      </c>
      <c r="H416" s="7">
        <f>SUMIFS(df_extratos!I:I,df_extratos!F:F,Conciliacao!BE416,df_extratos!G:G,"CREDITO")+SUMIFS(df_extratos!I:I,df_extratos!F:F,Conciliacao!A416,df_extratos!G:G,"CREDITO")+SUMIFS(df_extratos!I:I,df_extratos!F:F,Conciliacao!BF416,df_extratos!G:G,"CREDITO")+SUMIFS(df_extratos!I:I,df_extratos!F:F,Conciliacao!BG416,df_extratos!G:G,"CREDITO")+SUMIFS(df_extratos!I:I,df_extratos!F:F,Conciliacao!BH416,df_extratos!G:G,"CREDITO")</f>
        <v/>
      </c>
      <c r="I416" s="9">
        <f>H416-SUM(B416:G416)</f>
        <v/>
      </c>
      <c r="J416" s="4">
        <f>SUMIFS(df_blueme_sem_parcelamento!E:E,df_blueme_sem_parcelamento!H:H,Conciliacao!A416)*(-1)</f>
        <v/>
      </c>
      <c r="K416" s="4">
        <f>SUMIFS(df_blueme_com_parcelamento!J:J,df_blueme_com_parcelamento!M:M,Conciliacao!A416)*(-1)</f>
        <v/>
      </c>
      <c r="L416" s="4">
        <f>SUMIFS(df_mutuos!N:N,df_mutuos!B:B,Conciliacao!A416)*(-1)</f>
        <v/>
      </c>
      <c r="M416" s="8">
        <f>SUMIFS(df_bloqueios_judiciais!G:G,df_bloqueios_judiciais!D:D,Conciliacao!A416,df_bloqueios_judiciais!G:G,"&lt;0")</f>
        <v/>
      </c>
      <c r="N416" s="10">
        <f>SUMIFS(df_extratos!I:I,df_extratos!F:F,Conciliacao!BE416,df_extratos!G:G,"DEBITO")+SUMIFS(df_extratos!I:I,df_extratos!F:F,Conciliacao!A416,df_extratos!G:G,"DEBITO")+SUMIFS(df_extratos!I:I,df_extratos!F:F,Conciliacao!BF416,df_extratos!G:G,"DEBITO")+SUMIFS(df_extratos!I:I,df_extratos!F:F,Conciliacao!BG416,df_extratos!G:G,"DEBITO")+SUMIFS(df_extratos!I:I,df_extratos!F:F,Conciliacao!BH416,df_extratos!G:G,"DEBITO")</f>
        <v/>
      </c>
      <c r="O416" s="11">
        <f>N416-SUM(J416:M416)</f>
        <v/>
      </c>
      <c r="P416" s="25">
        <f>SUMIFS(df_ajustes_conciliaco!D:D,df_ajustes_conciliaco!C:C,Conciliacao!A416)</f>
        <v/>
      </c>
      <c r="Q416" s="22">
        <f>O416+I416-P416</f>
        <v/>
      </c>
    </row>
    <row r="417">
      <c r="A417" s="5">
        <f>A416+1</f>
        <v/>
      </c>
      <c r="B417" s="3">
        <f>-SUMIFS(df_extrato_zig!G:G,df_extrato_zig!E:E,Conciliacao!A417,df_extrato_zig!D:D,"Saque")-SUMIFS(df_extrato_zig!G:G,df_extrato_zig!E:E,Conciliacao!A417,df_extrato_zig!D:D,"Antecipação")</f>
        <v/>
      </c>
      <c r="C417" s="3">
        <f>SUMIFS(df_extrato_zig!E:E,df_extrato_zig!L:L,Conciliacao!A417,df_extrato_zig!F:F,"DINHEIRO")</f>
        <v/>
      </c>
      <c r="D417" s="3">
        <f>SUMIFS(view_parc_agrup!H:H,view_parc_agrup!G:G,Conciliacao!A417)</f>
        <v/>
      </c>
      <c r="E417" s="3">
        <f>SUMIFS(df_eventos!F:F,df_eventos!H:H,Conciliacao!A417)</f>
        <v/>
      </c>
      <c r="F417" s="3">
        <f>SUMIFS(df_mutuos!M:M,df_mutuos!B:B,Conciliacao!A417)</f>
        <v/>
      </c>
      <c r="G417" s="6">
        <f>SUMIFS(df_bloqueios_judiciais!G:G,df_bloqueios_judiciais!D:D,Conciliacao!A417,df_bloqueios_judiciais!G:G,"&gt;0")</f>
        <v/>
      </c>
      <c r="H417" s="7">
        <f>SUMIFS(df_extratos!I:I,df_extratos!F:F,Conciliacao!BE417,df_extratos!G:G,"CREDITO")+SUMIFS(df_extratos!I:I,df_extratos!F:F,Conciliacao!A417,df_extratos!G:G,"CREDITO")+SUMIFS(df_extratos!I:I,df_extratos!F:F,Conciliacao!BF417,df_extratos!G:G,"CREDITO")+SUMIFS(df_extratos!I:I,df_extratos!F:F,Conciliacao!BG417,df_extratos!G:G,"CREDITO")+SUMIFS(df_extratos!I:I,df_extratos!F:F,Conciliacao!BH417,df_extratos!G:G,"CREDITO")</f>
        <v/>
      </c>
      <c r="I417" s="9">
        <f>H417-SUM(B417:G417)</f>
        <v/>
      </c>
      <c r="J417" s="4">
        <f>SUMIFS(df_blueme_sem_parcelamento!E:E,df_blueme_sem_parcelamento!H:H,Conciliacao!A417)*(-1)</f>
        <v/>
      </c>
      <c r="K417" s="4">
        <f>SUMIFS(df_blueme_com_parcelamento!J:J,df_blueme_com_parcelamento!M:M,Conciliacao!A417)*(-1)</f>
        <v/>
      </c>
      <c r="L417" s="4">
        <f>SUMIFS(df_mutuos!N:N,df_mutuos!B:B,Conciliacao!A417)*(-1)</f>
        <v/>
      </c>
      <c r="M417" s="8">
        <f>SUMIFS(df_bloqueios_judiciais!G:G,df_bloqueios_judiciais!D:D,Conciliacao!A417,df_bloqueios_judiciais!G:G,"&lt;0")</f>
        <v/>
      </c>
      <c r="N417" s="10">
        <f>SUMIFS(df_extratos!I:I,df_extratos!F:F,Conciliacao!BE417,df_extratos!G:G,"DEBITO")+SUMIFS(df_extratos!I:I,df_extratos!F:F,Conciliacao!A417,df_extratos!G:G,"DEBITO")+SUMIFS(df_extratos!I:I,df_extratos!F:F,Conciliacao!BF417,df_extratos!G:G,"DEBITO")+SUMIFS(df_extratos!I:I,df_extratos!F:F,Conciliacao!BG417,df_extratos!G:G,"DEBITO")+SUMIFS(df_extratos!I:I,df_extratos!F:F,Conciliacao!BH417,df_extratos!G:G,"DEBITO")</f>
        <v/>
      </c>
      <c r="O417" s="11">
        <f>N417-SUM(J417:M417)</f>
        <v/>
      </c>
      <c r="P417" s="25">
        <f>SUMIFS(df_ajustes_conciliaco!D:D,df_ajustes_conciliaco!C:C,Conciliacao!A417)</f>
        <v/>
      </c>
      <c r="Q417" s="22">
        <f>O417+I417-P417</f>
        <v/>
      </c>
    </row>
    <row r="418">
      <c r="A418" s="5">
        <f>A417+1</f>
        <v/>
      </c>
      <c r="B418" s="3">
        <f>-SUMIFS(df_extrato_zig!G:G,df_extrato_zig!E:E,Conciliacao!A418,df_extrato_zig!D:D,"Saque")-SUMIFS(df_extrato_zig!G:G,df_extrato_zig!E:E,Conciliacao!A418,df_extrato_zig!D:D,"Antecipação")</f>
        <v/>
      </c>
      <c r="C418" s="3">
        <f>SUMIFS(df_extrato_zig!E:E,df_extrato_zig!L:L,Conciliacao!A418,df_extrato_zig!F:F,"DINHEIRO")</f>
        <v/>
      </c>
      <c r="D418" s="3">
        <f>SUMIFS(view_parc_agrup!H:H,view_parc_agrup!G:G,Conciliacao!A418)</f>
        <v/>
      </c>
      <c r="E418" s="3">
        <f>SUMIFS(df_eventos!F:F,df_eventos!H:H,Conciliacao!A418)</f>
        <v/>
      </c>
      <c r="F418" s="3">
        <f>SUMIFS(df_mutuos!M:M,df_mutuos!B:B,Conciliacao!A418)</f>
        <v/>
      </c>
      <c r="G418" s="6">
        <f>SUMIFS(df_bloqueios_judiciais!G:G,df_bloqueios_judiciais!D:D,Conciliacao!A418,df_bloqueios_judiciais!G:G,"&gt;0")</f>
        <v/>
      </c>
      <c r="H418" s="7">
        <f>SUMIFS(df_extratos!I:I,df_extratos!F:F,Conciliacao!BE418,df_extratos!G:G,"CREDITO")+SUMIFS(df_extratos!I:I,df_extratos!F:F,Conciliacao!A418,df_extratos!G:G,"CREDITO")+SUMIFS(df_extratos!I:I,df_extratos!F:F,Conciliacao!BF418,df_extratos!G:G,"CREDITO")+SUMIFS(df_extratos!I:I,df_extratos!F:F,Conciliacao!BG418,df_extratos!G:G,"CREDITO")+SUMIFS(df_extratos!I:I,df_extratos!F:F,Conciliacao!BH418,df_extratos!G:G,"CREDITO")</f>
        <v/>
      </c>
      <c r="I418" s="9">
        <f>H418-SUM(B418:G418)</f>
        <v/>
      </c>
      <c r="J418" s="4">
        <f>SUMIFS(df_blueme_sem_parcelamento!E:E,df_blueme_sem_parcelamento!H:H,Conciliacao!A418)*(-1)</f>
        <v/>
      </c>
      <c r="K418" s="4">
        <f>SUMIFS(df_blueme_com_parcelamento!J:J,df_blueme_com_parcelamento!M:M,Conciliacao!A418)*(-1)</f>
        <v/>
      </c>
      <c r="L418" s="4">
        <f>SUMIFS(df_mutuos!N:N,df_mutuos!B:B,Conciliacao!A418)*(-1)</f>
        <v/>
      </c>
      <c r="M418" s="8">
        <f>SUMIFS(df_bloqueios_judiciais!G:G,df_bloqueios_judiciais!D:D,Conciliacao!A418,df_bloqueios_judiciais!G:G,"&lt;0")</f>
        <v/>
      </c>
      <c r="N418" s="10">
        <f>SUMIFS(df_extratos!I:I,df_extratos!F:F,Conciliacao!BE418,df_extratos!G:G,"DEBITO")+SUMIFS(df_extratos!I:I,df_extratos!F:F,Conciliacao!A418,df_extratos!G:G,"DEBITO")+SUMIFS(df_extratos!I:I,df_extratos!F:F,Conciliacao!BF418,df_extratos!G:G,"DEBITO")+SUMIFS(df_extratos!I:I,df_extratos!F:F,Conciliacao!BG418,df_extratos!G:G,"DEBITO")+SUMIFS(df_extratos!I:I,df_extratos!F:F,Conciliacao!BH418,df_extratos!G:G,"DEBITO")</f>
        <v/>
      </c>
      <c r="O418" s="11">
        <f>N418-SUM(J418:M418)</f>
        <v/>
      </c>
      <c r="P418" s="25">
        <f>SUMIFS(df_ajustes_conciliaco!D:D,df_ajustes_conciliaco!C:C,Conciliacao!A418)</f>
        <v/>
      </c>
      <c r="Q418" s="22">
        <f>O418+I418-P418</f>
        <v/>
      </c>
    </row>
    <row r="419">
      <c r="A419" s="5">
        <f>A418+1</f>
        <v/>
      </c>
      <c r="B419" s="3">
        <f>-SUMIFS(df_extrato_zig!G:G,df_extrato_zig!E:E,Conciliacao!A419,df_extrato_zig!D:D,"Saque")-SUMIFS(df_extrato_zig!G:G,df_extrato_zig!E:E,Conciliacao!A419,df_extrato_zig!D:D,"Antecipação")</f>
        <v/>
      </c>
      <c r="C419" s="3">
        <f>SUMIFS(df_extrato_zig!E:E,df_extrato_zig!L:L,Conciliacao!A419,df_extrato_zig!F:F,"DINHEIRO")</f>
        <v/>
      </c>
      <c r="D419" s="3">
        <f>SUMIFS(view_parc_agrup!H:H,view_parc_agrup!G:G,Conciliacao!A419)</f>
        <v/>
      </c>
      <c r="E419" s="3">
        <f>SUMIFS(df_eventos!F:F,df_eventos!H:H,Conciliacao!A419)</f>
        <v/>
      </c>
      <c r="F419" s="3">
        <f>SUMIFS(df_mutuos!M:M,df_mutuos!B:B,Conciliacao!A419)</f>
        <v/>
      </c>
      <c r="G419" s="6">
        <f>SUMIFS(df_bloqueios_judiciais!G:G,df_bloqueios_judiciais!D:D,Conciliacao!A419,df_bloqueios_judiciais!G:G,"&gt;0")</f>
        <v/>
      </c>
      <c r="H419" s="7">
        <f>SUMIFS(df_extratos!I:I,df_extratos!F:F,Conciliacao!BE419,df_extratos!G:G,"CREDITO")+SUMIFS(df_extratos!I:I,df_extratos!F:F,Conciliacao!A419,df_extratos!G:G,"CREDITO")+SUMIFS(df_extratos!I:I,df_extratos!F:F,Conciliacao!BF419,df_extratos!G:G,"CREDITO")+SUMIFS(df_extratos!I:I,df_extratos!F:F,Conciliacao!BG419,df_extratos!G:G,"CREDITO")+SUMIFS(df_extratos!I:I,df_extratos!F:F,Conciliacao!BH419,df_extratos!G:G,"CREDITO")</f>
        <v/>
      </c>
      <c r="I419" s="9">
        <f>H419-SUM(B419:G419)</f>
        <v/>
      </c>
      <c r="J419" s="4">
        <f>SUMIFS(df_blueme_sem_parcelamento!E:E,df_blueme_sem_parcelamento!H:H,Conciliacao!A419)*(-1)</f>
        <v/>
      </c>
      <c r="K419" s="4">
        <f>SUMIFS(df_blueme_com_parcelamento!J:J,df_blueme_com_parcelamento!M:M,Conciliacao!A419)*(-1)</f>
        <v/>
      </c>
      <c r="L419" s="4">
        <f>SUMIFS(df_mutuos!N:N,df_mutuos!B:B,Conciliacao!A419)*(-1)</f>
        <v/>
      </c>
      <c r="M419" s="8">
        <f>SUMIFS(df_bloqueios_judiciais!G:G,df_bloqueios_judiciais!D:D,Conciliacao!A419,df_bloqueios_judiciais!G:G,"&lt;0")</f>
        <v/>
      </c>
      <c r="N419" s="10">
        <f>SUMIFS(df_extratos!I:I,df_extratos!F:F,Conciliacao!BE419,df_extratos!G:G,"DEBITO")+SUMIFS(df_extratos!I:I,df_extratos!F:F,Conciliacao!A419,df_extratos!G:G,"DEBITO")+SUMIFS(df_extratos!I:I,df_extratos!F:F,Conciliacao!BF419,df_extratos!G:G,"DEBITO")+SUMIFS(df_extratos!I:I,df_extratos!F:F,Conciliacao!BG419,df_extratos!G:G,"DEBITO")+SUMIFS(df_extratos!I:I,df_extratos!F:F,Conciliacao!BH419,df_extratos!G:G,"DEBITO")</f>
        <v/>
      </c>
      <c r="O419" s="11">
        <f>N419-SUM(J419:M419)</f>
        <v/>
      </c>
      <c r="P419" s="25">
        <f>SUMIFS(df_ajustes_conciliaco!D:D,df_ajustes_conciliaco!C:C,Conciliacao!A419)</f>
        <v/>
      </c>
      <c r="Q419" s="22">
        <f>O419+I419-P419</f>
        <v/>
      </c>
    </row>
    <row r="420">
      <c r="A420" s="5">
        <f>A419+1</f>
        <v/>
      </c>
      <c r="B420" s="3">
        <f>-SUMIFS(df_extrato_zig!G:G,df_extrato_zig!E:E,Conciliacao!A420,df_extrato_zig!D:D,"Saque")-SUMIFS(df_extrato_zig!G:G,df_extrato_zig!E:E,Conciliacao!A420,df_extrato_zig!D:D,"Antecipação")</f>
        <v/>
      </c>
      <c r="C420" s="3">
        <f>SUMIFS(df_extrato_zig!E:E,df_extrato_zig!L:L,Conciliacao!A420,df_extrato_zig!F:F,"DINHEIRO")</f>
        <v/>
      </c>
      <c r="D420" s="3">
        <f>SUMIFS(view_parc_agrup!H:H,view_parc_agrup!G:G,Conciliacao!A420)</f>
        <v/>
      </c>
      <c r="E420" s="3">
        <f>SUMIFS(df_eventos!F:F,df_eventos!H:H,Conciliacao!A420)</f>
        <v/>
      </c>
      <c r="F420" s="3">
        <f>SUMIFS(df_mutuos!M:M,df_mutuos!B:B,Conciliacao!A420)</f>
        <v/>
      </c>
      <c r="G420" s="6">
        <f>SUMIFS(df_bloqueios_judiciais!G:G,df_bloqueios_judiciais!D:D,Conciliacao!A420,df_bloqueios_judiciais!G:G,"&gt;0")</f>
        <v/>
      </c>
      <c r="H420" s="7">
        <f>SUMIFS(df_extratos!I:I,df_extratos!F:F,Conciliacao!BE420,df_extratos!G:G,"CREDITO")+SUMIFS(df_extratos!I:I,df_extratos!F:F,Conciliacao!A420,df_extratos!G:G,"CREDITO")+SUMIFS(df_extratos!I:I,df_extratos!F:F,Conciliacao!BF420,df_extratos!G:G,"CREDITO")+SUMIFS(df_extratos!I:I,df_extratos!F:F,Conciliacao!BG420,df_extratos!G:G,"CREDITO")+SUMIFS(df_extratos!I:I,df_extratos!F:F,Conciliacao!BH420,df_extratos!G:G,"CREDITO")</f>
        <v/>
      </c>
      <c r="I420" s="9">
        <f>H420-SUM(B420:G420)</f>
        <v/>
      </c>
      <c r="J420" s="4">
        <f>SUMIFS(df_blueme_sem_parcelamento!E:E,df_blueme_sem_parcelamento!H:H,Conciliacao!A420)*(-1)</f>
        <v/>
      </c>
      <c r="K420" s="4">
        <f>SUMIFS(df_blueme_com_parcelamento!J:J,df_blueme_com_parcelamento!M:M,Conciliacao!A420)*(-1)</f>
        <v/>
      </c>
      <c r="L420" s="4">
        <f>SUMIFS(df_mutuos!N:N,df_mutuos!B:B,Conciliacao!A420)*(-1)</f>
        <v/>
      </c>
      <c r="M420" s="8">
        <f>SUMIFS(df_bloqueios_judiciais!G:G,df_bloqueios_judiciais!D:D,Conciliacao!A420,df_bloqueios_judiciais!G:G,"&lt;0")</f>
        <v/>
      </c>
      <c r="N420" s="10">
        <f>SUMIFS(df_extratos!I:I,df_extratos!F:F,Conciliacao!BE420,df_extratos!G:G,"DEBITO")+SUMIFS(df_extratos!I:I,df_extratos!F:F,Conciliacao!A420,df_extratos!G:G,"DEBITO")+SUMIFS(df_extratos!I:I,df_extratos!F:F,Conciliacao!BF420,df_extratos!G:G,"DEBITO")+SUMIFS(df_extratos!I:I,df_extratos!F:F,Conciliacao!BG420,df_extratos!G:G,"DEBITO")+SUMIFS(df_extratos!I:I,df_extratos!F:F,Conciliacao!BH420,df_extratos!G:G,"DEBITO")</f>
        <v/>
      </c>
      <c r="O420" s="11">
        <f>N420-SUM(J420:M420)</f>
        <v/>
      </c>
      <c r="P420" s="25">
        <f>SUMIFS(df_ajustes_conciliaco!D:D,df_ajustes_conciliaco!C:C,Conciliacao!A420)</f>
        <v/>
      </c>
      <c r="Q420" s="22">
        <f>O420+I420-P420</f>
        <v/>
      </c>
    </row>
    <row r="421">
      <c r="A421" s="5">
        <f>A420+1</f>
        <v/>
      </c>
      <c r="B421" s="3">
        <f>-SUMIFS(df_extrato_zig!G:G,df_extrato_zig!E:E,Conciliacao!A421,df_extrato_zig!D:D,"Saque")-SUMIFS(df_extrato_zig!G:G,df_extrato_zig!E:E,Conciliacao!A421,df_extrato_zig!D:D,"Antecipação")</f>
        <v/>
      </c>
      <c r="C421" s="3">
        <f>SUMIFS(df_extrato_zig!E:E,df_extrato_zig!L:L,Conciliacao!A421,df_extrato_zig!F:F,"DINHEIRO")</f>
        <v/>
      </c>
      <c r="D421" s="3">
        <f>SUMIFS(view_parc_agrup!H:H,view_parc_agrup!G:G,Conciliacao!A421)</f>
        <v/>
      </c>
      <c r="E421" s="3">
        <f>SUMIFS(df_eventos!F:F,df_eventos!H:H,Conciliacao!A421)</f>
        <v/>
      </c>
      <c r="F421" s="3">
        <f>SUMIFS(df_mutuos!M:M,df_mutuos!B:B,Conciliacao!A421)</f>
        <v/>
      </c>
      <c r="G421" s="6">
        <f>SUMIFS(df_bloqueios_judiciais!G:G,df_bloqueios_judiciais!D:D,Conciliacao!A421,df_bloqueios_judiciais!G:G,"&gt;0")</f>
        <v/>
      </c>
      <c r="H421" s="7">
        <f>SUMIFS(df_extratos!I:I,df_extratos!F:F,Conciliacao!BE421,df_extratos!G:G,"CREDITO")+SUMIFS(df_extratos!I:I,df_extratos!F:F,Conciliacao!A421,df_extratos!G:G,"CREDITO")+SUMIFS(df_extratos!I:I,df_extratos!F:F,Conciliacao!BF421,df_extratos!G:G,"CREDITO")+SUMIFS(df_extratos!I:I,df_extratos!F:F,Conciliacao!BG421,df_extratos!G:G,"CREDITO")+SUMIFS(df_extratos!I:I,df_extratos!F:F,Conciliacao!BH421,df_extratos!G:G,"CREDITO")</f>
        <v/>
      </c>
      <c r="I421" s="9">
        <f>H421-SUM(B421:G421)</f>
        <v/>
      </c>
      <c r="J421" s="4">
        <f>SUMIFS(df_blueme_sem_parcelamento!E:E,df_blueme_sem_parcelamento!H:H,Conciliacao!A421)*(-1)</f>
        <v/>
      </c>
      <c r="K421" s="4">
        <f>SUMIFS(df_blueme_com_parcelamento!J:J,df_blueme_com_parcelamento!M:M,Conciliacao!A421)*(-1)</f>
        <v/>
      </c>
      <c r="L421" s="4">
        <f>SUMIFS(df_mutuos!N:N,df_mutuos!B:B,Conciliacao!A421)*(-1)</f>
        <v/>
      </c>
      <c r="M421" s="8">
        <f>SUMIFS(df_bloqueios_judiciais!G:G,df_bloqueios_judiciais!D:D,Conciliacao!A421,df_bloqueios_judiciais!G:G,"&lt;0")</f>
        <v/>
      </c>
      <c r="N421" s="10">
        <f>SUMIFS(df_extratos!I:I,df_extratos!F:F,Conciliacao!BE421,df_extratos!G:G,"DEBITO")+SUMIFS(df_extratos!I:I,df_extratos!F:F,Conciliacao!A421,df_extratos!G:G,"DEBITO")+SUMIFS(df_extratos!I:I,df_extratos!F:F,Conciliacao!BF421,df_extratos!G:G,"DEBITO")+SUMIFS(df_extratos!I:I,df_extratos!F:F,Conciliacao!BG421,df_extratos!G:G,"DEBITO")+SUMIFS(df_extratos!I:I,df_extratos!F:F,Conciliacao!BH421,df_extratos!G:G,"DEBITO")</f>
        <v/>
      </c>
      <c r="O421" s="11">
        <f>N421-SUM(J421:M421)</f>
        <v/>
      </c>
      <c r="P421" s="25">
        <f>SUMIFS(df_ajustes_conciliaco!D:D,df_ajustes_conciliaco!C:C,Conciliacao!A421)</f>
        <v/>
      </c>
      <c r="Q421" s="22">
        <f>O421+I421-P421</f>
        <v/>
      </c>
    </row>
    <row r="422">
      <c r="A422" s="5">
        <f>A421+1</f>
        <v/>
      </c>
      <c r="B422" s="3">
        <f>-SUMIFS(df_extrato_zig!G:G,df_extrato_zig!E:E,Conciliacao!A422,df_extrato_zig!D:D,"Saque")-SUMIFS(df_extrato_zig!G:G,df_extrato_zig!E:E,Conciliacao!A422,df_extrato_zig!D:D,"Antecipação")</f>
        <v/>
      </c>
      <c r="C422" s="3">
        <f>SUMIFS(df_extrato_zig!E:E,df_extrato_zig!L:L,Conciliacao!A422,df_extrato_zig!F:F,"DINHEIRO")</f>
        <v/>
      </c>
      <c r="D422" s="3">
        <f>SUMIFS(view_parc_agrup!H:H,view_parc_agrup!G:G,Conciliacao!A422)</f>
        <v/>
      </c>
      <c r="E422" s="3">
        <f>SUMIFS(df_eventos!F:F,df_eventos!H:H,Conciliacao!A422)</f>
        <v/>
      </c>
      <c r="F422" s="3">
        <f>SUMIFS(df_mutuos!M:M,df_mutuos!B:B,Conciliacao!A422)</f>
        <v/>
      </c>
      <c r="G422" s="6">
        <f>SUMIFS(df_bloqueios_judiciais!G:G,df_bloqueios_judiciais!D:D,Conciliacao!A422,df_bloqueios_judiciais!G:G,"&gt;0")</f>
        <v/>
      </c>
      <c r="H422" s="7">
        <f>SUMIFS(df_extratos!I:I,df_extratos!F:F,Conciliacao!BE422,df_extratos!G:G,"CREDITO")+SUMIFS(df_extratos!I:I,df_extratos!F:F,Conciliacao!A422,df_extratos!G:G,"CREDITO")+SUMIFS(df_extratos!I:I,df_extratos!F:F,Conciliacao!BF422,df_extratos!G:G,"CREDITO")+SUMIFS(df_extratos!I:I,df_extratos!F:F,Conciliacao!BG422,df_extratos!G:G,"CREDITO")+SUMIFS(df_extratos!I:I,df_extratos!F:F,Conciliacao!BH422,df_extratos!G:G,"CREDITO")</f>
        <v/>
      </c>
      <c r="I422" s="9">
        <f>H422-SUM(B422:G422)</f>
        <v/>
      </c>
      <c r="J422" s="4">
        <f>SUMIFS(df_blueme_sem_parcelamento!E:E,df_blueme_sem_parcelamento!H:H,Conciliacao!A422)*(-1)</f>
        <v/>
      </c>
      <c r="K422" s="4">
        <f>SUMIFS(df_blueme_com_parcelamento!J:J,df_blueme_com_parcelamento!M:M,Conciliacao!A422)*(-1)</f>
        <v/>
      </c>
      <c r="L422" s="4">
        <f>SUMIFS(df_mutuos!N:N,df_mutuos!B:B,Conciliacao!A422)*(-1)</f>
        <v/>
      </c>
      <c r="M422" s="8">
        <f>SUMIFS(df_bloqueios_judiciais!G:G,df_bloqueios_judiciais!D:D,Conciliacao!A422,df_bloqueios_judiciais!G:G,"&lt;0")</f>
        <v/>
      </c>
      <c r="N422" s="10">
        <f>SUMIFS(df_extratos!I:I,df_extratos!F:F,Conciliacao!BE422,df_extratos!G:G,"DEBITO")+SUMIFS(df_extratos!I:I,df_extratos!F:F,Conciliacao!A422,df_extratos!G:G,"DEBITO")+SUMIFS(df_extratos!I:I,df_extratos!F:F,Conciliacao!BF422,df_extratos!G:G,"DEBITO")+SUMIFS(df_extratos!I:I,df_extratos!F:F,Conciliacao!BG422,df_extratos!G:G,"DEBITO")+SUMIFS(df_extratos!I:I,df_extratos!F:F,Conciliacao!BH422,df_extratos!G:G,"DEBITO")</f>
        <v/>
      </c>
      <c r="O422" s="11">
        <f>N422-SUM(J422:M422)</f>
        <v/>
      </c>
      <c r="P422" s="25">
        <f>SUMIFS(df_ajustes_conciliaco!D:D,df_ajustes_conciliaco!C:C,Conciliacao!A422)</f>
        <v/>
      </c>
      <c r="Q422" s="22">
        <f>O422+I422-P422</f>
        <v/>
      </c>
    </row>
    <row r="423">
      <c r="A423" s="5">
        <f>A422+1</f>
        <v/>
      </c>
      <c r="B423" s="3">
        <f>-SUMIFS(df_extrato_zig!G:G,df_extrato_zig!E:E,Conciliacao!A423,df_extrato_zig!D:D,"Saque")-SUMIFS(df_extrato_zig!G:G,df_extrato_zig!E:E,Conciliacao!A423,df_extrato_zig!D:D,"Antecipação")</f>
        <v/>
      </c>
      <c r="C423" s="3">
        <f>SUMIFS(df_extrato_zig!E:E,df_extrato_zig!L:L,Conciliacao!A423,df_extrato_zig!F:F,"DINHEIRO")</f>
        <v/>
      </c>
      <c r="D423" s="3">
        <f>SUMIFS(view_parc_agrup!H:H,view_parc_agrup!G:G,Conciliacao!A423)</f>
        <v/>
      </c>
      <c r="E423" s="3">
        <f>SUMIFS(df_eventos!F:F,df_eventos!H:H,Conciliacao!A423)</f>
        <v/>
      </c>
      <c r="F423" s="3">
        <f>SUMIFS(df_mutuos!M:M,df_mutuos!B:B,Conciliacao!A423)</f>
        <v/>
      </c>
      <c r="G423" s="6">
        <f>SUMIFS(df_bloqueios_judiciais!G:G,df_bloqueios_judiciais!D:D,Conciliacao!A423,df_bloqueios_judiciais!G:G,"&gt;0")</f>
        <v/>
      </c>
      <c r="H423" s="7">
        <f>SUMIFS(df_extratos!I:I,df_extratos!F:F,Conciliacao!BE423,df_extratos!G:G,"CREDITO")+SUMIFS(df_extratos!I:I,df_extratos!F:F,Conciliacao!A423,df_extratos!G:G,"CREDITO")+SUMIFS(df_extratos!I:I,df_extratos!F:F,Conciliacao!BF423,df_extratos!G:G,"CREDITO")+SUMIFS(df_extratos!I:I,df_extratos!F:F,Conciliacao!BG423,df_extratos!G:G,"CREDITO")+SUMIFS(df_extratos!I:I,df_extratos!F:F,Conciliacao!BH423,df_extratos!G:G,"CREDITO")</f>
        <v/>
      </c>
      <c r="I423" s="9">
        <f>H423-SUM(B423:G423)</f>
        <v/>
      </c>
      <c r="J423" s="4">
        <f>SUMIFS(df_blueme_sem_parcelamento!E:E,df_blueme_sem_parcelamento!H:H,Conciliacao!A423)*(-1)</f>
        <v/>
      </c>
      <c r="K423" s="4">
        <f>SUMIFS(df_blueme_com_parcelamento!J:J,df_blueme_com_parcelamento!M:M,Conciliacao!A423)*(-1)</f>
        <v/>
      </c>
      <c r="L423" s="4">
        <f>SUMIFS(df_mutuos!N:N,df_mutuos!B:B,Conciliacao!A423)*(-1)</f>
        <v/>
      </c>
      <c r="M423" s="8">
        <f>SUMIFS(df_bloqueios_judiciais!G:G,df_bloqueios_judiciais!D:D,Conciliacao!A423,df_bloqueios_judiciais!G:G,"&lt;0")</f>
        <v/>
      </c>
      <c r="N423" s="10">
        <f>SUMIFS(df_extratos!I:I,df_extratos!F:F,Conciliacao!BE423,df_extratos!G:G,"DEBITO")+SUMIFS(df_extratos!I:I,df_extratos!F:F,Conciliacao!A423,df_extratos!G:G,"DEBITO")+SUMIFS(df_extratos!I:I,df_extratos!F:F,Conciliacao!BF423,df_extratos!G:G,"DEBITO")+SUMIFS(df_extratos!I:I,df_extratos!F:F,Conciliacao!BG423,df_extratos!G:G,"DEBITO")+SUMIFS(df_extratos!I:I,df_extratos!F:F,Conciliacao!BH423,df_extratos!G:G,"DEBITO")</f>
        <v/>
      </c>
      <c r="O423" s="11">
        <f>N423-SUM(J423:M423)</f>
        <v/>
      </c>
      <c r="P423" s="25">
        <f>SUMIFS(df_ajustes_conciliaco!D:D,df_ajustes_conciliaco!C:C,Conciliacao!A423)</f>
        <v/>
      </c>
      <c r="Q423" s="22">
        <f>O423+I423-P423</f>
        <v/>
      </c>
    </row>
    <row r="424">
      <c r="A424" s="5">
        <f>A423+1</f>
        <v/>
      </c>
      <c r="B424" s="3">
        <f>-SUMIFS(df_extrato_zig!G:G,df_extrato_zig!E:E,Conciliacao!A424,df_extrato_zig!D:D,"Saque")-SUMIFS(df_extrato_zig!G:G,df_extrato_zig!E:E,Conciliacao!A424,df_extrato_zig!D:D,"Antecipação")</f>
        <v/>
      </c>
      <c r="C424" s="3">
        <f>SUMIFS(df_extrato_zig!E:E,df_extrato_zig!L:L,Conciliacao!A424,df_extrato_zig!F:F,"DINHEIRO")</f>
        <v/>
      </c>
      <c r="D424" s="3">
        <f>SUMIFS(view_parc_agrup!H:H,view_parc_agrup!G:G,Conciliacao!A424)</f>
        <v/>
      </c>
      <c r="E424" s="3">
        <f>SUMIFS(df_eventos!F:F,df_eventos!H:H,Conciliacao!A424)</f>
        <v/>
      </c>
      <c r="F424" s="3">
        <f>SUMIFS(df_mutuos!M:M,df_mutuos!B:B,Conciliacao!A424)</f>
        <v/>
      </c>
      <c r="G424" s="6">
        <f>SUMIFS(df_bloqueios_judiciais!G:G,df_bloqueios_judiciais!D:D,Conciliacao!A424,df_bloqueios_judiciais!G:G,"&gt;0")</f>
        <v/>
      </c>
      <c r="H424" s="7">
        <f>SUMIFS(df_extratos!I:I,df_extratos!F:F,Conciliacao!BE424,df_extratos!G:G,"CREDITO")+SUMIFS(df_extratos!I:I,df_extratos!F:F,Conciliacao!A424,df_extratos!G:G,"CREDITO")+SUMIFS(df_extratos!I:I,df_extratos!F:F,Conciliacao!BF424,df_extratos!G:G,"CREDITO")+SUMIFS(df_extratos!I:I,df_extratos!F:F,Conciliacao!BG424,df_extratos!G:G,"CREDITO")+SUMIFS(df_extratos!I:I,df_extratos!F:F,Conciliacao!BH424,df_extratos!G:G,"CREDITO")</f>
        <v/>
      </c>
      <c r="I424" s="9">
        <f>H424-SUM(B424:G424)</f>
        <v/>
      </c>
      <c r="J424" s="4">
        <f>SUMIFS(df_blueme_sem_parcelamento!E:E,df_blueme_sem_parcelamento!H:H,Conciliacao!A424)*(-1)</f>
        <v/>
      </c>
      <c r="K424" s="4">
        <f>SUMIFS(df_blueme_com_parcelamento!J:J,df_blueme_com_parcelamento!M:M,Conciliacao!A424)*(-1)</f>
        <v/>
      </c>
      <c r="L424" s="4">
        <f>SUMIFS(df_mutuos!N:N,df_mutuos!B:B,Conciliacao!A424)*(-1)</f>
        <v/>
      </c>
      <c r="M424" s="8">
        <f>SUMIFS(df_bloqueios_judiciais!G:G,df_bloqueios_judiciais!D:D,Conciliacao!A424,df_bloqueios_judiciais!G:G,"&lt;0")</f>
        <v/>
      </c>
      <c r="N424" s="10">
        <f>SUMIFS(df_extratos!I:I,df_extratos!F:F,Conciliacao!BE424,df_extratos!G:G,"DEBITO")+SUMIFS(df_extratos!I:I,df_extratos!F:F,Conciliacao!A424,df_extratos!G:G,"DEBITO")+SUMIFS(df_extratos!I:I,df_extratos!F:F,Conciliacao!BF424,df_extratos!G:G,"DEBITO")+SUMIFS(df_extratos!I:I,df_extratos!F:F,Conciliacao!BG424,df_extratos!G:G,"DEBITO")+SUMIFS(df_extratos!I:I,df_extratos!F:F,Conciliacao!BH424,df_extratos!G:G,"DEBITO")</f>
        <v/>
      </c>
      <c r="O424" s="11">
        <f>N424-SUM(J424:M424)</f>
        <v/>
      </c>
      <c r="P424" s="25">
        <f>SUMIFS(df_ajustes_conciliaco!D:D,df_ajustes_conciliaco!C:C,Conciliacao!A424)</f>
        <v/>
      </c>
      <c r="Q424" s="22">
        <f>O424+I424-P424</f>
        <v/>
      </c>
    </row>
    <row r="425">
      <c r="A425" s="5">
        <f>A424+1</f>
        <v/>
      </c>
      <c r="B425" s="3">
        <f>-SUMIFS(df_extrato_zig!G:G,df_extrato_zig!E:E,Conciliacao!A425,df_extrato_zig!D:D,"Saque")-SUMIFS(df_extrato_zig!G:G,df_extrato_zig!E:E,Conciliacao!A425,df_extrato_zig!D:D,"Antecipação")</f>
        <v/>
      </c>
      <c r="C425" s="3">
        <f>SUMIFS(df_extrato_zig!E:E,df_extrato_zig!L:L,Conciliacao!A425,df_extrato_zig!F:F,"DINHEIRO")</f>
        <v/>
      </c>
      <c r="D425" s="3">
        <f>SUMIFS(view_parc_agrup!H:H,view_parc_agrup!G:G,Conciliacao!A425)</f>
        <v/>
      </c>
      <c r="E425" s="3">
        <f>SUMIFS(df_eventos!F:F,df_eventos!H:H,Conciliacao!A425)</f>
        <v/>
      </c>
      <c r="F425" s="3">
        <f>SUMIFS(df_mutuos!M:M,df_mutuos!B:B,Conciliacao!A425)</f>
        <v/>
      </c>
      <c r="G425" s="6">
        <f>SUMIFS(df_bloqueios_judiciais!G:G,df_bloqueios_judiciais!D:D,Conciliacao!A425,df_bloqueios_judiciais!G:G,"&gt;0")</f>
        <v/>
      </c>
      <c r="H425" s="7">
        <f>SUMIFS(df_extratos!I:I,df_extratos!F:F,Conciliacao!BE425,df_extratos!G:G,"CREDITO")+SUMIFS(df_extratos!I:I,df_extratos!F:F,Conciliacao!A425,df_extratos!G:G,"CREDITO")+SUMIFS(df_extratos!I:I,df_extratos!F:F,Conciliacao!BF425,df_extratos!G:G,"CREDITO")+SUMIFS(df_extratos!I:I,df_extratos!F:F,Conciliacao!BG425,df_extratos!G:G,"CREDITO")+SUMIFS(df_extratos!I:I,df_extratos!F:F,Conciliacao!BH425,df_extratos!G:G,"CREDITO")</f>
        <v/>
      </c>
      <c r="I425" s="9">
        <f>H425-SUM(B425:G425)</f>
        <v/>
      </c>
      <c r="J425" s="4">
        <f>SUMIFS(df_blueme_sem_parcelamento!E:E,df_blueme_sem_parcelamento!H:H,Conciliacao!A425)*(-1)</f>
        <v/>
      </c>
      <c r="K425" s="4">
        <f>SUMIFS(df_blueme_com_parcelamento!J:J,df_blueme_com_parcelamento!M:M,Conciliacao!A425)*(-1)</f>
        <v/>
      </c>
      <c r="L425" s="4">
        <f>SUMIFS(df_mutuos!N:N,df_mutuos!B:B,Conciliacao!A425)*(-1)</f>
        <v/>
      </c>
      <c r="M425" s="8">
        <f>SUMIFS(df_bloqueios_judiciais!G:G,df_bloqueios_judiciais!D:D,Conciliacao!A425,df_bloqueios_judiciais!G:G,"&lt;0")</f>
        <v/>
      </c>
      <c r="N425" s="10">
        <f>SUMIFS(df_extratos!I:I,df_extratos!F:F,Conciliacao!BE425,df_extratos!G:G,"DEBITO")+SUMIFS(df_extratos!I:I,df_extratos!F:F,Conciliacao!A425,df_extratos!G:G,"DEBITO")+SUMIFS(df_extratos!I:I,df_extratos!F:F,Conciliacao!BF425,df_extratos!G:G,"DEBITO")+SUMIFS(df_extratos!I:I,df_extratos!F:F,Conciliacao!BG425,df_extratos!G:G,"DEBITO")+SUMIFS(df_extratos!I:I,df_extratos!F:F,Conciliacao!BH425,df_extratos!G:G,"DEBITO")</f>
        <v/>
      </c>
      <c r="O425" s="11">
        <f>N425-SUM(J425:M425)</f>
        <v/>
      </c>
      <c r="P425" s="25">
        <f>SUMIFS(df_ajustes_conciliaco!D:D,df_ajustes_conciliaco!C:C,Conciliacao!A425)</f>
        <v/>
      </c>
      <c r="Q425" s="22">
        <f>O425+I425-P425</f>
        <v/>
      </c>
    </row>
    <row r="426">
      <c r="A426" s="5">
        <f>A425+1</f>
        <v/>
      </c>
      <c r="B426" s="3">
        <f>-SUMIFS(df_extrato_zig!G:G,df_extrato_zig!E:E,Conciliacao!A426,df_extrato_zig!D:D,"Saque")-SUMIFS(df_extrato_zig!G:G,df_extrato_zig!E:E,Conciliacao!A426,df_extrato_zig!D:D,"Antecipação")</f>
        <v/>
      </c>
      <c r="C426" s="3">
        <f>SUMIFS(df_extrato_zig!E:E,df_extrato_zig!L:L,Conciliacao!A426,df_extrato_zig!F:F,"DINHEIRO")</f>
        <v/>
      </c>
      <c r="D426" s="3">
        <f>SUMIFS(view_parc_agrup!H:H,view_parc_agrup!G:G,Conciliacao!A426)</f>
        <v/>
      </c>
      <c r="E426" s="3">
        <f>SUMIFS(df_eventos!F:F,df_eventos!H:H,Conciliacao!A426)</f>
        <v/>
      </c>
      <c r="F426" s="3">
        <f>SUMIFS(df_mutuos!M:M,df_mutuos!B:B,Conciliacao!A426)</f>
        <v/>
      </c>
      <c r="G426" s="6">
        <f>SUMIFS(df_bloqueios_judiciais!G:G,df_bloqueios_judiciais!D:D,Conciliacao!A426,df_bloqueios_judiciais!G:G,"&gt;0")</f>
        <v/>
      </c>
      <c r="H426" s="7">
        <f>SUMIFS(df_extratos!I:I,df_extratos!F:F,Conciliacao!BE426,df_extratos!G:G,"CREDITO")+SUMIFS(df_extratos!I:I,df_extratos!F:F,Conciliacao!A426,df_extratos!G:G,"CREDITO")+SUMIFS(df_extratos!I:I,df_extratos!F:F,Conciliacao!BF426,df_extratos!G:G,"CREDITO")+SUMIFS(df_extratos!I:I,df_extratos!F:F,Conciliacao!BG426,df_extratos!G:G,"CREDITO")+SUMIFS(df_extratos!I:I,df_extratos!F:F,Conciliacao!BH426,df_extratos!G:G,"CREDITO")</f>
        <v/>
      </c>
      <c r="I426" s="9">
        <f>H426-SUM(B426:G426)</f>
        <v/>
      </c>
      <c r="J426" s="4">
        <f>SUMIFS(df_blueme_sem_parcelamento!E:E,df_blueme_sem_parcelamento!H:H,Conciliacao!A426)*(-1)</f>
        <v/>
      </c>
      <c r="K426" s="4">
        <f>SUMIFS(df_blueme_com_parcelamento!J:J,df_blueme_com_parcelamento!M:M,Conciliacao!A426)*(-1)</f>
        <v/>
      </c>
      <c r="L426" s="4">
        <f>SUMIFS(df_mutuos!N:N,df_mutuos!B:B,Conciliacao!A426)*(-1)</f>
        <v/>
      </c>
      <c r="M426" s="8">
        <f>SUMIFS(df_bloqueios_judiciais!G:G,df_bloqueios_judiciais!D:D,Conciliacao!A426,df_bloqueios_judiciais!G:G,"&lt;0")</f>
        <v/>
      </c>
      <c r="N426" s="10">
        <f>SUMIFS(df_extratos!I:I,df_extratos!F:F,Conciliacao!BE426,df_extratos!G:G,"DEBITO")+SUMIFS(df_extratos!I:I,df_extratos!F:F,Conciliacao!A426,df_extratos!G:G,"DEBITO")+SUMIFS(df_extratos!I:I,df_extratos!F:F,Conciliacao!BF426,df_extratos!G:G,"DEBITO")+SUMIFS(df_extratos!I:I,df_extratos!F:F,Conciliacao!BG426,df_extratos!G:G,"DEBITO")+SUMIFS(df_extratos!I:I,df_extratos!F:F,Conciliacao!BH426,df_extratos!G:G,"DEBITO")</f>
        <v/>
      </c>
      <c r="O426" s="11">
        <f>N426-SUM(J426:M426)</f>
        <v/>
      </c>
      <c r="P426" s="25">
        <f>SUMIFS(df_ajustes_conciliaco!D:D,df_ajustes_conciliaco!C:C,Conciliacao!A426)</f>
        <v/>
      </c>
      <c r="Q426" s="22">
        <f>O426+I426-P426</f>
        <v/>
      </c>
    </row>
    <row r="427">
      <c r="A427" s="5">
        <f>A426+1</f>
        <v/>
      </c>
      <c r="B427" s="3">
        <f>-SUMIFS(df_extrato_zig!G:G,df_extrato_zig!E:E,Conciliacao!A427,df_extrato_zig!D:D,"Saque")-SUMIFS(df_extrato_zig!G:G,df_extrato_zig!E:E,Conciliacao!A427,df_extrato_zig!D:D,"Antecipação")</f>
        <v/>
      </c>
      <c r="C427" s="3">
        <f>SUMIFS(df_extrato_zig!E:E,df_extrato_zig!L:L,Conciliacao!A427,df_extrato_zig!F:F,"DINHEIRO")</f>
        <v/>
      </c>
      <c r="D427" s="3">
        <f>SUMIFS(view_parc_agrup!H:H,view_parc_agrup!G:G,Conciliacao!A427)</f>
        <v/>
      </c>
      <c r="E427" s="3">
        <f>SUMIFS(df_eventos!F:F,df_eventos!H:H,Conciliacao!A427)</f>
        <v/>
      </c>
      <c r="F427" s="3">
        <f>SUMIFS(df_mutuos!M:M,df_mutuos!B:B,Conciliacao!A427)</f>
        <v/>
      </c>
      <c r="G427" s="6">
        <f>SUMIFS(df_bloqueios_judiciais!G:G,df_bloqueios_judiciais!D:D,Conciliacao!A427,df_bloqueios_judiciais!G:G,"&gt;0")</f>
        <v/>
      </c>
      <c r="H427" s="7">
        <f>SUMIFS(df_extratos!I:I,df_extratos!F:F,Conciliacao!BE427,df_extratos!G:G,"CREDITO")+SUMIFS(df_extratos!I:I,df_extratos!F:F,Conciliacao!A427,df_extratos!G:G,"CREDITO")+SUMIFS(df_extratos!I:I,df_extratos!F:F,Conciliacao!BF427,df_extratos!G:G,"CREDITO")+SUMIFS(df_extratos!I:I,df_extratos!F:F,Conciliacao!BG427,df_extratos!G:G,"CREDITO")+SUMIFS(df_extratos!I:I,df_extratos!F:F,Conciliacao!BH427,df_extratos!G:G,"CREDITO")</f>
        <v/>
      </c>
      <c r="I427" s="9">
        <f>H427-SUM(B427:G427)</f>
        <v/>
      </c>
      <c r="J427" s="4">
        <f>SUMIFS(df_blueme_sem_parcelamento!E:E,df_blueme_sem_parcelamento!H:H,Conciliacao!A427)*(-1)</f>
        <v/>
      </c>
      <c r="K427" s="4">
        <f>SUMIFS(df_blueme_com_parcelamento!J:J,df_blueme_com_parcelamento!M:M,Conciliacao!A427)*(-1)</f>
        <v/>
      </c>
      <c r="L427" s="4">
        <f>SUMIFS(df_mutuos!N:N,df_mutuos!B:B,Conciliacao!A427)*(-1)</f>
        <v/>
      </c>
      <c r="M427" s="8">
        <f>SUMIFS(df_bloqueios_judiciais!G:G,df_bloqueios_judiciais!D:D,Conciliacao!A427,df_bloqueios_judiciais!G:G,"&lt;0")</f>
        <v/>
      </c>
      <c r="N427" s="10">
        <f>SUMIFS(df_extratos!I:I,df_extratos!F:F,Conciliacao!BE427,df_extratos!G:G,"DEBITO")+SUMIFS(df_extratos!I:I,df_extratos!F:F,Conciliacao!A427,df_extratos!G:G,"DEBITO")+SUMIFS(df_extratos!I:I,df_extratos!F:F,Conciliacao!BF427,df_extratos!G:G,"DEBITO")+SUMIFS(df_extratos!I:I,df_extratos!F:F,Conciliacao!BG427,df_extratos!G:G,"DEBITO")+SUMIFS(df_extratos!I:I,df_extratos!F:F,Conciliacao!BH427,df_extratos!G:G,"DEBITO")</f>
        <v/>
      </c>
      <c r="O427" s="11">
        <f>N427-SUM(J427:M427)</f>
        <v/>
      </c>
      <c r="P427" s="25">
        <f>SUMIFS(df_ajustes_conciliaco!D:D,df_ajustes_conciliaco!C:C,Conciliacao!A427)</f>
        <v/>
      </c>
      <c r="Q427" s="22">
        <f>O427+I427-P427</f>
        <v/>
      </c>
    </row>
    <row r="428">
      <c r="A428" s="5">
        <f>A427+1</f>
        <v/>
      </c>
      <c r="B428" s="3">
        <f>-SUMIFS(df_extrato_zig!G:G,df_extrato_zig!E:E,Conciliacao!A428,df_extrato_zig!D:D,"Saque")-SUMIFS(df_extrato_zig!G:G,df_extrato_zig!E:E,Conciliacao!A428,df_extrato_zig!D:D,"Antecipação")</f>
        <v/>
      </c>
      <c r="C428" s="3">
        <f>SUMIFS(df_extrato_zig!E:E,df_extrato_zig!L:L,Conciliacao!A428,df_extrato_zig!F:F,"DINHEIRO")</f>
        <v/>
      </c>
      <c r="D428" s="3">
        <f>SUMIFS(view_parc_agrup!H:H,view_parc_agrup!G:G,Conciliacao!A428)</f>
        <v/>
      </c>
      <c r="E428" s="3">
        <f>SUMIFS(df_eventos!F:F,df_eventos!H:H,Conciliacao!A428)</f>
        <v/>
      </c>
      <c r="F428" s="3">
        <f>SUMIFS(df_mutuos!M:M,df_mutuos!B:B,Conciliacao!A428)</f>
        <v/>
      </c>
      <c r="G428" s="6">
        <f>SUMIFS(df_bloqueios_judiciais!G:G,df_bloqueios_judiciais!D:D,Conciliacao!A428,df_bloqueios_judiciais!G:G,"&gt;0")</f>
        <v/>
      </c>
      <c r="H428" s="7">
        <f>SUMIFS(df_extratos!I:I,df_extratos!F:F,Conciliacao!BE428,df_extratos!G:G,"CREDITO")+SUMIFS(df_extratos!I:I,df_extratos!F:F,Conciliacao!A428,df_extratos!G:G,"CREDITO")+SUMIFS(df_extratos!I:I,df_extratos!F:F,Conciliacao!BF428,df_extratos!G:G,"CREDITO")+SUMIFS(df_extratos!I:I,df_extratos!F:F,Conciliacao!BG428,df_extratos!G:G,"CREDITO")+SUMIFS(df_extratos!I:I,df_extratos!F:F,Conciliacao!BH428,df_extratos!G:G,"CREDITO")</f>
        <v/>
      </c>
      <c r="I428" s="9">
        <f>H428-SUM(B428:G428)</f>
        <v/>
      </c>
      <c r="J428" s="4">
        <f>SUMIFS(df_blueme_sem_parcelamento!E:E,df_blueme_sem_parcelamento!H:H,Conciliacao!A428)*(-1)</f>
        <v/>
      </c>
      <c r="K428" s="4">
        <f>SUMIFS(df_blueme_com_parcelamento!J:J,df_blueme_com_parcelamento!M:M,Conciliacao!A428)*(-1)</f>
        <v/>
      </c>
      <c r="L428" s="4">
        <f>SUMIFS(df_mutuos!N:N,df_mutuos!B:B,Conciliacao!A428)*(-1)</f>
        <v/>
      </c>
      <c r="M428" s="8">
        <f>SUMIFS(df_bloqueios_judiciais!G:G,df_bloqueios_judiciais!D:D,Conciliacao!A428,df_bloqueios_judiciais!G:G,"&lt;0")</f>
        <v/>
      </c>
      <c r="N428" s="10">
        <f>SUMIFS(df_extratos!I:I,df_extratos!F:F,Conciliacao!BE428,df_extratos!G:G,"DEBITO")+SUMIFS(df_extratos!I:I,df_extratos!F:F,Conciliacao!A428,df_extratos!G:G,"DEBITO")+SUMIFS(df_extratos!I:I,df_extratos!F:F,Conciliacao!BF428,df_extratos!G:G,"DEBITO")+SUMIFS(df_extratos!I:I,df_extratos!F:F,Conciliacao!BG428,df_extratos!G:G,"DEBITO")+SUMIFS(df_extratos!I:I,df_extratos!F:F,Conciliacao!BH428,df_extratos!G:G,"DEBITO")</f>
        <v/>
      </c>
      <c r="O428" s="11">
        <f>N428-SUM(J428:M428)</f>
        <v/>
      </c>
      <c r="P428" s="25">
        <f>SUMIFS(df_ajustes_conciliaco!D:D,df_ajustes_conciliaco!C:C,Conciliacao!A428)</f>
        <v/>
      </c>
      <c r="Q428" s="22">
        <f>O428+I428-P428</f>
        <v/>
      </c>
    </row>
    <row r="429">
      <c r="A429" s="5">
        <f>A428+1</f>
        <v/>
      </c>
      <c r="B429" s="3">
        <f>-SUMIFS(df_extrato_zig!G:G,df_extrato_zig!E:E,Conciliacao!A429,df_extrato_zig!D:D,"Saque")-SUMIFS(df_extrato_zig!G:G,df_extrato_zig!E:E,Conciliacao!A429,df_extrato_zig!D:D,"Antecipação")</f>
        <v/>
      </c>
      <c r="C429" s="3">
        <f>SUMIFS(df_extrato_zig!E:E,df_extrato_zig!L:L,Conciliacao!A429,df_extrato_zig!F:F,"DINHEIRO")</f>
        <v/>
      </c>
      <c r="D429" s="3">
        <f>SUMIFS(view_parc_agrup!H:H,view_parc_agrup!G:G,Conciliacao!A429)</f>
        <v/>
      </c>
      <c r="E429" s="3">
        <f>SUMIFS(df_eventos!F:F,df_eventos!H:H,Conciliacao!A429)</f>
        <v/>
      </c>
      <c r="F429" s="3">
        <f>SUMIFS(df_mutuos!M:M,df_mutuos!B:B,Conciliacao!A429)</f>
        <v/>
      </c>
      <c r="G429" s="6">
        <f>SUMIFS(df_bloqueios_judiciais!G:G,df_bloqueios_judiciais!D:D,Conciliacao!A429,df_bloqueios_judiciais!G:G,"&gt;0")</f>
        <v/>
      </c>
      <c r="H429" s="7">
        <f>SUMIFS(df_extratos!I:I,df_extratos!F:F,Conciliacao!BE429,df_extratos!G:G,"CREDITO")+SUMIFS(df_extratos!I:I,df_extratos!F:F,Conciliacao!A429,df_extratos!G:G,"CREDITO")+SUMIFS(df_extratos!I:I,df_extratos!F:F,Conciliacao!BF429,df_extratos!G:G,"CREDITO")+SUMIFS(df_extratos!I:I,df_extratos!F:F,Conciliacao!BG429,df_extratos!G:G,"CREDITO")+SUMIFS(df_extratos!I:I,df_extratos!F:F,Conciliacao!BH429,df_extratos!G:G,"CREDITO")</f>
        <v/>
      </c>
      <c r="I429" s="9">
        <f>H429-SUM(B429:G429)</f>
        <v/>
      </c>
      <c r="J429" s="4">
        <f>SUMIFS(df_blueme_sem_parcelamento!E:E,df_blueme_sem_parcelamento!H:H,Conciliacao!A429)*(-1)</f>
        <v/>
      </c>
      <c r="K429" s="4">
        <f>SUMIFS(df_blueme_com_parcelamento!J:J,df_blueme_com_parcelamento!M:M,Conciliacao!A429)*(-1)</f>
        <v/>
      </c>
      <c r="L429" s="4">
        <f>SUMIFS(df_mutuos!N:N,df_mutuos!B:B,Conciliacao!A429)*(-1)</f>
        <v/>
      </c>
      <c r="M429" s="8">
        <f>SUMIFS(df_bloqueios_judiciais!G:G,df_bloqueios_judiciais!D:D,Conciliacao!A429,df_bloqueios_judiciais!G:G,"&lt;0")</f>
        <v/>
      </c>
      <c r="N429" s="10">
        <f>SUMIFS(df_extratos!I:I,df_extratos!F:F,Conciliacao!BE429,df_extratos!G:G,"DEBITO")+SUMIFS(df_extratos!I:I,df_extratos!F:F,Conciliacao!A429,df_extratos!G:G,"DEBITO")+SUMIFS(df_extratos!I:I,df_extratos!F:F,Conciliacao!BF429,df_extratos!G:G,"DEBITO")+SUMIFS(df_extratos!I:I,df_extratos!F:F,Conciliacao!BG429,df_extratos!G:G,"DEBITO")+SUMIFS(df_extratos!I:I,df_extratos!F:F,Conciliacao!BH429,df_extratos!G:G,"DEBITO")</f>
        <v/>
      </c>
      <c r="O429" s="11">
        <f>N429-SUM(J429:M429)</f>
        <v/>
      </c>
      <c r="P429" s="25">
        <f>SUMIFS(df_ajustes_conciliaco!D:D,df_ajustes_conciliaco!C:C,Conciliacao!A429)</f>
        <v/>
      </c>
      <c r="Q429" s="22">
        <f>O429+I429-P429</f>
        <v/>
      </c>
    </row>
    <row r="430">
      <c r="A430" s="5">
        <f>A429+1</f>
        <v/>
      </c>
      <c r="B430" s="3">
        <f>-SUMIFS(df_extrato_zig!G:G,df_extrato_zig!E:E,Conciliacao!A430,df_extrato_zig!D:D,"Saque")-SUMIFS(df_extrato_zig!G:G,df_extrato_zig!E:E,Conciliacao!A430,df_extrato_zig!D:D,"Antecipação")</f>
        <v/>
      </c>
      <c r="C430" s="3">
        <f>SUMIFS(df_extrato_zig!E:E,df_extrato_zig!L:L,Conciliacao!A430,df_extrato_zig!F:F,"DINHEIRO")</f>
        <v/>
      </c>
      <c r="D430" s="3">
        <f>SUMIFS(view_parc_agrup!H:H,view_parc_agrup!G:G,Conciliacao!A430)</f>
        <v/>
      </c>
      <c r="E430" s="3">
        <f>SUMIFS(df_eventos!F:F,df_eventos!H:H,Conciliacao!A430)</f>
        <v/>
      </c>
      <c r="F430" s="3">
        <f>SUMIFS(df_mutuos!M:M,df_mutuos!B:B,Conciliacao!A430)</f>
        <v/>
      </c>
      <c r="G430" s="6">
        <f>SUMIFS(df_bloqueios_judiciais!G:G,df_bloqueios_judiciais!D:D,Conciliacao!A430,df_bloqueios_judiciais!G:G,"&gt;0")</f>
        <v/>
      </c>
      <c r="H430" s="7">
        <f>SUMIFS(df_extratos!I:I,df_extratos!F:F,Conciliacao!BE430,df_extratos!G:G,"CREDITO")+SUMIFS(df_extratos!I:I,df_extratos!F:F,Conciliacao!A430,df_extratos!G:G,"CREDITO")+SUMIFS(df_extratos!I:I,df_extratos!F:F,Conciliacao!BF430,df_extratos!G:G,"CREDITO")+SUMIFS(df_extratos!I:I,df_extratos!F:F,Conciliacao!BG430,df_extratos!G:G,"CREDITO")+SUMIFS(df_extratos!I:I,df_extratos!F:F,Conciliacao!BH430,df_extratos!G:G,"CREDITO")</f>
        <v/>
      </c>
      <c r="I430" s="9">
        <f>H430-SUM(B430:G430)</f>
        <v/>
      </c>
      <c r="J430" s="4">
        <f>SUMIFS(df_blueme_sem_parcelamento!E:E,df_blueme_sem_parcelamento!H:H,Conciliacao!A430)*(-1)</f>
        <v/>
      </c>
      <c r="K430" s="4">
        <f>SUMIFS(df_blueme_com_parcelamento!J:J,df_blueme_com_parcelamento!M:M,Conciliacao!A430)*(-1)</f>
        <v/>
      </c>
      <c r="L430" s="4">
        <f>SUMIFS(df_mutuos!N:N,df_mutuos!B:B,Conciliacao!A430)*(-1)</f>
        <v/>
      </c>
      <c r="M430" s="8">
        <f>SUMIFS(df_bloqueios_judiciais!G:G,df_bloqueios_judiciais!D:D,Conciliacao!A430,df_bloqueios_judiciais!G:G,"&lt;0")</f>
        <v/>
      </c>
      <c r="N430" s="10">
        <f>SUMIFS(df_extratos!I:I,df_extratos!F:F,Conciliacao!BE430,df_extratos!G:G,"DEBITO")+SUMIFS(df_extratos!I:I,df_extratos!F:F,Conciliacao!A430,df_extratos!G:G,"DEBITO")+SUMIFS(df_extratos!I:I,df_extratos!F:F,Conciliacao!BF430,df_extratos!G:G,"DEBITO")+SUMIFS(df_extratos!I:I,df_extratos!F:F,Conciliacao!BG430,df_extratos!G:G,"DEBITO")+SUMIFS(df_extratos!I:I,df_extratos!F:F,Conciliacao!BH430,df_extratos!G:G,"DEBITO")</f>
        <v/>
      </c>
      <c r="O430" s="11">
        <f>N430-SUM(J430:M430)</f>
        <v/>
      </c>
      <c r="P430" s="25">
        <f>SUMIFS(df_ajustes_conciliaco!D:D,df_ajustes_conciliaco!C:C,Conciliacao!A430)</f>
        <v/>
      </c>
      <c r="Q430" s="22">
        <f>O430+I430-P430</f>
        <v/>
      </c>
    </row>
    <row r="431">
      <c r="A431" s="5">
        <f>A430+1</f>
        <v/>
      </c>
      <c r="B431" s="3">
        <f>-SUMIFS(df_extrato_zig!G:G,df_extrato_zig!E:E,Conciliacao!A431,df_extrato_zig!D:D,"Saque")-SUMIFS(df_extrato_zig!G:G,df_extrato_zig!E:E,Conciliacao!A431,df_extrato_zig!D:D,"Antecipação")</f>
        <v/>
      </c>
      <c r="C431" s="3">
        <f>SUMIFS(df_extrato_zig!E:E,df_extrato_zig!L:L,Conciliacao!A431,df_extrato_zig!F:F,"DINHEIRO")</f>
        <v/>
      </c>
      <c r="D431" s="3">
        <f>SUMIFS(view_parc_agrup!H:H,view_parc_agrup!G:G,Conciliacao!A431)</f>
        <v/>
      </c>
      <c r="E431" s="3">
        <f>SUMIFS(df_eventos!F:F,df_eventos!H:H,Conciliacao!A431)</f>
        <v/>
      </c>
      <c r="F431" s="3">
        <f>SUMIFS(df_mutuos!M:M,df_mutuos!B:B,Conciliacao!A431)</f>
        <v/>
      </c>
      <c r="G431" s="6">
        <f>SUMIFS(df_bloqueios_judiciais!G:G,df_bloqueios_judiciais!D:D,Conciliacao!A431,df_bloqueios_judiciais!G:G,"&gt;0")</f>
        <v/>
      </c>
      <c r="H431" s="7">
        <f>SUMIFS(df_extratos!I:I,df_extratos!F:F,Conciliacao!BE431,df_extratos!G:G,"CREDITO")+SUMIFS(df_extratos!I:I,df_extratos!F:F,Conciliacao!A431,df_extratos!G:G,"CREDITO")+SUMIFS(df_extratos!I:I,df_extratos!F:F,Conciliacao!BF431,df_extratos!G:G,"CREDITO")+SUMIFS(df_extratos!I:I,df_extratos!F:F,Conciliacao!BG431,df_extratos!G:G,"CREDITO")+SUMIFS(df_extratos!I:I,df_extratos!F:F,Conciliacao!BH431,df_extratos!G:G,"CREDITO")</f>
        <v/>
      </c>
      <c r="I431" s="9">
        <f>H431-SUM(B431:G431)</f>
        <v/>
      </c>
      <c r="J431" s="4">
        <f>SUMIFS(df_blueme_sem_parcelamento!E:E,df_blueme_sem_parcelamento!H:H,Conciliacao!A431)*(-1)</f>
        <v/>
      </c>
      <c r="K431" s="4">
        <f>SUMIFS(df_blueme_com_parcelamento!J:J,df_blueme_com_parcelamento!M:M,Conciliacao!A431)*(-1)</f>
        <v/>
      </c>
      <c r="L431" s="4">
        <f>SUMIFS(df_mutuos!N:N,df_mutuos!B:B,Conciliacao!A431)*(-1)</f>
        <v/>
      </c>
      <c r="M431" s="8">
        <f>SUMIFS(df_bloqueios_judiciais!G:G,df_bloqueios_judiciais!D:D,Conciliacao!A431,df_bloqueios_judiciais!G:G,"&lt;0")</f>
        <v/>
      </c>
      <c r="N431" s="10">
        <f>SUMIFS(df_extratos!I:I,df_extratos!F:F,Conciliacao!BE431,df_extratos!G:G,"DEBITO")+SUMIFS(df_extratos!I:I,df_extratos!F:F,Conciliacao!A431,df_extratos!G:G,"DEBITO")+SUMIFS(df_extratos!I:I,df_extratos!F:F,Conciliacao!BF431,df_extratos!G:G,"DEBITO")+SUMIFS(df_extratos!I:I,df_extratos!F:F,Conciliacao!BG431,df_extratos!G:G,"DEBITO")+SUMIFS(df_extratos!I:I,df_extratos!F:F,Conciliacao!BH431,df_extratos!G:G,"DEBITO")</f>
        <v/>
      </c>
      <c r="O431" s="11">
        <f>N431-SUM(J431:M431)</f>
        <v/>
      </c>
      <c r="P431" s="25">
        <f>SUMIFS(df_ajustes_conciliaco!D:D,df_ajustes_conciliaco!C:C,Conciliacao!A431)</f>
        <v/>
      </c>
      <c r="Q431" s="22">
        <f>O431+I431-P431</f>
        <v/>
      </c>
    </row>
    <row r="432">
      <c r="A432" s="5">
        <f>A431+1</f>
        <v/>
      </c>
      <c r="B432" s="3">
        <f>-SUMIFS(df_extrato_zig!G:G,df_extrato_zig!E:E,Conciliacao!A432,df_extrato_zig!D:D,"Saque")-SUMIFS(df_extrato_zig!G:G,df_extrato_zig!E:E,Conciliacao!A432,df_extrato_zig!D:D,"Antecipação")</f>
        <v/>
      </c>
      <c r="C432" s="3">
        <f>SUMIFS(df_extrato_zig!E:E,df_extrato_zig!L:L,Conciliacao!A432,df_extrato_zig!F:F,"DINHEIRO")</f>
        <v/>
      </c>
      <c r="D432" s="3">
        <f>SUMIFS(view_parc_agrup!H:H,view_parc_agrup!G:G,Conciliacao!A432)</f>
        <v/>
      </c>
      <c r="E432" s="3">
        <f>SUMIFS(df_eventos!F:F,df_eventos!H:H,Conciliacao!A432)</f>
        <v/>
      </c>
      <c r="F432" s="3">
        <f>SUMIFS(df_mutuos!M:M,df_mutuos!B:B,Conciliacao!A432)</f>
        <v/>
      </c>
      <c r="G432" s="6">
        <f>SUMIFS(df_bloqueios_judiciais!G:G,df_bloqueios_judiciais!D:D,Conciliacao!A432,df_bloqueios_judiciais!G:G,"&gt;0")</f>
        <v/>
      </c>
      <c r="H432" s="7">
        <f>SUMIFS(df_extratos!I:I,df_extratos!F:F,Conciliacao!BE432,df_extratos!G:G,"CREDITO")+SUMIFS(df_extratos!I:I,df_extratos!F:F,Conciliacao!A432,df_extratos!G:G,"CREDITO")+SUMIFS(df_extratos!I:I,df_extratos!F:F,Conciliacao!BF432,df_extratos!G:G,"CREDITO")+SUMIFS(df_extratos!I:I,df_extratos!F:F,Conciliacao!BG432,df_extratos!G:G,"CREDITO")+SUMIFS(df_extratos!I:I,df_extratos!F:F,Conciliacao!BH432,df_extratos!G:G,"CREDITO")</f>
        <v/>
      </c>
      <c r="I432" s="9">
        <f>H432-SUM(B432:G432)</f>
        <v/>
      </c>
      <c r="J432" s="4">
        <f>SUMIFS(df_blueme_sem_parcelamento!E:E,df_blueme_sem_parcelamento!H:H,Conciliacao!A432)*(-1)</f>
        <v/>
      </c>
      <c r="K432" s="4">
        <f>SUMIFS(df_blueme_com_parcelamento!J:J,df_blueme_com_parcelamento!M:M,Conciliacao!A432)*(-1)</f>
        <v/>
      </c>
      <c r="L432" s="4">
        <f>SUMIFS(df_mutuos!N:N,df_mutuos!B:B,Conciliacao!A432)*(-1)</f>
        <v/>
      </c>
      <c r="M432" s="8">
        <f>SUMIFS(df_bloqueios_judiciais!G:G,df_bloqueios_judiciais!D:D,Conciliacao!A432,df_bloqueios_judiciais!G:G,"&lt;0")</f>
        <v/>
      </c>
      <c r="N432" s="10">
        <f>SUMIFS(df_extratos!I:I,df_extratos!F:F,Conciliacao!BE432,df_extratos!G:G,"DEBITO")+SUMIFS(df_extratos!I:I,df_extratos!F:F,Conciliacao!A432,df_extratos!G:G,"DEBITO")+SUMIFS(df_extratos!I:I,df_extratos!F:F,Conciliacao!BF432,df_extratos!G:G,"DEBITO")+SUMIFS(df_extratos!I:I,df_extratos!F:F,Conciliacao!BG432,df_extratos!G:G,"DEBITO")+SUMIFS(df_extratos!I:I,df_extratos!F:F,Conciliacao!BH432,df_extratos!G:G,"DEBITO")</f>
        <v/>
      </c>
      <c r="O432" s="11">
        <f>N432-SUM(J432:M432)</f>
        <v/>
      </c>
      <c r="P432" s="25">
        <f>SUMIFS(df_ajustes_conciliaco!D:D,df_ajustes_conciliaco!C:C,Conciliacao!A432)</f>
        <v/>
      </c>
      <c r="Q432" s="22">
        <f>O432+I432-P432</f>
        <v/>
      </c>
    </row>
    <row r="433">
      <c r="A433" s="5">
        <f>A432+1</f>
        <v/>
      </c>
      <c r="B433" s="3">
        <f>-SUMIFS(df_extrato_zig!G:G,df_extrato_zig!E:E,Conciliacao!A433,df_extrato_zig!D:D,"Saque")-SUMIFS(df_extrato_zig!G:G,df_extrato_zig!E:E,Conciliacao!A433,df_extrato_zig!D:D,"Antecipação")</f>
        <v/>
      </c>
      <c r="C433" s="3">
        <f>SUMIFS(df_extrato_zig!E:E,df_extrato_zig!L:L,Conciliacao!A433,df_extrato_zig!F:F,"DINHEIRO")</f>
        <v/>
      </c>
      <c r="D433" s="3">
        <f>SUMIFS(view_parc_agrup!H:H,view_parc_agrup!G:G,Conciliacao!A433)</f>
        <v/>
      </c>
      <c r="E433" s="3">
        <f>SUMIFS(df_eventos!F:F,df_eventos!H:H,Conciliacao!A433)</f>
        <v/>
      </c>
      <c r="F433" s="3">
        <f>SUMIFS(df_mutuos!M:M,df_mutuos!B:B,Conciliacao!A433)</f>
        <v/>
      </c>
      <c r="G433" s="6">
        <f>SUMIFS(df_bloqueios_judiciais!G:G,df_bloqueios_judiciais!D:D,Conciliacao!A433,df_bloqueios_judiciais!G:G,"&gt;0")</f>
        <v/>
      </c>
      <c r="H433" s="7">
        <f>SUMIFS(df_extratos!I:I,df_extratos!F:F,Conciliacao!BE433,df_extratos!G:G,"CREDITO")+SUMIFS(df_extratos!I:I,df_extratos!F:F,Conciliacao!A433,df_extratos!G:G,"CREDITO")+SUMIFS(df_extratos!I:I,df_extratos!F:F,Conciliacao!BF433,df_extratos!G:G,"CREDITO")+SUMIFS(df_extratos!I:I,df_extratos!F:F,Conciliacao!BG433,df_extratos!G:G,"CREDITO")+SUMIFS(df_extratos!I:I,df_extratos!F:F,Conciliacao!BH433,df_extratos!G:G,"CREDITO")</f>
        <v/>
      </c>
      <c r="I433" s="9">
        <f>H433-SUM(B433:G433)</f>
        <v/>
      </c>
      <c r="J433" s="4">
        <f>SUMIFS(df_blueme_sem_parcelamento!E:E,df_blueme_sem_parcelamento!H:H,Conciliacao!A433)*(-1)</f>
        <v/>
      </c>
      <c r="K433" s="4">
        <f>SUMIFS(df_blueme_com_parcelamento!J:J,df_blueme_com_parcelamento!M:M,Conciliacao!A433)*(-1)</f>
        <v/>
      </c>
      <c r="L433" s="4">
        <f>SUMIFS(df_mutuos!N:N,df_mutuos!B:B,Conciliacao!A433)*(-1)</f>
        <v/>
      </c>
      <c r="M433" s="8">
        <f>SUMIFS(df_bloqueios_judiciais!G:G,df_bloqueios_judiciais!D:D,Conciliacao!A433,df_bloqueios_judiciais!G:G,"&lt;0")</f>
        <v/>
      </c>
      <c r="N433" s="10">
        <f>SUMIFS(df_extratos!I:I,df_extratos!F:F,Conciliacao!BE433,df_extratos!G:G,"DEBITO")+SUMIFS(df_extratos!I:I,df_extratos!F:F,Conciliacao!A433,df_extratos!G:G,"DEBITO")+SUMIFS(df_extratos!I:I,df_extratos!F:F,Conciliacao!BF433,df_extratos!G:G,"DEBITO")+SUMIFS(df_extratos!I:I,df_extratos!F:F,Conciliacao!BG433,df_extratos!G:G,"DEBITO")+SUMIFS(df_extratos!I:I,df_extratos!F:F,Conciliacao!BH433,df_extratos!G:G,"DEBITO")</f>
        <v/>
      </c>
      <c r="O433" s="11">
        <f>N433-SUM(J433:M433)</f>
        <v/>
      </c>
      <c r="P433" s="25">
        <f>SUMIFS(df_ajustes_conciliaco!D:D,df_ajustes_conciliaco!C:C,Conciliacao!A433)</f>
        <v/>
      </c>
      <c r="Q433" s="22">
        <f>O433+I433-P433</f>
        <v/>
      </c>
    </row>
    <row r="434">
      <c r="A434" s="5">
        <f>A433+1</f>
        <v/>
      </c>
      <c r="B434" s="3">
        <f>-SUMIFS(df_extrato_zig!G:G,df_extrato_zig!E:E,Conciliacao!A434,df_extrato_zig!D:D,"Saque")-SUMIFS(df_extrato_zig!G:G,df_extrato_zig!E:E,Conciliacao!A434,df_extrato_zig!D:D,"Antecipação")</f>
        <v/>
      </c>
      <c r="C434" s="3">
        <f>SUMIFS(df_extrato_zig!E:E,df_extrato_zig!L:L,Conciliacao!A434,df_extrato_zig!F:F,"DINHEIRO")</f>
        <v/>
      </c>
      <c r="D434" s="3">
        <f>SUMIFS(view_parc_agrup!H:H,view_parc_agrup!G:G,Conciliacao!A434)</f>
        <v/>
      </c>
      <c r="E434" s="3">
        <f>SUMIFS(df_eventos!F:F,df_eventos!H:H,Conciliacao!A434)</f>
        <v/>
      </c>
      <c r="F434" s="3">
        <f>SUMIFS(df_mutuos!M:M,df_mutuos!B:B,Conciliacao!A434)</f>
        <v/>
      </c>
      <c r="G434" s="6">
        <f>SUMIFS(df_bloqueios_judiciais!G:G,df_bloqueios_judiciais!D:D,Conciliacao!A434,df_bloqueios_judiciais!G:G,"&gt;0")</f>
        <v/>
      </c>
      <c r="H434" s="7">
        <f>SUMIFS(df_extratos!I:I,df_extratos!F:F,Conciliacao!BE434,df_extratos!G:G,"CREDITO")+SUMIFS(df_extratos!I:I,df_extratos!F:F,Conciliacao!A434,df_extratos!G:G,"CREDITO")+SUMIFS(df_extratos!I:I,df_extratos!F:F,Conciliacao!BF434,df_extratos!G:G,"CREDITO")+SUMIFS(df_extratos!I:I,df_extratos!F:F,Conciliacao!BG434,df_extratos!G:G,"CREDITO")+SUMIFS(df_extratos!I:I,df_extratos!F:F,Conciliacao!BH434,df_extratos!G:G,"CREDITO")</f>
        <v/>
      </c>
      <c r="I434" s="9">
        <f>H434-SUM(B434:G434)</f>
        <v/>
      </c>
      <c r="J434" s="4">
        <f>SUMIFS(df_blueme_sem_parcelamento!E:E,df_blueme_sem_parcelamento!H:H,Conciliacao!A434)*(-1)</f>
        <v/>
      </c>
      <c r="K434" s="4">
        <f>SUMIFS(df_blueme_com_parcelamento!J:J,df_blueme_com_parcelamento!M:M,Conciliacao!A434)*(-1)</f>
        <v/>
      </c>
      <c r="L434" s="4">
        <f>SUMIFS(df_mutuos!N:N,df_mutuos!B:B,Conciliacao!A434)*(-1)</f>
        <v/>
      </c>
      <c r="M434" s="8">
        <f>SUMIFS(df_bloqueios_judiciais!G:G,df_bloqueios_judiciais!D:D,Conciliacao!A434,df_bloqueios_judiciais!G:G,"&lt;0")</f>
        <v/>
      </c>
      <c r="N434" s="10">
        <f>SUMIFS(df_extratos!I:I,df_extratos!F:F,Conciliacao!BE434,df_extratos!G:G,"DEBITO")+SUMIFS(df_extratos!I:I,df_extratos!F:F,Conciliacao!A434,df_extratos!G:G,"DEBITO")+SUMIFS(df_extratos!I:I,df_extratos!F:F,Conciliacao!BF434,df_extratos!G:G,"DEBITO")+SUMIFS(df_extratos!I:I,df_extratos!F:F,Conciliacao!BG434,df_extratos!G:G,"DEBITO")+SUMIFS(df_extratos!I:I,df_extratos!F:F,Conciliacao!BH434,df_extratos!G:G,"DEBITO")</f>
        <v/>
      </c>
      <c r="O434" s="11">
        <f>N434-SUM(J434:M434)</f>
        <v/>
      </c>
      <c r="P434" s="25">
        <f>SUMIFS(df_ajustes_conciliaco!D:D,df_ajustes_conciliaco!C:C,Conciliacao!A434)</f>
        <v/>
      </c>
      <c r="Q434" s="22">
        <f>O434+I434-P434</f>
        <v/>
      </c>
    </row>
    <row r="435">
      <c r="A435" s="5">
        <f>A434+1</f>
        <v/>
      </c>
      <c r="B435" s="3">
        <f>-SUMIFS(df_extrato_zig!G:G,df_extrato_zig!E:E,Conciliacao!A435,df_extrato_zig!D:D,"Saque")-SUMIFS(df_extrato_zig!G:G,df_extrato_zig!E:E,Conciliacao!A435,df_extrato_zig!D:D,"Antecipação")</f>
        <v/>
      </c>
      <c r="C435" s="3">
        <f>SUMIFS(df_extrato_zig!E:E,df_extrato_zig!L:L,Conciliacao!A435,df_extrato_zig!F:F,"DINHEIRO")</f>
        <v/>
      </c>
      <c r="D435" s="3">
        <f>SUMIFS(view_parc_agrup!H:H,view_parc_agrup!G:G,Conciliacao!A435)</f>
        <v/>
      </c>
      <c r="E435" s="3">
        <f>SUMIFS(df_eventos!F:F,df_eventos!H:H,Conciliacao!A435)</f>
        <v/>
      </c>
      <c r="F435" s="3">
        <f>SUMIFS(df_mutuos!M:M,df_mutuos!B:B,Conciliacao!A435)</f>
        <v/>
      </c>
      <c r="G435" s="6">
        <f>SUMIFS(df_bloqueios_judiciais!G:G,df_bloqueios_judiciais!D:D,Conciliacao!A435,df_bloqueios_judiciais!G:G,"&gt;0")</f>
        <v/>
      </c>
      <c r="H435" s="7">
        <f>SUMIFS(df_extratos!I:I,df_extratos!F:F,Conciliacao!BE435,df_extratos!G:G,"CREDITO")+SUMIFS(df_extratos!I:I,df_extratos!F:F,Conciliacao!A435,df_extratos!G:G,"CREDITO")+SUMIFS(df_extratos!I:I,df_extratos!F:F,Conciliacao!BF435,df_extratos!G:G,"CREDITO")+SUMIFS(df_extratos!I:I,df_extratos!F:F,Conciliacao!BG435,df_extratos!G:G,"CREDITO")+SUMIFS(df_extratos!I:I,df_extratos!F:F,Conciliacao!BH435,df_extratos!G:G,"CREDITO")</f>
        <v/>
      </c>
      <c r="I435" s="9">
        <f>H435-SUM(B435:G435)</f>
        <v/>
      </c>
      <c r="J435" s="4">
        <f>SUMIFS(df_blueme_sem_parcelamento!E:E,df_blueme_sem_parcelamento!H:H,Conciliacao!A435)*(-1)</f>
        <v/>
      </c>
      <c r="K435" s="4">
        <f>SUMIFS(df_blueme_com_parcelamento!J:J,df_blueme_com_parcelamento!M:M,Conciliacao!A435)*(-1)</f>
        <v/>
      </c>
      <c r="L435" s="4">
        <f>SUMIFS(df_mutuos!N:N,df_mutuos!B:B,Conciliacao!A435)*(-1)</f>
        <v/>
      </c>
      <c r="M435" s="8">
        <f>SUMIFS(df_bloqueios_judiciais!G:G,df_bloqueios_judiciais!D:D,Conciliacao!A435,df_bloqueios_judiciais!G:G,"&lt;0")</f>
        <v/>
      </c>
      <c r="N435" s="10">
        <f>SUMIFS(df_extratos!I:I,df_extratos!F:F,Conciliacao!BE435,df_extratos!G:G,"DEBITO")+SUMIFS(df_extratos!I:I,df_extratos!F:F,Conciliacao!A435,df_extratos!G:G,"DEBITO")+SUMIFS(df_extratos!I:I,df_extratos!F:F,Conciliacao!BF435,df_extratos!G:G,"DEBITO")+SUMIFS(df_extratos!I:I,df_extratos!F:F,Conciliacao!BG435,df_extratos!G:G,"DEBITO")+SUMIFS(df_extratos!I:I,df_extratos!F:F,Conciliacao!BH435,df_extratos!G:G,"DEBITO")</f>
        <v/>
      </c>
      <c r="O435" s="11">
        <f>N435-SUM(J435:M435)</f>
        <v/>
      </c>
      <c r="P435" s="25">
        <f>SUMIFS(df_ajustes_conciliaco!D:D,df_ajustes_conciliaco!C:C,Conciliacao!A435)</f>
        <v/>
      </c>
      <c r="Q435" s="22">
        <f>O435+I435-P435</f>
        <v/>
      </c>
    </row>
    <row r="436">
      <c r="A436" s="5">
        <f>A435+1</f>
        <v/>
      </c>
      <c r="B436" s="3">
        <f>-SUMIFS(df_extrato_zig!G:G,df_extrato_zig!E:E,Conciliacao!A436,df_extrato_zig!D:D,"Saque")-SUMIFS(df_extrato_zig!G:G,df_extrato_zig!E:E,Conciliacao!A436,df_extrato_zig!D:D,"Antecipação")</f>
        <v/>
      </c>
      <c r="C436" s="3">
        <f>SUMIFS(df_extrato_zig!E:E,df_extrato_zig!L:L,Conciliacao!A436,df_extrato_zig!F:F,"DINHEIRO")</f>
        <v/>
      </c>
      <c r="D436" s="3">
        <f>SUMIFS(view_parc_agrup!H:H,view_parc_agrup!G:G,Conciliacao!A436)</f>
        <v/>
      </c>
      <c r="E436" s="3">
        <f>SUMIFS(df_eventos!F:F,df_eventos!H:H,Conciliacao!A436)</f>
        <v/>
      </c>
      <c r="F436" s="3">
        <f>SUMIFS(df_mutuos!M:M,df_mutuos!B:B,Conciliacao!A436)</f>
        <v/>
      </c>
      <c r="G436" s="6">
        <f>SUMIFS(df_bloqueios_judiciais!G:G,df_bloqueios_judiciais!D:D,Conciliacao!A436,df_bloqueios_judiciais!G:G,"&gt;0")</f>
        <v/>
      </c>
      <c r="H436" s="7">
        <f>SUMIFS(df_extratos!I:I,df_extratos!F:F,Conciliacao!BE436,df_extratos!G:G,"CREDITO")+SUMIFS(df_extratos!I:I,df_extratos!F:F,Conciliacao!A436,df_extratos!G:G,"CREDITO")+SUMIFS(df_extratos!I:I,df_extratos!F:F,Conciliacao!BF436,df_extratos!G:G,"CREDITO")+SUMIFS(df_extratos!I:I,df_extratos!F:F,Conciliacao!BG436,df_extratos!G:G,"CREDITO")+SUMIFS(df_extratos!I:I,df_extratos!F:F,Conciliacao!BH436,df_extratos!G:G,"CREDITO")</f>
        <v/>
      </c>
      <c r="I436" s="9">
        <f>H436-SUM(B436:G436)</f>
        <v/>
      </c>
      <c r="J436" s="4">
        <f>SUMIFS(df_blueme_sem_parcelamento!E:E,df_blueme_sem_parcelamento!H:H,Conciliacao!A436)*(-1)</f>
        <v/>
      </c>
      <c r="K436" s="4">
        <f>SUMIFS(df_blueme_com_parcelamento!J:J,df_blueme_com_parcelamento!M:M,Conciliacao!A436)*(-1)</f>
        <v/>
      </c>
      <c r="L436" s="4">
        <f>SUMIFS(df_mutuos!N:N,df_mutuos!B:B,Conciliacao!A436)*(-1)</f>
        <v/>
      </c>
      <c r="M436" s="8">
        <f>SUMIFS(df_bloqueios_judiciais!G:G,df_bloqueios_judiciais!D:D,Conciliacao!A436,df_bloqueios_judiciais!G:G,"&lt;0")</f>
        <v/>
      </c>
      <c r="N436" s="10">
        <f>SUMIFS(df_extratos!I:I,df_extratos!F:F,Conciliacao!BE436,df_extratos!G:G,"DEBITO")+SUMIFS(df_extratos!I:I,df_extratos!F:F,Conciliacao!A436,df_extratos!G:G,"DEBITO")+SUMIFS(df_extratos!I:I,df_extratos!F:F,Conciliacao!BF436,df_extratos!G:G,"DEBITO")+SUMIFS(df_extratos!I:I,df_extratos!F:F,Conciliacao!BG436,df_extratos!G:G,"DEBITO")+SUMIFS(df_extratos!I:I,df_extratos!F:F,Conciliacao!BH436,df_extratos!G:G,"DEBITO")</f>
        <v/>
      </c>
      <c r="O436" s="11">
        <f>N436-SUM(J436:M436)</f>
        <v/>
      </c>
      <c r="P436" s="25">
        <f>SUMIFS(df_ajustes_conciliaco!D:D,df_ajustes_conciliaco!C:C,Conciliacao!A436)</f>
        <v/>
      </c>
      <c r="Q436" s="22">
        <f>O436+I436-P436</f>
        <v/>
      </c>
    </row>
    <row r="437">
      <c r="A437" s="5">
        <f>A436+1</f>
        <v/>
      </c>
      <c r="B437" s="3">
        <f>-SUMIFS(df_extrato_zig!G:G,df_extrato_zig!E:E,Conciliacao!A437,df_extrato_zig!D:D,"Saque")-SUMIFS(df_extrato_zig!G:G,df_extrato_zig!E:E,Conciliacao!A437,df_extrato_zig!D:D,"Antecipação")</f>
        <v/>
      </c>
      <c r="C437" s="3">
        <f>SUMIFS(df_extrato_zig!E:E,df_extrato_zig!L:L,Conciliacao!A437,df_extrato_zig!F:F,"DINHEIRO")</f>
        <v/>
      </c>
      <c r="D437" s="3">
        <f>SUMIFS(view_parc_agrup!H:H,view_parc_agrup!G:G,Conciliacao!A437)</f>
        <v/>
      </c>
      <c r="E437" s="3">
        <f>SUMIFS(df_eventos!F:F,df_eventos!H:H,Conciliacao!A437)</f>
        <v/>
      </c>
      <c r="F437" s="3">
        <f>SUMIFS(df_mutuos!M:M,df_mutuos!B:B,Conciliacao!A437)</f>
        <v/>
      </c>
      <c r="G437" s="6">
        <f>SUMIFS(df_bloqueios_judiciais!G:G,df_bloqueios_judiciais!D:D,Conciliacao!A437,df_bloqueios_judiciais!G:G,"&gt;0")</f>
        <v/>
      </c>
      <c r="H437" s="7">
        <f>SUMIFS(df_extratos!I:I,df_extratos!F:F,Conciliacao!BE437,df_extratos!G:G,"CREDITO")+SUMIFS(df_extratos!I:I,df_extratos!F:F,Conciliacao!A437,df_extratos!G:G,"CREDITO")+SUMIFS(df_extratos!I:I,df_extratos!F:F,Conciliacao!BF437,df_extratos!G:G,"CREDITO")+SUMIFS(df_extratos!I:I,df_extratos!F:F,Conciliacao!BG437,df_extratos!G:G,"CREDITO")+SUMIFS(df_extratos!I:I,df_extratos!F:F,Conciliacao!BH437,df_extratos!G:G,"CREDITO")</f>
        <v/>
      </c>
      <c r="I437" s="9">
        <f>H437-SUM(B437:G437)</f>
        <v/>
      </c>
      <c r="J437" s="4">
        <f>SUMIFS(df_blueme_sem_parcelamento!E:E,df_blueme_sem_parcelamento!H:H,Conciliacao!A437)*(-1)</f>
        <v/>
      </c>
      <c r="K437" s="4">
        <f>SUMIFS(df_blueme_com_parcelamento!J:J,df_blueme_com_parcelamento!M:M,Conciliacao!A437)*(-1)</f>
        <v/>
      </c>
      <c r="L437" s="4">
        <f>SUMIFS(df_mutuos!N:N,df_mutuos!B:B,Conciliacao!A437)*(-1)</f>
        <v/>
      </c>
      <c r="M437" s="8">
        <f>SUMIFS(df_bloqueios_judiciais!G:G,df_bloqueios_judiciais!D:D,Conciliacao!A437,df_bloqueios_judiciais!G:G,"&lt;0")</f>
        <v/>
      </c>
      <c r="N437" s="10">
        <f>SUMIFS(df_extratos!I:I,df_extratos!F:F,Conciliacao!BE437,df_extratos!G:G,"DEBITO")+SUMIFS(df_extratos!I:I,df_extratos!F:F,Conciliacao!A437,df_extratos!G:G,"DEBITO")+SUMIFS(df_extratos!I:I,df_extratos!F:F,Conciliacao!BF437,df_extratos!G:G,"DEBITO")+SUMIFS(df_extratos!I:I,df_extratos!F:F,Conciliacao!BG437,df_extratos!G:G,"DEBITO")+SUMIFS(df_extratos!I:I,df_extratos!F:F,Conciliacao!BH437,df_extratos!G:G,"DEBITO")</f>
        <v/>
      </c>
      <c r="O437" s="11">
        <f>N437-SUM(J437:M437)</f>
        <v/>
      </c>
      <c r="P437" s="25">
        <f>SUMIFS(df_ajustes_conciliaco!D:D,df_ajustes_conciliaco!C:C,Conciliacao!A437)</f>
        <v/>
      </c>
      <c r="Q437" s="22">
        <f>O437+I437-P437</f>
        <v/>
      </c>
    </row>
    <row r="438">
      <c r="A438" s="5">
        <f>A437+1</f>
        <v/>
      </c>
      <c r="B438" s="3">
        <f>-SUMIFS(df_extrato_zig!G:G,df_extrato_zig!E:E,Conciliacao!A438,df_extrato_zig!D:D,"Saque")-SUMIFS(df_extrato_zig!G:G,df_extrato_zig!E:E,Conciliacao!A438,df_extrato_zig!D:D,"Antecipação")</f>
        <v/>
      </c>
      <c r="C438" s="3">
        <f>SUMIFS(df_extrato_zig!E:E,df_extrato_zig!L:L,Conciliacao!A438,df_extrato_zig!F:F,"DINHEIRO")</f>
        <v/>
      </c>
      <c r="D438" s="3">
        <f>SUMIFS(view_parc_agrup!H:H,view_parc_agrup!G:G,Conciliacao!A438)</f>
        <v/>
      </c>
      <c r="E438" s="3">
        <f>SUMIFS(df_eventos!F:F,df_eventos!H:H,Conciliacao!A438)</f>
        <v/>
      </c>
      <c r="F438" s="3">
        <f>SUMIFS(df_mutuos!M:M,df_mutuos!B:B,Conciliacao!A438)</f>
        <v/>
      </c>
      <c r="G438" s="6">
        <f>SUMIFS(df_bloqueios_judiciais!G:G,df_bloqueios_judiciais!D:D,Conciliacao!A438,df_bloqueios_judiciais!G:G,"&gt;0")</f>
        <v/>
      </c>
      <c r="H438" s="7">
        <f>SUMIFS(df_extratos!I:I,df_extratos!F:F,Conciliacao!BE438,df_extratos!G:G,"CREDITO")+SUMIFS(df_extratos!I:I,df_extratos!F:F,Conciliacao!A438,df_extratos!G:G,"CREDITO")+SUMIFS(df_extratos!I:I,df_extratos!F:F,Conciliacao!BF438,df_extratos!G:G,"CREDITO")+SUMIFS(df_extratos!I:I,df_extratos!F:F,Conciliacao!BG438,df_extratos!G:G,"CREDITO")+SUMIFS(df_extratos!I:I,df_extratos!F:F,Conciliacao!BH438,df_extratos!G:G,"CREDITO")</f>
        <v/>
      </c>
      <c r="I438" s="9">
        <f>H438-SUM(B438:G438)</f>
        <v/>
      </c>
      <c r="J438" s="4">
        <f>SUMIFS(df_blueme_sem_parcelamento!E:E,df_blueme_sem_parcelamento!H:H,Conciliacao!A438)*(-1)</f>
        <v/>
      </c>
      <c r="K438" s="4">
        <f>SUMIFS(df_blueme_com_parcelamento!J:J,df_blueme_com_parcelamento!M:M,Conciliacao!A438)*(-1)</f>
        <v/>
      </c>
      <c r="L438" s="4">
        <f>SUMIFS(df_mutuos!N:N,df_mutuos!B:B,Conciliacao!A438)*(-1)</f>
        <v/>
      </c>
      <c r="M438" s="8">
        <f>SUMIFS(df_bloqueios_judiciais!G:G,df_bloqueios_judiciais!D:D,Conciliacao!A438,df_bloqueios_judiciais!G:G,"&lt;0")</f>
        <v/>
      </c>
      <c r="N438" s="10">
        <f>SUMIFS(df_extratos!I:I,df_extratos!F:F,Conciliacao!BE438,df_extratos!G:G,"DEBITO")+SUMIFS(df_extratos!I:I,df_extratos!F:F,Conciliacao!A438,df_extratos!G:G,"DEBITO")+SUMIFS(df_extratos!I:I,df_extratos!F:F,Conciliacao!BF438,df_extratos!G:G,"DEBITO")+SUMIFS(df_extratos!I:I,df_extratos!F:F,Conciliacao!BG438,df_extratos!G:G,"DEBITO")+SUMIFS(df_extratos!I:I,df_extratos!F:F,Conciliacao!BH438,df_extratos!G:G,"DEBITO")</f>
        <v/>
      </c>
      <c r="O438" s="11">
        <f>N438-SUM(J438:M438)</f>
        <v/>
      </c>
      <c r="P438" s="25">
        <f>SUMIFS(df_ajustes_conciliaco!D:D,df_ajustes_conciliaco!C:C,Conciliacao!A438)</f>
        <v/>
      </c>
      <c r="Q438" s="22">
        <f>O438+I438-P438</f>
        <v/>
      </c>
    </row>
    <row r="439">
      <c r="A439" s="5">
        <f>A438+1</f>
        <v/>
      </c>
      <c r="B439" s="3">
        <f>-SUMIFS(df_extrato_zig!G:G,df_extrato_zig!E:E,Conciliacao!A439,df_extrato_zig!D:D,"Saque")-SUMIFS(df_extrato_zig!G:G,df_extrato_zig!E:E,Conciliacao!A439,df_extrato_zig!D:D,"Antecipação")</f>
        <v/>
      </c>
      <c r="C439" s="3">
        <f>SUMIFS(df_extrato_zig!E:E,df_extrato_zig!L:L,Conciliacao!A439,df_extrato_zig!F:F,"DINHEIRO")</f>
        <v/>
      </c>
      <c r="D439" s="3">
        <f>SUMIFS(view_parc_agrup!H:H,view_parc_agrup!G:G,Conciliacao!A439)</f>
        <v/>
      </c>
      <c r="E439" s="3">
        <f>SUMIFS(df_eventos!F:F,df_eventos!H:H,Conciliacao!A439)</f>
        <v/>
      </c>
      <c r="F439" s="3">
        <f>SUMIFS(df_mutuos!M:M,df_mutuos!B:B,Conciliacao!A439)</f>
        <v/>
      </c>
      <c r="G439" s="6">
        <f>SUMIFS(df_bloqueios_judiciais!G:G,df_bloqueios_judiciais!D:D,Conciliacao!A439,df_bloqueios_judiciais!G:G,"&gt;0")</f>
        <v/>
      </c>
      <c r="H439" s="7">
        <f>SUMIFS(df_extratos!I:I,df_extratos!F:F,Conciliacao!BE439,df_extratos!G:G,"CREDITO")+SUMIFS(df_extratos!I:I,df_extratos!F:F,Conciliacao!A439,df_extratos!G:G,"CREDITO")+SUMIFS(df_extratos!I:I,df_extratos!F:F,Conciliacao!BF439,df_extratos!G:G,"CREDITO")+SUMIFS(df_extratos!I:I,df_extratos!F:F,Conciliacao!BG439,df_extratos!G:G,"CREDITO")+SUMIFS(df_extratos!I:I,df_extratos!F:F,Conciliacao!BH439,df_extratos!G:G,"CREDITO")</f>
        <v/>
      </c>
      <c r="I439" s="9">
        <f>H439-SUM(B439:G439)</f>
        <v/>
      </c>
      <c r="J439" s="4">
        <f>SUMIFS(df_blueme_sem_parcelamento!E:E,df_blueme_sem_parcelamento!H:H,Conciliacao!A439)*(-1)</f>
        <v/>
      </c>
      <c r="K439" s="4">
        <f>SUMIFS(df_blueme_com_parcelamento!J:J,df_blueme_com_parcelamento!M:M,Conciliacao!A439)*(-1)</f>
        <v/>
      </c>
      <c r="L439" s="4">
        <f>SUMIFS(df_mutuos!N:N,df_mutuos!B:B,Conciliacao!A439)*(-1)</f>
        <v/>
      </c>
      <c r="M439" s="8">
        <f>SUMIFS(df_bloqueios_judiciais!G:G,df_bloqueios_judiciais!D:D,Conciliacao!A439,df_bloqueios_judiciais!G:G,"&lt;0")</f>
        <v/>
      </c>
      <c r="N439" s="10">
        <f>SUMIFS(df_extratos!I:I,df_extratos!F:F,Conciliacao!BE439,df_extratos!G:G,"DEBITO")+SUMIFS(df_extratos!I:I,df_extratos!F:F,Conciliacao!A439,df_extratos!G:G,"DEBITO")+SUMIFS(df_extratos!I:I,df_extratos!F:F,Conciliacao!BF439,df_extratos!G:G,"DEBITO")+SUMIFS(df_extratos!I:I,df_extratos!F:F,Conciliacao!BG439,df_extratos!G:G,"DEBITO")+SUMIFS(df_extratos!I:I,df_extratos!F:F,Conciliacao!BH439,df_extratos!G:G,"DEBITO")</f>
        <v/>
      </c>
      <c r="O439" s="11">
        <f>N439-SUM(J439:M439)</f>
        <v/>
      </c>
      <c r="P439" s="25">
        <f>SUMIFS(df_ajustes_conciliaco!D:D,df_ajustes_conciliaco!C:C,Conciliacao!A439)</f>
        <v/>
      </c>
      <c r="Q439" s="22">
        <f>O439+I439-P439</f>
        <v/>
      </c>
    </row>
    <row r="440">
      <c r="A440" s="5">
        <f>A439+1</f>
        <v/>
      </c>
      <c r="B440" s="3">
        <f>-SUMIFS(df_extrato_zig!G:G,df_extrato_zig!E:E,Conciliacao!A440,df_extrato_zig!D:D,"Saque")-SUMIFS(df_extrato_zig!G:G,df_extrato_zig!E:E,Conciliacao!A440,df_extrato_zig!D:D,"Antecipação")</f>
        <v/>
      </c>
      <c r="C440" s="3">
        <f>SUMIFS(df_extrato_zig!E:E,df_extrato_zig!L:L,Conciliacao!A440,df_extrato_zig!F:F,"DINHEIRO")</f>
        <v/>
      </c>
      <c r="D440" s="3">
        <f>SUMIFS(view_parc_agrup!H:H,view_parc_agrup!G:G,Conciliacao!A440)</f>
        <v/>
      </c>
      <c r="E440" s="3">
        <f>SUMIFS(df_eventos!F:F,df_eventos!H:H,Conciliacao!A440)</f>
        <v/>
      </c>
      <c r="F440" s="3">
        <f>SUMIFS(df_mutuos!M:M,df_mutuos!B:B,Conciliacao!A440)</f>
        <v/>
      </c>
      <c r="G440" s="6">
        <f>SUMIFS(df_bloqueios_judiciais!G:G,df_bloqueios_judiciais!D:D,Conciliacao!A440,df_bloqueios_judiciais!G:G,"&gt;0")</f>
        <v/>
      </c>
      <c r="H440" s="7">
        <f>SUMIFS(df_extratos!I:I,df_extratos!F:F,Conciliacao!BE440,df_extratos!G:G,"CREDITO")+SUMIFS(df_extratos!I:I,df_extratos!F:F,Conciliacao!A440,df_extratos!G:G,"CREDITO")+SUMIFS(df_extratos!I:I,df_extratos!F:F,Conciliacao!BF440,df_extratos!G:G,"CREDITO")+SUMIFS(df_extratos!I:I,df_extratos!F:F,Conciliacao!BG440,df_extratos!G:G,"CREDITO")+SUMIFS(df_extratos!I:I,df_extratos!F:F,Conciliacao!BH440,df_extratos!G:G,"CREDITO")</f>
        <v/>
      </c>
      <c r="I440" s="9">
        <f>H440-SUM(B440:G440)</f>
        <v/>
      </c>
      <c r="J440" s="4">
        <f>SUMIFS(df_blueme_sem_parcelamento!E:E,df_blueme_sem_parcelamento!H:H,Conciliacao!A440)*(-1)</f>
        <v/>
      </c>
      <c r="K440" s="4">
        <f>SUMIFS(df_blueme_com_parcelamento!J:J,df_blueme_com_parcelamento!M:M,Conciliacao!A440)*(-1)</f>
        <v/>
      </c>
      <c r="L440" s="4">
        <f>SUMIFS(df_mutuos!N:N,df_mutuos!B:B,Conciliacao!A440)*(-1)</f>
        <v/>
      </c>
      <c r="M440" s="8">
        <f>SUMIFS(df_bloqueios_judiciais!G:G,df_bloqueios_judiciais!D:D,Conciliacao!A440,df_bloqueios_judiciais!G:G,"&lt;0")</f>
        <v/>
      </c>
      <c r="N440" s="10">
        <f>SUMIFS(df_extratos!I:I,df_extratos!F:F,Conciliacao!BE440,df_extratos!G:G,"DEBITO")+SUMIFS(df_extratos!I:I,df_extratos!F:F,Conciliacao!A440,df_extratos!G:G,"DEBITO")+SUMIFS(df_extratos!I:I,df_extratos!F:F,Conciliacao!BF440,df_extratos!G:G,"DEBITO")+SUMIFS(df_extratos!I:I,df_extratos!F:F,Conciliacao!BG440,df_extratos!G:G,"DEBITO")+SUMIFS(df_extratos!I:I,df_extratos!F:F,Conciliacao!BH440,df_extratos!G:G,"DEBITO")</f>
        <v/>
      </c>
      <c r="O440" s="11">
        <f>N440-SUM(J440:M440)</f>
        <v/>
      </c>
      <c r="P440" s="25">
        <f>SUMIFS(df_ajustes_conciliaco!D:D,df_ajustes_conciliaco!C:C,Conciliacao!A440)</f>
        <v/>
      </c>
      <c r="Q440" s="22">
        <f>O440+I440-P440</f>
        <v/>
      </c>
    </row>
    <row r="441">
      <c r="A441" s="5">
        <f>A440+1</f>
        <v/>
      </c>
      <c r="B441" s="3">
        <f>-SUMIFS(df_extrato_zig!G:G,df_extrato_zig!E:E,Conciliacao!A441,df_extrato_zig!D:D,"Saque")-SUMIFS(df_extrato_zig!G:G,df_extrato_zig!E:E,Conciliacao!A441,df_extrato_zig!D:D,"Antecipação")</f>
        <v/>
      </c>
      <c r="C441" s="3">
        <f>SUMIFS(df_extrato_zig!E:E,df_extrato_zig!L:L,Conciliacao!A441,df_extrato_zig!F:F,"DINHEIRO")</f>
        <v/>
      </c>
      <c r="D441" s="3">
        <f>SUMIFS(view_parc_agrup!H:H,view_parc_agrup!G:G,Conciliacao!A441)</f>
        <v/>
      </c>
      <c r="E441" s="3">
        <f>SUMIFS(df_eventos!F:F,df_eventos!H:H,Conciliacao!A441)</f>
        <v/>
      </c>
      <c r="F441" s="3">
        <f>SUMIFS(df_mutuos!M:M,df_mutuos!B:B,Conciliacao!A441)</f>
        <v/>
      </c>
      <c r="G441" s="6">
        <f>SUMIFS(df_bloqueios_judiciais!G:G,df_bloqueios_judiciais!D:D,Conciliacao!A441,df_bloqueios_judiciais!G:G,"&gt;0")</f>
        <v/>
      </c>
      <c r="H441" s="7">
        <f>SUMIFS(df_extratos!I:I,df_extratos!F:F,Conciliacao!BE441,df_extratos!G:G,"CREDITO")+SUMIFS(df_extratos!I:I,df_extratos!F:F,Conciliacao!A441,df_extratos!G:G,"CREDITO")+SUMIFS(df_extratos!I:I,df_extratos!F:F,Conciliacao!BF441,df_extratos!G:G,"CREDITO")+SUMIFS(df_extratos!I:I,df_extratos!F:F,Conciliacao!BG441,df_extratos!G:G,"CREDITO")+SUMIFS(df_extratos!I:I,df_extratos!F:F,Conciliacao!BH441,df_extratos!G:G,"CREDITO")</f>
        <v/>
      </c>
      <c r="I441" s="9">
        <f>H441-SUM(B441:G441)</f>
        <v/>
      </c>
      <c r="J441" s="4">
        <f>SUMIFS(df_blueme_sem_parcelamento!E:E,df_blueme_sem_parcelamento!H:H,Conciliacao!A441)*(-1)</f>
        <v/>
      </c>
      <c r="K441" s="4">
        <f>SUMIFS(df_blueme_com_parcelamento!J:J,df_blueme_com_parcelamento!M:M,Conciliacao!A441)*(-1)</f>
        <v/>
      </c>
      <c r="L441" s="4">
        <f>SUMIFS(df_mutuos!N:N,df_mutuos!B:B,Conciliacao!A441)*(-1)</f>
        <v/>
      </c>
      <c r="M441" s="8">
        <f>SUMIFS(df_bloqueios_judiciais!G:G,df_bloqueios_judiciais!D:D,Conciliacao!A441,df_bloqueios_judiciais!G:G,"&lt;0")</f>
        <v/>
      </c>
      <c r="N441" s="10">
        <f>SUMIFS(df_extratos!I:I,df_extratos!F:F,Conciliacao!BE441,df_extratos!G:G,"DEBITO")+SUMIFS(df_extratos!I:I,df_extratos!F:F,Conciliacao!A441,df_extratos!G:G,"DEBITO")+SUMIFS(df_extratos!I:I,df_extratos!F:F,Conciliacao!BF441,df_extratos!G:G,"DEBITO")+SUMIFS(df_extratos!I:I,df_extratos!F:F,Conciliacao!BG441,df_extratos!G:G,"DEBITO")+SUMIFS(df_extratos!I:I,df_extratos!F:F,Conciliacao!BH441,df_extratos!G:G,"DEBITO")</f>
        <v/>
      </c>
      <c r="O441" s="11">
        <f>N441-SUM(J441:M441)</f>
        <v/>
      </c>
      <c r="P441" s="25">
        <f>SUMIFS(df_ajustes_conciliaco!D:D,df_ajustes_conciliaco!C:C,Conciliacao!A441)</f>
        <v/>
      </c>
      <c r="Q441" s="22">
        <f>O441+I441-P441</f>
        <v/>
      </c>
    </row>
    <row r="442">
      <c r="A442" s="5">
        <f>A441+1</f>
        <v/>
      </c>
      <c r="B442" s="3">
        <f>-SUMIFS(df_extrato_zig!G:G,df_extrato_zig!E:E,Conciliacao!A442,df_extrato_zig!D:D,"Saque")-SUMIFS(df_extrato_zig!G:G,df_extrato_zig!E:E,Conciliacao!A442,df_extrato_zig!D:D,"Antecipação")</f>
        <v/>
      </c>
      <c r="C442" s="3">
        <f>SUMIFS(df_extrato_zig!E:E,df_extrato_zig!L:L,Conciliacao!A442,df_extrato_zig!F:F,"DINHEIRO")</f>
        <v/>
      </c>
      <c r="D442" s="3">
        <f>SUMIFS(view_parc_agrup!H:H,view_parc_agrup!G:G,Conciliacao!A442)</f>
        <v/>
      </c>
      <c r="E442" s="3">
        <f>SUMIFS(df_eventos!F:F,df_eventos!H:H,Conciliacao!A442)</f>
        <v/>
      </c>
      <c r="F442" s="3">
        <f>SUMIFS(df_mutuos!M:M,df_mutuos!B:B,Conciliacao!A442)</f>
        <v/>
      </c>
      <c r="G442" s="6">
        <f>SUMIFS(df_bloqueios_judiciais!G:G,df_bloqueios_judiciais!D:D,Conciliacao!A442,df_bloqueios_judiciais!G:G,"&gt;0")</f>
        <v/>
      </c>
      <c r="H442" s="7">
        <f>SUMIFS(df_extratos!I:I,df_extratos!F:F,Conciliacao!BE442,df_extratos!G:G,"CREDITO")+SUMIFS(df_extratos!I:I,df_extratos!F:F,Conciliacao!A442,df_extratos!G:G,"CREDITO")+SUMIFS(df_extratos!I:I,df_extratos!F:F,Conciliacao!BF442,df_extratos!G:G,"CREDITO")+SUMIFS(df_extratos!I:I,df_extratos!F:F,Conciliacao!BG442,df_extratos!G:G,"CREDITO")+SUMIFS(df_extratos!I:I,df_extratos!F:F,Conciliacao!BH442,df_extratos!G:G,"CREDITO")</f>
        <v/>
      </c>
      <c r="I442" s="9">
        <f>H442-SUM(B442:G442)</f>
        <v/>
      </c>
      <c r="J442" s="4">
        <f>SUMIFS(df_blueme_sem_parcelamento!E:E,df_blueme_sem_parcelamento!H:H,Conciliacao!A442)*(-1)</f>
        <v/>
      </c>
      <c r="K442" s="4">
        <f>SUMIFS(df_blueme_com_parcelamento!J:J,df_blueme_com_parcelamento!M:M,Conciliacao!A442)*(-1)</f>
        <v/>
      </c>
      <c r="L442" s="4">
        <f>SUMIFS(df_mutuos!N:N,df_mutuos!B:B,Conciliacao!A442)*(-1)</f>
        <v/>
      </c>
      <c r="M442" s="8">
        <f>SUMIFS(df_bloqueios_judiciais!G:G,df_bloqueios_judiciais!D:D,Conciliacao!A442,df_bloqueios_judiciais!G:G,"&lt;0")</f>
        <v/>
      </c>
      <c r="N442" s="10">
        <f>SUMIFS(df_extratos!I:I,df_extratos!F:F,Conciliacao!BE442,df_extratos!G:G,"DEBITO")+SUMIFS(df_extratos!I:I,df_extratos!F:F,Conciliacao!A442,df_extratos!G:G,"DEBITO")+SUMIFS(df_extratos!I:I,df_extratos!F:F,Conciliacao!BF442,df_extratos!G:G,"DEBITO")+SUMIFS(df_extratos!I:I,df_extratos!F:F,Conciliacao!BG442,df_extratos!G:G,"DEBITO")+SUMIFS(df_extratos!I:I,df_extratos!F:F,Conciliacao!BH442,df_extratos!G:G,"DEBITO")</f>
        <v/>
      </c>
      <c r="O442" s="11">
        <f>N442-SUM(J442:M442)</f>
        <v/>
      </c>
      <c r="P442" s="25">
        <f>SUMIFS(df_ajustes_conciliaco!D:D,df_ajustes_conciliaco!C:C,Conciliacao!A442)</f>
        <v/>
      </c>
      <c r="Q442" s="22">
        <f>O442+I442-P442</f>
        <v/>
      </c>
    </row>
    <row r="443">
      <c r="A443" s="5">
        <f>A442+1</f>
        <v/>
      </c>
      <c r="B443" s="3">
        <f>-SUMIFS(df_extrato_zig!G:G,df_extrato_zig!E:E,Conciliacao!A443,df_extrato_zig!D:D,"Saque")-SUMIFS(df_extrato_zig!G:G,df_extrato_zig!E:E,Conciliacao!A443,df_extrato_zig!D:D,"Antecipação")</f>
        <v/>
      </c>
      <c r="C443" s="3">
        <f>SUMIFS(df_extrato_zig!E:E,df_extrato_zig!L:L,Conciliacao!A443,df_extrato_zig!F:F,"DINHEIRO")</f>
        <v/>
      </c>
      <c r="D443" s="3">
        <f>SUMIFS(view_parc_agrup!H:H,view_parc_agrup!G:G,Conciliacao!A443)</f>
        <v/>
      </c>
      <c r="E443" s="3">
        <f>SUMIFS(df_eventos!F:F,df_eventos!H:H,Conciliacao!A443)</f>
        <v/>
      </c>
      <c r="F443" s="3">
        <f>SUMIFS(df_mutuos!M:M,df_mutuos!B:B,Conciliacao!A443)</f>
        <v/>
      </c>
      <c r="G443" s="6">
        <f>SUMIFS(df_bloqueios_judiciais!G:G,df_bloqueios_judiciais!D:D,Conciliacao!A443,df_bloqueios_judiciais!G:G,"&gt;0")</f>
        <v/>
      </c>
      <c r="H443" s="7">
        <f>SUMIFS(df_extratos!I:I,df_extratos!F:F,Conciliacao!BE443,df_extratos!G:G,"CREDITO")+SUMIFS(df_extratos!I:I,df_extratos!F:F,Conciliacao!A443,df_extratos!G:G,"CREDITO")+SUMIFS(df_extratos!I:I,df_extratos!F:F,Conciliacao!BF443,df_extratos!G:G,"CREDITO")+SUMIFS(df_extratos!I:I,df_extratos!F:F,Conciliacao!BG443,df_extratos!G:G,"CREDITO")+SUMIFS(df_extratos!I:I,df_extratos!F:F,Conciliacao!BH443,df_extratos!G:G,"CREDITO")</f>
        <v/>
      </c>
      <c r="I443" s="9">
        <f>H443-SUM(B443:G443)</f>
        <v/>
      </c>
      <c r="J443" s="4">
        <f>SUMIFS(df_blueme_sem_parcelamento!E:E,df_blueme_sem_parcelamento!H:H,Conciliacao!A443)*(-1)</f>
        <v/>
      </c>
      <c r="K443" s="4">
        <f>SUMIFS(df_blueme_com_parcelamento!J:J,df_blueme_com_parcelamento!M:M,Conciliacao!A443)*(-1)</f>
        <v/>
      </c>
      <c r="L443" s="4">
        <f>SUMIFS(df_mutuos!N:N,df_mutuos!B:B,Conciliacao!A443)*(-1)</f>
        <v/>
      </c>
      <c r="M443" s="8">
        <f>SUMIFS(df_bloqueios_judiciais!G:G,df_bloqueios_judiciais!D:D,Conciliacao!A443,df_bloqueios_judiciais!G:G,"&lt;0")</f>
        <v/>
      </c>
      <c r="N443" s="10">
        <f>SUMIFS(df_extratos!I:I,df_extratos!F:F,Conciliacao!BE443,df_extratos!G:G,"DEBITO")+SUMIFS(df_extratos!I:I,df_extratos!F:F,Conciliacao!A443,df_extratos!G:G,"DEBITO")+SUMIFS(df_extratos!I:I,df_extratos!F:F,Conciliacao!BF443,df_extratos!G:G,"DEBITO")+SUMIFS(df_extratos!I:I,df_extratos!F:F,Conciliacao!BG443,df_extratos!G:G,"DEBITO")+SUMIFS(df_extratos!I:I,df_extratos!F:F,Conciliacao!BH443,df_extratos!G:G,"DEBITO")</f>
        <v/>
      </c>
      <c r="O443" s="11">
        <f>N443-SUM(J443:M443)</f>
        <v/>
      </c>
      <c r="P443" s="25">
        <f>SUMIFS(df_ajustes_conciliaco!D:D,df_ajustes_conciliaco!C:C,Conciliacao!A443)</f>
        <v/>
      </c>
      <c r="Q443" s="22">
        <f>O443+I443-P443</f>
        <v/>
      </c>
    </row>
    <row r="444">
      <c r="A444" s="5">
        <f>A443+1</f>
        <v/>
      </c>
      <c r="B444" s="3">
        <f>-SUMIFS(df_extrato_zig!G:G,df_extrato_zig!E:E,Conciliacao!A444,df_extrato_zig!D:D,"Saque")-SUMIFS(df_extrato_zig!G:G,df_extrato_zig!E:E,Conciliacao!A444,df_extrato_zig!D:D,"Antecipação")</f>
        <v/>
      </c>
      <c r="C444" s="3">
        <f>SUMIFS(df_extrato_zig!E:E,df_extrato_zig!L:L,Conciliacao!A444,df_extrato_zig!F:F,"DINHEIRO")</f>
        <v/>
      </c>
      <c r="D444" s="3">
        <f>SUMIFS(view_parc_agrup!H:H,view_parc_agrup!G:G,Conciliacao!A444)</f>
        <v/>
      </c>
      <c r="E444" s="3">
        <f>SUMIFS(df_eventos!F:F,df_eventos!H:H,Conciliacao!A444)</f>
        <v/>
      </c>
      <c r="F444" s="3">
        <f>SUMIFS(df_mutuos!M:M,df_mutuos!B:B,Conciliacao!A444)</f>
        <v/>
      </c>
      <c r="G444" s="6">
        <f>SUMIFS(df_bloqueios_judiciais!G:G,df_bloqueios_judiciais!D:D,Conciliacao!A444,df_bloqueios_judiciais!G:G,"&gt;0")</f>
        <v/>
      </c>
      <c r="H444" s="7">
        <f>SUMIFS(df_extratos!I:I,df_extratos!F:F,Conciliacao!BE444,df_extratos!G:G,"CREDITO")+SUMIFS(df_extratos!I:I,df_extratos!F:F,Conciliacao!A444,df_extratos!G:G,"CREDITO")+SUMIFS(df_extratos!I:I,df_extratos!F:F,Conciliacao!BF444,df_extratos!G:G,"CREDITO")+SUMIFS(df_extratos!I:I,df_extratos!F:F,Conciliacao!BG444,df_extratos!G:G,"CREDITO")+SUMIFS(df_extratos!I:I,df_extratos!F:F,Conciliacao!BH444,df_extratos!G:G,"CREDITO")</f>
        <v/>
      </c>
      <c r="I444" s="9">
        <f>H444-SUM(B444:G444)</f>
        <v/>
      </c>
      <c r="J444" s="4">
        <f>SUMIFS(df_blueme_sem_parcelamento!E:E,df_blueme_sem_parcelamento!H:H,Conciliacao!A444)*(-1)</f>
        <v/>
      </c>
      <c r="K444" s="4">
        <f>SUMIFS(df_blueme_com_parcelamento!J:J,df_blueme_com_parcelamento!M:M,Conciliacao!A444)*(-1)</f>
        <v/>
      </c>
      <c r="L444" s="4">
        <f>SUMIFS(df_mutuos!N:N,df_mutuos!B:B,Conciliacao!A444)*(-1)</f>
        <v/>
      </c>
      <c r="M444" s="8">
        <f>SUMIFS(df_bloqueios_judiciais!G:G,df_bloqueios_judiciais!D:D,Conciliacao!A444,df_bloqueios_judiciais!G:G,"&lt;0")</f>
        <v/>
      </c>
      <c r="N444" s="10">
        <f>SUMIFS(df_extratos!I:I,df_extratos!F:F,Conciliacao!BE444,df_extratos!G:G,"DEBITO")+SUMIFS(df_extratos!I:I,df_extratos!F:F,Conciliacao!A444,df_extratos!G:G,"DEBITO")+SUMIFS(df_extratos!I:I,df_extratos!F:F,Conciliacao!BF444,df_extratos!G:G,"DEBITO")+SUMIFS(df_extratos!I:I,df_extratos!F:F,Conciliacao!BG444,df_extratos!G:G,"DEBITO")+SUMIFS(df_extratos!I:I,df_extratos!F:F,Conciliacao!BH444,df_extratos!G:G,"DEBITO")</f>
        <v/>
      </c>
      <c r="O444" s="11">
        <f>N444-SUM(J444:M444)</f>
        <v/>
      </c>
      <c r="P444" s="25">
        <f>SUMIFS(df_ajustes_conciliaco!D:D,df_ajustes_conciliaco!C:C,Conciliacao!A444)</f>
        <v/>
      </c>
      <c r="Q444" s="22">
        <f>O444+I444-P444</f>
        <v/>
      </c>
    </row>
    <row r="445">
      <c r="A445" s="5">
        <f>A444+1</f>
        <v/>
      </c>
      <c r="B445" s="3">
        <f>-SUMIFS(df_extrato_zig!G:G,df_extrato_zig!E:E,Conciliacao!A445,df_extrato_zig!D:D,"Saque")-SUMIFS(df_extrato_zig!G:G,df_extrato_zig!E:E,Conciliacao!A445,df_extrato_zig!D:D,"Antecipação")</f>
        <v/>
      </c>
      <c r="C445" s="3">
        <f>SUMIFS(df_extrato_zig!E:E,df_extrato_zig!L:L,Conciliacao!A445,df_extrato_zig!F:F,"DINHEIRO")</f>
        <v/>
      </c>
      <c r="D445" s="3">
        <f>SUMIFS(view_parc_agrup!H:H,view_parc_agrup!G:G,Conciliacao!A445)</f>
        <v/>
      </c>
      <c r="E445" s="3">
        <f>SUMIFS(df_eventos!F:F,df_eventos!H:H,Conciliacao!A445)</f>
        <v/>
      </c>
      <c r="F445" s="3">
        <f>SUMIFS(df_mutuos!M:M,df_mutuos!B:B,Conciliacao!A445)</f>
        <v/>
      </c>
      <c r="G445" s="6">
        <f>SUMIFS(df_bloqueios_judiciais!G:G,df_bloqueios_judiciais!D:D,Conciliacao!A445,df_bloqueios_judiciais!G:G,"&gt;0")</f>
        <v/>
      </c>
      <c r="H445" s="7">
        <f>SUMIFS(df_extratos!I:I,df_extratos!F:F,Conciliacao!BE445,df_extratos!G:G,"CREDITO")+SUMIFS(df_extratos!I:I,df_extratos!F:F,Conciliacao!A445,df_extratos!G:G,"CREDITO")+SUMIFS(df_extratos!I:I,df_extratos!F:F,Conciliacao!BF445,df_extratos!G:G,"CREDITO")+SUMIFS(df_extratos!I:I,df_extratos!F:F,Conciliacao!BG445,df_extratos!G:G,"CREDITO")+SUMIFS(df_extratos!I:I,df_extratos!F:F,Conciliacao!BH445,df_extratos!G:G,"CREDITO")</f>
        <v/>
      </c>
      <c r="I445" s="9">
        <f>H445-SUM(B445:G445)</f>
        <v/>
      </c>
      <c r="J445" s="4">
        <f>SUMIFS(df_blueme_sem_parcelamento!E:E,df_blueme_sem_parcelamento!H:H,Conciliacao!A445)*(-1)</f>
        <v/>
      </c>
      <c r="K445" s="4">
        <f>SUMIFS(df_blueme_com_parcelamento!J:J,df_blueme_com_parcelamento!M:M,Conciliacao!A445)*(-1)</f>
        <v/>
      </c>
      <c r="L445" s="4">
        <f>SUMIFS(df_mutuos!N:N,df_mutuos!B:B,Conciliacao!A445)*(-1)</f>
        <v/>
      </c>
      <c r="M445" s="8">
        <f>SUMIFS(df_bloqueios_judiciais!G:G,df_bloqueios_judiciais!D:D,Conciliacao!A445,df_bloqueios_judiciais!G:G,"&lt;0")</f>
        <v/>
      </c>
      <c r="N445" s="10">
        <f>SUMIFS(df_extratos!I:I,df_extratos!F:F,Conciliacao!BE445,df_extratos!G:G,"DEBITO")+SUMIFS(df_extratos!I:I,df_extratos!F:F,Conciliacao!A445,df_extratos!G:G,"DEBITO")+SUMIFS(df_extratos!I:I,df_extratos!F:F,Conciliacao!BF445,df_extratos!G:G,"DEBITO")+SUMIFS(df_extratos!I:I,df_extratos!F:F,Conciliacao!BG445,df_extratos!G:G,"DEBITO")+SUMIFS(df_extratos!I:I,df_extratos!F:F,Conciliacao!BH445,df_extratos!G:G,"DEBITO")</f>
        <v/>
      </c>
      <c r="O445" s="11">
        <f>N445-SUM(J445:M445)</f>
        <v/>
      </c>
      <c r="P445" s="25">
        <f>SUMIFS(df_ajustes_conciliaco!D:D,df_ajustes_conciliaco!C:C,Conciliacao!A445)</f>
        <v/>
      </c>
      <c r="Q445" s="22">
        <f>O445+I445-P445</f>
        <v/>
      </c>
    </row>
    <row r="446">
      <c r="A446" s="5">
        <f>A445+1</f>
        <v/>
      </c>
      <c r="B446" s="3">
        <f>-SUMIFS(df_extrato_zig!G:G,df_extrato_zig!E:E,Conciliacao!A446,df_extrato_zig!D:D,"Saque")-SUMIFS(df_extrato_zig!G:G,df_extrato_zig!E:E,Conciliacao!A446,df_extrato_zig!D:D,"Antecipação")</f>
        <v/>
      </c>
      <c r="C446" s="3">
        <f>SUMIFS(df_extrato_zig!E:E,df_extrato_zig!L:L,Conciliacao!A446,df_extrato_zig!F:F,"DINHEIRO")</f>
        <v/>
      </c>
      <c r="D446" s="3">
        <f>SUMIFS(view_parc_agrup!H:H,view_parc_agrup!G:G,Conciliacao!A446)</f>
        <v/>
      </c>
      <c r="E446" s="3">
        <f>SUMIFS(df_eventos!F:F,df_eventos!H:H,Conciliacao!A446)</f>
        <v/>
      </c>
      <c r="F446" s="3">
        <f>SUMIFS(df_mutuos!M:M,df_mutuos!B:B,Conciliacao!A446)</f>
        <v/>
      </c>
      <c r="G446" s="6">
        <f>SUMIFS(df_bloqueios_judiciais!G:G,df_bloqueios_judiciais!D:D,Conciliacao!A446,df_bloqueios_judiciais!G:G,"&gt;0")</f>
        <v/>
      </c>
      <c r="H446" s="7">
        <f>SUMIFS(df_extratos!I:I,df_extratos!F:F,Conciliacao!BE446,df_extratos!G:G,"CREDITO")+SUMIFS(df_extratos!I:I,df_extratos!F:F,Conciliacao!A446,df_extratos!G:G,"CREDITO")+SUMIFS(df_extratos!I:I,df_extratos!F:F,Conciliacao!BF446,df_extratos!G:G,"CREDITO")+SUMIFS(df_extratos!I:I,df_extratos!F:F,Conciliacao!BG446,df_extratos!G:G,"CREDITO")+SUMIFS(df_extratos!I:I,df_extratos!F:F,Conciliacao!BH446,df_extratos!G:G,"CREDITO")</f>
        <v/>
      </c>
      <c r="I446" s="9">
        <f>H446-SUM(B446:G446)</f>
        <v/>
      </c>
      <c r="J446" s="4">
        <f>SUMIFS(df_blueme_sem_parcelamento!E:E,df_blueme_sem_parcelamento!H:H,Conciliacao!A446)*(-1)</f>
        <v/>
      </c>
      <c r="K446" s="4">
        <f>SUMIFS(df_blueme_com_parcelamento!J:J,df_blueme_com_parcelamento!M:M,Conciliacao!A446)*(-1)</f>
        <v/>
      </c>
      <c r="L446" s="4">
        <f>SUMIFS(df_mutuos!N:N,df_mutuos!B:B,Conciliacao!A446)*(-1)</f>
        <v/>
      </c>
      <c r="M446" s="8">
        <f>SUMIFS(df_bloqueios_judiciais!G:G,df_bloqueios_judiciais!D:D,Conciliacao!A446,df_bloqueios_judiciais!G:G,"&lt;0")</f>
        <v/>
      </c>
      <c r="N446" s="10">
        <f>SUMIFS(df_extratos!I:I,df_extratos!F:F,Conciliacao!BE446,df_extratos!G:G,"DEBITO")+SUMIFS(df_extratos!I:I,df_extratos!F:F,Conciliacao!A446,df_extratos!G:G,"DEBITO")+SUMIFS(df_extratos!I:I,df_extratos!F:F,Conciliacao!BF446,df_extratos!G:G,"DEBITO")+SUMIFS(df_extratos!I:I,df_extratos!F:F,Conciliacao!BG446,df_extratos!G:G,"DEBITO")+SUMIFS(df_extratos!I:I,df_extratos!F:F,Conciliacao!BH446,df_extratos!G:G,"DEBITO")</f>
        <v/>
      </c>
      <c r="O446" s="11">
        <f>N446-SUM(J446:M446)</f>
        <v/>
      </c>
      <c r="P446" s="25">
        <f>SUMIFS(df_ajustes_conciliaco!D:D,df_ajustes_conciliaco!C:C,Conciliacao!A446)</f>
        <v/>
      </c>
      <c r="Q446" s="22">
        <f>O446+I446-P446</f>
        <v/>
      </c>
    </row>
    <row r="447">
      <c r="A447" s="5">
        <f>A446+1</f>
        <v/>
      </c>
      <c r="B447" s="3">
        <f>-SUMIFS(df_extrato_zig!G:G,df_extrato_zig!E:E,Conciliacao!A447,df_extrato_zig!D:D,"Saque")-SUMIFS(df_extrato_zig!G:G,df_extrato_zig!E:E,Conciliacao!A447,df_extrato_zig!D:D,"Antecipação")</f>
        <v/>
      </c>
      <c r="C447" s="3">
        <f>SUMIFS(df_extrato_zig!E:E,df_extrato_zig!L:L,Conciliacao!A447,df_extrato_zig!F:F,"DINHEIRO")</f>
        <v/>
      </c>
      <c r="D447" s="3">
        <f>SUMIFS(view_parc_agrup!H:H,view_parc_agrup!G:G,Conciliacao!A447)</f>
        <v/>
      </c>
      <c r="E447" s="3">
        <f>SUMIFS(df_eventos!F:F,df_eventos!H:H,Conciliacao!A447)</f>
        <v/>
      </c>
      <c r="F447" s="3">
        <f>SUMIFS(df_mutuos!M:M,df_mutuos!B:B,Conciliacao!A447)</f>
        <v/>
      </c>
      <c r="G447" s="6">
        <f>SUMIFS(df_bloqueios_judiciais!G:G,df_bloqueios_judiciais!D:D,Conciliacao!A447,df_bloqueios_judiciais!G:G,"&gt;0")</f>
        <v/>
      </c>
      <c r="H447" s="7">
        <f>SUMIFS(df_extratos!I:I,df_extratos!F:F,Conciliacao!BE447,df_extratos!G:G,"CREDITO")+SUMIFS(df_extratos!I:I,df_extratos!F:F,Conciliacao!A447,df_extratos!G:G,"CREDITO")+SUMIFS(df_extratos!I:I,df_extratos!F:F,Conciliacao!BF447,df_extratos!G:G,"CREDITO")+SUMIFS(df_extratos!I:I,df_extratos!F:F,Conciliacao!BG447,df_extratos!G:G,"CREDITO")+SUMIFS(df_extratos!I:I,df_extratos!F:F,Conciliacao!BH447,df_extratos!G:G,"CREDITO")</f>
        <v/>
      </c>
      <c r="I447" s="9">
        <f>H447-SUM(B447:G447)</f>
        <v/>
      </c>
      <c r="J447" s="4">
        <f>SUMIFS(df_blueme_sem_parcelamento!E:E,df_blueme_sem_parcelamento!H:H,Conciliacao!A447)*(-1)</f>
        <v/>
      </c>
      <c r="K447" s="4">
        <f>SUMIFS(df_blueme_com_parcelamento!J:J,df_blueme_com_parcelamento!M:M,Conciliacao!A447)*(-1)</f>
        <v/>
      </c>
      <c r="L447" s="4">
        <f>SUMIFS(df_mutuos!N:N,df_mutuos!B:B,Conciliacao!A447)*(-1)</f>
        <v/>
      </c>
      <c r="M447" s="8">
        <f>SUMIFS(df_bloqueios_judiciais!G:G,df_bloqueios_judiciais!D:D,Conciliacao!A447,df_bloqueios_judiciais!G:G,"&lt;0")</f>
        <v/>
      </c>
      <c r="N447" s="10">
        <f>SUMIFS(df_extratos!I:I,df_extratos!F:F,Conciliacao!BE447,df_extratos!G:G,"DEBITO")+SUMIFS(df_extratos!I:I,df_extratos!F:F,Conciliacao!A447,df_extratos!G:G,"DEBITO")+SUMIFS(df_extratos!I:I,df_extratos!F:F,Conciliacao!BF447,df_extratos!G:G,"DEBITO")+SUMIFS(df_extratos!I:I,df_extratos!F:F,Conciliacao!BG447,df_extratos!G:G,"DEBITO")+SUMIFS(df_extratos!I:I,df_extratos!F:F,Conciliacao!BH447,df_extratos!G:G,"DEBITO")</f>
        <v/>
      </c>
      <c r="O447" s="11">
        <f>N447-SUM(J447:M447)</f>
        <v/>
      </c>
      <c r="P447" s="25">
        <f>SUMIFS(df_ajustes_conciliaco!D:D,df_ajustes_conciliaco!C:C,Conciliacao!A447)</f>
        <v/>
      </c>
      <c r="Q447" s="22">
        <f>O447+I447-P447</f>
        <v/>
      </c>
    </row>
    <row r="448">
      <c r="A448" s="5">
        <f>A447+1</f>
        <v/>
      </c>
      <c r="B448" s="3">
        <f>-SUMIFS(df_extrato_zig!G:G,df_extrato_zig!E:E,Conciliacao!A448,df_extrato_zig!D:D,"Saque")-SUMIFS(df_extrato_zig!G:G,df_extrato_zig!E:E,Conciliacao!A448,df_extrato_zig!D:D,"Antecipação")</f>
        <v/>
      </c>
      <c r="C448" s="3">
        <f>SUMIFS(df_extrato_zig!E:E,df_extrato_zig!L:L,Conciliacao!A448,df_extrato_zig!F:F,"DINHEIRO")</f>
        <v/>
      </c>
      <c r="D448" s="3">
        <f>SUMIFS(view_parc_agrup!H:H,view_parc_agrup!G:G,Conciliacao!A448)</f>
        <v/>
      </c>
      <c r="E448" s="3">
        <f>SUMIFS(df_eventos!F:F,df_eventos!H:H,Conciliacao!A448)</f>
        <v/>
      </c>
      <c r="F448" s="3">
        <f>SUMIFS(df_mutuos!M:M,df_mutuos!B:B,Conciliacao!A448)</f>
        <v/>
      </c>
      <c r="G448" s="6">
        <f>SUMIFS(df_bloqueios_judiciais!G:G,df_bloqueios_judiciais!D:D,Conciliacao!A448,df_bloqueios_judiciais!G:G,"&gt;0")</f>
        <v/>
      </c>
      <c r="H448" s="7">
        <f>SUMIFS(df_extratos!I:I,df_extratos!F:F,Conciliacao!BE448,df_extratos!G:G,"CREDITO")+SUMIFS(df_extratos!I:I,df_extratos!F:F,Conciliacao!A448,df_extratos!G:G,"CREDITO")+SUMIFS(df_extratos!I:I,df_extratos!F:F,Conciliacao!BF448,df_extratos!G:G,"CREDITO")+SUMIFS(df_extratos!I:I,df_extratos!F:F,Conciliacao!BG448,df_extratos!G:G,"CREDITO")+SUMIFS(df_extratos!I:I,df_extratos!F:F,Conciliacao!BH448,df_extratos!G:G,"CREDITO")</f>
        <v/>
      </c>
      <c r="I448" s="9">
        <f>H448-SUM(B448:G448)</f>
        <v/>
      </c>
      <c r="J448" s="4">
        <f>SUMIFS(df_blueme_sem_parcelamento!E:E,df_blueme_sem_parcelamento!H:H,Conciliacao!A448)*(-1)</f>
        <v/>
      </c>
      <c r="K448" s="4">
        <f>SUMIFS(df_blueme_com_parcelamento!J:J,df_blueme_com_parcelamento!M:M,Conciliacao!A448)*(-1)</f>
        <v/>
      </c>
      <c r="L448" s="4">
        <f>SUMIFS(df_mutuos!N:N,df_mutuos!B:B,Conciliacao!A448)*(-1)</f>
        <v/>
      </c>
      <c r="M448" s="8">
        <f>SUMIFS(df_bloqueios_judiciais!G:G,df_bloqueios_judiciais!D:D,Conciliacao!A448,df_bloqueios_judiciais!G:G,"&lt;0")</f>
        <v/>
      </c>
      <c r="N448" s="10">
        <f>SUMIFS(df_extratos!I:I,df_extratos!F:F,Conciliacao!BE448,df_extratos!G:G,"DEBITO")+SUMIFS(df_extratos!I:I,df_extratos!F:F,Conciliacao!A448,df_extratos!G:G,"DEBITO")+SUMIFS(df_extratos!I:I,df_extratos!F:F,Conciliacao!BF448,df_extratos!G:G,"DEBITO")+SUMIFS(df_extratos!I:I,df_extratos!F:F,Conciliacao!BG448,df_extratos!G:G,"DEBITO")+SUMIFS(df_extratos!I:I,df_extratos!F:F,Conciliacao!BH448,df_extratos!G:G,"DEBITO")</f>
        <v/>
      </c>
      <c r="O448" s="11">
        <f>N448-SUM(J448:M448)</f>
        <v/>
      </c>
      <c r="P448" s="25">
        <f>SUMIFS(df_ajustes_conciliaco!D:D,df_ajustes_conciliaco!C:C,Conciliacao!A448)</f>
        <v/>
      </c>
      <c r="Q448" s="22">
        <f>O448+I448-P448</f>
        <v/>
      </c>
    </row>
    <row r="449">
      <c r="A449" s="5">
        <f>A448+1</f>
        <v/>
      </c>
      <c r="B449" s="3">
        <f>-SUMIFS(df_extrato_zig!G:G,df_extrato_zig!E:E,Conciliacao!A449,df_extrato_zig!D:D,"Saque")-SUMIFS(df_extrato_zig!G:G,df_extrato_zig!E:E,Conciliacao!A449,df_extrato_zig!D:D,"Antecipação")</f>
        <v/>
      </c>
      <c r="C449" s="3">
        <f>SUMIFS(df_extrato_zig!E:E,df_extrato_zig!L:L,Conciliacao!A449,df_extrato_zig!F:F,"DINHEIRO")</f>
        <v/>
      </c>
      <c r="D449" s="3">
        <f>SUMIFS(view_parc_agrup!H:H,view_parc_agrup!G:G,Conciliacao!A449)</f>
        <v/>
      </c>
      <c r="E449" s="3">
        <f>SUMIFS(df_eventos!F:F,df_eventos!H:H,Conciliacao!A449)</f>
        <v/>
      </c>
      <c r="F449" s="3">
        <f>SUMIFS(df_mutuos!M:M,df_mutuos!B:B,Conciliacao!A449)</f>
        <v/>
      </c>
      <c r="G449" s="6">
        <f>SUMIFS(df_bloqueios_judiciais!G:G,df_bloqueios_judiciais!D:D,Conciliacao!A449,df_bloqueios_judiciais!G:G,"&gt;0")</f>
        <v/>
      </c>
      <c r="H449" s="7">
        <f>SUMIFS(df_extratos!I:I,df_extratos!F:F,Conciliacao!BE449,df_extratos!G:G,"CREDITO")+SUMIFS(df_extratos!I:I,df_extratos!F:F,Conciliacao!A449,df_extratos!G:G,"CREDITO")+SUMIFS(df_extratos!I:I,df_extratos!F:F,Conciliacao!BF449,df_extratos!G:G,"CREDITO")+SUMIFS(df_extratos!I:I,df_extratos!F:F,Conciliacao!BG449,df_extratos!G:G,"CREDITO")+SUMIFS(df_extratos!I:I,df_extratos!F:F,Conciliacao!BH449,df_extratos!G:G,"CREDITO")</f>
        <v/>
      </c>
      <c r="I449" s="9">
        <f>H449-SUM(B449:G449)</f>
        <v/>
      </c>
      <c r="J449" s="4">
        <f>SUMIFS(df_blueme_sem_parcelamento!E:E,df_blueme_sem_parcelamento!H:H,Conciliacao!A449)*(-1)</f>
        <v/>
      </c>
      <c r="K449" s="4">
        <f>SUMIFS(df_blueme_com_parcelamento!J:J,df_blueme_com_parcelamento!M:M,Conciliacao!A449)*(-1)</f>
        <v/>
      </c>
      <c r="L449" s="4">
        <f>SUMIFS(df_mutuos!N:N,df_mutuos!B:B,Conciliacao!A449)*(-1)</f>
        <v/>
      </c>
      <c r="M449" s="8">
        <f>SUMIFS(df_bloqueios_judiciais!G:G,df_bloqueios_judiciais!D:D,Conciliacao!A449,df_bloqueios_judiciais!G:G,"&lt;0")</f>
        <v/>
      </c>
      <c r="N449" s="10">
        <f>SUMIFS(df_extratos!I:I,df_extratos!F:F,Conciliacao!BE449,df_extratos!G:G,"DEBITO")+SUMIFS(df_extratos!I:I,df_extratos!F:F,Conciliacao!A449,df_extratos!G:G,"DEBITO")+SUMIFS(df_extratos!I:I,df_extratos!F:F,Conciliacao!BF449,df_extratos!G:G,"DEBITO")+SUMIFS(df_extratos!I:I,df_extratos!F:F,Conciliacao!BG449,df_extratos!G:G,"DEBITO")+SUMIFS(df_extratos!I:I,df_extratos!F:F,Conciliacao!BH449,df_extratos!G:G,"DEBITO")</f>
        <v/>
      </c>
      <c r="O449" s="11">
        <f>N449-SUM(J449:M449)</f>
        <v/>
      </c>
      <c r="P449" s="25">
        <f>SUMIFS(df_ajustes_conciliaco!D:D,df_ajustes_conciliaco!C:C,Conciliacao!A449)</f>
        <v/>
      </c>
      <c r="Q449" s="22">
        <f>O449+I449-P449</f>
        <v/>
      </c>
    </row>
    <row r="450">
      <c r="A450" s="5">
        <f>A449+1</f>
        <v/>
      </c>
      <c r="B450" s="3">
        <f>-SUMIFS(df_extrato_zig!G:G,df_extrato_zig!E:E,Conciliacao!A450,df_extrato_zig!D:D,"Saque")-SUMIFS(df_extrato_zig!G:G,df_extrato_zig!E:E,Conciliacao!A450,df_extrato_zig!D:D,"Antecipação")</f>
        <v/>
      </c>
      <c r="C450" s="3">
        <f>SUMIFS(df_extrato_zig!E:E,df_extrato_zig!L:L,Conciliacao!A450,df_extrato_zig!F:F,"DINHEIRO")</f>
        <v/>
      </c>
      <c r="D450" s="3">
        <f>SUMIFS(view_parc_agrup!H:H,view_parc_agrup!G:G,Conciliacao!A450)</f>
        <v/>
      </c>
      <c r="E450" s="3">
        <f>SUMIFS(df_eventos!F:F,df_eventos!H:H,Conciliacao!A450)</f>
        <v/>
      </c>
      <c r="F450" s="3">
        <f>SUMIFS(df_mutuos!M:M,df_mutuos!B:B,Conciliacao!A450)</f>
        <v/>
      </c>
      <c r="G450" s="6">
        <f>SUMIFS(df_bloqueios_judiciais!G:G,df_bloqueios_judiciais!D:D,Conciliacao!A450,df_bloqueios_judiciais!G:G,"&gt;0")</f>
        <v/>
      </c>
      <c r="H450" s="7">
        <f>SUMIFS(df_extratos!I:I,df_extratos!F:F,Conciliacao!BE450,df_extratos!G:G,"CREDITO")+SUMIFS(df_extratos!I:I,df_extratos!F:F,Conciliacao!A450,df_extratos!G:G,"CREDITO")+SUMIFS(df_extratos!I:I,df_extratos!F:F,Conciliacao!BF450,df_extratos!G:G,"CREDITO")+SUMIFS(df_extratos!I:I,df_extratos!F:F,Conciliacao!BG450,df_extratos!G:G,"CREDITO")+SUMIFS(df_extratos!I:I,df_extratos!F:F,Conciliacao!BH450,df_extratos!G:G,"CREDITO")</f>
        <v/>
      </c>
      <c r="I450" s="9">
        <f>H450-SUM(B450:G450)</f>
        <v/>
      </c>
      <c r="J450" s="4">
        <f>SUMIFS(df_blueme_sem_parcelamento!E:E,df_blueme_sem_parcelamento!H:H,Conciliacao!A450)*(-1)</f>
        <v/>
      </c>
      <c r="K450" s="4">
        <f>SUMIFS(df_blueme_com_parcelamento!J:J,df_blueme_com_parcelamento!M:M,Conciliacao!A450)*(-1)</f>
        <v/>
      </c>
      <c r="L450" s="4">
        <f>SUMIFS(df_mutuos!N:N,df_mutuos!B:B,Conciliacao!A450)*(-1)</f>
        <v/>
      </c>
      <c r="M450" s="8">
        <f>SUMIFS(df_bloqueios_judiciais!G:G,df_bloqueios_judiciais!D:D,Conciliacao!A450,df_bloqueios_judiciais!G:G,"&lt;0")</f>
        <v/>
      </c>
      <c r="N450" s="10">
        <f>SUMIFS(df_extratos!I:I,df_extratos!F:F,Conciliacao!BE450,df_extratos!G:G,"DEBITO")+SUMIFS(df_extratos!I:I,df_extratos!F:F,Conciliacao!A450,df_extratos!G:G,"DEBITO")+SUMIFS(df_extratos!I:I,df_extratos!F:F,Conciliacao!BF450,df_extratos!G:G,"DEBITO")+SUMIFS(df_extratos!I:I,df_extratos!F:F,Conciliacao!BG450,df_extratos!G:G,"DEBITO")+SUMIFS(df_extratos!I:I,df_extratos!F:F,Conciliacao!BH450,df_extratos!G:G,"DEBITO")</f>
        <v/>
      </c>
      <c r="O450" s="11">
        <f>N450-SUM(J450:M450)</f>
        <v/>
      </c>
      <c r="P450" s="25">
        <f>SUMIFS(df_ajustes_conciliaco!D:D,df_ajustes_conciliaco!C:C,Conciliacao!A450)</f>
        <v/>
      </c>
      <c r="Q450" s="22">
        <f>O450+I450-P450</f>
        <v/>
      </c>
    </row>
    <row r="451">
      <c r="A451" s="5">
        <f>A450+1</f>
        <v/>
      </c>
      <c r="B451" s="3">
        <f>-SUMIFS(df_extrato_zig!G:G,df_extrato_zig!E:E,Conciliacao!A451,df_extrato_zig!D:D,"Saque")-SUMIFS(df_extrato_zig!G:G,df_extrato_zig!E:E,Conciliacao!A451,df_extrato_zig!D:D,"Antecipação")</f>
        <v/>
      </c>
      <c r="C451" s="3">
        <f>SUMIFS(df_extrato_zig!E:E,df_extrato_zig!L:L,Conciliacao!A451,df_extrato_zig!F:F,"DINHEIRO")</f>
        <v/>
      </c>
      <c r="D451" s="3">
        <f>SUMIFS(view_parc_agrup!H:H,view_parc_agrup!G:G,Conciliacao!A451)</f>
        <v/>
      </c>
      <c r="E451" s="3">
        <f>SUMIFS(df_eventos!F:F,df_eventos!H:H,Conciliacao!A451)</f>
        <v/>
      </c>
      <c r="F451" s="3">
        <f>SUMIFS(df_mutuos!M:M,df_mutuos!B:B,Conciliacao!A451)</f>
        <v/>
      </c>
      <c r="G451" s="6">
        <f>SUMIFS(df_bloqueios_judiciais!G:G,df_bloqueios_judiciais!D:D,Conciliacao!A451,df_bloqueios_judiciais!G:G,"&gt;0")</f>
        <v/>
      </c>
      <c r="H451" s="7">
        <f>SUMIFS(df_extratos!I:I,df_extratos!F:F,Conciliacao!BE451,df_extratos!G:G,"CREDITO")+SUMIFS(df_extratos!I:I,df_extratos!F:F,Conciliacao!A451,df_extratos!G:G,"CREDITO")+SUMIFS(df_extratos!I:I,df_extratos!F:F,Conciliacao!BF451,df_extratos!G:G,"CREDITO")+SUMIFS(df_extratos!I:I,df_extratos!F:F,Conciliacao!BG451,df_extratos!G:G,"CREDITO")+SUMIFS(df_extratos!I:I,df_extratos!F:F,Conciliacao!BH451,df_extratos!G:G,"CREDITO")</f>
        <v/>
      </c>
      <c r="I451" s="9">
        <f>H451-SUM(B451:G451)</f>
        <v/>
      </c>
      <c r="J451" s="4">
        <f>SUMIFS(df_blueme_sem_parcelamento!E:E,df_blueme_sem_parcelamento!H:H,Conciliacao!A451)*(-1)</f>
        <v/>
      </c>
      <c r="K451" s="4">
        <f>SUMIFS(df_blueme_com_parcelamento!J:J,df_blueme_com_parcelamento!M:M,Conciliacao!A451)*(-1)</f>
        <v/>
      </c>
      <c r="L451" s="4">
        <f>SUMIFS(df_mutuos!N:N,df_mutuos!B:B,Conciliacao!A451)*(-1)</f>
        <v/>
      </c>
      <c r="M451" s="8">
        <f>SUMIFS(df_bloqueios_judiciais!G:G,df_bloqueios_judiciais!D:D,Conciliacao!A451,df_bloqueios_judiciais!G:G,"&lt;0")</f>
        <v/>
      </c>
      <c r="N451" s="10">
        <f>SUMIFS(df_extratos!I:I,df_extratos!F:F,Conciliacao!BE451,df_extratos!G:G,"DEBITO")+SUMIFS(df_extratos!I:I,df_extratos!F:F,Conciliacao!A451,df_extratos!G:G,"DEBITO")+SUMIFS(df_extratos!I:I,df_extratos!F:F,Conciliacao!BF451,df_extratos!G:G,"DEBITO")+SUMIFS(df_extratos!I:I,df_extratos!F:F,Conciliacao!BG451,df_extratos!G:G,"DEBITO")+SUMIFS(df_extratos!I:I,df_extratos!F:F,Conciliacao!BH451,df_extratos!G:G,"DEBITO")</f>
        <v/>
      </c>
      <c r="O451" s="11">
        <f>N451-SUM(J451:M451)</f>
        <v/>
      </c>
      <c r="P451" s="25">
        <f>SUMIFS(df_ajustes_conciliaco!D:D,df_ajustes_conciliaco!C:C,Conciliacao!A451)</f>
        <v/>
      </c>
      <c r="Q451" s="22">
        <f>O451+I451-P451</f>
        <v/>
      </c>
    </row>
    <row r="452">
      <c r="A452" s="5">
        <f>A451+1</f>
        <v/>
      </c>
      <c r="B452" s="3">
        <f>-SUMIFS(df_extrato_zig!G:G,df_extrato_zig!E:E,Conciliacao!A452,df_extrato_zig!D:D,"Saque")-SUMIFS(df_extrato_zig!G:G,df_extrato_zig!E:E,Conciliacao!A452,df_extrato_zig!D:D,"Antecipação")</f>
        <v/>
      </c>
      <c r="C452" s="3">
        <f>SUMIFS(df_extrato_zig!E:E,df_extrato_zig!L:L,Conciliacao!A452,df_extrato_zig!F:F,"DINHEIRO")</f>
        <v/>
      </c>
      <c r="D452" s="3">
        <f>SUMIFS(view_parc_agrup!H:H,view_parc_agrup!G:G,Conciliacao!A452)</f>
        <v/>
      </c>
      <c r="E452" s="3">
        <f>SUMIFS(df_eventos!F:F,df_eventos!H:H,Conciliacao!A452)</f>
        <v/>
      </c>
      <c r="F452" s="3">
        <f>SUMIFS(df_mutuos!M:M,df_mutuos!B:B,Conciliacao!A452)</f>
        <v/>
      </c>
      <c r="G452" s="6">
        <f>SUMIFS(df_bloqueios_judiciais!G:G,df_bloqueios_judiciais!D:D,Conciliacao!A452,df_bloqueios_judiciais!G:G,"&gt;0")</f>
        <v/>
      </c>
      <c r="H452" s="7">
        <f>SUMIFS(df_extratos!I:I,df_extratos!F:F,Conciliacao!BE452,df_extratos!G:G,"CREDITO")+SUMIFS(df_extratos!I:I,df_extratos!F:F,Conciliacao!A452,df_extratos!G:G,"CREDITO")+SUMIFS(df_extratos!I:I,df_extratos!F:F,Conciliacao!BF452,df_extratos!G:G,"CREDITO")+SUMIFS(df_extratos!I:I,df_extratos!F:F,Conciliacao!BG452,df_extratos!G:G,"CREDITO")+SUMIFS(df_extratos!I:I,df_extratos!F:F,Conciliacao!BH452,df_extratos!G:G,"CREDITO")</f>
        <v/>
      </c>
      <c r="I452" s="9">
        <f>H452-SUM(B452:G452)</f>
        <v/>
      </c>
      <c r="J452" s="4">
        <f>SUMIFS(df_blueme_sem_parcelamento!E:E,df_blueme_sem_parcelamento!H:H,Conciliacao!A452)*(-1)</f>
        <v/>
      </c>
      <c r="K452" s="4">
        <f>SUMIFS(df_blueme_com_parcelamento!J:J,df_blueme_com_parcelamento!M:M,Conciliacao!A452)*(-1)</f>
        <v/>
      </c>
      <c r="L452" s="4">
        <f>SUMIFS(df_mutuos!N:N,df_mutuos!B:B,Conciliacao!A452)*(-1)</f>
        <v/>
      </c>
      <c r="M452" s="8">
        <f>SUMIFS(df_bloqueios_judiciais!G:G,df_bloqueios_judiciais!D:D,Conciliacao!A452,df_bloqueios_judiciais!G:G,"&lt;0")</f>
        <v/>
      </c>
      <c r="N452" s="10">
        <f>SUMIFS(df_extratos!I:I,df_extratos!F:F,Conciliacao!BE452,df_extratos!G:G,"DEBITO")+SUMIFS(df_extratos!I:I,df_extratos!F:F,Conciliacao!A452,df_extratos!G:G,"DEBITO")+SUMIFS(df_extratos!I:I,df_extratos!F:F,Conciliacao!BF452,df_extratos!G:G,"DEBITO")+SUMIFS(df_extratos!I:I,df_extratos!F:F,Conciliacao!BG452,df_extratos!G:G,"DEBITO")+SUMIFS(df_extratos!I:I,df_extratos!F:F,Conciliacao!BH452,df_extratos!G:G,"DEBITO")</f>
        <v/>
      </c>
      <c r="O452" s="11">
        <f>N452-SUM(J452:M452)</f>
        <v/>
      </c>
      <c r="P452" s="25">
        <f>SUMIFS(df_ajustes_conciliaco!D:D,df_ajustes_conciliaco!C:C,Conciliacao!A452)</f>
        <v/>
      </c>
      <c r="Q452" s="22">
        <f>O452+I452-P452</f>
        <v/>
      </c>
    </row>
    <row r="453">
      <c r="A453" s="5">
        <f>A452+1</f>
        <v/>
      </c>
      <c r="B453" s="3">
        <f>-SUMIFS(df_extrato_zig!G:G,df_extrato_zig!E:E,Conciliacao!A453,df_extrato_zig!D:D,"Saque")-SUMIFS(df_extrato_zig!G:G,df_extrato_zig!E:E,Conciliacao!A453,df_extrato_zig!D:D,"Antecipação")</f>
        <v/>
      </c>
      <c r="C453" s="3">
        <f>SUMIFS(df_extrato_zig!E:E,df_extrato_zig!L:L,Conciliacao!A453,df_extrato_zig!F:F,"DINHEIRO")</f>
        <v/>
      </c>
      <c r="D453" s="3">
        <f>SUMIFS(view_parc_agrup!H:H,view_parc_agrup!G:G,Conciliacao!A453)</f>
        <v/>
      </c>
      <c r="E453" s="3">
        <f>SUMIFS(df_eventos!F:F,df_eventos!H:H,Conciliacao!A453)</f>
        <v/>
      </c>
      <c r="F453" s="3">
        <f>SUMIFS(df_mutuos!M:M,df_mutuos!B:B,Conciliacao!A453)</f>
        <v/>
      </c>
      <c r="G453" s="6">
        <f>SUMIFS(df_bloqueios_judiciais!G:G,df_bloqueios_judiciais!D:D,Conciliacao!A453,df_bloqueios_judiciais!G:G,"&gt;0")</f>
        <v/>
      </c>
      <c r="H453" s="7">
        <f>SUMIFS(df_extratos!I:I,df_extratos!F:F,Conciliacao!BE453,df_extratos!G:G,"CREDITO")+SUMIFS(df_extratos!I:I,df_extratos!F:F,Conciliacao!A453,df_extratos!G:G,"CREDITO")+SUMIFS(df_extratos!I:I,df_extratos!F:F,Conciliacao!BF453,df_extratos!G:G,"CREDITO")+SUMIFS(df_extratos!I:I,df_extratos!F:F,Conciliacao!BG453,df_extratos!G:G,"CREDITO")+SUMIFS(df_extratos!I:I,df_extratos!F:F,Conciliacao!BH453,df_extratos!G:G,"CREDITO")</f>
        <v/>
      </c>
      <c r="I453" s="9">
        <f>H453-SUM(B453:G453)</f>
        <v/>
      </c>
      <c r="J453" s="4">
        <f>SUMIFS(df_blueme_sem_parcelamento!E:E,df_blueme_sem_parcelamento!H:H,Conciliacao!A453)*(-1)</f>
        <v/>
      </c>
      <c r="K453" s="4">
        <f>SUMIFS(df_blueme_com_parcelamento!J:J,df_blueme_com_parcelamento!M:M,Conciliacao!A453)*(-1)</f>
        <v/>
      </c>
      <c r="L453" s="4">
        <f>SUMIFS(df_mutuos!N:N,df_mutuos!B:B,Conciliacao!A453)*(-1)</f>
        <v/>
      </c>
      <c r="M453" s="8">
        <f>SUMIFS(df_bloqueios_judiciais!G:G,df_bloqueios_judiciais!D:D,Conciliacao!A453,df_bloqueios_judiciais!G:G,"&lt;0")</f>
        <v/>
      </c>
      <c r="N453" s="10">
        <f>SUMIFS(df_extratos!I:I,df_extratos!F:F,Conciliacao!BE453,df_extratos!G:G,"DEBITO")+SUMIFS(df_extratos!I:I,df_extratos!F:F,Conciliacao!A453,df_extratos!G:G,"DEBITO")+SUMIFS(df_extratos!I:I,df_extratos!F:F,Conciliacao!BF453,df_extratos!G:G,"DEBITO")+SUMIFS(df_extratos!I:I,df_extratos!F:F,Conciliacao!BG453,df_extratos!G:G,"DEBITO")+SUMIFS(df_extratos!I:I,df_extratos!F:F,Conciliacao!BH453,df_extratos!G:G,"DEBITO")</f>
        <v/>
      </c>
      <c r="O453" s="11">
        <f>N453-SUM(J453:M453)</f>
        <v/>
      </c>
      <c r="P453" s="25">
        <f>SUMIFS(df_ajustes_conciliaco!D:D,df_ajustes_conciliaco!C:C,Conciliacao!A453)</f>
        <v/>
      </c>
      <c r="Q453" s="22">
        <f>O453+I453-P453</f>
        <v/>
      </c>
    </row>
    <row r="454">
      <c r="A454" s="5">
        <f>A453+1</f>
        <v/>
      </c>
      <c r="B454" s="3">
        <f>-SUMIFS(df_extrato_zig!G:G,df_extrato_zig!E:E,Conciliacao!A454,df_extrato_zig!D:D,"Saque")-SUMIFS(df_extrato_zig!G:G,df_extrato_zig!E:E,Conciliacao!A454,df_extrato_zig!D:D,"Antecipação")</f>
        <v/>
      </c>
      <c r="C454" s="3">
        <f>SUMIFS(df_extrato_zig!E:E,df_extrato_zig!L:L,Conciliacao!A454,df_extrato_zig!F:F,"DINHEIRO")</f>
        <v/>
      </c>
      <c r="D454" s="3">
        <f>SUMIFS(view_parc_agrup!H:H,view_parc_agrup!G:G,Conciliacao!A454)</f>
        <v/>
      </c>
      <c r="E454" s="3">
        <f>SUMIFS(df_eventos!F:F,df_eventos!H:H,Conciliacao!A454)</f>
        <v/>
      </c>
      <c r="F454" s="3">
        <f>SUMIFS(df_mutuos!M:M,df_mutuos!B:B,Conciliacao!A454)</f>
        <v/>
      </c>
      <c r="G454" s="6">
        <f>SUMIFS(df_bloqueios_judiciais!G:G,df_bloqueios_judiciais!D:D,Conciliacao!A454,df_bloqueios_judiciais!G:G,"&gt;0")</f>
        <v/>
      </c>
      <c r="H454" s="7">
        <f>SUMIFS(df_extratos!I:I,df_extratos!F:F,Conciliacao!BE454,df_extratos!G:G,"CREDITO")+SUMIFS(df_extratos!I:I,df_extratos!F:F,Conciliacao!A454,df_extratos!G:G,"CREDITO")+SUMIFS(df_extratos!I:I,df_extratos!F:F,Conciliacao!BF454,df_extratos!G:G,"CREDITO")+SUMIFS(df_extratos!I:I,df_extratos!F:F,Conciliacao!BG454,df_extratos!G:G,"CREDITO")+SUMIFS(df_extratos!I:I,df_extratos!F:F,Conciliacao!BH454,df_extratos!G:G,"CREDITO")</f>
        <v/>
      </c>
      <c r="I454" s="9">
        <f>H454-SUM(B454:G454)</f>
        <v/>
      </c>
      <c r="J454" s="4">
        <f>SUMIFS(df_blueme_sem_parcelamento!E:E,df_blueme_sem_parcelamento!H:H,Conciliacao!A454)*(-1)</f>
        <v/>
      </c>
      <c r="K454" s="4">
        <f>SUMIFS(df_blueme_com_parcelamento!J:J,df_blueme_com_parcelamento!M:M,Conciliacao!A454)*(-1)</f>
        <v/>
      </c>
      <c r="L454" s="4">
        <f>SUMIFS(df_mutuos!N:N,df_mutuos!B:B,Conciliacao!A454)*(-1)</f>
        <v/>
      </c>
      <c r="M454" s="8">
        <f>SUMIFS(df_bloqueios_judiciais!G:G,df_bloqueios_judiciais!D:D,Conciliacao!A454,df_bloqueios_judiciais!G:G,"&lt;0")</f>
        <v/>
      </c>
      <c r="N454" s="10">
        <f>SUMIFS(df_extratos!I:I,df_extratos!F:F,Conciliacao!BE454,df_extratos!G:G,"DEBITO")+SUMIFS(df_extratos!I:I,df_extratos!F:F,Conciliacao!A454,df_extratos!G:G,"DEBITO")+SUMIFS(df_extratos!I:I,df_extratos!F:F,Conciliacao!BF454,df_extratos!G:G,"DEBITO")+SUMIFS(df_extratos!I:I,df_extratos!F:F,Conciliacao!BG454,df_extratos!G:G,"DEBITO")+SUMIFS(df_extratos!I:I,df_extratos!F:F,Conciliacao!BH454,df_extratos!G:G,"DEBITO")</f>
        <v/>
      </c>
      <c r="O454" s="11">
        <f>N454-SUM(J454:M454)</f>
        <v/>
      </c>
      <c r="P454" s="25">
        <f>SUMIFS(df_ajustes_conciliaco!D:D,df_ajustes_conciliaco!C:C,Conciliacao!A454)</f>
        <v/>
      </c>
      <c r="Q454" s="22">
        <f>O454+I454-P454</f>
        <v/>
      </c>
    </row>
    <row r="455">
      <c r="A455" s="5">
        <f>A454+1</f>
        <v/>
      </c>
      <c r="B455" s="3">
        <f>-SUMIFS(df_extrato_zig!G:G,df_extrato_zig!E:E,Conciliacao!A455,df_extrato_zig!D:D,"Saque")-SUMIFS(df_extrato_zig!G:G,df_extrato_zig!E:E,Conciliacao!A455,df_extrato_zig!D:D,"Antecipação")</f>
        <v/>
      </c>
      <c r="C455" s="3">
        <f>SUMIFS(df_extrato_zig!E:E,df_extrato_zig!L:L,Conciliacao!A455,df_extrato_zig!F:F,"DINHEIRO")</f>
        <v/>
      </c>
      <c r="D455" s="3">
        <f>SUMIFS(view_parc_agrup!H:H,view_parc_agrup!G:G,Conciliacao!A455)</f>
        <v/>
      </c>
      <c r="E455" s="3">
        <f>SUMIFS(df_eventos!F:F,df_eventos!H:H,Conciliacao!A455)</f>
        <v/>
      </c>
      <c r="F455" s="3">
        <f>SUMIFS(df_mutuos!M:M,df_mutuos!B:B,Conciliacao!A455)</f>
        <v/>
      </c>
      <c r="G455" s="6">
        <f>SUMIFS(df_bloqueios_judiciais!G:G,df_bloqueios_judiciais!D:D,Conciliacao!A455,df_bloqueios_judiciais!G:G,"&gt;0")</f>
        <v/>
      </c>
      <c r="H455" s="7">
        <f>SUMIFS(df_extratos!I:I,df_extratos!F:F,Conciliacao!BE455,df_extratos!G:G,"CREDITO")+SUMIFS(df_extratos!I:I,df_extratos!F:F,Conciliacao!A455,df_extratos!G:G,"CREDITO")+SUMIFS(df_extratos!I:I,df_extratos!F:F,Conciliacao!BF455,df_extratos!G:G,"CREDITO")+SUMIFS(df_extratos!I:I,df_extratos!F:F,Conciliacao!BG455,df_extratos!G:G,"CREDITO")+SUMIFS(df_extratos!I:I,df_extratos!F:F,Conciliacao!BH455,df_extratos!G:G,"CREDITO")</f>
        <v/>
      </c>
      <c r="I455" s="9">
        <f>H455-SUM(B455:G455)</f>
        <v/>
      </c>
      <c r="J455" s="4">
        <f>SUMIFS(df_blueme_sem_parcelamento!E:E,df_blueme_sem_parcelamento!H:H,Conciliacao!A455)*(-1)</f>
        <v/>
      </c>
      <c r="K455" s="4">
        <f>SUMIFS(df_blueme_com_parcelamento!J:J,df_blueme_com_parcelamento!M:M,Conciliacao!A455)*(-1)</f>
        <v/>
      </c>
      <c r="L455" s="4">
        <f>SUMIFS(df_mutuos!N:N,df_mutuos!B:B,Conciliacao!A455)*(-1)</f>
        <v/>
      </c>
      <c r="M455" s="8">
        <f>SUMIFS(df_bloqueios_judiciais!G:G,df_bloqueios_judiciais!D:D,Conciliacao!A455,df_bloqueios_judiciais!G:G,"&lt;0")</f>
        <v/>
      </c>
      <c r="N455" s="10">
        <f>SUMIFS(df_extratos!I:I,df_extratos!F:F,Conciliacao!BE455,df_extratos!G:G,"DEBITO")+SUMIFS(df_extratos!I:I,df_extratos!F:F,Conciliacao!A455,df_extratos!G:G,"DEBITO")+SUMIFS(df_extratos!I:I,df_extratos!F:F,Conciliacao!BF455,df_extratos!G:G,"DEBITO")+SUMIFS(df_extratos!I:I,df_extratos!F:F,Conciliacao!BG455,df_extratos!G:G,"DEBITO")+SUMIFS(df_extratos!I:I,df_extratos!F:F,Conciliacao!BH455,df_extratos!G:G,"DEBITO")</f>
        <v/>
      </c>
      <c r="O455" s="11">
        <f>N455-SUM(J455:M455)</f>
        <v/>
      </c>
      <c r="P455" s="25">
        <f>SUMIFS(df_ajustes_conciliaco!D:D,df_ajustes_conciliaco!C:C,Conciliacao!A455)</f>
        <v/>
      </c>
      <c r="Q455" s="22">
        <f>O455+I455-P455</f>
        <v/>
      </c>
    </row>
    <row r="456">
      <c r="A456" s="5">
        <f>A455+1</f>
        <v/>
      </c>
      <c r="B456" s="3">
        <f>-SUMIFS(df_extrato_zig!G:G,df_extrato_zig!E:E,Conciliacao!A456,df_extrato_zig!D:D,"Saque")-SUMIFS(df_extrato_zig!G:G,df_extrato_zig!E:E,Conciliacao!A456,df_extrato_zig!D:D,"Antecipação")</f>
        <v/>
      </c>
      <c r="C456" s="3">
        <f>SUMIFS(df_extrato_zig!E:E,df_extrato_zig!L:L,Conciliacao!A456,df_extrato_zig!F:F,"DINHEIRO")</f>
        <v/>
      </c>
      <c r="D456" s="3">
        <f>SUMIFS(view_parc_agrup!H:H,view_parc_agrup!G:G,Conciliacao!A456)</f>
        <v/>
      </c>
      <c r="E456" s="3">
        <f>SUMIFS(df_eventos!F:F,df_eventos!H:H,Conciliacao!A456)</f>
        <v/>
      </c>
      <c r="F456" s="3">
        <f>SUMIFS(df_mutuos!M:M,df_mutuos!B:B,Conciliacao!A456)</f>
        <v/>
      </c>
      <c r="G456" s="6">
        <f>SUMIFS(df_bloqueios_judiciais!G:G,df_bloqueios_judiciais!D:D,Conciliacao!A456,df_bloqueios_judiciais!G:G,"&gt;0")</f>
        <v/>
      </c>
      <c r="H456" s="7">
        <f>SUMIFS(df_extratos!I:I,df_extratos!F:F,Conciliacao!BE456,df_extratos!G:G,"CREDITO")+SUMIFS(df_extratos!I:I,df_extratos!F:F,Conciliacao!A456,df_extratos!G:G,"CREDITO")+SUMIFS(df_extratos!I:I,df_extratos!F:F,Conciliacao!BF456,df_extratos!G:G,"CREDITO")+SUMIFS(df_extratos!I:I,df_extratos!F:F,Conciliacao!BG456,df_extratos!G:G,"CREDITO")+SUMIFS(df_extratos!I:I,df_extratos!F:F,Conciliacao!BH456,df_extratos!G:G,"CREDITO")</f>
        <v/>
      </c>
      <c r="I456" s="9">
        <f>H456-SUM(B456:G456)</f>
        <v/>
      </c>
      <c r="J456" s="4">
        <f>SUMIFS(df_blueme_sem_parcelamento!E:E,df_blueme_sem_parcelamento!H:H,Conciliacao!A456)*(-1)</f>
        <v/>
      </c>
      <c r="K456" s="4">
        <f>SUMIFS(df_blueme_com_parcelamento!J:J,df_blueme_com_parcelamento!M:M,Conciliacao!A456)*(-1)</f>
        <v/>
      </c>
      <c r="L456" s="4">
        <f>SUMIFS(df_mutuos!N:N,df_mutuos!B:B,Conciliacao!A456)*(-1)</f>
        <v/>
      </c>
      <c r="M456" s="8">
        <f>SUMIFS(df_bloqueios_judiciais!G:G,df_bloqueios_judiciais!D:D,Conciliacao!A456,df_bloqueios_judiciais!G:G,"&lt;0")</f>
        <v/>
      </c>
      <c r="N456" s="10">
        <f>SUMIFS(df_extratos!I:I,df_extratos!F:F,Conciliacao!BE456,df_extratos!G:G,"DEBITO")+SUMIFS(df_extratos!I:I,df_extratos!F:F,Conciliacao!A456,df_extratos!G:G,"DEBITO")+SUMIFS(df_extratos!I:I,df_extratos!F:F,Conciliacao!BF456,df_extratos!G:G,"DEBITO")+SUMIFS(df_extratos!I:I,df_extratos!F:F,Conciliacao!BG456,df_extratos!G:G,"DEBITO")+SUMIFS(df_extratos!I:I,df_extratos!F:F,Conciliacao!BH456,df_extratos!G:G,"DEBITO")</f>
        <v/>
      </c>
      <c r="O456" s="11">
        <f>N456-SUM(J456:M456)</f>
        <v/>
      </c>
      <c r="P456" s="25">
        <f>SUMIFS(df_ajustes_conciliaco!D:D,df_ajustes_conciliaco!C:C,Conciliacao!A456)</f>
        <v/>
      </c>
      <c r="Q456" s="22">
        <f>O456+I456-P456</f>
        <v/>
      </c>
    </row>
    <row r="457">
      <c r="A457" s="5">
        <f>A456+1</f>
        <v/>
      </c>
      <c r="B457" s="3">
        <f>-SUMIFS(df_extrato_zig!G:G,df_extrato_zig!E:E,Conciliacao!A457,df_extrato_zig!D:D,"Saque")-SUMIFS(df_extrato_zig!G:G,df_extrato_zig!E:E,Conciliacao!A457,df_extrato_zig!D:D,"Antecipação")</f>
        <v/>
      </c>
      <c r="C457" s="3">
        <f>SUMIFS(df_extrato_zig!E:E,df_extrato_zig!L:L,Conciliacao!A457,df_extrato_zig!F:F,"DINHEIRO")</f>
        <v/>
      </c>
      <c r="D457" s="3">
        <f>SUMIFS(view_parc_agrup!H:H,view_parc_agrup!G:G,Conciliacao!A457)</f>
        <v/>
      </c>
      <c r="E457" s="3">
        <f>SUMIFS(df_eventos!F:F,df_eventos!H:H,Conciliacao!A457)</f>
        <v/>
      </c>
      <c r="F457" s="3">
        <f>SUMIFS(df_mutuos!M:M,df_mutuos!B:B,Conciliacao!A457)</f>
        <v/>
      </c>
      <c r="G457" s="6">
        <f>SUMIFS(df_bloqueios_judiciais!G:G,df_bloqueios_judiciais!D:D,Conciliacao!A457,df_bloqueios_judiciais!G:G,"&gt;0")</f>
        <v/>
      </c>
      <c r="H457" s="7">
        <f>SUMIFS(df_extratos!I:I,df_extratos!F:F,Conciliacao!BE457,df_extratos!G:G,"CREDITO")+SUMIFS(df_extratos!I:I,df_extratos!F:F,Conciliacao!A457,df_extratos!G:G,"CREDITO")+SUMIFS(df_extratos!I:I,df_extratos!F:F,Conciliacao!BF457,df_extratos!G:G,"CREDITO")+SUMIFS(df_extratos!I:I,df_extratos!F:F,Conciliacao!BG457,df_extratos!G:G,"CREDITO")+SUMIFS(df_extratos!I:I,df_extratos!F:F,Conciliacao!BH457,df_extratos!G:G,"CREDITO")</f>
        <v/>
      </c>
      <c r="I457" s="9">
        <f>H457-SUM(B457:G457)</f>
        <v/>
      </c>
      <c r="J457" s="4">
        <f>SUMIFS(df_blueme_sem_parcelamento!E:E,df_blueme_sem_parcelamento!H:H,Conciliacao!A457)*(-1)</f>
        <v/>
      </c>
      <c r="K457" s="4">
        <f>SUMIFS(df_blueme_com_parcelamento!J:J,df_blueme_com_parcelamento!M:M,Conciliacao!A457)*(-1)</f>
        <v/>
      </c>
      <c r="L457" s="4">
        <f>SUMIFS(df_mutuos!N:N,df_mutuos!B:B,Conciliacao!A457)*(-1)</f>
        <v/>
      </c>
      <c r="M457" s="8">
        <f>SUMIFS(df_bloqueios_judiciais!G:G,df_bloqueios_judiciais!D:D,Conciliacao!A457,df_bloqueios_judiciais!G:G,"&lt;0")</f>
        <v/>
      </c>
      <c r="N457" s="10">
        <f>SUMIFS(df_extratos!I:I,df_extratos!F:F,Conciliacao!BE457,df_extratos!G:G,"DEBITO")+SUMIFS(df_extratos!I:I,df_extratos!F:F,Conciliacao!A457,df_extratos!G:G,"DEBITO")+SUMIFS(df_extratos!I:I,df_extratos!F:F,Conciliacao!BF457,df_extratos!G:G,"DEBITO")+SUMIFS(df_extratos!I:I,df_extratos!F:F,Conciliacao!BG457,df_extratos!G:G,"DEBITO")+SUMIFS(df_extratos!I:I,df_extratos!F:F,Conciliacao!BH457,df_extratos!G:G,"DEBITO")</f>
        <v/>
      </c>
      <c r="O457" s="11">
        <f>N457-SUM(J457:M457)</f>
        <v/>
      </c>
      <c r="P457" s="25">
        <f>SUMIFS(df_ajustes_conciliaco!D:D,df_ajustes_conciliaco!C:C,Conciliacao!A457)</f>
        <v/>
      </c>
      <c r="Q457" s="22">
        <f>O457+I457-P457</f>
        <v/>
      </c>
    </row>
    <row r="458">
      <c r="A458" s="5">
        <f>A457+1</f>
        <v/>
      </c>
      <c r="B458" s="3">
        <f>-SUMIFS(df_extrato_zig!G:G,df_extrato_zig!E:E,Conciliacao!A458,df_extrato_zig!D:D,"Saque")-SUMIFS(df_extrato_zig!G:G,df_extrato_zig!E:E,Conciliacao!A458,df_extrato_zig!D:D,"Antecipação")</f>
        <v/>
      </c>
      <c r="C458" s="3">
        <f>SUMIFS(df_extrato_zig!E:E,df_extrato_zig!L:L,Conciliacao!A458,df_extrato_zig!F:F,"DINHEIRO")</f>
        <v/>
      </c>
      <c r="D458" s="3">
        <f>SUMIFS(view_parc_agrup!H:H,view_parc_agrup!G:G,Conciliacao!A458)</f>
        <v/>
      </c>
      <c r="E458" s="3">
        <f>SUMIFS(df_eventos!F:F,df_eventos!H:H,Conciliacao!A458)</f>
        <v/>
      </c>
      <c r="F458" s="3">
        <f>SUMIFS(df_mutuos!M:M,df_mutuos!B:B,Conciliacao!A458)</f>
        <v/>
      </c>
      <c r="G458" s="6">
        <f>SUMIFS(df_bloqueios_judiciais!G:G,df_bloqueios_judiciais!D:D,Conciliacao!A458,df_bloqueios_judiciais!G:G,"&gt;0")</f>
        <v/>
      </c>
      <c r="H458" s="7">
        <f>SUMIFS(df_extratos!I:I,df_extratos!F:F,Conciliacao!BE458,df_extratos!G:G,"CREDITO")+SUMIFS(df_extratos!I:I,df_extratos!F:F,Conciliacao!A458,df_extratos!G:G,"CREDITO")+SUMIFS(df_extratos!I:I,df_extratos!F:F,Conciliacao!BF458,df_extratos!G:G,"CREDITO")+SUMIFS(df_extratos!I:I,df_extratos!F:F,Conciliacao!BG458,df_extratos!G:G,"CREDITO")+SUMIFS(df_extratos!I:I,df_extratos!F:F,Conciliacao!BH458,df_extratos!G:G,"CREDITO")</f>
        <v/>
      </c>
      <c r="I458" s="9">
        <f>H458-SUM(B458:G458)</f>
        <v/>
      </c>
      <c r="J458" s="4">
        <f>SUMIFS(df_blueme_sem_parcelamento!E:E,df_blueme_sem_parcelamento!H:H,Conciliacao!A458)*(-1)</f>
        <v/>
      </c>
      <c r="K458" s="4">
        <f>SUMIFS(df_blueme_com_parcelamento!J:J,df_blueme_com_parcelamento!M:M,Conciliacao!A458)*(-1)</f>
        <v/>
      </c>
      <c r="L458" s="4">
        <f>SUMIFS(df_mutuos!N:N,df_mutuos!B:B,Conciliacao!A458)*(-1)</f>
        <v/>
      </c>
      <c r="M458" s="8">
        <f>SUMIFS(df_bloqueios_judiciais!G:G,df_bloqueios_judiciais!D:D,Conciliacao!A458,df_bloqueios_judiciais!G:G,"&lt;0")</f>
        <v/>
      </c>
      <c r="N458" s="10">
        <f>SUMIFS(df_extratos!I:I,df_extratos!F:F,Conciliacao!BE458,df_extratos!G:G,"DEBITO")+SUMIFS(df_extratos!I:I,df_extratos!F:F,Conciliacao!A458,df_extratos!G:G,"DEBITO")+SUMIFS(df_extratos!I:I,df_extratos!F:F,Conciliacao!BF458,df_extratos!G:G,"DEBITO")+SUMIFS(df_extratos!I:I,df_extratos!F:F,Conciliacao!BG458,df_extratos!G:G,"DEBITO")+SUMIFS(df_extratos!I:I,df_extratos!F:F,Conciliacao!BH458,df_extratos!G:G,"DEBITO")</f>
        <v/>
      </c>
      <c r="O458" s="11">
        <f>N458-SUM(J458:M458)</f>
        <v/>
      </c>
      <c r="P458" s="25">
        <f>SUMIFS(df_ajustes_conciliaco!D:D,df_ajustes_conciliaco!C:C,Conciliacao!A458)</f>
        <v/>
      </c>
      <c r="Q458" s="22">
        <f>O458+I458-P458</f>
        <v/>
      </c>
    </row>
    <row r="459">
      <c r="A459" s="5">
        <f>A458+1</f>
        <v/>
      </c>
      <c r="B459" s="3">
        <f>-SUMIFS(df_extrato_zig!G:G,df_extrato_zig!E:E,Conciliacao!A459,df_extrato_zig!D:D,"Saque")-SUMIFS(df_extrato_zig!G:G,df_extrato_zig!E:E,Conciliacao!A459,df_extrato_zig!D:D,"Antecipação")</f>
        <v/>
      </c>
      <c r="C459" s="3">
        <f>SUMIFS(df_extrato_zig!E:E,df_extrato_zig!L:L,Conciliacao!A459,df_extrato_zig!F:F,"DINHEIRO")</f>
        <v/>
      </c>
      <c r="D459" s="3">
        <f>SUMIFS(view_parc_agrup!H:H,view_parc_agrup!G:G,Conciliacao!A459)</f>
        <v/>
      </c>
      <c r="E459" s="3">
        <f>SUMIFS(df_eventos!F:F,df_eventos!H:H,Conciliacao!A459)</f>
        <v/>
      </c>
      <c r="F459" s="3">
        <f>SUMIFS(df_mutuos!M:M,df_mutuos!B:B,Conciliacao!A459)</f>
        <v/>
      </c>
      <c r="G459" s="6">
        <f>SUMIFS(df_bloqueios_judiciais!G:G,df_bloqueios_judiciais!D:D,Conciliacao!A459,df_bloqueios_judiciais!G:G,"&gt;0")</f>
        <v/>
      </c>
      <c r="H459" s="7">
        <f>SUMIFS(df_extratos!I:I,df_extratos!F:F,Conciliacao!BE459,df_extratos!G:G,"CREDITO")+SUMIFS(df_extratos!I:I,df_extratos!F:F,Conciliacao!A459,df_extratos!G:G,"CREDITO")+SUMIFS(df_extratos!I:I,df_extratos!F:F,Conciliacao!BF459,df_extratos!G:G,"CREDITO")+SUMIFS(df_extratos!I:I,df_extratos!F:F,Conciliacao!BG459,df_extratos!G:G,"CREDITO")+SUMIFS(df_extratos!I:I,df_extratos!F:F,Conciliacao!BH459,df_extratos!G:G,"CREDITO")</f>
        <v/>
      </c>
      <c r="I459" s="9">
        <f>H459-SUM(B459:G459)</f>
        <v/>
      </c>
      <c r="J459" s="4">
        <f>SUMIFS(df_blueme_sem_parcelamento!E:E,df_blueme_sem_parcelamento!H:H,Conciliacao!A459)*(-1)</f>
        <v/>
      </c>
      <c r="K459" s="4">
        <f>SUMIFS(df_blueme_com_parcelamento!J:J,df_blueme_com_parcelamento!M:M,Conciliacao!A459)*(-1)</f>
        <v/>
      </c>
      <c r="L459" s="4">
        <f>SUMIFS(df_mutuos!N:N,df_mutuos!B:B,Conciliacao!A459)*(-1)</f>
        <v/>
      </c>
      <c r="M459" s="8">
        <f>SUMIFS(df_bloqueios_judiciais!G:G,df_bloqueios_judiciais!D:D,Conciliacao!A459,df_bloqueios_judiciais!G:G,"&lt;0")</f>
        <v/>
      </c>
      <c r="N459" s="10">
        <f>SUMIFS(df_extratos!I:I,df_extratos!F:F,Conciliacao!BE459,df_extratos!G:G,"DEBITO")+SUMIFS(df_extratos!I:I,df_extratos!F:F,Conciliacao!A459,df_extratos!G:G,"DEBITO")+SUMIFS(df_extratos!I:I,df_extratos!F:F,Conciliacao!BF459,df_extratos!G:G,"DEBITO")+SUMIFS(df_extratos!I:I,df_extratos!F:F,Conciliacao!BG459,df_extratos!G:G,"DEBITO")+SUMIFS(df_extratos!I:I,df_extratos!F:F,Conciliacao!BH459,df_extratos!G:G,"DEBITO")</f>
        <v/>
      </c>
      <c r="O459" s="11">
        <f>N459-SUM(J459:M459)</f>
        <v/>
      </c>
      <c r="P459" s="25">
        <f>SUMIFS(df_ajustes_conciliaco!D:D,df_ajustes_conciliaco!C:C,Conciliacao!A459)</f>
        <v/>
      </c>
      <c r="Q459" s="22">
        <f>O459+I459-P459</f>
        <v/>
      </c>
    </row>
    <row r="460">
      <c r="A460" s="5">
        <f>A459+1</f>
        <v/>
      </c>
      <c r="B460" s="3">
        <f>-SUMIFS(df_extrato_zig!G:G,df_extrato_zig!E:E,Conciliacao!A460,df_extrato_zig!D:D,"Saque")-SUMIFS(df_extrato_zig!G:G,df_extrato_zig!E:E,Conciliacao!A460,df_extrato_zig!D:D,"Antecipação")</f>
        <v/>
      </c>
      <c r="C460" s="3">
        <f>SUMIFS(df_extrato_zig!E:E,df_extrato_zig!L:L,Conciliacao!A460,df_extrato_zig!F:F,"DINHEIRO")</f>
        <v/>
      </c>
      <c r="D460" s="3">
        <f>SUMIFS(view_parc_agrup!H:H,view_parc_agrup!G:G,Conciliacao!A460)</f>
        <v/>
      </c>
      <c r="E460" s="3">
        <f>SUMIFS(df_eventos!F:F,df_eventos!H:H,Conciliacao!A460)</f>
        <v/>
      </c>
      <c r="F460" s="3">
        <f>SUMIFS(df_mutuos!M:M,df_mutuos!B:B,Conciliacao!A460)</f>
        <v/>
      </c>
      <c r="G460" s="6">
        <f>SUMIFS(df_bloqueios_judiciais!G:G,df_bloqueios_judiciais!D:D,Conciliacao!A460,df_bloqueios_judiciais!G:G,"&gt;0")</f>
        <v/>
      </c>
      <c r="H460" s="7">
        <f>SUMIFS(df_extratos!I:I,df_extratos!F:F,Conciliacao!BE460,df_extratos!G:G,"CREDITO")+SUMIFS(df_extratos!I:I,df_extratos!F:F,Conciliacao!A460,df_extratos!G:G,"CREDITO")+SUMIFS(df_extratos!I:I,df_extratos!F:F,Conciliacao!BF460,df_extratos!G:G,"CREDITO")+SUMIFS(df_extratos!I:I,df_extratos!F:F,Conciliacao!BG460,df_extratos!G:G,"CREDITO")+SUMIFS(df_extratos!I:I,df_extratos!F:F,Conciliacao!BH460,df_extratos!G:G,"CREDITO")</f>
        <v/>
      </c>
      <c r="I460" s="9">
        <f>H460-SUM(B460:G460)</f>
        <v/>
      </c>
      <c r="J460" s="4">
        <f>SUMIFS(df_blueme_sem_parcelamento!E:E,df_blueme_sem_parcelamento!H:H,Conciliacao!A460)*(-1)</f>
        <v/>
      </c>
      <c r="K460" s="4">
        <f>SUMIFS(df_blueme_com_parcelamento!J:J,df_blueme_com_parcelamento!M:M,Conciliacao!A460)*(-1)</f>
        <v/>
      </c>
      <c r="L460" s="4">
        <f>SUMIFS(df_mutuos!N:N,df_mutuos!B:B,Conciliacao!A460)*(-1)</f>
        <v/>
      </c>
      <c r="M460" s="8">
        <f>SUMIFS(df_bloqueios_judiciais!G:G,df_bloqueios_judiciais!D:D,Conciliacao!A460,df_bloqueios_judiciais!G:G,"&lt;0")</f>
        <v/>
      </c>
      <c r="N460" s="10">
        <f>SUMIFS(df_extratos!I:I,df_extratos!F:F,Conciliacao!BE460,df_extratos!G:G,"DEBITO")+SUMIFS(df_extratos!I:I,df_extratos!F:F,Conciliacao!A460,df_extratos!G:G,"DEBITO")+SUMIFS(df_extratos!I:I,df_extratos!F:F,Conciliacao!BF460,df_extratos!G:G,"DEBITO")+SUMIFS(df_extratos!I:I,df_extratos!F:F,Conciliacao!BG460,df_extratos!G:G,"DEBITO")+SUMIFS(df_extratos!I:I,df_extratos!F:F,Conciliacao!BH460,df_extratos!G:G,"DEBITO")</f>
        <v/>
      </c>
      <c r="O460" s="11">
        <f>N460-SUM(J460:M460)</f>
        <v/>
      </c>
      <c r="P460" s="25">
        <f>SUMIFS(df_ajustes_conciliaco!D:D,df_ajustes_conciliaco!C:C,Conciliacao!A460)</f>
        <v/>
      </c>
      <c r="Q460" s="22">
        <f>O460+I460-P460</f>
        <v/>
      </c>
    </row>
    <row r="461">
      <c r="A461" s="5">
        <f>A460+1</f>
        <v/>
      </c>
      <c r="B461" s="3">
        <f>-SUMIFS(df_extrato_zig!G:G,df_extrato_zig!E:E,Conciliacao!A461,df_extrato_zig!D:D,"Saque")-SUMIFS(df_extrato_zig!G:G,df_extrato_zig!E:E,Conciliacao!A461,df_extrato_zig!D:D,"Antecipação")</f>
        <v/>
      </c>
      <c r="C461" s="3">
        <f>SUMIFS(df_extrato_zig!E:E,df_extrato_zig!L:L,Conciliacao!A461,df_extrato_zig!F:F,"DINHEIRO")</f>
        <v/>
      </c>
      <c r="D461" s="3">
        <f>SUMIFS(view_parc_agrup!H:H,view_parc_agrup!G:G,Conciliacao!A461)</f>
        <v/>
      </c>
      <c r="E461" s="3">
        <f>SUMIFS(df_eventos!F:F,df_eventos!H:H,Conciliacao!A461)</f>
        <v/>
      </c>
      <c r="F461" s="3">
        <f>SUMIFS(df_mutuos!M:M,df_mutuos!B:B,Conciliacao!A461)</f>
        <v/>
      </c>
      <c r="G461" s="6">
        <f>SUMIFS(df_bloqueios_judiciais!G:G,df_bloqueios_judiciais!D:D,Conciliacao!A461,df_bloqueios_judiciais!G:G,"&gt;0")</f>
        <v/>
      </c>
      <c r="H461" s="7">
        <f>SUMIFS(df_extratos!I:I,df_extratos!F:F,Conciliacao!BE461,df_extratos!G:G,"CREDITO")+SUMIFS(df_extratos!I:I,df_extratos!F:F,Conciliacao!A461,df_extratos!G:G,"CREDITO")+SUMIFS(df_extratos!I:I,df_extratos!F:F,Conciliacao!BF461,df_extratos!G:G,"CREDITO")+SUMIFS(df_extratos!I:I,df_extratos!F:F,Conciliacao!BG461,df_extratos!G:G,"CREDITO")+SUMIFS(df_extratos!I:I,df_extratos!F:F,Conciliacao!BH461,df_extratos!G:G,"CREDITO")</f>
        <v/>
      </c>
      <c r="I461" s="9">
        <f>H461-SUM(B461:G461)</f>
        <v/>
      </c>
      <c r="J461" s="4">
        <f>SUMIFS(df_blueme_sem_parcelamento!E:E,df_blueme_sem_parcelamento!H:H,Conciliacao!A461)*(-1)</f>
        <v/>
      </c>
      <c r="K461" s="4">
        <f>SUMIFS(df_blueme_com_parcelamento!J:J,df_blueme_com_parcelamento!M:M,Conciliacao!A461)*(-1)</f>
        <v/>
      </c>
      <c r="L461" s="4">
        <f>SUMIFS(df_mutuos!N:N,df_mutuos!B:B,Conciliacao!A461)*(-1)</f>
        <v/>
      </c>
      <c r="M461" s="8">
        <f>SUMIFS(df_bloqueios_judiciais!G:G,df_bloqueios_judiciais!D:D,Conciliacao!A461,df_bloqueios_judiciais!G:G,"&lt;0")</f>
        <v/>
      </c>
      <c r="N461" s="10">
        <f>SUMIFS(df_extratos!I:I,df_extratos!F:F,Conciliacao!BE461,df_extratos!G:G,"DEBITO")+SUMIFS(df_extratos!I:I,df_extratos!F:F,Conciliacao!A461,df_extratos!G:G,"DEBITO")+SUMIFS(df_extratos!I:I,df_extratos!F:F,Conciliacao!BF461,df_extratos!G:G,"DEBITO")+SUMIFS(df_extratos!I:I,df_extratos!F:F,Conciliacao!BG461,df_extratos!G:G,"DEBITO")+SUMIFS(df_extratos!I:I,df_extratos!F:F,Conciliacao!BH461,df_extratos!G:G,"DEBITO")</f>
        <v/>
      </c>
      <c r="O461" s="11">
        <f>N461-SUM(J461:M461)</f>
        <v/>
      </c>
      <c r="P461" s="25">
        <f>SUMIFS(df_ajustes_conciliaco!D:D,df_ajustes_conciliaco!C:C,Conciliacao!A461)</f>
        <v/>
      </c>
      <c r="Q461" s="22">
        <f>O461+I461-P461</f>
        <v/>
      </c>
    </row>
    <row r="462">
      <c r="A462" s="5">
        <f>A461+1</f>
        <v/>
      </c>
      <c r="B462" s="3">
        <f>-SUMIFS(df_extrato_zig!G:G,df_extrato_zig!E:E,Conciliacao!A462,df_extrato_zig!D:D,"Saque")-SUMIFS(df_extrato_zig!G:G,df_extrato_zig!E:E,Conciliacao!A462,df_extrato_zig!D:D,"Antecipação")</f>
        <v/>
      </c>
      <c r="C462" s="3">
        <f>SUMIFS(df_extrato_zig!E:E,df_extrato_zig!L:L,Conciliacao!A462,df_extrato_zig!F:F,"DINHEIRO")</f>
        <v/>
      </c>
      <c r="D462" s="3">
        <f>SUMIFS(view_parc_agrup!H:H,view_parc_agrup!G:G,Conciliacao!A462)</f>
        <v/>
      </c>
      <c r="E462" s="3">
        <f>SUMIFS(df_eventos!F:F,df_eventos!H:H,Conciliacao!A462)</f>
        <v/>
      </c>
      <c r="F462" s="3">
        <f>SUMIFS(df_mutuos!M:M,df_mutuos!B:B,Conciliacao!A462)</f>
        <v/>
      </c>
      <c r="G462" s="6">
        <f>SUMIFS(df_bloqueios_judiciais!G:G,df_bloqueios_judiciais!D:D,Conciliacao!A462,df_bloqueios_judiciais!G:G,"&gt;0")</f>
        <v/>
      </c>
      <c r="H462" s="7">
        <f>SUMIFS(df_extratos!I:I,df_extratos!F:F,Conciliacao!BE462,df_extratos!G:G,"CREDITO")+SUMIFS(df_extratos!I:I,df_extratos!F:F,Conciliacao!A462,df_extratos!G:G,"CREDITO")+SUMIFS(df_extratos!I:I,df_extratos!F:F,Conciliacao!BF462,df_extratos!G:G,"CREDITO")+SUMIFS(df_extratos!I:I,df_extratos!F:F,Conciliacao!BG462,df_extratos!G:G,"CREDITO")+SUMIFS(df_extratos!I:I,df_extratos!F:F,Conciliacao!BH462,df_extratos!G:G,"CREDITO")</f>
        <v/>
      </c>
      <c r="I462" s="9">
        <f>H462-SUM(B462:G462)</f>
        <v/>
      </c>
      <c r="J462" s="4">
        <f>SUMIFS(df_blueme_sem_parcelamento!E:E,df_blueme_sem_parcelamento!H:H,Conciliacao!A462)*(-1)</f>
        <v/>
      </c>
      <c r="K462" s="4">
        <f>SUMIFS(df_blueme_com_parcelamento!J:J,df_blueme_com_parcelamento!M:M,Conciliacao!A462)*(-1)</f>
        <v/>
      </c>
      <c r="L462" s="4">
        <f>SUMIFS(df_mutuos!N:N,df_mutuos!B:B,Conciliacao!A462)*(-1)</f>
        <v/>
      </c>
      <c r="M462" s="8">
        <f>SUMIFS(df_bloqueios_judiciais!G:G,df_bloqueios_judiciais!D:D,Conciliacao!A462,df_bloqueios_judiciais!G:G,"&lt;0")</f>
        <v/>
      </c>
      <c r="N462" s="10">
        <f>SUMIFS(df_extratos!I:I,df_extratos!F:F,Conciliacao!BE462,df_extratos!G:G,"DEBITO")+SUMIFS(df_extratos!I:I,df_extratos!F:F,Conciliacao!A462,df_extratos!G:G,"DEBITO")+SUMIFS(df_extratos!I:I,df_extratos!F:F,Conciliacao!BF462,df_extratos!G:G,"DEBITO")+SUMIFS(df_extratos!I:I,df_extratos!F:F,Conciliacao!BG462,df_extratos!G:G,"DEBITO")+SUMIFS(df_extratos!I:I,df_extratos!F:F,Conciliacao!BH462,df_extratos!G:G,"DEBITO")</f>
        <v/>
      </c>
      <c r="O462" s="11">
        <f>N462-SUM(J462:M462)</f>
        <v/>
      </c>
      <c r="P462" s="25">
        <f>SUMIFS(df_ajustes_conciliaco!D:D,df_ajustes_conciliaco!C:C,Conciliacao!A462)</f>
        <v/>
      </c>
      <c r="Q462" s="22">
        <f>O462+I462-P462</f>
        <v/>
      </c>
    </row>
    <row r="463">
      <c r="A463" s="5">
        <f>A462+1</f>
        <v/>
      </c>
      <c r="B463" s="3">
        <f>-SUMIFS(df_extrato_zig!G:G,df_extrato_zig!E:E,Conciliacao!A463,df_extrato_zig!D:D,"Saque")-SUMIFS(df_extrato_zig!G:G,df_extrato_zig!E:E,Conciliacao!A463,df_extrato_zig!D:D,"Antecipação")</f>
        <v/>
      </c>
      <c r="C463" s="3">
        <f>SUMIFS(df_extrato_zig!E:E,df_extrato_zig!L:L,Conciliacao!A463,df_extrato_zig!F:F,"DINHEIRO")</f>
        <v/>
      </c>
      <c r="D463" s="3">
        <f>SUMIFS(view_parc_agrup!H:H,view_parc_agrup!G:G,Conciliacao!A463)</f>
        <v/>
      </c>
      <c r="E463" s="3">
        <f>SUMIFS(df_eventos!F:F,df_eventos!H:H,Conciliacao!A463)</f>
        <v/>
      </c>
      <c r="F463" s="3">
        <f>SUMIFS(df_mutuos!M:M,df_mutuos!B:B,Conciliacao!A463)</f>
        <v/>
      </c>
      <c r="G463" s="6">
        <f>SUMIFS(df_bloqueios_judiciais!G:G,df_bloqueios_judiciais!D:D,Conciliacao!A463,df_bloqueios_judiciais!G:G,"&gt;0")</f>
        <v/>
      </c>
      <c r="H463" s="7">
        <f>SUMIFS(df_extratos!I:I,df_extratos!F:F,Conciliacao!BE463,df_extratos!G:G,"CREDITO")+SUMIFS(df_extratos!I:I,df_extratos!F:F,Conciliacao!A463,df_extratos!G:G,"CREDITO")+SUMIFS(df_extratos!I:I,df_extratos!F:F,Conciliacao!BF463,df_extratos!G:G,"CREDITO")+SUMIFS(df_extratos!I:I,df_extratos!F:F,Conciliacao!BG463,df_extratos!G:G,"CREDITO")+SUMIFS(df_extratos!I:I,df_extratos!F:F,Conciliacao!BH463,df_extratos!G:G,"CREDITO")</f>
        <v/>
      </c>
      <c r="I463" s="9">
        <f>H463-SUM(B463:G463)</f>
        <v/>
      </c>
      <c r="J463" s="4">
        <f>SUMIFS(df_blueme_sem_parcelamento!E:E,df_blueme_sem_parcelamento!H:H,Conciliacao!A463)*(-1)</f>
        <v/>
      </c>
      <c r="K463" s="4">
        <f>SUMIFS(df_blueme_com_parcelamento!J:J,df_blueme_com_parcelamento!M:M,Conciliacao!A463)*(-1)</f>
        <v/>
      </c>
      <c r="L463" s="4">
        <f>SUMIFS(df_mutuos!N:N,df_mutuos!B:B,Conciliacao!A463)*(-1)</f>
        <v/>
      </c>
      <c r="M463" s="8">
        <f>SUMIFS(df_bloqueios_judiciais!G:G,df_bloqueios_judiciais!D:D,Conciliacao!A463,df_bloqueios_judiciais!G:G,"&lt;0")</f>
        <v/>
      </c>
      <c r="N463" s="10">
        <f>SUMIFS(df_extratos!I:I,df_extratos!F:F,Conciliacao!BE463,df_extratos!G:G,"DEBITO")+SUMIFS(df_extratos!I:I,df_extratos!F:F,Conciliacao!A463,df_extratos!G:G,"DEBITO")+SUMIFS(df_extratos!I:I,df_extratos!F:F,Conciliacao!BF463,df_extratos!G:G,"DEBITO")+SUMIFS(df_extratos!I:I,df_extratos!F:F,Conciliacao!BG463,df_extratos!G:G,"DEBITO")+SUMIFS(df_extratos!I:I,df_extratos!F:F,Conciliacao!BH463,df_extratos!G:G,"DEBITO")</f>
        <v/>
      </c>
      <c r="O463" s="11">
        <f>N463-SUM(J463:M463)</f>
        <v/>
      </c>
      <c r="P463" s="25">
        <f>SUMIFS(df_ajustes_conciliaco!D:D,df_ajustes_conciliaco!C:C,Conciliacao!A463)</f>
        <v/>
      </c>
      <c r="Q463" s="22">
        <f>O463+I463-P463</f>
        <v/>
      </c>
    </row>
    <row r="464">
      <c r="A464" s="5">
        <f>A463+1</f>
        <v/>
      </c>
      <c r="B464" s="3">
        <f>-SUMIFS(df_extrato_zig!G:G,df_extrato_zig!E:E,Conciliacao!A464,df_extrato_zig!D:D,"Saque")-SUMIFS(df_extrato_zig!G:G,df_extrato_zig!E:E,Conciliacao!A464,df_extrato_zig!D:D,"Antecipação")</f>
        <v/>
      </c>
      <c r="C464" s="3">
        <f>SUMIFS(df_extrato_zig!E:E,df_extrato_zig!L:L,Conciliacao!A464,df_extrato_zig!F:F,"DINHEIRO")</f>
        <v/>
      </c>
      <c r="D464" s="3">
        <f>SUMIFS(view_parc_agrup!H:H,view_parc_agrup!G:G,Conciliacao!A464)</f>
        <v/>
      </c>
      <c r="E464" s="3">
        <f>SUMIFS(df_eventos!F:F,df_eventos!H:H,Conciliacao!A464)</f>
        <v/>
      </c>
      <c r="F464" s="3">
        <f>SUMIFS(df_mutuos!M:M,df_mutuos!B:B,Conciliacao!A464)</f>
        <v/>
      </c>
      <c r="G464" s="6">
        <f>SUMIFS(df_bloqueios_judiciais!G:G,df_bloqueios_judiciais!D:D,Conciliacao!A464,df_bloqueios_judiciais!G:G,"&gt;0")</f>
        <v/>
      </c>
      <c r="H464" s="7">
        <f>SUMIFS(df_extratos!I:I,df_extratos!F:F,Conciliacao!BE464,df_extratos!G:G,"CREDITO")+SUMIFS(df_extratos!I:I,df_extratos!F:F,Conciliacao!A464,df_extratos!G:G,"CREDITO")+SUMIFS(df_extratos!I:I,df_extratos!F:F,Conciliacao!BF464,df_extratos!G:G,"CREDITO")+SUMIFS(df_extratos!I:I,df_extratos!F:F,Conciliacao!BG464,df_extratos!G:G,"CREDITO")+SUMIFS(df_extratos!I:I,df_extratos!F:F,Conciliacao!BH464,df_extratos!G:G,"CREDITO")</f>
        <v/>
      </c>
      <c r="I464" s="9">
        <f>H464-SUM(B464:G464)</f>
        <v/>
      </c>
      <c r="J464" s="4">
        <f>SUMIFS(df_blueme_sem_parcelamento!E:E,df_blueme_sem_parcelamento!H:H,Conciliacao!A464)*(-1)</f>
        <v/>
      </c>
      <c r="K464" s="4">
        <f>SUMIFS(df_blueme_com_parcelamento!J:J,df_blueme_com_parcelamento!M:M,Conciliacao!A464)*(-1)</f>
        <v/>
      </c>
      <c r="L464" s="4">
        <f>SUMIFS(df_mutuos!N:N,df_mutuos!B:B,Conciliacao!A464)*(-1)</f>
        <v/>
      </c>
      <c r="M464" s="8">
        <f>SUMIFS(df_bloqueios_judiciais!G:G,df_bloqueios_judiciais!D:D,Conciliacao!A464,df_bloqueios_judiciais!G:G,"&lt;0")</f>
        <v/>
      </c>
      <c r="N464" s="10">
        <f>SUMIFS(df_extratos!I:I,df_extratos!F:F,Conciliacao!BE464,df_extratos!G:G,"DEBITO")+SUMIFS(df_extratos!I:I,df_extratos!F:F,Conciliacao!A464,df_extratos!G:G,"DEBITO")+SUMIFS(df_extratos!I:I,df_extratos!F:F,Conciliacao!BF464,df_extratos!G:G,"DEBITO")+SUMIFS(df_extratos!I:I,df_extratos!F:F,Conciliacao!BG464,df_extratos!G:G,"DEBITO")+SUMIFS(df_extratos!I:I,df_extratos!F:F,Conciliacao!BH464,df_extratos!G:G,"DEBITO")</f>
        <v/>
      </c>
      <c r="O464" s="11">
        <f>N464-SUM(J464:M464)</f>
        <v/>
      </c>
      <c r="P464" s="25">
        <f>SUMIFS(df_ajustes_conciliaco!D:D,df_ajustes_conciliaco!C:C,Conciliacao!A464)</f>
        <v/>
      </c>
      <c r="Q464" s="22">
        <f>O464+I464-P464</f>
        <v/>
      </c>
    </row>
    <row r="465">
      <c r="A465" s="5">
        <f>A464+1</f>
        <v/>
      </c>
      <c r="B465" s="3">
        <f>-SUMIFS(df_extrato_zig!G:G,df_extrato_zig!E:E,Conciliacao!A465,df_extrato_zig!D:D,"Saque")-SUMIFS(df_extrato_zig!G:G,df_extrato_zig!E:E,Conciliacao!A465,df_extrato_zig!D:D,"Antecipação")</f>
        <v/>
      </c>
      <c r="C465" s="3">
        <f>SUMIFS(df_extrato_zig!E:E,df_extrato_zig!L:L,Conciliacao!A465,df_extrato_zig!F:F,"DINHEIRO")</f>
        <v/>
      </c>
      <c r="D465" s="3">
        <f>SUMIFS(view_parc_agrup!H:H,view_parc_agrup!G:G,Conciliacao!A465)</f>
        <v/>
      </c>
      <c r="E465" s="3">
        <f>SUMIFS(df_eventos!F:F,df_eventos!H:H,Conciliacao!A465)</f>
        <v/>
      </c>
      <c r="F465" s="3">
        <f>SUMIFS(df_mutuos!M:M,df_mutuos!B:B,Conciliacao!A465)</f>
        <v/>
      </c>
      <c r="G465" s="6">
        <f>SUMIFS(df_bloqueios_judiciais!G:G,df_bloqueios_judiciais!D:D,Conciliacao!A465,df_bloqueios_judiciais!G:G,"&gt;0")</f>
        <v/>
      </c>
      <c r="H465" s="7">
        <f>SUMIFS(df_extratos!I:I,df_extratos!F:F,Conciliacao!BE465,df_extratos!G:G,"CREDITO")+SUMIFS(df_extratos!I:I,df_extratos!F:F,Conciliacao!A465,df_extratos!G:G,"CREDITO")+SUMIFS(df_extratos!I:I,df_extratos!F:F,Conciliacao!BF465,df_extratos!G:G,"CREDITO")+SUMIFS(df_extratos!I:I,df_extratos!F:F,Conciliacao!BG465,df_extratos!G:G,"CREDITO")+SUMIFS(df_extratos!I:I,df_extratos!F:F,Conciliacao!BH465,df_extratos!G:G,"CREDITO")</f>
        <v/>
      </c>
      <c r="I465" s="9">
        <f>H465-SUM(B465:G465)</f>
        <v/>
      </c>
      <c r="J465" s="4">
        <f>SUMIFS(df_blueme_sem_parcelamento!E:E,df_blueme_sem_parcelamento!H:H,Conciliacao!A465)*(-1)</f>
        <v/>
      </c>
      <c r="K465" s="4">
        <f>SUMIFS(df_blueme_com_parcelamento!J:J,df_blueme_com_parcelamento!M:M,Conciliacao!A465)*(-1)</f>
        <v/>
      </c>
      <c r="L465" s="4">
        <f>SUMIFS(df_mutuos!N:N,df_mutuos!B:B,Conciliacao!A465)*(-1)</f>
        <v/>
      </c>
      <c r="M465" s="8">
        <f>SUMIFS(df_bloqueios_judiciais!G:G,df_bloqueios_judiciais!D:D,Conciliacao!A465,df_bloqueios_judiciais!G:G,"&lt;0")</f>
        <v/>
      </c>
      <c r="N465" s="10">
        <f>SUMIFS(df_extratos!I:I,df_extratos!F:F,Conciliacao!BE465,df_extratos!G:G,"DEBITO")+SUMIFS(df_extratos!I:I,df_extratos!F:F,Conciliacao!A465,df_extratos!G:G,"DEBITO")+SUMIFS(df_extratos!I:I,df_extratos!F:F,Conciliacao!BF465,df_extratos!G:G,"DEBITO")+SUMIFS(df_extratos!I:I,df_extratos!F:F,Conciliacao!BG465,df_extratos!G:G,"DEBITO")+SUMIFS(df_extratos!I:I,df_extratos!F:F,Conciliacao!BH465,df_extratos!G:G,"DEBITO")</f>
        <v/>
      </c>
      <c r="O465" s="11">
        <f>N465-SUM(J465:M465)</f>
        <v/>
      </c>
      <c r="P465" s="25">
        <f>SUMIFS(df_ajustes_conciliaco!D:D,df_ajustes_conciliaco!C:C,Conciliacao!A465)</f>
        <v/>
      </c>
      <c r="Q465" s="22">
        <f>O465+I465-P465</f>
        <v/>
      </c>
    </row>
    <row r="466">
      <c r="A466" s="5">
        <f>A465+1</f>
        <v/>
      </c>
      <c r="B466" s="3">
        <f>-SUMIFS(df_extrato_zig!G:G,df_extrato_zig!E:E,Conciliacao!A466,df_extrato_zig!D:D,"Saque")-SUMIFS(df_extrato_zig!G:G,df_extrato_zig!E:E,Conciliacao!A466,df_extrato_zig!D:D,"Antecipação")</f>
        <v/>
      </c>
      <c r="C466" s="3">
        <f>SUMIFS(df_extrato_zig!E:E,df_extrato_zig!L:L,Conciliacao!A466,df_extrato_zig!F:F,"DINHEIRO")</f>
        <v/>
      </c>
      <c r="D466" s="3">
        <f>SUMIFS(view_parc_agrup!H:H,view_parc_agrup!G:G,Conciliacao!A466)</f>
        <v/>
      </c>
      <c r="E466" s="3">
        <f>SUMIFS(df_eventos!F:F,df_eventos!H:H,Conciliacao!A466)</f>
        <v/>
      </c>
      <c r="F466" s="3">
        <f>SUMIFS(df_mutuos!M:M,df_mutuos!B:B,Conciliacao!A466)</f>
        <v/>
      </c>
      <c r="G466" s="6">
        <f>SUMIFS(df_bloqueios_judiciais!G:G,df_bloqueios_judiciais!D:D,Conciliacao!A466,df_bloqueios_judiciais!G:G,"&gt;0")</f>
        <v/>
      </c>
      <c r="H466" s="7">
        <f>SUMIFS(df_extratos!I:I,df_extratos!F:F,Conciliacao!BE466,df_extratos!G:G,"CREDITO")+SUMIFS(df_extratos!I:I,df_extratos!F:F,Conciliacao!A466,df_extratos!G:G,"CREDITO")+SUMIFS(df_extratos!I:I,df_extratos!F:F,Conciliacao!BF466,df_extratos!G:G,"CREDITO")+SUMIFS(df_extratos!I:I,df_extratos!F:F,Conciliacao!BG466,df_extratos!G:G,"CREDITO")+SUMIFS(df_extratos!I:I,df_extratos!F:F,Conciliacao!BH466,df_extratos!G:G,"CREDITO")</f>
        <v/>
      </c>
      <c r="I466" s="9">
        <f>H466-SUM(B466:G466)</f>
        <v/>
      </c>
      <c r="J466" s="4">
        <f>SUMIFS(df_blueme_sem_parcelamento!E:E,df_blueme_sem_parcelamento!H:H,Conciliacao!A466)*(-1)</f>
        <v/>
      </c>
      <c r="K466" s="4">
        <f>SUMIFS(df_blueme_com_parcelamento!J:J,df_blueme_com_parcelamento!M:M,Conciliacao!A466)*(-1)</f>
        <v/>
      </c>
      <c r="L466" s="4">
        <f>SUMIFS(df_mutuos!N:N,df_mutuos!B:B,Conciliacao!A466)*(-1)</f>
        <v/>
      </c>
      <c r="M466" s="8">
        <f>SUMIFS(df_bloqueios_judiciais!G:G,df_bloqueios_judiciais!D:D,Conciliacao!A466,df_bloqueios_judiciais!G:G,"&lt;0")</f>
        <v/>
      </c>
      <c r="N466" s="10">
        <f>SUMIFS(df_extratos!I:I,df_extratos!F:F,Conciliacao!BE466,df_extratos!G:G,"DEBITO")+SUMIFS(df_extratos!I:I,df_extratos!F:F,Conciliacao!A466,df_extratos!G:G,"DEBITO")+SUMIFS(df_extratos!I:I,df_extratos!F:F,Conciliacao!BF466,df_extratos!G:G,"DEBITO")+SUMIFS(df_extratos!I:I,df_extratos!F:F,Conciliacao!BG466,df_extratos!G:G,"DEBITO")+SUMIFS(df_extratos!I:I,df_extratos!F:F,Conciliacao!BH466,df_extratos!G:G,"DEBITO")</f>
        <v/>
      </c>
      <c r="O466" s="11">
        <f>N466-SUM(J466:M466)</f>
        <v/>
      </c>
      <c r="P466" s="25">
        <f>SUMIFS(df_ajustes_conciliaco!D:D,df_ajustes_conciliaco!C:C,Conciliacao!A466)</f>
        <v/>
      </c>
      <c r="Q466" s="22">
        <f>O466+I466-P466</f>
        <v/>
      </c>
    </row>
    <row r="467">
      <c r="A467" s="5">
        <f>A466+1</f>
        <v/>
      </c>
      <c r="B467" s="3">
        <f>-SUMIFS(df_extrato_zig!G:G,df_extrato_zig!E:E,Conciliacao!A467,df_extrato_zig!D:D,"Saque")-SUMIFS(df_extrato_zig!G:G,df_extrato_zig!E:E,Conciliacao!A467,df_extrato_zig!D:D,"Antecipação")</f>
        <v/>
      </c>
      <c r="C467" s="3">
        <f>SUMIFS(df_extrato_zig!E:E,df_extrato_zig!L:L,Conciliacao!A467,df_extrato_zig!F:F,"DINHEIRO")</f>
        <v/>
      </c>
      <c r="D467" s="3">
        <f>SUMIFS(view_parc_agrup!H:H,view_parc_agrup!G:G,Conciliacao!A467)</f>
        <v/>
      </c>
      <c r="E467" s="3">
        <f>SUMIFS(df_eventos!F:F,df_eventos!H:H,Conciliacao!A467)</f>
        <v/>
      </c>
      <c r="F467" s="3">
        <f>SUMIFS(df_mutuos!M:M,df_mutuos!B:B,Conciliacao!A467)</f>
        <v/>
      </c>
      <c r="G467" s="6">
        <f>SUMIFS(df_bloqueios_judiciais!G:G,df_bloqueios_judiciais!D:D,Conciliacao!A467,df_bloqueios_judiciais!G:G,"&gt;0")</f>
        <v/>
      </c>
      <c r="H467" s="7">
        <f>SUMIFS(df_extratos!I:I,df_extratos!F:F,Conciliacao!BE467,df_extratos!G:G,"CREDITO")+SUMIFS(df_extratos!I:I,df_extratos!F:F,Conciliacao!A467,df_extratos!G:G,"CREDITO")+SUMIFS(df_extratos!I:I,df_extratos!F:F,Conciliacao!BF467,df_extratos!G:G,"CREDITO")+SUMIFS(df_extratos!I:I,df_extratos!F:F,Conciliacao!BG467,df_extratos!G:G,"CREDITO")+SUMIFS(df_extratos!I:I,df_extratos!F:F,Conciliacao!BH467,df_extratos!G:G,"CREDITO")</f>
        <v/>
      </c>
      <c r="I467" s="9">
        <f>H467-SUM(B467:G467)</f>
        <v/>
      </c>
      <c r="J467" s="4">
        <f>SUMIFS(df_blueme_sem_parcelamento!E:E,df_blueme_sem_parcelamento!H:H,Conciliacao!A467)*(-1)</f>
        <v/>
      </c>
      <c r="K467" s="4">
        <f>SUMIFS(df_blueme_com_parcelamento!J:J,df_blueme_com_parcelamento!M:M,Conciliacao!A467)*(-1)</f>
        <v/>
      </c>
      <c r="L467" s="4">
        <f>SUMIFS(df_mutuos!N:N,df_mutuos!B:B,Conciliacao!A467)*(-1)</f>
        <v/>
      </c>
      <c r="M467" s="8">
        <f>SUMIFS(df_bloqueios_judiciais!G:G,df_bloqueios_judiciais!D:D,Conciliacao!A467,df_bloqueios_judiciais!G:G,"&lt;0")</f>
        <v/>
      </c>
      <c r="N467" s="10">
        <f>SUMIFS(df_extratos!I:I,df_extratos!F:F,Conciliacao!BE467,df_extratos!G:G,"DEBITO")+SUMIFS(df_extratos!I:I,df_extratos!F:F,Conciliacao!A467,df_extratos!G:G,"DEBITO")+SUMIFS(df_extratos!I:I,df_extratos!F:F,Conciliacao!BF467,df_extratos!G:G,"DEBITO")+SUMIFS(df_extratos!I:I,df_extratos!F:F,Conciliacao!BG467,df_extratos!G:G,"DEBITO")+SUMIFS(df_extratos!I:I,df_extratos!F:F,Conciliacao!BH467,df_extratos!G:G,"DEBITO")</f>
        <v/>
      </c>
      <c r="O467" s="11">
        <f>N467-SUM(J467:M467)</f>
        <v/>
      </c>
      <c r="P467" s="25">
        <f>SUMIFS(df_ajustes_conciliaco!D:D,df_ajustes_conciliaco!C:C,Conciliacao!A467)</f>
        <v/>
      </c>
      <c r="Q467" s="22">
        <f>O467+I467-P467</f>
        <v/>
      </c>
    </row>
    <row r="468">
      <c r="A468" s="5">
        <f>A467+1</f>
        <v/>
      </c>
      <c r="B468" s="3">
        <f>-SUMIFS(df_extrato_zig!G:G,df_extrato_zig!E:E,Conciliacao!A468,df_extrato_zig!D:D,"Saque")-SUMIFS(df_extrato_zig!G:G,df_extrato_zig!E:E,Conciliacao!A468,df_extrato_zig!D:D,"Antecipação")</f>
        <v/>
      </c>
      <c r="C468" s="3">
        <f>SUMIFS(df_extrato_zig!E:E,df_extrato_zig!L:L,Conciliacao!A468,df_extrato_zig!F:F,"DINHEIRO")</f>
        <v/>
      </c>
      <c r="D468" s="3">
        <f>SUMIFS(view_parc_agrup!H:H,view_parc_agrup!G:G,Conciliacao!A468)</f>
        <v/>
      </c>
      <c r="E468" s="3">
        <f>SUMIFS(df_eventos!F:F,df_eventos!H:H,Conciliacao!A468)</f>
        <v/>
      </c>
      <c r="F468" s="3">
        <f>SUMIFS(df_mutuos!M:M,df_mutuos!B:B,Conciliacao!A468)</f>
        <v/>
      </c>
      <c r="G468" s="6">
        <f>SUMIFS(df_bloqueios_judiciais!G:G,df_bloqueios_judiciais!D:D,Conciliacao!A468,df_bloqueios_judiciais!G:G,"&gt;0")</f>
        <v/>
      </c>
      <c r="H468" s="7">
        <f>SUMIFS(df_extratos!I:I,df_extratos!F:F,Conciliacao!BE468,df_extratos!G:G,"CREDITO")+SUMIFS(df_extratos!I:I,df_extratos!F:F,Conciliacao!A468,df_extratos!G:G,"CREDITO")+SUMIFS(df_extratos!I:I,df_extratos!F:F,Conciliacao!BF468,df_extratos!G:G,"CREDITO")+SUMIFS(df_extratos!I:I,df_extratos!F:F,Conciliacao!BG468,df_extratos!G:G,"CREDITO")+SUMIFS(df_extratos!I:I,df_extratos!F:F,Conciliacao!BH468,df_extratos!G:G,"CREDITO")</f>
        <v/>
      </c>
      <c r="I468" s="9">
        <f>H468-SUM(B468:G468)</f>
        <v/>
      </c>
      <c r="J468" s="4">
        <f>SUMIFS(df_blueme_sem_parcelamento!E:E,df_blueme_sem_parcelamento!H:H,Conciliacao!A468)*(-1)</f>
        <v/>
      </c>
      <c r="K468" s="4">
        <f>SUMIFS(df_blueme_com_parcelamento!J:J,df_blueme_com_parcelamento!M:M,Conciliacao!A468)*(-1)</f>
        <v/>
      </c>
      <c r="L468" s="4">
        <f>SUMIFS(df_mutuos!N:N,df_mutuos!B:B,Conciliacao!A468)*(-1)</f>
        <v/>
      </c>
      <c r="M468" s="8">
        <f>SUMIFS(df_bloqueios_judiciais!G:G,df_bloqueios_judiciais!D:D,Conciliacao!A468,df_bloqueios_judiciais!G:G,"&lt;0")</f>
        <v/>
      </c>
      <c r="N468" s="10">
        <f>SUMIFS(df_extratos!I:I,df_extratos!F:F,Conciliacao!BE468,df_extratos!G:G,"DEBITO")+SUMIFS(df_extratos!I:I,df_extratos!F:F,Conciliacao!A468,df_extratos!G:G,"DEBITO")+SUMIFS(df_extratos!I:I,df_extratos!F:F,Conciliacao!BF468,df_extratos!G:G,"DEBITO")+SUMIFS(df_extratos!I:I,df_extratos!F:F,Conciliacao!BG468,df_extratos!G:G,"DEBITO")+SUMIFS(df_extratos!I:I,df_extratos!F:F,Conciliacao!BH468,df_extratos!G:G,"DEBITO")</f>
        <v/>
      </c>
      <c r="O468" s="11">
        <f>N468-SUM(J468:M468)</f>
        <v/>
      </c>
      <c r="P468" s="25">
        <f>SUMIFS(df_ajustes_conciliaco!D:D,df_ajustes_conciliaco!C:C,Conciliacao!A468)</f>
        <v/>
      </c>
      <c r="Q468" s="22">
        <f>O468+I468-P468</f>
        <v/>
      </c>
    </row>
    <row r="469">
      <c r="A469" s="5">
        <f>A468+1</f>
        <v/>
      </c>
      <c r="B469" s="3">
        <f>-SUMIFS(df_extrato_zig!G:G,df_extrato_zig!E:E,Conciliacao!A469,df_extrato_zig!D:D,"Saque")-SUMIFS(df_extrato_zig!G:G,df_extrato_zig!E:E,Conciliacao!A469,df_extrato_zig!D:D,"Antecipação")</f>
        <v/>
      </c>
      <c r="C469" s="3">
        <f>SUMIFS(df_extrato_zig!E:E,df_extrato_zig!L:L,Conciliacao!A469,df_extrato_zig!F:F,"DINHEIRO")</f>
        <v/>
      </c>
      <c r="D469" s="3">
        <f>SUMIFS(view_parc_agrup!H:H,view_parc_agrup!G:G,Conciliacao!A469)</f>
        <v/>
      </c>
      <c r="E469" s="3">
        <f>SUMIFS(df_eventos!F:F,df_eventos!H:H,Conciliacao!A469)</f>
        <v/>
      </c>
      <c r="F469" s="3">
        <f>SUMIFS(df_mutuos!M:M,df_mutuos!B:B,Conciliacao!A469)</f>
        <v/>
      </c>
      <c r="G469" s="6">
        <f>SUMIFS(df_bloqueios_judiciais!G:G,df_bloqueios_judiciais!D:D,Conciliacao!A469,df_bloqueios_judiciais!G:G,"&gt;0")</f>
        <v/>
      </c>
      <c r="H469" s="7">
        <f>SUMIFS(df_extratos!I:I,df_extratos!F:F,Conciliacao!BE469,df_extratos!G:G,"CREDITO")+SUMIFS(df_extratos!I:I,df_extratos!F:F,Conciliacao!A469,df_extratos!G:G,"CREDITO")+SUMIFS(df_extratos!I:I,df_extratos!F:F,Conciliacao!BF469,df_extratos!G:G,"CREDITO")+SUMIFS(df_extratos!I:I,df_extratos!F:F,Conciliacao!BG469,df_extratos!G:G,"CREDITO")+SUMIFS(df_extratos!I:I,df_extratos!F:F,Conciliacao!BH469,df_extratos!G:G,"CREDITO")</f>
        <v/>
      </c>
      <c r="I469" s="9">
        <f>H469-SUM(B469:G469)</f>
        <v/>
      </c>
      <c r="J469" s="4">
        <f>SUMIFS(df_blueme_sem_parcelamento!E:E,df_blueme_sem_parcelamento!H:H,Conciliacao!A469)*(-1)</f>
        <v/>
      </c>
      <c r="K469" s="4">
        <f>SUMIFS(df_blueme_com_parcelamento!J:J,df_blueme_com_parcelamento!M:M,Conciliacao!A469)*(-1)</f>
        <v/>
      </c>
      <c r="L469" s="4">
        <f>SUMIFS(df_mutuos!N:N,df_mutuos!B:B,Conciliacao!A469)*(-1)</f>
        <v/>
      </c>
      <c r="M469" s="8">
        <f>SUMIFS(df_bloqueios_judiciais!G:G,df_bloqueios_judiciais!D:D,Conciliacao!A469,df_bloqueios_judiciais!G:G,"&lt;0")</f>
        <v/>
      </c>
      <c r="N469" s="10">
        <f>SUMIFS(df_extratos!I:I,df_extratos!F:F,Conciliacao!BE469,df_extratos!G:G,"DEBITO")+SUMIFS(df_extratos!I:I,df_extratos!F:F,Conciliacao!A469,df_extratos!G:G,"DEBITO")+SUMIFS(df_extratos!I:I,df_extratos!F:F,Conciliacao!BF469,df_extratos!G:G,"DEBITO")+SUMIFS(df_extratos!I:I,df_extratos!F:F,Conciliacao!BG469,df_extratos!G:G,"DEBITO")+SUMIFS(df_extratos!I:I,df_extratos!F:F,Conciliacao!BH469,df_extratos!G:G,"DEBITO")</f>
        <v/>
      </c>
      <c r="O469" s="11">
        <f>N469-SUM(J469:M469)</f>
        <v/>
      </c>
      <c r="P469" s="25">
        <f>SUMIFS(df_ajustes_conciliaco!D:D,df_ajustes_conciliaco!C:C,Conciliacao!A469)</f>
        <v/>
      </c>
      <c r="Q469" s="22">
        <f>O469+I469-P469</f>
        <v/>
      </c>
    </row>
    <row r="470">
      <c r="A470" s="5">
        <f>A469+1</f>
        <v/>
      </c>
      <c r="B470" s="3">
        <f>-SUMIFS(df_extrato_zig!G:G,df_extrato_zig!E:E,Conciliacao!A470,df_extrato_zig!D:D,"Saque")-SUMIFS(df_extrato_zig!G:G,df_extrato_zig!E:E,Conciliacao!A470,df_extrato_zig!D:D,"Antecipação")</f>
        <v/>
      </c>
      <c r="C470" s="3">
        <f>SUMIFS(df_extrato_zig!E:E,df_extrato_zig!L:L,Conciliacao!A470,df_extrato_zig!F:F,"DINHEIRO")</f>
        <v/>
      </c>
      <c r="D470" s="3">
        <f>SUMIFS(view_parc_agrup!H:H,view_parc_agrup!G:G,Conciliacao!A470)</f>
        <v/>
      </c>
      <c r="E470" s="3">
        <f>SUMIFS(df_eventos!F:F,df_eventos!H:H,Conciliacao!A470)</f>
        <v/>
      </c>
      <c r="F470" s="3">
        <f>SUMIFS(df_mutuos!M:M,df_mutuos!B:B,Conciliacao!A470)</f>
        <v/>
      </c>
      <c r="G470" s="6">
        <f>SUMIFS(df_bloqueios_judiciais!G:G,df_bloqueios_judiciais!D:D,Conciliacao!A470,df_bloqueios_judiciais!G:G,"&gt;0")</f>
        <v/>
      </c>
      <c r="H470" s="7">
        <f>SUMIFS(df_extratos!I:I,df_extratos!F:F,Conciliacao!BE470,df_extratos!G:G,"CREDITO")+SUMIFS(df_extratos!I:I,df_extratos!F:F,Conciliacao!A470,df_extratos!G:G,"CREDITO")+SUMIFS(df_extratos!I:I,df_extratos!F:F,Conciliacao!BF470,df_extratos!G:G,"CREDITO")+SUMIFS(df_extratos!I:I,df_extratos!F:F,Conciliacao!BG470,df_extratos!G:G,"CREDITO")+SUMIFS(df_extratos!I:I,df_extratos!F:F,Conciliacao!BH470,df_extratos!G:G,"CREDITO")</f>
        <v/>
      </c>
      <c r="I470" s="9">
        <f>H470-SUM(B470:G470)</f>
        <v/>
      </c>
      <c r="J470" s="4">
        <f>SUMIFS(df_blueme_sem_parcelamento!E:E,df_blueme_sem_parcelamento!H:H,Conciliacao!A470)*(-1)</f>
        <v/>
      </c>
      <c r="K470" s="4">
        <f>SUMIFS(df_blueme_com_parcelamento!J:J,df_blueme_com_parcelamento!M:M,Conciliacao!A470)*(-1)</f>
        <v/>
      </c>
      <c r="L470" s="4">
        <f>SUMIFS(df_mutuos!N:N,df_mutuos!B:B,Conciliacao!A470)*(-1)</f>
        <v/>
      </c>
      <c r="M470" s="8">
        <f>SUMIFS(df_bloqueios_judiciais!G:G,df_bloqueios_judiciais!D:D,Conciliacao!A470,df_bloqueios_judiciais!G:G,"&lt;0")</f>
        <v/>
      </c>
      <c r="N470" s="10">
        <f>SUMIFS(df_extratos!I:I,df_extratos!F:F,Conciliacao!BE470,df_extratos!G:G,"DEBITO")+SUMIFS(df_extratos!I:I,df_extratos!F:F,Conciliacao!A470,df_extratos!G:G,"DEBITO")+SUMIFS(df_extratos!I:I,df_extratos!F:F,Conciliacao!BF470,df_extratos!G:G,"DEBITO")+SUMIFS(df_extratos!I:I,df_extratos!F:F,Conciliacao!BG470,df_extratos!G:G,"DEBITO")+SUMIFS(df_extratos!I:I,df_extratos!F:F,Conciliacao!BH470,df_extratos!G:G,"DEBITO")</f>
        <v/>
      </c>
      <c r="O470" s="11">
        <f>N470-SUM(J470:M470)</f>
        <v/>
      </c>
      <c r="P470" s="25">
        <f>SUMIFS(df_ajustes_conciliaco!D:D,df_ajustes_conciliaco!C:C,Conciliacao!A470)</f>
        <v/>
      </c>
      <c r="Q470" s="22">
        <f>O470+I470-P470</f>
        <v/>
      </c>
    </row>
    <row r="471">
      <c r="A471" s="5">
        <f>A470+1</f>
        <v/>
      </c>
      <c r="B471" s="3">
        <f>-SUMIFS(df_extrato_zig!G:G,df_extrato_zig!E:E,Conciliacao!A471,df_extrato_zig!D:D,"Saque")-SUMIFS(df_extrato_zig!G:G,df_extrato_zig!E:E,Conciliacao!A471,df_extrato_zig!D:D,"Antecipação")</f>
        <v/>
      </c>
      <c r="C471" s="3">
        <f>SUMIFS(df_extrato_zig!E:E,df_extrato_zig!L:L,Conciliacao!A471,df_extrato_zig!F:F,"DINHEIRO")</f>
        <v/>
      </c>
      <c r="D471" s="3">
        <f>SUMIFS(view_parc_agrup!H:H,view_parc_agrup!G:G,Conciliacao!A471)</f>
        <v/>
      </c>
      <c r="E471" s="3">
        <f>SUMIFS(df_eventos!F:F,df_eventos!H:H,Conciliacao!A471)</f>
        <v/>
      </c>
      <c r="F471" s="3">
        <f>SUMIFS(df_mutuos!M:M,df_mutuos!B:B,Conciliacao!A471)</f>
        <v/>
      </c>
      <c r="G471" s="6">
        <f>SUMIFS(df_bloqueios_judiciais!G:G,df_bloqueios_judiciais!D:D,Conciliacao!A471,df_bloqueios_judiciais!G:G,"&gt;0")</f>
        <v/>
      </c>
      <c r="H471" s="7">
        <f>SUMIFS(df_extratos!I:I,df_extratos!F:F,Conciliacao!BE471,df_extratos!G:G,"CREDITO")+SUMIFS(df_extratos!I:I,df_extratos!F:F,Conciliacao!A471,df_extratos!G:G,"CREDITO")+SUMIFS(df_extratos!I:I,df_extratos!F:F,Conciliacao!BF471,df_extratos!G:G,"CREDITO")+SUMIFS(df_extratos!I:I,df_extratos!F:F,Conciliacao!BG471,df_extratos!G:G,"CREDITO")+SUMIFS(df_extratos!I:I,df_extratos!F:F,Conciliacao!BH471,df_extratos!G:G,"CREDITO")</f>
        <v/>
      </c>
      <c r="I471" s="9">
        <f>H471-SUM(B471:G471)</f>
        <v/>
      </c>
      <c r="J471" s="4">
        <f>SUMIFS(df_blueme_sem_parcelamento!E:E,df_blueme_sem_parcelamento!H:H,Conciliacao!A471)*(-1)</f>
        <v/>
      </c>
      <c r="K471" s="4">
        <f>SUMIFS(df_blueme_com_parcelamento!J:J,df_blueme_com_parcelamento!M:M,Conciliacao!A471)*(-1)</f>
        <v/>
      </c>
      <c r="L471" s="4">
        <f>SUMIFS(df_mutuos!N:N,df_mutuos!B:B,Conciliacao!A471)*(-1)</f>
        <v/>
      </c>
      <c r="M471" s="8">
        <f>SUMIFS(df_bloqueios_judiciais!G:G,df_bloqueios_judiciais!D:D,Conciliacao!A471,df_bloqueios_judiciais!G:G,"&lt;0")</f>
        <v/>
      </c>
      <c r="N471" s="10">
        <f>SUMIFS(df_extratos!I:I,df_extratos!F:F,Conciliacao!BE471,df_extratos!G:G,"DEBITO")+SUMIFS(df_extratos!I:I,df_extratos!F:F,Conciliacao!A471,df_extratos!G:G,"DEBITO")+SUMIFS(df_extratos!I:I,df_extratos!F:F,Conciliacao!BF471,df_extratos!G:G,"DEBITO")+SUMIFS(df_extratos!I:I,df_extratos!F:F,Conciliacao!BG471,df_extratos!G:G,"DEBITO")+SUMIFS(df_extratos!I:I,df_extratos!F:F,Conciliacao!BH471,df_extratos!G:G,"DEBITO")</f>
        <v/>
      </c>
      <c r="O471" s="11">
        <f>N471-SUM(J471:M471)</f>
        <v/>
      </c>
      <c r="P471" s="25">
        <f>SUMIFS(df_ajustes_conciliaco!D:D,df_ajustes_conciliaco!C:C,Conciliacao!A471)</f>
        <v/>
      </c>
      <c r="Q471" s="22">
        <f>O471+I471-P471</f>
        <v/>
      </c>
    </row>
    <row r="472">
      <c r="A472" s="5">
        <f>A471+1</f>
        <v/>
      </c>
      <c r="B472" s="3">
        <f>-SUMIFS(df_extrato_zig!G:G,df_extrato_zig!E:E,Conciliacao!A472,df_extrato_zig!D:D,"Saque")-SUMIFS(df_extrato_zig!G:G,df_extrato_zig!E:E,Conciliacao!A472,df_extrato_zig!D:D,"Antecipação")</f>
        <v/>
      </c>
      <c r="C472" s="3">
        <f>SUMIFS(df_extrato_zig!E:E,df_extrato_zig!L:L,Conciliacao!A472,df_extrato_zig!F:F,"DINHEIRO")</f>
        <v/>
      </c>
      <c r="D472" s="3">
        <f>SUMIFS(view_parc_agrup!H:H,view_parc_agrup!G:G,Conciliacao!A472)</f>
        <v/>
      </c>
      <c r="E472" s="3">
        <f>SUMIFS(df_eventos!F:F,df_eventos!H:H,Conciliacao!A472)</f>
        <v/>
      </c>
      <c r="F472" s="3">
        <f>SUMIFS(df_mutuos!M:M,df_mutuos!B:B,Conciliacao!A472)</f>
        <v/>
      </c>
      <c r="G472" s="6">
        <f>SUMIFS(df_bloqueios_judiciais!G:G,df_bloqueios_judiciais!D:D,Conciliacao!A472,df_bloqueios_judiciais!G:G,"&gt;0")</f>
        <v/>
      </c>
      <c r="H472" s="7">
        <f>SUMIFS(df_extratos!I:I,df_extratos!F:F,Conciliacao!BE472,df_extratos!G:G,"CREDITO")+SUMIFS(df_extratos!I:I,df_extratos!F:F,Conciliacao!A472,df_extratos!G:G,"CREDITO")+SUMIFS(df_extratos!I:I,df_extratos!F:F,Conciliacao!BF472,df_extratos!G:G,"CREDITO")+SUMIFS(df_extratos!I:I,df_extratos!F:F,Conciliacao!BG472,df_extratos!G:G,"CREDITO")+SUMIFS(df_extratos!I:I,df_extratos!F:F,Conciliacao!BH472,df_extratos!G:G,"CREDITO")</f>
        <v/>
      </c>
      <c r="I472" s="9">
        <f>H472-SUM(B472:G472)</f>
        <v/>
      </c>
      <c r="J472" s="4">
        <f>SUMIFS(df_blueme_sem_parcelamento!E:E,df_blueme_sem_parcelamento!H:H,Conciliacao!A472)*(-1)</f>
        <v/>
      </c>
      <c r="K472" s="4">
        <f>SUMIFS(df_blueme_com_parcelamento!J:J,df_blueme_com_parcelamento!M:M,Conciliacao!A472)*(-1)</f>
        <v/>
      </c>
      <c r="L472" s="4">
        <f>SUMIFS(df_mutuos!N:N,df_mutuos!B:B,Conciliacao!A472)*(-1)</f>
        <v/>
      </c>
      <c r="M472" s="8">
        <f>SUMIFS(df_bloqueios_judiciais!G:G,df_bloqueios_judiciais!D:D,Conciliacao!A472,df_bloqueios_judiciais!G:G,"&lt;0")</f>
        <v/>
      </c>
      <c r="N472" s="10">
        <f>SUMIFS(df_extratos!I:I,df_extratos!F:F,Conciliacao!BE472,df_extratos!G:G,"DEBITO")+SUMIFS(df_extratos!I:I,df_extratos!F:F,Conciliacao!A472,df_extratos!G:G,"DEBITO")+SUMIFS(df_extratos!I:I,df_extratos!F:F,Conciliacao!BF472,df_extratos!G:G,"DEBITO")+SUMIFS(df_extratos!I:I,df_extratos!F:F,Conciliacao!BG472,df_extratos!G:G,"DEBITO")+SUMIFS(df_extratos!I:I,df_extratos!F:F,Conciliacao!BH472,df_extratos!G:G,"DEBITO")</f>
        <v/>
      </c>
      <c r="O472" s="11">
        <f>N472-SUM(J472:M472)</f>
        <v/>
      </c>
      <c r="P472" s="25">
        <f>SUMIFS(df_ajustes_conciliaco!D:D,df_ajustes_conciliaco!C:C,Conciliacao!A472)</f>
        <v/>
      </c>
      <c r="Q472" s="22">
        <f>O472+I472-P472</f>
        <v/>
      </c>
    </row>
    <row r="473">
      <c r="A473" s="5">
        <f>A472+1</f>
        <v/>
      </c>
      <c r="B473" s="3">
        <f>-SUMIFS(df_extrato_zig!G:G,df_extrato_zig!E:E,Conciliacao!A473,df_extrato_zig!D:D,"Saque")-SUMIFS(df_extrato_zig!G:G,df_extrato_zig!E:E,Conciliacao!A473,df_extrato_zig!D:D,"Antecipação")</f>
        <v/>
      </c>
      <c r="C473" s="3">
        <f>SUMIFS(df_extrato_zig!E:E,df_extrato_zig!L:L,Conciliacao!A473,df_extrato_zig!F:F,"DINHEIRO")</f>
        <v/>
      </c>
      <c r="D473" s="3">
        <f>SUMIFS(view_parc_agrup!H:H,view_parc_agrup!G:G,Conciliacao!A473)</f>
        <v/>
      </c>
      <c r="E473" s="3">
        <f>SUMIFS(df_eventos!F:F,df_eventos!H:H,Conciliacao!A473)</f>
        <v/>
      </c>
      <c r="F473" s="3">
        <f>SUMIFS(df_mutuos!M:M,df_mutuos!B:B,Conciliacao!A473)</f>
        <v/>
      </c>
      <c r="G473" s="6">
        <f>SUMIFS(df_bloqueios_judiciais!G:G,df_bloqueios_judiciais!D:D,Conciliacao!A473,df_bloqueios_judiciais!G:G,"&gt;0")</f>
        <v/>
      </c>
      <c r="H473" s="7">
        <f>SUMIFS(df_extratos!I:I,df_extratos!F:F,Conciliacao!BE473,df_extratos!G:G,"CREDITO")+SUMIFS(df_extratos!I:I,df_extratos!F:F,Conciliacao!A473,df_extratos!G:G,"CREDITO")+SUMIFS(df_extratos!I:I,df_extratos!F:F,Conciliacao!BF473,df_extratos!G:G,"CREDITO")+SUMIFS(df_extratos!I:I,df_extratos!F:F,Conciliacao!BG473,df_extratos!G:G,"CREDITO")+SUMIFS(df_extratos!I:I,df_extratos!F:F,Conciliacao!BH473,df_extratos!G:G,"CREDITO")</f>
        <v/>
      </c>
      <c r="I473" s="9">
        <f>H473-SUM(B473:G473)</f>
        <v/>
      </c>
      <c r="J473" s="4">
        <f>SUMIFS(df_blueme_sem_parcelamento!E:E,df_blueme_sem_parcelamento!H:H,Conciliacao!A473)*(-1)</f>
        <v/>
      </c>
      <c r="K473" s="4">
        <f>SUMIFS(df_blueme_com_parcelamento!J:J,df_blueme_com_parcelamento!M:M,Conciliacao!A473)*(-1)</f>
        <v/>
      </c>
      <c r="L473" s="4">
        <f>SUMIFS(df_mutuos!N:N,df_mutuos!B:B,Conciliacao!A473)*(-1)</f>
        <v/>
      </c>
      <c r="M473" s="8">
        <f>SUMIFS(df_bloqueios_judiciais!G:G,df_bloqueios_judiciais!D:D,Conciliacao!A473,df_bloqueios_judiciais!G:G,"&lt;0")</f>
        <v/>
      </c>
      <c r="N473" s="10">
        <f>SUMIFS(df_extratos!I:I,df_extratos!F:F,Conciliacao!BE473,df_extratos!G:G,"DEBITO")+SUMIFS(df_extratos!I:I,df_extratos!F:F,Conciliacao!A473,df_extratos!G:G,"DEBITO")+SUMIFS(df_extratos!I:I,df_extratos!F:F,Conciliacao!BF473,df_extratos!G:G,"DEBITO")+SUMIFS(df_extratos!I:I,df_extratos!F:F,Conciliacao!BG473,df_extratos!G:G,"DEBITO")+SUMIFS(df_extratos!I:I,df_extratos!F:F,Conciliacao!BH473,df_extratos!G:G,"DEBITO")</f>
        <v/>
      </c>
      <c r="O473" s="11">
        <f>N473-SUM(J473:M473)</f>
        <v/>
      </c>
      <c r="P473" s="25">
        <f>SUMIFS(df_ajustes_conciliaco!D:D,df_ajustes_conciliaco!C:C,Conciliacao!A473)</f>
        <v/>
      </c>
      <c r="Q473" s="22">
        <f>O473+I473-P473</f>
        <v/>
      </c>
    </row>
    <row r="474">
      <c r="A474" s="5">
        <f>A473+1</f>
        <v/>
      </c>
      <c r="B474" s="3">
        <f>-SUMIFS(df_extrato_zig!G:G,df_extrato_zig!E:E,Conciliacao!A474,df_extrato_zig!D:D,"Saque")-SUMIFS(df_extrato_zig!G:G,df_extrato_zig!E:E,Conciliacao!A474,df_extrato_zig!D:D,"Antecipação")</f>
        <v/>
      </c>
      <c r="C474" s="3">
        <f>SUMIFS(df_extrato_zig!E:E,df_extrato_zig!L:L,Conciliacao!A474,df_extrato_zig!F:F,"DINHEIRO")</f>
        <v/>
      </c>
      <c r="D474" s="3">
        <f>SUMIFS(view_parc_agrup!H:H,view_parc_agrup!G:G,Conciliacao!A474)</f>
        <v/>
      </c>
      <c r="E474" s="3">
        <f>SUMIFS(df_eventos!F:F,df_eventos!H:H,Conciliacao!A474)</f>
        <v/>
      </c>
      <c r="F474" s="3">
        <f>SUMIFS(df_mutuos!M:M,df_mutuos!B:B,Conciliacao!A474)</f>
        <v/>
      </c>
      <c r="G474" s="6">
        <f>SUMIFS(df_bloqueios_judiciais!G:G,df_bloqueios_judiciais!D:D,Conciliacao!A474,df_bloqueios_judiciais!G:G,"&gt;0")</f>
        <v/>
      </c>
      <c r="H474" s="7">
        <f>SUMIFS(df_extratos!I:I,df_extratos!F:F,Conciliacao!BE474,df_extratos!G:G,"CREDITO")+SUMIFS(df_extratos!I:I,df_extratos!F:F,Conciliacao!A474,df_extratos!G:G,"CREDITO")+SUMIFS(df_extratos!I:I,df_extratos!F:F,Conciliacao!BF474,df_extratos!G:G,"CREDITO")+SUMIFS(df_extratos!I:I,df_extratos!F:F,Conciliacao!BG474,df_extratos!G:G,"CREDITO")+SUMIFS(df_extratos!I:I,df_extratos!F:F,Conciliacao!BH474,df_extratos!G:G,"CREDITO")</f>
        <v/>
      </c>
      <c r="I474" s="9">
        <f>H474-SUM(B474:G474)</f>
        <v/>
      </c>
      <c r="J474" s="4">
        <f>SUMIFS(df_blueme_sem_parcelamento!E:E,df_blueme_sem_parcelamento!H:H,Conciliacao!A474)*(-1)</f>
        <v/>
      </c>
      <c r="K474" s="4">
        <f>SUMIFS(df_blueme_com_parcelamento!J:J,df_blueme_com_parcelamento!M:M,Conciliacao!A474)*(-1)</f>
        <v/>
      </c>
      <c r="L474" s="4">
        <f>SUMIFS(df_mutuos!N:N,df_mutuos!B:B,Conciliacao!A474)*(-1)</f>
        <v/>
      </c>
      <c r="M474" s="8">
        <f>SUMIFS(df_bloqueios_judiciais!G:G,df_bloqueios_judiciais!D:D,Conciliacao!A474,df_bloqueios_judiciais!G:G,"&lt;0")</f>
        <v/>
      </c>
      <c r="N474" s="10">
        <f>SUMIFS(df_extratos!I:I,df_extratos!F:F,Conciliacao!BE474,df_extratos!G:G,"DEBITO")+SUMIFS(df_extratos!I:I,df_extratos!F:F,Conciliacao!A474,df_extratos!G:G,"DEBITO")+SUMIFS(df_extratos!I:I,df_extratos!F:F,Conciliacao!BF474,df_extratos!G:G,"DEBITO")+SUMIFS(df_extratos!I:I,df_extratos!F:F,Conciliacao!BG474,df_extratos!G:G,"DEBITO")+SUMIFS(df_extratos!I:I,df_extratos!F:F,Conciliacao!BH474,df_extratos!G:G,"DEBITO")</f>
        <v/>
      </c>
      <c r="O474" s="11">
        <f>N474-SUM(J474:M474)</f>
        <v/>
      </c>
      <c r="P474" s="25">
        <f>SUMIFS(df_ajustes_conciliaco!D:D,df_ajustes_conciliaco!C:C,Conciliacao!A474)</f>
        <v/>
      </c>
      <c r="Q474" s="22">
        <f>O474+I474-P474</f>
        <v/>
      </c>
    </row>
    <row r="475">
      <c r="A475" s="5">
        <f>A474+1</f>
        <v/>
      </c>
      <c r="B475" s="3">
        <f>-SUMIFS(df_extrato_zig!G:G,df_extrato_zig!E:E,Conciliacao!A475,df_extrato_zig!D:D,"Saque")-SUMIFS(df_extrato_zig!G:G,df_extrato_zig!E:E,Conciliacao!A475,df_extrato_zig!D:D,"Antecipação")</f>
        <v/>
      </c>
      <c r="C475" s="3">
        <f>SUMIFS(df_extrato_zig!E:E,df_extrato_zig!L:L,Conciliacao!A475,df_extrato_zig!F:F,"DINHEIRO")</f>
        <v/>
      </c>
      <c r="D475" s="3">
        <f>SUMIFS(view_parc_agrup!H:H,view_parc_agrup!G:G,Conciliacao!A475)</f>
        <v/>
      </c>
      <c r="E475" s="3">
        <f>SUMIFS(df_eventos!F:F,df_eventos!H:H,Conciliacao!A475)</f>
        <v/>
      </c>
      <c r="F475" s="3">
        <f>SUMIFS(df_mutuos!M:M,df_mutuos!B:B,Conciliacao!A475)</f>
        <v/>
      </c>
      <c r="G475" s="6">
        <f>SUMIFS(df_bloqueios_judiciais!G:G,df_bloqueios_judiciais!D:D,Conciliacao!A475,df_bloqueios_judiciais!G:G,"&gt;0")</f>
        <v/>
      </c>
      <c r="H475" s="7">
        <f>SUMIFS(df_extratos!I:I,df_extratos!F:F,Conciliacao!BE475,df_extratos!G:G,"CREDITO")+SUMIFS(df_extratos!I:I,df_extratos!F:F,Conciliacao!A475,df_extratos!G:G,"CREDITO")+SUMIFS(df_extratos!I:I,df_extratos!F:F,Conciliacao!BF475,df_extratos!G:G,"CREDITO")+SUMIFS(df_extratos!I:I,df_extratos!F:F,Conciliacao!BG475,df_extratos!G:G,"CREDITO")+SUMIFS(df_extratos!I:I,df_extratos!F:F,Conciliacao!BH475,df_extratos!G:G,"CREDITO")</f>
        <v/>
      </c>
      <c r="I475" s="9">
        <f>H475-SUM(B475:G475)</f>
        <v/>
      </c>
      <c r="J475" s="4">
        <f>SUMIFS(df_blueme_sem_parcelamento!E:E,df_blueme_sem_parcelamento!H:H,Conciliacao!A475)*(-1)</f>
        <v/>
      </c>
      <c r="K475" s="4">
        <f>SUMIFS(df_blueme_com_parcelamento!J:J,df_blueme_com_parcelamento!M:M,Conciliacao!A475)*(-1)</f>
        <v/>
      </c>
      <c r="L475" s="4">
        <f>SUMIFS(df_mutuos!N:N,df_mutuos!B:B,Conciliacao!A475)*(-1)</f>
        <v/>
      </c>
      <c r="M475" s="8">
        <f>SUMIFS(df_bloqueios_judiciais!G:G,df_bloqueios_judiciais!D:D,Conciliacao!A475,df_bloqueios_judiciais!G:G,"&lt;0")</f>
        <v/>
      </c>
      <c r="N475" s="10">
        <f>SUMIFS(df_extratos!I:I,df_extratos!F:F,Conciliacao!BE475,df_extratos!G:G,"DEBITO")+SUMIFS(df_extratos!I:I,df_extratos!F:F,Conciliacao!A475,df_extratos!G:G,"DEBITO")+SUMIFS(df_extratos!I:I,df_extratos!F:F,Conciliacao!BF475,df_extratos!G:G,"DEBITO")+SUMIFS(df_extratos!I:I,df_extratos!F:F,Conciliacao!BG475,df_extratos!G:G,"DEBITO")+SUMIFS(df_extratos!I:I,df_extratos!F:F,Conciliacao!BH475,df_extratos!G:G,"DEBITO")</f>
        <v/>
      </c>
      <c r="O475" s="11">
        <f>N475-SUM(J475:M475)</f>
        <v/>
      </c>
      <c r="P475" s="25">
        <f>SUMIFS(df_ajustes_conciliaco!D:D,df_ajustes_conciliaco!C:C,Conciliacao!A475)</f>
        <v/>
      </c>
      <c r="Q475" s="22">
        <f>O475+I475-P475</f>
        <v/>
      </c>
    </row>
    <row r="476">
      <c r="A476" s="5">
        <f>A475+1</f>
        <v/>
      </c>
      <c r="B476" s="3">
        <f>-SUMIFS(df_extrato_zig!G:G,df_extrato_zig!E:E,Conciliacao!A476,df_extrato_zig!D:D,"Saque")-SUMIFS(df_extrato_zig!G:G,df_extrato_zig!E:E,Conciliacao!A476,df_extrato_zig!D:D,"Antecipação")</f>
        <v/>
      </c>
      <c r="C476" s="3">
        <f>SUMIFS(df_extrato_zig!E:E,df_extrato_zig!L:L,Conciliacao!A476,df_extrato_zig!F:F,"DINHEIRO")</f>
        <v/>
      </c>
      <c r="D476" s="3">
        <f>SUMIFS(view_parc_agrup!H:H,view_parc_agrup!G:G,Conciliacao!A476)</f>
        <v/>
      </c>
      <c r="E476" s="3">
        <f>SUMIFS(df_eventos!F:F,df_eventos!H:H,Conciliacao!A476)</f>
        <v/>
      </c>
      <c r="F476" s="3">
        <f>SUMIFS(df_mutuos!M:M,df_mutuos!B:B,Conciliacao!A476)</f>
        <v/>
      </c>
      <c r="G476" s="6">
        <f>SUMIFS(df_bloqueios_judiciais!G:G,df_bloqueios_judiciais!D:D,Conciliacao!A476,df_bloqueios_judiciais!G:G,"&gt;0")</f>
        <v/>
      </c>
      <c r="H476" s="7">
        <f>SUMIFS(df_extratos!I:I,df_extratos!F:F,Conciliacao!BE476,df_extratos!G:G,"CREDITO")+SUMIFS(df_extratos!I:I,df_extratos!F:F,Conciliacao!A476,df_extratos!G:G,"CREDITO")+SUMIFS(df_extratos!I:I,df_extratos!F:F,Conciliacao!BF476,df_extratos!G:G,"CREDITO")+SUMIFS(df_extratos!I:I,df_extratos!F:F,Conciliacao!BG476,df_extratos!G:G,"CREDITO")+SUMIFS(df_extratos!I:I,df_extratos!F:F,Conciliacao!BH476,df_extratos!G:G,"CREDITO")</f>
        <v/>
      </c>
      <c r="I476" s="9">
        <f>H476-SUM(B476:G476)</f>
        <v/>
      </c>
      <c r="J476" s="4">
        <f>SUMIFS(df_blueme_sem_parcelamento!E:E,df_blueme_sem_parcelamento!H:H,Conciliacao!A476)*(-1)</f>
        <v/>
      </c>
      <c r="K476" s="4">
        <f>SUMIFS(df_blueme_com_parcelamento!J:J,df_blueme_com_parcelamento!M:M,Conciliacao!A476)*(-1)</f>
        <v/>
      </c>
      <c r="L476" s="4">
        <f>SUMIFS(df_mutuos!N:N,df_mutuos!B:B,Conciliacao!A476)*(-1)</f>
        <v/>
      </c>
      <c r="M476" s="8">
        <f>SUMIFS(df_bloqueios_judiciais!G:G,df_bloqueios_judiciais!D:D,Conciliacao!A476,df_bloqueios_judiciais!G:G,"&lt;0")</f>
        <v/>
      </c>
      <c r="N476" s="10">
        <f>SUMIFS(df_extratos!I:I,df_extratos!F:F,Conciliacao!BE476,df_extratos!G:G,"DEBITO")+SUMIFS(df_extratos!I:I,df_extratos!F:F,Conciliacao!A476,df_extratos!G:G,"DEBITO")+SUMIFS(df_extratos!I:I,df_extratos!F:F,Conciliacao!BF476,df_extratos!G:G,"DEBITO")+SUMIFS(df_extratos!I:I,df_extratos!F:F,Conciliacao!BG476,df_extratos!G:G,"DEBITO")+SUMIFS(df_extratos!I:I,df_extratos!F:F,Conciliacao!BH476,df_extratos!G:G,"DEBITO")</f>
        <v/>
      </c>
      <c r="O476" s="11">
        <f>N476-SUM(J476:M476)</f>
        <v/>
      </c>
      <c r="P476" s="25">
        <f>SUMIFS(df_ajustes_conciliaco!D:D,df_ajustes_conciliaco!C:C,Conciliacao!A476)</f>
        <v/>
      </c>
      <c r="Q476" s="22">
        <f>O476+I476-P476</f>
        <v/>
      </c>
    </row>
    <row r="477">
      <c r="A477" s="5">
        <f>A476+1</f>
        <v/>
      </c>
      <c r="B477" s="3">
        <f>-SUMIFS(df_extrato_zig!G:G,df_extrato_zig!E:E,Conciliacao!A477,df_extrato_zig!D:D,"Saque")-SUMIFS(df_extrato_zig!G:G,df_extrato_zig!E:E,Conciliacao!A477,df_extrato_zig!D:D,"Antecipação")</f>
        <v/>
      </c>
      <c r="C477" s="3">
        <f>SUMIFS(df_extrato_zig!E:E,df_extrato_zig!L:L,Conciliacao!A477,df_extrato_zig!F:F,"DINHEIRO")</f>
        <v/>
      </c>
      <c r="D477" s="3">
        <f>SUMIFS(view_parc_agrup!H:H,view_parc_agrup!G:G,Conciliacao!A477)</f>
        <v/>
      </c>
      <c r="E477" s="3">
        <f>SUMIFS(df_eventos!F:F,df_eventos!H:H,Conciliacao!A477)</f>
        <v/>
      </c>
      <c r="F477" s="3">
        <f>SUMIFS(df_mutuos!M:M,df_mutuos!B:B,Conciliacao!A477)</f>
        <v/>
      </c>
      <c r="G477" s="6">
        <f>SUMIFS(df_bloqueios_judiciais!G:G,df_bloqueios_judiciais!D:D,Conciliacao!A477,df_bloqueios_judiciais!G:G,"&gt;0")</f>
        <v/>
      </c>
      <c r="H477" s="7">
        <f>SUMIFS(df_extratos!I:I,df_extratos!F:F,Conciliacao!BE477,df_extratos!G:G,"CREDITO")+SUMIFS(df_extratos!I:I,df_extratos!F:F,Conciliacao!A477,df_extratos!G:G,"CREDITO")+SUMIFS(df_extratos!I:I,df_extratos!F:F,Conciliacao!BF477,df_extratos!G:G,"CREDITO")+SUMIFS(df_extratos!I:I,df_extratos!F:F,Conciliacao!BG477,df_extratos!G:G,"CREDITO")+SUMIFS(df_extratos!I:I,df_extratos!F:F,Conciliacao!BH477,df_extratos!G:G,"CREDITO")</f>
        <v/>
      </c>
      <c r="I477" s="9">
        <f>H477-SUM(B477:G477)</f>
        <v/>
      </c>
      <c r="J477" s="4">
        <f>SUMIFS(df_blueme_sem_parcelamento!E:E,df_blueme_sem_parcelamento!H:H,Conciliacao!A477)*(-1)</f>
        <v/>
      </c>
      <c r="K477" s="4">
        <f>SUMIFS(df_blueme_com_parcelamento!J:J,df_blueme_com_parcelamento!M:M,Conciliacao!A477)*(-1)</f>
        <v/>
      </c>
      <c r="L477" s="4">
        <f>SUMIFS(df_mutuos!N:N,df_mutuos!B:B,Conciliacao!A477)*(-1)</f>
        <v/>
      </c>
      <c r="M477" s="8">
        <f>SUMIFS(df_bloqueios_judiciais!G:G,df_bloqueios_judiciais!D:D,Conciliacao!A477,df_bloqueios_judiciais!G:G,"&lt;0")</f>
        <v/>
      </c>
      <c r="N477" s="10">
        <f>SUMIFS(df_extratos!I:I,df_extratos!F:F,Conciliacao!BE477,df_extratos!G:G,"DEBITO")+SUMIFS(df_extratos!I:I,df_extratos!F:F,Conciliacao!A477,df_extratos!G:G,"DEBITO")+SUMIFS(df_extratos!I:I,df_extratos!F:F,Conciliacao!BF477,df_extratos!G:G,"DEBITO")+SUMIFS(df_extratos!I:I,df_extratos!F:F,Conciliacao!BG477,df_extratos!G:G,"DEBITO")+SUMIFS(df_extratos!I:I,df_extratos!F:F,Conciliacao!BH477,df_extratos!G:G,"DEBITO")</f>
        <v/>
      </c>
      <c r="O477" s="11">
        <f>N477-SUM(J477:M477)</f>
        <v/>
      </c>
      <c r="P477" s="25">
        <f>SUMIFS(df_ajustes_conciliaco!D:D,df_ajustes_conciliaco!C:C,Conciliacao!A477)</f>
        <v/>
      </c>
      <c r="Q477" s="22">
        <f>O477+I477-P477</f>
        <v/>
      </c>
    </row>
    <row r="478">
      <c r="A478" s="5">
        <f>A477+1</f>
        <v/>
      </c>
      <c r="B478" s="3">
        <f>-SUMIFS(df_extrato_zig!G:G,df_extrato_zig!E:E,Conciliacao!A478,df_extrato_zig!D:D,"Saque")-SUMIFS(df_extrato_zig!G:G,df_extrato_zig!E:E,Conciliacao!A478,df_extrato_zig!D:D,"Antecipação")</f>
        <v/>
      </c>
      <c r="C478" s="3">
        <f>SUMIFS(df_extrato_zig!E:E,df_extrato_zig!L:L,Conciliacao!A478,df_extrato_zig!F:F,"DINHEIRO")</f>
        <v/>
      </c>
      <c r="D478" s="3">
        <f>SUMIFS(view_parc_agrup!H:H,view_parc_agrup!G:G,Conciliacao!A478)</f>
        <v/>
      </c>
      <c r="E478" s="3">
        <f>SUMIFS(df_eventos!F:F,df_eventos!H:H,Conciliacao!A478)</f>
        <v/>
      </c>
      <c r="F478" s="3">
        <f>SUMIFS(df_mutuos!M:M,df_mutuos!B:B,Conciliacao!A478)</f>
        <v/>
      </c>
      <c r="G478" s="6">
        <f>SUMIFS(df_bloqueios_judiciais!G:G,df_bloqueios_judiciais!D:D,Conciliacao!A478,df_bloqueios_judiciais!G:G,"&gt;0")</f>
        <v/>
      </c>
      <c r="H478" s="7">
        <f>SUMIFS(df_extratos!I:I,df_extratos!F:F,Conciliacao!BE478,df_extratos!G:G,"CREDITO")+SUMIFS(df_extratos!I:I,df_extratos!F:F,Conciliacao!A478,df_extratos!G:G,"CREDITO")+SUMIFS(df_extratos!I:I,df_extratos!F:F,Conciliacao!BF478,df_extratos!G:G,"CREDITO")+SUMIFS(df_extratos!I:I,df_extratos!F:F,Conciliacao!BG478,df_extratos!G:G,"CREDITO")+SUMIFS(df_extratos!I:I,df_extratos!F:F,Conciliacao!BH478,df_extratos!G:G,"CREDITO")</f>
        <v/>
      </c>
      <c r="I478" s="9">
        <f>H478-SUM(B478:G478)</f>
        <v/>
      </c>
      <c r="J478" s="4">
        <f>SUMIFS(df_blueme_sem_parcelamento!E:E,df_blueme_sem_parcelamento!H:H,Conciliacao!A478)*(-1)</f>
        <v/>
      </c>
      <c r="K478" s="4">
        <f>SUMIFS(df_blueme_com_parcelamento!J:J,df_blueme_com_parcelamento!M:M,Conciliacao!A478)*(-1)</f>
        <v/>
      </c>
      <c r="L478" s="4">
        <f>SUMIFS(df_mutuos!N:N,df_mutuos!B:B,Conciliacao!A478)*(-1)</f>
        <v/>
      </c>
      <c r="M478" s="8">
        <f>SUMIFS(df_bloqueios_judiciais!G:G,df_bloqueios_judiciais!D:D,Conciliacao!A478,df_bloqueios_judiciais!G:G,"&lt;0")</f>
        <v/>
      </c>
      <c r="N478" s="10">
        <f>SUMIFS(df_extratos!I:I,df_extratos!F:F,Conciliacao!BE478,df_extratos!G:G,"DEBITO")+SUMIFS(df_extratos!I:I,df_extratos!F:F,Conciliacao!A478,df_extratos!G:G,"DEBITO")+SUMIFS(df_extratos!I:I,df_extratos!F:F,Conciliacao!BF478,df_extratos!G:G,"DEBITO")+SUMIFS(df_extratos!I:I,df_extratos!F:F,Conciliacao!BG478,df_extratos!G:G,"DEBITO")+SUMIFS(df_extratos!I:I,df_extratos!F:F,Conciliacao!BH478,df_extratos!G:G,"DEBITO")</f>
        <v/>
      </c>
      <c r="O478" s="11">
        <f>N478-SUM(J478:M478)</f>
        <v/>
      </c>
      <c r="P478" s="25">
        <f>SUMIFS(df_ajustes_conciliaco!D:D,df_ajustes_conciliaco!C:C,Conciliacao!A478)</f>
        <v/>
      </c>
      <c r="Q478" s="22">
        <f>O478+I478-P478</f>
        <v/>
      </c>
    </row>
    <row r="479">
      <c r="A479" s="5">
        <f>A478+1</f>
        <v/>
      </c>
      <c r="B479" s="3">
        <f>-SUMIFS(df_extrato_zig!G:G,df_extrato_zig!E:E,Conciliacao!A479,df_extrato_zig!D:D,"Saque")-SUMIFS(df_extrato_zig!G:G,df_extrato_zig!E:E,Conciliacao!A479,df_extrato_zig!D:D,"Antecipação")</f>
        <v/>
      </c>
      <c r="C479" s="3">
        <f>SUMIFS(df_extrato_zig!E:E,df_extrato_zig!L:L,Conciliacao!A479,df_extrato_zig!F:F,"DINHEIRO")</f>
        <v/>
      </c>
      <c r="D479" s="3">
        <f>SUMIFS(view_parc_agrup!H:H,view_parc_agrup!G:G,Conciliacao!A479)</f>
        <v/>
      </c>
      <c r="E479" s="3">
        <f>SUMIFS(df_eventos!F:F,df_eventos!H:H,Conciliacao!A479)</f>
        <v/>
      </c>
      <c r="F479" s="3">
        <f>SUMIFS(df_mutuos!M:M,df_mutuos!B:B,Conciliacao!A479)</f>
        <v/>
      </c>
      <c r="G479" s="6">
        <f>SUMIFS(df_bloqueios_judiciais!G:G,df_bloqueios_judiciais!D:D,Conciliacao!A479,df_bloqueios_judiciais!G:G,"&gt;0")</f>
        <v/>
      </c>
      <c r="H479" s="7">
        <f>SUMIFS(df_extratos!I:I,df_extratos!F:F,Conciliacao!BE479,df_extratos!G:G,"CREDITO")+SUMIFS(df_extratos!I:I,df_extratos!F:F,Conciliacao!A479,df_extratos!G:G,"CREDITO")+SUMIFS(df_extratos!I:I,df_extratos!F:F,Conciliacao!BF479,df_extratos!G:G,"CREDITO")+SUMIFS(df_extratos!I:I,df_extratos!F:F,Conciliacao!BG479,df_extratos!G:G,"CREDITO")+SUMIFS(df_extratos!I:I,df_extratos!F:F,Conciliacao!BH479,df_extratos!G:G,"CREDITO")</f>
        <v/>
      </c>
      <c r="I479" s="9">
        <f>H479-SUM(B479:G479)</f>
        <v/>
      </c>
      <c r="J479" s="4">
        <f>SUMIFS(df_blueme_sem_parcelamento!E:E,df_blueme_sem_parcelamento!H:H,Conciliacao!A479)*(-1)</f>
        <v/>
      </c>
      <c r="K479" s="4">
        <f>SUMIFS(df_blueme_com_parcelamento!J:J,df_blueme_com_parcelamento!M:M,Conciliacao!A479)*(-1)</f>
        <v/>
      </c>
      <c r="L479" s="4">
        <f>SUMIFS(df_mutuos!N:N,df_mutuos!B:B,Conciliacao!A479)*(-1)</f>
        <v/>
      </c>
      <c r="M479" s="8">
        <f>SUMIFS(df_bloqueios_judiciais!G:G,df_bloqueios_judiciais!D:D,Conciliacao!A479,df_bloqueios_judiciais!G:G,"&lt;0")</f>
        <v/>
      </c>
      <c r="N479" s="10">
        <f>SUMIFS(df_extratos!I:I,df_extratos!F:F,Conciliacao!BE479,df_extratos!G:G,"DEBITO")+SUMIFS(df_extratos!I:I,df_extratos!F:F,Conciliacao!A479,df_extratos!G:G,"DEBITO")+SUMIFS(df_extratos!I:I,df_extratos!F:F,Conciliacao!BF479,df_extratos!G:G,"DEBITO")+SUMIFS(df_extratos!I:I,df_extratos!F:F,Conciliacao!BG479,df_extratos!G:G,"DEBITO")+SUMIFS(df_extratos!I:I,df_extratos!F:F,Conciliacao!BH479,df_extratos!G:G,"DEBITO")</f>
        <v/>
      </c>
      <c r="O479" s="11">
        <f>N479-SUM(J479:M479)</f>
        <v/>
      </c>
      <c r="P479" s="25">
        <f>SUMIFS(df_ajustes_conciliaco!D:D,df_ajustes_conciliaco!C:C,Conciliacao!A479)</f>
        <v/>
      </c>
      <c r="Q479" s="22">
        <f>O479+I479-P479</f>
        <v/>
      </c>
    </row>
    <row r="480">
      <c r="A480" s="5">
        <f>A479+1</f>
        <v/>
      </c>
      <c r="B480" s="3">
        <f>-SUMIFS(df_extrato_zig!G:G,df_extrato_zig!E:E,Conciliacao!A480,df_extrato_zig!D:D,"Saque")-SUMIFS(df_extrato_zig!G:G,df_extrato_zig!E:E,Conciliacao!A480,df_extrato_zig!D:D,"Antecipação")</f>
        <v/>
      </c>
      <c r="C480" s="3">
        <f>SUMIFS(df_extrato_zig!E:E,df_extrato_zig!L:L,Conciliacao!A480,df_extrato_zig!F:F,"DINHEIRO")</f>
        <v/>
      </c>
      <c r="D480" s="3">
        <f>SUMIFS(view_parc_agrup!H:H,view_parc_agrup!G:G,Conciliacao!A480)</f>
        <v/>
      </c>
      <c r="E480" s="3">
        <f>SUMIFS(df_eventos!F:F,df_eventos!H:H,Conciliacao!A480)</f>
        <v/>
      </c>
      <c r="F480" s="3">
        <f>SUMIFS(df_mutuos!M:M,df_mutuos!B:B,Conciliacao!A480)</f>
        <v/>
      </c>
      <c r="G480" s="6">
        <f>SUMIFS(df_bloqueios_judiciais!G:G,df_bloqueios_judiciais!D:D,Conciliacao!A480,df_bloqueios_judiciais!G:G,"&gt;0")</f>
        <v/>
      </c>
      <c r="H480" s="7">
        <f>SUMIFS(df_extratos!I:I,df_extratos!F:F,Conciliacao!BE480,df_extratos!G:G,"CREDITO")+SUMIFS(df_extratos!I:I,df_extratos!F:F,Conciliacao!A480,df_extratos!G:G,"CREDITO")+SUMIFS(df_extratos!I:I,df_extratos!F:F,Conciliacao!BF480,df_extratos!G:G,"CREDITO")+SUMIFS(df_extratos!I:I,df_extratos!F:F,Conciliacao!BG480,df_extratos!G:G,"CREDITO")+SUMIFS(df_extratos!I:I,df_extratos!F:F,Conciliacao!BH480,df_extratos!G:G,"CREDITO")</f>
        <v/>
      </c>
      <c r="I480" s="9">
        <f>H480-SUM(B480:G480)</f>
        <v/>
      </c>
      <c r="J480" s="4">
        <f>SUMIFS(df_blueme_sem_parcelamento!E:E,df_blueme_sem_parcelamento!H:H,Conciliacao!A480)*(-1)</f>
        <v/>
      </c>
      <c r="K480" s="4">
        <f>SUMIFS(df_blueme_com_parcelamento!J:J,df_blueme_com_parcelamento!M:M,Conciliacao!A480)*(-1)</f>
        <v/>
      </c>
      <c r="L480" s="4">
        <f>SUMIFS(df_mutuos!N:N,df_mutuos!B:B,Conciliacao!A480)*(-1)</f>
        <v/>
      </c>
      <c r="M480" s="8">
        <f>SUMIFS(df_bloqueios_judiciais!G:G,df_bloqueios_judiciais!D:D,Conciliacao!A480,df_bloqueios_judiciais!G:G,"&lt;0")</f>
        <v/>
      </c>
      <c r="N480" s="10">
        <f>SUMIFS(df_extratos!I:I,df_extratos!F:F,Conciliacao!BE480,df_extratos!G:G,"DEBITO")+SUMIFS(df_extratos!I:I,df_extratos!F:F,Conciliacao!A480,df_extratos!G:G,"DEBITO")+SUMIFS(df_extratos!I:I,df_extratos!F:F,Conciliacao!BF480,df_extratos!G:G,"DEBITO")+SUMIFS(df_extratos!I:I,df_extratos!F:F,Conciliacao!BG480,df_extratos!G:G,"DEBITO")+SUMIFS(df_extratos!I:I,df_extratos!F:F,Conciliacao!BH480,df_extratos!G:G,"DEBITO")</f>
        <v/>
      </c>
      <c r="O480" s="11">
        <f>N480-SUM(J480:M480)</f>
        <v/>
      </c>
      <c r="P480" s="25">
        <f>SUMIFS(df_ajustes_conciliaco!D:D,df_ajustes_conciliaco!C:C,Conciliacao!A480)</f>
        <v/>
      </c>
      <c r="Q480" s="22">
        <f>O480+I480-P480</f>
        <v/>
      </c>
    </row>
    <row r="481">
      <c r="A481" s="5">
        <f>A480+1</f>
        <v/>
      </c>
      <c r="B481" s="3">
        <f>-SUMIFS(df_extrato_zig!G:G,df_extrato_zig!E:E,Conciliacao!A481,df_extrato_zig!D:D,"Saque")-SUMIFS(df_extrato_zig!G:G,df_extrato_zig!E:E,Conciliacao!A481,df_extrato_zig!D:D,"Antecipação")</f>
        <v/>
      </c>
      <c r="C481" s="3">
        <f>SUMIFS(df_extrato_zig!E:E,df_extrato_zig!L:L,Conciliacao!A481,df_extrato_zig!F:F,"DINHEIRO")</f>
        <v/>
      </c>
      <c r="D481" s="3">
        <f>SUMIFS(view_parc_agrup!H:H,view_parc_agrup!G:G,Conciliacao!A481)</f>
        <v/>
      </c>
      <c r="E481" s="3">
        <f>SUMIFS(df_eventos!F:F,df_eventos!H:H,Conciliacao!A481)</f>
        <v/>
      </c>
      <c r="F481" s="3">
        <f>SUMIFS(df_mutuos!M:M,df_mutuos!B:B,Conciliacao!A481)</f>
        <v/>
      </c>
      <c r="G481" s="6">
        <f>SUMIFS(df_bloqueios_judiciais!G:G,df_bloqueios_judiciais!D:D,Conciliacao!A481,df_bloqueios_judiciais!G:G,"&gt;0")</f>
        <v/>
      </c>
      <c r="H481" s="7">
        <f>SUMIFS(df_extratos!I:I,df_extratos!F:F,Conciliacao!BE481,df_extratos!G:G,"CREDITO")+SUMIFS(df_extratos!I:I,df_extratos!F:F,Conciliacao!A481,df_extratos!G:G,"CREDITO")+SUMIFS(df_extratos!I:I,df_extratos!F:F,Conciliacao!BF481,df_extratos!G:G,"CREDITO")+SUMIFS(df_extratos!I:I,df_extratos!F:F,Conciliacao!BG481,df_extratos!G:G,"CREDITO")+SUMIFS(df_extratos!I:I,df_extratos!F:F,Conciliacao!BH481,df_extratos!G:G,"CREDITO")</f>
        <v/>
      </c>
      <c r="I481" s="9">
        <f>H481-SUM(B481:G481)</f>
        <v/>
      </c>
      <c r="J481" s="4">
        <f>SUMIFS(df_blueme_sem_parcelamento!E:E,df_blueme_sem_parcelamento!H:H,Conciliacao!A481)*(-1)</f>
        <v/>
      </c>
      <c r="K481" s="4">
        <f>SUMIFS(df_blueme_com_parcelamento!J:J,df_blueme_com_parcelamento!M:M,Conciliacao!A481)*(-1)</f>
        <v/>
      </c>
      <c r="L481" s="4">
        <f>SUMIFS(df_mutuos!N:N,df_mutuos!B:B,Conciliacao!A481)*(-1)</f>
        <v/>
      </c>
      <c r="M481" s="8">
        <f>SUMIFS(df_bloqueios_judiciais!G:G,df_bloqueios_judiciais!D:D,Conciliacao!A481,df_bloqueios_judiciais!G:G,"&lt;0")</f>
        <v/>
      </c>
      <c r="N481" s="10">
        <f>SUMIFS(df_extratos!I:I,df_extratos!F:F,Conciliacao!BE481,df_extratos!G:G,"DEBITO")+SUMIFS(df_extratos!I:I,df_extratos!F:F,Conciliacao!A481,df_extratos!G:G,"DEBITO")+SUMIFS(df_extratos!I:I,df_extratos!F:F,Conciliacao!BF481,df_extratos!G:G,"DEBITO")+SUMIFS(df_extratos!I:I,df_extratos!F:F,Conciliacao!BG481,df_extratos!G:G,"DEBITO")+SUMIFS(df_extratos!I:I,df_extratos!F:F,Conciliacao!BH481,df_extratos!G:G,"DEBITO")</f>
        <v/>
      </c>
      <c r="O481" s="11">
        <f>N481-SUM(J481:M481)</f>
        <v/>
      </c>
      <c r="P481" s="25">
        <f>SUMIFS(df_ajustes_conciliaco!D:D,df_ajustes_conciliaco!C:C,Conciliacao!A481)</f>
        <v/>
      </c>
      <c r="Q481" s="22">
        <f>O481+I481-P481</f>
        <v/>
      </c>
    </row>
    <row r="482">
      <c r="A482" s="5">
        <f>A481+1</f>
        <v/>
      </c>
      <c r="B482" s="3">
        <f>-SUMIFS(df_extrato_zig!G:G,df_extrato_zig!E:E,Conciliacao!A482,df_extrato_zig!D:D,"Saque")-SUMIFS(df_extrato_zig!G:G,df_extrato_zig!E:E,Conciliacao!A482,df_extrato_zig!D:D,"Antecipação")</f>
        <v/>
      </c>
      <c r="C482" s="3">
        <f>SUMIFS(df_extrato_zig!E:E,df_extrato_zig!L:L,Conciliacao!A482,df_extrato_zig!F:F,"DINHEIRO")</f>
        <v/>
      </c>
      <c r="D482" s="3">
        <f>SUMIFS(view_parc_agrup!H:H,view_parc_agrup!G:G,Conciliacao!A482)</f>
        <v/>
      </c>
      <c r="E482" s="3">
        <f>SUMIFS(df_eventos!F:F,df_eventos!H:H,Conciliacao!A482)</f>
        <v/>
      </c>
      <c r="F482" s="3">
        <f>SUMIFS(df_mutuos!M:M,df_mutuos!B:B,Conciliacao!A482)</f>
        <v/>
      </c>
      <c r="G482" s="6">
        <f>SUMIFS(df_bloqueios_judiciais!G:G,df_bloqueios_judiciais!D:D,Conciliacao!A482,df_bloqueios_judiciais!G:G,"&gt;0")</f>
        <v/>
      </c>
      <c r="H482" s="7">
        <f>SUMIFS(df_extratos!I:I,df_extratos!F:F,Conciliacao!BE482,df_extratos!G:G,"CREDITO")+SUMIFS(df_extratos!I:I,df_extratos!F:F,Conciliacao!A482,df_extratos!G:G,"CREDITO")+SUMIFS(df_extratos!I:I,df_extratos!F:F,Conciliacao!BF482,df_extratos!G:G,"CREDITO")+SUMIFS(df_extratos!I:I,df_extratos!F:F,Conciliacao!BG482,df_extratos!G:G,"CREDITO")+SUMIFS(df_extratos!I:I,df_extratos!F:F,Conciliacao!BH482,df_extratos!G:G,"CREDITO")</f>
        <v/>
      </c>
      <c r="I482" s="9">
        <f>H482-SUM(B482:G482)</f>
        <v/>
      </c>
      <c r="J482" s="4">
        <f>SUMIFS(df_blueme_sem_parcelamento!E:E,df_blueme_sem_parcelamento!H:H,Conciliacao!A482)*(-1)</f>
        <v/>
      </c>
      <c r="K482" s="4">
        <f>SUMIFS(df_blueme_com_parcelamento!J:J,df_blueme_com_parcelamento!M:M,Conciliacao!A482)*(-1)</f>
        <v/>
      </c>
      <c r="L482" s="4">
        <f>SUMIFS(df_mutuos!N:N,df_mutuos!B:B,Conciliacao!A482)*(-1)</f>
        <v/>
      </c>
      <c r="M482" s="8">
        <f>SUMIFS(df_bloqueios_judiciais!G:G,df_bloqueios_judiciais!D:D,Conciliacao!A482,df_bloqueios_judiciais!G:G,"&lt;0")</f>
        <v/>
      </c>
      <c r="N482" s="10">
        <f>SUMIFS(df_extratos!I:I,df_extratos!F:F,Conciliacao!BE482,df_extratos!G:G,"DEBITO")+SUMIFS(df_extratos!I:I,df_extratos!F:F,Conciliacao!A482,df_extratos!G:G,"DEBITO")+SUMIFS(df_extratos!I:I,df_extratos!F:F,Conciliacao!BF482,df_extratos!G:G,"DEBITO")+SUMIFS(df_extratos!I:I,df_extratos!F:F,Conciliacao!BG482,df_extratos!G:G,"DEBITO")+SUMIFS(df_extratos!I:I,df_extratos!F:F,Conciliacao!BH482,df_extratos!G:G,"DEBITO")</f>
        <v/>
      </c>
      <c r="O482" s="11">
        <f>N482-SUM(J482:M482)</f>
        <v/>
      </c>
      <c r="P482" s="25">
        <f>SUMIFS(df_ajustes_conciliaco!D:D,df_ajustes_conciliaco!C:C,Conciliacao!A482)</f>
        <v/>
      </c>
      <c r="Q482" s="22">
        <f>O482+I482-P482</f>
        <v/>
      </c>
    </row>
    <row r="483">
      <c r="A483" s="5">
        <f>A482+1</f>
        <v/>
      </c>
      <c r="B483" s="3">
        <f>-SUMIFS(df_extrato_zig!G:G,df_extrato_zig!E:E,Conciliacao!A483,df_extrato_zig!D:D,"Saque")-SUMIFS(df_extrato_zig!G:G,df_extrato_zig!E:E,Conciliacao!A483,df_extrato_zig!D:D,"Antecipação")</f>
        <v/>
      </c>
      <c r="C483" s="3">
        <f>SUMIFS(df_extrato_zig!E:E,df_extrato_zig!L:L,Conciliacao!A483,df_extrato_zig!F:F,"DINHEIRO")</f>
        <v/>
      </c>
      <c r="D483" s="3">
        <f>SUMIFS(view_parc_agrup!H:H,view_parc_agrup!G:G,Conciliacao!A483)</f>
        <v/>
      </c>
      <c r="E483" s="3">
        <f>SUMIFS(df_eventos!F:F,df_eventos!H:H,Conciliacao!A483)</f>
        <v/>
      </c>
      <c r="F483" s="3">
        <f>SUMIFS(df_mutuos!M:M,df_mutuos!B:B,Conciliacao!A483)</f>
        <v/>
      </c>
      <c r="G483" s="6">
        <f>SUMIFS(df_bloqueios_judiciais!G:G,df_bloqueios_judiciais!D:D,Conciliacao!A483,df_bloqueios_judiciais!G:G,"&gt;0")</f>
        <v/>
      </c>
      <c r="H483" s="7">
        <f>SUMIFS(df_extratos!I:I,df_extratos!F:F,Conciliacao!BE483,df_extratos!G:G,"CREDITO")+SUMIFS(df_extratos!I:I,df_extratos!F:F,Conciliacao!A483,df_extratos!G:G,"CREDITO")+SUMIFS(df_extratos!I:I,df_extratos!F:F,Conciliacao!BF483,df_extratos!G:G,"CREDITO")+SUMIFS(df_extratos!I:I,df_extratos!F:F,Conciliacao!BG483,df_extratos!G:G,"CREDITO")+SUMIFS(df_extratos!I:I,df_extratos!F:F,Conciliacao!BH483,df_extratos!G:G,"CREDITO")</f>
        <v/>
      </c>
      <c r="I483" s="9">
        <f>H483-SUM(B483:G483)</f>
        <v/>
      </c>
      <c r="J483" s="4">
        <f>SUMIFS(df_blueme_sem_parcelamento!E:E,df_blueme_sem_parcelamento!H:H,Conciliacao!A483)*(-1)</f>
        <v/>
      </c>
      <c r="K483" s="4">
        <f>SUMIFS(df_blueme_com_parcelamento!J:J,df_blueme_com_parcelamento!M:M,Conciliacao!A483)*(-1)</f>
        <v/>
      </c>
      <c r="L483" s="4">
        <f>SUMIFS(df_mutuos!N:N,df_mutuos!B:B,Conciliacao!A483)*(-1)</f>
        <v/>
      </c>
      <c r="M483" s="8">
        <f>SUMIFS(df_bloqueios_judiciais!G:G,df_bloqueios_judiciais!D:D,Conciliacao!A483,df_bloqueios_judiciais!G:G,"&lt;0")</f>
        <v/>
      </c>
      <c r="N483" s="10">
        <f>SUMIFS(df_extratos!I:I,df_extratos!F:F,Conciliacao!BE483,df_extratos!G:G,"DEBITO")+SUMIFS(df_extratos!I:I,df_extratos!F:F,Conciliacao!A483,df_extratos!G:G,"DEBITO")+SUMIFS(df_extratos!I:I,df_extratos!F:F,Conciliacao!BF483,df_extratos!G:G,"DEBITO")+SUMIFS(df_extratos!I:I,df_extratos!F:F,Conciliacao!BG483,df_extratos!G:G,"DEBITO")+SUMIFS(df_extratos!I:I,df_extratos!F:F,Conciliacao!BH483,df_extratos!G:G,"DEBITO")</f>
        <v/>
      </c>
      <c r="O483" s="11">
        <f>N483-SUM(J483:M483)</f>
        <v/>
      </c>
      <c r="P483" s="25">
        <f>SUMIFS(df_ajustes_conciliaco!D:D,df_ajustes_conciliaco!C:C,Conciliacao!A483)</f>
        <v/>
      </c>
      <c r="Q483" s="22">
        <f>O483+I483-P483</f>
        <v/>
      </c>
    </row>
    <row r="484">
      <c r="A484" s="5">
        <f>A483+1</f>
        <v/>
      </c>
      <c r="B484" s="3">
        <f>-SUMIFS(df_extrato_zig!G:G,df_extrato_zig!E:E,Conciliacao!A484,df_extrato_zig!D:D,"Saque")-SUMIFS(df_extrato_zig!G:G,df_extrato_zig!E:E,Conciliacao!A484,df_extrato_zig!D:D,"Antecipação")</f>
        <v/>
      </c>
      <c r="C484" s="3">
        <f>SUMIFS(df_extrato_zig!E:E,df_extrato_zig!L:L,Conciliacao!A484,df_extrato_zig!F:F,"DINHEIRO")</f>
        <v/>
      </c>
      <c r="D484" s="3">
        <f>SUMIFS(view_parc_agrup!H:H,view_parc_agrup!G:G,Conciliacao!A484)</f>
        <v/>
      </c>
      <c r="E484" s="3">
        <f>SUMIFS(df_eventos!F:F,df_eventos!H:H,Conciliacao!A484)</f>
        <v/>
      </c>
      <c r="F484" s="3">
        <f>SUMIFS(df_mutuos!M:M,df_mutuos!B:B,Conciliacao!A484)</f>
        <v/>
      </c>
      <c r="G484" s="6">
        <f>SUMIFS(df_bloqueios_judiciais!G:G,df_bloqueios_judiciais!D:D,Conciliacao!A484,df_bloqueios_judiciais!G:G,"&gt;0")</f>
        <v/>
      </c>
      <c r="H484" s="7">
        <f>SUMIFS(df_extratos!I:I,df_extratos!F:F,Conciliacao!BE484,df_extratos!G:G,"CREDITO")+SUMIFS(df_extratos!I:I,df_extratos!F:F,Conciliacao!A484,df_extratos!G:G,"CREDITO")+SUMIFS(df_extratos!I:I,df_extratos!F:F,Conciliacao!BF484,df_extratos!G:G,"CREDITO")+SUMIFS(df_extratos!I:I,df_extratos!F:F,Conciliacao!BG484,df_extratos!G:G,"CREDITO")+SUMIFS(df_extratos!I:I,df_extratos!F:F,Conciliacao!BH484,df_extratos!G:G,"CREDITO")</f>
        <v/>
      </c>
      <c r="I484" s="9">
        <f>H484-SUM(B484:G484)</f>
        <v/>
      </c>
      <c r="J484" s="4">
        <f>SUMIFS(df_blueme_sem_parcelamento!E:E,df_blueme_sem_parcelamento!H:H,Conciliacao!A484)*(-1)</f>
        <v/>
      </c>
      <c r="K484" s="4">
        <f>SUMIFS(df_blueme_com_parcelamento!J:J,df_blueme_com_parcelamento!M:M,Conciliacao!A484)*(-1)</f>
        <v/>
      </c>
      <c r="L484" s="4">
        <f>SUMIFS(df_mutuos!N:N,df_mutuos!B:B,Conciliacao!A484)*(-1)</f>
        <v/>
      </c>
      <c r="M484" s="8">
        <f>SUMIFS(df_bloqueios_judiciais!G:G,df_bloqueios_judiciais!D:D,Conciliacao!A484,df_bloqueios_judiciais!G:G,"&lt;0")</f>
        <v/>
      </c>
      <c r="N484" s="10">
        <f>SUMIFS(df_extratos!I:I,df_extratos!F:F,Conciliacao!BE484,df_extratos!G:G,"DEBITO")+SUMIFS(df_extratos!I:I,df_extratos!F:F,Conciliacao!A484,df_extratos!G:G,"DEBITO")+SUMIFS(df_extratos!I:I,df_extratos!F:F,Conciliacao!BF484,df_extratos!G:G,"DEBITO")+SUMIFS(df_extratos!I:I,df_extratos!F:F,Conciliacao!BG484,df_extratos!G:G,"DEBITO")+SUMIFS(df_extratos!I:I,df_extratos!F:F,Conciliacao!BH484,df_extratos!G:G,"DEBITO")</f>
        <v/>
      </c>
      <c r="O484" s="11">
        <f>N484-SUM(J484:M484)</f>
        <v/>
      </c>
      <c r="P484" s="25">
        <f>SUMIFS(df_ajustes_conciliaco!D:D,df_ajustes_conciliaco!C:C,Conciliacao!A484)</f>
        <v/>
      </c>
      <c r="Q484" s="22">
        <f>O484+I484-P484</f>
        <v/>
      </c>
    </row>
    <row r="485">
      <c r="A485" s="5">
        <f>A484+1</f>
        <v/>
      </c>
      <c r="B485" s="3">
        <f>-SUMIFS(df_extrato_zig!G:G,df_extrato_zig!E:E,Conciliacao!A485,df_extrato_zig!D:D,"Saque")-SUMIFS(df_extrato_zig!G:G,df_extrato_zig!E:E,Conciliacao!A485,df_extrato_zig!D:D,"Antecipação")</f>
        <v/>
      </c>
      <c r="C485" s="3">
        <f>SUMIFS(df_extrato_zig!E:E,df_extrato_zig!L:L,Conciliacao!A485,df_extrato_zig!F:F,"DINHEIRO")</f>
        <v/>
      </c>
      <c r="D485" s="3">
        <f>SUMIFS(view_parc_agrup!H:H,view_parc_agrup!G:G,Conciliacao!A485)</f>
        <v/>
      </c>
      <c r="E485" s="3">
        <f>SUMIFS(df_eventos!F:F,df_eventos!H:H,Conciliacao!A485)</f>
        <v/>
      </c>
      <c r="F485" s="3">
        <f>SUMIFS(df_mutuos!M:M,df_mutuos!B:B,Conciliacao!A485)</f>
        <v/>
      </c>
      <c r="G485" s="6">
        <f>SUMIFS(df_bloqueios_judiciais!G:G,df_bloqueios_judiciais!D:D,Conciliacao!A485,df_bloqueios_judiciais!G:G,"&gt;0")</f>
        <v/>
      </c>
      <c r="H485" s="7">
        <f>SUMIFS(df_extratos!I:I,df_extratos!F:F,Conciliacao!BE485,df_extratos!G:G,"CREDITO")+SUMIFS(df_extratos!I:I,df_extratos!F:F,Conciliacao!A485,df_extratos!G:G,"CREDITO")+SUMIFS(df_extratos!I:I,df_extratos!F:F,Conciliacao!BF485,df_extratos!G:G,"CREDITO")+SUMIFS(df_extratos!I:I,df_extratos!F:F,Conciliacao!BG485,df_extratos!G:G,"CREDITO")+SUMIFS(df_extratos!I:I,df_extratos!F:F,Conciliacao!BH485,df_extratos!G:G,"CREDITO")</f>
        <v/>
      </c>
      <c r="I485" s="9">
        <f>H485-SUM(B485:G485)</f>
        <v/>
      </c>
      <c r="J485" s="4">
        <f>SUMIFS(df_blueme_sem_parcelamento!E:E,df_blueme_sem_parcelamento!H:H,Conciliacao!A485)*(-1)</f>
        <v/>
      </c>
      <c r="K485" s="4">
        <f>SUMIFS(df_blueme_com_parcelamento!J:J,df_blueme_com_parcelamento!M:M,Conciliacao!A485)*(-1)</f>
        <v/>
      </c>
      <c r="L485" s="4">
        <f>SUMIFS(df_mutuos!N:N,df_mutuos!B:B,Conciliacao!A485)*(-1)</f>
        <v/>
      </c>
      <c r="M485" s="8">
        <f>SUMIFS(df_bloqueios_judiciais!G:G,df_bloqueios_judiciais!D:D,Conciliacao!A485,df_bloqueios_judiciais!G:G,"&lt;0")</f>
        <v/>
      </c>
      <c r="N485" s="10">
        <f>SUMIFS(df_extratos!I:I,df_extratos!F:F,Conciliacao!BE485,df_extratos!G:G,"DEBITO")+SUMIFS(df_extratos!I:I,df_extratos!F:F,Conciliacao!A485,df_extratos!G:G,"DEBITO")+SUMIFS(df_extratos!I:I,df_extratos!F:F,Conciliacao!BF485,df_extratos!G:G,"DEBITO")+SUMIFS(df_extratos!I:I,df_extratos!F:F,Conciliacao!BG485,df_extratos!G:G,"DEBITO")+SUMIFS(df_extratos!I:I,df_extratos!F:F,Conciliacao!BH485,df_extratos!G:G,"DEBITO")</f>
        <v/>
      </c>
      <c r="O485" s="11">
        <f>N485-SUM(J485:M485)</f>
        <v/>
      </c>
      <c r="P485" s="25">
        <f>SUMIFS(df_ajustes_conciliaco!D:D,df_ajustes_conciliaco!C:C,Conciliacao!A485)</f>
        <v/>
      </c>
      <c r="Q485" s="22">
        <f>O485+I485-P485</f>
        <v/>
      </c>
    </row>
    <row r="486">
      <c r="A486" s="5">
        <f>A485+1</f>
        <v/>
      </c>
      <c r="B486" s="3">
        <f>-SUMIFS(df_extrato_zig!G:G,df_extrato_zig!E:E,Conciliacao!A486,df_extrato_zig!D:D,"Saque")-SUMIFS(df_extrato_zig!G:G,df_extrato_zig!E:E,Conciliacao!A486,df_extrato_zig!D:D,"Antecipação")</f>
        <v/>
      </c>
      <c r="C486" s="3">
        <f>SUMIFS(df_extrato_zig!E:E,df_extrato_zig!L:L,Conciliacao!A486,df_extrato_zig!F:F,"DINHEIRO")</f>
        <v/>
      </c>
      <c r="D486" s="3">
        <f>SUMIFS(view_parc_agrup!H:H,view_parc_agrup!G:G,Conciliacao!A486)</f>
        <v/>
      </c>
      <c r="E486" s="3">
        <f>SUMIFS(df_eventos!F:F,df_eventos!H:H,Conciliacao!A486)</f>
        <v/>
      </c>
      <c r="F486" s="3">
        <f>SUMIFS(df_mutuos!M:M,df_mutuos!B:B,Conciliacao!A486)</f>
        <v/>
      </c>
      <c r="G486" s="6">
        <f>SUMIFS(df_bloqueios_judiciais!G:G,df_bloqueios_judiciais!D:D,Conciliacao!A486,df_bloqueios_judiciais!G:G,"&gt;0")</f>
        <v/>
      </c>
      <c r="H486" s="7">
        <f>SUMIFS(df_extratos!I:I,df_extratos!F:F,Conciliacao!BE486,df_extratos!G:G,"CREDITO")+SUMIFS(df_extratos!I:I,df_extratos!F:F,Conciliacao!A486,df_extratos!G:G,"CREDITO")+SUMIFS(df_extratos!I:I,df_extratos!F:F,Conciliacao!BF486,df_extratos!G:G,"CREDITO")+SUMIFS(df_extratos!I:I,df_extratos!F:F,Conciliacao!BG486,df_extratos!G:G,"CREDITO")+SUMIFS(df_extratos!I:I,df_extratos!F:F,Conciliacao!BH486,df_extratos!G:G,"CREDITO")</f>
        <v/>
      </c>
      <c r="I486" s="9">
        <f>H486-SUM(B486:G486)</f>
        <v/>
      </c>
      <c r="J486" s="4">
        <f>SUMIFS(df_blueme_sem_parcelamento!E:E,df_blueme_sem_parcelamento!H:H,Conciliacao!A486)*(-1)</f>
        <v/>
      </c>
      <c r="K486" s="4">
        <f>SUMIFS(df_blueme_com_parcelamento!J:J,df_blueme_com_parcelamento!M:M,Conciliacao!A486)*(-1)</f>
        <v/>
      </c>
      <c r="L486" s="4">
        <f>SUMIFS(df_mutuos!N:N,df_mutuos!B:B,Conciliacao!A486)*(-1)</f>
        <v/>
      </c>
      <c r="M486" s="8">
        <f>SUMIFS(df_bloqueios_judiciais!G:G,df_bloqueios_judiciais!D:D,Conciliacao!A486,df_bloqueios_judiciais!G:G,"&lt;0")</f>
        <v/>
      </c>
      <c r="N486" s="10">
        <f>SUMIFS(df_extratos!I:I,df_extratos!F:F,Conciliacao!BE486,df_extratos!G:G,"DEBITO")+SUMIFS(df_extratos!I:I,df_extratos!F:F,Conciliacao!A486,df_extratos!G:G,"DEBITO")+SUMIFS(df_extratos!I:I,df_extratos!F:F,Conciliacao!BF486,df_extratos!G:G,"DEBITO")+SUMIFS(df_extratos!I:I,df_extratos!F:F,Conciliacao!BG486,df_extratos!G:G,"DEBITO")+SUMIFS(df_extratos!I:I,df_extratos!F:F,Conciliacao!BH486,df_extratos!G:G,"DEBITO")</f>
        <v/>
      </c>
      <c r="O486" s="11">
        <f>N486-SUM(J486:M486)</f>
        <v/>
      </c>
      <c r="P486" s="25">
        <f>SUMIFS(df_ajustes_conciliaco!D:D,df_ajustes_conciliaco!C:C,Conciliacao!A486)</f>
        <v/>
      </c>
      <c r="Q486" s="22">
        <f>O486+I486-P486</f>
        <v/>
      </c>
    </row>
    <row r="487">
      <c r="A487" s="5">
        <f>A486+1</f>
        <v/>
      </c>
      <c r="B487" s="3">
        <f>-SUMIFS(df_extrato_zig!G:G,df_extrato_zig!E:E,Conciliacao!A487,df_extrato_zig!D:D,"Saque")-SUMIFS(df_extrato_zig!G:G,df_extrato_zig!E:E,Conciliacao!A487,df_extrato_zig!D:D,"Antecipação")</f>
        <v/>
      </c>
      <c r="C487" s="3">
        <f>SUMIFS(df_extrato_zig!E:E,df_extrato_zig!L:L,Conciliacao!A487,df_extrato_zig!F:F,"DINHEIRO")</f>
        <v/>
      </c>
      <c r="D487" s="3">
        <f>SUMIFS(view_parc_agrup!H:H,view_parc_agrup!G:G,Conciliacao!A487)</f>
        <v/>
      </c>
      <c r="E487" s="3">
        <f>SUMIFS(df_eventos!F:F,df_eventos!H:H,Conciliacao!A487)</f>
        <v/>
      </c>
      <c r="F487" s="3">
        <f>SUMIFS(df_mutuos!M:M,df_mutuos!B:B,Conciliacao!A487)</f>
        <v/>
      </c>
      <c r="G487" s="6">
        <f>SUMIFS(df_bloqueios_judiciais!G:G,df_bloqueios_judiciais!D:D,Conciliacao!A487,df_bloqueios_judiciais!G:G,"&gt;0")</f>
        <v/>
      </c>
      <c r="H487" s="7">
        <f>SUMIFS(df_extratos!I:I,df_extratos!F:F,Conciliacao!BE487,df_extratos!G:G,"CREDITO")+SUMIFS(df_extratos!I:I,df_extratos!F:F,Conciliacao!A487,df_extratos!G:G,"CREDITO")+SUMIFS(df_extratos!I:I,df_extratos!F:F,Conciliacao!BF487,df_extratos!G:G,"CREDITO")+SUMIFS(df_extratos!I:I,df_extratos!F:F,Conciliacao!BG487,df_extratos!G:G,"CREDITO")+SUMIFS(df_extratos!I:I,df_extratos!F:F,Conciliacao!BH487,df_extratos!G:G,"CREDITO")</f>
        <v/>
      </c>
      <c r="I487" s="9">
        <f>H487-SUM(B487:G487)</f>
        <v/>
      </c>
      <c r="J487" s="4">
        <f>SUMIFS(df_blueme_sem_parcelamento!E:E,df_blueme_sem_parcelamento!H:H,Conciliacao!A487)*(-1)</f>
        <v/>
      </c>
      <c r="K487" s="4">
        <f>SUMIFS(df_blueme_com_parcelamento!J:J,df_blueme_com_parcelamento!M:M,Conciliacao!A487)*(-1)</f>
        <v/>
      </c>
      <c r="L487" s="4">
        <f>SUMIFS(df_mutuos!N:N,df_mutuos!B:B,Conciliacao!A487)*(-1)</f>
        <v/>
      </c>
      <c r="M487" s="8">
        <f>SUMIFS(df_bloqueios_judiciais!G:G,df_bloqueios_judiciais!D:D,Conciliacao!A487,df_bloqueios_judiciais!G:G,"&lt;0")</f>
        <v/>
      </c>
      <c r="N487" s="10">
        <f>SUMIFS(df_extratos!I:I,df_extratos!F:F,Conciliacao!BE487,df_extratos!G:G,"DEBITO")+SUMIFS(df_extratos!I:I,df_extratos!F:F,Conciliacao!A487,df_extratos!G:G,"DEBITO")+SUMIFS(df_extratos!I:I,df_extratos!F:F,Conciliacao!BF487,df_extratos!G:G,"DEBITO")+SUMIFS(df_extratos!I:I,df_extratos!F:F,Conciliacao!BG487,df_extratos!G:G,"DEBITO")+SUMIFS(df_extratos!I:I,df_extratos!F:F,Conciliacao!BH487,df_extratos!G:G,"DEBITO")</f>
        <v/>
      </c>
      <c r="O487" s="11">
        <f>N487-SUM(J487:M487)</f>
        <v/>
      </c>
      <c r="P487" s="25">
        <f>SUMIFS(df_ajustes_conciliaco!D:D,df_ajustes_conciliaco!C:C,Conciliacao!A487)</f>
        <v/>
      </c>
      <c r="Q487" s="22">
        <f>O487+I487-P487</f>
        <v/>
      </c>
    </row>
    <row r="488">
      <c r="A488" s="5">
        <f>A487+1</f>
        <v/>
      </c>
      <c r="B488" s="3">
        <f>-SUMIFS(df_extrato_zig!G:G,df_extrato_zig!E:E,Conciliacao!A488,df_extrato_zig!D:D,"Saque")-SUMIFS(df_extrato_zig!G:G,df_extrato_zig!E:E,Conciliacao!A488,df_extrato_zig!D:D,"Antecipação")</f>
        <v/>
      </c>
      <c r="C488" s="3">
        <f>SUMIFS(df_extrato_zig!E:E,df_extrato_zig!L:L,Conciliacao!A488,df_extrato_zig!F:F,"DINHEIRO")</f>
        <v/>
      </c>
      <c r="D488" s="3">
        <f>SUMIFS(view_parc_agrup!H:H,view_parc_agrup!G:G,Conciliacao!A488)</f>
        <v/>
      </c>
      <c r="E488" s="3">
        <f>SUMIFS(df_eventos!F:F,df_eventos!H:H,Conciliacao!A488)</f>
        <v/>
      </c>
      <c r="F488" s="3">
        <f>SUMIFS(df_mutuos!M:M,df_mutuos!B:B,Conciliacao!A488)</f>
        <v/>
      </c>
      <c r="G488" s="6">
        <f>SUMIFS(df_bloqueios_judiciais!G:G,df_bloqueios_judiciais!D:D,Conciliacao!A488,df_bloqueios_judiciais!G:G,"&gt;0")</f>
        <v/>
      </c>
      <c r="H488" s="7">
        <f>SUMIFS(df_extratos!I:I,df_extratos!F:F,Conciliacao!BE488,df_extratos!G:G,"CREDITO")+SUMIFS(df_extratos!I:I,df_extratos!F:F,Conciliacao!A488,df_extratos!G:G,"CREDITO")+SUMIFS(df_extratos!I:I,df_extratos!F:F,Conciliacao!BF488,df_extratos!G:G,"CREDITO")+SUMIFS(df_extratos!I:I,df_extratos!F:F,Conciliacao!BG488,df_extratos!G:G,"CREDITO")+SUMIFS(df_extratos!I:I,df_extratos!F:F,Conciliacao!BH488,df_extratos!G:G,"CREDITO")</f>
        <v/>
      </c>
      <c r="I488" s="9">
        <f>H488-SUM(B488:G488)</f>
        <v/>
      </c>
      <c r="J488" s="4">
        <f>SUMIFS(df_blueme_sem_parcelamento!E:E,df_blueme_sem_parcelamento!H:H,Conciliacao!A488)*(-1)</f>
        <v/>
      </c>
      <c r="K488" s="4">
        <f>SUMIFS(df_blueme_com_parcelamento!J:J,df_blueme_com_parcelamento!M:M,Conciliacao!A488)*(-1)</f>
        <v/>
      </c>
      <c r="L488" s="4">
        <f>SUMIFS(df_mutuos!N:N,df_mutuos!B:B,Conciliacao!A488)*(-1)</f>
        <v/>
      </c>
      <c r="M488" s="8">
        <f>SUMIFS(df_bloqueios_judiciais!G:G,df_bloqueios_judiciais!D:D,Conciliacao!A488,df_bloqueios_judiciais!G:G,"&lt;0")</f>
        <v/>
      </c>
      <c r="N488" s="10">
        <f>SUMIFS(df_extratos!I:I,df_extratos!F:F,Conciliacao!BE488,df_extratos!G:G,"DEBITO")+SUMIFS(df_extratos!I:I,df_extratos!F:F,Conciliacao!A488,df_extratos!G:G,"DEBITO")+SUMIFS(df_extratos!I:I,df_extratos!F:F,Conciliacao!BF488,df_extratos!G:G,"DEBITO")+SUMIFS(df_extratos!I:I,df_extratos!F:F,Conciliacao!BG488,df_extratos!G:G,"DEBITO")+SUMIFS(df_extratos!I:I,df_extratos!F:F,Conciliacao!BH488,df_extratos!G:G,"DEBITO")</f>
        <v/>
      </c>
      <c r="O488" s="11">
        <f>N488-SUM(J488:M488)</f>
        <v/>
      </c>
      <c r="P488" s="25">
        <f>SUMIFS(df_ajustes_conciliaco!D:D,df_ajustes_conciliaco!C:C,Conciliacao!A488)</f>
        <v/>
      </c>
      <c r="Q488" s="22">
        <f>O488+I488-P488</f>
        <v/>
      </c>
    </row>
    <row r="489">
      <c r="A489" s="5">
        <f>A488+1</f>
        <v/>
      </c>
      <c r="B489" s="3">
        <f>-SUMIFS(df_extrato_zig!G:G,df_extrato_zig!E:E,Conciliacao!A489,df_extrato_zig!D:D,"Saque")-SUMIFS(df_extrato_zig!G:G,df_extrato_zig!E:E,Conciliacao!A489,df_extrato_zig!D:D,"Antecipação")</f>
        <v/>
      </c>
      <c r="C489" s="3">
        <f>SUMIFS(df_extrato_zig!E:E,df_extrato_zig!L:L,Conciliacao!A489,df_extrato_zig!F:F,"DINHEIRO")</f>
        <v/>
      </c>
      <c r="D489" s="3">
        <f>SUMIFS(view_parc_agrup!H:H,view_parc_agrup!G:G,Conciliacao!A489)</f>
        <v/>
      </c>
      <c r="E489" s="3">
        <f>SUMIFS(df_eventos!F:F,df_eventos!H:H,Conciliacao!A489)</f>
        <v/>
      </c>
      <c r="F489" s="3">
        <f>SUMIFS(df_mutuos!M:M,df_mutuos!B:B,Conciliacao!A489)</f>
        <v/>
      </c>
      <c r="G489" s="6">
        <f>SUMIFS(df_bloqueios_judiciais!G:G,df_bloqueios_judiciais!D:D,Conciliacao!A489,df_bloqueios_judiciais!G:G,"&gt;0")</f>
        <v/>
      </c>
      <c r="H489" s="7">
        <f>SUMIFS(df_extratos!I:I,df_extratos!F:F,Conciliacao!BE489,df_extratos!G:G,"CREDITO")+SUMIFS(df_extratos!I:I,df_extratos!F:F,Conciliacao!A489,df_extratos!G:G,"CREDITO")+SUMIFS(df_extratos!I:I,df_extratos!F:F,Conciliacao!BF489,df_extratos!G:G,"CREDITO")+SUMIFS(df_extratos!I:I,df_extratos!F:F,Conciliacao!BG489,df_extratos!G:G,"CREDITO")+SUMIFS(df_extratos!I:I,df_extratos!F:F,Conciliacao!BH489,df_extratos!G:G,"CREDITO")</f>
        <v/>
      </c>
      <c r="I489" s="9">
        <f>H489-SUM(B489:G489)</f>
        <v/>
      </c>
      <c r="J489" s="4">
        <f>SUMIFS(df_blueme_sem_parcelamento!E:E,df_blueme_sem_parcelamento!H:H,Conciliacao!A489)*(-1)</f>
        <v/>
      </c>
      <c r="K489" s="4">
        <f>SUMIFS(df_blueme_com_parcelamento!J:J,df_blueme_com_parcelamento!M:M,Conciliacao!A489)*(-1)</f>
        <v/>
      </c>
      <c r="L489" s="4">
        <f>SUMIFS(df_mutuos!N:N,df_mutuos!B:B,Conciliacao!A489)*(-1)</f>
        <v/>
      </c>
      <c r="M489" s="8">
        <f>SUMIFS(df_bloqueios_judiciais!G:G,df_bloqueios_judiciais!D:D,Conciliacao!A489,df_bloqueios_judiciais!G:G,"&lt;0")</f>
        <v/>
      </c>
      <c r="N489" s="10">
        <f>SUMIFS(df_extratos!I:I,df_extratos!F:F,Conciliacao!BE489,df_extratos!G:G,"DEBITO")+SUMIFS(df_extratos!I:I,df_extratos!F:F,Conciliacao!A489,df_extratos!G:G,"DEBITO")+SUMIFS(df_extratos!I:I,df_extratos!F:F,Conciliacao!BF489,df_extratos!G:G,"DEBITO")+SUMIFS(df_extratos!I:I,df_extratos!F:F,Conciliacao!BG489,df_extratos!G:G,"DEBITO")+SUMIFS(df_extratos!I:I,df_extratos!F:F,Conciliacao!BH489,df_extratos!G:G,"DEBITO")</f>
        <v/>
      </c>
      <c r="O489" s="11">
        <f>N489-SUM(J489:M489)</f>
        <v/>
      </c>
      <c r="P489" s="25">
        <f>SUMIFS(df_ajustes_conciliaco!D:D,df_ajustes_conciliaco!C:C,Conciliacao!A489)</f>
        <v/>
      </c>
      <c r="Q489" s="22">
        <f>O489+I489-P489</f>
        <v/>
      </c>
    </row>
    <row r="490">
      <c r="A490" s="5">
        <f>A489+1</f>
        <v/>
      </c>
      <c r="B490" s="3">
        <f>-SUMIFS(df_extrato_zig!G:G,df_extrato_zig!E:E,Conciliacao!A490,df_extrato_zig!D:D,"Saque")-SUMIFS(df_extrato_zig!G:G,df_extrato_zig!E:E,Conciliacao!A490,df_extrato_zig!D:D,"Antecipação")</f>
        <v/>
      </c>
      <c r="C490" s="3">
        <f>SUMIFS(df_extrato_zig!E:E,df_extrato_zig!L:L,Conciliacao!A490,df_extrato_zig!F:F,"DINHEIRO")</f>
        <v/>
      </c>
      <c r="D490" s="3">
        <f>SUMIFS(view_parc_agrup!H:H,view_parc_agrup!G:G,Conciliacao!A490)</f>
        <v/>
      </c>
      <c r="E490" s="3">
        <f>SUMIFS(df_eventos!F:F,df_eventos!H:H,Conciliacao!A490)</f>
        <v/>
      </c>
      <c r="F490" s="3">
        <f>SUMIFS(df_mutuos!M:M,df_mutuos!B:B,Conciliacao!A490)</f>
        <v/>
      </c>
      <c r="G490" s="6">
        <f>SUMIFS(df_bloqueios_judiciais!G:G,df_bloqueios_judiciais!D:D,Conciliacao!A490,df_bloqueios_judiciais!G:G,"&gt;0")</f>
        <v/>
      </c>
      <c r="H490" s="7">
        <f>SUMIFS(df_extratos!I:I,df_extratos!F:F,Conciliacao!BE490,df_extratos!G:G,"CREDITO")+SUMIFS(df_extratos!I:I,df_extratos!F:F,Conciliacao!A490,df_extratos!G:G,"CREDITO")+SUMIFS(df_extratos!I:I,df_extratos!F:F,Conciliacao!BF490,df_extratos!G:G,"CREDITO")+SUMIFS(df_extratos!I:I,df_extratos!F:F,Conciliacao!BG490,df_extratos!G:G,"CREDITO")+SUMIFS(df_extratos!I:I,df_extratos!F:F,Conciliacao!BH490,df_extratos!G:G,"CREDITO")</f>
        <v/>
      </c>
      <c r="I490" s="9">
        <f>H490-SUM(B490:G490)</f>
        <v/>
      </c>
      <c r="J490" s="4">
        <f>SUMIFS(df_blueme_sem_parcelamento!E:E,df_blueme_sem_parcelamento!H:H,Conciliacao!A490)*(-1)</f>
        <v/>
      </c>
      <c r="K490" s="4">
        <f>SUMIFS(df_blueme_com_parcelamento!J:J,df_blueme_com_parcelamento!M:M,Conciliacao!A490)*(-1)</f>
        <v/>
      </c>
      <c r="L490" s="4">
        <f>SUMIFS(df_mutuos!N:N,df_mutuos!B:B,Conciliacao!A490)*(-1)</f>
        <v/>
      </c>
      <c r="M490" s="8">
        <f>SUMIFS(df_bloqueios_judiciais!G:G,df_bloqueios_judiciais!D:D,Conciliacao!A490,df_bloqueios_judiciais!G:G,"&lt;0")</f>
        <v/>
      </c>
      <c r="N490" s="10">
        <f>SUMIFS(df_extratos!I:I,df_extratos!F:F,Conciliacao!BE490,df_extratos!G:G,"DEBITO")+SUMIFS(df_extratos!I:I,df_extratos!F:F,Conciliacao!A490,df_extratos!G:G,"DEBITO")+SUMIFS(df_extratos!I:I,df_extratos!F:F,Conciliacao!BF490,df_extratos!G:G,"DEBITO")+SUMIFS(df_extratos!I:I,df_extratos!F:F,Conciliacao!BG490,df_extratos!G:G,"DEBITO")+SUMIFS(df_extratos!I:I,df_extratos!F:F,Conciliacao!BH490,df_extratos!G:G,"DEBITO")</f>
        <v/>
      </c>
      <c r="O490" s="11">
        <f>N490-SUM(J490:M490)</f>
        <v/>
      </c>
      <c r="P490" s="25">
        <f>SUMIFS(df_ajustes_conciliaco!D:D,df_ajustes_conciliaco!C:C,Conciliacao!A490)</f>
        <v/>
      </c>
      <c r="Q490" s="22">
        <f>O490+I490-P490</f>
        <v/>
      </c>
    </row>
    <row r="491">
      <c r="A491" s="5">
        <f>A490+1</f>
        <v/>
      </c>
      <c r="B491" s="3">
        <f>-SUMIFS(df_extrato_zig!G:G,df_extrato_zig!E:E,Conciliacao!A491,df_extrato_zig!D:D,"Saque")-SUMIFS(df_extrato_zig!G:G,df_extrato_zig!E:E,Conciliacao!A491,df_extrato_zig!D:D,"Antecipação")</f>
        <v/>
      </c>
      <c r="C491" s="3">
        <f>SUMIFS(df_extrato_zig!E:E,df_extrato_zig!L:L,Conciliacao!A491,df_extrato_zig!F:F,"DINHEIRO")</f>
        <v/>
      </c>
      <c r="D491" s="3">
        <f>SUMIFS(view_parc_agrup!H:H,view_parc_agrup!G:G,Conciliacao!A491)</f>
        <v/>
      </c>
      <c r="E491" s="3">
        <f>SUMIFS(df_eventos!F:F,df_eventos!H:H,Conciliacao!A491)</f>
        <v/>
      </c>
      <c r="F491" s="3">
        <f>SUMIFS(df_mutuos!M:M,df_mutuos!B:B,Conciliacao!A491)</f>
        <v/>
      </c>
      <c r="G491" s="6">
        <f>SUMIFS(df_bloqueios_judiciais!G:G,df_bloqueios_judiciais!D:D,Conciliacao!A491,df_bloqueios_judiciais!G:G,"&gt;0")</f>
        <v/>
      </c>
      <c r="H491" s="7">
        <f>SUMIFS(df_extratos!I:I,df_extratos!F:F,Conciliacao!BE491,df_extratos!G:G,"CREDITO")+SUMIFS(df_extratos!I:I,df_extratos!F:F,Conciliacao!A491,df_extratos!G:G,"CREDITO")+SUMIFS(df_extratos!I:I,df_extratos!F:F,Conciliacao!BF491,df_extratos!G:G,"CREDITO")+SUMIFS(df_extratos!I:I,df_extratos!F:F,Conciliacao!BG491,df_extratos!G:G,"CREDITO")+SUMIFS(df_extratos!I:I,df_extratos!F:F,Conciliacao!BH491,df_extratos!G:G,"CREDITO")</f>
        <v/>
      </c>
      <c r="I491" s="9">
        <f>H491-SUM(B491:G491)</f>
        <v/>
      </c>
      <c r="J491" s="4">
        <f>SUMIFS(df_blueme_sem_parcelamento!E:E,df_blueme_sem_parcelamento!H:H,Conciliacao!A491)*(-1)</f>
        <v/>
      </c>
      <c r="K491" s="4">
        <f>SUMIFS(df_blueme_com_parcelamento!J:J,df_blueme_com_parcelamento!M:M,Conciliacao!A491)*(-1)</f>
        <v/>
      </c>
      <c r="L491" s="4">
        <f>SUMIFS(df_mutuos!N:N,df_mutuos!B:B,Conciliacao!A491)*(-1)</f>
        <v/>
      </c>
      <c r="M491" s="8">
        <f>SUMIFS(df_bloqueios_judiciais!G:G,df_bloqueios_judiciais!D:D,Conciliacao!A491,df_bloqueios_judiciais!G:G,"&lt;0")</f>
        <v/>
      </c>
      <c r="N491" s="10">
        <f>SUMIFS(df_extratos!I:I,df_extratos!F:F,Conciliacao!BE491,df_extratos!G:G,"DEBITO")+SUMIFS(df_extratos!I:I,df_extratos!F:F,Conciliacao!A491,df_extratos!G:G,"DEBITO")+SUMIFS(df_extratos!I:I,df_extratos!F:F,Conciliacao!BF491,df_extratos!G:G,"DEBITO")+SUMIFS(df_extratos!I:I,df_extratos!F:F,Conciliacao!BG491,df_extratos!G:G,"DEBITO")+SUMIFS(df_extratos!I:I,df_extratos!F:F,Conciliacao!BH491,df_extratos!G:G,"DEBITO")</f>
        <v/>
      </c>
      <c r="O491" s="11">
        <f>N491-SUM(J491:M491)</f>
        <v/>
      </c>
      <c r="P491" s="25">
        <f>SUMIFS(df_ajustes_conciliaco!D:D,df_ajustes_conciliaco!C:C,Conciliacao!A491)</f>
        <v/>
      </c>
      <c r="Q491" s="22">
        <f>O491+I491-P491</f>
        <v/>
      </c>
    </row>
    <row r="492">
      <c r="A492" s="5">
        <f>A491+1</f>
        <v/>
      </c>
      <c r="B492" s="3">
        <f>-SUMIFS(df_extrato_zig!G:G,df_extrato_zig!E:E,Conciliacao!A492,df_extrato_zig!D:D,"Saque")-SUMIFS(df_extrato_zig!G:G,df_extrato_zig!E:E,Conciliacao!A492,df_extrato_zig!D:D,"Antecipação")</f>
        <v/>
      </c>
      <c r="C492" s="3">
        <f>SUMIFS(df_extrato_zig!E:E,df_extrato_zig!L:L,Conciliacao!A492,df_extrato_zig!F:F,"DINHEIRO")</f>
        <v/>
      </c>
      <c r="D492" s="3">
        <f>SUMIFS(view_parc_agrup!H:H,view_parc_agrup!G:G,Conciliacao!A492)</f>
        <v/>
      </c>
      <c r="E492" s="3">
        <f>SUMIFS(df_eventos!F:F,df_eventos!H:H,Conciliacao!A492)</f>
        <v/>
      </c>
      <c r="F492" s="3">
        <f>SUMIFS(df_mutuos!M:M,df_mutuos!B:B,Conciliacao!A492)</f>
        <v/>
      </c>
      <c r="G492" s="6">
        <f>SUMIFS(df_bloqueios_judiciais!G:G,df_bloqueios_judiciais!D:D,Conciliacao!A492,df_bloqueios_judiciais!G:G,"&gt;0")</f>
        <v/>
      </c>
      <c r="H492" s="7">
        <f>SUMIFS(df_extratos!I:I,df_extratos!F:F,Conciliacao!BE492,df_extratos!G:G,"CREDITO")+SUMIFS(df_extratos!I:I,df_extratos!F:F,Conciliacao!A492,df_extratos!G:G,"CREDITO")+SUMIFS(df_extratos!I:I,df_extratos!F:F,Conciliacao!BF492,df_extratos!G:G,"CREDITO")+SUMIFS(df_extratos!I:I,df_extratos!F:F,Conciliacao!BG492,df_extratos!G:G,"CREDITO")+SUMIFS(df_extratos!I:I,df_extratos!F:F,Conciliacao!BH492,df_extratos!G:G,"CREDITO")</f>
        <v/>
      </c>
      <c r="I492" s="9">
        <f>H492-SUM(B492:G492)</f>
        <v/>
      </c>
      <c r="J492" s="4">
        <f>SUMIFS(df_blueme_sem_parcelamento!E:E,df_blueme_sem_parcelamento!H:H,Conciliacao!A492)*(-1)</f>
        <v/>
      </c>
      <c r="K492" s="4">
        <f>SUMIFS(df_blueme_com_parcelamento!J:J,df_blueme_com_parcelamento!M:M,Conciliacao!A492)*(-1)</f>
        <v/>
      </c>
      <c r="L492" s="4">
        <f>SUMIFS(df_mutuos!N:N,df_mutuos!B:B,Conciliacao!A492)*(-1)</f>
        <v/>
      </c>
      <c r="M492" s="8">
        <f>SUMIFS(df_bloqueios_judiciais!G:G,df_bloqueios_judiciais!D:D,Conciliacao!A492,df_bloqueios_judiciais!G:G,"&lt;0")</f>
        <v/>
      </c>
      <c r="N492" s="10">
        <f>SUMIFS(df_extratos!I:I,df_extratos!F:F,Conciliacao!BE492,df_extratos!G:G,"DEBITO")+SUMIFS(df_extratos!I:I,df_extratos!F:F,Conciliacao!A492,df_extratos!G:G,"DEBITO")+SUMIFS(df_extratos!I:I,df_extratos!F:F,Conciliacao!BF492,df_extratos!G:G,"DEBITO")+SUMIFS(df_extratos!I:I,df_extratos!F:F,Conciliacao!BG492,df_extratos!G:G,"DEBITO")+SUMIFS(df_extratos!I:I,df_extratos!F:F,Conciliacao!BH492,df_extratos!G:G,"DEBITO")</f>
        <v/>
      </c>
      <c r="O492" s="11">
        <f>N492-SUM(J492:M492)</f>
        <v/>
      </c>
      <c r="P492" s="25">
        <f>SUMIFS(df_ajustes_conciliaco!D:D,df_ajustes_conciliaco!C:C,Conciliacao!A492)</f>
        <v/>
      </c>
      <c r="Q492" s="22">
        <f>O492+I492-P492</f>
        <v/>
      </c>
    </row>
    <row r="493">
      <c r="A493" s="5">
        <f>A492+1</f>
        <v/>
      </c>
      <c r="B493" s="3">
        <f>-SUMIFS(df_extrato_zig!G:G,df_extrato_zig!E:E,Conciliacao!A493,df_extrato_zig!D:D,"Saque")-SUMIFS(df_extrato_zig!G:G,df_extrato_zig!E:E,Conciliacao!A493,df_extrato_zig!D:D,"Antecipação")</f>
        <v/>
      </c>
      <c r="C493" s="3">
        <f>SUMIFS(df_extrato_zig!E:E,df_extrato_zig!L:L,Conciliacao!A493,df_extrato_zig!F:F,"DINHEIRO")</f>
        <v/>
      </c>
      <c r="D493" s="3">
        <f>SUMIFS(view_parc_agrup!H:H,view_parc_agrup!G:G,Conciliacao!A493)</f>
        <v/>
      </c>
      <c r="E493" s="3">
        <f>SUMIFS(df_eventos!F:F,df_eventos!H:H,Conciliacao!A493)</f>
        <v/>
      </c>
      <c r="F493" s="3">
        <f>SUMIFS(df_mutuos!M:M,df_mutuos!B:B,Conciliacao!A493)</f>
        <v/>
      </c>
      <c r="G493" s="6">
        <f>SUMIFS(df_bloqueios_judiciais!G:G,df_bloqueios_judiciais!D:D,Conciliacao!A493,df_bloqueios_judiciais!G:G,"&gt;0")</f>
        <v/>
      </c>
      <c r="H493" s="7">
        <f>SUMIFS(df_extratos!I:I,df_extratos!F:F,Conciliacao!BE493,df_extratos!G:G,"CREDITO")+SUMIFS(df_extratos!I:I,df_extratos!F:F,Conciliacao!A493,df_extratos!G:G,"CREDITO")+SUMIFS(df_extratos!I:I,df_extratos!F:F,Conciliacao!BF493,df_extratos!G:G,"CREDITO")+SUMIFS(df_extratos!I:I,df_extratos!F:F,Conciliacao!BG493,df_extratos!G:G,"CREDITO")+SUMIFS(df_extratos!I:I,df_extratos!F:F,Conciliacao!BH493,df_extratos!G:G,"CREDITO")</f>
        <v/>
      </c>
      <c r="I493" s="9">
        <f>H493-SUM(B493:G493)</f>
        <v/>
      </c>
      <c r="J493" s="4">
        <f>SUMIFS(df_blueme_sem_parcelamento!E:E,df_blueme_sem_parcelamento!H:H,Conciliacao!A493)*(-1)</f>
        <v/>
      </c>
      <c r="K493" s="4">
        <f>SUMIFS(df_blueme_com_parcelamento!J:J,df_blueme_com_parcelamento!M:M,Conciliacao!A493)*(-1)</f>
        <v/>
      </c>
      <c r="L493" s="4">
        <f>SUMIFS(df_mutuos!N:N,df_mutuos!B:B,Conciliacao!A493)*(-1)</f>
        <v/>
      </c>
      <c r="M493" s="8">
        <f>SUMIFS(df_bloqueios_judiciais!G:G,df_bloqueios_judiciais!D:D,Conciliacao!A493,df_bloqueios_judiciais!G:G,"&lt;0")</f>
        <v/>
      </c>
      <c r="N493" s="10">
        <f>SUMIFS(df_extratos!I:I,df_extratos!F:F,Conciliacao!BE493,df_extratos!G:G,"DEBITO")+SUMIFS(df_extratos!I:I,df_extratos!F:F,Conciliacao!A493,df_extratos!G:G,"DEBITO")+SUMIFS(df_extratos!I:I,df_extratos!F:F,Conciliacao!BF493,df_extratos!G:G,"DEBITO")+SUMIFS(df_extratos!I:I,df_extratos!F:F,Conciliacao!BG493,df_extratos!G:G,"DEBITO")+SUMIFS(df_extratos!I:I,df_extratos!F:F,Conciliacao!BH493,df_extratos!G:G,"DEBITO")</f>
        <v/>
      </c>
      <c r="O493" s="11">
        <f>N493-SUM(J493:M493)</f>
        <v/>
      </c>
      <c r="P493" s="25">
        <f>SUMIFS(df_ajustes_conciliaco!D:D,df_ajustes_conciliaco!C:C,Conciliacao!A493)</f>
        <v/>
      </c>
      <c r="Q493" s="22">
        <f>O493+I493-P493</f>
        <v/>
      </c>
    </row>
    <row r="494">
      <c r="A494" s="5">
        <f>A493+1</f>
        <v/>
      </c>
      <c r="B494" s="3">
        <f>-SUMIFS(df_extrato_zig!G:G,df_extrato_zig!E:E,Conciliacao!A494,df_extrato_zig!D:D,"Saque")-SUMIFS(df_extrato_zig!G:G,df_extrato_zig!E:E,Conciliacao!A494,df_extrato_zig!D:D,"Antecipação")</f>
        <v/>
      </c>
      <c r="C494" s="3">
        <f>SUMIFS(df_extrato_zig!E:E,df_extrato_zig!L:L,Conciliacao!A494,df_extrato_zig!F:F,"DINHEIRO")</f>
        <v/>
      </c>
      <c r="D494" s="3">
        <f>SUMIFS(view_parc_agrup!H:H,view_parc_agrup!G:G,Conciliacao!A494)</f>
        <v/>
      </c>
      <c r="E494" s="3">
        <f>SUMIFS(df_eventos!F:F,df_eventos!H:H,Conciliacao!A494)</f>
        <v/>
      </c>
      <c r="F494" s="3">
        <f>SUMIFS(df_mutuos!M:M,df_mutuos!B:B,Conciliacao!A494)</f>
        <v/>
      </c>
      <c r="G494" s="6">
        <f>SUMIFS(df_bloqueios_judiciais!G:G,df_bloqueios_judiciais!D:D,Conciliacao!A494,df_bloqueios_judiciais!G:G,"&gt;0")</f>
        <v/>
      </c>
      <c r="H494" s="7">
        <f>SUMIFS(df_extratos!I:I,df_extratos!F:F,Conciliacao!BE494,df_extratos!G:G,"CREDITO")+SUMIFS(df_extratos!I:I,df_extratos!F:F,Conciliacao!A494,df_extratos!G:G,"CREDITO")+SUMIFS(df_extratos!I:I,df_extratos!F:F,Conciliacao!BF494,df_extratos!G:G,"CREDITO")+SUMIFS(df_extratos!I:I,df_extratos!F:F,Conciliacao!BG494,df_extratos!G:G,"CREDITO")+SUMIFS(df_extratos!I:I,df_extratos!F:F,Conciliacao!BH494,df_extratos!G:G,"CREDITO")</f>
        <v/>
      </c>
      <c r="I494" s="9">
        <f>H494-SUM(B494:G494)</f>
        <v/>
      </c>
      <c r="J494" s="4">
        <f>SUMIFS(df_blueme_sem_parcelamento!E:E,df_blueme_sem_parcelamento!H:H,Conciliacao!A494)*(-1)</f>
        <v/>
      </c>
      <c r="K494" s="4">
        <f>SUMIFS(df_blueme_com_parcelamento!J:J,df_blueme_com_parcelamento!M:M,Conciliacao!A494)*(-1)</f>
        <v/>
      </c>
      <c r="L494" s="4">
        <f>SUMIFS(df_mutuos!N:N,df_mutuos!B:B,Conciliacao!A494)*(-1)</f>
        <v/>
      </c>
      <c r="M494" s="8">
        <f>SUMIFS(df_bloqueios_judiciais!G:G,df_bloqueios_judiciais!D:D,Conciliacao!A494,df_bloqueios_judiciais!G:G,"&lt;0")</f>
        <v/>
      </c>
      <c r="N494" s="10">
        <f>SUMIFS(df_extratos!I:I,df_extratos!F:F,Conciliacao!BE494,df_extratos!G:G,"DEBITO")+SUMIFS(df_extratos!I:I,df_extratos!F:F,Conciliacao!A494,df_extratos!G:G,"DEBITO")+SUMIFS(df_extratos!I:I,df_extratos!F:F,Conciliacao!BF494,df_extratos!G:G,"DEBITO")+SUMIFS(df_extratos!I:I,df_extratos!F:F,Conciliacao!BG494,df_extratos!G:G,"DEBITO")+SUMIFS(df_extratos!I:I,df_extratos!F:F,Conciliacao!BH494,df_extratos!G:G,"DEBITO")</f>
        <v/>
      </c>
      <c r="O494" s="11">
        <f>N494-SUM(J494:M494)</f>
        <v/>
      </c>
      <c r="P494" s="25">
        <f>SUMIFS(df_ajustes_conciliaco!D:D,df_ajustes_conciliaco!C:C,Conciliacao!A494)</f>
        <v/>
      </c>
      <c r="Q494" s="22">
        <f>O494+I494-P494</f>
        <v/>
      </c>
    </row>
    <row r="495">
      <c r="A495" s="5">
        <f>A494+1</f>
        <v/>
      </c>
      <c r="B495" s="3">
        <f>-SUMIFS(df_extrato_zig!G:G,df_extrato_zig!E:E,Conciliacao!A495,df_extrato_zig!D:D,"Saque")-SUMIFS(df_extrato_zig!G:G,df_extrato_zig!E:E,Conciliacao!A495,df_extrato_zig!D:D,"Antecipação")</f>
        <v/>
      </c>
      <c r="C495" s="3">
        <f>SUMIFS(df_extrato_zig!E:E,df_extrato_zig!L:L,Conciliacao!A495,df_extrato_zig!F:F,"DINHEIRO")</f>
        <v/>
      </c>
      <c r="D495" s="3">
        <f>SUMIFS(view_parc_agrup!H:H,view_parc_agrup!G:G,Conciliacao!A495)</f>
        <v/>
      </c>
      <c r="E495" s="3">
        <f>SUMIFS(df_eventos!F:F,df_eventos!H:H,Conciliacao!A495)</f>
        <v/>
      </c>
      <c r="F495" s="3">
        <f>SUMIFS(df_mutuos!M:M,df_mutuos!B:B,Conciliacao!A495)</f>
        <v/>
      </c>
      <c r="G495" s="6">
        <f>SUMIFS(df_bloqueios_judiciais!G:G,df_bloqueios_judiciais!D:D,Conciliacao!A495,df_bloqueios_judiciais!G:G,"&gt;0")</f>
        <v/>
      </c>
      <c r="H495" s="7">
        <f>SUMIFS(df_extratos!I:I,df_extratos!F:F,Conciliacao!BE495,df_extratos!G:G,"CREDITO")+SUMIFS(df_extratos!I:I,df_extratos!F:F,Conciliacao!A495,df_extratos!G:G,"CREDITO")+SUMIFS(df_extratos!I:I,df_extratos!F:F,Conciliacao!BF495,df_extratos!G:G,"CREDITO")+SUMIFS(df_extratos!I:I,df_extratos!F:F,Conciliacao!BG495,df_extratos!G:G,"CREDITO")+SUMIFS(df_extratos!I:I,df_extratos!F:F,Conciliacao!BH495,df_extratos!G:G,"CREDITO")</f>
        <v/>
      </c>
      <c r="I495" s="9">
        <f>H495-SUM(B495:G495)</f>
        <v/>
      </c>
      <c r="J495" s="4">
        <f>SUMIFS(df_blueme_sem_parcelamento!E:E,df_blueme_sem_parcelamento!H:H,Conciliacao!A495)*(-1)</f>
        <v/>
      </c>
      <c r="K495" s="4">
        <f>SUMIFS(df_blueme_com_parcelamento!J:J,df_blueme_com_parcelamento!M:M,Conciliacao!A495)*(-1)</f>
        <v/>
      </c>
      <c r="L495" s="4">
        <f>SUMIFS(df_mutuos!N:N,df_mutuos!B:B,Conciliacao!A495)*(-1)</f>
        <v/>
      </c>
      <c r="M495" s="8">
        <f>SUMIFS(df_bloqueios_judiciais!G:G,df_bloqueios_judiciais!D:D,Conciliacao!A495,df_bloqueios_judiciais!G:G,"&lt;0")</f>
        <v/>
      </c>
      <c r="N495" s="10">
        <f>SUMIFS(df_extratos!I:I,df_extratos!F:F,Conciliacao!BE495,df_extratos!G:G,"DEBITO")+SUMIFS(df_extratos!I:I,df_extratos!F:F,Conciliacao!A495,df_extratos!G:G,"DEBITO")+SUMIFS(df_extratos!I:I,df_extratos!F:F,Conciliacao!BF495,df_extratos!G:G,"DEBITO")+SUMIFS(df_extratos!I:I,df_extratos!F:F,Conciliacao!BG495,df_extratos!G:G,"DEBITO")+SUMIFS(df_extratos!I:I,df_extratos!F:F,Conciliacao!BH495,df_extratos!G:G,"DEBITO")</f>
        <v/>
      </c>
      <c r="O495" s="11">
        <f>N495-SUM(J495:M495)</f>
        <v/>
      </c>
      <c r="P495" s="25">
        <f>SUMIFS(df_ajustes_conciliaco!D:D,df_ajustes_conciliaco!C:C,Conciliacao!A495)</f>
        <v/>
      </c>
      <c r="Q495" s="22">
        <f>O495+I495-P495</f>
        <v/>
      </c>
    </row>
    <row r="496">
      <c r="A496" s="5">
        <f>A495+1</f>
        <v/>
      </c>
      <c r="B496" s="3">
        <f>-SUMIFS(df_extrato_zig!G:G,df_extrato_zig!E:E,Conciliacao!A496,df_extrato_zig!D:D,"Saque")-SUMIFS(df_extrato_zig!G:G,df_extrato_zig!E:E,Conciliacao!A496,df_extrato_zig!D:D,"Antecipação")</f>
        <v/>
      </c>
      <c r="C496" s="3">
        <f>SUMIFS(df_extrato_zig!E:E,df_extrato_zig!L:L,Conciliacao!A496,df_extrato_zig!F:F,"DINHEIRO")</f>
        <v/>
      </c>
      <c r="D496" s="3">
        <f>SUMIFS(view_parc_agrup!H:H,view_parc_agrup!G:G,Conciliacao!A496)</f>
        <v/>
      </c>
      <c r="E496" s="3">
        <f>SUMIFS(df_eventos!F:F,df_eventos!H:H,Conciliacao!A496)</f>
        <v/>
      </c>
      <c r="F496" s="3">
        <f>SUMIFS(df_mutuos!M:M,df_mutuos!B:B,Conciliacao!A496)</f>
        <v/>
      </c>
      <c r="G496" s="6">
        <f>SUMIFS(df_bloqueios_judiciais!G:G,df_bloqueios_judiciais!D:D,Conciliacao!A496,df_bloqueios_judiciais!G:G,"&gt;0")</f>
        <v/>
      </c>
      <c r="H496" s="7">
        <f>SUMIFS(df_extratos!I:I,df_extratos!F:F,Conciliacao!BE496,df_extratos!G:G,"CREDITO")+SUMIFS(df_extratos!I:I,df_extratos!F:F,Conciliacao!A496,df_extratos!G:G,"CREDITO")+SUMIFS(df_extratos!I:I,df_extratos!F:F,Conciliacao!BF496,df_extratos!G:G,"CREDITO")+SUMIFS(df_extratos!I:I,df_extratos!F:F,Conciliacao!BG496,df_extratos!G:G,"CREDITO")+SUMIFS(df_extratos!I:I,df_extratos!F:F,Conciliacao!BH496,df_extratos!G:G,"CREDITO")</f>
        <v/>
      </c>
      <c r="I496" s="9">
        <f>H496-SUM(B496:G496)</f>
        <v/>
      </c>
      <c r="J496" s="4">
        <f>SUMIFS(df_blueme_sem_parcelamento!E:E,df_blueme_sem_parcelamento!H:H,Conciliacao!A496)*(-1)</f>
        <v/>
      </c>
      <c r="K496" s="4">
        <f>SUMIFS(df_blueme_com_parcelamento!J:J,df_blueme_com_parcelamento!M:M,Conciliacao!A496)*(-1)</f>
        <v/>
      </c>
      <c r="L496" s="4">
        <f>SUMIFS(df_mutuos!N:N,df_mutuos!B:B,Conciliacao!A496)*(-1)</f>
        <v/>
      </c>
      <c r="M496" s="8">
        <f>SUMIFS(df_bloqueios_judiciais!G:G,df_bloqueios_judiciais!D:D,Conciliacao!A496,df_bloqueios_judiciais!G:G,"&lt;0")</f>
        <v/>
      </c>
      <c r="N496" s="10">
        <f>SUMIFS(df_extratos!I:I,df_extratos!F:F,Conciliacao!BE496,df_extratos!G:G,"DEBITO")+SUMIFS(df_extratos!I:I,df_extratos!F:F,Conciliacao!A496,df_extratos!G:G,"DEBITO")+SUMIFS(df_extratos!I:I,df_extratos!F:F,Conciliacao!BF496,df_extratos!G:G,"DEBITO")+SUMIFS(df_extratos!I:I,df_extratos!F:F,Conciliacao!BG496,df_extratos!G:G,"DEBITO")+SUMIFS(df_extratos!I:I,df_extratos!F:F,Conciliacao!BH496,df_extratos!G:G,"DEBITO")</f>
        <v/>
      </c>
      <c r="O496" s="11">
        <f>N496-SUM(J496:M496)</f>
        <v/>
      </c>
      <c r="P496" s="25">
        <f>SUMIFS(df_ajustes_conciliaco!D:D,df_ajustes_conciliaco!C:C,Conciliacao!A496)</f>
        <v/>
      </c>
      <c r="Q496" s="22">
        <f>O496+I496-P496</f>
        <v/>
      </c>
    </row>
    <row r="497">
      <c r="A497" s="5">
        <f>A496+1</f>
        <v/>
      </c>
      <c r="B497" s="3">
        <f>-SUMIFS(df_extrato_zig!G:G,df_extrato_zig!E:E,Conciliacao!A497,df_extrato_zig!D:D,"Saque")-SUMIFS(df_extrato_zig!G:G,df_extrato_zig!E:E,Conciliacao!A497,df_extrato_zig!D:D,"Antecipação")</f>
        <v/>
      </c>
      <c r="C497" s="3">
        <f>SUMIFS(df_extrato_zig!E:E,df_extrato_zig!L:L,Conciliacao!A497,df_extrato_zig!F:F,"DINHEIRO")</f>
        <v/>
      </c>
      <c r="D497" s="3">
        <f>SUMIFS(view_parc_agrup!H:H,view_parc_agrup!G:G,Conciliacao!A497)</f>
        <v/>
      </c>
      <c r="E497" s="3">
        <f>SUMIFS(df_eventos!F:F,df_eventos!H:H,Conciliacao!A497)</f>
        <v/>
      </c>
      <c r="F497" s="3">
        <f>SUMIFS(df_mutuos!M:M,df_mutuos!B:B,Conciliacao!A497)</f>
        <v/>
      </c>
      <c r="G497" s="6">
        <f>SUMIFS(df_bloqueios_judiciais!G:G,df_bloqueios_judiciais!D:D,Conciliacao!A497,df_bloqueios_judiciais!G:G,"&gt;0")</f>
        <v/>
      </c>
      <c r="H497" s="7">
        <f>SUMIFS(df_extratos!I:I,df_extratos!F:F,Conciliacao!BE497,df_extratos!G:G,"CREDITO")+SUMIFS(df_extratos!I:I,df_extratos!F:F,Conciliacao!A497,df_extratos!G:G,"CREDITO")+SUMIFS(df_extratos!I:I,df_extratos!F:F,Conciliacao!BF497,df_extratos!G:G,"CREDITO")+SUMIFS(df_extratos!I:I,df_extratos!F:F,Conciliacao!BG497,df_extratos!G:G,"CREDITO")+SUMIFS(df_extratos!I:I,df_extratos!F:F,Conciliacao!BH497,df_extratos!G:G,"CREDITO")</f>
        <v/>
      </c>
      <c r="I497" s="9">
        <f>H497-SUM(B497:G497)</f>
        <v/>
      </c>
      <c r="J497" s="4">
        <f>SUMIFS(df_blueme_sem_parcelamento!E:E,df_blueme_sem_parcelamento!H:H,Conciliacao!A497)*(-1)</f>
        <v/>
      </c>
      <c r="K497" s="4">
        <f>SUMIFS(df_blueme_com_parcelamento!J:J,df_blueme_com_parcelamento!M:M,Conciliacao!A497)*(-1)</f>
        <v/>
      </c>
      <c r="L497" s="4">
        <f>SUMIFS(df_mutuos!N:N,df_mutuos!B:B,Conciliacao!A497)*(-1)</f>
        <v/>
      </c>
      <c r="M497" s="8">
        <f>SUMIFS(df_bloqueios_judiciais!G:G,df_bloqueios_judiciais!D:D,Conciliacao!A497,df_bloqueios_judiciais!G:G,"&lt;0")</f>
        <v/>
      </c>
      <c r="N497" s="10">
        <f>SUMIFS(df_extratos!I:I,df_extratos!F:F,Conciliacao!BE497,df_extratos!G:G,"DEBITO")+SUMIFS(df_extratos!I:I,df_extratos!F:F,Conciliacao!A497,df_extratos!G:G,"DEBITO")+SUMIFS(df_extratos!I:I,df_extratos!F:F,Conciliacao!BF497,df_extratos!G:G,"DEBITO")+SUMIFS(df_extratos!I:I,df_extratos!F:F,Conciliacao!BG497,df_extratos!G:G,"DEBITO")+SUMIFS(df_extratos!I:I,df_extratos!F:F,Conciliacao!BH497,df_extratos!G:G,"DEBITO")</f>
        <v/>
      </c>
      <c r="O497" s="11">
        <f>N497-SUM(J497:M497)</f>
        <v/>
      </c>
      <c r="P497" s="25">
        <f>SUMIFS(df_ajustes_conciliaco!D:D,df_ajustes_conciliaco!C:C,Conciliacao!A497)</f>
        <v/>
      </c>
      <c r="Q497" s="22">
        <f>O497+I497-P497</f>
        <v/>
      </c>
    </row>
    <row r="498">
      <c r="A498" s="5">
        <f>A497+1</f>
        <v/>
      </c>
      <c r="B498" s="3">
        <f>-SUMIFS(df_extrato_zig!G:G,df_extrato_zig!E:E,Conciliacao!A498,df_extrato_zig!D:D,"Saque")-SUMIFS(df_extrato_zig!G:G,df_extrato_zig!E:E,Conciliacao!A498,df_extrato_zig!D:D,"Antecipação")</f>
        <v/>
      </c>
      <c r="C498" s="3">
        <f>SUMIFS(df_extrato_zig!E:E,df_extrato_zig!L:L,Conciliacao!A498,df_extrato_zig!F:F,"DINHEIRO")</f>
        <v/>
      </c>
      <c r="D498" s="3">
        <f>SUMIFS(view_parc_agrup!H:H,view_parc_agrup!G:G,Conciliacao!A498)</f>
        <v/>
      </c>
      <c r="E498" s="3">
        <f>SUMIFS(df_eventos!F:F,df_eventos!H:H,Conciliacao!A498)</f>
        <v/>
      </c>
      <c r="F498" s="3">
        <f>SUMIFS(df_mutuos!M:M,df_mutuos!B:B,Conciliacao!A498)</f>
        <v/>
      </c>
      <c r="G498" s="6">
        <f>SUMIFS(df_bloqueios_judiciais!G:G,df_bloqueios_judiciais!D:D,Conciliacao!A498,df_bloqueios_judiciais!G:G,"&gt;0")</f>
        <v/>
      </c>
      <c r="H498" s="7">
        <f>SUMIFS(df_extratos!I:I,df_extratos!F:F,Conciliacao!BE498,df_extratos!G:G,"CREDITO")+SUMIFS(df_extratos!I:I,df_extratos!F:F,Conciliacao!A498,df_extratos!G:G,"CREDITO")+SUMIFS(df_extratos!I:I,df_extratos!F:F,Conciliacao!BF498,df_extratos!G:G,"CREDITO")+SUMIFS(df_extratos!I:I,df_extratos!F:F,Conciliacao!BG498,df_extratos!G:G,"CREDITO")+SUMIFS(df_extratos!I:I,df_extratos!F:F,Conciliacao!BH498,df_extratos!G:G,"CREDITO")</f>
        <v/>
      </c>
      <c r="I498" s="9">
        <f>H498-SUM(B498:G498)</f>
        <v/>
      </c>
      <c r="J498" s="4">
        <f>SUMIFS(df_blueme_sem_parcelamento!E:E,df_blueme_sem_parcelamento!H:H,Conciliacao!A498)*(-1)</f>
        <v/>
      </c>
      <c r="K498" s="4">
        <f>SUMIFS(df_blueme_com_parcelamento!J:J,df_blueme_com_parcelamento!M:M,Conciliacao!A498)*(-1)</f>
        <v/>
      </c>
      <c r="L498" s="4">
        <f>SUMIFS(df_mutuos!N:N,df_mutuos!B:B,Conciliacao!A498)*(-1)</f>
        <v/>
      </c>
      <c r="M498" s="8">
        <f>SUMIFS(df_bloqueios_judiciais!G:G,df_bloqueios_judiciais!D:D,Conciliacao!A498,df_bloqueios_judiciais!G:G,"&lt;0")</f>
        <v/>
      </c>
      <c r="N498" s="10">
        <f>SUMIFS(df_extratos!I:I,df_extratos!F:F,Conciliacao!BE498,df_extratos!G:G,"DEBITO")+SUMIFS(df_extratos!I:I,df_extratos!F:F,Conciliacao!A498,df_extratos!G:G,"DEBITO")+SUMIFS(df_extratos!I:I,df_extratos!F:F,Conciliacao!BF498,df_extratos!G:G,"DEBITO")+SUMIFS(df_extratos!I:I,df_extratos!F:F,Conciliacao!BG498,df_extratos!G:G,"DEBITO")+SUMIFS(df_extratos!I:I,df_extratos!F:F,Conciliacao!BH498,df_extratos!G:G,"DEBITO")</f>
        <v/>
      </c>
      <c r="O498" s="11">
        <f>N498-SUM(J498:M498)</f>
        <v/>
      </c>
      <c r="P498" s="25">
        <f>SUMIFS(df_ajustes_conciliaco!D:D,df_ajustes_conciliaco!C:C,Conciliacao!A498)</f>
        <v/>
      </c>
      <c r="Q498" s="22">
        <f>O498+I498-P498</f>
        <v/>
      </c>
    </row>
    <row r="499">
      <c r="A499" s="5">
        <f>A498+1</f>
        <v/>
      </c>
      <c r="B499" s="3">
        <f>-SUMIFS(df_extrato_zig!G:G,df_extrato_zig!E:E,Conciliacao!A499,df_extrato_zig!D:D,"Saque")-SUMIFS(df_extrato_zig!G:G,df_extrato_zig!E:E,Conciliacao!A499,df_extrato_zig!D:D,"Antecipação")</f>
        <v/>
      </c>
      <c r="C499" s="3">
        <f>SUMIFS(df_extrato_zig!E:E,df_extrato_zig!L:L,Conciliacao!A499,df_extrato_zig!F:F,"DINHEIRO")</f>
        <v/>
      </c>
      <c r="D499" s="3">
        <f>SUMIFS(view_parc_agrup!H:H,view_parc_agrup!G:G,Conciliacao!A499)</f>
        <v/>
      </c>
      <c r="E499" s="3">
        <f>SUMIFS(df_eventos!F:F,df_eventos!H:H,Conciliacao!A499)</f>
        <v/>
      </c>
      <c r="F499" s="3">
        <f>SUMIFS(df_mutuos!M:M,df_mutuos!B:B,Conciliacao!A499)</f>
        <v/>
      </c>
      <c r="G499" s="6">
        <f>SUMIFS(df_bloqueios_judiciais!G:G,df_bloqueios_judiciais!D:D,Conciliacao!A499,df_bloqueios_judiciais!G:G,"&gt;0")</f>
        <v/>
      </c>
      <c r="H499" s="7">
        <f>SUMIFS(df_extratos!I:I,df_extratos!F:F,Conciliacao!BE499,df_extratos!G:G,"CREDITO")+SUMIFS(df_extratos!I:I,df_extratos!F:F,Conciliacao!A499,df_extratos!G:G,"CREDITO")+SUMIFS(df_extratos!I:I,df_extratos!F:F,Conciliacao!BF499,df_extratos!G:G,"CREDITO")+SUMIFS(df_extratos!I:I,df_extratos!F:F,Conciliacao!BG499,df_extratos!G:G,"CREDITO")+SUMIFS(df_extratos!I:I,df_extratos!F:F,Conciliacao!BH499,df_extratos!G:G,"CREDITO")</f>
        <v/>
      </c>
      <c r="I499" s="9">
        <f>H499-SUM(B499:G499)</f>
        <v/>
      </c>
      <c r="J499" s="4">
        <f>SUMIFS(df_blueme_sem_parcelamento!E:E,df_blueme_sem_parcelamento!H:H,Conciliacao!A499)*(-1)</f>
        <v/>
      </c>
      <c r="K499" s="4">
        <f>SUMIFS(df_blueme_com_parcelamento!J:J,df_blueme_com_parcelamento!M:M,Conciliacao!A499)*(-1)</f>
        <v/>
      </c>
      <c r="L499" s="4">
        <f>SUMIFS(df_mutuos!N:N,df_mutuos!B:B,Conciliacao!A499)*(-1)</f>
        <v/>
      </c>
      <c r="M499" s="8">
        <f>SUMIFS(df_bloqueios_judiciais!G:G,df_bloqueios_judiciais!D:D,Conciliacao!A499,df_bloqueios_judiciais!G:G,"&lt;0")</f>
        <v/>
      </c>
      <c r="N499" s="10">
        <f>SUMIFS(df_extratos!I:I,df_extratos!F:F,Conciliacao!BE499,df_extratos!G:G,"DEBITO")+SUMIFS(df_extratos!I:I,df_extratos!F:F,Conciliacao!A499,df_extratos!G:G,"DEBITO")+SUMIFS(df_extratos!I:I,df_extratos!F:F,Conciliacao!BF499,df_extratos!G:G,"DEBITO")+SUMIFS(df_extratos!I:I,df_extratos!F:F,Conciliacao!BG499,df_extratos!G:G,"DEBITO")+SUMIFS(df_extratos!I:I,df_extratos!F:F,Conciliacao!BH499,df_extratos!G:G,"DEBITO")</f>
        <v/>
      </c>
      <c r="O499" s="11">
        <f>N499-SUM(J499:M499)</f>
        <v/>
      </c>
      <c r="P499" s="25">
        <f>SUMIFS(df_ajustes_conciliaco!D:D,df_ajustes_conciliaco!C:C,Conciliacao!A499)</f>
        <v/>
      </c>
      <c r="Q499" s="22">
        <f>O499+I499-P499</f>
        <v/>
      </c>
    </row>
    <row r="500">
      <c r="A500" s="5">
        <f>A499+1</f>
        <v/>
      </c>
      <c r="B500" s="3">
        <f>-SUMIFS(df_extrato_zig!G:G,df_extrato_zig!E:E,Conciliacao!A500,df_extrato_zig!D:D,"Saque")-SUMIFS(df_extrato_zig!G:G,df_extrato_zig!E:E,Conciliacao!A500,df_extrato_zig!D:D,"Antecipação")</f>
        <v/>
      </c>
      <c r="C500" s="3">
        <f>SUMIFS(df_extrato_zig!E:E,df_extrato_zig!L:L,Conciliacao!A500,df_extrato_zig!F:F,"DINHEIRO")</f>
        <v/>
      </c>
      <c r="D500" s="3">
        <f>SUMIFS(view_parc_agrup!H:H,view_parc_agrup!G:G,Conciliacao!A500)</f>
        <v/>
      </c>
      <c r="E500" s="3">
        <f>SUMIFS(df_eventos!F:F,df_eventos!H:H,Conciliacao!A500)</f>
        <v/>
      </c>
      <c r="F500" s="3">
        <f>SUMIFS(df_mutuos!M:M,df_mutuos!B:B,Conciliacao!A500)</f>
        <v/>
      </c>
      <c r="G500" s="6">
        <f>SUMIFS(df_bloqueios_judiciais!G:G,df_bloqueios_judiciais!D:D,Conciliacao!A500,df_bloqueios_judiciais!G:G,"&gt;0")</f>
        <v/>
      </c>
      <c r="H500" s="7">
        <f>SUMIFS(df_extratos!I:I,df_extratos!F:F,Conciliacao!BE500,df_extratos!G:G,"CREDITO")+SUMIFS(df_extratos!I:I,df_extratos!F:F,Conciliacao!A500,df_extratos!G:G,"CREDITO")+SUMIFS(df_extratos!I:I,df_extratos!F:F,Conciliacao!BF500,df_extratos!G:G,"CREDITO")+SUMIFS(df_extratos!I:I,df_extratos!F:F,Conciliacao!BG500,df_extratos!G:G,"CREDITO")+SUMIFS(df_extratos!I:I,df_extratos!F:F,Conciliacao!BH500,df_extratos!G:G,"CREDITO")</f>
        <v/>
      </c>
      <c r="I500" s="9">
        <f>H500-SUM(B500:G500)</f>
        <v/>
      </c>
      <c r="J500" s="4">
        <f>SUMIFS(df_blueme_sem_parcelamento!E:E,df_blueme_sem_parcelamento!H:H,Conciliacao!A500)*(-1)</f>
        <v/>
      </c>
      <c r="K500" s="4">
        <f>SUMIFS(df_blueme_com_parcelamento!J:J,df_blueme_com_parcelamento!M:M,Conciliacao!A500)*(-1)</f>
        <v/>
      </c>
      <c r="L500" s="4">
        <f>SUMIFS(df_mutuos!N:N,df_mutuos!B:B,Conciliacao!A500)*(-1)</f>
        <v/>
      </c>
      <c r="M500" s="8">
        <f>SUMIFS(df_bloqueios_judiciais!G:G,df_bloqueios_judiciais!D:D,Conciliacao!A500,df_bloqueios_judiciais!G:G,"&lt;0")</f>
        <v/>
      </c>
      <c r="N500" s="10">
        <f>SUMIFS(df_extratos!I:I,df_extratos!F:F,Conciliacao!BE500,df_extratos!G:G,"DEBITO")+SUMIFS(df_extratos!I:I,df_extratos!F:F,Conciliacao!A500,df_extratos!G:G,"DEBITO")+SUMIFS(df_extratos!I:I,df_extratos!F:F,Conciliacao!BF500,df_extratos!G:G,"DEBITO")+SUMIFS(df_extratos!I:I,df_extratos!F:F,Conciliacao!BG500,df_extratos!G:G,"DEBITO")+SUMIFS(df_extratos!I:I,df_extratos!F:F,Conciliacao!BH500,df_extratos!G:G,"DEBITO")</f>
        <v/>
      </c>
      <c r="O500" s="11">
        <f>N500-SUM(J500:M500)</f>
        <v/>
      </c>
      <c r="P500" s="25">
        <f>SUMIFS(df_ajustes_conciliaco!D:D,df_ajustes_conciliaco!C:C,Conciliacao!A500)</f>
        <v/>
      </c>
      <c r="Q500" s="22">
        <f>O500+I500-P500</f>
        <v/>
      </c>
    </row>
    <row r="501">
      <c r="A501" s="5">
        <f>A500+1</f>
        <v/>
      </c>
      <c r="B501" s="3">
        <f>-SUMIFS(df_extrato_zig!G:G,df_extrato_zig!E:E,Conciliacao!A501,df_extrato_zig!D:D,"Saque")-SUMIFS(df_extrato_zig!G:G,df_extrato_zig!E:E,Conciliacao!A501,df_extrato_zig!D:D,"Antecipação")</f>
        <v/>
      </c>
      <c r="C501" s="3">
        <f>SUMIFS(df_extrato_zig!E:E,df_extrato_zig!L:L,Conciliacao!A501,df_extrato_zig!F:F,"DINHEIRO")</f>
        <v/>
      </c>
      <c r="D501" s="3">
        <f>SUMIFS(view_parc_agrup!H:H,view_parc_agrup!G:G,Conciliacao!A501)</f>
        <v/>
      </c>
      <c r="E501" s="3">
        <f>SUMIFS(df_eventos!F:F,df_eventos!H:H,Conciliacao!A501)</f>
        <v/>
      </c>
      <c r="F501" s="3">
        <f>SUMIFS(df_mutuos!M:M,df_mutuos!B:B,Conciliacao!A501)</f>
        <v/>
      </c>
      <c r="G501" s="6">
        <f>SUMIFS(df_bloqueios_judiciais!G:G,df_bloqueios_judiciais!D:D,Conciliacao!A501,df_bloqueios_judiciais!G:G,"&gt;0")</f>
        <v/>
      </c>
      <c r="H501" s="7">
        <f>SUMIFS(df_extratos!I:I,df_extratos!F:F,Conciliacao!BE501,df_extratos!G:G,"CREDITO")+SUMIFS(df_extratos!I:I,df_extratos!F:F,Conciliacao!A501,df_extratos!G:G,"CREDITO")+SUMIFS(df_extratos!I:I,df_extratos!F:F,Conciliacao!BF501,df_extratos!G:G,"CREDITO")+SUMIFS(df_extratos!I:I,df_extratos!F:F,Conciliacao!BG501,df_extratos!G:G,"CREDITO")+SUMIFS(df_extratos!I:I,df_extratos!F:F,Conciliacao!BH501,df_extratos!G:G,"CREDITO")</f>
        <v/>
      </c>
      <c r="I501" s="9">
        <f>H501-SUM(B501:G501)</f>
        <v/>
      </c>
      <c r="J501" s="4">
        <f>SUMIFS(df_blueme_sem_parcelamento!E:E,df_blueme_sem_parcelamento!H:H,Conciliacao!A501)*(-1)</f>
        <v/>
      </c>
      <c r="K501" s="4">
        <f>SUMIFS(df_blueme_com_parcelamento!J:J,df_blueme_com_parcelamento!M:M,Conciliacao!A501)*(-1)</f>
        <v/>
      </c>
      <c r="L501" s="4">
        <f>SUMIFS(df_mutuos!N:N,df_mutuos!B:B,Conciliacao!A501)*(-1)</f>
        <v/>
      </c>
      <c r="M501" s="8">
        <f>SUMIFS(df_bloqueios_judiciais!G:G,df_bloqueios_judiciais!D:D,Conciliacao!A501,df_bloqueios_judiciais!G:G,"&lt;0")</f>
        <v/>
      </c>
      <c r="N501" s="10">
        <f>SUMIFS(df_extratos!I:I,df_extratos!F:F,Conciliacao!BE501,df_extratos!G:G,"DEBITO")+SUMIFS(df_extratos!I:I,df_extratos!F:F,Conciliacao!A501,df_extratos!G:G,"DEBITO")+SUMIFS(df_extratos!I:I,df_extratos!F:F,Conciliacao!BF501,df_extratos!G:G,"DEBITO")+SUMIFS(df_extratos!I:I,df_extratos!F:F,Conciliacao!BG501,df_extratos!G:G,"DEBITO")+SUMIFS(df_extratos!I:I,df_extratos!F:F,Conciliacao!BH501,df_extratos!G:G,"DEBITO")</f>
        <v/>
      </c>
      <c r="O501" s="11">
        <f>N501-SUM(J501:M501)</f>
        <v/>
      </c>
      <c r="P501" s="25">
        <f>SUMIFS(df_ajustes_conciliaco!D:D,df_ajustes_conciliaco!C:C,Conciliacao!A501)</f>
        <v/>
      </c>
      <c r="Q501" s="22">
        <f>O501+I501-P501</f>
        <v/>
      </c>
    </row>
    <row r="502">
      <c r="A502" s="5">
        <f>A501+1</f>
        <v/>
      </c>
      <c r="B502" s="3">
        <f>-SUMIFS(df_extrato_zig!G:G,df_extrato_zig!E:E,Conciliacao!A502,df_extrato_zig!D:D,"Saque")-SUMIFS(df_extrato_zig!G:G,df_extrato_zig!E:E,Conciliacao!A502,df_extrato_zig!D:D,"Antecipação")</f>
        <v/>
      </c>
      <c r="C502" s="3">
        <f>SUMIFS(df_extrato_zig!E:E,df_extrato_zig!L:L,Conciliacao!A502,df_extrato_zig!F:F,"DINHEIRO")</f>
        <v/>
      </c>
      <c r="D502" s="3">
        <f>SUMIFS(view_parc_agrup!H:H,view_parc_agrup!G:G,Conciliacao!A502)</f>
        <v/>
      </c>
      <c r="E502" s="3">
        <f>SUMIFS(df_eventos!F:F,df_eventos!H:H,Conciliacao!A502)</f>
        <v/>
      </c>
      <c r="F502" s="3">
        <f>SUMIFS(df_mutuos!M:M,df_mutuos!B:B,Conciliacao!A502)</f>
        <v/>
      </c>
      <c r="G502" s="6">
        <f>SUMIFS(df_bloqueios_judiciais!G:G,df_bloqueios_judiciais!D:D,Conciliacao!A502,df_bloqueios_judiciais!G:G,"&gt;0")</f>
        <v/>
      </c>
      <c r="H502" s="7">
        <f>SUMIFS(df_extratos!I:I,df_extratos!F:F,Conciliacao!BE502,df_extratos!G:G,"CREDITO")+SUMIFS(df_extratos!I:I,df_extratos!F:F,Conciliacao!A502,df_extratos!G:G,"CREDITO")+SUMIFS(df_extratos!I:I,df_extratos!F:F,Conciliacao!BF502,df_extratos!G:G,"CREDITO")+SUMIFS(df_extratos!I:I,df_extratos!F:F,Conciliacao!BG502,df_extratos!G:G,"CREDITO")+SUMIFS(df_extratos!I:I,df_extratos!F:F,Conciliacao!BH502,df_extratos!G:G,"CREDITO")</f>
        <v/>
      </c>
      <c r="I502" s="9">
        <f>H502-SUM(B502:G502)</f>
        <v/>
      </c>
      <c r="J502" s="4">
        <f>SUMIFS(df_blueme_sem_parcelamento!E:E,df_blueme_sem_parcelamento!H:H,Conciliacao!A502)*(-1)</f>
        <v/>
      </c>
      <c r="K502" s="4">
        <f>SUMIFS(df_blueme_com_parcelamento!J:J,df_blueme_com_parcelamento!M:M,Conciliacao!A502)*(-1)</f>
        <v/>
      </c>
      <c r="L502" s="4">
        <f>SUMIFS(df_mutuos!N:N,df_mutuos!B:B,Conciliacao!A502)*(-1)</f>
        <v/>
      </c>
      <c r="M502" s="8">
        <f>SUMIFS(df_bloqueios_judiciais!G:G,df_bloqueios_judiciais!D:D,Conciliacao!A502,df_bloqueios_judiciais!G:G,"&lt;0")</f>
        <v/>
      </c>
      <c r="N502" s="10">
        <f>SUMIFS(df_extratos!I:I,df_extratos!F:F,Conciliacao!BE502,df_extratos!G:G,"DEBITO")+SUMIFS(df_extratos!I:I,df_extratos!F:F,Conciliacao!A502,df_extratos!G:G,"DEBITO")+SUMIFS(df_extratos!I:I,df_extratos!F:F,Conciliacao!BF502,df_extratos!G:G,"DEBITO")+SUMIFS(df_extratos!I:I,df_extratos!F:F,Conciliacao!BG502,df_extratos!G:G,"DEBITO")+SUMIFS(df_extratos!I:I,df_extratos!F:F,Conciliacao!BH502,df_extratos!G:G,"DEBITO")</f>
        <v/>
      </c>
      <c r="O502" s="11">
        <f>N502-SUM(J502:M502)</f>
        <v/>
      </c>
      <c r="P502" s="25">
        <f>SUMIFS(df_ajustes_conciliaco!D:D,df_ajustes_conciliaco!C:C,Conciliacao!A502)</f>
        <v/>
      </c>
      <c r="Q502" s="22">
        <f>O502+I502-P502</f>
        <v/>
      </c>
    </row>
    <row r="503">
      <c r="A503" s="5">
        <f>A502+1</f>
        <v/>
      </c>
      <c r="B503" s="3">
        <f>-SUMIFS(df_extrato_zig!G:G,df_extrato_zig!E:E,Conciliacao!A503,df_extrato_zig!D:D,"Saque")-SUMIFS(df_extrato_zig!G:G,df_extrato_zig!E:E,Conciliacao!A503,df_extrato_zig!D:D,"Antecipação")</f>
        <v/>
      </c>
      <c r="C503" s="3">
        <f>SUMIFS(df_extrato_zig!E:E,df_extrato_zig!L:L,Conciliacao!A503,df_extrato_zig!F:F,"DINHEIRO")</f>
        <v/>
      </c>
      <c r="D503" s="3">
        <f>SUMIFS(view_parc_agrup!H:H,view_parc_agrup!G:G,Conciliacao!A503)</f>
        <v/>
      </c>
      <c r="E503" s="3">
        <f>SUMIFS(df_eventos!F:F,df_eventos!H:H,Conciliacao!A503)</f>
        <v/>
      </c>
      <c r="F503" s="3">
        <f>SUMIFS(df_mutuos!M:M,df_mutuos!B:B,Conciliacao!A503)</f>
        <v/>
      </c>
      <c r="G503" s="6">
        <f>SUMIFS(df_bloqueios_judiciais!G:G,df_bloqueios_judiciais!D:D,Conciliacao!A503,df_bloqueios_judiciais!G:G,"&gt;0")</f>
        <v/>
      </c>
      <c r="H503" s="7">
        <f>SUMIFS(df_extratos!I:I,df_extratos!F:F,Conciliacao!BE503,df_extratos!G:G,"CREDITO")+SUMIFS(df_extratos!I:I,df_extratos!F:F,Conciliacao!A503,df_extratos!G:G,"CREDITO")+SUMIFS(df_extratos!I:I,df_extratos!F:F,Conciliacao!BF503,df_extratos!G:G,"CREDITO")+SUMIFS(df_extratos!I:I,df_extratos!F:F,Conciliacao!BG503,df_extratos!G:G,"CREDITO")+SUMIFS(df_extratos!I:I,df_extratos!F:F,Conciliacao!BH503,df_extratos!G:G,"CREDITO")</f>
        <v/>
      </c>
      <c r="I503" s="9">
        <f>H503-SUM(B503:G503)</f>
        <v/>
      </c>
      <c r="J503" s="4">
        <f>SUMIFS(df_blueme_sem_parcelamento!E:E,df_blueme_sem_parcelamento!H:H,Conciliacao!A503)*(-1)</f>
        <v/>
      </c>
      <c r="K503" s="4">
        <f>SUMIFS(df_blueme_com_parcelamento!J:J,df_blueme_com_parcelamento!M:M,Conciliacao!A503)*(-1)</f>
        <v/>
      </c>
      <c r="L503" s="4">
        <f>SUMIFS(df_mutuos!N:N,df_mutuos!B:B,Conciliacao!A503)*(-1)</f>
        <v/>
      </c>
      <c r="M503" s="8">
        <f>SUMIFS(df_bloqueios_judiciais!G:G,df_bloqueios_judiciais!D:D,Conciliacao!A503,df_bloqueios_judiciais!G:G,"&lt;0")</f>
        <v/>
      </c>
      <c r="N503" s="10">
        <f>SUMIFS(df_extratos!I:I,df_extratos!F:F,Conciliacao!BE503,df_extratos!G:G,"DEBITO")+SUMIFS(df_extratos!I:I,df_extratos!F:F,Conciliacao!A503,df_extratos!G:G,"DEBITO")+SUMIFS(df_extratos!I:I,df_extratos!F:F,Conciliacao!BF503,df_extratos!G:G,"DEBITO")+SUMIFS(df_extratos!I:I,df_extratos!F:F,Conciliacao!BG503,df_extratos!G:G,"DEBITO")+SUMIFS(df_extratos!I:I,df_extratos!F:F,Conciliacao!BH503,df_extratos!G:G,"DEBITO")</f>
        <v/>
      </c>
      <c r="O503" s="11">
        <f>N503-SUM(J503:M503)</f>
        <v/>
      </c>
      <c r="P503" s="25">
        <f>SUMIFS(df_ajustes_conciliaco!D:D,df_ajustes_conciliaco!C:C,Conciliacao!A503)</f>
        <v/>
      </c>
      <c r="Q503" s="22">
        <f>O503+I503-P503</f>
        <v/>
      </c>
    </row>
    <row r="504">
      <c r="A504" s="5">
        <f>A503+1</f>
        <v/>
      </c>
      <c r="B504" s="3">
        <f>-SUMIFS(df_extrato_zig!G:G,df_extrato_zig!E:E,Conciliacao!A504,df_extrato_zig!D:D,"Saque")-SUMIFS(df_extrato_zig!G:G,df_extrato_zig!E:E,Conciliacao!A504,df_extrato_zig!D:D,"Antecipação")</f>
        <v/>
      </c>
      <c r="C504" s="3">
        <f>SUMIFS(df_extrato_zig!E:E,df_extrato_zig!L:L,Conciliacao!A504,df_extrato_zig!F:F,"DINHEIRO")</f>
        <v/>
      </c>
      <c r="D504" s="3">
        <f>SUMIFS(view_parc_agrup!H:H,view_parc_agrup!G:G,Conciliacao!A504)</f>
        <v/>
      </c>
      <c r="E504" s="3">
        <f>SUMIFS(df_eventos!F:F,df_eventos!H:H,Conciliacao!A504)</f>
        <v/>
      </c>
      <c r="F504" s="3">
        <f>SUMIFS(df_mutuos!M:M,df_mutuos!B:B,Conciliacao!A504)</f>
        <v/>
      </c>
      <c r="G504" s="6">
        <f>SUMIFS(df_bloqueios_judiciais!G:G,df_bloqueios_judiciais!D:D,Conciliacao!A504,df_bloqueios_judiciais!G:G,"&gt;0")</f>
        <v/>
      </c>
      <c r="H504" s="7">
        <f>SUMIFS(df_extratos!I:I,df_extratos!F:F,Conciliacao!BE504,df_extratos!G:G,"CREDITO")+SUMIFS(df_extratos!I:I,df_extratos!F:F,Conciliacao!A504,df_extratos!G:G,"CREDITO")+SUMIFS(df_extratos!I:I,df_extratos!F:F,Conciliacao!BF504,df_extratos!G:G,"CREDITO")+SUMIFS(df_extratos!I:I,df_extratos!F:F,Conciliacao!BG504,df_extratos!G:G,"CREDITO")+SUMIFS(df_extratos!I:I,df_extratos!F:F,Conciliacao!BH504,df_extratos!G:G,"CREDITO")</f>
        <v/>
      </c>
      <c r="I504" s="9">
        <f>H504-SUM(B504:G504)</f>
        <v/>
      </c>
      <c r="J504" s="4">
        <f>SUMIFS(df_blueme_sem_parcelamento!E:E,df_blueme_sem_parcelamento!H:H,Conciliacao!A504)*(-1)</f>
        <v/>
      </c>
      <c r="K504" s="4">
        <f>SUMIFS(df_blueme_com_parcelamento!J:J,df_blueme_com_parcelamento!M:M,Conciliacao!A504)*(-1)</f>
        <v/>
      </c>
      <c r="L504" s="4">
        <f>SUMIFS(df_mutuos!N:N,df_mutuos!B:B,Conciliacao!A504)*(-1)</f>
        <v/>
      </c>
      <c r="M504" s="8">
        <f>SUMIFS(df_bloqueios_judiciais!G:G,df_bloqueios_judiciais!D:D,Conciliacao!A504,df_bloqueios_judiciais!G:G,"&lt;0")</f>
        <v/>
      </c>
      <c r="N504" s="10">
        <f>SUMIFS(df_extratos!I:I,df_extratos!F:F,Conciliacao!BE504,df_extratos!G:G,"DEBITO")+SUMIFS(df_extratos!I:I,df_extratos!F:F,Conciliacao!A504,df_extratos!G:G,"DEBITO")+SUMIFS(df_extratos!I:I,df_extratos!F:F,Conciliacao!BF504,df_extratos!G:G,"DEBITO")+SUMIFS(df_extratos!I:I,df_extratos!F:F,Conciliacao!BG504,df_extratos!G:G,"DEBITO")+SUMIFS(df_extratos!I:I,df_extratos!F:F,Conciliacao!BH504,df_extratos!G:G,"DEBITO")</f>
        <v/>
      </c>
      <c r="O504" s="11">
        <f>N504-SUM(J504:M504)</f>
        <v/>
      </c>
      <c r="P504" s="25">
        <f>SUMIFS(df_ajustes_conciliaco!D:D,df_ajustes_conciliaco!C:C,Conciliacao!A504)</f>
        <v/>
      </c>
      <c r="Q504" s="22">
        <f>O504+I504-P504</f>
        <v/>
      </c>
    </row>
    <row r="505">
      <c r="A505" s="5">
        <f>A504+1</f>
        <v/>
      </c>
      <c r="B505" s="3">
        <f>-SUMIFS(df_extrato_zig!G:G,df_extrato_zig!E:E,Conciliacao!A505,df_extrato_zig!D:D,"Saque")-SUMIFS(df_extrato_zig!G:G,df_extrato_zig!E:E,Conciliacao!A505,df_extrato_zig!D:D,"Antecipação")</f>
        <v/>
      </c>
      <c r="C505" s="3">
        <f>SUMIFS(df_extrato_zig!E:E,df_extrato_zig!L:L,Conciliacao!A505,df_extrato_zig!F:F,"DINHEIRO")</f>
        <v/>
      </c>
      <c r="D505" s="3">
        <f>SUMIFS(view_parc_agrup!H:H,view_parc_agrup!G:G,Conciliacao!A505)</f>
        <v/>
      </c>
      <c r="E505" s="3">
        <f>SUMIFS(df_eventos!F:F,df_eventos!H:H,Conciliacao!A505)</f>
        <v/>
      </c>
      <c r="F505" s="3">
        <f>SUMIFS(df_mutuos!M:M,df_mutuos!B:B,Conciliacao!A505)</f>
        <v/>
      </c>
      <c r="G505" s="6">
        <f>SUMIFS(df_bloqueios_judiciais!G:G,df_bloqueios_judiciais!D:D,Conciliacao!A505,df_bloqueios_judiciais!G:G,"&gt;0")</f>
        <v/>
      </c>
      <c r="H505" s="7">
        <f>SUMIFS(df_extratos!I:I,df_extratos!F:F,Conciliacao!BE505,df_extratos!G:G,"CREDITO")+SUMIFS(df_extratos!I:I,df_extratos!F:F,Conciliacao!A505,df_extratos!G:G,"CREDITO")+SUMIFS(df_extratos!I:I,df_extratos!F:F,Conciliacao!BF505,df_extratos!G:G,"CREDITO")+SUMIFS(df_extratos!I:I,df_extratos!F:F,Conciliacao!BG505,df_extratos!G:G,"CREDITO")+SUMIFS(df_extratos!I:I,df_extratos!F:F,Conciliacao!BH505,df_extratos!G:G,"CREDITO")</f>
        <v/>
      </c>
      <c r="I505" s="9">
        <f>H505-SUM(B505:G505)</f>
        <v/>
      </c>
      <c r="J505" s="4">
        <f>SUMIFS(df_blueme_sem_parcelamento!E:E,df_blueme_sem_parcelamento!H:H,Conciliacao!A505)*(-1)</f>
        <v/>
      </c>
      <c r="K505" s="4">
        <f>SUMIFS(df_blueme_com_parcelamento!J:J,df_blueme_com_parcelamento!M:M,Conciliacao!A505)*(-1)</f>
        <v/>
      </c>
      <c r="L505" s="4">
        <f>SUMIFS(df_mutuos!N:N,df_mutuos!B:B,Conciliacao!A505)*(-1)</f>
        <v/>
      </c>
      <c r="M505" s="8">
        <f>SUMIFS(df_bloqueios_judiciais!G:G,df_bloqueios_judiciais!D:D,Conciliacao!A505,df_bloqueios_judiciais!G:G,"&lt;0")</f>
        <v/>
      </c>
      <c r="N505" s="10">
        <f>SUMIFS(df_extratos!I:I,df_extratos!F:F,Conciliacao!BE505,df_extratos!G:G,"DEBITO")+SUMIFS(df_extratos!I:I,df_extratos!F:F,Conciliacao!A505,df_extratos!G:G,"DEBITO")+SUMIFS(df_extratos!I:I,df_extratos!F:F,Conciliacao!BF505,df_extratos!G:G,"DEBITO")+SUMIFS(df_extratos!I:I,df_extratos!F:F,Conciliacao!BG505,df_extratos!G:G,"DEBITO")+SUMIFS(df_extratos!I:I,df_extratos!F:F,Conciliacao!BH505,df_extratos!G:G,"DEBITO")</f>
        <v/>
      </c>
      <c r="O505" s="11">
        <f>N505-SUM(J505:M505)</f>
        <v/>
      </c>
      <c r="P505" s="25">
        <f>SUMIFS(df_ajustes_conciliaco!D:D,df_ajustes_conciliaco!C:C,Conciliacao!A505)</f>
        <v/>
      </c>
      <c r="Q505" s="22">
        <f>O505+I505-P505</f>
        <v/>
      </c>
    </row>
    <row r="506">
      <c r="A506" s="5">
        <f>A505+1</f>
        <v/>
      </c>
      <c r="B506" s="3">
        <f>-SUMIFS(df_extrato_zig!G:G,df_extrato_zig!E:E,Conciliacao!A506,df_extrato_zig!D:D,"Saque")-SUMIFS(df_extrato_zig!G:G,df_extrato_zig!E:E,Conciliacao!A506,df_extrato_zig!D:D,"Antecipação")</f>
        <v/>
      </c>
      <c r="C506" s="3">
        <f>SUMIFS(df_extrato_zig!E:E,df_extrato_zig!L:L,Conciliacao!A506,df_extrato_zig!F:F,"DINHEIRO")</f>
        <v/>
      </c>
      <c r="D506" s="3">
        <f>SUMIFS(view_parc_agrup!H:H,view_parc_agrup!G:G,Conciliacao!A506)</f>
        <v/>
      </c>
      <c r="E506" s="3">
        <f>SUMIFS(df_eventos!F:F,df_eventos!H:H,Conciliacao!A506)</f>
        <v/>
      </c>
      <c r="F506" s="3">
        <f>SUMIFS(df_mutuos!M:M,df_mutuos!B:B,Conciliacao!A506)</f>
        <v/>
      </c>
      <c r="G506" s="6">
        <f>SUMIFS(df_bloqueios_judiciais!G:G,df_bloqueios_judiciais!D:D,Conciliacao!A506,df_bloqueios_judiciais!G:G,"&gt;0")</f>
        <v/>
      </c>
      <c r="H506" s="7">
        <f>SUMIFS(df_extratos!I:I,df_extratos!F:F,Conciliacao!BE506,df_extratos!G:G,"CREDITO")+SUMIFS(df_extratos!I:I,df_extratos!F:F,Conciliacao!A506,df_extratos!G:G,"CREDITO")+SUMIFS(df_extratos!I:I,df_extratos!F:F,Conciliacao!BF506,df_extratos!G:G,"CREDITO")+SUMIFS(df_extratos!I:I,df_extratos!F:F,Conciliacao!BG506,df_extratos!G:G,"CREDITO")+SUMIFS(df_extratos!I:I,df_extratos!F:F,Conciliacao!BH506,df_extratos!G:G,"CREDITO")</f>
        <v/>
      </c>
      <c r="I506" s="9">
        <f>H506-SUM(B506:G506)</f>
        <v/>
      </c>
      <c r="J506" s="4">
        <f>SUMIFS(df_blueme_sem_parcelamento!E:E,df_blueme_sem_parcelamento!H:H,Conciliacao!A506)*(-1)</f>
        <v/>
      </c>
      <c r="K506" s="4">
        <f>SUMIFS(df_blueme_com_parcelamento!J:J,df_blueme_com_parcelamento!M:M,Conciliacao!A506)*(-1)</f>
        <v/>
      </c>
      <c r="L506" s="4">
        <f>SUMIFS(df_mutuos!N:N,df_mutuos!B:B,Conciliacao!A506)*(-1)</f>
        <v/>
      </c>
      <c r="M506" s="8">
        <f>SUMIFS(df_bloqueios_judiciais!G:G,df_bloqueios_judiciais!D:D,Conciliacao!A506,df_bloqueios_judiciais!G:G,"&lt;0")</f>
        <v/>
      </c>
      <c r="N506" s="10">
        <f>SUMIFS(df_extratos!I:I,df_extratos!F:F,Conciliacao!BE506,df_extratos!G:G,"DEBITO")+SUMIFS(df_extratos!I:I,df_extratos!F:F,Conciliacao!A506,df_extratos!G:G,"DEBITO")+SUMIFS(df_extratos!I:I,df_extratos!F:F,Conciliacao!BF506,df_extratos!G:G,"DEBITO")+SUMIFS(df_extratos!I:I,df_extratos!F:F,Conciliacao!BG506,df_extratos!G:G,"DEBITO")+SUMIFS(df_extratos!I:I,df_extratos!F:F,Conciliacao!BH506,df_extratos!G:G,"DEBITO")</f>
        <v/>
      </c>
      <c r="O506" s="11">
        <f>N506-SUM(J506:M506)</f>
        <v/>
      </c>
      <c r="P506" s="25">
        <f>SUMIFS(df_ajustes_conciliaco!D:D,df_ajustes_conciliaco!C:C,Conciliacao!A506)</f>
        <v/>
      </c>
      <c r="Q506" s="22">
        <f>O506+I506-P506</f>
        <v/>
      </c>
    </row>
    <row r="507">
      <c r="A507" s="5">
        <f>A506+1</f>
        <v/>
      </c>
      <c r="B507" s="3">
        <f>-SUMIFS(df_extrato_zig!G:G,df_extrato_zig!E:E,Conciliacao!A507,df_extrato_zig!D:D,"Saque")-SUMIFS(df_extrato_zig!G:G,df_extrato_zig!E:E,Conciliacao!A507,df_extrato_zig!D:D,"Antecipação")</f>
        <v/>
      </c>
      <c r="C507" s="3">
        <f>SUMIFS(df_extrato_zig!E:E,df_extrato_zig!L:L,Conciliacao!A507,df_extrato_zig!F:F,"DINHEIRO")</f>
        <v/>
      </c>
      <c r="D507" s="3">
        <f>SUMIFS(view_parc_agrup!H:H,view_parc_agrup!G:G,Conciliacao!A507)</f>
        <v/>
      </c>
      <c r="E507" s="3">
        <f>SUMIFS(df_eventos!F:F,df_eventos!H:H,Conciliacao!A507)</f>
        <v/>
      </c>
      <c r="F507" s="3">
        <f>SUMIFS(df_mutuos!M:M,df_mutuos!B:B,Conciliacao!A507)</f>
        <v/>
      </c>
      <c r="G507" s="6">
        <f>SUMIFS(df_bloqueios_judiciais!G:G,df_bloqueios_judiciais!D:D,Conciliacao!A507,df_bloqueios_judiciais!G:G,"&gt;0")</f>
        <v/>
      </c>
      <c r="H507" s="7">
        <f>SUMIFS(df_extratos!I:I,df_extratos!F:F,Conciliacao!BE507,df_extratos!G:G,"CREDITO")+SUMIFS(df_extratos!I:I,df_extratos!F:F,Conciliacao!A507,df_extratos!G:G,"CREDITO")+SUMIFS(df_extratos!I:I,df_extratos!F:F,Conciliacao!BF507,df_extratos!G:G,"CREDITO")+SUMIFS(df_extratos!I:I,df_extratos!F:F,Conciliacao!BG507,df_extratos!G:G,"CREDITO")+SUMIFS(df_extratos!I:I,df_extratos!F:F,Conciliacao!BH507,df_extratos!G:G,"CREDITO")</f>
        <v/>
      </c>
      <c r="I507" s="9">
        <f>H507-SUM(B507:G507)</f>
        <v/>
      </c>
      <c r="J507" s="4">
        <f>SUMIFS(df_blueme_sem_parcelamento!E:E,df_blueme_sem_parcelamento!H:H,Conciliacao!A507)*(-1)</f>
        <v/>
      </c>
      <c r="K507" s="4">
        <f>SUMIFS(df_blueme_com_parcelamento!J:J,df_blueme_com_parcelamento!M:M,Conciliacao!A507)*(-1)</f>
        <v/>
      </c>
      <c r="L507" s="4">
        <f>SUMIFS(df_mutuos!N:N,df_mutuos!B:B,Conciliacao!A507)*(-1)</f>
        <v/>
      </c>
      <c r="M507" s="8">
        <f>SUMIFS(df_bloqueios_judiciais!G:G,df_bloqueios_judiciais!D:D,Conciliacao!A507,df_bloqueios_judiciais!G:G,"&lt;0")</f>
        <v/>
      </c>
      <c r="N507" s="10">
        <f>SUMIFS(df_extratos!I:I,df_extratos!F:F,Conciliacao!BE507,df_extratos!G:G,"DEBITO")+SUMIFS(df_extratos!I:I,df_extratos!F:F,Conciliacao!A507,df_extratos!G:G,"DEBITO")+SUMIFS(df_extratos!I:I,df_extratos!F:F,Conciliacao!BF507,df_extratos!G:G,"DEBITO")+SUMIFS(df_extratos!I:I,df_extratos!F:F,Conciliacao!BG507,df_extratos!G:G,"DEBITO")+SUMIFS(df_extratos!I:I,df_extratos!F:F,Conciliacao!BH507,df_extratos!G:G,"DEBITO")</f>
        <v/>
      </c>
      <c r="O507" s="11">
        <f>N507-SUM(J507:M507)</f>
        <v/>
      </c>
      <c r="P507" s="25">
        <f>SUMIFS(df_ajustes_conciliaco!D:D,df_ajustes_conciliaco!C:C,Conciliacao!A507)</f>
        <v/>
      </c>
      <c r="Q507" s="22">
        <f>O507+I507-P507</f>
        <v/>
      </c>
    </row>
    <row r="508">
      <c r="A508" s="5">
        <f>A507+1</f>
        <v/>
      </c>
      <c r="B508" s="3">
        <f>-SUMIFS(df_extrato_zig!G:G,df_extrato_zig!E:E,Conciliacao!A508,df_extrato_zig!D:D,"Saque")-SUMIFS(df_extrato_zig!G:G,df_extrato_zig!E:E,Conciliacao!A508,df_extrato_zig!D:D,"Antecipação")</f>
        <v/>
      </c>
      <c r="C508" s="3">
        <f>SUMIFS(df_extrato_zig!E:E,df_extrato_zig!L:L,Conciliacao!A508,df_extrato_zig!F:F,"DINHEIRO")</f>
        <v/>
      </c>
      <c r="D508" s="3">
        <f>SUMIFS(view_parc_agrup!H:H,view_parc_agrup!G:G,Conciliacao!A508)</f>
        <v/>
      </c>
      <c r="E508" s="3">
        <f>SUMIFS(df_eventos!F:F,df_eventos!H:H,Conciliacao!A508)</f>
        <v/>
      </c>
      <c r="F508" s="3">
        <f>SUMIFS(df_mutuos!M:M,df_mutuos!B:B,Conciliacao!A508)</f>
        <v/>
      </c>
      <c r="G508" s="6">
        <f>SUMIFS(df_bloqueios_judiciais!G:G,df_bloqueios_judiciais!D:D,Conciliacao!A508,df_bloqueios_judiciais!G:G,"&gt;0")</f>
        <v/>
      </c>
      <c r="H508" s="7">
        <f>SUMIFS(df_extratos!I:I,df_extratos!F:F,Conciliacao!BE508,df_extratos!G:G,"CREDITO")+SUMIFS(df_extratos!I:I,df_extratos!F:F,Conciliacao!A508,df_extratos!G:G,"CREDITO")+SUMIFS(df_extratos!I:I,df_extratos!F:F,Conciliacao!BF508,df_extratos!G:G,"CREDITO")+SUMIFS(df_extratos!I:I,df_extratos!F:F,Conciliacao!BG508,df_extratos!G:G,"CREDITO")+SUMIFS(df_extratos!I:I,df_extratos!F:F,Conciliacao!BH508,df_extratos!G:G,"CREDITO")</f>
        <v/>
      </c>
      <c r="I508" s="9">
        <f>H508-SUM(B508:G508)</f>
        <v/>
      </c>
      <c r="J508" s="4">
        <f>SUMIFS(df_blueme_sem_parcelamento!E:E,df_blueme_sem_parcelamento!H:H,Conciliacao!A508)*(-1)</f>
        <v/>
      </c>
      <c r="K508" s="4">
        <f>SUMIFS(df_blueme_com_parcelamento!J:J,df_blueme_com_parcelamento!M:M,Conciliacao!A508)*(-1)</f>
        <v/>
      </c>
      <c r="L508" s="4">
        <f>SUMIFS(df_mutuos!N:N,df_mutuos!B:B,Conciliacao!A508)*(-1)</f>
        <v/>
      </c>
      <c r="M508" s="8">
        <f>SUMIFS(df_bloqueios_judiciais!G:G,df_bloqueios_judiciais!D:D,Conciliacao!A508,df_bloqueios_judiciais!G:G,"&lt;0")</f>
        <v/>
      </c>
      <c r="N508" s="10">
        <f>SUMIFS(df_extratos!I:I,df_extratos!F:F,Conciliacao!BE508,df_extratos!G:G,"DEBITO")+SUMIFS(df_extratos!I:I,df_extratos!F:F,Conciliacao!A508,df_extratos!G:G,"DEBITO")+SUMIFS(df_extratos!I:I,df_extratos!F:F,Conciliacao!BF508,df_extratos!G:G,"DEBITO")+SUMIFS(df_extratos!I:I,df_extratos!F:F,Conciliacao!BG508,df_extratos!G:G,"DEBITO")+SUMIFS(df_extratos!I:I,df_extratos!F:F,Conciliacao!BH508,df_extratos!G:G,"DEBITO")</f>
        <v/>
      </c>
      <c r="O508" s="11">
        <f>N508-SUM(J508:M508)</f>
        <v/>
      </c>
      <c r="P508" s="25">
        <f>SUMIFS(df_ajustes_conciliaco!D:D,df_ajustes_conciliaco!C:C,Conciliacao!A508)</f>
        <v/>
      </c>
      <c r="Q508" s="22">
        <f>O508+I508-P508</f>
        <v/>
      </c>
    </row>
    <row r="509">
      <c r="A509" s="5">
        <f>A508+1</f>
        <v/>
      </c>
      <c r="B509" s="3">
        <f>-SUMIFS(df_extrato_zig!G:G,df_extrato_zig!E:E,Conciliacao!A509,df_extrato_zig!D:D,"Saque")-SUMIFS(df_extrato_zig!G:G,df_extrato_zig!E:E,Conciliacao!A509,df_extrato_zig!D:D,"Antecipação")</f>
        <v/>
      </c>
      <c r="C509" s="3">
        <f>SUMIFS(df_extrato_zig!E:E,df_extrato_zig!L:L,Conciliacao!A509,df_extrato_zig!F:F,"DINHEIRO")</f>
        <v/>
      </c>
      <c r="D509" s="3">
        <f>SUMIFS(view_parc_agrup!H:H,view_parc_agrup!G:G,Conciliacao!A509)</f>
        <v/>
      </c>
      <c r="E509" s="3">
        <f>SUMIFS(df_eventos!F:F,df_eventos!H:H,Conciliacao!A509)</f>
        <v/>
      </c>
      <c r="F509" s="3">
        <f>SUMIFS(df_mutuos!M:M,df_mutuos!B:B,Conciliacao!A509)</f>
        <v/>
      </c>
      <c r="G509" s="6">
        <f>SUMIFS(df_bloqueios_judiciais!G:G,df_bloqueios_judiciais!D:D,Conciliacao!A509,df_bloqueios_judiciais!G:G,"&gt;0")</f>
        <v/>
      </c>
      <c r="H509" s="7">
        <f>SUMIFS(df_extratos!I:I,df_extratos!F:F,Conciliacao!BE509,df_extratos!G:G,"CREDITO")+SUMIFS(df_extratos!I:I,df_extratos!F:F,Conciliacao!A509,df_extratos!G:G,"CREDITO")+SUMIFS(df_extratos!I:I,df_extratos!F:F,Conciliacao!BF509,df_extratos!G:G,"CREDITO")+SUMIFS(df_extratos!I:I,df_extratos!F:F,Conciliacao!BG509,df_extratos!G:G,"CREDITO")+SUMIFS(df_extratos!I:I,df_extratos!F:F,Conciliacao!BH509,df_extratos!G:G,"CREDITO")</f>
        <v/>
      </c>
      <c r="I509" s="9">
        <f>H509-SUM(B509:G509)</f>
        <v/>
      </c>
      <c r="J509" s="4">
        <f>SUMIFS(df_blueme_sem_parcelamento!E:E,df_blueme_sem_parcelamento!H:H,Conciliacao!A509)*(-1)</f>
        <v/>
      </c>
      <c r="K509" s="4">
        <f>SUMIFS(df_blueme_com_parcelamento!J:J,df_blueme_com_parcelamento!M:M,Conciliacao!A509)*(-1)</f>
        <v/>
      </c>
      <c r="L509" s="4">
        <f>SUMIFS(df_mutuos!N:N,df_mutuos!B:B,Conciliacao!A509)*(-1)</f>
        <v/>
      </c>
      <c r="M509" s="8">
        <f>SUMIFS(df_bloqueios_judiciais!G:G,df_bloqueios_judiciais!D:D,Conciliacao!A509,df_bloqueios_judiciais!G:G,"&lt;0")</f>
        <v/>
      </c>
      <c r="N509" s="10">
        <f>SUMIFS(df_extratos!I:I,df_extratos!F:F,Conciliacao!BE509,df_extratos!G:G,"DEBITO")+SUMIFS(df_extratos!I:I,df_extratos!F:F,Conciliacao!A509,df_extratos!G:G,"DEBITO")+SUMIFS(df_extratos!I:I,df_extratos!F:F,Conciliacao!BF509,df_extratos!G:G,"DEBITO")+SUMIFS(df_extratos!I:I,df_extratos!F:F,Conciliacao!BG509,df_extratos!G:G,"DEBITO")+SUMIFS(df_extratos!I:I,df_extratos!F:F,Conciliacao!BH509,df_extratos!G:G,"DEBITO")</f>
        <v/>
      </c>
      <c r="O509" s="11">
        <f>N509-SUM(J509:M509)</f>
        <v/>
      </c>
      <c r="P509" s="25">
        <f>SUMIFS(df_ajustes_conciliaco!D:D,df_ajustes_conciliaco!C:C,Conciliacao!A509)</f>
        <v/>
      </c>
      <c r="Q509" s="22">
        <f>O509+I509-P509</f>
        <v/>
      </c>
    </row>
    <row r="510">
      <c r="A510" s="5">
        <f>A509+1</f>
        <v/>
      </c>
      <c r="B510" s="3">
        <f>-SUMIFS(df_extrato_zig!G:G,df_extrato_zig!E:E,Conciliacao!A510,df_extrato_zig!D:D,"Saque")-SUMIFS(df_extrato_zig!G:G,df_extrato_zig!E:E,Conciliacao!A510,df_extrato_zig!D:D,"Antecipação")</f>
        <v/>
      </c>
      <c r="C510" s="3">
        <f>SUMIFS(df_extrato_zig!E:E,df_extrato_zig!L:L,Conciliacao!A510,df_extrato_zig!F:F,"DINHEIRO")</f>
        <v/>
      </c>
      <c r="D510" s="3">
        <f>SUMIFS(view_parc_agrup!H:H,view_parc_agrup!G:G,Conciliacao!A510)</f>
        <v/>
      </c>
      <c r="E510" s="3">
        <f>SUMIFS(df_eventos!F:F,df_eventos!H:H,Conciliacao!A510)</f>
        <v/>
      </c>
      <c r="F510" s="3">
        <f>SUMIFS(df_mutuos!M:M,df_mutuos!B:B,Conciliacao!A510)</f>
        <v/>
      </c>
      <c r="G510" s="6">
        <f>SUMIFS(df_bloqueios_judiciais!G:G,df_bloqueios_judiciais!D:D,Conciliacao!A510,df_bloqueios_judiciais!G:G,"&gt;0")</f>
        <v/>
      </c>
      <c r="H510" s="7">
        <f>SUMIFS(df_extratos!I:I,df_extratos!F:F,Conciliacao!BE510,df_extratos!G:G,"CREDITO")+SUMIFS(df_extratos!I:I,df_extratos!F:F,Conciliacao!A510,df_extratos!G:G,"CREDITO")+SUMIFS(df_extratos!I:I,df_extratos!F:F,Conciliacao!BF510,df_extratos!G:G,"CREDITO")+SUMIFS(df_extratos!I:I,df_extratos!F:F,Conciliacao!BG510,df_extratos!G:G,"CREDITO")+SUMIFS(df_extratos!I:I,df_extratos!F:F,Conciliacao!BH510,df_extratos!G:G,"CREDITO")</f>
        <v/>
      </c>
      <c r="I510" s="9">
        <f>H510-SUM(B510:G510)</f>
        <v/>
      </c>
      <c r="J510" s="4">
        <f>SUMIFS(df_blueme_sem_parcelamento!E:E,df_blueme_sem_parcelamento!H:H,Conciliacao!A510)*(-1)</f>
        <v/>
      </c>
      <c r="K510" s="4">
        <f>SUMIFS(df_blueme_com_parcelamento!J:J,df_blueme_com_parcelamento!M:M,Conciliacao!A510)*(-1)</f>
        <v/>
      </c>
      <c r="L510" s="4">
        <f>SUMIFS(df_mutuos!N:N,df_mutuos!B:B,Conciliacao!A510)*(-1)</f>
        <v/>
      </c>
      <c r="M510" s="8">
        <f>SUMIFS(df_bloqueios_judiciais!G:G,df_bloqueios_judiciais!D:D,Conciliacao!A510,df_bloqueios_judiciais!G:G,"&lt;0")</f>
        <v/>
      </c>
      <c r="N510" s="10">
        <f>SUMIFS(df_extratos!I:I,df_extratos!F:F,Conciliacao!BE510,df_extratos!G:G,"DEBITO")+SUMIFS(df_extratos!I:I,df_extratos!F:F,Conciliacao!A510,df_extratos!G:G,"DEBITO")+SUMIFS(df_extratos!I:I,df_extratos!F:F,Conciliacao!BF510,df_extratos!G:G,"DEBITO")+SUMIFS(df_extratos!I:I,df_extratos!F:F,Conciliacao!BG510,df_extratos!G:G,"DEBITO")+SUMIFS(df_extratos!I:I,df_extratos!F:F,Conciliacao!BH510,df_extratos!G:G,"DEBITO")</f>
        <v/>
      </c>
      <c r="O510" s="11">
        <f>N510-SUM(J510:M510)</f>
        <v/>
      </c>
      <c r="P510" s="25">
        <f>SUMIFS(df_ajustes_conciliaco!D:D,df_ajustes_conciliaco!C:C,Conciliacao!A510)</f>
        <v/>
      </c>
      <c r="Q510" s="22">
        <f>O510+I510-P510</f>
        <v/>
      </c>
    </row>
    <row r="511">
      <c r="A511" s="5">
        <f>A510+1</f>
        <v/>
      </c>
      <c r="B511" s="3">
        <f>-SUMIFS(df_extrato_zig!G:G,df_extrato_zig!E:E,Conciliacao!A511,df_extrato_zig!D:D,"Saque")-SUMIFS(df_extrato_zig!G:G,df_extrato_zig!E:E,Conciliacao!A511,df_extrato_zig!D:D,"Antecipação")</f>
        <v/>
      </c>
      <c r="C511" s="3">
        <f>SUMIFS(df_extrato_zig!E:E,df_extrato_zig!L:L,Conciliacao!A511,df_extrato_zig!F:F,"DINHEIRO")</f>
        <v/>
      </c>
      <c r="D511" s="3">
        <f>SUMIFS(view_parc_agrup!H:H,view_parc_agrup!G:G,Conciliacao!A511)</f>
        <v/>
      </c>
      <c r="E511" s="3">
        <f>SUMIFS(df_eventos!F:F,df_eventos!H:H,Conciliacao!A511)</f>
        <v/>
      </c>
      <c r="F511" s="3">
        <f>SUMIFS(df_mutuos!M:M,df_mutuos!B:B,Conciliacao!A511)</f>
        <v/>
      </c>
      <c r="G511" s="6">
        <f>SUMIFS(df_bloqueios_judiciais!G:G,df_bloqueios_judiciais!D:D,Conciliacao!A511,df_bloqueios_judiciais!G:G,"&gt;0")</f>
        <v/>
      </c>
      <c r="H511" s="7">
        <f>SUMIFS(df_extratos!I:I,df_extratos!F:F,Conciliacao!BE511,df_extratos!G:G,"CREDITO")+SUMIFS(df_extratos!I:I,df_extratos!F:F,Conciliacao!A511,df_extratos!G:G,"CREDITO")+SUMIFS(df_extratos!I:I,df_extratos!F:F,Conciliacao!BF511,df_extratos!G:G,"CREDITO")+SUMIFS(df_extratos!I:I,df_extratos!F:F,Conciliacao!BG511,df_extratos!G:G,"CREDITO")+SUMIFS(df_extratos!I:I,df_extratos!F:F,Conciliacao!BH511,df_extratos!G:G,"CREDITO")</f>
        <v/>
      </c>
      <c r="I511" s="9">
        <f>H511-SUM(B511:G511)</f>
        <v/>
      </c>
      <c r="J511" s="4">
        <f>SUMIFS(df_blueme_sem_parcelamento!E:E,df_blueme_sem_parcelamento!H:H,Conciliacao!A511)*(-1)</f>
        <v/>
      </c>
      <c r="K511" s="4">
        <f>SUMIFS(df_blueme_com_parcelamento!J:J,df_blueme_com_parcelamento!M:M,Conciliacao!A511)*(-1)</f>
        <v/>
      </c>
      <c r="L511" s="4">
        <f>SUMIFS(df_mutuos!N:N,df_mutuos!B:B,Conciliacao!A511)*(-1)</f>
        <v/>
      </c>
      <c r="M511" s="8">
        <f>SUMIFS(df_bloqueios_judiciais!G:G,df_bloqueios_judiciais!D:D,Conciliacao!A511,df_bloqueios_judiciais!G:G,"&lt;0")</f>
        <v/>
      </c>
      <c r="N511" s="10">
        <f>SUMIFS(df_extratos!I:I,df_extratos!F:F,Conciliacao!BE511,df_extratos!G:G,"DEBITO")+SUMIFS(df_extratos!I:I,df_extratos!F:F,Conciliacao!A511,df_extratos!G:G,"DEBITO")+SUMIFS(df_extratos!I:I,df_extratos!F:F,Conciliacao!BF511,df_extratos!G:G,"DEBITO")+SUMIFS(df_extratos!I:I,df_extratos!F:F,Conciliacao!BG511,df_extratos!G:G,"DEBITO")+SUMIFS(df_extratos!I:I,df_extratos!F:F,Conciliacao!BH511,df_extratos!G:G,"DEBITO")</f>
        <v/>
      </c>
      <c r="O511" s="11">
        <f>N511-SUM(J511:M511)</f>
        <v/>
      </c>
      <c r="P511" s="25">
        <f>SUMIFS(df_ajustes_conciliaco!D:D,df_ajustes_conciliaco!C:C,Conciliacao!A511)</f>
        <v/>
      </c>
      <c r="Q511" s="22">
        <f>O511+I511-P511</f>
        <v/>
      </c>
    </row>
    <row r="512">
      <c r="A512" s="5">
        <f>A511+1</f>
        <v/>
      </c>
      <c r="B512" s="3">
        <f>-SUMIFS(df_extrato_zig!G:G,df_extrato_zig!E:E,Conciliacao!A512,df_extrato_zig!D:D,"Saque")-SUMIFS(df_extrato_zig!G:G,df_extrato_zig!E:E,Conciliacao!A512,df_extrato_zig!D:D,"Antecipação")</f>
        <v/>
      </c>
      <c r="C512" s="3">
        <f>SUMIFS(df_extrato_zig!E:E,df_extrato_zig!L:L,Conciliacao!A512,df_extrato_zig!F:F,"DINHEIRO")</f>
        <v/>
      </c>
      <c r="D512" s="3">
        <f>SUMIFS(view_parc_agrup!H:H,view_parc_agrup!G:G,Conciliacao!A512)</f>
        <v/>
      </c>
      <c r="E512" s="3">
        <f>SUMIFS(df_eventos!F:F,df_eventos!H:H,Conciliacao!A512)</f>
        <v/>
      </c>
      <c r="F512" s="3">
        <f>SUMIFS(df_mutuos!M:M,df_mutuos!B:B,Conciliacao!A512)</f>
        <v/>
      </c>
      <c r="G512" s="6">
        <f>SUMIFS(df_bloqueios_judiciais!G:G,df_bloqueios_judiciais!D:D,Conciliacao!A512,df_bloqueios_judiciais!G:G,"&gt;0")</f>
        <v/>
      </c>
      <c r="H512" s="7">
        <f>SUMIFS(df_extratos!I:I,df_extratos!F:F,Conciliacao!BE512,df_extratos!G:G,"CREDITO")+SUMIFS(df_extratos!I:I,df_extratos!F:F,Conciliacao!A512,df_extratos!G:G,"CREDITO")+SUMIFS(df_extratos!I:I,df_extratos!F:F,Conciliacao!BF512,df_extratos!G:G,"CREDITO")+SUMIFS(df_extratos!I:I,df_extratos!F:F,Conciliacao!BG512,df_extratos!G:G,"CREDITO")+SUMIFS(df_extratos!I:I,df_extratos!F:F,Conciliacao!BH512,df_extratos!G:G,"CREDITO")</f>
        <v/>
      </c>
      <c r="I512" s="9">
        <f>H512-SUM(B512:G512)</f>
        <v/>
      </c>
      <c r="J512" s="4">
        <f>SUMIFS(df_blueme_sem_parcelamento!E:E,df_blueme_sem_parcelamento!H:H,Conciliacao!A512)*(-1)</f>
        <v/>
      </c>
      <c r="K512" s="4">
        <f>SUMIFS(df_blueme_com_parcelamento!J:J,df_blueme_com_parcelamento!M:M,Conciliacao!A512)*(-1)</f>
        <v/>
      </c>
      <c r="L512" s="4">
        <f>SUMIFS(df_mutuos!N:N,df_mutuos!B:B,Conciliacao!A512)*(-1)</f>
        <v/>
      </c>
      <c r="M512" s="8">
        <f>SUMIFS(df_bloqueios_judiciais!G:G,df_bloqueios_judiciais!D:D,Conciliacao!A512,df_bloqueios_judiciais!G:G,"&lt;0")</f>
        <v/>
      </c>
      <c r="N512" s="10">
        <f>SUMIFS(df_extratos!I:I,df_extratos!F:F,Conciliacao!BE512,df_extratos!G:G,"DEBITO")+SUMIFS(df_extratos!I:I,df_extratos!F:F,Conciliacao!A512,df_extratos!G:G,"DEBITO")+SUMIFS(df_extratos!I:I,df_extratos!F:F,Conciliacao!BF512,df_extratos!G:G,"DEBITO")+SUMIFS(df_extratos!I:I,df_extratos!F:F,Conciliacao!BG512,df_extratos!G:G,"DEBITO")+SUMIFS(df_extratos!I:I,df_extratos!F:F,Conciliacao!BH512,df_extratos!G:G,"DEBITO")</f>
        <v/>
      </c>
      <c r="O512" s="11">
        <f>N512-SUM(J512:M512)</f>
        <v/>
      </c>
      <c r="P512" s="25">
        <f>SUMIFS(df_ajustes_conciliaco!D:D,df_ajustes_conciliaco!C:C,Conciliacao!A512)</f>
        <v/>
      </c>
      <c r="Q512" s="22">
        <f>O512+I512-P512</f>
        <v/>
      </c>
    </row>
    <row r="513">
      <c r="A513" s="5">
        <f>A512+1</f>
        <v/>
      </c>
      <c r="B513" s="3">
        <f>-SUMIFS(df_extrato_zig!G:G,df_extrato_zig!E:E,Conciliacao!A513,df_extrato_zig!D:D,"Saque")-SUMIFS(df_extrato_zig!G:G,df_extrato_zig!E:E,Conciliacao!A513,df_extrato_zig!D:D,"Antecipação")</f>
        <v/>
      </c>
      <c r="C513" s="3">
        <f>SUMIFS(df_extrato_zig!E:E,df_extrato_zig!L:L,Conciliacao!A513,df_extrato_zig!F:F,"DINHEIRO")</f>
        <v/>
      </c>
      <c r="D513" s="3">
        <f>SUMIFS(view_parc_agrup!H:H,view_parc_agrup!G:G,Conciliacao!A513)</f>
        <v/>
      </c>
      <c r="E513" s="3">
        <f>SUMIFS(df_eventos!F:F,df_eventos!H:H,Conciliacao!A513)</f>
        <v/>
      </c>
      <c r="F513" s="3">
        <f>SUMIFS(df_mutuos!M:M,df_mutuos!B:B,Conciliacao!A513)</f>
        <v/>
      </c>
      <c r="G513" s="6">
        <f>SUMIFS(df_bloqueios_judiciais!G:G,df_bloqueios_judiciais!D:D,Conciliacao!A513,df_bloqueios_judiciais!G:G,"&gt;0")</f>
        <v/>
      </c>
      <c r="H513" s="7">
        <f>SUMIFS(df_extratos!I:I,df_extratos!F:F,Conciliacao!BE513,df_extratos!G:G,"CREDITO")+SUMIFS(df_extratos!I:I,df_extratos!F:F,Conciliacao!A513,df_extratos!G:G,"CREDITO")+SUMIFS(df_extratos!I:I,df_extratos!F:F,Conciliacao!BF513,df_extratos!G:G,"CREDITO")+SUMIFS(df_extratos!I:I,df_extratos!F:F,Conciliacao!BG513,df_extratos!G:G,"CREDITO")+SUMIFS(df_extratos!I:I,df_extratos!F:F,Conciliacao!BH513,df_extratos!G:G,"CREDITO")</f>
        <v/>
      </c>
      <c r="I513" s="9">
        <f>H513-SUM(B513:G513)</f>
        <v/>
      </c>
      <c r="J513" s="4">
        <f>SUMIFS(df_blueme_sem_parcelamento!E:E,df_blueme_sem_parcelamento!H:H,Conciliacao!A513)*(-1)</f>
        <v/>
      </c>
      <c r="K513" s="4">
        <f>SUMIFS(df_blueme_com_parcelamento!J:J,df_blueme_com_parcelamento!M:M,Conciliacao!A513)*(-1)</f>
        <v/>
      </c>
      <c r="L513" s="4">
        <f>SUMIFS(df_mutuos!N:N,df_mutuos!B:B,Conciliacao!A513)*(-1)</f>
        <v/>
      </c>
      <c r="M513" s="8">
        <f>SUMIFS(df_bloqueios_judiciais!G:G,df_bloqueios_judiciais!D:D,Conciliacao!A513,df_bloqueios_judiciais!G:G,"&lt;0")</f>
        <v/>
      </c>
      <c r="N513" s="10">
        <f>SUMIFS(df_extratos!I:I,df_extratos!F:F,Conciliacao!BE513,df_extratos!G:G,"DEBITO")+SUMIFS(df_extratos!I:I,df_extratos!F:F,Conciliacao!A513,df_extratos!G:G,"DEBITO")+SUMIFS(df_extratos!I:I,df_extratos!F:F,Conciliacao!BF513,df_extratos!G:G,"DEBITO")+SUMIFS(df_extratos!I:I,df_extratos!F:F,Conciliacao!BG513,df_extratos!G:G,"DEBITO")+SUMIFS(df_extratos!I:I,df_extratos!F:F,Conciliacao!BH513,df_extratos!G:G,"DEBITO")</f>
        <v/>
      </c>
      <c r="O513" s="11">
        <f>N513-SUM(J513:M513)</f>
        <v/>
      </c>
      <c r="P513" s="25">
        <f>SUMIFS(df_ajustes_conciliaco!D:D,df_ajustes_conciliaco!C:C,Conciliacao!A513)</f>
        <v/>
      </c>
      <c r="Q513" s="22">
        <f>O513+I513-P513</f>
        <v/>
      </c>
    </row>
    <row r="514">
      <c r="A514" s="5">
        <f>A513+1</f>
        <v/>
      </c>
      <c r="B514" s="3">
        <f>-SUMIFS(df_extrato_zig!G:G,df_extrato_zig!E:E,Conciliacao!A514,df_extrato_zig!D:D,"Saque")-SUMIFS(df_extrato_zig!G:G,df_extrato_zig!E:E,Conciliacao!A514,df_extrato_zig!D:D,"Antecipação")</f>
        <v/>
      </c>
      <c r="C514" s="3">
        <f>SUMIFS(df_extrato_zig!E:E,df_extrato_zig!L:L,Conciliacao!A514,df_extrato_zig!F:F,"DINHEIRO")</f>
        <v/>
      </c>
      <c r="D514" s="3">
        <f>SUMIFS(view_parc_agrup!H:H,view_parc_agrup!G:G,Conciliacao!A514)</f>
        <v/>
      </c>
      <c r="E514" s="3">
        <f>SUMIFS(df_eventos!F:F,df_eventos!H:H,Conciliacao!A514)</f>
        <v/>
      </c>
      <c r="F514" s="3">
        <f>SUMIFS(df_mutuos!M:M,df_mutuos!B:B,Conciliacao!A514)</f>
        <v/>
      </c>
      <c r="G514" s="6">
        <f>SUMIFS(df_bloqueios_judiciais!G:G,df_bloqueios_judiciais!D:D,Conciliacao!A514,df_bloqueios_judiciais!G:G,"&gt;0")</f>
        <v/>
      </c>
      <c r="H514" s="7">
        <f>SUMIFS(df_extratos!I:I,df_extratos!F:F,Conciliacao!BE514,df_extratos!G:G,"CREDITO")+SUMIFS(df_extratos!I:I,df_extratos!F:F,Conciliacao!A514,df_extratos!G:G,"CREDITO")+SUMIFS(df_extratos!I:I,df_extratos!F:F,Conciliacao!BF514,df_extratos!G:G,"CREDITO")+SUMIFS(df_extratos!I:I,df_extratos!F:F,Conciliacao!BG514,df_extratos!G:G,"CREDITO")+SUMIFS(df_extratos!I:I,df_extratos!F:F,Conciliacao!BH514,df_extratos!G:G,"CREDITO")</f>
        <v/>
      </c>
      <c r="I514" s="9">
        <f>H514-SUM(B514:G514)</f>
        <v/>
      </c>
      <c r="J514" s="4">
        <f>SUMIFS(df_blueme_sem_parcelamento!E:E,df_blueme_sem_parcelamento!H:H,Conciliacao!A514)*(-1)</f>
        <v/>
      </c>
      <c r="K514" s="4">
        <f>SUMIFS(df_blueme_com_parcelamento!J:J,df_blueme_com_parcelamento!M:M,Conciliacao!A514)*(-1)</f>
        <v/>
      </c>
      <c r="L514" s="4">
        <f>SUMIFS(df_mutuos!N:N,df_mutuos!B:B,Conciliacao!A514)*(-1)</f>
        <v/>
      </c>
      <c r="M514" s="8">
        <f>SUMIFS(df_bloqueios_judiciais!G:G,df_bloqueios_judiciais!D:D,Conciliacao!A514,df_bloqueios_judiciais!G:G,"&lt;0")</f>
        <v/>
      </c>
      <c r="N514" s="10">
        <f>SUMIFS(df_extratos!I:I,df_extratos!F:F,Conciliacao!BE514,df_extratos!G:G,"DEBITO")+SUMIFS(df_extratos!I:I,df_extratos!F:F,Conciliacao!A514,df_extratos!G:G,"DEBITO")+SUMIFS(df_extratos!I:I,df_extratos!F:F,Conciliacao!BF514,df_extratos!G:G,"DEBITO")+SUMIFS(df_extratos!I:I,df_extratos!F:F,Conciliacao!BG514,df_extratos!G:G,"DEBITO")+SUMIFS(df_extratos!I:I,df_extratos!F:F,Conciliacao!BH514,df_extratos!G:G,"DEBITO")</f>
        <v/>
      </c>
      <c r="O514" s="11">
        <f>N514-SUM(J514:M514)</f>
        <v/>
      </c>
      <c r="P514" s="25">
        <f>SUMIFS(df_ajustes_conciliaco!D:D,df_ajustes_conciliaco!C:C,Conciliacao!A514)</f>
        <v/>
      </c>
      <c r="Q514" s="22">
        <f>O514+I514-P514</f>
        <v/>
      </c>
    </row>
    <row r="515">
      <c r="A515" s="5">
        <f>A514+1</f>
        <v/>
      </c>
      <c r="B515" s="3">
        <f>-SUMIFS(df_extrato_zig!G:G,df_extrato_zig!E:E,Conciliacao!A515,df_extrato_zig!D:D,"Saque")-SUMIFS(df_extrato_zig!G:G,df_extrato_zig!E:E,Conciliacao!A515,df_extrato_zig!D:D,"Antecipação")</f>
        <v/>
      </c>
      <c r="C515" s="3">
        <f>SUMIFS(df_extrato_zig!E:E,df_extrato_zig!L:L,Conciliacao!A515,df_extrato_zig!F:F,"DINHEIRO")</f>
        <v/>
      </c>
      <c r="D515" s="3">
        <f>SUMIFS(view_parc_agrup!H:H,view_parc_agrup!G:G,Conciliacao!A515)</f>
        <v/>
      </c>
      <c r="E515" s="3">
        <f>SUMIFS(df_eventos!F:F,df_eventos!H:H,Conciliacao!A515)</f>
        <v/>
      </c>
      <c r="F515" s="3">
        <f>SUMIFS(df_mutuos!M:M,df_mutuos!B:B,Conciliacao!A515)</f>
        <v/>
      </c>
      <c r="G515" s="6">
        <f>SUMIFS(df_bloqueios_judiciais!G:G,df_bloqueios_judiciais!D:D,Conciliacao!A515,df_bloqueios_judiciais!G:G,"&gt;0")</f>
        <v/>
      </c>
      <c r="H515" s="7">
        <f>SUMIFS(df_extratos!I:I,df_extratos!F:F,Conciliacao!BE515,df_extratos!G:G,"CREDITO")+SUMIFS(df_extratos!I:I,df_extratos!F:F,Conciliacao!A515,df_extratos!G:G,"CREDITO")+SUMIFS(df_extratos!I:I,df_extratos!F:F,Conciliacao!BF515,df_extratos!G:G,"CREDITO")+SUMIFS(df_extratos!I:I,df_extratos!F:F,Conciliacao!BG515,df_extratos!G:G,"CREDITO")+SUMIFS(df_extratos!I:I,df_extratos!F:F,Conciliacao!BH515,df_extratos!G:G,"CREDITO")</f>
        <v/>
      </c>
      <c r="I515" s="9">
        <f>H515-SUM(B515:G515)</f>
        <v/>
      </c>
      <c r="J515" s="4">
        <f>SUMIFS(df_blueme_sem_parcelamento!E:E,df_blueme_sem_parcelamento!H:H,Conciliacao!A515)*(-1)</f>
        <v/>
      </c>
      <c r="K515" s="4">
        <f>SUMIFS(df_blueme_com_parcelamento!J:J,df_blueme_com_parcelamento!M:M,Conciliacao!A515)*(-1)</f>
        <v/>
      </c>
      <c r="L515" s="4">
        <f>SUMIFS(df_mutuos!N:N,df_mutuos!B:B,Conciliacao!A515)*(-1)</f>
        <v/>
      </c>
      <c r="M515" s="8">
        <f>SUMIFS(df_bloqueios_judiciais!G:G,df_bloqueios_judiciais!D:D,Conciliacao!A515,df_bloqueios_judiciais!G:G,"&lt;0")</f>
        <v/>
      </c>
      <c r="N515" s="10">
        <f>SUMIFS(df_extratos!I:I,df_extratos!F:F,Conciliacao!BE515,df_extratos!G:G,"DEBITO")+SUMIFS(df_extratos!I:I,df_extratos!F:F,Conciliacao!A515,df_extratos!G:G,"DEBITO")+SUMIFS(df_extratos!I:I,df_extratos!F:F,Conciliacao!BF515,df_extratos!G:G,"DEBITO")+SUMIFS(df_extratos!I:I,df_extratos!F:F,Conciliacao!BG515,df_extratos!G:G,"DEBITO")+SUMIFS(df_extratos!I:I,df_extratos!F:F,Conciliacao!BH515,df_extratos!G:G,"DEBITO")</f>
        <v/>
      </c>
      <c r="O515" s="11">
        <f>N515-SUM(J515:M515)</f>
        <v/>
      </c>
      <c r="P515" s="25">
        <f>SUMIFS(df_ajustes_conciliaco!D:D,df_ajustes_conciliaco!C:C,Conciliacao!A515)</f>
        <v/>
      </c>
      <c r="Q515" s="22">
        <f>O515+I515-P515</f>
        <v/>
      </c>
    </row>
    <row r="516">
      <c r="A516" s="5">
        <f>A515+1</f>
        <v/>
      </c>
      <c r="B516" s="3">
        <f>-SUMIFS(df_extrato_zig!G:G,df_extrato_zig!E:E,Conciliacao!A516,df_extrato_zig!D:D,"Saque")-SUMIFS(df_extrato_zig!G:G,df_extrato_zig!E:E,Conciliacao!A516,df_extrato_zig!D:D,"Antecipação")</f>
        <v/>
      </c>
      <c r="C516" s="3">
        <f>SUMIFS(df_extrato_zig!E:E,df_extrato_zig!L:L,Conciliacao!A516,df_extrato_zig!F:F,"DINHEIRO")</f>
        <v/>
      </c>
      <c r="D516" s="3">
        <f>SUMIFS(view_parc_agrup!H:H,view_parc_agrup!G:G,Conciliacao!A516)</f>
        <v/>
      </c>
      <c r="E516" s="3">
        <f>SUMIFS(df_eventos!F:F,df_eventos!H:H,Conciliacao!A516)</f>
        <v/>
      </c>
      <c r="F516" s="3">
        <f>SUMIFS(df_mutuos!M:M,df_mutuos!B:B,Conciliacao!A516)</f>
        <v/>
      </c>
      <c r="G516" s="6">
        <f>SUMIFS(df_bloqueios_judiciais!G:G,df_bloqueios_judiciais!D:D,Conciliacao!A516,df_bloqueios_judiciais!G:G,"&gt;0")</f>
        <v/>
      </c>
      <c r="H516" s="7">
        <f>SUMIFS(df_extratos!I:I,df_extratos!F:F,Conciliacao!BE516,df_extratos!G:G,"CREDITO")+SUMIFS(df_extratos!I:I,df_extratos!F:F,Conciliacao!A516,df_extratos!G:G,"CREDITO")+SUMIFS(df_extratos!I:I,df_extratos!F:F,Conciliacao!BF516,df_extratos!G:G,"CREDITO")+SUMIFS(df_extratos!I:I,df_extratos!F:F,Conciliacao!BG516,df_extratos!G:G,"CREDITO")+SUMIFS(df_extratos!I:I,df_extratos!F:F,Conciliacao!BH516,df_extratos!G:G,"CREDITO")</f>
        <v/>
      </c>
      <c r="I516" s="9">
        <f>H516-SUM(B516:G516)</f>
        <v/>
      </c>
      <c r="J516" s="4">
        <f>SUMIFS(df_blueme_sem_parcelamento!E:E,df_blueme_sem_parcelamento!H:H,Conciliacao!A516)*(-1)</f>
        <v/>
      </c>
      <c r="K516" s="4">
        <f>SUMIFS(df_blueme_com_parcelamento!J:J,df_blueme_com_parcelamento!M:M,Conciliacao!A516)*(-1)</f>
        <v/>
      </c>
      <c r="L516" s="4">
        <f>SUMIFS(df_mutuos!N:N,df_mutuos!B:B,Conciliacao!A516)*(-1)</f>
        <v/>
      </c>
      <c r="M516" s="8">
        <f>SUMIFS(df_bloqueios_judiciais!G:G,df_bloqueios_judiciais!D:D,Conciliacao!A516,df_bloqueios_judiciais!G:G,"&lt;0")</f>
        <v/>
      </c>
      <c r="N516" s="10">
        <f>SUMIFS(df_extratos!I:I,df_extratos!F:F,Conciliacao!BE516,df_extratos!G:G,"DEBITO")+SUMIFS(df_extratos!I:I,df_extratos!F:F,Conciliacao!A516,df_extratos!G:G,"DEBITO")+SUMIFS(df_extratos!I:I,df_extratos!F:F,Conciliacao!BF516,df_extratos!G:G,"DEBITO")+SUMIFS(df_extratos!I:I,df_extratos!F:F,Conciliacao!BG516,df_extratos!G:G,"DEBITO")+SUMIFS(df_extratos!I:I,df_extratos!F:F,Conciliacao!BH516,df_extratos!G:G,"DEBITO")</f>
        <v/>
      </c>
      <c r="O516" s="11">
        <f>N516-SUM(J516:M516)</f>
        <v/>
      </c>
      <c r="P516" s="25">
        <f>SUMIFS(df_ajustes_conciliaco!D:D,df_ajustes_conciliaco!C:C,Conciliacao!A516)</f>
        <v/>
      </c>
      <c r="Q516" s="22">
        <f>O516+I516-P516</f>
        <v/>
      </c>
    </row>
    <row r="517">
      <c r="A517" s="5">
        <f>A516+1</f>
        <v/>
      </c>
      <c r="B517" s="3">
        <f>-SUMIFS(df_extrato_zig!G:G,df_extrato_zig!E:E,Conciliacao!A517,df_extrato_zig!D:D,"Saque")-SUMIFS(df_extrato_zig!G:G,df_extrato_zig!E:E,Conciliacao!A517,df_extrato_zig!D:D,"Antecipação")</f>
        <v/>
      </c>
      <c r="C517" s="3">
        <f>SUMIFS(df_extrato_zig!E:E,df_extrato_zig!L:L,Conciliacao!A517,df_extrato_zig!F:F,"DINHEIRO")</f>
        <v/>
      </c>
      <c r="D517" s="3">
        <f>SUMIFS(view_parc_agrup!H:H,view_parc_agrup!G:G,Conciliacao!A517)</f>
        <v/>
      </c>
      <c r="E517" s="3">
        <f>SUMIFS(df_eventos!F:F,df_eventos!H:H,Conciliacao!A517)</f>
        <v/>
      </c>
      <c r="F517" s="3">
        <f>SUMIFS(df_mutuos!M:M,df_mutuos!B:B,Conciliacao!A517)</f>
        <v/>
      </c>
      <c r="G517" s="6">
        <f>SUMIFS(df_bloqueios_judiciais!G:G,df_bloqueios_judiciais!D:D,Conciliacao!A517,df_bloqueios_judiciais!G:G,"&gt;0")</f>
        <v/>
      </c>
      <c r="H517" s="7">
        <f>SUMIFS(df_extratos!I:I,df_extratos!F:F,Conciliacao!BE517,df_extratos!G:G,"CREDITO")+SUMIFS(df_extratos!I:I,df_extratos!F:F,Conciliacao!A517,df_extratos!G:G,"CREDITO")+SUMIFS(df_extratos!I:I,df_extratos!F:F,Conciliacao!BF517,df_extratos!G:G,"CREDITO")+SUMIFS(df_extratos!I:I,df_extratos!F:F,Conciliacao!BG517,df_extratos!G:G,"CREDITO")+SUMIFS(df_extratos!I:I,df_extratos!F:F,Conciliacao!BH517,df_extratos!G:G,"CREDITO")</f>
        <v/>
      </c>
      <c r="I517" s="9">
        <f>H517-SUM(B517:G517)</f>
        <v/>
      </c>
      <c r="J517" s="4">
        <f>SUMIFS(df_blueme_sem_parcelamento!E:E,df_blueme_sem_parcelamento!H:H,Conciliacao!A517)*(-1)</f>
        <v/>
      </c>
      <c r="K517" s="4">
        <f>SUMIFS(df_blueme_com_parcelamento!J:J,df_blueme_com_parcelamento!M:M,Conciliacao!A517)*(-1)</f>
        <v/>
      </c>
      <c r="L517" s="4">
        <f>SUMIFS(df_mutuos!N:N,df_mutuos!B:B,Conciliacao!A517)*(-1)</f>
        <v/>
      </c>
      <c r="M517" s="8">
        <f>SUMIFS(df_bloqueios_judiciais!G:G,df_bloqueios_judiciais!D:D,Conciliacao!A517,df_bloqueios_judiciais!G:G,"&lt;0")</f>
        <v/>
      </c>
      <c r="N517" s="10">
        <f>SUMIFS(df_extratos!I:I,df_extratos!F:F,Conciliacao!BE517,df_extratos!G:G,"DEBITO")+SUMIFS(df_extratos!I:I,df_extratos!F:F,Conciliacao!A517,df_extratos!G:G,"DEBITO")+SUMIFS(df_extratos!I:I,df_extratos!F:F,Conciliacao!BF517,df_extratos!G:G,"DEBITO")+SUMIFS(df_extratos!I:I,df_extratos!F:F,Conciliacao!BG517,df_extratos!G:G,"DEBITO")+SUMIFS(df_extratos!I:I,df_extratos!F:F,Conciliacao!BH517,df_extratos!G:G,"DEBITO")</f>
        <v/>
      </c>
      <c r="O517" s="11">
        <f>N517-SUM(J517:M517)</f>
        <v/>
      </c>
      <c r="P517" s="25">
        <f>SUMIFS(df_ajustes_conciliaco!D:D,df_ajustes_conciliaco!C:C,Conciliacao!A517)</f>
        <v/>
      </c>
      <c r="Q517" s="22">
        <f>O517+I517-P517</f>
        <v/>
      </c>
    </row>
    <row r="518">
      <c r="A518" s="5">
        <f>A517+1</f>
        <v/>
      </c>
      <c r="B518" s="3">
        <f>-SUMIFS(df_extrato_zig!G:G,df_extrato_zig!E:E,Conciliacao!A518,df_extrato_zig!D:D,"Saque")-SUMIFS(df_extrato_zig!G:G,df_extrato_zig!E:E,Conciliacao!A518,df_extrato_zig!D:D,"Antecipação")</f>
        <v/>
      </c>
      <c r="C518" s="3">
        <f>SUMIFS(df_extrato_zig!E:E,df_extrato_zig!L:L,Conciliacao!A518,df_extrato_zig!F:F,"DINHEIRO")</f>
        <v/>
      </c>
      <c r="D518" s="3">
        <f>SUMIFS(view_parc_agrup!H:H,view_parc_agrup!G:G,Conciliacao!A518)</f>
        <v/>
      </c>
      <c r="E518" s="3">
        <f>SUMIFS(df_eventos!F:F,df_eventos!H:H,Conciliacao!A518)</f>
        <v/>
      </c>
      <c r="F518" s="3">
        <f>SUMIFS(df_mutuos!M:M,df_mutuos!B:B,Conciliacao!A518)</f>
        <v/>
      </c>
      <c r="G518" s="6">
        <f>SUMIFS(df_bloqueios_judiciais!G:G,df_bloqueios_judiciais!D:D,Conciliacao!A518,df_bloqueios_judiciais!G:G,"&gt;0")</f>
        <v/>
      </c>
      <c r="H518" s="7">
        <f>SUMIFS(df_extratos!I:I,df_extratos!F:F,Conciliacao!BE518,df_extratos!G:G,"CREDITO")+SUMIFS(df_extratos!I:I,df_extratos!F:F,Conciliacao!A518,df_extratos!G:G,"CREDITO")+SUMIFS(df_extratos!I:I,df_extratos!F:F,Conciliacao!BF518,df_extratos!G:G,"CREDITO")+SUMIFS(df_extratos!I:I,df_extratos!F:F,Conciliacao!BG518,df_extratos!G:G,"CREDITO")+SUMIFS(df_extratos!I:I,df_extratos!F:F,Conciliacao!BH518,df_extratos!G:G,"CREDITO")</f>
        <v/>
      </c>
      <c r="I518" s="9">
        <f>H518-SUM(B518:G518)</f>
        <v/>
      </c>
      <c r="J518" s="4">
        <f>SUMIFS(df_blueme_sem_parcelamento!E:E,df_blueme_sem_parcelamento!H:H,Conciliacao!A518)*(-1)</f>
        <v/>
      </c>
      <c r="K518" s="4">
        <f>SUMIFS(df_blueme_com_parcelamento!J:J,df_blueme_com_parcelamento!M:M,Conciliacao!A518)*(-1)</f>
        <v/>
      </c>
      <c r="L518" s="4">
        <f>SUMIFS(df_mutuos!N:N,df_mutuos!B:B,Conciliacao!A518)*(-1)</f>
        <v/>
      </c>
      <c r="M518" s="8">
        <f>SUMIFS(df_bloqueios_judiciais!G:G,df_bloqueios_judiciais!D:D,Conciliacao!A518,df_bloqueios_judiciais!G:G,"&lt;0")</f>
        <v/>
      </c>
      <c r="N518" s="10">
        <f>SUMIFS(df_extratos!I:I,df_extratos!F:F,Conciliacao!BE518,df_extratos!G:G,"DEBITO")+SUMIFS(df_extratos!I:I,df_extratos!F:F,Conciliacao!A518,df_extratos!G:G,"DEBITO")+SUMIFS(df_extratos!I:I,df_extratos!F:F,Conciliacao!BF518,df_extratos!G:G,"DEBITO")+SUMIFS(df_extratos!I:I,df_extratos!F:F,Conciliacao!BG518,df_extratos!G:G,"DEBITO")+SUMIFS(df_extratos!I:I,df_extratos!F:F,Conciliacao!BH518,df_extratos!G:G,"DEBITO")</f>
        <v/>
      </c>
      <c r="O518" s="11">
        <f>N518-SUM(J518:M518)</f>
        <v/>
      </c>
      <c r="P518" s="25">
        <f>SUMIFS(df_ajustes_conciliaco!D:D,df_ajustes_conciliaco!C:C,Conciliacao!A518)</f>
        <v/>
      </c>
      <c r="Q518" s="22">
        <f>O518+I518-P518</f>
        <v/>
      </c>
    </row>
    <row r="519">
      <c r="A519" s="5">
        <f>A518+1</f>
        <v/>
      </c>
      <c r="B519" s="3">
        <f>-SUMIFS(df_extrato_zig!G:G,df_extrato_zig!E:E,Conciliacao!A519,df_extrato_zig!D:D,"Saque")-SUMIFS(df_extrato_zig!G:G,df_extrato_zig!E:E,Conciliacao!A519,df_extrato_zig!D:D,"Antecipação")</f>
        <v/>
      </c>
      <c r="C519" s="3">
        <f>SUMIFS(df_extrato_zig!E:E,df_extrato_zig!L:L,Conciliacao!A519,df_extrato_zig!F:F,"DINHEIRO")</f>
        <v/>
      </c>
      <c r="D519" s="3">
        <f>SUMIFS(view_parc_agrup!H:H,view_parc_agrup!G:G,Conciliacao!A519)</f>
        <v/>
      </c>
      <c r="E519" s="3">
        <f>SUMIFS(df_eventos!F:F,df_eventos!H:H,Conciliacao!A519)</f>
        <v/>
      </c>
      <c r="F519" s="3">
        <f>SUMIFS(df_mutuos!M:M,df_mutuos!B:B,Conciliacao!A519)</f>
        <v/>
      </c>
      <c r="G519" s="6">
        <f>SUMIFS(df_bloqueios_judiciais!G:G,df_bloqueios_judiciais!D:D,Conciliacao!A519,df_bloqueios_judiciais!G:G,"&gt;0")</f>
        <v/>
      </c>
      <c r="H519" s="7">
        <f>SUMIFS(df_extratos!I:I,df_extratos!F:F,Conciliacao!BE519,df_extratos!G:G,"CREDITO")+SUMIFS(df_extratos!I:I,df_extratos!F:F,Conciliacao!A519,df_extratos!G:G,"CREDITO")+SUMIFS(df_extratos!I:I,df_extratos!F:F,Conciliacao!BF519,df_extratos!G:G,"CREDITO")+SUMIFS(df_extratos!I:I,df_extratos!F:F,Conciliacao!BG519,df_extratos!G:G,"CREDITO")+SUMIFS(df_extratos!I:I,df_extratos!F:F,Conciliacao!BH519,df_extratos!G:G,"CREDITO")</f>
        <v/>
      </c>
      <c r="I519" s="9">
        <f>H519-SUM(B519:G519)</f>
        <v/>
      </c>
      <c r="J519" s="4">
        <f>SUMIFS(df_blueme_sem_parcelamento!E:E,df_blueme_sem_parcelamento!H:H,Conciliacao!A519)*(-1)</f>
        <v/>
      </c>
      <c r="K519" s="4">
        <f>SUMIFS(df_blueme_com_parcelamento!J:J,df_blueme_com_parcelamento!M:M,Conciliacao!A519)*(-1)</f>
        <v/>
      </c>
      <c r="L519" s="4">
        <f>SUMIFS(df_mutuos!N:N,df_mutuos!B:B,Conciliacao!A519)*(-1)</f>
        <v/>
      </c>
      <c r="M519" s="8">
        <f>SUMIFS(df_bloqueios_judiciais!G:G,df_bloqueios_judiciais!D:D,Conciliacao!A519,df_bloqueios_judiciais!G:G,"&lt;0")</f>
        <v/>
      </c>
      <c r="N519" s="10">
        <f>SUMIFS(df_extratos!I:I,df_extratos!F:F,Conciliacao!BE519,df_extratos!G:G,"DEBITO")+SUMIFS(df_extratos!I:I,df_extratos!F:F,Conciliacao!A519,df_extratos!G:G,"DEBITO")+SUMIFS(df_extratos!I:I,df_extratos!F:F,Conciliacao!BF519,df_extratos!G:G,"DEBITO")+SUMIFS(df_extratos!I:I,df_extratos!F:F,Conciliacao!BG519,df_extratos!G:G,"DEBITO")+SUMIFS(df_extratos!I:I,df_extratos!F:F,Conciliacao!BH519,df_extratos!G:G,"DEBITO")</f>
        <v/>
      </c>
      <c r="O519" s="11">
        <f>N519-SUM(J519:M519)</f>
        <v/>
      </c>
      <c r="P519" s="25">
        <f>SUMIFS(df_ajustes_conciliaco!D:D,df_ajustes_conciliaco!C:C,Conciliacao!A519)</f>
        <v/>
      </c>
      <c r="Q519" s="22">
        <f>O519+I519-P519</f>
        <v/>
      </c>
    </row>
    <row r="520">
      <c r="A520" s="5">
        <f>A519+1</f>
        <v/>
      </c>
      <c r="B520" s="3">
        <f>-SUMIFS(df_extrato_zig!G:G,df_extrato_zig!E:E,Conciliacao!A520,df_extrato_zig!D:D,"Saque")-SUMIFS(df_extrato_zig!G:G,df_extrato_zig!E:E,Conciliacao!A520,df_extrato_zig!D:D,"Antecipação")</f>
        <v/>
      </c>
      <c r="C520" s="3">
        <f>SUMIFS(df_extrato_zig!E:E,df_extrato_zig!L:L,Conciliacao!A520,df_extrato_zig!F:F,"DINHEIRO")</f>
        <v/>
      </c>
      <c r="D520" s="3">
        <f>SUMIFS(view_parc_agrup!H:H,view_parc_agrup!G:G,Conciliacao!A520)</f>
        <v/>
      </c>
      <c r="E520" s="3">
        <f>SUMIFS(df_eventos!F:F,df_eventos!H:H,Conciliacao!A520)</f>
        <v/>
      </c>
      <c r="F520" s="3">
        <f>SUMIFS(df_mutuos!M:M,df_mutuos!B:B,Conciliacao!A520)</f>
        <v/>
      </c>
      <c r="G520" s="6">
        <f>SUMIFS(df_bloqueios_judiciais!G:G,df_bloqueios_judiciais!D:D,Conciliacao!A520,df_bloqueios_judiciais!G:G,"&gt;0")</f>
        <v/>
      </c>
      <c r="H520" s="7">
        <f>SUMIFS(df_extratos!I:I,df_extratos!F:F,Conciliacao!BE520,df_extratos!G:G,"CREDITO")+SUMIFS(df_extratos!I:I,df_extratos!F:F,Conciliacao!A520,df_extratos!G:G,"CREDITO")+SUMIFS(df_extratos!I:I,df_extratos!F:F,Conciliacao!BF520,df_extratos!G:G,"CREDITO")+SUMIFS(df_extratos!I:I,df_extratos!F:F,Conciliacao!BG520,df_extratos!G:G,"CREDITO")+SUMIFS(df_extratos!I:I,df_extratos!F:F,Conciliacao!BH520,df_extratos!G:G,"CREDITO")</f>
        <v/>
      </c>
      <c r="I520" s="9">
        <f>H520-SUM(B520:G520)</f>
        <v/>
      </c>
      <c r="J520" s="4">
        <f>SUMIFS(df_blueme_sem_parcelamento!E:E,df_blueme_sem_parcelamento!H:H,Conciliacao!A520)*(-1)</f>
        <v/>
      </c>
      <c r="K520" s="4">
        <f>SUMIFS(df_blueme_com_parcelamento!J:J,df_blueme_com_parcelamento!M:M,Conciliacao!A520)*(-1)</f>
        <v/>
      </c>
      <c r="L520" s="4">
        <f>SUMIFS(df_mutuos!N:N,df_mutuos!B:B,Conciliacao!A520)*(-1)</f>
        <v/>
      </c>
      <c r="M520" s="8">
        <f>SUMIFS(df_bloqueios_judiciais!G:G,df_bloqueios_judiciais!D:D,Conciliacao!A520,df_bloqueios_judiciais!G:G,"&lt;0")</f>
        <v/>
      </c>
      <c r="N520" s="10">
        <f>SUMIFS(df_extratos!I:I,df_extratos!F:F,Conciliacao!BE520,df_extratos!G:G,"DEBITO")+SUMIFS(df_extratos!I:I,df_extratos!F:F,Conciliacao!A520,df_extratos!G:G,"DEBITO")+SUMIFS(df_extratos!I:I,df_extratos!F:F,Conciliacao!BF520,df_extratos!G:G,"DEBITO")+SUMIFS(df_extratos!I:I,df_extratos!F:F,Conciliacao!BG520,df_extratos!G:G,"DEBITO")+SUMIFS(df_extratos!I:I,df_extratos!F:F,Conciliacao!BH520,df_extratos!G:G,"DEBITO")</f>
        <v/>
      </c>
      <c r="O520" s="11">
        <f>N520-SUM(J520:M520)</f>
        <v/>
      </c>
      <c r="P520" s="25">
        <f>SUMIFS(df_ajustes_conciliaco!D:D,df_ajustes_conciliaco!C:C,Conciliacao!A520)</f>
        <v/>
      </c>
      <c r="Q520" s="22">
        <f>O520+I520-P520</f>
        <v/>
      </c>
    </row>
    <row r="521">
      <c r="A521" s="5">
        <f>A520+1</f>
        <v/>
      </c>
      <c r="B521" s="3">
        <f>-SUMIFS(df_extrato_zig!G:G,df_extrato_zig!E:E,Conciliacao!A521,df_extrato_zig!D:D,"Saque")-SUMIFS(df_extrato_zig!G:G,df_extrato_zig!E:E,Conciliacao!A521,df_extrato_zig!D:D,"Antecipação")</f>
        <v/>
      </c>
      <c r="C521" s="3">
        <f>SUMIFS(df_extrato_zig!E:E,df_extrato_zig!L:L,Conciliacao!A521,df_extrato_zig!F:F,"DINHEIRO")</f>
        <v/>
      </c>
      <c r="D521" s="3">
        <f>SUMIFS(view_parc_agrup!H:H,view_parc_agrup!G:G,Conciliacao!A521)</f>
        <v/>
      </c>
      <c r="E521" s="3">
        <f>SUMIFS(df_eventos!F:F,df_eventos!H:H,Conciliacao!A521)</f>
        <v/>
      </c>
      <c r="F521" s="3">
        <f>SUMIFS(df_mutuos!M:M,df_mutuos!B:B,Conciliacao!A521)</f>
        <v/>
      </c>
      <c r="G521" s="6">
        <f>SUMIFS(df_bloqueios_judiciais!G:G,df_bloqueios_judiciais!D:D,Conciliacao!A521,df_bloqueios_judiciais!G:G,"&gt;0")</f>
        <v/>
      </c>
      <c r="H521" s="7">
        <f>SUMIFS(df_extratos!I:I,df_extratos!F:F,Conciliacao!BE521,df_extratos!G:G,"CREDITO")+SUMIFS(df_extratos!I:I,df_extratos!F:F,Conciliacao!A521,df_extratos!G:G,"CREDITO")+SUMIFS(df_extratos!I:I,df_extratos!F:F,Conciliacao!BF521,df_extratos!G:G,"CREDITO")+SUMIFS(df_extratos!I:I,df_extratos!F:F,Conciliacao!BG521,df_extratos!G:G,"CREDITO")+SUMIFS(df_extratos!I:I,df_extratos!F:F,Conciliacao!BH521,df_extratos!G:G,"CREDITO")</f>
        <v/>
      </c>
      <c r="I521" s="9">
        <f>H521-SUM(B521:G521)</f>
        <v/>
      </c>
      <c r="J521" s="4">
        <f>SUMIFS(df_blueme_sem_parcelamento!E:E,df_blueme_sem_parcelamento!H:H,Conciliacao!A521)*(-1)</f>
        <v/>
      </c>
      <c r="K521" s="4">
        <f>SUMIFS(df_blueme_com_parcelamento!J:J,df_blueme_com_parcelamento!M:M,Conciliacao!A521)*(-1)</f>
        <v/>
      </c>
      <c r="L521" s="4">
        <f>SUMIFS(df_mutuos!N:N,df_mutuos!B:B,Conciliacao!A521)*(-1)</f>
        <v/>
      </c>
      <c r="M521" s="8">
        <f>SUMIFS(df_bloqueios_judiciais!G:G,df_bloqueios_judiciais!D:D,Conciliacao!A521,df_bloqueios_judiciais!G:G,"&lt;0")</f>
        <v/>
      </c>
      <c r="N521" s="10">
        <f>SUMIFS(df_extratos!I:I,df_extratos!F:F,Conciliacao!BE521,df_extratos!G:G,"DEBITO")+SUMIFS(df_extratos!I:I,df_extratos!F:F,Conciliacao!A521,df_extratos!G:G,"DEBITO")+SUMIFS(df_extratos!I:I,df_extratos!F:F,Conciliacao!BF521,df_extratos!G:G,"DEBITO")+SUMIFS(df_extratos!I:I,df_extratos!F:F,Conciliacao!BG521,df_extratos!G:G,"DEBITO")+SUMIFS(df_extratos!I:I,df_extratos!F:F,Conciliacao!BH521,df_extratos!G:G,"DEBITO")</f>
        <v/>
      </c>
      <c r="O521" s="11">
        <f>N521-SUM(J521:M521)</f>
        <v/>
      </c>
      <c r="P521" s="25">
        <f>SUMIFS(df_ajustes_conciliaco!D:D,df_ajustes_conciliaco!C:C,Conciliacao!A521)</f>
        <v/>
      </c>
      <c r="Q521" s="22">
        <f>O521+I521-P521</f>
        <v/>
      </c>
    </row>
    <row r="522">
      <c r="A522" s="5">
        <f>A521+1</f>
        <v/>
      </c>
      <c r="B522" s="3">
        <f>-SUMIFS(df_extrato_zig!G:G,df_extrato_zig!E:E,Conciliacao!A522,df_extrato_zig!D:D,"Saque")-SUMIFS(df_extrato_zig!G:G,df_extrato_zig!E:E,Conciliacao!A522,df_extrato_zig!D:D,"Antecipação")</f>
        <v/>
      </c>
      <c r="C522" s="3">
        <f>SUMIFS(df_extrato_zig!E:E,df_extrato_zig!L:L,Conciliacao!A522,df_extrato_zig!F:F,"DINHEIRO")</f>
        <v/>
      </c>
      <c r="D522" s="3">
        <f>SUMIFS(view_parc_agrup!H:H,view_parc_agrup!G:G,Conciliacao!A522)</f>
        <v/>
      </c>
      <c r="E522" s="3">
        <f>SUMIFS(df_eventos!F:F,df_eventos!H:H,Conciliacao!A522)</f>
        <v/>
      </c>
      <c r="F522" s="3">
        <f>SUMIFS(df_mutuos!M:M,df_mutuos!B:B,Conciliacao!A522)</f>
        <v/>
      </c>
      <c r="G522" s="6">
        <f>SUMIFS(df_bloqueios_judiciais!G:G,df_bloqueios_judiciais!D:D,Conciliacao!A522,df_bloqueios_judiciais!G:G,"&gt;0")</f>
        <v/>
      </c>
      <c r="H522" s="7">
        <f>SUMIFS(df_extratos!I:I,df_extratos!F:F,Conciliacao!BE522,df_extratos!G:G,"CREDITO")+SUMIFS(df_extratos!I:I,df_extratos!F:F,Conciliacao!A522,df_extratos!G:G,"CREDITO")+SUMIFS(df_extratos!I:I,df_extratos!F:F,Conciliacao!BF522,df_extratos!G:G,"CREDITO")+SUMIFS(df_extratos!I:I,df_extratos!F:F,Conciliacao!BG522,df_extratos!G:G,"CREDITO")+SUMIFS(df_extratos!I:I,df_extratos!F:F,Conciliacao!BH522,df_extratos!G:G,"CREDITO")</f>
        <v/>
      </c>
      <c r="I522" s="9">
        <f>H522-SUM(B522:G522)</f>
        <v/>
      </c>
      <c r="J522" s="4">
        <f>SUMIFS(df_blueme_sem_parcelamento!E:E,df_blueme_sem_parcelamento!H:H,Conciliacao!A522)*(-1)</f>
        <v/>
      </c>
      <c r="K522" s="4">
        <f>SUMIFS(df_blueme_com_parcelamento!J:J,df_blueme_com_parcelamento!M:M,Conciliacao!A522)*(-1)</f>
        <v/>
      </c>
      <c r="L522" s="4">
        <f>SUMIFS(df_mutuos!N:N,df_mutuos!B:B,Conciliacao!A522)*(-1)</f>
        <v/>
      </c>
      <c r="M522" s="8">
        <f>SUMIFS(df_bloqueios_judiciais!G:G,df_bloqueios_judiciais!D:D,Conciliacao!A522,df_bloqueios_judiciais!G:G,"&lt;0")</f>
        <v/>
      </c>
      <c r="N522" s="10">
        <f>SUMIFS(df_extratos!I:I,df_extratos!F:F,Conciliacao!BE522,df_extratos!G:G,"DEBITO")+SUMIFS(df_extratos!I:I,df_extratos!F:F,Conciliacao!A522,df_extratos!G:G,"DEBITO")+SUMIFS(df_extratos!I:I,df_extratos!F:F,Conciliacao!BF522,df_extratos!G:G,"DEBITO")+SUMIFS(df_extratos!I:I,df_extratos!F:F,Conciliacao!BG522,df_extratos!G:G,"DEBITO")+SUMIFS(df_extratos!I:I,df_extratos!F:F,Conciliacao!BH522,df_extratos!G:G,"DEBITO")</f>
        <v/>
      </c>
      <c r="O522" s="11">
        <f>N522-SUM(J522:M522)</f>
        <v/>
      </c>
      <c r="P522" s="25">
        <f>SUMIFS(df_ajustes_conciliaco!D:D,df_ajustes_conciliaco!C:C,Conciliacao!A522)</f>
        <v/>
      </c>
      <c r="Q522" s="22">
        <f>O522+I522-P522</f>
        <v/>
      </c>
    </row>
    <row r="523">
      <c r="A523" s="5">
        <f>A522+1</f>
        <v/>
      </c>
      <c r="B523" s="3">
        <f>-SUMIFS(df_extrato_zig!G:G,df_extrato_zig!E:E,Conciliacao!A523,df_extrato_zig!D:D,"Saque")-SUMIFS(df_extrato_zig!G:G,df_extrato_zig!E:E,Conciliacao!A523,df_extrato_zig!D:D,"Antecipação")</f>
        <v/>
      </c>
      <c r="C523" s="3">
        <f>SUMIFS(df_extrato_zig!E:E,df_extrato_zig!L:L,Conciliacao!A523,df_extrato_zig!F:F,"DINHEIRO")</f>
        <v/>
      </c>
      <c r="D523" s="3">
        <f>SUMIFS(view_parc_agrup!H:H,view_parc_agrup!G:G,Conciliacao!A523)</f>
        <v/>
      </c>
      <c r="E523" s="3">
        <f>SUMIFS(df_eventos!F:F,df_eventos!H:H,Conciliacao!A523)</f>
        <v/>
      </c>
      <c r="F523" s="3">
        <f>SUMIFS(df_mutuos!M:M,df_mutuos!B:B,Conciliacao!A523)</f>
        <v/>
      </c>
      <c r="G523" s="6">
        <f>SUMIFS(df_bloqueios_judiciais!G:G,df_bloqueios_judiciais!D:D,Conciliacao!A523,df_bloqueios_judiciais!G:G,"&gt;0")</f>
        <v/>
      </c>
      <c r="H523" s="7">
        <f>SUMIFS(df_extratos!I:I,df_extratos!F:F,Conciliacao!BE523,df_extratos!G:G,"CREDITO")+SUMIFS(df_extratos!I:I,df_extratos!F:F,Conciliacao!A523,df_extratos!G:G,"CREDITO")+SUMIFS(df_extratos!I:I,df_extratos!F:F,Conciliacao!BF523,df_extratos!G:G,"CREDITO")+SUMIFS(df_extratos!I:I,df_extratos!F:F,Conciliacao!BG523,df_extratos!G:G,"CREDITO")+SUMIFS(df_extratos!I:I,df_extratos!F:F,Conciliacao!BH523,df_extratos!G:G,"CREDITO")</f>
        <v/>
      </c>
      <c r="I523" s="9">
        <f>H523-SUM(B523:G523)</f>
        <v/>
      </c>
      <c r="J523" s="4">
        <f>SUMIFS(df_blueme_sem_parcelamento!E:E,df_blueme_sem_parcelamento!H:H,Conciliacao!A523)*(-1)</f>
        <v/>
      </c>
      <c r="K523" s="4">
        <f>SUMIFS(df_blueme_com_parcelamento!J:J,df_blueme_com_parcelamento!M:M,Conciliacao!A523)*(-1)</f>
        <v/>
      </c>
      <c r="L523" s="4">
        <f>SUMIFS(df_mutuos!N:N,df_mutuos!B:B,Conciliacao!A523)*(-1)</f>
        <v/>
      </c>
      <c r="M523" s="8">
        <f>SUMIFS(df_bloqueios_judiciais!G:G,df_bloqueios_judiciais!D:D,Conciliacao!A523,df_bloqueios_judiciais!G:G,"&lt;0")</f>
        <v/>
      </c>
      <c r="N523" s="10">
        <f>SUMIFS(df_extratos!I:I,df_extratos!F:F,Conciliacao!BE523,df_extratos!G:G,"DEBITO")+SUMIFS(df_extratos!I:I,df_extratos!F:F,Conciliacao!A523,df_extratos!G:G,"DEBITO")+SUMIFS(df_extratos!I:I,df_extratos!F:F,Conciliacao!BF523,df_extratos!G:G,"DEBITO")+SUMIFS(df_extratos!I:I,df_extratos!F:F,Conciliacao!BG523,df_extratos!G:G,"DEBITO")+SUMIFS(df_extratos!I:I,df_extratos!F:F,Conciliacao!BH523,df_extratos!G:G,"DEBITO")</f>
        <v/>
      </c>
      <c r="O523" s="11">
        <f>N523-SUM(J523:M523)</f>
        <v/>
      </c>
      <c r="P523" s="25">
        <f>SUMIFS(df_ajustes_conciliaco!D:D,df_ajustes_conciliaco!C:C,Conciliacao!A523)</f>
        <v/>
      </c>
      <c r="Q523" s="22">
        <f>O523+I523-P523</f>
        <v/>
      </c>
    </row>
    <row r="524">
      <c r="A524" s="5">
        <f>A523+1</f>
        <v/>
      </c>
      <c r="B524" s="3">
        <f>-SUMIFS(df_extrato_zig!G:G,df_extrato_zig!E:E,Conciliacao!A524,df_extrato_zig!D:D,"Saque")-SUMIFS(df_extrato_zig!G:G,df_extrato_zig!E:E,Conciliacao!A524,df_extrato_zig!D:D,"Antecipação")</f>
        <v/>
      </c>
      <c r="C524" s="3">
        <f>SUMIFS(df_extrato_zig!E:E,df_extrato_zig!L:L,Conciliacao!A524,df_extrato_zig!F:F,"DINHEIRO")</f>
        <v/>
      </c>
      <c r="D524" s="3">
        <f>SUMIFS(view_parc_agrup!H:H,view_parc_agrup!G:G,Conciliacao!A524)</f>
        <v/>
      </c>
      <c r="E524" s="3">
        <f>SUMIFS(df_eventos!F:F,df_eventos!H:H,Conciliacao!A524)</f>
        <v/>
      </c>
      <c r="F524" s="3">
        <f>SUMIFS(df_mutuos!M:M,df_mutuos!B:B,Conciliacao!A524)</f>
        <v/>
      </c>
      <c r="G524" s="6">
        <f>SUMIFS(df_bloqueios_judiciais!G:G,df_bloqueios_judiciais!D:D,Conciliacao!A524,df_bloqueios_judiciais!G:G,"&gt;0")</f>
        <v/>
      </c>
      <c r="H524" s="7">
        <f>SUMIFS(df_extratos!I:I,df_extratos!F:F,Conciliacao!BE524,df_extratos!G:G,"CREDITO")+SUMIFS(df_extratos!I:I,df_extratos!F:F,Conciliacao!A524,df_extratos!G:G,"CREDITO")+SUMIFS(df_extratos!I:I,df_extratos!F:F,Conciliacao!BF524,df_extratos!G:G,"CREDITO")+SUMIFS(df_extratos!I:I,df_extratos!F:F,Conciliacao!BG524,df_extratos!G:G,"CREDITO")+SUMIFS(df_extratos!I:I,df_extratos!F:F,Conciliacao!BH524,df_extratos!G:G,"CREDITO")</f>
        <v/>
      </c>
      <c r="I524" s="9">
        <f>H524-SUM(B524:G524)</f>
        <v/>
      </c>
      <c r="J524" s="4">
        <f>SUMIFS(df_blueme_sem_parcelamento!E:E,df_blueme_sem_parcelamento!H:H,Conciliacao!A524)*(-1)</f>
        <v/>
      </c>
      <c r="K524" s="4">
        <f>SUMIFS(df_blueme_com_parcelamento!J:J,df_blueme_com_parcelamento!M:M,Conciliacao!A524)*(-1)</f>
        <v/>
      </c>
      <c r="L524" s="4">
        <f>SUMIFS(df_mutuos!N:N,df_mutuos!B:B,Conciliacao!A524)*(-1)</f>
        <v/>
      </c>
      <c r="M524" s="8">
        <f>SUMIFS(df_bloqueios_judiciais!G:G,df_bloqueios_judiciais!D:D,Conciliacao!A524,df_bloqueios_judiciais!G:G,"&lt;0")</f>
        <v/>
      </c>
      <c r="N524" s="10">
        <f>SUMIFS(df_extratos!I:I,df_extratos!F:F,Conciliacao!BE524,df_extratos!G:G,"DEBITO")+SUMIFS(df_extratos!I:I,df_extratos!F:F,Conciliacao!A524,df_extratos!G:G,"DEBITO")+SUMIFS(df_extratos!I:I,df_extratos!F:F,Conciliacao!BF524,df_extratos!G:G,"DEBITO")+SUMIFS(df_extratos!I:I,df_extratos!F:F,Conciliacao!BG524,df_extratos!G:G,"DEBITO")+SUMIFS(df_extratos!I:I,df_extratos!F:F,Conciliacao!BH524,df_extratos!G:G,"DEBITO")</f>
        <v/>
      </c>
      <c r="O524" s="11">
        <f>N524-SUM(J524:M524)</f>
        <v/>
      </c>
      <c r="P524" s="25">
        <f>SUMIFS(df_ajustes_conciliaco!D:D,df_ajustes_conciliaco!C:C,Conciliacao!A524)</f>
        <v/>
      </c>
      <c r="Q524" s="22">
        <f>O524+I524-P524</f>
        <v/>
      </c>
    </row>
    <row r="525">
      <c r="A525" s="5">
        <f>A524+1</f>
        <v/>
      </c>
      <c r="B525" s="3">
        <f>-SUMIFS(df_extrato_zig!G:G,df_extrato_zig!E:E,Conciliacao!A525,df_extrato_zig!D:D,"Saque")-SUMIFS(df_extrato_zig!G:G,df_extrato_zig!E:E,Conciliacao!A525,df_extrato_zig!D:D,"Antecipação")</f>
        <v/>
      </c>
      <c r="C525" s="3">
        <f>SUMIFS(df_extrato_zig!E:E,df_extrato_zig!L:L,Conciliacao!A525,df_extrato_zig!F:F,"DINHEIRO")</f>
        <v/>
      </c>
      <c r="D525" s="3">
        <f>SUMIFS(view_parc_agrup!H:H,view_parc_agrup!G:G,Conciliacao!A525)</f>
        <v/>
      </c>
      <c r="E525" s="3">
        <f>SUMIFS(df_eventos!F:F,df_eventos!H:H,Conciliacao!A525)</f>
        <v/>
      </c>
      <c r="F525" s="3">
        <f>SUMIFS(df_mutuos!M:M,df_mutuos!B:B,Conciliacao!A525)</f>
        <v/>
      </c>
      <c r="G525" s="6">
        <f>SUMIFS(df_bloqueios_judiciais!G:G,df_bloqueios_judiciais!D:D,Conciliacao!A525,df_bloqueios_judiciais!G:G,"&gt;0")</f>
        <v/>
      </c>
      <c r="H525" s="7">
        <f>SUMIFS(df_extratos!I:I,df_extratos!F:F,Conciliacao!BE525,df_extratos!G:G,"CREDITO")+SUMIFS(df_extratos!I:I,df_extratos!F:F,Conciliacao!A525,df_extratos!G:G,"CREDITO")+SUMIFS(df_extratos!I:I,df_extratos!F:F,Conciliacao!BF525,df_extratos!G:G,"CREDITO")+SUMIFS(df_extratos!I:I,df_extratos!F:F,Conciliacao!BG525,df_extratos!G:G,"CREDITO")+SUMIFS(df_extratos!I:I,df_extratos!F:F,Conciliacao!BH525,df_extratos!G:G,"CREDITO")</f>
        <v/>
      </c>
      <c r="I525" s="9">
        <f>H525-SUM(B525:G525)</f>
        <v/>
      </c>
      <c r="J525" s="4">
        <f>SUMIFS(df_blueme_sem_parcelamento!E:E,df_blueme_sem_parcelamento!H:H,Conciliacao!A525)*(-1)</f>
        <v/>
      </c>
      <c r="K525" s="4">
        <f>SUMIFS(df_blueme_com_parcelamento!J:J,df_blueme_com_parcelamento!M:M,Conciliacao!A525)*(-1)</f>
        <v/>
      </c>
      <c r="L525" s="4">
        <f>SUMIFS(df_mutuos!N:N,df_mutuos!B:B,Conciliacao!A525)*(-1)</f>
        <v/>
      </c>
      <c r="M525" s="8">
        <f>SUMIFS(df_bloqueios_judiciais!G:G,df_bloqueios_judiciais!D:D,Conciliacao!A525,df_bloqueios_judiciais!G:G,"&lt;0")</f>
        <v/>
      </c>
      <c r="N525" s="10">
        <f>SUMIFS(df_extratos!I:I,df_extratos!F:F,Conciliacao!BE525,df_extratos!G:G,"DEBITO")+SUMIFS(df_extratos!I:I,df_extratos!F:F,Conciliacao!A525,df_extratos!G:G,"DEBITO")+SUMIFS(df_extratos!I:I,df_extratos!F:F,Conciliacao!BF525,df_extratos!G:G,"DEBITO")+SUMIFS(df_extratos!I:I,df_extratos!F:F,Conciliacao!BG525,df_extratos!G:G,"DEBITO")+SUMIFS(df_extratos!I:I,df_extratos!F:F,Conciliacao!BH525,df_extratos!G:G,"DEBITO")</f>
        <v/>
      </c>
      <c r="O525" s="11">
        <f>N525-SUM(J525:M525)</f>
        <v/>
      </c>
      <c r="P525" s="25">
        <f>SUMIFS(df_ajustes_conciliaco!D:D,df_ajustes_conciliaco!C:C,Conciliacao!A525)</f>
        <v/>
      </c>
      <c r="Q525" s="22">
        <f>O525+I525-P525</f>
        <v/>
      </c>
    </row>
    <row r="526">
      <c r="A526" s="5">
        <f>A525+1</f>
        <v/>
      </c>
      <c r="B526" s="3">
        <f>-SUMIFS(df_extrato_zig!G:G,df_extrato_zig!E:E,Conciliacao!A526,df_extrato_zig!D:D,"Saque")-SUMIFS(df_extrato_zig!G:G,df_extrato_zig!E:E,Conciliacao!A526,df_extrato_zig!D:D,"Antecipação")</f>
        <v/>
      </c>
      <c r="C526" s="3">
        <f>SUMIFS(df_extrato_zig!E:E,df_extrato_zig!L:L,Conciliacao!A526,df_extrato_zig!F:F,"DINHEIRO")</f>
        <v/>
      </c>
      <c r="D526" s="3">
        <f>SUMIFS(view_parc_agrup!H:H,view_parc_agrup!G:G,Conciliacao!A526)</f>
        <v/>
      </c>
      <c r="E526" s="3">
        <f>SUMIFS(df_eventos!F:F,df_eventos!H:H,Conciliacao!A526)</f>
        <v/>
      </c>
      <c r="F526" s="3">
        <f>SUMIFS(df_mutuos!M:M,df_mutuos!B:B,Conciliacao!A526)</f>
        <v/>
      </c>
      <c r="G526" s="6">
        <f>SUMIFS(df_bloqueios_judiciais!G:G,df_bloqueios_judiciais!D:D,Conciliacao!A526,df_bloqueios_judiciais!G:G,"&gt;0")</f>
        <v/>
      </c>
      <c r="H526" s="7">
        <f>SUMIFS(df_extratos!I:I,df_extratos!F:F,Conciliacao!BE526,df_extratos!G:G,"CREDITO")+SUMIFS(df_extratos!I:I,df_extratos!F:F,Conciliacao!A526,df_extratos!G:G,"CREDITO")+SUMIFS(df_extratos!I:I,df_extratos!F:F,Conciliacao!BF526,df_extratos!G:G,"CREDITO")+SUMIFS(df_extratos!I:I,df_extratos!F:F,Conciliacao!BG526,df_extratos!G:G,"CREDITO")+SUMIFS(df_extratos!I:I,df_extratos!F:F,Conciliacao!BH526,df_extratos!G:G,"CREDITO")</f>
        <v/>
      </c>
      <c r="I526" s="9">
        <f>H526-SUM(B526:G526)</f>
        <v/>
      </c>
      <c r="J526" s="4">
        <f>SUMIFS(df_blueme_sem_parcelamento!E:E,df_blueme_sem_parcelamento!H:H,Conciliacao!A526)*(-1)</f>
        <v/>
      </c>
      <c r="K526" s="4">
        <f>SUMIFS(df_blueme_com_parcelamento!J:J,df_blueme_com_parcelamento!M:M,Conciliacao!A526)*(-1)</f>
        <v/>
      </c>
      <c r="L526" s="4">
        <f>SUMIFS(df_mutuos!N:N,df_mutuos!B:B,Conciliacao!A526)*(-1)</f>
        <v/>
      </c>
      <c r="M526" s="8">
        <f>SUMIFS(df_bloqueios_judiciais!G:G,df_bloqueios_judiciais!D:D,Conciliacao!A526,df_bloqueios_judiciais!G:G,"&lt;0")</f>
        <v/>
      </c>
      <c r="N526" s="10">
        <f>SUMIFS(df_extratos!I:I,df_extratos!F:F,Conciliacao!BE526,df_extratos!G:G,"DEBITO")+SUMIFS(df_extratos!I:I,df_extratos!F:F,Conciliacao!A526,df_extratos!G:G,"DEBITO")+SUMIFS(df_extratos!I:I,df_extratos!F:F,Conciliacao!BF526,df_extratos!G:G,"DEBITO")+SUMIFS(df_extratos!I:I,df_extratos!F:F,Conciliacao!BG526,df_extratos!G:G,"DEBITO")+SUMIFS(df_extratos!I:I,df_extratos!F:F,Conciliacao!BH526,df_extratos!G:G,"DEBITO")</f>
        <v/>
      </c>
      <c r="O526" s="11">
        <f>N526-SUM(J526:M526)</f>
        <v/>
      </c>
      <c r="P526" s="25">
        <f>SUMIFS(df_ajustes_conciliaco!D:D,df_ajustes_conciliaco!C:C,Conciliacao!A526)</f>
        <v/>
      </c>
      <c r="Q526" s="22">
        <f>O526+I526-P526</f>
        <v/>
      </c>
    </row>
    <row r="527">
      <c r="A527" s="5">
        <f>A526+1</f>
        <v/>
      </c>
      <c r="B527" s="3">
        <f>-SUMIFS(df_extrato_zig!G:G,df_extrato_zig!E:E,Conciliacao!A527,df_extrato_zig!D:D,"Saque")-SUMIFS(df_extrato_zig!G:G,df_extrato_zig!E:E,Conciliacao!A527,df_extrato_zig!D:D,"Antecipação")</f>
        <v/>
      </c>
      <c r="C527" s="3">
        <f>SUMIFS(df_extrato_zig!E:E,df_extrato_zig!L:L,Conciliacao!A527,df_extrato_zig!F:F,"DINHEIRO")</f>
        <v/>
      </c>
      <c r="D527" s="3">
        <f>SUMIFS(view_parc_agrup!H:H,view_parc_agrup!G:G,Conciliacao!A527)</f>
        <v/>
      </c>
      <c r="E527" s="3">
        <f>SUMIFS(df_eventos!F:F,df_eventos!H:H,Conciliacao!A527)</f>
        <v/>
      </c>
      <c r="F527" s="3">
        <f>SUMIFS(df_mutuos!M:M,df_mutuos!B:B,Conciliacao!A527)</f>
        <v/>
      </c>
      <c r="G527" s="6">
        <f>SUMIFS(df_bloqueios_judiciais!G:G,df_bloqueios_judiciais!D:D,Conciliacao!A527,df_bloqueios_judiciais!G:G,"&gt;0")</f>
        <v/>
      </c>
      <c r="H527" s="7">
        <f>SUMIFS(df_extratos!I:I,df_extratos!F:F,Conciliacao!BE527,df_extratos!G:G,"CREDITO")+SUMIFS(df_extratos!I:I,df_extratos!F:F,Conciliacao!A527,df_extratos!G:G,"CREDITO")+SUMIFS(df_extratos!I:I,df_extratos!F:F,Conciliacao!BF527,df_extratos!G:G,"CREDITO")+SUMIFS(df_extratos!I:I,df_extratos!F:F,Conciliacao!BG527,df_extratos!G:G,"CREDITO")+SUMIFS(df_extratos!I:I,df_extratos!F:F,Conciliacao!BH527,df_extratos!G:G,"CREDITO")</f>
        <v/>
      </c>
      <c r="I527" s="9">
        <f>H527-SUM(B527:G527)</f>
        <v/>
      </c>
      <c r="J527" s="4">
        <f>SUMIFS(df_blueme_sem_parcelamento!E:E,df_blueme_sem_parcelamento!H:H,Conciliacao!A527)*(-1)</f>
        <v/>
      </c>
      <c r="K527" s="4">
        <f>SUMIFS(df_blueme_com_parcelamento!J:J,df_blueme_com_parcelamento!M:M,Conciliacao!A527)*(-1)</f>
        <v/>
      </c>
      <c r="L527" s="4">
        <f>SUMIFS(df_mutuos!N:N,df_mutuos!B:B,Conciliacao!A527)*(-1)</f>
        <v/>
      </c>
      <c r="M527" s="8">
        <f>SUMIFS(df_bloqueios_judiciais!G:G,df_bloqueios_judiciais!D:D,Conciliacao!A527,df_bloqueios_judiciais!G:G,"&lt;0")</f>
        <v/>
      </c>
      <c r="N527" s="10">
        <f>SUMIFS(df_extratos!I:I,df_extratos!F:F,Conciliacao!BE527,df_extratos!G:G,"DEBITO")+SUMIFS(df_extratos!I:I,df_extratos!F:F,Conciliacao!A527,df_extratos!G:G,"DEBITO")+SUMIFS(df_extratos!I:I,df_extratos!F:F,Conciliacao!BF527,df_extratos!G:G,"DEBITO")+SUMIFS(df_extratos!I:I,df_extratos!F:F,Conciliacao!BG527,df_extratos!G:G,"DEBITO")+SUMIFS(df_extratos!I:I,df_extratos!F:F,Conciliacao!BH527,df_extratos!G:G,"DEBITO")</f>
        <v/>
      </c>
      <c r="O527" s="11">
        <f>N527-SUM(J527:M527)</f>
        <v/>
      </c>
      <c r="P527" s="25">
        <f>SUMIFS(df_ajustes_conciliaco!D:D,df_ajustes_conciliaco!C:C,Conciliacao!A527)</f>
        <v/>
      </c>
      <c r="Q527" s="22">
        <f>O527+I527-P527</f>
        <v/>
      </c>
    </row>
    <row r="528">
      <c r="A528" s="5">
        <f>A527+1</f>
        <v/>
      </c>
      <c r="B528" s="3">
        <f>-SUMIFS(df_extrato_zig!G:G,df_extrato_zig!E:E,Conciliacao!A528,df_extrato_zig!D:D,"Saque")-SUMIFS(df_extrato_zig!G:G,df_extrato_zig!E:E,Conciliacao!A528,df_extrato_zig!D:D,"Antecipação")</f>
        <v/>
      </c>
      <c r="C528" s="3">
        <f>SUMIFS(df_extrato_zig!E:E,df_extrato_zig!L:L,Conciliacao!A528,df_extrato_zig!F:F,"DINHEIRO")</f>
        <v/>
      </c>
      <c r="D528" s="3">
        <f>SUMIFS(view_parc_agrup!H:H,view_parc_agrup!G:G,Conciliacao!A528)</f>
        <v/>
      </c>
      <c r="E528" s="3">
        <f>SUMIFS(df_eventos!F:F,df_eventos!H:H,Conciliacao!A528)</f>
        <v/>
      </c>
      <c r="F528" s="3">
        <f>SUMIFS(df_mutuos!M:M,df_mutuos!B:B,Conciliacao!A528)</f>
        <v/>
      </c>
      <c r="G528" s="6">
        <f>SUMIFS(df_bloqueios_judiciais!G:G,df_bloqueios_judiciais!D:D,Conciliacao!A528,df_bloqueios_judiciais!G:G,"&gt;0")</f>
        <v/>
      </c>
      <c r="H528" s="7">
        <f>SUMIFS(df_extratos!I:I,df_extratos!F:F,Conciliacao!BE528,df_extratos!G:G,"CREDITO")+SUMIFS(df_extratos!I:I,df_extratos!F:F,Conciliacao!A528,df_extratos!G:G,"CREDITO")+SUMIFS(df_extratos!I:I,df_extratos!F:F,Conciliacao!BF528,df_extratos!G:G,"CREDITO")+SUMIFS(df_extratos!I:I,df_extratos!F:F,Conciliacao!BG528,df_extratos!G:G,"CREDITO")+SUMIFS(df_extratos!I:I,df_extratos!F:F,Conciliacao!BH528,df_extratos!G:G,"CREDITO")</f>
        <v/>
      </c>
      <c r="I528" s="9">
        <f>H528-SUM(B528:G528)</f>
        <v/>
      </c>
      <c r="J528" s="4">
        <f>SUMIFS(df_blueme_sem_parcelamento!E:E,df_blueme_sem_parcelamento!H:H,Conciliacao!A528)*(-1)</f>
        <v/>
      </c>
      <c r="K528" s="4">
        <f>SUMIFS(df_blueme_com_parcelamento!J:J,df_blueme_com_parcelamento!M:M,Conciliacao!A528)*(-1)</f>
        <v/>
      </c>
      <c r="L528" s="4">
        <f>SUMIFS(df_mutuos!N:N,df_mutuos!B:B,Conciliacao!A528)*(-1)</f>
        <v/>
      </c>
      <c r="M528" s="8">
        <f>SUMIFS(df_bloqueios_judiciais!G:G,df_bloqueios_judiciais!D:D,Conciliacao!A528,df_bloqueios_judiciais!G:G,"&lt;0")</f>
        <v/>
      </c>
      <c r="N528" s="10">
        <f>SUMIFS(df_extratos!I:I,df_extratos!F:F,Conciliacao!BE528,df_extratos!G:G,"DEBITO")+SUMIFS(df_extratos!I:I,df_extratos!F:F,Conciliacao!A528,df_extratos!G:G,"DEBITO")+SUMIFS(df_extratos!I:I,df_extratos!F:F,Conciliacao!BF528,df_extratos!G:G,"DEBITO")+SUMIFS(df_extratos!I:I,df_extratos!F:F,Conciliacao!BG528,df_extratos!G:G,"DEBITO")+SUMIFS(df_extratos!I:I,df_extratos!F:F,Conciliacao!BH528,df_extratos!G:G,"DEBITO")</f>
        <v/>
      </c>
      <c r="O528" s="11">
        <f>N528-SUM(J528:M528)</f>
        <v/>
      </c>
      <c r="P528" s="25">
        <f>SUMIFS(df_ajustes_conciliaco!D:D,df_ajustes_conciliaco!C:C,Conciliacao!A528)</f>
        <v/>
      </c>
      <c r="Q528" s="22">
        <f>O528+I528-P528</f>
        <v/>
      </c>
    </row>
    <row r="529">
      <c r="A529" s="5">
        <f>A528+1</f>
        <v/>
      </c>
      <c r="B529" s="3">
        <f>-SUMIFS(df_extrato_zig!G:G,df_extrato_zig!E:E,Conciliacao!A529,df_extrato_zig!D:D,"Saque")-SUMIFS(df_extrato_zig!G:G,df_extrato_zig!E:E,Conciliacao!A529,df_extrato_zig!D:D,"Antecipação")</f>
        <v/>
      </c>
      <c r="C529" s="3">
        <f>SUMIFS(df_extrato_zig!E:E,df_extrato_zig!L:L,Conciliacao!A529,df_extrato_zig!F:F,"DINHEIRO")</f>
        <v/>
      </c>
      <c r="D529" s="3">
        <f>SUMIFS(view_parc_agrup!H:H,view_parc_agrup!G:G,Conciliacao!A529)</f>
        <v/>
      </c>
      <c r="E529" s="3">
        <f>SUMIFS(df_eventos!F:F,df_eventos!H:H,Conciliacao!A529)</f>
        <v/>
      </c>
      <c r="F529" s="3">
        <f>SUMIFS(df_mutuos!M:M,df_mutuos!B:B,Conciliacao!A529)</f>
        <v/>
      </c>
      <c r="G529" s="6">
        <f>SUMIFS(df_bloqueios_judiciais!G:G,df_bloqueios_judiciais!D:D,Conciliacao!A529,df_bloqueios_judiciais!G:G,"&gt;0")</f>
        <v/>
      </c>
      <c r="H529" s="7">
        <f>SUMIFS(df_extratos!I:I,df_extratos!F:F,Conciliacao!BE529,df_extratos!G:G,"CREDITO")+SUMIFS(df_extratos!I:I,df_extratos!F:F,Conciliacao!A529,df_extratos!G:G,"CREDITO")+SUMIFS(df_extratos!I:I,df_extratos!F:F,Conciliacao!BF529,df_extratos!G:G,"CREDITO")+SUMIFS(df_extratos!I:I,df_extratos!F:F,Conciliacao!BG529,df_extratos!G:G,"CREDITO")+SUMIFS(df_extratos!I:I,df_extratos!F:F,Conciliacao!BH529,df_extratos!G:G,"CREDITO")</f>
        <v/>
      </c>
      <c r="I529" s="9">
        <f>H529-SUM(B529:G529)</f>
        <v/>
      </c>
      <c r="J529" s="4">
        <f>SUMIFS(df_blueme_sem_parcelamento!E:E,df_blueme_sem_parcelamento!H:H,Conciliacao!A529)*(-1)</f>
        <v/>
      </c>
      <c r="K529" s="4">
        <f>SUMIFS(df_blueme_com_parcelamento!J:J,df_blueme_com_parcelamento!M:M,Conciliacao!A529)*(-1)</f>
        <v/>
      </c>
      <c r="L529" s="4">
        <f>SUMIFS(df_mutuos!N:N,df_mutuos!B:B,Conciliacao!A529)*(-1)</f>
        <v/>
      </c>
      <c r="M529" s="8">
        <f>SUMIFS(df_bloqueios_judiciais!G:G,df_bloqueios_judiciais!D:D,Conciliacao!A529,df_bloqueios_judiciais!G:G,"&lt;0")</f>
        <v/>
      </c>
      <c r="N529" s="10">
        <f>SUMIFS(df_extratos!I:I,df_extratos!F:F,Conciliacao!BE529,df_extratos!G:G,"DEBITO")+SUMIFS(df_extratos!I:I,df_extratos!F:F,Conciliacao!A529,df_extratos!G:G,"DEBITO")+SUMIFS(df_extratos!I:I,df_extratos!F:F,Conciliacao!BF529,df_extratos!G:G,"DEBITO")+SUMIFS(df_extratos!I:I,df_extratos!F:F,Conciliacao!BG529,df_extratos!G:G,"DEBITO")+SUMIFS(df_extratos!I:I,df_extratos!F:F,Conciliacao!BH529,df_extratos!G:G,"DEBITO")</f>
        <v/>
      </c>
      <c r="O529" s="11">
        <f>N529-SUM(J529:M529)</f>
        <v/>
      </c>
      <c r="P529" s="25">
        <f>SUMIFS(df_ajustes_conciliaco!D:D,df_ajustes_conciliaco!C:C,Conciliacao!A529)</f>
        <v/>
      </c>
      <c r="Q529" s="22">
        <f>O529+I529-P529</f>
        <v/>
      </c>
    </row>
    <row r="530">
      <c r="A530" s="5">
        <f>A529+1</f>
        <v/>
      </c>
      <c r="B530" s="3">
        <f>-SUMIFS(df_extrato_zig!G:G,df_extrato_zig!E:E,Conciliacao!A530,df_extrato_zig!D:D,"Saque")-SUMIFS(df_extrato_zig!G:G,df_extrato_zig!E:E,Conciliacao!A530,df_extrato_zig!D:D,"Antecipação")</f>
        <v/>
      </c>
      <c r="C530" s="3">
        <f>SUMIFS(df_extrato_zig!E:E,df_extrato_zig!L:L,Conciliacao!A530,df_extrato_zig!F:F,"DINHEIRO")</f>
        <v/>
      </c>
      <c r="D530" s="3">
        <f>SUMIFS(view_parc_agrup!H:H,view_parc_agrup!G:G,Conciliacao!A530)</f>
        <v/>
      </c>
      <c r="E530" s="3">
        <f>SUMIFS(df_eventos!F:F,df_eventos!H:H,Conciliacao!A530)</f>
        <v/>
      </c>
      <c r="F530" s="3">
        <f>SUMIFS(df_mutuos!M:M,df_mutuos!B:B,Conciliacao!A530)</f>
        <v/>
      </c>
      <c r="G530" s="6">
        <f>SUMIFS(df_bloqueios_judiciais!G:G,df_bloqueios_judiciais!D:D,Conciliacao!A530,df_bloqueios_judiciais!G:G,"&gt;0")</f>
        <v/>
      </c>
      <c r="H530" s="7">
        <f>SUMIFS(df_extratos!I:I,df_extratos!F:F,Conciliacao!BE530,df_extratos!G:G,"CREDITO")+SUMIFS(df_extratos!I:I,df_extratos!F:F,Conciliacao!A530,df_extratos!G:G,"CREDITO")+SUMIFS(df_extratos!I:I,df_extratos!F:F,Conciliacao!BF530,df_extratos!G:G,"CREDITO")+SUMIFS(df_extratos!I:I,df_extratos!F:F,Conciliacao!BG530,df_extratos!G:G,"CREDITO")+SUMIFS(df_extratos!I:I,df_extratos!F:F,Conciliacao!BH530,df_extratos!G:G,"CREDITO")</f>
        <v/>
      </c>
      <c r="I530" s="9">
        <f>H530-SUM(B530:G530)</f>
        <v/>
      </c>
      <c r="J530" s="4">
        <f>SUMIFS(df_blueme_sem_parcelamento!E:E,df_blueme_sem_parcelamento!H:H,Conciliacao!A530)*(-1)</f>
        <v/>
      </c>
      <c r="K530" s="4">
        <f>SUMIFS(df_blueme_com_parcelamento!J:J,df_blueme_com_parcelamento!M:M,Conciliacao!A530)*(-1)</f>
        <v/>
      </c>
      <c r="L530" s="4">
        <f>SUMIFS(df_mutuos!N:N,df_mutuos!B:B,Conciliacao!A530)*(-1)</f>
        <v/>
      </c>
      <c r="M530" s="8">
        <f>SUMIFS(df_bloqueios_judiciais!G:G,df_bloqueios_judiciais!D:D,Conciliacao!A530,df_bloqueios_judiciais!G:G,"&lt;0")</f>
        <v/>
      </c>
      <c r="N530" s="10">
        <f>SUMIFS(df_extratos!I:I,df_extratos!F:F,Conciliacao!BE530,df_extratos!G:G,"DEBITO")+SUMIFS(df_extratos!I:I,df_extratos!F:F,Conciliacao!A530,df_extratos!G:G,"DEBITO")+SUMIFS(df_extratos!I:I,df_extratos!F:F,Conciliacao!BF530,df_extratos!G:G,"DEBITO")+SUMIFS(df_extratos!I:I,df_extratos!F:F,Conciliacao!BG530,df_extratos!G:G,"DEBITO")+SUMIFS(df_extratos!I:I,df_extratos!F:F,Conciliacao!BH530,df_extratos!G:G,"DEBITO")</f>
        <v/>
      </c>
      <c r="O530" s="11">
        <f>N530-SUM(J530:M530)</f>
        <v/>
      </c>
      <c r="P530" s="25">
        <f>SUMIFS(df_ajustes_conciliaco!D:D,df_ajustes_conciliaco!C:C,Conciliacao!A530)</f>
        <v/>
      </c>
      <c r="Q530" s="22">
        <f>O530+I530-P530</f>
        <v/>
      </c>
    </row>
    <row r="531">
      <c r="A531" s="5">
        <f>A530+1</f>
        <v/>
      </c>
      <c r="B531" s="3">
        <f>-SUMIFS(df_extrato_zig!G:G,df_extrato_zig!E:E,Conciliacao!A531,df_extrato_zig!D:D,"Saque")-SUMIFS(df_extrato_zig!G:G,df_extrato_zig!E:E,Conciliacao!A531,df_extrato_zig!D:D,"Antecipação")</f>
        <v/>
      </c>
      <c r="C531" s="3">
        <f>SUMIFS(df_extrato_zig!E:E,df_extrato_zig!L:L,Conciliacao!A531,df_extrato_zig!F:F,"DINHEIRO")</f>
        <v/>
      </c>
      <c r="D531" s="3">
        <f>SUMIFS(view_parc_agrup!H:H,view_parc_agrup!G:G,Conciliacao!A531)</f>
        <v/>
      </c>
      <c r="E531" s="3">
        <f>SUMIFS(df_eventos!F:F,df_eventos!H:H,Conciliacao!A531)</f>
        <v/>
      </c>
      <c r="F531" s="3">
        <f>SUMIFS(df_mutuos!M:M,df_mutuos!B:B,Conciliacao!A531)</f>
        <v/>
      </c>
      <c r="G531" s="6">
        <f>SUMIFS(df_bloqueios_judiciais!G:G,df_bloqueios_judiciais!D:D,Conciliacao!A531,df_bloqueios_judiciais!G:G,"&gt;0")</f>
        <v/>
      </c>
      <c r="H531" s="7">
        <f>SUMIFS(df_extratos!I:I,df_extratos!F:F,Conciliacao!BE531,df_extratos!G:G,"CREDITO")+SUMIFS(df_extratos!I:I,df_extratos!F:F,Conciliacao!A531,df_extratos!G:G,"CREDITO")+SUMIFS(df_extratos!I:I,df_extratos!F:F,Conciliacao!BF531,df_extratos!G:G,"CREDITO")+SUMIFS(df_extratos!I:I,df_extratos!F:F,Conciliacao!BG531,df_extratos!G:G,"CREDITO")+SUMIFS(df_extratos!I:I,df_extratos!F:F,Conciliacao!BH531,df_extratos!G:G,"CREDITO")</f>
        <v/>
      </c>
      <c r="I531" s="9">
        <f>H531-SUM(B531:G531)</f>
        <v/>
      </c>
      <c r="J531" s="4">
        <f>SUMIFS(df_blueme_sem_parcelamento!E:E,df_blueme_sem_parcelamento!H:H,Conciliacao!A531)*(-1)</f>
        <v/>
      </c>
      <c r="K531" s="4">
        <f>SUMIFS(df_blueme_com_parcelamento!J:J,df_blueme_com_parcelamento!M:M,Conciliacao!A531)*(-1)</f>
        <v/>
      </c>
      <c r="L531" s="4">
        <f>SUMIFS(df_mutuos!N:N,df_mutuos!B:B,Conciliacao!A531)*(-1)</f>
        <v/>
      </c>
      <c r="M531" s="8">
        <f>SUMIFS(df_bloqueios_judiciais!G:G,df_bloqueios_judiciais!D:D,Conciliacao!A531,df_bloqueios_judiciais!G:G,"&lt;0")</f>
        <v/>
      </c>
      <c r="N531" s="10">
        <f>SUMIFS(df_extratos!I:I,df_extratos!F:F,Conciliacao!BE531,df_extratos!G:G,"DEBITO")+SUMIFS(df_extratos!I:I,df_extratos!F:F,Conciliacao!A531,df_extratos!G:G,"DEBITO")+SUMIFS(df_extratos!I:I,df_extratos!F:F,Conciliacao!BF531,df_extratos!G:G,"DEBITO")+SUMIFS(df_extratos!I:I,df_extratos!F:F,Conciliacao!BG531,df_extratos!G:G,"DEBITO")+SUMIFS(df_extratos!I:I,df_extratos!F:F,Conciliacao!BH531,df_extratos!G:G,"DEBITO")</f>
        <v/>
      </c>
      <c r="O531" s="11">
        <f>N531-SUM(J531:M531)</f>
        <v/>
      </c>
      <c r="P531" s="25">
        <f>SUMIFS(df_ajustes_conciliaco!D:D,df_ajustes_conciliaco!C:C,Conciliacao!A531)</f>
        <v/>
      </c>
      <c r="Q531" s="22">
        <f>O531+I531-P531</f>
        <v/>
      </c>
    </row>
    <row r="532">
      <c r="A532" s="5">
        <f>A531+1</f>
        <v/>
      </c>
      <c r="B532" s="3">
        <f>-SUMIFS(df_extrato_zig!G:G,df_extrato_zig!E:E,Conciliacao!A532,df_extrato_zig!D:D,"Saque")-SUMIFS(df_extrato_zig!G:G,df_extrato_zig!E:E,Conciliacao!A532,df_extrato_zig!D:D,"Antecipação")</f>
        <v/>
      </c>
      <c r="C532" s="3">
        <f>SUMIFS(df_extrato_zig!E:E,df_extrato_zig!L:L,Conciliacao!A532,df_extrato_zig!F:F,"DINHEIRO")</f>
        <v/>
      </c>
      <c r="D532" s="3">
        <f>SUMIFS(view_parc_agrup!H:H,view_parc_agrup!G:G,Conciliacao!A532)</f>
        <v/>
      </c>
      <c r="E532" s="3">
        <f>SUMIFS(df_eventos!F:F,df_eventos!H:H,Conciliacao!A532)</f>
        <v/>
      </c>
      <c r="F532" s="3">
        <f>SUMIFS(df_mutuos!M:M,df_mutuos!B:B,Conciliacao!A532)</f>
        <v/>
      </c>
      <c r="G532" s="6">
        <f>SUMIFS(df_bloqueios_judiciais!G:G,df_bloqueios_judiciais!D:D,Conciliacao!A532,df_bloqueios_judiciais!G:G,"&gt;0")</f>
        <v/>
      </c>
      <c r="H532" s="7">
        <f>SUMIFS(df_extratos!I:I,df_extratos!F:F,Conciliacao!BE532,df_extratos!G:G,"CREDITO")+SUMIFS(df_extratos!I:I,df_extratos!F:F,Conciliacao!A532,df_extratos!G:G,"CREDITO")+SUMIFS(df_extratos!I:I,df_extratos!F:F,Conciliacao!BF532,df_extratos!G:G,"CREDITO")+SUMIFS(df_extratos!I:I,df_extratos!F:F,Conciliacao!BG532,df_extratos!G:G,"CREDITO")+SUMIFS(df_extratos!I:I,df_extratos!F:F,Conciliacao!BH532,df_extratos!G:G,"CREDITO")</f>
        <v/>
      </c>
      <c r="I532" s="9">
        <f>H532-SUM(B532:G532)</f>
        <v/>
      </c>
      <c r="J532" s="4">
        <f>SUMIFS(df_blueme_sem_parcelamento!E:E,df_blueme_sem_parcelamento!H:H,Conciliacao!A532)*(-1)</f>
        <v/>
      </c>
      <c r="K532" s="4">
        <f>SUMIFS(df_blueme_com_parcelamento!J:J,df_blueme_com_parcelamento!M:M,Conciliacao!A532)*(-1)</f>
        <v/>
      </c>
      <c r="L532" s="4">
        <f>SUMIFS(df_mutuos!N:N,df_mutuos!B:B,Conciliacao!A532)*(-1)</f>
        <v/>
      </c>
      <c r="M532" s="8">
        <f>SUMIFS(df_bloqueios_judiciais!G:G,df_bloqueios_judiciais!D:D,Conciliacao!A532,df_bloqueios_judiciais!G:G,"&lt;0")</f>
        <v/>
      </c>
      <c r="N532" s="10">
        <f>SUMIFS(df_extratos!I:I,df_extratos!F:F,Conciliacao!BE532,df_extratos!G:G,"DEBITO")+SUMIFS(df_extratos!I:I,df_extratos!F:F,Conciliacao!A532,df_extratos!G:G,"DEBITO")+SUMIFS(df_extratos!I:I,df_extratos!F:F,Conciliacao!BF532,df_extratos!G:G,"DEBITO")+SUMIFS(df_extratos!I:I,df_extratos!F:F,Conciliacao!BG532,df_extratos!G:G,"DEBITO")+SUMIFS(df_extratos!I:I,df_extratos!F:F,Conciliacao!BH532,df_extratos!G:G,"DEBITO")</f>
        <v/>
      </c>
      <c r="O532" s="11">
        <f>N532-SUM(J532:M532)</f>
        <v/>
      </c>
      <c r="P532" s="25">
        <f>SUMIFS(df_ajustes_conciliaco!D:D,df_ajustes_conciliaco!C:C,Conciliacao!A532)</f>
        <v/>
      </c>
      <c r="Q532" s="22">
        <f>O532+I532-P532</f>
        <v/>
      </c>
    </row>
    <row r="533">
      <c r="A533" s="5">
        <f>A532+1</f>
        <v/>
      </c>
      <c r="B533" s="3">
        <f>-SUMIFS(df_extrato_zig!G:G,df_extrato_zig!E:E,Conciliacao!A533,df_extrato_zig!D:D,"Saque")-SUMIFS(df_extrato_zig!G:G,df_extrato_zig!E:E,Conciliacao!A533,df_extrato_zig!D:D,"Antecipação")</f>
        <v/>
      </c>
      <c r="C533" s="3">
        <f>SUMIFS(df_extrato_zig!E:E,df_extrato_zig!L:L,Conciliacao!A533,df_extrato_zig!F:F,"DINHEIRO")</f>
        <v/>
      </c>
      <c r="D533" s="3">
        <f>SUMIFS(view_parc_agrup!H:H,view_parc_agrup!G:G,Conciliacao!A533)</f>
        <v/>
      </c>
      <c r="E533" s="3">
        <f>SUMIFS(df_eventos!F:F,df_eventos!H:H,Conciliacao!A533)</f>
        <v/>
      </c>
      <c r="F533" s="3">
        <f>SUMIFS(df_mutuos!M:M,df_mutuos!B:B,Conciliacao!A533)</f>
        <v/>
      </c>
      <c r="G533" s="6">
        <f>SUMIFS(df_bloqueios_judiciais!G:G,df_bloqueios_judiciais!D:D,Conciliacao!A533,df_bloqueios_judiciais!G:G,"&gt;0")</f>
        <v/>
      </c>
      <c r="H533" s="7">
        <f>SUMIFS(df_extratos!I:I,df_extratos!F:F,Conciliacao!BE533,df_extratos!G:G,"CREDITO")+SUMIFS(df_extratos!I:I,df_extratos!F:F,Conciliacao!A533,df_extratos!G:G,"CREDITO")+SUMIFS(df_extratos!I:I,df_extratos!F:F,Conciliacao!BF533,df_extratos!G:G,"CREDITO")+SUMIFS(df_extratos!I:I,df_extratos!F:F,Conciliacao!BG533,df_extratos!G:G,"CREDITO")+SUMIFS(df_extratos!I:I,df_extratos!F:F,Conciliacao!BH533,df_extratos!G:G,"CREDITO")</f>
        <v/>
      </c>
      <c r="I533" s="9">
        <f>H533-SUM(B533:G533)</f>
        <v/>
      </c>
      <c r="J533" s="4">
        <f>SUMIFS(df_blueme_sem_parcelamento!E:E,df_blueme_sem_parcelamento!H:H,Conciliacao!A533)*(-1)</f>
        <v/>
      </c>
      <c r="K533" s="4">
        <f>SUMIFS(df_blueme_com_parcelamento!J:J,df_blueme_com_parcelamento!M:M,Conciliacao!A533)*(-1)</f>
        <v/>
      </c>
      <c r="L533" s="4">
        <f>SUMIFS(df_mutuos!N:N,df_mutuos!B:B,Conciliacao!A533)*(-1)</f>
        <v/>
      </c>
      <c r="M533" s="8">
        <f>SUMIFS(df_bloqueios_judiciais!G:G,df_bloqueios_judiciais!D:D,Conciliacao!A533,df_bloqueios_judiciais!G:G,"&lt;0")</f>
        <v/>
      </c>
      <c r="N533" s="10">
        <f>SUMIFS(df_extratos!I:I,df_extratos!F:F,Conciliacao!BE533,df_extratos!G:G,"DEBITO")+SUMIFS(df_extratos!I:I,df_extratos!F:F,Conciliacao!A533,df_extratos!G:G,"DEBITO")+SUMIFS(df_extratos!I:I,df_extratos!F:F,Conciliacao!BF533,df_extratos!G:G,"DEBITO")+SUMIFS(df_extratos!I:I,df_extratos!F:F,Conciliacao!BG533,df_extratos!G:G,"DEBITO")+SUMIFS(df_extratos!I:I,df_extratos!F:F,Conciliacao!BH533,df_extratos!G:G,"DEBITO")</f>
        <v/>
      </c>
      <c r="O533" s="11">
        <f>N533-SUM(J533:M533)</f>
        <v/>
      </c>
      <c r="P533" s="25">
        <f>SUMIFS(df_ajustes_conciliaco!D:D,df_ajustes_conciliaco!C:C,Conciliacao!A533)</f>
        <v/>
      </c>
      <c r="Q533" s="22">
        <f>O533+I533-P533</f>
        <v/>
      </c>
    </row>
    <row r="534">
      <c r="A534" s="5">
        <f>A533+1</f>
        <v/>
      </c>
      <c r="B534" s="3">
        <f>-SUMIFS(df_extrato_zig!G:G,df_extrato_zig!E:E,Conciliacao!A534,df_extrato_zig!D:D,"Saque")-SUMIFS(df_extrato_zig!G:G,df_extrato_zig!E:E,Conciliacao!A534,df_extrato_zig!D:D,"Antecipação")</f>
        <v/>
      </c>
      <c r="C534" s="3">
        <f>SUMIFS(df_extrato_zig!E:E,df_extrato_zig!L:L,Conciliacao!A534,df_extrato_zig!F:F,"DINHEIRO")</f>
        <v/>
      </c>
      <c r="D534" s="3">
        <f>SUMIFS(view_parc_agrup!H:H,view_parc_agrup!G:G,Conciliacao!A534)</f>
        <v/>
      </c>
      <c r="E534" s="3">
        <f>SUMIFS(df_eventos!F:F,df_eventos!H:H,Conciliacao!A534)</f>
        <v/>
      </c>
      <c r="F534" s="3">
        <f>SUMIFS(df_mutuos!M:M,df_mutuos!B:B,Conciliacao!A534)</f>
        <v/>
      </c>
      <c r="G534" s="6">
        <f>SUMIFS(df_bloqueios_judiciais!G:G,df_bloqueios_judiciais!D:D,Conciliacao!A534,df_bloqueios_judiciais!G:G,"&gt;0")</f>
        <v/>
      </c>
      <c r="H534" s="7">
        <f>SUMIFS(df_extratos!I:I,df_extratos!F:F,Conciliacao!BE534,df_extratos!G:G,"CREDITO")+SUMIFS(df_extratos!I:I,df_extratos!F:F,Conciliacao!A534,df_extratos!G:G,"CREDITO")+SUMIFS(df_extratos!I:I,df_extratos!F:F,Conciliacao!BF534,df_extratos!G:G,"CREDITO")+SUMIFS(df_extratos!I:I,df_extratos!F:F,Conciliacao!BG534,df_extratos!G:G,"CREDITO")+SUMIFS(df_extratos!I:I,df_extratos!F:F,Conciliacao!BH534,df_extratos!G:G,"CREDITO")</f>
        <v/>
      </c>
      <c r="I534" s="9">
        <f>H534-SUM(B534:G534)</f>
        <v/>
      </c>
      <c r="J534" s="4">
        <f>SUMIFS(df_blueme_sem_parcelamento!E:E,df_blueme_sem_parcelamento!H:H,Conciliacao!A534)*(-1)</f>
        <v/>
      </c>
      <c r="K534" s="4">
        <f>SUMIFS(df_blueme_com_parcelamento!J:J,df_blueme_com_parcelamento!M:M,Conciliacao!A534)*(-1)</f>
        <v/>
      </c>
      <c r="L534" s="4">
        <f>SUMIFS(df_mutuos!N:N,df_mutuos!B:B,Conciliacao!A534)*(-1)</f>
        <v/>
      </c>
      <c r="M534" s="8">
        <f>SUMIFS(df_bloqueios_judiciais!G:G,df_bloqueios_judiciais!D:D,Conciliacao!A534,df_bloqueios_judiciais!G:G,"&lt;0")</f>
        <v/>
      </c>
      <c r="N534" s="10">
        <f>SUMIFS(df_extratos!I:I,df_extratos!F:F,Conciliacao!BE534,df_extratos!G:G,"DEBITO")+SUMIFS(df_extratos!I:I,df_extratos!F:F,Conciliacao!A534,df_extratos!G:G,"DEBITO")+SUMIFS(df_extratos!I:I,df_extratos!F:F,Conciliacao!BF534,df_extratos!G:G,"DEBITO")+SUMIFS(df_extratos!I:I,df_extratos!F:F,Conciliacao!BG534,df_extratos!G:G,"DEBITO")+SUMIFS(df_extratos!I:I,df_extratos!F:F,Conciliacao!BH534,df_extratos!G:G,"DEBITO")</f>
        <v/>
      </c>
      <c r="O534" s="11">
        <f>N534-SUM(J534:M534)</f>
        <v/>
      </c>
      <c r="P534" s="25">
        <f>SUMIFS(df_ajustes_conciliaco!D:D,df_ajustes_conciliaco!C:C,Conciliacao!A534)</f>
        <v/>
      </c>
      <c r="Q534" s="22">
        <f>O534+I534-P534</f>
        <v/>
      </c>
    </row>
    <row r="535">
      <c r="A535" s="5">
        <f>A534+1</f>
        <v/>
      </c>
      <c r="B535" s="3">
        <f>-SUMIFS(df_extrato_zig!G:G,df_extrato_zig!E:E,Conciliacao!A535,df_extrato_zig!D:D,"Saque")-SUMIFS(df_extrato_zig!G:G,df_extrato_zig!E:E,Conciliacao!A535,df_extrato_zig!D:D,"Antecipação")</f>
        <v/>
      </c>
      <c r="C535" s="3">
        <f>SUMIFS(df_extrato_zig!E:E,df_extrato_zig!L:L,Conciliacao!A535,df_extrato_zig!F:F,"DINHEIRO")</f>
        <v/>
      </c>
      <c r="D535" s="3">
        <f>SUMIFS(view_parc_agrup!H:H,view_parc_agrup!G:G,Conciliacao!A535)</f>
        <v/>
      </c>
      <c r="E535" s="3">
        <f>SUMIFS(df_eventos!F:F,df_eventos!H:H,Conciliacao!A535)</f>
        <v/>
      </c>
      <c r="F535" s="3">
        <f>SUMIFS(df_mutuos!M:M,df_mutuos!B:B,Conciliacao!A535)</f>
        <v/>
      </c>
      <c r="G535" s="6">
        <f>SUMIFS(df_bloqueios_judiciais!G:G,df_bloqueios_judiciais!D:D,Conciliacao!A535,df_bloqueios_judiciais!G:G,"&gt;0")</f>
        <v/>
      </c>
      <c r="H535" s="7">
        <f>SUMIFS(df_extratos!I:I,df_extratos!F:F,Conciliacao!BE535,df_extratos!G:G,"CREDITO")+SUMIFS(df_extratos!I:I,df_extratos!F:F,Conciliacao!A535,df_extratos!G:G,"CREDITO")+SUMIFS(df_extratos!I:I,df_extratos!F:F,Conciliacao!BF535,df_extratos!G:G,"CREDITO")+SUMIFS(df_extratos!I:I,df_extratos!F:F,Conciliacao!BG535,df_extratos!G:G,"CREDITO")+SUMIFS(df_extratos!I:I,df_extratos!F:F,Conciliacao!BH535,df_extratos!G:G,"CREDITO")</f>
        <v/>
      </c>
      <c r="I535" s="9">
        <f>H535-SUM(B535:G535)</f>
        <v/>
      </c>
      <c r="J535" s="4">
        <f>SUMIFS(df_blueme_sem_parcelamento!E:E,df_blueme_sem_parcelamento!H:H,Conciliacao!A535)*(-1)</f>
        <v/>
      </c>
      <c r="K535" s="4">
        <f>SUMIFS(df_blueme_com_parcelamento!J:J,df_blueme_com_parcelamento!M:M,Conciliacao!A535)*(-1)</f>
        <v/>
      </c>
      <c r="L535" s="4">
        <f>SUMIFS(df_mutuos!N:N,df_mutuos!B:B,Conciliacao!A535)*(-1)</f>
        <v/>
      </c>
      <c r="M535" s="8">
        <f>SUMIFS(df_bloqueios_judiciais!G:G,df_bloqueios_judiciais!D:D,Conciliacao!A535,df_bloqueios_judiciais!G:G,"&lt;0")</f>
        <v/>
      </c>
      <c r="N535" s="10">
        <f>SUMIFS(df_extratos!I:I,df_extratos!F:F,Conciliacao!BE535,df_extratos!G:G,"DEBITO")+SUMIFS(df_extratos!I:I,df_extratos!F:F,Conciliacao!A535,df_extratos!G:G,"DEBITO")+SUMIFS(df_extratos!I:I,df_extratos!F:F,Conciliacao!BF535,df_extratos!G:G,"DEBITO")+SUMIFS(df_extratos!I:I,df_extratos!F:F,Conciliacao!BG535,df_extratos!G:G,"DEBITO")+SUMIFS(df_extratos!I:I,df_extratos!F:F,Conciliacao!BH535,df_extratos!G:G,"DEBITO")</f>
        <v/>
      </c>
      <c r="O535" s="11">
        <f>N535-SUM(J535:M535)</f>
        <v/>
      </c>
      <c r="P535" s="25">
        <f>SUMIFS(df_ajustes_conciliaco!D:D,df_ajustes_conciliaco!C:C,Conciliacao!A535)</f>
        <v/>
      </c>
      <c r="Q535" s="22">
        <f>O535+I535-P535</f>
        <v/>
      </c>
    </row>
    <row r="536">
      <c r="A536" s="5">
        <f>A535+1</f>
        <v/>
      </c>
      <c r="B536" s="3">
        <f>-SUMIFS(df_extrato_zig!G:G,df_extrato_zig!E:E,Conciliacao!A536,df_extrato_zig!D:D,"Saque")-SUMIFS(df_extrato_zig!G:G,df_extrato_zig!E:E,Conciliacao!A536,df_extrato_zig!D:D,"Antecipação")</f>
        <v/>
      </c>
      <c r="C536" s="3">
        <f>SUMIFS(df_extrato_zig!E:E,df_extrato_zig!L:L,Conciliacao!A536,df_extrato_zig!F:F,"DINHEIRO")</f>
        <v/>
      </c>
      <c r="D536" s="3">
        <f>SUMIFS(view_parc_agrup!H:H,view_parc_agrup!G:G,Conciliacao!A536)</f>
        <v/>
      </c>
      <c r="E536" s="3">
        <f>SUMIFS(df_eventos!F:F,df_eventos!H:H,Conciliacao!A536)</f>
        <v/>
      </c>
      <c r="F536" s="3">
        <f>SUMIFS(df_mutuos!M:M,df_mutuos!B:B,Conciliacao!A536)</f>
        <v/>
      </c>
      <c r="G536" s="6">
        <f>SUMIFS(df_bloqueios_judiciais!G:G,df_bloqueios_judiciais!D:D,Conciliacao!A536,df_bloqueios_judiciais!G:G,"&gt;0")</f>
        <v/>
      </c>
      <c r="H536" s="7">
        <f>SUMIFS(df_extratos!I:I,df_extratos!F:F,Conciliacao!BE536,df_extratos!G:G,"CREDITO")+SUMIFS(df_extratos!I:I,df_extratos!F:F,Conciliacao!A536,df_extratos!G:G,"CREDITO")+SUMIFS(df_extratos!I:I,df_extratos!F:F,Conciliacao!BF536,df_extratos!G:G,"CREDITO")+SUMIFS(df_extratos!I:I,df_extratos!F:F,Conciliacao!BG536,df_extratos!G:G,"CREDITO")+SUMIFS(df_extratos!I:I,df_extratos!F:F,Conciliacao!BH536,df_extratos!G:G,"CREDITO")</f>
        <v/>
      </c>
      <c r="I536" s="9">
        <f>H536-SUM(B536:G536)</f>
        <v/>
      </c>
      <c r="J536" s="4">
        <f>SUMIFS(df_blueme_sem_parcelamento!E:E,df_blueme_sem_parcelamento!H:H,Conciliacao!A536)*(-1)</f>
        <v/>
      </c>
      <c r="K536" s="4">
        <f>SUMIFS(df_blueme_com_parcelamento!J:J,df_blueme_com_parcelamento!M:M,Conciliacao!A536)*(-1)</f>
        <v/>
      </c>
      <c r="L536" s="4">
        <f>SUMIFS(df_mutuos!N:N,df_mutuos!B:B,Conciliacao!A536)*(-1)</f>
        <v/>
      </c>
      <c r="M536" s="8">
        <f>SUMIFS(df_bloqueios_judiciais!G:G,df_bloqueios_judiciais!D:D,Conciliacao!A536,df_bloqueios_judiciais!G:G,"&lt;0")</f>
        <v/>
      </c>
      <c r="N536" s="10">
        <f>SUMIFS(df_extratos!I:I,df_extratos!F:F,Conciliacao!BE536,df_extratos!G:G,"DEBITO")+SUMIFS(df_extratos!I:I,df_extratos!F:F,Conciliacao!A536,df_extratos!G:G,"DEBITO")+SUMIFS(df_extratos!I:I,df_extratos!F:F,Conciliacao!BF536,df_extratos!G:G,"DEBITO")+SUMIFS(df_extratos!I:I,df_extratos!F:F,Conciliacao!BG536,df_extratos!G:G,"DEBITO")+SUMIFS(df_extratos!I:I,df_extratos!F:F,Conciliacao!BH536,df_extratos!G:G,"DEBITO")</f>
        <v/>
      </c>
      <c r="O536" s="11">
        <f>N536-SUM(J536:M536)</f>
        <v/>
      </c>
      <c r="P536" s="25">
        <f>SUMIFS(df_ajustes_conciliaco!D:D,df_ajustes_conciliaco!C:C,Conciliacao!A536)</f>
        <v/>
      </c>
      <c r="Q536" s="22">
        <f>O536+I536-P536</f>
        <v/>
      </c>
    </row>
    <row r="537">
      <c r="A537" s="5">
        <f>A536+1</f>
        <v/>
      </c>
      <c r="B537" s="3">
        <f>-SUMIFS(df_extrato_zig!G:G,df_extrato_zig!E:E,Conciliacao!A537,df_extrato_zig!D:D,"Saque")-SUMIFS(df_extrato_zig!G:G,df_extrato_zig!E:E,Conciliacao!A537,df_extrato_zig!D:D,"Antecipação")</f>
        <v/>
      </c>
      <c r="C537" s="3">
        <f>SUMIFS(df_extrato_zig!E:E,df_extrato_zig!L:L,Conciliacao!A537,df_extrato_zig!F:F,"DINHEIRO")</f>
        <v/>
      </c>
      <c r="D537" s="3">
        <f>SUMIFS(view_parc_agrup!H:H,view_parc_agrup!G:G,Conciliacao!A537)</f>
        <v/>
      </c>
      <c r="E537" s="3">
        <f>SUMIFS(df_eventos!F:F,df_eventos!H:H,Conciliacao!A537)</f>
        <v/>
      </c>
      <c r="F537" s="3">
        <f>SUMIFS(df_mutuos!M:M,df_mutuos!B:B,Conciliacao!A537)</f>
        <v/>
      </c>
      <c r="G537" s="6">
        <f>SUMIFS(df_bloqueios_judiciais!G:G,df_bloqueios_judiciais!D:D,Conciliacao!A537,df_bloqueios_judiciais!G:G,"&gt;0")</f>
        <v/>
      </c>
      <c r="H537" s="7">
        <f>SUMIFS(df_extratos!I:I,df_extratos!F:F,Conciliacao!BE537,df_extratos!G:G,"CREDITO")+SUMIFS(df_extratos!I:I,df_extratos!F:F,Conciliacao!A537,df_extratos!G:G,"CREDITO")+SUMIFS(df_extratos!I:I,df_extratos!F:F,Conciliacao!BF537,df_extratos!G:G,"CREDITO")+SUMIFS(df_extratos!I:I,df_extratos!F:F,Conciliacao!BG537,df_extratos!G:G,"CREDITO")+SUMIFS(df_extratos!I:I,df_extratos!F:F,Conciliacao!BH537,df_extratos!G:G,"CREDITO")</f>
        <v/>
      </c>
      <c r="I537" s="9">
        <f>H537-SUM(B537:G537)</f>
        <v/>
      </c>
      <c r="J537" s="4">
        <f>SUMIFS(df_blueme_sem_parcelamento!E:E,df_blueme_sem_parcelamento!H:H,Conciliacao!A537)*(-1)</f>
        <v/>
      </c>
      <c r="K537" s="4">
        <f>SUMIFS(df_blueme_com_parcelamento!J:J,df_blueme_com_parcelamento!M:M,Conciliacao!A537)*(-1)</f>
        <v/>
      </c>
      <c r="L537" s="4">
        <f>SUMIFS(df_mutuos!N:N,df_mutuos!B:B,Conciliacao!A537)*(-1)</f>
        <v/>
      </c>
      <c r="M537" s="8">
        <f>SUMIFS(df_bloqueios_judiciais!G:G,df_bloqueios_judiciais!D:D,Conciliacao!A537,df_bloqueios_judiciais!G:G,"&lt;0")</f>
        <v/>
      </c>
      <c r="N537" s="10">
        <f>SUMIFS(df_extratos!I:I,df_extratos!F:F,Conciliacao!BE537,df_extratos!G:G,"DEBITO")+SUMIFS(df_extratos!I:I,df_extratos!F:F,Conciliacao!A537,df_extratos!G:G,"DEBITO")+SUMIFS(df_extratos!I:I,df_extratos!F:F,Conciliacao!BF537,df_extratos!G:G,"DEBITO")+SUMIFS(df_extratos!I:I,df_extratos!F:F,Conciliacao!BG537,df_extratos!G:G,"DEBITO")+SUMIFS(df_extratos!I:I,df_extratos!F:F,Conciliacao!BH537,df_extratos!G:G,"DEBITO")</f>
        <v/>
      </c>
      <c r="O537" s="11">
        <f>N537-SUM(J537:M537)</f>
        <v/>
      </c>
      <c r="P537" s="25">
        <f>SUMIFS(df_ajustes_conciliaco!D:D,df_ajustes_conciliaco!C:C,Conciliacao!A537)</f>
        <v/>
      </c>
      <c r="Q537" s="22">
        <f>O537+I537-P537</f>
        <v/>
      </c>
    </row>
    <row r="538">
      <c r="A538" s="5">
        <f>A537+1</f>
        <v/>
      </c>
      <c r="B538" s="3">
        <f>-SUMIFS(df_extrato_zig!G:G,df_extrato_zig!E:E,Conciliacao!A538,df_extrato_zig!D:D,"Saque")-SUMIFS(df_extrato_zig!G:G,df_extrato_zig!E:E,Conciliacao!A538,df_extrato_zig!D:D,"Antecipação")</f>
        <v/>
      </c>
      <c r="C538" s="3">
        <f>SUMIFS(df_extrato_zig!E:E,df_extrato_zig!L:L,Conciliacao!A538,df_extrato_zig!F:F,"DINHEIRO")</f>
        <v/>
      </c>
      <c r="D538" s="3">
        <f>SUMIFS(view_parc_agrup!H:H,view_parc_agrup!G:G,Conciliacao!A538)</f>
        <v/>
      </c>
      <c r="E538" s="3">
        <f>SUMIFS(df_eventos!F:F,df_eventos!H:H,Conciliacao!A538)</f>
        <v/>
      </c>
      <c r="F538" s="3">
        <f>SUMIFS(df_mutuos!M:M,df_mutuos!B:B,Conciliacao!A538)</f>
        <v/>
      </c>
      <c r="G538" s="6">
        <f>SUMIFS(df_bloqueios_judiciais!G:G,df_bloqueios_judiciais!D:D,Conciliacao!A538,df_bloqueios_judiciais!G:G,"&gt;0")</f>
        <v/>
      </c>
      <c r="H538" s="7">
        <f>SUMIFS(df_extratos!I:I,df_extratos!F:F,Conciliacao!BE538,df_extratos!G:G,"CREDITO")+SUMIFS(df_extratos!I:I,df_extratos!F:F,Conciliacao!A538,df_extratos!G:G,"CREDITO")+SUMIFS(df_extratos!I:I,df_extratos!F:F,Conciliacao!BF538,df_extratos!G:G,"CREDITO")+SUMIFS(df_extratos!I:I,df_extratos!F:F,Conciliacao!BG538,df_extratos!G:G,"CREDITO")+SUMIFS(df_extratos!I:I,df_extratos!F:F,Conciliacao!BH538,df_extratos!G:G,"CREDITO")</f>
        <v/>
      </c>
      <c r="I538" s="9">
        <f>H538-SUM(B538:G538)</f>
        <v/>
      </c>
      <c r="J538" s="4">
        <f>SUMIFS(df_blueme_sem_parcelamento!E:E,df_blueme_sem_parcelamento!H:H,Conciliacao!A538)*(-1)</f>
        <v/>
      </c>
      <c r="K538" s="4">
        <f>SUMIFS(df_blueme_com_parcelamento!J:J,df_blueme_com_parcelamento!M:M,Conciliacao!A538)*(-1)</f>
        <v/>
      </c>
      <c r="L538" s="4">
        <f>SUMIFS(df_mutuos!N:N,df_mutuos!B:B,Conciliacao!A538)*(-1)</f>
        <v/>
      </c>
      <c r="M538" s="8">
        <f>SUMIFS(df_bloqueios_judiciais!G:G,df_bloqueios_judiciais!D:D,Conciliacao!A538,df_bloqueios_judiciais!G:G,"&lt;0")</f>
        <v/>
      </c>
      <c r="N538" s="10">
        <f>SUMIFS(df_extratos!I:I,df_extratos!F:F,Conciliacao!BE538,df_extratos!G:G,"DEBITO")+SUMIFS(df_extratos!I:I,df_extratos!F:F,Conciliacao!A538,df_extratos!G:G,"DEBITO")+SUMIFS(df_extratos!I:I,df_extratos!F:F,Conciliacao!BF538,df_extratos!G:G,"DEBITO")+SUMIFS(df_extratos!I:I,df_extratos!F:F,Conciliacao!BG538,df_extratos!G:G,"DEBITO")+SUMIFS(df_extratos!I:I,df_extratos!F:F,Conciliacao!BH538,df_extratos!G:G,"DEBITO")</f>
        <v/>
      </c>
      <c r="O538" s="11">
        <f>N538-SUM(J538:M538)</f>
        <v/>
      </c>
      <c r="P538" s="25">
        <f>SUMIFS(df_ajustes_conciliaco!D:D,df_ajustes_conciliaco!C:C,Conciliacao!A538)</f>
        <v/>
      </c>
      <c r="Q538" s="22">
        <f>O538+I538-P538</f>
        <v/>
      </c>
    </row>
    <row r="539">
      <c r="A539" s="5">
        <f>A538+1</f>
        <v/>
      </c>
      <c r="B539" s="3">
        <f>-SUMIFS(df_extrato_zig!G:G,df_extrato_zig!E:E,Conciliacao!A539,df_extrato_zig!D:D,"Saque")-SUMIFS(df_extrato_zig!G:G,df_extrato_zig!E:E,Conciliacao!A539,df_extrato_zig!D:D,"Antecipação")</f>
        <v/>
      </c>
      <c r="C539" s="3">
        <f>SUMIFS(df_extrato_zig!E:E,df_extrato_zig!L:L,Conciliacao!A539,df_extrato_zig!F:F,"DINHEIRO")</f>
        <v/>
      </c>
      <c r="D539" s="3">
        <f>SUMIFS(view_parc_agrup!H:H,view_parc_agrup!G:G,Conciliacao!A539)</f>
        <v/>
      </c>
      <c r="E539" s="3">
        <f>SUMIFS(df_eventos!F:F,df_eventos!H:H,Conciliacao!A539)</f>
        <v/>
      </c>
      <c r="F539" s="3">
        <f>SUMIFS(df_mutuos!M:M,df_mutuos!B:B,Conciliacao!A539)</f>
        <v/>
      </c>
      <c r="G539" s="6">
        <f>SUMIFS(df_bloqueios_judiciais!G:G,df_bloqueios_judiciais!D:D,Conciliacao!A539,df_bloqueios_judiciais!G:G,"&gt;0")</f>
        <v/>
      </c>
      <c r="H539" s="7">
        <f>SUMIFS(df_extratos!I:I,df_extratos!F:F,Conciliacao!BE539,df_extratos!G:G,"CREDITO")+SUMIFS(df_extratos!I:I,df_extratos!F:F,Conciliacao!A539,df_extratos!G:G,"CREDITO")+SUMIFS(df_extratos!I:I,df_extratos!F:F,Conciliacao!BF539,df_extratos!G:G,"CREDITO")+SUMIFS(df_extratos!I:I,df_extratos!F:F,Conciliacao!BG539,df_extratos!G:G,"CREDITO")+SUMIFS(df_extratos!I:I,df_extratos!F:F,Conciliacao!BH539,df_extratos!G:G,"CREDITO")</f>
        <v/>
      </c>
      <c r="I539" s="9">
        <f>H539-SUM(B539:G539)</f>
        <v/>
      </c>
      <c r="J539" s="4">
        <f>SUMIFS(df_blueme_sem_parcelamento!E:E,df_blueme_sem_parcelamento!H:H,Conciliacao!A539)*(-1)</f>
        <v/>
      </c>
      <c r="K539" s="4">
        <f>SUMIFS(df_blueme_com_parcelamento!J:J,df_blueme_com_parcelamento!M:M,Conciliacao!A539)*(-1)</f>
        <v/>
      </c>
      <c r="L539" s="4">
        <f>SUMIFS(df_mutuos!N:N,df_mutuos!B:B,Conciliacao!A539)*(-1)</f>
        <v/>
      </c>
      <c r="M539" s="8">
        <f>SUMIFS(df_bloqueios_judiciais!G:G,df_bloqueios_judiciais!D:D,Conciliacao!A539,df_bloqueios_judiciais!G:G,"&lt;0")</f>
        <v/>
      </c>
      <c r="N539" s="10">
        <f>SUMIFS(df_extratos!I:I,df_extratos!F:F,Conciliacao!BE539,df_extratos!G:G,"DEBITO")+SUMIFS(df_extratos!I:I,df_extratos!F:F,Conciliacao!A539,df_extratos!G:G,"DEBITO")+SUMIFS(df_extratos!I:I,df_extratos!F:F,Conciliacao!BF539,df_extratos!G:G,"DEBITO")+SUMIFS(df_extratos!I:I,df_extratos!F:F,Conciliacao!BG539,df_extratos!G:G,"DEBITO")+SUMIFS(df_extratos!I:I,df_extratos!F:F,Conciliacao!BH539,df_extratos!G:G,"DEBITO")</f>
        <v/>
      </c>
      <c r="O539" s="11">
        <f>N539-SUM(J539:M539)</f>
        <v/>
      </c>
      <c r="P539" s="25">
        <f>SUMIFS(df_ajustes_conciliaco!D:D,df_ajustes_conciliaco!C:C,Conciliacao!A539)</f>
        <v/>
      </c>
      <c r="Q539" s="22">
        <f>O539+I539-P539</f>
        <v/>
      </c>
    </row>
    <row r="540">
      <c r="A540" s="5">
        <f>A539+1</f>
        <v/>
      </c>
      <c r="B540" s="3">
        <f>-SUMIFS(df_extrato_zig!G:G,df_extrato_zig!E:E,Conciliacao!A540,df_extrato_zig!D:D,"Saque")-SUMIFS(df_extrato_zig!G:G,df_extrato_zig!E:E,Conciliacao!A540,df_extrato_zig!D:D,"Antecipação")</f>
        <v/>
      </c>
      <c r="C540" s="3">
        <f>SUMIFS(df_extrato_zig!E:E,df_extrato_zig!L:L,Conciliacao!A540,df_extrato_zig!F:F,"DINHEIRO")</f>
        <v/>
      </c>
      <c r="D540" s="3">
        <f>SUMIFS(view_parc_agrup!H:H,view_parc_agrup!G:G,Conciliacao!A540)</f>
        <v/>
      </c>
      <c r="E540" s="3">
        <f>SUMIFS(df_eventos!F:F,df_eventos!H:H,Conciliacao!A540)</f>
        <v/>
      </c>
      <c r="F540" s="3">
        <f>SUMIFS(df_mutuos!M:M,df_mutuos!B:B,Conciliacao!A540)</f>
        <v/>
      </c>
      <c r="G540" s="6">
        <f>SUMIFS(df_bloqueios_judiciais!G:G,df_bloqueios_judiciais!D:D,Conciliacao!A540,df_bloqueios_judiciais!G:G,"&gt;0")</f>
        <v/>
      </c>
      <c r="H540" s="7">
        <f>SUMIFS(df_extratos!I:I,df_extratos!F:F,Conciliacao!BE540,df_extratos!G:G,"CREDITO")+SUMIFS(df_extratos!I:I,df_extratos!F:F,Conciliacao!A540,df_extratos!G:G,"CREDITO")+SUMIFS(df_extratos!I:I,df_extratos!F:F,Conciliacao!BF540,df_extratos!G:G,"CREDITO")+SUMIFS(df_extratos!I:I,df_extratos!F:F,Conciliacao!BG540,df_extratos!G:G,"CREDITO")+SUMIFS(df_extratos!I:I,df_extratos!F:F,Conciliacao!BH540,df_extratos!G:G,"CREDITO")</f>
        <v/>
      </c>
      <c r="I540" s="9">
        <f>H540-SUM(B540:G540)</f>
        <v/>
      </c>
      <c r="J540" s="4">
        <f>SUMIFS(df_blueme_sem_parcelamento!E:E,df_blueme_sem_parcelamento!H:H,Conciliacao!A540)*(-1)</f>
        <v/>
      </c>
      <c r="K540" s="4">
        <f>SUMIFS(df_blueme_com_parcelamento!J:J,df_blueme_com_parcelamento!M:M,Conciliacao!A540)*(-1)</f>
        <v/>
      </c>
      <c r="L540" s="4">
        <f>SUMIFS(df_mutuos!N:N,df_mutuos!B:B,Conciliacao!A540)*(-1)</f>
        <v/>
      </c>
      <c r="M540" s="8">
        <f>SUMIFS(df_bloqueios_judiciais!G:G,df_bloqueios_judiciais!D:D,Conciliacao!A540,df_bloqueios_judiciais!G:G,"&lt;0")</f>
        <v/>
      </c>
      <c r="N540" s="10">
        <f>SUMIFS(df_extratos!I:I,df_extratos!F:F,Conciliacao!BE540,df_extratos!G:G,"DEBITO")+SUMIFS(df_extratos!I:I,df_extratos!F:F,Conciliacao!A540,df_extratos!G:G,"DEBITO")+SUMIFS(df_extratos!I:I,df_extratos!F:F,Conciliacao!BF540,df_extratos!G:G,"DEBITO")+SUMIFS(df_extratos!I:I,df_extratos!F:F,Conciliacao!BG540,df_extratos!G:G,"DEBITO")+SUMIFS(df_extratos!I:I,df_extratos!F:F,Conciliacao!BH540,df_extratos!G:G,"DEBITO")</f>
        <v/>
      </c>
      <c r="O540" s="11">
        <f>N540-SUM(J540:M540)</f>
        <v/>
      </c>
      <c r="P540" s="25">
        <f>SUMIFS(df_ajustes_conciliaco!D:D,df_ajustes_conciliaco!C:C,Conciliacao!A540)</f>
        <v/>
      </c>
      <c r="Q540" s="22">
        <f>O540+I540-P540</f>
        <v/>
      </c>
    </row>
    <row r="541">
      <c r="A541" s="5">
        <f>A540+1</f>
        <v/>
      </c>
      <c r="B541" s="3">
        <f>-SUMIFS(df_extrato_zig!G:G,df_extrato_zig!E:E,Conciliacao!A541,df_extrato_zig!D:D,"Saque")-SUMIFS(df_extrato_zig!G:G,df_extrato_zig!E:E,Conciliacao!A541,df_extrato_zig!D:D,"Antecipação")</f>
        <v/>
      </c>
      <c r="C541" s="3">
        <f>SUMIFS(df_extrato_zig!E:E,df_extrato_zig!L:L,Conciliacao!A541,df_extrato_zig!F:F,"DINHEIRO")</f>
        <v/>
      </c>
      <c r="D541" s="3">
        <f>SUMIFS(view_parc_agrup!H:H,view_parc_agrup!G:G,Conciliacao!A541)</f>
        <v/>
      </c>
      <c r="E541" s="3">
        <f>SUMIFS(df_eventos!F:F,df_eventos!H:H,Conciliacao!A541)</f>
        <v/>
      </c>
      <c r="F541" s="3">
        <f>SUMIFS(df_mutuos!M:M,df_mutuos!B:B,Conciliacao!A541)</f>
        <v/>
      </c>
      <c r="G541" s="6">
        <f>SUMIFS(df_bloqueios_judiciais!G:G,df_bloqueios_judiciais!D:D,Conciliacao!A541,df_bloqueios_judiciais!G:G,"&gt;0")</f>
        <v/>
      </c>
      <c r="H541" s="7">
        <f>SUMIFS(df_extratos!I:I,df_extratos!F:F,Conciliacao!BE541,df_extratos!G:G,"CREDITO")+SUMIFS(df_extratos!I:I,df_extratos!F:F,Conciliacao!A541,df_extratos!G:G,"CREDITO")+SUMIFS(df_extratos!I:I,df_extratos!F:F,Conciliacao!BF541,df_extratos!G:G,"CREDITO")+SUMIFS(df_extratos!I:I,df_extratos!F:F,Conciliacao!BG541,df_extratos!G:G,"CREDITO")+SUMIFS(df_extratos!I:I,df_extratos!F:F,Conciliacao!BH541,df_extratos!G:G,"CREDITO")</f>
        <v/>
      </c>
      <c r="I541" s="9">
        <f>H541-SUM(B541:G541)</f>
        <v/>
      </c>
      <c r="J541" s="4">
        <f>SUMIFS(df_blueme_sem_parcelamento!E:E,df_blueme_sem_parcelamento!H:H,Conciliacao!A541)*(-1)</f>
        <v/>
      </c>
      <c r="K541" s="4">
        <f>SUMIFS(df_blueme_com_parcelamento!J:J,df_blueme_com_parcelamento!M:M,Conciliacao!A541)*(-1)</f>
        <v/>
      </c>
      <c r="L541" s="4">
        <f>SUMIFS(df_mutuos!N:N,df_mutuos!B:B,Conciliacao!A541)*(-1)</f>
        <v/>
      </c>
      <c r="M541" s="8">
        <f>SUMIFS(df_bloqueios_judiciais!G:G,df_bloqueios_judiciais!D:D,Conciliacao!A541,df_bloqueios_judiciais!G:G,"&lt;0")</f>
        <v/>
      </c>
      <c r="N541" s="10">
        <f>SUMIFS(df_extratos!I:I,df_extratos!F:F,Conciliacao!BE541,df_extratos!G:G,"DEBITO")+SUMIFS(df_extratos!I:I,df_extratos!F:F,Conciliacao!A541,df_extratos!G:G,"DEBITO")+SUMIFS(df_extratos!I:I,df_extratos!F:F,Conciliacao!BF541,df_extratos!G:G,"DEBITO")+SUMIFS(df_extratos!I:I,df_extratos!F:F,Conciliacao!BG541,df_extratos!G:G,"DEBITO")+SUMIFS(df_extratos!I:I,df_extratos!F:F,Conciliacao!BH541,df_extratos!G:G,"DEBITO")</f>
        <v/>
      </c>
      <c r="O541" s="11">
        <f>N541-SUM(J541:M541)</f>
        <v/>
      </c>
      <c r="P541" s="25">
        <f>SUMIFS(df_ajustes_conciliaco!D:D,df_ajustes_conciliaco!C:C,Conciliacao!A541)</f>
        <v/>
      </c>
      <c r="Q541" s="22">
        <f>O541+I541-P541</f>
        <v/>
      </c>
    </row>
    <row r="542">
      <c r="A542" s="5">
        <f>A541+1</f>
        <v/>
      </c>
      <c r="B542" s="3">
        <f>-SUMIFS(df_extrato_zig!G:G,df_extrato_zig!E:E,Conciliacao!A542,df_extrato_zig!D:D,"Saque")-SUMIFS(df_extrato_zig!G:G,df_extrato_zig!E:E,Conciliacao!A542,df_extrato_zig!D:D,"Antecipação")</f>
        <v/>
      </c>
      <c r="C542" s="3">
        <f>SUMIFS(df_extrato_zig!E:E,df_extrato_zig!L:L,Conciliacao!A542,df_extrato_zig!F:F,"DINHEIRO")</f>
        <v/>
      </c>
      <c r="D542" s="3">
        <f>SUMIFS(view_parc_agrup!H:H,view_parc_agrup!G:G,Conciliacao!A542)</f>
        <v/>
      </c>
      <c r="E542" s="3">
        <f>SUMIFS(df_eventos!F:F,df_eventos!H:H,Conciliacao!A542)</f>
        <v/>
      </c>
      <c r="F542" s="3">
        <f>SUMIFS(df_mutuos!M:M,df_mutuos!B:B,Conciliacao!A542)</f>
        <v/>
      </c>
      <c r="G542" s="6">
        <f>SUMIFS(df_bloqueios_judiciais!G:G,df_bloqueios_judiciais!D:D,Conciliacao!A542,df_bloqueios_judiciais!G:G,"&gt;0")</f>
        <v/>
      </c>
      <c r="H542" s="7">
        <f>SUMIFS(df_extratos!I:I,df_extratos!F:F,Conciliacao!BE542,df_extratos!G:G,"CREDITO")+SUMIFS(df_extratos!I:I,df_extratos!F:F,Conciliacao!A542,df_extratos!G:G,"CREDITO")+SUMIFS(df_extratos!I:I,df_extratos!F:F,Conciliacao!BF542,df_extratos!G:G,"CREDITO")+SUMIFS(df_extratos!I:I,df_extratos!F:F,Conciliacao!BG542,df_extratos!G:G,"CREDITO")+SUMIFS(df_extratos!I:I,df_extratos!F:F,Conciliacao!BH542,df_extratos!G:G,"CREDITO")</f>
        <v/>
      </c>
      <c r="I542" s="9">
        <f>H542-SUM(B542:G542)</f>
        <v/>
      </c>
      <c r="J542" s="4">
        <f>SUMIFS(df_blueme_sem_parcelamento!E:E,df_blueme_sem_parcelamento!H:H,Conciliacao!A542)*(-1)</f>
        <v/>
      </c>
      <c r="K542" s="4">
        <f>SUMIFS(df_blueme_com_parcelamento!J:J,df_blueme_com_parcelamento!M:M,Conciliacao!A542)*(-1)</f>
        <v/>
      </c>
      <c r="L542" s="4">
        <f>SUMIFS(df_mutuos!N:N,df_mutuos!B:B,Conciliacao!A542)*(-1)</f>
        <v/>
      </c>
      <c r="M542" s="8">
        <f>SUMIFS(df_bloqueios_judiciais!G:G,df_bloqueios_judiciais!D:D,Conciliacao!A542,df_bloqueios_judiciais!G:G,"&lt;0")</f>
        <v/>
      </c>
      <c r="N542" s="10">
        <f>SUMIFS(df_extratos!I:I,df_extratos!F:F,Conciliacao!BE542,df_extratos!G:G,"DEBITO")+SUMIFS(df_extratos!I:I,df_extratos!F:F,Conciliacao!A542,df_extratos!G:G,"DEBITO")+SUMIFS(df_extratos!I:I,df_extratos!F:F,Conciliacao!BF542,df_extratos!G:G,"DEBITO")+SUMIFS(df_extratos!I:I,df_extratos!F:F,Conciliacao!BG542,df_extratos!G:G,"DEBITO")+SUMIFS(df_extratos!I:I,df_extratos!F:F,Conciliacao!BH542,df_extratos!G:G,"DEBITO")</f>
        <v/>
      </c>
      <c r="O542" s="11">
        <f>N542-SUM(J542:M542)</f>
        <v/>
      </c>
      <c r="P542" s="25">
        <f>SUMIFS(df_ajustes_conciliaco!D:D,df_ajustes_conciliaco!C:C,Conciliacao!A542)</f>
        <v/>
      </c>
      <c r="Q542" s="22">
        <f>O542+I542-P542</f>
        <v/>
      </c>
    </row>
    <row r="543">
      <c r="A543" s="5">
        <f>A542+1</f>
        <v/>
      </c>
      <c r="B543" s="3">
        <f>-SUMIFS(df_extrato_zig!G:G,df_extrato_zig!E:E,Conciliacao!A543,df_extrato_zig!D:D,"Saque")-SUMIFS(df_extrato_zig!G:G,df_extrato_zig!E:E,Conciliacao!A543,df_extrato_zig!D:D,"Antecipação")</f>
        <v/>
      </c>
      <c r="C543" s="3">
        <f>SUMIFS(df_extrato_zig!E:E,df_extrato_zig!L:L,Conciliacao!A543,df_extrato_zig!F:F,"DINHEIRO")</f>
        <v/>
      </c>
      <c r="D543" s="3">
        <f>SUMIFS(view_parc_agrup!H:H,view_parc_agrup!G:G,Conciliacao!A543)</f>
        <v/>
      </c>
      <c r="E543" s="3">
        <f>SUMIFS(df_eventos!F:F,df_eventos!H:H,Conciliacao!A543)</f>
        <v/>
      </c>
      <c r="F543" s="3">
        <f>SUMIFS(df_mutuos!M:M,df_mutuos!B:B,Conciliacao!A543)</f>
        <v/>
      </c>
      <c r="G543" s="6">
        <f>SUMIFS(df_bloqueios_judiciais!G:G,df_bloqueios_judiciais!D:D,Conciliacao!A543,df_bloqueios_judiciais!G:G,"&gt;0")</f>
        <v/>
      </c>
      <c r="H543" s="7">
        <f>SUMIFS(df_extratos!I:I,df_extratos!F:F,Conciliacao!BE543,df_extratos!G:G,"CREDITO")+SUMIFS(df_extratos!I:I,df_extratos!F:F,Conciliacao!A543,df_extratos!G:G,"CREDITO")+SUMIFS(df_extratos!I:I,df_extratos!F:F,Conciliacao!BF543,df_extratos!G:G,"CREDITO")+SUMIFS(df_extratos!I:I,df_extratos!F:F,Conciliacao!BG543,df_extratos!G:G,"CREDITO")+SUMIFS(df_extratos!I:I,df_extratos!F:F,Conciliacao!BH543,df_extratos!G:G,"CREDITO")</f>
        <v/>
      </c>
      <c r="I543" s="9">
        <f>H543-SUM(B543:G543)</f>
        <v/>
      </c>
      <c r="J543" s="4">
        <f>SUMIFS(df_blueme_sem_parcelamento!E:E,df_blueme_sem_parcelamento!H:H,Conciliacao!A543)*(-1)</f>
        <v/>
      </c>
      <c r="K543" s="4">
        <f>SUMIFS(df_blueme_com_parcelamento!J:J,df_blueme_com_parcelamento!M:M,Conciliacao!A543)*(-1)</f>
        <v/>
      </c>
      <c r="L543" s="4">
        <f>SUMIFS(df_mutuos!N:N,df_mutuos!B:B,Conciliacao!A543)*(-1)</f>
        <v/>
      </c>
      <c r="M543" s="8">
        <f>SUMIFS(df_bloqueios_judiciais!G:G,df_bloqueios_judiciais!D:D,Conciliacao!A543,df_bloqueios_judiciais!G:G,"&lt;0")</f>
        <v/>
      </c>
      <c r="N543" s="10">
        <f>SUMIFS(df_extratos!I:I,df_extratos!F:F,Conciliacao!BE543,df_extratos!G:G,"DEBITO")+SUMIFS(df_extratos!I:I,df_extratos!F:F,Conciliacao!A543,df_extratos!G:G,"DEBITO")+SUMIFS(df_extratos!I:I,df_extratos!F:F,Conciliacao!BF543,df_extratos!G:G,"DEBITO")+SUMIFS(df_extratos!I:I,df_extratos!F:F,Conciliacao!BG543,df_extratos!G:G,"DEBITO")+SUMIFS(df_extratos!I:I,df_extratos!F:F,Conciliacao!BH543,df_extratos!G:G,"DEBITO")</f>
        <v/>
      </c>
      <c r="O543" s="11">
        <f>N543-SUM(J543:M543)</f>
        <v/>
      </c>
      <c r="P543" s="25">
        <f>SUMIFS(df_ajustes_conciliaco!D:D,df_ajustes_conciliaco!C:C,Conciliacao!A543)</f>
        <v/>
      </c>
      <c r="Q543" s="22">
        <f>O543+I543-P543</f>
        <v/>
      </c>
    </row>
    <row r="544">
      <c r="A544" s="5">
        <f>A543+1</f>
        <v/>
      </c>
      <c r="B544" s="3">
        <f>-SUMIFS(df_extrato_zig!G:G,df_extrato_zig!E:E,Conciliacao!A544,df_extrato_zig!D:D,"Saque")-SUMIFS(df_extrato_zig!G:G,df_extrato_zig!E:E,Conciliacao!A544,df_extrato_zig!D:D,"Antecipação")</f>
        <v/>
      </c>
      <c r="C544" s="3">
        <f>SUMIFS(df_extrato_zig!E:E,df_extrato_zig!L:L,Conciliacao!A544,df_extrato_zig!F:F,"DINHEIRO")</f>
        <v/>
      </c>
      <c r="D544" s="3">
        <f>SUMIFS(view_parc_agrup!H:H,view_parc_agrup!G:G,Conciliacao!A544)</f>
        <v/>
      </c>
      <c r="E544" s="3">
        <f>SUMIFS(df_eventos!F:F,df_eventos!H:H,Conciliacao!A544)</f>
        <v/>
      </c>
      <c r="F544" s="3">
        <f>SUMIFS(df_mutuos!M:M,df_mutuos!B:B,Conciliacao!A544)</f>
        <v/>
      </c>
      <c r="G544" s="6">
        <f>SUMIFS(df_bloqueios_judiciais!G:G,df_bloqueios_judiciais!D:D,Conciliacao!A544,df_bloqueios_judiciais!G:G,"&gt;0")</f>
        <v/>
      </c>
      <c r="H544" s="7">
        <f>SUMIFS(df_extratos!I:I,df_extratos!F:F,Conciliacao!BE544,df_extratos!G:G,"CREDITO")+SUMIFS(df_extratos!I:I,df_extratos!F:F,Conciliacao!A544,df_extratos!G:G,"CREDITO")+SUMIFS(df_extratos!I:I,df_extratos!F:F,Conciliacao!BF544,df_extratos!G:G,"CREDITO")+SUMIFS(df_extratos!I:I,df_extratos!F:F,Conciliacao!BG544,df_extratos!G:G,"CREDITO")+SUMIFS(df_extratos!I:I,df_extratos!F:F,Conciliacao!BH544,df_extratos!G:G,"CREDITO")</f>
        <v/>
      </c>
      <c r="I544" s="9">
        <f>H544-SUM(B544:G544)</f>
        <v/>
      </c>
      <c r="J544" s="4">
        <f>SUMIFS(df_blueme_sem_parcelamento!E:E,df_blueme_sem_parcelamento!H:H,Conciliacao!A544)*(-1)</f>
        <v/>
      </c>
      <c r="K544" s="4">
        <f>SUMIFS(df_blueme_com_parcelamento!J:J,df_blueme_com_parcelamento!M:M,Conciliacao!A544)*(-1)</f>
        <v/>
      </c>
      <c r="L544" s="4">
        <f>SUMIFS(df_mutuos!N:N,df_mutuos!B:B,Conciliacao!A544)*(-1)</f>
        <v/>
      </c>
      <c r="M544" s="8">
        <f>SUMIFS(df_bloqueios_judiciais!G:G,df_bloqueios_judiciais!D:D,Conciliacao!A544,df_bloqueios_judiciais!G:G,"&lt;0")</f>
        <v/>
      </c>
      <c r="N544" s="10">
        <f>SUMIFS(df_extratos!I:I,df_extratos!F:F,Conciliacao!BE544,df_extratos!G:G,"DEBITO")+SUMIFS(df_extratos!I:I,df_extratos!F:F,Conciliacao!A544,df_extratos!G:G,"DEBITO")+SUMIFS(df_extratos!I:I,df_extratos!F:F,Conciliacao!BF544,df_extratos!G:G,"DEBITO")+SUMIFS(df_extratos!I:I,df_extratos!F:F,Conciliacao!BG544,df_extratos!G:G,"DEBITO")+SUMIFS(df_extratos!I:I,df_extratos!F:F,Conciliacao!BH544,df_extratos!G:G,"DEBITO")</f>
        <v/>
      </c>
      <c r="O544" s="11">
        <f>N544-SUM(J544:M544)</f>
        <v/>
      </c>
      <c r="P544" s="25">
        <f>SUMIFS(df_ajustes_conciliaco!D:D,df_ajustes_conciliaco!C:C,Conciliacao!A544)</f>
        <v/>
      </c>
      <c r="Q544" s="22">
        <f>O544+I544-P544</f>
        <v/>
      </c>
    </row>
    <row r="545">
      <c r="A545" s="5">
        <f>A544+1</f>
        <v/>
      </c>
      <c r="B545" s="3">
        <f>-SUMIFS(df_extrato_zig!G:G,df_extrato_zig!E:E,Conciliacao!A545,df_extrato_zig!D:D,"Saque")-SUMIFS(df_extrato_zig!G:G,df_extrato_zig!E:E,Conciliacao!A545,df_extrato_zig!D:D,"Antecipação")</f>
        <v/>
      </c>
      <c r="C545" s="3">
        <f>SUMIFS(df_extrato_zig!E:E,df_extrato_zig!L:L,Conciliacao!A545,df_extrato_zig!F:F,"DINHEIRO")</f>
        <v/>
      </c>
      <c r="D545" s="3">
        <f>SUMIFS(view_parc_agrup!H:H,view_parc_agrup!G:G,Conciliacao!A545)</f>
        <v/>
      </c>
      <c r="E545" s="3">
        <f>SUMIFS(df_eventos!F:F,df_eventos!H:H,Conciliacao!A545)</f>
        <v/>
      </c>
      <c r="F545" s="3">
        <f>SUMIFS(df_mutuos!M:M,df_mutuos!B:B,Conciliacao!A545)</f>
        <v/>
      </c>
      <c r="G545" s="6">
        <f>SUMIFS(df_bloqueios_judiciais!G:G,df_bloqueios_judiciais!D:D,Conciliacao!A545,df_bloqueios_judiciais!G:G,"&gt;0")</f>
        <v/>
      </c>
      <c r="H545" s="7">
        <f>SUMIFS(df_extratos!I:I,df_extratos!F:F,Conciliacao!BE545,df_extratos!G:G,"CREDITO")+SUMIFS(df_extratos!I:I,df_extratos!F:F,Conciliacao!A545,df_extratos!G:G,"CREDITO")+SUMIFS(df_extratos!I:I,df_extratos!F:F,Conciliacao!BF545,df_extratos!G:G,"CREDITO")+SUMIFS(df_extratos!I:I,df_extratos!F:F,Conciliacao!BG545,df_extratos!G:G,"CREDITO")+SUMIFS(df_extratos!I:I,df_extratos!F:F,Conciliacao!BH545,df_extratos!G:G,"CREDITO")</f>
        <v/>
      </c>
      <c r="I545" s="9">
        <f>H545-SUM(B545:G545)</f>
        <v/>
      </c>
      <c r="J545" s="4">
        <f>SUMIFS(df_blueme_sem_parcelamento!E:E,df_blueme_sem_parcelamento!H:H,Conciliacao!A545)*(-1)</f>
        <v/>
      </c>
      <c r="K545" s="4">
        <f>SUMIFS(df_blueme_com_parcelamento!J:J,df_blueme_com_parcelamento!M:M,Conciliacao!A545)*(-1)</f>
        <v/>
      </c>
      <c r="L545" s="4">
        <f>SUMIFS(df_mutuos!N:N,df_mutuos!B:B,Conciliacao!A545)*(-1)</f>
        <v/>
      </c>
      <c r="M545" s="8">
        <f>SUMIFS(df_bloqueios_judiciais!G:G,df_bloqueios_judiciais!D:D,Conciliacao!A545,df_bloqueios_judiciais!G:G,"&lt;0")</f>
        <v/>
      </c>
      <c r="N545" s="10">
        <f>SUMIFS(df_extratos!I:I,df_extratos!F:F,Conciliacao!BE545,df_extratos!G:G,"DEBITO")+SUMIFS(df_extratos!I:I,df_extratos!F:F,Conciliacao!A545,df_extratos!G:G,"DEBITO")+SUMIFS(df_extratos!I:I,df_extratos!F:F,Conciliacao!BF545,df_extratos!G:G,"DEBITO")+SUMIFS(df_extratos!I:I,df_extratos!F:F,Conciliacao!BG545,df_extratos!G:G,"DEBITO")+SUMIFS(df_extratos!I:I,df_extratos!F:F,Conciliacao!BH545,df_extratos!G:G,"DEBITO")</f>
        <v/>
      </c>
      <c r="O545" s="11">
        <f>N545-SUM(J545:M545)</f>
        <v/>
      </c>
      <c r="P545" s="25">
        <f>SUMIFS(df_ajustes_conciliaco!D:D,df_ajustes_conciliaco!C:C,Conciliacao!A545)</f>
        <v/>
      </c>
      <c r="Q545" s="22">
        <f>O545+I545-P545</f>
        <v/>
      </c>
    </row>
    <row r="546">
      <c r="A546" s="5">
        <f>A545+1</f>
        <v/>
      </c>
      <c r="B546" s="3">
        <f>-SUMIFS(df_extrato_zig!G:G,df_extrato_zig!E:E,Conciliacao!A546,df_extrato_zig!D:D,"Saque")-SUMIFS(df_extrato_zig!G:G,df_extrato_zig!E:E,Conciliacao!A546,df_extrato_zig!D:D,"Antecipação")</f>
        <v/>
      </c>
      <c r="C546" s="3">
        <f>SUMIFS(df_extrato_zig!E:E,df_extrato_zig!L:L,Conciliacao!A546,df_extrato_zig!F:F,"DINHEIRO")</f>
        <v/>
      </c>
      <c r="D546" s="3">
        <f>SUMIFS(view_parc_agrup!H:H,view_parc_agrup!G:G,Conciliacao!A546)</f>
        <v/>
      </c>
      <c r="E546" s="3">
        <f>SUMIFS(df_eventos!F:F,df_eventos!H:H,Conciliacao!A546)</f>
        <v/>
      </c>
      <c r="F546" s="3">
        <f>SUMIFS(df_mutuos!M:M,df_mutuos!B:B,Conciliacao!A546)</f>
        <v/>
      </c>
      <c r="G546" s="6">
        <f>SUMIFS(df_bloqueios_judiciais!G:G,df_bloqueios_judiciais!D:D,Conciliacao!A546,df_bloqueios_judiciais!G:G,"&gt;0")</f>
        <v/>
      </c>
      <c r="H546" s="7">
        <f>SUMIFS(df_extratos!I:I,df_extratos!F:F,Conciliacao!BE546,df_extratos!G:G,"CREDITO")+SUMIFS(df_extratos!I:I,df_extratos!F:F,Conciliacao!A546,df_extratos!G:G,"CREDITO")+SUMIFS(df_extratos!I:I,df_extratos!F:F,Conciliacao!BF546,df_extratos!G:G,"CREDITO")+SUMIFS(df_extratos!I:I,df_extratos!F:F,Conciliacao!BG546,df_extratos!G:G,"CREDITO")+SUMIFS(df_extratos!I:I,df_extratos!F:F,Conciliacao!BH546,df_extratos!G:G,"CREDITO")</f>
        <v/>
      </c>
      <c r="I546" s="9">
        <f>H546-SUM(B546:G546)</f>
        <v/>
      </c>
      <c r="J546" s="4">
        <f>SUMIFS(df_blueme_sem_parcelamento!E:E,df_blueme_sem_parcelamento!H:H,Conciliacao!A546)*(-1)</f>
        <v/>
      </c>
      <c r="K546" s="4">
        <f>SUMIFS(df_blueme_com_parcelamento!J:J,df_blueme_com_parcelamento!M:M,Conciliacao!A546)*(-1)</f>
        <v/>
      </c>
      <c r="L546" s="4">
        <f>SUMIFS(df_mutuos!N:N,df_mutuos!B:B,Conciliacao!A546)*(-1)</f>
        <v/>
      </c>
      <c r="M546" s="8">
        <f>SUMIFS(df_bloqueios_judiciais!G:G,df_bloqueios_judiciais!D:D,Conciliacao!A546,df_bloqueios_judiciais!G:G,"&lt;0")</f>
        <v/>
      </c>
      <c r="N546" s="10">
        <f>SUMIFS(df_extratos!I:I,df_extratos!F:F,Conciliacao!BE546,df_extratos!G:G,"DEBITO")+SUMIFS(df_extratos!I:I,df_extratos!F:F,Conciliacao!A546,df_extratos!G:G,"DEBITO")+SUMIFS(df_extratos!I:I,df_extratos!F:F,Conciliacao!BF546,df_extratos!G:G,"DEBITO")+SUMIFS(df_extratos!I:I,df_extratos!F:F,Conciliacao!BG546,df_extratos!G:G,"DEBITO")+SUMIFS(df_extratos!I:I,df_extratos!F:F,Conciliacao!BH546,df_extratos!G:G,"DEBITO")</f>
        <v/>
      </c>
      <c r="O546" s="11">
        <f>N546-SUM(J546:M546)</f>
        <v/>
      </c>
      <c r="P546" s="25">
        <f>SUMIFS(df_ajustes_conciliaco!D:D,df_ajustes_conciliaco!C:C,Conciliacao!A546)</f>
        <v/>
      </c>
      <c r="Q546" s="22">
        <f>O546+I546-P546</f>
        <v/>
      </c>
    </row>
    <row r="547">
      <c r="A547" s="5">
        <f>A546+1</f>
        <v/>
      </c>
      <c r="B547" s="3">
        <f>-SUMIFS(df_extrato_zig!G:G,df_extrato_zig!E:E,Conciliacao!A547,df_extrato_zig!D:D,"Saque")-SUMIFS(df_extrato_zig!G:G,df_extrato_zig!E:E,Conciliacao!A547,df_extrato_zig!D:D,"Antecipação")</f>
        <v/>
      </c>
      <c r="C547" s="3">
        <f>SUMIFS(df_extrato_zig!E:E,df_extrato_zig!L:L,Conciliacao!A547,df_extrato_zig!F:F,"DINHEIRO")</f>
        <v/>
      </c>
      <c r="D547" s="3">
        <f>SUMIFS(view_parc_agrup!H:H,view_parc_agrup!G:G,Conciliacao!A547)</f>
        <v/>
      </c>
      <c r="E547" s="3">
        <f>SUMIFS(df_eventos!F:F,df_eventos!H:H,Conciliacao!A547)</f>
        <v/>
      </c>
      <c r="F547" s="3">
        <f>SUMIFS(df_mutuos!M:M,df_mutuos!B:B,Conciliacao!A547)</f>
        <v/>
      </c>
      <c r="G547" s="6">
        <f>SUMIFS(df_bloqueios_judiciais!G:G,df_bloqueios_judiciais!D:D,Conciliacao!A547,df_bloqueios_judiciais!G:G,"&gt;0")</f>
        <v/>
      </c>
      <c r="H547" s="7">
        <f>SUMIFS(df_extratos!I:I,df_extratos!F:F,Conciliacao!BE547,df_extratos!G:G,"CREDITO")+SUMIFS(df_extratos!I:I,df_extratos!F:F,Conciliacao!A547,df_extratos!G:G,"CREDITO")+SUMIFS(df_extratos!I:I,df_extratos!F:F,Conciliacao!BF547,df_extratos!G:G,"CREDITO")+SUMIFS(df_extratos!I:I,df_extratos!F:F,Conciliacao!BG547,df_extratos!G:G,"CREDITO")+SUMIFS(df_extratos!I:I,df_extratos!F:F,Conciliacao!BH547,df_extratos!G:G,"CREDITO")</f>
        <v/>
      </c>
      <c r="I547" s="9">
        <f>H547-SUM(B547:G547)</f>
        <v/>
      </c>
      <c r="J547" s="4">
        <f>SUMIFS(df_blueme_sem_parcelamento!E:E,df_blueme_sem_parcelamento!H:H,Conciliacao!A547)*(-1)</f>
        <v/>
      </c>
      <c r="K547" s="4">
        <f>SUMIFS(df_blueme_com_parcelamento!J:J,df_blueme_com_parcelamento!M:M,Conciliacao!A547)*(-1)</f>
        <v/>
      </c>
      <c r="L547" s="4">
        <f>SUMIFS(df_mutuos!N:N,df_mutuos!B:B,Conciliacao!A547)*(-1)</f>
        <v/>
      </c>
      <c r="M547" s="8">
        <f>SUMIFS(df_bloqueios_judiciais!G:G,df_bloqueios_judiciais!D:D,Conciliacao!A547,df_bloqueios_judiciais!G:G,"&lt;0")</f>
        <v/>
      </c>
      <c r="N547" s="10">
        <f>SUMIFS(df_extratos!I:I,df_extratos!F:F,Conciliacao!BE547,df_extratos!G:G,"DEBITO")+SUMIFS(df_extratos!I:I,df_extratos!F:F,Conciliacao!A547,df_extratos!G:G,"DEBITO")+SUMIFS(df_extratos!I:I,df_extratos!F:F,Conciliacao!BF547,df_extratos!G:G,"DEBITO")+SUMIFS(df_extratos!I:I,df_extratos!F:F,Conciliacao!BG547,df_extratos!G:G,"DEBITO")+SUMIFS(df_extratos!I:I,df_extratos!F:F,Conciliacao!BH547,df_extratos!G:G,"DEBITO")</f>
        <v/>
      </c>
      <c r="O547" s="11">
        <f>N547-SUM(J547:M547)</f>
        <v/>
      </c>
      <c r="P547" s="25">
        <f>SUMIFS(df_ajustes_conciliaco!D:D,df_ajustes_conciliaco!C:C,Conciliacao!A547)</f>
        <v/>
      </c>
      <c r="Q547" s="22">
        <f>O547+I547-P547</f>
        <v/>
      </c>
    </row>
    <row r="548">
      <c r="A548" s="5">
        <f>A547+1</f>
        <v/>
      </c>
      <c r="B548" s="3">
        <f>-SUMIFS(df_extrato_zig!G:G,df_extrato_zig!E:E,Conciliacao!A548,df_extrato_zig!D:D,"Saque")-SUMIFS(df_extrato_zig!G:G,df_extrato_zig!E:E,Conciliacao!A548,df_extrato_zig!D:D,"Antecipação")</f>
        <v/>
      </c>
      <c r="C548" s="3">
        <f>SUMIFS(df_extrato_zig!E:E,df_extrato_zig!L:L,Conciliacao!A548,df_extrato_zig!F:F,"DINHEIRO")</f>
        <v/>
      </c>
      <c r="D548" s="3">
        <f>SUMIFS(view_parc_agrup!H:H,view_parc_agrup!G:G,Conciliacao!A548)</f>
        <v/>
      </c>
      <c r="E548" s="3">
        <f>SUMIFS(df_eventos!F:F,df_eventos!H:H,Conciliacao!A548)</f>
        <v/>
      </c>
      <c r="F548" s="3">
        <f>SUMIFS(df_mutuos!M:M,df_mutuos!B:B,Conciliacao!A548)</f>
        <v/>
      </c>
      <c r="G548" s="6">
        <f>SUMIFS(df_bloqueios_judiciais!G:G,df_bloqueios_judiciais!D:D,Conciliacao!A548,df_bloqueios_judiciais!G:G,"&gt;0")</f>
        <v/>
      </c>
      <c r="H548" s="7">
        <f>SUMIFS(df_extratos!I:I,df_extratos!F:F,Conciliacao!BE548,df_extratos!G:G,"CREDITO")+SUMIFS(df_extratos!I:I,df_extratos!F:F,Conciliacao!A548,df_extratos!G:G,"CREDITO")+SUMIFS(df_extratos!I:I,df_extratos!F:F,Conciliacao!BF548,df_extratos!G:G,"CREDITO")+SUMIFS(df_extratos!I:I,df_extratos!F:F,Conciliacao!BG548,df_extratos!G:G,"CREDITO")+SUMIFS(df_extratos!I:I,df_extratos!F:F,Conciliacao!BH548,df_extratos!G:G,"CREDITO")</f>
        <v/>
      </c>
      <c r="I548" s="9">
        <f>H548-SUM(B548:G548)</f>
        <v/>
      </c>
      <c r="J548" s="4">
        <f>SUMIFS(df_blueme_sem_parcelamento!E:E,df_blueme_sem_parcelamento!H:H,Conciliacao!A548)*(-1)</f>
        <v/>
      </c>
      <c r="K548" s="4">
        <f>SUMIFS(df_blueme_com_parcelamento!J:J,df_blueme_com_parcelamento!M:M,Conciliacao!A548)*(-1)</f>
        <v/>
      </c>
      <c r="L548" s="4">
        <f>SUMIFS(df_mutuos!N:N,df_mutuos!B:B,Conciliacao!A548)*(-1)</f>
        <v/>
      </c>
      <c r="M548" s="8">
        <f>SUMIFS(df_bloqueios_judiciais!G:G,df_bloqueios_judiciais!D:D,Conciliacao!A548,df_bloqueios_judiciais!G:G,"&lt;0")</f>
        <v/>
      </c>
      <c r="N548" s="10">
        <f>SUMIFS(df_extratos!I:I,df_extratos!F:F,Conciliacao!BE548,df_extratos!G:G,"DEBITO")+SUMIFS(df_extratos!I:I,df_extratos!F:F,Conciliacao!A548,df_extratos!G:G,"DEBITO")+SUMIFS(df_extratos!I:I,df_extratos!F:F,Conciliacao!BF548,df_extratos!G:G,"DEBITO")+SUMIFS(df_extratos!I:I,df_extratos!F:F,Conciliacao!BG548,df_extratos!G:G,"DEBITO")+SUMIFS(df_extratos!I:I,df_extratos!F:F,Conciliacao!BH548,df_extratos!G:G,"DEBITO")</f>
        <v/>
      </c>
      <c r="O548" s="11">
        <f>N548-SUM(J548:M548)</f>
        <v/>
      </c>
      <c r="P548" s="25">
        <f>SUMIFS(df_ajustes_conciliaco!D:D,df_ajustes_conciliaco!C:C,Conciliacao!A548)</f>
        <v/>
      </c>
      <c r="Q548" s="22">
        <f>O548+I548-P548</f>
        <v/>
      </c>
    </row>
    <row r="549">
      <c r="A549" s="5">
        <f>A548+1</f>
        <v/>
      </c>
      <c r="B549" s="3">
        <f>-SUMIFS(df_extrato_zig!G:G,df_extrato_zig!E:E,Conciliacao!A549,df_extrato_zig!D:D,"Saque")-SUMIFS(df_extrato_zig!G:G,df_extrato_zig!E:E,Conciliacao!A549,df_extrato_zig!D:D,"Antecipação")</f>
        <v/>
      </c>
      <c r="C549" s="3">
        <f>SUMIFS(df_extrato_zig!E:E,df_extrato_zig!L:L,Conciliacao!A549,df_extrato_zig!F:F,"DINHEIRO")</f>
        <v/>
      </c>
      <c r="D549" s="3">
        <f>SUMIFS(view_parc_agrup!H:H,view_parc_agrup!G:G,Conciliacao!A549)</f>
        <v/>
      </c>
      <c r="E549" s="3">
        <f>SUMIFS(df_eventos!F:F,df_eventos!H:H,Conciliacao!A549)</f>
        <v/>
      </c>
      <c r="F549" s="3">
        <f>SUMIFS(df_mutuos!M:M,df_mutuos!B:B,Conciliacao!A549)</f>
        <v/>
      </c>
      <c r="G549" s="6">
        <f>SUMIFS(df_bloqueios_judiciais!G:G,df_bloqueios_judiciais!D:D,Conciliacao!A549,df_bloqueios_judiciais!G:G,"&gt;0")</f>
        <v/>
      </c>
      <c r="H549" s="7">
        <f>SUMIFS(df_extratos!I:I,df_extratos!F:F,Conciliacao!BE549,df_extratos!G:G,"CREDITO")+SUMIFS(df_extratos!I:I,df_extratos!F:F,Conciliacao!A549,df_extratos!G:G,"CREDITO")+SUMIFS(df_extratos!I:I,df_extratos!F:F,Conciliacao!BF549,df_extratos!G:G,"CREDITO")+SUMIFS(df_extratos!I:I,df_extratos!F:F,Conciliacao!BG549,df_extratos!G:G,"CREDITO")+SUMIFS(df_extratos!I:I,df_extratos!F:F,Conciliacao!BH549,df_extratos!G:G,"CREDITO")</f>
        <v/>
      </c>
      <c r="I549" s="9">
        <f>H549-SUM(B549:G549)</f>
        <v/>
      </c>
      <c r="J549" s="4">
        <f>SUMIFS(df_blueme_sem_parcelamento!E:E,df_blueme_sem_parcelamento!H:H,Conciliacao!A549)*(-1)</f>
        <v/>
      </c>
      <c r="K549" s="4">
        <f>SUMIFS(df_blueme_com_parcelamento!J:J,df_blueme_com_parcelamento!M:M,Conciliacao!A549)*(-1)</f>
        <v/>
      </c>
      <c r="L549" s="4">
        <f>SUMIFS(df_mutuos!N:N,df_mutuos!B:B,Conciliacao!A549)*(-1)</f>
        <v/>
      </c>
      <c r="M549" s="8">
        <f>SUMIFS(df_bloqueios_judiciais!G:G,df_bloqueios_judiciais!D:D,Conciliacao!A549,df_bloqueios_judiciais!G:G,"&lt;0")</f>
        <v/>
      </c>
      <c r="N549" s="10">
        <f>SUMIFS(df_extratos!I:I,df_extratos!F:F,Conciliacao!BE549,df_extratos!G:G,"DEBITO")+SUMIFS(df_extratos!I:I,df_extratos!F:F,Conciliacao!A549,df_extratos!G:G,"DEBITO")+SUMIFS(df_extratos!I:I,df_extratos!F:F,Conciliacao!BF549,df_extratos!G:G,"DEBITO")+SUMIFS(df_extratos!I:I,df_extratos!F:F,Conciliacao!BG549,df_extratos!G:G,"DEBITO")+SUMIFS(df_extratos!I:I,df_extratos!F:F,Conciliacao!BH549,df_extratos!G:G,"DEBITO")</f>
        <v/>
      </c>
      <c r="O549" s="11">
        <f>N549-SUM(J549:M549)</f>
        <v/>
      </c>
      <c r="P549" s="25">
        <f>SUMIFS(df_ajustes_conciliaco!D:D,df_ajustes_conciliaco!C:C,Conciliacao!A549)</f>
        <v/>
      </c>
      <c r="Q549" s="22">
        <f>O549+I549-P549</f>
        <v/>
      </c>
    </row>
    <row r="550">
      <c r="A550" s="5">
        <f>A549+1</f>
        <v/>
      </c>
      <c r="B550" s="3">
        <f>-SUMIFS(df_extrato_zig!G:G,df_extrato_zig!E:E,Conciliacao!A550,df_extrato_zig!D:D,"Saque")-SUMIFS(df_extrato_zig!G:G,df_extrato_zig!E:E,Conciliacao!A550,df_extrato_zig!D:D,"Antecipação")</f>
        <v/>
      </c>
      <c r="C550" s="3">
        <f>SUMIFS(df_extrato_zig!E:E,df_extrato_zig!L:L,Conciliacao!A550,df_extrato_zig!F:F,"DINHEIRO")</f>
        <v/>
      </c>
      <c r="D550" s="3">
        <f>SUMIFS(view_parc_agrup!H:H,view_parc_agrup!G:G,Conciliacao!A550)</f>
        <v/>
      </c>
      <c r="E550" s="3">
        <f>SUMIFS(df_eventos!F:F,df_eventos!H:H,Conciliacao!A550)</f>
        <v/>
      </c>
      <c r="F550" s="3">
        <f>SUMIFS(df_mutuos!M:M,df_mutuos!B:B,Conciliacao!A550)</f>
        <v/>
      </c>
      <c r="G550" s="6">
        <f>SUMIFS(df_bloqueios_judiciais!G:G,df_bloqueios_judiciais!D:D,Conciliacao!A550,df_bloqueios_judiciais!G:G,"&gt;0")</f>
        <v/>
      </c>
      <c r="H550" s="7">
        <f>SUMIFS(df_extratos!I:I,df_extratos!F:F,Conciliacao!BE550,df_extratos!G:G,"CREDITO")+SUMIFS(df_extratos!I:I,df_extratos!F:F,Conciliacao!A550,df_extratos!G:G,"CREDITO")+SUMIFS(df_extratos!I:I,df_extratos!F:F,Conciliacao!BF550,df_extratos!G:G,"CREDITO")+SUMIFS(df_extratos!I:I,df_extratos!F:F,Conciliacao!BG550,df_extratos!G:G,"CREDITO")+SUMIFS(df_extratos!I:I,df_extratos!F:F,Conciliacao!BH550,df_extratos!G:G,"CREDITO")</f>
        <v/>
      </c>
      <c r="I550" s="9">
        <f>H550-SUM(B550:G550)</f>
        <v/>
      </c>
      <c r="J550" s="4">
        <f>SUMIFS(df_blueme_sem_parcelamento!E:E,df_blueme_sem_parcelamento!H:H,Conciliacao!A550)*(-1)</f>
        <v/>
      </c>
      <c r="K550" s="4">
        <f>SUMIFS(df_blueme_com_parcelamento!J:J,df_blueme_com_parcelamento!M:M,Conciliacao!A550)*(-1)</f>
        <v/>
      </c>
      <c r="L550" s="4">
        <f>SUMIFS(df_mutuos!N:N,df_mutuos!B:B,Conciliacao!A550)*(-1)</f>
        <v/>
      </c>
      <c r="M550" s="8">
        <f>SUMIFS(df_bloqueios_judiciais!G:G,df_bloqueios_judiciais!D:D,Conciliacao!A550,df_bloqueios_judiciais!G:G,"&lt;0")</f>
        <v/>
      </c>
      <c r="N550" s="10">
        <f>SUMIFS(df_extratos!I:I,df_extratos!F:F,Conciliacao!BE550,df_extratos!G:G,"DEBITO")+SUMIFS(df_extratos!I:I,df_extratos!F:F,Conciliacao!A550,df_extratos!G:G,"DEBITO")+SUMIFS(df_extratos!I:I,df_extratos!F:F,Conciliacao!BF550,df_extratos!G:G,"DEBITO")+SUMIFS(df_extratos!I:I,df_extratos!F:F,Conciliacao!BG550,df_extratos!G:G,"DEBITO")+SUMIFS(df_extratos!I:I,df_extratos!F:F,Conciliacao!BH550,df_extratos!G:G,"DEBITO")</f>
        <v/>
      </c>
      <c r="O550" s="11">
        <f>N550-SUM(J550:M550)</f>
        <v/>
      </c>
      <c r="P550" s="25">
        <f>SUMIFS(df_ajustes_conciliaco!D:D,df_ajustes_conciliaco!C:C,Conciliacao!A550)</f>
        <v/>
      </c>
      <c r="Q550" s="22">
        <f>O550+I550-P550</f>
        <v/>
      </c>
    </row>
    <row r="551">
      <c r="A551" s="5">
        <f>A550+1</f>
        <v/>
      </c>
      <c r="B551" s="3">
        <f>-SUMIFS(df_extrato_zig!G:G,df_extrato_zig!E:E,Conciliacao!A551,df_extrato_zig!D:D,"Saque")-SUMIFS(df_extrato_zig!G:G,df_extrato_zig!E:E,Conciliacao!A551,df_extrato_zig!D:D,"Antecipação")</f>
        <v/>
      </c>
      <c r="C551" s="3">
        <f>SUMIFS(df_extrato_zig!E:E,df_extrato_zig!L:L,Conciliacao!A551,df_extrato_zig!F:F,"DINHEIRO")</f>
        <v/>
      </c>
      <c r="D551" s="3">
        <f>SUMIFS(view_parc_agrup!H:H,view_parc_agrup!G:G,Conciliacao!A551)</f>
        <v/>
      </c>
      <c r="E551" s="3">
        <f>SUMIFS(df_eventos!F:F,df_eventos!H:H,Conciliacao!A551)</f>
        <v/>
      </c>
      <c r="F551" s="3">
        <f>SUMIFS(df_mutuos!M:M,df_mutuos!B:B,Conciliacao!A551)</f>
        <v/>
      </c>
      <c r="G551" s="6">
        <f>SUMIFS(df_bloqueios_judiciais!G:G,df_bloqueios_judiciais!D:D,Conciliacao!A551,df_bloqueios_judiciais!G:G,"&gt;0")</f>
        <v/>
      </c>
      <c r="H551" s="7">
        <f>SUMIFS(df_extratos!I:I,df_extratos!F:F,Conciliacao!BE551,df_extratos!G:G,"CREDITO")+SUMIFS(df_extratos!I:I,df_extratos!F:F,Conciliacao!A551,df_extratos!G:G,"CREDITO")+SUMIFS(df_extratos!I:I,df_extratos!F:F,Conciliacao!BF551,df_extratos!G:G,"CREDITO")+SUMIFS(df_extratos!I:I,df_extratos!F:F,Conciliacao!BG551,df_extratos!G:G,"CREDITO")+SUMIFS(df_extratos!I:I,df_extratos!F:F,Conciliacao!BH551,df_extratos!G:G,"CREDITO")</f>
        <v/>
      </c>
      <c r="I551" s="9">
        <f>H551-SUM(B551:G551)</f>
        <v/>
      </c>
      <c r="J551" s="4">
        <f>SUMIFS(df_blueme_sem_parcelamento!E:E,df_blueme_sem_parcelamento!H:H,Conciliacao!A551)*(-1)</f>
        <v/>
      </c>
      <c r="K551" s="4">
        <f>SUMIFS(df_blueme_com_parcelamento!J:J,df_blueme_com_parcelamento!M:M,Conciliacao!A551)*(-1)</f>
        <v/>
      </c>
      <c r="L551" s="4">
        <f>SUMIFS(df_mutuos!N:N,df_mutuos!B:B,Conciliacao!A551)*(-1)</f>
        <v/>
      </c>
      <c r="M551" s="8">
        <f>SUMIFS(df_bloqueios_judiciais!G:G,df_bloqueios_judiciais!D:D,Conciliacao!A551,df_bloqueios_judiciais!G:G,"&lt;0")</f>
        <v/>
      </c>
      <c r="N551" s="10">
        <f>SUMIFS(df_extratos!I:I,df_extratos!F:F,Conciliacao!BE551,df_extratos!G:G,"DEBITO")+SUMIFS(df_extratos!I:I,df_extratos!F:F,Conciliacao!A551,df_extratos!G:G,"DEBITO")+SUMIFS(df_extratos!I:I,df_extratos!F:F,Conciliacao!BF551,df_extratos!G:G,"DEBITO")+SUMIFS(df_extratos!I:I,df_extratos!F:F,Conciliacao!BG551,df_extratos!G:G,"DEBITO")+SUMIFS(df_extratos!I:I,df_extratos!F:F,Conciliacao!BH551,df_extratos!G:G,"DEBITO")</f>
        <v/>
      </c>
      <c r="O551" s="11">
        <f>N551-SUM(J551:M551)</f>
        <v/>
      </c>
      <c r="P551" s="25">
        <f>SUMIFS(df_ajustes_conciliaco!D:D,df_ajustes_conciliaco!C:C,Conciliacao!A551)</f>
        <v/>
      </c>
      <c r="Q551" s="22">
        <f>O551+I551-P551</f>
        <v/>
      </c>
    </row>
    <row r="552">
      <c r="A552" s="5">
        <f>A551+1</f>
        <v/>
      </c>
      <c r="B552" s="3">
        <f>-SUMIFS(df_extrato_zig!G:G,df_extrato_zig!E:E,Conciliacao!A552,df_extrato_zig!D:D,"Saque")-SUMIFS(df_extrato_zig!G:G,df_extrato_zig!E:E,Conciliacao!A552,df_extrato_zig!D:D,"Antecipação")</f>
        <v/>
      </c>
      <c r="C552" s="3">
        <f>SUMIFS(df_extrato_zig!E:E,df_extrato_zig!L:L,Conciliacao!A552,df_extrato_zig!F:F,"DINHEIRO")</f>
        <v/>
      </c>
      <c r="D552" s="3">
        <f>SUMIFS(view_parc_agrup!H:H,view_parc_agrup!G:G,Conciliacao!A552)</f>
        <v/>
      </c>
      <c r="E552" s="3">
        <f>SUMIFS(df_eventos!F:F,df_eventos!H:H,Conciliacao!A552)</f>
        <v/>
      </c>
      <c r="F552" s="3">
        <f>SUMIFS(df_mutuos!M:M,df_mutuos!B:B,Conciliacao!A552)</f>
        <v/>
      </c>
      <c r="G552" s="6">
        <f>SUMIFS(df_bloqueios_judiciais!G:G,df_bloqueios_judiciais!D:D,Conciliacao!A552,df_bloqueios_judiciais!G:G,"&gt;0")</f>
        <v/>
      </c>
      <c r="H552" s="7">
        <f>SUMIFS(df_extratos!I:I,df_extratos!F:F,Conciliacao!BE552,df_extratos!G:G,"CREDITO")+SUMIFS(df_extratos!I:I,df_extratos!F:F,Conciliacao!A552,df_extratos!G:G,"CREDITO")+SUMIFS(df_extratos!I:I,df_extratos!F:F,Conciliacao!BF552,df_extratos!G:G,"CREDITO")+SUMIFS(df_extratos!I:I,df_extratos!F:F,Conciliacao!BG552,df_extratos!G:G,"CREDITO")+SUMIFS(df_extratos!I:I,df_extratos!F:F,Conciliacao!BH552,df_extratos!G:G,"CREDITO")</f>
        <v/>
      </c>
      <c r="I552" s="9">
        <f>H552-SUM(B552:G552)</f>
        <v/>
      </c>
      <c r="J552" s="4">
        <f>SUMIFS(df_blueme_sem_parcelamento!E:E,df_blueme_sem_parcelamento!H:H,Conciliacao!A552)*(-1)</f>
        <v/>
      </c>
      <c r="K552" s="4">
        <f>SUMIFS(df_blueme_com_parcelamento!J:J,df_blueme_com_parcelamento!M:M,Conciliacao!A552)*(-1)</f>
        <v/>
      </c>
      <c r="L552" s="4">
        <f>SUMIFS(df_mutuos!N:N,df_mutuos!B:B,Conciliacao!A552)*(-1)</f>
        <v/>
      </c>
      <c r="M552" s="8">
        <f>SUMIFS(df_bloqueios_judiciais!G:G,df_bloqueios_judiciais!D:D,Conciliacao!A552,df_bloqueios_judiciais!G:G,"&lt;0")</f>
        <v/>
      </c>
      <c r="N552" s="10">
        <f>SUMIFS(df_extratos!I:I,df_extratos!F:F,Conciliacao!BE552,df_extratos!G:G,"DEBITO")+SUMIFS(df_extratos!I:I,df_extratos!F:F,Conciliacao!A552,df_extratos!G:G,"DEBITO")+SUMIFS(df_extratos!I:I,df_extratos!F:F,Conciliacao!BF552,df_extratos!G:G,"DEBITO")+SUMIFS(df_extratos!I:I,df_extratos!F:F,Conciliacao!BG552,df_extratos!G:G,"DEBITO")+SUMIFS(df_extratos!I:I,df_extratos!F:F,Conciliacao!BH552,df_extratos!G:G,"DEBITO")</f>
        <v/>
      </c>
      <c r="O552" s="11">
        <f>N552-SUM(J552:M552)</f>
        <v/>
      </c>
      <c r="P552" s="25">
        <f>SUMIFS(df_ajustes_conciliaco!D:D,df_ajustes_conciliaco!C:C,Conciliacao!A552)</f>
        <v/>
      </c>
      <c r="Q552" s="22">
        <f>O552+I552-P552</f>
        <v/>
      </c>
    </row>
    <row r="553">
      <c r="A553" s="5">
        <f>A552+1</f>
        <v/>
      </c>
      <c r="B553" s="3">
        <f>-SUMIFS(df_extrato_zig!G:G,df_extrato_zig!E:E,Conciliacao!A553,df_extrato_zig!D:D,"Saque")-SUMIFS(df_extrato_zig!G:G,df_extrato_zig!E:E,Conciliacao!A553,df_extrato_zig!D:D,"Antecipação")</f>
        <v/>
      </c>
      <c r="C553" s="3">
        <f>SUMIFS(df_extrato_zig!E:E,df_extrato_zig!L:L,Conciliacao!A553,df_extrato_zig!F:F,"DINHEIRO")</f>
        <v/>
      </c>
      <c r="D553" s="3">
        <f>SUMIFS(view_parc_agrup!H:H,view_parc_agrup!G:G,Conciliacao!A553)</f>
        <v/>
      </c>
      <c r="E553" s="3">
        <f>SUMIFS(df_eventos!F:F,df_eventos!H:H,Conciliacao!A553)</f>
        <v/>
      </c>
      <c r="F553" s="3">
        <f>SUMIFS(df_mutuos!M:M,df_mutuos!B:B,Conciliacao!A553)</f>
        <v/>
      </c>
      <c r="G553" s="6">
        <f>SUMIFS(df_bloqueios_judiciais!G:G,df_bloqueios_judiciais!D:D,Conciliacao!A553,df_bloqueios_judiciais!G:G,"&gt;0")</f>
        <v/>
      </c>
      <c r="H553" s="7">
        <f>SUMIFS(df_extratos!I:I,df_extratos!F:F,Conciliacao!BE553,df_extratos!G:G,"CREDITO")+SUMIFS(df_extratos!I:I,df_extratos!F:F,Conciliacao!A553,df_extratos!G:G,"CREDITO")+SUMIFS(df_extratos!I:I,df_extratos!F:F,Conciliacao!BF553,df_extratos!G:G,"CREDITO")+SUMIFS(df_extratos!I:I,df_extratos!F:F,Conciliacao!BG553,df_extratos!G:G,"CREDITO")+SUMIFS(df_extratos!I:I,df_extratos!F:F,Conciliacao!BH553,df_extratos!G:G,"CREDITO")</f>
        <v/>
      </c>
      <c r="I553" s="9">
        <f>H553-SUM(B553:G553)</f>
        <v/>
      </c>
      <c r="J553" s="4">
        <f>SUMIFS(df_blueme_sem_parcelamento!E:E,df_blueme_sem_parcelamento!H:H,Conciliacao!A553)*(-1)</f>
        <v/>
      </c>
      <c r="K553" s="4">
        <f>SUMIFS(df_blueme_com_parcelamento!J:J,df_blueme_com_parcelamento!M:M,Conciliacao!A553)*(-1)</f>
        <v/>
      </c>
      <c r="L553" s="4">
        <f>SUMIFS(df_mutuos!N:N,df_mutuos!B:B,Conciliacao!A553)*(-1)</f>
        <v/>
      </c>
      <c r="M553" s="8">
        <f>SUMIFS(df_bloqueios_judiciais!G:G,df_bloqueios_judiciais!D:D,Conciliacao!A553,df_bloqueios_judiciais!G:G,"&lt;0")</f>
        <v/>
      </c>
      <c r="N553" s="10">
        <f>SUMIFS(df_extratos!I:I,df_extratos!F:F,Conciliacao!BE553,df_extratos!G:G,"DEBITO")+SUMIFS(df_extratos!I:I,df_extratos!F:F,Conciliacao!A553,df_extratos!G:G,"DEBITO")+SUMIFS(df_extratos!I:I,df_extratos!F:F,Conciliacao!BF553,df_extratos!G:G,"DEBITO")+SUMIFS(df_extratos!I:I,df_extratos!F:F,Conciliacao!BG553,df_extratos!G:G,"DEBITO")+SUMIFS(df_extratos!I:I,df_extratos!F:F,Conciliacao!BH553,df_extratos!G:G,"DEBITO")</f>
        <v/>
      </c>
      <c r="O553" s="11">
        <f>N553-SUM(J553:M553)</f>
        <v/>
      </c>
      <c r="P553" s="25">
        <f>SUMIFS(df_ajustes_conciliaco!D:D,df_ajustes_conciliaco!C:C,Conciliacao!A553)</f>
        <v/>
      </c>
      <c r="Q553" s="22">
        <f>O553+I553-P553</f>
        <v/>
      </c>
    </row>
    <row r="554">
      <c r="A554" s="5">
        <f>A553+1</f>
        <v/>
      </c>
      <c r="B554" s="3">
        <f>-SUMIFS(df_extrato_zig!G:G,df_extrato_zig!E:E,Conciliacao!A554,df_extrato_zig!D:D,"Saque")-SUMIFS(df_extrato_zig!G:G,df_extrato_zig!E:E,Conciliacao!A554,df_extrato_zig!D:D,"Antecipação")</f>
        <v/>
      </c>
      <c r="C554" s="3">
        <f>SUMIFS(df_extrato_zig!E:E,df_extrato_zig!L:L,Conciliacao!A554,df_extrato_zig!F:F,"DINHEIRO")</f>
        <v/>
      </c>
      <c r="D554" s="3">
        <f>SUMIFS(view_parc_agrup!H:H,view_parc_agrup!G:G,Conciliacao!A554)</f>
        <v/>
      </c>
      <c r="E554" s="3">
        <f>SUMIFS(df_eventos!F:F,df_eventos!H:H,Conciliacao!A554)</f>
        <v/>
      </c>
      <c r="F554" s="3">
        <f>SUMIFS(df_mutuos!M:M,df_mutuos!B:B,Conciliacao!A554)</f>
        <v/>
      </c>
      <c r="G554" s="6">
        <f>SUMIFS(df_bloqueios_judiciais!G:G,df_bloqueios_judiciais!D:D,Conciliacao!A554,df_bloqueios_judiciais!G:G,"&gt;0")</f>
        <v/>
      </c>
      <c r="H554" s="7">
        <f>SUMIFS(df_extratos!I:I,df_extratos!F:F,Conciliacao!BE554,df_extratos!G:G,"CREDITO")+SUMIFS(df_extratos!I:I,df_extratos!F:F,Conciliacao!A554,df_extratos!G:G,"CREDITO")+SUMIFS(df_extratos!I:I,df_extratos!F:F,Conciliacao!BF554,df_extratos!G:G,"CREDITO")+SUMIFS(df_extratos!I:I,df_extratos!F:F,Conciliacao!BG554,df_extratos!G:G,"CREDITO")+SUMIFS(df_extratos!I:I,df_extratos!F:F,Conciliacao!BH554,df_extratos!G:G,"CREDITO")</f>
        <v/>
      </c>
      <c r="I554" s="9">
        <f>H554-SUM(B554:G554)</f>
        <v/>
      </c>
      <c r="J554" s="4">
        <f>SUMIFS(df_blueme_sem_parcelamento!E:E,df_blueme_sem_parcelamento!H:H,Conciliacao!A554)*(-1)</f>
        <v/>
      </c>
      <c r="K554" s="4">
        <f>SUMIFS(df_blueme_com_parcelamento!J:J,df_blueme_com_parcelamento!M:M,Conciliacao!A554)*(-1)</f>
        <v/>
      </c>
      <c r="L554" s="4">
        <f>SUMIFS(df_mutuos!N:N,df_mutuos!B:B,Conciliacao!A554)*(-1)</f>
        <v/>
      </c>
      <c r="M554" s="8">
        <f>SUMIFS(df_bloqueios_judiciais!G:G,df_bloqueios_judiciais!D:D,Conciliacao!A554,df_bloqueios_judiciais!G:G,"&lt;0")</f>
        <v/>
      </c>
      <c r="N554" s="10">
        <f>SUMIFS(df_extratos!I:I,df_extratos!F:F,Conciliacao!BE554,df_extratos!G:G,"DEBITO")+SUMIFS(df_extratos!I:I,df_extratos!F:F,Conciliacao!A554,df_extratos!G:G,"DEBITO")+SUMIFS(df_extratos!I:I,df_extratos!F:F,Conciliacao!BF554,df_extratos!G:G,"DEBITO")+SUMIFS(df_extratos!I:I,df_extratos!F:F,Conciliacao!BG554,df_extratos!G:G,"DEBITO")+SUMIFS(df_extratos!I:I,df_extratos!F:F,Conciliacao!BH554,df_extratos!G:G,"DEBITO")</f>
        <v/>
      </c>
      <c r="O554" s="11">
        <f>N554-SUM(J554:M554)</f>
        <v/>
      </c>
      <c r="P554" s="25">
        <f>SUMIFS(df_ajustes_conciliaco!D:D,df_ajustes_conciliaco!C:C,Conciliacao!A554)</f>
        <v/>
      </c>
      <c r="Q554" s="22">
        <f>O554+I554-P554</f>
        <v/>
      </c>
    </row>
    <row r="555">
      <c r="A555" s="5">
        <f>A554+1</f>
        <v/>
      </c>
      <c r="B555" s="3">
        <f>-SUMIFS(df_extrato_zig!G:G,df_extrato_zig!E:E,Conciliacao!A555,df_extrato_zig!D:D,"Saque")-SUMIFS(df_extrato_zig!G:G,df_extrato_zig!E:E,Conciliacao!A555,df_extrato_zig!D:D,"Antecipação")</f>
        <v/>
      </c>
      <c r="C555" s="3">
        <f>SUMIFS(df_extrato_zig!E:E,df_extrato_zig!L:L,Conciliacao!A555,df_extrato_zig!F:F,"DINHEIRO")</f>
        <v/>
      </c>
      <c r="D555" s="3">
        <f>SUMIFS(view_parc_agrup!H:H,view_parc_agrup!G:G,Conciliacao!A555)</f>
        <v/>
      </c>
      <c r="E555" s="3">
        <f>SUMIFS(df_eventos!F:F,df_eventos!H:H,Conciliacao!A555)</f>
        <v/>
      </c>
      <c r="F555" s="3">
        <f>SUMIFS(df_mutuos!M:M,df_mutuos!B:B,Conciliacao!A555)</f>
        <v/>
      </c>
      <c r="G555" s="6">
        <f>SUMIFS(df_bloqueios_judiciais!G:G,df_bloqueios_judiciais!D:D,Conciliacao!A555,df_bloqueios_judiciais!G:G,"&gt;0")</f>
        <v/>
      </c>
      <c r="H555" s="7">
        <f>SUMIFS(df_extratos!I:I,df_extratos!F:F,Conciliacao!BE555,df_extratos!G:G,"CREDITO")+SUMIFS(df_extratos!I:I,df_extratos!F:F,Conciliacao!A555,df_extratos!G:G,"CREDITO")+SUMIFS(df_extratos!I:I,df_extratos!F:F,Conciliacao!BF555,df_extratos!G:G,"CREDITO")+SUMIFS(df_extratos!I:I,df_extratos!F:F,Conciliacao!BG555,df_extratos!G:G,"CREDITO")+SUMIFS(df_extratos!I:I,df_extratos!F:F,Conciliacao!BH555,df_extratos!G:G,"CREDITO")</f>
        <v/>
      </c>
      <c r="I555" s="9">
        <f>H555-SUM(B555:G555)</f>
        <v/>
      </c>
      <c r="J555" s="4">
        <f>SUMIFS(df_blueme_sem_parcelamento!E:E,df_blueme_sem_parcelamento!H:H,Conciliacao!A555)*(-1)</f>
        <v/>
      </c>
      <c r="K555" s="4">
        <f>SUMIFS(df_blueme_com_parcelamento!J:J,df_blueme_com_parcelamento!M:M,Conciliacao!A555)*(-1)</f>
        <v/>
      </c>
      <c r="L555" s="4">
        <f>SUMIFS(df_mutuos!N:N,df_mutuos!B:B,Conciliacao!A555)*(-1)</f>
        <v/>
      </c>
      <c r="M555" s="8">
        <f>SUMIFS(df_bloqueios_judiciais!G:G,df_bloqueios_judiciais!D:D,Conciliacao!A555,df_bloqueios_judiciais!G:G,"&lt;0")</f>
        <v/>
      </c>
      <c r="N555" s="10">
        <f>SUMIFS(df_extratos!I:I,df_extratos!F:F,Conciliacao!BE555,df_extratos!G:G,"DEBITO")+SUMIFS(df_extratos!I:I,df_extratos!F:F,Conciliacao!A555,df_extratos!G:G,"DEBITO")+SUMIFS(df_extratos!I:I,df_extratos!F:F,Conciliacao!BF555,df_extratos!G:G,"DEBITO")+SUMIFS(df_extratos!I:I,df_extratos!F:F,Conciliacao!BG555,df_extratos!G:G,"DEBITO")+SUMIFS(df_extratos!I:I,df_extratos!F:F,Conciliacao!BH555,df_extratos!G:G,"DEBITO")</f>
        <v/>
      </c>
      <c r="O555" s="11">
        <f>N555-SUM(J555:M555)</f>
        <v/>
      </c>
      <c r="P555" s="25">
        <f>SUMIFS(df_ajustes_conciliaco!D:D,df_ajustes_conciliaco!C:C,Conciliacao!A555)</f>
        <v/>
      </c>
      <c r="Q555" s="22">
        <f>O555+I555-P555</f>
        <v/>
      </c>
    </row>
    <row r="556">
      <c r="A556" s="5">
        <f>A555+1</f>
        <v/>
      </c>
      <c r="B556" s="3">
        <f>-SUMIFS(df_extrato_zig!G:G,df_extrato_zig!E:E,Conciliacao!A556,df_extrato_zig!D:D,"Saque")-SUMIFS(df_extrato_zig!G:G,df_extrato_zig!E:E,Conciliacao!A556,df_extrato_zig!D:D,"Antecipação")</f>
        <v/>
      </c>
      <c r="C556" s="3">
        <f>SUMIFS(df_extrato_zig!E:E,df_extrato_zig!L:L,Conciliacao!A556,df_extrato_zig!F:F,"DINHEIRO")</f>
        <v/>
      </c>
      <c r="D556" s="3">
        <f>SUMIFS(view_parc_agrup!H:H,view_parc_agrup!G:G,Conciliacao!A556)</f>
        <v/>
      </c>
      <c r="E556" s="3">
        <f>SUMIFS(df_eventos!F:F,df_eventos!H:H,Conciliacao!A556)</f>
        <v/>
      </c>
      <c r="F556" s="3">
        <f>SUMIFS(df_mutuos!M:M,df_mutuos!B:B,Conciliacao!A556)</f>
        <v/>
      </c>
      <c r="G556" s="6">
        <f>SUMIFS(df_bloqueios_judiciais!G:G,df_bloqueios_judiciais!D:D,Conciliacao!A556,df_bloqueios_judiciais!G:G,"&gt;0")</f>
        <v/>
      </c>
      <c r="H556" s="7">
        <f>SUMIFS(df_extratos!I:I,df_extratos!F:F,Conciliacao!BE556,df_extratos!G:G,"CREDITO")+SUMIFS(df_extratos!I:I,df_extratos!F:F,Conciliacao!A556,df_extratos!G:G,"CREDITO")+SUMIFS(df_extratos!I:I,df_extratos!F:F,Conciliacao!BF556,df_extratos!G:G,"CREDITO")+SUMIFS(df_extratos!I:I,df_extratos!F:F,Conciliacao!BG556,df_extratos!G:G,"CREDITO")+SUMIFS(df_extratos!I:I,df_extratos!F:F,Conciliacao!BH556,df_extratos!G:G,"CREDITO")</f>
        <v/>
      </c>
      <c r="I556" s="9">
        <f>H556-SUM(B556:G556)</f>
        <v/>
      </c>
      <c r="J556" s="4">
        <f>SUMIFS(df_blueme_sem_parcelamento!E:E,df_blueme_sem_parcelamento!H:H,Conciliacao!A556)*(-1)</f>
        <v/>
      </c>
      <c r="K556" s="4">
        <f>SUMIFS(df_blueme_com_parcelamento!J:J,df_blueme_com_parcelamento!M:M,Conciliacao!A556)*(-1)</f>
        <v/>
      </c>
      <c r="L556" s="4">
        <f>SUMIFS(df_mutuos!N:N,df_mutuos!B:B,Conciliacao!A556)*(-1)</f>
        <v/>
      </c>
      <c r="M556" s="8">
        <f>SUMIFS(df_bloqueios_judiciais!G:G,df_bloqueios_judiciais!D:D,Conciliacao!A556,df_bloqueios_judiciais!G:G,"&lt;0")</f>
        <v/>
      </c>
      <c r="N556" s="10">
        <f>SUMIFS(df_extratos!I:I,df_extratos!F:F,Conciliacao!BE556,df_extratos!G:G,"DEBITO")+SUMIFS(df_extratos!I:I,df_extratos!F:F,Conciliacao!A556,df_extratos!G:G,"DEBITO")+SUMIFS(df_extratos!I:I,df_extratos!F:F,Conciliacao!BF556,df_extratos!G:G,"DEBITO")+SUMIFS(df_extratos!I:I,df_extratos!F:F,Conciliacao!BG556,df_extratos!G:G,"DEBITO")+SUMIFS(df_extratos!I:I,df_extratos!F:F,Conciliacao!BH556,df_extratos!G:G,"DEBITO")</f>
        <v/>
      </c>
      <c r="O556" s="11">
        <f>N556-SUM(J556:M556)</f>
        <v/>
      </c>
      <c r="P556" s="25">
        <f>SUMIFS(df_ajustes_conciliaco!D:D,df_ajustes_conciliaco!C:C,Conciliacao!A556)</f>
        <v/>
      </c>
      <c r="Q556" s="22">
        <f>O556+I556-P556</f>
        <v/>
      </c>
    </row>
    <row r="557">
      <c r="A557" s="5">
        <f>A556+1</f>
        <v/>
      </c>
      <c r="B557" s="3">
        <f>-SUMIFS(df_extrato_zig!G:G,df_extrato_zig!E:E,Conciliacao!A557,df_extrato_zig!D:D,"Saque")-SUMIFS(df_extrato_zig!G:G,df_extrato_zig!E:E,Conciliacao!A557,df_extrato_zig!D:D,"Antecipação")</f>
        <v/>
      </c>
      <c r="C557" s="3">
        <f>SUMIFS(df_extrato_zig!E:E,df_extrato_zig!L:L,Conciliacao!A557,df_extrato_zig!F:F,"DINHEIRO")</f>
        <v/>
      </c>
      <c r="D557" s="3">
        <f>SUMIFS(view_parc_agrup!H:H,view_parc_agrup!G:G,Conciliacao!A557)</f>
        <v/>
      </c>
      <c r="E557" s="3">
        <f>SUMIFS(df_eventos!F:F,df_eventos!H:H,Conciliacao!A557)</f>
        <v/>
      </c>
      <c r="F557" s="3">
        <f>SUMIFS(df_mutuos!M:M,df_mutuos!B:B,Conciliacao!A557)</f>
        <v/>
      </c>
      <c r="G557" s="6">
        <f>SUMIFS(df_bloqueios_judiciais!G:G,df_bloqueios_judiciais!D:D,Conciliacao!A557,df_bloqueios_judiciais!G:G,"&gt;0")</f>
        <v/>
      </c>
      <c r="H557" s="7">
        <f>SUMIFS(df_extratos!I:I,df_extratos!F:F,Conciliacao!BE557,df_extratos!G:G,"CREDITO")+SUMIFS(df_extratos!I:I,df_extratos!F:F,Conciliacao!A557,df_extratos!G:G,"CREDITO")+SUMIFS(df_extratos!I:I,df_extratos!F:F,Conciliacao!BF557,df_extratos!G:G,"CREDITO")+SUMIFS(df_extratos!I:I,df_extratos!F:F,Conciliacao!BG557,df_extratos!G:G,"CREDITO")+SUMIFS(df_extratos!I:I,df_extratos!F:F,Conciliacao!BH557,df_extratos!G:G,"CREDITO")</f>
        <v/>
      </c>
      <c r="I557" s="9">
        <f>H557-SUM(B557:G557)</f>
        <v/>
      </c>
      <c r="J557" s="4">
        <f>SUMIFS(df_blueme_sem_parcelamento!E:E,df_blueme_sem_parcelamento!H:H,Conciliacao!A557)*(-1)</f>
        <v/>
      </c>
      <c r="K557" s="4">
        <f>SUMIFS(df_blueme_com_parcelamento!J:J,df_blueme_com_parcelamento!M:M,Conciliacao!A557)*(-1)</f>
        <v/>
      </c>
      <c r="L557" s="4">
        <f>SUMIFS(df_mutuos!N:N,df_mutuos!B:B,Conciliacao!A557)*(-1)</f>
        <v/>
      </c>
      <c r="M557" s="8">
        <f>SUMIFS(df_bloqueios_judiciais!G:G,df_bloqueios_judiciais!D:D,Conciliacao!A557,df_bloqueios_judiciais!G:G,"&lt;0")</f>
        <v/>
      </c>
      <c r="N557" s="10">
        <f>SUMIFS(df_extratos!I:I,df_extratos!F:F,Conciliacao!BE557,df_extratos!G:G,"DEBITO")+SUMIFS(df_extratos!I:I,df_extratos!F:F,Conciliacao!A557,df_extratos!G:G,"DEBITO")+SUMIFS(df_extratos!I:I,df_extratos!F:F,Conciliacao!BF557,df_extratos!G:G,"DEBITO")+SUMIFS(df_extratos!I:I,df_extratos!F:F,Conciliacao!BG557,df_extratos!G:G,"DEBITO")+SUMIFS(df_extratos!I:I,df_extratos!F:F,Conciliacao!BH557,df_extratos!G:G,"DEBITO")</f>
        <v/>
      </c>
      <c r="O557" s="11">
        <f>N557-SUM(J557:M557)</f>
        <v/>
      </c>
      <c r="P557" s="25">
        <f>SUMIFS(df_ajustes_conciliaco!D:D,df_ajustes_conciliaco!C:C,Conciliacao!A557)</f>
        <v/>
      </c>
      <c r="Q557" s="22">
        <f>O557+I557-P557</f>
        <v/>
      </c>
    </row>
    <row r="558">
      <c r="A558" s="5">
        <f>A557+1</f>
        <v/>
      </c>
      <c r="B558" s="3">
        <f>-SUMIFS(df_extrato_zig!G:G,df_extrato_zig!E:E,Conciliacao!A558,df_extrato_zig!D:D,"Saque")-SUMIFS(df_extrato_zig!G:G,df_extrato_zig!E:E,Conciliacao!A558,df_extrato_zig!D:D,"Antecipação")</f>
        <v/>
      </c>
      <c r="C558" s="3">
        <f>SUMIFS(df_extrato_zig!E:E,df_extrato_zig!L:L,Conciliacao!A558,df_extrato_zig!F:F,"DINHEIRO")</f>
        <v/>
      </c>
      <c r="D558" s="3">
        <f>SUMIFS(view_parc_agrup!H:H,view_parc_agrup!G:G,Conciliacao!A558)</f>
        <v/>
      </c>
      <c r="E558" s="3">
        <f>SUMIFS(df_eventos!F:F,df_eventos!H:H,Conciliacao!A558)</f>
        <v/>
      </c>
      <c r="F558" s="3">
        <f>SUMIFS(df_mutuos!M:M,df_mutuos!B:B,Conciliacao!A558)</f>
        <v/>
      </c>
      <c r="G558" s="6">
        <f>SUMIFS(df_bloqueios_judiciais!G:G,df_bloqueios_judiciais!D:D,Conciliacao!A558,df_bloqueios_judiciais!G:G,"&gt;0")</f>
        <v/>
      </c>
      <c r="H558" s="7">
        <f>SUMIFS(df_extratos!I:I,df_extratos!F:F,Conciliacao!BE558,df_extratos!G:G,"CREDITO")+SUMIFS(df_extratos!I:I,df_extratos!F:F,Conciliacao!A558,df_extratos!G:G,"CREDITO")+SUMIFS(df_extratos!I:I,df_extratos!F:F,Conciliacao!BF558,df_extratos!G:G,"CREDITO")+SUMIFS(df_extratos!I:I,df_extratos!F:F,Conciliacao!BG558,df_extratos!G:G,"CREDITO")+SUMIFS(df_extratos!I:I,df_extratos!F:F,Conciliacao!BH558,df_extratos!G:G,"CREDITO")</f>
        <v/>
      </c>
      <c r="I558" s="9">
        <f>H558-SUM(B558:G558)</f>
        <v/>
      </c>
      <c r="J558" s="4">
        <f>SUMIFS(df_blueme_sem_parcelamento!E:E,df_blueme_sem_parcelamento!H:H,Conciliacao!A558)*(-1)</f>
        <v/>
      </c>
      <c r="K558" s="4">
        <f>SUMIFS(df_blueme_com_parcelamento!J:J,df_blueme_com_parcelamento!M:M,Conciliacao!A558)*(-1)</f>
        <v/>
      </c>
      <c r="L558" s="4">
        <f>SUMIFS(df_mutuos!N:N,df_mutuos!B:B,Conciliacao!A558)*(-1)</f>
        <v/>
      </c>
      <c r="M558" s="8">
        <f>SUMIFS(df_bloqueios_judiciais!G:G,df_bloqueios_judiciais!D:D,Conciliacao!A558,df_bloqueios_judiciais!G:G,"&lt;0")</f>
        <v/>
      </c>
      <c r="N558" s="10">
        <f>SUMIFS(df_extratos!I:I,df_extratos!F:F,Conciliacao!BE558,df_extratos!G:G,"DEBITO")+SUMIFS(df_extratos!I:I,df_extratos!F:F,Conciliacao!A558,df_extratos!G:G,"DEBITO")+SUMIFS(df_extratos!I:I,df_extratos!F:F,Conciliacao!BF558,df_extratos!G:G,"DEBITO")+SUMIFS(df_extratos!I:I,df_extratos!F:F,Conciliacao!BG558,df_extratos!G:G,"DEBITO")+SUMIFS(df_extratos!I:I,df_extratos!F:F,Conciliacao!BH558,df_extratos!G:G,"DEBITO")</f>
        <v/>
      </c>
      <c r="O558" s="11">
        <f>N558-SUM(J558:M558)</f>
        <v/>
      </c>
      <c r="P558" s="25">
        <f>SUMIFS(df_ajustes_conciliaco!D:D,df_ajustes_conciliaco!C:C,Conciliacao!A558)</f>
        <v/>
      </c>
      <c r="Q558" s="22">
        <f>O558+I558-P558</f>
        <v/>
      </c>
    </row>
    <row r="559">
      <c r="A559" s="5">
        <f>A558+1</f>
        <v/>
      </c>
      <c r="B559" s="3">
        <f>-SUMIFS(df_extrato_zig!G:G,df_extrato_zig!E:E,Conciliacao!A559,df_extrato_zig!D:D,"Saque")-SUMIFS(df_extrato_zig!G:G,df_extrato_zig!E:E,Conciliacao!A559,df_extrato_zig!D:D,"Antecipação")</f>
        <v/>
      </c>
      <c r="C559" s="3">
        <f>SUMIFS(df_extrato_zig!E:E,df_extrato_zig!L:L,Conciliacao!A559,df_extrato_zig!F:F,"DINHEIRO")</f>
        <v/>
      </c>
      <c r="D559" s="3">
        <f>SUMIFS(view_parc_agrup!H:H,view_parc_agrup!G:G,Conciliacao!A559)</f>
        <v/>
      </c>
      <c r="E559" s="3">
        <f>SUMIFS(df_eventos!F:F,df_eventos!H:H,Conciliacao!A559)</f>
        <v/>
      </c>
      <c r="F559" s="3">
        <f>SUMIFS(df_mutuos!M:M,df_mutuos!B:B,Conciliacao!A559)</f>
        <v/>
      </c>
      <c r="G559" s="6">
        <f>SUMIFS(df_bloqueios_judiciais!G:G,df_bloqueios_judiciais!D:D,Conciliacao!A559,df_bloqueios_judiciais!G:G,"&gt;0")</f>
        <v/>
      </c>
      <c r="H559" s="7">
        <f>SUMIFS(df_extratos!I:I,df_extratos!F:F,Conciliacao!BE559,df_extratos!G:G,"CREDITO")+SUMIFS(df_extratos!I:I,df_extratos!F:F,Conciliacao!A559,df_extratos!G:G,"CREDITO")+SUMIFS(df_extratos!I:I,df_extratos!F:F,Conciliacao!BF559,df_extratos!G:G,"CREDITO")+SUMIFS(df_extratos!I:I,df_extratos!F:F,Conciliacao!BG559,df_extratos!G:G,"CREDITO")+SUMIFS(df_extratos!I:I,df_extratos!F:F,Conciliacao!BH559,df_extratos!G:G,"CREDITO")</f>
        <v/>
      </c>
      <c r="I559" s="9">
        <f>H559-SUM(B559:G559)</f>
        <v/>
      </c>
      <c r="J559" s="4">
        <f>SUMIFS(df_blueme_sem_parcelamento!E:E,df_blueme_sem_parcelamento!H:H,Conciliacao!A559)*(-1)</f>
        <v/>
      </c>
      <c r="K559" s="4">
        <f>SUMIFS(df_blueme_com_parcelamento!J:J,df_blueme_com_parcelamento!M:M,Conciliacao!A559)*(-1)</f>
        <v/>
      </c>
      <c r="L559" s="4">
        <f>SUMIFS(df_mutuos!N:N,df_mutuos!B:B,Conciliacao!A559)*(-1)</f>
        <v/>
      </c>
      <c r="M559" s="8">
        <f>SUMIFS(df_bloqueios_judiciais!G:G,df_bloqueios_judiciais!D:D,Conciliacao!A559,df_bloqueios_judiciais!G:G,"&lt;0")</f>
        <v/>
      </c>
      <c r="N559" s="10">
        <f>SUMIFS(df_extratos!I:I,df_extratos!F:F,Conciliacao!BE559,df_extratos!G:G,"DEBITO")+SUMIFS(df_extratos!I:I,df_extratos!F:F,Conciliacao!A559,df_extratos!G:G,"DEBITO")+SUMIFS(df_extratos!I:I,df_extratos!F:F,Conciliacao!BF559,df_extratos!G:G,"DEBITO")+SUMIFS(df_extratos!I:I,df_extratos!F:F,Conciliacao!BG559,df_extratos!G:G,"DEBITO")+SUMIFS(df_extratos!I:I,df_extratos!F:F,Conciliacao!BH559,df_extratos!G:G,"DEBITO")</f>
        <v/>
      </c>
      <c r="O559" s="11">
        <f>N559-SUM(J559:M559)</f>
        <v/>
      </c>
      <c r="P559" s="25">
        <f>SUMIFS(df_ajustes_conciliaco!D:D,df_ajustes_conciliaco!C:C,Conciliacao!A559)</f>
        <v/>
      </c>
      <c r="Q559" s="22">
        <f>O559+I559-P559</f>
        <v/>
      </c>
    </row>
    <row r="560">
      <c r="A560" s="5">
        <f>A559+1</f>
        <v/>
      </c>
      <c r="B560" s="3">
        <f>-SUMIFS(df_extrato_zig!G:G,df_extrato_zig!E:E,Conciliacao!A560,df_extrato_zig!D:D,"Saque")-SUMIFS(df_extrato_zig!G:G,df_extrato_zig!E:E,Conciliacao!A560,df_extrato_zig!D:D,"Antecipação")</f>
        <v/>
      </c>
      <c r="C560" s="3">
        <f>SUMIFS(df_extrato_zig!E:E,df_extrato_zig!L:L,Conciliacao!A560,df_extrato_zig!F:F,"DINHEIRO")</f>
        <v/>
      </c>
      <c r="D560" s="3">
        <f>SUMIFS(view_parc_agrup!H:H,view_parc_agrup!G:G,Conciliacao!A560)</f>
        <v/>
      </c>
      <c r="E560" s="3">
        <f>SUMIFS(df_eventos!F:F,df_eventos!H:H,Conciliacao!A560)</f>
        <v/>
      </c>
      <c r="F560" s="3">
        <f>SUMIFS(df_mutuos!M:M,df_mutuos!B:B,Conciliacao!A560)</f>
        <v/>
      </c>
      <c r="G560" s="6">
        <f>SUMIFS(df_bloqueios_judiciais!G:G,df_bloqueios_judiciais!D:D,Conciliacao!A560,df_bloqueios_judiciais!G:G,"&gt;0")</f>
        <v/>
      </c>
      <c r="H560" s="7">
        <f>SUMIFS(df_extratos!I:I,df_extratos!F:F,Conciliacao!BE560,df_extratos!G:G,"CREDITO")+SUMIFS(df_extratos!I:I,df_extratos!F:F,Conciliacao!A560,df_extratos!G:G,"CREDITO")+SUMIFS(df_extratos!I:I,df_extratos!F:F,Conciliacao!BF560,df_extratos!G:G,"CREDITO")+SUMIFS(df_extratos!I:I,df_extratos!F:F,Conciliacao!BG560,df_extratos!G:G,"CREDITO")+SUMIFS(df_extratos!I:I,df_extratos!F:F,Conciliacao!BH560,df_extratos!G:G,"CREDITO")</f>
        <v/>
      </c>
      <c r="I560" s="9">
        <f>H560-SUM(B560:G560)</f>
        <v/>
      </c>
      <c r="J560" s="4">
        <f>SUMIFS(df_blueme_sem_parcelamento!E:E,df_blueme_sem_parcelamento!H:H,Conciliacao!A560)*(-1)</f>
        <v/>
      </c>
      <c r="K560" s="4">
        <f>SUMIFS(df_blueme_com_parcelamento!J:J,df_blueme_com_parcelamento!M:M,Conciliacao!A560)*(-1)</f>
        <v/>
      </c>
      <c r="L560" s="4">
        <f>SUMIFS(df_mutuos!N:N,df_mutuos!B:B,Conciliacao!A560)*(-1)</f>
        <v/>
      </c>
      <c r="M560" s="8">
        <f>SUMIFS(df_bloqueios_judiciais!G:G,df_bloqueios_judiciais!D:D,Conciliacao!A560,df_bloqueios_judiciais!G:G,"&lt;0")</f>
        <v/>
      </c>
      <c r="N560" s="10">
        <f>SUMIFS(df_extratos!I:I,df_extratos!F:F,Conciliacao!BE560,df_extratos!G:G,"DEBITO")+SUMIFS(df_extratos!I:I,df_extratos!F:F,Conciliacao!A560,df_extratos!G:G,"DEBITO")+SUMIFS(df_extratos!I:I,df_extratos!F:F,Conciliacao!BF560,df_extratos!G:G,"DEBITO")+SUMIFS(df_extratos!I:I,df_extratos!F:F,Conciliacao!BG560,df_extratos!G:G,"DEBITO")+SUMIFS(df_extratos!I:I,df_extratos!F:F,Conciliacao!BH560,df_extratos!G:G,"DEBITO")</f>
        <v/>
      </c>
      <c r="O560" s="11">
        <f>N560-SUM(J560:M560)</f>
        <v/>
      </c>
      <c r="P560" s="25">
        <f>SUMIFS(df_ajustes_conciliaco!D:D,df_ajustes_conciliaco!C:C,Conciliacao!A560)</f>
        <v/>
      </c>
      <c r="Q560" s="22">
        <f>O560+I560-P560</f>
        <v/>
      </c>
    </row>
    <row r="561">
      <c r="A561" s="5">
        <f>A560+1</f>
        <v/>
      </c>
      <c r="B561" s="3">
        <f>-SUMIFS(df_extrato_zig!G:G,df_extrato_zig!E:E,Conciliacao!A561,df_extrato_zig!D:D,"Saque")-SUMIFS(df_extrato_zig!G:G,df_extrato_zig!E:E,Conciliacao!A561,df_extrato_zig!D:D,"Antecipação")</f>
        <v/>
      </c>
      <c r="C561" s="3">
        <f>SUMIFS(df_extrato_zig!E:E,df_extrato_zig!L:L,Conciliacao!A561,df_extrato_zig!F:F,"DINHEIRO")</f>
        <v/>
      </c>
      <c r="D561" s="3">
        <f>SUMIFS(view_parc_agrup!H:H,view_parc_agrup!G:G,Conciliacao!A561)</f>
        <v/>
      </c>
      <c r="E561" s="3">
        <f>SUMIFS(df_eventos!F:F,df_eventos!H:H,Conciliacao!A561)</f>
        <v/>
      </c>
      <c r="F561" s="3">
        <f>SUMIFS(df_mutuos!M:M,df_mutuos!B:B,Conciliacao!A561)</f>
        <v/>
      </c>
      <c r="G561" s="6">
        <f>SUMIFS(df_bloqueios_judiciais!G:G,df_bloqueios_judiciais!D:D,Conciliacao!A561,df_bloqueios_judiciais!G:G,"&gt;0")</f>
        <v/>
      </c>
      <c r="H561" s="7">
        <f>SUMIFS(df_extratos!I:I,df_extratos!F:F,Conciliacao!BE561,df_extratos!G:G,"CREDITO")+SUMIFS(df_extratos!I:I,df_extratos!F:F,Conciliacao!A561,df_extratos!G:G,"CREDITO")+SUMIFS(df_extratos!I:I,df_extratos!F:F,Conciliacao!BF561,df_extratos!G:G,"CREDITO")+SUMIFS(df_extratos!I:I,df_extratos!F:F,Conciliacao!BG561,df_extratos!G:G,"CREDITO")+SUMIFS(df_extratos!I:I,df_extratos!F:F,Conciliacao!BH561,df_extratos!G:G,"CREDITO")</f>
        <v/>
      </c>
      <c r="I561" s="9">
        <f>H561-SUM(B561:G561)</f>
        <v/>
      </c>
      <c r="J561" s="4">
        <f>SUMIFS(df_blueme_sem_parcelamento!E:E,df_blueme_sem_parcelamento!H:H,Conciliacao!A561)*(-1)</f>
        <v/>
      </c>
      <c r="K561" s="4">
        <f>SUMIFS(df_blueme_com_parcelamento!J:J,df_blueme_com_parcelamento!M:M,Conciliacao!A561)*(-1)</f>
        <v/>
      </c>
      <c r="L561" s="4">
        <f>SUMIFS(df_mutuos!N:N,df_mutuos!B:B,Conciliacao!A561)*(-1)</f>
        <v/>
      </c>
      <c r="M561" s="8">
        <f>SUMIFS(df_bloqueios_judiciais!G:G,df_bloqueios_judiciais!D:D,Conciliacao!A561,df_bloqueios_judiciais!G:G,"&lt;0")</f>
        <v/>
      </c>
      <c r="N561" s="10">
        <f>SUMIFS(df_extratos!I:I,df_extratos!F:F,Conciliacao!BE561,df_extratos!G:G,"DEBITO")+SUMIFS(df_extratos!I:I,df_extratos!F:F,Conciliacao!A561,df_extratos!G:G,"DEBITO")+SUMIFS(df_extratos!I:I,df_extratos!F:F,Conciliacao!BF561,df_extratos!G:G,"DEBITO")+SUMIFS(df_extratos!I:I,df_extratos!F:F,Conciliacao!BG561,df_extratos!G:G,"DEBITO")+SUMIFS(df_extratos!I:I,df_extratos!F:F,Conciliacao!BH561,df_extratos!G:G,"DEBITO")</f>
        <v/>
      </c>
      <c r="O561" s="11">
        <f>N561-SUM(J561:M561)</f>
        <v/>
      </c>
      <c r="P561" s="25">
        <f>SUMIFS(df_ajustes_conciliaco!D:D,df_ajustes_conciliaco!C:C,Conciliacao!A561)</f>
        <v/>
      </c>
      <c r="Q561" s="22">
        <f>O561+I561-P561</f>
        <v/>
      </c>
    </row>
    <row r="562">
      <c r="A562" s="5">
        <f>A561+1</f>
        <v/>
      </c>
      <c r="B562" s="3">
        <f>-SUMIFS(df_extrato_zig!G:G,df_extrato_zig!E:E,Conciliacao!A562,df_extrato_zig!D:D,"Saque")-SUMIFS(df_extrato_zig!G:G,df_extrato_zig!E:E,Conciliacao!A562,df_extrato_zig!D:D,"Antecipação")</f>
        <v/>
      </c>
      <c r="C562" s="3">
        <f>SUMIFS(df_extrato_zig!E:E,df_extrato_zig!L:L,Conciliacao!A562,df_extrato_zig!F:F,"DINHEIRO")</f>
        <v/>
      </c>
      <c r="D562" s="3">
        <f>SUMIFS(view_parc_agrup!H:H,view_parc_agrup!G:G,Conciliacao!A562)</f>
        <v/>
      </c>
      <c r="E562" s="3">
        <f>SUMIFS(df_eventos!F:F,df_eventos!H:H,Conciliacao!A562)</f>
        <v/>
      </c>
      <c r="F562" s="3">
        <f>SUMIFS(df_mutuos!M:M,df_mutuos!B:B,Conciliacao!A562)</f>
        <v/>
      </c>
      <c r="G562" s="6">
        <f>SUMIFS(df_bloqueios_judiciais!G:G,df_bloqueios_judiciais!D:D,Conciliacao!A562,df_bloqueios_judiciais!G:G,"&gt;0")</f>
        <v/>
      </c>
      <c r="H562" s="7">
        <f>SUMIFS(df_extratos!I:I,df_extratos!F:F,Conciliacao!BE562,df_extratos!G:G,"CREDITO")+SUMIFS(df_extratos!I:I,df_extratos!F:F,Conciliacao!A562,df_extratos!G:G,"CREDITO")+SUMIFS(df_extratos!I:I,df_extratos!F:F,Conciliacao!BF562,df_extratos!G:G,"CREDITO")+SUMIFS(df_extratos!I:I,df_extratos!F:F,Conciliacao!BG562,df_extratos!G:G,"CREDITO")+SUMIFS(df_extratos!I:I,df_extratos!F:F,Conciliacao!BH562,df_extratos!G:G,"CREDITO")</f>
        <v/>
      </c>
      <c r="I562" s="9">
        <f>H562-SUM(B562:G562)</f>
        <v/>
      </c>
      <c r="J562" s="4">
        <f>SUMIFS(df_blueme_sem_parcelamento!E:E,df_blueme_sem_parcelamento!H:H,Conciliacao!A562)*(-1)</f>
        <v/>
      </c>
      <c r="K562" s="4">
        <f>SUMIFS(df_blueme_com_parcelamento!J:J,df_blueme_com_parcelamento!M:M,Conciliacao!A562)*(-1)</f>
        <v/>
      </c>
      <c r="L562" s="4">
        <f>SUMIFS(df_mutuos!N:N,df_mutuos!B:B,Conciliacao!A562)*(-1)</f>
        <v/>
      </c>
      <c r="M562" s="8">
        <f>SUMIFS(df_bloqueios_judiciais!G:G,df_bloqueios_judiciais!D:D,Conciliacao!A562,df_bloqueios_judiciais!G:G,"&lt;0")</f>
        <v/>
      </c>
      <c r="N562" s="10">
        <f>SUMIFS(df_extratos!I:I,df_extratos!F:F,Conciliacao!BE562,df_extratos!G:G,"DEBITO")+SUMIFS(df_extratos!I:I,df_extratos!F:F,Conciliacao!A562,df_extratos!G:G,"DEBITO")+SUMIFS(df_extratos!I:I,df_extratos!F:F,Conciliacao!BF562,df_extratos!G:G,"DEBITO")+SUMIFS(df_extratos!I:I,df_extratos!F:F,Conciliacao!BG562,df_extratos!G:G,"DEBITO")+SUMIFS(df_extratos!I:I,df_extratos!F:F,Conciliacao!BH562,df_extratos!G:G,"DEBITO")</f>
        <v/>
      </c>
      <c r="O562" s="11">
        <f>N562-SUM(J562:M562)</f>
        <v/>
      </c>
      <c r="P562" s="25">
        <f>SUMIFS(df_ajustes_conciliaco!D:D,df_ajustes_conciliaco!C:C,Conciliacao!A562)</f>
        <v/>
      </c>
      <c r="Q562" s="22">
        <f>O562+I562-P562</f>
        <v/>
      </c>
    </row>
    <row r="563">
      <c r="A563" s="5">
        <f>A562+1</f>
        <v/>
      </c>
      <c r="B563" s="3">
        <f>-SUMIFS(df_extrato_zig!G:G,df_extrato_zig!E:E,Conciliacao!A563,df_extrato_zig!D:D,"Saque")-SUMIFS(df_extrato_zig!G:G,df_extrato_zig!E:E,Conciliacao!A563,df_extrato_zig!D:D,"Antecipação")</f>
        <v/>
      </c>
      <c r="C563" s="3">
        <f>SUMIFS(df_extrato_zig!E:E,df_extrato_zig!L:L,Conciliacao!A563,df_extrato_zig!F:F,"DINHEIRO")</f>
        <v/>
      </c>
      <c r="D563" s="3">
        <f>SUMIFS(view_parc_agrup!H:H,view_parc_agrup!G:G,Conciliacao!A563)</f>
        <v/>
      </c>
      <c r="E563" s="3">
        <f>SUMIFS(df_eventos!F:F,df_eventos!H:H,Conciliacao!A563)</f>
        <v/>
      </c>
      <c r="F563" s="3">
        <f>SUMIFS(df_mutuos!M:M,df_mutuos!B:B,Conciliacao!A563)</f>
        <v/>
      </c>
      <c r="G563" s="6">
        <f>SUMIFS(df_bloqueios_judiciais!G:G,df_bloqueios_judiciais!D:D,Conciliacao!A563,df_bloqueios_judiciais!G:G,"&gt;0")</f>
        <v/>
      </c>
      <c r="H563" s="7">
        <f>SUMIFS(df_extratos!I:I,df_extratos!F:F,Conciliacao!BE563,df_extratos!G:G,"CREDITO")+SUMIFS(df_extratos!I:I,df_extratos!F:F,Conciliacao!A563,df_extratos!G:G,"CREDITO")+SUMIFS(df_extratos!I:I,df_extratos!F:F,Conciliacao!BF563,df_extratos!G:G,"CREDITO")+SUMIFS(df_extratos!I:I,df_extratos!F:F,Conciliacao!BG563,df_extratos!G:G,"CREDITO")+SUMIFS(df_extratos!I:I,df_extratos!F:F,Conciliacao!BH563,df_extratos!G:G,"CREDITO")</f>
        <v/>
      </c>
      <c r="I563" s="9">
        <f>H563-SUM(B563:G563)</f>
        <v/>
      </c>
      <c r="J563" s="4">
        <f>SUMIFS(df_blueme_sem_parcelamento!E:E,df_blueme_sem_parcelamento!H:H,Conciliacao!A563)*(-1)</f>
        <v/>
      </c>
      <c r="K563" s="4">
        <f>SUMIFS(df_blueme_com_parcelamento!J:J,df_blueme_com_parcelamento!M:M,Conciliacao!A563)*(-1)</f>
        <v/>
      </c>
      <c r="L563" s="4">
        <f>SUMIFS(df_mutuos!N:N,df_mutuos!B:B,Conciliacao!A563)*(-1)</f>
        <v/>
      </c>
      <c r="M563" s="8">
        <f>SUMIFS(df_bloqueios_judiciais!G:G,df_bloqueios_judiciais!D:D,Conciliacao!A563,df_bloqueios_judiciais!G:G,"&lt;0")</f>
        <v/>
      </c>
      <c r="N563" s="10">
        <f>SUMIFS(df_extratos!I:I,df_extratos!F:F,Conciliacao!BE563,df_extratos!G:G,"DEBITO")+SUMIFS(df_extratos!I:I,df_extratos!F:F,Conciliacao!A563,df_extratos!G:G,"DEBITO")+SUMIFS(df_extratos!I:I,df_extratos!F:F,Conciliacao!BF563,df_extratos!G:G,"DEBITO")+SUMIFS(df_extratos!I:I,df_extratos!F:F,Conciliacao!BG563,df_extratos!G:G,"DEBITO")+SUMIFS(df_extratos!I:I,df_extratos!F:F,Conciliacao!BH563,df_extratos!G:G,"DEBITO")</f>
        <v/>
      </c>
      <c r="O563" s="11">
        <f>N563-SUM(J563:M563)</f>
        <v/>
      </c>
      <c r="P563" s="25">
        <f>SUMIFS(df_ajustes_conciliaco!D:D,df_ajustes_conciliaco!C:C,Conciliacao!A563)</f>
        <v/>
      </c>
      <c r="Q563" s="22">
        <f>O563+I563-P563</f>
        <v/>
      </c>
    </row>
    <row r="564">
      <c r="A564" s="5">
        <f>A563+1</f>
        <v/>
      </c>
      <c r="B564" s="3">
        <f>-SUMIFS(df_extrato_zig!G:G,df_extrato_zig!E:E,Conciliacao!A564,df_extrato_zig!D:D,"Saque")-SUMIFS(df_extrato_zig!G:G,df_extrato_zig!E:E,Conciliacao!A564,df_extrato_zig!D:D,"Antecipação")</f>
        <v/>
      </c>
      <c r="C564" s="3">
        <f>SUMIFS(df_extrato_zig!E:E,df_extrato_zig!L:L,Conciliacao!A564,df_extrato_zig!F:F,"DINHEIRO")</f>
        <v/>
      </c>
      <c r="D564" s="3">
        <f>SUMIFS(view_parc_agrup!H:H,view_parc_agrup!G:G,Conciliacao!A564)</f>
        <v/>
      </c>
      <c r="E564" s="3">
        <f>SUMIFS(df_eventos!F:F,df_eventos!H:H,Conciliacao!A564)</f>
        <v/>
      </c>
      <c r="F564" s="3">
        <f>SUMIFS(df_mutuos!M:M,df_mutuos!B:B,Conciliacao!A564)</f>
        <v/>
      </c>
      <c r="G564" s="6">
        <f>SUMIFS(df_bloqueios_judiciais!G:G,df_bloqueios_judiciais!D:D,Conciliacao!A564,df_bloqueios_judiciais!G:G,"&gt;0")</f>
        <v/>
      </c>
      <c r="H564" s="7">
        <f>SUMIFS(df_extratos!I:I,df_extratos!F:F,Conciliacao!BE564,df_extratos!G:G,"CREDITO")+SUMIFS(df_extratos!I:I,df_extratos!F:F,Conciliacao!A564,df_extratos!G:G,"CREDITO")+SUMIFS(df_extratos!I:I,df_extratos!F:F,Conciliacao!BF564,df_extratos!G:G,"CREDITO")+SUMIFS(df_extratos!I:I,df_extratos!F:F,Conciliacao!BG564,df_extratos!G:G,"CREDITO")+SUMIFS(df_extratos!I:I,df_extratos!F:F,Conciliacao!BH564,df_extratos!G:G,"CREDITO")</f>
        <v/>
      </c>
      <c r="I564" s="9">
        <f>H564-SUM(B564:G564)</f>
        <v/>
      </c>
      <c r="J564" s="4">
        <f>SUMIFS(df_blueme_sem_parcelamento!E:E,df_blueme_sem_parcelamento!H:H,Conciliacao!A564)*(-1)</f>
        <v/>
      </c>
      <c r="K564" s="4">
        <f>SUMIFS(df_blueme_com_parcelamento!J:J,df_blueme_com_parcelamento!M:M,Conciliacao!A564)*(-1)</f>
        <v/>
      </c>
      <c r="L564" s="4">
        <f>SUMIFS(df_mutuos!N:N,df_mutuos!B:B,Conciliacao!A564)*(-1)</f>
        <v/>
      </c>
      <c r="M564" s="8">
        <f>SUMIFS(df_bloqueios_judiciais!G:G,df_bloqueios_judiciais!D:D,Conciliacao!A564,df_bloqueios_judiciais!G:G,"&lt;0")</f>
        <v/>
      </c>
      <c r="N564" s="10">
        <f>SUMIFS(df_extratos!I:I,df_extratos!F:F,Conciliacao!BE564,df_extratos!G:G,"DEBITO")+SUMIFS(df_extratos!I:I,df_extratos!F:F,Conciliacao!A564,df_extratos!G:G,"DEBITO")+SUMIFS(df_extratos!I:I,df_extratos!F:F,Conciliacao!BF564,df_extratos!G:G,"DEBITO")+SUMIFS(df_extratos!I:I,df_extratos!F:F,Conciliacao!BG564,df_extratos!G:G,"DEBITO")+SUMIFS(df_extratos!I:I,df_extratos!F:F,Conciliacao!BH564,df_extratos!G:G,"DEBITO")</f>
        <v/>
      </c>
      <c r="O564" s="11">
        <f>N564-SUM(J564:M564)</f>
        <v/>
      </c>
      <c r="P564" s="25">
        <f>SUMIFS(df_ajustes_conciliaco!D:D,df_ajustes_conciliaco!C:C,Conciliacao!A564)</f>
        <v/>
      </c>
      <c r="Q564" s="22">
        <f>O564+I564-P564</f>
        <v/>
      </c>
    </row>
    <row r="565">
      <c r="A565" s="5">
        <f>A564+1</f>
        <v/>
      </c>
      <c r="B565" s="3">
        <f>-SUMIFS(df_extrato_zig!G:G,df_extrato_zig!E:E,Conciliacao!A565,df_extrato_zig!D:D,"Saque")-SUMIFS(df_extrato_zig!G:G,df_extrato_zig!E:E,Conciliacao!A565,df_extrato_zig!D:D,"Antecipação")</f>
        <v/>
      </c>
      <c r="C565" s="3">
        <f>SUMIFS(df_extrato_zig!E:E,df_extrato_zig!L:L,Conciliacao!A565,df_extrato_zig!F:F,"DINHEIRO")</f>
        <v/>
      </c>
      <c r="D565" s="3">
        <f>SUMIFS(view_parc_agrup!H:H,view_parc_agrup!G:G,Conciliacao!A565)</f>
        <v/>
      </c>
      <c r="E565" s="3">
        <f>SUMIFS(df_eventos!F:F,df_eventos!H:H,Conciliacao!A565)</f>
        <v/>
      </c>
      <c r="F565" s="3">
        <f>SUMIFS(df_mutuos!M:M,df_mutuos!B:B,Conciliacao!A565)</f>
        <v/>
      </c>
      <c r="G565" s="6">
        <f>SUMIFS(df_bloqueios_judiciais!G:G,df_bloqueios_judiciais!D:D,Conciliacao!A565,df_bloqueios_judiciais!G:G,"&gt;0")</f>
        <v/>
      </c>
      <c r="H565" s="7">
        <f>SUMIFS(df_extratos!I:I,df_extratos!F:F,Conciliacao!BE565,df_extratos!G:G,"CREDITO")+SUMIFS(df_extratos!I:I,df_extratos!F:F,Conciliacao!A565,df_extratos!G:G,"CREDITO")+SUMIFS(df_extratos!I:I,df_extratos!F:F,Conciliacao!BF565,df_extratos!G:G,"CREDITO")+SUMIFS(df_extratos!I:I,df_extratos!F:F,Conciliacao!BG565,df_extratos!G:G,"CREDITO")+SUMIFS(df_extratos!I:I,df_extratos!F:F,Conciliacao!BH565,df_extratos!G:G,"CREDITO")</f>
        <v/>
      </c>
      <c r="I565" s="9">
        <f>H565-SUM(B565:G565)</f>
        <v/>
      </c>
      <c r="J565" s="4">
        <f>SUMIFS(df_blueme_sem_parcelamento!E:E,df_blueme_sem_parcelamento!H:H,Conciliacao!A565)*(-1)</f>
        <v/>
      </c>
      <c r="K565" s="4">
        <f>SUMIFS(df_blueme_com_parcelamento!J:J,df_blueme_com_parcelamento!M:M,Conciliacao!A565)*(-1)</f>
        <v/>
      </c>
      <c r="L565" s="4">
        <f>SUMIFS(df_mutuos!N:N,df_mutuos!B:B,Conciliacao!A565)*(-1)</f>
        <v/>
      </c>
      <c r="M565" s="8">
        <f>SUMIFS(df_bloqueios_judiciais!G:G,df_bloqueios_judiciais!D:D,Conciliacao!A565,df_bloqueios_judiciais!G:G,"&lt;0")</f>
        <v/>
      </c>
      <c r="N565" s="10">
        <f>SUMIFS(df_extratos!I:I,df_extratos!F:F,Conciliacao!BE565,df_extratos!G:G,"DEBITO")+SUMIFS(df_extratos!I:I,df_extratos!F:F,Conciliacao!A565,df_extratos!G:G,"DEBITO")+SUMIFS(df_extratos!I:I,df_extratos!F:F,Conciliacao!BF565,df_extratos!G:G,"DEBITO")+SUMIFS(df_extratos!I:I,df_extratos!F:F,Conciliacao!BG565,df_extratos!G:G,"DEBITO")+SUMIFS(df_extratos!I:I,df_extratos!F:F,Conciliacao!BH565,df_extratos!G:G,"DEBITO")</f>
        <v/>
      </c>
      <c r="O565" s="11">
        <f>N565-SUM(J565:M565)</f>
        <v/>
      </c>
      <c r="P565" s="25">
        <f>SUMIFS(df_ajustes_conciliaco!D:D,df_ajustes_conciliaco!C:C,Conciliacao!A565)</f>
        <v/>
      </c>
      <c r="Q565" s="22">
        <f>O565+I565-P565</f>
        <v/>
      </c>
    </row>
    <row r="566">
      <c r="A566" s="5">
        <f>A565+1</f>
        <v/>
      </c>
      <c r="B566" s="3">
        <f>-SUMIFS(df_extrato_zig!G:G,df_extrato_zig!E:E,Conciliacao!A566,df_extrato_zig!D:D,"Saque")-SUMIFS(df_extrato_zig!G:G,df_extrato_zig!E:E,Conciliacao!A566,df_extrato_zig!D:D,"Antecipação")</f>
        <v/>
      </c>
      <c r="C566" s="3">
        <f>SUMIFS(df_extrato_zig!E:E,df_extrato_zig!L:L,Conciliacao!A566,df_extrato_zig!F:F,"DINHEIRO")</f>
        <v/>
      </c>
      <c r="D566" s="3">
        <f>SUMIFS(view_parc_agrup!H:H,view_parc_agrup!G:G,Conciliacao!A566)</f>
        <v/>
      </c>
      <c r="E566" s="3">
        <f>SUMIFS(df_eventos!F:F,df_eventos!H:H,Conciliacao!A566)</f>
        <v/>
      </c>
      <c r="F566" s="3">
        <f>SUMIFS(df_mutuos!M:M,df_mutuos!B:B,Conciliacao!A566)</f>
        <v/>
      </c>
      <c r="G566" s="6">
        <f>SUMIFS(df_bloqueios_judiciais!G:G,df_bloqueios_judiciais!D:D,Conciliacao!A566,df_bloqueios_judiciais!G:G,"&gt;0")</f>
        <v/>
      </c>
      <c r="H566" s="7">
        <f>SUMIFS(df_extratos!I:I,df_extratos!F:F,Conciliacao!BE566,df_extratos!G:G,"CREDITO")+SUMIFS(df_extratos!I:I,df_extratos!F:F,Conciliacao!A566,df_extratos!G:G,"CREDITO")+SUMIFS(df_extratos!I:I,df_extratos!F:F,Conciliacao!BF566,df_extratos!G:G,"CREDITO")+SUMIFS(df_extratos!I:I,df_extratos!F:F,Conciliacao!BG566,df_extratos!G:G,"CREDITO")+SUMIFS(df_extratos!I:I,df_extratos!F:F,Conciliacao!BH566,df_extratos!G:G,"CREDITO")</f>
        <v/>
      </c>
      <c r="I566" s="9">
        <f>H566-SUM(B566:G566)</f>
        <v/>
      </c>
      <c r="J566" s="4">
        <f>SUMIFS(df_blueme_sem_parcelamento!E:E,df_blueme_sem_parcelamento!H:H,Conciliacao!A566)*(-1)</f>
        <v/>
      </c>
      <c r="K566" s="4">
        <f>SUMIFS(df_blueme_com_parcelamento!J:J,df_blueme_com_parcelamento!M:M,Conciliacao!A566)*(-1)</f>
        <v/>
      </c>
      <c r="L566" s="4">
        <f>SUMIFS(df_mutuos!N:N,df_mutuos!B:B,Conciliacao!A566)*(-1)</f>
        <v/>
      </c>
      <c r="M566" s="8">
        <f>SUMIFS(df_bloqueios_judiciais!G:G,df_bloqueios_judiciais!D:D,Conciliacao!A566,df_bloqueios_judiciais!G:G,"&lt;0")</f>
        <v/>
      </c>
      <c r="N566" s="10">
        <f>SUMIFS(df_extratos!I:I,df_extratos!F:F,Conciliacao!BE566,df_extratos!G:G,"DEBITO")+SUMIFS(df_extratos!I:I,df_extratos!F:F,Conciliacao!A566,df_extratos!G:G,"DEBITO")+SUMIFS(df_extratos!I:I,df_extratos!F:F,Conciliacao!BF566,df_extratos!G:G,"DEBITO")+SUMIFS(df_extratos!I:I,df_extratos!F:F,Conciliacao!BG566,df_extratos!G:G,"DEBITO")+SUMIFS(df_extratos!I:I,df_extratos!F:F,Conciliacao!BH566,df_extratos!G:G,"DEBITO")</f>
        <v/>
      </c>
      <c r="O566" s="11">
        <f>N566-SUM(J566:M566)</f>
        <v/>
      </c>
      <c r="P566" s="25">
        <f>SUMIFS(df_ajustes_conciliaco!D:D,df_ajustes_conciliaco!C:C,Conciliacao!A566)</f>
        <v/>
      </c>
      <c r="Q566" s="22">
        <f>O566+I566-P566</f>
        <v/>
      </c>
    </row>
    <row r="567">
      <c r="A567" s="5">
        <f>A566+1</f>
        <v/>
      </c>
      <c r="B567" s="3">
        <f>-SUMIFS(df_extrato_zig!G:G,df_extrato_zig!E:E,Conciliacao!A567,df_extrato_zig!D:D,"Saque")-SUMIFS(df_extrato_zig!G:G,df_extrato_zig!E:E,Conciliacao!A567,df_extrato_zig!D:D,"Antecipação")</f>
        <v/>
      </c>
      <c r="C567" s="3">
        <f>SUMIFS(df_extrato_zig!E:E,df_extrato_zig!L:L,Conciliacao!A567,df_extrato_zig!F:F,"DINHEIRO")</f>
        <v/>
      </c>
      <c r="D567" s="3">
        <f>SUMIFS(view_parc_agrup!H:H,view_parc_agrup!G:G,Conciliacao!A567)</f>
        <v/>
      </c>
      <c r="E567" s="3">
        <f>SUMIFS(df_eventos!F:F,df_eventos!H:H,Conciliacao!A567)</f>
        <v/>
      </c>
      <c r="F567" s="3">
        <f>SUMIFS(df_mutuos!M:M,df_mutuos!B:B,Conciliacao!A567)</f>
        <v/>
      </c>
      <c r="G567" s="6">
        <f>SUMIFS(df_bloqueios_judiciais!G:G,df_bloqueios_judiciais!D:D,Conciliacao!A567,df_bloqueios_judiciais!G:G,"&gt;0")</f>
        <v/>
      </c>
      <c r="H567" s="7">
        <f>SUMIFS(df_extratos!I:I,df_extratos!F:F,Conciliacao!BE567,df_extratos!G:G,"CREDITO")+SUMIFS(df_extratos!I:I,df_extratos!F:F,Conciliacao!A567,df_extratos!G:G,"CREDITO")+SUMIFS(df_extratos!I:I,df_extratos!F:F,Conciliacao!BF567,df_extratos!G:G,"CREDITO")+SUMIFS(df_extratos!I:I,df_extratos!F:F,Conciliacao!BG567,df_extratos!G:G,"CREDITO")+SUMIFS(df_extratos!I:I,df_extratos!F:F,Conciliacao!BH567,df_extratos!G:G,"CREDITO")</f>
        <v/>
      </c>
      <c r="I567" s="9">
        <f>H567-SUM(B567:G567)</f>
        <v/>
      </c>
      <c r="J567" s="4">
        <f>SUMIFS(df_blueme_sem_parcelamento!E:E,df_blueme_sem_parcelamento!H:H,Conciliacao!A567)*(-1)</f>
        <v/>
      </c>
      <c r="K567" s="4">
        <f>SUMIFS(df_blueme_com_parcelamento!J:J,df_blueme_com_parcelamento!M:M,Conciliacao!A567)*(-1)</f>
        <v/>
      </c>
      <c r="L567" s="4">
        <f>SUMIFS(df_mutuos!N:N,df_mutuos!B:B,Conciliacao!A567)*(-1)</f>
        <v/>
      </c>
      <c r="M567" s="8">
        <f>SUMIFS(df_bloqueios_judiciais!G:G,df_bloqueios_judiciais!D:D,Conciliacao!A567,df_bloqueios_judiciais!G:G,"&lt;0")</f>
        <v/>
      </c>
      <c r="N567" s="10">
        <f>SUMIFS(df_extratos!I:I,df_extratos!F:F,Conciliacao!BE567,df_extratos!G:G,"DEBITO")+SUMIFS(df_extratos!I:I,df_extratos!F:F,Conciliacao!A567,df_extratos!G:G,"DEBITO")+SUMIFS(df_extratos!I:I,df_extratos!F:F,Conciliacao!BF567,df_extratos!G:G,"DEBITO")+SUMIFS(df_extratos!I:I,df_extratos!F:F,Conciliacao!BG567,df_extratos!G:G,"DEBITO")+SUMIFS(df_extratos!I:I,df_extratos!F:F,Conciliacao!BH567,df_extratos!G:G,"DEBITO")</f>
        <v/>
      </c>
      <c r="O567" s="11">
        <f>N567-SUM(J567:M567)</f>
        <v/>
      </c>
      <c r="P567" s="25">
        <f>SUMIFS(df_ajustes_conciliaco!D:D,df_ajustes_conciliaco!C:C,Conciliacao!A567)</f>
        <v/>
      </c>
      <c r="Q567" s="22">
        <f>O567+I567-P567</f>
        <v/>
      </c>
    </row>
    <row r="568">
      <c r="A568" s="5">
        <f>A567+1</f>
        <v/>
      </c>
      <c r="B568" s="3">
        <f>-SUMIFS(df_extrato_zig!G:G,df_extrato_zig!E:E,Conciliacao!A568,df_extrato_zig!D:D,"Saque")-SUMIFS(df_extrato_zig!G:G,df_extrato_zig!E:E,Conciliacao!A568,df_extrato_zig!D:D,"Antecipação")</f>
        <v/>
      </c>
      <c r="C568" s="3">
        <f>SUMIFS(df_extrato_zig!E:E,df_extrato_zig!L:L,Conciliacao!A568,df_extrato_zig!F:F,"DINHEIRO")</f>
        <v/>
      </c>
      <c r="D568" s="3">
        <f>SUMIFS(view_parc_agrup!H:H,view_parc_agrup!G:G,Conciliacao!A568)</f>
        <v/>
      </c>
      <c r="E568" s="3">
        <f>SUMIFS(df_eventos!F:F,df_eventos!H:H,Conciliacao!A568)</f>
        <v/>
      </c>
      <c r="F568" s="3">
        <f>SUMIFS(df_mutuos!M:M,df_mutuos!B:B,Conciliacao!A568)</f>
        <v/>
      </c>
      <c r="G568" s="6">
        <f>SUMIFS(df_bloqueios_judiciais!G:G,df_bloqueios_judiciais!D:D,Conciliacao!A568,df_bloqueios_judiciais!G:G,"&gt;0")</f>
        <v/>
      </c>
      <c r="H568" s="7">
        <f>SUMIFS(df_extratos!I:I,df_extratos!F:F,Conciliacao!BE568,df_extratos!G:G,"CREDITO")+SUMIFS(df_extratos!I:I,df_extratos!F:F,Conciliacao!A568,df_extratos!G:G,"CREDITO")+SUMIFS(df_extratos!I:I,df_extratos!F:F,Conciliacao!BF568,df_extratos!G:G,"CREDITO")+SUMIFS(df_extratos!I:I,df_extratos!F:F,Conciliacao!BG568,df_extratos!G:G,"CREDITO")+SUMIFS(df_extratos!I:I,df_extratos!F:F,Conciliacao!BH568,df_extratos!G:G,"CREDITO")</f>
        <v/>
      </c>
      <c r="I568" s="9">
        <f>H568-SUM(B568:G568)</f>
        <v/>
      </c>
      <c r="J568" s="4">
        <f>SUMIFS(df_blueme_sem_parcelamento!E:E,df_blueme_sem_parcelamento!H:H,Conciliacao!A568)*(-1)</f>
        <v/>
      </c>
      <c r="K568" s="4">
        <f>SUMIFS(df_blueme_com_parcelamento!J:J,df_blueme_com_parcelamento!M:M,Conciliacao!A568)*(-1)</f>
        <v/>
      </c>
      <c r="L568" s="4">
        <f>SUMIFS(df_mutuos!N:N,df_mutuos!B:B,Conciliacao!A568)*(-1)</f>
        <v/>
      </c>
      <c r="M568" s="8">
        <f>SUMIFS(df_bloqueios_judiciais!G:G,df_bloqueios_judiciais!D:D,Conciliacao!A568,df_bloqueios_judiciais!G:G,"&lt;0")</f>
        <v/>
      </c>
      <c r="N568" s="10">
        <f>SUMIFS(df_extratos!I:I,df_extratos!F:F,Conciliacao!BE568,df_extratos!G:G,"DEBITO")+SUMIFS(df_extratos!I:I,df_extratos!F:F,Conciliacao!A568,df_extratos!G:G,"DEBITO")+SUMIFS(df_extratos!I:I,df_extratos!F:F,Conciliacao!BF568,df_extratos!G:G,"DEBITO")+SUMIFS(df_extratos!I:I,df_extratos!F:F,Conciliacao!BG568,df_extratos!G:G,"DEBITO")+SUMIFS(df_extratos!I:I,df_extratos!F:F,Conciliacao!BH568,df_extratos!G:G,"DEBITO")</f>
        <v/>
      </c>
      <c r="O568" s="11">
        <f>N568-SUM(J568:M568)</f>
        <v/>
      </c>
      <c r="P568" s="25">
        <f>SUMIFS(df_ajustes_conciliaco!D:D,df_ajustes_conciliaco!C:C,Conciliacao!A568)</f>
        <v/>
      </c>
      <c r="Q568" s="22">
        <f>O568+I568-P568</f>
        <v/>
      </c>
    </row>
    <row r="569">
      <c r="A569" s="5">
        <f>A568+1</f>
        <v/>
      </c>
      <c r="B569" s="3">
        <f>-SUMIFS(df_extrato_zig!G:G,df_extrato_zig!E:E,Conciliacao!A569,df_extrato_zig!D:D,"Saque")-SUMIFS(df_extrato_zig!G:G,df_extrato_zig!E:E,Conciliacao!A569,df_extrato_zig!D:D,"Antecipação")</f>
        <v/>
      </c>
      <c r="C569" s="3">
        <f>SUMIFS(df_extrato_zig!E:E,df_extrato_zig!L:L,Conciliacao!A569,df_extrato_zig!F:F,"DINHEIRO")</f>
        <v/>
      </c>
      <c r="D569" s="3">
        <f>SUMIFS(view_parc_agrup!H:H,view_parc_agrup!G:G,Conciliacao!A569)</f>
        <v/>
      </c>
      <c r="E569" s="3">
        <f>SUMIFS(df_eventos!F:F,df_eventos!H:H,Conciliacao!A569)</f>
        <v/>
      </c>
      <c r="F569" s="3">
        <f>SUMIFS(df_mutuos!M:M,df_mutuos!B:B,Conciliacao!A569)</f>
        <v/>
      </c>
      <c r="G569" s="6">
        <f>SUMIFS(df_bloqueios_judiciais!G:G,df_bloqueios_judiciais!D:D,Conciliacao!A569,df_bloqueios_judiciais!G:G,"&gt;0")</f>
        <v/>
      </c>
      <c r="H569" s="7">
        <f>SUMIFS(df_extratos!I:I,df_extratos!F:F,Conciliacao!BE569,df_extratos!G:G,"CREDITO")+SUMIFS(df_extratos!I:I,df_extratos!F:F,Conciliacao!A569,df_extratos!G:G,"CREDITO")+SUMIFS(df_extratos!I:I,df_extratos!F:F,Conciliacao!BF569,df_extratos!G:G,"CREDITO")+SUMIFS(df_extratos!I:I,df_extratos!F:F,Conciliacao!BG569,df_extratos!G:G,"CREDITO")+SUMIFS(df_extratos!I:I,df_extratos!F:F,Conciliacao!BH569,df_extratos!G:G,"CREDITO")</f>
        <v/>
      </c>
      <c r="I569" s="9">
        <f>H569-SUM(B569:G569)</f>
        <v/>
      </c>
      <c r="J569" s="4">
        <f>SUMIFS(df_blueme_sem_parcelamento!E:E,df_blueme_sem_parcelamento!H:H,Conciliacao!A569)*(-1)</f>
        <v/>
      </c>
      <c r="K569" s="4">
        <f>SUMIFS(df_blueme_com_parcelamento!J:J,df_blueme_com_parcelamento!M:M,Conciliacao!A569)*(-1)</f>
        <v/>
      </c>
      <c r="L569" s="4">
        <f>SUMIFS(df_mutuos!N:N,df_mutuos!B:B,Conciliacao!A569)*(-1)</f>
        <v/>
      </c>
      <c r="M569" s="8">
        <f>SUMIFS(df_bloqueios_judiciais!G:G,df_bloqueios_judiciais!D:D,Conciliacao!A569,df_bloqueios_judiciais!G:G,"&lt;0")</f>
        <v/>
      </c>
      <c r="N569" s="10">
        <f>SUMIFS(df_extratos!I:I,df_extratos!F:F,Conciliacao!BE569,df_extratos!G:G,"DEBITO")+SUMIFS(df_extratos!I:I,df_extratos!F:F,Conciliacao!A569,df_extratos!G:G,"DEBITO")+SUMIFS(df_extratos!I:I,df_extratos!F:F,Conciliacao!BF569,df_extratos!G:G,"DEBITO")+SUMIFS(df_extratos!I:I,df_extratos!F:F,Conciliacao!BG569,df_extratos!G:G,"DEBITO")+SUMIFS(df_extratos!I:I,df_extratos!F:F,Conciliacao!BH569,df_extratos!G:G,"DEBITO")</f>
        <v/>
      </c>
      <c r="O569" s="11">
        <f>N569-SUM(J569:M569)</f>
        <v/>
      </c>
      <c r="P569" s="25">
        <f>SUMIFS(df_ajustes_conciliaco!D:D,df_ajustes_conciliaco!C:C,Conciliacao!A569)</f>
        <v/>
      </c>
      <c r="Q569" s="22">
        <f>O569+I569-P569</f>
        <v/>
      </c>
    </row>
    <row r="570">
      <c r="A570" s="5">
        <f>A569+1</f>
        <v/>
      </c>
      <c r="B570" s="3">
        <f>-SUMIFS(df_extrato_zig!G:G,df_extrato_zig!E:E,Conciliacao!A570,df_extrato_zig!D:D,"Saque")-SUMIFS(df_extrato_zig!G:G,df_extrato_zig!E:E,Conciliacao!A570,df_extrato_zig!D:D,"Antecipação")</f>
        <v/>
      </c>
      <c r="C570" s="3">
        <f>SUMIFS(df_extrato_zig!E:E,df_extrato_zig!L:L,Conciliacao!A570,df_extrato_zig!F:F,"DINHEIRO")</f>
        <v/>
      </c>
      <c r="D570" s="3">
        <f>SUMIFS(view_parc_agrup!H:H,view_parc_agrup!G:G,Conciliacao!A570)</f>
        <v/>
      </c>
      <c r="E570" s="3">
        <f>SUMIFS(df_eventos!F:F,df_eventos!H:H,Conciliacao!A570)</f>
        <v/>
      </c>
      <c r="F570" s="3">
        <f>SUMIFS(df_mutuos!M:M,df_mutuos!B:B,Conciliacao!A570)</f>
        <v/>
      </c>
      <c r="G570" s="6">
        <f>SUMIFS(df_bloqueios_judiciais!G:G,df_bloqueios_judiciais!D:D,Conciliacao!A570,df_bloqueios_judiciais!G:G,"&gt;0")</f>
        <v/>
      </c>
      <c r="H570" s="7">
        <f>SUMIFS(df_extratos!I:I,df_extratos!F:F,Conciliacao!BE570,df_extratos!G:G,"CREDITO")+SUMIFS(df_extratos!I:I,df_extratos!F:F,Conciliacao!A570,df_extratos!G:G,"CREDITO")+SUMIFS(df_extratos!I:I,df_extratos!F:F,Conciliacao!BF570,df_extratos!G:G,"CREDITO")+SUMIFS(df_extratos!I:I,df_extratos!F:F,Conciliacao!BG570,df_extratos!G:G,"CREDITO")+SUMIFS(df_extratos!I:I,df_extratos!F:F,Conciliacao!BH570,df_extratos!G:G,"CREDITO")</f>
        <v/>
      </c>
      <c r="I570" s="9">
        <f>H570-SUM(B570:G570)</f>
        <v/>
      </c>
      <c r="J570" s="4">
        <f>SUMIFS(df_blueme_sem_parcelamento!E:E,df_blueme_sem_parcelamento!H:H,Conciliacao!A570)*(-1)</f>
        <v/>
      </c>
      <c r="K570" s="4">
        <f>SUMIFS(df_blueme_com_parcelamento!J:J,df_blueme_com_parcelamento!M:M,Conciliacao!A570)*(-1)</f>
        <v/>
      </c>
      <c r="L570" s="4">
        <f>SUMIFS(df_mutuos!N:N,df_mutuos!B:B,Conciliacao!A570)*(-1)</f>
        <v/>
      </c>
      <c r="M570" s="8">
        <f>SUMIFS(df_bloqueios_judiciais!G:G,df_bloqueios_judiciais!D:D,Conciliacao!A570,df_bloqueios_judiciais!G:G,"&lt;0")</f>
        <v/>
      </c>
      <c r="N570" s="10">
        <f>SUMIFS(df_extratos!I:I,df_extratos!F:F,Conciliacao!BE570,df_extratos!G:G,"DEBITO")+SUMIFS(df_extratos!I:I,df_extratos!F:F,Conciliacao!A570,df_extratos!G:G,"DEBITO")+SUMIFS(df_extratos!I:I,df_extratos!F:F,Conciliacao!BF570,df_extratos!G:G,"DEBITO")+SUMIFS(df_extratos!I:I,df_extratos!F:F,Conciliacao!BG570,df_extratos!G:G,"DEBITO")+SUMIFS(df_extratos!I:I,df_extratos!F:F,Conciliacao!BH570,df_extratos!G:G,"DEBITO")</f>
        <v/>
      </c>
      <c r="O570" s="11">
        <f>N570-SUM(J570:M570)</f>
        <v/>
      </c>
      <c r="P570" s="25">
        <f>SUMIFS(df_ajustes_conciliaco!D:D,df_ajustes_conciliaco!C:C,Conciliacao!A570)</f>
        <v/>
      </c>
      <c r="Q570" s="22">
        <f>O570+I570-P570</f>
        <v/>
      </c>
    </row>
    <row r="571">
      <c r="A571" s="5">
        <f>A570+1</f>
        <v/>
      </c>
      <c r="B571" s="3">
        <f>-SUMIFS(df_extrato_zig!G:G,df_extrato_zig!E:E,Conciliacao!A571,df_extrato_zig!D:D,"Saque")-SUMIFS(df_extrato_zig!G:G,df_extrato_zig!E:E,Conciliacao!A571,df_extrato_zig!D:D,"Antecipação")</f>
        <v/>
      </c>
      <c r="C571" s="3">
        <f>SUMIFS(df_extrato_zig!E:E,df_extrato_zig!L:L,Conciliacao!A571,df_extrato_zig!F:F,"DINHEIRO")</f>
        <v/>
      </c>
      <c r="D571" s="3">
        <f>SUMIFS(view_parc_agrup!H:H,view_parc_agrup!G:G,Conciliacao!A571)</f>
        <v/>
      </c>
      <c r="E571" s="3">
        <f>SUMIFS(df_eventos!F:F,df_eventos!H:H,Conciliacao!A571)</f>
        <v/>
      </c>
      <c r="F571" s="3">
        <f>SUMIFS(df_mutuos!M:M,df_mutuos!B:B,Conciliacao!A571)</f>
        <v/>
      </c>
      <c r="G571" s="6">
        <f>SUMIFS(df_bloqueios_judiciais!G:G,df_bloqueios_judiciais!D:D,Conciliacao!A571,df_bloqueios_judiciais!G:G,"&gt;0")</f>
        <v/>
      </c>
      <c r="H571" s="7">
        <f>SUMIFS(df_extratos!I:I,df_extratos!F:F,Conciliacao!BE571,df_extratos!G:G,"CREDITO")+SUMIFS(df_extratos!I:I,df_extratos!F:F,Conciliacao!A571,df_extratos!G:G,"CREDITO")+SUMIFS(df_extratos!I:I,df_extratos!F:F,Conciliacao!BF571,df_extratos!G:G,"CREDITO")+SUMIFS(df_extratos!I:I,df_extratos!F:F,Conciliacao!BG571,df_extratos!G:G,"CREDITO")+SUMIFS(df_extratos!I:I,df_extratos!F:F,Conciliacao!BH571,df_extratos!G:G,"CREDITO")</f>
        <v/>
      </c>
      <c r="I571" s="9">
        <f>H571-SUM(B571:G571)</f>
        <v/>
      </c>
      <c r="J571" s="4">
        <f>SUMIFS(df_blueme_sem_parcelamento!E:E,df_blueme_sem_parcelamento!H:H,Conciliacao!A571)*(-1)</f>
        <v/>
      </c>
      <c r="K571" s="4">
        <f>SUMIFS(df_blueme_com_parcelamento!J:J,df_blueme_com_parcelamento!M:M,Conciliacao!A571)*(-1)</f>
        <v/>
      </c>
      <c r="L571" s="4">
        <f>SUMIFS(df_mutuos!N:N,df_mutuos!B:B,Conciliacao!A571)*(-1)</f>
        <v/>
      </c>
      <c r="M571" s="8">
        <f>SUMIFS(df_bloqueios_judiciais!G:G,df_bloqueios_judiciais!D:D,Conciliacao!A571,df_bloqueios_judiciais!G:G,"&lt;0")</f>
        <v/>
      </c>
      <c r="N571" s="10">
        <f>SUMIFS(df_extratos!I:I,df_extratos!F:F,Conciliacao!BE571,df_extratos!G:G,"DEBITO")+SUMIFS(df_extratos!I:I,df_extratos!F:F,Conciliacao!A571,df_extratos!G:G,"DEBITO")+SUMIFS(df_extratos!I:I,df_extratos!F:F,Conciliacao!BF571,df_extratos!G:G,"DEBITO")+SUMIFS(df_extratos!I:I,df_extratos!F:F,Conciliacao!BG571,df_extratos!G:G,"DEBITO")+SUMIFS(df_extratos!I:I,df_extratos!F:F,Conciliacao!BH571,df_extratos!G:G,"DEBITO")</f>
        <v/>
      </c>
      <c r="O571" s="11">
        <f>N571-SUM(J571:M571)</f>
        <v/>
      </c>
      <c r="P571" s="25">
        <f>SUMIFS(df_ajustes_conciliaco!D:D,df_ajustes_conciliaco!C:C,Conciliacao!A571)</f>
        <v/>
      </c>
      <c r="Q571" s="22">
        <f>O571+I571-P571</f>
        <v/>
      </c>
    </row>
    <row r="572">
      <c r="A572" s="5">
        <f>A571+1</f>
        <v/>
      </c>
      <c r="B572" s="3">
        <f>-SUMIFS(df_extrato_zig!G:G,df_extrato_zig!E:E,Conciliacao!A572,df_extrato_zig!D:D,"Saque")-SUMIFS(df_extrato_zig!G:G,df_extrato_zig!E:E,Conciliacao!A572,df_extrato_zig!D:D,"Antecipação")</f>
        <v/>
      </c>
      <c r="C572" s="3">
        <f>SUMIFS(df_extrato_zig!E:E,df_extrato_zig!L:L,Conciliacao!A572,df_extrato_zig!F:F,"DINHEIRO")</f>
        <v/>
      </c>
      <c r="D572" s="3">
        <f>SUMIFS(view_parc_agrup!H:H,view_parc_agrup!G:G,Conciliacao!A572)</f>
        <v/>
      </c>
      <c r="E572" s="3">
        <f>SUMIFS(df_eventos!F:F,df_eventos!H:H,Conciliacao!A572)</f>
        <v/>
      </c>
      <c r="F572" s="3">
        <f>SUMIFS(df_mutuos!M:M,df_mutuos!B:B,Conciliacao!A572)</f>
        <v/>
      </c>
      <c r="G572" s="6">
        <f>SUMIFS(df_bloqueios_judiciais!G:G,df_bloqueios_judiciais!D:D,Conciliacao!A572,df_bloqueios_judiciais!G:G,"&gt;0")</f>
        <v/>
      </c>
      <c r="H572" s="7">
        <f>SUMIFS(df_extratos!I:I,df_extratos!F:F,Conciliacao!BE572,df_extratos!G:G,"CREDITO")+SUMIFS(df_extratos!I:I,df_extratos!F:F,Conciliacao!A572,df_extratos!G:G,"CREDITO")+SUMIFS(df_extratos!I:I,df_extratos!F:F,Conciliacao!BF572,df_extratos!G:G,"CREDITO")+SUMIFS(df_extratos!I:I,df_extratos!F:F,Conciliacao!BG572,df_extratos!G:G,"CREDITO")+SUMIFS(df_extratos!I:I,df_extratos!F:F,Conciliacao!BH572,df_extratos!G:G,"CREDITO")</f>
        <v/>
      </c>
      <c r="I572" s="9">
        <f>H572-SUM(B572:G572)</f>
        <v/>
      </c>
      <c r="J572" s="4">
        <f>SUMIFS(df_blueme_sem_parcelamento!E:E,df_blueme_sem_parcelamento!H:H,Conciliacao!A572)*(-1)</f>
        <v/>
      </c>
      <c r="K572" s="4">
        <f>SUMIFS(df_blueme_com_parcelamento!J:J,df_blueme_com_parcelamento!M:M,Conciliacao!A572)*(-1)</f>
        <v/>
      </c>
      <c r="L572" s="4">
        <f>SUMIFS(df_mutuos!N:N,df_mutuos!B:B,Conciliacao!A572)*(-1)</f>
        <v/>
      </c>
      <c r="M572" s="8">
        <f>SUMIFS(df_bloqueios_judiciais!G:G,df_bloqueios_judiciais!D:D,Conciliacao!A572,df_bloqueios_judiciais!G:G,"&lt;0")</f>
        <v/>
      </c>
      <c r="N572" s="10">
        <f>SUMIFS(df_extratos!I:I,df_extratos!F:F,Conciliacao!BE572,df_extratos!G:G,"DEBITO")+SUMIFS(df_extratos!I:I,df_extratos!F:F,Conciliacao!A572,df_extratos!G:G,"DEBITO")+SUMIFS(df_extratos!I:I,df_extratos!F:F,Conciliacao!BF572,df_extratos!G:G,"DEBITO")+SUMIFS(df_extratos!I:I,df_extratos!F:F,Conciliacao!BG572,df_extratos!G:G,"DEBITO")+SUMIFS(df_extratos!I:I,df_extratos!F:F,Conciliacao!BH572,df_extratos!G:G,"DEBITO")</f>
        <v/>
      </c>
      <c r="O572" s="11">
        <f>N572-SUM(J572:M572)</f>
        <v/>
      </c>
      <c r="P572" s="25">
        <f>SUMIFS(df_ajustes_conciliaco!D:D,df_ajustes_conciliaco!C:C,Conciliacao!A572)</f>
        <v/>
      </c>
      <c r="Q572" s="22">
        <f>O572+I572-P572</f>
        <v/>
      </c>
    </row>
    <row r="573">
      <c r="A573" s="5">
        <f>A572+1</f>
        <v/>
      </c>
      <c r="B573" s="3">
        <f>-SUMIFS(df_extrato_zig!G:G,df_extrato_zig!E:E,Conciliacao!A573,df_extrato_zig!D:D,"Saque")-SUMIFS(df_extrato_zig!G:G,df_extrato_zig!E:E,Conciliacao!A573,df_extrato_zig!D:D,"Antecipação")</f>
        <v/>
      </c>
      <c r="C573" s="3">
        <f>SUMIFS(df_extrato_zig!E:E,df_extrato_zig!L:L,Conciliacao!A573,df_extrato_zig!F:F,"DINHEIRO")</f>
        <v/>
      </c>
      <c r="D573" s="3">
        <f>SUMIFS(view_parc_agrup!H:H,view_parc_agrup!G:G,Conciliacao!A573)</f>
        <v/>
      </c>
      <c r="E573" s="3">
        <f>SUMIFS(df_eventos!F:F,df_eventos!H:H,Conciliacao!A573)</f>
        <v/>
      </c>
      <c r="F573" s="3">
        <f>SUMIFS(df_mutuos!M:M,df_mutuos!B:B,Conciliacao!A573)</f>
        <v/>
      </c>
      <c r="G573" s="6">
        <f>SUMIFS(df_bloqueios_judiciais!G:G,df_bloqueios_judiciais!D:D,Conciliacao!A573,df_bloqueios_judiciais!G:G,"&gt;0")</f>
        <v/>
      </c>
      <c r="H573" s="7">
        <f>SUMIFS(df_extratos!I:I,df_extratos!F:F,Conciliacao!BE573,df_extratos!G:G,"CREDITO")+SUMIFS(df_extratos!I:I,df_extratos!F:F,Conciliacao!A573,df_extratos!G:G,"CREDITO")+SUMIFS(df_extratos!I:I,df_extratos!F:F,Conciliacao!BF573,df_extratos!G:G,"CREDITO")+SUMIFS(df_extratos!I:I,df_extratos!F:F,Conciliacao!BG573,df_extratos!G:G,"CREDITO")+SUMIFS(df_extratos!I:I,df_extratos!F:F,Conciliacao!BH573,df_extratos!G:G,"CREDITO")</f>
        <v/>
      </c>
      <c r="I573" s="9">
        <f>H573-SUM(B573:G573)</f>
        <v/>
      </c>
      <c r="J573" s="4">
        <f>SUMIFS(df_blueme_sem_parcelamento!E:E,df_blueme_sem_parcelamento!H:H,Conciliacao!A573)*(-1)</f>
        <v/>
      </c>
      <c r="K573" s="4">
        <f>SUMIFS(df_blueme_com_parcelamento!J:J,df_blueme_com_parcelamento!M:M,Conciliacao!A573)*(-1)</f>
        <v/>
      </c>
      <c r="L573" s="4">
        <f>SUMIFS(df_mutuos!N:N,df_mutuos!B:B,Conciliacao!A573)*(-1)</f>
        <v/>
      </c>
      <c r="M573" s="8">
        <f>SUMIFS(df_bloqueios_judiciais!G:G,df_bloqueios_judiciais!D:D,Conciliacao!A573,df_bloqueios_judiciais!G:G,"&lt;0")</f>
        <v/>
      </c>
      <c r="N573" s="10">
        <f>SUMIFS(df_extratos!I:I,df_extratos!F:F,Conciliacao!BE573,df_extratos!G:G,"DEBITO")+SUMIFS(df_extratos!I:I,df_extratos!F:F,Conciliacao!A573,df_extratos!G:G,"DEBITO")+SUMIFS(df_extratos!I:I,df_extratos!F:F,Conciliacao!BF573,df_extratos!G:G,"DEBITO")+SUMIFS(df_extratos!I:I,df_extratos!F:F,Conciliacao!BG573,df_extratos!G:G,"DEBITO")+SUMIFS(df_extratos!I:I,df_extratos!F:F,Conciliacao!BH573,df_extratos!G:G,"DEBITO")</f>
        <v/>
      </c>
      <c r="O573" s="11">
        <f>N573-SUM(J573:M573)</f>
        <v/>
      </c>
      <c r="P573" s="25">
        <f>SUMIFS(df_ajustes_conciliaco!D:D,df_ajustes_conciliaco!C:C,Conciliacao!A573)</f>
        <v/>
      </c>
      <c r="Q573" s="22">
        <f>O573+I573-P573</f>
        <v/>
      </c>
    </row>
    <row r="574">
      <c r="A574" s="5">
        <f>A573+1</f>
        <v/>
      </c>
      <c r="B574" s="3">
        <f>-SUMIFS(df_extrato_zig!G:G,df_extrato_zig!E:E,Conciliacao!A574,df_extrato_zig!D:D,"Saque")-SUMIFS(df_extrato_zig!G:G,df_extrato_zig!E:E,Conciliacao!A574,df_extrato_zig!D:D,"Antecipação")</f>
        <v/>
      </c>
      <c r="C574" s="3">
        <f>SUMIFS(df_extrato_zig!E:E,df_extrato_zig!L:L,Conciliacao!A574,df_extrato_zig!F:F,"DINHEIRO")</f>
        <v/>
      </c>
      <c r="D574" s="3">
        <f>SUMIFS(view_parc_agrup!H:H,view_parc_agrup!G:G,Conciliacao!A574)</f>
        <v/>
      </c>
      <c r="E574" s="3">
        <f>SUMIFS(df_eventos!F:F,df_eventos!H:H,Conciliacao!A574)</f>
        <v/>
      </c>
      <c r="F574" s="3">
        <f>SUMIFS(df_mutuos!M:M,df_mutuos!B:B,Conciliacao!A574)</f>
        <v/>
      </c>
      <c r="G574" s="6">
        <f>SUMIFS(df_bloqueios_judiciais!G:G,df_bloqueios_judiciais!D:D,Conciliacao!A574,df_bloqueios_judiciais!G:G,"&gt;0")</f>
        <v/>
      </c>
      <c r="H574" s="7">
        <f>SUMIFS(df_extratos!I:I,df_extratos!F:F,Conciliacao!BE574,df_extratos!G:G,"CREDITO")+SUMIFS(df_extratos!I:I,df_extratos!F:F,Conciliacao!A574,df_extratos!G:G,"CREDITO")+SUMIFS(df_extratos!I:I,df_extratos!F:F,Conciliacao!BF574,df_extratos!G:G,"CREDITO")+SUMIFS(df_extratos!I:I,df_extratos!F:F,Conciliacao!BG574,df_extratos!G:G,"CREDITO")+SUMIFS(df_extratos!I:I,df_extratos!F:F,Conciliacao!BH574,df_extratos!G:G,"CREDITO")</f>
        <v/>
      </c>
      <c r="I574" s="9">
        <f>H574-SUM(B574:G574)</f>
        <v/>
      </c>
      <c r="J574" s="4">
        <f>SUMIFS(df_blueme_sem_parcelamento!E:E,df_blueme_sem_parcelamento!H:H,Conciliacao!A574)*(-1)</f>
        <v/>
      </c>
      <c r="K574" s="4">
        <f>SUMIFS(df_blueme_com_parcelamento!J:J,df_blueme_com_parcelamento!M:M,Conciliacao!A574)*(-1)</f>
        <v/>
      </c>
      <c r="L574" s="4">
        <f>SUMIFS(df_mutuos!N:N,df_mutuos!B:B,Conciliacao!A574)*(-1)</f>
        <v/>
      </c>
      <c r="M574" s="8">
        <f>SUMIFS(df_bloqueios_judiciais!G:G,df_bloqueios_judiciais!D:D,Conciliacao!A574,df_bloqueios_judiciais!G:G,"&lt;0")</f>
        <v/>
      </c>
      <c r="N574" s="10">
        <f>SUMIFS(df_extratos!I:I,df_extratos!F:F,Conciliacao!BE574,df_extratos!G:G,"DEBITO")+SUMIFS(df_extratos!I:I,df_extratos!F:F,Conciliacao!A574,df_extratos!G:G,"DEBITO")+SUMIFS(df_extratos!I:I,df_extratos!F:F,Conciliacao!BF574,df_extratos!G:G,"DEBITO")+SUMIFS(df_extratos!I:I,df_extratos!F:F,Conciliacao!BG574,df_extratos!G:G,"DEBITO")+SUMIFS(df_extratos!I:I,df_extratos!F:F,Conciliacao!BH574,df_extratos!G:G,"DEBITO")</f>
        <v/>
      </c>
      <c r="O574" s="11">
        <f>N574-SUM(J574:M574)</f>
        <v/>
      </c>
      <c r="P574" s="25">
        <f>SUMIFS(df_ajustes_conciliaco!D:D,df_ajustes_conciliaco!C:C,Conciliacao!A574)</f>
        <v/>
      </c>
      <c r="Q574" s="22">
        <f>O574+I574-P574</f>
        <v/>
      </c>
    </row>
    <row r="575">
      <c r="A575" s="5">
        <f>A574+1</f>
        <v/>
      </c>
      <c r="B575" s="3">
        <f>-SUMIFS(df_extrato_zig!G:G,df_extrato_zig!E:E,Conciliacao!A575,df_extrato_zig!D:D,"Saque")-SUMIFS(df_extrato_zig!G:G,df_extrato_zig!E:E,Conciliacao!A575,df_extrato_zig!D:D,"Antecipação")</f>
        <v/>
      </c>
      <c r="C575" s="3">
        <f>SUMIFS(df_extrato_zig!E:E,df_extrato_zig!L:L,Conciliacao!A575,df_extrato_zig!F:F,"DINHEIRO")</f>
        <v/>
      </c>
      <c r="D575" s="3">
        <f>SUMIFS(view_parc_agrup!H:H,view_parc_agrup!G:G,Conciliacao!A575)</f>
        <v/>
      </c>
      <c r="E575" s="3">
        <f>SUMIFS(df_eventos!F:F,df_eventos!H:H,Conciliacao!A575)</f>
        <v/>
      </c>
      <c r="F575" s="3">
        <f>SUMIFS(df_mutuos!M:M,df_mutuos!B:B,Conciliacao!A575)</f>
        <v/>
      </c>
      <c r="G575" s="6">
        <f>SUMIFS(df_bloqueios_judiciais!G:G,df_bloqueios_judiciais!D:D,Conciliacao!A575,df_bloqueios_judiciais!G:G,"&gt;0")</f>
        <v/>
      </c>
      <c r="H575" s="7">
        <f>SUMIFS(df_extratos!I:I,df_extratos!F:F,Conciliacao!BE575,df_extratos!G:G,"CREDITO")+SUMIFS(df_extratos!I:I,df_extratos!F:F,Conciliacao!A575,df_extratos!G:G,"CREDITO")+SUMIFS(df_extratos!I:I,df_extratos!F:F,Conciliacao!BF575,df_extratos!G:G,"CREDITO")+SUMIFS(df_extratos!I:I,df_extratos!F:F,Conciliacao!BG575,df_extratos!G:G,"CREDITO")+SUMIFS(df_extratos!I:I,df_extratos!F:F,Conciliacao!BH575,df_extratos!G:G,"CREDITO")</f>
        <v/>
      </c>
      <c r="I575" s="9">
        <f>H575-SUM(B575:G575)</f>
        <v/>
      </c>
      <c r="J575" s="4">
        <f>SUMIFS(df_blueme_sem_parcelamento!E:E,df_blueme_sem_parcelamento!H:H,Conciliacao!A575)*(-1)</f>
        <v/>
      </c>
      <c r="K575" s="4">
        <f>SUMIFS(df_blueme_com_parcelamento!J:J,df_blueme_com_parcelamento!M:M,Conciliacao!A575)*(-1)</f>
        <v/>
      </c>
      <c r="L575" s="4">
        <f>SUMIFS(df_mutuos!N:N,df_mutuos!B:B,Conciliacao!A575)*(-1)</f>
        <v/>
      </c>
      <c r="M575" s="8">
        <f>SUMIFS(df_bloqueios_judiciais!G:G,df_bloqueios_judiciais!D:D,Conciliacao!A575,df_bloqueios_judiciais!G:G,"&lt;0")</f>
        <v/>
      </c>
      <c r="N575" s="10">
        <f>SUMIFS(df_extratos!I:I,df_extratos!F:F,Conciliacao!BE575,df_extratos!G:G,"DEBITO")+SUMIFS(df_extratos!I:I,df_extratos!F:F,Conciliacao!A575,df_extratos!G:G,"DEBITO")+SUMIFS(df_extratos!I:I,df_extratos!F:F,Conciliacao!BF575,df_extratos!G:G,"DEBITO")+SUMIFS(df_extratos!I:I,df_extratos!F:F,Conciliacao!BG575,df_extratos!G:G,"DEBITO")+SUMIFS(df_extratos!I:I,df_extratos!F:F,Conciliacao!BH575,df_extratos!G:G,"DEBITO")</f>
        <v/>
      </c>
      <c r="O575" s="11">
        <f>N575-SUM(J575:M575)</f>
        <v/>
      </c>
      <c r="P575" s="25">
        <f>SUMIFS(df_ajustes_conciliaco!D:D,df_ajustes_conciliaco!C:C,Conciliacao!A575)</f>
        <v/>
      </c>
      <c r="Q575" s="22">
        <f>O575+I575-P575</f>
        <v/>
      </c>
    </row>
    <row r="576">
      <c r="A576" s="5">
        <f>A575+1</f>
        <v/>
      </c>
      <c r="B576" s="3">
        <f>-SUMIFS(df_extrato_zig!G:G,df_extrato_zig!E:E,Conciliacao!A576,df_extrato_zig!D:D,"Saque")-SUMIFS(df_extrato_zig!G:G,df_extrato_zig!E:E,Conciliacao!A576,df_extrato_zig!D:D,"Antecipação")</f>
        <v/>
      </c>
      <c r="C576" s="3">
        <f>SUMIFS(df_extrato_zig!E:E,df_extrato_zig!L:L,Conciliacao!A576,df_extrato_zig!F:F,"DINHEIRO")</f>
        <v/>
      </c>
      <c r="D576" s="3">
        <f>SUMIFS(view_parc_agrup!H:H,view_parc_agrup!G:G,Conciliacao!A576)</f>
        <v/>
      </c>
      <c r="E576" s="3">
        <f>SUMIFS(df_eventos!F:F,df_eventos!H:H,Conciliacao!A576)</f>
        <v/>
      </c>
      <c r="F576" s="3">
        <f>SUMIFS(df_mutuos!M:M,df_mutuos!B:B,Conciliacao!A576)</f>
        <v/>
      </c>
      <c r="G576" s="6">
        <f>SUMIFS(df_bloqueios_judiciais!G:G,df_bloqueios_judiciais!D:D,Conciliacao!A576,df_bloqueios_judiciais!G:G,"&gt;0")</f>
        <v/>
      </c>
      <c r="H576" s="7">
        <f>SUMIFS(df_extratos!I:I,df_extratos!F:F,Conciliacao!BE576,df_extratos!G:G,"CREDITO")+SUMIFS(df_extratos!I:I,df_extratos!F:F,Conciliacao!A576,df_extratos!G:G,"CREDITO")+SUMIFS(df_extratos!I:I,df_extratos!F:F,Conciliacao!BF576,df_extratos!G:G,"CREDITO")+SUMIFS(df_extratos!I:I,df_extratos!F:F,Conciliacao!BG576,df_extratos!G:G,"CREDITO")+SUMIFS(df_extratos!I:I,df_extratos!F:F,Conciliacao!BH576,df_extratos!G:G,"CREDITO")</f>
        <v/>
      </c>
      <c r="I576" s="9">
        <f>H576-SUM(B576:G576)</f>
        <v/>
      </c>
      <c r="J576" s="4">
        <f>SUMIFS(df_blueme_sem_parcelamento!E:E,df_blueme_sem_parcelamento!H:H,Conciliacao!A576)*(-1)</f>
        <v/>
      </c>
      <c r="K576" s="4">
        <f>SUMIFS(df_blueme_com_parcelamento!J:J,df_blueme_com_parcelamento!M:M,Conciliacao!A576)*(-1)</f>
        <v/>
      </c>
      <c r="L576" s="4">
        <f>SUMIFS(df_mutuos!N:N,df_mutuos!B:B,Conciliacao!A576)*(-1)</f>
        <v/>
      </c>
      <c r="M576" s="8">
        <f>SUMIFS(df_bloqueios_judiciais!G:G,df_bloqueios_judiciais!D:D,Conciliacao!A576,df_bloqueios_judiciais!G:G,"&lt;0")</f>
        <v/>
      </c>
      <c r="N576" s="10">
        <f>SUMIFS(df_extratos!I:I,df_extratos!F:F,Conciliacao!BE576,df_extratos!G:G,"DEBITO")+SUMIFS(df_extratos!I:I,df_extratos!F:F,Conciliacao!A576,df_extratos!G:G,"DEBITO")+SUMIFS(df_extratos!I:I,df_extratos!F:F,Conciliacao!BF576,df_extratos!G:G,"DEBITO")+SUMIFS(df_extratos!I:I,df_extratos!F:F,Conciliacao!BG576,df_extratos!G:G,"DEBITO")+SUMIFS(df_extratos!I:I,df_extratos!F:F,Conciliacao!BH576,df_extratos!G:G,"DEBITO")</f>
        <v/>
      </c>
      <c r="O576" s="11">
        <f>N576-SUM(J576:M576)</f>
        <v/>
      </c>
      <c r="P576" s="25">
        <f>SUMIFS(df_ajustes_conciliaco!D:D,df_ajustes_conciliaco!C:C,Conciliacao!A576)</f>
        <v/>
      </c>
      <c r="Q576" s="22">
        <f>O576+I576-P576</f>
        <v/>
      </c>
    </row>
    <row r="577">
      <c r="A577" s="5">
        <f>A576+1</f>
        <v/>
      </c>
      <c r="B577" s="3">
        <f>-SUMIFS(df_extrato_zig!G:G,df_extrato_zig!E:E,Conciliacao!A577,df_extrato_zig!D:D,"Saque")-SUMIFS(df_extrato_zig!G:G,df_extrato_zig!E:E,Conciliacao!A577,df_extrato_zig!D:D,"Antecipação")</f>
        <v/>
      </c>
      <c r="C577" s="3">
        <f>SUMIFS(df_extrato_zig!E:E,df_extrato_zig!L:L,Conciliacao!A577,df_extrato_zig!F:F,"DINHEIRO")</f>
        <v/>
      </c>
      <c r="D577" s="3">
        <f>SUMIFS(view_parc_agrup!H:H,view_parc_agrup!G:G,Conciliacao!A577)</f>
        <v/>
      </c>
      <c r="E577" s="3">
        <f>SUMIFS(df_eventos!F:F,df_eventos!H:H,Conciliacao!A577)</f>
        <v/>
      </c>
      <c r="F577" s="3">
        <f>SUMIFS(df_mutuos!M:M,df_mutuos!B:B,Conciliacao!A577)</f>
        <v/>
      </c>
      <c r="G577" s="6">
        <f>SUMIFS(df_bloqueios_judiciais!G:G,df_bloqueios_judiciais!D:D,Conciliacao!A577,df_bloqueios_judiciais!G:G,"&gt;0")</f>
        <v/>
      </c>
      <c r="H577" s="7">
        <f>SUMIFS(df_extratos!I:I,df_extratos!F:F,Conciliacao!BE577,df_extratos!G:G,"CREDITO")+SUMIFS(df_extratos!I:I,df_extratos!F:F,Conciliacao!A577,df_extratos!G:G,"CREDITO")+SUMIFS(df_extratos!I:I,df_extratos!F:F,Conciliacao!BF577,df_extratos!G:G,"CREDITO")+SUMIFS(df_extratos!I:I,df_extratos!F:F,Conciliacao!BG577,df_extratos!G:G,"CREDITO")+SUMIFS(df_extratos!I:I,df_extratos!F:F,Conciliacao!BH577,df_extratos!G:G,"CREDITO")</f>
        <v/>
      </c>
      <c r="I577" s="9">
        <f>H577-SUM(B577:G577)</f>
        <v/>
      </c>
      <c r="J577" s="4">
        <f>SUMIFS(df_blueme_sem_parcelamento!E:E,df_blueme_sem_parcelamento!H:H,Conciliacao!A577)*(-1)</f>
        <v/>
      </c>
      <c r="K577" s="4">
        <f>SUMIFS(df_blueme_com_parcelamento!J:J,df_blueme_com_parcelamento!M:M,Conciliacao!A577)*(-1)</f>
        <v/>
      </c>
      <c r="L577" s="4">
        <f>SUMIFS(df_mutuos!N:N,df_mutuos!B:B,Conciliacao!A577)*(-1)</f>
        <v/>
      </c>
      <c r="M577" s="8">
        <f>SUMIFS(df_bloqueios_judiciais!G:G,df_bloqueios_judiciais!D:D,Conciliacao!A577,df_bloqueios_judiciais!G:G,"&lt;0")</f>
        <v/>
      </c>
      <c r="N577" s="10">
        <f>SUMIFS(df_extratos!I:I,df_extratos!F:F,Conciliacao!BE577,df_extratos!G:G,"DEBITO")+SUMIFS(df_extratos!I:I,df_extratos!F:F,Conciliacao!A577,df_extratos!G:G,"DEBITO")+SUMIFS(df_extratos!I:I,df_extratos!F:F,Conciliacao!BF577,df_extratos!G:G,"DEBITO")+SUMIFS(df_extratos!I:I,df_extratos!F:F,Conciliacao!BG577,df_extratos!G:G,"DEBITO")+SUMIFS(df_extratos!I:I,df_extratos!F:F,Conciliacao!BH577,df_extratos!G:G,"DEBITO")</f>
        <v/>
      </c>
      <c r="O577" s="11">
        <f>N577-SUM(J577:M577)</f>
        <v/>
      </c>
      <c r="P577" s="25">
        <f>SUMIFS(df_ajustes_conciliaco!D:D,df_ajustes_conciliaco!C:C,Conciliacao!A577)</f>
        <v/>
      </c>
      <c r="Q577" s="22">
        <f>O577+I577-P577</f>
        <v/>
      </c>
    </row>
    <row r="578">
      <c r="A578" s="5">
        <f>A577+1</f>
        <v/>
      </c>
      <c r="B578" s="3">
        <f>-SUMIFS(df_extrato_zig!G:G,df_extrato_zig!E:E,Conciliacao!A578,df_extrato_zig!D:D,"Saque")-SUMIFS(df_extrato_zig!G:G,df_extrato_zig!E:E,Conciliacao!A578,df_extrato_zig!D:D,"Antecipação")</f>
        <v/>
      </c>
      <c r="C578" s="3">
        <f>SUMIFS(df_extrato_zig!E:E,df_extrato_zig!L:L,Conciliacao!A578,df_extrato_zig!F:F,"DINHEIRO")</f>
        <v/>
      </c>
      <c r="D578" s="3">
        <f>SUMIFS(view_parc_agrup!H:H,view_parc_agrup!G:G,Conciliacao!A578)</f>
        <v/>
      </c>
      <c r="E578" s="3">
        <f>SUMIFS(df_eventos!F:F,df_eventos!H:H,Conciliacao!A578)</f>
        <v/>
      </c>
      <c r="F578" s="3">
        <f>SUMIFS(df_mutuos!M:M,df_mutuos!B:B,Conciliacao!A578)</f>
        <v/>
      </c>
      <c r="G578" s="6">
        <f>SUMIFS(df_bloqueios_judiciais!G:G,df_bloqueios_judiciais!D:D,Conciliacao!A578,df_bloqueios_judiciais!G:G,"&gt;0")</f>
        <v/>
      </c>
      <c r="H578" s="7">
        <f>SUMIFS(df_extratos!I:I,df_extratos!F:F,Conciliacao!BE578,df_extratos!G:G,"CREDITO")+SUMIFS(df_extratos!I:I,df_extratos!F:F,Conciliacao!A578,df_extratos!G:G,"CREDITO")+SUMIFS(df_extratos!I:I,df_extratos!F:F,Conciliacao!BF578,df_extratos!G:G,"CREDITO")+SUMIFS(df_extratos!I:I,df_extratos!F:F,Conciliacao!BG578,df_extratos!G:G,"CREDITO")+SUMIFS(df_extratos!I:I,df_extratos!F:F,Conciliacao!BH578,df_extratos!G:G,"CREDITO")</f>
        <v/>
      </c>
      <c r="I578" s="9">
        <f>H578-SUM(B578:G578)</f>
        <v/>
      </c>
      <c r="J578" s="4">
        <f>SUMIFS(df_blueme_sem_parcelamento!E:E,df_blueme_sem_parcelamento!H:H,Conciliacao!A578)*(-1)</f>
        <v/>
      </c>
      <c r="K578" s="4">
        <f>SUMIFS(df_blueme_com_parcelamento!J:J,df_blueme_com_parcelamento!M:M,Conciliacao!A578)*(-1)</f>
        <v/>
      </c>
      <c r="L578" s="4">
        <f>SUMIFS(df_mutuos!N:N,df_mutuos!B:B,Conciliacao!A578)*(-1)</f>
        <v/>
      </c>
      <c r="M578" s="8">
        <f>SUMIFS(df_bloqueios_judiciais!G:G,df_bloqueios_judiciais!D:D,Conciliacao!A578,df_bloqueios_judiciais!G:G,"&lt;0")</f>
        <v/>
      </c>
      <c r="N578" s="10">
        <f>SUMIFS(df_extratos!I:I,df_extratos!F:F,Conciliacao!BE578,df_extratos!G:G,"DEBITO")+SUMIFS(df_extratos!I:I,df_extratos!F:F,Conciliacao!A578,df_extratos!G:G,"DEBITO")+SUMIFS(df_extratos!I:I,df_extratos!F:F,Conciliacao!BF578,df_extratos!G:G,"DEBITO")+SUMIFS(df_extratos!I:I,df_extratos!F:F,Conciliacao!BG578,df_extratos!G:G,"DEBITO")+SUMIFS(df_extratos!I:I,df_extratos!F:F,Conciliacao!BH578,df_extratos!G:G,"DEBITO")</f>
        <v/>
      </c>
      <c r="O578" s="11">
        <f>N578-SUM(J578:M578)</f>
        <v/>
      </c>
      <c r="P578" s="25">
        <f>SUMIFS(df_ajustes_conciliaco!D:D,df_ajustes_conciliaco!C:C,Conciliacao!A578)</f>
        <v/>
      </c>
      <c r="Q578" s="22">
        <f>O578+I578-P578</f>
        <v/>
      </c>
    </row>
    <row r="579">
      <c r="A579" s="5">
        <f>A578+1</f>
        <v/>
      </c>
      <c r="B579" s="3">
        <f>-SUMIFS(df_extrato_zig!G:G,df_extrato_zig!E:E,Conciliacao!A579,df_extrato_zig!D:D,"Saque")-SUMIFS(df_extrato_zig!G:G,df_extrato_zig!E:E,Conciliacao!A579,df_extrato_zig!D:D,"Antecipação")</f>
        <v/>
      </c>
      <c r="C579" s="3">
        <f>SUMIFS(df_extrato_zig!E:E,df_extrato_zig!L:L,Conciliacao!A579,df_extrato_zig!F:F,"DINHEIRO")</f>
        <v/>
      </c>
      <c r="D579" s="3">
        <f>SUMIFS(view_parc_agrup!H:H,view_parc_agrup!G:G,Conciliacao!A579)</f>
        <v/>
      </c>
      <c r="E579" s="3">
        <f>SUMIFS(df_eventos!F:F,df_eventos!H:H,Conciliacao!A579)</f>
        <v/>
      </c>
      <c r="F579" s="3">
        <f>SUMIFS(df_mutuos!M:M,df_mutuos!B:B,Conciliacao!A579)</f>
        <v/>
      </c>
      <c r="G579" s="6">
        <f>SUMIFS(df_bloqueios_judiciais!G:G,df_bloqueios_judiciais!D:D,Conciliacao!A579,df_bloqueios_judiciais!G:G,"&gt;0")</f>
        <v/>
      </c>
      <c r="H579" s="7">
        <f>SUMIFS(df_extratos!I:I,df_extratos!F:F,Conciliacao!BE579,df_extratos!G:G,"CREDITO")+SUMIFS(df_extratos!I:I,df_extratos!F:F,Conciliacao!A579,df_extratos!G:G,"CREDITO")+SUMIFS(df_extratos!I:I,df_extratos!F:F,Conciliacao!BF579,df_extratos!G:G,"CREDITO")+SUMIFS(df_extratos!I:I,df_extratos!F:F,Conciliacao!BG579,df_extratos!G:G,"CREDITO")+SUMIFS(df_extratos!I:I,df_extratos!F:F,Conciliacao!BH579,df_extratos!G:G,"CREDITO")</f>
        <v/>
      </c>
      <c r="I579" s="9">
        <f>H579-SUM(B579:G579)</f>
        <v/>
      </c>
      <c r="J579" s="4">
        <f>SUMIFS(df_blueme_sem_parcelamento!E:E,df_blueme_sem_parcelamento!H:H,Conciliacao!A579)*(-1)</f>
        <v/>
      </c>
      <c r="K579" s="4">
        <f>SUMIFS(df_blueme_com_parcelamento!J:J,df_blueme_com_parcelamento!M:M,Conciliacao!A579)*(-1)</f>
        <v/>
      </c>
      <c r="L579" s="4">
        <f>SUMIFS(df_mutuos!N:N,df_mutuos!B:B,Conciliacao!A579)*(-1)</f>
        <v/>
      </c>
      <c r="M579" s="8">
        <f>SUMIFS(df_bloqueios_judiciais!G:G,df_bloqueios_judiciais!D:D,Conciliacao!A579,df_bloqueios_judiciais!G:G,"&lt;0")</f>
        <v/>
      </c>
      <c r="N579" s="10">
        <f>SUMIFS(df_extratos!I:I,df_extratos!F:F,Conciliacao!BE579,df_extratos!G:G,"DEBITO")+SUMIFS(df_extratos!I:I,df_extratos!F:F,Conciliacao!A579,df_extratos!G:G,"DEBITO")+SUMIFS(df_extratos!I:I,df_extratos!F:F,Conciliacao!BF579,df_extratos!G:G,"DEBITO")+SUMIFS(df_extratos!I:I,df_extratos!F:F,Conciliacao!BG579,df_extratos!G:G,"DEBITO")+SUMIFS(df_extratos!I:I,df_extratos!F:F,Conciliacao!BH579,df_extratos!G:G,"DEBITO")</f>
        <v/>
      </c>
      <c r="O579" s="11">
        <f>N579-SUM(J579:M579)</f>
        <v/>
      </c>
      <c r="P579" s="25">
        <f>SUMIFS(df_ajustes_conciliaco!D:D,df_ajustes_conciliaco!C:C,Conciliacao!A579)</f>
        <v/>
      </c>
      <c r="Q579" s="22">
        <f>O579+I579-P579</f>
        <v/>
      </c>
    </row>
    <row r="580">
      <c r="A580" s="5">
        <f>A579+1</f>
        <v/>
      </c>
      <c r="B580" s="3">
        <f>-SUMIFS(df_extrato_zig!G:G,df_extrato_zig!E:E,Conciliacao!A580,df_extrato_zig!D:D,"Saque")-SUMIFS(df_extrato_zig!G:G,df_extrato_zig!E:E,Conciliacao!A580,df_extrato_zig!D:D,"Antecipação")</f>
        <v/>
      </c>
      <c r="C580" s="3">
        <f>SUMIFS(df_extrato_zig!E:E,df_extrato_zig!L:L,Conciliacao!A580,df_extrato_zig!F:F,"DINHEIRO")</f>
        <v/>
      </c>
      <c r="D580" s="3">
        <f>SUMIFS(view_parc_agrup!H:H,view_parc_agrup!G:G,Conciliacao!A580)</f>
        <v/>
      </c>
      <c r="E580" s="3">
        <f>SUMIFS(df_eventos!F:F,df_eventos!H:H,Conciliacao!A580)</f>
        <v/>
      </c>
      <c r="F580" s="3">
        <f>SUMIFS(df_mutuos!M:M,df_mutuos!B:B,Conciliacao!A580)</f>
        <v/>
      </c>
      <c r="G580" s="6">
        <f>SUMIFS(df_bloqueios_judiciais!G:G,df_bloqueios_judiciais!D:D,Conciliacao!A580,df_bloqueios_judiciais!G:G,"&gt;0")</f>
        <v/>
      </c>
      <c r="H580" s="7">
        <f>SUMIFS(df_extratos!I:I,df_extratos!F:F,Conciliacao!BE580,df_extratos!G:G,"CREDITO")+SUMIFS(df_extratos!I:I,df_extratos!F:F,Conciliacao!A580,df_extratos!G:G,"CREDITO")+SUMIFS(df_extratos!I:I,df_extratos!F:F,Conciliacao!BF580,df_extratos!G:G,"CREDITO")+SUMIFS(df_extratos!I:I,df_extratos!F:F,Conciliacao!BG580,df_extratos!G:G,"CREDITO")+SUMIFS(df_extratos!I:I,df_extratos!F:F,Conciliacao!BH580,df_extratos!G:G,"CREDITO")</f>
        <v/>
      </c>
      <c r="I580" s="9">
        <f>H580-SUM(B580:G580)</f>
        <v/>
      </c>
      <c r="J580" s="4">
        <f>SUMIFS(df_blueme_sem_parcelamento!E:E,df_blueme_sem_parcelamento!H:H,Conciliacao!A580)*(-1)</f>
        <v/>
      </c>
      <c r="K580" s="4">
        <f>SUMIFS(df_blueme_com_parcelamento!J:J,df_blueme_com_parcelamento!M:M,Conciliacao!A580)*(-1)</f>
        <v/>
      </c>
      <c r="L580" s="4">
        <f>SUMIFS(df_mutuos!N:N,df_mutuos!B:B,Conciliacao!A580)*(-1)</f>
        <v/>
      </c>
      <c r="M580" s="8">
        <f>SUMIFS(df_bloqueios_judiciais!G:G,df_bloqueios_judiciais!D:D,Conciliacao!A580,df_bloqueios_judiciais!G:G,"&lt;0")</f>
        <v/>
      </c>
      <c r="N580" s="10">
        <f>SUMIFS(df_extratos!I:I,df_extratos!F:F,Conciliacao!BE580,df_extratos!G:G,"DEBITO")+SUMIFS(df_extratos!I:I,df_extratos!F:F,Conciliacao!A580,df_extratos!G:G,"DEBITO")+SUMIFS(df_extratos!I:I,df_extratos!F:F,Conciliacao!BF580,df_extratos!G:G,"DEBITO")+SUMIFS(df_extratos!I:I,df_extratos!F:F,Conciliacao!BG580,df_extratos!G:G,"DEBITO")+SUMIFS(df_extratos!I:I,df_extratos!F:F,Conciliacao!BH580,df_extratos!G:G,"DEBITO")</f>
        <v/>
      </c>
      <c r="O580" s="11">
        <f>N580-SUM(J580:M580)</f>
        <v/>
      </c>
      <c r="P580" s="25">
        <f>SUMIFS(df_ajustes_conciliaco!D:D,df_ajustes_conciliaco!C:C,Conciliacao!A580)</f>
        <v/>
      </c>
      <c r="Q580" s="22">
        <f>O580+I580-P580</f>
        <v/>
      </c>
    </row>
    <row r="581">
      <c r="A581" s="5">
        <f>A580+1</f>
        <v/>
      </c>
      <c r="B581" s="3">
        <f>-SUMIFS(df_extrato_zig!G:G,df_extrato_zig!E:E,Conciliacao!A581,df_extrato_zig!D:D,"Saque")-SUMIFS(df_extrato_zig!G:G,df_extrato_zig!E:E,Conciliacao!A581,df_extrato_zig!D:D,"Antecipação")</f>
        <v/>
      </c>
      <c r="C581" s="3">
        <f>SUMIFS(df_extrato_zig!E:E,df_extrato_zig!L:L,Conciliacao!A581,df_extrato_zig!F:F,"DINHEIRO")</f>
        <v/>
      </c>
      <c r="D581" s="3">
        <f>SUMIFS(view_parc_agrup!H:H,view_parc_agrup!G:G,Conciliacao!A581)</f>
        <v/>
      </c>
      <c r="E581" s="3">
        <f>SUMIFS(df_eventos!F:F,df_eventos!H:H,Conciliacao!A581)</f>
        <v/>
      </c>
      <c r="F581" s="3">
        <f>SUMIFS(df_mutuos!M:M,df_mutuos!B:B,Conciliacao!A581)</f>
        <v/>
      </c>
      <c r="G581" s="6">
        <f>SUMIFS(df_bloqueios_judiciais!G:G,df_bloqueios_judiciais!D:D,Conciliacao!A581,df_bloqueios_judiciais!G:G,"&gt;0")</f>
        <v/>
      </c>
      <c r="H581" s="7">
        <f>SUMIFS(df_extratos!I:I,df_extratos!F:F,Conciliacao!BE581,df_extratos!G:G,"CREDITO")+SUMIFS(df_extratos!I:I,df_extratos!F:F,Conciliacao!A581,df_extratos!G:G,"CREDITO")+SUMIFS(df_extratos!I:I,df_extratos!F:F,Conciliacao!BF581,df_extratos!G:G,"CREDITO")+SUMIFS(df_extratos!I:I,df_extratos!F:F,Conciliacao!BG581,df_extratos!G:G,"CREDITO")+SUMIFS(df_extratos!I:I,df_extratos!F:F,Conciliacao!BH581,df_extratos!G:G,"CREDITO")</f>
        <v/>
      </c>
      <c r="I581" s="9">
        <f>H581-SUM(B581:G581)</f>
        <v/>
      </c>
      <c r="J581" s="4">
        <f>SUMIFS(df_blueme_sem_parcelamento!E:E,df_blueme_sem_parcelamento!H:H,Conciliacao!A581)*(-1)</f>
        <v/>
      </c>
      <c r="K581" s="4">
        <f>SUMIFS(df_blueme_com_parcelamento!J:J,df_blueme_com_parcelamento!M:M,Conciliacao!A581)*(-1)</f>
        <v/>
      </c>
      <c r="L581" s="4">
        <f>SUMIFS(df_mutuos!N:N,df_mutuos!B:B,Conciliacao!A581)*(-1)</f>
        <v/>
      </c>
      <c r="M581" s="8">
        <f>SUMIFS(df_bloqueios_judiciais!G:G,df_bloqueios_judiciais!D:D,Conciliacao!A581,df_bloqueios_judiciais!G:G,"&lt;0")</f>
        <v/>
      </c>
      <c r="N581" s="10">
        <f>SUMIFS(df_extratos!I:I,df_extratos!F:F,Conciliacao!BE581,df_extratos!G:G,"DEBITO")+SUMIFS(df_extratos!I:I,df_extratos!F:F,Conciliacao!A581,df_extratos!G:G,"DEBITO")+SUMIFS(df_extratos!I:I,df_extratos!F:F,Conciliacao!BF581,df_extratos!G:G,"DEBITO")+SUMIFS(df_extratos!I:I,df_extratos!F:F,Conciliacao!BG581,df_extratos!G:G,"DEBITO")+SUMIFS(df_extratos!I:I,df_extratos!F:F,Conciliacao!BH581,df_extratos!G:G,"DEBITO")</f>
        <v/>
      </c>
      <c r="O581" s="11">
        <f>N581-SUM(J581:M581)</f>
        <v/>
      </c>
      <c r="P581" s="25">
        <f>SUMIFS(df_ajustes_conciliaco!D:D,df_ajustes_conciliaco!C:C,Conciliacao!A581)</f>
        <v/>
      </c>
      <c r="Q581" s="22">
        <f>O581+I581-P581</f>
        <v/>
      </c>
    </row>
    <row r="582">
      <c r="A582" s="5">
        <f>A581+1</f>
        <v/>
      </c>
      <c r="B582" s="3">
        <f>-SUMIFS(df_extrato_zig!G:G,df_extrato_zig!E:E,Conciliacao!A582,df_extrato_zig!D:D,"Saque")-SUMIFS(df_extrato_zig!G:G,df_extrato_zig!E:E,Conciliacao!A582,df_extrato_zig!D:D,"Antecipação")</f>
        <v/>
      </c>
      <c r="C582" s="3">
        <f>SUMIFS(df_extrato_zig!E:E,df_extrato_zig!L:L,Conciliacao!A582,df_extrato_zig!F:F,"DINHEIRO")</f>
        <v/>
      </c>
      <c r="D582" s="3">
        <f>SUMIFS(view_parc_agrup!H:H,view_parc_agrup!G:G,Conciliacao!A582)</f>
        <v/>
      </c>
      <c r="E582" s="3">
        <f>SUMIFS(df_eventos!F:F,df_eventos!H:H,Conciliacao!A582)</f>
        <v/>
      </c>
      <c r="F582" s="3">
        <f>SUMIFS(df_mutuos!M:M,df_mutuos!B:B,Conciliacao!A582)</f>
        <v/>
      </c>
      <c r="G582" s="6">
        <f>SUMIFS(df_bloqueios_judiciais!G:G,df_bloqueios_judiciais!D:D,Conciliacao!A582,df_bloqueios_judiciais!G:G,"&gt;0")</f>
        <v/>
      </c>
      <c r="H582" s="7">
        <f>SUMIFS(df_extratos!I:I,df_extratos!F:F,Conciliacao!BE582,df_extratos!G:G,"CREDITO")+SUMIFS(df_extratos!I:I,df_extratos!F:F,Conciliacao!A582,df_extratos!G:G,"CREDITO")+SUMIFS(df_extratos!I:I,df_extratos!F:F,Conciliacao!BF582,df_extratos!G:G,"CREDITO")+SUMIFS(df_extratos!I:I,df_extratos!F:F,Conciliacao!BG582,df_extratos!G:G,"CREDITO")+SUMIFS(df_extratos!I:I,df_extratos!F:F,Conciliacao!BH582,df_extratos!G:G,"CREDITO")</f>
        <v/>
      </c>
      <c r="I582" s="9">
        <f>H582-SUM(B582:G582)</f>
        <v/>
      </c>
      <c r="J582" s="4">
        <f>SUMIFS(df_blueme_sem_parcelamento!E:E,df_blueme_sem_parcelamento!H:H,Conciliacao!A582)*(-1)</f>
        <v/>
      </c>
      <c r="K582" s="4">
        <f>SUMIFS(df_blueme_com_parcelamento!J:J,df_blueme_com_parcelamento!M:M,Conciliacao!A582)*(-1)</f>
        <v/>
      </c>
      <c r="L582" s="4">
        <f>SUMIFS(df_mutuos!N:N,df_mutuos!B:B,Conciliacao!A582)*(-1)</f>
        <v/>
      </c>
      <c r="M582" s="8">
        <f>SUMIFS(df_bloqueios_judiciais!G:G,df_bloqueios_judiciais!D:D,Conciliacao!A582,df_bloqueios_judiciais!G:G,"&lt;0")</f>
        <v/>
      </c>
      <c r="N582" s="10">
        <f>SUMIFS(df_extratos!I:I,df_extratos!F:F,Conciliacao!BE582,df_extratos!G:G,"DEBITO")+SUMIFS(df_extratos!I:I,df_extratos!F:F,Conciliacao!A582,df_extratos!G:G,"DEBITO")+SUMIFS(df_extratos!I:I,df_extratos!F:F,Conciliacao!BF582,df_extratos!G:G,"DEBITO")+SUMIFS(df_extratos!I:I,df_extratos!F:F,Conciliacao!BG582,df_extratos!G:G,"DEBITO")+SUMIFS(df_extratos!I:I,df_extratos!F:F,Conciliacao!BH582,df_extratos!G:G,"DEBITO")</f>
        <v/>
      </c>
      <c r="O582" s="11">
        <f>N582-SUM(J582:M582)</f>
        <v/>
      </c>
      <c r="P582" s="25">
        <f>SUMIFS(df_ajustes_conciliaco!D:D,df_ajustes_conciliaco!C:C,Conciliacao!A582)</f>
        <v/>
      </c>
      <c r="Q582" s="22">
        <f>O582+I582-P582</f>
        <v/>
      </c>
    </row>
    <row r="583">
      <c r="A583" s="5">
        <f>A582+1</f>
        <v/>
      </c>
      <c r="B583" s="3">
        <f>-SUMIFS(df_extrato_zig!G:G,df_extrato_zig!E:E,Conciliacao!A583,df_extrato_zig!D:D,"Saque")-SUMIFS(df_extrato_zig!G:G,df_extrato_zig!E:E,Conciliacao!A583,df_extrato_zig!D:D,"Antecipação")</f>
        <v/>
      </c>
      <c r="C583" s="3">
        <f>SUMIFS(df_extrato_zig!E:E,df_extrato_zig!L:L,Conciliacao!A583,df_extrato_zig!F:F,"DINHEIRO")</f>
        <v/>
      </c>
      <c r="D583" s="3">
        <f>SUMIFS(view_parc_agrup!H:H,view_parc_agrup!G:G,Conciliacao!A583)</f>
        <v/>
      </c>
      <c r="E583" s="3">
        <f>SUMIFS(df_eventos!F:F,df_eventos!H:H,Conciliacao!A583)</f>
        <v/>
      </c>
      <c r="F583" s="3">
        <f>SUMIFS(df_mutuos!M:M,df_mutuos!B:B,Conciliacao!A583)</f>
        <v/>
      </c>
      <c r="G583" s="6">
        <f>SUMIFS(df_bloqueios_judiciais!G:G,df_bloqueios_judiciais!D:D,Conciliacao!A583,df_bloqueios_judiciais!G:G,"&gt;0")</f>
        <v/>
      </c>
      <c r="H583" s="7">
        <f>SUMIFS(df_extratos!I:I,df_extratos!F:F,Conciliacao!BE583,df_extratos!G:G,"CREDITO")+SUMIFS(df_extratos!I:I,df_extratos!F:F,Conciliacao!A583,df_extratos!G:G,"CREDITO")+SUMIFS(df_extratos!I:I,df_extratos!F:F,Conciliacao!BF583,df_extratos!G:G,"CREDITO")+SUMIFS(df_extratos!I:I,df_extratos!F:F,Conciliacao!BG583,df_extratos!G:G,"CREDITO")+SUMIFS(df_extratos!I:I,df_extratos!F:F,Conciliacao!BH583,df_extratos!G:G,"CREDITO")</f>
        <v/>
      </c>
      <c r="I583" s="9">
        <f>H583-SUM(B583:G583)</f>
        <v/>
      </c>
      <c r="J583" s="4">
        <f>SUMIFS(df_blueme_sem_parcelamento!E:E,df_blueme_sem_parcelamento!H:H,Conciliacao!A583)*(-1)</f>
        <v/>
      </c>
      <c r="K583" s="4">
        <f>SUMIFS(df_blueme_com_parcelamento!J:J,df_blueme_com_parcelamento!M:M,Conciliacao!A583)*(-1)</f>
        <v/>
      </c>
      <c r="L583" s="4">
        <f>SUMIFS(df_mutuos!N:N,df_mutuos!B:B,Conciliacao!A583)*(-1)</f>
        <v/>
      </c>
      <c r="M583" s="8">
        <f>SUMIFS(df_bloqueios_judiciais!G:G,df_bloqueios_judiciais!D:D,Conciliacao!A583,df_bloqueios_judiciais!G:G,"&lt;0")</f>
        <v/>
      </c>
      <c r="N583" s="10">
        <f>SUMIFS(df_extratos!I:I,df_extratos!F:F,Conciliacao!BE583,df_extratos!G:G,"DEBITO")+SUMIFS(df_extratos!I:I,df_extratos!F:F,Conciliacao!A583,df_extratos!G:G,"DEBITO")+SUMIFS(df_extratos!I:I,df_extratos!F:F,Conciliacao!BF583,df_extratos!G:G,"DEBITO")+SUMIFS(df_extratos!I:I,df_extratos!F:F,Conciliacao!BG583,df_extratos!G:G,"DEBITO")+SUMIFS(df_extratos!I:I,df_extratos!F:F,Conciliacao!BH583,df_extratos!G:G,"DEBITO")</f>
        <v/>
      </c>
      <c r="O583" s="11">
        <f>N583-SUM(J583:M583)</f>
        <v/>
      </c>
      <c r="P583" s="25">
        <f>SUMIFS(df_ajustes_conciliaco!D:D,df_ajustes_conciliaco!C:C,Conciliacao!A583)</f>
        <v/>
      </c>
      <c r="Q583" s="22">
        <f>O583+I583-P583</f>
        <v/>
      </c>
    </row>
    <row r="584">
      <c r="A584" s="5">
        <f>A583+1</f>
        <v/>
      </c>
      <c r="B584" s="3">
        <f>-SUMIFS(df_extrato_zig!G:G,df_extrato_zig!E:E,Conciliacao!A584,df_extrato_zig!D:D,"Saque")-SUMIFS(df_extrato_zig!G:G,df_extrato_zig!E:E,Conciliacao!A584,df_extrato_zig!D:D,"Antecipação")</f>
        <v/>
      </c>
      <c r="C584" s="3">
        <f>SUMIFS(df_extrato_zig!E:E,df_extrato_zig!L:L,Conciliacao!A584,df_extrato_zig!F:F,"DINHEIRO")</f>
        <v/>
      </c>
      <c r="D584" s="3">
        <f>SUMIFS(view_parc_agrup!H:H,view_parc_agrup!G:G,Conciliacao!A584)</f>
        <v/>
      </c>
      <c r="E584" s="3">
        <f>SUMIFS(df_eventos!F:F,df_eventos!H:H,Conciliacao!A584)</f>
        <v/>
      </c>
      <c r="F584" s="3">
        <f>SUMIFS(df_mutuos!M:M,df_mutuos!B:B,Conciliacao!A584)</f>
        <v/>
      </c>
      <c r="G584" s="6">
        <f>SUMIFS(df_bloqueios_judiciais!G:G,df_bloqueios_judiciais!D:D,Conciliacao!A584,df_bloqueios_judiciais!G:G,"&gt;0")</f>
        <v/>
      </c>
      <c r="H584" s="7">
        <f>SUMIFS(df_extratos!I:I,df_extratos!F:F,Conciliacao!BE584,df_extratos!G:G,"CREDITO")+SUMIFS(df_extratos!I:I,df_extratos!F:F,Conciliacao!A584,df_extratos!G:G,"CREDITO")+SUMIFS(df_extratos!I:I,df_extratos!F:F,Conciliacao!BF584,df_extratos!G:G,"CREDITO")+SUMIFS(df_extratos!I:I,df_extratos!F:F,Conciliacao!BG584,df_extratos!G:G,"CREDITO")+SUMIFS(df_extratos!I:I,df_extratos!F:F,Conciliacao!BH584,df_extratos!G:G,"CREDITO")</f>
        <v/>
      </c>
      <c r="I584" s="9">
        <f>H584-SUM(B584:G584)</f>
        <v/>
      </c>
      <c r="J584" s="4">
        <f>SUMIFS(df_blueme_sem_parcelamento!E:E,df_blueme_sem_parcelamento!H:H,Conciliacao!A584)*(-1)</f>
        <v/>
      </c>
      <c r="K584" s="4">
        <f>SUMIFS(df_blueme_com_parcelamento!J:J,df_blueme_com_parcelamento!M:M,Conciliacao!A584)*(-1)</f>
        <v/>
      </c>
      <c r="L584" s="4">
        <f>SUMIFS(df_mutuos!N:N,df_mutuos!B:B,Conciliacao!A584)*(-1)</f>
        <v/>
      </c>
      <c r="M584" s="8">
        <f>SUMIFS(df_bloqueios_judiciais!G:G,df_bloqueios_judiciais!D:D,Conciliacao!A584,df_bloqueios_judiciais!G:G,"&lt;0")</f>
        <v/>
      </c>
      <c r="N584" s="10">
        <f>SUMIFS(df_extratos!I:I,df_extratos!F:F,Conciliacao!BE584,df_extratos!G:G,"DEBITO")+SUMIFS(df_extratos!I:I,df_extratos!F:F,Conciliacao!A584,df_extratos!G:G,"DEBITO")+SUMIFS(df_extratos!I:I,df_extratos!F:F,Conciliacao!BF584,df_extratos!G:G,"DEBITO")+SUMIFS(df_extratos!I:I,df_extratos!F:F,Conciliacao!BG584,df_extratos!G:G,"DEBITO")+SUMIFS(df_extratos!I:I,df_extratos!F:F,Conciliacao!BH584,df_extratos!G:G,"DEBITO")</f>
        <v/>
      </c>
      <c r="O584" s="11">
        <f>N584-SUM(J584:M584)</f>
        <v/>
      </c>
      <c r="P584" s="25">
        <f>SUMIFS(df_ajustes_conciliaco!D:D,df_ajustes_conciliaco!C:C,Conciliacao!A584)</f>
        <v/>
      </c>
      <c r="Q584" s="22">
        <f>O584+I584-P584</f>
        <v/>
      </c>
    </row>
    <row r="585">
      <c r="A585" s="5">
        <f>A584+1</f>
        <v/>
      </c>
      <c r="B585" s="3">
        <f>-SUMIFS(df_extrato_zig!G:G,df_extrato_zig!E:E,Conciliacao!A585,df_extrato_zig!D:D,"Saque")-SUMIFS(df_extrato_zig!G:G,df_extrato_zig!E:E,Conciliacao!A585,df_extrato_zig!D:D,"Antecipação")</f>
        <v/>
      </c>
      <c r="C585" s="3">
        <f>SUMIFS(df_extrato_zig!E:E,df_extrato_zig!L:L,Conciliacao!A585,df_extrato_zig!F:F,"DINHEIRO")</f>
        <v/>
      </c>
      <c r="D585" s="3">
        <f>SUMIFS(view_parc_agrup!H:H,view_parc_agrup!G:G,Conciliacao!A585)</f>
        <v/>
      </c>
      <c r="E585" s="3">
        <f>SUMIFS(df_eventos!F:F,df_eventos!H:H,Conciliacao!A585)</f>
        <v/>
      </c>
      <c r="F585" s="3">
        <f>SUMIFS(df_mutuos!M:M,df_mutuos!B:B,Conciliacao!A585)</f>
        <v/>
      </c>
      <c r="G585" s="6">
        <f>SUMIFS(df_bloqueios_judiciais!G:G,df_bloqueios_judiciais!D:D,Conciliacao!A585,df_bloqueios_judiciais!G:G,"&gt;0")</f>
        <v/>
      </c>
      <c r="H585" s="7">
        <f>SUMIFS(df_extratos!I:I,df_extratos!F:F,Conciliacao!BE585,df_extratos!G:G,"CREDITO")+SUMIFS(df_extratos!I:I,df_extratos!F:F,Conciliacao!A585,df_extratos!G:G,"CREDITO")+SUMIFS(df_extratos!I:I,df_extratos!F:F,Conciliacao!BF585,df_extratos!G:G,"CREDITO")+SUMIFS(df_extratos!I:I,df_extratos!F:F,Conciliacao!BG585,df_extratos!G:G,"CREDITO")+SUMIFS(df_extratos!I:I,df_extratos!F:F,Conciliacao!BH585,df_extratos!G:G,"CREDITO")</f>
        <v/>
      </c>
      <c r="I585" s="9">
        <f>H585-SUM(B585:G585)</f>
        <v/>
      </c>
      <c r="J585" s="4">
        <f>SUMIFS(df_blueme_sem_parcelamento!E:E,df_blueme_sem_parcelamento!H:H,Conciliacao!A585)*(-1)</f>
        <v/>
      </c>
      <c r="K585" s="4">
        <f>SUMIFS(df_blueme_com_parcelamento!J:J,df_blueme_com_parcelamento!M:M,Conciliacao!A585)*(-1)</f>
        <v/>
      </c>
      <c r="L585" s="4">
        <f>SUMIFS(df_mutuos!N:N,df_mutuos!B:B,Conciliacao!A585)*(-1)</f>
        <v/>
      </c>
      <c r="M585" s="8">
        <f>SUMIFS(df_bloqueios_judiciais!G:G,df_bloqueios_judiciais!D:D,Conciliacao!A585,df_bloqueios_judiciais!G:G,"&lt;0")</f>
        <v/>
      </c>
      <c r="N585" s="10">
        <f>SUMIFS(df_extratos!I:I,df_extratos!F:F,Conciliacao!BE585,df_extratos!G:G,"DEBITO")+SUMIFS(df_extratos!I:I,df_extratos!F:F,Conciliacao!A585,df_extratos!G:G,"DEBITO")+SUMIFS(df_extratos!I:I,df_extratos!F:F,Conciliacao!BF585,df_extratos!G:G,"DEBITO")+SUMIFS(df_extratos!I:I,df_extratos!F:F,Conciliacao!BG585,df_extratos!G:G,"DEBITO")+SUMIFS(df_extratos!I:I,df_extratos!F:F,Conciliacao!BH585,df_extratos!G:G,"DEBITO")</f>
        <v/>
      </c>
      <c r="O585" s="11">
        <f>N585-SUM(J585:M585)</f>
        <v/>
      </c>
      <c r="P585" s="25">
        <f>SUMIFS(df_ajustes_conciliaco!D:D,df_ajustes_conciliaco!C:C,Conciliacao!A585)</f>
        <v/>
      </c>
      <c r="Q585" s="22">
        <f>O585+I585-P585</f>
        <v/>
      </c>
    </row>
    <row r="586">
      <c r="A586" s="5">
        <f>A585+1</f>
        <v/>
      </c>
      <c r="B586" s="3">
        <f>-SUMIFS(df_extrato_zig!G:G,df_extrato_zig!E:E,Conciliacao!A586,df_extrato_zig!D:D,"Saque")-SUMIFS(df_extrato_zig!G:G,df_extrato_zig!E:E,Conciliacao!A586,df_extrato_zig!D:D,"Antecipação")</f>
        <v/>
      </c>
      <c r="C586" s="3">
        <f>SUMIFS(df_extrato_zig!E:E,df_extrato_zig!L:L,Conciliacao!A586,df_extrato_zig!F:F,"DINHEIRO")</f>
        <v/>
      </c>
      <c r="D586" s="3">
        <f>SUMIFS(view_parc_agrup!H:H,view_parc_agrup!G:G,Conciliacao!A586)</f>
        <v/>
      </c>
      <c r="E586" s="3">
        <f>SUMIFS(df_eventos!F:F,df_eventos!H:H,Conciliacao!A586)</f>
        <v/>
      </c>
      <c r="F586" s="3">
        <f>SUMIFS(df_mutuos!M:M,df_mutuos!B:B,Conciliacao!A586)</f>
        <v/>
      </c>
      <c r="G586" s="6">
        <f>SUMIFS(df_bloqueios_judiciais!G:G,df_bloqueios_judiciais!D:D,Conciliacao!A586,df_bloqueios_judiciais!G:G,"&gt;0")</f>
        <v/>
      </c>
      <c r="H586" s="7">
        <f>SUMIFS(df_extratos!I:I,df_extratos!F:F,Conciliacao!BE586,df_extratos!G:G,"CREDITO")+SUMIFS(df_extratos!I:I,df_extratos!F:F,Conciliacao!A586,df_extratos!G:G,"CREDITO")+SUMIFS(df_extratos!I:I,df_extratos!F:F,Conciliacao!BF586,df_extratos!G:G,"CREDITO")+SUMIFS(df_extratos!I:I,df_extratos!F:F,Conciliacao!BG586,df_extratos!G:G,"CREDITO")+SUMIFS(df_extratos!I:I,df_extratos!F:F,Conciliacao!BH586,df_extratos!G:G,"CREDITO")</f>
        <v/>
      </c>
      <c r="I586" s="9">
        <f>H586-SUM(B586:G586)</f>
        <v/>
      </c>
      <c r="J586" s="4">
        <f>SUMIFS(df_blueme_sem_parcelamento!E:E,df_blueme_sem_parcelamento!H:H,Conciliacao!A586)*(-1)</f>
        <v/>
      </c>
      <c r="K586" s="4">
        <f>SUMIFS(df_blueme_com_parcelamento!J:J,df_blueme_com_parcelamento!M:M,Conciliacao!A586)*(-1)</f>
        <v/>
      </c>
      <c r="L586" s="4">
        <f>SUMIFS(df_mutuos!N:N,df_mutuos!B:B,Conciliacao!A586)*(-1)</f>
        <v/>
      </c>
      <c r="M586" s="8">
        <f>SUMIFS(df_bloqueios_judiciais!G:G,df_bloqueios_judiciais!D:D,Conciliacao!A586,df_bloqueios_judiciais!G:G,"&lt;0")</f>
        <v/>
      </c>
      <c r="N586" s="10">
        <f>SUMIFS(df_extratos!I:I,df_extratos!F:F,Conciliacao!BE586,df_extratos!G:G,"DEBITO")+SUMIFS(df_extratos!I:I,df_extratos!F:F,Conciliacao!A586,df_extratos!G:G,"DEBITO")+SUMIFS(df_extratos!I:I,df_extratos!F:F,Conciliacao!BF586,df_extratos!G:G,"DEBITO")+SUMIFS(df_extratos!I:I,df_extratos!F:F,Conciliacao!BG586,df_extratos!G:G,"DEBITO")+SUMIFS(df_extratos!I:I,df_extratos!F:F,Conciliacao!BH586,df_extratos!G:G,"DEBITO")</f>
        <v/>
      </c>
      <c r="O586" s="11">
        <f>N586-SUM(J586:M586)</f>
        <v/>
      </c>
      <c r="P586" s="25">
        <f>SUMIFS(df_ajustes_conciliaco!D:D,df_ajustes_conciliaco!C:C,Conciliacao!A586)</f>
        <v/>
      </c>
      <c r="Q586" s="22">
        <f>O586+I586-P586</f>
        <v/>
      </c>
    </row>
    <row r="587">
      <c r="A587" s="5">
        <f>A586+1</f>
        <v/>
      </c>
      <c r="B587" s="3">
        <f>-SUMIFS(df_extrato_zig!G:G,df_extrato_zig!E:E,Conciliacao!A587,df_extrato_zig!D:D,"Saque")-SUMIFS(df_extrato_zig!G:G,df_extrato_zig!E:E,Conciliacao!A587,df_extrato_zig!D:D,"Antecipação")</f>
        <v/>
      </c>
      <c r="C587" s="3">
        <f>SUMIFS(df_extrato_zig!E:E,df_extrato_zig!L:L,Conciliacao!A587,df_extrato_zig!F:F,"DINHEIRO")</f>
        <v/>
      </c>
      <c r="D587" s="3">
        <f>SUMIFS(view_parc_agrup!H:H,view_parc_agrup!G:G,Conciliacao!A587)</f>
        <v/>
      </c>
      <c r="E587" s="3">
        <f>SUMIFS(df_eventos!F:F,df_eventos!H:H,Conciliacao!A587)</f>
        <v/>
      </c>
      <c r="F587" s="3">
        <f>SUMIFS(df_mutuos!M:M,df_mutuos!B:B,Conciliacao!A587)</f>
        <v/>
      </c>
      <c r="G587" s="6">
        <f>SUMIFS(df_bloqueios_judiciais!G:G,df_bloqueios_judiciais!D:D,Conciliacao!A587,df_bloqueios_judiciais!G:G,"&gt;0")</f>
        <v/>
      </c>
      <c r="H587" s="7">
        <f>SUMIFS(df_extratos!I:I,df_extratos!F:F,Conciliacao!BE587,df_extratos!G:G,"CREDITO")+SUMIFS(df_extratos!I:I,df_extratos!F:F,Conciliacao!A587,df_extratos!G:G,"CREDITO")+SUMIFS(df_extratos!I:I,df_extratos!F:F,Conciliacao!BF587,df_extratos!G:G,"CREDITO")+SUMIFS(df_extratos!I:I,df_extratos!F:F,Conciliacao!BG587,df_extratos!G:G,"CREDITO")+SUMIFS(df_extratos!I:I,df_extratos!F:F,Conciliacao!BH587,df_extratos!G:G,"CREDITO")</f>
        <v/>
      </c>
      <c r="I587" s="9">
        <f>H587-SUM(B587:G587)</f>
        <v/>
      </c>
      <c r="J587" s="4">
        <f>SUMIFS(df_blueme_sem_parcelamento!E:E,df_blueme_sem_parcelamento!H:H,Conciliacao!A587)*(-1)</f>
        <v/>
      </c>
      <c r="K587" s="4">
        <f>SUMIFS(df_blueme_com_parcelamento!J:J,df_blueme_com_parcelamento!M:M,Conciliacao!A587)*(-1)</f>
        <v/>
      </c>
      <c r="L587" s="4">
        <f>SUMIFS(df_mutuos!N:N,df_mutuos!B:B,Conciliacao!A587)*(-1)</f>
        <v/>
      </c>
      <c r="M587" s="8">
        <f>SUMIFS(df_bloqueios_judiciais!G:G,df_bloqueios_judiciais!D:D,Conciliacao!A587,df_bloqueios_judiciais!G:G,"&lt;0")</f>
        <v/>
      </c>
      <c r="N587" s="10">
        <f>SUMIFS(df_extratos!I:I,df_extratos!F:F,Conciliacao!BE587,df_extratos!G:G,"DEBITO")+SUMIFS(df_extratos!I:I,df_extratos!F:F,Conciliacao!A587,df_extratos!G:G,"DEBITO")+SUMIFS(df_extratos!I:I,df_extratos!F:F,Conciliacao!BF587,df_extratos!G:G,"DEBITO")+SUMIFS(df_extratos!I:I,df_extratos!F:F,Conciliacao!BG587,df_extratos!G:G,"DEBITO")+SUMIFS(df_extratos!I:I,df_extratos!F:F,Conciliacao!BH587,df_extratos!G:G,"DEBITO")</f>
        <v/>
      </c>
      <c r="O587" s="11">
        <f>N587-SUM(J587:M587)</f>
        <v/>
      </c>
      <c r="P587" s="25">
        <f>SUMIFS(df_ajustes_conciliaco!D:D,df_ajustes_conciliaco!C:C,Conciliacao!A587)</f>
        <v/>
      </c>
      <c r="Q587" s="22">
        <f>O587+I587-P587</f>
        <v/>
      </c>
    </row>
    <row r="588">
      <c r="A588" s="5">
        <f>A587+1</f>
        <v/>
      </c>
      <c r="B588" s="3">
        <f>-SUMIFS(df_extrato_zig!G:G,df_extrato_zig!E:E,Conciliacao!A588,df_extrato_zig!D:D,"Saque")-SUMIFS(df_extrato_zig!G:G,df_extrato_zig!E:E,Conciliacao!A588,df_extrato_zig!D:D,"Antecipação")</f>
        <v/>
      </c>
      <c r="C588" s="3">
        <f>SUMIFS(df_extrato_zig!E:E,df_extrato_zig!L:L,Conciliacao!A588,df_extrato_zig!F:F,"DINHEIRO")</f>
        <v/>
      </c>
      <c r="D588" s="3">
        <f>SUMIFS(view_parc_agrup!H:H,view_parc_agrup!G:G,Conciliacao!A588)</f>
        <v/>
      </c>
      <c r="E588" s="3">
        <f>SUMIFS(df_eventos!F:F,df_eventos!H:H,Conciliacao!A588)</f>
        <v/>
      </c>
      <c r="F588" s="3">
        <f>SUMIFS(df_mutuos!M:M,df_mutuos!B:B,Conciliacao!A588)</f>
        <v/>
      </c>
      <c r="G588" s="6">
        <f>SUMIFS(df_bloqueios_judiciais!G:G,df_bloqueios_judiciais!D:D,Conciliacao!A588,df_bloqueios_judiciais!G:G,"&gt;0")</f>
        <v/>
      </c>
      <c r="H588" s="7">
        <f>SUMIFS(df_extratos!I:I,df_extratos!F:F,Conciliacao!BE588,df_extratos!G:G,"CREDITO")+SUMIFS(df_extratos!I:I,df_extratos!F:F,Conciliacao!A588,df_extratos!G:G,"CREDITO")+SUMIFS(df_extratos!I:I,df_extratos!F:F,Conciliacao!BF588,df_extratos!G:G,"CREDITO")+SUMIFS(df_extratos!I:I,df_extratos!F:F,Conciliacao!BG588,df_extratos!G:G,"CREDITO")+SUMIFS(df_extratos!I:I,df_extratos!F:F,Conciliacao!BH588,df_extratos!G:G,"CREDITO")</f>
        <v/>
      </c>
      <c r="I588" s="9">
        <f>H588-SUM(B588:G588)</f>
        <v/>
      </c>
      <c r="J588" s="4">
        <f>SUMIFS(df_blueme_sem_parcelamento!E:E,df_blueme_sem_parcelamento!H:H,Conciliacao!A588)*(-1)</f>
        <v/>
      </c>
      <c r="K588" s="4">
        <f>SUMIFS(df_blueme_com_parcelamento!J:J,df_blueme_com_parcelamento!M:M,Conciliacao!A588)*(-1)</f>
        <v/>
      </c>
      <c r="L588" s="4">
        <f>SUMIFS(df_mutuos!N:N,df_mutuos!B:B,Conciliacao!A588)*(-1)</f>
        <v/>
      </c>
      <c r="M588" s="8">
        <f>SUMIFS(df_bloqueios_judiciais!G:G,df_bloqueios_judiciais!D:D,Conciliacao!A588,df_bloqueios_judiciais!G:G,"&lt;0")</f>
        <v/>
      </c>
      <c r="N588" s="10">
        <f>SUMIFS(df_extratos!I:I,df_extratos!F:F,Conciliacao!BE588,df_extratos!G:G,"DEBITO")+SUMIFS(df_extratos!I:I,df_extratos!F:F,Conciliacao!A588,df_extratos!G:G,"DEBITO")+SUMIFS(df_extratos!I:I,df_extratos!F:F,Conciliacao!BF588,df_extratos!G:G,"DEBITO")+SUMIFS(df_extratos!I:I,df_extratos!F:F,Conciliacao!BG588,df_extratos!G:G,"DEBITO")+SUMIFS(df_extratos!I:I,df_extratos!F:F,Conciliacao!BH588,df_extratos!G:G,"DEBITO")</f>
        <v/>
      </c>
      <c r="O588" s="11">
        <f>N588-SUM(J588:M588)</f>
        <v/>
      </c>
      <c r="P588" s="25">
        <f>SUMIFS(df_ajustes_conciliaco!D:D,df_ajustes_conciliaco!C:C,Conciliacao!A588)</f>
        <v/>
      </c>
      <c r="Q588" s="22">
        <f>O588+I588-P588</f>
        <v/>
      </c>
    </row>
    <row r="589">
      <c r="A589" s="5">
        <f>A588+1</f>
        <v/>
      </c>
      <c r="B589" s="3">
        <f>-SUMIFS(df_extrato_zig!G:G,df_extrato_zig!E:E,Conciliacao!A589,df_extrato_zig!D:D,"Saque")-SUMIFS(df_extrato_zig!G:G,df_extrato_zig!E:E,Conciliacao!A589,df_extrato_zig!D:D,"Antecipação")</f>
        <v/>
      </c>
      <c r="C589" s="3">
        <f>SUMIFS(df_extrato_zig!E:E,df_extrato_zig!L:L,Conciliacao!A589,df_extrato_zig!F:F,"DINHEIRO")</f>
        <v/>
      </c>
      <c r="D589" s="3">
        <f>SUMIFS(view_parc_agrup!H:H,view_parc_agrup!G:G,Conciliacao!A589)</f>
        <v/>
      </c>
      <c r="E589" s="3">
        <f>SUMIFS(df_eventos!F:F,df_eventos!H:H,Conciliacao!A589)</f>
        <v/>
      </c>
      <c r="F589" s="3">
        <f>SUMIFS(df_mutuos!M:M,df_mutuos!B:B,Conciliacao!A589)</f>
        <v/>
      </c>
      <c r="G589" s="6">
        <f>SUMIFS(df_bloqueios_judiciais!G:G,df_bloqueios_judiciais!D:D,Conciliacao!A589,df_bloqueios_judiciais!G:G,"&gt;0")</f>
        <v/>
      </c>
      <c r="H589" s="7">
        <f>SUMIFS(df_extratos!I:I,df_extratos!F:F,Conciliacao!BE589,df_extratos!G:G,"CREDITO")+SUMIFS(df_extratos!I:I,df_extratos!F:F,Conciliacao!A589,df_extratos!G:G,"CREDITO")+SUMIFS(df_extratos!I:I,df_extratos!F:F,Conciliacao!BF589,df_extratos!G:G,"CREDITO")+SUMIFS(df_extratos!I:I,df_extratos!F:F,Conciliacao!BG589,df_extratos!G:G,"CREDITO")+SUMIFS(df_extratos!I:I,df_extratos!F:F,Conciliacao!BH589,df_extratos!G:G,"CREDITO")</f>
        <v/>
      </c>
      <c r="I589" s="9">
        <f>H589-SUM(B589:G589)</f>
        <v/>
      </c>
      <c r="J589" s="4">
        <f>SUMIFS(df_blueme_sem_parcelamento!E:E,df_blueme_sem_parcelamento!H:H,Conciliacao!A589)*(-1)</f>
        <v/>
      </c>
      <c r="K589" s="4">
        <f>SUMIFS(df_blueme_com_parcelamento!J:J,df_blueme_com_parcelamento!M:M,Conciliacao!A589)*(-1)</f>
        <v/>
      </c>
      <c r="L589" s="4">
        <f>SUMIFS(df_mutuos!N:N,df_mutuos!B:B,Conciliacao!A589)*(-1)</f>
        <v/>
      </c>
      <c r="M589" s="8">
        <f>SUMIFS(df_bloqueios_judiciais!G:G,df_bloqueios_judiciais!D:D,Conciliacao!A589,df_bloqueios_judiciais!G:G,"&lt;0")</f>
        <v/>
      </c>
      <c r="N589" s="10">
        <f>SUMIFS(df_extratos!I:I,df_extratos!F:F,Conciliacao!BE589,df_extratos!G:G,"DEBITO")+SUMIFS(df_extratos!I:I,df_extratos!F:F,Conciliacao!A589,df_extratos!G:G,"DEBITO")+SUMIFS(df_extratos!I:I,df_extratos!F:F,Conciliacao!BF589,df_extratos!G:G,"DEBITO")+SUMIFS(df_extratos!I:I,df_extratos!F:F,Conciliacao!BG589,df_extratos!G:G,"DEBITO")+SUMIFS(df_extratos!I:I,df_extratos!F:F,Conciliacao!BH589,df_extratos!G:G,"DEBITO")</f>
        <v/>
      </c>
      <c r="O589" s="11">
        <f>N589-SUM(J589:M589)</f>
        <v/>
      </c>
      <c r="P589" s="25">
        <f>SUMIFS(df_ajustes_conciliaco!D:D,df_ajustes_conciliaco!C:C,Conciliacao!A589)</f>
        <v/>
      </c>
      <c r="Q589" s="22">
        <f>O589+I589-P589</f>
        <v/>
      </c>
    </row>
    <row r="590">
      <c r="A590" s="5">
        <f>A589+1</f>
        <v/>
      </c>
      <c r="B590" s="3">
        <f>-SUMIFS(df_extrato_zig!G:G,df_extrato_zig!E:E,Conciliacao!A590,df_extrato_zig!D:D,"Saque")-SUMIFS(df_extrato_zig!G:G,df_extrato_zig!E:E,Conciliacao!A590,df_extrato_zig!D:D,"Antecipação")</f>
        <v/>
      </c>
      <c r="C590" s="3">
        <f>SUMIFS(df_extrato_zig!E:E,df_extrato_zig!L:L,Conciliacao!A590,df_extrato_zig!F:F,"DINHEIRO")</f>
        <v/>
      </c>
      <c r="D590" s="3">
        <f>SUMIFS(view_parc_agrup!H:H,view_parc_agrup!G:G,Conciliacao!A590)</f>
        <v/>
      </c>
      <c r="E590" s="3">
        <f>SUMIFS(df_eventos!F:F,df_eventos!H:H,Conciliacao!A590)</f>
        <v/>
      </c>
      <c r="F590" s="3">
        <f>SUMIFS(df_mutuos!M:M,df_mutuos!B:B,Conciliacao!A590)</f>
        <v/>
      </c>
      <c r="G590" s="6">
        <f>SUMIFS(df_bloqueios_judiciais!G:G,df_bloqueios_judiciais!D:D,Conciliacao!A590,df_bloqueios_judiciais!G:G,"&gt;0")</f>
        <v/>
      </c>
      <c r="H590" s="7">
        <f>SUMIFS(df_extratos!I:I,df_extratos!F:F,Conciliacao!BE590,df_extratos!G:G,"CREDITO")+SUMIFS(df_extratos!I:I,df_extratos!F:F,Conciliacao!A590,df_extratos!G:G,"CREDITO")+SUMIFS(df_extratos!I:I,df_extratos!F:F,Conciliacao!BF590,df_extratos!G:G,"CREDITO")+SUMIFS(df_extratos!I:I,df_extratos!F:F,Conciliacao!BG590,df_extratos!G:G,"CREDITO")+SUMIFS(df_extratos!I:I,df_extratos!F:F,Conciliacao!BH590,df_extratos!G:G,"CREDITO")</f>
        <v/>
      </c>
      <c r="I590" s="9">
        <f>H590-SUM(B590:G590)</f>
        <v/>
      </c>
      <c r="J590" s="4">
        <f>SUMIFS(df_blueme_sem_parcelamento!E:E,df_blueme_sem_parcelamento!H:H,Conciliacao!A590)*(-1)</f>
        <v/>
      </c>
      <c r="K590" s="4">
        <f>SUMIFS(df_blueme_com_parcelamento!J:J,df_blueme_com_parcelamento!M:M,Conciliacao!A590)*(-1)</f>
        <v/>
      </c>
      <c r="L590" s="4">
        <f>SUMIFS(df_mutuos!N:N,df_mutuos!B:B,Conciliacao!A590)*(-1)</f>
        <v/>
      </c>
      <c r="M590" s="8">
        <f>SUMIFS(df_bloqueios_judiciais!G:G,df_bloqueios_judiciais!D:D,Conciliacao!A590,df_bloqueios_judiciais!G:G,"&lt;0")</f>
        <v/>
      </c>
      <c r="N590" s="10">
        <f>SUMIFS(df_extratos!I:I,df_extratos!F:F,Conciliacao!BE590,df_extratos!G:G,"DEBITO")+SUMIFS(df_extratos!I:I,df_extratos!F:F,Conciliacao!A590,df_extratos!G:G,"DEBITO")+SUMIFS(df_extratos!I:I,df_extratos!F:F,Conciliacao!BF590,df_extratos!G:G,"DEBITO")+SUMIFS(df_extratos!I:I,df_extratos!F:F,Conciliacao!BG590,df_extratos!G:G,"DEBITO")+SUMIFS(df_extratos!I:I,df_extratos!F:F,Conciliacao!BH590,df_extratos!G:G,"DEBITO")</f>
        <v/>
      </c>
      <c r="O590" s="11">
        <f>N590-SUM(J590:M590)</f>
        <v/>
      </c>
      <c r="P590" s="25">
        <f>SUMIFS(df_ajustes_conciliaco!D:D,df_ajustes_conciliaco!C:C,Conciliacao!A590)</f>
        <v/>
      </c>
      <c r="Q590" s="22">
        <f>O590+I590-P590</f>
        <v/>
      </c>
    </row>
    <row r="591">
      <c r="A591" s="5">
        <f>A590+1</f>
        <v/>
      </c>
      <c r="B591" s="3">
        <f>-SUMIFS(df_extrato_zig!G:G,df_extrato_zig!E:E,Conciliacao!A591,df_extrato_zig!D:D,"Saque")-SUMIFS(df_extrato_zig!G:G,df_extrato_zig!E:E,Conciliacao!A591,df_extrato_zig!D:D,"Antecipação")</f>
        <v/>
      </c>
      <c r="C591" s="3">
        <f>SUMIFS(df_extrato_zig!E:E,df_extrato_zig!L:L,Conciliacao!A591,df_extrato_zig!F:F,"DINHEIRO")</f>
        <v/>
      </c>
      <c r="D591" s="3">
        <f>SUMIFS(view_parc_agrup!H:H,view_parc_agrup!G:G,Conciliacao!A591)</f>
        <v/>
      </c>
      <c r="E591" s="3">
        <f>SUMIFS(df_eventos!F:F,df_eventos!H:H,Conciliacao!A591)</f>
        <v/>
      </c>
      <c r="F591" s="3">
        <f>SUMIFS(df_mutuos!M:M,df_mutuos!B:B,Conciliacao!A591)</f>
        <v/>
      </c>
      <c r="G591" s="6">
        <f>SUMIFS(df_bloqueios_judiciais!G:G,df_bloqueios_judiciais!D:D,Conciliacao!A591,df_bloqueios_judiciais!G:G,"&gt;0")</f>
        <v/>
      </c>
      <c r="H591" s="7">
        <f>SUMIFS(df_extratos!I:I,df_extratos!F:F,Conciliacao!BE591,df_extratos!G:G,"CREDITO")+SUMIFS(df_extratos!I:I,df_extratos!F:F,Conciliacao!A591,df_extratos!G:G,"CREDITO")+SUMIFS(df_extratos!I:I,df_extratos!F:F,Conciliacao!BF591,df_extratos!G:G,"CREDITO")+SUMIFS(df_extratos!I:I,df_extratos!F:F,Conciliacao!BG591,df_extratos!G:G,"CREDITO")+SUMIFS(df_extratos!I:I,df_extratos!F:F,Conciliacao!BH591,df_extratos!G:G,"CREDITO")</f>
        <v/>
      </c>
      <c r="I591" s="9">
        <f>H591-SUM(B591:G591)</f>
        <v/>
      </c>
      <c r="J591" s="4">
        <f>SUMIFS(df_blueme_sem_parcelamento!E:E,df_blueme_sem_parcelamento!H:H,Conciliacao!A591)*(-1)</f>
        <v/>
      </c>
      <c r="K591" s="4">
        <f>SUMIFS(df_blueme_com_parcelamento!J:J,df_blueme_com_parcelamento!M:M,Conciliacao!A591)*(-1)</f>
        <v/>
      </c>
      <c r="L591" s="4">
        <f>SUMIFS(df_mutuos!N:N,df_mutuos!B:B,Conciliacao!A591)*(-1)</f>
        <v/>
      </c>
      <c r="M591" s="8">
        <f>SUMIFS(df_bloqueios_judiciais!G:G,df_bloqueios_judiciais!D:D,Conciliacao!A591,df_bloqueios_judiciais!G:G,"&lt;0")</f>
        <v/>
      </c>
      <c r="N591" s="10">
        <f>SUMIFS(df_extratos!I:I,df_extratos!F:F,Conciliacao!BE591,df_extratos!G:G,"DEBITO")+SUMIFS(df_extratos!I:I,df_extratos!F:F,Conciliacao!A591,df_extratos!G:G,"DEBITO")+SUMIFS(df_extratos!I:I,df_extratos!F:F,Conciliacao!BF591,df_extratos!G:G,"DEBITO")+SUMIFS(df_extratos!I:I,df_extratos!F:F,Conciliacao!BG591,df_extratos!G:G,"DEBITO")+SUMIFS(df_extratos!I:I,df_extratos!F:F,Conciliacao!BH591,df_extratos!G:G,"DEBITO")</f>
        <v/>
      </c>
      <c r="O591" s="11">
        <f>N591-SUM(J591:M591)</f>
        <v/>
      </c>
      <c r="P591" s="25">
        <f>SUMIFS(df_ajustes_conciliaco!D:D,df_ajustes_conciliaco!C:C,Conciliacao!A591)</f>
        <v/>
      </c>
      <c r="Q591" s="22">
        <f>O591+I591-P591</f>
        <v/>
      </c>
    </row>
    <row r="592">
      <c r="A592" s="5">
        <f>A591+1</f>
        <v/>
      </c>
      <c r="B592" s="3">
        <f>-SUMIFS(df_extrato_zig!G:G,df_extrato_zig!E:E,Conciliacao!A592,df_extrato_zig!D:D,"Saque")-SUMIFS(df_extrato_zig!G:G,df_extrato_zig!E:E,Conciliacao!A592,df_extrato_zig!D:D,"Antecipação")</f>
        <v/>
      </c>
      <c r="C592" s="3">
        <f>SUMIFS(df_extrato_zig!E:E,df_extrato_zig!L:L,Conciliacao!A592,df_extrato_zig!F:F,"DINHEIRO")</f>
        <v/>
      </c>
      <c r="D592" s="3">
        <f>SUMIFS(view_parc_agrup!H:H,view_parc_agrup!G:G,Conciliacao!A592)</f>
        <v/>
      </c>
      <c r="E592" s="3">
        <f>SUMIFS(df_eventos!F:F,df_eventos!H:H,Conciliacao!A592)</f>
        <v/>
      </c>
      <c r="F592" s="3">
        <f>SUMIFS(df_mutuos!M:M,df_mutuos!B:B,Conciliacao!A592)</f>
        <v/>
      </c>
      <c r="G592" s="6">
        <f>SUMIFS(df_bloqueios_judiciais!G:G,df_bloqueios_judiciais!D:D,Conciliacao!A592,df_bloqueios_judiciais!G:G,"&gt;0")</f>
        <v/>
      </c>
      <c r="H592" s="7">
        <f>SUMIFS(df_extratos!I:I,df_extratos!F:F,Conciliacao!BE592,df_extratos!G:G,"CREDITO")+SUMIFS(df_extratos!I:I,df_extratos!F:F,Conciliacao!A592,df_extratos!G:G,"CREDITO")+SUMIFS(df_extratos!I:I,df_extratos!F:F,Conciliacao!BF592,df_extratos!G:G,"CREDITO")+SUMIFS(df_extratos!I:I,df_extratos!F:F,Conciliacao!BG592,df_extratos!G:G,"CREDITO")+SUMIFS(df_extratos!I:I,df_extratos!F:F,Conciliacao!BH592,df_extratos!G:G,"CREDITO")</f>
        <v/>
      </c>
      <c r="I592" s="9">
        <f>H592-SUM(B592:G592)</f>
        <v/>
      </c>
      <c r="J592" s="4">
        <f>SUMIFS(df_blueme_sem_parcelamento!E:E,df_blueme_sem_parcelamento!H:H,Conciliacao!A592)*(-1)</f>
        <v/>
      </c>
      <c r="K592" s="4">
        <f>SUMIFS(df_blueme_com_parcelamento!J:J,df_blueme_com_parcelamento!M:M,Conciliacao!A592)*(-1)</f>
        <v/>
      </c>
      <c r="L592" s="4">
        <f>SUMIFS(df_mutuos!N:N,df_mutuos!B:B,Conciliacao!A592)*(-1)</f>
        <v/>
      </c>
      <c r="M592" s="8">
        <f>SUMIFS(df_bloqueios_judiciais!G:G,df_bloqueios_judiciais!D:D,Conciliacao!A592,df_bloqueios_judiciais!G:G,"&lt;0")</f>
        <v/>
      </c>
      <c r="N592" s="10">
        <f>SUMIFS(df_extratos!I:I,df_extratos!F:F,Conciliacao!BE592,df_extratos!G:G,"DEBITO")+SUMIFS(df_extratos!I:I,df_extratos!F:F,Conciliacao!A592,df_extratos!G:G,"DEBITO")+SUMIFS(df_extratos!I:I,df_extratos!F:F,Conciliacao!BF592,df_extratos!G:G,"DEBITO")+SUMIFS(df_extratos!I:I,df_extratos!F:F,Conciliacao!BG592,df_extratos!G:G,"DEBITO")+SUMIFS(df_extratos!I:I,df_extratos!F:F,Conciliacao!BH592,df_extratos!G:G,"DEBITO")</f>
        <v/>
      </c>
      <c r="O592" s="11">
        <f>N592-SUM(J592:M592)</f>
        <v/>
      </c>
      <c r="P592" s="25">
        <f>SUMIFS(df_ajustes_conciliaco!D:D,df_ajustes_conciliaco!C:C,Conciliacao!A592)</f>
        <v/>
      </c>
      <c r="Q592" s="22">
        <f>O592+I592-P592</f>
        <v/>
      </c>
    </row>
    <row r="593">
      <c r="A593" s="5">
        <f>A592+1</f>
        <v/>
      </c>
      <c r="B593" s="3">
        <f>-SUMIFS(df_extrato_zig!G:G,df_extrato_zig!E:E,Conciliacao!A593,df_extrato_zig!D:D,"Saque")-SUMIFS(df_extrato_zig!G:G,df_extrato_zig!E:E,Conciliacao!A593,df_extrato_zig!D:D,"Antecipação")</f>
        <v/>
      </c>
      <c r="C593" s="3">
        <f>SUMIFS(df_extrato_zig!E:E,df_extrato_zig!L:L,Conciliacao!A593,df_extrato_zig!F:F,"DINHEIRO")</f>
        <v/>
      </c>
      <c r="D593" s="3">
        <f>SUMIFS(view_parc_agrup!H:H,view_parc_agrup!G:G,Conciliacao!A593)</f>
        <v/>
      </c>
      <c r="E593" s="3">
        <f>SUMIFS(df_eventos!F:F,df_eventos!H:H,Conciliacao!A593)</f>
        <v/>
      </c>
      <c r="F593" s="3">
        <f>SUMIFS(df_mutuos!M:M,df_mutuos!B:B,Conciliacao!A593)</f>
        <v/>
      </c>
      <c r="G593" s="6">
        <f>SUMIFS(df_bloqueios_judiciais!G:G,df_bloqueios_judiciais!D:D,Conciliacao!A593,df_bloqueios_judiciais!G:G,"&gt;0")</f>
        <v/>
      </c>
      <c r="H593" s="7">
        <f>SUMIFS(df_extratos!I:I,df_extratos!F:F,Conciliacao!BE593,df_extratos!G:G,"CREDITO")+SUMIFS(df_extratos!I:I,df_extratos!F:F,Conciliacao!A593,df_extratos!G:G,"CREDITO")+SUMIFS(df_extratos!I:I,df_extratos!F:F,Conciliacao!BF593,df_extratos!G:G,"CREDITO")+SUMIFS(df_extratos!I:I,df_extratos!F:F,Conciliacao!BG593,df_extratos!G:G,"CREDITO")+SUMIFS(df_extratos!I:I,df_extratos!F:F,Conciliacao!BH593,df_extratos!G:G,"CREDITO")</f>
        <v/>
      </c>
      <c r="I593" s="9">
        <f>H593-SUM(B593:G593)</f>
        <v/>
      </c>
      <c r="J593" s="4">
        <f>SUMIFS(df_blueme_sem_parcelamento!E:E,df_blueme_sem_parcelamento!H:H,Conciliacao!A593)*(-1)</f>
        <v/>
      </c>
      <c r="K593" s="4">
        <f>SUMIFS(df_blueme_com_parcelamento!J:J,df_blueme_com_parcelamento!M:M,Conciliacao!A593)*(-1)</f>
        <v/>
      </c>
      <c r="L593" s="4">
        <f>SUMIFS(df_mutuos!N:N,df_mutuos!B:B,Conciliacao!A593)*(-1)</f>
        <v/>
      </c>
      <c r="M593" s="8">
        <f>SUMIFS(df_bloqueios_judiciais!G:G,df_bloqueios_judiciais!D:D,Conciliacao!A593,df_bloqueios_judiciais!G:G,"&lt;0")</f>
        <v/>
      </c>
      <c r="N593" s="10">
        <f>SUMIFS(df_extratos!I:I,df_extratos!F:F,Conciliacao!BE593,df_extratos!G:G,"DEBITO")+SUMIFS(df_extratos!I:I,df_extratos!F:F,Conciliacao!A593,df_extratos!G:G,"DEBITO")+SUMIFS(df_extratos!I:I,df_extratos!F:F,Conciliacao!BF593,df_extratos!G:G,"DEBITO")+SUMIFS(df_extratos!I:I,df_extratos!F:F,Conciliacao!BG593,df_extratos!G:G,"DEBITO")+SUMIFS(df_extratos!I:I,df_extratos!F:F,Conciliacao!BH593,df_extratos!G:G,"DEBITO")</f>
        <v/>
      </c>
      <c r="O593" s="11">
        <f>N593-SUM(J593:M593)</f>
        <v/>
      </c>
      <c r="P593" s="25">
        <f>SUMIFS(df_ajustes_conciliaco!D:D,df_ajustes_conciliaco!C:C,Conciliacao!A593)</f>
        <v/>
      </c>
      <c r="Q593" s="22">
        <f>O593+I593-P593</f>
        <v/>
      </c>
    </row>
    <row r="594">
      <c r="A594" s="5">
        <f>A593+1</f>
        <v/>
      </c>
      <c r="B594" s="3">
        <f>-SUMIFS(df_extrato_zig!G:G,df_extrato_zig!E:E,Conciliacao!A594,df_extrato_zig!D:D,"Saque")-SUMIFS(df_extrato_zig!G:G,df_extrato_zig!E:E,Conciliacao!A594,df_extrato_zig!D:D,"Antecipação")</f>
        <v/>
      </c>
      <c r="C594" s="3">
        <f>SUMIFS(df_extrato_zig!E:E,df_extrato_zig!L:L,Conciliacao!A594,df_extrato_zig!F:F,"DINHEIRO")</f>
        <v/>
      </c>
      <c r="D594" s="3">
        <f>SUMIFS(view_parc_agrup!H:H,view_parc_agrup!G:G,Conciliacao!A594)</f>
        <v/>
      </c>
      <c r="E594" s="3">
        <f>SUMIFS(df_eventos!F:F,df_eventos!H:H,Conciliacao!A594)</f>
        <v/>
      </c>
      <c r="F594" s="3">
        <f>SUMIFS(df_mutuos!M:M,df_mutuos!B:B,Conciliacao!A594)</f>
        <v/>
      </c>
      <c r="G594" s="6">
        <f>SUMIFS(df_bloqueios_judiciais!G:G,df_bloqueios_judiciais!D:D,Conciliacao!A594,df_bloqueios_judiciais!G:G,"&gt;0")</f>
        <v/>
      </c>
      <c r="H594" s="7">
        <f>SUMIFS(df_extratos!I:I,df_extratos!F:F,Conciliacao!BE594,df_extratos!G:G,"CREDITO")+SUMIFS(df_extratos!I:I,df_extratos!F:F,Conciliacao!A594,df_extratos!G:G,"CREDITO")+SUMIFS(df_extratos!I:I,df_extratos!F:F,Conciliacao!BF594,df_extratos!G:G,"CREDITO")+SUMIFS(df_extratos!I:I,df_extratos!F:F,Conciliacao!BG594,df_extratos!G:G,"CREDITO")+SUMIFS(df_extratos!I:I,df_extratos!F:F,Conciliacao!BH594,df_extratos!G:G,"CREDITO")</f>
        <v/>
      </c>
      <c r="I594" s="9">
        <f>H594-SUM(B594:G594)</f>
        <v/>
      </c>
      <c r="J594" s="4">
        <f>SUMIFS(df_blueme_sem_parcelamento!E:E,df_blueme_sem_parcelamento!H:H,Conciliacao!A594)*(-1)</f>
        <v/>
      </c>
      <c r="K594" s="4">
        <f>SUMIFS(df_blueme_com_parcelamento!J:J,df_blueme_com_parcelamento!M:M,Conciliacao!A594)*(-1)</f>
        <v/>
      </c>
      <c r="L594" s="4">
        <f>SUMIFS(df_mutuos!N:N,df_mutuos!B:B,Conciliacao!A594)*(-1)</f>
        <v/>
      </c>
      <c r="M594" s="8">
        <f>SUMIFS(df_bloqueios_judiciais!G:G,df_bloqueios_judiciais!D:D,Conciliacao!A594,df_bloqueios_judiciais!G:G,"&lt;0")</f>
        <v/>
      </c>
      <c r="N594" s="10">
        <f>SUMIFS(df_extratos!I:I,df_extratos!F:F,Conciliacao!BE594,df_extratos!G:G,"DEBITO")+SUMIFS(df_extratos!I:I,df_extratos!F:F,Conciliacao!A594,df_extratos!G:G,"DEBITO")+SUMIFS(df_extratos!I:I,df_extratos!F:F,Conciliacao!BF594,df_extratos!G:G,"DEBITO")+SUMIFS(df_extratos!I:I,df_extratos!F:F,Conciliacao!BG594,df_extratos!G:G,"DEBITO")+SUMIFS(df_extratos!I:I,df_extratos!F:F,Conciliacao!BH594,df_extratos!G:G,"DEBITO")</f>
        <v/>
      </c>
      <c r="O594" s="11">
        <f>N594-SUM(J594:M594)</f>
        <v/>
      </c>
      <c r="P594" s="25">
        <f>SUMIFS(df_ajustes_conciliaco!D:D,df_ajustes_conciliaco!C:C,Conciliacao!A594)</f>
        <v/>
      </c>
      <c r="Q594" s="22">
        <f>O594+I594-P594</f>
        <v/>
      </c>
    </row>
    <row r="595">
      <c r="A595" s="5">
        <f>A594+1</f>
        <v/>
      </c>
      <c r="B595" s="3">
        <f>-SUMIFS(df_extrato_zig!G:G,df_extrato_zig!E:E,Conciliacao!A595,df_extrato_zig!D:D,"Saque")-SUMIFS(df_extrato_zig!G:G,df_extrato_zig!E:E,Conciliacao!A595,df_extrato_zig!D:D,"Antecipação")</f>
        <v/>
      </c>
      <c r="C595" s="3">
        <f>SUMIFS(df_extrato_zig!E:E,df_extrato_zig!L:L,Conciliacao!A595,df_extrato_zig!F:F,"DINHEIRO")</f>
        <v/>
      </c>
      <c r="D595" s="3">
        <f>SUMIFS(view_parc_agrup!H:H,view_parc_agrup!G:G,Conciliacao!A595)</f>
        <v/>
      </c>
      <c r="E595" s="3">
        <f>SUMIFS(df_eventos!F:F,df_eventos!H:H,Conciliacao!A595)</f>
        <v/>
      </c>
      <c r="F595" s="3">
        <f>SUMIFS(df_mutuos!M:M,df_mutuos!B:B,Conciliacao!A595)</f>
        <v/>
      </c>
      <c r="G595" s="6">
        <f>SUMIFS(df_bloqueios_judiciais!G:G,df_bloqueios_judiciais!D:D,Conciliacao!A595,df_bloqueios_judiciais!G:G,"&gt;0")</f>
        <v/>
      </c>
      <c r="H595" s="7">
        <f>SUMIFS(df_extratos!I:I,df_extratos!F:F,Conciliacao!BE595,df_extratos!G:G,"CREDITO")+SUMIFS(df_extratos!I:I,df_extratos!F:F,Conciliacao!A595,df_extratos!G:G,"CREDITO")+SUMIFS(df_extratos!I:I,df_extratos!F:F,Conciliacao!BF595,df_extratos!G:G,"CREDITO")+SUMIFS(df_extratos!I:I,df_extratos!F:F,Conciliacao!BG595,df_extratos!G:G,"CREDITO")+SUMIFS(df_extratos!I:I,df_extratos!F:F,Conciliacao!BH595,df_extratos!G:G,"CREDITO")</f>
        <v/>
      </c>
      <c r="I595" s="9">
        <f>H595-SUM(B595:G595)</f>
        <v/>
      </c>
      <c r="J595" s="4">
        <f>SUMIFS(df_blueme_sem_parcelamento!E:E,df_blueme_sem_parcelamento!H:H,Conciliacao!A595)*(-1)</f>
        <v/>
      </c>
      <c r="K595" s="4">
        <f>SUMIFS(df_blueme_com_parcelamento!J:J,df_blueme_com_parcelamento!M:M,Conciliacao!A595)*(-1)</f>
        <v/>
      </c>
      <c r="L595" s="4">
        <f>SUMIFS(df_mutuos!N:N,df_mutuos!B:B,Conciliacao!A595)*(-1)</f>
        <v/>
      </c>
      <c r="M595" s="8">
        <f>SUMIFS(df_bloqueios_judiciais!G:G,df_bloqueios_judiciais!D:D,Conciliacao!A595,df_bloqueios_judiciais!G:G,"&lt;0")</f>
        <v/>
      </c>
      <c r="N595" s="10">
        <f>SUMIFS(df_extratos!I:I,df_extratos!F:F,Conciliacao!BE595,df_extratos!G:G,"DEBITO")+SUMIFS(df_extratos!I:I,df_extratos!F:F,Conciliacao!A595,df_extratos!G:G,"DEBITO")+SUMIFS(df_extratos!I:I,df_extratos!F:F,Conciliacao!BF595,df_extratos!G:G,"DEBITO")+SUMIFS(df_extratos!I:I,df_extratos!F:F,Conciliacao!BG595,df_extratos!G:G,"DEBITO")+SUMIFS(df_extratos!I:I,df_extratos!F:F,Conciliacao!BH595,df_extratos!G:G,"DEBITO")</f>
        <v/>
      </c>
      <c r="O595" s="11">
        <f>N595-SUM(J595:M595)</f>
        <v/>
      </c>
      <c r="P595" s="25">
        <f>SUMIFS(df_ajustes_conciliaco!D:D,df_ajustes_conciliaco!C:C,Conciliacao!A595)</f>
        <v/>
      </c>
      <c r="Q595" s="22">
        <f>O595+I595-P595</f>
        <v/>
      </c>
    </row>
    <row r="596">
      <c r="A596" s="5">
        <f>A595+1</f>
        <v/>
      </c>
      <c r="B596" s="3">
        <f>-SUMIFS(df_extrato_zig!G:G,df_extrato_zig!E:E,Conciliacao!A596,df_extrato_zig!D:D,"Saque")-SUMIFS(df_extrato_zig!G:G,df_extrato_zig!E:E,Conciliacao!A596,df_extrato_zig!D:D,"Antecipação")</f>
        <v/>
      </c>
      <c r="C596" s="3">
        <f>SUMIFS(df_extrato_zig!E:E,df_extrato_zig!L:L,Conciliacao!A596,df_extrato_zig!F:F,"DINHEIRO")</f>
        <v/>
      </c>
      <c r="D596" s="3">
        <f>SUMIFS(view_parc_agrup!H:H,view_parc_agrup!G:G,Conciliacao!A596)</f>
        <v/>
      </c>
      <c r="E596" s="3">
        <f>SUMIFS(df_eventos!F:F,df_eventos!H:H,Conciliacao!A596)</f>
        <v/>
      </c>
      <c r="F596" s="3">
        <f>SUMIFS(df_mutuos!M:M,df_mutuos!B:B,Conciliacao!A596)</f>
        <v/>
      </c>
      <c r="G596" s="6">
        <f>SUMIFS(df_bloqueios_judiciais!G:G,df_bloqueios_judiciais!D:D,Conciliacao!A596,df_bloqueios_judiciais!G:G,"&gt;0")</f>
        <v/>
      </c>
      <c r="H596" s="7">
        <f>SUMIFS(df_extratos!I:I,df_extratos!F:F,Conciliacao!BE596,df_extratos!G:G,"CREDITO")+SUMIFS(df_extratos!I:I,df_extratos!F:F,Conciliacao!A596,df_extratos!G:G,"CREDITO")+SUMIFS(df_extratos!I:I,df_extratos!F:F,Conciliacao!BF596,df_extratos!G:G,"CREDITO")+SUMIFS(df_extratos!I:I,df_extratos!F:F,Conciliacao!BG596,df_extratos!G:G,"CREDITO")+SUMIFS(df_extratos!I:I,df_extratos!F:F,Conciliacao!BH596,df_extratos!G:G,"CREDITO")</f>
        <v/>
      </c>
      <c r="I596" s="9">
        <f>H596-SUM(B596:G596)</f>
        <v/>
      </c>
      <c r="J596" s="4">
        <f>SUMIFS(df_blueme_sem_parcelamento!E:E,df_blueme_sem_parcelamento!H:H,Conciliacao!A596)*(-1)</f>
        <v/>
      </c>
      <c r="K596" s="4">
        <f>SUMIFS(df_blueme_com_parcelamento!J:J,df_blueme_com_parcelamento!M:M,Conciliacao!A596)*(-1)</f>
        <v/>
      </c>
      <c r="L596" s="4">
        <f>SUMIFS(df_mutuos!N:N,df_mutuos!B:B,Conciliacao!A596)*(-1)</f>
        <v/>
      </c>
      <c r="M596" s="8">
        <f>SUMIFS(df_bloqueios_judiciais!G:G,df_bloqueios_judiciais!D:D,Conciliacao!A596,df_bloqueios_judiciais!G:G,"&lt;0")</f>
        <v/>
      </c>
      <c r="N596" s="10">
        <f>SUMIFS(df_extratos!I:I,df_extratos!F:F,Conciliacao!BE596,df_extratos!G:G,"DEBITO")+SUMIFS(df_extratos!I:I,df_extratos!F:F,Conciliacao!A596,df_extratos!G:G,"DEBITO")+SUMIFS(df_extratos!I:I,df_extratos!F:F,Conciliacao!BF596,df_extratos!G:G,"DEBITO")+SUMIFS(df_extratos!I:I,df_extratos!F:F,Conciliacao!BG596,df_extratos!G:G,"DEBITO")+SUMIFS(df_extratos!I:I,df_extratos!F:F,Conciliacao!BH596,df_extratos!G:G,"DEBITO")</f>
        <v/>
      </c>
      <c r="O596" s="11">
        <f>N596-SUM(J596:M596)</f>
        <v/>
      </c>
      <c r="P596" s="25">
        <f>SUMIFS(df_ajustes_conciliaco!D:D,df_ajustes_conciliaco!C:C,Conciliacao!A596)</f>
        <v/>
      </c>
      <c r="Q596" s="22">
        <f>O596+I596-P596</f>
        <v/>
      </c>
    </row>
    <row r="597">
      <c r="A597" s="5">
        <f>A596+1</f>
        <v/>
      </c>
      <c r="B597" s="3">
        <f>-SUMIFS(df_extrato_zig!G:G,df_extrato_zig!E:E,Conciliacao!A597,df_extrato_zig!D:D,"Saque")-SUMIFS(df_extrato_zig!G:G,df_extrato_zig!E:E,Conciliacao!A597,df_extrato_zig!D:D,"Antecipação")</f>
        <v/>
      </c>
      <c r="C597" s="3">
        <f>SUMIFS(df_extrato_zig!E:E,df_extrato_zig!L:L,Conciliacao!A597,df_extrato_zig!F:F,"DINHEIRO")</f>
        <v/>
      </c>
      <c r="D597" s="3">
        <f>SUMIFS(view_parc_agrup!H:H,view_parc_agrup!G:G,Conciliacao!A597)</f>
        <v/>
      </c>
      <c r="E597" s="3">
        <f>SUMIFS(df_eventos!F:F,df_eventos!H:H,Conciliacao!A597)</f>
        <v/>
      </c>
      <c r="F597" s="3">
        <f>SUMIFS(df_mutuos!M:M,df_mutuos!B:B,Conciliacao!A597)</f>
        <v/>
      </c>
      <c r="G597" s="6">
        <f>SUMIFS(df_bloqueios_judiciais!G:G,df_bloqueios_judiciais!D:D,Conciliacao!A597,df_bloqueios_judiciais!G:G,"&gt;0")</f>
        <v/>
      </c>
      <c r="H597" s="7">
        <f>SUMIFS(df_extratos!I:I,df_extratos!F:F,Conciliacao!BE597,df_extratos!G:G,"CREDITO")+SUMIFS(df_extratos!I:I,df_extratos!F:F,Conciliacao!A597,df_extratos!G:G,"CREDITO")+SUMIFS(df_extratos!I:I,df_extratos!F:F,Conciliacao!BF597,df_extratos!G:G,"CREDITO")+SUMIFS(df_extratos!I:I,df_extratos!F:F,Conciliacao!BG597,df_extratos!G:G,"CREDITO")+SUMIFS(df_extratos!I:I,df_extratos!F:F,Conciliacao!BH597,df_extratos!G:G,"CREDITO")</f>
        <v/>
      </c>
      <c r="I597" s="9">
        <f>H597-SUM(B597:G597)</f>
        <v/>
      </c>
      <c r="J597" s="4">
        <f>SUMIFS(df_blueme_sem_parcelamento!E:E,df_blueme_sem_parcelamento!H:H,Conciliacao!A597)*(-1)</f>
        <v/>
      </c>
      <c r="K597" s="4">
        <f>SUMIFS(df_blueme_com_parcelamento!J:J,df_blueme_com_parcelamento!M:M,Conciliacao!A597)*(-1)</f>
        <v/>
      </c>
      <c r="L597" s="4">
        <f>SUMIFS(df_mutuos!N:N,df_mutuos!B:B,Conciliacao!A597)*(-1)</f>
        <v/>
      </c>
      <c r="M597" s="8">
        <f>SUMIFS(df_bloqueios_judiciais!G:G,df_bloqueios_judiciais!D:D,Conciliacao!A597,df_bloqueios_judiciais!G:G,"&lt;0")</f>
        <v/>
      </c>
      <c r="N597" s="10">
        <f>SUMIFS(df_extratos!I:I,df_extratos!F:F,Conciliacao!BE597,df_extratos!G:G,"DEBITO")+SUMIFS(df_extratos!I:I,df_extratos!F:F,Conciliacao!A597,df_extratos!G:G,"DEBITO")+SUMIFS(df_extratos!I:I,df_extratos!F:F,Conciliacao!BF597,df_extratos!G:G,"DEBITO")+SUMIFS(df_extratos!I:I,df_extratos!F:F,Conciliacao!BG597,df_extratos!G:G,"DEBITO")+SUMIFS(df_extratos!I:I,df_extratos!F:F,Conciliacao!BH597,df_extratos!G:G,"DEBITO")</f>
        <v/>
      </c>
      <c r="O597" s="11">
        <f>N597-SUM(J597:M597)</f>
        <v/>
      </c>
      <c r="P597" s="25">
        <f>SUMIFS(df_ajustes_conciliaco!D:D,df_ajustes_conciliaco!C:C,Conciliacao!A597)</f>
        <v/>
      </c>
      <c r="Q597" s="22">
        <f>O597+I597-P597</f>
        <v/>
      </c>
    </row>
    <row r="598">
      <c r="A598" s="5">
        <f>A597+1</f>
        <v/>
      </c>
      <c r="B598" s="3">
        <f>-SUMIFS(df_extrato_zig!G:G,df_extrato_zig!E:E,Conciliacao!A598,df_extrato_zig!D:D,"Saque")-SUMIFS(df_extrato_zig!G:G,df_extrato_zig!E:E,Conciliacao!A598,df_extrato_zig!D:D,"Antecipação")</f>
        <v/>
      </c>
      <c r="C598" s="3">
        <f>SUMIFS(df_extrato_zig!E:E,df_extrato_zig!L:L,Conciliacao!A598,df_extrato_zig!F:F,"DINHEIRO")</f>
        <v/>
      </c>
      <c r="D598" s="3">
        <f>SUMIFS(view_parc_agrup!H:H,view_parc_agrup!G:G,Conciliacao!A598)</f>
        <v/>
      </c>
      <c r="E598" s="3">
        <f>SUMIFS(df_eventos!F:F,df_eventos!H:H,Conciliacao!A598)</f>
        <v/>
      </c>
      <c r="F598" s="3">
        <f>SUMIFS(df_mutuos!M:M,df_mutuos!B:B,Conciliacao!A598)</f>
        <v/>
      </c>
      <c r="G598" s="6">
        <f>SUMIFS(df_bloqueios_judiciais!G:G,df_bloqueios_judiciais!D:D,Conciliacao!A598,df_bloqueios_judiciais!G:G,"&gt;0")</f>
        <v/>
      </c>
      <c r="H598" s="7">
        <f>SUMIFS(df_extratos!I:I,df_extratos!F:F,Conciliacao!BE598,df_extratos!G:G,"CREDITO")+SUMIFS(df_extratos!I:I,df_extratos!F:F,Conciliacao!A598,df_extratos!G:G,"CREDITO")+SUMIFS(df_extratos!I:I,df_extratos!F:F,Conciliacao!BF598,df_extratos!G:G,"CREDITO")+SUMIFS(df_extratos!I:I,df_extratos!F:F,Conciliacao!BG598,df_extratos!G:G,"CREDITO")+SUMIFS(df_extratos!I:I,df_extratos!F:F,Conciliacao!BH598,df_extratos!G:G,"CREDITO")</f>
        <v/>
      </c>
      <c r="I598" s="9">
        <f>H598-SUM(B598:G598)</f>
        <v/>
      </c>
      <c r="J598" s="4">
        <f>SUMIFS(df_blueme_sem_parcelamento!E:E,df_blueme_sem_parcelamento!H:H,Conciliacao!A598)*(-1)</f>
        <v/>
      </c>
      <c r="K598" s="4">
        <f>SUMIFS(df_blueme_com_parcelamento!J:J,df_blueme_com_parcelamento!M:M,Conciliacao!A598)*(-1)</f>
        <v/>
      </c>
      <c r="L598" s="4">
        <f>SUMIFS(df_mutuos!N:N,df_mutuos!B:B,Conciliacao!A598)*(-1)</f>
        <v/>
      </c>
      <c r="M598" s="8">
        <f>SUMIFS(df_bloqueios_judiciais!G:G,df_bloqueios_judiciais!D:D,Conciliacao!A598,df_bloqueios_judiciais!G:G,"&lt;0")</f>
        <v/>
      </c>
      <c r="N598" s="10">
        <f>SUMIFS(df_extratos!I:I,df_extratos!F:F,Conciliacao!BE598,df_extratos!G:G,"DEBITO")+SUMIFS(df_extratos!I:I,df_extratos!F:F,Conciliacao!A598,df_extratos!G:G,"DEBITO")+SUMIFS(df_extratos!I:I,df_extratos!F:F,Conciliacao!BF598,df_extratos!G:G,"DEBITO")+SUMIFS(df_extratos!I:I,df_extratos!F:F,Conciliacao!BG598,df_extratos!G:G,"DEBITO")+SUMIFS(df_extratos!I:I,df_extratos!F:F,Conciliacao!BH598,df_extratos!G:G,"DEBITO")</f>
        <v/>
      </c>
      <c r="O598" s="11">
        <f>N598-SUM(J598:M598)</f>
        <v/>
      </c>
      <c r="P598" s="25">
        <f>SUMIFS(df_ajustes_conciliaco!D:D,df_ajustes_conciliaco!C:C,Conciliacao!A598)</f>
        <v/>
      </c>
      <c r="Q598" s="22">
        <f>O598+I598-P598</f>
        <v/>
      </c>
    </row>
    <row r="599">
      <c r="A599" s="5">
        <f>A598+1</f>
        <v/>
      </c>
      <c r="B599" s="3">
        <f>-SUMIFS(df_extrato_zig!G:G,df_extrato_zig!E:E,Conciliacao!A599,df_extrato_zig!D:D,"Saque")-SUMIFS(df_extrato_zig!G:G,df_extrato_zig!E:E,Conciliacao!A599,df_extrato_zig!D:D,"Antecipação")</f>
        <v/>
      </c>
      <c r="C599" s="3">
        <f>SUMIFS(df_extrato_zig!E:E,df_extrato_zig!L:L,Conciliacao!A599,df_extrato_zig!F:F,"DINHEIRO")</f>
        <v/>
      </c>
      <c r="D599" s="3">
        <f>SUMIFS(view_parc_agrup!H:H,view_parc_agrup!G:G,Conciliacao!A599)</f>
        <v/>
      </c>
      <c r="E599" s="3">
        <f>SUMIFS(df_eventos!F:F,df_eventos!H:H,Conciliacao!A599)</f>
        <v/>
      </c>
      <c r="F599" s="3">
        <f>SUMIFS(df_mutuos!M:M,df_mutuos!B:B,Conciliacao!A599)</f>
        <v/>
      </c>
      <c r="G599" s="6">
        <f>SUMIFS(df_bloqueios_judiciais!G:G,df_bloqueios_judiciais!D:D,Conciliacao!A599,df_bloqueios_judiciais!G:G,"&gt;0")</f>
        <v/>
      </c>
      <c r="H599" s="7">
        <f>SUMIFS(df_extratos!I:I,df_extratos!F:F,Conciliacao!BE599,df_extratos!G:G,"CREDITO")+SUMIFS(df_extratos!I:I,df_extratos!F:F,Conciliacao!A599,df_extratos!G:G,"CREDITO")+SUMIFS(df_extratos!I:I,df_extratos!F:F,Conciliacao!BF599,df_extratos!G:G,"CREDITO")+SUMIFS(df_extratos!I:I,df_extratos!F:F,Conciliacao!BG599,df_extratos!G:G,"CREDITO")+SUMIFS(df_extratos!I:I,df_extratos!F:F,Conciliacao!BH599,df_extratos!G:G,"CREDITO")</f>
        <v/>
      </c>
      <c r="I599" s="9">
        <f>H599-SUM(B599:G599)</f>
        <v/>
      </c>
      <c r="J599" s="4">
        <f>SUMIFS(df_blueme_sem_parcelamento!E:E,df_blueme_sem_parcelamento!H:H,Conciliacao!A599)*(-1)</f>
        <v/>
      </c>
      <c r="K599" s="4">
        <f>SUMIFS(df_blueme_com_parcelamento!J:J,df_blueme_com_parcelamento!M:M,Conciliacao!A599)*(-1)</f>
        <v/>
      </c>
      <c r="L599" s="4">
        <f>SUMIFS(df_mutuos!N:N,df_mutuos!B:B,Conciliacao!A599)*(-1)</f>
        <v/>
      </c>
      <c r="M599" s="8">
        <f>SUMIFS(df_bloqueios_judiciais!G:G,df_bloqueios_judiciais!D:D,Conciliacao!A599,df_bloqueios_judiciais!G:G,"&lt;0")</f>
        <v/>
      </c>
      <c r="N599" s="10">
        <f>SUMIFS(df_extratos!I:I,df_extratos!F:F,Conciliacao!BE599,df_extratos!G:G,"DEBITO")+SUMIFS(df_extratos!I:I,df_extratos!F:F,Conciliacao!A599,df_extratos!G:G,"DEBITO")+SUMIFS(df_extratos!I:I,df_extratos!F:F,Conciliacao!BF599,df_extratos!G:G,"DEBITO")+SUMIFS(df_extratos!I:I,df_extratos!F:F,Conciliacao!BG599,df_extratos!G:G,"DEBITO")+SUMIFS(df_extratos!I:I,df_extratos!F:F,Conciliacao!BH599,df_extratos!G:G,"DEBITO")</f>
        <v/>
      </c>
      <c r="O599" s="11">
        <f>N599-SUM(J599:M599)</f>
        <v/>
      </c>
      <c r="P599" s="25">
        <f>SUMIFS(df_ajustes_conciliaco!D:D,df_ajustes_conciliaco!C:C,Conciliacao!A599)</f>
        <v/>
      </c>
      <c r="Q599" s="22">
        <f>O599+I599-P599</f>
        <v/>
      </c>
    </row>
    <row r="600">
      <c r="A600" s="5">
        <f>A599+1</f>
        <v/>
      </c>
      <c r="B600" s="3">
        <f>-SUMIFS(df_extrato_zig!G:G,df_extrato_zig!E:E,Conciliacao!A600,df_extrato_zig!D:D,"Saque")-SUMIFS(df_extrato_zig!G:G,df_extrato_zig!E:E,Conciliacao!A600,df_extrato_zig!D:D,"Antecipação")</f>
        <v/>
      </c>
      <c r="C600" s="3">
        <f>SUMIFS(df_extrato_zig!E:E,df_extrato_zig!L:L,Conciliacao!A600,df_extrato_zig!F:F,"DINHEIRO")</f>
        <v/>
      </c>
      <c r="D600" s="3">
        <f>SUMIFS(view_parc_agrup!H:H,view_parc_agrup!G:G,Conciliacao!A600)</f>
        <v/>
      </c>
      <c r="E600" s="3">
        <f>SUMIFS(df_eventos!F:F,df_eventos!H:H,Conciliacao!A600)</f>
        <v/>
      </c>
      <c r="F600" s="3">
        <f>SUMIFS(df_mutuos!M:M,df_mutuos!B:B,Conciliacao!A600)</f>
        <v/>
      </c>
      <c r="G600" s="6">
        <f>SUMIFS(df_bloqueios_judiciais!G:G,df_bloqueios_judiciais!D:D,Conciliacao!A600,df_bloqueios_judiciais!G:G,"&gt;0")</f>
        <v/>
      </c>
      <c r="H600" s="7">
        <f>SUMIFS(df_extratos!I:I,df_extratos!F:F,Conciliacao!BE600,df_extratos!G:G,"CREDITO")+SUMIFS(df_extratos!I:I,df_extratos!F:F,Conciliacao!A600,df_extratos!G:G,"CREDITO")+SUMIFS(df_extratos!I:I,df_extratos!F:F,Conciliacao!BF600,df_extratos!G:G,"CREDITO")+SUMIFS(df_extratos!I:I,df_extratos!F:F,Conciliacao!BG600,df_extratos!G:G,"CREDITO")+SUMIFS(df_extratos!I:I,df_extratos!F:F,Conciliacao!BH600,df_extratos!G:G,"CREDITO")</f>
        <v/>
      </c>
      <c r="I600" s="9">
        <f>H600-SUM(B600:G600)</f>
        <v/>
      </c>
      <c r="J600" s="4">
        <f>SUMIFS(df_blueme_sem_parcelamento!E:E,df_blueme_sem_parcelamento!H:H,Conciliacao!A600)*(-1)</f>
        <v/>
      </c>
      <c r="K600" s="4">
        <f>SUMIFS(df_blueme_com_parcelamento!J:J,df_blueme_com_parcelamento!M:M,Conciliacao!A600)*(-1)</f>
        <v/>
      </c>
      <c r="L600" s="4">
        <f>SUMIFS(df_mutuos!N:N,df_mutuos!B:B,Conciliacao!A600)*(-1)</f>
        <v/>
      </c>
      <c r="M600" s="8">
        <f>SUMIFS(df_bloqueios_judiciais!G:G,df_bloqueios_judiciais!D:D,Conciliacao!A600,df_bloqueios_judiciais!G:G,"&lt;0")</f>
        <v/>
      </c>
      <c r="N600" s="10">
        <f>SUMIFS(df_extratos!I:I,df_extratos!F:F,Conciliacao!BE600,df_extratos!G:G,"DEBITO")+SUMIFS(df_extratos!I:I,df_extratos!F:F,Conciliacao!A600,df_extratos!G:G,"DEBITO")+SUMIFS(df_extratos!I:I,df_extratos!F:F,Conciliacao!BF600,df_extratos!G:G,"DEBITO")+SUMIFS(df_extratos!I:I,df_extratos!F:F,Conciliacao!BG600,df_extratos!G:G,"DEBITO")+SUMIFS(df_extratos!I:I,df_extratos!F:F,Conciliacao!BH600,df_extratos!G:G,"DEBITO")</f>
        <v/>
      </c>
      <c r="O600" s="11">
        <f>N600-SUM(J600:M600)</f>
        <v/>
      </c>
      <c r="P600" s="25">
        <f>SUMIFS(df_ajustes_conciliaco!D:D,df_ajustes_conciliaco!C:C,Conciliacao!A600)</f>
        <v/>
      </c>
      <c r="Q600" s="22">
        <f>O600+I600-P600</f>
        <v/>
      </c>
    </row>
    <row r="601">
      <c r="A601" s="5">
        <f>A600+1</f>
        <v/>
      </c>
      <c r="B601" s="3">
        <f>-SUMIFS(df_extrato_zig!G:G,df_extrato_zig!E:E,Conciliacao!A601,df_extrato_zig!D:D,"Saque")-SUMIFS(df_extrato_zig!G:G,df_extrato_zig!E:E,Conciliacao!A601,df_extrato_zig!D:D,"Antecipação")</f>
        <v/>
      </c>
      <c r="C601" s="3">
        <f>SUMIFS(df_extrato_zig!E:E,df_extrato_zig!L:L,Conciliacao!A601,df_extrato_zig!F:F,"DINHEIRO")</f>
        <v/>
      </c>
      <c r="D601" s="3">
        <f>SUMIFS(view_parc_agrup!H:H,view_parc_agrup!G:G,Conciliacao!A601)</f>
        <v/>
      </c>
      <c r="E601" s="3">
        <f>SUMIFS(df_eventos!F:F,df_eventos!H:H,Conciliacao!A601)</f>
        <v/>
      </c>
      <c r="F601" s="3">
        <f>SUMIFS(df_mutuos!M:M,df_mutuos!B:B,Conciliacao!A601)</f>
        <v/>
      </c>
      <c r="G601" s="6">
        <f>SUMIFS(df_bloqueios_judiciais!G:G,df_bloqueios_judiciais!D:D,Conciliacao!A601,df_bloqueios_judiciais!G:G,"&gt;0")</f>
        <v/>
      </c>
      <c r="H601" s="7">
        <f>SUMIFS(df_extratos!I:I,df_extratos!F:F,Conciliacao!BE601,df_extratos!G:G,"CREDITO")+SUMIFS(df_extratos!I:I,df_extratos!F:F,Conciliacao!A601,df_extratos!G:G,"CREDITO")+SUMIFS(df_extratos!I:I,df_extratos!F:F,Conciliacao!BF601,df_extratos!G:G,"CREDITO")+SUMIFS(df_extratos!I:I,df_extratos!F:F,Conciliacao!BG601,df_extratos!G:G,"CREDITO")+SUMIFS(df_extratos!I:I,df_extratos!F:F,Conciliacao!BH601,df_extratos!G:G,"CREDITO")</f>
        <v/>
      </c>
      <c r="I601" s="9">
        <f>H601-SUM(B601:G601)</f>
        <v/>
      </c>
      <c r="J601" s="4">
        <f>SUMIFS(df_blueme_sem_parcelamento!E:E,df_blueme_sem_parcelamento!H:H,Conciliacao!A601)*(-1)</f>
        <v/>
      </c>
      <c r="K601" s="4">
        <f>SUMIFS(df_blueme_com_parcelamento!J:J,df_blueme_com_parcelamento!M:M,Conciliacao!A601)*(-1)</f>
        <v/>
      </c>
      <c r="L601" s="4">
        <f>SUMIFS(df_mutuos!N:N,df_mutuos!B:B,Conciliacao!A601)*(-1)</f>
        <v/>
      </c>
      <c r="M601" s="8">
        <f>SUMIFS(df_bloqueios_judiciais!G:G,df_bloqueios_judiciais!D:D,Conciliacao!A601,df_bloqueios_judiciais!G:G,"&lt;0")</f>
        <v/>
      </c>
      <c r="N601" s="10">
        <f>SUMIFS(df_extratos!I:I,df_extratos!F:F,Conciliacao!BE601,df_extratos!G:G,"DEBITO")+SUMIFS(df_extratos!I:I,df_extratos!F:F,Conciliacao!A601,df_extratos!G:G,"DEBITO")+SUMIFS(df_extratos!I:I,df_extratos!F:F,Conciliacao!BF601,df_extratos!G:G,"DEBITO")+SUMIFS(df_extratos!I:I,df_extratos!F:F,Conciliacao!BG601,df_extratos!G:G,"DEBITO")+SUMIFS(df_extratos!I:I,df_extratos!F:F,Conciliacao!BH601,df_extratos!G:G,"DEBITO")</f>
        <v/>
      </c>
      <c r="O601" s="11">
        <f>N601-SUM(J601:M601)</f>
        <v/>
      </c>
      <c r="P601" s="25">
        <f>SUMIFS(df_ajustes_conciliaco!D:D,df_ajustes_conciliaco!C:C,Conciliacao!A601)</f>
        <v/>
      </c>
      <c r="Q601" s="22">
        <f>O601+I601-P601</f>
        <v/>
      </c>
    </row>
    <row r="602">
      <c r="A602" s="5">
        <f>A601+1</f>
        <v/>
      </c>
      <c r="B602" s="3">
        <f>-SUMIFS(df_extrato_zig!G:G,df_extrato_zig!E:E,Conciliacao!A602,df_extrato_zig!D:D,"Saque")-SUMIFS(df_extrato_zig!G:G,df_extrato_zig!E:E,Conciliacao!A602,df_extrato_zig!D:D,"Antecipação")</f>
        <v/>
      </c>
      <c r="C602" s="3">
        <f>SUMIFS(df_extrato_zig!E:E,df_extrato_zig!L:L,Conciliacao!A602,df_extrato_zig!F:F,"DINHEIRO")</f>
        <v/>
      </c>
      <c r="D602" s="3">
        <f>SUMIFS(view_parc_agrup!H:H,view_parc_agrup!G:G,Conciliacao!A602)</f>
        <v/>
      </c>
      <c r="E602" s="3">
        <f>SUMIFS(df_eventos!F:F,df_eventos!H:H,Conciliacao!A602)</f>
        <v/>
      </c>
      <c r="F602" s="3">
        <f>SUMIFS(df_mutuos!M:M,df_mutuos!B:B,Conciliacao!A602)</f>
        <v/>
      </c>
      <c r="G602" s="6">
        <f>SUMIFS(df_bloqueios_judiciais!G:G,df_bloqueios_judiciais!D:D,Conciliacao!A602,df_bloqueios_judiciais!G:G,"&gt;0")</f>
        <v/>
      </c>
      <c r="H602" s="7">
        <f>SUMIFS(df_extratos!I:I,df_extratos!F:F,Conciliacao!BE602,df_extratos!G:G,"CREDITO")+SUMIFS(df_extratos!I:I,df_extratos!F:F,Conciliacao!A602,df_extratos!G:G,"CREDITO")+SUMIFS(df_extratos!I:I,df_extratos!F:F,Conciliacao!BF602,df_extratos!G:G,"CREDITO")+SUMIFS(df_extratos!I:I,df_extratos!F:F,Conciliacao!BG602,df_extratos!G:G,"CREDITO")+SUMIFS(df_extratos!I:I,df_extratos!F:F,Conciliacao!BH602,df_extratos!G:G,"CREDITO")</f>
        <v/>
      </c>
      <c r="I602" s="9">
        <f>H602-SUM(B602:G602)</f>
        <v/>
      </c>
      <c r="J602" s="4">
        <f>SUMIFS(df_blueme_sem_parcelamento!E:E,df_blueme_sem_parcelamento!H:H,Conciliacao!A602)*(-1)</f>
        <v/>
      </c>
      <c r="K602" s="4">
        <f>SUMIFS(df_blueme_com_parcelamento!J:J,df_blueme_com_parcelamento!M:M,Conciliacao!A602)*(-1)</f>
        <v/>
      </c>
      <c r="L602" s="4">
        <f>SUMIFS(df_mutuos!N:N,df_mutuos!B:B,Conciliacao!A602)*(-1)</f>
        <v/>
      </c>
      <c r="M602" s="8">
        <f>SUMIFS(df_bloqueios_judiciais!G:G,df_bloqueios_judiciais!D:D,Conciliacao!A602,df_bloqueios_judiciais!G:G,"&lt;0")</f>
        <v/>
      </c>
      <c r="N602" s="10">
        <f>SUMIFS(df_extratos!I:I,df_extratos!F:F,Conciliacao!BE602,df_extratos!G:G,"DEBITO")+SUMIFS(df_extratos!I:I,df_extratos!F:F,Conciliacao!A602,df_extratos!G:G,"DEBITO")+SUMIFS(df_extratos!I:I,df_extratos!F:F,Conciliacao!BF602,df_extratos!G:G,"DEBITO")+SUMIFS(df_extratos!I:I,df_extratos!F:F,Conciliacao!BG602,df_extratos!G:G,"DEBITO")+SUMIFS(df_extratos!I:I,df_extratos!F:F,Conciliacao!BH602,df_extratos!G:G,"DEBITO")</f>
        <v/>
      </c>
      <c r="O602" s="11">
        <f>N602-SUM(J602:M602)</f>
        <v/>
      </c>
      <c r="P602" s="25">
        <f>SUMIFS(df_ajustes_conciliaco!D:D,df_ajustes_conciliaco!C:C,Conciliacao!A602)</f>
        <v/>
      </c>
      <c r="Q602" s="22">
        <f>O602+I602-P602</f>
        <v/>
      </c>
    </row>
    <row r="603">
      <c r="A603" s="5">
        <f>A602+1</f>
        <v/>
      </c>
      <c r="B603" s="3">
        <f>-SUMIFS(df_extrato_zig!G:G,df_extrato_zig!E:E,Conciliacao!A603,df_extrato_zig!D:D,"Saque")-SUMIFS(df_extrato_zig!G:G,df_extrato_zig!E:E,Conciliacao!A603,df_extrato_zig!D:D,"Antecipação")</f>
        <v/>
      </c>
      <c r="C603" s="3">
        <f>SUMIFS(df_extrato_zig!E:E,df_extrato_zig!L:L,Conciliacao!A603,df_extrato_zig!F:F,"DINHEIRO")</f>
        <v/>
      </c>
      <c r="D603" s="3">
        <f>SUMIFS(view_parc_agrup!H:H,view_parc_agrup!G:G,Conciliacao!A603)</f>
        <v/>
      </c>
      <c r="E603" s="3">
        <f>SUMIFS(df_eventos!F:F,df_eventos!H:H,Conciliacao!A603)</f>
        <v/>
      </c>
      <c r="F603" s="3">
        <f>SUMIFS(df_mutuos!M:M,df_mutuos!B:B,Conciliacao!A603)</f>
        <v/>
      </c>
      <c r="G603" s="6">
        <f>SUMIFS(df_bloqueios_judiciais!G:G,df_bloqueios_judiciais!D:D,Conciliacao!A603,df_bloqueios_judiciais!G:G,"&gt;0")</f>
        <v/>
      </c>
      <c r="H603" s="7">
        <f>SUMIFS(df_extratos!I:I,df_extratos!F:F,Conciliacao!BE603,df_extratos!G:G,"CREDITO")+SUMIFS(df_extratos!I:I,df_extratos!F:F,Conciliacao!A603,df_extratos!G:G,"CREDITO")+SUMIFS(df_extratos!I:I,df_extratos!F:F,Conciliacao!BF603,df_extratos!G:G,"CREDITO")+SUMIFS(df_extratos!I:I,df_extratos!F:F,Conciliacao!BG603,df_extratos!G:G,"CREDITO")+SUMIFS(df_extratos!I:I,df_extratos!F:F,Conciliacao!BH603,df_extratos!G:G,"CREDITO")</f>
        <v/>
      </c>
      <c r="I603" s="9">
        <f>H603-SUM(B603:G603)</f>
        <v/>
      </c>
      <c r="J603" s="4">
        <f>SUMIFS(df_blueme_sem_parcelamento!E:E,df_blueme_sem_parcelamento!H:H,Conciliacao!A603)*(-1)</f>
        <v/>
      </c>
      <c r="K603" s="4">
        <f>SUMIFS(df_blueme_com_parcelamento!J:J,df_blueme_com_parcelamento!M:M,Conciliacao!A603)*(-1)</f>
        <v/>
      </c>
      <c r="L603" s="4">
        <f>SUMIFS(df_mutuos!N:N,df_mutuos!B:B,Conciliacao!A603)*(-1)</f>
        <v/>
      </c>
      <c r="M603" s="8">
        <f>SUMIFS(df_bloqueios_judiciais!G:G,df_bloqueios_judiciais!D:D,Conciliacao!A603,df_bloqueios_judiciais!G:G,"&lt;0")</f>
        <v/>
      </c>
      <c r="N603" s="10">
        <f>SUMIFS(df_extratos!I:I,df_extratos!F:F,Conciliacao!BE603,df_extratos!G:G,"DEBITO")+SUMIFS(df_extratos!I:I,df_extratos!F:F,Conciliacao!A603,df_extratos!G:G,"DEBITO")+SUMIFS(df_extratos!I:I,df_extratos!F:F,Conciliacao!BF603,df_extratos!G:G,"DEBITO")+SUMIFS(df_extratos!I:I,df_extratos!F:F,Conciliacao!BG603,df_extratos!G:G,"DEBITO")+SUMIFS(df_extratos!I:I,df_extratos!F:F,Conciliacao!BH603,df_extratos!G:G,"DEBITO")</f>
        <v/>
      </c>
      <c r="O603" s="11">
        <f>N603-SUM(J603:M603)</f>
        <v/>
      </c>
      <c r="P603" s="25">
        <f>SUMIFS(df_ajustes_conciliaco!D:D,df_ajustes_conciliaco!C:C,Conciliacao!A603)</f>
        <v/>
      </c>
      <c r="Q603" s="22">
        <f>O603+I603-P603</f>
        <v/>
      </c>
    </row>
    <row r="604">
      <c r="A604" s="5">
        <f>A603+1</f>
        <v/>
      </c>
      <c r="B604" s="3">
        <f>-SUMIFS(df_extrato_zig!G:G,df_extrato_zig!E:E,Conciliacao!A604,df_extrato_zig!D:D,"Saque")-SUMIFS(df_extrato_zig!G:G,df_extrato_zig!E:E,Conciliacao!A604,df_extrato_zig!D:D,"Antecipação")</f>
        <v/>
      </c>
      <c r="C604" s="3">
        <f>SUMIFS(df_extrato_zig!E:E,df_extrato_zig!L:L,Conciliacao!A604,df_extrato_zig!F:F,"DINHEIRO")</f>
        <v/>
      </c>
      <c r="D604" s="3">
        <f>SUMIFS(view_parc_agrup!H:H,view_parc_agrup!G:G,Conciliacao!A604)</f>
        <v/>
      </c>
      <c r="E604" s="3">
        <f>SUMIFS(df_eventos!F:F,df_eventos!H:H,Conciliacao!A604)</f>
        <v/>
      </c>
      <c r="F604" s="3">
        <f>SUMIFS(df_mutuos!M:M,df_mutuos!B:B,Conciliacao!A604)</f>
        <v/>
      </c>
      <c r="G604" s="6">
        <f>SUMIFS(df_bloqueios_judiciais!G:G,df_bloqueios_judiciais!D:D,Conciliacao!A604,df_bloqueios_judiciais!G:G,"&gt;0")</f>
        <v/>
      </c>
      <c r="H604" s="7">
        <f>SUMIFS(df_extratos!I:I,df_extratos!F:F,Conciliacao!BE604,df_extratos!G:G,"CREDITO")+SUMIFS(df_extratos!I:I,df_extratos!F:F,Conciliacao!A604,df_extratos!G:G,"CREDITO")+SUMIFS(df_extratos!I:I,df_extratos!F:F,Conciliacao!BF604,df_extratos!G:G,"CREDITO")+SUMIFS(df_extratos!I:I,df_extratos!F:F,Conciliacao!BG604,df_extratos!G:G,"CREDITO")+SUMIFS(df_extratos!I:I,df_extratos!F:F,Conciliacao!BH604,df_extratos!G:G,"CREDITO")</f>
        <v/>
      </c>
      <c r="I604" s="9">
        <f>H604-SUM(B604:G604)</f>
        <v/>
      </c>
      <c r="J604" s="4">
        <f>SUMIFS(df_blueme_sem_parcelamento!E:E,df_blueme_sem_parcelamento!H:H,Conciliacao!A604)*(-1)</f>
        <v/>
      </c>
      <c r="K604" s="4">
        <f>SUMIFS(df_blueme_com_parcelamento!J:J,df_blueme_com_parcelamento!M:M,Conciliacao!A604)*(-1)</f>
        <v/>
      </c>
      <c r="L604" s="4">
        <f>SUMIFS(df_mutuos!N:N,df_mutuos!B:B,Conciliacao!A604)*(-1)</f>
        <v/>
      </c>
      <c r="M604" s="8">
        <f>SUMIFS(df_bloqueios_judiciais!G:G,df_bloqueios_judiciais!D:D,Conciliacao!A604,df_bloqueios_judiciais!G:G,"&lt;0")</f>
        <v/>
      </c>
      <c r="N604" s="10">
        <f>SUMIFS(df_extratos!I:I,df_extratos!F:F,Conciliacao!BE604,df_extratos!G:G,"DEBITO")+SUMIFS(df_extratos!I:I,df_extratos!F:F,Conciliacao!A604,df_extratos!G:G,"DEBITO")+SUMIFS(df_extratos!I:I,df_extratos!F:F,Conciliacao!BF604,df_extratos!G:G,"DEBITO")+SUMIFS(df_extratos!I:I,df_extratos!F:F,Conciliacao!BG604,df_extratos!G:G,"DEBITO")+SUMIFS(df_extratos!I:I,df_extratos!F:F,Conciliacao!BH604,df_extratos!G:G,"DEBITO")</f>
        <v/>
      </c>
      <c r="O604" s="11">
        <f>N604-SUM(J604:M604)</f>
        <v/>
      </c>
      <c r="P604" s="25">
        <f>SUMIFS(df_ajustes_conciliaco!D:D,df_ajustes_conciliaco!C:C,Conciliacao!A604)</f>
        <v/>
      </c>
      <c r="Q604" s="22">
        <f>O604+I604-P604</f>
        <v/>
      </c>
    </row>
    <row r="605">
      <c r="A605" s="5">
        <f>A604+1</f>
        <v/>
      </c>
      <c r="B605" s="3">
        <f>-SUMIFS(df_extrato_zig!G:G,df_extrato_zig!E:E,Conciliacao!A605,df_extrato_zig!D:D,"Saque")-SUMIFS(df_extrato_zig!G:G,df_extrato_zig!E:E,Conciliacao!A605,df_extrato_zig!D:D,"Antecipação")</f>
        <v/>
      </c>
      <c r="C605" s="3">
        <f>SUMIFS(df_extrato_zig!E:E,df_extrato_zig!L:L,Conciliacao!A605,df_extrato_zig!F:F,"DINHEIRO")</f>
        <v/>
      </c>
      <c r="D605" s="3">
        <f>SUMIFS(view_parc_agrup!H:H,view_parc_agrup!G:G,Conciliacao!A605)</f>
        <v/>
      </c>
      <c r="E605" s="3">
        <f>SUMIFS(df_eventos!F:F,df_eventos!H:H,Conciliacao!A605)</f>
        <v/>
      </c>
      <c r="F605" s="3">
        <f>SUMIFS(df_mutuos!M:M,df_mutuos!B:B,Conciliacao!A605)</f>
        <v/>
      </c>
      <c r="G605" s="6">
        <f>SUMIFS(df_bloqueios_judiciais!G:G,df_bloqueios_judiciais!D:D,Conciliacao!A605,df_bloqueios_judiciais!G:G,"&gt;0")</f>
        <v/>
      </c>
      <c r="H605" s="7">
        <f>SUMIFS(df_extratos!I:I,df_extratos!F:F,Conciliacao!BE605,df_extratos!G:G,"CREDITO")+SUMIFS(df_extratos!I:I,df_extratos!F:F,Conciliacao!A605,df_extratos!G:G,"CREDITO")+SUMIFS(df_extratos!I:I,df_extratos!F:F,Conciliacao!BF605,df_extratos!G:G,"CREDITO")+SUMIFS(df_extratos!I:I,df_extratos!F:F,Conciliacao!BG605,df_extratos!G:G,"CREDITO")+SUMIFS(df_extratos!I:I,df_extratos!F:F,Conciliacao!BH605,df_extratos!G:G,"CREDITO")</f>
        <v/>
      </c>
      <c r="I605" s="9">
        <f>H605-SUM(B605:G605)</f>
        <v/>
      </c>
      <c r="J605" s="4">
        <f>SUMIFS(df_blueme_sem_parcelamento!E:E,df_blueme_sem_parcelamento!H:H,Conciliacao!A605)*(-1)</f>
        <v/>
      </c>
      <c r="K605" s="4">
        <f>SUMIFS(df_blueme_com_parcelamento!J:J,df_blueme_com_parcelamento!M:M,Conciliacao!A605)*(-1)</f>
        <v/>
      </c>
      <c r="L605" s="4">
        <f>SUMIFS(df_mutuos!N:N,df_mutuos!B:B,Conciliacao!A605)*(-1)</f>
        <v/>
      </c>
      <c r="M605" s="8">
        <f>SUMIFS(df_bloqueios_judiciais!G:G,df_bloqueios_judiciais!D:D,Conciliacao!A605,df_bloqueios_judiciais!G:G,"&lt;0")</f>
        <v/>
      </c>
      <c r="N605" s="10">
        <f>SUMIFS(df_extratos!I:I,df_extratos!F:F,Conciliacao!BE605,df_extratos!G:G,"DEBITO")+SUMIFS(df_extratos!I:I,df_extratos!F:F,Conciliacao!A605,df_extratos!G:G,"DEBITO")+SUMIFS(df_extratos!I:I,df_extratos!F:F,Conciliacao!BF605,df_extratos!G:G,"DEBITO")+SUMIFS(df_extratos!I:I,df_extratos!F:F,Conciliacao!BG605,df_extratos!G:G,"DEBITO")+SUMIFS(df_extratos!I:I,df_extratos!F:F,Conciliacao!BH605,df_extratos!G:G,"DEBITO")</f>
        <v/>
      </c>
      <c r="O605" s="11">
        <f>N605-SUM(J605:M605)</f>
        <v/>
      </c>
      <c r="P605" s="25">
        <f>SUMIFS(df_ajustes_conciliaco!D:D,df_ajustes_conciliaco!C:C,Conciliacao!A605)</f>
        <v/>
      </c>
      <c r="Q605" s="22">
        <f>O605+I605-P605</f>
        <v/>
      </c>
    </row>
    <row r="606">
      <c r="A606" s="5">
        <f>A605+1</f>
        <v/>
      </c>
      <c r="B606" s="3">
        <f>-SUMIFS(df_extrato_zig!G:G,df_extrato_zig!E:E,Conciliacao!A606,df_extrato_zig!D:D,"Saque")-SUMIFS(df_extrato_zig!G:G,df_extrato_zig!E:E,Conciliacao!A606,df_extrato_zig!D:D,"Antecipação")</f>
        <v/>
      </c>
      <c r="C606" s="3">
        <f>SUMIFS(df_extrato_zig!E:E,df_extrato_zig!L:L,Conciliacao!A606,df_extrato_zig!F:F,"DINHEIRO")</f>
        <v/>
      </c>
      <c r="D606" s="3">
        <f>SUMIFS(view_parc_agrup!H:H,view_parc_agrup!G:G,Conciliacao!A606)</f>
        <v/>
      </c>
      <c r="E606" s="3">
        <f>SUMIFS(df_eventos!F:F,df_eventos!H:H,Conciliacao!A606)</f>
        <v/>
      </c>
      <c r="F606" s="3">
        <f>SUMIFS(df_mutuos!M:M,df_mutuos!B:B,Conciliacao!A606)</f>
        <v/>
      </c>
      <c r="G606" s="6">
        <f>SUMIFS(df_bloqueios_judiciais!G:G,df_bloqueios_judiciais!D:D,Conciliacao!A606,df_bloqueios_judiciais!G:G,"&gt;0")</f>
        <v/>
      </c>
      <c r="H606" s="7">
        <f>SUMIFS(df_extratos!I:I,df_extratos!F:F,Conciliacao!BE606,df_extratos!G:G,"CREDITO")+SUMIFS(df_extratos!I:I,df_extratos!F:F,Conciliacao!A606,df_extratos!G:G,"CREDITO")+SUMIFS(df_extratos!I:I,df_extratos!F:F,Conciliacao!BF606,df_extratos!G:G,"CREDITO")+SUMIFS(df_extratos!I:I,df_extratos!F:F,Conciliacao!BG606,df_extratos!G:G,"CREDITO")+SUMIFS(df_extratos!I:I,df_extratos!F:F,Conciliacao!BH606,df_extratos!G:G,"CREDITO")</f>
        <v/>
      </c>
      <c r="I606" s="9">
        <f>H606-SUM(B606:G606)</f>
        <v/>
      </c>
      <c r="J606" s="4">
        <f>SUMIFS(df_blueme_sem_parcelamento!E:E,df_blueme_sem_parcelamento!H:H,Conciliacao!A606)*(-1)</f>
        <v/>
      </c>
      <c r="K606" s="4">
        <f>SUMIFS(df_blueme_com_parcelamento!J:J,df_blueme_com_parcelamento!M:M,Conciliacao!A606)*(-1)</f>
        <v/>
      </c>
      <c r="L606" s="4">
        <f>SUMIFS(df_mutuos!N:N,df_mutuos!B:B,Conciliacao!A606)*(-1)</f>
        <v/>
      </c>
      <c r="M606" s="8">
        <f>SUMIFS(df_bloqueios_judiciais!G:G,df_bloqueios_judiciais!D:D,Conciliacao!A606,df_bloqueios_judiciais!G:G,"&lt;0")</f>
        <v/>
      </c>
      <c r="N606" s="10">
        <f>SUMIFS(df_extratos!I:I,df_extratos!F:F,Conciliacao!BE606,df_extratos!G:G,"DEBITO")+SUMIFS(df_extratos!I:I,df_extratos!F:F,Conciliacao!A606,df_extratos!G:G,"DEBITO")+SUMIFS(df_extratos!I:I,df_extratos!F:F,Conciliacao!BF606,df_extratos!G:G,"DEBITO")+SUMIFS(df_extratos!I:I,df_extratos!F:F,Conciliacao!BG606,df_extratos!G:G,"DEBITO")+SUMIFS(df_extratos!I:I,df_extratos!F:F,Conciliacao!BH606,df_extratos!G:G,"DEBITO")</f>
        <v/>
      </c>
      <c r="O606" s="11">
        <f>N606-SUM(J606:M606)</f>
        <v/>
      </c>
      <c r="P606" s="25">
        <f>SUMIFS(df_ajustes_conciliaco!D:D,df_ajustes_conciliaco!C:C,Conciliacao!A606)</f>
        <v/>
      </c>
      <c r="Q606" s="22">
        <f>O606+I606-P606</f>
        <v/>
      </c>
    </row>
    <row r="607">
      <c r="A607" s="5">
        <f>A606+1</f>
        <v/>
      </c>
      <c r="B607" s="3">
        <f>-SUMIFS(df_extrato_zig!G:G,df_extrato_zig!E:E,Conciliacao!A607,df_extrato_zig!D:D,"Saque")-SUMIFS(df_extrato_zig!G:G,df_extrato_zig!E:E,Conciliacao!A607,df_extrato_zig!D:D,"Antecipação")</f>
        <v/>
      </c>
      <c r="C607" s="3">
        <f>SUMIFS(df_extrato_zig!E:E,df_extrato_zig!L:L,Conciliacao!A607,df_extrato_zig!F:F,"DINHEIRO")</f>
        <v/>
      </c>
      <c r="D607" s="3">
        <f>SUMIFS(view_parc_agrup!H:H,view_parc_agrup!G:G,Conciliacao!A607)</f>
        <v/>
      </c>
      <c r="E607" s="3">
        <f>SUMIFS(df_eventos!F:F,df_eventos!H:H,Conciliacao!A607)</f>
        <v/>
      </c>
      <c r="F607" s="3">
        <f>SUMIFS(df_mutuos!M:M,df_mutuos!B:B,Conciliacao!A607)</f>
        <v/>
      </c>
      <c r="G607" s="6">
        <f>SUMIFS(df_bloqueios_judiciais!G:G,df_bloqueios_judiciais!D:D,Conciliacao!A607,df_bloqueios_judiciais!G:G,"&gt;0")</f>
        <v/>
      </c>
      <c r="H607" s="7">
        <f>SUMIFS(df_extratos!I:I,df_extratos!F:F,Conciliacao!BE607,df_extratos!G:G,"CREDITO")+SUMIFS(df_extratos!I:I,df_extratos!F:F,Conciliacao!A607,df_extratos!G:G,"CREDITO")+SUMIFS(df_extratos!I:I,df_extratos!F:F,Conciliacao!BF607,df_extratos!G:G,"CREDITO")+SUMIFS(df_extratos!I:I,df_extratos!F:F,Conciliacao!BG607,df_extratos!G:G,"CREDITO")+SUMIFS(df_extratos!I:I,df_extratos!F:F,Conciliacao!BH607,df_extratos!G:G,"CREDITO")</f>
        <v/>
      </c>
      <c r="I607" s="9">
        <f>H607-SUM(B607:G607)</f>
        <v/>
      </c>
      <c r="J607" s="4">
        <f>SUMIFS(df_blueme_sem_parcelamento!E:E,df_blueme_sem_parcelamento!H:H,Conciliacao!A607)*(-1)</f>
        <v/>
      </c>
      <c r="K607" s="4">
        <f>SUMIFS(df_blueme_com_parcelamento!J:J,df_blueme_com_parcelamento!M:M,Conciliacao!A607)*(-1)</f>
        <v/>
      </c>
      <c r="L607" s="4">
        <f>SUMIFS(df_mutuos!N:N,df_mutuos!B:B,Conciliacao!A607)*(-1)</f>
        <v/>
      </c>
      <c r="M607" s="8">
        <f>SUMIFS(df_bloqueios_judiciais!G:G,df_bloqueios_judiciais!D:D,Conciliacao!A607,df_bloqueios_judiciais!G:G,"&lt;0")</f>
        <v/>
      </c>
      <c r="N607" s="10">
        <f>SUMIFS(df_extratos!I:I,df_extratos!F:F,Conciliacao!BE607,df_extratos!G:G,"DEBITO")+SUMIFS(df_extratos!I:I,df_extratos!F:F,Conciliacao!A607,df_extratos!G:G,"DEBITO")+SUMIFS(df_extratos!I:I,df_extratos!F:F,Conciliacao!BF607,df_extratos!G:G,"DEBITO")+SUMIFS(df_extratos!I:I,df_extratos!F:F,Conciliacao!BG607,df_extratos!G:G,"DEBITO")+SUMIFS(df_extratos!I:I,df_extratos!F:F,Conciliacao!BH607,df_extratos!G:G,"DEBITO")</f>
        <v/>
      </c>
      <c r="O607" s="11">
        <f>N607-SUM(J607:M607)</f>
        <v/>
      </c>
      <c r="P607" s="25">
        <f>SUMIFS(df_ajustes_conciliaco!D:D,df_ajustes_conciliaco!C:C,Conciliacao!A607)</f>
        <v/>
      </c>
      <c r="Q607" s="22">
        <f>O607+I607-P607</f>
        <v/>
      </c>
    </row>
    <row r="608">
      <c r="A608" s="5">
        <f>A607+1</f>
        <v/>
      </c>
      <c r="B608" s="3">
        <f>-SUMIFS(df_extrato_zig!G:G,df_extrato_zig!E:E,Conciliacao!A608,df_extrato_zig!D:D,"Saque")-SUMIFS(df_extrato_zig!G:G,df_extrato_zig!E:E,Conciliacao!A608,df_extrato_zig!D:D,"Antecipação")</f>
        <v/>
      </c>
      <c r="C608" s="3">
        <f>SUMIFS(df_extrato_zig!E:E,df_extrato_zig!L:L,Conciliacao!A608,df_extrato_zig!F:F,"DINHEIRO")</f>
        <v/>
      </c>
      <c r="D608" s="3">
        <f>SUMIFS(view_parc_agrup!H:H,view_parc_agrup!G:G,Conciliacao!A608)</f>
        <v/>
      </c>
      <c r="E608" s="3">
        <f>SUMIFS(df_eventos!F:F,df_eventos!H:H,Conciliacao!A608)</f>
        <v/>
      </c>
      <c r="F608" s="3">
        <f>SUMIFS(df_mutuos!M:M,df_mutuos!B:B,Conciliacao!A608)</f>
        <v/>
      </c>
      <c r="G608" s="6">
        <f>SUMIFS(df_bloqueios_judiciais!G:G,df_bloqueios_judiciais!D:D,Conciliacao!A608,df_bloqueios_judiciais!G:G,"&gt;0")</f>
        <v/>
      </c>
      <c r="H608" s="7">
        <f>SUMIFS(df_extratos!I:I,df_extratos!F:F,Conciliacao!BE608,df_extratos!G:G,"CREDITO")+SUMIFS(df_extratos!I:I,df_extratos!F:F,Conciliacao!A608,df_extratos!G:G,"CREDITO")+SUMIFS(df_extratos!I:I,df_extratos!F:F,Conciliacao!BF608,df_extratos!G:G,"CREDITO")+SUMIFS(df_extratos!I:I,df_extratos!F:F,Conciliacao!BG608,df_extratos!G:G,"CREDITO")+SUMIFS(df_extratos!I:I,df_extratos!F:F,Conciliacao!BH608,df_extratos!G:G,"CREDITO")</f>
        <v/>
      </c>
      <c r="I608" s="9">
        <f>H608-SUM(B608:G608)</f>
        <v/>
      </c>
      <c r="J608" s="4">
        <f>SUMIFS(df_blueme_sem_parcelamento!E:E,df_blueme_sem_parcelamento!H:H,Conciliacao!A608)*(-1)</f>
        <v/>
      </c>
      <c r="K608" s="4">
        <f>SUMIFS(df_blueme_com_parcelamento!J:J,df_blueme_com_parcelamento!M:M,Conciliacao!A608)*(-1)</f>
        <v/>
      </c>
      <c r="L608" s="4">
        <f>SUMIFS(df_mutuos!N:N,df_mutuos!B:B,Conciliacao!A608)*(-1)</f>
        <v/>
      </c>
      <c r="M608" s="8">
        <f>SUMIFS(df_bloqueios_judiciais!G:G,df_bloqueios_judiciais!D:D,Conciliacao!A608,df_bloqueios_judiciais!G:G,"&lt;0")</f>
        <v/>
      </c>
      <c r="N608" s="10">
        <f>SUMIFS(df_extratos!I:I,df_extratos!F:F,Conciliacao!BE608,df_extratos!G:G,"DEBITO")+SUMIFS(df_extratos!I:I,df_extratos!F:F,Conciliacao!A608,df_extratos!G:G,"DEBITO")+SUMIFS(df_extratos!I:I,df_extratos!F:F,Conciliacao!BF608,df_extratos!G:G,"DEBITO")+SUMIFS(df_extratos!I:I,df_extratos!F:F,Conciliacao!BG608,df_extratos!G:G,"DEBITO")+SUMIFS(df_extratos!I:I,df_extratos!F:F,Conciliacao!BH608,df_extratos!G:G,"DEBITO")</f>
        <v/>
      </c>
      <c r="O608" s="11">
        <f>N608-SUM(J608:M608)</f>
        <v/>
      </c>
      <c r="P608" s="25">
        <f>SUMIFS(df_ajustes_conciliaco!D:D,df_ajustes_conciliaco!C:C,Conciliacao!A608)</f>
        <v/>
      </c>
      <c r="Q608" s="22">
        <f>O608+I608-P608</f>
        <v/>
      </c>
    </row>
    <row r="609">
      <c r="A609" s="5">
        <f>A608+1</f>
        <v/>
      </c>
      <c r="B609" s="3">
        <f>-SUMIFS(df_extrato_zig!G:G,df_extrato_zig!E:E,Conciliacao!A609,df_extrato_zig!D:D,"Saque")-SUMIFS(df_extrato_zig!G:G,df_extrato_zig!E:E,Conciliacao!A609,df_extrato_zig!D:D,"Antecipação")</f>
        <v/>
      </c>
      <c r="C609" s="3">
        <f>SUMIFS(df_extrato_zig!E:E,df_extrato_zig!L:L,Conciliacao!A609,df_extrato_zig!F:F,"DINHEIRO")</f>
        <v/>
      </c>
      <c r="D609" s="3">
        <f>SUMIFS(view_parc_agrup!H:H,view_parc_agrup!G:G,Conciliacao!A609)</f>
        <v/>
      </c>
      <c r="E609" s="3">
        <f>SUMIFS(df_eventos!F:F,df_eventos!H:H,Conciliacao!A609)</f>
        <v/>
      </c>
      <c r="F609" s="3">
        <f>SUMIFS(df_mutuos!M:M,df_mutuos!B:B,Conciliacao!A609)</f>
        <v/>
      </c>
      <c r="G609" s="6">
        <f>SUMIFS(df_bloqueios_judiciais!G:G,df_bloqueios_judiciais!D:D,Conciliacao!A609,df_bloqueios_judiciais!G:G,"&gt;0")</f>
        <v/>
      </c>
      <c r="H609" s="7">
        <f>SUMIFS(df_extratos!I:I,df_extratos!F:F,Conciliacao!BE609,df_extratos!G:G,"CREDITO")+SUMIFS(df_extratos!I:I,df_extratos!F:F,Conciliacao!A609,df_extratos!G:G,"CREDITO")+SUMIFS(df_extratos!I:I,df_extratos!F:F,Conciliacao!BF609,df_extratos!G:G,"CREDITO")+SUMIFS(df_extratos!I:I,df_extratos!F:F,Conciliacao!BG609,df_extratos!G:G,"CREDITO")+SUMIFS(df_extratos!I:I,df_extratos!F:F,Conciliacao!BH609,df_extratos!G:G,"CREDITO")</f>
        <v/>
      </c>
      <c r="I609" s="9">
        <f>H609-SUM(B609:G609)</f>
        <v/>
      </c>
      <c r="J609" s="4">
        <f>SUMIFS(df_blueme_sem_parcelamento!E:E,df_blueme_sem_parcelamento!H:H,Conciliacao!A609)*(-1)</f>
        <v/>
      </c>
      <c r="K609" s="4">
        <f>SUMIFS(df_blueme_com_parcelamento!J:J,df_blueme_com_parcelamento!M:M,Conciliacao!A609)*(-1)</f>
        <v/>
      </c>
      <c r="L609" s="4">
        <f>SUMIFS(df_mutuos!N:N,df_mutuos!B:B,Conciliacao!A609)*(-1)</f>
        <v/>
      </c>
      <c r="M609" s="8">
        <f>SUMIFS(df_bloqueios_judiciais!G:G,df_bloqueios_judiciais!D:D,Conciliacao!A609,df_bloqueios_judiciais!G:G,"&lt;0")</f>
        <v/>
      </c>
      <c r="N609" s="10">
        <f>SUMIFS(df_extratos!I:I,df_extratos!F:F,Conciliacao!BE609,df_extratos!G:G,"DEBITO")+SUMIFS(df_extratos!I:I,df_extratos!F:F,Conciliacao!A609,df_extratos!G:G,"DEBITO")+SUMIFS(df_extratos!I:I,df_extratos!F:F,Conciliacao!BF609,df_extratos!G:G,"DEBITO")+SUMIFS(df_extratos!I:I,df_extratos!F:F,Conciliacao!BG609,df_extratos!G:G,"DEBITO")+SUMIFS(df_extratos!I:I,df_extratos!F:F,Conciliacao!BH609,df_extratos!G:G,"DEBITO")</f>
        <v/>
      </c>
      <c r="O609" s="11">
        <f>N609-SUM(J609:M609)</f>
        <v/>
      </c>
      <c r="P609" s="25">
        <f>SUMIFS(df_ajustes_conciliaco!D:D,df_ajustes_conciliaco!C:C,Conciliacao!A609)</f>
        <v/>
      </c>
      <c r="Q609" s="22">
        <f>O609+I609-P609</f>
        <v/>
      </c>
    </row>
    <row r="610">
      <c r="A610" s="5">
        <f>A609+1</f>
        <v/>
      </c>
      <c r="B610" s="3">
        <f>-SUMIFS(df_extrato_zig!G:G,df_extrato_zig!E:E,Conciliacao!A610,df_extrato_zig!D:D,"Saque")-SUMIFS(df_extrato_zig!G:G,df_extrato_zig!E:E,Conciliacao!A610,df_extrato_zig!D:D,"Antecipação")</f>
        <v/>
      </c>
      <c r="C610" s="3">
        <f>SUMIFS(df_extrato_zig!E:E,df_extrato_zig!L:L,Conciliacao!A610,df_extrato_zig!F:F,"DINHEIRO")</f>
        <v/>
      </c>
      <c r="D610" s="3">
        <f>SUMIFS(view_parc_agrup!H:H,view_parc_agrup!G:G,Conciliacao!A610)</f>
        <v/>
      </c>
      <c r="E610" s="3">
        <f>SUMIFS(df_eventos!F:F,df_eventos!H:H,Conciliacao!A610)</f>
        <v/>
      </c>
      <c r="F610" s="3">
        <f>SUMIFS(df_mutuos!M:M,df_mutuos!B:B,Conciliacao!A610)</f>
        <v/>
      </c>
      <c r="G610" s="6">
        <f>SUMIFS(df_bloqueios_judiciais!G:G,df_bloqueios_judiciais!D:D,Conciliacao!A610,df_bloqueios_judiciais!G:G,"&gt;0")</f>
        <v/>
      </c>
      <c r="H610" s="7">
        <f>SUMIFS(df_extratos!I:I,df_extratos!F:F,Conciliacao!BE610,df_extratos!G:G,"CREDITO")+SUMIFS(df_extratos!I:I,df_extratos!F:F,Conciliacao!A610,df_extratos!G:G,"CREDITO")+SUMIFS(df_extratos!I:I,df_extratos!F:F,Conciliacao!BF610,df_extratos!G:G,"CREDITO")+SUMIFS(df_extratos!I:I,df_extratos!F:F,Conciliacao!BG610,df_extratos!G:G,"CREDITO")+SUMIFS(df_extratos!I:I,df_extratos!F:F,Conciliacao!BH610,df_extratos!G:G,"CREDITO")</f>
        <v/>
      </c>
      <c r="I610" s="9">
        <f>H610-SUM(B610:G610)</f>
        <v/>
      </c>
      <c r="J610" s="4">
        <f>SUMIFS(df_blueme_sem_parcelamento!E:E,df_blueme_sem_parcelamento!H:H,Conciliacao!A610)*(-1)</f>
        <v/>
      </c>
      <c r="K610" s="4">
        <f>SUMIFS(df_blueme_com_parcelamento!J:J,df_blueme_com_parcelamento!M:M,Conciliacao!A610)*(-1)</f>
        <v/>
      </c>
      <c r="L610" s="4">
        <f>SUMIFS(df_mutuos!N:N,df_mutuos!B:B,Conciliacao!A610)*(-1)</f>
        <v/>
      </c>
      <c r="M610" s="8">
        <f>SUMIFS(df_bloqueios_judiciais!G:G,df_bloqueios_judiciais!D:D,Conciliacao!A610,df_bloqueios_judiciais!G:G,"&lt;0")</f>
        <v/>
      </c>
      <c r="N610" s="10">
        <f>SUMIFS(df_extratos!I:I,df_extratos!F:F,Conciliacao!BE610,df_extratos!G:G,"DEBITO")+SUMIFS(df_extratos!I:I,df_extratos!F:F,Conciliacao!A610,df_extratos!G:G,"DEBITO")+SUMIFS(df_extratos!I:I,df_extratos!F:F,Conciliacao!BF610,df_extratos!G:G,"DEBITO")+SUMIFS(df_extratos!I:I,df_extratos!F:F,Conciliacao!BG610,df_extratos!G:G,"DEBITO")+SUMIFS(df_extratos!I:I,df_extratos!F:F,Conciliacao!BH610,df_extratos!G:G,"DEBITO")</f>
        <v/>
      </c>
      <c r="O610" s="11">
        <f>N610-SUM(J610:M610)</f>
        <v/>
      </c>
      <c r="P610" s="25">
        <f>SUMIFS(df_ajustes_conciliaco!D:D,df_ajustes_conciliaco!C:C,Conciliacao!A610)</f>
        <v/>
      </c>
      <c r="Q610" s="22">
        <f>O610+I610-P610</f>
        <v/>
      </c>
    </row>
    <row r="611">
      <c r="A611" s="5">
        <f>A610+1</f>
        <v/>
      </c>
      <c r="B611" s="3">
        <f>-SUMIFS(df_extrato_zig!G:G,df_extrato_zig!E:E,Conciliacao!A611,df_extrato_zig!D:D,"Saque")-SUMIFS(df_extrato_zig!G:G,df_extrato_zig!E:E,Conciliacao!A611,df_extrato_zig!D:D,"Antecipação")</f>
        <v/>
      </c>
      <c r="C611" s="3">
        <f>SUMIFS(df_extrato_zig!E:E,df_extrato_zig!L:L,Conciliacao!A611,df_extrato_zig!F:F,"DINHEIRO")</f>
        <v/>
      </c>
      <c r="D611" s="3">
        <f>SUMIFS(view_parc_agrup!H:H,view_parc_agrup!G:G,Conciliacao!A611)</f>
        <v/>
      </c>
      <c r="E611" s="3">
        <f>SUMIFS(df_eventos!F:F,df_eventos!H:H,Conciliacao!A611)</f>
        <v/>
      </c>
      <c r="F611" s="3">
        <f>SUMIFS(df_mutuos!M:M,df_mutuos!B:B,Conciliacao!A611)</f>
        <v/>
      </c>
      <c r="G611" s="6">
        <f>SUMIFS(df_bloqueios_judiciais!G:G,df_bloqueios_judiciais!D:D,Conciliacao!A611,df_bloqueios_judiciais!G:G,"&gt;0")</f>
        <v/>
      </c>
      <c r="H611" s="7">
        <f>SUMIFS(df_extratos!I:I,df_extratos!F:F,Conciliacao!BE611,df_extratos!G:G,"CREDITO")+SUMIFS(df_extratos!I:I,df_extratos!F:F,Conciliacao!A611,df_extratos!G:G,"CREDITO")+SUMIFS(df_extratos!I:I,df_extratos!F:F,Conciliacao!BF611,df_extratos!G:G,"CREDITO")+SUMIFS(df_extratos!I:I,df_extratos!F:F,Conciliacao!BG611,df_extratos!G:G,"CREDITO")+SUMIFS(df_extratos!I:I,df_extratos!F:F,Conciliacao!BH611,df_extratos!G:G,"CREDITO")</f>
        <v/>
      </c>
      <c r="I611" s="9">
        <f>H611-SUM(B611:G611)</f>
        <v/>
      </c>
      <c r="J611" s="4">
        <f>SUMIFS(df_blueme_sem_parcelamento!E:E,df_blueme_sem_parcelamento!H:H,Conciliacao!A611)*(-1)</f>
        <v/>
      </c>
      <c r="K611" s="4">
        <f>SUMIFS(df_blueme_com_parcelamento!J:J,df_blueme_com_parcelamento!M:M,Conciliacao!A611)*(-1)</f>
        <v/>
      </c>
      <c r="L611" s="4">
        <f>SUMIFS(df_mutuos!N:N,df_mutuos!B:B,Conciliacao!A611)*(-1)</f>
        <v/>
      </c>
      <c r="M611" s="8">
        <f>SUMIFS(df_bloqueios_judiciais!G:G,df_bloqueios_judiciais!D:D,Conciliacao!A611,df_bloqueios_judiciais!G:G,"&lt;0")</f>
        <v/>
      </c>
      <c r="N611" s="10">
        <f>SUMIFS(df_extratos!I:I,df_extratos!F:F,Conciliacao!BE611,df_extratos!G:G,"DEBITO")+SUMIFS(df_extratos!I:I,df_extratos!F:F,Conciliacao!A611,df_extratos!G:G,"DEBITO")+SUMIFS(df_extratos!I:I,df_extratos!F:F,Conciliacao!BF611,df_extratos!G:G,"DEBITO")+SUMIFS(df_extratos!I:I,df_extratos!F:F,Conciliacao!BG611,df_extratos!G:G,"DEBITO")+SUMIFS(df_extratos!I:I,df_extratos!F:F,Conciliacao!BH611,df_extratos!G:G,"DEBITO")</f>
        <v/>
      </c>
      <c r="O611" s="11">
        <f>N611-SUM(J611:M611)</f>
        <v/>
      </c>
      <c r="P611" s="25">
        <f>SUMIFS(df_ajustes_conciliaco!D:D,df_ajustes_conciliaco!C:C,Conciliacao!A611)</f>
        <v/>
      </c>
      <c r="Q611" s="22">
        <f>O611+I611-P611</f>
        <v/>
      </c>
    </row>
    <row r="612">
      <c r="A612" s="5">
        <f>A611+1</f>
        <v/>
      </c>
      <c r="B612" s="3">
        <f>-SUMIFS(df_extrato_zig!G:G,df_extrato_zig!E:E,Conciliacao!A612,df_extrato_zig!D:D,"Saque")-SUMIFS(df_extrato_zig!G:G,df_extrato_zig!E:E,Conciliacao!A612,df_extrato_zig!D:D,"Antecipação")</f>
        <v/>
      </c>
      <c r="C612" s="3">
        <f>SUMIFS(df_extrato_zig!E:E,df_extrato_zig!L:L,Conciliacao!A612,df_extrato_zig!F:F,"DINHEIRO")</f>
        <v/>
      </c>
      <c r="D612" s="3">
        <f>SUMIFS(view_parc_agrup!H:H,view_parc_agrup!G:G,Conciliacao!A612)</f>
        <v/>
      </c>
      <c r="E612" s="3">
        <f>SUMIFS(df_eventos!F:F,df_eventos!H:H,Conciliacao!A612)</f>
        <v/>
      </c>
      <c r="F612" s="3">
        <f>SUMIFS(df_mutuos!M:M,df_mutuos!B:B,Conciliacao!A612)</f>
        <v/>
      </c>
      <c r="G612" s="6">
        <f>SUMIFS(df_bloqueios_judiciais!G:G,df_bloqueios_judiciais!D:D,Conciliacao!A612,df_bloqueios_judiciais!G:G,"&gt;0")</f>
        <v/>
      </c>
      <c r="H612" s="7">
        <f>SUMIFS(df_extratos!I:I,df_extratos!F:F,Conciliacao!BE612,df_extratos!G:G,"CREDITO")+SUMIFS(df_extratos!I:I,df_extratos!F:F,Conciliacao!A612,df_extratos!G:G,"CREDITO")+SUMIFS(df_extratos!I:I,df_extratos!F:F,Conciliacao!BF612,df_extratos!G:G,"CREDITO")+SUMIFS(df_extratos!I:I,df_extratos!F:F,Conciliacao!BG612,df_extratos!G:G,"CREDITO")+SUMIFS(df_extratos!I:I,df_extratos!F:F,Conciliacao!BH612,df_extratos!G:G,"CREDITO")</f>
        <v/>
      </c>
      <c r="I612" s="9">
        <f>H612-SUM(B612:G612)</f>
        <v/>
      </c>
      <c r="J612" s="4">
        <f>SUMIFS(df_blueme_sem_parcelamento!E:E,df_blueme_sem_parcelamento!H:H,Conciliacao!A612)*(-1)</f>
        <v/>
      </c>
      <c r="K612" s="4">
        <f>SUMIFS(df_blueme_com_parcelamento!J:J,df_blueme_com_parcelamento!M:M,Conciliacao!A612)*(-1)</f>
        <v/>
      </c>
      <c r="L612" s="4">
        <f>SUMIFS(df_mutuos!N:N,df_mutuos!B:B,Conciliacao!A612)*(-1)</f>
        <v/>
      </c>
      <c r="M612" s="8">
        <f>SUMIFS(df_bloqueios_judiciais!G:G,df_bloqueios_judiciais!D:D,Conciliacao!A612,df_bloqueios_judiciais!G:G,"&lt;0")</f>
        <v/>
      </c>
      <c r="N612" s="10">
        <f>SUMIFS(df_extratos!I:I,df_extratos!F:F,Conciliacao!BE612,df_extratos!G:G,"DEBITO")+SUMIFS(df_extratos!I:I,df_extratos!F:F,Conciliacao!A612,df_extratos!G:G,"DEBITO")+SUMIFS(df_extratos!I:I,df_extratos!F:F,Conciliacao!BF612,df_extratos!G:G,"DEBITO")+SUMIFS(df_extratos!I:I,df_extratos!F:F,Conciliacao!BG612,df_extratos!G:G,"DEBITO")+SUMIFS(df_extratos!I:I,df_extratos!F:F,Conciliacao!BH612,df_extratos!G:G,"DEBITO")</f>
        <v/>
      </c>
      <c r="O612" s="11">
        <f>N612-SUM(J612:M612)</f>
        <v/>
      </c>
      <c r="P612" s="25">
        <f>SUMIFS(df_ajustes_conciliaco!D:D,df_ajustes_conciliaco!C:C,Conciliacao!A612)</f>
        <v/>
      </c>
      <c r="Q612" s="22">
        <f>O612+I612-P612</f>
        <v/>
      </c>
    </row>
    <row r="613">
      <c r="A613" s="5">
        <f>A612+1</f>
        <v/>
      </c>
      <c r="B613" s="3">
        <f>-SUMIFS(df_extrato_zig!G:G,df_extrato_zig!E:E,Conciliacao!A613,df_extrato_zig!D:D,"Saque")-SUMIFS(df_extrato_zig!G:G,df_extrato_zig!E:E,Conciliacao!A613,df_extrato_zig!D:D,"Antecipação")</f>
        <v/>
      </c>
      <c r="C613" s="3">
        <f>SUMIFS(df_extrato_zig!E:E,df_extrato_zig!L:L,Conciliacao!A613,df_extrato_zig!F:F,"DINHEIRO")</f>
        <v/>
      </c>
      <c r="D613" s="3">
        <f>SUMIFS(view_parc_agrup!H:H,view_parc_agrup!G:G,Conciliacao!A613)</f>
        <v/>
      </c>
      <c r="E613" s="3">
        <f>SUMIFS(df_eventos!F:F,df_eventos!H:H,Conciliacao!A613)</f>
        <v/>
      </c>
      <c r="F613" s="3">
        <f>SUMIFS(df_mutuos!M:M,df_mutuos!B:B,Conciliacao!A613)</f>
        <v/>
      </c>
      <c r="G613" s="6">
        <f>SUMIFS(df_bloqueios_judiciais!G:G,df_bloqueios_judiciais!D:D,Conciliacao!A613,df_bloqueios_judiciais!G:G,"&gt;0")</f>
        <v/>
      </c>
      <c r="H613" s="7">
        <f>SUMIFS(df_extratos!I:I,df_extratos!F:F,Conciliacao!BE613,df_extratos!G:G,"CREDITO")+SUMIFS(df_extratos!I:I,df_extratos!F:F,Conciliacao!A613,df_extratos!G:G,"CREDITO")+SUMIFS(df_extratos!I:I,df_extratos!F:F,Conciliacao!BF613,df_extratos!G:G,"CREDITO")+SUMIFS(df_extratos!I:I,df_extratos!F:F,Conciliacao!BG613,df_extratos!G:G,"CREDITO")+SUMIFS(df_extratos!I:I,df_extratos!F:F,Conciliacao!BH613,df_extratos!G:G,"CREDITO")</f>
        <v/>
      </c>
      <c r="I613" s="9">
        <f>H613-SUM(B613:G613)</f>
        <v/>
      </c>
      <c r="J613" s="4">
        <f>SUMIFS(df_blueme_sem_parcelamento!E:E,df_blueme_sem_parcelamento!H:H,Conciliacao!A613)*(-1)</f>
        <v/>
      </c>
      <c r="K613" s="4">
        <f>SUMIFS(df_blueme_com_parcelamento!J:J,df_blueme_com_parcelamento!M:M,Conciliacao!A613)*(-1)</f>
        <v/>
      </c>
      <c r="L613" s="4">
        <f>SUMIFS(df_mutuos!N:N,df_mutuos!B:B,Conciliacao!A613)*(-1)</f>
        <v/>
      </c>
      <c r="M613" s="8">
        <f>SUMIFS(df_bloqueios_judiciais!G:G,df_bloqueios_judiciais!D:D,Conciliacao!A613,df_bloqueios_judiciais!G:G,"&lt;0")</f>
        <v/>
      </c>
      <c r="N613" s="10">
        <f>SUMIFS(df_extratos!I:I,df_extratos!F:F,Conciliacao!BE613,df_extratos!G:G,"DEBITO")+SUMIFS(df_extratos!I:I,df_extratos!F:F,Conciliacao!A613,df_extratos!G:G,"DEBITO")+SUMIFS(df_extratos!I:I,df_extratos!F:F,Conciliacao!BF613,df_extratos!G:G,"DEBITO")+SUMIFS(df_extratos!I:I,df_extratos!F:F,Conciliacao!BG613,df_extratos!G:G,"DEBITO")+SUMIFS(df_extratos!I:I,df_extratos!F:F,Conciliacao!BH613,df_extratos!G:G,"DEBITO")</f>
        <v/>
      </c>
      <c r="O613" s="11">
        <f>N613-SUM(J613:M613)</f>
        <v/>
      </c>
      <c r="P613" s="25">
        <f>SUMIFS(df_ajustes_conciliaco!D:D,df_ajustes_conciliaco!C:C,Conciliacao!A613)</f>
        <v/>
      </c>
      <c r="Q613" s="22">
        <f>O613+I613-P613</f>
        <v/>
      </c>
    </row>
    <row r="614">
      <c r="A614" s="5">
        <f>A613+1</f>
        <v/>
      </c>
      <c r="B614" s="3">
        <f>-SUMIFS(df_extrato_zig!G:G,df_extrato_zig!E:E,Conciliacao!A614,df_extrato_zig!D:D,"Saque")-SUMIFS(df_extrato_zig!G:G,df_extrato_zig!E:E,Conciliacao!A614,df_extrato_zig!D:D,"Antecipação")</f>
        <v/>
      </c>
      <c r="C614" s="3">
        <f>SUMIFS(df_extrato_zig!E:E,df_extrato_zig!L:L,Conciliacao!A614,df_extrato_zig!F:F,"DINHEIRO")</f>
        <v/>
      </c>
      <c r="D614" s="3">
        <f>SUMIFS(view_parc_agrup!H:H,view_parc_agrup!G:G,Conciliacao!A614)</f>
        <v/>
      </c>
      <c r="E614" s="3">
        <f>SUMIFS(df_eventos!F:F,df_eventos!H:H,Conciliacao!A614)</f>
        <v/>
      </c>
      <c r="F614" s="3">
        <f>SUMIFS(df_mutuos!M:M,df_mutuos!B:B,Conciliacao!A614)</f>
        <v/>
      </c>
      <c r="G614" s="6">
        <f>SUMIFS(df_bloqueios_judiciais!G:G,df_bloqueios_judiciais!D:D,Conciliacao!A614,df_bloqueios_judiciais!G:G,"&gt;0")</f>
        <v/>
      </c>
      <c r="H614" s="7">
        <f>SUMIFS(df_extratos!I:I,df_extratos!F:F,Conciliacao!BE614,df_extratos!G:G,"CREDITO")+SUMIFS(df_extratos!I:I,df_extratos!F:F,Conciliacao!A614,df_extratos!G:G,"CREDITO")+SUMIFS(df_extratos!I:I,df_extratos!F:F,Conciliacao!BF614,df_extratos!G:G,"CREDITO")+SUMIFS(df_extratos!I:I,df_extratos!F:F,Conciliacao!BG614,df_extratos!G:G,"CREDITO")+SUMIFS(df_extratos!I:I,df_extratos!F:F,Conciliacao!BH614,df_extratos!G:G,"CREDITO")</f>
        <v/>
      </c>
      <c r="I614" s="9">
        <f>H614-SUM(B614:G614)</f>
        <v/>
      </c>
      <c r="J614" s="4">
        <f>SUMIFS(df_blueme_sem_parcelamento!E:E,df_blueme_sem_parcelamento!H:H,Conciliacao!A614)*(-1)</f>
        <v/>
      </c>
      <c r="K614" s="4">
        <f>SUMIFS(df_blueme_com_parcelamento!J:J,df_blueme_com_parcelamento!M:M,Conciliacao!A614)*(-1)</f>
        <v/>
      </c>
      <c r="L614" s="4">
        <f>SUMIFS(df_mutuos!N:N,df_mutuos!B:B,Conciliacao!A614)*(-1)</f>
        <v/>
      </c>
      <c r="M614" s="8">
        <f>SUMIFS(df_bloqueios_judiciais!G:G,df_bloqueios_judiciais!D:D,Conciliacao!A614,df_bloqueios_judiciais!G:G,"&lt;0")</f>
        <v/>
      </c>
      <c r="N614" s="10">
        <f>SUMIFS(df_extratos!I:I,df_extratos!F:F,Conciliacao!BE614,df_extratos!G:G,"DEBITO")+SUMIFS(df_extratos!I:I,df_extratos!F:F,Conciliacao!A614,df_extratos!G:G,"DEBITO")+SUMIFS(df_extratos!I:I,df_extratos!F:F,Conciliacao!BF614,df_extratos!G:G,"DEBITO")+SUMIFS(df_extratos!I:I,df_extratos!F:F,Conciliacao!BG614,df_extratos!G:G,"DEBITO")+SUMIFS(df_extratos!I:I,df_extratos!F:F,Conciliacao!BH614,df_extratos!G:G,"DEBITO")</f>
        <v/>
      </c>
      <c r="O614" s="11">
        <f>N614-SUM(J614:M614)</f>
        <v/>
      </c>
      <c r="P614" s="25">
        <f>SUMIFS(df_ajustes_conciliaco!D:D,df_ajustes_conciliaco!C:C,Conciliacao!A614)</f>
        <v/>
      </c>
      <c r="Q614" s="22">
        <f>O614+I614-P614</f>
        <v/>
      </c>
    </row>
    <row r="615">
      <c r="A615" s="5">
        <f>A614+1</f>
        <v/>
      </c>
      <c r="B615" s="3">
        <f>-SUMIFS(df_extrato_zig!G:G,df_extrato_zig!E:E,Conciliacao!A615,df_extrato_zig!D:D,"Saque")-SUMIFS(df_extrato_zig!G:G,df_extrato_zig!E:E,Conciliacao!A615,df_extrato_zig!D:D,"Antecipação")</f>
        <v/>
      </c>
      <c r="C615" s="3">
        <f>SUMIFS(df_extrato_zig!E:E,df_extrato_zig!L:L,Conciliacao!A615,df_extrato_zig!F:F,"DINHEIRO")</f>
        <v/>
      </c>
      <c r="D615" s="3">
        <f>SUMIFS(view_parc_agrup!H:H,view_parc_agrup!G:G,Conciliacao!A615)</f>
        <v/>
      </c>
      <c r="E615" s="3">
        <f>SUMIFS(df_eventos!F:F,df_eventos!H:H,Conciliacao!A615)</f>
        <v/>
      </c>
      <c r="F615" s="3">
        <f>SUMIFS(df_mutuos!M:M,df_mutuos!B:B,Conciliacao!A615)</f>
        <v/>
      </c>
      <c r="G615" s="6">
        <f>SUMIFS(df_bloqueios_judiciais!G:G,df_bloqueios_judiciais!D:D,Conciliacao!A615,df_bloqueios_judiciais!G:G,"&gt;0")</f>
        <v/>
      </c>
      <c r="H615" s="7">
        <f>SUMIFS(df_extratos!I:I,df_extratos!F:F,Conciliacao!BE615,df_extratos!G:G,"CREDITO")+SUMIFS(df_extratos!I:I,df_extratos!F:F,Conciliacao!A615,df_extratos!G:G,"CREDITO")+SUMIFS(df_extratos!I:I,df_extratos!F:F,Conciliacao!BF615,df_extratos!G:G,"CREDITO")+SUMIFS(df_extratos!I:I,df_extratos!F:F,Conciliacao!BG615,df_extratos!G:G,"CREDITO")+SUMIFS(df_extratos!I:I,df_extratos!F:F,Conciliacao!BH615,df_extratos!G:G,"CREDITO")</f>
        <v/>
      </c>
      <c r="I615" s="9">
        <f>H615-SUM(B615:G615)</f>
        <v/>
      </c>
      <c r="J615" s="4">
        <f>SUMIFS(df_blueme_sem_parcelamento!E:E,df_blueme_sem_parcelamento!H:H,Conciliacao!A615)*(-1)</f>
        <v/>
      </c>
      <c r="K615" s="4">
        <f>SUMIFS(df_blueme_com_parcelamento!J:J,df_blueme_com_parcelamento!M:M,Conciliacao!A615)*(-1)</f>
        <v/>
      </c>
      <c r="L615" s="4">
        <f>SUMIFS(df_mutuos!N:N,df_mutuos!B:B,Conciliacao!A615)*(-1)</f>
        <v/>
      </c>
      <c r="M615" s="8">
        <f>SUMIFS(df_bloqueios_judiciais!G:G,df_bloqueios_judiciais!D:D,Conciliacao!A615,df_bloqueios_judiciais!G:G,"&lt;0")</f>
        <v/>
      </c>
      <c r="N615" s="10">
        <f>SUMIFS(df_extratos!I:I,df_extratos!F:F,Conciliacao!BE615,df_extratos!G:G,"DEBITO")+SUMIFS(df_extratos!I:I,df_extratos!F:F,Conciliacao!A615,df_extratos!G:G,"DEBITO")+SUMIFS(df_extratos!I:I,df_extratos!F:F,Conciliacao!BF615,df_extratos!G:G,"DEBITO")+SUMIFS(df_extratos!I:I,df_extratos!F:F,Conciliacao!BG615,df_extratos!G:G,"DEBITO")+SUMIFS(df_extratos!I:I,df_extratos!F:F,Conciliacao!BH615,df_extratos!G:G,"DEBITO")</f>
        <v/>
      </c>
      <c r="O615" s="11">
        <f>N615-SUM(J615:M615)</f>
        <v/>
      </c>
      <c r="P615" s="25">
        <f>SUMIFS(df_ajustes_conciliaco!D:D,df_ajustes_conciliaco!C:C,Conciliacao!A615)</f>
        <v/>
      </c>
      <c r="Q615" s="22">
        <f>O615+I615-P615</f>
        <v/>
      </c>
    </row>
    <row r="616">
      <c r="A616" s="5">
        <f>A615+1</f>
        <v/>
      </c>
      <c r="B616" s="3">
        <f>-SUMIFS(df_extrato_zig!G:G,df_extrato_zig!E:E,Conciliacao!A616,df_extrato_zig!D:D,"Saque")-SUMIFS(df_extrato_zig!G:G,df_extrato_zig!E:E,Conciliacao!A616,df_extrato_zig!D:D,"Antecipação")</f>
        <v/>
      </c>
      <c r="C616" s="3">
        <f>SUMIFS(df_extrato_zig!E:E,df_extrato_zig!L:L,Conciliacao!A616,df_extrato_zig!F:F,"DINHEIRO")</f>
        <v/>
      </c>
      <c r="D616" s="3">
        <f>SUMIFS(view_parc_agrup!H:H,view_parc_agrup!G:G,Conciliacao!A616)</f>
        <v/>
      </c>
      <c r="E616" s="3">
        <f>SUMIFS(df_eventos!F:F,df_eventos!H:H,Conciliacao!A616)</f>
        <v/>
      </c>
      <c r="F616" s="3">
        <f>SUMIFS(df_mutuos!M:M,df_mutuos!B:B,Conciliacao!A616)</f>
        <v/>
      </c>
      <c r="G616" s="6">
        <f>SUMIFS(df_bloqueios_judiciais!G:G,df_bloqueios_judiciais!D:D,Conciliacao!A616,df_bloqueios_judiciais!G:G,"&gt;0")</f>
        <v/>
      </c>
      <c r="H616" s="7">
        <f>SUMIFS(df_extratos!I:I,df_extratos!F:F,Conciliacao!BE616,df_extratos!G:G,"CREDITO")+SUMIFS(df_extratos!I:I,df_extratos!F:F,Conciliacao!A616,df_extratos!G:G,"CREDITO")+SUMIFS(df_extratos!I:I,df_extratos!F:F,Conciliacao!BF616,df_extratos!G:G,"CREDITO")+SUMIFS(df_extratos!I:I,df_extratos!F:F,Conciliacao!BG616,df_extratos!G:G,"CREDITO")+SUMIFS(df_extratos!I:I,df_extratos!F:F,Conciliacao!BH616,df_extratos!G:G,"CREDITO")</f>
        <v/>
      </c>
      <c r="I616" s="9">
        <f>H616-SUM(B616:G616)</f>
        <v/>
      </c>
      <c r="J616" s="4">
        <f>SUMIFS(df_blueme_sem_parcelamento!E:E,df_blueme_sem_parcelamento!H:H,Conciliacao!A616)*(-1)</f>
        <v/>
      </c>
      <c r="K616" s="4">
        <f>SUMIFS(df_blueme_com_parcelamento!J:J,df_blueme_com_parcelamento!M:M,Conciliacao!A616)*(-1)</f>
        <v/>
      </c>
      <c r="L616" s="4">
        <f>SUMIFS(df_mutuos!N:N,df_mutuos!B:B,Conciliacao!A616)*(-1)</f>
        <v/>
      </c>
      <c r="M616" s="8">
        <f>SUMIFS(df_bloqueios_judiciais!G:G,df_bloqueios_judiciais!D:D,Conciliacao!A616,df_bloqueios_judiciais!G:G,"&lt;0")</f>
        <v/>
      </c>
      <c r="N616" s="10">
        <f>SUMIFS(df_extratos!I:I,df_extratos!F:F,Conciliacao!BE616,df_extratos!G:G,"DEBITO")+SUMIFS(df_extratos!I:I,df_extratos!F:F,Conciliacao!A616,df_extratos!G:G,"DEBITO")+SUMIFS(df_extratos!I:I,df_extratos!F:F,Conciliacao!BF616,df_extratos!G:G,"DEBITO")+SUMIFS(df_extratos!I:I,df_extratos!F:F,Conciliacao!BG616,df_extratos!G:G,"DEBITO")+SUMIFS(df_extratos!I:I,df_extratos!F:F,Conciliacao!BH616,df_extratos!G:G,"DEBITO")</f>
        <v/>
      </c>
      <c r="O616" s="11">
        <f>N616-SUM(J616:M616)</f>
        <v/>
      </c>
      <c r="P616" s="25">
        <f>SUMIFS(df_ajustes_conciliaco!D:D,df_ajustes_conciliaco!C:C,Conciliacao!A616)</f>
        <v/>
      </c>
      <c r="Q616" s="22">
        <f>O616+I616-P616</f>
        <v/>
      </c>
    </row>
    <row r="617">
      <c r="A617" s="5">
        <f>A616+1</f>
        <v/>
      </c>
      <c r="B617" s="3">
        <f>-SUMIFS(df_extrato_zig!G:G,df_extrato_zig!E:E,Conciliacao!A617,df_extrato_zig!D:D,"Saque")-SUMIFS(df_extrato_zig!G:G,df_extrato_zig!E:E,Conciliacao!A617,df_extrato_zig!D:D,"Antecipação")</f>
        <v/>
      </c>
      <c r="C617" s="3">
        <f>SUMIFS(df_extrato_zig!E:E,df_extrato_zig!L:L,Conciliacao!A617,df_extrato_zig!F:F,"DINHEIRO")</f>
        <v/>
      </c>
      <c r="D617" s="3">
        <f>SUMIFS(view_parc_agrup!H:H,view_parc_agrup!G:G,Conciliacao!A617)</f>
        <v/>
      </c>
      <c r="E617" s="3">
        <f>SUMIFS(df_eventos!F:F,df_eventos!H:H,Conciliacao!A617)</f>
        <v/>
      </c>
      <c r="F617" s="3">
        <f>SUMIFS(df_mutuos!M:M,df_mutuos!B:B,Conciliacao!A617)</f>
        <v/>
      </c>
      <c r="G617" s="6">
        <f>SUMIFS(df_bloqueios_judiciais!G:G,df_bloqueios_judiciais!D:D,Conciliacao!A617,df_bloqueios_judiciais!G:G,"&gt;0")</f>
        <v/>
      </c>
      <c r="H617" s="7">
        <f>SUMIFS(df_extratos!I:I,df_extratos!F:F,Conciliacao!BE617,df_extratos!G:G,"CREDITO")+SUMIFS(df_extratos!I:I,df_extratos!F:F,Conciliacao!A617,df_extratos!G:G,"CREDITO")+SUMIFS(df_extratos!I:I,df_extratos!F:F,Conciliacao!BF617,df_extratos!G:G,"CREDITO")+SUMIFS(df_extratos!I:I,df_extratos!F:F,Conciliacao!BG617,df_extratos!G:G,"CREDITO")+SUMIFS(df_extratos!I:I,df_extratos!F:F,Conciliacao!BH617,df_extratos!G:G,"CREDITO")</f>
        <v/>
      </c>
      <c r="I617" s="9">
        <f>H617-SUM(B617:G617)</f>
        <v/>
      </c>
      <c r="J617" s="4">
        <f>SUMIFS(df_blueme_sem_parcelamento!E:E,df_blueme_sem_parcelamento!H:H,Conciliacao!A617)*(-1)</f>
        <v/>
      </c>
      <c r="K617" s="4">
        <f>SUMIFS(df_blueme_com_parcelamento!J:J,df_blueme_com_parcelamento!M:M,Conciliacao!A617)*(-1)</f>
        <v/>
      </c>
      <c r="L617" s="4">
        <f>SUMIFS(df_mutuos!N:N,df_mutuos!B:B,Conciliacao!A617)*(-1)</f>
        <v/>
      </c>
      <c r="M617" s="8">
        <f>SUMIFS(df_bloqueios_judiciais!G:G,df_bloqueios_judiciais!D:D,Conciliacao!A617,df_bloqueios_judiciais!G:G,"&lt;0")</f>
        <v/>
      </c>
      <c r="N617" s="10">
        <f>SUMIFS(df_extratos!I:I,df_extratos!F:F,Conciliacao!BE617,df_extratos!G:G,"DEBITO")+SUMIFS(df_extratos!I:I,df_extratos!F:F,Conciliacao!A617,df_extratos!G:G,"DEBITO")+SUMIFS(df_extratos!I:I,df_extratos!F:F,Conciliacao!BF617,df_extratos!G:G,"DEBITO")+SUMIFS(df_extratos!I:I,df_extratos!F:F,Conciliacao!BG617,df_extratos!G:G,"DEBITO")+SUMIFS(df_extratos!I:I,df_extratos!F:F,Conciliacao!BH617,df_extratos!G:G,"DEBITO")</f>
        <v/>
      </c>
      <c r="O617" s="11">
        <f>N617-SUM(J617:M617)</f>
        <v/>
      </c>
      <c r="P617" s="25">
        <f>SUMIFS(df_ajustes_conciliaco!D:D,df_ajustes_conciliaco!C:C,Conciliacao!A617)</f>
        <v/>
      </c>
      <c r="Q617" s="22">
        <f>O617+I617-P617</f>
        <v/>
      </c>
    </row>
    <row r="618">
      <c r="A618" s="5">
        <f>A617+1</f>
        <v/>
      </c>
      <c r="B618" s="3">
        <f>-SUMIFS(df_extrato_zig!G:G,df_extrato_zig!E:E,Conciliacao!A618,df_extrato_zig!D:D,"Saque")-SUMIFS(df_extrato_zig!G:G,df_extrato_zig!E:E,Conciliacao!A618,df_extrato_zig!D:D,"Antecipação")</f>
        <v/>
      </c>
      <c r="C618" s="3">
        <f>SUMIFS(df_extrato_zig!E:E,df_extrato_zig!L:L,Conciliacao!A618,df_extrato_zig!F:F,"DINHEIRO")</f>
        <v/>
      </c>
      <c r="D618" s="3">
        <f>SUMIFS(view_parc_agrup!H:H,view_parc_agrup!G:G,Conciliacao!A618)</f>
        <v/>
      </c>
      <c r="E618" s="3">
        <f>SUMIFS(df_eventos!F:F,df_eventos!H:H,Conciliacao!A618)</f>
        <v/>
      </c>
      <c r="F618" s="3">
        <f>SUMIFS(df_mutuos!M:M,df_mutuos!B:B,Conciliacao!A618)</f>
        <v/>
      </c>
      <c r="G618" s="6">
        <f>SUMIFS(df_bloqueios_judiciais!G:G,df_bloqueios_judiciais!D:D,Conciliacao!A618,df_bloqueios_judiciais!G:G,"&gt;0")</f>
        <v/>
      </c>
      <c r="H618" s="7">
        <f>SUMIFS(df_extratos!I:I,df_extratos!F:F,Conciliacao!BE618,df_extratos!G:G,"CREDITO")+SUMIFS(df_extratos!I:I,df_extratos!F:F,Conciliacao!A618,df_extratos!G:G,"CREDITO")+SUMIFS(df_extratos!I:I,df_extratos!F:F,Conciliacao!BF618,df_extratos!G:G,"CREDITO")+SUMIFS(df_extratos!I:I,df_extratos!F:F,Conciliacao!BG618,df_extratos!G:G,"CREDITO")+SUMIFS(df_extratos!I:I,df_extratos!F:F,Conciliacao!BH618,df_extratos!G:G,"CREDITO")</f>
        <v/>
      </c>
      <c r="I618" s="9">
        <f>H618-SUM(B618:G618)</f>
        <v/>
      </c>
      <c r="J618" s="4">
        <f>SUMIFS(df_blueme_sem_parcelamento!E:E,df_blueme_sem_parcelamento!H:H,Conciliacao!A618)*(-1)</f>
        <v/>
      </c>
      <c r="K618" s="4">
        <f>SUMIFS(df_blueme_com_parcelamento!J:J,df_blueme_com_parcelamento!M:M,Conciliacao!A618)*(-1)</f>
        <v/>
      </c>
      <c r="L618" s="4">
        <f>SUMIFS(df_mutuos!N:N,df_mutuos!B:B,Conciliacao!A618)*(-1)</f>
        <v/>
      </c>
      <c r="M618" s="8">
        <f>SUMIFS(df_bloqueios_judiciais!G:G,df_bloqueios_judiciais!D:D,Conciliacao!A618,df_bloqueios_judiciais!G:G,"&lt;0")</f>
        <v/>
      </c>
      <c r="N618" s="10">
        <f>SUMIFS(df_extratos!I:I,df_extratos!F:F,Conciliacao!BE618,df_extratos!G:G,"DEBITO")+SUMIFS(df_extratos!I:I,df_extratos!F:F,Conciliacao!A618,df_extratos!G:G,"DEBITO")+SUMIFS(df_extratos!I:I,df_extratos!F:F,Conciliacao!BF618,df_extratos!G:G,"DEBITO")+SUMIFS(df_extratos!I:I,df_extratos!F:F,Conciliacao!BG618,df_extratos!G:G,"DEBITO")+SUMIFS(df_extratos!I:I,df_extratos!F:F,Conciliacao!BH618,df_extratos!G:G,"DEBITO")</f>
        <v/>
      </c>
      <c r="O618" s="11">
        <f>N618-SUM(J618:M618)</f>
        <v/>
      </c>
      <c r="P618" s="25">
        <f>SUMIFS(df_ajustes_conciliaco!D:D,df_ajustes_conciliaco!C:C,Conciliacao!A618)</f>
        <v/>
      </c>
      <c r="Q618" s="22">
        <f>O618+I618-P618</f>
        <v/>
      </c>
    </row>
    <row r="619">
      <c r="A619" s="5">
        <f>A618+1</f>
        <v/>
      </c>
      <c r="B619" s="3">
        <f>-SUMIFS(df_extrato_zig!G:G,df_extrato_zig!E:E,Conciliacao!A619,df_extrato_zig!D:D,"Saque")-SUMIFS(df_extrato_zig!G:G,df_extrato_zig!E:E,Conciliacao!A619,df_extrato_zig!D:D,"Antecipação")</f>
        <v/>
      </c>
      <c r="C619" s="3">
        <f>SUMIFS(df_extrato_zig!E:E,df_extrato_zig!L:L,Conciliacao!A619,df_extrato_zig!F:F,"DINHEIRO")</f>
        <v/>
      </c>
      <c r="D619" s="3">
        <f>SUMIFS(view_parc_agrup!H:H,view_parc_agrup!G:G,Conciliacao!A619)</f>
        <v/>
      </c>
      <c r="E619" s="3">
        <f>SUMIFS(df_eventos!F:F,df_eventos!H:H,Conciliacao!A619)</f>
        <v/>
      </c>
      <c r="F619" s="3">
        <f>SUMIFS(df_mutuos!M:M,df_mutuos!B:B,Conciliacao!A619)</f>
        <v/>
      </c>
      <c r="G619" s="6">
        <f>SUMIFS(df_bloqueios_judiciais!G:G,df_bloqueios_judiciais!D:D,Conciliacao!A619,df_bloqueios_judiciais!G:G,"&gt;0")</f>
        <v/>
      </c>
      <c r="H619" s="7">
        <f>SUMIFS(df_extratos!I:I,df_extratos!F:F,Conciliacao!BE619,df_extratos!G:G,"CREDITO")+SUMIFS(df_extratos!I:I,df_extratos!F:F,Conciliacao!A619,df_extratos!G:G,"CREDITO")+SUMIFS(df_extratos!I:I,df_extratos!F:F,Conciliacao!BF619,df_extratos!G:G,"CREDITO")+SUMIFS(df_extratos!I:I,df_extratos!F:F,Conciliacao!BG619,df_extratos!G:G,"CREDITO")+SUMIFS(df_extratos!I:I,df_extratos!F:F,Conciliacao!BH619,df_extratos!G:G,"CREDITO")</f>
        <v/>
      </c>
      <c r="I619" s="9">
        <f>H619-SUM(B619:G619)</f>
        <v/>
      </c>
      <c r="J619" s="4">
        <f>SUMIFS(df_blueme_sem_parcelamento!E:E,df_blueme_sem_parcelamento!H:H,Conciliacao!A619)*(-1)</f>
        <v/>
      </c>
      <c r="K619" s="4">
        <f>SUMIFS(df_blueme_com_parcelamento!J:J,df_blueme_com_parcelamento!M:M,Conciliacao!A619)*(-1)</f>
        <v/>
      </c>
      <c r="L619" s="4">
        <f>SUMIFS(df_mutuos!N:N,df_mutuos!B:B,Conciliacao!A619)*(-1)</f>
        <v/>
      </c>
      <c r="M619" s="8">
        <f>SUMIFS(df_bloqueios_judiciais!G:G,df_bloqueios_judiciais!D:D,Conciliacao!A619,df_bloqueios_judiciais!G:G,"&lt;0")</f>
        <v/>
      </c>
      <c r="N619" s="10">
        <f>SUMIFS(df_extratos!I:I,df_extratos!F:F,Conciliacao!BE619,df_extratos!G:G,"DEBITO")+SUMIFS(df_extratos!I:I,df_extratos!F:F,Conciliacao!A619,df_extratos!G:G,"DEBITO")+SUMIFS(df_extratos!I:I,df_extratos!F:F,Conciliacao!BF619,df_extratos!G:G,"DEBITO")+SUMIFS(df_extratos!I:I,df_extratos!F:F,Conciliacao!BG619,df_extratos!G:G,"DEBITO")+SUMIFS(df_extratos!I:I,df_extratos!F:F,Conciliacao!BH619,df_extratos!G:G,"DEBITO")</f>
        <v/>
      </c>
      <c r="O619" s="11">
        <f>N619-SUM(J619:M619)</f>
        <v/>
      </c>
      <c r="P619" s="25">
        <f>SUMIFS(df_ajustes_conciliaco!D:D,df_ajustes_conciliaco!C:C,Conciliacao!A619)</f>
        <v/>
      </c>
      <c r="Q619" s="22">
        <f>O619+I619-P619</f>
        <v/>
      </c>
    </row>
    <row r="620">
      <c r="A620" s="5">
        <f>A619+1</f>
        <v/>
      </c>
      <c r="B620" s="3">
        <f>-SUMIFS(df_extrato_zig!G:G,df_extrato_zig!E:E,Conciliacao!A620,df_extrato_zig!D:D,"Saque")-SUMIFS(df_extrato_zig!G:G,df_extrato_zig!E:E,Conciliacao!A620,df_extrato_zig!D:D,"Antecipação")</f>
        <v/>
      </c>
      <c r="C620" s="3">
        <f>SUMIFS(df_extrato_zig!E:E,df_extrato_zig!L:L,Conciliacao!A620,df_extrato_zig!F:F,"DINHEIRO")</f>
        <v/>
      </c>
      <c r="D620" s="3">
        <f>SUMIFS(view_parc_agrup!H:H,view_parc_agrup!G:G,Conciliacao!A620)</f>
        <v/>
      </c>
      <c r="E620" s="3">
        <f>SUMIFS(df_eventos!F:F,df_eventos!H:H,Conciliacao!A620)</f>
        <v/>
      </c>
      <c r="F620" s="3">
        <f>SUMIFS(df_mutuos!M:M,df_mutuos!B:B,Conciliacao!A620)</f>
        <v/>
      </c>
      <c r="G620" s="6">
        <f>SUMIFS(df_bloqueios_judiciais!G:G,df_bloqueios_judiciais!D:D,Conciliacao!A620,df_bloqueios_judiciais!G:G,"&gt;0")</f>
        <v/>
      </c>
      <c r="H620" s="7">
        <f>SUMIFS(df_extratos!I:I,df_extratos!F:F,Conciliacao!BE620,df_extratos!G:G,"CREDITO")+SUMIFS(df_extratos!I:I,df_extratos!F:F,Conciliacao!A620,df_extratos!G:G,"CREDITO")+SUMIFS(df_extratos!I:I,df_extratos!F:F,Conciliacao!BF620,df_extratos!G:G,"CREDITO")+SUMIFS(df_extratos!I:I,df_extratos!F:F,Conciliacao!BG620,df_extratos!G:G,"CREDITO")+SUMIFS(df_extratos!I:I,df_extratos!F:F,Conciliacao!BH620,df_extratos!G:G,"CREDITO")</f>
        <v/>
      </c>
      <c r="I620" s="9">
        <f>H620-SUM(B620:G620)</f>
        <v/>
      </c>
      <c r="J620" s="4">
        <f>SUMIFS(df_blueme_sem_parcelamento!E:E,df_blueme_sem_parcelamento!H:H,Conciliacao!A620)*(-1)</f>
        <v/>
      </c>
      <c r="K620" s="4">
        <f>SUMIFS(df_blueme_com_parcelamento!J:J,df_blueme_com_parcelamento!M:M,Conciliacao!A620)*(-1)</f>
        <v/>
      </c>
      <c r="L620" s="4">
        <f>SUMIFS(df_mutuos!N:N,df_mutuos!B:B,Conciliacao!A620)*(-1)</f>
        <v/>
      </c>
      <c r="M620" s="8">
        <f>SUMIFS(df_bloqueios_judiciais!G:G,df_bloqueios_judiciais!D:D,Conciliacao!A620,df_bloqueios_judiciais!G:G,"&lt;0")</f>
        <v/>
      </c>
      <c r="N620" s="10">
        <f>SUMIFS(df_extratos!I:I,df_extratos!F:F,Conciliacao!BE620,df_extratos!G:G,"DEBITO")+SUMIFS(df_extratos!I:I,df_extratos!F:F,Conciliacao!A620,df_extratos!G:G,"DEBITO")+SUMIFS(df_extratos!I:I,df_extratos!F:F,Conciliacao!BF620,df_extratos!G:G,"DEBITO")+SUMIFS(df_extratos!I:I,df_extratos!F:F,Conciliacao!BG620,df_extratos!G:G,"DEBITO")+SUMIFS(df_extratos!I:I,df_extratos!F:F,Conciliacao!BH620,df_extratos!G:G,"DEBITO")</f>
        <v/>
      </c>
      <c r="O620" s="11">
        <f>N620-SUM(J620:M620)</f>
        <v/>
      </c>
      <c r="P620" s="25">
        <f>SUMIFS(df_ajustes_conciliaco!D:D,df_ajustes_conciliaco!C:C,Conciliacao!A620)</f>
        <v/>
      </c>
      <c r="Q620" s="22">
        <f>O620+I620-P620</f>
        <v/>
      </c>
    </row>
    <row r="621">
      <c r="A621" s="5">
        <f>A620+1</f>
        <v/>
      </c>
      <c r="B621" s="3">
        <f>-SUMIFS(df_extrato_zig!G:G,df_extrato_zig!E:E,Conciliacao!A621,df_extrato_zig!D:D,"Saque")-SUMIFS(df_extrato_zig!G:G,df_extrato_zig!E:E,Conciliacao!A621,df_extrato_zig!D:D,"Antecipação")</f>
        <v/>
      </c>
      <c r="C621" s="3">
        <f>SUMIFS(df_extrato_zig!E:E,df_extrato_zig!L:L,Conciliacao!A621,df_extrato_zig!F:F,"DINHEIRO")</f>
        <v/>
      </c>
      <c r="D621" s="3">
        <f>SUMIFS(view_parc_agrup!H:H,view_parc_agrup!G:G,Conciliacao!A621)</f>
        <v/>
      </c>
      <c r="E621" s="3">
        <f>SUMIFS(df_eventos!F:F,df_eventos!H:H,Conciliacao!A621)</f>
        <v/>
      </c>
      <c r="F621" s="3">
        <f>SUMIFS(df_mutuos!M:M,df_mutuos!B:B,Conciliacao!A621)</f>
        <v/>
      </c>
      <c r="G621" s="6">
        <f>SUMIFS(df_bloqueios_judiciais!G:G,df_bloqueios_judiciais!D:D,Conciliacao!A621,df_bloqueios_judiciais!G:G,"&gt;0")</f>
        <v/>
      </c>
      <c r="H621" s="7">
        <f>SUMIFS(df_extratos!I:I,df_extratos!F:F,Conciliacao!BE621,df_extratos!G:G,"CREDITO")+SUMIFS(df_extratos!I:I,df_extratos!F:F,Conciliacao!A621,df_extratos!G:G,"CREDITO")+SUMIFS(df_extratos!I:I,df_extratos!F:F,Conciliacao!BF621,df_extratos!G:G,"CREDITO")+SUMIFS(df_extratos!I:I,df_extratos!F:F,Conciliacao!BG621,df_extratos!G:G,"CREDITO")+SUMIFS(df_extratos!I:I,df_extratos!F:F,Conciliacao!BH621,df_extratos!G:G,"CREDITO")</f>
        <v/>
      </c>
      <c r="I621" s="9">
        <f>H621-SUM(B621:G621)</f>
        <v/>
      </c>
      <c r="J621" s="4">
        <f>SUMIFS(df_blueme_sem_parcelamento!E:E,df_blueme_sem_parcelamento!H:H,Conciliacao!A621)*(-1)</f>
        <v/>
      </c>
      <c r="K621" s="4">
        <f>SUMIFS(df_blueme_com_parcelamento!J:J,df_blueme_com_parcelamento!M:M,Conciliacao!A621)*(-1)</f>
        <v/>
      </c>
      <c r="L621" s="4">
        <f>SUMIFS(df_mutuos!N:N,df_mutuos!B:B,Conciliacao!A621)*(-1)</f>
        <v/>
      </c>
      <c r="M621" s="8">
        <f>SUMIFS(df_bloqueios_judiciais!G:G,df_bloqueios_judiciais!D:D,Conciliacao!A621,df_bloqueios_judiciais!G:G,"&lt;0")</f>
        <v/>
      </c>
      <c r="N621" s="10">
        <f>SUMIFS(df_extratos!I:I,df_extratos!F:F,Conciliacao!BE621,df_extratos!G:G,"DEBITO")+SUMIFS(df_extratos!I:I,df_extratos!F:F,Conciliacao!A621,df_extratos!G:G,"DEBITO")+SUMIFS(df_extratos!I:I,df_extratos!F:F,Conciliacao!BF621,df_extratos!G:G,"DEBITO")+SUMIFS(df_extratos!I:I,df_extratos!F:F,Conciliacao!BG621,df_extratos!G:G,"DEBITO")+SUMIFS(df_extratos!I:I,df_extratos!F:F,Conciliacao!BH621,df_extratos!G:G,"DEBITO")</f>
        <v/>
      </c>
      <c r="O621" s="11">
        <f>N621-SUM(J621:M621)</f>
        <v/>
      </c>
      <c r="P621" s="25">
        <f>SUMIFS(df_ajustes_conciliaco!D:D,df_ajustes_conciliaco!C:C,Conciliacao!A621)</f>
        <v/>
      </c>
      <c r="Q621" s="22">
        <f>O621+I621-P621</f>
        <v/>
      </c>
    </row>
    <row r="622">
      <c r="A622" s="5">
        <f>A621+1</f>
        <v/>
      </c>
      <c r="B622" s="3">
        <f>-SUMIFS(df_extrato_zig!G:G,df_extrato_zig!E:E,Conciliacao!A622,df_extrato_zig!D:D,"Saque")-SUMIFS(df_extrato_zig!G:G,df_extrato_zig!E:E,Conciliacao!A622,df_extrato_zig!D:D,"Antecipação")</f>
        <v/>
      </c>
      <c r="C622" s="3">
        <f>SUMIFS(df_extrato_zig!E:E,df_extrato_zig!L:L,Conciliacao!A622,df_extrato_zig!F:F,"DINHEIRO")</f>
        <v/>
      </c>
      <c r="D622" s="3">
        <f>SUMIFS(view_parc_agrup!H:H,view_parc_agrup!G:G,Conciliacao!A622)</f>
        <v/>
      </c>
      <c r="E622" s="3">
        <f>SUMIFS(df_eventos!F:F,df_eventos!H:H,Conciliacao!A622)</f>
        <v/>
      </c>
      <c r="F622" s="3">
        <f>SUMIFS(df_mutuos!M:M,df_mutuos!B:B,Conciliacao!A622)</f>
        <v/>
      </c>
      <c r="G622" s="6">
        <f>SUMIFS(df_bloqueios_judiciais!G:G,df_bloqueios_judiciais!D:D,Conciliacao!A622,df_bloqueios_judiciais!G:G,"&gt;0")</f>
        <v/>
      </c>
      <c r="H622" s="7">
        <f>SUMIFS(df_extratos!I:I,df_extratos!F:F,Conciliacao!BE622,df_extratos!G:G,"CREDITO")+SUMIFS(df_extratos!I:I,df_extratos!F:F,Conciliacao!A622,df_extratos!G:G,"CREDITO")+SUMIFS(df_extratos!I:I,df_extratos!F:F,Conciliacao!BF622,df_extratos!G:G,"CREDITO")+SUMIFS(df_extratos!I:I,df_extratos!F:F,Conciliacao!BG622,df_extratos!G:G,"CREDITO")+SUMIFS(df_extratos!I:I,df_extratos!F:F,Conciliacao!BH622,df_extratos!G:G,"CREDITO")</f>
        <v/>
      </c>
      <c r="I622" s="9">
        <f>H622-SUM(B622:G622)</f>
        <v/>
      </c>
      <c r="J622" s="4">
        <f>SUMIFS(df_blueme_sem_parcelamento!E:E,df_blueme_sem_parcelamento!H:H,Conciliacao!A622)*(-1)</f>
        <v/>
      </c>
      <c r="K622" s="4">
        <f>SUMIFS(df_blueme_com_parcelamento!J:J,df_blueme_com_parcelamento!M:M,Conciliacao!A622)*(-1)</f>
        <v/>
      </c>
      <c r="L622" s="4">
        <f>SUMIFS(df_mutuos!N:N,df_mutuos!B:B,Conciliacao!A622)*(-1)</f>
        <v/>
      </c>
      <c r="M622" s="8">
        <f>SUMIFS(df_bloqueios_judiciais!G:G,df_bloqueios_judiciais!D:D,Conciliacao!A622,df_bloqueios_judiciais!G:G,"&lt;0")</f>
        <v/>
      </c>
      <c r="N622" s="10">
        <f>SUMIFS(df_extratos!I:I,df_extratos!F:F,Conciliacao!BE622,df_extratos!G:G,"DEBITO")+SUMIFS(df_extratos!I:I,df_extratos!F:F,Conciliacao!A622,df_extratos!G:G,"DEBITO")+SUMIFS(df_extratos!I:I,df_extratos!F:F,Conciliacao!BF622,df_extratos!G:G,"DEBITO")+SUMIFS(df_extratos!I:I,df_extratos!F:F,Conciliacao!BG622,df_extratos!G:G,"DEBITO")+SUMIFS(df_extratos!I:I,df_extratos!F:F,Conciliacao!BH622,df_extratos!G:G,"DEBITO")</f>
        <v/>
      </c>
      <c r="O622" s="11">
        <f>N622-SUM(J622:M622)</f>
        <v/>
      </c>
      <c r="P622" s="25">
        <f>SUMIFS(df_ajustes_conciliaco!D:D,df_ajustes_conciliaco!C:C,Conciliacao!A622)</f>
        <v/>
      </c>
      <c r="Q622" s="22">
        <f>O622+I622-P622</f>
        <v/>
      </c>
    </row>
    <row r="623">
      <c r="A623" s="5">
        <f>A622+1</f>
        <v/>
      </c>
      <c r="B623" s="3">
        <f>-SUMIFS(df_extrato_zig!G:G,df_extrato_zig!E:E,Conciliacao!A623,df_extrato_zig!D:D,"Saque")-SUMIFS(df_extrato_zig!G:G,df_extrato_zig!E:E,Conciliacao!A623,df_extrato_zig!D:D,"Antecipação")</f>
        <v/>
      </c>
      <c r="C623" s="3">
        <f>SUMIFS(df_extrato_zig!E:E,df_extrato_zig!L:L,Conciliacao!A623,df_extrato_zig!F:F,"DINHEIRO")</f>
        <v/>
      </c>
      <c r="D623" s="3">
        <f>SUMIFS(view_parc_agrup!H:H,view_parc_agrup!G:G,Conciliacao!A623)</f>
        <v/>
      </c>
      <c r="E623" s="3">
        <f>SUMIFS(df_eventos!F:F,df_eventos!H:H,Conciliacao!A623)</f>
        <v/>
      </c>
      <c r="F623" s="3">
        <f>SUMIFS(df_mutuos!M:M,df_mutuos!B:B,Conciliacao!A623)</f>
        <v/>
      </c>
      <c r="G623" s="6">
        <f>SUMIFS(df_bloqueios_judiciais!G:G,df_bloqueios_judiciais!D:D,Conciliacao!A623,df_bloqueios_judiciais!G:G,"&gt;0")</f>
        <v/>
      </c>
      <c r="H623" s="7">
        <f>SUMIFS(df_extratos!I:I,df_extratos!F:F,Conciliacao!BE623,df_extratos!G:G,"CREDITO")+SUMIFS(df_extratos!I:I,df_extratos!F:F,Conciliacao!A623,df_extratos!G:G,"CREDITO")+SUMIFS(df_extratos!I:I,df_extratos!F:F,Conciliacao!BF623,df_extratos!G:G,"CREDITO")+SUMIFS(df_extratos!I:I,df_extratos!F:F,Conciliacao!BG623,df_extratos!G:G,"CREDITO")+SUMIFS(df_extratos!I:I,df_extratos!F:F,Conciliacao!BH623,df_extratos!G:G,"CREDITO")</f>
        <v/>
      </c>
      <c r="I623" s="9">
        <f>H623-SUM(B623:G623)</f>
        <v/>
      </c>
      <c r="J623" s="4">
        <f>SUMIFS(df_blueme_sem_parcelamento!E:E,df_blueme_sem_parcelamento!H:H,Conciliacao!A623)*(-1)</f>
        <v/>
      </c>
      <c r="K623" s="4">
        <f>SUMIFS(df_blueme_com_parcelamento!J:J,df_blueme_com_parcelamento!M:M,Conciliacao!A623)*(-1)</f>
        <v/>
      </c>
      <c r="L623" s="4">
        <f>SUMIFS(df_mutuos!N:N,df_mutuos!B:B,Conciliacao!A623)*(-1)</f>
        <v/>
      </c>
      <c r="M623" s="8">
        <f>SUMIFS(df_bloqueios_judiciais!G:G,df_bloqueios_judiciais!D:D,Conciliacao!A623,df_bloqueios_judiciais!G:G,"&lt;0")</f>
        <v/>
      </c>
      <c r="N623" s="10">
        <f>SUMIFS(df_extratos!I:I,df_extratos!F:F,Conciliacao!BE623,df_extratos!G:G,"DEBITO")+SUMIFS(df_extratos!I:I,df_extratos!F:F,Conciliacao!A623,df_extratos!G:G,"DEBITO")+SUMIFS(df_extratos!I:I,df_extratos!F:F,Conciliacao!BF623,df_extratos!G:G,"DEBITO")+SUMIFS(df_extratos!I:I,df_extratos!F:F,Conciliacao!BG623,df_extratos!G:G,"DEBITO")+SUMIFS(df_extratos!I:I,df_extratos!F:F,Conciliacao!BH623,df_extratos!G:G,"DEBITO")</f>
        <v/>
      </c>
      <c r="O623" s="11">
        <f>N623-SUM(J623:M623)</f>
        <v/>
      </c>
      <c r="P623" s="25">
        <f>SUMIFS(df_ajustes_conciliaco!D:D,df_ajustes_conciliaco!C:C,Conciliacao!A623)</f>
        <v/>
      </c>
      <c r="Q623" s="22">
        <f>O623+I623-P623</f>
        <v/>
      </c>
    </row>
    <row r="624">
      <c r="A624" s="5">
        <f>A623+1</f>
        <v/>
      </c>
      <c r="B624" s="3">
        <f>-SUMIFS(df_extrato_zig!G:G,df_extrato_zig!E:E,Conciliacao!A624,df_extrato_zig!D:D,"Saque")-SUMIFS(df_extrato_zig!G:G,df_extrato_zig!E:E,Conciliacao!A624,df_extrato_zig!D:D,"Antecipação")</f>
        <v/>
      </c>
      <c r="C624" s="3">
        <f>SUMIFS(df_extrato_zig!E:E,df_extrato_zig!L:L,Conciliacao!A624,df_extrato_zig!F:F,"DINHEIRO")</f>
        <v/>
      </c>
      <c r="D624" s="3">
        <f>SUMIFS(view_parc_agrup!H:H,view_parc_agrup!G:G,Conciliacao!A624)</f>
        <v/>
      </c>
      <c r="E624" s="3">
        <f>SUMIFS(df_eventos!F:F,df_eventos!H:H,Conciliacao!A624)</f>
        <v/>
      </c>
      <c r="F624" s="3">
        <f>SUMIFS(df_mutuos!M:M,df_mutuos!B:B,Conciliacao!A624)</f>
        <v/>
      </c>
      <c r="G624" s="6">
        <f>SUMIFS(df_bloqueios_judiciais!G:G,df_bloqueios_judiciais!D:D,Conciliacao!A624,df_bloqueios_judiciais!G:G,"&gt;0")</f>
        <v/>
      </c>
      <c r="H624" s="7">
        <f>SUMIFS(df_extratos!I:I,df_extratos!F:F,Conciliacao!BE624,df_extratos!G:G,"CREDITO")+SUMIFS(df_extratos!I:I,df_extratos!F:F,Conciliacao!A624,df_extratos!G:G,"CREDITO")+SUMIFS(df_extratos!I:I,df_extratos!F:F,Conciliacao!BF624,df_extratos!G:G,"CREDITO")+SUMIFS(df_extratos!I:I,df_extratos!F:F,Conciliacao!BG624,df_extratos!G:G,"CREDITO")+SUMIFS(df_extratos!I:I,df_extratos!F:F,Conciliacao!BH624,df_extratos!G:G,"CREDITO")</f>
        <v/>
      </c>
      <c r="I624" s="9">
        <f>H624-SUM(B624:G624)</f>
        <v/>
      </c>
      <c r="J624" s="4">
        <f>SUMIFS(df_blueme_sem_parcelamento!E:E,df_blueme_sem_parcelamento!H:H,Conciliacao!A624)*(-1)</f>
        <v/>
      </c>
      <c r="K624" s="4">
        <f>SUMIFS(df_blueme_com_parcelamento!J:J,df_blueme_com_parcelamento!M:M,Conciliacao!A624)*(-1)</f>
        <v/>
      </c>
      <c r="L624" s="4">
        <f>SUMIFS(df_mutuos!N:N,df_mutuos!B:B,Conciliacao!A624)*(-1)</f>
        <v/>
      </c>
      <c r="M624" s="8">
        <f>SUMIFS(df_bloqueios_judiciais!G:G,df_bloqueios_judiciais!D:D,Conciliacao!A624,df_bloqueios_judiciais!G:G,"&lt;0")</f>
        <v/>
      </c>
      <c r="N624" s="10">
        <f>SUMIFS(df_extratos!I:I,df_extratos!F:F,Conciliacao!BE624,df_extratos!G:G,"DEBITO")+SUMIFS(df_extratos!I:I,df_extratos!F:F,Conciliacao!A624,df_extratos!G:G,"DEBITO")+SUMIFS(df_extratos!I:I,df_extratos!F:F,Conciliacao!BF624,df_extratos!G:G,"DEBITO")+SUMIFS(df_extratos!I:I,df_extratos!F:F,Conciliacao!BG624,df_extratos!G:G,"DEBITO")+SUMIFS(df_extratos!I:I,df_extratos!F:F,Conciliacao!BH624,df_extratos!G:G,"DEBITO")</f>
        <v/>
      </c>
      <c r="O624" s="11">
        <f>N624-SUM(J624:M624)</f>
        <v/>
      </c>
      <c r="P624" s="25">
        <f>SUMIFS(df_ajustes_conciliaco!D:D,df_ajustes_conciliaco!C:C,Conciliacao!A624)</f>
        <v/>
      </c>
      <c r="Q624" s="22">
        <f>O624+I624-P624</f>
        <v/>
      </c>
    </row>
    <row r="625">
      <c r="A625" s="5">
        <f>A624+1</f>
        <v/>
      </c>
      <c r="B625" s="3">
        <f>-SUMIFS(df_extrato_zig!G:G,df_extrato_zig!E:E,Conciliacao!A625,df_extrato_zig!D:D,"Saque")-SUMIFS(df_extrato_zig!G:G,df_extrato_zig!E:E,Conciliacao!A625,df_extrato_zig!D:D,"Antecipação")</f>
        <v/>
      </c>
      <c r="C625" s="3">
        <f>SUMIFS(df_extrato_zig!E:E,df_extrato_zig!L:L,Conciliacao!A625,df_extrato_zig!F:F,"DINHEIRO")</f>
        <v/>
      </c>
      <c r="D625" s="3">
        <f>SUMIFS(view_parc_agrup!H:H,view_parc_agrup!G:G,Conciliacao!A625)</f>
        <v/>
      </c>
      <c r="E625" s="3">
        <f>SUMIFS(df_eventos!F:F,df_eventos!H:H,Conciliacao!A625)</f>
        <v/>
      </c>
      <c r="F625" s="3">
        <f>SUMIFS(df_mutuos!M:M,df_mutuos!B:B,Conciliacao!A625)</f>
        <v/>
      </c>
      <c r="G625" s="6">
        <f>SUMIFS(df_bloqueios_judiciais!G:G,df_bloqueios_judiciais!D:D,Conciliacao!A625,df_bloqueios_judiciais!G:G,"&gt;0")</f>
        <v/>
      </c>
      <c r="H625" s="7">
        <f>SUMIFS(df_extratos!I:I,df_extratos!F:F,Conciliacao!BE625,df_extratos!G:G,"CREDITO")+SUMIFS(df_extratos!I:I,df_extratos!F:F,Conciliacao!A625,df_extratos!G:G,"CREDITO")+SUMIFS(df_extratos!I:I,df_extratos!F:F,Conciliacao!BF625,df_extratos!G:G,"CREDITO")+SUMIFS(df_extratos!I:I,df_extratos!F:F,Conciliacao!BG625,df_extratos!G:G,"CREDITO")+SUMIFS(df_extratos!I:I,df_extratos!F:F,Conciliacao!BH625,df_extratos!G:G,"CREDITO")</f>
        <v/>
      </c>
      <c r="I625" s="9">
        <f>H625-SUM(B625:G625)</f>
        <v/>
      </c>
      <c r="J625" s="4">
        <f>SUMIFS(df_blueme_sem_parcelamento!E:E,df_blueme_sem_parcelamento!H:H,Conciliacao!A625)*(-1)</f>
        <v/>
      </c>
      <c r="K625" s="4">
        <f>SUMIFS(df_blueme_com_parcelamento!J:J,df_blueme_com_parcelamento!M:M,Conciliacao!A625)*(-1)</f>
        <v/>
      </c>
      <c r="L625" s="4">
        <f>SUMIFS(df_mutuos!N:N,df_mutuos!B:B,Conciliacao!A625)*(-1)</f>
        <v/>
      </c>
      <c r="M625" s="8">
        <f>SUMIFS(df_bloqueios_judiciais!G:G,df_bloqueios_judiciais!D:D,Conciliacao!A625,df_bloqueios_judiciais!G:G,"&lt;0")</f>
        <v/>
      </c>
      <c r="N625" s="10">
        <f>SUMIFS(df_extratos!I:I,df_extratos!F:F,Conciliacao!BE625,df_extratos!G:G,"DEBITO")+SUMIFS(df_extratos!I:I,df_extratos!F:F,Conciliacao!A625,df_extratos!G:G,"DEBITO")+SUMIFS(df_extratos!I:I,df_extratos!F:F,Conciliacao!BF625,df_extratos!G:G,"DEBITO")+SUMIFS(df_extratos!I:I,df_extratos!F:F,Conciliacao!BG625,df_extratos!G:G,"DEBITO")+SUMIFS(df_extratos!I:I,df_extratos!F:F,Conciliacao!BH625,df_extratos!G:G,"DEBITO")</f>
        <v/>
      </c>
      <c r="O625" s="11">
        <f>N625-SUM(J625:M625)</f>
        <v/>
      </c>
      <c r="P625" s="25">
        <f>SUMIFS(df_ajustes_conciliaco!D:D,df_ajustes_conciliaco!C:C,Conciliacao!A625)</f>
        <v/>
      </c>
      <c r="Q625" s="22">
        <f>O625+I625-P625</f>
        <v/>
      </c>
    </row>
    <row r="626">
      <c r="A626" s="5">
        <f>A625+1</f>
        <v/>
      </c>
      <c r="B626" s="3">
        <f>-SUMIFS(df_extrato_zig!G:G,df_extrato_zig!E:E,Conciliacao!A626,df_extrato_zig!D:D,"Saque")-SUMIFS(df_extrato_zig!G:G,df_extrato_zig!E:E,Conciliacao!A626,df_extrato_zig!D:D,"Antecipação")</f>
        <v/>
      </c>
      <c r="C626" s="3">
        <f>SUMIFS(df_extrato_zig!E:E,df_extrato_zig!L:L,Conciliacao!A626,df_extrato_zig!F:F,"DINHEIRO")</f>
        <v/>
      </c>
      <c r="D626" s="3">
        <f>SUMIFS(view_parc_agrup!H:H,view_parc_agrup!G:G,Conciliacao!A626)</f>
        <v/>
      </c>
      <c r="E626" s="3">
        <f>SUMIFS(df_eventos!F:F,df_eventos!H:H,Conciliacao!A626)</f>
        <v/>
      </c>
      <c r="F626" s="3">
        <f>SUMIFS(df_mutuos!M:M,df_mutuos!B:B,Conciliacao!A626)</f>
        <v/>
      </c>
      <c r="G626" s="6">
        <f>SUMIFS(df_bloqueios_judiciais!G:G,df_bloqueios_judiciais!D:D,Conciliacao!A626,df_bloqueios_judiciais!G:G,"&gt;0")</f>
        <v/>
      </c>
      <c r="H626" s="7">
        <f>SUMIFS(df_extratos!I:I,df_extratos!F:F,Conciliacao!BE626,df_extratos!G:G,"CREDITO")+SUMIFS(df_extratos!I:I,df_extratos!F:F,Conciliacao!A626,df_extratos!G:G,"CREDITO")+SUMIFS(df_extratos!I:I,df_extratos!F:F,Conciliacao!BF626,df_extratos!G:G,"CREDITO")+SUMIFS(df_extratos!I:I,df_extratos!F:F,Conciliacao!BG626,df_extratos!G:G,"CREDITO")+SUMIFS(df_extratos!I:I,df_extratos!F:F,Conciliacao!BH626,df_extratos!G:G,"CREDITO")</f>
        <v/>
      </c>
      <c r="I626" s="9">
        <f>H626-SUM(B626:G626)</f>
        <v/>
      </c>
      <c r="J626" s="4">
        <f>SUMIFS(df_blueme_sem_parcelamento!E:E,df_blueme_sem_parcelamento!H:H,Conciliacao!A626)*(-1)</f>
        <v/>
      </c>
      <c r="K626" s="4">
        <f>SUMIFS(df_blueme_com_parcelamento!J:J,df_blueme_com_parcelamento!M:M,Conciliacao!A626)*(-1)</f>
        <v/>
      </c>
      <c r="L626" s="4">
        <f>SUMIFS(df_mutuos!N:N,df_mutuos!B:B,Conciliacao!A626)*(-1)</f>
        <v/>
      </c>
      <c r="M626" s="8">
        <f>SUMIFS(df_bloqueios_judiciais!G:G,df_bloqueios_judiciais!D:D,Conciliacao!A626,df_bloqueios_judiciais!G:G,"&lt;0")</f>
        <v/>
      </c>
      <c r="N626" s="10">
        <f>SUMIFS(df_extratos!I:I,df_extratos!F:F,Conciliacao!BE626,df_extratos!G:G,"DEBITO")+SUMIFS(df_extratos!I:I,df_extratos!F:F,Conciliacao!A626,df_extratos!G:G,"DEBITO")+SUMIFS(df_extratos!I:I,df_extratos!F:F,Conciliacao!BF626,df_extratos!G:G,"DEBITO")+SUMIFS(df_extratos!I:I,df_extratos!F:F,Conciliacao!BG626,df_extratos!G:G,"DEBITO")+SUMIFS(df_extratos!I:I,df_extratos!F:F,Conciliacao!BH626,df_extratos!G:G,"DEBITO")</f>
        <v/>
      </c>
      <c r="O626" s="11">
        <f>N626-SUM(J626:M626)</f>
        <v/>
      </c>
      <c r="P626" s="25">
        <f>SUMIFS(df_ajustes_conciliaco!D:D,df_ajustes_conciliaco!C:C,Conciliacao!A626)</f>
        <v/>
      </c>
      <c r="Q626" s="22">
        <f>O626+I626-P626</f>
        <v/>
      </c>
    </row>
    <row r="627">
      <c r="A627" s="5">
        <f>A626+1</f>
        <v/>
      </c>
      <c r="B627" s="3">
        <f>-SUMIFS(df_extrato_zig!G:G,df_extrato_zig!E:E,Conciliacao!A627,df_extrato_zig!D:D,"Saque")-SUMIFS(df_extrato_zig!G:G,df_extrato_zig!E:E,Conciliacao!A627,df_extrato_zig!D:D,"Antecipação")</f>
        <v/>
      </c>
      <c r="C627" s="3">
        <f>SUMIFS(df_extrato_zig!E:E,df_extrato_zig!L:L,Conciliacao!A627,df_extrato_zig!F:F,"DINHEIRO")</f>
        <v/>
      </c>
      <c r="D627" s="3">
        <f>SUMIFS(view_parc_agrup!H:H,view_parc_agrup!G:G,Conciliacao!A627)</f>
        <v/>
      </c>
      <c r="E627" s="3">
        <f>SUMIFS(df_eventos!F:F,df_eventos!H:H,Conciliacao!A627)</f>
        <v/>
      </c>
      <c r="F627" s="3">
        <f>SUMIFS(df_mutuos!M:M,df_mutuos!B:B,Conciliacao!A627)</f>
        <v/>
      </c>
      <c r="G627" s="6">
        <f>SUMIFS(df_bloqueios_judiciais!G:G,df_bloqueios_judiciais!D:D,Conciliacao!A627,df_bloqueios_judiciais!G:G,"&gt;0")</f>
        <v/>
      </c>
      <c r="H627" s="7">
        <f>SUMIFS(df_extratos!I:I,df_extratos!F:F,Conciliacao!BE627,df_extratos!G:G,"CREDITO")+SUMIFS(df_extratos!I:I,df_extratos!F:F,Conciliacao!A627,df_extratos!G:G,"CREDITO")+SUMIFS(df_extratos!I:I,df_extratos!F:F,Conciliacao!BF627,df_extratos!G:G,"CREDITO")+SUMIFS(df_extratos!I:I,df_extratos!F:F,Conciliacao!BG627,df_extratos!G:G,"CREDITO")+SUMIFS(df_extratos!I:I,df_extratos!F:F,Conciliacao!BH627,df_extratos!G:G,"CREDITO")</f>
        <v/>
      </c>
      <c r="I627" s="9">
        <f>H627-SUM(B627:G627)</f>
        <v/>
      </c>
      <c r="J627" s="4">
        <f>SUMIFS(df_blueme_sem_parcelamento!E:E,df_blueme_sem_parcelamento!H:H,Conciliacao!A627)*(-1)</f>
        <v/>
      </c>
      <c r="K627" s="4">
        <f>SUMIFS(df_blueme_com_parcelamento!J:J,df_blueme_com_parcelamento!M:M,Conciliacao!A627)*(-1)</f>
        <v/>
      </c>
      <c r="L627" s="4">
        <f>SUMIFS(df_mutuos!N:N,df_mutuos!B:B,Conciliacao!A627)*(-1)</f>
        <v/>
      </c>
      <c r="M627" s="8">
        <f>SUMIFS(df_bloqueios_judiciais!G:G,df_bloqueios_judiciais!D:D,Conciliacao!A627,df_bloqueios_judiciais!G:G,"&lt;0")</f>
        <v/>
      </c>
      <c r="N627" s="10">
        <f>SUMIFS(df_extratos!I:I,df_extratos!F:F,Conciliacao!BE627,df_extratos!G:G,"DEBITO")+SUMIFS(df_extratos!I:I,df_extratos!F:F,Conciliacao!A627,df_extratos!G:G,"DEBITO")+SUMIFS(df_extratos!I:I,df_extratos!F:F,Conciliacao!BF627,df_extratos!G:G,"DEBITO")+SUMIFS(df_extratos!I:I,df_extratos!F:F,Conciliacao!BG627,df_extratos!G:G,"DEBITO")+SUMIFS(df_extratos!I:I,df_extratos!F:F,Conciliacao!BH627,df_extratos!G:G,"DEBITO")</f>
        <v/>
      </c>
      <c r="O627" s="11">
        <f>N627-SUM(J627:M627)</f>
        <v/>
      </c>
      <c r="P627" s="25">
        <f>SUMIFS(df_ajustes_conciliaco!D:D,df_ajustes_conciliaco!C:C,Conciliacao!A627)</f>
        <v/>
      </c>
      <c r="Q627" s="22">
        <f>O627+I627-P627</f>
        <v/>
      </c>
    </row>
    <row r="628">
      <c r="A628" s="5">
        <f>A627+1</f>
        <v/>
      </c>
      <c r="B628" s="3">
        <f>-SUMIFS(df_extrato_zig!G:G,df_extrato_zig!E:E,Conciliacao!A628,df_extrato_zig!D:D,"Saque")-SUMIFS(df_extrato_zig!G:G,df_extrato_zig!E:E,Conciliacao!A628,df_extrato_zig!D:D,"Antecipação")</f>
        <v/>
      </c>
      <c r="C628" s="3">
        <f>SUMIFS(df_extrato_zig!E:E,df_extrato_zig!L:L,Conciliacao!A628,df_extrato_zig!F:F,"DINHEIRO")</f>
        <v/>
      </c>
      <c r="D628" s="3">
        <f>SUMIFS(view_parc_agrup!H:H,view_parc_agrup!G:G,Conciliacao!A628)</f>
        <v/>
      </c>
      <c r="E628" s="3">
        <f>SUMIFS(df_eventos!F:F,df_eventos!H:H,Conciliacao!A628)</f>
        <v/>
      </c>
      <c r="F628" s="3">
        <f>SUMIFS(df_mutuos!M:M,df_mutuos!B:B,Conciliacao!A628)</f>
        <v/>
      </c>
      <c r="G628" s="6">
        <f>SUMIFS(df_bloqueios_judiciais!G:G,df_bloqueios_judiciais!D:D,Conciliacao!A628,df_bloqueios_judiciais!G:G,"&gt;0")</f>
        <v/>
      </c>
      <c r="H628" s="7">
        <f>SUMIFS(df_extratos!I:I,df_extratos!F:F,Conciliacao!BE628,df_extratos!G:G,"CREDITO")+SUMIFS(df_extratos!I:I,df_extratos!F:F,Conciliacao!A628,df_extratos!G:G,"CREDITO")+SUMIFS(df_extratos!I:I,df_extratos!F:F,Conciliacao!BF628,df_extratos!G:G,"CREDITO")+SUMIFS(df_extratos!I:I,df_extratos!F:F,Conciliacao!BG628,df_extratos!G:G,"CREDITO")+SUMIFS(df_extratos!I:I,df_extratos!F:F,Conciliacao!BH628,df_extratos!G:G,"CREDITO")</f>
        <v/>
      </c>
      <c r="I628" s="9">
        <f>H628-SUM(B628:G628)</f>
        <v/>
      </c>
      <c r="J628" s="4">
        <f>SUMIFS(df_blueme_sem_parcelamento!E:E,df_blueme_sem_parcelamento!H:H,Conciliacao!A628)*(-1)</f>
        <v/>
      </c>
      <c r="K628" s="4">
        <f>SUMIFS(df_blueme_com_parcelamento!J:J,df_blueme_com_parcelamento!M:M,Conciliacao!A628)*(-1)</f>
        <v/>
      </c>
      <c r="L628" s="4">
        <f>SUMIFS(df_mutuos!N:N,df_mutuos!B:B,Conciliacao!A628)*(-1)</f>
        <v/>
      </c>
      <c r="M628" s="8">
        <f>SUMIFS(df_bloqueios_judiciais!G:G,df_bloqueios_judiciais!D:D,Conciliacao!A628,df_bloqueios_judiciais!G:G,"&lt;0")</f>
        <v/>
      </c>
      <c r="N628" s="10">
        <f>SUMIFS(df_extratos!I:I,df_extratos!F:F,Conciliacao!BE628,df_extratos!G:G,"DEBITO")+SUMIFS(df_extratos!I:I,df_extratos!F:F,Conciliacao!A628,df_extratos!G:G,"DEBITO")+SUMIFS(df_extratos!I:I,df_extratos!F:F,Conciliacao!BF628,df_extratos!G:G,"DEBITO")+SUMIFS(df_extratos!I:I,df_extratos!F:F,Conciliacao!BG628,df_extratos!G:G,"DEBITO")+SUMIFS(df_extratos!I:I,df_extratos!F:F,Conciliacao!BH628,df_extratos!G:G,"DEBITO")</f>
        <v/>
      </c>
      <c r="O628" s="11">
        <f>N628-SUM(J628:M628)</f>
        <v/>
      </c>
      <c r="P628" s="25">
        <f>SUMIFS(df_ajustes_conciliaco!D:D,df_ajustes_conciliaco!C:C,Conciliacao!A628)</f>
        <v/>
      </c>
      <c r="Q628" s="22">
        <f>O628+I628-P628</f>
        <v/>
      </c>
    </row>
    <row r="629">
      <c r="A629" s="5">
        <f>A628+1</f>
        <v/>
      </c>
      <c r="B629" s="3">
        <f>-SUMIFS(df_extrato_zig!G:G,df_extrato_zig!E:E,Conciliacao!A629,df_extrato_zig!D:D,"Saque")-SUMIFS(df_extrato_zig!G:G,df_extrato_zig!E:E,Conciliacao!A629,df_extrato_zig!D:D,"Antecipação")</f>
        <v/>
      </c>
      <c r="C629" s="3">
        <f>SUMIFS(df_extrato_zig!E:E,df_extrato_zig!L:L,Conciliacao!A629,df_extrato_zig!F:F,"DINHEIRO")</f>
        <v/>
      </c>
      <c r="D629" s="3">
        <f>SUMIFS(view_parc_agrup!H:H,view_parc_agrup!G:G,Conciliacao!A629)</f>
        <v/>
      </c>
      <c r="E629" s="3">
        <f>SUMIFS(df_eventos!F:F,df_eventos!H:H,Conciliacao!A629)</f>
        <v/>
      </c>
      <c r="F629" s="3">
        <f>SUMIFS(df_mutuos!M:M,df_mutuos!B:B,Conciliacao!A629)</f>
        <v/>
      </c>
      <c r="G629" s="6">
        <f>SUMIFS(df_bloqueios_judiciais!G:G,df_bloqueios_judiciais!D:D,Conciliacao!A629,df_bloqueios_judiciais!G:G,"&gt;0")</f>
        <v/>
      </c>
      <c r="H629" s="7">
        <f>SUMIFS(df_extratos!I:I,df_extratos!F:F,Conciliacao!BE629,df_extratos!G:G,"CREDITO")+SUMIFS(df_extratos!I:I,df_extratos!F:F,Conciliacao!A629,df_extratos!G:G,"CREDITO")+SUMIFS(df_extratos!I:I,df_extratos!F:F,Conciliacao!BF629,df_extratos!G:G,"CREDITO")+SUMIFS(df_extratos!I:I,df_extratos!F:F,Conciliacao!BG629,df_extratos!G:G,"CREDITO")+SUMIFS(df_extratos!I:I,df_extratos!F:F,Conciliacao!BH629,df_extratos!G:G,"CREDITO")</f>
        <v/>
      </c>
      <c r="I629" s="9">
        <f>H629-SUM(B629:G629)</f>
        <v/>
      </c>
      <c r="J629" s="4">
        <f>SUMIFS(df_blueme_sem_parcelamento!E:E,df_blueme_sem_parcelamento!H:H,Conciliacao!A629)*(-1)</f>
        <v/>
      </c>
      <c r="K629" s="4">
        <f>SUMIFS(df_blueme_com_parcelamento!J:J,df_blueme_com_parcelamento!M:M,Conciliacao!A629)*(-1)</f>
        <v/>
      </c>
      <c r="L629" s="4">
        <f>SUMIFS(df_mutuos!N:N,df_mutuos!B:B,Conciliacao!A629)*(-1)</f>
        <v/>
      </c>
      <c r="M629" s="8">
        <f>SUMIFS(df_bloqueios_judiciais!G:G,df_bloqueios_judiciais!D:D,Conciliacao!A629,df_bloqueios_judiciais!G:G,"&lt;0")</f>
        <v/>
      </c>
      <c r="N629" s="10">
        <f>SUMIFS(df_extratos!I:I,df_extratos!F:F,Conciliacao!BE629,df_extratos!G:G,"DEBITO")+SUMIFS(df_extratos!I:I,df_extratos!F:F,Conciliacao!A629,df_extratos!G:G,"DEBITO")+SUMIFS(df_extratos!I:I,df_extratos!F:F,Conciliacao!BF629,df_extratos!G:G,"DEBITO")+SUMIFS(df_extratos!I:I,df_extratos!F:F,Conciliacao!BG629,df_extratos!G:G,"DEBITO")+SUMIFS(df_extratos!I:I,df_extratos!F:F,Conciliacao!BH629,df_extratos!G:G,"DEBITO")</f>
        <v/>
      </c>
      <c r="O629" s="11">
        <f>N629-SUM(J629:M629)</f>
        <v/>
      </c>
      <c r="P629" s="25">
        <f>SUMIFS(df_ajustes_conciliaco!D:D,df_ajustes_conciliaco!C:C,Conciliacao!A629)</f>
        <v/>
      </c>
      <c r="Q629" s="22">
        <f>O629+I629-P629</f>
        <v/>
      </c>
    </row>
    <row r="630">
      <c r="A630" s="5">
        <f>A629+1</f>
        <v/>
      </c>
      <c r="B630" s="3">
        <f>-SUMIFS(df_extrato_zig!G:G,df_extrato_zig!E:E,Conciliacao!A630,df_extrato_zig!D:D,"Saque")-SUMIFS(df_extrato_zig!G:G,df_extrato_zig!E:E,Conciliacao!A630,df_extrato_zig!D:D,"Antecipação")</f>
        <v/>
      </c>
      <c r="C630" s="3">
        <f>SUMIFS(df_extrato_zig!E:E,df_extrato_zig!L:L,Conciliacao!A630,df_extrato_zig!F:F,"DINHEIRO")</f>
        <v/>
      </c>
      <c r="D630" s="3">
        <f>SUMIFS(view_parc_agrup!H:H,view_parc_agrup!G:G,Conciliacao!A630)</f>
        <v/>
      </c>
      <c r="E630" s="3">
        <f>SUMIFS(df_eventos!F:F,df_eventos!H:H,Conciliacao!A630)</f>
        <v/>
      </c>
      <c r="F630" s="3">
        <f>SUMIFS(df_mutuos!M:M,df_mutuos!B:B,Conciliacao!A630)</f>
        <v/>
      </c>
      <c r="G630" s="6">
        <f>SUMIFS(df_bloqueios_judiciais!G:G,df_bloqueios_judiciais!D:D,Conciliacao!A630,df_bloqueios_judiciais!G:G,"&gt;0")</f>
        <v/>
      </c>
      <c r="H630" s="7">
        <f>SUMIFS(df_extratos!I:I,df_extratos!F:F,Conciliacao!BE630,df_extratos!G:G,"CREDITO")+SUMIFS(df_extratos!I:I,df_extratos!F:F,Conciliacao!A630,df_extratos!G:G,"CREDITO")+SUMIFS(df_extratos!I:I,df_extratos!F:F,Conciliacao!BF630,df_extratos!G:G,"CREDITO")+SUMIFS(df_extratos!I:I,df_extratos!F:F,Conciliacao!BG630,df_extratos!G:G,"CREDITO")+SUMIFS(df_extratos!I:I,df_extratos!F:F,Conciliacao!BH630,df_extratos!G:G,"CREDITO")</f>
        <v/>
      </c>
      <c r="I630" s="9">
        <f>H630-SUM(B630:G630)</f>
        <v/>
      </c>
      <c r="J630" s="4">
        <f>SUMIFS(df_blueme_sem_parcelamento!E:E,df_blueme_sem_parcelamento!H:H,Conciliacao!A630)*(-1)</f>
        <v/>
      </c>
      <c r="K630" s="4">
        <f>SUMIFS(df_blueme_com_parcelamento!J:J,df_blueme_com_parcelamento!M:M,Conciliacao!A630)*(-1)</f>
        <v/>
      </c>
      <c r="L630" s="4">
        <f>SUMIFS(df_mutuos!N:N,df_mutuos!B:B,Conciliacao!A630)*(-1)</f>
        <v/>
      </c>
      <c r="M630" s="8">
        <f>SUMIFS(df_bloqueios_judiciais!G:G,df_bloqueios_judiciais!D:D,Conciliacao!A630,df_bloqueios_judiciais!G:G,"&lt;0")</f>
        <v/>
      </c>
      <c r="N630" s="10">
        <f>SUMIFS(df_extratos!I:I,df_extratos!F:F,Conciliacao!BE630,df_extratos!G:G,"DEBITO")+SUMIFS(df_extratos!I:I,df_extratos!F:F,Conciliacao!A630,df_extratos!G:G,"DEBITO")+SUMIFS(df_extratos!I:I,df_extratos!F:F,Conciliacao!BF630,df_extratos!G:G,"DEBITO")+SUMIFS(df_extratos!I:I,df_extratos!F:F,Conciliacao!BG630,df_extratos!G:G,"DEBITO")+SUMIFS(df_extratos!I:I,df_extratos!F:F,Conciliacao!BH630,df_extratos!G:G,"DEBITO")</f>
        <v/>
      </c>
      <c r="O630" s="11">
        <f>N630-SUM(J630:M630)</f>
        <v/>
      </c>
      <c r="P630" s="25">
        <f>SUMIFS(df_ajustes_conciliaco!D:D,df_ajustes_conciliaco!C:C,Conciliacao!A630)</f>
        <v/>
      </c>
      <c r="Q630" s="22">
        <f>O630+I630-P630</f>
        <v/>
      </c>
    </row>
    <row r="631">
      <c r="A631" s="5">
        <f>A630+1</f>
        <v/>
      </c>
      <c r="B631" s="3">
        <f>-SUMIFS(df_extrato_zig!G:G,df_extrato_zig!E:E,Conciliacao!A631,df_extrato_zig!D:D,"Saque")-SUMIFS(df_extrato_zig!G:G,df_extrato_zig!E:E,Conciliacao!A631,df_extrato_zig!D:D,"Antecipação")</f>
        <v/>
      </c>
      <c r="C631" s="3">
        <f>SUMIFS(df_extrato_zig!E:E,df_extrato_zig!L:L,Conciliacao!A631,df_extrato_zig!F:F,"DINHEIRO")</f>
        <v/>
      </c>
      <c r="D631" s="3">
        <f>SUMIFS(view_parc_agrup!H:H,view_parc_agrup!G:G,Conciliacao!A631)</f>
        <v/>
      </c>
      <c r="E631" s="3">
        <f>SUMIFS(df_eventos!F:F,df_eventos!H:H,Conciliacao!A631)</f>
        <v/>
      </c>
      <c r="F631" s="3">
        <f>SUMIFS(df_mutuos!M:M,df_mutuos!B:B,Conciliacao!A631)</f>
        <v/>
      </c>
      <c r="G631" s="6">
        <f>SUMIFS(df_bloqueios_judiciais!G:G,df_bloqueios_judiciais!D:D,Conciliacao!A631,df_bloqueios_judiciais!G:G,"&gt;0")</f>
        <v/>
      </c>
      <c r="H631" s="7">
        <f>SUMIFS(df_extratos!I:I,df_extratos!F:F,Conciliacao!BE631,df_extratos!G:G,"CREDITO")+SUMIFS(df_extratos!I:I,df_extratos!F:F,Conciliacao!A631,df_extratos!G:G,"CREDITO")+SUMIFS(df_extratos!I:I,df_extratos!F:F,Conciliacao!BF631,df_extratos!G:G,"CREDITO")+SUMIFS(df_extratos!I:I,df_extratos!F:F,Conciliacao!BG631,df_extratos!G:G,"CREDITO")+SUMIFS(df_extratos!I:I,df_extratos!F:F,Conciliacao!BH631,df_extratos!G:G,"CREDITO")</f>
        <v/>
      </c>
      <c r="I631" s="9">
        <f>H631-SUM(B631:G631)</f>
        <v/>
      </c>
      <c r="J631" s="4">
        <f>SUMIFS(df_blueme_sem_parcelamento!E:E,df_blueme_sem_parcelamento!H:H,Conciliacao!A631)*(-1)</f>
        <v/>
      </c>
      <c r="K631" s="4">
        <f>SUMIFS(df_blueme_com_parcelamento!J:J,df_blueme_com_parcelamento!M:M,Conciliacao!A631)*(-1)</f>
        <v/>
      </c>
      <c r="L631" s="4">
        <f>SUMIFS(df_mutuos!N:N,df_mutuos!B:B,Conciliacao!A631)*(-1)</f>
        <v/>
      </c>
      <c r="M631" s="8">
        <f>SUMIFS(df_bloqueios_judiciais!G:G,df_bloqueios_judiciais!D:D,Conciliacao!A631,df_bloqueios_judiciais!G:G,"&lt;0")</f>
        <v/>
      </c>
      <c r="N631" s="10">
        <f>SUMIFS(df_extratos!I:I,df_extratos!F:F,Conciliacao!BE631,df_extratos!G:G,"DEBITO")+SUMIFS(df_extratos!I:I,df_extratos!F:F,Conciliacao!A631,df_extratos!G:G,"DEBITO")+SUMIFS(df_extratos!I:I,df_extratos!F:F,Conciliacao!BF631,df_extratos!G:G,"DEBITO")+SUMIFS(df_extratos!I:I,df_extratos!F:F,Conciliacao!BG631,df_extratos!G:G,"DEBITO")+SUMIFS(df_extratos!I:I,df_extratos!F:F,Conciliacao!BH631,df_extratos!G:G,"DEBITO")</f>
        <v/>
      </c>
      <c r="O631" s="11">
        <f>N631-SUM(J631:M631)</f>
        <v/>
      </c>
      <c r="P631" s="25">
        <f>SUMIFS(df_ajustes_conciliaco!D:D,df_ajustes_conciliaco!C:C,Conciliacao!A631)</f>
        <v/>
      </c>
      <c r="Q631" s="22">
        <f>O631+I631-P631</f>
        <v/>
      </c>
    </row>
    <row r="632">
      <c r="A632" s="5">
        <f>A631+1</f>
        <v/>
      </c>
      <c r="B632" s="3">
        <f>-SUMIFS(df_extrato_zig!G:G,df_extrato_zig!E:E,Conciliacao!A632,df_extrato_zig!D:D,"Saque")-SUMIFS(df_extrato_zig!G:G,df_extrato_zig!E:E,Conciliacao!A632,df_extrato_zig!D:D,"Antecipação")</f>
        <v/>
      </c>
      <c r="C632" s="3">
        <f>SUMIFS(df_extrato_zig!E:E,df_extrato_zig!L:L,Conciliacao!A632,df_extrato_zig!F:F,"DINHEIRO")</f>
        <v/>
      </c>
      <c r="D632" s="3">
        <f>SUMIFS(view_parc_agrup!H:H,view_parc_agrup!G:G,Conciliacao!A632)</f>
        <v/>
      </c>
      <c r="E632" s="3">
        <f>SUMIFS(df_eventos!F:F,df_eventos!H:H,Conciliacao!A632)</f>
        <v/>
      </c>
      <c r="F632" s="3">
        <f>SUMIFS(df_mutuos!M:M,df_mutuos!B:B,Conciliacao!A632)</f>
        <v/>
      </c>
      <c r="G632" s="6">
        <f>SUMIFS(df_bloqueios_judiciais!G:G,df_bloqueios_judiciais!D:D,Conciliacao!A632,df_bloqueios_judiciais!G:G,"&gt;0")</f>
        <v/>
      </c>
      <c r="H632" s="7">
        <f>SUMIFS(df_extratos!I:I,df_extratos!F:F,Conciliacao!BE632,df_extratos!G:G,"CREDITO")+SUMIFS(df_extratos!I:I,df_extratos!F:F,Conciliacao!A632,df_extratos!G:G,"CREDITO")+SUMIFS(df_extratos!I:I,df_extratos!F:F,Conciliacao!BF632,df_extratos!G:G,"CREDITO")+SUMIFS(df_extratos!I:I,df_extratos!F:F,Conciliacao!BG632,df_extratos!G:G,"CREDITO")+SUMIFS(df_extratos!I:I,df_extratos!F:F,Conciliacao!BH632,df_extratos!G:G,"CREDITO")</f>
        <v/>
      </c>
      <c r="I632" s="9">
        <f>H632-SUM(B632:G632)</f>
        <v/>
      </c>
      <c r="J632" s="4">
        <f>SUMIFS(df_blueme_sem_parcelamento!E:E,df_blueme_sem_parcelamento!H:H,Conciliacao!A632)*(-1)</f>
        <v/>
      </c>
      <c r="K632" s="4">
        <f>SUMIFS(df_blueme_com_parcelamento!J:J,df_blueme_com_parcelamento!M:M,Conciliacao!A632)*(-1)</f>
        <v/>
      </c>
      <c r="L632" s="4">
        <f>SUMIFS(df_mutuos!N:N,df_mutuos!B:B,Conciliacao!A632)*(-1)</f>
        <v/>
      </c>
      <c r="M632" s="8">
        <f>SUMIFS(df_bloqueios_judiciais!G:G,df_bloqueios_judiciais!D:D,Conciliacao!A632,df_bloqueios_judiciais!G:G,"&lt;0")</f>
        <v/>
      </c>
      <c r="N632" s="10">
        <f>SUMIFS(df_extratos!I:I,df_extratos!F:F,Conciliacao!BE632,df_extratos!G:G,"DEBITO")+SUMIFS(df_extratos!I:I,df_extratos!F:F,Conciliacao!A632,df_extratos!G:G,"DEBITO")+SUMIFS(df_extratos!I:I,df_extratos!F:F,Conciliacao!BF632,df_extratos!G:G,"DEBITO")+SUMIFS(df_extratos!I:I,df_extratos!F:F,Conciliacao!BG632,df_extratos!G:G,"DEBITO")+SUMIFS(df_extratos!I:I,df_extratos!F:F,Conciliacao!BH632,df_extratos!G:G,"DEBITO")</f>
        <v/>
      </c>
      <c r="O632" s="11">
        <f>N632-SUM(J632:M632)</f>
        <v/>
      </c>
      <c r="P632" s="25">
        <f>SUMIFS(df_ajustes_conciliaco!D:D,df_ajustes_conciliaco!C:C,Conciliacao!A632)</f>
        <v/>
      </c>
      <c r="Q632" s="22">
        <f>O632+I632-P632</f>
        <v/>
      </c>
    </row>
    <row r="633">
      <c r="A633" s="5">
        <f>A632+1</f>
        <v/>
      </c>
      <c r="B633" s="3">
        <f>-SUMIFS(df_extrato_zig!G:G,df_extrato_zig!E:E,Conciliacao!A633,df_extrato_zig!D:D,"Saque")-SUMIFS(df_extrato_zig!G:G,df_extrato_zig!E:E,Conciliacao!A633,df_extrato_zig!D:D,"Antecipação")</f>
        <v/>
      </c>
      <c r="C633" s="3">
        <f>SUMIFS(df_extrato_zig!E:E,df_extrato_zig!L:L,Conciliacao!A633,df_extrato_zig!F:F,"DINHEIRO")</f>
        <v/>
      </c>
      <c r="D633" s="3">
        <f>SUMIFS(view_parc_agrup!H:H,view_parc_agrup!G:G,Conciliacao!A633)</f>
        <v/>
      </c>
      <c r="E633" s="3">
        <f>SUMIFS(df_eventos!F:F,df_eventos!H:H,Conciliacao!A633)</f>
        <v/>
      </c>
      <c r="F633" s="3">
        <f>SUMIFS(df_mutuos!M:M,df_mutuos!B:B,Conciliacao!A633)</f>
        <v/>
      </c>
      <c r="G633" s="6">
        <f>SUMIFS(df_bloqueios_judiciais!G:G,df_bloqueios_judiciais!D:D,Conciliacao!A633,df_bloqueios_judiciais!G:G,"&gt;0")</f>
        <v/>
      </c>
      <c r="H633" s="7">
        <f>SUMIFS(df_extratos!I:I,df_extratos!F:F,Conciliacao!BE633,df_extratos!G:G,"CREDITO")+SUMIFS(df_extratos!I:I,df_extratos!F:F,Conciliacao!A633,df_extratos!G:G,"CREDITO")+SUMIFS(df_extratos!I:I,df_extratos!F:F,Conciliacao!BF633,df_extratos!G:G,"CREDITO")+SUMIFS(df_extratos!I:I,df_extratos!F:F,Conciliacao!BG633,df_extratos!G:G,"CREDITO")+SUMIFS(df_extratos!I:I,df_extratos!F:F,Conciliacao!BH633,df_extratos!G:G,"CREDITO")</f>
        <v/>
      </c>
      <c r="I633" s="9">
        <f>H633-SUM(B633:G633)</f>
        <v/>
      </c>
      <c r="J633" s="4">
        <f>SUMIFS(df_blueme_sem_parcelamento!E:E,df_blueme_sem_parcelamento!H:H,Conciliacao!A633)*(-1)</f>
        <v/>
      </c>
      <c r="K633" s="4">
        <f>SUMIFS(df_blueme_com_parcelamento!J:J,df_blueme_com_parcelamento!M:M,Conciliacao!A633)*(-1)</f>
        <v/>
      </c>
      <c r="L633" s="4">
        <f>SUMIFS(df_mutuos!N:N,df_mutuos!B:B,Conciliacao!A633)*(-1)</f>
        <v/>
      </c>
      <c r="M633" s="8">
        <f>SUMIFS(df_bloqueios_judiciais!G:G,df_bloqueios_judiciais!D:D,Conciliacao!A633,df_bloqueios_judiciais!G:G,"&lt;0")</f>
        <v/>
      </c>
      <c r="N633" s="10">
        <f>SUMIFS(df_extratos!I:I,df_extratos!F:F,Conciliacao!BE633,df_extratos!G:G,"DEBITO")+SUMIFS(df_extratos!I:I,df_extratos!F:F,Conciliacao!A633,df_extratos!G:G,"DEBITO")+SUMIFS(df_extratos!I:I,df_extratos!F:F,Conciliacao!BF633,df_extratos!G:G,"DEBITO")+SUMIFS(df_extratos!I:I,df_extratos!F:F,Conciliacao!BG633,df_extratos!G:G,"DEBITO")+SUMIFS(df_extratos!I:I,df_extratos!F:F,Conciliacao!BH633,df_extratos!G:G,"DEBITO")</f>
        <v/>
      </c>
      <c r="O633" s="11">
        <f>N633-SUM(J633:M633)</f>
        <v/>
      </c>
      <c r="P633" s="25">
        <f>SUMIFS(df_ajustes_conciliaco!D:D,df_ajustes_conciliaco!C:C,Conciliacao!A633)</f>
        <v/>
      </c>
      <c r="Q633" s="22">
        <f>O633+I633-P633</f>
        <v/>
      </c>
    </row>
    <row r="634">
      <c r="A634" s="5">
        <f>A633+1</f>
        <v/>
      </c>
      <c r="B634" s="3">
        <f>-SUMIFS(df_extrato_zig!G:G,df_extrato_zig!E:E,Conciliacao!A634,df_extrato_zig!D:D,"Saque")-SUMIFS(df_extrato_zig!G:G,df_extrato_zig!E:E,Conciliacao!A634,df_extrato_zig!D:D,"Antecipação")</f>
        <v/>
      </c>
      <c r="C634" s="3">
        <f>SUMIFS(df_extrato_zig!E:E,df_extrato_zig!L:L,Conciliacao!A634,df_extrato_zig!F:F,"DINHEIRO")</f>
        <v/>
      </c>
      <c r="D634" s="3">
        <f>SUMIFS(view_parc_agrup!H:H,view_parc_agrup!G:G,Conciliacao!A634)</f>
        <v/>
      </c>
      <c r="E634" s="3">
        <f>SUMIFS(df_eventos!F:F,df_eventos!H:H,Conciliacao!A634)</f>
        <v/>
      </c>
      <c r="F634" s="3">
        <f>SUMIFS(df_mutuos!M:M,df_mutuos!B:B,Conciliacao!A634)</f>
        <v/>
      </c>
      <c r="G634" s="6">
        <f>SUMIFS(df_bloqueios_judiciais!G:G,df_bloqueios_judiciais!D:D,Conciliacao!A634,df_bloqueios_judiciais!G:G,"&gt;0")</f>
        <v/>
      </c>
      <c r="H634" s="7">
        <f>SUMIFS(df_extratos!I:I,df_extratos!F:F,Conciliacao!BE634,df_extratos!G:G,"CREDITO")+SUMIFS(df_extratos!I:I,df_extratos!F:F,Conciliacao!A634,df_extratos!G:G,"CREDITO")+SUMIFS(df_extratos!I:I,df_extratos!F:F,Conciliacao!BF634,df_extratos!G:G,"CREDITO")+SUMIFS(df_extratos!I:I,df_extratos!F:F,Conciliacao!BG634,df_extratos!G:G,"CREDITO")+SUMIFS(df_extratos!I:I,df_extratos!F:F,Conciliacao!BH634,df_extratos!G:G,"CREDITO")</f>
        <v/>
      </c>
      <c r="I634" s="9">
        <f>H634-SUM(B634:G634)</f>
        <v/>
      </c>
      <c r="J634" s="4">
        <f>SUMIFS(df_blueme_sem_parcelamento!E:E,df_blueme_sem_parcelamento!H:H,Conciliacao!A634)*(-1)</f>
        <v/>
      </c>
      <c r="K634" s="4">
        <f>SUMIFS(df_blueme_com_parcelamento!J:J,df_blueme_com_parcelamento!M:M,Conciliacao!A634)*(-1)</f>
        <v/>
      </c>
      <c r="L634" s="4">
        <f>SUMIFS(df_mutuos!N:N,df_mutuos!B:B,Conciliacao!A634)*(-1)</f>
        <v/>
      </c>
      <c r="M634" s="8">
        <f>SUMIFS(df_bloqueios_judiciais!G:G,df_bloqueios_judiciais!D:D,Conciliacao!A634,df_bloqueios_judiciais!G:G,"&lt;0")</f>
        <v/>
      </c>
      <c r="N634" s="10">
        <f>SUMIFS(df_extratos!I:I,df_extratos!F:F,Conciliacao!BE634,df_extratos!G:G,"DEBITO")+SUMIFS(df_extratos!I:I,df_extratos!F:F,Conciliacao!A634,df_extratos!G:G,"DEBITO")+SUMIFS(df_extratos!I:I,df_extratos!F:F,Conciliacao!BF634,df_extratos!G:G,"DEBITO")+SUMIFS(df_extratos!I:I,df_extratos!F:F,Conciliacao!BG634,df_extratos!G:G,"DEBITO")+SUMIFS(df_extratos!I:I,df_extratos!F:F,Conciliacao!BH634,df_extratos!G:G,"DEBITO")</f>
        <v/>
      </c>
      <c r="O634" s="11">
        <f>N634-SUM(J634:M634)</f>
        <v/>
      </c>
      <c r="P634" s="25">
        <f>SUMIFS(df_ajustes_conciliaco!D:D,df_ajustes_conciliaco!C:C,Conciliacao!A634)</f>
        <v/>
      </c>
      <c r="Q634" s="22">
        <f>O634+I634-P634</f>
        <v/>
      </c>
    </row>
    <row r="635">
      <c r="A635" s="5">
        <f>A634+1</f>
        <v/>
      </c>
      <c r="B635" s="3">
        <f>-SUMIFS(df_extrato_zig!G:G,df_extrato_zig!E:E,Conciliacao!A635,df_extrato_zig!D:D,"Saque")-SUMIFS(df_extrato_zig!G:G,df_extrato_zig!E:E,Conciliacao!A635,df_extrato_zig!D:D,"Antecipação")</f>
        <v/>
      </c>
      <c r="C635" s="3">
        <f>SUMIFS(df_extrato_zig!E:E,df_extrato_zig!L:L,Conciliacao!A635,df_extrato_zig!F:F,"DINHEIRO")</f>
        <v/>
      </c>
      <c r="D635" s="3">
        <f>SUMIFS(view_parc_agrup!H:H,view_parc_agrup!G:G,Conciliacao!A635)</f>
        <v/>
      </c>
      <c r="E635" s="3">
        <f>SUMIFS(df_eventos!F:F,df_eventos!H:H,Conciliacao!A635)</f>
        <v/>
      </c>
      <c r="F635" s="3">
        <f>SUMIFS(df_mutuos!M:M,df_mutuos!B:B,Conciliacao!A635)</f>
        <v/>
      </c>
      <c r="G635" s="6">
        <f>SUMIFS(df_bloqueios_judiciais!G:G,df_bloqueios_judiciais!D:D,Conciliacao!A635,df_bloqueios_judiciais!G:G,"&gt;0")</f>
        <v/>
      </c>
      <c r="H635" s="7">
        <f>SUMIFS(df_extratos!I:I,df_extratos!F:F,Conciliacao!BE635,df_extratos!G:G,"CREDITO")+SUMIFS(df_extratos!I:I,df_extratos!F:F,Conciliacao!A635,df_extratos!G:G,"CREDITO")+SUMIFS(df_extratos!I:I,df_extratos!F:F,Conciliacao!BF635,df_extratos!G:G,"CREDITO")+SUMIFS(df_extratos!I:I,df_extratos!F:F,Conciliacao!BG635,df_extratos!G:G,"CREDITO")+SUMIFS(df_extratos!I:I,df_extratos!F:F,Conciliacao!BH635,df_extratos!G:G,"CREDITO")</f>
        <v/>
      </c>
      <c r="I635" s="9">
        <f>H635-SUM(B635:G635)</f>
        <v/>
      </c>
      <c r="J635" s="4">
        <f>SUMIFS(df_blueme_sem_parcelamento!E:E,df_blueme_sem_parcelamento!H:H,Conciliacao!A635)*(-1)</f>
        <v/>
      </c>
      <c r="K635" s="4">
        <f>SUMIFS(df_blueme_com_parcelamento!J:J,df_blueme_com_parcelamento!M:M,Conciliacao!A635)*(-1)</f>
        <v/>
      </c>
      <c r="L635" s="4">
        <f>SUMIFS(df_mutuos!N:N,df_mutuos!B:B,Conciliacao!A635)*(-1)</f>
        <v/>
      </c>
      <c r="M635" s="8">
        <f>SUMIFS(df_bloqueios_judiciais!G:G,df_bloqueios_judiciais!D:D,Conciliacao!A635,df_bloqueios_judiciais!G:G,"&lt;0")</f>
        <v/>
      </c>
      <c r="N635" s="10">
        <f>SUMIFS(df_extratos!I:I,df_extratos!F:F,Conciliacao!BE635,df_extratos!G:G,"DEBITO")+SUMIFS(df_extratos!I:I,df_extratos!F:F,Conciliacao!A635,df_extratos!G:G,"DEBITO")+SUMIFS(df_extratos!I:I,df_extratos!F:F,Conciliacao!BF635,df_extratos!G:G,"DEBITO")+SUMIFS(df_extratos!I:I,df_extratos!F:F,Conciliacao!BG635,df_extratos!G:G,"DEBITO")+SUMIFS(df_extratos!I:I,df_extratos!F:F,Conciliacao!BH635,df_extratos!G:G,"DEBITO")</f>
        <v/>
      </c>
      <c r="O635" s="11">
        <f>N635-SUM(J635:M635)</f>
        <v/>
      </c>
      <c r="P635" s="25">
        <f>SUMIFS(df_ajustes_conciliaco!D:D,df_ajustes_conciliaco!C:C,Conciliacao!A635)</f>
        <v/>
      </c>
      <c r="Q635" s="22">
        <f>O635+I635-P635</f>
        <v/>
      </c>
    </row>
    <row r="636">
      <c r="A636" s="5">
        <f>A635+1</f>
        <v/>
      </c>
      <c r="B636" s="3">
        <f>-SUMIFS(df_extrato_zig!G:G,df_extrato_zig!E:E,Conciliacao!A636,df_extrato_zig!D:D,"Saque")-SUMIFS(df_extrato_zig!G:G,df_extrato_zig!E:E,Conciliacao!A636,df_extrato_zig!D:D,"Antecipação")</f>
        <v/>
      </c>
      <c r="C636" s="3">
        <f>SUMIFS(df_extrato_zig!E:E,df_extrato_zig!L:L,Conciliacao!A636,df_extrato_zig!F:F,"DINHEIRO")</f>
        <v/>
      </c>
      <c r="D636" s="3">
        <f>SUMIFS(view_parc_agrup!H:H,view_parc_agrup!G:G,Conciliacao!A636)</f>
        <v/>
      </c>
      <c r="E636" s="3">
        <f>SUMIFS(df_eventos!F:F,df_eventos!H:H,Conciliacao!A636)</f>
        <v/>
      </c>
      <c r="F636" s="3">
        <f>SUMIFS(df_mutuos!M:M,df_mutuos!B:B,Conciliacao!A636)</f>
        <v/>
      </c>
      <c r="G636" s="6">
        <f>SUMIFS(df_bloqueios_judiciais!G:G,df_bloqueios_judiciais!D:D,Conciliacao!A636,df_bloqueios_judiciais!G:G,"&gt;0")</f>
        <v/>
      </c>
      <c r="H636" s="7">
        <f>SUMIFS(df_extratos!I:I,df_extratos!F:F,Conciliacao!BE636,df_extratos!G:G,"CREDITO")+SUMIFS(df_extratos!I:I,df_extratos!F:F,Conciliacao!A636,df_extratos!G:G,"CREDITO")+SUMIFS(df_extratos!I:I,df_extratos!F:F,Conciliacao!BF636,df_extratos!G:G,"CREDITO")+SUMIFS(df_extratos!I:I,df_extratos!F:F,Conciliacao!BG636,df_extratos!G:G,"CREDITO")+SUMIFS(df_extratos!I:I,df_extratos!F:F,Conciliacao!BH636,df_extratos!G:G,"CREDITO")</f>
        <v/>
      </c>
      <c r="I636" s="9">
        <f>H636-SUM(B636:G636)</f>
        <v/>
      </c>
      <c r="J636" s="4">
        <f>SUMIFS(df_blueme_sem_parcelamento!E:E,df_blueme_sem_parcelamento!H:H,Conciliacao!A636)*(-1)</f>
        <v/>
      </c>
      <c r="K636" s="4">
        <f>SUMIFS(df_blueme_com_parcelamento!J:J,df_blueme_com_parcelamento!M:M,Conciliacao!A636)*(-1)</f>
        <v/>
      </c>
      <c r="L636" s="4">
        <f>SUMIFS(df_mutuos!N:N,df_mutuos!B:B,Conciliacao!A636)*(-1)</f>
        <v/>
      </c>
      <c r="M636" s="8">
        <f>SUMIFS(df_bloqueios_judiciais!G:G,df_bloqueios_judiciais!D:D,Conciliacao!A636,df_bloqueios_judiciais!G:G,"&lt;0")</f>
        <v/>
      </c>
      <c r="N636" s="10">
        <f>SUMIFS(df_extratos!I:I,df_extratos!F:F,Conciliacao!BE636,df_extratos!G:G,"DEBITO")+SUMIFS(df_extratos!I:I,df_extratos!F:F,Conciliacao!A636,df_extratos!G:G,"DEBITO")+SUMIFS(df_extratos!I:I,df_extratos!F:F,Conciliacao!BF636,df_extratos!G:G,"DEBITO")+SUMIFS(df_extratos!I:I,df_extratos!F:F,Conciliacao!BG636,df_extratos!G:G,"DEBITO")+SUMIFS(df_extratos!I:I,df_extratos!F:F,Conciliacao!BH636,df_extratos!G:G,"DEBITO")</f>
        <v/>
      </c>
      <c r="O636" s="11">
        <f>N636-SUM(J636:M636)</f>
        <v/>
      </c>
      <c r="P636" s="25">
        <f>SUMIFS(df_ajustes_conciliaco!D:D,df_ajustes_conciliaco!C:C,Conciliacao!A636)</f>
        <v/>
      </c>
      <c r="Q636" s="22">
        <f>O636+I636-P636</f>
        <v/>
      </c>
    </row>
    <row r="637">
      <c r="A637" s="5">
        <f>A636+1</f>
        <v/>
      </c>
      <c r="B637" s="3">
        <f>-SUMIFS(df_extrato_zig!G:G,df_extrato_zig!E:E,Conciliacao!A637,df_extrato_zig!D:D,"Saque")-SUMIFS(df_extrato_zig!G:G,df_extrato_zig!E:E,Conciliacao!A637,df_extrato_zig!D:D,"Antecipação")</f>
        <v/>
      </c>
      <c r="C637" s="3">
        <f>SUMIFS(df_extrato_zig!E:E,df_extrato_zig!L:L,Conciliacao!A637,df_extrato_zig!F:F,"DINHEIRO")</f>
        <v/>
      </c>
      <c r="D637" s="3">
        <f>SUMIFS(view_parc_agrup!H:H,view_parc_agrup!G:G,Conciliacao!A637)</f>
        <v/>
      </c>
      <c r="E637" s="3">
        <f>SUMIFS(df_eventos!F:F,df_eventos!H:H,Conciliacao!A637)</f>
        <v/>
      </c>
      <c r="F637" s="3">
        <f>SUMIFS(df_mutuos!M:M,df_mutuos!B:B,Conciliacao!A637)</f>
        <v/>
      </c>
      <c r="G637" s="6">
        <f>SUMIFS(df_bloqueios_judiciais!G:G,df_bloqueios_judiciais!D:D,Conciliacao!A637,df_bloqueios_judiciais!G:G,"&gt;0")</f>
        <v/>
      </c>
      <c r="H637" s="7">
        <f>SUMIFS(df_extratos!I:I,df_extratos!F:F,Conciliacao!BE637,df_extratos!G:G,"CREDITO")+SUMIFS(df_extratos!I:I,df_extratos!F:F,Conciliacao!A637,df_extratos!G:G,"CREDITO")+SUMIFS(df_extratos!I:I,df_extratos!F:F,Conciliacao!BF637,df_extratos!G:G,"CREDITO")+SUMIFS(df_extratos!I:I,df_extratos!F:F,Conciliacao!BG637,df_extratos!G:G,"CREDITO")+SUMIFS(df_extratos!I:I,df_extratos!F:F,Conciliacao!BH637,df_extratos!G:G,"CREDITO")</f>
        <v/>
      </c>
      <c r="I637" s="9">
        <f>H637-SUM(B637:G637)</f>
        <v/>
      </c>
      <c r="J637" s="4">
        <f>SUMIFS(df_blueme_sem_parcelamento!E:E,df_blueme_sem_parcelamento!H:H,Conciliacao!A637)*(-1)</f>
        <v/>
      </c>
      <c r="K637" s="4">
        <f>SUMIFS(df_blueme_com_parcelamento!J:J,df_blueme_com_parcelamento!M:M,Conciliacao!A637)*(-1)</f>
        <v/>
      </c>
      <c r="L637" s="4">
        <f>SUMIFS(df_mutuos!N:N,df_mutuos!B:B,Conciliacao!A637)*(-1)</f>
        <v/>
      </c>
      <c r="M637" s="8">
        <f>SUMIFS(df_bloqueios_judiciais!G:G,df_bloqueios_judiciais!D:D,Conciliacao!A637,df_bloqueios_judiciais!G:G,"&lt;0")</f>
        <v/>
      </c>
      <c r="N637" s="10">
        <f>SUMIFS(df_extratos!I:I,df_extratos!F:F,Conciliacao!BE637,df_extratos!G:G,"DEBITO")+SUMIFS(df_extratos!I:I,df_extratos!F:F,Conciliacao!A637,df_extratos!G:G,"DEBITO")+SUMIFS(df_extratos!I:I,df_extratos!F:F,Conciliacao!BF637,df_extratos!G:G,"DEBITO")+SUMIFS(df_extratos!I:I,df_extratos!F:F,Conciliacao!BG637,df_extratos!G:G,"DEBITO")+SUMIFS(df_extratos!I:I,df_extratos!F:F,Conciliacao!BH637,df_extratos!G:G,"DEBITO")</f>
        <v/>
      </c>
      <c r="O637" s="11">
        <f>N637-SUM(J637:M637)</f>
        <v/>
      </c>
      <c r="P637" s="25">
        <f>SUMIFS(df_ajustes_conciliaco!D:D,df_ajustes_conciliaco!C:C,Conciliacao!A637)</f>
        <v/>
      </c>
      <c r="Q637" s="22">
        <f>O637+I637-P637</f>
        <v/>
      </c>
    </row>
    <row r="638">
      <c r="A638" s="5">
        <f>A637+1</f>
        <v/>
      </c>
      <c r="B638" s="3">
        <f>-SUMIFS(df_extrato_zig!G:G,df_extrato_zig!E:E,Conciliacao!A638,df_extrato_zig!D:D,"Saque")-SUMIFS(df_extrato_zig!G:G,df_extrato_zig!E:E,Conciliacao!A638,df_extrato_zig!D:D,"Antecipação")</f>
        <v/>
      </c>
      <c r="C638" s="3">
        <f>SUMIFS(df_extrato_zig!E:E,df_extrato_zig!L:L,Conciliacao!A638,df_extrato_zig!F:F,"DINHEIRO")</f>
        <v/>
      </c>
      <c r="D638" s="3">
        <f>SUMIFS(view_parc_agrup!H:H,view_parc_agrup!G:G,Conciliacao!A638)</f>
        <v/>
      </c>
      <c r="E638" s="3">
        <f>SUMIFS(df_eventos!F:F,df_eventos!H:H,Conciliacao!A638)</f>
        <v/>
      </c>
      <c r="F638" s="3">
        <f>SUMIFS(df_mutuos!M:M,df_mutuos!B:B,Conciliacao!A638)</f>
        <v/>
      </c>
      <c r="G638" s="6">
        <f>SUMIFS(df_bloqueios_judiciais!G:G,df_bloqueios_judiciais!D:D,Conciliacao!A638,df_bloqueios_judiciais!G:G,"&gt;0")</f>
        <v/>
      </c>
      <c r="H638" s="7">
        <f>SUMIFS(df_extratos!I:I,df_extratos!F:F,Conciliacao!BE638,df_extratos!G:G,"CREDITO")+SUMIFS(df_extratos!I:I,df_extratos!F:F,Conciliacao!A638,df_extratos!G:G,"CREDITO")+SUMIFS(df_extratos!I:I,df_extratos!F:F,Conciliacao!BF638,df_extratos!G:G,"CREDITO")+SUMIFS(df_extratos!I:I,df_extratos!F:F,Conciliacao!BG638,df_extratos!G:G,"CREDITO")+SUMIFS(df_extratos!I:I,df_extratos!F:F,Conciliacao!BH638,df_extratos!G:G,"CREDITO")</f>
        <v/>
      </c>
      <c r="I638" s="9">
        <f>H638-SUM(B638:G638)</f>
        <v/>
      </c>
      <c r="J638" s="4">
        <f>SUMIFS(df_blueme_sem_parcelamento!E:E,df_blueme_sem_parcelamento!H:H,Conciliacao!A638)*(-1)</f>
        <v/>
      </c>
      <c r="K638" s="4">
        <f>SUMIFS(df_blueme_com_parcelamento!J:J,df_blueme_com_parcelamento!M:M,Conciliacao!A638)*(-1)</f>
        <v/>
      </c>
      <c r="L638" s="4">
        <f>SUMIFS(df_mutuos!N:N,df_mutuos!B:B,Conciliacao!A638)*(-1)</f>
        <v/>
      </c>
      <c r="M638" s="8">
        <f>SUMIFS(df_bloqueios_judiciais!G:G,df_bloqueios_judiciais!D:D,Conciliacao!A638,df_bloqueios_judiciais!G:G,"&lt;0")</f>
        <v/>
      </c>
      <c r="N638" s="10">
        <f>SUMIFS(df_extratos!I:I,df_extratos!F:F,Conciliacao!BE638,df_extratos!G:G,"DEBITO")+SUMIFS(df_extratos!I:I,df_extratos!F:F,Conciliacao!A638,df_extratos!G:G,"DEBITO")+SUMIFS(df_extratos!I:I,df_extratos!F:F,Conciliacao!BF638,df_extratos!G:G,"DEBITO")+SUMIFS(df_extratos!I:I,df_extratos!F:F,Conciliacao!BG638,df_extratos!G:G,"DEBITO")+SUMIFS(df_extratos!I:I,df_extratos!F:F,Conciliacao!BH638,df_extratos!G:G,"DEBITO")</f>
        <v/>
      </c>
      <c r="O638" s="11">
        <f>N638-SUM(J638:M638)</f>
        <v/>
      </c>
      <c r="P638" s="25">
        <f>SUMIFS(df_ajustes_conciliaco!D:D,df_ajustes_conciliaco!C:C,Conciliacao!A638)</f>
        <v/>
      </c>
      <c r="Q638" s="22">
        <f>O638+I638-P638</f>
        <v/>
      </c>
    </row>
    <row r="639">
      <c r="A639" s="5">
        <f>A638+1</f>
        <v/>
      </c>
      <c r="B639" s="3">
        <f>-SUMIFS(df_extrato_zig!G:G,df_extrato_zig!E:E,Conciliacao!A639,df_extrato_zig!D:D,"Saque")-SUMIFS(df_extrato_zig!G:G,df_extrato_zig!E:E,Conciliacao!A639,df_extrato_zig!D:D,"Antecipação")</f>
        <v/>
      </c>
      <c r="C639" s="3">
        <f>SUMIFS(df_extrato_zig!E:E,df_extrato_zig!L:L,Conciliacao!A639,df_extrato_zig!F:F,"DINHEIRO")</f>
        <v/>
      </c>
      <c r="D639" s="3">
        <f>SUMIFS(view_parc_agrup!H:H,view_parc_agrup!G:G,Conciliacao!A639)</f>
        <v/>
      </c>
      <c r="E639" s="3">
        <f>SUMIFS(df_eventos!F:F,df_eventos!H:H,Conciliacao!A639)</f>
        <v/>
      </c>
      <c r="F639" s="3">
        <f>SUMIFS(df_mutuos!M:M,df_mutuos!B:B,Conciliacao!A639)</f>
        <v/>
      </c>
      <c r="G639" s="6">
        <f>SUMIFS(df_bloqueios_judiciais!G:G,df_bloqueios_judiciais!D:D,Conciliacao!A639,df_bloqueios_judiciais!G:G,"&gt;0")</f>
        <v/>
      </c>
      <c r="H639" s="7">
        <f>SUMIFS(df_extratos!I:I,df_extratos!F:F,Conciliacao!BE639,df_extratos!G:G,"CREDITO")+SUMIFS(df_extratos!I:I,df_extratos!F:F,Conciliacao!A639,df_extratos!G:G,"CREDITO")+SUMIFS(df_extratos!I:I,df_extratos!F:F,Conciliacao!BF639,df_extratos!G:G,"CREDITO")+SUMIFS(df_extratos!I:I,df_extratos!F:F,Conciliacao!BG639,df_extratos!G:G,"CREDITO")+SUMIFS(df_extratos!I:I,df_extratos!F:F,Conciliacao!BH639,df_extratos!G:G,"CREDITO")</f>
        <v/>
      </c>
      <c r="I639" s="9">
        <f>H639-SUM(B639:G639)</f>
        <v/>
      </c>
      <c r="J639" s="4">
        <f>SUMIFS(df_blueme_sem_parcelamento!E:E,df_blueme_sem_parcelamento!H:H,Conciliacao!A639)*(-1)</f>
        <v/>
      </c>
      <c r="K639" s="4">
        <f>SUMIFS(df_blueme_com_parcelamento!J:J,df_blueme_com_parcelamento!M:M,Conciliacao!A639)*(-1)</f>
        <v/>
      </c>
      <c r="L639" s="4">
        <f>SUMIFS(df_mutuos!N:N,df_mutuos!B:B,Conciliacao!A639)*(-1)</f>
        <v/>
      </c>
      <c r="M639" s="8">
        <f>SUMIFS(df_bloqueios_judiciais!G:G,df_bloqueios_judiciais!D:D,Conciliacao!A639,df_bloqueios_judiciais!G:G,"&lt;0")</f>
        <v/>
      </c>
      <c r="N639" s="10">
        <f>SUMIFS(df_extratos!I:I,df_extratos!F:F,Conciliacao!BE639,df_extratos!G:G,"DEBITO")+SUMIFS(df_extratos!I:I,df_extratos!F:F,Conciliacao!A639,df_extratos!G:G,"DEBITO")+SUMIFS(df_extratos!I:I,df_extratos!F:F,Conciliacao!BF639,df_extratos!G:G,"DEBITO")+SUMIFS(df_extratos!I:I,df_extratos!F:F,Conciliacao!BG639,df_extratos!G:G,"DEBITO")+SUMIFS(df_extratos!I:I,df_extratos!F:F,Conciliacao!BH639,df_extratos!G:G,"DEBITO")</f>
        <v/>
      </c>
      <c r="O639" s="11">
        <f>N639-SUM(J639:M639)</f>
        <v/>
      </c>
      <c r="P639" s="25">
        <f>SUMIFS(df_ajustes_conciliaco!D:D,df_ajustes_conciliaco!C:C,Conciliacao!A639)</f>
        <v/>
      </c>
      <c r="Q639" s="22">
        <f>O639+I639-P639</f>
        <v/>
      </c>
    </row>
    <row r="640">
      <c r="A640" s="5">
        <f>A639+1</f>
        <v/>
      </c>
      <c r="B640" s="3">
        <f>-SUMIFS(df_extrato_zig!G:G,df_extrato_zig!E:E,Conciliacao!A640,df_extrato_zig!D:D,"Saque")-SUMIFS(df_extrato_zig!G:G,df_extrato_zig!E:E,Conciliacao!A640,df_extrato_zig!D:D,"Antecipação")</f>
        <v/>
      </c>
      <c r="C640" s="3">
        <f>SUMIFS(df_extrato_zig!E:E,df_extrato_zig!L:L,Conciliacao!A640,df_extrato_zig!F:F,"DINHEIRO")</f>
        <v/>
      </c>
      <c r="D640" s="3">
        <f>SUMIFS(view_parc_agrup!H:H,view_parc_agrup!G:G,Conciliacao!A640)</f>
        <v/>
      </c>
      <c r="E640" s="3">
        <f>SUMIFS(df_eventos!F:F,df_eventos!H:H,Conciliacao!A640)</f>
        <v/>
      </c>
      <c r="F640" s="3">
        <f>SUMIFS(df_mutuos!M:M,df_mutuos!B:B,Conciliacao!A640)</f>
        <v/>
      </c>
      <c r="G640" s="6">
        <f>SUMIFS(df_bloqueios_judiciais!G:G,df_bloqueios_judiciais!D:D,Conciliacao!A640,df_bloqueios_judiciais!G:G,"&gt;0")</f>
        <v/>
      </c>
      <c r="H640" s="7">
        <f>SUMIFS(df_extratos!I:I,df_extratos!F:F,Conciliacao!BE640,df_extratos!G:G,"CREDITO")+SUMIFS(df_extratos!I:I,df_extratos!F:F,Conciliacao!A640,df_extratos!G:G,"CREDITO")+SUMIFS(df_extratos!I:I,df_extratos!F:F,Conciliacao!BF640,df_extratos!G:G,"CREDITO")+SUMIFS(df_extratos!I:I,df_extratos!F:F,Conciliacao!BG640,df_extratos!G:G,"CREDITO")+SUMIFS(df_extratos!I:I,df_extratos!F:F,Conciliacao!BH640,df_extratos!G:G,"CREDITO")</f>
        <v/>
      </c>
      <c r="I640" s="9">
        <f>H640-SUM(B640:G640)</f>
        <v/>
      </c>
      <c r="J640" s="4">
        <f>SUMIFS(df_blueme_sem_parcelamento!E:E,df_blueme_sem_parcelamento!H:H,Conciliacao!A640)*(-1)</f>
        <v/>
      </c>
      <c r="K640" s="4">
        <f>SUMIFS(df_blueme_com_parcelamento!J:J,df_blueme_com_parcelamento!M:M,Conciliacao!A640)*(-1)</f>
        <v/>
      </c>
      <c r="L640" s="4">
        <f>SUMIFS(df_mutuos!N:N,df_mutuos!B:B,Conciliacao!A640)*(-1)</f>
        <v/>
      </c>
      <c r="M640" s="8">
        <f>SUMIFS(df_bloqueios_judiciais!G:G,df_bloqueios_judiciais!D:D,Conciliacao!A640,df_bloqueios_judiciais!G:G,"&lt;0")</f>
        <v/>
      </c>
      <c r="N640" s="10">
        <f>SUMIFS(df_extratos!I:I,df_extratos!F:F,Conciliacao!BE640,df_extratos!G:G,"DEBITO")+SUMIFS(df_extratos!I:I,df_extratos!F:F,Conciliacao!A640,df_extratos!G:G,"DEBITO")+SUMIFS(df_extratos!I:I,df_extratos!F:F,Conciliacao!BF640,df_extratos!G:G,"DEBITO")+SUMIFS(df_extratos!I:I,df_extratos!F:F,Conciliacao!BG640,df_extratos!G:G,"DEBITO")+SUMIFS(df_extratos!I:I,df_extratos!F:F,Conciliacao!BH640,df_extratos!G:G,"DEBITO")</f>
        <v/>
      </c>
      <c r="O640" s="11">
        <f>N640-SUM(J640:M640)</f>
        <v/>
      </c>
      <c r="P640" s="25">
        <f>SUMIFS(df_ajustes_conciliaco!D:D,df_ajustes_conciliaco!C:C,Conciliacao!A640)</f>
        <v/>
      </c>
      <c r="Q640" s="22">
        <f>O640+I640-P640</f>
        <v/>
      </c>
    </row>
    <row r="641">
      <c r="A641" s="5">
        <f>A640+1</f>
        <v/>
      </c>
      <c r="B641" s="3">
        <f>-SUMIFS(df_extrato_zig!G:G,df_extrato_zig!E:E,Conciliacao!A641,df_extrato_zig!D:D,"Saque")-SUMIFS(df_extrato_zig!G:G,df_extrato_zig!E:E,Conciliacao!A641,df_extrato_zig!D:D,"Antecipação")</f>
        <v/>
      </c>
      <c r="C641" s="3">
        <f>SUMIFS(df_extrato_zig!E:E,df_extrato_zig!L:L,Conciliacao!A641,df_extrato_zig!F:F,"DINHEIRO")</f>
        <v/>
      </c>
      <c r="D641" s="3">
        <f>SUMIFS(view_parc_agrup!H:H,view_parc_agrup!G:G,Conciliacao!A641)</f>
        <v/>
      </c>
      <c r="E641" s="3">
        <f>SUMIFS(df_eventos!F:F,df_eventos!H:H,Conciliacao!A641)</f>
        <v/>
      </c>
      <c r="F641" s="3">
        <f>SUMIFS(df_mutuos!M:M,df_mutuos!B:B,Conciliacao!A641)</f>
        <v/>
      </c>
      <c r="G641" s="6">
        <f>SUMIFS(df_bloqueios_judiciais!G:G,df_bloqueios_judiciais!D:D,Conciliacao!A641,df_bloqueios_judiciais!G:G,"&gt;0")</f>
        <v/>
      </c>
      <c r="H641" s="7">
        <f>SUMIFS(df_extratos!I:I,df_extratos!F:F,Conciliacao!BE641,df_extratos!G:G,"CREDITO")+SUMIFS(df_extratos!I:I,df_extratos!F:F,Conciliacao!A641,df_extratos!G:G,"CREDITO")+SUMIFS(df_extratos!I:I,df_extratos!F:F,Conciliacao!BF641,df_extratos!G:G,"CREDITO")+SUMIFS(df_extratos!I:I,df_extratos!F:F,Conciliacao!BG641,df_extratos!G:G,"CREDITO")+SUMIFS(df_extratos!I:I,df_extratos!F:F,Conciliacao!BH641,df_extratos!G:G,"CREDITO")</f>
        <v/>
      </c>
      <c r="I641" s="9">
        <f>H641-SUM(B641:G641)</f>
        <v/>
      </c>
      <c r="J641" s="4">
        <f>SUMIFS(df_blueme_sem_parcelamento!E:E,df_blueme_sem_parcelamento!H:H,Conciliacao!A641)*(-1)</f>
        <v/>
      </c>
      <c r="K641" s="4">
        <f>SUMIFS(df_blueme_com_parcelamento!J:J,df_blueme_com_parcelamento!M:M,Conciliacao!A641)*(-1)</f>
        <v/>
      </c>
      <c r="L641" s="4">
        <f>SUMIFS(df_mutuos!N:N,df_mutuos!B:B,Conciliacao!A641)*(-1)</f>
        <v/>
      </c>
      <c r="M641" s="8">
        <f>SUMIFS(df_bloqueios_judiciais!G:G,df_bloqueios_judiciais!D:D,Conciliacao!A641,df_bloqueios_judiciais!G:G,"&lt;0")</f>
        <v/>
      </c>
      <c r="N641" s="10">
        <f>SUMIFS(df_extratos!I:I,df_extratos!F:F,Conciliacao!BE641,df_extratos!G:G,"DEBITO")+SUMIFS(df_extratos!I:I,df_extratos!F:F,Conciliacao!A641,df_extratos!G:G,"DEBITO")+SUMIFS(df_extratos!I:I,df_extratos!F:F,Conciliacao!BF641,df_extratos!G:G,"DEBITO")+SUMIFS(df_extratos!I:I,df_extratos!F:F,Conciliacao!BG641,df_extratos!G:G,"DEBITO")+SUMIFS(df_extratos!I:I,df_extratos!F:F,Conciliacao!BH641,df_extratos!G:G,"DEBITO")</f>
        <v/>
      </c>
      <c r="O641" s="11">
        <f>N641-SUM(J641:M641)</f>
        <v/>
      </c>
      <c r="P641" s="25">
        <f>SUMIFS(df_ajustes_conciliaco!D:D,df_ajustes_conciliaco!C:C,Conciliacao!A641)</f>
        <v/>
      </c>
      <c r="Q641" s="22">
        <f>O641+I641-P641</f>
        <v/>
      </c>
    </row>
    <row r="642">
      <c r="A642" s="5">
        <f>A641+1</f>
        <v/>
      </c>
      <c r="B642" s="3">
        <f>-SUMIFS(df_extrato_zig!G:G,df_extrato_zig!E:E,Conciliacao!A642,df_extrato_zig!D:D,"Saque")-SUMIFS(df_extrato_zig!G:G,df_extrato_zig!E:E,Conciliacao!A642,df_extrato_zig!D:D,"Antecipação")</f>
        <v/>
      </c>
      <c r="C642" s="3">
        <f>SUMIFS(df_extrato_zig!E:E,df_extrato_zig!L:L,Conciliacao!A642,df_extrato_zig!F:F,"DINHEIRO")</f>
        <v/>
      </c>
      <c r="D642" s="3">
        <f>SUMIFS(view_parc_agrup!H:H,view_parc_agrup!G:G,Conciliacao!A642)</f>
        <v/>
      </c>
      <c r="E642" s="3">
        <f>SUMIFS(df_eventos!F:F,df_eventos!H:H,Conciliacao!A642)</f>
        <v/>
      </c>
      <c r="F642" s="3">
        <f>SUMIFS(df_mutuos!M:M,df_mutuos!B:B,Conciliacao!A642)</f>
        <v/>
      </c>
      <c r="G642" s="6">
        <f>SUMIFS(df_bloqueios_judiciais!G:G,df_bloqueios_judiciais!D:D,Conciliacao!A642,df_bloqueios_judiciais!G:G,"&gt;0")</f>
        <v/>
      </c>
      <c r="H642" s="7">
        <f>SUMIFS(df_extratos!I:I,df_extratos!F:F,Conciliacao!BE642,df_extratos!G:G,"CREDITO")+SUMIFS(df_extratos!I:I,df_extratos!F:F,Conciliacao!A642,df_extratos!G:G,"CREDITO")+SUMIFS(df_extratos!I:I,df_extratos!F:F,Conciliacao!BF642,df_extratos!G:G,"CREDITO")+SUMIFS(df_extratos!I:I,df_extratos!F:F,Conciliacao!BG642,df_extratos!G:G,"CREDITO")+SUMIFS(df_extratos!I:I,df_extratos!F:F,Conciliacao!BH642,df_extratos!G:G,"CREDITO")</f>
        <v/>
      </c>
      <c r="I642" s="9">
        <f>H642-SUM(B642:G642)</f>
        <v/>
      </c>
      <c r="J642" s="4">
        <f>SUMIFS(df_blueme_sem_parcelamento!E:E,df_blueme_sem_parcelamento!H:H,Conciliacao!A642)*(-1)</f>
        <v/>
      </c>
      <c r="K642" s="4">
        <f>SUMIFS(df_blueme_com_parcelamento!J:J,df_blueme_com_parcelamento!M:M,Conciliacao!A642)*(-1)</f>
        <v/>
      </c>
      <c r="L642" s="4">
        <f>SUMIFS(df_mutuos!N:N,df_mutuos!B:B,Conciliacao!A642)*(-1)</f>
        <v/>
      </c>
      <c r="M642" s="8">
        <f>SUMIFS(df_bloqueios_judiciais!G:G,df_bloqueios_judiciais!D:D,Conciliacao!A642,df_bloqueios_judiciais!G:G,"&lt;0")</f>
        <v/>
      </c>
      <c r="N642" s="10">
        <f>SUMIFS(df_extratos!I:I,df_extratos!F:F,Conciliacao!BE642,df_extratos!G:G,"DEBITO")+SUMIFS(df_extratos!I:I,df_extratos!F:F,Conciliacao!A642,df_extratos!G:G,"DEBITO")+SUMIFS(df_extratos!I:I,df_extratos!F:F,Conciliacao!BF642,df_extratos!G:G,"DEBITO")+SUMIFS(df_extratos!I:I,df_extratos!F:F,Conciliacao!BG642,df_extratos!G:G,"DEBITO")+SUMIFS(df_extratos!I:I,df_extratos!F:F,Conciliacao!BH642,df_extratos!G:G,"DEBITO")</f>
        <v/>
      </c>
      <c r="O642" s="11">
        <f>N642-SUM(J642:M642)</f>
        <v/>
      </c>
      <c r="P642" s="25">
        <f>SUMIFS(df_ajustes_conciliaco!D:D,df_ajustes_conciliaco!C:C,Conciliacao!A642)</f>
        <v/>
      </c>
      <c r="Q642" s="22">
        <f>O642+I642-P642</f>
        <v/>
      </c>
    </row>
    <row r="643">
      <c r="A643" s="5">
        <f>A642+1</f>
        <v/>
      </c>
      <c r="B643" s="3">
        <f>-SUMIFS(df_extrato_zig!G:G,df_extrato_zig!E:E,Conciliacao!A643,df_extrato_zig!D:D,"Saque")-SUMIFS(df_extrato_zig!G:G,df_extrato_zig!E:E,Conciliacao!A643,df_extrato_zig!D:D,"Antecipação")</f>
        <v/>
      </c>
      <c r="C643" s="3">
        <f>SUMIFS(df_extrato_zig!E:E,df_extrato_zig!L:L,Conciliacao!A643,df_extrato_zig!F:F,"DINHEIRO")</f>
        <v/>
      </c>
      <c r="D643" s="3">
        <f>SUMIFS(view_parc_agrup!H:H,view_parc_agrup!G:G,Conciliacao!A643)</f>
        <v/>
      </c>
      <c r="E643" s="3">
        <f>SUMIFS(df_eventos!F:F,df_eventos!H:H,Conciliacao!A643)</f>
        <v/>
      </c>
      <c r="F643" s="3">
        <f>SUMIFS(df_mutuos!M:M,df_mutuos!B:B,Conciliacao!A643)</f>
        <v/>
      </c>
      <c r="G643" s="6">
        <f>SUMIFS(df_bloqueios_judiciais!G:G,df_bloqueios_judiciais!D:D,Conciliacao!A643,df_bloqueios_judiciais!G:G,"&gt;0")</f>
        <v/>
      </c>
      <c r="H643" s="7">
        <f>SUMIFS(df_extratos!I:I,df_extratos!F:F,Conciliacao!BE643,df_extratos!G:G,"CREDITO")+SUMIFS(df_extratos!I:I,df_extratos!F:F,Conciliacao!A643,df_extratos!G:G,"CREDITO")+SUMIFS(df_extratos!I:I,df_extratos!F:F,Conciliacao!BF643,df_extratos!G:G,"CREDITO")+SUMIFS(df_extratos!I:I,df_extratos!F:F,Conciliacao!BG643,df_extratos!G:G,"CREDITO")+SUMIFS(df_extratos!I:I,df_extratos!F:F,Conciliacao!BH643,df_extratos!G:G,"CREDITO")</f>
        <v/>
      </c>
      <c r="I643" s="9">
        <f>H643-SUM(B643:G643)</f>
        <v/>
      </c>
      <c r="J643" s="4">
        <f>SUMIFS(df_blueme_sem_parcelamento!E:E,df_blueme_sem_parcelamento!H:H,Conciliacao!A643)*(-1)</f>
        <v/>
      </c>
      <c r="K643" s="4">
        <f>SUMIFS(df_blueme_com_parcelamento!J:J,df_blueme_com_parcelamento!M:M,Conciliacao!A643)*(-1)</f>
        <v/>
      </c>
      <c r="L643" s="4">
        <f>SUMIFS(df_mutuos!N:N,df_mutuos!B:B,Conciliacao!A643)*(-1)</f>
        <v/>
      </c>
      <c r="M643" s="8">
        <f>SUMIFS(df_bloqueios_judiciais!G:G,df_bloqueios_judiciais!D:D,Conciliacao!A643,df_bloqueios_judiciais!G:G,"&lt;0")</f>
        <v/>
      </c>
      <c r="N643" s="10">
        <f>SUMIFS(df_extratos!I:I,df_extratos!F:F,Conciliacao!BE643,df_extratos!G:G,"DEBITO")+SUMIFS(df_extratos!I:I,df_extratos!F:F,Conciliacao!A643,df_extratos!G:G,"DEBITO")+SUMIFS(df_extratos!I:I,df_extratos!F:F,Conciliacao!BF643,df_extratos!G:G,"DEBITO")+SUMIFS(df_extratos!I:I,df_extratos!F:F,Conciliacao!BG643,df_extratos!G:G,"DEBITO")+SUMIFS(df_extratos!I:I,df_extratos!F:F,Conciliacao!BH643,df_extratos!G:G,"DEBITO")</f>
        <v/>
      </c>
      <c r="O643" s="11">
        <f>N643-SUM(J643:M643)</f>
        <v/>
      </c>
      <c r="P643" s="25">
        <f>SUMIFS(df_ajustes_conciliaco!D:D,df_ajustes_conciliaco!C:C,Conciliacao!A643)</f>
        <v/>
      </c>
      <c r="Q643" s="22">
        <f>O643+I643-P643</f>
        <v/>
      </c>
    </row>
    <row r="644">
      <c r="A644" s="5">
        <f>A643+1</f>
        <v/>
      </c>
      <c r="B644" s="3">
        <f>-SUMIFS(df_extrato_zig!G:G,df_extrato_zig!E:E,Conciliacao!A644,df_extrato_zig!D:D,"Saque")-SUMIFS(df_extrato_zig!G:G,df_extrato_zig!E:E,Conciliacao!A644,df_extrato_zig!D:D,"Antecipação")</f>
        <v/>
      </c>
      <c r="C644" s="3">
        <f>SUMIFS(df_extrato_zig!E:E,df_extrato_zig!L:L,Conciliacao!A644,df_extrato_zig!F:F,"DINHEIRO")</f>
        <v/>
      </c>
      <c r="D644" s="3">
        <f>SUMIFS(view_parc_agrup!H:H,view_parc_agrup!G:G,Conciliacao!A644)</f>
        <v/>
      </c>
      <c r="E644" s="3">
        <f>SUMIFS(df_eventos!F:F,df_eventos!H:H,Conciliacao!A644)</f>
        <v/>
      </c>
      <c r="F644" s="3">
        <f>SUMIFS(df_mutuos!M:M,df_mutuos!B:B,Conciliacao!A644)</f>
        <v/>
      </c>
      <c r="G644" s="6">
        <f>SUMIFS(df_bloqueios_judiciais!G:G,df_bloqueios_judiciais!D:D,Conciliacao!A644,df_bloqueios_judiciais!G:G,"&gt;0")</f>
        <v/>
      </c>
      <c r="H644" s="7">
        <f>SUMIFS(df_extratos!I:I,df_extratos!F:F,Conciliacao!BE644,df_extratos!G:G,"CREDITO")+SUMIFS(df_extratos!I:I,df_extratos!F:F,Conciliacao!A644,df_extratos!G:G,"CREDITO")+SUMIFS(df_extratos!I:I,df_extratos!F:F,Conciliacao!BF644,df_extratos!G:G,"CREDITO")+SUMIFS(df_extratos!I:I,df_extratos!F:F,Conciliacao!BG644,df_extratos!G:G,"CREDITO")+SUMIFS(df_extratos!I:I,df_extratos!F:F,Conciliacao!BH644,df_extratos!G:G,"CREDITO")</f>
        <v/>
      </c>
      <c r="I644" s="9">
        <f>H644-SUM(B644:G644)</f>
        <v/>
      </c>
      <c r="J644" s="4">
        <f>SUMIFS(df_blueme_sem_parcelamento!E:E,df_blueme_sem_parcelamento!H:H,Conciliacao!A644)*(-1)</f>
        <v/>
      </c>
      <c r="K644" s="4">
        <f>SUMIFS(df_blueme_com_parcelamento!J:J,df_blueme_com_parcelamento!M:M,Conciliacao!A644)*(-1)</f>
        <v/>
      </c>
      <c r="L644" s="4">
        <f>SUMIFS(df_mutuos!N:N,df_mutuos!B:B,Conciliacao!A644)*(-1)</f>
        <v/>
      </c>
      <c r="M644" s="8">
        <f>SUMIFS(df_bloqueios_judiciais!G:G,df_bloqueios_judiciais!D:D,Conciliacao!A644,df_bloqueios_judiciais!G:G,"&lt;0")</f>
        <v/>
      </c>
      <c r="N644" s="10">
        <f>SUMIFS(df_extratos!I:I,df_extratos!F:F,Conciliacao!BE644,df_extratos!G:G,"DEBITO")+SUMIFS(df_extratos!I:I,df_extratos!F:F,Conciliacao!A644,df_extratos!G:G,"DEBITO")+SUMIFS(df_extratos!I:I,df_extratos!F:F,Conciliacao!BF644,df_extratos!G:G,"DEBITO")+SUMIFS(df_extratos!I:I,df_extratos!F:F,Conciliacao!BG644,df_extratos!G:G,"DEBITO")+SUMIFS(df_extratos!I:I,df_extratos!F:F,Conciliacao!BH644,df_extratos!G:G,"DEBITO")</f>
        <v/>
      </c>
      <c r="O644" s="11">
        <f>N644-SUM(J644:M644)</f>
        <v/>
      </c>
      <c r="P644" s="25">
        <f>SUMIFS(df_ajustes_conciliaco!D:D,df_ajustes_conciliaco!C:C,Conciliacao!A644)</f>
        <v/>
      </c>
      <c r="Q644" s="22">
        <f>O644+I644-P644</f>
        <v/>
      </c>
    </row>
    <row r="645">
      <c r="A645" s="5">
        <f>A644+1</f>
        <v/>
      </c>
      <c r="B645" s="3">
        <f>-SUMIFS(df_extrato_zig!G:G,df_extrato_zig!E:E,Conciliacao!A645,df_extrato_zig!D:D,"Saque")-SUMIFS(df_extrato_zig!G:G,df_extrato_zig!E:E,Conciliacao!A645,df_extrato_zig!D:D,"Antecipação")</f>
        <v/>
      </c>
      <c r="C645" s="3">
        <f>SUMIFS(df_extrato_zig!E:E,df_extrato_zig!L:L,Conciliacao!A645,df_extrato_zig!F:F,"DINHEIRO")</f>
        <v/>
      </c>
      <c r="D645" s="3">
        <f>SUMIFS(view_parc_agrup!H:H,view_parc_agrup!G:G,Conciliacao!A645)</f>
        <v/>
      </c>
      <c r="E645" s="3">
        <f>SUMIFS(df_eventos!F:F,df_eventos!H:H,Conciliacao!A645)</f>
        <v/>
      </c>
      <c r="F645" s="3">
        <f>SUMIFS(df_mutuos!M:M,df_mutuos!B:B,Conciliacao!A645)</f>
        <v/>
      </c>
      <c r="G645" s="6">
        <f>SUMIFS(df_bloqueios_judiciais!G:G,df_bloqueios_judiciais!D:D,Conciliacao!A645,df_bloqueios_judiciais!G:G,"&gt;0")</f>
        <v/>
      </c>
      <c r="H645" s="7">
        <f>SUMIFS(df_extratos!I:I,df_extratos!F:F,Conciliacao!BE645,df_extratos!G:G,"CREDITO")+SUMIFS(df_extratos!I:I,df_extratos!F:F,Conciliacao!A645,df_extratos!G:G,"CREDITO")+SUMIFS(df_extratos!I:I,df_extratos!F:F,Conciliacao!BF645,df_extratos!G:G,"CREDITO")+SUMIFS(df_extratos!I:I,df_extratos!F:F,Conciliacao!BG645,df_extratos!G:G,"CREDITO")+SUMIFS(df_extratos!I:I,df_extratos!F:F,Conciliacao!BH645,df_extratos!G:G,"CREDITO")</f>
        <v/>
      </c>
      <c r="I645" s="9">
        <f>H645-SUM(B645:G645)</f>
        <v/>
      </c>
      <c r="J645" s="4">
        <f>SUMIFS(df_blueme_sem_parcelamento!E:E,df_blueme_sem_parcelamento!H:H,Conciliacao!A645)*(-1)</f>
        <v/>
      </c>
      <c r="K645" s="4">
        <f>SUMIFS(df_blueme_com_parcelamento!J:J,df_blueme_com_parcelamento!M:M,Conciliacao!A645)*(-1)</f>
        <v/>
      </c>
      <c r="L645" s="4">
        <f>SUMIFS(df_mutuos!N:N,df_mutuos!B:B,Conciliacao!A645)*(-1)</f>
        <v/>
      </c>
      <c r="M645" s="8">
        <f>SUMIFS(df_bloqueios_judiciais!G:G,df_bloqueios_judiciais!D:D,Conciliacao!A645,df_bloqueios_judiciais!G:G,"&lt;0")</f>
        <v/>
      </c>
      <c r="N645" s="10">
        <f>SUMIFS(df_extratos!I:I,df_extratos!F:F,Conciliacao!BE645,df_extratos!G:G,"DEBITO")+SUMIFS(df_extratos!I:I,df_extratos!F:F,Conciliacao!A645,df_extratos!G:G,"DEBITO")+SUMIFS(df_extratos!I:I,df_extratos!F:F,Conciliacao!BF645,df_extratos!G:G,"DEBITO")+SUMIFS(df_extratos!I:I,df_extratos!F:F,Conciliacao!BG645,df_extratos!G:G,"DEBITO")+SUMIFS(df_extratos!I:I,df_extratos!F:F,Conciliacao!BH645,df_extratos!G:G,"DEBITO")</f>
        <v/>
      </c>
      <c r="O645" s="11">
        <f>N645-SUM(J645:M645)</f>
        <v/>
      </c>
      <c r="P645" s="25">
        <f>SUMIFS(df_ajustes_conciliaco!D:D,df_ajustes_conciliaco!C:C,Conciliacao!A645)</f>
        <v/>
      </c>
      <c r="Q645" s="22">
        <f>O645+I645-P645</f>
        <v/>
      </c>
    </row>
    <row r="646">
      <c r="A646" s="5">
        <f>A645+1</f>
        <v/>
      </c>
      <c r="B646" s="3">
        <f>-SUMIFS(df_extrato_zig!G:G,df_extrato_zig!E:E,Conciliacao!A646,df_extrato_zig!D:D,"Saque")-SUMIFS(df_extrato_zig!G:G,df_extrato_zig!E:E,Conciliacao!A646,df_extrato_zig!D:D,"Antecipação")</f>
        <v/>
      </c>
      <c r="C646" s="3">
        <f>SUMIFS(df_extrato_zig!E:E,df_extrato_zig!L:L,Conciliacao!A646,df_extrato_zig!F:F,"DINHEIRO")</f>
        <v/>
      </c>
      <c r="D646" s="3">
        <f>SUMIFS(view_parc_agrup!H:H,view_parc_agrup!G:G,Conciliacao!A646)</f>
        <v/>
      </c>
      <c r="E646" s="3">
        <f>SUMIFS(df_eventos!F:F,df_eventos!H:H,Conciliacao!A646)</f>
        <v/>
      </c>
      <c r="F646" s="3">
        <f>SUMIFS(df_mutuos!M:M,df_mutuos!B:B,Conciliacao!A646)</f>
        <v/>
      </c>
      <c r="G646" s="6">
        <f>SUMIFS(df_bloqueios_judiciais!G:G,df_bloqueios_judiciais!D:D,Conciliacao!A646,df_bloqueios_judiciais!G:G,"&gt;0")</f>
        <v/>
      </c>
      <c r="H646" s="7">
        <f>SUMIFS(df_extratos!I:I,df_extratos!F:F,Conciliacao!BE646,df_extratos!G:G,"CREDITO")+SUMIFS(df_extratos!I:I,df_extratos!F:F,Conciliacao!A646,df_extratos!G:G,"CREDITO")+SUMIFS(df_extratos!I:I,df_extratos!F:F,Conciliacao!BF646,df_extratos!G:G,"CREDITO")+SUMIFS(df_extratos!I:I,df_extratos!F:F,Conciliacao!BG646,df_extratos!G:G,"CREDITO")+SUMIFS(df_extratos!I:I,df_extratos!F:F,Conciliacao!BH646,df_extratos!G:G,"CREDITO")</f>
        <v/>
      </c>
      <c r="I646" s="9">
        <f>H646-SUM(B646:G646)</f>
        <v/>
      </c>
      <c r="J646" s="4">
        <f>SUMIFS(df_blueme_sem_parcelamento!E:E,df_blueme_sem_parcelamento!H:H,Conciliacao!A646)*(-1)</f>
        <v/>
      </c>
      <c r="K646" s="4">
        <f>SUMIFS(df_blueme_com_parcelamento!J:J,df_blueme_com_parcelamento!M:M,Conciliacao!A646)*(-1)</f>
        <v/>
      </c>
      <c r="L646" s="4">
        <f>SUMIFS(df_mutuos!N:N,df_mutuos!B:B,Conciliacao!A646)*(-1)</f>
        <v/>
      </c>
      <c r="M646" s="8">
        <f>SUMIFS(df_bloqueios_judiciais!G:G,df_bloqueios_judiciais!D:D,Conciliacao!A646,df_bloqueios_judiciais!G:G,"&lt;0")</f>
        <v/>
      </c>
      <c r="N646" s="10">
        <f>SUMIFS(df_extratos!I:I,df_extratos!F:F,Conciliacao!BE646,df_extratos!G:G,"DEBITO")+SUMIFS(df_extratos!I:I,df_extratos!F:F,Conciliacao!A646,df_extratos!G:G,"DEBITO")+SUMIFS(df_extratos!I:I,df_extratos!F:F,Conciliacao!BF646,df_extratos!G:G,"DEBITO")+SUMIFS(df_extratos!I:I,df_extratos!F:F,Conciliacao!BG646,df_extratos!G:G,"DEBITO")+SUMIFS(df_extratos!I:I,df_extratos!F:F,Conciliacao!BH646,df_extratos!G:G,"DEBITO")</f>
        <v/>
      </c>
      <c r="O646" s="11">
        <f>N646-SUM(J646:M646)</f>
        <v/>
      </c>
      <c r="P646" s="25">
        <f>SUMIFS(df_ajustes_conciliaco!D:D,df_ajustes_conciliaco!C:C,Conciliacao!A646)</f>
        <v/>
      </c>
      <c r="Q646" s="22">
        <f>O646+I646-P646</f>
        <v/>
      </c>
    </row>
    <row r="647">
      <c r="A647" s="5">
        <f>A646+1</f>
        <v/>
      </c>
      <c r="B647" s="3">
        <f>-SUMIFS(df_extrato_zig!G:G,df_extrato_zig!E:E,Conciliacao!A647,df_extrato_zig!D:D,"Saque")-SUMIFS(df_extrato_zig!G:G,df_extrato_zig!E:E,Conciliacao!A647,df_extrato_zig!D:D,"Antecipação")</f>
        <v/>
      </c>
      <c r="C647" s="3">
        <f>SUMIFS(df_extrato_zig!E:E,df_extrato_zig!L:L,Conciliacao!A647,df_extrato_zig!F:F,"DINHEIRO")</f>
        <v/>
      </c>
      <c r="D647" s="3">
        <f>SUMIFS(view_parc_agrup!H:H,view_parc_agrup!G:G,Conciliacao!A647)</f>
        <v/>
      </c>
      <c r="E647" s="3">
        <f>SUMIFS(df_eventos!F:F,df_eventos!H:H,Conciliacao!A647)</f>
        <v/>
      </c>
      <c r="F647" s="3">
        <f>SUMIFS(df_mutuos!M:M,df_mutuos!B:B,Conciliacao!A647)</f>
        <v/>
      </c>
      <c r="G647" s="6">
        <f>SUMIFS(df_bloqueios_judiciais!G:G,df_bloqueios_judiciais!D:D,Conciliacao!A647,df_bloqueios_judiciais!G:G,"&gt;0")</f>
        <v/>
      </c>
      <c r="H647" s="7">
        <f>SUMIFS(df_extratos!I:I,df_extratos!F:F,Conciliacao!BE647,df_extratos!G:G,"CREDITO")+SUMIFS(df_extratos!I:I,df_extratos!F:F,Conciliacao!A647,df_extratos!G:G,"CREDITO")+SUMIFS(df_extratos!I:I,df_extratos!F:F,Conciliacao!BF647,df_extratos!G:G,"CREDITO")+SUMIFS(df_extratos!I:I,df_extratos!F:F,Conciliacao!BG647,df_extratos!G:G,"CREDITO")+SUMIFS(df_extratos!I:I,df_extratos!F:F,Conciliacao!BH647,df_extratos!G:G,"CREDITO")</f>
        <v/>
      </c>
      <c r="I647" s="9">
        <f>H647-SUM(B647:G647)</f>
        <v/>
      </c>
      <c r="J647" s="4">
        <f>SUMIFS(df_blueme_sem_parcelamento!E:E,df_blueme_sem_parcelamento!H:H,Conciliacao!A647)*(-1)</f>
        <v/>
      </c>
      <c r="K647" s="4">
        <f>SUMIFS(df_blueme_com_parcelamento!J:J,df_blueme_com_parcelamento!M:M,Conciliacao!A647)*(-1)</f>
        <v/>
      </c>
      <c r="L647" s="4">
        <f>SUMIFS(df_mutuos!N:N,df_mutuos!B:B,Conciliacao!A647)*(-1)</f>
        <v/>
      </c>
      <c r="M647" s="8">
        <f>SUMIFS(df_bloqueios_judiciais!G:G,df_bloqueios_judiciais!D:D,Conciliacao!A647,df_bloqueios_judiciais!G:G,"&lt;0")</f>
        <v/>
      </c>
      <c r="N647" s="10">
        <f>SUMIFS(df_extratos!I:I,df_extratos!F:F,Conciliacao!BE647,df_extratos!G:G,"DEBITO")+SUMIFS(df_extratos!I:I,df_extratos!F:F,Conciliacao!A647,df_extratos!G:G,"DEBITO")+SUMIFS(df_extratos!I:I,df_extratos!F:F,Conciliacao!BF647,df_extratos!G:G,"DEBITO")+SUMIFS(df_extratos!I:I,df_extratos!F:F,Conciliacao!BG647,df_extratos!G:G,"DEBITO")+SUMIFS(df_extratos!I:I,df_extratos!F:F,Conciliacao!BH647,df_extratos!G:G,"DEBITO")</f>
        <v/>
      </c>
      <c r="O647" s="11">
        <f>N647-SUM(J647:M647)</f>
        <v/>
      </c>
      <c r="P647" s="25">
        <f>SUMIFS(df_ajustes_conciliaco!D:D,df_ajustes_conciliaco!C:C,Conciliacao!A647)</f>
        <v/>
      </c>
      <c r="Q647" s="22">
        <f>O647+I647-P647</f>
        <v/>
      </c>
    </row>
    <row r="648">
      <c r="A648" s="5">
        <f>A647+1</f>
        <v/>
      </c>
      <c r="B648" s="3">
        <f>-SUMIFS(df_extrato_zig!G:G,df_extrato_zig!E:E,Conciliacao!A648,df_extrato_zig!D:D,"Saque")-SUMIFS(df_extrato_zig!G:G,df_extrato_zig!E:E,Conciliacao!A648,df_extrato_zig!D:D,"Antecipação")</f>
        <v/>
      </c>
      <c r="C648" s="3">
        <f>SUMIFS(df_extrato_zig!E:E,df_extrato_zig!L:L,Conciliacao!A648,df_extrato_zig!F:F,"DINHEIRO")</f>
        <v/>
      </c>
      <c r="D648" s="3">
        <f>SUMIFS(view_parc_agrup!H:H,view_parc_agrup!G:G,Conciliacao!A648)</f>
        <v/>
      </c>
      <c r="E648" s="3">
        <f>SUMIFS(df_eventos!F:F,df_eventos!H:H,Conciliacao!A648)</f>
        <v/>
      </c>
      <c r="F648" s="3">
        <f>SUMIFS(df_mutuos!M:M,df_mutuos!B:B,Conciliacao!A648)</f>
        <v/>
      </c>
      <c r="G648" s="6">
        <f>SUMIFS(df_bloqueios_judiciais!G:G,df_bloqueios_judiciais!D:D,Conciliacao!A648,df_bloqueios_judiciais!G:G,"&gt;0")</f>
        <v/>
      </c>
      <c r="H648" s="7">
        <f>SUMIFS(df_extratos!I:I,df_extratos!F:F,Conciliacao!BE648,df_extratos!G:G,"CREDITO")+SUMIFS(df_extratos!I:I,df_extratos!F:F,Conciliacao!A648,df_extratos!G:G,"CREDITO")+SUMIFS(df_extratos!I:I,df_extratos!F:F,Conciliacao!BF648,df_extratos!G:G,"CREDITO")+SUMIFS(df_extratos!I:I,df_extratos!F:F,Conciliacao!BG648,df_extratos!G:G,"CREDITO")+SUMIFS(df_extratos!I:I,df_extratos!F:F,Conciliacao!BH648,df_extratos!G:G,"CREDITO")</f>
        <v/>
      </c>
      <c r="I648" s="9">
        <f>H648-SUM(B648:G648)</f>
        <v/>
      </c>
      <c r="J648" s="4">
        <f>SUMIFS(df_blueme_sem_parcelamento!E:E,df_blueme_sem_parcelamento!H:H,Conciliacao!A648)*(-1)</f>
        <v/>
      </c>
      <c r="K648" s="4">
        <f>SUMIFS(df_blueme_com_parcelamento!J:J,df_blueme_com_parcelamento!M:M,Conciliacao!A648)*(-1)</f>
        <v/>
      </c>
      <c r="L648" s="4">
        <f>SUMIFS(df_mutuos!N:N,df_mutuos!B:B,Conciliacao!A648)*(-1)</f>
        <v/>
      </c>
      <c r="M648" s="8">
        <f>SUMIFS(df_bloqueios_judiciais!G:G,df_bloqueios_judiciais!D:D,Conciliacao!A648,df_bloqueios_judiciais!G:G,"&lt;0")</f>
        <v/>
      </c>
      <c r="N648" s="10">
        <f>SUMIFS(df_extratos!I:I,df_extratos!F:F,Conciliacao!BE648,df_extratos!G:G,"DEBITO")+SUMIFS(df_extratos!I:I,df_extratos!F:F,Conciliacao!A648,df_extratos!G:G,"DEBITO")+SUMIFS(df_extratos!I:I,df_extratos!F:F,Conciliacao!BF648,df_extratos!G:G,"DEBITO")+SUMIFS(df_extratos!I:I,df_extratos!F:F,Conciliacao!BG648,df_extratos!G:G,"DEBITO")+SUMIFS(df_extratos!I:I,df_extratos!F:F,Conciliacao!BH648,df_extratos!G:G,"DEBITO")</f>
        <v/>
      </c>
      <c r="O648" s="11">
        <f>N648-SUM(J648:M648)</f>
        <v/>
      </c>
      <c r="P648" s="25">
        <f>SUMIFS(df_ajustes_conciliaco!D:D,df_ajustes_conciliaco!C:C,Conciliacao!A648)</f>
        <v/>
      </c>
      <c r="Q648" s="22">
        <f>O648+I648-P648</f>
        <v/>
      </c>
    </row>
    <row r="649">
      <c r="A649" s="5">
        <f>A648+1</f>
        <v/>
      </c>
      <c r="B649" s="3">
        <f>-SUMIFS(df_extrato_zig!G:G,df_extrato_zig!E:E,Conciliacao!A649,df_extrato_zig!D:D,"Saque")-SUMIFS(df_extrato_zig!G:G,df_extrato_zig!E:E,Conciliacao!A649,df_extrato_zig!D:D,"Antecipação")</f>
        <v/>
      </c>
      <c r="C649" s="3">
        <f>SUMIFS(df_extrato_zig!E:E,df_extrato_zig!L:L,Conciliacao!A649,df_extrato_zig!F:F,"DINHEIRO")</f>
        <v/>
      </c>
      <c r="D649" s="3">
        <f>SUMIFS(view_parc_agrup!H:H,view_parc_agrup!G:G,Conciliacao!A649)</f>
        <v/>
      </c>
      <c r="E649" s="3">
        <f>SUMIFS(df_eventos!F:F,df_eventos!H:H,Conciliacao!A649)</f>
        <v/>
      </c>
      <c r="F649" s="3">
        <f>SUMIFS(df_mutuos!M:M,df_mutuos!B:B,Conciliacao!A649)</f>
        <v/>
      </c>
      <c r="G649" s="6">
        <f>SUMIFS(df_bloqueios_judiciais!G:G,df_bloqueios_judiciais!D:D,Conciliacao!A649,df_bloqueios_judiciais!G:G,"&gt;0")</f>
        <v/>
      </c>
      <c r="H649" s="7">
        <f>SUMIFS(df_extratos!I:I,df_extratos!F:F,Conciliacao!BE649,df_extratos!G:G,"CREDITO")+SUMIFS(df_extratos!I:I,df_extratos!F:F,Conciliacao!A649,df_extratos!G:G,"CREDITO")+SUMIFS(df_extratos!I:I,df_extratos!F:F,Conciliacao!BF649,df_extratos!G:G,"CREDITO")+SUMIFS(df_extratos!I:I,df_extratos!F:F,Conciliacao!BG649,df_extratos!G:G,"CREDITO")+SUMIFS(df_extratos!I:I,df_extratos!F:F,Conciliacao!BH649,df_extratos!G:G,"CREDITO")</f>
        <v/>
      </c>
      <c r="I649" s="9">
        <f>H649-SUM(B649:G649)</f>
        <v/>
      </c>
      <c r="J649" s="4">
        <f>SUMIFS(df_blueme_sem_parcelamento!E:E,df_blueme_sem_parcelamento!H:H,Conciliacao!A649)*(-1)</f>
        <v/>
      </c>
      <c r="K649" s="4">
        <f>SUMIFS(df_blueme_com_parcelamento!J:J,df_blueme_com_parcelamento!M:M,Conciliacao!A649)*(-1)</f>
        <v/>
      </c>
      <c r="L649" s="4">
        <f>SUMIFS(df_mutuos!N:N,df_mutuos!B:B,Conciliacao!A649)*(-1)</f>
        <v/>
      </c>
      <c r="M649" s="8">
        <f>SUMIFS(df_bloqueios_judiciais!G:G,df_bloqueios_judiciais!D:D,Conciliacao!A649,df_bloqueios_judiciais!G:G,"&lt;0")</f>
        <v/>
      </c>
      <c r="N649" s="10">
        <f>SUMIFS(df_extratos!I:I,df_extratos!F:F,Conciliacao!BE649,df_extratos!G:G,"DEBITO")+SUMIFS(df_extratos!I:I,df_extratos!F:F,Conciliacao!A649,df_extratos!G:G,"DEBITO")+SUMIFS(df_extratos!I:I,df_extratos!F:F,Conciliacao!BF649,df_extratos!G:G,"DEBITO")+SUMIFS(df_extratos!I:I,df_extratos!F:F,Conciliacao!BG649,df_extratos!G:G,"DEBITO")+SUMIFS(df_extratos!I:I,df_extratos!F:F,Conciliacao!BH649,df_extratos!G:G,"DEBITO")</f>
        <v/>
      </c>
      <c r="O649" s="11">
        <f>N649-SUM(J649:M649)</f>
        <v/>
      </c>
      <c r="P649" s="25">
        <f>SUMIFS(df_ajustes_conciliaco!D:D,df_ajustes_conciliaco!C:C,Conciliacao!A649)</f>
        <v/>
      </c>
      <c r="Q649" s="22">
        <f>O649+I649-P649</f>
        <v/>
      </c>
    </row>
    <row r="650">
      <c r="A650" s="5">
        <f>A649+1</f>
        <v/>
      </c>
      <c r="B650" s="3">
        <f>-SUMIFS(df_extrato_zig!G:G,df_extrato_zig!E:E,Conciliacao!A650,df_extrato_zig!D:D,"Saque")-SUMIFS(df_extrato_zig!G:G,df_extrato_zig!E:E,Conciliacao!A650,df_extrato_zig!D:D,"Antecipação")</f>
        <v/>
      </c>
      <c r="C650" s="3">
        <f>SUMIFS(df_extrato_zig!E:E,df_extrato_zig!L:L,Conciliacao!A650,df_extrato_zig!F:F,"DINHEIRO")</f>
        <v/>
      </c>
      <c r="D650" s="3">
        <f>SUMIFS(view_parc_agrup!H:H,view_parc_agrup!G:G,Conciliacao!A650)</f>
        <v/>
      </c>
      <c r="E650" s="3">
        <f>SUMIFS(df_eventos!F:F,df_eventos!H:H,Conciliacao!A650)</f>
        <v/>
      </c>
      <c r="F650" s="3">
        <f>SUMIFS(df_mutuos!M:M,df_mutuos!B:B,Conciliacao!A650)</f>
        <v/>
      </c>
      <c r="G650" s="6">
        <f>SUMIFS(df_bloqueios_judiciais!G:G,df_bloqueios_judiciais!D:D,Conciliacao!A650,df_bloqueios_judiciais!G:G,"&gt;0")</f>
        <v/>
      </c>
      <c r="H650" s="7">
        <f>SUMIFS(df_extratos!I:I,df_extratos!F:F,Conciliacao!BE650,df_extratos!G:G,"CREDITO")+SUMIFS(df_extratos!I:I,df_extratos!F:F,Conciliacao!A650,df_extratos!G:G,"CREDITO")+SUMIFS(df_extratos!I:I,df_extratos!F:F,Conciliacao!BF650,df_extratos!G:G,"CREDITO")+SUMIFS(df_extratos!I:I,df_extratos!F:F,Conciliacao!BG650,df_extratos!G:G,"CREDITO")+SUMIFS(df_extratos!I:I,df_extratos!F:F,Conciliacao!BH650,df_extratos!G:G,"CREDITO")</f>
        <v/>
      </c>
      <c r="I650" s="9">
        <f>H650-SUM(B650:G650)</f>
        <v/>
      </c>
      <c r="J650" s="4">
        <f>SUMIFS(df_blueme_sem_parcelamento!E:E,df_blueme_sem_parcelamento!H:H,Conciliacao!A650)*(-1)</f>
        <v/>
      </c>
      <c r="K650" s="4">
        <f>SUMIFS(df_blueme_com_parcelamento!J:J,df_blueme_com_parcelamento!M:M,Conciliacao!A650)*(-1)</f>
        <v/>
      </c>
      <c r="L650" s="4">
        <f>SUMIFS(df_mutuos!N:N,df_mutuos!B:B,Conciliacao!A650)*(-1)</f>
        <v/>
      </c>
      <c r="M650" s="8">
        <f>SUMIFS(df_bloqueios_judiciais!G:G,df_bloqueios_judiciais!D:D,Conciliacao!A650,df_bloqueios_judiciais!G:G,"&lt;0")</f>
        <v/>
      </c>
      <c r="N650" s="10">
        <f>SUMIFS(df_extratos!I:I,df_extratos!F:F,Conciliacao!BE650,df_extratos!G:G,"DEBITO")+SUMIFS(df_extratos!I:I,df_extratos!F:F,Conciliacao!A650,df_extratos!G:G,"DEBITO")+SUMIFS(df_extratos!I:I,df_extratos!F:F,Conciliacao!BF650,df_extratos!G:G,"DEBITO")+SUMIFS(df_extratos!I:I,df_extratos!F:F,Conciliacao!BG650,df_extratos!G:G,"DEBITO")+SUMIFS(df_extratos!I:I,df_extratos!F:F,Conciliacao!BH650,df_extratos!G:G,"DEBITO")</f>
        <v/>
      </c>
      <c r="O650" s="11">
        <f>N650-SUM(J650:M650)</f>
        <v/>
      </c>
      <c r="P650" s="25">
        <f>SUMIFS(df_ajustes_conciliaco!D:D,df_ajustes_conciliaco!C:C,Conciliacao!A650)</f>
        <v/>
      </c>
      <c r="Q650" s="22">
        <f>O650+I650-P650</f>
        <v/>
      </c>
    </row>
    <row r="651">
      <c r="A651" s="5">
        <f>A650+1</f>
        <v/>
      </c>
      <c r="B651" s="3">
        <f>-SUMIFS(df_extrato_zig!G:G,df_extrato_zig!E:E,Conciliacao!A651,df_extrato_zig!D:D,"Saque")-SUMIFS(df_extrato_zig!G:G,df_extrato_zig!E:E,Conciliacao!A651,df_extrato_zig!D:D,"Antecipação")</f>
        <v/>
      </c>
      <c r="C651" s="3">
        <f>SUMIFS(df_extrato_zig!E:E,df_extrato_zig!L:L,Conciliacao!A651,df_extrato_zig!F:F,"DINHEIRO")</f>
        <v/>
      </c>
      <c r="D651" s="3">
        <f>SUMIFS(view_parc_agrup!H:H,view_parc_agrup!G:G,Conciliacao!A651)</f>
        <v/>
      </c>
      <c r="E651" s="3">
        <f>SUMIFS(df_eventos!F:F,df_eventos!H:H,Conciliacao!A651)</f>
        <v/>
      </c>
      <c r="F651" s="3">
        <f>SUMIFS(df_mutuos!M:M,df_mutuos!B:B,Conciliacao!A651)</f>
        <v/>
      </c>
      <c r="G651" s="6">
        <f>SUMIFS(df_bloqueios_judiciais!G:G,df_bloqueios_judiciais!D:D,Conciliacao!A651,df_bloqueios_judiciais!G:G,"&gt;0")</f>
        <v/>
      </c>
      <c r="H651" s="7">
        <f>SUMIFS(df_extratos!I:I,df_extratos!F:F,Conciliacao!BE651,df_extratos!G:G,"CREDITO")+SUMIFS(df_extratos!I:I,df_extratos!F:F,Conciliacao!A651,df_extratos!G:G,"CREDITO")+SUMIFS(df_extratos!I:I,df_extratos!F:F,Conciliacao!BF651,df_extratos!G:G,"CREDITO")+SUMIFS(df_extratos!I:I,df_extratos!F:F,Conciliacao!BG651,df_extratos!G:G,"CREDITO")+SUMIFS(df_extratos!I:I,df_extratos!F:F,Conciliacao!BH651,df_extratos!G:G,"CREDITO")</f>
        <v/>
      </c>
      <c r="I651" s="9">
        <f>H651-SUM(B651:G651)</f>
        <v/>
      </c>
      <c r="J651" s="4">
        <f>SUMIFS(df_blueme_sem_parcelamento!E:E,df_blueme_sem_parcelamento!H:H,Conciliacao!A651)*(-1)</f>
        <v/>
      </c>
      <c r="K651" s="4">
        <f>SUMIFS(df_blueme_com_parcelamento!J:J,df_blueme_com_parcelamento!M:M,Conciliacao!A651)*(-1)</f>
        <v/>
      </c>
      <c r="L651" s="4">
        <f>SUMIFS(df_mutuos!N:N,df_mutuos!B:B,Conciliacao!A651)*(-1)</f>
        <v/>
      </c>
      <c r="M651" s="8">
        <f>SUMIFS(df_bloqueios_judiciais!G:G,df_bloqueios_judiciais!D:D,Conciliacao!A651,df_bloqueios_judiciais!G:G,"&lt;0")</f>
        <v/>
      </c>
      <c r="N651" s="10">
        <f>SUMIFS(df_extratos!I:I,df_extratos!F:F,Conciliacao!BE651,df_extratos!G:G,"DEBITO")+SUMIFS(df_extratos!I:I,df_extratos!F:F,Conciliacao!A651,df_extratos!G:G,"DEBITO")+SUMIFS(df_extratos!I:I,df_extratos!F:F,Conciliacao!BF651,df_extratos!G:G,"DEBITO")+SUMIFS(df_extratos!I:I,df_extratos!F:F,Conciliacao!BG651,df_extratos!G:G,"DEBITO")+SUMIFS(df_extratos!I:I,df_extratos!F:F,Conciliacao!BH651,df_extratos!G:G,"DEBITO")</f>
        <v/>
      </c>
      <c r="O651" s="11">
        <f>N651-SUM(J651:M651)</f>
        <v/>
      </c>
      <c r="P651" s="25">
        <f>SUMIFS(df_ajustes_conciliaco!D:D,df_ajustes_conciliaco!C:C,Conciliacao!A651)</f>
        <v/>
      </c>
      <c r="Q651" s="22">
        <f>O651+I651-P651</f>
        <v/>
      </c>
    </row>
    <row r="652">
      <c r="A652" s="5">
        <f>A651+1</f>
        <v/>
      </c>
      <c r="B652" s="3">
        <f>-SUMIFS(df_extrato_zig!G:G,df_extrato_zig!E:E,Conciliacao!A652,df_extrato_zig!D:D,"Saque")-SUMIFS(df_extrato_zig!G:G,df_extrato_zig!E:E,Conciliacao!A652,df_extrato_zig!D:D,"Antecipação")</f>
        <v/>
      </c>
      <c r="C652" s="3">
        <f>SUMIFS(df_extrato_zig!E:E,df_extrato_zig!L:L,Conciliacao!A652,df_extrato_zig!F:F,"DINHEIRO")</f>
        <v/>
      </c>
      <c r="D652" s="3">
        <f>SUMIFS(view_parc_agrup!H:H,view_parc_agrup!G:G,Conciliacao!A652)</f>
        <v/>
      </c>
      <c r="E652" s="3">
        <f>SUMIFS(df_eventos!F:F,df_eventos!H:H,Conciliacao!A652)</f>
        <v/>
      </c>
      <c r="F652" s="3">
        <f>SUMIFS(df_mutuos!M:M,df_mutuos!B:B,Conciliacao!A652)</f>
        <v/>
      </c>
      <c r="G652" s="6">
        <f>SUMIFS(df_bloqueios_judiciais!G:G,df_bloqueios_judiciais!D:D,Conciliacao!A652,df_bloqueios_judiciais!G:G,"&gt;0")</f>
        <v/>
      </c>
      <c r="H652" s="7">
        <f>SUMIFS(df_extratos!I:I,df_extratos!F:F,Conciliacao!BE652,df_extratos!G:G,"CREDITO")+SUMIFS(df_extratos!I:I,df_extratos!F:F,Conciliacao!A652,df_extratos!G:G,"CREDITO")+SUMIFS(df_extratos!I:I,df_extratos!F:F,Conciliacao!BF652,df_extratos!G:G,"CREDITO")+SUMIFS(df_extratos!I:I,df_extratos!F:F,Conciliacao!BG652,df_extratos!G:G,"CREDITO")+SUMIFS(df_extratos!I:I,df_extratos!F:F,Conciliacao!BH652,df_extratos!G:G,"CREDITO")</f>
        <v/>
      </c>
      <c r="I652" s="9">
        <f>H652-SUM(B652:G652)</f>
        <v/>
      </c>
      <c r="J652" s="4">
        <f>SUMIFS(df_blueme_sem_parcelamento!E:E,df_blueme_sem_parcelamento!H:H,Conciliacao!A652)*(-1)</f>
        <v/>
      </c>
      <c r="K652" s="4">
        <f>SUMIFS(df_blueme_com_parcelamento!J:J,df_blueme_com_parcelamento!M:M,Conciliacao!A652)*(-1)</f>
        <v/>
      </c>
      <c r="L652" s="4">
        <f>SUMIFS(df_mutuos!N:N,df_mutuos!B:B,Conciliacao!A652)*(-1)</f>
        <v/>
      </c>
      <c r="M652" s="8">
        <f>SUMIFS(df_bloqueios_judiciais!G:G,df_bloqueios_judiciais!D:D,Conciliacao!A652,df_bloqueios_judiciais!G:G,"&lt;0")</f>
        <v/>
      </c>
      <c r="N652" s="10">
        <f>SUMIFS(df_extratos!I:I,df_extratos!F:F,Conciliacao!BE652,df_extratos!G:G,"DEBITO")+SUMIFS(df_extratos!I:I,df_extratos!F:F,Conciliacao!A652,df_extratos!G:G,"DEBITO")+SUMIFS(df_extratos!I:I,df_extratos!F:F,Conciliacao!BF652,df_extratos!G:G,"DEBITO")+SUMIFS(df_extratos!I:I,df_extratos!F:F,Conciliacao!BG652,df_extratos!G:G,"DEBITO")+SUMIFS(df_extratos!I:I,df_extratos!F:F,Conciliacao!BH652,df_extratos!G:G,"DEBITO")</f>
        <v/>
      </c>
      <c r="O652" s="11">
        <f>N652-SUM(J652:M652)</f>
        <v/>
      </c>
      <c r="P652" s="25">
        <f>SUMIFS(df_ajustes_conciliaco!D:D,df_ajustes_conciliaco!C:C,Conciliacao!A652)</f>
        <v/>
      </c>
      <c r="Q652" s="22">
        <f>O652+I652-P652</f>
        <v/>
      </c>
    </row>
    <row r="653">
      <c r="A653" s="5">
        <f>A652+1</f>
        <v/>
      </c>
      <c r="B653" s="3">
        <f>-SUMIFS(df_extrato_zig!G:G,df_extrato_zig!E:E,Conciliacao!A653,df_extrato_zig!D:D,"Saque")-SUMIFS(df_extrato_zig!G:G,df_extrato_zig!E:E,Conciliacao!A653,df_extrato_zig!D:D,"Antecipação")</f>
        <v/>
      </c>
      <c r="C653" s="3">
        <f>SUMIFS(df_extrato_zig!E:E,df_extrato_zig!L:L,Conciliacao!A653,df_extrato_zig!F:F,"DINHEIRO")</f>
        <v/>
      </c>
      <c r="D653" s="3">
        <f>SUMIFS(view_parc_agrup!H:H,view_parc_agrup!G:G,Conciliacao!A653)</f>
        <v/>
      </c>
      <c r="E653" s="3">
        <f>SUMIFS(df_eventos!F:F,df_eventos!H:H,Conciliacao!A653)</f>
        <v/>
      </c>
      <c r="F653" s="3">
        <f>SUMIFS(df_mutuos!M:M,df_mutuos!B:B,Conciliacao!A653)</f>
        <v/>
      </c>
      <c r="G653" s="6">
        <f>SUMIFS(df_bloqueios_judiciais!G:G,df_bloqueios_judiciais!D:D,Conciliacao!A653,df_bloqueios_judiciais!G:G,"&gt;0")</f>
        <v/>
      </c>
      <c r="H653" s="7">
        <f>SUMIFS(df_extratos!I:I,df_extratos!F:F,Conciliacao!BE653,df_extratos!G:G,"CREDITO")+SUMIFS(df_extratos!I:I,df_extratos!F:F,Conciliacao!A653,df_extratos!G:G,"CREDITO")+SUMIFS(df_extratos!I:I,df_extratos!F:F,Conciliacao!BF653,df_extratos!G:G,"CREDITO")+SUMIFS(df_extratos!I:I,df_extratos!F:F,Conciliacao!BG653,df_extratos!G:G,"CREDITO")+SUMIFS(df_extratos!I:I,df_extratos!F:F,Conciliacao!BH653,df_extratos!G:G,"CREDITO")</f>
        <v/>
      </c>
      <c r="I653" s="9">
        <f>H653-SUM(B653:G653)</f>
        <v/>
      </c>
      <c r="J653" s="4">
        <f>SUMIFS(df_blueme_sem_parcelamento!E:E,df_blueme_sem_parcelamento!H:H,Conciliacao!A653)*(-1)</f>
        <v/>
      </c>
      <c r="K653" s="4">
        <f>SUMIFS(df_blueme_com_parcelamento!J:J,df_blueme_com_parcelamento!M:M,Conciliacao!A653)*(-1)</f>
        <v/>
      </c>
      <c r="L653" s="4">
        <f>SUMIFS(df_mutuos!N:N,df_mutuos!B:B,Conciliacao!A653)*(-1)</f>
        <v/>
      </c>
      <c r="M653" s="8">
        <f>SUMIFS(df_bloqueios_judiciais!G:G,df_bloqueios_judiciais!D:D,Conciliacao!A653,df_bloqueios_judiciais!G:G,"&lt;0")</f>
        <v/>
      </c>
      <c r="N653" s="10">
        <f>SUMIFS(df_extratos!I:I,df_extratos!F:F,Conciliacao!BE653,df_extratos!G:G,"DEBITO")+SUMIFS(df_extratos!I:I,df_extratos!F:F,Conciliacao!A653,df_extratos!G:G,"DEBITO")+SUMIFS(df_extratos!I:I,df_extratos!F:F,Conciliacao!BF653,df_extratos!G:G,"DEBITO")+SUMIFS(df_extratos!I:I,df_extratos!F:F,Conciliacao!BG653,df_extratos!G:G,"DEBITO")+SUMIFS(df_extratos!I:I,df_extratos!F:F,Conciliacao!BH653,df_extratos!G:G,"DEBITO")</f>
        <v/>
      </c>
      <c r="O653" s="11">
        <f>N653-SUM(J653:M653)</f>
        <v/>
      </c>
      <c r="P653" s="25">
        <f>SUMIFS(df_ajustes_conciliaco!D:D,df_ajustes_conciliaco!C:C,Conciliacao!A653)</f>
        <v/>
      </c>
      <c r="Q653" s="22">
        <f>O653+I653-P653</f>
        <v/>
      </c>
    </row>
    <row r="654">
      <c r="A654" s="5">
        <f>A653+1</f>
        <v/>
      </c>
      <c r="B654" s="3">
        <f>-SUMIFS(df_extrato_zig!G:G,df_extrato_zig!E:E,Conciliacao!A654,df_extrato_zig!D:D,"Saque")-SUMIFS(df_extrato_zig!G:G,df_extrato_zig!E:E,Conciliacao!A654,df_extrato_zig!D:D,"Antecipação")</f>
        <v/>
      </c>
      <c r="C654" s="3">
        <f>SUMIFS(df_extrato_zig!E:E,df_extrato_zig!L:L,Conciliacao!A654,df_extrato_zig!F:F,"DINHEIRO")</f>
        <v/>
      </c>
      <c r="D654" s="3">
        <f>SUMIFS(view_parc_agrup!H:H,view_parc_agrup!G:G,Conciliacao!A654)</f>
        <v/>
      </c>
      <c r="E654" s="3">
        <f>SUMIFS(df_eventos!F:F,df_eventos!H:H,Conciliacao!A654)</f>
        <v/>
      </c>
      <c r="F654" s="3">
        <f>SUMIFS(df_mutuos!M:M,df_mutuos!B:B,Conciliacao!A654)</f>
        <v/>
      </c>
      <c r="G654" s="6">
        <f>SUMIFS(df_bloqueios_judiciais!G:G,df_bloqueios_judiciais!D:D,Conciliacao!A654,df_bloqueios_judiciais!G:G,"&gt;0")</f>
        <v/>
      </c>
      <c r="H654" s="7">
        <f>SUMIFS(df_extratos!I:I,df_extratos!F:F,Conciliacao!BE654,df_extratos!G:G,"CREDITO")+SUMIFS(df_extratos!I:I,df_extratos!F:F,Conciliacao!A654,df_extratos!G:G,"CREDITO")+SUMIFS(df_extratos!I:I,df_extratos!F:F,Conciliacao!BF654,df_extratos!G:G,"CREDITO")+SUMIFS(df_extratos!I:I,df_extratos!F:F,Conciliacao!BG654,df_extratos!G:G,"CREDITO")+SUMIFS(df_extratos!I:I,df_extratos!F:F,Conciliacao!BH654,df_extratos!G:G,"CREDITO")</f>
        <v/>
      </c>
      <c r="I654" s="9">
        <f>H654-SUM(B654:G654)</f>
        <v/>
      </c>
      <c r="J654" s="4">
        <f>SUMIFS(df_blueme_sem_parcelamento!E:E,df_blueme_sem_parcelamento!H:H,Conciliacao!A654)*(-1)</f>
        <v/>
      </c>
      <c r="K654" s="4">
        <f>SUMIFS(df_blueme_com_parcelamento!J:J,df_blueme_com_parcelamento!M:M,Conciliacao!A654)*(-1)</f>
        <v/>
      </c>
      <c r="L654" s="4">
        <f>SUMIFS(df_mutuos!N:N,df_mutuos!B:B,Conciliacao!A654)*(-1)</f>
        <v/>
      </c>
      <c r="M654" s="8">
        <f>SUMIFS(df_bloqueios_judiciais!G:G,df_bloqueios_judiciais!D:D,Conciliacao!A654,df_bloqueios_judiciais!G:G,"&lt;0")</f>
        <v/>
      </c>
      <c r="N654" s="10">
        <f>SUMIFS(df_extratos!I:I,df_extratos!F:F,Conciliacao!BE654,df_extratos!G:G,"DEBITO")+SUMIFS(df_extratos!I:I,df_extratos!F:F,Conciliacao!A654,df_extratos!G:G,"DEBITO")+SUMIFS(df_extratos!I:I,df_extratos!F:F,Conciliacao!BF654,df_extratos!G:G,"DEBITO")+SUMIFS(df_extratos!I:I,df_extratos!F:F,Conciliacao!BG654,df_extratos!G:G,"DEBITO")+SUMIFS(df_extratos!I:I,df_extratos!F:F,Conciliacao!BH654,df_extratos!G:G,"DEBITO")</f>
        <v/>
      </c>
      <c r="O654" s="11">
        <f>N654-SUM(J654:M654)</f>
        <v/>
      </c>
      <c r="P654" s="25">
        <f>SUMIFS(df_ajustes_conciliaco!D:D,df_ajustes_conciliaco!C:C,Conciliacao!A654)</f>
        <v/>
      </c>
      <c r="Q654" s="22">
        <f>O654+I654-P654</f>
        <v/>
      </c>
    </row>
    <row r="655">
      <c r="A655" s="5">
        <f>A654+1</f>
        <v/>
      </c>
      <c r="B655" s="3">
        <f>-SUMIFS(df_extrato_zig!G:G,df_extrato_zig!E:E,Conciliacao!A655,df_extrato_zig!D:D,"Saque")-SUMIFS(df_extrato_zig!G:G,df_extrato_zig!E:E,Conciliacao!A655,df_extrato_zig!D:D,"Antecipação")</f>
        <v/>
      </c>
      <c r="C655" s="3">
        <f>SUMIFS(df_extrato_zig!E:E,df_extrato_zig!L:L,Conciliacao!A655,df_extrato_zig!F:F,"DINHEIRO")</f>
        <v/>
      </c>
      <c r="D655" s="3">
        <f>SUMIFS(view_parc_agrup!H:H,view_parc_agrup!G:G,Conciliacao!A655)</f>
        <v/>
      </c>
      <c r="E655" s="3">
        <f>SUMIFS(df_eventos!F:F,df_eventos!H:H,Conciliacao!A655)</f>
        <v/>
      </c>
      <c r="F655" s="3">
        <f>SUMIFS(df_mutuos!M:M,df_mutuos!B:B,Conciliacao!A655)</f>
        <v/>
      </c>
      <c r="G655" s="6">
        <f>SUMIFS(df_bloqueios_judiciais!G:G,df_bloqueios_judiciais!D:D,Conciliacao!A655,df_bloqueios_judiciais!G:G,"&gt;0")</f>
        <v/>
      </c>
      <c r="H655" s="7">
        <f>SUMIFS(df_extratos!I:I,df_extratos!F:F,Conciliacao!BE655,df_extratos!G:G,"CREDITO")+SUMIFS(df_extratos!I:I,df_extratos!F:F,Conciliacao!A655,df_extratos!G:G,"CREDITO")+SUMIFS(df_extratos!I:I,df_extratos!F:F,Conciliacao!BF655,df_extratos!G:G,"CREDITO")+SUMIFS(df_extratos!I:I,df_extratos!F:F,Conciliacao!BG655,df_extratos!G:G,"CREDITO")+SUMIFS(df_extratos!I:I,df_extratos!F:F,Conciliacao!BH655,df_extratos!G:G,"CREDITO")</f>
        <v/>
      </c>
      <c r="I655" s="9">
        <f>H655-SUM(B655:G655)</f>
        <v/>
      </c>
      <c r="J655" s="4">
        <f>SUMIFS(df_blueme_sem_parcelamento!E:E,df_blueme_sem_parcelamento!H:H,Conciliacao!A655)*(-1)</f>
        <v/>
      </c>
      <c r="K655" s="4">
        <f>SUMIFS(df_blueme_com_parcelamento!J:J,df_blueme_com_parcelamento!M:M,Conciliacao!A655)*(-1)</f>
        <v/>
      </c>
      <c r="L655" s="4">
        <f>SUMIFS(df_mutuos!N:N,df_mutuos!B:B,Conciliacao!A655)*(-1)</f>
        <v/>
      </c>
      <c r="M655" s="8">
        <f>SUMIFS(df_bloqueios_judiciais!G:G,df_bloqueios_judiciais!D:D,Conciliacao!A655,df_bloqueios_judiciais!G:G,"&lt;0")</f>
        <v/>
      </c>
      <c r="N655" s="10">
        <f>SUMIFS(df_extratos!I:I,df_extratos!F:F,Conciliacao!BE655,df_extratos!G:G,"DEBITO")+SUMIFS(df_extratos!I:I,df_extratos!F:F,Conciliacao!A655,df_extratos!G:G,"DEBITO")+SUMIFS(df_extratos!I:I,df_extratos!F:F,Conciliacao!BF655,df_extratos!G:G,"DEBITO")+SUMIFS(df_extratos!I:I,df_extratos!F:F,Conciliacao!BG655,df_extratos!G:G,"DEBITO")+SUMIFS(df_extratos!I:I,df_extratos!F:F,Conciliacao!BH655,df_extratos!G:G,"DEBITO")</f>
        <v/>
      </c>
      <c r="O655" s="11">
        <f>N655-SUM(J655:M655)</f>
        <v/>
      </c>
      <c r="P655" s="25">
        <f>SUMIFS(df_ajustes_conciliaco!D:D,df_ajustes_conciliaco!C:C,Conciliacao!A655)</f>
        <v/>
      </c>
      <c r="Q655" s="22">
        <f>O655+I655-P655</f>
        <v/>
      </c>
    </row>
    <row r="656">
      <c r="A656" s="5">
        <f>A655+1</f>
        <v/>
      </c>
      <c r="B656" s="3">
        <f>-SUMIFS(df_extrato_zig!G:G,df_extrato_zig!E:E,Conciliacao!A656,df_extrato_zig!D:D,"Saque")-SUMIFS(df_extrato_zig!G:G,df_extrato_zig!E:E,Conciliacao!A656,df_extrato_zig!D:D,"Antecipação")</f>
        <v/>
      </c>
      <c r="C656" s="3">
        <f>SUMIFS(df_extrato_zig!E:E,df_extrato_zig!L:L,Conciliacao!A656,df_extrato_zig!F:F,"DINHEIRO")</f>
        <v/>
      </c>
      <c r="D656" s="3">
        <f>SUMIFS(view_parc_agrup!H:H,view_parc_agrup!G:G,Conciliacao!A656)</f>
        <v/>
      </c>
      <c r="E656" s="3">
        <f>SUMIFS(df_eventos!F:F,df_eventos!H:H,Conciliacao!A656)</f>
        <v/>
      </c>
      <c r="F656" s="3">
        <f>SUMIFS(df_mutuos!M:M,df_mutuos!B:B,Conciliacao!A656)</f>
        <v/>
      </c>
      <c r="G656" s="6">
        <f>SUMIFS(df_bloqueios_judiciais!G:G,df_bloqueios_judiciais!D:D,Conciliacao!A656,df_bloqueios_judiciais!G:G,"&gt;0")</f>
        <v/>
      </c>
      <c r="H656" s="7">
        <f>SUMIFS(df_extratos!I:I,df_extratos!F:F,Conciliacao!BE656,df_extratos!G:G,"CREDITO")+SUMIFS(df_extratos!I:I,df_extratos!F:F,Conciliacao!A656,df_extratos!G:G,"CREDITO")+SUMIFS(df_extratos!I:I,df_extratos!F:F,Conciliacao!BF656,df_extratos!G:G,"CREDITO")+SUMIFS(df_extratos!I:I,df_extratos!F:F,Conciliacao!BG656,df_extratos!G:G,"CREDITO")+SUMIFS(df_extratos!I:I,df_extratos!F:F,Conciliacao!BH656,df_extratos!G:G,"CREDITO")</f>
        <v/>
      </c>
      <c r="I656" s="9">
        <f>H656-SUM(B656:G656)</f>
        <v/>
      </c>
      <c r="J656" s="4">
        <f>SUMIFS(df_blueme_sem_parcelamento!E:E,df_blueme_sem_parcelamento!H:H,Conciliacao!A656)*(-1)</f>
        <v/>
      </c>
      <c r="K656" s="4">
        <f>SUMIFS(df_blueme_com_parcelamento!J:J,df_blueme_com_parcelamento!M:M,Conciliacao!A656)*(-1)</f>
        <v/>
      </c>
      <c r="L656" s="4">
        <f>SUMIFS(df_mutuos!N:N,df_mutuos!B:B,Conciliacao!A656)*(-1)</f>
        <v/>
      </c>
      <c r="M656" s="8">
        <f>SUMIFS(df_bloqueios_judiciais!G:G,df_bloqueios_judiciais!D:D,Conciliacao!A656,df_bloqueios_judiciais!G:G,"&lt;0")</f>
        <v/>
      </c>
      <c r="N656" s="10">
        <f>SUMIFS(df_extratos!I:I,df_extratos!F:F,Conciliacao!BE656,df_extratos!G:G,"DEBITO")+SUMIFS(df_extratos!I:I,df_extratos!F:F,Conciliacao!A656,df_extratos!G:G,"DEBITO")+SUMIFS(df_extratos!I:I,df_extratos!F:F,Conciliacao!BF656,df_extratos!G:G,"DEBITO")+SUMIFS(df_extratos!I:I,df_extratos!F:F,Conciliacao!BG656,df_extratos!G:G,"DEBITO")+SUMIFS(df_extratos!I:I,df_extratos!F:F,Conciliacao!BH656,df_extratos!G:G,"DEBITO")</f>
        <v/>
      </c>
      <c r="O656" s="11">
        <f>N656-SUM(J656:M656)</f>
        <v/>
      </c>
      <c r="P656" s="25">
        <f>SUMIFS(df_ajustes_conciliaco!D:D,df_ajustes_conciliaco!C:C,Conciliacao!A656)</f>
        <v/>
      </c>
      <c r="Q656" s="22">
        <f>O656+I656-P656</f>
        <v/>
      </c>
    </row>
    <row r="657">
      <c r="A657" s="5">
        <f>A656+1</f>
        <v/>
      </c>
      <c r="B657" s="3">
        <f>-SUMIFS(df_extrato_zig!G:G,df_extrato_zig!E:E,Conciliacao!A657,df_extrato_zig!D:D,"Saque")-SUMIFS(df_extrato_zig!G:G,df_extrato_zig!E:E,Conciliacao!A657,df_extrato_zig!D:D,"Antecipação")</f>
        <v/>
      </c>
      <c r="C657" s="3">
        <f>SUMIFS(df_extrato_zig!E:E,df_extrato_zig!L:L,Conciliacao!A657,df_extrato_zig!F:F,"DINHEIRO")</f>
        <v/>
      </c>
      <c r="D657" s="3">
        <f>SUMIFS(view_parc_agrup!H:H,view_parc_agrup!G:G,Conciliacao!A657)</f>
        <v/>
      </c>
      <c r="E657" s="3">
        <f>SUMIFS(df_eventos!F:F,df_eventos!H:H,Conciliacao!A657)</f>
        <v/>
      </c>
      <c r="F657" s="3">
        <f>SUMIFS(df_mutuos!M:M,df_mutuos!B:B,Conciliacao!A657)</f>
        <v/>
      </c>
      <c r="G657" s="6">
        <f>SUMIFS(df_bloqueios_judiciais!G:G,df_bloqueios_judiciais!D:D,Conciliacao!A657,df_bloqueios_judiciais!G:G,"&gt;0")</f>
        <v/>
      </c>
      <c r="H657" s="7">
        <f>SUMIFS(df_extratos!I:I,df_extratos!F:F,Conciliacao!BE657,df_extratos!G:G,"CREDITO")+SUMIFS(df_extratos!I:I,df_extratos!F:F,Conciliacao!A657,df_extratos!G:G,"CREDITO")+SUMIFS(df_extratos!I:I,df_extratos!F:F,Conciliacao!BF657,df_extratos!G:G,"CREDITO")+SUMIFS(df_extratos!I:I,df_extratos!F:F,Conciliacao!BG657,df_extratos!G:G,"CREDITO")+SUMIFS(df_extratos!I:I,df_extratos!F:F,Conciliacao!BH657,df_extratos!G:G,"CREDITO")</f>
        <v/>
      </c>
      <c r="I657" s="9">
        <f>H657-SUM(B657:G657)</f>
        <v/>
      </c>
      <c r="J657" s="4">
        <f>SUMIFS(df_blueme_sem_parcelamento!E:E,df_blueme_sem_parcelamento!H:H,Conciliacao!A657)*(-1)</f>
        <v/>
      </c>
      <c r="K657" s="4">
        <f>SUMIFS(df_blueme_com_parcelamento!J:J,df_blueme_com_parcelamento!M:M,Conciliacao!A657)*(-1)</f>
        <v/>
      </c>
      <c r="L657" s="4">
        <f>SUMIFS(df_mutuos!N:N,df_mutuos!B:B,Conciliacao!A657)*(-1)</f>
        <v/>
      </c>
      <c r="M657" s="8">
        <f>SUMIFS(df_bloqueios_judiciais!G:G,df_bloqueios_judiciais!D:D,Conciliacao!A657,df_bloqueios_judiciais!G:G,"&lt;0")</f>
        <v/>
      </c>
      <c r="N657" s="10">
        <f>SUMIFS(df_extratos!I:I,df_extratos!F:F,Conciliacao!BE657,df_extratos!G:G,"DEBITO")+SUMIFS(df_extratos!I:I,df_extratos!F:F,Conciliacao!A657,df_extratos!G:G,"DEBITO")+SUMIFS(df_extratos!I:I,df_extratos!F:F,Conciliacao!BF657,df_extratos!G:G,"DEBITO")+SUMIFS(df_extratos!I:I,df_extratos!F:F,Conciliacao!BG657,df_extratos!G:G,"DEBITO")+SUMIFS(df_extratos!I:I,df_extratos!F:F,Conciliacao!BH657,df_extratos!G:G,"DEBITO")</f>
        <v/>
      </c>
      <c r="O657" s="11">
        <f>N657-SUM(J657:M657)</f>
        <v/>
      </c>
      <c r="P657" s="25">
        <f>SUMIFS(df_ajustes_conciliaco!D:D,df_ajustes_conciliaco!C:C,Conciliacao!A657)</f>
        <v/>
      </c>
      <c r="Q657" s="22">
        <f>O657+I657-P657</f>
        <v/>
      </c>
    </row>
    <row r="658">
      <c r="A658" s="5">
        <f>A657+1</f>
        <v/>
      </c>
      <c r="B658" s="3">
        <f>-SUMIFS(df_extrato_zig!G:G,df_extrato_zig!E:E,Conciliacao!A658,df_extrato_zig!D:D,"Saque")-SUMIFS(df_extrato_zig!G:G,df_extrato_zig!E:E,Conciliacao!A658,df_extrato_zig!D:D,"Antecipação")</f>
        <v/>
      </c>
      <c r="C658" s="3">
        <f>SUMIFS(df_extrato_zig!E:E,df_extrato_zig!L:L,Conciliacao!A658,df_extrato_zig!F:F,"DINHEIRO")</f>
        <v/>
      </c>
      <c r="D658" s="3">
        <f>SUMIFS(view_parc_agrup!H:H,view_parc_agrup!G:G,Conciliacao!A658)</f>
        <v/>
      </c>
      <c r="E658" s="3">
        <f>SUMIFS(df_eventos!F:F,df_eventos!H:H,Conciliacao!A658)</f>
        <v/>
      </c>
      <c r="F658" s="3">
        <f>SUMIFS(df_mutuos!M:M,df_mutuos!B:B,Conciliacao!A658)</f>
        <v/>
      </c>
      <c r="G658" s="6">
        <f>SUMIFS(df_bloqueios_judiciais!G:G,df_bloqueios_judiciais!D:D,Conciliacao!A658,df_bloqueios_judiciais!G:G,"&gt;0")</f>
        <v/>
      </c>
      <c r="H658" s="7">
        <f>SUMIFS(df_extratos!I:I,df_extratos!F:F,Conciliacao!BE658,df_extratos!G:G,"CREDITO")+SUMIFS(df_extratos!I:I,df_extratos!F:F,Conciliacao!A658,df_extratos!G:G,"CREDITO")+SUMIFS(df_extratos!I:I,df_extratos!F:F,Conciliacao!BF658,df_extratos!G:G,"CREDITO")+SUMIFS(df_extratos!I:I,df_extratos!F:F,Conciliacao!BG658,df_extratos!G:G,"CREDITO")+SUMIFS(df_extratos!I:I,df_extratos!F:F,Conciliacao!BH658,df_extratos!G:G,"CREDITO")</f>
        <v/>
      </c>
      <c r="I658" s="9">
        <f>H658-SUM(B658:G658)</f>
        <v/>
      </c>
      <c r="J658" s="4">
        <f>SUMIFS(df_blueme_sem_parcelamento!E:E,df_blueme_sem_parcelamento!H:H,Conciliacao!A658)*(-1)</f>
        <v/>
      </c>
      <c r="K658" s="4">
        <f>SUMIFS(df_blueme_com_parcelamento!J:J,df_blueme_com_parcelamento!M:M,Conciliacao!A658)*(-1)</f>
        <v/>
      </c>
      <c r="L658" s="4">
        <f>SUMIFS(df_mutuos!N:N,df_mutuos!B:B,Conciliacao!A658)*(-1)</f>
        <v/>
      </c>
      <c r="M658" s="8">
        <f>SUMIFS(df_bloqueios_judiciais!G:G,df_bloqueios_judiciais!D:D,Conciliacao!A658,df_bloqueios_judiciais!G:G,"&lt;0")</f>
        <v/>
      </c>
      <c r="N658" s="10">
        <f>SUMIFS(df_extratos!I:I,df_extratos!F:F,Conciliacao!BE658,df_extratos!G:G,"DEBITO")+SUMIFS(df_extratos!I:I,df_extratos!F:F,Conciliacao!A658,df_extratos!G:G,"DEBITO")+SUMIFS(df_extratos!I:I,df_extratos!F:F,Conciliacao!BF658,df_extratos!G:G,"DEBITO")+SUMIFS(df_extratos!I:I,df_extratos!F:F,Conciliacao!BG658,df_extratos!G:G,"DEBITO")+SUMIFS(df_extratos!I:I,df_extratos!F:F,Conciliacao!BH658,df_extratos!G:G,"DEBITO")</f>
        <v/>
      </c>
      <c r="O658" s="11">
        <f>N658-SUM(J658:M658)</f>
        <v/>
      </c>
      <c r="P658" s="25">
        <f>SUMIFS(df_ajustes_conciliaco!D:D,df_ajustes_conciliaco!C:C,Conciliacao!A658)</f>
        <v/>
      </c>
      <c r="Q658" s="22">
        <f>O658+I658-P658</f>
        <v/>
      </c>
    </row>
    <row r="659">
      <c r="A659" s="5">
        <f>A658+1</f>
        <v/>
      </c>
      <c r="B659" s="3">
        <f>-SUMIFS(df_extrato_zig!G:G,df_extrato_zig!E:E,Conciliacao!A659,df_extrato_zig!D:D,"Saque")-SUMIFS(df_extrato_zig!G:G,df_extrato_zig!E:E,Conciliacao!A659,df_extrato_zig!D:D,"Antecipação")</f>
        <v/>
      </c>
      <c r="C659" s="3">
        <f>SUMIFS(df_extrato_zig!E:E,df_extrato_zig!L:L,Conciliacao!A659,df_extrato_zig!F:F,"DINHEIRO")</f>
        <v/>
      </c>
      <c r="D659" s="3">
        <f>SUMIFS(view_parc_agrup!H:H,view_parc_agrup!G:G,Conciliacao!A659)</f>
        <v/>
      </c>
      <c r="E659" s="3">
        <f>SUMIFS(df_eventos!F:F,df_eventos!H:H,Conciliacao!A659)</f>
        <v/>
      </c>
      <c r="F659" s="3">
        <f>SUMIFS(df_mutuos!M:M,df_mutuos!B:B,Conciliacao!A659)</f>
        <v/>
      </c>
      <c r="G659" s="6">
        <f>SUMIFS(df_bloqueios_judiciais!G:G,df_bloqueios_judiciais!D:D,Conciliacao!A659,df_bloqueios_judiciais!G:G,"&gt;0")</f>
        <v/>
      </c>
      <c r="H659" s="7">
        <f>SUMIFS(df_extratos!I:I,df_extratos!F:F,Conciliacao!BE659,df_extratos!G:G,"CREDITO")+SUMIFS(df_extratos!I:I,df_extratos!F:F,Conciliacao!A659,df_extratos!G:G,"CREDITO")+SUMIFS(df_extratos!I:I,df_extratos!F:F,Conciliacao!BF659,df_extratos!G:G,"CREDITO")+SUMIFS(df_extratos!I:I,df_extratos!F:F,Conciliacao!BG659,df_extratos!G:G,"CREDITO")+SUMIFS(df_extratos!I:I,df_extratos!F:F,Conciliacao!BH659,df_extratos!G:G,"CREDITO")</f>
        <v/>
      </c>
      <c r="I659" s="9">
        <f>H659-SUM(B659:G659)</f>
        <v/>
      </c>
      <c r="J659" s="4">
        <f>SUMIFS(df_blueme_sem_parcelamento!E:E,df_blueme_sem_parcelamento!H:H,Conciliacao!A659)*(-1)</f>
        <v/>
      </c>
      <c r="K659" s="4">
        <f>SUMIFS(df_blueme_com_parcelamento!J:J,df_blueme_com_parcelamento!M:M,Conciliacao!A659)*(-1)</f>
        <v/>
      </c>
      <c r="L659" s="4">
        <f>SUMIFS(df_mutuos!N:N,df_mutuos!B:B,Conciliacao!A659)*(-1)</f>
        <v/>
      </c>
      <c r="M659" s="8">
        <f>SUMIFS(df_bloqueios_judiciais!G:G,df_bloqueios_judiciais!D:D,Conciliacao!A659,df_bloqueios_judiciais!G:G,"&lt;0")</f>
        <v/>
      </c>
      <c r="N659" s="10">
        <f>SUMIFS(df_extratos!I:I,df_extratos!F:F,Conciliacao!BE659,df_extratos!G:G,"DEBITO")+SUMIFS(df_extratos!I:I,df_extratos!F:F,Conciliacao!A659,df_extratos!G:G,"DEBITO")+SUMIFS(df_extratos!I:I,df_extratos!F:F,Conciliacao!BF659,df_extratos!G:G,"DEBITO")+SUMIFS(df_extratos!I:I,df_extratos!F:F,Conciliacao!BG659,df_extratos!G:G,"DEBITO")+SUMIFS(df_extratos!I:I,df_extratos!F:F,Conciliacao!BH659,df_extratos!G:G,"DEBITO")</f>
        <v/>
      </c>
      <c r="O659" s="11">
        <f>N659-SUM(J659:M659)</f>
        <v/>
      </c>
      <c r="P659" s="25">
        <f>SUMIFS(df_ajustes_conciliaco!D:D,df_ajustes_conciliaco!C:C,Conciliacao!A659)</f>
        <v/>
      </c>
      <c r="Q659" s="22">
        <f>O659+I659-P659</f>
        <v/>
      </c>
    </row>
    <row r="660">
      <c r="A660" s="5">
        <f>A659+1</f>
        <v/>
      </c>
      <c r="B660" s="3">
        <f>-SUMIFS(df_extrato_zig!G:G,df_extrato_zig!E:E,Conciliacao!A660,df_extrato_zig!D:D,"Saque")-SUMIFS(df_extrato_zig!G:G,df_extrato_zig!E:E,Conciliacao!A660,df_extrato_zig!D:D,"Antecipação")</f>
        <v/>
      </c>
      <c r="C660" s="3">
        <f>SUMIFS(df_extrato_zig!E:E,df_extrato_zig!L:L,Conciliacao!A660,df_extrato_zig!F:F,"DINHEIRO")</f>
        <v/>
      </c>
      <c r="D660" s="3">
        <f>SUMIFS(view_parc_agrup!H:H,view_parc_agrup!G:G,Conciliacao!A660)</f>
        <v/>
      </c>
      <c r="E660" s="3">
        <f>SUMIFS(df_eventos!F:F,df_eventos!H:H,Conciliacao!A660)</f>
        <v/>
      </c>
      <c r="F660" s="3">
        <f>SUMIFS(df_mutuos!M:M,df_mutuos!B:B,Conciliacao!A660)</f>
        <v/>
      </c>
      <c r="G660" s="6">
        <f>SUMIFS(df_bloqueios_judiciais!G:G,df_bloqueios_judiciais!D:D,Conciliacao!A660,df_bloqueios_judiciais!G:G,"&gt;0")</f>
        <v/>
      </c>
      <c r="H660" s="7">
        <f>SUMIFS(df_extratos!I:I,df_extratos!F:F,Conciliacao!BE660,df_extratos!G:G,"CREDITO")+SUMIFS(df_extratos!I:I,df_extratos!F:F,Conciliacao!A660,df_extratos!G:G,"CREDITO")+SUMIFS(df_extratos!I:I,df_extratos!F:F,Conciliacao!BF660,df_extratos!G:G,"CREDITO")+SUMIFS(df_extratos!I:I,df_extratos!F:F,Conciliacao!BG660,df_extratos!G:G,"CREDITO")+SUMIFS(df_extratos!I:I,df_extratos!F:F,Conciliacao!BH660,df_extratos!G:G,"CREDITO")</f>
        <v/>
      </c>
      <c r="I660" s="9">
        <f>H660-SUM(B660:G660)</f>
        <v/>
      </c>
      <c r="J660" s="4">
        <f>SUMIFS(df_blueme_sem_parcelamento!E:E,df_blueme_sem_parcelamento!H:H,Conciliacao!A660)*(-1)</f>
        <v/>
      </c>
      <c r="K660" s="4">
        <f>SUMIFS(df_blueme_com_parcelamento!J:J,df_blueme_com_parcelamento!M:M,Conciliacao!A660)*(-1)</f>
        <v/>
      </c>
      <c r="L660" s="4">
        <f>SUMIFS(df_mutuos!N:N,df_mutuos!B:B,Conciliacao!A660)*(-1)</f>
        <v/>
      </c>
      <c r="M660" s="8">
        <f>SUMIFS(df_bloqueios_judiciais!G:G,df_bloqueios_judiciais!D:D,Conciliacao!A660,df_bloqueios_judiciais!G:G,"&lt;0")</f>
        <v/>
      </c>
      <c r="N660" s="10">
        <f>SUMIFS(df_extratos!I:I,df_extratos!F:F,Conciliacao!BE660,df_extratos!G:G,"DEBITO")+SUMIFS(df_extratos!I:I,df_extratos!F:F,Conciliacao!A660,df_extratos!G:G,"DEBITO")+SUMIFS(df_extratos!I:I,df_extratos!F:F,Conciliacao!BF660,df_extratos!G:G,"DEBITO")+SUMIFS(df_extratos!I:I,df_extratos!F:F,Conciliacao!BG660,df_extratos!G:G,"DEBITO")+SUMIFS(df_extratos!I:I,df_extratos!F:F,Conciliacao!BH660,df_extratos!G:G,"DEBITO")</f>
        <v/>
      </c>
      <c r="O660" s="11">
        <f>N660-SUM(J660:M660)</f>
        <v/>
      </c>
      <c r="P660" s="25">
        <f>SUMIFS(df_ajustes_conciliaco!D:D,df_ajustes_conciliaco!C:C,Conciliacao!A660)</f>
        <v/>
      </c>
      <c r="Q660" s="22">
        <f>O660+I660-P660</f>
        <v/>
      </c>
    </row>
    <row r="661">
      <c r="A661" s="5">
        <f>A660+1</f>
        <v/>
      </c>
      <c r="B661" s="3">
        <f>-SUMIFS(df_extrato_zig!G:G,df_extrato_zig!E:E,Conciliacao!A661,df_extrato_zig!D:D,"Saque")-SUMIFS(df_extrato_zig!G:G,df_extrato_zig!E:E,Conciliacao!A661,df_extrato_zig!D:D,"Antecipação")</f>
        <v/>
      </c>
      <c r="C661" s="3">
        <f>SUMIFS(df_extrato_zig!E:E,df_extrato_zig!L:L,Conciliacao!A661,df_extrato_zig!F:F,"DINHEIRO")</f>
        <v/>
      </c>
      <c r="D661" s="3">
        <f>SUMIFS(view_parc_agrup!H:H,view_parc_agrup!G:G,Conciliacao!A661)</f>
        <v/>
      </c>
      <c r="E661" s="3">
        <f>SUMIFS(df_eventos!F:F,df_eventos!H:H,Conciliacao!A661)</f>
        <v/>
      </c>
      <c r="F661" s="3">
        <f>SUMIFS(df_mutuos!M:M,df_mutuos!B:B,Conciliacao!A661)</f>
        <v/>
      </c>
      <c r="G661" s="6">
        <f>SUMIFS(df_bloqueios_judiciais!G:G,df_bloqueios_judiciais!D:D,Conciliacao!A661,df_bloqueios_judiciais!G:G,"&gt;0")</f>
        <v/>
      </c>
      <c r="H661" s="7">
        <f>SUMIFS(df_extratos!I:I,df_extratos!F:F,Conciliacao!BE661,df_extratos!G:G,"CREDITO")+SUMIFS(df_extratos!I:I,df_extratos!F:F,Conciliacao!A661,df_extratos!G:G,"CREDITO")+SUMIFS(df_extratos!I:I,df_extratos!F:F,Conciliacao!BF661,df_extratos!G:G,"CREDITO")+SUMIFS(df_extratos!I:I,df_extratos!F:F,Conciliacao!BG661,df_extratos!G:G,"CREDITO")+SUMIFS(df_extratos!I:I,df_extratos!F:F,Conciliacao!BH661,df_extratos!G:G,"CREDITO")</f>
        <v/>
      </c>
      <c r="I661" s="9">
        <f>H661-SUM(B661:G661)</f>
        <v/>
      </c>
      <c r="J661" s="4">
        <f>SUMIFS(df_blueme_sem_parcelamento!E:E,df_blueme_sem_parcelamento!H:H,Conciliacao!A661)*(-1)</f>
        <v/>
      </c>
      <c r="K661" s="4">
        <f>SUMIFS(df_blueme_com_parcelamento!J:J,df_blueme_com_parcelamento!M:M,Conciliacao!A661)*(-1)</f>
        <v/>
      </c>
      <c r="L661" s="4">
        <f>SUMIFS(df_mutuos!N:N,df_mutuos!B:B,Conciliacao!A661)*(-1)</f>
        <v/>
      </c>
      <c r="M661" s="8">
        <f>SUMIFS(df_bloqueios_judiciais!G:G,df_bloqueios_judiciais!D:D,Conciliacao!A661,df_bloqueios_judiciais!G:G,"&lt;0")</f>
        <v/>
      </c>
      <c r="N661" s="10">
        <f>SUMIFS(df_extratos!I:I,df_extratos!F:F,Conciliacao!BE661,df_extratos!G:G,"DEBITO")+SUMIFS(df_extratos!I:I,df_extratos!F:F,Conciliacao!A661,df_extratos!G:G,"DEBITO")+SUMIFS(df_extratos!I:I,df_extratos!F:F,Conciliacao!BF661,df_extratos!G:G,"DEBITO")+SUMIFS(df_extratos!I:I,df_extratos!F:F,Conciliacao!BG661,df_extratos!G:G,"DEBITO")+SUMIFS(df_extratos!I:I,df_extratos!F:F,Conciliacao!BH661,df_extratos!G:G,"DEBITO")</f>
        <v/>
      </c>
      <c r="O661" s="11">
        <f>N661-SUM(J661:M661)</f>
        <v/>
      </c>
      <c r="P661" s="25">
        <f>SUMIFS(df_ajustes_conciliaco!D:D,df_ajustes_conciliaco!C:C,Conciliacao!A661)</f>
        <v/>
      </c>
      <c r="Q661" s="22">
        <f>O661+I661-P661</f>
        <v/>
      </c>
    </row>
    <row r="662">
      <c r="A662" s="5">
        <f>A661+1</f>
        <v/>
      </c>
      <c r="B662" s="3">
        <f>-SUMIFS(df_extrato_zig!G:G,df_extrato_zig!E:E,Conciliacao!A662,df_extrato_zig!D:D,"Saque")-SUMIFS(df_extrato_zig!G:G,df_extrato_zig!E:E,Conciliacao!A662,df_extrato_zig!D:D,"Antecipação")</f>
        <v/>
      </c>
      <c r="C662" s="3">
        <f>SUMIFS(df_extrato_zig!E:E,df_extrato_zig!L:L,Conciliacao!A662,df_extrato_zig!F:F,"DINHEIRO")</f>
        <v/>
      </c>
      <c r="D662" s="3">
        <f>SUMIFS(view_parc_agrup!H:H,view_parc_agrup!G:G,Conciliacao!A662)</f>
        <v/>
      </c>
      <c r="E662" s="3">
        <f>SUMIFS(df_eventos!F:F,df_eventos!H:H,Conciliacao!A662)</f>
        <v/>
      </c>
      <c r="F662" s="3">
        <f>SUMIFS(df_mutuos!M:M,df_mutuos!B:B,Conciliacao!A662)</f>
        <v/>
      </c>
      <c r="G662" s="6">
        <f>SUMIFS(df_bloqueios_judiciais!G:G,df_bloqueios_judiciais!D:D,Conciliacao!A662,df_bloqueios_judiciais!G:G,"&gt;0")</f>
        <v/>
      </c>
      <c r="H662" s="7">
        <f>SUMIFS(df_extratos!I:I,df_extratos!F:F,Conciliacao!BE662,df_extratos!G:G,"CREDITO")+SUMIFS(df_extratos!I:I,df_extratos!F:F,Conciliacao!A662,df_extratos!G:G,"CREDITO")+SUMIFS(df_extratos!I:I,df_extratos!F:F,Conciliacao!BF662,df_extratos!G:G,"CREDITO")+SUMIFS(df_extratos!I:I,df_extratos!F:F,Conciliacao!BG662,df_extratos!G:G,"CREDITO")+SUMIFS(df_extratos!I:I,df_extratos!F:F,Conciliacao!BH662,df_extratos!G:G,"CREDITO")</f>
        <v/>
      </c>
      <c r="I662" s="9">
        <f>H662-SUM(B662:G662)</f>
        <v/>
      </c>
      <c r="J662" s="4">
        <f>SUMIFS(df_blueme_sem_parcelamento!E:E,df_blueme_sem_parcelamento!H:H,Conciliacao!A662)*(-1)</f>
        <v/>
      </c>
      <c r="K662" s="4">
        <f>SUMIFS(df_blueme_com_parcelamento!J:J,df_blueme_com_parcelamento!M:M,Conciliacao!A662)*(-1)</f>
        <v/>
      </c>
      <c r="L662" s="4">
        <f>SUMIFS(df_mutuos!N:N,df_mutuos!B:B,Conciliacao!A662)*(-1)</f>
        <v/>
      </c>
      <c r="M662" s="8">
        <f>SUMIFS(df_bloqueios_judiciais!G:G,df_bloqueios_judiciais!D:D,Conciliacao!A662,df_bloqueios_judiciais!G:G,"&lt;0")</f>
        <v/>
      </c>
      <c r="N662" s="10">
        <f>SUMIFS(df_extratos!I:I,df_extratos!F:F,Conciliacao!BE662,df_extratos!G:G,"DEBITO")+SUMIFS(df_extratos!I:I,df_extratos!F:F,Conciliacao!A662,df_extratos!G:G,"DEBITO")+SUMIFS(df_extratos!I:I,df_extratos!F:F,Conciliacao!BF662,df_extratos!G:G,"DEBITO")+SUMIFS(df_extratos!I:I,df_extratos!F:F,Conciliacao!BG662,df_extratos!G:G,"DEBITO")+SUMIFS(df_extratos!I:I,df_extratos!F:F,Conciliacao!BH662,df_extratos!G:G,"DEBITO")</f>
        <v/>
      </c>
      <c r="O662" s="11">
        <f>N662-SUM(J662:M662)</f>
        <v/>
      </c>
      <c r="P662" s="25">
        <f>SUMIFS(df_ajustes_conciliaco!D:D,df_ajustes_conciliaco!C:C,Conciliacao!A662)</f>
        <v/>
      </c>
      <c r="Q662" s="22">
        <f>O662+I662-P662</f>
        <v/>
      </c>
    </row>
    <row r="663">
      <c r="A663" s="5">
        <f>A662+1</f>
        <v/>
      </c>
      <c r="B663" s="3">
        <f>-SUMIFS(df_extrato_zig!G:G,df_extrato_zig!E:E,Conciliacao!A663,df_extrato_zig!D:D,"Saque")-SUMIFS(df_extrato_zig!G:G,df_extrato_zig!E:E,Conciliacao!A663,df_extrato_zig!D:D,"Antecipação")</f>
        <v/>
      </c>
      <c r="C663" s="3">
        <f>SUMIFS(df_extrato_zig!E:E,df_extrato_zig!L:L,Conciliacao!A663,df_extrato_zig!F:F,"DINHEIRO")</f>
        <v/>
      </c>
      <c r="D663" s="3">
        <f>SUMIFS(view_parc_agrup!H:H,view_parc_agrup!G:G,Conciliacao!A663)</f>
        <v/>
      </c>
      <c r="E663" s="3">
        <f>SUMIFS(df_eventos!F:F,df_eventos!H:H,Conciliacao!A663)</f>
        <v/>
      </c>
      <c r="F663" s="3">
        <f>SUMIFS(df_mutuos!M:M,df_mutuos!B:B,Conciliacao!A663)</f>
        <v/>
      </c>
      <c r="G663" s="6">
        <f>SUMIFS(df_bloqueios_judiciais!G:G,df_bloqueios_judiciais!D:D,Conciliacao!A663,df_bloqueios_judiciais!G:G,"&gt;0")</f>
        <v/>
      </c>
      <c r="H663" s="7">
        <f>SUMIFS(df_extratos!I:I,df_extratos!F:F,Conciliacao!BE663,df_extratos!G:G,"CREDITO")+SUMIFS(df_extratos!I:I,df_extratos!F:F,Conciliacao!A663,df_extratos!G:G,"CREDITO")+SUMIFS(df_extratos!I:I,df_extratos!F:F,Conciliacao!BF663,df_extratos!G:G,"CREDITO")+SUMIFS(df_extratos!I:I,df_extratos!F:F,Conciliacao!BG663,df_extratos!G:G,"CREDITO")+SUMIFS(df_extratos!I:I,df_extratos!F:F,Conciliacao!BH663,df_extratos!G:G,"CREDITO")</f>
        <v/>
      </c>
      <c r="I663" s="9">
        <f>H663-SUM(B663:G663)</f>
        <v/>
      </c>
      <c r="J663" s="4">
        <f>SUMIFS(df_blueme_sem_parcelamento!E:E,df_blueme_sem_parcelamento!H:H,Conciliacao!A663)*(-1)</f>
        <v/>
      </c>
      <c r="K663" s="4">
        <f>SUMIFS(df_blueme_com_parcelamento!J:J,df_blueme_com_parcelamento!M:M,Conciliacao!A663)*(-1)</f>
        <v/>
      </c>
      <c r="L663" s="4">
        <f>SUMIFS(df_mutuos!N:N,df_mutuos!B:B,Conciliacao!A663)*(-1)</f>
        <v/>
      </c>
      <c r="M663" s="8">
        <f>SUMIFS(df_bloqueios_judiciais!G:G,df_bloqueios_judiciais!D:D,Conciliacao!A663,df_bloqueios_judiciais!G:G,"&lt;0")</f>
        <v/>
      </c>
      <c r="N663" s="10">
        <f>SUMIFS(df_extratos!I:I,df_extratos!F:F,Conciliacao!BE663,df_extratos!G:G,"DEBITO")+SUMIFS(df_extratos!I:I,df_extratos!F:F,Conciliacao!A663,df_extratos!G:G,"DEBITO")+SUMIFS(df_extratos!I:I,df_extratos!F:F,Conciliacao!BF663,df_extratos!G:G,"DEBITO")+SUMIFS(df_extratos!I:I,df_extratos!F:F,Conciliacao!BG663,df_extratos!G:G,"DEBITO")+SUMIFS(df_extratos!I:I,df_extratos!F:F,Conciliacao!BH663,df_extratos!G:G,"DEBITO")</f>
        <v/>
      </c>
      <c r="O663" s="11">
        <f>N663-SUM(J663:M663)</f>
        <v/>
      </c>
      <c r="P663" s="25">
        <f>SUMIFS(df_ajustes_conciliaco!D:D,df_ajustes_conciliaco!C:C,Conciliacao!A663)</f>
        <v/>
      </c>
      <c r="Q663" s="22">
        <f>O663+I663-P663</f>
        <v/>
      </c>
    </row>
    <row r="664">
      <c r="A664" s="5">
        <f>A663+1</f>
        <v/>
      </c>
      <c r="B664" s="3">
        <f>-SUMIFS(df_extrato_zig!G:G,df_extrato_zig!E:E,Conciliacao!A664,df_extrato_zig!D:D,"Saque")-SUMIFS(df_extrato_zig!G:G,df_extrato_zig!E:E,Conciliacao!A664,df_extrato_zig!D:D,"Antecipação")</f>
        <v/>
      </c>
      <c r="C664" s="3">
        <f>SUMIFS(df_extrato_zig!E:E,df_extrato_zig!L:L,Conciliacao!A664,df_extrato_zig!F:F,"DINHEIRO")</f>
        <v/>
      </c>
      <c r="D664" s="3">
        <f>SUMIFS(view_parc_agrup!H:H,view_parc_agrup!G:G,Conciliacao!A664)</f>
        <v/>
      </c>
      <c r="E664" s="3">
        <f>SUMIFS(df_eventos!F:F,df_eventos!H:H,Conciliacao!A664)</f>
        <v/>
      </c>
      <c r="F664" s="3">
        <f>SUMIFS(df_mutuos!M:M,df_mutuos!B:B,Conciliacao!A664)</f>
        <v/>
      </c>
      <c r="G664" s="6">
        <f>SUMIFS(df_bloqueios_judiciais!G:G,df_bloqueios_judiciais!D:D,Conciliacao!A664,df_bloqueios_judiciais!G:G,"&gt;0")</f>
        <v/>
      </c>
      <c r="H664" s="7">
        <f>SUMIFS(df_extratos!I:I,df_extratos!F:F,Conciliacao!BE664,df_extratos!G:G,"CREDITO")+SUMIFS(df_extratos!I:I,df_extratos!F:F,Conciliacao!A664,df_extratos!G:G,"CREDITO")+SUMIFS(df_extratos!I:I,df_extratos!F:F,Conciliacao!BF664,df_extratos!G:G,"CREDITO")+SUMIFS(df_extratos!I:I,df_extratos!F:F,Conciliacao!BG664,df_extratos!G:G,"CREDITO")+SUMIFS(df_extratos!I:I,df_extratos!F:F,Conciliacao!BH664,df_extratos!G:G,"CREDITO")</f>
        <v/>
      </c>
      <c r="I664" s="9">
        <f>H664-SUM(B664:G664)</f>
        <v/>
      </c>
      <c r="J664" s="4">
        <f>SUMIFS(df_blueme_sem_parcelamento!E:E,df_blueme_sem_parcelamento!H:H,Conciliacao!A664)*(-1)</f>
        <v/>
      </c>
      <c r="K664" s="4">
        <f>SUMIFS(df_blueme_com_parcelamento!J:J,df_blueme_com_parcelamento!M:M,Conciliacao!A664)*(-1)</f>
        <v/>
      </c>
      <c r="L664" s="4">
        <f>SUMIFS(df_mutuos!N:N,df_mutuos!B:B,Conciliacao!A664)*(-1)</f>
        <v/>
      </c>
      <c r="M664" s="8">
        <f>SUMIFS(df_bloqueios_judiciais!G:G,df_bloqueios_judiciais!D:D,Conciliacao!A664,df_bloqueios_judiciais!G:G,"&lt;0")</f>
        <v/>
      </c>
      <c r="N664" s="10">
        <f>SUMIFS(df_extratos!I:I,df_extratos!F:F,Conciliacao!BE664,df_extratos!G:G,"DEBITO")+SUMIFS(df_extratos!I:I,df_extratos!F:F,Conciliacao!A664,df_extratos!G:G,"DEBITO")+SUMIFS(df_extratos!I:I,df_extratos!F:F,Conciliacao!BF664,df_extratos!G:G,"DEBITO")+SUMIFS(df_extratos!I:I,df_extratos!F:F,Conciliacao!BG664,df_extratos!G:G,"DEBITO")+SUMIFS(df_extratos!I:I,df_extratos!F:F,Conciliacao!BH664,df_extratos!G:G,"DEBITO")</f>
        <v/>
      </c>
      <c r="O664" s="11">
        <f>N664-SUM(J664:M664)</f>
        <v/>
      </c>
      <c r="P664" s="25">
        <f>SUMIFS(df_ajustes_conciliaco!D:D,df_ajustes_conciliaco!C:C,Conciliacao!A664)</f>
        <v/>
      </c>
      <c r="Q664" s="22">
        <f>O664+I664-P664</f>
        <v/>
      </c>
    </row>
    <row r="665">
      <c r="A665" s="5">
        <f>A664+1</f>
        <v/>
      </c>
      <c r="B665" s="3">
        <f>-SUMIFS(df_extrato_zig!G:G,df_extrato_zig!E:E,Conciliacao!A665,df_extrato_zig!D:D,"Saque")-SUMIFS(df_extrato_zig!G:G,df_extrato_zig!E:E,Conciliacao!A665,df_extrato_zig!D:D,"Antecipação")</f>
        <v/>
      </c>
      <c r="C665" s="3">
        <f>SUMIFS(df_extrato_zig!E:E,df_extrato_zig!L:L,Conciliacao!A665,df_extrato_zig!F:F,"DINHEIRO")</f>
        <v/>
      </c>
      <c r="D665" s="3">
        <f>SUMIFS(view_parc_agrup!H:H,view_parc_agrup!G:G,Conciliacao!A665)</f>
        <v/>
      </c>
      <c r="E665" s="3">
        <f>SUMIFS(df_eventos!F:F,df_eventos!H:H,Conciliacao!A665)</f>
        <v/>
      </c>
      <c r="F665" s="3">
        <f>SUMIFS(df_mutuos!M:M,df_mutuos!B:B,Conciliacao!A665)</f>
        <v/>
      </c>
      <c r="G665" s="6">
        <f>SUMIFS(df_bloqueios_judiciais!G:G,df_bloqueios_judiciais!D:D,Conciliacao!A665,df_bloqueios_judiciais!G:G,"&gt;0")</f>
        <v/>
      </c>
      <c r="H665" s="7">
        <f>SUMIFS(df_extratos!I:I,df_extratos!F:F,Conciliacao!BE665,df_extratos!G:G,"CREDITO")+SUMIFS(df_extratos!I:I,df_extratos!F:F,Conciliacao!A665,df_extratos!G:G,"CREDITO")+SUMIFS(df_extratos!I:I,df_extratos!F:F,Conciliacao!BF665,df_extratos!G:G,"CREDITO")+SUMIFS(df_extratos!I:I,df_extratos!F:F,Conciliacao!BG665,df_extratos!G:G,"CREDITO")+SUMIFS(df_extratos!I:I,df_extratos!F:F,Conciliacao!BH665,df_extratos!G:G,"CREDITO")</f>
        <v/>
      </c>
      <c r="I665" s="9">
        <f>H665-SUM(B665:G665)</f>
        <v/>
      </c>
      <c r="J665" s="4">
        <f>SUMIFS(df_blueme_sem_parcelamento!E:E,df_blueme_sem_parcelamento!H:H,Conciliacao!A665)*(-1)</f>
        <v/>
      </c>
      <c r="K665" s="4">
        <f>SUMIFS(df_blueme_com_parcelamento!J:J,df_blueme_com_parcelamento!M:M,Conciliacao!A665)*(-1)</f>
        <v/>
      </c>
      <c r="L665" s="4">
        <f>SUMIFS(df_mutuos!N:N,df_mutuos!B:B,Conciliacao!A665)*(-1)</f>
        <v/>
      </c>
      <c r="M665" s="8">
        <f>SUMIFS(df_bloqueios_judiciais!G:G,df_bloqueios_judiciais!D:D,Conciliacao!A665,df_bloqueios_judiciais!G:G,"&lt;0")</f>
        <v/>
      </c>
      <c r="N665" s="10">
        <f>SUMIFS(df_extratos!I:I,df_extratos!F:F,Conciliacao!BE665,df_extratos!G:G,"DEBITO")+SUMIFS(df_extratos!I:I,df_extratos!F:F,Conciliacao!A665,df_extratos!G:G,"DEBITO")+SUMIFS(df_extratos!I:I,df_extratos!F:F,Conciliacao!BF665,df_extratos!G:G,"DEBITO")+SUMIFS(df_extratos!I:I,df_extratos!F:F,Conciliacao!BG665,df_extratos!G:G,"DEBITO")+SUMIFS(df_extratos!I:I,df_extratos!F:F,Conciliacao!BH665,df_extratos!G:G,"DEBITO")</f>
        <v/>
      </c>
      <c r="O665" s="11">
        <f>N665-SUM(J665:M665)</f>
        <v/>
      </c>
      <c r="P665" s="25">
        <f>SUMIFS(df_ajustes_conciliaco!D:D,df_ajustes_conciliaco!C:C,Conciliacao!A665)</f>
        <v/>
      </c>
      <c r="Q665" s="22">
        <f>O665+I665-P665</f>
        <v/>
      </c>
    </row>
    <row r="666">
      <c r="A666" s="5">
        <f>A665+1</f>
        <v/>
      </c>
      <c r="B666" s="3">
        <f>-SUMIFS(df_extrato_zig!G:G,df_extrato_zig!E:E,Conciliacao!A666,df_extrato_zig!D:D,"Saque")-SUMIFS(df_extrato_zig!G:G,df_extrato_zig!E:E,Conciliacao!A666,df_extrato_zig!D:D,"Antecipação")</f>
        <v/>
      </c>
      <c r="C666" s="3">
        <f>SUMIFS(df_extrato_zig!E:E,df_extrato_zig!L:L,Conciliacao!A666,df_extrato_zig!F:F,"DINHEIRO")</f>
        <v/>
      </c>
      <c r="D666" s="3">
        <f>SUMIFS(view_parc_agrup!H:H,view_parc_agrup!G:G,Conciliacao!A666)</f>
        <v/>
      </c>
      <c r="E666" s="3">
        <f>SUMIFS(df_eventos!F:F,df_eventos!H:H,Conciliacao!A666)</f>
        <v/>
      </c>
      <c r="F666" s="3">
        <f>SUMIFS(df_mutuos!M:M,df_mutuos!B:B,Conciliacao!A666)</f>
        <v/>
      </c>
      <c r="G666" s="6">
        <f>SUMIFS(df_bloqueios_judiciais!G:G,df_bloqueios_judiciais!D:D,Conciliacao!A666,df_bloqueios_judiciais!G:G,"&gt;0")</f>
        <v/>
      </c>
      <c r="H666" s="7">
        <f>SUMIFS(df_extratos!I:I,df_extratos!F:F,Conciliacao!BE666,df_extratos!G:G,"CREDITO")+SUMIFS(df_extratos!I:I,df_extratos!F:F,Conciliacao!A666,df_extratos!G:G,"CREDITO")+SUMIFS(df_extratos!I:I,df_extratos!F:F,Conciliacao!BF666,df_extratos!G:G,"CREDITO")+SUMIFS(df_extratos!I:I,df_extratos!F:F,Conciliacao!BG666,df_extratos!G:G,"CREDITO")+SUMIFS(df_extratos!I:I,df_extratos!F:F,Conciliacao!BH666,df_extratos!G:G,"CREDITO")</f>
        <v/>
      </c>
      <c r="I666" s="9">
        <f>H666-SUM(B666:G666)</f>
        <v/>
      </c>
      <c r="J666" s="4">
        <f>SUMIFS(df_blueme_sem_parcelamento!E:E,df_blueme_sem_parcelamento!H:H,Conciliacao!A666)*(-1)</f>
        <v/>
      </c>
      <c r="K666" s="4">
        <f>SUMIFS(df_blueme_com_parcelamento!J:J,df_blueme_com_parcelamento!M:M,Conciliacao!A666)*(-1)</f>
        <v/>
      </c>
      <c r="L666" s="4">
        <f>SUMIFS(df_mutuos!N:N,df_mutuos!B:B,Conciliacao!A666)*(-1)</f>
        <v/>
      </c>
      <c r="M666" s="8">
        <f>SUMIFS(df_bloqueios_judiciais!G:G,df_bloqueios_judiciais!D:D,Conciliacao!A666,df_bloqueios_judiciais!G:G,"&lt;0")</f>
        <v/>
      </c>
      <c r="N666" s="10">
        <f>SUMIFS(df_extratos!I:I,df_extratos!F:F,Conciliacao!BE666,df_extratos!G:G,"DEBITO")+SUMIFS(df_extratos!I:I,df_extratos!F:F,Conciliacao!A666,df_extratos!G:G,"DEBITO")+SUMIFS(df_extratos!I:I,df_extratos!F:F,Conciliacao!BF666,df_extratos!G:G,"DEBITO")+SUMIFS(df_extratos!I:I,df_extratos!F:F,Conciliacao!BG666,df_extratos!G:G,"DEBITO")+SUMIFS(df_extratos!I:I,df_extratos!F:F,Conciliacao!BH666,df_extratos!G:G,"DEBITO")</f>
        <v/>
      </c>
      <c r="O666" s="11">
        <f>N666-SUM(J666:M666)</f>
        <v/>
      </c>
      <c r="P666" s="25">
        <f>SUMIFS(df_ajustes_conciliaco!D:D,df_ajustes_conciliaco!C:C,Conciliacao!A666)</f>
        <v/>
      </c>
      <c r="Q666" s="22">
        <f>O666+I666-P666</f>
        <v/>
      </c>
    </row>
    <row r="667">
      <c r="A667" s="5">
        <f>A666+1</f>
        <v/>
      </c>
      <c r="B667" s="3">
        <f>-SUMIFS(df_extrato_zig!G:G,df_extrato_zig!E:E,Conciliacao!A667,df_extrato_zig!D:D,"Saque")-SUMIFS(df_extrato_zig!G:G,df_extrato_zig!E:E,Conciliacao!A667,df_extrato_zig!D:D,"Antecipação")</f>
        <v/>
      </c>
      <c r="C667" s="3">
        <f>SUMIFS(df_extrato_zig!E:E,df_extrato_zig!L:L,Conciliacao!A667,df_extrato_zig!F:F,"DINHEIRO")</f>
        <v/>
      </c>
      <c r="D667" s="3">
        <f>SUMIFS(view_parc_agrup!H:H,view_parc_agrup!G:G,Conciliacao!A667)</f>
        <v/>
      </c>
      <c r="E667" s="3">
        <f>SUMIFS(df_eventos!F:F,df_eventos!H:H,Conciliacao!A667)</f>
        <v/>
      </c>
      <c r="F667" s="3">
        <f>SUMIFS(df_mutuos!M:M,df_mutuos!B:B,Conciliacao!A667)</f>
        <v/>
      </c>
      <c r="G667" s="6">
        <f>SUMIFS(df_bloqueios_judiciais!G:G,df_bloqueios_judiciais!D:D,Conciliacao!A667,df_bloqueios_judiciais!G:G,"&gt;0")</f>
        <v/>
      </c>
      <c r="H667" s="7">
        <f>SUMIFS(df_extratos!I:I,df_extratos!F:F,Conciliacao!BE667,df_extratos!G:G,"CREDITO")+SUMIFS(df_extratos!I:I,df_extratos!F:F,Conciliacao!A667,df_extratos!G:G,"CREDITO")+SUMIFS(df_extratos!I:I,df_extratos!F:F,Conciliacao!BF667,df_extratos!G:G,"CREDITO")+SUMIFS(df_extratos!I:I,df_extratos!F:F,Conciliacao!BG667,df_extratos!G:G,"CREDITO")+SUMIFS(df_extratos!I:I,df_extratos!F:F,Conciliacao!BH667,df_extratos!G:G,"CREDITO")</f>
        <v/>
      </c>
      <c r="I667" s="9">
        <f>H667-SUM(B667:G667)</f>
        <v/>
      </c>
      <c r="J667" s="4">
        <f>SUMIFS(df_blueme_sem_parcelamento!E:E,df_blueme_sem_parcelamento!H:H,Conciliacao!A667)*(-1)</f>
        <v/>
      </c>
      <c r="K667" s="4">
        <f>SUMIFS(df_blueme_com_parcelamento!J:J,df_blueme_com_parcelamento!M:M,Conciliacao!A667)*(-1)</f>
        <v/>
      </c>
      <c r="L667" s="4">
        <f>SUMIFS(df_mutuos!N:N,df_mutuos!B:B,Conciliacao!A667)*(-1)</f>
        <v/>
      </c>
      <c r="M667" s="8">
        <f>SUMIFS(df_bloqueios_judiciais!G:G,df_bloqueios_judiciais!D:D,Conciliacao!A667,df_bloqueios_judiciais!G:G,"&lt;0")</f>
        <v/>
      </c>
      <c r="N667" s="10">
        <f>SUMIFS(df_extratos!I:I,df_extratos!F:F,Conciliacao!BE667,df_extratos!G:G,"DEBITO")+SUMIFS(df_extratos!I:I,df_extratos!F:F,Conciliacao!A667,df_extratos!G:G,"DEBITO")+SUMIFS(df_extratos!I:I,df_extratos!F:F,Conciliacao!BF667,df_extratos!G:G,"DEBITO")+SUMIFS(df_extratos!I:I,df_extratos!F:F,Conciliacao!BG667,df_extratos!G:G,"DEBITO")+SUMIFS(df_extratos!I:I,df_extratos!F:F,Conciliacao!BH667,df_extratos!G:G,"DEBITO")</f>
        <v/>
      </c>
      <c r="O667" s="11">
        <f>N667-SUM(J667:M667)</f>
        <v/>
      </c>
      <c r="P667" s="25">
        <f>SUMIFS(df_ajustes_conciliaco!D:D,df_ajustes_conciliaco!C:C,Conciliacao!A667)</f>
        <v/>
      </c>
      <c r="Q667" s="22">
        <f>O667+I667-P667</f>
        <v/>
      </c>
    </row>
    <row r="668">
      <c r="A668" s="5">
        <f>A667+1</f>
        <v/>
      </c>
      <c r="B668" s="3">
        <f>-SUMIFS(df_extrato_zig!G:G,df_extrato_zig!E:E,Conciliacao!A668,df_extrato_zig!D:D,"Saque")-SUMIFS(df_extrato_zig!G:G,df_extrato_zig!E:E,Conciliacao!A668,df_extrato_zig!D:D,"Antecipação")</f>
        <v/>
      </c>
      <c r="C668" s="3">
        <f>SUMIFS(df_extrato_zig!E:E,df_extrato_zig!L:L,Conciliacao!A668,df_extrato_zig!F:F,"DINHEIRO")</f>
        <v/>
      </c>
      <c r="D668" s="3">
        <f>SUMIFS(view_parc_agrup!H:H,view_parc_agrup!G:G,Conciliacao!A668)</f>
        <v/>
      </c>
      <c r="E668" s="3">
        <f>SUMIFS(df_eventos!F:F,df_eventos!H:H,Conciliacao!A668)</f>
        <v/>
      </c>
      <c r="F668" s="3">
        <f>SUMIFS(df_mutuos!M:M,df_mutuos!B:B,Conciliacao!A668)</f>
        <v/>
      </c>
      <c r="G668" s="6">
        <f>SUMIFS(df_bloqueios_judiciais!G:G,df_bloqueios_judiciais!D:D,Conciliacao!A668,df_bloqueios_judiciais!G:G,"&gt;0")</f>
        <v/>
      </c>
      <c r="H668" s="7">
        <f>SUMIFS(df_extratos!I:I,df_extratos!F:F,Conciliacao!BE668,df_extratos!G:G,"CREDITO")+SUMIFS(df_extratos!I:I,df_extratos!F:F,Conciliacao!A668,df_extratos!G:G,"CREDITO")+SUMIFS(df_extratos!I:I,df_extratos!F:F,Conciliacao!BF668,df_extratos!G:G,"CREDITO")+SUMIFS(df_extratos!I:I,df_extratos!F:F,Conciliacao!BG668,df_extratos!G:G,"CREDITO")+SUMIFS(df_extratos!I:I,df_extratos!F:F,Conciliacao!BH668,df_extratos!G:G,"CREDITO")</f>
        <v/>
      </c>
      <c r="I668" s="9">
        <f>H668-SUM(B668:G668)</f>
        <v/>
      </c>
      <c r="J668" s="4">
        <f>SUMIFS(df_blueme_sem_parcelamento!E:E,df_blueme_sem_parcelamento!H:H,Conciliacao!A668)*(-1)</f>
        <v/>
      </c>
      <c r="K668" s="4">
        <f>SUMIFS(df_blueme_com_parcelamento!J:J,df_blueme_com_parcelamento!M:M,Conciliacao!A668)*(-1)</f>
        <v/>
      </c>
      <c r="L668" s="4">
        <f>SUMIFS(df_mutuos!N:N,df_mutuos!B:B,Conciliacao!A668)*(-1)</f>
        <v/>
      </c>
      <c r="M668" s="8">
        <f>SUMIFS(df_bloqueios_judiciais!G:G,df_bloqueios_judiciais!D:D,Conciliacao!A668,df_bloqueios_judiciais!G:G,"&lt;0")</f>
        <v/>
      </c>
      <c r="N668" s="10">
        <f>SUMIFS(df_extratos!I:I,df_extratos!F:F,Conciliacao!BE668,df_extratos!G:G,"DEBITO")+SUMIFS(df_extratos!I:I,df_extratos!F:F,Conciliacao!A668,df_extratos!G:G,"DEBITO")+SUMIFS(df_extratos!I:I,df_extratos!F:F,Conciliacao!BF668,df_extratos!G:G,"DEBITO")+SUMIFS(df_extratos!I:I,df_extratos!F:F,Conciliacao!BG668,df_extratos!G:G,"DEBITO")+SUMIFS(df_extratos!I:I,df_extratos!F:F,Conciliacao!BH668,df_extratos!G:G,"DEBITO")</f>
        <v/>
      </c>
      <c r="O668" s="11">
        <f>N668-SUM(J668:M668)</f>
        <v/>
      </c>
      <c r="P668" s="25">
        <f>SUMIFS(df_ajustes_conciliaco!D:D,df_ajustes_conciliaco!C:C,Conciliacao!A668)</f>
        <v/>
      </c>
      <c r="Q668" s="22">
        <f>O668+I668-P668</f>
        <v/>
      </c>
    </row>
    <row r="669">
      <c r="A669" s="5">
        <f>A668+1</f>
        <v/>
      </c>
      <c r="B669" s="3">
        <f>-SUMIFS(df_extrato_zig!G:G,df_extrato_zig!E:E,Conciliacao!A669,df_extrato_zig!D:D,"Saque")-SUMIFS(df_extrato_zig!G:G,df_extrato_zig!E:E,Conciliacao!A669,df_extrato_zig!D:D,"Antecipação")</f>
        <v/>
      </c>
      <c r="C669" s="3">
        <f>SUMIFS(df_extrato_zig!E:E,df_extrato_zig!L:L,Conciliacao!A669,df_extrato_zig!F:F,"DINHEIRO")</f>
        <v/>
      </c>
      <c r="D669" s="3">
        <f>SUMIFS(view_parc_agrup!H:H,view_parc_agrup!G:G,Conciliacao!A669)</f>
        <v/>
      </c>
      <c r="E669" s="3">
        <f>SUMIFS(df_eventos!F:F,df_eventos!H:H,Conciliacao!A669)</f>
        <v/>
      </c>
      <c r="F669" s="3">
        <f>SUMIFS(df_mutuos!M:M,df_mutuos!B:B,Conciliacao!A669)</f>
        <v/>
      </c>
      <c r="G669" s="6">
        <f>SUMIFS(df_bloqueios_judiciais!G:G,df_bloqueios_judiciais!D:D,Conciliacao!A669,df_bloqueios_judiciais!G:G,"&gt;0")</f>
        <v/>
      </c>
      <c r="H669" s="7">
        <f>SUMIFS(df_extratos!I:I,df_extratos!F:F,Conciliacao!BE669,df_extratos!G:G,"CREDITO")+SUMIFS(df_extratos!I:I,df_extratos!F:F,Conciliacao!A669,df_extratos!G:G,"CREDITO")+SUMIFS(df_extratos!I:I,df_extratos!F:F,Conciliacao!BF669,df_extratos!G:G,"CREDITO")+SUMIFS(df_extratos!I:I,df_extratos!F:F,Conciliacao!BG669,df_extratos!G:G,"CREDITO")+SUMIFS(df_extratos!I:I,df_extratos!F:F,Conciliacao!BH669,df_extratos!G:G,"CREDITO")</f>
        <v/>
      </c>
      <c r="I669" s="9">
        <f>H669-SUM(B669:G669)</f>
        <v/>
      </c>
      <c r="J669" s="4">
        <f>SUMIFS(df_blueme_sem_parcelamento!E:E,df_blueme_sem_parcelamento!H:H,Conciliacao!A669)*(-1)</f>
        <v/>
      </c>
      <c r="K669" s="4">
        <f>SUMIFS(df_blueme_com_parcelamento!J:J,df_blueme_com_parcelamento!M:M,Conciliacao!A669)*(-1)</f>
        <v/>
      </c>
      <c r="L669" s="4">
        <f>SUMIFS(df_mutuos!N:N,df_mutuos!B:B,Conciliacao!A669)*(-1)</f>
        <v/>
      </c>
      <c r="M669" s="8">
        <f>SUMIFS(df_bloqueios_judiciais!G:G,df_bloqueios_judiciais!D:D,Conciliacao!A669,df_bloqueios_judiciais!G:G,"&lt;0")</f>
        <v/>
      </c>
      <c r="N669" s="10">
        <f>SUMIFS(df_extratos!I:I,df_extratos!F:F,Conciliacao!BE669,df_extratos!G:G,"DEBITO")+SUMIFS(df_extratos!I:I,df_extratos!F:F,Conciliacao!A669,df_extratos!G:G,"DEBITO")+SUMIFS(df_extratos!I:I,df_extratos!F:F,Conciliacao!BF669,df_extratos!G:G,"DEBITO")+SUMIFS(df_extratos!I:I,df_extratos!F:F,Conciliacao!BG669,df_extratos!G:G,"DEBITO")+SUMIFS(df_extratos!I:I,df_extratos!F:F,Conciliacao!BH669,df_extratos!G:G,"DEBITO")</f>
        <v/>
      </c>
      <c r="O669" s="11">
        <f>N669-SUM(J669:M669)</f>
        <v/>
      </c>
      <c r="P669" s="25">
        <f>SUMIFS(df_ajustes_conciliaco!D:D,df_ajustes_conciliaco!C:C,Conciliacao!A669)</f>
        <v/>
      </c>
      <c r="Q669" s="22">
        <f>O669+I669-P669</f>
        <v/>
      </c>
    </row>
    <row r="670">
      <c r="A670" s="5">
        <f>A669+1</f>
        <v/>
      </c>
      <c r="B670" s="3">
        <f>-SUMIFS(df_extrato_zig!G:G,df_extrato_zig!E:E,Conciliacao!A670,df_extrato_zig!D:D,"Saque")-SUMIFS(df_extrato_zig!G:G,df_extrato_zig!E:E,Conciliacao!A670,df_extrato_zig!D:D,"Antecipação")</f>
        <v/>
      </c>
      <c r="C670" s="3">
        <f>SUMIFS(df_extrato_zig!E:E,df_extrato_zig!L:L,Conciliacao!A670,df_extrato_zig!F:F,"DINHEIRO")</f>
        <v/>
      </c>
      <c r="D670" s="3">
        <f>SUMIFS(view_parc_agrup!H:H,view_parc_agrup!G:G,Conciliacao!A670)</f>
        <v/>
      </c>
      <c r="E670" s="3">
        <f>SUMIFS(df_eventos!F:F,df_eventos!H:H,Conciliacao!A670)</f>
        <v/>
      </c>
      <c r="F670" s="3">
        <f>SUMIFS(df_mutuos!M:M,df_mutuos!B:B,Conciliacao!A670)</f>
        <v/>
      </c>
      <c r="G670" s="6">
        <f>SUMIFS(df_bloqueios_judiciais!G:G,df_bloqueios_judiciais!D:D,Conciliacao!A670,df_bloqueios_judiciais!G:G,"&gt;0")</f>
        <v/>
      </c>
      <c r="H670" s="7">
        <f>SUMIFS(df_extratos!I:I,df_extratos!F:F,Conciliacao!BE670,df_extratos!G:G,"CREDITO")+SUMIFS(df_extratos!I:I,df_extratos!F:F,Conciliacao!A670,df_extratos!G:G,"CREDITO")+SUMIFS(df_extratos!I:I,df_extratos!F:F,Conciliacao!BF670,df_extratos!G:G,"CREDITO")+SUMIFS(df_extratos!I:I,df_extratos!F:F,Conciliacao!BG670,df_extratos!G:G,"CREDITO")+SUMIFS(df_extratos!I:I,df_extratos!F:F,Conciliacao!BH670,df_extratos!G:G,"CREDITO")</f>
        <v/>
      </c>
      <c r="I670" s="9">
        <f>H670-SUM(B670:G670)</f>
        <v/>
      </c>
      <c r="J670" s="4">
        <f>SUMIFS(df_blueme_sem_parcelamento!E:E,df_blueme_sem_parcelamento!H:H,Conciliacao!A670)*(-1)</f>
        <v/>
      </c>
      <c r="K670" s="4">
        <f>SUMIFS(df_blueme_com_parcelamento!J:J,df_blueme_com_parcelamento!M:M,Conciliacao!A670)*(-1)</f>
        <v/>
      </c>
      <c r="L670" s="4">
        <f>SUMIFS(df_mutuos!N:N,df_mutuos!B:B,Conciliacao!A670)*(-1)</f>
        <v/>
      </c>
      <c r="M670" s="8">
        <f>SUMIFS(df_bloqueios_judiciais!G:G,df_bloqueios_judiciais!D:D,Conciliacao!A670,df_bloqueios_judiciais!G:G,"&lt;0")</f>
        <v/>
      </c>
      <c r="N670" s="10">
        <f>SUMIFS(df_extratos!I:I,df_extratos!F:F,Conciliacao!BE670,df_extratos!G:G,"DEBITO")+SUMIFS(df_extratos!I:I,df_extratos!F:F,Conciliacao!A670,df_extratos!G:G,"DEBITO")+SUMIFS(df_extratos!I:I,df_extratos!F:F,Conciliacao!BF670,df_extratos!G:G,"DEBITO")+SUMIFS(df_extratos!I:I,df_extratos!F:F,Conciliacao!BG670,df_extratos!G:G,"DEBITO")+SUMIFS(df_extratos!I:I,df_extratos!F:F,Conciliacao!BH670,df_extratos!G:G,"DEBITO")</f>
        <v/>
      </c>
      <c r="O670" s="11">
        <f>N670-SUM(J670:M670)</f>
        <v/>
      </c>
      <c r="P670" s="25">
        <f>SUMIFS(df_ajustes_conciliaco!D:D,df_ajustes_conciliaco!C:C,Conciliacao!A670)</f>
        <v/>
      </c>
      <c r="Q670" s="22">
        <f>O670+I670-P670</f>
        <v/>
      </c>
    </row>
    <row r="671">
      <c r="A671" s="5">
        <f>A670+1</f>
        <v/>
      </c>
      <c r="B671" s="3">
        <f>-SUMIFS(df_extrato_zig!G:G,df_extrato_zig!E:E,Conciliacao!A671,df_extrato_zig!D:D,"Saque")-SUMIFS(df_extrato_zig!G:G,df_extrato_zig!E:E,Conciliacao!A671,df_extrato_zig!D:D,"Antecipação")</f>
        <v/>
      </c>
      <c r="C671" s="3">
        <f>SUMIFS(df_extrato_zig!E:E,df_extrato_zig!L:L,Conciliacao!A671,df_extrato_zig!F:F,"DINHEIRO")</f>
        <v/>
      </c>
      <c r="D671" s="3">
        <f>SUMIFS(view_parc_agrup!H:H,view_parc_agrup!G:G,Conciliacao!A671)</f>
        <v/>
      </c>
      <c r="E671" s="3">
        <f>SUMIFS(df_eventos!F:F,df_eventos!H:H,Conciliacao!A671)</f>
        <v/>
      </c>
      <c r="F671" s="3">
        <f>SUMIFS(df_mutuos!M:M,df_mutuos!B:B,Conciliacao!A671)</f>
        <v/>
      </c>
      <c r="G671" s="6">
        <f>SUMIFS(df_bloqueios_judiciais!G:G,df_bloqueios_judiciais!D:D,Conciliacao!A671,df_bloqueios_judiciais!G:G,"&gt;0")</f>
        <v/>
      </c>
      <c r="H671" s="7">
        <f>SUMIFS(df_extratos!I:I,df_extratos!F:F,Conciliacao!BE671,df_extratos!G:G,"CREDITO")+SUMIFS(df_extratos!I:I,df_extratos!F:F,Conciliacao!A671,df_extratos!G:G,"CREDITO")+SUMIFS(df_extratos!I:I,df_extratos!F:F,Conciliacao!BF671,df_extratos!G:G,"CREDITO")+SUMIFS(df_extratos!I:I,df_extratos!F:F,Conciliacao!BG671,df_extratos!G:G,"CREDITO")+SUMIFS(df_extratos!I:I,df_extratos!F:F,Conciliacao!BH671,df_extratos!G:G,"CREDITO")</f>
        <v/>
      </c>
      <c r="I671" s="9">
        <f>H671-SUM(B671:G671)</f>
        <v/>
      </c>
      <c r="J671" s="4">
        <f>SUMIFS(df_blueme_sem_parcelamento!E:E,df_blueme_sem_parcelamento!H:H,Conciliacao!A671)*(-1)</f>
        <v/>
      </c>
      <c r="K671" s="4">
        <f>SUMIFS(df_blueme_com_parcelamento!J:J,df_blueme_com_parcelamento!M:M,Conciliacao!A671)*(-1)</f>
        <v/>
      </c>
      <c r="L671" s="4">
        <f>SUMIFS(df_mutuos!N:N,df_mutuos!B:B,Conciliacao!A671)*(-1)</f>
        <v/>
      </c>
      <c r="M671" s="8">
        <f>SUMIFS(df_bloqueios_judiciais!G:G,df_bloqueios_judiciais!D:D,Conciliacao!A671,df_bloqueios_judiciais!G:G,"&lt;0")</f>
        <v/>
      </c>
      <c r="N671" s="10">
        <f>SUMIFS(df_extratos!I:I,df_extratos!F:F,Conciliacao!BE671,df_extratos!G:G,"DEBITO")+SUMIFS(df_extratos!I:I,df_extratos!F:F,Conciliacao!A671,df_extratos!G:G,"DEBITO")+SUMIFS(df_extratos!I:I,df_extratos!F:F,Conciliacao!BF671,df_extratos!G:G,"DEBITO")+SUMIFS(df_extratos!I:I,df_extratos!F:F,Conciliacao!BG671,df_extratos!G:G,"DEBITO")+SUMIFS(df_extratos!I:I,df_extratos!F:F,Conciliacao!BH671,df_extratos!G:G,"DEBITO")</f>
        <v/>
      </c>
      <c r="O671" s="11">
        <f>N671-SUM(J671:M671)</f>
        <v/>
      </c>
      <c r="P671" s="25">
        <f>SUMIFS(df_ajustes_conciliaco!D:D,df_ajustes_conciliaco!C:C,Conciliacao!A671)</f>
        <v/>
      </c>
      <c r="Q671" s="22">
        <f>O671+I671-P671</f>
        <v/>
      </c>
    </row>
    <row r="672">
      <c r="A672" s="5">
        <f>A671+1</f>
        <v/>
      </c>
      <c r="B672" s="3">
        <f>-SUMIFS(df_extrato_zig!G:G,df_extrato_zig!E:E,Conciliacao!A672,df_extrato_zig!D:D,"Saque")-SUMIFS(df_extrato_zig!G:G,df_extrato_zig!E:E,Conciliacao!A672,df_extrato_zig!D:D,"Antecipação")</f>
        <v/>
      </c>
      <c r="C672" s="3">
        <f>SUMIFS(df_extrato_zig!E:E,df_extrato_zig!L:L,Conciliacao!A672,df_extrato_zig!F:F,"DINHEIRO")</f>
        <v/>
      </c>
      <c r="D672" s="3">
        <f>SUMIFS(view_parc_agrup!H:H,view_parc_agrup!G:G,Conciliacao!A672)</f>
        <v/>
      </c>
      <c r="E672" s="3">
        <f>SUMIFS(df_eventos!F:F,df_eventos!H:H,Conciliacao!A672)</f>
        <v/>
      </c>
      <c r="F672" s="3">
        <f>SUMIFS(df_mutuos!M:M,df_mutuos!B:B,Conciliacao!A672)</f>
        <v/>
      </c>
      <c r="G672" s="6">
        <f>SUMIFS(df_bloqueios_judiciais!G:G,df_bloqueios_judiciais!D:D,Conciliacao!A672,df_bloqueios_judiciais!G:G,"&gt;0")</f>
        <v/>
      </c>
      <c r="H672" s="7">
        <f>SUMIFS(df_extratos!I:I,df_extratos!F:F,Conciliacao!BE672,df_extratos!G:G,"CREDITO")+SUMIFS(df_extratos!I:I,df_extratos!F:F,Conciliacao!A672,df_extratos!G:G,"CREDITO")+SUMIFS(df_extratos!I:I,df_extratos!F:F,Conciliacao!BF672,df_extratos!G:G,"CREDITO")+SUMIFS(df_extratos!I:I,df_extratos!F:F,Conciliacao!BG672,df_extratos!G:G,"CREDITO")+SUMIFS(df_extratos!I:I,df_extratos!F:F,Conciliacao!BH672,df_extratos!G:G,"CREDITO")</f>
        <v/>
      </c>
      <c r="I672" s="9">
        <f>H672-SUM(B672:G672)</f>
        <v/>
      </c>
      <c r="J672" s="4">
        <f>SUMIFS(df_blueme_sem_parcelamento!E:E,df_blueme_sem_parcelamento!H:H,Conciliacao!A672)*(-1)</f>
        <v/>
      </c>
      <c r="K672" s="4">
        <f>SUMIFS(df_blueme_com_parcelamento!J:J,df_blueme_com_parcelamento!M:M,Conciliacao!A672)*(-1)</f>
        <v/>
      </c>
      <c r="L672" s="4">
        <f>SUMIFS(df_mutuos!N:N,df_mutuos!B:B,Conciliacao!A672)*(-1)</f>
        <v/>
      </c>
      <c r="M672" s="8">
        <f>SUMIFS(df_bloqueios_judiciais!G:G,df_bloqueios_judiciais!D:D,Conciliacao!A672,df_bloqueios_judiciais!G:G,"&lt;0")</f>
        <v/>
      </c>
      <c r="N672" s="10">
        <f>SUMIFS(df_extratos!I:I,df_extratos!F:F,Conciliacao!BE672,df_extratos!G:G,"DEBITO")+SUMIFS(df_extratos!I:I,df_extratos!F:F,Conciliacao!A672,df_extratos!G:G,"DEBITO")+SUMIFS(df_extratos!I:I,df_extratos!F:F,Conciliacao!BF672,df_extratos!G:G,"DEBITO")+SUMIFS(df_extratos!I:I,df_extratos!F:F,Conciliacao!BG672,df_extratos!G:G,"DEBITO")+SUMIFS(df_extratos!I:I,df_extratos!F:F,Conciliacao!BH672,df_extratos!G:G,"DEBITO")</f>
        <v/>
      </c>
      <c r="O672" s="11">
        <f>N672-SUM(J672:M672)</f>
        <v/>
      </c>
      <c r="P672" s="25">
        <f>SUMIFS(df_ajustes_conciliaco!D:D,df_ajustes_conciliaco!C:C,Conciliacao!A672)</f>
        <v/>
      </c>
      <c r="Q672" s="22">
        <f>O672+I672-P672</f>
        <v/>
      </c>
    </row>
    <row r="673">
      <c r="A673" s="5">
        <f>A672+1</f>
        <v/>
      </c>
      <c r="B673" s="3">
        <f>-SUMIFS(df_extrato_zig!G:G,df_extrato_zig!E:E,Conciliacao!A673,df_extrato_zig!D:D,"Saque")-SUMIFS(df_extrato_zig!G:G,df_extrato_zig!E:E,Conciliacao!A673,df_extrato_zig!D:D,"Antecipação")</f>
        <v/>
      </c>
      <c r="C673" s="3">
        <f>SUMIFS(df_extrato_zig!E:E,df_extrato_zig!L:L,Conciliacao!A673,df_extrato_zig!F:F,"DINHEIRO")</f>
        <v/>
      </c>
      <c r="D673" s="3">
        <f>SUMIFS(view_parc_agrup!H:H,view_parc_agrup!G:G,Conciliacao!A673)</f>
        <v/>
      </c>
      <c r="E673" s="3">
        <f>SUMIFS(df_eventos!F:F,df_eventos!H:H,Conciliacao!A673)</f>
        <v/>
      </c>
      <c r="F673" s="3">
        <f>SUMIFS(df_mutuos!M:M,df_mutuos!B:B,Conciliacao!A673)</f>
        <v/>
      </c>
      <c r="G673" s="6">
        <f>SUMIFS(df_bloqueios_judiciais!G:G,df_bloqueios_judiciais!D:D,Conciliacao!A673,df_bloqueios_judiciais!G:G,"&gt;0")</f>
        <v/>
      </c>
      <c r="H673" s="7">
        <f>SUMIFS(df_extratos!I:I,df_extratos!F:F,Conciliacao!BE673,df_extratos!G:G,"CREDITO")+SUMIFS(df_extratos!I:I,df_extratos!F:F,Conciliacao!A673,df_extratos!G:G,"CREDITO")+SUMIFS(df_extratos!I:I,df_extratos!F:F,Conciliacao!BF673,df_extratos!G:G,"CREDITO")+SUMIFS(df_extratos!I:I,df_extratos!F:F,Conciliacao!BG673,df_extratos!G:G,"CREDITO")+SUMIFS(df_extratos!I:I,df_extratos!F:F,Conciliacao!BH673,df_extratos!G:G,"CREDITO")</f>
        <v/>
      </c>
      <c r="I673" s="9">
        <f>H673-SUM(B673:G673)</f>
        <v/>
      </c>
      <c r="J673" s="4">
        <f>SUMIFS(df_blueme_sem_parcelamento!E:E,df_blueme_sem_parcelamento!H:H,Conciliacao!A673)*(-1)</f>
        <v/>
      </c>
      <c r="K673" s="4">
        <f>SUMIFS(df_blueme_com_parcelamento!J:J,df_blueme_com_parcelamento!M:M,Conciliacao!A673)*(-1)</f>
        <v/>
      </c>
      <c r="L673" s="4">
        <f>SUMIFS(df_mutuos!N:N,df_mutuos!B:B,Conciliacao!A673)*(-1)</f>
        <v/>
      </c>
      <c r="M673" s="8">
        <f>SUMIFS(df_bloqueios_judiciais!G:G,df_bloqueios_judiciais!D:D,Conciliacao!A673,df_bloqueios_judiciais!G:G,"&lt;0")</f>
        <v/>
      </c>
      <c r="N673" s="10">
        <f>SUMIFS(df_extratos!I:I,df_extratos!F:F,Conciliacao!BE673,df_extratos!G:G,"DEBITO")+SUMIFS(df_extratos!I:I,df_extratos!F:F,Conciliacao!A673,df_extratos!G:G,"DEBITO")+SUMIFS(df_extratos!I:I,df_extratos!F:F,Conciliacao!BF673,df_extratos!G:G,"DEBITO")+SUMIFS(df_extratos!I:I,df_extratos!F:F,Conciliacao!BG673,df_extratos!G:G,"DEBITO")+SUMIFS(df_extratos!I:I,df_extratos!F:F,Conciliacao!BH673,df_extratos!G:G,"DEBITO")</f>
        <v/>
      </c>
      <c r="O673" s="11">
        <f>N673-SUM(J673:M673)</f>
        <v/>
      </c>
      <c r="P673" s="25">
        <f>SUMIFS(df_ajustes_conciliaco!D:D,df_ajustes_conciliaco!C:C,Conciliacao!A673)</f>
        <v/>
      </c>
      <c r="Q673" s="22">
        <f>O673+I673-P673</f>
        <v/>
      </c>
    </row>
    <row r="674">
      <c r="A674" s="5">
        <f>A673+1</f>
        <v/>
      </c>
      <c r="B674" s="3">
        <f>-SUMIFS(df_extrato_zig!G:G,df_extrato_zig!E:E,Conciliacao!A674,df_extrato_zig!D:D,"Saque")-SUMIFS(df_extrato_zig!G:G,df_extrato_zig!E:E,Conciliacao!A674,df_extrato_zig!D:D,"Antecipação")</f>
        <v/>
      </c>
      <c r="C674" s="3">
        <f>SUMIFS(df_extrato_zig!E:E,df_extrato_zig!L:L,Conciliacao!A674,df_extrato_zig!F:F,"DINHEIRO")</f>
        <v/>
      </c>
      <c r="D674" s="3">
        <f>SUMIFS(view_parc_agrup!H:H,view_parc_agrup!G:G,Conciliacao!A674)</f>
        <v/>
      </c>
      <c r="E674" s="3">
        <f>SUMIFS(df_eventos!F:F,df_eventos!H:H,Conciliacao!A674)</f>
        <v/>
      </c>
      <c r="F674" s="3">
        <f>SUMIFS(df_mutuos!M:M,df_mutuos!B:B,Conciliacao!A674)</f>
        <v/>
      </c>
      <c r="G674" s="6">
        <f>SUMIFS(df_bloqueios_judiciais!G:G,df_bloqueios_judiciais!D:D,Conciliacao!A674,df_bloqueios_judiciais!G:G,"&gt;0")</f>
        <v/>
      </c>
      <c r="H674" s="7">
        <f>SUMIFS(df_extratos!I:I,df_extratos!F:F,Conciliacao!BE674,df_extratos!G:G,"CREDITO")+SUMIFS(df_extratos!I:I,df_extratos!F:F,Conciliacao!A674,df_extratos!G:G,"CREDITO")+SUMIFS(df_extratos!I:I,df_extratos!F:F,Conciliacao!BF674,df_extratos!G:G,"CREDITO")+SUMIFS(df_extratos!I:I,df_extratos!F:F,Conciliacao!BG674,df_extratos!G:G,"CREDITO")+SUMIFS(df_extratos!I:I,df_extratos!F:F,Conciliacao!BH674,df_extratos!G:G,"CREDITO")</f>
        <v/>
      </c>
      <c r="I674" s="9">
        <f>H674-SUM(B674:G674)</f>
        <v/>
      </c>
      <c r="J674" s="4">
        <f>SUMIFS(df_blueme_sem_parcelamento!E:E,df_blueme_sem_parcelamento!H:H,Conciliacao!A674)*(-1)</f>
        <v/>
      </c>
      <c r="K674" s="4">
        <f>SUMIFS(df_blueme_com_parcelamento!J:J,df_blueme_com_parcelamento!M:M,Conciliacao!A674)*(-1)</f>
        <v/>
      </c>
      <c r="L674" s="4">
        <f>SUMIFS(df_mutuos!N:N,df_mutuos!B:B,Conciliacao!A674)*(-1)</f>
        <v/>
      </c>
      <c r="M674" s="8">
        <f>SUMIFS(df_bloqueios_judiciais!G:G,df_bloqueios_judiciais!D:D,Conciliacao!A674,df_bloqueios_judiciais!G:G,"&lt;0")</f>
        <v/>
      </c>
      <c r="N674" s="10">
        <f>SUMIFS(df_extratos!I:I,df_extratos!F:F,Conciliacao!BE674,df_extratos!G:G,"DEBITO")+SUMIFS(df_extratos!I:I,df_extratos!F:F,Conciliacao!A674,df_extratos!G:G,"DEBITO")+SUMIFS(df_extratos!I:I,df_extratos!F:F,Conciliacao!BF674,df_extratos!G:G,"DEBITO")+SUMIFS(df_extratos!I:I,df_extratos!F:F,Conciliacao!BG674,df_extratos!G:G,"DEBITO")+SUMIFS(df_extratos!I:I,df_extratos!F:F,Conciliacao!BH674,df_extratos!G:G,"DEBITO")</f>
        <v/>
      </c>
      <c r="O674" s="11">
        <f>N674-SUM(J674:M674)</f>
        <v/>
      </c>
      <c r="P674" s="25">
        <f>SUMIFS(df_ajustes_conciliaco!D:D,df_ajustes_conciliaco!C:C,Conciliacao!A674)</f>
        <v/>
      </c>
      <c r="Q674" s="22">
        <f>O674+I674-P674</f>
        <v/>
      </c>
    </row>
    <row r="675">
      <c r="A675" s="5">
        <f>A674+1</f>
        <v/>
      </c>
      <c r="B675" s="3">
        <f>-SUMIFS(df_extrato_zig!G:G,df_extrato_zig!E:E,Conciliacao!A675,df_extrato_zig!D:D,"Saque")-SUMIFS(df_extrato_zig!G:G,df_extrato_zig!E:E,Conciliacao!A675,df_extrato_zig!D:D,"Antecipação")</f>
        <v/>
      </c>
      <c r="C675" s="3">
        <f>SUMIFS(df_extrato_zig!E:E,df_extrato_zig!L:L,Conciliacao!A675,df_extrato_zig!F:F,"DINHEIRO")</f>
        <v/>
      </c>
      <c r="D675" s="3">
        <f>SUMIFS(view_parc_agrup!H:H,view_parc_agrup!G:G,Conciliacao!A675)</f>
        <v/>
      </c>
      <c r="E675" s="3">
        <f>SUMIFS(df_eventos!F:F,df_eventos!H:H,Conciliacao!A675)</f>
        <v/>
      </c>
      <c r="F675" s="3">
        <f>SUMIFS(df_mutuos!M:M,df_mutuos!B:B,Conciliacao!A675)</f>
        <v/>
      </c>
      <c r="G675" s="6">
        <f>SUMIFS(df_bloqueios_judiciais!G:G,df_bloqueios_judiciais!D:D,Conciliacao!A675,df_bloqueios_judiciais!G:G,"&gt;0")</f>
        <v/>
      </c>
      <c r="H675" s="7">
        <f>SUMIFS(df_extratos!I:I,df_extratos!F:F,Conciliacao!BE675,df_extratos!G:G,"CREDITO")+SUMIFS(df_extratos!I:I,df_extratos!F:F,Conciliacao!A675,df_extratos!G:G,"CREDITO")+SUMIFS(df_extratos!I:I,df_extratos!F:F,Conciliacao!BF675,df_extratos!G:G,"CREDITO")+SUMIFS(df_extratos!I:I,df_extratos!F:F,Conciliacao!BG675,df_extratos!G:G,"CREDITO")+SUMIFS(df_extratos!I:I,df_extratos!F:F,Conciliacao!BH675,df_extratos!G:G,"CREDITO")</f>
        <v/>
      </c>
      <c r="I675" s="9">
        <f>H675-SUM(B675:G675)</f>
        <v/>
      </c>
      <c r="J675" s="4">
        <f>SUMIFS(df_blueme_sem_parcelamento!E:E,df_blueme_sem_parcelamento!H:H,Conciliacao!A675)*(-1)</f>
        <v/>
      </c>
      <c r="K675" s="4">
        <f>SUMIFS(df_blueme_com_parcelamento!J:J,df_blueme_com_parcelamento!M:M,Conciliacao!A675)*(-1)</f>
        <v/>
      </c>
      <c r="L675" s="4">
        <f>SUMIFS(df_mutuos!N:N,df_mutuos!B:B,Conciliacao!A675)*(-1)</f>
        <v/>
      </c>
      <c r="M675" s="8">
        <f>SUMIFS(df_bloqueios_judiciais!G:G,df_bloqueios_judiciais!D:D,Conciliacao!A675,df_bloqueios_judiciais!G:G,"&lt;0")</f>
        <v/>
      </c>
      <c r="N675" s="10">
        <f>SUMIFS(df_extratos!I:I,df_extratos!F:F,Conciliacao!BE675,df_extratos!G:G,"DEBITO")+SUMIFS(df_extratos!I:I,df_extratos!F:F,Conciliacao!A675,df_extratos!G:G,"DEBITO")+SUMIFS(df_extratos!I:I,df_extratos!F:F,Conciliacao!BF675,df_extratos!G:G,"DEBITO")+SUMIFS(df_extratos!I:I,df_extratos!F:F,Conciliacao!BG675,df_extratos!G:G,"DEBITO")+SUMIFS(df_extratos!I:I,df_extratos!F:F,Conciliacao!BH675,df_extratos!G:G,"DEBITO")</f>
        <v/>
      </c>
      <c r="O675" s="11">
        <f>N675-SUM(J675:M675)</f>
        <v/>
      </c>
      <c r="P675" s="25">
        <f>SUMIFS(df_ajustes_conciliaco!D:D,df_ajustes_conciliaco!C:C,Conciliacao!A675)</f>
        <v/>
      </c>
      <c r="Q675" s="22">
        <f>O675+I675-P675</f>
        <v/>
      </c>
    </row>
    <row r="676">
      <c r="A676" s="5">
        <f>A675+1</f>
        <v/>
      </c>
      <c r="B676" s="3">
        <f>-SUMIFS(df_extrato_zig!G:G,df_extrato_zig!E:E,Conciliacao!A676,df_extrato_zig!D:D,"Saque")-SUMIFS(df_extrato_zig!G:G,df_extrato_zig!E:E,Conciliacao!A676,df_extrato_zig!D:D,"Antecipação")</f>
        <v/>
      </c>
      <c r="C676" s="3">
        <f>SUMIFS(df_extrato_zig!E:E,df_extrato_zig!L:L,Conciliacao!A676,df_extrato_zig!F:F,"DINHEIRO")</f>
        <v/>
      </c>
      <c r="D676" s="3">
        <f>SUMIFS(view_parc_agrup!H:H,view_parc_agrup!G:G,Conciliacao!A676)</f>
        <v/>
      </c>
      <c r="E676" s="3">
        <f>SUMIFS(df_eventos!F:F,df_eventos!H:H,Conciliacao!A676)</f>
        <v/>
      </c>
      <c r="F676" s="3">
        <f>SUMIFS(df_mutuos!M:M,df_mutuos!B:B,Conciliacao!A676)</f>
        <v/>
      </c>
      <c r="G676" s="6">
        <f>SUMIFS(df_bloqueios_judiciais!G:G,df_bloqueios_judiciais!D:D,Conciliacao!A676,df_bloqueios_judiciais!G:G,"&gt;0")</f>
        <v/>
      </c>
      <c r="H676" s="7">
        <f>SUMIFS(df_extratos!I:I,df_extratos!F:F,Conciliacao!BE676,df_extratos!G:G,"CREDITO")+SUMIFS(df_extratos!I:I,df_extratos!F:F,Conciliacao!A676,df_extratos!G:G,"CREDITO")+SUMIFS(df_extratos!I:I,df_extratos!F:F,Conciliacao!BF676,df_extratos!G:G,"CREDITO")+SUMIFS(df_extratos!I:I,df_extratos!F:F,Conciliacao!BG676,df_extratos!G:G,"CREDITO")+SUMIFS(df_extratos!I:I,df_extratos!F:F,Conciliacao!BH676,df_extratos!G:G,"CREDITO")</f>
        <v/>
      </c>
      <c r="I676" s="9">
        <f>H676-SUM(B676:G676)</f>
        <v/>
      </c>
      <c r="J676" s="4">
        <f>SUMIFS(df_blueme_sem_parcelamento!E:E,df_blueme_sem_parcelamento!H:H,Conciliacao!A676)*(-1)</f>
        <v/>
      </c>
      <c r="K676" s="4">
        <f>SUMIFS(df_blueme_com_parcelamento!J:J,df_blueme_com_parcelamento!M:M,Conciliacao!A676)*(-1)</f>
        <v/>
      </c>
      <c r="L676" s="4">
        <f>SUMIFS(df_mutuos!N:N,df_mutuos!B:B,Conciliacao!A676)*(-1)</f>
        <v/>
      </c>
      <c r="M676" s="8">
        <f>SUMIFS(df_bloqueios_judiciais!G:G,df_bloqueios_judiciais!D:D,Conciliacao!A676,df_bloqueios_judiciais!G:G,"&lt;0")</f>
        <v/>
      </c>
      <c r="N676" s="10">
        <f>SUMIFS(df_extratos!I:I,df_extratos!F:F,Conciliacao!BE676,df_extratos!G:G,"DEBITO")+SUMIFS(df_extratos!I:I,df_extratos!F:F,Conciliacao!A676,df_extratos!G:G,"DEBITO")+SUMIFS(df_extratos!I:I,df_extratos!F:F,Conciliacao!BF676,df_extratos!G:G,"DEBITO")+SUMIFS(df_extratos!I:I,df_extratos!F:F,Conciliacao!BG676,df_extratos!G:G,"DEBITO")+SUMIFS(df_extratos!I:I,df_extratos!F:F,Conciliacao!BH676,df_extratos!G:G,"DEBITO")</f>
        <v/>
      </c>
      <c r="O676" s="11">
        <f>N676-SUM(J676:M676)</f>
        <v/>
      </c>
      <c r="P676" s="25">
        <f>SUMIFS(df_ajustes_conciliaco!D:D,df_ajustes_conciliaco!C:C,Conciliacao!A676)</f>
        <v/>
      </c>
      <c r="Q676" s="22">
        <f>O676+I676-P676</f>
        <v/>
      </c>
    </row>
    <row r="677">
      <c r="A677" s="5">
        <f>A676+1</f>
        <v/>
      </c>
      <c r="B677" s="3">
        <f>-SUMIFS(df_extrato_zig!G:G,df_extrato_zig!E:E,Conciliacao!A677,df_extrato_zig!D:D,"Saque")-SUMIFS(df_extrato_zig!G:G,df_extrato_zig!E:E,Conciliacao!A677,df_extrato_zig!D:D,"Antecipação")</f>
        <v/>
      </c>
      <c r="C677" s="3">
        <f>SUMIFS(df_extrato_zig!E:E,df_extrato_zig!L:L,Conciliacao!A677,df_extrato_zig!F:F,"DINHEIRO")</f>
        <v/>
      </c>
      <c r="D677" s="3">
        <f>SUMIFS(view_parc_agrup!H:H,view_parc_agrup!G:G,Conciliacao!A677)</f>
        <v/>
      </c>
      <c r="E677" s="3">
        <f>SUMIFS(df_eventos!F:F,df_eventos!H:H,Conciliacao!A677)</f>
        <v/>
      </c>
      <c r="F677" s="3">
        <f>SUMIFS(df_mutuos!M:M,df_mutuos!B:B,Conciliacao!A677)</f>
        <v/>
      </c>
      <c r="G677" s="6">
        <f>SUMIFS(df_bloqueios_judiciais!G:G,df_bloqueios_judiciais!D:D,Conciliacao!A677,df_bloqueios_judiciais!G:G,"&gt;0")</f>
        <v/>
      </c>
      <c r="H677" s="7">
        <f>SUMIFS(df_extratos!I:I,df_extratos!F:F,Conciliacao!BE677,df_extratos!G:G,"CREDITO")+SUMIFS(df_extratos!I:I,df_extratos!F:F,Conciliacao!A677,df_extratos!G:G,"CREDITO")+SUMIFS(df_extratos!I:I,df_extratos!F:F,Conciliacao!BF677,df_extratos!G:G,"CREDITO")+SUMIFS(df_extratos!I:I,df_extratos!F:F,Conciliacao!BG677,df_extratos!G:G,"CREDITO")+SUMIFS(df_extratos!I:I,df_extratos!F:F,Conciliacao!BH677,df_extratos!G:G,"CREDITO")</f>
        <v/>
      </c>
      <c r="I677" s="9">
        <f>H677-SUM(B677:G677)</f>
        <v/>
      </c>
      <c r="J677" s="4">
        <f>SUMIFS(df_blueme_sem_parcelamento!E:E,df_blueme_sem_parcelamento!H:H,Conciliacao!A677)*(-1)</f>
        <v/>
      </c>
      <c r="K677" s="4">
        <f>SUMIFS(df_blueme_com_parcelamento!J:J,df_blueme_com_parcelamento!M:M,Conciliacao!A677)*(-1)</f>
        <v/>
      </c>
      <c r="L677" s="4">
        <f>SUMIFS(df_mutuos!N:N,df_mutuos!B:B,Conciliacao!A677)*(-1)</f>
        <v/>
      </c>
      <c r="M677" s="8">
        <f>SUMIFS(df_bloqueios_judiciais!G:G,df_bloqueios_judiciais!D:D,Conciliacao!A677,df_bloqueios_judiciais!G:G,"&lt;0")</f>
        <v/>
      </c>
      <c r="N677" s="10">
        <f>SUMIFS(df_extratos!I:I,df_extratos!F:F,Conciliacao!BE677,df_extratos!G:G,"DEBITO")+SUMIFS(df_extratos!I:I,df_extratos!F:F,Conciliacao!A677,df_extratos!G:G,"DEBITO")+SUMIFS(df_extratos!I:I,df_extratos!F:F,Conciliacao!BF677,df_extratos!G:G,"DEBITO")+SUMIFS(df_extratos!I:I,df_extratos!F:F,Conciliacao!BG677,df_extratos!G:G,"DEBITO")+SUMIFS(df_extratos!I:I,df_extratos!F:F,Conciliacao!BH677,df_extratos!G:G,"DEBITO")</f>
        <v/>
      </c>
      <c r="O677" s="11">
        <f>N677-SUM(J677:M677)</f>
        <v/>
      </c>
      <c r="P677" s="25">
        <f>SUMIFS(df_ajustes_conciliaco!D:D,df_ajustes_conciliaco!C:C,Conciliacao!A677)</f>
        <v/>
      </c>
      <c r="Q677" s="22">
        <f>O677+I677-P677</f>
        <v/>
      </c>
    </row>
    <row r="678">
      <c r="A678" s="5">
        <f>A677+1</f>
        <v/>
      </c>
      <c r="B678" s="3">
        <f>-SUMIFS(df_extrato_zig!G:G,df_extrato_zig!E:E,Conciliacao!A678,df_extrato_zig!D:D,"Saque")-SUMIFS(df_extrato_zig!G:G,df_extrato_zig!E:E,Conciliacao!A678,df_extrato_zig!D:D,"Antecipação")</f>
        <v/>
      </c>
      <c r="C678" s="3">
        <f>SUMIFS(df_extrato_zig!E:E,df_extrato_zig!L:L,Conciliacao!A678,df_extrato_zig!F:F,"DINHEIRO")</f>
        <v/>
      </c>
      <c r="D678" s="3">
        <f>SUMIFS(view_parc_agrup!H:H,view_parc_agrup!G:G,Conciliacao!A678)</f>
        <v/>
      </c>
      <c r="E678" s="3">
        <f>SUMIFS(df_eventos!F:F,df_eventos!H:H,Conciliacao!A678)</f>
        <v/>
      </c>
      <c r="F678" s="3">
        <f>SUMIFS(df_mutuos!M:M,df_mutuos!B:B,Conciliacao!A678)</f>
        <v/>
      </c>
      <c r="G678" s="6">
        <f>SUMIFS(df_bloqueios_judiciais!G:G,df_bloqueios_judiciais!D:D,Conciliacao!A678,df_bloqueios_judiciais!G:G,"&gt;0")</f>
        <v/>
      </c>
      <c r="H678" s="7">
        <f>SUMIFS(df_extratos!I:I,df_extratos!F:F,Conciliacao!BE678,df_extratos!G:G,"CREDITO")+SUMIFS(df_extratos!I:I,df_extratos!F:F,Conciliacao!A678,df_extratos!G:G,"CREDITO")+SUMIFS(df_extratos!I:I,df_extratos!F:F,Conciliacao!BF678,df_extratos!G:G,"CREDITO")+SUMIFS(df_extratos!I:I,df_extratos!F:F,Conciliacao!BG678,df_extratos!G:G,"CREDITO")+SUMIFS(df_extratos!I:I,df_extratos!F:F,Conciliacao!BH678,df_extratos!G:G,"CREDITO")</f>
        <v/>
      </c>
      <c r="I678" s="9">
        <f>H678-SUM(B678:G678)</f>
        <v/>
      </c>
      <c r="J678" s="4">
        <f>SUMIFS(df_blueme_sem_parcelamento!E:E,df_blueme_sem_parcelamento!H:H,Conciliacao!A678)*(-1)</f>
        <v/>
      </c>
      <c r="K678" s="4">
        <f>SUMIFS(df_blueme_com_parcelamento!J:J,df_blueme_com_parcelamento!M:M,Conciliacao!A678)*(-1)</f>
        <v/>
      </c>
      <c r="L678" s="4">
        <f>SUMIFS(df_mutuos!N:N,df_mutuos!B:B,Conciliacao!A678)*(-1)</f>
        <v/>
      </c>
      <c r="M678" s="8">
        <f>SUMIFS(df_bloqueios_judiciais!G:G,df_bloqueios_judiciais!D:D,Conciliacao!A678,df_bloqueios_judiciais!G:G,"&lt;0")</f>
        <v/>
      </c>
      <c r="N678" s="10">
        <f>SUMIFS(df_extratos!I:I,df_extratos!F:F,Conciliacao!BE678,df_extratos!G:G,"DEBITO")+SUMIFS(df_extratos!I:I,df_extratos!F:F,Conciliacao!A678,df_extratos!G:G,"DEBITO")+SUMIFS(df_extratos!I:I,df_extratos!F:F,Conciliacao!BF678,df_extratos!G:G,"DEBITO")+SUMIFS(df_extratos!I:I,df_extratos!F:F,Conciliacao!BG678,df_extratos!G:G,"DEBITO")+SUMIFS(df_extratos!I:I,df_extratos!F:F,Conciliacao!BH678,df_extratos!G:G,"DEBITO")</f>
        <v/>
      </c>
      <c r="O678" s="11">
        <f>N678-SUM(J678:M678)</f>
        <v/>
      </c>
      <c r="P678" s="25">
        <f>SUMIFS(df_ajustes_conciliaco!D:D,df_ajustes_conciliaco!C:C,Conciliacao!A678)</f>
        <v/>
      </c>
      <c r="Q678" s="22">
        <f>O678+I678-P678</f>
        <v/>
      </c>
    </row>
    <row r="679">
      <c r="A679" s="5">
        <f>A678+1</f>
        <v/>
      </c>
      <c r="B679" s="3">
        <f>-SUMIFS(df_extrato_zig!G:G,df_extrato_zig!E:E,Conciliacao!A679,df_extrato_zig!D:D,"Saque")-SUMIFS(df_extrato_zig!G:G,df_extrato_zig!E:E,Conciliacao!A679,df_extrato_zig!D:D,"Antecipação")</f>
        <v/>
      </c>
      <c r="C679" s="3">
        <f>SUMIFS(df_extrato_zig!E:E,df_extrato_zig!L:L,Conciliacao!A679,df_extrato_zig!F:F,"DINHEIRO")</f>
        <v/>
      </c>
      <c r="D679" s="3">
        <f>SUMIFS(view_parc_agrup!H:H,view_parc_agrup!G:G,Conciliacao!A679)</f>
        <v/>
      </c>
      <c r="E679" s="3">
        <f>SUMIFS(df_eventos!F:F,df_eventos!H:H,Conciliacao!A679)</f>
        <v/>
      </c>
      <c r="F679" s="3">
        <f>SUMIFS(df_mutuos!M:M,df_mutuos!B:B,Conciliacao!A679)</f>
        <v/>
      </c>
      <c r="G679" s="6">
        <f>SUMIFS(df_bloqueios_judiciais!G:G,df_bloqueios_judiciais!D:D,Conciliacao!A679,df_bloqueios_judiciais!G:G,"&gt;0")</f>
        <v/>
      </c>
      <c r="H679" s="7">
        <f>SUMIFS(df_extratos!I:I,df_extratos!F:F,Conciliacao!BE679,df_extratos!G:G,"CREDITO")+SUMIFS(df_extratos!I:I,df_extratos!F:F,Conciliacao!A679,df_extratos!G:G,"CREDITO")+SUMIFS(df_extratos!I:I,df_extratos!F:F,Conciliacao!BF679,df_extratos!G:G,"CREDITO")+SUMIFS(df_extratos!I:I,df_extratos!F:F,Conciliacao!BG679,df_extratos!G:G,"CREDITO")+SUMIFS(df_extratos!I:I,df_extratos!F:F,Conciliacao!BH679,df_extratos!G:G,"CREDITO")</f>
        <v/>
      </c>
      <c r="I679" s="9">
        <f>H679-SUM(B679:G679)</f>
        <v/>
      </c>
      <c r="J679" s="4">
        <f>SUMIFS(df_blueme_sem_parcelamento!E:E,df_blueme_sem_parcelamento!H:H,Conciliacao!A679)*(-1)</f>
        <v/>
      </c>
      <c r="K679" s="4">
        <f>SUMIFS(df_blueme_com_parcelamento!J:J,df_blueme_com_parcelamento!M:M,Conciliacao!A679)*(-1)</f>
        <v/>
      </c>
      <c r="L679" s="4">
        <f>SUMIFS(df_mutuos!N:N,df_mutuos!B:B,Conciliacao!A679)*(-1)</f>
        <v/>
      </c>
      <c r="M679" s="8">
        <f>SUMIFS(df_bloqueios_judiciais!G:G,df_bloqueios_judiciais!D:D,Conciliacao!A679,df_bloqueios_judiciais!G:G,"&lt;0")</f>
        <v/>
      </c>
      <c r="N679" s="10">
        <f>SUMIFS(df_extratos!I:I,df_extratos!F:F,Conciliacao!BE679,df_extratos!G:G,"DEBITO")+SUMIFS(df_extratos!I:I,df_extratos!F:F,Conciliacao!A679,df_extratos!G:G,"DEBITO")+SUMIFS(df_extratos!I:I,df_extratos!F:F,Conciliacao!BF679,df_extratos!G:G,"DEBITO")+SUMIFS(df_extratos!I:I,df_extratos!F:F,Conciliacao!BG679,df_extratos!G:G,"DEBITO")+SUMIFS(df_extratos!I:I,df_extratos!F:F,Conciliacao!BH679,df_extratos!G:G,"DEBITO")</f>
        <v/>
      </c>
      <c r="O679" s="11">
        <f>N679-SUM(J679:M679)</f>
        <v/>
      </c>
      <c r="P679" s="25">
        <f>SUMIFS(df_ajustes_conciliaco!D:D,df_ajustes_conciliaco!C:C,Conciliacao!A679)</f>
        <v/>
      </c>
      <c r="Q679" s="22">
        <f>O679+I679-P679</f>
        <v/>
      </c>
    </row>
    <row r="680">
      <c r="A680" s="5">
        <f>A679+1</f>
        <v/>
      </c>
      <c r="B680" s="3">
        <f>-SUMIFS(df_extrato_zig!G:G,df_extrato_zig!E:E,Conciliacao!A680,df_extrato_zig!D:D,"Saque")-SUMIFS(df_extrato_zig!G:G,df_extrato_zig!E:E,Conciliacao!A680,df_extrato_zig!D:D,"Antecipação")</f>
        <v/>
      </c>
      <c r="C680" s="3">
        <f>SUMIFS(df_extrato_zig!E:E,df_extrato_zig!L:L,Conciliacao!A680,df_extrato_zig!F:F,"DINHEIRO")</f>
        <v/>
      </c>
      <c r="D680" s="3">
        <f>SUMIFS(view_parc_agrup!H:H,view_parc_agrup!G:G,Conciliacao!A680)</f>
        <v/>
      </c>
      <c r="E680" s="3">
        <f>SUMIFS(df_eventos!F:F,df_eventos!H:H,Conciliacao!A680)</f>
        <v/>
      </c>
      <c r="F680" s="3">
        <f>SUMIFS(df_mutuos!M:M,df_mutuos!B:B,Conciliacao!A680)</f>
        <v/>
      </c>
      <c r="G680" s="6">
        <f>SUMIFS(df_bloqueios_judiciais!G:G,df_bloqueios_judiciais!D:D,Conciliacao!A680,df_bloqueios_judiciais!G:G,"&gt;0")</f>
        <v/>
      </c>
      <c r="H680" s="7">
        <f>SUMIFS(df_extratos!I:I,df_extratos!F:F,Conciliacao!BE680,df_extratos!G:G,"CREDITO")+SUMIFS(df_extratos!I:I,df_extratos!F:F,Conciliacao!A680,df_extratos!G:G,"CREDITO")+SUMIFS(df_extratos!I:I,df_extratos!F:F,Conciliacao!BF680,df_extratos!G:G,"CREDITO")+SUMIFS(df_extratos!I:I,df_extratos!F:F,Conciliacao!BG680,df_extratos!G:G,"CREDITO")+SUMIFS(df_extratos!I:I,df_extratos!F:F,Conciliacao!BH680,df_extratos!G:G,"CREDITO")</f>
        <v/>
      </c>
      <c r="I680" s="9">
        <f>H680-SUM(B680:G680)</f>
        <v/>
      </c>
      <c r="J680" s="4">
        <f>SUMIFS(df_blueme_sem_parcelamento!E:E,df_blueme_sem_parcelamento!H:H,Conciliacao!A680)*(-1)</f>
        <v/>
      </c>
      <c r="K680" s="4">
        <f>SUMIFS(df_blueme_com_parcelamento!J:J,df_blueme_com_parcelamento!M:M,Conciliacao!A680)*(-1)</f>
        <v/>
      </c>
      <c r="L680" s="4">
        <f>SUMIFS(df_mutuos!N:N,df_mutuos!B:B,Conciliacao!A680)*(-1)</f>
        <v/>
      </c>
      <c r="M680" s="8">
        <f>SUMIFS(df_bloqueios_judiciais!G:G,df_bloqueios_judiciais!D:D,Conciliacao!A680,df_bloqueios_judiciais!G:G,"&lt;0")</f>
        <v/>
      </c>
      <c r="N680" s="10">
        <f>SUMIFS(df_extratos!I:I,df_extratos!F:F,Conciliacao!BE680,df_extratos!G:G,"DEBITO")+SUMIFS(df_extratos!I:I,df_extratos!F:F,Conciliacao!A680,df_extratos!G:G,"DEBITO")+SUMIFS(df_extratos!I:I,df_extratos!F:F,Conciliacao!BF680,df_extratos!G:G,"DEBITO")+SUMIFS(df_extratos!I:I,df_extratos!F:F,Conciliacao!BG680,df_extratos!G:G,"DEBITO")+SUMIFS(df_extratos!I:I,df_extratos!F:F,Conciliacao!BH680,df_extratos!G:G,"DEBITO")</f>
        <v/>
      </c>
      <c r="O680" s="11">
        <f>N680-SUM(J680:M680)</f>
        <v/>
      </c>
      <c r="P680" s="25">
        <f>SUMIFS(df_ajustes_conciliaco!D:D,df_ajustes_conciliaco!C:C,Conciliacao!A680)</f>
        <v/>
      </c>
      <c r="Q680" s="22">
        <f>O680+I680-P680</f>
        <v/>
      </c>
    </row>
    <row r="681">
      <c r="A681" s="5">
        <f>A680+1</f>
        <v/>
      </c>
      <c r="B681" s="3">
        <f>-SUMIFS(df_extrato_zig!G:G,df_extrato_zig!E:E,Conciliacao!A681,df_extrato_zig!D:D,"Saque")-SUMIFS(df_extrato_zig!G:G,df_extrato_zig!E:E,Conciliacao!A681,df_extrato_zig!D:D,"Antecipação")</f>
        <v/>
      </c>
      <c r="C681" s="3">
        <f>SUMIFS(df_extrato_zig!E:E,df_extrato_zig!L:L,Conciliacao!A681,df_extrato_zig!F:F,"DINHEIRO")</f>
        <v/>
      </c>
      <c r="D681" s="3">
        <f>SUMIFS(view_parc_agrup!H:H,view_parc_agrup!G:G,Conciliacao!A681)</f>
        <v/>
      </c>
      <c r="E681" s="3">
        <f>SUMIFS(df_eventos!F:F,df_eventos!H:H,Conciliacao!A681)</f>
        <v/>
      </c>
      <c r="F681" s="3">
        <f>SUMIFS(df_mutuos!M:M,df_mutuos!B:B,Conciliacao!A681)</f>
        <v/>
      </c>
      <c r="G681" s="6">
        <f>SUMIFS(df_bloqueios_judiciais!G:G,df_bloqueios_judiciais!D:D,Conciliacao!A681,df_bloqueios_judiciais!G:G,"&gt;0")</f>
        <v/>
      </c>
      <c r="H681" s="7">
        <f>SUMIFS(df_extratos!I:I,df_extratos!F:F,Conciliacao!BE681,df_extratos!G:G,"CREDITO")+SUMIFS(df_extratos!I:I,df_extratos!F:F,Conciliacao!A681,df_extratos!G:G,"CREDITO")+SUMIFS(df_extratos!I:I,df_extratos!F:F,Conciliacao!BF681,df_extratos!G:G,"CREDITO")+SUMIFS(df_extratos!I:I,df_extratos!F:F,Conciliacao!BG681,df_extratos!G:G,"CREDITO")+SUMIFS(df_extratos!I:I,df_extratos!F:F,Conciliacao!BH681,df_extratos!G:G,"CREDITO")</f>
        <v/>
      </c>
      <c r="I681" s="9">
        <f>H681-SUM(B681:G681)</f>
        <v/>
      </c>
      <c r="J681" s="4">
        <f>SUMIFS(df_blueme_sem_parcelamento!E:E,df_blueme_sem_parcelamento!H:H,Conciliacao!A681)*(-1)</f>
        <v/>
      </c>
      <c r="K681" s="4">
        <f>SUMIFS(df_blueme_com_parcelamento!J:J,df_blueme_com_parcelamento!M:M,Conciliacao!A681)*(-1)</f>
        <v/>
      </c>
      <c r="L681" s="4">
        <f>SUMIFS(df_mutuos!N:N,df_mutuos!B:B,Conciliacao!A681)*(-1)</f>
        <v/>
      </c>
      <c r="M681" s="8">
        <f>SUMIFS(df_bloqueios_judiciais!G:G,df_bloqueios_judiciais!D:D,Conciliacao!A681,df_bloqueios_judiciais!G:G,"&lt;0")</f>
        <v/>
      </c>
      <c r="N681" s="10">
        <f>SUMIFS(df_extratos!I:I,df_extratos!F:F,Conciliacao!BE681,df_extratos!G:G,"DEBITO")+SUMIFS(df_extratos!I:I,df_extratos!F:F,Conciliacao!A681,df_extratos!G:G,"DEBITO")+SUMIFS(df_extratos!I:I,df_extratos!F:F,Conciliacao!BF681,df_extratos!G:G,"DEBITO")+SUMIFS(df_extratos!I:I,df_extratos!F:F,Conciliacao!BG681,df_extratos!G:G,"DEBITO")+SUMIFS(df_extratos!I:I,df_extratos!F:F,Conciliacao!BH681,df_extratos!G:G,"DEBITO")</f>
        <v/>
      </c>
      <c r="O681" s="11">
        <f>N681-SUM(J681:M681)</f>
        <v/>
      </c>
      <c r="P681" s="25">
        <f>SUMIFS(df_ajustes_conciliaco!D:D,df_ajustes_conciliaco!C:C,Conciliacao!A681)</f>
        <v/>
      </c>
      <c r="Q681" s="22">
        <f>O681+I681-P681</f>
        <v/>
      </c>
    </row>
    <row r="682">
      <c r="A682" s="5">
        <f>A681+1</f>
        <v/>
      </c>
      <c r="B682" s="3">
        <f>-SUMIFS(df_extrato_zig!G:G,df_extrato_zig!E:E,Conciliacao!A682,df_extrato_zig!D:D,"Saque")-SUMIFS(df_extrato_zig!G:G,df_extrato_zig!E:E,Conciliacao!A682,df_extrato_zig!D:D,"Antecipação")</f>
        <v/>
      </c>
      <c r="C682" s="3">
        <f>SUMIFS(df_extrato_zig!E:E,df_extrato_zig!L:L,Conciliacao!A682,df_extrato_zig!F:F,"DINHEIRO")</f>
        <v/>
      </c>
      <c r="D682" s="3">
        <f>SUMIFS(view_parc_agrup!H:H,view_parc_agrup!G:G,Conciliacao!A682)</f>
        <v/>
      </c>
      <c r="E682" s="3">
        <f>SUMIFS(df_eventos!F:F,df_eventos!H:H,Conciliacao!A682)</f>
        <v/>
      </c>
      <c r="F682" s="3">
        <f>SUMIFS(df_mutuos!M:M,df_mutuos!B:B,Conciliacao!A682)</f>
        <v/>
      </c>
      <c r="G682" s="6">
        <f>SUMIFS(df_bloqueios_judiciais!G:G,df_bloqueios_judiciais!D:D,Conciliacao!A682,df_bloqueios_judiciais!G:G,"&gt;0")</f>
        <v/>
      </c>
      <c r="H682" s="7">
        <f>SUMIFS(df_extratos!I:I,df_extratos!F:F,Conciliacao!BE682,df_extratos!G:G,"CREDITO")+SUMIFS(df_extratos!I:I,df_extratos!F:F,Conciliacao!A682,df_extratos!G:G,"CREDITO")+SUMIFS(df_extratos!I:I,df_extratos!F:F,Conciliacao!BF682,df_extratos!G:G,"CREDITO")+SUMIFS(df_extratos!I:I,df_extratos!F:F,Conciliacao!BG682,df_extratos!G:G,"CREDITO")+SUMIFS(df_extratos!I:I,df_extratos!F:F,Conciliacao!BH682,df_extratos!G:G,"CREDITO")</f>
        <v/>
      </c>
      <c r="I682" s="9">
        <f>H682-SUM(B682:G682)</f>
        <v/>
      </c>
      <c r="J682" s="4">
        <f>SUMIFS(df_blueme_sem_parcelamento!E:E,df_blueme_sem_parcelamento!H:H,Conciliacao!A682)*(-1)</f>
        <v/>
      </c>
      <c r="K682" s="4">
        <f>SUMIFS(df_blueme_com_parcelamento!J:J,df_blueme_com_parcelamento!M:M,Conciliacao!A682)*(-1)</f>
        <v/>
      </c>
      <c r="L682" s="4">
        <f>SUMIFS(df_mutuos!N:N,df_mutuos!B:B,Conciliacao!A682)*(-1)</f>
        <v/>
      </c>
      <c r="M682" s="8">
        <f>SUMIFS(df_bloqueios_judiciais!G:G,df_bloqueios_judiciais!D:D,Conciliacao!A682,df_bloqueios_judiciais!G:G,"&lt;0")</f>
        <v/>
      </c>
      <c r="N682" s="10">
        <f>SUMIFS(df_extratos!I:I,df_extratos!F:F,Conciliacao!BE682,df_extratos!G:G,"DEBITO")+SUMIFS(df_extratos!I:I,df_extratos!F:F,Conciliacao!A682,df_extratos!G:G,"DEBITO")+SUMIFS(df_extratos!I:I,df_extratos!F:F,Conciliacao!BF682,df_extratos!G:G,"DEBITO")+SUMIFS(df_extratos!I:I,df_extratos!F:F,Conciliacao!BG682,df_extratos!G:G,"DEBITO")+SUMIFS(df_extratos!I:I,df_extratos!F:F,Conciliacao!BH682,df_extratos!G:G,"DEBITO")</f>
        <v/>
      </c>
      <c r="O682" s="11">
        <f>N682-SUM(J682:M682)</f>
        <v/>
      </c>
      <c r="P682" s="25">
        <f>SUMIFS(df_ajustes_conciliaco!D:D,df_ajustes_conciliaco!C:C,Conciliacao!A682)</f>
        <v/>
      </c>
      <c r="Q682" s="22">
        <f>O682+I682-P682</f>
        <v/>
      </c>
    </row>
    <row r="683">
      <c r="A683" s="5">
        <f>A682+1</f>
        <v/>
      </c>
      <c r="B683" s="3">
        <f>-SUMIFS(df_extrato_zig!G:G,df_extrato_zig!E:E,Conciliacao!A683,df_extrato_zig!D:D,"Saque")-SUMIFS(df_extrato_zig!G:G,df_extrato_zig!E:E,Conciliacao!A683,df_extrato_zig!D:D,"Antecipação")</f>
        <v/>
      </c>
      <c r="C683" s="3">
        <f>SUMIFS(df_extrato_zig!E:E,df_extrato_zig!L:L,Conciliacao!A683,df_extrato_zig!F:F,"DINHEIRO")</f>
        <v/>
      </c>
      <c r="D683" s="3">
        <f>SUMIFS(view_parc_agrup!H:H,view_parc_agrup!G:G,Conciliacao!A683)</f>
        <v/>
      </c>
      <c r="E683" s="3">
        <f>SUMIFS(df_eventos!F:F,df_eventos!H:H,Conciliacao!A683)</f>
        <v/>
      </c>
      <c r="F683" s="3">
        <f>SUMIFS(df_mutuos!M:M,df_mutuos!B:B,Conciliacao!A683)</f>
        <v/>
      </c>
      <c r="G683" s="6">
        <f>SUMIFS(df_bloqueios_judiciais!G:G,df_bloqueios_judiciais!D:D,Conciliacao!A683,df_bloqueios_judiciais!G:G,"&gt;0")</f>
        <v/>
      </c>
      <c r="H683" s="7">
        <f>SUMIFS(df_extratos!I:I,df_extratos!F:F,Conciliacao!BE683,df_extratos!G:G,"CREDITO")+SUMIFS(df_extratos!I:I,df_extratos!F:F,Conciliacao!A683,df_extratos!G:G,"CREDITO")+SUMIFS(df_extratos!I:I,df_extratos!F:F,Conciliacao!BF683,df_extratos!G:G,"CREDITO")+SUMIFS(df_extratos!I:I,df_extratos!F:F,Conciliacao!BG683,df_extratos!G:G,"CREDITO")+SUMIFS(df_extratos!I:I,df_extratos!F:F,Conciliacao!BH683,df_extratos!G:G,"CREDITO")</f>
        <v/>
      </c>
      <c r="I683" s="9">
        <f>H683-SUM(B683:G683)</f>
        <v/>
      </c>
      <c r="J683" s="4">
        <f>SUMIFS(df_blueme_sem_parcelamento!E:E,df_blueme_sem_parcelamento!H:H,Conciliacao!A683)*(-1)</f>
        <v/>
      </c>
      <c r="K683" s="4">
        <f>SUMIFS(df_blueme_com_parcelamento!J:J,df_blueme_com_parcelamento!M:M,Conciliacao!A683)*(-1)</f>
        <v/>
      </c>
      <c r="L683" s="4">
        <f>SUMIFS(df_mutuos!N:N,df_mutuos!B:B,Conciliacao!A683)*(-1)</f>
        <v/>
      </c>
      <c r="M683" s="8">
        <f>SUMIFS(df_bloqueios_judiciais!G:G,df_bloqueios_judiciais!D:D,Conciliacao!A683,df_bloqueios_judiciais!G:G,"&lt;0")</f>
        <v/>
      </c>
      <c r="N683" s="10">
        <f>SUMIFS(df_extratos!I:I,df_extratos!F:F,Conciliacao!BE683,df_extratos!G:G,"DEBITO")+SUMIFS(df_extratos!I:I,df_extratos!F:F,Conciliacao!A683,df_extratos!G:G,"DEBITO")+SUMIFS(df_extratos!I:I,df_extratos!F:F,Conciliacao!BF683,df_extratos!G:G,"DEBITO")+SUMIFS(df_extratos!I:I,df_extratos!F:F,Conciliacao!BG683,df_extratos!G:G,"DEBITO")+SUMIFS(df_extratos!I:I,df_extratos!F:F,Conciliacao!BH683,df_extratos!G:G,"DEBITO")</f>
        <v/>
      </c>
      <c r="O683" s="11">
        <f>N683-SUM(J683:M683)</f>
        <v/>
      </c>
      <c r="P683" s="25">
        <f>SUMIFS(df_ajustes_conciliaco!D:D,df_ajustes_conciliaco!C:C,Conciliacao!A683)</f>
        <v/>
      </c>
      <c r="Q683" s="22">
        <f>O683+I683-P683</f>
        <v/>
      </c>
    </row>
    <row r="684">
      <c r="A684" s="5">
        <f>A683+1</f>
        <v/>
      </c>
      <c r="B684" s="3">
        <f>-SUMIFS(df_extrato_zig!G:G,df_extrato_zig!E:E,Conciliacao!A684,df_extrato_zig!D:D,"Saque")-SUMIFS(df_extrato_zig!G:G,df_extrato_zig!E:E,Conciliacao!A684,df_extrato_zig!D:D,"Antecipação")</f>
        <v/>
      </c>
      <c r="C684" s="3">
        <f>SUMIFS(df_extrato_zig!E:E,df_extrato_zig!L:L,Conciliacao!A684,df_extrato_zig!F:F,"DINHEIRO")</f>
        <v/>
      </c>
      <c r="D684" s="3">
        <f>SUMIFS(view_parc_agrup!H:H,view_parc_agrup!G:G,Conciliacao!A684)</f>
        <v/>
      </c>
      <c r="E684" s="3">
        <f>SUMIFS(df_eventos!F:F,df_eventos!H:H,Conciliacao!A684)</f>
        <v/>
      </c>
      <c r="F684" s="3">
        <f>SUMIFS(df_mutuos!M:M,df_mutuos!B:B,Conciliacao!A684)</f>
        <v/>
      </c>
      <c r="G684" s="6">
        <f>SUMIFS(df_bloqueios_judiciais!G:G,df_bloqueios_judiciais!D:D,Conciliacao!A684,df_bloqueios_judiciais!G:G,"&gt;0")</f>
        <v/>
      </c>
      <c r="H684" s="7">
        <f>SUMIFS(df_extratos!I:I,df_extratos!F:F,Conciliacao!BE684,df_extratos!G:G,"CREDITO")+SUMIFS(df_extratos!I:I,df_extratos!F:F,Conciliacao!A684,df_extratos!G:G,"CREDITO")+SUMIFS(df_extratos!I:I,df_extratos!F:F,Conciliacao!BF684,df_extratos!G:G,"CREDITO")+SUMIFS(df_extratos!I:I,df_extratos!F:F,Conciliacao!BG684,df_extratos!G:G,"CREDITO")+SUMIFS(df_extratos!I:I,df_extratos!F:F,Conciliacao!BH684,df_extratos!G:G,"CREDITO")</f>
        <v/>
      </c>
      <c r="I684" s="9">
        <f>H684-SUM(B684:G684)</f>
        <v/>
      </c>
      <c r="J684" s="4">
        <f>SUMIFS(df_blueme_sem_parcelamento!E:E,df_blueme_sem_parcelamento!H:H,Conciliacao!A684)*(-1)</f>
        <v/>
      </c>
      <c r="K684" s="4">
        <f>SUMIFS(df_blueme_com_parcelamento!J:J,df_blueme_com_parcelamento!M:M,Conciliacao!A684)*(-1)</f>
        <v/>
      </c>
      <c r="L684" s="4">
        <f>SUMIFS(df_mutuos!N:N,df_mutuos!B:B,Conciliacao!A684)*(-1)</f>
        <v/>
      </c>
      <c r="M684" s="8">
        <f>SUMIFS(df_bloqueios_judiciais!G:G,df_bloqueios_judiciais!D:D,Conciliacao!A684,df_bloqueios_judiciais!G:G,"&lt;0")</f>
        <v/>
      </c>
      <c r="N684" s="10">
        <f>SUMIFS(df_extratos!I:I,df_extratos!F:F,Conciliacao!BE684,df_extratos!G:G,"DEBITO")+SUMIFS(df_extratos!I:I,df_extratos!F:F,Conciliacao!A684,df_extratos!G:G,"DEBITO")+SUMIFS(df_extratos!I:I,df_extratos!F:F,Conciliacao!BF684,df_extratos!G:G,"DEBITO")+SUMIFS(df_extratos!I:I,df_extratos!F:F,Conciliacao!BG684,df_extratos!G:G,"DEBITO")+SUMIFS(df_extratos!I:I,df_extratos!F:F,Conciliacao!BH684,df_extratos!G:G,"DEBITO")</f>
        <v/>
      </c>
      <c r="O684" s="11">
        <f>N684-SUM(J684:M684)</f>
        <v/>
      </c>
      <c r="P684" s="25">
        <f>SUMIFS(df_ajustes_conciliaco!D:D,df_ajustes_conciliaco!C:C,Conciliacao!A684)</f>
        <v/>
      </c>
      <c r="Q684" s="22">
        <f>O684+I684-P684</f>
        <v/>
      </c>
    </row>
    <row r="685">
      <c r="A685" s="5">
        <f>A684+1</f>
        <v/>
      </c>
      <c r="B685" s="3">
        <f>-SUMIFS(df_extrato_zig!G:G,df_extrato_zig!E:E,Conciliacao!A685,df_extrato_zig!D:D,"Saque")-SUMIFS(df_extrato_zig!G:G,df_extrato_zig!E:E,Conciliacao!A685,df_extrato_zig!D:D,"Antecipação")</f>
        <v/>
      </c>
      <c r="C685" s="3">
        <f>SUMIFS(df_extrato_zig!E:E,df_extrato_zig!L:L,Conciliacao!A685,df_extrato_zig!F:F,"DINHEIRO")</f>
        <v/>
      </c>
      <c r="D685" s="3">
        <f>SUMIFS(view_parc_agrup!H:H,view_parc_agrup!G:G,Conciliacao!A685)</f>
        <v/>
      </c>
      <c r="E685" s="3">
        <f>SUMIFS(df_eventos!F:F,df_eventos!H:H,Conciliacao!A685)</f>
        <v/>
      </c>
      <c r="F685" s="3">
        <f>SUMIFS(df_mutuos!M:M,df_mutuos!B:B,Conciliacao!A685)</f>
        <v/>
      </c>
      <c r="G685" s="6">
        <f>SUMIFS(df_bloqueios_judiciais!G:G,df_bloqueios_judiciais!D:D,Conciliacao!A685,df_bloqueios_judiciais!G:G,"&gt;0")</f>
        <v/>
      </c>
      <c r="H685" s="7">
        <f>SUMIFS(df_extratos!I:I,df_extratos!F:F,Conciliacao!BE685,df_extratos!G:G,"CREDITO")+SUMIFS(df_extratos!I:I,df_extratos!F:F,Conciliacao!A685,df_extratos!G:G,"CREDITO")+SUMIFS(df_extratos!I:I,df_extratos!F:F,Conciliacao!BF685,df_extratos!G:G,"CREDITO")+SUMIFS(df_extratos!I:I,df_extratos!F:F,Conciliacao!BG685,df_extratos!G:G,"CREDITO")+SUMIFS(df_extratos!I:I,df_extratos!F:F,Conciliacao!BH685,df_extratos!G:G,"CREDITO")</f>
        <v/>
      </c>
      <c r="I685" s="9">
        <f>H685-SUM(B685:G685)</f>
        <v/>
      </c>
      <c r="J685" s="4">
        <f>SUMIFS(df_blueme_sem_parcelamento!E:E,df_blueme_sem_parcelamento!H:H,Conciliacao!A685)*(-1)</f>
        <v/>
      </c>
      <c r="K685" s="4">
        <f>SUMIFS(df_blueme_com_parcelamento!J:J,df_blueme_com_parcelamento!M:M,Conciliacao!A685)*(-1)</f>
        <v/>
      </c>
      <c r="L685" s="4">
        <f>SUMIFS(df_mutuos!N:N,df_mutuos!B:B,Conciliacao!A685)*(-1)</f>
        <v/>
      </c>
      <c r="M685" s="8">
        <f>SUMIFS(df_bloqueios_judiciais!G:G,df_bloqueios_judiciais!D:D,Conciliacao!A685,df_bloqueios_judiciais!G:G,"&lt;0")</f>
        <v/>
      </c>
      <c r="N685" s="10">
        <f>SUMIFS(df_extratos!I:I,df_extratos!F:F,Conciliacao!BE685,df_extratos!G:G,"DEBITO")+SUMIFS(df_extratos!I:I,df_extratos!F:F,Conciliacao!A685,df_extratos!G:G,"DEBITO")+SUMIFS(df_extratos!I:I,df_extratos!F:F,Conciliacao!BF685,df_extratos!G:G,"DEBITO")+SUMIFS(df_extratos!I:I,df_extratos!F:F,Conciliacao!BG685,df_extratos!G:G,"DEBITO")+SUMIFS(df_extratos!I:I,df_extratos!F:F,Conciliacao!BH685,df_extratos!G:G,"DEBITO")</f>
        <v/>
      </c>
      <c r="O685" s="11">
        <f>N685-SUM(J685:M685)</f>
        <v/>
      </c>
      <c r="P685" s="25">
        <f>SUMIFS(df_ajustes_conciliaco!D:D,df_ajustes_conciliaco!C:C,Conciliacao!A685)</f>
        <v/>
      </c>
      <c r="Q685" s="22">
        <f>O685+I685-P685</f>
        <v/>
      </c>
    </row>
    <row r="686">
      <c r="A686" s="5">
        <f>A685+1</f>
        <v/>
      </c>
      <c r="B686" s="3">
        <f>-SUMIFS(df_extrato_zig!G:G,df_extrato_zig!E:E,Conciliacao!A686,df_extrato_zig!D:D,"Saque")-SUMIFS(df_extrato_zig!G:G,df_extrato_zig!E:E,Conciliacao!A686,df_extrato_zig!D:D,"Antecipação")</f>
        <v/>
      </c>
      <c r="C686" s="3">
        <f>SUMIFS(df_extrato_zig!E:E,df_extrato_zig!L:L,Conciliacao!A686,df_extrato_zig!F:F,"DINHEIRO")</f>
        <v/>
      </c>
      <c r="D686" s="3">
        <f>SUMIFS(view_parc_agrup!H:H,view_parc_agrup!G:G,Conciliacao!A686)</f>
        <v/>
      </c>
      <c r="E686" s="3">
        <f>SUMIFS(df_eventos!F:F,df_eventos!H:H,Conciliacao!A686)</f>
        <v/>
      </c>
      <c r="F686" s="3">
        <f>SUMIFS(df_mutuos!M:M,df_mutuos!B:B,Conciliacao!A686)</f>
        <v/>
      </c>
      <c r="G686" s="6">
        <f>SUMIFS(df_bloqueios_judiciais!G:G,df_bloqueios_judiciais!D:D,Conciliacao!A686,df_bloqueios_judiciais!G:G,"&gt;0")</f>
        <v/>
      </c>
      <c r="H686" s="7">
        <f>SUMIFS(df_extratos!I:I,df_extratos!F:F,Conciliacao!BE686,df_extratos!G:G,"CREDITO")+SUMIFS(df_extratos!I:I,df_extratos!F:F,Conciliacao!A686,df_extratos!G:G,"CREDITO")+SUMIFS(df_extratos!I:I,df_extratos!F:F,Conciliacao!BF686,df_extratos!G:G,"CREDITO")+SUMIFS(df_extratos!I:I,df_extratos!F:F,Conciliacao!BG686,df_extratos!G:G,"CREDITO")+SUMIFS(df_extratos!I:I,df_extratos!F:F,Conciliacao!BH686,df_extratos!G:G,"CREDITO")</f>
        <v/>
      </c>
      <c r="I686" s="9">
        <f>H686-SUM(B686:G686)</f>
        <v/>
      </c>
      <c r="J686" s="4">
        <f>SUMIFS(df_blueme_sem_parcelamento!E:E,df_blueme_sem_parcelamento!H:H,Conciliacao!A686)*(-1)</f>
        <v/>
      </c>
      <c r="K686" s="4">
        <f>SUMIFS(df_blueme_com_parcelamento!J:J,df_blueme_com_parcelamento!M:M,Conciliacao!A686)*(-1)</f>
        <v/>
      </c>
      <c r="L686" s="4">
        <f>SUMIFS(df_mutuos!N:N,df_mutuos!B:B,Conciliacao!A686)*(-1)</f>
        <v/>
      </c>
      <c r="M686" s="8">
        <f>SUMIFS(df_bloqueios_judiciais!G:G,df_bloqueios_judiciais!D:D,Conciliacao!A686,df_bloqueios_judiciais!G:G,"&lt;0")</f>
        <v/>
      </c>
      <c r="N686" s="10">
        <f>SUMIFS(df_extratos!I:I,df_extratos!F:F,Conciliacao!BE686,df_extratos!G:G,"DEBITO")+SUMIFS(df_extratos!I:I,df_extratos!F:F,Conciliacao!A686,df_extratos!G:G,"DEBITO")+SUMIFS(df_extratos!I:I,df_extratos!F:F,Conciliacao!BF686,df_extratos!G:G,"DEBITO")+SUMIFS(df_extratos!I:I,df_extratos!F:F,Conciliacao!BG686,df_extratos!G:G,"DEBITO")+SUMIFS(df_extratos!I:I,df_extratos!F:F,Conciliacao!BH686,df_extratos!G:G,"DEBITO")</f>
        <v/>
      </c>
      <c r="O686" s="11">
        <f>N686-SUM(J686:M686)</f>
        <v/>
      </c>
      <c r="P686" s="25">
        <f>SUMIFS(df_ajustes_conciliaco!D:D,df_ajustes_conciliaco!C:C,Conciliacao!A686)</f>
        <v/>
      </c>
      <c r="Q686" s="22">
        <f>O686+I686-P686</f>
        <v/>
      </c>
    </row>
    <row r="687">
      <c r="A687" s="5">
        <f>A686+1</f>
        <v/>
      </c>
      <c r="B687" s="3">
        <f>-SUMIFS(df_extrato_zig!G:G,df_extrato_zig!E:E,Conciliacao!A687,df_extrato_zig!D:D,"Saque")-SUMIFS(df_extrato_zig!G:G,df_extrato_zig!E:E,Conciliacao!A687,df_extrato_zig!D:D,"Antecipação")</f>
        <v/>
      </c>
      <c r="C687" s="3">
        <f>SUMIFS(df_extrato_zig!E:E,df_extrato_zig!L:L,Conciliacao!A687,df_extrato_zig!F:F,"DINHEIRO")</f>
        <v/>
      </c>
      <c r="D687" s="3">
        <f>SUMIFS(view_parc_agrup!H:H,view_parc_agrup!G:G,Conciliacao!A687)</f>
        <v/>
      </c>
      <c r="E687" s="3">
        <f>SUMIFS(df_eventos!F:F,df_eventos!H:H,Conciliacao!A687)</f>
        <v/>
      </c>
      <c r="F687" s="3">
        <f>SUMIFS(df_mutuos!M:M,df_mutuos!B:B,Conciliacao!A687)</f>
        <v/>
      </c>
      <c r="G687" s="6">
        <f>SUMIFS(df_bloqueios_judiciais!G:G,df_bloqueios_judiciais!D:D,Conciliacao!A687,df_bloqueios_judiciais!G:G,"&gt;0")</f>
        <v/>
      </c>
      <c r="H687" s="7">
        <f>SUMIFS(df_extratos!I:I,df_extratos!F:F,Conciliacao!BE687,df_extratos!G:G,"CREDITO")+SUMIFS(df_extratos!I:I,df_extratos!F:F,Conciliacao!A687,df_extratos!G:G,"CREDITO")+SUMIFS(df_extratos!I:I,df_extratos!F:F,Conciliacao!BF687,df_extratos!G:G,"CREDITO")+SUMIFS(df_extratos!I:I,df_extratos!F:F,Conciliacao!BG687,df_extratos!G:G,"CREDITO")+SUMIFS(df_extratos!I:I,df_extratos!F:F,Conciliacao!BH687,df_extratos!G:G,"CREDITO")</f>
        <v/>
      </c>
      <c r="I687" s="9">
        <f>H687-SUM(B687:G687)</f>
        <v/>
      </c>
      <c r="J687" s="4">
        <f>SUMIFS(df_blueme_sem_parcelamento!E:E,df_blueme_sem_parcelamento!H:H,Conciliacao!A687)*(-1)</f>
        <v/>
      </c>
      <c r="K687" s="4">
        <f>SUMIFS(df_blueme_com_parcelamento!J:J,df_blueme_com_parcelamento!M:M,Conciliacao!A687)*(-1)</f>
        <v/>
      </c>
      <c r="L687" s="4">
        <f>SUMIFS(df_mutuos!N:N,df_mutuos!B:B,Conciliacao!A687)*(-1)</f>
        <v/>
      </c>
      <c r="M687" s="8">
        <f>SUMIFS(df_bloqueios_judiciais!G:G,df_bloqueios_judiciais!D:D,Conciliacao!A687,df_bloqueios_judiciais!G:G,"&lt;0")</f>
        <v/>
      </c>
      <c r="N687" s="10">
        <f>SUMIFS(df_extratos!I:I,df_extratos!F:F,Conciliacao!BE687,df_extratos!G:G,"DEBITO")+SUMIFS(df_extratos!I:I,df_extratos!F:F,Conciliacao!A687,df_extratos!G:G,"DEBITO")+SUMIFS(df_extratos!I:I,df_extratos!F:F,Conciliacao!BF687,df_extratos!G:G,"DEBITO")+SUMIFS(df_extratos!I:I,df_extratos!F:F,Conciliacao!BG687,df_extratos!G:G,"DEBITO")+SUMIFS(df_extratos!I:I,df_extratos!F:F,Conciliacao!BH687,df_extratos!G:G,"DEBITO")</f>
        <v/>
      </c>
      <c r="O687" s="11">
        <f>N687-SUM(J687:M687)</f>
        <v/>
      </c>
      <c r="P687" s="25">
        <f>SUMIFS(df_ajustes_conciliaco!D:D,df_ajustes_conciliaco!C:C,Conciliacao!A687)</f>
        <v/>
      </c>
      <c r="Q687" s="22">
        <f>O687+I687-P687</f>
        <v/>
      </c>
    </row>
    <row r="688">
      <c r="A688" s="5">
        <f>A687+1</f>
        <v/>
      </c>
      <c r="B688" s="3">
        <f>-SUMIFS(df_extrato_zig!G:G,df_extrato_zig!E:E,Conciliacao!A688,df_extrato_zig!D:D,"Saque")-SUMIFS(df_extrato_zig!G:G,df_extrato_zig!E:E,Conciliacao!A688,df_extrato_zig!D:D,"Antecipação")</f>
        <v/>
      </c>
      <c r="C688" s="3">
        <f>SUMIFS(df_extrato_zig!E:E,df_extrato_zig!L:L,Conciliacao!A688,df_extrato_zig!F:F,"DINHEIRO")</f>
        <v/>
      </c>
      <c r="D688" s="3">
        <f>SUMIFS(view_parc_agrup!H:H,view_parc_agrup!G:G,Conciliacao!A688)</f>
        <v/>
      </c>
      <c r="E688" s="3">
        <f>SUMIFS(df_eventos!F:F,df_eventos!H:H,Conciliacao!A688)</f>
        <v/>
      </c>
      <c r="F688" s="3">
        <f>SUMIFS(df_mutuos!M:M,df_mutuos!B:B,Conciliacao!A688)</f>
        <v/>
      </c>
      <c r="G688" s="6">
        <f>SUMIFS(df_bloqueios_judiciais!G:G,df_bloqueios_judiciais!D:D,Conciliacao!A688,df_bloqueios_judiciais!G:G,"&gt;0")</f>
        <v/>
      </c>
      <c r="H688" s="7">
        <f>SUMIFS(df_extratos!I:I,df_extratos!F:F,Conciliacao!BE688,df_extratos!G:G,"CREDITO")+SUMIFS(df_extratos!I:I,df_extratos!F:F,Conciliacao!A688,df_extratos!G:G,"CREDITO")+SUMIFS(df_extratos!I:I,df_extratos!F:F,Conciliacao!BF688,df_extratos!G:G,"CREDITO")+SUMIFS(df_extratos!I:I,df_extratos!F:F,Conciliacao!BG688,df_extratos!G:G,"CREDITO")+SUMIFS(df_extratos!I:I,df_extratos!F:F,Conciliacao!BH688,df_extratos!G:G,"CREDITO")</f>
        <v/>
      </c>
      <c r="I688" s="9">
        <f>H688-SUM(B688:G688)</f>
        <v/>
      </c>
      <c r="J688" s="4">
        <f>SUMIFS(df_blueme_sem_parcelamento!E:E,df_blueme_sem_parcelamento!H:H,Conciliacao!A688)*(-1)</f>
        <v/>
      </c>
      <c r="K688" s="4">
        <f>SUMIFS(df_blueme_com_parcelamento!J:J,df_blueme_com_parcelamento!M:M,Conciliacao!A688)*(-1)</f>
        <v/>
      </c>
      <c r="L688" s="4">
        <f>SUMIFS(df_mutuos!N:N,df_mutuos!B:B,Conciliacao!A688)*(-1)</f>
        <v/>
      </c>
      <c r="M688" s="8">
        <f>SUMIFS(df_bloqueios_judiciais!G:G,df_bloqueios_judiciais!D:D,Conciliacao!A688,df_bloqueios_judiciais!G:G,"&lt;0")</f>
        <v/>
      </c>
      <c r="N688" s="10">
        <f>SUMIFS(df_extratos!I:I,df_extratos!F:F,Conciliacao!BE688,df_extratos!G:G,"DEBITO")+SUMIFS(df_extratos!I:I,df_extratos!F:F,Conciliacao!A688,df_extratos!G:G,"DEBITO")+SUMIFS(df_extratos!I:I,df_extratos!F:F,Conciliacao!BF688,df_extratos!G:G,"DEBITO")+SUMIFS(df_extratos!I:I,df_extratos!F:F,Conciliacao!BG688,df_extratos!G:G,"DEBITO")+SUMIFS(df_extratos!I:I,df_extratos!F:F,Conciliacao!BH688,df_extratos!G:G,"DEBITO")</f>
        <v/>
      </c>
      <c r="O688" s="11">
        <f>N688-SUM(J688:M688)</f>
        <v/>
      </c>
      <c r="P688" s="25">
        <f>SUMIFS(df_ajustes_conciliaco!D:D,df_ajustes_conciliaco!C:C,Conciliacao!A688)</f>
        <v/>
      </c>
      <c r="Q688" s="22">
        <f>O688+I688-P688</f>
        <v/>
      </c>
    </row>
    <row r="689">
      <c r="A689" s="5">
        <f>A688+1</f>
        <v/>
      </c>
      <c r="B689" s="3">
        <f>-SUMIFS(df_extrato_zig!G:G,df_extrato_zig!E:E,Conciliacao!A689,df_extrato_zig!D:D,"Saque")-SUMIFS(df_extrato_zig!G:G,df_extrato_zig!E:E,Conciliacao!A689,df_extrato_zig!D:D,"Antecipação")</f>
        <v/>
      </c>
      <c r="C689" s="3">
        <f>SUMIFS(df_extrato_zig!E:E,df_extrato_zig!L:L,Conciliacao!A689,df_extrato_zig!F:F,"DINHEIRO")</f>
        <v/>
      </c>
      <c r="D689" s="3">
        <f>SUMIFS(view_parc_agrup!H:H,view_parc_agrup!G:G,Conciliacao!A689)</f>
        <v/>
      </c>
      <c r="E689" s="3">
        <f>SUMIFS(df_eventos!F:F,df_eventos!H:H,Conciliacao!A689)</f>
        <v/>
      </c>
      <c r="F689" s="3">
        <f>SUMIFS(df_mutuos!M:M,df_mutuos!B:B,Conciliacao!A689)</f>
        <v/>
      </c>
      <c r="G689" s="6">
        <f>SUMIFS(df_bloqueios_judiciais!G:G,df_bloqueios_judiciais!D:D,Conciliacao!A689,df_bloqueios_judiciais!G:G,"&gt;0")</f>
        <v/>
      </c>
      <c r="H689" s="7">
        <f>SUMIFS(df_extratos!I:I,df_extratos!F:F,Conciliacao!BE689,df_extratos!G:G,"CREDITO")+SUMIFS(df_extratos!I:I,df_extratos!F:F,Conciliacao!A689,df_extratos!G:G,"CREDITO")+SUMIFS(df_extratos!I:I,df_extratos!F:F,Conciliacao!BF689,df_extratos!G:G,"CREDITO")+SUMIFS(df_extratos!I:I,df_extratos!F:F,Conciliacao!BG689,df_extratos!G:G,"CREDITO")+SUMIFS(df_extratos!I:I,df_extratos!F:F,Conciliacao!BH689,df_extratos!G:G,"CREDITO")</f>
        <v/>
      </c>
      <c r="I689" s="9">
        <f>H689-SUM(B689:G689)</f>
        <v/>
      </c>
      <c r="J689" s="4">
        <f>SUMIFS(df_blueme_sem_parcelamento!E:E,df_blueme_sem_parcelamento!H:H,Conciliacao!A689)*(-1)</f>
        <v/>
      </c>
      <c r="K689" s="4">
        <f>SUMIFS(df_blueme_com_parcelamento!J:J,df_blueme_com_parcelamento!M:M,Conciliacao!A689)*(-1)</f>
        <v/>
      </c>
      <c r="L689" s="4">
        <f>SUMIFS(df_mutuos!N:N,df_mutuos!B:B,Conciliacao!A689)*(-1)</f>
        <v/>
      </c>
      <c r="M689" s="8">
        <f>SUMIFS(df_bloqueios_judiciais!G:G,df_bloqueios_judiciais!D:D,Conciliacao!A689,df_bloqueios_judiciais!G:G,"&lt;0")</f>
        <v/>
      </c>
      <c r="N689" s="10">
        <f>SUMIFS(df_extratos!I:I,df_extratos!F:F,Conciliacao!BE689,df_extratos!G:G,"DEBITO")+SUMIFS(df_extratos!I:I,df_extratos!F:F,Conciliacao!A689,df_extratos!G:G,"DEBITO")+SUMIFS(df_extratos!I:I,df_extratos!F:F,Conciliacao!BF689,df_extratos!G:G,"DEBITO")+SUMIFS(df_extratos!I:I,df_extratos!F:F,Conciliacao!BG689,df_extratos!G:G,"DEBITO")+SUMIFS(df_extratos!I:I,df_extratos!F:F,Conciliacao!BH689,df_extratos!G:G,"DEBITO")</f>
        <v/>
      </c>
      <c r="O689" s="11">
        <f>N689-SUM(J689:M689)</f>
        <v/>
      </c>
      <c r="P689" s="25">
        <f>SUMIFS(df_ajustes_conciliaco!D:D,df_ajustes_conciliaco!C:C,Conciliacao!A689)</f>
        <v/>
      </c>
      <c r="Q689" s="22">
        <f>O689+I689-P689</f>
        <v/>
      </c>
    </row>
    <row r="690">
      <c r="A690" s="5">
        <f>A689+1</f>
        <v/>
      </c>
      <c r="B690" s="3">
        <f>-SUMIFS(df_extrato_zig!G:G,df_extrato_zig!E:E,Conciliacao!A690,df_extrato_zig!D:D,"Saque")-SUMIFS(df_extrato_zig!G:G,df_extrato_zig!E:E,Conciliacao!A690,df_extrato_zig!D:D,"Antecipação")</f>
        <v/>
      </c>
      <c r="C690" s="3">
        <f>SUMIFS(df_extrato_zig!E:E,df_extrato_zig!L:L,Conciliacao!A690,df_extrato_zig!F:F,"DINHEIRO")</f>
        <v/>
      </c>
      <c r="D690" s="3">
        <f>SUMIFS(view_parc_agrup!H:H,view_parc_agrup!G:G,Conciliacao!A690)</f>
        <v/>
      </c>
      <c r="E690" s="3">
        <f>SUMIFS(df_eventos!F:F,df_eventos!H:H,Conciliacao!A690)</f>
        <v/>
      </c>
      <c r="F690" s="3">
        <f>SUMIFS(df_mutuos!M:M,df_mutuos!B:B,Conciliacao!A690)</f>
        <v/>
      </c>
      <c r="G690" s="6">
        <f>SUMIFS(df_bloqueios_judiciais!G:G,df_bloqueios_judiciais!D:D,Conciliacao!A690,df_bloqueios_judiciais!G:G,"&gt;0")</f>
        <v/>
      </c>
      <c r="H690" s="7">
        <f>SUMIFS(df_extratos!I:I,df_extratos!F:F,Conciliacao!BE690,df_extratos!G:G,"CREDITO")+SUMIFS(df_extratos!I:I,df_extratos!F:F,Conciliacao!A690,df_extratos!G:G,"CREDITO")+SUMIFS(df_extratos!I:I,df_extratos!F:F,Conciliacao!BF690,df_extratos!G:G,"CREDITO")+SUMIFS(df_extratos!I:I,df_extratos!F:F,Conciliacao!BG690,df_extratos!G:G,"CREDITO")+SUMIFS(df_extratos!I:I,df_extratos!F:F,Conciliacao!BH690,df_extratos!G:G,"CREDITO")</f>
        <v/>
      </c>
      <c r="I690" s="9">
        <f>H690-SUM(B690:G690)</f>
        <v/>
      </c>
      <c r="J690" s="4">
        <f>SUMIFS(df_blueme_sem_parcelamento!E:E,df_blueme_sem_parcelamento!H:H,Conciliacao!A690)*(-1)</f>
        <v/>
      </c>
      <c r="K690" s="4">
        <f>SUMIFS(df_blueme_com_parcelamento!J:J,df_blueme_com_parcelamento!M:M,Conciliacao!A690)*(-1)</f>
        <v/>
      </c>
      <c r="L690" s="4">
        <f>SUMIFS(df_mutuos!N:N,df_mutuos!B:B,Conciliacao!A690)*(-1)</f>
        <v/>
      </c>
      <c r="M690" s="8">
        <f>SUMIFS(df_bloqueios_judiciais!G:G,df_bloqueios_judiciais!D:D,Conciliacao!A690,df_bloqueios_judiciais!G:G,"&lt;0")</f>
        <v/>
      </c>
      <c r="N690" s="10">
        <f>SUMIFS(df_extratos!I:I,df_extratos!F:F,Conciliacao!BE690,df_extratos!G:G,"DEBITO")+SUMIFS(df_extratos!I:I,df_extratos!F:F,Conciliacao!A690,df_extratos!G:G,"DEBITO")+SUMIFS(df_extratos!I:I,df_extratos!F:F,Conciliacao!BF690,df_extratos!G:G,"DEBITO")+SUMIFS(df_extratos!I:I,df_extratos!F:F,Conciliacao!BG690,df_extratos!G:G,"DEBITO")+SUMIFS(df_extratos!I:I,df_extratos!F:F,Conciliacao!BH690,df_extratos!G:G,"DEBITO")</f>
        <v/>
      </c>
      <c r="O690" s="11">
        <f>N690-SUM(J690:M690)</f>
        <v/>
      </c>
      <c r="P690" s="25">
        <f>SUMIFS(df_ajustes_conciliaco!D:D,df_ajustes_conciliaco!C:C,Conciliacao!A690)</f>
        <v/>
      </c>
      <c r="Q690" s="22">
        <f>O690+I690-P690</f>
        <v/>
      </c>
    </row>
    <row r="691">
      <c r="A691" s="5">
        <f>A690+1</f>
        <v/>
      </c>
      <c r="B691" s="3">
        <f>-SUMIFS(df_extrato_zig!G:G,df_extrato_zig!E:E,Conciliacao!A691,df_extrato_zig!D:D,"Saque")-SUMIFS(df_extrato_zig!G:G,df_extrato_zig!E:E,Conciliacao!A691,df_extrato_zig!D:D,"Antecipação")</f>
        <v/>
      </c>
      <c r="C691" s="3">
        <f>SUMIFS(df_extrato_zig!E:E,df_extrato_zig!L:L,Conciliacao!A691,df_extrato_zig!F:F,"DINHEIRO")</f>
        <v/>
      </c>
      <c r="D691" s="3">
        <f>SUMIFS(view_parc_agrup!H:H,view_parc_agrup!G:G,Conciliacao!A691)</f>
        <v/>
      </c>
      <c r="E691" s="3">
        <f>SUMIFS(df_eventos!F:F,df_eventos!H:H,Conciliacao!A691)</f>
        <v/>
      </c>
      <c r="F691" s="3">
        <f>SUMIFS(df_mutuos!M:M,df_mutuos!B:B,Conciliacao!A691)</f>
        <v/>
      </c>
      <c r="G691" s="6">
        <f>SUMIFS(df_bloqueios_judiciais!G:G,df_bloqueios_judiciais!D:D,Conciliacao!A691,df_bloqueios_judiciais!G:G,"&gt;0")</f>
        <v/>
      </c>
      <c r="H691" s="7">
        <f>SUMIFS(df_extratos!I:I,df_extratos!F:F,Conciliacao!BE691,df_extratos!G:G,"CREDITO")+SUMIFS(df_extratos!I:I,df_extratos!F:F,Conciliacao!A691,df_extratos!G:G,"CREDITO")+SUMIFS(df_extratos!I:I,df_extratos!F:F,Conciliacao!BF691,df_extratos!G:G,"CREDITO")+SUMIFS(df_extratos!I:I,df_extratos!F:F,Conciliacao!BG691,df_extratos!G:G,"CREDITO")+SUMIFS(df_extratos!I:I,df_extratos!F:F,Conciliacao!BH691,df_extratos!G:G,"CREDITO")</f>
        <v/>
      </c>
      <c r="I691" s="9">
        <f>H691-SUM(B691:G691)</f>
        <v/>
      </c>
      <c r="J691" s="4">
        <f>SUMIFS(df_blueme_sem_parcelamento!E:E,df_blueme_sem_parcelamento!H:H,Conciliacao!A691)*(-1)</f>
        <v/>
      </c>
      <c r="K691" s="4">
        <f>SUMIFS(df_blueme_com_parcelamento!J:J,df_blueme_com_parcelamento!M:M,Conciliacao!A691)*(-1)</f>
        <v/>
      </c>
      <c r="L691" s="4">
        <f>SUMIFS(df_mutuos!N:N,df_mutuos!B:B,Conciliacao!A691)*(-1)</f>
        <v/>
      </c>
      <c r="M691" s="8">
        <f>SUMIFS(df_bloqueios_judiciais!G:G,df_bloqueios_judiciais!D:D,Conciliacao!A691,df_bloqueios_judiciais!G:G,"&lt;0")</f>
        <v/>
      </c>
      <c r="N691" s="10">
        <f>SUMIFS(df_extratos!I:I,df_extratos!F:F,Conciliacao!BE691,df_extratos!G:G,"DEBITO")+SUMIFS(df_extratos!I:I,df_extratos!F:F,Conciliacao!A691,df_extratos!G:G,"DEBITO")+SUMIFS(df_extratos!I:I,df_extratos!F:F,Conciliacao!BF691,df_extratos!G:G,"DEBITO")+SUMIFS(df_extratos!I:I,df_extratos!F:F,Conciliacao!BG691,df_extratos!G:G,"DEBITO")+SUMIFS(df_extratos!I:I,df_extratos!F:F,Conciliacao!BH691,df_extratos!G:G,"DEBITO")</f>
        <v/>
      </c>
      <c r="O691" s="11">
        <f>N691-SUM(J691:M691)</f>
        <v/>
      </c>
      <c r="P691" s="25">
        <f>SUMIFS(df_ajustes_conciliaco!D:D,df_ajustes_conciliaco!C:C,Conciliacao!A691)</f>
        <v/>
      </c>
      <c r="Q691" s="22">
        <f>O691+I691-P691</f>
        <v/>
      </c>
    </row>
    <row r="692">
      <c r="A692" s="5">
        <f>A691+1</f>
        <v/>
      </c>
      <c r="B692" s="3">
        <f>-SUMIFS(df_extrato_zig!G:G,df_extrato_zig!E:E,Conciliacao!A692,df_extrato_zig!D:D,"Saque")-SUMIFS(df_extrato_zig!G:G,df_extrato_zig!E:E,Conciliacao!A692,df_extrato_zig!D:D,"Antecipação")</f>
        <v/>
      </c>
      <c r="C692" s="3">
        <f>SUMIFS(df_extrato_zig!E:E,df_extrato_zig!L:L,Conciliacao!A692,df_extrato_zig!F:F,"DINHEIRO")</f>
        <v/>
      </c>
      <c r="D692" s="3">
        <f>SUMIFS(view_parc_agrup!H:H,view_parc_agrup!G:G,Conciliacao!A692)</f>
        <v/>
      </c>
      <c r="E692" s="3">
        <f>SUMIFS(df_eventos!F:F,df_eventos!H:H,Conciliacao!A692)</f>
        <v/>
      </c>
      <c r="F692" s="3">
        <f>SUMIFS(df_mutuos!M:M,df_mutuos!B:B,Conciliacao!A692)</f>
        <v/>
      </c>
      <c r="G692" s="6">
        <f>SUMIFS(df_bloqueios_judiciais!G:G,df_bloqueios_judiciais!D:D,Conciliacao!A692,df_bloqueios_judiciais!G:G,"&gt;0")</f>
        <v/>
      </c>
      <c r="H692" s="7">
        <f>SUMIFS(df_extratos!I:I,df_extratos!F:F,Conciliacao!BE692,df_extratos!G:G,"CREDITO")+SUMIFS(df_extratos!I:I,df_extratos!F:F,Conciliacao!A692,df_extratos!G:G,"CREDITO")+SUMIFS(df_extratos!I:I,df_extratos!F:F,Conciliacao!BF692,df_extratos!G:G,"CREDITO")+SUMIFS(df_extratos!I:I,df_extratos!F:F,Conciliacao!BG692,df_extratos!G:G,"CREDITO")+SUMIFS(df_extratos!I:I,df_extratos!F:F,Conciliacao!BH692,df_extratos!G:G,"CREDITO")</f>
        <v/>
      </c>
      <c r="I692" s="9">
        <f>H692-SUM(B692:G692)</f>
        <v/>
      </c>
      <c r="J692" s="4">
        <f>SUMIFS(df_blueme_sem_parcelamento!E:E,df_blueme_sem_parcelamento!H:H,Conciliacao!A692)*(-1)</f>
        <v/>
      </c>
      <c r="K692" s="4">
        <f>SUMIFS(df_blueme_com_parcelamento!J:J,df_blueme_com_parcelamento!M:M,Conciliacao!A692)*(-1)</f>
        <v/>
      </c>
      <c r="L692" s="4">
        <f>SUMIFS(df_mutuos!N:N,df_mutuos!B:B,Conciliacao!A692)*(-1)</f>
        <v/>
      </c>
      <c r="M692" s="8">
        <f>SUMIFS(df_bloqueios_judiciais!G:G,df_bloqueios_judiciais!D:D,Conciliacao!A692,df_bloqueios_judiciais!G:G,"&lt;0")</f>
        <v/>
      </c>
      <c r="N692" s="10">
        <f>SUMIFS(df_extratos!I:I,df_extratos!F:F,Conciliacao!BE692,df_extratos!G:G,"DEBITO")+SUMIFS(df_extratos!I:I,df_extratos!F:F,Conciliacao!A692,df_extratos!G:G,"DEBITO")+SUMIFS(df_extratos!I:I,df_extratos!F:F,Conciliacao!BF692,df_extratos!G:G,"DEBITO")+SUMIFS(df_extratos!I:I,df_extratos!F:F,Conciliacao!BG692,df_extratos!G:G,"DEBITO")+SUMIFS(df_extratos!I:I,df_extratos!F:F,Conciliacao!BH692,df_extratos!G:G,"DEBITO")</f>
        <v/>
      </c>
      <c r="O692" s="11">
        <f>N692-SUM(J692:M692)</f>
        <v/>
      </c>
      <c r="P692" s="25">
        <f>SUMIFS(df_ajustes_conciliaco!D:D,df_ajustes_conciliaco!C:C,Conciliacao!A692)</f>
        <v/>
      </c>
      <c r="Q692" s="22">
        <f>O692+I692-P692</f>
        <v/>
      </c>
    </row>
    <row r="693">
      <c r="A693" s="5">
        <f>A692+1</f>
        <v/>
      </c>
      <c r="B693" s="3">
        <f>-SUMIFS(df_extrato_zig!G:G,df_extrato_zig!E:E,Conciliacao!A693,df_extrato_zig!D:D,"Saque")-SUMIFS(df_extrato_zig!G:G,df_extrato_zig!E:E,Conciliacao!A693,df_extrato_zig!D:D,"Antecipação")</f>
        <v/>
      </c>
      <c r="C693" s="3">
        <f>SUMIFS(df_extrato_zig!E:E,df_extrato_zig!L:L,Conciliacao!A693,df_extrato_zig!F:F,"DINHEIRO")</f>
        <v/>
      </c>
      <c r="D693" s="3">
        <f>SUMIFS(view_parc_agrup!H:H,view_parc_agrup!G:G,Conciliacao!A693)</f>
        <v/>
      </c>
      <c r="E693" s="3">
        <f>SUMIFS(df_eventos!F:F,df_eventos!H:H,Conciliacao!A693)</f>
        <v/>
      </c>
      <c r="F693" s="3">
        <f>SUMIFS(df_mutuos!M:M,df_mutuos!B:B,Conciliacao!A693)</f>
        <v/>
      </c>
      <c r="G693" s="6">
        <f>SUMIFS(df_bloqueios_judiciais!G:G,df_bloqueios_judiciais!D:D,Conciliacao!A693,df_bloqueios_judiciais!G:G,"&gt;0")</f>
        <v/>
      </c>
      <c r="H693" s="7">
        <f>SUMIFS(df_extratos!I:I,df_extratos!F:F,Conciliacao!BE693,df_extratos!G:G,"CREDITO")+SUMIFS(df_extratos!I:I,df_extratos!F:F,Conciliacao!A693,df_extratos!G:G,"CREDITO")+SUMIFS(df_extratos!I:I,df_extratos!F:F,Conciliacao!BF693,df_extratos!G:G,"CREDITO")+SUMIFS(df_extratos!I:I,df_extratos!F:F,Conciliacao!BG693,df_extratos!G:G,"CREDITO")+SUMIFS(df_extratos!I:I,df_extratos!F:F,Conciliacao!BH693,df_extratos!G:G,"CREDITO")</f>
        <v/>
      </c>
      <c r="I693" s="9">
        <f>H693-SUM(B693:G693)</f>
        <v/>
      </c>
      <c r="J693" s="4">
        <f>SUMIFS(df_blueme_sem_parcelamento!E:E,df_blueme_sem_parcelamento!H:H,Conciliacao!A693)*(-1)</f>
        <v/>
      </c>
      <c r="K693" s="4">
        <f>SUMIFS(df_blueme_com_parcelamento!J:J,df_blueme_com_parcelamento!M:M,Conciliacao!A693)*(-1)</f>
        <v/>
      </c>
      <c r="L693" s="4">
        <f>SUMIFS(df_mutuos!N:N,df_mutuos!B:B,Conciliacao!A693)*(-1)</f>
        <v/>
      </c>
      <c r="M693" s="8">
        <f>SUMIFS(df_bloqueios_judiciais!G:G,df_bloqueios_judiciais!D:D,Conciliacao!A693,df_bloqueios_judiciais!G:G,"&lt;0")</f>
        <v/>
      </c>
      <c r="N693" s="10">
        <f>SUMIFS(df_extratos!I:I,df_extratos!F:F,Conciliacao!BE693,df_extratos!G:G,"DEBITO")+SUMIFS(df_extratos!I:I,df_extratos!F:F,Conciliacao!A693,df_extratos!G:G,"DEBITO")+SUMIFS(df_extratos!I:I,df_extratos!F:F,Conciliacao!BF693,df_extratos!G:G,"DEBITO")+SUMIFS(df_extratos!I:I,df_extratos!F:F,Conciliacao!BG693,df_extratos!G:G,"DEBITO")+SUMIFS(df_extratos!I:I,df_extratos!F:F,Conciliacao!BH693,df_extratos!G:G,"DEBITO")</f>
        <v/>
      </c>
      <c r="O693" s="11">
        <f>N693-SUM(J693:M693)</f>
        <v/>
      </c>
      <c r="P693" s="25">
        <f>SUMIFS(df_ajustes_conciliaco!D:D,df_ajustes_conciliaco!C:C,Conciliacao!A693)</f>
        <v/>
      </c>
      <c r="Q693" s="22">
        <f>O693+I693-P693</f>
        <v/>
      </c>
    </row>
    <row r="694">
      <c r="A694" s="5">
        <f>A693+1</f>
        <v/>
      </c>
      <c r="B694" s="3">
        <f>-SUMIFS(df_extrato_zig!G:G,df_extrato_zig!E:E,Conciliacao!A694,df_extrato_zig!D:D,"Saque")-SUMIFS(df_extrato_zig!G:G,df_extrato_zig!E:E,Conciliacao!A694,df_extrato_zig!D:D,"Antecipação")</f>
        <v/>
      </c>
      <c r="C694" s="3">
        <f>SUMIFS(df_extrato_zig!E:E,df_extrato_zig!L:L,Conciliacao!A694,df_extrato_zig!F:F,"DINHEIRO")</f>
        <v/>
      </c>
      <c r="D694" s="3">
        <f>SUMIFS(view_parc_agrup!H:H,view_parc_agrup!G:G,Conciliacao!A694)</f>
        <v/>
      </c>
      <c r="E694" s="3">
        <f>SUMIFS(df_eventos!F:F,df_eventos!H:H,Conciliacao!A694)</f>
        <v/>
      </c>
      <c r="F694" s="3">
        <f>SUMIFS(df_mutuos!M:M,df_mutuos!B:B,Conciliacao!A694)</f>
        <v/>
      </c>
      <c r="G694" s="6">
        <f>SUMIFS(df_bloqueios_judiciais!G:G,df_bloqueios_judiciais!D:D,Conciliacao!A694,df_bloqueios_judiciais!G:G,"&gt;0")</f>
        <v/>
      </c>
      <c r="H694" s="7">
        <f>SUMIFS(df_extratos!I:I,df_extratos!F:F,Conciliacao!BE694,df_extratos!G:G,"CREDITO")+SUMIFS(df_extratos!I:I,df_extratos!F:F,Conciliacao!A694,df_extratos!G:G,"CREDITO")+SUMIFS(df_extratos!I:I,df_extratos!F:F,Conciliacao!BF694,df_extratos!G:G,"CREDITO")+SUMIFS(df_extratos!I:I,df_extratos!F:F,Conciliacao!BG694,df_extratos!G:G,"CREDITO")+SUMIFS(df_extratos!I:I,df_extratos!F:F,Conciliacao!BH694,df_extratos!G:G,"CREDITO")</f>
        <v/>
      </c>
      <c r="I694" s="9">
        <f>H694-SUM(B694:G694)</f>
        <v/>
      </c>
      <c r="J694" s="4">
        <f>SUMIFS(df_blueme_sem_parcelamento!E:E,df_blueme_sem_parcelamento!H:H,Conciliacao!A694)*(-1)</f>
        <v/>
      </c>
      <c r="K694" s="4">
        <f>SUMIFS(df_blueme_com_parcelamento!J:J,df_blueme_com_parcelamento!M:M,Conciliacao!A694)*(-1)</f>
        <v/>
      </c>
      <c r="L694" s="4">
        <f>SUMIFS(df_mutuos!N:N,df_mutuos!B:B,Conciliacao!A694)*(-1)</f>
        <v/>
      </c>
      <c r="M694" s="8">
        <f>SUMIFS(df_bloqueios_judiciais!G:G,df_bloqueios_judiciais!D:D,Conciliacao!A694,df_bloqueios_judiciais!G:G,"&lt;0")</f>
        <v/>
      </c>
      <c r="N694" s="10">
        <f>SUMIFS(df_extratos!I:I,df_extratos!F:F,Conciliacao!BE694,df_extratos!G:G,"DEBITO")+SUMIFS(df_extratos!I:I,df_extratos!F:F,Conciliacao!A694,df_extratos!G:G,"DEBITO")+SUMIFS(df_extratos!I:I,df_extratos!F:F,Conciliacao!BF694,df_extratos!G:G,"DEBITO")+SUMIFS(df_extratos!I:I,df_extratos!F:F,Conciliacao!BG694,df_extratos!G:G,"DEBITO")+SUMIFS(df_extratos!I:I,df_extratos!F:F,Conciliacao!BH694,df_extratos!G:G,"DEBITO")</f>
        <v/>
      </c>
      <c r="O694" s="11">
        <f>N694-SUM(J694:M694)</f>
        <v/>
      </c>
      <c r="P694" s="25">
        <f>SUMIFS(df_ajustes_conciliaco!D:D,df_ajustes_conciliaco!C:C,Conciliacao!A694)</f>
        <v/>
      </c>
      <c r="Q694" s="22">
        <f>O694+I694-P694</f>
        <v/>
      </c>
    </row>
    <row r="695">
      <c r="A695" s="5">
        <f>A694+1</f>
        <v/>
      </c>
      <c r="B695" s="3">
        <f>-SUMIFS(df_extrato_zig!G:G,df_extrato_zig!E:E,Conciliacao!A695,df_extrato_zig!D:D,"Saque")-SUMIFS(df_extrato_zig!G:G,df_extrato_zig!E:E,Conciliacao!A695,df_extrato_zig!D:D,"Antecipação")</f>
        <v/>
      </c>
      <c r="C695" s="3">
        <f>SUMIFS(df_extrato_zig!E:E,df_extrato_zig!L:L,Conciliacao!A695,df_extrato_zig!F:F,"DINHEIRO")</f>
        <v/>
      </c>
      <c r="D695" s="3">
        <f>SUMIFS(view_parc_agrup!H:H,view_parc_agrup!G:G,Conciliacao!A695)</f>
        <v/>
      </c>
      <c r="E695" s="3">
        <f>SUMIFS(df_eventos!F:F,df_eventos!H:H,Conciliacao!A695)</f>
        <v/>
      </c>
      <c r="F695" s="3">
        <f>SUMIFS(df_mutuos!M:M,df_mutuos!B:B,Conciliacao!A695)</f>
        <v/>
      </c>
      <c r="G695" s="6">
        <f>SUMIFS(df_bloqueios_judiciais!G:G,df_bloqueios_judiciais!D:D,Conciliacao!A695,df_bloqueios_judiciais!G:G,"&gt;0")</f>
        <v/>
      </c>
      <c r="H695" s="7">
        <f>SUMIFS(df_extratos!I:I,df_extratos!F:F,Conciliacao!BE695,df_extratos!G:G,"CREDITO")+SUMIFS(df_extratos!I:I,df_extratos!F:F,Conciliacao!A695,df_extratos!G:G,"CREDITO")+SUMIFS(df_extratos!I:I,df_extratos!F:F,Conciliacao!BF695,df_extratos!G:G,"CREDITO")+SUMIFS(df_extratos!I:I,df_extratos!F:F,Conciliacao!BG695,df_extratos!G:G,"CREDITO")+SUMIFS(df_extratos!I:I,df_extratos!F:F,Conciliacao!BH695,df_extratos!G:G,"CREDITO")</f>
        <v/>
      </c>
      <c r="I695" s="9">
        <f>H695-SUM(B695:G695)</f>
        <v/>
      </c>
      <c r="J695" s="4">
        <f>SUMIFS(df_blueme_sem_parcelamento!E:E,df_blueme_sem_parcelamento!H:H,Conciliacao!A695)*(-1)</f>
        <v/>
      </c>
      <c r="K695" s="4">
        <f>SUMIFS(df_blueme_com_parcelamento!J:J,df_blueme_com_parcelamento!M:M,Conciliacao!A695)*(-1)</f>
        <v/>
      </c>
      <c r="L695" s="4">
        <f>SUMIFS(df_mutuos!N:N,df_mutuos!B:B,Conciliacao!A695)*(-1)</f>
        <v/>
      </c>
      <c r="M695" s="8">
        <f>SUMIFS(df_bloqueios_judiciais!G:G,df_bloqueios_judiciais!D:D,Conciliacao!A695,df_bloqueios_judiciais!G:G,"&lt;0")</f>
        <v/>
      </c>
      <c r="N695" s="10">
        <f>SUMIFS(df_extratos!I:I,df_extratos!F:F,Conciliacao!BE695,df_extratos!G:G,"DEBITO")+SUMIFS(df_extratos!I:I,df_extratos!F:F,Conciliacao!A695,df_extratos!G:G,"DEBITO")+SUMIFS(df_extratos!I:I,df_extratos!F:F,Conciliacao!BF695,df_extratos!G:G,"DEBITO")+SUMIFS(df_extratos!I:I,df_extratos!F:F,Conciliacao!BG695,df_extratos!G:G,"DEBITO")+SUMIFS(df_extratos!I:I,df_extratos!F:F,Conciliacao!BH695,df_extratos!G:G,"DEBITO")</f>
        <v/>
      </c>
      <c r="O695" s="11">
        <f>N695-SUM(J695:M695)</f>
        <v/>
      </c>
      <c r="P695" s="25">
        <f>SUMIFS(df_ajustes_conciliaco!D:D,df_ajustes_conciliaco!C:C,Conciliacao!A695)</f>
        <v/>
      </c>
      <c r="Q695" s="22">
        <f>O695+I695-P695</f>
        <v/>
      </c>
    </row>
    <row r="696">
      <c r="A696" s="5">
        <f>A695+1</f>
        <v/>
      </c>
      <c r="B696" s="3">
        <f>-SUMIFS(df_extrato_zig!G:G,df_extrato_zig!E:E,Conciliacao!A696,df_extrato_zig!D:D,"Saque")-SUMIFS(df_extrato_zig!G:G,df_extrato_zig!E:E,Conciliacao!A696,df_extrato_zig!D:D,"Antecipação")</f>
        <v/>
      </c>
      <c r="C696" s="3">
        <f>SUMIFS(df_extrato_zig!E:E,df_extrato_zig!L:L,Conciliacao!A696,df_extrato_zig!F:F,"DINHEIRO")</f>
        <v/>
      </c>
      <c r="D696" s="3">
        <f>SUMIFS(view_parc_agrup!H:H,view_parc_agrup!G:G,Conciliacao!A696)</f>
        <v/>
      </c>
      <c r="E696" s="3">
        <f>SUMIFS(df_eventos!F:F,df_eventos!H:H,Conciliacao!A696)</f>
        <v/>
      </c>
      <c r="F696" s="3">
        <f>SUMIFS(df_mutuos!M:M,df_mutuos!B:B,Conciliacao!A696)</f>
        <v/>
      </c>
      <c r="G696" s="6">
        <f>SUMIFS(df_bloqueios_judiciais!G:G,df_bloqueios_judiciais!D:D,Conciliacao!A696,df_bloqueios_judiciais!G:G,"&gt;0")</f>
        <v/>
      </c>
      <c r="H696" s="7">
        <f>SUMIFS(df_extratos!I:I,df_extratos!F:F,Conciliacao!BE696,df_extratos!G:G,"CREDITO")+SUMIFS(df_extratos!I:I,df_extratos!F:F,Conciliacao!A696,df_extratos!G:G,"CREDITO")+SUMIFS(df_extratos!I:I,df_extratos!F:F,Conciliacao!BF696,df_extratos!G:G,"CREDITO")+SUMIFS(df_extratos!I:I,df_extratos!F:F,Conciliacao!BG696,df_extratos!G:G,"CREDITO")+SUMIFS(df_extratos!I:I,df_extratos!F:F,Conciliacao!BH696,df_extratos!G:G,"CREDITO")</f>
        <v/>
      </c>
      <c r="I696" s="9">
        <f>H696-SUM(B696:G696)</f>
        <v/>
      </c>
      <c r="J696" s="4">
        <f>SUMIFS(df_blueme_sem_parcelamento!E:E,df_blueme_sem_parcelamento!H:H,Conciliacao!A696)*(-1)</f>
        <v/>
      </c>
      <c r="K696" s="4">
        <f>SUMIFS(df_blueme_com_parcelamento!J:J,df_blueme_com_parcelamento!M:M,Conciliacao!A696)*(-1)</f>
        <v/>
      </c>
      <c r="L696" s="4">
        <f>SUMIFS(df_mutuos!N:N,df_mutuos!B:B,Conciliacao!A696)*(-1)</f>
        <v/>
      </c>
      <c r="M696" s="8">
        <f>SUMIFS(df_bloqueios_judiciais!G:G,df_bloqueios_judiciais!D:D,Conciliacao!A696,df_bloqueios_judiciais!G:G,"&lt;0")</f>
        <v/>
      </c>
      <c r="N696" s="10">
        <f>SUMIFS(df_extratos!I:I,df_extratos!F:F,Conciliacao!BE696,df_extratos!G:G,"DEBITO")+SUMIFS(df_extratos!I:I,df_extratos!F:F,Conciliacao!A696,df_extratos!G:G,"DEBITO")+SUMIFS(df_extratos!I:I,df_extratos!F:F,Conciliacao!BF696,df_extratos!G:G,"DEBITO")+SUMIFS(df_extratos!I:I,df_extratos!F:F,Conciliacao!BG696,df_extratos!G:G,"DEBITO")+SUMIFS(df_extratos!I:I,df_extratos!F:F,Conciliacao!BH696,df_extratos!G:G,"DEBITO")</f>
        <v/>
      </c>
      <c r="O696" s="11">
        <f>N696-SUM(J696:M696)</f>
        <v/>
      </c>
      <c r="P696" s="25">
        <f>SUMIFS(df_ajustes_conciliaco!D:D,df_ajustes_conciliaco!C:C,Conciliacao!A696)</f>
        <v/>
      </c>
      <c r="Q696" s="22">
        <f>O696+I696-P696</f>
        <v/>
      </c>
    </row>
    <row r="697">
      <c r="A697" s="5">
        <f>A696+1</f>
        <v/>
      </c>
      <c r="B697" s="3">
        <f>-SUMIFS(df_extrato_zig!G:G,df_extrato_zig!E:E,Conciliacao!A697,df_extrato_zig!D:D,"Saque")-SUMIFS(df_extrato_zig!G:G,df_extrato_zig!E:E,Conciliacao!A697,df_extrato_zig!D:D,"Antecipação")</f>
        <v/>
      </c>
      <c r="C697" s="3">
        <f>SUMIFS(df_extrato_zig!E:E,df_extrato_zig!L:L,Conciliacao!A697,df_extrato_zig!F:F,"DINHEIRO")</f>
        <v/>
      </c>
      <c r="D697" s="3">
        <f>SUMIFS(view_parc_agrup!H:H,view_parc_agrup!G:G,Conciliacao!A697)</f>
        <v/>
      </c>
      <c r="E697" s="3">
        <f>SUMIFS(df_eventos!F:F,df_eventos!H:H,Conciliacao!A697)</f>
        <v/>
      </c>
      <c r="F697" s="3">
        <f>SUMIFS(df_mutuos!M:M,df_mutuos!B:B,Conciliacao!A697)</f>
        <v/>
      </c>
      <c r="G697" s="6">
        <f>SUMIFS(df_bloqueios_judiciais!G:G,df_bloqueios_judiciais!D:D,Conciliacao!A697,df_bloqueios_judiciais!G:G,"&gt;0")</f>
        <v/>
      </c>
      <c r="H697" s="7">
        <f>SUMIFS(df_extratos!I:I,df_extratos!F:F,Conciliacao!BE697,df_extratos!G:G,"CREDITO")+SUMIFS(df_extratos!I:I,df_extratos!F:F,Conciliacao!A697,df_extratos!G:G,"CREDITO")+SUMIFS(df_extratos!I:I,df_extratos!F:F,Conciliacao!BF697,df_extratos!G:G,"CREDITO")+SUMIFS(df_extratos!I:I,df_extratos!F:F,Conciliacao!BG697,df_extratos!G:G,"CREDITO")+SUMIFS(df_extratos!I:I,df_extratos!F:F,Conciliacao!BH697,df_extratos!G:G,"CREDITO")</f>
        <v/>
      </c>
      <c r="I697" s="9">
        <f>H697-SUM(B697:G697)</f>
        <v/>
      </c>
      <c r="J697" s="4">
        <f>SUMIFS(df_blueme_sem_parcelamento!E:E,df_blueme_sem_parcelamento!H:H,Conciliacao!A697)*(-1)</f>
        <v/>
      </c>
      <c r="K697" s="4">
        <f>SUMIFS(df_blueme_com_parcelamento!J:J,df_blueme_com_parcelamento!M:M,Conciliacao!A697)*(-1)</f>
        <v/>
      </c>
      <c r="L697" s="4">
        <f>SUMIFS(df_mutuos!N:N,df_mutuos!B:B,Conciliacao!A697)*(-1)</f>
        <v/>
      </c>
      <c r="M697" s="8">
        <f>SUMIFS(df_bloqueios_judiciais!G:G,df_bloqueios_judiciais!D:D,Conciliacao!A697,df_bloqueios_judiciais!G:G,"&lt;0")</f>
        <v/>
      </c>
      <c r="N697" s="10">
        <f>SUMIFS(df_extratos!I:I,df_extratos!F:F,Conciliacao!BE697,df_extratos!G:G,"DEBITO")+SUMIFS(df_extratos!I:I,df_extratos!F:F,Conciliacao!A697,df_extratos!G:G,"DEBITO")+SUMIFS(df_extratos!I:I,df_extratos!F:F,Conciliacao!BF697,df_extratos!G:G,"DEBITO")+SUMIFS(df_extratos!I:I,df_extratos!F:F,Conciliacao!BG697,df_extratos!G:G,"DEBITO")+SUMIFS(df_extratos!I:I,df_extratos!F:F,Conciliacao!BH697,df_extratos!G:G,"DEBITO")</f>
        <v/>
      </c>
      <c r="O697" s="11">
        <f>N697-SUM(J697:M697)</f>
        <v/>
      </c>
      <c r="P697" s="25">
        <f>SUMIFS(df_ajustes_conciliaco!D:D,df_ajustes_conciliaco!C:C,Conciliacao!A697)</f>
        <v/>
      </c>
      <c r="Q697" s="22">
        <f>O697+I697-P697</f>
        <v/>
      </c>
    </row>
    <row r="698">
      <c r="A698" s="5">
        <f>A697+1</f>
        <v/>
      </c>
      <c r="B698" s="3">
        <f>-SUMIFS(df_extrato_zig!G:G,df_extrato_zig!E:E,Conciliacao!A698,df_extrato_zig!D:D,"Saque")-SUMIFS(df_extrato_zig!G:G,df_extrato_zig!E:E,Conciliacao!A698,df_extrato_zig!D:D,"Antecipação")</f>
        <v/>
      </c>
      <c r="C698" s="3">
        <f>SUMIFS(df_extrato_zig!E:E,df_extrato_zig!L:L,Conciliacao!A698,df_extrato_zig!F:F,"DINHEIRO")</f>
        <v/>
      </c>
      <c r="D698" s="3">
        <f>SUMIFS(view_parc_agrup!H:H,view_parc_agrup!G:G,Conciliacao!A698)</f>
        <v/>
      </c>
      <c r="E698" s="3">
        <f>SUMIFS(df_eventos!F:F,df_eventos!H:H,Conciliacao!A698)</f>
        <v/>
      </c>
      <c r="F698" s="3">
        <f>SUMIFS(df_mutuos!M:M,df_mutuos!B:B,Conciliacao!A698)</f>
        <v/>
      </c>
      <c r="G698" s="6">
        <f>SUMIFS(df_bloqueios_judiciais!G:G,df_bloqueios_judiciais!D:D,Conciliacao!A698,df_bloqueios_judiciais!G:G,"&gt;0")</f>
        <v/>
      </c>
      <c r="H698" s="7">
        <f>SUMIFS(df_extratos!I:I,df_extratos!F:F,Conciliacao!BE698,df_extratos!G:G,"CREDITO")+SUMIFS(df_extratos!I:I,df_extratos!F:F,Conciliacao!A698,df_extratos!G:G,"CREDITO")+SUMIFS(df_extratos!I:I,df_extratos!F:F,Conciliacao!BF698,df_extratos!G:G,"CREDITO")+SUMIFS(df_extratos!I:I,df_extratos!F:F,Conciliacao!BG698,df_extratos!G:G,"CREDITO")+SUMIFS(df_extratos!I:I,df_extratos!F:F,Conciliacao!BH698,df_extratos!G:G,"CREDITO")</f>
        <v/>
      </c>
      <c r="I698" s="9">
        <f>H698-SUM(B698:G698)</f>
        <v/>
      </c>
      <c r="J698" s="4">
        <f>SUMIFS(df_blueme_sem_parcelamento!E:E,df_blueme_sem_parcelamento!H:H,Conciliacao!A698)*(-1)</f>
        <v/>
      </c>
      <c r="K698" s="4">
        <f>SUMIFS(df_blueme_com_parcelamento!J:J,df_blueme_com_parcelamento!M:M,Conciliacao!A698)*(-1)</f>
        <v/>
      </c>
      <c r="L698" s="4">
        <f>SUMIFS(df_mutuos!N:N,df_mutuos!B:B,Conciliacao!A698)*(-1)</f>
        <v/>
      </c>
      <c r="M698" s="8">
        <f>SUMIFS(df_bloqueios_judiciais!G:G,df_bloqueios_judiciais!D:D,Conciliacao!A698,df_bloqueios_judiciais!G:G,"&lt;0")</f>
        <v/>
      </c>
      <c r="N698" s="10">
        <f>SUMIFS(df_extratos!I:I,df_extratos!F:F,Conciliacao!BE698,df_extratos!G:G,"DEBITO")+SUMIFS(df_extratos!I:I,df_extratos!F:F,Conciliacao!A698,df_extratos!G:G,"DEBITO")+SUMIFS(df_extratos!I:I,df_extratos!F:F,Conciliacao!BF698,df_extratos!G:G,"DEBITO")+SUMIFS(df_extratos!I:I,df_extratos!F:F,Conciliacao!BG698,df_extratos!G:G,"DEBITO")+SUMIFS(df_extratos!I:I,df_extratos!F:F,Conciliacao!BH698,df_extratos!G:G,"DEBITO")</f>
        <v/>
      </c>
      <c r="O698" s="11">
        <f>N698-SUM(J698:M698)</f>
        <v/>
      </c>
      <c r="P698" s="25">
        <f>SUMIFS(df_ajustes_conciliaco!D:D,df_ajustes_conciliaco!C:C,Conciliacao!A698)</f>
        <v/>
      </c>
      <c r="Q698" s="22">
        <f>O698+I698-P698</f>
        <v/>
      </c>
    </row>
    <row r="699">
      <c r="A699" s="5">
        <f>A698+1</f>
        <v/>
      </c>
      <c r="B699" s="3">
        <f>-SUMIFS(df_extrato_zig!G:G,df_extrato_zig!E:E,Conciliacao!A699,df_extrato_zig!D:D,"Saque")-SUMIFS(df_extrato_zig!G:G,df_extrato_zig!E:E,Conciliacao!A699,df_extrato_zig!D:D,"Antecipação")</f>
        <v/>
      </c>
      <c r="C699" s="3">
        <f>SUMIFS(df_extrato_zig!E:E,df_extrato_zig!L:L,Conciliacao!A699,df_extrato_zig!F:F,"DINHEIRO")</f>
        <v/>
      </c>
      <c r="D699" s="3">
        <f>SUMIFS(view_parc_agrup!H:H,view_parc_agrup!G:G,Conciliacao!A699)</f>
        <v/>
      </c>
      <c r="E699" s="3">
        <f>SUMIFS(df_eventos!F:F,df_eventos!H:H,Conciliacao!A699)</f>
        <v/>
      </c>
      <c r="F699" s="3">
        <f>SUMIFS(df_mutuos!M:M,df_mutuos!B:B,Conciliacao!A699)</f>
        <v/>
      </c>
      <c r="G699" s="6">
        <f>SUMIFS(df_bloqueios_judiciais!G:G,df_bloqueios_judiciais!D:D,Conciliacao!A699,df_bloqueios_judiciais!G:G,"&gt;0")</f>
        <v/>
      </c>
      <c r="H699" s="7">
        <f>SUMIFS(df_extratos!I:I,df_extratos!F:F,Conciliacao!BE699,df_extratos!G:G,"CREDITO")+SUMIFS(df_extratos!I:I,df_extratos!F:F,Conciliacao!A699,df_extratos!G:G,"CREDITO")+SUMIFS(df_extratos!I:I,df_extratos!F:F,Conciliacao!BF699,df_extratos!G:G,"CREDITO")+SUMIFS(df_extratos!I:I,df_extratos!F:F,Conciliacao!BG699,df_extratos!G:G,"CREDITO")+SUMIFS(df_extratos!I:I,df_extratos!F:F,Conciliacao!BH699,df_extratos!G:G,"CREDITO")</f>
        <v/>
      </c>
      <c r="I699" s="9">
        <f>H699-SUM(B699:G699)</f>
        <v/>
      </c>
      <c r="J699" s="4">
        <f>SUMIFS(df_blueme_sem_parcelamento!E:E,df_blueme_sem_parcelamento!H:H,Conciliacao!A699)*(-1)</f>
        <v/>
      </c>
      <c r="K699" s="4">
        <f>SUMIFS(df_blueme_com_parcelamento!J:J,df_blueme_com_parcelamento!M:M,Conciliacao!A699)*(-1)</f>
        <v/>
      </c>
      <c r="L699" s="4">
        <f>SUMIFS(df_mutuos!N:N,df_mutuos!B:B,Conciliacao!A699)*(-1)</f>
        <v/>
      </c>
      <c r="M699" s="8">
        <f>SUMIFS(df_bloqueios_judiciais!G:G,df_bloqueios_judiciais!D:D,Conciliacao!A699,df_bloqueios_judiciais!G:G,"&lt;0")</f>
        <v/>
      </c>
      <c r="N699" s="10">
        <f>SUMIFS(df_extratos!I:I,df_extratos!F:F,Conciliacao!BE699,df_extratos!G:G,"DEBITO")+SUMIFS(df_extratos!I:I,df_extratos!F:F,Conciliacao!A699,df_extratos!G:G,"DEBITO")+SUMIFS(df_extratos!I:I,df_extratos!F:F,Conciliacao!BF699,df_extratos!G:G,"DEBITO")+SUMIFS(df_extratos!I:I,df_extratos!F:F,Conciliacao!BG699,df_extratos!G:G,"DEBITO")+SUMIFS(df_extratos!I:I,df_extratos!F:F,Conciliacao!BH699,df_extratos!G:G,"DEBITO")</f>
        <v/>
      </c>
      <c r="O699" s="11">
        <f>N699-SUM(J699:M699)</f>
        <v/>
      </c>
      <c r="P699" s="25">
        <f>SUMIFS(df_ajustes_conciliaco!D:D,df_ajustes_conciliaco!C:C,Conciliacao!A699)</f>
        <v/>
      </c>
      <c r="Q699" s="22">
        <f>O699+I699-P699</f>
        <v/>
      </c>
    </row>
    <row r="700">
      <c r="A700" s="5">
        <f>A699+1</f>
        <v/>
      </c>
      <c r="B700" s="3">
        <f>-SUMIFS(df_extrato_zig!G:G,df_extrato_zig!E:E,Conciliacao!A700,df_extrato_zig!D:D,"Saque")-SUMIFS(df_extrato_zig!G:G,df_extrato_zig!E:E,Conciliacao!A700,df_extrato_zig!D:D,"Antecipação")</f>
        <v/>
      </c>
      <c r="C700" s="3">
        <f>SUMIFS(df_extrato_zig!E:E,df_extrato_zig!L:L,Conciliacao!A700,df_extrato_zig!F:F,"DINHEIRO")</f>
        <v/>
      </c>
      <c r="D700" s="3">
        <f>SUMIFS(view_parc_agrup!H:H,view_parc_agrup!G:G,Conciliacao!A700)</f>
        <v/>
      </c>
      <c r="E700" s="3">
        <f>SUMIFS(df_eventos!F:F,df_eventos!H:H,Conciliacao!A700)</f>
        <v/>
      </c>
      <c r="F700" s="3">
        <f>SUMIFS(df_mutuos!M:M,df_mutuos!B:B,Conciliacao!A700)</f>
        <v/>
      </c>
      <c r="G700" s="6">
        <f>SUMIFS(df_bloqueios_judiciais!G:G,df_bloqueios_judiciais!D:D,Conciliacao!A700,df_bloqueios_judiciais!G:G,"&gt;0")</f>
        <v/>
      </c>
      <c r="H700" s="7">
        <f>SUMIFS(df_extratos!I:I,df_extratos!F:F,Conciliacao!BE700,df_extratos!G:G,"CREDITO")+SUMIFS(df_extratos!I:I,df_extratos!F:F,Conciliacao!A700,df_extratos!G:G,"CREDITO")+SUMIFS(df_extratos!I:I,df_extratos!F:F,Conciliacao!BF700,df_extratos!G:G,"CREDITO")+SUMIFS(df_extratos!I:I,df_extratos!F:F,Conciliacao!BG700,df_extratos!G:G,"CREDITO")+SUMIFS(df_extratos!I:I,df_extratos!F:F,Conciliacao!BH700,df_extratos!G:G,"CREDITO")</f>
        <v/>
      </c>
      <c r="I700" s="9">
        <f>H700-SUM(B700:G700)</f>
        <v/>
      </c>
      <c r="J700" s="4">
        <f>SUMIFS(df_blueme_sem_parcelamento!E:E,df_blueme_sem_parcelamento!H:H,Conciliacao!A700)*(-1)</f>
        <v/>
      </c>
      <c r="K700" s="4">
        <f>SUMIFS(df_blueme_com_parcelamento!J:J,df_blueme_com_parcelamento!M:M,Conciliacao!A700)*(-1)</f>
        <v/>
      </c>
      <c r="L700" s="4">
        <f>SUMIFS(df_mutuos!N:N,df_mutuos!B:B,Conciliacao!A700)*(-1)</f>
        <v/>
      </c>
      <c r="M700" s="8">
        <f>SUMIFS(df_bloqueios_judiciais!G:G,df_bloqueios_judiciais!D:D,Conciliacao!A700,df_bloqueios_judiciais!G:G,"&lt;0")</f>
        <v/>
      </c>
      <c r="N700" s="10">
        <f>SUMIFS(df_extratos!I:I,df_extratos!F:F,Conciliacao!BE700,df_extratos!G:G,"DEBITO")+SUMIFS(df_extratos!I:I,df_extratos!F:F,Conciliacao!A700,df_extratos!G:G,"DEBITO")+SUMIFS(df_extratos!I:I,df_extratos!F:F,Conciliacao!BF700,df_extratos!G:G,"DEBITO")+SUMIFS(df_extratos!I:I,df_extratos!F:F,Conciliacao!BG700,df_extratos!G:G,"DEBITO")+SUMIFS(df_extratos!I:I,df_extratos!F:F,Conciliacao!BH700,df_extratos!G:G,"DEBITO")</f>
        <v/>
      </c>
      <c r="O700" s="11">
        <f>N700-SUM(J700:M700)</f>
        <v/>
      </c>
      <c r="P700" s="25">
        <f>SUMIFS(df_ajustes_conciliaco!D:D,df_ajustes_conciliaco!C:C,Conciliacao!A700)</f>
        <v/>
      </c>
      <c r="Q700" s="22">
        <f>O700+I700-P700</f>
        <v/>
      </c>
    </row>
    <row r="701">
      <c r="A701" s="5">
        <f>A700+1</f>
        <v/>
      </c>
      <c r="B701" s="3">
        <f>-SUMIFS(df_extrato_zig!G:G,df_extrato_zig!E:E,Conciliacao!A701,df_extrato_zig!D:D,"Saque")-SUMIFS(df_extrato_zig!G:G,df_extrato_zig!E:E,Conciliacao!A701,df_extrato_zig!D:D,"Antecipação")</f>
        <v/>
      </c>
      <c r="C701" s="3">
        <f>SUMIFS(df_extrato_zig!E:E,df_extrato_zig!L:L,Conciliacao!A701,df_extrato_zig!F:F,"DINHEIRO")</f>
        <v/>
      </c>
      <c r="D701" s="3">
        <f>SUMIFS(view_parc_agrup!H:H,view_parc_agrup!G:G,Conciliacao!A701)</f>
        <v/>
      </c>
      <c r="E701" s="3">
        <f>SUMIFS(df_eventos!F:F,df_eventos!H:H,Conciliacao!A701)</f>
        <v/>
      </c>
      <c r="F701" s="3">
        <f>SUMIFS(df_mutuos!M:M,df_mutuos!B:B,Conciliacao!A701)</f>
        <v/>
      </c>
      <c r="G701" s="6">
        <f>SUMIFS(df_bloqueios_judiciais!G:G,df_bloqueios_judiciais!D:D,Conciliacao!A701,df_bloqueios_judiciais!G:G,"&gt;0")</f>
        <v/>
      </c>
      <c r="H701" s="7">
        <f>SUMIFS(df_extratos!I:I,df_extratos!F:F,Conciliacao!BE701,df_extratos!G:G,"CREDITO")+SUMIFS(df_extratos!I:I,df_extratos!F:F,Conciliacao!A701,df_extratos!G:G,"CREDITO")+SUMIFS(df_extratos!I:I,df_extratos!F:F,Conciliacao!BF701,df_extratos!G:G,"CREDITO")+SUMIFS(df_extratos!I:I,df_extratos!F:F,Conciliacao!BG701,df_extratos!G:G,"CREDITO")+SUMIFS(df_extratos!I:I,df_extratos!F:F,Conciliacao!BH701,df_extratos!G:G,"CREDITO")</f>
        <v/>
      </c>
      <c r="I701" s="9">
        <f>H701-SUM(B701:G701)</f>
        <v/>
      </c>
      <c r="J701" s="4">
        <f>SUMIFS(df_blueme_sem_parcelamento!E:E,df_blueme_sem_parcelamento!H:H,Conciliacao!A701)*(-1)</f>
        <v/>
      </c>
      <c r="K701" s="4">
        <f>SUMIFS(df_blueme_com_parcelamento!J:J,df_blueme_com_parcelamento!M:M,Conciliacao!A701)*(-1)</f>
        <v/>
      </c>
      <c r="L701" s="4">
        <f>SUMIFS(df_mutuos!N:N,df_mutuos!B:B,Conciliacao!A701)*(-1)</f>
        <v/>
      </c>
      <c r="M701" s="8">
        <f>SUMIFS(df_bloqueios_judiciais!G:G,df_bloqueios_judiciais!D:D,Conciliacao!A701,df_bloqueios_judiciais!G:G,"&lt;0")</f>
        <v/>
      </c>
      <c r="N701" s="10">
        <f>SUMIFS(df_extratos!I:I,df_extratos!F:F,Conciliacao!BE701,df_extratos!G:G,"DEBITO")+SUMIFS(df_extratos!I:I,df_extratos!F:F,Conciliacao!A701,df_extratos!G:G,"DEBITO")+SUMIFS(df_extratos!I:I,df_extratos!F:F,Conciliacao!BF701,df_extratos!G:G,"DEBITO")+SUMIFS(df_extratos!I:I,df_extratos!F:F,Conciliacao!BG701,df_extratos!G:G,"DEBITO")+SUMIFS(df_extratos!I:I,df_extratos!F:F,Conciliacao!BH701,df_extratos!G:G,"DEBITO")</f>
        <v/>
      </c>
      <c r="O701" s="11">
        <f>N701-SUM(J701:M701)</f>
        <v/>
      </c>
      <c r="P701" s="25">
        <f>SUMIFS(df_ajustes_conciliaco!D:D,df_ajustes_conciliaco!C:C,Conciliacao!A701)</f>
        <v/>
      </c>
      <c r="Q701" s="22">
        <f>O701+I701-P701</f>
        <v/>
      </c>
    </row>
    <row r="702">
      <c r="A702" s="5">
        <f>A701+1</f>
        <v/>
      </c>
      <c r="B702" s="3">
        <f>-SUMIFS(df_extrato_zig!G:G,df_extrato_zig!E:E,Conciliacao!A702,df_extrato_zig!D:D,"Saque")-SUMIFS(df_extrato_zig!G:G,df_extrato_zig!E:E,Conciliacao!A702,df_extrato_zig!D:D,"Antecipação")</f>
        <v/>
      </c>
      <c r="C702" s="3">
        <f>SUMIFS(df_extrato_zig!E:E,df_extrato_zig!L:L,Conciliacao!A702,df_extrato_zig!F:F,"DINHEIRO")</f>
        <v/>
      </c>
      <c r="D702" s="3">
        <f>SUMIFS(view_parc_agrup!H:H,view_parc_agrup!G:G,Conciliacao!A702)</f>
        <v/>
      </c>
      <c r="E702" s="3">
        <f>SUMIFS(df_eventos!F:F,df_eventos!H:H,Conciliacao!A702)</f>
        <v/>
      </c>
      <c r="F702" s="3">
        <f>SUMIFS(df_mutuos!M:M,df_mutuos!B:B,Conciliacao!A702)</f>
        <v/>
      </c>
      <c r="G702" s="6">
        <f>SUMIFS(df_bloqueios_judiciais!G:G,df_bloqueios_judiciais!D:D,Conciliacao!A702,df_bloqueios_judiciais!G:G,"&gt;0")</f>
        <v/>
      </c>
      <c r="H702" s="7">
        <f>SUMIFS(df_extratos!I:I,df_extratos!F:F,Conciliacao!BE702,df_extratos!G:G,"CREDITO")+SUMIFS(df_extratos!I:I,df_extratos!F:F,Conciliacao!A702,df_extratos!G:G,"CREDITO")+SUMIFS(df_extratos!I:I,df_extratos!F:F,Conciliacao!BF702,df_extratos!G:G,"CREDITO")+SUMIFS(df_extratos!I:I,df_extratos!F:F,Conciliacao!BG702,df_extratos!G:G,"CREDITO")+SUMIFS(df_extratos!I:I,df_extratos!F:F,Conciliacao!BH702,df_extratos!G:G,"CREDITO")</f>
        <v/>
      </c>
      <c r="I702" s="9">
        <f>H702-SUM(B702:G702)</f>
        <v/>
      </c>
      <c r="J702" s="4">
        <f>SUMIFS(df_blueme_sem_parcelamento!E:E,df_blueme_sem_parcelamento!H:H,Conciliacao!A702)*(-1)</f>
        <v/>
      </c>
      <c r="K702" s="4">
        <f>SUMIFS(df_blueme_com_parcelamento!J:J,df_blueme_com_parcelamento!M:M,Conciliacao!A702)*(-1)</f>
        <v/>
      </c>
      <c r="L702" s="4">
        <f>SUMIFS(df_mutuos!N:N,df_mutuos!B:B,Conciliacao!A702)*(-1)</f>
        <v/>
      </c>
      <c r="M702" s="8">
        <f>SUMIFS(df_bloqueios_judiciais!G:G,df_bloqueios_judiciais!D:D,Conciliacao!A702,df_bloqueios_judiciais!G:G,"&lt;0")</f>
        <v/>
      </c>
      <c r="N702" s="10">
        <f>SUMIFS(df_extratos!I:I,df_extratos!F:F,Conciliacao!BE702,df_extratos!G:G,"DEBITO")+SUMIFS(df_extratos!I:I,df_extratos!F:F,Conciliacao!A702,df_extratos!G:G,"DEBITO")+SUMIFS(df_extratos!I:I,df_extratos!F:F,Conciliacao!BF702,df_extratos!G:G,"DEBITO")+SUMIFS(df_extratos!I:I,df_extratos!F:F,Conciliacao!BG702,df_extratos!G:G,"DEBITO")+SUMIFS(df_extratos!I:I,df_extratos!F:F,Conciliacao!BH702,df_extratos!G:G,"DEBITO")</f>
        <v/>
      </c>
      <c r="O702" s="11">
        <f>N702-SUM(J702:M702)</f>
        <v/>
      </c>
      <c r="P702" s="25">
        <f>SUMIFS(df_ajustes_conciliaco!D:D,df_ajustes_conciliaco!C:C,Conciliacao!A702)</f>
        <v/>
      </c>
      <c r="Q702" s="22">
        <f>O702+I702-P702</f>
        <v/>
      </c>
    </row>
    <row r="703">
      <c r="A703" s="5">
        <f>A702+1</f>
        <v/>
      </c>
      <c r="B703" s="3">
        <f>-SUMIFS(df_extrato_zig!G:G,df_extrato_zig!E:E,Conciliacao!A703,df_extrato_zig!D:D,"Saque")-SUMIFS(df_extrato_zig!G:G,df_extrato_zig!E:E,Conciliacao!A703,df_extrato_zig!D:D,"Antecipação")</f>
        <v/>
      </c>
      <c r="C703" s="3">
        <f>SUMIFS(df_extrato_zig!E:E,df_extrato_zig!L:L,Conciliacao!A703,df_extrato_zig!F:F,"DINHEIRO")</f>
        <v/>
      </c>
      <c r="D703" s="3">
        <f>SUMIFS(view_parc_agrup!H:H,view_parc_agrup!G:G,Conciliacao!A703)</f>
        <v/>
      </c>
      <c r="E703" s="3">
        <f>SUMIFS(df_eventos!F:F,df_eventos!H:H,Conciliacao!A703)</f>
        <v/>
      </c>
      <c r="F703" s="3">
        <f>SUMIFS(df_mutuos!M:M,df_mutuos!B:B,Conciliacao!A703)</f>
        <v/>
      </c>
      <c r="G703" s="6">
        <f>SUMIFS(df_bloqueios_judiciais!G:G,df_bloqueios_judiciais!D:D,Conciliacao!A703,df_bloqueios_judiciais!G:G,"&gt;0")</f>
        <v/>
      </c>
      <c r="H703" s="7">
        <f>SUMIFS(df_extratos!I:I,df_extratos!F:F,Conciliacao!BE703,df_extratos!G:G,"CREDITO")+SUMIFS(df_extratos!I:I,df_extratos!F:F,Conciliacao!A703,df_extratos!G:G,"CREDITO")+SUMIFS(df_extratos!I:I,df_extratos!F:F,Conciliacao!BF703,df_extratos!G:G,"CREDITO")+SUMIFS(df_extratos!I:I,df_extratos!F:F,Conciliacao!BG703,df_extratos!G:G,"CREDITO")+SUMIFS(df_extratos!I:I,df_extratos!F:F,Conciliacao!BH703,df_extratos!G:G,"CREDITO")</f>
        <v/>
      </c>
      <c r="I703" s="9">
        <f>H703-SUM(B703:G703)</f>
        <v/>
      </c>
      <c r="J703" s="4">
        <f>SUMIFS(df_blueme_sem_parcelamento!E:E,df_blueme_sem_parcelamento!H:H,Conciliacao!A703)*(-1)</f>
        <v/>
      </c>
      <c r="K703" s="4">
        <f>SUMIFS(df_blueme_com_parcelamento!J:J,df_blueme_com_parcelamento!M:M,Conciliacao!A703)*(-1)</f>
        <v/>
      </c>
      <c r="L703" s="4">
        <f>SUMIFS(df_mutuos!N:N,df_mutuos!B:B,Conciliacao!A703)*(-1)</f>
        <v/>
      </c>
      <c r="M703" s="8">
        <f>SUMIFS(df_bloqueios_judiciais!G:G,df_bloqueios_judiciais!D:D,Conciliacao!A703,df_bloqueios_judiciais!G:G,"&lt;0")</f>
        <v/>
      </c>
      <c r="N703" s="10">
        <f>SUMIFS(df_extratos!I:I,df_extratos!F:F,Conciliacao!BE703,df_extratos!G:G,"DEBITO")+SUMIFS(df_extratos!I:I,df_extratos!F:F,Conciliacao!A703,df_extratos!G:G,"DEBITO")+SUMIFS(df_extratos!I:I,df_extratos!F:F,Conciliacao!BF703,df_extratos!G:G,"DEBITO")+SUMIFS(df_extratos!I:I,df_extratos!F:F,Conciliacao!BG703,df_extratos!G:G,"DEBITO")+SUMIFS(df_extratos!I:I,df_extratos!F:F,Conciliacao!BH703,df_extratos!G:G,"DEBITO")</f>
        <v/>
      </c>
      <c r="O703" s="11">
        <f>N703-SUM(J703:M703)</f>
        <v/>
      </c>
      <c r="P703" s="25">
        <f>SUMIFS(df_ajustes_conciliaco!D:D,df_ajustes_conciliaco!C:C,Conciliacao!A703)</f>
        <v/>
      </c>
      <c r="Q703" s="22">
        <f>O703+I703-P703</f>
        <v/>
      </c>
    </row>
    <row r="704">
      <c r="A704" s="5">
        <f>A703+1</f>
        <v/>
      </c>
      <c r="B704" s="3">
        <f>-SUMIFS(df_extrato_zig!G:G,df_extrato_zig!E:E,Conciliacao!A704,df_extrato_zig!D:D,"Saque")-SUMIFS(df_extrato_zig!G:G,df_extrato_zig!E:E,Conciliacao!A704,df_extrato_zig!D:D,"Antecipação")</f>
        <v/>
      </c>
      <c r="C704" s="3">
        <f>SUMIFS(df_extrato_zig!E:E,df_extrato_zig!L:L,Conciliacao!A704,df_extrato_zig!F:F,"DINHEIRO")</f>
        <v/>
      </c>
      <c r="D704" s="3">
        <f>SUMIFS(view_parc_agrup!H:H,view_parc_agrup!G:G,Conciliacao!A704)</f>
        <v/>
      </c>
      <c r="E704" s="3">
        <f>SUMIFS(df_eventos!F:F,df_eventos!H:H,Conciliacao!A704)</f>
        <v/>
      </c>
      <c r="F704" s="3">
        <f>SUMIFS(df_mutuos!M:M,df_mutuos!B:B,Conciliacao!A704)</f>
        <v/>
      </c>
      <c r="G704" s="6">
        <f>SUMIFS(df_bloqueios_judiciais!G:G,df_bloqueios_judiciais!D:D,Conciliacao!A704,df_bloqueios_judiciais!G:G,"&gt;0")</f>
        <v/>
      </c>
      <c r="H704" s="7">
        <f>SUMIFS(df_extratos!I:I,df_extratos!F:F,Conciliacao!BE704,df_extratos!G:G,"CREDITO")+SUMIFS(df_extratos!I:I,df_extratos!F:F,Conciliacao!A704,df_extratos!G:G,"CREDITO")+SUMIFS(df_extratos!I:I,df_extratos!F:F,Conciliacao!BF704,df_extratos!G:G,"CREDITO")+SUMIFS(df_extratos!I:I,df_extratos!F:F,Conciliacao!BG704,df_extratos!G:G,"CREDITO")+SUMIFS(df_extratos!I:I,df_extratos!F:F,Conciliacao!BH704,df_extratos!G:G,"CREDITO")</f>
        <v/>
      </c>
      <c r="I704" s="9">
        <f>H704-SUM(B704:G704)</f>
        <v/>
      </c>
      <c r="J704" s="4">
        <f>SUMIFS(df_blueme_sem_parcelamento!E:E,df_blueme_sem_parcelamento!H:H,Conciliacao!A704)*(-1)</f>
        <v/>
      </c>
      <c r="K704" s="4">
        <f>SUMIFS(df_blueme_com_parcelamento!J:J,df_blueme_com_parcelamento!M:M,Conciliacao!A704)*(-1)</f>
        <v/>
      </c>
      <c r="L704" s="4">
        <f>SUMIFS(df_mutuos!N:N,df_mutuos!B:B,Conciliacao!A704)*(-1)</f>
        <v/>
      </c>
      <c r="M704" s="8">
        <f>SUMIFS(df_bloqueios_judiciais!G:G,df_bloqueios_judiciais!D:D,Conciliacao!A704,df_bloqueios_judiciais!G:G,"&lt;0")</f>
        <v/>
      </c>
      <c r="N704" s="10">
        <f>SUMIFS(df_extratos!I:I,df_extratos!F:F,Conciliacao!BE704,df_extratos!G:G,"DEBITO")+SUMIFS(df_extratos!I:I,df_extratos!F:F,Conciliacao!A704,df_extratos!G:G,"DEBITO")+SUMIFS(df_extratos!I:I,df_extratos!F:F,Conciliacao!BF704,df_extratos!G:G,"DEBITO")+SUMIFS(df_extratos!I:I,df_extratos!F:F,Conciliacao!BG704,df_extratos!G:G,"DEBITO")+SUMIFS(df_extratos!I:I,df_extratos!F:F,Conciliacao!BH704,df_extratos!G:G,"DEBITO")</f>
        <v/>
      </c>
      <c r="O704" s="11">
        <f>N704-SUM(J704:M704)</f>
        <v/>
      </c>
      <c r="P704" s="25">
        <f>SUMIFS(df_ajustes_conciliaco!D:D,df_ajustes_conciliaco!C:C,Conciliacao!A704)</f>
        <v/>
      </c>
      <c r="Q704" s="22">
        <f>O704+I704-P704</f>
        <v/>
      </c>
    </row>
    <row r="705">
      <c r="A705" s="5">
        <f>A704+1</f>
        <v/>
      </c>
      <c r="B705" s="3">
        <f>-SUMIFS(df_extrato_zig!G:G,df_extrato_zig!E:E,Conciliacao!A705,df_extrato_zig!D:D,"Saque")-SUMIFS(df_extrato_zig!G:G,df_extrato_zig!E:E,Conciliacao!A705,df_extrato_zig!D:D,"Antecipação")</f>
        <v/>
      </c>
      <c r="C705" s="3">
        <f>SUMIFS(df_extrato_zig!E:E,df_extrato_zig!L:L,Conciliacao!A705,df_extrato_zig!F:F,"DINHEIRO")</f>
        <v/>
      </c>
      <c r="D705" s="3">
        <f>SUMIFS(view_parc_agrup!H:H,view_parc_agrup!G:G,Conciliacao!A705)</f>
        <v/>
      </c>
      <c r="E705" s="3">
        <f>SUMIFS(df_eventos!F:F,df_eventos!H:H,Conciliacao!A705)</f>
        <v/>
      </c>
      <c r="F705" s="3">
        <f>SUMIFS(df_mutuos!M:M,df_mutuos!B:B,Conciliacao!A705)</f>
        <v/>
      </c>
      <c r="G705" s="6">
        <f>SUMIFS(df_bloqueios_judiciais!G:G,df_bloqueios_judiciais!D:D,Conciliacao!A705,df_bloqueios_judiciais!G:G,"&gt;0")</f>
        <v/>
      </c>
      <c r="H705" s="7">
        <f>SUMIFS(df_extratos!I:I,df_extratos!F:F,Conciliacao!BE705,df_extratos!G:G,"CREDITO")+SUMIFS(df_extratos!I:I,df_extratos!F:F,Conciliacao!A705,df_extratos!G:G,"CREDITO")+SUMIFS(df_extratos!I:I,df_extratos!F:F,Conciliacao!BF705,df_extratos!G:G,"CREDITO")+SUMIFS(df_extratos!I:I,df_extratos!F:F,Conciliacao!BG705,df_extratos!G:G,"CREDITO")+SUMIFS(df_extratos!I:I,df_extratos!F:F,Conciliacao!BH705,df_extratos!G:G,"CREDITO")</f>
        <v/>
      </c>
      <c r="I705" s="9">
        <f>H705-SUM(B705:G705)</f>
        <v/>
      </c>
      <c r="J705" s="4">
        <f>SUMIFS(df_blueme_sem_parcelamento!E:E,df_blueme_sem_parcelamento!H:H,Conciliacao!A705)*(-1)</f>
        <v/>
      </c>
      <c r="K705" s="4">
        <f>SUMIFS(df_blueme_com_parcelamento!J:J,df_blueme_com_parcelamento!M:M,Conciliacao!A705)*(-1)</f>
        <v/>
      </c>
      <c r="L705" s="4">
        <f>SUMIFS(df_mutuos!N:N,df_mutuos!B:B,Conciliacao!A705)*(-1)</f>
        <v/>
      </c>
      <c r="M705" s="8">
        <f>SUMIFS(df_bloqueios_judiciais!G:G,df_bloqueios_judiciais!D:D,Conciliacao!A705,df_bloqueios_judiciais!G:G,"&lt;0")</f>
        <v/>
      </c>
      <c r="N705" s="10">
        <f>SUMIFS(df_extratos!I:I,df_extratos!F:F,Conciliacao!BE705,df_extratos!G:G,"DEBITO")+SUMIFS(df_extratos!I:I,df_extratos!F:F,Conciliacao!A705,df_extratos!G:G,"DEBITO")+SUMIFS(df_extratos!I:I,df_extratos!F:F,Conciliacao!BF705,df_extratos!G:G,"DEBITO")+SUMIFS(df_extratos!I:I,df_extratos!F:F,Conciliacao!BG705,df_extratos!G:G,"DEBITO")+SUMIFS(df_extratos!I:I,df_extratos!F:F,Conciliacao!BH705,df_extratos!G:G,"DEBITO")</f>
        <v/>
      </c>
      <c r="O705" s="11">
        <f>N705-SUM(J705:M705)</f>
        <v/>
      </c>
      <c r="P705" s="25">
        <f>SUMIFS(df_ajustes_conciliaco!D:D,df_ajustes_conciliaco!C:C,Conciliacao!A705)</f>
        <v/>
      </c>
      <c r="Q705" s="22">
        <f>O705+I705-P705</f>
        <v/>
      </c>
    </row>
    <row r="706">
      <c r="A706" s="5">
        <f>A705+1</f>
        <v/>
      </c>
      <c r="B706" s="3">
        <f>-SUMIFS(df_extrato_zig!G:G,df_extrato_zig!E:E,Conciliacao!A706,df_extrato_zig!D:D,"Saque")-SUMIFS(df_extrato_zig!G:G,df_extrato_zig!E:E,Conciliacao!A706,df_extrato_zig!D:D,"Antecipação")</f>
        <v/>
      </c>
      <c r="C706" s="3">
        <f>SUMIFS(df_extrato_zig!E:E,df_extrato_zig!L:L,Conciliacao!A706,df_extrato_zig!F:F,"DINHEIRO")</f>
        <v/>
      </c>
      <c r="D706" s="3">
        <f>SUMIFS(view_parc_agrup!H:H,view_parc_agrup!G:G,Conciliacao!A706)</f>
        <v/>
      </c>
      <c r="E706" s="3">
        <f>SUMIFS(df_eventos!F:F,df_eventos!H:H,Conciliacao!A706)</f>
        <v/>
      </c>
      <c r="F706" s="3">
        <f>SUMIFS(df_mutuos!M:M,df_mutuos!B:B,Conciliacao!A706)</f>
        <v/>
      </c>
      <c r="G706" s="6">
        <f>SUMIFS(df_bloqueios_judiciais!G:G,df_bloqueios_judiciais!D:D,Conciliacao!A706,df_bloqueios_judiciais!G:G,"&gt;0")</f>
        <v/>
      </c>
      <c r="H706" s="7">
        <f>SUMIFS(df_extratos!I:I,df_extratos!F:F,Conciliacao!BE706,df_extratos!G:G,"CREDITO")+SUMIFS(df_extratos!I:I,df_extratos!F:F,Conciliacao!A706,df_extratos!G:G,"CREDITO")+SUMIFS(df_extratos!I:I,df_extratos!F:F,Conciliacao!BF706,df_extratos!G:G,"CREDITO")+SUMIFS(df_extratos!I:I,df_extratos!F:F,Conciliacao!BG706,df_extratos!G:G,"CREDITO")+SUMIFS(df_extratos!I:I,df_extratos!F:F,Conciliacao!BH706,df_extratos!G:G,"CREDITO")</f>
        <v/>
      </c>
      <c r="I706" s="9">
        <f>H706-SUM(B706:G706)</f>
        <v/>
      </c>
      <c r="J706" s="4">
        <f>SUMIFS(df_blueme_sem_parcelamento!E:E,df_blueme_sem_parcelamento!H:H,Conciliacao!A706)*(-1)</f>
        <v/>
      </c>
      <c r="K706" s="4">
        <f>SUMIFS(df_blueme_com_parcelamento!J:J,df_blueme_com_parcelamento!M:M,Conciliacao!A706)*(-1)</f>
        <v/>
      </c>
      <c r="L706" s="4">
        <f>SUMIFS(df_mutuos!N:N,df_mutuos!B:B,Conciliacao!A706)*(-1)</f>
        <v/>
      </c>
      <c r="M706" s="8">
        <f>SUMIFS(df_bloqueios_judiciais!G:G,df_bloqueios_judiciais!D:D,Conciliacao!A706,df_bloqueios_judiciais!G:G,"&lt;0")</f>
        <v/>
      </c>
      <c r="N706" s="10">
        <f>SUMIFS(df_extratos!I:I,df_extratos!F:F,Conciliacao!BE706,df_extratos!G:G,"DEBITO")+SUMIFS(df_extratos!I:I,df_extratos!F:F,Conciliacao!A706,df_extratos!G:G,"DEBITO")+SUMIFS(df_extratos!I:I,df_extratos!F:F,Conciliacao!BF706,df_extratos!G:G,"DEBITO")+SUMIFS(df_extratos!I:I,df_extratos!F:F,Conciliacao!BG706,df_extratos!G:G,"DEBITO")+SUMIFS(df_extratos!I:I,df_extratos!F:F,Conciliacao!BH706,df_extratos!G:G,"DEBITO")</f>
        <v/>
      </c>
      <c r="O706" s="11">
        <f>N706-SUM(J706:M706)</f>
        <v/>
      </c>
      <c r="P706" s="25">
        <f>SUMIFS(df_ajustes_conciliaco!D:D,df_ajustes_conciliaco!C:C,Conciliacao!A706)</f>
        <v/>
      </c>
      <c r="Q706" s="22">
        <f>O706+I706-P706</f>
        <v/>
      </c>
    </row>
    <row r="707">
      <c r="A707" s="5">
        <f>A706+1</f>
        <v/>
      </c>
      <c r="B707" s="3">
        <f>-SUMIFS(df_extrato_zig!G:G,df_extrato_zig!E:E,Conciliacao!A707,df_extrato_zig!D:D,"Saque")-SUMIFS(df_extrato_zig!G:G,df_extrato_zig!E:E,Conciliacao!A707,df_extrato_zig!D:D,"Antecipação")</f>
        <v/>
      </c>
      <c r="C707" s="3">
        <f>SUMIFS(df_extrato_zig!E:E,df_extrato_zig!L:L,Conciliacao!A707,df_extrato_zig!F:F,"DINHEIRO")</f>
        <v/>
      </c>
      <c r="D707" s="3">
        <f>SUMIFS(view_parc_agrup!H:H,view_parc_agrup!G:G,Conciliacao!A707)</f>
        <v/>
      </c>
      <c r="E707" s="3">
        <f>SUMIFS(df_eventos!F:F,df_eventos!H:H,Conciliacao!A707)</f>
        <v/>
      </c>
      <c r="F707" s="3">
        <f>SUMIFS(df_mutuos!M:M,df_mutuos!B:B,Conciliacao!A707)</f>
        <v/>
      </c>
      <c r="G707" s="6">
        <f>SUMIFS(df_bloqueios_judiciais!G:G,df_bloqueios_judiciais!D:D,Conciliacao!A707,df_bloqueios_judiciais!G:G,"&gt;0")</f>
        <v/>
      </c>
      <c r="H707" s="7">
        <f>SUMIFS(df_extratos!I:I,df_extratos!F:F,Conciliacao!BE707,df_extratos!G:G,"CREDITO")+SUMIFS(df_extratos!I:I,df_extratos!F:F,Conciliacao!A707,df_extratos!G:G,"CREDITO")+SUMIFS(df_extratos!I:I,df_extratos!F:F,Conciliacao!BF707,df_extratos!G:G,"CREDITO")+SUMIFS(df_extratos!I:I,df_extratos!F:F,Conciliacao!BG707,df_extratos!G:G,"CREDITO")+SUMIFS(df_extratos!I:I,df_extratos!F:F,Conciliacao!BH707,df_extratos!G:G,"CREDITO")</f>
        <v/>
      </c>
      <c r="I707" s="9">
        <f>H707-SUM(B707:G707)</f>
        <v/>
      </c>
      <c r="J707" s="4">
        <f>SUMIFS(df_blueme_sem_parcelamento!E:E,df_blueme_sem_parcelamento!H:H,Conciliacao!A707)*(-1)</f>
        <v/>
      </c>
      <c r="K707" s="4">
        <f>SUMIFS(df_blueme_com_parcelamento!J:J,df_blueme_com_parcelamento!M:M,Conciliacao!A707)*(-1)</f>
        <v/>
      </c>
      <c r="L707" s="4">
        <f>SUMIFS(df_mutuos!N:N,df_mutuos!B:B,Conciliacao!A707)*(-1)</f>
        <v/>
      </c>
      <c r="M707" s="8">
        <f>SUMIFS(df_bloqueios_judiciais!G:G,df_bloqueios_judiciais!D:D,Conciliacao!A707,df_bloqueios_judiciais!G:G,"&lt;0")</f>
        <v/>
      </c>
      <c r="N707" s="10">
        <f>SUMIFS(df_extratos!I:I,df_extratos!F:F,Conciliacao!BE707,df_extratos!G:G,"DEBITO")+SUMIFS(df_extratos!I:I,df_extratos!F:F,Conciliacao!A707,df_extratos!G:G,"DEBITO")+SUMIFS(df_extratos!I:I,df_extratos!F:F,Conciliacao!BF707,df_extratos!G:G,"DEBITO")+SUMIFS(df_extratos!I:I,df_extratos!F:F,Conciliacao!BG707,df_extratos!G:G,"DEBITO")+SUMIFS(df_extratos!I:I,df_extratos!F:F,Conciliacao!BH707,df_extratos!G:G,"DEBITO")</f>
        <v/>
      </c>
      <c r="O707" s="11">
        <f>N707-SUM(J707:M707)</f>
        <v/>
      </c>
      <c r="P707" s="25">
        <f>SUMIFS(df_ajustes_conciliaco!D:D,df_ajustes_conciliaco!C:C,Conciliacao!A707)</f>
        <v/>
      </c>
      <c r="Q707" s="22">
        <f>O707+I707-P707</f>
        <v/>
      </c>
    </row>
    <row r="708">
      <c r="A708" s="5">
        <f>A707+1</f>
        <v/>
      </c>
      <c r="B708" s="3">
        <f>-SUMIFS(df_extrato_zig!G:G,df_extrato_zig!E:E,Conciliacao!A708,df_extrato_zig!D:D,"Saque")-SUMIFS(df_extrato_zig!G:G,df_extrato_zig!E:E,Conciliacao!A708,df_extrato_zig!D:D,"Antecipação")</f>
        <v/>
      </c>
      <c r="C708" s="3">
        <f>SUMIFS(df_extrato_zig!E:E,df_extrato_zig!L:L,Conciliacao!A708,df_extrato_zig!F:F,"DINHEIRO")</f>
        <v/>
      </c>
      <c r="D708" s="3">
        <f>SUMIFS(view_parc_agrup!H:H,view_parc_agrup!G:G,Conciliacao!A708)</f>
        <v/>
      </c>
      <c r="E708" s="3">
        <f>SUMIFS(df_eventos!F:F,df_eventos!H:H,Conciliacao!A708)</f>
        <v/>
      </c>
      <c r="F708" s="3">
        <f>SUMIFS(df_mutuos!M:M,df_mutuos!B:B,Conciliacao!A708)</f>
        <v/>
      </c>
      <c r="G708" s="6">
        <f>SUMIFS(df_bloqueios_judiciais!G:G,df_bloqueios_judiciais!D:D,Conciliacao!A708,df_bloqueios_judiciais!G:G,"&gt;0")</f>
        <v/>
      </c>
      <c r="H708" s="7">
        <f>SUMIFS(df_extratos!I:I,df_extratos!F:F,Conciliacao!BE708,df_extratos!G:G,"CREDITO")+SUMIFS(df_extratos!I:I,df_extratos!F:F,Conciliacao!A708,df_extratos!G:G,"CREDITO")+SUMIFS(df_extratos!I:I,df_extratos!F:F,Conciliacao!BF708,df_extratos!G:G,"CREDITO")+SUMIFS(df_extratos!I:I,df_extratos!F:F,Conciliacao!BG708,df_extratos!G:G,"CREDITO")+SUMIFS(df_extratos!I:I,df_extratos!F:F,Conciliacao!BH708,df_extratos!G:G,"CREDITO")</f>
        <v/>
      </c>
      <c r="I708" s="9">
        <f>H708-SUM(B708:G708)</f>
        <v/>
      </c>
      <c r="J708" s="4">
        <f>SUMIFS(df_blueme_sem_parcelamento!E:E,df_blueme_sem_parcelamento!H:H,Conciliacao!A708)*(-1)</f>
        <v/>
      </c>
      <c r="K708" s="4">
        <f>SUMIFS(df_blueme_com_parcelamento!J:J,df_blueme_com_parcelamento!M:M,Conciliacao!A708)*(-1)</f>
        <v/>
      </c>
      <c r="L708" s="4">
        <f>SUMIFS(df_mutuos!N:N,df_mutuos!B:B,Conciliacao!A708)*(-1)</f>
        <v/>
      </c>
      <c r="M708" s="8">
        <f>SUMIFS(df_bloqueios_judiciais!G:G,df_bloqueios_judiciais!D:D,Conciliacao!A708,df_bloqueios_judiciais!G:G,"&lt;0")</f>
        <v/>
      </c>
      <c r="N708" s="10">
        <f>SUMIFS(df_extratos!I:I,df_extratos!F:F,Conciliacao!BE708,df_extratos!G:G,"DEBITO")+SUMIFS(df_extratos!I:I,df_extratos!F:F,Conciliacao!A708,df_extratos!G:G,"DEBITO")+SUMIFS(df_extratos!I:I,df_extratos!F:F,Conciliacao!BF708,df_extratos!G:G,"DEBITO")+SUMIFS(df_extratos!I:I,df_extratos!F:F,Conciliacao!BG708,df_extratos!G:G,"DEBITO")+SUMIFS(df_extratos!I:I,df_extratos!F:F,Conciliacao!BH708,df_extratos!G:G,"DEBITO")</f>
        <v/>
      </c>
      <c r="O708" s="11">
        <f>N708-SUM(J708:M708)</f>
        <v/>
      </c>
      <c r="P708" s="25">
        <f>SUMIFS(df_ajustes_conciliaco!D:D,df_ajustes_conciliaco!C:C,Conciliacao!A708)</f>
        <v/>
      </c>
      <c r="Q708" s="22">
        <f>O708+I708-P708</f>
        <v/>
      </c>
    </row>
    <row r="709">
      <c r="A709" s="5">
        <f>A708+1</f>
        <v/>
      </c>
      <c r="B709" s="3">
        <f>-SUMIFS(df_extrato_zig!G:G,df_extrato_zig!E:E,Conciliacao!A709,df_extrato_zig!D:D,"Saque")-SUMIFS(df_extrato_zig!G:G,df_extrato_zig!E:E,Conciliacao!A709,df_extrato_zig!D:D,"Antecipação")</f>
        <v/>
      </c>
      <c r="C709" s="3">
        <f>SUMIFS(df_extrato_zig!E:E,df_extrato_zig!L:L,Conciliacao!A709,df_extrato_zig!F:F,"DINHEIRO")</f>
        <v/>
      </c>
      <c r="D709" s="3">
        <f>SUMIFS(view_parc_agrup!H:H,view_parc_agrup!G:G,Conciliacao!A709)</f>
        <v/>
      </c>
      <c r="E709" s="3">
        <f>SUMIFS(df_eventos!F:F,df_eventos!H:H,Conciliacao!A709)</f>
        <v/>
      </c>
      <c r="F709" s="3">
        <f>SUMIFS(df_mutuos!M:M,df_mutuos!B:B,Conciliacao!A709)</f>
        <v/>
      </c>
      <c r="G709" s="6">
        <f>SUMIFS(df_bloqueios_judiciais!G:G,df_bloqueios_judiciais!D:D,Conciliacao!A709,df_bloqueios_judiciais!G:G,"&gt;0")</f>
        <v/>
      </c>
      <c r="H709" s="7">
        <f>SUMIFS(df_extratos!I:I,df_extratos!F:F,Conciliacao!BE709,df_extratos!G:G,"CREDITO")+SUMIFS(df_extratos!I:I,df_extratos!F:F,Conciliacao!A709,df_extratos!G:G,"CREDITO")+SUMIFS(df_extratos!I:I,df_extratos!F:F,Conciliacao!BF709,df_extratos!G:G,"CREDITO")+SUMIFS(df_extratos!I:I,df_extratos!F:F,Conciliacao!BG709,df_extratos!G:G,"CREDITO")+SUMIFS(df_extratos!I:I,df_extratos!F:F,Conciliacao!BH709,df_extratos!G:G,"CREDITO")</f>
        <v/>
      </c>
      <c r="I709" s="9">
        <f>H709-SUM(B709:G709)</f>
        <v/>
      </c>
      <c r="J709" s="4">
        <f>SUMIFS(df_blueme_sem_parcelamento!E:E,df_blueme_sem_parcelamento!H:H,Conciliacao!A709)*(-1)</f>
        <v/>
      </c>
      <c r="K709" s="4">
        <f>SUMIFS(df_blueme_com_parcelamento!J:J,df_blueme_com_parcelamento!M:M,Conciliacao!A709)*(-1)</f>
        <v/>
      </c>
      <c r="L709" s="4">
        <f>SUMIFS(df_mutuos!N:N,df_mutuos!B:B,Conciliacao!A709)*(-1)</f>
        <v/>
      </c>
      <c r="M709" s="8">
        <f>SUMIFS(df_bloqueios_judiciais!G:G,df_bloqueios_judiciais!D:D,Conciliacao!A709,df_bloqueios_judiciais!G:G,"&lt;0")</f>
        <v/>
      </c>
      <c r="N709" s="10">
        <f>SUMIFS(df_extratos!I:I,df_extratos!F:F,Conciliacao!BE709,df_extratos!G:G,"DEBITO")+SUMIFS(df_extratos!I:I,df_extratos!F:F,Conciliacao!A709,df_extratos!G:G,"DEBITO")+SUMIFS(df_extratos!I:I,df_extratos!F:F,Conciliacao!BF709,df_extratos!G:G,"DEBITO")+SUMIFS(df_extratos!I:I,df_extratos!F:F,Conciliacao!BG709,df_extratos!G:G,"DEBITO")+SUMIFS(df_extratos!I:I,df_extratos!F:F,Conciliacao!BH709,df_extratos!G:G,"DEBITO")</f>
        <v/>
      </c>
      <c r="O709" s="11">
        <f>N709-SUM(J709:M709)</f>
        <v/>
      </c>
      <c r="P709" s="25">
        <f>SUMIFS(df_ajustes_conciliaco!D:D,df_ajustes_conciliaco!C:C,Conciliacao!A709)</f>
        <v/>
      </c>
      <c r="Q709" s="22">
        <f>O709+I709-P709</f>
        <v/>
      </c>
    </row>
    <row r="710">
      <c r="A710" s="5">
        <f>A709+1</f>
        <v/>
      </c>
      <c r="B710" s="3">
        <f>-SUMIFS(df_extrato_zig!G:G,df_extrato_zig!E:E,Conciliacao!A710,df_extrato_zig!D:D,"Saque")-SUMIFS(df_extrato_zig!G:G,df_extrato_zig!E:E,Conciliacao!A710,df_extrato_zig!D:D,"Antecipação")</f>
        <v/>
      </c>
      <c r="C710" s="3">
        <f>SUMIFS(df_extrato_zig!E:E,df_extrato_zig!L:L,Conciliacao!A710,df_extrato_zig!F:F,"DINHEIRO")</f>
        <v/>
      </c>
      <c r="D710" s="3">
        <f>SUMIFS(view_parc_agrup!H:H,view_parc_agrup!G:G,Conciliacao!A710)</f>
        <v/>
      </c>
      <c r="E710" s="3">
        <f>SUMIFS(df_eventos!F:F,df_eventos!H:H,Conciliacao!A710)</f>
        <v/>
      </c>
      <c r="F710" s="3">
        <f>SUMIFS(df_mutuos!M:M,df_mutuos!B:B,Conciliacao!A710)</f>
        <v/>
      </c>
      <c r="G710" s="6">
        <f>SUMIFS(df_bloqueios_judiciais!G:G,df_bloqueios_judiciais!D:D,Conciliacao!A710,df_bloqueios_judiciais!G:G,"&gt;0")</f>
        <v/>
      </c>
      <c r="H710" s="7">
        <f>SUMIFS(df_extratos!I:I,df_extratos!F:F,Conciliacao!BE710,df_extratos!G:G,"CREDITO")+SUMIFS(df_extratos!I:I,df_extratos!F:F,Conciliacao!A710,df_extratos!G:G,"CREDITO")+SUMIFS(df_extratos!I:I,df_extratos!F:F,Conciliacao!BF710,df_extratos!G:G,"CREDITO")+SUMIFS(df_extratos!I:I,df_extratos!F:F,Conciliacao!BG710,df_extratos!G:G,"CREDITO")+SUMIFS(df_extratos!I:I,df_extratos!F:F,Conciliacao!BH710,df_extratos!G:G,"CREDITO")</f>
        <v/>
      </c>
      <c r="I710" s="9">
        <f>H710-SUM(B710:G710)</f>
        <v/>
      </c>
      <c r="J710" s="4">
        <f>SUMIFS(df_blueme_sem_parcelamento!E:E,df_blueme_sem_parcelamento!H:H,Conciliacao!A710)*(-1)</f>
        <v/>
      </c>
      <c r="K710" s="4">
        <f>SUMIFS(df_blueme_com_parcelamento!J:J,df_blueme_com_parcelamento!M:M,Conciliacao!A710)*(-1)</f>
        <v/>
      </c>
      <c r="L710" s="4">
        <f>SUMIFS(df_mutuos!N:N,df_mutuos!B:B,Conciliacao!A710)*(-1)</f>
        <v/>
      </c>
      <c r="M710" s="8">
        <f>SUMIFS(df_bloqueios_judiciais!G:G,df_bloqueios_judiciais!D:D,Conciliacao!A710,df_bloqueios_judiciais!G:G,"&lt;0")</f>
        <v/>
      </c>
      <c r="N710" s="10">
        <f>SUMIFS(df_extratos!I:I,df_extratos!F:F,Conciliacao!BE710,df_extratos!G:G,"DEBITO")+SUMIFS(df_extratos!I:I,df_extratos!F:F,Conciliacao!A710,df_extratos!G:G,"DEBITO")+SUMIFS(df_extratos!I:I,df_extratos!F:F,Conciliacao!BF710,df_extratos!G:G,"DEBITO")+SUMIFS(df_extratos!I:I,df_extratos!F:F,Conciliacao!BG710,df_extratos!G:G,"DEBITO")+SUMIFS(df_extratos!I:I,df_extratos!F:F,Conciliacao!BH710,df_extratos!G:G,"DEBITO")</f>
        <v/>
      </c>
      <c r="O710" s="11">
        <f>N710-SUM(J710:M710)</f>
        <v/>
      </c>
      <c r="P710" s="25">
        <f>SUMIFS(df_ajustes_conciliaco!D:D,df_ajustes_conciliaco!C:C,Conciliacao!A710)</f>
        <v/>
      </c>
      <c r="Q710" s="22">
        <f>O710+I710-P710</f>
        <v/>
      </c>
    </row>
    <row r="711">
      <c r="A711" s="5">
        <f>A710+1</f>
        <v/>
      </c>
      <c r="B711" s="3">
        <f>-SUMIFS(df_extrato_zig!G:G,df_extrato_zig!E:E,Conciliacao!A711,df_extrato_zig!D:D,"Saque")-SUMIFS(df_extrato_zig!G:G,df_extrato_zig!E:E,Conciliacao!A711,df_extrato_zig!D:D,"Antecipação")</f>
        <v/>
      </c>
      <c r="C711" s="3">
        <f>SUMIFS(df_extrato_zig!E:E,df_extrato_zig!L:L,Conciliacao!A711,df_extrato_zig!F:F,"DINHEIRO")</f>
        <v/>
      </c>
      <c r="D711" s="3">
        <f>SUMIFS(view_parc_agrup!H:H,view_parc_agrup!G:G,Conciliacao!A711)</f>
        <v/>
      </c>
      <c r="E711" s="3">
        <f>SUMIFS(df_eventos!F:F,df_eventos!H:H,Conciliacao!A711)</f>
        <v/>
      </c>
      <c r="F711" s="3">
        <f>SUMIFS(df_mutuos!M:M,df_mutuos!B:B,Conciliacao!A711)</f>
        <v/>
      </c>
      <c r="G711" s="6">
        <f>SUMIFS(df_bloqueios_judiciais!G:G,df_bloqueios_judiciais!D:D,Conciliacao!A711,df_bloqueios_judiciais!G:G,"&gt;0")</f>
        <v/>
      </c>
      <c r="H711" s="7">
        <f>SUMIFS(df_extratos!I:I,df_extratos!F:F,Conciliacao!BE711,df_extratos!G:G,"CREDITO")+SUMIFS(df_extratos!I:I,df_extratos!F:F,Conciliacao!A711,df_extratos!G:G,"CREDITO")+SUMIFS(df_extratos!I:I,df_extratos!F:F,Conciliacao!BF711,df_extratos!G:G,"CREDITO")+SUMIFS(df_extratos!I:I,df_extratos!F:F,Conciliacao!BG711,df_extratos!G:G,"CREDITO")+SUMIFS(df_extratos!I:I,df_extratos!F:F,Conciliacao!BH711,df_extratos!G:G,"CREDITO")</f>
        <v/>
      </c>
      <c r="I711" s="9">
        <f>H711-SUM(B711:G711)</f>
        <v/>
      </c>
      <c r="J711" s="4">
        <f>SUMIFS(df_blueme_sem_parcelamento!E:E,df_blueme_sem_parcelamento!H:H,Conciliacao!A711)*(-1)</f>
        <v/>
      </c>
      <c r="K711" s="4">
        <f>SUMIFS(df_blueme_com_parcelamento!J:J,df_blueme_com_parcelamento!M:M,Conciliacao!A711)*(-1)</f>
        <v/>
      </c>
      <c r="L711" s="4">
        <f>SUMIFS(df_mutuos!N:N,df_mutuos!B:B,Conciliacao!A711)*(-1)</f>
        <v/>
      </c>
      <c r="M711" s="8">
        <f>SUMIFS(df_bloqueios_judiciais!G:G,df_bloqueios_judiciais!D:D,Conciliacao!A711,df_bloqueios_judiciais!G:G,"&lt;0")</f>
        <v/>
      </c>
      <c r="N711" s="10">
        <f>SUMIFS(df_extratos!I:I,df_extratos!F:F,Conciliacao!BE711,df_extratos!G:G,"DEBITO")+SUMIFS(df_extratos!I:I,df_extratos!F:F,Conciliacao!A711,df_extratos!G:G,"DEBITO")+SUMIFS(df_extratos!I:I,df_extratos!F:F,Conciliacao!BF711,df_extratos!G:G,"DEBITO")+SUMIFS(df_extratos!I:I,df_extratos!F:F,Conciliacao!BG711,df_extratos!G:G,"DEBITO")+SUMIFS(df_extratos!I:I,df_extratos!F:F,Conciliacao!BH711,df_extratos!G:G,"DEBITO")</f>
        <v/>
      </c>
      <c r="O711" s="11">
        <f>N711-SUM(J711:M711)</f>
        <v/>
      </c>
      <c r="P711" s="25">
        <f>SUMIFS(df_ajustes_conciliaco!D:D,df_ajustes_conciliaco!C:C,Conciliacao!A711)</f>
        <v/>
      </c>
      <c r="Q711" s="22">
        <f>O711+I711-P711</f>
        <v/>
      </c>
    </row>
    <row r="712">
      <c r="A712" s="5">
        <f>A711+1</f>
        <v/>
      </c>
      <c r="B712" s="3">
        <f>-SUMIFS(df_extrato_zig!G:G,df_extrato_zig!E:E,Conciliacao!A712,df_extrato_zig!D:D,"Saque")-SUMIFS(df_extrato_zig!G:G,df_extrato_zig!E:E,Conciliacao!A712,df_extrato_zig!D:D,"Antecipação")</f>
        <v/>
      </c>
      <c r="C712" s="3">
        <f>SUMIFS(df_extrato_zig!E:E,df_extrato_zig!L:L,Conciliacao!A712,df_extrato_zig!F:F,"DINHEIRO")</f>
        <v/>
      </c>
      <c r="D712" s="3">
        <f>SUMIFS(view_parc_agrup!H:H,view_parc_agrup!G:G,Conciliacao!A712)</f>
        <v/>
      </c>
      <c r="E712" s="3">
        <f>SUMIFS(df_eventos!F:F,df_eventos!H:H,Conciliacao!A712)</f>
        <v/>
      </c>
      <c r="F712" s="3">
        <f>SUMIFS(df_mutuos!M:M,df_mutuos!B:B,Conciliacao!A712)</f>
        <v/>
      </c>
      <c r="G712" s="6">
        <f>SUMIFS(df_bloqueios_judiciais!G:G,df_bloqueios_judiciais!D:D,Conciliacao!A712,df_bloqueios_judiciais!G:G,"&gt;0")</f>
        <v/>
      </c>
      <c r="H712" s="7">
        <f>SUMIFS(df_extratos!I:I,df_extratos!F:F,Conciliacao!BE712,df_extratos!G:G,"CREDITO")+SUMIFS(df_extratos!I:I,df_extratos!F:F,Conciliacao!A712,df_extratos!G:G,"CREDITO")+SUMIFS(df_extratos!I:I,df_extratos!F:F,Conciliacao!BF712,df_extratos!G:G,"CREDITO")+SUMIFS(df_extratos!I:I,df_extratos!F:F,Conciliacao!BG712,df_extratos!G:G,"CREDITO")+SUMIFS(df_extratos!I:I,df_extratos!F:F,Conciliacao!BH712,df_extratos!G:G,"CREDITO")</f>
        <v/>
      </c>
      <c r="I712" s="9">
        <f>H712-SUM(B712:G712)</f>
        <v/>
      </c>
      <c r="J712" s="4">
        <f>SUMIFS(df_blueme_sem_parcelamento!E:E,df_blueme_sem_parcelamento!H:H,Conciliacao!A712)*(-1)</f>
        <v/>
      </c>
      <c r="K712" s="4">
        <f>SUMIFS(df_blueme_com_parcelamento!J:J,df_blueme_com_parcelamento!M:M,Conciliacao!A712)*(-1)</f>
        <v/>
      </c>
      <c r="L712" s="4">
        <f>SUMIFS(df_mutuos!N:N,df_mutuos!B:B,Conciliacao!A712)*(-1)</f>
        <v/>
      </c>
      <c r="M712" s="8">
        <f>SUMIFS(df_bloqueios_judiciais!G:G,df_bloqueios_judiciais!D:D,Conciliacao!A712,df_bloqueios_judiciais!G:G,"&lt;0")</f>
        <v/>
      </c>
      <c r="N712" s="10">
        <f>SUMIFS(df_extratos!I:I,df_extratos!F:F,Conciliacao!BE712,df_extratos!G:G,"DEBITO")+SUMIFS(df_extratos!I:I,df_extratos!F:F,Conciliacao!A712,df_extratos!G:G,"DEBITO")+SUMIFS(df_extratos!I:I,df_extratos!F:F,Conciliacao!BF712,df_extratos!G:G,"DEBITO")+SUMIFS(df_extratos!I:I,df_extratos!F:F,Conciliacao!BG712,df_extratos!G:G,"DEBITO")+SUMIFS(df_extratos!I:I,df_extratos!F:F,Conciliacao!BH712,df_extratos!G:G,"DEBITO")</f>
        <v/>
      </c>
      <c r="O712" s="11">
        <f>N712-SUM(J712:M712)</f>
        <v/>
      </c>
      <c r="P712" s="25">
        <f>SUMIFS(df_ajustes_conciliaco!D:D,df_ajustes_conciliaco!C:C,Conciliacao!A712)</f>
        <v/>
      </c>
      <c r="Q712" s="22">
        <f>O712+I712-P712</f>
        <v/>
      </c>
    </row>
    <row r="713">
      <c r="A713" s="5">
        <f>A712+1</f>
        <v/>
      </c>
      <c r="B713" s="3">
        <f>-SUMIFS(df_extrato_zig!G:G,df_extrato_zig!E:E,Conciliacao!A713,df_extrato_zig!D:D,"Saque")-SUMIFS(df_extrato_zig!G:G,df_extrato_zig!E:E,Conciliacao!A713,df_extrato_zig!D:D,"Antecipação")</f>
        <v/>
      </c>
      <c r="C713" s="3">
        <f>SUMIFS(df_extrato_zig!E:E,df_extrato_zig!L:L,Conciliacao!A713,df_extrato_zig!F:F,"DINHEIRO")</f>
        <v/>
      </c>
      <c r="D713" s="3">
        <f>SUMIFS(view_parc_agrup!H:H,view_parc_agrup!G:G,Conciliacao!A713)</f>
        <v/>
      </c>
      <c r="E713" s="3">
        <f>SUMIFS(df_eventos!F:F,df_eventos!H:H,Conciliacao!A713)</f>
        <v/>
      </c>
      <c r="F713" s="3">
        <f>SUMIFS(df_mutuos!M:M,df_mutuos!B:B,Conciliacao!A713)</f>
        <v/>
      </c>
      <c r="G713" s="6">
        <f>SUMIFS(df_bloqueios_judiciais!G:G,df_bloqueios_judiciais!D:D,Conciliacao!A713,df_bloqueios_judiciais!G:G,"&gt;0")</f>
        <v/>
      </c>
      <c r="H713" s="7">
        <f>SUMIFS(df_extratos!I:I,df_extratos!F:F,Conciliacao!BE713,df_extratos!G:G,"CREDITO")+SUMIFS(df_extratos!I:I,df_extratos!F:F,Conciliacao!A713,df_extratos!G:G,"CREDITO")+SUMIFS(df_extratos!I:I,df_extratos!F:F,Conciliacao!BF713,df_extratos!G:G,"CREDITO")+SUMIFS(df_extratos!I:I,df_extratos!F:F,Conciliacao!BG713,df_extratos!G:G,"CREDITO")+SUMIFS(df_extratos!I:I,df_extratos!F:F,Conciliacao!BH713,df_extratos!G:G,"CREDITO")</f>
        <v/>
      </c>
      <c r="I713" s="9">
        <f>H713-SUM(B713:G713)</f>
        <v/>
      </c>
      <c r="J713" s="4">
        <f>SUMIFS(df_blueme_sem_parcelamento!E:E,df_blueme_sem_parcelamento!H:H,Conciliacao!A713)*(-1)</f>
        <v/>
      </c>
      <c r="K713" s="4">
        <f>SUMIFS(df_blueme_com_parcelamento!J:J,df_blueme_com_parcelamento!M:M,Conciliacao!A713)*(-1)</f>
        <v/>
      </c>
      <c r="L713" s="4">
        <f>SUMIFS(df_mutuos!N:N,df_mutuos!B:B,Conciliacao!A713)*(-1)</f>
        <v/>
      </c>
      <c r="M713" s="8">
        <f>SUMIFS(df_bloqueios_judiciais!G:G,df_bloqueios_judiciais!D:D,Conciliacao!A713,df_bloqueios_judiciais!G:G,"&lt;0")</f>
        <v/>
      </c>
      <c r="N713" s="10">
        <f>SUMIFS(df_extratos!I:I,df_extratos!F:F,Conciliacao!BE713,df_extratos!G:G,"DEBITO")+SUMIFS(df_extratos!I:I,df_extratos!F:F,Conciliacao!A713,df_extratos!G:G,"DEBITO")+SUMIFS(df_extratos!I:I,df_extratos!F:F,Conciliacao!BF713,df_extratos!G:G,"DEBITO")+SUMIFS(df_extratos!I:I,df_extratos!F:F,Conciliacao!BG713,df_extratos!G:G,"DEBITO")+SUMIFS(df_extratos!I:I,df_extratos!F:F,Conciliacao!BH713,df_extratos!G:G,"DEBITO")</f>
        <v/>
      </c>
      <c r="O713" s="11">
        <f>N713-SUM(J713:M713)</f>
        <v/>
      </c>
      <c r="P713" s="25">
        <f>SUMIFS(df_ajustes_conciliaco!D:D,df_ajustes_conciliaco!C:C,Conciliacao!A713)</f>
        <v/>
      </c>
      <c r="Q713" s="22">
        <f>O713+I713-P713</f>
        <v/>
      </c>
    </row>
    <row r="714">
      <c r="A714" s="5">
        <f>A713+1</f>
        <v/>
      </c>
      <c r="B714" s="3">
        <f>-SUMIFS(df_extrato_zig!G:G,df_extrato_zig!E:E,Conciliacao!A714,df_extrato_zig!D:D,"Saque")-SUMIFS(df_extrato_zig!G:G,df_extrato_zig!E:E,Conciliacao!A714,df_extrato_zig!D:D,"Antecipação")</f>
        <v/>
      </c>
      <c r="C714" s="3">
        <f>SUMIFS(df_extrato_zig!E:E,df_extrato_zig!L:L,Conciliacao!A714,df_extrato_zig!F:F,"DINHEIRO")</f>
        <v/>
      </c>
      <c r="D714" s="3">
        <f>SUMIFS(view_parc_agrup!H:H,view_parc_agrup!G:G,Conciliacao!A714)</f>
        <v/>
      </c>
      <c r="E714" s="3">
        <f>SUMIFS(df_eventos!F:F,df_eventos!H:H,Conciliacao!A714)</f>
        <v/>
      </c>
      <c r="F714" s="3">
        <f>SUMIFS(df_mutuos!M:M,df_mutuos!B:B,Conciliacao!A714)</f>
        <v/>
      </c>
      <c r="G714" s="6">
        <f>SUMIFS(df_bloqueios_judiciais!G:G,df_bloqueios_judiciais!D:D,Conciliacao!A714,df_bloqueios_judiciais!G:G,"&gt;0")</f>
        <v/>
      </c>
      <c r="H714" s="7">
        <f>SUMIFS(df_extratos!I:I,df_extratos!F:F,Conciliacao!BE714,df_extratos!G:G,"CREDITO")+SUMIFS(df_extratos!I:I,df_extratos!F:F,Conciliacao!A714,df_extratos!G:G,"CREDITO")+SUMIFS(df_extratos!I:I,df_extratos!F:F,Conciliacao!BF714,df_extratos!G:G,"CREDITO")+SUMIFS(df_extratos!I:I,df_extratos!F:F,Conciliacao!BG714,df_extratos!G:G,"CREDITO")+SUMIFS(df_extratos!I:I,df_extratos!F:F,Conciliacao!BH714,df_extratos!G:G,"CREDITO")</f>
        <v/>
      </c>
      <c r="I714" s="9">
        <f>H714-SUM(B714:G714)</f>
        <v/>
      </c>
      <c r="J714" s="4">
        <f>SUMIFS(df_blueme_sem_parcelamento!E:E,df_blueme_sem_parcelamento!H:H,Conciliacao!A714)*(-1)</f>
        <v/>
      </c>
      <c r="K714" s="4">
        <f>SUMIFS(df_blueme_com_parcelamento!J:J,df_blueme_com_parcelamento!M:M,Conciliacao!A714)*(-1)</f>
        <v/>
      </c>
      <c r="L714" s="4">
        <f>SUMIFS(df_mutuos!N:N,df_mutuos!B:B,Conciliacao!A714)*(-1)</f>
        <v/>
      </c>
      <c r="M714" s="8">
        <f>SUMIFS(df_bloqueios_judiciais!G:G,df_bloqueios_judiciais!D:D,Conciliacao!A714,df_bloqueios_judiciais!G:G,"&lt;0")</f>
        <v/>
      </c>
      <c r="N714" s="10">
        <f>SUMIFS(df_extratos!I:I,df_extratos!F:F,Conciliacao!BE714,df_extratos!G:G,"DEBITO")+SUMIFS(df_extratos!I:I,df_extratos!F:F,Conciliacao!A714,df_extratos!G:G,"DEBITO")+SUMIFS(df_extratos!I:I,df_extratos!F:F,Conciliacao!BF714,df_extratos!G:G,"DEBITO")+SUMIFS(df_extratos!I:I,df_extratos!F:F,Conciliacao!BG714,df_extratos!G:G,"DEBITO")+SUMIFS(df_extratos!I:I,df_extratos!F:F,Conciliacao!BH714,df_extratos!G:G,"DEBITO")</f>
        <v/>
      </c>
      <c r="O714" s="11">
        <f>N714-SUM(J714:M714)</f>
        <v/>
      </c>
      <c r="P714" s="25">
        <f>SUMIFS(df_ajustes_conciliaco!D:D,df_ajustes_conciliaco!C:C,Conciliacao!A714)</f>
        <v/>
      </c>
      <c r="Q714" s="22">
        <f>O714+I714-P714</f>
        <v/>
      </c>
    </row>
    <row r="715">
      <c r="A715" s="5">
        <f>A714+1</f>
        <v/>
      </c>
      <c r="B715" s="3">
        <f>-SUMIFS(df_extrato_zig!G:G,df_extrato_zig!E:E,Conciliacao!A715,df_extrato_zig!D:D,"Saque")-SUMIFS(df_extrato_zig!G:G,df_extrato_zig!E:E,Conciliacao!A715,df_extrato_zig!D:D,"Antecipação")</f>
        <v/>
      </c>
      <c r="C715" s="3">
        <f>SUMIFS(df_extrato_zig!E:E,df_extrato_zig!L:L,Conciliacao!A715,df_extrato_zig!F:F,"DINHEIRO")</f>
        <v/>
      </c>
      <c r="D715" s="3">
        <f>SUMIFS(view_parc_agrup!H:H,view_parc_agrup!G:G,Conciliacao!A715)</f>
        <v/>
      </c>
      <c r="E715" s="3">
        <f>SUMIFS(df_eventos!F:F,df_eventos!H:H,Conciliacao!A715)</f>
        <v/>
      </c>
      <c r="F715" s="3">
        <f>SUMIFS(df_mutuos!M:M,df_mutuos!B:B,Conciliacao!A715)</f>
        <v/>
      </c>
      <c r="G715" s="6">
        <f>SUMIFS(df_bloqueios_judiciais!G:G,df_bloqueios_judiciais!D:D,Conciliacao!A715,df_bloqueios_judiciais!G:G,"&gt;0")</f>
        <v/>
      </c>
      <c r="H715" s="7">
        <f>SUMIFS(df_extratos!I:I,df_extratos!F:F,Conciliacao!BE715,df_extratos!G:G,"CREDITO")+SUMIFS(df_extratos!I:I,df_extratos!F:F,Conciliacao!A715,df_extratos!G:G,"CREDITO")+SUMIFS(df_extratos!I:I,df_extratos!F:F,Conciliacao!BF715,df_extratos!G:G,"CREDITO")+SUMIFS(df_extratos!I:I,df_extratos!F:F,Conciliacao!BG715,df_extratos!G:G,"CREDITO")+SUMIFS(df_extratos!I:I,df_extratos!F:F,Conciliacao!BH715,df_extratos!G:G,"CREDITO")</f>
        <v/>
      </c>
      <c r="I715" s="9">
        <f>H715-SUM(B715:G715)</f>
        <v/>
      </c>
      <c r="J715" s="4">
        <f>SUMIFS(df_blueme_sem_parcelamento!E:E,df_blueme_sem_parcelamento!H:H,Conciliacao!A715)*(-1)</f>
        <v/>
      </c>
      <c r="K715" s="4">
        <f>SUMIFS(df_blueme_com_parcelamento!J:J,df_blueme_com_parcelamento!M:M,Conciliacao!A715)*(-1)</f>
        <v/>
      </c>
      <c r="L715" s="4">
        <f>SUMIFS(df_mutuos!N:N,df_mutuos!B:B,Conciliacao!A715)*(-1)</f>
        <v/>
      </c>
      <c r="M715" s="8">
        <f>SUMIFS(df_bloqueios_judiciais!G:G,df_bloqueios_judiciais!D:D,Conciliacao!A715,df_bloqueios_judiciais!G:G,"&lt;0")</f>
        <v/>
      </c>
      <c r="N715" s="10">
        <f>SUMIFS(df_extratos!I:I,df_extratos!F:F,Conciliacao!BE715,df_extratos!G:G,"DEBITO")+SUMIFS(df_extratos!I:I,df_extratos!F:F,Conciliacao!A715,df_extratos!G:G,"DEBITO")+SUMIFS(df_extratos!I:I,df_extratos!F:F,Conciliacao!BF715,df_extratos!G:G,"DEBITO")+SUMIFS(df_extratos!I:I,df_extratos!F:F,Conciliacao!BG715,df_extratos!G:G,"DEBITO")+SUMIFS(df_extratos!I:I,df_extratos!F:F,Conciliacao!BH715,df_extratos!G:G,"DEBITO")</f>
        <v/>
      </c>
      <c r="O715" s="11">
        <f>N715-SUM(J715:M715)</f>
        <v/>
      </c>
      <c r="P715" s="25">
        <f>SUMIFS(df_ajustes_conciliaco!D:D,df_ajustes_conciliaco!C:C,Conciliacao!A715)</f>
        <v/>
      </c>
      <c r="Q715" s="22">
        <f>O715+I715-P715</f>
        <v/>
      </c>
    </row>
    <row r="716">
      <c r="A716" s="5">
        <f>A715+1</f>
        <v/>
      </c>
      <c r="B716" s="3">
        <f>-SUMIFS(df_extrato_zig!G:G,df_extrato_zig!E:E,Conciliacao!A716,df_extrato_zig!D:D,"Saque")-SUMIFS(df_extrato_zig!G:G,df_extrato_zig!E:E,Conciliacao!A716,df_extrato_zig!D:D,"Antecipação")</f>
        <v/>
      </c>
      <c r="C716" s="3">
        <f>SUMIFS(df_extrato_zig!E:E,df_extrato_zig!L:L,Conciliacao!A716,df_extrato_zig!F:F,"DINHEIRO")</f>
        <v/>
      </c>
      <c r="D716" s="3">
        <f>SUMIFS(view_parc_agrup!H:H,view_parc_agrup!G:G,Conciliacao!A716)</f>
        <v/>
      </c>
      <c r="E716" s="3">
        <f>SUMIFS(df_eventos!F:F,df_eventos!H:H,Conciliacao!A716)</f>
        <v/>
      </c>
      <c r="F716" s="3">
        <f>SUMIFS(df_mutuos!M:M,df_mutuos!B:B,Conciliacao!A716)</f>
        <v/>
      </c>
      <c r="G716" s="6">
        <f>SUMIFS(df_bloqueios_judiciais!G:G,df_bloqueios_judiciais!D:D,Conciliacao!A716,df_bloqueios_judiciais!G:G,"&gt;0")</f>
        <v/>
      </c>
      <c r="H716" s="7">
        <f>SUMIFS(df_extratos!I:I,df_extratos!F:F,Conciliacao!BE716,df_extratos!G:G,"CREDITO")+SUMIFS(df_extratos!I:I,df_extratos!F:F,Conciliacao!A716,df_extratos!G:G,"CREDITO")+SUMIFS(df_extratos!I:I,df_extratos!F:F,Conciliacao!BF716,df_extratos!G:G,"CREDITO")+SUMIFS(df_extratos!I:I,df_extratos!F:F,Conciliacao!BG716,df_extratos!G:G,"CREDITO")+SUMIFS(df_extratos!I:I,df_extratos!F:F,Conciliacao!BH716,df_extratos!G:G,"CREDITO")</f>
        <v/>
      </c>
      <c r="I716" s="9">
        <f>H716-SUM(B716:G716)</f>
        <v/>
      </c>
      <c r="J716" s="4">
        <f>SUMIFS(df_blueme_sem_parcelamento!E:E,df_blueme_sem_parcelamento!H:H,Conciliacao!A716)*(-1)</f>
        <v/>
      </c>
      <c r="K716" s="4">
        <f>SUMIFS(df_blueme_com_parcelamento!J:J,df_blueme_com_parcelamento!M:M,Conciliacao!A716)*(-1)</f>
        <v/>
      </c>
      <c r="L716" s="4">
        <f>SUMIFS(df_mutuos!N:N,df_mutuos!B:B,Conciliacao!A716)*(-1)</f>
        <v/>
      </c>
      <c r="M716" s="8">
        <f>SUMIFS(df_bloqueios_judiciais!G:G,df_bloqueios_judiciais!D:D,Conciliacao!A716,df_bloqueios_judiciais!G:G,"&lt;0")</f>
        <v/>
      </c>
      <c r="N716" s="10">
        <f>SUMIFS(df_extratos!I:I,df_extratos!F:F,Conciliacao!BE716,df_extratos!G:G,"DEBITO")+SUMIFS(df_extratos!I:I,df_extratos!F:F,Conciliacao!A716,df_extratos!G:G,"DEBITO")+SUMIFS(df_extratos!I:I,df_extratos!F:F,Conciliacao!BF716,df_extratos!G:G,"DEBITO")+SUMIFS(df_extratos!I:I,df_extratos!F:F,Conciliacao!BG716,df_extratos!G:G,"DEBITO")+SUMIFS(df_extratos!I:I,df_extratos!F:F,Conciliacao!BH716,df_extratos!G:G,"DEBITO")</f>
        <v/>
      </c>
      <c r="O716" s="11">
        <f>N716-SUM(J716:M716)</f>
        <v/>
      </c>
      <c r="P716" s="25">
        <f>SUMIFS(df_ajustes_conciliaco!D:D,df_ajustes_conciliaco!C:C,Conciliacao!A716)</f>
        <v/>
      </c>
      <c r="Q716" s="22">
        <f>O716+I716-P716</f>
        <v/>
      </c>
    </row>
    <row r="717">
      <c r="A717" s="5">
        <f>A716+1</f>
        <v/>
      </c>
      <c r="B717" s="3">
        <f>-SUMIFS(df_extrato_zig!G:G,df_extrato_zig!E:E,Conciliacao!A717,df_extrato_zig!D:D,"Saque")-SUMIFS(df_extrato_zig!G:G,df_extrato_zig!E:E,Conciliacao!A717,df_extrato_zig!D:D,"Antecipação")</f>
        <v/>
      </c>
      <c r="C717" s="3">
        <f>SUMIFS(df_extrato_zig!E:E,df_extrato_zig!L:L,Conciliacao!A717,df_extrato_zig!F:F,"DINHEIRO")</f>
        <v/>
      </c>
      <c r="D717" s="3">
        <f>SUMIFS(view_parc_agrup!H:H,view_parc_agrup!G:G,Conciliacao!A717)</f>
        <v/>
      </c>
      <c r="E717" s="3">
        <f>SUMIFS(df_eventos!F:F,df_eventos!H:H,Conciliacao!A717)</f>
        <v/>
      </c>
      <c r="F717" s="3">
        <f>SUMIFS(df_mutuos!M:M,df_mutuos!B:B,Conciliacao!A717)</f>
        <v/>
      </c>
      <c r="G717" s="6">
        <f>SUMIFS(df_bloqueios_judiciais!G:G,df_bloqueios_judiciais!D:D,Conciliacao!A717,df_bloqueios_judiciais!G:G,"&gt;0")</f>
        <v/>
      </c>
      <c r="H717" s="7">
        <f>SUMIFS(df_extratos!I:I,df_extratos!F:F,Conciliacao!BE717,df_extratos!G:G,"CREDITO")+SUMIFS(df_extratos!I:I,df_extratos!F:F,Conciliacao!A717,df_extratos!G:G,"CREDITO")+SUMIFS(df_extratos!I:I,df_extratos!F:F,Conciliacao!BF717,df_extratos!G:G,"CREDITO")+SUMIFS(df_extratos!I:I,df_extratos!F:F,Conciliacao!BG717,df_extratos!G:G,"CREDITO")+SUMIFS(df_extratos!I:I,df_extratos!F:F,Conciliacao!BH717,df_extratos!G:G,"CREDITO")</f>
        <v/>
      </c>
      <c r="I717" s="9">
        <f>H717-SUM(B717:G717)</f>
        <v/>
      </c>
      <c r="J717" s="4">
        <f>SUMIFS(df_blueme_sem_parcelamento!E:E,df_blueme_sem_parcelamento!H:H,Conciliacao!A717)*(-1)</f>
        <v/>
      </c>
      <c r="K717" s="4">
        <f>SUMIFS(df_blueme_com_parcelamento!J:J,df_blueme_com_parcelamento!M:M,Conciliacao!A717)*(-1)</f>
        <v/>
      </c>
      <c r="L717" s="4">
        <f>SUMIFS(df_mutuos!N:N,df_mutuos!B:B,Conciliacao!A717)*(-1)</f>
        <v/>
      </c>
      <c r="M717" s="8">
        <f>SUMIFS(df_bloqueios_judiciais!G:G,df_bloqueios_judiciais!D:D,Conciliacao!A717,df_bloqueios_judiciais!G:G,"&lt;0")</f>
        <v/>
      </c>
      <c r="N717" s="10">
        <f>SUMIFS(df_extratos!I:I,df_extratos!F:F,Conciliacao!BE717,df_extratos!G:G,"DEBITO")+SUMIFS(df_extratos!I:I,df_extratos!F:F,Conciliacao!A717,df_extratos!G:G,"DEBITO")+SUMIFS(df_extratos!I:I,df_extratos!F:F,Conciliacao!BF717,df_extratos!G:G,"DEBITO")+SUMIFS(df_extratos!I:I,df_extratos!F:F,Conciliacao!BG717,df_extratos!G:G,"DEBITO")+SUMIFS(df_extratos!I:I,df_extratos!F:F,Conciliacao!BH717,df_extratos!G:G,"DEBITO")</f>
        <v/>
      </c>
      <c r="O717" s="11">
        <f>N717-SUM(J717:M717)</f>
        <v/>
      </c>
      <c r="P717" s="25">
        <f>SUMIFS(df_ajustes_conciliaco!D:D,df_ajustes_conciliaco!C:C,Conciliacao!A717)</f>
        <v/>
      </c>
      <c r="Q717" s="22">
        <f>O717+I717-P717</f>
        <v/>
      </c>
    </row>
    <row r="718">
      <c r="A718" s="5">
        <f>A717+1</f>
        <v/>
      </c>
      <c r="B718" s="3">
        <f>-SUMIFS(df_extrato_zig!G:G,df_extrato_zig!E:E,Conciliacao!A718,df_extrato_zig!D:D,"Saque")-SUMIFS(df_extrato_zig!G:G,df_extrato_zig!E:E,Conciliacao!A718,df_extrato_zig!D:D,"Antecipação")</f>
        <v/>
      </c>
      <c r="C718" s="3">
        <f>SUMIFS(df_extrato_zig!E:E,df_extrato_zig!L:L,Conciliacao!A718,df_extrato_zig!F:F,"DINHEIRO")</f>
        <v/>
      </c>
      <c r="D718" s="3">
        <f>SUMIFS(view_parc_agrup!H:H,view_parc_agrup!G:G,Conciliacao!A718)</f>
        <v/>
      </c>
      <c r="E718" s="3">
        <f>SUMIFS(df_eventos!F:F,df_eventos!H:H,Conciliacao!A718)</f>
        <v/>
      </c>
      <c r="F718" s="3">
        <f>SUMIFS(df_mutuos!M:M,df_mutuos!B:B,Conciliacao!A718)</f>
        <v/>
      </c>
      <c r="G718" s="6">
        <f>SUMIFS(df_bloqueios_judiciais!G:G,df_bloqueios_judiciais!D:D,Conciliacao!A718,df_bloqueios_judiciais!G:G,"&gt;0")</f>
        <v/>
      </c>
      <c r="H718" s="7">
        <f>SUMIFS(df_extratos!I:I,df_extratos!F:F,Conciliacao!BE718,df_extratos!G:G,"CREDITO")+SUMIFS(df_extratos!I:I,df_extratos!F:F,Conciliacao!A718,df_extratos!G:G,"CREDITO")+SUMIFS(df_extratos!I:I,df_extratos!F:F,Conciliacao!BF718,df_extratos!G:G,"CREDITO")+SUMIFS(df_extratos!I:I,df_extratos!F:F,Conciliacao!BG718,df_extratos!G:G,"CREDITO")+SUMIFS(df_extratos!I:I,df_extratos!F:F,Conciliacao!BH718,df_extratos!G:G,"CREDITO")</f>
        <v/>
      </c>
      <c r="I718" s="9">
        <f>H718-SUM(B718:G718)</f>
        <v/>
      </c>
      <c r="J718" s="4">
        <f>SUMIFS(df_blueme_sem_parcelamento!E:E,df_blueme_sem_parcelamento!H:H,Conciliacao!A718)*(-1)</f>
        <v/>
      </c>
      <c r="K718" s="4">
        <f>SUMIFS(df_blueme_com_parcelamento!J:J,df_blueme_com_parcelamento!M:M,Conciliacao!A718)*(-1)</f>
        <v/>
      </c>
      <c r="L718" s="4">
        <f>SUMIFS(df_mutuos!N:N,df_mutuos!B:B,Conciliacao!A718)*(-1)</f>
        <v/>
      </c>
      <c r="M718" s="8">
        <f>SUMIFS(df_bloqueios_judiciais!G:G,df_bloqueios_judiciais!D:D,Conciliacao!A718,df_bloqueios_judiciais!G:G,"&lt;0")</f>
        <v/>
      </c>
      <c r="N718" s="10">
        <f>SUMIFS(df_extratos!I:I,df_extratos!F:F,Conciliacao!BE718,df_extratos!G:G,"DEBITO")+SUMIFS(df_extratos!I:I,df_extratos!F:F,Conciliacao!A718,df_extratos!G:G,"DEBITO")+SUMIFS(df_extratos!I:I,df_extratos!F:F,Conciliacao!BF718,df_extratos!G:G,"DEBITO")+SUMIFS(df_extratos!I:I,df_extratos!F:F,Conciliacao!BG718,df_extratos!G:G,"DEBITO")+SUMIFS(df_extratos!I:I,df_extratos!F:F,Conciliacao!BH718,df_extratos!G:G,"DEBITO")</f>
        <v/>
      </c>
      <c r="O718" s="11">
        <f>N718-SUM(J718:M718)</f>
        <v/>
      </c>
      <c r="P718" s="25">
        <f>SUMIFS(df_ajustes_conciliaco!D:D,df_ajustes_conciliaco!C:C,Conciliacao!A718)</f>
        <v/>
      </c>
      <c r="Q718" s="22">
        <f>O718+I718-P718</f>
        <v/>
      </c>
    </row>
    <row r="719">
      <c r="A719" s="5">
        <f>A718+1</f>
        <v/>
      </c>
      <c r="B719" s="3">
        <f>-SUMIFS(df_extrato_zig!G:G,df_extrato_zig!E:E,Conciliacao!A719,df_extrato_zig!D:D,"Saque")-SUMIFS(df_extrato_zig!G:G,df_extrato_zig!E:E,Conciliacao!A719,df_extrato_zig!D:D,"Antecipação")</f>
        <v/>
      </c>
      <c r="C719" s="3">
        <f>SUMIFS(df_extrato_zig!E:E,df_extrato_zig!L:L,Conciliacao!A719,df_extrato_zig!F:F,"DINHEIRO")</f>
        <v/>
      </c>
      <c r="D719" s="3">
        <f>SUMIFS(view_parc_agrup!H:H,view_parc_agrup!G:G,Conciliacao!A719)</f>
        <v/>
      </c>
      <c r="E719" s="3">
        <f>SUMIFS(df_eventos!F:F,df_eventos!H:H,Conciliacao!A719)</f>
        <v/>
      </c>
      <c r="F719" s="3">
        <f>SUMIFS(df_mutuos!M:M,df_mutuos!B:B,Conciliacao!A719)</f>
        <v/>
      </c>
      <c r="G719" s="6">
        <f>SUMIFS(df_bloqueios_judiciais!G:G,df_bloqueios_judiciais!D:D,Conciliacao!A719,df_bloqueios_judiciais!G:G,"&gt;0")</f>
        <v/>
      </c>
      <c r="H719" s="7">
        <f>SUMIFS(df_extratos!I:I,df_extratos!F:F,Conciliacao!BE719,df_extratos!G:G,"CREDITO")+SUMIFS(df_extratos!I:I,df_extratos!F:F,Conciliacao!A719,df_extratos!G:G,"CREDITO")+SUMIFS(df_extratos!I:I,df_extratos!F:F,Conciliacao!BF719,df_extratos!G:G,"CREDITO")+SUMIFS(df_extratos!I:I,df_extratos!F:F,Conciliacao!BG719,df_extratos!G:G,"CREDITO")+SUMIFS(df_extratos!I:I,df_extratos!F:F,Conciliacao!BH719,df_extratos!G:G,"CREDITO")</f>
        <v/>
      </c>
      <c r="I719" s="9">
        <f>H719-SUM(B719:G719)</f>
        <v/>
      </c>
      <c r="J719" s="4">
        <f>SUMIFS(df_blueme_sem_parcelamento!E:E,df_blueme_sem_parcelamento!H:H,Conciliacao!A719)*(-1)</f>
        <v/>
      </c>
      <c r="K719" s="4">
        <f>SUMIFS(df_blueme_com_parcelamento!J:J,df_blueme_com_parcelamento!M:M,Conciliacao!A719)*(-1)</f>
        <v/>
      </c>
      <c r="L719" s="4">
        <f>SUMIFS(df_mutuos!N:N,df_mutuos!B:B,Conciliacao!A719)*(-1)</f>
        <v/>
      </c>
      <c r="M719" s="8">
        <f>SUMIFS(df_bloqueios_judiciais!G:G,df_bloqueios_judiciais!D:D,Conciliacao!A719,df_bloqueios_judiciais!G:G,"&lt;0")</f>
        <v/>
      </c>
      <c r="N719" s="10">
        <f>SUMIFS(df_extratos!I:I,df_extratos!F:F,Conciliacao!BE719,df_extratos!G:G,"DEBITO")+SUMIFS(df_extratos!I:I,df_extratos!F:F,Conciliacao!A719,df_extratos!G:G,"DEBITO")+SUMIFS(df_extratos!I:I,df_extratos!F:F,Conciliacao!BF719,df_extratos!G:G,"DEBITO")+SUMIFS(df_extratos!I:I,df_extratos!F:F,Conciliacao!BG719,df_extratos!G:G,"DEBITO")+SUMIFS(df_extratos!I:I,df_extratos!F:F,Conciliacao!BH719,df_extratos!G:G,"DEBITO")</f>
        <v/>
      </c>
      <c r="O719" s="11">
        <f>N719-SUM(J719:M719)</f>
        <v/>
      </c>
      <c r="P719" s="25">
        <f>SUMIFS(df_ajustes_conciliaco!D:D,df_ajustes_conciliaco!C:C,Conciliacao!A719)</f>
        <v/>
      </c>
      <c r="Q719" s="22">
        <f>O719+I719-P719</f>
        <v/>
      </c>
    </row>
    <row r="720">
      <c r="A720" s="5">
        <f>A719+1</f>
        <v/>
      </c>
      <c r="B720" s="3">
        <f>-SUMIFS(df_extrato_zig!G:G,df_extrato_zig!E:E,Conciliacao!A720,df_extrato_zig!D:D,"Saque")-SUMIFS(df_extrato_zig!G:G,df_extrato_zig!E:E,Conciliacao!A720,df_extrato_zig!D:D,"Antecipação")</f>
        <v/>
      </c>
      <c r="C720" s="3">
        <f>SUMIFS(df_extrato_zig!E:E,df_extrato_zig!L:L,Conciliacao!A720,df_extrato_zig!F:F,"DINHEIRO")</f>
        <v/>
      </c>
      <c r="D720" s="3">
        <f>SUMIFS(view_parc_agrup!H:H,view_parc_agrup!G:G,Conciliacao!A720)</f>
        <v/>
      </c>
      <c r="E720" s="3">
        <f>SUMIFS(df_eventos!F:F,df_eventos!H:H,Conciliacao!A720)</f>
        <v/>
      </c>
      <c r="F720" s="3">
        <f>SUMIFS(df_mutuos!M:M,df_mutuos!B:B,Conciliacao!A720)</f>
        <v/>
      </c>
      <c r="G720" s="6">
        <f>SUMIFS(df_bloqueios_judiciais!G:G,df_bloqueios_judiciais!D:D,Conciliacao!A720,df_bloqueios_judiciais!G:G,"&gt;0")</f>
        <v/>
      </c>
      <c r="H720" s="7">
        <f>SUMIFS(df_extratos!I:I,df_extratos!F:F,Conciliacao!BE720,df_extratos!G:G,"CREDITO")+SUMIFS(df_extratos!I:I,df_extratos!F:F,Conciliacao!A720,df_extratos!G:G,"CREDITO")+SUMIFS(df_extratos!I:I,df_extratos!F:F,Conciliacao!BF720,df_extratos!G:G,"CREDITO")+SUMIFS(df_extratos!I:I,df_extratos!F:F,Conciliacao!BG720,df_extratos!G:G,"CREDITO")+SUMIFS(df_extratos!I:I,df_extratos!F:F,Conciliacao!BH720,df_extratos!G:G,"CREDITO")</f>
        <v/>
      </c>
      <c r="I720" s="9">
        <f>H720-SUM(B720:G720)</f>
        <v/>
      </c>
      <c r="J720" s="4">
        <f>SUMIFS(df_blueme_sem_parcelamento!E:E,df_blueme_sem_parcelamento!H:H,Conciliacao!A720)*(-1)</f>
        <v/>
      </c>
      <c r="K720" s="4">
        <f>SUMIFS(df_blueme_com_parcelamento!J:J,df_blueme_com_parcelamento!M:M,Conciliacao!A720)*(-1)</f>
        <v/>
      </c>
      <c r="L720" s="4">
        <f>SUMIFS(df_mutuos!N:N,df_mutuos!B:B,Conciliacao!A720)*(-1)</f>
        <v/>
      </c>
      <c r="M720" s="8">
        <f>SUMIFS(df_bloqueios_judiciais!G:G,df_bloqueios_judiciais!D:D,Conciliacao!A720,df_bloqueios_judiciais!G:G,"&lt;0")</f>
        <v/>
      </c>
      <c r="N720" s="10">
        <f>SUMIFS(df_extratos!I:I,df_extratos!F:F,Conciliacao!BE720,df_extratos!G:G,"DEBITO")+SUMIFS(df_extratos!I:I,df_extratos!F:F,Conciliacao!A720,df_extratos!G:G,"DEBITO")+SUMIFS(df_extratos!I:I,df_extratos!F:F,Conciliacao!BF720,df_extratos!G:G,"DEBITO")+SUMIFS(df_extratos!I:I,df_extratos!F:F,Conciliacao!BG720,df_extratos!G:G,"DEBITO")+SUMIFS(df_extratos!I:I,df_extratos!F:F,Conciliacao!BH720,df_extratos!G:G,"DEBITO")</f>
        <v/>
      </c>
      <c r="O720" s="11">
        <f>N720-SUM(J720:M720)</f>
        <v/>
      </c>
      <c r="P720" s="25">
        <f>SUMIFS(df_ajustes_conciliaco!D:D,df_ajustes_conciliaco!C:C,Conciliacao!A720)</f>
        <v/>
      </c>
      <c r="Q720" s="22">
        <f>O720+I720-P720</f>
        <v/>
      </c>
    </row>
    <row r="721">
      <c r="A721" s="5">
        <f>A720+1</f>
        <v/>
      </c>
      <c r="B721" s="3">
        <f>-SUMIFS(df_extrato_zig!G:G,df_extrato_zig!E:E,Conciliacao!A721,df_extrato_zig!D:D,"Saque")-SUMIFS(df_extrato_zig!G:G,df_extrato_zig!E:E,Conciliacao!A721,df_extrato_zig!D:D,"Antecipação")</f>
        <v/>
      </c>
      <c r="C721" s="3">
        <f>SUMIFS(df_extrato_zig!E:E,df_extrato_zig!L:L,Conciliacao!A721,df_extrato_zig!F:F,"DINHEIRO")</f>
        <v/>
      </c>
      <c r="D721" s="3">
        <f>SUMIFS(view_parc_agrup!H:H,view_parc_agrup!G:G,Conciliacao!A721)</f>
        <v/>
      </c>
      <c r="E721" s="3">
        <f>SUMIFS(df_eventos!F:F,df_eventos!H:H,Conciliacao!A721)</f>
        <v/>
      </c>
      <c r="F721" s="3">
        <f>SUMIFS(df_mutuos!M:M,df_mutuos!B:B,Conciliacao!A721)</f>
        <v/>
      </c>
      <c r="G721" s="6">
        <f>SUMIFS(df_bloqueios_judiciais!G:G,df_bloqueios_judiciais!D:D,Conciliacao!A721,df_bloqueios_judiciais!G:G,"&gt;0")</f>
        <v/>
      </c>
      <c r="H721" s="7">
        <f>SUMIFS(df_extratos!I:I,df_extratos!F:F,Conciliacao!BE721,df_extratos!G:G,"CREDITO")+SUMIFS(df_extratos!I:I,df_extratos!F:F,Conciliacao!A721,df_extratos!G:G,"CREDITO")+SUMIFS(df_extratos!I:I,df_extratos!F:F,Conciliacao!BF721,df_extratos!G:G,"CREDITO")+SUMIFS(df_extratos!I:I,df_extratos!F:F,Conciliacao!BG721,df_extratos!G:G,"CREDITO")+SUMIFS(df_extratos!I:I,df_extratos!F:F,Conciliacao!BH721,df_extratos!G:G,"CREDITO")</f>
        <v/>
      </c>
      <c r="I721" s="9">
        <f>H721-SUM(B721:G721)</f>
        <v/>
      </c>
      <c r="J721" s="4">
        <f>SUMIFS(df_blueme_sem_parcelamento!E:E,df_blueme_sem_parcelamento!H:H,Conciliacao!A721)*(-1)</f>
        <v/>
      </c>
      <c r="K721" s="4">
        <f>SUMIFS(df_blueme_com_parcelamento!J:J,df_blueme_com_parcelamento!M:M,Conciliacao!A721)*(-1)</f>
        <v/>
      </c>
      <c r="L721" s="4">
        <f>SUMIFS(df_mutuos!N:N,df_mutuos!B:B,Conciliacao!A721)*(-1)</f>
        <v/>
      </c>
      <c r="M721" s="8">
        <f>SUMIFS(df_bloqueios_judiciais!G:G,df_bloqueios_judiciais!D:D,Conciliacao!A721,df_bloqueios_judiciais!G:G,"&lt;0")</f>
        <v/>
      </c>
      <c r="N721" s="10">
        <f>SUMIFS(df_extratos!I:I,df_extratos!F:F,Conciliacao!BE721,df_extratos!G:G,"DEBITO")+SUMIFS(df_extratos!I:I,df_extratos!F:F,Conciliacao!A721,df_extratos!G:G,"DEBITO")+SUMIFS(df_extratos!I:I,df_extratos!F:F,Conciliacao!BF721,df_extratos!G:G,"DEBITO")+SUMIFS(df_extratos!I:I,df_extratos!F:F,Conciliacao!BG721,df_extratos!G:G,"DEBITO")+SUMIFS(df_extratos!I:I,df_extratos!F:F,Conciliacao!BH721,df_extratos!G:G,"DEBITO")</f>
        <v/>
      </c>
      <c r="O721" s="11">
        <f>N721-SUM(J721:M721)</f>
        <v/>
      </c>
      <c r="P721" s="25">
        <f>SUMIFS(df_ajustes_conciliaco!D:D,df_ajustes_conciliaco!C:C,Conciliacao!A721)</f>
        <v/>
      </c>
      <c r="Q721" s="22">
        <f>O721+I721-P721</f>
        <v/>
      </c>
    </row>
    <row r="722">
      <c r="A722" s="5">
        <f>A721+1</f>
        <v/>
      </c>
      <c r="B722" s="3">
        <f>-SUMIFS(df_extrato_zig!G:G,df_extrato_zig!E:E,Conciliacao!A722,df_extrato_zig!D:D,"Saque")-SUMIFS(df_extrato_zig!G:G,df_extrato_zig!E:E,Conciliacao!A722,df_extrato_zig!D:D,"Antecipação")</f>
        <v/>
      </c>
      <c r="C722" s="3">
        <f>SUMIFS(df_extrato_zig!E:E,df_extrato_zig!L:L,Conciliacao!A722,df_extrato_zig!F:F,"DINHEIRO")</f>
        <v/>
      </c>
      <c r="D722" s="3">
        <f>SUMIFS(view_parc_agrup!H:H,view_parc_agrup!G:G,Conciliacao!A722)</f>
        <v/>
      </c>
      <c r="E722" s="3">
        <f>SUMIFS(df_eventos!F:F,df_eventos!H:H,Conciliacao!A722)</f>
        <v/>
      </c>
      <c r="F722" s="3">
        <f>SUMIFS(df_mutuos!M:M,df_mutuos!B:B,Conciliacao!A722)</f>
        <v/>
      </c>
      <c r="G722" s="6">
        <f>SUMIFS(df_bloqueios_judiciais!G:G,df_bloqueios_judiciais!D:D,Conciliacao!A722,df_bloqueios_judiciais!G:G,"&gt;0")</f>
        <v/>
      </c>
      <c r="H722" s="7">
        <f>SUMIFS(df_extratos!I:I,df_extratos!F:F,Conciliacao!BE722,df_extratos!G:G,"CREDITO")+SUMIFS(df_extratos!I:I,df_extratos!F:F,Conciliacao!A722,df_extratos!G:G,"CREDITO")+SUMIFS(df_extratos!I:I,df_extratos!F:F,Conciliacao!BF722,df_extratos!G:G,"CREDITO")+SUMIFS(df_extratos!I:I,df_extratos!F:F,Conciliacao!BG722,df_extratos!G:G,"CREDITO")+SUMIFS(df_extratos!I:I,df_extratos!F:F,Conciliacao!BH722,df_extratos!G:G,"CREDITO")</f>
        <v/>
      </c>
      <c r="I722" s="9">
        <f>H722-SUM(B722:G722)</f>
        <v/>
      </c>
      <c r="J722" s="4">
        <f>SUMIFS(df_blueme_sem_parcelamento!E:E,df_blueme_sem_parcelamento!H:H,Conciliacao!A722)*(-1)</f>
        <v/>
      </c>
      <c r="K722" s="4">
        <f>SUMIFS(df_blueme_com_parcelamento!J:J,df_blueme_com_parcelamento!M:M,Conciliacao!A722)*(-1)</f>
        <v/>
      </c>
      <c r="L722" s="4">
        <f>SUMIFS(df_mutuos!N:N,df_mutuos!B:B,Conciliacao!A722)*(-1)</f>
        <v/>
      </c>
      <c r="M722" s="8">
        <f>SUMIFS(df_bloqueios_judiciais!G:G,df_bloqueios_judiciais!D:D,Conciliacao!A722,df_bloqueios_judiciais!G:G,"&lt;0")</f>
        <v/>
      </c>
      <c r="N722" s="10">
        <f>SUMIFS(df_extratos!I:I,df_extratos!F:F,Conciliacao!BE722,df_extratos!G:G,"DEBITO")+SUMIFS(df_extratos!I:I,df_extratos!F:F,Conciliacao!A722,df_extratos!G:G,"DEBITO")+SUMIFS(df_extratos!I:I,df_extratos!F:F,Conciliacao!BF722,df_extratos!G:G,"DEBITO")+SUMIFS(df_extratos!I:I,df_extratos!F:F,Conciliacao!BG722,df_extratos!G:G,"DEBITO")+SUMIFS(df_extratos!I:I,df_extratos!F:F,Conciliacao!BH722,df_extratos!G:G,"DEBITO")</f>
        <v/>
      </c>
      <c r="O722" s="11">
        <f>N722-SUM(J722:M722)</f>
        <v/>
      </c>
      <c r="P722" s="25">
        <f>SUMIFS(df_ajustes_conciliaco!D:D,df_ajustes_conciliaco!C:C,Conciliacao!A722)</f>
        <v/>
      </c>
      <c r="Q722" s="22">
        <f>O722+I722-P722</f>
        <v/>
      </c>
    </row>
    <row r="723">
      <c r="A723" s="5">
        <f>A722+1</f>
        <v/>
      </c>
      <c r="B723" s="3">
        <f>-SUMIFS(df_extrato_zig!G:G,df_extrato_zig!E:E,Conciliacao!A723,df_extrato_zig!D:D,"Saque")-SUMIFS(df_extrato_zig!G:G,df_extrato_zig!E:E,Conciliacao!A723,df_extrato_zig!D:D,"Antecipação")</f>
        <v/>
      </c>
      <c r="C723" s="3">
        <f>SUMIFS(df_extrato_zig!E:E,df_extrato_zig!L:L,Conciliacao!A723,df_extrato_zig!F:F,"DINHEIRO")</f>
        <v/>
      </c>
      <c r="D723" s="3">
        <f>SUMIFS(view_parc_agrup!H:H,view_parc_agrup!G:G,Conciliacao!A723)</f>
        <v/>
      </c>
      <c r="E723" s="3">
        <f>SUMIFS(df_eventos!F:F,df_eventos!H:H,Conciliacao!A723)</f>
        <v/>
      </c>
      <c r="F723" s="3">
        <f>SUMIFS(df_mutuos!M:M,df_mutuos!B:B,Conciliacao!A723)</f>
        <v/>
      </c>
      <c r="G723" s="6">
        <f>SUMIFS(df_bloqueios_judiciais!G:G,df_bloqueios_judiciais!D:D,Conciliacao!A723,df_bloqueios_judiciais!G:G,"&gt;0")</f>
        <v/>
      </c>
      <c r="H723" s="7">
        <f>SUMIFS(df_extratos!I:I,df_extratos!F:F,Conciliacao!BE723,df_extratos!G:G,"CREDITO")+SUMIFS(df_extratos!I:I,df_extratos!F:F,Conciliacao!A723,df_extratos!G:G,"CREDITO")+SUMIFS(df_extratos!I:I,df_extratos!F:F,Conciliacao!BF723,df_extratos!G:G,"CREDITO")+SUMIFS(df_extratos!I:I,df_extratos!F:F,Conciliacao!BG723,df_extratos!G:G,"CREDITO")+SUMIFS(df_extratos!I:I,df_extratos!F:F,Conciliacao!BH723,df_extratos!G:G,"CREDITO")</f>
        <v/>
      </c>
      <c r="I723" s="9">
        <f>H723-SUM(B723:G723)</f>
        <v/>
      </c>
      <c r="J723" s="4">
        <f>SUMIFS(df_blueme_sem_parcelamento!E:E,df_blueme_sem_parcelamento!H:H,Conciliacao!A723)*(-1)</f>
        <v/>
      </c>
      <c r="K723" s="4">
        <f>SUMIFS(df_blueme_com_parcelamento!J:J,df_blueme_com_parcelamento!M:M,Conciliacao!A723)*(-1)</f>
        <v/>
      </c>
      <c r="L723" s="4">
        <f>SUMIFS(df_mutuos!N:N,df_mutuos!B:B,Conciliacao!A723)*(-1)</f>
        <v/>
      </c>
      <c r="M723" s="8">
        <f>SUMIFS(df_bloqueios_judiciais!G:G,df_bloqueios_judiciais!D:D,Conciliacao!A723,df_bloqueios_judiciais!G:G,"&lt;0")</f>
        <v/>
      </c>
      <c r="N723" s="10">
        <f>SUMIFS(df_extratos!I:I,df_extratos!F:F,Conciliacao!BE723,df_extratos!G:G,"DEBITO")+SUMIFS(df_extratos!I:I,df_extratos!F:F,Conciliacao!A723,df_extratos!G:G,"DEBITO")+SUMIFS(df_extratos!I:I,df_extratos!F:F,Conciliacao!BF723,df_extratos!G:G,"DEBITO")+SUMIFS(df_extratos!I:I,df_extratos!F:F,Conciliacao!BG723,df_extratos!G:G,"DEBITO")+SUMIFS(df_extratos!I:I,df_extratos!F:F,Conciliacao!BH723,df_extratos!G:G,"DEBITO")</f>
        <v/>
      </c>
      <c r="O723" s="11">
        <f>N723-SUM(J723:M723)</f>
        <v/>
      </c>
      <c r="P723" s="25">
        <f>SUMIFS(df_ajustes_conciliaco!D:D,df_ajustes_conciliaco!C:C,Conciliacao!A723)</f>
        <v/>
      </c>
      <c r="Q723" s="22">
        <f>O723+I723-P723</f>
        <v/>
      </c>
    </row>
    <row r="724">
      <c r="A724" s="5">
        <f>A723+1</f>
        <v/>
      </c>
      <c r="B724" s="3">
        <f>-SUMIFS(df_extrato_zig!G:G,df_extrato_zig!E:E,Conciliacao!A724,df_extrato_zig!D:D,"Saque")-SUMIFS(df_extrato_zig!G:G,df_extrato_zig!E:E,Conciliacao!A724,df_extrato_zig!D:D,"Antecipação")</f>
        <v/>
      </c>
      <c r="C724" s="3">
        <f>SUMIFS(df_extrato_zig!E:E,df_extrato_zig!L:L,Conciliacao!A724,df_extrato_zig!F:F,"DINHEIRO")</f>
        <v/>
      </c>
      <c r="D724" s="3">
        <f>SUMIFS(view_parc_agrup!H:H,view_parc_agrup!G:G,Conciliacao!A724)</f>
        <v/>
      </c>
      <c r="E724" s="3">
        <f>SUMIFS(df_eventos!F:F,df_eventos!H:H,Conciliacao!A724)</f>
        <v/>
      </c>
      <c r="F724" s="3">
        <f>SUMIFS(df_mutuos!M:M,df_mutuos!B:B,Conciliacao!A724)</f>
        <v/>
      </c>
      <c r="G724" s="6">
        <f>SUMIFS(df_bloqueios_judiciais!G:G,df_bloqueios_judiciais!D:D,Conciliacao!A724,df_bloqueios_judiciais!G:G,"&gt;0")</f>
        <v/>
      </c>
      <c r="H724" s="7">
        <f>SUMIFS(df_extratos!I:I,df_extratos!F:F,Conciliacao!BE724,df_extratos!G:G,"CREDITO")+SUMIFS(df_extratos!I:I,df_extratos!F:F,Conciliacao!A724,df_extratos!G:G,"CREDITO")+SUMIFS(df_extratos!I:I,df_extratos!F:F,Conciliacao!BF724,df_extratos!G:G,"CREDITO")+SUMIFS(df_extratos!I:I,df_extratos!F:F,Conciliacao!BG724,df_extratos!G:G,"CREDITO")+SUMIFS(df_extratos!I:I,df_extratos!F:F,Conciliacao!BH724,df_extratos!G:G,"CREDITO")</f>
        <v/>
      </c>
      <c r="I724" s="9">
        <f>H724-SUM(B724:G724)</f>
        <v/>
      </c>
      <c r="J724" s="4">
        <f>SUMIFS(df_blueme_sem_parcelamento!E:E,df_blueme_sem_parcelamento!H:H,Conciliacao!A724)*(-1)</f>
        <v/>
      </c>
      <c r="K724" s="4">
        <f>SUMIFS(df_blueme_com_parcelamento!J:J,df_blueme_com_parcelamento!M:M,Conciliacao!A724)*(-1)</f>
        <v/>
      </c>
      <c r="L724" s="4">
        <f>SUMIFS(df_mutuos!N:N,df_mutuos!B:B,Conciliacao!A724)*(-1)</f>
        <v/>
      </c>
      <c r="M724" s="8">
        <f>SUMIFS(df_bloqueios_judiciais!G:G,df_bloqueios_judiciais!D:D,Conciliacao!A724,df_bloqueios_judiciais!G:G,"&lt;0")</f>
        <v/>
      </c>
      <c r="N724" s="10">
        <f>SUMIFS(df_extratos!I:I,df_extratos!F:F,Conciliacao!BE724,df_extratos!G:G,"DEBITO")+SUMIFS(df_extratos!I:I,df_extratos!F:F,Conciliacao!A724,df_extratos!G:G,"DEBITO")+SUMIFS(df_extratos!I:I,df_extratos!F:F,Conciliacao!BF724,df_extratos!G:G,"DEBITO")+SUMIFS(df_extratos!I:I,df_extratos!F:F,Conciliacao!BG724,df_extratos!G:G,"DEBITO")+SUMIFS(df_extratos!I:I,df_extratos!F:F,Conciliacao!BH724,df_extratos!G:G,"DEBITO")</f>
        <v/>
      </c>
      <c r="O724" s="11">
        <f>N724-SUM(J724:M724)</f>
        <v/>
      </c>
      <c r="P724" s="25">
        <f>SUMIFS(df_ajustes_conciliaco!D:D,df_ajustes_conciliaco!C:C,Conciliacao!A724)</f>
        <v/>
      </c>
      <c r="Q724" s="22">
        <f>O724+I724-P724</f>
        <v/>
      </c>
    </row>
    <row r="725">
      <c r="A725" s="5">
        <f>A724+1</f>
        <v/>
      </c>
      <c r="B725" s="3">
        <f>-SUMIFS(df_extrato_zig!G:G,df_extrato_zig!E:E,Conciliacao!A725,df_extrato_zig!D:D,"Saque")-SUMIFS(df_extrato_zig!G:G,df_extrato_zig!E:E,Conciliacao!A725,df_extrato_zig!D:D,"Antecipação")</f>
        <v/>
      </c>
      <c r="C725" s="3">
        <f>SUMIFS(df_extrato_zig!E:E,df_extrato_zig!L:L,Conciliacao!A725,df_extrato_zig!F:F,"DINHEIRO")</f>
        <v/>
      </c>
      <c r="D725" s="3">
        <f>SUMIFS(view_parc_agrup!H:H,view_parc_agrup!G:G,Conciliacao!A725)</f>
        <v/>
      </c>
      <c r="E725" s="3">
        <f>SUMIFS(df_eventos!F:F,df_eventos!H:H,Conciliacao!A725)</f>
        <v/>
      </c>
      <c r="F725" s="3">
        <f>SUMIFS(df_mutuos!M:M,df_mutuos!B:B,Conciliacao!A725)</f>
        <v/>
      </c>
      <c r="G725" s="6">
        <f>SUMIFS(df_bloqueios_judiciais!G:G,df_bloqueios_judiciais!D:D,Conciliacao!A725,df_bloqueios_judiciais!G:G,"&gt;0")</f>
        <v/>
      </c>
      <c r="H725" s="7">
        <f>SUMIFS(df_extratos!I:I,df_extratos!F:F,Conciliacao!BE725,df_extratos!G:G,"CREDITO")+SUMIFS(df_extratos!I:I,df_extratos!F:F,Conciliacao!A725,df_extratos!G:G,"CREDITO")+SUMIFS(df_extratos!I:I,df_extratos!F:F,Conciliacao!BF725,df_extratos!G:G,"CREDITO")+SUMIFS(df_extratos!I:I,df_extratos!F:F,Conciliacao!BG725,df_extratos!G:G,"CREDITO")+SUMIFS(df_extratos!I:I,df_extratos!F:F,Conciliacao!BH725,df_extratos!G:G,"CREDITO")</f>
        <v/>
      </c>
      <c r="I725" s="9">
        <f>H725-SUM(B725:G725)</f>
        <v/>
      </c>
      <c r="J725" s="4">
        <f>SUMIFS(df_blueme_sem_parcelamento!E:E,df_blueme_sem_parcelamento!H:H,Conciliacao!A725)*(-1)</f>
        <v/>
      </c>
      <c r="K725" s="4">
        <f>SUMIFS(df_blueme_com_parcelamento!J:J,df_blueme_com_parcelamento!M:M,Conciliacao!A725)*(-1)</f>
        <v/>
      </c>
      <c r="L725" s="4">
        <f>SUMIFS(df_mutuos!N:N,df_mutuos!B:B,Conciliacao!A725)*(-1)</f>
        <v/>
      </c>
      <c r="M725" s="8">
        <f>SUMIFS(df_bloqueios_judiciais!G:G,df_bloqueios_judiciais!D:D,Conciliacao!A725,df_bloqueios_judiciais!G:G,"&lt;0")</f>
        <v/>
      </c>
      <c r="N725" s="10">
        <f>SUMIFS(df_extratos!I:I,df_extratos!F:F,Conciliacao!BE725,df_extratos!G:G,"DEBITO")+SUMIFS(df_extratos!I:I,df_extratos!F:F,Conciliacao!A725,df_extratos!G:G,"DEBITO")+SUMIFS(df_extratos!I:I,df_extratos!F:F,Conciliacao!BF725,df_extratos!G:G,"DEBITO")+SUMIFS(df_extratos!I:I,df_extratos!F:F,Conciliacao!BG725,df_extratos!G:G,"DEBITO")+SUMIFS(df_extratos!I:I,df_extratos!F:F,Conciliacao!BH725,df_extratos!G:G,"DEBITO")</f>
        <v/>
      </c>
      <c r="O725" s="11">
        <f>N725-SUM(J725:M725)</f>
        <v/>
      </c>
      <c r="P725" s="25">
        <f>SUMIFS(df_ajustes_conciliaco!D:D,df_ajustes_conciliaco!C:C,Conciliacao!A725)</f>
        <v/>
      </c>
      <c r="Q725" s="22">
        <f>O725+I725-P725</f>
        <v/>
      </c>
    </row>
    <row r="726">
      <c r="A726" s="5">
        <f>A725+1</f>
        <v/>
      </c>
      <c r="B726" s="3">
        <f>-SUMIFS(df_extrato_zig!G:G,df_extrato_zig!E:E,Conciliacao!A726,df_extrato_zig!D:D,"Saque")-SUMIFS(df_extrato_zig!G:G,df_extrato_zig!E:E,Conciliacao!A726,df_extrato_zig!D:D,"Antecipação")</f>
        <v/>
      </c>
      <c r="C726" s="3">
        <f>SUMIFS(df_extrato_zig!E:E,df_extrato_zig!L:L,Conciliacao!A726,df_extrato_zig!F:F,"DINHEIRO")</f>
        <v/>
      </c>
      <c r="D726" s="3">
        <f>SUMIFS(view_parc_agrup!H:H,view_parc_agrup!G:G,Conciliacao!A726)</f>
        <v/>
      </c>
      <c r="E726" s="3">
        <f>SUMIFS(df_eventos!F:F,df_eventos!H:H,Conciliacao!A726)</f>
        <v/>
      </c>
      <c r="F726" s="3">
        <f>SUMIFS(df_mutuos!M:M,df_mutuos!B:B,Conciliacao!A726)</f>
        <v/>
      </c>
      <c r="G726" s="6">
        <f>SUMIFS(df_bloqueios_judiciais!G:G,df_bloqueios_judiciais!D:D,Conciliacao!A726,df_bloqueios_judiciais!G:G,"&gt;0")</f>
        <v/>
      </c>
      <c r="H726" s="7">
        <f>SUMIFS(df_extratos!I:I,df_extratos!F:F,Conciliacao!BE726,df_extratos!G:G,"CREDITO")+SUMIFS(df_extratos!I:I,df_extratos!F:F,Conciliacao!A726,df_extratos!G:G,"CREDITO")+SUMIFS(df_extratos!I:I,df_extratos!F:F,Conciliacao!BF726,df_extratos!G:G,"CREDITO")+SUMIFS(df_extratos!I:I,df_extratos!F:F,Conciliacao!BG726,df_extratos!G:G,"CREDITO")+SUMIFS(df_extratos!I:I,df_extratos!F:F,Conciliacao!BH726,df_extratos!G:G,"CREDITO")</f>
        <v/>
      </c>
      <c r="I726" s="9">
        <f>H726-SUM(B726:G726)</f>
        <v/>
      </c>
      <c r="J726" s="4">
        <f>SUMIFS(df_blueme_sem_parcelamento!E:E,df_blueme_sem_parcelamento!H:H,Conciliacao!A726)*(-1)</f>
        <v/>
      </c>
      <c r="K726" s="4">
        <f>SUMIFS(df_blueme_com_parcelamento!J:J,df_blueme_com_parcelamento!M:M,Conciliacao!A726)*(-1)</f>
        <v/>
      </c>
      <c r="L726" s="4">
        <f>SUMIFS(df_mutuos!N:N,df_mutuos!B:B,Conciliacao!A726)*(-1)</f>
        <v/>
      </c>
      <c r="M726" s="8">
        <f>SUMIFS(df_bloqueios_judiciais!G:G,df_bloqueios_judiciais!D:D,Conciliacao!A726,df_bloqueios_judiciais!G:G,"&lt;0")</f>
        <v/>
      </c>
      <c r="N726" s="10">
        <f>SUMIFS(df_extratos!I:I,df_extratos!F:F,Conciliacao!BE726,df_extratos!G:G,"DEBITO")+SUMIFS(df_extratos!I:I,df_extratos!F:F,Conciliacao!A726,df_extratos!G:G,"DEBITO")+SUMIFS(df_extratos!I:I,df_extratos!F:F,Conciliacao!BF726,df_extratos!G:G,"DEBITO")+SUMIFS(df_extratos!I:I,df_extratos!F:F,Conciliacao!BG726,df_extratos!G:G,"DEBITO")+SUMIFS(df_extratos!I:I,df_extratos!F:F,Conciliacao!BH726,df_extratos!G:G,"DEBITO")</f>
        <v/>
      </c>
      <c r="O726" s="11">
        <f>N726-SUM(J726:M726)</f>
        <v/>
      </c>
      <c r="P726" s="25">
        <f>SUMIFS(df_ajustes_conciliaco!D:D,df_ajustes_conciliaco!C:C,Conciliacao!A726)</f>
        <v/>
      </c>
      <c r="Q726" s="22">
        <f>O726+I726-P726</f>
        <v/>
      </c>
    </row>
    <row r="727">
      <c r="A727" s="5">
        <f>A726+1</f>
        <v/>
      </c>
      <c r="B727" s="3">
        <f>-SUMIFS(df_extrato_zig!G:G,df_extrato_zig!E:E,Conciliacao!A727,df_extrato_zig!D:D,"Saque")-SUMIFS(df_extrato_zig!G:G,df_extrato_zig!E:E,Conciliacao!A727,df_extrato_zig!D:D,"Antecipação")</f>
        <v/>
      </c>
      <c r="C727" s="3">
        <f>SUMIFS(df_extrato_zig!E:E,df_extrato_zig!L:L,Conciliacao!A727,df_extrato_zig!F:F,"DINHEIRO")</f>
        <v/>
      </c>
      <c r="D727" s="3">
        <f>SUMIFS(view_parc_agrup!H:H,view_parc_agrup!G:G,Conciliacao!A727)</f>
        <v/>
      </c>
      <c r="E727" s="3">
        <f>SUMIFS(df_eventos!F:F,df_eventos!H:H,Conciliacao!A727)</f>
        <v/>
      </c>
      <c r="F727" s="3">
        <f>SUMIFS(df_mutuos!M:M,df_mutuos!B:B,Conciliacao!A727)</f>
        <v/>
      </c>
      <c r="G727" s="6">
        <f>SUMIFS(df_bloqueios_judiciais!G:G,df_bloqueios_judiciais!D:D,Conciliacao!A727,df_bloqueios_judiciais!G:G,"&gt;0")</f>
        <v/>
      </c>
      <c r="H727" s="7">
        <f>SUMIFS(df_extratos!I:I,df_extratos!F:F,Conciliacao!BE727,df_extratos!G:G,"CREDITO")+SUMIFS(df_extratos!I:I,df_extratos!F:F,Conciliacao!A727,df_extratos!G:G,"CREDITO")+SUMIFS(df_extratos!I:I,df_extratos!F:F,Conciliacao!BF727,df_extratos!G:G,"CREDITO")+SUMIFS(df_extratos!I:I,df_extratos!F:F,Conciliacao!BG727,df_extratos!G:G,"CREDITO")+SUMIFS(df_extratos!I:I,df_extratos!F:F,Conciliacao!BH727,df_extratos!G:G,"CREDITO")</f>
        <v/>
      </c>
      <c r="I727" s="9">
        <f>H727-SUM(B727:G727)</f>
        <v/>
      </c>
      <c r="J727" s="4">
        <f>SUMIFS(df_blueme_sem_parcelamento!E:E,df_blueme_sem_parcelamento!H:H,Conciliacao!A727)*(-1)</f>
        <v/>
      </c>
      <c r="K727" s="4">
        <f>SUMIFS(df_blueme_com_parcelamento!J:J,df_blueme_com_parcelamento!M:M,Conciliacao!A727)*(-1)</f>
        <v/>
      </c>
      <c r="L727" s="4">
        <f>SUMIFS(df_mutuos!N:N,df_mutuos!B:B,Conciliacao!A727)*(-1)</f>
        <v/>
      </c>
      <c r="M727" s="8">
        <f>SUMIFS(df_bloqueios_judiciais!G:G,df_bloqueios_judiciais!D:D,Conciliacao!A727,df_bloqueios_judiciais!G:G,"&lt;0")</f>
        <v/>
      </c>
      <c r="N727" s="10">
        <f>SUMIFS(df_extratos!I:I,df_extratos!F:F,Conciliacao!BE727,df_extratos!G:G,"DEBITO")+SUMIFS(df_extratos!I:I,df_extratos!F:F,Conciliacao!A727,df_extratos!G:G,"DEBITO")+SUMIFS(df_extratos!I:I,df_extratos!F:F,Conciliacao!BF727,df_extratos!G:G,"DEBITO")+SUMIFS(df_extratos!I:I,df_extratos!F:F,Conciliacao!BG727,df_extratos!G:G,"DEBITO")+SUMIFS(df_extratos!I:I,df_extratos!F:F,Conciliacao!BH727,df_extratos!G:G,"DEBITO")</f>
        <v/>
      </c>
      <c r="O727" s="11">
        <f>N727-SUM(J727:M727)</f>
        <v/>
      </c>
      <c r="P727" s="25">
        <f>SUMIFS(df_ajustes_conciliaco!D:D,df_ajustes_conciliaco!C:C,Conciliacao!A727)</f>
        <v/>
      </c>
      <c r="Q727" s="22">
        <f>O727+I727-P727</f>
        <v/>
      </c>
    </row>
    <row r="728">
      <c r="A728" s="5">
        <f>A727+1</f>
        <v/>
      </c>
      <c r="B728" s="3">
        <f>-SUMIFS(df_extrato_zig!G:G,df_extrato_zig!E:E,Conciliacao!A728,df_extrato_zig!D:D,"Saque")-SUMIFS(df_extrato_zig!G:G,df_extrato_zig!E:E,Conciliacao!A728,df_extrato_zig!D:D,"Antecipação")</f>
        <v/>
      </c>
      <c r="C728" s="3">
        <f>SUMIFS(df_extrato_zig!E:E,df_extrato_zig!L:L,Conciliacao!A728,df_extrato_zig!F:F,"DINHEIRO")</f>
        <v/>
      </c>
      <c r="D728" s="3">
        <f>SUMIFS(view_parc_agrup!H:H,view_parc_agrup!G:G,Conciliacao!A728)</f>
        <v/>
      </c>
      <c r="E728" s="3">
        <f>SUMIFS(df_eventos!F:F,df_eventos!H:H,Conciliacao!A728)</f>
        <v/>
      </c>
      <c r="F728" s="3">
        <f>SUMIFS(df_mutuos!M:M,df_mutuos!B:B,Conciliacao!A728)</f>
        <v/>
      </c>
      <c r="G728" s="6">
        <f>SUMIFS(df_bloqueios_judiciais!G:G,df_bloqueios_judiciais!D:D,Conciliacao!A728,df_bloqueios_judiciais!G:G,"&gt;0")</f>
        <v/>
      </c>
      <c r="H728" s="7">
        <f>SUMIFS(df_extratos!I:I,df_extratos!F:F,Conciliacao!BE728,df_extratos!G:G,"CREDITO")+SUMIFS(df_extratos!I:I,df_extratos!F:F,Conciliacao!A728,df_extratos!G:G,"CREDITO")+SUMIFS(df_extratos!I:I,df_extratos!F:F,Conciliacao!BF728,df_extratos!G:G,"CREDITO")+SUMIFS(df_extratos!I:I,df_extratos!F:F,Conciliacao!BG728,df_extratos!G:G,"CREDITO")+SUMIFS(df_extratos!I:I,df_extratos!F:F,Conciliacao!BH728,df_extratos!G:G,"CREDITO")</f>
        <v/>
      </c>
      <c r="I728" s="9">
        <f>H728-SUM(B728:G728)</f>
        <v/>
      </c>
      <c r="J728" s="4">
        <f>SUMIFS(df_blueme_sem_parcelamento!E:E,df_blueme_sem_parcelamento!H:H,Conciliacao!A728)*(-1)</f>
        <v/>
      </c>
      <c r="K728" s="4">
        <f>SUMIFS(df_blueme_com_parcelamento!J:J,df_blueme_com_parcelamento!M:M,Conciliacao!A728)*(-1)</f>
        <v/>
      </c>
      <c r="L728" s="4">
        <f>SUMIFS(df_mutuos!N:N,df_mutuos!B:B,Conciliacao!A728)*(-1)</f>
        <v/>
      </c>
      <c r="M728" s="8">
        <f>SUMIFS(df_bloqueios_judiciais!G:G,df_bloqueios_judiciais!D:D,Conciliacao!A728,df_bloqueios_judiciais!G:G,"&lt;0")</f>
        <v/>
      </c>
      <c r="N728" s="10">
        <f>SUMIFS(df_extratos!I:I,df_extratos!F:F,Conciliacao!BE728,df_extratos!G:G,"DEBITO")+SUMIFS(df_extratos!I:I,df_extratos!F:F,Conciliacao!A728,df_extratos!G:G,"DEBITO")+SUMIFS(df_extratos!I:I,df_extratos!F:F,Conciliacao!BF728,df_extratos!G:G,"DEBITO")+SUMIFS(df_extratos!I:I,df_extratos!F:F,Conciliacao!BG728,df_extratos!G:G,"DEBITO")+SUMIFS(df_extratos!I:I,df_extratos!F:F,Conciliacao!BH728,df_extratos!G:G,"DEBITO")</f>
        <v/>
      </c>
      <c r="O728" s="11">
        <f>N728-SUM(J728:M728)</f>
        <v/>
      </c>
      <c r="P728" s="25">
        <f>SUMIFS(df_ajustes_conciliaco!D:D,df_ajustes_conciliaco!C:C,Conciliacao!A728)</f>
        <v/>
      </c>
      <c r="Q728" s="22">
        <f>O728+I728-P728</f>
        <v/>
      </c>
    </row>
    <row r="729">
      <c r="A729" s="5">
        <f>A728+1</f>
        <v/>
      </c>
      <c r="B729" s="3">
        <f>-SUMIFS(df_extrato_zig!G:G,df_extrato_zig!E:E,Conciliacao!A729,df_extrato_zig!D:D,"Saque")-SUMIFS(df_extrato_zig!G:G,df_extrato_zig!E:E,Conciliacao!A729,df_extrato_zig!D:D,"Antecipação")</f>
        <v/>
      </c>
      <c r="C729" s="3">
        <f>SUMIFS(df_extrato_zig!E:E,df_extrato_zig!L:L,Conciliacao!A729,df_extrato_zig!F:F,"DINHEIRO")</f>
        <v/>
      </c>
      <c r="D729" s="3">
        <f>SUMIFS(view_parc_agrup!H:H,view_parc_agrup!G:G,Conciliacao!A729)</f>
        <v/>
      </c>
      <c r="E729" s="3">
        <f>SUMIFS(df_eventos!F:F,df_eventos!H:H,Conciliacao!A729)</f>
        <v/>
      </c>
      <c r="F729" s="3">
        <f>SUMIFS(df_mutuos!M:M,df_mutuos!B:B,Conciliacao!A729)</f>
        <v/>
      </c>
      <c r="G729" s="6">
        <f>SUMIFS(df_bloqueios_judiciais!G:G,df_bloqueios_judiciais!D:D,Conciliacao!A729,df_bloqueios_judiciais!G:G,"&gt;0")</f>
        <v/>
      </c>
      <c r="H729" s="7">
        <f>SUMIFS(df_extratos!I:I,df_extratos!F:F,Conciliacao!BE729,df_extratos!G:G,"CREDITO")+SUMIFS(df_extratos!I:I,df_extratos!F:F,Conciliacao!A729,df_extratos!G:G,"CREDITO")+SUMIFS(df_extratos!I:I,df_extratos!F:F,Conciliacao!BF729,df_extratos!G:G,"CREDITO")+SUMIFS(df_extratos!I:I,df_extratos!F:F,Conciliacao!BG729,df_extratos!G:G,"CREDITO")+SUMIFS(df_extratos!I:I,df_extratos!F:F,Conciliacao!BH729,df_extratos!G:G,"CREDITO")</f>
        <v/>
      </c>
      <c r="I729" s="9">
        <f>H729-SUM(B729:G729)</f>
        <v/>
      </c>
      <c r="J729" s="4">
        <f>SUMIFS(df_blueme_sem_parcelamento!E:E,df_blueme_sem_parcelamento!H:H,Conciliacao!A729)*(-1)</f>
        <v/>
      </c>
      <c r="K729" s="4">
        <f>SUMIFS(df_blueme_com_parcelamento!J:J,df_blueme_com_parcelamento!M:M,Conciliacao!A729)*(-1)</f>
        <v/>
      </c>
      <c r="L729" s="4">
        <f>SUMIFS(df_mutuos!N:N,df_mutuos!B:B,Conciliacao!A729)*(-1)</f>
        <v/>
      </c>
      <c r="M729" s="8">
        <f>SUMIFS(df_bloqueios_judiciais!G:G,df_bloqueios_judiciais!D:D,Conciliacao!A729,df_bloqueios_judiciais!G:G,"&lt;0")</f>
        <v/>
      </c>
      <c r="N729" s="10">
        <f>SUMIFS(df_extratos!I:I,df_extratos!F:F,Conciliacao!BE729,df_extratos!G:G,"DEBITO")+SUMIFS(df_extratos!I:I,df_extratos!F:F,Conciliacao!A729,df_extratos!G:G,"DEBITO")+SUMIFS(df_extratos!I:I,df_extratos!F:F,Conciliacao!BF729,df_extratos!G:G,"DEBITO")+SUMIFS(df_extratos!I:I,df_extratos!F:F,Conciliacao!BG729,df_extratos!G:G,"DEBITO")+SUMIFS(df_extratos!I:I,df_extratos!F:F,Conciliacao!BH729,df_extratos!G:G,"DEBITO")</f>
        <v/>
      </c>
      <c r="O729" s="11">
        <f>N729-SUM(J729:M729)</f>
        <v/>
      </c>
      <c r="P729" s="25">
        <f>SUMIFS(df_ajustes_conciliaco!D:D,df_ajustes_conciliaco!C:C,Conciliacao!A729)</f>
        <v/>
      </c>
      <c r="Q729" s="22">
        <f>O729+I729-P729</f>
        <v/>
      </c>
    </row>
    <row r="730">
      <c r="A730" s="5">
        <f>A729+1</f>
        <v/>
      </c>
      <c r="B730" s="3">
        <f>-SUMIFS(df_extrato_zig!G:G,df_extrato_zig!E:E,Conciliacao!A730,df_extrato_zig!D:D,"Saque")-SUMIFS(df_extrato_zig!G:G,df_extrato_zig!E:E,Conciliacao!A730,df_extrato_zig!D:D,"Antecipação")</f>
        <v/>
      </c>
      <c r="C730" s="3">
        <f>SUMIFS(df_extrato_zig!E:E,df_extrato_zig!L:L,Conciliacao!A730,df_extrato_zig!F:F,"DINHEIRO")</f>
        <v/>
      </c>
      <c r="D730" s="3">
        <f>SUMIFS(view_parc_agrup!H:H,view_parc_agrup!G:G,Conciliacao!A730)</f>
        <v/>
      </c>
      <c r="E730" s="3">
        <f>SUMIFS(df_eventos!F:F,df_eventos!H:H,Conciliacao!A730)</f>
        <v/>
      </c>
      <c r="F730" s="3">
        <f>SUMIFS(df_mutuos!M:M,df_mutuos!B:B,Conciliacao!A730)</f>
        <v/>
      </c>
      <c r="G730" s="6">
        <f>SUMIFS(df_bloqueios_judiciais!G:G,df_bloqueios_judiciais!D:D,Conciliacao!A730,df_bloqueios_judiciais!G:G,"&gt;0")</f>
        <v/>
      </c>
      <c r="H730" s="7">
        <f>SUMIFS(df_extratos!I:I,df_extratos!F:F,Conciliacao!BE730,df_extratos!G:G,"CREDITO")+SUMIFS(df_extratos!I:I,df_extratos!F:F,Conciliacao!A730,df_extratos!G:G,"CREDITO")+SUMIFS(df_extratos!I:I,df_extratos!F:F,Conciliacao!BF730,df_extratos!G:G,"CREDITO")+SUMIFS(df_extratos!I:I,df_extratos!F:F,Conciliacao!BG730,df_extratos!G:G,"CREDITO")+SUMIFS(df_extratos!I:I,df_extratos!F:F,Conciliacao!BH730,df_extratos!G:G,"CREDITO")</f>
        <v/>
      </c>
      <c r="I730" s="9">
        <f>H730-SUM(B730:G730)</f>
        <v/>
      </c>
      <c r="J730" s="4">
        <f>SUMIFS(df_blueme_sem_parcelamento!E:E,df_blueme_sem_parcelamento!H:H,Conciliacao!A730)*(-1)</f>
        <v/>
      </c>
      <c r="K730" s="4">
        <f>SUMIFS(df_blueme_com_parcelamento!J:J,df_blueme_com_parcelamento!M:M,Conciliacao!A730)*(-1)</f>
        <v/>
      </c>
      <c r="L730" s="4">
        <f>SUMIFS(df_mutuos!N:N,df_mutuos!B:B,Conciliacao!A730)*(-1)</f>
        <v/>
      </c>
      <c r="M730" s="8">
        <f>SUMIFS(df_bloqueios_judiciais!G:G,df_bloqueios_judiciais!D:D,Conciliacao!A730,df_bloqueios_judiciais!G:G,"&lt;0")</f>
        <v/>
      </c>
      <c r="N730" s="10">
        <f>SUMIFS(df_extratos!I:I,df_extratos!F:F,Conciliacao!BE730,df_extratos!G:G,"DEBITO")+SUMIFS(df_extratos!I:I,df_extratos!F:F,Conciliacao!A730,df_extratos!G:G,"DEBITO")+SUMIFS(df_extratos!I:I,df_extratos!F:F,Conciliacao!BF730,df_extratos!G:G,"DEBITO")+SUMIFS(df_extratos!I:I,df_extratos!F:F,Conciliacao!BG730,df_extratos!G:G,"DEBITO")+SUMIFS(df_extratos!I:I,df_extratos!F:F,Conciliacao!BH730,df_extratos!G:G,"DEBITO")</f>
        <v/>
      </c>
      <c r="O730" s="11">
        <f>N730-SUM(J730:M730)</f>
        <v/>
      </c>
      <c r="P730" s="25">
        <f>SUMIFS(df_ajustes_conciliaco!D:D,df_ajustes_conciliaco!C:C,Conciliacao!A730)</f>
        <v/>
      </c>
      <c r="Q730" s="22">
        <f>O730+I730-P730</f>
        <v/>
      </c>
    </row>
    <row r="731">
      <c r="A731" s="5">
        <f>A730+1</f>
        <v/>
      </c>
      <c r="B731" s="3">
        <f>-SUMIFS(df_extrato_zig!G:G,df_extrato_zig!E:E,Conciliacao!A731,df_extrato_zig!D:D,"Saque")-SUMIFS(df_extrato_zig!G:G,df_extrato_zig!E:E,Conciliacao!A731,df_extrato_zig!D:D,"Antecipação")</f>
        <v/>
      </c>
      <c r="C731" s="3">
        <f>SUMIFS(df_extrato_zig!E:E,df_extrato_zig!L:L,Conciliacao!A731,df_extrato_zig!F:F,"DINHEIRO")</f>
        <v/>
      </c>
      <c r="D731" s="3">
        <f>SUMIFS(view_parc_agrup!H:H,view_parc_agrup!G:G,Conciliacao!A731)</f>
        <v/>
      </c>
      <c r="E731" s="3">
        <f>SUMIFS(df_eventos!F:F,df_eventos!H:H,Conciliacao!A731)</f>
        <v/>
      </c>
      <c r="F731" s="3">
        <f>SUMIFS(df_mutuos!M:M,df_mutuos!B:B,Conciliacao!A731)</f>
        <v/>
      </c>
      <c r="G731" s="6">
        <f>SUMIFS(df_bloqueios_judiciais!G:G,df_bloqueios_judiciais!D:D,Conciliacao!A731,df_bloqueios_judiciais!G:G,"&gt;0")</f>
        <v/>
      </c>
      <c r="H731" s="7">
        <f>SUMIFS(df_extratos!I:I,df_extratos!F:F,Conciliacao!BE731,df_extratos!G:G,"CREDITO")+SUMIFS(df_extratos!I:I,df_extratos!F:F,Conciliacao!A731,df_extratos!G:G,"CREDITO")+SUMIFS(df_extratos!I:I,df_extratos!F:F,Conciliacao!BF731,df_extratos!G:G,"CREDITO")+SUMIFS(df_extratos!I:I,df_extratos!F:F,Conciliacao!BG731,df_extratos!G:G,"CREDITO")+SUMIFS(df_extratos!I:I,df_extratos!F:F,Conciliacao!BH731,df_extratos!G:G,"CREDITO")</f>
        <v/>
      </c>
      <c r="I731" s="9">
        <f>H731-SUM(B731:G731)</f>
        <v/>
      </c>
      <c r="J731" s="4">
        <f>SUMIFS(df_blueme_sem_parcelamento!E:E,df_blueme_sem_parcelamento!H:H,Conciliacao!A731)*(-1)</f>
        <v/>
      </c>
      <c r="K731" s="4">
        <f>SUMIFS(df_blueme_com_parcelamento!J:J,df_blueme_com_parcelamento!M:M,Conciliacao!A731)*(-1)</f>
        <v/>
      </c>
      <c r="L731" s="4">
        <f>SUMIFS(df_mutuos!N:N,df_mutuos!B:B,Conciliacao!A731)*(-1)</f>
        <v/>
      </c>
      <c r="M731" s="8">
        <f>SUMIFS(df_bloqueios_judiciais!G:G,df_bloqueios_judiciais!D:D,Conciliacao!A731,df_bloqueios_judiciais!G:G,"&lt;0")</f>
        <v/>
      </c>
      <c r="N731" s="10">
        <f>SUMIFS(df_extratos!I:I,df_extratos!F:F,Conciliacao!BE731,df_extratos!G:G,"DEBITO")+SUMIFS(df_extratos!I:I,df_extratos!F:F,Conciliacao!A731,df_extratos!G:G,"DEBITO")+SUMIFS(df_extratos!I:I,df_extratos!F:F,Conciliacao!BF731,df_extratos!G:G,"DEBITO")+SUMIFS(df_extratos!I:I,df_extratos!F:F,Conciliacao!BG731,df_extratos!G:G,"DEBITO")+SUMIFS(df_extratos!I:I,df_extratos!F:F,Conciliacao!BH731,df_extratos!G:G,"DEBITO")</f>
        <v/>
      </c>
      <c r="O731" s="11">
        <f>N731-SUM(J731:M731)</f>
        <v/>
      </c>
      <c r="P731" s="25">
        <f>SUMIFS(df_ajustes_conciliaco!D:D,df_ajustes_conciliaco!C:C,Conciliacao!A731)</f>
        <v/>
      </c>
      <c r="Q731" s="22">
        <f>O731+I731-P731</f>
        <v/>
      </c>
    </row>
  </sheetData>
  <autoFilter ref="A1:Q1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ID_Extrato</t>
        </is>
      </c>
      <c r="B1" t="inlineStr">
        <is>
          <t>ID_Casa</t>
        </is>
      </c>
      <c r="C1" t="inlineStr">
        <is>
          <t>Casa</t>
        </is>
      </c>
      <c r="D1" t="inlineStr">
        <is>
          <t>Descricao</t>
        </is>
      </c>
      <c r="E1" t="inlineStr">
        <is>
          <t>Data_Liquidacao</t>
        </is>
      </c>
      <c r="F1" t="inlineStr">
        <is>
          <t>Data_Transacao</t>
        </is>
      </c>
      <c r="G1" t="inlineStr">
        <is>
          <t>Valor</t>
        </is>
      </c>
    </row>
    <row r="2">
      <c r="A2" t="n">
        <v>48740</v>
      </c>
      <c r="B2" t="n">
        <v>128</v>
      </c>
      <c r="C2" t="inlineStr">
        <is>
          <t>Love Cabaret</t>
        </is>
      </c>
      <c r="D2" t="inlineStr">
        <is>
          <t>Saldo Inicial</t>
        </is>
      </c>
      <c r="E2" s="27" t="n">
        <v>46022</v>
      </c>
      <c r="F2" s="27" t="n">
        <v>46022</v>
      </c>
      <c r="G2" t="n">
        <v>-1288290.78</v>
      </c>
    </row>
    <row r="3">
      <c r="A3" t="n">
        <v>48715</v>
      </c>
      <c r="B3" t="n">
        <v>128</v>
      </c>
      <c r="C3" t="inlineStr">
        <is>
          <t>Love Cabaret</t>
        </is>
      </c>
      <c r="D3" t="inlineStr">
        <is>
          <t>Saque</t>
        </is>
      </c>
      <c r="E3" s="27" t="n">
        <v>46021</v>
      </c>
      <c r="F3" s="27" t="n">
        <v>46021</v>
      </c>
      <c r="G3" t="n">
        <v>-11875.22</v>
      </c>
    </row>
    <row r="4">
      <c r="A4" t="n">
        <v>48714</v>
      </c>
      <c r="B4" t="n">
        <v>128</v>
      </c>
      <c r="C4" t="inlineStr">
        <is>
          <t>Love Cabaret</t>
        </is>
      </c>
      <c r="D4" t="inlineStr">
        <is>
          <t>Saldo Inicial</t>
        </is>
      </c>
      <c r="E4" s="27" t="n">
        <v>46021</v>
      </c>
      <c r="F4" s="27" t="n">
        <v>46021</v>
      </c>
      <c r="G4" t="n">
        <v>-1276415.56</v>
      </c>
    </row>
    <row r="5">
      <c r="A5" t="n">
        <v>48681</v>
      </c>
      <c r="B5" t="n">
        <v>128</v>
      </c>
      <c r="C5" t="inlineStr">
        <is>
          <t>Love Cabaret</t>
        </is>
      </c>
      <c r="D5" t="inlineStr">
        <is>
          <t>Saque</t>
        </is>
      </c>
      <c r="E5" s="27" t="n">
        <v>46020</v>
      </c>
      <c r="F5" s="27" t="n">
        <v>46020</v>
      </c>
      <c r="G5" t="n">
        <v>-22298.81</v>
      </c>
    </row>
    <row r="6">
      <c r="A6" t="n">
        <v>48680</v>
      </c>
      <c r="B6" t="n">
        <v>128</v>
      </c>
      <c r="C6" t="inlineStr">
        <is>
          <t>Love Cabaret</t>
        </is>
      </c>
      <c r="D6" t="inlineStr">
        <is>
          <t>Saldo Inicial</t>
        </is>
      </c>
      <c r="E6" s="27" t="n">
        <v>46020</v>
      </c>
      <c r="F6" s="27" t="n">
        <v>46020</v>
      </c>
      <c r="G6" t="n">
        <v>-1254116.75</v>
      </c>
    </row>
    <row r="7">
      <c r="A7" t="n">
        <v>48650</v>
      </c>
      <c r="B7" t="n">
        <v>128</v>
      </c>
      <c r="C7" t="inlineStr">
        <is>
          <t>Love Cabaret</t>
        </is>
      </c>
      <c r="D7" t="inlineStr">
        <is>
          <t>Saldo Inicial</t>
        </is>
      </c>
      <c r="E7" s="27" t="n">
        <v>46019</v>
      </c>
      <c r="F7" s="27" t="n">
        <v>46019</v>
      </c>
      <c r="G7" t="n">
        <v>-1254116.75</v>
      </c>
    </row>
    <row r="8">
      <c r="A8" t="n">
        <v>48629</v>
      </c>
      <c r="B8" t="n">
        <v>128</v>
      </c>
      <c r="C8" t="inlineStr">
        <is>
          <t>Love Cabaret</t>
        </is>
      </c>
      <c r="D8" t="inlineStr">
        <is>
          <t>Saldo Inicial</t>
        </is>
      </c>
      <c r="E8" s="27" t="n">
        <v>46018</v>
      </c>
      <c r="F8" s="27" t="n">
        <v>46018</v>
      </c>
      <c r="G8" t="n">
        <v>-1254116.75</v>
      </c>
    </row>
    <row r="9">
      <c r="A9" t="n">
        <v>48604</v>
      </c>
      <c r="B9" t="n">
        <v>128</v>
      </c>
      <c r="C9" t="inlineStr">
        <is>
          <t>Love Cabaret</t>
        </is>
      </c>
      <c r="D9" t="inlineStr">
        <is>
          <t>Saldo Inicial</t>
        </is>
      </c>
      <c r="E9" s="27" t="n">
        <v>46017</v>
      </c>
      <c r="F9" s="27" t="n">
        <v>46017</v>
      </c>
      <c r="G9" t="n">
        <v>-1254116.75</v>
      </c>
    </row>
    <row r="10">
      <c r="A10" t="n">
        <v>48578</v>
      </c>
      <c r="B10" t="n">
        <v>128</v>
      </c>
      <c r="C10" t="inlineStr">
        <is>
          <t>Love Cabaret</t>
        </is>
      </c>
      <c r="D10" t="inlineStr">
        <is>
          <t>Saldo Inicial</t>
        </is>
      </c>
      <c r="E10" s="27" t="n">
        <v>46016</v>
      </c>
      <c r="F10" s="27" t="n">
        <v>46016</v>
      </c>
      <c r="G10" t="n">
        <v>-1254116.75</v>
      </c>
    </row>
    <row r="11">
      <c r="A11" t="n">
        <v>48553</v>
      </c>
      <c r="B11" t="n">
        <v>128</v>
      </c>
      <c r="C11" t="inlineStr">
        <is>
          <t>Love Cabaret</t>
        </is>
      </c>
      <c r="D11" t="inlineStr">
        <is>
          <t>Saldo Inicial</t>
        </is>
      </c>
      <c r="E11" s="27" t="n">
        <v>46015</v>
      </c>
      <c r="F11" s="27" t="n">
        <v>46015</v>
      </c>
      <c r="G11" t="n">
        <v>-1254116.75</v>
      </c>
    </row>
    <row r="12">
      <c r="A12" t="n">
        <v>48493</v>
      </c>
      <c r="B12" t="n">
        <v>128</v>
      </c>
      <c r="C12" t="inlineStr">
        <is>
          <t>Love Cabaret</t>
        </is>
      </c>
      <c r="D12" t="inlineStr">
        <is>
          <t>Saque</t>
        </is>
      </c>
      <c r="E12" s="27" t="n">
        <v>46014</v>
      </c>
      <c r="F12" s="27" t="n">
        <v>46014</v>
      </c>
      <c r="G12" t="n">
        <v>-15542.38</v>
      </c>
    </row>
    <row r="13">
      <c r="A13" t="n">
        <v>48492</v>
      </c>
      <c r="B13" t="n">
        <v>128</v>
      </c>
      <c r="C13" t="inlineStr">
        <is>
          <t>Love Cabaret</t>
        </is>
      </c>
      <c r="D13" t="inlineStr">
        <is>
          <t>Saldo Inicial</t>
        </is>
      </c>
      <c r="E13" s="27" t="n">
        <v>46014</v>
      </c>
      <c r="F13" s="27" t="n">
        <v>46014</v>
      </c>
      <c r="G13" t="n">
        <v>-1238574.37</v>
      </c>
    </row>
    <row r="14">
      <c r="A14" t="n">
        <v>48457</v>
      </c>
      <c r="B14" t="n">
        <v>128</v>
      </c>
      <c r="C14" t="inlineStr">
        <is>
          <t>Love Cabaret</t>
        </is>
      </c>
      <c r="D14" t="inlineStr">
        <is>
          <t>Saldo Inicial</t>
        </is>
      </c>
      <c r="E14" s="27" t="n">
        <v>46013</v>
      </c>
      <c r="F14" s="27" t="n">
        <v>46013</v>
      </c>
      <c r="G14" t="n">
        <v>-1181740.32</v>
      </c>
    </row>
    <row r="15">
      <c r="A15" t="n">
        <v>48458</v>
      </c>
      <c r="B15" t="n">
        <v>128</v>
      </c>
      <c r="C15" t="inlineStr">
        <is>
          <t>Love Cabaret</t>
        </is>
      </c>
      <c r="D15" t="inlineStr">
        <is>
          <t>Saque</t>
        </is>
      </c>
      <c r="E15" s="27" t="n">
        <v>46013</v>
      </c>
      <c r="F15" s="27" t="n">
        <v>46013</v>
      </c>
      <c r="G15" t="n">
        <v>-56834.05</v>
      </c>
    </row>
    <row r="16">
      <c r="A16" t="n">
        <v>48426</v>
      </c>
      <c r="B16" t="n">
        <v>128</v>
      </c>
      <c r="C16" t="inlineStr">
        <is>
          <t>Love Cabaret</t>
        </is>
      </c>
      <c r="D16" t="inlineStr">
        <is>
          <t>Saldo Inicial</t>
        </is>
      </c>
      <c r="E16" s="27" t="n">
        <v>46012</v>
      </c>
      <c r="F16" s="27" t="n">
        <v>46012</v>
      </c>
      <c r="G16" t="n">
        <v>-1181740.32</v>
      </c>
    </row>
    <row r="17">
      <c r="A17" t="n">
        <v>48404</v>
      </c>
      <c r="B17" t="n">
        <v>128</v>
      </c>
      <c r="C17" t="inlineStr">
        <is>
          <t>Love Cabaret</t>
        </is>
      </c>
      <c r="D17" t="inlineStr">
        <is>
          <t>Saldo Inicial</t>
        </is>
      </c>
      <c r="E17" s="27" t="n">
        <v>46011</v>
      </c>
      <c r="F17" s="27" t="n">
        <v>46011</v>
      </c>
      <c r="G17" t="n">
        <v>-1181740.32</v>
      </c>
    </row>
    <row r="18">
      <c r="A18" t="n">
        <v>48353</v>
      </c>
      <c r="B18" t="n">
        <v>128</v>
      </c>
      <c r="C18" t="inlineStr">
        <is>
          <t>Love Cabaret</t>
        </is>
      </c>
      <c r="D18" t="inlineStr">
        <is>
          <t>Saldo Inicial</t>
        </is>
      </c>
      <c r="E18" s="27" t="n">
        <v>46009</v>
      </c>
      <c r="F18" s="27" t="n">
        <v>46009</v>
      </c>
      <c r="G18" t="n">
        <v>-1181740.32</v>
      </c>
    </row>
    <row r="19">
      <c r="A19" t="n">
        <v>48323</v>
      </c>
      <c r="B19" t="n">
        <v>128</v>
      </c>
      <c r="C19" t="inlineStr">
        <is>
          <t>Love Cabaret</t>
        </is>
      </c>
      <c r="D19" t="inlineStr">
        <is>
          <t>Saldo Inicial</t>
        </is>
      </c>
      <c r="E19" s="27" t="n">
        <v>46008</v>
      </c>
      <c r="F19" s="27" t="n">
        <v>46008</v>
      </c>
      <c r="G19" t="n">
        <v>-1181740.32</v>
      </c>
    </row>
    <row r="20">
      <c r="A20" t="n">
        <v>48291</v>
      </c>
      <c r="B20" t="n">
        <v>128</v>
      </c>
      <c r="C20" t="inlineStr">
        <is>
          <t>Love Cabaret</t>
        </is>
      </c>
      <c r="D20" t="inlineStr">
        <is>
          <t>Saldo Inicial</t>
        </is>
      </c>
      <c r="E20" s="27" t="n">
        <v>46007</v>
      </c>
      <c r="F20" s="27" t="n">
        <v>46007</v>
      </c>
      <c r="G20" t="n">
        <v>-1163895.54</v>
      </c>
    </row>
    <row r="21">
      <c r="A21" t="n">
        <v>48292</v>
      </c>
      <c r="B21" t="n">
        <v>128</v>
      </c>
      <c r="C21" t="inlineStr">
        <is>
          <t>Love Cabaret</t>
        </is>
      </c>
      <c r="D21" t="inlineStr">
        <is>
          <t>Saque</t>
        </is>
      </c>
      <c r="E21" s="27" t="n">
        <v>46007</v>
      </c>
      <c r="F21" s="27" t="n">
        <v>46007</v>
      </c>
      <c r="G21" t="n">
        <v>-17844.78</v>
      </c>
    </row>
    <row r="22">
      <c r="A22" t="n">
        <v>48256</v>
      </c>
      <c r="B22" t="n">
        <v>128</v>
      </c>
      <c r="C22" t="inlineStr">
        <is>
          <t>Love Cabaret</t>
        </is>
      </c>
      <c r="D22" t="inlineStr">
        <is>
          <t>Saque</t>
        </is>
      </c>
      <c r="E22" s="27" t="n">
        <v>46006</v>
      </c>
      <c r="F22" s="27" t="n">
        <v>46006</v>
      </c>
      <c r="G22" t="n">
        <v>-35348.67</v>
      </c>
    </row>
    <row r="23">
      <c r="A23" t="n">
        <v>48255</v>
      </c>
      <c r="B23" t="n">
        <v>128</v>
      </c>
      <c r="C23" t="inlineStr">
        <is>
          <t>Love Cabaret</t>
        </is>
      </c>
      <c r="D23" t="inlineStr">
        <is>
          <t>Saldo Inicial</t>
        </is>
      </c>
      <c r="E23" s="27" t="n">
        <v>46006</v>
      </c>
      <c r="F23" s="27" t="n">
        <v>46006</v>
      </c>
      <c r="G23" t="n">
        <v>-1128546.87</v>
      </c>
    </row>
    <row r="24">
      <c r="A24" t="n">
        <v>48196</v>
      </c>
      <c r="B24" t="n">
        <v>128</v>
      </c>
      <c r="C24" t="inlineStr">
        <is>
          <t>Love Cabaret</t>
        </is>
      </c>
      <c r="D24" t="inlineStr">
        <is>
          <t>Saldo Inicial</t>
        </is>
      </c>
      <c r="E24" s="27" t="n">
        <v>46005</v>
      </c>
      <c r="F24" s="27" t="n">
        <v>46005</v>
      </c>
      <c r="G24" t="n">
        <v>-1128546.87</v>
      </c>
    </row>
    <row r="25">
      <c r="A25" t="n">
        <v>48174</v>
      </c>
      <c r="B25" t="n">
        <v>128</v>
      </c>
      <c r="C25" t="inlineStr">
        <is>
          <t>Love Cabaret</t>
        </is>
      </c>
      <c r="D25" t="inlineStr">
        <is>
          <t>Saldo Inicial</t>
        </is>
      </c>
      <c r="E25" s="27" t="n">
        <v>46004</v>
      </c>
      <c r="F25" s="27" t="n">
        <v>46004</v>
      </c>
      <c r="G25" t="n">
        <v>-1128546.87</v>
      </c>
    </row>
    <row r="26">
      <c r="A26" t="n">
        <v>48148</v>
      </c>
      <c r="B26" t="n">
        <v>128</v>
      </c>
      <c r="C26" t="inlineStr">
        <is>
          <t>Love Cabaret</t>
        </is>
      </c>
      <c r="D26" t="inlineStr">
        <is>
          <t>Saldo Inicial</t>
        </is>
      </c>
      <c r="E26" s="27" t="n">
        <v>46003</v>
      </c>
      <c r="F26" s="27" t="n">
        <v>46003</v>
      </c>
      <c r="G26" t="n">
        <v>-1128546.87</v>
      </c>
    </row>
    <row r="27">
      <c r="A27" t="n">
        <v>48127</v>
      </c>
      <c r="B27" t="n">
        <v>128</v>
      </c>
      <c r="C27" t="inlineStr">
        <is>
          <t>Love Cabaret</t>
        </is>
      </c>
      <c r="D27" t="inlineStr">
        <is>
          <t>Saldo Inicial</t>
        </is>
      </c>
      <c r="E27" s="27" t="n">
        <v>46002</v>
      </c>
      <c r="F27" s="27" t="n">
        <v>46002</v>
      </c>
      <c r="G27" t="n">
        <v>-1128546.87</v>
      </c>
    </row>
    <row r="28">
      <c r="A28" t="n">
        <v>48097</v>
      </c>
      <c r="B28" t="n">
        <v>128</v>
      </c>
      <c r="C28" t="inlineStr">
        <is>
          <t>Love Cabaret</t>
        </is>
      </c>
      <c r="D28" t="inlineStr">
        <is>
          <t>Saque</t>
        </is>
      </c>
      <c r="E28" s="27" t="n">
        <v>46001</v>
      </c>
      <c r="F28" s="27" t="n">
        <v>46001</v>
      </c>
      <c r="G28" t="n">
        <v>-14077.47</v>
      </c>
    </row>
    <row r="29">
      <c r="A29" t="n">
        <v>48096</v>
      </c>
      <c r="B29" t="n">
        <v>128</v>
      </c>
      <c r="C29" t="inlineStr">
        <is>
          <t>Love Cabaret</t>
        </is>
      </c>
      <c r="D29" t="inlineStr">
        <is>
          <t>Saldo Inicial</t>
        </is>
      </c>
      <c r="E29" s="27" t="n">
        <v>46001</v>
      </c>
      <c r="F29" s="27" t="n">
        <v>46001</v>
      </c>
      <c r="G29" t="n">
        <v>-1114469.4</v>
      </c>
    </row>
    <row r="30">
      <c r="A30" t="n">
        <v>48066</v>
      </c>
      <c r="B30" t="n">
        <v>128</v>
      </c>
      <c r="C30" t="inlineStr">
        <is>
          <t>Love Cabaret</t>
        </is>
      </c>
      <c r="D30" t="inlineStr">
        <is>
          <t>Saldo Inicial</t>
        </is>
      </c>
      <c r="E30" s="27" t="n">
        <v>46000</v>
      </c>
      <c r="F30" s="27" t="n">
        <v>46000</v>
      </c>
      <c r="G30" t="n">
        <v>-1114469.4</v>
      </c>
    </row>
    <row r="31">
      <c r="A31" t="n">
        <v>48032</v>
      </c>
      <c r="B31" t="n">
        <v>128</v>
      </c>
      <c r="C31" t="inlineStr">
        <is>
          <t>Love Cabaret</t>
        </is>
      </c>
      <c r="D31" t="inlineStr">
        <is>
          <t>Saque</t>
        </is>
      </c>
      <c r="E31" s="27" t="n">
        <v>45999</v>
      </c>
      <c r="F31" s="27" t="n">
        <v>45999</v>
      </c>
      <c r="G31" t="n">
        <v>-50554.67</v>
      </c>
    </row>
    <row r="32">
      <c r="A32" t="n">
        <v>48031</v>
      </c>
      <c r="B32" t="n">
        <v>128</v>
      </c>
      <c r="C32" t="inlineStr">
        <is>
          <t>Love Cabaret</t>
        </is>
      </c>
      <c r="D32" t="inlineStr">
        <is>
          <t>Saldo Inicial</t>
        </is>
      </c>
      <c r="E32" s="27" t="n">
        <v>45999</v>
      </c>
      <c r="F32" s="27" t="n">
        <v>45999</v>
      </c>
      <c r="G32" t="n">
        <v>-1063914.73</v>
      </c>
    </row>
    <row r="33">
      <c r="A33" t="n">
        <v>47933</v>
      </c>
      <c r="B33" t="n">
        <v>128</v>
      </c>
      <c r="C33" t="inlineStr">
        <is>
          <t>Love Cabaret</t>
        </is>
      </c>
      <c r="D33" t="inlineStr">
        <is>
          <t>Saldo Inicial</t>
        </is>
      </c>
      <c r="E33" s="27" t="n">
        <v>45998</v>
      </c>
      <c r="F33" s="27" t="n">
        <v>45998</v>
      </c>
      <c r="G33" t="n">
        <v>-1063914.73</v>
      </c>
    </row>
    <row r="34">
      <c r="A34" t="n">
        <v>47911</v>
      </c>
      <c r="B34" t="n">
        <v>128</v>
      </c>
      <c r="C34" t="inlineStr">
        <is>
          <t>Love Cabaret</t>
        </is>
      </c>
      <c r="D34" t="inlineStr">
        <is>
          <t>Saldo Inicial</t>
        </is>
      </c>
      <c r="E34" s="27" t="n">
        <v>45997</v>
      </c>
      <c r="F34" s="27" t="n">
        <v>45997</v>
      </c>
      <c r="G34" t="n">
        <v>-1063914.73</v>
      </c>
    </row>
    <row r="35">
      <c r="A35" t="n">
        <v>47886</v>
      </c>
      <c r="B35" t="n">
        <v>128</v>
      </c>
      <c r="C35" t="inlineStr">
        <is>
          <t>Love Cabaret</t>
        </is>
      </c>
      <c r="D35" t="inlineStr">
        <is>
          <t>Saldo Inicial</t>
        </is>
      </c>
      <c r="E35" s="27" t="n">
        <v>45996</v>
      </c>
      <c r="F35" s="27" t="n">
        <v>45996</v>
      </c>
      <c r="G35" t="n">
        <v>-1063914.73</v>
      </c>
    </row>
    <row r="36">
      <c r="A36" t="n">
        <v>47834</v>
      </c>
      <c r="B36" t="n">
        <v>128</v>
      </c>
      <c r="C36" t="inlineStr">
        <is>
          <t>Love Cabaret</t>
        </is>
      </c>
      <c r="D36" t="inlineStr">
        <is>
          <t>Saldo Inicial</t>
        </is>
      </c>
      <c r="E36" s="27" t="n">
        <v>45995</v>
      </c>
      <c r="F36" s="27" t="n">
        <v>45995</v>
      </c>
      <c r="G36" t="n">
        <v>-1063914.73</v>
      </c>
    </row>
    <row r="37">
      <c r="A37" t="n">
        <v>47805</v>
      </c>
      <c r="B37" t="n">
        <v>128</v>
      </c>
      <c r="C37" t="inlineStr">
        <is>
          <t>Love Cabaret</t>
        </is>
      </c>
      <c r="D37" t="inlineStr">
        <is>
          <t>Saldo Inicial</t>
        </is>
      </c>
      <c r="E37" s="27" t="n">
        <v>45994</v>
      </c>
      <c r="F37" s="27" t="n">
        <v>45994</v>
      </c>
      <c r="G37" t="n">
        <v>-1063914.73</v>
      </c>
    </row>
    <row r="38">
      <c r="A38" t="n">
        <v>47775</v>
      </c>
      <c r="B38" t="n">
        <v>128</v>
      </c>
      <c r="C38" t="inlineStr">
        <is>
          <t>Love Cabaret</t>
        </is>
      </c>
      <c r="D38" t="inlineStr">
        <is>
          <t>Saque</t>
        </is>
      </c>
      <c r="E38" s="27" t="n">
        <v>45993</v>
      </c>
      <c r="F38" s="27" t="n">
        <v>45993</v>
      </c>
      <c r="G38" t="n">
        <v>-30154.98</v>
      </c>
    </row>
    <row r="39">
      <c r="A39" t="n">
        <v>47774</v>
      </c>
      <c r="B39" t="n">
        <v>128</v>
      </c>
      <c r="C39" t="inlineStr">
        <is>
          <t>Love Cabaret</t>
        </is>
      </c>
      <c r="D39" t="inlineStr">
        <is>
          <t>Saldo Inicial</t>
        </is>
      </c>
      <c r="E39" s="27" t="n">
        <v>45993</v>
      </c>
      <c r="F39" s="27" t="n">
        <v>45993</v>
      </c>
      <c r="G39" t="n">
        <v>-1033759.75</v>
      </c>
    </row>
    <row r="40">
      <c r="A40" t="n">
        <v>47738</v>
      </c>
      <c r="B40" t="n">
        <v>128</v>
      </c>
      <c r="C40" t="inlineStr">
        <is>
          <t>Love Cabaret</t>
        </is>
      </c>
      <c r="D40" t="inlineStr">
        <is>
          <t>Saldo Inicial</t>
        </is>
      </c>
      <c r="E40" s="27" t="n">
        <v>45992</v>
      </c>
      <c r="F40" s="27" t="n">
        <v>45992</v>
      </c>
      <c r="G40" t="n">
        <v>-971611.33</v>
      </c>
    </row>
    <row r="41">
      <c r="A41" t="n">
        <v>47739</v>
      </c>
      <c r="B41" t="n">
        <v>128</v>
      </c>
      <c r="C41" t="inlineStr">
        <is>
          <t>Love Cabaret</t>
        </is>
      </c>
      <c r="D41" t="inlineStr">
        <is>
          <t>Saque</t>
        </is>
      </c>
      <c r="E41" s="27" t="n">
        <v>45992</v>
      </c>
      <c r="F41" s="27" t="n">
        <v>45992</v>
      </c>
      <c r="G41" t="n">
        <v>-62148.42</v>
      </c>
    </row>
    <row r="42">
      <c r="A42" t="n">
        <v>47707</v>
      </c>
      <c r="B42" t="n">
        <v>128</v>
      </c>
      <c r="C42" t="inlineStr">
        <is>
          <t>Love Cabaret</t>
        </is>
      </c>
      <c r="D42" t="inlineStr">
        <is>
          <t>Saldo Inicial</t>
        </is>
      </c>
      <c r="E42" s="27" t="n">
        <v>45991</v>
      </c>
      <c r="F42" s="27" t="n">
        <v>45991</v>
      </c>
      <c r="G42" t="n">
        <v>-971611.33</v>
      </c>
    </row>
    <row r="43">
      <c r="A43" t="n">
        <v>47689</v>
      </c>
      <c r="B43" t="n">
        <v>128</v>
      </c>
      <c r="C43" t="inlineStr">
        <is>
          <t>Love Cabaret</t>
        </is>
      </c>
      <c r="D43" t="inlineStr">
        <is>
          <t>Saldo Inicial</t>
        </is>
      </c>
      <c r="E43" s="27" t="n">
        <v>45990</v>
      </c>
      <c r="F43" s="27" t="n">
        <v>45990</v>
      </c>
      <c r="G43" t="n">
        <v>-971611.33</v>
      </c>
    </row>
    <row r="44">
      <c r="A44" t="n">
        <v>47664</v>
      </c>
      <c r="B44" t="n">
        <v>128</v>
      </c>
      <c r="C44" t="inlineStr">
        <is>
          <t>Love Cabaret</t>
        </is>
      </c>
      <c r="D44" t="inlineStr">
        <is>
          <t>Saldo Inicial</t>
        </is>
      </c>
      <c r="E44" s="27" t="n">
        <v>45989</v>
      </c>
      <c r="F44" s="27" t="n">
        <v>45989</v>
      </c>
      <c r="G44" t="n">
        <v>-971611.33</v>
      </c>
    </row>
    <row r="45">
      <c r="A45" t="n">
        <v>47635</v>
      </c>
      <c r="B45" t="n">
        <v>128</v>
      </c>
      <c r="C45" t="inlineStr">
        <is>
          <t>Love Cabaret</t>
        </is>
      </c>
      <c r="D45" t="inlineStr">
        <is>
          <t>Saldo Inicial</t>
        </is>
      </c>
      <c r="E45" s="27" t="n">
        <v>45988</v>
      </c>
      <c r="F45" s="27" t="n">
        <v>45988</v>
      </c>
      <c r="G45" t="n">
        <v>-971611.33</v>
      </c>
    </row>
    <row r="46">
      <c r="A46" t="n">
        <v>47604</v>
      </c>
      <c r="B46" t="n">
        <v>128</v>
      </c>
      <c r="C46" t="inlineStr">
        <is>
          <t>Love Cabaret</t>
        </is>
      </c>
      <c r="D46" t="inlineStr">
        <is>
          <t>Saldo Inicial</t>
        </is>
      </c>
      <c r="E46" s="27" t="n">
        <v>45987</v>
      </c>
      <c r="F46" s="27" t="n">
        <v>45987</v>
      </c>
      <c r="G46" t="n">
        <v>-971611.33</v>
      </c>
    </row>
    <row r="47">
      <c r="A47" t="n">
        <v>47573</v>
      </c>
      <c r="B47" t="n">
        <v>128</v>
      </c>
      <c r="C47" t="inlineStr">
        <is>
          <t>Love Cabaret</t>
        </is>
      </c>
      <c r="D47" t="inlineStr">
        <is>
          <t>Saque</t>
        </is>
      </c>
      <c r="E47" s="27" t="n">
        <v>45986</v>
      </c>
      <c r="F47" s="27" t="n">
        <v>45986</v>
      </c>
      <c r="G47" t="n">
        <v>-62314.03</v>
      </c>
    </row>
    <row r="48">
      <c r="A48" t="n">
        <v>47572</v>
      </c>
      <c r="B48" t="n">
        <v>128</v>
      </c>
      <c r="C48" t="inlineStr">
        <is>
          <t>Love Cabaret</t>
        </is>
      </c>
      <c r="D48" t="inlineStr">
        <is>
          <t>Saldo Inicial</t>
        </is>
      </c>
      <c r="E48" s="27" t="n">
        <v>45986</v>
      </c>
      <c r="F48" s="27" t="n">
        <v>45986</v>
      </c>
      <c r="G48" t="n">
        <v>-909297.3</v>
      </c>
    </row>
    <row r="49">
      <c r="A49" t="n">
        <v>47539</v>
      </c>
      <c r="B49" t="n">
        <v>128</v>
      </c>
      <c r="C49" t="inlineStr">
        <is>
          <t>Love Cabaret</t>
        </is>
      </c>
      <c r="D49" t="inlineStr">
        <is>
          <t>Saldo Inicial</t>
        </is>
      </c>
      <c r="E49" s="27" t="n">
        <v>45985</v>
      </c>
      <c r="F49" s="27" t="n">
        <v>45985</v>
      </c>
      <c r="G49" t="n">
        <v>-909297.3</v>
      </c>
    </row>
    <row r="50">
      <c r="A50" t="n">
        <v>47510</v>
      </c>
      <c r="B50" t="n">
        <v>128</v>
      </c>
      <c r="C50" t="inlineStr">
        <is>
          <t>Love Cabaret</t>
        </is>
      </c>
      <c r="D50" t="inlineStr">
        <is>
          <t>Saldo Inicial</t>
        </is>
      </c>
      <c r="E50" s="27" t="n">
        <v>45984</v>
      </c>
      <c r="F50" s="27" t="n">
        <v>45984</v>
      </c>
      <c r="G50" t="n">
        <v>-909297.3</v>
      </c>
    </row>
    <row r="51">
      <c r="A51" t="n">
        <v>47490</v>
      </c>
      <c r="B51" t="n">
        <v>128</v>
      </c>
      <c r="C51" t="inlineStr">
        <is>
          <t>Love Cabaret</t>
        </is>
      </c>
      <c r="D51" t="inlineStr">
        <is>
          <t>Saldo Inicial</t>
        </is>
      </c>
      <c r="E51" s="27" t="n">
        <v>45983</v>
      </c>
      <c r="F51" s="27" t="n">
        <v>45983</v>
      </c>
      <c r="G51" t="n">
        <v>-909297.3</v>
      </c>
    </row>
    <row r="52">
      <c r="A52" t="n">
        <v>47466</v>
      </c>
      <c r="B52" t="n">
        <v>128</v>
      </c>
      <c r="C52" t="inlineStr">
        <is>
          <t>Love Cabaret</t>
        </is>
      </c>
      <c r="D52" t="inlineStr">
        <is>
          <t>Saldo Inicial</t>
        </is>
      </c>
      <c r="E52" s="27" t="n">
        <v>45982</v>
      </c>
      <c r="F52" s="27" t="n">
        <v>45982</v>
      </c>
      <c r="G52" t="n">
        <v>-909297.3</v>
      </c>
    </row>
    <row r="53">
      <c r="A53" t="n">
        <v>47417</v>
      </c>
      <c r="B53" t="n">
        <v>128</v>
      </c>
      <c r="C53" t="inlineStr">
        <is>
          <t>Love Cabaret</t>
        </is>
      </c>
      <c r="D53" t="inlineStr">
        <is>
          <t>Saldo Inicial</t>
        </is>
      </c>
      <c r="E53" s="27" t="n">
        <v>45980</v>
      </c>
      <c r="F53" s="27" t="n">
        <v>45980</v>
      </c>
      <c r="G53" t="n">
        <v>-877808.79</v>
      </c>
    </row>
    <row r="54">
      <c r="A54" t="n">
        <v>47418</v>
      </c>
      <c r="B54" t="n">
        <v>128</v>
      </c>
      <c r="C54" t="inlineStr">
        <is>
          <t>Love Cabaret</t>
        </is>
      </c>
      <c r="D54" t="inlineStr">
        <is>
          <t>Saque</t>
        </is>
      </c>
      <c r="E54" s="27" t="n">
        <v>45980</v>
      </c>
      <c r="F54" s="27" t="n">
        <v>45980</v>
      </c>
      <c r="G54" t="n">
        <v>-31488.51</v>
      </c>
    </row>
    <row r="55">
      <c r="A55" t="n">
        <v>47385</v>
      </c>
      <c r="B55" t="n">
        <v>128</v>
      </c>
      <c r="C55" t="inlineStr">
        <is>
          <t>Love Cabaret</t>
        </is>
      </c>
      <c r="D55" t="inlineStr">
        <is>
          <t>Saldo Inicial</t>
        </is>
      </c>
      <c r="E55" s="27" t="n">
        <v>45979</v>
      </c>
      <c r="F55" s="27" t="n">
        <v>45979</v>
      </c>
      <c r="G55" t="n">
        <v>-877808.79</v>
      </c>
    </row>
    <row r="56">
      <c r="A56" t="n">
        <v>47353</v>
      </c>
      <c r="B56" t="n">
        <v>128</v>
      </c>
      <c r="C56" t="inlineStr">
        <is>
          <t>Love Cabaret</t>
        </is>
      </c>
      <c r="D56" t="inlineStr">
        <is>
          <t>Saldo Inicial</t>
        </is>
      </c>
      <c r="E56" s="27" t="n">
        <v>45978</v>
      </c>
      <c r="F56" s="27" t="n">
        <v>45978</v>
      </c>
      <c r="G56" t="n">
        <v>-850526.75</v>
      </c>
    </row>
    <row r="57">
      <c r="A57" t="n">
        <v>47354</v>
      </c>
      <c r="B57" t="n">
        <v>128</v>
      </c>
      <c r="C57" t="inlineStr">
        <is>
          <t>Love Cabaret</t>
        </is>
      </c>
      <c r="D57" t="inlineStr">
        <is>
          <t>Saque</t>
        </is>
      </c>
      <c r="E57" s="27" t="n">
        <v>45978</v>
      </c>
      <c r="F57" s="27" t="n">
        <v>45978</v>
      </c>
      <c r="G57" t="n">
        <v>-27282.04</v>
      </c>
    </row>
    <row r="58">
      <c r="A58" t="n">
        <v>47335</v>
      </c>
      <c r="B58" t="n">
        <v>128</v>
      </c>
      <c r="C58" t="inlineStr">
        <is>
          <t>Love Cabaret</t>
        </is>
      </c>
      <c r="D58" t="inlineStr">
        <is>
          <t>Saldo Inicial</t>
        </is>
      </c>
      <c r="E58" s="27" t="n">
        <v>45977</v>
      </c>
      <c r="F58" s="27" t="n">
        <v>45977</v>
      </c>
      <c r="G58" t="n">
        <v>-850526.75</v>
      </c>
    </row>
    <row r="59">
      <c r="A59" t="n">
        <v>47315</v>
      </c>
      <c r="B59" t="n">
        <v>128</v>
      </c>
      <c r="C59" t="inlineStr">
        <is>
          <t>Love Cabaret</t>
        </is>
      </c>
      <c r="D59" t="inlineStr">
        <is>
          <t>Saldo Inicial</t>
        </is>
      </c>
      <c r="E59" s="27" t="n">
        <v>45976</v>
      </c>
      <c r="F59" s="27" t="n">
        <v>45976</v>
      </c>
      <c r="G59" t="n">
        <v>-850526.75</v>
      </c>
    </row>
    <row r="60">
      <c r="A60" t="n">
        <v>47256</v>
      </c>
      <c r="B60" t="n">
        <v>128</v>
      </c>
      <c r="C60" t="inlineStr">
        <is>
          <t>Love Cabaret</t>
        </is>
      </c>
      <c r="D60" t="inlineStr">
        <is>
          <t>Saldo Inicial</t>
        </is>
      </c>
      <c r="E60" s="27" t="n">
        <v>45973</v>
      </c>
      <c r="F60" s="27" t="n">
        <v>45973</v>
      </c>
      <c r="G60" t="n">
        <v>-850526.75</v>
      </c>
    </row>
    <row r="61">
      <c r="A61" t="n">
        <v>47227</v>
      </c>
      <c r="B61" t="n">
        <v>128</v>
      </c>
      <c r="C61" t="inlineStr">
        <is>
          <t>Love Cabaret</t>
        </is>
      </c>
      <c r="D61" t="inlineStr">
        <is>
          <t>Saque</t>
        </is>
      </c>
      <c r="E61" s="27" t="n">
        <v>45972</v>
      </c>
      <c r="F61" s="27" t="n">
        <v>45972</v>
      </c>
      <c r="G61" t="n">
        <v>-20538.15</v>
      </c>
    </row>
    <row r="62">
      <c r="A62" t="n">
        <v>47226</v>
      </c>
      <c r="B62" t="n">
        <v>128</v>
      </c>
      <c r="C62" t="inlineStr">
        <is>
          <t>Love Cabaret</t>
        </is>
      </c>
      <c r="D62" t="inlineStr">
        <is>
          <t>Saldo Inicial</t>
        </is>
      </c>
      <c r="E62" s="27" t="n">
        <v>45972</v>
      </c>
      <c r="F62" s="27" t="n">
        <v>45972</v>
      </c>
      <c r="G62" t="n">
        <v>-829988.6</v>
      </c>
    </row>
    <row r="63">
      <c r="A63" t="n">
        <v>47193</v>
      </c>
      <c r="B63" t="n">
        <v>128</v>
      </c>
      <c r="C63" t="inlineStr">
        <is>
          <t>Love Cabaret</t>
        </is>
      </c>
      <c r="D63" t="inlineStr">
        <is>
          <t>Saque</t>
        </is>
      </c>
      <c r="E63" s="27" t="n">
        <v>45971</v>
      </c>
      <c r="F63" s="27" t="n">
        <v>45971</v>
      </c>
      <c r="G63" t="n">
        <v>-41903.41</v>
      </c>
    </row>
    <row r="64">
      <c r="A64" t="n">
        <v>47192</v>
      </c>
      <c r="B64" t="n">
        <v>128</v>
      </c>
      <c r="C64" t="inlineStr">
        <is>
          <t>Love Cabaret</t>
        </is>
      </c>
      <c r="D64" t="inlineStr">
        <is>
          <t>Saldo Inicial</t>
        </is>
      </c>
      <c r="E64" s="27" t="n">
        <v>45971</v>
      </c>
      <c r="F64" s="27" t="n">
        <v>45971</v>
      </c>
      <c r="G64" t="n">
        <v>-788085.1899999999</v>
      </c>
    </row>
    <row r="65">
      <c r="A65" t="n">
        <v>47163</v>
      </c>
      <c r="B65" t="n">
        <v>128</v>
      </c>
      <c r="C65" t="inlineStr">
        <is>
          <t>Love Cabaret</t>
        </is>
      </c>
      <c r="D65" t="inlineStr">
        <is>
          <t>Saldo Inicial</t>
        </is>
      </c>
      <c r="E65" s="27" t="n">
        <v>45970</v>
      </c>
      <c r="F65" s="27" t="n">
        <v>45970</v>
      </c>
      <c r="G65" t="n">
        <v>-788085.1899999999</v>
      </c>
    </row>
    <row r="66">
      <c r="A66" t="n">
        <v>47094</v>
      </c>
      <c r="B66" t="n">
        <v>128</v>
      </c>
      <c r="C66" t="inlineStr">
        <is>
          <t>Love Cabaret</t>
        </is>
      </c>
      <c r="D66" t="inlineStr">
        <is>
          <t>Saldo Inicial</t>
        </is>
      </c>
      <c r="E66" s="27" t="n">
        <v>45966</v>
      </c>
      <c r="F66" s="27" t="n">
        <v>45966</v>
      </c>
      <c r="G66" t="n">
        <v>-788085.1899999999</v>
      </c>
    </row>
    <row r="67">
      <c r="A67" t="n">
        <v>47074</v>
      </c>
      <c r="B67" t="n">
        <v>128</v>
      </c>
      <c r="C67" t="inlineStr">
        <is>
          <t>Love Cabaret</t>
        </is>
      </c>
      <c r="D67" t="inlineStr">
        <is>
          <t>Saldo Inicial</t>
        </is>
      </c>
      <c r="E67" s="27" t="n">
        <v>45965</v>
      </c>
      <c r="F67" s="27" t="n">
        <v>45965</v>
      </c>
      <c r="G67" t="n">
        <v>-779944.52</v>
      </c>
    </row>
    <row r="68">
      <c r="A68" t="n">
        <v>47075</v>
      </c>
      <c r="B68" t="n">
        <v>128</v>
      </c>
      <c r="C68" t="inlineStr">
        <is>
          <t>Love Cabaret</t>
        </is>
      </c>
      <c r="D68" t="inlineStr">
        <is>
          <t>Saque</t>
        </is>
      </c>
      <c r="E68" s="27" t="n">
        <v>45965</v>
      </c>
      <c r="F68" s="27" t="n">
        <v>45965</v>
      </c>
      <c r="G68" t="n">
        <v>-8140.67</v>
      </c>
    </row>
    <row r="69">
      <c r="A69" t="n">
        <v>47049</v>
      </c>
      <c r="B69" t="n">
        <v>128</v>
      </c>
      <c r="C69" t="inlineStr">
        <is>
          <t>Love Cabaret</t>
        </is>
      </c>
      <c r="D69" t="inlineStr">
        <is>
          <t>Saldo Inicial</t>
        </is>
      </c>
      <c r="E69" s="27" t="n">
        <v>45964</v>
      </c>
      <c r="F69" s="27" t="n">
        <v>45964</v>
      </c>
      <c r="G69" t="n">
        <v>-737809.9</v>
      </c>
    </row>
    <row r="70">
      <c r="A70" t="n">
        <v>47050</v>
      </c>
      <c r="B70" t="n">
        <v>128</v>
      </c>
      <c r="C70" t="inlineStr">
        <is>
          <t>Love Cabaret</t>
        </is>
      </c>
      <c r="D70" t="inlineStr">
        <is>
          <t>Saque</t>
        </is>
      </c>
      <c r="E70" s="27" t="n">
        <v>45964</v>
      </c>
      <c r="F70" s="27" t="n">
        <v>45964</v>
      </c>
      <c r="G70" t="n">
        <v>-42134.62</v>
      </c>
    </row>
    <row r="71">
      <c r="A71" t="n">
        <v>47033</v>
      </c>
      <c r="B71" t="n">
        <v>128</v>
      </c>
      <c r="C71" t="inlineStr">
        <is>
          <t>Love Cabaret</t>
        </is>
      </c>
      <c r="D71" t="inlineStr">
        <is>
          <t>Saldo Inicial</t>
        </is>
      </c>
      <c r="E71" s="27" t="n">
        <v>45963</v>
      </c>
      <c r="F71" s="27" t="n">
        <v>45963</v>
      </c>
      <c r="G71" t="n">
        <v>-737809.9</v>
      </c>
    </row>
    <row r="72">
      <c r="A72" t="n">
        <v>46998</v>
      </c>
      <c r="B72" t="n">
        <v>128</v>
      </c>
      <c r="C72" t="inlineStr">
        <is>
          <t>Love Cabaret</t>
        </is>
      </c>
      <c r="D72" t="inlineStr">
        <is>
          <t>Saldo Inicial</t>
        </is>
      </c>
      <c r="E72" s="27" t="n">
        <v>45961</v>
      </c>
      <c r="F72" s="27" t="n">
        <v>45961</v>
      </c>
      <c r="G72" t="n">
        <v>-737809.9</v>
      </c>
    </row>
    <row r="73">
      <c r="A73" t="n">
        <v>46948</v>
      </c>
      <c r="B73" t="n">
        <v>128</v>
      </c>
      <c r="C73" t="inlineStr">
        <is>
          <t>Love Cabaret</t>
        </is>
      </c>
      <c r="D73" t="inlineStr">
        <is>
          <t>Saldo Inicial</t>
        </is>
      </c>
      <c r="E73" s="27" t="n">
        <v>45959</v>
      </c>
      <c r="F73" s="27" t="n">
        <v>45959</v>
      </c>
      <c r="G73" t="n">
        <v>-737809.9</v>
      </c>
    </row>
    <row r="74">
      <c r="A74" t="n">
        <v>46918</v>
      </c>
      <c r="B74" t="n">
        <v>128</v>
      </c>
      <c r="C74" t="inlineStr">
        <is>
          <t>Love Cabaret</t>
        </is>
      </c>
      <c r="D74" t="inlineStr">
        <is>
          <t>Saque</t>
        </is>
      </c>
      <c r="E74" s="27" t="n">
        <v>45958</v>
      </c>
      <c r="F74" s="27" t="n">
        <v>45958</v>
      </c>
      <c r="G74" t="n">
        <v>-52706.34</v>
      </c>
    </row>
    <row r="75">
      <c r="A75" t="n">
        <v>46917</v>
      </c>
      <c r="B75" t="n">
        <v>128</v>
      </c>
      <c r="C75" t="inlineStr">
        <is>
          <t>Love Cabaret</t>
        </is>
      </c>
      <c r="D75" t="inlineStr">
        <is>
          <t>Saldo Inicial</t>
        </is>
      </c>
      <c r="E75" s="27" t="n">
        <v>45958</v>
      </c>
      <c r="F75" s="27" t="n">
        <v>45958</v>
      </c>
      <c r="G75" t="n">
        <v>-685103.5600000001</v>
      </c>
    </row>
    <row r="76">
      <c r="A76" t="n">
        <v>46885</v>
      </c>
      <c r="B76" t="n">
        <v>128</v>
      </c>
      <c r="C76" t="inlineStr">
        <is>
          <t>Love Cabaret</t>
        </is>
      </c>
      <c r="D76" t="inlineStr">
        <is>
          <t>Saldo Inicial</t>
        </is>
      </c>
      <c r="E76" s="27" t="n">
        <v>45957</v>
      </c>
      <c r="F76" s="27" t="n">
        <v>45957</v>
      </c>
      <c r="G76" t="n">
        <v>-685103.5600000001</v>
      </c>
    </row>
    <row r="77">
      <c r="A77" t="n">
        <v>46856</v>
      </c>
      <c r="B77" t="n">
        <v>128</v>
      </c>
      <c r="C77" t="inlineStr">
        <is>
          <t>Love Cabaret</t>
        </is>
      </c>
      <c r="D77" t="inlineStr">
        <is>
          <t>Saldo Inicial</t>
        </is>
      </c>
      <c r="E77" s="27" t="n">
        <v>45956</v>
      </c>
      <c r="F77" s="27" t="n">
        <v>45956</v>
      </c>
      <c r="G77" t="n">
        <v>-685103.5600000001</v>
      </c>
    </row>
    <row r="78">
      <c r="A78" t="n">
        <v>46836</v>
      </c>
      <c r="B78" t="n">
        <v>128</v>
      </c>
      <c r="C78" t="inlineStr">
        <is>
          <t>Love Cabaret</t>
        </is>
      </c>
      <c r="D78" t="inlineStr">
        <is>
          <t>Saldo Inicial</t>
        </is>
      </c>
      <c r="E78" s="27" t="n">
        <v>45955</v>
      </c>
      <c r="F78" s="27" t="n">
        <v>45955</v>
      </c>
      <c r="G78" t="n">
        <v>-685103.5600000001</v>
      </c>
    </row>
    <row r="79">
      <c r="A79" t="n">
        <v>46812</v>
      </c>
      <c r="B79" t="n">
        <v>128</v>
      </c>
      <c r="C79" t="inlineStr">
        <is>
          <t>Love Cabaret</t>
        </is>
      </c>
      <c r="D79" t="inlineStr">
        <is>
          <t>Saldo Inicial</t>
        </is>
      </c>
      <c r="E79" s="27" t="n">
        <v>45954</v>
      </c>
      <c r="F79" s="27" t="n">
        <v>45954</v>
      </c>
      <c r="G79" t="n">
        <v>-685103.5600000001</v>
      </c>
    </row>
    <row r="80">
      <c r="A80" t="n">
        <v>46761</v>
      </c>
      <c r="B80" t="n">
        <v>128</v>
      </c>
      <c r="C80" t="inlineStr">
        <is>
          <t>Love Cabaret</t>
        </is>
      </c>
      <c r="D80" t="inlineStr">
        <is>
          <t>Saque</t>
        </is>
      </c>
      <c r="E80" s="27" t="n">
        <v>45952</v>
      </c>
      <c r="F80" s="27" t="n">
        <v>45952</v>
      </c>
      <c r="G80" t="n">
        <v>-5284.28</v>
      </c>
    </row>
    <row r="81">
      <c r="A81" t="n">
        <v>46760</v>
      </c>
      <c r="B81" t="n">
        <v>128</v>
      </c>
      <c r="C81" t="inlineStr">
        <is>
          <t>Love Cabaret</t>
        </is>
      </c>
      <c r="D81" t="inlineStr">
        <is>
          <t>Saldo Inicial</t>
        </is>
      </c>
      <c r="E81" s="27" t="n">
        <v>45952</v>
      </c>
      <c r="F81" s="27" t="n">
        <v>45952</v>
      </c>
      <c r="G81" t="n">
        <v>-679819.28</v>
      </c>
    </row>
    <row r="82">
      <c r="A82" t="n">
        <v>46730</v>
      </c>
      <c r="B82" t="n">
        <v>128</v>
      </c>
      <c r="C82" t="inlineStr">
        <is>
          <t>Love Cabaret</t>
        </is>
      </c>
      <c r="D82" t="inlineStr">
        <is>
          <t>Saque</t>
        </is>
      </c>
      <c r="E82" s="27" t="n">
        <v>45951</v>
      </c>
      <c r="F82" s="27" t="n">
        <v>45951</v>
      </c>
      <c r="G82" t="n">
        <v>-18264.37</v>
      </c>
    </row>
    <row r="83">
      <c r="A83" t="n">
        <v>46729</v>
      </c>
      <c r="B83" t="n">
        <v>128</v>
      </c>
      <c r="C83" t="inlineStr">
        <is>
          <t>Love Cabaret</t>
        </is>
      </c>
      <c r="D83" t="inlineStr">
        <is>
          <t>Saldo Inicial</t>
        </is>
      </c>
      <c r="E83" s="27" t="n">
        <v>45951</v>
      </c>
      <c r="F83" s="27" t="n">
        <v>45951</v>
      </c>
      <c r="G83" t="n">
        <v>-661554.91</v>
      </c>
    </row>
    <row r="84">
      <c r="A84" t="n">
        <v>46696</v>
      </c>
      <c r="B84" t="n">
        <v>128</v>
      </c>
      <c r="C84" t="inlineStr">
        <is>
          <t>Love Cabaret</t>
        </is>
      </c>
      <c r="D84" t="inlineStr">
        <is>
          <t>Saque</t>
        </is>
      </c>
      <c r="E84" s="27" t="n">
        <v>45950</v>
      </c>
      <c r="F84" s="27" t="n">
        <v>45950</v>
      </c>
      <c r="G84" t="n">
        <v>-47659.11</v>
      </c>
    </row>
    <row r="85">
      <c r="A85" t="n">
        <v>46695</v>
      </c>
      <c r="B85" t="n">
        <v>128</v>
      </c>
      <c r="C85" t="inlineStr">
        <is>
          <t>Love Cabaret</t>
        </is>
      </c>
      <c r="D85" t="inlineStr">
        <is>
          <t>Saldo Inicial</t>
        </is>
      </c>
      <c r="E85" s="27" t="n">
        <v>45950</v>
      </c>
      <c r="F85" s="27" t="n">
        <v>45950</v>
      </c>
      <c r="G85" t="n">
        <v>-613895.8</v>
      </c>
    </row>
    <row r="86">
      <c r="A86" t="n">
        <v>46673</v>
      </c>
      <c r="B86" t="n">
        <v>128</v>
      </c>
      <c r="C86" t="inlineStr">
        <is>
          <t>Love Cabaret</t>
        </is>
      </c>
      <c r="D86" t="inlineStr">
        <is>
          <t>Saldo Inicial</t>
        </is>
      </c>
      <c r="E86" s="27" t="n">
        <v>45949</v>
      </c>
      <c r="F86" s="27" t="n">
        <v>45949</v>
      </c>
      <c r="G86" t="n">
        <v>-613895.8</v>
      </c>
    </row>
    <row r="87">
      <c r="A87" t="n">
        <v>46657</v>
      </c>
      <c r="B87" t="n">
        <v>128</v>
      </c>
      <c r="C87" t="inlineStr">
        <is>
          <t>Love Cabaret</t>
        </is>
      </c>
      <c r="D87" t="inlineStr">
        <is>
          <t>Saldo Inicial</t>
        </is>
      </c>
      <c r="E87" s="27" t="n">
        <v>45948</v>
      </c>
      <c r="F87" s="27" t="n">
        <v>45948</v>
      </c>
      <c r="G87" t="n">
        <v>-613895.8</v>
      </c>
    </row>
    <row r="88">
      <c r="A88" t="n">
        <v>46633</v>
      </c>
      <c r="B88" t="n">
        <v>128</v>
      </c>
      <c r="C88" t="inlineStr">
        <is>
          <t>Love Cabaret</t>
        </is>
      </c>
      <c r="D88" t="inlineStr">
        <is>
          <t>Saldo Inicial</t>
        </is>
      </c>
      <c r="E88" s="27" t="n">
        <v>45947</v>
      </c>
      <c r="F88" s="27" t="n">
        <v>45947</v>
      </c>
      <c r="G88" t="n">
        <v>-613895.8</v>
      </c>
    </row>
    <row r="89">
      <c r="A89" t="n">
        <v>46605</v>
      </c>
      <c r="B89" t="n">
        <v>128</v>
      </c>
      <c r="C89" t="inlineStr">
        <is>
          <t>Love Cabaret</t>
        </is>
      </c>
      <c r="D89" t="inlineStr">
        <is>
          <t>Saldo Inicial</t>
        </is>
      </c>
      <c r="E89" s="27" t="n">
        <v>45946</v>
      </c>
      <c r="F89" s="27" t="n">
        <v>45946</v>
      </c>
      <c r="G89" t="n">
        <v>-613895.8</v>
      </c>
    </row>
    <row r="90">
      <c r="A90" t="n">
        <v>46573</v>
      </c>
      <c r="B90" t="n">
        <v>128</v>
      </c>
      <c r="C90" t="inlineStr">
        <is>
          <t>Love Cabaret</t>
        </is>
      </c>
      <c r="D90" t="inlineStr">
        <is>
          <t>Saldo Inicial</t>
        </is>
      </c>
      <c r="E90" s="27" t="n">
        <v>45945</v>
      </c>
      <c r="F90" s="27" t="n">
        <v>45945</v>
      </c>
      <c r="G90" t="n">
        <v>-597241.49</v>
      </c>
    </row>
    <row r="91">
      <c r="A91" t="n">
        <v>46574</v>
      </c>
      <c r="B91" t="n">
        <v>128</v>
      </c>
      <c r="C91" t="inlineStr">
        <is>
          <t>Love Cabaret</t>
        </is>
      </c>
      <c r="D91" t="inlineStr">
        <is>
          <t>Saque</t>
        </is>
      </c>
      <c r="E91" s="27" t="n">
        <v>45945</v>
      </c>
      <c r="F91" s="27" t="n">
        <v>45945</v>
      </c>
      <c r="G91" t="n">
        <v>-16654.31</v>
      </c>
    </row>
    <row r="92">
      <c r="A92" t="n">
        <v>46543</v>
      </c>
      <c r="B92" t="n">
        <v>128</v>
      </c>
      <c r="C92" t="inlineStr">
        <is>
          <t>Love Cabaret</t>
        </is>
      </c>
      <c r="D92" t="inlineStr">
        <is>
          <t>Saldo Inicial</t>
        </is>
      </c>
      <c r="E92" s="27" t="n">
        <v>45944</v>
      </c>
      <c r="F92" s="27" t="n">
        <v>45944</v>
      </c>
      <c r="G92" t="n">
        <v>-597241.49</v>
      </c>
    </row>
    <row r="93">
      <c r="A93" t="n">
        <v>46513</v>
      </c>
      <c r="B93" t="n">
        <v>128</v>
      </c>
      <c r="C93" t="inlineStr">
        <is>
          <t>Love Cabaret</t>
        </is>
      </c>
      <c r="D93" t="inlineStr">
        <is>
          <t>Saque</t>
        </is>
      </c>
      <c r="E93" s="27" t="n">
        <v>45943</v>
      </c>
      <c r="F93" s="27" t="n">
        <v>45943</v>
      </c>
      <c r="G93" t="n">
        <v>-40245.68</v>
      </c>
    </row>
    <row r="94">
      <c r="A94" t="n">
        <v>46512</v>
      </c>
      <c r="B94" t="n">
        <v>128</v>
      </c>
      <c r="C94" t="inlineStr">
        <is>
          <t>Love Cabaret</t>
        </is>
      </c>
      <c r="D94" t="inlineStr">
        <is>
          <t>Saldo Inicial</t>
        </is>
      </c>
      <c r="E94" s="27" t="n">
        <v>45943</v>
      </c>
      <c r="F94" s="27" t="n">
        <v>45943</v>
      </c>
      <c r="G94" t="n">
        <v>-556995.8100000001</v>
      </c>
    </row>
    <row r="95">
      <c r="A95" t="n">
        <v>46485</v>
      </c>
      <c r="B95" t="n">
        <v>128</v>
      </c>
      <c r="C95" t="inlineStr">
        <is>
          <t>Love Cabaret</t>
        </is>
      </c>
      <c r="D95" t="inlineStr">
        <is>
          <t>Saldo Inicial</t>
        </is>
      </c>
      <c r="E95" s="27" t="n">
        <v>45942</v>
      </c>
      <c r="F95" s="27" t="n">
        <v>45942</v>
      </c>
      <c r="G95" t="n">
        <v>-556995.8100000001</v>
      </c>
    </row>
    <row r="96">
      <c r="A96" t="n">
        <v>46465</v>
      </c>
      <c r="B96" t="n">
        <v>128</v>
      </c>
      <c r="C96" t="inlineStr">
        <is>
          <t>Love Cabaret</t>
        </is>
      </c>
      <c r="D96" t="inlineStr">
        <is>
          <t>Saldo Inicial</t>
        </is>
      </c>
      <c r="E96" s="27" t="n">
        <v>45941</v>
      </c>
      <c r="F96" s="27" t="n">
        <v>45941</v>
      </c>
      <c r="G96" t="n">
        <v>-556995.8100000001</v>
      </c>
    </row>
    <row r="97">
      <c r="A97" t="n">
        <v>46441</v>
      </c>
      <c r="B97" t="n">
        <v>128</v>
      </c>
      <c r="C97" t="inlineStr">
        <is>
          <t>Love Cabaret</t>
        </is>
      </c>
      <c r="D97" t="inlineStr">
        <is>
          <t>Saldo Inicial</t>
        </is>
      </c>
      <c r="E97" s="27" t="n">
        <v>45940</v>
      </c>
      <c r="F97" s="27" t="n">
        <v>45940</v>
      </c>
      <c r="G97" t="n">
        <v>-556995.8100000001</v>
      </c>
    </row>
    <row r="98">
      <c r="A98" t="n">
        <v>46413</v>
      </c>
      <c r="B98" t="n">
        <v>128</v>
      </c>
      <c r="C98" t="inlineStr">
        <is>
          <t>Love Cabaret</t>
        </is>
      </c>
      <c r="D98" t="inlineStr">
        <is>
          <t>Saldo Inicial</t>
        </is>
      </c>
      <c r="E98" s="27" t="n">
        <v>45939</v>
      </c>
      <c r="F98" s="27" t="n">
        <v>45939</v>
      </c>
      <c r="G98" t="n">
        <v>-556995.8100000001</v>
      </c>
    </row>
    <row r="99">
      <c r="A99" t="n">
        <v>46388</v>
      </c>
      <c r="B99" t="n">
        <v>128</v>
      </c>
      <c r="C99" t="inlineStr">
        <is>
          <t>Love Cabaret</t>
        </is>
      </c>
      <c r="D99" t="inlineStr">
        <is>
          <t>Saldo Inicial</t>
        </is>
      </c>
      <c r="E99" s="27" t="n">
        <v>45938</v>
      </c>
      <c r="F99" s="27" t="n">
        <v>45938</v>
      </c>
      <c r="G99" t="n">
        <v>-556995.8100000001</v>
      </c>
    </row>
    <row r="100">
      <c r="A100" t="n">
        <v>46369</v>
      </c>
      <c r="B100" t="n">
        <v>128</v>
      </c>
      <c r="C100" t="inlineStr">
        <is>
          <t>Love Cabaret</t>
        </is>
      </c>
      <c r="D100" t="inlineStr">
        <is>
          <t>Saldo Inicial</t>
        </is>
      </c>
      <c r="E100" s="27" t="n">
        <v>45937</v>
      </c>
      <c r="F100" s="27" t="n">
        <v>45937</v>
      </c>
      <c r="G100" t="n">
        <v>-538164.3100000001</v>
      </c>
    </row>
    <row r="101">
      <c r="A101" t="n">
        <v>46370</v>
      </c>
      <c r="B101" t="n">
        <v>128</v>
      </c>
      <c r="C101" t="inlineStr">
        <is>
          <t>Love Cabaret</t>
        </is>
      </c>
      <c r="D101" t="inlineStr">
        <is>
          <t>Saque</t>
        </is>
      </c>
      <c r="E101" s="27" t="n">
        <v>45937</v>
      </c>
      <c r="F101" s="27" t="n">
        <v>45937</v>
      </c>
      <c r="G101" t="n">
        <v>-18831.5</v>
      </c>
    </row>
    <row r="102">
      <c r="A102" t="n">
        <v>46344</v>
      </c>
      <c r="B102" t="n">
        <v>128</v>
      </c>
      <c r="C102" t="inlineStr">
        <is>
          <t>Love Cabaret</t>
        </is>
      </c>
      <c r="D102" t="inlineStr">
        <is>
          <t>Saldo Inicial</t>
        </is>
      </c>
      <c r="E102" s="27" t="n">
        <v>45936</v>
      </c>
      <c r="F102" s="27" t="n">
        <v>45936</v>
      </c>
      <c r="G102" t="n">
        <v>-498005.11</v>
      </c>
    </row>
    <row r="103">
      <c r="A103" t="n">
        <v>46345</v>
      </c>
      <c r="B103" t="n">
        <v>128</v>
      </c>
      <c r="C103" t="inlineStr">
        <is>
          <t>Love Cabaret</t>
        </is>
      </c>
      <c r="D103" t="inlineStr">
        <is>
          <t>Saque</t>
        </is>
      </c>
      <c r="E103" s="27" t="n">
        <v>45936</v>
      </c>
      <c r="F103" s="27" t="n">
        <v>45936</v>
      </c>
      <c r="G103" t="n">
        <v>-40159.2</v>
      </c>
    </row>
    <row r="104">
      <c r="A104" t="n">
        <v>46317</v>
      </c>
      <c r="B104" t="n">
        <v>128</v>
      </c>
      <c r="C104" t="inlineStr">
        <is>
          <t>Love Cabaret</t>
        </is>
      </c>
      <c r="D104" t="inlineStr">
        <is>
          <t>Saldo Inicial</t>
        </is>
      </c>
      <c r="E104" s="27" t="n">
        <v>45935</v>
      </c>
      <c r="F104" s="27" t="n">
        <v>45935</v>
      </c>
      <c r="G104" t="n">
        <v>-498005.11</v>
      </c>
    </row>
    <row r="105">
      <c r="A105" t="n">
        <v>46283</v>
      </c>
      <c r="B105" t="n">
        <v>128</v>
      </c>
      <c r="C105" t="inlineStr">
        <is>
          <t>Love Cabaret</t>
        </is>
      </c>
      <c r="D105" t="inlineStr">
        <is>
          <t>Saldo Inicial</t>
        </is>
      </c>
      <c r="E105" s="27" t="n">
        <v>45933</v>
      </c>
      <c r="F105" s="27" t="n">
        <v>45933</v>
      </c>
      <c r="G105" t="n">
        <v>-498005.11</v>
      </c>
    </row>
    <row r="106">
      <c r="A106" t="n">
        <v>46255</v>
      </c>
      <c r="B106" t="n">
        <v>128</v>
      </c>
      <c r="C106" t="inlineStr">
        <is>
          <t>Love Cabaret</t>
        </is>
      </c>
      <c r="D106" t="inlineStr">
        <is>
          <t>Saldo Inicial</t>
        </is>
      </c>
      <c r="E106" s="27" t="n">
        <v>45932</v>
      </c>
      <c r="F106" s="27" t="n">
        <v>45932</v>
      </c>
      <c r="G106" t="n">
        <v>-498005.11</v>
      </c>
    </row>
    <row r="107">
      <c r="A107" t="n">
        <v>46227</v>
      </c>
      <c r="B107" t="n">
        <v>128</v>
      </c>
      <c r="C107" t="inlineStr">
        <is>
          <t>Love Cabaret</t>
        </is>
      </c>
      <c r="D107" t="inlineStr">
        <is>
          <t>Saldo Inicial</t>
        </is>
      </c>
      <c r="E107" s="27" t="n">
        <v>45931</v>
      </c>
      <c r="F107" s="27" t="n">
        <v>45931</v>
      </c>
      <c r="G107" t="n">
        <v>-498005.11</v>
      </c>
    </row>
    <row r="108">
      <c r="A108" t="n">
        <v>46170</v>
      </c>
      <c r="B108" t="n">
        <v>128</v>
      </c>
      <c r="C108" t="inlineStr">
        <is>
          <t>Love Cabaret</t>
        </is>
      </c>
      <c r="D108" t="inlineStr">
        <is>
          <t>Saque</t>
        </is>
      </c>
      <c r="E108" s="27" t="n">
        <v>45930</v>
      </c>
      <c r="F108" s="27" t="n">
        <v>45930</v>
      </c>
      <c r="G108" t="n">
        <v>-12689.81</v>
      </c>
    </row>
    <row r="109">
      <c r="A109" t="n">
        <v>46169</v>
      </c>
      <c r="B109" t="n">
        <v>128</v>
      </c>
      <c r="C109" t="inlineStr">
        <is>
          <t>Love Cabaret</t>
        </is>
      </c>
      <c r="D109" t="inlineStr">
        <is>
          <t>Saldo Inicial</t>
        </is>
      </c>
      <c r="E109" s="27" t="n">
        <v>45930</v>
      </c>
      <c r="F109" s="27" t="n">
        <v>45930</v>
      </c>
      <c r="G109" t="n">
        <v>-485315.3</v>
      </c>
    </row>
    <row r="110">
      <c r="A110" t="n">
        <v>46136</v>
      </c>
      <c r="B110" t="n">
        <v>128</v>
      </c>
      <c r="C110" t="inlineStr">
        <is>
          <t>Love Cabaret</t>
        </is>
      </c>
      <c r="D110" t="inlineStr">
        <is>
          <t>Saldo Inicial</t>
        </is>
      </c>
      <c r="E110" s="27" t="n">
        <v>45929</v>
      </c>
      <c r="F110" s="27" t="n">
        <v>45929</v>
      </c>
      <c r="G110" t="n">
        <v>-438485.42</v>
      </c>
    </row>
    <row r="111">
      <c r="A111" t="n">
        <v>46137</v>
      </c>
      <c r="B111" t="n">
        <v>128</v>
      </c>
      <c r="C111" t="inlineStr">
        <is>
          <t>Love Cabaret</t>
        </is>
      </c>
      <c r="D111" t="inlineStr">
        <is>
          <t>Saque</t>
        </is>
      </c>
      <c r="E111" s="27" t="n">
        <v>45929</v>
      </c>
      <c r="F111" s="27" t="n">
        <v>45929</v>
      </c>
      <c r="G111" t="n">
        <v>-46829.88</v>
      </c>
    </row>
    <row r="112">
      <c r="A112" t="n">
        <v>46107</v>
      </c>
      <c r="B112" t="n">
        <v>128</v>
      </c>
      <c r="C112" t="inlineStr">
        <is>
          <t>Love Cabaret</t>
        </is>
      </c>
      <c r="D112" t="inlineStr">
        <is>
          <t>Saldo Inicial</t>
        </is>
      </c>
      <c r="E112" s="27" t="n">
        <v>45928</v>
      </c>
      <c r="F112" s="27" t="n">
        <v>45928</v>
      </c>
      <c r="G112" t="n">
        <v>-438485.42</v>
      </c>
    </row>
    <row r="113">
      <c r="A113" t="n">
        <v>46087</v>
      </c>
      <c r="B113" t="n">
        <v>128</v>
      </c>
      <c r="C113" t="inlineStr">
        <is>
          <t>Love Cabaret</t>
        </is>
      </c>
      <c r="D113" t="inlineStr">
        <is>
          <t>Saldo Inicial</t>
        </is>
      </c>
      <c r="E113" s="27" t="n">
        <v>45927</v>
      </c>
      <c r="F113" s="27" t="n">
        <v>45927</v>
      </c>
      <c r="G113" t="n">
        <v>-438485.42</v>
      </c>
    </row>
    <row r="114">
      <c r="A114" t="n">
        <v>46064</v>
      </c>
      <c r="B114" t="n">
        <v>128</v>
      </c>
      <c r="C114" t="inlineStr">
        <is>
          <t>Love Cabaret</t>
        </is>
      </c>
      <c r="D114" t="inlineStr">
        <is>
          <t>Saldo Inicial</t>
        </is>
      </c>
      <c r="E114" s="27" t="n">
        <v>45926</v>
      </c>
      <c r="F114" s="27" t="n">
        <v>45926</v>
      </c>
      <c r="G114" t="n">
        <v>-438485.42</v>
      </c>
    </row>
    <row r="115">
      <c r="A115" t="n">
        <v>46036</v>
      </c>
      <c r="B115" t="n">
        <v>128</v>
      </c>
      <c r="C115" t="inlineStr">
        <is>
          <t>Love Cabaret</t>
        </is>
      </c>
      <c r="D115" t="inlineStr">
        <is>
          <t>Saldo Inicial</t>
        </is>
      </c>
      <c r="E115" s="27" t="n">
        <v>45925</v>
      </c>
      <c r="F115" s="27" t="n">
        <v>45925</v>
      </c>
      <c r="G115" t="n">
        <v>-438485.42</v>
      </c>
    </row>
    <row r="116">
      <c r="A116" t="n">
        <v>46008</v>
      </c>
      <c r="B116" t="n">
        <v>128</v>
      </c>
      <c r="C116" t="inlineStr">
        <is>
          <t>Love Cabaret</t>
        </is>
      </c>
      <c r="D116" t="inlineStr">
        <is>
          <t>Saque</t>
        </is>
      </c>
      <c r="E116" s="27" t="n">
        <v>45924</v>
      </c>
      <c r="F116" s="27" t="n">
        <v>45924</v>
      </c>
      <c r="G116" t="n">
        <v>-21664.91</v>
      </c>
    </row>
    <row r="117">
      <c r="A117" t="n">
        <v>46007</v>
      </c>
      <c r="B117" t="n">
        <v>128</v>
      </c>
      <c r="C117" t="inlineStr">
        <is>
          <t>Love Cabaret</t>
        </is>
      </c>
      <c r="D117" t="inlineStr">
        <is>
          <t>Saldo Inicial</t>
        </is>
      </c>
      <c r="E117" s="27" t="n">
        <v>45924</v>
      </c>
      <c r="F117" s="27" t="n">
        <v>45924</v>
      </c>
      <c r="G117" t="n">
        <v>-416820.51</v>
      </c>
    </row>
    <row r="118">
      <c r="A118" t="n">
        <v>45979</v>
      </c>
      <c r="B118" t="n">
        <v>128</v>
      </c>
      <c r="C118" t="inlineStr">
        <is>
          <t>Love Cabaret</t>
        </is>
      </c>
      <c r="D118" t="inlineStr">
        <is>
          <t>Saldo Inicial</t>
        </is>
      </c>
      <c r="E118" s="27" t="n">
        <v>45923</v>
      </c>
      <c r="F118" s="27" t="n">
        <v>45923</v>
      </c>
      <c r="G118" t="n">
        <v>-416820.51</v>
      </c>
    </row>
    <row r="119">
      <c r="A119" t="n">
        <v>45948</v>
      </c>
      <c r="B119" t="n">
        <v>128</v>
      </c>
      <c r="C119" t="inlineStr">
        <is>
          <t>Love Cabaret</t>
        </is>
      </c>
      <c r="D119" t="inlineStr">
        <is>
          <t>Saque</t>
        </is>
      </c>
      <c r="E119" s="27" t="n">
        <v>45922</v>
      </c>
      <c r="F119" s="27" t="n">
        <v>45922</v>
      </c>
      <c r="G119" t="n">
        <v>-40741.63</v>
      </c>
    </row>
    <row r="120">
      <c r="A120" t="n">
        <v>45947</v>
      </c>
      <c r="B120" t="n">
        <v>128</v>
      </c>
      <c r="C120" t="inlineStr">
        <is>
          <t>Love Cabaret</t>
        </is>
      </c>
      <c r="D120" t="inlineStr">
        <is>
          <t>Saldo Inicial</t>
        </is>
      </c>
      <c r="E120" s="27" t="n">
        <v>45922</v>
      </c>
      <c r="F120" s="27" t="n">
        <v>45922</v>
      </c>
      <c r="G120" t="n">
        <v>-376078.88</v>
      </c>
    </row>
    <row r="121">
      <c r="A121" t="n">
        <v>45920</v>
      </c>
      <c r="B121" t="n">
        <v>128</v>
      </c>
      <c r="C121" t="inlineStr">
        <is>
          <t>Love Cabaret</t>
        </is>
      </c>
      <c r="D121" t="inlineStr">
        <is>
          <t>Saldo Inicial</t>
        </is>
      </c>
      <c r="E121" s="27" t="n">
        <v>45921</v>
      </c>
      <c r="F121" s="27" t="n">
        <v>45921</v>
      </c>
      <c r="G121" t="n">
        <v>-376078.88</v>
      </c>
    </row>
    <row r="122">
      <c r="A122" t="n">
        <v>45900</v>
      </c>
      <c r="B122" t="n">
        <v>128</v>
      </c>
      <c r="C122" t="inlineStr">
        <is>
          <t>Love Cabaret</t>
        </is>
      </c>
      <c r="D122" t="inlineStr">
        <is>
          <t>Saldo Inicial</t>
        </is>
      </c>
      <c r="E122" s="27" t="n">
        <v>45920</v>
      </c>
      <c r="F122" s="27" t="n">
        <v>45920</v>
      </c>
      <c r="G122" t="n">
        <v>-376078.88</v>
      </c>
    </row>
    <row r="123">
      <c r="A123" t="n">
        <v>45883</v>
      </c>
      <c r="B123" t="n">
        <v>128</v>
      </c>
      <c r="C123" t="inlineStr">
        <is>
          <t>Love Cabaret</t>
        </is>
      </c>
      <c r="D123" t="inlineStr">
        <is>
          <t>Saldo Inicial</t>
        </is>
      </c>
      <c r="E123" s="27" t="n">
        <v>45919</v>
      </c>
      <c r="F123" s="27" t="n">
        <v>45919</v>
      </c>
      <c r="G123" t="n">
        <v>-376078.88</v>
      </c>
    </row>
    <row r="124">
      <c r="A124" t="n">
        <v>45814</v>
      </c>
      <c r="B124" t="n">
        <v>128</v>
      </c>
      <c r="C124" t="inlineStr">
        <is>
          <t>Love Cabaret</t>
        </is>
      </c>
      <c r="D124" t="inlineStr">
        <is>
          <t>Saque</t>
        </is>
      </c>
      <c r="E124" s="27" t="n">
        <v>45916</v>
      </c>
      <c r="F124" s="27" t="n">
        <v>45916</v>
      </c>
      <c r="G124" t="n">
        <v>-23649.5</v>
      </c>
    </row>
    <row r="125">
      <c r="A125" t="n">
        <v>45813</v>
      </c>
      <c r="B125" t="n">
        <v>128</v>
      </c>
      <c r="C125" t="inlineStr">
        <is>
          <t>Love Cabaret</t>
        </is>
      </c>
      <c r="D125" t="inlineStr">
        <is>
          <t>Saldo Inicial</t>
        </is>
      </c>
      <c r="E125" s="27" t="n">
        <v>45916</v>
      </c>
      <c r="F125" s="27" t="n">
        <v>45916</v>
      </c>
      <c r="G125" t="n">
        <v>-352429.38</v>
      </c>
    </row>
    <row r="126">
      <c r="A126" t="n">
        <v>45757</v>
      </c>
      <c r="B126" t="n">
        <v>128</v>
      </c>
      <c r="C126" t="inlineStr">
        <is>
          <t>Love Cabaret</t>
        </is>
      </c>
      <c r="D126" t="inlineStr">
        <is>
          <t>Saque</t>
        </is>
      </c>
      <c r="E126" s="27" t="n">
        <v>45915</v>
      </c>
      <c r="F126" s="27" t="n">
        <v>45915</v>
      </c>
      <c r="G126" t="n">
        <v>-15000</v>
      </c>
    </row>
    <row r="127">
      <c r="A127" t="n">
        <v>45759</v>
      </c>
      <c r="B127" t="n">
        <v>128</v>
      </c>
      <c r="C127" t="inlineStr">
        <is>
          <t>Love Cabaret</t>
        </is>
      </c>
      <c r="D127" t="inlineStr">
        <is>
          <t>Saque</t>
        </is>
      </c>
      <c r="E127" s="27" t="n">
        <v>45915</v>
      </c>
      <c r="F127" s="27" t="n">
        <v>45915</v>
      </c>
      <c r="G127" t="n">
        <v>-4992.48</v>
      </c>
    </row>
    <row r="128">
      <c r="A128" t="n">
        <v>45758</v>
      </c>
      <c r="B128" t="n">
        <v>128</v>
      </c>
      <c r="C128" t="inlineStr">
        <is>
          <t>Love Cabaret</t>
        </is>
      </c>
      <c r="D128" t="inlineStr">
        <is>
          <t>Saque</t>
        </is>
      </c>
      <c r="E128" s="27" t="n">
        <v>45915</v>
      </c>
      <c r="F128" s="27" t="n">
        <v>45915</v>
      </c>
      <c r="G128" t="n">
        <v>-15000</v>
      </c>
    </row>
    <row r="129">
      <c r="A129" t="n">
        <v>45755</v>
      </c>
      <c r="B129" t="n">
        <v>128</v>
      </c>
      <c r="C129" t="inlineStr">
        <is>
          <t>Love Cabaret</t>
        </is>
      </c>
      <c r="D129" t="inlineStr">
        <is>
          <t>Saldo Inicial</t>
        </is>
      </c>
      <c r="E129" s="27" t="n">
        <v>45915</v>
      </c>
      <c r="F129" s="27" t="n">
        <v>45915</v>
      </c>
      <c r="G129" t="n">
        <v>-302436.9</v>
      </c>
    </row>
    <row r="130">
      <c r="A130" t="n">
        <v>45756</v>
      </c>
      <c r="B130" t="n">
        <v>128</v>
      </c>
      <c r="C130" t="inlineStr">
        <is>
          <t>Love Cabaret</t>
        </is>
      </c>
      <c r="D130" t="inlineStr">
        <is>
          <t>Saque</t>
        </is>
      </c>
      <c r="E130" s="27" t="n">
        <v>45915</v>
      </c>
      <c r="F130" s="27" t="n">
        <v>45915</v>
      </c>
      <c r="G130" t="n">
        <v>-15000</v>
      </c>
    </row>
    <row r="131">
      <c r="A131" t="n">
        <v>45697</v>
      </c>
      <c r="B131" t="n">
        <v>128</v>
      </c>
      <c r="C131" t="inlineStr">
        <is>
          <t>Love Cabaret</t>
        </is>
      </c>
      <c r="D131" t="inlineStr">
        <is>
          <t>Saldo Inicial</t>
        </is>
      </c>
      <c r="E131" s="27" t="n">
        <v>45914</v>
      </c>
      <c r="F131" s="27" t="n">
        <v>45914</v>
      </c>
      <c r="G131" t="n">
        <v>-302436.9</v>
      </c>
    </row>
    <row r="132">
      <c r="A132" t="n">
        <v>45677</v>
      </c>
      <c r="B132" t="n">
        <v>128</v>
      </c>
      <c r="C132" t="inlineStr">
        <is>
          <t>Love Cabaret</t>
        </is>
      </c>
      <c r="D132" t="inlineStr">
        <is>
          <t>Saldo Inicial</t>
        </is>
      </c>
      <c r="E132" s="27" t="n">
        <v>45913</v>
      </c>
      <c r="F132" s="27" t="n">
        <v>45913</v>
      </c>
      <c r="G132" t="n">
        <v>-302436.9</v>
      </c>
    </row>
    <row r="133">
      <c r="A133" t="n">
        <v>45654</v>
      </c>
      <c r="B133" t="n">
        <v>128</v>
      </c>
      <c r="C133" t="inlineStr">
        <is>
          <t>Love Cabaret</t>
        </is>
      </c>
      <c r="D133" t="inlineStr">
        <is>
          <t>Saldo Inicial</t>
        </is>
      </c>
      <c r="E133" s="27" t="n">
        <v>45912</v>
      </c>
      <c r="F133" s="27" t="n">
        <v>45912</v>
      </c>
      <c r="G133" t="n">
        <v>-302436.9</v>
      </c>
    </row>
    <row r="134">
      <c r="A134" t="n">
        <v>45620</v>
      </c>
      <c r="B134" t="n">
        <v>128</v>
      </c>
      <c r="C134" t="inlineStr">
        <is>
          <t>Love Cabaret</t>
        </is>
      </c>
      <c r="D134" t="inlineStr">
        <is>
          <t>Saldo Inicial</t>
        </is>
      </c>
      <c r="E134" s="27" t="n">
        <v>45911</v>
      </c>
      <c r="F134" s="27" t="n">
        <v>45911</v>
      </c>
      <c r="G134" t="n">
        <v>-302436.9</v>
      </c>
    </row>
    <row r="135">
      <c r="A135" t="n">
        <v>45572</v>
      </c>
      <c r="B135" t="n">
        <v>128</v>
      </c>
      <c r="C135" t="inlineStr">
        <is>
          <t>Love Cabaret</t>
        </is>
      </c>
      <c r="D135" t="inlineStr">
        <is>
          <t>Saldo Inicial</t>
        </is>
      </c>
      <c r="E135" s="27" t="n">
        <v>45910</v>
      </c>
      <c r="F135" s="27" t="n">
        <v>45910</v>
      </c>
      <c r="G135" t="n">
        <v>-302436.9</v>
      </c>
    </row>
    <row r="136">
      <c r="A136" t="n">
        <v>45540</v>
      </c>
      <c r="B136" t="n">
        <v>128</v>
      </c>
      <c r="C136" t="inlineStr">
        <is>
          <t>Love Cabaret</t>
        </is>
      </c>
      <c r="D136" t="inlineStr">
        <is>
          <t>Saldo Inicial</t>
        </is>
      </c>
      <c r="E136" s="27" t="n">
        <v>45909</v>
      </c>
      <c r="F136" s="27" t="n">
        <v>45909</v>
      </c>
      <c r="G136" t="n">
        <v>-241295.19</v>
      </c>
    </row>
    <row r="137">
      <c r="A137" t="n">
        <v>45541</v>
      </c>
      <c r="B137" t="n">
        <v>128</v>
      </c>
      <c r="C137" t="inlineStr">
        <is>
          <t>Love Cabaret</t>
        </is>
      </c>
      <c r="D137" t="inlineStr">
        <is>
          <t>Saque</t>
        </is>
      </c>
      <c r="E137" s="27" t="n">
        <v>45909</v>
      </c>
      <c r="F137" s="27" t="n">
        <v>45909</v>
      </c>
      <c r="G137" t="n">
        <v>-61141.71</v>
      </c>
    </row>
    <row r="138">
      <c r="A138" t="n">
        <v>45510</v>
      </c>
      <c r="B138" t="n">
        <v>128</v>
      </c>
      <c r="C138" t="inlineStr">
        <is>
          <t>Love Cabaret</t>
        </is>
      </c>
      <c r="D138" t="inlineStr">
        <is>
          <t>Saldo Inicial</t>
        </is>
      </c>
      <c r="E138" s="27" t="n">
        <v>45908</v>
      </c>
      <c r="F138" s="27" t="n">
        <v>45908</v>
      </c>
      <c r="G138" t="n">
        <v>-241295.19</v>
      </c>
    </row>
    <row r="139">
      <c r="A139" t="n">
        <v>45481</v>
      </c>
      <c r="B139" t="n">
        <v>128</v>
      </c>
      <c r="C139" t="inlineStr">
        <is>
          <t>Love Cabaret</t>
        </is>
      </c>
      <c r="D139" t="inlineStr">
        <is>
          <t>Saldo Inicial</t>
        </is>
      </c>
      <c r="E139" s="27" t="n">
        <v>45907</v>
      </c>
      <c r="F139" s="27" t="n">
        <v>45907</v>
      </c>
      <c r="G139" t="n">
        <v>-241295.19</v>
      </c>
    </row>
    <row r="140">
      <c r="A140" t="n">
        <v>45463</v>
      </c>
      <c r="B140" t="n">
        <v>128</v>
      </c>
      <c r="C140" t="inlineStr">
        <is>
          <t>Love Cabaret</t>
        </is>
      </c>
      <c r="D140" t="inlineStr">
        <is>
          <t>Saldo Inicial</t>
        </is>
      </c>
      <c r="E140" s="27" t="n">
        <v>45906</v>
      </c>
      <c r="F140" s="27" t="n">
        <v>45906</v>
      </c>
      <c r="G140" t="n">
        <v>-241295.19</v>
      </c>
    </row>
    <row r="141">
      <c r="A141" t="n">
        <v>45437</v>
      </c>
      <c r="B141" t="n">
        <v>128</v>
      </c>
      <c r="C141" t="inlineStr">
        <is>
          <t>Love Cabaret</t>
        </is>
      </c>
      <c r="D141" t="inlineStr">
        <is>
          <t>Saldo Inicial</t>
        </is>
      </c>
      <c r="E141" s="27" t="n">
        <v>45905</v>
      </c>
      <c r="F141" s="27" t="n">
        <v>45905</v>
      </c>
      <c r="G141" t="n">
        <v>-241295.19</v>
      </c>
    </row>
    <row r="142">
      <c r="A142" t="n">
        <v>45394</v>
      </c>
      <c r="B142" t="n">
        <v>128</v>
      </c>
      <c r="C142" t="inlineStr">
        <is>
          <t>Love Cabaret</t>
        </is>
      </c>
      <c r="D142" t="inlineStr">
        <is>
          <t>Saldo Inicial</t>
        </is>
      </c>
      <c r="E142" s="27" t="n">
        <v>45904</v>
      </c>
      <c r="F142" s="27" t="n">
        <v>45904</v>
      </c>
      <c r="G142" t="n">
        <v>-241295.19</v>
      </c>
    </row>
    <row r="143">
      <c r="A143" t="n">
        <v>45352</v>
      </c>
      <c r="B143" t="n">
        <v>128</v>
      </c>
      <c r="C143" t="inlineStr">
        <is>
          <t>Love Cabaret</t>
        </is>
      </c>
      <c r="D143" t="inlineStr">
        <is>
          <t>Saldo Inicial</t>
        </is>
      </c>
      <c r="E143" s="27" t="n">
        <v>45903</v>
      </c>
      <c r="F143" s="27" t="n">
        <v>45903</v>
      </c>
      <c r="G143" t="n">
        <v>-241295.19</v>
      </c>
    </row>
    <row r="144">
      <c r="A144" t="n">
        <v>45314</v>
      </c>
      <c r="B144" t="n">
        <v>128</v>
      </c>
      <c r="C144" t="inlineStr">
        <is>
          <t>Love Cabaret</t>
        </is>
      </c>
      <c r="D144" t="inlineStr">
        <is>
          <t>Ajuste - Migração de saldo para conta de pagamento</t>
        </is>
      </c>
      <c r="E144" s="27" t="n">
        <v>45902</v>
      </c>
      <c r="F144" s="27" t="n">
        <v>45902</v>
      </c>
      <c r="G144" t="n">
        <v>-20166.27</v>
      </c>
    </row>
    <row r="145">
      <c r="A145" t="n">
        <v>45313</v>
      </c>
      <c r="B145" t="n">
        <v>128</v>
      </c>
      <c r="C145" t="inlineStr">
        <is>
          <t>Love Cabaret</t>
        </is>
      </c>
      <c r="D145" t="inlineStr">
        <is>
          <t>Cartão de Crédito integrado Zig</t>
        </is>
      </c>
      <c r="E145" s="27" t="n">
        <v>45902</v>
      </c>
      <c r="F145" s="27" t="n">
        <v>45871</v>
      </c>
      <c r="G145" t="n">
        <v>20166.27</v>
      </c>
    </row>
    <row r="146">
      <c r="A146" t="n">
        <v>45312</v>
      </c>
      <c r="B146" t="n">
        <v>128</v>
      </c>
      <c r="C146" t="inlineStr">
        <is>
          <t>Love Cabaret</t>
        </is>
      </c>
      <c r="D146" t="inlineStr">
        <is>
          <t>Saldo Inicial</t>
        </is>
      </c>
      <c r="E146" s="27" t="n">
        <v>45902</v>
      </c>
      <c r="F146" s="27" t="n">
        <v>45902</v>
      </c>
      <c r="G146" t="n">
        <v>-221128.92</v>
      </c>
    </row>
    <row r="147">
      <c r="A147" t="n">
        <v>45315</v>
      </c>
      <c r="B147" t="n">
        <v>128</v>
      </c>
      <c r="C147" t="inlineStr">
        <is>
          <t>Love Cabaret</t>
        </is>
      </c>
      <c r="D147" t="inlineStr">
        <is>
          <t>Saque</t>
        </is>
      </c>
      <c r="E147" s="27" t="n">
        <v>45902</v>
      </c>
      <c r="F147" s="27" t="n">
        <v>45902</v>
      </c>
      <c r="G147" t="n">
        <v>-20166.27</v>
      </c>
    </row>
    <row r="148">
      <c r="A148" t="n">
        <v>45266</v>
      </c>
      <c r="B148" t="n">
        <v>128</v>
      </c>
      <c r="C148" t="inlineStr">
        <is>
          <t>Love Cabaret</t>
        </is>
      </c>
      <c r="D148" t="inlineStr">
        <is>
          <t>Saque</t>
        </is>
      </c>
      <c r="E148" s="27" t="n">
        <v>45901</v>
      </c>
      <c r="F148" s="27" t="n">
        <v>45901</v>
      </c>
      <c r="G148" t="n">
        <v>-38035.12</v>
      </c>
    </row>
    <row r="149">
      <c r="A149" t="n">
        <v>45265</v>
      </c>
      <c r="B149" t="n">
        <v>128</v>
      </c>
      <c r="C149" t="inlineStr">
        <is>
          <t>Love Cabaret</t>
        </is>
      </c>
      <c r="D149" t="inlineStr">
        <is>
          <t>Cartão de Crédito integrado Zig</t>
        </is>
      </c>
      <c r="E149" s="27" t="n">
        <v>45901</v>
      </c>
      <c r="F149" s="27" t="n">
        <v>45870</v>
      </c>
      <c r="G149" t="n">
        <v>16231.18</v>
      </c>
    </row>
    <row r="150">
      <c r="A150" t="n">
        <v>45267</v>
      </c>
      <c r="B150" t="n">
        <v>128</v>
      </c>
      <c r="C150" t="inlineStr">
        <is>
          <t>Love Cabaret</t>
        </is>
      </c>
      <c r="D150" t="inlineStr">
        <is>
          <t>Ajuste - Migração de saldo para conta de pagamento</t>
        </is>
      </c>
      <c r="E150" s="27" t="n">
        <v>45901</v>
      </c>
      <c r="F150" s="27" t="n">
        <v>45901</v>
      </c>
      <c r="G150" t="n">
        <v>-16231.18</v>
      </c>
    </row>
    <row r="151">
      <c r="A151" t="n">
        <v>45264</v>
      </c>
      <c r="B151" t="n">
        <v>128</v>
      </c>
      <c r="C151" t="inlineStr">
        <is>
          <t>Love Cabaret</t>
        </is>
      </c>
      <c r="D151" t="inlineStr">
        <is>
          <t>Saldo Inicial</t>
        </is>
      </c>
      <c r="E151" s="27" t="n">
        <v>45901</v>
      </c>
      <c r="F151" s="27" t="n">
        <v>45901</v>
      </c>
      <c r="G151" t="n">
        <v>-183093.8</v>
      </c>
    </row>
    <row r="152">
      <c r="A152" t="n">
        <v>45219</v>
      </c>
      <c r="B152" t="n">
        <v>128</v>
      </c>
      <c r="C152" t="inlineStr">
        <is>
          <t>Love Cabaret</t>
        </is>
      </c>
      <c r="D152" t="inlineStr">
        <is>
          <t>Ajuste - Migração de saldo para conta de pagamento</t>
        </is>
      </c>
      <c r="E152" s="27" t="n">
        <v>45900</v>
      </c>
      <c r="F152" s="27" t="n">
        <v>45900</v>
      </c>
      <c r="G152" t="n">
        <v>-4101.06</v>
      </c>
    </row>
    <row r="153">
      <c r="A153" t="n">
        <v>45218</v>
      </c>
      <c r="B153" t="n">
        <v>128</v>
      </c>
      <c r="C153" t="inlineStr">
        <is>
          <t>Love Cabaret</t>
        </is>
      </c>
      <c r="D153" t="inlineStr">
        <is>
          <t>Cartão de Crédito integrado Zig</t>
        </is>
      </c>
      <c r="E153" s="27" t="n">
        <v>45900</v>
      </c>
      <c r="F153" s="27" t="n">
        <v>45869</v>
      </c>
      <c r="G153" t="n">
        <v>4101.06</v>
      </c>
    </row>
    <row r="154">
      <c r="A154" t="n">
        <v>45217</v>
      </c>
      <c r="B154" t="n">
        <v>128</v>
      </c>
      <c r="C154" t="inlineStr">
        <is>
          <t>Love Cabaret</t>
        </is>
      </c>
      <c r="D154" t="inlineStr">
        <is>
          <t>Saldo Inicial</t>
        </is>
      </c>
      <c r="E154" s="27" t="n">
        <v>45900</v>
      </c>
      <c r="F154" s="27" t="n">
        <v>45900</v>
      </c>
      <c r="G154" t="n">
        <v>-183093.8</v>
      </c>
    </row>
    <row r="155">
      <c r="A155" t="n">
        <v>45186</v>
      </c>
      <c r="B155" t="n">
        <v>128</v>
      </c>
      <c r="C155" t="inlineStr">
        <is>
          <t>Love Cabaret</t>
        </is>
      </c>
      <c r="D155" t="inlineStr">
        <is>
          <t>Saldo Inicial</t>
        </is>
      </c>
      <c r="E155" s="27" t="n">
        <v>45899</v>
      </c>
      <c r="F155" s="27" t="n">
        <v>45899</v>
      </c>
      <c r="G155" t="n">
        <v>-183093.8</v>
      </c>
    </row>
    <row r="156">
      <c r="A156" t="n">
        <v>45151</v>
      </c>
      <c r="B156" t="n">
        <v>128</v>
      </c>
      <c r="C156" t="inlineStr">
        <is>
          <t>Love Cabaret</t>
        </is>
      </c>
      <c r="D156" t="inlineStr">
        <is>
          <t>Saldo Inicial</t>
        </is>
      </c>
      <c r="E156" s="27" t="n">
        <v>45898</v>
      </c>
      <c r="F156" s="27" t="n">
        <v>45898</v>
      </c>
      <c r="G156" t="n">
        <v>-183093.8</v>
      </c>
    </row>
    <row r="157">
      <c r="A157" t="n">
        <v>45109</v>
      </c>
      <c r="B157" t="n">
        <v>128</v>
      </c>
      <c r="C157" t="inlineStr">
        <is>
          <t>Love Cabaret</t>
        </is>
      </c>
      <c r="D157" t="inlineStr">
        <is>
          <t>Saldo Inicial</t>
        </is>
      </c>
      <c r="E157" s="27" t="n">
        <v>45897</v>
      </c>
      <c r="F157" s="27" t="n">
        <v>45897</v>
      </c>
      <c r="G157" t="n">
        <v>-183093.8</v>
      </c>
    </row>
    <row r="158">
      <c r="A158" t="n">
        <v>45067</v>
      </c>
      <c r="B158" t="n">
        <v>128</v>
      </c>
      <c r="C158" t="inlineStr">
        <is>
          <t>Love Cabaret</t>
        </is>
      </c>
      <c r="D158" t="inlineStr">
        <is>
          <t>Saldo Inicial</t>
        </is>
      </c>
      <c r="E158" s="27" t="n">
        <v>45896</v>
      </c>
      <c r="F158" s="27" t="n">
        <v>45896</v>
      </c>
      <c r="G158" t="n">
        <v>-183093.8</v>
      </c>
    </row>
    <row r="159">
      <c r="A159" t="n">
        <v>45022</v>
      </c>
      <c r="B159" t="n">
        <v>128</v>
      </c>
      <c r="C159" t="inlineStr">
        <is>
          <t>Love Cabaret</t>
        </is>
      </c>
      <c r="D159" t="inlineStr">
        <is>
          <t>Saldo Inicial</t>
        </is>
      </c>
      <c r="E159" s="27" t="n">
        <v>45895</v>
      </c>
      <c r="F159" s="27" t="n">
        <v>45895</v>
      </c>
      <c r="G159" t="n">
        <v>-164397.87</v>
      </c>
    </row>
    <row r="160">
      <c r="A160" t="n">
        <v>45025</v>
      </c>
      <c r="B160" t="n">
        <v>128</v>
      </c>
      <c r="C160" t="inlineStr">
        <is>
          <t>Love Cabaret</t>
        </is>
      </c>
      <c r="D160" t="inlineStr">
        <is>
          <t>Saque</t>
        </is>
      </c>
      <c r="E160" s="27" t="n">
        <v>45895</v>
      </c>
      <c r="F160" s="27" t="n">
        <v>45895</v>
      </c>
      <c r="G160" t="n">
        <v>-18695.93</v>
      </c>
    </row>
    <row r="161">
      <c r="A161" t="n">
        <v>45024</v>
      </c>
      <c r="B161" t="n">
        <v>128</v>
      </c>
      <c r="C161" t="inlineStr">
        <is>
          <t>Love Cabaret</t>
        </is>
      </c>
      <c r="D161" t="inlineStr">
        <is>
          <t>Ajuste - Migração de saldo para conta de pagamento</t>
        </is>
      </c>
      <c r="E161" s="27" t="n">
        <v>45895</v>
      </c>
      <c r="F161" s="27" t="n">
        <v>45895</v>
      </c>
      <c r="G161" t="n">
        <v>-18695.93</v>
      </c>
    </row>
    <row r="162">
      <c r="A162" t="n">
        <v>45023</v>
      </c>
      <c r="B162" t="n">
        <v>128</v>
      </c>
      <c r="C162" t="inlineStr">
        <is>
          <t>Love Cabaret</t>
        </is>
      </c>
      <c r="D162" t="inlineStr">
        <is>
          <t>Cartão de Crédito integrado Zig</t>
        </is>
      </c>
      <c r="E162" s="27" t="n">
        <v>45895</v>
      </c>
      <c r="F162" s="27" t="n">
        <v>45864</v>
      </c>
      <c r="G162" t="n">
        <v>18695.93</v>
      </c>
    </row>
    <row r="163">
      <c r="A163" t="n">
        <v>44979</v>
      </c>
      <c r="B163" t="n">
        <v>128</v>
      </c>
      <c r="C163" t="inlineStr">
        <is>
          <t>Love Cabaret</t>
        </is>
      </c>
      <c r="D163" t="inlineStr">
        <is>
          <t>Saque</t>
        </is>
      </c>
      <c r="E163" s="27" t="n">
        <v>45894</v>
      </c>
      <c r="F163" s="27" t="n">
        <v>45894</v>
      </c>
      <c r="G163" t="n">
        <v>-45976.08</v>
      </c>
    </row>
    <row r="164">
      <c r="A164" t="n">
        <v>44977</v>
      </c>
      <c r="B164" t="n">
        <v>128</v>
      </c>
      <c r="C164" t="inlineStr">
        <is>
          <t>Love Cabaret</t>
        </is>
      </c>
      <c r="D164" t="inlineStr">
        <is>
          <t>Cartão de Crédito integrado Zig</t>
        </is>
      </c>
      <c r="E164" s="27" t="n">
        <v>45894</v>
      </c>
      <c r="F164" s="27" t="n">
        <v>45863</v>
      </c>
      <c r="G164" t="n">
        <v>16895.17</v>
      </c>
    </row>
    <row r="165">
      <c r="A165" t="n">
        <v>44978</v>
      </c>
      <c r="B165" t="n">
        <v>128</v>
      </c>
      <c r="C165" t="inlineStr">
        <is>
          <t>Love Cabaret</t>
        </is>
      </c>
      <c r="D165" t="inlineStr">
        <is>
          <t>Ajuste - Migração de saldo para conta de pagamento</t>
        </is>
      </c>
      <c r="E165" s="27" t="n">
        <v>45894</v>
      </c>
      <c r="F165" s="27" t="n">
        <v>45894</v>
      </c>
      <c r="G165" t="n">
        <v>-16895.17</v>
      </c>
    </row>
    <row r="166">
      <c r="A166" t="n">
        <v>44976</v>
      </c>
      <c r="B166" t="n">
        <v>128</v>
      </c>
      <c r="C166" t="inlineStr">
        <is>
          <t>Love Cabaret</t>
        </is>
      </c>
      <c r="D166" t="inlineStr">
        <is>
          <t>Saldo Inicial</t>
        </is>
      </c>
      <c r="E166" s="27" t="n">
        <v>45894</v>
      </c>
      <c r="F166" s="27" t="n">
        <v>45894</v>
      </c>
      <c r="G166" t="n">
        <v>-118421.79</v>
      </c>
    </row>
    <row r="167">
      <c r="A167" t="n">
        <v>44934</v>
      </c>
      <c r="B167" t="n">
        <v>128</v>
      </c>
      <c r="C167" t="inlineStr">
        <is>
          <t>Love Cabaret</t>
        </is>
      </c>
      <c r="D167" t="inlineStr">
        <is>
          <t>Cartão de Crédito integrado Zig</t>
        </is>
      </c>
      <c r="E167" s="27" t="n">
        <v>45893</v>
      </c>
      <c r="F167" s="27" t="n">
        <v>45862</v>
      </c>
      <c r="G167" t="n">
        <v>5872.64</v>
      </c>
    </row>
    <row r="168">
      <c r="A168" t="n">
        <v>44935</v>
      </c>
      <c r="B168" t="n">
        <v>128</v>
      </c>
      <c r="C168" t="inlineStr">
        <is>
          <t>Love Cabaret</t>
        </is>
      </c>
      <c r="D168" t="inlineStr">
        <is>
          <t>Transações via App</t>
        </is>
      </c>
      <c r="E168" s="27" t="n">
        <v>45893</v>
      </c>
      <c r="F168" s="27" t="n">
        <v>45862</v>
      </c>
      <c r="G168" t="n">
        <v>26.56</v>
      </c>
    </row>
    <row r="169">
      <c r="A169" t="n">
        <v>44936</v>
      </c>
      <c r="B169" t="n">
        <v>128</v>
      </c>
      <c r="C169" t="inlineStr">
        <is>
          <t>Love Cabaret</t>
        </is>
      </c>
      <c r="D169" t="inlineStr">
        <is>
          <t>Ajuste - Migração de saldo para conta de pagamento</t>
        </is>
      </c>
      <c r="E169" s="27" t="n">
        <v>45893</v>
      </c>
      <c r="F169" s="27" t="n">
        <v>45893</v>
      </c>
      <c r="G169" t="n">
        <v>-5899.2</v>
      </c>
    </row>
    <row r="170">
      <c r="A170" t="n">
        <v>44933</v>
      </c>
      <c r="B170" t="n">
        <v>128</v>
      </c>
      <c r="C170" t="inlineStr">
        <is>
          <t>Love Cabaret</t>
        </is>
      </c>
      <c r="D170" t="inlineStr">
        <is>
          <t>Saldo Inicial</t>
        </is>
      </c>
      <c r="E170" s="27" t="n">
        <v>45893</v>
      </c>
      <c r="F170" s="27" t="n">
        <v>45893</v>
      </c>
      <c r="G170" t="n">
        <v>-118421.79</v>
      </c>
    </row>
    <row r="171">
      <c r="A171" t="n">
        <v>44901</v>
      </c>
      <c r="B171" t="n">
        <v>128</v>
      </c>
      <c r="C171" t="inlineStr">
        <is>
          <t>Love Cabaret</t>
        </is>
      </c>
      <c r="D171" t="inlineStr">
        <is>
          <t>Saldo Inicial</t>
        </is>
      </c>
      <c r="E171" s="27" t="n">
        <v>45892</v>
      </c>
      <c r="F171" s="27" t="n">
        <v>45892</v>
      </c>
      <c r="G171" t="n">
        <v>-118421.79</v>
      </c>
    </row>
    <row r="172">
      <c r="A172" t="n">
        <v>44868</v>
      </c>
      <c r="B172" t="n">
        <v>128</v>
      </c>
      <c r="C172" t="inlineStr">
        <is>
          <t>Love Cabaret</t>
        </is>
      </c>
      <c r="D172" t="inlineStr">
        <is>
          <t>Saldo Inicial</t>
        </is>
      </c>
      <c r="E172" s="27" t="n">
        <v>45891</v>
      </c>
      <c r="F172" s="27" t="n">
        <v>45891</v>
      </c>
      <c r="G172" t="n">
        <v>-118421.79</v>
      </c>
    </row>
    <row r="173">
      <c r="A173" t="n">
        <v>44828</v>
      </c>
      <c r="B173" t="n">
        <v>128</v>
      </c>
      <c r="C173" t="inlineStr">
        <is>
          <t>Love Cabaret</t>
        </is>
      </c>
      <c r="D173" t="inlineStr">
        <is>
          <t>Saldo Inicial</t>
        </is>
      </c>
      <c r="E173" s="27" t="n">
        <v>45890</v>
      </c>
      <c r="F173" s="27" t="n">
        <v>45890</v>
      </c>
      <c r="G173" t="n">
        <v>-118421.79</v>
      </c>
    </row>
    <row r="174">
      <c r="A174" t="n">
        <v>44788</v>
      </c>
      <c r="B174" t="n">
        <v>128</v>
      </c>
      <c r="C174" t="inlineStr">
        <is>
          <t>Love Cabaret</t>
        </is>
      </c>
      <c r="D174" t="inlineStr">
        <is>
          <t>Saldo Inicial</t>
        </is>
      </c>
      <c r="E174" s="27" t="n">
        <v>45889</v>
      </c>
      <c r="F174" s="27" t="n">
        <v>45889</v>
      </c>
      <c r="G174" t="n">
        <v>-118421.79</v>
      </c>
    </row>
    <row r="175">
      <c r="A175" t="n">
        <v>44745</v>
      </c>
      <c r="B175" t="n">
        <v>128</v>
      </c>
      <c r="C175" t="inlineStr">
        <is>
          <t>Love Cabaret</t>
        </is>
      </c>
      <c r="D175" t="inlineStr">
        <is>
          <t>Saldo Inicial</t>
        </is>
      </c>
      <c r="E175" s="27" t="n">
        <v>45888</v>
      </c>
      <c r="F175" s="27" t="n">
        <v>45888</v>
      </c>
      <c r="G175" t="n">
        <v>-103354.8</v>
      </c>
    </row>
    <row r="176">
      <c r="A176" t="n">
        <v>44746</v>
      </c>
      <c r="B176" t="n">
        <v>128</v>
      </c>
      <c r="C176" t="inlineStr">
        <is>
          <t>Love Cabaret</t>
        </is>
      </c>
      <c r="D176" t="inlineStr">
        <is>
          <t>Cartão de Crédito integrado Zig</t>
        </is>
      </c>
      <c r="E176" s="27" t="n">
        <v>45888</v>
      </c>
      <c r="F176" s="27" t="n">
        <v>45857</v>
      </c>
      <c r="G176" t="n">
        <v>15066.99</v>
      </c>
    </row>
    <row r="177">
      <c r="A177" t="n">
        <v>44747</v>
      </c>
      <c r="B177" t="n">
        <v>128</v>
      </c>
      <c r="C177" t="inlineStr">
        <is>
          <t>Love Cabaret</t>
        </is>
      </c>
      <c r="D177" t="inlineStr">
        <is>
          <t>Ajuste - Migração de saldo para conta de pagamento</t>
        </is>
      </c>
      <c r="E177" s="27" t="n">
        <v>45888</v>
      </c>
      <c r="F177" s="27" t="n">
        <v>45888</v>
      </c>
      <c r="G177" t="n">
        <v>-15066.99</v>
      </c>
    </row>
    <row r="178">
      <c r="A178" t="n">
        <v>44748</v>
      </c>
      <c r="B178" t="n">
        <v>128</v>
      </c>
      <c r="C178" t="inlineStr">
        <is>
          <t>Love Cabaret</t>
        </is>
      </c>
      <c r="D178" t="inlineStr">
        <is>
          <t>Saque</t>
        </is>
      </c>
      <c r="E178" s="27" t="n">
        <v>45888</v>
      </c>
      <c r="F178" s="27" t="n">
        <v>45888</v>
      </c>
      <c r="G178" t="n">
        <v>-15066.99</v>
      </c>
    </row>
    <row r="179">
      <c r="A179" t="n">
        <v>44703</v>
      </c>
      <c r="B179" t="n">
        <v>128</v>
      </c>
      <c r="C179" t="inlineStr">
        <is>
          <t>Love Cabaret</t>
        </is>
      </c>
      <c r="D179" t="inlineStr">
        <is>
          <t>Saque</t>
        </is>
      </c>
      <c r="E179" s="27" t="n">
        <v>45887</v>
      </c>
      <c r="F179" s="27" t="n">
        <v>45887</v>
      </c>
      <c r="G179" t="n">
        <v>-49296.14</v>
      </c>
    </row>
    <row r="180">
      <c r="A180" t="n">
        <v>44699</v>
      </c>
      <c r="B180" t="n">
        <v>128</v>
      </c>
      <c r="C180" t="inlineStr">
        <is>
          <t>Love Cabaret</t>
        </is>
      </c>
      <c r="D180" t="inlineStr">
        <is>
          <t>Saldo Inicial</t>
        </is>
      </c>
      <c r="E180" s="27" t="n">
        <v>45887</v>
      </c>
      <c r="F180" s="27" t="n">
        <v>45887</v>
      </c>
      <c r="G180" t="n">
        <v>-54058.66</v>
      </c>
    </row>
    <row r="181">
      <c r="A181" t="n">
        <v>44700</v>
      </c>
      <c r="B181" t="n">
        <v>128</v>
      </c>
      <c r="C181" t="inlineStr">
        <is>
          <t>Love Cabaret</t>
        </is>
      </c>
      <c r="D181" t="inlineStr">
        <is>
          <t>Cartão de Crédito integrado Zig</t>
        </is>
      </c>
      <c r="E181" s="27" t="n">
        <v>45887</v>
      </c>
      <c r="F181" s="27" t="n">
        <v>45856</v>
      </c>
      <c r="G181" t="n">
        <v>20584.08</v>
      </c>
    </row>
    <row r="182">
      <c r="A182" t="n">
        <v>44701</v>
      </c>
      <c r="B182" t="n">
        <v>128</v>
      </c>
      <c r="C182" t="inlineStr">
        <is>
          <t>Love Cabaret</t>
        </is>
      </c>
      <c r="D182" t="inlineStr">
        <is>
          <t>Transações via App</t>
        </is>
      </c>
      <c r="E182" s="27" t="n">
        <v>45887</v>
      </c>
      <c r="F182" s="27" t="n">
        <v>45856</v>
      </c>
      <c r="G182" t="n">
        <v>1.96</v>
      </c>
    </row>
    <row r="183">
      <c r="A183" t="n">
        <v>44702</v>
      </c>
      <c r="B183" t="n">
        <v>128</v>
      </c>
      <c r="C183" t="inlineStr">
        <is>
          <t>Love Cabaret</t>
        </is>
      </c>
      <c r="D183" t="inlineStr">
        <is>
          <t>Ajuste - Migração de saldo para conta de pagamento</t>
        </is>
      </c>
      <c r="E183" s="27" t="n">
        <v>45887</v>
      </c>
      <c r="F183" s="27" t="n">
        <v>45887</v>
      </c>
      <c r="G183" t="n">
        <v>-20586.04</v>
      </c>
    </row>
    <row r="184">
      <c r="A184" t="n">
        <v>44658</v>
      </c>
      <c r="B184" t="n">
        <v>128</v>
      </c>
      <c r="C184" t="inlineStr">
        <is>
          <t>Love Cabaret</t>
        </is>
      </c>
      <c r="D184" t="inlineStr">
        <is>
          <t>Venda Avulsa Crédito</t>
        </is>
      </c>
      <c r="E184" s="27" t="n">
        <v>45886</v>
      </c>
      <c r="F184" s="27" t="n">
        <v>45855</v>
      </c>
      <c r="G184" t="n">
        <v>389.66</v>
      </c>
    </row>
    <row r="185">
      <c r="A185" t="n">
        <v>44657</v>
      </c>
      <c r="B185" t="n">
        <v>128</v>
      </c>
      <c r="C185" t="inlineStr">
        <is>
          <t>Love Cabaret</t>
        </is>
      </c>
      <c r="D185" t="inlineStr">
        <is>
          <t>Saldo Inicial</t>
        </is>
      </c>
      <c r="E185" s="27" t="n">
        <v>45886</v>
      </c>
      <c r="F185" s="27" t="n">
        <v>45886</v>
      </c>
      <c r="G185" t="n">
        <v>-54058.66</v>
      </c>
    </row>
    <row r="186">
      <c r="A186" t="n">
        <v>44660</v>
      </c>
      <c r="B186" t="n">
        <v>128</v>
      </c>
      <c r="C186" t="inlineStr">
        <is>
          <t>Love Cabaret</t>
        </is>
      </c>
      <c r="D186" t="inlineStr">
        <is>
          <t>Ajuste - Migração de saldo para conta de pagamento</t>
        </is>
      </c>
      <c r="E186" s="27" t="n">
        <v>45886</v>
      </c>
      <c r="F186" s="27" t="n">
        <v>45886</v>
      </c>
      <c r="G186" t="n">
        <v>-9032.51</v>
      </c>
    </row>
    <row r="187">
      <c r="A187" t="n">
        <v>44659</v>
      </c>
      <c r="B187" t="n">
        <v>128</v>
      </c>
      <c r="C187" t="inlineStr">
        <is>
          <t>Love Cabaret</t>
        </is>
      </c>
      <c r="D187" t="inlineStr">
        <is>
          <t>Cartão de Crédito integrado Zig</t>
        </is>
      </c>
      <c r="E187" s="27" t="n">
        <v>45886</v>
      </c>
      <c r="F187" s="27" t="n">
        <v>45855</v>
      </c>
      <c r="G187" t="n">
        <v>8642.85</v>
      </c>
    </row>
    <row r="188">
      <c r="A188" t="n">
        <v>44627</v>
      </c>
      <c r="B188" t="n">
        <v>128</v>
      </c>
      <c r="C188" t="inlineStr">
        <is>
          <t>Love Cabaret</t>
        </is>
      </c>
      <c r="D188" t="inlineStr">
        <is>
          <t>Saldo Inicial</t>
        </is>
      </c>
      <c r="E188" s="27" t="n">
        <v>45885</v>
      </c>
      <c r="F188" s="27" t="n">
        <v>45885</v>
      </c>
      <c r="G188" t="n">
        <v>-54058.66</v>
      </c>
    </row>
    <row r="189">
      <c r="A189" t="n">
        <v>44591</v>
      </c>
      <c r="B189" t="n">
        <v>128</v>
      </c>
      <c r="C189" t="inlineStr">
        <is>
          <t>Love Cabaret</t>
        </is>
      </c>
      <c r="D189" t="inlineStr">
        <is>
          <t>Saldo Inicial</t>
        </is>
      </c>
      <c r="E189" s="27" t="n">
        <v>45884</v>
      </c>
      <c r="F189" s="27" t="n">
        <v>45884</v>
      </c>
      <c r="G189" t="n">
        <v>-54058.66</v>
      </c>
    </row>
    <row r="190">
      <c r="A190" t="n">
        <v>44551</v>
      </c>
      <c r="B190" t="n">
        <v>128</v>
      </c>
      <c r="C190" t="inlineStr">
        <is>
          <t>Love Cabaret</t>
        </is>
      </c>
      <c r="D190" t="inlineStr">
        <is>
          <t>Saque</t>
        </is>
      </c>
      <c r="E190" s="27" t="n">
        <v>45883</v>
      </c>
      <c r="F190" s="27" t="n">
        <v>45883</v>
      </c>
      <c r="G190" t="n">
        <v>-13186.54</v>
      </c>
    </row>
    <row r="191">
      <c r="A191" t="n">
        <v>44550</v>
      </c>
      <c r="B191" t="n">
        <v>128</v>
      </c>
      <c r="C191" t="inlineStr">
        <is>
          <t>Love Cabaret</t>
        </is>
      </c>
      <c r="D191" t="inlineStr">
        <is>
          <t>Saldo Inicial</t>
        </is>
      </c>
      <c r="E191" s="27" t="n">
        <v>45883</v>
      </c>
      <c r="F191" s="27" t="n">
        <v>45883</v>
      </c>
      <c r="G191" t="n">
        <v>-40872.12</v>
      </c>
    </row>
    <row r="192">
      <c r="A192" t="n">
        <v>44513</v>
      </c>
      <c r="B192" t="n">
        <v>128</v>
      </c>
      <c r="C192" t="inlineStr">
        <is>
          <t>Love Cabaret</t>
        </is>
      </c>
      <c r="D192" t="inlineStr">
        <is>
          <t>Saldo Inicial</t>
        </is>
      </c>
      <c r="E192" s="27" t="n">
        <v>45882</v>
      </c>
      <c r="F192" s="27" t="n">
        <v>45882</v>
      </c>
      <c r="G192" t="n">
        <v>-40872.12</v>
      </c>
    </row>
    <row r="193">
      <c r="A193" t="n">
        <v>44475</v>
      </c>
      <c r="B193" t="n">
        <v>128</v>
      </c>
      <c r="C193" t="inlineStr">
        <is>
          <t>Love Cabaret</t>
        </is>
      </c>
      <c r="D193" t="inlineStr">
        <is>
          <t>Cartão de Crédito integrado Zig</t>
        </is>
      </c>
      <c r="E193" s="27" t="n">
        <v>45881</v>
      </c>
      <c r="F193" s="27" t="n">
        <v>45850</v>
      </c>
      <c r="G193" t="n">
        <v>13186.54</v>
      </c>
    </row>
    <row r="194">
      <c r="A194" t="n">
        <v>44474</v>
      </c>
      <c r="B194" t="n">
        <v>128</v>
      </c>
      <c r="C194" t="inlineStr">
        <is>
          <t>Love Cabaret</t>
        </is>
      </c>
      <c r="D194" t="inlineStr">
        <is>
          <t>Saldo Inicial</t>
        </is>
      </c>
      <c r="E194" s="27" t="n">
        <v>45881</v>
      </c>
      <c r="F194" s="27" t="n">
        <v>45881</v>
      </c>
      <c r="G194" t="n">
        <v>-40872.12</v>
      </c>
    </row>
    <row r="195">
      <c r="A195" t="n">
        <v>44476</v>
      </c>
      <c r="B195" t="n">
        <v>128</v>
      </c>
      <c r="C195" t="inlineStr">
        <is>
          <t>Love Cabaret</t>
        </is>
      </c>
      <c r="D195" t="inlineStr">
        <is>
          <t>Ajuste - Migração de saldo para conta de pagamento</t>
        </is>
      </c>
      <c r="E195" s="27" t="n">
        <v>45881</v>
      </c>
      <c r="F195" s="27" t="n">
        <v>45881</v>
      </c>
      <c r="G195" t="n">
        <v>-13186.54</v>
      </c>
    </row>
    <row r="196">
      <c r="A196" t="n">
        <v>44428</v>
      </c>
      <c r="B196" t="n">
        <v>128</v>
      </c>
      <c r="C196" t="inlineStr">
        <is>
          <t>Love Cabaret</t>
        </is>
      </c>
      <c r="D196" t="inlineStr">
        <is>
          <t>Saque</t>
        </is>
      </c>
      <c r="E196" s="27" t="n">
        <v>45880</v>
      </c>
      <c r="F196" s="27" t="n">
        <v>45880</v>
      </c>
      <c r="G196" t="n">
        <v>-40872.12</v>
      </c>
    </row>
    <row r="197">
      <c r="A197" t="n">
        <v>44429</v>
      </c>
      <c r="B197" t="n">
        <v>128</v>
      </c>
      <c r="C197" t="inlineStr">
        <is>
          <t>Love Cabaret</t>
        </is>
      </c>
      <c r="D197" t="inlineStr">
        <is>
          <t>Ajuste - Migração de saldo para conta de pagamento</t>
        </is>
      </c>
      <c r="E197" s="27" t="n">
        <v>45880</v>
      </c>
      <c r="F197" s="27" t="n">
        <v>45880</v>
      </c>
      <c r="G197" t="n">
        <v>-16889.95</v>
      </c>
    </row>
    <row r="198">
      <c r="A198" t="n">
        <v>44427</v>
      </c>
      <c r="B198" t="n">
        <v>128</v>
      </c>
      <c r="C198" t="inlineStr">
        <is>
          <t>Love Cabaret</t>
        </is>
      </c>
      <c r="D198" t="inlineStr">
        <is>
          <t>Cartão de Crédito integrado Zig</t>
        </is>
      </c>
      <c r="E198" s="27" t="n">
        <v>45880</v>
      </c>
      <c r="F198" s="27" t="n">
        <v>45849</v>
      </c>
      <c r="G198" t="n">
        <v>16889.95</v>
      </c>
    </row>
    <row r="199">
      <c r="A199" t="n">
        <v>44426</v>
      </c>
      <c r="B199" t="n">
        <v>128</v>
      </c>
      <c r="C199" t="inlineStr">
        <is>
          <t>Love Cabaret</t>
        </is>
      </c>
      <c r="D199" t="inlineStr">
        <is>
          <t>Saldo Inicial</t>
        </is>
      </c>
      <c r="E199" s="27" t="n">
        <v>45880</v>
      </c>
      <c r="F199" s="27" t="n">
        <v>45880</v>
      </c>
      <c r="G199" t="n">
        <v>0</v>
      </c>
    </row>
    <row r="200">
      <c r="A200" t="n">
        <v>44380</v>
      </c>
      <c r="B200" t="n">
        <v>128</v>
      </c>
      <c r="C200" t="inlineStr">
        <is>
          <t>Love Cabaret</t>
        </is>
      </c>
      <c r="D200" t="inlineStr">
        <is>
          <t>Saldo Inicial</t>
        </is>
      </c>
      <c r="E200" s="27" t="n">
        <v>45879</v>
      </c>
      <c r="F200" s="27" t="n">
        <v>45879</v>
      </c>
      <c r="G200" t="n">
        <v>0</v>
      </c>
    </row>
    <row r="201">
      <c r="A201" t="n">
        <v>44382</v>
      </c>
      <c r="B201" t="n">
        <v>128</v>
      </c>
      <c r="C201" t="inlineStr">
        <is>
          <t>Love Cabaret</t>
        </is>
      </c>
      <c r="D201" t="inlineStr">
        <is>
          <t>Ajuste - Migração de saldo para conta de pagamento</t>
        </is>
      </c>
      <c r="E201" s="27" t="n">
        <v>45879</v>
      </c>
      <c r="F201" s="27" t="n">
        <v>45879</v>
      </c>
      <c r="G201" t="n">
        <v>-3601.75</v>
      </c>
    </row>
    <row r="202">
      <c r="A202" t="n">
        <v>44381</v>
      </c>
      <c r="B202" t="n">
        <v>128</v>
      </c>
      <c r="C202" t="inlineStr">
        <is>
          <t>Love Cabaret</t>
        </is>
      </c>
      <c r="D202" t="inlineStr">
        <is>
          <t>Cartão de Crédito integrado Zig</t>
        </is>
      </c>
      <c r="E202" s="27" t="n">
        <v>45879</v>
      </c>
      <c r="F202" s="27" t="n">
        <v>45848</v>
      </c>
      <c r="G202" t="n">
        <v>3601.75</v>
      </c>
    </row>
    <row r="203">
      <c r="A203" t="n">
        <v>44326</v>
      </c>
      <c r="B203" t="n">
        <v>128</v>
      </c>
      <c r="C203" t="inlineStr">
        <is>
          <t>Love Cabaret</t>
        </is>
      </c>
      <c r="D203" t="inlineStr">
        <is>
          <t>Saldo Inicial</t>
        </is>
      </c>
      <c r="E203" s="27" t="n">
        <v>45878</v>
      </c>
      <c r="F203" s="27" t="n">
        <v>45878</v>
      </c>
      <c r="G203" t="n">
        <v>0</v>
      </c>
    </row>
    <row r="204">
      <c r="A204" t="n">
        <v>44292</v>
      </c>
      <c r="B204" t="n">
        <v>128</v>
      </c>
      <c r="C204" t="inlineStr">
        <is>
          <t>Love Cabaret</t>
        </is>
      </c>
      <c r="D204" t="inlineStr">
        <is>
          <t>Saldo Inicial</t>
        </is>
      </c>
      <c r="E204" s="27" t="n">
        <v>45877</v>
      </c>
      <c r="F204" s="27" t="n">
        <v>45877</v>
      </c>
      <c r="G204" t="n">
        <v>0</v>
      </c>
    </row>
    <row r="205">
      <c r="A205" t="n">
        <v>44263</v>
      </c>
      <c r="B205" t="n">
        <v>128</v>
      </c>
      <c r="C205" t="inlineStr">
        <is>
          <t>Love Cabaret</t>
        </is>
      </c>
      <c r="D205" t="inlineStr">
        <is>
          <t>Saldo Inicial</t>
        </is>
      </c>
      <c r="E205" s="27" t="n">
        <v>45876</v>
      </c>
      <c r="F205" s="27" t="n">
        <v>45876</v>
      </c>
      <c r="G205" t="n">
        <v>0</v>
      </c>
    </row>
    <row r="206">
      <c r="A206" t="n">
        <v>44210</v>
      </c>
      <c r="B206" t="n">
        <v>128</v>
      </c>
      <c r="C206" t="inlineStr">
        <is>
          <t>Love Cabaret</t>
        </is>
      </c>
      <c r="D206" t="inlineStr">
        <is>
          <t>Saldo Inicial</t>
        </is>
      </c>
      <c r="E206" s="27" t="n">
        <v>45875</v>
      </c>
      <c r="F206" s="27" t="n">
        <v>45875</v>
      </c>
      <c r="G206" t="n">
        <v>0</v>
      </c>
    </row>
    <row r="207">
      <c r="A207" t="n">
        <v>44128</v>
      </c>
      <c r="B207" t="n">
        <v>128</v>
      </c>
      <c r="C207" t="inlineStr">
        <is>
          <t>Love Cabaret</t>
        </is>
      </c>
      <c r="D207" t="inlineStr">
        <is>
          <t>Saldo Inicial</t>
        </is>
      </c>
      <c r="E207" s="27" t="n">
        <v>45874</v>
      </c>
      <c r="F207" s="27" t="n">
        <v>45874</v>
      </c>
      <c r="G207" t="n">
        <v>0</v>
      </c>
    </row>
    <row r="208">
      <c r="A208" t="n">
        <v>43853</v>
      </c>
      <c r="B208" t="n">
        <v>128</v>
      </c>
      <c r="C208" t="inlineStr">
        <is>
          <t>Love Cabaret</t>
        </is>
      </c>
      <c r="D208" t="inlineStr">
        <is>
          <t>Saque</t>
        </is>
      </c>
      <c r="E208" s="27" t="n">
        <v>45874</v>
      </c>
      <c r="F208" s="27" t="n">
        <v>45874</v>
      </c>
      <c r="G208" t="n">
        <v>-20616.63</v>
      </c>
    </row>
    <row r="209">
      <c r="A209" t="n">
        <v>43852</v>
      </c>
      <c r="B209" t="n">
        <v>128</v>
      </c>
      <c r="C209" t="inlineStr">
        <is>
          <t>Love Cabaret</t>
        </is>
      </c>
      <c r="D209" t="inlineStr">
        <is>
          <t>Cartão de Crédito integrado Zig</t>
        </is>
      </c>
      <c r="E209" s="27" t="n">
        <v>45874</v>
      </c>
      <c r="F209" s="27" t="n">
        <v>45843</v>
      </c>
      <c r="G209" t="n">
        <v>20616.63</v>
      </c>
    </row>
    <row r="210">
      <c r="A210" t="n">
        <v>43851</v>
      </c>
      <c r="B210" t="n">
        <v>128</v>
      </c>
      <c r="C210" t="inlineStr">
        <is>
          <t>Love Cabaret</t>
        </is>
      </c>
      <c r="D210" t="inlineStr">
        <is>
          <t>Saque</t>
        </is>
      </c>
      <c r="E210" s="27" t="n">
        <v>45873</v>
      </c>
      <c r="F210" s="27" t="n">
        <v>45873</v>
      </c>
      <c r="G210" t="n">
        <v>-38223.24</v>
      </c>
    </row>
    <row r="211">
      <c r="A211" t="n">
        <v>43850</v>
      </c>
      <c r="B211" t="n">
        <v>128</v>
      </c>
      <c r="C211" t="inlineStr">
        <is>
          <t>Love Cabaret</t>
        </is>
      </c>
      <c r="D211" t="inlineStr">
        <is>
          <t>Transações via App</t>
        </is>
      </c>
      <c r="E211" s="27" t="n">
        <v>45873</v>
      </c>
      <c r="F211" s="27" t="n">
        <v>45842</v>
      </c>
      <c r="G211" t="n">
        <v>2.36</v>
      </c>
    </row>
    <row r="212">
      <c r="A212" t="n">
        <v>43849</v>
      </c>
      <c r="B212" t="n">
        <v>128</v>
      </c>
      <c r="C212" t="inlineStr">
        <is>
          <t>Love Cabaret</t>
        </is>
      </c>
      <c r="D212" t="inlineStr">
        <is>
          <t>Cartão de Crédito integrado Zig</t>
        </is>
      </c>
      <c r="E212" s="27" t="n">
        <v>45873</v>
      </c>
      <c r="F212" s="27" t="n">
        <v>45842</v>
      </c>
      <c r="G212" t="n">
        <v>18608.11</v>
      </c>
    </row>
    <row r="213">
      <c r="A213" t="n">
        <v>43848</v>
      </c>
      <c r="B213" t="n">
        <v>128</v>
      </c>
      <c r="C213" t="inlineStr">
        <is>
          <t>Love Cabaret</t>
        </is>
      </c>
      <c r="D213" t="inlineStr">
        <is>
          <t>Taxa de sistema sobre receita de Bar</t>
        </is>
      </c>
      <c r="E213" s="27" t="n">
        <v>45872</v>
      </c>
      <c r="F213" s="27" t="n">
        <v>45871</v>
      </c>
      <c r="G213" t="n">
        <v>-225.67</v>
      </c>
    </row>
    <row r="214">
      <c r="A214" t="n">
        <v>43847</v>
      </c>
      <c r="B214" t="n">
        <v>128</v>
      </c>
      <c r="C214" t="inlineStr">
        <is>
          <t>Love Cabaret</t>
        </is>
      </c>
      <c r="D214" t="inlineStr">
        <is>
          <t>Cartão de Débito integrado Zig</t>
        </is>
      </c>
      <c r="E214" s="27" t="n">
        <v>45872</v>
      </c>
      <c r="F214" s="27" t="n">
        <v>45871</v>
      </c>
      <c r="G214" t="n">
        <v>5880.75</v>
      </c>
    </row>
    <row r="215">
      <c r="A215" t="n">
        <v>43846</v>
      </c>
      <c r="B215" t="n">
        <v>128</v>
      </c>
      <c r="C215" t="inlineStr">
        <is>
          <t>Love Cabaret</t>
        </is>
      </c>
      <c r="D215" t="inlineStr">
        <is>
          <t>Cartão de Crédito integrado Zig</t>
        </is>
      </c>
      <c r="E215" s="27" t="n">
        <v>45872</v>
      </c>
      <c r="F215" s="27" t="n">
        <v>45841</v>
      </c>
      <c r="G215" t="n">
        <v>2906.2</v>
      </c>
    </row>
    <row r="216">
      <c r="A216" t="n">
        <v>43845</v>
      </c>
      <c r="B216" t="n">
        <v>128</v>
      </c>
      <c r="C216" t="inlineStr">
        <is>
          <t>Love Cabaret</t>
        </is>
      </c>
      <c r="D216" t="inlineStr">
        <is>
          <t>Transações via Pix</t>
        </is>
      </c>
      <c r="E216" s="27" t="n">
        <v>45871</v>
      </c>
      <c r="F216" s="27" t="n">
        <v>45871</v>
      </c>
      <c r="G216" t="n">
        <v>1612.75</v>
      </c>
    </row>
    <row r="217">
      <c r="A217" t="n">
        <v>43844</v>
      </c>
      <c r="B217" t="n">
        <v>128</v>
      </c>
      <c r="C217" t="inlineStr">
        <is>
          <t>Love Cabaret</t>
        </is>
      </c>
      <c r="D217" t="inlineStr">
        <is>
          <t>Taxa de sistema sobre receita de Bar</t>
        </is>
      </c>
      <c r="E217" s="27" t="n">
        <v>45871</v>
      </c>
      <c r="F217" s="27" t="n">
        <v>45870</v>
      </c>
      <c r="G217" t="n">
        <v>-192.38</v>
      </c>
    </row>
    <row r="218">
      <c r="A218" t="n">
        <v>43843</v>
      </c>
      <c r="B218" t="n">
        <v>128</v>
      </c>
      <c r="C218" t="inlineStr">
        <is>
          <t>Love Cabaret</t>
        </is>
      </c>
      <c r="D218" t="inlineStr">
        <is>
          <t>Cartão de Débito integrado Zig</t>
        </is>
      </c>
      <c r="E218" s="27" t="n">
        <v>45871</v>
      </c>
      <c r="F218" s="27" t="n">
        <v>45870</v>
      </c>
      <c r="G218" t="n">
        <v>6118.46</v>
      </c>
    </row>
    <row r="219">
      <c r="A219" t="n">
        <v>43837</v>
      </c>
      <c r="B219" t="n">
        <v>128</v>
      </c>
      <c r="C219" t="inlineStr">
        <is>
          <t>Love Cabaret</t>
        </is>
      </c>
      <c r="D219" t="inlineStr">
        <is>
          <t>Cartão de Débito integrado Zig</t>
        </is>
      </c>
      <c r="E219" s="27" t="n">
        <v>45870</v>
      </c>
      <c r="F219" s="27" t="n">
        <v>45869</v>
      </c>
      <c r="G219" t="n">
        <v>2151.49</v>
      </c>
    </row>
    <row r="220">
      <c r="A220" t="n">
        <v>43838</v>
      </c>
      <c r="B220" t="n">
        <v>128</v>
      </c>
      <c r="C220" t="inlineStr">
        <is>
          <t>Love Cabaret</t>
        </is>
      </c>
      <c r="D220" t="inlineStr">
        <is>
          <t>Taxa de sistema sobre receita de Bar</t>
        </is>
      </c>
      <c r="E220" s="27" t="n">
        <v>45870</v>
      </c>
      <c r="F220" s="27" t="n">
        <v>45869</v>
      </c>
      <c r="G220" t="n">
        <v>-55.53</v>
      </c>
    </row>
    <row r="221">
      <c r="A221" t="n">
        <v>43839</v>
      </c>
      <c r="B221" t="n">
        <v>128</v>
      </c>
      <c r="C221" t="inlineStr">
        <is>
          <t>Love Cabaret</t>
        </is>
      </c>
      <c r="D221" t="inlineStr">
        <is>
          <t>Cobrança geral - Z0101 - Ref.:10Pdv's R$20 cada</t>
        </is>
      </c>
      <c r="E221" s="27" t="n">
        <v>45870</v>
      </c>
      <c r="F221" s="27" t="n">
        <v>45870</v>
      </c>
      <c r="G221" t="n">
        <v>-200</v>
      </c>
    </row>
    <row r="222">
      <c r="A222" t="n">
        <v>43840</v>
      </c>
      <c r="B222" t="n">
        <v>128</v>
      </c>
      <c r="C222" t="inlineStr">
        <is>
          <t>Love Cabaret</t>
        </is>
      </c>
      <c r="D222" t="inlineStr">
        <is>
          <t>Cobrança geral - Z0101 - Ref.:16 Smartpos R$20 cada</t>
        </is>
      </c>
      <c r="E222" s="27" t="n">
        <v>45870</v>
      </c>
      <c r="F222" s="27" t="n">
        <v>45870</v>
      </c>
      <c r="G222" t="n">
        <v>-320</v>
      </c>
    </row>
    <row r="223">
      <c r="A223" t="n">
        <v>43841</v>
      </c>
      <c r="B223" t="n">
        <v>128</v>
      </c>
      <c r="C223" t="inlineStr">
        <is>
          <t>Love Cabaret</t>
        </is>
      </c>
      <c r="D223" t="inlineStr">
        <is>
          <t>Cobrança geral - Z0101 - 2 SmartPOS a R$20 cada</t>
        </is>
      </c>
      <c r="E223" s="27" t="n">
        <v>45870</v>
      </c>
      <c r="F223" s="27" t="n">
        <v>45870</v>
      </c>
      <c r="G223" t="n">
        <v>-40</v>
      </c>
    </row>
    <row r="224">
      <c r="A224" t="n">
        <v>43842</v>
      </c>
      <c r="B224" t="n">
        <v>128</v>
      </c>
      <c r="C224" t="inlineStr">
        <is>
          <t>Love Cabaret</t>
        </is>
      </c>
      <c r="D224" t="inlineStr">
        <is>
          <t>Transações via Pix</t>
        </is>
      </c>
      <c r="E224" s="27" t="n">
        <v>45870</v>
      </c>
      <c r="F224" s="27" t="n">
        <v>45870</v>
      </c>
      <c r="G224" t="n">
        <v>1364.35</v>
      </c>
    </row>
    <row r="225">
      <c r="A225" t="n">
        <v>43836</v>
      </c>
      <c r="B225" t="n">
        <v>128</v>
      </c>
      <c r="C225" t="inlineStr">
        <is>
          <t>Love Cabaret</t>
        </is>
      </c>
      <c r="D225" t="inlineStr">
        <is>
          <t>Rebate</t>
        </is>
      </c>
      <c r="E225" s="27" t="n">
        <v>45869</v>
      </c>
      <c r="F225" s="27" t="n">
        <v>45869</v>
      </c>
      <c r="G225" t="n">
        <v>55.53</v>
      </c>
    </row>
    <row r="226">
      <c r="A226" t="n">
        <v>43835</v>
      </c>
      <c r="B226" t="n">
        <v>128</v>
      </c>
      <c r="C226" t="inlineStr">
        <is>
          <t>Love Cabaret</t>
        </is>
      </c>
      <c r="D226" t="inlineStr">
        <is>
          <t>Transações via Pix</t>
        </is>
      </c>
      <c r="E226" s="27" t="n">
        <v>45869</v>
      </c>
      <c r="F226" s="27" t="n">
        <v>45869</v>
      </c>
      <c r="G226" t="n">
        <v>556.8200000000001</v>
      </c>
    </row>
    <row r="227">
      <c r="A227" t="n">
        <v>43834</v>
      </c>
      <c r="B227" t="n">
        <v>128</v>
      </c>
      <c r="C227" t="inlineStr">
        <is>
          <t>Love Cabaret</t>
        </is>
      </c>
      <c r="D227" t="inlineStr">
        <is>
          <t>Saldo Inicial</t>
        </is>
      </c>
      <c r="E227" s="27" t="n">
        <v>45869</v>
      </c>
      <c r="F227" s="27" t="n">
        <v>45869</v>
      </c>
      <c r="G227" t="n">
        <v>0</v>
      </c>
    </row>
    <row r="228">
      <c r="A228" t="n">
        <v>42381</v>
      </c>
      <c r="B228" t="n">
        <v>128</v>
      </c>
      <c r="C228" t="inlineStr">
        <is>
          <t>Love Cabaret</t>
        </is>
      </c>
      <c r="D228" t="inlineStr">
        <is>
          <t>Saque</t>
        </is>
      </c>
      <c r="E228" s="27" t="n">
        <v>45867</v>
      </c>
      <c r="F228" s="27" t="n">
        <v>45867</v>
      </c>
      <c r="G228" t="n">
        <v>-23629.11</v>
      </c>
    </row>
    <row r="229">
      <c r="A229" t="n">
        <v>40057</v>
      </c>
      <c r="B229" t="n">
        <v>128</v>
      </c>
      <c r="C229" t="inlineStr">
        <is>
          <t>Love Cabaret</t>
        </is>
      </c>
      <c r="D229" t="inlineStr">
        <is>
          <t>Cartão de Crédito integrado Zig</t>
        </is>
      </c>
      <c r="E229" s="27" t="n">
        <v>45867</v>
      </c>
      <c r="F229" s="27" t="n">
        <v>45836</v>
      </c>
      <c r="G229" t="n">
        <v>8688.77</v>
      </c>
    </row>
    <row r="230">
      <c r="A230" t="n">
        <v>39957</v>
      </c>
      <c r="B230" t="n">
        <v>128</v>
      </c>
      <c r="C230" t="inlineStr">
        <is>
          <t>Love Cabaret</t>
        </is>
      </c>
      <c r="D230" t="inlineStr">
        <is>
          <t>Transações via App</t>
        </is>
      </c>
      <c r="E230" s="27" t="n">
        <v>45866</v>
      </c>
      <c r="F230" s="27" t="n">
        <v>45835</v>
      </c>
      <c r="G230" t="n">
        <v>13.77</v>
      </c>
    </row>
    <row r="231">
      <c r="A231" t="n">
        <v>39955</v>
      </c>
      <c r="B231" t="n">
        <v>128</v>
      </c>
      <c r="C231" t="inlineStr">
        <is>
          <t>Love Cabaret</t>
        </is>
      </c>
      <c r="D231" t="inlineStr">
        <is>
          <t>Cartão de Crédito integrado Zig</t>
        </is>
      </c>
      <c r="E231" s="27" t="n">
        <v>45866</v>
      </c>
      <c r="F231" s="27" t="n">
        <v>45835</v>
      </c>
      <c r="G231" t="n">
        <v>14736.23</v>
      </c>
    </row>
    <row r="232">
      <c r="A232" t="n">
        <v>39956</v>
      </c>
      <c r="B232" t="n">
        <v>128</v>
      </c>
      <c r="C232" t="inlineStr">
        <is>
          <t>Love Cabaret</t>
        </is>
      </c>
      <c r="D232" t="inlineStr">
        <is>
          <t>Transações via App</t>
        </is>
      </c>
      <c r="E232" s="27" t="n">
        <v>45866</v>
      </c>
      <c r="F232" s="27" t="n">
        <v>45835</v>
      </c>
      <c r="G232" t="n">
        <v>192.49</v>
      </c>
    </row>
    <row r="233">
      <c r="A233" t="n">
        <v>42379</v>
      </c>
      <c r="B233" t="n">
        <v>128</v>
      </c>
      <c r="C233" t="inlineStr">
        <is>
          <t>Love Cabaret</t>
        </is>
      </c>
      <c r="D233" t="inlineStr">
        <is>
          <t>Taxa sobre recarga expirada</t>
        </is>
      </c>
      <c r="E233" s="27" t="n">
        <v>45866</v>
      </c>
      <c r="F233" s="27" t="n">
        <v>45866</v>
      </c>
      <c r="G233" t="n">
        <v>-2.15</v>
      </c>
    </row>
    <row r="234">
      <c r="A234" t="n">
        <v>42375</v>
      </c>
      <c r="B234" t="n">
        <v>128</v>
      </c>
      <c r="C234" t="inlineStr">
        <is>
          <t>Love Cabaret</t>
        </is>
      </c>
      <c r="D234" t="inlineStr">
        <is>
          <t>Saque</t>
        </is>
      </c>
      <c r="E234" s="27" t="n">
        <v>45866</v>
      </c>
      <c r="F234" s="27" t="n">
        <v>45866</v>
      </c>
      <c r="G234" t="n">
        <v>-29365.92</v>
      </c>
    </row>
    <row r="235">
      <c r="A235" t="n">
        <v>42373</v>
      </c>
      <c r="B235" t="n">
        <v>128</v>
      </c>
      <c r="C235" t="inlineStr">
        <is>
          <t>Love Cabaret</t>
        </is>
      </c>
      <c r="D235" t="inlineStr">
        <is>
          <t>Cartão de Débito integrado Zig</t>
        </is>
      </c>
      <c r="E235" s="27" t="n">
        <v>45865</v>
      </c>
      <c r="F235" s="27" t="n">
        <v>45864</v>
      </c>
      <c r="G235" t="n">
        <v>6334.92</v>
      </c>
    </row>
    <row r="236">
      <c r="A236" t="n">
        <v>42374</v>
      </c>
      <c r="B236" t="n">
        <v>128</v>
      </c>
      <c r="C236" t="inlineStr">
        <is>
          <t>Love Cabaret</t>
        </is>
      </c>
      <c r="D236" t="inlineStr">
        <is>
          <t>Taxa de sistema sobre receita de Bar</t>
        </is>
      </c>
      <c r="E236" s="27" t="n">
        <v>45865</v>
      </c>
      <c r="F236" s="27" t="n">
        <v>45864</v>
      </c>
      <c r="G236" t="n">
        <v>-221.08</v>
      </c>
    </row>
    <row r="237">
      <c r="A237" t="n">
        <v>39844</v>
      </c>
      <c r="B237" t="n">
        <v>128</v>
      </c>
      <c r="C237" t="inlineStr">
        <is>
          <t>Love Cabaret</t>
        </is>
      </c>
      <c r="D237" t="inlineStr">
        <is>
          <t>Cartão de Crédito integrado Zig</t>
        </is>
      </c>
      <c r="E237" s="27" t="n">
        <v>45865</v>
      </c>
      <c r="F237" s="27" t="n">
        <v>45834</v>
      </c>
      <c r="G237" t="n">
        <v>7263.84</v>
      </c>
    </row>
    <row r="238">
      <c r="A238" t="n">
        <v>42371</v>
      </c>
      <c r="B238" t="n">
        <v>128</v>
      </c>
      <c r="C238" t="inlineStr">
        <is>
          <t>Love Cabaret</t>
        </is>
      </c>
      <c r="D238" t="inlineStr">
        <is>
          <t>Rebate</t>
        </is>
      </c>
      <c r="E238" s="27" t="n">
        <v>45864</v>
      </c>
      <c r="F238" s="27" t="n">
        <v>45864</v>
      </c>
      <c r="G238" t="n">
        <v>13.41</v>
      </c>
    </row>
    <row r="239">
      <c r="A239" t="n">
        <v>42370</v>
      </c>
      <c r="B239" t="n">
        <v>128</v>
      </c>
      <c r="C239" t="inlineStr">
        <is>
          <t>Love Cabaret</t>
        </is>
      </c>
      <c r="D239" t="inlineStr">
        <is>
          <t>Transações via Pix</t>
        </is>
      </c>
      <c r="E239" s="27" t="n">
        <v>45864</v>
      </c>
      <c r="F239" s="27" t="n">
        <v>45864</v>
      </c>
      <c r="G239" t="n">
        <v>1720.83</v>
      </c>
    </row>
    <row r="240">
      <c r="A240" t="n">
        <v>42369</v>
      </c>
      <c r="B240" t="n">
        <v>128</v>
      </c>
      <c r="C240" t="inlineStr">
        <is>
          <t>Love Cabaret</t>
        </is>
      </c>
      <c r="D240" t="inlineStr">
        <is>
          <t>Taxa de sistema sobre receita de Bar</t>
        </is>
      </c>
      <c r="E240" s="27" t="n">
        <v>45864</v>
      </c>
      <c r="F240" s="27" t="n">
        <v>45863</v>
      </c>
      <c r="G240" t="n">
        <v>-219.65</v>
      </c>
    </row>
    <row r="241">
      <c r="A241" t="n">
        <v>42368</v>
      </c>
      <c r="B241" t="n">
        <v>128</v>
      </c>
      <c r="C241" t="inlineStr">
        <is>
          <t>Love Cabaret</t>
        </is>
      </c>
      <c r="D241" t="inlineStr">
        <is>
          <t>Cartão de Débito integrado Zig</t>
        </is>
      </c>
      <c r="E241" s="27" t="n">
        <v>45864</v>
      </c>
      <c r="F241" s="27" t="n">
        <v>45863</v>
      </c>
      <c r="G241" t="n">
        <v>6610.51</v>
      </c>
    </row>
    <row r="242">
      <c r="A242" t="n">
        <v>42367</v>
      </c>
      <c r="B242" t="n">
        <v>128</v>
      </c>
      <c r="C242" t="inlineStr">
        <is>
          <t>Love Cabaret</t>
        </is>
      </c>
      <c r="D242" t="inlineStr">
        <is>
          <t>Transações via Pix</t>
        </is>
      </c>
      <c r="E242" s="27" t="n">
        <v>45863</v>
      </c>
      <c r="F242" s="27" t="n">
        <v>45863</v>
      </c>
      <c r="G242" t="n">
        <v>3378.22</v>
      </c>
    </row>
    <row r="243">
      <c r="A243" t="n">
        <v>42366</v>
      </c>
      <c r="B243" t="n">
        <v>128</v>
      </c>
      <c r="C243" t="inlineStr">
        <is>
          <t>Love Cabaret</t>
        </is>
      </c>
      <c r="D243" t="inlineStr">
        <is>
          <t>Taxa de sistema sobre receita de Bar</t>
        </is>
      </c>
      <c r="E243" s="27" t="n">
        <v>45863</v>
      </c>
      <c r="F243" s="27" t="n">
        <v>45862</v>
      </c>
      <c r="G243" t="n">
        <v>-85.55</v>
      </c>
    </row>
    <row r="244">
      <c r="A244" t="n">
        <v>42365</v>
      </c>
      <c r="B244" t="n">
        <v>128</v>
      </c>
      <c r="C244" t="inlineStr">
        <is>
          <t>Love Cabaret</t>
        </is>
      </c>
      <c r="D244" t="inlineStr">
        <is>
          <t>Cartão de Débito integrado Zig</t>
        </is>
      </c>
      <c r="E244" s="27" t="n">
        <v>45863</v>
      </c>
      <c r="F244" s="27" t="n">
        <v>45862</v>
      </c>
      <c r="G244" t="n">
        <v>3284.08</v>
      </c>
    </row>
    <row r="245">
      <c r="A245" t="n">
        <v>42364</v>
      </c>
      <c r="B245" t="n">
        <v>128</v>
      </c>
      <c r="C245" t="inlineStr">
        <is>
          <t>Love Cabaret</t>
        </is>
      </c>
      <c r="D245" t="inlineStr">
        <is>
          <t>Transações via Pix</t>
        </is>
      </c>
      <c r="E245" s="27" t="n">
        <v>45862</v>
      </c>
      <c r="F245" s="27" t="n">
        <v>45862</v>
      </c>
      <c r="G245" t="n">
        <v>1286.39</v>
      </c>
    </row>
    <row r="246">
      <c r="A246" t="n">
        <v>42363</v>
      </c>
      <c r="B246" t="n">
        <v>128</v>
      </c>
      <c r="C246" t="inlineStr">
        <is>
          <t>Love Cabaret</t>
        </is>
      </c>
      <c r="D246" t="inlineStr">
        <is>
          <t>Saque</t>
        </is>
      </c>
      <c r="E246" s="27" t="n">
        <v>45860</v>
      </c>
      <c r="F246" s="27" t="n">
        <v>45860</v>
      </c>
      <c r="G246" t="n">
        <v>-15567.89</v>
      </c>
    </row>
    <row r="247">
      <c r="A247" t="n">
        <v>39413</v>
      </c>
      <c r="B247" t="n">
        <v>128</v>
      </c>
      <c r="C247" t="inlineStr">
        <is>
          <t>Love Cabaret</t>
        </is>
      </c>
      <c r="D247" t="inlineStr">
        <is>
          <t>Cartão de Crédito integrado Zig</t>
        </is>
      </c>
      <c r="E247" s="27" t="n">
        <v>45860</v>
      </c>
      <c r="F247" s="27" t="n">
        <v>45829</v>
      </c>
      <c r="G247" t="n">
        <v>15567.89</v>
      </c>
    </row>
    <row r="248">
      <c r="A248" t="n">
        <v>39313</v>
      </c>
      <c r="B248" t="n">
        <v>128</v>
      </c>
      <c r="C248" t="inlineStr">
        <is>
          <t>Love Cabaret</t>
        </is>
      </c>
      <c r="D248" t="inlineStr">
        <is>
          <t>Venda Avulsa Crédito</t>
        </is>
      </c>
      <c r="E248" s="27" t="n">
        <v>45859</v>
      </c>
      <c r="F248" s="27" t="n">
        <v>45828</v>
      </c>
      <c r="G248" t="n">
        <v>787.2</v>
      </c>
    </row>
    <row r="249">
      <c r="A249" t="n">
        <v>39314</v>
      </c>
      <c r="B249" t="n">
        <v>128</v>
      </c>
      <c r="C249" t="inlineStr">
        <is>
          <t>Love Cabaret</t>
        </is>
      </c>
      <c r="D249" t="inlineStr">
        <is>
          <t>Cartão de Crédito integrado Zig</t>
        </is>
      </c>
      <c r="E249" s="27" t="n">
        <v>45859</v>
      </c>
      <c r="F249" s="27" t="n">
        <v>45828</v>
      </c>
      <c r="G249" t="n">
        <v>26740.4</v>
      </c>
    </row>
    <row r="250">
      <c r="A250" t="n">
        <v>42361</v>
      </c>
      <c r="B250" t="n">
        <v>128</v>
      </c>
      <c r="C250" t="inlineStr">
        <is>
          <t>Love Cabaret</t>
        </is>
      </c>
      <c r="D250" t="inlineStr">
        <is>
          <t>Saque</t>
        </is>
      </c>
      <c r="E250" s="27" t="n">
        <v>45859</v>
      </c>
      <c r="F250" s="27" t="n">
        <v>45859</v>
      </c>
      <c r="G250" t="n">
        <v>-79459.62</v>
      </c>
    </row>
    <row r="251">
      <c r="A251" t="n">
        <v>42357</v>
      </c>
      <c r="B251" t="n">
        <v>128</v>
      </c>
      <c r="C251" t="inlineStr">
        <is>
          <t>Love Cabaret</t>
        </is>
      </c>
      <c r="D251" t="inlineStr">
        <is>
          <t>Taxa de sistema sobre receita de Bar</t>
        </is>
      </c>
      <c r="E251" s="27" t="n">
        <v>45858</v>
      </c>
      <c r="F251" s="27" t="n">
        <v>45857</v>
      </c>
      <c r="G251" t="n">
        <v>-189.91</v>
      </c>
    </row>
    <row r="252">
      <c r="A252" t="n">
        <v>42358</v>
      </c>
      <c r="B252" t="n">
        <v>128</v>
      </c>
      <c r="C252" t="inlineStr">
        <is>
          <t>Love Cabaret</t>
        </is>
      </c>
      <c r="D252" t="inlineStr">
        <is>
          <t>Cartão de Débito integrado Zig</t>
        </is>
      </c>
      <c r="E252" s="27" t="n">
        <v>45858</v>
      </c>
      <c r="F252" s="27" t="n">
        <v>45857</v>
      </c>
      <c r="G252" t="n">
        <v>5203.75</v>
      </c>
    </row>
    <row r="253">
      <c r="A253" t="n">
        <v>39205</v>
      </c>
      <c r="B253" t="n">
        <v>128</v>
      </c>
      <c r="C253" t="inlineStr">
        <is>
          <t>Love Cabaret</t>
        </is>
      </c>
      <c r="D253" t="inlineStr">
        <is>
          <t>Transações via App</t>
        </is>
      </c>
      <c r="E253" s="27" t="n">
        <v>45858</v>
      </c>
      <c r="F253" s="27" t="n">
        <v>45827</v>
      </c>
      <c r="G253" t="n">
        <v>2.95</v>
      </c>
    </row>
    <row r="254">
      <c r="A254" t="n">
        <v>39204</v>
      </c>
      <c r="B254" t="n">
        <v>128</v>
      </c>
      <c r="C254" t="inlineStr">
        <is>
          <t>Love Cabaret</t>
        </is>
      </c>
      <c r="D254" t="inlineStr">
        <is>
          <t>Cartão de Crédito integrado Zig</t>
        </is>
      </c>
      <c r="E254" s="27" t="n">
        <v>45858</v>
      </c>
      <c r="F254" s="27" t="n">
        <v>45827</v>
      </c>
      <c r="G254" t="n">
        <v>30384.58</v>
      </c>
    </row>
    <row r="255">
      <c r="A255" t="n">
        <v>39206</v>
      </c>
      <c r="B255" t="n">
        <v>128</v>
      </c>
      <c r="C255" t="inlineStr">
        <is>
          <t>Love Cabaret</t>
        </is>
      </c>
      <c r="D255" t="inlineStr">
        <is>
          <t>Transações via App</t>
        </is>
      </c>
      <c r="E255" s="27" t="n">
        <v>45858</v>
      </c>
      <c r="F255" s="27" t="n">
        <v>45827</v>
      </c>
      <c r="G255" t="n">
        <v>47.81</v>
      </c>
    </row>
    <row r="256">
      <c r="A256" t="n">
        <v>42353</v>
      </c>
      <c r="B256" t="n">
        <v>128</v>
      </c>
      <c r="C256" t="inlineStr">
        <is>
          <t>Love Cabaret</t>
        </is>
      </c>
      <c r="D256" t="inlineStr">
        <is>
          <t>Transações via Pix</t>
        </is>
      </c>
      <c r="E256" s="27" t="n">
        <v>45857</v>
      </c>
      <c r="F256" s="27" t="n">
        <v>45857</v>
      </c>
      <c r="G256" t="n">
        <v>2780.54</v>
      </c>
    </row>
    <row r="257">
      <c r="A257" t="n">
        <v>42352</v>
      </c>
      <c r="B257" t="n">
        <v>128</v>
      </c>
      <c r="C257" t="inlineStr">
        <is>
          <t>Love Cabaret</t>
        </is>
      </c>
      <c r="D257" t="inlineStr">
        <is>
          <t>Taxa de sistema sobre receita de Bar</t>
        </is>
      </c>
      <c r="E257" s="27" t="n">
        <v>45857</v>
      </c>
      <c r="F257" s="27" t="n">
        <v>45856</v>
      </c>
      <c r="G257" t="n">
        <v>-230.95</v>
      </c>
    </row>
    <row r="258">
      <c r="A258" t="n">
        <v>42351</v>
      </c>
      <c r="B258" t="n">
        <v>128</v>
      </c>
      <c r="C258" t="inlineStr">
        <is>
          <t>Love Cabaret</t>
        </is>
      </c>
      <c r="D258" t="inlineStr">
        <is>
          <t>Cartão de Débito integrado Zig</t>
        </is>
      </c>
      <c r="E258" s="27" t="n">
        <v>45857</v>
      </c>
      <c r="F258" s="27" t="n">
        <v>45856</v>
      </c>
      <c r="G258" t="n">
        <v>6488.83</v>
      </c>
    </row>
    <row r="259">
      <c r="A259" t="n">
        <v>42350</v>
      </c>
      <c r="B259" t="n">
        <v>128</v>
      </c>
      <c r="C259" t="inlineStr">
        <is>
          <t>Love Cabaret</t>
        </is>
      </c>
      <c r="D259" t="inlineStr">
        <is>
          <t>Transações via Pix</t>
        </is>
      </c>
      <c r="E259" s="27" t="n">
        <v>45856</v>
      </c>
      <c r="F259" s="27" t="n">
        <v>45856</v>
      </c>
      <c r="G259" t="n">
        <v>1081.82</v>
      </c>
    </row>
    <row r="260">
      <c r="A260" t="n">
        <v>42349</v>
      </c>
      <c r="B260" t="n">
        <v>128</v>
      </c>
      <c r="C260" t="inlineStr">
        <is>
          <t>Love Cabaret</t>
        </is>
      </c>
      <c r="D260" t="inlineStr">
        <is>
          <t>Taxa de sistema sobre consumação antecipada</t>
        </is>
      </c>
      <c r="E260" s="27" t="n">
        <v>45856</v>
      </c>
      <c r="F260" s="27" t="n">
        <v>45855</v>
      </c>
      <c r="G260" t="n">
        <v>-8.720000000000001</v>
      </c>
    </row>
    <row r="261">
      <c r="A261" t="n">
        <v>42348</v>
      </c>
      <c r="B261" t="n">
        <v>128</v>
      </c>
      <c r="C261" t="inlineStr">
        <is>
          <t>Love Cabaret</t>
        </is>
      </c>
      <c r="D261" t="inlineStr">
        <is>
          <t>Venda Avulsa Débito</t>
        </is>
      </c>
      <c r="E261" s="27" t="n">
        <v>45856</v>
      </c>
      <c r="F261" s="27" t="n">
        <v>45855</v>
      </c>
      <c r="G261" t="n">
        <v>98.05</v>
      </c>
    </row>
    <row r="262">
      <c r="A262" t="n">
        <v>42347</v>
      </c>
      <c r="B262" t="n">
        <v>128</v>
      </c>
      <c r="C262" t="inlineStr">
        <is>
          <t>Love Cabaret</t>
        </is>
      </c>
      <c r="D262" t="inlineStr">
        <is>
          <t>Taxa de sistema sobre receita de Bar</t>
        </is>
      </c>
      <c r="E262" s="27" t="n">
        <v>45856</v>
      </c>
      <c r="F262" s="27" t="n">
        <v>45855</v>
      </c>
      <c r="G262" t="n">
        <v>-123.19</v>
      </c>
    </row>
    <row r="263">
      <c r="A263" t="n">
        <v>42346</v>
      </c>
      <c r="B263" t="n">
        <v>128</v>
      </c>
      <c r="C263" t="inlineStr">
        <is>
          <t>Love Cabaret</t>
        </is>
      </c>
      <c r="D263" t="inlineStr">
        <is>
          <t>Cartão de Débito integrado Zig</t>
        </is>
      </c>
      <c r="E263" s="27" t="n">
        <v>45856</v>
      </c>
      <c r="F263" s="27" t="n">
        <v>45855</v>
      </c>
      <c r="G263" t="n">
        <v>4435.62</v>
      </c>
    </row>
    <row r="264">
      <c r="A264" t="n">
        <v>42343</v>
      </c>
      <c r="B264" t="n">
        <v>128</v>
      </c>
      <c r="C264" t="inlineStr">
        <is>
          <t>Love Cabaret</t>
        </is>
      </c>
      <c r="D264" t="inlineStr">
        <is>
          <t>Saque</t>
        </is>
      </c>
      <c r="E264" s="27" t="n">
        <v>45855</v>
      </c>
      <c r="F264" s="27" t="n">
        <v>45855</v>
      </c>
      <c r="G264" t="n">
        <v>-23328.1</v>
      </c>
    </row>
    <row r="265">
      <c r="A265" t="n">
        <v>42344</v>
      </c>
      <c r="B265" t="n">
        <v>128</v>
      </c>
      <c r="C265" t="inlineStr">
        <is>
          <t>Love Cabaret</t>
        </is>
      </c>
      <c r="D265" t="inlineStr">
        <is>
          <t>Venda Avulsa PIX</t>
        </is>
      </c>
      <c r="E265" s="27" t="n">
        <v>45855</v>
      </c>
      <c r="F265" s="27" t="n">
        <v>45855</v>
      </c>
      <c r="G265" t="n">
        <v>196.53</v>
      </c>
    </row>
    <row r="266">
      <c r="A266" t="n">
        <v>42345</v>
      </c>
      <c r="B266" t="n">
        <v>128</v>
      </c>
      <c r="C266" t="inlineStr">
        <is>
          <t>Love Cabaret</t>
        </is>
      </c>
      <c r="D266" t="inlineStr">
        <is>
          <t>Transações via Pix</t>
        </is>
      </c>
      <c r="E266" s="27" t="n">
        <v>45855</v>
      </c>
      <c r="F266" s="27" t="n">
        <v>45855</v>
      </c>
      <c r="G266" t="n">
        <v>1764.31</v>
      </c>
    </row>
    <row r="267">
      <c r="A267" t="n">
        <v>38756</v>
      </c>
      <c r="B267" t="n">
        <v>128</v>
      </c>
      <c r="C267" t="inlineStr">
        <is>
          <t>Love Cabaret</t>
        </is>
      </c>
      <c r="D267" t="inlineStr">
        <is>
          <t>Cartão de Crédito integrado Zig</t>
        </is>
      </c>
      <c r="E267" s="27" t="n">
        <v>45853</v>
      </c>
      <c r="F267" s="27" t="n">
        <v>45822</v>
      </c>
      <c r="G267" t="n">
        <v>23328.1</v>
      </c>
    </row>
    <row r="268">
      <c r="A268" t="n">
        <v>38654</v>
      </c>
      <c r="B268" t="n">
        <v>128</v>
      </c>
      <c r="C268" t="inlineStr">
        <is>
          <t>Love Cabaret</t>
        </is>
      </c>
      <c r="D268" t="inlineStr">
        <is>
          <t>Cartão de Crédito integrado Zig</t>
        </is>
      </c>
      <c r="E268" s="27" t="n">
        <v>45852</v>
      </c>
      <c r="F268" s="27" t="n">
        <v>45821</v>
      </c>
      <c r="G268" t="n">
        <v>21687.67</v>
      </c>
    </row>
    <row r="269">
      <c r="A269" t="n">
        <v>42341</v>
      </c>
      <c r="B269" t="n">
        <v>128</v>
      </c>
      <c r="C269" t="inlineStr">
        <is>
          <t>Love Cabaret</t>
        </is>
      </c>
      <c r="D269" t="inlineStr">
        <is>
          <t>Saque</t>
        </is>
      </c>
      <c r="E269" s="27" t="n">
        <v>45852</v>
      </c>
      <c r="F269" s="27" t="n">
        <v>45852</v>
      </c>
      <c r="G269" t="n">
        <v>-49441.92</v>
      </c>
    </row>
    <row r="270">
      <c r="A270" t="n">
        <v>42338</v>
      </c>
      <c r="B270" t="n">
        <v>128</v>
      </c>
      <c r="C270" t="inlineStr">
        <is>
          <t>Love Cabaret</t>
        </is>
      </c>
      <c r="D270" t="inlineStr">
        <is>
          <t>Cartão de Débito integrado Zig</t>
        </is>
      </c>
      <c r="E270" s="27" t="n">
        <v>45851</v>
      </c>
      <c r="F270" s="27" t="n">
        <v>45850</v>
      </c>
      <c r="G270" t="n">
        <v>4307.35</v>
      </c>
    </row>
    <row r="271">
      <c r="A271" t="n">
        <v>42339</v>
      </c>
      <c r="B271" t="n">
        <v>128</v>
      </c>
      <c r="C271" t="inlineStr">
        <is>
          <t>Love Cabaret</t>
        </is>
      </c>
      <c r="D271" t="inlineStr">
        <is>
          <t>Taxa de sistema sobre receita de Bar</t>
        </is>
      </c>
      <c r="E271" s="27" t="n">
        <v>45851</v>
      </c>
      <c r="F271" s="27" t="n">
        <v>45850</v>
      </c>
      <c r="G271" t="n">
        <v>-146.67</v>
      </c>
    </row>
    <row r="272">
      <c r="A272" t="n">
        <v>38556</v>
      </c>
      <c r="B272" t="n">
        <v>128</v>
      </c>
      <c r="C272" t="inlineStr">
        <is>
          <t>Love Cabaret</t>
        </is>
      </c>
      <c r="D272" t="inlineStr">
        <is>
          <t>Cartão de Crédito integrado Zig</t>
        </is>
      </c>
      <c r="E272" s="27" t="n">
        <v>45851</v>
      </c>
      <c r="F272" s="27" t="n">
        <v>45820</v>
      </c>
      <c r="G272" t="n">
        <v>12217.11</v>
      </c>
    </row>
    <row r="273">
      <c r="A273" t="n">
        <v>42336</v>
      </c>
      <c r="B273" t="n">
        <v>128</v>
      </c>
      <c r="C273" t="inlineStr">
        <is>
          <t>Love Cabaret</t>
        </is>
      </c>
      <c r="D273" t="inlineStr">
        <is>
          <t>Transações via Pix</t>
        </is>
      </c>
      <c r="E273" s="27" t="n">
        <v>45850</v>
      </c>
      <c r="F273" s="27" t="n">
        <v>45850</v>
      </c>
      <c r="G273" t="n">
        <v>579.11</v>
      </c>
    </row>
    <row r="274">
      <c r="A274" t="n">
        <v>42334</v>
      </c>
      <c r="B274" t="n">
        <v>128</v>
      </c>
      <c r="C274" t="inlineStr">
        <is>
          <t>Love Cabaret</t>
        </is>
      </c>
      <c r="D274" t="inlineStr">
        <is>
          <t>Cartão de Débito integrado Zig</t>
        </is>
      </c>
      <c r="E274" s="27" t="n">
        <v>45850</v>
      </c>
      <c r="F274" s="27" t="n">
        <v>45849</v>
      </c>
      <c r="G274" t="n">
        <v>7890.83</v>
      </c>
    </row>
    <row r="275">
      <c r="A275" t="n">
        <v>42335</v>
      </c>
      <c r="B275" t="n">
        <v>128</v>
      </c>
      <c r="C275" t="inlineStr">
        <is>
          <t>Love Cabaret</t>
        </is>
      </c>
      <c r="D275" t="inlineStr">
        <is>
          <t>Taxa de sistema sobre receita de Bar</t>
        </is>
      </c>
      <c r="E275" s="27" t="n">
        <v>45850</v>
      </c>
      <c r="F275" s="27" t="n">
        <v>45849</v>
      </c>
      <c r="G275" t="n">
        <v>-214.62</v>
      </c>
    </row>
    <row r="276">
      <c r="A276" t="n">
        <v>42333</v>
      </c>
      <c r="B276" t="n">
        <v>128</v>
      </c>
      <c r="C276" t="inlineStr">
        <is>
          <t>Love Cabaret</t>
        </is>
      </c>
      <c r="D276" t="inlineStr">
        <is>
          <t>Transações via Pix</t>
        </is>
      </c>
      <c r="E276" s="27" t="n">
        <v>45849</v>
      </c>
      <c r="F276" s="27" t="n">
        <v>45849</v>
      </c>
      <c r="G276" t="n">
        <v>1578.37</v>
      </c>
    </row>
    <row r="277">
      <c r="A277" t="n">
        <v>42332</v>
      </c>
      <c r="B277" t="n">
        <v>128</v>
      </c>
      <c r="C277" t="inlineStr">
        <is>
          <t>Love Cabaret</t>
        </is>
      </c>
      <c r="D277" t="inlineStr">
        <is>
          <t>Taxa de sistema sobre receita de Bar</t>
        </is>
      </c>
      <c r="E277" s="27" t="n">
        <v>45849</v>
      </c>
      <c r="F277" s="27" t="n">
        <v>45848</v>
      </c>
      <c r="G277" t="n">
        <v>-42.65</v>
      </c>
    </row>
    <row r="278">
      <c r="A278" t="n">
        <v>42331</v>
      </c>
      <c r="B278" t="n">
        <v>128</v>
      </c>
      <c r="C278" t="inlineStr">
        <is>
          <t>Love Cabaret</t>
        </is>
      </c>
      <c r="D278" t="inlineStr">
        <is>
          <t>Taxa de sistema sobre consumação antecipada</t>
        </is>
      </c>
      <c r="E278" s="27" t="n">
        <v>45849</v>
      </c>
      <c r="F278" s="27" t="n">
        <v>45848</v>
      </c>
      <c r="G278" t="n">
        <v>-12.68</v>
      </c>
    </row>
    <row r="279">
      <c r="A279" t="n">
        <v>42330</v>
      </c>
      <c r="B279" t="n">
        <v>128</v>
      </c>
      <c r="C279" t="inlineStr">
        <is>
          <t>Love Cabaret</t>
        </is>
      </c>
      <c r="D279" t="inlineStr">
        <is>
          <t>Cartão de Débito integrado Zig</t>
        </is>
      </c>
      <c r="E279" s="27" t="n">
        <v>45849</v>
      </c>
      <c r="F279" s="27" t="n">
        <v>45848</v>
      </c>
      <c r="G279" t="n">
        <v>1033.05</v>
      </c>
    </row>
    <row r="280">
      <c r="A280" t="n">
        <v>42329</v>
      </c>
      <c r="B280" t="n">
        <v>128</v>
      </c>
      <c r="C280" t="inlineStr">
        <is>
          <t>Love Cabaret</t>
        </is>
      </c>
      <c r="D280" t="inlineStr">
        <is>
          <t>Transações via Pix</t>
        </is>
      </c>
      <c r="E280" s="27" t="n">
        <v>45848</v>
      </c>
      <c r="F280" s="27" t="n">
        <v>45848</v>
      </c>
      <c r="G280" t="n">
        <v>565.05</v>
      </c>
    </row>
    <row r="281">
      <c r="A281" t="n">
        <v>42328</v>
      </c>
      <c r="B281" t="n">
        <v>128</v>
      </c>
      <c r="C281" t="inlineStr">
        <is>
          <t>Love Cabaret</t>
        </is>
      </c>
      <c r="D281" t="inlineStr">
        <is>
          <t>Saque</t>
        </is>
      </c>
      <c r="E281" s="27" t="n">
        <v>45846</v>
      </c>
      <c r="F281" s="27" t="n">
        <v>45846</v>
      </c>
      <c r="G281" t="n">
        <v>-60417.3</v>
      </c>
    </row>
    <row r="282">
      <c r="A282" t="n">
        <v>38118</v>
      </c>
      <c r="B282" t="n">
        <v>128</v>
      </c>
      <c r="C282" t="inlineStr">
        <is>
          <t>Love Cabaret</t>
        </is>
      </c>
      <c r="D282" t="inlineStr">
        <is>
          <t>Cartão de Crédito integrado Zig</t>
        </is>
      </c>
      <c r="E282" s="27" t="n">
        <v>45846</v>
      </c>
      <c r="F282" s="27" t="n">
        <v>45815</v>
      </c>
      <c r="G282" t="n">
        <v>16320.98</v>
      </c>
    </row>
    <row r="283">
      <c r="A283" t="n">
        <v>37568</v>
      </c>
      <c r="B283" t="n">
        <v>128</v>
      </c>
      <c r="C283" t="inlineStr">
        <is>
          <t>Love Cabaret</t>
        </is>
      </c>
      <c r="D283" t="inlineStr">
        <is>
          <t>Cartão de Crédito integrado Zig</t>
        </is>
      </c>
      <c r="E283" s="27" t="n">
        <v>45845</v>
      </c>
      <c r="F283" s="27" t="n">
        <v>45814</v>
      </c>
      <c r="G283" t="n">
        <v>17399.91</v>
      </c>
    </row>
    <row r="284">
      <c r="A284" t="n">
        <v>37465</v>
      </c>
      <c r="B284" t="n">
        <v>128</v>
      </c>
      <c r="C284" t="inlineStr">
        <is>
          <t>Love Cabaret</t>
        </is>
      </c>
      <c r="D284" t="inlineStr">
        <is>
          <t>Cartão de Crédito integrado Zig</t>
        </is>
      </c>
      <c r="E284" s="27" t="n">
        <v>45844</v>
      </c>
      <c r="F284" s="27" t="n">
        <v>45813</v>
      </c>
      <c r="G284" t="n">
        <v>8542.01</v>
      </c>
    </row>
    <row r="285">
      <c r="A285" t="n">
        <v>42325</v>
      </c>
      <c r="B285" t="n">
        <v>128</v>
      </c>
      <c r="C285" t="inlineStr">
        <is>
          <t>Love Cabaret</t>
        </is>
      </c>
      <c r="D285" t="inlineStr">
        <is>
          <t>Taxa de sistema sobre receita de Bar</t>
        </is>
      </c>
      <c r="E285" s="27" t="n">
        <v>45844</v>
      </c>
      <c r="F285" s="27" t="n">
        <v>45843</v>
      </c>
      <c r="G285" t="n">
        <v>-233.2</v>
      </c>
    </row>
    <row r="286">
      <c r="A286" t="n">
        <v>42324</v>
      </c>
      <c r="B286" t="n">
        <v>128</v>
      </c>
      <c r="C286" t="inlineStr">
        <is>
          <t>Love Cabaret</t>
        </is>
      </c>
      <c r="D286" t="inlineStr">
        <is>
          <t>Cartão de Débito integrado Zig</t>
        </is>
      </c>
      <c r="E286" s="27" t="n">
        <v>45844</v>
      </c>
      <c r="F286" s="27" t="n">
        <v>45843</v>
      </c>
      <c r="G286" t="n">
        <v>6675.92</v>
      </c>
    </row>
    <row r="287">
      <c r="A287" t="n">
        <v>42321</v>
      </c>
      <c r="B287" t="n">
        <v>128</v>
      </c>
      <c r="C287" t="inlineStr">
        <is>
          <t>Love Cabaret</t>
        </is>
      </c>
      <c r="D287" t="inlineStr">
        <is>
          <t>Taxa de sistema sobre receita de Bar</t>
        </is>
      </c>
      <c r="E287" s="27" t="n">
        <v>45843</v>
      </c>
      <c r="F287" s="27" t="n">
        <v>45842</v>
      </c>
      <c r="G287" t="n">
        <v>-229.13</v>
      </c>
    </row>
    <row r="288">
      <c r="A288" t="n">
        <v>42320</v>
      </c>
      <c r="B288" t="n">
        <v>128</v>
      </c>
      <c r="C288" t="inlineStr">
        <is>
          <t>Love Cabaret</t>
        </is>
      </c>
      <c r="D288" t="inlineStr">
        <is>
          <t>Cartão de Débito integrado Zig</t>
        </is>
      </c>
      <c r="E288" s="27" t="n">
        <v>45843</v>
      </c>
      <c r="F288" s="27" t="n">
        <v>45842</v>
      </c>
      <c r="G288" t="n">
        <v>7755.91</v>
      </c>
    </row>
    <row r="289">
      <c r="A289" t="n">
        <v>42322</v>
      </c>
      <c r="B289" t="n">
        <v>128</v>
      </c>
      <c r="C289" t="inlineStr">
        <is>
          <t>Love Cabaret</t>
        </is>
      </c>
      <c r="D289" t="inlineStr">
        <is>
          <t>Transações via Pix</t>
        </is>
      </c>
      <c r="E289" s="27" t="n">
        <v>45843</v>
      </c>
      <c r="F289" s="27" t="n">
        <v>45843</v>
      </c>
      <c r="G289" t="n">
        <v>489.25</v>
      </c>
    </row>
    <row r="290">
      <c r="A290" t="n">
        <v>42319</v>
      </c>
      <c r="B290" t="n">
        <v>128</v>
      </c>
      <c r="C290" t="inlineStr">
        <is>
          <t>Love Cabaret</t>
        </is>
      </c>
      <c r="D290" t="inlineStr">
        <is>
          <t>Transações via Pix</t>
        </is>
      </c>
      <c r="E290" s="27" t="n">
        <v>45842</v>
      </c>
      <c r="F290" s="27" t="n">
        <v>45842</v>
      </c>
      <c r="G290" t="n">
        <v>1681.56</v>
      </c>
    </row>
    <row r="291">
      <c r="A291" t="n">
        <v>42317</v>
      </c>
      <c r="B291" t="n">
        <v>128</v>
      </c>
      <c r="C291" t="inlineStr">
        <is>
          <t>Love Cabaret</t>
        </is>
      </c>
      <c r="D291" t="inlineStr">
        <is>
          <t>Cartão de Débito integrado Zig</t>
        </is>
      </c>
      <c r="E291" s="27" t="n">
        <v>45842</v>
      </c>
      <c r="F291" s="27" t="n">
        <v>45841</v>
      </c>
      <c r="G291" t="n">
        <v>2006.69</v>
      </c>
    </row>
    <row r="292">
      <c r="A292" t="n">
        <v>42318</v>
      </c>
      <c r="B292" t="n">
        <v>128</v>
      </c>
      <c r="C292" t="inlineStr">
        <is>
          <t>Love Cabaret</t>
        </is>
      </c>
      <c r="D292" t="inlineStr">
        <is>
          <t>Taxa de sistema sobre receita de Bar</t>
        </is>
      </c>
      <c r="E292" s="27" t="n">
        <v>45842</v>
      </c>
      <c r="F292" s="27" t="n">
        <v>45841</v>
      </c>
      <c r="G292" t="n">
        <v>-41.94</v>
      </c>
    </row>
    <row r="293">
      <c r="A293" t="n">
        <v>42316</v>
      </c>
      <c r="B293" t="n">
        <v>128</v>
      </c>
      <c r="C293" t="inlineStr">
        <is>
          <t>Love Cabaret</t>
        </is>
      </c>
      <c r="D293" t="inlineStr">
        <is>
          <t>Taxa de sistema sobre consumação antecipada</t>
        </is>
      </c>
      <c r="E293" s="27" t="n">
        <v>45842</v>
      </c>
      <c r="F293" s="27" t="n">
        <v>45841</v>
      </c>
      <c r="G293" t="n">
        <v>-13.47</v>
      </c>
    </row>
    <row r="294">
      <c r="A294" t="n">
        <v>42315</v>
      </c>
      <c r="B294" t="n">
        <v>128</v>
      </c>
      <c r="C294" t="inlineStr">
        <is>
          <t>Love Cabaret</t>
        </is>
      </c>
      <c r="D294" t="inlineStr">
        <is>
          <t>Transações via Pix</t>
        </is>
      </c>
      <c r="E294" s="27" t="n">
        <v>45841</v>
      </c>
      <c r="F294" s="27" t="n">
        <v>45841</v>
      </c>
      <c r="G294" t="n">
        <v>62.81</v>
      </c>
    </row>
    <row r="295">
      <c r="A295" t="n">
        <v>42314</v>
      </c>
      <c r="B295" t="n">
        <v>128</v>
      </c>
      <c r="C295" t="inlineStr">
        <is>
          <t>Love Cabaret</t>
        </is>
      </c>
      <c r="D295" t="inlineStr">
        <is>
          <t>Saque</t>
        </is>
      </c>
      <c r="E295" s="27" t="n">
        <v>45839</v>
      </c>
      <c r="F295" s="27" t="n">
        <v>45839</v>
      </c>
      <c r="G295" t="n">
        <v>-16036.97</v>
      </c>
    </row>
    <row r="296">
      <c r="A296" t="n">
        <v>42313</v>
      </c>
      <c r="B296" t="n">
        <v>128</v>
      </c>
      <c r="C296" t="inlineStr">
        <is>
          <t>Love Cabaret</t>
        </is>
      </c>
      <c r="D296" t="inlineStr">
        <is>
          <t>Cobrança geral - Z0101 - 2 SmartPOS a R$20 cada</t>
        </is>
      </c>
      <c r="E296" s="27" t="n">
        <v>45839</v>
      </c>
      <c r="F296" s="27" t="n">
        <v>45839</v>
      </c>
      <c r="G296" t="n">
        <v>-40</v>
      </c>
    </row>
    <row r="297">
      <c r="A297" t="n">
        <v>42312</v>
      </c>
      <c r="B297" t="n">
        <v>128</v>
      </c>
      <c r="C297" t="inlineStr">
        <is>
          <t>Love Cabaret</t>
        </is>
      </c>
      <c r="D297" t="inlineStr">
        <is>
          <t>Cobrança geral - Z0101 - Ref.:16 Smartpos R$20 cada</t>
        </is>
      </c>
      <c r="E297" s="27" t="n">
        <v>45839</v>
      </c>
      <c r="F297" s="27" t="n">
        <v>45839</v>
      </c>
      <c r="G297" t="n">
        <v>-320</v>
      </c>
    </row>
    <row r="298">
      <c r="A298" t="n">
        <v>42311</v>
      </c>
      <c r="B298" t="n">
        <v>128</v>
      </c>
      <c r="C298" t="inlineStr">
        <is>
          <t>Love Cabaret</t>
        </is>
      </c>
      <c r="D298" t="inlineStr">
        <is>
          <t>Cobrança geral - Z0101 - Ref.:10Pdv's R$20 cada</t>
        </is>
      </c>
      <c r="E298" s="27" t="n">
        <v>45839</v>
      </c>
      <c r="F298" s="27" t="n">
        <v>45839</v>
      </c>
      <c r="G298" t="n">
        <v>-200</v>
      </c>
    </row>
    <row r="299">
      <c r="A299" t="n">
        <v>42309</v>
      </c>
      <c r="B299" t="n">
        <v>128</v>
      </c>
      <c r="C299" t="inlineStr">
        <is>
          <t>Love Cabaret</t>
        </is>
      </c>
      <c r="D299" t="inlineStr">
        <is>
          <t>Saldo Inicial</t>
        </is>
      </c>
      <c r="E299" s="27" t="n">
        <v>45839</v>
      </c>
      <c r="F299" s="27" t="n">
        <v>45839</v>
      </c>
      <c r="G299" t="n">
        <v>0</v>
      </c>
    </row>
    <row r="300">
      <c r="A300" t="n">
        <v>31740</v>
      </c>
      <c r="B300" t="n">
        <v>128</v>
      </c>
      <c r="C300" t="inlineStr">
        <is>
          <t>Love Cabaret</t>
        </is>
      </c>
      <c r="D300" t="inlineStr">
        <is>
          <t>Cartão de Crédito integrado Zig</t>
        </is>
      </c>
      <c r="E300" s="27" t="n">
        <v>45839</v>
      </c>
      <c r="F300" s="27" t="n">
        <v>45808</v>
      </c>
      <c r="G300" t="n">
        <v>16596.97</v>
      </c>
    </row>
    <row r="301">
      <c r="A301" t="n">
        <v>31616</v>
      </c>
      <c r="B301" t="n">
        <v>128</v>
      </c>
      <c r="C301" t="inlineStr">
        <is>
          <t>Love Cabaret</t>
        </is>
      </c>
      <c r="D301" t="inlineStr">
        <is>
          <t>Cartão de Crédito integrado Zig</t>
        </is>
      </c>
      <c r="E301" s="27" t="n">
        <v>45838</v>
      </c>
      <c r="F301" s="27" t="n">
        <v>45807</v>
      </c>
      <c r="G301" t="n">
        <v>15569.51</v>
      </c>
    </row>
    <row r="302">
      <c r="A302" t="n">
        <v>37713</v>
      </c>
      <c r="B302" t="n">
        <v>128</v>
      </c>
      <c r="C302" t="inlineStr">
        <is>
          <t>Love Cabaret</t>
        </is>
      </c>
      <c r="D302" t="inlineStr">
        <is>
          <t>Saldo Inicial</t>
        </is>
      </c>
      <c r="E302" s="27" t="n">
        <v>45838</v>
      </c>
      <c r="F302" s="27" t="n">
        <v>45838</v>
      </c>
      <c r="G302" t="n">
        <v>19742.95</v>
      </c>
    </row>
    <row r="303">
      <c r="A303" t="n">
        <v>37715</v>
      </c>
      <c r="B303" t="n">
        <v>128</v>
      </c>
      <c r="C303" t="inlineStr">
        <is>
          <t>Love Cabaret</t>
        </is>
      </c>
      <c r="D303" t="inlineStr">
        <is>
          <t>Saque</t>
        </is>
      </c>
      <c r="E303" s="27" t="n">
        <v>45838</v>
      </c>
      <c r="F303" s="27" t="n">
        <v>45838</v>
      </c>
      <c r="G303" t="n">
        <v>-35312.46</v>
      </c>
    </row>
    <row r="304">
      <c r="A304" t="n">
        <v>31310</v>
      </c>
      <c r="B304" t="n">
        <v>128</v>
      </c>
      <c r="C304" t="inlineStr">
        <is>
          <t>Love Cabaret</t>
        </is>
      </c>
      <c r="D304" t="inlineStr">
        <is>
          <t>Cartão de Crédito integrado Zig</t>
        </is>
      </c>
      <c r="E304" s="27" t="n">
        <v>45837</v>
      </c>
      <c r="F304" s="27" t="n">
        <v>45806</v>
      </c>
      <c r="G304" t="n">
        <v>5595.73</v>
      </c>
    </row>
    <row r="305">
      <c r="A305" t="n">
        <v>36255</v>
      </c>
      <c r="B305" t="n">
        <v>128</v>
      </c>
      <c r="C305" t="inlineStr">
        <is>
          <t>Love Cabaret</t>
        </is>
      </c>
      <c r="D305" t="inlineStr">
        <is>
          <t>Cartão de Débito integrado Zig</t>
        </is>
      </c>
      <c r="E305" s="27" t="n">
        <v>45837</v>
      </c>
      <c r="F305" s="27" t="n">
        <v>45836</v>
      </c>
      <c r="G305" t="n">
        <v>3464.59</v>
      </c>
    </row>
    <row r="306">
      <c r="A306" t="n">
        <v>36254</v>
      </c>
      <c r="B306" t="n">
        <v>128</v>
      </c>
      <c r="C306" t="inlineStr">
        <is>
          <t>Love Cabaret</t>
        </is>
      </c>
      <c r="D306" t="inlineStr">
        <is>
          <t>Taxa de sistema sobre receita de Bar</t>
        </is>
      </c>
      <c r="E306" s="27" t="n">
        <v>45837</v>
      </c>
      <c r="F306" s="27" t="n">
        <v>45836</v>
      </c>
      <c r="G306" t="n">
        <v>-111.19</v>
      </c>
    </row>
    <row r="307">
      <c r="A307" t="n">
        <v>36250</v>
      </c>
      <c r="B307" t="n">
        <v>128</v>
      </c>
      <c r="C307" t="inlineStr">
        <is>
          <t>Love Cabaret</t>
        </is>
      </c>
      <c r="D307" t="inlineStr">
        <is>
          <t>Cartão de Débito integrado Zig</t>
        </is>
      </c>
      <c r="E307" s="27" t="n">
        <v>45836</v>
      </c>
      <c r="F307" s="27" t="n">
        <v>45835</v>
      </c>
      <c r="G307" t="n">
        <v>3504.24</v>
      </c>
    </row>
    <row r="308">
      <c r="A308" t="n">
        <v>36252</v>
      </c>
      <c r="B308" t="n">
        <v>128</v>
      </c>
      <c r="C308" t="inlineStr">
        <is>
          <t>Love Cabaret</t>
        </is>
      </c>
      <c r="D308" t="inlineStr">
        <is>
          <t>Rebate</t>
        </is>
      </c>
      <c r="E308" s="27" t="n">
        <v>45836</v>
      </c>
      <c r="F308" s="27" t="n">
        <v>45836</v>
      </c>
      <c r="G308" t="n">
        <v>111.19</v>
      </c>
    </row>
    <row r="309">
      <c r="A309" t="n">
        <v>36251</v>
      </c>
      <c r="B309" t="n">
        <v>128</v>
      </c>
      <c r="C309" t="inlineStr">
        <is>
          <t>Love Cabaret</t>
        </is>
      </c>
      <c r="D309" t="inlineStr">
        <is>
          <t>Transações via Pix</t>
        </is>
      </c>
      <c r="E309" s="27" t="n">
        <v>45836</v>
      </c>
      <c r="F309" s="27" t="n">
        <v>45836</v>
      </c>
      <c r="G309" t="n">
        <v>1161.27</v>
      </c>
    </row>
    <row r="310">
      <c r="A310" t="n">
        <v>36249</v>
      </c>
      <c r="B310" t="n">
        <v>128</v>
      </c>
      <c r="C310" t="inlineStr">
        <is>
          <t>Love Cabaret</t>
        </is>
      </c>
      <c r="D310" t="inlineStr">
        <is>
          <t>Taxa de sistema sobre receita de Bar</t>
        </is>
      </c>
      <c r="E310" s="27" t="n">
        <v>45836</v>
      </c>
      <c r="F310" s="27" t="n">
        <v>45835</v>
      </c>
      <c r="G310" t="n">
        <v>-170.8</v>
      </c>
    </row>
    <row r="311">
      <c r="A311" t="n">
        <v>36248</v>
      </c>
      <c r="B311" t="n">
        <v>128</v>
      </c>
      <c r="C311" t="inlineStr">
        <is>
          <t>Love Cabaret</t>
        </is>
      </c>
      <c r="D311" t="inlineStr">
        <is>
          <t>Rebate</t>
        </is>
      </c>
      <c r="E311" s="27" t="n">
        <v>45835</v>
      </c>
      <c r="F311" s="27" t="n">
        <v>45835</v>
      </c>
      <c r="G311" t="n">
        <v>170.8</v>
      </c>
    </row>
    <row r="312">
      <c r="A312" t="n">
        <v>36247</v>
      </c>
      <c r="B312" t="n">
        <v>128</v>
      </c>
      <c r="C312" t="inlineStr">
        <is>
          <t>Love Cabaret</t>
        </is>
      </c>
      <c r="D312" t="inlineStr">
        <is>
          <t>Transações via Pix</t>
        </is>
      </c>
      <c r="E312" s="27" t="n">
        <v>45835</v>
      </c>
      <c r="F312" s="27" t="n">
        <v>45835</v>
      </c>
      <c r="G312" t="n">
        <v>1600.57</v>
      </c>
    </row>
    <row r="313">
      <c r="A313" t="n">
        <v>36246</v>
      </c>
      <c r="B313" t="n">
        <v>128</v>
      </c>
      <c r="C313" t="inlineStr">
        <is>
          <t>Love Cabaret</t>
        </is>
      </c>
      <c r="D313" t="inlineStr">
        <is>
          <t>Cartão de Débito integrado Zig</t>
        </is>
      </c>
      <c r="E313" s="27" t="n">
        <v>45835</v>
      </c>
      <c r="F313" s="27" t="n">
        <v>45834</v>
      </c>
      <c r="G313" t="n">
        <v>3760.46</v>
      </c>
    </row>
    <row r="314">
      <c r="A314" t="n">
        <v>36245</v>
      </c>
      <c r="B314" t="n">
        <v>128</v>
      </c>
      <c r="C314" t="inlineStr">
        <is>
          <t>Love Cabaret</t>
        </is>
      </c>
      <c r="D314" t="inlineStr">
        <is>
          <t>Taxa de sistema sobre receita de Bar</t>
        </is>
      </c>
      <c r="E314" s="27" t="n">
        <v>45835</v>
      </c>
      <c r="F314" s="27" t="n">
        <v>45834</v>
      </c>
      <c r="G314" t="n">
        <v>-95.33</v>
      </c>
    </row>
    <row r="315">
      <c r="A315" t="n">
        <v>36244</v>
      </c>
      <c r="B315" t="n">
        <v>128</v>
      </c>
      <c r="C315" t="inlineStr">
        <is>
          <t>Love Cabaret</t>
        </is>
      </c>
      <c r="D315" t="inlineStr">
        <is>
          <t>Rebate</t>
        </is>
      </c>
      <c r="E315" s="27" t="n">
        <v>45834</v>
      </c>
      <c r="F315" s="27" t="n">
        <v>45834</v>
      </c>
      <c r="G315" t="n">
        <v>59.15</v>
      </c>
    </row>
    <row r="316">
      <c r="A316" t="n">
        <v>36243</v>
      </c>
      <c r="B316" t="n">
        <v>128</v>
      </c>
      <c r="C316" t="inlineStr">
        <is>
          <t>Love Cabaret</t>
        </is>
      </c>
      <c r="D316" t="inlineStr">
        <is>
          <t>Transações via Pix</t>
        </is>
      </c>
      <c r="E316" s="27" t="n">
        <v>45834</v>
      </c>
      <c r="F316" s="27" t="n">
        <v>45834</v>
      </c>
      <c r="G316" t="n">
        <v>692.27</v>
      </c>
    </row>
    <row r="317">
      <c r="A317" t="n">
        <v>36242</v>
      </c>
      <c r="B317" t="n">
        <v>128</v>
      </c>
      <c r="C317" t="inlineStr">
        <is>
          <t>Love Cabaret</t>
        </is>
      </c>
      <c r="D317" t="inlineStr">
        <is>
          <t>Saque</t>
        </is>
      </c>
      <c r="E317" s="27" t="n">
        <v>45832</v>
      </c>
      <c r="F317" s="27" t="n">
        <v>45832</v>
      </c>
      <c r="G317" t="n">
        <v>-76587.91</v>
      </c>
    </row>
    <row r="318">
      <c r="A318" t="n">
        <v>30856</v>
      </c>
      <c r="B318" t="n">
        <v>128</v>
      </c>
      <c r="C318" t="inlineStr">
        <is>
          <t>Love Cabaret</t>
        </is>
      </c>
      <c r="D318" t="inlineStr">
        <is>
          <t>Cartão de Crédito integrado Zig</t>
        </is>
      </c>
      <c r="E318" s="27" t="n">
        <v>45832</v>
      </c>
      <c r="F318" s="27" t="n">
        <v>45802</v>
      </c>
      <c r="G318" t="n">
        <v>14968.81</v>
      </c>
    </row>
    <row r="319">
      <c r="A319" t="n">
        <v>30857</v>
      </c>
      <c r="B319" t="n">
        <v>128</v>
      </c>
      <c r="C319" t="inlineStr">
        <is>
          <t>Love Cabaret</t>
        </is>
      </c>
      <c r="D319" t="inlineStr">
        <is>
          <t>Transações via App</t>
        </is>
      </c>
      <c r="E319" s="27" t="n">
        <v>45832</v>
      </c>
      <c r="F319" s="27" t="n">
        <v>45802</v>
      </c>
      <c r="G319" t="n">
        <v>9.84</v>
      </c>
    </row>
    <row r="320">
      <c r="A320" t="n">
        <v>33486</v>
      </c>
      <c r="B320" t="n">
        <v>128</v>
      </c>
      <c r="C320" t="inlineStr">
        <is>
          <t>Love Cabaret</t>
        </is>
      </c>
      <c r="D320" t="inlineStr">
        <is>
          <t>Cartão de Crédito integrado Zig</t>
        </is>
      </c>
      <c r="E320" s="27" t="n">
        <v>45831</v>
      </c>
      <c r="F320" s="27" t="n">
        <v>45800</v>
      </c>
      <c r="G320" t="n">
        <v>20773.36</v>
      </c>
    </row>
    <row r="321">
      <c r="A321" t="n">
        <v>36238</v>
      </c>
      <c r="B321" t="n">
        <v>128</v>
      </c>
      <c r="C321" t="inlineStr">
        <is>
          <t>Love Cabaret</t>
        </is>
      </c>
      <c r="D321" t="inlineStr">
        <is>
          <t>Cartão de Débito integrado Zig</t>
        </is>
      </c>
      <c r="E321" s="27" t="n">
        <v>45830</v>
      </c>
      <c r="F321" s="27" t="n">
        <v>45829</v>
      </c>
      <c r="G321" t="n">
        <v>3998.01</v>
      </c>
    </row>
    <row r="322">
      <c r="A322" t="n">
        <v>36237</v>
      </c>
      <c r="B322" t="n">
        <v>128</v>
      </c>
      <c r="C322" t="inlineStr">
        <is>
          <t>Love Cabaret</t>
        </is>
      </c>
      <c r="D322" t="inlineStr">
        <is>
          <t>Taxa de sistema sobre receita de Bar</t>
        </is>
      </c>
      <c r="E322" s="27" t="n">
        <v>45830</v>
      </c>
      <c r="F322" s="27" t="n">
        <v>45829</v>
      </c>
      <c r="G322" t="n">
        <v>-173.58</v>
      </c>
    </row>
    <row r="323">
      <c r="A323" t="n">
        <v>30279</v>
      </c>
      <c r="B323" t="n">
        <v>128</v>
      </c>
      <c r="C323" t="inlineStr">
        <is>
          <t>Love Cabaret</t>
        </is>
      </c>
      <c r="D323" t="inlineStr">
        <is>
          <t>Cartão de Crédito integrado Zig</t>
        </is>
      </c>
      <c r="E323" s="27" t="n">
        <v>45830</v>
      </c>
      <c r="F323" s="27" t="n">
        <v>45799</v>
      </c>
      <c r="G323" t="n">
        <v>12181.72</v>
      </c>
    </row>
    <row r="324">
      <c r="A324" t="n">
        <v>36234</v>
      </c>
      <c r="B324" t="n">
        <v>128</v>
      </c>
      <c r="C324" t="inlineStr">
        <is>
          <t>Love Cabaret</t>
        </is>
      </c>
      <c r="D324" t="inlineStr">
        <is>
          <t>Cartão de Débito integrado Zig</t>
        </is>
      </c>
      <c r="E324" s="27" t="n">
        <v>45829</v>
      </c>
      <c r="F324" s="27" t="n">
        <v>45828</v>
      </c>
      <c r="G324" t="n">
        <v>6229.26</v>
      </c>
    </row>
    <row r="325">
      <c r="A325" t="n">
        <v>36235</v>
      </c>
      <c r="B325" t="n">
        <v>128</v>
      </c>
      <c r="C325" t="inlineStr">
        <is>
          <t>Love Cabaret</t>
        </is>
      </c>
      <c r="D325" t="inlineStr">
        <is>
          <t>Transações via Pix</t>
        </is>
      </c>
      <c r="E325" s="27" t="n">
        <v>45829</v>
      </c>
      <c r="F325" s="27" t="n">
        <v>45829</v>
      </c>
      <c r="G325" t="n">
        <v>1705.65</v>
      </c>
    </row>
    <row r="326">
      <c r="A326" t="n">
        <v>36233</v>
      </c>
      <c r="B326" t="n">
        <v>128</v>
      </c>
      <c r="C326" t="inlineStr">
        <is>
          <t>Love Cabaret</t>
        </is>
      </c>
      <c r="D326" t="inlineStr">
        <is>
          <t>Taxa de sistema sobre receita de Bar</t>
        </is>
      </c>
      <c r="E326" s="27" t="n">
        <v>45829</v>
      </c>
      <c r="F326" s="27" t="n">
        <v>45828</v>
      </c>
      <c r="G326" t="n">
        <v>-289.31</v>
      </c>
    </row>
    <row r="327">
      <c r="A327" t="n">
        <v>36232</v>
      </c>
      <c r="B327" t="n">
        <v>128</v>
      </c>
      <c r="C327" t="inlineStr">
        <is>
          <t>Love Cabaret</t>
        </is>
      </c>
      <c r="D327" t="inlineStr">
        <is>
          <t>Transações via Pix</t>
        </is>
      </c>
      <c r="E327" s="27" t="n">
        <v>45828</v>
      </c>
      <c r="F327" s="27" t="n">
        <v>45828</v>
      </c>
      <c r="G327" t="n">
        <v>2678.47</v>
      </c>
    </row>
    <row r="328">
      <c r="A328" t="n">
        <v>36231</v>
      </c>
      <c r="B328" t="n">
        <v>128</v>
      </c>
      <c r="C328" t="inlineStr">
        <is>
          <t>Love Cabaret</t>
        </is>
      </c>
      <c r="D328" t="inlineStr">
        <is>
          <t>Cartão de Débito integrado Zig</t>
        </is>
      </c>
      <c r="E328" s="27" t="n">
        <v>45828</v>
      </c>
      <c r="F328" s="27" t="n">
        <v>45827</v>
      </c>
      <c r="G328" t="n">
        <v>11028.21</v>
      </c>
    </row>
    <row r="329">
      <c r="A329" t="n">
        <v>36230</v>
      </c>
      <c r="B329" t="n">
        <v>128</v>
      </c>
      <c r="C329" t="inlineStr">
        <is>
          <t>Love Cabaret</t>
        </is>
      </c>
      <c r="D329" t="inlineStr">
        <is>
          <t>Taxa de sistema sobre receita de Bar</t>
        </is>
      </c>
      <c r="E329" s="27" t="n">
        <v>45828</v>
      </c>
      <c r="F329" s="27" t="n">
        <v>45827</v>
      </c>
      <c r="G329" t="n">
        <v>-369.29</v>
      </c>
    </row>
    <row r="330">
      <c r="A330" t="n">
        <v>36229</v>
      </c>
      <c r="B330" t="n">
        <v>128</v>
      </c>
      <c r="C330" t="inlineStr">
        <is>
          <t>Love Cabaret</t>
        </is>
      </c>
      <c r="D330" t="inlineStr">
        <is>
          <t>Transações via Pix</t>
        </is>
      </c>
      <c r="E330" s="27" t="n">
        <v>45827</v>
      </c>
      <c r="F330" s="27" t="n">
        <v>45827</v>
      </c>
      <c r="G330" t="n">
        <v>3846.76</v>
      </c>
    </row>
    <row r="331">
      <c r="A331" t="n">
        <v>36228</v>
      </c>
      <c r="B331" t="n">
        <v>128</v>
      </c>
      <c r="C331" t="inlineStr">
        <is>
          <t>Love Cabaret</t>
        </is>
      </c>
      <c r="D331" t="inlineStr">
        <is>
          <t>Saque</t>
        </is>
      </c>
      <c r="E331" s="27" t="n">
        <v>45826</v>
      </c>
      <c r="F331" s="27" t="n">
        <v>45826</v>
      </c>
      <c r="G331" t="n">
        <v>-14832.19</v>
      </c>
    </row>
    <row r="332">
      <c r="A332" t="n">
        <v>33474</v>
      </c>
      <c r="B332" t="n">
        <v>128</v>
      </c>
      <c r="C332" t="inlineStr">
        <is>
          <t>Love Cabaret</t>
        </is>
      </c>
      <c r="D332" t="inlineStr">
        <is>
          <t>Cartão de Crédito integrado Zig</t>
        </is>
      </c>
      <c r="E332" s="27" t="n">
        <v>45825</v>
      </c>
      <c r="F332" s="27" t="n">
        <v>45794</v>
      </c>
      <c r="G332" t="n">
        <v>14832.19</v>
      </c>
    </row>
    <row r="333">
      <c r="A333" t="n">
        <v>33472</v>
      </c>
      <c r="B333" t="n">
        <v>128</v>
      </c>
      <c r="C333" t="inlineStr">
        <is>
          <t>Love Cabaret</t>
        </is>
      </c>
      <c r="D333" t="inlineStr">
        <is>
          <t>Cartão de Crédito integrado Zig</t>
        </is>
      </c>
      <c r="E333" s="27" t="n">
        <v>45824</v>
      </c>
      <c r="F333" s="27" t="n">
        <v>45793</v>
      </c>
      <c r="G333" t="n">
        <v>15580.73</v>
      </c>
    </row>
    <row r="334">
      <c r="A334" t="n">
        <v>36226</v>
      </c>
      <c r="B334" t="n">
        <v>128</v>
      </c>
      <c r="C334" t="inlineStr">
        <is>
          <t>Love Cabaret</t>
        </is>
      </c>
      <c r="D334" t="inlineStr">
        <is>
          <t>Saque</t>
        </is>
      </c>
      <c r="E334" s="27" t="n">
        <v>45824</v>
      </c>
      <c r="F334" s="27" t="n">
        <v>45824</v>
      </c>
      <c r="G334" t="n">
        <v>-36592.31</v>
      </c>
    </row>
    <row r="335">
      <c r="A335" t="n">
        <v>33469</v>
      </c>
      <c r="B335" t="n">
        <v>128</v>
      </c>
      <c r="C335" t="inlineStr">
        <is>
          <t>Love Cabaret</t>
        </is>
      </c>
      <c r="D335" t="inlineStr">
        <is>
          <t>Cartão de Crédito integrado Zig</t>
        </is>
      </c>
      <c r="E335" s="27" t="n">
        <v>45823</v>
      </c>
      <c r="F335" s="27" t="n">
        <v>45792</v>
      </c>
      <c r="G335" t="n">
        <v>5274.32</v>
      </c>
    </row>
    <row r="336">
      <c r="A336" t="n">
        <v>36224</v>
      </c>
      <c r="B336" t="n">
        <v>128</v>
      </c>
      <c r="C336" t="inlineStr">
        <is>
          <t>Love Cabaret</t>
        </is>
      </c>
      <c r="D336" t="inlineStr">
        <is>
          <t>Cartão de Débito integrado Zig</t>
        </is>
      </c>
      <c r="E336" s="27" t="n">
        <v>45823</v>
      </c>
      <c r="F336" s="27" t="n">
        <v>45822</v>
      </c>
      <c r="G336" t="n">
        <v>5983.44</v>
      </c>
    </row>
    <row r="337">
      <c r="A337" t="n">
        <v>36223</v>
      </c>
      <c r="B337" t="n">
        <v>128</v>
      </c>
      <c r="C337" t="inlineStr">
        <is>
          <t>Love Cabaret</t>
        </is>
      </c>
      <c r="D337" t="inlineStr">
        <is>
          <t>Taxa de sistema sobre receita de Bar</t>
        </is>
      </c>
      <c r="E337" s="27" t="n">
        <v>45823</v>
      </c>
      <c r="F337" s="27" t="n">
        <v>45822</v>
      </c>
      <c r="G337" t="n">
        <v>-254.59</v>
      </c>
    </row>
    <row r="338">
      <c r="A338" t="n">
        <v>36221</v>
      </c>
      <c r="B338" t="n">
        <v>128</v>
      </c>
      <c r="C338" t="inlineStr">
        <is>
          <t>Love Cabaret</t>
        </is>
      </c>
      <c r="D338" t="inlineStr">
        <is>
          <t>Transações via Pix</t>
        </is>
      </c>
      <c r="E338" s="27" t="n">
        <v>45822</v>
      </c>
      <c r="F338" s="27" t="n">
        <v>45822</v>
      </c>
      <c r="G338" t="n">
        <v>1434.8</v>
      </c>
    </row>
    <row r="339">
      <c r="A339" t="n">
        <v>36220</v>
      </c>
      <c r="B339" t="n">
        <v>128</v>
      </c>
      <c r="C339" t="inlineStr">
        <is>
          <t>Love Cabaret</t>
        </is>
      </c>
      <c r="D339" t="inlineStr">
        <is>
          <t>Cartão de Débito integrado Zig</t>
        </is>
      </c>
      <c r="E339" s="27" t="n">
        <v>45822</v>
      </c>
      <c r="F339" s="27" t="n">
        <v>45821</v>
      </c>
      <c r="G339" t="n">
        <v>4956.89</v>
      </c>
    </row>
    <row r="340">
      <c r="A340" t="n">
        <v>36219</v>
      </c>
      <c r="B340" t="n">
        <v>128</v>
      </c>
      <c r="C340" t="inlineStr">
        <is>
          <t>Love Cabaret</t>
        </is>
      </c>
      <c r="D340" t="inlineStr">
        <is>
          <t>Taxa de sistema sobre receita de Bar</t>
        </is>
      </c>
      <c r="E340" s="27" t="n">
        <v>45822</v>
      </c>
      <c r="F340" s="27" t="n">
        <v>45821</v>
      </c>
      <c r="G340" t="n">
        <v>-225.15</v>
      </c>
    </row>
    <row r="341">
      <c r="A341" t="n">
        <v>36217</v>
      </c>
      <c r="B341" t="n">
        <v>128</v>
      </c>
      <c r="C341" t="inlineStr">
        <is>
          <t>Love Cabaret</t>
        </is>
      </c>
      <c r="D341" t="inlineStr">
        <is>
          <t>Cartão de Débito integrado Zig</t>
        </is>
      </c>
      <c r="E341" s="27" t="n">
        <v>45821</v>
      </c>
      <c r="F341" s="27" t="n">
        <v>45820</v>
      </c>
      <c r="G341" t="n">
        <v>2427.76</v>
      </c>
    </row>
    <row r="342">
      <c r="A342" t="n">
        <v>36218</v>
      </c>
      <c r="B342" t="n">
        <v>128</v>
      </c>
      <c r="C342" t="inlineStr">
        <is>
          <t>Love Cabaret</t>
        </is>
      </c>
      <c r="D342" t="inlineStr">
        <is>
          <t>Transações via Pix</t>
        </is>
      </c>
      <c r="E342" s="27" t="n">
        <v>45821</v>
      </c>
      <c r="F342" s="27" t="n">
        <v>45821</v>
      </c>
      <c r="G342" t="n">
        <v>1089.79</v>
      </c>
    </row>
    <row r="343">
      <c r="A343" t="n">
        <v>36216</v>
      </c>
      <c r="B343" t="n">
        <v>128</v>
      </c>
      <c r="C343" t="inlineStr">
        <is>
          <t>Love Cabaret</t>
        </is>
      </c>
      <c r="D343" t="inlineStr">
        <is>
          <t>Taxa de sistema sobre receita de Bar</t>
        </is>
      </c>
      <c r="E343" s="27" t="n">
        <v>45821</v>
      </c>
      <c r="F343" s="27" t="n">
        <v>45820</v>
      </c>
      <c r="G343" t="n">
        <v>-122.54</v>
      </c>
    </row>
    <row r="344">
      <c r="A344" t="n">
        <v>36215</v>
      </c>
      <c r="B344" t="n">
        <v>128</v>
      </c>
      <c r="C344" t="inlineStr">
        <is>
          <t>Love Cabaret</t>
        </is>
      </c>
      <c r="D344" t="inlineStr">
        <is>
          <t>Transações via Pix</t>
        </is>
      </c>
      <c r="E344" s="27" t="n">
        <v>45820</v>
      </c>
      <c r="F344" s="27" t="n">
        <v>45820</v>
      </c>
      <c r="G344" t="n">
        <v>446.86</v>
      </c>
    </row>
    <row r="345">
      <c r="A345" t="n">
        <v>36214</v>
      </c>
      <c r="B345" t="n">
        <v>128</v>
      </c>
      <c r="C345" t="inlineStr">
        <is>
          <t>Love Cabaret</t>
        </is>
      </c>
      <c r="D345" t="inlineStr">
        <is>
          <t>Saque</t>
        </is>
      </c>
      <c r="E345" s="27" t="n">
        <v>45818</v>
      </c>
      <c r="F345" s="27" t="n">
        <v>45818</v>
      </c>
      <c r="G345" t="n">
        <v>-10563.34</v>
      </c>
    </row>
    <row r="346">
      <c r="A346" t="n">
        <v>29644</v>
      </c>
      <c r="B346" t="n">
        <v>128</v>
      </c>
      <c r="C346" t="inlineStr">
        <is>
          <t>Love Cabaret</t>
        </is>
      </c>
      <c r="D346" t="inlineStr">
        <is>
          <t>Cartão de Crédito integrado Zig</t>
        </is>
      </c>
      <c r="E346" s="27" t="n">
        <v>45818</v>
      </c>
      <c r="F346" s="27" t="n">
        <v>45787</v>
      </c>
      <c r="G346" t="n">
        <v>10563.34</v>
      </c>
    </row>
    <row r="347">
      <c r="A347" t="n">
        <v>29642</v>
      </c>
      <c r="B347" t="n">
        <v>128</v>
      </c>
      <c r="C347" t="inlineStr">
        <is>
          <t>Love Cabaret</t>
        </is>
      </c>
      <c r="D347" t="inlineStr">
        <is>
          <t>Cartão de Crédito integrado Zig</t>
        </is>
      </c>
      <c r="E347" s="27" t="n">
        <v>45817</v>
      </c>
      <c r="F347" s="27" t="n">
        <v>45786</v>
      </c>
      <c r="G347" t="n">
        <v>16926.4</v>
      </c>
    </row>
    <row r="348">
      <c r="A348" t="n">
        <v>36212</v>
      </c>
      <c r="B348" t="n">
        <v>128</v>
      </c>
      <c r="C348" t="inlineStr">
        <is>
          <t>Love Cabaret</t>
        </is>
      </c>
      <c r="D348" t="inlineStr">
        <is>
          <t>Saque</t>
        </is>
      </c>
      <c r="E348" s="27" t="n">
        <v>45817</v>
      </c>
      <c r="F348" s="27" t="n">
        <v>45817</v>
      </c>
      <c r="G348" t="n">
        <v>-41004.53</v>
      </c>
    </row>
    <row r="349">
      <c r="A349" t="n">
        <v>36210</v>
      </c>
      <c r="B349" t="n">
        <v>128</v>
      </c>
      <c r="C349" t="inlineStr">
        <is>
          <t>Love Cabaret</t>
        </is>
      </c>
      <c r="D349" t="inlineStr">
        <is>
          <t>Cartão de Débito integrado Zig</t>
        </is>
      </c>
      <c r="E349" s="27" t="n">
        <v>45816</v>
      </c>
      <c r="F349" s="27" t="n">
        <v>45815</v>
      </c>
      <c r="G349" t="n">
        <v>7234.35</v>
      </c>
    </row>
    <row r="350">
      <c r="A350" t="n">
        <v>36209</v>
      </c>
      <c r="B350" t="n">
        <v>128</v>
      </c>
      <c r="C350" t="inlineStr">
        <is>
          <t>Love Cabaret</t>
        </is>
      </c>
      <c r="D350" t="inlineStr">
        <is>
          <t>Taxa de sistema sobre receita de Bar</t>
        </is>
      </c>
      <c r="E350" s="27" t="n">
        <v>45816</v>
      </c>
      <c r="F350" s="27" t="n">
        <v>45815</v>
      </c>
      <c r="G350" t="n">
        <v>-207.24</v>
      </c>
    </row>
    <row r="351">
      <c r="A351" t="n">
        <v>29639</v>
      </c>
      <c r="B351" t="n">
        <v>128</v>
      </c>
      <c r="C351" t="inlineStr">
        <is>
          <t>Love Cabaret</t>
        </is>
      </c>
      <c r="D351" t="inlineStr">
        <is>
          <t>Cartão de Crédito integrado Zig</t>
        </is>
      </c>
      <c r="E351" s="27" t="n">
        <v>45816</v>
      </c>
      <c r="F351" s="27" t="n">
        <v>45785</v>
      </c>
      <c r="G351" t="n">
        <v>2974.46</v>
      </c>
    </row>
    <row r="352">
      <c r="A352" t="n">
        <v>36207</v>
      </c>
      <c r="B352" t="n">
        <v>128</v>
      </c>
      <c r="C352" t="inlineStr">
        <is>
          <t>Love Cabaret</t>
        </is>
      </c>
      <c r="D352" t="inlineStr">
        <is>
          <t>Transações via Pix</t>
        </is>
      </c>
      <c r="E352" s="27" t="n">
        <v>45815</v>
      </c>
      <c r="F352" s="27" t="n">
        <v>45815</v>
      </c>
      <c r="G352" t="n">
        <v>1748.16</v>
      </c>
    </row>
    <row r="353">
      <c r="A353" t="n">
        <v>36206</v>
      </c>
      <c r="B353" t="n">
        <v>128</v>
      </c>
      <c r="C353" t="inlineStr">
        <is>
          <t>Love Cabaret</t>
        </is>
      </c>
      <c r="D353" t="inlineStr">
        <is>
          <t>Cartão de Débito integrado Zig</t>
        </is>
      </c>
      <c r="E353" s="27" t="n">
        <v>45815</v>
      </c>
      <c r="F353" s="27" t="n">
        <v>45814</v>
      </c>
      <c r="G353" t="n">
        <v>6915.24</v>
      </c>
    </row>
    <row r="354">
      <c r="A354" t="n">
        <v>36205</v>
      </c>
      <c r="B354" t="n">
        <v>128</v>
      </c>
      <c r="C354" t="inlineStr">
        <is>
          <t>Love Cabaret</t>
        </is>
      </c>
      <c r="D354" t="inlineStr">
        <is>
          <t>Taxa de sistema sobre receita de Bar</t>
        </is>
      </c>
      <c r="E354" s="27" t="n">
        <v>45815</v>
      </c>
      <c r="F354" s="27" t="n">
        <v>45814</v>
      </c>
      <c r="G354" t="n">
        <v>-204.49</v>
      </c>
    </row>
    <row r="355">
      <c r="A355" t="n">
        <v>36204</v>
      </c>
      <c r="B355" t="n">
        <v>128</v>
      </c>
      <c r="C355" t="inlineStr">
        <is>
          <t>Love Cabaret</t>
        </is>
      </c>
      <c r="D355" t="inlineStr">
        <is>
          <t>Transações via Pix</t>
        </is>
      </c>
      <c r="E355" s="27" t="n">
        <v>45814</v>
      </c>
      <c r="F355" s="27" t="n">
        <v>45814</v>
      </c>
      <c r="G355" t="n">
        <v>389.57</v>
      </c>
    </row>
    <row r="356">
      <c r="A356" t="n">
        <v>36203</v>
      </c>
      <c r="B356" t="n">
        <v>128</v>
      </c>
      <c r="C356" t="inlineStr">
        <is>
          <t>Love Cabaret</t>
        </is>
      </c>
      <c r="D356" t="inlineStr">
        <is>
          <t>Cartão de Débito integrado Zig</t>
        </is>
      </c>
      <c r="E356" s="27" t="n">
        <v>45814</v>
      </c>
      <c r="F356" s="27" t="n">
        <v>45813</v>
      </c>
      <c r="G356" t="n">
        <v>3971.71</v>
      </c>
    </row>
    <row r="357">
      <c r="A357" t="n">
        <v>36202</v>
      </c>
      <c r="B357" t="n">
        <v>128</v>
      </c>
      <c r="C357" t="inlineStr">
        <is>
          <t>Love Cabaret</t>
        </is>
      </c>
      <c r="D357" t="inlineStr">
        <is>
          <t>Taxa de sistema sobre receita de Bar</t>
        </is>
      </c>
      <c r="E357" s="27" t="n">
        <v>45814</v>
      </c>
      <c r="F357" s="27" t="n">
        <v>45813</v>
      </c>
      <c r="G357" t="n">
        <v>-117.63</v>
      </c>
    </row>
    <row r="358">
      <c r="A358" t="n">
        <v>36201</v>
      </c>
      <c r="B358" t="n">
        <v>128</v>
      </c>
      <c r="C358" t="inlineStr">
        <is>
          <t>Love Cabaret</t>
        </is>
      </c>
      <c r="D358" t="inlineStr">
        <is>
          <t>Transações via Pix</t>
        </is>
      </c>
      <c r="E358" s="27" t="n">
        <v>45813</v>
      </c>
      <c r="F358" s="27" t="n">
        <v>45813</v>
      </c>
      <c r="G358" t="n">
        <v>1374</v>
      </c>
    </row>
    <row r="359">
      <c r="A359" t="n">
        <v>36200</v>
      </c>
      <c r="B359" t="n">
        <v>128</v>
      </c>
      <c r="C359" t="inlineStr">
        <is>
          <t>Love Cabaret</t>
        </is>
      </c>
      <c r="D359" t="inlineStr">
        <is>
          <t>Saque</t>
        </is>
      </c>
      <c r="E359" s="27" t="n">
        <v>45811</v>
      </c>
      <c r="F359" s="27" t="n">
        <v>45811</v>
      </c>
      <c r="G359" t="n">
        <v>-13249.68</v>
      </c>
    </row>
    <row r="360">
      <c r="A360" t="n">
        <v>29188</v>
      </c>
      <c r="B360" t="n">
        <v>128</v>
      </c>
      <c r="C360" t="inlineStr">
        <is>
          <t>Love Cabaret</t>
        </is>
      </c>
      <c r="D360" t="inlineStr">
        <is>
          <t>Cartão de Crédito integrado Zig</t>
        </is>
      </c>
      <c r="E360" s="27" t="n">
        <v>45811</v>
      </c>
      <c r="F360" s="27" t="n">
        <v>45780</v>
      </c>
      <c r="G360" t="n">
        <v>13249.68</v>
      </c>
    </row>
    <row r="361">
      <c r="A361" t="n">
        <v>29131</v>
      </c>
      <c r="B361" t="n">
        <v>128</v>
      </c>
      <c r="C361" t="inlineStr">
        <is>
          <t>Love Cabaret</t>
        </is>
      </c>
      <c r="D361" t="inlineStr">
        <is>
          <t>Cartão de Crédito integrado Zig</t>
        </is>
      </c>
      <c r="E361" s="27" t="n">
        <v>45810</v>
      </c>
      <c r="F361" s="27" t="n">
        <v>45779</v>
      </c>
      <c r="G361" t="n">
        <v>21756.11</v>
      </c>
    </row>
    <row r="362">
      <c r="A362" t="n">
        <v>36198</v>
      </c>
      <c r="B362" t="n">
        <v>128</v>
      </c>
      <c r="C362" t="inlineStr">
        <is>
          <t>Love Cabaret</t>
        </is>
      </c>
      <c r="D362" t="inlineStr">
        <is>
          <t>Saque</t>
        </is>
      </c>
      <c r="E362" s="27" t="n">
        <v>45810</v>
      </c>
      <c r="F362" s="27" t="n">
        <v>45810</v>
      </c>
      <c r="G362" t="n">
        <v>-58658.66</v>
      </c>
    </row>
    <row r="363">
      <c r="A363" t="n">
        <v>36196</v>
      </c>
      <c r="B363" t="n">
        <v>128</v>
      </c>
      <c r="C363" t="inlineStr">
        <is>
          <t>Love Cabaret</t>
        </is>
      </c>
      <c r="D363" t="inlineStr">
        <is>
          <t>Cobrança geral - Z0101 - 2 SmartPOS a R$20 cada</t>
        </is>
      </c>
      <c r="E363" s="27" t="n">
        <v>45809</v>
      </c>
      <c r="F363" s="27" t="n">
        <v>45809</v>
      </c>
      <c r="G363" t="n">
        <v>-40</v>
      </c>
    </row>
    <row r="364">
      <c r="A364" t="n">
        <v>36195</v>
      </c>
      <c r="B364" t="n">
        <v>128</v>
      </c>
      <c r="C364" t="inlineStr">
        <is>
          <t>Love Cabaret</t>
        </is>
      </c>
      <c r="D364" t="inlineStr">
        <is>
          <t>Cobrança geral - Z0101 - Ref.:16 Smartpos R$20 cada</t>
        </is>
      </c>
      <c r="E364" s="27" t="n">
        <v>45809</v>
      </c>
      <c r="F364" s="27" t="n">
        <v>45809</v>
      </c>
      <c r="G364" t="n">
        <v>-320</v>
      </c>
    </row>
    <row r="365">
      <c r="A365" t="n">
        <v>36194</v>
      </c>
      <c r="B365" t="n">
        <v>128</v>
      </c>
      <c r="C365" t="inlineStr">
        <is>
          <t>Love Cabaret</t>
        </is>
      </c>
      <c r="D365" t="inlineStr">
        <is>
          <t>Cobrança geral - Z0101 - Ref.:10Pdv's R$20 cada</t>
        </is>
      </c>
      <c r="E365" s="27" t="n">
        <v>45809</v>
      </c>
      <c r="F365" s="27" t="n">
        <v>45809</v>
      </c>
      <c r="G365" t="n">
        <v>-200</v>
      </c>
    </row>
    <row r="366">
      <c r="A366" t="n">
        <v>36190</v>
      </c>
      <c r="B366" t="n">
        <v>128</v>
      </c>
      <c r="C366" t="inlineStr">
        <is>
          <t>Love Cabaret</t>
        </is>
      </c>
      <c r="D366" t="inlineStr">
        <is>
          <t>Saldo Inicial</t>
        </is>
      </c>
      <c r="E366" s="27" t="n">
        <v>45809</v>
      </c>
      <c r="F366" s="27" t="n">
        <v>45809</v>
      </c>
      <c r="G366" t="n">
        <v>19790.05</v>
      </c>
    </row>
    <row r="367">
      <c r="A367" t="n">
        <v>29057</v>
      </c>
      <c r="B367" t="n">
        <v>128</v>
      </c>
      <c r="C367" t="inlineStr">
        <is>
          <t>Love Cabaret</t>
        </is>
      </c>
      <c r="D367" t="inlineStr">
        <is>
          <t>Taxa de sistema sobre receita de Bar</t>
        </is>
      </c>
      <c r="E367" s="27" t="n">
        <v>45809</v>
      </c>
      <c r="F367" s="27" t="n">
        <v>45808</v>
      </c>
      <c r="G367" t="n">
        <v>-185.03</v>
      </c>
    </row>
    <row r="368">
      <c r="A368" t="n">
        <v>29056</v>
      </c>
      <c r="B368" t="n">
        <v>128</v>
      </c>
      <c r="C368" t="inlineStr">
        <is>
          <t>Love Cabaret</t>
        </is>
      </c>
      <c r="D368" t="inlineStr">
        <is>
          <t>Cartão de Débito integrado Zig</t>
        </is>
      </c>
      <c r="E368" s="27" t="n">
        <v>45809</v>
      </c>
      <c r="F368" s="27" t="n">
        <v>45808</v>
      </c>
      <c r="G368" t="n">
        <v>4103.74</v>
      </c>
    </row>
    <row r="369">
      <c r="A369" t="n">
        <v>29055</v>
      </c>
      <c r="B369" t="n">
        <v>128</v>
      </c>
      <c r="C369" t="inlineStr">
        <is>
          <t>Love Cabaret</t>
        </is>
      </c>
      <c r="D369" t="inlineStr">
        <is>
          <t>Cartão de Crédito integrado Zig</t>
        </is>
      </c>
      <c r="E369" s="27" t="n">
        <v>45809</v>
      </c>
      <c r="F369" s="27" t="n">
        <v>45778</v>
      </c>
      <c r="G369" t="n">
        <v>13753.79</v>
      </c>
    </row>
    <row r="370">
      <c r="A370" t="n">
        <v>28943</v>
      </c>
      <c r="B370" t="n">
        <v>128</v>
      </c>
      <c r="C370" t="inlineStr">
        <is>
          <t>Love Cabaret</t>
        </is>
      </c>
      <c r="D370" t="inlineStr">
        <is>
          <t>Saldo Inicial</t>
        </is>
      </c>
      <c r="E370" s="27" t="n">
        <v>45808</v>
      </c>
      <c r="F370" s="27" t="n">
        <v>45808</v>
      </c>
      <c r="G370" t="n">
        <v>14724.28</v>
      </c>
    </row>
    <row r="371">
      <c r="A371" t="n">
        <v>28944</v>
      </c>
      <c r="B371" t="n">
        <v>128</v>
      </c>
      <c r="C371" t="inlineStr">
        <is>
          <t>Love Cabaret</t>
        </is>
      </c>
      <c r="D371" t="inlineStr">
        <is>
          <t>Cartão de Débito integrado Zig</t>
        </is>
      </c>
      <c r="E371" s="27" t="n">
        <v>45808</v>
      </c>
      <c r="F371" s="27" t="n">
        <v>45807</v>
      </c>
      <c r="G371" t="n">
        <v>3478.07</v>
      </c>
    </row>
    <row r="372">
      <c r="A372" t="n">
        <v>28945</v>
      </c>
      <c r="B372" t="n">
        <v>128</v>
      </c>
      <c r="C372" t="inlineStr">
        <is>
          <t>Love Cabaret</t>
        </is>
      </c>
      <c r="D372" t="inlineStr">
        <is>
          <t>Taxa de sistema sobre receita de Bar</t>
        </is>
      </c>
      <c r="E372" s="27" t="n">
        <v>45808</v>
      </c>
      <c r="F372" s="27" t="n">
        <v>45807</v>
      </c>
      <c r="G372" t="n">
        <v>-175.95</v>
      </c>
    </row>
    <row r="373">
      <c r="A373" t="n">
        <v>28946</v>
      </c>
      <c r="B373" t="n">
        <v>128</v>
      </c>
      <c r="C373" t="inlineStr">
        <is>
          <t>Love Cabaret</t>
        </is>
      </c>
      <c r="D373" t="inlineStr">
        <is>
          <t>Transações via Pix</t>
        </is>
      </c>
      <c r="E373" s="27" t="n">
        <v>45808</v>
      </c>
      <c r="F373" s="27" t="n">
        <v>45808</v>
      </c>
      <c r="G373" t="n">
        <v>1578.62</v>
      </c>
    </row>
    <row r="374">
      <c r="A374" t="n">
        <v>28947</v>
      </c>
      <c r="B374" t="n">
        <v>128</v>
      </c>
      <c r="C374" t="inlineStr">
        <is>
          <t>Love Cabaret</t>
        </is>
      </c>
      <c r="D374" t="inlineStr">
        <is>
          <t>Rebate</t>
        </is>
      </c>
      <c r="E374" s="27" t="n">
        <v>45808</v>
      </c>
      <c r="F374" s="27" t="n">
        <v>45808</v>
      </c>
      <c r="G374" t="n">
        <v>185.03</v>
      </c>
    </row>
    <row r="375">
      <c r="A375" t="n">
        <v>28842</v>
      </c>
      <c r="B375" t="n">
        <v>128</v>
      </c>
      <c r="C375" t="inlineStr">
        <is>
          <t>Love Cabaret</t>
        </is>
      </c>
      <c r="D375" t="inlineStr">
        <is>
          <t>Cartão de Débito integrado Zig</t>
        </is>
      </c>
      <c r="E375" s="27" t="n">
        <v>45807</v>
      </c>
      <c r="F375" s="27" t="n">
        <v>45806</v>
      </c>
      <c r="G375" t="n">
        <v>1775.98</v>
      </c>
    </row>
    <row r="376">
      <c r="A376" t="n">
        <v>28843</v>
      </c>
      <c r="B376" t="n">
        <v>128</v>
      </c>
      <c r="C376" t="inlineStr">
        <is>
          <t>Love Cabaret</t>
        </is>
      </c>
      <c r="D376" t="inlineStr">
        <is>
          <t>Taxa de sistema sobre receita de Bar</t>
        </is>
      </c>
      <c r="E376" s="27" t="n">
        <v>45807</v>
      </c>
      <c r="F376" s="27" t="n">
        <v>45806</v>
      </c>
      <c r="G376" t="n">
        <v>-64.19</v>
      </c>
    </row>
    <row r="377">
      <c r="A377" t="n">
        <v>28841</v>
      </c>
      <c r="B377" t="n">
        <v>128</v>
      </c>
      <c r="C377" t="inlineStr">
        <is>
          <t>Love Cabaret</t>
        </is>
      </c>
      <c r="D377" t="inlineStr">
        <is>
          <t>Saldo Inicial</t>
        </is>
      </c>
      <c r="E377" s="27" t="n">
        <v>45807</v>
      </c>
      <c r="F377" s="27" t="n">
        <v>45807</v>
      </c>
      <c r="G377" t="n">
        <v>11515.14</v>
      </c>
    </row>
    <row r="378">
      <c r="A378" t="n">
        <v>28844</v>
      </c>
      <c r="B378" t="n">
        <v>128</v>
      </c>
      <c r="C378" t="inlineStr">
        <is>
          <t>Love Cabaret</t>
        </is>
      </c>
      <c r="D378" t="inlineStr">
        <is>
          <t>Transações via Pix</t>
        </is>
      </c>
      <c r="E378" s="27" t="n">
        <v>45807</v>
      </c>
      <c r="F378" s="27" t="n">
        <v>45807</v>
      </c>
      <c r="G378" t="n">
        <v>1321.4</v>
      </c>
    </row>
    <row r="379">
      <c r="A379" t="n">
        <v>28845</v>
      </c>
      <c r="B379" t="n">
        <v>128</v>
      </c>
      <c r="C379" t="inlineStr">
        <is>
          <t>Love Cabaret</t>
        </is>
      </c>
      <c r="D379" t="inlineStr">
        <is>
          <t>Rebate</t>
        </is>
      </c>
      <c r="E379" s="27" t="n">
        <v>45807</v>
      </c>
      <c r="F379" s="27" t="n">
        <v>45807</v>
      </c>
      <c r="G379" t="n">
        <v>175.95</v>
      </c>
    </row>
    <row r="380">
      <c r="A380" t="n">
        <v>28747</v>
      </c>
      <c r="B380" t="n">
        <v>128</v>
      </c>
      <c r="C380" t="inlineStr">
        <is>
          <t>Love Cabaret</t>
        </is>
      </c>
      <c r="D380" t="inlineStr">
        <is>
          <t>Transações via Pix</t>
        </is>
      </c>
      <c r="E380" s="27" t="n">
        <v>45806</v>
      </c>
      <c r="F380" s="27" t="n">
        <v>45806</v>
      </c>
      <c r="G380" t="n">
        <v>477.55</v>
      </c>
    </row>
    <row r="381">
      <c r="A381" t="n">
        <v>28748</v>
      </c>
      <c r="B381" t="n">
        <v>128</v>
      </c>
      <c r="C381" t="inlineStr">
        <is>
          <t>Love Cabaret</t>
        </is>
      </c>
      <c r="D381" t="inlineStr">
        <is>
          <t>Rebate</t>
        </is>
      </c>
      <c r="E381" s="27" t="n">
        <v>45806</v>
      </c>
      <c r="F381" s="27" t="n">
        <v>45806</v>
      </c>
      <c r="G381" t="n">
        <v>64.19</v>
      </c>
    </row>
    <row r="382">
      <c r="A382" t="n">
        <v>28746</v>
      </c>
      <c r="B382" t="n">
        <v>128</v>
      </c>
      <c r="C382" t="inlineStr">
        <is>
          <t>Love Cabaret</t>
        </is>
      </c>
      <c r="D382" t="inlineStr">
        <is>
          <t>Saldo Inicial</t>
        </is>
      </c>
      <c r="E382" s="27" t="n">
        <v>45806</v>
      </c>
      <c r="F382" s="27" t="n">
        <v>45806</v>
      </c>
      <c r="G382" t="n">
        <v>10973.4</v>
      </c>
    </row>
    <row r="383">
      <c r="A383" t="n">
        <v>28648</v>
      </c>
      <c r="B383" t="n">
        <v>128</v>
      </c>
      <c r="C383" t="inlineStr">
        <is>
          <t>Love Cabaret</t>
        </is>
      </c>
      <c r="D383" t="inlineStr">
        <is>
          <t>Saldo Inicial</t>
        </is>
      </c>
      <c r="E383" s="27" t="n">
        <v>45805</v>
      </c>
      <c r="F383" s="27" t="n">
        <v>45805</v>
      </c>
      <c r="G383" t="n">
        <v>0</v>
      </c>
    </row>
    <row r="384">
      <c r="A384" t="n">
        <v>28649</v>
      </c>
      <c r="B384" t="n">
        <v>128</v>
      </c>
      <c r="C384" t="inlineStr">
        <is>
          <t>Love Cabaret</t>
        </is>
      </c>
      <c r="D384" t="inlineStr">
        <is>
          <t>Cartão de Crédito integrado Zig</t>
        </is>
      </c>
      <c r="E384" s="27" t="n">
        <v>45805</v>
      </c>
      <c r="F384" s="27" t="n">
        <v>45774</v>
      </c>
      <c r="G384" t="n">
        <v>10973.4</v>
      </c>
    </row>
    <row r="385">
      <c r="A385" t="n">
        <v>28431</v>
      </c>
      <c r="B385" t="n">
        <v>128</v>
      </c>
      <c r="C385" t="inlineStr">
        <is>
          <t>Love Cabaret</t>
        </is>
      </c>
      <c r="D385" t="inlineStr">
        <is>
          <t>Saldo Inicial</t>
        </is>
      </c>
      <c r="E385" s="27" t="n">
        <v>45804</v>
      </c>
      <c r="F385" s="27" t="n">
        <v>45804</v>
      </c>
      <c r="G385" t="n">
        <v>-3.39</v>
      </c>
    </row>
    <row r="386">
      <c r="A386" t="n">
        <v>28432</v>
      </c>
      <c r="B386" t="n">
        <v>128</v>
      </c>
      <c r="C386" t="inlineStr">
        <is>
          <t>Love Cabaret</t>
        </is>
      </c>
      <c r="D386" t="inlineStr">
        <is>
          <t>Cartão de Crédito integrado Zig</t>
        </is>
      </c>
      <c r="E386" s="27" t="n">
        <v>45804</v>
      </c>
      <c r="F386" s="27" t="n">
        <v>45773</v>
      </c>
      <c r="G386" t="n">
        <v>18242.18</v>
      </c>
    </row>
    <row r="387">
      <c r="A387" t="n">
        <v>28433</v>
      </c>
      <c r="B387" t="n">
        <v>128</v>
      </c>
      <c r="C387" t="inlineStr">
        <is>
          <t>Love Cabaret</t>
        </is>
      </c>
      <c r="D387" t="inlineStr">
        <is>
          <t>Transações via App</t>
        </is>
      </c>
      <c r="E387" s="27" t="n">
        <v>45804</v>
      </c>
      <c r="F387" s="27" t="n">
        <v>45773</v>
      </c>
      <c r="G387" t="n">
        <v>0.98</v>
      </c>
    </row>
    <row r="388">
      <c r="A388" t="n">
        <v>28434</v>
      </c>
      <c r="B388" t="n">
        <v>128</v>
      </c>
      <c r="C388" t="inlineStr">
        <is>
          <t>Love Cabaret</t>
        </is>
      </c>
      <c r="D388" t="inlineStr">
        <is>
          <t>Saque</t>
        </is>
      </c>
      <c r="E388" s="27" t="n">
        <v>45804</v>
      </c>
      <c r="F388" s="27" t="n">
        <v>45804</v>
      </c>
      <c r="G388" t="n">
        <v>-18239.77</v>
      </c>
    </row>
    <row r="389">
      <c r="A389" t="n">
        <v>28317</v>
      </c>
      <c r="B389" t="n">
        <v>128</v>
      </c>
      <c r="C389" t="inlineStr">
        <is>
          <t>Love Cabaret</t>
        </is>
      </c>
      <c r="D389" t="inlineStr">
        <is>
          <t>Saque</t>
        </is>
      </c>
      <c r="E389" s="27" t="n">
        <v>45803</v>
      </c>
      <c r="F389" s="27" t="n">
        <v>45803</v>
      </c>
      <c r="G389" t="n">
        <v>-54683.01</v>
      </c>
    </row>
    <row r="390">
      <c r="A390" t="n">
        <v>28316</v>
      </c>
      <c r="B390" t="n">
        <v>128</v>
      </c>
      <c r="C390" t="inlineStr">
        <is>
          <t>Love Cabaret</t>
        </is>
      </c>
      <c r="D390" t="inlineStr">
        <is>
          <t>Taxa sobre recarga expirada</t>
        </is>
      </c>
      <c r="E390" s="27" t="n">
        <v>45803</v>
      </c>
      <c r="F390" s="27" t="n">
        <v>45803</v>
      </c>
      <c r="G390" t="n">
        <v>-3.39</v>
      </c>
    </row>
    <row r="391">
      <c r="A391" t="n">
        <v>28315</v>
      </c>
      <c r="B391" t="n">
        <v>128</v>
      </c>
      <c r="C391" t="inlineStr">
        <is>
          <t>Love Cabaret</t>
        </is>
      </c>
      <c r="D391" t="inlineStr">
        <is>
          <t>Cartão de Crédito integrado Zig</t>
        </is>
      </c>
      <c r="E391" s="27" t="n">
        <v>45803</v>
      </c>
      <c r="F391" s="27" t="n">
        <v>45772</v>
      </c>
      <c r="G391" t="n">
        <v>18412.57</v>
      </c>
    </row>
    <row r="392">
      <c r="A392" t="n">
        <v>28314</v>
      </c>
      <c r="B392" t="n">
        <v>128</v>
      </c>
      <c r="C392" t="inlineStr">
        <is>
          <t>Love Cabaret</t>
        </is>
      </c>
      <c r="D392" t="inlineStr">
        <is>
          <t>Saldo Inicial</t>
        </is>
      </c>
      <c r="E392" s="27" t="n">
        <v>45803</v>
      </c>
      <c r="F392" s="27" t="n">
        <v>45803</v>
      </c>
      <c r="G392" t="n">
        <v>36270.44</v>
      </c>
    </row>
    <row r="393">
      <c r="A393" t="n">
        <v>28204</v>
      </c>
      <c r="B393" t="n">
        <v>128</v>
      </c>
      <c r="C393" t="inlineStr">
        <is>
          <t>Love Cabaret</t>
        </is>
      </c>
      <c r="D393" t="inlineStr">
        <is>
          <t>Cartão de Crédito integrado Zig</t>
        </is>
      </c>
      <c r="E393" s="27" t="n">
        <v>45802</v>
      </c>
      <c r="F393" s="27" t="n">
        <v>45771</v>
      </c>
      <c r="G393" t="n">
        <v>11859.56</v>
      </c>
    </row>
    <row r="394">
      <c r="A394" t="n">
        <v>28201</v>
      </c>
      <c r="B394" t="n">
        <v>128</v>
      </c>
      <c r="C394" t="inlineStr">
        <is>
          <t>Love Cabaret</t>
        </is>
      </c>
      <c r="D394" t="inlineStr">
        <is>
          <t>Saldo Inicial</t>
        </is>
      </c>
      <c r="E394" s="27" t="n">
        <v>45802</v>
      </c>
      <c r="F394" s="27" t="n">
        <v>45802</v>
      </c>
      <c r="G394" t="n">
        <v>12630.4</v>
      </c>
    </row>
    <row r="395">
      <c r="A395" t="n">
        <v>28202</v>
      </c>
      <c r="B395" t="n">
        <v>128</v>
      </c>
      <c r="C395" t="inlineStr">
        <is>
          <t>Love Cabaret</t>
        </is>
      </c>
      <c r="D395" t="inlineStr">
        <is>
          <t>Transações via Pix</t>
        </is>
      </c>
      <c r="E395" s="27" t="n">
        <v>45802</v>
      </c>
      <c r="F395" s="27" t="n">
        <v>45802</v>
      </c>
      <c r="G395" t="n">
        <v>2144.59</v>
      </c>
    </row>
    <row r="396">
      <c r="A396" t="n">
        <v>28203</v>
      </c>
      <c r="B396" t="n">
        <v>128</v>
      </c>
      <c r="C396" t="inlineStr">
        <is>
          <t>Love Cabaret</t>
        </is>
      </c>
      <c r="D396" t="inlineStr">
        <is>
          <t>Rebate</t>
        </is>
      </c>
      <c r="E396" s="27" t="n">
        <v>45802</v>
      </c>
      <c r="F396" s="27" t="n">
        <v>45802</v>
      </c>
      <c r="G396" t="n">
        <v>25.6</v>
      </c>
    </row>
    <row r="397">
      <c r="A397" t="n">
        <v>28205</v>
      </c>
      <c r="B397" t="n">
        <v>128</v>
      </c>
      <c r="C397" t="inlineStr">
        <is>
          <t>Love Cabaret</t>
        </is>
      </c>
      <c r="D397" t="inlineStr">
        <is>
          <t>Cartão de Débito integrado Zig</t>
        </is>
      </c>
      <c r="E397" s="27" t="n">
        <v>45802</v>
      </c>
      <c r="F397" s="27" t="n">
        <v>45802</v>
      </c>
      <c r="G397" t="n">
        <v>9833.799999999999</v>
      </c>
    </row>
    <row r="398">
      <c r="A398" t="n">
        <v>28206</v>
      </c>
      <c r="B398" t="n">
        <v>128</v>
      </c>
      <c r="C398" t="inlineStr">
        <is>
          <t>Love Cabaret</t>
        </is>
      </c>
      <c r="D398" t="inlineStr">
        <is>
          <t>Taxa de sistema sobre receita de Bar</t>
        </is>
      </c>
      <c r="E398" s="27" t="n">
        <v>45802</v>
      </c>
      <c r="F398" s="27" t="n">
        <v>45802</v>
      </c>
      <c r="G398" t="n">
        <v>-223.51</v>
      </c>
    </row>
    <row r="399">
      <c r="A399" t="n">
        <v>28101</v>
      </c>
      <c r="B399" t="n">
        <v>128</v>
      </c>
      <c r="C399" t="inlineStr">
        <is>
          <t>Love Cabaret</t>
        </is>
      </c>
      <c r="D399" t="inlineStr">
        <is>
          <t>Saldo Inicial</t>
        </is>
      </c>
      <c r="E399" s="27" t="n">
        <v>45801</v>
      </c>
      <c r="F399" s="27" t="n">
        <v>45801</v>
      </c>
      <c r="G399" t="n">
        <v>5712.41</v>
      </c>
    </row>
    <row r="400">
      <c r="A400" t="n">
        <v>28102</v>
      </c>
      <c r="B400" t="n">
        <v>128</v>
      </c>
      <c r="C400" t="inlineStr">
        <is>
          <t>Love Cabaret</t>
        </is>
      </c>
      <c r="D400" t="inlineStr">
        <is>
          <t>Cartão de Débito integrado Zig</t>
        </is>
      </c>
      <c r="E400" s="27" t="n">
        <v>45801</v>
      </c>
      <c r="F400" s="27" t="n">
        <v>45800</v>
      </c>
      <c r="G400" t="n">
        <v>7154.32</v>
      </c>
    </row>
    <row r="401">
      <c r="A401" t="n">
        <v>28103</v>
      </c>
      <c r="B401" t="n">
        <v>128</v>
      </c>
      <c r="C401" t="inlineStr">
        <is>
          <t>Love Cabaret</t>
        </is>
      </c>
      <c r="D401" t="inlineStr">
        <is>
          <t>Taxa de sistema sobre receita de Bar</t>
        </is>
      </c>
      <c r="E401" s="27" t="n">
        <v>45801</v>
      </c>
      <c r="F401" s="27" t="n">
        <v>45800</v>
      </c>
      <c r="G401" t="n">
        <v>-236.33</v>
      </c>
    </row>
    <row r="402">
      <c r="A402" t="n">
        <v>27999</v>
      </c>
      <c r="B402" t="n">
        <v>128</v>
      </c>
      <c r="C402" t="inlineStr">
        <is>
          <t>Love Cabaret</t>
        </is>
      </c>
      <c r="D402" t="inlineStr">
        <is>
          <t>Transações via Pix</t>
        </is>
      </c>
      <c r="E402" s="27" t="n">
        <v>45800</v>
      </c>
      <c r="F402" s="27" t="n">
        <v>45800</v>
      </c>
      <c r="G402" t="n">
        <v>1124.1</v>
      </c>
    </row>
    <row r="403">
      <c r="A403" t="n">
        <v>27998</v>
      </c>
      <c r="B403" t="n">
        <v>128</v>
      </c>
      <c r="C403" t="inlineStr">
        <is>
          <t>Love Cabaret</t>
        </is>
      </c>
      <c r="D403" t="inlineStr">
        <is>
          <t>Taxa de sistema sobre receita de Bar</t>
        </is>
      </c>
      <c r="E403" s="27" t="n">
        <v>45800</v>
      </c>
      <c r="F403" s="27" t="n">
        <v>45799</v>
      </c>
      <c r="G403" t="n">
        <v>-140.98</v>
      </c>
    </row>
    <row r="404">
      <c r="A404" t="n">
        <v>27997</v>
      </c>
      <c r="B404" t="n">
        <v>128</v>
      </c>
      <c r="C404" t="inlineStr">
        <is>
          <t>Love Cabaret</t>
        </is>
      </c>
      <c r="D404" t="inlineStr">
        <is>
          <t>Cartão de Débito integrado Zig</t>
        </is>
      </c>
      <c r="E404" s="27" t="n">
        <v>45800</v>
      </c>
      <c r="F404" s="27" t="n">
        <v>45799</v>
      </c>
      <c r="G404" t="n">
        <v>3944.16</v>
      </c>
    </row>
    <row r="405">
      <c r="A405" t="n">
        <v>27996</v>
      </c>
      <c r="B405" t="n">
        <v>128</v>
      </c>
      <c r="C405" t="inlineStr">
        <is>
          <t>Love Cabaret</t>
        </is>
      </c>
      <c r="D405" t="inlineStr">
        <is>
          <t>Saldo Inicial</t>
        </is>
      </c>
      <c r="E405" s="27" t="n">
        <v>45800</v>
      </c>
      <c r="F405" s="27" t="n">
        <v>45800</v>
      </c>
      <c r="G405" t="n">
        <v>785.13</v>
      </c>
    </row>
    <row r="406">
      <c r="A406" t="n">
        <v>27881</v>
      </c>
      <c r="B406" t="n">
        <v>128</v>
      </c>
      <c r="C406" t="inlineStr">
        <is>
          <t>Love Cabaret</t>
        </is>
      </c>
      <c r="D406" t="inlineStr">
        <is>
          <t>Transações via Pix</t>
        </is>
      </c>
      <c r="E406" s="27" t="n">
        <v>45799</v>
      </c>
      <c r="F406" s="27" t="n">
        <v>45799</v>
      </c>
      <c r="G406" t="n">
        <v>785.13</v>
      </c>
    </row>
    <row r="407">
      <c r="A407" t="n">
        <v>27880</v>
      </c>
      <c r="B407" t="n">
        <v>128</v>
      </c>
      <c r="C407" t="inlineStr">
        <is>
          <t>Love Cabaret</t>
        </is>
      </c>
      <c r="D407" t="inlineStr">
        <is>
          <t>Saldo Inicial</t>
        </is>
      </c>
      <c r="E407" s="27" t="n">
        <v>45799</v>
      </c>
      <c r="F407" s="27" t="n">
        <v>45799</v>
      </c>
      <c r="G407" t="n">
        <v>0</v>
      </c>
    </row>
    <row r="408">
      <c r="A408" t="n">
        <v>27776</v>
      </c>
      <c r="B408" t="n">
        <v>128</v>
      </c>
      <c r="C408" t="inlineStr">
        <is>
          <t>Love Cabaret</t>
        </is>
      </c>
      <c r="D408" t="inlineStr">
        <is>
          <t>Saldo Inicial</t>
        </is>
      </c>
      <c r="E408" s="27" t="n">
        <v>45798</v>
      </c>
      <c r="F408" s="27" t="n">
        <v>45798</v>
      </c>
      <c r="G408" t="n">
        <v>0</v>
      </c>
    </row>
    <row r="409">
      <c r="A409" t="n">
        <v>27672</v>
      </c>
      <c r="B409" t="n">
        <v>128</v>
      </c>
      <c r="C409" t="inlineStr">
        <is>
          <t>Love Cabaret</t>
        </is>
      </c>
      <c r="D409" t="inlineStr">
        <is>
          <t>Saldo Inicial</t>
        </is>
      </c>
      <c r="E409" s="27" t="n">
        <v>45797</v>
      </c>
      <c r="F409" s="27" t="n">
        <v>45797</v>
      </c>
      <c r="G409" t="n">
        <v>0</v>
      </c>
    </row>
    <row r="410">
      <c r="A410" t="n">
        <v>27673</v>
      </c>
      <c r="B410" t="n">
        <v>128</v>
      </c>
      <c r="C410" t="inlineStr">
        <is>
          <t>Love Cabaret</t>
        </is>
      </c>
      <c r="D410" t="inlineStr">
        <is>
          <t>Cartão de Crédito integrado Zig</t>
        </is>
      </c>
      <c r="E410" s="27" t="n">
        <v>45797</v>
      </c>
      <c r="F410" s="27" t="n">
        <v>45766</v>
      </c>
      <c r="G410" t="n">
        <v>18342.06</v>
      </c>
    </row>
    <row r="411">
      <c r="A411" t="n">
        <v>27674</v>
      </c>
      <c r="B411" t="n">
        <v>128</v>
      </c>
      <c r="C411" t="inlineStr">
        <is>
          <t>Love Cabaret</t>
        </is>
      </c>
      <c r="D411" t="inlineStr">
        <is>
          <t>Saque</t>
        </is>
      </c>
      <c r="E411" s="27" t="n">
        <v>45797</v>
      </c>
      <c r="F411" s="27" t="n">
        <v>45797</v>
      </c>
      <c r="G411" t="n">
        <v>-18342.06</v>
      </c>
    </row>
    <row r="412">
      <c r="A412" t="n">
        <v>27570</v>
      </c>
      <c r="B412" t="n">
        <v>128</v>
      </c>
      <c r="C412" t="inlineStr">
        <is>
          <t>Love Cabaret</t>
        </is>
      </c>
      <c r="D412" t="inlineStr">
        <is>
          <t>Saque</t>
        </is>
      </c>
      <c r="E412" s="27" t="n">
        <v>45796</v>
      </c>
      <c r="F412" s="27" t="n">
        <v>45796</v>
      </c>
      <c r="G412" t="n">
        <v>-41657.41</v>
      </c>
    </row>
    <row r="413">
      <c r="A413" t="n">
        <v>27569</v>
      </c>
      <c r="B413" t="n">
        <v>128</v>
      </c>
      <c r="C413" t="inlineStr">
        <is>
          <t>Love Cabaret</t>
        </is>
      </c>
      <c r="D413" t="inlineStr">
        <is>
          <t>Cartão de Crédito integrado Zig</t>
        </is>
      </c>
      <c r="E413" s="27" t="n">
        <v>45796</v>
      </c>
      <c r="F413" s="27" t="n">
        <v>45765</v>
      </c>
      <c r="G413" t="n">
        <v>14356.65</v>
      </c>
    </row>
    <row r="414">
      <c r="A414" t="n">
        <v>27568</v>
      </c>
      <c r="B414" t="n">
        <v>128</v>
      </c>
      <c r="C414" t="inlineStr">
        <is>
          <t>Love Cabaret</t>
        </is>
      </c>
      <c r="D414" t="inlineStr">
        <is>
          <t>Saldo Inicial</t>
        </is>
      </c>
      <c r="E414" s="27" t="n">
        <v>45796</v>
      </c>
      <c r="F414" s="27" t="n">
        <v>45796</v>
      </c>
      <c r="G414" t="n">
        <v>27300.76</v>
      </c>
    </row>
    <row r="415">
      <c r="A415" t="n">
        <v>27466</v>
      </c>
      <c r="B415" t="n">
        <v>128</v>
      </c>
      <c r="C415" t="inlineStr">
        <is>
          <t>Love Cabaret</t>
        </is>
      </c>
      <c r="D415" t="inlineStr">
        <is>
          <t>Cartão de Débito integrado Zig</t>
        </is>
      </c>
      <c r="E415" s="27" t="n">
        <v>45795</v>
      </c>
      <c r="F415" s="27" t="n">
        <v>45794</v>
      </c>
      <c r="G415" t="n">
        <v>5007.21</v>
      </c>
    </row>
    <row r="416">
      <c r="A416" t="n">
        <v>27464</v>
      </c>
      <c r="B416" t="n">
        <v>128</v>
      </c>
      <c r="C416" t="inlineStr">
        <is>
          <t>Love Cabaret</t>
        </is>
      </c>
      <c r="D416" t="inlineStr">
        <is>
          <t>Saldo Inicial</t>
        </is>
      </c>
      <c r="E416" s="27" t="n">
        <v>45795</v>
      </c>
      <c r="F416" s="27" t="n">
        <v>45795</v>
      </c>
      <c r="G416" t="n">
        <v>12759.52</v>
      </c>
    </row>
    <row r="417">
      <c r="A417" t="n">
        <v>27465</v>
      </c>
      <c r="B417" t="n">
        <v>128</v>
      </c>
      <c r="C417" t="inlineStr">
        <is>
          <t>Love Cabaret</t>
        </is>
      </c>
      <c r="D417" t="inlineStr">
        <is>
          <t>Cartão de Crédito integrado Zig</t>
        </is>
      </c>
      <c r="E417" s="27" t="n">
        <v>45795</v>
      </c>
      <c r="F417" s="27" t="n">
        <v>45764</v>
      </c>
      <c r="G417" t="n">
        <v>9716.139999999999</v>
      </c>
    </row>
    <row r="418">
      <c r="A418" t="n">
        <v>27467</v>
      </c>
      <c r="B418" t="n">
        <v>128</v>
      </c>
      <c r="C418" t="inlineStr">
        <is>
          <t>Love Cabaret</t>
        </is>
      </c>
      <c r="D418" t="inlineStr">
        <is>
          <t>Taxa de sistema sobre receita de Bar</t>
        </is>
      </c>
      <c r="E418" s="27" t="n">
        <v>45795</v>
      </c>
      <c r="F418" s="27" t="n">
        <v>45794</v>
      </c>
      <c r="G418" t="n">
        <v>-182.11</v>
      </c>
    </row>
    <row r="419">
      <c r="A419" t="n">
        <v>27373</v>
      </c>
      <c r="B419" t="n">
        <v>128</v>
      </c>
      <c r="C419" t="inlineStr">
        <is>
          <t>Love Cabaret</t>
        </is>
      </c>
      <c r="D419" t="inlineStr">
        <is>
          <t>Transações via Pix</t>
        </is>
      </c>
      <c r="E419" s="27" t="n">
        <v>45794</v>
      </c>
      <c r="F419" s="27" t="n">
        <v>45794</v>
      </c>
      <c r="G419" t="n">
        <v>2515.23</v>
      </c>
    </row>
    <row r="420">
      <c r="A420" t="n">
        <v>27372</v>
      </c>
      <c r="B420" t="n">
        <v>128</v>
      </c>
      <c r="C420" t="inlineStr">
        <is>
          <t>Love Cabaret</t>
        </is>
      </c>
      <c r="D420" t="inlineStr">
        <is>
          <t>Taxa de sistema sobre receita de Bar</t>
        </is>
      </c>
      <c r="E420" s="27" t="n">
        <v>45794</v>
      </c>
      <c r="F420" s="27" t="n">
        <v>45793</v>
      </c>
      <c r="G420" t="n">
        <v>-180.84</v>
      </c>
    </row>
    <row r="421">
      <c r="A421" t="n">
        <v>27371</v>
      </c>
      <c r="B421" t="n">
        <v>128</v>
      </c>
      <c r="C421" t="inlineStr">
        <is>
          <t>Love Cabaret</t>
        </is>
      </c>
      <c r="D421" t="inlineStr">
        <is>
          <t>Cartão de Débito integrado Zig</t>
        </is>
      </c>
      <c r="E421" s="27" t="n">
        <v>45794</v>
      </c>
      <c r="F421" s="27" t="n">
        <v>45793</v>
      </c>
      <c r="G421" t="n">
        <v>5835.46</v>
      </c>
    </row>
    <row r="422">
      <c r="A422" t="n">
        <v>27370</v>
      </c>
      <c r="B422" t="n">
        <v>128</v>
      </c>
      <c r="C422" t="inlineStr">
        <is>
          <t>Love Cabaret</t>
        </is>
      </c>
      <c r="D422" t="inlineStr">
        <is>
          <t>Saldo Inicial</t>
        </is>
      </c>
      <c r="E422" s="27" t="n">
        <v>45794</v>
      </c>
      <c r="F422" s="27" t="n">
        <v>45794</v>
      </c>
      <c r="G422" t="n">
        <v>4589.67</v>
      </c>
    </row>
    <row r="423">
      <c r="A423" t="n">
        <v>27280</v>
      </c>
      <c r="B423" t="n">
        <v>128</v>
      </c>
      <c r="C423" t="inlineStr">
        <is>
          <t>Love Cabaret</t>
        </is>
      </c>
      <c r="D423" t="inlineStr">
        <is>
          <t>Saldo Inicial</t>
        </is>
      </c>
      <c r="E423" s="27" t="n">
        <v>45793</v>
      </c>
      <c r="F423" s="27" t="n">
        <v>45793</v>
      </c>
      <c r="G423" t="n">
        <v>1451.12</v>
      </c>
    </row>
    <row r="424">
      <c r="A424" t="n">
        <v>27283</v>
      </c>
      <c r="B424" t="n">
        <v>128</v>
      </c>
      <c r="C424" t="inlineStr">
        <is>
          <t>Love Cabaret</t>
        </is>
      </c>
      <c r="D424" t="inlineStr">
        <is>
          <t>Transações via Pix</t>
        </is>
      </c>
      <c r="E424" s="27" t="n">
        <v>45793</v>
      </c>
      <c r="F424" s="27" t="n">
        <v>45793</v>
      </c>
      <c r="G424" t="n">
        <v>726.8200000000001</v>
      </c>
    </row>
    <row r="425">
      <c r="A425" t="n">
        <v>27282</v>
      </c>
      <c r="B425" t="n">
        <v>128</v>
      </c>
      <c r="C425" t="inlineStr">
        <is>
          <t>Love Cabaret</t>
        </is>
      </c>
      <c r="D425" t="inlineStr">
        <is>
          <t>Taxa de sistema sobre receita de Bar</t>
        </is>
      </c>
      <c r="E425" s="27" t="n">
        <v>45793</v>
      </c>
      <c r="F425" s="27" t="n">
        <v>45792</v>
      </c>
      <c r="G425" t="n">
        <v>-75.81</v>
      </c>
    </row>
    <row r="426">
      <c r="A426" t="n">
        <v>27281</v>
      </c>
      <c r="B426" t="n">
        <v>128</v>
      </c>
      <c r="C426" t="inlineStr">
        <is>
          <t>Love Cabaret</t>
        </is>
      </c>
      <c r="D426" t="inlineStr">
        <is>
          <t>Cartão de Débito integrado Zig</t>
        </is>
      </c>
      <c r="E426" s="27" t="n">
        <v>45793</v>
      </c>
      <c r="F426" s="27" t="n">
        <v>45792</v>
      </c>
      <c r="G426" t="n">
        <v>2487.54</v>
      </c>
    </row>
    <row r="427">
      <c r="A427" t="n">
        <v>27180</v>
      </c>
      <c r="B427" t="n">
        <v>128</v>
      </c>
      <c r="C427" t="inlineStr">
        <is>
          <t>Love Cabaret</t>
        </is>
      </c>
      <c r="D427" t="inlineStr">
        <is>
          <t>Transações via Pix</t>
        </is>
      </c>
      <c r="E427" s="27" t="n">
        <v>45792</v>
      </c>
      <c r="F427" s="27" t="n">
        <v>45792</v>
      </c>
      <c r="G427" t="n">
        <v>1451.12</v>
      </c>
    </row>
    <row r="428">
      <c r="A428" t="n">
        <v>27179</v>
      </c>
      <c r="B428" t="n">
        <v>128</v>
      </c>
      <c r="C428" t="inlineStr">
        <is>
          <t>Love Cabaret</t>
        </is>
      </c>
      <c r="D428" t="inlineStr">
        <is>
          <t>Saldo Inicial</t>
        </is>
      </c>
      <c r="E428" s="27" t="n">
        <v>45792</v>
      </c>
      <c r="F428" s="27" t="n">
        <v>45792</v>
      </c>
      <c r="G428" t="n">
        <v>0</v>
      </c>
    </row>
    <row r="429">
      <c r="A429" t="n">
        <v>27082</v>
      </c>
      <c r="B429" t="n">
        <v>128</v>
      </c>
      <c r="C429" t="inlineStr">
        <is>
          <t>Love Cabaret</t>
        </is>
      </c>
      <c r="D429" t="inlineStr">
        <is>
          <t>Saldo Inicial</t>
        </is>
      </c>
      <c r="E429" s="27" t="n">
        <v>45791</v>
      </c>
      <c r="F429" s="27" t="n">
        <v>45791</v>
      </c>
      <c r="G429" t="n">
        <v>0</v>
      </c>
    </row>
    <row r="430">
      <c r="A430" t="n">
        <v>26980</v>
      </c>
      <c r="B430" t="n">
        <v>128</v>
      </c>
      <c r="C430" t="inlineStr">
        <is>
          <t>Love Cabaret</t>
        </is>
      </c>
      <c r="D430" t="inlineStr">
        <is>
          <t>Saque</t>
        </is>
      </c>
      <c r="E430" s="27" t="n">
        <v>45790</v>
      </c>
      <c r="F430" s="27" t="n">
        <v>45790</v>
      </c>
      <c r="G430" t="n">
        <v>-21197.08</v>
      </c>
    </row>
    <row r="431">
      <c r="A431" t="n">
        <v>26979</v>
      </c>
      <c r="B431" t="n">
        <v>128</v>
      </c>
      <c r="C431" t="inlineStr">
        <is>
          <t>Love Cabaret</t>
        </is>
      </c>
      <c r="D431" t="inlineStr">
        <is>
          <t>Cartão de Crédito integrado Zig</t>
        </is>
      </c>
      <c r="E431" s="27" t="n">
        <v>45790</v>
      </c>
      <c r="F431" s="27" t="n">
        <v>45759</v>
      </c>
      <c r="G431" t="n">
        <v>21197.08</v>
      </c>
    </row>
    <row r="432">
      <c r="A432" t="n">
        <v>26978</v>
      </c>
      <c r="B432" t="n">
        <v>128</v>
      </c>
      <c r="C432" t="inlineStr">
        <is>
          <t>Love Cabaret</t>
        </is>
      </c>
      <c r="D432" t="inlineStr">
        <is>
          <t>Saldo Inicial</t>
        </is>
      </c>
      <c r="E432" s="27" t="n">
        <v>45790</v>
      </c>
      <c r="F432" s="27" t="n">
        <v>45790</v>
      </c>
      <c r="G432" t="n">
        <v>0</v>
      </c>
    </row>
    <row r="433">
      <c r="A433" t="n">
        <v>26877</v>
      </c>
      <c r="B433" t="n">
        <v>128</v>
      </c>
      <c r="C433" t="inlineStr">
        <is>
          <t>Love Cabaret</t>
        </is>
      </c>
      <c r="D433" t="inlineStr">
        <is>
          <t>Saque</t>
        </is>
      </c>
      <c r="E433" s="27" t="n">
        <v>45789</v>
      </c>
      <c r="F433" s="27" t="n">
        <v>45789</v>
      </c>
      <c r="G433" t="n">
        <v>-48704.97</v>
      </c>
    </row>
    <row r="434">
      <c r="A434" t="n">
        <v>26876</v>
      </c>
      <c r="B434" t="n">
        <v>128</v>
      </c>
      <c r="C434" t="inlineStr">
        <is>
          <t>Love Cabaret</t>
        </is>
      </c>
      <c r="D434" t="inlineStr">
        <is>
          <t>Cartão de Crédito integrado Zig</t>
        </is>
      </c>
      <c r="E434" s="27" t="n">
        <v>45789</v>
      </c>
      <c r="F434" s="27" t="n">
        <v>45758</v>
      </c>
      <c r="G434" t="n">
        <v>16487.38</v>
      </c>
    </row>
    <row r="435">
      <c r="A435" t="n">
        <v>26875</v>
      </c>
      <c r="B435" t="n">
        <v>128</v>
      </c>
      <c r="C435" t="inlineStr">
        <is>
          <t>Love Cabaret</t>
        </is>
      </c>
      <c r="D435" t="inlineStr">
        <is>
          <t>Saldo Inicial</t>
        </is>
      </c>
      <c r="E435" s="27" t="n">
        <v>45789</v>
      </c>
      <c r="F435" s="27" t="n">
        <v>45789</v>
      </c>
      <c r="G435" t="n">
        <v>32217.59</v>
      </c>
    </row>
    <row r="436">
      <c r="A436" t="n">
        <v>26766</v>
      </c>
      <c r="B436" t="n">
        <v>128</v>
      </c>
      <c r="C436" t="inlineStr">
        <is>
          <t>Love Cabaret</t>
        </is>
      </c>
      <c r="D436" t="inlineStr">
        <is>
          <t>Taxa de sistema sobre receita de Bar</t>
        </is>
      </c>
      <c r="E436" s="27" t="n">
        <v>45788</v>
      </c>
      <c r="F436" s="27" t="n">
        <v>45787</v>
      </c>
      <c r="G436" t="n">
        <v>-134.78</v>
      </c>
    </row>
    <row r="437">
      <c r="A437" t="n">
        <v>26765</v>
      </c>
      <c r="B437" t="n">
        <v>128</v>
      </c>
      <c r="C437" t="inlineStr">
        <is>
          <t>Love Cabaret</t>
        </is>
      </c>
      <c r="D437" t="inlineStr">
        <is>
          <t>Cartão de Débito integrado Zig</t>
        </is>
      </c>
      <c r="E437" s="27" t="n">
        <v>45788</v>
      </c>
      <c r="F437" s="27" t="n">
        <v>45787</v>
      </c>
      <c r="G437" t="n">
        <v>4923.69</v>
      </c>
    </row>
    <row r="438">
      <c r="A438" t="n">
        <v>26764</v>
      </c>
      <c r="B438" t="n">
        <v>128</v>
      </c>
      <c r="C438" t="inlineStr">
        <is>
          <t>Love Cabaret</t>
        </is>
      </c>
      <c r="D438" t="inlineStr">
        <is>
          <t>Cartão de Crédito integrado Zig</t>
        </is>
      </c>
      <c r="E438" s="27" t="n">
        <v>45788</v>
      </c>
      <c r="F438" s="27" t="n">
        <v>45757</v>
      </c>
      <c r="G438" t="n">
        <v>13682.45</v>
      </c>
    </row>
    <row r="439">
      <c r="A439" t="n">
        <v>26763</v>
      </c>
      <c r="B439" t="n">
        <v>128</v>
      </c>
      <c r="C439" t="inlineStr">
        <is>
          <t>Love Cabaret</t>
        </is>
      </c>
      <c r="D439" t="inlineStr">
        <is>
          <t>Saldo Inicial</t>
        </is>
      </c>
      <c r="E439" s="27" t="n">
        <v>45788</v>
      </c>
      <c r="F439" s="27" t="n">
        <v>45788</v>
      </c>
      <c r="G439" t="n">
        <v>13746.23</v>
      </c>
    </row>
    <row r="440">
      <c r="A440" t="n">
        <v>26669</v>
      </c>
      <c r="B440" t="n">
        <v>128</v>
      </c>
      <c r="C440" t="inlineStr">
        <is>
          <t>Love Cabaret</t>
        </is>
      </c>
      <c r="D440" t="inlineStr">
        <is>
          <t>Saldo Inicial</t>
        </is>
      </c>
      <c r="E440" s="27" t="n">
        <v>45787</v>
      </c>
      <c r="F440" s="27" t="n">
        <v>45787</v>
      </c>
      <c r="G440" t="n">
        <v>4618.6</v>
      </c>
    </row>
    <row r="441">
      <c r="A441" t="n">
        <v>26670</v>
      </c>
      <c r="B441" t="n">
        <v>128</v>
      </c>
      <c r="C441" t="inlineStr">
        <is>
          <t>Love Cabaret</t>
        </is>
      </c>
      <c r="D441" t="inlineStr">
        <is>
          <t>Cartão de Débito integrado Zig</t>
        </is>
      </c>
      <c r="E441" s="27" t="n">
        <v>45787</v>
      </c>
      <c r="F441" s="27" t="n">
        <v>45786</v>
      </c>
      <c r="G441" t="n">
        <v>8370.309999999999</v>
      </c>
    </row>
    <row r="442">
      <c r="A442" t="n">
        <v>26671</v>
      </c>
      <c r="B442" t="n">
        <v>128</v>
      </c>
      <c r="C442" t="inlineStr">
        <is>
          <t>Love Cabaret</t>
        </is>
      </c>
      <c r="D442" t="inlineStr">
        <is>
          <t>Taxa de sistema sobre receita de Bar</t>
        </is>
      </c>
      <c r="E442" s="27" t="n">
        <v>45787</v>
      </c>
      <c r="F442" s="27" t="n">
        <v>45786</v>
      </c>
      <c r="G442" t="n">
        <v>-226.44</v>
      </c>
    </row>
    <row r="443">
      <c r="A443" t="n">
        <v>26672</v>
      </c>
      <c r="B443" t="n">
        <v>128</v>
      </c>
      <c r="C443" t="inlineStr">
        <is>
          <t>Love Cabaret</t>
        </is>
      </c>
      <c r="D443" t="inlineStr">
        <is>
          <t>Transações via Pix</t>
        </is>
      </c>
      <c r="E443" s="27" t="n">
        <v>45787</v>
      </c>
      <c r="F443" s="27" t="n">
        <v>45787</v>
      </c>
      <c r="G443" t="n">
        <v>983.76</v>
      </c>
    </row>
    <row r="444">
      <c r="A444" t="n">
        <v>26572</v>
      </c>
      <c r="B444" t="n">
        <v>128</v>
      </c>
      <c r="C444" t="inlineStr">
        <is>
          <t>Love Cabaret</t>
        </is>
      </c>
      <c r="D444" t="inlineStr">
        <is>
          <t>Transações via Pix</t>
        </is>
      </c>
      <c r="E444" s="27" t="n">
        <v>45786</v>
      </c>
      <c r="F444" s="27" t="n">
        <v>45786</v>
      </c>
      <c r="G444" t="n">
        <v>1362.68</v>
      </c>
    </row>
    <row r="445">
      <c r="A445" t="n">
        <v>26569</v>
      </c>
      <c r="B445" t="n">
        <v>128</v>
      </c>
      <c r="C445" t="inlineStr">
        <is>
          <t>Love Cabaret</t>
        </is>
      </c>
      <c r="D445" t="inlineStr">
        <is>
          <t>Saldo Inicial</t>
        </is>
      </c>
      <c r="E445" s="27" t="n">
        <v>45786</v>
      </c>
      <c r="F445" s="27" t="n">
        <v>45786</v>
      </c>
      <c r="G445" t="n">
        <v>254.23</v>
      </c>
    </row>
    <row r="446">
      <c r="A446" t="n">
        <v>26570</v>
      </c>
      <c r="B446" t="n">
        <v>128</v>
      </c>
      <c r="C446" t="inlineStr">
        <is>
          <t>Love Cabaret</t>
        </is>
      </c>
      <c r="D446" t="inlineStr">
        <is>
          <t>Cartão de Débito integrado Zig</t>
        </is>
      </c>
      <c r="E446" s="27" t="n">
        <v>45786</v>
      </c>
      <c r="F446" s="27" t="n">
        <v>45785</v>
      </c>
      <c r="G446" t="n">
        <v>3052.58</v>
      </c>
    </row>
    <row r="447">
      <c r="A447" t="n">
        <v>26571</v>
      </c>
      <c r="B447" t="n">
        <v>128</v>
      </c>
      <c r="C447" t="inlineStr">
        <is>
          <t>Love Cabaret</t>
        </is>
      </c>
      <c r="D447" t="inlineStr">
        <is>
          <t>Taxa de sistema sobre receita de Bar</t>
        </is>
      </c>
      <c r="E447" s="27" t="n">
        <v>45786</v>
      </c>
      <c r="F447" s="27" t="n">
        <v>45785</v>
      </c>
      <c r="G447" t="n">
        <v>-50.89</v>
      </c>
    </row>
    <row r="448">
      <c r="A448" t="n">
        <v>26469</v>
      </c>
      <c r="B448" t="n">
        <v>128</v>
      </c>
      <c r="C448" t="inlineStr">
        <is>
          <t>Love Cabaret</t>
        </is>
      </c>
      <c r="D448" t="inlineStr">
        <is>
          <t>Transações via Pix</t>
        </is>
      </c>
      <c r="E448" s="27" t="n">
        <v>45785</v>
      </c>
      <c r="F448" s="27" t="n">
        <v>45785</v>
      </c>
      <c r="G448" t="n">
        <v>254.23</v>
      </c>
    </row>
    <row r="449">
      <c r="A449" t="n">
        <v>26468</v>
      </c>
      <c r="B449" t="n">
        <v>128</v>
      </c>
      <c r="C449" t="inlineStr">
        <is>
          <t>Love Cabaret</t>
        </is>
      </c>
      <c r="D449" t="inlineStr">
        <is>
          <t>Saldo Inicial</t>
        </is>
      </c>
      <c r="E449" s="27" t="n">
        <v>45785</v>
      </c>
      <c r="F449" s="27" t="n">
        <v>45785</v>
      </c>
      <c r="G449" t="n">
        <v>0</v>
      </c>
    </row>
    <row r="450">
      <c r="A450" t="n">
        <v>28550</v>
      </c>
      <c r="B450" t="n">
        <v>128</v>
      </c>
      <c r="C450" t="inlineStr">
        <is>
          <t>Love Cabaret</t>
        </is>
      </c>
      <c r="D450" t="inlineStr">
        <is>
          <t>Saldo Inicial</t>
        </is>
      </c>
      <c r="E450" s="27" t="n">
        <v>45784</v>
      </c>
      <c r="F450" s="27" t="n">
        <v>45784</v>
      </c>
      <c r="G450" t="n">
        <v>0</v>
      </c>
    </row>
    <row r="451">
      <c r="A451" t="n">
        <v>26372</v>
      </c>
      <c r="B451" t="n">
        <v>128</v>
      </c>
      <c r="C451" t="inlineStr">
        <is>
          <t>Love Cabaret</t>
        </is>
      </c>
      <c r="D451" t="inlineStr">
        <is>
          <t>Cartão de Crédito integrado Zig</t>
        </is>
      </c>
      <c r="E451" s="27" t="n">
        <v>45783</v>
      </c>
      <c r="F451" s="27" t="n">
        <v>45752</v>
      </c>
      <c r="G451" t="n">
        <v>17115.08</v>
      </c>
    </row>
    <row r="452">
      <c r="A452" t="n">
        <v>26371</v>
      </c>
      <c r="B452" t="n">
        <v>128</v>
      </c>
      <c r="C452" t="inlineStr">
        <is>
          <t>Love Cabaret</t>
        </is>
      </c>
      <c r="D452" t="inlineStr">
        <is>
          <t>Saldo Inicial</t>
        </is>
      </c>
      <c r="E452" s="27" t="n">
        <v>45783</v>
      </c>
      <c r="F452" s="27" t="n">
        <v>45783</v>
      </c>
      <c r="G452" t="n">
        <v>0</v>
      </c>
    </row>
    <row r="453">
      <c r="A453" t="n">
        <v>26373</v>
      </c>
      <c r="B453" t="n">
        <v>128</v>
      </c>
      <c r="C453" t="inlineStr">
        <is>
          <t>Love Cabaret</t>
        </is>
      </c>
      <c r="D453" t="inlineStr">
        <is>
          <t>Saque</t>
        </is>
      </c>
      <c r="E453" s="27" t="n">
        <v>45783</v>
      </c>
      <c r="F453" s="27" t="n">
        <v>45783</v>
      </c>
      <c r="G453" t="n">
        <v>-17115.08</v>
      </c>
    </row>
    <row r="454">
      <c r="A454" t="n">
        <v>26269</v>
      </c>
      <c r="B454" t="n">
        <v>128</v>
      </c>
      <c r="C454" t="inlineStr">
        <is>
          <t>Love Cabaret</t>
        </is>
      </c>
      <c r="D454" t="inlineStr">
        <is>
          <t>Saque</t>
        </is>
      </c>
      <c r="E454" s="27" t="n">
        <v>45782</v>
      </c>
      <c r="F454" s="27" t="n">
        <v>45782</v>
      </c>
      <c r="G454" t="n">
        <v>-49206.74</v>
      </c>
    </row>
    <row r="455">
      <c r="A455" t="n">
        <v>26267</v>
      </c>
      <c r="B455" t="n">
        <v>128</v>
      </c>
      <c r="C455" t="inlineStr">
        <is>
          <t>Love Cabaret</t>
        </is>
      </c>
      <c r="D455" t="inlineStr">
        <is>
          <t>Saldo Inicial</t>
        </is>
      </c>
      <c r="E455" s="27" t="n">
        <v>45782</v>
      </c>
      <c r="F455" s="27" t="n">
        <v>45782</v>
      </c>
      <c r="G455" t="n">
        <v>33831.31</v>
      </c>
    </row>
    <row r="456">
      <c r="A456" t="n">
        <v>26268</v>
      </c>
      <c r="B456" t="n">
        <v>128</v>
      </c>
      <c r="C456" t="inlineStr">
        <is>
          <t>Love Cabaret</t>
        </is>
      </c>
      <c r="D456" t="inlineStr">
        <is>
          <t>Cartão de Crédito integrado Zig</t>
        </is>
      </c>
      <c r="E456" s="27" t="n">
        <v>45782</v>
      </c>
      <c r="F456" s="27" t="n">
        <v>45751</v>
      </c>
      <c r="G456" t="n">
        <v>15375.43</v>
      </c>
    </row>
    <row r="457">
      <c r="A457" t="n">
        <v>26164</v>
      </c>
      <c r="B457" t="n">
        <v>128</v>
      </c>
      <c r="C457" t="inlineStr">
        <is>
          <t>Love Cabaret</t>
        </is>
      </c>
      <c r="D457" t="inlineStr">
        <is>
          <t>Taxa de sistema sobre receita de Bar</t>
        </is>
      </c>
      <c r="E457" s="27" t="n">
        <v>45781</v>
      </c>
      <c r="F457" s="27" t="n">
        <v>45780</v>
      </c>
      <c r="G457" t="n">
        <v>-161.03</v>
      </c>
    </row>
    <row r="458">
      <c r="A458" t="n">
        <v>26163</v>
      </c>
      <c r="B458" t="n">
        <v>128</v>
      </c>
      <c r="C458" t="inlineStr">
        <is>
          <t>Love Cabaret</t>
        </is>
      </c>
      <c r="D458" t="inlineStr">
        <is>
          <t>Cartão de Débito integrado Zig</t>
        </is>
      </c>
      <c r="E458" s="27" t="n">
        <v>45781</v>
      </c>
      <c r="F458" s="27" t="n">
        <v>45780</v>
      </c>
      <c r="G458" t="n">
        <v>4698.28</v>
      </c>
    </row>
    <row r="459">
      <c r="A459" t="n">
        <v>26162</v>
      </c>
      <c r="B459" t="n">
        <v>128</v>
      </c>
      <c r="C459" t="inlineStr">
        <is>
          <t>Love Cabaret</t>
        </is>
      </c>
      <c r="D459" t="inlineStr">
        <is>
          <t>Cartão de Crédito integrado Zig</t>
        </is>
      </c>
      <c r="E459" s="27" t="n">
        <v>45781</v>
      </c>
      <c r="F459" s="27" t="n">
        <v>45750</v>
      </c>
      <c r="G459" t="n">
        <v>4117.51</v>
      </c>
    </row>
    <row r="460">
      <c r="A460" t="n">
        <v>26161</v>
      </c>
      <c r="B460" t="n">
        <v>128</v>
      </c>
      <c r="C460" t="inlineStr">
        <is>
          <t>Love Cabaret</t>
        </is>
      </c>
      <c r="D460" t="inlineStr">
        <is>
          <t>Saldo Inicial</t>
        </is>
      </c>
      <c r="E460" s="27" t="n">
        <v>45781</v>
      </c>
      <c r="F460" s="27" t="n">
        <v>45781</v>
      </c>
      <c r="G460" t="n">
        <v>25176.55</v>
      </c>
    </row>
    <row r="461">
      <c r="A461" t="n">
        <v>26075</v>
      </c>
      <c r="B461" t="n">
        <v>128</v>
      </c>
      <c r="C461" t="inlineStr">
        <is>
          <t>Love Cabaret</t>
        </is>
      </c>
      <c r="D461" t="inlineStr">
        <is>
          <t>Transações via Pix</t>
        </is>
      </c>
      <c r="E461" s="27" t="n">
        <v>45780</v>
      </c>
      <c r="F461" s="27" t="n">
        <v>45780</v>
      </c>
      <c r="G461" t="n">
        <v>1102.01</v>
      </c>
    </row>
    <row r="462">
      <c r="A462" t="n">
        <v>26072</v>
      </c>
      <c r="B462" t="n">
        <v>128</v>
      </c>
      <c r="C462" t="inlineStr">
        <is>
          <t>Love Cabaret</t>
        </is>
      </c>
      <c r="D462" t="inlineStr">
        <is>
          <t>Saldo Inicial</t>
        </is>
      </c>
      <c r="E462" s="27" t="n">
        <v>45780</v>
      </c>
      <c r="F462" s="27" t="n">
        <v>45780</v>
      </c>
      <c r="G462" t="n">
        <v>16849.92</v>
      </c>
    </row>
    <row r="463">
      <c r="A463" t="n">
        <v>26073</v>
      </c>
      <c r="B463" t="n">
        <v>128</v>
      </c>
      <c r="C463" t="inlineStr">
        <is>
          <t>Love Cabaret</t>
        </is>
      </c>
      <c r="D463" t="inlineStr">
        <is>
          <t>Cartão de Débito integrado Zig</t>
        </is>
      </c>
      <c r="E463" s="27" t="n">
        <v>45780</v>
      </c>
      <c r="F463" s="27" t="n">
        <v>45779</v>
      </c>
      <c r="G463" t="n">
        <v>7480.26</v>
      </c>
    </row>
    <row r="464">
      <c r="A464" t="n">
        <v>26074</v>
      </c>
      <c r="B464" t="n">
        <v>128</v>
      </c>
      <c r="C464" t="inlineStr">
        <is>
          <t>Love Cabaret</t>
        </is>
      </c>
      <c r="D464" t="inlineStr">
        <is>
          <t>Taxa de sistema sobre receita de Bar</t>
        </is>
      </c>
      <c r="E464" s="27" t="n">
        <v>45780</v>
      </c>
      <c r="F464" s="27" t="n">
        <v>45779</v>
      </c>
      <c r="G464" t="n">
        <v>-255.64</v>
      </c>
    </row>
    <row r="465">
      <c r="A465" t="n">
        <v>25981</v>
      </c>
      <c r="B465" t="n">
        <v>128</v>
      </c>
      <c r="C465" t="inlineStr">
        <is>
          <t>Love Cabaret</t>
        </is>
      </c>
      <c r="D465" t="inlineStr">
        <is>
          <t>Transações via Pix</t>
        </is>
      </c>
      <c r="E465" s="27" t="n">
        <v>45779</v>
      </c>
      <c r="F465" s="27" t="n">
        <v>45779</v>
      </c>
      <c r="G465" t="n">
        <v>1194.09</v>
      </c>
    </row>
    <row r="466">
      <c r="A466" t="n">
        <v>25980</v>
      </c>
      <c r="B466" t="n">
        <v>128</v>
      </c>
      <c r="C466" t="inlineStr">
        <is>
          <t>Love Cabaret</t>
        </is>
      </c>
      <c r="D466" t="inlineStr">
        <is>
          <t>Taxa de sistema sobre receita de Bar</t>
        </is>
      </c>
      <c r="E466" s="27" t="n">
        <v>45779</v>
      </c>
      <c r="F466" s="27" t="n">
        <v>45778</v>
      </c>
      <c r="G466" t="n">
        <v>-157.24</v>
      </c>
    </row>
    <row r="467">
      <c r="A467" t="n">
        <v>25979</v>
      </c>
      <c r="B467" t="n">
        <v>128</v>
      </c>
      <c r="C467" t="inlineStr">
        <is>
          <t>Love Cabaret</t>
        </is>
      </c>
      <c r="D467" t="inlineStr">
        <is>
          <t>Cartão de Débito integrado Zig</t>
        </is>
      </c>
      <c r="E467" s="27" t="n">
        <v>45779</v>
      </c>
      <c r="F467" s="27" t="n">
        <v>45778</v>
      </c>
      <c r="G467" t="n">
        <v>4458.59</v>
      </c>
    </row>
    <row r="468">
      <c r="A468" t="n">
        <v>25978</v>
      </c>
      <c r="B468" t="n">
        <v>128</v>
      </c>
      <c r="C468" t="inlineStr">
        <is>
          <t>Love Cabaret</t>
        </is>
      </c>
      <c r="D468" t="inlineStr">
        <is>
          <t>Saldo Inicial</t>
        </is>
      </c>
      <c r="E468" s="27" t="n">
        <v>45779</v>
      </c>
      <c r="F468" s="27" t="n">
        <v>45779</v>
      </c>
      <c r="G468" t="n">
        <v>11354.48</v>
      </c>
    </row>
    <row r="469">
      <c r="A469" t="n">
        <v>25879</v>
      </c>
      <c r="B469" t="n">
        <v>128</v>
      </c>
      <c r="C469" t="inlineStr">
        <is>
          <t>Love Cabaret</t>
        </is>
      </c>
      <c r="D469" t="inlineStr">
        <is>
          <t>Cobrança geral - Z0101 - 2 SmartPOS a R$20 cada</t>
        </is>
      </c>
      <c r="E469" s="27" t="n">
        <v>45778</v>
      </c>
      <c r="F469" s="27" t="n">
        <v>45778</v>
      </c>
      <c r="G469" t="n">
        <v>-40</v>
      </c>
    </row>
    <row r="470">
      <c r="A470" t="n">
        <v>25878</v>
      </c>
      <c r="B470" t="n">
        <v>128</v>
      </c>
      <c r="C470" t="inlineStr">
        <is>
          <t>Love Cabaret</t>
        </is>
      </c>
      <c r="D470" t="inlineStr">
        <is>
          <t>Cobrança geral - Z0101 - Ref.:16 Smartpos R$20 cada</t>
        </is>
      </c>
      <c r="E470" s="27" t="n">
        <v>45778</v>
      </c>
      <c r="F470" s="27" t="n">
        <v>45778</v>
      </c>
      <c r="G470" t="n">
        <v>-320</v>
      </c>
    </row>
    <row r="471">
      <c r="A471" t="n">
        <v>25880</v>
      </c>
      <c r="B471" t="n">
        <v>128</v>
      </c>
      <c r="C471" t="inlineStr">
        <is>
          <t>Love Cabaret</t>
        </is>
      </c>
      <c r="D471" t="inlineStr">
        <is>
          <t>Transações via Pix</t>
        </is>
      </c>
      <c r="E471" s="27" t="n">
        <v>45778</v>
      </c>
      <c r="F471" s="27" t="n">
        <v>45778</v>
      </c>
      <c r="G471" t="n">
        <v>1067.79</v>
      </c>
    </row>
    <row r="472">
      <c r="A472" t="n">
        <v>25877</v>
      </c>
      <c r="B472" t="n">
        <v>128</v>
      </c>
      <c r="C472" t="inlineStr">
        <is>
          <t>Love Cabaret</t>
        </is>
      </c>
      <c r="D472" t="inlineStr">
        <is>
          <t>Cobrança geral - Z0101 - Ref.:10Pdv's R$20 cada</t>
        </is>
      </c>
      <c r="E472" s="27" t="n">
        <v>45778</v>
      </c>
      <c r="F472" s="27" t="n">
        <v>45778</v>
      </c>
      <c r="G472" t="n">
        <v>-200</v>
      </c>
    </row>
    <row r="473">
      <c r="A473" t="n">
        <v>25876</v>
      </c>
      <c r="B473" t="n">
        <v>128</v>
      </c>
      <c r="C473" t="inlineStr">
        <is>
          <t>Love Cabaret</t>
        </is>
      </c>
      <c r="D473" t="inlineStr">
        <is>
          <t>Saldo Inicial</t>
        </is>
      </c>
      <c r="E473" s="27" t="n">
        <v>45778</v>
      </c>
      <c r="F473" s="27" t="n">
        <v>45778</v>
      </c>
      <c r="G473" t="n">
        <v>10846.69</v>
      </c>
    </row>
    <row r="474">
      <c r="A474" t="n">
        <v>25778</v>
      </c>
      <c r="B474" t="n">
        <v>128</v>
      </c>
      <c r="C474" t="inlineStr">
        <is>
          <t>Love Cabaret</t>
        </is>
      </c>
      <c r="D474" t="inlineStr">
        <is>
          <t>Saldo Inicial</t>
        </is>
      </c>
      <c r="E474" s="27" t="n">
        <v>45777</v>
      </c>
      <c r="F474" s="27" t="n">
        <v>45777</v>
      </c>
      <c r="G474" t="n">
        <v>10846.69</v>
      </c>
    </row>
    <row r="475">
      <c r="A475" t="n">
        <v>25678</v>
      </c>
      <c r="B475" t="n">
        <v>128</v>
      </c>
      <c r="C475" t="inlineStr">
        <is>
          <t>Love Cabaret</t>
        </is>
      </c>
      <c r="D475" t="inlineStr">
        <is>
          <t>Saldo Inicial</t>
        </is>
      </c>
      <c r="E475" s="27" t="n">
        <v>45776</v>
      </c>
      <c r="F475" s="27" t="n">
        <v>45776</v>
      </c>
      <c r="G475" t="n">
        <v>0</v>
      </c>
    </row>
    <row r="476">
      <c r="A476" t="n">
        <v>25679</v>
      </c>
      <c r="B476" t="n">
        <v>128</v>
      </c>
      <c r="C476" t="inlineStr">
        <is>
          <t>Love Cabaret</t>
        </is>
      </c>
      <c r="D476" t="inlineStr">
        <is>
          <t>Cartão de Crédito integrado Zig</t>
        </is>
      </c>
      <c r="E476" s="27" t="n">
        <v>45776</v>
      </c>
      <c r="F476" s="27" t="n">
        <v>45745</v>
      </c>
      <c r="G476" t="n">
        <v>10846.69</v>
      </c>
    </row>
    <row r="477">
      <c r="A477" t="n">
        <v>25577</v>
      </c>
      <c r="B477" t="n">
        <v>128</v>
      </c>
      <c r="C477" t="inlineStr">
        <is>
          <t>Love Cabaret</t>
        </is>
      </c>
      <c r="D477" t="inlineStr">
        <is>
          <t>Cartão de Crédito integrado Zig</t>
        </is>
      </c>
      <c r="E477" s="27" t="n">
        <v>45775</v>
      </c>
      <c r="F477" s="27" t="n">
        <v>45744</v>
      </c>
      <c r="G477" t="n">
        <v>15141.41</v>
      </c>
    </row>
    <row r="478">
      <c r="A478" t="n">
        <v>25578</v>
      </c>
      <c r="B478" t="n">
        <v>128</v>
      </c>
      <c r="C478" t="inlineStr">
        <is>
          <t>Love Cabaret</t>
        </is>
      </c>
      <c r="D478" t="inlineStr">
        <is>
          <t>Saque</t>
        </is>
      </c>
      <c r="E478" s="27" t="n">
        <v>45775</v>
      </c>
      <c r="F478" s="27" t="n">
        <v>45775</v>
      </c>
      <c r="G478" t="n">
        <v>-51707.91</v>
      </c>
    </row>
    <row r="479">
      <c r="A479" t="n">
        <v>25574</v>
      </c>
      <c r="B479" t="n">
        <v>128</v>
      </c>
      <c r="C479" t="inlineStr">
        <is>
          <t>Love Cabaret</t>
        </is>
      </c>
      <c r="D479" t="inlineStr">
        <is>
          <t>Saldo Inicial</t>
        </is>
      </c>
      <c r="E479" s="27" t="n">
        <v>45775</v>
      </c>
      <c r="F479" s="27" t="n">
        <v>45775</v>
      </c>
      <c r="G479" t="n">
        <v>32485.21</v>
      </c>
    </row>
    <row r="480">
      <c r="A480" t="n">
        <v>25575</v>
      </c>
      <c r="B480" t="n">
        <v>128</v>
      </c>
      <c r="C480" t="inlineStr">
        <is>
          <t>Love Cabaret</t>
        </is>
      </c>
      <c r="D480" t="inlineStr">
        <is>
          <t>Taxa de sistema sobre receita de Bar</t>
        </is>
      </c>
      <c r="E480" s="27" t="n">
        <v>45775</v>
      </c>
      <c r="F480" s="27" t="n">
        <v>45774</v>
      </c>
      <c r="G480" t="n">
        <v>-145.31</v>
      </c>
    </row>
    <row r="481">
      <c r="A481" t="n">
        <v>25576</v>
      </c>
      <c r="B481" t="n">
        <v>128</v>
      </c>
      <c r="C481" t="inlineStr">
        <is>
          <t>Love Cabaret</t>
        </is>
      </c>
      <c r="D481" t="inlineStr">
        <is>
          <t>Cartão de Débito integrado Zig</t>
        </is>
      </c>
      <c r="E481" s="27" t="n">
        <v>45775</v>
      </c>
      <c r="F481" s="27" t="n">
        <v>45774</v>
      </c>
      <c r="G481" t="n">
        <v>4226.6</v>
      </c>
    </row>
    <row r="482">
      <c r="A482" t="n">
        <v>25471</v>
      </c>
      <c r="B482" t="n">
        <v>128</v>
      </c>
      <c r="C482" t="inlineStr">
        <is>
          <t>Love Cabaret</t>
        </is>
      </c>
      <c r="D482" t="inlineStr">
        <is>
          <t>Rebate</t>
        </is>
      </c>
      <c r="E482" s="27" t="n">
        <v>45774</v>
      </c>
      <c r="F482" s="27" t="n">
        <v>45774</v>
      </c>
      <c r="G482" t="n">
        <v>145.31</v>
      </c>
    </row>
    <row r="483">
      <c r="A483" t="n">
        <v>25470</v>
      </c>
      <c r="B483" t="n">
        <v>128</v>
      </c>
      <c r="C483" t="inlineStr">
        <is>
          <t>Love Cabaret</t>
        </is>
      </c>
      <c r="D483" t="inlineStr">
        <is>
          <t>Transações via Pix</t>
        </is>
      </c>
      <c r="E483" s="27" t="n">
        <v>45774</v>
      </c>
      <c r="F483" s="27" t="n">
        <v>45774</v>
      </c>
      <c r="G483" t="n">
        <v>1627.54</v>
      </c>
    </row>
    <row r="484">
      <c r="A484" t="n">
        <v>25469</v>
      </c>
      <c r="B484" t="n">
        <v>128</v>
      </c>
      <c r="C484" t="inlineStr">
        <is>
          <t>Love Cabaret</t>
        </is>
      </c>
      <c r="D484" t="inlineStr">
        <is>
          <t>Taxa de sistema sobre receita de Bar</t>
        </is>
      </c>
      <c r="E484" s="27" t="n">
        <v>45774</v>
      </c>
      <c r="F484" s="27" t="n">
        <v>45773</v>
      </c>
      <c r="G484" t="n">
        <v>-201.8</v>
      </c>
    </row>
    <row r="485">
      <c r="A485" t="n">
        <v>25468</v>
      </c>
      <c r="B485" t="n">
        <v>128</v>
      </c>
      <c r="C485" t="inlineStr">
        <is>
          <t>Love Cabaret</t>
        </is>
      </c>
      <c r="D485" t="inlineStr">
        <is>
          <t>Cartão de Débito integrado Zig</t>
        </is>
      </c>
      <c r="E485" s="27" t="n">
        <v>45774</v>
      </c>
      <c r="F485" s="27" t="n">
        <v>45773</v>
      </c>
      <c r="G485" t="n">
        <v>4469.22</v>
      </c>
    </row>
    <row r="486">
      <c r="A486" t="n">
        <v>25467</v>
      </c>
      <c r="B486" t="n">
        <v>128</v>
      </c>
      <c r="C486" t="inlineStr">
        <is>
          <t>Love Cabaret</t>
        </is>
      </c>
      <c r="D486" t="inlineStr">
        <is>
          <t>Cartão de Crédito integrado Zig</t>
        </is>
      </c>
      <c r="E486" s="27" t="n">
        <v>45774</v>
      </c>
      <c r="F486" s="27" t="n">
        <v>45743</v>
      </c>
      <c r="G486" t="n">
        <v>12667.65</v>
      </c>
    </row>
    <row r="487">
      <c r="A487" t="n">
        <v>25466</v>
      </c>
      <c r="B487" t="n">
        <v>128</v>
      </c>
      <c r="C487" t="inlineStr">
        <is>
          <t>Love Cabaret</t>
        </is>
      </c>
      <c r="D487" t="inlineStr">
        <is>
          <t>Saldo Inicial</t>
        </is>
      </c>
      <c r="E487" s="27" t="n">
        <v>45774</v>
      </c>
      <c r="F487" s="27" t="n">
        <v>45774</v>
      </c>
      <c r="G487" t="n">
        <v>13777.29</v>
      </c>
    </row>
    <row r="488">
      <c r="A488" t="n">
        <v>25371</v>
      </c>
      <c r="B488" t="n">
        <v>128</v>
      </c>
      <c r="C488" t="inlineStr">
        <is>
          <t>Love Cabaret</t>
        </is>
      </c>
      <c r="D488" t="inlineStr">
        <is>
          <t>Rebate</t>
        </is>
      </c>
      <c r="E488" s="27" t="n">
        <v>45773</v>
      </c>
      <c r="F488" s="27" t="n">
        <v>45773</v>
      </c>
      <c r="G488" t="n">
        <v>201.8</v>
      </c>
    </row>
    <row r="489">
      <c r="A489" t="n">
        <v>25367</v>
      </c>
      <c r="B489" t="n">
        <v>128</v>
      </c>
      <c r="C489" t="inlineStr">
        <is>
          <t>Love Cabaret</t>
        </is>
      </c>
      <c r="D489" t="inlineStr">
        <is>
          <t>Saldo Inicial</t>
        </is>
      </c>
      <c r="E489" s="27" t="n">
        <v>45773</v>
      </c>
      <c r="F489" s="27" t="n">
        <v>45773</v>
      </c>
      <c r="G489" t="n">
        <v>8856.950000000001</v>
      </c>
    </row>
    <row r="490">
      <c r="A490" t="n">
        <v>25368</v>
      </c>
      <c r="B490" t="n">
        <v>128</v>
      </c>
      <c r="C490" t="inlineStr">
        <is>
          <t>Love Cabaret</t>
        </is>
      </c>
      <c r="D490" t="inlineStr">
        <is>
          <t>Cartão de Débito integrado Zig</t>
        </is>
      </c>
      <c r="E490" s="27" t="n">
        <v>45773</v>
      </c>
      <c r="F490" s="27" t="n">
        <v>45772</v>
      </c>
      <c r="G490" t="n">
        <v>3364.74</v>
      </c>
    </row>
    <row r="491">
      <c r="A491" t="n">
        <v>25369</v>
      </c>
      <c r="B491" t="n">
        <v>128</v>
      </c>
      <c r="C491" t="inlineStr">
        <is>
          <t>Love Cabaret</t>
        </is>
      </c>
      <c r="D491" t="inlineStr">
        <is>
          <t>Taxa de sistema sobre receita de Bar</t>
        </is>
      </c>
      <c r="E491" s="27" t="n">
        <v>45773</v>
      </c>
      <c r="F491" s="27" t="n">
        <v>45772</v>
      </c>
      <c r="G491" t="n">
        <v>-187.94</v>
      </c>
    </row>
    <row r="492">
      <c r="A492" t="n">
        <v>25370</v>
      </c>
      <c r="B492" t="n">
        <v>128</v>
      </c>
      <c r="C492" t="inlineStr">
        <is>
          <t>Love Cabaret</t>
        </is>
      </c>
      <c r="D492" t="inlineStr">
        <is>
          <t>Transações via Pix</t>
        </is>
      </c>
      <c r="E492" s="27" t="n">
        <v>45773</v>
      </c>
      <c r="F492" s="27" t="n">
        <v>45773</v>
      </c>
      <c r="G492" t="n">
        <v>1541.74</v>
      </c>
    </row>
    <row r="493">
      <c r="A493" t="n">
        <v>25262</v>
      </c>
      <c r="B493" t="n">
        <v>128</v>
      </c>
      <c r="C493" t="inlineStr">
        <is>
          <t>Love Cabaret</t>
        </is>
      </c>
      <c r="D493" t="inlineStr">
        <is>
          <t>Taxa de sistema sobre receita de Bar</t>
        </is>
      </c>
      <c r="E493" s="27" t="n">
        <v>45772</v>
      </c>
      <c r="F493" s="27" t="n">
        <v>45771</v>
      </c>
      <c r="G493" t="n">
        <v>-168.23</v>
      </c>
    </row>
    <row r="494">
      <c r="A494" t="n">
        <v>25261</v>
      </c>
      <c r="B494" t="n">
        <v>128</v>
      </c>
      <c r="C494" t="inlineStr">
        <is>
          <t>Love Cabaret</t>
        </is>
      </c>
      <c r="D494" t="inlineStr">
        <is>
          <t>Cartão de Débito integrado Zig</t>
        </is>
      </c>
      <c r="E494" s="27" t="n">
        <v>45772</v>
      </c>
      <c r="F494" s="27" t="n">
        <v>45771</v>
      </c>
      <c r="G494" t="n">
        <v>6528.01</v>
      </c>
    </row>
    <row r="495">
      <c r="A495" t="n">
        <v>25263</v>
      </c>
      <c r="B495" t="n">
        <v>128</v>
      </c>
      <c r="C495" t="inlineStr">
        <is>
          <t>Love Cabaret</t>
        </is>
      </c>
      <c r="D495" t="inlineStr">
        <is>
          <t>Transações via Pix</t>
        </is>
      </c>
      <c r="E495" s="27" t="n">
        <v>45772</v>
      </c>
      <c r="F495" s="27" t="n">
        <v>45772</v>
      </c>
      <c r="G495" t="n">
        <v>489.95</v>
      </c>
    </row>
    <row r="496">
      <c r="A496" t="n">
        <v>25264</v>
      </c>
      <c r="B496" t="n">
        <v>128</v>
      </c>
      <c r="C496" t="inlineStr">
        <is>
          <t>Love Cabaret</t>
        </is>
      </c>
      <c r="D496" t="inlineStr">
        <is>
          <t>Rebate</t>
        </is>
      </c>
      <c r="E496" s="27" t="n">
        <v>45772</v>
      </c>
      <c r="F496" s="27" t="n">
        <v>45772</v>
      </c>
      <c r="G496" t="n">
        <v>36.26</v>
      </c>
    </row>
    <row r="497">
      <c r="A497" t="n">
        <v>25260</v>
      </c>
      <c r="B497" t="n">
        <v>128</v>
      </c>
      <c r="C497" t="inlineStr">
        <is>
          <t>Love Cabaret</t>
        </is>
      </c>
      <c r="D497" t="inlineStr">
        <is>
          <t>Saldo Inicial</t>
        </is>
      </c>
      <c r="E497" s="27" t="n">
        <v>45772</v>
      </c>
      <c r="F497" s="27" t="n">
        <v>45772</v>
      </c>
      <c r="G497" t="n">
        <v>1970.96</v>
      </c>
    </row>
    <row r="498">
      <c r="A498" t="n">
        <v>25126</v>
      </c>
      <c r="B498" t="n">
        <v>128</v>
      </c>
      <c r="C498" t="inlineStr">
        <is>
          <t>Love Cabaret</t>
        </is>
      </c>
      <c r="D498" t="inlineStr">
        <is>
          <t>Saldo Inicial</t>
        </is>
      </c>
      <c r="E498" s="27" t="n">
        <v>45771</v>
      </c>
      <c r="F498" s="27" t="n">
        <v>45771</v>
      </c>
      <c r="G498" t="n">
        <v>0</v>
      </c>
    </row>
    <row r="499">
      <c r="A499" t="n">
        <v>25127</v>
      </c>
      <c r="B499" t="n">
        <v>128</v>
      </c>
      <c r="C499" t="inlineStr">
        <is>
          <t>Love Cabaret</t>
        </is>
      </c>
      <c r="D499" t="inlineStr">
        <is>
          <t>Cobrança geral - Z0101 - 2 SmartPOS a R$20 cada</t>
        </is>
      </c>
      <c r="E499" s="27" t="n">
        <v>45771</v>
      </c>
      <c r="F499" s="27" t="n">
        <v>45771</v>
      </c>
      <c r="G499" t="n">
        <v>-40</v>
      </c>
    </row>
    <row r="500">
      <c r="A500" t="n">
        <v>25128</v>
      </c>
      <c r="B500" t="n">
        <v>128</v>
      </c>
      <c r="C500" t="inlineStr">
        <is>
          <t>Love Cabaret</t>
        </is>
      </c>
      <c r="D500" t="inlineStr">
        <is>
          <t>Transações via Pix</t>
        </is>
      </c>
      <c r="E500" s="27" t="n">
        <v>45771</v>
      </c>
      <c r="F500" s="27" t="n">
        <v>45771</v>
      </c>
      <c r="G500" t="n">
        <v>2010.96</v>
      </c>
    </row>
    <row r="501">
      <c r="A501" t="n">
        <v>25018</v>
      </c>
      <c r="B501" t="n">
        <v>128</v>
      </c>
      <c r="C501" t="inlineStr">
        <is>
          <t>Love Cabaret</t>
        </is>
      </c>
      <c r="D501" t="inlineStr">
        <is>
          <t>Saldo Inicial</t>
        </is>
      </c>
      <c r="E501" s="27" t="n">
        <v>45770</v>
      </c>
      <c r="F501" s="27" t="n">
        <v>45770</v>
      </c>
      <c r="G501" t="n">
        <v>0</v>
      </c>
    </row>
    <row r="502">
      <c r="A502" t="n">
        <v>24913</v>
      </c>
      <c r="B502" t="n">
        <v>128</v>
      </c>
      <c r="C502" t="inlineStr">
        <is>
          <t>Love Cabaret</t>
        </is>
      </c>
      <c r="D502" t="inlineStr">
        <is>
          <t>Saque</t>
        </is>
      </c>
      <c r="E502" s="27" t="n">
        <v>45769</v>
      </c>
      <c r="F502" s="27" t="n">
        <v>45769</v>
      </c>
      <c r="G502" t="n">
        <v>-78322.05</v>
      </c>
    </row>
    <row r="503">
      <c r="A503" t="n">
        <v>24912</v>
      </c>
      <c r="B503" t="n">
        <v>128</v>
      </c>
      <c r="C503" t="inlineStr">
        <is>
          <t>Love Cabaret</t>
        </is>
      </c>
      <c r="D503" t="inlineStr">
        <is>
          <t>Transações via App</t>
        </is>
      </c>
      <c r="E503" s="27" t="n">
        <v>45769</v>
      </c>
      <c r="F503" s="27" t="n">
        <v>45739</v>
      </c>
      <c r="G503" t="n">
        <v>63.37</v>
      </c>
    </row>
    <row r="504">
      <c r="A504" t="n">
        <v>24911</v>
      </c>
      <c r="B504" t="n">
        <v>128</v>
      </c>
      <c r="C504" t="inlineStr">
        <is>
          <t>Love Cabaret</t>
        </is>
      </c>
      <c r="D504" t="inlineStr">
        <is>
          <t>Cartão de Crédito integrado Zig</t>
        </is>
      </c>
      <c r="E504" s="27" t="n">
        <v>45769</v>
      </c>
      <c r="F504" s="27" t="n">
        <v>45739</v>
      </c>
      <c r="G504" t="n">
        <v>25007.29</v>
      </c>
    </row>
    <row r="505">
      <c r="A505" t="n">
        <v>24910</v>
      </c>
      <c r="B505" t="n">
        <v>128</v>
      </c>
      <c r="C505" t="inlineStr">
        <is>
          <t>Love Cabaret</t>
        </is>
      </c>
      <c r="D505" t="inlineStr">
        <is>
          <t>Saldo Inicial</t>
        </is>
      </c>
      <c r="E505" s="27" t="n">
        <v>45769</v>
      </c>
      <c r="F505" s="27" t="n">
        <v>45769</v>
      </c>
      <c r="G505" t="n">
        <v>53251.39</v>
      </c>
    </row>
    <row r="506">
      <c r="A506" t="n">
        <v>24808</v>
      </c>
      <c r="B506" t="n">
        <v>128</v>
      </c>
      <c r="C506" t="inlineStr">
        <is>
          <t>Love Cabaret</t>
        </is>
      </c>
      <c r="D506" t="inlineStr">
        <is>
          <t>Saldo Inicial</t>
        </is>
      </c>
      <c r="E506" s="27" t="n">
        <v>45768</v>
      </c>
      <c r="F506" s="27" t="n">
        <v>45768</v>
      </c>
      <c r="G506" t="n">
        <v>36674.6</v>
      </c>
    </row>
    <row r="507">
      <c r="A507" t="n">
        <v>24809</v>
      </c>
      <c r="B507" t="n">
        <v>128</v>
      </c>
      <c r="C507" t="inlineStr">
        <is>
          <t>Love Cabaret</t>
        </is>
      </c>
      <c r="D507" t="inlineStr">
        <is>
          <t>Cartão de Crédito integrado Zig</t>
        </is>
      </c>
      <c r="E507" s="27" t="n">
        <v>45768</v>
      </c>
      <c r="F507" s="27" t="n">
        <v>45737</v>
      </c>
      <c r="G507" t="n">
        <v>16576.79</v>
      </c>
    </row>
    <row r="508">
      <c r="A508" t="n">
        <v>24717</v>
      </c>
      <c r="B508" t="n">
        <v>128</v>
      </c>
      <c r="C508" t="inlineStr">
        <is>
          <t>Love Cabaret</t>
        </is>
      </c>
      <c r="D508" t="inlineStr">
        <is>
          <t>Saldo Inicial</t>
        </is>
      </c>
      <c r="E508" s="27" t="n">
        <v>45767</v>
      </c>
      <c r="F508" s="27" t="n">
        <v>45767</v>
      </c>
      <c r="G508" t="n">
        <v>23611.96</v>
      </c>
    </row>
    <row r="509">
      <c r="A509" t="n">
        <v>24718</v>
      </c>
      <c r="B509" t="n">
        <v>128</v>
      </c>
      <c r="C509" t="inlineStr">
        <is>
          <t>Love Cabaret</t>
        </is>
      </c>
      <c r="D509" t="inlineStr">
        <is>
          <t>Cartão de Crédito integrado Zig</t>
        </is>
      </c>
      <c r="E509" s="27" t="n">
        <v>45767</v>
      </c>
      <c r="F509" s="27" t="n">
        <v>45736</v>
      </c>
      <c r="G509" t="n">
        <v>6405.49</v>
      </c>
    </row>
    <row r="510">
      <c r="A510" t="n">
        <v>24719</v>
      </c>
      <c r="B510" t="n">
        <v>128</v>
      </c>
      <c r="C510" t="inlineStr">
        <is>
          <t>Love Cabaret</t>
        </is>
      </c>
      <c r="D510" t="inlineStr">
        <is>
          <t>Cartão de Débito integrado Zig</t>
        </is>
      </c>
      <c r="E510" s="27" t="n">
        <v>45767</v>
      </c>
      <c r="F510" s="27" t="n">
        <v>45766</v>
      </c>
      <c r="G510" t="n">
        <v>6865.15</v>
      </c>
    </row>
    <row r="511">
      <c r="A511" t="n">
        <v>24720</v>
      </c>
      <c r="B511" t="n">
        <v>128</v>
      </c>
      <c r="C511" t="inlineStr">
        <is>
          <t>Love Cabaret</t>
        </is>
      </c>
      <c r="D511" t="inlineStr">
        <is>
          <t>Taxa de sistema sobre receita de Bar</t>
        </is>
      </c>
      <c r="E511" s="27" t="n">
        <v>45767</v>
      </c>
      <c r="F511" s="27" t="n">
        <v>45766</v>
      </c>
      <c r="G511" t="n">
        <v>-208</v>
      </c>
    </row>
    <row r="512">
      <c r="A512" t="n">
        <v>24617</v>
      </c>
      <c r="B512" t="n">
        <v>128</v>
      </c>
      <c r="C512" t="inlineStr">
        <is>
          <t>Love Cabaret</t>
        </is>
      </c>
      <c r="D512" t="inlineStr">
        <is>
          <t>Saldo Inicial</t>
        </is>
      </c>
      <c r="E512" s="27" t="n">
        <v>45766</v>
      </c>
      <c r="F512" s="27" t="n">
        <v>45766</v>
      </c>
      <c r="G512" t="n">
        <v>12865.92</v>
      </c>
    </row>
    <row r="513">
      <c r="A513" t="n">
        <v>24618</v>
      </c>
      <c r="B513" t="n">
        <v>128</v>
      </c>
      <c r="C513" t="inlineStr">
        <is>
          <t>Love Cabaret</t>
        </is>
      </c>
      <c r="D513" t="inlineStr">
        <is>
          <t>Cartão de Débito integrado Zig</t>
        </is>
      </c>
      <c r="E513" s="27" t="n">
        <v>45766</v>
      </c>
      <c r="F513" s="27" t="n">
        <v>45765</v>
      </c>
      <c r="G513" t="n">
        <v>10575.6</v>
      </c>
    </row>
    <row r="514">
      <c r="A514" t="n">
        <v>24619</v>
      </c>
      <c r="B514" t="n">
        <v>128</v>
      </c>
      <c r="C514" t="inlineStr">
        <is>
          <t>Love Cabaret</t>
        </is>
      </c>
      <c r="D514" t="inlineStr">
        <is>
          <t>Taxa de sistema sobre receita de Bar</t>
        </is>
      </c>
      <c r="E514" s="27" t="n">
        <v>45766</v>
      </c>
      <c r="F514" s="27" t="n">
        <v>45765</v>
      </c>
      <c r="G514" t="n">
        <v>-230.55</v>
      </c>
    </row>
    <row r="515">
      <c r="A515" t="n">
        <v>24620</v>
      </c>
      <c r="B515" t="n">
        <v>128</v>
      </c>
      <c r="C515" t="inlineStr">
        <is>
          <t>Love Cabaret</t>
        </is>
      </c>
      <c r="D515" t="inlineStr">
        <is>
          <t>Transações via Pix</t>
        </is>
      </c>
      <c r="E515" s="27" t="n">
        <v>45766</v>
      </c>
      <c r="F515" s="27" t="n">
        <v>45766</v>
      </c>
      <c r="G515" t="n">
        <v>400.99</v>
      </c>
    </row>
    <row r="516">
      <c r="A516" t="n">
        <v>24531</v>
      </c>
      <c r="B516" t="n">
        <v>128</v>
      </c>
      <c r="C516" t="inlineStr">
        <is>
          <t>Love Cabaret</t>
        </is>
      </c>
      <c r="D516" t="inlineStr">
        <is>
          <t>Transações via Pix</t>
        </is>
      </c>
      <c r="E516" s="27" t="n">
        <v>45765</v>
      </c>
      <c r="F516" s="27" t="n">
        <v>45765</v>
      </c>
      <c r="G516" t="n">
        <v>3209.03</v>
      </c>
    </row>
    <row r="517">
      <c r="A517" t="n">
        <v>24530</v>
      </c>
      <c r="B517" t="n">
        <v>128</v>
      </c>
      <c r="C517" t="inlineStr">
        <is>
          <t>Love Cabaret</t>
        </is>
      </c>
      <c r="D517" t="inlineStr">
        <is>
          <t>Taxa de sistema sobre receita de Bar</t>
        </is>
      </c>
      <c r="E517" s="27" t="n">
        <v>45765</v>
      </c>
      <c r="F517" s="27" t="n">
        <v>45764</v>
      </c>
      <c r="G517" t="n">
        <v>-162.85</v>
      </c>
    </row>
    <row r="518">
      <c r="A518" t="n">
        <v>24529</v>
      </c>
      <c r="B518" t="n">
        <v>128</v>
      </c>
      <c r="C518" t="inlineStr">
        <is>
          <t>Love Cabaret</t>
        </is>
      </c>
      <c r="D518" t="inlineStr">
        <is>
          <t>Cartão de Débito integrado Zig</t>
        </is>
      </c>
      <c r="E518" s="27" t="n">
        <v>45765</v>
      </c>
      <c r="F518" s="27" t="n">
        <v>45764</v>
      </c>
      <c r="G518" t="n">
        <v>8381.83</v>
      </c>
    </row>
    <row r="519">
      <c r="A519" t="n">
        <v>24528</v>
      </c>
      <c r="B519" t="n">
        <v>128</v>
      </c>
      <c r="C519" t="inlineStr">
        <is>
          <t>Love Cabaret</t>
        </is>
      </c>
      <c r="D519" t="inlineStr">
        <is>
          <t>Saldo Inicial</t>
        </is>
      </c>
      <c r="E519" s="27" t="n">
        <v>45765</v>
      </c>
      <c r="F519" s="27" t="n">
        <v>45765</v>
      </c>
      <c r="G519" t="n">
        <v>1437.91</v>
      </c>
    </row>
    <row r="520">
      <c r="A520" t="n">
        <v>24431</v>
      </c>
      <c r="B520" t="n">
        <v>128</v>
      </c>
      <c r="C520" t="inlineStr">
        <is>
          <t>Love Cabaret</t>
        </is>
      </c>
      <c r="D520" t="inlineStr">
        <is>
          <t>Saldo Inicial</t>
        </is>
      </c>
      <c r="E520" s="27" t="n">
        <v>45764</v>
      </c>
      <c r="F520" s="27" t="n">
        <v>45764</v>
      </c>
      <c r="G520" t="n">
        <v>0</v>
      </c>
    </row>
    <row r="521">
      <c r="A521" t="n">
        <v>24432</v>
      </c>
      <c r="B521" t="n">
        <v>128</v>
      </c>
      <c r="C521" t="inlineStr">
        <is>
          <t>Love Cabaret</t>
        </is>
      </c>
      <c r="D521" t="inlineStr">
        <is>
          <t>Transações via Pix</t>
        </is>
      </c>
      <c r="E521" s="27" t="n">
        <v>45764</v>
      </c>
      <c r="F521" s="27" t="n">
        <v>45764</v>
      </c>
      <c r="G521" t="n">
        <v>1437.91</v>
      </c>
    </row>
    <row r="522">
      <c r="A522" t="n">
        <v>24328</v>
      </c>
      <c r="B522" t="n">
        <v>128</v>
      </c>
      <c r="C522" t="inlineStr">
        <is>
          <t>Love Cabaret</t>
        </is>
      </c>
      <c r="D522" t="inlineStr">
        <is>
          <t>Saldo Inicial</t>
        </is>
      </c>
      <c r="E522" s="27" t="n">
        <v>45763</v>
      </c>
      <c r="F522" s="27" t="n">
        <v>45763</v>
      </c>
      <c r="G522" t="n">
        <v>0</v>
      </c>
    </row>
    <row r="523">
      <c r="A523" t="n">
        <v>24225</v>
      </c>
      <c r="B523" t="n">
        <v>128</v>
      </c>
      <c r="C523" t="inlineStr">
        <is>
          <t>Love Cabaret</t>
        </is>
      </c>
      <c r="D523" t="inlineStr">
        <is>
          <t>Saldo Inicial</t>
        </is>
      </c>
      <c r="E523" s="27" t="n">
        <v>45762</v>
      </c>
      <c r="F523" s="27" t="n">
        <v>45762</v>
      </c>
      <c r="G523" t="n">
        <v>0</v>
      </c>
    </row>
    <row r="524">
      <c r="A524" t="n">
        <v>24226</v>
      </c>
      <c r="B524" t="n">
        <v>128</v>
      </c>
      <c r="C524" t="inlineStr">
        <is>
          <t>Love Cabaret</t>
        </is>
      </c>
      <c r="D524" t="inlineStr">
        <is>
          <t>Cartão de Crédito integrado Zig</t>
        </is>
      </c>
      <c r="E524" s="27" t="n">
        <v>45762</v>
      </c>
      <c r="F524" s="27" t="n">
        <v>45731</v>
      </c>
      <c r="G524" t="n">
        <v>10628.23</v>
      </c>
    </row>
    <row r="525">
      <c r="A525" t="n">
        <v>24227</v>
      </c>
      <c r="B525" t="n">
        <v>128</v>
      </c>
      <c r="C525" t="inlineStr">
        <is>
          <t>Love Cabaret</t>
        </is>
      </c>
      <c r="D525" t="inlineStr">
        <is>
          <t>Saque</t>
        </is>
      </c>
      <c r="E525" s="27" t="n">
        <v>45762</v>
      </c>
      <c r="F525" s="27" t="n">
        <v>45762</v>
      </c>
      <c r="G525" t="n">
        <v>-10628.23</v>
      </c>
    </row>
    <row r="526">
      <c r="A526" t="n">
        <v>24115</v>
      </c>
      <c r="B526" t="n">
        <v>128</v>
      </c>
      <c r="C526" t="inlineStr">
        <is>
          <t>Love Cabaret</t>
        </is>
      </c>
      <c r="D526" t="inlineStr">
        <is>
          <t>Saldo Inicial</t>
        </is>
      </c>
      <c r="E526" s="27" t="n">
        <v>45761</v>
      </c>
      <c r="F526" s="27" t="n">
        <v>45761</v>
      </c>
      <c r="G526" t="n">
        <v>35986.72</v>
      </c>
    </row>
    <row r="527">
      <c r="A527" t="n">
        <v>24116</v>
      </c>
      <c r="B527" t="n">
        <v>128</v>
      </c>
      <c r="C527" t="inlineStr">
        <is>
          <t>Love Cabaret</t>
        </is>
      </c>
      <c r="D527" t="inlineStr">
        <is>
          <t>Cartão de Crédito integrado Zig</t>
        </is>
      </c>
      <c r="E527" s="27" t="n">
        <v>45761</v>
      </c>
      <c r="F527" s="27" t="n">
        <v>45730</v>
      </c>
      <c r="G527" t="n">
        <v>15836.18</v>
      </c>
    </row>
    <row r="528">
      <c r="A528" t="n">
        <v>24117</v>
      </c>
      <c r="B528" t="n">
        <v>128</v>
      </c>
      <c r="C528" t="inlineStr">
        <is>
          <t>Love Cabaret</t>
        </is>
      </c>
      <c r="D528" t="inlineStr">
        <is>
          <t>Saque</t>
        </is>
      </c>
      <c r="E528" s="27" t="n">
        <v>45761</v>
      </c>
      <c r="F528" s="27" t="n">
        <v>45761</v>
      </c>
      <c r="G528" t="n">
        <v>-51822.9</v>
      </c>
    </row>
    <row r="529">
      <c r="A529" t="n">
        <v>24020</v>
      </c>
      <c r="B529" t="n">
        <v>128</v>
      </c>
      <c r="C529" t="inlineStr">
        <is>
          <t>Love Cabaret</t>
        </is>
      </c>
      <c r="D529" t="inlineStr">
        <is>
          <t>Taxa de sistema sobre receita de Bar</t>
        </is>
      </c>
      <c r="E529" s="27" t="n">
        <v>45760</v>
      </c>
      <c r="F529" s="27" t="n">
        <v>45759</v>
      </c>
      <c r="G529" t="n">
        <v>-232.05</v>
      </c>
    </row>
    <row r="530">
      <c r="A530" t="n">
        <v>24019</v>
      </c>
      <c r="B530" t="n">
        <v>128</v>
      </c>
      <c r="C530" t="inlineStr">
        <is>
          <t>Love Cabaret</t>
        </is>
      </c>
      <c r="D530" t="inlineStr">
        <is>
          <t>Cartão de Débito integrado Zig</t>
        </is>
      </c>
      <c r="E530" s="27" t="n">
        <v>45760</v>
      </c>
      <c r="F530" s="27" t="n">
        <v>45759</v>
      </c>
      <c r="G530" t="n">
        <v>5651.98</v>
      </c>
    </row>
    <row r="531">
      <c r="A531" t="n">
        <v>24017</v>
      </c>
      <c r="B531" t="n">
        <v>128</v>
      </c>
      <c r="C531" t="inlineStr">
        <is>
          <t>Love Cabaret</t>
        </is>
      </c>
      <c r="D531" t="inlineStr">
        <is>
          <t>Saldo Inicial</t>
        </is>
      </c>
      <c r="E531" s="27" t="n">
        <v>45760</v>
      </c>
      <c r="F531" s="27" t="n">
        <v>45760</v>
      </c>
      <c r="G531" t="n">
        <v>19491.99</v>
      </c>
    </row>
    <row r="532">
      <c r="A532" t="n">
        <v>24018</v>
      </c>
      <c r="B532" t="n">
        <v>128</v>
      </c>
      <c r="C532" t="inlineStr">
        <is>
          <t>Love Cabaret</t>
        </is>
      </c>
      <c r="D532" t="inlineStr">
        <is>
          <t>Cartão de Crédito integrado Zig</t>
        </is>
      </c>
      <c r="E532" s="27" t="n">
        <v>45760</v>
      </c>
      <c r="F532" s="27" t="n">
        <v>45729</v>
      </c>
      <c r="G532" t="n">
        <v>11074.8</v>
      </c>
    </row>
    <row r="533">
      <c r="A533" t="n">
        <v>23919</v>
      </c>
      <c r="B533" t="n">
        <v>128</v>
      </c>
      <c r="C533" t="inlineStr">
        <is>
          <t>Love Cabaret</t>
        </is>
      </c>
      <c r="D533" t="inlineStr">
        <is>
          <t>Taxa de sistema sobre receita de Bar</t>
        </is>
      </c>
      <c r="E533" s="27" t="n">
        <v>45759</v>
      </c>
      <c r="F533" s="27" t="n">
        <v>45758</v>
      </c>
      <c r="G533" t="n">
        <v>-218.09</v>
      </c>
    </row>
    <row r="534">
      <c r="A534" t="n">
        <v>23920</v>
      </c>
      <c r="B534" t="n">
        <v>128</v>
      </c>
      <c r="C534" t="inlineStr">
        <is>
          <t>Love Cabaret</t>
        </is>
      </c>
      <c r="D534" t="inlineStr">
        <is>
          <t>Transações via Pix</t>
        </is>
      </c>
      <c r="E534" s="27" t="n">
        <v>45759</v>
      </c>
      <c r="F534" s="27" t="n">
        <v>45759</v>
      </c>
      <c r="G534" t="n">
        <v>1744.15</v>
      </c>
    </row>
    <row r="535">
      <c r="A535" t="n">
        <v>23918</v>
      </c>
      <c r="B535" t="n">
        <v>128</v>
      </c>
      <c r="C535" t="inlineStr">
        <is>
          <t>Love Cabaret</t>
        </is>
      </c>
      <c r="D535" t="inlineStr">
        <is>
          <t>Cartão de Débito integrado Zig</t>
        </is>
      </c>
      <c r="E535" s="27" t="n">
        <v>45759</v>
      </c>
      <c r="F535" s="27" t="n">
        <v>45758</v>
      </c>
      <c r="G535" t="n">
        <v>7294.11</v>
      </c>
    </row>
    <row r="536">
      <c r="A536" t="n">
        <v>23917</v>
      </c>
      <c r="B536" t="n">
        <v>128</v>
      </c>
      <c r="C536" t="inlineStr">
        <is>
          <t>Love Cabaret</t>
        </is>
      </c>
      <c r="D536" t="inlineStr">
        <is>
          <t>Saldo Inicial</t>
        </is>
      </c>
      <c r="E536" s="27" t="n">
        <v>45759</v>
      </c>
      <c r="F536" s="27" t="n">
        <v>45759</v>
      </c>
      <c r="G536" t="n">
        <v>10671.82</v>
      </c>
    </row>
    <row r="537">
      <c r="A537" t="n">
        <v>23818</v>
      </c>
      <c r="B537" t="n">
        <v>128</v>
      </c>
      <c r="C537" t="inlineStr">
        <is>
          <t>Love Cabaret</t>
        </is>
      </c>
      <c r="D537" t="inlineStr">
        <is>
          <t>Taxa de sistema sobre receita de Bar</t>
        </is>
      </c>
      <c r="E537" s="27" t="n">
        <v>45758</v>
      </c>
      <c r="F537" s="27" t="n">
        <v>45757</v>
      </c>
      <c r="G537" t="n">
        <v>-176.67</v>
      </c>
    </row>
    <row r="538">
      <c r="A538" t="n">
        <v>23819</v>
      </c>
      <c r="B538" t="n">
        <v>128</v>
      </c>
      <c r="C538" t="inlineStr">
        <is>
          <t>Love Cabaret</t>
        </is>
      </c>
      <c r="D538" t="inlineStr">
        <is>
          <t>Transações via Pix</t>
        </is>
      </c>
      <c r="E538" s="27" t="n">
        <v>45758</v>
      </c>
      <c r="F538" s="27" t="n">
        <v>45758</v>
      </c>
      <c r="G538" t="n">
        <v>2915.92</v>
      </c>
    </row>
    <row r="539">
      <c r="A539" t="n">
        <v>23817</v>
      </c>
      <c r="B539" t="n">
        <v>128</v>
      </c>
      <c r="C539" t="inlineStr">
        <is>
          <t>Love Cabaret</t>
        </is>
      </c>
      <c r="D539" t="inlineStr">
        <is>
          <t>Cartão de Débito integrado Zig</t>
        </is>
      </c>
      <c r="E539" s="27" t="n">
        <v>45758</v>
      </c>
      <c r="F539" s="27" t="n">
        <v>45757</v>
      </c>
      <c r="G539" t="n">
        <v>6957.53</v>
      </c>
    </row>
    <row r="540">
      <c r="A540" t="n">
        <v>23816</v>
      </c>
      <c r="B540" t="n">
        <v>128</v>
      </c>
      <c r="C540" t="inlineStr">
        <is>
          <t>Love Cabaret</t>
        </is>
      </c>
      <c r="D540" t="inlineStr">
        <is>
          <t>Saldo Inicial</t>
        </is>
      </c>
      <c r="E540" s="27" t="n">
        <v>45758</v>
      </c>
      <c r="F540" s="27" t="n">
        <v>45758</v>
      </c>
      <c r="G540" t="n">
        <v>975.04</v>
      </c>
    </row>
    <row r="541">
      <c r="A541" t="n">
        <v>23709</v>
      </c>
      <c r="B541" t="n">
        <v>128</v>
      </c>
      <c r="C541" t="inlineStr">
        <is>
          <t>Love Cabaret</t>
        </is>
      </c>
      <c r="D541" t="inlineStr">
        <is>
          <t>Transações via Pix</t>
        </is>
      </c>
      <c r="E541" s="27" t="n">
        <v>45757</v>
      </c>
      <c r="F541" s="27" t="n">
        <v>45757</v>
      </c>
      <c r="G541" t="n">
        <v>975.04</v>
      </c>
    </row>
    <row r="542">
      <c r="A542" t="n">
        <v>23708</v>
      </c>
      <c r="B542" t="n">
        <v>128</v>
      </c>
      <c r="C542" t="inlineStr">
        <is>
          <t>Love Cabaret</t>
        </is>
      </c>
      <c r="D542" t="inlineStr">
        <is>
          <t>Saldo Inicial</t>
        </is>
      </c>
      <c r="E542" s="27" t="n">
        <v>45757</v>
      </c>
      <c r="F542" s="27" t="n">
        <v>45757</v>
      </c>
      <c r="G542" t="n">
        <v>0</v>
      </c>
    </row>
    <row r="543">
      <c r="A543" t="n">
        <v>23601</v>
      </c>
      <c r="B543" t="n">
        <v>128</v>
      </c>
      <c r="C543" t="inlineStr">
        <is>
          <t>Love Cabaret</t>
        </is>
      </c>
      <c r="D543" t="inlineStr">
        <is>
          <t>Saldo Inicial</t>
        </is>
      </c>
      <c r="E543" s="27" t="n">
        <v>45756</v>
      </c>
      <c r="F543" s="27" t="n">
        <v>45756</v>
      </c>
      <c r="G543" t="n">
        <v>0</v>
      </c>
    </row>
    <row r="544">
      <c r="A544" t="n">
        <v>23505</v>
      </c>
      <c r="B544" t="n">
        <v>128</v>
      </c>
      <c r="C544" t="inlineStr">
        <is>
          <t>Love Cabaret</t>
        </is>
      </c>
      <c r="D544" t="inlineStr">
        <is>
          <t>Saldo Inicial</t>
        </is>
      </c>
      <c r="E544" s="27" t="n">
        <v>45755</v>
      </c>
      <c r="F544" s="27" t="n">
        <v>45755</v>
      </c>
      <c r="G544" t="n">
        <v>0</v>
      </c>
    </row>
    <row r="545">
      <c r="A545" t="n">
        <v>23399</v>
      </c>
      <c r="B545" t="n">
        <v>128</v>
      </c>
      <c r="C545" t="inlineStr">
        <is>
          <t>Love Cabaret</t>
        </is>
      </c>
      <c r="D545" t="inlineStr">
        <is>
          <t>Saldo Inicial</t>
        </is>
      </c>
      <c r="E545" s="27" t="n">
        <v>45754</v>
      </c>
      <c r="F545" s="27" t="n">
        <v>45754</v>
      </c>
      <c r="G545" t="n">
        <v>32921.64</v>
      </c>
    </row>
    <row r="546">
      <c r="A546" t="n">
        <v>23400</v>
      </c>
      <c r="B546" t="n">
        <v>128</v>
      </c>
      <c r="C546" t="inlineStr">
        <is>
          <t>Love Cabaret</t>
        </is>
      </c>
      <c r="D546" t="inlineStr">
        <is>
          <t>Saque</t>
        </is>
      </c>
      <c r="E546" s="27" t="n">
        <v>45754</v>
      </c>
      <c r="F546" s="27" t="n">
        <v>45754</v>
      </c>
      <c r="G546" t="n">
        <v>-32921.64</v>
      </c>
    </row>
    <row r="547">
      <c r="A547" t="n">
        <v>23296</v>
      </c>
      <c r="B547" t="n">
        <v>128</v>
      </c>
      <c r="C547" t="inlineStr">
        <is>
          <t>Love Cabaret</t>
        </is>
      </c>
      <c r="D547" t="inlineStr">
        <is>
          <t>Cartão de Débito integrado Zig</t>
        </is>
      </c>
      <c r="E547" s="27" t="n">
        <v>45753</v>
      </c>
      <c r="F547" s="27" t="n">
        <v>45752</v>
      </c>
      <c r="G547" t="n">
        <v>7348.82</v>
      </c>
    </row>
    <row r="548">
      <c r="A548" t="n">
        <v>23297</v>
      </c>
      <c r="B548" t="n">
        <v>128</v>
      </c>
      <c r="C548" t="inlineStr">
        <is>
          <t>Love Cabaret</t>
        </is>
      </c>
      <c r="D548" t="inlineStr">
        <is>
          <t>Taxa de sistema sobre receita de Bar</t>
        </is>
      </c>
      <c r="E548" s="27" t="n">
        <v>45753</v>
      </c>
      <c r="F548" s="27" t="n">
        <v>45752</v>
      </c>
      <c r="G548" t="n">
        <v>-207.56</v>
      </c>
    </row>
    <row r="549">
      <c r="A549" t="n">
        <v>23295</v>
      </c>
      <c r="B549" t="n">
        <v>128</v>
      </c>
      <c r="C549" t="inlineStr">
        <is>
          <t>Love Cabaret</t>
        </is>
      </c>
      <c r="D549" t="inlineStr">
        <is>
          <t>Saldo Inicial</t>
        </is>
      </c>
      <c r="E549" s="27" t="n">
        <v>45753</v>
      </c>
      <c r="F549" s="27" t="n">
        <v>45753</v>
      </c>
      <c r="G549" t="n">
        <v>25780.38</v>
      </c>
    </row>
    <row r="550">
      <c r="A550" t="n">
        <v>23206</v>
      </c>
      <c r="B550" t="n">
        <v>128</v>
      </c>
      <c r="C550" t="inlineStr">
        <is>
          <t>Love Cabaret</t>
        </is>
      </c>
      <c r="D550" t="inlineStr">
        <is>
          <t>Taxa de sistema sobre receita de Bar</t>
        </is>
      </c>
      <c r="E550" s="27" t="n">
        <v>45752</v>
      </c>
      <c r="F550" s="27" t="n">
        <v>45751</v>
      </c>
      <c r="G550" t="n">
        <v>-190.16</v>
      </c>
    </row>
    <row r="551">
      <c r="A551" t="n">
        <v>23205</v>
      </c>
      <c r="B551" t="n">
        <v>128</v>
      </c>
      <c r="C551" t="inlineStr">
        <is>
          <t>Love Cabaret</t>
        </is>
      </c>
      <c r="D551" t="inlineStr">
        <is>
          <t>Cartão de Débito integrado Zig</t>
        </is>
      </c>
      <c r="E551" s="27" t="n">
        <v>45752</v>
      </c>
      <c r="F551" s="27" t="n">
        <v>45751</v>
      </c>
      <c r="G551" t="n">
        <v>5625.98</v>
      </c>
    </row>
    <row r="552">
      <c r="A552" t="n">
        <v>23207</v>
      </c>
      <c r="B552" t="n">
        <v>128</v>
      </c>
      <c r="C552" t="inlineStr">
        <is>
          <t>Love Cabaret</t>
        </is>
      </c>
      <c r="D552" t="inlineStr">
        <is>
          <t>Transações via Pix</t>
        </is>
      </c>
      <c r="E552" s="27" t="n">
        <v>45752</v>
      </c>
      <c r="F552" s="27" t="n">
        <v>45752</v>
      </c>
      <c r="G552" t="n">
        <v>990.4</v>
      </c>
    </row>
    <row r="553">
      <c r="A553" t="n">
        <v>23204</v>
      </c>
      <c r="B553" t="n">
        <v>128</v>
      </c>
      <c r="C553" t="inlineStr">
        <is>
          <t>Love Cabaret</t>
        </is>
      </c>
      <c r="D553" t="inlineStr">
        <is>
          <t>Saldo Inicial</t>
        </is>
      </c>
      <c r="E553" s="27" t="n">
        <v>45752</v>
      </c>
      <c r="F553" s="27" t="n">
        <v>45752</v>
      </c>
      <c r="G553" t="n">
        <v>19354.16</v>
      </c>
    </row>
    <row r="554">
      <c r="A554" t="n">
        <v>23108</v>
      </c>
      <c r="B554" t="n">
        <v>128</v>
      </c>
      <c r="C554" t="inlineStr">
        <is>
          <t>Love Cabaret</t>
        </is>
      </c>
      <c r="D554" t="inlineStr">
        <is>
          <t>Cartão de Crédito integrado Zig</t>
        </is>
      </c>
      <c r="E554" s="27" t="n">
        <v>45751</v>
      </c>
      <c r="F554" s="27" t="n">
        <v>45720</v>
      </c>
      <c r="G554" t="n">
        <v>15263.95</v>
      </c>
    </row>
    <row r="555">
      <c r="A555" t="n">
        <v>23109</v>
      </c>
      <c r="B555" t="n">
        <v>128</v>
      </c>
      <c r="C555" t="inlineStr">
        <is>
          <t>Love Cabaret</t>
        </is>
      </c>
      <c r="D555" t="inlineStr">
        <is>
          <t>Cartão de Débito integrado Zig</t>
        </is>
      </c>
      <c r="E555" s="27" t="n">
        <v>45751</v>
      </c>
      <c r="F555" s="27" t="n">
        <v>45750</v>
      </c>
      <c r="G555" t="n">
        <v>2082.04</v>
      </c>
    </row>
    <row r="556">
      <c r="A556" t="n">
        <v>23110</v>
      </c>
      <c r="B556" t="n">
        <v>128</v>
      </c>
      <c r="C556" t="inlineStr">
        <is>
          <t>Love Cabaret</t>
        </is>
      </c>
      <c r="D556" t="inlineStr">
        <is>
          <t>Taxa de sistema sobre receita de Bar</t>
        </is>
      </c>
      <c r="E556" s="27" t="n">
        <v>45751</v>
      </c>
      <c r="F556" s="27" t="n">
        <v>45750</v>
      </c>
      <c r="G556" t="n">
        <v>-54.16</v>
      </c>
    </row>
    <row r="557">
      <c r="A557" t="n">
        <v>23111</v>
      </c>
      <c r="B557" t="n">
        <v>128</v>
      </c>
      <c r="C557" t="inlineStr">
        <is>
          <t>Love Cabaret</t>
        </is>
      </c>
      <c r="D557" t="inlineStr">
        <is>
          <t>Transações via Pix</t>
        </is>
      </c>
      <c r="E557" s="27" t="n">
        <v>45751</v>
      </c>
      <c r="F557" s="27" t="n">
        <v>45751</v>
      </c>
      <c r="G557" t="n">
        <v>2105.23</v>
      </c>
    </row>
    <row r="558">
      <c r="A558" t="n">
        <v>23107</v>
      </c>
      <c r="B558" t="n">
        <v>128</v>
      </c>
      <c r="C558" t="inlineStr">
        <is>
          <t>Love Cabaret</t>
        </is>
      </c>
      <c r="D558" t="inlineStr">
        <is>
          <t>Saldo Inicial</t>
        </is>
      </c>
      <c r="E558" s="27" t="n">
        <v>45751</v>
      </c>
      <c r="F558" s="27" t="n">
        <v>45751</v>
      </c>
      <c r="G558" t="n">
        <v>-42.9</v>
      </c>
    </row>
    <row r="559">
      <c r="A559" t="n">
        <v>22996</v>
      </c>
      <c r="B559" t="n">
        <v>128</v>
      </c>
      <c r="C559" t="inlineStr">
        <is>
          <t>Love Cabaret</t>
        </is>
      </c>
      <c r="D559" t="inlineStr">
        <is>
          <t>Transações via Pix</t>
        </is>
      </c>
      <c r="E559" s="27" t="n">
        <v>45750</v>
      </c>
      <c r="F559" s="27" t="n">
        <v>45750</v>
      </c>
      <c r="G559" t="n">
        <v>478.93</v>
      </c>
    </row>
    <row r="560">
      <c r="A560" t="n">
        <v>22995</v>
      </c>
      <c r="B560" t="n">
        <v>128</v>
      </c>
      <c r="C560" t="inlineStr">
        <is>
          <t>Love Cabaret</t>
        </is>
      </c>
      <c r="D560" t="inlineStr">
        <is>
          <t>Saldo Inicial</t>
        </is>
      </c>
      <c r="E560" s="27" t="n">
        <v>45750</v>
      </c>
      <c r="F560" s="27" t="n">
        <v>45750</v>
      </c>
      <c r="G560" t="n">
        <v>-521.83</v>
      </c>
    </row>
    <row r="561">
      <c r="A561" t="n">
        <v>22894</v>
      </c>
      <c r="B561" t="n">
        <v>128</v>
      </c>
      <c r="C561" t="inlineStr">
        <is>
          <t>Love Cabaret</t>
        </is>
      </c>
      <c r="D561" t="inlineStr">
        <is>
          <t>Saldo Inicial</t>
        </is>
      </c>
      <c r="E561" s="27" t="n">
        <v>45749</v>
      </c>
      <c r="F561" s="27" t="n">
        <v>45749</v>
      </c>
      <c r="G561" t="n">
        <v>-521.83</v>
      </c>
    </row>
    <row r="562">
      <c r="A562" t="n">
        <v>22789</v>
      </c>
      <c r="B562" t="n">
        <v>128</v>
      </c>
      <c r="C562" t="inlineStr">
        <is>
          <t>Love Cabaret</t>
        </is>
      </c>
      <c r="D562" t="inlineStr">
        <is>
          <t>Cobrança geral - Z0101 - Ref.:10Pdv's R$20 cada</t>
        </is>
      </c>
      <c r="E562" s="27" t="n">
        <v>45748</v>
      </c>
      <c r="F562" s="27" t="n">
        <v>45748</v>
      </c>
      <c r="G562" t="n">
        <v>-200</v>
      </c>
    </row>
    <row r="563">
      <c r="A563" t="n">
        <v>22788</v>
      </c>
      <c r="B563" t="n">
        <v>128</v>
      </c>
      <c r="C563" t="inlineStr">
        <is>
          <t>Love Cabaret</t>
        </is>
      </c>
      <c r="D563" t="inlineStr">
        <is>
          <t>Taxa de sistema sobre receita de Bar</t>
        </is>
      </c>
      <c r="E563" s="27" t="n">
        <v>45748</v>
      </c>
      <c r="F563" s="27" t="n">
        <v>45747</v>
      </c>
      <c r="G563" t="n">
        <v>-1.83</v>
      </c>
    </row>
    <row r="564">
      <c r="A564" t="n">
        <v>22787</v>
      </c>
      <c r="B564" t="n">
        <v>128</v>
      </c>
      <c r="C564" t="inlineStr">
        <is>
          <t>Love Cabaret</t>
        </is>
      </c>
      <c r="D564" t="inlineStr">
        <is>
          <t>Saldo Inicial</t>
        </is>
      </c>
      <c r="E564" s="27" t="n">
        <v>45748</v>
      </c>
      <c r="F564" s="27" t="n">
        <v>45748</v>
      </c>
      <c r="G564" t="n">
        <v>0</v>
      </c>
    </row>
    <row r="565">
      <c r="A565" t="n">
        <v>22790</v>
      </c>
      <c r="B565" t="n">
        <v>128</v>
      </c>
      <c r="C565" t="inlineStr">
        <is>
          <t>Love Cabaret</t>
        </is>
      </c>
      <c r="D565" t="inlineStr">
        <is>
          <t>Cobrança geral - Z0101 - Ref.:16 Smartpos R$20 cada</t>
        </is>
      </c>
      <c r="E565" s="27" t="n">
        <v>45748</v>
      </c>
      <c r="F565" s="27" t="n">
        <v>45748</v>
      </c>
      <c r="G565" t="n">
        <v>-320</v>
      </c>
    </row>
    <row r="566">
      <c r="A566" t="n">
        <v>22670</v>
      </c>
      <c r="B566" t="n">
        <v>128</v>
      </c>
      <c r="C566" t="inlineStr">
        <is>
          <t>Love Cabaret</t>
        </is>
      </c>
      <c r="D566" t="inlineStr">
        <is>
          <t>Saldo Inicial</t>
        </is>
      </c>
      <c r="E566" s="27" t="n">
        <v>45747</v>
      </c>
      <c r="F566" s="27" t="n">
        <v>45747</v>
      </c>
      <c r="G566" t="n">
        <v>23712.45</v>
      </c>
    </row>
    <row r="567">
      <c r="A567" t="n">
        <v>22671</v>
      </c>
      <c r="B567" t="n">
        <v>128</v>
      </c>
      <c r="C567" t="inlineStr">
        <is>
          <t>Love Cabaret</t>
        </is>
      </c>
      <c r="D567" t="inlineStr">
        <is>
          <t>Cartão de Crédito integrado Zig</t>
        </is>
      </c>
      <c r="E567" s="27" t="n">
        <v>45747</v>
      </c>
      <c r="F567" s="27" t="n">
        <v>45716</v>
      </c>
      <c r="G567" t="n">
        <v>9711.9</v>
      </c>
    </row>
    <row r="568">
      <c r="A568" t="n">
        <v>22672</v>
      </c>
      <c r="B568" t="n">
        <v>128</v>
      </c>
      <c r="C568" t="inlineStr">
        <is>
          <t>Love Cabaret</t>
        </is>
      </c>
      <c r="D568" t="inlineStr">
        <is>
          <t>Saque</t>
        </is>
      </c>
      <c r="E568" s="27" t="n">
        <v>45747</v>
      </c>
      <c r="F568" s="27" t="n">
        <v>45747</v>
      </c>
      <c r="G568" t="n">
        <v>-33424.35</v>
      </c>
    </row>
    <row r="569">
      <c r="A569" t="n">
        <v>22558</v>
      </c>
      <c r="B569" t="n">
        <v>128</v>
      </c>
      <c r="C569" t="inlineStr">
        <is>
          <t>Love Cabaret</t>
        </is>
      </c>
      <c r="D569" t="inlineStr">
        <is>
          <t>Saldo Inicial</t>
        </is>
      </c>
      <c r="E569" s="27" t="n">
        <v>45746</v>
      </c>
      <c r="F569" s="27" t="n">
        <v>45746</v>
      </c>
      <c r="G569" t="n">
        <v>12730.6</v>
      </c>
    </row>
    <row r="570">
      <c r="A570" t="n">
        <v>22559</v>
      </c>
      <c r="B570" t="n">
        <v>128</v>
      </c>
      <c r="C570" t="inlineStr">
        <is>
          <t>Love Cabaret</t>
        </is>
      </c>
      <c r="D570" t="inlineStr">
        <is>
          <t>Cartão de Crédito integrado Zig</t>
        </is>
      </c>
      <c r="E570" s="27" t="n">
        <v>45746</v>
      </c>
      <c r="F570" s="27" t="n">
        <v>45715</v>
      </c>
      <c r="G570" t="n">
        <v>6654.04</v>
      </c>
    </row>
    <row r="571">
      <c r="A571" t="n">
        <v>22560</v>
      </c>
      <c r="B571" t="n">
        <v>128</v>
      </c>
      <c r="C571" t="inlineStr">
        <is>
          <t>Love Cabaret</t>
        </is>
      </c>
      <c r="D571" t="inlineStr">
        <is>
          <t>Cartão de Débito integrado Zig</t>
        </is>
      </c>
      <c r="E571" s="27" t="n">
        <v>45746</v>
      </c>
      <c r="F571" s="27" t="n">
        <v>45745</v>
      </c>
      <c r="G571" t="n">
        <v>4470.38</v>
      </c>
    </row>
    <row r="572">
      <c r="A572" t="n">
        <v>22561</v>
      </c>
      <c r="B572" t="n">
        <v>128</v>
      </c>
      <c r="C572" t="inlineStr">
        <is>
          <t>Love Cabaret</t>
        </is>
      </c>
      <c r="D572" t="inlineStr">
        <is>
          <t>Taxa de sistema sobre receita de Bar</t>
        </is>
      </c>
      <c r="E572" s="27" t="n">
        <v>45746</v>
      </c>
      <c r="F572" s="27" t="n">
        <v>45745</v>
      </c>
      <c r="G572" t="n">
        <v>-140.11</v>
      </c>
    </row>
    <row r="573">
      <c r="A573" t="n">
        <v>22562</v>
      </c>
      <c r="B573" t="n">
        <v>128</v>
      </c>
      <c r="C573" t="inlineStr">
        <is>
          <t>Love Cabaret</t>
        </is>
      </c>
      <c r="D573" t="inlineStr">
        <is>
          <t>Taxa sobre recarga expirada</t>
        </is>
      </c>
      <c r="E573" s="27" t="n">
        <v>45746</v>
      </c>
      <c r="F573" s="27" t="n">
        <v>45746</v>
      </c>
      <c r="G573" t="n">
        <v>-2.46</v>
      </c>
    </row>
    <row r="574">
      <c r="A574" t="n">
        <v>22455</v>
      </c>
      <c r="B574" t="n">
        <v>128</v>
      </c>
      <c r="C574" t="inlineStr">
        <is>
          <t>Love Cabaret</t>
        </is>
      </c>
      <c r="D574" t="inlineStr">
        <is>
          <t>Saldo Inicial</t>
        </is>
      </c>
      <c r="E574" s="27" t="n">
        <v>45745</v>
      </c>
      <c r="F574" s="27" t="n">
        <v>45745</v>
      </c>
      <c r="G574" t="n">
        <v>6433.82</v>
      </c>
    </row>
    <row r="575">
      <c r="A575" t="n">
        <v>22456</v>
      </c>
      <c r="B575" t="n">
        <v>128</v>
      </c>
      <c r="C575" t="inlineStr">
        <is>
          <t>Love Cabaret</t>
        </is>
      </c>
      <c r="D575" t="inlineStr">
        <is>
          <t>Cartão de Débito integrado Zig</t>
        </is>
      </c>
      <c r="E575" s="27" t="n">
        <v>45745</v>
      </c>
      <c r="F575" s="27" t="n">
        <v>45744</v>
      </c>
      <c r="G575" t="n">
        <v>4612.95</v>
      </c>
    </row>
    <row r="576">
      <c r="A576" t="n">
        <v>22457</v>
      </c>
      <c r="B576" t="n">
        <v>128</v>
      </c>
      <c r="C576" t="inlineStr">
        <is>
          <t>Love Cabaret</t>
        </is>
      </c>
      <c r="D576" t="inlineStr">
        <is>
          <t>Taxa de sistema sobre receita de Bar</t>
        </is>
      </c>
      <c r="E576" s="27" t="n">
        <v>45745</v>
      </c>
      <c r="F576" s="27" t="n">
        <v>45744</v>
      </c>
      <c r="G576" t="n">
        <v>-171.24</v>
      </c>
    </row>
    <row r="577">
      <c r="A577" t="n">
        <v>22458</v>
      </c>
      <c r="B577" t="n">
        <v>128</v>
      </c>
      <c r="C577" t="inlineStr">
        <is>
          <t>Love Cabaret</t>
        </is>
      </c>
      <c r="D577" t="inlineStr">
        <is>
          <t>Transações via Pix</t>
        </is>
      </c>
      <c r="E577" s="27" t="n">
        <v>45745</v>
      </c>
      <c r="F577" s="27" t="n">
        <v>45745</v>
      </c>
      <c r="G577" t="n">
        <v>1855.07</v>
      </c>
    </row>
    <row r="578">
      <c r="A578" t="n">
        <v>22342</v>
      </c>
      <c r="B578" t="n">
        <v>128</v>
      </c>
      <c r="C578" t="inlineStr">
        <is>
          <t>Love Cabaret</t>
        </is>
      </c>
      <c r="D578" t="inlineStr">
        <is>
          <t>Transações via Pix</t>
        </is>
      </c>
      <c r="E578" s="27" t="n">
        <v>45744</v>
      </c>
      <c r="F578" s="27" t="n">
        <v>45744</v>
      </c>
      <c r="G578" t="n">
        <v>1349.33</v>
      </c>
    </row>
    <row r="579">
      <c r="A579" t="n">
        <v>22333</v>
      </c>
      <c r="B579" t="n">
        <v>128</v>
      </c>
      <c r="C579" t="inlineStr">
        <is>
          <t>Love Cabaret</t>
        </is>
      </c>
      <c r="D579" t="inlineStr">
        <is>
          <t>Ajuste - Z0401 - Ajuste Apartada Taxa de adquirência sobre Crédito Apartado - Lote 267</t>
        </is>
      </c>
      <c r="E579" s="27" t="n">
        <v>45744</v>
      </c>
      <c r="F579" s="27" t="n">
        <v>45743</v>
      </c>
      <c r="G579" t="n">
        <v>2.5</v>
      </c>
    </row>
    <row r="580">
      <c r="A580" t="n">
        <v>22334</v>
      </c>
      <c r="B580" t="n">
        <v>128</v>
      </c>
      <c r="C580" t="inlineStr">
        <is>
          <t>Love Cabaret</t>
        </is>
      </c>
      <c r="D580" t="inlineStr">
        <is>
          <t>Ajuste - Z0401 - Ajuste Apartada Taxa Zig - Lote 267</t>
        </is>
      </c>
      <c r="E580" s="27" t="n">
        <v>45744</v>
      </c>
      <c r="F580" s="27" t="n">
        <v>45743</v>
      </c>
      <c r="G580" t="n">
        <v>1.25</v>
      </c>
    </row>
    <row r="581">
      <c r="A581" t="n">
        <v>22332</v>
      </c>
      <c r="B581" t="n">
        <v>128</v>
      </c>
      <c r="C581" t="inlineStr">
        <is>
          <t>Love Cabaret</t>
        </is>
      </c>
      <c r="D581" t="inlineStr">
        <is>
          <t>Taxa de sistema sobre receita de Bar</t>
        </is>
      </c>
      <c r="E581" s="27" t="n">
        <v>45744</v>
      </c>
      <c r="F581" s="27" t="n">
        <v>45743</v>
      </c>
      <c r="G581" t="n">
        <v>-144.15</v>
      </c>
    </row>
    <row r="582">
      <c r="A582" t="n">
        <v>22331</v>
      </c>
      <c r="B582" t="n">
        <v>128</v>
      </c>
      <c r="C582" t="inlineStr">
        <is>
          <t>Love Cabaret</t>
        </is>
      </c>
      <c r="D582" t="inlineStr">
        <is>
          <t>Cartão de Débito integrado Zig</t>
        </is>
      </c>
      <c r="E582" s="27" t="n">
        <v>45744</v>
      </c>
      <c r="F582" s="27" t="n">
        <v>45743</v>
      </c>
      <c r="G582" t="n">
        <v>4844.26</v>
      </c>
    </row>
    <row r="583">
      <c r="A583" t="n">
        <v>22330</v>
      </c>
      <c r="B583" t="n">
        <v>128</v>
      </c>
      <c r="C583" t="inlineStr">
        <is>
          <t>Love Cabaret</t>
        </is>
      </c>
      <c r="D583" t="inlineStr">
        <is>
          <t>Saldo Inicial</t>
        </is>
      </c>
      <c r="E583" s="27" t="n">
        <v>45744</v>
      </c>
      <c r="F583" s="27" t="n">
        <v>45744</v>
      </c>
      <c r="G583" t="n">
        <v>231.62</v>
      </c>
    </row>
    <row r="584">
      <c r="A584" t="n">
        <v>22335</v>
      </c>
      <c r="B584" t="n">
        <v>128</v>
      </c>
      <c r="C584" t="inlineStr">
        <is>
          <t>Love Cabaret</t>
        </is>
      </c>
      <c r="D584" t="inlineStr">
        <is>
          <t>Ajuste - Z0401 - Ajuste Apartada Faturamento Crédito Apartado - Lote 267</t>
        </is>
      </c>
      <c r="E584" s="27" t="n">
        <v>45744</v>
      </c>
      <c r="F584" s="27" t="n">
        <v>45743</v>
      </c>
      <c r="G584" t="n">
        <v>-156.51</v>
      </c>
    </row>
    <row r="585">
      <c r="A585" t="n">
        <v>22336</v>
      </c>
      <c r="B585" t="n">
        <v>128</v>
      </c>
      <c r="C585" t="inlineStr">
        <is>
          <t>Love Cabaret</t>
        </is>
      </c>
      <c r="D585" t="inlineStr">
        <is>
          <t>Ajuste - Z0401 - Ajuste Apartada Taxa de adquirência sobre Crédito Apartado - Lote 267</t>
        </is>
      </c>
      <c r="E585" s="27" t="n">
        <v>45744</v>
      </c>
      <c r="F585" s="27" t="n">
        <v>45743</v>
      </c>
      <c r="G585" t="n">
        <v>-2.5</v>
      </c>
    </row>
    <row r="586">
      <c r="A586" t="n">
        <v>22338</v>
      </c>
      <c r="B586" t="n">
        <v>128</v>
      </c>
      <c r="C586" t="inlineStr">
        <is>
          <t>Love Cabaret</t>
        </is>
      </c>
      <c r="D586" t="inlineStr">
        <is>
          <t>Ajuste - Z0401 - Ajuste Apartada Faturamento Crédito Apartado - Lote 267</t>
        </is>
      </c>
      <c r="E586" s="27" t="n">
        <v>45744</v>
      </c>
      <c r="F586" s="27" t="n">
        <v>45743</v>
      </c>
      <c r="G586" t="n">
        <v>156.51</v>
      </c>
    </row>
    <row r="587">
      <c r="A587" t="n">
        <v>22337</v>
      </c>
      <c r="B587" t="n">
        <v>128</v>
      </c>
      <c r="C587" t="inlineStr">
        <is>
          <t>Love Cabaret</t>
        </is>
      </c>
      <c r="D587" t="inlineStr">
        <is>
          <t>Ajuste - Z0401 - Ajuste Apartada Taxa Zig - Lote 267</t>
        </is>
      </c>
      <c r="E587" s="27" t="n">
        <v>45744</v>
      </c>
      <c r="F587" s="27" t="n">
        <v>45743</v>
      </c>
      <c r="G587" t="n">
        <v>-1.25</v>
      </c>
    </row>
    <row r="588">
      <c r="A588" t="n">
        <v>22176</v>
      </c>
      <c r="B588" t="n">
        <v>128</v>
      </c>
      <c r="C588" t="inlineStr">
        <is>
          <t>Love Cabaret</t>
        </is>
      </c>
      <c r="D588" t="inlineStr">
        <is>
          <t>Saldo Inicial</t>
        </is>
      </c>
      <c r="E588" s="27" t="n">
        <v>45743</v>
      </c>
      <c r="F588" s="27" t="n">
        <v>45743</v>
      </c>
      <c r="G588" t="n">
        <v>0</v>
      </c>
    </row>
    <row r="589">
      <c r="A589" t="n">
        <v>22177</v>
      </c>
      <c r="B589" t="n">
        <v>128</v>
      </c>
      <c r="C589" t="inlineStr">
        <is>
          <t>Love Cabaret</t>
        </is>
      </c>
      <c r="D589" t="inlineStr">
        <is>
          <t>Transações via Pix</t>
        </is>
      </c>
      <c r="E589" s="27" t="n">
        <v>45743</v>
      </c>
      <c r="F589" s="27" t="n">
        <v>45743</v>
      </c>
      <c r="G589" t="n">
        <v>231.62</v>
      </c>
    </row>
    <row r="590">
      <c r="A590" t="n">
        <v>22071</v>
      </c>
      <c r="B590" t="n">
        <v>128</v>
      </c>
      <c r="C590" t="inlineStr">
        <is>
          <t>Love Cabaret</t>
        </is>
      </c>
      <c r="D590" t="inlineStr">
        <is>
          <t>Saldo Inicial</t>
        </is>
      </c>
      <c r="E590" s="27" t="n">
        <v>45742</v>
      </c>
      <c r="F590" s="27" t="n">
        <v>45742</v>
      </c>
      <c r="G590" t="n">
        <v>0</v>
      </c>
    </row>
    <row r="591">
      <c r="A591" t="n">
        <v>21967</v>
      </c>
      <c r="B591" t="n">
        <v>128</v>
      </c>
      <c r="C591" t="inlineStr">
        <is>
          <t>Love Cabaret</t>
        </is>
      </c>
      <c r="D591" t="inlineStr">
        <is>
          <t>Saldo Inicial</t>
        </is>
      </c>
      <c r="E591" s="27" t="n">
        <v>45741</v>
      </c>
      <c r="F591" s="27" t="n">
        <v>45741</v>
      </c>
      <c r="G591" t="n">
        <v>0</v>
      </c>
    </row>
    <row r="592">
      <c r="A592" t="n">
        <v>21968</v>
      </c>
      <c r="B592" t="n">
        <v>128</v>
      </c>
      <c r="C592" t="inlineStr">
        <is>
          <t>Love Cabaret</t>
        </is>
      </c>
      <c r="D592" t="inlineStr">
        <is>
          <t>Cartão de Crédito integrado Zig</t>
        </is>
      </c>
      <c r="E592" s="27" t="n">
        <v>45741</v>
      </c>
      <c r="F592" s="27" t="n">
        <v>45710</v>
      </c>
      <c r="G592" t="n">
        <v>10634.3</v>
      </c>
    </row>
    <row r="593">
      <c r="A593" t="n">
        <v>21969</v>
      </c>
      <c r="B593" t="n">
        <v>128</v>
      </c>
      <c r="C593" t="inlineStr">
        <is>
          <t>Love Cabaret</t>
        </is>
      </c>
      <c r="D593" t="inlineStr">
        <is>
          <t>Saque</t>
        </is>
      </c>
      <c r="E593" s="27" t="n">
        <v>45741</v>
      </c>
      <c r="F593" s="27" t="n">
        <v>45741</v>
      </c>
      <c r="G593" t="n">
        <v>-10634.3</v>
      </c>
    </row>
    <row r="594">
      <c r="A594" t="n">
        <v>21865</v>
      </c>
      <c r="B594" t="n">
        <v>128</v>
      </c>
      <c r="C594" t="inlineStr">
        <is>
          <t>Love Cabaret</t>
        </is>
      </c>
      <c r="D594" t="inlineStr">
        <is>
          <t>Saldo Inicial</t>
        </is>
      </c>
      <c r="E594" s="27" t="n">
        <v>45740</v>
      </c>
      <c r="F594" s="27" t="n">
        <v>45740</v>
      </c>
      <c r="G594" t="n">
        <v>30579.47</v>
      </c>
    </row>
    <row r="595">
      <c r="A595" t="n">
        <v>21866</v>
      </c>
      <c r="B595" t="n">
        <v>128</v>
      </c>
      <c r="C595" t="inlineStr">
        <is>
          <t>Love Cabaret</t>
        </is>
      </c>
      <c r="D595" t="inlineStr">
        <is>
          <t>Cartão de Crédito integrado Zig</t>
        </is>
      </c>
      <c r="E595" s="27" t="n">
        <v>45740</v>
      </c>
      <c r="F595" s="27" t="n">
        <v>45709</v>
      </c>
      <c r="G595" t="n">
        <v>11022.44</v>
      </c>
    </row>
    <row r="596">
      <c r="A596" t="n">
        <v>21867</v>
      </c>
      <c r="B596" t="n">
        <v>128</v>
      </c>
      <c r="C596" t="inlineStr">
        <is>
          <t>Love Cabaret</t>
        </is>
      </c>
      <c r="D596" t="inlineStr">
        <is>
          <t>Saque</t>
        </is>
      </c>
      <c r="E596" s="27" t="n">
        <v>45740</v>
      </c>
      <c r="F596" s="27" t="n">
        <v>45740</v>
      </c>
      <c r="G596" t="n">
        <v>-41601.91</v>
      </c>
    </row>
    <row r="597">
      <c r="A597" t="n">
        <v>21756</v>
      </c>
      <c r="B597" t="n">
        <v>128</v>
      </c>
      <c r="C597" t="inlineStr">
        <is>
          <t>Love Cabaret</t>
        </is>
      </c>
      <c r="D597" t="inlineStr">
        <is>
          <t>Taxa de sistema sobre receita de Bar</t>
        </is>
      </c>
      <c r="E597" s="27" t="n">
        <v>45739</v>
      </c>
      <c r="F597" s="27" t="n">
        <v>45739</v>
      </c>
      <c r="G597" t="n">
        <v>-333.34</v>
      </c>
    </row>
    <row r="598">
      <c r="A598" t="n">
        <v>21755</v>
      </c>
      <c r="B598" t="n">
        <v>128</v>
      </c>
      <c r="C598" t="inlineStr">
        <is>
          <t>Love Cabaret</t>
        </is>
      </c>
      <c r="D598" t="inlineStr">
        <is>
          <t>Cartão de Débito integrado Zig</t>
        </is>
      </c>
      <c r="E598" s="27" t="n">
        <v>45739</v>
      </c>
      <c r="F598" s="27" t="n">
        <v>45739</v>
      </c>
      <c r="G598" t="n">
        <v>12666.96</v>
      </c>
    </row>
    <row r="599">
      <c r="A599" t="n">
        <v>21754</v>
      </c>
      <c r="B599" t="n">
        <v>128</v>
      </c>
      <c r="C599" t="inlineStr">
        <is>
          <t>Love Cabaret</t>
        </is>
      </c>
      <c r="D599" t="inlineStr">
        <is>
          <t>Cartão de Crédito integrado Zig</t>
        </is>
      </c>
      <c r="E599" s="27" t="n">
        <v>45739</v>
      </c>
      <c r="F599" s="27" t="n">
        <v>45708</v>
      </c>
      <c r="G599" t="n">
        <v>4873.68</v>
      </c>
    </row>
    <row r="600">
      <c r="A600" t="n">
        <v>21753</v>
      </c>
      <c r="B600" t="n">
        <v>128</v>
      </c>
      <c r="C600" t="inlineStr">
        <is>
          <t>Love Cabaret</t>
        </is>
      </c>
      <c r="D600" t="inlineStr">
        <is>
          <t>Transações via Pix</t>
        </is>
      </c>
      <c r="E600" s="27" t="n">
        <v>45739</v>
      </c>
      <c r="F600" s="27" t="n">
        <v>45739</v>
      </c>
      <c r="G600" t="n">
        <v>2903.19</v>
      </c>
    </row>
    <row r="601">
      <c r="A601" t="n">
        <v>21752</v>
      </c>
      <c r="B601" t="n">
        <v>128</v>
      </c>
      <c r="C601" t="inlineStr">
        <is>
          <t>Love Cabaret</t>
        </is>
      </c>
      <c r="D601" t="inlineStr">
        <is>
          <t>Saldo Inicial</t>
        </is>
      </c>
      <c r="E601" s="27" t="n">
        <v>45739</v>
      </c>
      <c r="F601" s="27" t="n">
        <v>45739</v>
      </c>
      <c r="G601" t="n">
        <v>10468.98</v>
      </c>
    </row>
    <row r="602">
      <c r="A602" t="n">
        <v>21659</v>
      </c>
      <c r="B602" t="n">
        <v>128</v>
      </c>
      <c r="C602" t="inlineStr">
        <is>
          <t>Love Cabaret</t>
        </is>
      </c>
      <c r="D602" t="inlineStr">
        <is>
          <t>Cartão de Débito integrado Zig</t>
        </is>
      </c>
      <c r="E602" s="27" t="n">
        <v>45738</v>
      </c>
      <c r="F602" s="27" t="n">
        <v>45737</v>
      </c>
      <c r="G602" t="n">
        <v>6612.32</v>
      </c>
    </row>
    <row r="603">
      <c r="A603" t="n">
        <v>21660</v>
      </c>
      <c r="B603" t="n">
        <v>128</v>
      </c>
      <c r="C603" t="inlineStr">
        <is>
          <t>Love Cabaret</t>
        </is>
      </c>
      <c r="D603" t="inlineStr">
        <is>
          <t>Taxa de sistema sobre receita de Bar</t>
        </is>
      </c>
      <c r="E603" s="27" t="n">
        <v>45738</v>
      </c>
      <c r="F603" s="27" t="n">
        <v>45737</v>
      </c>
      <c r="G603" t="n">
        <v>-196.89</v>
      </c>
    </row>
    <row r="604">
      <c r="A604" t="n">
        <v>21658</v>
      </c>
      <c r="B604" t="n">
        <v>128</v>
      </c>
      <c r="C604" t="inlineStr">
        <is>
          <t>Love Cabaret</t>
        </is>
      </c>
      <c r="D604" t="inlineStr">
        <is>
          <t>Saldo Inicial</t>
        </is>
      </c>
      <c r="E604" s="27" t="n">
        <v>45738</v>
      </c>
      <c r="F604" s="27" t="n">
        <v>45738</v>
      </c>
      <c r="G604" t="n">
        <v>4053.55</v>
      </c>
    </row>
    <row r="605">
      <c r="A605" t="n">
        <v>21556</v>
      </c>
      <c r="B605" t="n">
        <v>128</v>
      </c>
      <c r="C605" t="inlineStr">
        <is>
          <t>Love Cabaret</t>
        </is>
      </c>
      <c r="D605" t="inlineStr">
        <is>
          <t>Saldo Inicial</t>
        </is>
      </c>
      <c r="E605" s="27" t="n">
        <v>45737</v>
      </c>
      <c r="F605" s="27" t="n">
        <v>45737</v>
      </c>
      <c r="G605" t="n">
        <v>587.73</v>
      </c>
    </row>
    <row r="606">
      <c r="A606" t="n">
        <v>21557</v>
      </c>
      <c r="B606" t="n">
        <v>128</v>
      </c>
      <c r="C606" t="inlineStr">
        <is>
          <t>Love Cabaret</t>
        </is>
      </c>
      <c r="D606" t="inlineStr">
        <is>
          <t>Cartão de Débito integrado Zig</t>
        </is>
      </c>
      <c r="E606" s="27" t="n">
        <v>45737</v>
      </c>
      <c r="F606" s="27" t="n">
        <v>45736</v>
      </c>
      <c r="G606" t="n">
        <v>2673.3</v>
      </c>
    </row>
    <row r="607">
      <c r="A607" t="n">
        <v>21558</v>
      </c>
      <c r="B607" t="n">
        <v>128</v>
      </c>
      <c r="C607" t="inlineStr">
        <is>
          <t>Love Cabaret</t>
        </is>
      </c>
      <c r="D607" t="inlineStr">
        <is>
          <t>Taxa de sistema sobre receita de Bar</t>
        </is>
      </c>
      <c r="E607" s="27" t="n">
        <v>45737</v>
      </c>
      <c r="F607" s="27" t="n">
        <v>45736</v>
      </c>
      <c r="G607" t="n">
        <v>-78.53</v>
      </c>
    </row>
    <row r="608">
      <c r="A608" t="n">
        <v>21559</v>
      </c>
      <c r="B608" t="n">
        <v>128</v>
      </c>
      <c r="C608" t="inlineStr">
        <is>
          <t>Love Cabaret</t>
        </is>
      </c>
      <c r="D608" t="inlineStr">
        <is>
          <t>Transações via Pix</t>
        </is>
      </c>
      <c r="E608" s="27" t="n">
        <v>45737</v>
      </c>
      <c r="F608" s="27" t="n">
        <v>45737</v>
      </c>
      <c r="G608" t="n">
        <v>871.05</v>
      </c>
    </row>
    <row r="609">
      <c r="A609" t="n">
        <v>21446</v>
      </c>
      <c r="B609" t="n">
        <v>128</v>
      </c>
      <c r="C609" t="inlineStr">
        <is>
          <t>Love Cabaret</t>
        </is>
      </c>
      <c r="D609" t="inlineStr">
        <is>
          <t>Saldo Inicial</t>
        </is>
      </c>
      <c r="E609" s="27" t="n">
        <v>45736</v>
      </c>
      <c r="F609" s="27" t="n">
        <v>45736</v>
      </c>
      <c r="G609" t="n">
        <v>0</v>
      </c>
    </row>
    <row r="610">
      <c r="A610" t="n">
        <v>21447</v>
      </c>
      <c r="B610" t="n">
        <v>128</v>
      </c>
      <c r="C610" t="inlineStr">
        <is>
          <t>Love Cabaret</t>
        </is>
      </c>
      <c r="D610" t="inlineStr">
        <is>
          <t>Transações via Pix</t>
        </is>
      </c>
      <c r="E610" s="27" t="n">
        <v>45736</v>
      </c>
      <c r="F610" s="27" t="n">
        <v>45736</v>
      </c>
      <c r="G610" t="n">
        <v>587.73</v>
      </c>
    </row>
    <row r="611">
      <c r="A611" t="n">
        <v>21351</v>
      </c>
      <c r="B611" t="n">
        <v>128</v>
      </c>
      <c r="C611" t="inlineStr">
        <is>
          <t>Love Cabaret</t>
        </is>
      </c>
      <c r="D611" t="inlineStr">
        <is>
          <t>Saldo Inicial</t>
        </is>
      </c>
      <c r="E611" s="27" t="n">
        <v>45735</v>
      </c>
      <c r="F611" s="27" t="n">
        <v>45735</v>
      </c>
      <c r="G611" t="n">
        <v>0</v>
      </c>
    </row>
    <row r="612">
      <c r="A612" t="n">
        <v>21253</v>
      </c>
      <c r="B612" t="n">
        <v>128</v>
      </c>
      <c r="C612" t="inlineStr">
        <is>
          <t>Love Cabaret</t>
        </is>
      </c>
      <c r="D612" t="inlineStr">
        <is>
          <t>Cartão de Crédito integrado Zig</t>
        </is>
      </c>
      <c r="E612" s="27" t="n">
        <v>45734</v>
      </c>
      <c r="F612" s="27" t="n">
        <v>45703</v>
      </c>
      <c r="G612" t="n">
        <v>17642.44</v>
      </c>
    </row>
    <row r="613">
      <c r="A613" t="n">
        <v>21254</v>
      </c>
      <c r="B613" t="n">
        <v>128</v>
      </c>
      <c r="C613" t="inlineStr">
        <is>
          <t>Love Cabaret</t>
        </is>
      </c>
      <c r="D613" t="inlineStr">
        <is>
          <t>Saque</t>
        </is>
      </c>
      <c r="E613" s="27" t="n">
        <v>45734</v>
      </c>
      <c r="F613" s="27" t="n">
        <v>45734</v>
      </c>
      <c r="G613" t="n">
        <v>-63245.45</v>
      </c>
    </row>
    <row r="614">
      <c r="A614" t="n">
        <v>21252</v>
      </c>
      <c r="B614" t="n">
        <v>128</v>
      </c>
      <c r="C614" t="inlineStr">
        <is>
          <t>Love Cabaret</t>
        </is>
      </c>
      <c r="D614" t="inlineStr">
        <is>
          <t>Saldo Inicial</t>
        </is>
      </c>
      <c r="E614" s="27" t="n">
        <v>45734</v>
      </c>
      <c r="F614" s="27" t="n">
        <v>45734</v>
      </c>
      <c r="G614" t="n">
        <v>45603.01</v>
      </c>
    </row>
    <row r="615">
      <c r="A615" t="n">
        <v>21141</v>
      </c>
      <c r="B615" t="n">
        <v>128</v>
      </c>
      <c r="C615" t="inlineStr">
        <is>
          <t>Love Cabaret</t>
        </is>
      </c>
      <c r="D615" t="inlineStr">
        <is>
          <t>Cartão de Crédito integrado Zig</t>
        </is>
      </c>
      <c r="E615" s="27" t="n">
        <v>45733</v>
      </c>
      <c r="F615" s="27" t="n">
        <v>45702</v>
      </c>
      <c r="G615" t="n">
        <v>14741.12</v>
      </c>
    </row>
    <row r="616">
      <c r="A616" t="n">
        <v>21140</v>
      </c>
      <c r="B616" t="n">
        <v>128</v>
      </c>
      <c r="C616" t="inlineStr">
        <is>
          <t>Love Cabaret</t>
        </is>
      </c>
      <c r="D616" t="inlineStr">
        <is>
          <t>Saldo Inicial</t>
        </is>
      </c>
      <c r="E616" s="27" t="n">
        <v>45733</v>
      </c>
      <c r="F616" s="27" t="n">
        <v>45733</v>
      </c>
      <c r="G616" t="n">
        <v>30861.89</v>
      </c>
    </row>
    <row r="617">
      <c r="A617" t="n">
        <v>21038</v>
      </c>
      <c r="B617" t="n">
        <v>128</v>
      </c>
      <c r="C617" t="inlineStr">
        <is>
          <t>Love Cabaret</t>
        </is>
      </c>
      <c r="D617" t="inlineStr">
        <is>
          <t>Cartão de Débito integrado Zig</t>
        </is>
      </c>
      <c r="E617" s="27" t="n">
        <v>45732</v>
      </c>
      <c r="F617" s="27" t="n">
        <v>45731</v>
      </c>
      <c r="G617" t="n">
        <v>5863.82</v>
      </c>
    </row>
    <row r="618">
      <c r="A618" t="n">
        <v>21039</v>
      </c>
      <c r="B618" t="n">
        <v>128</v>
      </c>
      <c r="C618" t="inlineStr">
        <is>
          <t>Love Cabaret</t>
        </is>
      </c>
      <c r="D618" t="inlineStr">
        <is>
          <t>Taxa de sistema sobre receita de Bar</t>
        </is>
      </c>
      <c r="E618" s="27" t="n">
        <v>45732</v>
      </c>
      <c r="F618" s="27" t="n">
        <v>45731</v>
      </c>
      <c r="G618" t="n">
        <v>-150.6</v>
      </c>
    </row>
    <row r="619">
      <c r="A619" t="n">
        <v>21037</v>
      </c>
      <c r="B619" t="n">
        <v>128</v>
      </c>
      <c r="C619" t="inlineStr">
        <is>
          <t>Love Cabaret</t>
        </is>
      </c>
      <c r="D619" t="inlineStr">
        <is>
          <t>Cartão de Crédito integrado Zig</t>
        </is>
      </c>
      <c r="E619" s="27" t="n">
        <v>45732</v>
      </c>
      <c r="F619" s="27" t="n">
        <v>45701</v>
      </c>
      <c r="G619" t="n">
        <v>7154.27</v>
      </c>
    </row>
    <row r="620">
      <c r="A620" t="n">
        <v>21036</v>
      </c>
      <c r="B620" t="n">
        <v>128</v>
      </c>
      <c r="C620" t="inlineStr">
        <is>
          <t>Love Cabaret</t>
        </is>
      </c>
      <c r="D620" t="inlineStr">
        <is>
          <t>Saldo Inicial</t>
        </is>
      </c>
      <c r="E620" s="27" t="n">
        <v>45732</v>
      </c>
      <c r="F620" s="27" t="n">
        <v>45732</v>
      </c>
      <c r="G620" t="n">
        <v>17994.4</v>
      </c>
    </row>
    <row r="621">
      <c r="A621" t="n">
        <v>20941</v>
      </c>
      <c r="B621" t="n">
        <v>128</v>
      </c>
      <c r="C621" t="inlineStr">
        <is>
          <t>Love Cabaret</t>
        </is>
      </c>
      <c r="D621" t="inlineStr">
        <is>
          <t>Taxa de sistema sobre receita de Bar</t>
        </is>
      </c>
      <c r="E621" s="27" t="n">
        <v>45731</v>
      </c>
      <c r="F621" s="27" t="n">
        <v>45730</v>
      </c>
      <c r="G621" t="n">
        <v>-218.89</v>
      </c>
    </row>
    <row r="622">
      <c r="A622" t="n">
        <v>20940</v>
      </c>
      <c r="B622" t="n">
        <v>128</v>
      </c>
      <c r="C622" t="inlineStr">
        <is>
          <t>Love Cabaret</t>
        </is>
      </c>
      <c r="D622" t="inlineStr">
        <is>
          <t>Cartão de Débito integrado Zig</t>
        </is>
      </c>
      <c r="E622" s="27" t="n">
        <v>45731</v>
      </c>
      <c r="F622" s="27" t="n">
        <v>45730</v>
      </c>
      <c r="G622" t="n">
        <v>8471.280000000001</v>
      </c>
    </row>
    <row r="623">
      <c r="A623" t="n">
        <v>20939</v>
      </c>
      <c r="B623" t="n">
        <v>128</v>
      </c>
      <c r="C623" t="inlineStr">
        <is>
          <t>Love Cabaret</t>
        </is>
      </c>
      <c r="D623" t="inlineStr">
        <is>
          <t>Saldo Inicial</t>
        </is>
      </c>
      <c r="E623" s="27" t="n">
        <v>45731</v>
      </c>
      <c r="F623" s="27" t="n">
        <v>45731</v>
      </c>
      <c r="G623" t="n">
        <v>8276.690000000001</v>
      </c>
    </row>
    <row r="624">
      <c r="A624" t="n">
        <v>20942</v>
      </c>
      <c r="B624" t="n">
        <v>128</v>
      </c>
      <c r="C624" t="inlineStr">
        <is>
          <t>Love Cabaret</t>
        </is>
      </c>
      <c r="D624" t="inlineStr">
        <is>
          <t>Transações via Pix</t>
        </is>
      </c>
      <c r="E624" s="27" t="n">
        <v>45731</v>
      </c>
      <c r="F624" s="27" t="n">
        <v>45731</v>
      </c>
      <c r="G624" t="n">
        <v>1465.32</v>
      </c>
    </row>
    <row r="625">
      <c r="A625" t="n">
        <v>20840</v>
      </c>
      <c r="B625" t="n">
        <v>128</v>
      </c>
      <c r="C625" t="inlineStr">
        <is>
          <t>Love Cabaret</t>
        </is>
      </c>
      <c r="D625" t="inlineStr">
        <is>
          <t>Cartão de Débito integrado Zig</t>
        </is>
      </c>
      <c r="E625" s="27" t="n">
        <v>45730</v>
      </c>
      <c r="F625" s="27" t="n">
        <v>45729</v>
      </c>
      <c r="G625" t="n">
        <v>6213</v>
      </c>
    </row>
    <row r="626">
      <c r="A626" t="n">
        <v>20842</v>
      </c>
      <c r="B626" t="n">
        <v>128</v>
      </c>
      <c r="C626" t="inlineStr">
        <is>
          <t>Love Cabaret</t>
        </is>
      </c>
      <c r="D626" t="inlineStr">
        <is>
          <t>Transações via Pix</t>
        </is>
      </c>
      <c r="E626" s="27" t="n">
        <v>45730</v>
      </c>
      <c r="F626" s="27" t="n">
        <v>45730</v>
      </c>
      <c r="G626" t="n">
        <v>1780.03</v>
      </c>
    </row>
    <row r="627">
      <c r="A627" t="n">
        <v>20841</v>
      </c>
      <c r="B627" t="n">
        <v>128</v>
      </c>
      <c r="C627" t="inlineStr">
        <is>
          <t>Love Cabaret</t>
        </is>
      </c>
      <c r="D627" t="inlineStr">
        <is>
          <t>Taxa de sistema sobre receita de Bar</t>
        </is>
      </c>
      <c r="E627" s="27" t="n">
        <v>45730</v>
      </c>
      <c r="F627" s="27" t="n">
        <v>45729</v>
      </c>
      <c r="G627" t="n">
        <v>-143.68</v>
      </c>
    </row>
    <row r="628">
      <c r="A628" t="n">
        <v>20839</v>
      </c>
      <c r="B628" t="n">
        <v>128</v>
      </c>
      <c r="C628" t="inlineStr">
        <is>
          <t>Love Cabaret</t>
        </is>
      </c>
      <c r="D628" t="inlineStr">
        <is>
          <t>Saldo Inicial</t>
        </is>
      </c>
      <c r="E628" s="27" t="n">
        <v>45730</v>
      </c>
      <c r="F628" s="27" t="n">
        <v>45730</v>
      </c>
      <c r="G628" t="n">
        <v>427.34</v>
      </c>
    </row>
    <row r="629">
      <c r="A629" t="n">
        <v>20733</v>
      </c>
      <c r="B629" t="n">
        <v>128</v>
      </c>
      <c r="C629" t="inlineStr">
        <is>
          <t>Love Cabaret</t>
        </is>
      </c>
      <c r="D629" t="inlineStr">
        <is>
          <t>Transações via Pix</t>
        </is>
      </c>
      <c r="E629" s="27" t="n">
        <v>45729</v>
      </c>
      <c r="F629" s="27" t="n">
        <v>45729</v>
      </c>
      <c r="G629" t="n">
        <v>427.34</v>
      </c>
    </row>
    <row r="630">
      <c r="A630" t="n">
        <v>20732</v>
      </c>
      <c r="B630" t="n">
        <v>128</v>
      </c>
      <c r="C630" t="inlineStr">
        <is>
          <t>Love Cabaret</t>
        </is>
      </c>
      <c r="D630" t="inlineStr">
        <is>
          <t>Saldo Inicial</t>
        </is>
      </c>
      <c r="E630" s="27" t="n">
        <v>45729</v>
      </c>
      <c r="F630" s="27" t="n">
        <v>45729</v>
      </c>
      <c r="G630" t="n">
        <v>0</v>
      </c>
    </row>
    <row r="631">
      <c r="A631" t="n">
        <v>20628</v>
      </c>
      <c r="B631" t="n">
        <v>128</v>
      </c>
      <c r="C631" t="inlineStr">
        <is>
          <t>Love Cabaret</t>
        </is>
      </c>
      <c r="D631" t="inlineStr">
        <is>
          <t>Saldo Inicial</t>
        </is>
      </c>
      <c r="E631" s="27" t="n">
        <v>45728</v>
      </c>
      <c r="F631" s="27" t="n">
        <v>45728</v>
      </c>
      <c r="G631" t="n">
        <v>0</v>
      </c>
    </row>
    <row r="632">
      <c r="A632" t="n">
        <v>20525</v>
      </c>
      <c r="B632" t="n">
        <v>128</v>
      </c>
      <c r="C632" t="inlineStr">
        <is>
          <t>Love Cabaret</t>
        </is>
      </c>
      <c r="D632" t="inlineStr">
        <is>
          <t>Saldo Inicial</t>
        </is>
      </c>
      <c r="E632" s="27" t="n">
        <v>45727</v>
      </c>
      <c r="F632" s="27" t="n">
        <v>45727</v>
      </c>
      <c r="G632" t="n">
        <v>0</v>
      </c>
    </row>
    <row r="633">
      <c r="A633" t="n">
        <v>20526</v>
      </c>
      <c r="B633" t="n">
        <v>128</v>
      </c>
      <c r="C633" t="inlineStr">
        <is>
          <t>Love Cabaret</t>
        </is>
      </c>
      <c r="D633" t="inlineStr">
        <is>
          <t>Transações via App</t>
        </is>
      </c>
      <c r="E633" s="27" t="n">
        <v>45727</v>
      </c>
      <c r="F633" s="27" t="n">
        <v>45696</v>
      </c>
      <c r="G633" t="n">
        <v>118.08</v>
      </c>
    </row>
    <row r="634">
      <c r="A634" t="n">
        <v>20527</v>
      </c>
      <c r="B634" t="n">
        <v>128</v>
      </c>
      <c r="C634" t="inlineStr">
        <is>
          <t>Love Cabaret</t>
        </is>
      </c>
      <c r="D634" t="inlineStr">
        <is>
          <t>Cartão de Crédito integrado Zig</t>
        </is>
      </c>
      <c r="E634" s="27" t="n">
        <v>45727</v>
      </c>
      <c r="F634" s="27" t="n">
        <v>45696</v>
      </c>
      <c r="G634" t="n">
        <v>9556.66</v>
      </c>
    </row>
    <row r="635">
      <c r="A635" t="n">
        <v>20528</v>
      </c>
      <c r="B635" t="n">
        <v>128</v>
      </c>
      <c r="C635" t="inlineStr">
        <is>
          <t>Love Cabaret</t>
        </is>
      </c>
      <c r="D635" t="inlineStr">
        <is>
          <t>Saque</t>
        </is>
      </c>
      <c r="E635" s="27" t="n">
        <v>45727</v>
      </c>
      <c r="F635" s="27" t="n">
        <v>45727</v>
      </c>
      <c r="G635" t="n">
        <v>-9674.74</v>
      </c>
    </row>
    <row r="636">
      <c r="A636" t="n">
        <v>20414</v>
      </c>
      <c r="B636" t="n">
        <v>128</v>
      </c>
      <c r="C636" t="inlineStr">
        <is>
          <t>Love Cabaret</t>
        </is>
      </c>
      <c r="D636" t="inlineStr">
        <is>
          <t>Saldo Inicial</t>
        </is>
      </c>
      <c r="E636" s="27" t="n">
        <v>45726</v>
      </c>
      <c r="F636" s="27" t="n">
        <v>45726</v>
      </c>
      <c r="G636" t="n">
        <v>19218.91</v>
      </c>
    </row>
    <row r="637">
      <c r="A637" t="n">
        <v>20415</v>
      </c>
      <c r="B637" t="n">
        <v>128</v>
      </c>
      <c r="C637" t="inlineStr">
        <is>
          <t>Love Cabaret</t>
        </is>
      </c>
      <c r="D637" t="inlineStr">
        <is>
          <t>Cartão de Crédito integrado Zig</t>
        </is>
      </c>
      <c r="E637" s="27" t="n">
        <v>45726</v>
      </c>
      <c r="F637" s="27" t="n">
        <v>45695</v>
      </c>
      <c r="G637" t="n">
        <v>11385.75</v>
      </c>
    </row>
    <row r="638">
      <c r="A638" t="n">
        <v>20416</v>
      </c>
      <c r="B638" t="n">
        <v>128</v>
      </c>
      <c r="C638" t="inlineStr">
        <is>
          <t>Love Cabaret</t>
        </is>
      </c>
      <c r="D638" t="inlineStr">
        <is>
          <t>Saque</t>
        </is>
      </c>
      <c r="E638" s="27" t="n">
        <v>45726</v>
      </c>
      <c r="F638" s="27" t="n">
        <v>45726</v>
      </c>
      <c r="G638" t="n">
        <v>-30604.66</v>
      </c>
    </row>
    <row r="639">
      <c r="A639" t="n">
        <v>20316</v>
      </c>
      <c r="B639" t="n">
        <v>128</v>
      </c>
      <c r="C639" t="inlineStr">
        <is>
          <t>Love Cabaret</t>
        </is>
      </c>
      <c r="D639" t="inlineStr">
        <is>
          <t>Saldo Inicial</t>
        </is>
      </c>
      <c r="E639" s="27" t="n">
        <v>45725</v>
      </c>
      <c r="F639" s="27" t="n">
        <v>45725</v>
      </c>
      <c r="G639" t="n">
        <v>118.01</v>
      </c>
    </row>
    <row r="640">
      <c r="A640" t="n">
        <v>20317</v>
      </c>
      <c r="B640" t="n">
        <v>128</v>
      </c>
      <c r="C640" t="inlineStr">
        <is>
          <t>Love Cabaret</t>
        </is>
      </c>
      <c r="D640" t="inlineStr">
        <is>
          <t>Cartão de Crédito integrado Zig</t>
        </is>
      </c>
      <c r="E640" s="27" t="n">
        <v>45725</v>
      </c>
      <c r="F640" s="27" t="n">
        <v>45694</v>
      </c>
      <c r="G640" t="n">
        <v>18781.78</v>
      </c>
    </row>
    <row r="641">
      <c r="A641" t="n">
        <v>20318</v>
      </c>
      <c r="B641" t="n">
        <v>128</v>
      </c>
      <c r="C641" t="inlineStr">
        <is>
          <t>Love Cabaret</t>
        </is>
      </c>
      <c r="D641" t="inlineStr">
        <is>
          <t>Transações via App</t>
        </is>
      </c>
      <c r="E641" s="27" t="n">
        <v>45725</v>
      </c>
      <c r="F641" s="27" t="n">
        <v>45694</v>
      </c>
      <c r="G641" t="n">
        <v>319.12</v>
      </c>
    </row>
    <row r="642">
      <c r="A642" t="n">
        <v>20234</v>
      </c>
      <c r="B642" t="n">
        <v>128</v>
      </c>
      <c r="C642" t="inlineStr">
        <is>
          <t>Love Cabaret</t>
        </is>
      </c>
      <c r="D642" t="inlineStr">
        <is>
          <t>Saldo Inicial</t>
        </is>
      </c>
      <c r="E642" s="27" t="n">
        <v>45724</v>
      </c>
      <c r="F642" s="27" t="n">
        <v>45724</v>
      </c>
      <c r="G642" t="n">
        <v>118.01</v>
      </c>
    </row>
    <row r="643">
      <c r="A643" t="n">
        <v>20139</v>
      </c>
      <c r="B643" t="n">
        <v>128</v>
      </c>
      <c r="C643" t="inlineStr">
        <is>
          <t>Love Cabaret</t>
        </is>
      </c>
      <c r="D643" t="inlineStr">
        <is>
          <t>Saldo Inicial</t>
        </is>
      </c>
      <c r="E643" s="27" t="n">
        <v>45723</v>
      </c>
      <c r="F643" s="27" t="n">
        <v>45723</v>
      </c>
      <c r="G643" t="n">
        <v>118.01</v>
      </c>
    </row>
    <row r="644">
      <c r="A644" t="n">
        <v>20026</v>
      </c>
      <c r="B644" t="n">
        <v>128</v>
      </c>
      <c r="C644" t="inlineStr">
        <is>
          <t>Love Cabaret</t>
        </is>
      </c>
      <c r="D644" t="inlineStr">
        <is>
          <t>Saque</t>
        </is>
      </c>
      <c r="E644" s="27" t="n">
        <v>45722</v>
      </c>
      <c r="F644" s="27" t="n">
        <v>45722</v>
      </c>
      <c r="G644" t="n">
        <v>-45971.42</v>
      </c>
    </row>
    <row r="645">
      <c r="A645" t="n">
        <v>20028</v>
      </c>
      <c r="B645" t="n">
        <v>128</v>
      </c>
      <c r="C645" t="inlineStr">
        <is>
          <t>Love Cabaret</t>
        </is>
      </c>
      <c r="D645" t="inlineStr">
        <is>
          <t>Ajuste - Z0401 - Ajuste Apartada Taxa Zig - Lote 258</t>
        </is>
      </c>
      <c r="E645" s="27" t="n">
        <v>45722</v>
      </c>
      <c r="F645" s="27" t="n">
        <v>45721</v>
      </c>
      <c r="G645" t="n">
        <v>-0.97</v>
      </c>
    </row>
    <row r="646">
      <c r="A646" t="n">
        <v>20029</v>
      </c>
      <c r="B646" t="n">
        <v>128</v>
      </c>
      <c r="C646" t="inlineStr">
        <is>
          <t>Love Cabaret</t>
        </is>
      </c>
      <c r="D646" t="inlineStr">
        <is>
          <t>Ajuste - Z0401 - Ajuste Apartada Faturamento Crédito Apartado - Lote 258</t>
        </is>
      </c>
      <c r="E646" s="27" t="n">
        <v>45722</v>
      </c>
      <c r="F646" s="27" t="n">
        <v>45721</v>
      </c>
      <c r="G646" t="n">
        <v>120.91</v>
      </c>
    </row>
    <row r="647">
      <c r="A647" t="n">
        <v>20027</v>
      </c>
      <c r="B647" t="n">
        <v>128</v>
      </c>
      <c r="C647" t="inlineStr">
        <is>
          <t>Love Cabaret</t>
        </is>
      </c>
      <c r="D647" t="inlineStr">
        <is>
          <t>Ajuste - Z0401 - Ajuste Apartada Taxa de adquirência sobre Crédito Apartado - Lote 258</t>
        </is>
      </c>
      <c r="E647" s="27" t="n">
        <v>45722</v>
      </c>
      <c r="F647" s="27" t="n">
        <v>45721</v>
      </c>
      <c r="G647" t="n">
        <v>-1.93</v>
      </c>
    </row>
    <row r="648">
      <c r="A648" t="n">
        <v>20025</v>
      </c>
      <c r="B648" t="n">
        <v>128</v>
      </c>
      <c r="C648" t="inlineStr">
        <is>
          <t>Love Cabaret</t>
        </is>
      </c>
      <c r="D648" t="inlineStr">
        <is>
          <t>Saldo Inicial</t>
        </is>
      </c>
      <c r="E648" s="27" t="n">
        <v>45722</v>
      </c>
      <c r="F648" s="27" t="n">
        <v>45722</v>
      </c>
      <c r="G648" t="n">
        <v>45971.42</v>
      </c>
    </row>
    <row r="649">
      <c r="A649" t="n">
        <v>19926</v>
      </c>
      <c r="B649" t="n">
        <v>128</v>
      </c>
      <c r="C649" t="inlineStr">
        <is>
          <t>Love Cabaret</t>
        </is>
      </c>
      <c r="D649" t="inlineStr">
        <is>
          <t>Saldo Inicial</t>
        </is>
      </c>
      <c r="E649" s="27" t="n">
        <v>45721</v>
      </c>
      <c r="F649" s="27" t="n">
        <v>45721</v>
      </c>
      <c r="G649" t="n">
        <v>40880.3</v>
      </c>
    </row>
    <row r="650">
      <c r="A650" t="n">
        <v>19927</v>
      </c>
      <c r="B650" t="n">
        <v>128</v>
      </c>
      <c r="C650" t="inlineStr">
        <is>
          <t>Love Cabaret</t>
        </is>
      </c>
      <c r="D650" t="inlineStr">
        <is>
          <t>Cartão de Débito integrado Zig</t>
        </is>
      </c>
      <c r="E650" s="27" t="n">
        <v>45721</v>
      </c>
      <c r="F650" s="27" t="n">
        <v>45720</v>
      </c>
      <c r="G650" t="n">
        <v>5269.22</v>
      </c>
    </row>
    <row r="651">
      <c r="A651" t="n">
        <v>19928</v>
      </c>
      <c r="B651" t="n">
        <v>128</v>
      </c>
      <c r="C651" t="inlineStr">
        <is>
          <t>Love Cabaret</t>
        </is>
      </c>
      <c r="D651" t="inlineStr">
        <is>
          <t>Taxa de sistema sobre receita de Bar</t>
        </is>
      </c>
      <c r="E651" s="27" t="n">
        <v>45721</v>
      </c>
      <c r="F651" s="27" t="n">
        <v>45720</v>
      </c>
      <c r="G651" t="n">
        <v>-178.1</v>
      </c>
    </row>
    <row r="652">
      <c r="A652" t="n">
        <v>19837</v>
      </c>
      <c r="B652" t="n">
        <v>128</v>
      </c>
      <c r="C652" t="inlineStr">
        <is>
          <t>Love Cabaret</t>
        </is>
      </c>
      <c r="D652" t="inlineStr">
        <is>
          <t>Saldo Inicial</t>
        </is>
      </c>
      <c r="E652" s="27" t="n">
        <v>45720</v>
      </c>
      <c r="F652" s="27" t="n">
        <v>45720</v>
      </c>
      <c r="G652" t="n">
        <v>24091.6</v>
      </c>
    </row>
    <row r="653">
      <c r="A653" t="n">
        <v>19839</v>
      </c>
      <c r="B653" t="n">
        <v>128</v>
      </c>
      <c r="C653" t="inlineStr">
        <is>
          <t>Love Cabaret</t>
        </is>
      </c>
      <c r="D653" t="inlineStr">
        <is>
          <t>Transações via Pix</t>
        </is>
      </c>
      <c r="E653" s="27" t="n">
        <v>45720</v>
      </c>
      <c r="F653" s="27" t="n">
        <v>45720</v>
      </c>
      <c r="G653" t="n">
        <v>935.4400000000001</v>
      </c>
    </row>
    <row r="654">
      <c r="A654" t="n">
        <v>19838</v>
      </c>
      <c r="B654" t="n">
        <v>128</v>
      </c>
      <c r="C654" t="inlineStr">
        <is>
          <t>Love Cabaret</t>
        </is>
      </c>
      <c r="D654" t="inlineStr">
        <is>
          <t>Cartão de Crédito integrado Zig</t>
        </is>
      </c>
      <c r="E654" s="27" t="n">
        <v>45720</v>
      </c>
      <c r="F654" s="27" t="n">
        <v>45689</v>
      </c>
      <c r="G654" t="n">
        <v>15853.26</v>
      </c>
    </row>
    <row r="655">
      <c r="A655" t="n">
        <v>19763</v>
      </c>
      <c r="B655" t="n">
        <v>128</v>
      </c>
      <c r="C655" t="inlineStr">
        <is>
          <t>Love Cabaret</t>
        </is>
      </c>
      <c r="D655" t="inlineStr">
        <is>
          <t>Saldo Inicial</t>
        </is>
      </c>
      <c r="E655" s="27" t="n">
        <v>45719</v>
      </c>
      <c r="F655" s="27" t="n">
        <v>45719</v>
      </c>
      <c r="G655" t="n">
        <v>12996.29</v>
      </c>
    </row>
    <row r="656">
      <c r="A656" t="n">
        <v>19764</v>
      </c>
      <c r="B656" t="n">
        <v>128</v>
      </c>
      <c r="C656" t="inlineStr">
        <is>
          <t>Love Cabaret</t>
        </is>
      </c>
      <c r="D656" t="inlineStr">
        <is>
          <t>Cartão de Crédito integrado Zig</t>
        </is>
      </c>
      <c r="E656" s="27" t="n">
        <v>45719</v>
      </c>
      <c r="F656" s="27" t="n">
        <v>45688</v>
      </c>
      <c r="G656" t="n">
        <v>11095.31</v>
      </c>
    </row>
    <row r="657">
      <c r="A657" t="n">
        <v>19685</v>
      </c>
      <c r="B657" t="n">
        <v>128</v>
      </c>
      <c r="C657" t="inlineStr">
        <is>
          <t>Love Cabaret</t>
        </is>
      </c>
      <c r="D657" t="inlineStr">
        <is>
          <t>Cartão de Crédito integrado Zig</t>
        </is>
      </c>
      <c r="E657" s="27" t="n">
        <v>45718</v>
      </c>
      <c r="F657" s="27" t="n">
        <v>45687</v>
      </c>
      <c r="G657" t="n">
        <v>6111.15</v>
      </c>
    </row>
    <row r="658">
      <c r="A658" t="n">
        <v>19684</v>
      </c>
      <c r="B658" t="n">
        <v>128</v>
      </c>
      <c r="C658" t="inlineStr">
        <is>
          <t>Love Cabaret</t>
        </is>
      </c>
      <c r="D658" t="inlineStr">
        <is>
          <t>Saldo Inicial</t>
        </is>
      </c>
      <c r="E658" s="27" t="n">
        <v>45718</v>
      </c>
      <c r="F658" s="27" t="n">
        <v>45718</v>
      </c>
      <c r="G658" t="n">
        <v>6885.14</v>
      </c>
    </row>
    <row r="659">
      <c r="A659" t="n">
        <v>19591</v>
      </c>
      <c r="B659" t="n">
        <v>128</v>
      </c>
      <c r="C659" t="inlineStr">
        <is>
          <t>Love Cabaret</t>
        </is>
      </c>
      <c r="D659" t="inlineStr">
        <is>
          <t>Cobrança geral - Z0101 - Ref.:10Pdv's R$20 cada</t>
        </is>
      </c>
      <c r="E659" s="27" t="n">
        <v>45717</v>
      </c>
      <c r="F659" s="27" t="n">
        <v>45717</v>
      </c>
      <c r="G659" t="n">
        <v>-200</v>
      </c>
    </row>
    <row r="660">
      <c r="A660" t="n">
        <v>19588</v>
      </c>
      <c r="B660" t="n">
        <v>128</v>
      </c>
      <c r="C660" t="inlineStr">
        <is>
          <t>Love Cabaret</t>
        </is>
      </c>
      <c r="D660" t="inlineStr">
        <is>
          <t>Saldo Inicial</t>
        </is>
      </c>
      <c r="E660" s="27" t="n">
        <v>45717</v>
      </c>
      <c r="F660" s="27" t="n">
        <v>45717</v>
      </c>
      <c r="G660" t="n">
        <v>4073.85</v>
      </c>
    </row>
    <row r="661">
      <c r="A661" t="n">
        <v>19589</v>
      </c>
      <c r="B661" t="n">
        <v>128</v>
      </c>
      <c r="C661" t="inlineStr">
        <is>
          <t>Love Cabaret</t>
        </is>
      </c>
      <c r="D661" t="inlineStr">
        <is>
          <t>Cartão de Débito integrado Zig</t>
        </is>
      </c>
      <c r="E661" s="27" t="n">
        <v>45717</v>
      </c>
      <c r="F661" s="27" t="n">
        <v>45716</v>
      </c>
      <c r="G661" t="n">
        <v>3451.9</v>
      </c>
    </row>
    <row r="662">
      <c r="A662" t="n">
        <v>19590</v>
      </c>
      <c r="B662" t="n">
        <v>128</v>
      </c>
      <c r="C662" t="inlineStr">
        <is>
          <t>Love Cabaret</t>
        </is>
      </c>
      <c r="D662" t="inlineStr">
        <is>
          <t>Taxa de sistema sobre receita de Bar</t>
        </is>
      </c>
      <c r="E662" s="27" t="n">
        <v>45717</v>
      </c>
      <c r="F662" s="27" t="n">
        <v>45716</v>
      </c>
      <c r="G662" t="n">
        <v>-120.61</v>
      </c>
    </row>
    <row r="663">
      <c r="A663" t="n">
        <v>19592</v>
      </c>
      <c r="B663" t="n">
        <v>128</v>
      </c>
      <c r="C663" t="inlineStr">
        <is>
          <t>Love Cabaret</t>
        </is>
      </c>
      <c r="D663" t="inlineStr">
        <is>
          <t>Cobrança geral - Z0101 - Ref.:16 Smartpos R$20 cada</t>
        </is>
      </c>
      <c r="E663" s="27" t="n">
        <v>45717</v>
      </c>
      <c r="F663" s="27" t="n">
        <v>45717</v>
      </c>
      <c r="G663" t="n">
        <v>-320</v>
      </c>
    </row>
    <row r="664">
      <c r="A664" t="n">
        <v>19474</v>
      </c>
      <c r="B664" t="n">
        <v>128</v>
      </c>
      <c r="C664" t="inlineStr">
        <is>
          <t>Love Cabaret</t>
        </is>
      </c>
      <c r="D664" t="inlineStr">
        <is>
          <t>Taxa de sistema sobre receita de Bar</t>
        </is>
      </c>
      <c r="E664" s="27" t="n">
        <v>45716</v>
      </c>
      <c r="F664" s="27" t="n">
        <v>45715</v>
      </c>
      <c r="G664" t="n">
        <v>-75.84999999999999</v>
      </c>
    </row>
    <row r="665">
      <c r="A665" t="n">
        <v>19473</v>
      </c>
      <c r="B665" t="n">
        <v>128</v>
      </c>
      <c r="C665" t="inlineStr">
        <is>
          <t>Love Cabaret</t>
        </is>
      </c>
      <c r="D665" t="inlineStr">
        <is>
          <t>Cartão de Débito integrado Zig</t>
        </is>
      </c>
      <c r="E665" s="27" t="n">
        <v>45716</v>
      </c>
      <c r="F665" s="27" t="n">
        <v>45715</v>
      </c>
      <c r="G665" t="n">
        <v>2544.08</v>
      </c>
    </row>
    <row r="666">
      <c r="A666" t="n">
        <v>19472</v>
      </c>
      <c r="B666" t="n">
        <v>128</v>
      </c>
      <c r="C666" t="inlineStr">
        <is>
          <t>Love Cabaret</t>
        </is>
      </c>
      <c r="D666" t="inlineStr">
        <is>
          <t>Saldo Inicial</t>
        </is>
      </c>
      <c r="E666" s="27" t="n">
        <v>45716</v>
      </c>
      <c r="F666" s="27" t="n">
        <v>45716</v>
      </c>
      <c r="G666" t="n">
        <v>149.26</v>
      </c>
    </row>
    <row r="667">
      <c r="A667" t="n">
        <v>19475</v>
      </c>
      <c r="B667" t="n">
        <v>128</v>
      </c>
      <c r="C667" t="inlineStr">
        <is>
          <t>Love Cabaret</t>
        </is>
      </c>
      <c r="D667" t="inlineStr">
        <is>
          <t>Transações via Pix</t>
        </is>
      </c>
      <c r="E667" s="27" t="n">
        <v>45716</v>
      </c>
      <c r="F667" s="27" t="n">
        <v>45716</v>
      </c>
      <c r="G667" t="n">
        <v>1456.36</v>
      </c>
    </row>
    <row r="668">
      <c r="A668" t="n">
        <v>19364</v>
      </c>
      <c r="B668" t="n">
        <v>128</v>
      </c>
      <c r="C668" t="inlineStr">
        <is>
          <t>Love Cabaret</t>
        </is>
      </c>
      <c r="D668" t="inlineStr">
        <is>
          <t>Transações via Pix</t>
        </is>
      </c>
      <c r="E668" s="27" t="n">
        <v>45715</v>
      </c>
      <c r="F668" s="27" t="n">
        <v>45715</v>
      </c>
      <c r="G668" t="n">
        <v>149.26</v>
      </c>
    </row>
    <row r="669">
      <c r="A669" t="n">
        <v>19363</v>
      </c>
      <c r="B669" t="n">
        <v>128</v>
      </c>
      <c r="C669" t="inlineStr">
        <is>
          <t>Love Cabaret</t>
        </is>
      </c>
      <c r="D669" t="inlineStr">
        <is>
          <t>Saldo Inicial</t>
        </is>
      </c>
      <c r="E669" s="27" t="n">
        <v>45715</v>
      </c>
      <c r="F669" s="27" t="n">
        <v>45715</v>
      </c>
      <c r="G669" t="n">
        <v>0</v>
      </c>
    </row>
    <row r="670">
      <c r="A670" t="n">
        <v>19253</v>
      </c>
      <c r="B670" t="n">
        <v>128</v>
      </c>
      <c r="C670" t="inlineStr">
        <is>
          <t>Love Cabaret</t>
        </is>
      </c>
      <c r="D670" t="inlineStr">
        <is>
          <t>Saldo Inicial</t>
        </is>
      </c>
      <c r="E670" s="27" t="n">
        <v>45714</v>
      </c>
      <c r="F670" s="27" t="n">
        <v>45714</v>
      </c>
      <c r="G670" t="n">
        <v>0</v>
      </c>
    </row>
    <row r="671">
      <c r="A671" t="n">
        <v>19146</v>
      </c>
      <c r="B671" t="n">
        <v>128</v>
      </c>
      <c r="C671" t="inlineStr">
        <is>
          <t>Love Cabaret</t>
        </is>
      </c>
      <c r="D671" t="inlineStr">
        <is>
          <t>Saldo Inicial</t>
        </is>
      </c>
      <c r="E671" s="27" t="n">
        <v>45713</v>
      </c>
      <c r="F671" s="27" t="n">
        <v>45713</v>
      </c>
      <c r="G671" t="n">
        <v>0</v>
      </c>
    </row>
    <row r="672">
      <c r="A672" t="n">
        <v>19147</v>
      </c>
      <c r="B672" t="n">
        <v>128</v>
      </c>
      <c r="C672" t="inlineStr">
        <is>
          <t>Love Cabaret</t>
        </is>
      </c>
      <c r="D672" t="inlineStr">
        <is>
          <t>Cartão de Crédito integrado Zig</t>
        </is>
      </c>
      <c r="E672" s="27" t="n">
        <v>45713</v>
      </c>
      <c r="F672" s="27" t="n">
        <v>45683</v>
      </c>
      <c r="G672" t="n">
        <v>18578.13</v>
      </c>
    </row>
    <row r="673">
      <c r="A673" t="n">
        <v>19148</v>
      </c>
      <c r="B673" t="n">
        <v>128</v>
      </c>
      <c r="C673" t="inlineStr">
        <is>
          <t>Love Cabaret</t>
        </is>
      </c>
      <c r="D673" t="inlineStr">
        <is>
          <t>Saque</t>
        </is>
      </c>
      <c r="E673" s="27" t="n">
        <v>45713</v>
      </c>
      <c r="F673" s="27" t="n">
        <v>45713</v>
      </c>
      <c r="G673" t="n">
        <v>-18578.13</v>
      </c>
    </row>
    <row r="674">
      <c r="A674" t="n">
        <v>19006</v>
      </c>
      <c r="B674" t="n">
        <v>128</v>
      </c>
      <c r="C674" t="inlineStr">
        <is>
          <t>Love Cabaret</t>
        </is>
      </c>
      <c r="D674" t="inlineStr">
        <is>
          <t>Saldo Inicial</t>
        </is>
      </c>
      <c r="E674" s="27" t="n">
        <v>45712</v>
      </c>
      <c r="F674" s="27" t="n">
        <v>45712</v>
      </c>
      <c r="G674" t="n">
        <v>26969.18</v>
      </c>
    </row>
    <row r="675">
      <c r="A675" t="n">
        <v>19007</v>
      </c>
      <c r="B675" t="n">
        <v>128</v>
      </c>
      <c r="C675" t="inlineStr">
        <is>
          <t>Love Cabaret</t>
        </is>
      </c>
      <c r="D675" t="inlineStr">
        <is>
          <t>Cartão de Crédito integrado Zig</t>
        </is>
      </c>
      <c r="E675" s="27" t="n">
        <v>45712</v>
      </c>
      <c r="F675" s="27" t="n">
        <v>45681</v>
      </c>
      <c r="G675" t="n">
        <v>13205.71</v>
      </c>
    </row>
    <row r="676">
      <c r="A676" t="n">
        <v>19008</v>
      </c>
      <c r="B676" t="n">
        <v>128</v>
      </c>
      <c r="C676" t="inlineStr">
        <is>
          <t>Love Cabaret</t>
        </is>
      </c>
      <c r="D676" t="inlineStr">
        <is>
          <t>Saque</t>
        </is>
      </c>
      <c r="E676" s="27" t="n">
        <v>45712</v>
      </c>
      <c r="F676" s="27" t="n">
        <v>45712</v>
      </c>
      <c r="G676" t="n">
        <v>-40174.89</v>
      </c>
    </row>
    <row r="677">
      <c r="A677" t="n">
        <v>18901</v>
      </c>
      <c r="B677" t="n">
        <v>128</v>
      </c>
      <c r="C677" t="inlineStr">
        <is>
          <t>Love Cabaret</t>
        </is>
      </c>
      <c r="D677" t="inlineStr">
        <is>
          <t>Saldo Inicial</t>
        </is>
      </c>
      <c r="E677" s="27" t="n">
        <v>45711</v>
      </c>
      <c r="F677" s="27" t="n">
        <v>45711</v>
      </c>
      <c r="G677" t="n">
        <v>7918.12</v>
      </c>
    </row>
    <row r="678">
      <c r="A678" t="n">
        <v>18903</v>
      </c>
      <c r="B678" t="n">
        <v>128</v>
      </c>
      <c r="C678" t="inlineStr">
        <is>
          <t>Love Cabaret</t>
        </is>
      </c>
      <c r="D678" t="inlineStr">
        <is>
          <t>Taxa de sistema sobre receita de Bar</t>
        </is>
      </c>
      <c r="E678" s="27" t="n">
        <v>45711</v>
      </c>
      <c r="F678" s="27" t="n">
        <v>45710</v>
      </c>
      <c r="G678" t="n">
        <v>-124.04</v>
      </c>
    </row>
    <row r="679">
      <c r="A679" t="n">
        <v>18904</v>
      </c>
      <c r="B679" t="n">
        <v>128</v>
      </c>
      <c r="C679" t="inlineStr">
        <is>
          <t>Love Cabaret</t>
        </is>
      </c>
      <c r="D679" t="inlineStr">
        <is>
          <t>Cartão de Débito integrado Zig</t>
        </is>
      </c>
      <c r="E679" s="27" t="n">
        <v>45711</v>
      </c>
      <c r="F679" s="27" t="n">
        <v>45710</v>
      </c>
      <c r="G679" t="n">
        <v>4563.21</v>
      </c>
    </row>
    <row r="680">
      <c r="A680" t="n">
        <v>18902</v>
      </c>
      <c r="B680" t="n">
        <v>128</v>
      </c>
      <c r="C680" t="inlineStr">
        <is>
          <t>Love Cabaret</t>
        </is>
      </c>
      <c r="D680" t="inlineStr">
        <is>
          <t>Cartão de Crédito integrado Zig</t>
        </is>
      </c>
      <c r="E680" s="27" t="n">
        <v>45711</v>
      </c>
      <c r="F680" s="27" t="n">
        <v>45680</v>
      </c>
      <c r="G680" t="n">
        <v>14611.89</v>
      </c>
    </row>
    <row r="681">
      <c r="A681" t="n">
        <v>18808</v>
      </c>
      <c r="B681" t="n">
        <v>128</v>
      </c>
      <c r="C681" t="inlineStr">
        <is>
          <t>Love Cabaret</t>
        </is>
      </c>
      <c r="D681" t="inlineStr">
        <is>
          <t>Saldo Inicial</t>
        </is>
      </c>
      <c r="E681" s="27" t="n">
        <v>45710</v>
      </c>
      <c r="F681" s="27" t="n">
        <v>45710</v>
      </c>
      <c r="G681" t="n">
        <v>3638.99</v>
      </c>
    </row>
    <row r="682">
      <c r="A682" t="n">
        <v>18811</v>
      </c>
      <c r="B682" t="n">
        <v>128</v>
      </c>
      <c r="C682" t="inlineStr">
        <is>
          <t>Love Cabaret</t>
        </is>
      </c>
      <c r="D682" t="inlineStr">
        <is>
          <t>Transações via Pix</t>
        </is>
      </c>
      <c r="E682" s="27" t="n">
        <v>45710</v>
      </c>
      <c r="F682" s="27" t="n">
        <v>45710</v>
      </c>
      <c r="G682" t="n">
        <v>89.22</v>
      </c>
    </row>
    <row r="683">
      <c r="A683" t="n">
        <v>18810</v>
      </c>
      <c r="B683" t="n">
        <v>128</v>
      </c>
      <c r="C683" t="inlineStr">
        <is>
          <t>Love Cabaret</t>
        </is>
      </c>
      <c r="D683" t="inlineStr">
        <is>
          <t>Taxa de sistema sobre receita de Bar</t>
        </is>
      </c>
      <c r="E683" s="27" t="n">
        <v>45710</v>
      </c>
      <c r="F683" s="27" t="n">
        <v>45709</v>
      </c>
      <c r="G683" t="n">
        <v>-134.9</v>
      </c>
    </row>
    <row r="684">
      <c r="A684" t="n">
        <v>18809</v>
      </c>
      <c r="B684" t="n">
        <v>128</v>
      </c>
      <c r="C684" t="inlineStr">
        <is>
          <t>Love Cabaret</t>
        </is>
      </c>
      <c r="D684" t="inlineStr">
        <is>
          <t>Cartão de Débito integrado Zig</t>
        </is>
      </c>
      <c r="E684" s="27" t="n">
        <v>45710</v>
      </c>
      <c r="F684" s="27" t="n">
        <v>45709</v>
      </c>
      <c r="G684" t="n">
        <v>4324.81</v>
      </c>
    </row>
    <row r="685">
      <c r="A685" t="n">
        <v>18710</v>
      </c>
      <c r="B685" t="n">
        <v>128</v>
      </c>
      <c r="C685" t="inlineStr">
        <is>
          <t>Love Cabaret</t>
        </is>
      </c>
      <c r="D685" t="inlineStr">
        <is>
          <t>Transações via Pix</t>
        </is>
      </c>
      <c r="E685" s="27" t="n">
        <v>45709</v>
      </c>
      <c r="F685" s="27" t="n">
        <v>45709</v>
      </c>
      <c r="G685" t="n">
        <v>924.7</v>
      </c>
    </row>
    <row r="686">
      <c r="A686" t="n">
        <v>18709</v>
      </c>
      <c r="B686" t="n">
        <v>128</v>
      </c>
      <c r="C686" t="inlineStr">
        <is>
          <t>Love Cabaret</t>
        </is>
      </c>
      <c r="D686" t="inlineStr">
        <is>
          <t>Taxa de sistema sobre receita de Bar</t>
        </is>
      </c>
      <c r="E686" s="27" t="n">
        <v>45709</v>
      </c>
      <c r="F686" s="27" t="n">
        <v>45708</v>
      </c>
      <c r="G686" t="n">
        <v>-62.04</v>
      </c>
    </row>
    <row r="687">
      <c r="A687" t="n">
        <v>18708</v>
      </c>
      <c r="B687" t="n">
        <v>128</v>
      </c>
      <c r="C687" t="inlineStr">
        <is>
          <t>Love Cabaret</t>
        </is>
      </c>
      <c r="D687" t="inlineStr">
        <is>
          <t>Cartão de Débito integrado Zig</t>
        </is>
      </c>
      <c r="E687" s="27" t="n">
        <v>45709</v>
      </c>
      <c r="F687" s="27" t="n">
        <v>45708</v>
      </c>
      <c r="G687" t="n">
        <v>2191.96</v>
      </c>
    </row>
    <row r="688">
      <c r="A688" t="n">
        <v>18707</v>
      </c>
      <c r="B688" t="n">
        <v>128</v>
      </c>
      <c r="C688" t="inlineStr">
        <is>
          <t>Love Cabaret</t>
        </is>
      </c>
      <c r="D688" t="inlineStr">
        <is>
          <t>Saldo Inicial</t>
        </is>
      </c>
      <c r="E688" s="27" t="n">
        <v>45709</v>
      </c>
      <c r="F688" s="27" t="n">
        <v>45709</v>
      </c>
      <c r="G688" t="n">
        <v>584.37</v>
      </c>
    </row>
    <row r="689">
      <c r="A689" t="n">
        <v>18599</v>
      </c>
      <c r="B689" t="n">
        <v>128</v>
      </c>
      <c r="C689" t="inlineStr">
        <is>
          <t>Love Cabaret</t>
        </is>
      </c>
      <c r="D689" t="inlineStr">
        <is>
          <t>Saldo Inicial</t>
        </is>
      </c>
      <c r="E689" s="27" t="n">
        <v>45708</v>
      </c>
      <c r="F689" s="27" t="n">
        <v>45708</v>
      </c>
      <c r="G689" t="n">
        <v>0</v>
      </c>
    </row>
    <row r="690">
      <c r="A690" t="n">
        <v>18600</v>
      </c>
      <c r="B690" t="n">
        <v>128</v>
      </c>
      <c r="C690" t="inlineStr">
        <is>
          <t>Love Cabaret</t>
        </is>
      </c>
      <c r="D690" t="inlineStr">
        <is>
          <t>Transações via Pix</t>
        </is>
      </c>
      <c r="E690" s="27" t="n">
        <v>45708</v>
      </c>
      <c r="F690" s="27" t="n">
        <v>45708</v>
      </c>
      <c r="G690" t="n">
        <v>584.37</v>
      </c>
    </row>
    <row r="691">
      <c r="A691" t="n">
        <v>18498</v>
      </c>
      <c r="B691" t="n">
        <v>128</v>
      </c>
      <c r="C691" t="inlineStr">
        <is>
          <t>Love Cabaret</t>
        </is>
      </c>
      <c r="D691" t="inlineStr">
        <is>
          <t>Saldo Inicial</t>
        </is>
      </c>
      <c r="E691" s="27" t="n">
        <v>45707</v>
      </c>
      <c r="F691" s="27" t="n">
        <v>45707</v>
      </c>
      <c r="G691" t="n">
        <v>64114.16</v>
      </c>
    </row>
    <row r="692">
      <c r="A692" t="n">
        <v>18499</v>
      </c>
      <c r="B692" t="n">
        <v>128</v>
      </c>
      <c r="C692" t="inlineStr">
        <is>
          <t>Love Cabaret</t>
        </is>
      </c>
      <c r="D692" t="inlineStr">
        <is>
          <t>Saque</t>
        </is>
      </c>
      <c r="E692" s="27" t="n">
        <v>45707</v>
      </c>
      <c r="F692" s="27" t="n">
        <v>45707</v>
      </c>
      <c r="G692" t="n">
        <v>-64114.16</v>
      </c>
    </row>
    <row r="693">
      <c r="A693" t="n">
        <v>18406</v>
      </c>
      <c r="B693" t="n">
        <v>128</v>
      </c>
      <c r="C693" t="inlineStr">
        <is>
          <t>Love Cabaret</t>
        </is>
      </c>
      <c r="D693" t="inlineStr">
        <is>
          <t>Cartão de Crédito integrado Zig</t>
        </is>
      </c>
      <c r="E693" s="27" t="n">
        <v>45706</v>
      </c>
      <c r="F693" s="27" t="n">
        <v>45675</v>
      </c>
      <c r="G693" t="n">
        <v>19189.05</v>
      </c>
    </row>
    <row r="694">
      <c r="A694" t="n">
        <v>18405</v>
      </c>
      <c r="B694" t="n">
        <v>128</v>
      </c>
      <c r="C694" t="inlineStr">
        <is>
          <t>Love Cabaret</t>
        </is>
      </c>
      <c r="D694" t="inlineStr">
        <is>
          <t>Taxa de sistema sobre receita de Bar</t>
        </is>
      </c>
      <c r="E694" s="27" t="n">
        <v>45706</v>
      </c>
      <c r="F694" s="27" t="n">
        <v>45705</v>
      </c>
      <c r="G694" t="n">
        <v>-0.01</v>
      </c>
    </row>
    <row r="695">
      <c r="A695" t="n">
        <v>18404</v>
      </c>
      <c r="B695" t="n">
        <v>128</v>
      </c>
      <c r="C695" t="inlineStr">
        <is>
          <t>Love Cabaret</t>
        </is>
      </c>
      <c r="D695" t="inlineStr">
        <is>
          <t>Saldo Inicial</t>
        </is>
      </c>
      <c r="E695" s="27" t="n">
        <v>45706</v>
      </c>
      <c r="F695" s="27" t="n">
        <v>45706</v>
      </c>
      <c r="G695" t="n">
        <v>44925.12</v>
      </c>
    </row>
    <row r="696">
      <c r="A696" t="n">
        <v>18303</v>
      </c>
      <c r="B696" t="n">
        <v>128</v>
      </c>
      <c r="C696" t="inlineStr">
        <is>
          <t>Love Cabaret</t>
        </is>
      </c>
      <c r="D696" t="inlineStr">
        <is>
          <t>Saldo Inicial</t>
        </is>
      </c>
      <c r="E696" s="27" t="n">
        <v>45705</v>
      </c>
      <c r="F696" s="27" t="n">
        <v>45705</v>
      </c>
      <c r="G696" t="n">
        <v>27682.09</v>
      </c>
    </row>
    <row r="697">
      <c r="A697" t="n">
        <v>18304</v>
      </c>
      <c r="B697" t="n">
        <v>128</v>
      </c>
      <c r="C697" t="inlineStr">
        <is>
          <t>Love Cabaret</t>
        </is>
      </c>
      <c r="D697" t="inlineStr">
        <is>
          <t>Cartão de Crédito integrado Zig</t>
        </is>
      </c>
      <c r="E697" s="27" t="n">
        <v>45705</v>
      </c>
      <c r="F697" s="27" t="n">
        <v>45674</v>
      </c>
      <c r="G697" t="n">
        <v>17243.03</v>
      </c>
    </row>
    <row r="698">
      <c r="A698" t="n">
        <v>18197</v>
      </c>
      <c r="B698" t="n">
        <v>128</v>
      </c>
      <c r="C698" t="inlineStr">
        <is>
          <t>Love Cabaret</t>
        </is>
      </c>
      <c r="D698" t="inlineStr">
        <is>
          <t>Cartão de Crédito integrado Zig</t>
        </is>
      </c>
      <c r="E698" s="27" t="n">
        <v>45704</v>
      </c>
      <c r="F698" s="27" t="n">
        <v>45673</v>
      </c>
      <c r="G698" t="n">
        <v>12318.3</v>
      </c>
    </row>
    <row r="699">
      <c r="A699" t="n">
        <v>18196</v>
      </c>
      <c r="B699" t="n">
        <v>128</v>
      </c>
      <c r="C699" t="inlineStr">
        <is>
          <t>Love Cabaret</t>
        </is>
      </c>
      <c r="D699" t="inlineStr">
        <is>
          <t>Saldo Inicial</t>
        </is>
      </c>
      <c r="E699" s="27" t="n">
        <v>45704</v>
      </c>
      <c r="F699" s="27" t="n">
        <v>45704</v>
      </c>
      <c r="G699" t="n">
        <v>11112.27</v>
      </c>
    </row>
    <row r="700">
      <c r="A700" t="n">
        <v>18198</v>
      </c>
      <c r="B700" t="n">
        <v>128</v>
      </c>
      <c r="C700" t="inlineStr">
        <is>
          <t>Love Cabaret</t>
        </is>
      </c>
      <c r="D700" t="inlineStr">
        <is>
          <t>Cartão de Débito integrado Zig</t>
        </is>
      </c>
      <c r="E700" s="27" t="n">
        <v>45704</v>
      </c>
      <c r="F700" s="27" t="n">
        <v>45703</v>
      </c>
      <c r="G700" t="n">
        <v>4436.62</v>
      </c>
    </row>
    <row r="701">
      <c r="A701" t="n">
        <v>18199</v>
      </c>
      <c r="B701" t="n">
        <v>128</v>
      </c>
      <c r="C701" t="inlineStr">
        <is>
          <t>Love Cabaret</t>
        </is>
      </c>
      <c r="D701" t="inlineStr">
        <is>
          <t>Taxa de sistema sobre receita de Bar</t>
        </is>
      </c>
      <c r="E701" s="27" t="n">
        <v>45704</v>
      </c>
      <c r="F701" s="27" t="n">
        <v>45703</v>
      </c>
      <c r="G701" t="n">
        <v>-184.9</v>
      </c>
    </row>
    <row r="702">
      <c r="A702" t="n">
        <v>18200</v>
      </c>
      <c r="B702" t="n">
        <v>128</v>
      </c>
      <c r="C702" t="inlineStr">
        <is>
          <t>Love Cabaret</t>
        </is>
      </c>
      <c r="D702" t="inlineStr">
        <is>
          <t>Taxa Sobre Envio de SMS</t>
        </is>
      </c>
      <c r="E702" s="27" t="n">
        <v>45704</v>
      </c>
      <c r="F702" s="27" t="n">
        <v>45704</v>
      </c>
      <c r="G702" t="n">
        <v>-0.2</v>
      </c>
    </row>
    <row r="703">
      <c r="A703" t="n">
        <v>18111</v>
      </c>
      <c r="B703" t="n">
        <v>128</v>
      </c>
      <c r="C703" t="inlineStr">
        <is>
          <t>Love Cabaret</t>
        </is>
      </c>
      <c r="D703" t="inlineStr">
        <is>
          <t>Taxa de sistema sobre receita de Bar</t>
        </is>
      </c>
      <c r="E703" s="27" t="n">
        <v>45703</v>
      </c>
      <c r="F703" s="27" t="n">
        <v>45702</v>
      </c>
      <c r="G703" t="n">
        <v>-184.9</v>
      </c>
    </row>
    <row r="704">
      <c r="A704" t="n">
        <v>18109</v>
      </c>
      <c r="B704" t="n">
        <v>128</v>
      </c>
      <c r="C704" t="inlineStr">
        <is>
          <t>Love Cabaret</t>
        </is>
      </c>
      <c r="D704" t="inlineStr">
        <is>
          <t>Saldo Inicial</t>
        </is>
      </c>
      <c r="E704" s="27" t="n">
        <v>45703</v>
      </c>
      <c r="F704" s="27" t="n">
        <v>45703</v>
      </c>
      <c r="G704" t="n">
        <v>3953.87</v>
      </c>
    </row>
    <row r="705">
      <c r="A705" t="n">
        <v>18112</v>
      </c>
      <c r="B705" t="n">
        <v>128</v>
      </c>
      <c r="C705" t="inlineStr">
        <is>
          <t>Love Cabaret</t>
        </is>
      </c>
      <c r="D705" t="inlineStr">
        <is>
          <t>Transações via Pix</t>
        </is>
      </c>
      <c r="E705" s="27" t="n">
        <v>45703</v>
      </c>
      <c r="F705" s="27" t="n">
        <v>45703</v>
      </c>
      <c r="G705" t="n">
        <v>588.85</v>
      </c>
    </row>
    <row r="706">
      <c r="A706" t="n">
        <v>18110</v>
      </c>
      <c r="B706" t="n">
        <v>128</v>
      </c>
      <c r="C706" t="inlineStr">
        <is>
          <t>Love Cabaret</t>
        </is>
      </c>
      <c r="D706" t="inlineStr">
        <is>
          <t>Cartão de Débito integrado Zig</t>
        </is>
      </c>
      <c r="E706" s="27" t="n">
        <v>45703</v>
      </c>
      <c r="F706" s="27" t="n">
        <v>45702</v>
      </c>
      <c r="G706" t="n">
        <v>6754.45</v>
      </c>
    </row>
    <row r="707">
      <c r="A707" t="n">
        <v>18015</v>
      </c>
      <c r="B707" t="n">
        <v>128</v>
      </c>
      <c r="C707" t="inlineStr">
        <is>
          <t>Love Cabaret</t>
        </is>
      </c>
      <c r="D707" t="inlineStr">
        <is>
          <t>Saldo Inicial</t>
        </is>
      </c>
      <c r="E707" s="27" t="n">
        <v>45702</v>
      </c>
      <c r="F707" s="27" t="n">
        <v>45702</v>
      </c>
      <c r="G707" t="n">
        <v>390.11</v>
      </c>
    </row>
    <row r="708">
      <c r="A708" t="n">
        <v>18016</v>
      </c>
      <c r="B708" t="n">
        <v>128</v>
      </c>
      <c r="C708" t="inlineStr">
        <is>
          <t>Love Cabaret</t>
        </is>
      </c>
      <c r="D708" t="inlineStr">
        <is>
          <t>Cartão de Débito integrado Zig</t>
        </is>
      </c>
      <c r="E708" s="27" t="n">
        <v>45702</v>
      </c>
      <c r="F708" s="27" t="n">
        <v>45701</v>
      </c>
      <c r="G708" t="n">
        <v>2342.09</v>
      </c>
    </row>
    <row r="709">
      <c r="A709" t="n">
        <v>18017</v>
      </c>
      <c r="B709" t="n">
        <v>128</v>
      </c>
      <c r="C709" t="inlineStr">
        <is>
          <t>Love Cabaret</t>
        </is>
      </c>
      <c r="D709" t="inlineStr">
        <is>
          <t>Taxa de sistema sobre receita de Bar</t>
        </is>
      </c>
      <c r="E709" s="27" t="n">
        <v>45702</v>
      </c>
      <c r="F709" s="27" t="n">
        <v>45701</v>
      </c>
      <c r="G709" t="n">
        <v>-80.23</v>
      </c>
    </row>
    <row r="710">
      <c r="A710" t="n">
        <v>18018</v>
      </c>
      <c r="B710" t="n">
        <v>128</v>
      </c>
      <c r="C710" t="inlineStr">
        <is>
          <t>Love Cabaret</t>
        </is>
      </c>
      <c r="D710" t="inlineStr">
        <is>
          <t>Transações via Pix</t>
        </is>
      </c>
      <c r="E710" s="27" t="n">
        <v>45702</v>
      </c>
      <c r="F710" s="27" t="n">
        <v>45702</v>
      </c>
      <c r="G710" t="n">
        <v>1301.9</v>
      </c>
    </row>
    <row r="711">
      <c r="A711" t="n">
        <v>17839</v>
      </c>
      <c r="B711" t="n">
        <v>128</v>
      </c>
      <c r="C711" t="inlineStr">
        <is>
          <t>Love Cabaret</t>
        </is>
      </c>
      <c r="D711" t="inlineStr">
        <is>
          <t>Saldo Inicial</t>
        </is>
      </c>
      <c r="E711" s="27" t="n">
        <v>45701</v>
      </c>
      <c r="F711" s="27" t="n">
        <v>45701</v>
      </c>
      <c r="G711" t="n">
        <v>0</v>
      </c>
    </row>
    <row r="712">
      <c r="A712" t="n">
        <v>17840</v>
      </c>
      <c r="B712" t="n">
        <v>128</v>
      </c>
      <c r="C712" t="inlineStr">
        <is>
          <t>Love Cabaret</t>
        </is>
      </c>
      <c r="D712" t="inlineStr">
        <is>
          <t>Transações via Pix</t>
        </is>
      </c>
      <c r="E712" s="27" t="n">
        <v>45701</v>
      </c>
      <c r="F712" s="27" t="n">
        <v>45701</v>
      </c>
      <c r="G712" t="n">
        <v>390.11</v>
      </c>
    </row>
    <row r="713">
      <c r="A713" t="n">
        <v>17740</v>
      </c>
      <c r="B713" t="n">
        <v>128</v>
      </c>
      <c r="C713" t="inlineStr">
        <is>
          <t>Love Cabaret</t>
        </is>
      </c>
      <c r="D713" t="inlineStr">
        <is>
          <t>Saldo Inicial</t>
        </is>
      </c>
      <c r="E713" s="27" t="n">
        <v>45700</v>
      </c>
      <c r="F713" s="27" t="n">
        <v>45700</v>
      </c>
      <c r="G713" t="n">
        <v>14569.91</v>
      </c>
    </row>
    <row r="714">
      <c r="A714" t="n">
        <v>17741</v>
      </c>
      <c r="B714" t="n">
        <v>128</v>
      </c>
      <c r="C714" t="inlineStr">
        <is>
          <t>Love Cabaret</t>
        </is>
      </c>
      <c r="D714" t="inlineStr">
        <is>
          <t>Saque</t>
        </is>
      </c>
      <c r="E714" s="27" t="n">
        <v>45700</v>
      </c>
      <c r="F714" s="27" t="n">
        <v>45700</v>
      </c>
      <c r="G714" t="n">
        <v>-14569.91</v>
      </c>
    </row>
    <row r="715">
      <c r="A715" t="n">
        <v>17642</v>
      </c>
      <c r="B715" t="n">
        <v>128</v>
      </c>
      <c r="C715" t="inlineStr">
        <is>
          <t>Love Cabaret</t>
        </is>
      </c>
      <c r="D715" t="inlineStr">
        <is>
          <t>Saldo Inicial</t>
        </is>
      </c>
      <c r="E715" s="27" t="n">
        <v>45699</v>
      </c>
      <c r="F715" s="27" t="n">
        <v>45699</v>
      </c>
      <c r="G715" t="n">
        <v>0</v>
      </c>
    </row>
    <row r="716">
      <c r="A716" t="n">
        <v>17643</v>
      </c>
      <c r="B716" t="n">
        <v>128</v>
      </c>
      <c r="C716" t="inlineStr">
        <is>
          <t>Love Cabaret</t>
        </is>
      </c>
      <c r="D716" t="inlineStr">
        <is>
          <t>Cartão de Crédito integrado Zig</t>
        </is>
      </c>
      <c r="E716" s="27" t="n">
        <v>45699</v>
      </c>
      <c r="F716" s="27" t="n">
        <v>45668</v>
      </c>
      <c r="G716" t="n">
        <v>14569.91</v>
      </c>
    </row>
    <row r="717">
      <c r="A717" t="n">
        <v>17535</v>
      </c>
      <c r="B717" t="n">
        <v>128</v>
      </c>
      <c r="C717" t="inlineStr">
        <is>
          <t>Love Cabaret</t>
        </is>
      </c>
      <c r="D717" t="inlineStr">
        <is>
          <t>Saldo Inicial</t>
        </is>
      </c>
      <c r="E717" s="27" t="n">
        <v>45698</v>
      </c>
      <c r="F717" s="27" t="n">
        <v>45698</v>
      </c>
      <c r="G717" t="n">
        <v>32376.14</v>
      </c>
    </row>
    <row r="718">
      <c r="A718" t="n">
        <v>17536</v>
      </c>
      <c r="B718" t="n">
        <v>128</v>
      </c>
      <c r="C718" t="inlineStr">
        <is>
          <t>Love Cabaret</t>
        </is>
      </c>
      <c r="D718" t="inlineStr">
        <is>
          <t>Cartão de Crédito integrado Zig</t>
        </is>
      </c>
      <c r="E718" s="27" t="n">
        <v>45698</v>
      </c>
      <c r="F718" s="27" t="n">
        <v>45667</v>
      </c>
      <c r="G718" t="n">
        <v>14593.03</v>
      </c>
    </row>
    <row r="719">
      <c r="A719" t="n">
        <v>17537</v>
      </c>
      <c r="B719" t="n">
        <v>128</v>
      </c>
      <c r="C719" t="inlineStr">
        <is>
          <t>Love Cabaret</t>
        </is>
      </c>
      <c r="D719" t="inlineStr">
        <is>
          <t>Saque</t>
        </is>
      </c>
      <c r="E719" s="27" t="n">
        <v>45698</v>
      </c>
      <c r="F719" s="27" t="n">
        <v>45698</v>
      </c>
      <c r="G719" t="n">
        <v>-46969.17</v>
      </c>
    </row>
    <row r="720">
      <c r="A720" t="n">
        <v>17434</v>
      </c>
      <c r="B720" t="n">
        <v>128</v>
      </c>
      <c r="C720" t="inlineStr">
        <is>
          <t>Love Cabaret</t>
        </is>
      </c>
      <c r="D720" t="inlineStr">
        <is>
          <t>Taxa de sistema sobre receita de Bar</t>
        </is>
      </c>
      <c r="E720" s="27" t="n">
        <v>45697</v>
      </c>
      <c r="F720" s="27" t="n">
        <v>45696</v>
      </c>
      <c r="G720" t="n">
        <v>-135.47</v>
      </c>
    </row>
    <row r="721">
      <c r="A721" t="n">
        <v>17433</v>
      </c>
      <c r="B721" t="n">
        <v>128</v>
      </c>
      <c r="C721" t="inlineStr">
        <is>
          <t>Love Cabaret</t>
        </is>
      </c>
      <c r="D721" t="inlineStr">
        <is>
          <t>Cartão de Débito integrado Zig</t>
        </is>
      </c>
      <c r="E721" s="27" t="n">
        <v>45697</v>
      </c>
      <c r="F721" s="27" t="n">
        <v>45696</v>
      </c>
      <c r="G721" t="n">
        <v>6347.3</v>
      </c>
    </row>
    <row r="722">
      <c r="A722" t="n">
        <v>17431</v>
      </c>
      <c r="B722" t="n">
        <v>128</v>
      </c>
      <c r="C722" t="inlineStr">
        <is>
          <t>Love Cabaret</t>
        </is>
      </c>
      <c r="D722" t="inlineStr">
        <is>
          <t>Saldo Inicial</t>
        </is>
      </c>
      <c r="E722" s="27" t="n">
        <v>45697</v>
      </c>
      <c r="F722" s="27" t="n">
        <v>45697</v>
      </c>
      <c r="G722" t="n">
        <v>14969.21</v>
      </c>
    </row>
    <row r="723">
      <c r="A723" t="n">
        <v>17432</v>
      </c>
      <c r="B723" t="n">
        <v>128</v>
      </c>
      <c r="C723" t="inlineStr">
        <is>
          <t>Love Cabaret</t>
        </is>
      </c>
      <c r="D723" t="inlineStr">
        <is>
          <t>Cartão de Crédito integrado Zig</t>
        </is>
      </c>
      <c r="E723" s="27" t="n">
        <v>45697</v>
      </c>
      <c r="F723" s="27" t="n">
        <v>45666</v>
      </c>
      <c r="G723" t="n">
        <v>11195.1</v>
      </c>
    </row>
    <row r="724">
      <c r="A724" t="n">
        <v>17342</v>
      </c>
      <c r="B724" t="n">
        <v>128</v>
      </c>
      <c r="C724" t="inlineStr">
        <is>
          <t>Love Cabaret</t>
        </is>
      </c>
      <c r="D724" t="inlineStr">
        <is>
          <t>Saldo Inicial</t>
        </is>
      </c>
      <c r="E724" s="27" t="n">
        <v>45696</v>
      </c>
      <c r="F724" s="27" t="n">
        <v>45696</v>
      </c>
      <c r="G724" t="n">
        <v>10776.99</v>
      </c>
    </row>
    <row r="725">
      <c r="A725" t="n">
        <v>17343</v>
      </c>
      <c r="B725" t="n">
        <v>128</v>
      </c>
      <c r="C725" t="inlineStr">
        <is>
          <t>Love Cabaret</t>
        </is>
      </c>
      <c r="D725" t="inlineStr">
        <is>
          <t>Cartão de Débito integrado Zig</t>
        </is>
      </c>
      <c r="E725" s="27" t="n">
        <v>45696</v>
      </c>
      <c r="F725" s="27" t="n">
        <v>45695</v>
      </c>
      <c r="G725" t="n">
        <v>3634.63</v>
      </c>
    </row>
    <row r="726">
      <c r="A726" t="n">
        <v>17344</v>
      </c>
      <c r="B726" t="n">
        <v>128</v>
      </c>
      <c r="C726" t="inlineStr">
        <is>
          <t>Love Cabaret</t>
        </is>
      </c>
      <c r="D726" t="inlineStr">
        <is>
          <t>Taxa de sistema sobre receita de Bar</t>
        </is>
      </c>
      <c r="E726" s="27" t="n">
        <v>45696</v>
      </c>
      <c r="F726" s="27" t="n">
        <v>45695</v>
      </c>
      <c r="G726" t="n">
        <v>-130.22</v>
      </c>
    </row>
    <row r="727">
      <c r="A727" t="n">
        <v>17345</v>
      </c>
      <c r="B727" t="n">
        <v>128</v>
      </c>
      <c r="C727" t="inlineStr">
        <is>
          <t>Love Cabaret</t>
        </is>
      </c>
      <c r="D727" t="inlineStr">
        <is>
          <t>Transações via Pix</t>
        </is>
      </c>
      <c r="E727" s="27" t="n">
        <v>45696</v>
      </c>
      <c r="F727" s="27" t="n">
        <v>45696</v>
      </c>
      <c r="G727" t="n">
        <v>687.8099999999999</v>
      </c>
    </row>
    <row r="728">
      <c r="A728" t="n">
        <v>17254</v>
      </c>
      <c r="B728" t="n">
        <v>128</v>
      </c>
      <c r="C728" t="inlineStr">
        <is>
          <t>Love Cabaret</t>
        </is>
      </c>
      <c r="D728" t="inlineStr">
        <is>
          <t>Transações via Pix</t>
        </is>
      </c>
      <c r="E728" s="27" t="n">
        <v>45695</v>
      </c>
      <c r="F728" s="27" t="n">
        <v>45695</v>
      </c>
      <c r="G728" t="n">
        <v>1028.25</v>
      </c>
    </row>
    <row r="729">
      <c r="A729" t="n">
        <v>17253</v>
      </c>
      <c r="B729" t="n">
        <v>128</v>
      </c>
      <c r="C729" t="inlineStr">
        <is>
          <t>Love Cabaret</t>
        </is>
      </c>
      <c r="D729" t="inlineStr">
        <is>
          <t>Taxa de sistema sobre receita de Bar</t>
        </is>
      </c>
      <c r="E729" s="27" t="n">
        <v>45695</v>
      </c>
      <c r="F729" s="27" t="n">
        <v>45694</v>
      </c>
      <c r="G729" t="n">
        <v>-239.1</v>
      </c>
    </row>
    <row r="730">
      <c r="A730" t="n">
        <v>17252</v>
      </c>
      <c r="B730" t="n">
        <v>128</v>
      </c>
      <c r="C730" t="inlineStr">
        <is>
          <t>Love Cabaret</t>
        </is>
      </c>
      <c r="D730" t="inlineStr">
        <is>
          <t>Cartão de Débito integrado Zig</t>
        </is>
      </c>
      <c r="E730" s="27" t="n">
        <v>45695</v>
      </c>
      <c r="F730" s="27" t="n">
        <v>45694</v>
      </c>
      <c r="G730" t="n">
        <v>7380.11</v>
      </c>
    </row>
    <row r="731">
      <c r="A731" t="n">
        <v>17251</v>
      </c>
      <c r="B731" t="n">
        <v>128</v>
      </c>
      <c r="C731" t="inlineStr">
        <is>
          <t>Love Cabaret</t>
        </is>
      </c>
      <c r="D731" t="inlineStr">
        <is>
          <t>Saldo Inicial</t>
        </is>
      </c>
      <c r="E731" s="27" t="n">
        <v>45695</v>
      </c>
      <c r="F731" s="27" t="n">
        <v>45695</v>
      </c>
      <c r="G731" t="n">
        <v>2607.73</v>
      </c>
    </row>
    <row r="732">
      <c r="A732" t="n">
        <v>17154</v>
      </c>
      <c r="B732" t="n">
        <v>128</v>
      </c>
      <c r="C732" t="inlineStr">
        <is>
          <t>Love Cabaret</t>
        </is>
      </c>
      <c r="D732" t="inlineStr">
        <is>
          <t>Saldo Inicial</t>
        </is>
      </c>
      <c r="E732" s="27" t="n">
        <v>45694</v>
      </c>
      <c r="F732" s="27" t="n">
        <v>45694</v>
      </c>
      <c r="G732" t="n">
        <v>-2.05</v>
      </c>
    </row>
    <row r="733">
      <c r="A733" t="n">
        <v>17155</v>
      </c>
      <c r="B733" t="n">
        <v>128</v>
      </c>
      <c r="C733" t="inlineStr">
        <is>
          <t>Love Cabaret</t>
        </is>
      </c>
      <c r="D733" t="inlineStr">
        <is>
          <t>Transações via Pix</t>
        </is>
      </c>
      <c r="E733" s="27" t="n">
        <v>45694</v>
      </c>
      <c r="F733" s="27" t="n">
        <v>45694</v>
      </c>
      <c r="G733" t="n">
        <v>2609.78</v>
      </c>
    </row>
    <row r="734">
      <c r="A734" t="n">
        <v>17063</v>
      </c>
      <c r="B734" t="n">
        <v>128</v>
      </c>
      <c r="C734" t="inlineStr">
        <is>
          <t>Love Cabaret</t>
        </is>
      </c>
      <c r="D734" t="inlineStr">
        <is>
          <t>Saldo Inicial</t>
        </is>
      </c>
      <c r="E734" s="27" t="n">
        <v>45693</v>
      </c>
      <c r="F734" s="27" t="n">
        <v>45693</v>
      </c>
      <c r="G734" t="n">
        <v>0</v>
      </c>
    </row>
    <row r="735">
      <c r="A735" t="n">
        <v>17064</v>
      </c>
      <c r="B735" t="n">
        <v>128</v>
      </c>
      <c r="C735" t="inlineStr">
        <is>
          <t>Love Cabaret</t>
        </is>
      </c>
      <c r="D735" t="inlineStr">
        <is>
          <t>Taxa de sistema sobre receita de Bar</t>
        </is>
      </c>
      <c r="E735" s="27" t="n">
        <v>45693</v>
      </c>
      <c r="F735" s="27" t="n">
        <v>45692</v>
      </c>
      <c r="G735" t="n">
        <v>-2.05</v>
      </c>
    </row>
    <row r="736">
      <c r="A736" t="n">
        <v>16972</v>
      </c>
      <c r="B736" t="n">
        <v>128</v>
      </c>
      <c r="C736" t="inlineStr">
        <is>
          <t>Love Cabaret</t>
        </is>
      </c>
      <c r="D736" t="inlineStr">
        <is>
          <t>Saldo Inicial</t>
        </is>
      </c>
      <c r="E736" s="27" t="n">
        <v>45692</v>
      </c>
      <c r="F736" s="27" t="n">
        <v>45692</v>
      </c>
      <c r="G736" t="n">
        <v>18347</v>
      </c>
    </row>
    <row r="737">
      <c r="A737" t="n">
        <v>16973</v>
      </c>
      <c r="B737" t="n">
        <v>128</v>
      </c>
      <c r="C737" t="inlineStr">
        <is>
          <t>Love Cabaret</t>
        </is>
      </c>
      <c r="D737" t="inlineStr">
        <is>
          <t>Saque</t>
        </is>
      </c>
      <c r="E737" s="27" t="n">
        <v>45692</v>
      </c>
      <c r="F737" s="27" t="n">
        <v>45692</v>
      </c>
      <c r="G737" t="n">
        <v>-18347</v>
      </c>
    </row>
    <row r="738">
      <c r="A738" t="n">
        <v>16901</v>
      </c>
      <c r="B738" t="n">
        <v>128</v>
      </c>
      <c r="C738" t="inlineStr">
        <is>
          <t>Love Cabaret</t>
        </is>
      </c>
      <c r="D738" t="inlineStr">
        <is>
          <t>Saldo Inicial</t>
        </is>
      </c>
      <c r="E738" s="27" t="n">
        <v>45691</v>
      </c>
      <c r="F738" s="27" t="n">
        <v>45691</v>
      </c>
      <c r="G738" t="n">
        <v>18347</v>
      </c>
    </row>
    <row r="739">
      <c r="A739" t="n">
        <v>16820</v>
      </c>
      <c r="B739" t="n">
        <v>128</v>
      </c>
      <c r="C739" t="inlineStr">
        <is>
          <t>Love Cabaret</t>
        </is>
      </c>
      <c r="D739" t="inlineStr">
        <is>
          <t>Taxa de sistema sobre receita de Bar</t>
        </is>
      </c>
      <c r="E739" s="27" t="n">
        <v>45690</v>
      </c>
      <c r="F739" s="27" t="n">
        <v>45689</v>
      </c>
      <c r="G739" t="n">
        <v>-202.14</v>
      </c>
    </row>
    <row r="740">
      <c r="A740" t="n">
        <v>16818</v>
      </c>
      <c r="B740" t="n">
        <v>128</v>
      </c>
      <c r="C740" t="inlineStr">
        <is>
          <t>Love Cabaret</t>
        </is>
      </c>
      <c r="D740" t="inlineStr">
        <is>
          <t>Saldo Inicial</t>
        </is>
      </c>
      <c r="E740" s="27" t="n">
        <v>45690</v>
      </c>
      <c r="F740" s="27" t="n">
        <v>45690</v>
      </c>
      <c r="G740" t="n">
        <v>11116.89</v>
      </c>
    </row>
    <row r="741">
      <c r="A741" t="n">
        <v>16819</v>
      </c>
      <c r="B741" t="n">
        <v>128</v>
      </c>
      <c r="C741" t="inlineStr">
        <is>
          <t>Love Cabaret</t>
        </is>
      </c>
      <c r="D741" t="inlineStr">
        <is>
          <t>Cartão de Débito integrado Zig</t>
        </is>
      </c>
      <c r="E741" s="27" t="n">
        <v>45690</v>
      </c>
      <c r="F741" s="27" t="n">
        <v>45689</v>
      </c>
      <c r="G741" t="n">
        <v>7432.25</v>
      </c>
    </row>
    <row r="742">
      <c r="A742" t="n">
        <v>16718</v>
      </c>
      <c r="B742" t="n">
        <v>128</v>
      </c>
      <c r="C742" t="inlineStr">
        <is>
          <t>Love Cabaret</t>
        </is>
      </c>
      <c r="D742" t="inlineStr">
        <is>
          <t>Saldo Inicial</t>
        </is>
      </c>
      <c r="E742" s="27" t="n">
        <v>45689</v>
      </c>
      <c r="F742" s="27" t="n">
        <v>45689</v>
      </c>
      <c r="G742" t="n">
        <v>5922.9</v>
      </c>
    </row>
    <row r="743">
      <c r="A743" t="n">
        <v>16719</v>
      </c>
      <c r="B743" t="n">
        <v>128</v>
      </c>
      <c r="C743" t="inlineStr">
        <is>
          <t>Love Cabaret</t>
        </is>
      </c>
      <c r="D743" t="inlineStr">
        <is>
          <t>Cartão de Débito integrado Zig</t>
        </is>
      </c>
      <c r="E743" s="27" t="n">
        <v>45689</v>
      </c>
      <c r="F743" s="27" t="n">
        <v>45688</v>
      </c>
      <c r="G743" t="n">
        <v>4211.77</v>
      </c>
    </row>
    <row r="744">
      <c r="A744" t="n">
        <v>16720</v>
      </c>
      <c r="B744" t="n">
        <v>128</v>
      </c>
      <c r="C744" t="inlineStr">
        <is>
          <t>Love Cabaret</t>
        </is>
      </c>
      <c r="D744" t="inlineStr">
        <is>
          <t>Taxa de sistema sobre receita de Bar</t>
        </is>
      </c>
      <c r="E744" s="27" t="n">
        <v>45689</v>
      </c>
      <c r="F744" s="27" t="n">
        <v>45688</v>
      </c>
      <c r="G744" t="n">
        <v>-137.61</v>
      </c>
    </row>
    <row r="745">
      <c r="A745" t="n">
        <v>16721</v>
      </c>
      <c r="B745" t="n">
        <v>128</v>
      </c>
      <c r="C745" t="inlineStr">
        <is>
          <t>Love Cabaret</t>
        </is>
      </c>
      <c r="D745" t="inlineStr">
        <is>
          <t>Cobrança geral - Z0101 - Ref.:10Pdv's R$20 cada</t>
        </is>
      </c>
      <c r="E745" s="27" t="n">
        <v>45689</v>
      </c>
      <c r="F745" s="27" t="n">
        <v>45689</v>
      </c>
      <c r="G745" t="n">
        <v>-200</v>
      </c>
    </row>
    <row r="746">
      <c r="A746" t="n">
        <v>16722</v>
      </c>
      <c r="B746" t="n">
        <v>128</v>
      </c>
      <c r="C746" t="inlineStr">
        <is>
          <t>Love Cabaret</t>
        </is>
      </c>
      <c r="D746" t="inlineStr">
        <is>
          <t>Cobrança geral - Z0101 - Ref.:16 Smartpos R$20 cada</t>
        </is>
      </c>
      <c r="E746" s="27" t="n">
        <v>45689</v>
      </c>
      <c r="F746" s="27" t="n">
        <v>45689</v>
      </c>
      <c r="G746" t="n">
        <v>-320</v>
      </c>
    </row>
    <row r="747">
      <c r="A747" t="n">
        <v>16723</v>
      </c>
      <c r="B747" t="n">
        <v>128</v>
      </c>
      <c r="C747" t="inlineStr">
        <is>
          <t>Love Cabaret</t>
        </is>
      </c>
      <c r="D747" t="inlineStr">
        <is>
          <t>Transações via Pix</t>
        </is>
      </c>
      <c r="E747" s="27" t="n">
        <v>45689</v>
      </c>
      <c r="F747" s="27" t="n">
        <v>45689</v>
      </c>
      <c r="G747" t="n">
        <v>1639.83</v>
      </c>
    </row>
    <row r="748">
      <c r="A748" t="n">
        <v>16613</v>
      </c>
      <c r="B748" t="n">
        <v>128</v>
      </c>
      <c r="C748" t="inlineStr">
        <is>
          <t>Love Cabaret</t>
        </is>
      </c>
      <c r="D748" t="inlineStr">
        <is>
          <t>Transações via Pix</t>
        </is>
      </c>
      <c r="E748" s="27" t="n">
        <v>45688</v>
      </c>
      <c r="F748" s="27" t="n">
        <v>45688</v>
      </c>
      <c r="G748" t="n">
        <v>1555.37</v>
      </c>
    </row>
    <row r="749">
      <c r="A749" t="n">
        <v>16612</v>
      </c>
      <c r="B749" t="n">
        <v>128</v>
      </c>
      <c r="C749" t="inlineStr">
        <is>
          <t>Love Cabaret</t>
        </is>
      </c>
      <c r="D749" t="inlineStr">
        <is>
          <t>Taxa de sistema sobre receita de Bar</t>
        </is>
      </c>
      <c r="E749" s="27" t="n">
        <v>45688</v>
      </c>
      <c r="F749" s="27" t="n">
        <v>45687</v>
      </c>
      <c r="G749" t="n">
        <v>-85.65000000000001</v>
      </c>
    </row>
    <row r="750">
      <c r="A750" t="n">
        <v>16611</v>
      </c>
      <c r="B750" t="n">
        <v>128</v>
      </c>
      <c r="C750" t="inlineStr">
        <is>
          <t>Love Cabaret</t>
        </is>
      </c>
      <c r="D750" t="inlineStr">
        <is>
          <t>Cartão de Débito integrado Zig</t>
        </is>
      </c>
      <c r="E750" s="27" t="n">
        <v>45688</v>
      </c>
      <c r="F750" s="27" t="n">
        <v>45687</v>
      </c>
      <c r="G750" t="n">
        <v>4322.34</v>
      </c>
    </row>
    <row r="751">
      <c r="A751" t="n">
        <v>16610</v>
      </c>
      <c r="B751" t="n">
        <v>128</v>
      </c>
      <c r="C751" t="inlineStr">
        <is>
          <t>Love Cabaret</t>
        </is>
      </c>
      <c r="D751" t="inlineStr">
        <is>
          <t>Saldo Inicial</t>
        </is>
      </c>
      <c r="E751" s="27" t="n">
        <v>45688</v>
      </c>
      <c r="F751" s="27" t="n">
        <v>45688</v>
      </c>
      <c r="G751" t="n">
        <v>130.84</v>
      </c>
    </row>
    <row r="752">
      <c r="A752" t="n">
        <v>16504</v>
      </c>
      <c r="B752" t="n">
        <v>128</v>
      </c>
      <c r="C752" t="inlineStr">
        <is>
          <t>Love Cabaret</t>
        </is>
      </c>
      <c r="D752" t="inlineStr">
        <is>
          <t>Saldo Inicial</t>
        </is>
      </c>
      <c r="E752" s="27" t="n">
        <v>45687</v>
      </c>
      <c r="F752" s="27" t="n">
        <v>45687</v>
      </c>
      <c r="G752" t="n">
        <v>0</v>
      </c>
    </row>
    <row r="753">
      <c r="A753" t="n">
        <v>16505</v>
      </c>
      <c r="B753" t="n">
        <v>128</v>
      </c>
      <c r="C753" t="inlineStr">
        <is>
          <t>Love Cabaret</t>
        </is>
      </c>
      <c r="D753" t="inlineStr">
        <is>
          <t>Transações via Pix</t>
        </is>
      </c>
      <c r="E753" s="27" t="n">
        <v>45687</v>
      </c>
      <c r="F753" s="27" t="n">
        <v>45687</v>
      </c>
      <c r="G753" t="n">
        <v>130.84</v>
      </c>
    </row>
    <row r="754">
      <c r="A754" t="n">
        <v>16398</v>
      </c>
      <c r="B754" t="n">
        <v>128</v>
      </c>
      <c r="C754" t="inlineStr">
        <is>
          <t>Love Cabaret</t>
        </is>
      </c>
      <c r="D754" t="inlineStr">
        <is>
          <t>Saldo Inicial</t>
        </is>
      </c>
      <c r="E754" s="27" t="n">
        <v>45686</v>
      </c>
      <c r="F754" s="27" t="n">
        <v>45686</v>
      </c>
      <c r="G754" t="n">
        <v>0</v>
      </c>
    </row>
    <row r="755">
      <c r="A755" t="n">
        <v>16298</v>
      </c>
      <c r="B755" t="n">
        <v>128</v>
      </c>
      <c r="C755" t="inlineStr">
        <is>
          <t>Love Cabaret</t>
        </is>
      </c>
      <c r="D755" t="inlineStr">
        <is>
          <t>Saldo Inicial</t>
        </is>
      </c>
      <c r="E755" s="27" t="n">
        <v>45685</v>
      </c>
      <c r="F755" s="27" t="n">
        <v>45685</v>
      </c>
      <c r="G755" t="n">
        <v>0</v>
      </c>
    </row>
    <row r="756">
      <c r="A756" t="n">
        <v>16181</v>
      </c>
      <c r="B756" t="n">
        <v>128</v>
      </c>
      <c r="C756" t="inlineStr">
        <is>
          <t>Love Cabaret</t>
        </is>
      </c>
      <c r="D756" t="inlineStr">
        <is>
          <t>Saldo Inicial</t>
        </is>
      </c>
      <c r="E756" s="27" t="n">
        <v>45684</v>
      </c>
      <c r="F756" s="27" t="n">
        <v>45684</v>
      </c>
      <c r="G756" t="n">
        <v>20199.14</v>
      </c>
    </row>
    <row r="757">
      <c r="A757" t="n">
        <v>16182</v>
      </c>
      <c r="B757" t="n">
        <v>128</v>
      </c>
      <c r="C757" t="inlineStr">
        <is>
          <t>Love Cabaret</t>
        </is>
      </c>
      <c r="D757" t="inlineStr">
        <is>
          <t>Saque</t>
        </is>
      </c>
      <c r="E757" s="27" t="n">
        <v>45684</v>
      </c>
      <c r="F757" s="27" t="n">
        <v>45684</v>
      </c>
      <c r="G757" t="n">
        <v>-20199.14</v>
      </c>
    </row>
    <row r="758">
      <c r="A758" t="n">
        <v>16064</v>
      </c>
      <c r="B758" t="n">
        <v>128</v>
      </c>
      <c r="C758" t="inlineStr">
        <is>
          <t>Love Cabaret</t>
        </is>
      </c>
      <c r="D758" t="inlineStr">
        <is>
          <t>Taxa de sistema sobre receita de Bar</t>
        </is>
      </c>
      <c r="E758" s="27" t="n">
        <v>45683</v>
      </c>
      <c r="F758" s="27" t="n">
        <v>45683</v>
      </c>
      <c r="G758" t="n">
        <v>-213.33</v>
      </c>
    </row>
    <row r="759">
      <c r="A759" t="n">
        <v>16061</v>
      </c>
      <c r="B759" t="n">
        <v>128</v>
      </c>
      <c r="C759" t="inlineStr">
        <is>
          <t>Love Cabaret</t>
        </is>
      </c>
      <c r="D759" t="inlineStr">
        <is>
          <t>Saldo Inicial</t>
        </is>
      </c>
      <c r="E759" s="27" t="n">
        <v>45683</v>
      </c>
      <c r="F759" s="27" t="n">
        <v>45683</v>
      </c>
      <c r="G759" t="n">
        <v>12759.18</v>
      </c>
    </row>
    <row r="760">
      <c r="A760" t="n">
        <v>16062</v>
      </c>
      <c r="B760" t="n">
        <v>128</v>
      </c>
      <c r="C760" t="inlineStr">
        <is>
          <t>Love Cabaret</t>
        </is>
      </c>
      <c r="D760" t="inlineStr">
        <is>
          <t>Transações via Pix</t>
        </is>
      </c>
      <c r="E760" s="27" t="n">
        <v>45683</v>
      </c>
      <c r="F760" s="27" t="n">
        <v>45683</v>
      </c>
      <c r="G760" t="n">
        <v>847.21</v>
      </c>
    </row>
    <row r="761">
      <c r="A761" t="n">
        <v>16063</v>
      </c>
      <c r="B761" t="n">
        <v>128</v>
      </c>
      <c r="C761" t="inlineStr">
        <is>
          <t>Love Cabaret</t>
        </is>
      </c>
      <c r="D761" t="inlineStr">
        <is>
          <t>Cartão de Débito integrado Zig</t>
        </is>
      </c>
      <c r="E761" s="27" t="n">
        <v>45683</v>
      </c>
      <c r="F761" s="27" t="n">
        <v>45683</v>
      </c>
      <c r="G761" t="n">
        <v>6806.08</v>
      </c>
    </row>
    <row r="762">
      <c r="A762" t="n">
        <v>15962</v>
      </c>
      <c r="B762" t="n">
        <v>128</v>
      </c>
      <c r="C762" t="inlineStr">
        <is>
          <t>Love Cabaret</t>
        </is>
      </c>
      <c r="D762" t="inlineStr">
        <is>
          <t>Saldo Inicial</t>
        </is>
      </c>
      <c r="E762" s="27" t="n">
        <v>45682</v>
      </c>
      <c r="F762" s="27" t="n">
        <v>45682</v>
      </c>
      <c r="G762" t="n">
        <v>9033.23</v>
      </c>
    </row>
    <row r="763">
      <c r="A763" t="n">
        <v>15963</v>
      </c>
      <c r="B763" t="n">
        <v>128</v>
      </c>
      <c r="C763" t="inlineStr">
        <is>
          <t>Love Cabaret</t>
        </is>
      </c>
      <c r="D763" t="inlineStr">
        <is>
          <t>Cartão de Débito integrado Zig</t>
        </is>
      </c>
      <c r="E763" s="27" t="n">
        <v>45682</v>
      </c>
      <c r="F763" s="27" t="n">
        <v>45681</v>
      </c>
      <c r="G763" t="n">
        <v>3884.41</v>
      </c>
    </row>
    <row r="764">
      <c r="A764" t="n">
        <v>15964</v>
      </c>
      <c r="B764" t="n">
        <v>128</v>
      </c>
      <c r="C764" t="inlineStr">
        <is>
          <t>Love Cabaret</t>
        </is>
      </c>
      <c r="D764" t="inlineStr">
        <is>
          <t>Taxa de sistema sobre receita de Bar</t>
        </is>
      </c>
      <c r="E764" s="27" t="n">
        <v>45682</v>
      </c>
      <c r="F764" s="27" t="n">
        <v>45681</v>
      </c>
      <c r="G764" t="n">
        <v>-158.46</v>
      </c>
    </row>
    <row r="765">
      <c r="A765" t="n">
        <v>15870</v>
      </c>
      <c r="B765" t="n">
        <v>128</v>
      </c>
      <c r="C765" t="inlineStr">
        <is>
          <t>Love Cabaret</t>
        </is>
      </c>
      <c r="D765" t="inlineStr">
        <is>
          <t>Taxa de sistema sobre receita de Bar</t>
        </is>
      </c>
      <c r="E765" s="27" t="n">
        <v>45681</v>
      </c>
      <c r="F765" s="27" t="n">
        <v>45680</v>
      </c>
      <c r="G765" t="n">
        <v>-174.99</v>
      </c>
    </row>
    <row r="766">
      <c r="A766" t="n">
        <v>15871</v>
      </c>
      <c r="B766" t="n">
        <v>128</v>
      </c>
      <c r="C766" t="inlineStr">
        <is>
          <t>Love Cabaret</t>
        </is>
      </c>
      <c r="D766" t="inlineStr">
        <is>
          <t>Transações via Pix</t>
        </is>
      </c>
      <c r="E766" s="27" t="n">
        <v>45681</v>
      </c>
      <c r="F766" s="27" t="n">
        <v>45681</v>
      </c>
      <c r="G766" t="n">
        <v>2250.73</v>
      </c>
    </row>
    <row r="767">
      <c r="A767" t="n">
        <v>15868</v>
      </c>
      <c r="B767" t="n">
        <v>128</v>
      </c>
      <c r="C767" t="inlineStr">
        <is>
          <t>Love Cabaret</t>
        </is>
      </c>
      <c r="D767" t="inlineStr">
        <is>
          <t>Saldo Inicial</t>
        </is>
      </c>
      <c r="E767" s="27" t="n">
        <v>45681</v>
      </c>
      <c r="F767" s="27" t="n">
        <v>45681</v>
      </c>
      <c r="G767" t="n">
        <v>558.22</v>
      </c>
    </row>
    <row r="768">
      <c r="A768" t="n">
        <v>15869</v>
      </c>
      <c r="B768" t="n">
        <v>128</v>
      </c>
      <c r="C768" t="inlineStr">
        <is>
          <t>Love Cabaret</t>
        </is>
      </c>
      <c r="D768" t="inlineStr">
        <is>
          <t>Cartão de Débito integrado Zig</t>
        </is>
      </c>
      <c r="E768" s="27" t="n">
        <v>45681</v>
      </c>
      <c r="F768" s="27" t="n">
        <v>45680</v>
      </c>
      <c r="G768" t="n">
        <v>6399.27</v>
      </c>
    </row>
    <row r="769">
      <c r="A769" t="n">
        <v>15763</v>
      </c>
      <c r="B769" t="n">
        <v>128</v>
      </c>
      <c r="C769" t="inlineStr">
        <is>
          <t>Love Cabaret</t>
        </is>
      </c>
      <c r="D769" t="inlineStr">
        <is>
          <t>Transações via Pix</t>
        </is>
      </c>
      <c r="E769" s="27" t="n">
        <v>45680</v>
      </c>
      <c r="F769" s="27" t="n">
        <v>45680</v>
      </c>
      <c r="G769" t="n">
        <v>558.22</v>
      </c>
    </row>
    <row r="770">
      <c r="A770" t="n">
        <v>15762</v>
      </c>
      <c r="B770" t="n">
        <v>128</v>
      </c>
      <c r="C770" t="inlineStr">
        <is>
          <t>Love Cabaret</t>
        </is>
      </c>
      <c r="D770" t="inlineStr">
        <is>
          <t>Saldo Inicial</t>
        </is>
      </c>
      <c r="E770" s="27" t="n">
        <v>45680</v>
      </c>
      <c r="F770" s="27" t="n">
        <v>45680</v>
      </c>
      <c r="G770" t="n">
        <v>0</v>
      </c>
    </row>
    <row r="771">
      <c r="A771" t="n">
        <v>15664</v>
      </c>
      <c r="B771" t="n">
        <v>128</v>
      </c>
      <c r="C771" t="inlineStr">
        <is>
          <t>Love Cabaret</t>
        </is>
      </c>
      <c r="D771" t="inlineStr">
        <is>
          <t>Saldo Inicial</t>
        </is>
      </c>
      <c r="E771" s="27" t="n">
        <v>45679</v>
      </c>
      <c r="F771" s="27" t="n">
        <v>45679</v>
      </c>
      <c r="G771" t="n">
        <v>0</v>
      </c>
    </row>
    <row r="772">
      <c r="A772" t="n">
        <v>15560</v>
      </c>
      <c r="B772" t="n">
        <v>128</v>
      </c>
      <c r="C772" t="inlineStr">
        <is>
          <t>Love Cabaret</t>
        </is>
      </c>
      <c r="D772" t="inlineStr">
        <is>
          <t>Saldo Inicial</t>
        </is>
      </c>
      <c r="E772" s="27" t="n">
        <v>45678</v>
      </c>
      <c r="F772" s="27" t="n">
        <v>45678</v>
      </c>
      <c r="G772" t="n">
        <v>0</v>
      </c>
    </row>
    <row r="773">
      <c r="A773" t="n">
        <v>15561</v>
      </c>
      <c r="B773" t="n">
        <v>128</v>
      </c>
      <c r="C773" t="inlineStr">
        <is>
          <t>Love Cabaret</t>
        </is>
      </c>
      <c r="D773" t="inlineStr">
        <is>
          <t>Cartão de Crédito integrado Zig</t>
        </is>
      </c>
      <c r="E773" s="27" t="n">
        <v>45678</v>
      </c>
      <c r="F773" s="27" t="n">
        <v>45647</v>
      </c>
      <c r="G773" t="n">
        <v>9539.58</v>
      </c>
    </row>
    <row r="774">
      <c r="A774" t="n">
        <v>15562</v>
      </c>
      <c r="B774" t="n">
        <v>128</v>
      </c>
      <c r="C774" t="inlineStr">
        <is>
          <t>Love Cabaret</t>
        </is>
      </c>
      <c r="D774" t="inlineStr">
        <is>
          <t>Saque</t>
        </is>
      </c>
      <c r="E774" s="27" t="n">
        <v>45678</v>
      </c>
      <c r="F774" s="27" t="n">
        <v>45678</v>
      </c>
      <c r="G774" t="n">
        <v>-9539.58</v>
      </c>
    </row>
    <row r="775">
      <c r="A775" t="n">
        <v>15452</v>
      </c>
      <c r="B775" t="n">
        <v>128</v>
      </c>
      <c r="C775" t="inlineStr">
        <is>
          <t>Love Cabaret</t>
        </is>
      </c>
      <c r="D775" t="inlineStr">
        <is>
          <t>Saque</t>
        </is>
      </c>
      <c r="E775" s="27" t="n">
        <v>45677</v>
      </c>
      <c r="F775" s="27" t="n">
        <v>45677</v>
      </c>
      <c r="G775" t="n">
        <v>-38846.8</v>
      </c>
    </row>
    <row r="776">
      <c r="A776" t="n">
        <v>15451</v>
      </c>
      <c r="B776" t="n">
        <v>128</v>
      </c>
      <c r="C776" t="inlineStr">
        <is>
          <t>Love Cabaret</t>
        </is>
      </c>
      <c r="D776" t="inlineStr">
        <is>
          <t>Cartão de Crédito integrado Zig</t>
        </is>
      </c>
      <c r="E776" s="27" t="n">
        <v>45677</v>
      </c>
      <c r="F776" s="27" t="n">
        <v>45646</v>
      </c>
      <c r="G776" t="n">
        <v>16199.93</v>
      </c>
    </row>
    <row r="777">
      <c r="A777" t="n">
        <v>15450</v>
      </c>
      <c r="B777" t="n">
        <v>128</v>
      </c>
      <c r="C777" t="inlineStr">
        <is>
          <t>Love Cabaret</t>
        </is>
      </c>
      <c r="D777" t="inlineStr">
        <is>
          <t>Saldo Inicial</t>
        </is>
      </c>
      <c r="E777" s="27" t="n">
        <v>45677</v>
      </c>
      <c r="F777" s="27" t="n">
        <v>45677</v>
      </c>
      <c r="G777" t="n">
        <v>22646.87</v>
      </c>
    </row>
    <row r="778">
      <c r="A778" t="n">
        <v>15338</v>
      </c>
      <c r="B778" t="n">
        <v>128</v>
      </c>
      <c r="C778" t="inlineStr">
        <is>
          <t>Love Cabaret</t>
        </is>
      </c>
      <c r="D778" t="inlineStr">
        <is>
          <t>Saldo Inicial</t>
        </is>
      </c>
      <c r="E778" s="27" t="n">
        <v>45676</v>
      </c>
      <c r="F778" s="27" t="n">
        <v>45676</v>
      </c>
      <c r="G778" t="n">
        <v>15673.38</v>
      </c>
    </row>
    <row r="779">
      <c r="A779" t="n">
        <v>15340</v>
      </c>
      <c r="B779" t="n">
        <v>128</v>
      </c>
      <c r="C779" t="inlineStr">
        <is>
          <t>Love Cabaret</t>
        </is>
      </c>
      <c r="D779" t="inlineStr">
        <is>
          <t>Taxa de sistema sobre receita de Bar</t>
        </is>
      </c>
      <c r="E779" s="27" t="n">
        <v>45676</v>
      </c>
      <c r="F779" s="27" t="n">
        <v>45675</v>
      </c>
      <c r="G779" t="n">
        <v>-230.7</v>
      </c>
    </row>
    <row r="780">
      <c r="A780" t="n">
        <v>15339</v>
      </c>
      <c r="B780" t="n">
        <v>128</v>
      </c>
      <c r="C780" t="inlineStr">
        <is>
          <t>Love Cabaret</t>
        </is>
      </c>
      <c r="D780" t="inlineStr">
        <is>
          <t>Cartão de Débito integrado Zig</t>
        </is>
      </c>
      <c r="E780" s="27" t="n">
        <v>45676</v>
      </c>
      <c r="F780" s="27" t="n">
        <v>45675</v>
      </c>
      <c r="G780" t="n">
        <v>7204.19</v>
      </c>
    </row>
    <row r="781">
      <c r="A781" t="n">
        <v>15242</v>
      </c>
      <c r="B781" t="n">
        <v>128</v>
      </c>
      <c r="C781" t="inlineStr">
        <is>
          <t>Love Cabaret</t>
        </is>
      </c>
      <c r="D781" t="inlineStr">
        <is>
          <t>Transações via Pix</t>
        </is>
      </c>
      <c r="E781" s="27" t="n">
        <v>45675</v>
      </c>
      <c r="F781" s="27" t="n">
        <v>45675</v>
      </c>
      <c r="G781" t="n">
        <v>1519.55</v>
      </c>
    </row>
    <row r="782">
      <c r="A782" t="n">
        <v>15241</v>
      </c>
      <c r="B782" t="n">
        <v>128</v>
      </c>
      <c r="C782" t="inlineStr">
        <is>
          <t>Love Cabaret</t>
        </is>
      </c>
      <c r="D782" t="inlineStr">
        <is>
          <t>Taxa de sistema sobre receita de Bar</t>
        </is>
      </c>
      <c r="E782" s="27" t="n">
        <v>45675</v>
      </c>
      <c r="F782" s="27" t="n">
        <v>45674</v>
      </c>
      <c r="G782" t="n">
        <v>-206.11</v>
      </c>
    </row>
    <row r="783">
      <c r="A783" t="n">
        <v>15240</v>
      </c>
      <c r="B783" t="n">
        <v>128</v>
      </c>
      <c r="C783" t="inlineStr">
        <is>
          <t>Love Cabaret</t>
        </is>
      </c>
      <c r="D783" t="inlineStr">
        <is>
          <t>Cartão de Débito integrado Zig</t>
        </is>
      </c>
      <c r="E783" s="27" t="n">
        <v>45675</v>
      </c>
      <c r="F783" s="27" t="n">
        <v>45674</v>
      </c>
      <c r="G783" t="n">
        <v>6630.9</v>
      </c>
    </row>
    <row r="784">
      <c r="A784" t="n">
        <v>15239</v>
      </c>
      <c r="B784" t="n">
        <v>128</v>
      </c>
      <c r="C784" t="inlineStr">
        <is>
          <t>Love Cabaret</t>
        </is>
      </c>
      <c r="D784" t="inlineStr">
        <is>
          <t>Saldo Inicial</t>
        </is>
      </c>
      <c r="E784" s="27" t="n">
        <v>45675</v>
      </c>
      <c r="F784" s="27" t="n">
        <v>45675</v>
      </c>
      <c r="G784" t="n">
        <v>7729.04</v>
      </c>
    </row>
    <row r="785">
      <c r="A785" t="n">
        <v>15148</v>
      </c>
      <c r="B785" t="n">
        <v>128</v>
      </c>
      <c r="C785" t="inlineStr">
        <is>
          <t>Love Cabaret</t>
        </is>
      </c>
      <c r="D785" t="inlineStr">
        <is>
          <t>Transações via Pix</t>
        </is>
      </c>
      <c r="E785" s="27" t="n">
        <v>45674</v>
      </c>
      <c r="F785" s="27" t="n">
        <v>45674</v>
      </c>
      <c r="G785" t="n">
        <v>1232.47</v>
      </c>
    </row>
    <row r="786">
      <c r="A786" t="n">
        <v>15145</v>
      </c>
      <c r="B786" t="n">
        <v>128</v>
      </c>
      <c r="C786" t="inlineStr">
        <is>
          <t>Love Cabaret</t>
        </is>
      </c>
      <c r="D786" t="inlineStr">
        <is>
          <t>Saldo Inicial</t>
        </is>
      </c>
      <c r="E786" s="27" t="n">
        <v>45674</v>
      </c>
      <c r="F786" s="27" t="n">
        <v>45674</v>
      </c>
      <c r="G786" t="n">
        <v>569.27</v>
      </c>
    </row>
    <row r="787">
      <c r="A787" t="n">
        <v>15146</v>
      </c>
      <c r="B787" t="n">
        <v>128</v>
      </c>
      <c r="C787" t="inlineStr">
        <is>
          <t>Love Cabaret</t>
        </is>
      </c>
      <c r="D787" t="inlineStr">
        <is>
          <t>Cartão de Débito integrado Zig</t>
        </is>
      </c>
      <c r="E787" s="27" t="n">
        <v>45674</v>
      </c>
      <c r="F787" s="27" t="n">
        <v>45673</v>
      </c>
      <c r="G787" t="n">
        <v>6082.13</v>
      </c>
    </row>
    <row r="788">
      <c r="A788" t="n">
        <v>15147</v>
      </c>
      <c r="B788" t="n">
        <v>128</v>
      </c>
      <c r="C788" t="inlineStr">
        <is>
          <t>Love Cabaret</t>
        </is>
      </c>
      <c r="D788" t="inlineStr">
        <is>
          <t>Taxa de sistema sobre receita de Bar</t>
        </is>
      </c>
      <c r="E788" s="27" t="n">
        <v>45674</v>
      </c>
      <c r="F788" s="27" t="n">
        <v>45673</v>
      </c>
      <c r="G788" t="n">
        <v>-154.83</v>
      </c>
    </row>
    <row r="789">
      <c r="A789" t="n">
        <v>15043</v>
      </c>
      <c r="B789" t="n">
        <v>128</v>
      </c>
      <c r="C789" t="inlineStr">
        <is>
          <t>Love Cabaret</t>
        </is>
      </c>
      <c r="D789" t="inlineStr">
        <is>
          <t>Saldo Inicial</t>
        </is>
      </c>
      <c r="E789" s="27" t="n">
        <v>45673</v>
      </c>
      <c r="F789" s="27" t="n">
        <v>45673</v>
      </c>
      <c r="G789" t="n">
        <v>0</v>
      </c>
    </row>
    <row r="790">
      <c r="A790" t="n">
        <v>15044</v>
      </c>
      <c r="B790" t="n">
        <v>128</v>
      </c>
      <c r="C790" t="inlineStr">
        <is>
          <t>Love Cabaret</t>
        </is>
      </c>
      <c r="D790" t="inlineStr">
        <is>
          <t>Transações via Pix</t>
        </is>
      </c>
      <c r="E790" s="27" t="n">
        <v>45673</v>
      </c>
      <c r="F790" s="27" t="n">
        <v>45673</v>
      </c>
      <c r="G790" t="n">
        <v>569.27</v>
      </c>
    </row>
    <row r="791">
      <c r="A791" t="n">
        <v>14941</v>
      </c>
      <c r="B791" t="n">
        <v>128</v>
      </c>
      <c r="C791" t="inlineStr">
        <is>
          <t>Love Cabaret</t>
        </is>
      </c>
      <c r="D791" t="inlineStr">
        <is>
          <t>Saldo Inicial</t>
        </is>
      </c>
      <c r="E791" s="27" t="n">
        <v>45672</v>
      </c>
      <c r="F791" s="27" t="n">
        <v>45672</v>
      </c>
      <c r="G791" t="n">
        <v>0</v>
      </c>
    </row>
    <row r="792">
      <c r="A792" t="n">
        <v>14838</v>
      </c>
      <c r="B792" t="n">
        <v>128</v>
      </c>
      <c r="C792" t="inlineStr">
        <is>
          <t>Love Cabaret</t>
        </is>
      </c>
      <c r="D792" t="inlineStr">
        <is>
          <t>Saldo Inicial</t>
        </is>
      </c>
      <c r="E792" s="27" t="n">
        <v>45671</v>
      </c>
      <c r="F792" s="27" t="n">
        <v>45671</v>
      </c>
      <c r="G792" t="n">
        <v>0</v>
      </c>
    </row>
    <row r="793">
      <c r="A793" t="n">
        <v>14839</v>
      </c>
      <c r="B793" t="n">
        <v>128</v>
      </c>
      <c r="C793" t="inlineStr">
        <is>
          <t>Love Cabaret</t>
        </is>
      </c>
      <c r="D793" t="inlineStr">
        <is>
          <t>Cartão de Crédito integrado Zig</t>
        </is>
      </c>
      <c r="E793" s="27" t="n">
        <v>45671</v>
      </c>
      <c r="F793" s="27" t="n">
        <v>45640</v>
      </c>
      <c r="G793" t="n">
        <v>17273.66</v>
      </c>
    </row>
    <row r="794">
      <c r="A794" t="n">
        <v>14840</v>
      </c>
      <c r="B794" t="n">
        <v>128</v>
      </c>
      <c r="C794" t="inlineStr">
        <is>
          <t>Love Cabaret</t>
        </is>
      </c>
      <c r="D794" t="inlineStr">
        <is>
          <t>Saque</t>
        </is>
      </c>
      <c r="E794" s="27" t="n">
        <v>45671</v>
      </c>
      <c r="F794" s="27" t="n">
        <v>45671</v>
      </c>
      <c r="G794" t="n">
        <v>-17273.66</v>
      </c>
    </row>
    <row r="795">
      <c r="A795" t="n">
        <v>14742</v>
      </c>
      <c r="B795" t="n">
        <v>128</v>
      </c>
      <c r="C795" t="inlineStr">
        <is>
          <t>Love Cabaret</t>
        </is>
      </c>
      <c r="D795" t="inlineStr">
        <is>
          <t>Saque</t>
        </is>
      </c>
      <c r="E795" s="27" t="n">
        <v>45670</v>
      </c>
      <c r="F795" s="27" t="n">
        <v>45670</v>
      </c>
      <c r="G795" t="n">
        <v>-46064.53</v>
      </c>
    </row>
    <row r="796">
      <c r="A796" t="n">
        <v>14741</v>
      </c>
      <c r="B796" t="n">
        <v>128</v>
      </c>
      <c r="C796" t="inlineStr">
        <is>
          <t>Love Cabaret</t>
        </is>
      </c>
      <c r="D796" t="inlineStr">
        <is>
          <t>Cartão de Crédito integrado Zig</t>
        </is>
      </c>
      <c r="E796" s="27" t="n">
        <v>45670</v>
      </c>
      <c r="F796" s="27" t="n">
        <v>45639</v>
      </c>
      <c r="G796" t="n">
        <v>17146.54</v>
      </c>
    </row>
    <row r="797">
      <c r="A797" t="n">
        <v>14740</v>
      </c>
      <c r="B797" t="n">
        <v>128</v>
      </c>
      <c r="C797" t="inlineStr">
        <is>
          <t>Love Cabaret</t>
        </is>
      </c>
      <c r="D797" t="inlineStr">
        <is>
          <t>Saldo Inicial</t>
        </is>
      </c>
      <c r="E797" s="27" t="n">
        <v>45670</v>
      </c>
      <c r="F797" s="27" t="n">
        <v>45670</v>
      </c>
      <c r="G797" t="n">
        <v>28917.99</v>
      </c>
    </row>
    <row r="798">
      <c r="A798" t="n">
        <v>14646</v>
      </c>
      <c r="B798" t="n">
        <v>128</v>
      </c>
      <c r="C798" t="inlineStr">
        <is>
          <t>Love Cabaret</t>
        </is>
      </c>
      <c r="D798" t="inlineStr">
        <is>
          <t>Taxa de sistema sobre receita de Bar</t>
        </is>
      </c>
      <c r="E798" s="27" t="n">
        <v>45669</v>
      </c>
      <c r="F798" s="27" t="n">
        <v>45668</v>
      </c>
      <c r="G798" t="n">
        <v>-164.95</v>
      </c>
    </row>
    <row r="799">
      <c r="A799" t="n">
        <v>14645</v>
      </c>
      <c r="B799" t="n">
        <v>128</v>
      </c>
      <c r="C799" t="inlineStr">
        <is>
          <t>Love Cabaret</t>
        </is>
      </c>
      <c r="D799" t="inlineStr">
        <is>
          <t>Cartão de Débito integrado Zig</t>
        </is>
      </c>
      <c r="E799" s="27" t="n">
        <v>45669</v>
      </c>
      <c r="F799" s="27" t="n">
        <v>45668</v>
      </c>
      <c r="G799" t="n">
        <v>4532.74</v>
      </c>
    </row>
    <row r="800">
      <c r="A800" t="n">
        <v>14644</v>
      </c>
      <c r="B800" t="n">
        <v>128</v>
      </c>
      <c r="C800" t="inlineStr">
        <is>
          <t>Love Cabaret</t>
        </is>
      </c>
      <c r="D800" t="inlineStr">
        <is>
          <t>Cartão de Crédito integrado Zig</t>
        </is>
      </c>
      <c r="E800" s="27" t="n">
        <v>45669</v>
      </c>
      <c r="F800" s="27" t="n">
        <v>45638</v>
      </c>
      <c r="G800" t="n">
        <v>9138.08</v>
      </c>
    </row>
    <row r="801">
      <c r="A801" t="n">
        <v>14643</v>
      </c>
      <c r="B801" t="n">
        <v>128</v>
      </c>
      <c r="C801" t="inlineStr">
        <is>
          <t>Love Cabaret</t>
        </is>
      </c>
      <c r="D801" t="inlineStr">
        <is>
          <t>Saldo Inicial</t>
        </is>
      </c>
      <c r="E801" s="27" t="n">
        <v>45669</v>
      </c>
      <c r="F801" s="27" t="n">
        <v>45669</v>
      </c>
      <c r="G801" t="n">
        <v>15412.12</v>
      </c>
    </row>
    <row r="802">
      <c r="A802" t="n">
        <v>14559</v>
      </c>
      <c r="B802" t="n">
        <v>128</v>
      </c>
      <c r="C802" t="inlineStr">
        <is>
          <t>Love Cabaret</t>
        </is>
      </c>
      <c r="D802" t="inlineStr">
        <is>
          <t>Saldo Inicial</t>
        </is>
      </c>
      <c r="E802" s="27" t="n">
        <v>45668</v>
      </c>
      <c r="F802" s="27" t="n">
        <v>45668</v>
      </c>
      <c r="G802" t="n">
        <v>8688.870000000001</v>
      </c>
    </row>
    <row r="803">
      <c r="A803" t="n">
        <v>14560</v>
      </c>
      <c r="B803" t="n">
        <v>128</v>
      </c>
      <c r="C803" t="inlineStr">
        <is>
          <t>Love Cabaret</t>
        </is>
      </c>
      <c r="D803" t="inlineStr">
        <is>
          <t>Cartão de Débito integrado Zig</t>
        </is>
      </c>
      <c r="E803" s="27" t="n">
        <v>45668</v>
      </c>
      <c r="F803" s="27" t="n">
        <v>45667</v>
      </c>
      <c r="G803" t="n">
        <v>5720.82</v>
      </c>
    </row>
    <row r="804">
      <c r="A804" t="n">
        <v>14561</v>
      </c>
      <c r="B804" t="n">
        <v>128</v>
      </c>
      <c r="C804" t="inlineStr">
        <is>
          <t>Love Cabaret</t>
        </is>
      </c>
      <c r="D804" t="inlineStr">
        <is>
          <t>Taxa de sistema sobre receita de Bar</t>
        </is>
      </c>
      <c r="E804" s="27" t="n">
        <v>45668</v>
      </c>
      <c r="F804" s="27" t="n">
        <v>45667</v>
      </c>
      <c r="G804" t="n">
        <v>-179.21</v>
      </c>
    </row>
    <row r="805">
      <c r="A805" t="n">
        <v>14562</v>
      </c>
      <c r="B805" t="n">
        <v>128</v>
      </c>
      <c r="C805" t="inlineStr">
        <is>
          <t>Love Cabaret</t>
        </is>
      </c>
      <c r="D805" t="inlineStr">
        <is>
          <t>Transações via Pix</t>
        </is>
      </c>
      <c r="E805" s="27" t="n">
        <v>45668</v>
      </c>
      <c r="F805" s="27" t="n">
        <v>45668</v>
      </c>
      <c r="G805" t="n">
        <v>1181.64</v>
      </c>
    </row>
    <row r="806">
      <c r="A806" t="n">
        <v>14466</v>
      </c>
      <c r="B806" t="n">
        <v>128</v>
      </c>
      <c r="C806" t="inlineStr">
        <is>
          <t>Love Cabaret</t>
        </is>
      </c>
      <c r="D806" t="inlineStr">
        <is>
          <t>Saldo Inicial</t>
        </is>
      </c>
      <c r="E806" s="27" t="n">
        <v>45667</v>
      </c>
      <c r="F806" s="27" t="n">
        <v>45667</v>
      </c>
      <c r="G806" t="n">
        <v>1718.3</v>
      </c>
    </row>
    <row r="807">
      <c r="A807" t="n">
        <v>14469</v>
      </c>
      <c r="B807" t="n">
        <v>128</v>
      </c>
      <c r="C807" t="inlineStr">
        <is>
          <t>Love Cabaret</t>
        </is>
      </c>
      <c r="D807" t="inlineStr">
        <is>
          <t>Transações via Pix</t>
        </is>
      </c>
      <c r="E807" s="27" t="n">
        <v>45667</v>
      </c>
      <c r="F807" s="27" t="n">
        <v>45667</v>
      </c>
      <c r="G807" t="n">
        <v>1772</v>
      </c>
    </row>
    <row r="808">
      <c r="A808" t="n">
        <v>14468</v>
      </c>
      <c r="B808" t="n">
        <v>128</v>
      </c>
      <c r="C808" t="inlineStr">
        <is>
          <t>Love Cabaret</t>
        </is>
      </c>
      <c r="D808" t="inlineStr">
        <is>
          <t>Taxa de sistema sobre receita de Bar</t>
        </is>
      </c>
      <c r="E808" s="27" t="n">
        <v>45667</v>
      </c>
      <c r="F808" s="27" t="n">
        <v>45666</v>
      </c>
      <c r="G808" t="n">
        <v>-148.86</v>
      </c>
    </row>
    <row r="809">
      <c r="A809" t="n">
        <v>14467</v>
      </c>
      <c r="B809" t="n">
        <v>128</v>
      </c>
      <c r="C809" t="inlineStr">
        <is>
          <t>Love Cabaret</t>
        </is>
      </c>
      <c r="D809" t="inlineStr">
        <is>
          <t>Cartão de Débito integrado Zig</t>
        </is>
      </c>
      <c r="E809" s="27" t="n">
        <v>45667</v>
      </c>
      <c r="F809" s="27" t="n">
        <v>45666</v>
      </c>
      <c r="G809" t="n">
        <v>5347.43</v>
      </c>
    </row>
    <row r="810">
      <c r="A810" t="n">
        <v>14369</v>
      </c>
      <c r="B810" t="n">
        <v>128</v>
      </c>
      <c r="C810" t="inlineStr">
        <is>
          <t>Love Cabaret</t>
        </is>
      </c>
      <c r="D810" t="inlineStr">
        <is>
          <t>Transações via Pix</t>
        </is>
      </c>
      <c r="E810" s="27" t="n">
        <v>45666</v>
      </c>
      <c r="F810" s="27" t="n">
        <v>45666</v>
      </c>
      <c r="G810" t="n">
        <v>1718.3</v>
      </c>
    </row>
    <row r="811">
      <c r="A811" t="n">
        <v>14368</v>
      </c>
      <c r="B811" t="n">
        <v>128</v>
      </c>
      <c r="C811" t="inlineStr">
        <is>
          <t>Love Cabaret</t>
        </is>
      </c>
      <c r="D811" t="inlineStr">
        <is>
          <t>Saldo Inicial</t>
        </is>
      </c>
      <c r="E811" s="27" t="n">
        <v>45666</v>
      </c>
      <c r="F811" s="27" t="n">
        <v>45666</v>
      </c>
      <c r="G811" t="n">
        <v>0</v>
      </c>
    </row>
    <row r="812">
      <c r="A812" t="n">
        <v>14274</v>
      </c>
      <c r="B812" t="n">
        <v>128</v>
      </c>
      <c r="C812" t="inlineStr">
        <is>
          <t>Love Cabaret</t>
        </is>
      </c>
      <c r="D812" t="inlineStr">
        <is>
          <t>Saldo Inicial</t>
        </is>
      </c>
      <c r="E812" s="27" t="n">
        <v>45665</v>
      </c>
      <c r="F812" s="27" t="n">
        <v>45665</v>
      </c>
      <c r="G812" t="n">
        <v>0</v>
      </c>
    </row>
    <row r="813">
      <c r="A813" t="n">
        <v>14180</v>
      </c>
      <c r="B813" t="n">
        <v>128</v>
      </c>
      <c r="C813" t="inlineStr">
        <is>
          <t>Love Cabaret</t>
        </is>
      </c>
      <c r="D813" t="inlineStr">
        <is>
          <t>Saque</t>
        </is>
      </c>
      <c r="E813" s="27" t="n">
        <v>45664</v>
      </c>
      <c r="F813" s="27" t="n">
        <v>45664</v>
      </c>
      <c r="G813" t="n">
        <v>-17217.01</v>
      </c>
    </row>
    <row r="814">
      <c r="A814" t="n">
        <v>14179</v>
      </c>
      <c r="B814" t="n">
        <v>128</v>
      </c>
      <c r="C814" t="inlineStr">
        <is>
          <t>Love Cabaret</t>
        </is>
      </c>
      <c r="D814" t="inlineStr">
        <is>
          <t>Cartão de Crédito integrado Zig</t>
        </is>
      </c>
      <c r="E814" s="27" t="n">
        <v>45664</v>
      </c>
      <c r="F814" s="27" t="n">
        <v>45633</v>
      </c>
      <c r="G814" t="n">
        <v>17217.01</v>
      </c>
    </row>
    <row r="815">
      <c r="A815" t="n">
        <v>14178</v>
      </c>
      <c r="B815" t="n">
        <v>128</v>
      </c>
      <c r="C815" t="inlineStr">
        <is>
          <t>Love Cabaret</t>
        </is>
      </c>
      <c r="D815" t="inlineStr">
        <is>
          <t>Saldo Inicial</t>
        </is>
      </c>
      <c r="E815" s="27" t="n">
        <v>45664</v>
      </c>
      <c r="F815" s="27" t="n">
        <v>45664</v>
      </c>
      <c r="G815" t="n">
        <v>0</v>
      </c>
    </row>
    <row r="816">
      <c r="A816" t="n">
        <v>14088</v>
      </c>
      <c r="B816" t="n">
        <v>128</v>
      </c>
      <c r="C816" t="inlineStr">
        <is>
          <t>Love Cabaret</t>
        </is>
      </c>
      <c r="D816" t="inlineStr">
        <is>
          <t>Saldo Inicial</t>
        </is>
      </c>
      <c r="E816" s="27" t="n">
        <v>45663</v>
      </c>
      <c r="F816" s="27" t="n">
        <v>45663</v>
      </c>
      <c r="G816" t="n">
        <v>5755.49</v>
      </c>
    </row>
    <row r="817">
      <c r="A817" t="n">
        <v>14089</v>
      </c>
      <c r="B817" t="n">
        <v>128</v>
      </c>
      <c r="C817" t="inlineStr">
        <is>
          <t>Love Cabaret</t>
        </is>
      </c>
      <c r="D817" t="inlineStr">
        <is>
          <t>Cartão de Crédito integrado Zig</t>
        </is>
      </c>
      <c r="E817" s="27" t="n">
        <v>45663</v>
      </c>
      <c r="F817" s="27" t="n">
        <v>45632</v>
      </c>
      <c r="G817" t="n">
        <v>17057.21</v>
      </c>
    </row>
    <row r="818">
      <c r="A818" t="n">
        <v>14090</v>
      </c>
      <c r="B818" t="n">
        <v>128</v>
      </c>
      <c r="C818" t="inlineStr">
        <is>
          <t>Love Cabaret</t>
        </is>
      </c>
      <c r="D818" t="inlineStr">
        <is>
          <t>Saque</t>
        </is>
      </c>
      <c r="E818" s="27" t="n">
        <v>45663</v>
      </c>
      <c r="F818" s="27" t="n">
        <v>45663</v>
      </c>
      <c r="G818" t="n">
        <v>-22812.7</v>
      </c>
    </row>
    <row r="819">
      <c r="A819" t="n">
        <v>13908</v>
      </c>
      <c r="B819" t="n">
        <v>128</v>
      </c>
      <c r="C819" t="inlineStr">
        <is>
          <t>Love Cabaret</t>
        </is>
      </c>
      <c r="D819" t="inlineStr">
        <is>
          <t>Cartão de Crédito integrado Zig</t>
        </is>
      </c>
      <c r="E819" s="27" t="n">
        <v>45662</v>
      </c>
      <c r="F819" s="27" t="n">
        <v>45631</v>
      </c>
      <c r="G819" t="n">
        <v>6856.74</v>
      </c>
    </row>
    <row r="820">
      <c r="A820" t="n">
        <v>13907</v>
      </c>
      <c r="B820" t="n">
        <v>128</v>
      </c>
      <c r="C820" t="inlineStr">
        <is>
          <t>Love Cabaret</t>
        </is>
      </c>
      <c r="D820" t="inlineStr">
        <is>
          <t>Saldo Inicial</t>
        </is>
      </c>
      <c r="E820" s="27" t="n">
        <v>45662</v>
      </c>
      <c r="F820" s="27" t="n">
        <v>45662</v>
      </c>
      <c r="G820" t="n">
        <v>-1101.25</v>
      </c>
    </row>
    <row r="821">
      <c r="A821" t="n">
        <v>13779</v>
      </c>
      <c r="B821" t="n">
        <v>128</v>
      </c>
      <c r="C821" t="inlineStr">
        <is>
          <t>Love Cabaret</t>
        </is>
      </c>
      <c r="D821" t="inlineStr">
        <is>
          <t>Saldo Inicial</t>
        </is>
      </c>
      <c r="E821" s="27" t="n">
        <v>45661</v>
      </c>
      <c r="F821" s="27" t="n">
        <v>45661</v>
      </c>
      <c r="G821" t="n">
        <v>-1101.25</v>
      </c>
    </row>
    <row r="822">
      <c r="A822" t="n">
        <v>13778</v>
      </c>
      <c r="B822" t="n">
        <v>128</v>
      </c>
      <c r="C822" t="inlineStr">
        <is>
          <t>Love Cabaret</t>
        </is>
      </c>
      <c r="D822" t="inlineStr">
        <is>
          <t>Saldo Inicial</t>
        </is>
      </c>
      <c r="E822" s="27" t="n">
        <v>45660</v>
      </c>
      <c r="F822" s="27" t="n">
        <v>45660</v>
      </c>
      <c r="G822" t="n">
        <v>-1101.25</v>
      </c>
    </row>
    <row r="823">
      <c r="A823" t="n">
        <v>13777</v>
      </c>
      <c r="B823" t="n">
        <v>128</v>
      </c>
      <c r="C823" t="inlineStr">
        <is>
          <t>Love Cabaret</t>
        </is>
      </c>
      <c r="D823" t="inlineStr">
        <is>
          <t>Saldo Inicial</t>
        </is>
      </c>
      <c r="E823" s="27" t="n">
        <v>45659</v>
      </c>
      <c r="F823" s="27" t="n">
        <v>45659</v>
      </c>
      <c r="G823" t="n">
        <v>-1101.25</v>
      </c>
    </row>
    <row r="824">
      <c r="A824" t="n">
        <v>13776</v>
      </c>
      <c r="B824" t="n">
        <v>128</v>
      </c>
      <c r="C824" t="inlineStr">
        <is>
          <t>Love Cabaret</t>
        </is>
      </c>
      <c r="D824" t="inlineStr">
        <is>
          <t>Cobrança geral - Z0101 - Ref.:16 Smartpos R$20 cada</t>
        </is>
      </c>
      <c r="E824" s="27" t="n">
        <v>45658</v>
      </c>
      <c r="F824" s="27" t="n">
        <v>45658</v>
      </c>
      <c r="G824" t="n">
        <v>-320</v>
      </c>
    </row>
    <row r="825">
      <c r="A825" t="n">
        <v>13775</v>
      </c>
      <c r="B825" t="n">
        <v>128</v>
      </c>
      <c r="C825" t="inlineStr">
        <is>
          <t>Love Cabaret</t>
        </is>
      </c>
      <c r="D825" t="inlineStr">
        <is>
          <t>Cobrança geral - Z0101 - Ref.:10Pdv's R$20 cada</t>
        </is>
      </c>
      <c r="E825" s="27" t="n">
        <v>45658</v>
      </c>
      <c r="F825" s="27" t="n">
        <v>45658</v>
      </c>
      <c r="G825" t="n">
        <v>-200</v>
      </c>
    </row>
    <row r="826">
      <c r="A826" t="n">
        <v>13774</v>
      </c>
      <c r="B826" t="n">
        <v>128</v>
      </c>
      <c r="C826" t="inlineStr">
        <is>
          <t>Love Cabaret</t>
        </is>
      </c>
      <c r="D826" t="inlineStr">
        <is>
          <t>Saldo Inicial</t>
        </is>
      </c>
      <c r="E826" s="27" t="n">
        <v>45658</v>
      </c>
      <c r="F826" s="27" t="n">
        <v>45658</v>
      </c>
      <c r="G826" t="n">
        <v>-581.25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Data_Venda</t>
        </is>
      </c>
      <c r="D1" t="inlineStr">
        <is>
          <t>Valor</t>
        </is>
      </c>
      <c r="E1" t="inlineStr">
        <is>
          <t>Tipo_Pagamento</t>
        </is>
      </c>
    </row>
    <row r="2">
      <c r="A2" t="n">
        <v>128</v>
      </c>
      <c r="B2" t="inlineStr">
        <is>
          <t>Love Cabaret</t>
        </is>
      </c>
      <c r="C2" s="27" t="n">
        <v>46011</v>
      </c>
      <c r="D2" t="n">
        <v>0</v>
      </c>
      <c r="E2" t="inlineStr">
        <is>
          <t>BÔNUS</t>
        </is>
      </c>
    </row>
    <row r="3">
      <c r="A3" t="n">
        <v>128</v>
      </c>
      <c r="B3" t="inlineStr">
        <is>
          <t>Love Cabaret</t>
        </is>
      </c>
      <c r="C3" s="27" t="n">
        <v>46011</v>
      </c>
      <c r="D3" t="n">
        <v>0</v>
      </c>
      <c r="E3" t="inlineStr">
        <is>
          <t>MBWAY</t>
        </is>
      </c>
    </row>
    <row r="4">
      <c r="A4" t="n">
        <v>128</v>
      </c>
      <c r="B4" t="inlineStr">
        <is>
          <t>Love Cabaret</t>
        </is>
      </c>
      <c r="C4" s="27" t="n">
        <v>46011</v>
      </c>
      <c r="D4" t="n">
        <v>0</v>
      </c>
      <c r="E4" t="inlineStr">
        <is>
          <t>VOUCHER INTEGRADO</t>
        </is>
      </c>
    </row>
    <row r="5">
      <c r="A5" t="n">
        <v>128</v>
      </c>
      <c r="B5" t="inlineStr">
        <is>
          <t>Love Cabaret</t>
        </is>
      </c>
      <c r="C5" s="27" t="n">
        <v>46011</v>
      </c>
      <c r="D5" t="n">
        <v>8285.17</v>
      </c>
      <c r="E5" t="inlineStr">
        <is>
          <t>DÉBITO</t>
        </is>
      </c>
    </row>
    <row r="6">
      <c r="A6" t="n">
        <v>128</v>
      </c>
      <c r="B6" t="inlineStr">
        <is>
          <t>Love Cabaret</t>
        </is>
      </c>
      <c r="C6" s="27" t="n">
        <v>46011</v>
      </c>
      <c r="D6" t="n">
        <v>0</v>
      </c>
      <c r="E6" t="inlineStr">
        <is>
          <t>RECARGAS DEVOLVIDAS</t>
        </is>
      </c>
    </row>
    <row r="7">
      <c r="A7" t="n">
        <v>128</v>
      </c>
      <c r="B7" t="inlineStr">
        <is>
          <t>Love Cabaret</t>
        </is>
      </c>
      <c r="C7" s="27" t="n">
        <v>46011</v>
      </c>
      <c r="D7" t="n">
        <v>0</v>
      </c>
      <c r="E7" t="inlineStr">
        <is>
          <t>NOTAS MANUAIS + SERVIÇO</t>
        </is>
      </c>
    </row>
    <row r="8">
      <c r="A8" t="n">
        <v>128</v>
      </c>
      <c r="B8" t="inlineStr">
        <is>
          <t>Love Cabaret</t>
        </is>
      </c>
      <c r="C8" s="27" t="n">
        <v>46011</v>
      </c>
      <c r="D8" t="n">
        <v>0</v>
      </c>
      <c r="E8" t="inlineStr">
        <is>
          <t>AME</t>
        </is>
      </c>
    </row>
    <row r="9">
      <c r="A9" t="n">
        <v>128</v>
      </c>
      <c r="B9" t="inlineStr">
        <is>
          <t>Love Cabaret</t>
        </is>
      </c>
      <c r="C9" s="27" t="n">
        <v>46011</v>
      </c>
      <c r="D9" t="n">
        <v>0</v>
      </c>
      <c r="E9" t="inlineStr">
        <is>
          <t>OUTROS</t>
        </is>
      </c>
    </row>
    <row r="10">
      <c r="A10" t="n">
        <v>128</v>
      </c>
      <c r="B10" t="inlineStr">
        <is>
          <t>Love Cabaret</t>
        </is>
      </c>
      <c r="C10" s="27" t="n">
        <v>46011</v>
      </c>
      <c r="D10" t="n">
        <v>0</v>
      </c>
      <c r="E10" t="inlineStr">
        <is>
          <t>ANTECIPADO</t>
        </is>
      </c>
    </row>
    <row r="11">
      <c r="A11" t="n">
        <v>128</v>
      </c>
      <c r="B11" t="inlineStr">
        <is>
          <t>Love Cabaret</t>
        </is>
      </c>
      <c r="C11" s="27" t="n">
        <v>46011</v>
      </c>
      <c r="D11" t="n">
        <v>11631.26</v>
      </c>
      <c r="E11" t="inlineStr">
        <is>
          <t>CRÉDITO</t>
        </is>
      </c>
    </row>
    <row r="12">
      <c r="A12" t="n">
        <v>128</v>
      </c>
      <c r="B12" t="inlineStr">
        <is>
          <t>Love Cabaret</t>
        </is>
      </c>
      <c r="C12" s="27" t="n">
        <v>46011</v>
      </c>
      <c r="D12" t="n">
        <v>387.3</v>
      </c>
      <c r="E12" t="inlineStr">
        <is>
          <t>DINHEIRO</t>
        </is>
      </c>
    </row>
    <row r="13">
      <c r="A13" t="n">
        <v>128</v>
      </c>
      <c r="B13" t="inlineStr">
        <is>
          <t>Love Cabaret</t>
        </is>
      </c>
      <c r="C13" s="27" t="n">
        <v>46011</v>
      </c>
      <c r="D13" t="n">
        <v>36</v>
      </c>
      <c r="E13" t="inlineStr">
        <is>
          <t>APP</t>
        </is>
      </c>
    </row>
    <row r="14">
      <c r="A14" t="n">
        <v>128</v>
      </c>
      <c r="B14" t="inlineStr">
        <is>
          <t>Love Cabaret</t>
        </is>
      </c>
      <c r="C14" s="27" t="n">
        <v>46011</v>
      </c>
      <c r="D14" t="n">
        <v>0</v>
      </c>
      <c r="E14" t="inlineStr">
        <is>
          <t>DELIVERY ONLINE</t>
        </is>
      </c>
    </row>
    <row r="15">
      <c r="A15" t="n">
        <v>128</v>
      </c>
      <c r="B15" t="inlineStr">
        <is>
          <t>Love Cabaret</t>
        </is>
      </c>
      <c r="C15" s="27" t="n">
        <v>46011</v>
      </c>
      <c r="D15" t="n">
        <v>0</v>
      </c>
      <c r="E15" t="inlineStr">
        <is>
          <t>IFOOD</t>
        </is>
      </c>
    </row>
    <row r="16">
      <c r="A16" t="n">
        <v>128</v>
      </c>
      <c r="B16" t="inlineStr">
        <is>
          <t>Love Cabaret</t>
        </is>
      </c>
      <c r="C16" s="27" t="n">
        <v>46011</v>
      </c>
      <c r="D16" t="n">
        <v>0</v>
      </c>
      <c r="E16" t="inlineStr">
        <is>
          <t>PIX</t>
        </is>
      </c>
    </row>
    <row r="17">
      <c r="A17" t="n">
        <v>128</v>
      </c>
      <c r="B17" t="inlineStr">
        <is>
          <t>Love Cabaret</t>
        </is>
      </c>
      <c r="C17" s="27" t="n">
        <v>46011</v>
      </c>
      <c r="D17" t="n">
        <v>0</v>
      </c>
      <c r="E17" t="inlineStr">
        <is>
          <t>RAPPI</t>
        </is>
      </c>
    </row>
    <row r="18">
      <c r="A18" t="n">
        <v>128</v>
      </c>
      <c r="B18" t="inlineStr">
        <is>
          <t>Love Cabaret</t>
        </is>
      </c>
      <c r="C18" s="27" t="n">
        <v>46011</v>
      </c>
      <c r="D18" t="n">
        <v>0</v>
      </c>
      <c r="E18" t="inlineStr">
        <is>
          <t>UBER</t>
        </is>
      </c>
    </row>
    <row r="19">
      <c r="A19" t="n">
        <v>128</v>
      </c>
      <c r="B19" t="inlineStr">
        <is>
          <t>Love Cabaret</t>
        </is>
      </c>
      <c r="C19" s="27" t="n">
        <v>46011</v>
      </c>
      <c r="D19" t="n">
        <v>0</v>
      </c>
      <c r="E19" t="inlineStr">
        <is>
          <t>ANTECIPADO</t>
        </is>
      </c>
    </row>
    <row r="20">
      <c r="A20" t="n">
        <v>128</v>
      </c>
      <c r="B20" t="inlineStr">
        <is>
          <t>Love Cabaret</t>
        </is>
      </c>
      <c r="C20" s="27" t="n">
        <v>46011</v>
      </c>
      <c r="D20" t="n">
        <v>0</v>
      </c>
      <c r="E20" t="inlineStr">
        <is>
          <t>VOUCHER</t>
        </is>
      </c>
    </row>
    <row r="21">
      <c r="A21" t="n">
        <v>128</v>
      </c>
      <c r="B21" t="inlineStr">
        <is>
          <t>Love Cabaret</t>
        </is>
      </c>
      <c r="C21" s="27" t="n">
        <v>46010</v>
      </c>
      <c r="D21" t="n">
        <v>0</v>
      </c>
      <c r="E21" t="inlineStr">
        <is>
          <t>AME</t>
        </is>
      </c>
    </row>
    <row r="22">
      <c r="A22" t="n">
        <v>128</v>
      </c>
      <c r="B22" t="inlineStr">
        <is>
          <t>Love Cabaret</t>
        </is>
      </c>
      <c r="C22" s="27" t="n">
        <v>46010</v>
      </c>
      <c r="D22" t="n">
        <v>0</v>
      </c>
      <c r="E22" t="inlineStr">
        <is>
          <t>UBER</t>
        </is>
      </c>
    </row>
    <row r="23">
      <c r="A23" t="n">
        <v>128</v>
      </c>
      <c r="B23" t="inlineStr">
        <is>
          <t>Love Cabaret</t>
        </is>
      </c>
      <c r="C23" s="27" t="n">
        <v>46010</v>
      </c>
      <c r="D23" t="n">
        <v>0</v>
      </c>
      <c r="E23" t="inlineStr">
        <is>
          <t>NOTAS MANUAIS + SERVIÇO</t>
        </is>
      </c>
    </row>
    <row r="24">
      <c r="A24" t="n">
        <v>128</v>
      </c>
      <c r="B24" t="inlineStr">
        <is>
          <t>Love Cabaret</t>
        </is>
      </c>
      <c r="C24" s="27" t="n">
        <v>46010</v>
      </c>
      <c r="D24" t="n">
        <v>0</v>
      </c>
      <c r="E24" t="inlineStr">
        <is>
          <t>RECARGAS DEVOLVIDAS</t>
        </is>
      </c>
    </row>
    <row r="25">
      <c r="A25" t="n">
        <v>128</v>
      </c>
      <c r="B25" t="inlineStr">
        <is>
          <t>Love Cabaret</t>
        </is>
      </c>
      <c r="C25" s="27" t="n">
        <v>46010</v>
      </c>
      <c r="D25" t="n">
        <v>0</v>
      </c>
      <c r="E25" t="inlineStr">
        <is>
          <t>VOUCHER INTEGRADO</t>
        </is>
      </c>
    </row>
    <row r="26">
      <c r="A26" t="n">
        <v>128</v>
      </c>
      <c r="B26" t="inlineStr">
        <is>
          <t>Love Cabaret</t>
        </is>
      </c>
      <c r="C26" s="27" t="n">
        <v>46010</v>
      </c>
      <c r="D26" t="n">
        <v>0</v>
      </c>
      <c r="E26" t="inlineStr">
        <is>
          <t>MBWAY</t>
        </is>
      </c>
    </row>
    <row r="27">
      <c r="A27" t="n">
        <v>128</v>
      </c>
      <c r="B27" t="inlineStr">
        <is>
          <t>Love Cabaret</t>
        </is>
      </c>
      <c r="C27" s="27" t="n">
        <v>46010</v>
      </c>
      <c r="D27" t="n">
        <v>0</v>
      </c>
      <c r="E27" t="inlineStr">
        <is>
          <t>OUTROS</t>
        </is>
      </c>
    </row>
    <row r="28">
      <c r="A28" t="n">
        <v>128</v>
      </c>
      <c r="B28" t="inlineStr">
        <is>
          <t>Love Cabaret</t>
        </is>
      </c>
      <c r="C28" s="27" t="n">
        <v>46010</v>
      </c>
      <c r="D28" t="n">
        <v>0</v>
      </c>
      <c r="E28" t="inlineStr">
        <is>
          <t>ANTECIPADO</t>
        </is>
      </c>
    </row>
    <row r="29">
      <c r="A29" t="n">
        <v>128</v>
      </c>
      <c r="B29" t="inlineStr">
        <is>
          <t>Love Cabaret</t>
        </is>
      </c>
      <c r="C29" s="27" t="n">
        <v>46010</v>
      </c>
      <c r="D29" t="n">
        <v>0</v>
      </c>
      <c r="E29" t="inlineStr">
        <is>
          <t>BÔNUS</t>
        </is>
      </c>
    </row>
    <row r="30">
      <c r="A30" t="n">
        <v>128</v>
      </c>
      <c r="B30" t="inlineStr">
        <is>
          <t>Love Cabaret</t>
        </is>
      </c>
      <c r="C30" s="27" t="n">
        <v>46010</v>
      </c>
      <c r="D30" t="n">
        <v>10147.39</v>
      </c>
      <c r="E30" t="inlineStr">
        <is>
          <t>DÉBITO</t>
        </is>
      </c>
    </row>
    <row r="31">
      <c r="A31" t="n">
        <v>128</v>
      </c>
      <c r="B31" t="inlineStr">
        <is>
          <t>Love Cabaret</t>
        </is>
      </c>
      <c r="C31" s="27" t="n">
        <v>46010</v>
      </c>
      <c r="D31" t="n">
        <v>0</v>
      </c>
      <c r="E31" t="inlineStr">
        <is>
          <t>VOUCHER</t>
        </is>
      </c>
    </row>
    <row r="32">
      <c r="A32" t="n">
        <v>128</v>
      </c>
      <c r="B32" t="inlineStr">
        <is>
          <t>Love Cabaret</t>
        </is>
      </c>
      <c r="C32" s="27" t="n">
        <v>46010</v>
      </c>
      <c r="D32" t="n">
        <v>0</v>
      </c>
      <c r="E32" t="inlineStr">
        <is>
          <t>ANTECIPADO</t>
        </is>
      </c>
    </row>
    <row r="33">
      <c r="A33" t="n">
        <v>128</v>
      </c>
      <c r="B33" t="inlineStr">
        <is>
          <t>Love Cabaret</t>
        </is>
      </c>
      <c r="C33" s="27" t="n">
        <v>46010</v>
      </c>
      <c r="D33" t="n">
        <v>0</v>
      </c>
      <c r="E33" t="inlineStr">
        <is>
          <t>RAPPI</t>
        </is>
      </c>
    </row>
    <row r="34">
      <c r="A34" t="n">
        <v>128</v>
      </c>
      <c r="B34" t="inlineStr">
        <is>
          <t>Love Cabaret</t>
        </is>
      </c>
      <c r="C34" s="27" t="n">
        <v>46010</v>
      </c>
      <c r="D34" t="n">
        <v>2798.97</v>
      </c>
      <c r="E34" t="inlineStr">
        <is>
          <t>PIX</t>
        </is>
      </c>
    </row>
    <row r="35">
      <c r="A35" t="n">
        <v>128</v>
      </c>
      <c r="B35" t="inlineStr">
        <is>
          <t>Love Cabaret</t>
        </is>
      </c>
      <c r="C35" s="27" t="n">
        <v>46010</v>
      </c>
      <c r="D35" t="n">
        <v>0</v>
      </c>
      <c r="E35" t="inlineStr">
        <is>
          <t>IFOOD</t>
        </is>
      </c>
    </row>
    <row r="36">
      <c r="A36" t="n">
        <v>128</v>
      </c>
      <c r="B36" t="inlineStr">
        <is>
          <t>Love Cabaret</t>
        </is>
      </c>
      <c r="C36" s="27" t="n">
        <v>46010</v>
      </c>
      <c r="D36" t="n">
        <v>0</v>
      </c>
      <c r="E36" t="inlineStr">
        <is>
          <t>DELIVERY ONLINE</t>
        </is>
      </c>
    </row>
    <row r="37">
      <c r="A37" t="n">
        <v>128</v>
      </c>
      <c r="B37" t="inlineStr">
        <is>
          <t>Love Cabaret</t>
        </is>
      </c>
      <c r="C37" s="27" t="n">
        <v>46010</v>
      </c>
      <c r="D37" t="n">
        <v>0</v>
      </c>
      <c r="E37" t="inlineStr">
        <is>
          <t>APP</t>
        </is>
      </c>
    </row>
    <row r="38">
      <c r="A38" t="n">
        <v>128</v>
      </c>
      <c r="B38" t="inlineStr">
        <is>
          <t>Love Cabaret</t>
        </is>
      </c>
      <c r="C38" s="27" t="n">
        <v>46010</v>
      </c>
      <c r="D38" t="n">
        <v>100</v>
      </c>
      <c r="E38" t="inlineStr">
        <is>
          <t>DINHEIRO</t>
        </is>
      </c>
    </row>
    <row r="39">
      <c r="A39" t="n">
        <v>128</v>
      </c>
      <c r="B39" t="inlineStr">
        <is>
          <t>Love Cabaret</t>
        </is>
      </c>
      <c r="C39" s="27" t="n">
        <v>46010</v>
      </c>
      <c r="D39" t="n">
        <v>14816.42</v>
      </c>
      <c r="E39" t="inlineStr">
        <is>
          <t>CRÉDITO</t>
        </is>
      </c>
    </row>
    <row r="40">
      <c r="A40" t="n">
        <v>128</v>
      </c>
      <c r="B40" t="inlineStr">
        <is>
          <t>Love Cabaret</t>
        </is>
      </c>
      <c r="C40" s="27" t="n">
        <v>46004</v>
      </c>
      <c r="D40" t="n">
        <v>0</v>
      </c>
      <c r="E40" t="inlineStr">
        <is>
          <t>MBWAY</t>
        </is>
      </c>
    </row>
    <row r="41">
      <c r="A41" t="n">
        <v>128</v>
      </c>
      <c r="B41" t="inlineStr">
        <is>
          <t>Love Cabaret</t>
        </is>
      </c>
      <c r="C41" s="27" t="n">
        <v>46004</v>
      </c>
      <c r="D41" t="n">
        <v>15250.34</v>
      </c>
      <c r="E41" t="inlineStr">
        <is>
          <t>CRÉDITO</t>
        </is>
      </c>
    </row>
    <row r="42">
      <c r="A42" t="n">
        <v>128</v>
      </c>
      <c r="B42" t="inlineStr">
        <is>
          <t>Love Cabaret</t>
        </is>
      </c>
      <c r="C42" s="27" t="n">
        <v>46004</v>
      </c>
      <c r="D42" t="n">
        <v>0</v>
      </c>
      <c r="E42" t="inlineStr">
        <is>
          <t>VOUCHER INTEGRADO</t>
        </is>
      </c>
    </row>
    <row r="43">
      <c r="A43" t="n">
        <v>128</v>
      </c>
      <c r="B43" t="inlineStr">
        <is>
          <t>Love Cabaret</t>
        </is>
      </c>
      <c r="C43" s="27" t="n">
        <v>46004</v>
      </c>
      <c r="D43" t="n">
        <v>0</v>
      </c>
      <c r="E43" t="inlineStr">
        <is>
          <t>RECARGAS DEVOLVIDAS</t>
        </is>
      </c>
    </row>
    <row r="44">
      <c r="A44" t="n">
        <v>128</v>
      </c>
      <c r="B44" t="inlineStr">
        <is>
          <t>Love Cabaret</t>
        </is>
      </c>
      <c r="C44" s="27" t="n">
        <v>46004</v>
      </c>
      <c r="D44" t="n">
        <v>0</v>
      </c>
      <c r="E44" t="inlineStr">
        <is>
          <t>NOTAS MANUAIS + SERVIÇO</t>
        </is>
      </c>
    </row>
    <row r="45">
      <c r="A45" t="n">
        <v>128</v>
      </c>
      <c r="B45" t="inlineStr">
        <is>
          <t>Love Cabaret</t>
        </is>
      </c>
      <c r="C45" s="27" t="n">
        <v>46004</v>
      </c>
      <c r="D45" t="n">
        <v>0</v>
      </c>
      <c r="E45" t="inlineStr">
        <is>
          <t>AME</t>
        </is>
      </c>
    </row>
    <row r="46">
      <c r="A46" t="n">
        <v>128</v>
      </c>
      <c r="B46" t="inlineStr">
        <is>
          <t>Love Cabaret</t>
        </is>
      </c>
      <c r="C46" s="27" t="n">
        <v>46004</v>
      </c>
      <c r="D46" t="n">
        <v>0</v>
      </c>
      <c r="E46" t="inlineStr">
        <is>
          <t>OUTROS</t>
        </is>
      </c>
    </row>
    <row r="47">
      <c r="A47" t="n">
        <v>128</v>
      </c>
      <c r="B47" t="inlineStr">
        <is>
          <t>Love Cabaret</t>
        </is>
      </c>
      <c r="C47" s="27" t="n">
        <v>46004</v>
      </c>
      <c r="D47" t="n">
        <v>0</v>
      </c>
      <c r="E47" t="inlineStr">
        <is>
          <t>ANTECIPADO</t>
        </is>
      </c>
    </row>
    <row r="48">
      <c r="A48" t="n">
        <v>128</v>
      </c>
      <c r="B48" t="inlineStr">
        <is>
          <t>Love Cabaret</t>
        </is>
      </c>
      <c r="C48" s="27" t="n">
        <v>46004</v>
      </c>
      <c r="D48" t="n">
        <v>0</v>
      </c>
      <c r="E48" t="inlineStr">
        <is>
          <t>BÔNUS</t>
        </is>
      </c>
    </row>
    <row r="49">
      <c r="A49" t="n">
        <v>128</v>
      </c>
      <c r="B49" t="inlineStr">
        <is>
          <t>Love Cabaret</t>
        </is>
      </c>
      <c r="C49" s="27" t="n">
        <v>46004</v>
      </c>
      <c r="D49" t="n">
        <v>5008.69</v>
      </c>
      <c r="E49" t="inlineStr">
        <is>
          <t>DÉBITO</t>
        </is>
      </c>
    </row>
    <row r="50">
      <c r="A50" t="n">
        <v>128</v>
      </c>
      <c r="B50" t="inlineStr">
        <is>
          <t>Love Cabaret</t>
        </is>
      </c>
      <c r="C50" s="27" t="n">
        <v>46004</v>
      </c>
      <c r="D50" t="n">
        <v>0</v>
      </c>
      <c r="E50" t="inlineStr">
        <is>
          <t>VOUCHER</t>
        </is>
      </c>
    </row>
    <row r="51">
      <c r="A51" t="n">
        <v>128</v>
      </c>
      <c r="B51" t="inlineStr">
        <is>
          <t>Love Cabaret</t>
        </is>
      </c>
      <c r="C51" s="27" t="n">
        <v>46004</v>
      </c>
      <c r="D51" t="n">
        <v>0</v>
      </c>
      <c r="E51" t="inlineStr">
        <is>
          <t>ANTECIPADO</t>
        </is>
      </c>
    </row>
    <row r="52">
      <c r="A52" t="n">
        <v>128</v>
      </c>
      <c r="B52" t="inlineStr">
        <is>
          <t>Love Cabaret</t>
        </is>
      </c>
      <c r="C52" s="27" t="n">
        <v>46004</v>
      </c>
      <c r="D52" t="n">
        <v>0</v>
      </c>
      <c r="E52" t="inlineStr">
        <is>
          <t>UBER</t>
        </is>
      </c>
    </row>
    <row r="53">
      <c r="A53" t="n">
        <v>128</v>
      </c>
      <c r="B53" t="inlineStr">
        <is>
          <t>Love Cabaret</t>
        </is>
      </c>
      <c r="C53" s="27" t="n">
        <v>46004</v>
      </c>
      <c r="D53" t="n">
        <v>0</v>
      </c>
      <c r="E53" t="inlineStr">
        <is>
          <t>RAPPI</t>
        </is>
      </c>
    </row>
    <row r="54">
      <c r="A54" t="n">
        <v>128</v>
      </c>
      <c r="B54" t="inlineStr">
        <is>
          <t>Love Cabaret</t>
        </is>
      </c>
      <c r="C54" s="27" t="n">
        <v>46004</v>
      </c>
      <c r="D54" t="n">
        <v>1619.64</v>
      </c>
      <c r="E54" t="inlineStr">
        <is>
          <t>PIX</t>
        </is>
      </c>
    </row>
    <row r="55">
      <c r="A55" t="n">
        <v>128</v>
      </c>
      <c r="B55" t="inlineStr">
        <is>
          <t>Love Cabaret</t>
        </is>
      </c>
      <c r="C55" s="27" t="n">
        <v>46004</v>
      </c>
      <c r="D55" t="n">
        <v>0</v>
      </c>
      <c r="E55" t="inlineStr">
        <is>
          <t>IFOOD</t>
        </is>
      </c>
    </row>
    <row r="56">
      <c r="A56" t="n">
        <v>128</v>
      </c>
      <c r="B56" t="inlineStr">
        <is>
          <t>Love Cabaret</t>
        </is>
      </c>
      <c r="C56" s="27" t="n">
        <v>46004</v>
      </c>
      <c r="D56" t="n">
        <v>0</v>
      </c>
      <c r="E56" t="inlineStr">
        <is>
          <t>DELIVERY ONLINE</t>
        </is>
      </c>
    </row>
    <row r="57">
      <c r="A57" t="n">
        <v>128</v>
      </c>
      <c r="B57" t="inlineStr">
        <is>
          <t>Love Cabaret</t>
        </is>
      </c>
      <c r="C57" s="27" t="n">
        <v>46004</v>
      </c>
      <c r="D57" t="n">
        <v>145.77</v>
      </c>
      <c r="E57" t="inlineStr">
        <is>
          <t>APP</t>
        </is>
      </c>
    </row>
    <row r="58">
      <c r="A58" t="n">
        <v>128</v>
      </c>
      <c r="B58" t="inlineStr">
        <is>
          <t>Love Cabaret</t>
        </is>
      </c>
      <c r="C58" s="27" t="n">
        <v>46004</v>
      </c>
      <c r="D58" t="n">
        <v>238.01</v>
      </c>
      <c r="E58" t="inlineStr">
        <is>
          <t>DINHEIRO</t>
        </is>
      </c>
    </row>
    <row r="59">
      <c r="A59" t="n">
        <v>128</v>
      </c>
      <c r="B59" t="inlineStr">
        <is>
          <t>Love Cabaret</t>
        </is>
      </c>
      <c r="C59" s="27" t="n">
        <v>46003</v>
      </c>
      <c r="D59" t="n">
        <v>0</v>
      </c>
      <c r="E59" t="inlineStr">
        <is>
          <t>MBWAY</t>
        </is>
      </c>
    </row>
    <row r="60">
      <c r="A60" t="n">
        <v>128</v>
      </c>
      <c r="B60" t="inlineStr">
        <is>
          <t>Love Cabaret</t>
        </is>
      </c>
      <c r="C60" s="27" t="n">
        <v>46003</v>
      </c>
      <c r="D60" t="n">
        <v>17439.03</v>
      </c>
      <c r="E60" t="inlineStr">
        <is>
          <t>CRÉDITO</t>
        </is>
      </c>
    </row>
    <row r="61">
      <c r="A61" t="n">
        <v>128</v>
      </c>
      <c r="B61" t="inlineStr">
        <is>
          <t>Love Cabaret</t>
        </is>
      </c>
      <c r="C61" s="27" t="n">
        <v>46003</v>
      </c>
      <c r="D61" t="n">
        <v>142.94</v>
      </c>
      <c r="E61" t="inlineStr">
        <is>
          <t>DINHEIRO</t>
        </is>
      </c>
    </row>
    <row r="62">
      <c r="A62" t="n">
        <v>128</v>
      </c>
      <c r="B62" t="inlineStr">
        <is>
          <t>Love Cabaret</t>
        </is>
      </c>
      <c r="C62" s="27" t="n">
        <v>46003</v>
      </c>
      <c r="D62" t="n">
        <v>149.16</v>
      </c>
      <c r="E62" t="inlineStr">
        <is>
          <t>APP</t>
        </is>
      </c>
    </row>
    <row r="63">
      <c r="A63" t="n">
        <v>128</v>
      </c>
      <c r="B63" t="inlineStr">
        <is>
          <t>Love Cabaret</t>
        </is>
      </c>
      <c r="C63" s="27" t="n">
        <v>46003</v>
      </c>
      <c r="D63" t="n">
        <v>0</v>
      </c>
      <c r="E63" t="inlineStr">
        <is>
          <t>DELIVERY ONLINE</t>
        </is>
      </c>
    </row>
    <row r="64">
      <c r="A64" t="n">
        <v>128</v>
      </c>
      <c r="B64" t="inlineStr">
        <is>
          <t>Love Cabaret</t>
        </is>
      </c>
      <c r="C64" s="27" t="n">
        <v>46003</v>
      </c>
      <c r="D64" t="n">
        <v>0</v>
      </c>
      <c r="E64" t="inlineStr">
        <is>
          <t>IFOOD</t>
        </is>
      </c>
    </row>
    <row r="65">
      <c r="A65" t="n">
        <v>128</v>
      </c>
      <c r="B65" t="inlineStr">
        <is>
          <t>Love Cabaret</t>
        </is>
      </c>
      <c r="C65" s="27" t="n">
        <v>46003</v>
      </c>
      <c r="D65" t="n">
        <v>2188.03</v>
      </c>
      <c r="E65" t="inlineStr">
        <is>
          <t>PIX</t>
        </is>
      </c>
    </row>
    <row r="66">
      <c r="A66" t="n">
        <v>128</v>
      </c>
      <c r="B66" t="inlineStr">
        <is>
          <t>Love Cabaret</t>
        </is>
      </c>
      <c r="C66" s="27" t="n">
        <v>46003</v>
      </c>
      <c r="D66" t="n">
        <v>0</v>
      </c>
      <c r="E66" t="inlineStr">
        <is>
          <t>RAPPI</t>
        </is>
      </c>
    </row>
    <row r="67">
      <c r="A67" t="n">
        <v>128</v>
      </c>
      <c r="B67" t="inlineStr">
        <is>
          <t>Love Cabaret</t>
        </is>
      </c>
      <c r="C67" s="27" t="n">
        <v>46003</v>
      </c>
      <c r="D67" t="n">
        <v>0</v>
      </c>
      <c r="E67" t="inlineStr">
        <is>
          <t>UBER</t>
        </is>
      </c>
    </row>
    <row r="68">
      <c r="A68" t="n">
        <v>128</v>
      </c>
      <c r="B68" t="inlineStr">
        <is>
          <t>Love Cabaret</t>
        </is>
      </c>
      <c r="C68" s="27" t="n">
        <v>46003</v>
      </c>
      <c r="D68" t="n">
        <v>0</v>
      </c>
      <c r="E68" t="inlineStr">
        <is>
          <t>ANTECIPADO</t>
        </is>
      </c>
    </row>
    <row r="69">
      <c r="A69" t="n">
        <v>128</v>
      </c>
      <c r="B69" t="inlineStr">
        <is>
          <t>Love Cabaret</t>
        </is>
      </c>
      <c r="C69" s="27" t="n">
        <v>46003</v>
      </c>
      <c r="D69" t="n">
        <v>8852.15</v>
      </c>
      <c r="E69" t="inlineStr">
        <is>
          <t>DÉBITO</t>
        </is>
      </c>
    </row>
    <row r="70">
      <c r="A70" t="n">
        <v>128</v>
      </c>
      <c r="B70" t="inlineStr">
        <is>
          <t>Love Cabaret</t>
        </is>
      </c>
      <c r="C70" s="27" t="n">
        <v>46003</v>
      </c>
      <c r="D70" t="n">
        <v>0</v>
      </c>
      <c r="E70" t="inlineStr">
        <is>
          <t>BÔNUS</t>
        </is>
      </c>
    </row>
    <row r="71">
      <c r="A71" t="n">
        <v>128</v>
      </c>
      <c r="B71" t="inlineStr">
        <is>
          <t>Love Cabaret</t>
        </is>
      </c>
      <c r="C71" s="27" t="n">
        <v>46003</v>
      </c>
      <c r="D71" t="n">
        <v>0</v>
      </c>
      <c r="E71" t="inlineStr">
        <is>
          <t>ANTECIPADO</t>
        </is>
      </c>
    </row>
    <row r="72">
      <c r="A72" t="n">
        <v>128</v>
      </c>
      <c r="B72" t="inlineStr">
        <is>
          <t>Love Cabaret</t>
        </is>
      </c>
      <c r="C72" s="27" t="n">
        <v>46003</v>
      </c>
      <c r="D72" t="n">
        <v>0</v>
      </c>
      <c r="E72" t="inlineStr">
        <is>
          <t>OUTROS</t>
        </is>
      </c>
    </row>
    <row r="73">
      <c r="A73" t="n">
        <v>128</v>
      </c>
      <c r="B73" t="inlineStr">
        <is>
          <t>Love Cabaret</t>
        </is>
      </c>
      <c r="C73" s="27" t="n">
        <v>46003</v>
      </c>
      <c r="D73" t="n">
        <v>0</v>
      </c>
      <c r="E73" t="inlineStr">
        <is>
          <t>AME</t>
        </is>
      </c>
    </row>
    <row r="74">
      <c r="A74" t="n">
        <v>128</v>
      </c>
      <c r="B74" t="inlineStr">
        <is>
          <t>Love Cabaret</t>
        </is>
      </c>
      <c r="C74" s="27" t="n">
        <v>46003</v>
      </c>
      <c r="D74" t="n">
        <v>0</v>
      </c>
      <c r="E74" t="inlineStr">
        <is>
          <t>NOTAS MANUAIS + SERVIÇO</t>
        </is>
      </c>
    </row>
    <row r="75">
      <c r="A75" t="n">
        <v>128</v>
      </c>
      <c r="B75" t="inlineStr">
        <is>
          <t>Love Cabaret</t>
        </is>
      </c>
      <c r="C75" s="27" t="n">
        <v>46003</v>
      </c>
      <c r="D75" t="n">
        <v>0</v>
      </c>
      <c r="E75" t="inlineStr">
        <is>
          <t>RECARGAS DEVOLVIDAS</t>
        </is>
      </c>
    </row>
    <row r="76">
      <c r="A76" t="n">
        <v>128</v>
      </c>
      <c r="B76" t="inlineStr">
        <is>
          <t>Love Cabaret</t>
        </is>
      </c>
      <c r="C76" s="27" t="n">
        <v>46003</v>
      </c>
      <c r="D76" t="n">
        <v>0</v>
      </c>
      <c r="E76" t="inlineStr">
        <is>
          <t>VOUCHER INTEGRADO</t>
        </is>
      </c>
    </row>
    <row r="77">
      <c r="A77" t="n">
        <v>128</v>
      </c>
      <c r="B77" t="inlineStr">
        <is>
          <t>Love Cabaret</t>
        </is>
      </c>
      <c r="C77" s="27" t="n">
        <v>46003</v>
      </c>
      <c r="D77" t="n">
        <v>0</v>
      </c>
      <c r="E77" t="inlineStr">
        <is>
          <t>VOUCHER</t>
        </is>
      </c>
    </row>
    <row r="78">
      <c r="A78" t="n">
        <v>128</v>
      </c>
      <c r="B78" t="inlineStr">
        <is>
          <t>Love Cabaret</t>
        </is>
      </c>
      <c r="C78" s="27" t="n">
        <v>45997</v>
      </c>
      <c r="D78" t="n">
        <v>0</v>
      </c>
      <c r="E78" t="inlineStr">
        <is>
          <t>RAPPI</t>
        </is>
      </c>
    </row>
    <row r="79">
      <c r="A79" t="n">
        <v>128</v>
      </c>
      <c r="B79" t="inlineStr">
        <is>
          <t>Love Cabaret</t>
        </is>
      </c>
      <c r="C79" s="27" t="n">
        <v>45997</v>
      </c>
      <c r="D79" t="n">
        <v>1256.1</v>
      </c>
      <c r="E79" t="inlineStr">
        <is>
          <t>PIX</t>
        </is>
      </c>
    </row>
    <row r="80">
      <c r="A80" t="n">
        <v>128</v>
      </c>
      <c r="B80" t="inlineStr">
        <is>
          <t>Love Cabaret</t>
        </is>
      </c>
      <c r="C80" s="27" t="n">
        <v>45997</v>
      </c>
      <c r="D80" t="n">
        <v>0</v>
      </c>
      <c r="E80" t="inlineStr">
        <is>
          <t>UBER</t>
        </is>
      </c>
    </row>
    <row r="81">
      <c r="A81" t="n">
        <v>128</v>
      </c>
      <c r="B81" t="inlineStr">
        <is>
          <t>Love Cabaret</t>
        </is>
      </c>
      <c r="C81" s="27" t="n">
        <v>45997</v>
      </c>
      <c r="D81" t="n">
        <v>0</v>
      </c>
      <c r="E81" t="inlineStr">
        <is>
          <t>ANTECIPADO</t>
        </is>
      </c>
    </row>
    <row r="82">
      <c r="A82" t="n">
        <v>128</v>
      </c>
      <c r="B82" t="inlineStr">
        <is>
          <t>Love Cabaret</t>
        </is>
      </c>
      <c r="C82" s="27" t="n">
        <v>45997</v>
      </c>
      <c r="D82" t="n">
        <v>0</v>
      </c>
      <c r="E82" t="inlineStr">
        <is>
          <t>VOUCHER</t>
        </is>
      </c>
    </row>
    <row r="83">
      <c r="A83" t="n">
        <v>128</v>
      </c>
      <c r="B83" t="inlineStr">
        <is>
          <t>Love Cabaret</t>
        </is>
      </c>
      <c r="C83" s="27" t="n">
        <v>45997</v>
      </c>
      <c r="D83" t="n">
        <v>8241.74</v>
      </c>
      <c r="E83" t="inlineStr">
        <is>
          <t>DÉBITO</t>
        </is>
      </c>
    </row>
    <row r="84">
      <c r="A84" t="n">
        <v>128</v>
      </c>
      <c r="B84" t="inlineStr">
        <is>
          <t>Love Cabaret</t>
        </is>
      </c>
      <c r="C84" s="27" t="n">
        <v>45997</v>
      </c>
      <c r="D84" t="n">
        <v>0</v>
      </c>
      <c r="E84" t="inlineStr">
        <is>
          <t>BÔNUS</t>
        </is>
      </c>
    </row>
    <row r="85">
      <c r="A85" t="n">
        <v>128</v>
      </c>
      <c r="B85" t="inlineStr">
        <is>
          <t>Love Cabaret</t>
        </is>
      </c>
      <c r="C85" s="27" t="n">
        <v>45997</v>
      </c>
      <c r="D85" t="n">
        <v>0</v>
      </c>
      <c r="E85" t="inlineStr">
        <is>
          <t>ANTECIPADO</t>
        </is>
      </c>
    </row>
    <row r="86">
      <c r="A86" t="n">
        <v>128</v>
      </c>
      <c r="B86" t="inlineStr">
        <is>
          <t>Love Cabaret</t>
        </is>
      </c>
      <c r="C86" s="27" t="n">
        <v>45997</v>
      </c>
      <c r="D86" t="n">
        <v>0</v>
      </c>
      <c r="E86" t="inlineStr">
        <is>
          <t>OUTROS</t>
        </is>
      </c>
    </row>
    <row r="87">
      <c r="A87" t="n">
        <v>128</v>
      </c>
      <c r="B87" t="inlineStr">
        <is>
          <t>Love Cabaret</t>
        </is>
      </c>
      <c r="C87" s="27" t="n">
        <v>45997</v>
      </c>
      <c r="D87" t="n">
        <v>0</v>
      </c>
      <c r="E87" t="inlineStr">
        <is>
          <t>AME</t>
        </is>
      </c>
    </row>
    <row r="88">
      <c r="A88" t="n">
        <v>128</v>
      </c>
      <c r="B88" t="inlineStr">
        <is>
          <t>Love Cabaret</t>
        </is>
      </c>
      <c r="C88" s="27" t="n">
        <v>45997</v>
      </c>
      <c r="D88" t="n">
        <v>0</v>
      </c>
      <c r="E88" t="inlineStr">
        <is>
          <t>NOTAS MANUAIS + SERVIÇO</t>
        </is>
      </c>
    </row>
    <row r="89">
      <c r="A89" t="n">
        <v>128</v>
      </c>
      <c r="B89" t="inlineStr">
        <is>
          <t>Love Cabaret</t>
        </is>
      </c>
      <c r="C89" s="27" t="n">
        <v>45997</v>
      </c>
      <c r="D89" t="n">
        <v>0</v>
      </c>
      <c r="E89" t="inlineStr">
        <is>
          <t>RECARGAS DEVOLVIDAS</t>
        </is>
      </c>
    </row>
    <row r="90">
      <c r="A90" t="n">
        <v>128</v>
      </c>
      <c r="B90" t="inlineStr">
        <is>
          <t>Love Cabaret</t>
        </is>
      </c>
      <c r="C90" s="27" t="n">
        <v>45997</v>
      </c>
      <c r="D90" t="n">
        <v>0</v>
      </c>
      <c r="E90" t="inlineStr">
        <is>
          <t>VOUCHER INTEGRADO</t>
        </is>
      </c>
    </row>
    <row r="91">
      <c r="A91" t="n">
        <v>128</v>
      </c>
      <c r="B91" t="inlineStr">
        <is>
          <t>Love Cabaret</t>
        </is>
      </c>
      <c r="C91" s="27" t="n">
        <v>45997</v>
      </c>
      <c r="D91" t="n">
        <v>0</v>
      </c>
      <c r="E91" t="inlineStr">
        <is>
          <t>MBWAY</t>
        </is>
      </c>
    </row>
    <row r="92">
      <c r="A92" t="n">
        <v>128</v>
      </c>
      <c r="B92" t="inlineStr">
        <is>
          <t>Love Cabaret</t>
        </is>
      </c>
      <c r="C92" s="27" t="n">
        <v>45997</v>
      </c>
      <c r="D92" t="n">
        <v>0</v>
      </c>
      <c r="E92" t="inlineStr">
        <is>
          <t>IFOOD</t>
        </is>
      </c>
    </row>
    <row r="93">
      <c r="A93" t="n">
        <v>128</v>
      </c>
      <c r="B93" t="inlineStr">
        <is>
          <t>Love Cabaret</t>
        </is>
      </c>
      <c r="C93" s="27" t="n">
        <v>45997</v>
      </c>
      <c r="D93" t="n">
        <v>0</v>
      </c>
      <c r="E93" t="inlineStr">
        <is>
          <t>DELIVERY ONLINE</t>
        </is>
      </c>
    </row>
    <row r="94">
      <c r="A94" t="n">
        <v>128</v>
      </c>
      <c r="B94" t="inlineStr">
        <is>
          <t>Love Cabaret</t>
        </is>
      </c>
      <c r="C94" s="27" t="n">
        <v>45997</v>
      </c>
      <c r="D94" t="n">
        <v>0</v>
      </c>
      <c r="E94" t="inlineStr">
        <is>
          <t>APP</t>
        </is>
      </c>
    </row>
    <row r="95">
      <c r="A95" t="n">
        <v>128</v>
      </c>
      <c r="B95" t="inlineStr">
        <is>
          <t>Love Cabaret</t>
        </is>
      </c>
      <c r="C95" s="27" t="n">
        <v>45997</v>
      </c>
      <c r="D95" t="n">
        <v>0</v>
      </c>
      <c r="E95" t="inlineStr">
        <is>
          <t>DINHEIRO</t>
        </is>
      </c>
    </row>
    <row r="96">
      <c r="A96" t="n">
        <v>128</v>
      </c>
      <c r="B96" t="inlineStr">
        <is>
          <t>Love Cabaret</t>
        </is>
      </c>
      <c r="C96" s="27" t="n">
        <v>45997</v>
      </c>
      <c r="D96" t="n">
        <v>15324</v>
      </c>
      <c r="E96" t="inlineStr">
        <is>
          <t>CRÉDITO</t>
        </is>
      </c>
    </row>
    <row r="97">
      <c r="A97" t="n">
        <v>128</v>
      </c>
      <c r="B97" t="inlineStr">
        <is>
          <t>Love Cabaret</t>
        </is>
      </c>
      <c r="C97" s="27" t="n">
        <v>45996</v>
      </c>
      <c r="D97" t="n">
        <v>123.17</v>
      </c>
      <c r="E97" t="inlineStr">
        <is>
          <t>DINHEIRO</t>
        </is>
      </c>
    </row>
    <row r="98">
      <c r="A98" t="n">
        <v>128</v>
      </c>
      <c r="B98" t="inlineStr">
        <is>
          <t>Love Cabaret</t>
        </is>
      </c>
      <c r="C98" s="27" t="n">
        <v>45996</v>
      </c>
      <c r="D98" t="n">
        <v>0</v>
      </c>
      <c r="E98" t="inlineStr">
        <is>
          <t>VOUCHER</t>
        </is>
      </c>
    </row>
    <row r="99">
      <c r="A99" t="n">
        <v>128</v>
      </c>
      <c r="B99" t="inlineStr">
        <is>
          <t>Love Cabaret</t>
        </is>
      </c>
      <c r="C99" s="27" t="n">
        <v>45996</v>
      </c>
      <c r="D99" t="n">
        <v>0</v>
      </c>
      <c r="E99" t="inlineStr">
        <is>
          <t>ANTECIPADO</t>
        </is>
      </c>
    </row>
    <row r="100">
      <c r="A100" t="n">
        <v>128</v>
      </c>
      <c r="B100" t="inlineStr">
        <is>
          <t>Love Cabaret</t>
        </is>
      </c>
      <c r="C100" s="27" t="n">
        <v>45996</v>
      </c>
      <c r="D100" t="n">
        <v>0</v>
      </c>
      <c r="E100" t="inlineStr">
        <is>
          <t>UBER</t>
        </is>
      </c>
    </row>
    <row r="101">
      <c r="A101" t="n">
        <v>128</v>
      </c>
      <c r="B101" t="inlineStr">
        <is>
          <t>Love Cabaret</t>
        </is>
      </c>
      <c r="C101" s="27" t="n">
        <v>45996</v>
      </c>
      <c r="D101" t="n">
        <v>0</v>
      </c>
      <c r="E101" t="inlineStr">
        <is>
          <t>RAPPI</t>
        </is>
      </c>
    </row>
    <row r="102">
      <c r="A102" t="n">
        <v>128</v>
      </c>
      <c r="B102" t="inlineStr">
        <is>
          <t>Love Cabaret</t>
        </is>
      </c>
      <c r="C102" s="27" t="n">
        <v>45996</v>
      </c>
      <c r="D102" t="n">
        <v>7089.13</v>
      </c>
      <c r="E102" t="inlineStr">
        <is>
          <t>DÉBITO</t>
        </is>
      </c>
    </row>
    <row r="103">
      <c r="A103" t="n">
        <v>128</v>
      </c>
      <c r="B103" t="inlineStr">
        <is>
          <t>Love Cabaret</t>
        </is>
      </c>
      <c r="C103" s="27" t="n">
        <v>45996</v>
      </c>
      <c r="D103" t="n">
        <v>0</v>
      </c>
      <c r="E103" t="inlineStr">
        <is>
          <t>BÔNUS</t>
        </is>
      </c>
    </row>
    <row r="104">
      <c r="A104" t="n">
        <v>128</v>
      </c>
      <c r="B104" t="inlineStr">
        <is>
          <t>Love Cabaret</t>
        </is>
      </c>
      <c r="C104" s="27" t="n">
        <v>45996</v>
      </c>
      <c r="D104" t="n">
        <v>0</v>
      </c>
      <c r="E104" t="inlineStr">
        <is>
          <t>ANTECIPADO</t>
        </is>
      </c>
    </row>
    <row r="105">
      <c r="A105" t="n">
        <v>128</v>
      </c>
      <c r="B105" t="inlineStr">
        <is>
          <t>Love Cabaret</t>
        </is>
      </c>
      <c r="C105" s="27" t="n">
        <v>45996</v>
      </c>
      <c r="D105" t="n">
        <v>0</v>
      </c>
      <c r="E105" t="inlineStr">
        <is>
          <t>OUTROS</t>
        </is>
      </c>
    </row>
    <row r="106">
      <c r="A106" t="n">
        <v>128</v>
      </c>
      <c r="B106" t="inlineStr">
        <is>
          <t>Love Cabaret</t>
        </is>
      </c>
      <c r="C106" s="27" t="n">
        <v>45996</v>
      </c>
      <c r="D106" t="n">
        <v>2749.54</v>
      </c>
      <c r="E106" t="inlineStr">
        <is>
          <t>PIX</t>
        </is>
      </c>
    </row>
    <row r="107">
      <c r="A107" t="n">
        <v>128</v>
      </c>
      <c r="B107" t="inlineStr">
        <is>
          <t>Love Cabaret</t>
        </is>
      </c>
      <c r="C107" s="27" t="n">
        <v>45996</v>
      </c>
      <c r="D107" t="n">
        <v>0</v>
      </c>
      <c r="E107" t="inlineStr">
        <is>
          <t>IFOOD</t>
        </is>
      </c>
    </row>
    <row r="108">
      <c r="A108" t="n">
        <v>128</v>
      </c>
      <c r="B108" t="inlineStr">
        <is>
          <t>Love Cabaret</t>
        </is>
      </c>
      <c r="C108" s="27" t="n">
        <v>45996</v>
      </c>
      <c r="D108" t="n">
        <v>0</v>
      </c>
      <c r="E108" t="inlineStr">
        <is>
          <t>DELIVERY ONLINE</t>
        </is>
      </c>
    </row>
    <row r="109">
      <c r="A109" t="n">
        <v>128</v>
      </c>
      <c r="B109" t="inlineStr">
        <is>
          <t>Love Cabaret</t>
        </is>
      </c>
      <c r="C109" s="27" t="n">
        <v>45996</v>
      </c>
      <c r="D109" t="n">
        <v>189.54</v>
      </c>
      <c r="E109" t="inlineStr">
        <is>
          <t>APP</t>
        </is>
      </c>
    </row>
    <row r="110">
      <c r="A110" t="n">
        <v>128</v>
      </c>
      <c r="B110" t="inlineStr">
        <is>
          <t>Love Cabaret</t>
        </is>
      </c>
      <c r="C110" s="27" t="n">
        <v>45996</v>
      </c>
      <c r="D110" t="n">
        <v>18574.32</v>
      </c>
      <c r="E110" t="inlineStr">
        <is>
          <t>CRÉDITO</t>
        </is>
      </c>
    </row>
    <row r="111">
      <c r="A111" t="n">
        <v>128</v>
      </c>
      <c r="B111" t="inlineStr">
        <is>
          <t>Love Cabaret</t>
        </is>
      </c>
      <c r="C111" s="27" t="n">
        <v>45996</v>
      </c>
      <c r="D111" t="n">
        <v>0</v>
      </c>
      <c r="E111" t="inlineStr">
        <is>
          <t>AME</t>
        </is>
      </c>
    </row>
    <row r="112">
      <c r="A112" t="n">
        <v>128</v>
      </c>
      <c r="B112" t="inlineStr">
        <is>
          <t>Love Cabaret</t>
        </is>
      </c>
      <c r="C112" s="27" t="n">
        <v>45996</v>
      </c>
      <c r="D112" t="n">
        <v>0</v>
      </c>
      <c r="E112" t="inlineStr">
        <is>
          <t>NOTAS MANUAIS + SERVIÇO</t>
        </is>
      </c>
    </row>
    <row r="113">
      <c r="A113" t="n">
        <v>128</v>
      </c>
      <c r="B113" t="inlineStr">
        <is>
          <t>Love Cabaret</t>
        </is>
      </c>
      <c r="C113" s="27" t="n">
        <v>45996</v>
      </c>
      <c r="D113" t="n">
        <v>0</v>
      </c>
      <c r="E113" t="inlineStr">
        <is>
          <t>RECARGAS DEVOLVIDAS</t>
        </is>
      </c>
    </row>
    <row r="114">
      <c r="A114" t="n">
        <v>128</v>
      </c>
      <c r="B114" t="inlineStr">
        <is>
          <t>Love Cabaret</t>
        </is>
      </c>
      <c r="C114" s="27" t="n">
        <v>45996</v>
      </c>
      <c r="D114" t="n">
        <v>0</v>
      </c>
      <c r="E114" t="inlineStr">
        <is>
          <t>VOUCHER INTEGRADO</t>
        </is>
      </c>
    </row>
    <row r="115">
      <c r="A115" t="n">
        <v>128</v>
      </c>
      <c r="B115" t="inlineStr">
        <is>
          <t>Love Cabaret</t>
        </is>
      </c>
      <c r="C115" s="27" t="n">
        <v>45996</v>
      </c>
      <c r="D115" t="n">
        <v>0</v>
      </c>
      <c r="E115" t="inlineStr">
        <is>
          <t>MBWAY</t>
        </is>
      </c>
    </row>
    <row r="116">
      <c r="A116" t="n">
        <v>128</v>
      </c>
      <c r="B116" t="inlineStr">
        <is>
          <t>Love Cabaret</t>
        </is>
      </c>
      <c r="C116" s="27" t="n">
        <v>45995</v>
      </c>
      <c r="D116" t="n">
        <v>0</v>
      </c>
      <c r="E116" t="inlineStr">
        <is>
          <t>OUTROS</t>
        </is>
      </c>
    </row>
    <row r="117">
      <c r="A117" t="n">
        <v>128</v>
      </c>
      <c r="B117" t="inlineStr">
        <is>
          <t>Love Cabaret</t>
        </is>
      </c>
      <c r="C117" s="27" t="n">
        <v>45995</v>
      </c>
      <c r="D117" t="n">
        <v>0</v>
      </c>
      <c r="E117" t="inlineStr">
        <is>
          <t>ANTECIPADO</t>
        </is>
      </c>
    </row>
    <row r="118">
      <c r="A118" t="n">
        <v>128</v>
      </c>
      <c r="B118" t="inlineStr">
        <is>
          <t>Love Cabaret</t>
        </is>
      </c>
      <c r="C118" s="27" t="n">
        <v>45995</v>
      </c>
      <c r="D118" t="n">
        <v>0</v>
      </c>
      <c r="E118" t="inlineStr">
        <is>
          <t>VOUCHER</t>
        </is>
      </c>
    </row>
    <row r="119">
      <c r="A119" t="n">
        <v>128</v>
      </c>
      <c r="B119" t="inlineStr">
        <is>
          <t>Love Cabaret</t>
        </is>
      </c>
      <c r="C119" s="27" t="n">
        <v>45995</v>
      </c>
      <c r="D119" t="n">
        <v>7423.85</v>
      </c>
      <c r="E119" t="inlineStr">
        <is>
          <t>DÉBITO</t>
        </is>
      </c>
    </row>
    <row r="120">
      <c r="A120" t="n">
        <v>128</v>
      </c>
      <c r="B120" t="inlineStr">
        <is>
          <t>Love Cabaret</t>
        </is>
      </c>
      <c r="C120" s="27" t="n">
        <v>45995</v>
      </c>
      <c r="D120" t="n">
        <v>0</v>
      </c>
      <c r="E120" t="inlineStr">
        <is>
          <t>ANTECIPADO</t>
        </is>
      </c>
    </row>
    <row r="121">
      <c r="A121" t="n">
        <v>128</v>
      </c>
      <c r="B121" t="inlineStr">
        <is>
          <t>Love Cabaret</t>
        </is>
      </c>
      <c r="C121" s="27" t="n">
        <v>45995</v>
      </c>
      <c r="D121" t="n">
        <v>0</v>
      </c>
      <c r="E121" t="inlineStr">
        <is>
          <t>BÔNUS</t>
        </is>
      </c>
    </row>
    <row r="122">
      <c r="A122" t="n">
        <v>128</v>
      </c>
      <c r="B122" t="inlineStr">
        <is>
          <t>Love Cabaret</t>
        </is>
      </c>
      <c r="C122" s="27" t="n">
        <v>45995</v>
      </c>
      <c r="D122" t="n">
        <v>0</v>
      </c>
      <c r="E122" t="inlineStr">
        <is>
          <t>AME</t>
        </is>
      </c>
    </row>
    <row r="123">
      <c r="A123" t="n">
        <v>128</v>
      </c>
      <c r="B123" t="inlineStr">
        <is>
          <t>Love Cabaret</t>
        </is>
      </c>
      <c r="C123" s="27" t="n">
        <v>45995</v>
      </c>
      <c r="D123" t="n">
        <v>0</v>
      </c>
      <c r="E123" t="inlineStr">
        <is>
          <t>NOTAS MANUAIS + SERVIÇO</t>
        </is>
      </c>
    </row>
    <row r="124">
      <c r="A124" t="n">
        <v>128</v>
      </c>
      <c r="B124" t="inlineStr">
        <is>
          <t>Love Cabaret</t>
        </is>
      </c>
      <c r="C124" s="27" t="n">
        <v>45995</v>
      </c>
      <c r="D124" t="n">
        <v>0</v>
      </c>
      <c r="E124" t="inlineStr">
        <is>
          <t>RECARGAS DEVOLVIDAS</t>
        </is>
      </c>
    </row>
    <row r="125">
      <c r="A125" t="n">
        <v>128</v>
      </c>
      <c r="B125" t="inlineStr">
        <is>
          <t>Love Cabaret</t>
        </is>
      </c>
      <c r="C125" s="27" t="n">
        <v>45995</v>
      </c>
      <c r="D125" t="n">
        <v>0</v>
      </c>
      <c r="E125" t="inlineStr">
        <is>
          <t>VOUCHER INTEGRADO</t>
        </is>
      </c>
    </row>
    <row r="126">
      <c r="A126" t="n">
        <v>128</v>
      </c>
      <c r="B126" t="inlineStr">
        <is>
          <t>Love Cabaret</t>
        </is>
      </c>
      <c r="C126" s="27" t="n">
        <v>45995</v>
      </c>
      <c r="D126" t="n">
        <v>0</v>
      </c>
      <c r="E126" t="inlineStr">
        <is>
          <t>MBWAY</t>
        </is>
      </c>
    </row>
    <row r="127">
      <c r="A127" t="n">
        <v>128</v>
      </c>
      <c r="B127" t="inlineStr">
        <is>
          <t>Love Cabaret</t>
        </is>
      </c>
      <c r="C127" s="27" t="n">
        <v>45995</v>
      </c>
      <c r="D127" t="n">
        <v>0</v>
      </c>
      <c r="E127" t="inlineStr">
        <is>
          <t>RAPPI</t>
        </is>
      </c>
    </row>
    <row r="128">
      <c r="A128" t="n">
        <v>128</v>
      </c>
      <c r="B128" t="inlineStr">
        <is>
          <t>Love Cabaret</t>
        </is>
      </c>
      <c r="C128" s="27" t="n">
        <v>45995</v>
      </c>
      <c r="D128" t="n">
        <v>0</v>
      </c>
      <c r="E128" t="inlineStr">
        <is>
          <t>UBER</t>
        </is>
      </c>
    </row>
    <row r="129">
      <c r="A129" t="n">
        <v>128</v>
      </c>
      <c r="B129" t="inlineStr">
        <is>
          <t>Love Cabaret</t>
        </is>
      </c>
      <c r="C129" s="27" t="n">
        <v>45995</v>
      </c>
      <c r="D129" t="n">
        <v>1985.21</v>
      </c>
      <c r="E129" t="inlineStr">
        <is>
          <t>PIX</t>
        </is>
      </c>
    </row>
    <row r="130">
      <c r="A130" t="n">
        <v>128</v>
      </c>
      <c r="B130" t="inlineStr">
        <is>
          <t>Love Cabaret</t>
        </is>
      </c>
      <c r="C130" s="27" t="n">
        <v>45995</v>
      </c>
      <c r="D130" t="n">
        <v>0</v>
      </c>
      <c r="E130" t="inlineStr">
        <is>
          <t>IFOOD</t>
        </is>
      </c>
    </row>
    <row r="131">
      <c r="A131" t="n">
        <v>128</v>
      </c>
      <c r="B131" t="inlineStr">
        <is>
          <t>Love Cabaret</t>
        </is>
      </c>
      <c r="C131" s="27" t="n">
        <v>45995</v>
      </c>
      <c r="D131" t="n">
        <v>0</v>
      </c>
      <c r="E131" t="inlineStr">
        <is>
          <t>DELIVERY ONLINE</t>
        </is>
      </c>
    </row>
    <row r="132">
      <c r="A132" t="n">
        <v>128</v>
      </c>
      <c r="B132" t="inlineStr">
        <is>
          <t>Love Cabaret</t>
        </is>
      </c>
      <c r="C132" s="27" t="n">
        <v>45995</v>
      </c>
      <c r="D132" t="n">
        <v>100</v>
      </c>
      <c r="E132" t="inlineStr">
        <is>
          <t>APP</t>
        </is>
      </c>
    </row>
    <row r="133">
      <c r="A133" t="n">
        <v>128</v>
      </c>
      <c r="B133" t="inlineStr">
        <is>
          <t>Love Cabaret</t>
        </is>
      </c>
      <c r="C133" s="27" t="n">
        <v>45995</v>
      </c>
      <c r="D133" t="n">
        <v>13976.66</v>
      </c>
      <c r="E133" t="inlineStr">
        <is>
          <t>CRÉDITO</t>
        </is>
      </c>
    </row>
    <row r="134">
      <c r="A134" t="n">
        <v>128</v>
      </c>
      <c r="B134" t="inlineStr">
        <is>
          <t>Love Cabaret</t>
        </is>
      </c>
      <c r="C134" s="27" t="n">
        <v>45995</v>
      </c>
      <c r="D134" t="n">
        <v>1025.8</v>
      </c>
      <c r="E134" t="inlineStr">
        <is>
          <t>DINHEIRO</t>
        </is>
      </c>
    </row>
    <row r="135">
      <c r="A135" t="n">
        <v>128</v>
      </c>
      <c r="B135" t="inlineStr">
        <is>
          <t>Love Cabaret</t>
        </is>
      </c>
      <c r="C135" s="27" t="n">
        <v>45994</v>
      </c>
      <c r="D135" t="n">
        <v>0</v>
      </c>
      <c r="E135" t="inlineStr">
        <is>
          <t>ANTECIPADO</t>
        </is>
      </c>
    </row>
    <row r="136">
      <c r="A136" t="n">
        <v>128</v>
      </c>
      <c r="B136" t="inlineStr">
        <is>
          <t>Love Cabaret</t>
        </is>
      </c>
      <c r="C136" s="27" t="n">
        <v>45994</v>
      </c>
      <c r="D136" t="n">
        <v>0</v>
      </c>
      <c r="E136" t="inlineStr">
        <is>
          <t>APP</t>
        </is>
      </c>
    </row>
    <row r="137">
      <c r="A137" t="n">
        <v>128</v>
      </c>
      <c r="B137" t="inlineStr">
        <is>
          <t>Love Cabaret</t>
        </is>
      </c>
      <c r="C137" s="27" t="n">
        <v>45994</v>
      </c>
      <c r="D137" t="n">
        <v>0</v>
      </c>
      <c r="E137" t="inlineStr">
        <is>
          <t>PIX</t>
        </is>
      </c>
    </row>
    <row r="138">
      <c r="A138" t="n">
        <v>128</v>
      </c>
      <c r="B138" t="inlineStr">
        <is>
          <t>Love Cabaret</t>
        </is>
      </c>
      <c r="C138" s="27" t="n">
        <v>45994</v>
      </c>
      <c r="D138" t="n">
        <v>0</v>
      </c>
      <c r="E138" t="inlineStr">
        <is>
          <t>RAPPI</t>
        </is>
      </c>
    </row>
    <row r="139">
      <c r="A139" t="n">
        <v>128</v>
      </c>
      <c r="B139" t="inlineStr">
        <is>
          <t>Love Cabaret</t>
        </is>
      </c>
      <c r="C139" s="27" t="n">
        <v>45994</v>
      </c>
      <c r="D139" t="n">
        <v>0</v>
      </c>
      <c r="E139" t="inlineStr">
        <is>
          <t>UBER</t>
        </is>
      </c>
    </row>
    <row r="140">
      <c r="A140" t="n">
        <v>128</v>
      </c>
      <c r="B140" t="inlineStr">
        <is>
          <t>Love Cabaret</t>
        </is>
      </c>
      <c r="C140" s="27" t="n">
        <v>45994</v>
      </c>
      <c r="D140" t="n">
        <v>0</v>
      </c>
      <c r="E140" t="inlineStr">
        <is>
          <t>VOUCHER</t>
        </is>
      </c>
    </row>
    <row r="141">
      <c r="A141" t="n">
        <v>128</v>
      </c>
      <c r="B141" t="inlineStr">
        <is>
          <t>Love Cabaret</t>
        </is>
      </c>
      <c r="C141" s="27" t="n">
        <v>45994</v>
      </c>
      <c r="D141" t="n">
        <v>0</v>
      </c>
      <c r="E141" t="inlineStr">
        <is>
          <t>DÉBITO</t>
        </is>
      </c>
    </row>
    <row r="142">
      <c r="A142" t="n">
        <v>128</v>
      </c>
      <c r="B142" t="inlineStr">
        <is>
          <t>Love Cabaret</t>
        </is>
      </c>
      <c r="C142" s="27" t="n">
        <v>45994</v>
      </c>
      <c r="D142" t="n">
        <v>0</v>
      </c>
      <c r="E142" t="inlineStr">
        <is>
          <t>ANTECIPADO</t>
        </is>
      </c>
    </row>
    <row r="143">
      <c r="A143" t="n">
        <v>128</v>
      </c>
      <c r="B143" t="inlineStr">
        <is>
          <t>Love Cabaret</t>
        </is>
      </c>
      <c r="C143" s="27" t="n">
        <v>45994</v>
      </c>
      <c r="D143" t="n">
        <v>0</v>
      </c>
      <c r="E143" t="inlineStr">
        <is>
          <t>DELIVERY ONLINE</t>
        </is>
      </c>
    </row>
    <row r="144">
      <c r="A144" t="n">
        <v>128</v>
      </c>
      <c r="B144" t="inlineStr">
        <is>
          <t>Love Cabaret</t>
        </is>
      </c>
      <c r="C144" s="27" t="n">
        <v>45994</v>
      </c>
      <c r="D144" t="n">
        <v>0</v>
      </c>
      <c r="E144" t="inlineStr">
        <is>
          <t>IFOOD</t>
        </is>
      </c>
    </row>
    <row r="145">
      <c r="A145" t="n">
        <v>128</v>
      </c>
      <c r="B145" t="inlineStr">
        <is>
          <t>Love Cabaret</t>
        </is>
      </c>
      <c r="C145" s="27" t="n">
        <v>45994</v>
      </c>
      <c r="D145" t="n">
        <v>0</v>
      </c>
      <c r="E145" t="inlineStr">
        <is>
          <t>MBWAY</t>
        </is>
      </c>
    </row>
    <row r="146">
      <c r="A146" t="n">
        <v>128</v>
      </c>
      <c r="B146" t="inlineStr">
        <is>
          <t>Love Cabaret</t>
        </is>
      </c>
      <c r="C146" s="27" t="n">
        <v>45994</v>
      </c>
      <c r="D146" t="n">
        <v>0</v>
      </c>
      <c r="E146" t="inlineStr">
        <is>
          <t>VOUCHER INTEGRADO</t>
        </is>
      </c>
    </row>
    <row r="147">
      <c r="A147" t="n">
        <v>128</v>
      </c>
      <c r="B147" t="inlineStr">
        <is>
          <t>Love Cabaret</t>
        </is>
      </c>
      <c r="C147" s="27" t="n">
        <v>45994</v>
      </c>
      <c r="D147" t="n">
        <v>0</v>
      </c>
      <c r="E147" t="inlineStr">
        <is>
          <t>RECARGAS DEVOLVIDAS</t>
        </is>
      </c>
    </row>
    <row r="148">
      <c r="A148" t="n">
        <v>128</v>
      </c>
      <c r="B148" t="inlineStr">
        <is>
          <t>Love Cabaret</t>
        </is>
      </c>
      <c r="C148" s="27" t="n">
        <v>45994</v>
      </c>
      <c r="D148" t="n">
        <v>0</v>
      </c>
      <c r="E148" t="inlineStr">
        <is>
          <t>NOTAS MANUAIS + SERVIÇO</t>
        </is>
      </c>
    </row>
    <row r="149">
      <c r="A149" t="n">
        <v>128</v>
      </c>
      <c r="B149" t="inlineStr">
        <is>
          <t>Love Cabaret</t>
        </is>
      </c>
      <c r="C149" s="27" t="n">
        <v>45994</v>
      </c>
      <c r="D149" t="n">
        <v>0</v>
      </c>
      <c r="E149" t="inlineStr">
        <is>
          <t>AME</t>
        </is>
      </c>
    </row>
    <row r="150">
      <c r="A150" t="n">
        <v>128</v>
      </c>
      <c r="B150" t="inlineStr">
        <is>
          <t>Love Cabaret</t>
        </is>
      </c>
      <c r="C150" s="27" t="n">
        <v>45994</v>
      </c>
      <c r="D150" t="n">
        <v>0</v>
      </c>
      <c r="E150" t="inlineStr">
        <is>
          <t>BÔNUS</t>
        </is>
      </c>
    </row>
    <row r="151">
      <c r="A151" t="n">
        <v>128</v>
      </c>
      <c r="B151" t="inlineStr">
        <is>
          <t>Love Cabaret</t>
        </is>
      </c>
      <c r="C151" s="27" t="n">
        <v>45994</v>
      </c>
      <c r="D151" t="n">
        <v>179.67</v>
      </c>
      <c r="E151" t="inlineStr">
        <is>
          <t>OUTROS</t>
        </is>
      </c>
    </row>
    <row r="152">
      <c r="A152" t="n">
        <v>128</v>
      </c>
      <c r="B152" t="inlineStr">
        <is>
          <t>Love Cabaret</t>
        </is>
      </c>
      <c r="C152" s="27" t="n">
        <v>45994</v>
      </c>
      <c r="D152" t="n">
        <v>0</v>
      </c>
      <c r="E152" t="inlineStr">
        <is>
          <t>DINHEIRO</t>
        </is>
      </c>
    </row>
    <row r="153">
      <c r="A153" t="n">
        <v>128</v>
      </c>
      <c r="B153" t="inlineStr">
        <is>
          <t>Love Cabaret</t>
        </is>
      </c>
      <c r="C153" s="27" t="n">
        <v>45994</v>
      </c>
      <c r="D153" t="n">
        <v>0</v>
      </c>
      <c r="E153" t="inlineStr">
        <is>
          <t>CRÉDITO</t>
        </is>
      </c>
    </row>
    <row r="154">
      <c r="A154" t="n">
        <v>128</v>
      </c>
      <c r="B154" t="inlineStr">
        <is>
          <t>Love Cabaret</t>
        </is>
      </c>
      <c r="C154" s="27" t="n">
        <v>45992</v>
      </c>
      <c r="D154" t="n">
        <v>0</v>
      </c>
      <c r="E154" t="inlineStr">
        <is>
          <t>NOTAS MANUAIS + SERVIÇO</t>
        </is>
      </c>
    </row>
    <row r="155">
      <c r="A155" t="n">
        <v>128</v>
      </c>
      <c r="B155" t="inlineStr">
        <is>
          <t>Love Cabaret</t>
        </is>
      </c>
      <c r="C155" s="27" t="n">
        <v>45992</v>
      </c>
      <c r="D155" t="n">
        <v>0</v>
      </c>
      <c r="E155" t="inlineStr">
        <is>
          <t>AME</t>
        </is>
      </c>
    </row>
    <row r="156">
      <c r="A156" t="n">
        <v>128</v>
      </c>
      <c r="B156" t="inlineStr">
        <is>
          <t>Love Cabaret</t>
        </is>
      </c>
      <c r="C156" s="27" t="n">
        <v>45992</v>
      </c>
      <c r="D156" t="n">
        <v>0</v>
      </c>
      <c r="E156" t="inlineStr">
        <is>
          <t>OUTROS</t>
        </is>
      </c>
    </row>
    <row r="157">
      <c r="A157" t="n">
        <v>128</v>
      </c>
      <c r="B157" t="inlineStr">
        <is>
          <t>Love Cabaret</t>
        </is>
      </c>
      <c r="C157" s="27" t="n">
        <v>45992</v>
      </c>
      <c r="D157" t="n">
        <v>0</v>
      </c>
      <c r="E157" t="inlineStr">
        <is>
          <t>ANTECIPADO</t>
        </is>
      </c>
    </row>
    <row r="158">
      <c r="A158" t="n">
        <v>128</v>
      </c>
      <c r="B158" t="inlineStr">
        <is>
          <t>Love Cabaret</t>
        </is>
      </c>
      <c r="C158" s="27" t="n">
        <v>45992</v>
      </c>
      <c r="D158" t="n">
        <v>0</v>
      </c>
      <c r="E158" t="inlineStr">
        <is>
          <t>BÔNUS</t>
        </is>
      </c>
    </row>
    <row r="159">
      <c r="A159" t="n">
        <v>128</v>
      </c>
      <c r="B159" t="inlineStr">
        <is>
          <t>Love Cabaret</t>
        </is>
      </c>
      <c r="C159" s="27" t="n">
        <v>45992</v>
      </c>
      <c r="D159" t="n">
        <v>5085.3</v>
      </c>
      <c r="E159" t="inlineStr">
        <is>
          <t>DÉBITO</t>
        </is>
      </c>
    </row>
    <row r="160">
      <c r="A160" t="n">
        <v>128</v>
      </c>
      <c r="B160" t="inlineStr">
        <is>
          <t>Love Cabaret</t>
        </is>
      </c>
      <c r="C160" s="27" t="n">
        <v>45992</v>
      </c>
      <c r="D160" t="n">
        <v>0</v>
      </c>
      <c r="E160" t="inlineStr">
        <is>
          <t>VOUCHER</t>
        </is>
      </c>
    </row>
    <row r="161">
      <c r="A161" t="n">
        <v>128</v>
      </c>
      <c r="B161" t="inlineStr">
        <is>
          <t>Love Cabaret</t>
        </is>
      </c>
      <c r="C161" s="27" t="n">
        <v>45992</v>
      </c>
      <c r="D161" t="n">
        <v>0</v>
      </c>
      <c r="E161" t="inlineStr">
        <is>
          <t>ANTECIPADO</t>
        </is>
      </c>
    </row>
    <row r="162">
      <c r="A162" t="n">
        <v>128</v>
      </c>
      <c r="B162" t="inlineStr">
        <is>
          <t>Love Cabaret</t>
        </is>
      </c>
      <c r="C162" s="27" t="n">
        <v>45992</v>
      </c>
      <c r="D162" t="n">
        <v>0</v>
      </c>
      <c r="E162" t="inlineStr">
        <is>
          <t>UBER</t>
        </is>
      </c>
    </row>
    <row r="163">
      <c r="A163" t="n">
        <v>128</v>
      </c>
      <c r="B163" t="inlineStr">
        <is>
          <t>Love Cabaret</t>
        </is>
      </c>
      <c r="C163" s="27" t="n">
        <v>45992</v>
      </c>
      <c r="D163" t="n">
        <v>0</v>
      </c>
      <c r="E163" t="inlineStr">
        <is>
          <t>RAPPI</t>
        </is>
      </c>
    </row>
    <row r="164">
      <c r="A164" t="n">
        <v>128</v>
      </c>
      <c r="B164" t="inlineStr">
        <is>
          <t>Love Cabaret</t>
        </is>
      </c>
      <c r="C164" s="27" t="n">
        <v>45992</v>
      </c>
      <c r="D164" t="n">
        <v>1036.21</v>
      </c>
      <c r="E164" t="inlineStr">
        <is>
          <t>PIX</t>
        </is>
      </c>
    </row>
    <row r="165">
      <c r="A165" t="n">
        <v>128</v>
      </c>
      <c r="B165" t="inlineStr">
        <is>
          <t>Love Cabaret</t>
        </is>
      </c>
      <c r="C165" s="27" t="n">
        <v>45992</v>
      </c>
      <c r="D165" t="n">
        <v>0</v>
      </c>
      <c r="E165" t="inlineStr">
        <is>
          <t>IFOOD</t>
        </is>
      </c>
    </row>
    <row r="166">
      <c r="A166" t="n">
        <v>128</v>
      </c>
      <c r="B166" t="inlineStr">
        <is>
          <t>Love Cabaret</t>
        </is>
      </c>
      <c r="C166" s="27" t="n">
        <v>45992</v>
      </c>
      <c r="D166" t="n">
        <v>0</v>
      </c>
      <c r="E166" t="inlineStr">
        <is>
          <t>DELIVERY ONLINE</t>
        </is>
      </c>
    </row>
    <row r="167">
      <c r="A167" t="n">
        <v>128</v>
      </c>
      <c r="B167" t="inlineStr">
        <is>
          <t>Love Cabaret</t>
        </is>
      </c>
      <c r="C167" s="27" t="n">
        <v>45992</v>
      </c>
      <c r="D167" t="n">
        <v>0</v>
      </c>
      <c r="E167" t="inlineStr">
        <is>
          <t>APP</t>
        </is>
      </c>
    </row>
    <row r="168">
      <c r="A168" t="n">
        <v>128</v>
      </c>
      <c r="B168" t="inlineStr">
        <is>
          <t>Love Cabaret</t>
        </is>
      </c>
      <c r="C168" s="27" t="n">
        <v>45992</v>
      </c>
      <c r="D168" t="n">
        <v>0</v>
      </c>
      <c r="E168" t="inlineStr">
        <is>
          <t>DINHEIRO</t>
        </is>
      </c>
    </row>
    <row r="169">
      <c r="A169" t="n">
        <v>128</v>
      </c>
      <c r="B169" t="inlineStr">
        <is>
          <t>Love Cabaret</t>
        </is>
      </c>
      <c r="C169" s="27" t="n">
        <v>45992</v>
      </c>
      <c r="D169" t="n">
        <v>3360.01</v>
      </c>
      <c r="E169" t="inlineStr">
        <is>
          <t>CRÉDITO</t>
        </is>
      </c>
    </row>
    <row r="170">
      <c r="A170" t="n">
        <v>128</v>
      </c>
      <c r="B170" t="inlineStr">
        <is>
          <t>Love Cabaret</t>
        </is>
      </c>
      <c r="C170" s="27" t="n">
        <v>45992</v>
      </c>
      <c r="D170" t="n">
        <v>0</v>
      </c>
      <c r="E170" t="inlineStr">
        <is>
          <t>VOUCHER INTEGRADO</t>
        </is>
      </c>
    </row>
    <row r="171">
      <c r="A171" t="n">
        <v>128</v>
      </c>
      <c r="B171" t="inlineStr">
        <is>
          <t>Love Cabaret</t>
        </is>
      </c>
      <c r="C171" s="27" t="n">
        <v>45992</v>
      </c>
      <c r="D171" t="n">
        <v>0</v>
      </c>
      <c r="E171" t="inlineStr">
        <is>
          <t>RECARGAS DEVOLVIDAS</t>
        </is>
      </c>
    </row>
    <row r="172">
      <c r="A172" t="n">
        <v>128</v>
      </c>
      <c r="B172" t="inlineStr">
        <is>
          <t>Love Cabaret</t>
        </is>
      </c>
      <c r="C172" s="27" t="n">
        <v>45992</v>
      </c>
      <c r="D172" t="n">
        <v>0</v>
      </c>
      <c r="E172" t="inlineStr">
        <is>
          <t>MBWAY</t>
        </is>
      </c>
    </row>
    <row r="173">
      <c r="A173" t="n">
        <v>128</v>
      </c>
      <c r="B173" t="inlineStr">
        <is>
          <t>Love Cabaret</t>
        </is>
      </c>
      <c r="C173" s="27" t="n">
        <v>45991</v>
      </c>
      <c r="D173" t="n">
        <v>87.88</v>
      </c>
      <c r="E173" t="inlineStr">
        <is>
          <t>APP</t>
        </is>
      </c>
    </row>
    <row r="174">
      <c r="A174" t="n">
        <v>128</v>
      </c>
      <c r="B174" t="inlineStr">
        <is>
          <t>Love Cabaret</t>
        </is>
      </c>
      <c r="C174" s="27" t="n">
        <v>45991</v>
      </c>
      <c r="D174" t="n">
        <v>0</v>
      </c>
      <c r="E174" t="inlineStr">
        <is>
          <t>ANTECIPADO</t>
        </is>
      </c>
    </row>
    <row r="175">
      <c r="A175" t="n">
        <v>128</v>
      </c>
      <c r="B175" t="inlineStr">
        <is>
          <t>Love Cabaret</t>
        </is>
      </c>
      <c r="C175" s="27" t="n">
        <v>45991</v>
      </c>
      <c r="D175" t="n">
        <v>0</v>
      </c>
      <c r="E175" t="inlineStr">
        <is>
          <t>OUTROS</t>
        </is>
      </c>
    </row>
    <row r="176">
      <c r="A176" t="n">
        <v>128</v>
      </c>
      <c r="B176" t="inlineStr">
        <is>
          <t>Love Cabaret</t>
        </is>
      </c>
      <c r="C176" s="27" t="n">
        <v>45991</v>
      </c>
      <c r="D176" t="n">
        <v>0</v>
      </c>
      <c r="E176" t="inlineStr">
        <is>
          <t>ANTECIPADO</t>
        </is>
      </c>
    </row>
    <row r="177">
      <c r="A177" t="n">
        <v>128</v>
      </c>
      <c r="B177" t="inlineStr">
        <is>
          <t>Love Cabaret</t>
        </is>
      </c>
      <c r="C177" s="27" t="n">
        <v>45991</v>
      </c>
      <c r="D177" t="n">
        <v>0</v>
      </c>
      <c r="E177" t="inlineStr">
        <is>
          <t>UBER</t>
        </is>
      </c>
    </row>
    <row r="178">
      <c r="A178" t="n">
        <v>128</v>
      </c>
      <c r="B178" t="inlineStr">
        <is>
          <t>Love Cabaret</t>
        </is>
      </c>
      <c r="C178" s="27" t="n">
        <v>45991</v>
      </c>
      <c r="D178" t="n">
        <v>0</v>
      </c>
      <c r="E178" t="inlineStr">
        <is>
          <t>RAPPI</t>
        </is>
      </c>
    </row>
    <row r="179">
      <c r="A179" t="n">
        <v>128</v>
      </c>
      <c r="B179" t="inlineStr">
        <is>
          <t>Love Cabaret</t>
        </is>
      </c>
      <c r="C179" s="27" t="n">
        <v>45991</v>
      </c>
      <c r="D179" t="n">
        <v>3385.97</v>
      </c>
      <c r="E179" t="inlineStr">
        <is>
          <t>PIX</t>
        </is>
      </c>
    </row>
    <row r="180">
      <c r="A180" t="n">
        <v>128</v>
      </c>
      <c r="B180" t="inlineStr">
        <is>
          <t>Love Cabaret</t>
        </is>
      </c>
      <c r="C180" s="27" t="n">
        <v>45991</v>
      </c>
      <c r="D180" t="n">
        <v>0</v>
      </c>
      <c r="E180" t="inlineStr">
        <is>
          <t>IFOOD</t>
        </is>
      </c>
    </row>
    <row r="181">
      <c r="A181" t="n">
        <v>128</v>
      </c>
      <c r="B181" t="inlineStr">
        <is>
          <t>Love Cabaret</t>
        </is>
      </c>
      <c r="C181" s="27" t="n">
        <v>45991</v>
      </c>
      <c r="D181" t="n">
        <v>0</v>
      </c>
      <c r="E181" t="inlineStr">
        <is>
          <t>DELIVERY ONLINE</t>
        </is>
      </c>
    </row>
    <row r="182">
      <c r="A182" t="n">
        <v>128</v>
      </c>
      <c r="B182" t="inlineStr">
        <is>
          <t>Love Cabaret</t>
        </is>
      </c>
      <c r="C182" s="27" t="n">
        <v>45991</v>
      </c>
      <c r="D182" t="n">
        <v>326.67</v>
      </c>
      <c r="E182" t="inlineStr">
        <is>
          <t>DINHEIRO</t>
        </is>
      </c>
    </row>
    <row r="183">
      <c r="A183" t="n">
        <v>128</v>
      </c>
      <c r="B183" t="inlineStr">
        <is>
          <t>Love Cabaret</t>
        </is>
      </c>
      <c r="C183" s="27" t="n">
        <v>45991</v>
      </c>
      <c r="D183" t="n">
        <v>11147.62</v>
      </c>
      <c r="E183" t="inlineStr">
        <is>
          <t>CRÉDITO</t>
        </is>
      </c>
    </row>
    <row r="184">
      <c r="A184" t="n">
        <v>128</v>
      </c>
      <c r="B184" t="inlineStr">
        <is>
          <t>Love Cabaret</t>
        </is>
      </c>
      <c r="C184" s="27" t="n">
        <v>45991</v>
      </c>
      <c r="D184" t="n">
        <v>0</v>
      </c>
      <c r="E184" t="inlineStr">
        <is>
          <t>MBWAY</t>
        </is>
      </c>
    </row>
    <row r="185">
      <c r="A185" t="n">
        <v>128</v>
      </c>
      <c r="B185" t="inlineStr">
        <is>
          <t>Love Cabaret</t>
        </is>
      </c>
      <c r="C185" s="27" t="n">
        <v>45991</v>
      </c>
      <c r="D185" t="n">
        <v>0</v>
      </c>
      <c r="E185" t="inlineStr">
        <is>
          <t>VOUCHER INTEGRADO</t>
        </is>
      </c>
    </row>
    <row r="186">
      <c r="A186" t="n">
        <v>128</v>
      </c>
      <c r="B186" t="inlineStr">
        <is>
          <t>Love Cabaret</t>
        </is>
      </c>
      <c r="C186" s="27" t="n">
        <v>45991</v>
      </c>
      <c r="D186" t="n">
        <v>0</v>
      </c>
      <c r="E186" t="inlineStr">
        <is>
          <t>RECARGAS DEVOLVIDAS</t>
        </is>
      </c>
    </row>
    <row r="187">
      <c r="A187" t="n">
        <v>128</v>
      </c>
      <c r="B187" t="inlineStr">
        <is>
          <t>Love Cabaret</t>
        </is>
      </c>
      <c r="C187" s="27" t="n">
        <v>45991</v>
      </c>
      <c r="D187" t="n">
        <v>0</v>
      </c>
      <c r="E187" t="inlineStr">
        <is>
          <t>NOTAS MANUAIS + SERVIÇO</t>
        </is>
      </c>
    </row>
    <row r="188">
      <c r="A188" t="n">
        <v>128</v>
      </c>
      <c r="B188" t="inlineStr">
        <is>
          <t>Love Cabaret</t>
        </is>
      </c>
      <c r="C188" s="27" t="n">
        <v>45991</v>
      </c>
      <c r="D188" t="n">
        <v>0</v>
      </c>
      <c r="E188" t="inlineStr">
        <is>
          <t>AME</t>
        </is>
      </c>
    </row>
    <row r="189">
      <c r="A189" t="n">
        <v>128</v>
      </c>
      <c r="B189" t="inlineStr">
        <is>
          <t>Love Cabaret</t>
        </is>
      </c>
      <c r="C189" s="27" t="n">
        <v>45991</v>
      </c>
      <c r="D189" t="n">
        <v>11686.11</v>
      </c>
      <c r="E189" t="inlineStr">
        <is>
          <t>DÉBITO</t>
        </is>
      </c>
    </row>
    <row r="190">
      <c r="A190" t="n">
        <v>128</v>
      </c>
      <c r="B190" t="inlineStr">
        <is>
          <t>Love Cabaret</t>
        </is>
      </c>
      <c r="C190" s="27" t="n">
        <v>45991</v>
      </c>
      <c r="D190" t="n">
        <v>0</v>
      </c>
      <c r="E190" t="inlineStr">
        <is>
          <t>VOUCHER</t>
        </is>
      </c>
    </row>
    <row r="191">
      <c r="A191" t="n">
        <v>128</v>
      </c>
      <c r="B191" t="inlineStr">
        <is>
          <t>Love Cabaret</t>
        </is>
      </c>
      <c r="C191" s="27" t="n">
        <v>45991</v>
      </c>
      <c r="D191" t="n">
        <v>0</v>
      </c>
      <c r="E191" t="inlineStr">
        <is>
          <t>BÔNUS</t>
        </is>
      </c>
    </row>
    <row r="192">
      <c r="A192" t="n">
        <v>128</v>
      </c>
      <c r="B192" t="inlineStr">
        <is>
          <t>Love Cabaret</t>
        </is>
      </c>
      <c r="C192" s="27" t="n">
        <v>45990</v>
      </c>
      <c r="D192" t="n">
        <v>0</v>
      </c>
      <c r="E192" t="inlineStr">
        <is>
          <t>ANTECIPADO</t>
        </is>
      </c>
    </row>
    <row r="193">
      <c r="A193" t="n">
        <v>128</v>
      </c>
      <c r="B193" t="inlineStr">
        <is>
          <t>Love Cabaret</t>
        </is>
      </c>
      <c r="C193" s="27" t="n">
        <v>45990</v>
      </c>
      <c r="D193" t="n">
        <v>0</v>
      </c>
      <c r="E193" t="inlineStr">
        <is>
          <t>UBER</t>
        </is>
      </c>
    </row>
    <row r="194">
      <c r="A194" t="n">
        <v>128</v>
      </c>
      <c r="B194" t="inlineStr">
        <is>
          <t>Love Cabaret</t>
        </is>
      </c>
      <c r="C194" s="27" t="n">
        <v>45990</v>
      </c>
      <c r="D194" t="n">
        <v>0</v>
      </c>
      <c r="E194" t="inlineStr">
        <is>
          <t>RAPPI</t>
        </is>
      </c>
    </row>
    <row r="195">
      <c r="A195" t="n">
        <v>128</v>
      </c>
      <c r="B195" t="inlineStr">
        <is>
          <t>Love Cabaret</t>
        </is>
      </c>
      <c r="C195" s="27" t="n">
        <v>45990</v>
      </c>
      <c r="D195" t="n">
        <v>852.63</v>
      </c>
      <c r="E195" t="inlineStr">
        <is>
          <t>PIX</t>
        </is>
      </c>
    </row>
    <row r="196">
      <c r="A196" t="n">
        <v>128</v>
      </c>
      <c r="B196" t="inlineStr">
        <is>
          <t>Love Cabaret</t>
        </is>
      </c>
      <c r="C196" s="27" t="n">
        <v>45990</v>
      </c>
      <c r="D196" t="n">
        <v>0</v>
      </c>
      <c r="E196" t="inlineStr">
        <is>
          <t>IFOOD</t>
        </is>
      </c>
    </row>
    <row r="197">
      <c r="A197" t="n">
        <v>128</v>
      </c>
      <c r="B197" t="inlineStr">
        <is>
          <t>Love Cabaret</t>
        </is>
      </c>
      <c r="C197" s="27" t="n">
        <v>45990</v>
      </c>
      <c r="D197" t="n">
        <v>0</v>
      </c>
      <c r="E197" t="inlineStr">
        <is>
          <t>DELIVERY ONLINE</t>
        </is>
      </c>
    </row>
    <row r="198">
      <c r="A198" t="n">
        <v>128</v>
      </c>
      <c r="B198" t="inlineStr">
        <is>
          <t>Love Cabaret</t>
        </is>
      </c>
      <c r="C198" s="27" t="n">
        <v>45990</v>
      </c>
      <c r="D198" t="n">
        <v>0</v>
      </c>
      <c r="E198" t="inlineStr">
        <is>
          <t>APP</t>
        </is>
      </c>
    </row>
    <row r="199">
      <c r="A199" t="n">
        <v>128</v>
      </c>
      <c r="B199" t="inlineStr">
        <is>
          <t>Love Cabaret</t>
        </is>
      </c>
      <c r="C199" s="27" t="n">
        <v>45990</v>
      </c>
      <c r="D199" t="n">
        <v>774.05</v>
      </c>
      <c r="E199" t="inlineStr">
        <is>
          <t>DINHEIRO</t>
        </is>
      </c>
    </row>
    <row r="200">
      <c r="A200" t="n">
        <v>128</v>
      </c>
      <c r="B200" t="inlineStr">
        <is>
          <t>Love Cabaret</t>
        </is>
      </c>
      <c r="C200" s="27" t="n">
        <v>45990</v>
      </c>
      <c r="D200" t="n">
        <v>12068.32</v>
      </c>
      <c r="E200" t="inlineStr">
        <is>
          <t>CRÉDITO</t>
        </is>
      </c>
    </row>
    <row r="201">
      <c r="A201" t="n">
        <v>128</v>
      </c>
      <c r="B201" t="inlineStr">
        <is>
          <t>Love Cabaret</t>
        </is>
      </c>
      <c r="C201" s="27" t="n">
        <v>45990</v>
      </c>
      <c r="D201" t="n">
        <v>0</v>
      </c>
      <c r="E201" t="inlineStr">
        <is>
          <t>MBWAY</t>
        </is>
      </c>
    </row>
    <row r="202">
      <c r="A202" t="n">
        <v>128</v>
      </c>
      <c r="B202" t="inlineStr">
        <is>
          <t>Love Cabaret</t>
        </is>
      </c>
      <c r="C202" s="27" t="n">
        <v>45990</v>
      </c>
      <c r="D202" t="n">
        <v>0</v>
      </c>
      <c r="E202" t="inlineStr">
        <is>
          <t>VOUCHER</t>
        </is>
      </c>
    </row>
    <row r="203">
      <c r="A203" t="n">
        <v>128</v>
      </c>
      <c r="B203" t="inlineStr">
        <is>
          <t>Love Cabaret</t>
        </is>
      </c>
      <c r="C203" s="27" t="n">
        <v>45990</v>
      </c>
      <c r="D203" t="n">
        <v>6538.99</v>
      </c>
      <c r="E203" t="inlineStr">
        <is>
          <t>DÉBITO</t>
        </is>
      </c>
    </row>
    <row r="204">
      <c r="A204" t="n">
        <v>128</v>
      </c>
      <c r="B204" t="inlineStr">
        <is>
          <t>Love Cabaret</t>
        </is>
      </c>
      <c r="C204" s="27" t="n">
        <v>45990</v>
      </c>
      <c r="D204" t="n">
        <v>0</v>
      </c>
      <c r="E204" t="inlineStr">
        <is>
          <t>BÔNUS</t>
        </is>
      </c>
    </row>
    <row r="205">
      <c r="A205" t="n">
        <v>128</v>
      </c>
      <c r="B205" t="inlineStr">
        <is>
          <t>Love Cabaret</t>
        </is>
      </c>
      <c r="C205" s="27" t="n">
        <v>45990</v>
      </c>
      <c r="D205" t="n">
        <v>0</v>
      </c>
      <c r="E205" t="inlineStr">
        <is>
          <t>ANTECIPADO</t>
        </is>
      </c>
    </row>
    <row r="206">
      <c r="A206" t="n">
        <v>128</v>
      </c>
      <c r="B206" t="inlineStr">
        <is>
          <t>Love Cabaret</t>
        </is>
      </c>
      <c r="C206" s="27" t="n">
        <v>45990</v>
      </c>
      <c r="D206" t="n">
        <v>0</v>
      </c>
      <c r="E206" t="inlineStr">
        <is>
          <t>OUTROS</t>
        </is>
      </c>
    </row>
    <row r="207">
      <c r="A207" t="n">
        <v>128</v>
      </c>
      <c r="B207" t="inlineStr">
        <is>
          <t>Love Cabaret</t>
        </is>
      </c>
      <c r="C207" s="27" t="n">
        <v>45990</v>
      </c>
      <c r="D207" t="n">
        <v>0</v>
      </c>
      <c r="E207" t="inlineStr">
        <is>
          <t>AME</t>
        </is>
      </c>
    </row>
    <row r="208">
      <c r="A208" t="n">
        <v>128</v>
      </c>
      <c r="B208" t="inlineStr">
        <is>
          <t>Love Cabaret</t>
        </is>
      </c>
      <c r="C208" s="27" t="n">
        <v>45990</v>
      </c>
      <c r="D208" t="n">
        <v>0</v>
      </c>
      <c r="E208" t="inlineStr">
        <is>
          <t>NOTAS MANUAIS + SERVIÇO</t>
        </is>
      </c>
    </row>
    <row r="209">
      <c r="A209" t="n">
        <v>128</v>
      </c>
      <c r="B209" t="inlineStr">
        <is>
          <t>Love Cabaret</t>
        </is>
      </c>
      <c r="C209" s="27" t="n">
        <v>45990</v>
      </c>
      <c r="D209" t="n">
        <v>0</v>
      </c>
      <c r="E209" t="inlineStr">
        <is>
          <t>RECARGAS DEVOLVIDAS</t>
        </is>
      </c>
    </row>
    <row r="210">
      <c r="A210" t="n">
        <v>128</v>
      </c>
      <c r="B210" t="inlineStr">
        <is>
          <t>Love Cabaret</t>
        </is>
      </c>
      <c r="C210" s="27" t="n">
        <v>45990</v>
      </c>
      <c r="D210" t="n">
        <v>0</v>
      </c>
      <c r="E210" t="inlineStr">
        <is>
          <t>VOUCHER INTEGRADO</t>
        </is>
      </c>
    </row>
    <row r="211">
      <c r="A211" t="n">
        <v>128</v>
      </c>
      <c r="B211" t="inlineStr">
        <is>
          <t>Love Cabaret</t>
        </is>
      </c>
      <c r="C211" s="27" t="n">
        <v>45989</v>
      </c>
      <c r="D211" t="n">
        <v>0</v>
      </c>
      <c r="E211" t="inlineStr">
        <is>
          <t>VOUCHER INTEGRADO</t>
        </is>
      </c>
    </row>
    <row r="212">
      <c r="A212" t="n">
        <v>128</v>
      </c>
      <c r="B212" t="inlineStr">
        <is>
          <t>Love Cabaret</t>
        </is>
      </c>
      <c r="C212" s="27" t="n">
        <v>45989</v>
      </c>
      <c r="D212" t="n">
        <v>0</v>
      </c>
      <c r="E212" t="inlineStr">
        <is>
          <t>MBWAY</t>
        </is>
      </c>
    </row>
    <row r="213">
      <c r="A213" t="n">
        <v>128</v>
      </c>
      <c r="B213" t="inlineStr">
        <is>
          <t>Love Cabaret</t>
        </is>
      </c>
      <c r="C213" s="27" t="n">
        <v>45989</v>
      </c>
      <c r="D213" t="n">
        <v>0</v>
      </c>
      <c r="E213" t="inlineStr">
        <is>
          <t>RECARGAS DEVOLVIDAS</t>
        </is>
      </c>
    </row>
    <row r="214">
      <c r="A214" t="n">
        <v>128</v>
      </c>
      <c r="B214" t="inlineStr">
        <is>
          <t>Love Cabaret</t>
        </is>
      </c>
      <c r="C214" s="27" t="n">
        <v>45989</v>
      </c>
      <c r="D214" t="n">
        <v>0</v>
      </c>
      <c r="E214" t="inlineStr">
        <is>
          <t>NOTAS MANUAIS + SERVIÇO</t>
        </is>
      </c>
    </row>
    <row r="215">
      <c r="A215" t="n">
        <v>128</v>
      </c>
      <c r="B215" t="inlineStr">
        <is>
          <t>Love Cabaret</t>
        </is>
      </c>
      <c r="C215" s="27" t="n">
        <v>45989</v>
      </c>
      <c r="D215" t="n">
        <v>0</v>
      </c>
      <c r="E215" t="inlineStr">
        <is>
          <t>AME</t>
        </is>
      </c>
    </row>
    <row r="216">
      <c r="A216" t="n">
        <v>128</v>
      </c>
      <c r="B216" t="inlineStr">
        <is>
          <t>Love Cabaret</t>
        </is>
      </c>
      <c r="C216" s="27" t="n">
        <v>45989</v>
      </c>
      <c r="D216" t="n">
        <v>0</v>
      </c>
      <c r="E216" t="inlineStr">
        <is>
          <t>OUTROS</t>
        </is>
      </c>
    </row>
    <row r="217">
      <c r="A217" t="n">
        <v>128</v>
      </c>
      <c r="B217" t="inlineStr">
        <is>
          <t>Love Cabaret</t>
        </is>
      </c>
      <c r="C217" s="27" t="n">
        <v>45989</v>
      </c>
      <c r="D217" t="n">
        <v>0</v>
      </c>
      <c r="E217" t="inlineStr">
        <is>
          <t>ANTECIPADO</t>
        </is>
      </c>
    </row>
    <row r="218">
      <c r="A218" t="n">
        <v>128</v>
      </c>
      <c r="B218" t="inlineStr">
        <is>
          <t>Love Cabaret</t>
        </is>
      </c>
      <c r="C218" s="27" t="n">
        <v>45989</v>
      </c>
      <c r="D218" t="n">
        <v>0</v>
      </c>
      <c r="E218" t="inlineStr">
        <is>
          <t>BÔNUS</t>
        </is>
      </c>
    </row>
    <row r="219">
      <c r="A219" t="n">
        <v>128</v>
      </c>
      <c r="B219" t="inlineStr">
        <is>
          <t>Love Cabaret</t>
        </is>
      </c>
      <c r="C219" s="27" t="n">
        <v>45989</v>
      </c>
      <c r="D219" t="n">
        <v>5180.16</v>
      </c>
      <c r="E219" t="inlineStr">
        <is>
          <t>DÉBITO</t>
        </is>
      </c>
    </row>
    <row r="220">
      <c r="A220" t="n">
        <v>128</v>
      </c>
      <c r="B220" t="inlineStr">
        <is>
          <t>Love Cabaret</t>
        </is>
      </c>
      <c r="C220" s="27" t="n">
        <v>45989</v>
      </c>
      <c r="D220" t="n">
        <v>0</v>
      </c>
      <c r="E220" t="inlineStr">
        <is>
          <t>VOUCHER</t>
        </is>
      </c>
    </row>
    <row r="221">
      <c r="A221" t="n">
        <v>128</v>
      </c>
      <c r="B221" t="inlineStr">
        <is>
          <t>Love Cabaret</t>
        </is>
      </c>
      <c r="C221" s="27" t="n">
        <v>45989</v>
      </c>
      <c r="D221" t="n">
        <v>0</v>
      </c>
      <c r="E221" t="inlineStr">
        <is>
          <t>ANTECIPADO</t>
        </is>
      </c>
    </row>
    <row r="222">
      <c r="A222" t="n">
        <v>128</v>
      </c>
      <c r="B222" t="inlineStr">
        <is>
          <t>Love Cabaret</t>
        </is>
      </c>
      <c r="C222" s="27" t="n">
        <v>45989</v>
      </c>
      <c r="D222" t="n">
        <v>0</v>
      </c>
      <c r="E222" t="inlineStr">
        <is>
          <t>RAPPI</t>
        </is>
      </c>
    </row>
    <row r="223">
      <c r="A223" t="n">
        <v>128</v>
      </c>
      <c r="B223" t="inlineStr">
        <is>
          <t>Love Cabaret</t>
        </is>
      </c>
      <c r="C223" s="27" t="n">
        <v>45989</v>
      </c>
      <c r="D223" t="n">
        <v>2192.51</v>
      </c>
      <c r="E223" t="inlineStr">
        <is>
          <t>PIX</t>
        </is>
      </c>
    </row>
    <row r="224">
      <c r="A224" t="n">
        <v>128</v>
      </c>
      <c r="B224" t="inlineStr">
        <is>
          <t>Love Cabaret</t>
        </is>
      </c>
      <c r="C224" s="27" t="n">
        <v>45989</v>
      </c>
      <c r="D224" t="n">
        <v>0</v>
      </c>
      <c r="E224" t="inlineStr">
        <is>
          <t>IFOOD</t>
        </is>
      </c>
    </row>
    <row r="225">
      <c r="A225" t="n">
        <v>128</v>
      </c>
      <c r="B225" t="inlineStr">
        <is>
          <t>Love Cabaret</t>
        </is>
      </c>
      <c r="C225" s="27" t="n">
        <v>45989</v>
      </c>
      <c r="D225" t="n">
        <v>0</v>
      </c>
      <c r="E225" t="inlineStr">
        <is>
          <t>DELIVERY ONLINE</t>
        </is>
      </c>
    </row>
    <row r="226">
      <c r="A226" t="n">
        <v>128</v>
      </c>
      <c r="B226" t="inlineStr">
        <is>
          <t>Love Cabaret</t>
        </is>
      </c>
      <c r="C226" s="27" t="n">
        <v>45989</v>
      </c>
      <c r="D226" t="n">
        <v>0</v>
      </c>
      <c r="E226" t="inlineStr">
        <is>
          <t>APP</t>
        </is>
      </c>
    </row>
    <row r="227">
      <c r="A227" t="n">
        <v>128</v>
      </c>
      <c r="B227" t="inlineStr">
        <is>
          <t>Love Cabaret</t>
        </is>
      </c>
      <c r="C227" s="27" t="n">
        <v>45989</v>
      </c>
      <c r="D227" t="n">
        <v>0</v>
      </c>
      <c r="E227" t="inlineStr">
        <is>
          <t>DINHEIRO</t>
        </is>
      </c>
    </row>
    <row r="228">
      <c r="A228" t="n">
        <v>128</v>
      </c>
      <c r="B228" t="inlineStr">
        <is>
          <t>Love Cabaret</t>
        </is>
      </c>
      <c r="C228" s="27" t="n">
        <v>45989</v>
      </c>
      <c r="D228" t="n">
        <v>16942.01</v>
      </c>
      <c r="E228" t="inlineStr">
        <is>
          <t>CRÉDITO</t>
        </is>
      </c>
    </row>
    <row r="229">
      <c r="A229" t="n">
        <v>128</v>
      </c>
      <c r="B229" t="inlineStr">
        <is>
          <t>Love Cabaret</t>
        </is>
      </c>
      <c r="C229" s="27" t="n">
        <v>45989</v>
      </c>
      <c r="D229" t="n">
        <v>0</v>
      </c>
      <c r="E229" t="inlineStr">
        <is>
          <t>UBER</t>
        </is>
      </c>
    </row>
    <row r="230">
      <c r="A230" t="n">
        <v>128</v>
      </c>
      <c r="B230" t="inlineStr">
        <is>
          <t>Love Cabaret</t>
        </is>
      </c>
      <c r="C230" s="27" t="n">
        <v>45988</v>
      </c>
      <c r="D230" t="n">
        <v>2064.85</v>
      </c>
      <c r="E230" t="inlineStr">
        <is>
          <t>DÉBITO</t>
        </is>
      </c>
    </row>
    <row r="231">
      <c r="A231" t="n">
        <v>128</v>
      </c>
      <c r="B231" t="inlineStr">
        <is>
          <t>Love Cabaret</t>
        </is>
      </c>
      <c r="C231" s="27" t="n">
        <v>45988</v>
      </c>
      <c r="D231" t="n">
        <v>0</v>
      </c>
      <c r="E231" t="inlineStr">
        <is>
          <t>BÔNUS</t>
        </is>
      </c>
    </row>
    <row r="232">
      <c r="A232" t="n">
        <v>128</v>
      </c>
      <c r="B232" t="inlineStr">
        <is>
          <t>Love Cabaret</t>
        </is>
      </c>
      <c r="C232" s="27" t="n">
        <v>45988</v>
      </c>
      <c r="D232" t="n">
        <v>0</v>
      </c>
      <c r="E232" t="inlineStr">
        <is>
          <t>ANTECIPADO</t>
        </is>
      </c>
    </row>
    <row r="233">
      <c r="A233" t="n">
        <v>128</v>
      </c>
      <c r="B233" t="inlineStr">
        <is>
          <t>Love Cabaret</t>
        </is>
      </c>
      <c r="C233" s="27" t="n">
        <v>45988</v>
      </c>
      <c r="D233" t="n">
        <v>0</v>
      </c>
      <c r="E233" t="inlineStr">
        <is>
          <t>OUTROS</t>
        </is>
      </c>
    </row>
    <row r="234">
      <c r="A234" t="n">
        <v>128</v>
      </c>
      <c r="B234" t="inlineStr">
        <is>
          <t>Love Cabaret</t>
        </is>
      </c>
      <c r="C234" s="27" t="n">
        <v>45988</v>
      </c>
      <c r="D234" t="n">
        <v>0</v>
      </c>
      <c r="E234" t="inlineStr">
        <is>
          <t>AME</t>
        </is>
      </c>
    </row>
    <row r="235">
      <c r="A235" t="n">
        <v>128</v>
      </c>
      <c r="B235" t="inlineStr">
        <is>
          <t>Love Cabaret</t>
        </is>
      </c>
      <c r="C235" s="27" t="n">
        <v>45988</v>
      </c>
      <c r="D235" t="n">
        <v>0</v>
      </c>
      <c r="E235" t="inlineStr">
        <is>
          <t>NOTAS MANUAIS + SERVIÇO</t>
        </is>
      </c>
    </row>
    <row r="236">
      <c r="A236" t="n">
        <v>128</v>
      </c>
      <c r="B236" t="inlineStr">
        <is>
          <t>Love Cabaret</t>
        </is>
      </c>
      <c r="C236" s="27" t="n">
        <v>45988</v>
      </c>
      <c r="D236" t="n">
        <v>0</v>
      </c>
      <c r="E236" t="inlineStr">
        <is>
          <t>RECARGAS DEVOLVIDAS</t>
        </is>
      </c>
    </row>
    <row r="237">
      <c r="A237" t="n">
        <v>128</v>
      </c>
      <c r="B237" t="inlineStr">
        <is>
          <t>Love Cabaret</t>
        </is>
      </c>
      <c r="C237" s="27" t="n">
        <v>45988</v>
      </c>
      <c r="D237" t="n">
        <v>0</v>
      </c>
      <c r="E237" t="inlineStr">
        <is>
          <t>VOUCHER INTEGRADO</t>
        </is>
      </c>
    </row>
    <row r="238">
      <c r="A238" t="n">
        <v>128</v>
      </c>
      <c r="B238" t="inlineStr">
        <is>
          <t>Love Cabaret</t>
        </is>
      </c>
      <c r="C238" s="27" t="n">
        <v>45988</v>
      </c>
      <c r="D238" t="n">
        <v>0</v>
      </c>
      <c r="E238" t="inlineStr">
        <is>
          <t>MBWAY</t>
        </is>
      </c>
    </row>
    <row r="239">
      <c r="A239" t="n">
        <v>128</v>
      </c>
      <c r="B239" t="inlineStr">
        <is>
          <t>Love Cabaret</t>
        </is>
      </c>
      <c r="C239" s="27" t="n">
        <v>45988</v>
      </c>
      <c r="D239" t="n">
        <v>0</v>
      </c>
      <c r="E239" t="inlineStr">
        <is>
          <t>VOUCHER</t>
        </is>
      </c>
    </row>
    <row r="240">
      <c r="A240" t="n">
        <v>128</v>
      </c>
      <c r="B240" t="inlineStr">
        <is>
          <t>Love Cabaret</t>
        </is>
      </c>
      <c r="C240" s="27" t="n">
        <v>45988</v>
      </c>
      <c r="D240" t="n">
        <v>0</v>
      </c>
      <c r="E240" t="inlineStr">
        <is>
          <t>ANTECIPADO</t>
        </is>
      </c>
    </row>
    <row r="241">
      <c r="A241" t="n">
        <v>128</v>
      </c>
      <c r="B241" t="inlineStr">
        <is>
          <t>Love Cabaret</t>
        </is>
      </c>
      <c r="C241" s="27" t="n">
        <v>45988</v>
      </c>
      <c r="D241" t="n">
        <v>5719.39</v>
      </c>
      <c r="E241" t="inlineStr">
        <is>
          <t>CRÉDITO</t>
        </is>
      </c>
    </row>
    <row r="242">
      <c r="A242" t="n">
        <v>128</v>
      </c>
      <c r="B242" t="inlineStr">
        <is>
          <t>Love Cabaret</t>
        </is>
      </c>
      <c r="C242" s="27" t="n">
        <v>45988</v>
      </c>
      <c r="D242" t="n">
        <v>0</v>
      </c>
      <c r="E242" t="inlineStr">
        <is>
          <t>DINHEIRO</t>
        </is>
      </c>
    </row>
    <row r="243">
      <c r="A243" t="n">
        <v>128</v>
      </c>
      <c r="B243" t="inlineStr">
        <is>
          <t>Love Cabaret</t>
        </is>
      </c>
      <c r="C243" s="27" t="n">
        <v>45988</v>
      </c>
      <c r="D243" t="n">
        <v>0</v>
      </c>
      <c r="E243" t="inlineStr">
        <is>
          <t>APP</t>
        </is>
      </c>
    </row>
    <row r="244">
      <c r="A244" t="n">
        <v>128</v>
      </c>
      <c r="B244" t="inlineStr">
        <is>
          <t>Love Cabaret</t>
        </is>
      </c>
      <c r="C244" s="27" t="n">
        <v>45988</v>
      </c>
      <c r="D244" t="n">
        <v>0</v>
      </c>
      <c r="E244" t="inlineStr">
        <is>
          <t>DELIVERY ONLINE</t>
        </is>
      </c>
    </row>
    <row r="245">
      <c r="A245" t="n">
        <v>128</v>
      </c>
      <c r="B245" t="inlineStr">
        <is>
          <t>Love Cabaret</t>
        </is>
      </c>
      <c r="C245" s="27" t="n">
        <v>45988</v>
      </c>
      <c r="D245" t="n">
        <v>0</v>
      </c>
      <c r="E245" t="inlineStr">
        <is>
          <t>IFOOD</t>
        </is>
      </c>
    </row>
    <row r="246">
      <c r="A246" t="n">
        <v>128</v>
      </c>
      <c r="B246" t="inlineStr">
        <is>
          <t>Love Cabaret</t>
        </is>
      </c>
      <c r="C246" s="27" t="n">
        <v>45988</v>
      </c>
      <c r="D246" t="n">
        <v>547.59</v>
      </c>
      <c r="E246" t="inlineStr">
        <is>
          <t>PIX</t>
        </is>
      </c>
    </row>
    <row r="247">
      <c r="A247" t="n">
        <v>128</v>
      </c>
      <c r="B247" t="inlineStr">
        <is>
          <t>Love Cabaret</t>
        </is>
      </c>
      <c r="C247" s="27" t="n">
        <v>45988</v>
      </c>
      <c r="D247" t="n">
        <v>0</v>
      </c>
      <c r="E247" t="inlineStr">
        <is>
          <t>RAPPI</t>
        </is>
      </c>
    </row>
    <row r="248">
      <c r="A248" t="n">
        <v>128</v>
      </c>
      <c r="B248" t="inlineStr">
        <is>
          <t>Love Cabaret</t>
        </is>
      </c>
      <c r="C248" s="27" t="n">
        <v>45988</v>
      </c>
      <c r="D248" t="n">
        <v>0</v>
      </c>
      <c r="E248" t="inlineStr">
        <is>
          <t>UBER</t>
        </is>
      </c>
    </row>
    <row r="249">
      <c r="A249" t="n">
        <v>128</v>
      </c>
      <c r="B249" t="inlineStr">
        <is>
          <t>Love Cabaret</t>
        </is>
      </c>
      <c r="C249" s="27" t="n">
        <v>45983</v>
      </c>
      <c r="D249" t="n">
        <v>510.24</v>
      </c>
      <c r="E249" t="inlineStr">
        <is>
          <t>DINHEIRO</t>
        </is>
      </c>
    </row>
    <row r="250">
      <c r="A250" t="n">
        <v>128</v>
      </c>
      <c r="B250" t="inlineStr">
        <is>
          <t>Love Cabaret</t>
        </is>
      </c>
      <c r="C250" s="27" t="n">
        <v>45983</v>
      </c>
      <c r="D250" t="n">
        <v>15795.11</v>
      </c>
      <c r="E250" t="inlineStr">
        <is>
          <t>CRÉDITO</t>
        </is>
      </c>
    </row>
    <row r="251">
      <c r="A251" t="n">
        <v>128</v>
      </c>
      <c r="B251" t="inlineStr">
        <is>
          <t>Love Cabaret</t>
        </is>
      </c>
      <c r="C251" s="27" t="n">
        <v>45983</v>
      </c>
      <c r="D251" t="n">
        <v>0</v>
      </c>
      <c r="E251" t="inlineStr">
        <is>
          <t>APP</t>
        </is>
      </c>
    </row>
    <row r="252">
      <c r="A252" t="n">
        <v>128</v>
      </c>
      <c r="B252" t="inlineStr">
        <is>
          <t>Love Cabaret</t>
        </is>
      </c>
      <c r="C252" s="27" t="n">
        <v>45983</v>
      </c>
      <c r="D252" t="n">
        <v>0</v>
      </c>
      <c r="E252" t="inlineStr">
        <is>
          <t>DELIVERY ONLINE</t>
        </is>
      </c>
    </row>
    <row r="253">
      <c r="A253" t="n">
        <v>128</v>
      </c>
      <c r="B253" t="inlineStr">
        <is>
          <t>Love Cabaret</t>
        </is>
      </c>
      <c r="C253" s="27" t="n">
        <v>45983</v>
      </c>
      <c r="D253" t="n">
        <v>0</v>
      </c>
      <c r="E253" t="inlineStr">
        <is>
          <t>IFOOD</t>
        </is>
      </c>
    </row>
    <row r="254">
      <c r="A254" t="n">
        <v>128</v>
      </c>
      <c r="B254" t="inlineStr">
        <is>
          <t>Love Cabaret</t>
        </is>
      </c>
      <c r="C254" s="27" t="n">
        <v>45983</v>
      </c>
      <c r="D254" t="n">
        <v>1872.84</v>
      </c>
      <c r="E254" t="inlineStr">
        <is>
          <t>PIX</t>
        </is>
      </c>
    </row>
    <row r="255">
      <c r="A255" t="n">
        <v>128</v>
      </c>
      <c r="B255" t="inlineStr">
        <is>
          <t>Love Cabaret</t>
        </is>
      </c>
      <c r="C255" s="27" t="n">
        <v>45983</v>
      </c>
      <c r="D255" t="n">
        <v>0</v>
      </c>
      <c r="E255" t="inlineStr">
        <is>
          <t>RAPPI</t>
        </is>
      </c>
    </row>
    <row r="256">
      <c r="A256" t="n">
        <v>128</v>
      </c>
      <c r="B256" t="inlineStr">
        <is>
          <t>Love Cabaret</t>
        </is>
      </c>
      <c r="C256" s="27" t="n">
        <v>45983</v>
      </c>
      <c r="D256" t="n">
        <v>0</v>
      </c>
      <c r="E256" t="inlineStr">
        <is>
          <t>UBER</t>
        </is>
      </c>
    </row>
    <row r="257">
      <c r="A257" t="n">
        <v>128</v>
      </c>
      <c r="B257" t="inlineStr">
        <is>
          <t>Love Cabaret</t>
        </is>
      </c>
      <c r="C257" s="27" t="n">
        <v>45983</v>
      </c>
      <c r="D257" t="n">
        <v>0</v>
      </c>
      <c r="E257" t="inlineStr">
        <is>
          <t>ANTECIPADO</t>
        </is>
      </c>
    </row>
    <row r="258">
      <c r="A258" t="n">
        <v>128</v>
      </c>
      <c r="B258" t="inlineStr">
        <is>
          <t>Love Cabaret</t>
        </is>
      </c>
      <c r="C258" s="27" t="n">
        <v>45983</v>
      </c>
      <c r="D258" t="n">
        <v>0</v>
      </c>
      <c r="E258" t="inlineStr">
        <is>
          <t>VOUCHER</t>
        </is>
      </c>
    </row>
    <row r="259">
      <c r="A259" t="n">
        <v>128</v>
      </c>
      <c r="B259" t="inlineStr">
        <is>
          <t>Love Cabaret</t>
        </is>
      </c>
      <c r="C259" s="27" t="n">
        <v>45983</v>
      </c>
      <c r="D259" t="n">
        <v>0</v>
      </c>
      <c r="E259" t="inlineStr">
        <is>
          <t>BÔNUS</t>
        </is>
      </c>
    </row>
    <row r="260">
      <c r="A260" t="n">
        <v>128</v>
      </c>
      <c r="B260" t="inlineStr">
        <is>
          <t>Love Cabaret</t>
        </is>
      </c>
      <c r="C260" s="27" t="n">
        <v>45983</v>
      </c>
      <c r="D260" t="n">
        <v>0</v>
      </c>
      <c r="E260" t="inlineStr">
        <is>
          <t>ANTECIPADO</t>
        </is>
      </c>
    </row>
    <row r="261">
      <c r="A261" t="n">
        <v>128</v>
      </c>
      <c r="B261" t="inlineStr">
        <is>
          <t>Love Cabaret</t>
        </is>
      </c>
      <c r="C261" s="27" t="n">
        <v>45983</v>
      </c>
      <c r="D261" t="n">
        <v>0</v>
      </c>
      <c r="E261" t="inlineStr">
        <is>
          <t>OUTROS</t>
        </is>
      </c>
    </row>
    <row r="262">
      <c r="A262" t="n">
        <v>128</v>
      </c>
      <c r="B262" t="inlineStr">
        <is>
          <t>Love Cabaret</t>
        </is>
      </c>
      <c r="C262" s="27" t="n">
        <v>45983</v>
      </c>
      <c r="D262" t="n">
        <v>0</v>
      </c>
      <c r="E262" t="inlineStr">
        <is>
          <t>AME</t>
        </is>
      </c>
    </row>
    <row r="263">
      <c r="A263" t="n">
        <v>128</v>
      </c>
      <c r="B263" t="inlineStr">
        <is>
          <t>Love Cabaret</t>
        </is>
      </c>
      <c r="C263" s="27" t="n">
        <v>45983</v>
      </c>
      <c r="D263" t="n">
        <v>0</v>
      </c>
      <c r="E263" t="inlineStr">
        <is>
          <t>NOTAS MANUAIS + SERVIÇO</t>
        </is>
      </c>
    </row>
    <row r="264">
      <c r="A264" t="n">
        <v>128</v>
      </c>
      <c r="B264" t="inlineStr">
        <is>
          <t>Love Cabaret</t>
        </is>
      </c>
      <c r="C264" s="27" t="n">
        <v>45983</v>
      </c>
      <c r="D264" t="n">
        <v>0</v>
      </c>
      <c r="E264" t="inlineStr">
        <is>
          <t>RECARGAS DEVOLVIDAS</t>
        </is>
      </c>
    </row>
    <row r="265">
      <c r="A265" t="n">
        <v>128</v>
      </c>
      <c r="B265" t="inlineStr">
        <is>
          <t>Love Cabaret</t>
        </is>
      </c>
      <c r="C265" s="27" t="n">
        <v>45983</v>
      </c>
      <c r="D265" t="n">
        <v>0</v>
      </c>
      <c r="E265" t="inlineStr">
        <is>
          <t>VOUCHER INTEGRADO</t>
        </is>
      </c>
    </row>
    <row r="266">
      <c r="A266" t="n">
        <v>128</v>
      </c>
      <c r="B266" t="inlineStr">
        <is>
          <t>Love Cabaret</t>
        </is>
      </c>
      <c r="C266" s="27" t="n">
        <v>45983</v>
      </c>
      <c r="D266" t="n">
        <v>4899.01</v>
      </c>
      <c r="E266" t="inlineStr">
        <is>
          <t>DÉBITO</t>
        </is>
      </c>
    </row>
    <row r="267">
      <c r="A267" t="n">
        <v>128</v>
      </c>
      <c r="B267" t="inlineStr">
        <is>
          <t>Love Cabaret</t>
        </is>
      </c>
      <c r="C267" s="27" t="n">
        <v>45983</v>
      </c>
      <c r="D267" t="n">
        <v>0</v>
      </c>
      <c r="E267" t="inlineStr">
        <is>
          <t>MBWAY</t>
        </is>
      </c>
    </row>
    <row r="268">
      <c r="A268" t="n">
        <v>128</v>
      </c>
      <c r="B268" t="inlineStr">
        <is>
          <t>Love Cabaret</t>
        </is>
      </c>
      <c r="C268" s="27" t="n">
        <v>45982</v>
      </c>
      <c r="D268" t="n">
        <v>0</v>
      </c>
      <c r="E268" t="inlineStr">
        <is>
          <t>VOUCHER INTEGRADO</t>
        </is>
      </c>
    </row>
    <row r="269">
      <c r="A269" t="n">
        <v>128</v>
      </c>
      <c r="B269" t="inlineStr">
        <is>
          <t>Love Cabaret</t>
        </is>
      </c>
      <c r="C269" s="27" t="n">
        <v>45982</v>
      </c>
      <c r="D269" t="n">
        <v>2039.65</v>
      </c>
      <c r="E269" t="inlineStr">
        <is>
          <t>PIX</t>
        </is>
      </c>
    </row>
    <row r="270">
      <c r="A270" t="n">
        <v>128</v>
      </c>
      <c r="B270" t="inlineStr">
        <is>
          <t>Love Cabaret</t>
        </is>
      </c>
      <c r="C270" s="27" t="n">
        <v>45982</v>
      </c>
      <c r="D270" t="n">
        <v>0</v>
      </c>
      <c r="E270" t="inlineStr">
        <is>
          <t>RECARGAS DEVOLVIDAS</t>
        </is>
      </c>
    </row>
    <row r="271">
      <c r="A271" t="n">
        <v>128</v>
      </c>
      <c r="B271" t="inlineStr">
        <is>
          <t>Love Cabaret</t>
        </is>
      </c>
      <c r="C271" s="27" t="n">
        <v>45982</v>
      </c>
      <c r="D271" t="n">
        <v>0</v>
      </c>
      <c r="E271" t="inlineStr">
        <is>
          <t>NOTAS MANUAIS + SERVIÇO</t>
        </is>
      </c>
    </row>
    <row r="272">
      <c r="A272" t="n">
        <v>128</v>
      </c>
      <c r="B272" t="inlineStr">
        <is>
          <t>Love Cabaret</t>
        </is>
      </c>
      <c r="C272" s="27" t="n">
        <v>45982</v>
      </c>
      <c r="D272" t="n">
        <v>0</v>
      </c>
      <c r="E272" t="inlineStr">
        <is>
          <t>AME</t>
        </is>
      </c>
    </row>
    <row r="273">
      <c r="A273" t="n">
        <v>128</v>
      </c>
      <c r="B273" t="inlineStr">
        <is>
          <t>Love Cabaret</t>
        </is>
      </c>
      <c r="C273" s="27" t="n">
        <v>45982</v>
      </c>
      <c r="D273" t="n">
        <v>0</v>
      </c>
      <c r="E273" t="inlineStr">
        <is>
          <t>OUTROS</t>
        </is>
      </c>
    </row>
    <row r="274">
      <c r="A274" t="n">
        <v>128</v>
      </c>
      <c r="B274" t="inlineStr">
        <is>
          <t>Love Cabaret</t>
        </is>
      </c>
      <c r="C274" s="27" t="n">
        <v>45982</v>
      </c>
      <c r="D274" t="n">
        <v>0</v>
      </c>
      <c r="E274" t="inlineStr">
        <is>
          <t>ANTECIPADO</t>
        </is>
      </c>
    </row>
    <row r="275">
      <c r="A275" t="n">
        <v>128</v>
      </c>
      <c r="B275" t="inlineStr">
        <is>
          <t>Love Cabaret</t>
        </is>
      </c>
      <c r="C275" s="27" t="n">
        <v>45982</v>
      </c>
      <c r="D275" t="n">
        <v>0</v>
      </c>
      <c r="E275" t="inlineStr">
        <is>
          <t>BÔNUS</t>
        </is>
      </c>
    </row>
    <row r="276">
      <c r="A276" t="n">
        <v>128</v>
      </c>
      <c r="B276" t="inlineStr">
        <is>
          <t>Love Cabaret</t>
        </is>
      </c>
      <c r="C276" s="27" t="n">
        <v>45982</v>
      </c>
      <c r="D276" t="n">
        <v>8807.030000000001</v>
      </c>
      <c r="E276" t="inlineStr">
        <is>
          <t>DÉBITO</t>
        </is>
      </c>
    </row>
    <row r="277">
      <c r="A277" t="n">
        <v>128</v>
      </c>
      <c r="B277" t="inlineStr">
        <is>
          <t>Love Cabaret</t>
        </is>
      </c>
      <c r="C277" s="27" t="n">
        <v>45982</v>
      </c>
      <c r="D277" t="n">
        <v>0</v>
      </c>
      <c r="E277" t="inlineStr">
        <is>
          <t>VOUCHER</t>
        </is>
      </c>
    </row>
    <row r="278">
      <c r="A278" t="n">
        <v>128</v>
      </c>
      <c r="B278" t="inlineStr">
        <is>
          <t>Love Cabaret</t>
        </is>
      </c>
      <c r="C278" s="27" t="n">
        <v>45982</v>
      </c>
      <c r="D278" t="n">
        <v>0</v>
      </c>
      <c r="E278" t="inlineStr">
        <is>
          <t>ANTECIPADO</t>
        </is>
      </c>
    </row>
    <row r="279">
      <c r="A279" t="n">
        <v>128</v>
      </c>
      <c r="B279" t="inlineStr">
        <is>
          <t>Love Cabaret</t>
        </is>
      </c>
      <c r="C279" s="27" t="n">
        <v>45982</v>
      </c>
      <c r="D279" t="n">
        <v>0</v>
      </c>
      <c r="E279" t="inlineStr">
        <is>
          <t>UBER</t>
        </is>
      </c>
    </row>
    <row r="280">
      <c r="A280" t="n">
        <v>128</v>
      </c>
      <c r="B280" t="inlineStr">
        <is>
          <t>Love Cabaret</t>
        </is>
      </c>
      <c r="C280" s="27" t="n">
        <v>45982</v>
      </c>
      <c r="D280" t="n">
        <v>0</v>
      </c>
      <c r="E280" t="inlineStr">
        <is>
          <t>RAPPI</t>
        </is>
      </c>
    </row>
    <row r="281">
      <c r="A281" t="n">
        <v>128</v>
      </c>
      <c r="B281" t="inlineStr">
        <is>
          <t>Love Cabaret</t>
        </is>
      </c>
      <c r="C281" s="27" t="n">
        <v>45982</v>
      </c>
      <c r="D281" t="n">
        <v>0</v>
      </c>
      <c r="E281" t="inlineStr">
        <is>
          <t>MBWAY</t>
        </is>
      </c>
    </row>
    <row r="282">
      <c r="A282" t="n">
        <v>128</v>
      </c>
      <c r="B282" t="inlineStr">
        <is>
          <t>Love Cabaret</t>
        </is>
      </c>
      <c r="C282" s="27" t="n">
        <v>45982</v>
      </c>
      <c r="D282" t="n">
        <v>0</v>
      </c>
      <c r="E282" t="inlineStr">
        <is>
          <t>IFOOD</t>
        </is>
      </c>
    </row>
    <row r="283">
      <c r="A283" t="n">
        <v>128</v>
      </c>
      <c r="B283" t="inlineStr">
        <is>
          <t>Love Cabaret</t>
        </is>
      </c>
      <c r="C283" s="27" t="n">
        <v>45982</v>
      </c>
      <c r="D283" t="n">
        <v>0</v>
      </c>
      <c r="E283" t="inlineStr">
        <is>
          <t>DELIVERY ONLINE</t>
        </is>
      </c>
    </row>
    <row r="284">
      <c r="A284" t="n">
        <v>128</v>
      </c>
      <c r="B284" t="inlineStr">
        <is>
          <t>Love Cabaret</t>
        </is>
      </c>
      <c r="C284" s="27" t="n">
        <v>45982</v>
      </c>
      <c r="D284" t="n">
        <v>0</v>
      </c>
      <c r="E284" t="inlineStr">
        <is>
          <t>APP</t>
        </is>
      </c>
    </row>
    <row r="285">
      <c r="A285" t="n">
        <v>128</v>
      </c>
      <c r="B285" t="inlineStr">
        <is>
          <t>Love Cabaret</t>
        </is>
      </c>
      <c r="C285" s="27" t="n">
        <v>45982</v>
      </c>
      <c r="D285" t="n">
        <v>106</v>
      </c>
      <c r="E285" t="inlineStr">
        <is>
          <t>DINHEIRO</t>
        </is>
      </c>
    </row>
    <row r="286">
      <c r="A286" t="n">
        <v>128</v>
      </c>
      <c r="B286" t="inlineStr">
        <is>
          <t>Love Cabaret</t>
        </is>
      </c>
      <c r="C286" s="27" t="n">
        <v>45982</v>
      </c>
      <c r="D286" t="n">
        <v>20795.25</v>
      </c>
      <c r="E286" t="inlineStr">
        <is>
          <t>CRÉDITO</t>
        </is>
      </c>
    </row>
    <row r="287">
      <c r="A287" t="n">
        <v>128</v>
      </c>
      <c r="B287" t="inlineStr">
        <is>
          <t>Love Cabaret</t>
        </is>
      </c>
      <c r="C287" s="27" t="n">
        <v>45981</v>
      </c>
      <c r="D287" t="n">
        <v>0</v>
      </c>
      <c r="E287" t="inlineStr">
        <is>
          <t>MBWAY</t>
        </is>
      </c>
    </row>
    <row r="288">
      <c r="A288" t="n">
        <v>128</v>
      </c>
      <c r="B288" t="inlineStr">
        <is>
          <t>Love Cabaret</t>
        </is>
      </c>
      <c r="C288" s="27" t="n">
        <v>45981</v>
      </c>
      <c r="D288" t="n">
        <v>0</v>
      </c>
      <c r="E288" t="inlineStr">
        <is>
          <t>ANTECIPADO</t>
        </is>
      </c>
    </row>
    <row r="289">
      <c r="A289" t="n">
        <v>128</v>
      </c>
      <c r="B289" t="inlineStr">
        <is>
          <t>Love Cabaret</t>
        </is>
      </c>
      <c r="C289" s="27" t="n">
        <v>45981</v>
      </c>
      <c r="D289" t="n">
        <v>0</v>
      </c>
      <c r="E289" t="inlineStr">
        <is>
          <t>OUTROS</t>
        </is>
      </c>
    </row>
    <row r="290">
      <c r="A290" t="n">
        <v>128</v>
      </c>
      <c r="B290" t="inlineStr">
        <is>
          <t>Love Cabaret</t>
        </is>
      </c>
      <c r="C290" s="27" t="n">
        <v>45981</v>
      </c>
      <c r="D290" t="n">
        <v>0</v>
      </c>
      <c r="E290" t="inlineStr">
        <is>
          <t>AME</t>
        </is>
      </c>
    </row>
    <row r="291">
      <c r="A291" t="n">
        <v>128</v>
      </c>
      <c r="B291" t="inlineStr">
        <is>
          <t>Love Cabaret</t>
        </is>
      </c>
      <c r="C291" s="27" t="n">
        <v>45981</v>
      </c>
      <c r="D291" t="n">
        <v>0</v>
      </c>
      <c r="E291" t="inlineStr">
        <is>
          <t>NOTAS MANUAIS + SERVIÇO</t>
        </is>
      </c>
    </row>
    <row r="292">
      <c r="A292" t="n">
        <v>128</v>
      </c>
      <c r="B292" t="inlineStr">
        <is>
          <t>Love Cabaret</t>
        </is>
      </c>
      <c r="C292" s="27" t="n">
        <v>45981</v>
      </c>
      <c r="D292" t="n">
        <v>0</v>
      </c>
      <c r="E292" t="inlineStr">
        <is>
          <t>RECARGAS DEVOLVIDAS</t>
        </is>
      </c>
    </row>
    <row r="293">
      <c r="A293" t="n">
        <v>128</v>
      </c>
      <c r="B293" t="inlineStr">
        <is>
          <t>Love Cabaret</t>
        </is>
      </c>
      <c r="C293" s="27" t="n">
        <v>45981</v>
      </c>
      <c r="D293" t="n">
        <v>0</v>
      </c>
      <c r="E293" t="inlineStr">
        <is>
          <t>VOUCHER INTEGRADO</t>
        </is>
      </c>
    </row>
    <row r="294">
      <c r="A294" t="n">
        <v>128</v>
      </c>
      <c r="B294" t="inlineStr">
        <is>
          <t>Love Cabaret</t>
        </is>
      </c>
      <c r="C294" s="27" t="n">
        <v>45981</v>
      </c>
      <c r="D294" t="n">
        <v>0</v>
      </c>
      <c r="E294" t="inlineStr">
        <is>
          <t>UBER</t>
        </is>
      </c>
    </row>
    <row r="295">
      <c r="A295" t="n">
        <v>128</v>
      </c>
      <c r="B295" t="inlineStr">
        <is>
          <t>Love Cabaret</t>
        </is>
      </c>
      <c r="C295" s="27" t="n">
        <v>45981</v>
      </c>
      <c r="D295" t="n">
        <v>0</v>
      </c>
      <c r="E295" t="inlineStr">
        <is>
          <t>CRÉDITO</t>
        </is>
      </c>
    </row>
    <row r="296">
      <c r="A296" t="n">
        <v>128</v>
      </c>
      <c r="B296" t="inlineStr">
        <is>
          <t>Love Cabaret</t>
        </is>
      </c>
      <c r="C296" s="27" t="n">
        <v>45981</v>
      </c>
      <c r="D296" t="n">
        <v>0</v>
      </c>
      <c r="E296" t="inlineStr">
        <is>
          <t>BÔNUS</t>
        </is>
      </c>
    </row>
    <row r="297">
      <c r="A297" t="n">
        <v>128</v>
      </c>
      <c r="B297" t="inlineStr">
        <is>
          <t>Love Cabaret</t>
        </is>
      </c>
      <c r="C297" s="27" t="n">
        <v>45981</v>
      </c>
      <c r="D297" t="n">
        <v>0</v>
      </c>
      <c r="E297" t="inlineStr">
        <is>
          <t>DÉBITO</t>
        </is>
      </c>
    </row>
    <row r="298">
      <c r="A298" t="n">
        <v>128</v>
      </c>
      <c r="B298" t="inlineStr">
        <is>
          <t>Love Cabaret</t>
        </is>
      </c>
      <c r="C298" s="27" t="n">
        <v>45981</v>
      </c>
      <c r="D298" t="n">
        <v>0</v>
      </c>
      <c r="E298" t="inlineStr">
        <is>
          <t>VOUCHER</t>
        </is>
      </c>
    </row>
    <row r="299">
      <c r="A299" t="n">
        <v>128</v>
      </c>
      <c r="B299" t="inlineStr">
        <is>
          <t>Love Cabaret</t>
        </is>
      </c>
      <c r="C299" s="27" t="n">
        <v>45981</v>
      </c>
      <c r="D299" t="n">
        <v>0</v>
      </c>
      <c r="E299" t="inlineStr">
        <is>
          <t>ANTECIPADO</t>
        </is>
      </c>
    </row>
    <row r="300">
      <c r="A300" t="n">
        <v>128</v>
      </c>
      <c r="B300" t="inlineStr">
        <is>
          <t>Love Cabaret</t>
        </is>
      </c>
      <c r="C300" s="27" t="n">
        <v>45981</v>
      </c>
      <c r="D300" t="n">
        <v>0</v>
      </c>
      <c r="E300" t="inlineStr">
        <is>
          <t>RAPPI</t>
        </is>
      </c>
    </row>
    <row r="301">
      <c r="A301" t="n">
        <v>128</v>
      </c>
      <c r="B301" t="inlineStr">
        <is>
          <t>Love Cabaret</t>
        </is>
      </c>
      <c r="C301" s="27" t="n">
        <v>45981</v>
      </c>
      <c r="D301" t="n">
        <v>0</v>
      </c>
      <c r="E301" t="inlineStr">
        <is>
          <t>PIX</t>
        </is>
      </c>
    </row>
    <row r="302">
      <c r="A302" t="n">
        <v>128</v>
      </c>
      <c r="B302" t="inlineStr">
        <is>
          <t>Love Cabaret</t>
        </is>
      </c>
      <c r="C302" s="27" t="n">
        <v>45981</v>
      </c>
      <c r="D302" t="n">
        <v>0</v>
      </c>
      <c r="E302" t="inlineStr">
        <is>
          <t>IFOOD</t>
        </is>
      </c>
    </row>
    <row r="303">
      <c r="A303" t="n">
        <v>128</v>
      </c>
      <c r="B303" t="inlineStr">
        <is>
          <t>Love Cabaret</t>
        </is>
      </c>
      <c r="C303" s="27" t="n">
        <v>45981</v>
      </c>
      <c r="D303" t="n">
        <v>0</v>
      </c>
      <c r="E303" t="inlineStr">
        <is>
          <t>DELIVERY ONLINE</t>
        </is>
      </c>
    </row>
    <row r="304">
      <c r="A304" t="n">
        <v>128</v>
      </c>
      <c r="B304" t="inlineStr">
        <is>
          <t>Love Cabaret</t>
        </is>
      </c>
      <c r="C304" s="27" t="n">
        <v>45981</v>
      </c>
      <c r="D304" t="n">
        <v>0</v>
      </c>
      <c r="E304" t="inlineStr">
        <is>
          <t>APP</t>
        </is>
      </c>
    </row>
    <row r="305">
      <c r="A305" t="n">
        <v>128</v>
      </c>
      <c r="B305" t="inlineStr">
        <is>
          <t>Love Cabaret</t>
        </is>
      </c>
      <c r="C305" s="27" t="n">
        <v>45981</v>
      </c>
      <c r="D305" t="n">
        <v>0</v>
      </c>
      <c r="E305" t="inlineStr">
        <is>
          <t>DINHEIRO</t>
        </is>
      </c>
    </row>
    <row r="306">
      <c r="A306" t="n">
        <v>128</v>
      </c>
      <c r="B306" t="inlineStr">
        <is>
          <t>Love Cabaret</t>
        </is>
      </c>
      <c r="C306" s="27" t="n">
        <v>45980</v>
      </c>
      <c r="D306" t="n">
        <v>0</v>
      </c>
      <c r="E306" t="inlineStr">
        <is>
          <t>MBWAY</t>
        </is>
      </c>
    </row>
    <row r="307">
      <c r="A307" t="n">
        <v>128</v>
      </c>
      <c r="B307" t="inlineStr">
        <is>
          <t>Love Cabaret</t>
        </is>
      </c>
      <c r="C307" s="27" t="n">
        <v>45980</v>
      </c>
      <c r="D307" t="n">
        <v>396.96</v>
      </c>
      <c r="E307" t="inlineStr">
        <is>
          <t>DINHEIRO</t>
        </is>
      </c>
    </row>
    <row r="308">
      <c r="A308" t="n">
        <v>128</v>
      </c>
      <c r="B308" t="inlineStr">
        <is>
          <t>Love Cabaret</t>
        </is>
      </c>
      <c r="C308" s="27" t="n">
        <v>45980</v>
      </c>
      <c r="D308" t="n">
        <v>0</v>
      </c>
      <c r="E308" t="inlineStr">
        <is>
          <t>VOUCHER INTEGRADO</t>
        </is>
      </c>
    </row>
    <row r="309">
      <c r="A309" t="n">
        <v>128</v>
      </c>
      <c r="B309" t="inlineStr">
        <is>
          <t>Love Cabaret</t>
        </is>
      </c>
      <c r="C309" s="27" t="n">
        <v>45980</v>
      </c>
      <c r="D309" t="n">
        <v>0</v>
      </c>
      <c r="E309" t="inlineStr">
        <is>
          <t>RECARGAS DEVOLVIDAS</t>
        </is>
      </c>
    </row>
    <row r="310">
      <c r="A310" t="n">
        <v>128</v>
      </c>
      <c r="B310" t="inlineStr">
        <is>
          <t>Love Cabaret</t>
        </is>
      </c>
      <c r="C310" s="27" t="n">
        <v>45980</v>
      </c>
      <c r="D310" t="n">
        <v>0</v>
      </c>
      <c r="E310" t="inlineStr">
        <is>
          <t>NOTAS MANUAIS + SERVIÇO</t>
        </is>
      </c>
    </row>
    <row r="311">
      <c r="A311" t="n">
        <v>128</v>
      </c>
      <c r="B311" t="inlineStr">
        <is>
          <t>Love Cabaret</t>
        </is>
      </c>
      <c r="C311" s="27" t="n">
        <v>45980</v>
      </c>
      <c r="D311" t="n">
        <v>0</v>
      </c>
      <c r="E311" t="inlineStr">
        <is>
          <t>OUTROS</t>
        </is>
      </c>
    </row>
    <row r="312">
      <c r="A312" t="n">
        <v>128</v>
      </c>
      <c r="B312" t="inlineStr">
        <is>
          <t>Love Cabaret</t>
        </is>
      </c>
      <c r="C312" s="27" t="n">
        <v>45980</v>
      </c>
      <c r="D312" t="n">
        <v>15977.09</v>
      </c>
      <c r="E312" t="inlineStr">
        <is>
          <t>CRÉDITO</t>
        </is>
      </c>
    </row>
    <row r="313">
      <c r="A313" t="n">
        <v>128</v>
      </c>
      <c r="B313" t="inlineStr">
        <is>
          <t>Love Cabaret</t>
        </is>
      </c>
      <c r="C313" s="27" t="n">
        <v>45980</v>
      </c>
      <c r="D313" t="n">
        <v>0</v>
      </c>
      <c r="E313" t="inlineStr">
        <is>
          <t>AME</t>
        </is>
      </c>
    </row>
    <row r="314">
      <c r="A314" t="n">
        <v>128</v>
      </c>
      <c r="B314" t="inlineStr">
        <is>
          <t>Love Cabaret</t>
        </is>
      </c>
      <c r="C314" s="27" t="n">
        <v>45980</v>
      </c>
      <c r="D314" t="n">
        <v>0</v>
      </c>
      <c r="E314" t="inlineStr">
        <is>
          <t>APP</t>
        </is>
      </c>
    </row>
    <row r="315">
      <c r="A315" t="n">
        <v>128</v>
      </c>
      <c r="B315" t="inlineStr">
        <is>
          <t>Love Cabaret</t>
        </is>
      </c>
      <c r="C315" s="27" t="n">
        <v>45980</v>
      </c>
      <c r="D315" t="n">
        <v>0</v>
      </c>
      <c r="E315" t="inlineStr">
        <is>
          <t>DELIVERY ONLINE</t>
        </is>
      </c>
    </row>
    <row r="316">
      <c r="A316" t="n">
        <v>128</v>
      </c>
      <c r="B316" t="inlineStr">
        <is>
          <t>Love Cabaret</t>
        </is>
      </c>
      <c r="C316" s="27" t="n">
        <v>45980</v>
      </c>
      <c r="D316" t="n">
        <v>0</v>
      </c>
      <c r="E316" t="inlineStr">
        <is>
          <t>IFOOD</t>
        </is>
      </c>
    </row>
    <row r="317">
      <c r="A317" t="n">
        <v>128</v>
      </c>
      <c r="B317" t="inlineStr">
        <is>
          <t>Love Cabaret</t>
        </is>
      </c>
      <c r="C317" s="27" t="n">
        <v>45980</v>
      </c>
      <c r="D317" t="n">
        <v>2962.02</v>
      </c>
      <c r="E317" t="inlineStr">
        <is>
          <t>PIX</t>
        </is>
      </c>
    </row>
    <row r="318">
      <c r="A318" t="n">
        <v>128</v>
      </c>
      <c r="B318" t="inlineStr">
        <is>
          <t>Love Cabaret</t>
        </is>
      </c>
      <c r="C318" s="27" t="n">
        <v>45980</v>
      </c>
      <c r="D318" t="n">
        <v>0</v>
      </c>
      <c r="E318" t="inlineStr">
        <is>
          <t>RAPPI</t>
        </is>
      </c>
    </row>
    <row r="319">
      <c r="A319" t="n">
        <v>128</v>
      </c>
      <c r="B319" t="inlineStr">
        <is>
          <t>Love Cabaret</t>
        </is>
      </c>
      <c r="C319" s="27" t="n">
        <v>45980</v>
      </c>
      <c r="D319" t="n">
        <v>0</v>
      </c>
      <c r="E319" t="inlineStr">
        <is>
          <t>UBER</t>
        </is>
      </c>
    </row>
    <row r="320">
      <c r="A320" t="n">
        <v>128</v>
      </c>
      <c r="B320" t="inlineStr">
        <is>
          <t>Love Cabaret</t>
        </is>
      </c>
      <c r="C320" s="27" t="n">
        <v>45980</v>
      </c>
      <c r="D320" t="n">
        <v>0</v>
      </c>
      <c r="E320" t="inlineStr">
        <is>
          <t>ANTECIPADO</t>
        </is>
      </c>
    </row>
    <row r="321">
      <c r="A321" t="n">
        <v>128</v>
      </c>
      <c r="B321" t="inlineStr">
        <is>
          <t>Love Cabaret</t>
        </is>
      </c>
      <c r="C321" s="27" t="n">
        <v>45980</v>
      </c>
      <c r="D321" t="n">
        <v>0</v>
      </c>
      <c r="E321" t="inlineStr">
        <is>
          <t>VOUCHER</t>
        </is>
      </c>
    </row>
    <row r="322">
      <c r="A322" t="n">
        <v>128</v>
      </c>
      <c r="B322" t="inlineStr">
        <is>
          <t>Love Cabaret</t>
        </is>
      </c>
      <c r="C322" s="27" t="n">
        <v>45980</v>
      </c>
      <c r="D322" t="n">
        <v>6724.69</v>
      </c>
      <c r="E322" t="inlineStr">
        <is>
          <t>DÉBITO</t>
        </is>
      </c>
    </row>
    <row r="323">
      <c r="A323" t="n">
        <v>128</v>
      </c>
      <c r="B323" t="inlineStr">
        <is>
          <t>Love Cabaret</t>
        </is>
      </c>
      <c r="C323" s="27" t="n">
        <v>45980</v>
      </c>
      <c r="D323" t="n">
        <v>0</v>
      </c>
      <c r="E323" t="inlineStr">
        <is>
          <t>BÔNUS</t>
        </is>
      </c>
    </row>
    <row r="324">
      <c r="A324" t="n">
        <v>128</v>
      </c>
      <c r="B324" t="inlineStr">
        <is>
          <t>Love Cabaret</t>
        </is>
      </c>
      <c r="C324" s="27" t="n">
        <v>45980</v>
      </c>
      <c r="D324" t="n">
        <v>0</v>
      </c>
      <c r="E324" t="inlineStr">
        <is>
          <t>ANTECIPADO</t>
        </is>
      </c>
    </row>
    <row r="325">
      <c r="A325" t="n">
        <v>128</v>
      </c>
      <c r="B325" t="inlineStr">
        <is>
          <t>Love Cabaret</t>
        </is>
      </c>
      <c r="C325" s="27" t="n">
        <v>45976</v>
      </c>
      <c r="D325" t="n">
        <v>0</v>
      </c>
      <c r="E325" t="inlineStr">
        <is>
          <t>OUTROS</t>
        </is>
      </c>
    </row>
    <row r="326">
      <c r="A326" t="n">
        <v>128</v>
      </c>
      <c r="B326" t="inlineStr">
        <is>
          <t>Love Cabaret</t>
        </is>
      </c>
      <c r="C326" s="27" t="n">
        <v>45976</v>
      </c>
      <c r="D326" t="n">
        <v>0</v>
      </c>
      <c r="E326" t="inlineStr">
        <is>
          <t>AME</t>
        </is>
      </c>
    </row>
    <row r="327">
      <c r="A327" t="n">
        <v>128</v>
      </c>
      <c r="B327" t="inlineStr">
        <is>
          <t>Love Cabaret</t>
        </is>
      </c>
      <c r="C327" s="27" t="n">
        <v>45976</v>
      </c>
      <c r="D327" t="n">
        <v>0</v>
      </c>
      <c r="E327" t="inlineStr">
        <is>
          <t>NOTAS MANUAIS + SERVIÇO</t>
        </is>
      </c>
    </row>
    <row r="328">
      <c r="A328" t="n">
        <v>128</v>
      </c>
      <c r="B328" t="inlineStr">
        <is>
          <t>Love Cabaret</t>
        </is>
      </c>
      <c r="C328" s="27" t="n">
        <v>45976</v>
      </c>
      <c r="D328" t="n">
        <v>0</v>
      </c>
      <c r="E328" t="inlineStr">
        <is>
          <t>RECARGAS DEVOLVIDAS</t>
        </is>
      </c>
    </row>
    <row r="329">
      <c r="A329" t="n">
        <v>128</v>
      </c>
      <c r="B329" t="inlineStr">
        <is>
          <t>Love Cabaret</t>
        </is>
      </c>
      <c r="C329" s="27" t="n">
        <v>45976</v>
      </c>
      <c r="D329" t="n">
        <v>0</v>
      </c>
      <c r="E329" t="inlineStr">
        <is>
          <t>ANTECIPADO</t>
        </is>
      </c>
    </row>
    <row r="330">
      <c r="A330" t="n">
        <v>128</v>
      </c>
      <c r="B330" t="inlineStr">
        <is>
          <t>Love Cabaret</t>
        </is>
      </c>
      <c r="C330" s="27" t="n">
        <v>45976</v>
      </c>
      <c r="D330" t="n">
        <v>0</v>
      </c>
      <c r="E330" t="inlineStr">
        <is>
          <t>BÔNUS</t>
        </is>
      </c>
    </row>
    <row r="331">
      <c r="A331" t="n">
        <v>128</v>
      </c>
      <c r="B331" t="inlineStr">
        <is>
          <t>Love Cabaret</t>
        </is>
      </c>
      <c r="C331" s="27" t="n">
        <v>45976</v>
      </c>
      <c r="D331" t="n">
        <v>0</v>
      </c>
      <c r="E331" t="inlineStr">
        <is>
          <t>MBWAY</t>
        </is>
      </c>
    </row>
    <row r="332">
      <c r="A332" t="n">
        <v>128</v>
      </c>
      <c r="B332" t="inlineStr">
        <is>
          <t>Love Cabaret</t>
        </is>
      </c>
      <c r="C332" s="27" t="n">
        <v>45976</v>
      </c>
      <c r="D332" t="n">
        <v>0</v>
      </c>
      <c r="E332" t="inlineStr">
        <is>
          <t>VOUCHER INTEGRADO</t>
        </is>
      </c>
    </row>
    <row r="333">
      <c r="A333" t="n">
        <v>128</v>
      </c>
      <c r="B333" t="inlineStr">
        <is>
          <t>Love Cabaret</t>
        </is>
      </c>
      <c r="C333" s="27" t="n">
        <v>45976</v>
      </c>
      <c r="D333" t="n">
        <v>3923.33</v>
      </c>
      <c r="E333" t="inlineStr">
        <is>
          <t>DÉBITO</t>
        </is>
      </c>
    </row>
    <row r="334">
      <c r="A334" t="n">
        <v>128</v>
      </c>
      <c r="B334" t="inlineStr">
        <is>
          <t>Love Cabaret</t>
        </is>
      </c>
      <c r="C334" s="27" t="n">
        <v>45976</v>
      </c>
      <c r="D334" t="n">
        <v>17955.55</v>
      </c>
      <c r="E334" t="inlineStr">
        <is>
          <t>CRÉDITO</t>
        </is>
      </c>
    </row>
    <row r="335">
      <c r="A335" t="n">
        <v>128</v>
      </c>
      <c r="B335" t="inlineStr">
        <is>
          <t>Love Cabaret</t>
        </is>
      </c>
      <c r="C335" s="27" t="n">
        <v>45976</v>
      </c>
      <c r="D335" t="n">
        <v>304.53</v>
      </c>
      <c r="E335" t="inlineStr">
        <is>
          <t>DINHEIRO</t>
        </is>
      </c>
    </row>
    <row r="336">
      <c r="A336" t="n">
        <v>128</v>
      </c>
      <c r="B336" t="inlineStr">
        <is>
          <t>Love Cabaret</t>
        </is>
      </c>
      <c r="C336" s="27" t="n">
        <v>45976</v>
      </c>
      <c r="D336" t="n">
        <v>0</v>
      </c>
      <c r="E336" t="inlineStr">
        <is>
          <t>APP</t>
        </is>
      </c>
    </row>
    <row r="337">
      <c r="A337" t="n">
        <v>128</v>
      </c>
      <c r="B337" t="inlineStr">
        <is>
          <t>Love Cabaret</t>
        </is>
      </c>
      <c r="C337" s="27" t="n">
        <v>45976</v>
      </c>
      <c r="D337" t="n">
        <v>0</v>
      </c>
      <c r="E337" t="inlineStr">
        <is>
          <t>DELIVERY ONLINE</t>
        </is>
      </c>
    </row>
    <row r="338">
      <c r="A338" t="n">
        <v>128</v>
      </c>
      <c r="B338" t="inlineStr">
        <is>
          <t>Love Cabaret</t>
        </is>
      </c>
      <c r="C338" s="27" t="n">
        <v>45976</v>
      </c>
      <c r="D338" t="n">
        <v>0</v>
      </c>
      <c r="E338" t="inlineStr">
        <is>
          <t>IFOOD</t>
        </is>
      </c>
    </row>
    <row r="339">
      <c r="A339" t="n">
        <v>128</v>
      </c>
      <c r="B339" t="inlineStr">
        <is>
          <t>Love Cabaret</t>
        </is>
      </c>
      <c r="C339" s="27" t="n">
        <v>45976</v>
      </c>
      <c r="D339" t="n">
        <v>1066.55</v>
      </c>
      <c r="E339" t="inlineStr">
        <is>
          <t>PIX</t>
        </is>
      </c>
    </row>
    <row r="340">
      <c r="A340" t="n">
        <v>128</v>
      </c>
      <c r="B340" t="inlineStr">
        <is>
          <t>Love Cabaret</t>
        </is>
      </c>
      <c r="C340" s="27" t="n">
        <v>45976</v>
      </c>
      <c r="D340" t="n">
        <v>0</v>
      </c>
      <c r="E340" t="inlineStr">
        <is>
          <t>RAPPI</t>
        </is>
      </c>
    </row>
    <row r="341">
      <c r="A341" t="n">
        <v>128</v>
      </c>
      <c r="B341" t="inlineStr">
        <is>
          <t>Love Cabaret</t>
        </is>
      </c>
      <c r="C341" s="27" t="n">
        <v>45976</v>
      </c>
      <c r="D341" t="n">
        <v>0</v>
      </c>
      <c r="E341" t="inlineStr">
        <is>
          <t>UBER</t>
        </is>
      </c>
    </row>
    <row r="342">
      <c r="A342" t="n">
        <v>128</v>
      </c>
      <c r="B342" t="inlineStr">
        <is>
          <t>Love Cabaret</t>
        </is>
      </c>
      <c r="C342" s="27" t="n">
        <v>45976</v>
      </c>
      <c r="D342" t="n">
        <v>0</v>
      </c>
      <c r="E342" t="inlineStr">
        <is>
          <t>ANTECIPADO</t>
        </is>
      </c>
    </row>
    <row r="343">
      <c r="A343" t="n">
        <v>128</v>
      </c>
      <c r="B343" t="inlineStr">
        <is>
          <t>Love Cabaret</t>
        </is>
      </c>
      <c r="C343" s="27" t="n">
        <v>45976</v>
      </c>
      <c r="D343" t="n">
        <v>0</v>
      </c>
      <c r="E343" t="inlineStr">
        <is>
          <t>VOUCHER</t>
        </is>
      </c>
    </row>
    <row r="344">
      <c r="A344" t="n">
        <v>128</v>
      </c>
      <c r="B344" t="inlineStr">
        <is>
          <t>Love Cabaret</t>
        </is>
      </c>
      <c r="C344" s="27" t="n">
        <v>45975</v>
      </c>
      <c r="D344" t="n">
        <v>0</v>
      </c>
      <c r="E344" t="inlineStr">
        <is>
          <t>DELIVERY ONLINE</t>
        </is>
      </c>
    </row>
    <row r="345">
      <c r="A345" t="n">
        <v>128</v>
      </c>
      <c r="B345" t="inlineStr">
        <is>
          <t>Love Cabaret</t>
        </is>
      </c>
      <c r="C345" s="27" t="n">
        <v>45975</v>
      </c>
      <c r="D345" t="n">
        <v>0</v>
      </c>
      <c r="E345" t="inlineStr">
        <is>
          <t>VOUCHER INTEGRADO</t>
        </is>
      </c>
    </row>
    <row r="346">
      <c r="A346" t="n">
        <v>128</v>
      </c>
      <c r="B346" t="inlineStr">
        <is>
          <t>Love Cabaret</t>
        </is>
      </c>
      <c r="C346" s="27" t="n">
        <v>45975</v>
      </c>
      <c r="D346" t="n">
        <v>0</v>
      </c>
      <c r="E346" t="inlineStr">
        <is>
          <t>RECARGAS DEVOLVIDAS</t>
        </is>
      </c>
    </row>
    <row r="347">
      <c r="A347" t="n">
        <v>128</v>
      </c>
      <c r="B347" t="inlineStr">
        <is>
          <t>Love Cabaret</t>
        </is>
      </c>
      <c r="C347" s="27" t="n">
        <v>45975</v>
      </c>
      <c r="D347" t="n">
        <v>0</v>
      </c>
      <c r="E347" t="inlineStr">
        <is>
          <t>NOTAS MANUAIS + SERVIÇO</t>
        </is>
      </c>
    </row>
    <row r="348">
      <c r="A348" t="n">
        <v>128</v>
      </c>
      <c r="B348" t="inlineStr">
        <is>
          <t>Love Cabaret</t>
        </is>
      </c>
      <c r="C348" s="27" t="n">
        <v>45975</v>
      </c>
      <c r="D348" t="n">
        <v>0</v>
      </c>
      <c r="E348" t="inlineStr">
        <is>
          <t>AME</t>
        </is>
      </c>
    </row>
    <row r="349">
      <c r="A349" t="n">
        <v>128</v>
      </c>
      <c r="B349" t="inlineStr">
        <is>
          <t>Love Cabaret</t>
        </is>
      </c>
      <c r="C349" s="27" t="n">
        <v>45975</v>
      </c>
      <c r="D349" t="n">
        <v>0</v>
      </c>
      <c r="E349" t="inlineStr">
        <is>
          <t>OUTROS</t>
        </is>
      </c>
    </row>
    <row r="350">
      <c r="A350" t="n">
        <v>128</v>
      </c>
      <c r="B350" t="inlineStr">
        <is>
          <t>Love Cabaret</t>
        </is>
      </c>
      <c r="C350" s="27" t="n">
        <v>45975</v>
      </c>
      <c r="D350" t="n">
        <v>0</v>
      </c>
      <c r="E350" t="inlineStr">
        <is>
          <t>ANTECIPADO</t>
        </is>
      </c>
    </row>
    <row r="351">
      <c r="A351" t="n">
        <v>128</v>
      </c>
      <c r="B351" t="inlineStr">
        <is>
          <t>Love Cabaret</t>
        </is>
      </c>
      <c r="C351" s="27" t="n">
        <v>45975</v>
      </c>
      <c r="D351" t="n">
        <v>0</v>
      </c>
      <c r="E351" t="inlineStr">
        <is>
          <t>BÔNUS</t>
        </is>
      </c>
    </row>
    <row r="352">
      <c r="A352" t="n">
        <v>128</v>
      </c>
      <c r="B352" t="inlineStr">
        <is>
          <t>Love Cabaret</t>
        </is>
      </c>
      <c r="C352" s="27" t="n">
        <v>45975</v>
      </c>
      <c r="D352" t="n">
        <v>6663.47</v>
      </c>
      <c r="E352" t="inlineStr">
        <is>
          <t>DÉBITO</t>
        </is>
      </c>
    </row>
    <row r="353">
      <c r="A353" t="n">
        <v>128</v>
      </c>
      <c r="B353" t="inlineStr">
        <is>
          <t>Love Cabaret</t>
        </is>
      </c>
      <c r="C353" s="27" t="n">
        <v>45975</v>
      </c>
      <c r="D353" t="n">
        <v>0</v>
      </c>
      <c r="E353" t="inlineStr">
        <is>
          <t>VOUCHER</t>
        </is>
      </c>
    </row>
    <row r="354">
      <c r="A354" t="n">
        <v>128</v>
      </c>
      <c r="B354" t="inlineStr">
        <is>
          <t>Love Cabaret</t>
        </is>
      </c>
      <c r="C354" s="27" t="n">
        <v>45975</v>
      </c>
      <c r="D354" t="n">
        <v>0</v>
      </c>
      <c r="E354" t="inlineStr">
        <is>
          <t>ANTECIPADO</t>
        </is>
      </c>
    </row>
    <row r="355">
      <c r="A355" t="n">
        <v>128</v>
      </c>
      <c r="B355" t="inlineStr">
        <is>
          <t>Love Cabaret</t>
        </is>
      </c>
      <c r="C355" s="27" t="n">
        <v>45975</v>
      </c>
      <c r="D355" t="n">
        <v>0</v>
      </c>
      <c r="E355" t="inlineStr">
        <is>
          <t>UBER</t>
        </is>
      </c>
    </row>
    <row r="356">
      <c r="A356" t="n">
        <v>128</v>
      </c>
      <c r="B356" t="inlineStr">
        <is>
          <t>Love Cabaret</t>
        </is>
      </c>
      <c r="C356" s="27" t="n">
        <v>45975</v>
      </c>
      <c r="D356" t="n">
        <v>0</v>
      </c>
      <c r="E356" t="inlineStr">
        <is>
          <t>RAPPI</t>
        </is>
      </c>
    </row>
    <row r="357">
      <c r="A357" t="n">
        <v>128</v>
      </c>
      <c r="B357" t="inlineStr">
        <is>
          <t>Love Cabaret</t>
        </is>
      </c>
      <c r="C357" s="27" t="n">
        <v>45975</v>
      </c>
      <c r="D357" t="n">
        <v>813.75</v>
      </c>
      <c r="E357" t="inlineStr">
        <is>
          <t>PIX</t>
        </is>
      </c>
    </row>
    <row r="358">
      <c r="A358" t="n">
        <v>128</v>
      </c>
      <c r="B358" t="inlineStr">
        <is>
          <t>Love Cabaret</t>
        </is>
      </c>
      <c r="C358" s="27" t="n">
        <v>45975</v>
      </c>
      <c r="D358" t="n">
        <v>0</v>
      </c>
      <c r="E358" t="inlineStr">
        <is>
          <t>IFOOD</t>
        </is>
      </c>
    </row>
    <row r="359">
      <c r="A359" t="n">
        <v>128</v>
      </c>
      <c r="B359" t="inlineStr">
        <is>
          <t>Love Cabaret</t>
        </is>
      </c>
      <c r="C359" s="27" t="n">
        <v>45975</v>
      </c>
      <c r="D359" t="n">
        <v>0</v>
      </c>
      <c r="E359" t="inlineStr">
        <is>
          <t>MBWAY</t>
        </is>
      </c>
    </row>
    <row r="360">
      <c r="A360" t="n">
        <v>128</v>
      </c>
      <c r="B360" t="inlineStr">
        <is>
          <t>Love Cabaret</t>
        </is>
      </c>
      <c r="C360" s="27" t="n">
        <v>45975</v>
      </c>
      <c r="D360" t="n">
        <v>0.35</v>
      </c>
      <c r="E360" t="inlineStr">
        <is>
          <t>APP</t>
        </is>
      </c>
    </row>
    <row r="361">
      <c r="A361" t="n">
        <v>128</v>
      </c>
      <c r="B361" t="inlineStr">
        <is>
          <t>Love Cabaret</t>
        </is>
      </c>
      <c r="C361" s="27" t="n">
        <v>45975</v>
      </c>
      <c r="D361" t="n">
        <v>285.89</v>
      </c>
      <c r="E361" t="inlineStr">
        <is>
          <t>DINHEIRO</t>
        </is>
      </c>
    </row>
    <row r="362">
      <c r="A362" t="n">
        <v>128</v>
      </c>
      <c r="B362" t="inlineStr">
        <is>
          <t>Love Cabaret</t>
        </is>
      </c>
      <c r="C362" s="27" t="n">
        <v>45975</v>
      </c>
      <c r="D362" t="n">
        <v>18544.67</v>
      </c>
      <c r="E362" t="inlineStr">
        <is>
          <t>CRÉDITO</t>
        </is>
      </c>
    </row>
    <row r="363">
      <c r="A363" t="n">
        <v>128</v>
      </c>
      <c r="B363" t="inlineStr">
        <is>
          <t>Love Cabaret</t>
        </is>
      </c>
      <c r="C363" s="27" t="n">
        <v>45969</v>
      </c>
      <c r="D363" t="n">
        <v>6650.5</v>
      </c>
      <c r="E363" t="inlineStr">
        <is>
          <t>DÉBITO</t>
        </is>
      </c>
    </row>
    <row r="364">
      <c r="A364" t="n">
        <v>128</v>
      </c>
      <c r="B364" t="inlineStr">
        <is>
          <t>Love Cabaret</t>
        </is>
      </c>
      <c r="C364" s="27" t="n">
        <v>45969</v>
      </c>
      <c r="D364" t="n">
        <v>0</v>
      </c>
      <c r="E364" t="inlineStr">
        <is>
          <t>AME</t>
        </is>
      </c>
    </row>
    <row r="365">
      <c r="A365" t="n">
        <v>128</v>
      </c>
      <c r="B365" t="inlineStr">
        <is>
          <t>Love Cabaret</t>
        </is>
      </c>
      <c r="C365" s="27" t="n">
        <v>45969</v>
      </c>
      <c r="D365" t="n">
        <v>392.11</v>
      </c>
      <c r="E365" t="inlineStr">
        <is>
          <t>DINHEIRO</t>
        </is>
      </c>
    </row>
    <row r="366">
      <c r="A366" t="n">
        <v>128</v>
      </c>
      <c r="B366" t="inlineStr">
        <is>
          <t>Love Cabaret</t>
        </is>
      </c>
      <c r="C366" s="27" t="n">
        <v>45969</v>
      </c>
      <c r="D366" t="n">
        <v>14298.37</v>
      </c>
      <c r="E366" t="inlineStr">
        <is>
          <t>CRÉDITO</t>
        </is>
      </c>
    </row>
    <row r="367">
      <c r="A367" t="n">
        <v>128</v>
      </c>
      <c r="B367" t="inlineStr">
        <is>
          <t>Love Cabaret</t>
        </is>
      </c>
      <c r="C367" s="27" t="n">
        <v>45969</v>
      </c>
      <c r="D367" t="n">
        <v>0</v>
      </c>
      <c r="E367" t="inlineStr">
        <is>
          <t>MBWAY</t>
        </is>
      </c>
    </row>
    <row r="368">
      <c r="A368" t="n">
        <v>128</v>
      </c>
      <c r="B368" t="inlineStr">
        <is>
          <t>Love Cabaret</t>
        </is>
      </c>
      <c r="C368" s="27" t="n">
        <v>45969</v>
      </c>
      <c r="D368" t="n">
        <v>0</v>
      </c>
      <c r="E368" t="inlineStr">
        <is>
          <t>VOUCHER INTEGRADO</t>
        </is>
      </c>
    </row>
    <row r="369">
      <c r="A369" t="n">
        <v>128</v>
      </c>
      <c r="B369" t="inlineStr">
        <is>
          <t>Love Cabaret</t>
        </is>
      </c>
      <c r="C369" s="27" t="n">
        <v>45969</v>
      </c>
      <c r="D369" t="n">
        <v>0</v>
      </c>
      <c r="E369" t="inlineStr">
        <is>
          <t>RECARGAS DEVOLVIDAS</t>
        </is>
      </c>
    </row>
    <row r="370">
      <c r="A370" t="n">
        <v>128</v>
      </c>
      <c r="B370" t="inlineStr">
        <is>
          <t>Love Cabaret</t>
        </is>
      </c>
      <c r="C370" s="27" t="n">
        <v>45969</v>
      </c>
      <c r="D370" t="n">
        <v>8</v>
      </c>
      <c r="E370" t="inlineStr">
        <is>
          <t>APP</t>
        </is>
      </c>
    </row>
    <row r="371">
      <c r="A371" t="n">
        <v>128</v>
      </c>
      <c r="B371" t="inlineStr">
        <is>
          <t>Love Cabaret</t>
        </is>
      </c>
      <c r="C371" s="27" t="n">
        <v>45969</v>
      </c>
      <c r="D371" t="n">
        <v>0</v>
      </c>
      <c r="E371" t="inlineStr">
        <is>
          <t>DELIVERY ONLINE</t>
        </is>
      </c>
    </row>
    <row r="372">
      <c r="A372" t="n">
        <v>128</v>
      </c>
      <c r="B372" t="inlineStr">
        <is>
          <t>Love Cabaret</t>
        </is>
      </c>
      <c r="C372" s="27" t="n">
        <v>45969</v>
      </c>
      <c r="D372" t="n">
        <v>0</v>
      </c>
      <c r="E372" t="inlineStr">
        <is>
          <t>IFOOD</t>
        </is>
      </c>
    </row>
    <row r="373">
      <c r="A373" t="n">
        <v>128</v>
      </c>
      <c r="B373" t="inlineStr">
        <is>
          <t>Love Cabaret</t>
        </is>
      </c>
      <c r="C373" s="27" t="n">
        <v>45969</v>
      </c>
      <c r="D373" t="n">
        <v>1674.68</v>
      </c>
      <c r="E373" t="inlineStr">
        <is>
          <t>PIX</t>
        </is>
      </c>
    </row>
    <row r="374">
      <c r="A374" t="n">
        <v>128</v>
      </c>
      <c r="B374" t="inlineStr">
        <is>
          <t>Love Cabaret</t>
        </is>
      </c>
      <c r="C374" s="27" t="n">
        <v>45969</v>
      </c>
      <c r="D374" t="n">
        <v>0</v>
      </c>
      <c r="E374" t="inlineStr">
        <is>
          <t>RAPPI</t>
        </is>
      </c>
    </row>
    <row r="375">
      <c r="A375" t="n">
        <v>128</v>
      </c>
      <c r="B375" t="inlineStr">
        <is>
          <t>Love Cabaret</t>
        </is>
      </c>
      <c r="C375" s="27" t="n">
        <v>45969</v>
      </c>
      <c r="D375" t="n">
        <v>0</v>
      </c>
      <c r="E375" t="inlineStr">
        <is>
          <t>UBER</t>
        </is>
      </c>
    </row>
    <row r="376">
      <c r="A376" t="n">
        <v>128</v>
      </c>
      <c r="B376" t="inlineStr">
        <is>
          <t>Love Cabaret</t>
        </is>
      </c>
      <c r="C376" s="27" t="n">
        <v>45969</v>
      </c>
      <c r="D376" t="n">
        <v>0</v>
      </c>
      <c r="E376" t="inlineStr">
        <is>
          <t>ANTECIPADO</t>
        </is>
      </c>
    </row>
    <row r="377">
      <c r="A377" t="n">
        <v>128</v>
      </c>
      <c r="B377" t="inlineStr">
        <is>
          <t>Love Cabaret</t>
        </is>
      </c>
      <c r="C377" s="27" t="n">
        <v>45969</v>
      </c>
      <c r="D377" t="n">
        <v>0</v>
      </c>
      <c r="E377" t="inlineStr">
        <is>
          <t>VOUCHER</t>
        </is>
      </c>
    </row>
    <row r="378">
      <c r="A378" t="n">
        <v>128</v>
      </c>
      <c r="B378" t="inlineStr">
        <is>
          <t>Love Cabaret</t>
        </is>
      </c>
      <c r="C378" s="27" t="n">
        <v>45969</v>
      </c>
      <c r="D378" t="n">
        <v>0</v>
      </c>
      <c r="E378" t="inlineStr">
        <is>
          <t>BÔNUS</t>
        </is>
      </c>
    </row>
    <row r="379">
      <c r="A379" t="n">
        <v>128</v>
      </c>
      <c r="B379" t="inlineStr">
        <is>
          <t>Love Cabaret</t>
        </is>
      </c>
      <c r="C379" s="27" t="n">
        <v>45969</v>
      </c>
      <c r="D379" t="n">
        <v>0</v>
      </c>
      <c r="E379" t="inlineStr">
        <is>
          <t>ANTECIPADO</t>
        </is>
      </c>
    </row>
    <row r="380">
      <c r="A380" t="n">
        <v>128</v>
      </c>
      <c r="B380" t="inlineStr">
        <is>
          <t>Love Cabaret</t>
        </is>
      </c>
      <c r="C380" s="27" t="n">
        <v>45969</v>
      </c>
      <c r="D380" t="n">
        <v>0</v>
      </c>
      <c r="E380" t="inlineStr">
        <is>
          <t>OUTROS</t>
        </is>
      </c>
    </row>
    <row r="381">
      <c r="A381" t="n">
        <v>128</v>
      </c>
      <c r="B381" t="inlineStr">
        <is>
          <t>Love Cabaret</t>
        </is>
      </c>
      <c r="C381" s="27" t="n">
        <v>45969</v>
      </c>
      <c r="D381" t="n">
        <v>0</v>
      </c>
      <c r="E381" t="inlineStr">
        <is>
          <t>NOTAS MANUAIS + SERVIÇO</t>
        </is>
      </c>
    </row>
    <row r="382">
      <c r="A382" t="n">
        <v>128</v>
      </c>
      <c r="B382" t="inlineStr">
        <is>
          <t>Love Cabaret</t>
        </is>
      </c>
      <c r="C382" s="27" t="n">
        <v>45968</v>
      </c>
      <c r="D382" t="n">
        <v>74</v>
      </c>
      <c r="E382" t="inlineStr">
        <is>
          <t>APP</t>
        </is>
      </c>
    </row>
    <row r="383">
      <c r="A383" t="n">
        <v>128</v>
      </c>
      <c r="B383" t="inlineStr">
        <is>
          <t>Love Cabaret</t>
        </is>
      </c>
      <c r="C383" s="27" t="n">
        <v>45968</v>
      </c>
      <c r="D383" t="n">
        <v>0</v>
      </c>
      <c r="E383" t="inlineStr">
        <is>
          <t>ANTECIPADO</t>
        </is>
      </c>
    </row>
    <row r="384">
      <c r="A384" t="n">
        <v>128</v>
      </c>
      <c r="B384" t="inlineStr">
        <is>
          <t>Love Cabaret</t>
        </is>
      </c>
      <c r="C384" s="27" t="n">
        <v>45968</v>
      </c>
      <c r="D384" t="n">
        <v>0</v>
      </c>
      <c r="E384" t="inlineStr">
        <is>
          <t>AME</t>
        </is>
      </c>
    </row>
    <row r="385">
      <c r="A385" t="n">
        <v>128</v>
      </c>
      <c r="B385" t="inlineStr">
        <is>
          <t>Love Cabaret</t>
        </is>
      </c>
      <c r="C385" s="27" t="n">
        <v>45968</v>
      </c>
      <c r="D385" t="n">
        <v>0</v>
      </c>
      <c r="E385" t="inlineStr">
        <is>
          <t>NOTAS MANUAIS + SERVIÇO</t>
        </is>
      </c>
    </row>
    <row r="386">
      <c r="A386" t="n">
        <v>128</v>
      </c>
      <c r="B386" t="inlineStr">
        <is>
          <t>Love Cabaret</t>
        </is>
      </c>
      <c r="C386" s="27" t="n">
        <v>45968</v>
      </c>
      <c r="D386" t="n">
        <v>0</v>
      </c>
      <c r="E386" t="inlineStr">
        <is>
          <t>RECARGAS DEVOLVIDAS</t>
        </is>
      </c>
    </row>
    <row r="387">
      <c r="A387" t="n">
        <v>128</v>
      </c>
      <c r="B387" t="inlineStr">
        <is>
          <t>Love Cabaret</t>
        </is>
      </c>
      <c r="C387" s="27" t="n">
        <v>45968</v>
      </c>
      <c r="D387" t="n">
        <v>0</v>
      </c>
      <c r="E387" t="inlineStr">
        <is>
          <t>VOUCHER INTEGRADO</t>
        </is>
      </c>
    </row>
    <row r="388">
      <c r="A388" t="n">
        <v>128</v>
      </c>
      <c r="B388" t="inlineStr">
        <is>
          <t>Love Cabaret</t>
        </is>
      </c>
      <c r="C388" s="27" t="n">
        <v>45968</v>
      </c>
      <c r="D388" t="n">
        <v>0</v>
      </c>
      <c r="E388" t="inlineStr">
        <is>
          <t>MBWAY</t>
        </is>
      </c>
    </row>
    <row r="389">
      <c r="A389" t="n">
        <v>128</v>
      </c>
      <c r="B389" t="inlineStr">
        <is>
          <t>Love Cabaret</t>
        </is>
      </c>
      <c r="C389" s="27" t="n">
        <v>45968</v>
      </c>
      <c r="D389" t="n">
        <v>0</v>
      </c>
      <c r="E389" t="inlineStr">
        <is>
          <t>OUTROS</t>
        </is>
      </c>
    </row>
    <row r="390">
      <c r="A390" t="n">
        <v>128</v>
      </c>
      <c r="B390" t="inlineStr">
        <is>
          <t>Love Cabaret</t>
        </is>
      </c>
      <c r="C390" s="27" t="n">
        <v>45968</v>
      </c>
      <c r="D390" t="n">
        <v>0</v>
      </c>
      <c r="E390" t="inlineStr">
        <is>
          <t>ANTECIPADO</t>
        </is>
      </c>
    </row>
    <row r="391">
      <c r="A391" t="n">
        <v>128</v>
      </c>
      <c r="B391" t="inlineStr">
        <is>
          <t>Love Cabaret</t>
        </is>
      </c>
      <c r="C391" s="27" t="n">
        <v>45968</v>
      </c>
      <c r="D391" t="n">
        <v>0</v>
      </c>
      <c r="E391" t="inlineStr">
        <is>
          <t>BÔNUS</t>
        </is>
      </c>
    </row>
    <row r="392">
      <c r="A392" t="n">
        <v>128</v>
      </c>
      <c r="B392" t="inlineStr">
        <is>
          <t>Love Cabaret</t>
        </is>
      </c>
      <c r="C392" s="27" t="n">
        <v>45968</v>
      </c>
      <c r="D392" t="n">
        <v>8222.35</v>
      </c>
      <c r="E392" t="inlineStr">
        <is>
          <t>DÉBITO</t>
        </is>
      </c>
    </row>
    <row r="393">
      <c r="A393" t="n">
        <v>128</v>
      </c>
      <c r="B393" t="inlineStr">
        <is>
          <t>Love Cabaret</t>
        </is>
      </c>
      <c r="C393" s="27" t="n">
        <v>45968</v>
      </c>
      <c r="D393" t="n">
        <v>0</v>
      </c>
      <c r="E393" t="inlineStr">
        <is>
          <t>VOUCHER</t>
        </is>
      </c>
    </row>
    <row r="394">
      <c r="A394" t="n">
        <v>128</v>
      </c>
      <c r="B394" t="inlineStr">
        <is>
          <t>Love Cabaret</t>
        </is>
      </c>
      <c r="C394" s="27" t="n">
        <v>45968</v>
      </c>
      <c r="D394" t="n">
        <v>0</v>
      </c>
      <c r="E394" t="inlineStr">
        <is>
          <t>UBER</t>
        </is>
      </c>
    </row>
    <row r="395">
      <c r="A395" t="n">
        <v>128</v>
      </c>
      <c r="B395" t="inlineStr">
        <is>
          <t>Love Cabaret</t>
        </is>
      </c>
      <c r="C395" s="27" t="n">
        <v>45968</v>
      </c>
      <c r="D395" t="n">
        <v>0</v>
      </c>
      <c r="E395" t="inlineStr">
        <is>
          <t>RAPPI</t>
        </is>
      </c>
    </row>
    <row r="396">
      <c r="A396" t="n">
        <v>128</v>
      </c>
      <c r="B396" t="inlineStr">
        <is>
          <t>Love Cabaret</t>
        </is>
      </c>
      <c r="C396" s="27" t="n">
        <v>45968</v>
      </c>
      <c r="D396" t="n">
        <v>1824.98</v>
      </c>
      <c r="E396" t="inlineStr">
        <is>
          <t>PIX</t>
        </is>
      </c>
    </row>
    <row r="397">
      <c r="A397" t="n">
        <v>128</v>
      </c>
      <c r="B397" t="inlineStr">
        <is>
          <t>Love Cabaret</t>
        </is>
      </c>
      <c r="C397" s="27" t="n">
        <v>45968</v>
      </c>
      <c r="D397" t="n">
        <v>0</v>
      </c>
      <c r="E397" t="inlineStr">
        <is>
          <t>IFOOD</t>
        </is>
      </c>
    </row>
    <row r="398">
      <c r="A398" t="n">
        <v>128</v>
      </c>
      <c r="B398" t="inlineStr">
        <is>
          <t>Love Cabaret</t>
        </is>
      </c>
      <c r="C398" s="27" t="n">
        <v>45968</v>
      </c>
      <c r="D398" t="n">
        <v>0</v>
      </c>
      <c r="E398" t="inlineStr">
        <is>
          <t>DELIVERY ONLINE</t>
        </is>
      </c>
    </row>
    <row r="399">
      <c r="A399" t="n">
        <v>128</v>
      </c>
      <c r="B399" t="inlineStr">
        <is>
          <t>Love Cabaret</t>
        </is>
      </c>
      <c r="C399" s="27" t="n">
        <v>45968</v>
      </c>
      <c r="D399" t="n">
        <v>115</v>
      </c>
      <c r="E399" t="inlineStr">
        <is>
          <t>DINHEIRO</t>
        </is>
      </c>
    </row>
    <row r="400">
      <c r="A400" t="n">
        <v>128</v>
      </c>
      <c r="B400" t="inlineStr">
        <is>
          <t>Love Cabaret</t>
        </is>
      </c>
      <c r="C400" s="27" t="n">
        <v>45968</v>
      </c>
      <c r="D400" t="n">
        <v>17523.16</v>
      </c>
      <c r="E400" t="inlineStr">
        <is>
          <t>CRÉDITO</t>
        </is>
      </c>
    </row>
    <row r="401">
      <c r="A401" t="n">
        <v>128</v>
      </c>
      <c r="B401" t="inlineStr">
        <is>
          <t>Love Cabaret</t>
        </is>
      </c>
      <c r="C401" s="27" t="n">
        <v>45967</v>
      </c>
      <c r="D401" t="n">
        <v>5298.22</v>
      </c>
      <c r="E401" t="inlineStr">
        <is>
          <t>CRÉDITO</t>
        </is>
      </c>
    </row>
    <row r="402">
      <c r="A402" t="n">
        <v>128</v>
      </c>
      <c r="B402" t="inlineStr">
        <is>
          <t>Love Cabaret</t>
        </is>
      </c>
      <c r="C402" s="27" t="n">
        <v>45967</v>
      </c>
      <c r="D402" t="n">
        <v>503.98</v>
      </c>
      <c r="E402" t="inlineStr">
        <is>
          <t>PIX</t>
        </is>
      </c>
    </row>
    <row r="403">
      <c r="A403" t="n">
        <v>128</v>
      </c>
      <c r="B403" t="inlineStr">
        <is>
          <t>Love Cabaret</t>
        </is>
      </c>
      <c r="C403" s="27" t="n">
        <v>45967</v>
      </c>
      <c r="D403" t="n">
        <v>0</v>
      </c>
      <c r="E403" t="inlineStr">
        <is>
          <t>APP</t>
        </is>
      </c>
    </row>
    <row r="404">
      <c r="A404" t="n">
        <v>128</v>
      </c>
      <c r="B404" t="inlineStr">
        <is>
          <t>Love Cabaret</t>
        </is>
      </c>
      <c r="C404" s="27" t="n">
        <v>45967</v>
      </c>
      <c r="D404" t="n">
        <v>4226.61</v>
      </c>
      <c r="E404" t="inlineStr">
        <is>
          <t>DÉBITO</t>
        </is>
      </c>
    </row>
    <row r="405">
      <c r="A405" t="n">
        <v>128</v>
      </c>
      <c r="B405" t="inlineStr">
        <is>
          <t>Love Cabaret</t>
        </is>
      </c>
      <c r="C405" s="27" t="n">
        <v>45967</v>
      </c>
      <c r="D405" t="n">
        <v>0</v>
      </c>
      <c r="E405" t="inlineStr">
        <is>
          <t>BÔNUS</t>
        </is>
      </c>
    </row>
    <row r="406">
      <c r="A406" t="n">
        <v>128</v>
      </c>
      <c r="B406" t="inlineStr">
        <is>
          <t>Love Cabaret</t>
        </is>
      </c>
      <c r="C406" s="27" t="n">
        <v>45967</v>
      </c>
      <c r="D406" t="n">
        <v>0</v>
      </c>
      <c r="E406" t="inlineStr">
        <is>
          <t>ANTECIPADO</t>
        </is>
      </c>
    </row>
    <row r="407">
      <c r="A407" t="n">
        <v>128</v>
      </c>
      <c r="B407" t="inlineStr">
        <is>
          <t>Love Cabaret</t>
        </is>
      </c>
      <c r="C407" s="27" t="n">
        <v>45967</v>
      </c>
      <c r="D407" t="n">
        <v>0</v>
      </c>
      <c r="E407" t="inlineStr">
        <is>
          <t>OUTROS</t>
        </is>
      </c>
    </row>
    <row r="408">
      <c r="A408" t="n">
        <v>128</v>
      </c>
      <c r="B408" t="inlineStr">
        <is>
          <t>Love Cabaret</t>
        </is>
      </c>
      <c r="C408" s="27" t="n">
        <v>45967</v>
      </c>
      <c r="D408" t="n">
        <v>0</v>
      </c>
      <c r="E408" t="inlineStr">
        <is>
          <t>AME</t>
        </is>
      </c>
    </row>
    <row r="409">
      <c r="A409" t="n">
        <v>128</v>
      </c>
      <c r="B409" t="inlineStr">
        <is>
          <t>Love Cabaret</t>
        </is>
      </c>
      <c r="C409" s="27" t="n">
        <v>45967</v>
      </c>
      <c r="D409" t="n">
        <v>0</v>
      </c>
      <c r="E409" t="inlineStr">
        <is>
          <t>NOTAS MANUAIS + SERVIÇO</t>
        </is>
      </c>
    </row>
    <row r="410">
      <c r="A410" t="n">
        <v>128</v>
      </c>
      <c r="B410" t="inlineStr">
        <is>
          <t>Love Cabaret</t>
        </is>
      </c>
      <c r="C410" s="27" t="n">
        <v>45967</v>
      </c>
      <c r="D410" t="n">
        <v>240</v>
      </c>
      <c r="E410" t="inlineStr">
        <is>
          <t>DINHEIRO</t>
        </is>
      </c>
    </row>
    <row r="411">
      <c r="A411" t="n">
        <v>128</v>
      </c>
      <c r="B411" t="inlineStr">
        <is>
          <t>Love Cabaret</t>
        </is>
      </c>
      <c r="C411" s="27" t="n">
        <v>45967</v>
      </c>
      <c r="D411" t="n">
        <v>0</v>
      </c>
      <c r="E411" t="inlineStr">
        <is>
          <t>RECARGAS DEVOLVIDAS</t>
        </is>
      </c>
    </row>
    <row r="412">
      <c r="A412" t="n">
        <v>128</v>
      </c>
      <c r="B412" t="inlineStr">
        <is>
          <t>Love Cabaret</t>
        </is>
      </c>
      <c r="C412" s="27" t="n">
        <v>45967</v>
      </c>
      <c r="D412" t="n">
        <v>0</v>
      </c>
      <c r="E412" t="inlineStr">
        <is>
          <t>VOUCHER INTEGRADO</t>
        </is>
      </c>
    </row>
    <row r="413">
      <c r="A413" t="n">
        <v>128</v>
      </c>
      <c r="B413" t="inlineStr">
        <is>
          <t>Love Cabaret</t>
        </is>
      </c>
      <c r="C413" s="27" t="n">
        <v>45967</v>
      </c>
      <c r="D413" t="n">
        <v>0</v>
      </c>
      <c r="E413" t="inlineStr">
        <is>
          <t>MBWAY</t>
        </is>
      </c>
    </row>
    <row r="414">
      <c r="A414" t="n">
        <v>128</v>
      </c>
      <c r="B414" t="inlineStr">
        <is>
          <t>Love Cabaret</t>
        </is>
      </c>
      <c r="C414" s="27" t="n">
        <v>45967</v>
      </c>
      <c r="D414" t="n">
        <v>0</v>
      </c>
      <c r="E414" t="inlineStr">
        <is>
          <t>DELIVERY ONLINE</t>
        </is>
      </c>
    </row>
    <row r="415">
      <c r="A415" t="n">
        <v>128</v>
      </c>
      <c r="B415" t="inlineStr">
        <is>
          <t>Love Cabaret</t>
        </is>
      </c>
      <c r="C415" s="27" t="n">
        <v>45967</v>
      </c>
      <c r="D415" t="n">
        <v>0</v>
      </c>
      <c r="E415" t="inlineStr">
        <is>
          <t>IFOOD</t>
        </is>
      </c>
    </row>
    <row r="416">
      <c r="A416" t="n">
        <v>128</v>
      </c>
      <c r="B416" t="inlineStr">
        <is>
          <t>Love Cabaret</t>
        </is>
      </c>
      <c r="C416" s="27" t="n">
        <v>45967</v>
      </c>
      <c r="D416" t="n">
        <v>0</v>
      </c>
      <c r="E416" t="inlineStr">
        <is>
          <t>RAPPI</t>
        </is>
      </c>
    </row>
    <row r="417">
      <c r="A417" t="n">
        <v>128</v>
      </c>
      <c r="B417" t="inlineStr">
        <is>
          <t>Love Cabaret</t>
        </is>
      </c>
      <c r="C417" s="27" t="n">
        <v>45967</v>
      </c>
      <c r="D417" t="n">
        <v>0</v>
      </c>
      <c r="E417" t="inlineStr">
        <is>
          <t>UBER</t>
        </is>
      </c>
    </row>
    <row r="418">
      <c r="A418" t="n">
        <v>128</v>
      </c>
      <c r="B418" t="inlineStr">
        <is>
          <t>Love Cabaret</t>
        </is>
      </c>
      <c r="C418" s="27" t="n">
        <v>45967</v>
      </c>
      <c r="D418" t="n">
        <v>0</v>
      </c>
      <c r="E418" t="inlineStr">
        <is>
          <t>ANTECIPADO</t>
        </is>
      </c>
    </row>
    <row r="419">
      <c r="A419" t="n">
        <v>128</v>
      </c>
      <c r="B419" t="inlineStr">
        <is>
          <t>Love Cabaret</t>
        </is>
      </c>
      <c r="C419" s="27" t="n">
        <v>45967</v>
      </c>
      <c r="D419" t="n">
        <v>0</v>
      </c>
      <c r="E419" t="inlineStr">
        <is>
          <t>VOUCHER</t>
        </is>
      </c>
    </row>
    <row r="420">
      <c r="A420" t="n">
        <v>128</v>
      </c>
      <c r="B420" t="inlineStr">
        <is>
          <t>Love Cabaret</t>
        </is>
      </c>
      <c r="C420" s="27" t="n">
        <v>45962</v>
      </c>
      <c r="D420" t="n">
        <v>0</v>
      </c>
      <c r="E420" t="inlineStr">
        <is>
          <t>DELIVERY ONLINE</t>
        </is>
      </c>
    </row>
    <row r="421">
      <c r="A421" t="n">
        <v>128</v>
      </c>
      <c r="B421" t="inlineStr">
        <is>
          <t>Love Cabaret</t>
        </is>
      </c>
      <c r="C421" s="27" t="n">
        <v>45962</v>
      </c>
      <c r="D421" t="n">
        <v>0</v>
      </c>
      <c r="E421" t="inlineStr">
        <is>
          <t>NOTAS MANUAIS + SERVIÇO</t>
        </is>
      </c>
    </row>
    <row r="422">
      <c r="A422" t="n">
        <v>128</v>
      </c>
      <c r="B422" t="inlineStr">
        <is>
          <t>Love Cabaret</t>
        </is>
      </c>
      <c r="C422" s="27" t="n">
        <v>45962</v>
      </c>
      <c r="D422" t="n">
        <v>0</v>
      </c>
      <c r="E422" t="inlineStr">
        <is>
          <t>IFOOD</t>
        </is>
      </c>
    </row>
    <row r="423">
      <c r="A423" t="n">
        <v>128</v>
      </c>
      <c r="B423" t="inlineStr">
        <is>
          <t>Love Cabaret</t>
        </is>
      </c>
      <c r="C423" s="27" t="n">
        <v>45962</v>
      </c>
      <c r="D423" t="n">
        <v>1960.02</v>
      </c>
      <c r="E423" t="inlineStr">
        <is>
          <t>PIX</t>
        </is>
      </c>
    </row>
    <row r="424">
      <c r="A424" t="n">
        <v>128</v>
      </c>
      <c r="B424" t="inlineStr">
        <is>
          <t>Love Cabaret</t>
        </is>
      </c>
      <c r="C424" s="27" t="n">
        <v>45962</v>
      </c>
      <c r="D424" t="n">
        <v>0</v>
      </c>
      <c r="E424" t="inlineStr">
        <is>
          <t>RAPPI</t>
        </is>
      </c>
    </row>
    <row r="425">
      <c r="A425" t="n">
        <v>128</v>
      </c>
      <c r="B425" t="inlineStr">
        <is>
          <t>Love Cabaret</t>
        </is>
      </c>
      <c r="C425" s="27" t="n">
        <v>45962</v>
      </c>
      <c r="D425" t="n">
        <v>0</v>
      </c>
      <c r="E425" t="inlineStr">
        <is>
          <t>UBER</t>
        </is>
      </c>
    </row>
    <row r="426">
      <c r="A426" t="n">
        <v>128</v>
      </c>
      <c r="B426" t="inlineStr">
        <is>
          <t>Love Cabaret</t>
        </is>
      </c>
      <c r="C426" s="27" t="n">
        <v>45962</v>
      </c>
      <c r="D426" t="n">
        <v>0</v>
      </c>
      <c r="E426" t="inlineStr">
        <is>
          <t>ANTECIPADO</t>
        </is>
      </c>
    </row>
    <row r="427">
      <c r="A427" t="n">
        <v>128</v>
      </c>
      <c r="B427" t="inlineStr">
        <is>
          <t>Love Cabaret</t>
        </is>
      </c>
      <c r="C427" s="27" t="n">
        <v>45962</v>
      </c>
      <c r="D427" t="n">
        <v>0</v>
      </c>
      <c r="E427" t="inlineStr">
        <is>
          <t>VOUCHER</t>
        </is>
      </c>
    </row>
    <row r="428">
      <c r="A428" t="n">
        <v>128</v>
      </c>
      <c r="B428" t="inlineStr">
        <is>
          <t>Love Cabaret</t>
        </is>
      </c>
      <c r="C428" s="27" t="n">
        <v>45962</v>
      </c>
      <c r="D428" t="n">
        <v>6641.64</v>
      </c>
      <c r="E428" t="inlineStr">
        <is>
          <t>DÉBITO</t>
        </is>
      </c>
    </row>
    <row r="429">
      <c r="A429" t="n">
        <v>128</v>
      </c>
      <c r="B429" t="inlineStr">
        <is>
          <t>Love Cabaret</t>
        </is>
      </c>
      <c r="C429" s="27" t="n">
        <v>45962</v>
      </c>
      <c r="D429" t="n">
        <v>0</v>
      </c>
      <c r="E429" t="inlineStr">
        <is>
          <t>BÔNUS</t>
        </is>
      </c>
    </row>
    <row r="430">
      <c r="A430" t="n">
        <v>128</v>
      </c>
      <c r="B430" t="inlineStr">
        <is>
          <t>Love Cabaret</t>
        </is>
      </c>
      <c r="C430" s="27" t="n">
        <v>45962</v>
      </c>
      <c r="D430" t="n">
        <v>0</v>
      </c>
      <c r="E430" t="inlineStr">
        <is>
          <t>ANTECIPADO</t>
        </is>
      </c>
    </row>
    <row r="431">
      <c r="A431" t="n">
        <v>128</v>
      </c>
      <c r="B431" t="inlineStr">
        <is>
          <t>Love Cabaret</t>
        </is>
      </c>
      <c r="C431" s="27" t="n">
        <v>45962</v>
      </c>
      <c r="D431" t="n">
        <v>0</v>
      </c>
      <c r="E431" t="inlineStr">
        <is>
          <t>OUTROS</t>
        </is>
      </c>
    </row>
    <row r="432">
      <c r="A432" t="n">
        <v>128</v>
      </c>
      <c r="B432" t="inlineStr">
        <is>
          <t>Love Cabaret</t>
        </is>
      </c>
      <c r="C432" s="27" t="n">
        <v>45962</v>
      </c>
      <c r="D432" t="n">
        <v>0</v>
      </c>
      <c r="E432" t="inlineStr">
        <is>
          <t>AME</t>
        </is>
      </c>
    </row>
    <row r="433">
      <c r="A433" t="n">
        <v>128</v>
      </c>
      <c r="B433" t="inlineStr">
        <is>
          <t>Love Cabaret</t>
        </is>
      </c>
      <c r="C433" s="27" t="n">
        <v>45962</v>
      </c>
      <c r="D433" t="n">
        <v>0</v>
      </c>
      <c r="E433" t="inlineStr">
        <is>
          <t>RECARGAS DEVOLVIDAS</t>
        </is>
      </c>
    </row>
    <row r="434">
      <c r="A434" t="n">
        <v>128</v>
      </c>
      <c r="B434" t="inlineStr">
        <is>
          <t>Love Cabaret</t>
        </is>
      </c>
      <c r="C434" s="27" t="n">
        <v>45962</v>
      </c>
      <c r="D434" t="n">
        <v>0</v>
      </c>
      <c r="E434" t="inlineStr">
        <is>
          <t>VOUCHER INTEGRADO</t>
        </is>
      </c>
    </row>
    <row r="435">
      <c r="A435" t="n">
        <v>128</v>
      </c>
      <c r="B435" t="inlineStr">
        <is>
          <t>Love Cabaret</t>
        </is>
      </c>
      <c r="C435" s="27" t="n">
        <v>45962</v>
      </c>
      <c r="D435" t="n">
        <v>0</v>
      </c>
      <c r="E435" t="inlineStr">
        <is>
          <t>MBWAY</t>
        </is>
      </c>
    </row>
    <row r="436">
      <c r="A436" t="n">
        <v>128</v>
      </c>
      <c r="B436" t="inlineStr">
        <is>
          <t>Love Cabaret</t>
        </is>
      </c>
      <c r="C436" s="27" t="n">
        <v>45962</v>
      </c>
      <c r="D436" t="n">
        <v>0</v>
      </c>
      <c r="E436" t="inlineStr">
        <is>
          <t>APP</t>
        </is>
      </c>
    </row>
    <row r="437">
      <c r="A437" t="n">
        <v>128</v>
      </c>
      <c r="B437" t="inlineStr">
        <is>
          <t>Love Cabaret</t>
        </is>
      </c>
      <c r="C437" s="27" t="n">
        <v>45962</v>
      </c>
      <c r="D437" t="n">
        <v>0</v>
      </c>
      <c r="E437" t="inlineStr">
        <is>
          <t>DINHEIRO</t>
        </is>
      </c>
    </row>
    <row r="438">
      <c r="A438" t="n">
        <v>128</v>
      </c>
      <c r="B438" t="inlineStr">
        <is>
          <t>Love Cabaret</t>
        </is>
      </c>
      <c r="C438" s="27" t="n">
        <v>45962</v>
      </c>
      <c r="D438" t="n">
        <v>24558.25</v>
      </c>
      <c r="E438" t="inlineStr">
        <is>
          <t>CRÉDITO</t>
        </is>
      </c>
    </row>
    <row r="439">
      <c r="A439" t="n">
        <v>128</v>
      </c>
      <c r="B439" t="inlineStr">
        <is>
          <t>Love Cabaret</t>
        </is>
      </c>
      <c r="C439" s="27" t="n">
        <v>45961</v>
      </c>
      <c r="D439" t="n">
        <v>0</v>
      </c>
      <c r="E439" t="inlineStr">
        <is>
          <t>BÔNUS</t>
        </is>
      </c>
    </row>
    <row r="440">
      <c r="A440" t="n">
        <v>128</v>
      </c>
      <c r="B440" t="inlineStr">
        <is>
          <t>Love Cabaret</t>
        </is>
      </c>
      <c r="C440" s="27" t="n">
        <v>45961</v>
      </c>
      <c r="D440" t="n">
        <v>7196.04</v>
      </c>
      <c r="E440" t="inlineStr">
        <is>
          <t>DÉBITO</t>
        </is>
      </c>
    </row>
    <row r="441">
      <c r="A441" t="n">
        <v>128</v>
      </c>
      <c r="B441" t="inlineStr">
        <is>
          <t>Love Cabaret</t>
        </is>
      </c>
      <c r="C441" s="27" t="n">
        <v>45961</v>
      </c>
      <c r="D441" t="n">
        <v>0</v>
      </c>
      <c r="E441" t="inlineStr">
        <is>
          <t>VOUCHER</t>
        </is>
      </c>
    </row>
    <row r="442">
      <c r="A442" t="n">
        <v>128</v>
      </c>
      <c r="B442" t="inlineStr">
        <is>
          <t>Love Cabaret</t>
        </is>
      </c>
      <c r="C442" s="27" t="n">
        <v>45961</v>
      </c>
      <c r="D442" t="n">
        <v>9.039999999999999</v>
      </c>
      <c r="E442" t="inlineStr">
        <is>
          <t>DINHEIRO</t>
        </is>
      </c>
    </row>
    <row r="443">
      <c r="A443" t="n">
        <v>128</v>
      </c>
      <c r="B443" t="inlineStr">
        <is>
          <t>Love Cabaret</t>
        </is>
      </c>
      <c r="C443" s="27" t="n">
        <v>45961</v>
      </c>
      <c r="D443" t="n">
        <v>0</v>
      </c>
      <c r="E443" t="inlineStr">
        <is>
          <t>APP</t>
        </is>
      </c>
    </row>
    <row r="444">
      <c r="A444" t="n">
        <v>128</v>
      </c>
      <c r="B444" t="inlineStr">
        <is>
          <t>Love Cabaret</t>
        </is>
      </c>
      <c r="C444" s="27" t="n">
        <v>45961</v>
      </c>
      <c r="D444" t="n">
        <v>0</v>
      </c>
      <c r="E444" t="inlineStr">
        <is>
          <t>DELIVERY ONLINE</t>
        </is>
      </c>
    </row>
    <row r="445">
      <c r="A445" t="n">
        <v>128</v>
      </c>
      <c r="B445" t="inlineStr">
        <is>
          <t>Love Cabaret</t>
        </is>
      </c>
      <c r="C445" s="27" t="n">
        <v>45961</v>
      </c>
      <c r="D445" t="n">
        <v>0</v>
      </c>
      <c r="E445" t="inlineStr">
        <is>
          <t>IFOOD</t>
        </is>
      </c>
    </row>
    <row r="446">
      <c r="A446" t="n">
        <v>128</v>
      </c>
      <c r="B446" t="inlineStr">
        <is>
          <t>Love Cabaret</t>
        </is>
      </c>
      <c r="C446" s="27" t="n">
        <v>45961</v>
      </c>
      <c r="D446" t="n">
        <v>1545.98</v>
      </c>
      <c r="E446" t="inlineStr">
        <is>
          <t>PIX</t>
        </is>
      </c>
    </row>
    <row r="447">
      <c r="A447" t="n">
        <v>128</v>
      </c>
      <c r="B447" t="inlineStr">
        <is>
          <t>Love Cabaret</t>
        </is>
      </c>
      <c r="C447" s="27" t="n">
        <v>45961</v>
      </c>
      <c r="D447" t="n">
        <v>0</v>
      </c>
      <c r="E447" t="inlineStr">
        <is>
          <t>RAPPI</t>
        </is>
      </c>
    </row>
    <row r="448">
      <c r="A448" t="n">
        <v>128</v>
      </c>
      <c r="B448" t="inlineStr">
        <is>
          <t>Love Cabaret</t>
        </is>
      </c>
      <c r="C448" s="27" t="n">
        <v>45961</v>
      </c>
      <c r="D448" t="n">
        <v>0</v>
      </c>
      <c r="E448" t="inlineStr">
        <is>
          <t>UBER</t>
        </is>
      </c>
    </row>
    <row r="449">
      <c r="A449" t="n">
        <v>128</v>
      </c>
      <c r="B449" t="inlineStr">
        <is>
          <t>Love Cabaret</t>
        </is>
      </c>
      <c r="C449" s="27" t="n">
        <v>45961</v>
      </c>
      <c r="D449" t="n">
        <v>20963.11</v>
      </c>
      <c r="E449" t="inlineStr">
        <is>
          <t>CRÉDITO</t>
        </is>
      </c>
    </row>
    <row r="450">
      <c r="A450" t="n">
        <v>128</v>
      </c>
      <c r="B450" t="inlineStr">
        <is>
          <t>Love Cabaret</t>
        </is>
      </c>
      <c r="C450" s="27" t="n">
        <v>45961</v>
      </c>
      <c r="D450" t="n">
        <v>0</v>
      </c>
      <c r="E450" t="inlineStr">
        <is>
          <t>ANTECIPADO</t>
        </is>
      </c>
    </row>
    <row r="451">
      <c r="A451" t="n">
        <v>128</v>
      </c>
      <c r="B451" t="inlineStr">
        <is>
          <t>Love Cabaret</t>
        </is>
      </c>
      <c r="C451" s="27" t="n">
        <v>45961</v>
      </c>
      <c r="D451" t="n">
        <v>0</v>
      </c>
      <c r="E451" t="inlineStr">
        <is>
          <t>ANTECIPADO</t>
        </is>
      </c>
    </row>
    <row r="452">
      <c r="A452" t="n">
        <v>128</v>
      </c>
      <c r="B452" t="inlineStr">
        <is>
          <t>Love Cabaret</t>
        </is>
      </c>
      <c r="C452" s="27" t="n">
        <v>45961</v>
      </c>
      <c r="D452" t="n">
        <v>0</v>
      </c>
      <c r="E452" t="inlineStr">
        <is>
          <t>OUTROS</t>
        </is>
      </c>
    </row>
    <row r="453">
      <c r="A453" t="n">
        <v>128</v>
      </c>
      <c r="B453" t="inlineStr">
        <is>
          <t>Love Cabaret</t>
        </is>
      </c>
      <c r="C453" s="27" t="n">
        <v>45961</v>
      </c>
      <c r="D453" t="n">
        <v>0</v>
      </c>
      <c r="E453" t="inlineStr">
        <is>
          <t>AME</t>
        </is>
      </c>
    </row>
    <row r="454">
      <c r="A454" t="n">
        <v>128</v>
      </c>
      <c r="B454" t="inlineStr">
        <is>
          <t>Love Cabaret</t>
        </is>
      </c>
      <c r="C454" s="27" t="n">
        <v>45961</v>
      </c>
      <c r="D454" t="n">
        <v>0</v>
      </c>
      <c r="E454" t="inlineStr">
        <is>
          <t>MBWAY</t>
        </is>
      </c>
    </row>
    <row r="455">
      <c r="A455" t="n">
        <v>128</v>
      </c>
      <c r="B455" t="inlineStr">
        <is>
          <t>Love Cabaret</t>
        </is>
      </c>
      <c r="C455" s="27" t="n">
        <v>45961</v>
      </c>
      <c r="D455" t="n">
        <v>0</v>
      </c>
      <c r="E455" t="inlineStr">
        <is>
          <t>NOTAS MANUAIS + SERVIÇO</t>
        </is>
      </c>
    </row>
    <row r="456">
      <c r="A456" t="n">
        <v>128</v>
      </c>
      <c r="B456" t="inlineStr">
        <is>
          <t>Love Cabaret</t>
        </is>
      </c>
      <c r="C456" s="27" t="n">
        <v>45961</v>
      </c>
      <c r="D456" t="n">
        <v>0</v>
      </c>
      <c r="E456" t="inlineStr">
        <is>
          <t>RECARGAS DEVOLVIDAS</t>
        </is>
      </c>
    </row>
    <row r="457">
      <c r="A457" t="n">
        <v>128</v>
      </c>
      <c r="B457" t="inlineStr">
        <is>
          <t>Love Cabaret</t>
        </is>
      </c>
      <c r="C457" s="27" t="n">
        <v>45961</v>
      </c>
      <c r="D457" t="n">
        <v>0</v>
      </c>
      <c r="E457" t="inlineStr">
        <is>
          <t>VOUCHER INTEGRADO</t>
        </is>
      </c>
    </row>
    <row r="458">
      <c r="A458" t="n">
        <v>128</v>
      </c>
      <c r="B458" t="inlineStr">
        <is>
          <t>Love Cabaret</t>
        </is>
      </c>
      <c r="C458" s="27" t="n">
        <v>45960</v>
      </c>
      <c r="D458" t="n">
        <v>0</v>
      </c>
      <c r="E458" t="inlineStr">
        <is>
          <t>UBER</t>
        </is>
      </c>
    </row>
    <row r="459">
      <c r="A459" t="n">
        <v>128</v>
      </c>
      <c r="B459" t="inlineStr">
        <is>
          <t>Love Cabaret</t>
        </is>
      </c>
      <c r="C459" s="27" t="n">
        <v>45960</v>
      </c>
      <c r="D459" t="n">
        <v>0</v>
      </c>
      <c r="E459" t="inlineStr">
        <is>
          <t>AME</t>
        </is>
      </c>
    </row>
    <row r="460">
      <c r="A460" t="n">
        <v>128</v>
      </c>
      <c r="B460" t="inlineStr">
        <is>
          <t>Love Cabaret</t>
        </is>
      </c>
      <c r="C460" s="27" t="n">
        <v>45960</v>
      </c>
      <c r="D460" t="n">
        <v>5099.03</v>
      </c>
      <c r="E460" t="inlineStr">
        <is>
          <t>DÉBITO</t>
        </is>
      </c>
    </row>
    <row r="461">
      <c r="A461" t="n">
        <v>128</v>
      </c>
      <c r="B461" t="inlineStr">
        <is>
          <t>Love Cabaret</t>
        </is>
      </c>
      <c r="C461" s="27" t="n">
        <v>45960</v>
      </c>
      <c r="D461" t="n">
        <v>0</v>
      </c>
      <c r="E461" t="inlineStr">
        <is>
          <t>BÔNUS</t>
        </is>
      </c>
    </row>
    <row r="462">
      <c r="A462" t="n">
        <v>128</v>
      </c>
      <c r="B462" t="inlineStr">
        <is>
          <t>Love Cabaret</t>
        </is>
      </c>
      <c r="C462" s="27" t="n">
        <v>45960</v>
      </c>
      <c r="D462" t="n">
        <v>0</v>
      </c>
      <c r="E462" t="inlineStr">
        <is>
          <t>ANTECIPADO</t>
        </is>
      </c>
    </row>
    <row r="463">
      <c r="A463" t="n">
        <v>128</v>
      </c>
      <c r="B463" t="inlineStr">
        <is>
          <t>Love Cabaret</t>
        </is>
      </c>
      <c r="C463" s="27" t="n">
        <v>45960</v>
      </c>
      <c r="D463" t="n">
        <v>0</v>
      </c>
      <c r="E463" t="inlineStr">
        <is>
          <t>OUTROS</t>
        </is>
      </c>
    </row>
    <row r="464">
      <c r="A464" t="n">
        <v>128</v>
      </c>
      <c r="B464" t="inlineStr">
        <is>
          <t>Love Cabaret</t>
        </is>
      </c>
      <c r="C464" s="27" t="n">
        <v>45960</v>
      </c>
      <c r="D464" t="n">
        <v>0</v>
      </c>
      <c r="E464" t="inlineStr">
        <is>
          <t>VOUCHER</t>
        </is>
      </c>
    </row>
    <row r="465">
      <c r="A465" t="n">
        <v>128</v>
      </c>
      <c r="B465" t="inlineStr">
        <is>
          <t>Love Cabaret</t>
        </is>
      </c>
      <c r="C465" s="27" t="n">
        <v>45960</v>
      </c>
      <c r="D465" t="n">
        <v>0</v>
      </c>
      <c r="E465" t="inlineStr">
        <is>
          <t>ANTECIPADO</t>
        </is>
      </c>
    </row>
    <row r="466">
      <c r="A466" t="n">
        <v>128</v>
      </c>
      <c r="B466" t="inlineStr">
        <is>
          <t>Love Cabaret</t>
        </is>
      </c>
      <c r="C466" s="27" t="n">
        <v>45960</v>
      </c>
      <c r="D466" t="n">
        <v>10290.95</v>
      </c>
      <c r="E466" t="inlineStr">
        <is>
          <t>CRÉDITO</t>
        </is>
      </c>
    </row>
    <row r="467">
      <c r="A467" t="n">
        <v>128</v>
      </c>
      <c r="B467" t="inlineStr">
        <is>
          <t>Love Cabaret</t>
        </is>
      </c>
      <c r="C467" s="27" t="n">
        <v>45960</v>
      </c>
      <c r="D467" t="n">
        <v>578.71</v>
      </c>
      <c r="E467" t="inlineStr">
        <is>
          <t>DINHEIRO</t>
        </is>
      </c>
    </row>
    <row r="468">
      <c r="A468" t="n">
        <v>128</v>
      </c>
      <c r="B468" t="inlineStr">
        <is>
          <t>Love Cabaret</t>
        </is>
      </c>
      <c r="C468" s="27" t="n">
        <v>45960</v>
      </c>
      <c r="D468" t="n">
        <v>2</v>
      </c>
      <c r="E468" t="inlineStr">
        <is>
          <t>APP</t>
        </is>
      </c>
    </row>
    <row r="469">
      <c r="A469" t="n">
        <v>128</v>
      </c>
      <c r="B469" t="inlineStr">
        <is>
          <t>Love Cabaret</t>
        </is>
      </c>
      <c r="C469" s="27" t="n">
        <v>45960</v>
      </c>
      <c r="D469" t="n">
        <v>0</v>
      </c>
      <c r="E469" t="inlineStr">
        <is>
          <t>DELIVERY ONLINE</t>
        </is>
      </c>
    </row>
    <row r="470">
      <c r="A470" t="n">
        <v>128</v>
      </c>
      <c r="B470" t="inlineStr">
        <is>
          <t>Love Cabaret</t>
        </is>
      </c>
      <c r="C470" s="27" t="n">
        <v>45960</v>
      </c>
      <c r="D470" t="n">
        <v>0</v>
      </c>
      <c r="E470" t="inlineStr">
        <is>
          <t>IFOOD</t>
        </is>
      </c>
    </row>
    <row r="471">
      <c r="A471" t="n">
        <v>128</v>
      </c>
      <c r="B471" t="inlineStr">
        <is>
          <t>Love Cabaret</t>
        </is>
      </c>
      <c r="C471" s="27" t="n">
        <v>45960</v>
      </c>
      <c r="D471" t="n">
        <v>824.12</v>
      </c>
      <c r="E471" t="inlineStr">
        <is>
          <t>PIX</t>
        </is>
      </c>
    </row>
    <row r="472">
      <c r="A472" t="n">
        <v>128</v>
      </c>
      <c r="B472" t="inlineStr">
        <is>
          <t>Love Cabaret</t>
        </is>
      </c>
      <c r="C472" s="27" t="n">
        <v>45960</v>
      </c>
      <c r="D472" t="n">
        <v>0</v>
      </c>
      <c r="E472" t="inlineStr">
        <is>
          <t>RAPPI</t>
        </is>
      </c>
    </row>
    <row r="473">
      <c r="A473" t="n">
        <v>128</v>
      </c>
      <c r="B473" t="inlineStr">
        <is>
          <t>Love Cabaret</t>
        </is>
      </c>
      <c r="C473" s="27" t="n">
        <v>45960</v>
      </c>
      <c r="D473" t="n">
        <v>0</v>
      </c>
      <c r="E473" t="inlineStr">
        <is>
          <t>RECARGAS DEVOLVIDAS</t>
        </is>
      </c>
    </row>
    <row r="474">
      <c r="A474" t="n">
        <v>128</v>
      </c>
      <c r="B474" t="inlineStr">
        <is>
          <t>Love Cabaret</t>
        </is>
      </c>
      <c r="C474" s="27" t="n">
        <v>45960</v>
      </c>
      <c r="D474" t="n">
        <v>0</v>
      </c>
      <c r="E474" t="inlineStr">
        <is>
          <t>VOUCHER INTEGRADO</t>
        </is>
      </c>
    </row>
    <row r="475">
      <c r="A475" t="n">
        <v>128</v>
      </c>
      <c r="B475" t="inlineStr">
        <is>
          <t>Love Cabaret</t>
        </is>
      </c>
      <c r="C475" s="27" t="n">
        <v>45960</v>
      </c>
      <c r="D475" t="n">
        <v>0</v>
      </c>
      <c r="E475" t="inlineStr">
        <is>
          <t>MBWAY</t>
        </is>
      </c>
    </row>
    <row r="476">
      <c r="A476" t="n">
        <v>128</v>
      </c>
      <c r="B476" t="inlineStr">
        <is>
          <t>Love Cabaret</t>
        </is>
      </c>
      <c r="C476" s="27" t="n">
        <v>45960</v>
      </c>
      <c r="D476" t="n">
        <v>0</v>
      </c>
      <c r="E476" t="inlineStr">
        <is>
          <t>NOTAS MANUAIS + SERVIÇO</t>
        </is>
      </c>
    </row>
    <row r="477">
      <c r="A477" t="n">
        <v>128</v>
      </c>
      <c r="B477" t="inlineStr">
        <is>
          <t>Love Cabaret</t>
        </is>
      </c>
      <c r="C477" s="27" t="n">
        <v>45957</v>
      </c>
      <c r="D477" t="n">
        <v>0</v>
      </c>
      <c r="E477" t="inlineStr">
        <is>
          <t>UBER</t>
        </is>
      </c>
    </row>
    <row r="478">
      <c r="A478" t="n">
        <v>128</v>
      </c>
      <c r="B478" t="inlineStr">
        <is>
          <t>Love Cabaret</t>
        </is>
      </c>
      <c r="C478" s="27" t="n">
        <v>45957</v>
      </c>
      <c r="D478" t="n">
        <v>0</v>
      </c>
      <c r="E478" t="inlineStr">
        <is>
          <t>VOUCHER INTEGRADO</t>
        </is>
      </c>
    </row>
    <row r="479">
      <c r="A479" t="n">
        <v>128</v>
      </c>
      <c r="B479" t="inlineStr">
        <is>
          <t>Love Cabaret</t>
        </is>
      </c>
      <c r="C479" s="27" t="n">
        <v>45957</v>
      </c>
      <c r="D479" t="n">
        <v>0</v>
      </c>
      <c r="E479" t="inlineStr">
        <is>
          <t>MBWAY</t>
        </is>
      </c>
    </row>
    <row r="480">
      <c r="A480" t="n">
        <v>128</v>
      </c>
      <c r="B480" t="inlineStr">
        <is>
          <t>Love Cabaret</t>
        </is>
      </c>
      <c r="C480" s="27" t="n">
        <v>45957</v>
      </c>
      <c r="D480" t="n">
        <v>0</v>
      </c>
      <c r="E480" t="inlineStr">
        <is>
          <t>RECARGAS DEVOLVIDAS</t>
        </is>
      </c>
    </row>
    <row r="481">
      <c r="A481" t="n">
        <v>128</v>
      </c>
      <c r="B481" t="inlineStr">
        <is>
          <t>Love Cabaret</t>
        </is>
      </c>
      <c r="C481" s="27" t="n">
        <v>45957</v>
      </c>
      <c r="D481" t="n">
        <v>0</v>
      </c>
      <c r="E481" t="inlineStr">
        <is>
          <t>NOTAS MANUAIS + SERVIÇO</t>
        </is>
      </c>
    </row>
    <row r="482">
      <c r="A482" t="n">
        <v>128</v>
      </c>
      <c r="B482" t="inlineStr">
        <is>
          <t>Love Cabaret</t>
        </is>
      </c>
      <c r="C482" s="27" t="n">
        <v>45957</v>
      </c>
      <c r="D482" t="n">
        <v>0</v>
      </c>
      <c r="E482" t="inlineStr">
        <is>
          <t>AME</t>
        </is>
      </c>
    </row>
    <row r="483">
      <c r="A483" t="n">
        <v>128</v>
      </c>
      <c r="B483" t="inlineStr">
        <is>
          <t>Love Cabaret</t>
        </is>
      </c>
      <c r="C483" s="27" t="n">
        <v>45957</v>
      </c>
      <c r="D483" t="n">
        <v>385</v>
      </c>
      <c r="E483" t="inlineStr">
        <is>
          <t>OUTROS</t>
        </is>
      </c>
    </row>
    <row r="484">
      <c r="A484" t="n">
        <v>128</v>
      </c>
      <c r="B484" t="inlineStr">
        <is>
          <t>Love Cabaret</t>
        </is>
      </c>
      <c r="C484" s="27" t="n">
        <v>45957</v>
      </c>
      <c r="D484" t="n">
        <v>0</v>
      </c>
      <c r="E484" t="inlineStr">
        <is>
          <t>ANTECIPADO</t>
        </is>
      </c>
    </row>
    <row r="485">
      <c r="A485" t="n">
        <v>128</v>
      </c>
      <c r="B485" t="inlineStr">
        <is>
          <t>Love Cabaret</t>
        </is>
      </c>
      <c r="C485" s="27" t="n">
        <v>45957</v>
      </c>
      <c r="D485" t="n">
        <v>0</v>
      </c>
      <c r="E485" t="inlineStr">
        <is>
          <t>BÔNUS</t>
        </is>
      </c>
    </row>
    <row r="486">
      <c r="A486" t="n">
        <v>128</v>
      </c>
      <c r="B486" t="inlineStr">
        <is>
          <t>Love Cabaret</t>
        </is>
      </c>
      <c r="C486" s="27" t="n">
        <v>45957</v>
      </c>
      <c r="D486" t="n">
        <v>0</v>
      </c>
      <c r="E486" t="inlineStr">
        <is>
          <t>DÉBITO</t>
        </is>
      </c>
    </row>
    <row r="487">
      <c r="A487" t="n">
        <v>128</v>
      </c>
      <c r="B487" t="inlineStr">
        <is>
          <t>Love Cabaret</t>
        </is>
      </c>
      <c r="C487" s="27" t="n">
        <v>45957</v>
      </c>
      <c r="D487" t="n">
        <v>0</v>
      </c>
      <c r="E487" t="inlineStr">
        <is>
          <t>VOUCHER</t>
        </is>
      </c>
    </row>
    <row r="488">
      <c r="A488" t="n">
        <v>128</v>
      </c>
      <c r="B488" t="inlineStr">
        <is>
          <t>Love Cabaret</t>
        </is>
      </c>
      <c r="C488" s="27" t="n">
        <v>45957</v>
      </c>
      <c r="D488" t="n">
        <v>0</v>
      </c>
      <c r="E488" t="inlineStr">
        <is>
          <t>ANTECIPADO</t>
        </is>
      </c>
    </row>
    <row r="489">
      <c r="A489" t="n">
        <v>128</v>
      </c>
      <c r="B489" t="inlineStr">
        <is>
          <t>Love Cabaret</t>
        </is>
      </c>
      <c r="C489" s="27" t="n">
        <v>45957</v>
      </c>
      <c r="D489" t="n">
        <v>0</v>
      </c>
      <c r="E489" t="inlineStr">
        <is>
          <t>RAPPI</t>
        </is>
      </c>
    </row>
    <row r="490">
      <c r="A490" t="n">
        <v>128</v>
      </c>
      <c r="B490" t="inlineStr">
        <is>
          <t>Love Cabaret</t>
        </is>
      </c>
      <c r="C490" s="27" t="n">
        <v>45957</v>
      </c>
      <c r="D490" t="n">
        <v>0</v>
      </c>
      <c r="E490" t="inlineStr">
        <is>
          <t>PIX</t>
        </is>
      </c>
    </row>
    <row r="491">
      <c r="A491" t="n">
        <v>128</v>
      </c>
      <c r="B491" t="inlineStr">
        <is>
          <t>Love Cabaret</t>
        </is>
      </c>
      <c r="C491" s="27" t="n">
        <v>45957</v>
      </c>
      <c r="D491" t="n">
        <v>0</v>
      </c>
      <c r="E491" t="inlineStr">
        <is>
          <t>CRÉDITO</t>
        </is>
      </c>
    </row>
    <row r="492">
      <c r="A492" t="n">
        <v>128</v>
      </c>
      <c r="B492" t="inlineStr">
        <is>
          <t>Love Cabaret</t>
        </is>
      </c>
      <c r="C492" s="27" t="n">
        <v>45957</v>
      </c>
      <c r="D492" t="n">
        <v>0</v>
      </c>
      <c r="E492" t="inlineStr">
        <is>
          <t>IFOOD</t>
        </is>
      </c>
    </row>
    <row r="493">
      <c r="A493" t="n">
        <v>128</v>
      </c>
      <c r="B493" t="inlineStr">
        <is>
          <t>Love Cabaret</t>
        </is>
      </c>
      <c r="C493" s="27" t="n">
        <v>45957</v>
      </c>
      <c r="D493" t="n">
        <v>0</v>
      </c>
      <c r="E493" t="inlineStr">
        <is>
          <t>DELIVERY ONLINE</t>
        </is>
      </c>
    </row>
    <row r="494">
      <c r="A494" t="n">
        <v>128</v>
      </c>
      <c r="B494" t="inlineStr">
        <is>
          <t>Love Cabaret</t>
        </is>
      </c>
      <c r="C494" s="27" t="n">
        <v>45957</v>
      </c>
      <c r="D494" t="n">
        <v>0</v>
      </c>
      <c r="E494" t="inlineStr">
        <is>
          <t>APP</t>
        </is>
      </c>
    </row>
    <row r="495">
      <c r="A495" t="n">
        <v>128</v>
      </c>
      <c r="B495" t="inlineStr">
        <is>
          <t>Love Cabaret</t>
        </is>
      </c>
      <c r="C495" s="27" t="n">
        <v>45957</v>
      </c>
      <c r="D495" t="n">
        <v>0</v>
      </c>
      <c r="E495" t="inlineStr">
        <is>
          <t>DINHEIRO</t>
        </is>
      </c>
    </row>
    <row r="496">
      <c r="A496" t="n">
        <v>128</v>
      </c>
      <c r="B496" t="inlineStr">
        <is>
          <t>Love Cabaret</t>
        </is>
      </c>
      <c r="C496" s="27" t="n">
        <v>45955</v>
      </c>
      <c r="D496" t="n">
        <v>4705.24</v>
      </c>
      <c r="E496" t="inlineStr">
        <is>
          <t>DÉBITO</t>
        </is>
      </c>
    </row>
    <row r="497">
      <c r="A497" t="n">
        <v>128</v>
      </c>
      <c r="B497" t="inlineStr">
        <is>
          <t>Love Cabaret</t>
        </is>
      </c>
      <c r="C497" s="27" t="n">
        <v>45955</v>
      </c>
      <c r="D497" t="n">
        <v>13435.32</v>
      </c>
      <c r="E497" t="inlineStr">
        <is>
          <t>CRÉDITO</t>
        </is>
      </c>
    </row>
    <row r="498">
      <c r="A498" t="n">
        <v>128</v>
      </c>
      <c r="B498" t="inlineStr">
        <is>
          <t>Love Cabaret</t>
        </is>
      </c>
      <c r="C498" s="27" t="n">
        <v>45955</v>
      </c>
      <c r="D498" t="n">
        <v>780.04</v>
      </c>
      <c r="E498" t="inlineStr">
        <is>
          <t>DINHEIRO</t>
        </is>
      </c>
    </row>
    <row r="499">
      <c r="A499" t="n">
        <v>128</v>
      </c>
      <c r="B499" t="inlineStr">
        <is>
          <t>Love Cabaret</t>
        </is>
      </c>
      <c r="C499" s="27" t="n">
        <v>45955</v>
      </c>
      <c r="D499" t="n">
        <v>0</v>
      </c>
      <c r="E499" t="inlineStr">
        <is>
          <t>APP</t>
        </is>
      </c>
    </row>
    <row r="500">
      <c r="A500" t="n">
        <v>128</v>
      </c>
      <c r="B500" t="inlineStr">
        <is>
          <t>Love Cabaret</t>
        </is>
      </c>
      <c r="C500" s="27" t="n">
        <v>45955</v>
      </c>
      <c r="D500" t="n">
        <v>0</v>
      </c>
      <c r="E500" t="inlineStr">
        <is>
          <t>DELIVERY ONLINE</t>
        </is>
      </c>
    </row>
    <row r="501">
      <c r="A501" t="n">
        <v>128</v>
      </c>
      <c r="B501" t="inlineStr">
        <is>
          <t>Love Cabaret</t>
        </is>
      </c>
      <c r="C501" s="27" t="n">
        <v>45955</v>
      </c>
      <c r="D501" t="n">
        <v>0</v>
      </c>
      <c r="E501" t="inlineStr">
        <is>
          <t>IFOOD</t>
        </is>
      </c>
    </row>
    <row r="502">
      <c r="A502" t="n">
        <v>128</v>
      </c>
      <c r="B502" t="inlineStr">
        <is>
          <t>Love Cabaret</t>
        </is>
      </c>
      <c r="C502" s="27" t="n">
        <v>45955</v>
      </c>
      <c r="D502" t="n">
        <v>1734.79</v>
      </c>
      <c r="E502" t="inlineStr">
        <is>
          <t>PIX</t>
        </is>
      </c>
    </row>
    <row r="503">
      <c r="A503" t="n">
        <v>128</v>
      </c>
      <c r="B503" t="inlineStr">
        <is>
          <t>Love Cabaret</t>
        </is>
      </c>
      <c r="C503" s="27" t="n">
        <v>45955</v>
      </c>
      <c r="D503" t="n">
        <v>0</v>
      </c>
      <c r="E503" t="inlineStr">
        <is>
          <t>RAPPI</t>
        </is>
      </c>
    </row>
    <row r="504">
      <c r="A504" t="n">
        <v>128</v>
      </c>
      <c r="B504" t="inlineStr">
        <is>
          <t>Love Cabaret</t>
        </is>
      </c>
      <c r="C504" s="27" t="n">
        <v>45955</v>
      </c>
      <c r="D504" t="n">
        <v>0</v>
      </c>
      <c r="E504" t="inlineStr">
        <is>
          <t>UBER</t>
        </is>
      </c>
    </row>
    <row r="505">
      <c r="A505" t="n">
        <v>128</v>
      </c>
      <c r="B505" t="inlineStr">
        <is>
          <t>Love Cabaret</t>
        </is>
      </c>
      <c r="C505" s="27" t="n">
        <v>45955</v>
      </c>
      <c r="D505" t="n">
        <v>0</v>
      </c>
      <c r="E505" t="inlineStr">
        <is>
          <t>ANTECIPADO</t>
        </is>
      </c>
    </row>
    <row r="506">
      <c r="A506" t="n">
        <v>128</v>
      </c>
      <c r="B506" t="inlineStr">
        <is>
          <t>Love Cabaret</t>
        </is>
      </c>
      <c r="C506" s="27" t="n">
        <v>45955</v>
      </c>
      <c r="D506" t="n">
        <v>0</v>
      </c>
      <c r="E506" t="inlineStr">
        <is>
          <t>VOUCHER</t>
        </is>
      </c>
    </row>
    <row r="507">
      <c r="A507" t="n">
        <v>128</v>
      </c>
      <c r="B507" t="inlineStr">
        <is>
          <t>Love Cabaret</t>
        </is>
      </c>
      <c r="C507" s="27" t="n">
        <v>45955</v>
      </c>
      <c r="D507" t="n">
        <v>0</v>
      </c>
      <c r="E507" t="inlineStr">
        <is>
          <t>ANTECIPADO</t>
        </is>
      </c>
    </row>
    <row r="508">
      <c r="A508" t="n">
        <v>128</v>
      </c>
      <c r="B508" t="inlineStr">
        <is>
          <t>Love Cabaret</t>
        </is>
      </c>
      <c r="C508" s="27" t="n">
        <v>45955</v>
      </c>
      <c r="D508" t="n">
        <v>0</v>
      </c>
      <c r="E508" t="inlineStr">
        <is>
          <t>MBWAY</t>
        </is>
      </c>
    </row>
    <row r="509">
      <c r="A509" t="n">
        <v>128</v>
      </c>
      <c r="B509" t="inlineStr">
        <is>
          <t>Love Cabaret</t>
        </is>
      </c>
      <c r="C509" s="27" t="n">
        <v>45955</v>
      </c>
      <c r="D509" t="n">
        <v>0</v>
      </c>
      <c r="E509" t="inlineStr">
        <is>
          <t>VOUCHER INTEGRADO</t>
        </is>
      </c>
    </row>
    <row r="510">
      <c r="A510" t="n">
        <v>128</v>
      </c>
      <c r="B510" t="inlineStr">
        <is>
          <t>Love Cabaret</t>
        </is>
      </c>
      <c r="C510" s="27" t="n">
        <v>45955</v>
      </c>
      <c r="D510" t="n">
        <v>0</v>
      </c>
      <c r="E510" t="inlineStr">
        <is>
          <t>RECARGAS DEVOLVIDAS</t>
        </is>
      </c>
    </row>
    <row r="511">
      <c r="A511" t="n">
        <v>128</v>
      </c>
      <c r="B511" t="inlineStr">
        <is>
          <t>Love Cabaret</t>
        </is>
      </c>
      <c r="C511" s="27" t="n">
        <v>45955</v>
      </c>
      <c r="D511" t="n">
        <v>0</v>
      </c>
      <c r="E511" t="inlineStr">
        <is>
          <t>NOTAS MANUAIS + SERVIÇO</t>
        </is>
      </c>
    </row>
    <row r="512">
      <c r="A512" t="n">
        <v>128</v>
      </c>
      <c r="B512" t="inlineStr">
        <is>
          <t>Love Cabaret</t>
        </is>
      </c>
      <c r="C512" s="27" t="n">
        <v>45955</v>
      </c>
      <c r="D512" t="n">
        <v>0</v>
      </c>
      <c r="E512" t="inlineStr">
        <is>
          <t>AME</t>
        </is>
      </c>
    </row>
    <row r="513">
      <c r="A513" t="n">
        <v>128</v>
      </c>
      <c r="B513" t="inlineStr">
        <is>
          <t>Love Cabaret</t>
        </is>
      </c>
      <c r="C513" s="27" t="n">
        <v>45955</v>
      </c>
      <c r="D513" t="n">
        <v>0</v>
      </c>
      <c r="E513" t="inlineStr">
        <is>
          <t>OUTROS</t>
        </is>
      </c>
    </row>
    <row r="514">
      <c r="A514" t="n">
        <v>128</v>
      </c>
      <c r="B514" t="inlineStr">
        <is>
          <t>Love Cabaret</t>
        </is>
      </c>
      <c r="C514" s="27" t="n">
        <v>45955</v>
      </c>
      <c r="D514" t="n">
        <v>0</v>
      </c>
      <c r="E514" t="inlineStr">
        <is>
          <t>BÔNUS</t>
        </is>
      </c>
    </row>
    <row r="515">
      <c r="A515" t="n">
        <v>128</v>
      </c>
      <c r="B515" t="inlineStr">
        <is>
          <t>Love Cabaret</t>
        </is>
      </c>
      <c r="C515" s="27" t="n">
        <v>45954</v>
      </c>
      <c r="D515" t="n">
        <v>205</v>
      </c>
      <c r="E515" t="inlineStr">
        <is>
          <t>DINHEIRO</t>
        </is>
      </c>
    </row>
    <row r="516">
      <c r="A516" t="n">
        <v>128</v>
      </c>
      <c r="B516" t="inlineStr">
        <is>
          <t>Love Cabaret</t>
        </is>
      </c>
      <c r="C516" s="27" t="n">
        <v>45954</v>
      </c>
      <c r="D516" t="n">
        <v>15763.12</v>
      </c>
      <c r="E516" t="inlineStr">
        <is>
          <t>CRÉDITO</t>
        </is>
      </c>
    </row>
    <row r="517">
      <c r="A517" t="n">
        <v>128</v>
      </c>
      <c r="B517" t="inlineStr">
        <is>
          <t>Love Cabaret</t>
        </is>
      </c>
      <c r="C517" s="27" t="n">
        <v>45954</v>
      </c>
      <c r="D517" t="n">
        <v>0</v>
      </c>
      <c r="E517" t="inlineStr">
        <is>
          <t>RECARGAS DEVOLVIDAS</t>
        </is>
      </c>
    </row>
    <row r="518">
      <c r="A518" t="n">
        <v>128</v>
      </c>
      <c r="B518" t="inlineStr">
        <is>
          <t>Love Cabaret</t>
        </is>
      </c>
      <c r="C518" s="27" t="n">
        <v>45954</v>
      </c>
      <c r="D518" t="n">
        <v>0</v>
      </c>
      <c r="E518" t="inlineStr">
        <is>
          <t>NOTAS MANUAIS + SERVIÇO</t>
        </is>
      </c>
    </row>
    <row r="519">
      <c r="A519" t="n">
        <v>128</v>
      </c>
      <c r="B519" t="inlineStr">
        <is>
          <t>Love Cabaret</t>
        </is>
      </c>
      <c r="C519" s="27" t="n">
        <v>45954</v>
      </c>
      <c r="D519" t="n">
        <v>0</v>
      </c>
      <c r="E519" t="inlineStr">
        <is>
          <t>VOUCHER INTEGRADO</t>
        </is>
      </c>
    </row>
    <row r="520">
      <c r="A520" t="n">
        <v>128</v>
      </c>
      <c r="B520" t="inlineStr">
        <is>
          <t>Love Cabaret</t>
        </is>
      </c>
      <c r="C520" s="27" t="n">
        <v>45954</v>
      </c>
      <c r="D520" t="n">
        <v>0</v>
      </c>
      <c r="E520" t="inlineStr">
        <is>
          <t>MBWAY</t>
        </is>
      </c>
    </row>
    <row r="521">
      <c r="A521" t="n">
        <v>128</v>
      </c>
      <c r="B521" t="inlineStr">
        <is>
          <t>Love Cabaret</t>
        </is>
      </c>
      <c r="C521" s="27" t="n">
        <v>45954</v>
      </c>
      <c r="D521" t="n">
        <v>0</v>
      </c>
      <c r="E521" t="inlineStr">
        <is>
          <t>APP</t>
        </is>
      </c>
    </row>
    <row r="522">
      <c r="A522" t="n">
        <v>128</v>
      </c>
      <c r="B522" t="inlineStr">
        <is>
          <t>Love Cabaret</t>
        </is>
      </c>
      <c r="C522" s="27" t="n">
        <v>45954</v>
      </c>
      <c r="D522" t="n">
        <v>0</v>
      </c>
      <c r="E522" t="inlineStr">
        <is>
          <t>DELIVERY ONLINE</t>
        </is>
      </c>
    </row>
    <row r="523">
      <c r="A523" t="n">
        <v>128</v>
      </c>
      <c r="B523" t="inlineStr">
        <is>
          <t>Love Cabaret</t>
        </is>
      </c>
      <c r="C523" s="27" t="n">
        <v>45954</v>
      </c>
      <c r="D523" t="n">
        <v>0</v>
      </c>
      <c r="E523" t="inlineStr">
        <is>
          <t>IFOOD</t>
        </is>
      </c>
    </row>
    <row r="524">
      <c r="A524" t="n">
        <v>128</v>
      </c>
      <c r="B524" t="inlineStr">
        <is>
          <t>Love Cabaret</t>
        </is>
      </c>
      <c r="C524" s="27" t="n">
        <v>45954</v>
      </c>
      <c r="D524" t="n">
        <v>0</v>
      </c>
      <c r="E524" t="inlineStr">
        <is>
          <t>BÔNUS</t>
        </is>
      </c>
    </row>
    <row r="525">
      <c r="A525" t="n">
        <v>128</v>
      </c>
      <c r="B525" t="inlineStr">
        <is>
          <t>Love Cabaret</t>
        </is>
      </c>
      <c r="C525" s="27" t="n">
        <v>45954</v>
      </c>
      <c r="D525" t="n">
        <v>0</v>
      </c>
      <c r="E525" t="inlineStr">
        <is>
          <t>AME</t>
        </is>
      </c>
    </row>
    <row r="526">
      <c r="A526" t="n">
        <v>128</v>
      </c>
      <c r="B526" t="inlineStr">
        <is>
          <t>Love Cabaret</t>
        </is>
      </c>
      <c r="C526" s="27" t="n">
        <v>45954</v>
      </c>
      <c r="D526" t="n">
        <v>0</v>
      </c>
      <c r="E526" t="inlineStr">
        <is>
          <t>RAPPI</t>
        </is>
      </c>
    </row>
    <row r="527">
      <c r="A527" t="n">
        <v>128</v>
      </c>
      <c r="B527" t="inlineStr">
        <is>
          <t>Love Cabaret</t>
        </is>
      </c>
      <c r="C527" s="27" t="n">
        <v>45954</v>
      </c>
      <c r="D527" t="n">
        <v>0</v>
      </c>
      <c r="E527" t="inlineStr">
        <is>
          <t>UBER</t>
        </is>
      </c>
    </row>
    <row r="528">
      <c r="A528" t="n">
        <v>128</v>
      </c>
      <c r="B528" t="inlineStr">
        <is>
          <t>Love Cabaret</t>
        </is>
      </c>
      <c r="C528" s="27" t="n">
        <v>45954</v>
      </c>
      <c r="D528" t="n">
        <v>0</v>
      </c>
      <c r="E528" t="inlineStr">
        <is>
          <t>ANTECIPADO</t>
        </is>
      </c>
    </row>
    <row r="529">
      <c r="A529" t="n">
        <v>128</v>
      </c>
      <c r="B529" t="inlineStr">
        <is>
          <t>Love Cabaret</t>
        </is>
      </c>
      <c r="C529" s="27" t="n">
        <v>45954</v>
      </c>
      <c r="D529" t="n">
        <v>0</v>
      </c>
      <c r="E529" t="inlineStr">
        <is>
          <t>VOUCHER</t>
        </is>
      </c>
    </row>
    <row r="530">
      <c r="A530" t="n">
        <v>128</v>
      </c>
      <c r="B530" t="inlineStr">
        <is>
          <t>Love Cabaret</t>
        </is>
      </c>
      <c r="C530" s="27" t="n">
        <v>45954</v>
      </c>
      <c r="D530" t="n">
        <v>6380.76</v>
      </c>
      <c r="E530" t="inlineStr">
        <is>
          <t>DÉBITO</t>
        </is>
      </c>
    </row>
    <row r="531">
      <c r="A531" t="n">
        <v>128</v>
      </c>
      <c r="B531" t="inlineStr">
        <is>
          <t>Love Cabaret</t>
        </is>
      </c>
      <c r="C531" s="27" t="n">
        <v>45954</v>
      </c>
      <c r="D531" t="n">
        <v>0</v>
      </c>
      <c r="E531" t="inlineStr">
        <is>
          <t>ANTECIPADO</t>
        </is>
      </c>
    </row>
    <row r="532">
      <c r="A532" t="n">
        <v>128</v>
      </c>
      <c r="B532" t="inlineStr">
        <is>
          <t>Love Cabaret</t>
        </is>
      </c>
      <c r="C532" s="27" t="n">
        <v>45954</v>
      </c>
      <c r="D532" t="n">
        <v>0</v>
      </c>
      <c r="E532" t="inlineStr">
        <is>
          <t>OUTROS</t>
        </is>
      </c>
    </row>
    <row r="533">
      <c r="A533" t="n">
        <v>128</v>
      </c>
      <c r="B533" t="inlineStr">
        <is>
          <t>Love Cabaret</t>
        </is>
      </c>
      <c r="C533" s="27" t="n">
        <v>45954</v>
      </c>
      <c r="D533" t="n">
        <v>1685.96</v>
      </c>
      <c r="E533" t="inlineStr">
        <is>
          <t>PIX</t>
        </is>
      </c>
    </row>
    <row r="534">
      <c r="A534" t="n">
        <v>128</v>
      </c>
      <c r="B534" t="inlineStr">
        <is>
          <t>Love Cabaret</t>
        </is>
      </c>
      <c r="C534" s="27" t="n">
        <v>45953</v>
      </c>
      <c r="D534" t="n">
        <v>0</v>
      </c>
      <c r="E534" t="inlineStr">
        <is>
          <t>NOTAS MANUAIS + SERVIÇO</t>
        </is>
      </c>
    </row>
    <row r="535">
      <c r="A535" t="n">
        <v>128</v>
      </c>
      <c r="B535" t="inlineStr">
        <is>
          <t>Love Cabaret</t>
        </is>
      </c>
      <c r="C535" s="27" t="n">
        <v>45953</v>
      </c>
      <c r="D535" t="n">
        <v>7127.96</v>
      </c>
      <c r="E535" t="inlineStr">
        <is>
          <t>CRÉDITO</t>
        </is>
      </c>
    </row>
    <row r="536">
      <c r="A536" t="n">
        <v>128</v>
      </c>
      <c r="B536" t="inlineStr">
        <is>
          <t>Love Cabaret</t>
        </is>
      </c>
      <c r="C536" s="27" t="n">
        <v>45953</v>
      </c>
      <c r="D536" t="n">
        <v>100</v>
      </c>
      <c r="E536" t="inlineStr">
        <is>
          <t>DINHEIRO</t>
        </is>
      </c>
    </row>
    <row r="537">
      <c r="A537" t="n">
        <v>128</v>
      </c>
      <c r="B537" t="inlineStr">
        <is>
          <t>Love Cabaret</t>
        </is>
      </c>
      <c r="C537" s="27" t="n">
        <v>45953</v>
      </c>
      <c r="D537" t="n">
        <v>0</v>
      </c>
      <c r="E537" t="inlineStr">
        <is>
          <t>APP</t>
        </is>
      </c>
    </row>
    <row r="538">
      <c r="A538" t="n">
        <v>128</v>
      </c>
      <c r="B538" t="inlineStr">
        <is>
          <t>Love Cabaret</t>
        </is>
      </c>
      <c r="C538" s="27" t="n">
        <v>45953</v>
      </c>
      <c r="D538" t="n">
        <v>0</v>
      </c>
      <c r="E538" t="inlineStr">
        <is>
          <t>ANTECIPADO</t>
        </is>
      </c>
    </row>
    <row r="539">
      <c r="A539" t="n">
        <v>128</v>
      </c>
      <c r="B539" t="inlineStr">
        <is>
          <t>Love Cabaret</t>
        </is>
      </c>
      <c r="C539" s="27" t="n">
        <v>45953</v>
      </c>
      <c r="D539" t="n">
        <v>0</v>
      </c>
      <c r="E539" t="inlineStr">
        <is>
          <t>MBWAY</t>
        </is>
      </c>
    </row>
    <row r="540">
      <c r="A540" t="n">
        <v>128</v>
      </c>
      <c r="B540" t="inlineStr">
        <is>
          <t>Love Cabaret</t>
        </is>
      </c>
      <c r="C540" s="27" t="n">
        <v>45953</v>
      </c>
      <c r="D540" t="n">
        <v>0</v>
      </c>
      <c r="E540" t="inlineStr">
        <is>
          <t>RECARGAS DEVOLVIDAS</t>
        </is>
      </c>
    </row>
    <row r="541">
      <c r="A541" t="n">
        <v>128</v>
      </c>
      <c r="B541" t="inlineStr">
        <is>
          <t>Love Cabaret</t>
        </is>
      </c>
      <c r="C541" s="27" t="n">
        <v>45953</v>
      </c>
      <c r="D541" t="n">
        <v>0</v>
      </c>
      <c r="E541" t="inlineStr">
        <is>
          <t>OUTROS</t>
        </is>
      </c>
    </row>
    <row r="542">
      <c r="A542" t="n">
        <v>128</v>
      </c>
      <c r="B542" t="inlineStr">
        <is>
          <t>Love Cabaret</t>
        </is>
      </c>
      <c r="C542" s="27" t="n">
        <v>45953</v>
      </c>
      <c r="D542" t="n">
        <v>0</v>
      </c>
      <c r="E542" t="inlineStr">
        <is>
          <t>ANTECIPADO</t>
        </is>
      </c>
    </row>
    <row r="543">
      <c r="A543" t="n">
        <v>128</v>
      </c>
      <c r="B543" t="inlineStr">
        <is>
          <t>Love Cabaret</t>
        </is>
      </c>
      <c r="C543" s="27" t="n">
        <v>45953</v>
      </c>
      <c r="D543" t="n">
        <v>0</v>
      </c>
      <c r="E543" t="inlineStr">
        <is>
          <t>BÔNUS</t>
        </is>
      </c>
    </row>
    <row r="544">
      <c r="A544" t="n">
        <v>128</v>
      </c>
      <c r="B544" t="inlineStr">
        <is>
          <t>Love Cabaret</t>
        </is>
      </c>
      <c r="C544" s="27" t="n">
        <v>45953</v>
      </c>
      <c r="D544" t="n">
        <v>1793.77</v>
      </c>
      <c r="E544" t="inlineStr">
        <is>
          <t>DÉBITO</t>
        </is>
      </c>
    </row>
    <row r="545">
      <c r="A545" t="n">
        <v>128</v>
      </c>
      <c r="B545" t="inlineStr">
        <is>
          <t>Love Cabaret</t>
        </is>
      </c>
      <c r="C545" s="27" t="n">
        <v>45953</v>
      </c>
      <c r="D545" t="n">
        <v>0</v>
      </c>
      <c r="E545" t="inlineStr">
        <is>
          <t>VOUCHER</t>
        </is>
      </c>
    </row>
    <row r="546">
      <c r="A546" t="n">
        <v>128</v>
      </c>
      <c r="B546" t="inlineStr">
        <is>
          <t>Love Cabaret</t>
        </is>
      </c>
      <c r="C546" s="27" t="n">
        <v>45953</v>
      </c>
      <c r="D546" t="n">
        <v>0</v>
      </c>
      <c r="E546" t="inlineStr">
        <is>
          <t>UBER</t>
        </is>
      </c>
    </row>
    <row r="547">
      <c r="A547" t="n">
        <v>128</v>
      </c>
      <c r="B547" t="inlineStr">
        <is>
          <t>Love Cabaret</t>
        </is>
      </c>
      <c r="C547" s="27" t="n">
        <v>45953</v>
      </c>
      <c r="D547" t="n">
        <v>0</v>
      </c>
      <c r="E547" t="inlineStr">
        <is>
          <t>RAPPI</t>
        </is>
      </c>
    </row>
    <row r="548">
      <c r="A548" t="n">
        <v>128</v>
      </c>
      <c r="B548" t="inlineStr">
        <is>
          <t>Love Cabaret</t>
        </is>
      </c>
      <c r="C548" s="27" t="n">
        <v>45953</v>
      </c>
      <c r="D548" t="n">
        <v>205.28</v>
      </c>
      <c r="E548" t="inlineStr">
        <is>
          <t>PIX</t>
        </is>
      </c>
    </row>
    <row r="549">
      <c r="A549" t="n">
        <v>128</v>
      </c>
      <c r="B549" t="inlineStr">
        <is>
          <t>Love Cabaret</t>
        </is>
      </c>
      <c r="C549" s="27" t="n">
        <v>45953</v>
      </c>
      <c r="D549" t="n">
        <v>0</v>
      </c>
      <c r="E549" t="inlineStr">
        <is>
          <t>VOUCHER INTEGRADO</t>
        </is>
      </c>
    </row>
    <row r="550">
      <c r="A550" t="n">
        <v>128</v>
      </c>
      <c r="B550" t="inlineStr">
        <is>
          <t>Love Cabaret</t>
        </is>
      </c>
      <c r="C550" s="27" t="n">
        <v>45953</v>
      </c>
      <c r="D550" t="n">
        <v>0</v>
      </c>
      <c r="E550" t="inlineStr">
        <is>
          <t>IFOOD</t>
        </is>
      </c>
    </row>
    <row r="551">
      <c r="A551" t="n">
        <v>128</v>
      </c>
      <c r="B551" t="inlineStr">
        <is>
          <t>Love Cabaret</t>
        </is>
      </c>
      <c r="C551" s="27" t="n">
        <v>45953</v>
      </c>
      <c r="D551" t="n">
        <v>0</v>
      </c>
      <c r="E551" t="inlineStr">
        <is>
          <t>DELIVERY ONLINE</t>
        </is>
      </c>
    </row>
    <row r="552">
      <c r="A552" t="n">
        <v>128</v>
      </c>
      <c r="B552" t="inlineStr">
        <is>
          <t>Love Cabaret</t>
        </is>
      </c>
      <c r="C552" s="27" t="n">
        <v>45953</v>
      </c>
      <c r="D552" t="n">
        <v>0</v>
      </c>
      <c r="E552" t="inlineStr">
        <is>
          <t>AME</t>
        </is>
      </c>
    </row>
    <row r="553">
      <c r="A553" t="n">
        <v>128</v>
      </c>
      <c r="B553" t="inlineStr">
        <is>
          <t>Love Cabaret</t>
        </is>
      </c>
      <c r="C553" s="27" t="n">
        <v>45952</v>
      </c>
      <c r="D553" t="n">
        <v>0</v>
      </c>
      <c r="E553" t="inlineStr">
        <is>
          <t>ANTECIPADO</t>
        </is>
      </c>
    </row>
    <row r="554">
      <c r="A554" t="n">
        <v>128</v>
      </c>
      <c r="B554" t="inlineStr">
        <is>
          <t>Love Cabaret</t>
        </is>
      </c>
      <c r="C554" s="27" t="n">
        <v>45952</v>
      </c>
      <c r="D554" t="n">
        <v>0</v>
      </c>
      <c r="E554" t="inlineStr">
        <is>
          <t>APP</t>
        </is>
      </c>
    </row>
    <row r="555">
      <c r="A555" t="n">
        <v>128</v>
      </c>
      <c r="B555" t="inlineStr">
        <is>
          <t>Love Cabaret</t>
        </is>
      </c>
      <c r="C555" s="27" t="n">
        <v>45952</v>
      </c>
      <c r="D555" t="n">
        <v>0</v>
      </c>
      <c r="E555" t="inlineStr">
        <is>
          <t>DINHEIRO</t>
        </is>
      </c>
    </row>
    <row r="556">
      <c r="A556" t="n">
        <v>128</v>
      </c>
      <c r="B556" t="inlineStr">
        <is>
          <t>Love Cabaret</t>
        </is>
      </c>
      <c r="C556" s="27" t="n">
        <v>45952</v>
      </c>
      <c r="D556" t="n">
        <v>0</v>
      </c>
      <c r="E556" t="inlineStr">
        <is>
          <t>CRÉDITO</t>
        </is>
      </c>
    </row>
    <row r="557">
      <c r="A557" t="n">
        <v>128</v>
      </c>
      <c r="B557" t="inlineStr">
        <is>
          <t>Love Cabaret</t>
        </is>
      </c>
      <c r="C557" s="27" t="n">
        <v>45952</v>
      </c>
      <c r="D557" t="n">
        <v>0</v>
      </c>
      <c r="E557" t="inlineStr">
        <is>
          <t>MBWAY</t>
        </is>
      </c>
    </row>
    <row r="558">
      <c r="A558" t="n">
        <v>128</v>
      </c>
      <c r="B558" t="inlineStr">
        <is>
          <t>Love Cabaret</t>
        </is>
      </c>
      <c r="C558" s="27" t="n">
        <v>45952</v>
      </c>
      <c r="D558" t="n">
        <v>0</v>
      </c>
      <c r="E558" t="inlineStr">
        <is>
          <t>DELIVERY ONLINE</t>
        </is>
      </c>
    </row>
    <row r="559">
      <c r="A559" t="n">
        <v>128</v>
      </c>
      <c r="B559" t="inlineStr">
        <is>
          <t>Love Cabaret</t>
        </is>
      </c>
      <c r="C559" s="27" t="n">
        <v>45952</v>
      </c>
      <c r="D559" t="n">
        <v>0</v>
      </c>
      <c r="E559" t="inlineStr">
        <is>
          <t>IFOOD</t>
        </is>
      </c>
    </row>
    <row r="560">
      <c r="A560" t="n">
        <v>128</v>
      </c>
      <c r="B560" t="inlineStr">
        <is>
          <t>Love Cabaret</t>
        </is>
      </c>
      <c r="C560" s="27" t="n">
        <v>45952</v>
      </c>
      <c r="D560" t="n">
        <v>0</v>
      </c>
      <c r="E560" t="inlineStr">
        <is>
          <t>PIX</t>
        </is>
      </c>
    </row>
    <row r="561">
      <c r="A561" t="n">
        <v>128</v>
      </c>
      <c r="B561" t="inlineStr">
        <is>
          <t>Love Cabaret</t>
        </is>
      </c>
      <c r="C561" s="27" t="n">
        <v>45952</v>
      </c>
      <c r="D561" t="n">
        <v>0</v>
      </c>
      <c r="E561" t="inlineStr">
        <is>
          <t>RAPPI</t>
        </is>
      </c>
    </row>
    <row r="562">
      <c r="A562" t="n">
        <v>128</v>
      </c>
      <c r="B562" t="inlineStr">
        <is>
          <t>Love Cabaret</t>
        </is>
      </c>
      <c r="C562" s="27" t="n">
        <v>45952</v>
      </c>
      <c r="D562" t="n">
        <v>0</v>
      </c>
      <c r="E562" t="inlineStr">
        <is>
          <t>UBER</t>
        </is>
      </c>
    </row>
    <row r="563">
      <c r="A563" t="n">
        <v>128</v>
      </c>
      <c r="B563" t="inlineStr">
        <is>
          <t>Love Cabaret</t>
        </is>
      </c>
      <c r="C563" s="27" t="n">
        <v>45952</v>
      </c>
      <c r="D563" t="n">
        <v>0</v>
      </c>
      <c r="E563" t="inlineStr">
        <is>
          <t>VOUCHER</t>
        </is>
      </c>
    </row>
    <row r="564">
      <c r="A564" t="n">
        <v>128</v>
      </c>
      <c r="B564" t="inlineStr">
        <is>
          <t>Love Cabaret</t>
        </is>
      </c>
      <c r="C564" s="27" t="n">
        <v>45952</v>
      </c>
      <c r="D564" t="n">
        <v>0</v>
      </c>
      <c r="E564" t="inlineStr">
        <is>
          <t>VOUCHER INTEGRADO</t>
        </is>
      </c>
    </row>
    <row r="565">
      <c r="A565" t="n">
        <v>128</v>
      </c>
      <c r="B565" t="inlineStr">
        <is>
          <t>Love Cabaret</t>
        </is>
      </c>
      <c r="C565" s="27" t="n">
        <v>45952</v>
      </c>
      <c r="D565" t="n">
        <v>0</v>
      </c>
      <c r="E565" t="inlineStr">
        <is>
          <t>RECARGAS DEVOLVIDAS</t>
        </is>
      </c>
    </row>
    <row r="566">
      <c r="A566" t="n">
        <v>128</v>
      </c>
      <c r="B566" t="inlineStr">
        <is>
          <t>Love Cabaret</t>
        </is>
      </c>
      <c r="C566" s="27" t="n">
        <v>45952</v>
      </c>
      <c r="D566" t="n">
        <v>0</v>
      </c>
      <c r="E566" t="inlineStr">
        <is>
          <t>NOTAS MANUAIS + SERVIÇO</t>
        </is>
      </c>
    </row>
    <row r="567">
      <c r="A567" t="n">
        <v>128</v>
      </c>
      <c r="B567" t="inlineStr">
        <is>
          <t>Love Cabaret</t>
        </is>
      </c>
      <c r="C567" s="27" t="n">
        <v>45952</v>
      </c>
      <c r="D567" t="n">
        <v>0</v>
      </c>
      <c r="E567" t="inlineStr">
        <is>
          <t>AME</t>
        </is>
      </c>
    </row>
    <row r="568">
      <c r="A568" t="n">
        <v>128</v>
      </c>
      <c r="B568" t="inlineStr">
        <is>
          <t>Love Cabaret</t>
        </is>
      </c>
      <c r="C568" s="27" t="n">
        <v>45952</v>
      </c>
      <c r="D568" t="n">
        <v>0</v>
      </c>
      <c r="E568" t="inlineStr">
        <is>
          <t>OUTROS</t>
        </is>
      </c>
    </row>
    <row r="569">
      <c r="A569" t="n">
        <v>128</v>
      </c>
      <c r="B569" t="inlineStr">
        <is>
          <t>Love Cabaret</t>
        </is>
      </c>
      <c r="C569" s="27" t="n">
        <v>45952</v>
      </c>
      <c r="D569" t="n">
        <v>0</v>
      </c>
      <c r="E569" t="inlineStr">
        <is>
          <t>ANTECIPADO</t>
        </is>
      </c>
    </row>
    <row r="570">
      <c r="A570" t="n">
        <v>128</v>
      </c>
      <c r="B570" t="inlineStr">
        <is>
          <t>Love Cabaret</t>
        </is>
      </c>
      <c r="C570" s="27" t="n">
        <v>45952</v>
      </c>
      <c r="D570" t="n">
        <v>0</v>
      </c>
      <c r="E570" t="inlineStr">
        <is>
          <t>BÔNUS</t>
        </is>
      </c>
    </row>
    <row r="571">
      <c r="A571" t="n">
        <v>128</v>
      </c>
      <c r="B571" t="inlineStr">
        <is>
          <t>Love Cabaret</t>
        </is>
      </c>
      <c r="C571" s="27" t="n">
        <v>45952</v>
      </c>
      <c r="D571" t="n">
        <v>0</v>
      </c>
      <c r="E571" t="inlineStr">
        <is>
          <t>DÉBITO</t>
        </is>
      </c>
    </row>
    <row r="572">
      <c r="A572" t="n">
        <v>128</v>
      </c>
      <c r="B572" t="inlineStr">
        <is>
          <t>Love Cabaret</t>
        </is>
      </c>
      <c r="C572" s="27" t="n">
        <v>45949</v>
      </c>
      <c r="D572" t="n">
        <v>0</v>
      </c>
      <c r="E572" t="inlineStr">
        <is>
          <t>UBER</t>
        </is>
      </c>
    </row>
    <row r="573">
      <c r="A573" t="n">
        <v>128</v>
      </c>
      <c r="B573" t="inlineStr">
        <is>
          <t>Love Cabaret</t>
        </is>
      </c>
      <c r="C573" s="27" t="n">
        <v>45949</v>
      </c>
      <c r="D573" t="n">
        <v>9881.35</v>
      </c>
      <c r="E573" t="inlineStr">
        <is>
          <t>CRÉDITO</t>
        </is>
      </c>
    </row>
    <row r="574">
      <c r="A574" t="n">
        <v>128</v>
      </c>
      <c r="B574" t="inlineStr">
        <is>
          <t>Love Cabaret</t>
        </is>
      </c>
      <c r="C574" s="27" t="n">
        <v>45949</v>
      </c>
      <c r="D574" t="n">
        <v>704.0700000000001</v>
      </c>
      <c r="E574" t="inlineStr">
        <is>
          <t>DINHEIRO</t>
        </is>
      </c>
    </row>
    <row r="575">
      <c r="A575" t="n">
        <v>128</v>
      </c>
      <c r="B575" t="inlineStr">
        <is>
          <t>Love Cabaret</t>
        </is>
      </c>
      <c r="C575" s="27" t="n">
        <v>45949</v>
      </c>
      <c r="D575" t="n">
        <v>0</v>
      </c>
      <c r="E575" t="inlineStr">
        <is>
          <t>APP</t>
        </is>
      </c>
    </row>
    <row r="576">
      <c r="A576" t="n">
        <v>128</v>
      </c>
      <c r="B576" t="inlineStr">
        <is>
          <t>Love Cabaret</t>
        </is>
      </c>
      <c r="C576" s="27" t="n">
        <v>45949</v>
      </c>
      <c r="D576" t="n">
        <v>0</v>
      </c>
      <c r="E576" t="inlineStr">
        <is>
          <t>DELIVERY ONLINE</t>
        </is>
      </c>
    </row>
    <row r="577">
      <c r="A577" t="n">
        <v>128</v>
      </c>
      <c r="B577" t="inlineStr">
        <is>
          <t>Love Cabaret</t>
        </is>
      </c>
      <c r="C577" s="27" t="n">
        <v>45949</v>
      </c>
      <c r="D577" t="n">
        <v>0</v>
      </c>
      <c r="E577" t="inlineStr">
        <is>
          <t>ANTECIPADO</t>
        </is>
      </c>
    </row>
    <row r="578">
      <c r="A578" t="n">
        <v>128</v>
      </c>
      <c r="B578" t="inlineStr">
        <is>
          <t>Love Cabaret</t>
        </is>
      </c>
      <c r="C578" s="27" t="n">
        <v>45949</v>
      </c>
      <c r="D578" t="n">
        <v>3271.13</v>
      </c>
      <c r="E578" t="inlineStr">
        <is>
          <t>DÉBITO</t>
        </is>
      </c>
    </row>
    <row r="579">
      <c r="A579" t="n">
        <v>128</v>
      </c>
      <c r="B579" t="inlineStr">
        <is>
          <t>Love Cabaret</t>
        </is>
      </c>
      <c r="C579" s="27" t="n">
        <v>45949</v>
      </c>
      <c r="D579" t="n">
        <v>0</v>
      </c>
      <c r="E579" t="inlineStr">
        <is>
          <t>MBWAY</t>
        </is>
      </c>
    </row>
    <row r="580">
      <c r="A580" t="n">
        <v>128</v>
      </c>
      <c r="B580" t="inlineStr">
        <is>
          <t>Love Cabaret</t>
        </is>
      </c>
      <c r="C580" s="27" t="n">
        <v>45949</v>
      </c>
      <c r="D580" t="n">
        <v>0</v>
      </c>
      <c r="E580" t="inlineStr">
        <is>
          <t>VOUCHER INTEGRADO</t>
        </is>
      </c>
    </row>
    <row r="581">
      <c r="A581" t="n">
        <v>128</v>
      </c>
      <c r="B581" t="inlineStr">
        <is>
          <t>Love Cabaret</t>
        </is>
      </c>
      <c r="C581" s="27" t="n">
        <v>45949</v>
      </c>
      <c r="D581" t="n">
        <v>0</v>
      </c>
      <c r="E581" t="inlineStr">
        <is>
          <t>RECARGAS DEVOLVIDAS</t>
        </is>
      </c>
    </row>
    <row r="582">
      <c r="A582" t="n">
        <v>128</v>
      </c>
      <c r="B582" t="inlineStr">
        <is>
          <t>Love Cabaret</t>
        </is>
      </c>
      <c r="C582" s="27" t="n">
        <v>45949</v>
      </c>
      <c r="D582" t="n">
        <v>0</v>
      </c>
      <c r="E582" t="inlineStr">
        <is>
          <t>NOTAS MANUAIS + SERVIÇO</t>
        </is>
      </c>
    </row>
    <row r="583">
      <c r="A583" t="n">
        <v>128</v>
      </c>
      <c r="B583" t="inlineStr">
        <is>
          <t>Love Cabaret</t>
        </is>
      </c>
      <c r="C583" s="27" t="n">
        <v>45949</v>
      </c>
      <c r="D583" t="n">
        <v>0</v>
      </c>
      <c r="E583" t="inlineStr">
        <is>
          <t>AME</t>
        </is>
      </c>
    </row>
    <row r="584">
      <c r="A584" t="n">
        <v>128</v>
      </c>
      <c r="B584" t="inlineStr">
        <is>
          <t>Love Cabaret</t>
        </is>
      </c>
      <c r="C584" s="27" t="n">
        <v>45949</v>
      </c>
      <c r="D584" t="n">
        <v>0</v>
      </c>
      <c r="E584" t="inlineStr">
        <is>
          <t>OUTROS</t>
        </is>
      </c>
    </row>
    <row r="585">
      <c r="A585" t="n">
        <v>128</v>
      </c>
      <c r="B585" t="inlineStr">
        <is>
          <t>Love Cabaret</t>
        </is>
      </c>
      <c r="C585" s="27" t="n">
        <v>45949</v>
      </c>
      <c r="D585" t="n">
        <v>0</v>
      </c>
      <c r="E585" t="inlineStr">
        <is>
          <t>ANTECIPADO</t>
        </is>
      </c>
    </row>
    <row r="586">
      <c r="A586" t="n">
        <v>128</v>
      </c>
      <c r="B586" t="inlineStr">
        <is>
          <t>Love Cabaret</t>
        </is>
      </c>
      <c r="C586" s="27" t="n">
        <v>45949</v>
      </c>
      <c r="D586" t="n">
        <v>0</v>
      </c>
      <c r="E586" t="inlineStr">
        <is>
          <t>BÔNUS</t>
        </is>
      </c>
    </row>
    <row r="587">
      <c r="A587" t="n">
        <v>128</v>
      </c>
      <c r="B587" t="inlineStr">
        <is>
          <t>Love Cabaret</t>
        </is>
      </c>
      <c r="C587" s="27" t="n">
        <v>45949</v>
      </c>
      <c r="D587" t="n">
        <v>0</v>
      </c>
      <c r="E587" t="inlineStr">
        <is>
          <t>RAPPI</t>
        </is>
      </c>
    </row>
    <row r="588">
      <c r="A588" t="n">
        <v>128</v>
      </c>
      <c r="B588" t="inlineStr">
        <is>
          <t>Love Cabaret</t>
        </is>
      </c>
      <c r="C588" s="27" t="n">
        <v>45949</v>
      </c>
      <c r="D588" t="n">
        <v>2156.82</v>
      </c>
      <c r="E588" t="inlineStr">
        <is>
          <t>PIX</t>
        </is>
      </c>
    </row>
    <row r="589">
      <c r="A589" t="n">
        <v>128</v>
      </c>
      <c r="B589" t="inlineStr">
        <is>
          <t>Love Cabaret</t>
        </is>
      </c>
      <c r="C589" s="27" t="n">
        <v>45949</v>
      </c>
      <c r="D589" t="n">
        <v>0</v>
      </c>
      <c r="E589" t="inlineStr">
        <is>
          <t>IFOOD</t>
        </is>
      </c>
    </row>
    <row r="590">
      <c r="A590" t="n">
        <v>128</v>
      </c>
      <c r="B590" t="inlineStr">
        <is>
          <t>Love Cabaret</t>
        </is>
      </c>
      <c r="C590" s="27" t="n">
        <v>45949</v>
      </c>
      <c r="D590" t="n">
        <v>0</v>
      </c>
      <c r="E590" t="inlineStr">
        <is>
          <t>VOUCHER</t>
        </is>
      </c>
    </row>
    <row r="591">
      <c r="A591" t="n">
        <v>128</v>
      </c>
      <c r="B591" t="inlineStr">
        <is>
          <t>Love Cabaret</t>
        </is>
      </c>
      <c r="C591" s="27" t="n">
        <v>45948</v>
      </c>
      <c r="D591" t="n">
        <v>0</v>
      </c>
      <c r="E591" t="inlineStr">
        <is>
          <t>DELIVERY ONLINE</t>
        </is>
      </c>
    </row>
    <row r="592">
      <c r="A592" t="n">
        <v>128</v>
      </c>
      <c r="B592" t="inlineStr">
        <is>
          <t>Love Cabaret</t>
        </is>
      </c>
      <c r="C592" s="27" t="n">
        <v>45948</v>
      </c>
      <c r="D592" t="n">
        <v>0</v>
      </c>
      <c r="E592" t="inlineStr">
        <is>
          <t>MBWAY</t>
        </is>
      </c>
    </row>
    <row r="593">
      <c r="A593" t="n">
        <v>128</v>
      </c>
      <c r="B593" t="inlineStr">
        <is>
          <t>Love Cabaret</t>
        </is>
      </c>
      <c r="C593" s="27" t="n">
        <v>45948</v>
      </c>
      <c r="D593" t="n">
        <v>0</v>
      </c>
      <c r="E593" t="inlineStr">
        <is>
          <t>VOUCHER INTEGRADO</t>
        </is>
      </c>
    </row>
    <row r="594">
      <c r="A594" t="n">
        <v>128</v>
      </c>
      <c r="B594" t="inlineStr">
        <is>
          <t>Love Cabaret</t>
        </is>
      </c>
      <c r="C594" s="27" t="n">
        <v>45948</v>
      </c>
      <c r="D594" t="n">
        <v>0</v>
      </c>
      <c r="E594" t="inlineStr">
        <is>
          <t>RECARGAS DEVOLVIDAS</t>
        </is>
      </c>
    </row>
    <row r="595">
      <c r="A595" t="n">
        <v>128</v>
      </c>
      <c r="B595" t="inlineStr">
        <is>
          <t>Love Cabaret</t>
        </is>
      </c>
      <c r="C595" s="27" t="n">
        <v>45948</v>
      </c>
      <c r="D595" t="n">
        <v>0</v>
      </c>
      <c r="E595" t="inlineStr">
        <is>
          <t>NOTAS MANUAIS + SERVIÇO</t>
        </is>
      </c>
    </row>
    <row r="596">
      <c r="A596" t="n">
        <v>128</v>
      </c>
      <c r="B596" t="inlineStr">
        <is>
          <t>Love Cabaret</t>
        </is>
      </c>
      <c r="C596" s="27" t="n">
        <v>45948</v>
      </c>
      <c r="D596" t="n">
        <v>0</v>
      </c>
      <c r="E596" t="inlineStr">
        <is>
          <t>AME</t>
        </is>
      </c>
    </row>
    <row r="597">
      <c r="A597" t="n">
        <v>128</v>
      </c>
      <c r="B597" t="inlineStr">
        <is>
          <t>Love Cabaret</t>
        </is>
      </c>
      <c r="C597" s="27" t="n">
        <v>45948</v>
      </c>
      <c r="D597" t="n">
        <v>0</v>
      </c>
      <c r="E597" t="inlineStr">
        <is>
          <t>OUTROS</t>
        </is>
      </c>
    </row>
    <row r="598">
      <c r="A598" t="n">
        <v>128</v>
      </c>
      <c r="B598" t="inlineStr">
        <is>
          <t>Love Cabaret</t>
        </is>
      </c>
      <c r="C598" s="27" t="n">
        <v>45948</v>
      </c>
      <c r="D598" t="n">
        <v>0</v>
      </c>
      <c r="E598" t="inlineStr">
        <is>
          <t>ANTECIPADO</t>
        </is>
      </c>
    </row>
    <row r="599">
      <c r="A599" t="n">
        <v>128</v>
      </c>
      <c r="B599" t="inlineStr">
        <is>
          <t>Love Cabaret</t>
        </is>
      </c>
      <c r="C599" s="27" t="n">
        <v>45948</v>
      </c>
      <c r="D599" t="n">
        <v>5725.55</v>
      </c>
      <c r="E599" t="inlineStr">
        <is>
          <t>DÉBITO</t>
        </is>
      </c>
    </row>
    <row r="600">
      <c r="A600" t="n">
        <v>128</v>
      </c>
      <c r="B600" t="inlineStr">
        <is>
          <t>Love Cabaret</t>
        </is>
      </c>
      <c r="C600" s="27" t="n">
        <v>45948</v>
      </c>
      <c r="D600" t="n">
        <v>0</v>
      </c>
      <c r="E600" t="inlineStr">
        <is>
          <t>VOUCHER</t>
        </is>
      </c>
    </row>
    <row r="601">
      <c r="A601" t="n">
        <v>128</v>
      </c>
      <c r="B601" t="inlineStr">
        <is>
          <t>Love Cabaret</t>
        </is>
      </c>
      <c r="C601" s="27" t="n">
        <v>45948</v>
      </c>
      <c r="D601" t="n">
        <v>0</v>
      </c>
      <c r="E601" t="inlineStr">
        <is>
          <t>ANTECIPADO</t>
        </is>
      </c>
    </row>
    <row r="602">
      <c r="A602" t="n">
        <v>128</v>
      </c>
      <c r="B602" t="inlineStr">
        <is>
          <t>Love Cabaret</t>
        </is>
      </c>
      <c r="C602" s="27" t="n">
        <v>45948</v>
      </c>
      <c r="D602" t="n">
        <v>0</v>
      </c>
      <c r="E602" t="inlineStr">
        <is>
          <t>UBER</t>
        </is>
      </c>
    </row>
    <row r="603">
      <c r="A603" t="n">
        <v>128</v>
      </c>
      <c r="B603" t="inlineStr">
        <is>
          <t>Love Cabaret</t>
        </is>
      </c>
      <c r="C603" s="27" t="n">
        <v>45948</v>
      </c>
      <c r="D603" t="n">
        <v>0</v>
      </c>
      <c r="E603" t="inlineStr">
        <is>
          <t>RAPPI</t>
        </is>
      </c>
    </row>
    <row r="604">
      <c r="A604" t="n">
        <v>128</v>
      </c>
      <c r="B604" t="inlineStr">
        <is>
          <t>Love Cabaret</t>
        </is>
      </c>
      <c r="C604" s="27" t="n">
        <v>45948</v>
      </c>
      <c r="D604" t="n">
        <v>1110.95</v>
      </c>
      <c r="E604" t="inlineStr">
        <is>
          <t>PIX</t>
        </is>
      </c>
    </row>
    <row r="605">
      <c r="A605" t="n">
        <v>128</v>
      </c>
      <c r="B605" t="inlineStr">
        <is>
          <t>Love Cabaret</t>
        </is>
      </c>
      <c r="C605" s="27" t="n">
        <v>45948</v>
      </c>
      <c r="D605" t="n">
        <v>0</v>
      </c>
      <c r="E605" t="inlineStr">
        <is>
          <t>IFOOD</t>
        </is>
      </c>
    </row>
    <row r="606">
      <c r="A606" t="n">
        <v>128</v>
      </c>
      <c r="B606" t="inlineStr">
        <is>
          <t>Love Cabaret</t>
        </is>
      </c>
      <c r="C606" s="27" t="n">
        <v>45948</v>
      </c>
      <c r="D606" t="n">
        <v>0</v>
      </c>
      <c r="E606" t="inlineStr">
        <is>
          <t>BÔNUS</t>
        </is>
      </c>
    </row>
    <row r="607">
      <c r="A607" t="n">
        <v>128</v>
      </c>
      <c r="B607" t="inlineStr">
        <is>
          <t>Love Cabaret</t>
        </is>
      </c>
      <c r="C607" s="27" t="n">
        <v>45948</v>
      </c>
      <c r="D607" t="n">
        <v>0</v>
      </c>
      <c r="E607" t="inlineStr">
        <is>
          <t>APP</t>
        </is>
      </c>
    </row>
    <row r="608">
      <c r="A608" t="n">
        <v>128</v>
      </c>
      <c r="B608" t="inlineStr">
        <is>
          <t>Love Cabaret</t>
        </is>
      </c>
      <c r="C608" s="27" t="n">
        <v>45948</v>
      </c>
      <c r="D608" t="n">
        <v>0</v>
      </c>
      <c r="E608" t="inlineStr">
        <is>
          <t>DINHEIRO</t>
        </is>
      </c>
    </row>
    <row r="609">
      <c r="A609" t="n">
        <v>128</v>
      </c>
      <c r="B609" t="inlineStr">
        <is>
          <t>Love Cabaret</t>
        </is>
      </c>
      <c r="C609" s="27" t="n">
        <v>45948</v>
      </c>
      <c r="D609" t="n">
        <v>22119.16</v>
      </c>
      <c r="E609" t="inlineStr">
        <is>
          <t>CRÉDITO</t>
        </is>
      </c>
    </row>
    <row r="610">
      <c r="A610" t="n">
        <v>128</v>
      </c>
      <c r="B610" t="inlineStr">
        <is>
          <t>Love Cabaret</t>
        </is>
      </c>
      <c r="C610" s="27" t="n">
        <v>45947</v>
      </c>
      <c r="D610" t="n">
        <v>0</v>
      </c>
      <c r="E610" t="inlineStr">
        <is>
          <t>UBER</t>
        </is>
      </c>
    </row>
    <row r="611">
      <c r="A611" t="n">
        <v>128</v>
      </c>
      <c r="B611" t="inlineStr">
        <is>
          <t>Love Cabaret</t>
        </is>
      </c>
      <c r="C611" s="27" t="n">
        <v>45947</v>
      </c>
      <c r="D611" t="n">
        <v>0</v>
      </c>
      <c r="E611" t="inlineStr">
        <is>
          <t>ANTECIPADO</t>
        </is>
      </c>
    </row>
    <row r="612">
      <c r="A612" t="n">
        <v>128</v>
      </c>
      <c r="B612" t="inlineStr">
        <is>
          <t>Love Cabaret</t>
        </is>
      </c>
      <c r="C612" s="27" t="n">
        <v>45947</v>
      </c>
      <c r="D612" t="n">
        <v>0</v>
      </c>
      <c r="E612" t="inlineStr">
        <is>
          <t>VOUCHER</t>
        </is>
      </c>
    </row>
    <row r="613">
      <c r="A613" t="n">
        <v>128</v>
      </c>
      <c r="B613" t="inlineStr">
        <is>
          <t>Love Cabaret</t>
        </is>
      </c>
      <c r="C613" s="27" t="n">
        <v>45947</v>
      </c>
      <c r="D613" t="n">
        <v>0</v>
      </c>
      <c r="E613" t="inlineStr">
        <is>
          <t>BÔNUS</t>
        </is>
      </c>
    </row>
    <row r="614">
      <c r="A614" t="n">
        <v>128</v>
      </c>
      <c r="B614" t="inlineStr">
        <is>
          <t>Love Cabaret</t>
        </is>
      </c>
      <c r="C614" s="27" t="n">
        <v>45947</v>
      </c>
      <c r="D614" t="n">
        <v>0</v>
      </c>
      <c r="E614" t="inlineStr">
        <is>
          <t>ANTECIPADO</t>
        </is>
      </c>
    </row>
    <row r="615">
      <c r="A615" t="n">
        <v>128</v>
      </c>
      <c r="B615" t="inlineStr">
        <is>
          <t>Love Cabaret</t>
        </is>
      </c>
      <c r="C615" s="27" t="n">
        <v>45947</v>
      </c>
      <c r="D615" t="n">
        <v>0</v>
      </c>
      <c r="E615" t="inlineStr">
        <is>
          <t>OUTROS</t>
        </is>
      </c>
    </row>
    <row r="616">
      <c r="A616" t="n">
        <v>128</v>
      </c>
      <c r="B616" t="inlineStr">
        <is>
          <t>Love Cabaret</t>
        </is>
      </c>
      <c r="C616" s="27" t="n">
        <v>45947</v>
      </c>
      <c r="D616" t="n">
        <v>0</v>
      </c>
      <c r="E616" t="inlineStr">
        <is>
          <t>RAPPI</t>
        </is>
      </c>
    </row>
    <row r="617">
      <c r="A617" t="n">
        <v>128</v>
      </c>
      <c r="B617" t="inlineStr">
        <is>
          <t>Love Cabaret</t>
        </is>
      </c>
      <c r="C617" s="27" t="n">
        <v>45947</v>
      </c>
      <c r="D617" t="n">
        <v>1484.26</v>
      </c>
      <c r="E617" t="inlineStr">
        <is>
          <t>PIX</t>
        </is>
      </c>
    </row>
    <row r="618">
      <c r="A618" t="n">
        <v>128</v>
      </c>
      <c r="B618" t="inlineStr">
        <is>
          <t>Love Cabaret</t>
        </is>
      </c>
      <c r="C618" s="27" t="n">
        <v>45947</v>
      </c>
      <c r="D618" t="n">
        <v>0</v>
      </c>
      <c r="E618" t="inlineStr">
        <is>
          <t>IFOOD</t>
        </is>
      </c>
    </row>
    <row r="619">
      <c r="A619" t="n">
        <v>128</v>
      </c>
      <c r="B619" t="inlineStr">
        <is>
          <t>Love Cabaret</t>
        </is>
      </c>
      <c r="C619" s="27" t="n">
        <v>45947</v>
      </c>
      <c r="D619" t="n">
        <v>0</v>
      </c>
      <c r="E619" t="inlineStr">
        <is>
          <t>DELIVERY ONLINE</t>
        </is>
      </c>
    </row>
    <row r="620">
      <c r="A620" t="n">
        <v>128</v>
      </c>
      <c r="B620" t="inlineStr">
        <is>
          <t>Love Cabaret</t>
        </is>
      </c>
      <c r="C620" s="27" t="n">
        <v>45947</v>
      </c>
      <c r="D620" t="n">
        <v>0</v>
      </c>
      <c r="E620" t="inlineStr">
        <is>
          <t>APP</t>
        </is>
      </c>
    </row>
    <row r="621">
      <c r="A621" t="n">
        <v>128</v>
      </c>
      <c r="B621" t="inlineStr">
        <is>
          <t>Love Cabaret</t>
        </is>
      </c>
      <c r="C621" s="27" t="n">
        <v>45947</v>
      </c>
      <c r="D621" t="n">
        <v>1106.54</v>
      </c>
      <c r="E621" t="inlineStr">
        <is>
          <t>DINHEIRO</t>
        </is>
      </c>
    </row>
    <row r="622">
      <c r="A622" t="n">
        <v>128</v>
      </c>
      <c r="B622" t="inlineStr">
        <is>
          <t>Love Cabaret</t>
        </is>
      </c>
      <c r="C622" s="27" t="n">
        <v>45947</v>
      </c>
      <c r="D622" t="n">
        <v>13324.95</v>
      </c>
      <c r="E622" t="inlineStr">
        <is>
          <t>CRÉDITO</t>
        </is>
      </c>
    </row>
    <row r="623">
      <c r="A623" t="n">
        <v>128</v>
      </c>
      <c r="B623" t="inlineStr">
        <is>
          <t>Love Cabaret</t>
        </is>
      </c>
      <c r="C623" s="27" t="n">
        <v>45947</v>
      </c>
      <c r="D623" t="n">
        <v>5033.06</v>
      </c>
      <c r="E623" t="inlineStr">
        <is>
          <t>DÉBITO</t>
        </is>
      </c>
    </row>
    <row r="624">
      <c r="A624" t="n">
        <v>128</v>
      </c>
      <c r="B624" t="inlineStr">
        <is>
          <t>Love Cabaret</t>
        </is>
      </c>
      <c r="C624" s="27" t="n">
        <v>45947</v>
      </c>
      <c r="D624" t="n">
        <v>0</v>
      </c>
      <c r="E624" t="inlineStr">
        <is>
          <t>NOTAS MANUAIS + SERVIÇO</t>
        </is>
      </c>
    </row>
    <row r="625">
      <c r="A625" t="n">
        <v>128</v>
      </c>
      <c r="B625" t="inlineStr">
        <is>
          <t>Love Cabaret</t>
        </is>
      </c>
      <c r="C625" s="27" t="n">
        <v>45947</v>
      </c>
      <c r="D625" t="n">
        <v>0</v>
      </c>
      <c r="E625" t="inlineStr">
        <is>
          <t>RECARGAS DEVOLVIDAS</t>
        </is>
      </c>
    </row>
    <row r="626">
      <c r="A626" t="n">
        <v>128</v>
      </c>
      <c r="B626" t="inlineStr">
        <is>
          <t>Love Cabaret</t>
        </is>
      </c>
      <c r="C626" s="27" t="n">
        <v>45947</v>
      </c>
      <c r="D626" t="n">
        <v>0</v>
      </c>
      <c r="E626" t="inlineStr">
        <is>
          <t>VOUCHER INTEGRADO</t>
        </is>
      </c>
    </row>
    <row r="627">
      <c r="A627" t="n">
        <v>128</v>
      </c>
      <c r="B627" t="inlineStr">
        <is>
          <t>Love Cabaret</t>
        </is>
      </c>
      <c r="C627" s="27" t="n">
        <v>45947</v>
      </c>
      <c r="D627" t="n">
        <v>0</v>
      </c>
      <c r="E627" t="inlineStr">
        <is>
          <t>MBWAY</t>
        </is>
      </c>
    </row>
    <row r="628">
      <c r="A628" t="n">
        <v>128</v>
      </c>
      <c r="B628" t="inlineStr">
        <is>
          <t>Love Cabaret</t>
        </is>
      </c>
      <c r="C628" s="27" t="n">
        <v>45947</v>
      </c>
      <c r="D628" t="n">
        <v>0</v>
      </c>
      <c r="E628" t="inlineStr">
        <is>
          <t>AME</t>
        </is>
      </c>
    </row>
    <row r="629">
      <c r="A629" t="n">
        <v>128</v>
      </c>
      <c r="B629" t="inlineStr">
        <is>
          <t>Love Cabaret</t>
        </is>
      </c>
      <c r="C629" s="27" t="n">
        <v>45946</v>
      </c>
      <c r="D629" t="n">
        <v>0</v>
      </c>
      <c r="E629" t="inlineStr">
        <is>
          <t>RAPPI</t>
        </is>
      </c>
    </row>
    <row r="630">
      <c r="A630" t="n">
        <v>128</v>
      </c>
      <c r="B630" t="inlineStr">
        <is>
          <t>Love Cabaret</t>
        </is>
      </c>
      <c r="C630" s="27" t="n">
        <v>45946</v>
      </c>
      <c r="D630" t="n">
        <v>0</v>
      </c>
      <c r="E630" t="inlineStr">
        <is>
          <t>UBER</t>
        </is>
      </c>
    </row>
    <row r="631">
      <c r="A631" t="n">
        <v>128</v>
      </c>
      <c r="B631" t="inlineStr">
        <is>
          <t>Love Cabaret</t>
        </is>
      </c>
      <c r="C631" s="27" t="n">
        <v>45946</v>
      </c>
      <c r="D631" t="n">
        <v>80.23</v>
      </c>
      <c r="E631" t="inlineStr">
        <is>
          <t>PIX</t>
        </is>
      </c>
    </row>
    <row r="632">
      <c r="A632" t="n">
        <v>128</v>
      </c>
      <c r="B632" t="inlineStr">
        <is>
          <t>Love Cabaret</t>
        </is>
      </c>
      <c r="C632" s="27" t="n">
        <v>45946</v>
      </c>
      <c r="D632" t="n">
        <v>0</v>
      </c>
      <c r="E632" t="inlineStr">
        <is>
          <t>IFOOD</t>
        </is>
      </c>
    </row>
    <row r="633">
      <c r="A633" t="n">
        <v>128</v>
      </c>
      <c r="B633" t="inlineStr">
        <is>
          <t>Love Cabaret</t>
        </is>
      </c>
      <c r="C633" s="27" t="n">
        <v>45946</v>
      </c>
      <c r="D633" t="n">
        <v>0</v>
      </c>
      <c r="E633" t="inlineStr">
        <is>
          <t>DELIVERY ONLINE</t>
        </is>
      </c>
    </row>
    <row r="634">
      <c r="A634" t="n">
        <v>128</v>
      </c>
      <c r="B634" t="inlineStr">
        <is>
          <t>Love Cabaret</t>
        </is>
      </c>
      <c r="C634" s="27" t="n">
        <v>45946</v>
      </c>
      <c r="D634" t="n">
        <v>0</v>
      </c>
      <c r="E634" t="inlineStr">
        <is>
          <t>APP</t>
        </is>
      </c>
    </row>
    <row r="635">
      <c r="A635" t="n">
        <v>128</v>
      </c>
      <c r="B635" t="inlineStr">
        <is>
          <t>Love Cabaret</t>
        </is>
      </c>
      <c r="C635" s="27" t="n">
        <v>45946</v>
      </c>
      <c r="D635" t="n">
        <v>0</v>
      </c>
      <c r="E635" t="inlineStr">
        <is>
          <t>DINHEIRO</t>
        </is>
      </c>
    </row>
    <row r="636">
      <c r="A636" t="n">
        <v>128</v>
      </c>
      <c r="B636" t="inlineStr">
        <is>
          <t>Love Cabaret</t>
        </is>
      </c>
      <c r="C636" s="27" t="n">
        <v>45946</v>
      </c>
      <c r="D636" t="n">
        <v>2250.17</v>
      </c>
      <c r="E636" t="inlineStr">
        <is>
          <t>CRÉDITO</t>
        </is>
      </c>
    </row>
    <row r="637">
      <c r="A637" t="n">
        <v>128</v>
      </c>
      <c r="B637" t="inlineStr">
        <is>
          <t>Love Cabaret</t>
        </is>
      </c>
      <c r="C637" s="27" t="n">
        <v>45946</v>
      </c>
      <c r="D637" t="n">
        <v>0</v>
      </c>
      <c r="E637" t="inlineStr">
        <is>
          <t>MBWAY</t>
        </is>
      </c>
    </row>
    <row r="638">
      <c r="A638" t="n">
        <v>128</v>
      </c>
      <c r="B638" t="inlineStr">
        <is>
          <t>Love Cabaret</t>
        </is>
      </c>
      <c r="C638" s="27" t="n">
        <v>45946</v>
      </c>
      <c r="D638" t="n">
        <v>0</v>
      </c>
      <c r="E638" t="inlineStr">
        <is>
          <t>VOUCHER INTEGRADO</t>
        </is>
      </c>
    </row>
    <row r="639">
      <c r="A639" t="n">
        <v>128</v>
      </c>
      <c r="B639" t="inlineStr">
        <is>
          <t>Love Cabaret</t>
        </is>
      </c>
      <c r="C639" s="27" t="n">
        <v>45946</v>
      </c>
      <c r="D639" t="n">
        <v>0</v>
      </c>
      <c r="E639" t="inlineStr">
        <is>
          <t>RECARGAS DEVOLVIDAS</t>
        </is>
      </c>
    </row>
    <row r="640">
      <c r="A640" t="n">
        <v>128</v>
      </c>
      <c r="B640" t="inlineStr">
        <is>
          <t>Love Cabaret</t>
        </is>
      </c>
      <c r="C640" s="27" t="n">
        <v>45946</v>
      </c>
      <c r="D640" t="n">
        <v>0</v>
      </c>
      <c r="E640" t="inlineStr">
        <is>
          <t>NOTAS MANUAIS + SERVIÇO</t>
        </is>
      </c>
    </row>
    <row r="641">
      <c r="A641" t="n">
        <v>128</v>
      </c>
      <c r="B641" t="inlineStr">
        <is>
          <t>Love Cabaret</t>
        </is>
      </c>
      <c r="C641" s="27" t="n">
        <v>45946</v>
      </c>
      <c r="D641" t="n">
        <v>0</v>
      </c>
      <c r="E641" t="inlineStr">
        <is>
          <t>AME</t>
        </is>
      </c>
    </row>
    <row r="642">
      <c r="A642" t="n">
        <v>128</v>
      </c>
      <c r="B642" t="inlineStr">
        <is>
          <t>Love Cabaret</t>
        </is>
      </c>
      <c r="C642" s="27" t="n">
        <v>45946</v>
      </c>
      <c r="D642" t="n">
        <v>0</v>
      </c>
      <c r="E642" t="inlineStr">
        <is>
          <t>OUTROS</t>
        </is>
      </c>
    </row>
    <row r="643">
      <c r="A643" t="n">
        <v>128</v>
      </c>
      <c r="B643" t="inlineStr">
        <is>
          <t>Love Cabaret</t>
        </is>
      </c>
      <c r="C643" s="27" t="n">
        <v>45946</v>
      </c>
      <c r="D643" t="n">
        <v>0</v>
      </c>
      <c r="E643" t="inlineStr">
        <is>
          <t>ANTECIPADO</t>
        </is>
      </c>
    </row>
    <row r="644">
      <c r="A644" t="n">
        <v>128</v>
      </c>
      <c r="B644" t="inlineStr">
        <is>
          <t>Love Cabaret</t>
        </is>
      </c>
      <c r="C644" s="27" t="n">
        <v>45946</v>
      </c>
      <c r="D644" t="n">
        <v>0</v>
      </c>
      <c r="E644" t="inlineStr">
        <is>
          <t>BÔNUS</t>
        </is>
      </c>
    </row>
    <row r="645">
      <c r="A645" t="n">
        <v>128</v>
      </c>
      <c r="B645" t="inlineStr">
        <is>
          <t>Love Cabaret</t>
        </is>
      </c>
      <c r="C645" s="27" t="n">
        <v>45946</v>
      </c>
      <c r="D645" t="n">
        <v>1359.05</v>
      </c>
      <c r="E645" t="inlineStr">
        <is>
          <t>DÉBITO</t>
        </is>
      </c>
    </row>
    <row r="646">
      <c r="A646" t="n">
        <v>128</v>
      </c>
      <c r="B646" t="inlineStr">
        <is>
          <t>Love Cabaret</t>
        </is>
      </c>
      <c r="C646" s="27" t="n">
        <v>45946</v>
      </c>
      <c r="D646" t="n">
        <v>0</v>
      </c>
      <c r="E646" t="inlineStr">
        <is>
          <t>VOUCHER</t>
        </is>
      </c>
    </row>
    <row r="647">
      <c r="A647" t="n">
        <v>128</v>
      </c>
      <c r="B647" t="inlineStr">
        <is>
          <t>Love Cabaret</t>
        </is>
      </c>
      <c r="C647" s="27" t="n">
        <v>45946</v>
      </c>
      <c r="D647" t="n">
        <v>0</v>
      </c>
      <c r="E647" t="inlineStr">
        <is>
          <t>ANTECIPADO</t>
        </is>
      </c>
    </row>
    <row r="648">
      <c r="A648" t="n">
        <v>128</v>
      </c>
      <c r="B648" t="inlineStr">
        <is>
          <t>Love Cabaret</t>
        </is>
      </c>
      <c r="C648" s="27" t="n">
        <v>45941</v>
      </c>
      <c r="D648" t="n">
        <v>0</v>
      </c>
      <c r="E648" t="inlineStr">
        <is>
          <t>BÔNUS</t>
        </is>
      </c>
    </row>
    <row r="649">
      <c r="A649" t="n">
        <v>128</v>
      </c>
      <c r="B649" t="inlineStr">
        <is>
          <t>Love Cabaret</t>
        </is>
      </c>
      <c r="C649" s="27" t="n">
        <v>45941</v>
      </c>
      <c r="D649" t="n">
        <v>0</v>
      </c>
      <c r="E649" t="inlineStr">
        <is>
          <t>ANTECIPADO</t>
        </is>
      </c>
    </row>
    <row r="650">
      <c r="A650" t="n">
        <v>128</v>
      </c>
      <c r="B650" t="inlineStr">
        <is>
          <t>Love Cabaret</t>
        </is>
      </c>
      <c r="C650" s="27" t="n">
        <v>45941</v>
      </c>
      <c r="D650" t="n">
        <v>0</v>
      </c>
      <c r="E650" t="inlineStr">
        <is>
          <t>VOUCHER</t>
        </is>
      </c>
    </row>
    <row r="651">
      <c r="A651" t="n">
        <v>128</v>
      </c>
      <c r="B651" t="inlineStr">
        <is>
          <t>Love Cabaret</t>
        </is>
      </c>
      <c r="C651" s="27" t="n">
        <v>45941</v>
      </c>
      <c r="D651" t="n">
        <v>3644.47</v>
      </c>
      <c r="E651" t="inlineStr">
        <is>
          <t>DÉBITO</t>
        </is>
      </c>
    </row>
    <row r="652">
      <c r="A652" t="n">
        <v>128</v>
      </c>
      <c r="B652" t="inlineStr">
        <is>
          <t>Love Cabaret</t>
        </is>
      </c>
      <c r="C652" s="27" t="n">
        <v>45941</v>
      </c>
      <c r="D652" t="n">
        <v>0</v>
      </c>
      <c r="E652" t="inlineStr">
        <is>
          <t>VOUCHER INTEGRADO</t>
        </is>
      </c>
    </row>
    <row r="653">
      <c r="A653" t="n">
        <v>128</v>
      </c>
      <c r="B653" t="inlineStr">
        <is>
          <t>Love Cabaret</t>
        </is>
      </c>
      <c r="C653" s="27" t="n">
        <v>45941</v>
      </c>
      <c r="D653" t="n">
        <v>0</v>
      </c>
      <c r="E653" t="inlineStr">
        <is>
          <t>OUTROS</t>
        </is>
      </c>
    </row>
    <row r="654">
      <c r="A654" t="n">
        <v>128</v>
      </c>
      <c r="B654" t="inlineStr">
        <is>
          <t>Love Cabaret</t>
        </is>
      </c>
      <c r="C654" s="27" t="n">
        <v>45941</v>
      </c>
      <c r="D654" t="n">
        <v>0</v>
      </c>
      <c r="E654" t="inlineStr">
        <is>
          <t>AME</t>
        </is>
      </c>
    </row>
    <row r="655">
      <c r="A655" t="n">
        <v>128</v>
      </c>
      <c r="B655" t="inlineStr">
        <is>
          <t>Love Cabaret</t>
        </is>
      </c>
      <c r="C655" s="27" t="n">
        <v>45941</v>
      </c>
      <c r="D655" t="n">
        <v>0</v>
      </c>
      <c r="E655" t="inlineStr">
        <is>
          <t>NOTAS MANUAIS + SERVIÇO</t>
        </is>
      </c>
    </row>
    <row r="656">
      <c r="A656" t="n">
        <v>128</v>
      </c>
      <c r="B656" t="inlineStr">
        <is>
          <t>Love Cabaret</t>
        </is>
      </c>
      <c r="C656" s="27" t="n">
        <v>45941</v>
      </c>
      <c r="D656" t="n">
        <v>0</v>
      </c>
      <c r="E656" t="inlineStr">
        <is>
          <t>RECARGAS DEVOLVIDAS</t>
        </is>
      </c>
    </row>
    <row r="657">
      <c r="A657" t="n">
        <v>128</v>
      </c>
      <c r="B657" t="inlineStr">
        <is>
          <t>Love Cabaret</t>
        </is>
      </c>
      <c r="C657" s="27" t="n">
        <v>45941</v>
      </c>
      <c r="D657" t="n">
        <v>0</v>
      </c>
      <c r="E657" t="inlineStr">
        <is>
          <t>MBWAY</t>
        </is>
      </c>
    </row>
    <row r="658">
      <c r="A658" t="n">
        <v>128</v>
      </c>
      <c r="B658" t="inlineStr">
        <is>
          <t>Love Cabaret</t>
        </is>
      </c>
      <c r="C658" s="27" t="n">
        <v>45941</v>
      </c>
      <c r="D658" t="n">
        <v>0</v>
      </c>
      <c r="E658" t="inlineStr">
        <is>
          <t>UBER</t>
        </is>
      </c>
    </row>
    <row r="659">
      <c r="A659" t="n">
        <v>128</v>
      </c>
      <c r="B659" t="inlineStr">
        <is>
          <t>Love Cabaret</t>
        </is>
      </c>
      <c r="C659" s="27" t="n">
        <v>45941</v>
      </c>
      <c r="D659" t="n">
        <v>0</v>
      </c>
      <c r="E659" t="inlineStr">
        <is>
          <t>ANTECIPADO</t>
        </is>
      </c>
    </row>
    <row r="660">
      <c r="A660" t="n">
        <v>128</v>
      </c>
      <c r="B660" t="inlineStr">
        <is>
          <t>Love Cabaret</t>
        </is>
      </c>
      <c r="C660" s="27" t="n">
        <v>45941</v>
      </c>
      <c r="D660" t="n">
        <v>20872.11</v>
      </c>
      <c r="E660" t="inlineStr">
        <is>
          <t>CRÉDITO</t>
        </is>
      </c>
    </row>
    <row r="661">
      <c r="A661" t="n">
        <v>128</v>
      </c>
      <c r="B661" t="inlineStr">
        <is>
          <t>Love Cabaret</t>
        </is>
      </c>
      <c r="C661" s="27" t="n">
        <v>45941</v>
      </c>
      <c r="D661" t="n">
        <v>609.04</v>
      </c>
      <c r="E661" t="inlineStr">
        <is>
          <t>DINHEIRO</t>
        </is>
      </c>
    </row>
    <row r="662">
      <c r="A662" t="n">
        <v>128</v>
      </c>
      <c r="B662" t="inlineStr">
        <is>
          <t>Love Cabaret</t>
        </is>
      </c>
      <c r="C662" s="27" t="n">
        <v>45941</v>
      </c>
      <c r="D662" t="n">
        <v>0</v>
      </c>
      <c r="E662" t="inlineStr">
        <is>
          <t>APP</t>
        </is>
      </c>
    </row>
    <row r="663">
      <c r="A663" t="n">
        <v>128</v>
      </c>
      <c r="B663" t="inlineStr">
        <is>
          <t>Love Cabaret</t>
        </is>
      </c>
      <c r="C663" s="27" t="n">
        <v>45941</v>
      </c>
      <c r="D663" t="n">
        <v>0</v>
      </c>
      <c r="E663" t="inlineStr">
        <is>
          <t>DELIVERY ONLINE</t>
        </is>
      </c>
    </row>
    <row r="664">
      <c r="A664" t="n">
        <v>128</v>
      </c>
      <c r="B664" t="inlineStr">
        <is>
          <t>Love Cabaret</t>
        </is>
      </c>
      <c r="C664" s="27" t="n">
        <v>45941</v>
      </c>
      <c r="D664" t="n">
        <v>0</v>
      </c>
      <c r="E664" t="inlineStr">
        <is>
          <t>IFOOD</t>
        </is>
      </c>
    </row>
    <row r="665">
      <c r="A665" t="n">
        <v>128</v>
      </c>
      <c r="B665" t="inlineStr">
        <is>
          <t>Love Cabaret</t>
        </is>
      </c>
      <c r="C665" s="27" t="n">
        <v>45941</v>
      </c>
      <c r="D665" t="n">
        <v>1323.26</v>
      </c>
      <c r="E665" t="inlineStr">
        <is>
          <t>PIX</t>
        </is>
      </c>
    </row>
    <row r="666">
      <c r="A666" t="n">
        <v>128</v>
      </c>
      <c r="B666" t="inlineStr">
        <is>
          <t>Love Cabaret</t>
        </is>
      </c>
      <c r="C666" s="27" t="n">
        <v>45941</v>
      </c>
      <c r="D666" t="n">
        <v>0</v>
      </c>
      <c r="E666" t="inlineStr">
        <is>
          <t>RAPPI</t>
        </is>
      </c>
    </row>
    <row r="667">
      <c r="A667" t="n">
        <v>128</v>
      </c>
      <c r="B667" t="inlineStr">
        <is>
          <t>Love Cabaret</t>
        </is>
      </c>
      <c r="C667" s="27" t="n">
        <v>45940</v>
      </c>
      <c r="D667" t="n">
        <v>14326.16</v>
      </c>
      <c r="E667" t="inlineStr">
        <is>
          <t>CRÉDITO</t>
        </is>
      </c>
    </row>
    <row r="668">
      <c r="A668" t="n">
        <v>128</v>
      </c>
      <c r="B668" t="inlineStr">
        <is>
          <t>Love Cabaret</t>
        </is>
      </c>
      <c r="C668" s="27" t="n">
        <v>45940</v>
      </c>
      <c r="D668" t="n">
        <v>0</v>
      </c>
      <c r="E668" t="inlineStr">
        <is>
          <t>MBWAY</t>
        </is>
      </c>
    </row>
    <row r="669">
      <c r="A669" t="n">
        <v>128</v>
      </c>
      <c r="B669" t="inlineStr">
        <is>
          <t>Love Cabaret</t>
        </is>
      </c>
      <c r="C669" s="27" t="n">
        <v>45940</v>
      </c>
      <c r="D669" t="n">
        <v>200</v>
      </c>
      <c r="E669" t="inlineStr">
        <is>
          <t>DINHEIRO</t>
        </is>
      </c>
    </row>
    <row r="670">
      <c r="A670" t="n">
        <v>128</v>
      </c>
      <c r="B670" t="inlineStr">
        <is>
          <t>Love Cabaret</t>
        </is>
      </c>
      <c r="C670" s="27" t="n">
        <v>45940</v>
      </c>
      <c r="D670" t="n">
        <v>6</v>
      </c>
      <c r="E670" t="inlineStr">
        <is>
          <t>APP</t>
        </is>
      </c>
    </row>
    <row r="671">
      <c r="A671" t="n">
        <v>128</v>
      </c>
      <c r="B671" t="inlineStr">
        <is>
          <t>Love Cabaret</t>
        </is>
      </c>
      <c r="C671" s="27" t="n">
        <v>45940</v>
      </c>
      <c r="D671" t="n">
        <v>0</v>
      </c>
      <c r="E671" t="inlineStr">
        <is>
          <t>DELIVERY ONLINE</t>
        </is>
      </c>
    </row>
    <row r="672">
      <c r="A672" t="n">
        <v>128</v>
      </c>
      <c r="B672" t="inlineStr">
        <is>
          <t>Love Cabaret</t>
        </is>
      </c>
      <c r="C672" s="27" t="n">
        <v>45940</v>
      </c>
      <c r="D672" t="n">
        <v>0</v>
      </c>
      <c r="E672" t="inlineStr">
        <is>
          <t>IFOOD</t>
        </is>
      </c>
    </row>
    <row r="673">
      <c r="A673" t="n">
        <v>128</v>
      </c>
      <c r="B673" t="inlineStr">
        <is>
          <t>Love Cabaret</t>
        </is>
      </c>
      <c r="C673" s="27" t="n">
        <v>45940</v>
      </c>
      <c r="D673" t="n">
        <v>1219.08</v>
      </c>
      <c r="E673" t="inlineStr">
        <is>
          <t>PIX</t>
        </is>
      </c>
    </row>
    <row r="674">
      <c r="A674" t="n">
        <v>128</v>
      </c>
      <c r="B674" t="inlineStr">
        <is>
          <t>Love Cabaret</t>
        </is>
      </c>
      <c r="C674" s="27" t="n">
        <v>45940</v>
      </c>
      <c r="D674" t="n">
        <v>0</v>
      </c>
      <c r="E674" t="inlineStr">
        <is>
          <t>RAPPI</t>
        </is>
      </c>
    </row>
    <row r="675">
      <c r="A675" t="n">
        <v>128</v>
      </c>
      <c r="B675" t="inlineStr">
        <is>
          <t>Love Cabaret</t>
        </is>
      </c>
      <c r="C675" s="27" t="n">
        <v>45940</v>
      </c>
      <c r="D675" t="n">
        <v>0</v>
      </c>
      <c r="E675" t="inlineStr">
        <is>
          <t>UBER</t>
        </is>
      </c>
    </row>
    <row r="676">
      <c r="A676" t="n">
        <v>128</v>
      </c>
      <c r="B676" t="inlineStr">
        <is>
          <t>Love Cabaret</t>
        </is>
      </c>
      <c r="C676" s="27" t="n">
        <v>45940</v>
      </c>
      <c r="D676" t="n">
        <v>0</v>
      </c>
      <c r="E676" t="inlineStr">
        <is>
          <t>ANTECIPADO</t>
        </is>
      </c>
    </row>
    <row r="677">
      <c r="A677" t="n">
        <v>128</v>
      </c>
      <c r="B677" t="inlineStr">
        <is>
          <t>Love Cabaret</t>
        </is>
      </c>
      <c r="C677" s="27" t="n">
        <v>45940</v>
      </c>
      <c r="D677" t="n">
        <v>0</v>
      </c>
      <c r="E677" t="inlineStr">
        <is>
          <t>VOUCHER</t>
        </is>
      </c>
    </row>
    <row r="678">
      <c r="A678" t="n">
        <v>128</v>
      </c>
      <c r="B678" t="inlineStr">
        <is>
          <t>Love Cabaret</t>
        </is>
      </c>
      <c r="C678" s="27" t="n">
        <v>45940</v>
      </c>
      <c r="D678" t="n">
        <v>5618.52</v>
      </c>
      <c r="E678" t="inlineStr">
        <is>
          <t>DÉBITO</t>
        </is>
      </c>
    </row>
    <row r="679">
      <c r="A679" t="n">
        <v>128</v>
      </c>
      <c r="B679" t="inlineStr">
        <is>
          <t>Love Cabaret</t>
        </is>
      </c>
      <c r="C679" s="27" t="n">
        <v>45940</v>
      </c>
      <c r="D679" t="n">
        <v>0</v>
      </c>
      <c r="E679" t="inlineStr">
        <is>
          <t>BÔNUS</t>
        </is>
      </c>
    </row>
    <row r="680">
      <c r="A680" t="n">
        <v>128</v>
      </c>
      <c r="B680" t="inlineStr">
        <is>
          <t>Love Cabaret</t>
        </is>
      </c>
      <c r="C680" s="27" t="n">
        <v>45940</v>
      </c>
      <c r="D680" t="n">
        <v>0</v>
      </c>
      <c r="E680" t="inlineStr">
        <is>
          <t>ANTECIPADO</t>
        </is>
      </c>
    </row>
    <row r="681">
      <c r="A681" t="n">
        <v>128</v>
      </c>
      <c r="B681" t="inlineStr">
        <is>
          <t>Love Cabaret</t>
        </is>
      </c>
      <c r="C681" s="27" t="n">
        <v>45940</v>
      </c>
      <c r="D681" t="n">
        <v>0</v>
      </c>
      <c r="E681" t="inlineStr">
        <is>
          <t>OUTROS</t>
        </is>
      </c>
    </row>
    <row r="682">
      <c r="A682" t="n">
        <v>128</v>
      </c>
      <c r="B682" t="inlineStr">
        <is>
          <t>Love Cabaret</t>
        </is>
      </c>
      <c r="C682" s="27" t="n">
        <v>45940</v>
      </c>
      <c r="D682" t="n">
        <v>0</v>
      </c>
      <c r="E682" t="inlineStr">
        <is>
          <t>AME</t>
        </is>
      </c>
    </row>
    <row r="683">
      <c r="A683" t="n">
        <v>128</v>
      </c>
      <c r="B683" t="inlineStr">
        <is>
          <t>Love Cabaret</t>
        </is>
      </c>
      <c r="C683" s="27" t="n">
        <v>45940</v>
      </c>
      <c r="D683" t="n">
        <v>0</v>
      </c>
      <c r="E683" t="inlineStr">
        <is>
          <t>NOTAS MANUAIS + SERVIÇO</t>
        </is>
      </c>
    </row>
    <row r="684">
      <c r="A684" t="n">
        <v>128</v>
      </c>
      <c r="B684" t="inlineStr">
        <is>
          <t>Love Cabaret</t>
        </is>
      </c>
      <c r="C684" s="27" t="n">
        <v>45940</v>
      </c>
      <c r="D684" t="n">
        <v>0</v>
      </c>
      <c r="E684" t="inlineStr">
        <is>
          <t>RECARGAS DEVOLVIDAS</t>
        </is>
      </c>
    </row>
    <row r="685">
      <c r="A685" t="n">
        <v>128</v>
      </c>
      <c r="B685" t="inlineStr">
        <is>
          <t>Love Cabaret</t>
        </is>
      </c>
      <c r="C685" s="27" t="n">
        <v>45940</v>
      </c>
      <c r="D685" t="n">
        <v>0</v>
      </c>
      <c r="E685" t="inlineStr">
        <is>
          <t>VOUCHER INTEGRADO</t>
        </is>
      </c>
    </row>
    <row r="686">
      <c r="A686" t="n">
        <v>128</v>
      </c>
      <c r="B686" t="inlineStr">
        <is>
          <t>Love Cabaret</t>
        </is>
      </c>
      <c r="C686" s="27" t="n">
        <v>45939</v>
      </c>
      <c r="D686" t="n">
        <v>0</v>
      </c>
      <c r="E686" t="inlineStr">
        <is>
          <t>DELIVERY ONLINE</t>
        </is>
      </c>
    </row>
    <row r="687">
      <c r="A687" t="n">
        <v>128</v>
      </c>
      <c r="B687" t="inlineStr">
        <is>
          <t>Love Cabaret</t>
        </is>
      </c>
      <c r="C687" s="27" t="n">
        <v>45939</v>
      </c>
      <c r="D687" t="n">
        <v>0</v>
      </c>
      <c r="E687" t="inlineStr">
        <is>
          <t>IFOOD</t>
        </is>
      </c>
    </row>
    <row r="688">
      <c r="A688" t="n">
        <v>128</v>
      </c>
      <c r="B688" t="inlineStr">
        <is>
          <t>Love Cabaret</t>
        </is>
      </c>
      <c r="C688" s="27" t="n">
        <v>45939</v>
      </c>
      <c r="D688" t="n">
        <v>448.61</v>
      </c>
      <c r="E688" t="inlineStr">
        <is>
          <t>PIX</t>
        </is>
      </c>
    </row>
    <row r="689">
      <c r="A689" t="n">
        <v>128</v>
      </c>
      <c r="B689" t="inlineStr">
        <is>
          <t>Love Cabaret</t>
        </is>
      </c>
      <c r="C689" s="27" t="n">
        <v>45939</v>
      </c>
      <c r="D689" t="n">
        <v>0</v>
      </c>
      <c r="E689" t="inlineStr">
        <is>
          <t>RAPPI</t>
        </is>
      </c>
    </row>
    <row r="690">
      <c r="A690" t="n">
        <v>128</v>
      </c>
      <c r="B690" t="inlineStr">
        <is>
          <t>Love Cabaret</t>
        </is>
      </c>
      <c r="C690" s="27" t="n">
        <v>45939</v>
      </c>
      <c r="D690" t="n">
        <v>0</v>
      </c>
      <c r="E690" t="inlineStr">
        <is>
          <t>UBER</t>
        </is>
      </c>
    </row>
    <row r="691">
      <c r="A691" t="n">
        <v>128</v>
      </c>
      <c r="B691" t="inlineStr">
        <is>
          <t>Love Cabaret</t>
        </is>
      </c>
      <c r="C691" s="27" t="n">
        <v>45939</v>
      </c>
      <c r="D691" t="n">
        <v>0</v>
      </c>
      <c r="E691" t="inlineStr">
        <is>
          <t>APP</t>
        </is>
      </c>
    </row>
    <row r="692">
      <c r="A692" t="n">
        <v>128</v>
      </c>
      <c r="B692" t="inlineStr">
        <is>
          <t>Love Cabaret</t>
        </is>
      </c>
      <c r="C692" s="27" t="n">
        <v>45939</v>
      </c>
      <c r="D692" t="n">
        <v>0</v>
      </c>
      <c r="E692" t="inlineStr">
        <is>
          <t>DINHEIRO</t>
        </is>
      </c>
    </row>
    <row r="693">
      <c r="A693" t="n">
        <v>128</v>
      </c>
      <c r="B693" t="inlineStr">
        <is>
          <t>Love Cabaret</t>
        </is>
      </c>
      <c r="C693" s="27" t="n">
        <v>45939</v>
      </c>
      <c r="D693" t="n">
        <v>0</v>
      </c>
      <c r="E693" t="inlineStr">
        <is>
          <t>ANTECIPADO</t>
        </is>
      </c>
    </row>
    <row r="694">
      <c r="A694" t="n">
        <v>128</v>
      </c>
      <c r="B694" t="inlineStr">
        <is>
          <t>Love Cabaret</t>
        </is>
      </c>
      <c r="C694" s="27" t="n">
        <v>45939</v>
      </c>
      <c r="D694" t="n">
        <v>0</v>
      </c>
      <c r="E694" t="inlineStr">
        <is>
          <t>VOUCHER</t>
        </is>
      </c>
    </row>
    <row r="695">
      <c r="A695" t="n">
        <v>128</v>
      </c>
      <c r="B695" t="inlineStr">
        <is>
          <t>Love Cabaret</t>
        </is>
      </c>
      <c r="C695" s="27" t="n">
        <v>45939</v>
      </c>
      <c r="D695" t="n">
        <v>1703.18</v>
      </c>
      <c r="E695" t="inlineStr">
        <is>
          <t>DÉBITO</t>
        </is>
      </c>
    </row>
    <row r="696">
      <c r="A696" t="n">
        <v>128</v>
      </c>
      <c r="B696" t="inlineStr">
        <is>
          <t>Love Cabaret</t>
        </is>
      </c>
      <c r="C696" s="27" t="n">
        <v>45939</v>
      </c>
      <c r="D696" t="n">
        <v>4862.81</v>
      </c>
      <c r="E696" t="inlineStr">
        <is>
          <t>CRÉDITO</t>
        </is>
      </c>
    </row>
    <row r="697">
      <c r="A697" t="n">
        <v>128</v>
      </c>
      <c r="B697" t="inlineStr">
        <is>
          <t>Love Cabaret</t>
        </is>
      </c>
      <c r="C697" s="27" t="n">
        <v>45939</v>
      </c>
      <c r="D697" t="n">
        <v>0</v>
      </c>
      <c r="E697" t="inlineStr">
        <is>
          <t>BÔNUS</t>
        </is>
      </c>
    </row>
    <row r="698">
      <c r="A698" t="n">
        <v>128</v>
      </c>
      <c r="B698" t="inlineStr">
        <is>
          <t>Love Cabaret</t>
        </is>
      </c>
      <c r="C698" s="27" t="n">
        <v>45939</v>
      </c>
      <c r="D698" t="n">
        <v>0</v>
      </c>
      <c r="E698" t="inlineStr">
        <is>
          <t>ANTECIPADO</t>
        </is>
      </c>
    </row>
    <row r="699">
      <c r="A699" t="n">
        <v>128</v>
      </c>
      <c r="B699" t="inlineStr">
        <is>
          <t>Love Cabaret</t>
        </is>
      </c>
      <c r="C699" s="27" t="n">
        <v>45939</v>
      </c>
      <c r="D699" t="n">
        <v>0</v>
      </c>
      <c r="E699" t="inlineStr">
        <is>
          <t>OUTROS</t>
        </is>
      </c>
    </row>
    <row r="700">
      <c r="A700" t="n">
        <v>128</v>
      </c>
      <c r="B700" t="inlineStr">
        <is>
          <t>Love Cabaret</t>
        </is>
      </c>
      <c r="C700" s="27" t="n">
        <v>45939</v>
      </c>
      <c r="D700" t="n">
        <v>0</v>
      </c>
      <c r="E700" t="inlineStr">
        <is>
          <t>AME</t>
        </is>
      </c>
    </row>
    <row r="701">
      <c r="A701" t="n">
        <v>128</v>
      </c>
      <c r="B701" t="inlineStr">
        <is>
          <t>Love Cabaret</t>
        </is>
      </c>
      <c r="C701" s="27" t="n">
        <v>45939</v>
      </c>
      <c r="D701" t="n">
        <v>0</v>
      </c>
      <c r="E701" t="inlineStr">
        <is>
          <t>NOTAS MANUAIS + SERVIÇO</t>
        </is>
      </c>
    </row>
    <row r="702">
      <c r="A702" t="n">
        <v>128</v>
      </c>
      <c r="B702" t="inlineStr">
        <is>
          <t>Love Cabaret</t>
        </is>
      </c>
      <c r="C702" s="27" t="n">
        <v>45939</v>
      </c>
      <c r="D702" t="n">
        <v>0</v>
      </c>
      <c r="E702" t="inlineStr">
        <is>
          <t>RECARGAS DEVOLVIDAS</t>
        </is>
      </c>
    </row>
    <row r="703">
      <c r="A703" t="n">
        <v>128</v>
      </c>
      <c r="B703" t="inlineStr">
        <is>
          <t>Love Cabaret</t>
        </is>
      </c>
      <c r="C703" s="27" t="n">
        <v>45939</v>
      </c>
      <c r="D703" t="n">
        <v>0</v>
      </c>
      <c r="E703" t="inlineStr">
        <is>
          <t>VOUCHER INTEGRADO</t>
        </is>
      </c>
    </row>
    <row r="704">
      <c r="A704" t="n">
        <v>128</v>
      </c>
      <c r="B704" t="inlineStr">
        <is>
          <t>Love Cabaret</t>
        </is>
      </c>
      <c r="C704" s="27" t="n">
        <v>45939</v>
      </c>
      <c r="D704" t="n">
        <v>0</v>
      </c>
      <c r="E704" t="inlineStr">
        <is>
          <t>MBWAY</t>
        </is>
      </c>
    </row>
    <row r="705">
      <c r="A705" t="n">
        <v>128</v>
      </c>
      <c r="B705" t="inlineStr">
        <is>
          <t>Love Cabaret</t>
        </is>
      </c>
      <c r="C705" s="27" t="n">
        <v>45934</v>
      </c>
      <c r="D705" t="n">
        <v>0</v>
      </c>
      <c r="E705" t="inlineStr">
        <is>
          <t>ANTECIPADO</t>
        </is>
      </c>
    </row>
    <row r="706">
      <c r="A706" t="n">
        <v>128</v>
      </c>
      <c r="B706" t="inlineStr">
        <is>
          <t>Love Cabaret</t>
        </is>
      </c>
      <c r="C706" s="27" t="n">
        <v>45934</v>
      </c>
      <c r="D706" t="n">
        <v>0</v>
      </c>
      <c r="E706" t="inlineStr">
        <is>
          <t>UBER</t>
        </is>
      </c>
    </row>
    <row r="707">
      <c r="A707" t="n">
        <v>128</v>
      </c>
      <c r="B707" t="inlineStr">
        <is>
          <t>Love Cabaret</t>
        </is>
      </c>
      <c r="C707" s="27" t="n">
        <v>45934</v>
      </c>
      <c r="D707" t="n">
        <v>0</v>
      </c>
      <c r="E707" t="inlineStr">
        <is>
          <t>RAPPI</t>
        </is>
      </c>
    </row>
    <row r="708">
      <c r="A708" t="n">
        <v>128</v>
      </c>
      <c r="B708" t="inlineStr">
        <is>
          <t>Love Cabaret</t>
        </is>
      </c>
      <c r="C708" s="27" t="n">
        <v>45934</v>
      </c>
      <c r="D708" t="n">
        <v>848.02</v>
      </c>
      <c r="E708" t="inlineStr">
        <is>
          <t>PIX</t>
        </is>
      </c>
    </row>
    <row r="709">
      <c r="A709" t="n">
        <v>128</v>
      </c>
      <c r="B709" t="inlineStr">
        <is>
          <t>Love Cabaret</t>
        </is>
      </c>
      <c r="C709" s="27" t="n">
        <v>45934</v>
      </c>
      <c r="D709" t="n">
        <v>0</v>
      </c>
      <c r="E709" t="inlineStr">
        <is>
          <t>IFOOD</t>
        </is>
      </c>
    </row>
    <row r="710">
      <c r="A710" t="n">
        <v>128</v>
      </c>
      <c r="B710" t="inlineStr">
        <is>
          <t>Love Cabaret</t>
        </is>
      </c>
      <c r="C710" s="27" t="n">
        <v>45934</v>
      </c>
      <c r="D710" t="n">
        <v>0</v>
      </c>
      <c r="E710" t="inlineStr">
        <is>
          <t>DELIVERY ONLINE</t>
        </is>
      </c>
    </row>
    <row r="711">
      <c r="A711" t="n">
        <v>128</v>
      </c>
      <c r="B711" t="inlineStr">
        <is>
          <t>Love Cabaret</t>
        </is>
      </c>
      <c r="C711" s="27" t="n">
        <v>45934</v>
      </c>
      <c r="D711" t="n">
        <v>0</v>
      </c>
      <c r="E711" t="inlineStr">
        <is>
          <t>APP</t>
        </is>
      </c>
    </row>
    <row r="712">
      <c r="A712" t="n">
        <v>128</v>
      </c>
      <c r="B712" t="inlineStr">
        <is>
          <t>Love Cabaret</t>
        </is>
      </c>
      <c r="C712" s="27" t="n">
        <v>45934</v>
      </c>
      <c r="D712" t="n">
        <v>0</v>
      </c>
      <c r="E712" t="inlineStr">
        <is>
          <t>VOUCHER</t>
        </is>
      </c>
    </row>
    <row r="713">
      <c r="A713" t="n">
        <v>128</v>
      </c>
      <c r="B713" t="inlineStr">
        <is>
          <t>Love Cabaret</t>
        </is>
      </c>
      <c r="C713" s="27" t="n">
        <v>45934</v>
      </c>
      <c r="D713" t="n">
        <v>4950.59</v>
      </c>
      <c r="E713" t="inlineStr">
        <is>
          <t>DÉBITO</t>
        </is>
      </c>
    </row>
    <row r="714">
      <c r="A714" t="n">
        <v>128</v>
      </c>
      <c r="B714" t="inlineStr">
        <is>
          <t>Love Cabaret</t>
        </is>
      </c>
      <c r="C714" s="27" t="n">
        <v>45934</v>
      </c>
      <c r="D714" t="n">
        <v>0</v>
      </c>
      <c r="E714" t="inlineStr">
        <is>
          <t>BÔNUS</t>
        </is>
      </c>
    </row>
    <row r="715">
      <c r="A715" t="n">
        <v>128</v>
      </c>
      <c r="B715" t="inlineStr">
        <is>
          <t>Love Cabaret</t>
        </is>
      </c>
      <c r="C715" s="27" t="n">
        <v>45934</v>
      </c>
      <c r="D715" t="n">
        <v>4</v>
      </c>
      <c r="E715" t="inlineStr">
        <is>
          <t>DINHEIRO</t>
        </is>
      </c>
    </row>
    <row r="716">
      <c r="A716" t="n">
        <v>128</v>
      </c>
      <c r="B716" t="inlineStr">
        <is>
          <t>Love Cabaret</t>
        </is>
      </c>
      <c r="C716" s="27" t="n">
        <v>45934</v>
      </c>
      <c r="D716" t="n">
        <v>0</v>
      </c>
      <c r="E716" t="inlineStr">
        <is>
          <t>AME</t>
        </is>
      </c>
    </row>
    <row r="717">
      <c r="A717" t="n">
        <v>128</v>
      </c>
      <c r="B717" t="inlineStr">
        <is>
          <t>Love Cabaret</t>
        </is>
      </c>
      <c r="C717" s="27" t="n">
        <v>45934</v>
      </c>
      <c r="D717" t="n">
        <v>0</v>
      </c>
      <c r="E717" t="inlineStr">
        <is>
          <t>NOTAS MANUAIS + SERVIÇO</t>
        </is>
      </c>
    </row>
    <row r="718">
      <c r="A718" t="n">
        <v>128</v>
      </c>
      <c r="B718" t="inlineStr">
        <is>
          <t>Love Cabaret</t>
        </is>
      </c>
      <c r="C718" s="27" t="n">
        <v>45934</v>
      </c>
      <c r="D718" t="n">
        <v>0</v>
      </c>
      <c r="E718" t="inlineStr">
        <is>
          <t>RECARGAS DEVOLVIDAS</t>
        </is>
      </c>
    </row>
    <row r="719">
      <c r="A719" t="n">
        <v>128</v>
      </c>
      <c r="B719" t="inlineStr">
        <is>
          <t>Love Cabaret</t>
        </is>
      </c>
      <c r="C719" s="27" t="n">
        <v>45934</v>
      </c>
      <c r="D719" t="n">
        <v>0</v>
      </c>
      <c r="E719" t="inlineStr">
        <is>
          <t>VOUCHER INTEGRADO</t>
        </is>
      </c>
    </row>
    <row r="720">
      <c r="A720" t="n">
        <v>128</v>
      </c>
      <c r="B720" t="inlineStr">
        <is>
          <t>Love Cabaret</t>
        </is>
      </c>
      <c r="C720" s="27" t="n">
        <v>45934</v>
      </c>
      <c r="D720" t="n">
        <v>0</v>
      </c>
      <c r="E720" t="inlineStr">
        <is>
          <t>MBWAY</t>
        </is>
      </c>
    </row>
    <row r="721">
      <c r="A721" t="n">
        <v>128</v>
      </c>
      <c r="B721" t="inlineStr">
        <is>
          <t>Love Cabaret</t>
        </is>
      </c>
      <c r="C721" s="27" t="n">
        <v>45934</v>
      </c>
      <c r="D721" t="n">
        <v>0</v>
      </c>
      <c r="E721" t="inlineStr">
        <is>
          <t>OUTROS</t>
        </is>
      </c>
    </row>
    <row r="722">
      <c r="A722" t="n">
        <v>128</v>
      </c>
      <c r="B722" t="inlineStr">
        <is>
          <t>Love Cabaret</t>
        </is>
      </c>
      <c r="C722" s="27" t="n">
        <v>45934</v>
      </c>
      <c r="D722" t="n">
        <v>0</v>
      </c>
      <c r="E722" t="inlineStr">
        <is>
          <t>ANTECIPADO</t>
        </is>
      </c>
    </row>
    <row r="723">
      <c r="A723" t="n">
        <v>128</v>
      </c>
      <c r="B723" t="inlineStr">
        <is>
          <t>Love Cabaret</t>
        </is>
      </c>
      <c r="C723" s="27" t="n">
        <v>45934</v>
      </c>
      <c r="D723" t="n">
        <v>8273.040000000001</v>
      </c>
      <c r="E723" t="inlineStr">
        <is>
          <t>CRÉDITO</t>
        </is>
      </c>
    </row>
    <row r="724">
      <c r="A724" t="n">
        <v>128</v>
      </c>
      <c r="B724" t="inlineStr">
        <is>
          <t>Love Cabaret</t>
        </is>
      </c>
      <c r="C724" s="27" t="n">
        <v>45933</v>
      </c>
      <c r="D724" t="n">
        <v>0</v>
      </c>
      <c r="E724" t="inlineStr">
        <is>
          <t>DELIVERY ONLINE</t>
        </is>
      </c>
    </row>
    <row r="725">
      <c r="A725" t="n">
        <v>128</v>
      </c>
      <c r="B725" t="inlineStr">
        <is>
          <t>Love Cabaret</t>
        </is>
      </c>
      <c r="C725" s="27" t="n">
        <v>45933</v>
      </c>
      <c r="D725" t="n">
        <v>0</v>
      </c>
      <c r="E725" t="inlineStr">
        <is>
          <t>IFOOD</t>
        </is>
      </c>
    </row>
    <row r="726">
      <c r="A726" t="n">
        <v>128</v>
      </c>
      <c r="B726" t="inlineStr">
        <is>
          <t>Love Cabaret</t>
        </is>
      </c>
      <c r="C726" s="27" t="n">
        <v>45933</v>
      </c>
      <c r="D726" t="n">
        <v>1782.53</v>
      </c>
      <c r="E726" t="inlineStr">
        <is>
          <t>PIX</t>
        </is>
      </c>
    </row>
    <row r="727">
      <c r="A727" t="n">
        <v>128</v>
      </c>
      <c r="B727" t="inlineStr">
        <is>
          <t>Love Cabaret</t>
        </is>
      </c>
      <c r="C727" s="27" t="n">
        <v>45933</v>
      </c>
      <c r="D727" t="n">
        <v>0</v>
      </c>
      <c r="E727" t="inlineStr">
        <is>
          <t>RAPPI</t>
        </is>
      </c>
    </row>
    <row r="728">
      <c r="A728" t="n">
        <v>128</v>
      </c>
      <c r="B728" t="inlineStr">
        <is>
          <t>Love Cabaret</t>
        </is>
      </c>
      <c r="C728" s="27" t="n">
        <v>45933</v>
      </c>
      <c r="D728" t="n">
        <v>0</v>
      </c>
      <c r="E728" t="inlineStr">
        <is>
          <t>APP</t>
        </is>
      </c>
    </row>
    <row r="729">
      <c r="A729" t="n">
        <v>128</v>
      </c>
      <c r="B729" t="inlineStr">
        <is>
          <t>Love Cabaret</t>
        </is>
      </c>
      <c r="C729" s="27" t="n">
        <v>45933</v>
      </c>
      <c r="D729" t="n">
        <v>0</v>
      </c>
      <c r="E729" t="inlineStr">
        <is>
          <t>DINHEIRO</t>
        </is>
      </c>
    </row>
    <row r="730">
      <c r="A730" t="n">
        <v>128</v>
      </c>
      <c r="B730" t="inlineStr">
        <is>
          <t>Love Cabaret</t>
        </is>
      </c>
      <c r="C730" s="27" t="n">
        <v>45933</v>
      </c>
      <c r="D730" t="n">
        <v>16029.96</v>
      </c>
      <c r="E730" t="inlineStr">
        <is>
          <t>CRÉDITO</t>
        </is>
      </c>
    </row>
    <row r="731">
      <c r="A731" t="n">
        <v>128</v>
      </c>
      <c r="B731" t="inlineStr">
        <is>
          <t>Love Cabaret</t>
        </is>
      </c>
      <c r="C731" s="27" t="n">
        <v>45933</v>
      </c>
      <c r="D731" t="n">
        <v>0</v>
      </c>
      <c r="E731" t="inlineStr">
        <is>
          <t>OUTROS</t>
        </is>
      </c>
    </row>
    <row r="732">
      <c r="A732" t="n">
        <v>128</v>
      </c>
      <c r="B732" t="inlineStr">
        <is>
          <t>Love Cabaret</t>
        </is>
      </c>
      <c r="C732" s="27" t="n">
        <v>45933</v>
      </c>
      <c r="D732" t="n">
        <v>0</v>
      </c>
      <c r="E732" t="inlineStr">
        <is>
          <t>VOUCHER INTEGRADO</t>
        </is>
      </c>
    </row>
    <row r="733">
      <c r="A733" t="n">
        <v>128</v>
      </c>
      <c r="B733" t="inlineStr">
        <is>
          <t>Love Cabaret</t>
        </is>
      </c>
      <c r="C733" s="27" t="n">
        <v>45933</v>
      </c>
      <c r="D733" t="n">
        <v>0</v>
      </c>
      <c r="E733" t="inlineStr">
        <is>
          <t>AME</t>
        </is>
      </c>
    </row>
    <row r="734">
      <c r="A734" t="n">
        <v>128</v>
      </c>
      <c r="B734" t="inlineStr">
        <is>
          <t>Love Cabaret</t>
        </is>
      </c>
      <c r="C734" s="27" t="n">
        <v>45933</v>
      </c>
      <c r="D734" t="n">
        <v>0</v>
      </c>
      <c r="E734" t="inlineStr">
        <is>
          <t>ANTECIPADO</t>
        </is>
      </c>
    </row>
    <row r="735">
      <c r="A735" t="n">
        <v>128</v>
      </c>
      <c r="B735" t="inlineStr">
        <is>
          <t>Love Cabaret</t>
        </is>
      </c>
      <c r="C735" s="27" t="n">
        <v>45933</v>
      </c>
      <c r="D735" t="n">
        <v>0</v>
      </c>
      <c r="E735" t="inlineStr">
        <is>
          <t>BÔNUS</t>
        </is>
      </c>
    </row>
    <row r="736">
      <c r="A736" t="n">
        <v>128</v>
      </c>
      <c r="B736" t="inlineStr">
        <is>
          <t>Love Cabaret</t>
        </is>
      </c>
      <c r="C736" s="27" t="n">
        <v>45933</v>
      </c>
      <c r="D736" t="n">
        <v>6050.19</v>
      </c>
      <c r="E736" t="inlineStr">
        <is>
          <t>DÉBITO</t>
        </is>
      </c>
    </row>
    <row r="737">
      <c r="A737" t="n">
        <v>128</v>
      </c>
      <c r="B737" t="inlineStr">
        <is>
          <t>Love Cabaret</t>
        </is>
      </c>
      <c r="C737" s="27" t="n">
        <v>45933</v>
      </c>
      <c r="D737" t="n">
        <v>0</v>
      </c>
      <c r="E737" t="inlineStr">
        <is>
          <t>VOUCHER</t>
        </is>
      </c>
    </row>
    <row r="738">
      <c r="A738" t="n">
        <v>128</v>
      </c>
      <c r="B738" t="inlineStr">
        <is>
          <t>Love Cabaret</t>
        </is>
      </c>
      <c r="C738" s="27" t="n">
        <v>45933</v>
      </c>
      <c r="D738" t="n">
        <v>0</v>
      </c>
      <c r="E738" t="inlineStr">
        <is>
          <t>ANTECIPADO</t>
        </is>
      </c>
    </row>
    <row r="739">
      <c r="A739" t="n">
        <v>128</v>
      </c>
      <c r="B739" t="inlineStr">
        <is>
          <t>Love Cabaret</t>
        </is>
      </c>
      <c r="C739" s="27" t="n">
        <v>45933</v>
      </c>
      <c r="D739" t="n">
        <v>0</v>
      </c>
      <c r="E739" t="inlineStr">
        <is>
          <t>UBER</t>
        </is>
      </c>
    </row>
    <row r="740">
      <c r="A740" t="n">
        <v>128</v>
      </c>
      <c r="B740" t="inlineStr">
        <is>
          <t>Love Cabaret</t>
        </is>
      </c>
      <c r="C740" s="27" t="n">
        <v>45933</v>
      </c>
      <c r="D740" t="n">
        <v>0</v>
      </c>
      <c r="E740" t="inlineStr">
        <is>
          <t>NOTAS MANUAIS + SERVIÇO</t>
        </is>
      </c>
    </row>
    <row r="741">
      <c r="A741" t="n">
        <v>128</v>
      </c>
      <c r="B741" t="inlineStr">
        <is>
          <t>Love Cabaret</t>
        </is>
      </c>
      <c r="C741" s="27" t="n">
        <v>45933</v>
      </c>
      <c r="D741" t="n">
        <v>0</v>
      </c>
      <c r="E741" t="inlineStr">
        <is>
          <t>RECARGAS DEVOLVIDAS</t>
        </is>
      </c>
    </row>
    <row r="742">
      <c r="A742" t="n">
        <v>128</v>
      </c>
      <c r="B742" t="inlineStr">
        <is>
          <t>Love Cabaret</t>
        </is>
      </c>
      <c r="C742" s="27" t="n">
        <v>45933</v>
      </c>
      <c r="D742" t="n">
        <v>0</v>
      </c>
      <c r="E742" t="inlineStr">
        <is>
          <t>MBWAY</t>
        </is>
      </c>
    </row>
    <row r="743">
      <c r="A743" t="n">
        <v>128</v>
      </c>
      <c r="B743" t="inlineStr">
        <is>
          <t>Love Cabaret</t>
        </is>
      </c>
      <c r="C743" s="27" t="n">
        <v>45932</v>
      </c>
      <c r="D743" t="n">
        <v>0</v>
      </c>
      <c r="E743" t="inlineStr">
        <is>
          <t>ANTECIPADO</t>
        </is>
      </c>
    </row>
    <row r="744">
      <c r="A744" t="n">
        <v>128</v>
      </c>
      <c r="B744" t="inlineStr">
        <is>
          <t>Love Cabaret</t>
        </is>
      </c>
      <c r="C744" s="27" t="n">
        <v>45932</v>
      </c>
      <c r="D744" t="n">
        <v>0</v>
      </c>
      <c r="E744" t="inlineStr">
        <is>
          <t>AME</t>
        </is>
      </c>
    </row>
    <row r="745">
      <c r="A745" t="n">
        <v>128</v>
      </c>
      <c r="B745" t="inlineStr">
        <is>
          <t>Love Cabaret</t>
        </is>
      </c>
      <c r="C745" s="27" t="n">
        <v>45932</v>
      </c>
      <c r="D745" t="n">
        <v>0</v>
      </c>
      <c r="E745" t="inlineStr">
        <is>
          <t>NOTAS MANUAIS + SERVIÇO</t>
        </is>
      </c>
    </row>
    <row r="746">
      <c r="A746" t="n">
        <v>128</v>
      </c>
      <c r="B746" t="inlineStr">
        <is>
          <t>Love Cabaret</t>
        </is>
      </c>
      <c r="C746" s="27" t="n">
        <v>45932</v>
      </c>
      <c r="D746" t="n">
        <v>0</v>
      </c>
      <c r="E746" t="inlineStr">
        <is>
          <t>RECARGAS DEVOLVIDAS</t>
        </is>
      </c>
    </row>
    <row r="747">
      <c r="A747" t="n">
        <v>128</v>
      </c>
      <c r="B747" t="inlineStr">
        <is>
          <t>Love Cabaret</t>
        </is>
      </c>
      <c r="C747" s="27" t="n">
        <v>45932</v>
      </c>
      <c r="D747" t="n">
        <v>0</v>
      </c>
      <c r="E747" t="inlineStr">
        <is>
          <t>VOUCHER INTEGRADO</t>
        </is>
      </c>
    </row>
    <row r="748">
      <c r="A748" t="n">
        <v>128</v>
      </c>
      <c r="B748" t="inlineStr">
        <is>
          <t>Love Cabaret</t>
        </is>
      </c>
      <c r="C748" s="27" t="n">
        <v>45932</v>
      </c>
      <c r="D748" t="n">
        <v>0</v>
      </c>
      <c r="E748" t="inlineStr">
        <is>
          <t>MBWAY</t>
        </is>
      </c>
    </row>
    <row r="749">
      <c r="A749" t="n">
        <v>128</v>
      </c>
      <c r="B749" t="inlineStr">
        <is>
          <t>Love Cabaret</t>
        </is>
      </c>
      <c r="C749" s="27" t="n">
        <v>45932</v>
      </c>
      <c r="D749" t="n">
        <v>0</v>
      </c>
      <c r="E749" t="inlineStr">
        <is>
          <t>OUTROS</t>
        </is>
      </c>
    </row>
    <row r="750">
      <c r="A750" t="n">
        <v>128</v>
      </c>
      <c r="B750" t="inlineStr">
        <is>
          <t>Love Cabaret</t>
        </is>
      </c>
      <c r="C750" s="27" t="n">
        <v>45932</v>
      </c>
      <c r="D750" t="n">
        <v>0</v>
      </c>
      <c r="E750" t="inlineStr">
        <is>
          <t>ANTECIPADO</t>
        </is>
      </c>
    </row>
    <row r="751">
      <c r="A751" t="n">
        <v>128</v>
      </c>
      <c r="B751" t="inlineStr">
        <is>
          <t>Love Cabaret</t>
        </is>
      </c>
      <c r="C751" s="27" t="n">
        <v>45932</v>
      </c>
      <c r="D751" t="n">
        <v>0</v>
      </c>
      <c r="E751" t="inlineStr">
        <is>
          <t>BÔNUS</t>
        </is>
      </c>
    </row>
    <row r="752">
      <c r="A752" t="n">
        <v>128</v>
      </c>
      <c r="B752" t="inlineStr">
        <is>
          <t>Love Cabaret</t>
        </is>
      </c>
      <c r="C752" s="27" t="n">
        <v>45932</v>
      </c>
      <c r="D752" t="n">
        <v>2253.55</v>
      </c>
      <c r="E752" t="inlineStr">
        <is>
          <t>DÉBITO</t>
        </is>
      </c>
    </row>
    <row r="753">
      <c r="A753" t="n">
        <v>128</v>
      </c>
      <c r="B753" t="inlineStr">
        <is>
          <t>Love Cabaret</t>
        </is>
      </c>
      <c r="C753" s="27" t="n">
        <v>45932</v>
      </c>
      <c r="D753" t="n">
        <v>0</v>
      </c>
      <c r="E753" t="inlineStr">
        <is>
          <t>VOUCHER</t>
        </is>
      </c>
    </row>
    <row r="754">
      <c r="A754" t="n">
        <v>128</v>
      </c>
      <c r="B754" t="inlineStr">
        <is>
          <t>Love Cabaret</t>
        </is>
      </c>
      <c r="C754" s="27" t="n">
        <v>45932</v>
      </c>
      <c r="D754" t="n">
        <v>0</v>
      </c>
      <c r="E754" t="inlineStr">
        <is>
          <t>IFOOD</t>
        </is>
      </c>
    </row>
    <row r="755">
      <c r="A755" t="n">
        <v>128</v>
      </c>
      <c r="B755" t="inlineStr">
        <is>
          <t>Love Cabaret</t>
        </is>
      </c>
      <c r="C755" s="27" t="n">
        <v>45932</v>
      </c>
      <c r="D755" t="n">
        <v>0</v>
      </c>
      <c r="E755" t="inlineStr">
        <is>
          <t>UBER</t>
        </is>
      </c>
    </row>
    <row r="756">
      <c r="A756" t="n">
        <v>128</v>
      </c>
      <c r="B756" t="inlineStr">
        <is>
          <t>Love Cabaret</t>
        </is>
      </c>
      <c r="C756" s="27" t="n">
        <v>45932</v>
      </c>
      <c r="D756" t="n">
        <v>4399.67</v>
      </c>
      <c r="E756" t="inlineStr">
        <is>
          <t>CRÉDITO</t>
        </is>
      </c>
    </row>
    <row r="757">
      <c r="A757" t="n">
        <v>128</v>
      </c>
      <c r="B757" t="inlineStr">
        <is>
          <t>Love Cabaret</t>
        </is>
      </c>
      <c r="C757" s="27" t="n">
        <v>45932</v>
      </c>
      <c r="D757" t="n">
        <v>148.03</v>
      </c>
      <c r="E757" t="inlineStr">
        <is>
          <t>DINHEIRO</t>
        </is>
      </c>
    </row>
    <row r="758">
      <c r="A758" t="n">
        <v>128</v>
      </c>
      <c r="B758" t="inlineStr">
        <is>
          <t>Love Cabaret</t>
        </is>
      </c>
      <c r="C758" s="27" t="n">
        <v>45932</v>
      </c>
      <c r="D758" t="n">
        <v>0</v>
      </c>
      <c r="E758" t="inlineStr">
        <is>
          <t>APP</t>
        </is>
      </c>
    </row>
    <row r="759">
      <c r="A759" t="n">
        <v>128</v>
      </c>
      <c r="B759" t="inlineStr">
        <is>
          <t>Love Cabaret</t>
        </is>
      </c>
      <c r="C759" s="27" t="n">
        <v>45932</v>
      </c>
      <c r="D759" t="n">
        <v>0</v>
      </c>
      <c r="E759" t="inlineStr">
        <is>
          <t>DELIVERY ONLINE</t>
        </is>
      </c>
    </row>
    <row r="760">
      <c r="A760" t="n">
        <v>128</v>
      </c>
      <c r="B760" t="inlineStr">
        <is>
          <t>Love Cabaret</t>
        </is>
      </c>
      <c r="C760" s="27" t="n">
        <v>45932</v>
      </c>
      <c r="D760" t="n">
        <v>0</v>
      </c>
      <c r="E760" t="inlineStr">
        <is>
          <t>RAPPI</t>
        </is>
      </c>
    </row>
    <row r="761">
      <c r="A761" t="n">
        <v>128</v>
      </c>
      <c r="B761" t="inlineStr">
        <is>
          <t>Love Cabaret</t>
        </is>
      </c>
      <c r="C761" s="27" t="n">
        <v>45932</v>
      </c>
      <c r="D761" t="n">
        <v>826.42</v>
      </c>
      <c r="E761" t="inlineStr">
        <is>
          <t>PIX</t>
        </is>
      </c>
    </row>
    <row r="762">
      <c r="A762" t="n">
        <v>128</v>
      </c>
      <c r="B762" t="inlineStr">
        <is>
          <t>Love Cabaret</t>
        </is>
      </c>
      <c r="C762" s="27" t="n">
        <v>45927</v>
      </c>
      <c r="D762" t="n">
        <v>0</v>
      </c>
      <c r="E762" t="inlineStr">
        <is>
          <t>BÔNUS</t>
        </is>
      </c>
    </row>
    <row r="763">
      <c r="A763" t="n">
        <v>128</v>
      </c>
      <c r="B763" t="inlineStr">
        <is>
          <t>Love Cabaret</t>
        </is>
      </c>
      <c r="C763" s="27" t="n">
        <v>45927</v>
      </c>
      <c r="D763" t="n">
        <v>0</v>
      </c>
      <c r="E763" t="inlineStr">
        <is>
          <t>UBER</t>
        </is>
      </c>
    </row>
    <row r="764">
      <c r="A764" t="n">
        <v>128</v>
      </c>
      <c r="B764" t="inlineStr">
        <is>
          <t>Love Cabaret</t>
        </is>
      </c>
      <c r="C764" s="27" t="n">
        <v>45927</v>
      </c>
      <c r="D764" t="n">
        <v>0</v>
      </c>
      <c r="E764" t="inlineStr">
        <is>
          <t>RAPPI</t>
        </is>
      </c>
    </row>
    <row r="765">
      <c r="A765" t="n">
        <v>128</v>
      </c>
      <c r="B765" t="inlineStr">
        <is>
          <t>Love Cabaret</t>
        </is>
      </c>
      <c r="C765" s="27" t="n">
        <v>45927</v>
      </c>
      <c r="D765" t="n">
        <v>1398.27</v>
      </c>
      <c r="E765" t="inlineStr">
        <is>
          <t>PIX</t>
        </is>
      </c>
    </row>
    <row r="766">
      <c r="A766" t="n">
        <v>128</v>
      </c>
      <c r="B766" t="inlineStr">
        <is>
          <t>Love Cabaret</t>
        </is>
      </c>
      <c r="C766" s="27" t="n">
        <v>45927</v>
      </c>
      <c r="D766" t="n">
        <v>0</v>
      </c>
      <c r="E766" t="inlineStr">
        <is>
          <t>IFOOD</t>
        </is>
      </c>
    </row>
    <row r="767">
      <c r="A767" t="n">
        <v>128</v>
      </c>
      <c r="B767" t="inlineStr">
        <is>
          <t>Love Cabaret</t>
        </is>
      </c>
      <c r="C767" s="27" t="n">
        <v>45927</v>
      </c>
      <c r="D767" t="n">
        <v>0</v>
      </c>
      <c r="E767" t="inlineStr">
        <is>
          <t>DELIVERY ONLINE</t>
        </is>
      </c>
    </row>
    <row r="768">
      <c r="A768" t="n">
        <v>128</v>
      </c>
      <c r="B768" t="inlineStr">
        <is>
          <t>Love Cabaret</t>
        </is>
      </c>
      <c r="C768" s="27" t="n">
        <v>45927</v>
      </c>
      <c r="D768" t="n">
        <v>0.5</v>
      </c>
      <c r="E768" t="inlineStr">
        <is>
          <t>APP</t>
        </is>
      </c>
    </row>
    <row r="769">
      <c r="A769" t="n">
        <v>128</v>
      </c>
      <c r="B769" t="inlineStr">
        <is>
          <t>Love Cabaret</t>
        </is>
      </c>
      <c r="C769" s="27" t="n">
        <v>45927</v>
      </c>
      <c r="D769" t="n">
        <v>846</v>
      </c>
      <c r="E769" t="inlineStr">
        <is>
          <t>DINHEIRO</t>
        </is>
      </c>
    </row>
    <row r="770">
      <c r="A770" t="n">
        <v>128</v>
      </c>
      <c r="B770" t="inlineStr">
        <is>
          <t>Love Cabaret</t>
        </is>
      </c>
      <c r="C770" s="27" t="n">
        <v>45927</v>
      </c>
      <c r="D770" t="n">
        <v>16698.29</v>
      </c>
      <c r="E770" t="inlineStr">
        <is>
          <t>CRÉDITO</t>
        </is>
      </c>
    </row>
    <row r="771">
      <c r="A771" t="n">
        <v>128</v>
      </c>
      <c r="B771" t="inlineStr">
        <is>
          <t>Love Cabaret</t>
        </is>
      </c>
      <c r="C771" s="27" t="n">
        <v>45927</v>
      </c>
      <c r="D771" t="n">
        <v>0</v>
      </c>
      <c r="E771" t="inlineStr">
        <is>
          <t>ANTECIPADO</t>
        </is>
      </c>
    </row>
    <row r="772">
      <c r="A772" t="n">
        <v>128</v>
      </c>
      <c r="B772" t="inlineStr">
        <is>
          <t>Love Cabaret</t>
        </is>
      </c>
      <c r="C772" s="27" t="n">
        <v>45927</v>
      </c>
      <c r="D772" t="n">
        <v>0</v>
      </c>
      <c r="E772" t="inlineStr">
        <is>
          <t>VOUCHER</t>
        </is>
      </c>
    </row>
    <row r="773">
      <c r="A773" t="n">
        <v>128</v>
      </c>
      <c r="B773" t="inlineStr">
        <is>
          <t>Love Cabaret</t>
        </is>
      </c>
      <c r="C773" s="27" t="n">
        <v>45927</v>
      </c>
      <c r="D773" t="n">
        <v>6732.57</v>
      </c>
      <c r="E773" t="inlineStr">
        <is>
          <t>DÉBITO</t>
        </is>
      </c>
    </row>
    <row r="774">
      <c r="A774" t="n">
        <v>128</v>
      </c>
      <c r="B774" t="inlineStr">
        <is>
          <t>Love Cabaret</t>
        </is>
      </c>
      <c r="C774" s="27" t="n">
        <v>45927</v>
      </c>
      <c r="D774" t="n">
        <v>0</v>
      </c>
      <c r="E774" t="inlineStr">
        <is>
          <t>ANTECIPADO</t>
        </is>
      </c>
    </row>
    <row r="775">
      <c r="A775" t="n">
        <v>128</v>
      </c>
      <c r="B775" t="inlineStr">
        <is>
          <t>Love Cabaret</t>
        </is>
      </c>
      <c r="C775" s="27" t="n">
        <v>45927</v>
      </c>
      <c r="D775" t="n">
        <v>0</v>
      </c>
      <c r="E775" t="inlineStr">
        <is>
          <t>OUTROS</t>
        </is>
      </c>
    </row>
    <row r="776">
      <c r="A776" t="n">
        <v>128</v>
      </c>
      <c r="B776" t="inlineStr">
        <is>
          <t>Love Cabaret</t>
        </is>
      </c>
      <c r="C776" s="27" t="n">
        <v>45927</v>
      </c>
      <c r="D776" t="n">
        <v>0</v>
      </c>
      <c r="E776" t="inlineStr">
        <is>
          <t>AME</t>
        </is>
      </c>
    </row>
    <row r="777">
      <c r="A777" t="n">
        <v>128</v>
      </c>
      <c r="B777" t="inlineStr">
        <is>
          <t>Love Cabaret</t>
        </is>
      </c>
      <c r="C777" s="27" t="n">
        <v>45927</v>
      </c>
      <c r="D777" t="n">
        <v>0</v>
      </c>
      <c r="E777" t="inlineStr">
        <is>
          <t>NOTAS MANUAIS + SERVIÇO</t>
        </is>
      </c>
    </row>
    <row r="778">
      <c r="A778" t="n">
        <v>128</v>
      </c>
      <c r="B778" t="inlineStr">
        <is>
          <t>Love Cabaret</t>
        </is>
      </c>
      <c r="C778" s="27" t="n">
        <v>45927</v>
      </c>
      <c r="D778" t="n">
        <v>0</v>
      </c>
      <c r="E778" t="inlineStr">
        <is>
          <t>RECARGAS DEVOLVIDAS</t>
        </is>
      </c>
    </row>
    <row r="779">
      <c r="A779" t="n">
        <v>128</v>
      </c>
      <c r="B779" t="inlineStr">
        <is>
          <t>Love Cabaret</t>
        </is>
      </c>
      <c r="C779" s="27" t="n">
        <v>45927</v>
      </c>
      <c r="D779" t="n">
        <v>0</v>
      </c>
      <c r="E779" t="inlineStr">
        <is>
          <t>VOUCHER INTEGRADO</t>
        </is>
      </c>
    </row>
    <row r="780">
      <c r="A780" t="n">
        <v>128</v>
      </c>
      <c r="B780" t="inlineStr">
        <is>
          <t>Love Cabaret</t>
        </is>
      </c>
      <c r="C780" s="27" t="n">
        <v>45927</v>
      </c>
      <c r="D780" t="n">
        <v>0</v>
      </c>
      <c r="E780" t="inlineStr">
        <is>
          <t>MBWAY</t>
        </is>
      </c>
    </row>
    <row r="781">
      <c r="A781" t="n">
        <v>128</v>
      </c>
      <c r="B781" t="inlineStr">
        <is>
          <t>Love Cabaret</t>
        </is>
      </c>
      <c r="C781" s="27" t="n">
        <v>45926</v>
      </c>
      <c r="D781" t="n">
        <v>0</v>
      </c>
      <c r="E781" t="inlineStr">
        <is>
          <t>MBWAY</t>
        </is>
      </c>
    </row>
    <row r="782">
      <c r="A782" t="n">
        <v>128</v>
      </c>
      <c r="B782" t="inlineStr">
        <is>
          <t>Love Cabaret</t>
        </is>
      </c>
      <c r="C782" s="27" t="n">
        <v>45926</v>
      </c>
      <c r="D782" t="n">
        <v>0</v>
      </c>
      <c r="E782" t="inlineStr">
        <is>
          <t>VOUCHER INTEGRADO</t>
        </is>
      </c>
    </row>
    <row r="783">
      <c r="A783" t="n">
        <v>128</v>
      </c>
      <c r="B783" t="inlineStr">
        <is>
          <t>Love Cabaret</t>
        </is>
      </c>
      <c r="C783" s="27" t="n">
        <v>45926</v>
      </c>
      <c r="D783" t="n">
        <v>0</v>
      </c>
      <c r="E783" t="inlineStr">
        <is>
          <t>IFOOD</t>
        </is>
      </c>
    </row>
    <row r="784">
      <c r="A784" t="n">
        <v>128</v>
      </c>
      <c r="B784" t="inlineStr">
        <is>
          <t>Love Cabaret</t>
        </is>
      </c>
      <c r="C784" s="27" t="n">
        <v>45926</v>
      </c>
      <c r="D784" t="n">
        <v>0</v>
      </c>
      <c r="E784" t="inlineStr">
        <is>
          <t>DELIVERY ONLINE</t>
        </is>
      </c>
    </row>
    <row r="785">
      <c r="A785" t="n">
        <v>128</v>
      </c>
      <c r="B785" t="inlineStr">
        <is>
          <t>Love Cabaret</t>
        </is>
      </c>
      <c r="C785" s="27" t="n">
        <v>45926</v>
      </c>
      <c r="D785" t="n">
        <v>0</v>
      </c>
      <c r="E785" t="inlineStr">
        <is>
          <t>APP</t>
        </is>
      </c>
    </row>
    <row r="786">
      <c r="A786" t="n">
        <v>128</v>
      </c>
      <c r="B786" t="inlineStr">
        <is>
          <t>Love Cabaret</t>
        </is>
      </c>
      <c r="C786" s="27" t="n">
        <v>45926</v>
      </c>
      <c r="D786" t="n">
        <v>466.69</v>
      </c>
      <c r="E786" t="inlineStr">
        <is>
          <t>DINHEIRO</t>
        </is>
      </c>
    </row>
    <row r="787">
      <c r="A787" t="n">
        <v>128</v>
      </c>
      <c r="B787" t="inlineStr">
        <is>
          <t>Love Cabaret</t>
        </is>
      </c>
      <c r="C787" s="27" t="n">
        <v>45926</v>
      </c>
      <c r="D787" t="n">
        <v>18895.85</v>
      </c>
      <c r="E787" t="inlineStr">
        <is>
          <t>CRÉDITO</t>
        </is>
      </c>
    </row>
    <row r="788">
      <c r="A788" t="n">
        <v>128</v>
      </c>
      <c r="B788" t="inlineStr">
        <is>
          <t>Love Cabaret</t>
        </is>
      </c>
      <c r="C788" s="27" t="n">
        <v>45926</v>
      </c>
      <c r="D788" t="n">
        <v>1655.45</v>
      </c>
      <c r="E788" t="inlineStr">
        <is>
          <t>PIX</t>
        </is>
      </c>
    </row>
    <row r="789">
      <c r="A789" t="n">
        <v>128</v>
      </c>
      <c r="B789" t="inlineStr">
        <is>
          <t>Love Cabaret</t>
        </is>
      </c>
      <c r="C789" s="27" t="n">
        <v>45926</v>
      </c>
      <c r="D789" t="n">
        <v>0</v>
      </c>
      <c r="E789" t="inlineStr">
        <is>
          <t>RAPPI</t>
        </is>
      </c>
    </row>
    <row r="790">
      <c r="A790" t="n">
        <v>128</v>
      </c>
      <c r="B790" t="inlineStr">
        <is>
          <t>Love Cabaret</t>
        </is>
      </c>
      <c r="C790" s="27" t="n">
        <v>45926</v>
      </c>
      <c r="D790" t="n">
        <v>0</v>
      </c>
      <c r="E790" t="inlineStr">
        <is>
          <t>UBER</t>
        </is>
      </c>
    </row>
    <row r="791">
      <c r="A791" t="n">
        <v>128</v>
      </c>
      <c r="B791" t="inlineStr">
        <is>
          <t>Love Cabaret</t>
        </is>
      </c>
      <c r="C791" s="27" t="n">
        <v>45926</v>
      </c>
      <c r="D791" t="n">
        <v>0</v>
      </c>
      <c r="E791" t="inlineStr">
        <is>
          <t>ANTECIPADO</t>
        </is>
      </c>
    </row>
    <row r="792">
      <c r="A792" t="n">
        <v>128</v>
      </c>
      <c r="B792" t="inlineStr">
        <is>
          <t>Love Cabaret</t>
        </is>
      </c>
      <c r="C792" s="27" t="n">
        <v>45926</v>
      </c>
      <c r="D792" t="n">
        <v>0</v>
      </c>
      <c r="E792" t="inlineStr">
        <is>
          <t>VOUCHER</t>
        </is>
      </c>
    </row>
    <row r="793">
      <c r="A793" t="n">
        <v>128</v>
      </c>
      <c r="B793" t="inlineStr">
        <is>
          <t>Love Cabaret</t>
        </is>
      </c>
      <c r="C793" s="27" t="n">
        <v>45926</v>
      </c>
      <c r="D793" t="n">
        <v>8196.110000000001</v>
      </c>
      <c r="E793" t="inlineStr">
        <is>
          <t>DÉBITO</t>
        </is>
      </c>
    </row>
    <row r="794">
      <c r="A794" t="n">
        <v>128</v>
      </c>
      <c r="B794" t="inlineStr">
        <is>
          <t>Love Cabaret</t>
        </is>
      </c>
      <c r="C794" s="27" t="n">
        <v>45926</v>
      </c>
      <c r="D794" t="n">
        <v>0</v>
      </c>
      <c r="E794" t="inlineStr">
        <is>
          <t>BÔNUS</t>
        </is>
      </c>
    </row>
    <row r="795">
      <c r="A795" t="n">
        <v>128</v>
      </c>
      <c r="B795" t="inlineStr">
        <is>
          <t>Love Cabaret</t>
        </is>
      </c>
      <c r="C795" s="27" t="n">
        <v>45926</v>
      </c>
      <c r="D795" t="n">
        <v>0</v>
      </c>
      <c r="E795" t="inlineStr">
        <is>
          <t>ANTECIPADO</t>
        </is>
      </c>
    </row>
    <row r="796">
      <c r="A796" t="n">
        <v>128</v>
      </c>
      <c r="B796" t="inlineStr">
        <is>
          <t>Love Cabaret</t>
        </is>
      </c>
      <c r="C796" s="27" t="n">
        <v>45926</v>
      </c>
      <c r="D796" t="n">
        <v>0</v>
      </c>
      <c r="E796" t="inlineStr">
        <is>
          <t>OUTROS</t>
        </is>
      </c>
    </row>
    <row r="797">
      <c r="A797" t="n">
        <v>128</v>
      </c>
      <c r="B797" t="inlineStr">
        <is>
          <t>Love Cabaret</t>
        </is>
      </c>
      <c r="C797" s="27" t="n">
        <v>45926</v>
      </c>
      <c r="D797" t="n">
        <v>0</v>
      </c>
      <c r="E797" t="inlineStr">
        <is>
          <t>AME</t>
        </is>
      </c>
    </row>
    <row r="798">
      <c r="A798" t="n">
        <v>128</v>
      </c>
      <c r="B798" t="inlineStr">
        <is>
          <t>Love Cabaret</t>
        </is>
      </c>
      <c r="C798" s="27" t="n">
        <v>45926</v>
      </c>
      <c r="D798" t="n">
        <v>0</v>
      </c>
      <c r="E798" t="inlineStr">
        <is>
          <t>NOTAS MANUAIS + SERVIÇO</t>
        </is>
      </c>
    </row>
    <row r="799">
      <c r="A799" t="n">
        <v>128</v>
      </c>
      <c r="B799" t="inlineStr">
        <is>
          <t>Love Cabaret</t>
        </is>
      </c>
      <c r="C799" s="27" t="n">
        <v>45926</v>
      </c>
      <c r="D799" t="n">
        <v>0</v>
      </c>
      <c r="E799" t="inlineStr">
        <is>
          <t>RECARGAS DEVOLVIDAS</t>
        </is>
      </c>
    </row>
    <row r="800">
      <c r="A800" t="n">
        <v>128</v>
      </c>
      <c r="B800" t="inlineStr">
        <is>
          <t>Love Cabaret</t>
        </is>
      </c>
      <c r="C800" s="27" t="n">
        <v>45925</v>
      </c>
      <c r="D800" t="n">
        <v>0</v>
      </c>
      <c r="E800" t="inlineStr">
        <is>
          <t>MBWAY</t>
        </is>
      </c>
    </row>
    <row r="801">
      <c r="A801" t="n">
        <v>128</v>
      </c>
      <c r="B801" t="inlineStr">
        <is>
          <t>Love Cabaret</t>
        </is>
      </c>
      <c r="C801" s="27" t="n">
        <v>45925</v>
      </c>
      <c r="D801" t="n">
        <v>0</v>
      </c>
      <c r="E801" t="inlineStr">
        <is>
          <t>DELIVERY ONLINE</t>
        </is>
      </c>
    </row>
    <row r="802">
      <c r="A802" t="n">
        <v>128</v>
      </c>
      <c r="B802" t="inlineStr">
        <is>
          <t>Love Cabaret</t>
        </is>
      </c>
      <c r="C802" s="27" t="n">
        <v>45925</v>
      </c>
      <c r="D802" t="n">
        <v>0</v>
      </c>
      <c r="E802" t="inlineStr">
        <is>
          <t>APP</t>
        </is>
      </c>
    </row>
    <row r="803">
      <c r="A803" t="n">
        <v>128</v>
      </c>
      <c r="B803" t="inlineStr">
        <is>
          <t>Love Cabaret</t>
        </is>
      </c>
      <c r="C803" s="27" t="n">
        <v>45925</v>
      </c>
      <c r="D803" t="n">
        <v>200</v>
      </c>
      <c r="E803" t="inlineStr">
        <is>
          <t>DINHEIRO</t>
        </is>
      </c>
    </row>
    <row r="804">
      <c r="A804" t="n">
        <v>128</v>
      </c>
      <c r="B804" t="inlineStr">
        <is>
          <t>Love Cabaret</t>
        </is>
      </c>
      <c r="C804" s="27" t="n">
        <v>45925</v>
      </c>
      <c r="D804" t="n">
        <v>1624.39</v>
      </c>
      <c r="E804" t="inlineStr">
        <is>
          <t>CRÉDITO</t>
        </is>
      </c>
    </row>
    <row r="805">
      <c r="A805" t="n">
        <v>128</v>
      </c>
      <c r="B805" t="inlineStr">
        <is>
          <t>Love Cabaret</t>
        </is>
      </c>
      <c r="C805" s="27" t="n">
        <v>45925</v>
      </c>
      <c r="D805" t="n">
        <v>301.95</v>
      </c>
      <c r="E805" t="inlineStr">
        <is>
          <t>PIX</t>
        </is>
      </c>
    </row>
    <row r="806">
      <c r="A806" t="n">
        <v>128</v>
      </c>
      <c r="B806" t="inlineStr">
        <is>
          <t>Love Cabaret</t>
        </is>
      </c>
      <c r="C806" s="27" t="n">
        <v>45925</v>
      </c>
      <c r="D806" t="n">
        <v>0</v>
      </c>
      <c r="E806" t="inlineStr">
        <is>
          <t>IFOOD</t>
        </is>
      </c>
    </row>
    <row r="807">
      <c r="A807" t="n">
        <v>128</v>
      </c>
      <c r="B807" t="inlineStr">
        <is>
          <t>Love Cabaret</t>
        </is>
      </c>
      <c r="C807" s="27" t="n">
        <v>45925</v>
      </c>
      <c r="D807" t="n">
        <v>0</v>
      </c>
      <c r="E807" t="inlineStr">
        <is>
          <t>NOTAS MANUAIS + SERVIÇO</t>
        </is>
      </c>
    </row>
    <row r="808">
      <c r="A808" t="n">
        <v>128</v>
      </c>
      <c r="B808" t="inlineStr">
        <is>
          <t>Love Cabaret</t>
        </is>
      </c>
      <c r="C808" s="27" t="n">
        <v>45925</v>
      </c>
      <c r="D808" t="n">
        <v>0</v>
      </c>
      <c r="E808" t="inlineStr">
        <is>
          <t>RECARGAS DEVOLVIDAS</t>
        </is>
      </c>
    </row>
    <row r="809">
      <c r="A809" t="n">
        <v>128</v>
      </c>
      <c r="B809" t="inlineStr">
        <is>
          <t>Love Cabaret</t>
        </is>
      </c>
      <c r="C809" s="27" t="n">
        <v>45925</v>
      </c>
      <c r="D809" t="n">
        <v>0</v>
      </c>
      <c r="E809" t="inlineStr">
        <is>
          <t>VOUCHER INTEGRADO</t>
        </is>
      </c>
    </row>
    <row r="810">
      <c r="A810" t="n">
        <v>128</v>
      </c>
      <c r="B810" t="inlineStr">
        <is>
          <t>Love Cabaret</t>
        </is>
      </c>
      <c r="C810" s="27" t="n">
        <v>45925</v>
      </c>
      <c r="D810" t="n">
        <v>0</v>
      </c>
      <c r="E810" t="inlineStr">
        <is>
          <t>AME</t>
        </is>
      </c>
    </row>
    <row r="811">
      <c r="A811" t="n">
        <v>128</v>
      </c>
      <c r="B811" t="inlineStr">
        <is>
          <t>Love Cabaret</t>
        </is>
      </c>
      <c r="C811" s="27" t="n">
        <v>45925</v>
      </c>
      <c r="D811" t="n">
        <v>0</v>
      </c>
      <c r="E811" t="inlineStr">
        <is>
          <t>OUTROS</t>
        </is>
      </c>
    </row>
    <row r="812">
      <c r="A812" t="n">
        <v>128</v>
      </c>
      <c r="B812" t="inlineStr">
        <is>
          <t>Love Cabaret</t>
        </is>
      </c>
      <c r="C812" s="27" t="n">
        <v>45925</v>
      </c>
      <c r="D812" t="n">
        <v>0</v>
      </c>
      <c r="E812" t="inlineStr">
        <is>
          <t>ANTECIPADO</t>
        </is>
      </c>
    </row>
    <row r="813">
      <c r="A813" t="n">
        <v>128</v>
      </c>
      <c r="B813" t="inlineStr">
        <is>
          <t>Love Cabaret</t>
        </is>
      </c>
      <c r="C813" s="27" t="n">
        <v>45925</v>
      </c>
      <c r="D813" t="n">
        <v>0</v>
      </c>
      <c r="E813" t="inlineStr">
        <is>
          <t>BÔNUS</t>
        </is>
      </c>
    </row>
    <row r="814">
      <c r="A814" t="n">
        <v>128</v>
      </c>
      <c r="B814" t="inlineStr">
        <is>
          <t>Love Cabaret</t>
        </is>
      </c>
      <c r="C814" s="27" t="n">
        <v>45925</v>
      </c>
      <c r="D814" t="n">
        <v>503.4</v>
      </c>
      <c r="E814" t="inlineStr">
        <is>
          <t>DÉBITO</t>
        </is>
      </c>
    </row>
    <row r="815">
      <c r="A815" t="n">
        <v>128</v>
      </c>
      <c r="B815" t="inlineStr">
        <is>
          <t>Love Cabaret</t>
        </is>
      </c>
      <c r="C815" s="27" t="n">
        <v>45925</v>
      </c>
      <c r="D815" t="n">
        <v>0</v>
      </c>
      <c r="E815" t="inlineStr">
        <is>
          <t>VOUCHER</t>
        </is>
      </c>
    </row>
    <row r="816">
      <c r="A816" t="n">
        <v>128</v>
      </c>
      <c r="B816" t="inlineStr">
        <is>
          <t>Love Cabaret</t>
        </is>
      </c>
      <c r="C816" s="27" t="n">
        <v>45925</v>
      </c>
      <c r="D816" t="n">
        <v>0</v>
      </c>
      <c r="E816" t="inlineStr">
        <is>
          <t>ANTECIPADO</t>
        </is>
      </c>
    </row>
    <row r="817">
      <c r="A817" t="n">
        <v>128</v>
      </c>
      <c r="B817" t="inlineStr">
        <is>
          <t>Love Cabaret</t>
        </is>
      </c>
      <c r="C817" s="27" t="n">
        <v>45925</v>
      </c>
      <c r="D817" t="n">
        <v>0</v>
      </c>
      <c r="E817" t="inlineStr">
        <is>
          <t>UBER</t>
        </is>
      </c>
    </row>
    <row r="818">
      <c r="A818" t="n">
        <v>128</v>
      </c>
      <c r="B818" t="inlineStr">
        <is>
          <t>Love Cabaret</t>
        </is>
      </c>
      <c r="C818" s="27" t="n">
        <v>45925</v>
      </c>
      <c r="D818" t="n">
        <v>0</v>
      </c>
      <c r="E818" t="inlineStr">
        <is>
          <t>RAPPI</t>
        </is>
      </c>
    </row>
    <row r="819">
      <c r="A819" t="n">
        <v>128</v>
      </c>
      <c r="B819" t="inlineStr">
        <is>
          <t>Love Cabaret</t>
        </is>
      </c>
      <c r="C819" s="27" t="n">
        <v>45921</v>
      </c>
      <c r="D819" t="n">
        <v>0</v>
      </c>
      <c r="E819" t="inlineStr">
        <is>
          <t>OUTROS</t>
        </is>
      </c>
    </row>
    <row r="820">
      <c r="A820" t="n">
        <v>128</v>
      </c>
      <c r="B820" t="inlineStr">
        <is>
          <t>Love Cabaret</t>
        </is>
      </c>
      <c r="C820" s="27" t="n">
        <v>45921</v>
      </c>
      <c r="D820" t="n">
        <v>0</v>
      </c>
      <c r="E820" t="inlineStr">
        <is>
          <t>ANTECIPADO</t>
        </is>
      </c>
    </row>
    <row r="821">
      <c r="A821" t="n">
        <v>128</v>
      </c>
      <c r="B821" t="inlineStr">
        <is>
          <t>Love Cabaret</t>
        </is>
      </c>
      <c r="C821" s="27" t="n">
        <v>45921</v>
      </c>
      <c r="D821" t="n">
        <v>0</v>
      </c>
      <c r="E821" t="inlineStr">
        <is>
          <t>BÔNUS</t>
        </is>
      </c>
    </row>
    <row r="822">
      <c r="A822" t="n">
        <v>128</v>
      </c>
      <c r="B822" t="inlineStr">
        <is>
          <t>Love Cabaret</t>
        </is>
      </c>
      <c r="C822" s="27" t="n">
        <v>45921</v>
      </c>
      <c r="D822" t="n">
        <v>4213.11</v>
      </c>
      <c r="E822" t="inlineStr">
        <is>
          <t>DÉBITO</t>
        </is>
      </c>
    </row>
    <row r="823">
      <c r="A823" t="n">
        <v>128</v>
      </c>
      <c r="B823" t="inlineStr">
        <is>
          <t>Love Cabaret</t>
        </is>
      </c>
      <c r="C823" s="27" t="n">
        <v>45921</v>
      </c>
      <c r="D823" t="n">
        <v>0</v>
      </c>
      <c r="E823" t="inlineStr">
        <is>
          <t>VOUCHER</t>
        </is>
      </c>
    </row>
    <row r="824">
      <c r="A824" t="n">
        <v>128</v>
      </c>
      <c r="B824" t="inlineStr">
        <is>
          <t>Love Cabaret</t>
        </is>
      </c>
      <c r="C824" s="27" t="n">
        <v>45921</v>
      </c>
      <c r="D824" t="n">
        <v>0</v>
      </c>
      <c r="E824" t="inlineStr">
        <is>
          <t>ANTECIPADO</t>
        </is>
      </c>
    </row>
    <row r="825">
      <c r="A825" t="n">
        <v>128</v>
      </c>
      <c r="B825" t="inlineStr">
        <is>
          <t>Love Cabaret</t>
        </is>
      </c>
      <c r="C825" s="27" t="n">
        <v>45921</v>
      </c>
      <c r="D825" t="n">
        <v>0</v>
      </c>
      <c r="E825" t="inlineStr">
        <is>
          <t>UBER</t>
        </is>
      </c>
    </row>
    <row r="826">
      <c r="A826" t="n">
        <v>128</v>
      </c>
      <c r="B826" t="inlineStr">
        <is>
          <t>Love Cabaret</t>
        </is>
      </c>
      <c r="C826" s="27" t="n">
        <v>45921</v>
      </c>
      <c r="D826" t="n">
        <v>0</v>
      </c>
      <c r="E826" t="inlineStr">
        <is>
          <t>RAPPI</t>
        </is>
      </c>
    </row>
    <row r="827">
      <c r="A827" t="n">
        <v>128</v>
      </c>
      <c r="B827" t="inlineStr">
        <is>
          <t>Love Cabaret</t>
        </is>
      </c>
      <c r="C827" s="27" t="n">
        <v>45921</v>
      </c>
      <c r="D827" t="n">
        <v>998.25</v>
      </c>
      <c r="E827" t="inlineStr">
        <is>
          <t>PIX</t>
        </is>
      </c>
    </row>
    <row r="828">
      <c r="A828" t="n">
        <v>128</v>
      </c>
      <c r="B828" t="inlineStr">
        <is>
          <t>Love Cabaret</t>
        </is>
      </c>
      <c r="C828" s="27" t="n">
        <v>45921</v>
      </c>
      <c r="D828" t="n">
        <v>0</v>
      </c>
      <c r="E828" t="inlineStr">
        <is>
          <t>IFOOD</t>
        </is>
      </c>
    </row>
    <row r="829">
      <c r="A829" t="n">
        <v>128</v>
      </c>
      <c r="B829" t="inlineStr">
        <is>
          <t>Love Cabaret</t>
        </is>
      </c>
      <c r="C829" s="27" t="n">
        <v>45921</v>
      </c>
      <c r="D829" t="n">
        <v>0</v>
      </c>
      <c r="E829" t="inlineStr">
        <is>
          <t>DELIVERY ONLINE</t>
        </is>
      </c>
    </row>
    <row r="830">
      <c r="A830" t="n">
        <v>128</v>
      </c>
      <c r="B830" t="inlineStr">
        <is>
          <t>Love Cabaret</t>
        </is>
      </c>
      <c r="C830" s="27" t="n">
        <v>45921</v>
      </c>
      <c r="D830" t="n">
        <v>267.81</v>
      </c>
      <c r="E830" t="inlineStr">
        <is>
          <t>APP</t>
        </is>
      </c>
    </row>
    <row r="831">
      <c r="A831" t="n">
        <v>128</v>
      </c>
      <c r="B831" t="inlineStr">
        <is>
          <t>Love Cabaret</t>
        </is>
      </c>
      <c r="C831" s="27" t="n">
        <v>45921</v>
      </c>
      <c r="D831" t="n">
        <v>9.039999999999999</v>
      </c>
      <c r="E831" t="inlineStr">
        <is>
          <t>DINHEIRO</t>
        </is>
      </c>
    </row>
    <row r="832">
      <c r="A832" t="n">
        <v>128</v>
      </c>
      <c r="B832" t="inlineStr">
        <is>
          <t>Love Cabaret</t>
        </is>
      </c>
      <c r="C832" s="27" t="n">
        <v>45921</v>
      </c>
      <c r="D832" t="n">
        <v>5102.4</v>
      </c>
      <c r="E832" t="inlineStr">
        <is>
          <t>CRÉDITO</t>
        </is>
      </c>
    </row>
    <row r="833">
      <c r="A833" t="n">
        <v>128</v>
      </c>
      <c r="B833" t="inlineStr">
        <is>
          <t>Love Cabaret</t>
        </is>
      </c>
      <c r="C833" s="27" t="n">
        <v>45921</v>
      </c>
      <c r="D833" t="n">
        <v>0</v>
      </c>
      <c r="E833" t="inlineStr">
        <is>
          <t>AME</t>
        </is>
      </c>
    </row>
    <row r="834">
      <c r="A834" t="n">
        <v>128</v>
      </c>
      <c r="B834" t="inlineStr">
        <is>
          <t>Love Cabaret</t>
        </is>
      </c>
      <c r="C834" s="27" t="n">
        <v>45921</v>
      </c>
      <c r="D834" t="n">
        <v>0</v>
      </c>
      <c r="E834" t="inlineStr">
        <is>
          <t>NOTAS MANUAIS + SERVIÇO</t>
        </is>
      </c>
    </row>
    <row r="835">
      <c r="A835" t="n">
        <v>128</v>
      </c>
      <c r="B835" t="inlineStr">
        <is>
          <t>Love Cabaret</t>
        </is>
      </c>
      <c r="C835" s="27" t="n">
        <v>45921</v>
      </c>
      <c r="D835" t="n">
        <v>0</v>
      </c>
      <c r="E835" t="inlineStr">
        <is>
          <t>RECARGAS DEVOLVIDAS</t>
        </is>
      </c>
    </row>
    <row r="836">
      <c r="A836" t="n">
        <v>128</v>
      </c>
      <c r="B836" t="inlineStr">
        <is>
          <t>Love Cabaret</t>
        </is>
      </c>
      <c r="C836" s="27" t="n">
        <v>45921</v>
      </c>
      <c r="D836" t="n">
        <v>0</v>
      </c>
      <c r="E836" t="inlineStr">
        <is>
          <t>VOUCHER INTEGRADO</t>
        </is>
      </c>
    </row>
    <row r="837">
      <c r="A837" t="n">
        <v>128</v>
      </c>
      <c r="B837" t="inlineStr">
        <is>
          <t>Love Cabaret</t>
        </is>
      </c>
      <c r="C837" s="27" t="n">
        <v>45921</v>
      </c>
      <c r="D837" t="n">
        <v>0</v>
      </c>
      <c r="E837" t="inlineStr">
        <is>
          <t>MBWAY</t>
        </is>
      </c>
    </row>
    <row r="838">
      <c r="A838" t="n">
        <v>128</v>
      </c>
      <c r="B838" t="inlineStr">
        <is>
          <t>Love Cabaret</t>
        </is>
      </c>
      <c r="C838" s="27" t="n">
        <v>45920</v>
      </c>
      <c r="D838" t="n">
        <v>0</v>
      </c>
      <c r="E838" t="inlineStr">
        <is>
          <t>MBWAY</t>
        </is>
      </c>
    </row>
    <row r="839">
      <c r="A839" t="n">
        <v>128</v>
      </c>
      <c r="B839" t="inlineStr">
        <is>
          <t>Love Cabaret</t>
        </is>
      </c>
      <c r="C839" s="27" t="n">
        <v>45920</v>
      </c>
      <c r="D839" t="n">
        <v>0</v>
      </c>
      <c r="E839" t="inlineStr">
        <is>
          <t>VOUCHER INTEGRADO</t>
        </is>
      </c>
    </row>
    <row r="840">
      <c r="A840" t="n">
        <v>128</v>
      </c>
      <c r="B840" t="inlineStr">
        <is>
          <t>Love Cabaret</t>
        </is>
      </c>
      <c r="C840" s="27" t="n">
        <v>45920</v>
      </c>
      <c r="D840" t="n">
        <v>0</v>
      </c>
      <c r="E840" t="inlineStr">
        <is>
          <t>RECARGAS DEVOLVIDAS</t>
        </is>
      </c>
    </row>
    <row r="841">
      <c r="A841" t="n">
        <v>128</v>
      </c>
      <c r="B841" t="inlineStr">
        <is>
          <t>Love Cabaret</t>
        </is>
      </c>
      <c r="C841" s="27" t="n">
        <v>45920</v>
      </c>
      <c r="D841" t="n">
        <v>0</v>
      </c>
      <c r="E841" t="inlineStr">
        <is>
          <t>NOTAS MANUAIS + SERVIÇO</t>
        </is>
      </c>
    </row>
    <row r="842">
      <c r="A842" t="n">
        <v>128</v>
      </c>
      <c r="B842" t="inlineStr">
        <is>
          <t>Love Cabaret</t>
        </is>
      </c>
      <c r="C842" s="27" t="n">
        <v>45920</v>
      </c>
      <c r="D842" t="n">
        <v>0</v>
      </c>
      <c r="E842" t="inlineStr">
        <is>
          <t>UBER</t>
        </is>
      </c>
    </row>
    <row r="843">
      <c r="A843" t="n">
        <v>128</v>
      </c>
      <c r="B843" t="inlineStr">
        <is>
          <t>Love Cabaret</t>
        </is>
      </c>
      <c r="C843" s="27" t="n">
        <v>45920</v>
      </c>
      <c r="D843" t="n">
        <v>0</v>
      </c>
      <c r="E843" t="inlineStr">
        <is>
          <t>AME</t>
        </is>
      </c>
    </row>
    <row r="844">
      <c r="A844" t="n">
        <v>128</v>
      </c>
      <c r="B844" t="inlineStr">
        <is>
          <t>Love Cabaret</t>
        </is>
      </c>
      <c r="C844" s="27" t="n">
        <v>45920</v>
      </c>
      <c r="D844" t="n">
        <v>0</v>
      </c>
      <c r="E844" t="inlineStr">
        <is>
          <t>OUTROS</t>
        </is>
      </c>
    </row>
    <row r="845">
      <c r="A845" t="n">
        <v>128</v>
      </c>
      <c r="B845" t="inlineStr">
        <is>
          <t>Love Cabaret</t>
        </is>
      </c>
      <c r="C845" s="27" t="n">
        <v>45920</v>
      </c>
      <c r="D845" t="n">
        <v>0</v>
      </c>
      <c r="E845" t="inlineStr">
        <is>
          <t>ANTECIPADO</t>
        </is>
      </c>
    </row>
    <row r="846">
      <c r="A846" t="n">
        <v>128</v>
      </c>
      <c r="B846" t="inlineStr">
        <is>
          <t>Love Cabaret</t>
        </is>
      </c>
      <c r="C846" s="27" t="n">
        <v>45920</v>
      </c>
      <c r="D846" t="n">
        <v>0</v>
      </c>
      <c r="E846" t="inlineStr">
        <is>
          <t>BÔNUS</t>
        </is>
      </c>
    </row>
    <row r="847">
      <c r="A847" t="n">
        <v>128</v>
      </c>
      <c r="B847" t="inlineStr">
        <is>
          <t>Love Cabaret</t>
        </is>
      </c>
      <c r="C847" s="27" t="n">
        <v>45920</v>
      </c>
      <c r="D847" t="n">
        <v>4217.7</v>
      </c>
      <c r="E847" t="inlineStr">
        <is>
          <t>DÉBITO</t>
        </is>
      </c>
    </row>
    <row r="848">
      <c r="A848" t="n">
        <v>128</v>
      </c>
      <c r="B848" t="inlineStr">
        <is>
          <t>Love Cabaret</t>
        </is>
      </c>
      <c r="C848" s="27" t="n">
        <v>45920</v>
      </c>
      <c r="D848" t="n">
        <v>0</v>
      </c>
      <c r="E848" t="inlineStr">
        <is>
          <t>VOUCHER</t>
        </is>
      </c>
    </row>
    <row r="849">
      <c r="A849" t="n">
        <v>128</v>
      </c>
      <c r="B849" t="inlineStr">
        <is>
          <t>Love Cabaret</t>
        </is>
      </c>
      <c r="C849" s="27" t="n">
        <v>45920</v>
      </c>
      <c r="D849" t="n">
        <v>0</v>
      </c>
      <c r="E849" t="inlineStr">
        <is>
          <t>ANTECIPADO</t>
        </is>
      </c>
    </row>
    <row r="850">
      <c r="A850" t="n">
        <v>128</v>
      </c>
      <c r="B850" t="inlineStr">
        <is>
          <t>Love Cabaret</t>
        </is>
      </c>
      <c r="C850" s="27" t="n">
        <v>45920</v>
      </c>
      <c r="D850" t="n">
        <v>0</v>
      </c>
      <c r="E850" t="inlineStr">
        <is>
          <t>RAPPI</t>
        </is>
      </c>
    </row>
    <row r="851">
      <c r="A851" t="n">
        <v>128</v>
      </c>
      <c r="B851" t="inlineStr">
        <is>
          <t>Love Cabaret</t>
        </is>
      </c>
      <c r="C851" s="27" t="n">
        <v>45920</v>
      </c>
      <c r="D851" t="n">
        <v>1075.76</v>
      </c>
      <c r="E851" t="inlineStr">
        <is>
          <t>PIX</t>
        </is>
      </c>
    </row>
    <row r="852">
      <c r="A852" t="n">
        <v>128</v>
      </c>
      <c r="B852" t="inlineStr">
        <is>
          <t>Love Cabaret</t>
        </is>
      </c>
      <c r="C852" s="27" t="n">
        <v>45920</v>
      </c>
      <c r="D852" t="n">
        <v>0</v>
      </c>
      <c r="E852" t="inlineStr">
        <is>
          <t>IFOOD</t>
        </is>
      </c>
    </row>
    <row r="853">
      <c r="A853" t="n">
        <v>128</v>
      </c>
      <c r="B853" t="inlineStr">
        <is>
          <t>Love Cabaret</t>
        </is>
      </c>
      <c r="C853" s="27" t="n">
        <v>45920</v>
      </c>
      <c r="D853" t="n">
        <v>0</v>
      </c>
      <c r="E853" t="inlineStr">
        <is>
          <t>DELIVERY ONLINE</t>
        </is>
      </c>
    </row>
    <row r="854">
      <c r="A854" t="n">
        <v>128</v>
      </c>
      <c r="B854" t="inlineStr">
        <is>
          <t>Love Cabaret</t>
        </is>
      </c>
      <c r="C854" s="27" t="n">
        <v>45920</v>
      </c>
      <c r="D854" t="n">
        <v>0</v>
      </c>
      <c r="E854" t="inlineStr">
        <is>
          <t>APP</t>
        </is>
      </c>
    </row>
    <row r="855">
      <c r="A855" t="n">
        <v>128</v>
      </c>
      <c r="B855" t="inlineStr">
        <is>
          <t>Love Cabaret</t>
        </is>
      </c>
      <c r="C855" s="27" t="n">
        <v>45920</v>
      </c>
      <c r="D855" t="n">
        <v>0</v>
      </c>
      <c r="E855" t="inlineStr">
        <is>
          <t>DINHEIRO</t>
        </is>
      </c>
    </row>
    <row r="856">
      <c r="A856" t="n">
        <v>128</v>
      </c>
      <c r="B856" t="inlineStr">
        <is>
          <t>Love Cabaret</t>
        </is>
      </c>
      <c r="C856" s="27" t="n">
        <v>45920</v>
      </c>
      <c r="D856" t="n">
        <v>18561.36</v>
      </c>
      <c r="E856" t="inlineStr">
        <is>
          <t>CRÉDITO</t>
        </is>
      </c>
    </row>
    <row r="857">
      <c r="A857" t="n">
        <v>128</v>
      </c>
      <c r="B857" t="inlineStr">
        <is>
          <t>Love Cabaret</t>
        </is>
      </c>
      <c r="C857" s="27" t="n">
        <v>45919</v>
      </c>
      <c r="D857" t="n">
        <v>0</v>
      </c>
      <c r="E857" t="inlineStr">
        <is>
          <t>VOUCHER</t>
        </is>
      </c>
    </row>
    <row r="858">
      <c r="A858" t="n">
        <v>128</v>
      </c>
      <c r="B858" t="inlineStr">
        <is>
          <t>Love Cabaret</t>
        </is>
      </c>
      <c r="C858" s="27" t="n">
        <v>45919</v>
      </c>
      <c r="D858" t="n">
        <v>24078.46</v>
      </c>
      <c r="E858" t="inlineStr">
        <is>
          <t>CRÉDITO</t>
        </is>
      </c>
    </row>
    <row r="859">
      <c r="A859" t="n">
        <v>128</v>
      </c>
      <c r="B859" t="inlineStr">
        <is>
          <t>Love Cabaret</t>
        </is>
      </c>
      <c r="C859" s="27" t="n">
        <v>45919</v>
      </c>
      <c r="D859" t="n">
        <v>80.23</v>
      </c>
      <c r="E859" t="inlineStr">
        <is>
          <t>DINHEIRO</t>
        </is>
      </c>
    </row>
    <row r="860">
      <c r="A860" t="n">
        <v>128</v>
      </c>
      <c r="B860" t="inlineStr">
        <is>
          <t>Love Cabaret</t>
        </is>
      </c>
      <c r="C860" s="27" t="n">
        <v>45919</v>
      </c>
      <c r="D860" t="n">
        <v>0</v>
      </c>
      <c r="E860" t="inlineStr">
        <is>
          <t>APP</t>
        </is>
      </c>
    </row>
    <row r="861">
      <c r="A861" t="n">
        <v>128</v>
      </c>
      <c r="B861" t="inlineStr">
        <is>
          <t>Love Cabaret</t>
        </is>
      </c>
      <c r="C861" s="27" t="n">
        <v>45919</v>
      </c>
      <c r="D861" t="n">
        <v>0</v>
      </c>
      <c r="E861" t="inlineStr">
        <is>
          <t>DELIVERY ONLINE</t>
        </is>
      </c>
    </row>
    <row r="862">
      <c r="A862" t="n">
        <v>128</v>
      </c>
      <c r="B862" t="inlineStr">
        <is>
          <t>Love Cabaret</t>
        </is>
      </c>
      <c r="C862" s="27" t="n">
        <v>45919</v>
      </c>
      <c r="D862" t="n">
        <v>0</v>
      </c>
      <c r="E862" t="inlineStr">
        <is>
          <t>IFOOD</t>
        </is>
      </c>
    </row>
    <row r="863">
      <c r="A863" t="n">
        <v>128</v>
      </c>
      <c r="B863" t="inlineStr">
        <is>
          <t>Love Cabaret</t>
        </is>
      </c>
      <c r="C863" s="27" t="n">
        <v>45919</v>
      </c>
      <c r="D863" t="n">
        <v>1534.54</v>
      </c>
      <c r="E863" t="inlineStr">
        <is>
          <t>PIX</t>
        </is>
      </c>
    </row>
    <row r="864">
      <c r="A864" t="n">
        <v>128</v>
      </c>
      <c r="B864" t="inlineStr">
        <is>
          <t>Love Cabaret</t>
        </is>
      </c>
      <c r="C864" s="27" t="n">
        <v>45919</v>
      </c>
      <c r="D864" t="n">
        <v>0</v>
      </c>
      <c r="E864" t="inlineStr">
        <is>
          <t>RAPPI</t>
        </is>
      </c>
    </row>
    <row r="865">
      <c r="A865" t="n">
        <v>128</v>
      </c>
      <c r="B865" t="inlineStr">
        <is>
          <t>Love Cabaret</t>
        </is>
      </c>
      <c r="C865" s="27" t="n">
        <v>45919</v>
      </c>
      <c r="D865" t="n">
        <v>0</v>
      </c>
      <c r="E865" t="inlineStr">
        <is>
          <t>UBER</t>
        </is>
      </c>
    </row>
    <row r="866">
      <c r="A866" t="n">
        <v>128</v>
      </c>
      <c r="B866" t="inlineStr">
        <is>
          <t>Love Cabaret</t>
        </is>
      </c>
      <c r="C866" s="27" t="n">
        <v>45919</v>
      </c>
      <c r="D866" t="n">
        <v>0</v>
      </c>
      <c r="E866" t="inlineStr">
        <is>
          <t>ANTECIPADO</t>
        </is>
      </c>
    </row>
    <row r="867">
      <c r="A867" t="n">
        <v>128</v>
      </c>
      <c r="B867" t="inlineStr">
        <is>
          <t>Love Cabaret</t>
        </is>
      </c>
      <c r="C867" s="27" t="n">
        <v>45919</v>
      </c>
      <c r="D867" t="n">
        <v>5017.08</v>
      </c>
      <c r="E867" t="inlineStr">
        <is>
          <t>DÉBITO</t>
        </is>
      </c>
    </row>
    <row r="868">
      <c r="A868" t="n">
        <v>128</v>
      </c>
      <c r="B868" t="inlineStr">
        <is>
          <t>Love Cabaret</t>
        </is>
      </c>
      <c r="C868" s="27" t="n">
        <v>45919</v>
      </c>
      <c r="D868" t="n">
        <v>0</v>
      </c>
      <c r="E868" t="inlineStr">
        <is>
          <t>BÔNUS</t>
        </is>
      </c>
    </row>
    <row r="869">
      <c r="A869" t="n">
        <v>128</v>
      </c>
      <c r="B869" t="inlineStr">
        <is>
          <t>Love Cabaret</t>
        </is>
      </c>
      <c r="C869" s="27" t="n">
        <v>45919</v>
      </c>
      <c r="D869" t="n">
        <v>0</v>
      </c>
      <c r="E869" t="inlineStr">
        <is>
          <t>ANTECIPADO</t>
        </is>
      </c>
    </row>
    <row r="870">
      <c r="A870" t="n">
        <v>128</v>
      </c>
      <c r="B870" t="inlineStr">
        <is>
          <t>Love Cabaret</t>
        </is>
      </c>
      <c r="C870" s="27" t="n">
        <v>45919</v>
      </c>
      <c r="D870" t="n">
        <v>0</v>
      </c>
      <c r="E870" t="inlineStr">
        <is>
          <t>OUTROS</t>
        </is>
      </c>
    </row>
    <row r="871">
      <c r="A871" t="n">
        <v>128</v>
      </c>
      <c r="B871" t="inlineStr">
        <is>
          <t>Love Cabaret</t>
        </is>
      </c>
      <c r="C871" s="27" t="n">
        <v>45919</v>
      </c>
      <c r="D871" t="n">
        <v>0</v>
      </c>
      <c r="E871" t="inlineStr">
        <is>
          <t>AME</t>
        </is>
      </c>
    </row>
    <row r="872">
      <c r="A872" t="n">
        <v>128</v>
      </c>
      <c r="B872" t="inlineStr">
        <is>
          <t>Love Cabaret</t>
        </is>
      </c>
      <c r="C872" s="27" t="n">
        <v>45919</v>
      </c>
      <c r="D872" t="n">
        <v>0</v>
      </c>
      <c r="E872" t="inlineStr">
        <is>
          <t>NOTAS MANUAIS + SERVIÇO</t>
        </is>
      </c>
    </row>
    <row r="873">
      <c r="A873" t="n">
        <v>128</v>
      </c>
      <c r="B873" t="inlineStr">
        <is>
          <t>Love Cabaret</t>
        </is>
      </c>
      <c r="C873" s="27" t="n">
        <v>45919</v>
      </c>
      <c r="D873" t="n">
        <v>0</v>
      </c>
      <c r="E873" t="inlineStr">
        <is>
          <t>RECARGAS DEVOLVIDAS</t>
        </is>
      </c>
    </row>
    <row r="874">
      <c r="A874" t="n">
        <v>128</v>
      </c>
      <c r="B874" t="inlineStr">
        <is>
          <t>Love Cabaret</t>
        </is>
      </c>
      <c r="C874" s="27" t="n">
        <v>45919</v>
      </c>
      <c r="D874" t="n">
        <v>0</v>
      </c>
      <c r="E874" t="inlineStr">
        <is>
          <t>VOUCHER INTEGRADO</t>
        </is>
      </c>
    </row>
    <row r="875">
      <c r="A875" t="n">
        <v>128</v>
      </c>
      <c r="B875" t="inlineStr">
        <is>
          <t>Love Cabaret</t>
        </is>
      </c>
      <c r="C875" s="27" t="n">
        <v>45919</v>
      </c>
      <c r="D875" t="n">
        <v>0</v>
      </c>
      <c r="E875" t="inlineStr">
        <is>
          <t>MBWAY</t>
        </is>
      </c>
    </row>
    <row r="876">
      <c r="A876" t="n">
        <v>128</v>
      </c>
      <c r="B876" t="inlineStr">
        <is>
          <t>Love Cabaret</t>
        </is>
      </c>
      <c r="C876" s="27" t="n">
        <v>45918</v>
      </c>
      <c r="D876" t="n">
        <v>4556.62</v>
      </c>
      <c r="E876" t="inlineStr">
        <is>
          <t>CRÉDITO</t>
        </is>
      </c>
    </row>
    <row r="877">
      <c r="A877" t="n">
        <v>128</v>
      </c>
      <c r="B877" t="inlineStr">
        <is>
          <t>Love Cabaret</t>
        </is>
      </c>
      <c r="C877" s="27" t="n">
        <v>45918</v>
      </c>
      <c r="D877" t="n">
        <v>0</v>
      </c>
      <c r="E877" t="inlineStr">
        <is>
          <t>MBWAY</t>
        </is>
      </c>
    </row>
    <row r="878">
      <c r="A878" t="n">
        <v>128</v>
      </c>
      <c r="B878" t="inlineStr">
        <is>
          <t>Love Cabaret</t>
        </is>
      </c>
      <c r="C878" s="27" t="n">
        <v>45918</v>
      </c>
      <c r="D878" t="n">
        <v>124.3</v>
      </c>
      <c r="E878" t="inlineStr">
        <is>
          <t>DINHEIRO</t>
        </is>
      </c>
    </row>
    <row r="879">
      <c r="A879" t="n">
        <v>128</v>
      </c>
      <c r="B879" t="inlineStr">
        <is>
          <t>Love Cabaret</t>
        </is>
      </c>
      <c r="C879" s="27" t="n">
        <v>45918</v>
      </c>
      <c r="D879" t="n">
        <v>0</v>
      </c>
      <c r="E879" t="inlineStr">
        <is>
          <t>APP</t>
        </is>
      </c>
    </row>
    <row r="880">
      <c r="A880" t="n">
        <v>128</v>
      </c>
      <c r="B880" t="inlineStr">
        <is>
          <t>Love Cabaret</t>
        </is>
      </c>
      <c r="C880" s="27" t="n">
        <v>45918</v>
      </c>
      <c r="D880" t="n">
        <v>0</v>
      </c>
      <c r="E880" t="inlineStr">
        <is>
          <t>DELIVERY ONLINE</t>
        </is>
      </c>
    </row>
    <row r="881">
      <c r="A881" t="n">
        <v>128</v>
      </c>
      <c r="B881" t="inlineStr">
        <is>
          <t>Love Cabaret</t>
        </is>
      </c>
      <c r="C881" s="27" t="n">
        <v>45918</v>
      </c>
      <c r="D881" t="n">
        <v>0</v>
      </c>
      <c r="E881" t="inlineStr">
        <is>
          <t>IFOOD</t>
        </is>
      </c>
    </row>
    <row r="882">
      <c r="A882" t="n">
        <v>128</v>
      </c>
      <c r="B882" t="inlineStr">
        <is>
          <t>Love Cabaret</t>
        </is>
      </c>
      <c r="C882" s="27" t="n">
        <v>45918</v>
      </c>
      <c r="D882" t="n">
        <v>348.75</v>
      </c>
      <c r="E882" t="inlineStr">
        <is>
          <t>PIX</t>
        </is>
      </c>
    </row>
    <row r="883">
      <c r="A883" t="n">
        <v>128</v>
      </c>
      <c r="B883" t="inlineStr">
        <is>
          <t>Love Cabaret</t>
        </is>
      </c>
      <c r="C883" s="27" t="n">
        <v>45918</v>
      </c>
      <c r="D883" t="n">
        <v>0</v>
      </c>
      <c r="E883" t="inlineStr">
        <is>
          <t>RAPPI</t>
        </is>
      </c>
    </row>
    <row r="884">
      <c r="A884" t="n">
        <v>128</v>
      </c>
      <c r="B884" t="inlineStr">
        <is>
          <t>Love Cabaret</t>
        </is>
      </c>
      <c r="C884" s="27" t="n">
        <v>45918</v>
      </c>
      <c r="D884" t="n">
        <v>0</v>
      </c>
      <c r="E884" t="inlineStr">
        <is>
          <t>UBER</t>
        </is>
      </c>
    </row>
    <row r="885">
      <c r="A885" t="n">
        <v>128</v>
      </c>
      <c r="B885" t="inlineStr">
        <is>
          <t>Love Cabaret</t>
        </is>
      </c>
      <c r="C885" s="27" t="n">
        <v>45918</v>
      </c>
      <c r="D885" t="n">
        <v>0</v>
      </c>
      <c r="E885" t="inlineStr">
        <is>
          <t>ANTECIPADO</t>
        </is>
      </c>
    </row>
    <row r="886">
      <c r="A886" t="n">
        <v>128</v>
      </c>
      <c r="B886" t="inlineStr">
        <is>
          <t>Love Cabaret</t>
        </is>
      </c>
      <c r="C886" s="27" t="n">
        <v>45918</v>
      </c>
      <c r="D886" t="n">
        <v>0</v>
      </c>
      <c r="E886" t="inlineStr">
        <is>
          <t>VOUCHER</t>
        </is>
      </c>
    </row>
    <row r="887">
      <c r="A887" t="n">
        <v>128</v>
      </c>
      <c r="B887" t="inlineStr">
        <is>
          <t>Love Cabaret</t>
        </is>
      </c>
      <c r="C887" s="27" t="n">
        <v>45918</v>
      </c>
      <c r="D887" t="n">
        <v>0</v>
      </c>
      <c r="E887" t="inlineStr">
        <is>
          <t>BÔNUS</t>
        </is>
      </c>
    </row>
    <row r="888">
      <c r="A888" t="n">
        <v>128</v>
      </c>
      <c r="B888" t="inlineStr">
        <is>
          <t>Love Cabaret</t>
        </is>
      </c>
      <c r="C888" s="27" t="n">
        <v>45918</v>
      </c>
      <c r="D888" t="n">
        <v>0</v>
      </c>
      <c r="E888" t="inlineStr">
        <is>
          <t>ANTECIPADO</t>
        </is>
      </c>
    </row>
    <row r="889">
      <c r="A889" t="n">
        <v>128</v>
      </c>
      <c r="B889" t="inlineStr">
        <is>
          <t>Love Cabaret</t>
        </is>
      </c>
      <c r="C889" s="27" t="n">
        <v>45918</v>
      </c>
      <c r="D889" t="n">
        <v>0</v>
      </c>
      <c r="E889" t="inlineStr">
        <is>
          <t>OUTROS</t>
        </is>
      </c>
    </row>
    <row r="890">
      <c r="A890" t="n">
        <v>128</v>
      </c>
      <c r="B890" t="inlineStr">
        <is>
          <t>Love Cabaret</t>
        </is>
      </c>
      <c r="C890" s="27" t="n">
        <v>45918</v>
      </c>
      <c r="D890" t="n">
        <v>0</v>
      </c>
      <c r="E890" t="inlineStr">
        <is>
          <t>AME</t>
        </is>
      </c>
    </row>
    <row r="891">
      <c r="A891" t="n">
        <v>128</v>
      </c>
      <c r="B891" t="inlineStr">
        <is>
          <t>Love Cabaret</t>
        </is>
      </c>
      <c r="C891" s="27" t="n">
        <v>45918</v>
      </c>
      <c r="D891" t="n">
        <v>0</v>
      </c>
      <c r="E891" t="inlineStr">
        <is>
          <t>NOTAS MANUAIS + SERVIÇO</t>
        </is>
      </c>
    </row>
    <row r="892">
      <c r="A892" t="n">
        <v>128</v>
      </c>
      <c r="B892" t="inlineStr">
        <is>
          <t>Love Cabaret</t>
        </is>
      </c>
      <c r="C892" s="27" t="n">
        <v>45918</v>
      </c>
      <c r="D892" t="n">
        <v>0</v>
      </c>
      <c r="E892" t="inlineStr">
        <is>
          <t>RECARGAS DEVOLVIDAS</t>
        </is>
      </c>
    </row>
    <row r="893">
      <c r="A893" t="n">
        <v>128</v>
      </c>
      <c r="B893" t="inlineStr">
        <is>
          <t>Love Cabaret</t>
        </is>
      </c>
      <c r="C893" s="27" t="n">
        <v>45918</v>
      </c>
      <c r="D893" t="n">
        <v>0</v>
      </c>
      <c r="E893" t="inlineStr">
        <is>
          <t>VOUCHER INTEGRADO</t>
        </is>
      </c>
    </row>
    <row r="894">
      <c r="A894" t="n">
        <v>128</v>
      </c>
      <c r="B894" t="inlineStr">
        <is>
          <t>Love Cabaret</t>
        </is>
      </c>
      <c r="C894" s="27" t="n">
        <v>45918</v>
      </c>
      <c r="D894" t="n">
        <v>1222.91</v>
      </c>
      <c r="E894" t="inlineStr">
        <is>
          <t>DÉBITO</t>
        </is>
      </c>
    </row>
    <row r="895">
      <c r="A895" t="n">
        <v>128</v>
      </c>
      <c r="B895" t="inlineStr">
        <is>
          <t>Love Cabaret</t>
        </is>
      </c>
      <c r="C895" s="27" t="n">
        <v>45917</v>
      </c>
      <c r="D895" t="n">
        <v>0</v>
      </c>
      <c r="E895" t="inlineStr">
        <is>
          <t>DÉBITO</t>
        </is>
      </c>
    </row>
    <row r="896">
      <c r="A896" t="n">
        <v>128</v>
      </c>
      <c r="B896" t="inlineStr">
        <is>
          <t>Love Cabaret</t>
        </is>
      </c>
      <c r="C896" s="27" t="n">
        <v>45917</v>
      </c>
      <c r="D896" t="n">
        <v>0</v>
      </c>
      <c r="E896" t="inlineStr">
        <is>
          <t>BÔNUS</t>
        </is>
      </c>
    </row>
    <row r="897">
      <c r="A897" t="n">
        <v>128</v>
      </c>
      <c r="B897" t="inlineStr">
        <is>
          <t>Love Cabaret</t>
        </is>
      </c>
      <c r="C897" s="27" t="n">
        <v>45917</v>
      </c>
      <c r="D897" t="n">
        <v>0</v>
      </c>
      <c r="E897" t="inlineStr">
        <is>
          <t>ANTECIPADO</t>
        </is>
      </c>
    </row>
    <row r="898">
      <c r="A898" t="n">
        <v>128</v>
      </c>
      <c r="B898" t="inlineStr">
        <is>
          <t>Love Cabaret</t>
        </is>
      </c>
      <c r="C898" s="27" t="n">
        <v>45917</v>
      </c>
      <c r="D898" t="n">
        <v>0</v>
      </c>
      <c r="E898" t="inlineStr">
        <is>
          <t>OUTROS</t>
        </is>
      </c>
    </row>
    <row r="899">
      <c r="A899" t="n">
        <v>128</v>
      </c>
      <c r="B899" t="inlineStr">
        <is>
          <t>Love Cabaret</t>
        </is>
      </c>
      <c r="C899" s="27" t="n">
        <v>45917</v>
      </c>
      <c r="D899" t="n">
        <v>0</v>
      </c>
      <c r="E899" t="inlineStr">
        <is>
          <t>AME</t>
        </is>
      </c>
    </row>
    <row r="900">
      <c r="A900" t="n">
        <v>128</v>
      </c>
      <c r="B900" t="inlineStr">
        <is>
          <t>Love Cabaret</t>
        </is>
      </c>
      <c r="C900" s="27" t="n">
        <v>45917</v>
      </c>
      <c r="D900" t="n">
        <v>0</v>
      </c>
      <c r="E900" t="inlineStr">
        <is>
          <t>NOTAS MANUAIS + SERVIÇO</t>
        </is>
      </c>
    </row>
    <row r="901">
      <c r="A901" t="n">
        <v>128</v>
      </c>
      <c r="B901" t="inlineStr">
        <is>
          <t>Love Cabaret</t>
        </is>
      </c>
      <c r="C901" s="27" t="n">
        <v>45917</v>
      </c>
      <c r="D901" t="n">
        <v>0</v>
      </c>
      <c r="E901" t="inlineStr">
        <is>
          <t>RECARGAS DEVOLVIDAS</t>
        </is>
      </c>
    </row>
    <row r="902">
      <c r="A902" t="n">
        <v>128</v>
      </c>
      <c r="B902" t="inlineStr">
        <is>
          <t>Love Cabaret</t>
        </is>
      </c>
      <c r="C902" s="27" t="n">
        <v>45917</v>
      </c>
      <c r="D902" t="n">
        <v>0</v>
      </c>
      <c r="E902" t="inlineStr">
        <is>
          <t>VOUCHER INTEGRADO</t>
        </is>
      </c>
    </row>
    <row r="903">
      <c r="A903" t="n">
        <v>128</v>
      </c>
      <c r="B903" t="inlineStr">
        <is>
          <t>Love Cabaret</t>
        </is>
      </c>
      <c r="C903" s="27" t="n">
        <v>45917</v>
      </c>
      <c r="D903" t="n">
        <v>0</v>
      </c>
      <c r="E903" t="inlineStr">
        <is>
          <t>MBWAY</t>
        </is>
      </c>
    </row>
    <row r="904">
      <c r="A904" t="n">
        <v>128</v>
      </c>
      <c r="B904" t="inlineStr">
        <is>
          <t>Love Cabaret</t>
        </is>
      </c>
      <c r="C904" s="27" t="n">
        <v>45917</v>
      </c>
      <c r="D904" t="n">
        <v>0</v>
      </c>
      <c r="E904" t="inlineStr">
        <is>
          <t>CRÉDITO</t>
        </is>
      </c>
    </row>
    <row r="905">
      <c r="A905" t="n">
        <v>128</v>
      </c>
      <c r="B905" t="inlineStr">
        <is>
          <t>Love Cabaret</t>
        </is>
      </c>
      <c r="C905" s="27" t="n">
        <v>45917</v>
      </c>
      <c r="D905" t="n">
        <v>0</v>
      </c>
      <c r="E905" t="inlineStr">
        <is>
          <t>VOUCHER</t>
        </is>
      </c>
    </row>
    <row r="906">
      <c r="A906" t="n">
        <v>128</v>
      </c>
      <c r="B906" t="inlineStr">
        <is>
          <t>Love Cabaret</t>
        </is>
      </c>
      <c r="C906" s="27" t="n">
        <v>45917</v>
      </c>
      <c r="D906" t="n">
        <v>0</v>
      </c>
      <c r="E906" t="inlineStr">
        <is>
          <t>ANTECIPADO</t>
        </is>
      </c>
    </row>
    <row r="907">
      <c r="A907" t="n">
        <v>128</v>
      </c>
      <c r="B907" t="inlineStr">
        <is>
          <t>Love Cabaret</t>
        </is>
      </c>
      <c r="C907" s="27" t="n">
        <v>45917</v>
      </c>
      <c r="D907" t="n">
        <v>0</v>
      </c>
      <c r="E907" t="inlineStr">
        <is>
          <t>UBER</t>
        </is>
      </c>
    </row>
    <row r="908">
      <c r="A908" t="n">
        <v>128</v>
      </c>
      <c r="B908" t="inlineStr">
        <is>
          <t>Love Cabaret</t>
        </is>
      </c>
      <c r="C908" s="27" t="n">
        <v>45917</v>
      </c>
      <c r="D908" t="n">
        <v>0</v>
      </c>
      <c r="E908" t="inlineStr">
        <is>
          <t>RAPPI</t>
        </is>
      </c>
    </row>
    <row r="909">
      <c r="A909" t="n">
        <v>128</v>
      </c>
      <c r="B909" t="inlineStr">
        <is>
          <t>Love Cabaret</t>
        </is>
      </c>
      <c r="C909" s="27" t="n">
        <v>45917</v>
      </c>
      <c r="D909" t="n">
        <v>0</v>
      </c>
      <c r="E909" t="inlineStr">
        <is>
          <t>PIX</t>
        </is>
      </c>
    </row>
    <row r="910">
      <c r="A910" t="n">
        <v>128</v>
      </c>
      <c r="B910" t="inlineStr">
        <is>
          <t>Love Cabaret</t>
        </is>
      </c>
      <c r="C910" s="27" t="n">
        <v>45917</v>
      </c>
      <c r="D910" t="n">
        <v>0</v>
      </c>
      <c r="E910" t="inlineStr">
        <is>
          <t>IFOOD</t>
        </is>
      </c>
    </row>
    <row r="911">
      <c r="A911" t="n">
        <v>128</v>
      </c>
      <c r="B911" t="inlineStr">
        <is>
          <t>Love Cabaret</t>
        </is>
      </c>
      <c r="C911" s="27" t="n">
        <v>45917</v>
      </c>
      <c r="D911" t="n">
        <v>0</v>
      </c>
      <c r="E911" t="inlineStr">
        <is>
          <t>DELIVERY ONLINE</t>
        </is>
      </c>
    </row>
    <row r="912">
      <c r="A912" t="n">
        <v>128</v>
      </c>
      <c r="B912" t="inlineStr">
        <is>
          <t>Love Cabaret</t>
        </is>
      </c>
      <c r="C912" s="27" t="n">
        <v>45917</v>
      </c>
      <c r="D912" t="n">
        <v>0</v>
      </c>
      <c r="E912" t="inlineStr">
        <is>
          <t>APP</t>
        </is>
      </c>
    </row>
    <row r="913">
      <c r="A913" t="n">
        <v>128</v>
      </c>
      <c r="B913" t="inlineStr">
        <is>
          <t>Love Cabaret</t>
        </is>
      </c>
      <c r="C913" s="27" t="n">
        <v>45917</v>
      </c>
      <c r="D913" t="n">
        <v>0</v>
      </c>
      <c r="E913" t="inlineStr">
        <is>
          <t>DINHEIRO</t>
        </is>
      </c>
    </row>
    <row r="914">
      <c r="A914" t="n">
        <v>128</v>
      </c>
      <c r="B914" t="inlineStr">
        <is>
          <t>Love Cabaret</t>
        </is>
      </c>
      <c r="C914" s="27" t="n">
        <v>45913</v>
      </c>
      <c r="D914" t="n">
        <v>664.13</v>
      </c>
      <c r="E914" t="inlineStr">
        <is>
          <t>DINHEIRO</t>
        </is>
      </c>
    </row>
    <row r="915">
      <c r="A915" t="n">
        <v>128</v>
      </c>
      <c r="B915" t="inlineStr">
        <is>
          <t>Love Cabaret</t>
        </is>
      </c>
      <c r="C915" s="27" t="n">
        <v>45913</v>
      </c>
      <c r="D915" t="n">
        <v>0</v>
      </c>
      <c r="E915" t="inlineStr">
        <is>
          <t>OUTROS</t>
        </is>
      </c>
    </row>
    <row r="916">
      <c r="A916" t="n">
        <v>128</v>
      </c>
      <c r="B916" t="inlineStr">
        <is>
          <t>Love Cabaret</t>
        </is>
      </c>
      <c r="C916" s="27" t="n">
        <v>45913</v>
      </c>
      <c r="D916" t="n">
        <v>16878.12</v>
      </c>
      <c r="E916" t="inlineStr">
        <is>
          <t>CRÉDITO</t>
        </is>
      </c>
    </row>
    <row r="917">
      <c r="A917" t="n">
        <v>128</v>
      </c>
      <c r="B917" t="inlineStr">
        <is>
          <t>Love Cabaret</t>
        </is>
      </c>
      <c r="C917" s="27" t="n">
        <v>45913</v>
      </c>
      <c r="D917" t="n">
        <v>47</v>
      </c>
      <c r="E917" t="inlineStr">
        <is>
          <t>APP</t>
        </is>
      </c>
    </row>
    <row r="918">
      <c r="A918" t="n">
        <v>128</v>
      </c>
      <c r="B918" t="inlineStr">
        <is>
          <t>Love Cabaret</t>
        </is>
      </c>
      <c r="C918" s="27" t="n">
        <v>45913</v>
      </c>
      <c r="D918" t="n">
        <v>0</v>
      </c>
      <c r="E918" t="inlineStr">
        <is>
          <t>DELIVERY ONLINE</t>
        </is>
      </c>
    </row>
    <row r="919">
      <c r="A919" t="n">
        <v>128</v>
      </c>
      <c r="B919" t="inlineStr">
        <is>
          <t>Love Cabaret</t>
        </is>
      </c>
      <c r="C919" s="27" t="n">
        <v>45913</v>
      </c>
      <c r="D919" t="n">
        <v>0</v>
      </c>
      <c r="E919" t="inlineStr">
        <is>
          <t>IFOOD</t>
        </is>
      </c>
    </row>
    <row r="920">
      <c r="A920" t="n">
        <v>128</v>
      </c>
      <c r="B920" t="inlineStr">
        <is>
          <t>Love Cabaret</t>
        </is>
      </c>
      <c r="C920" s="27" t="n">
        <v>45913</v>
      </c>
      <c r="D920" t="n">
        <v>1556.37</v>
      </c>
      <c r="E920" t="inlineStr">
        <is>
          <t>PIX</t>
        </is>
      </c>
    </row>
    <row r="921">
      <c r="A921" t="n">
        <v>128</v>
      </c>
      <c r="B921" t="inlineStr">
        <is>
          <t>Love Cabaret</t>
        </is>
      </c>
      <c r="C921" s="27" t="n">
        <v>45913</v>
      </c>
      <c r="D921" t="n">
        <v>0</v>
      </c>
      <c r="E921" t="inlineStr">
        <is>
          <t>RAPPI</t>
        </is>
      </c>
    </row>
    <row r="922">
      <c r="A922" t="n">
        <v>128</v>
      </c>
      <c r="B922" t="inlineStr">
        <is>
          <t>Love Cabaret</t>
        </is>
      </c>
      <c r="C922" s="27" t="n">
        <v>45913</v>
      </c>
      <c r="D922" t="n">
        <v>0</v>
      </c>
      <c r="E922" t="inlineStr">
        <is>
          <t>UBER</t>
        </is>
      </c>
    </row>
    <row r="923">
      <c r="A923" t="n">
        <v>128</v>
      </c>
      <c r="B923" t="inlineStr">
        <is>
          <t>Love Cabaret</t>
        </is>
      </c>
      <c r="C923" s="27" t="n">
        <v>45913</v>
      </c>
      <c r="D923" t="n">
        <v>0</v>
      </c>
      <c r="E923" t="inlineStr">
        <is>
          <t>ANTECIPADO</t>
        </is>
      </c>
    </row>
    <row r="924">
      <c r="A924" t="n">
        <v>128</v>
      </c>
      <c r="B924" t="inlineStr">
        <is>
          <t>Love Cabaret</t>
        </is>
      </c>
      <c r="C924" s="27" t="n">
        <v>45913</v>
      </c>
      <c r="D924" t="n">
        <v>0</v>
      </c>
      <c r="E924" t="inlineStr">
        <is>
          <t>VOUCHER</t>
        </is>
      </c>
    </row>
    <row r="925">
      <c r="A925" t="n">
        <v>128</v>
      </c>
      <c r="B925" t="inlineStr">
        <is>
          <t>Love Cabaret</t>
        </is>
      </c>
      <c r="C925" s="27" t="n">
        <v>45913</v>
      </c>
      <c r="D925" t="n">
        <v>7155.35</v>
      </c>
      <c r="E925" t="inlineStr">
        <is>
          <t>DÉBITO</t>
        </is>
      </c>
    </row>
    <row r="926">
      <c r="A926" t="n">
        <v>128</v>
      </c>
      <c r="B926" t="inlineStr">
        <is>
          <t>Love Cabaret</t>
        </is>
      </c>
      <c r="C926" s="27" t="n">
        <v>45913</v>
      </c>
      <c r="D926" t="n">
        <v>0</v>
      </c>
      <c r="E926" t="inlineStr">
        <is>
          <t>BÔNUS</t>
        </is>
      </c>
    </row>
    <row r="927">
      <c r="A927" t="n">
        <v>128</v>
      </c>
      <c r="B927" t="inlineStr">
        <is>
          <t>Love Cabaret</t>
        </is>
      </c>
      <c r="C927" s="27" t="n">
        <v>45913</v>
      </c>
      <c r="D927" t="n">
        <v>0</v>
      </c>
      <c r="E927" t="inlineStr">
        <is>
          <t>ANTECIPADO</t>
        </is>
      </c>
    </row>
    <row r="928">
      <c r="A928" t="n">
        <v>128</v>
      </c>
      <c r="B928" t="inlineStr">
        <is>
          <t>Love Cabaret</t>
        </is>
      </c>
      <c r="C928" s="27" t="n">
        <v>45913</v>
      </c>
      <c r="D928" t="n">
        <v>0</v>
      </c>
      <c r="E928" t="inlineStr">
        <is>
          <t>MBWAY</t>
        </is>
      </c>
    </row>
    <row r="929">
      <c r="A929" t="n">
        <v>128</v>
      </c>
      <c r="B929" t="inlineStr">
        <is>
          <t>Love Cabaret</t>
        </is>
      </c>
      <c r="C929" s="27" t="n">
        <v>45913</v>
      </c>
      <c r="D929" t="n">
        <v>0</v>
      </c>
      <c r="E929" t="inlineStr">
        <is>
          <t>VOUCHER INTEGRADO</t>
        </is>
      </c>
    </row>
    <row r="930">
      <c r="A930" t="n">
        <v>128</v>
      </c>
      <c r="B930" t="inlineStr">
        <is>
          <t>Love Cabaret</t>
        </is>
      </c>
      <c r="C930" s="27" t="n">
        <v>45913</v>
      </c>
      <c r="D930" t="n">
        <v>0</v>
      </c>
      <c r="E930" t="inlineStr">
        <is>
          <t>RECARGAS DEVOLVIDAS</t>
        </is>
      </c>
    </row>
    <row r="931">
      <c r="A931" t="n">
        <v>128</v>
      </c>
      <c r="B931" t="inlineStr">
        <is>
          <t>Love Cabaret</t>
        </is>
      </c>
      <c r="C931" s="27" t="n">
        <v>45913</v>
      </c>
      <c r="D931" t="n">
        <v>0</v>
      </c>
      <c r="E931" t="inlineStr">
        <is>
          <t>NOTAS MANUAIS + SERVIÇO</t>
        </is>
      </c>
    </row>
    <row r="932">
      <c r="A932" t="n">
        <v>128</v>
      </c>
      <c r="B932" t="inlineStr">
        <is>
          <t>Love Cabaret</t>
        </is>
      </c>
      <c r="C932" s="27" t="n">
        <v>45913</v>
      </c>
      <c r="D932" t="n">
        <v>0</v>
      </c>
      <c r="E932" t="inlineStr">
        <is>
          <t>AME</t>
        </is>
      </c>
    </row>
    <row r="933">
      <c r="A933" t="n">
        <v>128</v>
      </c>
      <c r="B933" t="inlineStr">
        <is>
          <t>Love Cabaret</t>
        </is>
      </c>
      <c r="C933" s="27" t="n">
        <v>45912</v>
      </c>
      <c r="D933" t="n">
        <v>0</v>
      </c>
      <c r="E933" t="inlineStr">
        <is>
          <t>OUTROS</t>
        </is>
      </c>
    </row>
    <row r="934">
      <c r="A934" t="n">
        <v>128</v>
      </c>
      <c r="B934" t="inlineStr">
        <is>
          <t>Love Cabaret</t>
        </is>
      </c>
      <c r="C934" s="27" t="n">
        <v>45912</v>
      </c>
      <c r="D934" t="n">
        <v>-74.58</v>
      </c>
      <c r="E934" t="inlineStr">
        <is>
          <t>RECARGAS DEVOLVIDAS</t>
        </is>
      </c>
    </row>
    <row r="935">
      <c r="A935" t="n">
        <v>128</v>
      </c>
      <c r="B935" t="inlineStr">
        <is>
          <t>Love Cabaret</t>
        </is>
      </c>
      <c r="C935" s="27" t="n">
        <v>45912</v>
      </c>
      <c r="D935" t="n">
        <v>0</v>
      </c>
      <c r="E935" t="inlineStr">
        <is>
          <t>NOTAS MANUAIS + SERVIÇO</t>
        </is>
      </c>
    </row>
    <row r="936">
      <c r="A936" t="n">
        <v>128</v>
      </c>
      <c r="B936" t="inlineStr">
        <is>
          <t>Love Cabaret</t>
        </is>
      </c>
      <c r="C936" s="27" t="n">
        <v>45912</v>
      </c>
      <c r="D936" t="n">
        <v>0</v>
      </c>
      <c r="E936" t="inlineStr">
        <is>
          <t>AME</t>
        </is>
      </c>
    </row>
    <row r="937">
      <c r="A937" t="n">
        <v>128</v>
      </c>
      <c r="B937" t="inlineStr">
        <is>
          <t>Love Cabaret</t>
        </is>
      </c>
      <c r="C937" s="27" t="n">
        <v>45912</v>
      </c>
      <c r="D937" t="n">
        <v>22514.48</v>
      </c>
      <c r="E937" t="inlineStr">
        <is>
          <t>CRÉDITO</t>
        </is>
      </c>
    </row>
    <row r="938">
      <c r="A938" t="n">
        <v>128</v>
      </c>
      <c r="B938" t="inlineStr">
        <is>
          <t>Love Cabaret</t>
        </is>
      </c>
      <c r="C938" s="27" t="n">
        <v>45912</v>
      </c>
      <c r="D938" t="n">
        <v>100</v>
      </c>
      <c r="E938" t="inlineStr">
        <is>
          <t>DINHEIRO</t>
        </is>
      </c>
    </row>
    <row r="939">
      <c r="A939" t="n">
        <v>128</v>
      </c>
      <c r="B939" t="inlineStr">
        <is>
          <t>Love Cabaret</t>
        </is>
      </c>
      <c r="C939" s="27" t="n">
        <v>45912</v>
      </c>
      <c r="D939" t="n">
        <v>0</v>
      </c>
      <c r="E939" t="inlineStr">
        <is>
          <t>APP</t>
        </is>
      </c>
    </row>
    <row r="940">
      <c r="A940" t="n">
        <v>128</v>
      </c>
      <c r="B940" t="inlineStr">
        <is>
          <t>Love Cabaret</t>
        </is>
      </c>
      <c r="C940" s="27" t="n">
        <v>45912</v>
      </c>
      <c r="D940" t="n">
        <v>0</v>
      </c>
      <c r="E940" t="inlineStr">
        <is>
          <t>DELIVERY ONLINE</t>
        </is>
      </c>
    </row>
    <row r="941">
      <c r="A941" t="n">
        <v>128</v>
      </c>
      <c r="B941" t="inlineStr">
        <is>
          <t>Love Cabaret</t>
        </is>
      </c>
      <c r="C941" s="27" t="n">
        <v>45912</v>
      </c>
      <c r="D941" t="n">
        <v>0</v>
      </c>
      <c r="E941" t="inlineStr">
        <is>
          <t>IFOOD</t>
        </is>
      </c>
    </row>
    <row r="942">
      <c r="A942" t="n">
        <v>128</v>
      </c>
      <c r="B942" t="inlineStr">
        <is>
          <t>Love Cabaret</t>
        </is>
      </c>
      <c r="C942" s="27" t="n">
        <v>45912</v>
      </c>
      <c r="D942" t="n">
        <v>2941.39</v>
      </c>
      <c r="E942" t="inlineStr">
        <is>
          <t>PIX</t>
        </is>
      </c>
    </row>
    <row r="943">
      <c r="A943" t="n">
        <v>128</v>
      </c>
      <c r="B943" t="inlineStr">
        <is>
          <t>Love Cabaret</t>
        </is>
      </c>
      <c r="C943" s="27" t="n">
        <v>45912</v>
      </c>
      <c r="D943" t="n">
        <v>0</v>
      </c>
      <c r="E943" t="inlineStr">
        <is>
          <t>RAPPI</t>
        </is>
      </c>
    </row>
    <row r="944">
      <c r="A944" t="n">
        <v>128</v>
      </c>
      <c r="B944" t="inlineStr">
        <is>
          <t>Love Cabaret</t>
        </is>
      </c>
      <c r="C944" s="27" t="n">
        <v>45912</v>
      </c>
      <c r="D944" t="n">
        <v>0</v>
      </c>
      <c r="E944" t="inlineStr">
        <is>
          <t>UBER</t>
        </is>
      </c>
    </row>
    <row r="945">
      <c r="A945" t="n">
        <v>128</v>
      </c>
      <c r="B945" t="inlineStr">
        <is>
          <t>Love Cabaret</t>
        </is>
      </c>
      <c r="C945" s="27" t="n">
        <v>45912</v>
      </c>
      <c r="D945" t="n">
        <v>0</v>
      </c>
      <c r="E945" t="inlineStr">
        <is>
          <t>ANTECIPADO</t>
        </is>
      </c>
    </row>
    <row r="946">
      <c r="A946" t="n">
        <v>128</v>
      </c>
      <c r="B946" t="inlineStr">
        <is>
          <t>Love Cabaret</t>
        </is>
      </c>
      <c r="C946" s="27" t="n">
        <v>45912</v>
      </c>
      <c r="D946" t="n">
        <v>0</v>
      </c>
      <c r="E946" t="inlineStr">
        <is>
          <t>VOUCHER</t>
        </is>
      </c>
    </row>
    <row r="947">
      <c r="A947" t="n">
        <v>128</v>
      </c>
      <c r="B947" t="inlineStr">
        <is>
          <t>Love Cabaret</t>
        </is>
      </c>
      <c r="C947" s="27" t="n">
        <v>45912</v>
      </c>
      <c r="D947" t="n">
        <v>9600.389999999999</v>
      </c>
      <c r="E947" t="inlineStr">
        <is>
          <t>DÉBITO</t>
        </is>
      </c>
    </row>
    <row r="948">
      <c r="A948" t="n">
        <v>128</v>
      </c>
      <c r="B948" t="inlineStr">
        <is>
          <t>Love Cabaret</t>
        </is>
      </c>
      <c r="C948" s="27" t="n">
        <v>45912</v>
      </c>
      <c r="D948" t="n">
        <v>0</v>
      </c>
      <c r="E948" t="inlineStr">
        <is>
          <t>BÔNUS</t>
        </is>
      </c>
    </row>
    <row r="949">
      <c r="A949" t="n">
        <v>128</v>
      </c>
      <c r="B949" t="inlineStr">
        <is>
          <t>Love Cabaret</t>
        </is>
      </c>
      <c r="C949" s="27" t="n">
        <v>45912</v>
      </c>
      <c r="D949" t="n">
        <v>0</v>
      </c>
      <c r="E949" t="inlineStr">
        <is>
          <t>ANTECIPADO</t>
        </is>
      </c>
    </row>
    <row r="950">
      <c r="A950" t="n">
        <v>128</v>
      </c>
      <c r="B950" t="inlineStr">
        <is>
          <t>Love Cabaret</t>
        </is>
      </c>
      <c r="C950" s="27" t="n">
        <v>45912</v>
      </c>
      <c r="D950" t="n">
        <v>0</v>
      </c>
      <c r="E950" t="inlineStr">
        <is>
          <t>MBWAY</t>
        </is>
      </c>
    </row>
    <row r="951">
      <c r="A951" t="n">
        <v>128</v>
      </c>
      <c r="B951" t="inlineStr">
        <is>
          <t>Love Cabaret</t>
        </is>
      </c>
      <c r="C951" s="27" t="n">
        <v>45912</v>
      </c>
      <c r="D951" t="n">
        <v>0</v>
      </c>
      <c r="E951" t="inlineStr">
        <is>
          <t>VOUCHER INTEGRADO</t>
        </is>
      </c>
    </row>
    <row r="952">
      <c r="A952" t="n">
        <v>128</v>
      </c>
      <c r="B952" t="inlineStr">
        <is>
          <t>Love Cabaret</t>
        </is>
      </c>
      <c r="C952" s="27" t="n">
        <v>45911</v>
      </c>
      <c r="D952" t="n">
        <v>0</v>
      </c>
      <c r="E952" t="inlineStr">
        <is>
          <t>ANTECIPADO</t>
        </is>
      </c>
    </row>
    <row r="953">
      <c r="A953" t="n">
        <v>128</v>
      </c>
      <c r="B953" t="inlineStr">
        <is>
          <t>Love Cabaret</t>
        </is>
      </c>
      <c r="C953" s="27" t="n">
        <v>45911</v>
      </c>
      <c r="D953" t="n">
        <v>0</v>
      </c>
      <c r="E953" t="inlineStr">
        <is>
          <t>VOUCHER INTEGRADO</t>
        </is>
      </c>
    </row>
    <row r="954">
      <c r="A954" t="n">
        <v>128</v>
      </c>
      <c r="B954" t="inlineStr">
        <is>
          <t>Love Cabaret</t>
        </is>
      </c>
      <c r="C954" s="27" t="n">
        <v>45911</v>
      </c>
      <c r="D954" t="n">
        <v>0</v>
      </c>
      <c r="E954" t="inlineStr">
        <is>
          <t>RECARGAS DEVOLVIDAS</t>
        </is>
      </c>
    </row>
    <row r="955">
      <c r="A955" t="n">
        <v>128</v>
      </c>
      <c r="B955" t="inlineStr">
        <is>
          <t>Love Cabaret</t>
        </is>
      </c>
      <c r="C955" s="27" t="n">
        <v>45911</v>
      </c>
      <c r="D955" t="n">
        <v>0</v>
      </c>
      <c r="E955" t="inlineStr">
        <is>
          <t>NOTAS MANUAIS + SERVIÇO</t>
        </is>
      </c>
    </row>
    <row r="956">
      <c r="A956" t="n">
        <v>128</v>
      </c>
      <c r="B956" t="inlineStr">
        <is>
          <t>Love Cabaret</t>
        </is>
      </c>
      <c r="C956" s="27" t="n">
        <v>45911</v>
      </c>
      <c r="D956" t="n">
        <v>0</v>
      </c>
      <c r="E956" t="inlineStr">
        <is>
          <t>AME</t>
        </is>
      </c>
    </row>
    <row r="957">
      <c r="A957" t="n">
        <v>128</v>
      </c>
      <c r="B957" t="inlineStr">
        <is>
          <t>Love Cabaret</t>
        </is>
      </c>
      <c r="C957" s="27" t="n">
        <v>45911</v>
      </c>
      <c r="D957" t="n">
        <v>0</v>
      </c>
      <c r="E957" t="inlineStr">
        <is>
          <t>OUTROS</t>
        </is>
      </c>
    </row>
    <row r="958">
      <c r="A958" t="n">
        <v>128</v>
      </c>
      <c r="B958" t="inlineStr">
        <is>
          <t>Love Cabaret</t>
        </is>
      </c>
      <c r="C958" s="27" t="n">
        <v>45911</v>
      </c>
      <c r="D958" t="n">
        <v>0</v>
      </c>
      <c r="E958" t="inlineStr">
        <is>
          <t>ANTECIPADO</t>
        </is>
      </c>
    </row>
    <row r="959">
      <c r="A959" t="n">
        <v>128</v>
      </c>
      <c r="B959" t="inlineStr">
        <is>
          <t>Love Cabaret</t>
        </is>
      </c>
      <c r="C959" s="27" t="n">
        <v>45911</v>
      </c>
      <c r="D959" t="n">
        <v>0</v>
      </c>
      <c r="E959" t="inlineStr">
        <is>
          <t>BÔNUS</t>
        </is>
      </c>
    </row>
    <row r="960">
      <c r="A960" t="n">
        <v>128</v>
      </c>
      <c r="B960" t="inlineStr">
        <is>
          <t>Love Cabaret</t>
        </is>
      </c>
      <c r="C960" s="27" t="n">
        <v>45911</v>
      </c>
      <c r="D960" t="n">
        <v>1776.09</v>
      </c>
      <c r="E960" t="inlineStr">
        <is>
          <t>DÉBITO</t>
        </is>
      </c>
    </row>
    <row r="961">
      <c r="A961" t="n">
        <v>128</v>
      </c>
      <c r="B961" t="inlineStr">
        <is>
          <t>Love Cabaret</t>
        </is>
      </c>
      <c r="C961" s="27" t="n">
        <v>45911</v>
      </c>
      <c r="D961" t="n">
        <v>0</v>
      </c>
      <c r="E961" t="inlineStr">
        <is>
          <t>VOUCHER</t>
        </is>
      </c>
    </row>
    <row r="962">
      <c r="A962" t="n">
        <v>128</v>
      </c>
      <c r="B962" t="inlineStr">
        <is>
          <t>Love Cabaret</t>
        </is>
      </c>
      <c r="C962" s="27" t="n">
        <v>45911</v>
      </c>
      <c r="D962" t="n">
        <v>0</v>
      </c>
      <c r="E962" t="inlineStr">
        <is>
          <t>MBWAY</t>
        </is>
      </c>
    </row>
    <row r="963">
      <c r="A963" t="n">
        <v>128</v>
      </c>
      <c r="B963" t="inlineStr">
        <is>
          <t>Love Cabaret</t>
        </is>
      </c>
      <c r="C963" s="27" t="n">
        <v>45911</v>
      </c>
      <c r="D963" t="n">
        <v>0</v>
      </c>
      <c r="E963" t="inlineStr">
        <is>
          <t>UBER</t>
        </is>
      </c>
    </row>
    <row r="964">
      <c r="A964" t="n">
        <v>128</v>
      </c>
      <c r="B964" t="inlineStr">
        <is>
          <t>Love Cabaret</t>
        </is>
      </c>
      <c r="C964" s="27" t="n">
        <v>45911</v>
      </c>
      <c r="D964" t="n">
        <v>0</v>
      </c>
      <c r="E964" t="inlineStr">
        <is>
          <t>RAPPI</t>
        </is>
      </c>
    </row>
    <row r="965">
      <c r="A965" t="n">
        <v>128</v>
      </c>
      <c r="B965" t="inlineStr">
        <is>
          <t>Love Cabaret</t>
        </is>
      </c>
      <c r="C965" s="27" t="n">
        <v>45911</v>
      </c>
      <c r="D965" t="n">
        <v>283.63</v>
      </c>
      <c r="E965" t="inlineStr">
        <is>
          <t>PIX</t>
        </is>
      </c>
    </row>
    <row r="966">
      <c r="A966" t="n">
        <v>128</v>
      </c>
      <c r="B966" t="inlineStr">
        <is>
          <t>Love Cabaret</t>
        </is>
      </c>
      <c r="C966" s="27" t="n">
        <v>45911</v>
      </c>
      <c r="D966" t="n">
        <v>0</v>
      </c>
      <c r="E966" t="inlineStr">
        <is>
          <t>IFOOD</t>
        </is>
      </c>
    </row>
    <row r="967">
      <c r="A967" t="n">
        <v>128</v>
      </c>
      <c r="B967" t="inlineStr">
        <is>
          <t>Love Cabaret</t>
        </is>
      </c>
      <c r="C967" s="27" t="n">
        <v>45911</v>
      </c>
      <c r="D967" t="n">
        <v>0</v>
      </c>
      <c r="E967" t="inlineStr">
        <is>
          <t>DELIVERY ONLINE</t>
        </is>
      </c>
    </row>
    <row r="968">
      <c r="A968" t="n">
        <v>128</v>
      </c>
      <c r="B968" t="inlineStr">
        <is>
          <t>Love Cabaret</t>
        </is>
      </c>
      <c r="C968" s="27" t="n">
        <v>45911</v>
      </c>
      <c r="D968" t="n">
        <v>10.68</v>
      </c>
      <c r="E968" t="inlineStr">
        <is>
          <t>APP</t>
        </is>
      </c>
    </row>
    <row r="969">
      <c r="A969" t="n">
        <v>128</v>
      </c>
      <c r="B969" t="inlineStr">
        <is>
          <t>Love Cabaret</t>
        </is>
      </c>
      <c r="C969" s="27" t="n">
        <v>45911</v>
      </c>
      <c r="D969" t="n">
        <v>335.04</v>
      </c>
      <c r="E969" t="inlineStr">
        <is>
          <t>DINHEIRO</t>
        </is>
      </c>
    </row>
    <row r="970">
      <c r="A970" t="n">
        <v>128</v>
      </c>
      <c r="B970" t="inlineStr">
        <is>
          <t>Love Cabaret</t>
        </is>
      </c>
      <c r="C970" s="27" t="n">
        <v>45911</v>
      </c>
      <c r="D970" t="n">
        <v>4765.06</v>
      </c>
      <c r="E970" t="inlineStr">
        <is>
          <t>CRÉDITO</t>
        </is>
      </c>
    </row>
    <row r="971">
      <c r="A971" t="n">
        <v>128</v>
      </c>
      <c r="B971" t="inlineStr">
        <is>
          <t>Love Cabaret</t>
        </is>
      </c>
      <c r="C971" s="27" t="n">
        <v>45906</v>
      </c>
      <c r="D971" t="n">
        <v>0</v>
      </c>
      <c r="E971" t="inlineStr">
        <is>
          <t>VOUCHER INTEGRADO</t>
        </is>
      </c>
    </row>
    <row r="972">
      <c r="A972" t="n">
        <v>128</v>
      </c>
      <c r="B972" t="inlineStr">
        <is>
          <t>Love Cabaret</t>
        </is>
      </c>
      <c r="C972" s="27" t="n">
        <v>45906</v>
      </c>
      <c r="D972" t="n">
        <v>0</v>
      </c>
      <c r="E972" t="inlineStr">
        <is>
          <t>ANTECIPADO</t>
        </is>
      </c>
    </row>
    <row r="973">
      <c r="A973" t="n">
        <v>128</v>
      </c>
      <c r="B973" t="inlineStr">
        <is>
          <t>Love Cabaret</t>
        </is>
      </c>
      <c r="C973" s="27" t="n">
        <v>45906</v>
      </c>
      <c r="D973" t="n">
        <v>0</v>
      </c>
      <c r="E973" t="inlineStr">
        <is>
          <t>VOUCHER</t>
        </is>
      </c>
    </row>
    <row r="974">
      <c r="A974" t="n">
        <v>128</v>
      </c>
      <c r="B974" t="inlineStr">
        <is>
          <t>Love Cabaret</t>
        </is>
      </c>
      <c r="C974" s="27" t="n">
        <v>45906</v>
      </c>
      <c r="D974" t="n">
        <v>5450.42</v>
      </c>
      <c r="E974" t="inlineStr">
        <is>
          <t>DÉBITO</t>
        </is>
      </c>
    </row>
    <row r="975">
      <c r="A975" t="n">
        <v>128</v>
      </c>
      <c r="B975" t="inlineStr">
        <is>
          <t>Love Cabaret</t>
        </is>
      </c>
      <c r="C975" s="27" t="n">
        <v>45906</v>
      </c>
      <c r="D975" t="n">
        <v>0</v>
      </c>
      <c r="E975" t="inlineStr">
        <is>
          <t>BÔNUS</t>
        </is>
      </c>
    </row>
    <row r="976">
      <c r="A976" t="n">
        <v>128</v>
      </c>
      <c r="B976" t="inlineStr">
        <is>
          <t>Love Cabaret</t>
        </is>
      </c>
      <c r="C976" s="27" t="n">
        <v>45906</v>
      </c>
      <c r="D976" t="n">
        <v>0</v>
      </c>
      <c r="E976" t="inlineStr">
        <is>
          <t>ANTECIPADO</t>
        </is>
      </c>
    </row>
    <row r="977">
      <c r="A977" t="n">
        <v>128</v>
      </c>
      <c r="B977" t="inlineStr">
        <is>
          <t>Love Cabaret</t>
        </is>
      </c>
      <c r="C977" s="27" t="n">
        <v>45906</v>
      </c>
      <c r="D977" t="n">
        <v>0</v>
      </c>
      <c r="E977" t="inlineStr">
        <is>
          <t>OUTROS</t>
        </is>
      </c>
    </row>
    <row r="978">
      <c r="A978" t="n">
        <v>128</v>
      </c>
      <c r="B978" t="inlineStr">
        <is>
          <t>Love Cabaret</t>
        </is>
      </c>
      <c r="C978" s="27" t="n">
        <v>45906</v>
      </c>
      <c r="D978" t="n">
        <v>0</v>
      </c>
      <c r="E978" t="inlineStr">
        <is>
          <t>AME</t>
        </is>
      </c>
    </row>
    <row r="979">
      <c r="A979" t="n">
        <v>128</v>
      </c>
      <c r="B979" t="inlineStr">
        <is>
          <t>Love Cabaret</t>
        </is>
      </c>
      <c r="C979" s="27" t="n">
        <v>45906</v>
      </c>
      <c r="D979" t="n">
        <v>0</v>
      </c>
      <c r="E979" t="inlineStr">
        <is>
          <t>NOTAS MANUAIS + SERVIÇO</t>
        </is>
      </c>
    </row>
    <row r="980">
      <c r="A980" t="n">
        <v>128</v>
      </c>
      <c r="B980" t="inlineStr">
        <is>
          <t>Love Cabaret</t>
        </is>
      </c>
      <c r="C980" s="27" t="n">
        <v>45906</v>
      </c>
      <c r="D980" t="n">
        <v>0</v>
      </c>
      <c r="E980" t="inlineStr">
        <is>
          <t>RECARGAS DEVOLVIDAS</t>
        </is>
      </c>
    </row>
    <row r="981">
      <c r="A981" t="n">
        <v>128</v>
      </c>
      <c r="B981" t="inlineStr">
        <is>
          <t>Love Cabaret</t>
        </is>
      </c>
      <c r="C981" s="27" t="n">
        <v>45906</v>
      </c>
      <c r="D981" t="n">
        <v>0</v>
      </c>
      <c r="E981" t="inlineStr">
        <is>
          <t>UBER</t>
        </is>
      </c>
    </row>
    <row r="982">
      <c r="A982" t="n">
        <v>128</v>
      </c>
      <c r="B982" t="inlineStr">
        <is>
          <t>Love Cabaret</t>
        </is>
      </c>
      <c r="C982" s="27" t="n">
        <v>45906</v>
      </c>
      <c r="D982" t="n">
        <v>0</v>
      </c>
      <c r="E982" t="inlineStr">
        <is>
          <t>RAPPI</t>
        </is>
      </c>
    </row>
    <row r="983">
      <c r="A983" t="n">
        <v>128</v>
      </c>
      <c r="B983" t="inlineStr">
        <is>
          <t>Love Cabaret</t>
        </is>
      </c>
      <c r="C983" s="27" t="n">
        <v>45906</v>
      </c>
      <c r="D983" t="n">
        <v>1699.75</v>
      </c>
      <c r="E983" t="inlineStr">
        <is>
          <t>PIX</t>
        </is>
      </c>
    </row>
    <row r="984">
      <c r="A984" t="n">
        <v>128</v>
      </c>
      <c r="B984" t="inlineStr">
        <is>
          <t>Love Cabaret</t>
        </is>
      </c>
      <c r="C984" s="27" t="n">
        <v>45906</v>
      </c>
      <c r="D984" t="n">
        <v>0</v>
      </c>
      <c r="E984" t="inlineStr">
        <is>
          <t>IFOOD</t>
        </is>
      </c>
    </row>
    <row r="985">
      <c r="A985" t="n">
        <v>128</v>
      </c>
      <c r="B985" t="inlineStr">
        <is>
          <t>Love Cabaret</t>
        </is>
      </c>
      <c r="C985" s="27" t="n">
        <v>45906</v>
      </c>
      <c r="D985" t="n">
        <v>0</v>
      </c>
      <c r="E985" t="inlineStr">
        <is>
          <t>DELIVERY ONLINE</t>
        </is>
      </c>
    </row>
    <row r="986">
      <c r="A986" t="n">
        <v>128</v>
      </c>
      <c r="B986" t="inlineStr">
        <is>
          <t>Love Cabaret</t>
        </is>
      </c>
      <c r="C986" s="27" t="n">
        <v>45906</v>
      </c>
      <c r="D986" t="n">
        <v>87</v>
      </c>
      <c r="E986" t="inlineStr">
        <is>
          <t>APP</t>
        </is>
      </c>
    </row>
    <row r="987">
      <c r="A987" t="n">
        <v>128</v>
      </c>
      <c r="B987" t="inlineStr">
        <is>
          <t>Love Cabaret</t>
        </is>
      </c>
      <c r="C987" s="27" t="n">
        <v>45906</v>
      </c>
      <c r="D987" t="n">
        <v>30.51</v>
      </c>
      <c r="E987" t="inlineStr">
        <is>
          <t>DINHEIRO</t>
        </is>
      </c>
    </row>
    <row r="988">
      <c r="A988" t="n">
        <v>128</v>
      </c>
      <c r="B988" t="inlineStr">
        <is>
          <t>Love Cabaret</t>
        </is>
      </c>
      <c r="C988" s="27" t="n">
        <v>45906</v>
      </c>
      <c r="D988" t="n">
        <v>19050.72</v>
      </c>
      <c r="E988" t="inlineStr">
        <is>
          <t>CRÉDITO</t>
        </is>
      </c>
    </row>
    <row r="989">
      <c r="A989" t="n">
        <v>128</v>
      </c>
      <c r="B989" t="inlineStr">
        <is>
          <t>Love Cabaret</t>
        </is>
      </c>
      <c r="C989" s="27" t="n">
        <v>45906</v>
      </c>
      <c r="D989" t="n">
        <v>0</v>
      </c>
      <c r="E989" t="inlineStr">
        <is>
          <t>MBWAY</t>
        </is>
      </c>
    </row>
    <row r="990">
      <c r="A990" t="n">
        <v>128</v>
      </c>
      <c r="B990" t="inlineStr">
        <is>
          <t>Love Cabaret</t>
        </is>
      </c>
      <c r="C990" s="27" t="n">
        <v>45905</v>
      </c>
      <c r="D990" t="n">
        <v>0</v>
      </c>
      <c r="E990" t="inlineStr">
        <is>
          <t>DELIVERY ONLINE</t>
        </is>
      </c>
    </row>
    <row r="991">
      <c r="A991" t="n">
        <v>128</v>
      </c>
      <c r="B991" t="inlineStr">
        <is>
          <t>Love Cabaret</t>
        </is>
      </c>
      <c r="C991" s="27" t="n">
        <v>45905</v>
      </c>
      <c r="D991" t="n">
        <v>5835.69</v>
      </c>
      <c r="E991" t="inlineStr">
        <is>
          <t>DÉBITO</t>
        </is>
      </c>
    </row>
    <row r="992">
      <c r="A992" t="n">
        <v>128</v>
      </c>
      <c r="B992" t="inlineStr">
        <is>
          <t>Love Cabaret</t>
        </is>
      </c>
      <c r="C992" s="27" t="n">
        <v>45905</v>
      </c>
      <c r="D992" t="n">
        <v>0</v>
      </c>
      <c r="E992" t="inlineStr">
        <is>
          <t>BÔNUS</t>
        </is>
      </c>
    </row>
    <row r="993">
      <c r="A993" t="n">
        <v>128</v>
      </c>
      <c r="B993" t="inlineStr">
        <is>
          <t>Love Cabaret</t>
        </is>
      </c>
      <c r="C993" s="27" t="n">
        <v>45905</v>
      </c>
      <c r="D993" t="n">
        <v>0</v>
      </c>
      <c r="E993" t="inlineStr">
        <is>
          <t>ANTECIPADO</t>
        </is>
      </c>
    </row>
    <row r="994">
      <c r="A994" t="n">
        <v>128</v>
      </c>
      <c r="B994" t="inlineStr">
        <is>
          <t>Love Cabaret</t>
        </is>
      </c>
      <c r="C994" s="27" t="n">
        <v>45905</v>
      </c>
      <c r="D994" t="n">
        <v>0</v>
      </c>
      <c r="E994" t="inlineStr">
        <is>
          <t>OUTROS</t>
        </is>
      </c>
    </row>
    <row r="995">
      <c r="A995" t="n">
        <v>128</v>
      </c>
      <c r="B995" t="inlineStr">
        <is>
          <t>Love Cabaret</t>
        </is>
      </c>
      <c r="C995" s="27" t="n">
        <v>45905</v>
      </c>
      <c r="D995" t="n">
        <v>0</v>
      </c>
      <c r="E995" t="inlineStr">
        <is>
          <t>AME</t>
        </is>
      </c>
    </row>
    <row r="996">
      <c r="A996" t="n">
        <v>128</v>
      </c>
      <c r="B996" t="inlineStr">
        <is>
          <t>Love Cabaret</t>
        </is>
      </c>
      <c r="C996" s="27" t="n">
        <v>45905</v>
      </c>
      <c r="D996" t="n">
        <v>0</v>
      </c>
      <c r="E996" t="inlineStr">
        <is>
          <t>NOTAS MANUAIS + SERVIÇO</t>
        </is>
      </c>
    </row>
    <row r="997">
      <c r="A997" t="n">
        <v>128</v>
      </c>
      <c r="B997" t="inlineStr">
        <is>
          <t>Love Cabaret</t>
        </is>
      </c>
      <c r="C997" s="27" t="n">
        <v>45905</v>
      </c>
      <c r="D997" t="n">
        <v>0</v>
      </c>
      <c r="E997" t="inlineStr">
        <is>
          <t>RECARGAS DEVOLVIDAS</t>
        </is>
      </c>
    </row>
    <row r="998">
      <c r="A998" t="n">
        <v>128</v>
      </c>
      <c r="B998" t="inlineStr">
        <is>
          <t>Love Cabaret</t>
        </is>
      </c>
      <c r="C998" s="27" t="n">
        <v>45905</v>
      </c>
      <c r="D998" t="n">
        <v>0</v>
      </c>
      <c r="E998" t="inlineStr">
        <is>
          <t>VOUCHER INTEGRADO</t>
        </is>
      </c>
    </row>
    <row r="999">
      <c r="A999" t="n">
        <v>128</v>
      </c>
      <c r="B999" t="inlineStr">
        <is>
          <t>Love Cabaret</t>
        </is>
      </c>
      <c r="C999" s="27" t="n">
        <v>45905</v>
      </c>
      <c r="D999" t="n">
        <v>0</v>
      </c>
      <c r="E999" t="inlineStr">
        <is>
          <t>MBWAY</t>
        </is>
      </c>
    </row>
    <row r="1000">
      <c r="A1000" t="n">
        <v>128</v>
      </c>
      <c r="B1000" t="inlineStr">
        <is>
          <t>Love Cabaret</t>
        </is>
      </c>
      <c r="C1000" s="27" t="n">
        <v>45905</v>
      </c>
      <c r="D1000" t="n">
        <v>15214.4</v>
      </c>
      <c r="E1000" t="inlineStr">
        <is>
          <t>CRÉDITO</t>
        </is>
      </c>
    </row>
    <row r="1001">
      <c r="A1001" t="n">
        <v>128</v>
      </c>
      <c r="B1001" t="inlineStr">
        <is>
          <t>Love Cabaret</t>
        </is>
      </c>
      <c r="C1001" s="27" t="n">
        <v>45905</v>
      </c>
      <c r="D1001" t="n">
        <v>0</v>
      </c>
      <c r="E1001" t="inlineStr">
        <is>
          <t>DINHEIRO</t>
        </is>
      </c>
    </row>
    <row r="1002">
      <c r="A1002" t="n">
        <v>128</v>
      </c>
      <c r="B1002" t="inlineStr">
        <is>
          <t>Love Cabaret</t>
        </is>
      </c>
      <c r="C1002" s="27" t="n">
        <v>45905</v>
      </c>
      <c r="D1002" t="n">
        <v>0</v>
      </c>
      <c r="E1002" t="inlineStr">
        <is>
          <t>APP</t>
        </is>
      </c>
    </row>
    <row r="1003">
      <c r="A1003" t="n">
        <v>128</v>
      </c>
      <c r="B1003" t="inlineStr">
        <is>
          <t>Love Cabaret</t>
        </is>
      </c>
      <c r="C1003" s="27" t="n">
        <v>45905</v>
      </c>
      <c r="D1003" t="n">
        <v>0</v>
      </c>
      <c r="E1003" t="inlineStr">
        <is>
          <t>VOUCHER</t>
        </is>
      </c>
    </row>
    <row r="1004">
      <c r="A1004" t="n">
        <v>128</v>
      </c>
      <c r="B1004" t="inlineStr">
        <is>
          <t>Love Cabaret</t>
        </is>
      </c>
      <c r="C1004" s="27" t="n">
        <v>45905</v>
      </c>
      <c r="D1004" t="n">
        <v>0</v>
      </c>
      <c r="E1004" t="inlineStr">
        <is>
          <t>ANTECIPADO</t>
        </is>
      </c>
    </row>
    <row r="1005">
      <c r="A1005" t="n">
        <v>128</v>
      </c>
      <c r="B1005" t="inlineStr">
        <is>
          <t>Love Cabaret</t>
        </is>
      </c>
      <c r="C1005" s="27" t="n">
        <v>45905</v>
      </c>
      <c r="D1005" t="n">
        <v>0</v>
      </c>
      <c r="E1005" t="inlineStr">
        <is>
          <t>UBER</t>
        </is>
      </c>
    </row>
    <row r="1006">
      <c r="A1006" t="n">
        <v>128</v>
      </c>
      <c r="B1006" t="inlineStr">
        <is>
          <t>Love Cabaret</t>
        </is>
      </c>
      <c r="C1006" s="27" t="n">
        <v>45905</v>
      </c>
      <c r="D1006" t="n">
        <v>0</v>
      </c>
      <c r="E1006" t="inlineStr">
        <is>
          <t>RAPPI</t>
        </is>
      </c>
    </row>
    <row r="1007">
      <c r="A1007" t="n">
        <v>128</v>
      </c>
      <c r="B1007" t="inlineStr">
        <is>
          <t>Love Cabaret</t>
        </is>
      </c>
      <c r="C1007" s="27" t="n">
        <v>45905</v>
      </c>
      <c r="D1007" t="n">
        <v>2047.79</v>
      </c>
      <c r="E1007" t="inlineStr">
        <is>
          <t>PIX</t>
        </is>
      </c>
    </row>
    <row r="1008">
      <c r="A1008" t="n">
        <v>128</v>
      </c>
      <c r="B1008" t="inlineStr">
        <is>
          <t>Love Cabaret</t>
        </is>
      </c>
      <c r="C1008" s="27" t="n">
        <v>45905</v>
      </c>
      <c r="D1008" t="n">
        <v>0</v>
      </c>
      <c r="E1008" t="inlineStr">
        <is>
          <t>IFOOD</t>
        </is>
      </c>
    </row>
    <row r="1009">
      <c r="A1009" t="n">
        <v>128</v>
      </c>
      <c r="B1009" t="inlineStr">
        <is>
          <t>Love Cabaret</t>
        </is>
      </c>
      <c r="C1009" s="27" t="n">
        <v>45904</v>
      </c>
      <c r="D1009" t="n">
        <v>100</v>
      </c>
      <c r="E1009" t="inlineStr">
        <is>
          <t>DINHEIRO</t>
        </is>
      </c>
    </row>
    <row r="1010">
      <c r="A1010" t="n">
        <v>128</v>
      </c>
      <c r="B1010" t="inlineStr">
        <is>
          <t>Love Cabaret</t>
        </is>
      </c>
      <c r="C1010" s="27" t="n">
        <v>45904</v>
      </c>
      <c r="D1010" t="n">
        <v>0</v>
      </c>
      <c r="E1010" t="inlineStr">
        <is>
          <t>APP</t>
        </is>
      </c>
    </row>
    <row r="1011">
      <c r="A1011" t="n">
        <v>128</v>
      </c>
      <c r="B1011" t="inlineStr">
        <is>
          <t>Love Cabaret</t>
        </is>
      </c>
      <c r="C1011" s="27" t="n">
        <v>45904</v>
      </c>
      <c r="D1011" t="n">
        <v>0</v>
      </c>
      <c r="E1011" t="inlineStr">
        <is>
          <t>DELIVERY ONLINE</t>
        </is>
      </c>
    </row>
    <row r="1012">
      <c r="A1012" t="n">
        <v>128</v>
      </c>
      <c r="B1012" t="inlineStr">
        <is>
          <t>Love Cabaret</t>
        </is>
      </c>
      <c r="C1012" s="27" t="n">
        <v>45904</v>
      </c>
      <c r="D1012" t="n">
        <v>0</v>
      </c>
      <c r="E1012" t="inlineStr">
        <is>
          <t>IFOOD</t>
        </is>
      </c>
    </row>
    <row r="1013">
      <c r="A1013" t="n">
        <v>128</v>
      </c>
      <c r="B1013" t="inlineStr">
        <is>
          <t>Love Cabaret</t>
        </is>
      </c>
      <c r="C1013" s="27" t="n">
        <v>45904</v>
      </c>
      <c r="D1013" t="n">
        <v>1537.93</v>
      </c>
      <c r="E1013" t="inlineStr">
        <is>
          <t>PIX</t>
        </is>
      </c>
    </row>
    <row r="1014">
      <c r="A1014" t="n">
        <v>128</v>
      </c>
      <c r="B1014" t="inlineStr">
        <is>
          <t>Love Cabaret</t>
        </is>
      </c>
      <c r="C1014" s="27" t="n">
        <v>45904</v>
      </c>
      <c r="D1014" t="n">
        <v>0</v>
      </c>
      <c r="E1014" t="inlineStr">
        <is>
          <t>RAPPI</t>
        </is>
      </c>
    </row>
    <row r="1015">
      <c r="A1015" t="n">
        <v>128</v>
      </c>
      <c r="B1015" t="inlineStr">
        <is>
          <t>Love Cabaret</t>
        </is>
      </c>
      <c r="C1015" s="27" t="n">
        <v>45904</v>
      </c>
      <c r="D1015" t="n">
        <v>0</v>
      </c>
      <c r="E1015" t="inlineStr">
        <is>
          <t>UBER</t>
        </is>
      </c>
    </row>
    <row r="1016">
      <c r="A1016" t="n">
        <v>128</v>
      </c>
      <c r="B1016" t="inlineStr">
        <is>
          <t>Love Cabaret</t>
        </is>
      </c>
      <c r="C1016" s="27" t="n">
        <v>45904</v>
      </c>
      <c r="D1016" t="n">
        <v>0</v>
      </c>
      <c r="E1016" t="inlineStr">
        <is>
          <t>ANTECIPADO</t>
        </is>
      </c>
    </row>
    <row r="1017">
      <c r="A1017" t="n">
        <v>128</v>
      </c>
      <c r="B1017" t="inlineStr">
        <is>
          <t>Love Cabaret</t>
        </is>
      </c>
      <c r="C1017" s="27" t="n">
        <v>45904</v>
      </c>
      <c r="D1017" t="n">
        <v>0</v>
      </c>
      <c r="E1017" t="inlineStr">
        <is>
          <t>VOUCHER</t>
        </is>
      </c>
    </row>
    <row r="1018">
      <c r="A1018" t="n">
        <v>128</v>
      </c>
      <c r="B1018" t="inlineStr">
        <is>
          <t>Love Cabaret</t>
        </is>
      </c>
      <c r="C1018" s="27" t="n">
        <v>45904</v>
      </c>
      <c r="D1018" t="n">
        <v>3847</v>
      </c>
      <c r="E1018" t="inlineStr">
        <is>
          <t>DÉBITO</t>
        </is>
      </c>
    </row>
    <row r="1019">
      <c r="A1019" t="n">
        <v>128</v>
      </c>
      <c r="B1019" t="inlineStr">
        <is>
          <t>Love Cabaret</t>
        </is>
      </c>
      <c r="C1019" s="27" t="n">
        <v>45904</v>
      </c>
      <c r="D1019" t="n">
        <v>0</v>
      </c>
      <c r="E1019" t="inlineStr">
        <is>
          <t>BÔNUS</t>
        </is>
      </c>
    </row>
    <row r="1020">
      <c r="A1020" t="n">
        <v>128</v>
      </c>
      <c r="B1020" t="inlineStr">
        <is>
          <t>Love Cabaret</t>
        </is>
      </c>
      <c r="C1020" s="27" t="n">
        <v>45904</v>
      </c>
      <c r="D1020" t="n">
        <v>0</v>
      </c>
      <c r="E1020" t="inlineStr">
        <is>
          <t>ANTECIPADO</t>
        </is>
      </c>
    </row>
    <row r="1021">
      <c r="A1021" t="n">
        <v>128</v>
      </c>
      <c r="B1021" t="inlineStr">
        <is>
          <t>Love Cabaret</t>
        </is>
      </c>
      <c r="C1021" s="27" t="n">
        <v>45904</v>
      </c>
      <c r="D1021" t="n">
        <v>0</v>
      </c>
      <c r="E1021" t="inlineStr">
        <is>
          <t>OUTROS</t>
        </is>
      </c>
    </row>
    <row r="1022">
      <c r="A1022" t="n">
        <v>128</v>
      </c>
      <c r="B1022" t="inlineStr">
        <is>
          <t>Love Cabaret</t>
        </is>
      </c>
      <c r="C1022" s="27" t="n">
        <v>45904</v>
      </c>
      <c r="D1022" t="n">
        <v>0</v>
      </c>
      <c r="E1022" t="inlineStr">
        <is>
          <t>AME</t>
        </is>
      </c>
    </row>
    <row r="1023">
      <c r="A1023" t="n">
        <v>128</v>
      </c>
      <c r="B1023" t="inlineStr">
        <is>
          <t>Love Cabaret</t>
        </is>
      </c>
      <c r="C1023" s="27" t="n">
        <v>45904</v>
      </c>
      <c r="D1023" t="n">
        <v>0</v>
      </c>
      <c r="E1023" t="inlineStr">
        <is>
          <t>NOTAS MANUAIS + SERVIÇO</t>
        </is>
      </c>
    </row>
    <row r="1024">
      <c r="A1024" t="n">
        <v>128</v>
      </c>
      <c r="B1024" t="inlineStr">
        <is>
          <t>Love Cabaret</t>
        </is>
      </c>
      <c r="C1024" s="27" t="n">
        <v>45904</v>
      </c>
      <c r="D1024" t="n">
        <v>0</v>
      </c>
      <c r="E1024" t="inlineStr">
        <is>
          <t>RECARGAS DEVOLVIDAS</t>
        </is>
      </c>
    </row>
    <row r="1025">
      <c r="A1025" t="n">
        <v>128</v>
      </c>
      <c r="B1025" t="inlineStr">
        <is>
          <t>Love Cabaret</t>
        </is>
      </c>
      <c r="C1025" s="27" t="n">
        <v>45904</v>
      </c>
      <c r="D1025" t="n">
        <v>0</v>
      </c>
      <c r="E1025" t="inlineStr">
        <is>
          <t>VOUCHER INTEGRADO</t>
        </is>
      </c>
    </row>
    <row r="1026">
      <c r="A1026" t="n">
        <v>128</v>
      </c>
      <c r="B1026" t="inlineStr">
        <is>
          <t>Love Cabaret</t>
        </is>
      </c>
      <c r="C1026" s="27" t="n">
        <v>45904</v>
      </c>
      <c r="D1026" t="n">
        <v>0</v>
      </c>
      <c r="E1026" t="inlineStr">
        <is>
          <t>MBWAY</t>
        </is>
      </c>
    </row>
    <row r="1027">
      <c r="A1027" t="n">
        <v>128</v>
      </c>
      <c r="B1027" t="inlineStr">
        <is>
          <t>Love Cabaret</t>
        </is>
      </c>
      <c r="C1027" s="27" t="n">
        <v>45904</v>
      </c>
      <c r="D1027" t="n">
        <v>9483.620000000001</v>
      </c>
      <c r="E1027" t="inlineStr">
        <is>
          <t>CRÉDITO</t>
        </is>
      </c>
    </row>
    <row r="1028">
      <c r="A1028" t="n">
        <v>128</v>
      </c>
      <c r="B1028" t="inlineStr">
        <is>
          <t>Love Cabaret</t>
        </is>
      </c>
      <c r="C1028" s="27" t="n">
        <v>45903</v>
      </c>
      <c r="D1028" t="n">
        <v>0</v>
      </c>
      <c r="E1028" t="inlineStr">
        <is>
          <t>ANTECIPADO</t>
        </is>
      </c>
    </row>
    <row r="1029">
      <c r="A1029" t="n">
        <v>128</v>
      </c>
      <c r="B1029" t="inlineStr">
        <is>
          <t>Love Cabaret</t>
        </is>
      </c>
      <c r="C1029" s="27" t="n">
        <v>45903</v>
      </c>
      <c r="D1029" t="n">
        <v>0</v>
      </c>
      <c r="E1029" t="inlineStr">
        <is>
          <t>VOUCHER</t>
        </is>
      </c>
    </row>
    <row r="1030">
      <c r="A1030" t="n">
        <v>128</v>
      </c>
      <c r="B1030" t="inlineStr">
        <is>
          <t>Love Cabaret</t>
        </is>
      </c>
      <c r="C1030" s="27" t="n">
        <v>45903</v>
      </c>
      <c r="D1030" t="n">
        <v>0</v>
      </c>
      <c r="E1030" t="inlineStr">
        <is>
          <t>ANTECIPADO</t>
        </is>
      </c>
    </row>
    <row r="1031">
      <c r="A1031" t="n">
        <v>128</v>
      </c>
      <c r="B1031" t="inlineStr">
        <is>
          <t>Love Cabaret</t>
        </is>
      </c>
      <c r="C1031" s="27" t="n">
        <v>45903</v>
      </c>
      <c r="D1031" t="n">
        <v>0</v>
      </c>
      <c r="E1031" t="inlineStr">
        <is>
          <t>UBER</t>
        </is>
      </c>
    </row>
    <row r="1032">
      <c r="A1032" t="n">
        <v>128</v>
      </c>
      <c r="B1032" t="inlineStr">
        <is>
          <t>Love Cabaret</t>
        </is>
      </c>
      <c r="C1032" s="27" t="n">
        <v>45903</v>
      </c>
      <c r="D1032" t="n">
        <v>0</v>
      </c>
      <c r="E1032" t="inlineStr">
        <is>
          <t>RAPPI</t>
        </is>
      </c>
    </row>
    <row r="1033">
      <c r="A1033" t="n">
        <v>128</v>
      </c>
      <c r="B1033" t="inlineStr">
        <is>
          <t>Love Cabaret</t>
        </is>
      </c>
      <c r="C1033" s="27" t="n">
        <v>45903</v>
      </c>
      <c r="D1033" t="n">
        <v>0</v>
      </c>
      <c r="E1033" t="inlineStr">
        <is>
          <t>PIX</t>
        </is>
      </c>
    </row>
    <row r="1034">
      <c r="A1034" t="n">
        <v>128</v>
      </c>
      <c r="B1034" t="inlineStr">
        <is>
          <t>Love Cabaret</t>
        </is>
      </c>
      <c r="C1034" s="27" t="n">
        <v>45903</v>
      </c>
      <c r="D1034" t="n">
        <v>0</v>
      </c>
      <c r="E1034" t="inlineStr">
        <is>
          <t>IFOOD</t>
        </is>
      </c>
    </row>
    <row r="1035">
      <c r="A1035" t="n">
        <v>128</v>
      </c>
      <c r="B1035" t="inlineStr">
        <is>
          <t>Love Cabaret</t>
        </is>
      </c>
      <c r="C1035" s="27" t="n">
        <v>45903</v>
      </c>
      <c r="D1035" t="n">
        <v>0</v>
      </c>
      <c r="E1035" t="inlineStr">
        <is>
          <t>DÉBITO</t>
        </is>
      </c>
    </row>
    <row r="1036">
      <c r="A1036" t="n">
        <v>128</v>
      </c>
      <c r="B1036" t="inlineStr">
        <is>
          <t>Love Cabaret</t>
        </is>
      </c>
      <c r="C1036" s="27" t="n">
        <v>45903</v>
      </c>
      <c r="D1036" t="n">
        <v>0</v>
      </c>
      <c r="E1036" t="inlineStr">
        <is>
          <t>DELIVERY ONLINE</t>
        </is>
      </c>
    </row>
    <row r="1037">
      <c r="A1037" t="n">
        <v>128</v>
      </c>
      <c r="B1037" t="inlineStr">
        <is>
          <t>Love Cabaret</t>
        </is>
      </c>
      <c r="C1037" s="27" t="n">
        <v>45903</v>
      </c>
      <c r="D1037" t="n">
        <v>0</v>
      </c>
      <c r="E1037" t="inlineStr">
        <is>
          <t>APP</t>
        </is>
      </c>
    </row>
    <row r="1038">
      <c r="A1038" t="n">
        <v>128</v>
      </c>
      <c r="B1038" t="inlineStr">
        <is>
          <t>Love Cabaret</t>
        </is>
      </c>
      <c r="C1038" s="27" t="n">
        <v>45903</v>
      </c>
      <c r="D1038" t="n">
        <v>0</v>
      </c>
      <c r="E1038" t="inlineStr">
        <is>
          <t>DINHEIRO</t>
        </is>
      </c>
    </row>
    <row r="1039">
      <c r="A1039" t="n">
        <v>128</v>
      </c>
      <c r="B1039" t="inlineStr">
        <is>
          <t>Love Cabaret</t>
        </is>
      </c>
      <c r="C1039" s="27" t="n">
        <v>45903</v>
      </c>
      <c r="D1039" t="n">
        <v>224.7</v>
      </c>
      <c r="E1039" t="inlineStr">
        <is>
          <t>CRÉDITO</t>
        </is>
      </c>
    </row>
    <row r="1040">
      <c r="A1040" t="n">
        <v>128</v>
      </c>
      <c r="B1040" t="inlineStr">
        <is>
          <t>Love Cabaret</t>
        </is>
      </c>
      <c r="C1040" s="27" t="n">
        <v>45903</v>
      </c>
      <c r="D1040" t="n">
        <v>0</v>
      </c>
      <c r="E1040" t="inlineStr">
        <is>
          <t>BÔNUS</t>
        </is>
      </c>
    </row>
    <row r="1041">
      <c r="A1041" t="n">
        <v>128</v>
      </c>
      <c r="B1041" t="inlineStr">
        <is>
          <t>Love Cabaret</t>
        </is>
      </c>
      <c r="C1041" s="27" t="n">
        <v>45903</v>
      </c>
      <c r="D1041" t="n">
        <v>0</v>
      </c>
      <c r="E1041" t="inlineStr">
        <is>
          <t>OUTROS</t>
        </is>
      </c>
    </row>
    <row r="1042">
      <c r="A1042" t="n">
        <v>128</v>
      </c>
      <c r="B1042" t="inlineStr">
        <is>
          <t>Love Cabaret</t>
        </is>
      </c>
      <c r="C1042" s="27" t="n">
        <v>45903</v>
      </c>
      <c r="D1042" t="n">
        <v>0</v>
      </c>
      <c r="E1042" t="inlineStr">
        <is>
          <t>AME</t>
        </is>
      </c>
    </row>
    <row r="1043">
      <c r="A1043" t="n">
        <v>128</v>
      </c>
      <c r="B1043" t="inlineStr">
        <is>
          <t>Love Cabaret</t>
        </is>
      </c>
      <c r="C1043" s="27" t="n">
        <v>45903</v>
      </c>
      <c r="D1043" t="n">
        <v>0</v>
      </c>
      <c r="E1043" t="inlineStr">
        <is>
          <t>NOTAS MANUAIS + SERVIÇO</t>
        </is>
      </c>
    </row>
    <row r="1044">
      <c r="A1044" t="n">
        <v>128</v>
      </c>
      <c r="B1044" t="inlineStr">
        <is>
          <t>Love Cabaret</t>
        </is>
      </c>
      <c r="C1044" s="27" t="n">
        <v>45903</v>
      </c>
      <c r="D1044" t="n">
        <v>0</v>
      </c>
      <c r="E1044" t="inlineStr">
        <is>
          <t>RECARGAS DEVOLVIDAS</t>
        </is>
      </c>
    </row>
    <row r="1045">
      <c r="A1045" t="n">
        <v>128</v>
      </c>
      <c r="B1045" t="inlineStr">
        <is>
          <t>Love Cabaret</t>
        </is>
      </c>
      <c r="C1045" s="27" t="n">
        <v>45903</v>
      </c>
      <c r="D1045" t="n">
        <v>0</v>
      </c>
      <c r="E1045" t="inlineStr">
        <is>
          <t>VOUCHER INTEGRADO</t>
        </is>
      </c>
    </row>
    <row r="1046">
      <c r="A1046" t="n">
        <v>128</v>
      </c>
      <c r="B1046" t="inlineStr">
        <is>
          <t>Love Cabaret</t>
        </is>
      </c>
      <c r="C1046" s="27" t="n">
        <v>45903</v>
      </c>
      <c r="D1046" t="n">
        <v>0</v>
      </c>
      <c r="E1046" t="inlineStr">
        <is>
          <t>MBWAY</t>
        </is>
      </c>
    </row>
    <row r="1047">
      <c r="A1047" t="n">
        <v>128</v>
      </c>
      <c r="B1047" t="inlineStr">
        <is>
          <t>Love Cabaret</t>
        </is>
      </c>
      <c r="C1047" s="27" t="n">
        <v>45901</v>
      </c>
      <c r="D1047" t="n">
        <v>0</v>
      </c>
      <c r="E1047" t="inlineStr">
        <is>
          <t>NOTAS MANUAIS + SERVIÇO</t>
        </is>
      </c>
    </row>
    <row r="1048">
      <c r="A1048" t="n">
        <v>128</v>
      </c>
      <c r="B1048" t="inlineStr">
        <is>
          <t>Love Cabaret</t>
        </is>
      </c>
      <c r="C1048" s="27" t="n">
        <v>45901</v>
      </c>
      <c r="D1048" t="n">
        <v>0</v>
      </c>
      <c r="E1048" t="inlineStr">
        <is>
          <t>ANTECIPADO</t>
        </is>
      </c>
    </row>
    <row r="1049">
      <c r="A1049" t="n">
        <v>128</v>
      </c>
      <c r="B1049" t="inlineStr">
        <is>
          <t>Love Cabaret</t>
        </is>
      </c>
      <c r="C1049" s="27" t="n">
        <v>45901</v>
      </c>
      <c r="D1049" t="n">
        <v>0</v>
      </c>
      <c r="E1049" t="inlineStr">
        <is>
          <t>OUTROS</t>
        </is>
      </c>
    </row>
    <row r="1050">
      <c r="A1050" t="n">
        <v>128</v>
      </c>
      <c r="B1050" t="inlineStr">
        <is>
          <t>Love Cabaret</t>
        </is>
      </c>
      <c r="C1050" s="27" t="n">
        <v>45901</v>
      </c>
      <c r="D1050" t="n">
        <v>0</v>
      </c>
      <c r="E1050" t="inlineStr">
        <is>
          <t>AME</t>
        </is>
      </c>
    </row>
    <row r="1051">
      <c r="A1051" t="n">
        <v>128</v>
      </c>
      <c r="B1051" t="inlineStr">
        <is>
          <t>Love Cabaret</t>
        </is>
      </c>
      <c r="C1051" s="27" t="n">
        <v>45901</v>
      </c>
      <c r="D1051" t="n">
        <v>0</v>
      </c>
      <c r="E1051" t="inlineStr">
        <is>
          <t>MBWAY</t>
        </is>
      </c>
    </row>
    <row r="1052">
      <c r="A1052" t="n">
        <v>128</v>
      </c>
      <c r="B1052" t="inlineStr">
        <is>
          <t>Love Cabaret</t>
        </is>
      </c>
      <c r="C1052" s="27" t="n">
        <v>45901</v>
      </c>
      <c r="D1052" t="n">
        <v>0</v>
      </c>
      <c r="E1052" t="inlineStr">
        <is>
          <t>VOUCHER INTEGRADO</t>
        </is>
      </c>
    </row>
    <row r="1053">
      <c r="A1053" t="n">
        <v>128</v>
      </c>
      <c r="B1053" t="inlineStr">
        <is>
          <t>Love Cabaret</t>
        </is>
      </c>
      <c r="C1053" s="27" t="n">
        <v>45901</v>
      </c>
      <c r="D1053" t="n">
        <v>0</v>
      </c>
      <c r="E1053" t="inlineStr">
        <is>
          <t>RECARGAS DEVOLVIDAS</t>
        </is>
      </c>
    </row>
    <row r="1054">
      <c r="A1054" t="n">
        <v>128</v>
      </c>
      <c r="B1054" t="inlineStr">
        <is>
          <t>Love Cabaret</t>
        </is>
      </c>
      <c r="C1054" s="27" t="n">
        <v>45901</v>
      </c>
      <c r="D1054" t="n">
        <v>0</v>
      </c>
      <c r="E1054" t="inlineStr">
        <is>
          <t>BÔNUS</t>
        </is>
      </c>
    </row>
    <row r="1055">
      <c r="A1055" t="n">
        <v>128</v>
      </c>
      <c r="B1055" t="inlineStr">
        <is>
          <t>Love Cabaret</t>
        </is>
      </c>
      <c r="C1055" s="27" t="n">
        <v>45901</v>
      </c>
      <c r="D1055" t="n">
        <v>0</v>
      </c>
      <c r="E1055" t="inlineStr">
        <is>
          <t>DÉBITO</t>
        </is>
      </c>
    </row>
    <row r="1056">
      <c r="A1056" t="n">
        <v>128</v>
      </c>
      <c r="B1056" t="inlineStr">
        <is>
          <t>Love Cabaret</t>
        </is>
      </c>
      <c r="C1056" s="27" t="n">
        <v>45901</v>
      </c>
      <c r="D1056" t="n">
        <v>0</v>
      </c>
      <c r="E1056" t="inlineStr">
        <is>
          <t>VOUCHER</t>
        </is>
      </c>
    </row>
    <row r="1057">
      <c r="A1057" t="n">
        <v>128</v>
      </c>
      <c r="B1057" t="inlineStr">
        <is>
          <t>Love Cabaret</t>
        </is>
      </c>
      <c r="C1057" s="27" t="n">
        <v>45901</v>
      </c>
      <c r="D1057" t="n">
        <v>0</v>
      </c>
      <c r="E1057" t="inlineStr">
        <is>
          <t>ANTECIPADO</t>
        </is>
      </c>
    </row>
    <row r="1058">
      <c r="A1058" t="n">
        <v>128</v>
      </c>
      <c r="B1058" t="inlineStr">
        <is>
          <t>Love Cabaret</t>
        </is>
      </c>
      <c r="C1058" s="27" t="n">
        <v>45901</v>
      </c>
      <c r="D1058" t="n">
        <v>0</v>
      </c>
      <c r="E1058" t="inlineStr">
        <is>
          <t>UBER</t>
        </is>
      </c>
    </row>
    <row r="1059">
      <c r="A1059" t="n">
        <v>128</v>
      </c>
      <c r="B1059" t="inlineStr">
        <is>
          <t>Love Cabaret</t>
        </is>
      </c>
      <c r="C1059" s="27" t="n">
        <v>45901</v>
      </c>
      <c r="D1059" t="n">
        <v>0</v>
      </c>
      <c r="E1059" t="inlineStr">
        <is>
          <t>RAPPI</t>
        </is>
      </c>
    </row>
    <row r="1060">
      <c r="A1060" t="n">
        <v>128</v>
      </c>
      <c r="B1060" t="inlineStr">
        <is>
          <t>Love Cabaret</t>
        </is>
      </c>
      <c r="C1060" s="27" t="n">
        <v>45901</v>
      </c>
      <c r="D1060" t="n">
        <v>0</v>
      </c>
      <c r="E1060" t="inlineStr">
        <is>
          <t>PIX</t>
        </is>
      </c>
    </row>
    <row r="1061">
      <c r="A1061" t="n">
        <v>128</v>
      </c>
      <c r="B1061" t="inlineStr">
        <is>
          <t>Love Cabaret</t>
        </is>
      </c>
      <c r="C1061" s="27" t="n">
        <v>45901</v>
      </c>
      <c r="D1061" t="n">
        <v>0</v>
      </c>
      <c r="E1061" t="inlineStr">
        <is>
          <t>IFOOD</t>
        </is>
      </c>
    </row>
    <row r="1062">
      <c r="A1062" t="n">
        <v>128</v>
      </c>
      <c r="B1062" t="inlineStr">
        <is>
          <t>Love Cabaret</t>
        </is>
      </c>
      <c r="C1062" s="27" t="n">
        <v>45901</v>
      </c>
      <c r="D1062" t="n">
        <v>0</v>
      </c>
      <c r="E1062" t="inlineStr">
        <is>
          <t>DELIVERY ONLINE</t>
        </is>
      </c>
    </row>
    <row r="1063">
      <c r="A1063" t="n">
        <v>128</v>
      </c>
      <c r="B1063" t="inlineStr">
        <is>
          <t>Love Cabaret</t>
        </is>
      </c>
      <c r="C1063" s="27" t="n">
        <v>45901</v>
      </c>
      <c r="D1063" t="n">
        <v>0</v>
      </c>
      <c r="E1063" t="inlineStr">
        <is>
          <t>APP</t>
        </is>
      </c>
    </row>
    <row r="1064">
      <c r="A1064" t="n">
        <v>128</v>
      </c>
      <c r="B1064" t="inlineStr">
        <is>
          <t>Love Cabaret</t>
        </is>
      </c>
      <c r="C1064" s="27" t="n">
        <v>45901</v>
      </c>
      <c r="D1064" t="n">
        <v>0</v>
      </c>
      <c r="E1064" t="inlineStr">
        <is>
          <t>DINHEIRO</t>
        </is>
      </c>
    </row>
    <row r="1065">
      <c r="A1065" t="n">
        <v>128</v>
      </c>
      <c r="B1065" t="inlineStr">
        <is>
          <t>Love Cabaret</t>
        </is>
      </c>
      <c r="C1065" s="27" t="n">
        <v>45901</v>
      </c>
      <c r="D1065" t="n">
        <v>0</v>
      </c>
      <c r="E1065" t="inlineStr">
        <is>
          <t>CRÉDITO</t>
        </is>
      </c>
    </row>
    <row r="1066">
      <c r="A1066" t="n">
        <v>128</v>
      </c>
      <c r="B1066" t="inlineStr">
        <is>
          <t>Love Cabaret</t>
        </is>
      </c>
      <c r="C1066" s="27" t="n">
        <v>45899</v>
      </c>
      <c r="D1066" t="n">
        <v>0</v>
      </c>
      <c r="E1066" t="inlineStr">
        <is>
          <t>VOUCHER INTEGRADO</t>
        </is>
      </c>
    </row>
    <row r="1067">
      <c r="A1067" t="n">
        <v>128</v>
      </c>
      <c r="B1067" t="inlineStr">
        <is>
          <t>Love Cabaret</t>
        </is>
      </c>
      <c r="C1067" s="27" t="n">
        <v>45899</v>
      </c>
      <c r="D1067" t="n">
        <v>0</v>
      </c>
      <c r="E1067" t="inlineStr">
        <is>
          <t>MBWAY</t>
        </is>
      </c>
    </row>
    <row r="1068">
      <c r="A1068" t="n">
        <v>128</v>
      </c>
      <c r="B1068" t="inlineStr">
        <is>
          <t>Love Cabaret</t>
        </is>
      </c>
      <c r="C1068" s="27" t="n">
        <v>45899</v>
      </c>
      <c r="D1068" t="n">
        <v>12896.14</v>
      </c>
      <c r="E1068" t="inlineStr">
        <is>
          <t>CRÉDITO</t>
        </is>
      </c>
    </row>
    <row r="1069">
      <c r="A1069" t="n">
        <v>128</v>
      </c>
      <c r="B1069" t="inlineStr">
        <is>
          <t>Love Cabaret</t>
        </is>
      </c>
      <c r="C1069" s="27" t="n">
        <v>45899</v>
      </c>
      <c r="D1069" t="n">
        <v>0</v>
      </c>
      <c r="E1069" t="inlineStr">
        <is>
          <t>AME</t>
        </is>
      </c>
    </row>
    <row r="1070">
      <c r="A1070" t="n">
        <v>128</v>
      </c>
      <c r="B1070" t="inlineStr">
        <is>
          <t>Love Cabaret</t>
        </is>
      </c>
      <c r="C1070" s="27" t="n">
        <v>45899</v>
      </c>
      <c r="D1070" t="n">
        <v>0</v>
      </c>
      <c r="E1070" t="inlineStr">
        <is>
          <t>NOTAS MANUAIS + SERVIÇO</t>
        </is>
      </c>
    </row>
    <row r="1071">
      <c r="A1071" t="n">
        <v>128</v>
      </c>
      <c r="B1071" t="inlineStr">
        <is>
          <t>Love Cabaret</t>
        </is>
      </c>
      <c r="C1071" s="27" t="n">
        <v>45899</v>
      </c>
      <c r="D1071" t="n">
        <v>0</v>
      </c>
      <c r="E1071" t="inlineStr">
        <is>
          <t>OUTROS</t>
        </is>
      </c>
    </row>
    <row r="1072">
      <c r="A1072" t="n">
        <v>128</v>
      </c>
      <c r="B1072" t="inlineStr">
        <is>
          <t>Love Cabaret</t>
        </is>
      </c>
      <c r="C1072" s="27" t="n">
        <v>45899</v>
      </c>
      <c r="D1072" t="n">
        <v>0</v>
      </c>
      <c r="E1072" t="inlineStr">
        <is>
          <t>ANTECIPADO</t>
        </is>
      </c>
    </row>
    <row r="1073">
      <c r="A1073" t="n">
        <v>128</v>
      </c>
      <c r="B1073" t="inlineStr">
        <is>
          <t>Love Cabaret</t>
        </is>
      </c>
      <c r="C1073" s="27" t="n">
        <v>45899</v>
      </c>
      <c r="D1073" t="n">
        <v>0</v>
      </c>
      <c r="E1073" t="inlineStr">
        <is>
          <t>BÔNUS</t>
        </is>
      </c>
    </row>
    <row r="1074">
      <c r="A1074" t="n">
        <v>128</v>
      </c>
      <c r="B1074" t="inlineStr">
        <is>
          <t>Love Cabaret</t>
        </is>
      </c>
      <c r="C1074" s="27" t="n">
        <v>45899</v>
      </c>
      <c r="D1074" t="n">
        <v>4163.11</v>
      </c>
      <c r="E1074" t="inlineStr">
        <is>
          <t>DÉBITO</t>
        </is>
      </c>
    </row>
    <row r="1075">
      <c r="A1075" t="n">
        <v>128</v>
      </c>
      <c r="B1075" t="inlineStr">
        <is>
          <t>Love Cabaret</t>
        </is>
      </c>
      <c r="C1075" s="27" t="n">
        <v>45899</v>
      </c>
      <c r="D1075" t="n">
        <v>0</v>
      </c>
      <c r="E1075" t="inlineStr">
        <is>
          <t>VOUCHER</t>
        </is>
      </c>
    </row>
    <row r="1076">
      <c r="A1076" t="n">
        <v>128</v>
      </c>
      <c r="B1076" t="inlineStr">
        <is>
          <t>Love Cabaret</t>
        </is>
      </c>
      <c r="C1076" s="27" t="n">
        <v>45899</v>
      </c>
      <c r="D1076" t="n">
        <v>0</v>
      </c>
      <c r="E1076" t="inlineStr">
        <is>
          <t>ANTECIPADO</t>
        </is>
      </c>
    </row>
    <row r="1077">
      <c r="A1077" t="n">
        <v>128</v>
      </c>
      <c r="B1077" t="inlineStr">
        <is>
          <t>Love Cabaret</t>
        </is>
      </c>
      <c r="C1077" s="27" t="n">
        <v>45899</v>
      </c>
      <c r="D1077" t="n">
        <v>0</v>
      </c>
      <c r="E1077" t="inlineStr">
        <is>
          <t>UBER</t>
        </is>
      </c>
    </row>
    <row r="1078">
      <c r="A1078" t="n">
        <v>128</v>
      </c>
      <c r="B1078" t="inlineStr">
        <is>
          <t>Love Cabaret</t>
        </is>
      </c>
      <c r="C1078" s="27" t="n">
        <v>45899</v>
      </c>
      <c r="D1078" t="n">
        <v>0</v>
      </c>
      <c r="E1078" t="inlineStr">
        <is>
          <t>RAPPI</t>
        </is>
      </c>
    </row>
    <row r="1079">
      <c r="A1079" t="n">
        <v>128</v>
      </c>
      <c r="B1079" t="inlineStr">
        <is>
          <t>Love Cabaret</t>
        </is>
      </c>
      <c r="C1079" s="27" t="n">
        <v>45899</v>
      </c>
      <c r="D1079" t="n">
        <v>883.1</v>
      </c>
      <c r="E1079" t="inlineStr">
        <is>
          <t>PIX</t>
        </is>
      </c>
    </row>
    <row r="1080">
      <c r="A1080" t="n">
        <v>128</v>
      </c>
      <c r="B1080" t="inlineStr">
        <is>
          <t>Love Cabaret</t>
        </is>
      </c>
      <c r="C1080" s="27" t="n">
        <v>45899</v>
      </c>
      <c r="D1080" t="n">
        <v>0</v>
      </c>
      <c r="E1080" t="inlineStr">
        <is>
          <t>IFOOD</t>
        </is>
      </c>
    </row>
    <row r="1081">
      <c r="A1081" t="n">
        <v>128</v>
      </c>
      <c r="B1081" t="inlineStr">
        <is>
          <t>Love Cabaret</t>
        </is>
      </c>
      <c r="C1081" s="27" t="n">
        <v>45899</v>
      </c>
      <c r="D1081" t="n">
        <v>0</v>
      </c>
      <c r="E1081" t="inlineStr">
        <is>
          <t>DELIVERY ONLINE</t>
        </is>
      </c>
    </row>
    <row r="1082">
      <c r="A1082" t="n">
        <v>128</v>
      </c>
      <c r="B1082" t="inlineStr">
        <is>
          <t>Love Cabaret</t>
        </is>
      </c>
      <c r="C1082" s="27" t="n">
        <v>45899</v>
      </c>
      <c r="D1082" t="n">
        <v>0</v>
      </c>
      <c r="E1082" t="inlineStr">
        <is>
          <t>APP</t>
        </is>
      </c>
    </row>
    <row r="1083">
      <c r="A1083" t="n">
        <v>128</v>
      </c>
      <c r="B1083" t="inlineStr">
        <is>
          <t>Love Cabaret</t>
        </is>
      </c>
      <c r="C1083" s="27" t="n">
        <v>45899</v>
      </c>
      <c r="D1083" t="n">
        <v>40.68</v>
      </c>
      <c r="E1083" t="inlineStr">
        <is>
          <t>DINHEIRO</t>
        </is>
      </c>
    </row>
    <row r="1084">
      <c r="A1084" t="n">
        <v>128</v>
      </c>
      <c r="B1084" t="inlineStr">
        <is>
          <t>Love Cabaret</t>
        </is>
      </c>
      <c r="C1084" s="27" t="n">
        <v>45899</v>
      </c>
      <c r="D1084" t="n">
        <v>0</v>
      </c>
      <c r="E1084" t="inlineStr">
        <is>
          <t>RECARGAS DEVOLVIDAS</t>
        </is>
      </c>
    </row>
    <row r="1085">
      <c r="A1085" t="n">
        <v>128</v>
      </c>
      <c r="B1085" t="inlineStr">
        <is>
          <t>Love Cabaret</t>
        </is>
      </c>
      <c r="C1085" s="27" t="n">
        <v>45898</v>
      </c>
      <c r="D1085" t="n">
        <v>21803.91</v>
      </c>
      <c r="E1085" t="inlineStr">
        <is>
          <t>CRÉDITO</t>
        </is>
      </c>
    </row>
    <row r="1086">
      <c r="A1086" t="n">
        <v>128</v>
      </c>
      <c r="B1086" t="inlineStr">
        <is>
          <t>Love Cabaret</t>
        </is>
      </c>
      <c r="C1086" s="27" t="n">
        <v>45898</v>
      </c>
      <c r="D1086" t="n">
        <v>0</v>
      </c>
      <c r="E1086" t="inlineStr">
        <is>
          <t>VOUCHER INTEGRADO</t>
        </is>
      </c>
    </row>
    <row r="1087">
      <c r="A1087" t="n">
        <v>128</v>
      </c>
      <c r="B1087" t="inlineStr">
        <is>
          <t>Love Cabaret</t>
        </is>
      </c>
      <c r="C1087" s="27" t="n">
        <v>45898</v>
      </c>
      <c r="D1087" t="n">
        <v>97.18000000000001</v>
      </c>
      <c r="E1087" t="inlineStr">
        <is>
          <t>DINHEIRO</t>
        </is>
      </c>
    </row>
    <row r="1088">
      <c r="A1088" t="n">
        <v>128</v>
      </c>
      <c r="B1088" t="inlineStr">
        <is>
          <t>Love Cabaret</t>
        </is>
      </c>
      <c r="C1088" s="27" t="n">
        <v>45898</v>
      </c>
      <c r="D1088" t="n">
        <v>0</v>
      </c>
      <c r="E1088" t="inlineStr">
        <is>
          <t>APP</t>
        </is>
      </c>
    </row>
    <row r="1089">
      <c r="A1089" t="n">
        <v>128</v>
      </c>
      <c r="B1089" t="inlineStr">
        <is>
          <t>Love Cabaret</t>
        </is>
      </c>
      <c r="C1089" s="27" t="n">
        <v>45898</v>
      </c>
      <c r="D1089" t="n">
        <v>0</v>
      </c>
      <c r="E1089" t="inlineStr">
        <is>
          <t>DELIVERY ONLINE</t>
        </is>
      </c>
    </row>
    <row r="1090">
      <c r="A1090" t="n">
        <v>128</v>
      </c>
      <c r="B1090" t="inlineStr">
        <is>
          <t>Love Cabaret</t>
        </is>
      </c>
      <c r="C1090" s="27" t="n">
        <v>45898</v>
      </c>
      <c r="D1090" t="n">
        <v>0</v>
      </c>
      <c r="E1090" t="inlineStr">
        <is>
          <t>IFOOD</t>
        </is>
      </c>
    </row>
    <row r="1091">
      <c r="A1091" t="n">
        <v>128</v>
      </c>
      <c r="B1091" t="inlineStr">
        <is>
          <t>Love Cabaret</t>
        </is>
      </c>
      <c r="C1091" s="27" t="n">
        <v>45898</v>
      </c>
      <c r="D1091" t="n">
        <v>1694.36</v>
      </c>
      <c r="E1091" t="inlineStr">
        <is>
          <t>PIX</t>
        </is>
      </c>
    </row>
    <row r="1092">
      <c r="A1092" t="n">
        <v>128</v>
      </c>
      <c r="B1092" t="inlineStr">
        <is>
          <t>Love Cabaret</t>
        </is>
      </c>
      <c r="C1092" s="27" t="n">
        <v>45898</v>
      </c>
      <c r="D1092" t="n">
        <v>0</v>
      </c>
      <c r="E1092" t="inlineStr">
        <is>
          <t>RAPPI</t>
        </is>
      </c>
    </row>
    <row r="1093">
      <c r="A1093" t="n">
        <v>128</v>
      </c>
      <c r="B1093" t="inlineStr">
        <is>
          <t>Love Cabaret</t>
        </is>
      </c>
      <c r="C1093" s="27" t="n">
        <v>45898</v>
      </c>
      <c r="D1093" t="n">
        <v>0</v>
      </c>
      <c r="E1093" t="inlineStr">
        <is>
          <t>UBER</t>
        </is>
      </c>
    </row>
    <row r="1094">
      <c r="A1094" t="n">
        <v>128</v>
      </c>
      <c r="B1094" t="inlineStr">
        <is>
          <t>Love Cabaret</t>
        </is>
      </c>
      <c r="C1094" s="27" t="n">
        <v>45898</v>
      </c>
      <c r="D1094" t="n">
        <v>0</v>
      </c>
      <c r="E1094" t="inlineStr">
        <is>
          <t>ANTECIPADO</t>
        </is>
      </c>
    </row>
    <row r="1095">
      <c r="A1095" t="n">
        <v>128</v>
      </c>
      <c r="B1095" t="inlineStr">
        <is>
          <t>Love Cabaret</t>
        </is>
      </c>
      <c r="C1095" s="27" t="n">
        <v>45898</v>
      </c>
      <c r="D1095" t="n">
        <v>0</v>
      </c>
      <c r="E1095" t="inlineStr">
        <is>
          <t>VOUCHER</t>
        </is>
      </c>
    </row>
    <row r="1096">
      <c r="A1096" t="n">
        <v>128</v>
      </c>
      <c r="B1096" t="inlineStr">
        <is>
          <t>Love Cabaret</t>
        </is>
      </c>
      <c r="C1096" s="27" t="n">
        <v>45898</v>
      </c>
      <c r="D1096" t="n">
        <v>7651.38</v>
      </c>
      <c r="E1096" t="inlineStr">
        <is>
          <t>DÉBITO</t>
        </is>
      </c>
    </row>
    <row r="1097">
      <c r="A1097" t="n">
        <v>128</v>
      </c>
      <c r="B1097" t="inlineStr">
        <is>
          <t>Love Cabaret</t>
        </is>
      </c>
      <c r="C1097" s="27" t="n">
        <v>45898</v>
      </c>
      <c r="D1097" t="n">
        <v>0</v>
      </c>
      <c r="E1097" t="inlineStr">
        <is>
          <t>BÔNUS</t>
        </is>
      </c>
    </row>
    <row r="1098">
      <c r="A1098" t="n">
        <v>128</v>
      </c>
      <c r="B1098" t="inlineStr">
        <is>
          <t>Love Cabaret</t>
        </is>
      </c>
      <c r="C1098" s="27" t="n">
        <v>45898</v>
      </c>
      <c r="D1098" t="n">
        <v>0</v>
      </c>
      <c r="E1098" t="inlineStr">
        <is>
          <t>ANTECIPADO</t>
        </is>
      </c>
    </row>
    <row r="1099">
      <c r="A1099" t="n">
        <v>128</v>
      </c>
      <c r="B1099" t="inlineStr">
        <is>
          <t>Love Cabaret</t>
        </is>
      </c>
      <c r="C1099" s="27" t="n">
        <v>45898</v>
      </c>
      <c r="D1099" t="n">
        <v>0</v>
      </c>
      <c r="E1099" t="inlineStr">
        <is>
          <t>OUTROS</t>
        </is>
      </c>
    </row>
    <row r="1100">
      <c r="A1100" t="n">
        <v>128</v>
      </c>
      <c r="B1100" t="inlineStr">
        <is>
          <t>Love Cabaret</t>
        </is>
      </c>
      <c r="C1100" s="27" t="n">
        <v>45898</v>
      </c>
      <c r="D1100" t="n">
        <v>0</v>
      </c>
      <c r="E1100" t="inlineStr">
        <is>
          <t>AME</t>
        </is>
      </c>
    </row>
    <row r="1101">
      <c r="A1101" t="n">
        <v>128</v>
      </c>
      <c r="B1101" t="inlineStr">
        <is>
          <t>Love Cabaret</t>
        </is>
      </c>
      <c r="C1101" s="27" t="n">
        <v>45898</v>
      </c>
      <c r="D1101" t="n">
        <v>0</v>
      </c>
      <c r="E1101" t="inlineStr">
        <is>
          <t>NOTAS MANUAIS + SERVIÇO</t>
        </is>
      </c>
    </row>
    <row r="1102">
      <c r="A1102" t="n">
        <v>128</v>
      </c>
      <c r="B1102" t="inlineStr">
        <is>
          <t>Love Cabaret</t>
        </is>
      </c>
      <c r="C1102" s="27" t="n">
        <v>45898</v>
      </c>
      <c r="D1102" t="n">
        <v>0</v>
      </c>
      <c r="E1102" t="inlineStr">
        <is>
          <t>MBWAY</t>
        </is>
      </c>
    </row>
    <row r="1103">
      <c r="A1103" t="n">
        <v>128</v>
      </c>
      <c r="B1103" t="inlineStr">
        <is>
          <t>Love Cabaret</t>
        </is>
      </c>
      <c r="C1103" s="27" t="n">
        <v>45898</v>
      </c>
      <c r="D1103" t="n">
        <v>0</v>
      </c>
      <c r="E1103" t="inlineStr">
        <is>
          <t>RECARGAS DEVOLVIDAS</t>
        </is>
      </c>
    </row>
    <row r="1104">
      <c r="A1104" t="n">
        <v>128</v>
      </c>
      <c r="B1104" t="inlineStr">
        <is>
          <t>Love Cabaret</t>
        </is>
      </c>
      <c r="C1104" s="27" t="n">
        <v>45897</v>
      </c>
      <c r="D1104" t="n">
        <v>0</v>
      </c>
      <c r="E1104" t="inlineStr">
        <is>
          <t>NOTAS MANUAIS + SERVIÇO</t>
        </is>
      </c>
    </row>
    <row r="1105">
      <c r="A1105" t="n">
        <v>128</v>
      </c>
      <c r="B1105" t="inlineStr">
        <is>
          <t>Love Cabaret</t>
        </is>
      </c>
      <c r="C1105" s="27" t="n">
        <v>45897</v>
      </c>
      <c r="D1105" t="n">
        <v>0</v>
      </c>
      <c r="E1105" t="inlineStr">
        <is>
          <t>OUTROS</t>
        </is>
      </c>
    </row>
    <row r="1106">
      <c r="A1106" t="n">
        <v>128</v>
      </c>
      <c r="B1106" t="inlineStr">
        <is>
          <t>Love Cabaret</t>
        </is>
      </c>
      <c r="C1106" s="27" t="n">
        <v>45897</v>
      </c>
      <c r="D1106" t="n">
        <v>0</v>
      </c>
      <c r="E1106" t="inlineStr">
        <is>
          <t>IFOOD</t>
        </is>
      </c>
    </row>
    <row r="1107">
      <c r="A1107" t="n">
        <v>128</v>
      </c>
      <c r="B1107" t="inlineStr">
        <is>
          <t>Love Cabaret</t>
        </is>
      </c>
      <c r="C1107" s="27" t="n">
        <v>45897</v>
      </c>
      <c r="D1107" t="n">
        <v>0</v>
      </c>
      <c r="E1107" t="inlineStr">
        <is>
          <t>ANTECIPADO</t>
        </is>
      </c>
    </row>
    <row r="1108">
      <c r="A1108" t="n">
        <v>128</v>
      </c>
      <c r="B1108" t="inlineStr">
        <is>
          <t>Love Cabaret</t>
        </is>
      </c>
      <c r="C1108" s="27" t="n">
        <v>45897</v>
      </c>
      <c r="D1108" t="n">
        <v>0</v>
      </c>
      <c r="E1108" t="inlineStr">
        <is>
          <t>BÔNUS</t>
        </is>
      </c>
    </row>
    <row r="1109">
      <c r="A1109" t="n">
        <v>128</v>
      </c>
      <c r="B1109" t="inlineStr">
        <is>
          <t>Love Cabaret</t>
        </is>
      </c>
      <c r="C1109" s="27" t="n">
        <v>45897</v>
      </c>
      <c r="D1109" t="n">
        <v>3616.83</v>
      </c>
      <c r="E1109" t="inlineStr">
        <is>
          <t>DÉBITO</t>
        </is>
      </c>
    </row>
    <row r="1110">
      <c r="A1110" t="n">
        <v>128</v>
      </c>
      <c r="B1110" t="inlineStr">
        <is>
          <t>Love Cabaret</t>
        </is>
      </c>
      <c r="C1110" s="27" t="n">
        <v>45897</v>
      </c>
      <c r="D1110" t="n">
        <v>0</v>
      </c>
      <c r="E1110" t="inlineStr">
        <is>
          <t>VOUCHER</t>
        </is>
      </c>
    </row>
    <row r="1111">
      <c r="A1111" t="n">
        <v>128</v>
      </c>
      <c r="B1111" t="inlineStr">
        <is>
          <t>Love Cabaret</t>
        </is>
      </c>
      <c r="C1111" s="27" t="n">
        <v>45897</v>
      </c>
      <c r="D1111" t="n">
        <v>0</v>
      </c>
      <c r="E1111" t="inlineStr">
        <is>
          <t>ANTECIPADO</t>
        </is>
      </c>
    </row>
    <row r="1112">
      <c r="A1112" t="n">
        <v>128</v>
      </c>
      <c r="B1112" t="inlineStr">
        <is>
          <t>Love Cabaret</t>
        </is>
      </c>
      <c r="C1112" s="27" t="n">
        <v>45897</v>
      </c>
      <c r="D1112" t="n">
        <v>0</v>
      </c>
      <c r="E1112" t="inlineStr">
        <is>
          <t>UBER</t>
        </is>
      </c>
    </row>
    <row r="1113">
      <c r="A1113" t="n">
        <v>128</v>
      </c>
      <c r="B1113" t="inlineStr">
        <is>
          <t>Love Cabaret</t>
        </is>
      </c>
      <c r="C1113" s="27" t="n">
        <v>45897</v>
      </c>
      <c r="D1113" t="n">
        <v>0</v>
      </c>
      <c r="E1113" t="inlineStr">
        <is>
          <t>RAPPI</t>
        </is>
      </c>
    </row>
    <row r="1114">
      <c r="A1114" t="n">
        <v>128</v>
      </c>
      <c r="B1114" t="inlineStr">
        <is>
          <t>Love Cabaret</t>
        </is>
      </c>
      <c r="C1114" s="27" t="n">
        <v>45897</v>
      </c>
      <c r="D1114" t="n">
        <v>768.0700000000001</v>
      </c>
      <c r="E1114" t="inlineStr">
        <is>
          <t>PIX</t>
        </is>
      </c>
    </row>
    <row r="1115">
      <c r="A1115" t="n">
        <v>128</v>
      </c>
      <c r="B1115" t="inlineStr">
        <is>
          <t>Love Cabaret</t>
        </is>
      </c>
      <c r="C1115" s="27" t="n">
        <v>45897</v>
      </c>
      <c r="D1115" t="n">
        <v>0</v>
      </c>
      <c r="E1115" t="inlineStr">
        <is>
          <t>AME</t>
        </is>
      </c>
    </row>
    <row r="1116">
      <c r="A1116" t="n">
        <v>128</v>
      </c>
      <c r="B1116" t="inlineStr">
        <is>
          <t>Love Cabaret</t>
        </is>
      </c>
      <c r="C1116" s="27" t="n">
        <v>45897</v>
      </c>
      <c r="D1116" t="n">
        <v>0</v>
      </c>
      <c r="E1116" t="inlineStr">
        <is>
          <t>DELIVERY ONLINE</t>
        </is>
      </c>
    </row>
    <row r="1117">
      <c r="A1117" t="n">
        <v>128</v>
      </c>
      <c r="B1117" t="inlineStr">
        <is>
          <t>Love Cabaret</t>
        </is>
      </c>
      <c r="C1117" s="27" t="n">
        <v>45897</v>
      </c>
      <c r="D1117" t="n">
        <v>0</v>
      </c>
      <c r="E1117" t="inlineStr">
        <is>
          <t>APP</t>
        </is>
      </c>
    </row>
    <row r="1118">
      <c r="A1118" t="n">
        <v>128</v>
      </c>
      <c r="B1118" t="inlineStr">
        <is>
          <t>Love Cabaret</t>
        </is>
      </c>
      <c r="C1118" s="27" t="n">
        <v>45897</v>
      </c>
      <c r="D1118" t="n">
        <v>21.47</v>
      </c>
      <c r="E1118" t="inlineStr">
        <is>
          <t>DINHEIRO</t>
        </is>
      </c>
    </row>
    <row r="1119">
      <c r="A1119" t="n">
        <v>128</v>
      </c>
      <c r="B1119" t="inlineStr">
        <is>
          <t>Love Cabaret</t>
        </is>
      </c>
      <c r="C1119" s="27" t="n">
        <v>45897</v>
      </c>
      <c r="D1119" t="n">
        <v>7237.7</v>
      </c>
      <c r="E1119" t="inlineStr">
        <is>
          <t>CRÉDITO</t>
        </is>
      </c>
    </row>
    <row r="1120">
      <c r="A1120" t="n">
        <v>128</v>
      </c>
      <c r="B1120" t="inlineStr">
        <is>
          <t>Love Cabaret</t>
        </is>
      </c>
      <c r="C1120" s="27" t="n">
        <v>45897</v>
      </c>
      <c r="D1120" t="n">
        <v>0</v>
      </c>
      <c r="E1120" t="inlineStr">
        <is>
          <t>RECARGAS DEVOLVIDAS</t>
        </is>
      </c>
    </row>
    <row r="1121">
      <c r="A1121" t="n">
        <v>128</v>
      </c>
      <c r="B1121" t="inlineStr">
        <is>
          <t>Love Cabaret</t>
        </is>
      </c>
      <c r="C1121" s="27" t="n">
        <v>45897</v>
      </c>
      <c r="D1121" t="n">
        <v>0</v>
      </c>
      <c r="E1121" t="inlineStr">
        <is>
          <t>VOUCHER INTEGRADO</t>
        </is>
      </c>
    </row>
    <row r="1122">
      <c r="A1122" t="n">
        <v>128</v>
      </c>
      <c r="B1122" t="inlineStr">
        <is>
          <t>Love Cabaret</t>
        </is>
      </c>
      <c r="C1122" s="27" t="n">
        <v>45897</v>
      </c>
      <c r="D1122" t="n">
        <v>0</v>
      </c>
      <c r="E1122" t="inlineStr">
        <is>
          <t>MBWAY</t>
        </is>
      </c>
    </row>
    <row r="1123">
      <c r="A1123" t="n">
        <v>128</v>
      </c>
      <c r="B1123" t="inlineStr">
        <is>
          <t>Love Cabaret</t>
        </is>
      </c>
      <c r="C1123" s="27" t="n">
        <v>45892</v>
      </c>
      <c r="D1123" t="n">
        <v>0</v>
      </c>
      <c r="E1123" t="inlineStr">
        <is>
          <t>ANTECIPADO</t>
        </is>
      </c>
    </row>
    <row r="1124">
      <c r="A1124" t="n">
        <v>128</v>
      </c>
      <c r="B1124" t="inlineStr">
        <is>
          <t>Love Cabaret</t>
        </is>
      </c>
      <c r="C1124" s="27" t="n">
        <v>45892</v>
      </c>
      <c r="D1124" t="n">
        <v>16098.23</v>
      </c>
      <c r="E1124" t="inlineStr">
        <is>
          <t>CRÉDITO</t>
        </is>
      </c>
    </row>
    <row r="1125">
      <c r="A1125" t="n">
        <v>128</v>
      </c>
      <c r="B1125" t="inlineStr">
        <is>
          <t>Love Cabaret</t>
        </is>
      </c>
      <c r="C1125" s="27" t="n">
        <v>45892</v>
      </c>
      <c r="D1125" t="n">
        <v>593.1900000000001</v>
      </c>
      <c r="E1125" t="inlineStr">
        <is>
          <t>DINHEIRO</t>
        </is>
      </c>
    </row>
    <row r="1126">
      <c r="A1126" t="n">
        <v>128</v>
      </c>
      <c r="B1126" t="inlineStr">
        <is>
          <t>Love Cabaret</t>
        </is>
      </c>
      <c r="C1126" s="27" t="n">
        <v>45892</v>
      </c>
      <c r="D1126" t="n">
        <v>4</v>
      </c>
      <c r="E1126" t="inlineStr">
        <is>
          <t>APP</t>
        </is>
      </c>
    </row>
    <row r="1127">
      <c r="A1127" t="n">
        <v>128</v>
      </c>
      <c r="B1127" t="inlineStr">
        <is>
          <t>Love Cabaret</t>
        </is>
      </c>
      <c r="C1127" s="27" t="n">
        <v>45892</v>
      </c>
      <c r="D1127" t="n">
        <v>0</v>
      </c>
      <c r="E1127" t="inlineStr">
        <is>
          <t>DELIVERY ONLINE</t>
        </is>
      </c>
    </row>
    <row r="1128">
      <c r="A1128" t="n">
        <v>128</v>
      </c>
      <c r="B1128" t="inlineStr">
        <is>
          <t>Love Cabaret</t>
        </is>
      </c>
      <c r="C1128" s="27" t="n">
        <v>45892</v>
      </c>
      <c r="D1128" t="n">
        <v>0</v>
      </c>
      <c r="E1128" t="inlineStr">
        <is>
          <t>IFOOD</t>
        </is>
      </c>
    </row>
    <row r="1129">
      <c r="A1129" t="n">
        <v>128</v>
      </c>
      <c r="B1129" t="inlineStr">
        <is>
          <t>Love Cabaret</t>
        </is>
      </c>
      <c r="C1129" s="27" t="n">
        <v>45892</v>
      </c>
      <c r="D1129" t="n">
        <v>1257.97</v>
      </c>
      <c r="E1129" t="inlineStr">
        <is>
          <t>PIX</t>
        </is>
      </c>
    </row>
    <row r="1130">
      <c r="A1130" t="n">
        <v>128</v>
      </c>
      <c r="B1130" t="inlineStr">
        <is>
          <t>Love Cabaret</t>
        </is>
      </c>
      <c r="C1130" s="27" t="n">
        <v>45892</v>
      </c>
      <c r="D1130" t="n">
        <v>0</v>
      </c>
      <c r="E1130" t="inlineStr">
        <is>
          <t>RAPPI</t>
        </is>
      </c>
    </row>
    <row r="1131">
      <c r="A1131" t="n">
        <v>128</v>
      </c>
      <c r="B1131" t="inlineStr">
        <is>
          <t>Love Cabaret</t>
        </is>
      </c>
      <c r="C1131" s="27" t="n">
        <v>45892</v>
      </c>
      <c r="D1131" t="n">
        <v>0</v>
      </c>
      <c r="E1131" t="inlineStr">
        <is>
          <t>UBER</t>
        </is>
      </c>
    </row>
    <row r="1132">
      <c r="A1132" t="n">
        <v>128</v>
      </c>
      <c r="B1132" t="inlineStr">
        <is>
          <t>Love Cabaret</t>
        </is>
      </c>
      <c r="C1132" s="27" t="n">
        <v>45892</v>
      </c>
      <c r="D1132" t="n">
        <v>0</v>
      </c>
      <c r="E1132" t="inlineStr">
        <is>
          <t>BÔNUS</t>
        </is>
      </c>
    </row>
    <row r="1133">
      <c r="A1133" t="n">
        <v>128</v>
      </c>
      <c r="B1133" t="inlineStr">
        <is>
          <t>Love Cabaret</t>
        </is>
      </c>
      <c r="C1133" s="27" t="n">
        <v>45892</v>
      </c>
      <c r="D1133" t="n">
        <v>0</v>
      </c>
      <c r="E1133" t="inlineStr">
        <is>
          <t>VOUCHER</t>
        </is>
      </c>
    </row>
    <row r="1134">
      <c r="A1134" t="n">
        <v>128</v>
      </c>
      <c r="B1134" t="inlineStr">
        <is>
          <t>Love Cabaret</t>
        </is>
      </c>
      <c r="C1134" s="27" t="n">
        <v>45892</v>
      </c>
      <c r="D1134" t="n">
        <v>9147.85</v>
      </c>
      <c r="E1134" t="inlineStr">
        <is>
          <t>DÉBITO</t>
        </is>
      </c>
    </row>
    <row r="1135">
      <c r="A1135" t="n">
        <v>128</v>
      </c>
      <c r="B1135" t="inlineStr">
        <is>
          <t>Love Cabaret</t>
        </is>
      </c>
      <c r="C1135" s="27" t="n">
        <v>45892</v>
      </c>
      <c r="D1135" t="n">
        <v>0</v>
      </c>
      <c r="E1135" t="inlineStr">
        <is>
          <t>ANTECIPADO</t>
        </is>
      </c>
    </row>
    <row r="1136">
      <c r="A1136" t="n">
        <v>128</v>
      </c>
      <c r="B1136" t="inlineStr">
        <is>
          <t>Love Cabaret</t>
        </is>
      </c>
      <c r="C1136" s="27" t="n">
        <v>45892</v>
      </c>
      <c r="D1136" t="n">
        <v>0</v>
      </c>
      <c r="E1136" t="inlineStr">
        <is>
          <t>OUTROS</t>
        </is>
      </c>
    </row>
    <row r="1137">
      <c r="A1137" t="n">
        <v>128</v>
      </c>
      <c r="B1137" t="inlineStr">
        <is>
          <t>Love Cabaret</t>
        </is>
      </c>
      <c r="C1137" s="27" t="n">
        <v>45892</v>
      </c>
      <c r="D1137" t="n">
        <v>0</v>
      </c>
      <c r="E1137" t="inlineStr">
        <is>
          <t>AME</t>
        </is>
      </c>
    </row>
    <row r="1138">
      <c r="A1138" t="n">
        <v>128</v>
      </c>
      <c r="B1138" t="inlineStr">
        <is>
          <t>Love Cabaret</t>
        </is>
      </c>
      <c r="C1138" s="27" t="n">
        <v>45892</v>
      </c>
      <c r="D1138" t="n">
        <v>0</v>
      </c>
      <c r="E1138" t="inlineStr">
        <is>
          <t>NOTAS MANUAIS + SERVIÇO</t>
        </is>
      </c>
    </row>
    <row r="1139">
      <c r="A1139" t="n">
        <v>128</v>
      </c>
      <c r="B1139" t="inlineStr">
        <is>
          <t>Love Cabaret</t>
        </is>
      </c>
      <c r="C1139" s="27" t="n">
        <v>45892</v>
      </c>
      <c r="D1139" t="n">
        <v>0</v>
      </c>
      <c r="E1139" t="inlineStr">
        <is>
          <t>RECARGAS DEVOLVIDAS</t>
        </is>
      </c>
    </row>
    <row r="1140">
      <c r="A1140" t="n">
        <v>128</v>
      </c>
      <c r="B1140" t="inlineStr">
        <is>
          <t>Love Cabaret</t>
        </is>
      </c>
      <c r="C1140" s="27" t="n">
        <v>45892</v>
      </c>
      <c r="D1140" t="n">
        <v>0</v>
      </c>
      <c r="E1140" t="inlineStr">
        <is>
          <t>VOUCHER INTEGRADO</t>
        </is>
      </c>
    </row>
    <row r="1141">
      <c r="A1141" t="n">
        <v>128</v>
      </c>
      <c r="B1141" t="inlineStr">
        <is>
          <t>Love Cabaret</t>
        </is>
      </c>
      <c r="C1141" s="27" t="n">
        <v>45892</v>
      </c>
      <c r="D1141" t="n">
        <v>0</v>
      </c>
      <c r="E1141" t="inlineStr">
        <is>
          <t>MBWAY</t>
        </is>
      </c>
    </row>
    <row r="1142">
      <c r="A1142" t="n">
        <v>128</v>
      </c>
      <c r="B1142" t="inlineStr">
        <is>
          <t>Love Cabaret</t>
        </is>
      </c>
      <c r="C1142" s="27" t="n">
        <v>45891</v>
      </c>
      <c r="D1142" t="n">
        <v>0</v>
      </c>
      <c r="E1142" t="inlineStr">
        <is>
          <t>BÔNUS</t>
        </is>
      </c>
    </row>
    <row r="1143">
      <c r="A1143" t="n">
        <v>128</v>
      </c>
      <c r="B1143" t="inlineStr">
        <is>
          <t>Love Cabaret</t>
        </is>
      </c>
      <c r="C1143" s="27" t="n">
        <v>45891</v>
      </c>
      <c r="D1143" t="n">
        <v>300</v>
      </c>
      <c r="E1143" t="inlineStr">
        <is>
          <t>DINHEIRO</t>
        </is>
      </c>
    </row>
    <row r="1144">
      <c r="A1144" t="n">
        <v>128</v>
      </c>
      <c r="B1144" t="inlineStr">
        <is>
          <t>Love Cabaret</t>
        </is>
      </c>
      <c r="C1144" s="27" t="n">
        <v>45891</v>
      </c>
      <c r="D1144" t="n">
        <v>44</v>
      </c>
      <c r="E1144" t="inlineStr">
        <is>
          <t>APP</t>
        </is>
      </c>
    </row>
    <row r="1145">
      <c r="A1145" t="n">
        <v>128</v>
      </c>
      <c r="B1145" t="inlineStr">
        <is>
          <t>Love Cabaret</t>
        </is>
      </c>
      <c r="C1145" s="27" t="n">
        <v>45891</v>
      </c>
      <c r="D1145" t="n">
        <v>0</v>
      </c>
      <c r="E1145" t="inlineStr">
        <is>
          <t>DELIVERY ONLINE</t>
        </is>
      </c>
    </row>
    <row r="1146">
      <c r="A1146" t="n">
        <v>128</v>
      </c>
      <c r="B1146" t="inlineStr">
        <is>
          <t>Love Cabaret</t>
        </is>
      </c>
      <c r="C1146" s="27" t="n">
        <v>45891</v>
      </c>
      <c r="D1146" t="n">
        <v>0</v>
      </c>
      <c r="E1146" t="inlineStr">
        <is>
          <t>IFOOD</t>
        </is>
      </c>
    </row>
    <row r="1147">
      <c r="A1147" t="n">
        <v>128</v>
      </c>
      <c r="B1147" t="inlineStr">
        <is>
          <t>Love Cabaret</t>
        </is>
      </c>
      <c r="C1147" s="27" t="n">
        <v>45891</v>
      </c>
      <c r="D1147" t="n">
        <v>1705.4</v>
      </c>
      <c r="E1147" t="inlineStr">
        <is>
          <t>PIX</t>
        </is>
      </c>
    </row>
    <row r="1148">
      <c r="A1148" t="n">
        <v>128</v>
      </c>
      <c r="B1148" t="inlineStr">
        <is>
          <t>Love Cabaret</t>
        </is>
      </c>
      <c r="C1148" s="27" t="n">
        <v>45891</v>
      </c>
      <c r="D1148" t="n">
        <v>0</v>
      </c>
      <c r="E1148" t="inlineStr">
        <is>
          <t>RAPPI</t>
        </is>
      </c>
    </row>
    <row r="1149">
      <c r="A1149" t="n">
        <v>128</v>
      </c>
      <c r="B1149" t="inlineStr">
        <is>
          <t>Love Cabaret</t>
        </is>
      </c>
      <c r="C1149" s="27" t="n">
        <v>45891</v>
      </c>
      <c r="D1149" t="n">
        <v>0</v>
      </c>
      <c r="E1149" t="inlineStr">
        <is>
          <t>UBER</t>
        </is>
      </c>
    </row>
    <row r="1150">
      <c r="A1150" t="n">
        <v>128</v>
      </c>
      <c r="B1150" t="inlineStr">
        <is>
          <t>Love Cabaret</t>
        </is>
      </c>
      <c r="C1150" s="27" t="n">
        <v>45891</v>
      </c>
      <c r="D1150" t="n">
        <v>0</v>
      </c>
      <c r="E1150" t="inlineStr">
        <is>
          <t>ANTECIPADO</t>
        </is>
      </c>
    </row>
    <row r="1151">
      <c r="A1151" t="n">
        <v>128</v>
      </c>
      <c r="B1151" t="inlineStr">
        <is>
          <t>Love Cabaret</t>
        </is>
      </c>
      <c r="C1151" s="27" t="n">
        <v>45891</v>
      </c>
      <c r="D1151" t="n">
        <v>0</v>
      </c>
      <c r="E1151" t="inlineStr">
        <is>
          <t>VOUCHER</t>
        </is>
      </c>
    </row>
    <row r="1152">
      <c r="A1152" t="n">
        <v>128</v>
      </c>
      <c r="B1152" t="inlineStr">
        <is>
          <t>Love Cabaret</t>
        </is>
      </c>
      <c r="C1152" s="27" t="n">
        <v>45891</v>
      </c>
      <c r="D1152" t="n">
        <v>8001.03</v>
      </c>
      <c r="E1152" t="inlineStr">
        <is>
          <t>DÉBITO</t>
        </is>
      </c>
    </row>
    <row r="1153">
      <c r="A1153" t="n">
        <v>128</v>
      </c>
      <c r="B1153" t="inlineStr">
        <is>
          <t>Love Cabaret</t>
        </is>
      </c>
      <c r="C1153" s="27" t="n">
        <v>45891</v>
      </c>
      <c r="D1153" t="n">
        <v>0</v>
      </c>
      <c r="E1153" t="inlineStr">
        <is>
          <t>ANTECIPADO</t>
        </is>
      </c>
    </row>
    <row r="1154">
      <c r="A1154" t="n">
        <v>128</v>
      </c>
      <c r="B1154" t="inlineStr">
        <is>
          <t>Love Cabaret</t>
        </is>
      </c>
      <c r="C1154" s="27" t="n">
        <v>45891</v>
      </c>
      <c r="D1154" t="n">
        <v>0</v>
      </c>
      <c r="E1154" t="inlineStr">
        <is>
          <t>OUTROS</t>
        </is>
      </c>
    </row>
    <row r="1155">
      <c r="A1155" t="n">
        <v>128</v>
      </c>
      <c r="B1155" t="inlineStr">
        <is>
          <t>Love Cabaret</t>
        </is>
      </c>
      <c r="C1155" s="27" t="n">
        <v>45891</v>
      </c>
      <c r="D1155" t="n">
        <v>0</v>
      </c>
      <c r="E1155" t="inlineStr">
        <is>
          <t>AME</t>
        </is>
      </c>
    </row>
    <row r="1156">
      <c r="A1156" t="n">
        <v>128</v>
      </c>
      <c r="B1156" t="inlineStr">
        <is>
          <t>Love Cabaret</t>
        </is>
      </c>
      <c r="C1156" s="27" t="n">
        <v>45891</v>
      </c>
      <c r="D1156" t="n">
        <v>17960.28</v>
      </c>
      <c r="E1156" t="inlineStr">
        <is>
          <t>CRÉDITO</t>
        </is>
      </c>
    </row>
    <row r="1157">
      <c r="A1157" t="n">
        <v>128</v>
      </c>
      <c r="B1157" t="inlineStr">
        <is>
          <t>Love Cabaret</t>
        </is>
      </c>
      <c r="C1157" s="27" t="n">
        <v>45891</v>
      </c>
      <c r="D1157" t="n">
        <v>0</v>
      </c>
      <c r="E1157" t="inlineStr">
        <is>
          <t>NOTAS MANUAIS + SERVIÇO</t>
        </is>
      </c>
    </row>
    <row r="1158">
      <c r="A1158" t="n">
        <v>128</v>
      </c>
      <c r="B1158" t="inlineStr">
        <is>
          <t>Love Cabaret</t>
        </is>
      </c>
      <c r="C1158" s="27" t="n">
        <v>45891</v>
      </c>
      <c r="D1158" t="n">
        <v>0</v>
      </c>
      <c r="E1158" t="inlineStr">
        <is>
          <t>RECARGAS DEVOLVIDAS</t>
        </is>
      </c>
    </row>
    <row r="1159">
      <c r="A1159" t="n">
        <v>128</v>
      </c>
      <c r="B1159" t="inlineStr">
        <is>
          <t>Love Cabaret</t>
        </is>
      </c>
      <c r="C1159" s="27" t="n">
        <v>45891</v>
      </c>
      <c r="D1159" t="n">
        <v>0</v>
      </c>
      <c r="E1159" t="inlineStr">
        <is>
          <t>VOUCHER INTEGRADO</t>
        </is>
      </c>
    </row>
    <row r="1160">
      <c r="A1160" t="n">
        <v>128</v>
      </c>
      <c r="B1160" t="inlineStr">
        <is>
          <t>Love Cabaret</t>
        </is>
      </c>
      <c r="C1160" s="27" t="n">
        <v>45891</v>
      </c>
      <c r="D1160" t="n">
        <v>0</v>
      </c>
      <c r="E1160" t="inlineStr">
        <is>
          <t>MBWAY</t>
        </is>
      </c>
    </row>
    <row r="1161">
      <c r="A1161" t="n">
        <v>128</v>
      </c>
      <c r="B1161" t="inlineStr">
        <is>
          <t>Love Cabaret</t>
        </is>
      </c>
      <c r="C1161" s="27" t="n">
        <v>45890</v>
      </c>
      <c r="D1161" t="n">
        <v>0</v>
      </c>
      <c r="E1161" t="inlineStr">
        <is>
          <t>DELIVERY ONLINE</t>
        </is>
      </c>
    </row>
    <row r="1162">
      <c r="A1162" t="n">
        <v>128</v>
      </c>
      <c r="B1162" t="inlineStr">
        <is>
          <t>Love Cabaret</t>
        </is>
      </c>
      <c r="C1162" s="27" t="n">
        <v>45890</v>
      </c>
      <c r="D1162" t="n">
        <v>5220.83</v>
      </c>
      <c r="E1162" t="inlineStr">
        <is>
          <t>CRÉDITO</t>
        </is>
      </c>
    </row>
    <row r="1163">
      <c r="A1163" t="n">
        <v>128</v>
      </c>
      <c r="B1163" t="inlineStr">
        <is>
          <t>Love Cabaret</t>
        </is>
      </c>
      <c r="C1163" s="27" t="n">
        <v>45890</v>
      </c>
      <c r="D1163" t="n">
        <v>0</v>
      </c>
      <c r="E1163" t="inlineStr">
        <is>
          <t>APP</t>
        </is>
      </c>
    </row>
    <row r="1164">
      <c r="A1164" t="n">
        <v>128</v>
      </c>
      <c r="B1164" t="inlineStr">
        <is>
          <t>Love Cabaret</t>
        </is>
      </c>
      <c r="C1164" s="27" t="n">
        <v>45890</v>
      </c>
      <c r="D1164" t="n">
        <v>68.33</v>
      </c>
      <c r="E1164" t="inlineStr">
        <is>
          <t>DINHEIRO</t>
        </is>
      </c>
    </row>
    <row r="1165">
      <c r="A1165" t="n">
        <v>128</v>
      </c>
      <c r="B1165" t="inlineStr">
        <is>
          <t>Love Cabaret</t>
        </is>
      </c>
      <c r="C1165" s="27" t="n">
        <v>45890</v>
      </c>
      <c r="D1165" t="n">
        <v>0</v>
      </c>
      <c r="E1165" t="inlineStr">
        <is>
          <t>IFOOD</t>
        </is>
      </c>
    </row>
    <row r="1166">
      <c r="A1166" t="n">
        <v>128</v>
      </c>
      <c r="B1166" t="inlineStr">
        <is>
          <t>Love Cabaret</t>
        </is>
      </c>
      <c r="C1166" s="27" t="n">
        <v>45890</v>
      </c>
      <c r="D1166" t="n">
        <v>0</v>
      </c>
      <c r="E1166" t="inlineStr">
        <is>
          <t>MBWAY</t>
        </is>
      </c>
    </row>
    <row r="1167">
      <c r="A1167" t="n">
        <v>128</v>
      </c>
      <c r="B1167" t="inlineStr">
        <is>
          <t>Love Cabaret</t>
        </is>
      </c>
      <c r="C1167" s="27" t="n">
        <v>45890</v>
      </c>
      <c r="D1167" t="n">
        <v>0</v>
      </c>
      <c r="E1167" t="inlineStr">
        <is>
          <t>VOUCHER INTEGRADO</t>
        </is>
      </c>
    </row>
    <row r="1168">
      <c r="A1168" t="n">
        <v>128</v>
      </c>
      <c r="B1168" t="inlineStr">
        <is>
          <t>Love Cabaret</t>
        </is>
      </c>
      <c r="C1168" s="27" t="n">
        <v>45890</v>
      </c>
      <c r="D1168" t="n">
        <v>0</v>
      </c>
      <c r="E1168" t="inlineStr">
        <is>
          <t>RECARGAS DEVOLVIDAS</t>
        </is>
      </c>
    </row>
    <row r="1169">
      <c r="A1169" t="n">
        <v>128</v>
      </c>
      <c r="B1169" t="inlineStr">
        <is>
          <t>Love Cabaret</t>
        </is>
      </c>
      <c r="C1169" s="27" t="n">
        <v>45890</v>
      </c>
      <c r="D1169" t="n">
        <v>0</v>
      </c>
      <c r="E1169" t="inlineStr">
        <is>
          <t>NOTAS MANUAIS + SERVIÇO</t>
        </is>
      </c>
    </row>
    <row r="1170">
      <c r="A1170" t="n">
        <v>128</v>
      </c>
      <c r="B1170" t="inlineStr">
        <is>
          <t>Love Cabaret</t>
        </is>
      </c>
      <c r="C1170" s="27" t="n">
        <v>45890</v>
      </c>
      <c r="D1170" t="n">
        <v>0</v>
      </c>
      <c r="E1170" t="inlineStr">
        <is>
          <t>AME</t>
        </is>
      </c>
    </row>
    <row r="1171">
      <c r="A1171" t="n">
        <v>128</v>
      </c>
      <c r="B1171" t="inlineStr">
        <is>
          <t>Love Cabaret</t>
        </is>
      </c>
      <c r="C1171" s="27" t="n">
        <v>45890</v>
      </c>
      <c r="D1171" t="n">
        <v>0</v>
      </c>
      <c r="E1171" t="inlineStr">
        <is>
          <t>OUTROS</t>
        </is>
      </c>
    </row>
    <row r="1172">
      <c r="A1172" t="n">
        <v>128</v>
      </c>
      <c r="B1172" t="inlineStr">
        <is>
          <t>Love Cabaret</t>
        </is>
      </c>
      <c r="C1172" s="27" t="n">
        <v>45890</v>
      </c>
      <c r="D1172" t="n">
        <v>0</v>
      </c>
      <c r="E1172" t="inlineStr">
        <is>
          <t>ANTECIPADO</t>
        </is>
      </c>
    </row>
    <row r="1173">
      <c r="A1173" t="n">
        <v>128</v>
      </c>
      <c r="B1173" t="inlineStr">
        <is>
          <t>Love Cabaret</t>
        </is>
      </c>
      <c r="C1173" s="27" t="n">
        <v>45890</v>
      </c>
      <c r="D1173" t="n">
        <v>0</v>
      </c>
      <c r="E1173" t="inlineStr">
        <is>
          <t>BÔNUS</t>
        </is>
      </c>
    </row>
    <row r="1174">
      <c r="A1174" t="n">
        <v>128</v>
      </c>
      <c r="B1174" t="inlineStr">
        <is>
          <t>Love Cabaret</t>
        </is>
      </c>
      <c r="C1174" s="27" t="n">
        <v>45890</v>
      </c>
      <c r="D1174" t="n">
        <v>1791.05</v>
      </c>
      <c r="E1174" t="inlineStr">
        <is>
          <t>DÉBITO</t>
        </is>
      </c>
    </row>
    <row r="1175">
      <c r="A1175" t="n">
        <v>128</v>
      </c>
      <c r="B1175" t="inlineStr">
        <is>
          <t>Love Cabaret</t>
        </is>
      </c>
      <c r="C1175" s="27" t="n">
        <v>45890</v>
      </c>
      <c r="D1175" t="n">
        <v>0</v>
      </c>
      <c r="E1175" t="inlineStr">
        <is>
          <t>VOUCHER</t>
        </is>
      </c>
    </row>
    <row r="1176">
      <c r="A1176" t="n">
        <v>128</v>
      </c>
      <c r="B1176" t="inlineStr">
        <is>
          <t>Love Cabaret</t>
        </is>
      </c>
      <c r="C1176" s="27" t="n">
        <v>45890</v>
      </c>
      <c r="D1176" t="n">
        <v>0</v>
      </c>
      <c r="E1176" t="inlineStr">
        <is>
          <t>ANTECIPADO</t>
        </is>
      </c>
    </row>
    <row r="1177">
      <c r="A1177" t="n">
        <v>128</v>
      </c>
      <c r="B1177" t="inlineStr">
        <is>
          <t>Love Cabaret</t>
        </is>
      </c>
      <c r="C1177" s="27" t="n">
        <v>45890</v>
      </c>
      <c r="D1177" t="n">
        <v>0</v>
      </c>
      <c r="E1177" t="inlineStr">
        <is>
          <t>UBER</t>
        </is>
      </c>
    </row>
    <row r="1178">
      <c r="A1178" t="n">
        <v>128</v>
      </c>
      <c r="B1178" t="inlineStr">
        <is>
          <t>Love Cabaret</t>
        </is>
      </c>
      <c r="C1178" s="27" t="n">
        <v>45890</v>
      </c>
      <c r="D1178" t="n">
        <v>0</v>
      </c>
      <c r="E1178" t="inlineStr">
        <is>
          <t>RAPPI</t>
        </is>
      </c>
    </row>
    <row r="1179">
      <c r="A1179" t="n">
        <v>128</v>
      </c>
      <c r="B1179" t="inlineStr">
        <is>
          <t>Love Cabaret</t>
        </is>
      </c>
      <c r="C1179" s="27" t="n">
        <v>45890</v>
      </c>
      <c r="D1179" t="n">
        <v>271.2</v>
      </c>
      <c r="E1179" t="inlineStr">
        <is>
          <t>PIX</t>
        </is>
      </c>
    </row>
    <row r="1180">
      <c r="A1180" t="n">
        <v>128</v>
      </c>
      <c r="B1180" t="inlineStr">
        <is>
          <t>Love Cabaret</t>
        </is>
      </c>
      <c r="C1180" s="27" t="n">
        <v>45885</v>
      </c>
      <c r="D1180" t="n">
        <v>0</v>
      </c>
      <c r="E1180" t="inlineStr">
        <is>
          <t>RAPPI</t>
        </is>
      </c>
    </row>
    <row r="1181">
      <c r="A1181" t="n">
        <v>128</v>
      </c>
      <c r="B1181" t="inlineStr">
        <is>
          <t>Love Cabaret</t>
        </is>
      </c>
      <c r="C1181" s="27" t="n">
        <v>45885</v>
      </c>
      <c r="D1181" t="n">
        <v>1429.45</v>
      </c>
      <c r="E1181" t="inlineStr">
        <is>
          <t>PIX</t>
        </is>
      </c>
    </row>
    <row r="1182">
      <c r="A1182" t="n">
        <v>128</v>
      </c>
      <c r="B1182" t="inlineStr">
        <is>
          <t>Love Cabaret</t>
        </is>
      </c>
      <c r="C1182" s="27" t="n">
        <v>45885</v>
      </c>
      <c r="D1182" t="n">
        <v>0</v>
      </c>
      <c r="E1182" t="inlineStr">
        <is>
          <t>NOTAS MANUAIS + SERVIÇO</t>
        </is>
      </c>
    </row>
    <row r="1183">
      <c r="A1183" t="n">
        <v>128</v>
      </c>
      <c r="B1183" t="inlineStr">
        <is>
          <t>Love Cabaret</t>
        </is>
      </c>
      <c r="C1183" s="27" t="n">
        <v>45885</v>
      </c>
      <c r="D1183" t="n">
        <v>0</v>
      </c>
      <c r="E1183" t="inlineStr">
        <is>
          <t>RECARGAS DEVOLVIDAS</t>
        </is>
      </c>
    </row>
    <row r="1184">
      <c r="A1184" t="n">
        <v>128</v>
      </c>
      <c r="B1184" t="inlineStr">
        <is>
          <t>Love Cabaret</t>
        </is>
      </c>
      <c r="C1184" s="27" t="n">
        <v>45885</v>
      </c>
      <c r="D1184" t="n">
        <v>0</v>
      </c>
      <c r="E1184" t="inlineStr">
        <is>
          <t>VOUCHER INTEGRADO</t>
        </is>
      </c>
    </row>
    <row r="1185">
      <c r="A1185" t="n">
        <v>128</v>
      </c>
      <c r="B1185" t="inlineStr">
        <is>
          <t>Love Cabaret</t>
        </is>
      </c>
      <c r="C1185" s="27" t="n">
        <v>45885</v>
      </c>
      <c r="D1185" t="n">
        <v>0</v>
      </c>
      <c r="E1185" t="inlineStr">
        <is>
          <t>MBWAY</t>
        </is>
      </c>
    </row>
    <row r="1186">
      <c r="A1186" t="n">
        <v>128</v>
      </c>
      <c r="B1186" t="inlineStr">
        <is>
          <t>Love Cabaret</t>
        </is>
      </c>
      <c r="C1186" s="27" t="n">
        <v>45885</v>
      </c>
      <c r="D1186" t="n">
        <v>0</v>
      </c>
      <c r="E1186" t="inlineStr">
        <is>
          <t>IFOOD</t>
        </is>
      </c>
    </row>
    <row r="1187">
      <c r="A1187" t="n">
        <v>128</v>
      </c>
      <c r="B1187" t="inlineStr">
        <is>
          <t>Love Cabaret</t>
        </is>
      </c>
      <c r="C1187" s="27" t="n">
        <v>45885</v>
      </c>
      <c r="D1187" t="n">
        <v>0</v>
      </c>
      <c r="E1187" t="inlineStr">
        <is>
          <t>UBER</t>
        </is>
      </c>
    </row>
    <row r="1188">
      <c r="A1188" t="n">
        <v>128</v>
      </c>
      <c r="B1188" t="inlineStr">
        <is>
          <t>Love Cabaret</t>
        </is>
      </c>
      <c r="C1188" s="27" t="n">
        <v>45885</v>
      </c>
      <c r="D1188" t="n">
        <v>0</v>
      </c>
      <c r="E1188" t="inlineStr">
        <is>
          <t>ANTECIPADO</t>
        </is>
      </c>
    </row>
    <row r="1189">
      <c r="A1189" t="n">
        <v>128</v>
      </c>
      <c r="B1189" t="inlineStr">
        <is>
          <t>Love Cabaret</t>
        </is>
      </c>
      <c r="C1189" s="27" t="n">
        <v>45885</v>
      </c>
      <c r="D1189" t="n">
        <v>0</v>
      </c>
      <c r="E1189" t="inlineStr">
        <is>
          <t>BÔNUS</t>
        </is>
      </c>
    </row>
    <row r="1190">
      <c r="A1190" t="n">
        <v>128</v>
      </c>
      <c r="B1190" t="inlineStr">
        <is>
          <t>Love Cabaret</t>
        </is>
      </c>
      <c r="C1190" s="27" t="n">
        <v>45885</v>
      </c>
      <c r="D1190" t="n">
        <v>0</v>
      </c>
      <c r="E1190" t="inlineStr">
        <is>
          <t>AME</t>
        </is>
      </c>
    </row>
    <row r="1191">
      <c r="A1191" t="n">
        <v>128</v>
      </c>
      <c r="B1191" t="inlineStr">
        <is>
          <t>Love Cabaret</t>
        </is>
      </c>
      <c r="C1191" s="27" t="n">
        <v>45885</v>
      </c>
      <c r="D1191" t="n">
        <v>0</v>
      </c>
      <c r="E1191" t="inlineStr">
        <is>
          <t>VOUCHER</t>
        </is>
      </c>
    </row>
    <row r="1192">
      <c r="A1192" t="n">
        <v>128</v>
      </c>
      <c r="B1192" t="inlineStr">
        <is>
          <t>Love Cabaret</t>
        </is>
      </c>
      <c r="C1192" s="27" t="n">
        <v>45885</v>
      </c>
      <c r="D1192" t="n">
        <v>7192.16</v>
      </c>
      <c r="E1192" t="inlineStr">
        <is>
          <t>DÉBITO</t>
        </is>
      </c>
    </row>
    <row r="1193">
      <c r="A1193" t="n">
        <v>128</v>
      </c>
      <c r="B1193" t="inlineStr">
        <is>
          <t>Love Cabaret</t>
        </is>
      </c>
      <c r="C1193" s="27" t="n">
        <v>45885</v>
      </c>
      <c r="D1193" t="n">
        <v>0</v>
      </c>
      <c r="E1193" t="inlineStr">
        <is>
          <t>OUTROS</t>
        </is>
      </c>
    </row>
    <row r="1194">
      <c r="A1194" t="n">
        <v>128</v>
      </c>
      <c r="B1194" t="inlineStr">
        <is>
          <t>Love Cabaret</t>
        </is>
      </c>
      <c r="C1194" s="27" t="n">
        <v>45885</v>
      </c>
      <c r="D1194" t="n">
        <v>0</v>
      </c>
      <c r="E1194" t="inlineStr">
        <is>
          <t>ANTECIPADO</t>
        </is>
      </c>
    </row>
    <row r="1195">
      <c r="A1195" t="n">
        <v>128</v>
      </c>
      <c r="B1195" t="inlineStr">
        <is>
          <t>Love Cabaret</t>
        </is>
      </c>
      <c r="C1195" s="27" t="n">
        <v>45885</v>
      </c>
      <c r="D1195" t="n">
        <v>0</v>
      </c>
      <c r="E1195" t="inlineStr">
        <is>
          <t>DELIVERY ONLINE</t>
        </is>
      </c>
    </row>
    <row r="1196">
      <c r="A1196" t="n">
        <v>128</v>
      </c>
      <c r="B1196" t="inlineStr">
        <is>
          <t>Love Cabaret</t>
        </is>
      </c>
      <c r="C1196" s="27" t="n">
        <v>45885</v>
      </c>
      <c r="D1196" t="n">
        <v>0</v>
      </c>
      <c r="E1196" t="inlineStr">
        <is>
          <t>APP</t>
        </is>
      </c>
    </row>
    <row r="1197">
      <c r="A1197" t="n">
        <v>128</v>
      </c>
      <c r="B1197" t="inlineStr">
        <is>
          <t>Love Cabaret</t>
        </is>
      </c>
      <c r="C1197" s="27" t="n">
        <v>45885</v>
      </c>
      <c r="D1197" t="n">
        <v>894.1</v>
      </c>
      <c r="E1197" t="inlineStr">
        <is>
          <t>DINHEIRO</t>
        </is>
      </c>
    </row>
    <row r="1198">
      <c r="A1198" t="n">
        <v>128</v>
      </c>
      <c r="B1198" t="inlineStr">
        <is>
          <t>Love Cabaret</t>
        </is>
      </c>
      <c r="C1198" s="27" t="n">
        <v>45885</v>
      </c>
      <c r="D1198" t="n">
        <v>23672.44</v>
      </c>
      <c r="E1198" t="inlineStr">
        <is>
          <t>CRÉDITO</t>
        </is>
      </c>
    </row>
    <row r="1199">
      <c r="A1199" t="n">
        <v>128</v>
      </c>
      <c r="B1199" t="inlineStr">
        <is>
          <t>Love Cabaret</t>
        </is>
      </c>
      <c r="C1199" s="27" t="n">
        <v>45884</v>
      </c>
      <c r="D1199" t="n">
        <v>0</v>
      </c>
      <c r="E1199" t="inlineStr">
        <is>
          <t>OUTROS</t>
        </is>
      </c>
    </row>
    <row r="1200">
      <c r="A1200" t="n">
        <v>128</v>
      </c>
      <c r="B1200" t="inlineStr">
        <is>
          <t>Love Cabaret</t>
        </is>
      </c>
      <c r="C1200" s="27" t="n">
        <v>45884</v>
      </c>
      <c r="D1200" t="n">
        <v>0</v>
      </c>
      <c r="E1200" t="inlineStr">
        <is>
          <t>MBWAY</t>
        </is>
      </c>
    </row>
    <row r="1201">
      <c r="A1201" t="n">
        <v>128</v>
      </c>
      <c r="B1201" t="inlineStr">
        <is>
          <t>Love Cabaret</t>
        </is>
      </c>
      <c r="C1201" s="27" t="n">
        <v>45884</v>
      </c>
      <c r="D1201" t="n">
        <v>6512.38</v>
      </c>
      <c r="E1201" t="inlineStr">
        <is>
          <t>DÉBITO</t>
        </is>
      </c>
    </row>
    <row r="1202">
      <c r="A1202" t="n">
        <v>128</v>
      </c>
      <c r="B1202" t="inlineStr">
        <is>
          <t>Love Cabaret</t>
        </is>
      </c>
      <c r="C1202" s="27" t="n">
        <v>45884</v>
      </c>
      <c r="D1202" t="n">
        <v>0</v>
      </c>
      <c r="E1202" t="inlineStr">
        <is>
          <t>VOUCHER</t>
        </is>
      </c>
    </row>
    <row r="1203">
      <c r="A1203" t="n">
        <v>128</v>
      </c>
      <c r="B1203" t="inlineStr">
        <is>
          <t>Love Cabaret</t>
        </is>
      </c>
      <c r="C1203" s="27" t="n">
        <v>45884</v>
      </c>
      <c r="D1203" t="n">
        <v>0</v>
      </c>
      <c r="E1203" t="inlineStr">
        <is>
          <t>ANTECIPADO</t>
        </is>
      </c>
    </row>
    <row r="1204">
      <c r="A1204" t="n">
        <v>128</v>
      </c>
      <c r="B1204" t="inlineStr">
        <is>
          <t>Love Cabaret</t>
        </is>
      </c>
      <c r="C1204" s="27" t="n">
        <v>45884</v>
      </c>
      <c r="D1204" t="n">
        <v>0</v>
      </c>
      <c r="E1204" t="inlineStr">
        <is>
          <t>UBER</t>
        </is>
      </c>
    </row>
    <row r="1205">
      <c r="A1205" t="n">
        <v>128</v>
      </c>
      <c r="B1205" t="inlineStr">
        <is>
          <t>Love Cabaret</t>
        </is>
      </c>
      <c r="C1205" s="27" t="n">
        <v>45884</v>
      </c>
      <c r="D1205" t="n">
        <v>0</v>
      </c>
      <c r="E1205" t="inlineStr">
        <is>
          <t>RAPPI</t>
        </is>
      </c>
    </row>
    <row r="1206">
      <c r="A1206" t="n">
        <v>128</v>
      </c>
      <c r="B1206" t="inlineStr">
        <is>
          <t>Love Cabaret</t>
        </is>
      </c>
      <c r="C1206" s="27" t="n">
        <v>45884</v>
      </c>
      <c r="D1206" t="n">
        <v>1504.78</v>
      </c>
      <c r="E1206" t="inlineStr">
        <is>
          <t>PIX</t>
        </is>
      </c>
    </row>
    <row r="1207">
      <c r="A1207" t="n">
        <v>128</v>
      </c>
      <c r="B1207" t="inlineStr">
        <is>
          <t>Love Cabaret</t>
        </is>
      </c>
      <c r="C1207" s="27" t="n">
        <v>45884</v>
      </c>
      <c r="D1207" t="n">
        <v>0</v>
      </c>
      <c r="E1207" t="inlineStr">
        <is>
          <t>IFOOD</t>
        </is>
      </c>
    </row>
    <row r="1208">
      <c r="A1208" t="n">
        <v>128</v>
      </c>
      <c r="B1208" t="inlineStr">
        <is>
          <t>Love Cabaret</t>
        </is>
      </c>
      <c r="C1208" s="27" t="n">
        <v>45884</v>
      </c>
      <c r="D1208" t="n">
        <v>0</v>
      </c>
      <c r="E1208" t="inlineStr">
        <is>
          <t>BÔNUS</t>
        </is>
      </c>
    </row>
    <row r="1209">
      <c r="A1209" t="n">
        <v>128</v>
      </c>
      <c r="B1209" t="inlineStr">
        <is>
          <t>Love Cabaret</t>
        </is>
      </c>
      <c r="C1209" s="27" t="n">
        <v>45884</v>
      </c>
      <c r="D1209" t="n">
        <v>0</v>
      </c>
      <c r="E1209" t="inlineStr">
        <is>
          <t>ANTECIPADO</t>
        </is>
      </c>
    </row>
    <row r="1210">
      <c r="A1210" t="n">
        <v>128</v>
      </c>
      <c r="B1210" t="inlineStr">
        <is>
          <t>Love Cabaret</t>
        </is>
      </c>
      <c r="C1210" s="27" t="n">
        <v>45884</v>
      </c>
      <c r="D1210" t="n">
        <v>0</v>
      </c>
      <c r="E1210" t="inlineStr">
        <is>
          <t>AME</t>
        </is>
      </c>
    </row>
    <row r="1211">
      <c r="A1211" t="n">
        <v>128</v>
      </c>
      <c r="B1211" t="inlineStr">
        <is>
          <t>Love Cabaret</t>
        </is>
      </c>
      <c r="C1211" s="27" t="n">
        <v>45884</v>
      </c>
      <c r="D1211" t="n">
        <v>0</v>
      </c>
      <c r="E1211" t="inlineStr">
        <is>
          <t>NOTAS MANUAIS + SERVIÇO</t>
        </is>
      </c>
    </row>
    <row r="1212">
      <c r="A1212" t="n">
        <v>128</v>
      </c>
      <c r="B1212" t="inlineStr">
        <is>
          <t>Love Cabaret</t>
        </is>
      </c>
      <c r="C1212" s="27" t="n">
        <v>45884</v>
      </c>
      <c r="D1212" t="n">
        <v>0</v>
      </c>
      <c r="E1212" t="inlineStr">
        <is>
          <t>RECARGAS DEVOLVIDAS</t>
        </is>
      </c>
    </row>
    <row r="1213">
      <c r="A1213" t="n">
        <v>128</v>
      </c>
      <c r="B1213" t="inlineStr">
        <is>
          <t>Love Cabaret</t>
        </is>
      </c>
      <c r="C1213" s="27" t="n">
        <v>45884</v>
      </c>
      <c r="D1213" t="n">
        <v>0</v>
      </c>
      <c r="E1213" t="inlineStr">
        <is>
          <t>VOUCHER INTEGRADO</t>
        </is>
      </c>
    </row>
    <row r="1214">
      <c r="A1214" t="n">
        <v>128</v>
      </c>
      <c r="B1214" t="inlineStr">
        <is>
          <t>Love Cabaret</t>
        </is>
      </c>
      <c r="C1214" s="27" t="n">
        <v>45884</v>
      </c>
      <c r="D1214" t="n">
        <v>0</v>
      </c>
      <c r="E1214" t="inlineStr">
        <is>
          <t>DELIVERY ONLINE</t>
        </is>
      </c>
    </row>
    <row r="1215">
      <c r="A1215" t="n">
        <v>128</v>
      </c>
      <c r="B1215" t="inlineStr">
        <is>
          <t>Love Cabaret</t>
        </is>
      </c>
      <c r="C1215" s="27" t="n">
        <v>45884</v>
      </c>
      <c r="D1215" t="n">
        <v>62</v>
      </c>
      <c r="E1215" t="inlineStr">
        <is>
          <t>APP</t>
        </is>
      </c>
    </row>
    <row r="1216">
      <c r="A1216" t="n">
        <v>128</v>
      </c>
      <c r="B1216" t="inlineStr">
        <is>
          <t>Love Cabaret</t>
        </is>
      </c>
      <c r="C1216" s="27" t="n">
        <v>45884</v>
      </c>
      <c r="D1216" t="n">
        <v>453.68</v>
      </c>
      <c r="E1216" t="inlineStr">
        <is>
          <t>DINHEIRO</t>
        </is>
      </c>
    </row>
    <row r="1217">
      <c r="A1217" t="n">
        <v>128</v>
      </c>
      <c r="B1217" t="inlineStr">
        <is>
          <t>Love Cabaret</t>
        </is>
      </c>
      <c r="C1217" s="27" t="n">
        <v>45884</v>
      </c>
      <c r="D1217" t="n">
        <v>19510.56</v>
      </c>
      <c r="E1217" t="inlineStr">
        <is>
          <t>CRÉDITO</t>
        </is>
      </c>
    </row>
    <row r="1218">
      <c r="A1218" t="n">
        <v>128</v>
      </c>
      <c r="B1218" t="inlineStr">
        <is>
          <t>Love Cabaret</t>
        </is>
      </c>
      <c r="C1218" s="27" t="n">
        <v>45883</v>
      </c>
      <c r="D1218" t="n">
        <v>0</v>
      </c>
      <c r="E1218" t="inlineStr">
        <is>
          <t>IFOOD</t>
        </is>
      </c>
    </row>
    <row r="1219">
      <c r="A1219" t="n">
        <v>128</v>
      </c>
      <c r="B1219" t="inlineStr">
        <is>
          <t>Love Cabaret</t>
        </is>
      </c>
      <c r="C1219" s="27" t="n">
        <v>45883</v>
      </c>
      <c r="D1219" t="n">
        <v>0</v>
      </c>
      <c r="E1219" t="inlineStr">
        <is>
          <t>APP</t>
        </is>
      </c>
    </row>
    <row r="1220">
      <c r="A1220" t="n">
        <v>128</v>
      </c>
      <c r="B1220" t="inlineStr">
        <is>
          <t>Love Cabaret</t>
        </is>
      </c>
      <c r="C1220" s="27" t="n">
        <v>45883</v>
      </c>
      <c r="D1220" t="n">
        <v>0</v>
      </c>
      <c r="E1220" t="inlineStr">
        <is>
          <t>DINHEIRO</t>
        </is>
      </c>
    </row>
    <row r="1221">
      <c r="A1221" t="n">
        <v>128</v>
      </c>
      <c r="B1221" t="inlineStr">
        <is>
          <t>Love Cabaret</t>
        </is>
      </c>
      <c r="C1221" s="27" t="n">
        <v>45883</v>
      </c>
      <c r="D1221" t="n">
        <v>0</v>
      </c>
      <c r="E1221" t="inlineStr">
        <is>
          <t>MBWAY</t>
        </is>
      </c>
    </row>
    <row r="1222">
      <c r="A1222" t="n">
        <v>128</v>
      </c>
      <c r="B1222" t="inlineStr">
        <is>
          <t>Love Cabaret</t>
        </is>
      </c>
      <c r="C1222" s="27" t="n">
        <v>45883</v>
      </c>
      <c r="D1222" t="n">
        <v>8312.74</v>
      </c>
      <c r="E1222" t="inlineStr">
        <is>
          <t>CRÉDITO</t>
        </is>
      </c>
    </row>
    <row r="1223">
      <c r="A1223" t="n">
        <v>128</v>
      </c>
      <c r="B1223" t="inlineStr">
        <is>
          <t>Love Cabaret</t>
        </is>
      </c>
      <c r="C1223" s="27" t="n">
        <v>45883</v>
      </c>
      <c r="D1223" t="n">
        <v>0</v>
      </c>
      <c r="E1223" t="inlineStr">
        <is>
          <t>VOUCHER INTEGRADO</t>
        </is>
      </c>
    </row>
    <row r="1224">
      <c r="A1224" t="n">
        <v>128</v>
      </c>
      <c r="B1224" t="inlineStr">
        <is>
          <t>Love Cabaret</t>
        </is>
      </c>
      <c r="C1224" s="27" t="n">
        <v>45883</v>
      </c>
      <c r="D1224" t="n">
        <v>0</v>
      </c>
      <c r="E1224" t="inlineStr">
        <is>
          <t>RECARGAS DEVOLVIDAS</t>
        </is>
      </c>
    </row>
    <row r="1225">
      <c r="A1225" t="n">
        <v>128</v>
      </c>
      <c r="B1225" t="inlineStr">
        <is>
          <t>Love Cabaret</t>
        </is>
      </c>
      <c r="C1225" s="27" t="n">
        <v>45883</v>
      </c>
      <c r="D1225" t="n">
        <v>0</v>
      </c>
      <c r="E1225" t="inlineStr">
        <is>
          <t>NOTAS MANUAIS + SERVIÇO</t>
        </is>
      </c>
    </row>
    <row r="1226">
      <c r="A1226" t="n">
        <v>128</v>
      </c>
      <c r="B1226" t="inlineStr">
        <is>
          <t>Love Cabaret</t>
        </is>
      </c>
      <c r="C1226" s="27" t="n">
        <v>45883</v>
      </c>
      <c r="D1226" t="n">
        <v>0</v>
      </c>
      <c r="E1226" t="inlineStr">
        <is>
          <t>OUTROS</t>
        </is>
      </c>
    </row>
    <row r="1227">
      <c r="A1227" t="n">
        <v>128</v>
      </c>
      <c r="B1227" t="inlineStr">
        <is>
          <t>Love Cabaret</t>
        </is>
      </c>
      <c r="C1227" s="27" t="n">
        <v>45883</v>
      </c>
      <c r="D1227" t="n">
        <v>0</v>
      </c>
      <c r="E1227" t="inlineStr">
        <is>
          <t>AME</t>
        </is>
      </c>
    </row>
    <row r="1228">
      <c r="A1228" t="n">
        <v>128</v>
      </c>
      <c r="B1228" t="inlineStr">
        <is>
          <t>Love Cabaret</t>
        </is>
      </c>
      <c r="C1228" s="27" t="n">
        <v>45883</v>
      </c>
      <c r="D1228" t="n">
        <v>0</v>
      </c>
      <c r="E1228" t="inlineStr">
        <is>
          <t>DELIVERY ONLINE</t>
        </is>
      </c>
    </row>
    <row r="1229">
      <c r="A1229" t="n">
        <v>128</v>
      </c>
      <c r="B1229" t="inlineStr">
        <is>
          <t>Love Cabaret</t>
        </is>
      </c>
      <c r="C1229" s="27" t="n">
        <v>45883</v>
      </c>
      <c r="D1229" t="n">
        <v>576.3099999999999</v>
      </c>
      <c r="E1229" t="inlineStr">
        <is>
          <t>PIX</t>
        </is>
      </c>
    </row>
    <row r="1230">
      <c r="A1230" t="n">
        <v>128</v>
      </c>
      <c r="B1230" t="inlineStr">
        <is>
          <t>Love Cabaret</t>
        </is>
      </c>
      <c r="C1230" s="27" t="n">
        <v>45883</v>
      </c>
      <c r="D1230" t="n">
        <v>0</v>
      </c>
      <c r="E1230" t="inlineStr">
        <is>
          <t>RAPPI</t>
        </is>
      </c>
    </row>
    <row r="1231">
      <c r="A1231" t="n">
        <v>128</v>
      </c>
      <c r="B1231" t="inlineStr">
        <is>
          <t>Love Cabaret</t>
        </is>
      </c>
      <c r="C1231" s="27" t="n">
        <v>45883</v>
      </c>
      <c r="D1231" t="n">
        <v>0</v>
      </c>
      <c r="E1231" t="inlineStr">
        <is>
          <t>UBER</t>
        </is>
      </c>
    </row>
    <row r="1232">
      <c r="A1232" t="n">
        <v>128</v>
      </c>
      <c r="B1232" t="inlineStr">
        <is>
          <t>Love Cabaret</t>
        </is>
      </c>
      <c r="C1232" s="27" t="n">
        <v>45883</v>
      </c>
      <c r="D1232" t="n">
        <v>0</v>
      </c>
      <c r="E1232" t="inlineStr">
        <is>
          <t>ANTECIPADO</t>
        </is>
      </c>
    </row>
    <row r="1233">
      <c r="A1233" t="n">
        <v>128</v>
      </c>
      <c r="B1233" t="inlineStr">
        <is>
          <t>Love Cabaret</t>
        </is>
      </c>
      <c r="C1233" s="27" t="n">
        <v>45883</v>
      </c>
      <c r="D1233" t="n">
        <v>0</v>
      </c>
      <c r="E1233" t="inlineStr">
        <is>
          <t>VOUCHER</t>
        </is>
      </c>
    </row>
    <row r="1234">
      <c r="A1234" t="n">
        <v>128</v>
      </c>
      <c r="B1234" t="inlineStr">
        <is>
          <t>Love Cabaret</t>
        </is>
      </c>
      <c r="C1234" s="27" t="n">
        <v>45883</v>
      </c>
      <c r="D1234" t="n">
        <v>3236.32</v>
      </c>
      <c r="E1234" t="inlineStr">
        <is>
          <t>DÉBITO</t>
        </is>
      </c>
    </row>
    <row r="1235">
      <c r="A1235" t="n">
        <v>128</v>
      </c>
      <c r="B1235" t="inlineStr">
        <is>
          <t>Love Cabaret</t>
        </is>
      </c>
      <c r="C1235" s="27" t="n">
        <v>45883</v>
      </c>
      <c r="D1235" t="n">
        <v>0</v>
      </c>
      <c r="E1235" t="inlineStr">
        <is>
          <t>BÔNUS</t>
        </is>
      </c>
    </row>
    <row r="1236">
      <c r="A1236" t="n">
        <v>128</v>
      </c>
      <c r="B1236" t="inlineStr">
        <is>
          <t>Love Cabaret</t>
        </is>
      </c>
      <c r="C1236" s="27" t="n">
        <v>45883</v>
      </c>
      <c r="D1236" t="n">
        <v>0</v>
      </c>
      <c r="E1236" t="inlineStr">
        <is>
          <t>ANTECIPADO</t>
        </is>
      </c>
    </row>
    <row r="1237">
      <c r="A1237" t="n">
        <v>128</v>
      </c>
      <c r="B1237" t="inlineStr">
        <is>
          <t>Love Cabaret</t>
        </is>
      </c>
      <c r="C1237" s="27" t="n">
        <v>45878</v>
      </c>
      <c r="D1237" t="n">
        <v>0</v>
      </c>
      <c r="E1237" t="inlineStr">
        <is>
          <t>IFOOD</t>
        </is>
      </c>
    </row>
    <row r="1238">
      <c r="A1238" t="n">
        <v>128</v>
      </c>
      <c r="B1238" t="inlineStr">
        <is>
          <t>Love Cabaret</t>
        </is>
      </c>
      <c r="C1238" s="27" t="n">
        <v>45878</v>
      </c>
      <c r="D1238" t="n">
        <v>0</v>
      </c>
      <c r="E1238" t="inlineStr">
        <is>
          <t>MBWAY</t>
        </is>
      </c>
    </row>
    <row r="1239">
      <c r="A1239" t="n">
        <v>128</v>
      </c>
      <c r="B1239" t="inlineStr">
        <is>
          <t>Love Cabaret</t>
        </is>
      </c>
      <c r="C1239" s="27" t="n">
        <v>45878</v>
      </c>
      <c r="D1239" t="n">
        <v>1427.48</v>
      </c>
      <c r="E1239" t="inlineStr">
        <is>
          <t>PIX</t>
        </is>
      </c>
    </row>
    <row r="1240">
      <c r="A1240" t="n">
        <v>128</v>
      </c>
      <c r="B1240" t="inlineStr">
        <is>
          <t>Love Cabaret</t>
        </is>
      </c>
      <c r="C1240" s="27" t="n">
        <v>45878</v>
      </c>
      <c r="D1240" t="n">
        <v>0</v>
      </c>
      <c r="E1240" t="inlineStr">
        <is>
          <t>RAPPI</t>
        </is>
      </c>
    </row>
    <row r="1241">
      <c r="A1241" t="n">
        <v>128</v>
      </c>
      <c r="B1241" t="inlineStr">
        <is>
          <t>Love Cabaret</t>
        </is>
      </c>
      <c r="C1241" s="27" t="n">
        <v>45878</v>
      </c>
      <c r="D1241" t="n">
        <v>0</v>
      </c>
      <c r="E1241" t="inlineStr">
        <is>
          <t>UBER</t>
        </is>
      </c>
    </row>
    <row r="1242">
      <c r="A1242" t="n">
        <v>128</v>
      </c>
      <c r="B1242" t="inlineStr">
        <is>
          <t>Love Cabaret</t>
        </is>
      </c>
      <c r="C1242" s="27" t="n">
        <v>45878</v>
      </c>
      <c r="D1242" t="n">
        <v>0</v>
      </c>
      <c r="E1242" t="inlineStr">
        <is>
          <t>ANTECIPADO</t>
        </is>
      </c>
    </row>
    <row r="1243">
      <c r="A1243" t="n">
        <v>128</v>
      </c>
      <c r="B1243" t="inlineStr">
        <is>
          <t>Love Cabaret</t>
        </is>
      </c>
      <c r="C1243" s="27" t="n">
        <v>45878</v>
      </c>
      <c r="D1243" t="n">
        <v>0</v>
      </c>
      <c r="E1243" t="inlineStr">
        <is>
          <t>AME</t>
        </is>
      </c>
    </row>
    <row r="1244">
      <c r="A1244" t="n">
        <v>128</v>
      </c>
      <c r="B1244" t="inlineStr">
        <is>
          <t>Love Cabaret</t>
        </is>
      </c>
      <c r="C1244" s="27" t="n">
        <v>45878</v>
      </c>
      <c r="D1244" t="n">
        <v>0</v>
      </c>
      <c r="E1244" t="inlineStr">
        <is>
          <t>VOUCHER</t>
        </is>
      </c>
    </row>
    <row r="1245">
      <c r="A1245" t="n">
        <v>128</v>
      </c>
      <c r="B1245" t="inlineStr">
        <is>
          <t>Love Cabaret</t>
        </is>
      </c>
      <c r="C1245" s="27" t="n">
        <v>45878</v>
      </c>
      <c r="D1245" t="n">
        <v>4820.91</v>
      </c>
      <c r="E1245" t="inlineStr">
        <is>
          <t>DÉBITO</t>
        </is>
      </c>
    </row>
    <row r="1246">
      <c r="A1246" t="n">
        <v>128</v>
      </c>
      <c r="B1246" t="inlineStr">
        <is>
          <t>Love Cabaret</t>
        </is>
      </c>
      <c r="C1246" s="27" t="n">
        <v>45878</v>
      </c>
      <c r="D1246" t="n">
        <v>0</v>
      </c>
      <c r="E1246" t="inlineStr">
        <is>
          <t>BÔNUS</t>
        </is>
      </c>
    </row>
    <row r="1247">
      <c r="A1247" t="n">
        <v>128</v>
      </c>
      <c r="B1247" t="inlineStr">
        <is>
          <t>Love Cabaret</t>
        </is>
      </c>
      <c r="C1247" s="27" t="n">
        <v>45878</v>
      </c>
      <c r="D1247" t="n">
        <v>0</v>
      </c>
      <c r="E1247" t="inlineStr">
        <is>
          <t>ANTECIPADO</t>
        </is>
      </c>
    </row>
    <row r="1248">
      <c r="A1248" t="n">
        <v>128</v>
      </c>
      <c r="B1248" t="inlineStr">
        <is>
          <t>Love Cabaret</t>
        </is>
      </c>
      <c r="C1248" s="27" t="n">
        <v>45878</v>
      </c>
      <c r="D1248" t="n">
        <v>0</v>
      </c>
      <c r="E1248" t="inlineStr">
        <is>
          <t>OUTROS</t>
        </is>
      </c>
    </row>
    <row r="1249">
      <c r="A1249" t="n">
        <v>128</v>
      </c>
      <c r="B1249" t="inlineStr">
        <is>
          <t>Love Cabaret</t>
        </is>
      </c>
      <c r="C1249" s="27" t="n">
        <v>45878</v>
      </c>
      <c r="D1249" t="n">
        <v>0</v>
      </c>
      <c r="E1249" t="inlineStr">
        <is>
          <t>VOUCHER INTEGRADO</t>
        </is>
      </c>
    </row>
    <row r="1250">
      <c r="A1250" t="n">
        <v>128</v>
      </c>
      <c r="B1250" t="inlineStr">
        <is>
          <t>Love Cabaret</t>
        </is>
      </c>
      <c r="C1250" s="27" t="n">
        <v>45878</v>
      </c>
      <c r="D1250" t="n">
        <v>0</v>
      </c>
      <c r="E1250" t="inlineStr">
        <is>
          <t>RECARGAS DEVOLVIDAS</t>
        </is>
      </c>
    </row>
    <row r="1251">
      <c r="A1251" t="n">
        <v>128</v>
      </c>
      <c r="B1251" t="inlineStr">
        <is>
          <t>Love Cabaret</t>
        </is>
      </c>
      <c r="C1251" s="27" t="n">
        <v>45878</v>
      </c>
      <c r="D1251" t="n">
        <v>0</v>
      </c>
      <c r="E1251" t="inlineStr">
        <is>
          <t>NOTAS MANUAIS + SERVIÇO</t>
        </is>
      </c>
    </row>
    <row r="1252">
      <c r="A1252" t="n">
        <v>128</v>
      </c>
      <c r="B1252" t="inlineStr">
        <is>
          <t>Love Cabaret</t>
        </is>
      </c>
      <c r="C1252" s="27" t="n">
        <v>45878</v>
      </c>
      <c r="D1252" t="n">
        <v>13439.78</v>
      </c>
      <c r="E1252" t="inlineStr">
        <is>
          <t>CRÉDITO</t>
        </is>
      </c>
    </row>
    <row r="1253">
      <c r="A1253" t="n">
        <v>128</v>
      </c>
      <c r="B1253" t="inlineStr">
        <is>
          <t>Love Cabaret</t>
        </is>
      </c>
      <c r="C1253" s="27" t="n">
        <v>45878</v>
      </c>
      <c r="D1253" t="n">
        <v>0</v>
      </c>
      <c r="E1253" t="inlineStr">
        <is>
          <t>DINHEIRO</t>
        </is>
      </c>
    </row>
    <row r="1254">
      <c r="A1254" t="n">
        <v>128</v>
      </c>
      <c r="B1254" t="inlineStr">
        <is>
          <t>Love Cabaret</t>
        </is>
      </c>
      <c r="C1254" s="27" t="n">
        <v>45878</v>
      </c>
      <c r="D1254" t="n">
        <v>0</v>
      </c>
      <c r="E1254" t="inlineStr">
        <is>
          <t>APP</t>
        </is>
      </c>
    </row>
    <row r="1255">
      <c r="A1255" t="n">
        <v>128</v>
      </c>
      <c r="B1255" t="inlineStr">
        <is>
          <t>Love Cabaret</t>
        </is>
      </c>
      <c r="C1255" s="27" t="n">
        <v>45878</v>
      </c>
      <c r="D1255" t="n">
        <v>0</v>
      </c>
      <c r="E1255" t="inlineStr">
        <is>
          <t>DELIVERY ONLINE</t>
        </is>
      </c>
    </row>
    <row r="1256">
      <c r="A1256" t="n">
        <v>128</v>
      </c>
      <c r="B1256" t="inlineStr">
        <is>
          <t>Love Cabaret</t>
        </is>
      </c>
      <c r="C1256" s="27" t="n">
        <v>45877</v>
      </c>
      <c r="D1256" t="n">
        <v>0</v>
      </c>
      <c r="E1256" t="inlineStr">
        <is>
          <t>APP</t>
        </is>
      </c>
    </row>
    <row r="1257">
      <c r="A1257" t="n">
        <v>128</v>
      </c>
      <c r="B1257" t="inlineStr">
        <is>
          <t>Love Cabaret</t>
        </is>
      </c>
      <c r="C1257" s="27" t="n">
        <v>45877</v>
      </c>
      <c r="D1257" t="n">
        <v>0</v>
      </c>
      <c r="E1257" t="inlineStr">
        <is>
          <t>ANTECIPADO</t>
        </is>
      </c>
    </row>
    <row r="1258">
      <c r="A1258" t="n">
        <v>128</v>
      </c>
      <c r="B1258" t="inlineStr">
        <is>
          <t>Love Cabaret</t>
        </is>
      </c>
      <c r="C1258" s="27" t="n">
        <v>45877</v>
      </c>
      <c r="D1258" t="n">
        <v>0</v>
      </c>
      <c r="E1258" t="inlineStr">
        <is>
          <t>UBER</t>
        </is>
      </c>
    </row>
    <row r="1259">
      <c r="A1259" t="n">
        <v>128</v>
      </c>
      <c r="B1259" t="inlineStr">
        <is>
          <t>Love Cabaret</t>
        </is>
      </c>
      <c r="C1259" s="27" t="n">
        <v>45877</v>
      </c>
      <c r="D1259" t="n">
        <v>0</v>
      </c>
      <c r="E1259" t="inlineStr">
        <is>
          <t>RAPPI</t>
        </is>
      </c>
    </row>
    <row r="1260">
      <c r="A1260" t="n">
        <v>128</v>
      </c>
      <c r="B1260" t="inlineStr">
        <is>
          <t>Love Cabaret</t>
        </is>
      </c>
      <c r="C1260" s="27" t="n">
        <v>45877</v>
      </c>
      <c r="D1260" t="n">
        <v>1614.75</v>
      </c>
      <c r="E1260" t="inlineStr">
        <is>
          <t>PIX</t>
        </is>
      </c>
    </row>
    <row r="1261">
      <c r="A1261" t="n">
        <v>128</v>
      </c>
      <c r="B1261" t="inlineStr">
        <is>
          <t>Love Cabaret</t>
        </is>
      </c>
      <c r="C1261" s="27" t="n">
        <v>45877</v>
      </c>
      <c r="D1261" t="n">
        <v>0</v>
      </c>
      <c r="E1261" t="inlineStr">
        <is>
          <t>IFOOD</t>
        </is>
      </c>
    </row>
    <row r="1262">
      <c r="A1262" t="n">
        <v>128</v>
      </c>
      <c r="B1262" t="inlineStr">
        <is>
          <t>Love Cabaret</t>
        </is>
      </c>
      <c r="C1262" s="27" t="n">
        <v>45877</v>
      </c>
      <c r="D1262" t="n">
        <v>0</v>
      </c>
      <c r="E1262" t="inlineStr">
        <is>
          <t>VOUCHER</t>
        </is>
      </c>
    </row>
    <row r="1263">
      <c r="A1263" t="n">
        <v>128</v>
      </c>
      <c r="B1263" t="inlineStr">
        <is>
          <t>Love Cabaret</t>
        </is>
      </c>
      <c r="C1263" s="27" t="n">
        <v>45877</v>
      </c>
      <c r="D1263" t="n">
        <v>8408.75</v>
      </c>
      <c r="E1263" t="inlineStr">
        <is>
          <t>DÉBITO</t>
        </is>
      </c>
    </row>
    <row r="1264">
      <c r="A1264" t="n">
        <v>128</v>
      </c>
      <c r="B1264" t="inlineStr">
        <is>
          <t>Love Cabaret</t>
        </is>
      </c>
      <c r="C1264" s="27" t="n">
        <v>45877</v>
      </c>
      <c r="D1264" t="n">
        <v>0</v>
      </c>
      <c r="E1264" t="inlineStr">
        <is>
          <t>ANTECIPADO</t>
        </is>
      </c>
    </row>
    <row r="1265">
      <c r="A1265" t="n">
        <v>128</v>
      </c>
      <c r="B1265" t="inlineStr">
        <is>
          <t>Love Cabaret</t>
        </is>
      </c>
      <c r="C1265" s="27" t="n">
        <v>45877</v>
      </c>
      <c r="D1265" t="n">
        <v>0</v>
      </c>
      <c r="E1265" t="inlineStr">
        <is>
          <t>DELIVERY ONLINE</t>
        </is>
      </c>
    </row>
    <row r="1266">
      <c r="A1266" t="n">
        <v>128</v>
      </c>
      <c r="B1266" t="inlineStr">
        <is>
          <t>Love Cabaret</t>
        </is>
      </c>
      <c r="C1266" s="27" t="n">
        <v>45877</v>
      </c>
      <c r="D1266" t="n">
        <v>200.57</v>
      </c>
      <c r="E1266" t="inlineStr">
        <is>
          <t>DINHEIRO</t>
        </is>
      </c>
    </row>
    <row r="1267">
      <c r="A1267" t="n">
        <v>128</v>
      </c>
      <c r="B1267" t="inlineStr">
        <is>
          <t>Love Cabaret</t>
        </is>
      </c>
      <c r="C1267" s="27" t="n">
        <v>45877</v>
      </c>
      <c r="D1267" t="n">
        <v>20697.37</v>
      </c>
      <c r="E1267" t="inlineStr">
        <is>
          <t>CRÉDITO</t>
        </is>
      </c>
    </row>
    <row r="1268">
      <c r="A1268" t="n">
        <v>128</v>
      </c>
      <c r="B1268" t="inlineStr">
        <is>
          <t>Love Cabaret</t>
        </is>
      </c>
      <c r="C1268" s="27" t="n">
        <v>45877</v>
      </c>
      <c r="D1268" t="n">
        <v>0</v>
      </c>
      <c r="E1268" t="inlineStr">
        <is>
          <t>BÔNUS</t>
        </is>
      </c>
    </row>
    <row r="1269">
      <c r="A1269" t="n">
        <v>128</v>
      </c>
      <c r="B1269" t="inlineStr">
        <is>
          <t>Love Cabaret</t>
        </is>
      </c>
      <c r="C1269" s="27" t="n">
        <v>45877</v>
      </c>
      <c r="D1269" t="n">
        <v>0</v>
      </c>
      <c r="E1269" t="inlineStr">
        <is>
          <t>OUTROS</t>
        </is>
      </c>
    </row>
    <row r="1270">
      <c r="A1270" t="n">
        <v>128</v>
      </c>
      <c r="B1270" t="inlineStr">
        <is>
          <t>Love Cabaret</t>
        </is>
      </c>
      <c r="C1270" s="27" t="n">
        <v>45877</v>
      </c>
      <c r="D1270" t="n">
        <v>0</v>
      </c>
      <c r="E1270" t="inlineStr">
        <is>
          <t>AME</t>
        </is>
      </c>
    </row>
    <row r="1271">
      <c r="A1271" t="n">
        <v>128</v>
      </c>
      <c r="B1271" t="inlineStr">
        <is>
          <t>Love Cabaret</t>
        </is>
      </c>
      <c r="C1271" s="27" t="n">
        <v>45877</v>
      </c>
      <c r="D1271" t="n">
        <v>0</v>
      </c>
      <c r="E1271" t="inlineStr">
        <is>
          <t>NOTAS MANUAIS + SERVIÇO</t>
        </is>
      </c>
    </row>
    <row r="1272">
      <c r="A1272" t="n">
        <v>128</v>
      </c>
      <c r="B1272" t="inlineStr">
        <is>
          <t>Love Cabaret</t>
        </is>
      </c>
      <c r="C1272" s="27" t="n">
        <v>45877</v>
      </c>
      <c r="D1272" t="n">
        <v>0</v>
      </c>
      <c r="E1272" t="inlineStr">
        <is>
          <t>RECARGAS DEVOLVIDAS</t>
        </is>
      </c>
    </row>
    <row r="1273">
      <c r="A1273" t="n">
        <v>128</v>
      </c>
      <c r="B1273" t="inlineStr">
        <is>
          <t>Love Cabaret</t>
        </is>
      </c>
      <c r="C1273" s="27" t="n">
        <v>45877</v>
      </c>
      <c r="D1273" t="n">
        <v>0</v>
      </c>
      <c r="E1273" t="inlineStr">
        <is>
          <t>VOUCHER INTEGRADO</t>
        </is>
      </c>
    </row>
    <row r="1274">
      <c r="A1274" t="n">
        <v>128</v>
      </c>
      <c r="B1274" t="inlineStr">
        <is>
          <t>Love Cabaret</t>
        </is>
      </c>
      <c r="C1274" s="27" t="n">
        <v>45877</v>
      </c>
      <c r="D1274" t="n">
        <v>0</v>
      </c>
      <c r="E1274" t="inlineStr">
        <is>
          <t>MBWAY</t>
        </is>
      </c>
    </row>
    <row r="1275">
      <c r="A1275" t="n">
        <v>128</v>
      </c>
      <c r="B1275" t="inlineStr">
        <is>
          <t>Love Cabaret</t>
        </is>
      </c>
      <c r="C1275" s="27" t="n">
        <v>45876</v>
      </c>
      <c r="D1275" t="n">
        <v>947.33</v>
      </c>
      <c r="E1275" t="inlineStr">
        <is>
          <t>PIX</t>
        </is>
      </c>
    </row>
    <row r="1276">
      <c r="A1276" t="n">
        <v>128</v>
      </c>
      <c r="B1276" t="inlineStr">
        <is>
          <t>Love Cabaret</t>
        </is>
      </c>
      <c r="C1276" s="27" t="n">
        <v>45876</v>
      </c>
      <c r="D1276" t="n">
        <v>0</v>
      </c>
      <c r="E1276" t="inlineStr">
        <is>
          <t>APP</t>
        </is>
      </c>
    </row>
    <row r="1277">
      <c r="A1277" t="n">
        <v>128</v>
      </c>
      <c r="B1277" t="inlineStr">
        <is>
          <t>Love Cabaret</t>
        </is>
      </c>
      <c r="C1277" s="27" t="n">
        <v>45876</v>
      </c>
      <c r="D1277" t="n">
        <v>0</v>
      </c>
      <c r="E1277" t="inlineStr">
        <is>
          <t>RAPPI</t>
        </is>
      </c>
    </row>
    <row r="1278">
      <c r="A1278" t="n">
        <v>128</v>
      </c>
      <c r="B1278" t="inlineStr">
        <is>
          <t>Love Cabaret</t>
        </is>
      </c>
      <c r="C1278" s="27" t="n">
        <v>45876</v>
      </c>
      <c r="D1278" t="n">
        <v>0</v>
      </c>
      <c r="E1278" t="inlineStr">
        <is>
          <t>DELIVERY ONLINE</t>
        </is>
      </c>
    </row>
    <row r="1279">
      <c r="A1279" t="n">
        <v>128</v>
      </c>
      <c r="B1279" t="inlineStr">
        <is>
          <t>Love Cabaret</t>
        </is>
      </c>
      <c r="C1279" s="27" t="n">
        <v>45876</v>
      </c>
      <c r="D1279" t="n">
        <v>0</v>
      </c>
      <c r="E1279" t="inlineStr">
        <is>
          <t>VOUCHER</t>
        </is>
      </c>
    </row>
    <row r="1280">
      <c r="A1280" t="n">
        <v>128</v>
      </c>
      <c r="B1280" t="inlineStr">
        <is>
          <t>Love Cabaret</t>
        </is>
      </c>
      <c r="C1280" s="27" t="n">
        <v>45876</v>
      </c>
      <c r="D1280" t="n">
        <v>0</v>
      </c>
      <c r="E1280" t="inlineStr">
        <is>
          <t>ANTECIPADO</t>
        </is>
      </c>
    </row>
    <row r="1281">
      <c r="A1281" t="n">
        <v>128</v>
      </c>
      <c r="B1281" t="inlineStr">
        <is>
          <t>Love Cabaret</t>
        </is>
      </c>
      <c r="C1281" s="27" t="n">
        <v>45876</v>
      </c>
      <c r="D1281" t="n">
        <v>0</v>
      </c>
      <c r="E1281" t="inlineStr">
        <is>
          <t>UBER</t>
        </is>
      </c>
    </row>
    <row r="1282">
      <c r="A1282" t="n">
        <v>128</v>
      </c>
      <c r="B1282" t="inlineStr">
        <is>
          <t>Love Cabaret</t>
        </is>
      </c>
      <c r="C1282" s="27" t="n">
        <v>45876</v>
      </c>
      <c r="D1282" t="n">
        <v>3862.06</v>
      </c>
      <c r="E1282" t="inlineStr">
        <is>
          <t>DÉBITO</t>
        </is>
      </c>
    </row>
    <row r="1283">
      <c r="A1283" t="n">
        <v>128</v>
      </c>
      <c r="B1283" t="inlineStr">
        <is>
          <t>Love Cabaret</t>
        </is>
      </c>
      <c r="C1283" s="27" t="n">
        <v>45876</v>
      </c>
      <c r="D1283" t="n">
        <v>0</v>
      </c>
      <c r="E1283" t="inlineStr">
        <is>
          <t>BÔNUS</t>
        </is>
      </c>
    </row>
    <row r="1284">
      <c r="A1284" t="n">
        <v>128</v>
      </c>
      <c r="B1284" t="inlineStr">
        <is>
          <t>Love Cabaret</t>
        </is>
      </c>
      <c r="C1284" s="27" t="n">
        <v>45876</v>
      </c>
      <c r="D1284" t="n">
        <v>0</v>
      </c>
      <c r="E1284" t="inlineStr">
        <is>
          <t>ANTECIPADO</t>
        </is>
      </c>
    </row>
    <row r="1285">
      <c r="A1285" t="n">
        <v>128</v>
      </c>
      <c r="B1285" t="inlineStr">
        <is>
          <t>Love Cabaret</t>
        </is>
      </c>
      <c r="C1285" s="27" t="n">
        <v>45876</v>
      </c>
      <c r="D1285" t="n">
        <v>0</v>
      </c>
      <c r="E1285" t="inlineStr">
        <is>
          <t>OUTROS</t>
        </is>
      </c>
    </row>
    <row r="1286">
      <c r="A1286" t="n">
        <v>128</v>
      </c>
      <c r="B1286" t="inlineStr">
        <is>
          <t>Love Cabaret</t>
        </is>
      </c>
      <c r="C1286" s="27" t="n">
        <v>45876</v>
      </c>
      <c r="D1286" t="n">
        <v>0</v>
      </c>
      <c r="E1286" t="inlineStr">
        <is>
          <t>AME</t>
        </is>
      </c>
    </row>
    <row r="1287">
      <c r="A1287" t="n">
        <v>128</v>
      </c>
      <c r="B1287" t="inlineStr">
        <is>
          <t>Love Cabaret</t>
        </is>
      </c>
      <c r="C1287" s="27" t="n">
        <v>45876</v>
      </c>
      <c r="D1287" t="n">
        <v>0</v>
      </c>
      <c r="E1287" t="inlineStr">
        <is>
          <t>NOTAS MANUAIS + SERVIÇO</t>
        </is>
      </c>
    </row>
    <row r="1288">
      <c r="A1288" t="n">
        <v>128</v>
      </c>
      <c r="B1288" t="inlineStr">
        <is>
          <t>Love Cabaret</t>
        </is>
      </c>
      <c r="C1288" s="27" t="n">
        <v>45876</v>
      </c>
      <c r="D1288" t="n">
        <v>0</v>
      </c>
      <c r="E1288" t="inlineStr">
        <is>
          <t>RECARGAS DEVOLVIDAS</t>
        </is>
      </c>
    </row>
    <row r="1289">
      <c r="A1289" t="n">
        <v>128</v>
      </c>
      <c r="B1289" t="inlineStr">
        <is>
          <t>Love Cabaret</t>
        </is>
      </c>
      <c r="C1289" s="27" t="n">
        <v>45876</v>
      </c>
      <c r="D1289" t="n">
        <v>0</v>
      </c>
      <c r="E1289" t="inlineStr">
        <is>
          <t>VOUCHER INTEGRADO</t>
        </is>
      </c>
    </row>
    <row r="1290">
      <c r="A1290" t="n">
        <v>128</v>
      </c>
      <c r="B1290" t="inlineStr">
        <is>
          <t>Love Cabaret</t>
        </is>
      </c>
      <c r="C1290" s="27" t="n">
        <v>45876</v>
      </c>
      <c r="D1290" t="n">
        <v>0</v>
      </c>
      <c r="E1290" t="inlineStr">
        <is>
          <t>MBWAY</t>
        </is>
      </c>
    </row>
    <row r="1291">
      <c r="A1291" t="n">
        <v>128</v>
      </c>
      <c r="B1291" t="inlineStr">
        <is>
          <t>Love Cabaret</t>
        </is>
      </c>
      <c r="C1291" s="27" t="n">
        <v>45876</v>
      </c>
      <c r="D1291" t="n">
        <v>7959.31</v>
      </c>
      <c r="E1291" t="inlineStr">
        <is>
          <t>CRÉDITO</t>
        </is>
      </c>
    </row>
    <row r="1292">
      <c r="A1292" t="n">
        <v>128</v>
      </c>
      <c r="B1292" t="inlineStr">
        <is>
          <t>Love Cabaret</t>
        </is>
      </c>
      <c r="C1292" s="27" t="n">
        <v>45876</v>
      </c>
      <c r="D1292" t="n">
        <v>236.94</v>
      </c>
      <c r="E1292" t="inlineStr">
        <is>
          <t>DINHEIRO</t>
        </is>
      </c>
    </row>
    <row r="1293">
      <c r="A1293" t="n">
        <v>128</v>
      </c>
      <c r="B1293" t="inlineStr">
        <is>
          <t>Love Cabaret</t>
        </is>
      </c>
      <c r="C1293" s="27" t="n">
        <v>45876</v>
      </c>
      <c r="D1293" t="n">
        <v>0</v>
      </c>
      <c r="E1293" t="inlineStr">
        <is>
          <t>IFOOD</t>
        </is>
      </c>
    </row>
    <row r="1294">
      <c r="A1294" t="n">
        <v>128</v>
      </c>
      <c r="B1294" t="inlineStr">
        <is>
          <t>Love Cabaret</t>
        </is>
      </c>
      <c r="C1294" s="27" t="n">
        <v>45871</v>
      </c>
      <c r="D1294" t="n">
        <v>5937.16</v>
      </c>
      <c r="E1294" t="inlineStr">
        <is>
          <t>DÉBITO</t>
        </is>
      </c>
    </row>
    <row r="1295">
      <c r="A1295" t="n">
        <v>128</v>
      </c>
      <c r="B1295" t="inlineStr">
        <is>
          <t>Love Cabaret</t>
        </is>
      </c>
      <c r="C1295" s="27" t="n">
        <v>45871</v>
      </c>
      <c r="D1295" t="n">
        <v>0</v>
      </c>
      <c r="E1295" t="inlineStr">
        <is>
          <t>BÔNUS</t>
        </is>
      </c>
    </row>
    <row r="1296">
      <c r="A1296" t="n">
        <v>128</v>
      </c>
      <c r="B1296" t="inlineStr">
        <is>
          <t>Love Cabaret</t>
        </is>
      </c>
      <c r="C1296" s="27" t="n">
        <v>45871</v>
      </c>
      <c r="D1296" t="n">
        <v>0</v>
      </c>
      <c r="E1296" t="inlineStr">
        <is>
          <t>ANTECIPADO</t>
        </is>
      </c>
    </row>
    <row r="1297">
      <c r="A1297" t="n">
        <v>128</v>
      </c>
      <c r="B1297" t="inlineStr">
        <is>
          <t>Love Cabaret</t>
        </is>
      </c>
      <c r="C1297" s="27" t="n">
        <v>45871</v>
      </c>
      <c r="D1297" t="n">
        <v>0</v>
      </c>
      <c r="E1297" t="inlineStr">
        <is>
          <t>OUTROS</t>
        </is>
      </c>
    </row>
    <row r="1298">
      <c r="A1298" t="n">
        <v>128</v>
      </c>
      <c r="B1298" t="inlineStr">
        <is>
          <t>Love Cabaret</t>
        </is>
      </c>
      <c r="C1298" s="27" t="n">
        <v>45871</v>
      </c>
      <c r="D1298" t="n">
        <v>0</v>
      </c>
      <c r="E1298" t="inlineStr">
        <is>
          <t>AME</t>
        </is>
      </c>
    </row>
    <row r="1299">
      <c r="A1299" t="n">
        <v>128</v>
      </c>
      <c r="B1299" t="inlineStr">
        <is>
          <t>Love Cabaret</t>
        </is>
      </c>
      <c r="C1299" s="27" t="n">
        <v>45871</v>
      </c>
      <c r="D1299" t="n">
        <v>0</v>
      </c>
      <c r="E1299" t="inlineStr">
        <is>
          <t>RECARGAS DEVOLVIDAS</t>
        </is>
      </c>
    </row>
    <row r="1300">
      <c r="A1300" t="n">
        <v>128</v>
      </c>
      <c r="B1300" t="inlineStr">
        <is>
          <t>Love Cabaret</t>
        </is>
      </c>
      <c r="C1300" s="27" t="n">
        <v>45871</v>
      </c>
      <c r="D1300" t="n">
        <v>0</v>
      </c>
      <c r="E1300" t="inlineStr">
        <is>
          <t>VOUCHER INTEGRADO</t>
        </is>
      </c>
    </row>
    <row r="1301">
      <c r="A1301" t="n">
        <v>128</v>
      </c>
      <c r="B1301" t="inlineStr">
        <is>
          <t>Love Cabaret</t>
        </is>
      </c>
      <c r="C1301" s="27" t="n">
        <v>45871</v>
      </c>
      <c r="D1301" t="n">
        <v>0</v>
      </c>
      <c r="E1301" t="inlineStr">
        <is>
          <t>MBWAY</t>
        </is>
      </c>
    </row>
    <row r="1302">
      <c r="A1302" t="n">
        <v>128</v>
      </c>
      <c r="B1302" t="inlineStr">
        <is>
          <t>Love Cabaret</t>
        </is>
      </c>
      <c r="C1302" s="27" t="n">
        <v>45871</v>
      </c>
      <c r="D1302" t="n">
        <v>0</v>
      </c>
      <c r="E1302" t="inlineStr">
        <is>
          <t>NOTAS MANUAIS + SERVIÇO</t>
        </is>
      </c>
    </row>
    <row r="1303">
      <c r="A1303" t="n">
        <v>128</v>
      </c>
      <c r="B1303" t="inlineStr">
        <is>
          <t>Love Cabaret</t>
        </is>
      </c>
      <c r="C1303" s="27" t="n">
        <v>45871</v>
      </c>
      <c r="D1303" t="n">
        <v>0</v>
      </c>
      <c r="E1303" t="inlineStr">
        <is>
          <t>VOUCHER</t>
        </is>
      </c>
    </row>
    <row r="1304">
      <c r="A1304" t="n">
        <v>128</v>
      </c>
      <c r="B1304" t="inlineStr">
        <is>
          <t>Love Cabaret</t>
        </is>
      </c>
      <c r="C1304" s="27" t="n">
        <v>45871</v>
      </c>
      <c r="D1304" t="n">
        <v>0</v>
      </c>
      <c r="E1304" t="inlineStr">
        <is>
          <t>ANTECIPADO</t>
        </is>
      </c>
    </row>
    <row r="1305">
      <c r="A1305" t="n">
        <v>128</v>
      </c>
      <c r="B1305" t="inlineStr">
        <is>
          <t>Love Cabaret</t>
        </is>
      </c>
      <c r="C1305" s="27" t="n">
        <v>45871</v>
      </c>
      <c r="D1305" t="n">
        <v>0</v>
      </c>
      <c r="E1305" t="inlineStr">
        <is>
          <t>UBER</t>
        </is>
      </c>
    </row>
    <row r="1306">
      <c r="A1306" t="n">
        <v>128</v>
      </c>
      <c r="B1306" t="inlineStr">
        <is>
          <t>Love Cabaret</t>
        </is>
      </c>
      <c r="C1306" s="27" t="n">
        <v>45871</v>
      </c>
      <c r="D1306" t="n">
        <v>0</v>
      </c>
      <c r="E1306" t="inlineStr">
        <is>
          <t>RAPPI</t>
        </is>
      </c>
    </row>
    <row r="1307">
      <c r="A1307" t="n">
        <v>128</v>
      </c>
      <c r="B1307" t="inlineStr">
        <is>
          <t>Love Cabaret</t>
        </is>
      </c>
      <c r="C1307" s="27" t="n">
        <v>45871</v>
      </c>
      <c r="D1307" t="n">
        <v>1624.78</v>
      </c>
      <c r="E1307" t="inlineStr">
        <is>
          <t>PIX</t>
        </is>
      </c>
    </row>
    <row r="1308">
      <c r="A1308" t="n">
        <v>128</v>
      </c>
      <c r="B1308" t="inlineStr">
        <is>
          <t>Love Cabaret</t>
        </is>
      </c>
      <c r="C1308" s="27" t="n">
        <v>45871</v>
      </c>
      <c r="D1308" t="n">
        <v>0</v>
      </c>
      <c r="E1308" t="inlineStr">
        <is>
          <t>IFOOD</t>
        </is>
      </c>
    </row>
    <row r="1309">
      <c r="A1309" t="n">
        <v>128</v>
      </c>
      <c r="B1309" t="inlineStr">
        <is>
          <t>Love Cabaret</t>
        </is>
      </c>
      <c r="C1309" s="27" t="n">
        <v>45871</v>
      </c>
      <c r="D1309" t="n">
        <v>0</v>
      </c>
      <c r="E1309" t="inlineStr">
        <is>
          <t>DELIVERY ONLINE</t>
        </is>
      </c>
    </row>
    <row r="1310">
      <c r="A1310" t="n">
        <v>128</v>
      </c>
      <c r="B1310" t="inlineStr">
        <is>
          <t>Love Cabaret</t>
        </is>
      </c>
      <c r="C1310" s="27" t="n">
        <v>45871</v>
      </c>
      <c r="D1310" t="n">
        <v>0</v>
      </c>
      <c r="E1310" t="inlineStr">
        <is>
          <t>APP</t>
        </is>
      </c>
    </row>
    <row r="1311">
      <c r="A1311" t="n">
        <v>128</v>
      </c>
      <c r="B1311" t="inlineStr">
        <is>
          <t>Love Cabaret</t>
        </is>
      </c>
      <c r="C1311" s="27" t="n">
        <v>45871</v>
      </c>
      <c r="D1311" t="n">
        <v>152.55</v>
      </c>
      <c r="E1311" t="inlineStr">
        <is>
          <t>DINHEIRO</t>
        </is>
      </c>
    </row>
    <row r="1312">
      <c r="A1312" t="n">
        <v>128</v>
      </c>
      <c r="B1312" t="inlineStr">
        <is>
          <t>Love Cabaret</t>
        </is>
      </c>
      <c r="C1312" s="27" t="n">
        <v>45871</v>
      </c>
      <c r="D1312" t="n">
        <v>20494.18</v>
      </c>
      <c r="E1312" t="inlineStr">
        <is>
          <t>CRÉDITO</t>
        </is>
      </c>
    </row>
    <row r="1313">
      <c r="A1313" t="n">
        <v>128</v>
      </c>
      <c r="B1313" t="inlineStr">
        <is>
          <t>Love Cabaret</t>
        </is>
      </c>
      <c r="C1313" s="27" t="n">
        <v>45870</v>
      </c>
      <c r="D1313" t="n">
        <v>0</v>
      </c>
      <c r="E1313" t="inlineStr">
        <is>
          <t>ANTECIPADO</t>
        </is>
      </c>
    </row>
    <row r="1314">
      <c r="A1314" t="n">
        <v>128</v>
      </c>
      <c r="B1314" t="inlineStr">
        <is>
          <t>Love Cabaret</t>
        </is>
      </c>
      <c r="C1314" s="27" t="n">
        <v>45870</v>
      </c>
      <c r="D1314" t="n">
        <v>6177.15</v>
      </c>
      <c r="E1314" t="inlineStr">
        <is>
          <t>DÉBITO</t>
        </is>
      </c>
    </row>
    <row r="1315">
      <c r="A1315" t="n">
        <v>128</v>
      </c>
      <c r="B1315" t="inlineStr">
        <is>
          <t>Love Cabaret</t>
        </is>
      </c>
      <c r="C1315" s="27" t="n">
        <v>45870</v>
      </c>
      <c r="D1315" t="n">
        <v>0</v>
      </c>
      <c r="E1315" t="inlineStr">
        <is>
          <t>BÔNUS</t>
        </is>
      </c>
    </row>
    <row r="1316">
      <c r="A1316" t="n">
        <v>128</v>
      </c>
      <c r="B1316" t="inlineStr">
        <is>
          <t>Love Cabaret</t>
        </is>
      </c>
      <c r="C1316" s="27" t="n">
        <v>45870</v>
      </c>
      <c r="D1316" t="n">
        <v>0</v>
      </c>
      <c r="E1316" t="inlineStr">
        <is>
          <t>VOUCHER</t>
        </is>
      </c>
    </row>
    <row r="1317">
      <c r="A1317" t="n">
        <v>128</v>
      </c>
      <c r="B1317" t="inlineStr">
        <is>
          <t>Love Cabaret</t>
        </is>
      </c>
      <c r="C1317" s="27" t="n">
        <v>45870</v>
      </c>
      <c r="D1317" t="n">
        <v>16495.11</v>
      </c>
      <c r="E1317" t="inlineStr">
        <is>
          <t>CRÉDITO</t>
        </is>
      </c>
    </row>
    <row r="1318">
      <c r="A1318" t="n">
        <v>128</v>
      </c>
      <c r="B1318" t="inlineStr">
        <is>
          <t>Love Cabaret</t>
        </is>
      </c>
      <c r="C1318" s="27" t="n">
        <v>45870</v>
      </c>
      <c r="D1318" t="n">
        <v>0</v>
      </c>
      <c r="E1318" t="inlineStr">
        <is>
          <t>DINHEIRO</t>
        </is>
      </c>
    </row>
    <row r="1319">
      <c r="A1319" t="n">
        <v>128</v>
      </c>
      <c r="B1319" t="inlineStr">
        <is>
          <t>Love Cabaret</t>
        </is>
      </c>
      <c r="C1319" s="27" t="n">
        <v>45870</v>
      </c>
      <c r="D1319" t="n">
        <v>0</v>
      </c>
      <c r="E1319" t="inlineStr">
        <is>
          <t>APP</t>
        </is>
      </c>
    </row>
    <row r="1320">
      <c r="A1320" t="n">
        <v>128</v>
      </c>
      <c r="B1320" t="inlineStr">
        <is>
          <t>Love Cabaret</t>
        </is>
      </c>
      <c r="C1320" s="27" t="n">
        <v>45870</v>
      </c>
      <c r="D1320" t="n">
        <v>0</v>
      </c>
      <c r="E1320" t="inlineStr">
        <is>
          <t>DELIVERY ONLINE</t>
        </is>
      </c>
    </row>
    <row r="1321">
      <c r="A1321" t="n">
        <v>128</v>
      </c>
      <c r="B1321" t="inlineStr">
        <is>
          <t>Love Cabaret</t>
        </is>
      </c>
      <c r="C1321" s="27" t="n">
        <v>45870</v>
      </c>
      <c r="D1321" t="n">
        <v>0</v>
      </c>
      <c r="E1321" t="inlineStr">
        <is>
          <t>IFOOD</t>
        </is>
      </c>
    </row>
    <row r="1322">
      <c r="A1322" t="n">
        <v>128</v>
      </c>
      <c r="B1322" t="inlineStr">
        <is>
          <t>Love Cabaret</t>
        </is>
      </c>
      <c r="C1322" s="27" t="n">
        <v>45870</v>
      </c>
      <c r="D1322" t="n">
        <v>1374.53</v>
      </c>
      <c r="E1322" t="inlineStr">
        <is>
          <t>PIX</t>
        </is>
      </c>
    </row>
    <row r="1323">
      <c r="A1323" t="n">
        <v>128</v>
      </c>
      <c r="B1323" t="inlineStr">
        <is>
          <t>Love Cabaret</t>
        </is>
      </c>
      <c r="C1323" s="27" t="n">
        <v>45870</v>
      </c>
      <c r="D1323" t="n">
        <v>0</v>
      </c>
      <c r="E1323" t="inlineStr">
        <is>
          <t>RAPPI</t>
        </is>
      </c>
    </row>
    <row r="1324">
      <c r="A1324" t="n">
        <v>128</v>
      </c>
      <c r="B1324" t="inlineStr">
        <is>
          <t>Love Cabaret</t>
        </is>
      </c>
      <c r="C1324" s="27" t="n">
        <v>45870</v>
      </c>
      <c r="D1324" t="n">
        <v>0</v>
      </c>
      <c r="E1324" t="inlineStr">
        <is>
          <t>UBER</t>
        </is>
      </c>
    </row>
    <row r="1325">
      <c r="A1325" t="n">
        <v>128</v>
      </c>
      <c r="B1325" t="inlineStr">
        <is>
          <t>Love Cabaret</t>
        </is>
      </c>
      <c r="C1325" s="27" t="n">
        <v>45870</v>
      </c>
      <c r="D1325" t="n">
        <v>0</v>
      </c>
      <c r="E1325" t="inlineStr">
        <is>
          <t>ANTECIPADO</t>
        </is>
      </c>
    </row>
    <row r="1326">
      <c r="A1326" t="n">
        <v>128</v>
      </c>
      <c r="B1326" t="inlineStr">
        <is>
          <t>Love Cabaret</t>
        </is>
      </c>
      <c r="C1326" s="27" t="n">
        <v>45870</v>
      </c>
      <c r="D1326" t="n">
        <v>0</v>
      </c>
      <c r="E1326" t="inlineStr">
        <is>
          <t>AME</t>
        </is>
      </c>
    </row>
    <row r="1327">
      <c r="A1327" t="n">
        <v>128</v>
      </c>
      <c r="B1327" t="inlineStr">
        <is>
          <t>Love Cabaret</t>
        </is>
      </c>
      <c r="C1327" s="27" t="n">
        <v>45870</v>
      </c>
      <c r="D1327" t="n">
        <v>0</v>
      </c>
      <c r="E1327" t="inlineStr">
        <is>
          <t>NOTAS MANUAIS + SERVIÇO</t>
        </is>
      </c>
    </row>
    <row r="1328">
      <c r="A1328" t="n">
        <v>128</v>
      </c>
      <c r="B1328" t="inlineStr">
        <is>
          <t>Love Cabaret</t>
        </is>
      </c>
      <c r="C1328" s="27" t="n">
        <v>45870</v>
      </c>
      <c r="D1328" t="n">
        <v>0</v>
      </c>
      <c r="E1328" t="inlineStr">
        <is>
          <t>RECARGAS DEVOLVIDAS</t>
        </is>
      </c>
    </row>
    <row r="1329">
      <c r="A1329" t="n">
        <v>128</v>
      </c>
      <c r="B1329" t="inlineStr">
        <is>
          <t>Love Cabaret</t>
        </is>
      </c>
      <c r="C1329" s="27" t="n">
        <v>45870</v>
      </c>
      <c r="D1329" t="n">
        <v>0</v>
      </c>
      <c r="E1329" t="inlineStr">
        <is>
          <t>VOUCHER INTEGRADO</t>
        </is>
      </c>
    </row>
    <row r="1330">
      <c r="A1330" t="n">
        <v>128</v>
      </c>
      <c r="B1330" t="inlineStr">
        <is>
          <t>Love Cabaret</t>
        </is>
      </c>
      <c r="C1330" s="27" t="n">
        <v>45870</v>
      </c>
      <c r="D1330" t="n">
        <v>0</v>
      </c>
      <c r="E1330" t="inlineStr">
        <is>
          <t>MBWAY</t>
        </is>
      </c>
    </row>
    <row r="1331">
      <c r="A1331" t="n">
        <v>128</v>
      </c>
      <c r="B1331" t="inlineStr">
        <is>
          <t>Love Cabaret</t>
        </is>
      </c>
      <c r="C1331" s="27" t="n">
        <v>45870</v>
      </c>
      <c r="D1331" t="n">
        <v>0</v>
      </c>
      <c r="E1331" t="inlineStr">
        <is>
          <t>OUTROS</t>
        </is>
      </c>
    </row>
    <row r="1332">
      <c r="A1332" t="n">
        <v>128</v>
      </c>
      <c r="B1332" t="inlineStr">
        <is>
          <t>Love Cabaret</t>
        </is>
      </c>
      <c r="C1332" s="27" t="n">
        <v>45869</v>
      </c>
      <c r="D1332" t="n">
        <v>0</v>
      </c>
      <c r="E1332" t="inlineStr">
        <is>
          <t>BÔNUS</t>
        </is>
      </c>
    </row>
    <row r="1333">
      <c r="A1333" t="n">
        <v>128</v>
      </c>
      <c r="B1333" t="inlineStr">
        <is>
          <t>Love Cabaret</t>
        </is>
      </c>
      <c r="C1333" s="27" t="n">
        <v>45869</v>
      </c>
      <c r="D1333" t="n">
        <v>0</v>
      </c>
      <c r="E1333" t="inlineStr">
        <is>
          <t>ANTECIPADO</t>
        </is>
      </c>
    </row>
    <row r="1334">
      <c r="A1334" t="n">
        <v>128</v>
      </c>
      <c r="B1334" t="inlineStr">
        <is>
          <t>Love Cabaret</t>
        </is>
      </c>
      <c r="C1334" s="27" t="n">
        <v>45869</v>
      </c>
      <c r="D1334" t="n">
        <v>0</v>
      </c>
      <c r="E1334" t="inlineStr">
        <is>
          <t>OUTROS</t>
        </is>
      </c>
    </row>
    <row r="1335">
      <c r="A1335" t="n">
        <v>128</v>
      </c>
      <c r="B1335" t="inlineStr">
        <is>
          <t>Love Cabaret</t>
        </is>
      </c>
      <c r="C1335" s="27" t="n">
        <v>45869</v>
      </c>
      <c r="D1335" t="n">
        <v>0</v>
      </c>
      <c r="E1335" t="inlineStr">
        <is>
          <t>AME</t>
        </is>
      </c>
    </row>
    <row r="1336">
      <c r="A1336" t="n">
        <v>128</v>
      </c>
      <c r="B1336" t="inlineStr">
        <is>
          <t>Love Cabaret</t>
        </is>
      </c>
      <c r="C1336" s="27" t="n">
        <v>45869</v>
      </c>
      <c r="D1336" t="n">
        <v>0</v>
      </c>
      <c r="E1336" t="inlineStr">
        <is>
          <t>NOTAS MANUAIS + SERVIÇO</t>
        </is>
      </c>
    </row>
    <row r="1337">
      <c r="A1337" t="n">
        <v>128</v>
      </c>
      <c r="B1337" t="inlineStr">
        <is>
          <t>Love Cabaret</t>
        </is>
      </c>
      <c r="C1337" s="27" t="n">
        <v>45869</v>
      </c>
      <c r="D1337" t="n">
        <v>0</v>
      </c>
      <c r="E1337" t="inlineStr">
        <is>
          <t>RECARGAS DEVOLVIDAS</t>
        </is>
      </c>
    </row>
    <row r="1338">
      <c r="A1338" t="n">
        <v>128</v>
      </c>
      <c r="B1338" t="inlineStr">
        <is>
          <t>Love Cabaret</t>
        </is>
      </c>
      <c r="C1338" s="27" t="n">
        <v>45869</v>
      </c>
      <c r="D1338" t="n">
        <v>0</v>
      </c>
      <c r="E1338" t="inlineStr">
        <is>
          <t>VOUCHER INTEGRADO</t>
        </is>
      </c>
    </row>
    <row r="1339">
      <c r="A1339" t="n">
        <v>128</v>
      </c>
      <c r="B1339" t="inlineStr">
        <is>
          <t>Love Cabaret</t>
        </is>
      </c>
      <c r="C1339" s="27" t="n">
        <v>45869</v>
      </c>
      <c r="D1339" t="n">
        <v>0</v>
      </c>
      <c r="E1339" t="inlineStr">
        <is>
          <t>MBWAY</t>
        </is>
      </c>
    </row>
    <row r="1340">
      <c r="A1340" t="n">
        <v>128</v>
      </c>
      <c r="B1340" t="inlineStr">
        <is>
          <t>Love Cabaret</t>
        </is>
      </c>
      <c r="C1340" s="27" t="n">
        <v>45869</v>
      </c>
      <c r="D1340" t="n">
        <v>2172.13</v>
      </c>
      <c r="E1340" t="inlineStr">
        <is>
          <t>DÉBITO</t>
        </is>
      </c>
    </row>
    <row r="1341">
      <c r="A1341" t="n">
        <v>128</v>
      </c>
      <c r="B1341" t="inlineStr">
        <is>
          <t>Love Cabaret</t>
        </is>
      </c>
      <c r="C1341" s="27" t="n">
        <v>45869</v>
      </c>
      <c r="D1341" t="n">
        <v>0</v>
      </c>
      <c r="E1341" t="inlineStr">
        <is>
          <t>VOUCHER</t>
        </is>
      </c>
    </row>
    <row r="1342">
      <c r="A1342" t="n">
        <v>128</v>
      </c>
      <c r="B1342" t="inlineStr">
        <is>
          <t>Love Cabaret</t>
        </is>
      </c>
      <c r="C1342" s="27" t="n">
        <v>45869</v>
      </c>
      <c r="D1342" t="n">
        <v>0</v>
      </c>
      <c r="E1342" t="inlineStr">
        <is>
          <t>ANTECIPADO</t>
        </is>
      </c>
    </row>
    <row r="1343">
      <c r="A1343" t="n">
        <v>128</v>
      </c>
      <c r="B1343" t="inlineStr">
        <is>
          <t>Love Cabaret</t>
        </is>
      </c>
      <c r="C1343" s="27" t="n">
        <v>45869</v>
      </c>
      <c r="D1343" t="n">
        <v>0</v>
      </c>
      <c r="E1343" t="inlineStr">
        <is>
          <t>UBER</t>
        </is>
      </c>
    </row>
    <row r="1344">
      <c r="A1344" t="n">
        <v>128</v>
      </c>
      <c r="B1344" t="inlineStr">
        <is>
          <t>Love Cabaret</t>
        </is>
      </c>
      <c r="C1344" s="27" t="n">
        <v>45869</v>
      </c>
      <c r="D1344" t="n">
        <v>0</v>
      </c>
      <c r="E1344" t="inlineStr">
        <is>
          <t>RAPPI</t>
        </is>
      </c>
    </row>
    <row r="1345">
      <c r="A1345" t="n">
        <v>128</v>
      </c>
      <c r="B1345" t="inlineStr">
        <is>
          <t>Love Cabaret</t>
        </is>
      </c>
      <c r="C1345" s="27" t="n">
        <v>45869</v>
      </c>
      <c r="D1345" t="n">
        <v>560.98</v>
      </c>
      <c r="E1345" t="inlineStr">
        <is>
          <t>PIX</t>
        </is>
      </c>
    </row>
    <row r="1346">
      <c r="A1346" t="n">
        <v>128</v>
      </c>
      <c r="B1346" t="inlineStr">
        <is>
          <t>Love Cabaret</t>
        </is>
      </c>
      <c r="C1346" s="27" t="n">
        <v>45869</v>
      </c>
      <c r="D1346" t="n">
        <v>0</v>
      </c>
      <c r="E1346" t="inlineStr">
        <is>
          <t>IFOOD</t>
        </is>
      </c>
    </row>
    <row r="1347">
      <c r="A1347" t="n">
        <v>128</v>
      </c>
      <c r="B1347" t="inlineStr">
        <is>
          <t>Love Cabaret</t>
        </is>
      </c>
      <c r="C1347" s="27" t="n">
        <v>45869</v>
      </c>
      <c r="D1347" t="n">
        <v>0</v>
      </c>
      <c r="E1347" t="inlineStr">
        <is>
          <t>DELIVERY ONLINE</t>
        </is>
      </c>
    </row>
    <row r="1348">
      <c r="A1348" t="n">
        <v>128</v>
      </c>
      <c r="B1348" t="inlineStr">
        <is>
          <t>Love Cabaret</t>
        </is>
      </c>
      <c r="C1348" s="27" t="n">
        <v>45869</v>
      </c>
      <c r="D1348" t="n">
        <v>0</v>
      </c>
      <c r="E1348" t="inlineStr">
        <is>
          <t>APP</t>
        </is>
      </c>
    </row>
    <row r="1349">
      <c r="A1349" t="n">
        <v>128</v>
      </c>
      <c r="B1349" t="inlineStr">
        <is>
          <t>Love Cabaret</t>
        </is>
      </c>
      <c r="C1349" s="27" t="n">
        <v>45869</v>
      </c>
      <c r="D1349" t="n">
        <v>40</v>
      </c>
      <c r="E1349" t="inlineStr">
        <is>
          <t>DINHEIRO</t>
        </is>
      </c>
    </row>
    <row r="1350">
      <c r="A1350" t="n">
        <v>128</v>
      </c>
      <c r="B1350" t="inlineStr">
        <is>
          <t>Love Cabaret</t>
        </is>
      </c>
      <c r="C1350" s="27" t="n">
        <v>45869</v>
      </c>
      <c r="D1350" t="n">
        <v>4167.75</v>
      </c>
      <c r="E1350" t="inlineStr">
        <is>
          <t>CRÉDITO</t>
        </is>
      </c>
    </row>
    <row r="1351">
      <c r="A1351" t="n">
        <v>128</v>
      </c>
      <c r="B1351" t="inlineStr">
        <is>
          <t>Love Cabaret</t>
        </is>
      </c>
      <c r="C1351" s="27" t="n">
        <v>45864</v>
      </c>
      <c r="D1351" t="n">
        <v>0</v>
      </c>
      <c r="E1351" t="inlineStr">
        <is>
          <t>MBWAY</t>
        </is>
      </c>
    </row>
    <row r="1352">
      <c r="A1352" t="n">
        <v>128</v>
      </c>
      <c r="B1352" t="inlineStr">
        <is>
          <t>Love Cabaret</t>
        </is>
      </c>
      <c r="C1352" s="27" t="n">
        <v>45864</v>
      </c>
      <c r="D1352" t="n">
        <v>18999.93</v>
      </c>
      <c r="E1352" t="inlineStr">
        <is>
          <t>CRÉDITO</t>
        </is>
      </c>
    </row>
    <row r="1353">
      <c r="A1353" t="n">
        <v>128</v>
      </c>
      <c r="B1353" t="inlineStr">
        <is>
          <t>Love Cabaret</t>
        </is>
      </c>
      <c r="C1353" s="27" t="n">
        <v>45864</v>
      </c>
      <c r="D1353" t="n">
        <v>504.9</v>
      </c>
      <c r="E1353" t="inlineStr">
        <is>
          <t>DINHEIRO</t>
        </is>
      </c>
    </row>
    <row r="1354">
      <c r="A1354" t="n">
        <v>128</v>
      </c>
      <c r="B1354" t="inlineStr">
        <is>
          <t>Love Cabaret</t>
        </is>
      </c>
      <c r="C1354" s="27" t="n">
        <v>45864</v>
      </c>
      <c r="D1354" t="n">
        <v>0</v>
      </c>
      <c r="E1354" t="inlineStr">
        <is>
          <t>APP</t>
        </is>
      </c>
    </row>
    <row r="1355">
      <c r="A1355" t="n">
        <v>128</v>
      </c>
      <c r="B1355" t="inlineStr">
        <is>
          <t>Love Cabaret</t>
        </is>
      </c>
      <c r="C1355" s="27" t="n">
        <v>45864</v>
      </c>
      <c r="D1355" t="n">
        <v>0</v>
      </c>
      <c r="E1355" t="inlineStr">
        <is>
          <t>DELIVERY ONLINE</t>
        </is>
      </c>
    </row>
    <row r="1356">
      <c r="A1356" t="n">
        <v>128</v>
      </c>
      <c r="B1356" t="inlineStr">
        <is>
          <t>Love Cabaret</t>
        </is>
      </c>
      <c r="C1356" s="27" t="n">
        <v>45864</v>
      </c>
      <c r="D1356" t="n">
        <v>0</v>
      </c>
      <c r="E1356" t="inlineStr">
        <is>
          <t>IFOOD</t>
        </is>
      </c>
    </row>
    <row r="1357">
      <c r="A1357" t="n">
        <v>128</v>
      </c>
      <c r="B1357" t="inlineStr">
        <is>
          <t>Love Cabaret</t>
        </is>
      </c>
      <c r="C1357" s="27" t="n">
        <v>45864</v>
      </c>
      <c r="D1357" t="n">
        <v>1733.66</v>
      </c>
      <c r="E1357" t="inlineStr">
        <is>
          <t>PIX</t>
        </is>
      </c>
    </row>
    <row r="1358">
      <c r="A1358" t="n">
        <v>128</v>
      </c>
      <c r="B1358" t="inlineStr">
        <is>
          <t>Love Cabaret</t>
        </is>
      </c>
      <c r="C1358" s="27" t="n">
        <v>45864</v>
      </c>
      <c r="D1358" t="n">
        <v>0</v>
      </c>
      <c r="E1358" t="inlineStr">
        <is>
          <t>RAPPI</t>
        </is>
      </c>
    </row>
    <row r="1359">
      <c r="A1359" t="n">
        <v>128</v>
      </c>
      <c r="B1359" t="inlineStr">
        <is>
          <t>Love Cabaret</t>
        </is>
      </c>
      <c r="C1359" s="27" t="n">
        <v>45864</v>
      </c>
      <c r="D1359" t="n">
        <v>0</v>
      </c>
      <c r="E1359" t="inlineStr">
        <is>
          <t>UBER</t>
        </is>
      </c>
    </row>
    <row r="1360">
      <c r="A1360" t="n">
        <v>128</v>
      </c>
      <c r="B1360" t="inlineStr">
        <is>
          <t>Love Cabaret</t>
        </is>
      </c>
      <c r="C1360" s="27" t="n">
        <v>45864</v>
      </c>
      <c r="D1360" t="n">
        <v>0</v>
      </c>
      <c r="E1360" t="inlineStr">
        <is>
          <t>ANTECIPADO</t>
        </is>
      </c>
    </row>
    <row r="1361">
      <c r="A1361" t="n">
        <v>128</v>
      </c>
      <c r="B1361" t="inlineStr">
        <is>
          <t>Love Cabaret</t>
        </is>
      </c>
      <c r="C1361" s="27" t="n">
        <v>45864</v>
      </c>
      <c r="D1361" t="n">
        <v>6395.68</v>
      </c>
      <c r="E1361" t="inlineStr">
        <is>
          <t>DÉBITO</t>
        </is>
      </c>
    </row>
    <row r="1362">
      <c r="A1362" t="n">
        <v>128</v>
      </c>
      <c r="B1362" t="inlineStr">
        <is>
          <t>Love Cabaret</t>
        </is>
      </c>
      <c r="C1362" s="27" t="n">
        <v>45864</v>
      </c>
      <c r="D1362" t="n">
        <v>0</v>
      </c>
      <c r="E1362" t="inlineStr">
        <is>
          <t>VOUCHER</t>
        </is>
      </c>
    </row>
    <row r="1363">
      <c r="A1363" t="n">
        <v>128</v>
      </c>
      <c r="B1363" t="inlineStr">
        <is>
          <t>Love Cabaret</t>
        </is>
      </c>
      <c r="C1363" s="27" t="n">
        <v>45864</v>
      </c>
      <c r="D1363" t="n">
        <v>0</v>
      </c>
      <c r="E1363" t="inlineStr">
        <is>
          <t>VOUCHER INTEGRADO</t>
        </is>
      </c>
    </row>
    <row r="1364">
      <c r="A1364" t="n">
        <v>128</v>
      </c>
      <c r="B1364" t="inlineStr">
        <is>
          <t>Love Cabaret</t>
        </is>
      </c>
      <c r="C1364" s="27" t="n">
        <v>45864</v>
      </c>
      <c r="D1364" t="n">
        <v>0</v>
      </c>
      <c r="E1364" t="inlineStr">
        <is>
          <t>RECARGAS DEVOLVIDAS</t>
        </is>
      </c>
    </row>
    <row r="1365">
      <c r="A1365" t="n">
        <v>128</v>
      </c>
      <c r="B1365" t="inlineStr">
        <is>
          <t>Love Cabaret</t>
        </is>
      </c>
      <c r="C1365" s="27" t="n">
        <v>45864</v>
      </c>
      <c r="D1365" t="n">
        <v>0</v>
      </c>
      <c r="E1365" t="inlineStr">
        <is>
          <t>NOTAS MANUAIS + SERVIÇO</t>
        </is>
      </c>
    </row>
    <row r="1366">
      <c r="A1366" t="n">
        <v>128</v>
      </c>
      <c r="B1366" t="inlineStr">
        <is>
          <t>Love Cabaret</t>
        </is>
      </c>
      <c r="C1366" s="27" t="n">
        <v>45864</v>
      </c>
      <c r="D1366" t="n">
        <v>0</v>
      </c>
      <c r="E1366" t="inlineStr">
        <is>
          <t>AME</t>
        </is>
      </c>
    </row>
    <row r="1367">
      <c r="A1367" t="n">
        <v>128</v>
      </c>
      <c r="B1367" t="inlineStr">
        <is>
          <t>Love Cabaret</t>
        </is>
      </c>
      <c r="C1367" s="27" t="n">
        <v>45864</v>
      </c>
      <c r="D1367" t="n">
        <v>0</v>
      </c>
      <c r="E1367" t="inlineStr">
        <is>
          <t>OUTROS</t>
        </is>
      </c>
    </row>
    <row r="1368">
      <c r="A1368" t="n">
        <v>128</v>
      </c>
      <c r="B1368" t="inlineStr">
        <is>
          <t>Love Cabaret</t>
        </is>
      </c>
      <c r="C1368" s="27" t="n">
        <v>45864</v>
      </c>
      <c r="D1368" t="n">
        <v>0</v>
      </c>
      <c r="E1368" t="inlineStr">
        <is>
          <t>ANTECIPADO</t>
        </is>
      </c>
    </row>
    <row r="1369">
      <c r="A1369" t="n">
        <v>128</v>
      </c>
      <c r="B1369" t="inlineStr">
        <is>
          <t>Love Cabaret</t>
        </is>
      </c>
      <c r="C1369" s="27" t="n">
        <v>45864</v>
      </c>
      <c r="D1369" t="n">
        <v>0</v>
      </c>
      <c r="E1369" t="inlineStr">
        <is>
          <t>BÔNUS</t>
        </is>
      </c>
    </row>
    <row r="1370">
      <c r="A1370" t="n">
        <v>128</v>
      </c>
      <c r="B1370" t="inlineStr">
        <is>
          <t>Love Cabaret</t>
        </is>
      </c>
      <c r="C1370" s="27" t="n">
        <v>45863</v>
      </c>
      <c r="D1370" t="n">
        <v>0</v>
      </c>
      <c r="E1370" t="inlineStr">
        <is>
          <t>AME</t>
        </is>
      </c>
    </row>
    <row r="1371">
      <c r="A1371" t="n">
        <v>128</v>
      </c>
      <c r="B1371" t="inlineStr">
        <is>
          <t>Love Cabaret</t>
        </is>
      </c>
      <c r="C1371" s="27" t="n">
        <v>45863</v>
      </c>
      <c r="D1371" t="n">
        <v>0</v>
      </c>
      <c r="E1371" t="inlineStr">
        <is>
          <t>UBER</t>
        </is>
      </c>
    </row>
    <row r="1372">
      <c r="A1372" t="n">
        <v>128</v>
      </c>
      <c r="B1372" t="inlineStr">
        <is>
          <t>Love Cabaret</t>
        </is>
      </c>
      <c r="C1372" s="27" t="n">
        <v>45863</v>
      </c>
      <c r="D1372" t="n">
        <v>0</v>
      </c>
      <c r="E1372" t="inlineStr">
        <is>
          <t>ANTECIPADO</t>
        </is>
      </c>
    </row>
    <row r="1373">
      <c r="A1373" t="n">
        <v>128</v>
      </c>
      <c r="B1373" t="inlineStr">
        <is>
          <t>Love Cabaret</t>
        </is>
      </c>
      <c r="C1373" s="27" t="n">
        <v>45863</v>
      </c>
      <c r="D1373" t="n">
        <v>0</v>
      </c>
      <c r="E1373" t="inlineStr">
        <is>
          <t>VOUCHER</t>
        </is>
      </c>
    </row>
    <row r="1374">
      <c r="A1374" t="n">
        <v>128</v>
      </c>
      <c r="B1374" t="inlineStr">
        <is>
          <t>Love Cabaret</t>
        </is>
      </c>
      <c r="C1374" s="27" t="n">
        <v>45863</v>
      </c>
      <c r="D1374" t="n">
        <v>0</v>
      </c>
      <c r="E1374" t="inlineStr">
        <is>
          <t>RAPPI</t>
        </is>
      </c>
    </row>
    <row r="1375">
      <c r="A1375" t="n">
        <v>128</v>
      </c>
      <c r="B1375" t="inlineStr">
        <is>
          <t>Love Cabaret</t>
        </is>
      </c>
      <c r="C1375" s="27" t="n">
        <v>45863</v>
      </c>
      <c r="D1375" t="n">
        <v>3403.41</v>
      </c>
      <c r="E1375" t="inlineStr">
        <is>
          <t>PIX</t>
        </is>
      </c>
    </row>
    <row r="1376">
      <c r="A1376" t="n">
        <v>128</v>
      </c>
      <c r="B1376" t="inlineStr">
        <is>
          <t>Love Cabaret</t>
        </is>
      </c>
      <c r="C1376" s="27" t="n">
        <v>45863</v>
      </c>
      <c r="D1376" t="n">
        <v>0</v>
      </c>
      <c r="E1376" t="inlineStr">
        <is>
          <t>IFOOD</t>
        </is>
      </c>
    </row>
    <row r="1377">
      <c r="A1377" t="n">
        <v>128</v>
      </c>
      <c r="B1377" t="inlineStr">
        <is>
          <t>Love Cabaret</t>
        </is>
      </c>
      <c r="C1377" s="27" t="n">
        <v>45863</v>
      </c>
      <c r="D1377" t="n">
        <v>0</v>
      </c>
      <c r="E1377" t="inlineStr">
        <is>
          <t>MBWAY</t>
        </is>
      </c>
    </row>
    <row r="1378">
      <c r="A1378" t="n">
        <v>128</v>
      </c>
      <c r="B1378" t="inlineStr">
        <is>
          <t>Love Cabaret</t>
        </is>
      </c>
      <c r="C1378" s="27" t="n">
        <v>45863</v>
      </c>
      <c r="D1378" t="n">
        <v>0</v>
      </c>
      <c r="E1378" t="inlineStr">
        <is>
          <t>VOUCHER INTEGRADO</t>
        </is>
      </c>
    </row>
    <row r="1379">
      <c r="A1379" t="n">
        <v>128</v>
      </c>
      <c r="B1379" t="inlineStr">
        <is>
          <t>Love Cabaret</t>
        </is>
      </c>
      <c r="C1379" s="27" t="n">
        <v>45863</v>
      </c>
      <c r="D1379" t="n">
        <v>0</v>
      </c>
      <c r="E1379" t="inlineStr">
        <is>
          <t>DELIVERY ONLINE</t>
        </is>
      </c>
    </row>
    <row r="1380">
      <c r="A1380" t="n">
        <v>128</v>
      </c>
      <c r="B1380" t="inlineStr">
        <is>
          <t>Love Cabaret</t>
        </is>
      </c>
      <c r="C1380" s="27" t="n">
        <v>45863</v>
      </c>
      <c r="D1380" t="n">
        <v>0</v>
      </c>
      <c r="E1380" t="inlineStr">
        <is>
          <t>RECARGAS DEVOLVIDAS</t>
        </is>
      </c>
    </row>
    <row r="1381">
      <c r="A1381" t="n">
        <v>128</v>
      </c>
      <c r="B1381" t="inlineStr">
        <is>
          <t>Love Cabaret</t>
        </is>
      </c>
      <c r="C1381" s="27" t="n">
        <v>45863</v>
      </c>
      <c r="D1381" t="n">
        <v>0</v>
      </c>
      <c r="E1381" t="inlineStr">
        <is>
          <t>NOTAS MANUAIS + SERVIÇO</t>
        </is>
      </c>
    </row>
    <row r="1382">
      <c r="A1382" t="n">
        <v>128</v>
      </c>
      <c r="B1382" t="inlineStr">
        <is>
          <t>Love Cabaret</t>
        </is>
      </c>
      <c r="C1382" s="27" t="n">
        <v>45863</v>
      </c>
      <c r="D1382" t="n">
        <v>0</v>
      </c>
      <c r="E1382" t="inlineStr">
        <is>
          <t>OUTROS</t>
        </is>
      </c>
    </row>
    <row r="1383">
      <c r="A1383" t="n">
        <v>128</v>
      </c>
      <c r="B1383" t="inlineStr">
        <is>
          <t>Love Cabaret</t>
        </is>
      </c>
      <c r="C1383" s="27" t="n">
        <v>45863</v>
      </c>
      <c r="D1383" t="n">
        <v>0</v>
      </c>
      <c r="E1383" t="inlineStr">
        <is>
          <t>ANTECIPADO</t>
        </is>
      </c>
    </row>
    <row r="1384">
      <c r="A1384" t="n">
        <v>128</v>
      </c>
      <c r="B1384" t="inlineStr">
        <is>
          <t>Love Cabaret</t>
        </is>
      </c>
      <c r="C1384" s="27" t="n">
        <v>45863</v>
      </c>
      <c r="D1384" t="n">
        <v>0</v>
      </c>
      <c r="E1384" t="inlineStr">
        <is>
          <t>BÔNUS</t>
        </is>
      </c>
    </row>
    <row r="1385">
      <c r="A1385" t="n">
        <v>128</v>
      </c>
      <c r="B1385" t="inlineStr">
        <is>
          <t>Love Cabaret</t>
        </is>
      </c>
      <c r="C1385" s="27" t="n">
        <v>45863</v>
      </c>
      <c r="D1385" t="n">
        <v>6673.92</v>
      </c>
      <c r="E1385" t="inlineStr">
        <is>
          <t>DÉBITO</t>
        </is>
      </c>
    </row>
    <row r="1386">
      <c r="A1386" t="n">
        <v>128</v>
      </c>
      <c r="B1386" t="inlineStr">
        <is>
          <t>Love Cabaret</t>
        </is>
      </c>
      <c r="C1386" s="27" t="n">
        <v>45863</v>
      </c>
      <c r="D1386" t="n">
        <v>0</v>
      </c>
      <c r="E1386" t="inlineStr">
        <is>
          <t>APP</t>
        </is>
      </c>
    </row>
    <row r="1387">
      <c r="A1387" t="n">
        <v>128</v>
      </c>
      <c r="B1387" t="inlineStr">
        <is>
          <t>Love Cabaret</t>
        </is>
      </c>
      <c r="C1387" s="27" t="n">
        <v>45863</v>
      </c>
      <c r="D1387" t="n">
        <v>207.92</v>
      </c>
      <c r="E1387" t="inlineStr">
        <is>
          <t>DINHEIRO</t>
        </is>
      </c>
    </row>
    <row r="1388">
      <c r="A1388" t="n">
        <v>128</v>
      </c>
      <c r="B1388" t="inlineStr">
        <is>
          <t>Love Cabaret</t>
        </is>
      </c>
      <c r="C1388" s="27" t="n">
        <v>45863</v>
      </c>
      <c r="D1388" t="n">
        <v>17169.89</v>
      </c>
      <c r="E1388" t="inlineStr">
        <is>
          <t>CRÉDITO</t>
        </is>
      </c>
    </row>
    <row r="1389">
      <c r="A1389" t="n">
        <v>128</v>
      </c>
      <c r="B1389" t="inlineStr">
        <is>
          <t>Love Cabaret</t>
        </is>
      </c>
      <c r="C1389" s="27" t="n">
        <v>45862</v>
      </c>
      <c r="D1389" t="n">
        <v>0</v>
      </c>
      <c r="E1389" t="inlineStr">
        <is>
          <t>MBWAY</t>
        </is>
      </c>
    </row>
    <row r="1390">
      <c r="A1390" t="n">
        <v>128</v>
      </c>
      <c r="B1390" t="inlineStr">
        <is>
          <t>Love Cabaret</t>
        </is>
      </c>
      <c r="C1390" s="27" t="n">
        <v>45862</v>
      </c>
      <c r="D1390" t="n">
        <v>0</v>
      </c>
      <c r="E1390" t="inlineStr">
        <is>
          <t>VOUCHER</t>
        </is>
      </c>
    </row>
    <row r="1391">
      <c r="A1391" t="n">
        <v>128</v>
      </c>
      <c r="B1391" t="inlineStr">
        <is>
          <t>Love Cabaret</t>
        </is>
      </c>
      <c r="C1391" s="27" t="n">
        <v>45862</v>
      </c>
      <c r="D1391" t="n">
        <v>0</v>
      </c>
      <c r="E1391" t="inlineStr">
        <is>
          <t>NOTAS MANUAIS + SERVIÇO</t>
        </is>
      </c>
    </row>
    <row r="1392">
      <c r="A1392" t="n">
        <v>128</v>
      </c>
      <c r="B1392" t="inlineStr">
        <is>
          <t>Love Cabaret</t>
        </is>
      </c>
      <c r="C1392" s="27" t="n">
        <v>45862</v>
      </c>
      <c r="D1392" t="n">
        <v>0</v>
      </c>
      <c r="E1392" t="inlineStr">
        <is>
          <t>RECARGAS DEVOLVIDAS</t>
        </is>
      </c>
    </row>
    <row r="1393">
      <c r="A1393" t="n">
        <v>128</v>
      </c>
      <c r="B1393" t="inlineStr">
        <is>
          <t>Love Cabaret</t>
        </is>
      </c>
      <c r="C1393" s="27" t="n">
        <v>45862</v>
      </c>
      <c r="D1393" t="n">
        <v>0</v>
      </c>
      <c r="E1393" t="inlineStr">
        <is>
          <t>VOUCHER INTEGRADO</t>
        </is>
      </c>
    </row>
    <row r="1394">
      <c r="A1394" t="n">
        <v>128</v>
      </c>
      <c r="B1394" t="inlineStr">
        <is>
          <t>Love Cabaret</t>
        </is>
      </c>
      <c r="C1394" s="27" t="n">
        <v>45862</v>
      </c>
      <c r="D1394" t="n">
        <v>0</v>
      </c>
      <c r="E1394" t="inlineStr">
        <is>
          <t>AME</t>
        </is>
      </c>
    </row>
    <row r="1395">
      <c r="A1395" t="n">
        <v>128</v>
      </c>
      <c r="B1395" t="inlineStr">
        <is>
          <t>Love Cabaret</t>
        </is>
      </c>
      <c r="C1395" s="27" t="n">
        <v>45862</v>
      </c>
      <c r="D1395" t="n">
        <v>0</v>
      </c>
      <c r="E1395" t="inlineStr">
        <is>
          <t>OUTROS</t>
        </is>
      </c>
    </row>
    <row r="1396">
      <c r="A1396" t="n">
        <v>128</v>
      </c>
      <c r="B1396" t="inlineStr">
        <is>
          <t>Love Cabaret</t>
        </is>
      </c>
      <c r="C1396" s="27" t="n">
        <v>45862</v>
      </c>
      <c r="D1396" t="n">
        <v>0</v>
      </c>
      <c r="E1396" t="inlineStr">
        <is>
          <t>ANTECIPADO</t>
        </is>
      </c>
    </row>
    <row r="1397">
      <c r="A1397" t="n">
        <v>128</v>
      </c>
      <c r="B1397" t="inlineStr">
        <is>
          <t>Love Cabaret</t>
        </is>
      </c>
      <c r="C1397" s="27" t="n">
        <v>45862</v>
      </c>
      <c r="D1397" t="n">
        <v>0</v>
      </c>
      <c r="E1397" t="inlineStr">
        <is>
          <t>BÔNUS</t>
        </is>
      </c>
    </row>
    <row r="1398">
      <c r="A1398" t="n">
        <v>128</v>
      </c>
      <c r="B1398" t="inlineStr">
        <is>
          <t>Love Cabaret</t>
        </is>
      </c>
      <c r="C1398" s="27" t="n">
        <v>45862</v>
      </c>
      <c r="D1398" t="n">
        <v>3315.58</v>
      </c>
      <c r="E1398" t="inlineStr">
        <is>
          <t>DÉBITO</t>
        </is>
      </c>
    </row>
    <row r="1399">
      <c r="A1399" t="n">
        <v>128</v>
      </c>
      <c r="B1399" t="inlineStr">
        <is>
          <t>Love Cabaret</t>
        </is>
      </c>
      <c r="C1399" s="27" t="n">
        <v>45862</v>
      </c>
      <c r="D1399" t="n">
        <v>0</v>
      </c>
      <c r="E1399" t="inlineStr">
        <is>
          <t>ANTECIPADO</t>
        </is>
      </c>
    </row>
    <row r="1400">
      <c r="A1400" t="n">
        <v>128</v>
      </c>
      <c r="B1400" t="inlineStr">
        <is>
          <t>Love Cabaret</t>
        </is>
      </c>
      <c r="C1400" s="27" t="n">
        <v>45862</v>
      </c>
      <c r="D1400" t="n">
        <v>0</v>
      </c>
      <c r="E1400" t="inlineStr">
        <is>
          <t>UBER</t>
        </is>
      </c>
    </row>
    <row r="1401">
      <c r="A1401" t="n">
        <v>128</v>
      </c>
      <c r="B1401" t="inlineStr">
        <is>
          <t>Love Cabaret</t>
        </is>
      </c>
      <c r="C1401" s="27" t="n">
        <v>45862</v>
      </c>
      <c r="D1401" t="n">
        <v>0</v>
      </c>
      <c r="E1401" t="inlineStr">
        <is>
          <t>RAPPI</t>
        </is>
      </c>
    </row>
    <row r="1402">
      <c r="A1402" t="n">
        <v>128</v>
      </c>
      <c r="B1402" t="inlineStr">
        <is>
          <t>Love Cabaret</t>
        </is>
      </c>
      <c r="C1402" s="27" t="n">
        <v>45862</v>
      </c>
      <c r="D1402" t="n">
        <v>1295.99</v>
      </c>
      <c r="E1402" t="inlineStr">
        <is>
          <t>PIX</t>
        </is>
      </c>
    </row>
    <row r="1403">
      <c r="A1403" t="n">
        <v>128</v>
      </c>
      <c r="B1403" t="inlineStr">
        <is>
          <t>Love Cabaret</t>
        </is>
      </c>
      <c r="C1403" s="27" t="n">
        <v>45862</v>
      </c>
      <c r="D1403" t="n">
        <v>0</v>
      </c>
      <c r="E1403" t="inlineStr">
        <is>
          <t>IFOOD</t>
        </is>
      </c>
    </row>
    <row r="1404">
      <c r="A1404" t="n">
        <v>128</v>
      </c>
      <c r="B1404" t="inlineStr">
        <is>
          <t>Love Cabaret</t>
        </is>
      </c>
      <c r="C1404" s="27" t="n">
        <v>45862</v>
      </c>
      <c r="D1404" t="n">
        <v>0</v>
      </c>
      <c r="E1404" t="inlineStr">
        <is>
          <t>DELIVERY ONLINE</t>
        </is>
      </c>
    </row>
    <row r="1405">
      <c r="A1405" t="n">
        <v>128</v>
      </c>
      <c r="B1405" t="inlineStr">
        <is>
          <t>Love Cabaret</t>
        </is>
      </c>
      <c r="C1405" s="27" t="n">
        <v>45862</v>
      </c>
      <c r="D1405" t="n">
        <v>27</v>
      </c>
      <c r="E1405" t="inlineStr">
        <is>
          <t>APP</t>
        </is>
      </c>
    </row>
    <row r="1406">
      <c r="A1406" t="n">
        <v>128</v>
      </c>
      <c r="B1406" t="inlineStr">
        <is>
          <t>Love Cabaret</t>
        </is>
      </c>
      <c r="C1406" s="27" t="n">
        <v>45862</v>
      </c>
      <c r="D1406" t="n">
        <v>85.88</v>
      </c>
      <c r="E1406" t="inlineStr">
        <is>
          <t>DINHEIRO</t>
        </is>
      </c>
    </row>
    <row r="1407">
      <c r="A1407" t="n">
        <v>128</v>
      </c>
      <c r="B1407" t="inlineStr">
        <is>
          <t>Love Cabaret</t>
        </is>
      </c>
      <c r="C1407" s="27" t="n">
        <v>45862</v>
      </c>
      <c r="D1407" t="n">
        <v>5968.14</v>
      </c>
      <c r="E1407" t="inlineStr">
        <is>
          <t>CRÉDITO</t>
        </is>
      </c>
    </row>
    <row r="1408">
      <c r="A1408" t="n">
        <v>128</v>
      </c>
      <c r="B1408" t="inlineStr">
        <is>
          <t>Love Cabaret</t>
        </is>
      </c>
      <c r="C1408" s="27" t="n">
        <v>45857</v>
      </c>
      <c r="D1408" t="n">
        <v>0</v>
      </c>
      <c r="E1408" t="inlineStr">
        <is>
          <t>MBWAY</t>
        </is>
      </c>
    </row>
    <row r="1409">
      <c r="A1409" t="n">
        <v>128</v>
      </c>
      <c r="B1409" t="inlineStr">
        <is>
          <t>Love Cabaret</t>
        </is>
      </c>
      <c r="C1409" s="27" t="n">
        <v>45857</v>
      </c>
      <c r="D1409" t="n">
        <v>0</v>
      </c>
      <c r="E1409" t="inlineStr">
        <is>
          <t>DELIVERY ONLINE</t>
        </is>
      </c>
    </row>
    <row r="1410">
      <c r="A1410" t="n">
        <v>128</v>
      </c>
      <c r="B1410" t="inlineStr">
        <is>
          <t>Love Cabaret</t>
        </is>
      </c>
      <c r="C1410" s="27" t="n">
        <v>45857</v>
      </c>
      <c r="D1410" t="n">
        <v>15311.99</v>
      </c>
      <c r="E1410" t="inlineStr">
        <is>
          <t>CRÉDITO</t>
        </is>
      </c>
    </row>
    <row r="1411">
      <c r="A1411" t="n">
        <v>128</v>
      </c>
      <c r="B1411" t="inlineStr">
        <is>
          <t>Love Cabaret</t>
        </is>
      </c>
      <c r="C1411" s="27" t="n">
        <v>45857</v>
      </c>
      <c r="D1411" t="n">
        <v>370.64</v>
      </c>
      <c r="E1411" t="inlineStr">
        <is>
          <t>DINHEIRO</t>
        </is>
      </c>
    </row>
    <row r="1412">
      <c r="A1412" t="n">
        <v>128</v>
      </c>
      <c r="B1412" t="inlineStr">
        <is>
          <t>Love Cabaret</t>
        </is>
      </c>
      <c r="C1412" s="27" t="n">
        <v>45857</v>
      </c>
      <c r="D1412" t="n">
        <v>0</v>
      </c>
      <c r="E1412" t="inlineStr">
        <is>
          <t>APP</t>
        </is>
      </c>
    </row>
    <row r="1413">
      <c r="A1413" t="n">
        <v>128</v>
      </c>
      <c r="B1413" t="inlineStr">
        <is>
          <t>Love Cabaret</t>
        </is>
      </c>
      <c r="C1413" s="27" t="n">
        <v>45857</v>
      </c>
      <c r="D1413" t="n">
        <v>0</v>
      </c>
      <c r="E1413" t="inlineStr">
        <is>
          <t>IFOOD</t>
        </is>
      </c>
    </row>
    <row r="1414">
      <c r="A1414" t="n">
        <v>128</v>
      </c>
      <c r="B1414" t="inlineStr">
        <is>
          <t>Love Cabaret</t>
        </is>
      </c>
      <c r="C1414" s="27" t="n">
        <v>45857</v>
      </c>
      <c r="D1414" t="n">
        <v>0</v>
      </c>
      <c r="E1414" t="inlineStr">
        <is>
          <t>RECARGAS DEVOLVIDAS</t>
        </is>
      </c>
    </row>
    <row r="1415">
      <c r="A1415" t="n">
        <v>128</v>
      </c>
      <c r="B1415" t="inlineStr">
        <is>
          <t>Love Cabaret</t>
        </is>
      </c>
      <c r="C1415" s="27" t="n">
        <v>45857</v>
      </c>
      <c r="D1415" t="n">
        <v>0</v>
      </c>
      <c r="E1415" t="inlineStr">
        <is>
          <t>NOTAS MANUAIS + SERVIÇO</t>
        </is>
      </c>
    </row>
    <row r="1416">
      <c r="A1416" t="n">
        <v>128</v>
      </c>
      <c r="B1416" t="inlineStr">
        <is>
          <t>Love Cabaret</t>
        </is>
      </c>
      <c r="C1416" s="27" t="n">
        <v>45857</v>
      </c>
      <c r="D1416" t="n">
        <v>0</v>
      </c>
      <c r="E1416" t="inlineStr">
        <is>
          <t>AME</t>
        </is>
      </c>
    </row>
    <row r="1417">
      <c r="A1417" t="n">
        <v>128</v>
      </c>
      <c r="B1417" t="inlineStr">
        <is>
          <t>Love Cabaret</t>
        </is>
      </c>
      <c r="C1417" s="27" t="n">
        <v>45857</v>
      </c>
      <c r="D1417" t="n">
        <v>0</v>
      </c>
      <c r="E1417" t="inlineStr">
        <is>
          <t>OUTROS</t>
        </is>
      </c>
    </row>
    <row r="1418">
      <c r="A1418" t="n">
        <v>128</v>
      </c>
      <c r="B1418" t="inlineStr">
        <is>
          <t>Love Cabaret</t>
        </is>
      </c>
      <c r="C1418" s="27" t="n">
        <v>45857</v>
      </c>
      <c r="D1418" t="n">
        <v>0</v>
      </c>
      <c r="E1418" t="inlineStr">
        <is>
          <t>ANTECIPADO</t>
        </is>
      </c>
    </row>
    <row r="1419">
      <c r="A1419" t="n">
        <v>128</v>
      </c>
      <c r="B1419" t="inlineStr">
        <is>
          <t>Love Cabaret</t>
        </is>
      </c>
      <c r="C1419" s="27" t="n">
        <v>45857</v>
      </c>
      <c r="D1419" t="n">
        <v>0</v>
      </c>
      <c r="E1419" t="inlineStr">
        <is>
          <t>BÔNUS</t>
        </is>
      </c>
    </row>
    <row r="1420">
      <c r="A1420" t="n">
        <v>128</v>
      </c>
      <c r="B1420" t="inlineStr">
        <is>
          <t>Love Cabaret</t>
        </is>
      </c>
      <c r="C1420" s="27" t="n">
        <v>45857</v>
      </c>
      <c r="D1420" t="n">
        <v>5253.66</v>
      </c>
      <c r="E1420" t="inlineStr">
        <is>
          <t>DÉBITO</t>
        </is>
      </c>
    </row>
    <row r="1421">
      <c r="A1421" t="n">
        <v>128</v>
      </c>
      <c r="B1421" t="inlineStr">
        <is>
          <t>Love Cabaret</t>
        </is>
      </c>
      <c r="C1421" s="27" t="n">
        <v>45857</v>
      </c>
      <c r="D1421" t="n">
        <v>0</v>
      </c>
      <c r="E1421" t="inlineStr">
        <is>
          <t>VOUCHER</t>
        </is>
      </c>
    </row>
    <row r="1422">
      <c r="A1422" t="n">
        <v>128</v>
      </c>
      <c r="B1422" t="inlineStr">
        <is>
          <t>Love Cabaret</t>
        </is>
      </c>
      <c r="C1422" s="27" t="n">
        <v>45857</v>
      </c>
      <c r="D1422" t="n">
        <v>0</v>
      </c>
      <c r="E1422" t="inlineStr">
        <is>
          <t>ANTECIPADO</t>
        </is>
      </c>
    </row>
    <row r="1423">
      <c r="A1423" t="n">
        <v>128</v>
      </c>
      <c r="B1423" t="inlineStr">
        <is>
          <t>Love Cabaret</t>
        </is>
      </c>
      <c r="C1423" s="27" t="n">
        <v>45857</v>
      </c>
      <c r="D1423" t="n">
        <v>0</v>
      </c>
      <c r="E1423" t="inlineStr">
        <is>
          <t>UBER</t>
        </is>
      </c>
    </row>
    <row r="1424">
      <c r="A1424" t="n">
        <v>128</v>
      </c>
      <c r="B1424" t="inlineStr">
        <is>
          <t>Love Cabaret</t>
        </is>
      </c>
      <c r="C1424" s="27" t="n">
        <v>45857</v>
      </c>
      <c r="D1424" t="n">
        <v>0</v>
      </c>
      <c r="E1424" t="inlineStr">
        <is>
          <t>RAPPI</t>
        </is>
      </c>
    </row>
    <row r="1425">
      <c r="A1425" t="n">
        <v>128</v>
      </c>
      <c r="B1425" t="inlineStr">
        <is>
          <t>Love Cabaret</t>
        </is>
      </c>
      <c r="C1425" s="27" t="n">
        <v>45857</v>
      </c>
      <c r="D1425" t="n">
        <v>2801.27</v>
      </c>
      <c r="E1425" t="inlineStr">
        <is>
          <t>PIX</t>
        </is>
      </c>
    </row>
    <row r="1426">
      <c r="A1426" t="n">
        <v>128</v>
      </c>
      <c r="B1426" t="inlineStr">
        <is>
          <t>Love Cabaret</t>
        </is>
      </c>
      <c r="C1426" s="27" t="n">
        <v>45857</v>
      </c>
      <c r="D1426" t="n">
        <v>0</v>
      </c>
      <c r="E1426" t="inlineStr">
        <is>
          <t>VOUCHER INTEGRADO</t>
        </is>
      </c>
    </row>
    <row r="1427">
      <c r="A1427" t="n">
        <v>128</v>
      </c>
      <c r="B1427" t="inlineStr">
        <is>
          <t>Love Cabaret</t>
        </is>
      </c>
      <c r="C1427" s="27" t="n">
        <v>45856</v>
      </c>
      <c r="D1427" t="n">
        <v>0</v>
      </c>
      <c r="E1427" t="inlineStr">
        <is>
          <t>DELIVERY ONLINE</t>
        </is>
      </c>
    </row>
    <row r="1428">
      <c r="A1428" t="n">
        <v>128</v>
      </c>
      <c r="B1428" t="inlineStr">
        <is>
          <t>Love Cabaret</t>
        </is>
      </c>
      <c r="C1428" s="27" t="n">
        <v>45856</v>
      </c>
      <c r="D1428" t="n">
        <v>6551.07</v>
      </c>
      <c r="E1428" t="inlineStr">
        <is>
          <t>DÉBITO</t>
        </is>
      </c>
    </row>
    <row r="1429">
      <c r="A1429" t="n">
        <v>128</v>
      </c>
      <c r="B1429" t="inlineStr">
        <is>
          <t>Love Cabaret</t>
        </is>
      </c>
      <c r="C1429" s="27" t="n">
        <v>45856</v>
      </c>
      <c r="D1429" t="n">
        <v>0</v>
      </c>
      <c r="E1429" t="inlineStr">
        <is>
          <t>MBWAY</t>
        </is>
      </c>
    </row>
    <row r="1430">
      <c r="A1430" t="n">
        <v>128</v>
      </c>
      <c r="B1430" t="inlineStr">
        <is>
          <t>Love Cabaret</t>
        </is>
      </c>
      <c r="C1430" s="27" t="n">
        <v>45856</v>
      </c>
      <c r="D1430" t="n">
        <v>0</v>
      </c>
      <c r="E1430" t="inlineStr">
        <is>
          <t>VOUCHER INTEGRADO</t>
        </is>
      </c>
    </row>
    <row r="1431">
      <c r="A1431" t="n">
        <v>128</v>
      </c>
      <c r="B1431" t="inlineStr">
        <is>
          <t>Love Cabaret</t>
        </is>
      </c>
      <c r="C1431" s="27" t="n">
        <v>45856</v>
      </c>
      <c r="D1431" t="n">
        <v>0</v>
      </c>
      <c r="E1431" t="inlineStr">
        <is>
          <t>RECARGAS DEVOLVIDAS</t>
        </is>
      </c>
    </row>
    <row r="1432">
      <c r="A1432" t="n">
        <v>128</v>
      </c>
      <c r="B1432" t="inlineStr">
        <is>
          <t>Love Cabaret</t>
        </is>
      </c>
      <c r="C1432" s="27" t="n">
        <v>45856</v>
      </c>
      <c r="D1432" t="n">
        <v>0</v>
      </c>
      <c r="E1432" t="inlineStr">
        <is>
          <t>NOTAS MANUAIS + SERVIÇO</t>
        </is>
      </c>
    </row>
    <row r="1433">
      <c r="A1433" t="n">
        <v>128</v>
      </c>
      <c r="B1433" t="inlineStr">
        <is>
          <t>Love Cabaret</t>
        </is>
      </c>
      <c r="C1433" s="27" t="n">
        <v>45856</v>
      </c>
      <c r="D1433" t="n">
        <v>0</v>
      </c>
      <c r="E1433" t="inlineStr">
        <is>
          <t>AME</t>
        </is>
      </c>
    </row>
    <row r="1434">
      <c r="A1434" t="n">
        <v>128</v>
      </c>
      <c r="B1434" t="inlineStr">
        <is>
          <t>Love Cabaret</t>
        </is>
      </c>
      <c r="C1434" s="27" t="n">
        <v>45856</v>
      </c>
      <c r="D1434" t="n">
        <v>0</v>
      </c>
      <c r="E1434" t="inlineStr">
        <is>
          <t>OUTROS</t>
        </is>
      </c>
    </row>
    <row r="1435">
      <c r="A1435" t="n">
        <v>128</v>
      </c>
      <c r="B1435" t="inlineStr">
        <is>
          <t>Love Cabaret</t>
        </is>
      </c>
      <c r="C1435" s="27" t="n">
        <v>45856</v>
      </c>
      <c r="D1435" t="n">
        <v>0</v>
      </c>
      <c r="E1435" t="inlineStr">
        <is>
          <t>ANTECIPADO</t>
        </is>
      </c>
    </row>
    <row r="1436">
      <c r="A1436" t="n">
        <v>128</v>
      </c>
      <c r="B1436" t="inlineStr">
        <is>
          <t>Love Cabaret</t>
        </is>
      </c>
      <c r="C1436" s="27" t="n">
        <v>45856</v>
      </c>
      <c r="D1436" t="n">
        <v>0</v>
      </c>
      <c r="E1436" t="inlineStr">
        <is>
          <t>BÔNUS</t>
        </is>
      </c>
    </row>
    <row r="1437">
      <c r="A1437" t="n">
        <v>128</v>
      </c>
      <c r="B1437" t="inlineStr">
        <is>
          <t>Love Cabaret</t>
        </is>
      </c>
      <c r="C1437" s="27" t="n">
        <v>45856</v>
      </c>
      <c r="D1437" t="n">
        <v>2</v>
      </c>
      <c r="E1437" t="inlineStr">
        <is>
          <t>APP</t>
        </is>
      </c>
    </row>
    <row r="1438">
      <c r="A1438" t="n">
        <v>128</v>
      </c>
      <c r="B1438" t="inlineStr">
        <is>
          <t>Love Cabaret</t>
        </is>
      </c>
      <c r="C1438" s="27" t="n">
        <v>45856</v>
      </c>
      <c r="D1438" t="n">
        <v>0</v>
      </c>
      <c r="E1438" t="inlineStr">
        <is>
          <t>VOUCHER</t>
        </is>
      </c>
    </row>
    <row r="1439">
      <c r="A1439" t="n">
        <v>128</v>
      </c>
      <c r="B1439" t="inlineStr">
        <is>
          <t>Love Cabaret</t>
        </is>
      </c>
      <c r="C1439" s="27" t="n">
        <v>45856</v>
      </c>
      <c r="D1439" t="n">
        <v>0</v>
      </c>
      <c r="E1439" t="inlineStr">
        <is>
          <t>ANTECIPADO</t>
        </is>
      </c>
    </row>
    <row r="1440">
      <c r="A1440" t="n">
        <v>128</v>
      </c>
      <c r="B1440" t="inlineStr">
        <is>
          <t>Love Cabaret</t>
        </is>
      </c>
      <c r="C1440" s="27" t="n">
        <v>45856</v>
      </c>
      <c r="D1440" t="n">
        <v>0</v>
      </c>
      <c r="E1440" t="inlineStr">
        <is>
          <t>UBER</t>
        </is>
      </c>
    </row>
    <row r="1441">
      <c r="A1441" t="n">
        <v>128</v>
      </c>
      <c r="B1441" t="inlineStr">
        <is>
          <t>Love Cabaret</t>
        </is>
      </c>
      <c r="C1441" s="27" t="n">
        <v>45856</v>
      </c>
      <c r="D1441" t="n">
        <v>0</v>
      </c>
      <c r="E1441" t="inlineStr">
        <is>
          <t>RAPPI</t>
        </is>
      </c>
    </row>
    <row r="1442">
      <c r="A1442" t="n">
        <v>128</v>
      </c>
      <c r="B1442" t="inlineStr">
        <is>
          <t>Love Cabaret</t>
        </is>
      </c>
      <c r="C1442" s="27" t="n">
        <v>45856</v>
      </c>
      <c r="D1442" t="n">
        <v>1089.89</v>
      </c>
      <c r="E1442" t="inlineStr">
        <is>
          <t>PIX</t>
        </is>
      </c>
    </row>
    <row r="1443">
      <c r="A1443" t="n">
        <v>128</v>
      </c>
      <c r="B1443" t="inlineStr">
        <is>
          <t>Love Cabaret</t>
        </is>
      </c>
      <c r="C1443" s="27" t="n">
        <v>45856</v>
      </c>
      <c r="D1443" t="n">
        <v>0</v>
      </c>
      <c r="E1443" t="inlineStr">
        <is>
          <t>IFOOD</t>
        </is>
      </c>
    </row>
    <row r="1444">
      <c r="A1444" t="n">
        <v>128</v>
      </c>
      <c r="B1444" t="inlineStr">
        <is>
          <t>Love Cabaret</t>
        </is>
      </c>
      <c r="C1444" s="27" t="n">
        <v>45856</v>
      </c>
      <c r="D1444" t="n">
        <v>20918.79</v>
      </c>
      <c r="E1444" t="inlineStr">
        <is>
          <t>CRÉDITO</t>
        </is>
      </c>
    </row>
    <row r="1445">
      <c r="A1445" t="n">
        <v>128</v>
      </c>
      <c r="B1445" t="inlineStr">
        <is>
          <t>Love Cabaret</t>
        </is>
      </c>
      <c r="C1445" s="27" t="n">
        <v>45856</v>
      </c>
      <c r="D1445" t="n">
        <v>306.23</v>
      </c>
      <c r="E1445" t="inlineStr">
        <is>
          <t>DINHEIRO</t>
        </is>
      </c>
    </row>
    <row r="1446">
      <c r="A1446" t="n">
        <v>128</v>
      </c>
      <c r="B1446" t="inlineStr">
        <is>
          <t>Love Cabaret</t>
        </is>
      </c>
      <c r="C1446" s="27" t="n">
        <v>45855</v>
      </c>
      <c r="D1446" t="n">
        <v>0</v>
      </c>
      <c r="E1446" t="inlineStr">
        <is>
          <t>ANTECIPADO</t>
        </is>
      </c>
    </row>
    <row r="1447">
      <c r="A1447" t="n">
        <v>128</v>
      </c>
      <c r="B1447" t="inlineStr">
        <is>
          <t>Love Cabaret</t>
        </is>
      </c>
      <c r="C1447" s="27" t="n">
        <v>45855</v>
      </c>
      <c r="D1447" t="n">
        <v>0</v>
      </c>
      <c r="E1447" t="inlineStr">
        <is>
          <t>VOUCHER INTEGRADO</t>
        </is>
      </c>
    </row>
    <row r="1448">
      <c r="A1448" t="n">
        <v>128</v>
      </c>
      <c r="B1448" t="inlineStr">
        <is>
          <t>Love Cabaret</t>
        </is>
      </c>
      <c r="C1448" s="27" t="n">
        <v>45855</v>
      </c>
      <c r="D1448" t="n">
        <v>0</v>
      </c>
      <c r="E1448" t="inlineStr">
        <is>
          <t>RECARGAS DEVOLVIDAS</t>
        </is>
      </c>
    </row>
    <row r="1449">
      <c r="A1449" t="n">
        <v>128</v>
      </c>
      <c r="B1449" t="inlineStr">
        <is>
          <t>Love Cabaret</t>
        </is>
      </c>
      <c r="C1449" s="27" t="n">
        <v>45855</v>
      </c>
      <c r="D1449" t="n">
        <v>0</v>
      </c>
      <c r="E1449" t="inlineStr">
        <is>
          <t>NOTAS MANUAIS + SERVIÇO</t>
        </is>
      </c>
    </row>
    <row r="1450">
      <c r="A1450" t="n">
        <v>128</v>
      </c>
      <c r="B1450" t="inlineStr">
        <is>
          <t>Love Cabaret</t>
        </is>
      </c>
      <c r="C1450" s="27" t="n">
        <v>45855</v>
      </c>
      <c r="D1450" t="n">
        <v>0</v>
      </c>
      <c r="E1450" t="inlineStr">
        <is>
          <t>AME</t>
        </is>
      </c>
    </row>
    <row r="1451">
      <c r="A1451" t="n">
        <v>128</v>
      </c>
      <c r="B1451" t="inlineStr">
        <is>
          <t>Love Cabaret</t>
        </is>
      </c>
      <c r="C1451" s="27" t="n">
        <v>45855</v>
      </c>
      <c r="D1451" t="n">
        <v>0</v>
      </c>
      <c r="E1451" t="inlineStr">
        <is>
          <t>OUTROS</t>
        </is>
      </c>
    </row>
    <row r="1452">
      <c r="A1452" t="n">
        <v>128</v>
      </c>
      <c r="B1452" t="inlineStr">
        <is>
          <t>Love Cabaret</t>
        </is>
      </c>
      <c r="C1452" s="27" t="n">
        <v>45855</v>
      </c>
      <c r="D1452" t="n">
        <v>0</v>
      </c>
      <c r="E1452" t="inlineStr">
        <is>
          <t>ANTECIPADO</t>
        </is>
      </c>
    </row>
    <row r="1453">
      <c r="A1453" t="n">
        <v>128</v>
      </c>
      <c r="B1453" t="inlineStr">
        <is>
          <t>Love Cabaret</t>
        </is>
      </c>
      <c r="C1453" s="27" t="n">
        <v>45855</v>
      </c>
      <c r="D1453" t="n">
        <v>0</v>
      </c>
      <c r="E1453" t="inlineStr">
        <is>
          <t>BÔNUS</t>
        </is>
      </c>
    </row>
    <row r="1454">
      <c r="A1454" t="n">
        <v>128</v>
      </c>
      <c r="B1454" t="inlineStr">
        <is>
          <t>Love Cabaret</t>
        </is>
      </c>
      <c r="C1454" s="27" t="n">
        <v>45855</v>
      </c>
      <c r="D1454" t="n">
        <v>4478.17</v>
      </c>
      <c r="E1454" t="inlineStr">
        <is>
          <t>DÉBITO</t>
        </is>
      </c>
    </row>
    <row r="1455">
      <c r="A1455" t="n">
        <v>128</v>
      </c>
      <c r="B1455" t="inlineStr">
        <is>
          <t>Love Cabaret</t>
        </is>
      </c>
      <c r="C1455" s="27" t="n">
        <v>45855</v>
      </c>
      <c r="D1455" t="n">
        <v>0</v>
      </c>
      <c r="E1455" t="inlineStr">
        <is>
          <t>VOUCHER</t>
        </is>
      </c>
    </row>
    <row r="1456">
      <c r="A1456" t="n">
        <v>128</v>
      </c>
      <c r="B1456" t="inlineStr">
        <is>
          <t>Love Cabaret</t>
        </is>
      </c>
      <c r="C1456" s="27" t="n">
        <v>45855</v>
      </c>
      <c r="D1456" t="n">
        <v>0</v>
      </c>
      <c r="E1456" t="inlineStr">
        <is>
          <t>MBWAY</t>
        </is>
      </c>
    </row>
    <row r="1457">
      <c r="A1457" t="n">
        <v>128</v>
      </c>
      <c r="B1457" t="inlineStr">
        <is>
          <t>Love Cabaret</t>
        </is>
      </c>
      <c r="C1457" s="27" t="n">
        <v>45855</v>
      </c>
      <c r="D1457" t="n">
        <v>0</v>
      </c>
      <c r="E1457" t="inlineStr">
        <is>
          <t>UBER</t>
        </is>
      </c>
    </row>
    <row r="1458">
      <c r="A1458" t="n">
        <v>128</v>
      </c>
      <c r="B1458" t="inlineStr">
        <is>
          <t>Love Cabaret</t>
        </is>
      </c>
      <c r="C1458" s="27" t="n">
        <v>45855</v>
      </c>
      <c r="D1458" t="n">
        <v>0</v>
      </c>
      <c r="E1458" t="inlineStr">
        <is>
          <t>RAPPI</t>
        </is>
      </c>
    </row>
    <row r="1459">
      <c r="A1459" t="n">
        <v>128</v>
      </c>
      <c r="B1459" t="inlineStr">
        <is>
          <t>Love Cabaret</t>
        </is>
      </c>
      <c r="C1459" s="27" t="n">
        <v>45855</v>
      </c>
      <c r="D1459" t="n">
        <v>1777.47</v>
      </c>
      <c r="E1459" t="inlineStr">
        <is>
          <t>PIX</t>
        </is>
      </c>
    </row>
    <row r="1460">
      <c r="A1460" t="n">
        <v>128</v>
      </c>
      <c r="B1460" t="inlineStr">
        <is>
          <t>Love Cabaret</t>
        </is>
      </c>
      <c r="C1460" s="27" t="n">
        <v>45855</v>
      </c>
      <c r="D1460" t="n">
        <v>0</v>
      </c>
      <c r="E1460" t="inlineStr">
        <is>
          <t>IFOOD</t>
        </is>
      </c>
    </row>
    <row r="1461">
      <c r="A1461" t="n">
        <v>128</v>
      </c>
      <c r="B1461" t="inlineStr">
        <is>
          <t>Love Cabaret</t>
        </is>
      </c>
      <c r="C1461" s="27" t="n">
        <v>45855</v>
      </c>
      <c r="D1461" t="n">
        <v>0</v>
      </c>
      <c r="E1461" t="inlineStr">
        <is>
          <t>DELIVERY ONLINE</t>
        </is>
      </c>
    </row>
    <row r="1462">
      <c r="A1462" t="n">
        <v>128</v>
      </c>
      <c r="B1462" t="inlineStr">
        <is>
          <t>Love Cabaret</t>
        </is>
      </c>
      <c r="C1462" s="27" t="n">
        <v>45855</v>
      </c>
      <c r="D1462" t="n">
        <v>0</v>
      </c>
      <c r="E1462" t="inlineStr">
        <is>
          <t>APP</t>
        </is>
      </c>
    </row>
    <row r="1463">
      <c r="A1463" t="n">
        <v>128</v>
      </c>
      <c r="B1463" t="inlineStr">
        <is>
          <t>Love Cabaret</t>
        </is>
      </c>
      <c r="C1463" s="27" t="n">
        <v>45855</v>
      </c>
      <c r="D1463" t="n">
        <v>358.48</v>
      </c>
      <c r="E1463" t="inlineStr">
        <is>
          <t>DINHEIRO</t>
        </is>
      </c>
    </row>
    <row r="1464">
      <c r="A1464" t="n">
        <v>128</v>
      </c>
      <c r="B1464" t="inlineStr">
        <is>
          <t>Love Cabaret</t>
        </is>
      </c>
      <c r="C1464" s="27" t="n">
        <v>45855</v>
      </c>
      <c r="D1464" t="n">
        <v>8783.389999999999</v>
      </c>
      <c r="E1464" t="inlineStr">
        <is>
          <t>CRÉDITO</t>
        </is>
      </c>
    </row>
    <row r="1465">
      <c r="A1465" t="n">
        <v>128</v>
      </c>
      <c r="B1465" t="inlineStr">
        <is>
          <t>Love Cabaret</t>
        </is>
      </c>
      <c r="C1465" s="27" t="n">
        <v>45850</v>
      </c>
      <c r="D1465" t="n">
        <v>0</v>
      </c>
      <c r="E1465" t="inlineStr">
        <is>
          <t>ANTECIPADO</t>
        </is>
      </c>
    </row>
    <row r="1466">
      <c r="A1466" t="n">
        <v>128</v>
      </c>
      <c r="B1466" t="inlineStr">
        <is>
          <t>Love Cabaret</t>
        </is>
      </c>
      <c r="C1466" s="27" t="n">
        <v>45850</v>
      </c>
      <c r="D1466" t="n">
        <v>0</v>
      </c>
      <c r="E1466" t="inlineStr">
        <is>
          <t>ANTECIPADO</t>
        </is>
      </c>
    </row>
    <row r="1467">
      <c r="A1467" t="n">
        <v>128</v>
      </c>
      <c r="B1467" t="inlineStr">
        <is>
          <t>Love Cabaret</t>
        </is>
      </c>
      <c r="C1467" s="27" t="n">
        <v>45850</v>
      </c>
      <c r="D1467" t="n">
        <v>0</v>
      </c>
      <c r="E1467" t="inlineStr">
        <is>
          <t>OUTROS</t>
        </is>
      </c>
    </row>
    <row r="1468">
      <c r="A1468" t="n">
        <v>128</v>
      </c>
      <c r="B1468" t="inlineStr">
        <is>
          <t>Love Cabaret</t>
        </is>
      </c>
      <c r="C1468" s="27" t="n">
        <v>45850</v>
      </c>
      <c r="D1468" t="n">
        <v>0</v>
      </c>
      <c r="E1468" t="inlineStr">
        <is>
          <t>AME</t>
        </is>
      </c>
    </row>
    <row r="1469">
      <c r="A1469" t="n">
        <v>128</v>
      </c>
      <c r="B1469" t="inlineStr">
        <is>
          <t>Love Cabaret</t>
        </is>
      </c>
      <c r="C1469" s="27" t="n">
        <v>45850</v>
      </c>
      <c r="D1469" t="n">
        <v>0</v>
      </c>
      <c r="E1469" t="inlineStr">
        <is>
          <t>NOTAS MANUAIS + SERVIÇO</t>
        </is>
      </c>
    </row>
    <row r="1470">
      <c r="A1470" t="n">
        <v>128</v>
      </c>
      <c r="B1470" t="inlineStr">
        <is>
          <t>Love Cabaret</t>
        </is>
      </c>
      <c r="C1470" s="27" t="n">
        <v>45850</v>
      </c>
      <c r="D1470" t="n">
        <v>0</v>
      </c>
      <c r="E1470" t="inlineStr">
        <is>
          <t>RECARGAS DEVOLVIDAS</t>
        </is>
      </c>
    </row>
    <row r="1471">
      <c r="A1471" t="n">
        <v>128</v>
      </c>
      <c r="B1471" t="inlineStr">
        <is>
          <t>Love Cabaret</t>
        </is>
      </c>
      <c r="C1471" s="27" t="n">
        <v>45850</v>
      </c>
      <c r="D1471" t="n">
        <v>0</v>
      </c>
      <c r="E1471" t="inlineStr">
        <is>
          <t>VOUCHER INTEGRADO</t>
        </is>
      </c>
    </row>
    <row r="1472">
      <c r="A1472" t="n">
        <v>128</v>
      </c>
      <c r="B1472" t="inlineStr">
        <is>
          <t>Love Cabaret</t>
        </is>
      </c>
      <c r="C1472" s="27" t="n">
        <v>45850</v>
      </c>
      <c r="D1472" t="n">
        <v>0</v>
      </c>
      <c r="E1472" t="inlineStr">
        <is>
          <t>MBWAY</t>
        </is>
      </c>
    </row>
    <row r="1473">
      <c r="A1473" t="n">
        <v>128</v>
      </c>
      <c r="B1473" t="inlineStr">
        <is>
          <t>Love Cabaret</t>
        </is>
      </c>
      <c r="C1473" s="27" t="n">
        <v>45850</v>
      </c>
      <c r="D1473" t="n">
        <v>4348.67</v>
      </c>
      <c r="E1473" t="inlineStr">
        <is>
          <t>DÉBITO</t>
        </is>
      </c>
    </row>
    <row r="1474">
      <c r="A1474" t="n">
        <v>128</v>
      </c>
      <c r="B1474" t="inlineStr">
        <is>
          <t>Love Cabaret</t>
        </is>
      </c>
      <c r="C1474" s="27" t="n">
        <v>45850</v>
      </c>
      <c r="D1474" t="n">
        <v>0</v>
      </c>
      <c r="E1474" t="inlineStr">
        <is>
          <t>VOUCHER</t>
        </is>
      </c>
    </row>
    <row r="1475">
      <c r="A1475" t="n">
        <v>128</v>
      </c>
      <c r="B1475" t="inlineStr">
        <is>
          <t>Love Cabaret</t>
        </is>
      </c>
      <c r="C1475" s="27" t="n">
        <v>45850</v>
      </c>
      <c r="D1475" t="n">
        <v>0</v>
      </c>
      <c r="E1475" t="inlineStr">
        <is>
          <t>BÔNUS</t>
        </is>
      </c>
    </row>
    <row r="1476">
      <c r="A1476" t="n">
        <v>128</v>
      </c>
      <c r="B1476" t="inlineStr">
        <is>
          <t>Love Cabaret</t>
        </is>
      </c>
      <c r="C1476" s="27" t="n">
        <v>45850</v>
      </c>
      <c r="D1476" t="n">
        <v>0</v>
      </c>
      <c r="E1476" t="inlineStr">
        <is>
          <t>UBER</t>
        </is>
      </c>
    </row>
    <row r="1477">
      <c r="A1477" t="n">
        <v>128</v>
      </c>
      <c r="B1477" t="inlineStr">
        <is>
          <t>Love Cabaret</t>
        </is>
      </c>
      <c r="C1477" s="27" t="n">
        <v>45850</v>
      </c>
      <c r="D1477" t="n">
        <v>0</v>
      </c>
      <c r="E1477" t="inlineStr">
        <is>
          <t>RAPPI</t>
        </is>
      </c>
    </row>
    <row r="1478">
      <c r="A1478" t="n">
        <v>128</v>
      </c>
      <c r="B1478" t="inlineStr">
        <is>
          <t>Love Cabaret</t>
        </is>
      </c>
      <c r="C1478" s="27" t="n">
        <v>45850</v>
      </c>
      <c r="D1478" t="n">
        <v>583.4299999999999</v>
      </c>
      <c r="E1478" t="inlineStr">
        <is>
          <t>PIX</t>
        </is>
      </c>
    </row>
    <row r="1479">
      <c r="A1479" t="n">
        <v>128</v>
      </c>
      <c r="B1479" t="inlineStr">
        <is>
          <t>Love Cabaret</t>
        </is>
      </c>
      <c r="C1479" s="27" t="n">
        <v>45850</v>
      </c>
      <c r="D1479" t="n">
        <v>0</v>
      </c>
      <c r="E1479" t="inlineStr">
        <is>
          <t>IFOOD</t>
        </is>
      </c>
    </row>
    <row r="1480">
      <c r="A1480" t="n">
        <v>128</v>
      </c>
      <c r="B1480" t="inlineStr">
        <is>
          <t>Love Cabaret</t>
        </is>
      </c>
      <c r="C1480" s="27" t="n">
        <v>45850</v>
      </c>
      <c r="D1480" t="n">
        <v>0</v>
      </c>
      <c r="E1480" t="inlineStr">
        <is>
          <t>DELIVERY ONLINE</t>
        </is>
      </c>
    </row>
    <row r="1481">
      <c r="A1481" t="n">
        <v>128</v>
      </c>
      <c r="B1481" t="inlineStr">
        <is>
          <t>Love Cabaret</t>
        </is>
      </c>
      <c r="C1481" s="27" t="n">
        <v>45850</v>
      </c>
      <c r="D1481" t="n">
        <v>0</v>
      </c>
      <c r="E1481" t="inlineStr">
        <is>
          <t>APP</t>
        </is>
      </c>
    </row>
    <row r="1482">
      <c r="A1482" t="n">
        <v>128</v>
      </c>
      <c r="B1482" t="inlineStr">
        <is>
          <t>Love Cabaret</t>
        </is>
      </c>
      <c r="C1482" s="27" t="n">
        <v>45850</v>
      </c>
      <c r="D1482" t="n">
        <v>0</v>
      </c>
      <c r="E1482" t="inlineStr">
        <is>
          <t>DINHEIRO</t>
        </is>
      </c>
    </row>
    <row r="1483">
      <c r="A1483" t="n">
        <v>128</v>
      </c>
      <c r="B1483" t="inlineStr">
        <is>
          <t>Love Cabaret</t>
        </is>
      </c>
      <c r="C1483" s="27" t="n">
        <v>45850</v>
      </c>
      <c r="D1483" t="n">
        <v>13400.96</v>
      </c>
      <c r="E1483" t="inlineStr">
        <is>
          <t>CRÉDITO</t>
        </is>
      </c>
    </row>
    <row r="1484">
      <c r="A1484" t="n">
        <v>128</v>
      </c>
      <c r="B1484" t="inlineStr">
        <is>
          <t>Love Cabaret</t>
        </is>
      </c>
      <c r="C1484" s="27" t="n">
        <v>45849</v>
      </c>
      <c r="D1484" t="n">
        <v>0</v>
      </c>
      <c r="E1484" t="inlineStr">
        <is>
          <t>DELIVERY ONLINE</t>
        </is>
      </c>
    </row>
    <row r="1485">
      <c r="A1485" t="n">
        <v>128</v>
      </c>
      <c r="B1485" t="inlineStr">
        <is>
          <t>Love Cabaret</t>
        </is>
      </c>
      <c r="C1485" s="27" t="n">
        <v>45849</v>
      </c>
      <c r="D1485" t="n">
        <v>0</v>
      </c>
      <c r="E1485" t="inlineStr">
        <is>
          <t>IFOOD</t>
        </is>
      </c>
    </row>
    <row r="1486">
      <c r="A1486" t="n">
        <v>128</v>
      </c>
      <c r="B1486" t="inlineStr">
        <is>
          <t>Love Cabaret</t>
        </is>
      </c>
      <c r="C1486" s="27" t="n">
        <v>45849</v>
      </c>
      <c r="D1486" t="n">
        <v>0</v>
      </c>
      <c r="E1486" t="inlineStr">
        <is>
          <t>MBWAY</t>
        </is>
      </c>
    </row>
    <row r="1487">
      <c r="A1487" t="n">
        <v>128</v>
      </c>
      <c r="B1487" t="inlineStr">
        <is>
          <t>Love Cabaret</t>
        </is>
      </c>
      <c r="C1487" s="27" t="n">
        <v>45849</v>
      </c>
      <c r="D1487" t="n">
        <v>0</v>
      </c>
      <c r="E1487" t="inlineStr">
        <is>
          <t>VOUCHER INTEGRADO</t>
        </is>
      </c>
    </row>
    <row r="1488">
      <c r="A1488" t="n">
        <v>128</v>
      </c>
      <c r="B1488" t="inlineStr">
        <is>
          <t>Love Cabaret</t>
        </is>
      </c>
      <c r="C1488" s="27" t="n">
        <v>45849</v>
      </c>
      <c r="D1488" t="n">
        <v>0</v>
      </c>
      <c r="E1488" t="inlineStr">
        <is>
          <t>RECARGAS DEVOLVIDAS</t>
        </is>
      </c>
    </row>
    <row r="1489">
      <c r="A1489" t="n">
        <v>128</v>
      </c>
      <c r="B1489" t="inlineStr">
        <is>
          <t>Love Cabaret</t>
        </is>
      </c>
      <c r="C1489" s="27" t="n">
        <v>45849</v>
      </c>
      <c r="D1489" t="n">
        <v>0</v>
      </c>
      <c r="E1489" t="inlineStr">
        <is>
          <t>NOTAS MANUAIS + SERVIÇO</t>
        </is>
      </c>
    </row>
    <row r="1490">
      <c r="A1490" t="n">
        <v>128</v>
      </c>
      <c r="B1490" t="inlineStr">
        <is>
          <t>Love Cabaret</t>
        </is>
      </c>
      <c r="C1490" s="27" t="n">
        <v>45849</v>
      </c>
      <c r="D1490" t="n">
        <v>0</v>
      </c>
      <c r="E1490" t="inlineStr">
        <is>
          <t>AME</t>
        </is>
      </c>
    </row>
    <row r="1491">
      <c r="A1491" t="n">
        <v>128</v>
      </c>
      <c r="B1491" t="inlineStr">
        <is>
          <t>Love Cabaret</t>
        </is>
      </c>
      <c r="C1491" s="27" t="n">
        <v>45849</v>
      </c>
      <c r="D1491" t="n">
        <v>0</v>
      </c>
      <c r="E1491" t="inlineStr">
        <is>
          <t>OUTROS</t>
        </is>
      </c>
    </row>
    <row r="1492">
      <c r="A1492" t="n">
        <v>128</v>
      </c>
      <c r="B1492" t="inlineStr">
        <is>
          <t>Love Cabaret</t>
        </is>
      </c>
      <c r="C1492" s="27" t="n">
        <v>45849</v>
      </c>
      <c r="D1492" t="n">
        <v>0</v>
      </c>
      <c r="E1492" t="inlineStr">
        <is>
          <t>ANTECIPADO</t>
        </is>
      </c>
    </row>
    <row r="1493">
      <c r="A1493" t="n">
        <v>128</v>
      </c>
      <c r="B1493" t="inlineStr">
        <is>
          <t>Love Cabaret</t>
        </is>
      </c>
      <c r="C1493" s="27" t="n">
        <v>45849</v>
      </c>
      <c r="D1493" t="n">
        <v>0</v>
      </c>
      <c r="E1493" t="inlineStr">
        <is>
          <t>BÔNUS</t>
        </is>
      </c>
    </row>
    <row r="1494">
      <c r="A1494" t="n">
        <v>128</v>
      </c>
      <c r="B1494" t="inlineStr">
        <is>
          <t>Love Cabaret</t>
        </is>
      </c>
      <c r="C1494" s="27" t="n">
        <v>45849</v>
      </c>
      <c r="D1494" t="n">
        <v>7966.52</v>
      </c>
      <c r="E1494" t="inlineStr">
        <is>
          <t>DÉBITO</t>
        </is>
      </c>
    </row>
    <row r="1495">
      <c r="A1495" t="n">
        <v>128</v>
      </c>
      <c r="B1495" t="inlineStr">
        <is>
          <t>Love Cabaret</t>
        </is>
      </c>
      <c r="C1495" s="27" t="n">
        <v>45849</v>
      </c>
      <c r="D1495" t="n">
        <v>0</v>
      </c>
      <c r="E1495" t="inlineStr">
        <is>
          <t>ANTECIPADO</t>
        </is>
      </c>
    </row>
    <row r="1496">
      <c r="A1496" t="n">
        <v>128</v>
      </c>
      <c r="B1496" t="inlineStr">
        <is>
          <t>Love Cabaret</t>
        </is>
      </c>
      <c r="C1496" s="27" t="n">
        <v>45849</v>
      </c>
      <c r="D1496" t="n">
        <v>0</v>
      </c>
      <c r="E1496" t="inlineStr">
        <is>
          <t>UBER</t>
        </is>
      </c>
    </row>
    <row r="1497">
      <c r="A1497" t="n">
        <v>128</v>
      </c>
      <c r="B1497" t="inlineStr">
        <is>
          <t>Love Cabaret</t>
        </is>
      </c>
      <c r="C1497" s="27" t="n">
        <v>45849</v>
      </c>
      <c r="D1497" t="n">
        <v>0</v>
      </c>
      <c r="E1497" t="inlineStr">
        <is>
          <t>RAPPI</t>
        </is>
      </c>
    </row>
    <row r="1498">
      <c r="A1498" t="n">
        <v>128</v>
      </c>
      <c r="B1498" t="inlineStr">
        <is>
          <t>Love Cabaret</t>
        </is>
      </c>
      <c r="C1498" s="27" t="n">
        <v>45849</v>
      </c>
      <c r="D1498" t="n">
        <v>1590.14</v>
      </c>
      <c r="E1498" t="inlineStr">
        <is>
          <t>PIX</t>
        </is>
      </c>
    </row>
    <row r="1499">
      <c r="A1499" t="n">
        <v>128</v>
      </c>
      <c r="B1499" t="inlineStr">
        <is>
          <t>Love Cabaret</t>
        </is>
      </c>
      <c r="C1499" s="27" t="n">
        <v>45849</v>
      </c>
      <c r="D1499" t="n">
        <v>17164.59</v>
      </c>
      <c r="E1499" t="inlineStr">
        <is>
          <t>CRÉDITO</t>
        </is>
      </c>
    </row>
    <row r="1500">
      <c r="A1500" t="n">
        <v>128</v>
      </c>
      <c r="B1500" t="inlineStr">
        <is>
          <t>Love Cabaret</t>
        </is>
      </c>
      <c r="C1500" s="27" t="n">
        <v>45849</v>
      </c>
      <c r="D1500" t="n">
        <v>105.09</v>
      </c>
      <c r="E1500" t="inlineStr">
        <is>
          <t>DINHEIRO</t>
        </is>
      </c>
    </row>
    <row r="1501">
      <c r="A1501" t="n">
        <v>128</v>
      </c>
      <c r="B1501" t="inlineStr">
        <is>
          <t>Love Cabaret</t>
        </is>
      </c>
      <c r="C1501" s="27" t="n">
        <v>45849</v>
      </c>
      <c r="D1501" t="n">
        <v>0</v>
      </c>
      <c r="E1501" t="inlineStr">
        <is>
          <t>APP</t>
        </is>
      </c>
    </row>
    <row r="1502">
      <c r="A1502" t="n">
        <v>128</v>
      </c>
      <c r="B1502" t="inlineStr">
        <is>
          <t>Love Cabaret</t>
        </is>
      </c>
      <c r="C1502" s="27" t="n">
        <v>45849</v>
      </c>
      <c r="D1502" t="n">
        <v>0</v>
      </c>
      <c r="E1502" t="inlineStr">
        <is>
          <t>VOUCHER</t>
        </is>
      </c>
    </row>
    <row r="1503">
      <c r="A1503" t="n">
        <v>128</v>
      </c>
      <c r="B1503" t="inlineStr">
        <is>
          <t>Love Cabaret</t>
        </is>
      </c>
      <c r="C1503" s="27" t="n">
        <v>45848</v>
      </c>
      <c r="D1503" t="n">
        <v>0</v>
      </c>
      <c r="E1503" t="inlineStr">
        <is>
          <t>VOUCHER</t>
        </is>
      </c>
    </row>
    <row r="1504">
      <c r="A1504" t="n">
        <v>128</v>
      </c>
      <c r="B1504" t="inlineStr">
        <is>
          <t>Love Cabaret</t>
        </is>
      </c>
      <c r="C1504" s="27" t="n">
        <v>45848</v>
      </c>
      <c r="D1504" t="n">
        <v>1042.96</v>
      </c>
      <c r="E1504" t="inlineStr">
        <is>
          <t>DÉBITO</t>
        </is>
      </c>
    </row>
    <row r="1505">
      <c r="A1505" t="n">
        <v>128</v>
      </c>
      <c r="B1505" t="inlineStr">
        <is>
          <t>Love Cabaret</t>
        </is>
      </c>
      <c r="C1505" s="27" t="n">
        <v>45848</v>
      </c>
      <c r="D1505" t="n">
        <v>0</v>
      </c>
      <c r="E1505" t="inlineStr">
        <is>
          <t>BÔNUS</t>
        </is>
      </c>
    </row>
    <row r="1506">
      <c r="A1506" t="n">
        <v>128</v>
      </c>
      <c r="B1506" t="inlineStr">
        <is>
          <t>Love Cabaret</t>
        </is>
      </c>
      <c r="C1506" s="27" t="n">
        <v>45848</v>
      </c>
      <c r="D1506" t="n">
        <v>0</v>
      </c>
      <c r="E1506" t="inlineStr">
        <is>
          <t>ANTECIPADO</t>
        </is>
      </c>
    </row>
    <row r="1507">
      <c r="A1507" t="n">
        <v>128</v>
      </c>
      <c r="B1507" t="inlineStr">
        <is>
          <t>Love Cabaret</t>
        </is>
      </c>
      <c r="C1507" s="27" t="n">
        <v>45848</v>
      </c>
      <c r="D1507" t="n">
        <v>0</v>
      </c>
      <c r="E1507" t="inlineStr">
        <is>
          <t>OUTROS</t>
        </is>
      </c>
    </row>
    <row r="1508">
      <c r="A1508" t="n">
        <v>128</v>
      </c>
      <c r="B1508" t="inlineStr">
        <is>
          <t>Love Cabaret</t>
        </is>
      </c>
      <c r="C1508" s="27" t="n">
        <v>45848</v>
      </c>
      <c r="D1508" t="n">
        <v>0</v>
      </c>
      <c r="E1508" t="inlineStr">
        <is>
          <t>MBWAY</t>
        </is>
      </c>
    </row>
    <row r="1509">
      <c r="A1509" t="n">
        <v>128</v>
      </c>
      <c r="B1509" t="inlineStr">
        <is>
          <t>Love Cabaret</t>
        </is>
      </c>
      <c r="C1509" s="27" t="n">
        <v>45848</v>
      </c>
      <c r="D1509" t="n">
        <v>0</v>
      </c>
      <c r="E1509" t="inlineStr">
        <is>
          <t>VOUCHER INTEGRADO</t>
        </is>
      </c>
    </row>
    <row r="1510">
      <c r="A1510" t="n">
        <v>128</v>
      </c>
      <c r="B1510" t="inlineStr">
        <is>
          <t>Love Cabaret</t>
        </is>
      </c>
      <c r="C1510" s="27" t="n">
        <v>45848</v>
      </c>
      <c r="D1510" t="n">
        <v>0</v>
      </c>
      <c r="E1510" t="inlineStr">
        <is>
          <t>RECARGAS DEVOLVIDAS</t>
        </is>
      </c>
    </row>
    <row r="1511">
      <c r="A1511" t="n">
        <v>128</v>
      </c>
      <c r="B1511" t="inlineStr">
        <is>
          <t>Love Cabaret</t>
        </is>
      </c>
      <c r="C1511" s="27" t="n">
        <v>45848</v>
      </c>
      <c r="D1511" t="n">
        <v>0</v>
      </c>
      <c r="E1511" t="inlineStr">
        <is>
          <t>NOTAS MANUAIS + SERVIÇO</t>
        </is>
      </c>
    </row>
    <row r="1512">
      <c r="A1512" t="n">
        <v>128</v>
      </c>
      <c r="B1512" t="inlineStr">
        <is>
          <t>Love Cabaret</t>
        </is>
      </c>
      <c r="C1512" s="27" t="n">
        <v>45848</v>
      </c>
      <c r="D1512" t="n">
        <v>0</v>
      </c>
      <c r="E1512" t="inlineStr">
        <is>
          <t>AME</t>
        </is>
      </c>
    </row>
    <row r="1513">
      <c r="A1513" t="n">
        <v>128</v>
      </c>
      <c r="B1513" t="inlineStr">
        <is>
          <t>Love Cabaret</t>
        </is>
      </c>
      <c r="C1513" s="27" t="n">
        <v>45848</v>
      </c>
      <c r="D1513" t="n">
        <v>0</v>
      </c>
      <c r="E1513" t="inlineStr">
        <is>
          <t>ANTECIPADO</t>
        </is>
      </c>
    </row>
    <row r="1514">
      <c r="A1514" t="n">
        <v>128</v>
      </c>
      <c r="B1514" t="inlineStr">
        <is>
          <t>Love Cabaret</t>
        </is>
      </c>
      <c r="C1514" s="27" t="n">
        <v>45848</v>
      </c>
      <c r="D1514" t="n">
        <v>0</v>
      </c>
      <c r="E1514" t="inlineStr">
        <is>
          <t>UBER</t>
        </is>
      </c>
    </row>
    <row r="1515">
      <c r="A1515" t="n">
        <v>128</v>
      </c>
      <c r="B1515" t="inlineStr">
        <is>
          <t>Love Cabaret</t>
        </is>
      </c>
      <c r="C1515" s="27" t="n">
        <v>45848</v>
      </c>
      <c r="D1515" t="n">
        <v>0</v>
      </c>
      <c r="E1515" t="inlineStr">
        <is>
          <t>RAPPI</t>
        </is>
      </c>
    </row>
    <row r="1516">
      <c r="A1516" t="n">
        <v>128</v>
      </c>
      <c r="B1516" t="inlineStr">
        <is>
          <t>Love Cabaret</t>
        </is>
      </c>
      <c r="C1516" s="27" t="n">
        <v>45848</v>
      </c>
      <c r="D1516" t="n">
        <v>569.27</v>
      </c>
      <c r="E1516" t="inlineStr">
        <is>
          <t>PIX</t>
        </is>
      </c>
    </row>
    <row r="1517">
      <c r="A1517" t="n">
        <v>128</v>
      </c>
      <c r="B1517" t="inlineStr">
        <is>
          <t>Love Cabaret</t>
        </is>
      </c>
      <c r="C1517" s="27" t="n">
        <v>45848</v>
      </c>
      <c r="D1517" t="n">
        <v>0</v>
      </c>
      <c r="E1517" t="inlineStr">
        <is>
          <t>IFOOD</t>
        </is>
      </c>
    </row>
    <row r="1518">
      <c r="A1518" t="n">
        <v>128</v>
      </c>
      <c r="B1518" t="inlineStr">
        <is>
          <t>Love Cabaret</t>
        </is>
      </c>
      <c r="C1518" s="27" t="n">
        <v>45848</v>
      </c>
      <c r="D1518" t="n">
        <v>0</v>
      </c>
      <c r="E1518" t="inlineStr">
        <is>
          <t>DELIVERY ONLINE</t>
        </is>
      </c>
    </row>
    <row r="1519">
      <c r="A1519" t="n">
        <v>128</v>
      </c>
      <c r="B1519" t="inlineStr">
        <is>
          <t>Love Cabaret</t>
        </is>
      </c>
      <c r="C1519" s="27" t="n">
        <v>45848</v>
      </c>
      <c r="D1519" t="n">
        <v>0</v>
      </c>
      <c r="E1519" t="inlineStr">
        <is>
          <t>APP</t>
        </is>
      </c>
    </row>
    <row r="1520">
      <c r="A1520" t="n">
        <v>128</v>
      </c>
      <c r="B1520" t="inlineStr">
        <is>
          <t>Love Cabaret</t>
        </is>
      </c>
      <c r="C1520" s="27" t="n">
        <v>45848</v>
      </c>
      <c r="D1520" t="n">
        <v>57.63</v>
      </c>
      <c r="E1520" t="inlineStr">
        <is>
          <t>DINHEIRO</t>
        </is>
      </c>
    </row>
    <row r="1521">
      <c r="A1521" t="n">
        <v>128</v>
      </c>
      <c r="B1521" t="inlineStr">
        <is>
          <t>Love Cabaret</t>
        </is>
      </c>
      <c r="C1521" s="27" t="n">
        <v>45848</v>
      </c>
      <c r="D1521" t="n">
        <v>3660.32</v>
      </c>
      <c r="E1521" t="inlineStr">
        <is>
          <t>CRÉDITO</t>
        </is>
      </c>
    </row>
    <row r="1522">
      <c r="A1522" t="n">
        <v>128</v>
      </c>
      <c r="B1522" t="inlineStr">
        <is>
          <t>Love Cabaret</t>
        </is>
      </c>
      <c r="C1522" s="27" t="n">
        <v>45843</v>
      </c>
      <c r="D1522" t="n">
        <v>6739.95</v>
      </c>
      <c r="E1522" t="inlineStr">
        <is>
          <t>DÉBITO</t>
        </is>
      </c>
    </row>
    <row r="1523">
      <c r="A1523" t="n">
        <v>128</v>
      </c>
      <c r="B1523" t="inlineStr">
        <is>
          <t>Love Cabaret</t>
        </is>
      </c>
      <c r="C1523" s="27" t="n">
        <v>45843</v>
      </c>
      <c r="D1523" t="n">
        <v>0</v>
      </c>
      <c r="E1523" t="inlineStr">
        <is>
          <t>APP</t>
        </is>
      </c>
    </row>
    <row r="1524">
      <c r="A1524" t="n">
        <v>128</v>
      </c>
      <c r="B1524" t="inlineStr">
        <is>
          <t>Love Cabaret</t>
        </is>
      </c>
      <c r="C1524" s="27" t="n">
        <v>45843</v>
      </c>
      <c r="D1524" t="n">
        <v>964.6799999999999</v>
      </c>
      <c r="E1524" t="inlineStr">
        <is>
          <t>DINHEIRO</t>
        </is>
      </c>
    </row>
    <row r="1525">
      <c r="A1525" t="n">
        <v>128</v>
      </c>
      <c r="B1525" t="inlineStr">
        <is>
          <t>Love Cabaret</t>
        </is>
      </c>
      <c r="C1525" s="27" t="n">
        <v>45843</v>
      </c>
      <c r="D1525" t="n">
        <v>20951.86</v>
      </c>
      <c r="E1525" t="inlineStr">
        <is>
          <t>CRÉDITO</t>
        </is>
      </c>
    </row>
    <row r="1526">
      <c r="A1526" t="n">
        <v>128</v>
      </c>
      <c r="B1526" t="inlineStr">
        <is>
          <t>Love Cabaret</t>
        </is>
      </c>
      <c r="C1526" s="27" t="n">
        <v>45843</v>
      </c>
      <c r="D1526" t="n">
        <v>0</v>
      </c>
      <c r="E1526" t="inlineStr">
        <is>
          <t>DELIVERY ONLINE</t>
        </is>
      </c>
    </row>
    <row r="1527">
      <c r="A1527" t="n">
        <v>128</v>
      </c>
      <c r="B1527" t="inlineStr">
        <is>
          <t>Love Cabaret</t>
        </is>
      </c>
      <c r="C1527" s="27" t="n">
        <v>45843</v>
      </c>
      <c r="D1527" t="n">
        <v>0</v>
      </c>
      <c r="E1527" t="inlineStr">
        <is>
          <t>IFOOD</t>
        </is>
      </c>
    </row>
    <row r="1528">
      <c r="A1528" t="n">
        <v>128</v>
      </c>
      <c r="B1528" t="inlineStr">
        <is>
          <t>Love Cabaret</t>
        </is>
      </c>
      <c r="C1528" s="27" t="n">
        <v>45843</v>
      </c>
      <c r="D1528" t="n">
        <v>492.9</v>
      </c>
      <c r="E1528" t="inlineStr">
        <is>
          <t>PIX</t>
        </is>
      </c>
    </row>
    <row r="1529">
      <c r="A1529" t="n">
        <v>128</v>
      </c>
      <c r="B1529" t="inlineStr">
        <is>
          <t>Love Cabaret</t>
        </is>
      </c>
      <c r="C1529" s="27" t="n">
        <v>45843</v>
      </c>
      <c r="D1529" t="n">
        <v>0</v>
      </c>
      <c r="E1529" t="inlineStr">
        <is>
          <t>RAPPI</t>
        </is>
      </c>
    </row>
    <row r="1530">
      <c r="A1530" t="n">
        <v>128</v>
      </c>
      <c r="B1530" t="inlineStr">
        <is>
          <t>Love Cabaret</t>
        </is>
      </c>
      <c r="C1530" s="27" t="n">
        <v>45843</v>
      </c>
      <c r="D1530" t="n">
        <v>0</v>
      </c>
      <c r="E1530" t="inlineStr">
        <is>
          <t>UBER</t>
        </is>
      </c>
    </row>
    <row r="1531">
      <c r="A1531" t="n">
        <v>128</v>
      </c>
      <c r="B1531" t="inlineStr">
        <is>
          <t>Love Cabaret</t>
        </is>
      </c>
      <c r="C1531" s="27" t="n">
        <v>45843</v>
      </c>
      <c r="D1531" t="n">
        <v>0</v>
      </c>
      <c r="E1531" t="inlineStr">
        <is>
          <t>ANTECIPADO</t>
        </is>
      </c>
    </row>
    <row r="1532">
      <c r="A1532" t="n">
        <v>128</v>
      </c>
      <c r="B1532" t="inlineStr">
        <is>
          <t>Love Cabaret</t>
        </is>
      </c>
      <c r="C1532" s="27" t="n">
        <v>45843</v>
      </c>
      <c r="D1532" t="n">
        <v>0</v>
      </c>
      <c r="E1532" t="inlineStr">
        <is>
          <t>VOUCHER</t>
        </is>
      </c>
    </row>
    <row r="1533">
      <c r="A1533" t="n">
        <v>128</v>
      </c>
      <c r="B1533" t="inlineStr">
        <is>
          <t>Love Cabaret</t>
        </is>
      </c>
      <c r="C1533" s="27" t="n">
        <v>45843</v>
      </c>
      <c r="D1533" t="n">
        <v>0</v>
      </c>
      <c r="E1533" t="inlineStr">
        <is>
          <t>BÔNUS</t>
        </is>
      </c>
    </row>
    <row r="1534">
      <c r="A1534" t="n">
        <v>128</v>
      </c>
      <c r="B1534" t="inlineStr">
        <is>
          <t>Love Cabaret</t>
        </is>
      </c>
      <c r="C1534" s="27" t="n">
        <v>45843</v>
      </c>
      <c r="D1534" t="n">
        <v>0</v>
      </c>
      <c r="E1534" t="inlineStr">
        <is>
          <t>ANTECIPADO</t>
        </is>
      </c>
    </row>
    <row r="1535">
      <c r="A1535" t="n">
        <v>128</v>
      </c>
      <c r="B1535" t="inlineStr">
        <is>
          <t>Love Cabaret</t>
        </is>
      </c>
      <c r="C1535" s="27" t="n">
        <v>45843</v>
      </c>
      <c r="D1535" t="n">
        <v>0</v>
      </c>
      <c r="E1535" t="inlineStr">
        <is>
          <t>OUTROS</t>
        </is>
      </c>
    </row>
    <row r="1536">
      <c r="A1536" t="n">
        <v>128</v>
      </c>
      <c r="B1536" t="inlineStr">
        <is>
          <t>Love Cabaret</t>
        </is>
      </c>
      <c r="C1536" s="27" t="n">
        <v>45843</v>
      </c>
      <c r="D1536" t="n">
        <v>0</v>
      </c>
      <c r="E1536" t="inlineStr">
        <is>
          <t>AME</t>
        </is>
      </c>
    </row>
    <row r="1537">
      <c r="A1537" t="n">
        <v>128</v>
      </c>
      <c r="B1537" t="inlineStr">
        <is>
          <t>Love Cabaret</t>
        </is>
      </c>
      <c r="C1537" s="27" t="n">
        <v>45843</v>
      </c>
      <c r="D1537" t="n">
        <v>0</v>
      </c>
      <c r="E1537" t="inlineStr">
        <is>
          <t>NOTAS MANUAIS + SERVIÇO</t>
        </is>
      </c>
    </row>
    <row r="1538">
      <c r="A1538" t="n">
        <v>128</v>
      </c>
      <c r="B1538" t="inlineStr">
        <is>
          <t>Love Cabaret</t>
        </is>
      </c>
      <c r="C1538" s="27" t="n">
        <v>45843</v>
      </c>
      <c r="D1538" t="n">
        <v>0</v>
      </c>
      <c r="E1538" t="inlineStr">
        <is>
          <t>RECARGAS DEVOLVIDAS</t>
        </is>
      </c>
    </row>
    <row r="1539">
      <c r="A1539" t="n">
        <v>128</v>
      </c>
      <c r="B1539" t="inlineStr">
        <is>
          <t>Love Cabaret</t>
        </is>
      </c>
      <c r="C1539" s="27" t="n">
        <v>45843</v>
      </c>
      <c r="D1539" t="n">
        <v>0</v>
      </c>
      <c r="E1539" t="inlineStr">
        <is>
          <t>VOUCHER INTEGRADO</t>
        </is>
      </c>
    </row>
    <row r="1540">
      <c r="A1540" t="n">
        <v>128</v>
      </c>
      <c r="B1540" t="inlineStr">
        <is>
          <t>Love Cabaret</t>
        </is>
      </c>
      <c r="C1540" s="27" t="n">
        <v>45843</v>
      </c>
      <c r="D1540" t="n">
        <v>0</v>
      </c>
      <c r="E1540" t="inlineStr">
        <is>
          <t>MBWAY</t>
        </is>
      </c>
    </row>
    <row r="1541">
      <c r="A1541" t="n">
        <v>128</v>
      </c>
      <c r="B1541" t="inlineStr">
        <is>
          <t>Love Cabaret</t>
        </is>
      </c>
      <c r="C1541" s="27" t="n">
        <v>45841</v>
      </c>
      <c r="D1541" t="n">
        <v>0</v>
      </c>
      <c r="E1541" t="inlineStr">
        <is>
          <t>RAPPI</t>
        </is>
      </c>
    </row>
    <row r="1542">
      <c r="A1542" t="n">
        <v>128</v>
      </c>
      <c r="B1542" t="inlineStr">
        <is>
          <t>Love Cabaret</t>
        </is>
      </c>
      <c r="C1542" s="27" t="n">
        <v>45841</v>
      </c>
      <c r="D1542" t="n">
        <v>2025.94</v>
      </c>
      <c r="E1542" t="inlineStr">
        <is>
          <t>DÉBITO</t>
        </is>
      </c>
    </row>
    <row r="1543">
      <c r="A1543" t="n">
        <v>128</v>
      </c>
      <c r="B1543" t="inlineStr">
        <is>
          <t>Love Cabaret</t>
        </is>
      </c>
      <c r="C1543" s="27" t="n">
        <v>45841</v>
      </c>
      <c r="D1543" t="n">
        <v>0</v>
      </c>
      <c r="E1543" t="inlineStr">
        <is>
          <t>MBWAY</t>
        </is>
      </c>
    </row>
    <row r="1544">
      <c r="A1544" t="n">
        <v>128</v>
      </c>
      <c r="B1544" t="inlineStr">
        <is>
          <t>Love Cabaret</t>
        </is>
      </c>
      <c r="C1544" s="27" t="n">
        <v>45841</v>
      </c>
      <c r="D1544" t="n">
        <v>0</v>
      </c>
      <c r="E1544" t="inlineStr">
        <is>
          <t>VOUCHER INTEGRADO</t>
        </is>
      </c>
    </row>
    <row r="1545">
      <c r="A1545" t="n">
        <v>128</v>
      </c>
      <c r="B1545" t="inlineStr">
        <is>
          <t>Love Cabaret</t>
        </is>
      </c>
      <c r="C1545" s="27" t="n">
        <v>45841</v>
      </c>
      <c r="D1545" t="n">
        <v>0</v>
      </c>
      <c r="E1545" t="inlineStr">
        <is>
          <t>RECARGAS DEVOLVIDAS</t>
        </is>
      </c>
    </row>
    <row r="1546">
      <c r="A1546" t="n">
        <v>128</v>
      </c>
      <c r="B1546" t="inlineStr">
        <is>
          <t>Love Cabaret</t>
        </is>
      </c>
      <c r="C1546" s="27" t="n">
        <v>45841</v>
      </c>
      <c r="D1546" t="n">
        <v>0</v>
      </c>
      <c r="E1546" t="inlineStr">
        <is>
          <t>NOTAS MANUAIS + SERVIÇO</t>
        </is>
      </c>
    </row>
    <row r="1547">
      <c r="A1547" t="n">
        <v>128</v>
      </c>
      <c r="B1547" t="inlineStr">
        <is>
          <t>Love Cabaret</t>
        </is>
      </c>
      <c r="C1547" s="27" t="n">
        <v>45841</v>
      </c>
      <c r="D1547" t="n">
        <v>0</v>
      </c>
      <c r="E1547" t="inlineStr">
        <is>
          <t>AME</t>
        </is>
      </c>
    </row>
    <row r="1548">
      <c r="A1548" t="n">
        <v>128</v>
      </c>
      <c r="B1548" t="inlineStr">
        <is>
          <t>Love Cabaret</t>
        </is>
      </c>
      <c r="C1548" s="27" t="n">
        <v>45841</v>
      </c>
      <c r="D1548" t="n">
        <v>0</v>
      </c>
      <c r="E1548" t="inlineStr">
        <is>
          <t>OUTROS</t>
        </is>
      </c>
    </row>
    <row r="1549">
      <c r="A1549" t="n">
        <v>128</v>
      </c>
      <c r="B1549" t="inlineStr">
        <is>
          <t>Love Cabaret</t>
        </is>
      </c>
      <c r="C1549" s="27" t="n">
        <v>45841</v>
      </c>
      <c r="D1549" t="n">
        <v>0</v>
      </c>
      <c r="E1549" t="inlineStr">
        <is>
          <t>ANTECIPADO</t>
        </is>
      </c>
    </row>
    <row r="1550">
      <c r="A1550" t="n">
        <v>128</v>
      </c>
      <c r="B1550" t="inlineStr">
        <is>
          <t>Love Cabaret</t>
        </is>
      </c>
      <c r="C1550" s="27" t="n">
        <v>45841</v>
      </c>
      <c r="D1550" t="n">
        <v>0</v>
      </c>
      <c r="E1550" t="inlineStr">
        <is>
          <t>BÔNUS</t>
        </is>
      </c>
    </row>
    <row r="1551">
      <c r="A1551" t="n">
        <v>128</v>
      </c>
      <c r="B1551" t="inlineStr">
        <is>
          <t>Love Cabaret</t>
        </is>
      </c>
      <c r="C1551" s="27" t="n">
        <v>45841</v>
      </c>
      <c r="D1551" t="n">
        <v>2953.46</v>
      </c>
      <c r="E1551" t="inlineStr">
        <is>
          <t>CRÉDITO</t>
        </is>
      </c>
    </row>
    <row r="1552">
      <c r="A1552" t="n">
        <v>128</v>
      </c>
      <c r="B1552" t="inlineStr">
        <is>
          <t>Love Cabaret</t>
        </is>
      </c>
      <c r="C1552" s="27" t="n">
        <v>45841</v>
      </c>
      <c r="D1552" t="n">
        <v>0</v>
      </c>
      <c r="E1552" t="inlineStr">
        <is>
          <t>VOUCHER</t>
        </is>
      </c>
    </row>
    <row r="1553">
      <c r="A1553" t="n">
        <v>128</v>
      </c>
      <c r="B1553" t="inlineStr">
        <is>
          <t>Love Cabaret</t>
        </is>
      </c>
      <c r="C1553" s="27" t="n">
        <v>45841</v>
      </c>
      <c r="D1553" t="n">
        <v>0</v>
      </c>
      <c r="E1553" t="inlineStr">
        <is>
          <t>ANTECIPADO</t>
        </is>
      </c>
    </row>
    <row r="1554">
      <c r="A1554" t="n">
        <v>128</v>
      </c>
      <c r="B1554" t="inlineStr">
        <is>
          <t>Love Cabaret</t>
        </is>
      </c>
      <c r="C1554" s="27" t="n">
        <v>45841</v>
      </c>
      <c r="D1554" t="n">
        <v>0</v>
      </c>
      <c r="E1554" t="inlineStr">
        <is>
          <t>UBER</t>
        </is>
      </c>
    </row>
    <row r="1555">
      <c r="A1555" t="n">
        <v>128</v>
      </c>
      <c r="B1555" t="inlineStr">
        <is>
          <t>Love Cabaret</t>
        </is>
      </c>
      <c r="C1555" s="27" t="n">
        <v>45841</v>
      </c>
      <c r="D1555" t="n">
        <v>63.28</v>
      </c>
      <c r="E1555" t="inlineStr">
        <is>
          <t>PIX</t>
        </is>
      </c>
    </row>
    <row r="1556">
      <c r="A1556" t="n">
        <v>128</v>
      </c>
      <c r="B1556" t="inlineStr">
        <is>
          <t>Love Cabaret</t>
        </is>
      </c>
      <c r="C1556" s="27" t="n">
        <v>45841</v>
      </c>
      <c r="D1556" t="n">
        <v>0</v>
      </c>
      <c r="E1556" t="inlineStr">
        <is>
          <t>IFOOD</t>
        </is>
      </c>
    </row>
    <row r="1557">
      <c r="A1557" t="n">
        <v>128</v>
      </c>
      <c r="B1557" t="inlineStr">
        <is>
          <t>Love Cabaret</t>
        </is>
      </c>
      <c r="C1557" s="27" t="n">
        <v>45841</v>
      </c>
      <c r="D1557" t="n">
        <v>0</v>
      </c>
      <c r="E1557" t="inlineStr">
        <is>
          <t>DELIVERY ONLINE</t>
        </is>
      </c>
    </row>
    <row r="1558">
      <c r="A1558" t="n">
        <v>128</v>
      </c>
      <c r="B1558" t="inlineStr">
        <is>
          <t>Love Cabaret</t>
        </is>
      </c>
      <c r="C1558" s="27" t="n">
        <v>45841</v>
      </c>
      <c r="D1558" t="n">
        <v>0</v>
      </c>
      <c r="E1558" t="inlineStr">
        <is>
          <t>APP</t>
        </is>
      </c>
    </row>
    <row r="1559">
      <c r="A1559" t="n">
        <v>128</v>
      </c>
      <c r="B1559" t="inlineStr">
        <is>
          <t>Love Cabaret</t>
        </is>
      </c>
      <c r="C1559" s="27" t="n">
        <v>45841</v>
      </c>
      <c r="D1559" t="n">
        <v>198.88</v>
      </c>
      <c r="E1559" t="inlineStr">
        <is>
          <t>DINHEIRO</t>
        </is>
      </c>
    </row>
    <row r="1560">
      <c r="A1560" t="n">
        <v>128</v>
      </c>
      <c r="B1560" t="inlineStr">
        <is>
          <t>Love Cabaret</t>
        </is>
      </c>
      <c r="C1560" s="27" t="n">
        <v>45836</v>
      </c>
      <c r="D1560" t="n">
        <v>0</v>
      </c>
      <c r="E1560" t="inlineStr">
        <is>
          <t>VOUCHER INTEGRADO</t>
        </is>
      </c>
    </row>
    <row r="1561">
      <c r="A1561" t="n">
        <v>128</v>
      </c>
      <c r="B1561" t="inlineStr">
        <is>
          <t>Love Cabaret</t>
        </is>
      </c>
      <c r="C1561" s="27" t="n">
        <v>45836</v>
      </c>
      <c r="D1561" t="n">
        <v>0</v>
      </c>
      <c r="E1561" t="inlineStr">
        <is>
          <t>MBWAY</t>
        </is>
      </c>
    </row>
    <row r="1562">
      <c r="A1562" t="n">
        <v>128</v>
      </c>
      <c r="B1562" t="inlineStr">
        <is>
          <t>Love Cabaret</t>
        </is>
      </c>
      <c r="C1562" s="27" t="n">
        <v>45836</v>
      </c>
      <c r="D1562" t="n">
        <v>0</v>
      </c>
      <c r="E1562" t="inlineStr">
        <is>
          <t>RECARGAS DEVOLVIDAS</t>
        </is>
      </c>
    </row>
    <row r="1563">
      <c r="A1563" t="n">
        <v>128</v>
      </c>
      <c r="B1563" t="inlineStr">
        <is>
          <t>Love Cabaret</t>
        </is>
      </c>
      <c r="C1563" s="27" t="n">
        <v>45836</v>
      </c>
      <c r="D1563" t="n">
        <v>0</v>
      </c>
      <c r="E1563" t="inlineStr">
        <is>
          <t>NOTAS MANUAIS + SERVIÇO</t>
        </is>
      </c>
    </row>
    <row r="1564">
      <c r="A1564" t="n">
        <v>128</v>
      </c>
      <c r="B1564" t="inlineStr">
        <is>
          <t>Love Cabaret</t>
        </is>
      </c>
      <c r="C1564" s="27" t="n">
        <v>45836</v>
      </c>
      <c r="D1564" t="n">
        <v>0</v>
      </c>
      <c r="E1564" t="inlineStr">
        <is>
          <t>AME</t>
        </is>
      </c>
    </row>
    <row r="1565">
      <c r="A1565" t="n">
        <v>128</v>
      </c>
      <c r="B1565" t="inlineStr">
        <is>
          <t>Love Cabaret</t>
        </is>
      </c>
      <c r="C1565" s="27" t="n">
        <v>45836</v>
      </c>
      <c r="D1565" t="n">
        <v>0</v>
      </c>
      <c r="E1565" t="inlineStr">
        <is>
          <t>OUTROS</t>
        </is>
      </c>
    </row>
    <row r="1566">
      <c r="A1566" t="n">
        <v>128</v>
      </c>
      <c r="B1566" t="inlineStr">
        <is>
          <t>Love Cabaret</t>
        </is>
      </c>
      <c r="C1566" s="27" t="n">
        <v>45836</v>
      </c>
      <c r="D1566" t="n">
        <v>0</v>
      </c>
      <c r="E1566" t="inlineStr">
        <is>
          <t>ANTECIPADO</t>
        </is>
      </c>
    </row>
    <row r="1567">
      <c r="A1567" t="n">
        <v>128</v>
      </c>
      <c r="B1567" t="inlineStr">
        <is>
          <t>Love Cabaret</t>
        </is>
      </c>
      <c r="C1567" s="27" t="n">
        <v>45836</v>
      </c>
      <c r="D1567" t="n">
        <v>0</v>
      </c>
      <c r="E1567" t="inlineStr">
        <is>
          <t>BÔNUS</t>
        </is>
      </c>
    </row>
    <row r="1568">
      <c r="A1568" t="n">
        <v>128</v>
      </c>
      <c r="B1568" t="inlineStr">
        <is>
          <t>Love Cabaret</t>
        </is>
      </c>
      <c r="C1568" s="27" t="n">
        <v>45836</v>
      </c>
      <c r="D1568" t="n">
        <v>3497.82</v>
      </c>
      <c r="E1568" t="inlineStr">
        <is>
          <t>DÉBITO</t>
        </is>
      </c>
    </row>
    <row r="1569">
      <c r="A1569" t="n">
        <v>128</v>
      </c>
      <c r="B1569" t="inlineStr">
        <is>
          <t>Love Cabaret</t>
        </is>
      </c>
      <c r="C1569" s="27" t="n">
        <v>45836</v>
      </c>
      <c r="D1569" t="n">
        <v>0</v>
      </c>
      <c r="E1569" t="inlineStr">
        <is>
          <t>VOUCHER</t>
        </is>
      </c>
    </row>
    <row r="1570">
      <c r="A1570" t="n">
        <v>128</v>
      </c>
      <c r="B1570" t="inlineStr">
        <is>
          <t>Love Cabaret</t>
        </is>
      </c>
      <c r="C1570" s="27" t="n">
        <v>45836</v>
      </c>
      <c r="D1570" t="n">
        <v>0</v>
      </c>
      <c r="E1570" t="inlineStr">
        <is>
          <t>UBER</t>
        </is>
      </c>
    </row>
    <row r="1571">
      <c r="A1571" t="n">
        <v>128</v>
      </c>
      <c r="B1571" t="inlineStr">
        <is>
          <t>Love Cabaret</t>
        </is>
      </c>
      <c r="C1571" s="27" t="n">
        <v>45836</v>
      </c>
      <c r="D1571" t="n">
        <v>0</v>
      </c>
      <c r="E1571" t="inlineStr">
        <is>
          <t>ANTECIPADO</t>
        </is>
      </c>
    </row>
    <row r="1572">
      <c r="A1572" t="n">
        <v>128</v>
      </c>
      <c r="B1572" t="inlineStr">
        <is>
          <t>Love Cabaret</t>
        </is>
      </c>
      <c r="C1572" s="27" t="n">
        <v>45836</v>
      </c>
      <c r="D1572" t="n">
        <v>8830.059999999999</v>
      </c>
      <c r="E1572" t="inlineStr">
        <is>
          <t>CRÉDITO</t>
        </is>
      </c>
    </row>
    <row r="1573">
      <c r="A1573" t="n">
        <v>128</v>
      </c>
      <c r="B1573" t="inlineStr">
        <is>
          <t>Love Cabaret</t>
        </is>
      </c>
      <c r="C1573" s="27" t="n">
        <v>45836</v>
      </c>
      <c r="D1573" t="n">
        <v>400</v>
      </c>
      <c r="E1573" t="inlineStr">
        <is>
          <t>DINHEIRO</t>
        </is>
      </c>
    </row>
    <row r="1574">
      <c r="A1574" t="n">
        <v>128</v>
      </c>
      <c r="B1574" t="inlineStr">
        <is>
          <t>Love Cabaret</t>
        </is>
      </c>
      <c r="C1574" s="27" t="n">
        <v>45836</v>
      </c>
      <c r="D1574" t="n">
        <v>0</v>
      </c>
      <c r="E1574" t="inlineStr">
        <is>
          <t>APP</t>
        </is>
      </c>
    </row>
    <row r="1575">
      <c r="A1575" t="n">
        <v>128</v>
      </c>
      <c r="B1575" t="inlineStr">
        <is>
          <t>Love Cabaret</t>
        </is>
      </c>
      <c r="C1575" s="27" t="n">
        <v>45836</v>
      </c>
      <c r="D1575" t="n">
        <v>0</v>
      </c>
      <c r="E1575" t="inlineStr">
        <is>
          <t>DELIVERY ONLINE</t>
        </is>
      </c>
    </row>
    <row r="1576">
      <c r="A1576" t="n">
        <v>128</v>
      </c>
      <c r="B1576" t="inlineStr">
        <is>
          <t>Love Cabaret</t>
        </is>
      </c>
      <c r="C1576" s="27" t="n">
        <v>45836</v>
      </c>
      <c r="D1576" t="n">
        <v>0</v>
      </c>
      <c r="E1576" t="inlineStr">
        <is>
          <t>IFOOD</t>
        </is>
      </c>
    </row>
    <row r="1577">
      <c r="A1577" t="n">
        <v>128</v>
      </c>
      <c r="B1577" t="inlineStr">
        <is>
          <t>Love Cabaret</t>
        </is>
      </c>
      <c r="C1577" s="27" t="n">
        <v>45836</v>
      </c>
      <c r="D1577" t="n">
        <v>1169.93</v>
      </c>
      <c r="E1577" t="inlineStr">
        <is>
          <t>PIX</t>
        </is>
      </c>
    </row>
    <row r="1578">
      <c r="A1578" t="n">
        <v>128</v>
      </c>
      <c r="B1578" t="inlineStr">
        <is>
          <t>Love Cabaret</t>
        </is>
      </c>
      <c r="C1578" s="27" t="n">
        <v>45836</v>
      </c>
      <c r="D1578" t="n">
        <v>0</v>
      </c>
      <c r="E1578" t="inlineStr">
        <is>
          <t>RAPPI</t>
        </is>
      </c>
    </row>
    <row r="1579">
      <c r="A1579" t="n">
        <v>128</v>
      </c>
      <c r="B1579" t="inlineStr">
        <is>
          <t>Love Cabaret</t>
        </is>
      </c>
      <c r="C1579" s="27" t="n">
        <v>45835</v>
      </c>
      <c r="D1579" t="n">
        <v>0</v>
      </c>
      <c r="E1579" t="inlineStr">
        <is>
          <t>MBWAY</t>
        </is>
      </c>
    </row>
    <row r="1580">
      <c r="A1580" t="n">
        <v>128</v>
      </c>
      <c r="B1580" t="inlineStr">
        <is>
          <t>Love Cabaret</t>
        </is>
      </c>
      <c r="C1580" s="27" t="n">
        <v>45835</v>
      </c>
      <c r="D1580" t="n">
        <v>0</v>
      </c>
      <c r="E1580" t="inlineStr">
        <is>
          <t>VOUCHER INTEGRADO</t>
        </is>
      </c>
    </row>
    <row r="1581">
      <c r="A1581" t="n">
        <v>128</v>
      </c>
      <c r="B1581" t="inlineStr">
        <is>
          <t>Love Cabaret</t>
        </is>
      </c>
      <c r="C1581" s="27" t="n">
        <v>45835</v>
      </c>
      <c r="D1581" t="n">
        <v>0</v>
      </c>
      <c r="E1581" t="inlineStr">
        <is>
          <t>RECARGAS DEVOLVIDAS</t>
        </is>
      </c>
    </row>
    <row r="1582">
      <c r="A1582" t="n">
        <v>128</v>
      </c>
      <c r="B1582" t="inlineStr">
        <is>
          <t>Love Cabaret</t>
        </is>
      </c>
      <c r="C1582" s="27" t="n">
        <v>45835</v>
      </c>
      <c r="D1582" t="n">
        <v>0</v>
      </c>
      <c r="E1582" t="inlineStr">
        <is>
          <t>NOTAS MANUAIS + SERVIÇO</t>
        </is>
      </c>
    </row>
    <row r="1583">
      <c r="A1583" t="n">
        <v>128</v>
      </c>
      <c r="B1583" t="inlineStr">
        <is>
          <t>Love Cabaret</t>
        </is>
      </c>
      <c r="C1583" s="27" t="n">
        <v>45835</v>
      </c>
      <c r="D1583" t="n">
        <v>0</v>
      </c>
      <c r="E1583" t="inlineStr">
        <is>
          <t>AME</t>
        </is>
      </c>
    </row>
    <row r="1584">
      <c r="A1584" t="n">
        <v>128</v>
      </c>
      <c r="B1584" t="inlineStr">
        <is>
          <t>Love Cabaret</t>
        </is>
      </c>
      <c r="C1584" s="27" t="n">
        <v>45835</v>
      </c>
      <c r="D1584" t="n">
        <v>0</v>
      </c>
      <c r="E1584" t="inlineStr">
        <is>
          <t>OUTROS</t>
        </is>
      </c>
    </row>
    <row r="1585">
      <c r="A1585" t="n">
        <v>128</v>
      </c>
      <c r="B1585" t="inlineStr">
        <is>
          <t>Love Cabaret</t>
        </is>
      </c>
      <c r="C1585" s="27" t="n">
        <v>45835</v>
      </c>
      <c r="D1585" t="n">
        <v>0</v>
      </c>
      <c r="E1585" t="inlineStr">
        <is>
          <t>ANTECIPADO</t>
        </is>
      </c>
    </row>
    <row r="1586">
      <c r="A1586" t="n">
        <v>128</v>
      </c>
      <c r="B1586" t="inlineStr">
        <is>
          <t>Love Cabaret</t>
        </is>
      </c>
      <c r="C1586" s="27" t="n">
        <v>45835</v>
      </c>
      <c r="D1586" t="n">
        <v>0</v>
      </c>
      <c r="E1586" t="inlineStr">
        <is>
          <t>BÔNUS</t>
        </is>
      </c>
    </row>
    <row r="1587">
      <c r="A1587" t="n">
        <v>128</v>
      </c>
      <c r="B1587" t="inlineStr">
        <is>
          <t>Love Cabaret</t>
        </is>
      </c>
      <c r="C1587" s="27" t="n">
        <v>45835</v>
      </c>
      <c r="D1587" t="n">
        <v>3537.85</v>
      </c>
      <c r="E1587" t="inlineStr">
        <is>
          <t>DÉBITO</t>
        </is>
      </c>
    </row>
    <row r="1588">
      <c r="A1588" t="n">
        <v>128</v>
      </c>
      <c r="B1588" t="inlineStr">
        <is>
          <t>Love Cabaret</t>
        </is>
      </c>
      <c r="C1588" s="27" t="n">
        <v>45835</v>
      </c>
      <c r="D1588" t="n">
        <v>0</v>
      </c>
      <c r="E1588" t="inlineStr">
        <is>
          <t>VOUCHER</t>
        </is>
      </c>
    </row>
    <row r="1589">
      <c r="A1589" t="n">
        <v>128</v>
      </c>
      <c r="B1589" t="inlineStr">
        <is>
          <t>Love Cabaret</t>
        </is>
      </c>
      <c r="C1589" s="27" t="n">
        <v>45835</v>
      </c>
      <c r="D1589" t="n">
        <v>0</v>
      </c>
      <c r="E1589" t="inlineStr">
        <is>
          <t>ANTECIPADO</t>
        </is>
      </c>
    </row>
    <row r="1590">
      <c r="A1590" t="n">
        <v>128</v>
      </c>
      <c r="B1590" t="inlineStr">
        <is>
          <t>Love Cabaret</t>
        </is>
      </c>
      <c r="C1590" s="27" t="n">
        <v>45835</v>
      </c>
      <c r="D1590" t="n">
        <v>0</v>
      </c>
      <c r="E1590" t="inlineStr">
        <is>
          <t>UBER</t>
        </is>
      </c>
    </row>
    <row r="1591">
      <c r="A1591" t="n">
        <v>128</v>
      </c>
      <c r="B1591" t="inlineStr">
        <is>
          <t>Love Cabaret</t>
        </is>
      </c>
      <c r="C1591" s="27" t="n">
        <v>45835</v>
      </c>
      <c r="D1591" t="n">
        <v>0</v>
      </c>
      <c r="E1591" t="inlineStr">
        <is>
          <t>RAPPI</t>
        </is>
      </c>
    </row>
    <row r="1592">
      <c r="A1592" t="n">
        <v>128</v>
      </c>
      <c r="B1592" t="inlineStr">
        <is>
          <t>Love Cabaret</t>
        </is>
      </c>
      <c r="C1592" s="27" t="n">
        <v>45835</v>
      </c>
      <c r="D1592" t="n">
        <v>1612.51</v>
      </c>
      <c r="E1592" t="inlineStr">
        <is>
          <t>PIX</t>
        </is>
      </c>
    </row>
    <row r="1593">
      <c r="A1593" t="n">
        <v>128</v>
      </c>
      <c r="B1593" t="inlineStr">
        <is>
          <t>Love Cabaret</t>
        </is>
      </c>
      <c r="C1593" s="27" t="n">
        <v>45835</v>
      </c>
      <c r="D1593" t="n">
        <v>0</v>
      </c>
      <c r="E1593" t="inlineStr">
        <is>
          <t>IFOOD</t>
        </is>
      </c>
    </row>
    <row r="1594">
      <c r="A1594" t="n">
        <v>128</v>
      </c>
      <c r="B1594" t="inlineStr">
        <is>
          <t>Love Cabaret</t>
        </is>
      </c>
      <c r="C1594" s="27" t="n">
        <v>45835</v>
      </c>
      <c r="D1594" t="n">
        <v>0</v>
      </c>
      <c r="E1594" t="inlineStr">
        <is>
          <t>DELIVERY ONLINE</t>
        </is>
      </c>
    </row>
    <row r="1595">
      <c r="A1595" t="n">
        <v>128</v>
      </c>
      <c r="B1595" t="inlineStr">
        <is>
          <t>Love Cabaret</t>
        </is>
      </c>
      <c r="C1595" s="27" t="n">
        <v>45835</v>
      </c>
      <c r="D1595" t="n">
        <v>209.63</v>
      </c>
      <c r="E1595" t="inlineStr">
        <is>
          <t>APP</t>
        </is>
      </c>
    </row>
    <row r="1596">
      <c r="A1596" t="n">
        <v>128</v>
      </c>
      <c r="B1596" t="inlineStr">
        <is>
          <t>Love Cabaret</t>
        </is>
      </c>
      <c r="C1596" s="27" t="n">
        <v>45835</v>
      </c>
      <c r="D1596" t="n">
        <v>1013.34</v>
      </c>
      <c r="E1596" t="inlineStr">
        <is>
          <t>DINHEIRO</t>
        </is>
      </c>
    </row>
    <row r="1597">
      <c r="A1597" t="n">
        <v>128</v>
      </c>
      <c r="B1597" t="inlineStr">
        <is>
          <t>Love Cabaret</t>
        </is>
      </c>
      <c r="C1597" s="27" t="n">
        <v>45835</v>
      </c>
      <c r="D1597" t="n">
        <v>14975.85</v>
      </c>
      <c r="E1597" t="inlineStr">
        <is>
          <t>CRÉDITO</t>
        </is>
      </c>
    </row>
    <row r="1598">
      <c r="A1598" t="n">
        <v>128</v>
      </c>
      <c r="B1598" t="inlineStr">
        <is>
          <t>Love Cabaret</t>
        </is>
      </c>
      <c r="C1598" s="27" t="n">
        <v>45834</v>
      </c>
      <c r="D1598" t="n">
        <v>7381.96</v>
      </c>
      <c r="E1598" t="inlineStr">
        <is>
          <t>CRÉDITO</t>
        </is>
      </c>
    </row>
    <row r="1599">
      <c r="A1599" t="n">
        <v>128</v>
      </c>
      <c r="B1599" t="inlineStr">
        <is>
          <t>Love Cabaret</t>
        </is>
      </c>
      <c r="C1599" s="27" t="n">
        <v>45834</v>
      </c>
      <c r="D1599" t="n">
        <v>0</v>
      </c>
      <c r="E1599" t="inlineStr">
        <is>
          <t>VOUCHER INTEGRADO</t>
        </is>
      </c>
    </row>
    <row r="1600">
      <c r="A1600" t="n">
        <v>128</v>
      </c>
      <c r="B1600" t="inlineStr">
        <is>
          <t>Love Cabaret</t>
        </is>
      </c>
      <c r="C1600" s="27" t="n">
        <v>45834</v>
      </c>
      <c r="D1600" t="n">
        <v>0</v>
      </c>
      <c r="E1600" t="inlineStr">
        <is>
          <t>MBWAY</t>
        </is>
      </c>
    </row>
    <row r="1601">
      <c r="A1601" t="n">
        <v>128</v>
      </c>
      <c r="B1601" t="inlineStr">
        <is>
          <t>Love Cabaret</t>
        </is>
      </c>
      <c r="C1601" s="27" t="n">
        <v>45834</v>
      </c>
      <c r="D1601" t="n">
        <v>40</v>
      </c>
      <c r="E1601" t="inlineStr">
        <is>
          <t>DINHEIRO</t>
        </is>
      </c>
    </row>
    <row r="1602">
      <c r="A1602" t="n">
        <v>128</v>
      </c>
      <c r="B1602" t="inlineStr">
        <is>
          <t>Love Cabaret</t>
        </is>
      </c>
      <c r="C1602" s="27" t="n">
        <v>45834</v>
      </c>
      <c r="D1602" t="n">
        <v>0</v>
      </c>
      <c r="E1602" t="inlineStr">
        <is>
          <t>APP</t>
        </is>
      </c>
    </row>
    <row r="1603">
      <c r="A1603" t="n">
        <v>128</v>
      </c>
      <c r="B1603" t="inlineStr">
        <is>
          <t>Love Cabaret</t>
        </is>
      </c>
      <c r="C1603" s="27" t="n">
        <v>45834</v>
      </c>
      <c r="D1603" t="n">
        <v>0</v>
      </c>
      <c r="E1603" t="inlineStr">
        <is>
          <t>DELIVERY ONLINE</t>
        </is>
      </c>
    </row>
    <row r="1604">
      <c r="A1604" t="n">
        <v>128</v>
      </c>
      <c r="B1604" t="inlineStr">
        <is>
          <t>Love Cabaret</t>
        </is>
      </c>
      <c r="C1604" s="27" t="n">
        <v>45834</v>
      </c>
      <c r="D1604" t="n">
        <v>0</v>
      </c>
      <c r="E1604" t="inlineStr">
        <is>
          <t>IFOOD</t>
        </is>
      </c>
    </row>
    <row r="1605">
      <c r="A1605" t="n">
        <v>128</v>
      </c>
      <c r="B1605" t="inlineStr">
        <is>
          <t>Love Cabaret</t>
        </is>
      </c>
      <c r="C1605" s="27" t="n">
        <v>45834</v>
      </c>
      <c r="D1605" t="n">
        <v>697.4400000000001</v>
      </c>
      <c r="E1605" t="inlineStr">
        <is>
          <t>PIX</t>
        </is>
      </c>
    </row>
    <row r="1606">
      <c r="A1606" t="n">
        <v>128</v>
      </c>
      <c r="B1606" t="inlineStr">
        <is>
          <t>Love Cabaret</t>
        </is>
      </c>
      <c r="C1606" s="27" t="n">
        <v>45834</v>
      </c>
      <c r="D1606" t="n">
        <v>0</v>
      </c>
      <c r="E1606" t="inlineStr">
        <is>
          <t>RAPPI</t>
        </is>
      </c>
    </row>
    <row r="1607">
      <c r="A1607" t="n">
        <v>128</v>
      </c>
      <c r="B1607" t="inlineStr">
        <is>
          <t>Love Cabaret</t>
        </is>
      </c>
      <c r="C1607" s="27" t="n">
        <v>45834</v>
      </c>
      <c r="D1607" t="n">
        <v>0</v>
      </c>
      <c r="E1607" t="inlineStr">
        <is>
          <t>UBER</t>
        </is>
      </c>
    </row>
    <row r="1608">
      <c r="A1608" t="n">
        <v>128</v>
      </c>
      <c r="B1608" t="inlineStr">
        <is>
          <t>Love Cabaret</t>
        </is>
      </c>
      <c r="C1608" s="27" t="n">
        <v>45834</v>
      </c>
      <c r="D1608" t="n">
        <v>0</v>
      </c>
      <c r="E1608" t="inlineStr">
        <is>
          <t>ANTECIPADO</t>
        </is>
      </c>
    </row>
    <row r="1609">
      <c r="A1609" t="n">
        <v>128</v>
      </c>
      <c r="B1609" t="inlineStr">
        <is>
          <t>Love Cabaret</t>
        </is>
      </c>
      <c r="C1609" s="27" t="n">
        <v>45834</v>
      </c>
      <c r="D1609" t="n">
        <v>3796.53</v>
      </c>
      <c r="E1609" t="inlineStr">
        <is>
          <t>DÉBITO</t>
        </is>
      </c>
    </row>
    <row r="1610">
      <c r="A1610" t="n">
        <v>128</v>
      </c>
      <c r="B1610" t="inlineStr">
        <is>
          <t>Love Cabaret</t>
        </is>
      </c>
      <c r="C1610" s="27" t="n">
        <v>45834</v>
      </c>
      <c r="D1610" t="n">
        <v>0</v>
      </c>
      <c r="E1610" t="inlineStr">
        <is>
          <t>BÔNUS</t>
        </is>
      </c>
    </row>
    <row r="1611">
      <c r="A1611" t="n">
        <v>128</v>
      </c>
      <c r="B1611" t="inlineStr">
        <is>
          <t>Love Cabaret</t>
        </is>
      </c>
      <c r="C1611" s="27" t="n">
        <v>45834</v>
      </c>
      <c r="D1611" t="n">
        <v>0</v>
      </c>
      <c r="E1611" t="inlineStr">
        <is>
          <t>ANTECIPADO</t>
        </is>
      </c>
    </row>
    <row r="1612">
      <c r="A1612" t="n">
        <v>128</v>
      </c>
      <c r="B1612" t="inlineStr">
        <is>
          <t>Love Cabaret</t>
        </is>
      </c>
      <c r="C1612" s="27" t="n">
        <v>45834</v>
      </c>
      <c r="D1612" t="n">
        <v>0</v>
      </c>
      <c r="E1612" t="inlineStr">
        <is>
          <t>OUTROS</t>
        </is>
      </c>
    </row>
    <row r="1613">
      <c r="A1613" t="n">
        <v>128</v>
      </c>
      <c r="B1613" t="inlineStr">
        <is>
          <t>Love Cabaret</t>
        </is>
      </c>
      <c r="C1613" s="27" t="n">
        <v>45834</v>
      </c>
      <c r="D1613" t="n">
        <v>0</v>
      </c>
      <c r="E1613" t="inlineStr">
        <is>
          <t>AME</t>
        </is>
      </c>
    </row>
    <row r="1614">
      <c r="A1614" t="n">
        <v>128</v>
      </c>
      <c r="B1614" t="inlineStr">
        <is>
          <t>Love Cabaret</t>
        </is>
      </c>
      <c r="C1614" s="27" t="n">
        <v>45834</v>
      </c>
      <c r="D1614" t="n">
        <v>0</v>
      </c>
      <c r="E1614" t="inlineStr">
        <is>
          <t>NOTAS MANUAIS + SERVIÇO</t>
        </is>
      </c>
    </row>
    <row r="1615">
      <c r="A1615" t="n">
        <v>128</v>
      </c>
      <c r="B1615" t="inlineStr">
        <is>
          <t>Love Cabaret</t>
        </is>
      </c>
      <c r="C1615" s="27" t="n">
        <v>45834</v>
      </c>
      <c r="D1615" t="n">
        <v>0</v>
      </c>
      <c r="E1615" t="inlineStr">
        <is>
          <t>RECARGAS DEVOLVIDAS</t>
        </is>
      </c>
    </row>
    <row r="1616">
      <c r="A1616" t="n">
        <v>128</v>
      </c>
      <c r="B1616" t="inlineStr">
        <is>
          <t>Love Cabaret</t>
        </is>
      </c>
      <c r="C1616" s="27" t="n">
        <v>45834</v>
      </c>
      <c r="D1616" t="n">
        <v>0</v>
      </c>
      <c r="E1616" t="inlineStr">
        <is>
          <t>VOUCHER</t>
        </is>
      </c>
    </row>
    <row r="1617">
      <c r="A1617" t="n">
        <v>128</v>
      </c>
      <c r="B1617" t="inlineStr">
        <is>
          <t>Love Cabaret</t>
        </is>
      </c>
      <c r="C1617" s="27" t="n">
        <v>45829</v>
      </c>
      <c r="D1617" t="n">
        <v>4036.36</v>
      </c>
      <c r="E1617" t="inlineStr">
        <is>
          <t>DÉBITO</t>
        </is>
      </c>
    </row>
    <row r="1618">
      <c r="A1618" t="n">
        <v>128</v>
      </c>
      <c r="B1618" t="inlineStr">
        <is>
          <t>Love Cabaret</t>
        </is>
      </c>
      <c r="C1618" s="27" t="n">
        <v>45829</v>
      </c>
      <c r="D1618" t="n">
        <v>15821.03</v>
      </c>
      <c r="E1618" t="inlineStr">
        <is>
          <t>CRÉDITO</t>
        </is>
      </c>
    </row>
    <row r="1619">
      <c r="A1619" t="n">
        <v>128</v>
      </c>
      <c r="B1619" t="inlineStr">
        <is>
          <t>Love Cabaret</t>
        </is>
      </c>
      <c r="C1619" s="27" t="n">
        <v>45829</v>
      </c>
      <c r="D1619" t="n">
        <v>121.47</v>
      </c>
      <c r="E1619" t="inlineStr">
        <is>
          <t>DINHEIRO</t>
        </is>
      </c>
    </row>
    <row r="1620">
      <c r="A1620" t="n">
        <v>128</v>
      </c>
      <c r="B1620" t="inlineStr">
        <is>
          <t>Love Cabaret</t>
        </is>
      </c>
      <c r="C1620" s="27" t="n">
        <v>45829</v>
      </c>
      <c r="D1620" t="n">
        <v>0</v>
      </c>
      <c r="E1620" t="inlineStr">
        <is>
          <t>APP</t>
        </is>
      </c>
    </row>
    <row r="1621">
      <c r="A1621" t="n">
        <v>128</v>
      </c>
      <c r="B1621" t="inlineStr">
        <is>
          <t>Love Cabaret</t>
        </is>
      </c>
      <c r="C1621" s="27" t="n">
        <v>45829</v>
      </c>
      <c r="D1621" t="n">
        <v>0</v>
      </c>
      <c r="E1621" t="inlineStr">
        <is>
          <t>DELIVERY ONLINE</t>
        </is>
      </c>
    </row>
    <row r="1622">
      <c r="A1622" t="n">
        <v>128</v>
      </c>
      <c r="B1622" t="inlineStr">
        <is>
          <t>Love Cabaret</t>
        </is>
      </c>
      <c r="C1622" s="27" t="n">
        <v>45829</v>
      </c>
      <c r="D1622" t="n">
        <v>1718.37</v>
      </c>
      <c r="E1622" t="inlineStr">
        <is>
          <t>PIX</t>
        </is>
      </c>
    </row>
    <row r="1623">
      <c r="A1623" t="n">
        <v>128</v>
      </c>
      <c r="B1623" t="inlineStr">
        <is>
          <t>Love Cabaret</t>
        </is>
      </c>
      <c r="C1623" s="27" t="n">
        <v>45829</v>
      </c>
      <c r="D1623" t="n">
        <v>0</v>
      </c>
      <c r="E1623" t="inlineStr">
        <is>
          <t>RAPPI</t>
        </is>
      </c>
    </row>
    <row r="1624">
      <c r="A1624" t="n">
        <v>128</v>
      </c>
      <c r="B1624" t="inlineStr">
        <is>
          <t>Love Cabaret</t>
        </is>
      </c>
      <c r="C1624" s="27" t="n">
        <v>45829</v>
      </c>
      <c r="D1624" t="n">
        <v>0</v>
      </c>
      <c r="E1624" t="inlineStr">
        <is>
          <t>UBER</t>
        </is>
      </c>
    </row>
    <row r="1625">
      <c r="A1625" t="n">
        <v>128</v>
      </c>
      <c r="B1625" t="inlineStr">
        <is>
          <t>Love Cabaret</t>
        </is>
      </c>
      <c r="C1625" s="27" t="n">
        <v>45829</v>
      </c>
      <c r="D1625" t="n">
        <v>0</v>
      </c>
      <c r="E1625" t="inlineStr">
        <is>
          <t>ANTECIPADO</t>
        </is>
      </c>
    </row>
    <row r="1626">
      <c r="A1626" t="n">
        <v>128</v>
      </c>
      <c r="B1626" t="inlineStr">
        <is>
          <t>Love Cabaret</t>
        </is>
      </c>
      <c r="C1626" s="27" t="n">
        <v>45829</v>
      </c>
      <c r="D1626" t="n">
        <v>0</v>
      </c>
      <c r="E1626" t="inlineStr">
        <is>
          <t>VOUCHER</t>
        </is>
      </c>
    </row>
    <row r="1627">
      <c r="A1627" t="n">
        <v>128</v>
      </c>
      <c r="B1627" t="inlineStr">
        <is>
          <t>Love Cabaret</t>
        </is>
      </c>
      <c r="C1627" s="27" t="n">
        <v>45829</v>
      </c>
      <c r="D1627" t="n">
        <v>0</v>
      </c>
      <c r="E1627" t="inlineStr">
        <is>
          <t>IFOOD</t>
        </is>
      </c>
    </row>
    <row r="1628">
      <c r="A1628" t="n">
        <v>128</v>
      </c>
      <c r="B1628" t="inlineStr">
        <is>
          <t>Love Cabaret</t>
        </is>
      </c>
      <c r="C1628" s="27" t="n">
        <v>45829</v>
      </c>
      <c r="D1628" t="n">
        <v>0</v>
      </c>
      <c r="E1628" t="inlineStr">
        <is>
          <t>BÔNUS</t>
        </is>
      </c>
    </row>
    <row r="1629">
      <c r="A1629" t="n">
        <v>128</v>
      </c>
      <c r="B1629" t="inlineStr">
        <is>
          <t>Love Cabaret</t>
        </is>
      </c>
      <c r="C1629" s="27" t="n">
        <v>45829</v>
      </c>
      <c r="D1629" t="n">
        <v>0</v>
      </c>
      <c r="E1629" t="inlineStr">
        <is>
          <t>ANTECIPADO</t>
        </is>
      </c>
    </row>
    <row r="1630">
      <c r="A1630" t="n">
        <v>128</v>
      </c>
      <c r="B1630" t="inlineStr">
        <is>
          <t>Love Cabaret</t>
        </is>
      </c>
      <c r="C1630" s="27" t="n">
        <v>45829</v>
      </c>
      <c r="D1630" t="n">
        <v>0</v>
      </c>
      <c r="E1630" t="inlineStr">
        <is>
          <t>MBWAY</t>
        </is>
      </c>
    </row>
    <row r="1631">
      <c r="A1631" t="n">
        <v>128</v>
      </c>
      <c r="B1631" t="inlineStr">
        <is>
          <t>Love Cabaret</t>
        </is>
      </c>
      <c r="C1631" s="27" t="n">
        <v>45829</v>
      </c>
      <c r="D1631" t="n">
        <v>0</v>
      </c>
      <c r="E1631" t="inlineStr">
        <is>
          <t>VOUCHER INTEGRADO</t>
        </is>
      </c>
    </row>
    <row r="1632">
      <c r="A1632" t="n">
        <v>128</v>
      </c>
      <c r="B1632" t="inlineStr">
        <is>
          <t>Love Cabaret</t>
        </is>
      </c>
      <c r="C1632" s="27" t="n">
        <v>45829</v>
      </c>
      <c r="D1632" t="n">
        <v>0</v>
      </c>
      <c r="E1632" t="inlineStr">
        <is>
          <t>RECARGAS DEVOLVIDAS</t>
        </is>
      </c>
    </row>
    <row r="1633">
      <c r="A1633" t="n">
        <v>128</v>
      </c>
      <c r="B1633" t="inlineStr">
        <is>
          <t>Love Cabaret</t>
        </is>
      </c>
      <c r="C1633" s="27" t="n">
        <v>45829</v>
      </c>
      <c r="D1633" t="n">
        <v>0</v>
      </c>
      <c r="E1633" t="inlineStr">
        <is>
          <t>NOTAS MANUAIS + SERVIÇO</t>
        </is>
      </c>
    </row>
    <row r="1634">
      <c r="A1634" t="n">
        <v>128</v>
      </c>
      <c r="B1634" t="inlineStr">
        <is>
          <t>Love Cabaret</t>
        </is>
      </c>
      <c r="C1634" s="27" t="n">
        <v>45829</v>
      </c>
      <c r="D1634" t="n">
        <v>0</v>
      </c>
      <c r="E1634" t="inlineStr">
        <is>
          <t>AME</t>
        </is>
      </c>
    </row>
    <row r="1635">
      <c r="A1635" t="n">
        <v>128</v>
      </c>
      <c r="B1635" t="inlineStr">
        <is>
          <t>Love Cabaret</t>
        </is>
      </c>
      <c r="C1635" s="27" t="n">
        <v>45829</v>
      </c>
      <c r="D1635" t="n">
        <v>0</v>
      </c>
      <c r="E1635" t="inlineStr">
        <is>
          <t>OUTROS</t>
        </is>
      </c>
    </row>
    <row r="1636">
      <c r="A1636" t="n">
        <v>128</v>
      </c>
      <c r="B1636" t="inlineStr">
        <is>
          <t>Love Cabaret</t>
        </is>
      </c>
      <c r="C1636" s="27" t="n">
        <v>45828</v>
      </c>
      <c r="D1636" t="n">
        <v>6289.01</v>
      </c>
      <c r="E1636" t="inlineStr">
        <is>
          <t>DÉBITO</t>
        </is>
      </c>
    </row>
    <row r="1637">
      <c r="A1637" t="n">
        <v>128</v>
      </c>
      <c r="B1637" t="inlineStr">
        <is>
          <t>Love Cabaret</t>
        </is>
      </c>
      <c r="C1637" s="27" t="n">
        <v>45828</v>
      </c>
      <c r="D1637" t="n">
        <v>27175.21</v>
      </c>
      <c r="E1637" t="inlineStr">
        <is>
          <t>CRÉDITO</t>
        </is>
      </c>
    </row>
    <row r="1638">
      <c r="A1638" t="n">
        <v>128</v>
      </c>
      <c r="B1638" t="inlineStr">
        <is>
          <t>Love Cabaret</t>
        </is>
      </c>
      <c r="C1638" s="27" t="n">
        <v>45828</v>
      </c>
      <c r="D1638" t="n">
        <v>0</v>
      </c>
      <c r="E1638" t="inlineStr">
        <is>
          <t>DINHEIRO</t>
        </is>
      </c>
    </row>
    <row r="1639">
      <c r="A1639" t="n">
        <v>128</v>
      </c>
      <c r="B1639" t="inlineStr">
        <is>
          <t>Love Cabaret</t>
        </is>
      </c>
      <c r="C1639" s="27" t="n">
        <v>45828</v>
      </c>
      <c r="D1639" t="n">
        <v>0</v>
      </c>
      <c r="E1639" t="inlineStr">
        <is>
          <t>APP</t>
        </is>
      </c>
    </row>
    <row r="1640">
      <c r="A1640" t="n">
        <v>128</v>
      </c>
      <c r="B1640" t="inlineStr">
        <is>
          <t>Love Cabaret</t>
        </is>
      </c>
      <c r="C1640" s="27" t="n">
        <v>45828</v>
      </c>
      <c r="D1640" t="n">
        <v>0</v>
      </c>
      <c r="E1640" t="inlineStr">
        <is>
          <t>DELIVERY ONLINE</t>
        </is>
      </c>
    </row>
    <row r="1641">
      <c r="A1641" t="n">
        <v>128</v>
      </c>
      <c r="B1641" t="inlineStr">
        <is>
          <t>Love Cabaret</t>
        </is>
      </c>
      <c r="C1641" s="27" t="n">
        <v>45828</v>
      </c>
      <c r="D1641" t="n">
        <v>0</v>
      </c>
      <c r="E1641" t="inlineStr">
        <is>
          <t>IFOOD</t>
        </is>
      </c>
    </row>
    <row r="1642">
      <c r="A1642" t="n">
        <v>128</v>
      </c>
      <c r="B1642" t="inlineStr">
        <is>
          <t>Love Cabaret</t>
        </is>
      </c>
      <c r="C1642" s="27" t="n">
        <v>45828</v>
      </c>
      <c r="D1642" t="n">
        <v>2698.44</v>
      </c>
      <c r="E1642" t="inlineStr">
        <is>
          <t>PIX</t>
        </is>
      </c>
    </row>
    <row r="1643">
      <c r="A1643" t="n">
        <v>128</v>
      </c>
      <c r="B1643" t="inlineStr">
        <is>
          <t>Love Cabaret</t>
        </is>
      </c>
      <c r="C1643" s="27" t="n">
        <v>45828</v>
      </c>
      <c r="D1643" t="n">
        <v>0</v>
      </c>
      <c r="E1643" t="inlineStr">
        <is>
          <t>RAPPI</t>
        </is>
      </c>
    </row>
    <row r="1644">
      <c r="A1644" t="n">
        <v>128</v>
      </c>
      <c r="B1644" t="inlineStr">
        <is>
          <t>Love Cabaret</t>
        </is>
      </c>
      <c r="C1644" s="27" t="n">
        <v>45828</v>
      </c>
      <c r="D1644" t="n">
        <v>0</v>
      </c>
      <c r="E1644" t="inlineStr">
        <is>
          <t>UBER</t>
        </is>
      </c>
    </row>
    <row r="1645">
      <c r="A1645" t="n">
        <v>128</v>
      </c>
      <c r="B1645" t="inlineStr">
        <is>
          <t>Love Cabaret</t>
        </is>
      </c>
      <c r="C1645" s="27" t="n">
        <v>45828</v>
      </c>
      <c r="D1645" t="n">
        <v>0</v>
      </c>
      <c r="E1645" t="inlineStr">
        <is>
          <t>ANTECIPADO</t>
        </is>
      </c>
    </row>
    <row r="1646">
      <c r="A1646" t="n">
        <v>128</v>
      </c>
      <c r="B1646" t="inlineStr">
        <is>
          <t>Love Cabaret</t>
        </is>
      </c>
      <c r="C1646" s="27" t="n">
        <v>45828</v>
      </c>
      <c r="D1646" t="n">
        <v>0</v>
      </c>
      <c r="E1646" t="inlineStr">
        <is>
          <t>VOUCHER</t>
        </is>
      </c>
    </row>
    <row r="1647">
      <c r="A1647" t="n">
        <v>128</v>
      </c>
      <c r="B1647" t="inlineStr">
        <is>
          <t>Love Cabaret</t>
        </is>
      </c>
      <c r="C1647" s="27" t="n">
        <v>45828</v>
      </c>
      <c r="D1647" t="n">
        <v>0</v>
      </c>
      <c r="E1647" t="inlineStr">
        <is>
          <t>BÔNUS</t>
        </is>
      </c>
    </row>
    <row r="1648">
      <c r="A1648" t="n">
        <v>128</v>
      </c>
      <c r="B1648" t="inlineStr">
        <is>
          <t>Love Cabaret</t>
        </is>
      </c>
      <c r="C1648" s="27" t="n">
        <v>45828</v>
      </c>
      <c r="D1648" t="n">
        <v>0</v>
      </c>
      <c r="E1648" t="inlineStr">
        <is>
          <t>ANTECIPADO</t>
        </is>
      </c>
    </row>
    <row r="1649">
      <c r="A1649" t="n">
        <v>128</v>
      </c>
      <c r="B1649" t="inlineStr">
        <is>
          <t>Love Cabaret</t>
        </is>
      </c>
      <c r="C1649" s="27" t="n">
        <v>45828</v>
      </c>
      <c r="D1649" t="n">
        <v>0</v>
      </c>
      <c r="E1649" t="inlineStr">
        <is>
          <t>OUTROS</t>
        </is>
      </c>
    </row>
    <row r="1650">
      <c r="A1650" t="n">
        <v>128</v>
      </c>
      <c r="B1650" t="inlineStr">
        <is>
          <t>Love Cabaret</t>
        </is>
      </c>
      <c r="C1650" s="27" t="n">
        <v>45828</v>
      </c>
      <c r="D1650" t="n">
        <v>0</v>
      </c>
      <c r="E1650" t="inlineStr">
        <is>
          <t>AME</t>
        </is>
      </c>
    </row>
    <row r="1651">
      <c r="A1651" t="n">
        <v>128</v>
      </c>
      <c r="B1651" t="inlineStr">
        <is>
          <t>Love Cabaret</t>
        </is>
      </c>
      <c r="C1651" s="27" t="n">
        <v>45828</v>
      </c>
      <c r="D1651" t="n">
        <v>0</v>
      </c>
      <c r="E1651" t="inlineStr">
        <is>
          <t>NOTAS MANUAIS + SERVIÇO</t>
        </is>
      </c>
    </row>
    <row r="1652">
      <c r="A1652" t="n">
        <v>128</v>
      </c>
      <c r="B1652" t="inlineStr">
        <is>
          <t>Love Cabaret</t>
        </is>
      </c>
      <c r="C1652" s="27" t="n">
        <v>45828</v>
      </c>
      <c r="D1652" t="n">
        <v>0</v>
      </c>
      <c r="E1652" t="inlineStr">
        <is>
          <t>RECARGAS DEVOLVIDAS</t>
        </is>
      </c>
    </row>
    <row r="1653">
      <c r="A1653" t="n">
        <v>128</v>
      </c>
      <c r="B1653" t="inlineStr">
        <is>
          <t>Love Cabaret</t>
        </is>
      </c>
      <c r="C1653" s="27" t="n">
        <v>45828</v>
      </c>
      <c r="D1653" t="n">
        <v>0</v>
      </c>
      <c r="E1653" t="inlineStr">
        <is>
          <t>VOUCHER INTEGRADO</t>
        </is>
      </c>
    </row>
    <row r="1654">
      <c r="A1654" t="n">
        <v>128</v>
      </c>
      <c r="B1654" t="inlineStr">
        <is>
          <t>Love Cabaret</t>
        </is>
      </c>
      <c r="C1654" s="27" t="n">
        <v>45828</v>
      </c>
      <c r="D1654" t="n">
        <v>0</v>
      </c>
      <c r="E1654" t="inlineStr">
        <is>
          <t>MBWAY</t>
        </is>
      </c>
    </row>
    <row r="1655">
      <c r="A1655" t="n">
        <v>128</v>
      </c>
      <c r="B1655" t="inlineStr">
        <is>
          <t>Love Cabaret</t>
        </is>
      </c>
      <c r="C1655" s="27" t="n">
        <v>45827</v>
      </c>
      <c r="D1655" t="n">
        <v>0</v>
      </c>
      <c r="E1655" t="inlineStr">
        <is>
          <t>RAPPI</t>
        </is>
      </c>
    </row>
    <row r="1656">
      <c r="A1656" t="n">
        <v>128</v>
      </c>
      <c r="B1656" t="inlineStr">
        <is>
          <t>Love Cabaret</t>
        </is>
      </c>
      <c r="C1656" s="27" t="n">
        <v>45827</v>
      </c>
      <c r="D1656" t="n">
        <v>0</v>
      </c>
      <c r="E1656" t="inlineStr">
        <is>
          <t>VOUCHER INTEGRADO</t>
        </is>
      </c>
    </row>
    <row r="1657">
      <c r="A1657" t="n">
        <v>128</v>
      </c>
      <c r="B1657" t="inlineStr">
        <is>
          <t>Love Cabaret</t>
        </is>
      </c>
      <c r="C1657" s="27" t="n">
        <v>45827</v>
      </c>
      <c r="D1657" t="n">
        <v>0</v>
      </c>
      <c r="E1657" t="inlineStr">
        <is>
          <t>MBWAY</t>
        </is>
      </c>
    </row>
    <row r="1658">
      <c r="A1658" t="n">
        <v>128</v>
      </c>
      <c r="B1658" t="inlineStr">
        <is>
          <t>Love Cabaret</t>
        </is>
      </c>
      <c r="C1658" s="27" t="n">
        <v>45827</v>
      </c>
      <c r="D1658" t="n">
        <v>0</v>
      </c>
      <c r="E1658" t="inlineStr">
        <is>
          <t>DELIVERY ONLINE</t>
        </is>
      </c>
    </row>
    <row r="1659">
      <c r="A1659" t="n">
        <v>128</v>
      </c>
      <c r="B1659" t="inlineStr">
        <is>
          <t>Love Cabaret</t>
        </is>
      </c>
      <c r="C1659" s="27" t="n">
        <v>45827</v>
      </c>
      <c r="D1659" t="n">
        <v>0</v>
      </c>
      <c r="E1659" t="inlineStr">
        <is>
          <t>UBER</t>
        </is>
      </c>
    </row>
    <row r="1660">
      <c r="A1660" t="n">
        <v>128</v>
      </c>
      <c r="B1660" t="inlineStr">
        <is>
          <t>Love Cabaret</t>
        </is>
      </c>
      <c r="C1660" s="27" t="n">
        <v>45827</v>
      </c>
      <c r="D1660" t="n">
        <v>0</v>
      </c>
      <c r="E1660" t="inlineStr">
        <is>
          <t>ANTECIPADO</t>
        </is>
      </c>
    </row>
    <row r="1661">
      <c r="A1661" t="n">
        <v>128</v>
      </c>
      <c r="B1661" t="inlineStr">
        <is>
          <t>Love Cabaret</t>
        </is>
      </c>
      <c r="C1661" s="27" t="n">
        <v>45827</v>
      </c>
      <c r="D1661" t="n">
        <v>157.07</v>
      </c>
      <c r="E1661" t="inlineStr">
        <is>
          <t>VOUCHER</t>
        </is>
      </c>
    </row>
    <row r="1662">
      <c r="A1662" t="n">
        <v>128</v>
      </c>
      <c r="B1662" t="inlineStr">
        <is>
          <t>Love Cabaret</t>
        </is>
      </c>
      <c r="C1662" s="27" t="n">
        <v>45827</v>
      </c>
      <c r="D1662" t="n">
        <v>11133.99</v>
      </c>
      <c r="E1662" t="inlineStr">
        <is>
          <t>DÉBITO</t>
        </is>
      </c>
    </row>
    <row r="1663">
      <c r="A1663" t="n">
        <v>128</v>
      </c>
      <c r="B1663" t="inlineStr">
        <is>
          <t>Love Cabaret</t>
        </is>
      </c>
      <c r="C1663" s="27" t="n">
        <v>45827</v>
      </c>
      <c r="D1663" t="n">
        <v>0</v>
      </c>
      <c r="E1663" t="inlineStr">
        <is>
          <t>BÔNUS</t>
        </is>
      </c>
    </row>
    <row r="1664">
      <c r="A1664" t="n">
        <v>128</v>
      </c>
      <c r="B1664" t="inlineStr">
        <is>
          <t>Love Cabaret</t>
        </is>
      </c>
      <c r="C1664" s="27" t="n">
        <v>45827</v>
      </c>
      <c r="D1664" t="n">
        <v>0</v>
      </c>
      <c r="E1664" t="inlineStr">
        <is>
          <t>ANTECIPADO</t>
        </is>
      </c>
    </row>
    <row r="1665">
      <c r="A1665" t="n">
        <v>128</v>
      </c>
      <c r="B1665" t="inlineStr">
        <is>
          <t>Love Cabaret</t>
        </is>
      </c>
      <c r="C1665" s="27" t="n">
        <v>45827</v>
      </c>
      <c r="D1665" t="n">
        <v>0</v>
      </c>
      <c r="E1665" t="inlineStr">
        <is>
          <t>OUTROS</t>
        </is>
      </c>
    </row>
    <row r="1666">
      <c r="A1666" t="n">
        <v>128</v>
      </c>
      <c r="B1666" t="inlineStr">
        <is>
          <t>Love Cabaret</t>
        </is>
      </c>
      <c r="C1666" s="27" t="n">
        <v>45827</v>
      </c>
      <c r="D1666" t="n">
        <v>0</v>
      </c>
      <c r="E1666" t="inlineStr">
        <is>
          <t>AME</t>
        </is>
      </c>
    </row>
    <row r="1667">
      <c r="A1667" t="n">
        <v>128</v>
      </c>
      <c r="B1667" t="inlineStr">
        <is>
          <t>Love Cabaret</t>
        </is>
      </c>
      <c r="C1667" s="27" t="n">
        <v>45827</v>
      </c>
      <c r="D1667" t="n">
        <v>0</v>
      </c>
      <c r="E1667" t="inlineStr">
        <is>
          <t>NOTAS MANUAIS + SERVIÇO</t>
        </is>
      </c>
    </row>
    <row r="1668">
      <c r="A1668" t="n">
        <v>128</v>
      </c>
      <c r="B1668" t="inlineStr">
        <is>
          <t>Love Cabaret</t>
        </is>
      </c>
      <c r="C1668" s="27" t="n">
        <v>45827</v>
      </c>
      <c r="D1668" t="n">
        <v>0</v>
      </c>
      <c r="E1668" t="inlineStr">
        <is>
          <t>RECARGAS DEVOLVIDAS</t>
        </is>
      </c>
    </row>
    <row r="1669">
      <c r="A1669" t="n">
        <v>128</v>
      </c>
      <c r="B1669" t="inlineStr">
        <is>
          <t>Love Cabaret</t>
        </is>
      </c>
      <c r="C1669" s="27" t="n">
        <v>45827</v>
      </c>
      <c r="D1669" t="n">
        <v>0</v>
      </c>
      <c r="E1669" t="inlineStr">
        <is>
          <t>IFOOD</t>
        </is>
      </c>
    </row>
    <row r="1670">
      <c r="A1670" t="n">
        <v>128</v>
      </c>
      <c r="B1670" t="inlineStr">
        <is>
          <t>Love Cabaret</t>
        </is>
      </c>
      <c r="C1670" s="27" t="n">
        <v>45827</v>
      </c>
      <c r="D1670" t="n">
        <v>51.59</v>
      </c>
      <c r="E1670" t="inlineStr">
        <is>
          <t>APP</t>
        </is>
      </c>
    </row>
    <row r="1671">
      <c r="A1671" t="n">
        <v>128</v>
      </c>
      <c r="B1671" t="inlineStr">
        <is>
          <t>Love Cabaret</t>
        </is>
      </c>
      <c r="C1671" s="27" t="n">
        <v>45827</v>
      </c>
      <c r="D1671" t="n">
        <v>64.41</v>
      </c>
      <c r="E1671" t="inlineStr">
        <is>
          <t>DINHEIRO</t>
        </is>
      </c>
    </row>
    <row r="1672">
      <c r="A1672" t="n">
        <v>128</v>
      </c>
      <c r="B1672" t="inlineStr">
        <is>
          <t>Love Cabaret</t>
        </is>
      </c>
      <c r="C1672" s="27" t="n">
        <v>45827</v>
      </c>
      <c r="D1672" t="n">
        <v>3875.44</v>
      </c>
      <c r="E1672" t="inlineStr">
        <is>
          <t>PIX</t>
        </is>
      </c>
    </row>
    <row r="1673">
      <c r="A1673" t="n">
        <v>128</v>
      </c>
      <c r="B1673" t="inlineStr">
        <is>
          <t>Love Cabaret</t>
        </is>
      </c>
      <c r="C1673" s="27" t="n">
        <v>45827</v>
      </c>
      <c r="D1673" t="n">
        <v>30878.64</v>
      </c>
      <c r="E1673" t="inlineStr">
        <is>
          <t>CRÉDITO</t>
        </is>
      </c>
    </row>
    <row r="1674">
      <c r="A1674" t="n">
        <v>128</v>
      </c>
      <c r="B1674" t="inlineStr">
        <is>
          <t>Love Cabaret</t>
        </is>
      </c>
      <c r="C1674" s="27" t="n">
        <v>45822</v>
      </c>
      <c r="D1674" t="n">
        <v>0</v>
      </c>
      <c r="E1674" t="inlineStr">
        <is>
          <t>VOUCHER INTEGRADO</t>
        </is>
      </c>
    </row>
    <row r="1675">
      <c r="A1675" t="n">
        <v>128</v>
      </c>
      <c r="B1675" t="inlineStr">
        <is>
          <t>Love Cabaret</t>
        </is>
      </c>
      <c r="C1675" s="27" t="n">
        <v>45822</v>
      </c>
      <c r="D1675" t="n">
        <v>629.52</v>
      </c>
      <c r="E1675" t="inlineStr">
        <is>
          <t>DINHEIRO</t>
        </is>
      </c>
    </row>
    <row r="1676">
      <c r="A1676" t="n">
        <v>128</v>
      </c>
      <c r="B1676" t="inlineStr">
        <is>
          <t>Love Cabaret</t>
        </is>
      </c>
      <c r="C1676" s="27" t="n">
        <v>45822</v>
      </c>
      <c r="D1676" t="n">
        <v>23707.42</v>
      </c>
      <c r="E1676" t="inlineStr">
        <is>
          <t>CRÉDITO</t>
        </is>
      </c>
    </row>
    <row r="1677">
      <c r="A1677" t="n">
        <v>128</v>
      </c>
      <c r="B1677" t="inlineStr">
        <is>
          <t>Love Cabaret</t>
        </is>
      </c>
      <c r="C1677" s="27" t="n">
        <v>45822</v>
      </c>
      <c r="D1677" t="n">
        <v>0</v>
      </c>
      <c r="E1677" t="inlineStr">
        <is>
          <t>MBWAY</t>
        </is>
      </c>
    </row>
    <row r="1678">
      <c r="A1678" t="n">
        <v>128</v>
      </c>
      <c r="B1678" t="inlineStr">
        <is>
          <t>Love Cabaret</t>
        </is>
      </c>
      <c r="C1678" s="27" t="n">
        <v>45822</v>
      </c>
      <c r="D1678" t="n">
        <v>0</v>
      </c>
      <c r="E1678" t="inlineStr">
        <is>
          <t>RECARGAS DEVOLVIDAS</t>
        </is>
      </c>
    </row>
    <row r="1679">
      <c r="A1679" t="n">
        <v>128</v>
      </c>
      <c r="B1679" t="inlineStr">
        <is>
          <t>Love Cabaret</t>
        </is>
      </c>
      <c r="C1679" s="27" t="n">
        <v>45822</v>
      </c>
      <c r="D1679" t="n">
        <v>0</v>
      </c>
      <c r="E1679" t="inlineStr">
        <is>
          <t>NOTAS MANUAIS + SERVIÇO</t>
        </is>
      </c>
    </row>
    <row r="1680">
      <c r="A1680" t="n">
        <v>128</v>
      </c>
      <c r="B1680" t="inlineStr">
        <is>
          <t>Love Cabaret</t>
        </is>
      </c>
      <c r="C1680" s="27" t="n">
        <v>45822</v>
      </c>
      <c r="D1680" t="n">
        <v>0</v>
      </c>
      <c r="E1680" t="inlineStr">
        <is>
          <t>AME</t>
        </is>
      </c>
    </row>
    <row r="1681">
      <c r="A1681" t="n">
        <v>128</v>
      </c>
      <c r="B1681" t="inlineStr">
        <is>
          <t>Love Cabaret</t>
        </is>
      </c>
      <c r="C1681" s="27" t="n">
        <v>45822</v>
      </c>
      <c r="D1681" t="n">
        <v>0</v>
      </c>
      <c r="E1681" t="inlineStr">
        <is>
          <t>OUTROS</t>
        </is>
      </c>
    </row>
    <row r="1682">
      <c r="A1682" t="n">
        <v>128</v>
      </c>
      <c r="B1682" t="inlineStr">
        <is>
          <t>Love Cabaret</t>
        </is>
      </c>
      <c r="C1682" s="27" t="n">
        <v>45822</v>
      </c>
      <c r="D1682" t="n">
        <v>0</v>
      </c>
      <c r="E1682" t="inlineStr">
        <is>
          <t>ANTECIPADO</t>
        </is>
      </c>
    </row>
    <row r="1683">
      <c r="A1683" t="n">
        <v>128</v>
      </c>
      <c r="B1683" t="inlineStr">
        <is>
          <t>Love Cabaret</t>
        </is>
      </c>
      <c r="C1683" s="27" t="n">
        <v>45822</v>
      </c>
      <c r="D1683" t="n">
        <v>0</v>
      </c>
      <c r="E1683" t="inlineStr">
        <is>
          <t>BÔNUS</t>
        </is>
      </c>
    </row>
    <row r="1684">
      <c r="A1684" t="n">
        <v>128</v>
      </c>
      <c r="B1684" t="inlineStr">
        <is>
          <t>Love Cabaret</t>
        </is>
      </c>
      <c r="C1684" s="27" t="n">
        <v>45822</v>
      </c>
      <c r="D1684" t="n">
        <v>6040.83</v>
      </c>
      <c r="E1684" t="inlineStr">
        <is>
          <t>DÉBITO</t>
        </is>
      </c>
    </row>
    <row r="1685">
      <c r="A1685" t="n">
        <v>128</v>
      </c>
      <c r="B1685" t="inlineStr">
        <is>
          <t>Love Cabaret</t>
        </is>
      </c>
      <c r="C1685" s="27" t="n">
        <v>45822</v>
      </c>
      <c r="D1685" t="n">
        <v>0</v>
      </c>
      <c r="E1685" t="inlineStr">
        <is>
          <t>ANTECIPADO</t>
        </is>
      </c>
    </row>
    <row r="1686">
      <c r="A1686" t="n">
        <v>128</v>
      </c>
      <c r="B1686" t="inlineStr">
        <is>
          <t>Love Cabaret</t>
        </is>
      </c>
      <c r="C1686" s="27" t="n">
        <v>45822</v>
      </c>
      <c r="D1686" t="n">
        <v>0</v>
      </c>
      <c r="E1686" t="inlineStr">
        <is>
          <t>UBER</t>
        </is>
      </c>
    </row>
    <row r="1687">
      <c r="A1687" t="n">
        <v>128</v>
      </c>
      <c r="B1687" t="inlineStr">
        <is>
          <t>Love Cabaret</t>
        </is>
      </c>
      <c r="C1687" s="27" t="n">
        <v>45822</v>
      </c>
      <c r="D1687" t="n">
        <v>0</v>
      </c>
      <c r="E1687" t="inlineStr">
        <is>
          <t>RAPPI</t>
        </is>
      </c>
    </row>
    <row r="1688">
      <c r="A1688" t="n">
        <v>128</v>
      </c>
      <c r="B1688" t="inlineStr">
        <is>
          <t>Love Cabaret</t>
        </is>
      </c>
      <c r="C1688" s="27" t="n">
        <v>45822</v>
      </c>
      <c r="D1688" t="n">
        <v>1445.5</v>
      </c>
      <c r="E1688" t="inlineStr">
        <is>
          <t>PIX</t>
        </is>
      </c>
    </row>
    <row r="1689">
      <c r="A1689" t="n">
        <v>128</v>
      </c>
      <c r="B1689" t="inlineStr">
        <is>
          <t>Love Cabaret</t>
        </is>
      </c>
      <c r="C1689" s="27" t="n">
        <v>45822</v>
      </c>
      <c r="D1689" t="n">
        <v>0</v>
      </c>
      <c r="E1689" t="inlineStr">
        <is>
          <t>IFOOD</t>
        </is>
      </c>
    </row>
    <row r="1690">
      <c r="A1690" t="n">
        <v>128</v>
      </c>
      <c r="B1690" t="inlineStr">
        <is>
          <t>Love Cabaret</t>
        </is>
      </c>
      <c r="C1690" s="27" t="n">
        <v>45822</v>
      </c>
      <c r="D1690" t="n">
        <v>0</v>
      </c>
      <c r="E1690" t="inlineStr">
        <is>
          <t>DELIVERY ONLINE</t>
        </is>
      </c>
    </row>
    <row r="1691">
      <c r="A1691" t="n">
        <v>128</v>
      </c>
      <c r="B1691" t="inlineStr">
        <is>
          <t>Love Cabaret</t>
        </is>
      </c>
      <c r="C1691" s="27" t="n">
        <v>45822</v>
      </c>
      <c r="D1691" t="n">
        <v>0</v>
      </c>
      <c r="E1691" t="inlineStr">
        <is>
          <t>APP</t>
        </is>
      </c>
    </row>
    <row r="1692">
      <c r="A1692" t="n">
        <v>128</v>
      </c>
      <c r="B1692" t="inlineStr">
        <is>
          <t>Love Cabaret</t>
        </is>
      </c>
      <c r="C1692" s="27" t="n">
        <v>45822</v>
      </c>
      <c r="D1692" t="n">
        <v>0</v>
      </c>
      <c r="E1692" t="inlineStr">
        <is>
          <t>VOUCHER</t>
        </is>
      </c>
    </row>
    <row r="1693">
      <c r="A1693" t="n">
        <v>128</v>
      </c>
      <c r="B1693" t="inlineStr">
        <is>
          <t>Love Cabaret</t>
        </is>
      </c>
      <c r="C1693" s="27" t="n">
        <v>45821</v>
      </c>
      <c r="D1693" t="n">
        <v>0</v>
      </c>
      <c r="E1693" t="inlineStr">
        <is>
          <t>ANTECIPADO</t>
        </is>
      </c>
    </row>
    <row r="1694">
      <c r="A1694" t="n">
        <v>128</v>
      </c>
      <c r="B1694" t="inlineStr">
        <is>
          <t>Love Cabaret</t>
        </is>
      </c>
      <c r="C1694" s="27" t="n">
        <v>45821</v>
      </c>
      <c r="D1694" t="n">
        <v>0</v>
      </c>
      <c r="E1694" t="inlineStr">
        <is>
          <t>UBER</t>
        </is>
      </c>
    </row>
    <row r="1695">
      <c r="A1695" t="n">
        <v>128</v>
      </c>
      <c r="B1695" t="inlineStr">
        <is>
          <t>Love Cabaret</t>
        </is>
      </c>
      <c r="C1695" s="27" t="n">
        <v>45821</v>
      </c>
      <c r="D1695" t="n">
        <v>0</v>
      </c>
      <c r="E1695" t="inlineStr">
        <is>
          <t>RAPPI</t>
        </is>
      </c>
    </row>
    <row r="1696">
      <c r="A1696" t="n">
        <v>128</v>
      </c>
      <c r="B1696" t="inlineStr">
        <is>
          <t>Love Cabaret</t>
        </is>
      </c>
      <c r="C1696" s="27" t="n">
        <v>45821</v>
      </c>
      <c r="D1696" t="n">
        <v>1097.92</v>
      </c>
      <c r="E1696" t="inlineStr">
        <is>
          <t>PIX</t>
        </is>
      </c>
    </row>
    <row r="1697">
      <c r="A1697" t="n">
        <v>128</v>
      </c>
      <c r="B1697" t="inlineStr">
        <is>
          <t>Love Cabaret</t>
        </is>
      </c>
      <c r="C1697" s="27" t="n">
        <v>45821</v>
      </c>
      <c r="D1697" t="n">
        <v>0</v>
      </c>
      <c r="E1697" t="inlineStr">
        <is>
          <t>IFOOD</t>
        </is>
      </c>
    </row>
    <row r="1698">
      <c r="A1698" t="n">
        <v>128</v>
      </c>
      <c r="B1698" t="inlineStr">
        <is>
          <t>Love Cabaret</t>
        </is>
      </c>
      <c r="C1698" s="27" t="n">
        <v>45821</v>
      </c>
      <c r="D1698" t="n">
        <v>0</v>
      </c>
      <c r="E1698" t="inlineStr">
        <is>
          <t>DELIVERY ONLINE</t>
        </is>
      </c>
    </row>
    <row r="1699">
      <c r="A1699" t="n">
        <v>128</v>
      </c>
      <c r="B1699" t="inlineStr">
        <is>
          <t>Love Cabaret</t>
        </is>
      </c>
      <c r="C1699" s="27" t="n">
        <v>45821</v>
      </c>
      <c r="D1699" t="n">
        <v>0</v>
      </c>
      <c r="E1699" t="inlineStr">
        <is>
          <t>APP</t>
        </is>
      </c>
    </row>
    <row r="1700">
      <c r="A1700" t="n">
        <v>128</v>
      </c>
      <c r="B1700" t="inlineStr">
        <is>
          <t>Love Cabaret</t>
        </is>
      </c>
      <c r="C1700" s="27" t="n">
        <v>45821</v>
      </c>
      <c r="D1700" t="n">
        <v>0</v>
      </c>
      <c r="E1700" t="inlineStr">
        <is>
          <t>DINHEIRO</t>
        </is>
      </c>
    </row>
    <row r="1701">
      <c r="A1701" t="n">
        <v>128</v>
      </c>
      <c r="B1701" t="inlineStr">
        <is>
          <t>Love Cabaret</t>
        </is>
      </c>
      <c r="C1701" s="27" t="n">
        <v>45821</v>
      </c>
      <c r="D1701" t="n">
        <v>22040.32</v>
      </c>
      <c r="E1701" t="inlineStr">
        <is>
          <t>CRÉDITO</t>
        </is>
      </c>
    </row>
    <row r="1702">
      <c r="A1702" t="n">
        <v>128</v>
      </c>
      <c r="B1702" t="inlineStr">
        <is>
          <t>Love Cabaret</t>
        </is>
      </c>
      <c r="C1702" s="27" t="n">
        <v>45821</v>
      </c>
      <c r="D1702" t="n">
        <v>0</v>
      </c>
      <c r="E1702" t="inlineStr">
        <is>
          <t>VOUCHER</t>
        </is>
      </c>
    </row>
    <row r="1703">
      <c r="A1703" t="n">
        <v>128</v>
      </c>
      <c r="B1703" t="inlineStr">
        <is>
          <t>Love Cabaret</t>
        </is>
      </c>
      <c r="C1703" s="27" t="n">
        <v>45821</v>
      </c>
      <c r="D1703" t="n">
        <v>5004.44</v>
      </c>
      <c r="E1703" t="inlineStr">
        <is>
          <t>DÉBITO</t>
        </is>
      </c>
    </row>
    <row r="1704">
      <c r="A1704" t="n">
        <v>128</v>
      </c>
      <c r="B1704" t="inlineStr">
        <is>
          <t>Love Cabaret</t>
        </is>
      </c>
      <c r="C1704" s="27" t="n">
        <v>45821</v>
      </c>
      <c r="D1704" t="n">
        <v>0</v>
      </c>
      <c r="E1704" t="inlineStr">
        <is>
          <t>BÔNUS</t>
        </is>
      </c>
    </row>
    <row r="1705">
      <c r="A1705" t="n">
        <v>128</v>
      </c>
      <c r="B1705" t="inlineStr">
        <is>
          <t>Love Cabaret</t>
        </is>
      </c>
      <c r="C1705" s="27" t="n">
        <v>45821</v>
      </c>
      <c r="D1705" t="n">
        <v>0</v>
      </c>
      <c r="E1705" t="inlineStr">
        <is>
          <t>ANTECIPADO</t>
        </is>
      </c>
    </row>
    <row r="1706">
      <c r="A1706" t="n">
        <v>128</v>
      </c>
      <c r="B1706" t="inlineStr">
        <is>
          <t>Love Cabaret</t>
        </is>
      </c>
      <c r="C1706" s="27" t="n">
        <v>45821</v>
      </c>
      <c r="D1706" t="n">
        <v>0</v>
      </c>
      <c r="E1706" t="inlineStr">
        <is>
          <t>OUTROS</t>
        </is>
      </c>
    </row>
    <row r="1707">
      <c r="A1707" t="n">
        <v>128</v>
      </c>
      <c r="B1707" t="inlineStr">
        <is>
          <t>Love Cabaret</t>
        </is>
      </c>
      <c r="C1707" s="27" t="n">
        <v>45821</v>
      </c>
      <c r="D1707" t="n">
        <v>0</v>
      </c>
      <c r="E1707" t="inlineStr">
        <is>
          <t>AME</t>
        </is>
      </c>
    </row>
    <row r="1708">
      <c r="A1708" t="n">
        <v>128</v>
      </c>
      <c r="B1708" t="inlineStr">
        <is>
          <t>Love Cabaret</t>
        </is>
      </c>
      <c r="C1708" s="27" t="n">
        <v>45821</v>
      </c>
      <c r="D1708" t="n">
        <v>0</v>
      </c>
      <c r="E1708" t="inlineStr">
        <is>
          <t>NOTAS MANUAIS + SERVIÇO</t>
        </is>
      </c>
    </row>
    <row r="1709">
      <c r="A1709" t="n">
        <v>128</v>
      </c>
      <c r="B1709" t="inlineStr">
        <is>
          <t>Love Cabaret</t>
        </is>
      </c>
      <c r="C1709" s="27" t="n">
        <v>45821</v>
      </c>
      <c r="D1709" t="n">
        <v>0</v>
      </c>
      <c r="E1709" t="inlineStr">
        <is>
          <t>RECARGAS DEVOLVIDAS</t>
        </is>
      </c>
    </row>
    <row r="1710">
      <c r="A1710" t="n">
        <v>128</v>
      </c>
      <c r="B1710" t="inlineStr">
        <is>
          <t>Love Cabaret</t>
        </is>
      </c>
      <c r="C1710" s="27" t="n">
        <v>45821</v>
      </c>
      <c r="D1710" t="n">
        <v>0</v>
      </c>
      <c r="E1710" t="inlineStr">
        <is>
          <t>VOUCHER INTEGRADO</t>
        </is>
      </c>
    </row>
    <row r="1711">
      <c r="A1711" t="n">
        <v>128</v>
      </c>
      <c r="B1711" t="inlineStr">
        <is>
          <t>Love Cabaret</t>
        </is>
      </c>
      <c r="C1711" s="27" t="n">
        <v>45821</v>
      </c>
      <c r="D1711" t="n">
        <v>0</v>
      </c>
      <c r="E1711" t="inlineStr">
        <is>
          <t>MBWAY</t>
        </is>
      </c>
    </row>
    <row r="1712">
      <c r="A1712" t="n">
        <v>128</v>
      </c>
      <c r="B1712" t="inlineStr">
        <is>
          <t>Love Cabaret</t>
        </is>
      </c>
      <c r="C1712" s="27" t="n">
        <v>45820</v>
      </c>
      <c r="D1712" t="n">
        <v>0</v>
      </c>
      <c r="E1712" t="inlineStr">
        <is>
          <t>MBWAY</t>
        </is>
      </c>
    </row>
    <row r="1713">
      <c r="A1713" t="n">
        <v>128</v>
      </c>
      <c r="B1713" t="inlineStr">
        <is>
          <t>Love Cabaret</t>
        </is>
      </c>
      <c r="C1713" s="27" t="n">
        <v>45820</v>
      </c>
      <c r="D1713" t="n">
        <v>12415.77</v>
      </c>
      <c r="E1713" t="inlineStr">
        <is>
          <t>CRÉDITO</t>
        </is>
      </c>
    </row>
    <row r="1714">
      <c r="A1714" t="n">
        <v>128</v>
      </c>
      <c r="B1714" t="inlineStr">
        <is>
          <t>Love Cabaret</t>
        </is>
      </c>
      <c r="C1714" s="27" t="n">
        <v>45820</v>
      </c>
      <c r="D1714" t="n">
        <v>0</v>
      </c>
      <c r="E1714" t="inlineStr">
        <is>
          <t>DINHEIRO</t>
        </is>
      </c>
    </row>
    <row r="1715">
      <c r="A1715" t="n">
        <v>128</v>
      </c>
      <c r="B1715" t="inlineStr">
        <is>
          <t>Love Cabaret</t>
        </is>
      </c>
      <c r="C1715" s="27" t="n">
        <v>45820</v>
      </c>
      <c r="D1715" t="n">
        <v>0</v>
      </c>
      <c r="E1715" t="inlineStr">
        <is>
          <t>APP</t>
        </is>
      </c>
    </row>
    <row r="1716">
      <c r="A1716" t="n">
        <v>128</v>
      </c>
      <c r="B1716" t="inlineStr">
        <is>
          <t>Love Cabaret</t>
        </is>
      </c>
      <c r="C1716" s="27" t="n">
        <v>45820</v>
      </c>
      <c r="D1716" t="n">
        <v>0</v>
      </c>
      <c r="E1716" t="inlineStr">
        <is>
          <t>DELIVERY ONLINE</t>
        </is>
      </c>
    </row>
    <row r="1717">
      <c r="A1717" t="n">
        <v>128</v>
      </c>
      <c r="B1717" t="inlineStr">
        <is>
          <t>Love Cabaret</t>
        </is>
      </c>
      <c r="C1717" s="27" t="n">
        <v>45820</v>
      </c>
      <c r="D1717" t="n">
        <v>0</v>
      </c>
      <c r="E1717" t="inlineStr">
        <is>
          <t>IFOOD</t>
        </is>
      </c>
    </row>
    <row r="1718">
      <c r="A1718" t="n">
        <v>128</v>
      </c>
      <c r="B1718" t="inlineStr">
        <is>
          <t>Love Cabaret</t>
        </is>
      </c>
      <c r="C1718" s="27" t="n">
        <v>45820</v>
      </c>
      <c r="D1718" t="n">
        <v>450.2</v>
      </c>
      <c r="E1718" t="inlineStr">
        <is>
          <t>PIX</t>
        </is>
      </c>
    </row>
    <row r="1719">
      <c r="A1719" t="n">
        <v>128</v>
      </c>
      <c r="B1719" t="inlineStr">
        <is>
          <t>Love Cabaret</t>
        </is>
      </c>
      <c r="C1719" s="27" t="n">
        <v>45820</v>
      </c>
      <c r="D1719" t="n">
        <v>0</v>
      </c>
      <c r="E1719" t="inlineStr">
        <is>
          <t>RAPPI</t>
        </is>
      </c>
    </row>
    <row r="1720">
      <c r="A1720" t="n">
        <v>128</v>
      </c>
      <c r="B1720" t="inlineStr">
        <is>
          <t>Love Cabaret</t>
        </is>
      </c>
      <c r="C1720" s="27" t="n">
        <v>45820</v>
      </c>
      <c r="D1720" t="n">
        <v>0</v>
      </c>
      <c r="E1720" t="inlineStr">
        <is>
          <t>UBER</t>
        </is>
      </c>
    </row>
    <row r="1721">
      <c r="A1721" t="n">
        <v>128</v>
      </c>
      <c r="B1721" t="inlineStr">
        <is>
          <t>Love Cabaret</t>
        </is>
      </c>
      <c r="C1721" s="27" t="n">
        <v>45820</v>
      </c>
      <c r="D1721" t="n">
        <v>0</v>
      </c>
      <c r="E1721" t="inlineStr">
        <is>
          <t>ANTECIPADO</t>
        </is>
      </c>
    </row>
    <row r="1722">
      <c r="A1722" t="n">
        <v>128</v>
      </c>
      <c r="B1722" t="inlineStr">
        <is>
          <t>Love Cabaret</t>
        </is>
      </c>
      <c r="C1722" s="27" t="n">
        <v>45820</v>
      </c>
      <c r="D1722" t="n">
        <v>2451.05</v>
      </c>
      <c r="E1722" t="inlineStr">
        <is>
          <t>DÉBITO</t>
        </is>
      </c>
    </row>
    <row r="1723">
      <c r="A1723" t="n">
        <v>128</v>
      </c>
      <c r="B1723" t="inlineStr">
        <is>
          <t>Love Cabaret</t>
        </is>
      </c>
      <c r="C1723" s="27" t="n">
        <v>45820</v>
      </c>
      <c r="D1723" t="n">
        <v>0</v>
      </c>
      <c r="E1723" t="inlineStr">
        <is>
          <t>BÔNUS</t>
        </is>
      </c>
    </row>
    <row r="1724">
      <c r="A1724" t="n">
        <v>128</v>
      </c>
      <c r="B1724" t="inlineStr">
        <is>
          <t>Love Cabaret</t>
        </is>
      </c>
      <c r="C1724" s="27" t="n">
        <v>45820</v>
      </c>
      <c r="D1724" t="n">
        <v>0</v>
      </c>
      <c r="E1724" t="inlineStr">
        <is>
          <t>ANTECIPADO</t>
        </is>
      </c>
    </row>
    <row r="1725">
      <c r="A1725" t="n">
        <v>128</v>
      </c>
      <c r="B1725" t="inlineStr">
        <is>
          <t>Love Cabaret</t>
        </is>
      </c>
      <c r="C1725" s="27" t="n">
        <v>45820</v>
      </c>
      <c r="D1725" t="n">
        <v>0</v>
      </c>
      <c r="E1725" t="inlineStr">
        <is>
          <t>OUTROS</t>
        </is>
      </c>
    </row>
    <row r="1726">
      <c r="A1726" t="n">
        <v>128</v>
      </c>
      <c r="B1726" t="inlineStr">
        <is>
          <t>Love Cabaret</t>
        </is>
      </c>
      <c r="C1726" s="27" t="n">
        <v>45820</v>
      </c>
      <c r="D1726" t="n">
        <v>0</v>
      </c>
      <c r="E1726" t="inlineStr">
        <is>
          <t>AME</t>
        </is>
      </c>
    </row>
    <row r="1727">
      <c r="A1727" t="n">
        <v>128</v>
      </c>
      <c r="B1727" t="inlineStr">
        <is>
          <t>Love Cabaret</t>
        </is>
      </c>
      <c r="C1727" s="27" t="n">
        <v>45820</v>
      </c>
      <c r="D1727" t="n">
        <v>0</v>
      </c>
      <c r="E1727" t="inlineStr">
        <is>
          <t>NOTAS MANUAIS + SERVIÇO</t>
        </is>
      </c>
    </row>
    <row r="1728">
      <c r="A1728" t="n">
        <v>128</v>
      </c>
      <c r="B1728" t="inlineStr">
        <is>
          <t>Love Cabaret</t>
        </is>
      </c>
      <c r="C1728" s="27" t="n">
        <v>45820</v>
      </c>
      <c r="D1728" t="n">
        <v>0</v>
      </c>
      <c r="E1728" t="inlineStr">
        <is>
          <t>RECARGAS DEVOLVIDAS</t>
        </is>
      </c>
    </row>
    <row r="1729">
      <c r="A1729" t="n">
        <v>128</v>
      </c>
      <c r="B1729" t="inlineStr">
        <is>
          <t>Love Cabaret</t>
        </is>
      </c>
      <c r="C1729" s="27" t="n">
        <v>45820</v>
      </c>
      <c r="D1729" t="n">
        <v>0</v>
      </c>
      <c r="E1729" t="inlineStr">
        <is>
          <t>VOUCHER INTEGRADO</t>
        </is>
      </c>
    </row>
    <row r="1730">
      <c r="A1730" t="n">
        <v>128</v>
      </c>
      <c r="B1730" t="inlineStr">
        <is>
          <t>Love Cabaret</t>
        </is>
      </c>
      <c r="C1730" s="27" t="n">
        <v>45820</v>
      </c>
      <c r="D1730" t="n">
        <v>0</v>
      </c>
      <c r="E1730" t="inlineStr">
        <is>
          <t>VOUCHER</t>
        </is>
      </c>
    </row>
    <row r="1731">
      <c r="A1731" t="n">
        <v>128</v>
      </c>
      <c r="B1731" t="inlineStr">
        <is>
          <t>Love Cabaret</t>
        </is>
      </c>
      <c r="C1731" s="27" t="n">
        <v>45815</v>
      </c>
      <c r="D1731" t="n">
        <v>0</v>
      </c>
      <c r="E1731" t="inlineStr">
        <is>
          <t>ANTECIPADO</t>
        </is>
      </c>
    </row>
    <row r="1732">
      <c r="A1732" t="n">
        <v>128</v>
      </c>
      <c r="B1732" t="inlineStr">
        <is>
          <t>Love Cabaret</t>
        </is>
      </c>
      <c r="C1732" s="27" t="n">
        <v>45815</v>
      </c>
      <c r="D1732" t="n">
        <v>0</v>
      </c>
      <c r="E1732" t="inlineStr">
        <is>
          <t>BÔNUS</t>
        </is>
      </c>
    </row>
    <row r="1733">
      <c r="A1733" t="n">
        <v>128</v>
      </c>
      <c r="B1733" t="inlineStr">
        <is>
          <t>Love Cabaret</t>
        </is>
      </c>
      <c r="C1733" s="27" t="n">
        <v>45815</v>
      </c>
      <c r="D1733" t="n">
        <v>0</v>
      </c>
      <c r="E1733" t="inlineStr">
        <is>
          <t>MBWAY</t>
        </is>
      </c>
    </row>
    <row r="1734">
      <c r="A1734" t="n">
        <v>128</v>
      </c>
      <c r="B1734" t="inlineStr">
        <is>
          <t>Love Cabaret</t>
        </is>
      </c>
      <c r="C1734" s="27" t="n">
        <v>45815</v>
      </c>
      <c r="D1734" t="n">
        <v>0</v>
      </c>
      <c r="E1734" t="inlineStr">
        <is>
          <t>VOUCHER INTEGRADO</t>
        </is>
      </c>
    </row>
    <row r="1735">
      <c r="A1735" t="n">
        <v>128</v>
      </c>
      <c r="B1735" t="inlineStr">
        <is>
          <t>Love Cabaret</t>
        </is>
      </c>
      <c r="C1735" s="27" t="n">
        <v>45815</v>
      </c>
      <c r="D1735" t="n">
        <v>0</v>
      </c>
      <c r="E1735" t="inlineStr">
        <is>
          <t>RECARGAS DEVOLVIDAS</t>
        </is>
      </c>
    </row>
    <row r="1736">
      <c r="A1736" t="n">
        <v>128</v>
      </c>
      <c r="B1736" t="inlineStr">
        <is>
          <t>Love Cabaret</t>
        </is>
      </c>
      <c r="C1736" s="27" t="n">
        <v>45815</v>
      </c>
      <c r="D1736" t="n">
        <v>0</v>
      </c>
      <c r="E1736" t="inlineStr">
        <is>
          <t>NOTAS MANUAIS + SERVIÇO</t>
        </is>
      </c>
    </row>
    <row r="1737">
      <c r="A1737" t="n">
        <v>128</v>
      </c>
      <c r="B1737" t="inlineStr">
        <is>
          <t>Love Cabaret</t>
        </is>
      </c>
      <c r="C1737" s="27" t="n">
        <v>45815</v>
      </c>
      <c r="D1737" t="n">
        <v>0</v>
      </c>
      <c r="E1737" t="inlineStr">
        <is>
          <t>AME</t>
        </is>
      </c>
    </row>
    <row r="1738">
      <c r="A1738" t="n">
        <v>128</v>
      </c>
      <c r="B1738" t="inlineStr">
        <is>
          <t>Love Cabaret</t>
        </is>
      </c>
      <c r="C1738" s="27" t="n">
        <v>45815</v>
      </c>
      <c r="D1738" t="n">
        <v>16586.37</v>
      </c>
      <c r="E1738" t="inlineStr">
        <is>
          <t>CRÉDITO</t>
        </is>
      </c>
    </row>
    <row r="1739">
      <c r="A1739" t="n">
        <v>128</v>
      </c>
      <c r="B1739" t="inlineStr">
        <is>
          <t>Love Cabaret</t>
        </is>
      </c>
      <c r="C1739" s="27" t="n">
        <v>45815</v>
      </c>
      <c r="D1739" t="n">
        <v>253.34</v>
      </c>
      <c r="E1739" t="inlineStr">
        <is>
          <t>DINHEIRO</t>
        </is>
      </c>
    </row>
    <row r="1740">
      <c r="A1740" t="n">
        <v>128</v>
      </c>
      <c r="B1740" t="inlineStr">
        <is>
          <t>Love Cabaret</t>
        </is>
      </c>
      <c r="C1740" s="27" t="n">
        <v>45815</v>
      </c>
      <c r="D1740" t="n">
        <v>0</v>
      </c>
      <c r="E1740" t="inlineStr">
        <is>
          <t>APP</t>
        </is>
      </c>
    </row>
    <row r="1741">
      <c r="A1741" t="n">
        <v>128</v>
      </c>
      <c r="B1741" t="inlineStr">
        <is>
          <t>Love Cabaret</t>
        </is>
      </c>
      <c r="C1741" s="27" t="n">
        <v>45815</v>
      </c>
      <c r="D1741" t="n">
        <v>0</v>
      </c>
      <c r="E1741" t="inlineStr">
        <is>
          <t>DELIVERY ONLINE</t>
        </is>
      </c>
    </row>
    <row r="1742">
      <c r="A1742" t="n">
        <v>128</v>
      </c>
      <c r="B1742" t="inlineStr">
        <is>
          <t>Love Cabaret</t>
        </is>
      </c>
      <c r="C1742" s="27" t="n">
        <v>45815</v>
      </c>
      <c r="D1742" t="n">
        <v>7303.74</v>
      </c>
      <c r="E1742" t="inlineStr">
        <is>
          <t>DÉBITO</t>
        </is>
      </c>
    </row>
    <row r="1743">
      <c r="A1743" t="n">
        <v>128</v>
      </c>
      <c r="B1743" t="inlineStr">
        <is>
          <t>Love Cabaret</t>
        </is>
      </c>
      <c r="C1743" s="27" t="n">
        <v>45815</v>
      </c>
      <c r="D1743" t="n">
        <v>0</v>
      </c>
      <c r="E1743" t="inlineStr">
        <is>
          <t>VOUCHER</t>
        </is>
      </c>
    </row>
    <row r="1744">
      <c r="A1744" t="n">
        <v>128</v>
      </c>
      <c r="B1744" t="inlineStr">
        <is>
          <t>Love Cabaret</t>
        </is>
      </c>
      <c r="C1744" s="27" t="n">
        <v>45815</v>
      </c>
      <c r="D1744" t="n">
        <v>0</v>
      </c>
      <c r="E1744" t="inlineStr">
        <is>
          <t>ANTECIPADO</t>
        </is>
      </c>
    </row>
    <row r="1745">
      <c r="A1745" t="n">
        <v>128</v>
      </c>
      <c r="B1745" t="inlineStr">
        <is>
          <t>Love Cabaret</t>
        </is>
      </c>
      <c r="C1745" s="27" t="n">
        <v>45815</v>
      </c>
      <c r="D1745" t="n">
        <v>0</v>
      </c>
      <c r="E1745" t="inlineStr">
        <is>
          <t>UBER</t>
        </is>
      </c>
    </row>
    <row r="1746">
      <c r="A1746" t="n">
        <v>128</v>
      </c>
      <c r="B1746" t="inlineStr">
        <is>
          <t>Love Cabaret</t>
        </is>
      </c>
      <c r="C1746" s="27" t="n">
        <v>45815</v>
      </c>
      <c r="D1746" t="n">
        <v>0</v>
      </c>
      <c r="E1746" t="inlineStr">
        <is>
          <t>RAPPI</t>
        </is>
      </c>
    </row>
    <row r="1747">
      <c r="A1747" t="n">
        <v>128</v>
      </c>
      <c r="B1747" t="inlineStr">
        <is>
          <t>Love Cabaret</t>
        </is>
      </c>
      <c r="C1747" s="27" t="n">
        <v>45815</v>
      </c>
      <c r="D1747" t="n">
        <v>1761.2</v>
      </c>
      <c r="E1747" t="inlineStr">
        <is>
          <t>PIX</t>
        </is>
      </c>
    </row>
    <row r="1748">
      <c r="A1748" t="n">
        <v>128</v>
      </c>
      <c r="B1748" t="inlineStr">
        <is>
          <t>Love Cabaret</t>
        </is>
      </c>
      <c r="C1748" s="27" t="n">
        <v>45815</v>
      </c>
      <c r="D1748" t="n">
        <v>0</v>
      </c>
      <c r="E1748" t="inlineStr">
        <is>
          <t>IFOOD</t>
        </is>
      </c>
    </row>
    <row r="1749">
      <c r="A1749" t="n">
        <v>128</v>
      </c>
      <c r="B1749" t="inlineStr">
        <is>
          <t>Love Cabaret</t>
        </is>
      </c>
      <c r="C1749" s="27" t="n">
        <v>45815</v>
      </c>
      <c r="D1749" t="n">
        <v>0</v>
      </c>
      <c r="E1749" t="inlineStr">
        <is>
          <t>OUTROS</t>
        </is>
      </c>
    </row>
    <row r="1750">
      <c r="A1750" t="n">
        <v>128</v>
      </c>
      <c r="B1750" t="inlineStr">
        <is>
          <t>Love Cabaret</t>
        </is>
      </c>
      <c r="C1750" s="27" t="n">
        <v>45814</v>
      </c>
      <c r="D1750" t="n">
        <v>0</v>
      </c>
      <c r="E1750" t="inlineStr">
        <is>
          <t>VOUCHER INTEGRADO</t>
        </is>
      </c>
    </row>
    <row r="1751">
      <c r="A1751" t="n">
        <v>128</v>
      </c>
      <c r="B1751" t="inlineStr">
        <is>
          <t>Love Cabaret</t>
        </is>
      </c>
      <c r="C1751" s="27" t="n">
        <v>45814</v>
      </c>
      <c r="D1751" t="n">
        <v>0</v>
      </c>
      <c r="E1751" t="inlineStr">
        <is>
          <t>MBWAY</t>
        </is>
      </c>
    </row>
    <row r="1752">
      <c r="A1752" t="n">
        <v>128</v>
      </c>
      <c r="B1752" t="inlineStr">
        <is>
          <t>Love Cabaret</t>
        </is>
      </c>
      <c r="C1752" s="27" t="n">
        <v>45814</v>
      </c>
      <c r="D1752" t="n">
        <v>0</v>
      </c>
      <c r="E1752" t="inlineStr">
        <is>
          <t>RECARGAS DEVOLVIDAS</t>
        </is>
      </c>
    </row>
    <row r="1753">
      <c r="A1753" t="n">
        <v>128</v>
      </c>
      <c r="B1753" t="inlineStr">
        <is>
          <t>Love Cabaret</t>
        </is>
      </c>
      <c r="C1753" s="27" t="n">
        <v>45814</v>
      </c>
      <c r="D1753" t="n">
        <v>0</v>
      </c>
      <c r="E1753" t="inlineStr">
        <is>
          <t>NOTAS MANUAIS + SERVIÇO</t>
        </is>
      </c>
    </row>
    <row r="1754">
      <c r="A1754" t="n">
        <v>128</v>
      </c>
      <c r="B1754" t="inlineStr">
        <is>
          <t>Love Cabaret</t>
        </is>
      </c>
      <c r="C1754" s="27" t="n">
        <v>45814</v>
      </c>
      <c r="D1754" t="n">
        <v>0</v>
      </c>
      <c r="E1754" t="inlineStr">
        <is>
          <t>AME</t>
        </is>
      </c>
    </row>
    <row r="1755">
      <c r="A1755" t="n">
        <v>128</v>
      </c>
      <c r="B1755" t="inlineStr">
        <is>
          <t>Love Cabaret</t>
        </is>
      </c>
      <c r="C1755" s="27" t="n">
        <v>45814</v>
      </c>
      <c r="D1755" t="n">
        <v>0</v>
      </c>
      <c r="E1755" t="inlineStr">
        <is>
          <t>OUTROS</t>
        </is>
      </c>
    </row>
    <row r="1756">
      <c r="A1756" t="n">
        <v>128</v>
      </c>
      <c r="B1756" t="inlineStr">
        <is>
          <t>Love Cabaret</t>
        </is>
      </c>
      <c r="C1756" s="27" t="n">
        <v>45814</v>
      </c>
      <c r="D1756" t="n">
        <v>0</v>
      </c>
      <c r="E1756" t="inlineStr">
        <is>
          <t>ANTECIPADO</t>
        </is>
      </c>
    </row>
    <row r="1757">
      <c r="A1757" t="n">
        <v>128</v>
      </c>
      <c r="B1757" t="inlineStr">
        <is>
          <t>Love Cabaret</t>
        </is>
      </c>
      <c r="C1757" s="27" t="n">
        <v>45814</v>
      </c>
      <c r="D1757" t="n">
        <v>0</v>
      </c>
      <c r="E1757" t="inlineStr">
        <is>
          <t>BÔNUS</t>
        </is>
      </c>
    </row>
    <row r="1758">
      <c r="A1758" t="n">
        <v>128</v>
      </c>
      <c r="B1758" t="inlineStr">
        <is>
          <t>Love Cabaret</t>
        </is>
      </c>
      <c r="C1758" s="27" t="n">
        <v>45814</v>
      </c>
      <c r="D1758" t="n">
        <v>6981.57</v>
      </c>
      <c r="E1758" t="inlineStr">
        <is>
          <t>DÉBITO</t>
        </is>
      </c>
    </row>
    <row r="1759">
      <c r="A1759" t="n">
        <v>128</v>
      </c>
      <c r="B1759" t="inlineStr">
        <is>
          <t>Love Cabaret</t>
        </is>
      </c>
      <c r="C1759" s="27" t="n">
        <v>45814</v>
      </c>
      <c r="D1759" t="n">
        <v>0</v>
      </c>
      <c r="E1759" t="inlineStr">
        <is>
          <t>VOUCHER</t>
        </is>
      </c>
    </row>
    <row r="1760">
      <c r="A1760" t="n">
        <v>128</v>
      </c>
      <c r="B1760" t="inlineStr">
        <is>
          <t>Love Cabaret</t>
        </is>
      </c>
      <c r="C1760" s="27" t="n">
        <v>45814</v>
      </c>
      <c r="D1760" t="n">
        <v>0</v>
      </c>
      <c r="E1760" t="inlineStr">
        <is>
          <t>UBER</t>
        </is>
      </c>
    </row>
    <row r="1761">
      <c r="A1761" t="n">
        <v>128</v>
      </c>
      <c r="B1761" t="inlineStr">
        <is>
          <t>Love Cabaret</t>
        </is>
      </c>
      <c r="C1761" s="27" t="n">
        <v>45814</v>
      </c>
      <c r="D1761" t="n">
        <v>0</v>
      </c>
      <c r="E1761" t="inlineStr">
        <is>
          <t>RAPPI</t>
        </is>
      </c>
    </row>
    <row r="1762">
      <c r="A1762" t="n">
        <v>128</v>
      </c>
      <c r="B1762" t="inlineStr">
        <is>
          <t>Love Cabaret</t>
        </is>
      </c>
      <c r="C1762" s="27" t="n">
        <v>45814</v>
      </c>
      <c r="D1762" t="n">
        <v>392.48</v>
      </c>
      <c r="E1762" t="inlineStr">
        <is>
          <t>PIX</t>
        </is>
      </c>
    </row>
    <row r="1763">
      <c r="A1763" t="n">
        <v>128</v>
      </c>
      <c r="B1763" t="inlineStr">
        <is>
          <t>Love Cabaret</t>
        </is>
      </c>
      <c r="C1763" s="27" t="n">
        <v>45814</v>
      </c>
      <c r="D1763" t="n">
        <v>17682.84</v>
      </c>
      <c r="E1763" t="inlineStr">
        <is>
          <t>CRÉDITO</t>
        </is>
      </c>
    </row>
    <row r="1764">
      <c r="A1764" t="n">
        <v>128</v>
      </c>
      <c r="B1764" t="inlineStr">
        <is>
          <t>Love Cabaret</t>
        </is>
      </c>
      <c r="C1764" s="27" t="n">
        <v>45814</v>
      </c>
      <c r="D1764" t="n">
        <v>503.4</v>
      </c>
      <c r="E1764" t="inlineStr">
        <is>
          <t>DINHEIRO</t>
        </is>
      </c>
    </row>
    <row r="1765">
      <c r="A1765" t="n">
        <v>128</v>
      </c>
      <c r="B1765" t="inlineStr">
        <is>
          <t>Love Cabaret</t>
        </is>
      </c>
      <c r="C1765" s="27" t="n">
        <v>45814</v>
      </c>
      <c r="D1765" t="n">
        <v>0</v>
      </c>
      <c r="E1765" t="inlineStr">
        <is>
          <t>APP</t>
        </is>
      </c>
    </row>
    <row r="1766">
      <c r="A1766" t="n">
        <v>128</v>
      </c>
      <c r="B1766" t="inlineStr">
        <is>
          <t>Love Cabaret</t>
        </is>
      </c>
      <c r="C1766" s="27" t="n">
        <v>45814</v>
      </c>
      <c r="D1766" t="n">
        <v>0</v>
      </c>
      <c r="E1766" t="inlineStr">
        <is>
          <t>DELIVERY ONLINE</t>
        </is>
      </c>
    </row>
    <row r="1767">
      <c r="A1767" t="n">
        <v>128</v>
      </c>
      <c r="B1767" t="inlineStr">
        <is>
          <t>Love Cabaret</t>
        </is>
      </c>
      <c r="C1767" s="27" t="n">
        <v>45814</v>
      </c>
      <c r="D1767" t="n">
        <v>0</v>
      </c>
      <c r="E1767" t="inlineStr">
        <is>
          <t>IFOOD</t>
        </is>
      </c>
    </row>
    <row r="1768">
      <c r="A1768" t="n">
        <v>128</v>
      </c>
      <c r="B1768" t="inlineStr">
        <is>
          <t>Love Cabaret</t>
        </is>
      </c>
      <c r="C1768" s="27" t="n">
        <v>45814</v>
      </c>
      <c r="D1768" t="n">
        <v>0</v>
      </c>
      <c r="E1768" t="inlineStr">
        <is>
          <t>ANTECIPADO</t>
        </is>
      </c>
    </row>
    <row r="1769">
      <c r="A1769" t="n">
        <v>128</v>
      </c>
      <c r="B1769" t="inlineStr">
        <is>
          <t>Love Cabaret</t>
        </is>
      </c>
      <c r="C1769" s="27" t="n">
        <v>45813</v>
      </c>
      <c r="D1769" t="n">
        <v>0</v>
      </c>
      <c r="E1769" t="inlineStr">
        <is>
          <t>UBER</t>
        </is>
      </c>
    </row>
    <row r="1770">
      <c r="A1770" t="n">
        <v>128</v>
      </c>
      <c r="B1770" t="inlineStr">
        <is>
          <t>Love Cabaret</t>
        </is>
      </c>
      <c r="C1770" s="27" t="n">
        <v>45813</v>
      </c>
      <c r="D1770" t="n">
        <v>8680.91</v>
      </c>
      <c r="E1770" t="inlineStr">
        <is>
          <t>CRÉDITO</t>
        </is>
      </c>
    </row>
    <row r="1771">
      <c r="A1771" t="n">
        <v>128</v>
      </c>
      <c r="B1771" t="inlineStr">
        <is>
          <t>Love Cabaret</t>
        </is>
      </c>
      <c r="C1771" s="27" t="n">
        <v>45813</v>
      </c>
      <c r="D1771" t="n">
        <v>627.63</v>
      </c>
      <c r="E1771" t="inlineStr">
        <is>
          <t>DINHEIRO</t>
        </is>
      </c>
    </row>
    <row r="1772">
      <c r="A1772" t="n">
        <v>128</v>
      </c>
      <c r="B1772" t="inlineStr">
        <is>
          <t>Love Cabaret</t>
        </is>
      </c>
      <c r="C1772" s="27" t="n">
        <v>45813</v>
      </c>
      <c r="D1772" t="n">
        <v>0</v>
      </c>
      <c r="E1772" t="inlineStr">
        <is>
          <t>APP</t>
        </is>
      </c>
    </row>
    <row r="1773">
      <c r="A1773" t="n">
        <v>128</v>
      </c>
      <c r="B1773" t="inlineStr">
        <is>
          <t>Love Cabaret</t>
        </is>
      </c>
      <c r="C1773" s="27" t="n">
        <v>45813</v>
      </c>
      <c r="D1773" t="n">
        <v>0</v>
      </c>
      <c r="E1773" t="inlineStr">
        <is>
          <t>DELIVERY ONLINE</t>
        </is>
      </c>
    </row>
    <row r="1774">
      <c r="A1774" t="n">
        <v>128</v>
      </c>
      <c r="B1774" t="inlineStr">
        <is>
          <t>Love Cabaret</t>
        </is>
      </c>
      <c r="C1774" s="27" t="n">
        <v>45813</v>
      </c>
      <c r="D1774" t="n">
        <v>0</v>
      </c>
      <c r="E1774" t="inlineStr">
        <is>
          <t>IFOOD</t>
        </is>
      </c>
    </row>
    <row r="1775">
      <c r="A1775" t="n">
        <v>128</v>
      </c>
      <c r="B1775" t="inlineStr">
        <is>
          <t>Love Cabaret</t>
        </is>
      </c>
      <c r="C1775" s="27" t="n">
        <v>45813</v>
      </c>
      <c r="D1775" t="n">
        <v>1384.25</v>
      </c>
      <c r="E1775" t="inlineStr">
        <is>
          <t>PIX</t>
        </is>
      </c>
    </row>
    <row r="1776">
      <c r="A1776" t="n">
        <v>128</v>
      </c>
      <c r="B1776" t="inlineStr">
        <is>
          <t>Love Cabaret</t>
        </is>
      </c>
      <c r="C1776" s="27" t="n">
        <v>45813</v>
      </c>
      <c r="D1776" t="n">
        <v>0</v>
      </c>
      <c r="E1776" t="inlineStr">
        <is>
          <t>RAPPI</t>
        </is>
      </c>
    </row>
    <row r="1777">
      <c r="A1777" t="n">
        <v>128</v>
      </c>
      <c r="B1777" t="inlineStr">
        <is>
          <t>Love Cabaret</t>
        </is>
      </c>
      <c r="C1777" s="27" t="n">
        <v>45813</v>
      </c>
      <c r="D1777" t="n">
        <v>0</v>
      </c>
      <c r="E1777" t="inlineStr">
        <is>
          <t>ANTECIPADO</t>
        </is>
      </c>
    </row>
    <row r="1778">
      <c r="A1778" t="n">
        <v>128</v>
      </c>
      <c r="B1778" t="inlineStr">
        <is>
          <t>Love Cabaret</t>
        </is>
      </c>
      <c r="C1778" s="27" t="n">
        <v>45813</v>
      </c>
      <c r="D1778" t="n">
        <v>0</v>
      </c>
      <c r="E1778" t="inlineStr">
        <is>
          <t>VOUCHER</t>
        </is>
      </c>
    </row>
    <row r="1779">
      <c r="A1779" t="n">
        <v>128</v>
      </c>
      <c r="B1779" t="inlineStr">
        <is>
          <t>Love Cabaret</t>
        </is>
      </c>
      <c r="C1779" s="27" t="n">
        <v>45813</v>
      </c>
      <c r="D1779" t="n">
        <v>4009.81</v>
      </c>
      <c r="E1779" t="inlineStr">
        <is>
          <t>DÉBITO</t>
        </is>
      </c>
    </row>
    <row r="1780">
      <c r="A1780" t="n">
        <v>128</v>
      </c>
      <c r="B1780" t="inlineStr">
        <is>
          <t>Love Cabaret</t>
        </is>
      </c>
      <c r="C1780" s="27" t="n">
        <v>45813</v>
      </c>
      <c r="D1780" t="n">
        <v>0</v>
      </c>
      <c r="E1780" t="inlineStr">
        <is>
          <t>BÔNUS</t>
        </is>
      </c>
    </row>
    <row r="1781">
      <c r="A1781" t="n">
        <v>128</v>
      </c>
      <c r="B1781" t="inlineStr">
        <is>
          <t>Love Cabaret</t>
        </is>
      </c>
      <c r="C1781" s="27" t="n">
        <v>45813</v>
      </c>
      <c r="D1781" t="n">
        <v>0</v>
      </c>
      <c r="E1781" t="inlineStr">
        <is>
          <t>ANTECIPADO</t>
        </is>
      </c>
    </row>
    <row r="1782">
      <c r="A1782" t="n">
        <v>128</v>
      </c>
      <c r="B1782" t="inlineStr">
        <is>
          <t>Love Cabaret</t>
        </is>
      </c>
      <c r="C1782" s="27" t="n">
        <v>45813</v>
      </c>
      <c r="D1782" t="n">
        <v>0</v>
      </c>
      <c r="E1782" t="inlineStr">
        <is>
          <t>OUTROS</t>
        </is>
      </c>
    </row>
    <row r="1783">
      <c r="A1783" t="n">
        <v>128</v>
      </c>
      <c r="B1783" t="inlineStr">
        <is>
          <t>Love Cabaret</t>
        </is>
      </c>
      <c r="C1783" s="27" t="n">
        <v>45813</v>
      </c>
      <c r="D1783" t="n">
        <v>0</v>
      </c>
      <c r="E1783" t="inlineStr">
        <is>
          <t>AME</t>
        </is>
      </c>
    </row>
    <row r="1784">
      <c r="A1784" t="n">
        <v>128</v>
      </c>
      <c r="B1784" t="inlineStr">
        <is>
          <t>Love Cabaret</t>
        </is>
      </c>
      <c r="C1784" s="27" t="n">
        <v>45813</v>
      </c>
      <c r="D1784" t="n">
        <v>0</v>
      </c>
      <c r="E1784" t="inlineStr">
        <is>
          <t>NOTAS MANUAIS + SERVIÇO</t>
        </is>
      </c>
    </row>
    <row r="1785">
      <c r="A1785" t="n">
        <v>128</v>
      </c>
      <c r="B1785" t="inlineStr">
        <is>
          <t>Love Cabaret</t>
        </is>
      </c>
      <c r="C1785" s="27" t="n">
        <v>45813</v>
      </c>
      <c r="D1785" t="n">
        <v>0</v>
      </c>
      <c r="E1785" t="inlineStr">
        <is>
          <t>RECARGAS DEVOLVIDAS</t>
        </is>
      </c>
    </row>
    <row r="1786">
      <c r="A1786" t="n">
        <v>128</v>
      </c>
      <c r="B1786" t="inlineStr">
        <is>
          <t>Love Cabaret</t>
        </is>
      </c>
      <c r="C1786" s="27" t="n">
        <v>45813</v>
      </c>
      <c r="D1786" t="n">
        <v>0</v>
      </c>
      <c r="E1786" t="inlineStr">
        <is>
          <t>VOUCHER INTEGRADO</t>
        </is>
      </c>
    </row>
    <row r="1787">
      <c r="A1787" t="n">
        <v>128</v>
      </c>
      <c r="B1787" t="inlineStr">
        <is>
          <t>Love Cabaret</t>
        </is>
      </c>
      <c r="C1787" s="27" t="n">
        <v>45813</v>
      </c>
      <c r="D1787" t="n">
        <v>0</v>
      </c>
      <c r="E1787" t="inlineStr">
        <is>
          <t>MBWAY</t>
        </is>
      </c>
    </row>
    <row r="1788">
      <c r="A1788" t="n">
        <v>128</v>
      </c>
      <c r="B1788" t="inlineStr">
        <is>
          <t>Love Cabaret</t>
        </is>
      </c>
      <c r="C1788" s="27" t="n">
        <v>45808</v>
      </c>
      <c r="D1788" t="n">
        <v>0</v>
      </c>
      <c r="E1788" t="inlineStr">
        <is>
          <t>VOUCHER INTEGRADO</t>
        </is>
      </c>
    </row>
    <row r="1789">
      <c r="A1789" t="n">
        <v>128</v>
      </c>
      <c r="B1789" t="inlineStr">
        <is>
          <t>Love Cabaret</t>
        </is>
      </c>
      <c r="C1789" s="27" t="n">
        <v>45808</v>
      </c>
      <c r="D1789" t="n">
        <v>0</v>
      </c>
      <c r="E1789" t="inlineStr">
        <is>
          <t>MBWAY</t>
        </is>
      </c>
    </row>
    <row r="1790">
      <c r="A1790" t="n">
        <v>128</v>
      </c>
      <c r="B1790" t="inlineStr">
        <is>
          <t>Love Cabaret</t>
        </is>
      </c>
      <c r="C1790" s="27" t="n">
        <v>45808</v>
      </c>
      <c r="D1790" t="n">
        <v>527.71</v>
      </c>
      <c r="E1790" t="inlineStr">
        <is>
          <t>DINHEIRO</t>
        </is>
      </c>
    </row>
    <row r="1791">
      <c r="A1791" t="n">
        <v>128</v>
      </c>
      <c r="B1791" t="inlineStr">
        <is>
          <t>Love Cabaret</t>
        </is>
      </c>
      <c r="C1791" s="27" t="n">
        <v>45808</v>
      </c>
      <c r="D1791" t="n">
        <v>0</v>
      </c>
      <c r="E1791" t="inlineStr">
        <is>
          <t>RECARGAS DEVOLVIDAS</t>
        </is>
      </c>
    </row>
    <row r="1792">
      <c r="A1792" t="n">
        <v>128</v>
      </c>
      <c r="B1792" t="inlineStr">
        <is>
          <t>Love Cabaret</t>
        </is>
      </c>
      <c r="C1792" s="27" t="n">
        <v>45808</v>
      </c>
      <c r="D1792" t="n">
        <v>0</v>
      </c>
      <c r="E1792" t="inlineStr">
        <is>
          <t>NOTAS MANUAIS + SERVIÇO</t>
        </is>
      </c>
    </row>
    <row r="1793">
      <c r="A1793" t="n">
        <v>128</v>
      </c>
      <c r="B1793" t="inlineStr">
        <is>
          <t>Love Cabaret</t>
        </is>
      </c>
      <c r="C1793" s="27" t="n">
        <v>45808</v>
      </c>
      <c r="D1793" t="n">
        <v>0</v>
      </c>
      <c r="E1793" t="inlineStr">
        <is>
          <t>AME</t>
        </is>
      </c>
    </row>
    <row r="1794">
      <c r="A1794" t="n">
        <v>128</v>
      </c>
      <c r="B1794" t="inlineStr">
        <is>
          <t>Love Cabaret</t>
        </is>
      </c>
      <c r="C1794" s="27" t="n">
        <v>45808</v>
      </c>
      <c r="D1794" t="n">
        <v>0</v>
      </c>
      <c r="E1794" t="inlineStr">
        <is>
          <t>OUTROS</t>
        </is>
      </c>
    </row>
    <row r="1795">
      <c r="A1795" t="n">
        <v>128</v>
      </c>
      <c r="B1795" t="inlineStr">
        <is>
          <t>Love Cabaret</t>
        </is>
      </c>
      <c r="C1795" s="27" t="n">
        <v>45808</v>
      </c>
      <c r="D1795" t="n">
        <v>0</v>
      </c>
      <c r="E1795" t="inlineStr">
        <is>
          <t>ANTECIPADO</t>
        </is>
      </c>
    </row>
    <row r="1796">
      <c r="A1796" t="n">
        <v>128</v>
      </c>
      <c r="B1796" t="inlineStr">
        <is>
          <t>Love Cabaret</t>
        </is>
      </c>
      <c r="C1796" s="27" t="n">
        <v>45808</v>
      </c>
      <c r="D1796" t="n">
        <v>0</v>
      </c>
      <c r="E1796" t="inlineStr">
        <is>
          <t>BÔNUS</t>
        </is>
      </c>
    </row>
    <row r="1797">
      <c r="A1797" t="n">
        <v>128</v>
      </c>
      <c r="B1797" t="inlineStr">
        <is>
          <t>Love Cabaret</t>
        </is>
      </c>
      <c r="C1797" s="27" t="n">
        <v>45808</v>
      </c>
      <c r="D1797" t="n">
        <v>4143.1</v>
      </c>
      <c r="E1797" t="inlineStr">
        <is>
          <t>DÉBITO</t>
        </is>
      </c>
    </row>
    <row r="1798">
      <c r="A1798" t="n">
        <v>128</v>
      </c>
      <c r="B1798" t="inlineStr">
        <is>
          <t>Love Cabaret</t>
        </is>
      </c>
      <c r="C1798" s="27" t="n">
        <v>45808</v>
      </c>
      <c r="D1798" t="n">
        <v>0</v>
      </c>
      <c r="E1798" t="inlineStr">
        <is>
          <t>VOUCHER</t>
        </is>
      </c>
    </row>
    <row r="1799">
      <c r="A1799" t="n">
        <v>128</v>
      </c>
      <c r="B1799" t="inlineStr">
        <is>
          <t>Love Cabaret</t>
        </is>
      </c>
      <c r="C1799" s="27" t="n">
        <v>45808</v>
      </c>
      <c r="D1799" t="n">
        <v>0</v>
      </c>
      <c r="E1799" t="inlineStr">
        <is>
          <t>UBER</t>
        </is>
      </c>
    </row>
    <row r="1800">
      <c r="A1800" t="n">
        <v>128</v>
      </c>
      <c r="B1800" t="inlineStr">
        <is>
          <t>Love Cabaret</t>
        </is>
      </c>
      <c r="C1800" s="27" t="n">
        <v>45808</v>
      </c>
      <c r="D1800" t="n">
        <v>0</v>
      </c>
      <c r="E1800" t="inlineStr">
        <is>
          <t>RAPPI</t>
        </is>
      </c>
    </row>
    <row r="1801">
      <c r="A1801" t="n">
        <v>128</v>
      </c>
      <c r="B1801" t="inlineStr">
        <is>
          <t>Love Cabaret</t>
        </is>
      </c>
      <c r="C1801" s="27" t="n">
        <v>45808</v>
      </c>
      <c r="D1801" t="n">
        <v>1590.39</v>
      </c>
      <c r="E1801" t="inlineStr">
        <is>
          <t>PIX</t>
        </is>
      </c>
    </row>
    <row r="1802">
      <c r="A1802" t="n">
        <v>128</v>
      </c>
      <c r="B1802" t="inlineStr">
        <is>
          <t>Love Cabaret</t>
        </is>
      </c>
      <c r="C1802" s="27" t="n">
        <v>45808</v>
      </c>
      <c r="D1802" t="n">
        <v>0</v>
      </c>
      <c r="E1802" t="inlineStr">
        <is>
          <t>IFOOD</t>
        </is>
      </c>
    </row>
    <row r="1803">
      <c r="A1803" t="n">
        <v>128</v>
      </c>
      <c r="B1803" t="inlineStr">
        <is>
          <t>Love Cabaret</t>
        </is>
      </c>
      <c r="C1803" s="27" t="n">
        <v>45808</v>
      </c>
      <c r="D1803" t="n">
        <v>0</v>
      </c>
      <c r="E1803" t="inlineStr">
        <is>
          <t>DELIVERY ONLINE</t>
        </is>
      </c>
    </row>
    <row r="1804">
      <c r="A1804" t="n">
        <v>128</v>
      </c>
      <c r="B1804" t="inlineStr">
        <is>
          <t>Love Cabaret</t>
        </is>
      </c>
      <c r="C1804" s="27" t="n">
        <v>45808</v>
      </c>
      <c r="D1804" t="n">
        <v>0</v>
      </c>
      <c r="E1804" t="inlineStr">
        <is>
          <t>APP</t>
        </is>
      </c>
    </row>
    <row r="1805">
      <c r="A1805" t="n">
        <v>128</v>
      </c>
      <c r="B1805" t="inlineStr">
        <is>
          <t>Love Cabaret</t>
        </is>
      </c>
      <c r="C1805" s="27" t="n">
        <v>45808</v>
      </c>
      <c r="D1805" t="n">
        <v>16866.84</v>
      </c>
      <c r="E1805" t="inlineStr">
        <is>
          <t>CRÉDITO</t>
        </is>
      </c>
    </row>
    <row r="1806">
      <c r="A1806" t="n">
        <v>128</v>
      </c>
      <c r="B1806" t="inlineStr">
        <is>
          <t>Love Cabaret</t>
        </is>
      </c>
      <c r="C1806" s="27" t="n">
        <v>45808</v>
      </c>
      <c r="D1806" t="n">
        <v>0</v>
      </c>
      <c r="E1806" t="inlineStr">
        <is>
          <t>ANTECIPADO</t>
        </is>
      </c>
    </row>
    <row r="1807">
      <c r="A1807" t="n">
        <v>128</v>
      </c>
      <c r="B1807" t="inlineStr">
        <is>
          <t>Love Cabaret</t>
        </is>
      </c>
      <c r="C1807" s="27" t="n">
        <v>45807</v>
      </c>
      <c r="D1807" t="n">
        <v>0</v>
      </c>
      <c r="E1807" t="inlineStr">
        <is>
          <t>UBER</t>
        </is>
      </c>
    </row>
    <row r="1808">
      <c r="A1808" t="n">
        <v>128</v>
      </c>
      <c r="B1808" t="inlineStr">
        <is>
          <t>Love Cabaret</t>
        </is>
      </c>
      <c r="C1808" s="27" t="n">
        <v>45807</v>
      </c>
      <c r="D1808" t="n">
        <v>0</v>
      </c>
      <c r="E1808" t="inlineStr">
        <is>
          <t>RAPPI</t>
        </is>
      </c>
    </row>
    <row r="1809">
      <c r="A1809" t="n">
        <v>128</v>
      </c>
      <c r="B1809" t="inlineStr">
        <is>
          <t>Love Cabaret</t>
        </is>
      </c>
      <c r="C1809" s="27" t="n">
        <v>45807</v>
      </c>
      <c r="D1809" t="n">
        <v>1331.26</v>
      </c>
      <c r="E1809" t="inlineStr">
        <is>
          <t>PIX</t>
        </is>
      </c>
    </row>
    <row r="1810">
      <c r="A1810" t="n">
        <v>128</v>
      </c>
      <c r="B1810" t="inlineStr">
        <is>
          <t>Love Cabaret</t>
        </is>
      </c>
      <c r="C1810" s="27" t="n">
        <v>45807</v>
      </c>
      <c r="D1810" t="n">
        <v>0</v>
      </c>
      <c r="E1810" t="inlineStr">
        <is>
          <t>IFOOD</t>
        </is>
      </c>
    </row>
    <row r="1811">
      <c r="A1811" t="n">
        <v>128</v>
      </c>
      <c r="B1811" t="inlineStr">
        <is>
          <t>Love Cabaret</t>
        </is>
      </c>
      <c r="C1811" s="27" t="n">
        <v>45807</v>
      </c>
      <c r="D1811" t="n">
        <v>0</v>
      </c>
      <c r="E1811" t="inlineStr">
        <is>
          <t>DELIVERY ONLINE</t>
        </is>
      </c>
    </row>
    <row r="1812">
      <c r="A1812" t="n">
        <v>128</v>
      </c>
      <c r="B1812" t="inlineStr">
        <is>
          <t>Love Cabaret</t>
        </is>
      </c>
      <c r="C1812" s="27" t="n">
        <v>45807</v>
      </c>
      <c r="D1812" t="n">
        <v>0</v>
      </c>
      <c r="E1812" t="inlineStr">
        <is>
          <t>APP</t>
        </is>
      </c>
    </row>
    <row r="1813">
      <c r="A1813" t="n">
        <v>128</v>
      </c>
      <c r="B1813" t="inlineStr">
        <is>
          <t>Love Cabaret</t>
        </is>
      </c>
      <c r="C1813" s="27" t="n">
        <v>45807</v>
      </c>
      <c r="D1813" t="n">
        <v>1327.75</v>
      </c>
      <c r="E1813" t="inlineStr">
        <is>
          <t>DINHEIRO</t>
        </is>
      </c>
    </row>
    <row r="1814">
      <c r="A1814" t="n">
        <v>128</v>
      </c>
      <c r="B1814" t="inlineStr">
        <is>
          <t>Love Cabaret</t>
        </is>
      </c>
      <c r="C1814" s="27" t="n">
        <v>45807</v>
      </c>
      <c r="D1814" t="n">
        <v>0</v>
      </c>
      <c r="E1814" t="inlineStr">
        <is>
          <t>RECARGAS DEVOLVIDAS</t>
        </is>
      </c>
    </row>
    <row r="1815">
      <c r="A1815" t="n">
        <v>128</v>
      </c>
      <c r="B1815" t="inlineStr">
        <is>
          <t>Love Cabaret</t>
        </is>
      </c>
      <c r="C1815" s="27" t="n">
        <v>45807</v>
      </c>
      <c r="D1815" t="n">
        <v>15822.68</v>
      </c>
      <c r="E1815" t="inlineStr">
        <is>
          <t>CRÉDITO</t>
        </is>
      </c>
    </row>
    <row r="1816">
      <c r="A1816" t="n">
        <v>128</v>
      </c>
      <c r="B1816" t="inlineStr">
        <is>
          <t>Love Cabaret</t>
        </is>
      </c>
      <c r="C1816" s="27" t="n">
        <v>45807</v>
      </c>
      <c r="D1816" t="n">
        <v>0</v>
      </c>
      <c r="E1816" t="inlineStr">
        <is>
          <t>VOUCHER</t>
        </is>
      </c>
    </row>
    <row r="1817">
      <c r="A1817" t="n">
        <v>128</v>
      </c>
      <c r="B1817" t="inlineStr">
        <is>
          <t>Love Cabaret</t>
        </is>
      </c>
      <c r="C1817" s="27" t="n">
        <v>45807</v>
      </c>
      <c r="D1817" t="n">
        <v>0</v>
      </c>
      <c r="E1817" t="inlineStr">
        <is>
          <t>MBWAY</t>
        </is>
      </c>
    </row>
    <row r="1818">
      <c r="A1818" t="n">
        <v>128</v>
      </c>
      <c r="B1818" t="inlineStr">
        <is>
          <t>Love Cabaret</t>
        </is>
      </c>
      <c r="C1818" s="27" t="n">
        <v>45807</v>
      </c>
      <c r="D1818" t="n">
        <v>0</v>
      </c>
      <c r="E1818" t="inlineStr">
        <is>
          <t>ANTECIPADO</t>
        </is>
      </c>
    </row>
    <row r="1819">
      <c r="A1819" t="n">
        <v>128</v>
      </c>
      <c r="B1819" t="inlineStr">
        <is>
          <t>Love Cabaret</t>
        </is>
      </c>
      <c r="C1819" s="27" t="n">
        <v>45807</v>
      </c>
      <c r="D1819" t="n">
        <v>0</v>
      </c>
      <c r="E1819" t="inlineStr">
        <is>
          <t>VOUCHER INTEGRADO</t>
        </is>
      </c>
    </row>
    <row r="1820">
      <c r="A1820" t="n">
        <v>128</v>
      </c>
      <c r="B1820" t="inlineStr">
        <is>
          <t>Love Cabaret</t>
        </is>
      </c>
      <c r="C1820" s="27" t="n">
        <v>45807</v>
      </c>
      <c r="D1820" t="n">
        <v>0</v>
      </c>
      <c r="E1820" t="inlineStr">
        <is>
          <t>NOTAS MANUAIS + SERVIÇO</t>
        </is>
      </c>
    </row>
    <row r="1821">
      <c r="A1821" t="n">
        <v>128</v>
      </c>
      <c r="B1821" t="inlineStr">
        <is>
          <t>Love Cabaret</t>
        </is>
      </c>
      <c r="C1821" s="27" t="n">
        <v>45807</v>
      </c>
      <c r="D1821" t="n">
        <v>0</v>
      </c>
      <c r="E1821" t="inlineStr">
        <is>
          <t>AME</t>
        </is>
      </c>
    </row>
    <row r="1822">
      <c r="A1822" t="n">
        <v>128</v>
      </c>
      <c r="B1822" t="inlineStr">
        <is>
          <t>Love Cabaret</t>
        </is>
      </c>
      <c r="C1822" s="27" t="n">
        <v>45807</v>
      </c>
      <c r="D1822" t="n">
        <v>0</v>
      </c>
      <c r="E1822" t="inlineStr">
        <is>
          <t>OUTROS</t>
        </is>
      </c>
    </row>
    <row r="1823">
      <c r="A1823" t="n">
        <v>128</v>
      </c>
      <c r="B1823" t="inlineStr">
        <is>
          <t>Love Cabaret</t>
        </is>
      </c>
      <c r="C1823" s="27" t="n">
        <v>45807</v>
      </c>
      <c r="D1823" t="n">
        <v>3511.43</v>
      </c>
      <c r="E1823" t="inlineStr">
        <is>
          <t>DÉBITO</t>
        </is>
      </c>
    </row>
    <row r="1824">
      <c r="A1824" t="n">
        <v>128</v>
      </c>
      <c r="B1824" t="inlineStr">
        <is>
          <t>Love Cabaret</t>
        </is>
      </c>
      <c r="C1824" s="27" t="n">
        <v>45807</v>
      </c>
      <c r="D1824" t="n">
        <v>0</v>
      </c>
      <c r="E1824" t="inlineStr">
        <is>
          <t>BÔNUS</t>
        </is>
      </c>
    </row>
    <row r="1825">
      <c r="A1825" t="n">
        <v>128</v>
      </c>
      <c r="B1825" t="inlineStr">
        <is>
          <t>Love Cabaret</t>
        </is>
      </c>
      <c r="C1825" s="27" t="n">
        <v>45807</v>
      </c>
      <c r="D1825" t="n">
        <v>0</v>
      </c>
      <c r="E1825" t="inlineStr">
        <is>
          <t>ANTECIPADO</t>
        </is>
      </c>
    </row>
    <row r="1826">
      <c r="A1826" t="n">
        <v>128</v>
      </c>
      <c r="B1826" t="inlineStr">
        <is>
          <t>Love Cabaret</t>
        </is>
      </c>
      <c r="C1826" s="27" t="n">
        <v>45806</v>
      </c>
      <c r="D1826" t="n">
        <v>0</v>
      </c>
      <c r="E1826" t="inlineStr">
        <is>
          <t>ANTECIPADO</t>
        </is>
      </c>
    </row>
    <row r="1827">
      <c r="A1827" t="n">
        <v>128</v>
      </c>
      <c r="B1827" t="inlineStr">
        <is>
          <t>Love Cabaret</t>
        </is>
      </c>
      <c r="C1827" s="27" t="n">
        <v>45806</v>
      </c>
      <c r="D1827" t="n">
        <v>0</v>
      </c>
      <c r="E1827" t="inlineStr">
        <is>
          <t>ANTECIPADO</t>
        </is>
      </c>
    </row>
    <row r="1828">
      <c r="A1828" t="n">
        <v>128</v>
      </c>
      <c r="B1828" t="inlineStr">
        <is>
          <t>Love Cabaret</t>
        </is>
      </c>
      <c r="C1828" s="27" t="n">
        <v>45806</v>
      </c>
      <c r="D1828" t="n">
        <v>0</v>
      </c>
      <c r="E1828" t="inlineStr">
        <is>
          <t>OUTROS</t>
        </is>
      </c>
    </row>
    <row r="1829">
      <c r="A1829" t="n">
        <v>128</v>
      </c>
      <c r="B1829" t="inlineStr">
        <is>
          <t>Love Cabaret</t>
        </is>
      </c>
      <c r="C1829" s="27" t="n">
        <v>45806</v>
      </c>
      <c r="D1829" t="n">
        <v>0</v>
      </c>
      <c r="E1829" t="inlineStr">
        <is>
          <t>AME</t>
        </is>
      </c>
    </row>
    <row r="1830">
      <c r="A1830" t="n">
        <v>128</v>
      </c>
      <c r="B1830" t="inlineStr">
        <is>
          <t>Love Cabaret</t>
        </is>
      </c>
      <c r="C1830" s="27" t="n">
        <v>45806</v>
      </c>
      <c r="D1830" t="n">
        <v>0</v>
      </c>
      <c r="E1830" t="inlineStr">
        <is>
          <t>NOTAS MANUAIS + SERVIÇO</t>
        </is>
      </c>
    </row>
    <row r="1831">
      <c r="A1831" t="n">
        <v>128</v>
      </c>
      <c r="B1831" t="inlineStr">
        <is>
          <t>Love Cabaret</t>
        </is>
      </c>
      <c r="C1831" s="27" t="n">
        <v>45806</v>
      </c>
      <c r="D1831" t="n">
        <v>0</v>
      </c>
      <c r="E1831" t="inlineStr">
        <is>
          <t>RECARGAS DEVOLVIDAS</t>
        </is>
      </c>
    </row>
    <row r="1832">
      <c r="A1832" t="n">
        <v>128</v>
      </c>
      <c r="B1832" t="inlineStr">
        <is>
          <t>Love Cabaret</t>
        </is>
      </c>
      <c r="C1832" s="27" t="n">
        <v>45806</v>
      </c>
      <c r="D1832" t="n">
        <v>0</v>
      </c>
      <c r="E1832" t="inlineStr">
        <is>
          <t>VOUCHER INTEGRADO</t>
        </is>
      </c>
    </row>
    <row r="1833">
      <c r="A1833" t="n">
        <v>128</v>
      </c>
      <c r="B1833" t="inlineStr">
        <is>
          <t>Love Cabaret</t>
        </is>
      </c>
      <c r="C1833" s="27" t="n">
        <v>45806</v>
      </c>
      <c r="D1833" t="n">
        <v>0</v>
      </c>
      <c r="E1833" t="inlineStr">
        <is>
          <t>MBWAY</t>
        </is>
      </c>
    </row>
    <row r="1834">
      <c r="A1834" t="n">
        <v>128</v>
      </c>
      <c r="B1834" t="inlineStr">
        <is>
          <t>Love Cabaret</t>
        </is>
      </c>
      <c r="C1834" s="27" t="n">
        <v>45806</v>
      </c>
      <c r="D1834" t="n">
        <v>1793.02</v>
      </c>
      <c r="E1834" t="inlineStr">
        <is>
          <t>DÉBITO</t>
        </is>
      </c>
    </row>
    <row r="1835">
      <c r="A1835" t="n">
        <v>128</v>
      </c>
      <c r="B1835" t="inlineStr">
        <is>
          <t>Love Cabaret</t>
        </is>
      </c>
      <c r="C1835" s="27" t="n">
        <v>45806</v>
      </c>
      <c r="D1835" t="n">
        <v>0</v>
      </c>
      <c r="E1835" t="inlineStr">
        <is>
          <t>VOUCHER</t>
        </is>
      </c>
    </row>
    <row r="1836">
      <c r="A1836" t="n">
        <v>128</v>
      </c>
      <c r="B1836" t="inlineStr">
        <is>
          <t>Love Cabaret</t>
        </is>
      </c>
      <c r="C1836" s="27" t="n">
        <v>45806</v>
      </c>
      <c r="D1836" t="n">
        <v>0</v>
      </c>
      <c r="E1836" t="inlineStr">
        <is>
          <t>UBER</t>
        </is>
      </c>
    </row>
    <row r="1837">
      <c r="A1837" t="n">
        <v>128</v>
      </c>
      <c r="B1837" t="inlineStr">
        <is>
          <t>Love Cabaret</t>
        </is>
      </c>
      <c r="C1837" s="27" t="n">
        <v>45806</v>
      </c>
      <c r="D1837" t="n">
        <v>0</v>
      </c>
      <c r="E1837" t="inlineStr">
        <is>
          <t>RAPPI</t>
        </is>
      </c>
    </row>
    <row r="1838">
      <c r="A1838" t="n">
        <v>128</v>
      </c>
      <c r="B1838" t="inlineStr">
        <is>
          <t>Love Cabaret</t>
        </is>
      </c>
      <c r="C1838" s="27" t="n">
        <v>45806</v>
      </c>
      <c r="D1838" t="n">
        <v>481.12</v>
      </c>
      <c r="E1838" t="inlineStr">
        <is>
          <t>PIX</t>
        </is>
      </c>
    </row>
    <row r="1839">
      <c r="A1839" t="n">
        <v>128</v>
      </c>
      <c r="B1839" t="inlineStr">
        <is>
          <t>Love Cabaret</t>
        </is>
      </c>
      <c r="C1839" s="27" t="n">
        <v>45806</v>
      </c>
      <c r="D1839" t="n">
        <v>0</v>
      </c>
      <c r="E1839" t="inlineStr">
        <is>
          <t>IFOOD</t>
        </is>
      </c>
    </row>
    <row r="1840">
      <c r="A1840" t="n">
        <v>128</v>
      </c>
      <c r="B1840" t="inlineStr">
        <is>
          <t>Love Cabaret</t>
        </is>
      </c>
      <c r="C1840" s="27" t="n">
        <v>45806</v>
      </c>
      <c r="D1840" t="n">
        <v>0</v>
      </c>
      <c r="E1840" t="inlineStr">
        <is>
          <t>DELIVERY ONLINE</t>
        </is>
      </c>
    </row>
    <row r="1841">
      <c r="A1841" t="n">
        <v>128</v>
      </c>
      <c r="B1841" t="inlineStr">
        <is>
          <t>Love Cabaret</t>
        </is>
      </c>
      <c r="C1841" s="27" t="n">
        <v>45806</v>
      </c>
      <c r="D1841" t="n">
        <v>0</v>
      </c>
      <c r="E1841" t="inlineStr">
        <is>
          <t>APP</t>
        </is>
      </c>
    </row>
    <row r="1842">
      <c r="A1842" t="n">
        <v>128</v>
      </c>
      <c r="B1842" t="inlineStr">
        <is>
          <t>Love Cabaret</t>
        </is>
      </c>
      <c r="C1842" s="27" t="n">
        <v>45806</v>
      </c>
      <c r="D1842" t="n">
        <v>62.15</v>
      </c>
      <c r="E1842" t="inlineStr">
        <is>
          <t>DINHEIRO</t>
        </is>
      </c>
    </row>
    <row r="1843">
      <c r="A1843" t="n">
        <v>128</v>
      </c>
      <c r="B1843" t="inlineStr">
        <is>
          <t>Love Cabaret</t>
        </is>
      </c>
      <c r="C1843" s="27" t="n">
        <v>45806</v>
      </c>
      <c r="D1843" t="n">
        <v>5686.72</v>
      </c>
      <c r="E1843" t="inlineStr">
        <is>
          <t>CRÉDITO</t>
        </is>
      </c>
    </row>
    <row r="1844">
      <c r="A1844" t="n">
        <v>128</v>
      </c>
      <c r="B1844" t="inlineStr">
        <is>
          <t>Love Cabaret</t>
        </is>
      </c>
      <c r="C1844" s="27" t="n">
        <v>45806</v>
      </c>
      <c r="D1844" t="n">
        <v>0</v>
      </c>
      <c r="E1844" t="inlineStr">
        <is>
          <t>BÔNUS</t>
        </is>
      </c>
    </row>
    <row r="1845">
      <c r="A1845" t="n">
        <v>128</v>
      </c>
      <c r="B1845" t="inlineStr">
        <is>
          <t>Love Cabaret</t>
        </is>
      </c>
      <c r="C1845" s="27" t="n">
        <v>45802</v>
      </c>
      <c r="D1845" t="n">
        <v>2160.58</v>
      </c>
      <c r="E1845" t="inlineStr">
        <is>
          <t>PIX</t>
        </is>
      </c>
    </row>
    <row r="1846">
      <c r="A1846" t="n">
        <v>128</v>
      </c>
      <c r="B1846" t="inlineStr">
        <is>
          <t>Love Cabaret</t>
        </is>
      </c>
      <c r="C1846" s="27" t="n">
        <v>45802</v>
      </c>
      <c r="D1846" t="n">
        <v>627.21</v>
      </c>
      <c r="E1846" t="inlineStr">
        <is>
          <t>DINHEIRO</t>
        </is>
      </c>
    </row>
    <row r="1847">
      <c r="A1847" t="n">
        <v>128</v>
      </c>
      <c r="B1847" t="inlineStr">
        <is>
          <t>Love Cabaret</t>
        </is>
      </c>
      <c r="C1847" s="27" t="n">
        <v>45802</v>
      </c>
      <c r="D1847" t="n">
        <v>15212.21</v>
      </c>
      <c r="E1847" t="inlineStr">
        <is>
          <t>CRÉDITO</t>
        </is>
      </c>
    </row>
    <row r="1848">
      <c r="A1848" t="n">
        <v>128</v>
      </c>
      <c r="B1848" t="inlineStr">
        <is>
          <t>Love Cabaret</t>
        </is>
      </c>
      <c r="C1848" s="27" t="n">
        <v>45802</v>
      </c>
      <c r="D1848" t="n">
        <v>0</v>
      </c>
      <c r="E1848" t="inlineStr">
        <is>
          <t>MBWAY</t>
        </is>
      </c>
    </row>
    <row r="1849">
      <c r="A1849" t="n">
        <v>128</v>
      </c>
      <c r="B1849" t="inlineStr">
        <is>
          <t>Love Cabaret</t>
        </is>
      </c>
      <c r="C1849" s="27" t="n">
        <v>45802</v>
      </c>
      <c r="D1849" t="n">
        <v>0</v>
      </c>
      <c r="E1849" t="inlineStr">
        <is>
          <t>VOUCHER INTEGRADO</t>
        </is>
      </c>
    </row>
    <row r="1850">
      <c r="A1850" t="n">
        <v>128</v>
      </c>
      <c r="B1850" t="inlineStr">
        <is>
          <t>Love Cabaret</t>
        </is>
      </c>
      <c r="C1850" s="27" t="n">
        <v>45802</v>
      </c>
      <c r="D1850" t="n">
        <v>0</v>
      </c>
      <c r="E1850" t="inlineStr">
        <is>
          <t>RECARGAS DEVOLVIDAS</t>
        </is>
      </c>
    </row>
    <row r="1851">
      <c r="A1851" t="n">
        <v>128</v>
      </c>
      <c r="B1851" t="inlineStr">
        <is>
          <t>Love Cabaret</t>
        </is>
      </c>
      <c r="C1851" s="27" t="n">
        <v>45802</v>
      </c>
      <c r="D1851" t="n">
        <v>0</v>
      </c>
      <c r="E1851" t="inlineStr">
        <is>
          <t>NOTAS MANUAIS + SERVIÇO</t>
        </is>
      </c>
    </row>
    <row r="1852">
      <c r="A1852" t="n">
        <v>128</v>
      </c>
      <c r="B1852" t="inlineStr">
        <is>
          <t>Love Cabaret</t>
        </is>
      </c>
      <c r="C1852" s="27" t="n">
        <v>45802</v>
      </c>
      <c r="D1852" t="n">
        <v>0</v>
      </c>
      <c r="E1852" t="inlineStr">
        <is>
          <t>AME</t>
        </is>
      </c>
    </row>
    <row r="1853">
      <c r="A1853" t="n">
        <v>128</v>
      </c>
      <c r="B1853" t="inlineStr">
        <is>
          <t>Love Cabaret</t>
        </is>
      </c>
      <c r="C1853" s="27" t="n">
        <v>45802</v>
      </c>
      <c r="D1853" t="n">
        <v>0</v>
      </c>
      <c r="E1853" t="inlineStr">
        <is>
          <t>OUTROS</t>
        </is>
      </c>
    </row>
    <row r="1854">
      <c r="A1854" t="n">
        <v>128</v>
      </c>
      <c r="B1854" t="inlineStr">
        <is>
          <t>Love Cabaret</t>
        </is>
      </c>
      <c r="C1854" s="27" t="n">
        <v>45802</v>
      </c>
      <c r="D1854" t="n">
        <v>0</v>
      </c>
      <c r="E1854" t="inlineStr">
        <is>
          <t>ANTECIPADO</t>
        </is>
      </c>
    </row>
    <row r="1855">
      <c r="A1855" t="n">
        <v>128</v>
      </c>
      <c r="B1855" t="inlineStr">
        <is>
          <t>Love Cabaret</t>
        </is>
      </c>
      <c r="C1855" s="27" t="n">
        <v>45802</v>
      </c>
      <c r="D1855" t="n">
        <v>0</v>
      </c>
      <c r="E1855" t="inlineStr">
        <is>
          <t>BÔNUS</t>
        </is>
      </c>
    </row>
    <row r="1856">
      <c r="A1856" t="n">
        <v>128</v>
      </c>
      <c r="B1856" t="inlineStr">
        <is>
          <t>Love Cabaret</t>
        </is>
      </c>
      <c r="C1856" s="27" t="n">
        <v>45802</v>
      </c>
      <c r="D1856" t="n">
        <v>0</v>
      </c>
      <c r="E1856" t="inlineStr">
        <is>
          <t>VOUCHER</t>
        </is>
      </c>
    </row>
    <row r="1857">
      <c r="A1857" t="n">
        <v>128</v>
      </c>
      <c r="B1857" t="inlineStr">
        <is>
          <t>Love Cabaret</t>
        </is>
      </c>
      <c r="C1857" s="27" t="n">
        <v>45802</v>
      </c>
      <c r="D1857" t="n">
        <v>0</v>
      </c>
      <c r="E1857" t="inlineStr">
        <is>
          <t>ANTECIPADO</t>
        </is>
      </c>
    </row>
    <row r="1858">
      <c r="A1858" t="n">
        <v>128</v>
      </c>
      <c r="B1858" t="inlineStr">
        <is>
          <t>Love Cabaret</t>
        </is>
      </c>
      <c r="C1858" s="27" t="n">
        <v>45802</v>
      </c>
      <c r="D1858" t="n">
        <v>0</v>
      </c>
      <c r="E1858" t="inlineStr">
        <is>
          <t>UBER</t>
        </is>
      </c>
    </row>
    <row r="1859">
      <c r="A1859" t="n">
        <v>128</v>
      </c>
      <c r="B1859" t="inlineStr">
        <is>
          <t>Love Cabaret</t>
        </is>
      </c>
      <c r="C1859" s="27" t="n">
        <v>45802</v>
      </c>
      <c r="D1859" t="n">
        <v>0</v>
      </c>
      <c r="E1859" t="inlineStr">
        <is>
          <t>RAPPI</t>
        </is>
      </c>
    </row>
    <row r="1860">
      <c r="A1860" t="n">
        <v>128</v>
      </c>
      <c r="B1860" t="inlineStr">
        <is>
          <t>Love Cabaret</t>
        </is>
      </c>
      <c r="C1860" s="27" t="n">
        <v>45802</v>
      </c>
      <c r="D1860" t="n">
        <v>0</v>
      </c>
      <c r="E1860" t="inlineStr">
        <is>
          <t>IFOOD</t>
        </is>
      </c>
    </row>
    <row r="1861">
      <c r="A1861" t="n">
        <v>128</v>
      </c>
      <c r="B1861" t="inlineStr">
        <is>
          <t>Love Cabaret</t>
        </is>
      </c>
      <c r="C1861" s="27" t="n">
        <v>45802</v>
      </c>
      <c r="D1861" t="n">
        <v>0</v>
      </c>
      <c r="E1861" t="inlineStr">
        <is>
          <t>DELIVERY ONLINE</t>
        </is>
      </c>
    </row>
    <row r="1862">
      <c r="A1862" t="n">
        <v>128</v>
      </c>
      <c r="B1862" t="inlineStr">
        <is>
          <t>Love Cabaret</t>
        </is>
      </c>
      <c r="C1862" s="27" t="n">
        <v>45802</v>
      </c>
      <c r="D1862" t="n">
        <v>10</v>
      </c>
      <c r="E1862" t="inlineStr">
        <is>
          <t>APP</t>
        </is>
      </c>
    </row>
    <row r="1863">
      <c r="A1863" t="n">
        <v>128</v>
      </c>
      <c r="B1863" t="inlineStr">
        <is>
          <t>Love Cabaret</t>
        </is>
      </c>
      <c r="C1863" s="27" t="n">
        <v>45802</v>
      </c>
      <c r="D1863" t="n">
        <v>9928.120000000001</v>
      </c>
      <c r="E1863" t="inlineStr">
        <is>
          <t>DÉBITO</t>
        </is>
      </c>
    </row>
    <row r="1864">
      <c r="A1864" t="n">
        <v>128</v>
      </c>
      <c r="B1864" t="inlineStr">
        <is>
          <t>Love Cabaret</t>
        </is>
      </c>
      <c r="C1864" s="27" t="n">
        <v>45800</v>
      </c>
      <c r="D1864" t="n">
        <v>7222.94</v>
      </c>
      <c r="E1864" t="inlineStr">
        <is>
          <t>DÉBITO</t>
        </is>
      </c>
    </row>
    <row r="1865">
      <c r="A1865" t="n">
        <v>128</v>
      </c>
      <c r="B1865" t="inlineStr">
        <is>
          <t>Love Cabaret</t>
        </is>
      </c>
      <c r="C1865" s="27" t="n">
        <v>45800</v>
      </c>
      <c r="D1865" t="n">
        <v>0</v>
      </c>
      <c r="E1865" t="inlineStr">
        <is>
          <t>BÔNUS</t>
        </is>
      </c>
    </row>
    <row r="1866">
      <c r="A1866" t="n">
        <v>128</v>
      </c>
      <c r="B1866" t="inlineStr">
        <is>
          <t>Love Cabaret</t>
        </is>
      </c>
      <c r="C1866" s="27" t="n">
        <v>45800</v>
      </c>
      <c r="D1866" t="n">
        <v>0</v>
      </c>
      <c r="E1866" t="inlineStr">
        <is>
          <t>ANTECIPADO</t>
        </is>
      </c>
    </row>
    <row r="1867">
      <c r="A1867" t="n">
        <v>128</v>
      </c>
      <c r="B1867" t="inlineStr">
        <is>
          <t>Love Cabaret</t>
        </is>
      </c>
      <c r="C1867" s="27" t="n">
        <v>45800</v>
      </c>
      <c r="D1867" t="n">
        <v>0</v>
      </c>
      <c r="E1867" t="inlineStr">
        <is>
          <t>OUTROS</t>
        </is>
      </c>
    </row>
    <row r="1868">
      <c r="A1868" t="n">
        <v>128</v>
      </c>
      <c r="B1868" t="inlineStr">
        <is>
          <t>Love Cabaret</t>
        </is>
      </c>
      <c r="C1868" s="27" t="n">
        <v>45800</v>
      </c>
      <c r="D1868" t="n">
        <v>0</v>
      </c>
      <c r="E1868" t="inlineStr">
        <is>
          <t>AME</t>
        </is>
      </c>
    </row>
    <row r="1869">
      <c r="A1869" t="n">
        <v>128</v>
      </c>
      <c r="B1869" t="inlineStr">
        <is>
          <t>Love Cabaret</t>
        </is>
      </c>
      <c r="C1869" s="27" t="n">
        <v>45800</v>
      </c>
      <c r="D1869" t="n">
        <v>0</v>
      </c>
      <c r="E1869" t="inlineStr">
        <is>
          <t>NOTAS MANUAIS + SERVIÇO</t>
        </is>
      </c>
    </row>
    <row r="1870">
      <c r="A1870" t="n">
        <v>128</v>
      </c>
      <c r="B1870" t="inlineStr">
        <is>
          <t>Love Cabaret</t>
        </is>
      </c>
      <c r="C1870" s="27" t="n">
        <v>45800</v>
      </c>
      <c r="D1870" t="n">
        <v>0</v>
      </c>
      <c r="E1870" t="inlineStr">
        <is>
          <t>RECARGAS DEVOLVIDAS</t>
        </is>
      </c>
    </row>
    <row r="1871">
      <c r="A1871" t="n">
        <v>128</v>
      </c>
      <c r="B1871" t="inlineStr">
        <is>
          <t>Love Cabaret</t>
        </is>
      </c>
      <c r="C1871" s="27" t="n">
        <v>45800</v>
      </c>
      <c r="D1871" t="n">
        <v>0</v>
      </c>
      <c r="E1871" t="inlineStr">
        <is>
          <t>VOUCHER INTEGRADO</t>
        </is>
      </c>
    </row>
    <row r="1872">
      <c r="A1872" t="n">
        <v>128</v>
      </c>
      <c r="B1872" t="inlineStr">
        <is>
          <t>Love Cabaret</t>
        </is>
      </c>
      <c r="C1872" s="27" t="n">
        <v>45800</v>
      </c>
      <c r="D1872" t="n">
        <v>73.45</v>
      </c>
      <c r="E1872" t="inlineStr">
        <is>
          <t>DINHEIRO</t>
        </is>
      </c>
    </row>
    <row r="1873">
      <c r="A1873" t="n">
        <v>128</v>
      </c>
      <c r="B1873" t="inlineStr">
        <is>
          <t>Love Cabaret</t>
        </is>
      </c>
      <c r="C1873" s="27" t="n">
        <v>45800</v>
      </c>
      <c r="D1873" t="n">
        <v>0</v>
      </c>
      <c r="E1873" t="inlineStr">
        <is>
          <t>MBWAY</t>
        </is>
      </c>
    </row>
    <row r="1874">
      <c r="A1874" t="n">
        <v>128</v>
      </c>
      <c r="B1874" t="inlineStr">
        <is>
          <t>Love Cabaret</t>
        </is>
      </c>
      <c r="C1874" s="27" t="n">
        <v>45800</v>
      </c>
      <c r="D1874" t="n">
        <v>0</v>
      </c>
      <c r="E1874" t="inlineStr">
        <is>
          <t>VOUCHER</t>
        </is>
      </c>
    </row>
    <row r="1875">
      <c r="A1875" t="n">
        <v>128</v>
      </c>
      <c r="B1875" t="inlineStr">
        <is>
          <t>Love Cabaret</t>
        </is>
      </c>
      <c r="C1875" s="27" t="n">
        <v>45800</v>
      </c>
      <c r="D1875" t="n">
        <v>0</v>
      </c>
      <c r="E1875" t="inlineStr">
        <is>
          <t>ANTECIPADO</t>
        </is>
      </c>
    </row>
    <row r="1876">
      <c r="A1876" t="n">
        <v>128</v>
      </c>
      <c r="B1876" t="inlineStr">
        <is>
          <t>Love Cabaret</t>
        </is>
      </c>
      <c r="C1876" s="27" t="n">
        <v>45800</v>
      </c>
      <c r="D1876" t="n">
        <v>0</v>
      </c>
      <c r="E1876" t="inlineStr">
        <is>
          <t>UBER</t>
        </is>
      </c>
    </row>
    <row r="1877">
      <c r="A1877" t="n">
        <v>128</v>
      </c>
      <c r="B1877" t="inlineStr">
        <is>
          <t>Love Cabaret</t>
        </is>
      </c>
      <c r="C1877" s="27" t="n">
        <v>45800</v>
      </c>
      <c r="D1877" t="n">
        <v>0</v>
      </c>
      <c r="E1877" t="inlineStr">
        <is>
          <t>RAPPI</t>
        </is>
      </c>
    </row>
    <row r="1878">
      <c r="A1878" t="n">
        <v>128</v>
      </c>
      <c r="B1878" t="inlineStr">
        <is>
          <t>Love Cabaret</t>
        </is>
      </c>
      <c r="C1878" s="27" t="n">
        <v>45800</v>
      </c>
      <c r="D1878" t="n">
        <v>1132.49</v>
      </c>
      <c r="E1878" t="inlineStr">
        <is>
          <t>PIX</t>
        </is>
      </c>
    </row>
    <row r="1879">
      <c r="A1879" t="n">
        <v>128</v>
      </c>
      <c r="B1879" t="inlineStr">
        <is>
          <t>Love Cabaret</t>
        </is>
      </c>
      <c r="C1879" s="27" t="n">
        <v>45800</v>
      </c>
      <c r="D1879" t="n">
        <v>0</v>
      </c>
      <c r="E1879" t="inlineStr">
        <is>
          <t>IFOOD</t>
        </is>
      </c>
    </row>
    <row r="1880">
      <c r="A1880" t="n">
        <v>128</v>
      </c>
      <c r="B1880" t="inlineStr">
        <is>
          <t>Love Cabaret</t>
        </is>
      </c>
      <c r="C1880" s="27" t="n">
        <v>45800</v>
      </c>
      <c r="D1880" t="n">
        <v>0</v>
      </c>
      <c r="E1880" t="inlineStr">
        <is>
          <t>DELIVERY ONLINE</t>
        </is>
      </c>
    </row>
    <row r="1881">
      <c r="A1881" t="n">
        <v>128</v>
      </c>
      <c r="B1881" t="inlineStr">
        <is>
          <t>Love Cabaret</t>
        </is>
      </c>
      <c r="C1881" s="27" t="n">
        <v>45800</v>
      </c>
      <c r="D1881" t="n">
        <v>0</v>
      </c>
      <c r="E1881" t="inlineStr">
        <is>
          <t>APP</t>
        </is>
      </c>
    </row>
    <row r="1882">
      <c r="A1882" t="n">
        <v>128</v>
      </c>
      <c r="B1882" t="inlineStr">
        <is>
          <t>Love Cabaret</t>
        </is>
      </c>
      <c r="C1882" s="27" t="n">
        <v>45800</v>
      </c>
      <c r="D1882" t="n">
        <v>21111.14</v>
      </c>
      <c r="E1882" t="inlineStr">
        <is>
          <t>CRÉDITO</t>
        </is>
      </c>
    </row>
    <row r="1883">
      <c r="A1883" t="n">
        <v>128</v>
      </c>
      <c r="B1883" t="inlineStr">
        <is>
          <t>Love Cabaret</t>
        </is>
      </c>
      <c r="C1883" s="27" t="n">
        <v>45799</v>
      </c>
      <c r="D1883" t="n">
        <v>0</v>
      </c>
      <c r="E1883" t="inlineStr">
        <is>
          <t>BÔNUS</t>
        </is>
      </c>
    </row>
    <row r="1884">
      <c r="A1884" t="n">
        <v>128</v>
      </c>
      <c r="B1884" t="inlineStr">
        <is>
          <t>Love Cabaret</t>
        </is>
      </c>
      <c r="C1884" s="27" t="n">
        <v>45799</v>
      </c>
      <c r="D1884" t="n">
        <v>3981.99</v>
      </c>
      <c r="E1884" t="inlineStr">
        <is>
          <t>DÉBITO</t>
        </is>
      </c>
    </row>
    <row r="1885">
      <c r="A1885" t="n">
        <v>128</v>
      </c>
      <c r="B1885" t="inlineStr">
        <is>
          <t>Love Cabaret</t>
        </is>
      </c>
      <c r="C1885" s="27" t="n">
        <v>45799</v>
      </c>
      <c r="D1885" t="n">
        <v>12379.8</v>
      </c>
      <c r="E1885" t="inlineStr">
        <is>
          <t>CRÉDITO</t>
        </is>
      </c>
    </row>
    <row r="1886">
      <c r="A1886" t="n">
        <v>128</v>
      </c>
      <c r="B1886" t="inlineStr">
        <is>
          <t>Love Cabaret</t>
        </is>
      </c>
      <c r="C1886" s="27" t="n">
        <v>45799</v>
      </c>
      <c r="D1886" t="n">
        <v>468.89</v>
      </c>
      <c r="E1886" t="inlineStr">
        <is>
          <t>DINHEIRO</t>
        </is>
      </c>
    </row>
    <row r="1887">
      <c r="A1887" t="n">
        <v>128</v>
      </c>
      <c r="B1887" t="inlineStr">
        <is>
          <t>Love Cabaret</t>
        </is>
      </c>
      <c r="C1887" s="27" t="n">
        <v>45799</v>
      </c>
      <c r="D1887" t="n">
        <v>0</v>
      </c>
      <c r="E1887" t="inlineStr">
        <is>
          <t>APP</t>
        </is>
      </c>
    </row>
    <row r="1888">
      <c r="A1888" t="n">
        <v>128</v>
      </c>
      <c r="B1888" t="inlineStr">
        <is>
          <t>Love Cabaret</t>
        </is>
      </c>
      <c r="C1888" s="27" t="n">
        <v>45799</v>
      </c>
      <c r="D1888" t="n">
        <v>0</v>
      </c>
      <c r="E1888" t="inlineStr">
        <is>
          <t>DELIVERY ONLINE</t>
        </is>
      </c>
    </row>
    <row r="1889">
      <c r="A1889" t="n">
        <v>128</v>
      </c>
      <c r="B1889" t="inlineStr">
        <is>
          <t>Love Cabaret</t>
        </is>
      </c>
      <c r="C1889" s="27" t="n">
        <v>45799</v>
      </c>
      <c r="D1889" t="n">
        <v>0</v>
      </c>
      <c r="E1889" t="inlineStr">
        <is>
          <t>IFOOD</t>
        </is>
      </c>
    </row>
    <row r="1890">
      <c r="A1890" t="n">
        <v>128</v>
      </c>
      <c r="B1890" t="inlineStr">
        <is>
          <t>Love Cabaret</t>
        </is>
      </c>
      <c r="C1890" s="27" t="n">
        <v>45799</v>
      </c>
      <c r="D1890" t="n">
        <v>790.99</v>
      </c>
      <c r="E1890" t="inlineStr">
        <is>
          <t>PIX</t>
        </is>
      </c>
    </row>
    <row r="1891">
      <c r="A1891" t="n">
        <v>128</v>
      </c>
      <c r="B1891" t="inlineStr">
        <is>
          <t>Love Cabaret</t>
        </is>
      </c>
      <c r="C1891" s="27" t="n">
        <v>45799</v>
      </c>
      <c r="D1891" t="n">
        <v>0</v>
      </c>
      <c r="E1891" t="inlineStr">
        <is>
          <t>RAPPI</t>
        </is>
      </c>
    </row>
    <row r="1892">
      <c r="A1892" t="n">
        <v>128</v>
      </c>
      <c r="B1892" t="inlineStr">
        <is>
          <t>Love Cabaret</t>
        </is>
      </c>
      <c r="C1892" s="27" t="n">
        <v>45799</v>
      </c>
      <c r="D1892" t="n">
        <v>0</v>
      </c>
      <c r="E1892" t="inlineStr">
        <is>
          <t>UBER</t>
        </is>
      </c>
    </row>
    <row r="1893">
      <c r="A1893" t="n">
        <v>128</v>
      </c>
      <c r="B1893" t="inlineStr">
        <is>
          <t>Love Cabaret</t>
        </is>
      </c>
      <c r="C1893" s="27" t="n">
        <v>45799</v>
      </c>
      <c r="D1893" t="n">
        <v>0</v>
      </c>
      <c r="E1893" t="inlineStr">
        <is>
          <t>ANTECIPADO</t>
        </is>
      </c>
    </row>
    <row r="1894">
      <c r="A1894" t="n">
        <v>128</v>
      </c>
      <c r="B1894" t="inlineStr">
        <is>
          <t>Love Cabaret</t>
        </is>
      </c>
      <c r="C1894" s="27" t="n">
        <v>45799</v>
      </c>
      <c r="D1894" t="n">
        <v>0</v>
      </c>
      <c r="E1894" t="inlineStr">
        <is>
          <t>MBWAY</t>
        </is>
      </c>
    </row>
    <row r="1895">
      <c r="A1895" t="n">
        <v>128</v>
      </c>
      <c r="B1895" t="inlineStr">
        <is>
          <t>Love Cabaret</t>
        </is>
      </c>
      <c r="C1895" s="27" t="n">
        <v>45799</v>
      </c>
      <c r="D1895" t="n">
        <v>0</v>
      </c>
      <c r="E1895" t="inlineStr">
        <is>
          <t>VOUCHER</t>
        </is>
      </c>
    </row>
    <row r="1896">
      <c r="A1896" t="n">
        <v>128</v>
      </c>
      <c r="B1896" t="inlineStr">
        <is>
          <t>Love Cabaret</t>
        </is>
      </c>
      <c r="C1896" s="27" t="n">
        <v>45799</v>
      </c>
      <c r="D1896" t="n">
        <v>0</v>
      </c>
      <c r="E1896" t="inlineStr">
        <is>
          <t>ANTECIPADO</t>
        </is>
      </c>
    </row>
    <row r="1897">
      <c r="A1897" t="n">
        <v>128</v>
      </c>
      <c r="B1897" t="inlineStr">
        <is>
          <t>Love Cabaret</t>
        </is>
      </c>
      <c r="C1897" s="27" t="n">
        <v>45799</v>
      </c>
      <c r="D1897" t="n">
        <v>0</v>
      </c>
      <c r="E1897" t="inlineStr">
        <is>
          <t>OUTROS</t>
        </is>
      </c>
    </row>
    <row r="1898">
      <c r="A1898" t="n">
        <v>128</v>
      </c>
      <c r="B1898" t="inlineStr">
        <is>
          <t>Love Cabaret</t>
        </is>
      </c>
      <c r="C1898" s="27" t="n">
        <v>45799</v>
      </c>
      <c r="D1898" t="n">
        <v>0</v>
      </c>
      <c r="E1898" t="inlineStr">
        <is>
          <t>AME</t>
        </is>
      </c>
    </row>
    <row r="1899">
      <c r="A1899" t="n">
        <v>128</v>
      </c>
      <c r="B1899" t="inlineStr">
        <is>
          <t>Love Cabaret</t>
        </is>
      </c>
      <c r="C1899" s="27" t="n">
        <v>45799</v>
      </c>
      <c r="D1899" t="n">
        <v>0</v>
      </c>
      <c r="E1899" t="inlineStr">
        <is>
          <t>NOTAS MANUAIS + SERVIÇO</t>
        </is>
      </c>
    </row>
    <row r="1900">
      <c r="A1900" t="n">
        <v>128</v>
      </c>
      <c r="B1900" t="inlineStr">
        <is>
          <t>Love Cabaret</t>
        </is>
      </c>
      <c r="C1900" s="27" t="n">
        <v>45799</v>
      </c>
      <c r="D1900" t="n">
        <v>0</v>
      </c>
      <c r="E1900" t="inlineStr">
        <is>
          <t>RECARGAS DEVOLVIDAS</t>
        </is>
      </c>
    </row>
    <row r="1901">
      <c r="A1901" t="n">
        <v>128</v>
      </c>
      <c r="B1901" t="inlineStr">
        <is>
          <t>Love Cabaret</t>
        </is>
      </c>
      <c r="C1901" s="27" t="n">
        <v>45799</v>
      </c>
      <c r="D1901" t="n">
        <v>0</v>
      </c>
      <c r="E1901" t="inlineStr">
        <is>
          <t>VOUCHER INTEGRADO</t>
        </is>
      </c>
    </row>
    <row r="1902">
      <c r="A1902" t="n">
        <v>128</v>
      </c>
      <c r="B1902" t="inlineStr">
        <is>
          <t>Love Cabaret</t>
        </is>
      </c>
      <c r="C1902" s="27" t="n">
        <v>45794</v>
      </c>
      <c r="D1902" t="n">
        <v>0</v>
      </c>
      <c r="E1902" t="inlineStr">
        <is>
          <t>RAPPI</t>
        </is>
      </c>
    </row>
    <row r="1903">
      <c r="A1903" t="n">
        <v>128</v>
      </c>
      <c r="B1903" t="inlineStr">
        <is>
          <t>Love Cabaret</t>
        </is>
      </c>
      <c r="C1903" s="27" t="n">
        <v>45794</v>
      </c>
      <c r="D1903" t="n">
        <v>15073.37</v>
      </c>
      <c r="E1903" t="inlineStr">
        <is>
          <t>CRÉDITO</t>
        </is>
      </c>
    </row>
    <row r="1904">
      <c r="A1904" t="n">
        <v>128</v>
      </c>
      <c r="B1904" t="inlineStr">
        <is>
          <t>Love Cabaret</t>
        </is>
      </c>
      <c r="C1904" s="27" t="n">
        <v>45794</v>
      </c>
      <c r="D1904" t="n">
        <v>100</v>
      </c>
      <c r="E1904" t="inlineStr">
        <is>
          <t>DINHEIRO</t>
        </is>
      </c>
    </row>
    <row r="1905">
      <c r="A1905" t="n">
        <v>128</v>
      </c>
      <c r="B1905" t="inlineStr">
        <is>
          <t>Love Cabaret</t>
        </is>
      </c>
      <c r="C1905" s="27" t="n">
        <v>45794</v>
      </c>
      <c r="D1905" t="n">
        <v>0</v>
      </c>
      <c r="E1905" t="inlineStr">
        <is>
          <t>APP</t>
        </is>
      </c>
    </row>
    <row r="1906">
      <c r="A1906" t="n">
        <v>128</v>
      </c>
      <c r="B1906" t="inlineStr">
        <is>
          <t>Love Cabaret</t>
        </is>
      </c>
      <c r="C1906" s="27" t="n">
        <v>45794</v>
      </c>
      <c r="D1906" t="n">
        <v>0</v>
      </c>
      <c r="E1906" t="inlineStr">
        <is>
          <t>DELIVERY ONLINE</t>
        </is>
      </c>
    </row>
    <row r="1907">
      <c r="A1907" t="n">
        <v>128</v>
      </c>
      <c r="B1907" t="inlineStr">
        <is>
          <t>Love Cabaret</t>
        </is>
      </c>
      <c r="C1907" s="27" t="n">
        <v>45794</v>
      </c>
      <c r="D1907" t="n">
        <v>0</v>
      </c>
      <c r="E1907" t="inlineStr">
        <is>
          <t>IFOOD</t>
        </is>
      </c>
    </row>
    <row r="1908">
      <c r="A1908" t="n">
        <v>128</v>
      </c>
      <c r="B1908" t="inlineStr">
        <is>
          <t>Love Cabaret</t>
        </is>
      </c>
      <c r="C1908" s="27" t="n">
        <v>45794</v>
      </c>
      <c r="D1908" t="n">
        <v>2533.99</v>
      </c>
      <c r="E1908" t="inlineStr">
        <is>
          <t>PIX</t>
        </is>
      </c>
    </row>
    <row r="1909">
      <c r="A1909" t="n">
        <v>128</v>
      </c>
      <c r="B1909" t="inlineStr">
        <is>
          <t>Love Cabaret</t>
        </is>
      </c>
      <c r="C1909" s="27" t="n">
        <v>45794</v>
      </c>
      <c r="D1909" t="n">
        <v>0</v>
      </c>
      <c r="E1909" t="inlineStr">
        <is>
          <t>UBER</t>
        </is>
      </c>
    </row>
    <row r="1910">
      <c r="A1910" t="n">
        <v>128</v>
      </c>
      <c r="B1910" t="inlineStr">
        <is>
          <t>Love Cabaret</t>
        </is>
      </c>
      <c r="C1910" s="27" t="n">
        <v>45794</v>
      </c>
      <c r="D1910" t="n">
        <v>0</v>
      </c>
      <c r="E1910" t="inlineStr">
        <is>
          <t>ANTECIPADO</t>
        </is>
      </c>
    </row>
    <row r="1911">
      <c r="A1911" t="n">
        <v>128</v>
      </c>
      <c r="B1911" t="inlineStr">
        <is>
          <t>Love Cabaret</t>
        </is>
      </c>
      <c r="C1911" s="27" t="n">
        <v>45794</v>
      </c>
      <c r="D1911" t="n">
        <v>0</v>
      </c>
      <c r="E1911" t="inlineStr">
        <is>
          <t>VOUCHER</t>
        </is>
      </c>
    </row>
    <row r="1912">
      <c r="A1912" t="n">
        <v>128</v>
      </c>
      <c r="B1912" t="inlineStr">
        <is>
          <t>Love Cabaret</t>
        </is>
      </c>
      <c r="C1912" s="27" t="n">
        <v>45794</v>
      </c>
      <c r="D1912" t="n">
        <v>5055.24</v>
      </c>
      <c r="E1912" t="inlineStr">
        <is>
          <t>DÉBITO</t>
        </is>
      </c>
    </row>
    <row r="1913">
      <c r="A1913" t="n">
        <v>128</v>
      </c>
      <c r="B1913" t="inlineStr">
        <is>
          <t>Love Cabaret</t>
        </is>
      </c>
      <c r="C1913" s="27" t="n">
        <v>45794</v>
      </c>
      <c r="D1913" t="n">
        <v>0</v>
      </c>
      <c r="E1913" t="inlineStr">
        <is>
          <t>BÔNUS</t>
        </is>
      </c>
    </row>
    <row r="1914">
      <c r="A1914" t="n">
        <v>128</v>
      </c>
      <c r="B1914" t="inlineStr">
        <is>
          <t>Love Cabaret</t>
        </is>
      </c>
      <c r="C1914" s="27" t="n">
        <v>45794</v>
      </c>
      <c r="D1914" t="n">
        <v>0</v>
      </c>
      <c r="E1914" t="inlineStr">
        <is>
          <t>ANTECIPADO</t>
        </is>
      </c>
    </row>
    <row r="1915">
      <c r="A1915" t="n">
        <v>128</v>
      </c>
      <c r="B1915" t="inlineStr">
        <is>
          <t>Love Cabaret</t>
        </is>
      </c>
      <c r="C1915" s="27" t="n">
        <v>45794</v>
      </c>
      <c r="D1915" t="n">
        <v>0</v>
      </c>
      <c r="E1915" t="inlineStr">
        <is>
          <t>OUTROS</t>
        </is>
      </c>
    </row>
    <row r="1916">
      <c r="A1916" t="n">
        <v>128</v>
      </c>
      <c r="B1916" t="inlineStr">
        <is>
          <t>Love Cabaret</t>
        </is>
      </c>
      <c r="C1916" s="27" t="n">
        <v>45794</v>
      </c>
      <c r="D1916" t="n">
        <v>0</v>
      </c>
      <c r="E1916" t="inlineStr">
        <is>
          <t>AME</t>
        </is>
      </c>
    </row>
    <row r="1917">
      <c r="A1917" t="n">
        <v>128</v>
      </c>
      <c r="B1917" t="inlineStr">
        <is>
          <t>Love Cabaret</t>
        </is>
      </c>
      <c r="C1917" s="27" t="n">
        <v>45794</v>
      </c>
      <c r="D1917" t="n">
        <v>0</v>
      </c>
      <c r="E1917" t="inlineStr">
        <is>
          <t>NOTAS MANUAIS + SERVIÇO</t>
        </is>
      </c>
    </row>
    <row r="1918">
      <c r="A1918" t="n">
        <v>128</v>
      </c>
      <c r="B1918" t="inlineStr">
        <is>
          <t>Love Cabaret</t>
        </is>
      </c>
      <c r="C1918" s="27" t="n">
        <v>45794</v>
      </c>
      <c r="D1918" t="n">
        <v>0</v>
      </c>
      <c r="E1918" t="inlineStr">
        <is>
          <t>RECARGAS DEVOLVIDAS</t>
        </is>
      </c>
    </row>
    <row r="1919">
      <c r="A1919" t="n">
        <v>128</v>
      </c>
      <c r="B1919" t="inlineStr">
        <is>
          <t>Love Cabaret</t>
        </is>
      </c>
      <c r="C1919" s="27" t="n">
        <v>45794</v>
      </c>
      <c r="D1919" t="n">
        <v>0</v>
      </c>
      <c r="E1919" t="inlineStr">
        <is>
          <t>VOUCHER INTEGRADO</t>
        </is>
      </c>
    </row>
    <row r="1920">
      <c r="A1920" t="n">
        <v>128</v>
      </c>
      <c r="B1920" t="inlineStr">
        <is>
          <t>Love Cabaret</t>
        </is>
      </c>
      <c r="C1920" s="27" t="n">
        <v>45794</v>
      </c>
      <c r="D1920" t="n">
        <v>0</v>
      </c>
      <c r="E1920" t="inlineStr">
        <is>
          <t>MBWAY</t>
        </is>
      </c>
    </row>
    <row r="1921">
      <c r="A1921" t="n">
        <v>128</v>
      </c>
      <c r="B1921" t="inlineStr">
        <is>
          <t>Love Cabaret</t>
        </is>
      </c>
      <c r="C1921" s="27" t="n">
        <v>45793</v>
      </c>
      <c r="D1921" t="n">
        <v>0</v>
      </c>
      <c r="E1921" t="inlineStr">
        <is>
          <t>MBWAY</t>
        </is>
      </c>
    </row>
    <row r="1922">
      <c r="A1922" t="n">
        <v>128</v>
      </c>
      <c r="B1922" t="inlineStr">
        <is>
          <t>Love Cabaret</t>
        </is>
      </c>
      <c r="C1922" s="27" t="n">
        <v>45793</v>
      </c>
      <c r="D1922" t="n">
        <v>0</v>
      </c>
      <c r="E1922" t="inlineStr">
        <is>
          <t>IFOOD</t>
        </is>
      </c>
    </row>
    <row r="1923">
      <c r="A1923" t="n">
        <v>128</v>
      </c>
      <c r="B1923" t="inlineStr">
        <is>
          <t>Love Cabaret</t>
        </is>
      </c>
      <c r="C1923" s="27" t="n">
        <v>45793</v>
      </c>
      <c r="D1923" t="n">
        <v>732.24</v>
      </c>
      <c r="E1923" t="inlineStr">
        <is>
          <t>PIX</t>
        </is>
      </c>
    </row>
    <row r="1924">
      <c r="A1924" t="n">
        <v>128</v>
      </c>
      <c r="B1924" t="inlineStr">
        <is>
          <t>Love Cabaret</t>
        </is>
      </c>
      <c r="C1924" s="27" t="n">
        <v>45793</v>
      </c>
      <c r="D1924" t="n">
        <v>0</v>
      </c>
      <c r="E1924" t="inlineStr">
        <is>
          <t>RAPPI</t>
        </is>
      </c>
    </row>
    <row r="1925">
      <c r="A1925" t="n">
        <v>128</v>
      </c>
      <c r="B1925" t="inlineStr">
        <is>
          <t>Love Cabaret</t>
        </is>
      </c>
      <c r="C1925" s="27" t="n">
        <v>45793</v>
      </c>
      <c r="D1925" t="n">
        <v>0</v>
      </c>
      <c r="E1925" t="inlineStr">
        <is>
          <t>UBER</t>
        </is>
      </c>
    </row>
    <row r="1926">
      <c r="A1926" t="n">
        <v>128</v>
      </c>
      <c r="B1926" t="inlineStr">
        <is>
          <t>Love Cabaret</t>
        </is>
      </c>
      <c r="C1926" s="27" t="n">
        <v>45793</v>
      </c>
      <c r="D1926" t="n">
        <v>0</v>
      </c>
      <c r="E1926" t="inlineStr">
        <is>
          <t>ANTECIPADO</t>
        </is>
      </c>
    </row>
    <row r="1927">
      <c r="A1927" t="n">
        <v>128</v>
      </c>
      <c r="B1927" t="inlineStr">
        <is>
          <t>Love Cabaret</t>
        </is>
      </c>
      <c r="C1927" s="27" t="n">
        <v>45793</v>
      </c>
      <c r="D1927" t="n">
        <v>0</v>
      </c>
      <c r="E1927" t="inlineStr">
        <is>
          <t>VOUCHER</t>
        </is>
      </c>
    </row>
    <row r="1928">
      <c r="A1928" t="n">
        <v>128</v>
      </c>
      <c r="B1928" t="inlineStr">
        <is>
          <t>Love Cabaret</t>
        </is>
      </c>
      <c r="C1928" s="27" t="n">
        <v>45793</v>
      </c>
      <c r="D1928" t="n">
        <v>5891.43</v>
      </c>
      <c r="E1928" t="inlineStr">
        <is>
          <t>DÉBITO</t>
        </is>
      </c>
    </row>
    <row r="1929">
      <c r="A1929" t="n">
        <v>128</v>
      </c>
      <c r="B1929" t="inlineStr">
        <is>
          <t>Love Cabaret</t>
        </is>
      </c>
      <c r="C1929" s="27" t="n">
        <v>45793</v>
      </c>
      <c r="D1929" t="n">
        <v>0</v>
      </c>
      <c r="E1929" t="inlineStr">
        <is>
          <t>BÔNUS</t>
        </is>
      </c>
    </row>
    <row r="1930">
      <c r="A1930" t="n">
        <v>128</v>
      </c>
      <c r="B1930" t="inlineStr">
        <is>
          <t>Love Cabaret</t>
        </is>
      </c>
      <c r="C1930" s="27" t="n">
        <v>45793</v>
      </c>
      <c r="D1930" t="n">
        <v>0</v>
      </c>
      <c r="E1930" t="inlineStr">
        <is>
          <t>ANTECIPADO</t>
        </is>
      </c>
    </row>
    <row r="1931">
      <c r="A1931" t="n">
        <v>128</v>
      </c>
      <c r="B1931" t="inlineStr">
        <is>
          <t>Love Cabaret</t>
        </is>
      </c>
      <c r="C1931" s="27" t="n">
        <v>45793</v>
      </c>
      <c r="D1931" t="n">
        <v>0</v>
      </c>
      <c r="E1931" t="inlineStr">
        <is>
          <t>OUTROS</t>
        </is>
      </c>
    </row>
    <row r="1932">
      <c r="A1932" t="n">
        <v>128</v>
      </c>
      <c r="B1932" t="inlineStr">
        <is>
          <t>Love Cabaret</t>
        </is>
      </c>
      <c r="C1932" s="27" t="n">
        <v>45793</v>
      </c>
      <c r="D1932" t="n">
        <v>0</v>
      </c>
      <c r="E1932" t="inlineStr">
        <is>
          <t>AME</t>
        </is>
      </c>
    </row>
    <row r="1933">
      <c r="A1933" t="n">
        <v>128</v>
      </c>
      <c r="B1933" t="inlineStr">
        <is>
          <t>Love Cabaret</t>
        </is>
      </c>
      <c r="C1933" s="27" t="n">
        <v>45793</v>
      </c>
      <c r="D1933" t="n">
        <v>0</v>
      </c>
      <c r="E1933" t="inlineStr">
        <is>
          <t>NOTAS MANUAIS + SERVIÇO</t>
        </is>
      </c>
    </row>
    <row r="1934">
      <c r="A1934" t="n">
        <v>128</v>
      </c>
      <c r="B1934" t="inlineStr">
        <is>
          <t>Love Cabaret</t>
        </is>
      </c>
      <c r="C1934" s="27" t="n">
        <v>45793</v>
      </c>
      <c r="D1934" t="n">
        <v>0</v>
      </c>
      <c r="E1934" t="inlineStr">
        <is>
          <t>RECARGAS DEVOLVIDAS</t>
        </is>
      </c>
    </row>
    <row r="1935">
      <c r="A1935" t="n">
        <v>128</v>
      </c>
      <c r="B1935" t="inlineStr">
        <is>
          <t>Love Cabaret</t>
        </is>
      </c>
      <c r="C1935" s="27" t="n">
        <v>45793</v>
      </c>
      <c r="D1935" t="n">
        <v>0</v>
      </c>
      <c r="E1935" t="inlineStr">
        <is>
          <t>VOUCHER INTEGRADO</t>
        </is>
      </c>
    </row>
    <row r="1936">
      <c r="A1936" t="n">
        <v>128</v>
      </c>
      <c r="B1936" t="inlineStr">
        <is>
          <t>Love Cabaret</t>
        </is>
      </c>
      <c r="C1936" s="27" t="n">
        <v>45793</v>
      </c>
      <c r="D1936" t="n">
        <v>15834.08</v>
      </c>
      <c r="E1936" t="inlineStr">
        <is>
          <t>CRÉDITO</t>
        </is>
      </c>
    </row>
    <row r="1937">
      <c r="A1937" t="n">
        <v>128</v>
      </c>
      <c r="B1937" t="inlineStr">
        <is>
          <t>Love Cabaret</t>
        </is>
      </c>
      <c r="C1937" s="27" t="n">
        <v>45793</v>
      </c>
      <c r="D1937" t="n">
        <v>146.9</v>
      </c>
      <c r="E1937" t="inlineStr">
        <is>
          <t>DINHEIRO</t>
        </is>
      </c>
    </row>
    <row r="1938">
      <c r="A1938" t="n">
        <v>128</v>
      </c>
      <c r="B1938" t="inlineStr">
        <is>
          <t>Love Cabaret</t>
        </is>
      </c>
      <c r="C1938" s="27" t="n">
        <v>45793</v>
      </c>
      <c r="D1938" t="n">
        <v>0</v>
      </c>
      <c r="E1938" t="inlineStr">
        <is>
          <t>APP</t>
        </is>
      </c>
    </row>
    <row r="1939">
      <c r="A1939" t="n">
        <v>128</v>
      </c>
      <c r="B1939" t="inlineStr">
        <is>
          <t>Love Cabaret</t>
        </is>
      </c>
      <c r="C1939" s="27" t="n">
        <v>45793</v>
      </c>
      <c r="D1939" t="n">
        <v>0</v>
      </c>
      <c r="E1939" t="inlineStr">
        <is>
          <t>DELIVERY ONLINE</t>
        </is>
      </c>
    </row>
    <row r="1940">
      <c r="A1940" t="n">
        <v>128</v>
      </c>
      <c r="B1940" t="inlineStr">
        <is>
          <t>Love Cabaret</t>
        </is>
      </c>
      <c r="C1940" s="27" t="n">
        <v>45792</v>
      </c>
      <c r="D1940" t="n">
        <v>0</v>
      </c>
      <c r="E1940" t="inlineStr">
        <is>
          <t>AME</t>
        </is>
      </c>
    </row>
    <row r="1941">
      <c r="A1941" t="n">
        <v>128</v>
      </c>
      <c r="B1941" t="inlineStr">
        <is>
          <t>Love Cabaret</t>
        </is>
      </c>
      <c r="C1941" s="27" t="n">
        <v>45792</v>
      </c>
      <c r="D1941" t="n">
        <v>0</v>
      </c>
      <c r="E1941" t="inlineStr">
        <is>
          <t>NOTAS MANUAIS + SERVIÇO</t>
        </is>
      </c>
    </row>
    <row r="1942">
      <c r="A1942" t="n">
        <v>128</v>
      </c>
      <c r="B1942" t="inlineStr">
        <is>
          <t>Love Cabaret</t>
        </is>
      </c>
      <c r="C1942" s="27" t="n">
        <v>45792</v>
      </c>
      <c r="D1942" t="n">
        <v>0</v>
      </c>
      <c r="E1942" t="inlineStr">
        <is>
          <t>RECARGAS DEVOLVIDAS</t>
        </is>
      </c>
    </row>
    <row r="1943">
      <c r="A1943" t="n">
        <v>128</v>
      </c>
      <c r="B1943" t="inlineStr">
        <is>
          <t>Love Cabaret</t>
        </is>
      </c>
      <c r="C1943" s="27" t="n">
        <v>45792</v>
      </c>
      <c r="D1943" t="n">
        <v>0</v>
      </c>
      <c r="E1943" t="inlineStr">
        <is>
          <t>VOUCHER INTEGRADO</t>
        </is>
      </c>
    </row>
    <row r="1944">
      <c r="A1944" t="n">
        <v>128</v>
      </c>
      <c r="B1944" t="inlineStr">
        <is>
          <t>Love Cabaret</t>
        </is>
      </c>
      <c r="C1944" s="27" t="n">
        <v>45792</v>
      </c>
      <c r="D1944" t="n">
        <v>5360.09</v>
      </c>
      <c r="E1944" t="inlineStr">
        <is>
          <t>CRÉDITO</t>
        </is>
      </c>
    </row>
    <row r="1945">
      <c r="A1945" t="n">
        <v>128</v>
      </c>
      <c r="B1945" t="inlineStr">
        <is>
          <t>Love Cabaret</t>
        </is>
      </c>
      <c r="C1945" s="27" t="n">
        <v>45792</v>
      </c>
      <c r="D1945" t="n">
        <v>0</v>
      </c>
      <c r="E1945" t="inlineStr">
        <is>
          <t>MBWAY</t>
        </is>
      </c>
    </row>
    <row r="1946">
      <c r="A1946" t="n">
        <v>128</v>
      </c>
      <c r="B1946" t="inlineStr">
        <is>
          <t>Love Cabaret</t>
        </is>
      </c>
      <c r="C1946" s="27" t="n">
        <v>45792</v>
      </c>
      <c r="D1946" t="n">
        <v>142.38</v>
      </c>
      <c r="E1946" t="inlineStr">
        <is>
          <t>DINHEIRO</t>
        </is>
      </c>
    </row>
    <row r="1947">
      <c r="A1947" t="n">
        <v>128</v>
      </c>
      <c r="B1947" t="inlineStr">
        <is>
          <t>Love Cabaret</t>
        </is>
      </c>
      <c r="C1947" s="27" t="n">
        <v>45792</v>
      </c>
      <c r="D1947" t="n">
        <v>0</v>
      </c>
      <c r="E1947" t="inlineStr">
        <is>
          <t>APP</t>
        </is>
      </c>
    </row>
    <row r="1948">
      <c r="A1948" t="n">
        <v>128</v>
      </c>
      <c r="B1948" t="inlineStr">
        <is>
          <t>Love Cabaret</t>
        </is>
      </c>
      <c r="C1948" s="27" t="n">
        <v>45792</v>
      </c>
      <c r="D1948" t="n">
        <v>0</v>
      </c>
      <c r="E1948" t="inlineStr">
        <is>
          <t>IFOOD</t>
        </is>
      </c>
    </row>
    <row r="1949">
      <c r="A1949" t="n">
        <v>128</v>
      </c>
      <c r="B1949" t="inlineStr">
        <is>
          <t>Love Cabaret</t>
        </is>
      </c>
      <c r="C1949" s="27" t="n">
        <v>45792</v>
      </c>
      <c r="D1949" t="n">
        <v>0</v>
      </c>
      <c r="E1949" t="inlineStr">
        <is>
          <t>OUTROS</t>
        </is>
      </c>
    </row>
    <row r="1950">
      <c r="A1950" t="n">
        <v>128</v>
      </c>
      <c r="B1950" t="inlineStr">
        <is>
          <t>Love Cabaret</t>
        </is>
      </c>
      <c r="C1950" s="27" t="n">
        <v>45792</v>
      </c>
      <c r="D1950" t="n">
        <v>0</v>
      </c>
      <c r="E1950" t="inlineStr">
        <is>
          <t>ANTECIPADO</t>
        </is>
      </c>
    </row>
    <row r="1951">
      <c r="A1951" t="n">
        <v>128</v>
      </c>
      <c r="B1951" t="inlineStr">
        <is>
          <t>Love Cabaret</t>
        </is>
      </c>
      <c r="C1951" s="27" t="n">
        <v>45792</v>
      </c>
      <c r="D1951" t="n">
        <v>0</v>
      </c>
      <c r="E1951" t="inlineStr">
        <is>
          <t>BÔNUS</t>
        </is>
      </c>
    </row>
    <row r="1952">
      <c r="A1952" t="n">
        <v>128</v>
      </c>
      <c r="B1952" t="inlineStr">
        <is>
          <t>Love Cabaret</t>
        </is>
      </c>
      <c r="C1952" s="27" t="n">
        <v>45792</v>
      </c>
      <c r="D1952" t="n">
        <v>2511.4</v>
      </c>
      <c r="E1952" t="inlineStr">
        <is>
          <t>DÉBITO</t>
        </is>
      </c>
    </row>
    <row r="1953">
      <c r="A1953" t="n">
        <v>128</v>
      </c>
      <c r="B1953" t="inlineStr">
        <is>
          <t>Love Cabaret</t>
        </is>
      </c>
      <c r="C1953" s="27" t="n">
        <v>45792</v>
      </c>
      <c r="D1953" t="n">
        <v>0</v>
      </c>
      <c r="E1953" t="inlineStr">
        <is>
          <t>VOUCHER</t>
        </is>
      </c>
    </row>
    <row r="1954">
      <c r="A1954" t="n">
        <v>128</v>
      </c>
      <c r="B1954" t="inlineStr">
        <is>
          <t>Love Cabaret</t>
        </is>
      </c>
      <c r="C1954" s="27" t="n">
        <v>45792</v>
      </c>
      <c r="D1954" t="n">
        <v>0</v>
      </c>
      <c r="E1954" t="inlineStr">
        <is>
          <t>ANTECIPADO</t>
        </is>
      </c>
    </row>
    <row r="1955">
      <c r="A1955" t="n">
        <v>128</v>
      </c>
      <c r="B1955" t="inlineStr">
        <is>
          <t>Love Cabaret</t>
        </is>
      </c>
      <c r="C1955" s="27" t="n">
        <v>45792</v>
      </c>
      <c r="D1955" t="n">
        <v>0</v>
      </c>
      <c r="E1955" t="inlineStr">
        <is>
          <t>UBER</t>
        </is>
      </c>
    </row>
    <row r="1956">
      <c r="A1956" t="n">
        <v>128</v>
      </c>
      <c r="B1956" t="inlineStr">
        <is>
          <t>Love Cabaret</t>
        </is>
      </c>
      <c r="C1956" s="27" t="n">
        <v>45792</v>
      </c>
      <c r="D1956" t="n">
        <v>0</v>
      </c>
      <c r="E1956" t="inlineStr">
        <is>
          <t>RAPPI</t>
        </is>
      </c>
    </row>
    <row r="1957">
      <c r="A1957" t="n">
        <v>128</v>
      </c>
      <c r="B1957" t="inlineStr">
        <is>
          <t>Love Cabaret</t>
        </is>
      </c>
      <c r="C1957" s="27" t="n">
        <v>45792</v>
      </c>
      <c r="D1957" t="n">
        <v>1461.94</v>
      </c>
      <c r="E1957" t="inlineStr">
        <is>
          <t>PIX</t>
        </is>
      </c>
    </row>
    <row r="1958">
      <c r="A1958" t="n">
        <v>128</v>
      </c>
      <c r="B1958" t="inlineStr">
        <is>
          <t>Love Cabaret</t>
        </is>
      </c>
      <c r="C1958" s="27" t="n">
        <v>45792</v>
      </c>
      <c r="D1958" t="n">
        <v>0</v>
      </c>
      <c r="E1958" t="inlineStr">
        <is>
          <t>DELIVERY ONLINE</t>
        </is>
      </c>
    </row>
    <row r="1959">
      <c r="A1959" t="n">
        <v>128</v>
      </c>
      <c r="B1959" t="inlineStr">
        <is>
          <t>Love Cabaret</t>
        </is>
      </c>
      <c r="C1959" s="27" t="n">
        <v>45787</v>
      </c>
      <c r="D1959" t="n">
        <v>0</v>
      </c>
      <c r="E1959" t="inlineStr">
        <is>
          <t>AME</t>
        </is>
      </c>
    </row>
    <row r="1960">
      <c r="A1960" t="n">
        <v>128</v>
      </c>
      <c r="B1960" t="inlineStr">
        <is>
          <t>Love Cabaret</t>
        </is>
      </c>
      <c r="C1960" s="27" t="n">
        <v>45787</v>
      </c>
      <c r="D1960" t="n">
        <v>0</v>
      </c>
      <c r="E1960" t="inlineStr">
        <is>
          <t>RAPPI</t>
        </is>
      </c>
    </row>
    <row r="1961">
      <c r="A1961" t="n">
        <v>128</v>
      </c>
      <c r="B1961" t="inlineStr">
        <is>
          <t>Love Cabaret</t>
        </is>
      </c>
      <c r="C1961" s="27" t="n">
        <v>45787</v>
      </c>
      <c r="D1961" t="n">
        <v>0</v>
      </c>
      <c r="E1961" t="inlineStr">
        <is>
          <t>MBWAY</t>
        </is>
      </c>
    </row>
    <row r="1962">
      <c r="A1962" t="n">
        <v>128</v>
      </c>
      <c r="B1962" t="inlineStr">
        <is>
          <t>Love Cabaret</t>
        </is>
      </c>
      <c r="C1962" s="27" t="n">
        <v>45787</v>
      </c>
      <c r="D1962" t="n">
        <v>0</v>
      </c>
      <c r="E1962" t="inlineStr">
        <is>
          <t>VOUCHER INTEGRADO</t>
        </is>
      </c>
    </row>
    <row r="1963">
      <c r="A1963" t="n">
        <v>128</v>
      </c>
      <c r="B1963" t="inlineStr">
        <is>
          <t>Love Cabaret</t>
        </is>
      </c>
      <c r="C1963" s="27" t="n">
        <v>45787</v>
      </c>
      <c r="D1963" t="n">
        <v>0</v>
      </c>
      <c r="E1963" t="inlineStr">
        <is>
          <t>RECARGAS DEVOLVIDAS</t>
        </is>
      </c>
    </row>
    <row r="1964">
      <c r="A1964" t="n">
        <v>128</v>
      </c>
      <c r="B1964" t="inlineStr">
        <is>
          <t>Love Cabaret</t>
        </is>
      </c>
      <c r="C1964" s="27" t="n">
        <v>45787</v>
      </c>
      <c r="D1964" t="n">
        <v>0</v>
      </c>
      <c r="E1964" t="inlineStr">
        <is>
          <t>NOTAS MANUAIS + SERVIÇO</t>
        </is>
      </c>
    </row>
    <row r="1965">
      <c r="A1965" t="n">
        <v>128</v>
      </c>
      <c r="B1965" t="inlineStr">
        <is>
          <t>Love Cabaret</t>
        </is>
      </c>
      <c r="C1965" s="27" t="n">
        <v>45787</v>
      </c>
      <c r="D1965" t="n">
        <v>0</v>
      </c>
      <c r="E1965" t="inlineStr">
        <is>
          <t>OUTROS</t>
        </is>
      </c>
    </row>
    <row r="1966">
      <c r="A1966" t="n">
        <v>128</v>
      </c>
      <c r="B1966" t="inlineStr">
        <is>
          <t>Love Cabaret</t>
        </is>
      </c>
      <c r="C1966" s="27" t="n">
        <v>45787</v>
      </c>
      <c r="D1966" t="n">
        <v>0</v>
      </c>
      <c r="E1966" t="inlineStr">
        <is>
          <t>ANTECIPADO</t>
        </is>
      </c>
    </row>
    <row r="1967">
      <c r="A1967" t="n">
        <v>128</v>
      </c>
      <c r="B1967" t="inlineStr">
        <is>
          <t>Love Cabaret</t>
        </is>
      </c>
      <c r="C1967" s="27" t="n">
        <v>45787</v>
      </c>
      <c r="D1967" t="n">
        <v>0</v>
      </c>
      <c r="E1967" t="inlineStr">
        <is>
          <t>BÔNUS</t>
        </is>
      </c>
    </row>
    <row r="1968">
      <c r="A1968" t="n">
        <v>128</v>
      </c>
      <c r="B1968" t="inlineStr">
        <is>
          <t>Love Cabaret</t>
        </is>
      </c>
      <c r="C1968" s="27" t="n">
        <v>45787</v>
      </c>
      <c r="D1968" t="n">
        <v>4970.92</v>
      </c>
      <c r="E1968" t="inlineStr">
        <is>
          <t>DÉBITO</t>
        </is>
      </c>
    </row>
    <row r="1969">
      <c r="A1969" t="n">
        <v>128</v>
      </c>
      <c r="B1969" t="inlineStr">
        <is>
          <t>Love Cabaret</t>
        </is>
      </c>
      <c r="C1969" s="27" t="n">
        <v>45787</v>
      </c>
      <c r="D1969" t="n">
        <v>10735.11</v>
      </c>
      <c r="E1969" t="inlineStr">
        <is>
          <t>CRÉDITO</t>
        </is>
      </c>
    </row>
    <row r="1970">
      <c r="A1970" t="n">
        <v>128</v>
      </c>
      <c r="B1970" t="inlineStr">
        <is>
          <t>Love Cabaret</t>
        </is>
      </c>
      <c r="C1970" s="27" t="n">
        <v>45787</v>
      </c>
      <c r="D1970" t="n">
        <v>150</v>
      </c>
      <c r="E1970" t="inlineStr">
        <is>
          <t>DINHEIRO</t>
        </is>
      </c>
    </row>
    <row r="1971">
      <c r="A1971" t="n">
        <v>128</v>
      </c>
      <c r="B1971" t="inlineStr">
        <is>
          <t>Love Cabaret</t>
        </is>
      </c>
      <c r="C1971" s="27" t="n">
        <v>45787</v>
      </c>
      <c r="D1971" t="n">
        <v>0</v>
      </c>
      <c r="E1971" t="inlineStr">
        <is>
          <t>APP</t>
        </is>
      </c>
    </row>
    <row r="1972">
      <c r="A1972" t="n">
        <v>128</v>
      </c>
      <c r="B1972" t="inlineStr">
        <is>
          <t>Love Cabaret</t>
        </is>
      </c>
      <c r="C1972" s="27" t="n">
        <v>45787</v>
      </c>
      <c r="D1972" t="n">
        <v>0</v>
      </c>
      <c r="E1972" t="inlineStr">
        <is>
          <t>DELIVERY ONLINE</t>
        </is>
      </c>
    </row>
    <row r="1973">
      <c r="A1973" t="n">
        <v>128</v>
      </c>
      <c r="B1973" t="inlineStr">
        <is>
          <t>Love Cabaret</t>
        </is>
      </c>
      <c r="C1973" s="27" t="n">
        <v>45787</v>
      </c>
      <c r="D1973" t="n">
        <v>0</v>
      </c>
      <c r="E1973" t="inlineStr">
        <is>
          <t>IFOOD</t>
        </is>
      </c>
    </row>
    <row r="1974">
      <c r="A1974" t="n">
        <v>128</v>
      </c>
      <c r="B1974" t="inlineStr">
        <is>
          <t>Love Cabaret</t>
        </is>
      </c>
      <c r="C1974" s="27" t="n">
        <v>45787</v>
      </c>
      <c r="D1974" t="n">
        <v>991.1</v>
      </c>
      <c r="E1974" t="inlineStr">
        <is>
          <t>PIX</t>
        </is>
      </c>
    </row>
    <row r="1975">
      <c r="A1975" t="n">
        <v>128</v>
      </c>
      <c r="B1975" t="inlineStr">
        <is>
          <t>Love Cabaret</t>
        </is>
      </c>
      <c r="C1975" s="27" t="n">
        <v>45787</v>
      </c>
      <c r="D1975" t="n">
        <v>0</v>
      </c>
      <c r="E1975" t="inlineStr">
        <is>
          <t>VOUCHER</t>
        </is>
      </c>
    </row>
    <row r="1976">
      <c r="A1976" t="n">
        <v>128</v>
      </c>
      <c r="B1976" t="inlineStr">
        <is>
          <t>Love Cabaret</t>
        </is>
      </c>
      <c r="C1976" s="27" t="n">
        <v>45787</v>
      </c>
      <c r="D1976" t="n">
        <v>0</v>
      </c>
      <c r="E1976" t="inlineStr">
        <is>
          <t>ANTECIPADO</t>
        </is>
      </c>
    </row>
    <row r="1977">
      <c r="A1977" t="n">
        <v>128</v>
      </c>
      <c r="B1977" t="inlineStr">
        <is>
          <t>Love Cabaret</t>
        </is>
      </c>
      <c r="C1977" s="27" t="n">
        <v>45787</v>
      </c>
      <c r="D1977" t="n">
        <v>0</v>
      </c>
      <c r="E1977" t="inlineStr">
        <is>
          <t>UBER</t>
        </is>
      </c>
    </row>
    <row r="1978">
      <c r="A1978" t="n">
        <v>128</v>
      </c>
      <c r="B1978" t="inlineStr">
        <is>
          <t>Love Cabaret</t>
        </is>
      </c>
      <c r="C1978" s="27" t="n">
        <v>45786</v>
      </c>
      <c r="D1978" t="n">
        <v>0</v>
      </c>
      <c r="E1978" t="inlineStr">
        <is>
          <t>DELIVERY ONLINE</t>
        </is>
      </c>
    </row>
    <row r="1979">
      <c r="A1979" t="n">
        <v>128</v>
      </c>
      <c r="B1979" t="inlineStr">
        <is>
          <t>Love Cabaret</t>
        </is>
      </c>
      <c r="C1979" s="27" t="n">
        <v>45786</v>
      </c>
      <c r="D1979" t="n">
        <v>0</v>
      </c>
      <c r="E1979" t="inlineStr">
        <is>
          <t>AME</t>
        </is>
      </c>
    </row>
    <row r="1980">
      <c r="A1980" t="n">
        <v>128</v>
      </c>
      <c r="B1980" t="inlineStr">
        <is>
          <t>Love Cabaret</t>
        </is>
      </c>
      <c r="C1980" s="27" t="n">
        <v>45786</v>
      </c>
      <c r="D1980" t="n">
        <v>0</v>
      </c>
      <c r="E1980" t="inlineStr">
        <is>
          <t>OUTROS</t>
        </is>
      </c>
    </row>
    <row r="1981">
      <c r="A1981" t="n">
        <v>128</v>
      </c>
      <c r="B1981" t="inlineStr">
        <is>
          <t>Love Cabaret</t>
        </is>
      </c>
      <c r="C1981" s="27" t="n">
        <v>45786</v>
      </c>
      <c r="D1981" t="n">
        <v>0</v>
      </c>
      <c r="E1981" t="inlineStr">
        <is>
          <t>ANTECIPADO</t>
        </is>
      </c>
    </row>
    <row r="1982">
      <c r="A1982" t="n">
        <v>128</v>
      </c>
      <c r="B1982" t="inlineStr">
        <is>
          <t>Love Cabaret</t>
        </is>
      </c>
      <c r="C1982" s="27" t="n">
        <v>45786</v>
      </c>
      <c r="D1982" t="n">
        <v>0</v>
      </c>
      <c r="E1982" t="inlineStr">
        <is>
          <t>BÔNUS</t>
        </is>
      </c>
    </row>
    <row r="1983">
      <c r="A1983" t="n">
        <v>128</v>
      </c>
      <c r="B1983" t="inlineStr">
        <is>
          <t>Love Cabaret</t>
        </is>
      </c>
      <c r="C1983" s="27" t="n">
        <v>45786</v>
      </c>
      <c r="D1983" t="n">
        <v>8450.6</v>
      </c>
      <c r="E1983" t="inlineStr">
        <is>
          <t>DÉBITO</t>
        </is>
      </c>
    </row>
    <row r="1984">
      <c r="A1984" t="n">
        <v>128</v>
      </c>
      <c r="B1984" t="inlineStr">
        <is>
          <t>Love Cabaret</t>
        </is>
      </c>
      <c r="C1984" s="27" t="n">
        <v>45786</v>
      </c>
      <c r="D1984" t="n">
        <v>0</v>
      </c>
      <c r="E1984" t="inlineStr">
        <is>
          <t>VOUCHER</t>
        </is>
      </c>
    </row>
    <row r="1985">
      <c r="A1985" t="n">
        <v>128</v>
      </c>
      <c r="B1985" t="inlineStr">
        <is>
          <t>Love Cabaret</t>
        </is>
      </c>
      <c r="C1985" s="27" t="n">
        <v>45786</v>
      </c>
      <c r="D1985" t="n">
        <v>0</v>
      </c>
      <c r="E1985" t="inlineStr">
        <is>
          <t>ANTECIPADO</t>
        </is>
      </c>
    </row>
    <row r="1986">
      <c r="A1986" t="n">
        <v>128</v>
      </c>
      <c r="B1986" t="inlineStr">
        <is>
          <t>Love Cabaret</t>
        </is>
      </c>
      <c r="C1986" s="27" t="n">
        <v>45786</v>
      </c>
      <c r="D1986" t="n">
        <v>0</v>
      </c>
      <c r="E1986" t="inlineStr">
        <is>
          <t>UBER</t>
        </is>
      </c>
    </row>
    <row r="1987">
      <c r="A1987" t="n">
        <v>128</v>
      </c>
      <c r="B1987" t="inlineStr">
        <is>
          <t>Love Cabaret</t>
        </is>
      </c>
      <c r="C1987" s="27" t="n">
        <v>45786</v>
      </c>
      <c r="D1987" t="n">
        <v>0</v>
      </c>
      <c r="E1987" t="inlineStr">
        <is>
          <t>RAPPI</t>
        </is>
      </c>
    </row>
    <row r="1988">
      <c r="A1988" t="n">
        <v>128</v>
      </c>
      <c r="B1988" t="inlineStr">
        <is>
          <t>Love Cabaret</t>
        </is>
      </c>
      <c r="C1988" s="27" t="n">
        <v>45786</v>
      </c>
      <c r="D1988" t="n">
        <v>1372.84</v>
      </c>
      <c r="E1988" t="inlineStr">
        <is>
          <t>PIX</t>
        </is>
      </c>
    </row>
    <row r="1989">
      <c r="A1989" t="n">
        <v>128</v>
      </c>
      <c r="B1989" t="inlineStr">
        <is>
          <t>Love Cabaret</t>
        </is>
      </c>
      <c r="C1989" s="27" t="n">
        <v>45786</v>
      </c>
      <c r="D1989" t="n">
        <v>0</v>
      </c>
      <c r="E1989" t="inlineStr">
        <is>
          <t>IFOOD</t>
        </is>
      </c>
    </row>
    <row r="1990">
      <c r="A1990" t="n">
        <v>128</v>
      </c>
      <c r="B1990" t="inlineStr">
        <is>
          <t>Love Cabaret</t>
        </is>
      </c>
      <c r="C1990" s="27" t="n">
        <v>45786</v>
      </c>
      <c r="D1990" t="n">
        <v>0</v>
      </c>
      <c r="E1990" t="inlineStr">
        <is>
          <t>APP</t>
        </is>
      </c>
    </row>
    <row r="1991">
      <c r="A1991" t="n">
        <v>128</v>
      </c>
      <c r="B1991" t="inlineStr">
        <is>
          <t>Love Cabaret</t>
        </is>
      </c>
      <c r="C1991" s="27" t="n">
        <v>45786</v>
      </c>
      <c r="D1991" t="n">
        <v>1279.16</v>
      </c>
      <c r="E1991" t="inlineStr">
        <is>
          <t>DINHEIRO</t>
        </is>
      </c>
    </row>
    <row r="1992">
      <c r="A1992" t="n">
        <v>128</v>
      </c>
      <c r="B1992" t="inlineStr">
        <is>
          <t>Love Cabaret</t>
        </is>
      </c>
      <c r="C1992" s="27" t="n">
        <v>45786</v>
      </c>
      <c r="D1992" t="n">
        <v>17201.63</v>
      </c>
      <c r="E1992" t="inlineStr">
        <is>
          <t>CRÉDITO</t>
        </is>
      </c>
    </row>
    <row r="1993">
      <c r="A1993" t="n">
        <v>128</v>
      </c>
      <c r="B1993" t="inlineStr">
        <is>
          <t>Love Cabaret</t>
        </is>
      </c>
      <c r="C1993" s="27" t="n">
        <v>45786</v>
      </c>
      <c r="D1993" t="n">
        <v>0</v>
      </c>
      <c r="E1993" t="inlineStr">
        <is>
          <t>NOTAS MANUAIS + SERVIÇO</t>
        </is>
      </c>
    </row>
    <row r="1994">
      <c r="A1994" t="n">
        <v>128</v>
      </c>
      <c r="B1994" t="inlineStr">
        <is>
          <t>Love Cabaret</t>
        </is>
      </c>
      <c r="C1994" s="27" t="n">
        <v>45786</v>
      </c>
      <c r="D1994" t="n">
        <v>0</v>
      </c>
      <c r="E1994" t="inlineStr">
        <is>
          <t>RECARGAS DEVOLVIDAS</t>
        </is>
      </c>
    </row>
    <row r="1995">
      <c r="A1995" t="n">
        <v>128</v>
      </c>
      <c r="B1995" t="inlineStr">
        <is>
          <t>Love Cabaret</t>
        </is>
      </c>
      <c r="C1995" s="27" t="n">
        <v>45786</v>
      </c>
      <c r="D1995" t="n">
        <v>0</v>
      </c>
      <c r="E1995" t="inlineStr">
        <is>
          <t>VOUCHER INTEGRADO</t>
        </is>
      </c>
    </row>
    <row r="1996">
      <c r="A1996" t="n">
        <v>128</v>
      </c>
      <c r="B1996" t="inlineStr">
        <is>
          <t>Love Cabaret</t>
        </is>
      </c>
      <c r="C1996" s="27" t="n">
        <v>45786</v>
      </c>
      <c r="D1996" t="n">
        <v>0</v>
      </c>
      <c r="E1996" t="inlineStr">
        <is>
          <t>MBWAY</t>
        </is>
      </c>
    </row>
    <row r="1997">
      <c r="A1997" t="n">
        <v>128</v>
      </c>
      <c r="B1997" t="inlineStr">
        <is>
          <t>Love Cabaret</t>
        </is>
      </c>
      <c r="C1997" s="27" t="n">
        <v>45785</v>
      </c>
      <c r="D1997" t="n">
        <v>0</v>
      </c>
      <c r="E1997" t="inlineStr">
        <is>
          <t>RECARGAS DEVOLVIDAS</t>
        </is>
      </c>
    </row>
    <row r="1998">
      <c r="A1998" t="n">
        <v>128</v>
      </c>
      <c r="B1998" t="inlineStr">
        <is>
          <t>Love Cabaret</t>
        </is>
      </c>
      <c r="C1998" s="27" t="n">
        <v>45785</v>
      </c>
      <c r="D1998" t="n">
        <v>0</v>
      </c>
      <c r="E1998" t="inlineStr">
        <is>
          <t>AME</t>
        </is>
      </c>
    </row>
    <row r="1999">
      <c r="A1999" t="n">
        <v>128</v>
      </c>
      <c r="B1999" t="inlineStr">
        <is>
          <t>Love Cabaret</t>
        </is>
      </c>
      <c r="C1999" s="27" t="n">
        <v>45785</v>
      </c>
      <c r="D1999" t="n">
        <v>0</v>
      </c>
      <c r="E1999" t="inlineStr">
        <is>
          <t>NOTAS MANUAIS + SERVIÇO</t>
        </is>
      </c>
    </row>
    <row r="2000">
      <c r="A2000" t="n">
        <v>128</v>
      </c>
      <c r="B2000" t="inlineStr">
        <is>
          <t>Love Cabaret</t>
        </is>
      </c>
      <c r="C2000" s="27" t="n">
        <v>45785</v>
      </c>
      <c r="D2000" t="n">
        <v>3081.86</v>
      </c>
      <c r="E2000" t="inlineStr">
        <is>
          <t>DÉBITO</t>
        </is>
      </c>
    </row>
    <row r="2001">
      <c r="A2001" t="n">
        <v>128</v>
      </c>
      <c r="B2001" t="inlineStr">
        <is>
          <t>Love Cabaret</t>
        </is>
      </c>
      <c r="C2001" s="27" t="n">
        <v>45785</v>
      </c>
      <c r="D2001" t="n">
        <v>0</v>
      </c>
      <c r="E2001" t="inlineStr">
        <is>
          <t>OUTROS</t>
        </is>
      </c>
    </row>
    <row r="2002">
      <c r="A2002" t="n">
        <v>128</v>
      </c>
      <c r="B2002" t="inlineStr">
        <is>
          <t>Love Cabaret</t>
        </is>
      </c>
      <c r="C2002" s="27" t="n">
        <v>45785</v>
      </c>
      <c r="D2002" t="n">
        <v>0</v>
      </c>
      <c r="E2002" t="inlineStr">
        <is>
          <t>ANTECIPADO</t>
        </is>
      </c>
    </row>
    <row r="2003">
      <c r="A2003" t="n">
        <v>128</v>
      </c>
      <c r="B2003" t="inlineStr">
        <is>
          <t>Love Cabaret</t>
        </is>
      </c>
      <c r="C2003" s="27" t="n">
        <v>45785</v>
      </c>
      <c r="D2003" t="n">
        <v>0</v>
      </c>
      <c r="E2003" t="inlineStr">
        <is>
          <t>BÔNUS</t>
        </is>
      </c>
    </row>
    <row r="2004">
      <c r="A2004" t="n">
        <v>128</v>
      </c>
      <c r="B2004" t="inlineStr">
        <is>
          <t>Love Cabaret</t>
        </is>
      </c>
      <c r="C2004" s="27" t="n">
        <v>45785</v>
      </c>
      <c r="D2004" t="n">
        <v>0</v>
      </c>
      <c r="E2004" t="inlineStr">
        <is>
          <t>RAPPI</t>
        </is>
      </c>
    </row>
    <row r="2005">
      <c r="A2005" t="n">
        <v>128</v>
      </c>
      <c r="B2005" t="inlineStr">
        <is>
          <t>Love Cabaret</t>
        </is>
      </c>
      <c r="C2005" s="27" t="n">
        <v>45785</v>
      </c>
      <c r="D2005" t="n">
        <v>0</v>
      </c>
      <c r="E2005" t="inlineStr">
        <is>
          <t>UBER</t>
        </is>
      </c>
    </row>
    <row r="2006">
      <c r="A2006" t="n">
        <v>128</v>
      </c>
      <c r="B2006" t="inlineStr">
        <is>
          <t>Love Cabaret</t>
        </is>
      </c>
      <c r="C2006" s="27" t="n">
        <v>45785</v>
      </c>
      <c r="D2006" t="n">
        <v>0</v>
      </c>
      <c r="E2006" t="inlineStr">
        <is>
          <t>ANTECIPADO</t>
        </is>
      </c>
    </row>
    <row r="2007">
      <c r="A2007" t="n">
        <v>128</v>
      </c>
      <c r="B2007" t="inlineStr">
        <is>
          <t>Love Cabaret</t>
        </is>
      </c>
      <c r="C2007" s="27" t="n">
        <v>45785</v>
      </c>
      <c r="D2007" t="n">
        <v>0</v>
      </c>
      <c r="E2007" t="inlineStr">
        <is>
          <t>VOUCHER</t>
        </is>
      </c>
    </row>
    <row r="2008">
      <c r="A2008" t="n">
        <v>128</v>
      </c>
      <c r="B2008" t="inlineStr">
        <is>
          <t>Love Cabaret</t>
        </is>
      </c>
      <c r="C2008" s="27" t="n">
        <v>45785</v>
      </c>
      <c r="D2008" t="n">
        <v>0</v>
      </c>
      <c r="E2008" t="inlineStr">
        <is>
          <t>VOUCHER INTEGRADO</t>
        </is>
      </c>
    </row>
    <row r="2009">
      <c r="A2009" t="n">
        <v>128</v>
      </c>
      <c r="B2009" t="inlineStr">
        <is>
          <t>Love Cabaret</t>
        </is>
      </c>
      <c r="C2009" s="27" t="n">
        <v>45785</v>
      </c>
      <c r="D2009" t="n">
        <v>0</v>
      </c>
      <c r="E2009" t="inlineStr">
        <is>
          <t>MBWAY</t>
        </is>
      </c>
    </row>
    <row r="2010">
      <c r="A2010" t="n">
        <v>128</v>
      </c>
      <c r="B2010" t="inlineStr">
        <is>
          <t>Love Cabaret</t>
        </is>
      </c>
      <c r="C2010" s="27" t="n">
        <v>45785</v>
      </c>
      <c r="D2010" t="n">
        <v>256.13</v>
      </c>
      <c r="E2010" t="inlineStr">
        <is>
          <t>PIX</t>
        </is>
      </c>
    </row>
    <row r="2011">
      <c r="A2011" t="n">
        <v>128</v>
      </c>
      <c r="B2011" t="inlineStr">
        <is>
          <t>Love Cabaret</t>
        </is>
      </c>
      <c r="C2011" s="27" t="n">
        <v>45785</v>
      </c>
      <c r="D2011" t="n">
        <v>0</v>
      </c>
      <c r="E2011" t="inlineStr">
        <is>
          <t>IFOOD</t>
        </is>
      </c>
    </row>
    <row r="2012">
      <c r="A2012" t="n">
        <v>128</v>
      </c>
      <c r="B2012" t="inlineStr">
        <is>
          <t>Love Cabaret</t>
        </is>
      </c>
      <c r="C2012" s="27" t="n">
        <v>45785</v>
      </c>
      <c r="D2012" t="n">
        <v>0</v>
      </c>
      <c r="E2012" t="inlineStr">
        <is>
          <t>DELIVERY ONLINE</t>
        </is>
      </c>
    </row>
    <row r="2013">
      <c r="A2013" t="n">
        <v>128</v>
      </c>
      <c r="B2013" t="inlineStr">
        <is>
          <t>Love Cabaret</t>
        </is>
      </c>
      <c r="C2013" s="27" t="n">
        <v>45785</v>
      </c>
      <c r="D2013" t="n">
        <v>0</v>
      </c>
      <c r="E2013" t="inlineStr">
        <is>
          <t>APP</t>
        </is>
      </c>
    </row>
    <row r="2014">
      <c r="A2014" t="n">
        <v>128</v>
      </c>
      <c r="B2014" t="inlineStr">
        <is>
          <t>Love Cabaret</t>
        </is>
      </c>
      <c r="C2014" s="27" t="n">
        <v>45785</v>
      </c>
      <c r="D2014" t="n">
        <v>0</v>
      </c>
      <c r="E2014" t="inlineStr">
        <is>
          <t>DINHEIRO</t>
        </is>
      </c>
    </row>
    <row r="2015">
      <c r="A2015" t="n">
        <v>128</v>
      </c>
      <c r="B2015" t="inlineStr">
        <is>
          <t>Love Cabaret</t>
        </is>
      </c>
      <c r="C2015" s="27" t="n">
        <v>45785</v>
      </c>
      <c r="D2015" t="n">
        <v>3022.83</v>
      </c>
      <c r="E2015" t="inlineStr">
        <is>
          <t>CRÉDITO</t>
        </is>
      </c>
    </row>
    <row r="2016">
      <c r="A2016" t="n">
        <v>128</v>
      </c>
      <c r="B2016" t="inlineStr">
        <is>
          <t>Love Cabaret</t>
        </is>
      </c>
      <c r="C2016" s="27" t="n">
        <v>45780</v>
      </c>
      <c r="D2016" t="n">
        <v>0</v>
      </c>
      <c r="E2016" t="inlineStr">
        <is>
          <t>ANTECIPADO</t>
        </is>
      </c>
    </row>
    <row r="2017">
      <c r="A2017" t="n">
        <v>128</v>
      </c>
      <c r="B2017" t="inlineStr">
        <is>
          <t>Love Cabaret</t>
        </is>
      </c>
      <c r="C2017" s="27" t="n">
        <v>45780</v>
      </c>
      <c r="D2017" t="n">
        <v>0</v>
      </c>
      <c r="E2017" t="inlineStr">
        <is>
          <t>UBER</t>
        </is>
      </c>
    </row>
    <row r="2018">
      <c r="A2018" t="n">
        <v>128</v>
      </c>
      <c r="B2018" t="inlineStr">
        <is>
          <t>Love Cabaret</t>
        </is>
      </c>
      <c r="C2018" s="27" t="n">
        <v>45780</v>
      </c>
      <c r="D2018" t="n">
        <v>0</v>
      </c>
      <c r="E2018" t="inlineStr">
        <is>
          <t>RAPPI</t>
        </is>
      </c>
    </row>
    <row r="2019">
      <c r="A2019" t="n">
        <v>128</v>
      </c>
      <c r="B2019" t="inlineStr">
        <is>
          <t>Love Cabaret</t>
        </is>
      </c>
      <c r="C2019" s="27" t="n">
        <v>45780</v>
      </c>
      <c r="D2019" t="n">
        <v>1110.23</v>
      </c>
      <c r="E2019" t="inlineStr">
        <is>
          <t>PIX</t>
        </is>
      </c>
    </row>
    <row r="2020">
      <c r="A2020" t="n">
        <v>128</v>
      </c>
      <c r="B2020" t="inlineStr">
        <is>
          <t>Love Cabaret</t>
        </is>
      </c>
      <c r="C2020" s="27" t="n">
        <v>45780</v>
      </c>
      <c r="D2020" t="n">
        <v>0</v>
      </c>
      <c r="E2020" t="inlineStr">
        <is>
          <t>IFOOD</t>
        </is>
      </c>
    </row>
    <row r="2021">
      <c r="A2021" t="n">
        <v>128</v>
      </c>
      <c r="B2021" t="inlineStr">
        <is>
          <t>Love Cabaret</t>
        </is>
      </c>
      <c r="C2021" s="27" t="n">
        <v>45780</v>
      </c>
      <c r="D2021" t="n">
        <v>0</v>
      </c>
      <c r="E2021" t="inlineStr">
        <is>
          <t>DELIVERY ONLINE</t>
        </is>
      </c>
    </row>
    <row r="2022">
      <c r="A2022" t="n">
        <v>128</v>
      </c>
      <c r="B2022" t="inlineStr">
        <is>
          <t>Love Cabaret</t>
        </is>
      </c>
      <c r="C2022" s="27" t="n">
        <v>45780</v>
      </c>
      <c r="D2022" t="n">
        <v>0</v>
      </c>
      <c r="E2022" t="inlineStr">
        <is>
          <t>APP</t>
        </is>
      </c>
    </row>
    <row r="2023">
      <c r="A2023" t="n">
        <v>128</v>
      </c>
      <c r="B2023" t="inlineStr">
        <is>
          <t>Love Cabaret</t>
        </is>
      </c>
      <c r="C2023" s="27" t="n">
        <v>45780</v>
      </c>
      <c r="D2023" t="n">
        <v>809.91</v>
      </c>
      <c r="E2023" t="inlineStr">
        <is>
          <t>DINHEIRO</t>
        </is>
      </c>
    </row>
    <row r="2024">
      <c r="A2024" t="n">
        <v>128</v>
      </c>
      <c r="B2024" t="inlineStr">
        <is>
          <t>Love Cabaret</t>
        </is>
      </c>
      <c r="C2024" s="27" t="n">
        <v>45780</v>
      </c>
      <c r="D2024" t="n">
        <v>13465.13</v>
      </c>
      <c r="E2024" t="inlineStr">
        <is>
          <t>CRÉDITO</t>
        </is>
      </c>
    </row>
    <row r="2025">
      <c r="A2025" t="n">
        <v>128</v>
      </c>
      <c r="B2025" t="inlineStr">
        <is>
          <t>Love Cabaret</t>
        </is>
      </c>
      <c r="C2025" s="27" t="n">
        <v>45780</v>
      </c>
      <c r="D2025" t="n">
        <v>0</v>
      </c>
      <c r="E2025" t="inlineStr">
        <is>
          <t>OUTROS</t>
        </is>
      </c>
    </row>
    <row r="2026">
      <c r="A2026" t="n">
        <v>128</v>
      </c>
      <c r="B2026" t="inlineStr">
        <is>
          <t>Love Cabaret</t>
        </is>
      </c>
      <c r="C2026" s="27" t="n">
        <v>45780</v>
      </c>
      <c r="D2026" t="n">
        <v>4743.35</v>
      </c>
      <c r="E2026" t="inlineStr">
        <is>
          <t>DÉBITO</t>
        </is>
      </c>
    </row>
    <row r="2027">
      <c r="A2027" t="n">
        <v>128</v>
      </c>
      <c r="B2027" t="inlineStr">
        <is>
          <t>Love Cabaret</t>
        </is>
      </c>
      <c r="C2027" s="27" t="n">
        <v>45780</v>
      </c>
      <c r="D2027" t="n">
        <v>0</v>
      </c>
      <c r="E2027" t="inlineStr">
        <is>
          <t>BÔNUS</t>
        </is>
      </c>
    </row>
    <row r="2028">
      <c r="A2028" t="n">
        <v>128</v>
      </c>
      <c r="B2028" t="inlineStr">
        <is>
          <t>Love Cabaret</t>
        </is>
      </c>
      <c r="C2028" s="27" t="n">
        <v>45780</v>
      </c>
      <c r="D2028" t="n">
        <v>0</v>
      </c>
      <c r="E2028" t="inlineStr">
        <is>
          <t>ANTECIPADO</t>
        </is>
      </c>
    </row>
    <row r="2029">
      <c r="A2029" t="n">
        <v>128</v>
      </c>
      <c r="B2029" t="inlineStr">
        <is>
          <t>Love Cabaret</t>
        </is>
      </c>
      <c r="C2029" s="27" t="n">
        <v>45780</v>
      </c>
      <c r="D2029" t="n">
        <v>0</v>
      </c>
      <c r="E2029" t="inlineStr">
        <is>
          <t>VOUCHER</t>
        </is>
      </c>
    </row>
    <row r="2030">
      <c r="A2030" t="n">
        <v>128</v>
      </c>
      <c r="B2030" t="inlineStr">
        <is>
          <t>Love Cabaret</t>
        </is>
      </c>
      <c r="C2030" s="27" t="n">
        <v>45780</v>
      </c>
      <c r="D2030" t="n">
        <v>0</v>
      </c>
      <c r="E2030" t="inlineStr">
        <is>
          <t>AME</t>
        </is>
      </c>
    </row>
    <row r="2031">
      <c r="A2031" t="n">
        <v>128</v>
      </c>
      <c r="B2031" t="inlineStr">
        <is>
          <t>Love Cabaret</t>
        </is>
      </c>
      <c r="C2031" s="27" t="n">
        <v>45780</v>
      </c>
      <c r="D2031" t="n">
        <v>0</v>
      </c>
      <c r="E2031" t="inlineStr">
        <is>
          <t>NOTAS MANUAIS + SERVIÇO</t>
        </is>
      </c>
    </row>
    <row r="2032">
      <c r="A2032" t="n">
        <v>128</v>
      </c>
      <c r="B2032" t="inlineStr">
        <is>
          <t>Love Cabaret</t>
        </is>
      </c>
      <c r="C2032" s="27" t="n">
        <v>45780</v>
      </c>
      <c r="D2032" t="n">
        <v>0</v>
      </c>
      <c r="E2032" t="inlineStr">
        <is>
          <t>RECARGAS DEVOLVIDAS</t>
        </is>
      </c>
    </row>
    <row r="2033">
      <c r="A2033" t="n">
        <v>128</v>
      </c>
      <c r="B2033" t="inlineStr">
        <is>
          <t>Love Cabaret</t>
        </is>
      </c>
      <c r="C2033" s="27" t="n">
        <v>45780</v>
      </c>
      <c r="D2033" t="n">
        <v>0</v>
      </c>
      <c r="E2033" t="inlineStr">
        <is>
          <t>VOUCHER INTEGRADO</t>
        </is>
      </c>
    </row>
    <row r="2034">
      <c r="A2034" t="n">
        <v>128</v>
      </c>
      <c r="B2034" t="inlineStr">
        <is>
          <t>Love Cabaret</t>
        </is>
      </c>
      <c r="C2034" s="27" t="n">
        <v>45780</v>
      </c>
      <c r="D2034" t="n">
        <v>0</v>
      </c>
      <c r="E2034" t="inlineStr">
        <is>
          <t>MBWAY</t>
        </is>
      </c>
    </row>
    <row r="2035">
      <c r="A2035" t="n">
        <v>128</v>
      </c>
      <c r="B2035" t="inlineStr">
        <is>
          <t>Love Cabaret</t>
        </is>
      </c>
      <c r="C2035" s="27" t="n">
        <v>45779</v>
      </c>
      <c r="D2035" t="n">
        <v>0</v>
      </c>
      <c r="E2035" t="inlineStr">
        <is>
          <t>AME</t>
        </is>
      </c>
    </row>
    <row r="2036">
      <c r="A2036" t="n">
        <v>128</v>
      </c>
      <c r="B2036" t="inlineStr">
        <is>
          <t>Love Cabaret</t>
        </is>
      </c>
      <c r="C2036" s="27" t="n">
        <v>45779</v>
      </c>
      <c r="D2036" t="n">
        <v>0</v>
      </c>
      <c r="E2036" t="inlineStr">
        <is>
          <t>NOTAS MANUAIS + SERVIÇO</t>
        </is>
      </c>
    </row>
    <row r="2037">
      <c r="A2037" t="n">
        <v>128</v>
      </c>
      <c r="B2037" t="inlineStr">
        <is>
          <t>Love Cabaret</t>
        </is>
      </c>
      <c r="C2037" s="27" t="n">
        <v>45779</v>
      </c>
      <c r="D2037" t="n">
        <v>0</v>
      </c>
      <c r="E2037" t="inlineStr">
        <is>
          <t>RECARGAS DEVOLVIDAS</t>
        </is>
      </c>
    </row>
    <row r="2038">
      <c r="A2038" t="n">
        <v>128</v>
      </c>
      <c r="B2038" t="inlineStr">
        <is>
          <t>Love Cabaret</t>
        </is>
      </c>
      <c r="C2038" s="27" t="n">
        <v>45779</v>
      </c>
      <c r="D2038" t="n">
        <v>0</v>
      </c>
      <c r="E2038" t="inlineStr">
        <is>
          <t>VOUCHER INTEGRADO</t>
        </is>
      </c>
    </row>
    <row r="2039">
      <c r="A2039" t="n">
        <v>128</v>
      </c>
      <c r="B2039" t="inlineStr">
        <is>
          <t>Love Cabaret</t>
        </is>
      </c>
      <c r="C2039" s="27" t="n">
        <v>45779</v>
      </c>
      <c r="D2039" t="n">
        <v>0</v>
      </c>
      <c r="E2039" t="inlineStr">
        <is>
          <t>MBWAY</t>
        </is>
      </c>
    </row>
    <row r="2040">
      <c r="A2040" t="n">
        <v>128</v>
      </c>
      <c r="B2040" t="inlineStr">
        <is>
          <t>Love Cabaret</t>
        </is>
      </c>
      <c r="C2040" s="27" t="n">
        <v>45779</v>
      </c>
      <c r="D2040" t="n">
        <v>0</v>
      </c>
      <c r="E2040" t="inlineStr">
        <is>
          <t>ANTECIPADO</t>
        </is>
      </c>
    </row>
    <row r="2041">
      <c r="A2041" t="n">
        <v>128</v>
      </c>
      <c r="B2041" t="inlineStr">
        <is>
          <t>Love Cabaret</t>
        </is>
      </c>
      <c r="C2041" s="27" t="n">
        <v>45779</v>
      </c>
      <c r="D2041" t="n">
        <v>0</v>
      </c>
      <c r="E2041" t="inlineStr">
        <is>
          <t>BÔNUS</t>
        </is>
      </c>
    </row>
    <row r="2042">
      <c r="A2042" t="n">
        <v>128</v>
      </c>
      <c r="B2042" t="inlineStr">
        <is>
          <t>Love Cabaret</t>
        </is>
      </c>
      <c r="C2042" s="27" t="n">
        <v>45779</v>
      </c>
      <c r="D2042" t="n">
        <v>7552.01</v>
      </c>
      <c r="E2042" t="inlineStr">
        <is>
          <t>DÉBITO</t>
        </is>
      </c>
    </row>
    <row r="2043">
      <c r="A2043" t="n">
        <v>128</v>
      </c>
      <c r="B2043" t="inlineStr">
        <is>
          <t>Love Cabaret</t>
        </is>
      </c>
      <c r="C2043" s="27" t="n">
        <v>45779</v>
      </c>
      <c r="D2043" t="n">
        <v>0</v>
      </c>
      <c r="E2043" t="inlineStr">
        <is>
          <t>VOUCHER</t>
        </is>
      </c>
    </row>
    <row r="2044">
      <c r="A2044" t="n">
        <v>128</v>
      </c>
      <c r="B2044" t="inlineStr">
        <is>
          <t>Love Cabaret</t>
        </is>
      </c>
      <c r="C2044" s="27" t="n">
        <v>45779</v>
      </c>
      <c r="D2044" t="n">
        <v>0</v>
      </c>
      <c r="E2044" t="inlineStr">
        <is>
          <t>ANTECIPADO</t>
        </is>
      </c>
    </row>
    <row r="2045">
      <c r="A2045" t="n">
        <v>128</v>
      </c>
      <c r="B2045" t="inlineStr">
        <is>
          <t>Love Cabaret</t>
        </is>
      </c>
      <c r="C2045" s="27" t="n">
        <v>45779</v>
      </c>
      <c r="D2045" t="n">
        <v>0</v>
      </c>
      <c r="E2045" t="inlineStr">
        <is>
          <t>UBER</t>
        </is>
      </c>
    </row>
    <row r="2046">
      <c r="A2046" t="n">
        <v>128</v>
      </c>
      <c r="B2046" t="inlineStr">
        <is>
          <t>Love Cabaret</t>
        </is>
      </c>
      <c r="C2046" s="27" t="n">
        <v>45779</v>
      </c>
      <c r="D2046" t="n">
        <v>0</v>
      </c>
      <c r="E2046" t="inlineStr">
        <is>
          <t>OUTROS</t>
        </is>
      </c>
    </row>
    <row r="2047">
      <c r="A2047" t="n">
        <v>128</v>
      </c>
      <c r="B2047" t="inlineStr">
        <is>
          <t>Love Cabaret</t>
        </is>
      </c>
      <c r="C2047" s="27" t="n">
        <v>45779</v>
      </c>
      <c r="D2047" t="n">
        <v>1203</v>
      </c>
      <c r="E2047" t="inlineStr">
        <is>
          <t>PIX</t>
        </is>
      </c>
    </row>
    <row r="2048">
      <c r="A2048" t="n">
        <v>128</v>
      </c>
      <c r="B2048" t="inlineStr">
        <is>
          <t>Love Cabaret</t>
        </is>
      </c>
      <c r="C2048" s="27" t="n">
        <v>45779</v>
      </c>
      <c r="D2048" t="n">
        <v>0</v>
      </c>
      <c r="E2048" t="inlineStr">
        <is>
          <t>IFOOD</t>
        </is>
      </c>
    </row>
    <row r="2049">
      <c r="A2049" t="n">
        <v>128</v>
      </c>
      <c r="B2049" t="inlineStr">
        <is>
          <t>Love Cabaret</t>
        </is>
      </c>
      <c r="C2049" s="27" t="n">
        <v>45779</v>
      </c>
      <c r="D2049" t="n">
        <v>0</v>
      </c>
      <c r="E2049" t="inlineStr">
        <is>
          <t>DELIVERY ONLINE</t>
        </is>
      </c>
    </row>
    <row r="2050">
      <c r="A2050" t="n">
        <v>128</v>
      </c>
      <c r="B2050" t="inlineStr">
        <is>
          <t>Love Cabaret</t>
        </is>
      </c>
      <c r="C2050" s="27" t="n">
        <v>45779</v>
      </c>
      <c r="D2050" t="n">
        <v>0</v>
      </c>
      <c r="E2050" t="inlineStr">
        <is>
          <t>APP</t>
        </is>
      </c>
    </row>
    <row r="2051">
      <c r="A2051" t="n">
        <v>128</v>
      </c>
      <c r="B2051" t="inlineStr">
        <is>
          <t>Love Cabaret</t>
        </is>
      </c>
      <c r="C2051" s="27" t="n">
        <v>45779</v>
      </c>
      <c r="D2051" t="n">
        <v>1089.32</v>
      </c>
      <c r="E2051" t="inlineStr">
        <is>
          <t>DINHEIRO</t>
        </is>
      </c>
    </row>
    <row r="2052">
      <c r="A2052" t="n">
        <v>128</v>
      </c>
      <c r="B2052" t="inlineStr">
        <is>
          <t>Love Cabaret</t>
        </is>
      </c>
      <c r="C2052" s="27" t="n">
        <v>45779</v>
      </c>
      <c r="D2052" t="n">
        <v>22109.87</v>
      </c>
      <c r="E2052" t="inlineStr">
        <is>
          <t>CRÉDITO</t>
        </is>
      </c>
    </row>
    <row r="2053">
      <c r="A2053" t="n">
        <v>128</v>
      </c>
      <c r="B2053" t="inlineStr">
        <is>
          <t>Love Cabaret</t>
        </is>
      </c>
      <c r="C2053" s="27" t="n">
        <v>45779</v>
      </c>
      <c r="D2053" t="n">
        <v>0</v>
      </c>
      <c r="E2053" t="inlineStr">
        <is>
          <t>RAPPI</t>
        </is>
      </c>
    </row>
    <row r="2054">
      <c r="A2054" t="n">
        <v>128</v>
      </c>
      <c r="B2054" t="inlineStr">
        <is>
          <t>Love Cabaret</t>
        </is>
      </c>
      <c r="C2054" s="27" t="n">
        <v>45778</v>
      </c>
      <c r="D2054" t="n">
        <v>0</v>
      </c>
      <c r="E2054" t="inlineStr">
        <is>
          <t>ANTECIPADO</t>
        </is>
      </c>
    </row>
    <row r="2055">
      <c r="A2055" t="n">
        <v>128</v>
      </c>
      <c r="B2055" t="inlineStr">
        <is>
          <t>Love Cabaret</t>
        </is>
      </c>
      <c r="C2055" s="27" t="n">
        <v>45778</v>
      </c>
      <c r="D2055" t="n">
        <v>0</v>
      </c>
      <c r="E2055" t="inlineStr">
        <is>
          <t>BÔNUS</t>
        </is>
      </c>
    </row>
    <row r="2056">
      <c r="A2056" t="n">
        <v>128</v>
      </c>
      <c r="B2056" t="inlineStr">
        <is>
          <t>Love Cabaret</t>
        </is>
      </c>
      <c r="C2056" s="27" t="n">
        <v>45778</v>
      </c>
      <c r="D2056" t="n">
        <v>4501.36</v>
      </c>
      <c r="E2056" t="inlineStr">
        <is>
          <t>DÉBITO</t>
        </is>
      </c>
    </row>
    <row r="2057">
      <c r="A2057" t="n">
        <v>128</v>
      </c>
      <c r="B2057" t="inlineStr">
        <is>
          <t>Love Cabaret</t>
        </is>
      </c>
      <c r="C2057" s="27" t="n">
        <v>45778</v>
      </c>
      <c r="D2057" t="n">
        <v>0</v>
      </c>
      <c r="E2057" t="inlineStr">
        <is>
          <t>VOUCHER</t>
        </is>
      </c>
    </row>
    <row r="2058">
      <c r="A2058" t="n">
        <v>128</v>
      </c>
      <c r="B2058" t="inlineStr">
        <is>
          <t>Love Cabaret</t>
        </is>
      </c>
      <c r="C2058" s="27" t="n">
        <v>45778</v>
      </c>
      <c r="D2058" t="n">
        <v>0</v>
      </c>
      <c r="E2058" t="inlineStr">
        <is>
          <t>ANTECIPADO</t>
        </is>
      </c>
    </row>
    <row r="2059">
      <c r="A2059" t="n">
        <v>128</v>
      </c>
      <c r="B2059" t="inlineStr">
        <is>
          <t>Love Cabaret</t>
        </is>
      </c>
      <c r="C2059" s="27" t="n">
        <v>45778</v>
      </c>
      <c r="D2059" t="n">
        <v>0</v>
      </c>
      <c r="E2059" t="inlineStr">
        <is>
          <t>UBER</t>
        </is>
      </c>
    </row>
    <row r="2060">
      <c r="A2060" t="n">
        <v>128</v>
      </c>
      <c r="B2060" t="inlineStr">
        <is>
          <t>Love Cabaret</t>
        </is>
      </c>
      <c r="C2060" s="27" t="n">
        <v>45778</v>
      </c>
      <c r="D2060" t="n">
        <v>0</v>
      </c>
      <c r="E2060" t="inlineStr">
        <is>
          <t>RAPPI</t>
        </is>
      </c>
    </row>
    <row r="2061">
      <c r="A2061" t="n">
        <v>128</v>
      </c>
      <c r="B2061" t="inlineStr">
        <is>
          <t>Love Cabaret</t>
        </is>
      </c>
      <c r="C2061" s="27" t="n">
        <v>45778</v>
      </c>
      <c r="D2061" t="n">
        <v>1075.76</v>
      </c>
      <c r="E2061" t="inlineStr">
        <is>
          <t>PIX</t>
        </is>
      </c>
    </row>
    <row r="2062">
      <c r="A2062" t="n">
        <v>128</v>
      </c>
      <c r="B2062" t="inlineStr">
        <is>
          <t>Love Cabaret</t>
        </is>
      </c>
      <c r="C2062" s="27" t="n">
        <v>45778</v>
      </c>
      <c r="D2062" t="n">
        <v>0</v>
      </c>
      <c r="E2062" t="inlineStr">
        <is>
          <t>IFOOD</t>
        </is>
      </c>
    </row>
    <row r="2063">
      <c r="A2063" t="n">
        <v>128</v>
      </c>
      <c r="B2063" t="inlineStr">
        <is>
          <t>Love Cabaret</t>
        </is>
      </c>
      <c r="C2063" s="27" t="n">
        <v>45778</v>
      </c>
      <c r="D2063" t="n">
        <v>0</v>
      </c>
      <c r="E2063" t="inlineStr">
        <is>
          <t>DELIVERY ONLINE</t>
        </is>
      </c>
    </row>
    <row r="2064">
      <c r="A2064" t="n">
        <v>128</v>
      </c>
      <c r="B2064" t="inlineStr">
        <is>
          <t>Love Cabaret</t>
        </is>
      </c>
      <c r="C2064" s="27" t="n">
        <v>45778</v>
      </c>
      <c r="D2064" t="n">
        <v>0</v>
      </c>
      <c r="E2064" t="inlineStr">
        <is>
          <t>APP</t>
        </is>
      </c>
    </row>
    <row r="2065">
      <c r="A2065" t="n">
        <v>128</v>
      </c>
      <c r="B2065" t="inlineStr">
        <is>
          <t>Love Cabaret</t>
        </is>
      </c>
      <c r="C2065" s="27" t="n">
        <v>45778</v>
      </c>
      <c r="D2065" t="n">
        <v>100</v>
      </c>
      <c r="E2065" t="inlineStr">
        <is>
          <t>DINHEIRO</t>
        </is>
      </c>
    </row>
    <row r="2066">
      <c r="A2066" t="n">
        <v>128</v>
      </c>
      <c r="B2066" t="inlineStr">
        <is>
          <t>Love Cabaret</t>
        </is>
      </c>
      <c r="C2066" s="27" t="n">
        <v>45778</v>
      </c>
      <c r="D2066" t="n">
        <v>13977.43</v>
      </c>
      <c r="E2066" t="inlineStr">
        <is>
          <t>CRÉDITO</t>
        </is>
      </c>
    </row>
    <row r="2067">
      <c r="A2067" t="n">
        <v>128</v>
      </c>
      <c r="B2067" t="inlineStr">
        <is>
          <t>Love Cabaret</t>
        </is>
      </c>
      <c r="C2067" s="27" t="n">
        <v>45778</v>
      </c>
      <c r="D2067" t="n">
        <v>0</v>
      </c>
      <c r="E2067" t="inlineStr">
        <is>
          <t>VOUCHER INTEGRADO</t>
        </is>
      </c>
    </row>
    <row r="2068">
      <c r="A2068" t="n">
        <v>128</v>
      </c>
      <c r="B2068" t="inlineStr">
        <is>
          <t>Love Cabaret</t>
        </is>
      </c>
      <c r="C2068" s="27" t="n">
        <v>45778</v>
      </c>
      <c r="D2068" t="n">
        <v>0</v>
      </c>
      <c r="E2068" t="inlineStr">
        <is>
          <t>RECARGAS DEVOLVIDAS</t>
        </is>
      </c>
    </row>
    <row r="2069">
      <c r="A2069" t="n">
        <v>128</v>
      </c>
      <c r="B2069" t="inlineStr">
        <is>
          <t>Love Cabaret</t>
        </is>
      </c>
      <c r="C2069" s="27" t="n">
        <v>45778</v>
      </c>
      <c r="D2069" t="n">
        <v>0</v>
      </c>
      <c r="E2069" t="inlineStr">
        <is>
          <t>NOTAS MANUAIS + SERVIÇO</t>
        </is>
      </c>
    </row>
    <row r="2070">
      <c r="A2070" t="n">
        <v>128</v>
      </c>
      <c r="B2070" t="inlineStr">
        <is>
          <t>Love Cabaret</t>
        </is>
      </c>
      <c r="C2070" s="27" t="n">
        <v>45778</v>
      </c>
      <c r="D2070" t="n">
        <v>0</v>
      </c>
      <c r="E2070" t="inlineStr">
        <is>
          <t>AME</t>
        </is>
      </c>
    </row>
    <row r="2071">
      <c r="A2071" t="n">
        <v>128</v>
      </c>
      <c r="B2071" t="inlineStr">
        <is>
          <t>Love Cabaret</t>
        </is>
      </c>
      <c r="C2071" s="27" t="n">
        <v>45778</v>
      </c>
      <c r="D2071" t="n">
        <v>0</v>
      </c>
      <c r="E2071" t="inlineStr">
        <is>
          <t>OUTROS</t>
        </is>
      </c>
    </row>
    <row r="2072">
      <c r="A2072" t="n">
        <v>128</v>
      </c>
      <c r="B2072" t="inlineStr">
        <is>
          <t>Love Cabaret</t>
        </is>
      </c>
      <c r="C2072" s="27" t="n">
        <v>45778</v>
      </c>
      <c r="D2072" t="n">
        <v>0</v>
      </c>
      <c r="E2072" t="inlineStr">
        <is>
          <t>MBWAY</t>
        </is>
      </c>
    </row>
    <row r="2073">
      <c r="A2073" t="n">
        <v>128</v>
      </c>
      <c r="B2073" t="inlineStr">
        <is>
          <t>Love Cabaret</t>
        </is>
      </c>
      <c r="C2073" s="27" t="n">
        <v>45774</v>
      </c>
      <c r="D2073" t="n">
        <v>0</v>
      </c>
      <c r="E2073" t="inlineStr">
        <is>
          <t>MBWAY</t>
        </is>
      </c>
    </row>
    <row r="2074">
      <c r="A2074" t="n">
        <v>128</v>
      </c>
      <c r="B2074" t="inlineStr">
        <is>
          <t>Love Cabaret</t>
        </is>
      </c>
      <c r="C2074" s="27" t="n">
        <v>45774</v>
      </c>
      <c r="D2074" t="n">
        <v>0</v>
      </c>
      <c r="E2074" t="inlineStr">
        <is>
          <t>VOUCHER INTEGRADO</t>
        </is>
      </c>
    </row>
    <row r="2075">
      <c r="A2075" t="n">
        <v>128</v>
      </c>
      <c r="B2075" t="inlineStr">
        <is>
          <t>Love Cabaret</t>
        </is>
      </c>
      <c r="C2075" s="27" t="n">
        <v>45774</v>
      </c>
      <c r="D2075" t="n">
        <v>0</v>
      </c>
      <c r="E2075" t="inlineStr">
        <is>
          <t>RECARGAS DEVOLVIDAS</t>
        </is>
      </c>
    </row>
    <row r="2076">
      <c r="A2076" t="n">
        <v>128</v>
      </c>
      <c r="B2076" t="inlineStr">
        <is>
          <t>Love Cabaret</t>
        </is>
      </c>
      <c r="C2076" s="27" t="n">
        <v>45774</v>
      </c>
      <c r="D2076" t="n">
        <v>0</v>
      </c>
      <c r="E2076" t="inlineStr">
        <is>
          <t>NOTAS MANUAIS + SERVIÇO</t>
        </is>
      </c>
    </row>
    <row r="2077">
      <c r="A2077" t="n">
        <v>128</v>
      </c>
      <c r="B2077" t="inlineStr">
        <is>
          <t>Love Cabaret</t>
        </is>
      </c>
      <c r="C2077" s="27" t="n">
        <v>45774</v>
      </c>
      <c r="D2077" t="n">
        <v>0</v>
      </c>
      <c r="E2077" t="inlineStr">
        <is>
          <t>AME</t>
        </is>
      </c>
    </row>
    <row r="2078">
      <c r="A2078" t="n">
        <v>128</v>
      </c>
      <c r="B2078" t="inlineStr">
        <is>
          <t>Love Cabaret</t>
        </is>
      </c>
      <c r="C2078" s="27" t="n">
        <v>45774</v>
      </c>
      <c r="D2078" t="n">
        <v>0</v>
      </c>
      <c r="E2078" t="inlineStr">
        <is>
          <t>OUTROS</t>
        </is>
      </c>
    </row>
    <row r="2079">
      <c r="A2079" t="n">
        <v>128</v>
      </c>
      <c r="B2079" t="inlineStr">
        <is>
          <t>Love Cabaret</t>
        </is>
      </c>
      <c r="C2079" s="27" t="n">
        <v>45774</v>
      </c>
      <c r="D2079" t="n">
        <v>0</v>
      </c>
      <c r="E2079" t="inlineStr">
        <is>
          <t>ANTECIPADO</t>
        </is>
      </c>
    </row>
    <row r="2080">
      <c r="A2080" t="n">
        <v>128</v>
      </c>
      <c r="B2080" t="inlineStr">
        <is>
          <t>Love Cabaret</t>
        </is>
      </c>
      <c r="C2080" s="27" t="n">
        <v>45774</v>
      </c>
      <c r="D2080" t="n">
        <v>0</v>
      </c>
      <c r="E2080" t="inlineStr">
        <is>
          <t>BÔNUS</t>
        </is>
      </c>
    </row>
    <row r="2081">
      <c r="A2081" t="n">
        <v>128</v>
      </c>
      <c r="B2081" t="inlineStr">
        <is>
          <t>Love Cabaret</t>
        </is>
      </c>
      <c r="C2081" s="27" t="n">
        <v>45774</v>
      </c>
      <c r="D2081" t="n">
        <v>4267.14</v>
      </c>
      <c r="E2081" t="inlineStr">
        <is>
          <t>DÉBITO</t>
        </is>
      </c>
    </row>
    <row r="2082">
      <c r="A2082" t="n">
        <v>128</v>
      </c>
      <c r="B2082" t="inlineStr">
        <is>
          <t>Love Cabaret</t>
        </is>
      </c>
      <c r="C2082" s="27" t="n">
        <v>45774</v>
      </c>
      <c r="D2082" t="n">
        <v>0</v>
      </c>
      <c r="E2082" t="inlineStr">
        <is>
          <t>VOUCHER</t>
        </is>
      </c>
    </row>
    <row r="2083">
      <c r="A2083" t="n">
        <v>128</v>
      </c>
      <c r="B2083" t="inlineStr">
        <is>
          <t>Love Cabaret</t>
        </is>
      </c>
      <c r="C2083" s="27" t="n">
        <v>45774</v>
      </c>
      <c r="D2083" t="n">
        <v>0</v>
      </c>
      <c r="E2083" t="inlineStr">
        <is>
          <t>ANTECIPADO</t>
        </is>
      </c>
    </row>
    <row r="2084">
      <c r="A2084" t="n">
        <v>128</v>
      </c>
      <c r="B2084" t="inlineStr">
        <is>
          <t>Love Cabaret</t>
        </is>
      </c>
      <c r="C2084" s="27" t="n">
        <v>45774</v>
      </c>
      <c r="D2084" t="n">
        <v>0</v>
      </c>
      <c r="E2084" t="inlineStr">
        <is>
          <t>UBER</t>
        </is>
      </c>
    </row>
    <row r="2085">
      <c r="A2085" t="n">
        <v>128</v>
      </c>
      <c r="B2085" t="inlineStr">
        <is>
          <t>Love Cabaret</t>
        </is>
      </c>
      <c r="C2085" s="27" t="n">
        <v>45774</v>
      </c>
      <c r="D2085" t="n">
        <v>0</v>
      </c>
      <c r="E2085" t="inlineStr">
        <is>
          <t>RAPPI</t>
        </is>
      </c>
    </row>
    <row r="2086">
      <c r="A2086" t="n">
        <v>128</v>
      </c>
      <c r="B2086" t="inlineStr">
        <is>
          <t>Love Cabaret</t>
        </is>
      </c>
      <c r="C2086" s="27" t="n">
        <v>45774</v>
      </c>
      <c r="D2086" t="n">
        <v>1639.68</v>
      </c>
      <c r="E2086" t="inlineStr">
        <is>
          <t>PIX</t>
        </is>
      </c>
    </row>
    <row r="2087">
      <c r="A2087" t="n">
        <v>128</v>
      </c>
      <c r="B2087" t="inlineStr">
        <is>
          <t>Love Cabaret</t>
        </is>
      </c>
      <c r="C2087" s="27" t="n">
        <v>45774</v>
      </c>
      <c r="D2087" t="n">
        <v>0</v>
      </c>
      <c r="E2087" t="inlineStr">
        <is>
          <t>IFOOD</t>
        </is>
      </c>
    </row>
    <row r="2088">
      <c r="A2088" t="n">
        <v>128</v>
      </c>
      <c r="B2088" t="inlineStr">
        <is>
          <t>Love Cabaret</t>
        </is>
      </c>
      <c r="C2088" s="27" t="n">
        <v>45774</v>
      </c>
      <c r="D2088" t="n">
        <v>0</v>
      </c>
      <c r="E2088" t="inlineStr">
        <is>
          <t>DELIVERY ONLINE</t>
        </is>
      </c>
    </row>
    <row r="2089">
      <c r="A2089" t="n">
        <v>128</v>
      </c>
      <c r="B2089" t="inlineStr">
        <is>
          <t>Love Cabaret</t>
        </is>
      </c>
      <c r="C2089" s="27" t="n">
        <v>45774</v>
      </c>
      <c r="D2089" t="n">
        <v>0</v>
      </c>
      <c r="E2089" t="inlineStr">
        <is>
          <t>APP</t>
        </is>
      </c>
    </row>
    <row r="2090">
      <c r="A2090" t="n">
        <v>128</v>
      </c>
      <c r="B2090" t="inlineStr">
        <is>
          <t>Love Cabaret</t>
        </is>
      </c>
      <c r="C2090" s="27" t="n">
        <v>45774</v>
      </c>
      <c r="D2090" t="n">
        <v>1104.03</v>
      </c>
      <c r="E2090" t="inlineStr">
        <is>
          <t>DINHEIRO</t>
        </is>
      </c>
    </row>
    <row r="2091">
      <c r="A2091" t="n">
        <v>128</v>
      </c>
      <c r="B2091" t="inlineStr">
        <is>
          <t>Love Cabaret</t>
        </is>
      </c>
      <c r="C2091" s="27" t="n">
        <v>45774</v>
      </c>
      <c r="D2091" t="n">
        <v>11151.83</v>
      </c>
      <c r="E2091" t="inlineStr">
        <is>
          <t>CRÉDITO</t>
        </is>
      </c>
    </row>
    <row r="2092">
      <c r="A2092" t="n">
        <v>128</v>
      </c>
      <c r="B2092" t="inlineStr">
        <is>
          <t>Love Cabaret</t>
        </is>
      </c>
      <c r="C2092" s="27" t="n">
        <v>45773</v>
      </c>
      <c r="D2092" t="n">
        <v>0</v>
      </c>
      <c r="E2092" t="inlineStr">
        <is>
          <t>MBWAY</t>
        </is>
      </c>
    </row>
    <row r="2093">
      <c r="A2093" t="n">
        <v>128</v>
      </c>
      <c r="B2093" t="inlineStr">
        <is>
          <t>Love Cabaret</t>
        </is>
      </c>
      <c r="C2093" s="27" t="n">
        <v>45773</v>
      </c>
      <c r="D2093" t="n">
        <v>0</v>
      </c>
      <c r="E2093" t="inlineStr">
        <is>
          <t>DELIVERY ONLINE</t>
        </is>
      </c>
    </row>
    <row r="2094">
      <c r="A2094" t="n">
        <v>128</v>
      </c>
      <c r="B2094" t="inlineStr">
        <is>
          <t>Love Cabaret</t>
        </is>
      </c>
      <c r="C2094" s="27" t="n">
        <v>45773</v>
      </c>
      <c r="D2094" t="n">
        <v>0</v>
      </c>
      <c r="E2094" t="inlineStr">
        <is>
          <t>IFOOD</t>
        </is>
      </c>
    </row>
    <row r="2095">
      <c r="A2095" t="n">
        <v>128</v>
      </c>
      <c r="B2095" t="inlineStr">
        <is>
          <t>Love Cabaret</t>
        </is>
      </c>
      <c r="C2095" s="27" t="n">
        <v>45773</v>
      </c>
      <c r="D2095" t="n">
        <v>1553.24</v>
      </c>
      <c r="E2095" t="inlineStr">
        <is>
          <t>PIX</t>
        </is>
      </c>
    </row>
    <row r="2096">
      <c r="A2096" t="n">
        <v>128</v>
      </c>
      <c r="B2096" t="inlineStr">
        <is>
          <t>Love Cabaret</t>
        </is>
      </c>
      <c r="C2096" s="27" t="n">
        <v>45773</v>
      </c>
      <c r="D2096" t="n">
        <v>0</v>
      </c>
      <c r="E2096" t="inlineStr">
        <is>
          <t>RAPPI</t>
        </is>
      </c>
    </row>
    <row r="2097">
      <c r="A2097" t="n">
        <v>128</v>
      </c>
      <c r="B2097" t="inlineStr">
        <is>
          <t>Love Cabaret</t>
        </is>
      </c>
      <c r="C2097" s="27" t="n">
        <v>45773</v>
      </c>
      <c r="D2097" t="n">
        <v>0</v>
      </c>
      <c r="E2097" t="inlineStr">
        <is>
          <t>UBER</t>
        </is>
      </c>
    </row>
    <row r="2098">
      <c r="A2098" t="n">
        <v>128</v>
      </c>
      <c r="B2098" t="inlineStr">
        <is>
          <t>Love Cabaret</t>
        </is>
      </c>
      <c r="C2098" s="27" t="n">
        <v>45773</v>
      </c>
      <c r="D2098" t="n">
        <v>0</v>
      </c>
      <c r="E2098" t="inlineStr">
        <is>
          <t>ANTECIPADO</t>
        </is>
      </c>
    </row>
    <row r="2099">
      <c r="A2099" t="n">
        <v>128</v>
      </c>
      <c r="B2099" t="inlineStr">
        <is>
          <t>Love Cabaret</t>
        </is>
      </c>
      <c r="C2099" s="27" t="n">
        <v>45773</v>
      </c>
      <c r="D2099" t="n">
        <v>0</v>
      </c>
      <c r="E2099" t="inlineStr">
        <is>
          <t>VOUCHER</t>
        </is>
      </c>
    </row>
    <row r="2100">
      <c r="A2100" t="n">
        <v>128</v>
      </c>
      <c r="B2100" t="inlineStr">
        <is>
          <t>Love Cabaret</t>
        </is>
      </c>
      <c r="C2100" s="27" t="n">
        <v>45773</v>
      </c>
      <c r="D2100" t="n">
        <v>4512.09</v>
      </c>
      <c r="E2100" t="inlineStr">
        <is>
          <t>DÉBITO</t>
        </is>
      </c>
    </row>
    <row r="2101">
      <c r="A2101" t="n">
        <v>128</v>
      </c>
      <c r="B2101" t="inlineStr">
        <is>
          <t>Love Cabaret</t>
        </is>
      </c>
      <c r="C2101" s="27" t="n">
        <v>45773</v>
      </c>
      <c r="D2101" t="n">
        <v>0</v>
      </c>
      <c r="E2101" t="inlineStr">
        <is>
          <t>BÔNUS</t>
        </is>
      </c>
    </row>
    <row r="2102">
      <c r="A2102" t="n">
        <v>128</v>
      </c>
      <c r="B2102" t="inlineStr">
        <is>
          <t>Love Cabaret</t>
        </is>
      </c>
      <c r="C2102" s="27" t="n">
        <v>45773</v>
      </c>
      <c r="D2102" t="n">
        <v>0</v>
      </c>
      <c r="E2102" t="inlineStr">
        <is>
          <t>ANTECIPADO</t>
        </is>
      </c>
    </row>
    <row r="2103">
      <c r="A2103" t="n">
        <v>128</v>
      </c>
      <c r="B2103" t="inlineStr">
        <is>
          <t>Love Cabaret</t>
        </is>
      </c>
      <c r="C2103" s="27" t="n">
        <v>45773</v>
      </c>
      <c r="D2103" t="n">
        <v>0</v>
      </c>
      <c r="E2103" t="inlineStr">
        <is>
          <t>OUTROS</t>
        </is>
      </c>
    </row>
    <row r="2104">
      <c r="A2104" t="n">
        <v>128</v>
      </c>
      <c r="B2104" t="inlineStr">
        <is>
          <t>Love Cabaret</t>
        </is>
      </c>
      <c r="C2104" s="27" t="n">
        <v>45773</v>
      </c>
      <c r="D2104" t="n">
        <v>0</v>
      </c>
      <c r="E2104" t="inlineStr">
        <is>
          <t>AME</t>
        </is>
      </c>
    </row>
    <row r="2105">
      <c r="A2105" t="n">
        <v>128</v>
      </c>
      <c r="B2105" t="inlineStr">
        <is>
          <t>Love Cabaret</t>
        </is>
      </c>
      <c r="C2105" s="27" t="n">
        <v>45773</v>
      </c>
      <c r="D2105" t="n">
        <v>0</v>
      </c>
      <c r="E2105" t="inlineStr">
        <is>
          <t>NOTAS MANUAIS + SERVIÇO</t>
        </is>
      </c>
    </row>
    <row r="2106">
      <c r="A2106" t="n">
        <v>128</v>
      </c>
      <c r="B2106" t="inlineStr">
        <is>
          <t>Love Cabaret</t>
        </is>
      </c>
      <c r="C2106" s="27" t="n">
        <v>45773</v>
      </c>
      <c r="D2106" t="n">
        <v>0</v>
      </c>
      <c r="E2106" t="inlineStr">
        <is>
          <t>VOUCHER INTEGRADO</t>
        </is>
      </c>
    </row>
    <row r="2107">
      <c r="A2107" t="n">
        <v>128</v>
      </c>
      <c r="B2107" t="inlineStr">
        <is>
          <t>Love Cabaret</t>
        </is>
      </c>
      <c r="C2107" s="27" t="n">
        <v>45773</v>
      </c>
      <c r="D2107" t="n">
        <v>0</v>
      </c>
      <c r="E2107" t="inlineStr">
        <is>
          <t>RECARGAS DEVOLVIDAS</t>
        </is>
      </c>
    </row>
    <row r="2108">
      <c r="A2108" t="n">
        <v>128</v>
      </c>
      <c r="B2108" t="inlineStr">
        <is>
          <t>Love Cabaret</t>
        </is>
      </c>
      <c r="C2108" s="27" t="n">
        <v>45773</v>
      </c>
      <c r="D2108" t="n">
        <v>18538.81</v>
      </c>
      <c r="E2108" t="inlineStr">
        <is>
          <t>CRÉDITO</t>
        </is>
      </c>
    </row>
    <row r="2109">
      <c r="A2109" t="n">
        <v>128</v>
      </c>
      <c r="B2109" t="inlineStr">
        <is>
          <t>Love Cabaret</t>
        </is>
      </c>
      <c r="C2109" s="27" t="n">
        <v>45773</v>
      </c>
      <c r="D2109" t="n">
        <v>619.53</v>
      </c>
      <c r="E2109" t="inlineStr">
        <is>
          <t>DINHEIRO</t>
        </is>
      </c>
    </row>
    <row r="2110">
      <c r="A2110" t="n">
        <v>128</v>
      </c>
      <c r="B2110" t="inlineStr">
        <is>
          <t>Love Cabaret</t>
        </is>
      </c>
      <c r="C2110" s="27" t="n">
        <v>45773</v>
      </c>
      <c r="D2110" t="n">
        <v>1</v>
      </c>
      <c r="E2110" t="inlineStr">
        <is>
          <t>APP</t>
        </is>
      </c>
    </row>
    <row r="2111">
      <c r="A2111" t="n">
        <v>128</v>
      </c>
      <c r="B2111" t="inlineStr">
        <is>
          <t>Love Cabaret</t>
        </is>
      </c>
      <c r="C2111" s="27" t="n">
        <v>45772</v>
      </c>
      <c r="D2111" t="n">
        <v>0</v>
      </c>
      <c r="E2111" t="inlineStr">
        <is>
          <t>RECARGAS DEVOLVIDAS</t>
        </is>
      </c>
    </row>
    <row r="2112">
      <c r="A2112" t="n">
        <v>128</v>
      </c>
      <c r="B2112" t="inlineStr">
        <is>
          <t>Love Cabaret</t>
        </is>
      </c>
      <c r="C2112" s="27" t="n">
        <v>45772</v>
      </c>
      <c r="D2112" t="n">
        <v>0</v>
      </c>
      <c r="E2112" t="inlineStr">
        <is>
          <t>VOUCHER INTEGRADO</t>
        </is>
      </c>
    </row>
    <row r="2113">
      <c r="A2113" t="n">
        <v>128</v>
      </c>
      <c r="B2113" t="inlineStr">
        <is>
          <t>Love Cabaret</t>
        </is>
      </c>
      <c r="C2113" s="27" t="n">
        <v>45772</v>
      </c>
      <c r="D2113" t="n">
        <v>0</v>
      </c>
      <c r="E2113" t="inlineStr">
        <is>
          <t>MBWAY</t>
        </is>
      </c>
    </row>
    <row r="2114">
      <c r="A2114" t="n">
        <v>128</v>
      </c>
      <c r="B2114" t="inlineStr">
        <is>
          <t>Love Cabaret</t>
        </is>
      </c>
      <c r="C2114" s="27" t="n">
        <v>45772</v>
      </c>
      <c r="D2114" t="n">
        <v>0</v>
      </c>
      <c r="E2114" t="inlineStr">
        <is>
          <t>NOTAS MANUAIS + SERVIÇO</t>
        </is>
      </c>
    </row>
    <row r="2115">
      <c r="A2115" t="n">
        <v>128</v>
      </c>
      <c r="B2115" t="inlineStr">
        <is>
          <t>Love Cabaret</t>
        </is>
      </c>
      <c r="C2115" s="27" t="n">
        <v>45772</v>
      </c>
      <c r="D2115" t="n">
        <v>0</v>
      </c>
      <c r="E2115" t="inlineStr">
        <is>
          <t>AME</t>
        </is>
      </c>
    </row>
    <row r="2116">
      <c r="A2116" t="n">
        <v>128</v>
      </c>
      <c r="B2116" t="inlineStr">
        <is>
          <t>Love Cabaret</t>
        </is>
      </c>
      <c r="C2116" s="27" t="n">
        <v>45772</v>
      </c>
      <c r="D2116" t="n">
        <v>0</v>
      </c>
      <c r="E2116" t="inlineStr">
        <is>
          <t>OUTROS</t>
        </is>
      </c>
    </row>
    <row r="2117">
      <c r="A2117" t="n">
        <v>128</v>
      </c>
      <c r="B2117" t="inlineStr">
        <is>
          <t>Love Cabaret</t>
        </is>
      </c>
      <c r="C2117" s="27" t="n">
        <v>45772</v>
      </c>
      <c r="D2117" t="n">
        <v>0</v>
      </c>
      <c r="E2117" t="inlineStr">
        <is>
          <t>ANTECIPADO</t>
        </is>
      </c>
    </row>
    <row r="2118">
      <c r="A2118" t="n">
        <v>128</v>
      </c>
      <c r="B2118" t="inlineStr">
        <is>
          <t>Love Cabaret</t>
        </is>
      </c>
      <c r="C2118" s="27" t="n">
        <v>45772</v>
      </c>
      <c r="D2118" t="n">
        <v>0</v>
      </c>
      <c r="E2118" t="inlineStr">
        <is>
          <t>BÔNUS</t>
        </is>
      </c>
    </row>
    <row r="2119">
      <c r="A2119" t="n">
        <v>128</v>
      </c>
      <c r="B2119" t="inlineStr">
        <is>
          <t>Love Cabaret</t>
        </is>
      </c>
      <c r="C2119" s="27" t="n">
        <v>45772</v>
      </c>
      <c r="D2119" t="n">
        <v>3397.02</v>
      </c>
      <c r="E2119" t="inlineStr">
        <is>
          <t>DÉBITO</t>
        </is>
      </c>
    </row>
    <row r="2120">
      <c r="A2120" t="n">
        <v>128</v>
      </c>
      <c r="B2120" t="inlineStr">
        <is>
          <t>Love Cabaret</t>
        </is>
      </c>
      <c r="C2120" s="27" t="n">
        <v>45772</v>
      </c>
      <c r="D2120" t="n">
        <v>0</v>
      </c>
      <c r="E2120" t="inlineStr">
        <is>
          <t>VOUCHER</t>
        </is>
      </c>
    </row>
    <row r="2121">
      <c r="A2121" t="n">
        <v>128</v>
      </c>
      <c r="B2121" t="inlineStr">
        <is>
          <t>Love Cabaret</t>
        </is>
      </c>
      <c r="C2121" s="27" t="n">
        <v>45772</v>
      </c>
      <c r="D2121" t="n">
        <v>0</v>
      </c>
      <c r="E2121" t="inlineStr">
        <is>
          <t>ANTECIPADO</t>
        </is>
      </c>
    </row>
    <row r="2122">
      <c r="A2122" t="n">
        <v>128</v>
      </c>
      <c r="B2122" t="inlineStr">
        <is>
          <t>Love Cabaret</t>
        </is>
      </c>
      <c r="C2122" s="27" t="n">
        <v>45772</v>
      </c>
      <c r="D2122" t="n">
        <v>0</v>
      </c>
      <c r="E2122" t="inlineStr">
        <is>
          <t>UBER</t>
        </is>
      </c>
    </row>
    <row r="2123">
      <c r="A2123" t="n">
        <v>128</v>
      </c>
      <c r="B2123" t="inlineStr">
        <is>
          <t>Love Cabaret</t>
        </is>
      </c>
      <c r="C2123" s="27" t="n">
        <v>45772</v>
      </c>
      <c r="D2123" t="n">
        <v>0</v>
      </c>
      <c r="E2123" t="inlineStr">
        <is>
          <t>RAPPI</t>
        </is>
      </c>
    </row>
    <row r="2124">
      <c r="A2124" t="n">
        <v>128</v>
      </c>
      <c r="B2124" t="inlineStr">
        <is>
          <t>Love Cabaret</t>
        </is>
      </c>
      <c r="C2124" s="27" t="n">
        <v>45772</v>
      </c>
      <c r="D2124" t="n">
        <v>493.61</v>
      </c>
      <c r="E2124" t="inlineStr">
        <is>
          <t>PIX</t>
        </is>
      </c>
    </row>
    <row r="2125">
      <c r="A2125" t="n">
        <v>128</v>
      </c>
      <c r="B2125" t="inlineStr">
        <is>
          <t>Love Cabaret</t>
        </is>
      </c>
      <c r="C2125" s="27" t="n">
        <v>45772</v>
      </c>
      <c r="D2125" t="n">
        <v>0</v>
      </c>
      <c r="E2125" t="inlineStr">
        <is>
          <t>IFOOD</t>
        </is>
      </c>
    </row>
    <row r="2126">
      <c r="A2126" t="n">
        <v>128</v>
      </c>
      <c r="B2126" t="inlineStr">
        <is>
          <t>Love Cabaret</t>
        </is>
      </c>
      <c r="C2126" s="27" t="n">
        <v>45772</v>
      </c>
      <c r="D2126" t="n">
        <v>0</v>
      </c>
      <c r="E2126" t="inlineStr">
        <is>
          <t>DELIVERY ONLINE</t>
        </is>
      </c>
    </row>
    <row r="2127">
      <c r="A2127" t="n">
        <v>128</v>
      </c>
      <c r="B2127" t="inlineStr">
        <is>
          <t>Love Cabaret</t>
        </is>
      </c>
      <c r="C2127" s="27" t="n">
        <v>45772</v>
      </c>
      <c r="D2127" t="n">
        <v>0</v>
      </c>
      <c r="E2127" t="inlineStr">
        <is>
          <t>APP</t>
        </is>
      </c>
    </row>
    <row r="2128">
      <c r="A2128" t="n">
        <v>128</v>
      </c>
      <c r="B2128" t="inlineStr">
        <is>
          <t>Love Cabaret</t>
        </is>
      </c>
      <c r="C2128" s="27" t="n">
        <v>45772</v>
      </c>
      <c r="D2128" t="n">
        <v>889.29</v>
      </c>
      <c r="E2128" t="inlineStr">
        <is>
          <t>DINHEIRO</t>
        </is>
      </c>
    </row>
    <row r="2129">
      <c r="A2129" t="n">
        <v>128</v>
      </c>
      <c r="B2129" t="inlineStr">
        <is>
          <t>Love Cabaret</t>
        </is>
      </c>
      <c r="C2129" s="27" t="n">
        <v>45772</v>
      </c>
      <c r="D2129" t="n">
        <v>18711.97</v>
      </c>
      <c r="E2129" t="inlineStr">
        <is>
          <t>CRÉDITO</t>
        </is>
      </c>
    </row>
    <row r="2130">
      <c r="A2130" t="n">
        <v>128</v>
      </c>
      <c r="B2130" t="inlineStr">
        <is>
          <t>Love Cabaret</t>
        </is>
      </c>
      <c r="C2130" s="27" t="n">
        <v>45771</v>
      </c>
      <c r="D2130" t="n">
        <v>0</v>
      </c>
      <c r="E2130" t="inlineStr">
        <is>
          <t>VOUCHER INTEGRADO</t>
        </is>
      </c>
    </row>
    <row r="2131">
      <c r="A2131" t="n">
        <v>128</v>
      </c>
      <c r="B2131" t="inlineStr">
        <is>
          <t>Love Cabaret</t>
        </is>
      </c>
      <c r="C2131" s="27" t="n">
        <v>45771</v>
      </c>
      <c r="D2131" t="n">
        <v>0</v>
      </c>
      <c r="E2131" t="inlineStr">
        <is>
          <t>MBWAY</t>
        </is>
      </c>
    </row>
    <row r="2132">
      <c r="A2132" t="n">
        <v>128</v>
      </c>
      <c r="B2132" t="inlineStr">
        <is>
          <t>Love Cabaret</t>
        </is>
      </c>
      <c r="C2132" s="27" t="n">
        <v>45771</v>
      </c>
      <c r="D2132" t="n">
        <v>6590.63</v>
      </c>
      <c r="E2132" t="inlineStr">
        <is>
          <t>DÉBITO</t>
        </is>
      </c>
    </row>
    <row r="2133">
      <c r="A2133" t="n">
        <v>128</v>
      </c>
      <c r="B2133" t="inlineStr">
        <is>
          <t>Love Cabaret</t>
        </is>
      </c>
      <c r="C2133" s="27" t="n">
        <v>45771</v>
      </c>
      <c r="D2133" t="n">
        <v>12052.4</v>
      </c>
      <c r="E2133" t="inlineStr">
        <is>
          <t>CRÉDITO</t>
        </is>
      </c>
    </row>
    <row r="2134">
      <c r="A2134" t="n">
        <v>128</v>
      </c>
      <c r="B2134" t="inlineStr">
        <is>
          <t>Love Cabaret</t>
        </is>
      </c>
      <c r="C2134" s="27" t="n">
        <v>45771</v>
      </c>
      <c r="D2134" t="n">
        <v>0</v>
      </c>
      <c r="E2134" t="inlineStr">
        <is>
          <t>UBER</t>
        </is>
      </c>
    </row>
    <row r="2135">
      <c r="A2135" t="n">
        <v>128</v>
      </c>
      <c r="B2135" t="inlineStr">
        <is>
          <t>Love Cabaret</t>
        </is>
      </c>
      <c r="C2135" s="27" t="n">
        <v>45771</v>
      </c>
      <c r="D2135" t="n">
        <v>0</v>
      </c>
      <c r="E2135" t="inlineStr">
        <is>
          <t>ANTECIPADO</t>
        </is>
      </c>
    </row>
    <row r="2136">
      <c r="A2136" t="n">
        <v>128</v>
      </c>
      <c r="B2136" t="inlineStr">
        <is>
          <t>Love Cabaret</t>
        </is>
      </c>
      <c r="C2136" s="27" t="n">
        <v>45771</v>
      </c>
      <c r="D2136" t="n">
        <v>0</v>
      </c>
      <c r="E2136" t="inlineStr">
        <is>
          <t>RAPPI</t>
        </is>
      </c>
    </row>
    <row r="2137">
      <c r="A2137" t="n">
        <v>128</v>
      </c>
      <c r="B2137" t="inlineStr">
        <is>
          <t>Love Cabaret</t>
        </is>
      </c>
      <c r="C2137" s="27" t="n">
        <v>45771</v>
      </c>
      <c r="D2137" t="n">
        <v>2025.96</v>
      </c>
      <c r="E2137" t="inlineStr">
        <is>
          <t>PIX</t>
        </is>
      </c>
    </row>
    <row r="2138">
      <c r="A2138" t="n">
        <v>128</v>
      </c>
      <c r="B2138" t="inlineStr">
        <is>
          <t>Love Cabaret</t>
        </is>
      </c>
      <c r="C2138" s="27" t="n">
        <v>45771</v>
      </c>
      <c r="D2138" t="n">
        <v>0</v>
      </c>
      <c r="E2138" t="inlineStr">
        <is>
          <t>IFOOD</t>
        </is>
      </c>
    </row>
    <row r="2139">
      <c r="A2139" t="n">
        <v>128</v>
      </c>
      <c r="B2139" t="inlineStr">
        <is>
          <t>Love Cabaret</t>
        </is>
      </c>
      <c r="C2139" s="27" t="n">
        <v>45771</v>
      </c>
      <c r="D2139" t="n">
        <v>0</v>
      </c>
      <c r="E2139" t="inlineStr">
        <is>
          <t>DELIVERY ONLINE</t>
        </is>
      </c>
    </row>
    <row r="2140">
      <c r="A2140" t="n">
        <v>128</v>
      </c>
      <c r="B2140" t="inlineStr">
        <is>
          <t>Love Cabaret</t>
        </is>
      </c>
      <c r="C2140" s="27" t="n">
        <v>45771</v>
      </c>
      <c r="D2140" t="n">
        <v>0</v>
      </c>
      <c r="E2140" t="inlineStr">
        <is>
          <t>APP</t>
        </is>
      </c>
    </row>
    <row r="2141">
      <c r="A2141" t="n">
        <v>128</v>
      </c>
      <c r="B2141" t="inlineStr">
        <is>
          <t>Love Cabaret</t>
        </is>
      </c>
      <c r="C2141" s="27" t="n">
        <v>45771</v>
      </c>
      <c r="D2141" t="n">
        <v>359.34</v>
      </c>
      <c r="E2141" t="inlineStr">
        <is>
          <t>DINHEIRO</t>
        </is>
      </c>
    </row>
    <row r="2142">
      <c r="A2142" t="n">
        <v>128</v>
      </c>
      <c r="B2142" t="inlineStr">
        <is>
          <t>Love Cabaret</t>
        </is>
      </c>
      <c r="C2142" s="27" t="n">
        <v>45771</v>
      </c>
      <c r="D2142" t="n">
        <v>0</v>
      </c>
      <c r="E2142" t="inlineStr">
        <is>
          <t>ANTECIPADO</t>
        </is>
      </c>
    </row>
    <row r="2143">
      <c r="A2143" t="n">
        <v>128</v>
      </c>
      <c r="B2143" t="inlineStr">
        <is>
          <t>Love Cabaret</t>
        </is>
      </c>
      <c r="C2143" s="27" t="n">
        <v>45771</v>
      </c>
      <c r="D2143" t="n">
        <v>0</v>
      </c>
      <c r="E2143" t="inlineStr">
        <is>
          <t>OUTROS</t>
        </is>
      </c>
    </row>
    <row r="2144">
      <c r="A2144" t="n">
        <v>128</v>
      </c>
      <c r="B2144" t="inlineStr">
        <is>
          <t>Love Cabaret</t>
        </is>
      </c>
      <c r="C2144" s="27" t="n">
        <v>45771</v>
      </c>
      <c r="D2144" t="n">
        <v>0</v>
      </c>
      <c r="E2144" t="inlineStr">
        <is>
          <t>AME</t>
        </is>
      </c>
    </row>
    <row r="2145">
      <c r="A2145" t="n">
        <v>128</v>
      </c>
      <c r="B2145" t="inlineStr">
        <is>
          <t>Love Cabaret</t>
        </is>
      </c>
      <c r="C2145" s="27" t="n">
        <v>45771</v>
      </c>
      <c r="D2145" t="n">
        <v>0</v>
      </c>
      <c r="E2145" t="inlineStr">
        <is>
          <t>NOTAS MANUAIS + SERVIÇO</t>
        </is>
      </c>
    </row>
    <row r="2146">
      <c r="A2146" t="n">
        <v>128</v>
      </c>
      <c r="B2146" t="inlineStr">
        <is>
          <t>Love Cabaret</t>
        </is>
      </c>
      <c r="C2146" s="27" t="n">
        <v>45771</v>
      </c>
      <c r="D2146" t="n">
        <v>0</v>
      </c>
      <c r="E2146" t="inlineStr">
        <is>
          <t>RECARGAS DEVOLVIDAS</t>
        </is>
      </c>
    </row>
    <row r="2147">
      <c r="A2147" t="n">
        <v>128</v>
      </c>
      <c r="B2147" t="inlineStr">
        <is>
          <t>Love Cabaret</t>
        </is>
      </c>
      <c r="C2147" s="27" t="n">
        <v>45771</v>
      </c>
      <c r="D2147" t="n">
        <v>0</v>
      </c>
      <c r="E2147" t="inlineStr">
        <is>
          <t>VOUCHER</t>
        </is>
      </c>
    </row>
    <row r="2148">
      <c r="A2148" t="n">
        <v>128</v>
      </c>
      <c r="B2148" t="inlineStr">
        <is>
          <t>Love Cabaret</t>
        </is>
      </c>
      <c r="C2148" s="27" t="n">
        <v>45771</v>
      </c>
      <c r="D2148" t="n">
        <v>0</v>
      </c>
      <c r="E2148" t="inlineStr">
        <is>
          <t>BÔNUS</t>
        </is>
      </c>
    </row>
    <row r="2149">
      <c r="A2149" t="n">
        <v>128</v>
      </c>
      <c r="B2149" t="inlineStr">
        <is>
          <t>Love Cabaret</t>
        </is>
      </c>
      <c r="C2149" s="27" t="n">
        <v>45766</v>
      </c>
      <c r="D2149" t="n">
        <v>18640.31</v>
      </c>
      <c r="E2149" t="inlineStr">
        <is>
          <t>CRÉDITO</t>
        </is>
      </c>
    </row>
    <row r="2150">
      <c r="A2150" t="n">
        <v>128</v>
      </c>
      <c r="B2150" t="inlineStr">
        <is>
          <t>Love Cabaret</t>
        </is>
      </c>
      <c r="C2150" s="27" t="n">
        <v>45766</v>
      </c>
      <c r="D2150" t="n">
        <v>0</v>
      </c>
      <c r="E2150" t="inlineStr">
        <is>
          <t>RECARGAS DEVOLVIDAS</t>
        </is>
      </c>
    </row>
    <row r="2151">
      <c r="A2151" t="n">
        <v>128</v>
      </c>
      <c r="B2151" t="inlineStr">
        <is>
          <t>Love Cabaret</t>
        </is>
      </c>
      <c r="C2151" s="27" t="n">
        <v>45766</v>
      </c>
      <c r="D2151" t="n">
        <v>24</v>
      </c>
      <c r="E2151" t="inlineStr">
        <is>
          <t>DINHEIRO</t>
        </is>
      </c>
    </row>
    <row r="2152">
      <c r="A2152" t="n">
        <v>128</v>
      </c>
      <c r="B2152" t="inlineStr">
        <is>
          <t>Love Cabaret</t>
        </is>
      </c>
      <c r="C2152" s="27" t="n">
        <v>45766</v>
      </c>
      <c r="D2152" t="n">
        <v>0</v>
      </c>
      <c r="E2152" t="inlineStr">
        <is>
          <t>APP</t>
        </is>
      </c>
    </row>
    <row r="2153">
      <c r="A2153" t="n">
        <v>128</v>
      </c>
      <c r="B2153" t="inlineStr">
        <is>
          <t>Love Cabaret</t>
        </is>
      </c>
      <c r="C2153" s="27" t="n">
        <v>45766</v>
      </c>
      <c r="D2153" t="n">
        <v>0</v>
      </c>
      <c r="E2153" t="inlineStr">
        <is>
          <t>DELIVERY ONLINE</t>
        </is>
      </c>
    </row>
    <row r="2154">
      <c r="A2154" t="n">
        <v>128</v>
      </c>
      <c r="B2154" t="inlineStr">
        <is>
          <t>Love Cabaret</t>
        </is>
      </c>
      <c r="C2154" s="27" t="n">
        <v>45766</v>
      </c>
      <c r="D2154" t="n">
        <v>0</v>
      </c>
      <c r="E2154" t="inlineStr">
        <is>
          <t>IFOOD</t>
        </is>
      </c>
    </row>
    <row r="2155">
      <c r="A2155" t="n">
        <v>128</v>
      </c>
      <c r="B2155" t="inlineStr">
        <is>
          <t>Love Cabaret</t>
        </is>
      </c>
      <c r="C2155" s="27" t="n">
        <v>45766</v>
      </c>
      <c r="D2155" t="n">
        <v>403.98</v>
      </c>
      <c r="E2155" t="inlineStr">
        <is>
          <t>PIX</t>
        </is>
      </c>
    </row>
    <row r="2156">
      <c r="A2156" t="n">
        <v>128</v>
      </c>
      <c r="B2156" t="inlineStr">
        <is>
          <t>Love Cabaret</t>
        </is>
      </c>
      <c r="C2156" s="27" t="n">
        <v>45766</v>
      </c>
      <c r="D2156" t="n">
        <v>0</v>
      </c>
      <c r="E2156" t="inlineStr">
        <is>
          <t>RAPPI</t>
        </is>
      </c>
    </row>
    <row r="2157">
      <c r="A2157" t="n">
        <v>128</v>
      </c>
      <c r="B2157" t="inlineStr">
        <is>
          <t>Love Cabaret</t>
        </is>
      </c>
      <c r="C2157" s="27" t="n">
        <v>45766</v>
      </c>
      <c r="D2157" t="n">
        <v>0</v>
      </c>
      <c r="E2157" t="inlineStr">
        <is>
          <t>UBER</t>
        </is>
      </c>
    </row>
    <row r="2158">
      <c r="A2158" t="n">
        <v>128</v>
      </c>
      <c r="B2158" t="inlineStr">
        <is>
          <t>Love Cabaret</t>
        </is>
      </c>
      <c r="C2158" s="27" t="n">
        <v>45766</v>
      </c>
      <c r="D2158" t="n">
        <v>0</v>
      </c>
      <c r="E2158" t="inlineStr">
        <is>
          <t>ANTECIPADO</t>
        </is>
      </c>
    </row>
    <row r="2159">
      <c r="A2159" t="n">
        <v>128</v>
      </c>
      <c r="B2159" t="inlineStr">
        <is>
          <t>Love Cabaret</t>
        </is>
      </c>
      <c r="C2159" s="27" t="n">
        <v>45766</v>
      </c>
      <c r="D2159" t="n">
        <v>0</v>
      </c>
      <c r="E2159" t="inlineStr">
        <is>
          <t>VOUCHER</t>
        </is>
      </c>
    </row>
    <row r="2160">
      <c r="A2160" t="n">
        <v>128</v>
      </c>
      <c r="B2160" t="inlineStr">
        <is>
          <t>Love Cabaret</t>
        </is>
      </c>
      <c r="C2160" s="27" t="n">
        <v>45766</v>
      </c>
      <c r="D2160" t="n">
        <v>6931</v>
      </c>
      <c r="E2160" t="inlineStr">
        <is>
          <t>DÉBITO</t>
        </is>
      </c>
    </row>
    <row r="2161">
      <c r="A2161" t="n">
        <v>128</v>
      </c>
      <c r="B2161" t="inlineStr">
        <is>
          <t>Love Cabaret</t>
        </is>
      </c>
      <c r="C2161" s="27" t="n">
        <v>45766</v>
      </c>
      <c r="D2161" t="n">
        <v>0</v>
      </c>
      <c r="E2161" t="inlineStr">
        <is>
          <t>BÔNUS</t>
        </is>
      </c>
    </row>
    <row r="2162">
      <c r="A2162" t="n">
        <v>128</v>
      </c>
      <c r="B2162" t="inlineStr">
        <is>
          <t>Love Cabaret</t>
        </is>
      </c>
      <c r="C2162" s="27" t="n">
        <v>45766</v>
      </c>
      <c r="D2162" t="n">
        <v>0</v>
      </c>
      <c r="E2162" t="inlineStr">
        <is>
          <t>ANTECIPADO</t>
        </is>
      </c>
    </row>
    <row r="2163">
      <c r="A2163" t="n">
        <v>128</v>
      </c>
      <c r="B2163" t="inlineStr">
        <is>
          <t>Love Cabaret</t>
        </is>
      </c>
      <c r="C2163" s="27" t="n">
        <v>45766</v>
      </c>
      <c r="D2163" t="n">
        <v>0</v>
      </c>
      <c r="E2163" t="inlineStr">
        <is>
          <t>OUTROS</t>
        </is>
      </c>
    </row>
    <row r="2164">
      <c r="A2164" t="n">
        <v>128</v>
      </c>
      <c r="B2164" t="inlineStr">
        <is>
          <t>Love Cabaret</t>
        </is>
      </c>
      <c r="C2164" s="27" t="n">
        <v>45766</v>
      </c>
      <c r="D2164" t="n">
        <v>0</v>
      </c>
      <c r="E2164" t="inlineStr">
        <is>
          <t>AME</t>
        </is>
      </c>
    </row>
    <row r="2165">
      <c r="A2165" t="n">
        <v>128</v>
      </c>
      <c r="B2165" t="inlineStr">
        <is>
          <t>Love Cabaret</t>
        </is>
      </c>
      <c r="C2165" s="27" t="n">
        <v>45766</v>
      </c>
      <c r="D2165" t="n">
        <v>0</v>
      </c>
      <c r="E2165" t="inlineStr">
        <is>
          <t>NOTAS MANUAIS + SERVIÇO</t>
        </is>
      </c>
    </row>
    <row r="2166">
      <c r="A2166" t="n">
        <v>128</v>
      </c>
      <c r="B2166" t="inlineStr">
        <is>
          <t>Love Cabaret</t>
        </is>
      </c>
      <c r="C2166" s="27" t="n">
        <v>45766</v>
      </c>
      <c r="D2166" t="n">
        <v>0</v>
      </c>
      <c r="E2166" t="inlineStr">
        <is>
          <t>VOUCHER INTEGRADO</t>
        </is>
      </c>
    </row>
    <row r="2167">
      <c r="A2167" t="n">
        <v>128</v>
      </c>
      <c r="B2167" t="inlineStr">
        <is>
          <t>Love Cabaret</t>
        </is>
      </c>
      <c r="C2167" s="27" t="n">
        <v>45766</v>
      </c>
      <c r="D2167" t="n">
        <v>0</v>
      </c>
      <c r="E2167" t="inlineStr">
        <is>
          <t>MBWAY</t>
        </is>
      </c>
    </row>
    <row r="2168">
      <c r="A2168" t="n">
        <v>128</v>
      </c>
      <c r="B2168" t="inlineStr">
        <is>
          <t>Love Cabaret</t>
        </is>
      </c>
      <c r="C2168" s="27" t="n">
        <v>45765</v>
      </c>
      <c r="D2168" t="n">
        <v>0</v>
      </c>
      <c r="E2168" t="inlineStr">
        <is>
          <t>VOUCHER INTEGRADO</t>
        </is>
      </c>
    </row>
    <row r="2169">
      <c r="A2169" t="n">
        <v>128</v>
      </c>
      <c r="B2169" t="inlineStr">
        <is>
          <t>Love Cabaret</t>
        </is>
      </c>
      <c r="C2169" s="27" t="n">
        <v>45765</v>
      </c>
      <c r="D2169" t="n">
        <v>0</v>
      </c>
      <c r="E2169" t="inlineStr">
        <is>
          <t>MBWAY</t>
        </is>
      </c>
    </row>
    <row r="2170">
      <c r="A2170" t="n">
        <v>128</v>
      </c>
      <c r="B2170" t="inlineStr">
        <is>
          <t>Love Cabaret</t>
        </is>
      </c>
      <c r="C2170" s="27" t="n">
        <v>45765</v>
      </c>
      <c r="D2170" t="n">
        <v>14590.1</v>
      </c>
      <c r="E2170" t="inlineStr">
        <is>
          <t>CRÉDITO</t>
        </is>
      </c>
    </row>
    <row r="2171">
      <c r="A2171" t="n">
        <v>128</v>
      </c>
      <c r="B2171" t="inlineStr">
        <is>
          <t>Love Cabaret</t>
        </is>
      </c>
      <c r="C2171" s="27" t="n">
        <v>45765</v>
      </c>
      <c r="D2171" t="n">
        <v>318</v>
      </c>
      <c r="E2171" t="inlineStr">
        <is>
          <t>DINHEIRO</t>
        </is>
      </c>
    </row>
    <row r="2172">
      <c r="A2172" t="n">
        <v>128</v>
      </c>
      <c r="B2172" t="inlineStr">
        <is>
          <t>Love Cabaret</t>
        </is>
      </c>
      <c r="C2172" s="27" t="n">
        <v>45765</v>
      </c>
      <c r="D2172" t="n">
        <v>0</v>
      </c>
      <c r="E2172" t="inlineStr">
        <is>
          <t>APP</t>
        </is>
      </c>
    </row>
    <row r="2173">
      <c r="A2173" t="n">
        <v>128</v>
      </c>
      <c r="B2173" t="inlineStr">
        <is>
          <t>Love Cabaret</t>
        </is>
      </c>
      <c r="C2173" s="27" t="n">
        <v>45765</v>
      </c>
      <c r="D2173" t="n">
        <v>0</v>
      </c>
      <c r="E2173" t="inlineStr">
        <is>
          <t>DELIVERY ONLINE</t>
        </is>
      </c>
    </row>
    <row r="2174">
      <c r="A2174" t="n">
        <v>128</v>
      </c>
      <c r="B2174" t="inlineStr">
        <is>
          <t>Love Cabaret</t>
        </is>
      </c>
      <c r="C2174" s="27" t="n">
        <v>45765</v>
      </c>
      <c r="D2174" t="n">
        <v>0</v>
      </c>
      <c r="E2174" t="inlineStr">
        <is>
          <t>IFOOD</t>
        </is>
      </c>
    </row>
    <row r="2175">
      <c r="A2175" t="n">
        <v>128</v>
      </c>
      <c r="B2175" t="inlineStr">
        <is>
          <t>Love Cabaret</t>
        </is>
      </c>
      <c r="C2175" s="27" t="n">
        <v>45765</v>
      </c>
      <c r="D2175" t="n">
        <v>3232.96</v>
      </c>
      <c r="E2175" t="inlineStr">
        <is>
          <t>PIX</t>
        </is>
      </c>
    </row>
    <row r="2176">
      <c r="A2176" t="n">
        <v>128</v>
      </c>
      <c r="B2176" t="inlineStr">
        <is>
          <t>Love Cabaret</t>
        </is>
      </c>
      <c r="C2176" s="27" t="n">
        <v>45765</v>
      </c>
      <c r="D2176" t="n">
        <v>0</v>
      </c>
      <c r="E2176" t="inlineStr">
        <is>
          <t>RAPPI</t>
        </is>
      </c>
    </row>
    <row r="2177">
      <c r="A2177" t="n">
        <v>128</v>
      </c>
      <c r="B2177" t="inlineStr">
        <is>
          <t>Love Cabaret</t>
        </is>
      </c>
      <c r="C2177" s="27" t="n">
        <v>45765</v>
      </c>
      <c r="D2177" t="n">
        <v>0</v>
      </c>
      <c r="E2177" t="inlineStr">
        <is>
          <t>UBER</t>
        </is>
      </c>
    </row>
    <row r="2178">
      <c r="A2178" t="n">
        <v>128</v>
      </c>
      <c r="B2178" t="inlineStr">
        <is>
          <t>Love Cabaret</t>
        </is>
      </c>
      <c r="C2178" s="27" t="n">
        <v>45765</v>
      </c>
      <c r="D2178" t="n">
        <v>0</v>
      </c>
      <c r="E2178" t="inlineStr">
        <is>
          <t>VOUCHER</t>
        </is>
      </c>
    </row>
    <row r="2179">
      <c r="A2179" t="n">
        <v>128</v>
      </c>
      <c r="B2179" t="inlineStr">
        <is>
          <t>Love Cabaret</t>
        </is>
      </c>
      <c r="C2179" s="27" t="n">
        <v>45765</v>
      </c>
      <c r="D2179" t="n">
        <v>10677.04</v>
      </c>
      <c r="E2179" t="inlineStr">
        <is>
          <t>DÉBITO</t>
        </is>
      </c>
    </row>
    <row r="2180">
      <c r="A2180" t="n">
        <v>128</v>
      </c>
      <c r="B2180" t="inlineStr">
        <is>
          <t>Love Cabaret</t>
        </is>
      </c>
      <c r="C2180" s="27" t="n">
        <v>45765</v>
      </c>
      <c r="D2180" t="n">
        <v>0</v>
      </c>
      <c r="E2180" t="inlineStr">
        <is>
          <t>BÔNUS</t>
        </is>
      </c>
    </row>
    <row r="2181">
      <c r="A2181" t="n">
        <v>128</v>
      </c>
      <c r="B2181" t="inlineStr">
        <is>
          <t>Love Cabaret</t>
        </is>
      </c>
      <c r="C2181" s="27" t="n">
        <v>45765</v>
      </c>
      <c r="D2181" t="n">
        <v>0</v>
      </c>
      <c r="E2181" t="inlineStr">
        <is>
          <t>ANTECIPADO</t>
        </is>
      </c>
    </row>
    <row r="2182">
      <c r="A2182" t="n">
        <v>128</v>
      </c>
      <c r="B2182" t="inlineStr">
        <is>
          <t>Love Cabaret</t>
        </is>
      </c>
      <c r="C2182" s="27" t="n">
        <v>45765</v>
      </c>
      <c r="D2182" t="n">
        <v>0</v>
      </c>
      <c r="E2182" t="inlineStr">
        <is>
          <t>OUTROS</t>
        </is>
      </c>
    </row>
    <row r="2183">
      <c r="A2183" t="n">
        <v>128</v>
      </c>
      <c r="B2183" t="inlineStr">
        <is>
          <t>Love Cabaret</t>
        </is>
      </c>
      <c r="C2183" s="27" t="n">
        <v>45765</v>
      </c>
      <c r="D2183" t="n">
        <v>0</v>
      </c>
      <c r="E2183" t="inlineStr">
        <is>
          <t>AME</t>
        </is>
      </c>
    </row>
    <row r="2184">
      <c r="A2184" t="n">
        <v>128</v>
      </c>
      <c r="B2184" t="inlineStr">
        <is>
          <t>Love Cabaret</t>
        </is>
      </c>
      <c r="C2184" s="27" t="n">
        <v>45765</v>
      </c>
      <c r="D2184" t="n">
        <v>0</v>
      </c>
      <c r="E2184" t="inlineStr">
        <is>
          <t>NOTAS MANUAIS + SERVIÇO</t>
        </is>
      </c>
    </row>
    <row r="2185">
      <c r="A2185" t="n">
        <v>128</v>
      </c>
      <c r="B2185" t="inlineStr">
        <is>
          <t>Love Cabaret</t>
        </is>
      </c>
      <c r="C2185" s="27" t="n">
        <v>45765</v>
      </c>
      <c r="D2185" t="n">
        <v>0</v>
      </c>
      <c r="E2185" t="inlineStr">
        <is>
          <t>RECARGAS DEVOLVIDAS</t>
        </is>
      </c>
    </row>
    <row r="2186">
      <c r="A2186" t="n">
        <v>128</v>
      </c>
      <c r="B2186" t="inlineStr">
        <is>
          <t>Love Cabaret</t>
        </is>
      </c>
      <c r="C2186" s="27" t="n">
        <v>45765</v>
      </c>
      <c r="D2186" t="n">
        <v>0</v>
      </c>
      <c r="E2186" t="inlineStr">
        <is>
          <t>ANTECIPADO</t>
        </is>
      </c>
    </row>
    <row r="2187">
      <c r="A2187" t="n">
        <v>128</v>
      </c>
      <c r="B2187" t="inlineStr">
        <is>
          <t>Love Cabaret</t>
        </is>
      </c>
      <c r="C2187" s="27" t="n">
        <v>45764</v>
      </c>
      <c r="D2187" t="n">
        <v>0</v>
      </c>
      <c r="E2187" t="inlineStr">
        <is>
          <t>ANTECIPADO</t>
        </is>
      </c>
    </row>
    <row r="2188">
      <c r="A2188" t="n">
        <v>128</v>
      </c>
      <c r="B2188" t="inlineStr">
        <is>
          <t>Love Cabaret</t>
        </is>
      </c>
      <c r="C2188" s="27" t="n">
        <v>45764</v>
      </c>
      <c r="D2188" t="n">
        <v>0</v>
      </c>
      <c r="E2188" t="inlineStr">
        <is>
          <t>RAPPI</t>
        </is>
      </c>
    </row>
    <row r="2189">
      <c r="A2189" t="n">
        <v>128</v>
      </c>
      <c r="B2189" t="inlineStr">
        <is>
          <t>Love Cabaret</t>
        </is>
      </c>
      <c r="C2189" s="27" t="n">
        <v>45764</v>
      </c>
      <c r="D2189" t="n">
        <v>1448.63</v>
      </c>
      <c r="E2189" t="inlineStr">
        <is>
          <t>PIX</t>
        </is>
      </c>
    </row>
    <row r="2190">
      <c r="A2190" t="n">
        <v>128</v>
      </c>
      <c r="B2190" t="inlineStr">
        <is>
          <t>Love Cabaret</t>
        </is>
      </c>
      <c r="C2190" s="27" t="n">
        <v>45764</v>
      </c>
      <c r="D2190" t="n">
        <v>0</v>
      </c>
      <c r="E2190" t="inlineStr">
        <is>
          <t>IFOOD</t>
        </is>
      </c>
    </row>
    <row r="2191">
      <c r="A2191" t="n">
        <v>128</v>
      </c>
      <c r="B2191" t="inlineStr">
        <is>
          <t>Love Cabaret</t>
        </is>
      </c>
      <c r="C2191" s="27" t="n">
        <v>45764</v>
      </c>
      <c r="D2191" t="n">
        <v>0</v>
      </c>
      <c r="E2191" t="inlineStr">
        <is>
          <t>DELIVERY ONLINE</t>
        </is>
      </c>
    </row>
    <row r="2192">
      <c r="A2192" t="n">
        <v>128</v>
      </c>
      <c r="B2192" t="inlineStr">
        <is>
          <t>Love Cabaret</t>
        </is>
      </c>
      <c r="C2192" s="27" t="n">
        <v>45764</v>
      </c>
      <c r="D2192" t="n">
        <v>0</v>
      </c>
      <c r="E2192" t="inlineStr">
        <is>
          <t>APP</t>
        </is>
      </c>
    </row>
    <row r="2193">
      <c r="A2193" t="n">
        <v>128</v>
      </c>
      <c r="B2193" t="inlineStr">
        <is>
          <t>Love Cabaret</t>
        </is>
      </c>
      <c r="C2193" s="27" t="n">
        <v>45764</v>
      </c>
      <c r="D2193" t="n">
        <v>571</v>
      </c>
      <c r="E2193" t="inlineStr">
        <is>
          <t>DINHEIRO</t>
        </is>
      </c>
    </row>
    <row r="2194">
      <c r="A2194" t="n">
        <v>128</v>
      </c>
      <c r="B2194" t="inlineStr">
        <is>
          <t>Love Cabaret</t>
        </is>
      </c>
      <c r="C2194" s="27" t="n">
        <v>45764</v>
      </c>
      <c r="D2194" t="n">
        <v>9874.129999999999</v>
      </c>
      <c r="E2194" t="inlineStr">
        <is>
          <t>CRÉDITO</t>
        </is>
      </c>
    </row>
    <row r="2195">
      <c r="A2195" t="n">
        <v>128</v>
      </c>
      <c r="B2195" t="inlineStr">
        <is>
          <t>Love Cabaret</t>
        </is>
      </c>
      <c r="C2195" s="27" t="n">
        <v>45764</v>
      </c>
      <c r="D2195" t="n">
        <v>0</v>
      </c>
      <c r="E2195" t="inlineStr">
        <is>
          <t>UBER</t>
        </is>
      </c>
    </row>
    <row r="2196">
      <c r="A2196" t="n">
        <v>128</v>
      </c>
      <c r="B2196" t="inlineStr">
        <is>
          <t>Love Cabaret</t>
        </is>
      </c>
      <c r="C2196" s="27" t="n">
        <v>45764</v>
      </c>
      <c r="D2196" t="n">
        <v>0</v>
      </c>
      <c r="E2196" t="inlineStr">
        <is>
          <t>MBWAY</t>
        </is>
      </c>
    </row>
    <row r="2197">
      <c r="A2197" t="n">
        <v>128</v>
      </c>
      <c r="B2197" t="inlineStr">
        <is>
          <t>Love Cabaret</t>
        </is>
      </c>
      <c r="C2197" s="27" t="n">
        <v>45764</v>
      </c>
      <c r="D2197" t="n">
        <v>8462.23</v>
      </c>
      <c r="E2197" t="inlineStr">
        <is>
          <t>DÉBITO</t>
        </is>
      </c>
    </row>
    <row r="2198">
      <c r="A2198" t="n">
        <v>128</v>
      </c>
      <c r="B2198" t="inlineStr">
        <is>
          <t>Love Cabaret</t>
        </is>
      </c>
      <c r="C2198" s="27" t="n">
        <v>45764</v>
      </c>
      <c r="D2198" t="n">
        <v>0</v>
      </c>
      <c r="E2198" t="inlineStr">
        <is>
          <t>BÔNUS</t>
        </is>
      </c>
    </row>
    <row r="2199">
      <c r="A2199" t="n">
        <v>128</v>
      </c>
      <c r="B2199" t="inlineStr">
        <is>
          <t>Love Cabaret</t>
        </is>
      </c>
      <c r="C2199" s="27" t="n">
        <v>45764</v>
      </c>
      <c r="D2199" t="n">
        <v>0</v>
      </c>
      <c r="E2199" t="inlineStr">
        <is>
          <t>ANTECIPADO</t>
        </is>
      </c>
    </row>
    <row r="2200">
      <c r="A2200" t="n">
        <v>128</v>
      </c>
      <c r="B2200" t="inlineStr">
        <is>
          <t>Love Cabaret</t>
        </is>
      </c>
      <c r="C2200" s="27" t="n">
        <v>45764</v>
      </c>
      <c r="D2200" t="n">
        <v>0</v>
      </c>
      <c r="E2200" t="inlineStr">
        <is>
          <t>OUTROS</t>
        </is>
      </c>
    </row>
    <row r="2201">
      <c r="A2201" t="n">
        <v>128</v>
      </c>
      <c r="B2201" t="inlineStr">
        <is>
          <t>Love Cabaret</t>
        </is>
      </c>
      <c r="C2201" s="27" t="n">
        <v>45764</v>
      </c>
      <c r="D2201" t="n">
        <v>0</v>
      </c>
      <c r="E2201" t="inlineStr">
        <is>
          <t>AME</t>
        </is>
      </c>
    </row>
    <row r="2202">
      <c r="A2202" t="n">
        <v>128</v>
      </c>
      <c r="B2202" t="inlineStr">
        <is>
          <t>Love Cabaret</t>
        </is>
      </c>
      <c r="C2202" s="27" t="n">
        <v>45764</v>
      </c>
      <c r="D2202" t="n">
        <v>0</v>
      </c>
      <c r="E2202" t="inlineStr">
        <is>
          <t>NOTAS MANUAIS + SERVIÇO</t>
        </is>
      </c>
    </row>
    <row r="2203">
      <c r="A2203" t="n">
        <v>128</v>
      </c>
      <c r="B2203" t="inlineStr">
        <is>
          <t>Love Cabaret</t>
        </is>
      </c>
      <c r="C2203" s="27" t="n">
        <v>45764</v>
      </c>
      <c r="D2203" t="n">
        <v>0</v>
      </c>
      <c r="E2203" t="inlineStr">
        <is>
          <t>RECARGAS DEVOLVIDAS</t>
        </is>
      </c>
    </row>
    <row r="2204">
      <c r="A2204" t="n">
        <v>128</v>
      </c>
      <c r="B2204" t="inlineStr">
        <is>
          <t>Love Cabaret</t>
        </is>
      </c>
      <c r="C2204" s="27" t="n">
        <v>45764</v>
      </c>
      <c r="D2204" t="n">
        <v>0</v>
      </c>
      <c r="E2204" t="inlineStr">
        <is>
          <t>VOUCHER INTEGRADO</t>
        </is>
      </c>
    </row>
    <row r="2205">
      <c r="A2205" t="n">
        <v>128</v>
      </c>
      <c r="B2205" t="inlineStr">
        <is>
          <t>Love Cabaret</t>
        </is>
      </c>
      <c r="C2205" s="27" t="n">
        <v>45764</v>
      </c>
      <c r="D2205" t="n">
        <v>0</v>
      </c>
      <c r="E2205" t="inlineStr">
        <is>
          <t>VOUCHER</t>
        </is>
      </c>
    </row>
    <row r="2206">
      <c r="A2206" t="n">
        <v>128</v>
      </c>
      <c r="B2206" t="inlineStr">
        <is>
          <t>Love Cabaret</t>
        </is>
      </c>
      <c r="C2206" s="27" t="n">
        <v>45759</v>
      </c>
      <c r="D2206" t="n">
        <v>0</v>
      </c>
      <c r="E2206" t="inlineStr">
        <is>
          <t>ANTECIPADO</t>
        </is>
      </c>
    </row>
    <row r="2207">
      <c r="A2207" t="n">
        <v>128</v>
      </c>
      <c r="B2207" t="inlineStr">
        <is>
          <t>Love Cabaret</t>
        </is>
      </c>
      <c r="C2207" s="27" t="n">
        <v>45759</v>
      </c>
      <c r="D2207" t="n">
        <v>0</v>
      </c>
      <c r="E2207" t="inlineStr">
        <is>
          <t>MBWAY</t>
        </is>
      </c>
    </row>
    <row r="2208">
      <c r="A2208" t="n">
        <v>128</v>
      </c>
      <c r="B2208" t="inlineStr">
        <is>
          <t>Love Cabaret</t>
        </is>
      </c>
      <c r="C2208" s="27" t="n">
        <v>45759</v>
      </c>
      <c r="D2208" t="n">
        <v>0</v>
      </c>
      <c r="E2208" t="inlineStr">
        <is>
          <t>VOUCHER INTEGRADO</t>
        </is>
      </c>
    </row>
    <row r="2209">
      <c r="A2209" t="n">
        <v>128</v>
      </c>
      <c r="B2209" t="inlineStr">
        <is>
          <t>Love Cabaret</t>
        </is>
      </c>
      <c r="C2209" s="27" t="n">
        <v>45759</v>
      </c>
      <c r="D2209" t="n">
        <v>0</v>
      </c>
      <c r="E2209" t="inlineStr">
        <is>
          <t>RECARGAS DEVOLVIDAS</t>
        </is>
      </c>
    </row>
    <row r="2210">
      <c r="A2210" t="n">
        <v>128</v>
      </c>
      <c r="B2210" t="inlineStr">
        <is>
          <t>Love Cabaret</t>
        </is>
      </c>
      <c r="C2210" s="27" t="n">
        <v>45759</v>
      </c>
      <c r="D2210" t="n">
        <v>21541.75</v>
      </c>
      <c r="E2210" t="inlineStr">
        <is>
          <t>CRÉDITO</t>
        </is>
      </c>
    </row>
    <row r="2211">
      <c r="A2211" t="n">
        <v>128</v>
      </c>
      <c r="B2211" t="inlineStr">
        <is>
          <t>Love Cabaret</t>
        </is>
      </c>
      <c r="C2211" s="27" t="n">
        <v>45759</v>
      </c>
      <c r="D2211" t="n">
        <v>0</v>
      </c>
      <c r="E2211" t="inlineStr">
        <is>
          <t>DINHEIRO</t>
        </is>
      </c>
    </row>
    <row r="2212">
      <c r="A2212" t="n">
        <v>128</v>
      </c>
      <c r="B2212" t="inlineStr">
        <is>
          <t>Love Cabaret</t>
        </is>
      </c>
      <c r="C2212" s="27" t="n">
        <v>45759</v>
      </c>
      <c r="D2212" t="n">
        <v>0</v>
      </c>
      <c r="E2212" t="inlineStr">
        <is>
          <t>APP</t>
        </is>
      </c>
    </row>
    <row r="2213">
      <c r="A2213" t="n">
        <v>128</v>
      </c>
      <c r="B2213" t="inlineStr">
        <is>
          <t>Love Cabaret</t>
        </is>
      </c>
      <c r="C2213" s="27" t="n">
        <v>45759</v>
      </c>
      <c r="D2213" t="n">
        <v>0</v>
      </c>
      <c r="E2213" t="inlineStr">
        <is>
          <t>DELIVERY ONLINE</t>
        </is>
      </c>
    </row>
    <row r="2214">
      <c r="A2214" t="n">
        <v>128</v>
      </c>
      <c r="B2214" t="inlineStr">
        <is>
          <t>Love Cabaret</t>
        </is>
      </c>
      <c r="C2214" s="27" t="n">
        <v>45759</v>
      </c>
      <c r="D2214" t="n">
        <v>0</v>
      </c>
      <c r="E2214" t="inlineStr">
        <is>
          <t>IFOOD</t>
        </is>
      </c>
    </row>
    <row r="2215">
      <c r="A2215" t="n">
        <v>128</v>
      </c>
      <c r="B2215" t="inlineStr">
        <is>
          <t>Love Cabaret</t>
        </is>
      </c>
      <c r="C2215" s="27" t="n">
        <v>45759</v>
      </c>
      <c r="D2215" t="n">
        <v>1757.16</v>
      </c>
      <c r="E2215" t="inlineStr">
        <is>
          <t>PIX</t>
        </is>
      </c>
    </row>
    <row r="2216">
      <c r="A2216" t="n">
        <v>128</v>
      </c>
      <c r="B2216" t="inlineStr">
        <is>
          <t>Love Cabaret</t>
        </is>
      </c>
      <c r="C2216" s="27" t="n">
        <v>45759</v>
      </c>
      <c r="D2216" t="n">
        <v>0</v>
      </c>
      <c r="E2216" t="inlineStr">
        <is>
          <t>NOTAS MANUAIS + SERVIÇO</t>
        </is>
      </c>
    </row>
    <row r="2217">
      <c r="A2217" t="n">
        <v>128</v>
      </c>
      <c r="B2217" t="inlineStr">
        <is>
          <t>Love Cabaret</t>
        </is>
      </c>
      <c r="C2217" s="27" t="n">
        <v>45759</v>
      </c>
      <c r="D2217" t="n">
        <v>0</v>
      </c>
      <c r="E2217" t="inlineStr">
        <is>
          <t>VOUCHER</t>
        </is>
      </c>
    </row>
    <row r="2218">
      <c r="A2218" t="n">
        <v>128</v>
      </c>
      <c r="B2218" t="inlineStr">
        <is>
          <t>Love Cabaret</t>
        </is>
      </c>
      <c r="C2218" s="27" t="n">
        <v>45759</v>
      </c>
      <c r="D2218" t="n">
        <v>0</v>
      </c>
      <c r="E2218" t="inlineStr">
        <is>
          <t>UBER</t>
        </is>
      </c>
    </row>
    <row r="2219">
      <c r="A2219" t="n">
        <v>128</v>
      </c>
      <c r="B2219" t="inlineStr">
        <is>
          <t>Love Cabaret</t>
        </is>
      </c>
      <c r="C2219" s="27" t="n">
        <v>45759</v>
      </c>
      <c r="D2219" t="n">
        <v>5706.19</v>
      </c>
      <c r="E2219" t="inlineStr">
        <is>
          <t>DÉBITO</t>
        </is>
      </c>
    </row>
    <row r="2220">
      <c r="A2220" t="n">
        <v>128</v>
      </c>
      <c r="B2220" t="inlineStr">
        <is>
          <t>Love Cabaret</t>
        </is>
      </c>
      <c r="C2220" s="27" t="n">
        <v>45759</v>
      </c>
      <c r="D2220" t="n">
        <v>0</v>
      </c>
      <c r="E2220" t="inlineStr">
        <is>
          <t>BÔNUS</t>
        </is>
      </c>
    </row>
    <row r="2221">
      <c r="A2221" t="n">
        <v>128</v>
      </c>
      <c r="B2221" t="inlineStr">
        <is>
          <t>Love Cabaret</t>
        </is>
      </c>
      <c r="C2221" s="27" t="n">
        <v>45759</v>
      </c>
      <c r="D2221" t="n">
        <v>0</v>
      </c>
      <c r="E2221" t="inlineStr">
        <is>
          <t>ANTECIPADO</t>
        </is>
      </c>
    </row>
    <row r="2222">
      <c r="A2222" t="n">
        <v>128</v>
      </c>
      <c r="B2222" t="inlineStr">
        <is>
          <t>Love Cabaret</t>
        </is>
      </c>
      <c r="C2222" s="27" t="n">
        <v>45759</v>
      </c>
      <c r="D2222" t="n">
        <v>0</v>
      </c>
      <c r="E2222" t="inlineStr">
        <is>
          <t>AME</t>
        </is>
      </c>
    </row>
    <row r="2223">
      <c r="A2223" t="n">
        <v>128</v>
      </c>
      <c r="B2223" t="inlineStr">
        <is>
          <t>Love Cabaret</t>
        </is>
      </c>
      <c r="C2223" s="27" t="n">
        <v>45759</v>
      </c>
      <c r="D2223" t="n">
        <v>0</v>
      </c>
      <c r="E2223" t="inlineStr">
        <is>
          <t>RAPPI</t>
        </is>
      </c>
    </row>
    <row r="2224">
      <c r="A2224" t="n">
        <v>128</v>
      </c>
      <c r="B2224" t="inlineStr">
        <is>
          <t>Love Cabaret</t>
        </is>
      </c>
      <c r="C2224" s="27" t="n">
        <v>45759</v>
      </c>
      <c r="D2224" t="n">
        <v>0</v>
      </c>
      <c r="E2224" t="inlineStr">
        <is>
          <t>OUTROS</t>
        </is>
      </c>
    </row>
    <row r="2225">
      <c r="A2225" t="n">
        <v>128</v>
      </c>
      <c r="B2225" t="inlineStr">
        <is>
          <t>Love Cabaret</t>
        </is>
      </c>
      <c r="C2225" s="27" t="n">
        <v>45758</v>
      </c>
      <c r="D2225" t="n">
        <v>16755.47</v>
      </c>
      <c r="E2225" t="inlineStr">
        <is>
          <t>CRÉDITO</t>
        </is>
      </c>
    </row>
    <row r="2226">
      <c r="A2226" t="n">
        <v>128</v>
      </c>
      <c r="B2226" t="inlineStr">
        <is>
          <t>Love Cabaret</t>
        </is>
      </c>
      <c r="C2226" s="27" t="n">
        <v>45758</v>
      </c>
      <c r="D2226" t="n">
        <v>0</v>
      </c>
      <c r="E2226" t="inlineStr">
        <is>
          <t>ANTECIPADO</t>
        </is>
      </c>
    </row>
    <row r="2227">
      <c r="A2227" t="n">
        <v>128</v>
      </c>
      <c r="B2227" t="inlineStr">
        <is>
          <t>Love Cabaret</t>
        </is>
      </c>
      <c r="C2227" s="27" t="n">
        <v>45758</v>
      </c>
      <c r="D2227" t="n">
        <v>0</v>
      </c>
      <c r="E2227" t="inlineStr">
        <is>
          <t>UBER</t>
        </is>
      </c>
    </row>
    <row r="2228">
      <c r="A2228" t="n">
        <v>128</v>
      </c>
      <c r="B2228" t="inlineStr">
        <is>
          <t>Love Cabaret</t>
        </is>
      </c>
      <c r="C2228" s="27" t="n">
        <v>45758</v>
      </c>
      <c r="D2228" t="n">
        <v>0</v>
      </c>
      <c r="E2228" t="inlineStr">
        <is>
          <t>RAPPI</t>
        </is>
      </c>
    </row>
    <row r="2229">
      <c r="A2229" t="n">
        <v>128</v>
      </c>
      <c r="B2229" t="inlineStr">
        <is>
          <t>Love Cabaret</t>
        </is>
      </c>
      <c r="C2229" s="27" t="n">
        <v>45758</v>
      </c>
      <c r="D2229" t="n">
        <v>2937.66</v>
      </c>
      <c r="E2229" t="inlineStr">
        <is>
          <t>PIX</t>
        </is>
      </c>
    </row>
    <row r="2230">
      <c r="A2230" t="n">
        <v>128</v>
      </c>
      <c r="B2230" t="inlineStr">
        <is>
          <t>Love Cabaret</t>
        </is>
      </c>
      <c r="C2230" s="27" t="n">
        <v>45758</v>
      </c>
      <c r="D2230" t="n">
        <v>0</v>
      </c>
      <c r="E2230" t="inlineStr">
        <is>
          <t>IFOOD</t>
        </is>
      </c>
    </row>
    <row r="2231">
      <c r="A2231" t="n">
        <v>128</v>
      </c>
      <c r="B2231" t="inlineStr">
        <is>
          <t>Love Cabaret</t>
        </is>
      </c>
      <c r="C2231" s="27" t="n">
        <v>45758</v>
      </c>
      <c r="D2231" t="n">
        <v>0</v>
      </c>
      <c r="E2231" t="inlineStr">
        <is>
          <t>DELIVERY ONLINE</t>
        </is>
      </c>
    </row>
    <row r="2232">
      <c r="A2232" t="n">
        <v>128</v>
      </c>
      <c r="B2232" t="inlineStr">
        <is>
          <t>Love Cabaret</t>
        </is>
      </c>
      <c r="C2232" s="27" t="n">
        <v>45758</v>
      </c>
      <c r="D2232" t="n">
        <v>0</v>
      </c>
      <c r="E2232" t="inlineStr">
        <is>
          <t>APP</t>
        </is>
      </c>
    </row>
    <row r="2233">
      <c r="A2233" t="n">
        <v>128</v>
      </c>
      <c r="B2233" t="inlineStr">
        <is>
          <t>Love Cabaret</t>
        </is>
      </c>
      <c r="C2233" s="27" t="n">
        <v>45758</v>
      </c>
      <c r="D2233" t="n">
        <v>203.4</v>
      </c>
      <c r="E2233" t="inlineStr">
        <is>
          <t>DINHEIRO</t>
        </is>
      </c>
    </row>
    <row r="2234">
      <c r="A2234" t="n">
        <v>128</v>
      </c>
      <c r="B2234" t="inlineStr">
        <is>
          <t>Love Cabaret</t>
        </is>
      </c>
      <c r="C2234" s="27" t="n">
        <v>45758</v>
      </c>
      <c r="D2234" t="n">
        <v>0</v>
      </c>
      <c r="E2234" t="inlineStr">
        <is>
          <t>OUTROS</t>
        </is>
      </c>
    </row>
    <row r="2235">
      <c r="A2235" t="n">
        <v>128</v>
      </c>
      <c r="B2235" t="inlineStr">
        <is>
          <t>Love Cabaret</t>
        </is>
      </c>
      <c r="C2235" s="27" t="n">
        <v>45758</v>
      </c>
      <c r="D2235" t="n">
        <v>0</v>
      </c>
      <c r="E2235" t="inlineStr">
        <is>
          <t>VOUCHER INTEGRADO</t>
        </is>
      </c>
    </row>
    <row r="2236">
      <c r="A2236" t="n">
        <v>128</v>
      </c>
      <c r="B2236" t="inlineStr">
        <is>
          <t>Love Cabaret</t>
        </is>
      </c>
      <c r="C2236" s="27" t="n">
        <v>45758</v>
      </c>
      <c r="D2236" t="n">
        <v>0</v>
      </c>
      <c r="E2236" t="inlineStr">
        <is>
          <t>NOTAS MANUAIS + SERVIÇO</t>
        </is>
      </c>
    </row>
    <row r="2237">
      <c r="A2237" t="n">
        <v>128</v>
      </c>
      <c r="B2237" t="inlineStr">
        <is>
          <t>Love Cabaret</t>
        </is>
      </c>
      <c r="C2237" s="27" t="n">
        <v>45758</v>
      </c>
      <c r="D2237" t="n">
        <v>0</v>
      </c>
      <c r="E2237" t="inlineStr">
        <is>
          <t>AME</t>
        </is>
      </c>
    </row>
    <row r="2238">
      <c r="A2238" t="n">
        <v>128</v>
      </c>
      <c r="B2238" t="inlineStr">
        <is>
          <t>Love Cabaret</t>
        </is>
      </c>
      <c r="C2238" s="27" t="n">
        <v>45758</v>
      </c>
      <c r="D2238" t="n">
        <v>0</v>
      </c>
      <c r="E2238" t="inlineStr">
        <is>
          <t>RECARGAS DEVOLVIDAS</t>
        </is>
      </c>
    </row>
    <row r="2239">
      <c r="A2239" t="n">
        <v>128</v>
      </c>
      <c r="B2239" t="inlineStr">
        <is>
          <t>Love Cabaret</t>
        </is>
      </c>
      <c r="C2239" s="27" t="n">
        <v>45758</v>
      </c>
      <c r="D2239" t="n">
        <v>0</v>
      </c>
      <c r="E2239" t="inlineStr">
        <is>
          <t>MBWAY</t>
        </is>
      </c>
    </row>
    <row r="2240">
      <c r="A2240" t="n">
        <v>128</v>
      </c>
      <c r="B2240" t="inlineStr">
        <is>
          <t>Love Cabaret</t>
        </is>
      </c>
      <c r="C2240" s="27" t="n">
        <v>45758</v>
      </c>
      <c r="D2240" t="n">
        <v>7364.07</v>
      </c>
      <c r="E2240" t="inlineStr">
        <is>
          <t>DÉBITO</t>
        </is>
      </c>
    </row>
    <row r="2241">
      <c r="A2241" t="n">
        <v>128</v>
      </c>
      <c r="B2241" t="inlineStr">
        <is>
          <t>Love Cabaret</t>
        </is>
      </c>
      <c r="C2241" s="27" t="n">
        <v>45758</v>
      </c>
      <c r="D2241" t="n">
        <v>0</v>
      </c>
      <c r="E2241" t="inlineStr">
        <is>
          <t>BÔNUS</t>
        </is>
      </c>
    </row>
    <row r="2242">
      <c r="A2242" t="n">
        <v>128</v>
      </c>
      <c r="B2242" t="inlineStr">
        <is>
          <t>Love Cabaret</t>
        </is>
      </c>
      <c r="C2242" s="27" t="n">
        <v>45758</v>
      </c>
      <c r="D2242" t="n">
        <v>0</v>
      </c>
      <c r="E2242" t="inlineStr">
        <is>
          <t>ANTECIPADO</t>
        </is>
      </c>
    </row>
    <row r="2243">
      <c r="A2243" t="n">
        <v>128</v>
      </c>
      <c r="B2243" t="inlineStr">
        <is>
          <t>Love Cabaret</t>
        </is>
      </c>
      <c r="C2243" s="27" t="n">
        <v>45758</v>
      </c>
      <c r="D2243" t="n">
        <v>0</v>
      </c>
      <c r="E2243" t="inlineStr">
        <is>
          <t>VOUCHER</t>
        </is>
      </c>
    </row>
    <row r="2244">
      <c r="A2244" t="n">
        <v>128</v>
      </c>
      <c r="B2244" t="inlineStr">
        <is>
          <t>Love Cabaret</t>
        </is>
      </c>
      <c r="C2244" s="27" t="n">
        <v>45757</v>
      </c>
      <c r="D2244" t="n">
        <v>0</v>
      </c>
      <c r="E2244" t="inlineStr">
        <is>
          <t>NOTAS MANUAIS + SERVIÇO</t>
        </is>
      </c>
    </row>
    <row r="2245">
      <c r="A2245" t="n">
        <v>128</v>
      </c>
      <c r="B2245" t="inlineStr">
        <is>
          <t>Love Cabaret</t>
        </is>
      </c>
      <c r="C2245" s="27" t="n">
        <v>45757</v>
      </c>
      <c r="D2245" t="n">
        <v>171.64</v>
      </c>
      <c r="E2245" t="inlineStr">
        <is>
          <t>DINHEIRO</t>
        </is>
      </c>
    </row>
    <row r="2246">
      <c r="A2246" t="n">
        <v>128</v>
      </c>
      <c r="B2246" t="inlineStr">
        <is>
          <t>Love Cabaret</t>
        </is>
      </c>
      <c r="C2246" s="27" t="n">
        <v>45757</v>
      </c>
      <c r="D2246" t="n">
        <v>13904.93</v>
      </c>
      <c r="E2246" t="inlineStr">
        <is>
          <t>CRÉDITO</t>
        </is>
      </c>
    </row>
    <row r="2247">
      <c r="A2247" t="n">
        <v>128</v>
      </c>
      <c r="B2247" t="inlineStr">
        <is>
          <t>Love Cabaret</t>
        </is>
      </c>
      <c r="C2247" s="27" t="n">
        <v>45757</v>
      </c>
      <c r="D2247" t="n">
        <v>0</v>
      </c>
      <c r="E2247" t="inlineStr">
        <is>
          <t>APP</t>
        </is>
      </c>
    </row>
    <row r="2248">
      <c r="A2248" t="n">
        <v>128</v>
      </c>
      <c r="B2248" t="inlineStr">
        <is>
          <t>Love Cabaret</t>
        </is>
      </c>
      <c r="C2248" s="27" t="n">
        <v>45757</v>
      </c>
      <c r="D2248" t="n">
        <v>0</v>
      </c>
      <c r="E2248" t="inlineStr">
        <is>
          <t>DELIVERY ONLINE</t>
        </is>
      </c>
    </row>
    <row r="2249">
      <c r="A2249" t="n">
        <v>128</v>
      </c>
      <c r="B2249" t="inlineStr">
        <is>
          <t>Love Cabaret</t>
        </is>
      </c>
      <c r="C2249" s="27" t="n">
        <v>45757</v>
      </c>
      <c r="D2249" t="n">
        <v>0</v>
      </c>
      <c r="E2249" t="inlineStr">
        <is>
          <t>IFOOD</t>
        </is>
      </c>
    </row>
    <row r="2250">
      <c r="A2250" t="n">
        <v>128</v>
      </c>
      <c r="B2250" t="inlineStr">
        <is>
          <t>Love Cabaret</t>
        </is>
      </c>
      <c r="C2250" s="27" t="n">
        <v>45757</v>
      </c>
      <c r="D2250" t="n">
        <v>982.3099999999999</v>
      </c>
      <c r="E2250" t="inlineStr">
        <is>
          <t>PIX</t>
        </is>
      </c>
    </row>
    <row r="2251">
      <c r="A2251" t="n">
        <v>128</v>
      </c>
      <c r="B2251" t="inlineStr">
        <is>
          <t>Love Cabaret</t>
        </is>
      </c>
      <c r="C2251" s="27" t="n">
        <v>45757</v>
      </c>
      <c r="D2251" t="n">
        <v>0</v>
      </c>
      <c r="E2251" t="inlineStr">
        <is>
          <t>OUTROS</t>
        </is>
      </c>
    </row>
    <row r="2252">
      <c r="A2252" t="n">
        <v>128</v>
      </c>
      <c r="B2252" t="inlineStr">
        <is>
          <t>Love Cabaret</t>
        </is>
      </c>
      <c r="C2252" s="27" t="n">
        <v>45757</v>
      </c>
      <c r="D2252" t="n">
        <v>0</v>
      </c>
      <c r="E2252" t="inlineStr">
        <is>
          <t>AME</t>
        </is>
      </c>
    </row>
    <row r="2253">
      <c r="A2253" t="n">
        <v>128</v>
      </c>
      <c r="B2253" t="inlineStr">
        <is>
          <t>Love Cabaret</t>
        </is>
      </c>
      <c r="C2253" s="27" t="n">
        <v>45757</v>
      </c>
      <c r="D2253" t="n">
        <v>0</v>
      </c>
      <c r="E2253" t="inlineStr">
        <is>
          <t>RECARGAS DEVOLVIDAS</t>
        </is>
      </c>
    </row>
    <row r="2254">
      <c r="A2254" t="n">
        <v>128</v>
      </c>
      <c r="B2254" t="inlineStr">
        <is>
          <t>Love Cabaret</t>
        </is>
      </c>
      <c r="C2254" s="27" t="n">
        <v>45757</v>
      </c>
      <c r="D2254" t="n">
        <v>0</v>
      </c>
      <c r="E2254" t="inlineStr">
        <is>
          <t>VOUCHER INTEGRADO</t>
        </is>
      </c>
    </row>
    <row r="2255">
      <c r="A2255" t="n">
        <v>128</v>
      </c>
      <c r="B2255" t="inlineStr">
        <is>
          <t>Love Cabaret</t>
        </is>
      </c>
      <c r="C2255" s="27" t="n">
        <v>45757</v>
      </c>
      <c r="D2255" t="n">
        <v>0</v>
      </c>
      <c r="E2255" t="inlineStr">
        <is>
          <t>MBWAY</t>
        </is>
      </c>
    </row>
    <row r="2256">
      <c r="A2256" t="n">
        <v>128</v>
      </c>
      <c r="B2256" t="inlineStr">
        <is>
          <t>Love Cabaret</t>
        </is>
      </c>
      <c r="C2256" s="27" t="n">
        <v>45757</v>
      </c>
      <c r="D2256" t="n">
        <v>0</v>
      </c>
      <c r="E2256" t="inlineStr">
        <is>
          <t>RAPPI</t>
        </is>
      </c>
    </row>
    <row r="2257">
      <c r="A2257" t="n">
        <v>128</v>
      </c>
      <c r="B2257" t="inlineStr">
        <is>
          <t>Love Cabaret</t>
        </is>
      </c>
      <c r="C2257" s="27" t="n">
        <v>45757</v>
      </c>
      <c r="D2257" t="n">
        <v>0</v>
      </c>
      <c r="E2257" t="inlineStr">
        <is>
          <t>UBER</t>
        </is>
      </c>
    </row>
    <row r="2258">
      <c r="A2258" t="n">
        <v>128</v>
      </c>
      <c r="B2258" t="inlineStr">
        <is>
          <t>Love Cabaret</t>
        </is>
      </c>
      <c r="C2258" s="27" t="n">
        <v>45757</v>
      </c>
      <c r="D2258" t="n">
        <v>0</v>
      </c>
      <c r="E2258" t="inlineStr">
        <is>
          <t>ANTECIPADO</t>
        </is>
      </c>
    </row>
    <row r="2259">
      <c r="A2259" t="n">
        <v>128</v>
      </c>
      <c r="B2259" t="inlineStr">
        <is>
          <t>Love Cabaret</t>
        </is>
      </c>
      <c r="C2259" s="27" t="n">
        <v>45757</v>
      </c>
      <c r="D2259" t="n">
        <v>0</v>
      </c>
      <c r="E2259" t="inlineStr">
        <is>
          <t>VOUCHER</t>
        </is>
      </c>
    </row>
    <row r="2260">
      <c r="A2260" t="n">
        <v>128</v>
      </c>
      <c r="B2260" t="inlineStr">
        <is>
          <t>Love Cabaret</t>
        </is>
      </c>
      <c r="C2260" s="27" t="n">
        <v>45757</v>
      </c>
      <c r="D2260" t="n">
        <v>7024.27</v>
      </c>
      <c r="E2260" t="inlineStr">
        <is>
          <t>DÉBITO</t>
        </is>
      </c>
    </row>
    <row r="2261">
      <c r="A2261" t="n">
        <v>128</v>
      </c>
      <c r="B2261" t="inlineStr">
        <is>
          <t>Love Cabaret</t>
        </is>
      </c>
      <c r="C2261" s="27" t="n">
        <v>45757</v>
      </c>
      <c r="D2261" t="n">
        <v>0</v>
      </c>
      <c r="E2261" t="inlineStr">
        <is>
          <t>BÔNUS</t>
        </is>
      </c>
    </row>
    <row r="2262">
      <c r="A2262" t="n">
        <v>128</v>
      </c>
      <c r="B2262" t="inlineStr">
        <is>
          <t>Love Cabaret</t>
        </is>
      </c>
      <c r="C2262" s="27" t="n">
        <v>45757</v>
      </c>
      <c r="D2262" t="n">
        <v>0</v>
      </c>
      <c r="E2262" t="inlineStr">
        <is>
          <t>ANTECIPADO</t>
        </is>
      </c>
    </row>
    <row r="2263">
      <c r="A2263" t="n">
        <v>128</v>
      </c>
      <c r="B2263" t="inlineStr">
        <is>
          <t>Love Cabaret</t>
        </is>
      </c>
      <c r="C2263" s="27" t="n">
        <v>45752</v>
      </c>
      <c r="D2263" t="n">
        <v>0</v>
      </c>
      <c r="E2263" t="inlineStr">
        <is>
          <t>RAPPI</t>
        </is>
      </c>
    </row>
    <row r="2264">
      <c r="A2264" t="n">
        <v>128</v>
      </c>
      <c r="B2264" t="inlineStr">
        <is>
          <t>Love Cabaret</t>
        </is>
      </c>
      <c r="C2264" s="27" t="n">
        <v>45752</v>
      </c>
      <c r="D2264" t="n">
        <v>134.47</v>
      </c>
      <c r="E2264" t="inlineStr">
        <is>
          <t>DINHEIRO</t>
        </is>
      </c>
    </row>
    <row r="2265">
      <c r="A2265" t="n">
        <v>128</v>
      </c>
      <c r="B2265" t="inlineStr">
        <is>
          <t>Love Cabaret</t>
        </is>
      </c>
      <c r="C2265" s="27" t="n">
        <v>45752</v>
      </c>
      <c r="D2265" t="n">
        <v>0</v>
      </c>
      <c r="E2265" t="inlineStr">
        <is>
          <t>ANTECIPADO</t>
        </is>
      </c>
    </row>
    <row r="2266">
      <c r="A2266" t="n">
        <v>128</v>
      </c>
      <c r="B2266" t="inlineStr">
        <is>
          <t>Love Cabaret</t>
        </is>
      </c>
      <c r="C2266" s="27" t="n">
        <v>45752</v>
      </c>
      <c r="D2266" t="n">
        <v>0</v>
      </c>
      <c r="E2266" t="inlineStr">
        <is>
          <t>VOUCHER</t>
        </is>
      </c>
    </row>
    <row r="2267">
      <c r="A2267" t="n">
        <v>128</v>
      </c>
      <c r="B2267" t="inlineStr">
        <is>
          <t>Love Cabaret</t>
        </is>
      </c>
      <c r="C2267" s="27" t="n">
        <v>45752</v>
      </c>
      <c r="D2267" t="n">
        <v>7419.31</v>
      </c>
      <c r="E2267" t="inlineStr">
        <is>
          <t>DÉBITO</t>
        </is>
      </c>
    </row>
    <row r="2268">
      <c r="A2268" t="n">
        <v>128</v>
      </c>
      <c r="B2268" t="inlineStr">
        <is>
          <t>Love Cabaret</t>
        </is>
      </c>
      <c r="C2268" s="27" t="n">
        <v>45752</v>
      </c>
      <c r="D2268" t="n">
        <v>0</v>
      </c>
      <c r="E2268" t="inlineStr">
        <is>
          <t>BÔNUS</t>
        </is>
      </c>
    </row>
    <row r="2269">
      <c r="A2269" t="n">
        <v>128</v>
      </c>
      <c r="B2269" t="inlineStr">
        <is>
          <t>Love Cabaret</t>
        </is>
      </c>
      <c r="C2269" s="27" t="n">
        <v>45752</v>
      </c>
      <c r="D2269" t="n">
        <v>0</v>
      </c>
      <c r="E2269" t="inlineStr">
        <is>
          <t>ANTECIPADO</t>
        </is>
      </c>
    </row>
    <row r="2270">
      <c r="A2270" t="n">
        <v>128</v>
      </c>
      <c r="B2270" t="inlineStr">
        <is>
          <t>Love Cabaret</t>
        </is>
      </c>
      <c r="C2270" s="27" t="n">
        <v>45752</v>
      </c>
      <c r="D2270" t="n">
        <v>0</v>
      </c>
      <c r="E2270" t="inlineStr">
        <is>
          <t>OUTROS</t>
        </is>
      </c>
    </row>
    <row r="2271">
      <c r="A2271" t="n">
        <v>128</v>
      </c>
      <c r="B2271" t="inlineStr">
        <is>
          <t>Love Cabaret</t>
        </is>
      </c>
      <c r="C2271" s="27" t="n">
        <v>45752</v>
      </c>
      <c r="D2271" t="n">
        <v>0</v>
      </c>
      <c r="E2271" t="inlineStr">
        <is>
          <t>AME</t>
        </is>
      </c>
    </row>
    <row r="2272">
      <c r="A2272" t="n">
        <v>128</v>
      </c>
      <c r="B2272" t="inlineStr">
        <is>
          <t>Love Cabaret</t>
        </is>
      </c>
      <c r="C2272" s="27" t="n">
        <v>45752</v>
      </c>
      <c r="D2272" t="n">
        <v>0</v>
      </c>
      <c r="E2272" t="inlineStr">
        <is>
          <t>NOTAS MANUAIS + SERVIÇO</t>
        </is>
      </c>
    </row>
    <row r="2273">
      <c r="A2273" t="n">
        <v>128</v>
      </c>
      <c r="B2273" t="inlineStr">
        <is>
          <t>Love Cabaret</t>
        </is>
      </c>
      <c r="C2273" s="27" t="n">
        <v>45752</v>
      </c>
      <c r="D2273" t="n">
        <v>0</v>
      </c>
      <c r="E2273" t="inlineStr">
        <is>
          <t>MBWAY</t>
        </is>
      </c>
    </row>
    <row r="2274">
      <c r="A2274" t="n">
        <v>128</v>
      </c>
      <c r="B2274" t="inlineStr">
        <is>
          <t>Love Cabaret</t>
        </is>
      </c>
      <c r="C2274" s="27" t="n">
        <v>45752</v>
      </c>
      <c r="D2274" t="n">
        <v>0</v>
      </c>
      <c r="E2274" t="inlineStr">
        <is>
          <t>VOUCHER INTEGRADO</t>
        </is>
      </c>
    </row>
    <row r="2275">
      <c r="A2275" t="n">
        <v>128</v>
      </c>
      <c r="B2275" t="inlineStr">
        <is>
          <t>Love Cabaret</t>
        </is>
      </c>
      <c r="C2275" s="27" t="n">
        <v>45752</v>
      </c>
      <c r="D2275" t="n">
        <v>0</v>
      </c>
      <c r="E2275" t="inlineStr">
        <is>
          <t>RECARGAS DEVOLVIDAS</t>
        </is>
      </c>
    </row>
    <row r="2276">
      <c r="A2276" t="n">
        <v>128</v>
      </c>
      <c r="B2276" t="inlineStr">
        <is>
          <t>Love Cabaret</t>
        </is>
      </c>
      <c r="C2276" s="27" t="n">
        <v>45752</v>
      </c>
      <c r="D2276" t="n">
        <v>17393.38</v>
      </c>
      <c r="E2276" t="inlineStr">
        <is>
          <t>CRÉDITO</t>
        </is>
      </c>
    </row>
    <row r="2277">
      <c r="A2277" t="n">
        <v>128</v>
      </c>
      <c r="B2277" t="inlineStr">
        <is>
          <t>Love Cabaret</t>
        </is>
      </c>
      <c r="C2277" s="27" t="n">
        <v>45752</v>
      </c>
      <c r="D2277" t="n">
        <v>0</v>
      </c>
      <c r="E2277" t="inlineStr">
        <is>
          <t>UBER</t>
        </is>
      </c>
    </row>
    <row r="2278">
      <c r="A2278" t="n">
        <v>128</v>
      </c>
      <c r="B2278" t="inlineStr">
        <is>
          <t>Love Cabaret</t>
        </is>
      </c>
      <c r="C2278" s="27" t="n">
        <v>45752</v>
      </c>
      <c r="D2278" t="n">
        <v>997.79</v>
      </c>
      <c r="E2278" t="inlineStr">
        <is>
          <t>PIX</t>
        </is>
      </c>
    </row>
    <row r="2279">
      <c r="A2279" t="n">
        <v>128</v>
      </c>
      <c r="B2279" t="inlineStr">
        <is>
          <t>Love Cabaret</t>
        </is>
      </c>
      <c r="C2279" s="27" t="n">
        <v>45752</v>
      </c>
      <c r="D2279" t="n">
        <v>0</v>
      </c>
      <c r="E2279" t="inlineStr">
        <is>
          <t>IFOOD</t>
        </is>
      </c>
    </row>
    <row r="2280">
      <c r="A2280" t="n">
        <v>128</v>
      </c>
      <c r="B2280" t="inlineStr">
        <is>
          <t>Love Cabaret</t>
        </is>
      </c>
      <c r="C2280" s="27" t="n">
        <v>45752</v>
      </c>
      <c r="D2280" t="n">
        <v>0</v>
      </c>
      <c r="E2280" t="inlineStr">
        <is>
          <t>DELIVERY ONLINE</t>
        </is>
      </c>
    </row>
    <row r="2281">
      <c r="A2281" t="n">
        <v>128</v>
      </c>
      <c r="B2281" t="inlineStr">
        <is>
          <t>Love Cabaret</t>
        </is>
      </c>
      <c r="C2281" s="27" t="n">
        <v>45752</v>
      </c>
      <c r="D2281" t="n">
        <v>0</v>
      </c>
      <c r="E2281" t="inlineStr">
        <is>
          <t>APP</t>
        </is>
      </c>
    </row>
    <row r="2282">
      <c r="A2282" t="n">
        <v>128</v>
      </c>
      <c r="B2282" t="inlineStr">
        <is>
          <t>Love Cabaret</t>
        </is>
      </c>
      <c r="C2282" s="27" t="n">
        <v>45751</v>
      </c>
      <c r="D2282" t="n">
        <v>0</v>
      </c>
      <c r="E2282" t="inlineStr">
        <is>
          <t>OUTROS</t>
        </is>
      </c>
    </row>
    <row r="2283">
      <c r="A2283" t="n">
        <v>128</v>
      </c>
      <c r="B2283" t="inlineStr">
        <is>
          <t>Love Cabaret</t>
        </is>
      </c>
      <c r="C2283" s="27" t="n">
        <v>45751</v>
      </c>
      <c r="D2283" t="n">
        <v>0</v>
      </c>
      <c r="E2283" t="inlineStr">
        <is>
          <t>VOUCHER INTEGRADO</t>
        </is>
      </c>
    </row>
    <row r="2284">
      <c r="A2284" t="n">
        <v>128</v>
      </c>
      <c r="B2284" t="inlineStr">
        <is>
          <t>Love Cabaret</t>
        </is>
      </c>
      <c r="C2284" s="27" t="n">
        <v>45751</v>
      </c>
      <c r="D2284" t="n">
        <v>0</v>
      </c>
      <c r="E2284" t="inlineStr">
        <is>
          <t>UBER</t>
        </is>
      </c>
    </row>
    <row r="2285">
      <c r="A2285" t="n">
        <v>128</v>
      </c>
      <c r="B2285" t="inlineStr">
        <is>
          <t>Love Cabaret</t>
        </is>
      </c>
      <c r="C2285" s="27" t="n">
        <v>45751</v>
      </c>
      <c r="D2285" t="n">
        <v>0</v>
      </c>
      <c r="E2285" t="inlineStr">
        <is>
          <t>RAPPI</t>
        </is>
      </c>
    </row>
    <row r="2286">
      <c r="A2286" t="n">
        <v>128</v>
      </c>
      <c r="B2286" t="inlineStr">
        <is>
          <t>Love Cabaret</t>
        </is>
      </c>
      <c r="C2286" s="27" t="n">
        <v>45751</v>
      </c>
      <c r="D2286" t="n">
        <v>2120.93</v>
      </c>
      <c r="E2286" t="inlineStr">
        <is>
          <t>PIX</t>
        </is>
      </c>
    </row>
    <row r="2287">
      <c r="A2287" t="n">
        <v>128</v>
      </c>
      <c r="B2287" t="inlineStr">
        <is>
          <t>Love Cabaret</t>
        </is>
      </c>
      <c r="C2287" s="27" t="n">
        <v>45751</v>
      </c>
      <c r="D2287" t="n">
        <v>0</v>
      </c>
      <c r="E2287" t="inlineStr">
        <is>
          <t>IFOOD</t>
        </is>
      </c>
    </row>
    <row r="2288">
      <c r="A2288" t="n">
        <v>128</v>
      </c>
      <c r="B2288" t="inlineStr">
        <is>
          <t>Love Cabaret</t>
        </is>
      </c>
      <c r="C2288" s="27" t="n">
        <v>45751</v>
      </c>
      <c r="D2288" t="n">
        <v>0</v>
      </c>
      <c r="E2288" t="inlineStr">
        <is>
          <t>DELIVERY ONLINE</t>
        </is>
      </c>
    </row>
    <row r="2289">
      <c r="A2289" t="n">
        <v>128</v>
      </c>
      <c r="B2289" t="inlineStr">
        <is>
          <t>Love Cabaret</t>
        </is>
      </c>
      <c r="C2289" s="27" t="n">
        <v>45751</v>
      </c>
      <c r="D2289" t="n">
        <v>0</v>
      </c>
      <c r="E2289" t="inlineStr">
        <is>
          <t>APP</t>
        </is>
      </c>
    </row>
    <row r="2290">
      <c r="A2290" t="n">
        <v>128</v>
      </c>
      <c r="B2290" t="inlineStr">
        <is>
          <t>Love Cabaret</t>
        </is>
      </c>
      <c r="C2290" s="27" t="n">
        <v>45751</v>
      </c>
      <c r="D2290" t="n">
        <v>342.94</v>
      </c>
      <c r="E2290" t="inlineStr">
        <is>
          <t>DINHEIRO</t>
        </is>
      </c>
    </row>
    <row r="2291">
      <c r="A2291" t="n">
        <v>128</v>
      </c>
      <c r="B2291" t="inlineStr">
        <is>
          <t>Love Cabaret</t>
        </is>
      </c>
      <c r="C2291" s="27" t="n">
        <v>45751</v>
      </c>
      <c r="D2291" t="n">
        <v>15625.44</v>
      </c>
      <c r="E2291" t="inlineStr">
        <is>
          <t>CRÉDITO</t>
        </is>
      </c>
    </row>
    <row r="2292">
      <c r="A2292" t="n">
        <v>128</v>
      </c>
      <c r="B2292" t="inlineStr">
        <is>
          <t>Love Cabaret</t>
        </is>
      </c>
      <c r="C2292" s="27" t="n">
        <v>45751</v>
      </c>
      <c r="D2292" t="n">
        <v>0</v>
      </c>
      <c r="E2292" t="inlineStr">
        <is>
          <t>ANTECIPADO</t>
        </is>
      </c>
    </row>
    <row r="2293">
      <c r="A2293" t="n">
        <v>128</v>
      </c>
      <c r="B2293" t="inlineStr">
        <is>
          <t>Love Cabaret</t>
        </is>
      </c>
      <c r="C2293" s="27" t="n">
        <v>45751</v>
      </c>
      <c r="D2293" t="n">
        <v>5679.94</v>
      </c>
      <c r="E2293" t="inlineStr">
        <is>
          <t>DÉBITO</t>
        </is>
      </c>
    </row>
    <row r="2294">
      <c r="A2294" t="n">
        <v>128</v>
      </c>
      <c r="B2294" t="inlineStr">
        <is>
          <t>Love Cabaret</t>
        </is>
      </c>
      <c r="C2294" s="27" t="n">
        <v>45751</v>
      </c>
      <c r="D2294" t="n">
        <v>0</v>
      </c>
      <c r="E2294" t="inlineStr">
        <is>
          <t>MBWAY</t>
        </is>
      </c>
    </row>
    <row r="2295">
      <c r="A2295" t="n">
        <v>128</v>
      </c>
      <c r="B2295" t="inlineStr">
        <is>
          <t>Love Cabaret</t>
        </is>
      </c>
      <c r="C2295" s="27" t="n">
        <v>45751</v>
      </c>
      <c r="D2295" t="n">
        <v>0</v>
      </c>
      <c r="E2295" t="inlineStr">
        <is>
          <t>RECARGAS DEVOLVIDAS</t>
        </is>
      </c>
    </row>
    <row r="2296">
      <c r="A2296" t="n">
        <v>128</v>
      </c>
      <c r="B2296" t="inlineStr">
        <is>
          <t>Love Cabaret</t>
        </is>
      </c>
      <c r="C2296" s="27" t="n">
        <v>45751</v>
      </c>
      <c r="D2296" t="n">
        <v>0</v>
      </c>
      <c r="E2296" t="inlineStr">
        <is>
          <t>NOTAS MANUAIS + SERVIÇO</t>
        </is>
      </c>
    </row>
    <row r="2297">
      <c r="A2297" t="n">
        <v>128</v>
      </c>
      <c r="B2297" t="inlineStr">
        <is>
          <t>Love Cabaret</t>
        </is>
      </c>
      <c r="C2297" s="27" t="n">
        <v>45751</v>
      </c>
      <c r="D2297" t="n">
        <v>0</v>
      </c>
      <c r="E2297" t="inlineStr">
        <is>
          <t>AME</t>
        </is>
      </c>
    </row>
    <row r="2298">
      <c r="A2298" t="n">
        <v>128</v>
      </c>
      <c r="B2298" t="inlineStr">
        <is>
          <t>Love Cabaret</t>
        </is>
      </c>
      <c r="C2298" s="27" t="n">
        <v>45751</v>
      </c>
      <c r="D2298" t="n">
        <v>0</v>
      </c>
      <c r="E2298" t="inlineStr">
        <is>
          <t>ANTECIPADO</t>
        </is>
      </c>
    </row>
    <row r="2299">
      <c r="A2299" t="n">
        <v>128</v>
      </c>
      <c r="B2299" t="inlineStr">
        <is>
          <t>Love Cabaret</t>
        </is>
      </c>
      <c r="C2299" s="27" t="n">
        <v>45751</v>
      </c>
      <c r="D2299" t="n">
        <v>0</v>
      </c>
      <c r="E2299" t="inlineStr">
        <is>
          <t>BÔNUS</t>
        </is>
      </c>
    </row>
    <row r="2300">
      <c r="A2300" t="n">
        <v>128</v>
      </c>
      <c r="B2300" t="inlineStr">
        <is>
          <t>Love Cabaret</t>
        </is>
      </c>
      <c r="C2300" s="27" t="n">
        <v>45751</v>
      </c>
      <c r="D2300" t="n">
        <v>0</v>
      </c>
      <c r="E2300" t="inlineStr">
        <is>
          <t>VOUCHER</t>
        </is>
      </c>
    </row>
    <row r="2301">
      <c r="A2301" t="n">
        <v>128</v>
      </c>
      <c r="B2301" t="inlineStr">
        <is>
          <t>Love Cabaret</t>
        </is>
      </c>
      <c r="C2301" s="27" t="n">
        <v>45750</v>
      </c>
      <c r="D2301" t="n">
        <v>0</v>
      </c>
      <c r="E2301" t="inlineStr">
        <is>
          <t>BÔNUS</t>
        </is>
      </c>
    </row>
    <row r="2302">
      <c r="A2302" t="n">
        <v>128</v>
      </c>
      <c r="B2302" t="inlineStr">
        <is>
          <t>Love Cabaret</t>
        </is>
      </c>
      <c r="C2302" s="27" t="n">
        <v>45750</v>
      </c>
      <c r="D2302" t="n">
        <v>0</v>
      </c>
      <c r="E2302" t="inlineStr">
        <is>
          <t>UBER</t>
        </is>
      </c>
    </row>
    <row r="2303">
      <c r="A2303" t="n">
        <v>128</v>
      </c>
      <c r="B2303" t="inlineStr">
        <is>
          <t>Love Cabaret</t>
        </is>
      </c>
      <c r="C2303" s="27" t="n">
        <v>45750</v>
      </c>
      <c r="D2303" t="n">
        <v>0</v>
      </c>
      <c r="E2303" t="inlineStr">
        <is>
          <t>RAPPI</t>
        </is>
      </c>
    </row>
    <row r="2304">
      <c r="A2304" t="n">
        <v>128</v>
      </c>
      <c r="B2304" t="inlineStr">
        <is>
          <t>Love Cabaret</t>
        </is>
      </c>
      <c r="C2304" s="27" t="n">
        <v>45750</v>
      </c>
      <c r="D2304" t="n">
        <v>482.51</v>
      </c>
      <c r="E2304" t="inlineStr">
        <is>
          <t>PIX</t>
        </is>
      </c>
    </row>
    <row r="2305">
      <c r="A2305" t="n">
        <v>128</v>
      </c>
      <c r="B2305" t="inlineStr">
        <is>
          <t>Love Cabaret</t>
        </is>
      </c>
      <c r="C2305" s="27" t="n">
        <v>45750</v>
      </c>
      <c r="D2305" t="n">
        <v>0</v>
      </c>
      <c r="E2305" t="inlineStr">
        <is>
          <t>IFOOD</t>
        </is>
      </c>
    </row>
    <row r="2306">
      <c r="A2306" t="n">
        <v>128</v>
      </c>
      <c r="B2306" t="inlineStr">
        <is>
          <t>Love Cabaret</t>
        </is>
      </c>
      <c r="C2306" s="27" t="n">
        <v>45750</v>
      </c>
      <c r="D2306" t="n">
        <v>0</v>
      </c>
      <c r="E2306" t="inlineStr">
        <is>
          <t>DELIVERY ONLINE</t>
        </is>
      </c>
    </row>
    <row r="2307">
      <c r="A2307" t="n">
        <v>128</v>
      </c>
      <c r="B2307" t="inlineStr">
        <is>
          <t>Love Cabaret</t>
        </is>
      </c>
      <c r="C2307" s="27" t="n">
        <v>45750</v>
      </c>
      <c r="D2307" t="n">
        <v>0</v>
      </c>
      <c r="E2307" t="inlineStr">
        <is>
          <t>APP</t>
        </is>
      </c>
    </row>
    <row r="2308">
      <c r="A2308" t="n">
        <v>128</v>
      </c>
      <c r="B2308" t="inlineStr">
        <is>
          <t>Love Cabaret</t>
        </is>
      </c>
      <c r="C2308" s="27" t="n">
        <v>45750</v>
      </c>
      <c r="D2308" t="n">
        <v>0</v>
      </c>
      <c r="E2308" t="inlineStr">
        <is>
          <t>DINHEIRO</t>
        </is>
      </c>
    </row>
    <row r="2309">
      <c r="A2309" t="n">
        <v>128</v>
      </c>
      <c r="B2309" t="inlineStr">
        <is>
          <t>Love Cabaret</t>
        </is>
      </c>
      <c r="C2309" s="27" t="n">
        <v>45750</v>
      </c>
      <c r="D2309" t="n">
        <v>4184.47</v>
      </c>
      <c r="E2309" t="inlineStr">
        <is>
          <t>CRÉDITO</t>
        </is>
      </c>
    </row>
    <row r="2310">
      <c r="A2310" t="n">
        <v>128</v>
      </c>
      <c r="B2310" t="inlineStr">
        <is>
          <t>Love Cabaret</t>
        </is>
      </c>
      <c r="C2310" s="27" t="n">
        <v>45750</v>
      </c>
      <c r="D2310" t="n">
        <v>0</v>
      </c>
      <c r="E2310" t="inlineStr">
        <is>
          <t>ANTECIPADO</t>
        </is>
      </c>
    </row>
    <row r="2311">
      <c r="A2311" t="n">
        <v>128</v>
      </c>
      <c r="B2311" t="inlineStr">
        <is>
          <t>Love Cabaret</t>
        </is>
      </c>
      <c r="C2311" s="27" t="n">
        <v>45750</v>
      </c>
      <c r="D2311" t="n">
        <v>2102.01</v>
      </c>
      <c r="E2311" t="inlineStr">
        <is>
          <t>DÉBITO</t>
        </is>
      </c>
    </row>
    <row r="2312">
      <c r="A2312" t="n">
        <v>128</v>
      </c>
      <c r="B2312" t="inlineStr">
        <is>
          <t>Love Cabaret</t>
        </is>
      </c>
      <c r="C2312" s="27" t="n">
        <v>45750</v>
      </c>
      <c r="D2312" t="n">
        <v>0</v>
      </c>
      <c r="E2312" t="inlineStr">
        <is>
          <t>ANTECIPADO</t>
        </is>
      </c>
    </row>
    <row r="2313">
      <c r="A2313" t="n">
        <v>128</v>
      </c>
      <c r="B2313" t="inlineStr">
        <is>
          <t>Love Cabaret</t>
        </is>
      </c>
      <c r="C2313" s="27" t="n">
        <v>45750</v>
      </c>
      <c r="D2313" t="n">
        <v>0</v>
      </c>
      <c r="E2313" t="inlineStr">
        <is>
          <t>OUTROS</t>
        </is>
      </c>
    </row>
    <row r="2314">
      <c r="A2314" t="n">
        <v>128</v>
      </c>
      <c r="B2314" t="inlineStr">
        <is>
          <t>Love Cabaret</t>
        </is>
      </c>
      <c r="C2314" s="27" t="n">
        <v>45750</v>
      </c>
      <c r="D2314" t="n">
        <v>0</v>
      </c>
      <c r="E2314" t="inlineStr">
        <is>
          <t>AME</t>
        </is>
      </c>
    </row>
    <row r="2315">
      <c r="A2315" t="n">
        <v>128</v>
      </c>
      <c r="B2315" t="inlineStr">
        <is>
          <t>Love Cabaret</t>
        </is>
      </c>
      <c r="C2315" s="27" t="n">
        <v>45750</v>
      </c>
      <c r="D2315" t="n">
        <v>0</v>
      </c>
      <c r="E2315" t="inlineStr">
        <is>
          <t>VOUCHER</t>
        </is>
      </c>
    </row>
    <row r="2316">
      <c r="A2316" t="n">
        <v>128</v>
      </c>
      <c r="B2316" t="inlineStr">
        <is>
          <t>Love Cabaret</t>
        </is>
      </c>
      <c r="C2316" s="27" t="n">
        <v>45750</v>
      </c>
      <c r="D2316" t="n">
        <v>0</v>
      </c>
      <c r="E2316" t="inlineStr">
        <is>
          <t>NOTAS MANUAIS + SERVIÇO</t>
        </is>
      </c>
    </row>
    <row r="2317">
      <c r="A2317" t="n">
        <v>128</v>
      </c>
      <c r="B2317" t="inlineStr">
        <is>
          <t>Love Cabaret</t>
        </is>
      </c>
      <c r="C2317" s="27" t="n">
        <v>45750</v>
      </c>
      <c r="D2317" t="n">
        <v>0</v>
      </c>
      <c r="E2317" t="inlineStr">
        <is>
          <t>RECARGAS DEVOLVIDAS</t>
        </is>
      </c>
    </row>
    <row r="2318">
      <c r="A2318" t="n">
        <v>128</v>
      </c>
      <c r="B2318" t="inlineStr">
        <is>
          <t>Love Cabaret</t>
        </is>
      </c>
      <c r="C2318" s="27" t="n">
        <v>45750</v>
      </c>
      <c r="D2318" t="n">
        <v>0</v>
      </c>
      <c r="E2318" t="inlineStr">
        <is>
          <t>VOUCHER INTEGRADO</t>
        </is>
      </c>
    </row>
    <row r="2319">
      <c r="A2319" t="n">
        <v>128</v>
      </c>
      <c r="B2319" t="inlineStr">
        <is>
          <t>Love Cabaret</t>
        </is>
      </c>
      <c r="C2319" s="27" t="n">
        <v>45750</v>
      </c>
      <c r="D2319" t="n">
        <v>0</v>
      </c>
      <c r="E2319" t="inlineStr">
        <is>
          <t>MBWAY</t>
        </is>
      </c>
    </row>
    <row r="2320">
      <c r="A2320" t="n">
        <v>128</v>
      </c>
      <c r="B2320" t="inlineStr">
        <is>
          <t>Love Cabaret</t>
        </is>
      </c>
      <c r="C2320" s="27" t="n">
        <v>45747</v>
      </c>
      <c r="D2320" t="n">
        <v>0</v>
      </c>
      <c r="E2320" t="inlineStr">
        <is>
          <t>NOTAS MANUAIS + SERVIÇO</t>
        </is>
      </c>
    </row>
    <row r="2321">
      <c r="A2321" t="n">
        <v>128</v>
      </c>
      <c r="B2321" t="inlineStr">
        <is>
          <t>Love Cabaret</t>
        </is>
      </c>
      <c r="C2321" s="27" t="n">
        <v>45747</v>
      </c>
      <c r="D2321" t="n">
        <v>0</v>
      </c>
      <c r="E2321" t="inlineStr">
        <is>
          <t>VOUCHER INTEGRADO</t>
        </is>
      </c>
    </row>
    <row r="2322">
      <c r="A2322" t="n">
        <v>128</v>
      </c>
      <c r="B2322" t="inlineStr">
        <is>
          <t>Love Cabaret</t>
        </is>
      </c>
      <c r="C2322" s="27" t="n">
        <v>45747</v>
      </c>
      <c r="D2322" t="n">
        <v>0</v>
      </c>
      <c r="E2322" t="inlineStr">
        <is>
          <t>MBWAY</t>
        </is>
      </c>
    </row>
    <row r="2323">
      <c r="A2323" t="n">
        <v>128</v>
      </c>
      <c r="B2323" t="inlineStr">
        <is>
          <t>Love Cabaret</t>
        </is>
      </c>
      <c r="C2323" s="27" t="n">
        <v>45747</v>
      </c>
      <c r="D2323" t="n">
        <v>0</v>
      </c>
      <c r="E2323" t="inlineStr">
        <is>
          <t>RECARGAS DEVOLVIDAS</t>
        </is>
      </c>
    </row>
    <row r="2324">
      <c r="A2324" t="n">
        <v>128</v>
      </c>
      <c r="B2324" t="inlineStr">
        <is>
          <t>Love Cabaret</t>
        </is>
      </c>
      <c r="C2324" s="27" t="n">
        <v>45747</v>
      </c>
      <c r="D2324" t="n">
        <v>0</v>
      </c>
      <c r="E2324" t="inlineStr">
        <is>
          <t>AME</t>
        </is>
      </c>
    </row>
    <row r="2325">
      <c r="A2325" t="n">
        <v>128</v>
      </c>
      <c r="B2325" t="inlineStr">
        <is>
          <t>Love Cabaret</t>
        </is>
      </c>
      <c r="C2325" s="27" t="n">
        <v>45747</v>
      </c>
      <c r="D2325" t="n">
        <v>0</v>
      </c>
      <c r="E2325" t="inlineStr">
        <is>
          <t>ANTECIPADO</t>
        </is>
      </c>
    </row>
    <row r="2326">
      <c r="A2326" t="n">
        <v>128</v>
      </c>
      <c r="B2326" t="inlineStr">
        <is>
          <t>Love Cabaret</t>
        </is>
      </c>
      <c r="C2326" s="27" t="n">
        <v>45747</v>
      </c>
      <c r="D2326" t="n">
        <v>227.94</v>
      </c>
      <c r="E2326" t="inlineStr">
        <is>
          <t>CRÉDITO</t>
        </is>
      </c>
    </row>
    <row r="2327">
      <c r="A2327" t="n">
        <v>128</v>
      </c>
      <c r="B2327" t="inlineStr">
        <is>
          <t>Love Cabaret</t>
        </is>
      </c>
      <c r="C2327" s="27" t="n">
        <v>45747</v>
      </c>
      <c r="D2327" t="n">
        <v>0</v>
      </c>
      <c r="E2327" t="inlineStr">
        <is>
          <t>DINHEIRO</t>
        </is>
      </c>
    </row>
    <row r="2328">
      <c r="A2328" t="n">
        <v>128</v>
      </c>
      <c r="B2328" t="inlineStr">
        <is>
          <t>Love Cabaret</t>
        </is>
      </c>
      <c r="C2328" s="27" t="n">
        <v>45747</v>
      </c>
      <c r="D2328" t="n">
        <v>0</v>
      </c>
      <c r="E2328" t="inlineStr">
        <is>
          <t>APP</t>
        </is>
      </c>
    </row>
    <row r="2329">
      <c r="A2329" t="n">
        <v>128</v>
      </c>
      <c r="B2329" t="inlineStr">
        <is>
          <t>Love Cabaret</t>
        </is>
      </c>
      <c r="C2329" s="27" t="n">
        <v>45747</v>
      </c>
      <c r="D2329" t="n">
        <v>0</v>
      </c>
      <c r="E2329" t="inlineStr">
        <is>
          <t>DELIVERY ONLINE</t>
        </is>
      </c>
    </row>
    <row r="2330">
      <c r="A2330" t="n">
        <v>128</v>
      </c>
      <c r="B2330" t="inlineStr">
        <is>
          <t>Love Cabaret</t>
        </is>
      </c>
      <c r="C2330" s="27" t="n">
        <v>45747</v>
      </c>
      <c r="D2330" t="n">
        <v>0</v>
      </c>
      <c r="E2330" t="inlineStr">
        <is>
          <t>IFOOD</t>
        </is>
      </c>
    </row>
    <row r="2331">
      <c r="A2331" t="n">
        <v>128</v>
      </c>
      <c r="B2331" t="inlineStr">
        <is>
          <t>Love Cabaret</t>
        </is>
      </c>
      <c r="C2331" s="27" t="n">
        <v>45747</v>
      </c>
      <c r="D2331" t="n">
        <v>0</v>
      </c>
      <c r="E2331" t="inlineStr">
        <is>
          <t>PIX</t>
        </is>
      </c>
    </row>
    <row r="2332">
      <c r="A2332" t="n">
        <v>128</v>
      </c>
      <c r="B2332" t="inlineStr">
        <is>
          <t>Love Cabaret</t>
        </is>
      </c>
      <c r="C2332" s="27" t="n">
        <v>45747</v>
      </c>
      <c r="D2332" t="n">
        <v>0</v>
      </c>
      <c r="E2332" t="inlineStr">
        <is>
          <t>RAPPI</t>
        </is>
      </c>
    </row>
    <row r="2333">
      <c r="A2333" t="n">
        <v>128</v>
      </c>
      <c r="B2333" t="inlineStr">
        <is>
          <t>Love Cabaret</t>
        </is>
      </c>
      <c r="C2333" s="27" t="n">
        <v>45747</v>
      </c>
      <c r="D2333" t="n">
        <v>0</v>
      </c>
      <c r="E2333" t="inlineStr">
        <is>
          <t>UBER</t>
        </is>
      </c>
    </row>
    <row r="2334">
      <c r="A2334" t="n">
        <v>128</v>
      </c>
      <c r="B2334" t="inlineStr">
        <is>
          <t>Love Cabaret</t>
        </is>
      </c>
      <c r="C2334" s="27" t="n">
        <v>45747</v>
      </c>
      <c r="D2334" t="n">
        <v>0</v>
      </c>
      <c r="E2334" t="inlineStr">
        <is>
          <t>OUTROS</t>
        </is>
      </c>
    </row>
    <row r="2335">
      <c r="A2335" t="n">
        <v>128</v>
      </c>
      <c r="B2335" t="inlineStr">
        <is>
          <t>Love Cabaret</t>
        </is>
      </c>
      <c r="C2335" s="27" t="n">
        <v>45747</v>
      </c>
      <c r="D2335" t="n">
        <v>0</v>
      </c>
      <c r="E2335" t="inlineStr">
        <is>
          <t>VOUCHER</t>
        </is>
      </c>
    </row>
    <row r="2336">
      <c r="A2336" t="n">
        <v>128</v>
      </c>
      <c r="B2336" t="inlineStr">
        <is>
          <t>Love Cabaret</t>
        </is>
      </c>
      <c r="C2336" s="27" t="n">
        <v>45747</v>
      </c>
      <c r="D2336" t="n">
        <v>0</v>
      </c>
      <c r="E2336" t="inlineStr">
        <is>
          <t>DÉBITO</t>
        </is>
      </c>
    </row>
    <row r="2337">
      <c r="A2337" t="n">
        <v>128</v>
      </c>
      <c r="B2337" t="inlineStr">
        <is>
          <t>Love Cabaret</t>
        </is>
      </c>
      <c r="C2337" s="27" t="n">
        <v>45747</v>
      </c>
      <c r="D2337" t="n">
        <v>0</v>
      </c>
      <c r="E2337" t="inlineStr">
        <is>
          <t>BÔNUS</t>
        </is>
      </c>
    </row>
    <row r="2338">
      <c r="A2338" t="n">
        <v>128</v>
      </c>
      <c r="B2338" t="inlineStr">
        <is>
          <t>Love Cabaret</t>
        </is>
      </c>
      <c r="C2338" s="27" t="n">
        <v>45747</v>
      </c>
      <c r="D2338" t="n">
        <v>0</v>
      </c>
      <c r="E2338" t="inlineStr">
        <is>
          <t>ANTECIPADO</t>
        </is>
      </c>
    </row>
    <row r="2339">
      <c r="A2339" t="n">
        <v>128</v>
      </c>
      <c r="B2339" t="inlineStr">
        <is>
          <t>Love Cabaret</t>
        </is>
      </c>
      <c r="C2339" s="27" t="n">
        <v>45745</v>
      </c>
      <c r="D2339" t="n">
        <v>0</v>
      </c>
      <c r="E2339" t="inlineStr">
        <is>
          <t>RECARGAS DEVOLVIDAS</t>
        </is>
      </c>
    </row>
    <row r="2340">
      <c r="A2340" t="n">
        <v>128</v>
      </c>
      <c r="B2340" t="inlineStr">
        <is>
          <t>Love Cabaret</t>
        </is>
      </c>
      <c r="C2340" s="27" t="n">
        <v>45745</v>
      </c>
      <c r="D2340" t="n">
        <v>0</v>
      </c>
      <c r="E2340" t="inlineStr">
        <is>
          <t>VOUCHER INTEGRADO</t>
        </is>
      </c>
    </row>
    <row r="2341">
      <c r="A2341" t="n">
        <v>128</v>
      </c>
      <c r="B2341" t="inlineStr">
        <is>
          <t>Love Cabaret</t>
        </is>
      </c>
      <c r="C2341" s="27" t="n">
        <v>45745</v>
      </c>
      <c r="D2341" t="n">
        <v>0</v>
      </c>
      <c r="E2341" t="inlineStr">
        <is>
          <t>UBER</t>
        </is>
      </c>
    </row>
    <row r="2342">
      <c r="A2342" t="n">
        <v>128</v>
      </c>
      <c r="B2342" t="inlineStr">
        <is>
          <t>Love Cabaret</t>
        </is>
      </c>
      <c r="C2342" s="27" t="n">
        <v>45745</v>
      </c>
      <c r="D2342" t="n">
        <v>0</v>
      </c>
      <c r="E2342" t="inlineStr">
        <is>
          <t>MBWAY</t>
        </is>
      </c>
    </row>
    <row r="2343">
      <c r="A2343" t="n">
        <v>128</v>
      </c>
      <c r="B2343" t="inlineStr">
        <is>
          <t>Love Cabaret</t>
        </is>
      </c>
      <c r="C2343" s="27" t="n">
        <v>45745</v>
      </c>
      <c r="D2343" t="n">
        <v>0</v>
      </c>
      <c r="E2343" t="inlineStr">
        <is>
          <t>NOTAS MANUAIS + SERVIÇO</t>
        </is>
      </c>
    </row>
    <row r="2344">
      <c r="A2344" t="n">
        <v>128</v>
      </c>
      <c r="B2344" t="inlineStr">
        <is>
          <t>Love Cabaret</t>
        </is>
      </c>
      <c r="C2344" s="27" t="n">
        <v>45745</v>
      </c>
      <c r="D2344" t="n">
        <v>0</v>
      </c>
      <c r="E2344" t="inlineStr">
        <is>
          <t>AME</t>
        </is>
      </c>
    </row>
    <row r="2345">
      <c r="A2345" t="n">
        <v>128</v>
      </c>
      <c r="B2345" t="inlineStr">
        <is>
          <t>Love Cabaret</t>
        </is>
      </c>
      <c r="C2345" s="27" t="n">
        <v>45745</v>
      </c>
      <c r="D2345" t="n">
        <v>0</v>
      </c>
      <c r="E2345" t="inlineStr">
        <is>
          <t>OUTROS</t>
        </is>
      </c>
    </row>
    <row r="2346">
      <c r="A2346" t="n">
        <v>128</v>
      </c>
      <c r="B2346" t="inlineStr">
        <is>
          <t>Love Cabaret</t>
        </is>
      </c>
      <c r="C2346" s="27" t="n">
        <v>45745</v>
      </c>
      <c r="D2346" t="n">
        <v>0</v>
      </c>
      <c r="E2346" t="inlineStr">
        <is>
          <t>ANTECIPADO</t>
        </is>
      </c>
    </row>
    <row r="2347">
      <c r="A2347" t="n">
        <v>128</v>
      </c>
      <c r="B2347" t="inlineStr">
        <is>
          <t>Love Cabaret</t>
        </is>
      </c>
      <c r="C2347" s="27" t="n">
        <v>45745</v>
      </c>
      <c r="D2347" t="n">
        <v>0</v>
      </c>
      <c r="E2347" t="inlineStr">
        <is>
          <t>BÔNUS</t>
        </is>
      </c>
    </row>
    <row r="2348">
      <c r="A2348" t="n">
        <v>128</v>
      </c>
      <c r="B2348" t="inlineStr">
        <is>
          <t>Love Cabaret</t>
        </is>
      </c>
      <c r="C2348" s="27" t="n">
        <v>45745</v>
      </c>
      <c r="D2348" t="n">
        <v>4513.26</v>
      </c>
      <c r="E2348" t="inlineStr">
        <is>
          <t>DÉBITO</t>
        </is>
      </c>
    </row>
    <row r="2349">
      <c r="A2349" t="n">
        <v>128</v>
      </c>
      <c r="B2349" t="inlineStr">
        <is>
          <t>Love Cabaret</t>
        </is>
      </c>
      <c r="C2349" s="27" t="n">
        <v>45745</v>
      </c>
      <c r="D2349" t="n">
        <v>0</v>
      </c>
      <c r="E2349" t="inlineStr">
        <is>
          <t>VOUCHER</t>
        </is>
      </c>
    </row>
    <row r="2350">
      <c r="A2350" t="n">
        <v>128</v>
      </c>
      <c r="B2350" t="inlineStr">
        <is>
          <t>Love Cabaret</t>
        </is>
      </c>
      <c r="C2350" s="27" t="n">
        <v>45745</v>
      </c>
      <c r="D2350" t="n">
        <v>0</v>
      </c>
      <c r="E2350" t="inlineStr">
        <is>
          <t>ANTECIPADO</t>
        </is>
      </c>
    </row>
    <row r="2351">
      <c r="A2351" t="n">
        <v>128</v>
      </c>
      <c r="B2351" t="inlineStr">
        <is>
          <t>Love Cabaret</t>
        </is>
      </c>
      <c r="C2351" s="27" t="n">
        <v>45745</v>
      </c>
      <c r="D2351" t="n">
        <v>0</v>
      </c>
      <c r="E2351" t="inlineStr">
        <is>
          <t>RAPPI</t>
        </is>
      </c>
    </row>
    <row r="2352">
      <c r="A2352" t="n">
        <v>128</v>
      </c>
      <c r="B2352" t="inlineStr">
        <is>
          <t>Love Cabaret</t>
        </is>
      </c>
      <c r="C2352" s="27" t="n">
        <v>45745</v>
      </c>
      <c r="D2352" t="n">
        <v>1868.9</v>
      </c>
      <c r="E2352" t="inlineStr">
        <is>
          <t>PIX</t>
        </is>
      </c>
    </row>
    <row r="2353">
      <c r="A2353" t="n">
        <v>128</v>
      </c>
      <c r="B2353" t="inlineStr">
        <is>
          <t>Love Cabaret</t>
        </is>
      </c>
      <c r="C2353" s="27" t="n">
        <v>45745</v>
      </c>
      <c r="D2353" t="n">
        <v>0</v>
      </c>
      <c r="E2353" t="inlineStr">
        <is>
          <t>IFOOD</t>
        </is>
      </c>
    </row>
    <row r="2354">
      <c r="A2354" t="n">
        <v>128</v>
      </c>
      <c r="B2354" t="inlineStr">
        <is>
          <t>Love Cabaret</t>
        </is>
      </c>
      <c r="C2354" s="27" t="n">
        <v>45745</v>
      </c>
      <c r="D2354" t="n">
        <v>0</v>
      </c>
      <c r="E2354" t="inlineStr">
        <is>
          <t>DELIVERY ONLINE</t>
        </is>
      </c>
    </row>
    <row r="2355">
      <c r="A2355" t="n">
        <v>128</v>
      </c>
      <c r="B2355" t="inlineStr">
        <is>
          <t>Love Cabaret</t>
        </is>
      </c>
      <c r="C2355" s="27" t="n">
        <v>45745</v>
      </c>
      <c r="D2355" t="n">
        <v>0</v>
      </c>
      <c r="E2355" t="inlineStr">
        <is>
          <t>APP</t>
        </is>
      </c>
    </row>
    <row r="2356">
      <c r="A2356" t="n">
        <v>128</v>
      </c>
      <c r="B2356" t="inlineStr">
        <is>
          <t>Love Cabaret</t>
        </is>
      </c>
      <c r="C2356" s="27" t="n">
        <v>45745</v>
      </c>
      <c r="D2356" t="n">
        <v>107.35</v>
      </c>
      <c r="E2356" t="inlineStr">
        <is>
          <t>DINHEIRO</t>
        </is>
      </c>
    </row>
    <row r="2357">
      <c r="A2357" t="n">
        <v>128</v>
      </c>
      <c r="B2357" t="inlineStr">
        <is>
          <t>Love Cabaret</t>
        </is>
      </c>
      <c r="C2357" s="27" t="n">
        <v>45745</v>
      </c>
      <c r="D2357" t="n">
        <v>11023.06</v>
      </c>
      <c r="E2357" t="inlineStr">
        <is>
          <t>CRÉDITO</t>
        </is>
      </c>
    </row>
    <row r="2358">
      <c r="A2358" t="n">
        <v>128</v>
      </c>
      <c r="B2358" t="inlineStr">
        <is>
          <t>Love Cabaret</t>
        </is>
      </c>
      <c r="C2358" s="27" t="n">
        <v>45744</v>
      </c>
      <c r="D2358" t="n">
        <v>0</v>
      </c>
      <c r="E2358" t="inlineStr">
        <is>
          <t>VOUCHER</t>
        </is>
      </c>
    </row>
    <row r="2359">
      <c r="A2359" t="n">
        <v>128</v>
      </c>
      <c r="B2359" t="inlineStr">
        <is>
          <t>Love Cabaret</t>
        </is>
      </c>
      <c r="C2359" s="27" t="n">
        <v>45744</v>
      </c>
      <c r="D2359" t="n">
        <v>15387.62</v>
      </c>
      <c r="E2359" t="inlineStr">
        <is>
          <t>CRÉDITO</t>
        </is>
      </c>
    </row>
    <row r="2360">
      <c r="A2360" t="n">
        <v>128</v>
      </c>
      <c r="B2360" t="inlineStr">
        <is>
          <t>Love Cabaret</t>
        </is>
      </c>
      <c r="C2360" s="27" t="n">
        <v>45744</v>
      </c>
      <c r="D2360" t="n">
        <v>0</v>
      </c>
      <c r="E2360" t="inlineStr">
        <is>
          <t>DINHEIRO</t>
        </is>
      </c>
    </row>
    <row r="2361">
      <c r="A2361" t="n">
        <v>128</v>
      </c>
      <c r="B2361" t="inlineStr">
        <is>
          <t>Love Cabaret</t>
        </is>
      </c>
      <c r="C2361" s="27" t="n">
        <v>45744</v>
      </c>
      <c r="D2361" t="n">
        <v>0</v>
      </c>
      <c r="E2361" t="inlineStr">
        <is>
          <t>APP</t>
        </is>
      </c>
    </row>
    <row r="2362">
      <c r="A2362" t="n">
        <v>128</v>
      </c>
      <c r="B2362" t="inlineStr">
        <is>
          <t>Love Cabaret</t>
        </is>
      </c>
      <c r="C2362" s="27" t="n">
        <v>45744</v>
      </c>
      <c r="D2362" t="n">
        <v>0</v>
      </c>
      <c r="E2362" t="inlineStr">
        <is>
          <t>DELIVERY ONLINE</t>
        </is>
      </c>
    </row>
    <row r="2363">
      <c r="A2363" t="n">
        <v>128</v>
      </c>
      <c r="B2363" t="inlineStr">
        <is>
          <t>Love Cabaret</t>
        </is>
      </c>
      <c r="C2363" s="27" t="n">
        <v>45744</v>
      </c>
      <c r="D2363" t="n">
        <v>0</v>
      </c>
      <c r="E2363" t="inlineStr">
        <is>
          <t>IFOOD</t>
        </is>
      </c>
    </row>
    <row r="2364">
      <c r="A2364" t="n">
        <v>128</v>
      </c>
      <c r="B2364" t="inlineStr">
        <is>
          <t>Love Cabaret</t>
        </is>
      </c>
      <c r="C2364" s="27" t="n">
        <v>45744</v>
      </c>
      <c r="D2364" t="n">
        <v>1359.39</v>
      </c>
      <c r="E2364" t="inlineStr">
        <is>
          <t>PIX</t>
        </is>
      </c>
    </row>
    <row r="2365">
      <c r="A2365" t="n">
        <v>128</v>
      </c>
      <c r="B2365" t="inlineStr">
        <is>
          <t>Love Cabaret</t>
        </is>
      </c>
      <c r="C2365" s="27" t="n">
        <v>45744</v>
      </c>
      <c r="D2365" t="n">
        <v>0</v>
      </c>
      <c r="E2365" t="inlineStr">
        <is>
          <t>RAPPI</t>
        </is>
      </c>
    </row>
    <row r="2366">
      <c r="A2366" t="n">
        <v>128</v>
      </c>
      <c r="B2366" t="inlineStr">
        <is>
          <t>Love Cabaret</t>
        </is>
      </c>
      <c r="C2366" s="27" t="n">
        <v>45744</v>
      </c>
      <c r="D2366" t="n">
        <v>0</v>
      </c>
      <c r="E2366" t="inlineStr">
        <is>
          <t>UBER</t>
        </is>
      </c>
    </row>
    <row r="2367">
      <c r="A2367" t="n">
        <v>128</v>
      </c>
      <c r="B2367" t="inlineStr">
        <is>
          <t>Love Cabaret</t>
        </is>
      </c>
      <c r="C2367" s="27" t="n">
        <v>45744</v>
      </c>
      <c r="D2367" t="n">
        <v>0</v>
      </c>
      <c r="E2367" t="inlineStr">
        <is>
          <t>ANTECIPADO</t>
        </is>
      </c>
    </row>
    <row r="2368">
      <c r="A2368" t="n">
        <v>128</v>
      </c>
      <c r="B2368" t="inlineStr">
        <is>
          <t>Love Cabaret</t>
        </is>
      </c>
      <c r="C2368" s="27" t="n">
        <v>45744</v>
      </c>
      <c r="D2368" t="n">
        <v>4657.2</v>
      </c>
      <c r="E2368" t="inlineStr">
        <is>
          <t>DÉBITO</t>
        </is>
      </c>
    </row>
    <row r="2369">
      <c r="A2369" t="n">
        <v>128</v>
      </c>
      <c r="B2369" t="inlineStr">
        <is>
          <t>Love Cabaret</t>
        </is>
      </c>
      <c r="C2369" s="27" t="n">
        <v>45744</v>
      </c>
      <c r="D2369" t="n">
        <v>0</v>
      </c>
      <c r="E2369" t="inlineStr">
        <is>
          <t>BÔNUS</t>
        </is>
      </c>
    </row>
    <row r="2370">
      <c r="A2370" t="n">
        <v>128</v>
      </c>
      <c r="B2370" t="inlineStr">
        <is>
          <t>Love Cabaret</t>
        </is>
      </c>
      <c r="C2370" s="27" t="n">
        <v>45744</v>
      </c>
      <c r="D2370" t="n">
        <v>0</v>
      </c>
      <c r="E2370" t="inlineStr">
        <is>
          <t>ANTECIPADO</t>
        </is>
      </c>
    </row>
    <row r="2371">
      <c r="A2371" t="n">
        <v>128</v>
      </c>
      <c r="B2371" t="inlineStr">
        <is>
          <t>Love Cabaret</t>
        </is>
      </c>
      <c r="C2371" s="27" t="n">
        <v>45744</v>
      </c>
      <c r="D2371" t="n">
        <v>0</v>
      </c>
      <c r="E2371" t="inlineStr">
        <is>
          <t>OUTROS</t>
        </is>
      </c>
    </row>
    <row r="2372">
      <c r="A2372" t="n">
        <v>128</v>
      </c>
      <c r="B2372" t="inlineStr">
        <is>
          <t>Love Cabaret</t>
        </is>
      </c>
      <c r="C2372" s="27" t="n">
        <v>45744</v>
      </c>
      <c r="D2372" t="n">
        <v>0</v>
      </c>
      <c r="E2372" t="inlineStr">
        <is>
          <t>AME</t>
        </is>
      </c>
    </row>
    <row r="2373">
      <c r="A2373" t="n">
        <v>128</v>
      </c>
      <c r="B2373" t="inlineStr">
        <is>
          <t>Love Cabaret</t>
        </is>
      </c>
      <c r="C2373" s="27" t="n">
        <v>45744</v>
      </c>
      <c r="D2373" t="n">
        <v>0</v>
      </c>
      <c r="E2373" t="inlineStr">
        <is>
          <t>NOTAS MANUAIS + SERVIÇO</t>
        </is>
      </c>
    </row>
    <row r="2374">
      <c r="A2374" t="n">
        <v>128</v>
      </c>
      <c r="B2374" t="inlineStr">
        <is>
          <t>Love Cabaret</t>
        </is>
      </c>
      <c r="C2374" s="27" t="n">
        <v>45744</v>
      </c>
      <c r="D2374" t="n">
        <v>0</v>
      </c>
      <c r="E2374" t="inlineStr">
        <is>
          <t>RECARGAS DEVOLVIDAS</t>
        </is>
      </c>
    </row>
    <row r="2375">
      <c r="A2375" t="n">
        <v>128</v>
      </c>
      <c r="B2375" t="inlineStr">
        <is>
          <t>Love Cabaret</t>
        </is>
      </c>
      <c r="C2375" s="27" t="n">
        <v>45744</v>
      </c>
      <c r="D2375" t="n">
        <v>0</v>
      </c>
      <c r="E2375" t="inlineStr">
        <is>
          <t>VOUCHER INTEGRADO</t>
        </is>
      </c>
    </row>
    <row r="2376">
      <c r="A2376" t="n">
        <v>128</v>
      </c>
      <c r="B2376" t="inlineStr">
        <is>
          <t>Love Cabaret</t>
        </is>
      </c>
      <c r="C2376" s="27" t="n">
        <v>45744</v>
      </c>
      <c r="D2376" t="n">
        <v>0</v>
      </c>
      <c r="E2376" t="inlineStr">
        <is>
          <t>MBWAY</t>
        </is>
      </c>
    </row>
    <row r="2377">
      <c r="A2377" t="n">
        <v>128</v>
      </c>
      <c r="B2377" t="inlineStr">
        <is>
          <t>Love Cabaret</t>
        </is>
      </c>
      <c r="C2377" s="27" t="n">
        <v>45743</v>
      </c>
      <c r="D2377" t="n">
        <v>0</v>
      </c>
      <c r="E2377" t="inlineStr">
        <is>
          <t>UBER</t>
        </is>
      </c>
    </row>
    <row r="2378">
      <c r="A2378" t="n">
        <v>128</v>
      </c>
      <c r="B2378" t="inlineStr">
        <is>
          <t>Love Cabaret</t>
        </is>
      </c>
      <c r="C2378" s="27" t="n">
        <v>45743</v>
      </c>
      <c r="D2378" t="n">
        <v>0</v>
      </c>
      <c r="E2378" t="inlineStr">
        <is>
          <t>ANTECIPADO</t>
        </is>
      </c>
    </row>
    <row r="2379">
      <c r="A2379" t="n">
        <v>128</v>
      </c>
      <c r="B2379" t="inlineStr">
        <is>
          <t>Love Cabaret</t>
        </is>
      </c>
      <c r="C2379" s="27" t="n">
        <v>45743</v>
      </c>
      <c r="D2379" t="n">
        <v>0</v>
      </c>
      <c r="E2379" t="inlineStr">
        <is>
          <t>VOUCHER</t>
        </is>
      </c>
    </row>
    <row r="2380">
      <c r="A2380" t="n">
        <v>128</v>
      </c>
      <c r="B2380" t="inlineStr">
        <is>
          <t>Love Cabaret</t>
        </is>
      </c>
      <c r="C2380" s="27" t="n">
        <v>45743</v>
      </c>
      <c r="D2380" t="n">
        <v>4890.73</v>
      </c>
      <c r="E2380" t="inlineStr">
        <is>
          <t>DÉBITO</t>
        </is>
      </c>
    </row>
    <row r="2381">
      <c r="A2381" t="n">
        <v>128</v>
      </c>
      <c r="B2381" t="inlineStr">
        <is>
          <t>Love Cabaret</t>
        </is>
      </c>
      <c r="C2381" s="27" t="n">
        <v>45743</v>
      </c>
      <c r="D2381" t="n">
        <v>0</v>
      </c>
      <c r="E2381" t="inlineStr">
        <is>
          <t>BÔNUS</t>
        </is>
      </c>
    </row>
    <row r="2382">
      <c r="A2382" t="n">
        <v>128</v>
      </c>
      <c r="B2382" t="inlineStr">
        <is>
          <t>Love Cabaret</t>
        </is>
      </c>
      <c r="C2382" s="27" t="n">
        <v>45743</v>
      </c>
      <c r="D2382" t="n">
        <v>0</v>
      </c>
      <c r="E2382" t="inlineStr">
        <is>
          <t>ANTECIPADO</t>
        </is>
      </c>
    </row>
    <row r="2383">
      <c r="A2383" t="n">
        <v>128</v>
      </c>
      <c r="B2383" t="inlineStr">
        <is>
          <t>Love Cabaret</t>
        </is>
      </c>
      <c r="C2383" s="27" t="n">
        <v>45743</v>
      </c>
      <c r="D2383" t="n">
        <v>0</v>
      </c>
      <c r="E2383" t="inlineStr">
        <is>
          <t>MBWAY</t>
        </is>
      </c>
    </row>
    <row r="2384">
      <c r="A2384" t="n">
        <v>128</v>
      </c>
      <c r="B2384" t="inlineStr">
        <is>
          <t>Love Cabaret</t>
        </is>
      </c>
      <c r="C2384" s="27" t="n">
        <v>45743</v>
      </c>
      <c r="D2384" t="n">
        <v>0</v>
      </c>
      <c r="E2384" t="inlineStr">
        <is>
          <t>OUTROS</t>
        </is>
      </c>
    </row>
    <row r="2385">
      <c r="A2385" t="n">
        <v>128</v>
      </c>
      <c r="B2385" t="inlineStr">
        <is>
          <t>Love Cabaret</t>
        </is>
      </c>
      <c r="C2385" s="27" t="n">
        <v>45743</v>
      </c>
      <c r="D2385" t="n">
        <v>0</v>
      </c>
      <c r="E2385" t="inlineStr">
        <is>
          <t>AME</t>
        </is>
      </c>
    </row>
    <row r="2386">
      <c r="A2386" t="n">
        <v>128</v>
      </c>
      <c r="B2386" t="inlineStr">
        <is>
          <t>Love Cabaret</t>
        </is>
      </c>
      <c r="C2386" s="27" t="n">
        <v>45743</v>
      </c>
      <c r="D2386" t="n">
        <v>0</v>
      </c>
      <c r="E2386" t="inlineStr">
        <is>
          <t>NOTAS MANUAIS + SERVIÇO</t>
        </is>
      </c>
    </row>
    <row r="2387">
      <c r="A2387" t="n">
        <v>128</v>
      </c>
      <c r="B2387" t="inlineStr">
        <is>
          <t>Love Cabaret</t>
        </is>
      </c>
      <c r="C2387" s="27" t="n">
        <v>45743</v>
      </c>
      <c r="D2387" t="n">
        <v>0</v>
      </c>
      <c r="E2387" t="inlineStr">
        <is>
          <t>RECARGAS DEVOLVIDAS</t>
        </is>
      </c>
    </row>
    <row r="2388">
      <c r="A2388" t="n">
        <v>128</v>
      </c>
      <c r="B2388" t="inlineStr">
        <is>
          <t>Love Cabaret</t>
        </is>
      </c>
      <c r="C2388" s="27" t="n">
        <v>45743</v>
      </c>
      <c r="D2388" t="n">
        <v>0</v>
      </c>
      <c r="E2388" t="inlineStr">
        <is>
          <t>VOUCHER INTEGRADO</t>
        </is>
      </c>
    </row>
    <row r="2389">
      <c r="A2389" t="n">
        <v>128</v>
      </c>
      <c r="B2389" t="inlineStr">
        <is>
          <t>Love Cabaret</t>
        </is>
      </c>
      <c r="C2389" s="27" t="n">
        <v>45743</v>
      </c>
      <c r="D2389" t="n">
        <v>233.35</v>
      </c>
      <c r="E2389" t="inlineStr">
        <is>
          <t>PIX</t>
        </is>
      </c>
    </row>
    <row r="2390">
      <c r="A2390" t="n">
        <v>128</v>
      </c>
      <c r="B2390" t="inlineStr">
        <is>
          <t>Love Cabaret</t>
        </is>
      </c>
      <c r="C2390" s="27" t="n">
        <v>45743</v>
      </c>
      <c r="D2390" t="n">
        <v>0</v>
      </c>
      <c r="E2390" t="inlineStr">
        <is>
          <t>IFOOD</t>
        </is>
      </c>
    </row>
    <row r="2391">
      <c r="A2391" t="n">
        <v>128</v>
      </c>
      <c r="B2391" t="inlineStr">
        <is>
          <t>Love Cabaret</t>
        </is>
      </c>
      <c r="C2391" s="27" t="n">
        <v>45743</v>
      </c>
      <c r="D2391" t="n">
        <v>0</v>
      </c>
      <c r="E2391" t="inlineStr">
        <is>
          <t>DELIVERY ONLINE</t>
        </is>
      </c>
    </row>
    <row r="2392">
      <c r="A2392" t="n">
        <v>128</v>
      </c>
      <c r="B2392" t="inlineStr">
        <is>
          <t>Love Cabaret</t>
        </is>
      </c>
      <c r="C2392" s="27" t="n">
        <v>45743</v>
      </c>
      <c r="D2392" t="n">
        <v>0</v>
      </c>
      <c r="E2392" t="inlineStr">
        <is>
          <t>APP</t>
        </is>
      </c>
    </row>
    <row r="2393">
      <c r="A2393" t="n">
        <v>128</v>
      </c>
      <c r="B2393" t="inlineStr">
        <is>
          <t>Love Cabaret</t>
        </is>
      </c>
      <c r="C2393" s="27" t="n">
        <v>45743</v>
      </c>
      <c r="D2393" t="n">
        <v>20</v>
      </c>
      <c r="E2393" t="inlineStr">
        <is>
          <t>DINHEIRO</t>
        </is>
      </c>
    </row>
    <row r="2394">
      <c r="A2394" t="n">
        <v>128</v>
      </c>
      <c r="B2394" t="inlineStr">
        <is>
          <t>Love Cabaret</t>
        </is>
      </c>
      <c r="C2394" s="27" t="n">
        <v>45743</v>
      </c>
      <c r="D2394" t="n">
        <v>12873.63</v>
      </c>
      <c r="E2394" t="inlineStr">
        <is>
          <t>CRÉDITO</t>
        </is>
      </c>
    </row>
    <row r="2395">
      <c r="A2395" t="n">
        <v>128</v>
      </c>
      <c r="B2395" t="inlineStr">
        <is>
          <t>Love Cabaret</t>
        </is>
      </c>
      <c r="C2395" s="27" t="n">
        <v>45743</v>
      </c>
      <c r="D2395" t="n">
        <v>0</v>
      </c>
      <c r="E2395" t="inlineStr">
        <is>
          <t>RAPPI</t>
        </is>
      </c>
    </row>
    <row r="2396">
      <c r="A2396" t="n">
        <v>128</v>
      </c>
      <c r="B2396" t="inlineStr">
        <is>
          <t>Love Cabaret</t>
        </is>
      </c>
      <c r="C2396" s="27" t="n">
        <v>45739</v>
      </c>
      <c r="D2396" t="n">
        <v>0</v>
      </c>
      <c r="E2396" t="inlineStr">
        <is>
          <t>NOTAS MANUAIS + SERVIÇO</t>
        </is>
      </c>
    </row>
    <row r="2397">
      <c r="A2397" t="n">
        <v>128</v>
      </c>
      <c r="B2397" t="inlineStr">
        <is>
          <t>Love Cabaret</t>
        </is>
      </c>
      <c r="C2397" s="27" t="n">
        <v>45739</v>
      </c>
      <c r="D2397" t="n">
        <v>0</v>
      </c>
      <c r="E2397" t="inlineStr">
        <is>
          <t>BÔNUS</t>
        </is>
      </c>
    </row>
    <row r="2398">
      <c r="A2398" t="n">
        <v>128</v>
      </c>
      <c r="B2398" t="inlineStr">
        <is>
          <t>Love Cabaret</t>
        </is>
      </c>
      <c r="C2398" s="27" t="n">
        <v>45739</v>
      </c>
      <c r="D2398" t="n">
        <v>0</v>
      </c>
      <c r="E2398" t="inlineStr">
        <is>
          <t>RECARGAS DEVOLVIDAS</t>
        </is>
      </c>
    </row>
    <row r="2399">
      <c r="A2399" t="n">
        <v>128</v>
      </c>
      <c r="B2399" t="inlineStr">
        <is>
          <t>Love Cabaret</t>
        </is>
      </c>
      <c r="C2399" s="27" t="n">
        <v>45739</v>
      </c>
      <c r="D2399" t="n">
        <v>0</v>
      </c>
      <c r="E2399" t="inlineStr">
        <is>
          <t>VOUCHER INTEGRADO</t>
        </is>
      </c>
    </row>
    <row r="2400">
      <c r="A2400" t="n">
        <v>128</v>
      </c>
      <c r="B2400" t="inlineStr">
        <is>
          <t>Love Cabaret</t>
        </is>
      </c>
      <c r="C2400" s="27" t="n">
        <v>45739</v>
      </c>
      <c r="D2400" t="n">
        <v>0</v>
      </c>
      <c r="E2400" t="inlineStr">
        <is>
          <t>MBWAY</t>
        </is>
      </c>
    </row>
    <row r="2401">
      <c r="A2401" t="n">
        <v>128</v>
      </c>
      <c r="B2401" t="inlineStr">
        <is>
          <t>Love Cabaret</t>
        </is>
      </c>
      <c r="C2401" s="27" t="n">
        <v>45739</v>
      </c>
      <c r="D2401" t="n">
        <v>475.77</v>
      </c>
      <c r="E2401" t="inlineStr">
        <is>
          <t>DINHEIRO</t>
        </is>
      </c>
    </row>
    <row r="2402">
      <c r="A2402" t="n">
        <v>128</v>
      </c>
      <c r="B2402" t="inlineStr">
        <is>
          <t>Love Cabaret</t>
        </is>
      </c>
      <c r="C2402" s="27" t="n">
        <v>45739</v>
      </c>
      <c r="D2402" t="n">
        <v>64.41</v>
      </c>
      <c r="E2402" t="inlineStr">
        <is>
          <t>APP</t>
        </is>
      </c>
    </row>
    <row r="2403">
      <c r="A2403" t="n">
        <v>128</v>
      </c>
      <c r="B2403" t="inlineStr">
        <is>
          <t>Love Cabaret</t>
        </is>
      </c>
      <c r="C2403" s="27" t="n">
        <v>45739</v>
      </c>
      <c r="D2403" t="n">
        <v>0</v>
      </c>
      <c r="E2403" t="inlineStr">
        <is>
          <t>DELIVERY ONLINE</t>
        </is>
      </c>
    </row>
    <row r="2404">
      <c r="A2404" t="n">
        <v>128</v>
      </c>
      <c r="B2404" t="inlineStr">
        <is>
          <t>Love Cabaret</t>
        </is>
      </c>
      <c r="C2404" s="27" t="n">
        <v>45739</v>
      </c>
      <c r="D2404" t="n">
        <v>0</v>
      </c>
      <c r="E2404" t="inlineStr">
        <is>
          <t>IFOOD</t>
        </is>
      </c>
    </row>
    <row r="2405">
      <c r="A2405" t="n">
        <v>128</v>
      </c>
      <c r="B2405" t="inlineStr">
        <is>
          <t>Love Cabaret</t>
        </is>
      </c>
      <c r="C2405" s="27" t="n">
        <v>45739</v>
      </c>
      <c r="D2405" t="n">
        <v>2924.84</v>
      </c>
      <c r="E2405" t="inlineStr">
        <is>
          <t>PIX</t>
        </is>
      </c>
    </row>
    <row r="2406">
      <c r="A2406" t="n">
        <v>128</v>
      </c>
      <c r="B2406" t="inlineStr">
        <is>
          <t>Love Cabaret</t>
        </is>
      </c>
      <c r="C2406" s="27" t="n">
        <v>45739</v>
      </c>
      <c r="D2406" t="n">
        <v>0</v>
      </c>
      <c r="E2406" t="inlineStr">
        <is>
          <t>AME</t>
        </is>
      </c>
    </row>
    <row r="2407">
      <c r="A2407" t="n">
        <v>128</v>
      </c>
      <c r="B2407" t="inlineStr">
        <is>
          <t>Love Cabaret</t>
        </is>
      </c>
      <c r="C2407" s="27" t="n">
        <v>45739</v>
      </c>
      <c r="D2407" t="n">
        <v>0</v>
      </c>
      <c r="E2407" t="inlineStr">
        <is>
          <t>OUTROS</t>
        </is>
      </c>
    </row>
    <row r="2408">
      <c r="A2408" t="n">
        <v>128</v>
      </c>
      <c r="B2408" t="inlineStr">
        <is>
          <t>Love Cabaret</t>
        </is>
      </c>
      <c r="C2408" s="27" t="n">
        <v>45739</v>
      </c>
      <c r="D2408" t="n">
        <v>0</v>
      </c>
      <c r="E2408" t="inlineStr">
        <is>
          <t>ANTECIPADO</t>
        </is>
      </c>
    </row>
    <row r="2409">
      <c r="A2409" t="n">
        <v>128</v>
      </c>
      <c r="B2409" t="inlineStr">
        <is>
          <t>Love Cabaret</t>
        </is>
      </c>
      <c r="C2409" s="27" t="n">
        <v>45739</v>
      </c>
      <c r="D2409" t="n">
        <v>12788.46</v>
      </c>
      <c r="E2409" t="inlineStr">
        <is>
          <t>DÉBITO</t>
        </is>
      </c>
    </row>
    <row r="2410">
      <c r="A2410" t="n">
        <v>128</v>
      </c>
      <c r="B2410" t="inlineStr">
        <is>
          <t>Love Cabaret</t>
        </is>
      </c>
      <c r="C2410" s="27" t="n">
        <v>45739</v>
      </c>
      <c r="D2410" t="n">
        <v>0</v>
      </c>
      <c r="E2410" t="inlineStr">
        <is>
          <t>VOUCHER</t>
        </is>
      </c>
    </row>
    <row r="2411">
      <c r="A2411" t="n">
        <v>128</v>
      </c>
      <c r="B2411" t="inlineStr">
        <is>
          <t>Love Cabaret</t>
        </is>
      </c>
      <c r="C2411" s="27" t="n">
        <v>45739</v>
      </c>
      <c r="D2411" t="n">
        <v>0</v>
      </c>
      <c r="E2411" t="inlineStr">
        <is>
          <t>ANTECIPADO</t>
        </is>
      </c>
    </row>
    <row r="2412">
      <c r="A2412" t="n">
        <v>128</v>
      </c>
      <c r="B2412" t="inlineStr">
        <is>
          <t>Love Cabaret</t>
        </is>
      </c>
      <c r="C2412" s="27" t="n">
        <v>45739</v>
      </c>
      <c r="D2412" t="n">
        <v>0</v>
      </c>
      <c r="E2412" t="inlineStr">
        <is>
          <t>UBER</t>
        </is>
      </c>
    </row>
    <row r="2413">
      <c r="A2413" t="n">
        <v>128</v>
      </c>
      <c r="B2413" t="inlineStr">
        <is>
          <t>Love Cabaret</t>
        </is>
      </c>
      <c r="C2413" s="27" t="n">
        <v>45739</v>
      </c>
      <c r="D2413" t="n">
        <v>0</v>
      </c>
      <c r="E2413" t="inlineStr">
        <is>
          <t>RAPPI</t>
        </is>
      </c>
    </row>
    <row r="2414">
      <c r="A2414" t="n">
        <v>128</v>
      </c>
      <c r="B2414" t="inlineStr">
        <is>
          <t>Love Cabaret</t>
        </is>
      </c>
      <c r="C2414" s="27" t="n">
        <v>45739</v>
      </c>
      <c r="D2414" t="n">
        <v>25413.92</v>
      </c>
      <c r="E2414" t="inlineStr">
        <is>
          <t>CRÉDITO</t>
        </is>
      </c>
    </row>
    <row r="2415">
      <c r="A2415" t="n">
        <v>128</v>
      </c>
      <c r="B2415" t="inlineStr">
        <is>
          <t>Love Cabaret</t>
        </is>
      </c>
      <c r="C2415" s="27" t="n">
        <v>45737</v>
      </c>
      <c r="D2415" t="n">
        <v>877.55</v>
      </c>
      <c r="E2415" t="inlineStr">
        <is>
          <t>PIX</t>
        </is>
      </c>
    </row>
    <row r="2416">
      <c r="A2416" t="n">
        <v>128</v>
      </c>
      <c r="B2416" t="inlineStr">
        <is>
          <t>Love Cabaret</t>
        </is>
      </c>
      <c r="C2416" s="27" t="n">
        <v>45737</v>
      </c>
      <c r="D2416" t="n">
        <v>211.31</v>
      </c>
      <c r="E2416" t="inlineStr">
        <is>
          <t>DINHEIRO</t>
        </is>
      </c>
    </row>
    <row r="2417">
      <c r="A2417" t="n">
        <v>128</v>
      </c>
      <c r="B2417" t="inlineStr">
        <is>
          <t>Love Cabaret</t>
        </is>
      </c>
      <c r="C2417" s="27" t="n">
        <v>45737</v>
      </c>
      <c r="D2417" t="n">
        <v>0</v>
      </c>
      <c r="E2417" t="inlineStr">
        <is>
          <t>MBWAY</t>
        </is>
      </c>
    </row>
    <row r="2418">
      <c r="A2418" t="n">
        <v>128</v>
      </c>
      <c r="B2418" t="inlineStr">
        <is>
          <t>Love Cabaret</t>
        </is>
      </c>
      <c r="C2418" s="27" t="n">
        <v>45737</v>
      </c>
      <c r="D2418" t="n">
        <v>0</v>
      </c>
      <c r="E2418" t="inlineStr">
        <is>
          <t>VOUCHER INTEGRADO</t>
        </is>
      </c>
    </row>
    <row r="2419">
      <c r="A2419" t="n">
        <v>128</v>
      </c>
      <c r="B2419" t="inlineStr">
        <is>
          <t>Love Cabaret</t>
        </is>
      </c>
      <c r="C2419" s="27" t="n">
        <v>45737</v>
      </c>
      <c r="D2419" t="n">
        <v>0</v>
      </c>
      <c r="E2419" t="inlineStr">
        <is>
          <t>RECARGAS DEVOLVIDAS</t>
        </is>
      </c>
    </row>
    <row r="2420">
      <c r="A2420" t="n">
        <v>128</v>
      </c>
      <c r="B2420" t="inlineStr">
        <is>
          <t>Love Cabaret</t>
        </is>
      </c>
      <c r="C2420" s="27" t="n">
        <v>45737</v>
      </c>
      <c r="D2420" t="n">
        <v>0</v>
      </c>
      <c r="E2420" t="inlineStr">
        <is>
          <t>NOTAS MANUAIS + SERVIÇO</t>
        </is>
      </c>
    </row>
    <row r="2421">
      <c r="A2421" t="n">
        <v>128</v>
      </c>
      <c r="B2421" t="inlineStr">
        <is>
          <t>Love Cabaret</t>
        </is>
      </c>
      <c r="C2421" s="27" t="n">
        <v>45737</v>
      </c>
      <c r="D2421" t="n">
        <v>0</v>
      </c>
      <c r="E2421" t="inlineStr">
        <is>
          <t>AME</t>
        </is>
      </c>
    </row>
    <row r="2422">
      <c r="A2422" t="n">
        <v>128</v>
      </c>
      <c r="B2422" t="inlineStr">
        <is>
          <t>Love Cabaret</t>
        </is>
      </c>
      <c r="C2422" s="27" t="n">
        <v>45737</v>
      </c>
      <c r="D2422" t="n">
        <v>0</v>
      </c>
      <c r="E2422" t="inlineStr">
        <is>
          <t>OUTROS</t>
        </is>
      </c>
    </row>
    <row r="2423">
      <c r="A2423" t="n">
        <v>128</v>
      </c>
      <c r="B2423" t="inlineStr">
        <is>
          <t>Love Cabaret</t>
        </is>
      </c>
      <c r="C2423" s="27" t="n">
        <v>45737</v>
      </c>
      <c r="D2423" t="n">
        <v>0</v>
      </c>
      <c r="E2423" t="inlineStr">
        <is>
          <t>ANTECIPADO</t>
        </is>
      </c>
    </row>
    <row r="2424">
      <c r="A2424" t="n">
        <v>128</v>
      </c>
      <c r="B2424" t="inlineStr">
        <is>
          <t>Love Cabaret</t>
        </is>
      </c>
      <c r="C2424" s="27" t="n">
        <v>45737</v>
      </c>
      <c r="D2424" t="n">
        <v>0</v>
      </c>
      <c r="E2424" t="inlineStr">
        <is>
          <t>BÔNUS</t>
        </is>
      </c>
    </row>
    <row r="2425">
      <c r="A2425" t="n">
        <v>128</v>
      </c>
      <c r="B2425" t="inlineStr">
        <is>
          <t>Love Cabaret</t>
        </is>
      </c>
      <c r="C2425" s="27" t="n">
        <v>45737</v>
      </c>
      <c r="D2425" t="n">
        <v>6675.74</v>
      </c>
      <c r="E2425" t="inlineStr">
        <is>
          <t>DÉBITO</t>
        </is>
      </c>
    </row>
    <row r="2426">
      <c r="A2426" t="n">
        <v>128</v>
      </c>
      <c r="B2426" t="inlineStr">
        <is>
          <t>Love Cabaret</t>
        </is>
      </c>
      <c r="C2426" s="27" t="n">
        <v>45737</v>
      </c>
      <c r="D2426" t="n">
        <v>0</v>
      </c>
      <c r="E2426" t="inlineStr">
        <is>
          <t>VOUCHER</t>
        </is>
      </c>
    </row>
    <row r="2427">
      <c r="A2427" t="n">
        <v>128</v>
      </c>
      <c r="B2427" t="inlineStr">
        <is>
          <t>Love Cabaret</t>
        </is>
      </c>
      <c r="C2427" s="27" t="n">
        <v>45737</v>
      </c>
      <c r="D2427" t="n">
        <v>0</v>
      </c>
      <c r="E2427" t="inlineStr">
        <is>
          <t>ANTECIPADO</t>
        </is>
      </c>
    </row>
    <row r="2428">
      <c r="A2428" t="n">
        <v>128</v>
      </c>
      <c r="B2428" t="inlineStr">
        <is>
          <t>Love Cabaret</t>
        </is>
      </c>
      <c r="C2428" s="27" t="n">
        <v>45737</v>
      </c>
      <c r="D2428" t="n">
        <v>0</v>
      </c>
      <c r="E2428" t="inlineStr">
        <is>
          <t>UBER</t>
        </is>
      </c>
    </row>
    <row r="2429">
      <c r="A2429" t="n">
        <v>128</v>
      </c>
      <c r="B2429" t="inlineStr">
        <is>
          <t>Love Cabaret</t>
        </is>
      </c>
      <c r="C2429" s="27" t="n">
        <v>45737</v>
      </c>
      <c r="D2429" t="n">
        <v>0</v>
      </c>
      <c r="E2429" t="inlineStr">
        <is>
          <t>RAPPI</t>
        </is>
      </c>
    </row>
    <row r="2430">
      <c r="A2430" t="n">
        <v>128</v>
      </c>
      <c r="B2430" t="inlineStr">
        <is>
          <t>Love Cabaret</t>
        </is>
      </c>
      <c r="C2430" s="27" t="n">
        <v>45737</v>
      </c>
      <c r="D2430" t="n">
        <v>0</v>
      </c>
      <c r="E2430" t="inlineStr">
        <is>
          <t>IFOOD</t>
        </is>
      </c>
    </row>
    <row r="2431">
      <c r="A2431" t="n">
        <v>128</v>
      </c>
      <c r="B2431" t="inlineStr">
        <is>
          <t>Love Cabaret</t>
        </is>
      </c>
      <c r="C2431" s="27" t="n">
        <v>45737</v>
      </c>
      <c r="D2431" t="n">
        <v>0</v>
      </c>
      <c r="E2431" t="inlineStr">
        <is>
          <t>DELIVERY ONLINE</t>
        </is>
      </c>
    </row>
    <row r="2432">
      <c r="A2432" t="n">
        <v>128</v>
      </c>
      <c r="B2432" t="inlineStr">
        <is>
          <t>Love Cabaret</t>
        </is>
      </c>
      <c r="C2432" s="27" t="n">
        <v>45737</v>
      </c>
      <c r="D2432" t="n">
        <v>0</v>
      </c>
      <c r="E2432" t="inlineStr">
        <is>
          <t>APP</t>
        </is>
      </c>
    </row>
    <row r="2433">
      <c r="A2433" t="n">
        <v>128</v>
      </c>
      <c r="B2433" t="inlineStr">
        <is>
          <t>Love Cabaret</t>
        </is>
      </c>
      <c r="C2433" s="27" t="n">
        <v>45737</v>
      </c>
      <c r="D2433" t="n">
        <v>16846.34</v>
      </c>
      <c r="E2433" t="inlineStr">
        <is>
          <t>CRÉDITO</t>
        </is>
      </c>
    </row>
    <row r="2434">
      <c r="A2434" t="n">
        <v>128</v>
      </c>
      <c r="B2434" t="inlineStr">
        <is>
          <t>Love Cabaret</t>
        </is>
      </c>
      <c r="C2434" s="27" t="n">
        <v>45736</v>
      </c>
      <c r="D2434" t="n">
        <v>0</v>
      </c>
      <c r="E2434" t="inlineStr">
        <is>
          <t>MBWAY</t>
        </is>
      </c>
    </row>
    <row r="2435">
      <c r="A2435" t="n">
        <v>128</v>
      </c>
      <c r="B2435" t="inlineStr">
        <is>
          <t>Love Cabaret</t>
        </is>
      </c>
      <c r="C2435" s="27" t="n">
        <v>45736</v>
      </c>
      <c r="D2435" t="n">
        <v>0</v>
      </c>
      <c r="E2435" t="inlineStr">
        <is>
          <t>VOUCHER INTEGRADO</t>
        </is>
      </c>
    </row>
    <row r="2436">
      <c r="A2436" t="n">
        <v>128</v>
      </c>
      <c r="B2436" t="inlineStr">
        <is>
          <t>Love Cabaret</t>
        </is>
      </c>
      <c r="C2436" s="27" t="n">
        <v>45736</v>
      </c>
      <c r="D2436" t="n">
        <v>0</v>
      </c>
      <c r="E2436" t="inlineStr">
        <is>
          <t>RECARGAS DEVOLVIDAS</t>
        </is>
      </c>
    </row>
    <row r="2437">
      <c r="A2437" t="n">
        <v>128</v>
      </c>
      <c r="B2437" t="inlineStr">
        <is>
          <t>Love Cabaret</t>
        </is>
      </c>
      <c r="C2437" s="27" t="n">
        <v>45736</v>
      </c>
      <c r="D2437" t="n">
        <v>0</v>
      </c>
      <c r="E2437" t="inlineStr">
        <is>
          <t>NOTAS MANUAIS + SERVIÇO</t>
        </is>
      </c>
    </row>
    <row r="2438">
      <c r="A2438" t="n">
        <v>128</v>
      </c>
      <c r="B2438" t="inlineStr">
        <is>
          <t>Love Cabaret</t>
        </is>
      </c>
      <c r="C2438" s="27" t="n">
        <v>45736</v>
      </c>
      <c r="D2438" t="n">
        <v>0</v>
      </c>
      <c r="E2438" t="inlineStr">
        <is>
          <t>AME</t>
        </is>
      </c>
    </row>
    <row r="2439">
      <c r="A2439" t="n">
        <v>128</v>
      </c>
      <c r="B2439" t="inlineStr">
        <is>
          <t>Love Cabaret</t>
        </is>
      </c>
      <c r="C2439" s="27" t="n">
        <v>45736</v>
      </c>
      <c r="D2439" t="n">
        <v>0</v>
      </c>
      <c r="E2439" t="inlineStr">
        <is>
          <t>OUTROS</t>
        </is>
      </c>
    </row>
    <row r="2440">
      <c r="A2440" t="n">
        <v>128</v>
      </c>
      <c r="B2440" t="inlineStr">
        <is>
          <t>Love Cabaret</t>
        </is>
      </c>
      <c r="C2440" s="27" t="n">
        <v>45736</v>
      </c>
      <c r="D2440" t="n">
        <v>0</v>
      </c>
      <c r="E2440" t="inlineStr">
        <is>
          <t>ANTECIPADO</t>
        </is>
      </c>
    </row>
    <row r="2441">
      <c r="A2441" t="n">
        <v>128</v>
      </c>
      <c r="B2441" t="inlineStr">
        <is>
          <t>Love Cabaret</t>
        </is>
      </c>
      <c r="C2441" s="27" t="n">
        <v>45736</v>
      </c>
      <c r="D2441" t="n">
        <v>0</v>
      </c>
      <c r="E2441" t="inlineStr">
        <is>
          <t>BÔNUS</t>
        </is>
      </c>
    </row>
    <row r="2442">
      <c r="A2442" t="n">
        <v>128</v>
      </c>
      <c r="B2442" t="inlineStr">
        <is>
          <t>Love Cabaret</t>
        </is>
      </c>
      <c r="C2442" s="27" t="n">
        <v>45736</v>
      </c>
      <c r="D2442" t="n">
        <v>2698.95</v>
      </c>
      <c r="E2442" t="inlineStr">
        <is>
          <t>DÉBITO</t>
        </is>
      </c>
    </row>
    <row r="2443">
      <c r="A2443" t="n">
        <v>128</v>
      </c>
      <c r="B2443" t="inlineStr">
        <is>
          <t>Love Cabaret</t>
        </is>
      </c>
      <c r="C2443" s="27" t="n">
        <v>45736</v>
      </c>
      <c r="D2443" t="n">
        <v>0</v>
      </c>
      <c r="E2443" t="inlineStr">
        <is>
          <t>VOUCHER</t>
        </is>
      </c>
    </row>
    <row r="2444">
      <c r="A2444" t="n">
        <v>128</v>
      </c>
      <c r="B2444" t="inlineStr">
        <is>
          <t>Love Cabaret</t>
        </is>
      </c>
      <c r="C2444" s="27" t="n">
        <v>45736</v>
      </c>
      <c r="D2444" t="n">
        <v>0</v>
      </c>
      <c r="E2444" t="inlineStr">
        <is>
          <t>UBER</t>
        </is>
      </c>
    </row>
    <row r="2445">
      <c r="A2445" t="n">
        <v>128</v>
      </c>
      <c r="B2445" t="inlineStr">
        <is>
          <t>Love Cabaret</t>
        </is>
      </c>
      <c r="C2445" s="27" t="n">
        <v>45736</v>
      </c>
      <c r="D2445" t="n">
        <v>0</v>
      </c>
      <c r="E2445" t="inlineStr">
        <is>
          <t>RAPPI</t>
        </is>
      </c>
    </row>
    <row r="2446">
      <c r="A2446" t="n">
        <v>128</v>
      </c>
      <c r="B2446" t="inlineStr">
        <is>
          <t>Love Cabaret</t>
        </is>
      </c>
      <c r="C2446" s="27" t="n">
        <v>45736</v>
      </c>
      <c r="D2446" t="n">
        <v>592.12</v>
      </c>
      <c r="E2446" t="inlineStr">
        <is>
          <t>PIX</t>
        </is>
      </c>
    </row>
    <row r="2447">
      <c r="A2447" t="n">
        <v>128</v>
      </c>
      <c r="B2447" t="inlineStr">
        <is>
          <t>Love Cabaret</t>
        </is>
      </c>
      <c r="C2447" s="27" t="n">
        <v>45736</v>
      </c>
      <c r="D2447" t="n">
        <v>0</v>
      </c>
      <c r="E2447" t="inlineStr">
        <is>
          <t>IFOOD</t>
        </is>
      </c>
    </row>
    <row r="2448">
      <c r="A2448" t="n">
        <v>128</v>
      </c>
      <c r="B2448" t="inlineStr">
        <is>
          <t>Love Cabaret</t>
        </is>
      </c>
      <c r="C2448" s="27" t="n">
        <v>45736</v>
      </c>
      <c r="D2448" t="n">
        <v>0</v>
      </c>
      <c r="E2448" t="inlineStr">
        <is>
          <t>DELIVERY ONLINE</t>
        </is>
      </c>
    </row>
    <row r="2449">
      <c r="A2449" t="n">
        <v>128</v>
      </c>
      <c r="B2449" t="inlineStr">
        <is>
          <t>Love Cabaret</t>
        </is>
      </c>
      <c r="C2449" s="27" t="n">
        <v>45736</v>
      </c>
      <c r="D2449" t="n">
        <v>0</v>
      </c>
      <c r="E2449" t="inlineStr">
        <is>
          <t>APP</t>
        </is>
      </c>
    </row>
    <row r="2450">
      <c r="A2450" t="n">
        <v>128</v>
      </c>
      <c r="B2450" t="inlineStr">
        <is>
          <t>Love Cabaret</t>
        </is>
      </c>
      <c r="C2450" s="27" t="n">
        <v>45736</v>
      </c>
      <c r="D2450" t="n">
        <v>15</v>
      </c>
      <c r="E2450" t="inlineStr">
        <is>
          <t>DINHEIRO</t>
        </is>
      </c>
    </row>
    <row r="2451">
      <c r="A2451" t="n">
        <v>128</v>
      </c>
      <c r="B2451" t="inlineStr">
        <is>
          <t>Love Cabaret</t>
        </is>
      </c>
      <c r="C2451" s="27" t="n">
        <v>45736</v>
      </c>
      <c r="D2451" t="n">
        <v>6509.65</v>
      </c>
      <c r="E2451" t="inlineStr">
        <is>
          <t>CRÉDITO</t>
        </is>
      </c>
    </row>
    <row r="2452">
      <c r="A2452" t="n">
        <v>128</v>
      </c>
      <c r="B2452" t="inlineStr">
        <is>
          <t>Love Cabaret</t>
        </is>
      </c>
      <c r="C2452" s="27" t="n">
        <v>45736</v>
      </c>
      <c r="D2452" t="n">
        <v>0</v>
      </c>
      <c r="E2452" t="inlineStr">
        <is>
          <t>ANTECIPADO</t>
        </is>
      </c>
    </row>
    <row r="2453">
      <c r="A2453" t="n">
        <v>128</v>
      </c>
      <c r="B2453" t="inlineStr">
        <is>
          <t>Love Cabaret</t>
        </is>
      </c>
      <c r="C2453" s="27" t="n">
        <v>45731</v>
      </c>
      <c r="D2453" t="n">
        <v>0</v>
      </c>
      <c r="E2453" t="inlineStr">
        <is>
          <t>VOUCHER</t>
        </is>
      </c>
    </row>
    <row r="2454">
      <c r="A2454" t="n">
        <v>128</v>
      </c>
      <c r="B2454" t="inlineStr">
        <is>
          <t>Love Cabaret</t>
        </is>
      </c>
      <c r="C2454" s="27" t="n">
        <v>45731</v>
      </c>
      <c r="D2454" t="n">
        <v>0</v>
      </c>
      <c r="E2454" t="inlineStr">
        <is>
          <t>ANTECIPADO</t>
        </is>
      </c>
    </row>
    <row r="2455">
      <c r="A2455" t="n">
        <v>128</v>
      </c>
      <c r="B2455" t="inlineStr">
        <is>
          <t>Love Cabaret</t>
        </is>
      </c>
      <c r="C2455" s="27" t="n">
        <v>45731</v>
      </c>
      <c r="D2455" t="n">
        <v>0</v>
      </c>
      <c r="E2455" t="inlineStr">
        <is>
          <t>UBER</t>
        </is>
      </c>
    </row>
    <row r="2456">
      <c r="A2456" t="n">
        <v>128</v>
      </c>
      <c r="B2456" t="inlineStr">
        <is>
          <t>Love Cabaret</t>
        </is>
      </c>
      <c r="C2456" s="27" t="n">
        <v>45731</v>
      </c>
      <c r="D2456" t="n">
        <v>0</v>
      </c>
      <c r="E2456" t="inlineStr">
        <is>
          <t>RAPPI</t>
        </is>
      </c>
    </row>
    <row r="2457">
      <c r="A2457" t="n">
        <v>128</v>
      </c>
      <c r="B2457" t="inlineStr">
        <is>
          <t>Love Cabaret</t>
        </is>
      </c>
      <c r="C2457" s="27" t="n">
        <v>45731</v>
      </c>
      <c r="D2457" t="n">
        <v>1476.25</v>
      </c>
      <c r="E2457" t="inlineStr">
        <is>
          <t>PIX</t>
        </is>
      </c>
    </row>
    <row r="2458">
      <c r="A2458" t="n">
        <v>128</v>
      </c>
      <c r="B2458" t="inlineStr">
        <is>
          <t>Love Cabaret</t>
        </is>
      </c>
      <c r="C2458" s="27" t="n">
        <v>45731</v>
      </c>
      <c r="D2458" t="n">
        <v>0</v>
      </c>
      <c r="E2458" t="inlineStr">
        <is>
          <t>IFOOD</t>
        </is>
      </c>
    </row>
    <row r="2459">
      <c r="A2459" t="n">
        <v>128</v>
      </c>
      <c r="B2459" t="inlineStr">
        <is>
          <t>Love Cabaret</t>
        </is>
      </c>
      <c r="C2459" s="27" t="n">
        <v>45731</v>
      </c>
      <c r="D2459" t="n">
        <v>0</v>
      </c>
      <c r="E2459" t="inlineStr">
        <is>
          <t>DELIVERY ONLINE</t>
        </is>
      </c>
    </row>
    <row r="2460">
      <c r="A2460" t="n">
        <v>128</v>
      </c>
      <c r="B2460" t="inlineStr">
        <is>
          <t>Love Cabaret</t>
        </is>
      </c>
      <c r="C2460" s="27" t="n">
        <v>45731</v>
      </c>
      <c r="D2460" t="n">
        <v>0</v>
      </c>
      <c r="E2460" t="inlineStr">
        <is>
          <t>APP</t>
        </is>
      </c>
    </row>
    <row r="2461">
      <c r="A2461" t="n">
        <v>128</v>
      </c>
      <c r="B2461" t="inlineStr">
        <is>
          <t>Love Cabaret</t>
        </is>
      </c>
      <c r="C2461" s="27" t="n">
        <v>45731</v>
      </c>
      <c r="D2461" t="n">
        <v>627.15</v>
      </c>
      <c r="E2461" t="inlineStr">
        <is>
          <t>DINHEIRO</t>
        </is>
      </c>
    </row>
    <row r="2462">
      <c r="A2462" t="n">
        <v>128</v>
      </c>
      <c r="B2462" t="inlineStr">
        <is>
          <t>Love Cabaret</t>
        </is>
      </c>
      <c r="C2462" s="27" t="n">
        <v>45731</v>
      </c>
      <c r="D2462" t="n">
        <v>10801.05</v>
      </c>
      <c r="E2462" t="inlineStr">
        <is>
          <t>CRÉDITO</t>
        </is>
      </c>
    </row>
    <row r="2463">
      <c r="A2463" t="n">
        <v>128</v>
      </c>
      <c r="B2463" t="inlineStr">
        <is>
          <t>Love Cabaret</t>
        </is>
      </c>
      <c r="C2463" s="27" t="n">
        <v>45731</v>
      </c>
      <c r="D2463" t="n">
        <v>0</v>
      </c>
      <c r="E2463" t="inlineStr">
        <is>
          <t>RECARGAS DEVOLVIDAS</t>
        </is>
      </c>
    </row>
    <row r="2464">
      <c r="A2464" t="n">
        <v>128</v>
      </c>
      <c r="B2464" t="inlineStr">
        <is>
          <t>Love Cabaret</t>
        </is>
      </c>
      <c r="C2464" s="27" t="n">
        <v>45731</v>
      </c>
      <c r="D2464" t="n">
        <v>0</v>
      </c>
      <c r="E2464" t="inlineStr">
        <is>
          <t>BÔNUS</t>
        </is>
      </c>
    </row>
    <row r="2465">
      <c r="A2465" t="n">
        <v>128</v>
      </c>
      <c r="B2465" t="inlineStr">
        <is>
          <t>Love Cabaret</t>
        </is>
      </c>
      <c r="C2465" s="27" t="n">
        <v>45731</v>
      </c>
      <c r="D2465" t="n">
        <v>0</v>
      </c>
      <c r="E2465" t="inlineStr">
        <is>
          <t>ANTECIPADO</t>
        </is>
      </c>
    </row>
    <row r="2466">
      <c r="A2466" t="n">
        <v>128</v>
      </c>
      <c r="B2466" t="inlineStr">
        <is>
          <t>Love Cabaret</t>
        </is>
      </c>
      <c r="C2466" s="27" t="n">
        <v>45731</v>
      </c>
      <c r="D2466" t="n">
        <v>0</v>
      </c>
      <c r="E2466" t="inlineStr">
        <is>
          <t>OUTROS</t>
        </is>
      </c>
    </row>
    <row r="2467">
      <c r="A2467" t="n">
        <v>128</v>
      </c>
      <c r="B2467" t="inlineStr">
        <is>
          <t>Love Cabaret</t>
        </is>
      </c>
      <c r="C2467" s="27" t="n">
        <v>45731</v>
      </c>
      <c r="D2467" t="n">
        <v>0</v>
      </c>
      <c r="E2467" t="inlineStr">
        <is>
          <t>AME</t>
        </is>
      </c>
    </row>
    <row r="2468">
      <c r="A2468" t="n">
        <v>128</v>
      </c>
      <c r="B2468" t="inlineStr">
        <is>
          <t>Love Cabaret</t>
        </is>
      </c>
      <c r="C2468" s="27" t="n">
        <v>45731</v>
      </c>
      <c r="D2468" t="n">
        <v>0</v>
      </c>
      <c r="E2468" t="inlineStr">
        <is>
          <t>NOTAS MANUAIS + SERVIÇO</t>
        </is>
      </c>
    </row>
    <row r="2469">
      <c r="A2469" t="n">
        <v>128</v>
      </c>
      <c r="B2469" t="inlineStr">
        <is>
          <t>Love Cabaret</t>
        </is>
      </c>
      <c r="C2469" s="27" t="n">
        <v>45731</v>
      </c>
      <c r="D2469" t="n">
        <v>5920.07</v>
      </c>
      <c r="E2469" t="inlineStr">
        <is>
          <t>DÉBITO</t>
        </is>
      </c>
    </row>
    <row r="2470">
      <c r="A2470" t="n">
        <v>128</v>
      </c>
      <c r="B2470" t="inlineStr">
        <is>
          <t>Love Cabaret</t>
        </is>
      </c>
      <c r="C2470" s="27" t="n">
        <v>45731</v>
      </c>
      <c r="D2470" t="n">
        <v>0</v>
      </c>
      <c r="E2470" t="inlineStr">
        <is>
          <t>VOUCHER INTEGRADO</t>
        </is>
      </c>
    </row>
    <row r="2471">
      <c r="A2471" t="n">
        <v>128</v>
      </c>
      <c r="B2471" t="inlineStr">
        <is>
          <t>Love Cabaret</t>
        </is>
      </c>
      <c r="C2471" s="27" t="n">
        <v>45731</v>
      </c>
      <c r="D2471" t="n">
        <v>0</v>
      </c>
      <c r="E2471" t="inlineStr">
        <is>
          <t>MBWAY</t>
        </is>
      </c>
    </row>
    <row r="2472">
      <c r="A2472" t="n">
        <v>128</v>
      </c>
      <c r="B2472" t="inlineStr">
        <is>
          <t>Love Cabaret</t>
        </is>
      </c>
      <c r="C2472" s="27" t="n">
        <v>45730</v>
      </c>
      <c r="D2472" t="n">
        <v>0</v>
      </c>
      <c r="E2472" t="inlineStr">
        <is>
          <t>VOUCHER</t>
        </is>
      </c>
    </row>
    <row r="2473">
      <c r="A2473" t="n">
        <v>128</v>
      </c>
      <c r="B2473" t="inlineStr">
        <is>
          <t>Love Cabaret</t>
        </is>
      </c>
      <c r="C2473" s="27" t="n">
        <v>45730</v>
      </c>
      <c r="D2473" t="n">
        <v>8552.530000000001</v>
      </c>
      <c r="E2473" t="inlineStr">
        <is>
          <t>DÉBITO</t>
        </is>
      </c>
    </row>
    <row r="2474">
      <c r="A2474" t="n">
        <v>128</v>
      </c>
      <c r="B2474" t="inlineStr">
        <is>
          <t>Love Cabaret</t>
        </is>
      </c>
      <c r="C2474" s="27" t="n">
        <v>45730</v>
      </c>
      <c r="D2474" t="n">
        <v>0</v>
      </c>
      <c r="E2474" t="inlineStr">
        <is>
          <t>BÔNUS</t>
        </is>
      </c>
    </row>
    <row r="2475">
      <c r="A2475" t="n">
        <v>128</v>
      </c>
      <c r="B2475" t="inlineStr">
        <is>
          <t>Love Cabaret</t>
        </is>
      </c>
      <c r="C2475" s="27" t="n">
        <v>45730</v>
      </c>
      <c r="D2475" t="n">
        <v>0</v>
      </c>
      <c r="E2475" t="inlineStr">
        <is>
          <t>ANTECIPADO</t>
        </is>
      </c>
    </row>
    <row r="2476">
      <c r="A2476" t="n">
        <v>128</v>
      </c>
      <c r="B2476" t="inlineStr">
        <is>
          <t>Love Cabaret</t>
        </is>
      </c>
      <c r="C2476" s="27" t="n">
        <v>45730</v>
      </c>
      <c r="D2476" t="n">
        <v>0</v>
      </c>
      <c r="E2476" t="inlineStr">
        <is>
          <t>OUTROS</t>
        </is>
      </c>
    </row>
    <row r="2477">
      <c r="A2477" t="n">
        <v>128</v>
      </c>
      <c r="B2477" t="inlineStr">
        <is>
          <t>Love Cabaret</t>
        </is>
      </c>
      <c r="C2477" s="27" t="n">
        <v>45730</v>
      </c>
      <c r="D2477" t="n">
        <v>0</v>
      </c>
      <c r="E2477" t="inlineStr">
        <is>
          <t>AME</t>
        </is>
      </c>
    </row>
    <row r="2478">
      <c r="A2478" t="n">
        <v>128</v>
      </c>
      <c r="B2478" t="inlineStr">
        <is>
          <t>Love Cabaret</t>
        </is>
      </c>
      <c r="C2478" s="27" t="n">
        <v>45730</v>
      </c>
      <c r="D2478" t="n">
        <v>0</v>
      </c>
      <c r="E2478" t="inlineStr">
        <is>
          <t>NOTAS MANUAIS + SERVIÇO</t>
        </is>
      </c>
    </row>
    <row r="2479">
      <c r="A2479" t="n">
        <v>128</v>
      </c>
      <c r="B2479" t="inlineStr">
        <is>
          <t>Love Cabaret</t>
        </is>
      </c>
      <c r="C2479" s="27" t="n">
        <v>45730</v>
      </c>
      <c r="D2479" t="n">
        <v>0</v>
      </c>
      <c r="E2479" t="inlineStr">
        <is>
          <t>RECARGAS DEVOLVIDAS</t>
        </is>
      </c>
    </row>
    <row r="2480">
      <c r="A2480" t="n">
        <v>128</v>
      </c>
      <c r="B2480" t="inlineStr">
        <is>
          <t>Love Cabaret</t>
        </is>
      </c>
      <c r="C2480" s="27" t="n">
        <v>45730</v>
      </c>
      <c r="D2480" t="n">
        <v>0</v>
      </c>
      <c r="E2480" t="inlineStr">
        <is>
          <t>MBWAY</t>
        </is>
      </c>
    </row>
    <row r="2481">
      <c r="A2481" t="n">
        <v>128</v>
      </c>
      <c r="B2481" t="inlineStr">
        <is>
          <t>Love Cabaret</t>
        </is>
      </c>
      <c r="C2481" s="27" t="n">
        <v>45730</v>
      </c>
      <c r="D2481" t="n">
        <v>0</v>
      </c>
      <c r="E2481" t="inlineStr">
        <is>
          <t>VOUCHER INTEGRADO</t>
        </is>
      </c>
    </row>
    <row r="2482">
      <c r="A2482" t="n">
        <v>128</v>
      </c>
      <c r="B2482" t="inlineStr">
        <is>
          <t>Love Cabaret</t>
        </is>
      </c>
      <c r="C2482" s="27" t="n">
        <v>45730</v>
      </c>
      <c r="D2482" t="n">
        <v>0</v>
      </c>
      <c r="E2482" t="inlineStr">
        <is>
          <t>ANTECIPADO</t>
        </is>
      </c>
    </row>
    <row r="2483">
      <c r="A2483" t="n">
        <v>128</v>
      </c>
      <c r="B2483" t="inlineStr">
        <is>
          <t>Love Cabaret</t>
        </is>
      </c>
      <c r="C2483" s="27" t="n">
        <v>45730</v>
      </c>
      <c r="D2483" t="n">
        <v>0</v>
      </c>
      <c r="E2483" t="inlineStr">
        <is>
          <t>UBER</t>
        </is>
      </c>
    </row>
    <row r="2484">
      <c r="A2484" t="n">
        <v>128</v>
      </c>
      <c r="B2484" t="inlineStr">
        <is>
          <t>Love Cabaret</t>
        </is>
      </c>
      <c r="C2484" s="27" t="n">
        <v>45730</v>
      </c>
      <c r="D2484" t="n">
        <v>0</v>
      </c>
      <c r="E2484" t="inlineStr">
        <is>
          <t>DELIVERY ONLINE</t>
        </is>
      </c>
    </row>
    <row r="2485">
      <c r="A2485" t="n">
        <v>128</v>
      </c>
      <c r="B2485" t="inlineStr">
        <is>
          <t>Love Cabaret</t>
        </is>
      </c>
      <c r="C2485" s="27" t="n">
        <v>45730</v>
      </c>
      <c r="D2485" t="n">
        <v>0</v>
      </c>
      <c r="E2485" t="inlineStr">
        <is>
          <t>APP</t>
        </is>
      </c>
    </row>
    <row r="2486">
      <c r="A2486" t="n">
        <v>128</v>
      </c>
      <c r="B2486" t="inlineStr">
        <is>
          <t>Love Cabaret</t>
        </is>
      </c>
      <c r="C2486" s="27" t="n">
        <v>45730</v>
      </c>
      <c r="D2486" t="n">
        <v>921.5</v>
      </c>
      <c r="E2486" t="inlineStr">
        <is>
          <t>DINHEIRO</t>
        </is>
      </c>
    </row>
    <row r="2487">
      <c r="A2487" t="n">
        <v>128</v>
      </c>
      <c r="B2487" t="inlineStr">
        <is>
          <t>Love Cabaret</t>
        </is>
      </c>
      <c r="C2487" s="27" t="n">
        <v>45730</v>
      </c>
      <c r="D2487" t="n">
        <v>16093.68</v>
      </c>
      <c r="E2487" t="inlineStr">
        <is>
          <t>CRÉDITO</t>
        </is>
      </c>
    </row>
    <row r="2488">
      <c r="A2488" t="n">
        <v>128</v>
      </c>
      <c r="B2488" t="inlineStr">
        <is>
          <t>Love Cabaret</t>
        </is>
      </c>
      <c r="C2488" s="27" t="n">
        <v>45730</v>
      </c>
      <c r="D2488" t="n">
        <v>0</v>
      </c>
      <c r="E2488" t="inlineStr">
        <is>
          <t>IFOOD</t>
        </is>
      </c>
    </row>
    <row r="2489">
      <c r="A2489" t="n">
        <v>128</v>
      </c>
      <c r="B2489" t="inlineStr">
        <is>
          <t>Love Cabaret</t>
        </is>
      </c>
      <c r="C2489" s="27" t="n">
        <v>45730</v>
      </c>
      <c r="D2489" t="n">
        <v>1793.31</v>
      </c>
      <c r="E2489" t="inlineStr">
        <is>
          <t>PIX</t>
        </is>
      </c>
    </row>
    <row r="2490">
      <c r="A2490" t="n">
        <v>128</v>
      </c>
      <c r="B2490" t="inlineStr">
        <is>
          <t>Love Cabaret</t>
        </is>
      </c>
      <c r="C2490" s="27" t="n">
        <v>45730</v>
      </c>
      <c r="D2490" t="n">
        <v>0</v>
      </c>
      <c r="E2490" t="inlineStr">
        <is>
          <t>RAPPI</t>
        </is>
      </c>
    </row>
    <row r="2491">
      <c r="A2491" t="n">
        <v>128</v>
      </c>
      <c r="B2491" t="inlineStr">
        <is>
          <t>Love Cabaret</t>
        </is>
      </c>
      <c r="C2491" s="27" t="n">
        <v>45729</v>
      </c>
      <c r="D2491" t="n">
        <v>0</v>
      </c>
      <c r="E2491" t="inlineStr">
        <is>
          <t>NOTAS MANUAIS + SERVIÇO</t>
        </is>
      </c>
    </row>
    <row r="2492">
      <c r="A2492" t="n">
        <v>128</v>
      </c>
      <c r="B2492" t="inlineStr">
        <is>
          <t>Love Cabaret</t>
        </is>
      </c>
      <c r="C2492" s="27" t="n">
        <v>45729</v>
      </c>
      <c r="D2492" t="n">
        <v>0</v>
      </c>
      <c r="E2492" t="inlineStr">
        <is>
          <t>OUTROS</t>
        </is>
      </c>
    </row>
    <row r="2493">
      <c r="A2493" t="n">
        <v>128</v>
      </c>
      <c r="B2493" t="inlineStr">
        <is>
          <t>Love Cabaret</t>
        </is>
      </c>
      <c r="C2493" s="27" t="n">
        <v>45729</v>
      </c>
      <c r="D2493" t="n">
        <v>0</v>
      </c>
      <c r="E2493" t="inlineStr">
        <is>
          <t>AME</t>
        </is>
      </c>
    </row>
    <row r="2494">
      <c r="A2494" t="n">
        <v>128</v>
      </c>
      <c r="B2494" t="inlineStr">
        <is>
          <t>Love Cabaret</t>
        </is>
      </c>
      <c r="C2494" s="27" t="n">
        <v>45729</v>
      </c>
      <c r="D2494" t="n">
        <v>1.47</v>
      </c>
      <c r="E2494" t="inlineStr">
        <is>
          <t>DINHEIRO</t>
        </is>
      </c>
    </row>
    <row r="2495">
      <c r="A2495" t="n">
        <v>128</v>
      </c>
      <c r="B2495" t="inlineStr">
        <is>
          <t>Love Cabaret</t>
        </is>
      </c>
      <c r="C2495" s="27" t="n">
        <v>45729</v>
      </c>
      <c r="D2495" t="n">
        <v>0</v>
      </c>
      <c r="E2495" t="inlineStr">
        <is>
          <t>RECARGAS DEVOLVIDAS</t>
        </is>
      </c>
    </row>
    <row r="2496">
      <c r="A2496" t="n">
        <v>128</v>
      </c>
      <c r="B2496" t="inlineStr">
        <is>
          <t>Love Cabaret</t>
        </is>
      </c>
      <c r="C2496" s="27" t="n">
        <v>45729</v>
      </c>
      <c r="D2496" t="n">
        <v>0</v>
      </c>
      <c r="E2496" t="inlineStr">
        <is>
          <t>VOUCHER INTEGRADO</t>
        </is>
      </c>
    </row>
    <row r="2497">
      <c r="A2497" t="n">
        <v>128</v>
      </c>
      <c r="B2497" t="inlineStr">
        <is>
          <t>Love Cabaret</t>
        </is>
      </c>
      <c r="C2497" s="27" t="n">
        <v>45729</v>
      </c>
      <c r="D2497" t="n">
        <v>0</v>
      </c>
      <c r="E2497" t="inlineStr">
        <is>
          <t>MBWAY</t>
        </is>
      </c>
    </row>
    <row r="2498">
      <c r="A2498" t="n">
        <v>128</v>
      </c>
      <c r="B2498" t="inlineStr">
        <is>
          <t>Love Cabaret</t>
        </is>
      </c>
      <c r="C2498" s="27" t="n">
        <v>45729</v>
      </c>
      <c r="D2498" t="n">
        <v>0</v>
      </c>
      <c r="E2498" t="inlineStr">
        <is>
          <t>BÔNUS</t>
        </is>
      </c>
    </row>
    <row r="2499">
      <c r="A2499" t="n">
        <v>128</v>
      </c>
      <c r="B2499" t="inlineStr">
        <is>
          <t>Love Cabaret</t>
        </is>
      </c>
      <c r="C2499" s="27" t="n">
        <v>45729</v>
      </c>
      <c r="D2499" t="n">
        <v>11254.88</v>
      </c>
      <c r="E2499" t="inlineStr">
        <is>
          <t>CRÉDITO</t>
        </is>
      </c>
    </row>
    <row r="2500">
      <c r="A2500" t="n">
        <v>128</v>
      </c>
      <c r="B2500" t="inlineStr">
        <is>
          <t>Love Cabaret</t>
        </is>
      </c>
      <c r="C2500" s="27" t="n">
        <v>45729</v>
      </c>
      <c r="D2500" t="n">
        <v>0</v>
      </c>
      <c r="E2500" t="inlineStr">
        <is>
          <t>APP</t>
        </is>
      </c>
    </row>
    <row r="2501">
      <c r="A2501" t="n">
        <v>128</v>
      </c>
      <c r="B2501" t="inlineStr">
        <is>
          <t>Love Cabaret</t>
        </is>
      </c>
      <c r="C2501" s="27" t="n">
        <v>45729</v>
      </c>
      <c r="D2501" t="n">
        <v>0</v>
      </c>
      <c r="E2501" t="inlineStr">
        <is>
          <t>DELIVERY ONLINE</t>
        </is>
      </c>
    </row>
    <row r="2502">
      <c r="A2502" t="n">
        <v>128</v>
      </c>
      <c r="B2502" t="inlineStr">
        <is>
          <t>Love Cabaret</t>
        </is>
      </c>
      <c r="C2502" s="27" t="n">
        <v>45729</v>
      </c>
      <c r="D2502" t="n">
        <v>0</v>
      </c>
      <c r="E2502" t="inlineStr">
        <is>
          <t>IFOOD</t>
        </is>
      </c>
    </row>
    <row r="2503">
      <c r="A2503" t="n">
        <v>128</v>
      </c>
      <c r="B2503" t="inlineStr">
        <is>
          <t>Love Cabaret</t>
        </is>
      </c>
      <c r="C2503" s="27" t="n">
        <v>45729</v>
      </c>
      <c r="D2503" t="n">
        <v>430.53</v>
      </c>
      <c r="E2503" t="inlineStr">
        <is>
          <t>PIX</t>
        </is>
      </c>
    </row>
    <row r="2504">
      <c r="A2504" t="n">
        <v>128</v>
      </c>
      <c r="B2504" t="inlineStr">
        <is>
          <t>Love Cabaret</t>
        </is>
      </c>
      <c r="C2504" s="27" t="n">
        <v>45729</v>
      </c>
      <c r="D2504" t="n">
        <v>0</v>
      </c>
      <c r="E2504" t="inlineStr">
        <is>
          <t>RAPPI</t>
        </is>
      </c>
    </row>
    <row r="2505">
      <c r="A2505" t="n">
        <v>128</v>
      </c>
      <c r="B2505" t="inlineStr">
        <is>
          <t>Love Cabaret</t>
        </is>
      </c>
      <c r="C2505" s="27" t="n">
        <v>45729</v>
      </c>
      <c r="D2505" t="n">
        <v>0</v>
      </c>
      <c r="E2505" t="inlineStr">
        <is>
          <t>UBER</t>
        </is>
      </c>
    </row>
    <row r="2506">
      <c r="A2506" t="n">
        <v>128</v>
      </c>
      <c r="B2506" t="inlineStr">
        <is>
          <t>Love Cabaret</t>
        </is>
      </c>
      <c r="C2506" s="27" t="n">
        <v>45729</v>
      </c>
      <c r="D2506" t="n">
        <v>0</v>
      </c>
      <c r="E2506" t="inlineStr">
        <is>
          <t>ANTECIPADO</t>
        </is>
      </c>
    </row>
    <row r="2507">
      <c r="A2507" t="n">
        <v>128</v>
      </c>
      <c r="B2507" t="inlineStr">
        <is>
          <t>Love Cabaret</t>
        </is>
      </c>
      <c r="C2507" s="27" t="n">
        <v>45729</v>
      </c>
      <c r="D2507" t="n">
        <v>0</v>
      </c>
      <c r="E2507" t="inlineStr">
        <is>
          <t>VOUCHER</t>
        </is>
      </c>
    </row>
    <row r="2508">
      <c r="A2508" t="n">
        <v>128</v>
      </c>
      <c r="B2508" t="inlineStr">
        <is>
          <t>Love Cabaret</t>
        </is>
      </c>
      <c r="C2508" s="27" t="n">
        <v>45729</v>
      </c>
      <c r="D2508" t="n">
        <v>6272.59</v>
      </c>
      <c r="E2508" t="inlineStr">
        <is>
          <t>DÉBITO</t>
        </is>
      </c>
    </row>
    <row r="2509">
      <c r="A2509" t="n">
        <v>128</v>
      </c>
      <c r="B2509" t="inlineStr">
        <is>
          <t>Love Cabaret</t>
        </is>
      </c>
      <c r="C2509" s="27" t="n">
        <v>45729</v>
      </c>
      <c r="D2509" t="n">
        <v>0</v>
      </c>
      <c r="E2509" t="inlineStr">
        <is>
          <t>ANTECIPADO</t>
        </is>
      </c>
    </row>
    <row r="2510">
      <c r="A2510" t="n">
        <v>128</v>
      </c>
      <c r="B2510" t="inlineStr">
        <is>
          <t>Love Cabaret</t>
        </is>
      </c>
      <c r="C2510" s="27" t="n">
        <v>45720</v>
      </c>
      <c r="D2510" t="n">
        <v>5319.76</v>
      </c>
      <c r="E2510" t="inlineStr">
        <is>
          <t>DÉBITO</t>
        </is>
      </c>
    </row>
    <row r="2511">
      <c r="A2511" t="n">
        <v>128</v>
      </c>
      <c r="B2511" t="inlineStr">
        <is>
          <t>Love Cabaret</t>
        </is>
      </c>
      <c r="C2511" s="27" t="n">
        <v>45720</v>
      </c>
      <c r="D2511" t="n">
        <v>0</v>
      </c>
      <c r="E2511" t="inlineStr">
        <is>
          <t>VOUCHER</t>
        </is>
      </c>
    </row>
    <row r="2512">
      <c r="A2512" t="n">
        <v>128</v>
      </c>
      <c r="B2512" t="inlineStr">
        <is>
          <t>Love Cabaret</t>
        </is>
      </c>
      <c r="C2512" s="27" t="n">
        <v>45720</v>
      </c>
      <c r="D2512" t="n">
        <v>0</v>
      </c>
      <c r="E2512" t="inlineStr">
        <is>
          <t>ANTECIPADO</t>
        </is>
      </c>
    </row>
    <row r="2513">
      <c r="A2513" t="n">
        <v>128</v>
      </c>
      <c r="B2513" t="inlineStr">
        <is>
          <t>Love Cabaret</t>
        </is>
      </c>
      <c r="C2513" s="27" t="n">
        <v>45720</v>
      </c>
      <c r="D2513" t="n">
        <v>0</v>
      </c>
      <c r="E2513" t="inlineStr">
        <is>
          <t>UBER</t>
        </is>
      </c>
    </row>
    <row r="2514">
      <c r="A2514" t="n">
        <v>128</v>
      </c>
      <c r="B2514" t="inlineStr">
        <is>
          <t>Love Cabaret</t>
        </is>
      </c>
      <c r="C2514" s="27" t="n">
        <v>45720</v>
      </c>
      <c r="D2514" t="n">
        <v>0</v>
      </c>
      <c r="E2514" t="inlineStr">
        <is>
          <t>RAPPI</t>
        </is>
      </c>
    </row>
    <row r="2515">
      <c r="A2515" t="n">
        <v>128</v>
      </c>
      <c r="B2515" t="inlineStr">
        <is>
          <t>Love Cabaret</t>
        </is>
      </c>
      <c r="C2515" s="27" t="n">
        <v>45720</v>
      </c>
      <c r="D2515" t="n">
        <v>942.42</v>
      </c>
      <c r="E2515" t="inlineStr">
        <is>
          <t>PIX</t>
        </is>
      </c>
    </row>
    <row r="2516">
      <c r="A2516" t="n">
        <v>128</v>
      </c>
      <c r="B2516" t="inlineStr">
        <is>
          <t>Love Cabaret</t>
        </is>
      </c>
      <c r="C2516" s="27" t="n">
        <v>45720</v>
      </c>
      <c r="D2516" t="n">
        <v>0</v>
      </c>
      <c r="E2516" t="inlineStr">
        <is>
          <t>IFOOD</t>
        </is>
      </c>
    </row>
    <row r="2517">
      <c r="A2517" t="n">
        <v>128</v>
      </c>
      <c r="B2517" t="inlineStr">
        <is>
          <t>Love Cabaret</t>
        </is>
      </c>
      <c r="C2517" s="27" t="n">
        <v>45720</v>
      </c>
      <c r="D2517" t="n">
        <v>0</v>
      </c>
      <c r="E2517" t="inlineStr">
        <is>
          <t>DELIVERY ONLINE</t>
        </is>
      </c>
    </row>
    <row r="2518">
      <c r="A2518" t="n">
        <v>128</v>
      </c>
      <c r="B2518" t="inlineStr">
        <is>
          <t>Love Cabaret</t>
        </is>
      </c>
      <c r="C2518" s="27" t="n">
        <v>45720</v>
      </c>
      <c r="D2518" t="n">
        <v>0</v>
      </c>
      <c r="E2518" t="inlineStr">
        <is>
          <t>APP</t>
        </is>
      </c>
    </row>
    <row r="2519">
      <c r="A2519" t="n">
        <v>128</v>
      </c>
      <c r="B2519" t="inlineStr">
        <is>
          <t>Love Cabaret</t>
        </is>
      </c>
      <c r="C2519" s="27" t="n">
        <v>45720</v>
      </c>
      <c r="D2519" t="n">
        <v>488.13</v>
      </c>
      <c r="E2519" t="inlineStr">
        <is>
          <t>DINHEIRO</t>
        </is>
      </c>
    </row>
    <row r="2520">
      <c r="A2520" t="n">
        <v>128</v>
      </c>
      <c r="B2520" t="inlineStr">
        <is>
          <t>Love Cabaret</t>
        </is>
      </c>
      <c r="C2520" s="27" t="n">
        <v>45720</v>
      </c>
      <c r="D2520" t="n">
        <v>15512.15</v>
      </c>
      <c r="E2520" t="inlineStr">
        <is>
          <t>CRÉDITO</t>
        </is>
      </c>
    </row>
    <row r="2521">
      <c r="A2521" t="n">
        <v>128</v>
      </c>
      <c r="B2521" t="inlineStr">
        <is>
          <t>Love Cabaret</t>
        </is>
      </c>
      <c r="C2521" s="27" t="n">
        <v>45720</v>
      </c>
      <c r="D2521" t="n">
        <v>0</v>
      </c>
      <c r="E2521" t="inlineStr">
        <is>
          <t>VOUCHER INTEGRADO</t>
        </is>
      </c>
    </row>
    <row r="2522">
      <c r="A2522" t="n">
        <v>128</v>
      </c>
      <c r="B2522" t="inlineStr">
        <is>
          <t>Love Cabaret</t>
        </is>
      </c>
      <c r="C2522" s="27" t="n">
        <v>45720</v>
      </c>
      <c r="D2522" t="n">
        <v>0</v>
      </c>
      <c r="E2522" t="inlineStr">
        <is>
          <t>BÔNUS</t>
        </is>
      </c>
    </row>
    <row r="2523">
      <c r="A2523" t="n">
        <v>128</v>
      </c>
      <c r="B2523" t="inlineStr">
        <is>
          <t>Love Cabaret</t>
        </is>
      </c>
      <c r="C2523" s="27" t="n">
        <v>45720</v>
      </c>
      <c r="D2523" t="n">
        <v>0</v>
      </c>
      <c r="E2523" t="inlineStr">
        <is>
          <t>ANTECIPADO</t>
        </is>
      </c>
    </row>
    <row r="2524">
      <c r="A2524" t="n">
        <v>128</v>
      </c>
      <c r="B2524" t="inlineStr">
        <is>
          <t>Love Cabaret</t>
        </is>
      </c>
      <c r="C2524" s="27" t="n">
        <v>45720</v>
      </c>
      <c r="D2524" t="n">
        <v>0</v>
      </c>
      <c r="E2524" t="inlineStr">
        <is>
          <t>OUTROS</t>
        </is>
      </c>
    </row>
    <row r="2525">
      <c r="A2525" t="n">
        <v>128</v>
      </c>
      <c r="B2525" t="inlineStr">
        <is>
          <t>Love Cabaret</t>
        </is>
      </c>
      <c r="C2525" s="27" t="n">
        <v>45720</v>
      </c>
      <c r="D2525" t="n">
        <v>0</v>
      </c>
      <c r="E2525" t="inlineStr">
        <is>
          <t>AME</t>
        </is>
      </c>
    </row>
    <row r="2526">
      <c r="A2526" t="n">
        <v>128</v>
      </c>
      <c r="B2526" t="inlineStr">
        <is>
          <t>Love Cabaret</t>
        </is>
      </c>
      <c r="C2526" s="27" t="n">
        <v>45720</v>
      </c>
      <c r="D2526" t="n">
        <v>0</v>
      </c>
      <c r="E2526" t="inlineStr">
        <is>
          <t>NOTAS MANUAIS + SERVIÇO</t>
        </is>
      </c>
    </row>
    <row r="2527">
      <c r="A2527" t="n">
        <v>128</v>
      </c>
      <c r="B2527" t="inlineStr">
        <is>
          <t>Love Cabaret</t>
        </is>
      </c>
      <c r="C2527" s="27" t="n">
        <v>45720</v>
      </c>
      <c r="D2527" t="n">
        <v>0</v>
      </c>
      <c r="E2527" t="inlineStr">
        <is>
          <t>RECARGAS DEVOLVIDAS</t>
        </is>
      </c>
    </row>
    <row r="2528">
      <c r="A2528" t="n">
        <v>128</v>
      </c>
      <c r="B2528" t="inlineStr">
        <is>
          <t>Love Cabaret</t>
        </is>
      </c>
      <c r="C2528" s="27" t="n">
        <v>45720</v>
      </c>
      <c r="D2528" t="n">
        <v>0</v>
      </c>
      <c r="E2528" t="inlineStr">
        <is>
          <t>MBWAY</t>
        </is>
      </c>
    </row>
    <row r="2529">
      <c r="A2529" t="n">
        <v>128</v>
      </c>
      <c r="B2529" t="inlineStr">
        <is>
          <t>Love Cabaret</t>
        </is>
      </c>
      <c r="C2529" s="27" t="n">
        <v>45716</v>
      </c>
      <c r="D2529" t="n">
        <v>0</v>
      </c>
      <c r="E2529" t="inlineStr">
        <is>
          <t>BÔNUS</t>
        </is>
      </c>
    </row>
    <row r="2530">
      <c r="A2530" t="n">
        <v>128</v>
      </c>
      <c r="B2530" t="inlineStr">
        <is>
          <t>Love Cabaret</t>
        </is>
      </c>
      <c r="C2530" s="27" t="n">
        <v>45716</v>
      </c>
      <c r="D2530" t="n">
        <v>0</v>
      </c>
      <c r="E2530" t="inlineStr">
        <is>
          <t>RECARGAS DEVOLVIDAS</t>
        </is>
      </c>
    </row>
    <row r="2531">
      <c r="A2531" t="n">
        <v>128</v>
      </c>
      <c r="B2531" t="inlineStr">
        <is>
          <t>Love Cabaret</t>
        </is>
      </c>
      <c r="C2531" s="27" t="n">
        <v>45716</v>
      </c>
      <c r="D2531" t="n">
        <v>0</v>
      </c>
      <c r="E2531" t="inlineStr">
        <is>
          <t>VOUCHER INTEGRADO</t>
        </is>
      </c>
    </row>
    <row r="2532">
      <c r="A2532" t="n">
        <v>128</v>
      </c>
      <c r="B2532" t="inlineStr">
        <is>
          <t>Love Cabaret</t>
        </is>
      </c>
      <c r="C2532" s="27" t="n">
        <v>45716</v>
      </c>
      <c r="D2532" t="n">
        <v>0</v>
      </c>
      <c r="E2532" t="inlineStr">
        <is>
          <t>MBWAY</t>
        </is>
      </c>
    </row>
    <row r="2533">
      <c r="A2533" t="n">
        <v>128</v>
      </c>
      <c r="B2533" t="inlineStr">
        <is>
          <t>Love Cabaret</t>
        </is>
      </c>
      <c r="C2533" s="27" t="n">
        <v>45716</v>
      </c>
      <c r="D2533" t="n">
        <v>0</v>
      </c>
      <c r="E2533" t="inlineStr">
        <is>
          <t>NOTAS MANUAIS + SERVIÇO</t>
        </is>
      </c>
    </row>
    <row r="2534">
      <c r="A2534" t="n">
        <v>128</v>
      </c>
      <c r="B2534" t="inlineStr">
        <is>
          <t>Love Cabaret</t>
        </is>
      </c>
      <c r="C2534" s="27" t="n">
        <v>45716</v>
      </c>
      <c r="D2534" t="n">
        <v>0</v>
      </c>
      <c r="E2534" t="inlineStr">
        <is>
          <t>ANTECIPADO</t>
        </is>
      </c>
    </row>
    <row r="2535">
      <c r="A2535" t="n">
        <v>128</v>
      </c>
      <c r="B2535" t="inlineStr">
        <is>
          <t>Love Cabaret</t>
        </is>
      </c>
      <c r="C2535" s="27" t="n">
        <v>45716</v>
      </c>
      <c r="D2535" t="n">
        <v>0</v>
      </c>
      <c r="E2535" t="inlineStr">
        <is>
          <t>AME</t>
        </is>
      </c>
    </row>
    <row r="2536">
      <c r="A2536" t="n">
        <v>128</v>
      </c>
      <c r="B2536" t="inlineStr">
        <is>
          <t>Love Cabaret</t>
        </is>
      </c>
      <c r="C2536" s="27" t="n">
        <v>45716</v>
      </c>
      <c r="D2536" t="n">
        <v>0</v>
      </c>
      <c r="E2536" t="inlineStr">
        <is>
          <t>OUTROS</t>
        </is>
      </c>
    </row>
    <row r="2537">
      <c r="A2537" t="n">
        <v>128</v>
      </c>
      <c r="B2537" t="inlineStr">
        <is>
          <t>Love Cabaret</t>
        </is>
      </c>
      <c r="C2537" s="27" t="n">
        <v>45716</v>
      </c>
      <c r="D2537" t="n">
        <v>9869.82</v>
      </c>
      <c r="E2537" t="inlineStr">
        <is>
          <t>CRÉDITO</t>
        </is>
      </c>
    </row>
    <row r="2538">
      <c r="A2538" t="n">
        <v>128</v>
      </c>
      <c r="B2538" t="inlineStr">
        <is>
          <t>Love Cabaret</t>
        </is>
      </c>
      <c r="C2538" s="27" t="n">
        <v>45716</v>
      </c>
      <c r="D2538" t="n">
        <v>253.12</v>
      </c>
      <c r="E2538" t="inlineStr">
        <is>
          <t>DINHEIRO</t>
        </is>
      </c>
    </row>
    <row r="2539">
      <c r="A2539" t="n">
        <v>128</v>
      </c>
      <c r="B2539" t="inlineStr">
        <is>
          <t>Love Cabaret</t>
        </is>
      </c>
      <c r="C2539" s="27" t="n">
        <v>45716</v>
      </c>
      <c r="D2539" t="n">
        <v>0</v>
      </c>
      <c r="E2539" t="inlineStr">
        <is>
          <t>APP</t>
        </is>
      </c>
    </row>
    <row r="2540">
      <c r="A2540" t="n">
        <v>128</v>
      </c>
      <c r="B2540" t="inlineStr">
        <is>
          <t>Love Cabaret</t>
        </is>
      </c>
      <c r="C2540" s="27" t="n">
        <v>45716</v>
      </c>
      <c r="D2540" t="n">
        <v>0</v>
      </c>
      <c r="E2540" t="inlineStr">
        <is>
          <t>DELIVERY ONLINE</t>
        </is>
      </c>
    </row>
    <row r="2541">
      <c r="A2541" t="n">
        <v>128</v>
      </c>
      <c r="B2541" t="inlineStr">
        <is>
          <t>Love Cabaret</t>
        </is>
      </c>
      <c r="C2541" s="27" t="n">
        <v>45716</v>
      </c>
      <c r="D2541" t="n">
        <v>0</v>
      </c>
      <c r="E2541" t="inlineStr">
        <is>
          <t>IFOOD</t>
        </is>
      </c>
    </row>
    <row r="2542">
      <c r="A2542" t="n">
        <v>128</v>
      </c>
      <c r="B2542" t="inlineStr">
        <is>
          <t>Love Cabaret</t>
        </is>
      </c>
      <c r="C2542" s="27" t="n">
        <v>45716</v>
      </c>
      <c r="D2542" t="n">
        <v>0</v>
      </c>
      <c r="E2542" t="inlineStr">
        <is>
          <t>RAPPI</t>
        </is>
      </c>
    </row>
    <row r="2543">
      <c r="A2543" t="n">
        <v>128</v>
      </c>
      <c r="B2543" t="inlineStr">
        <is>
          <t>Love Cabaret</t>
        </is>
      </c>
      <c r="C2543" s="27" t="n">
        <v>45716</v>
      </c>
      <c r="D2543" t="n">
        <v>0</v>
      </c>
      <c r="E2543" t="inlineStr">
        <is>
          <t>UBER</t>
        </is>
      </c>
    </row>
    <row r="2544">
      <c r="A2544" t="n">
        <v>128</v>
      </c>
      <c r="B2544" t="inlineStr">
        <is>
          <t>Love Cabaret</t>
        </is>
      </c>
      <c r="C2544" s="27" t="n">
        <v>45716</v>
      </c>
      <c r="D2544" t="n">
        <v>0</v>
      </c>
      <c r="E2544" t="inlineStr">
        <is>
          <t>ANTECIPADO</t>
        </is>
      </c>
    </row>
    <row r="2545">
      <c r="A2545" t="n">
        <v>128</v>
      </c>
      <c r="B2545" t="inlineStr">
        <is>
          <t>Love Cabaret</t>
        </is>
      </c>
      <c r="C2545" s="27" t="n">
        <v>45716</v>
      </c>
      <c r="D2545" t="n">
        <v>0</v>
      </c>
      <c r="E2545" t="inlineStr">
        <is>
          <t>VOUCHER</t>
        </is>
      </c>
    </row>
    <row r="2546">
      <c r="A2546" t="n">
        <v>128</v>
      </c>
      <c r="B2546" t="inlineStr">
        <is>
          <t>Love Cabaret</t>
        </is>
      </c>
      <c r="C2546" s="27" t="n">
        <v>45716</v>
      </c>
      <c r="D2546" t="n">
        <v>3485.01</v>
      </c>
      <c r="E2546" t="inlineStr">
        <is>
          <t>DÉBITO</t>
        </is>
      </c>
    </row>
    <row r="2547">
      <c r="A2547" t="n">
        <v>128</v>
      </c>
      <c r="B2547" t="inlineStr">
        <is>
          <t>Love Cabaret</t>
        </is>
      </c>
      <c r="C2547" s="27" t="n">
        <v>45716</v>
      </c>
      <c r="D2547" t="n">
        <v>1467.22</v>
      </c>
      <c r="E2547" t="inlineStr">
        <is>
          <t>PIX</t>
        </is>
      </c>
    </row>
    <row r="2548">
      <c r="A2548" t="n">
        <v>128</v>
      </c>
      <c r="B2548" t="inlineStr">
        <is>
          <t>Love Cabaret</t>
        </is>
      </c>
      <c r="C2548" s="27" t="n">
        <v>45715</v>
      </c>
      <c r="D2548" t="n">
        <v>0</v>
      </c>
      <c r="E2548" t="inlineStr">
        <is>
          <t>ANTECIPADO</t>
        </is>
      </c>
    </row>
    <row r="2549">
      <c r="A2549" t="n">
        <v>128</v>
      </c>
      <c r="B2549" t="inlineStr">
        <is>
          <t>Love Cabaret</t>
        </is>
      </c>
      <c r="C2549" s="27" t="n">
        <v>45715</v>
      </c>
      <c r="D2549" t="n">
        <v>0</v>
      </c>
      <c r="E2549" t="inlineStr">
        <is>
          <t>VOUCHER</t>
        </is>
      </c>
    </row>
    <row r="2550">
      <c r="A2550" t="n">
        <v>128</v>
      </c>
      <c r="B2550" t="inlineStr">
        <is>
          <t>Love Cabaret</t>
        </is>
      </c>
      <c r="C2550" s="27" t="n">
        <v>45715</v>
      </c>
      <c r="D2550" t="n">
        <v>2568.49</v>
      </c>
      <c r="E2550" t="inlineStr">
        <is>
          <t>DÉBITO</t>
        </is>
      </c>
    </row>
    <row r="2551">
      <c r="A2551" t="n">
        <v>128</v>
      </c>
      <c r="B2551" t="inlineStr">
        <is>
          <t>Love Cabaret</t>
        </is>
      </c>
      <c r="C2551" s="27" t="n">
        <v>45715</v>
      </c>
      <c r="D2551" t="n">
        <v>0</v>
      </c>
      <c r="E2551" t="inlineStr">
        <is>
          <t>BÔNUS</t>
        </is>
      </c>
    </row>
    <row r="2552">
      <c r="A2552" t="n">
        <v>128</v>
      </c>
      <c r="B2552" t="inlineStr">
        <is>
          <t>Love Cabaret</t>
        </is>
      </c>
      <c r="C2552" s="27" t="n">
        <v>45715</v>
      </c>
      <c r="D2552" t="n">
        <v>0</v>
      </c>
      <c r="E2552" t="inlineStr">
        <is>
          <t>ANTECIPADO</t>
        </is>
      </c>
    </row>
    <row r="2553">
      <c r="A2553" t="n">
        <v>128</v>
      </c>
      <c r="B2553" t="inlineStr">
        <is>
          <t>Love Cabaret</t>
        </is>
      </c>
      <c r="C2553" s="27" t="n">
        <v>45715</v>
      </c>
      <c r="D2553" t="n">
        <v>0</v>
      </c>
      <c r="E2553" t="inlineStr">
        <is>
          <t>OUTROS</t>
        </is>
      </c>
    </row>
    <row r="2554">
      <c r="A2554" t="n">
        <v>128</v>
      </c>
      <c r="B2554" t="inlineStr">
        <is>
          <t>Love Cabaret</t>
        </is>
      </c>
      <c r="C2554" s="27" t="n">
        <v>45715</v>
      </c>
      <c r="D2554" t="n">
        <v>0</v>
      </c>
      <c r="E2554" t="inlineStr">
        <is>
          <t>AME</t>
        </is>
      </c>
    </row>
    <row r="2555">
      <c r="A2555" t="n">
        <v>128</v>
      </c>
      <c r="B2555" t="inlineStr">
        <is>
          <t>Love Cabaret</t>
        </is>
      </c>
      <c r="C2555" s="27" t="n">
        <v>45715</v>
      </c>
      <c r="D2555" t="n">
        <v>0</v>
      </c>
      <c r="E2555" t="inlineStr">
        <is>
          <t>NOTAS MANUAIS + SERVIÇO</t>
        </is>
      </c>
    </row>
    <row r="2556">
      <c r="A2556" t="n">
        <v>128</v>
      </c>
      <c r="B2556" t="inlineStr">
        <is>
          <t>Love Cabaret</t>
        </is>
      </c>
      <c r="C2556" s="27" t="n">
        <v>45715</v>
      </c>
      <c r="D2556" t="n">
        <v>0</v>
      </c>
      <c r="E2556" t="inlineStr">
        <is>
          <t>RECARGAS DEVOLVIDAS</t>
        </is>
      </c>
    </row>
    <row r="2557">
      <c r="A2557" t="n">
        <v>128</v>
      </c>
      <c r="B2557" t="inlineStr">
        <is>
          <t>Love Cabaret</t>
        </is>
      </c>
      <c r="C2557" s="27" t="n">
        <v>45715</v>
      </c>
      <c r="D2557" t="n">
        <v>0</v>
      </c>
      <c r="E2557" t="inlineStr">
        <is>
          <t>VOUCHER INTEGRADO</t>
        </is>
      </c>
    </row>
    <row r="2558">
      <c r="A2558" t="n">
        <v>128</v>
      </c>
      <c r="B2558" t="inlineStr">
        <is>
          <t>Love Cabaret</t>
        </is>
      </c>
      <c r="C2558" s="27" t="n">
        <v>45715</v>
      </c>
      <c r="D2558" t="n">
        <v>0</v>
      </c>
      <c r="E2558" t="inlineStr">
        <is>
          <t>MBWAY</t>
        </is>
      </c>
    </row>
    <row r="2559">
      <c r="A2559" t="n">
        <v>128</v>
      </c>
      <c r="B2559" t="inlineStr">
        <is>
          <t>Love Cabaret</t>
        </is>
      </c>
      <c r="C2559" s="27" t="n">
        <v>45715</v>
      </c>
      <c r="D2559" t="n">
        <v>0</v>
      </c>
      <c r="E2559" t="inlineStr">
        <is>
          <t>UBER</t>
        </is>
      </c>
    </row>
    <row r="2560">
      <c r="A2560" t="n">
        <v>128</v>
      </c>
      <c r="B2560" t="inlineStr">
        <is>
          <t>Love Cabaret</t>
        </is>
      </c>
      <c r="C2560" s="27" t="n">
        <v>45715</v>
      </c>
      <c r="D2560" t="n">
        <v>0</v>
      </c>
      <c r="E2560" t="inlineStr">
        <is>
          <t>RAPPI</t>
        </is>
      </c>
    </row>
    <row r="2561">
      <c r="A2561" t="n">
        <v>128</v>
      </c>
      <c r="B2561" t="inlineStr">
        <is>
          <t>Love Cabaret</t>
        </is>
      </c>
      <c r="C2561" s="27" t="n">
        <v>45715</v>
      </c>
      <c r="D2561" t="n">
        <v>150.38</v>
      </c>
      <c r="E2561" t="inlineStr">
        <is>
          <t>PIX</t>
        </is>
      </c>
    </row>
    <row r="2562">
      <c r="A2562" t="n">
        <v>128</v>
      </c>
      <c r="B2562" t="inlineStr">
        <is>
          <t>Love Cabaret</t>
        </is>
      </c>
      <c r="C2562" s="27" t="n">
        <v>45715</v>
      </c>
      <c r="D2562" t="n">
        <v>0</v>
      </c>
      <c r="E2562" t="inlineStr">
        <is>
          <t>IFOOD</t>
        </is>
      </c>
    </row>
    <row r="2563">
      <c r="A2563" t="n">
        <v>128</v>
      </c>
      <c r="B2563" t="inlineStr">
        <is>
          <t>Love Cabaret</t>
        </is>
      </c>
      <c r="C2563" s="27" t="n">
        <v>45715</v>
      </c>
      <c r="D2563" t="n">
        <v>0</v>
      </c>
      <c r="E2563" t="inlineStr">
        <is>
          <t>DELIVERY ONLINE</t>
        </is>
      </c>
    </row>
    <row r="2564">
      <c r="A2564" t="n">
        <v>128</v>
      </c>
      <c r="B2564" t="inlineStr">
        <is>
          <t>Love Cabaret</t>
        </is>
      </c>
      <c r="C2564" s="27" t="n">
        <v>45715</v>
      </c>
      <c r="D2564" t="n">
        <v>0</v>
      </c>
      <c r="E2564" t="inlineStr">
        <is>
          <t>APP</t>
        </is>
      </c>
    </row>
    <row r="2565">
      <c r="A2565" t="n">
        <v>128</v>
      </c>
      <c r="B2565" t="inlineStr">
        <is>
          <t>Love Cabaret</t>
        </is>
      </c>
      <c r="C2565" s="27" t="n">
        <v>45715</v>
      </c>
      <c r="D2565" t="n">
        <v>0</v>
      </c>
      <c r="E2565" t="inlineStr">
        <is>
          <t>DINHEIRO</t>
        </is>
      </c>
    </row>
    <row r="2566">
      <c r="A2566" t="n">
        <v>128</v>
      </c>
      <c r="B2566" t="inlineStr">
        <is>
          <t>Love Cabaret</t>
        </is>
      </c>
      <c r="C2566" s="27" t="n">
        <v>45715</v>
      </c>
      <c r="D2566" t="n">
        <v>6762.24</v>
      </c>
      <c r="E2566" t="inlineStr">
        <is>
          <t>CRÉDITO</t>
        </is>
      </c>
    </row>
    <row r="2567">
      <c r="A2567" t="n">
        <v>128</v>
      </c>
      <c r="B2567" t="inlineStr">
        <is>
          <t>Love Cabaret</t>
        </is>
      </c>
      <c r="C2567" s="27" t="n">
        <v>45710</v>
      </c>
      <c r="D2567" t="n">
        <v>0</v>
      </c>
      <c r="E2567" t="inlineStr">
        <is>
          <t>DINHEIRO</t>
        </is>
      </c>
    </row>
    <row r="2568">
      <c r="A2568" t="n">
        <v>128</v>
      </c>
      <c r="B2568" t="inlineStr">
        <is>
          <t>Love Cabaret</t>
        </is>
      </c>
      <c r="C2568" s="27" t="n">
        <v>45710</v>
      </c>
      <c r="D2568" t="n">
        <v>0</v>
      </c>
      <c r="E2568" t="inlineStr">
        <is>
          <t>VOUCHER INTEGRADO</t>
        </is>
      </c>
    </row>
    <row r="2569">
      <c r="A2569" t="n">
        <v>128</v>
      </c>
      <c r="B2569" t="inlineStr">
        <is>
          <t>Love Cabaret</t>
        </is>
      </c>
      <c r="C2569" s="27" t="n">
        <v>45710</v>
      </c>
      <c r="D2569" t="n">
        <v>10807.22</v>
      </c>
      <c r="E2569" t="inlineStr">
        <is>
          <t>CRÉDITO</t>
        </is>
      </c>
    </row>
    <row r="2570">
      <c r="A2570" t="n">
        <v>128</v>
      </c>
      <c r="B2570" t="inlineStr">
        <is>
          <t>Love Cabaret</t>
        </is>
      </c>
      <c r="C2570" s="27" t="n">
        <v>45710</v>
      </c>
      <c r="D2570" t="n">
        <v>0</v>
      </c>
      <c r="E2570" t="inlineStr">
        <is>
          <t>APP</t>
        </is>
      </c>
    </row>
    <row r="2571">
      <c r="A2571" t="n">
        <v>128</v>
      </c>
      <c r="B2571" t="inlineStr">
        <is>
          <t>Love Cabaret</t>
        </is>
      </c>
      <c r="C2571" s="27" t="n">
        <v>45710</v>
      </c>
      <c r="D2571" t="n">
        <v>0</v>
      </c>
      <c r="E2571" t="inlineStr">
        <is>
          <t>DELIVERY ONLINE</t>
        </is>
      </c>
    </row>
    <row r="2572">
      <c r="A2572" t="n">
        <v>128</v>
      </c>
      <c r="B2572" t="inlineStr">
        <is>
          <t>Love Cabaret</t>
        </is>
      </c>
      <c r="C2572" s="27" t="n">
        <v>45710</v>
      </c>
      <c r="D2572" t="n">
        <v>0</v>
      </c>
      <c r="E2572" t="inlineStr">
        <is>
          <t>IFOOD</t>
        </is>
      </c>
    </row>
    <row r="2573">
      <c r="A2573" t="n">
        <v>128</v>
      </c>
      <c r="B2573" t="inlineStr">
        <is>
          <t>Love Cabaret</t>
        </is>
      </c>
      <c r="C2573" s="27" t="n">
        <v>45710</v>
      </c>
      <c r="D2573" t="n">
        <v>89.89</v>
      </c>
      <c r="E2573" t="inlineStr">
        <is>
          <t>PIX</t>
        </is>
      </c>
    </row>
    <row r="2574">
      <c r="A2574" t="n">
        <v>128</v>
      </c>
      <c r="B2574" t="inlineStr">
        <is>
          <t>Love Cabaret</t>
        </is>
      </c>
      <c r="C2574" s="27" t="n">
        <v>45710</v>
      </c>
      <c r="D2574" t="n">
        <v>0</v>
      </c>
      <c r="E2574" t="inlineStr">
        <is>
          <t>RAPPI</t>
        </is>
      </c>
    </row>
    <row r="2575">
      <c r="A2575" t="n">
        <v>128</v>
      </c>
      <c r="B2575" t="inlineStr">
        <is>
          <t>Love Cabaret</t>
        </is>
      </c>
      <c r="C2575" s="27" t="n">
        <v>45710</v>
      </c>
      <c r="D2575" t="n">
        <v>0</v>
      </c>
      <c r="E2575" t="inlineStr">
        <is>
          <t>UBER</t>
        </is>
      </c>
    </row>
    <row r="2576">
      <c r="A2576" t="n">
        <v>128</v>
      </c>
      <c r="B2576" t="inlineStr">
        <is>
          <t>Love Cabaret</t>
        </is>
      </c>
      <c r="C2576" s="27" t="n">
        <v>45710</v>
      </c>
      <c r="D2576" t="n">
        <v>0</v>
      </c>
      <c r="E2576" t="inlineStr">
        <is>
          <t>ANTECIPADO</t>
        </is>
      </c>
    </row>
    <row r="2577">
      <c r="A2577" t="n">
        <v>128</v>
      </c>
      <c r="B2577" t="inlineStr">
        <is>
          <t>Love Cabaret</t>
        </is>
      </c>
      <c r="C2577" s="27" t="n">
        <v>45710</v>
      </c>
      <c r="D2577" t="n">
        <v>0</v>
      </c>
      <c r="E2577" t="inlineStr">
        <is>
          <t>VOUCHER</t>
        </is>
      </c>
    </row>
    <row r="2578">
      <c r="A2578" t="n">
        <v>128</v>
      </c>
      <c r="B2578" t="inlineStr">
        <is>
          <t>Love Cabaret</t>
        </is>
      </c>
      <c r="C2578" s="27" t="n">
        <v>45710</v>
      </c>
      <c r="D2578" t="n">
        <v>4606.98</v>
      </c>
      <c r="E2578" t="inlineStr">
        <is>
          <t>DÉBITO</t>
        </is>
      </c>
    </row>
    <row r="2579">
      <c r="A2579" t="n">
        <v>128</v>
      </c>
      <c r="B2579" t="inlineStr">
        <is>
          <t>Love Cabaret</t>
        </is>
      </c>
      <c r="C2579" s="27" t="n">
        <v>45710</v>
      </c>
      <c r="D2579" t="n">
        <v>0</v>
      </c>
      <c r="E2579" t="inlineStr">
        <is>
          <t>BÔNUS</t>
        </is>
      </c>
    </row>
    <row r="2580">
      <c r="A2580" t="n">
        <v>128</v>
      </c>
      <c r="B2580" t="inlineStr">
        <is>
          <t>Love Cabaret</t>
        </is>
      </c>
      <c r="C2580" s="27" t="n">
        <v>45710</v>
      </c>
      <c r="D2580" t="n">
        <v>0</v>
      </c>
      <c r="E2580" t="inlineStr">
        <is>
          <t>ANTECIPADO</t>
        </is>
      </c>
    </row>
    <row r="2581">
      <c r="A2581" t="n">
        <v>128</v>
      </c>
      <c r="B2581" t="inlineStr">
        <is>
          <t>Love Cabaret</t>
        </is>
      </c>
      <c r="C2581" s="27" t="n">
        <v>45710</v>
      </c>
      <c r="D2581" t="n">
        <v>0</v>
      </c>
      <c r="E2581" t="inlineStr">
        <is>
          <t>OUTROS</t>
        </is>
      </c>
    </row>
    <row r="2582">
      <c r="A2582" t="n">
        <v>128</v>
      </c>
      <c r="B2582" t="inlineStr">
        <is>
          <t>Love Cabaret</t>
        </is>
      </c>
      <c r="C2582" s="27" t="n">
        <v>45710</v>
      </c>
      <c r="D2582" t="n">
        <v>0</v>
      </c>
      <c r="E2582" t="inlineStr">
        <is>
          <t>AME</t>
        </is>
      </c>
    </row>
    <row r="2583">
      <c r="A2583" t="n">
        <v>128</v>
      </c>
      <c r="B2583" t="inlineStr">
        <is>
          <t>Love Cabaret</t>
        </is>
      </c>
      <c r="C2583" s="27" t="n">
        <v>45710</v>
      </c>
      <c r="D2583" t="n">
        <v>0</v>
      </c>
      <c r="E2583" t="inlineStr">
        <is>
          <t>NOTAS MANUAIS + SERVIÇO</t>
        </is>
      </c>
    </row>
    <row r="2584">
      <c r="A2584" t="n">
        <v>128</v>
      </c>
      <c r="B2584" t="inlineStr">
        <is>
          <t>Love Cabaret</t>
        </is>
      </c>
      <c r="C2584" s="27" t="n">
        <v>45710</v>
      </c>
      <c r="D2584" t="n">
        <v>0</v>
      </c>
      <c r="E2584" t="inlineStr">
        <is>
          <t>RECARGAS DEVOLVIDAS</t>
        </is>
      </c>
    </row>
    <row r="2585">
      <c r="A2585" t="n">
        <v>128</v>
      </c>
      <c r="B2585" t="inlineStr">
        <is>
          <t>Love Cabaret</t>
        </is>
      </c>
      <c r="C2585" s="27" t="n">
        <v>45710</v>
      </c>
      <c r="D2585" t="n">
        <v>0</v>
      </c>
      <c r="E2585" t="inlineStr">
        <is>
          <t>MBWAY</t>
        </is>
      </c>
    </row>
    <row r="2586">
      <c r="A2586" t="n">
        <v>128</v>
      </c>
      <c r="B2586" t="inlineStr">
        <is>
          <t>Love Cabaret</t>
        </is>
      </c>
      <c r="C2586" s="27" t="n">
        <v>45709</v>
      </c>
      <c r="D2586" t="n">
        <v>0</v>
      </c>
      <c r="E2586" t="inlineStr">
        <is>
          <t>VOUCHER INTEGRADO</t>
        </is>
      </c>
    </row>
    <row r="2587">
      <c r="A2587" t="n">
        <v>128</v>
      </c>
      <c r="B2587" t="inlineStr">
        <is>
          <t>Love Cabaret</t>
        </is>
      </c>
      <c r="C2587" s="27" t="n">
        <v>45709</v>
      </c>
      <c r="D2587" t="n">
        <v>0</v>
      </c>
      <c r="E2587" t="inlineStr">
        <is>
          <t>VOUCHER</t>
        </is>
      </c>
    </row>
    <row r="2588">
      <c r="A2588" t="n">
        <v>128</v>
      </c>
      <c r="B2588" t="inlineStr">
        <is>
          <t>Love Cabaret</t>
        </is>
      </c>
      <c r="C2588" s="27" t="n">
        <v>45709</v>
      </c>
      <c r="D2588" t="n">
        <v>362.5</v>
      </c>
      <c r="E2588" t="inlineStr">
        <is>
          <t>DINHEIRO</t>
        </is>
      </c>
    </row>
    <row r="2589">
      <c r="A2589" t="n">
        <v>128</v>
      </c>
      <c r="B2589" t="inlineStr">
        <is>
          <t>Love Cabaret</t>
        </is>
      </c>
      <c r="C2589" s="27" t="n">
        <v>45709</v>
      </c>
      <c r="D2589" t="n">
        <v>11201.67</v>
      </c>
      <c r="E2589" t="inlineStr">
        <is>
          <t>CRÉDITO</t>
        </is>
      </c>
    </row>
    <row r="2590">
      <c r="A2590" t="n">
        <v>128</v>
      </c>
      <c r="B2590" t="inlineStr">
        <is>
          <t>Love Cabaret</t>
        </is>
      </c>
      <c r="C2590" s="27" t="n">
        <v>45709</v>
      </c>
      <c r="D2590" t="n">
        <v>0</v>
      </c>
      <c r="E2590" t="inlineStr">
        <is>
          <t>APP</t>
        </is>
      </c>
    </row>
    <row r="2591">
      <c r="A2591" t="n">
        <v>128</v>
      </c>
      <c r="B2591" t="inlineStr">
        <is>
          <t>Love Cabaret</t>
        </is>
      </c>
      <c r="C2591" s="27" t="n">
        <v>45709</v>
      </c>
      <c r="D2591" t="n">
        <v>0</v>
      </c>
      <c r="E2591" t="inlineStr">
        <is>
          <t>DELIVERY ONLINE</t>
        </is>
      </c>
    </row>
    <row r="2592">
      <c r="A2592" t="n">
        <v>128</v>
      </c>
      <c r="B2592" t="inlineStr">
        <is>
          <t>Love Cabaret</t>
        </is>
      </c>
      <c r="C2592" s="27" t="n">
        <v>45709</v>
      </c>
      <c r="D2592" t="n">
        <v>0</v>
      </c>
      <c r="E2592" t="inlineStr">
        <is>
          <t>IFOOD</t>
        </is>
      </c>
    </row>
    <row r="2593">
      <c r="A2593" t="n">
        <v>128</v>
      </c>
      <c r="B2593" t="inlineStr">
        <is>
          <t>Love Cabaret</t>
        </is>
      </c>
      <c r="C2593" s="27" t="n">
        <v>45709</v>
      </c>
      <c r="D2593" t="n">
        <v>931.6</v>
      </c>
      <c r="E2593" t="inlineStr">
        <is>
          <t>PIX</t>
        </is>
      </c>
    </row>
    <row r="2594">
      <c r="A2594" t="n">
        <v>128</v>
      </c>
      <c r="B2594" t="inlineStr">
        <is>
          <t>Love Cabaret</t>
        </is>
      </c>
      <c r="C2594" s="27" t="n">
        <v>45709</v>
      </c>
      <c r="D2594" t="n">
        <v>0</v>
      </c>
      <c r="E2594" t="inlineStr">
        <is>
          <t>RAPPI</t>
        </is>
      </c>
    </row>
    <row r="2595">
      <c r="A2595" t="n">
        <v>128</v>
      </c>
      <c r="B2595" t="inlineStr">
        <is>
          <t>Love Cabaret</t>
        </is>
      </c>
      <c r="C2595" s="27" t="n">
        <v>45709</v>
      </c>
      <c r="D2595" t="n">
        <v>0</v>
      </c>
      <c r="E2595" t="inlineStr">
        <is>
          <t>UBER</t>
        </is>
      </c>
    </row>
    <row r="2596">
      <c r="A2596" t="n">
        <v>128</v>
      </c>
      <c r="B2596" t="inlineStr">
        <is>
          <t>Love Cabaret</t>
        </is>
      </c>
      <c r="C2596" s="27" t="n">
        <v>45709</v>
      </c>
      <c r="D2596" t="n">
        <v>0</v>
      </c>
      <c r="E2596" t="inlineStr">
        <is>
          <t>ANTECIPADO</t>
        </is>
      </c>
    </row>
    <row r="2597">
      <c r="A2597" t="n">
        <v>128</v>
      </c>
      <c r="B2597" t="inlineStr">
        <is>
          <t>Love Cabaret</t>
        </is>
      </c>
      <c r="C2597" s="27" t="n">
        <v>45709</v>
      </c>
      <c r="D2597" t="n">
        <v>4366.29</v>
      </c>
      <c r="E2597" t="inlineStr">
        <is>
          <t>DÉBITO</t>
        </is>
      </c>
    </row>
    <row r="2598">
      <c r="A2598" t="n">
        <v>128</v>
      </c>
      <c r="B2598" t="inlineStr">
        <is>
          <t>Love Cabaret</t>
        </is>
      </c>
      <c r="C2598" s="27" t="n">
        <v>45709</v>
      </c>
      <c r="D2598" t="n">
        <v>0</v>
      </c>
      <c r="E2598" t="inlineStr">
        <is>
          <t>BÔNUS</t>
        </is>
      </c>
    </row>
    <row r="2599">
      <c r="A2599" t="n">
        <v>128</v>
      </c>
      <c r="B2599" t="inlineStr">
        <is>
          <t>Love Cabaret</t>
        </is>
      </c>
      <c r="C2599" s="27" t="n">
        <v>45709</v>
      </c>
      <c r="D2599" t="n">
        <v>0</v>
      </c>
      <c r="E2599" t="inlineStr">
        <is>
          <t>ANTECIPADO</t>
        </is>
      </c>
    </row>
    <row r="2600">
      <c r="A2600" t="n">
        <v>128</v>
      </c>
      <c r="B2600" t="inlineStr">
        <is>
          <t>Love Cabaret</t>
        </is>
      </c>
      <c r="C2600" s="27" t="n">
        <v>45709</v>
      </c>
      <c r="D2600" t="n">
        <v>0</v>
      </c>
      <c r="E2600" t="inlineStr">
        <is>
          <t>OUTROS</t>
        </is>
      </c>
    </row>
    <row r="2601">
      <c r="A2601" t="n">
        <v>128</v>
      </c>
      <c r="B2601" t="inlineStr">
        <is>
          <t>Love Cabaret</t>
        </is>
      </c>
      <c r="C2601" s="27" t="n">
        <v>45709</v>
      </c>
      <c r="D2601" t="n">
        <v>0</v>
      </c>
      <c r="E2601" t="inlineStr">
        <is>
          <t>AME</t>
        </is>
      </c>
    </row>
    <row r="2602">
      <c r="A2602" t="n">
        <v>128</v>
      </c>
      <c r="B2602" t="inlineStr">
        <is>
          <t>Love Cabaret</t>
        </is>
      </c>
      <c r="C2602" s="27" t="n">
        <v>45709</v>
      </c>
      <c r="D2602" t="n">
        <v>0</v>
      </c>
      <c r="E2602" t="inlineStr">
        <is>
          <t>NOTAS MANUAIS + SERVIÇO</t>
        </is>
      </c>
    </row>
    <row r="2603">
      <c r="A2603" t="n">
        <v>128</v>
      </c>
      <c r="B2603" t="inlineStr">
        <is>
          <t>Love Cabaret</t>
        </is>
      </c>
      <c r="C2603" s="27" t="n">
        <v>45709</v>
      </c>
      <c r="D2603" t="n">
        <v>0</v>
      </c>
      <c r="E2603" t="inlineStr">
        <is>
          <t>RECARGAS DEVOLVIDAS</t>
        </is>
      </c>
    </row>
    <row r="2604">
      <c r="A2604" t="n">
        <v>128</v>
      </c>
      <c r="B2604" t="inlineStr">
        <is>
          <t>Love Cabaret</t>
        </is>
      </c>
      <c r="C2604" s="27" t="n">
        <v>45709</v>
      </c>
      <c r="D2604" t="n">
        <v>0</v>
      </c>
      <c r="E2604" t="inlineStr">
        <is>
          <t>MBWAY</t>
        </is>
      </c>
    </row>
    <row r="2605">
      <c r="A2605" t="n">
        <v>128</v>
      </c>
      <c r="B2605" t="inlineStr">
        <is>
          <t>Love Cabaret</t>
        </is>
      </c>
      <c r="C2605" s="27" t="n">
        <v>45708</v>
      </c>
      <c r="D2605" t="n">
        <v>0</v>
      </c>
      <c r="E2605" t="inlineStr">
        <is>
          <t>APP</t>
        </is>
      </c>
    </row>
    <row r="2606">
      <c r="A2606" t="n">
        <v>128</v>
      </c>
      <c r="B2606" t="inlineStr">
        <is>
          <t>Love Cabaret</t>
        </is>
      </c>
      <c r="C2606" s="27" t="n">
        <v>45708</v>
      </c>
      <c r="D2606" t="n">
        <v>0</v>
      </c>
      <c r="E2606" t="inlineStr">
        <is>
          <t>MBWAY</t>
        </is>
      </c>
    </row>
    <row r="2607">
      <c r="A2607" t="n">
        <v>128</v>
      </c>
      <c r="B2607" t="inlineStr">
        <is>
          <t>Love Cabaret</t>
        </is>
      </c>
      <c r="C2607" s="27" t="n">
        <v>45708</v>
      </c>
      <c r="D2607" t="n">
        <v>0</v>
      </c>
      <c r="E2607" t="inlineStr">
        <is>
          <t>VOUCHER INTEGRADO</t>
        </is>
      </c>
    </row>
    <row r="2608">
      <c r="A2608" t="n">
        <v>128</v>
      </c>
      <c r="B2608" t="inlineStr">
        <is>
          <t>Love Cabaret</t>
        </is>
      </c>
      <c r="C2608" s="27" t="n">
        <v>45708</v>
      </c>
      <c r="D2608" t="n">
        <v>0</v>
      </c>
      <c r="E2608" t="inlineStr">
        <is>
          <t>DELIVERY ONLINE</t>
        </is>
      </c>
    </row>
    <row r="2609">
      <c r="A2609" t="n">
        <v>128</v>
      </c>
      <c r="B2609" t="inlineStr">
        <is>
          <t>Love Cabaret</t>
        </is>
      </c>
      <c r="C2609" s="27" t="n">
        <v>45708</v>
      </c>
      <c r="D2609" t="n">
        <v>0</v>
      </c>
      <c r="E2609" t="inlineStr">
        <is>
          <t>IFOOD</t>
        </is>
      </c>
    </row>
    <row r="2610">
      <c r="A2610" t="n">
        <v>128</v>
      </c>
      <c r="B2610" t="inlineStr">
        <is>
          <t>Love Cabaret</t>
        </is>
      </c>
      <c r="C2610" s="27" t="n">
        <v>45708</v>
      </c>
      <c r="D2610" t="n">
        <v>588.73</v>
      </c>
      <c r="E2610" t="inlineStr">
        <is>
          <t>PIX</t>
        </is>
      </c>
    </row>
    <row r="2611">
      <c r="A2611" t="n">
        <v>128</v>
      </c>
      <c r="B2611" t="inlineStr">
        <is>
          <t>Love Cabaret</t>
        </is>
      </c>
      <c r="C2611" s="27" t="n">
        <v>45708</v>
      </c>
      <c r="D2611" t="n">
        <v>0</v>
      </c>
      <c r="E2611" t="inlineStr">
        <is>
          <t>RAPPI</t>
        </is>
      </c>
    </row>
    <row r="2612">
      <c r="A2612" t="n">
        <v>128</v>
      </c>
      <c r="B2612" t="inlineStr">
        <is>
          <t>Love Cabaret</t>
        </is>
      </c>
      <c r="C2612" s="27" t="n">
        <v>45708</v>
      </c>
      <c r="D2612" t="n">
        <v>0</v>
      </c>
      <c r="E2612" t="inlineStr">
        <is>
          <t>UBER</t>
        </is>
      </c>
    </row>
    <row r="2613">
      <c r="A2613" t="n">
        <v>128</v>
      </c>
      <c r="B2613" t="inlineStr">
        <is>
          <t>Love Cabaret</t>
        </is>
      </c>
      <c r="C2613" s="27" t="n">
        <v>45708</v>
      </c>
      <c r="D2613" t="n">
        <v>0</v>
      </c>
      <c r="E2613" t="inlineStr">
        <is>
          <t>ANTECIPADO</t>
        </is>
      </c>
    </row>
    <row r="2614">
      <c r="A2614" t="n">
        <v>128</v>
      </c>
      <c r="B2614" t="inlineStr">
        <is>
          <t>Love Cabaret</t>
        </is>
      </c>
      <c r="C2614" s="27" t="n">
        <v>45708</v>
      </c>
      <c r="D2614" t="n">
        <v>0</v>
      </c>
      <c r="E2614" t="inlineStr">
        <is>
          <t>VOUCHER</t>
        </is>
      </c>
    </row>
    <row r="2615">
      <c r="A2615" t="n">
        <v>128</v>
      </c>
      <c r="B2615" t="inlineStr">
        <is>
          <t>Love Cabaret</t>
        </is>
      </c>
      <c r="C2615" s="27" t="n">
        <v>45708</v>
      </c>
      <c r="D2615" t="n">
        <v>2212.99</v>
      </c>
      <c r="E2615" t="inlineStr">
        <is>
          <t>DÉBITO</t>
        </is>
      </c>
    </row>
    <row r="2616">
      <c r="A2616" t="n">
        <v>128</v>
      </c>
      <c r="B2616" t="inlineStr">
        <is>
          <t>Love Cabaret</t>
        </is>
      </c>
      <c r="C2616" s="27" t="n">
        <v>45708</v>
      </c>
      <c r="D2616" t="n">
        <v>0</v>
      </c>
      <c r="E2616" t="inlineStr">
        <is>
          <t>BÔNUS</t>
        </is>
      </c>
    </row>
    <row r="2617">
      <c r="A2617" t="n">
        <v>128</v>
      </c>
      <c r="B2617" t="inlineStr">
        <is>
          <t>Love Cabaret</t>
        </is>
      </c>
      <c r="C2617" s="27" t="n">
        <v>45708</v>
      </c>
      <c r="D2617" t="n">
        <v>0</v>
      </c>
      <c r="E2617" t="inlineStr">
        <is>
          <t>ANTECIPADO</t>
        </is>
      </c>
    </row>
    <row r="2618">
      <c r="A2618" t="n">
        <v>128</v>
      </c>
      <c r="B2618" t="inlineStr">
        <is>
          <t>Love Cabaret</t>
        </is>
      </c>
      <c r="C2618" s="27" t="n">
        <v>45708</v>
      </c>
      <c r="D2618" t="n">
        <v>0</v>
      </c>
      <c r="E2618" t="inlineStr">
        <is>
          <t>OUTROS</t>
        </is>
      </c>
    </row>
    <row r="2619">
      <c r="A2619" t="n">
        <v>128</v>
      </c>
      <c r="B2619" t="inlineStr">
        <is>
          <t>Love Cabaret</t>
        </is>
      </c>
      <c r="C2619" s="27" t="n">
        <v>45708</v>
      </c>
      <c r="D2619" t="n">
        <v>0</v>
      </c>
      <c r="E2619" t="inlineStr">
        <is>
          <t>AME</t>
        </is>
      </c>
    </row>
    <row r="2620">
      <c r="A2620" t="n">
        <v>128</v>
      </c>
      <c r="B2620" t="inlineStr">
        <is>
          <t>Love Cabaret</t>
        </is>
      </c>
      <c r="C2620" s="27" t="n">
        <v>45708</v>
      </c>
      <c r="D2620" t="n">
        <v>0</v>
      </c>
      <c r="E2620" t="inlineStr">
        <is>
          <t>NOTAS MANUAIS + SERVIÇO</t>
        </is>
      </c>
    </row>
    <row r="2621">
      <c r="A2621" t="n">
        <v>128</v>
      </c>
      <c r="B2621" t="inlineStr">
        <is>
          <t>Love Cabaret</t>
        </is>
      </c>
      <c r="C2621" s="27" t="n">
        <v>45708</v>
      </c>
      <c r="D2621" t="n">
        <v>0</v>
      </c>
      <c r="E2621" t="inlineStr">
        <is>
          <t>RECARGAS DEVOLVIDAS</t>
        </is>
      </c>
    </row>
    <row r="2622">
      <c r="A2622" t="n">
        <v>128</v>
      </c>
      <c r="B2622" t="inlineStr">
        <is>
          <t>Love Cabaret</t>
        </is>
      </c>
      <c r="C2622" s="27" t="n">
        <v>45708</v>
      </c>
      <c r="D2622" t="n">
        <v>4952.93</v>
      </c>
      <c r="E2622" t="inlineStr">
        <is>
          <t>CRÉDITO</t>
        </is>
      </c>
    </row>
    <row r="2623">
      <c r="A2623" t="n">
        <v>128</v>
      </c>
      <c r="B2623" t="inlineStr">
        <is>
          <t>Love Cabaret</t>
        </is>
      </c>
      <c r="C2623" s="27" t="n">
        <v>45708</v>
      </c>
      <c r="D2623" t="n">
        <v>0</v>
      </c>
      <c r="E2623" t="inlineStr">
        <is>
          <t>DINHEIRO</t>
        </is>
      </c>
    </row>
    <row r="2624">
      <c r="A2624" t="n">
        <v>128</v>
      </c>
      <c r="B2624" t="inlineStr">
        <is>
          <t>Love Cabaret</t>
        </is>
      </c>
      <c r="C2624" s="27" t="n">
        <v>45705</v>
      </c>
      <c r="D2624" t="n">
        <v>0</v>
      </c>
      <c r="E2624" t="inlineStr">
        <is>
          <t>DINHEIRO</t>
        </is>
      </c>
    </row>
    <row r="2625">
      <c r="A2625" t="n">
        <v>128</v>
      </c>
      <c r="B2625" t="inlineStr">
        <is>
          <t>Love Cabaret</t>
        </is>
      </c>
      <c r="C2625" s="27" t="n">
        <v>45705</v>
      </c>
      <c r="D2625" t="n">
        <v>0</v>
      </c>
      <c r="E2625" t="inlineStr">
        <is>
          <t>NOTAS MANUAIS + SERVIÇO</t>
        </is>
      </c>
    </row>
    <row r="2626">
      <c r="A2626" t="n">
        <v>128</v>
      </c>
      <c r="B2626" t="inlineStr">
        <is>
          <t>Love Cabaret</t>
        </is>
      </c>
      <c r="C2626" s="27" t="n">
        <v>45705</v>
      </c>
      <c r="D2626" t="n">
        <v>0</v>
      </c>
      <c r="E2626" t="inlineStr">
        <is>
          <t>RECARGAS DEVOLVIDAS</t>
        </is>
      </c>
    </row>
    <row r="2627">
      <c r="A2627" t="n">
        <v>128</v>
      </c>
      <c r="B2627" t="inlineStr">
        <is>
          <t>Love Cabaret</t>
        </is>
      </c>
      <c r="C2627" s="27" t="n">
        <v>45705</v>
      </c>
      <c r="D2627" t="n">
        <v>0</v>
      </c>
      <c r="E2627" t="inlineStr">
        <is>
          <t>VOUCHER INTEGRADO</t>
        </is>
      </c>
    </row>
    <row r="2628">
      <c r="A2628" t="n">
        <v>128</v>
      </c>
      <c r="B2628" t="inlineStr">
        <is>
          <t>Love Cabaret</t>
        </is>
      </c>
      <c r="C2628" s="27" t="n">
        <v>45705</v>
      </c>
      <c r="D2628" t="n">
        <v>0</v>
      </c>
      <c r="E2628" t="inlineStr">
        <is>
          <t>MBWAY</t>
        </is>
      </c>
    </row>
    <row r="2629">
      <c r="A2629" t="n">
        <v>128</v>
      </c>
      <c r="B2629" t="inlineStr">
        <is>
          <t>Love Cabaret</t>
        </is>
      </c>
      <c r="C2629" s="27" t="n">
        <v>45705</v>
      </c>
      <c r="D2629" t="n">
        <v>0</v>
      </c>
      <c r="E2629" t="inlineStr">
        <is>
          <t>RAPPI</t>
        </is>
      </c>
    </row>
    <row r="2630">
      <c r="A2630" t="n">
        <v>128</v>
      </c>
      <c r="B2630" t="inlineStr">
        <is>
          <t>Love Cabaret</t>
        </is>
      </c>
      <c r="C2630" s="27" t="n">
        <v>45705</v>
      </c>
      <c r="D2630" t="n">
        <v>0</v>
      </c>
      <c r="E2630" t="inlineStr">
        <is>
          <t>AME</t>
        </is>
      </c>
    </row>
    <row r="2631">
      <c r="A2631" t="n">
        <v>128</v>
      </c>
      <c r="B2631" t="inlineStr">
        <is>
          <t>Love Cabaret</t>
        </is>
      </c>
      <c r="C2631" s="27" t="n">
        <v>45705</v>
      </c>
      <c r="D2631" t="n">
        <v>0.02</v>
      </c>
      <c r="E2631" t="inlineStr">
        <is>
          <t>OUTROS</t>
        </is>
      </c>
    </row>
    <row r="2632">
      <c r="A2632" t="n">
        <v>128</v>
      </c>
      <c r="B2632" t="inlineStr">
        <is>
          <t>Love Cabaret</t>
        </is>
      </c>
      <c r="C2632" s="27" t="n">
        <v>45705</v>
      </c>
      <c r="D2632" t="n">
        <v>0</v>
      </c>
      <c r="E2632" t="inlineStr">
        <is>
          <t>ANTECIPADO</t>
        </is>
      </c>
    </row>
    <row r="2633">
      <c r="A2633" t="n">
        <v>128</v>
      </c>
      <c r="B2633" t="inlineStr">
        <is>
          <t>Love Cabaret</t>
        </is>
      </c>
      <c r="C2633" s="27" t="n">
        <v>45705</v>
      </c>
      <c r="D2633" t="n">
        <v>0</v>
      </c>
      <c r="E2633" t="inlineStr">
        <is>
          <t>PIX</t>
        </is>
      </c>
    </row>
    <row r="2634">
      <c r="A2634" t="n">
        <v>128</v>
      </c>
      <c r="B2634" t="inlineStr">
        <is>
          <t>Love Cabaret</t>
        </is>
      </c>
      <c r="C2634" s="27" t="n">
        <v>45705</v>
      </c>
      <c r="D2634" t="n">
        <v>0</v>
      </c>
      <c r="E2634" t="inlineStr">
        <is>
          <t>BÔNUS</t>
        </is>
      </c>
    </row>
    <row r="2635">
      <c r="A2635" t="n">
        <v>128</v>
      </c>
      <c r="B2635" t="inlineStr">
        <is>
          <t>Love Cabaret</t>
        </is>
      </c>
      <c r="C2635" s="27" t="n">
        <v>45705</v>
      </c>
      <c r="D2635" t="n">
        <v>0</v>
      </c>
      <c r="E2635" t="inlineStr">
        <is>
          <t>DÉBITO</t>
        </is>
      </c>
    </row>
    <row r="2636">
      <c r="A2636" t="n">
        <v>128</v>
      </c>
      <c r="B2636" t="inlineStr">
        <is>
          <t>Love Cabaret</t>
        </is>
      </c>
      <c r="C2636" s="27" t="n">
        <v>45705</v>
      </c>
      <c r="D2636" t="n">
        <v>0</v>
      </c>
      <c r="E2636" t="inlineStr">
        <is>
          <t>VOUCHER</t>
        </is>
      </c>
    </row>
    <row r="2637">
      <c r="A2637" t="n">
        <v>128</v>
      </c>
      <c r="B2637" t="inlineStr">
        <is>
          <t>Love Cabaret</t>
        </is>
      </c>
      <c r="C2637" s="27" t="n">
        <v>45705</v>
      </c>
      <c r="D2637" t="n">
        <v>0</v>
      </c>
      <c r="E2637" t="inlineStr">
        <is>
          <t>ANTECIPADO</t>
        </is>
      </c>
    </row>
    <row r="2638">
      <c r="A2638" t="n">
        <v>128</v>
      </c>
      <c r="B2638" t="inlineStr">
        <is>
          <t>Love Cabaret</t>
        </is>
      </c>
      <c r="C2638" s="27" t="n">
        <v>45705</v>
      </c>
      <c r="D2638" t="n">
        <v>0</v>
      </c>
      <c r="E2638" t="inlineStr">
        <is>
          <t>UBER</t>
        </is>
      </c>
    </row>
    <row r="2639">
      <c r="A2639" t="n">
        <v>128</v>
      </c>
      <c r="B2639" t="inlineStr">
        <is>
          <t>Love Cabaret</t>
        </is>
      </c>
      <c r="C2639" s="27" t="n">
        <v>45705</v>
      </c>
      <c r="D2639" t="n">
        <v>0</v>
      </c>
      <c r="E2639" t="inlineStr">
        <is>
          <t>IFOOD</t>
        </is>
      </c>
    </row>
    <row r="2640">
      <c r="A2640" t="n">
        <v>128</v>
      </c>
      <c r="B2640" t="inlineStr">
        <is>
          <t>Love Cabaret</t>
        </is>
      </c>
      <c r="C2640" s="27" t="n">
        <v>45705</v>
      </c>
      <c r="D2640" t="n">
        <v>0</v>
      </c>
      <c r="E2640" t="inlineStr">
        <is>
          <t>APP</t>
        </is>
      </c>
    </row>
    <row r="2641">
      <c r="A2641" t="n">
        <v>128</v>
      </c>
      <c r="B2641" t="inlineStr">
        <is>
          <t>Love Cabaret</t>
        </is>
      </c>
      <c r="C2641" s="27" t="n">
        <v>45705</v>
      </c>
      <c r="D2641" t="n">
        <v>0</v>
      </c>
      <c r="E2641" t="inlineStr">
        <is>
          <t>DELIVERY ONLINE</t>
        </is>
      </c>
    </row>
    <row r="2642">
      <c r="A2642" t="n">
        <v>128</v>
      </c>
      <c r="B2642" t="inlineStr">
        <is>
          <t>Love Cabaret</t>
        </is>
      </c>
      <c r="C2642" s="27" t="n">
        <v>45705</v>
      </c>
      <c r="D2642" t="n">
        <v>0</v>
      </c>
      <c r="E2642" t="inlineStr">
        <is>
          <t>CRÉDITO</t>
        </is>
      </c>
    </row>
    <row r="2643">
      <c r="A2643" t="n">
        <v>128</v>
      </c>
      <c r="B2643" t="inlineStr">
        <is>
          <t>Love Cabaret</t>
        </is>
      </c>
      <c r="C2643" s="27" t="n">
        <v>45703</v>
      </c>
      <c r="D2643" t="n">
        <v>4479.18</v>
      </c>
      <c r="E2643" t="inlineStr">
        <is>
          <t>DÉBITO</t>
        </is>
      </c>
    </row>
    <row r="2644">
      <c r="A2644" t="n">
        <v>128</v>
      </c>
      <c r="B2644" t="inlineStr">
        <is>
          <t>Love Cabaret</t>
        </is>
      </c>
      <c r="C2644" s="27" t="n">
        <v>45703</v>
      </c>
      <c r="D2644" t="n">
        <v>0</v>
      </c>
      <c r="E2644" t="inlineStr">
        <is>
          <t>BÔNUS</t>
        </is>
      </c>
    </row>
    <row r="2645">
      <c r="A2645" t="n">
        <v>128</v>
      </c>
      <c r="B2645" t="inlineStr">
        <is>
          <t>Love Cabaret</t>
        </is>
      </c>
      <c r="C2645" s="27" t="n">
        <v>45703</v>
      </c>
      <c r="D2645" t="n">
        <v>0</v>
      </c>
      <c r="E2645" t="inlineStr">
        <is>
          <t>ANTECIPADO</t>
        </is>
      </c>
    </row>
    <row r="2646">
      <c r="A2646" t="n">
        <v>128</v>
      </c>
      <c r="B2646" t="inlineStr">
        <is>
          <t>Love Cabaret</t>
        </is>
      </c>
      <c r="C2646" s="27" t="n">
        <v>45703</v>
      </c>
      <c r="D2646" t="n">
        <v>0</v>
      </c>
      <c r="E2646" t="inlineStr">
        <is>
          <t>OUTROS</t>
        </is>
      </c>
    </row>
    <row r="2647">
      <c r="A2647" t="n">
        <v>128</v>
      </c>
      <c r="B2647" t="inlineStr">
        <is>
          <t>Love Cabaret</t>
        </is>
      </c>
      <c r="C2647" s="27" t="n">
        <v>45703</v>
      </c>
      <c r="D2647" t="n">
        <v>0</v>
      </c>
      <c r="E2647" t="inlineStr">
        <is>
          <t>AME</t>
        </is>
      </c>
    </row>
    <row r="2648">
      <c r="A2648" t="n">
        <v>128</v>
      </c>
      <c r="B2648" t="inlineStr">
        <is>
          <t>Love Cabaret</t>
        </is>
      </c>
      <c r="C2648" s="27" t="n">
        <v>45703</v>
      </c>
      <c r="D2648" t="n">
        <v>17929.31</v>
      </c>
      <c r="E2648" t="inlineStr">
        <is>
          <t>CRÉDITO</t>
        </is>
      </c>
    </row>
    <row r="2649">
      <c r="A2649" t="n">
        <v>128</v>
      </c>
      <c r="B2649" t="inlineStr">
        <is>
          <t>Love Cabaret</t>
        </is>
      </c>
      <c r="C2649" s="27" t="n">
        <v>45703</v>
      </c>
      <c r="D2649" t="n">
        <v>110.74</v>
      </c>
      <c r="E2649" t="inlineStr">
        <is>
          <t>DINHEIRO</t>
        </is>
      </c>
    </row>
    <row r="2650">
      <c r="A2650" t="n">
        <v>128</v>
      </c>
      <c r="B2650" t="inlineStr">
        <is>
          <t>Love Cabaret</t>
        </is>
      </c>
      <c r="C2650" s="27" t="n">
        <v>45703</v>
      </c>
      <c r="D2650" t="n">
        <v>0</v>
      </c>
      <c r="E2650" t="inlineStr">
        <is>
          <t>APP</t>
        </is>
      </c>
    </row>
    <row r="2651">
      <c r="A2651" t="n">
        <v>128</v>
      </c>
      <c r="B2651" t="inlineStr">
        <is>
          <t>Love Cabaret</t>
        </is>
      </c>
      <c r="C2651" s="27" t="n">
        <v>45703</v>
      </c>
      <c r="D2651" t="n">
        <v>0</v>
      </c>
      <c r="E2651" t="inlineStr">
        <is>
          <t>IFOOD</t>
        </is>
      </c>
    </row>
    <row r="2652">
      <c r="A2652" t="n">
        <v>128</v>
      </c>
      <c r="B2652" t="inlineStr">
        <is>
          <t>Love Cabaret</t>
        </is>
      </c>
      <c r="C2652" s="27" t="n">
        <v>45703</v>
      </c>
      <c r="D2652" t="n">
        <v>0</v>
      </c>
      <c r="E2652" t="inlineStr">
        <is>
          <t>VOUCHER</t>
        </is>
      </c>
    </row>
    <row r="2653">
      <c r="A2653" t="n">
        <v>128</v>
      </c>
      <c r="B2653" t="inlineStr">
        <is>
          <t>Love Cabaret</t>
        </is>
      </c>
      <c r="C2653" s="27" t="n">
        <v>45703</v>
      </c>
      <c r="D2653" t="n">
        <v>0</v>
      </c>
      <c r="E2653" t="inlineStr">
        <is>
          <t>NOTAS MANUAIS + SERVIÇO</t>
        </is>
      </c>
    </row>
    <row r="2654">
      <c r="A2654" t="n">
        <v>128</v>
      </c>
      <c r="B2654" t="inlineStr">
        <is>
          <t>Love Cabaret</t>
        </is>
      </c>
      <c r="C2654" s="27" t="n">
        <v>45703</v>
      </c>
      <c r="D2654" t="n">
        <v>0</v>
      </c>
      <c r="E2654" t="inlineStr">
        <is>
          <t>RECARGAS DEVOLVIDAS</t>
        </is>
      </c>
    </row>
    <row r="2655">
      <c r="A2655" t="n">
        <v>128</v>
      </c>
      <c r="B2655" t="inlineStr">
        <is>
          <t>Love Cabaret</t>
        </is>
      </c>
      <c r="C2655" s="27" t="n">
        <v>45703</v>
      </c>
      <c r="D2655" t="n">
        <v>0</v>
      </c>
      <c r="E2655" t="inlineStr">
        <is>
          <t>VOUCHER INTEGRADO</t>
        </is>
      </c>
    </row>
    <row r="2656">
      <c r="A2656" t="n">
        <v>128</v>
      </c>
      <c r="B2656" t="inlineStr">
        <is>
          <t>Love Cabaret</t>
        </is>
      </c>
      <c r="C2656" s="27" t="n">
        <v>45703</v>
      </c>
      <c r="D2656" t="n">
        <v>0</v>
      </c>
      <c r="E2656" t="inlineStr">
        <is>
          <t>MBWAY</t>
        </is>
      </c>
    </row>
    <row r="2657">
      <c r="A2657" t="n">
        <v>128</v>
      </c>
      <c r="B2657" t="inlineStr">
        <is>
          <t>Love Cabaret</t>
        </is>
      </c>
      <c r="C2657" s="27" t="n">
        <v>45703</v>
      </c>
      <c r="D2657" t="n">
        <v>0</v>
      </c>
      <c r="E2657" t="inlineStr">
        <is>
          <t>ANTECIPADO</t>
        </is>
      </c>
    </row>
    <row r="2658">
      <c r="A2658" t="n">
        <v>128</v>
      </c>
      <c r="B2658" t="inlineStr">
        <is>
          <t>Love Cabaret</t>
        </is>
      </c>
      <c r="C2658" s="27" t="n">
        <v>45703</v>
      </c>
      <c r="D2658" t="n">
        <v>0</v>
      </c>
      <c r="E2658" t="inlineStr">
        <is>
          <t>UBER</t>
        </is>
      </c>
    </row>
    <row r="2659">
      <c r="A2659" t="n">
        <v>128</v>
      </c>
      <c r="B2659" t="inlineStr">
        <is>
          <t>Love Cabaret</t>
        </is>
      </c>
      <c r="C2659" s="27" t="n">
        <v>45703</v>
      </c>
      <c r="D2659" t="n">
        <v>0</v>
      </c>
      <c r="E2659" t="inlineStr">
        <is>
          <t>RAPPI</t>
        </is>
      </c>
    </row>
    <row r="2660">
      <c r="A2660" t="n">
        <v>128</v>
      </c>
      <c r="B2660" t="inlineStr">
        <is>
          <t>Love Cabaret</t>
        </is>
      </c>
      <c r="C2660" s="27" t="n">
        <v>45703</v>
      </c>
      <c r="D2660" t="n">
        <v>593.25</v>
      </c>
      <c r="E2660" t="inlineStr">
        <is>
          <t>PIX</t>
        </is>
      </c>
    </row>
    <row r="2661">
      <c r="A2661" t="n">
        <v>128</v>
      </c>
      <c r="B2661" t="inlineStr">
        <is>
          <t>Love Cabaret</t>
        </is>
      </c>
      <c r="C2661" s="27" t="n">
        <v>45703</v>
      </c>
      <c r="D2661" t="n">
        <v>0</v>
      </c>
      <c r="E2661" t="inlineStr">
        <is>
          <t>DELIVERY ONLINE</t>
        </is>
      </c>
    </row>
    <row r="2662">
      <c r="A2662" t="n">
        <v>128</v>
      </c>
      <c r="B2662" t="inlineStr">
        <is>
          <t>Love Cabaret</t>
        </is>
      </c>
      <c r="C2662" s="27" t="n">
        <v>45702</v>
      </c>
      <c r="D2662" t="n">
        <v>0</v>
      </c>
      <c r="E2662" t="inlineStr">
        <is>
          <t>RECARGAS DEVOLVIDAS</t>
        </is>
      </c>
    </row>
    <row r="2663">
      <c r="A2663" t="n">
        <v>128</v>
      </c>
      <c r="B2663" t="inlineStr">
        <is>
          <t>Love Cabaret</t>
        </is>
      </c>
      <c r="C2663" s="27" t="n">
        <v>45702</v>
      </c>
      <c r="D2663" t="n">
        <v>0</v>
      </c>
      <c r="E2663" t="inlineStr">
        <is>
          <t>VOUCHER INTEGRADO</t>
        </is>
      </c>
    </row>
    <row r="2664">
      <c r="A2664" t="n">
        <v>128</v>
      </c>
      <c r="B2664" t="inlineStr">
        <is>
          <t>Love Cabaret</t>
        </is>
      </c>
      <c r="C2664" s="27" t="n">
        <v>45702</v>
      </c>
      <c r="D2664" t="n">
        <v>0</v>
      </c>
      <c r="E2664" t="inlineStr">
        <is>
          <t>MBWAY</t>
        </is>
      </c>
    </row>
    <row r="2665">
      <c r="A2665" t="n">
        <v>128</v>
      </c>
      <c r="B2665" t="inlineStr">
        <is>
          <t>Love Cabaret</t>
        </is>
      </c>
      <c r="C2665" s="27" t="n">
        <v>45702</v>
      </c>
      <c r="D2665" t="n">
        <v>0</v>
      </c>
      <c r="E2665" t="inlineStr">
        <is>
          <t>OUTROS</t>
        </is>
      </c>
    </row>
    <row r="2666">
      <c r="A2666" t="n">
        <v>128</v>
      </c>
      <c r="B2666" t="inlineStr">
        <is>
          <t>Love Cabaret</t>
        </is>
      </c>
      <c r="C2666" s="27" t="n">
        <v>45702</v>
      </c>
      <c r="D2666" t="n">
        <v>0</v>
      </c>
      <c r="E2666" t="inlineStr">
        <is>
          <t>AME</t>
        </is>
      </c>
    </row>
    <row r="2667">
      <c r="A2667" t="n">
        <v>128</v>
      </c>
      <c r="B2667" t="inlineStr">
        <is>
          <t>Love Cabaret</t>
        </is>
      </c>
      <c r="C2667" s="27" t="n">
        <v>45702</v>
      </c>
      <c r="D2667" t="n">
        <v>0</v>
      </c>
      <c r="E2667" t="inlineStr">
        <is>
          <t>NOTAS MANUAIS + SERVIÇO</t>
        </is>
      </c>
    </row>
    <row r="2668">
      <c r="A2668" t="n">
        <v>128</v>
      </c>
      <c r="B2668" t="inlineStr">
        <is>
          <t>Love Cabaret</t>
        </is>
      </c>
      <c r="C2668" s="27" t="n">
        <v>45702</v>
      </c>
      <c r="D2668" t="n">
        <v>14980.82</v>
      </c>
      <c r="E2668" t="inlineStr">
        <is>
          <t>CRÉDITO</t>
        </is>
      </c>
    </row>
    <row r="2669">
      <c r="A2669" t="n">
        <v>128</v>
      </c>
      <c r="B2669" t="inlineStr">
        <is>
          <t>Love Cabaret</t>
        </is>
      </c>
      <c r="C2669" s="27" t="n">
        <v>45702</v>
      </c>
      <c r="D2669" t="n">
        <v>0</v>
      </c>
      <c r="E2669" t="inlineStr">
        <is>
          <t>DINHEIRO</t>
        </is>
      </c>
    </row>
    <row r="2670">
      <c r="A2670" t="n">
        <v>128</v>
      </c>
      <c r="B2670" t="inlineStr">
        <is>
          <t>Love Cabaret</t>
        </is>
      </c>
      <c r="C2670" s="27" t="n">
        <v>45702</v>
      </c>
      <c r="D2670" t="n">
        <v>0</v>
      </c>
      <c r="E2670" t="inlineStr">
        <is>
          <t>APP</t>
        </is>
      </c>
    </row>
    <row r="2671">
      <c r="A2671" t="n">
        <v>128</v>
      </c>
      <c r="B2671" t="inlineStr">
        <is>
          <t>Love Cabaret</t>
        </is>
      </c>
      <c r="C2671" s="27" t="n">
        <v>45702</v>
      </c>
      <c r="D2671" t="n">
        <v>0</v>
      </c>
      <c r="E2671" t="inlineStr">
        <is>
          <t>DELIVERY ONLINE</t>
        </is>
      </c>
    </row>
    <row r="2672">
      <c r="A2672" t="n">
        <v>128</v>
      </c>
      <c r="B2672" t="inlineStr">
        <is>
          <t>Love Cabaret</t>
        </is>
      </c>
      <c r="C2672" s="27" t="n">
        <v>45702</v>
      </c>
      <c r="D2672" t="n">
        <v>0</v>
      </c>
      <c r="E2672" t="inlineStr">
        <is>
          <t>IFOOD</t>
        </is>
      </c>
    </row>
    <row r="2673">
      <c r="A2673" t="n">
        <v>128</v>
      </c>
      <c r="B2673" t="inlineStr">
        <is>
          <t>Love Cabaret</t>
        </is>
      </c>
      <c r="C2673" s="27" t="n">
        <v>45702</v>
      </c>
      <c r="D2673" t="n">
        <v>1311.61</v>
      </c>
      <c r="E2673" t="inlineStr">
        <is>
          <t>PIX</t>
        </is>
      </c>
    </row>
    <row r="2674">
      <c r="A2674" t="n">
        <v>128</v>
      </c>
      <c r="B2674" t="inlineStr">
        <is>
          <t>Love Cabaret</t>
        </is>
      </c>
      <c r="C2674" s="27" t="n">
        <v>45702</v>
      </c>
      <c r="D2674" t="n">
        <v>0</v>
      </c>
      <c r="E2674" t="inlineStr">
        <is>
          <t>RAPPI</t>
        </is>
      </c>
    </row>
    <row r="2675">
      <c r="A2675" t="n">
        <v>128</v>
      </c>
      <c r="B2675" t="inlineStr">
        <is>
          <t>Love Cabaret</t>
        </is>
      </c>
      <c r="C2675" s="27" t="n">
        <v>45702</v>
      </c>
      <c r="D2675" t="n">
        <v>0</v>
      </c>
      <c r="E2675" t="inlineStr">
        <is>
          <t>UBER</t>
        </is>
      </c>
    </row>
    <row r="2676">
      <c r="A2676" t="n">
        <v>128</v>
      </c>
      <c r="B2676" t="inlineStr">
        <is>
          <t>Love Cabaret</t>
        </is>
      </c>
      <c r="C2676" s="27" t="n">
        <v>45702</v>
      </c>
      <c r="D2676" t="n">
        <v>0</v>
      </c>
      <c r="E2676" t="inlineStr">
        <is>
          <t>ANTECIPADO</t>
        </is>
      </c>
    </row>
    <row r="2677">
      <c r="A2677" t="n">
        <v>128</v>
      </c>
      <c r="B2677" t="inlineStr">
        <is>
          <t>Love Cabaret</t>
        </is>
      </c>
      <c r="C2677" s="27" t="n">
        <v>45702</v>
      </c>
      <c r="D2677" t="n">
        <v>0</v>
      </c>
      <c r="E2677" t="inlineStr">
        <is>
          <t>VOUCHER</t>
        </is>
      </c>
    </row>
    <row r="2678">
      <c r="A2678" t="n">
        <v>128</v>
      </c>
      <c r="B2678" t="inlineStr">
        <is>
          <t>Love Cabaret</t>
        </is>
      </c>
      <c r="C2678" s="27" t="n">
        <v>45702</v>
      </c>
      <c r="D2678" t="n">
        <v>6819.24</v>
      </c>
      <c r="E2678" t="inlineStr">
        <is>
          <t>DÉBITO</t>
        </is>
      </c>
    </row>
    <row r="2679">
      <c r="A2679" t="n">
        <v>128</v>
      </c>
      <c r="B2679" t="inlineStr">
        <is>
          <t>Love Cabaret</t>
        </is>
      </c>
      <c r="C2679" s="27" t="n">
        <v>45702</v>
      </c>
      <c r="D2679" t="n">
        <v>0</v>
      </c>
      <c r="E2679" t="inlineStr">
        <is>
          <t>BÔNUS</t>
        </is>
      </c>
    </row>
    <row r="2680">
      <c r="A2680" t="n">
        <v>128</v>
      </c>
      <c r="B2680" t="inlineStr">
        <is>
          <t>Love Cabaret</t>
        </is>
      </c>
      <c r="C2680" s="27" t="n">
        <v>45702</v>
      </c>
      <c r="D2680" t="n">
        <v>0</v>
      </c>
      <c r="E2680" t="inlineStr">
        <is>
          <t>ANTECIPADO</t>
        </is>
      </c>
    </row>
    <row r="2681">
      <c r="A2681" t="n">
        <v>128</v>
      </c>
      <c r="B2681" t="inlineStr">
        <is>
          <t>Love Cabaret</t>
        </is>
      </c>
      <c r="C2681" s="27" t="n">
        <v>45701</v>
      </c>
      <c r="D2681" t="n">
        <v>0</v>
      </c>
      <c r="E2681" t="inlineStr">
        <is>
          <t>APP</t>
        </is>
      </c>
    </row>
    <row r="2682">
      <c r="A2682" t="n">
        <v>128</v>
      </c>
      <c r="B2682" t="inlineStr">
        <is>
          <t>Love Cabaret</t>
        </is>
      </c>
      <c r="C2682" s="27" t="n">
        <v>45701</v>
      </c>
      <c r="D2682" t="n">
        <v>0</v>
      </c>
      <c r="E2682" t="inlineStr">
        <is>
          <t>MBWAY</t>
        </is>
      </c>
    </row>
    <row r="2683">
      <c r="A2683" t="n">
        <v>128</v>
      </c>
      <c r="B2683" t="inlineStr">
        <is>
          <t>Love Cabaret</t>
        </is>
      </c>
      <c r="C2683" s="27" t="n">
        <v>45701</v>
      </c>
      <c r="D2683" t="n">
        <v>0</v>
      </c>
      <c r="E2683" t="inlineStr">
        <is>
          <t>VOUCHER INTEGRADO</t>
        </is>
      </c>
    </row>
    <row r="2684">
      <c r="A2684" t="n">
        <v>128</v>
      </c>
      <c r="B2684" t="inlineStr">
        <is>
          <t>Love Cabaret</t>
        </is>
      </c>
      <c r="C2684" s="27" t="n">
        <v>45701</v>
      </c>
      <c r="D2684" t="n">
        <v>0</v>
      </c>
      <c r="E2684" t="inlineStr">
        <is>
          <t>RECARGAS DEVOLVIDAS</t>
        </is>
      </c>
    </row>
    <row r="2685">
      <c r="A2685" t="n">
        <v>128</v>
      </c>
      <c r="B2685" t="inlineStr">
        <is>
          <t>Love Cabaret</t>
        </is>
      </c>
      <c r="C2685" s="27" t="n">
        <v>45701</v>
      </c>
      <c r="D2685" t="n">
        <v>0</v>
      </c>
      <c r="E2685" t="inlineStr">
        <is>
          <t>OUTROS</t>
        </is>
      </c>
    </row>
    <row r="2686">
      <c r="A2686" t="n">
        <v>128</v>
      </c>
      <c r="B2686" t="inlineStr">
        <is>
          <t>Love Cabaret</t>
        </is>
      </c>
      <c r="C2686" s="27" t="n">
        <v>45701</v>
      </c>
      <c r="D2686" t="n">
        <v>0</v>
      </c>
      <c r="E2686" t="inlineStr">
        <is>
          <t>ANTECIPADO</t>
        </is>
      </c>
    </row>
    <row r="2687">
      <c r="A2687" t="n">
        <v>128</v>
      </c>
      <c r="B2687" t="inlineStr">
        <is>
          <t>Love Cabaret</t>
        </is>
      </c>
      <c r="C2687" s="27" t="n">
        <v>45701</v>
      </c>
      <c r="D2687" t="n">
        <v>0</v>
      </c>
      <c r="E2687" t="inlineStr">
        <is>
          <t>BÔNUS</t>
        </is>
      </c>
    </row>
    <row r="2688">
      <c r="A2688" t="n">
        <v>128</v>
      </c>
      <c r="B2688" t="inlineStr">
        <is>
          <t>Love Cabaret</t>
        </is>
      </c>
      <c r="C2688" s="27" t="n">
        <v>45701</v>
      </c>
      <c r="D2688" t="n">
        <v>2364.56</v>
      </c>
      <c r="E2688" t="inlineStr">
        <is>
          <t>DÉBITO</t>
        </is>
      </c>
    </row>
    <row r="2689">
      <c r="A2689" t="n">
        <v>128</v>
      </c>
      <c r="B2689" t="inlineStr">
        <is>
          <t>Love Cabaret</t>
        </is>
      </c>
      <c r="C2689" s="27" t="n">
        <v>45701</v>
      </c>
      <c r="D2689" t="n">
        <v>0</v>
      </c>
      <c r="E2689" t="inlineStr">
        <is>
          <t>VOUCHER</t>
        </is>
      </c>
    </row>
    <row r="2690">
      <c r="A2690" t="n">
        <v>128</v>
      </c>
      <c r="B2690" t="inlineStr">
        <is>
          <t>Love Cabaret</t>
        </is>
      </c>
      <c r="C2690" s="27" t="n">
        <v>45701</v>
      </c>
      <c r="D2690" t="n">
        <v>0</v>
      </c>
      <c r="E2690" t="inlineStr">
        <is>
          <t>ANTECIPADO</t>
        </is>
      </c>
    </row>
    <row r="2691">
      <c r="A2691" t="n">
        <v>128</v>
      </c>
      <c r="B2691" t="inlineStr">
        <is>
          <t>Love Cabaret</t>
        </is>
      </c>
      <c r="C2691" s="27" t="n">
        <v>45701</v>
      </c>
      <c r="D2691" t="n">
        <v>0</v>
      </c>
      <c r="E2691" t="inlineStr">
        <is>
          <t>UBER</t>
        </is>
      </c>
    </row>
    <row r="2692">
      <c r="A2692" t="n">
        <v>128</v>
      </c>
      <c r="B2692" t="inlineStr">
        <is>
          <t>Love Cabaret</t>
        </is>
      </c>
      <c r="C2692" s="27" t="n">
        <v>45701</v>
      </c>
      <c r="D2692" t="n">
        <v>0</v>
      </c>
      <c r="E2692" t="inlineStr">
        <is>
          <t>AME</t>
        </is>
      </c>
    </row>
    <row r="2693">
      <c r="A2693" t="n">
        <v>128</v>
      </c>
      <c r="B2693" t="inlineStr">
        <is>
          <t>Love Cabaret</t>
        </is>
      </c>
      <c r="C2693" s="27" t="n">
        <v>45701</v>
      </c>
      <c r="D2693" t="n">
        <v>7270.6</v>
      </c>
      <c r="E2693" t="inlineStr">
        <is>
          <t>CRÉDITO</t>
        </is>
      </c>
    </row>
    <row r="2694">
      <c r="A2694" t="n">
        <v>128</v>
      </c>
      <c r="B2694" t="inlineStr">
        <is>
          <t>Love Cabaret</t>
        </is>
      </c>
      <c r="C2694" s="27" t="n">
        <v>45701</v>
      </c>
      <c r="D2694" t="n">
        <v>0</v>
      </c>
      <c r="E2694" t="inlineStr">
        <is>
          <t>RAPPI</t>
        </is>
      </c>
    </row>
    <row r="2695">
      <c r="A2695" t="n">
        <v>128</v>
      </c>
      <c r="B2695" t="inlineStr">
        <is>
          <t>Love Cabaret</t>
        </is>
      </c>
      <c r="C2695" s="27" t="n">
        <v>45701</v>
      </c>
      <c r="D2695" t="n">
        <v>0</v>
      </c>
      <c r="E2695" t="inlineStr">
        <is>
          <t>NOTAS MANUAIS + SERVIÇO</t>
        </is>
      </c>
    </row>
    <row r="2696">
      <c r="A2696" t="n">
        <v>128</v>
      </c>
      <c r="B2696" t="inlineStr">
        <is>
          <t>Love Cabaret</t>
        </is>
      </c>
      <c r="C2696" s="27" t="n">
        <v>45701</v>
      </c>
      <c r="D2696" t="n">
        <v>393.02</v>
      </c>
      <c r="E2696" t="inlineStr">
        <is>
          <t>PIX</t>
        </is>
      </c>
    </row>
    <row r="2697">
      <c r="A2697" t="n">
        <v>128</v>
      </c>
      <c r="B2697" t="inlineStr">
        <is>
          <t>Love Cabaret</t>
        </is>
      </c>
      <c r="C2697" s="27" t="n">
        <v>45701</v>
      </c>
      <c r="D2697" t="n">
        <v>0</v>
      </c>
      <c r="E2697" t="inlineStr">
        <is>
          <t>IFOOD</t>
        </is>
      </c>
    </row>
    <row r="2698">
      <c r="A2698" t="n">
        <v>128</v>
      </c>
      <c r="B2698" t="inlineStr">
        <is>
          <t>Love Cabaret</t>
        </is>
      </c>
      <c r="C2698" s="27" t="n">
        <v>45701</v>
      </c>
      <c r="D2698" t="n">
        <v>0</v>
      </c>
      <c r="E2698" t="inlineStr">
        <is>
          <t>DELIVERY ONLINE</t>
        </is>
      </c>
    </row>
    <row r="2699">
      <c r="A2699" t="n">
        <v>128</v>
      </c>
      <c r="B2699" t="inlineStr">
        <is>
          <t>Love Cabaret</t>
        </is>
      </c>
      <c r="C2699" s="27" t="n">
        <v>45701</v>
      </c>
      <c r="D2699" t="n">
        <v>0</v>
      </c>
      <c r="E2699" t="inlineStr">
        <is>
          <t>DINHEIRO</t>
        </is>
      </c>
    </row>
    <row r="2700">
      <c r="A2700" t="n">
        <v>128</v>
      </c>
      <c r="B2700" t="inlineStr">
        <is>
          <t>Love Cabaret</t>
        </is>
      </c>
      <c r="C2700" s="27" t="n">
        <v>45696</v>
      </c>
      <c r="D2700" t="n">
        <v>0</v>
      </c>
      <c r="E2700" t="inlineStr">
        <is>
          <t>DINHEIRO</t>
        </is>
      </c>
    </row>
    <row r="2701">
      <c r="A2701" t="n">
        <v>128</v>
      </c>
      <c r="B2701" t="inlineStr">
        <is>
          <t>Love Cabaret</t>
        </is>
      </c>
      <c r="C2701" s="27" t="n">
        <v>45696</v>
      </c>
      <c r="D2701" t="n">
        <v>0</v>
      </c>
      <c r="E2701" t="inlineStr">
        <is>
          <t>BÔNUS</t>
        </is>
      </c>
    </row>
    <row r="2702">
      <c r="A2702" t="n">
        <v>128</v>
      </c>
      <c r="B2702" t="inlineStr">
        <is>
          <t>Love Cabaret</t>
        </is>
      </c>
      <c r="C2702" s="27" t="n">
        <v>45696</v>
      </c>
      <c r="D2702" t="n">
        <v>9712.059999999999</v>
      </c>
      <c r="E2702" t="inlineStr">
        <is>
          <t>CRÉDITO</t>
        </is>
      </c>
    </row>
    <row r="2703">
      <c r="A2703" t="n">
        <v>128</v>
      </c>
      <c r="B2703" t="inlineStr">
        <is>
          <t>Love Cabaret</t>
        </is>
      </c>
      <c r="C2703" s="27" t="n">
        <v>45696</v>
      </c>
      <c r="D2703" t="n">
        <v>0</v>
      </c>
      <c r="E2703" t="inlineStr">
        <is>
          <t>ANTECIPADO</t>
        </is>
      </c>
    </row>
    <row r="2704">
      <c r="A2704" t="n">
        <v>128</v>
      </c>
      <c r="B2704" t="inlineStr">
        <is>
          <t>Love Cabaret</t>
        </is>
      </c>
      <c r="C2704" s="27" t="n">
        <v>45696</v>
      </c>
      <c r="D2704" t="n">
        <v>0</v>
      </c>
      <c r="E2704" t="inlineStr">
        <is>
          <t>VOUCHER</t>
        </is>
      </c>
    </row>
    <row r="2705">
      <c r="A2705" t="n">
        <v>128</v>
      </c>
      <c r="B2705" t="inlineStr">
        <is>
          <t>Love Cabaret</t>
        </is>
      </c>
      <c r="C2705" s="27" t="n">
        <v>45696</v>
      </c>
      <c r="D2705" t="n">
        <v>6408.18</v>
      </c>
      <c r="E2705" t="inlineStr">
        <is>
          <t>DÉBITO</t>
        </is>
      </c>
    </row>
    <row r="2706">
      <c r="A2706" t="n">
        <v>128</v>
      </c>
      <c r="B2706" t="inlineStr">
        <is>
          <t>Love Cabaret</t>
        </is>
      </c>
      <c r="C2706" s="27" t="n">
        <v>45696</v>
      </c>
      <c r="D2706" t="n">
        <v>0</v>
      </c>
      <c r="E2706" t="inlineStr">
        <is>
          <t>MBWAY</t>
        </is>
      </c>
    </row>
    <row r="2707">
      <c r="A2707" t="n">
        <v>128</v>
      </c>
      <c r="B2707" t="inlineStr">
        <is>
          <t>Love Cabaret</t>
        </is>
      </c>
      <c r="C2707" s="27" t="n">
        <v>45696</v>
      </c>
      <c r="D2707" t="n">
        <v>120</v>
      </c>
      <c r="E2707" t="inlineStr">
        <is>
          <t>APP</t>
        </is>
      </c>
    </row>
    <row r="2708">
      <c r="A2708" t="n">
        <v>128</v>
      </c>
      <c r="B2708" t="inlineStr">
        <is>
          <t>Love Cabaret</t>
        </is>
      </c>
      <c r="C2708" s="27" t="n">
        <v>45696</v>
      </c>
      <c r="D2708" t="n">
        <v>0</v>
      </c>
      <c r="E2708" t="inlineStr">
        <is>
          <t>DELIVERY ONLINE</t>
        </is>
      </c>
    </row>
    <row r="2709">
      <c r="A2709" t="n">
        <v>128</v>
      </c>
      <c r="B2709" t="inlineStr">
        <is>
          <t>Love Cabaret</t>
        </is>
      </c>
      <c r="C2709" s="27" t="n">
        <v>45696</v>
      </c>
      <c r="D2709" t="n">
        <v>0</v>
      </c>
      <c r="E2709" t="inlineStr">
        <is>
          <t>IFOOD</t>
        </is>
      </c>
    </row>
    <row r="2710">
      <c r="A2710" t="n">
        <v>128</v>
      </c>
      <c r="B2710" t="inlineStr">
        <is>
          <t>Love Cabaret</t>
        </is>
      </c>
      <c r="C2710" s="27" t="n">
        <v>45696</v>
      </c>
      <c r="D2710" t="n">
        <v>692.9400000000001</v>
      </c>
      <c r="E2710" t="inlineStr">
        <is>
          <t>PIX</t>
        </is>
      </c>
    </row>
    <row r="2711">
      <c r="A2711" t="n">
        <v>128</v>
      </c>
      <c r="B2711" t="inlineStr">
        <is>
          <t>Love Cabaret</t>
        </is>
      </c>
      <c r="C2711" s="27" t="n">
        <v>45696</v>
      </c>
      <c r="D2711" t="n">
        <v>0</v>
      </c>
      <c r="E2711" t="inlineStr">
        <is>
          <t>RAPPI</t>
        </is>
      </c>
    </row>
    <row r="2712">
      <c r="A2712" t="n">
        <v>128</v>
      </c>
      <c r="B2712" t="inlineStr">
        <is>
          <t>Love Cabaret</t>
        </is>
      </c>
      <c r="C2712" s="27" t="n">
        <v>45696</v>
      </c>
      <c r="D2712" t="n">
        <v>0</v>
      </c>
      <c r="E2712" t="inlineStr">
        <is>
          <t>UBER</t>
        </is>
      </c>
    </row>
    <row r="2713">
      <c r="A2713" t="n">
        <v>128</v>
      </c>
      <c r="B2713" t="inlineStr">
        <is>
          <t>Love Cabaret</t>
        </is>
      </c>
      <c r="C2713" s="27" t="n">
        <v>45696</v>
      </c>
      <c r="D2713" t="n">
        <v>0</v>
      </c>
      <c r="E2713" t="inlineStr">
        <is>
          <t>ANTECIPADO</t>
        </is>
      </c>
    </row>
    <row r="2714">
      <c r="A2714" t="n">
        <v>128</v>
      </c>
      <c r="B2714" t="inlineStr">
        <is>
          <t>Love Cabaret</t>
        </is>
      </c>
      <c r="C2714" s="27" t="n">
        <v>45696</v>
      </c>
      <c r="D2714" t="n">
        <v>0</v>
      </c>
      <c r="E2714" t="inlineStr">
        <is>
          <t>OUTROS</t>
        </is>
      </c>
    </row>
    <row r="2715">
      <c r="A2715" t="n">
        <v>128</v>
      </c>
      <c r="B2715" t="inlineStr">
        <is>
          <t>Love Cabaret</t>
        </is>
      </c>
      <c r="C2715" s="27" t="n">
        <v>45696</v>
      </c>
      <c r="D2715" t="n">
        <v>0</v>
      </c>
      <c r="E2715" t="inlineStr">
        <is>
          <t>AME</t>
        </is>
      </c>
    </row>
    <row r="2716">
      <c r="A2716" t="n">
        <v>128</v>
      </c>
      <c r="B2716" t="inlineStr">
        <is>
          <t>Love Cabaret</t>
        </is>
      </c>
      <c r="C2716" s="27" t="n">
        <v>45696</v>
      </c>
      <c r="D2716" t="n">
        <v>0</v>
      </c>
      <c r="E2716" t="inlineStr">
        <is>
          <t>NOTAS MANUAIS + SERVIÇO</t>
        </is>
      </c>
    </row>
    <row r="2717">
      <c r="A2717" t="n">
        <v>128</v>
      </c>
      <c r="B2717" t="inlineStr">
        <is>
          <t>Love Cabaret</t>
        </is>
      </c>
      <c r="C2717" s="27" t="n">
        <v>45696</v>
      </c>
      <c r="D2717" t="n">
        <v>0</v>
      </c>
      <c r="E2717" t="inlineStr">
        <is>
          <t>RECARGAS DEVOLVIDAS</t>
        </is>
      </c>
    </row>
    <row r="2718">
      <c r="A2718" t="n">
        <v>128</v>
      </c>
      <c r="B2718" t="inlineStr">
        <is>
          <t>Love Cabaret</t>
        </is>
      </c>
      <c r="C2718" s="27" t="n">
        <v>45696</v>
      </c>
      <c r="D2718" t="n">
        <v>0</v>
      </c>
      <c r="E2718" t="inlineStr">
        <is>
          <t>VOUCHER INTEGRADO</t>
        </is>
      </c>
    </row>
    <row r="2719">
      <c r="A2719" t="n">
        <v>128</v>
      </c>
      <c r="B2719" t="inlineStr">
        <is>
          <t>Love Cabaret</t>
        </is>
      </c>
      <c r="C2719" s="27" t="n">
        <v>45695</v>
      </c>
      <c r="D2719" t="n">
        <v>0</v>
      </c>
      <c r="E2719" t="inlineStr">
        <is>
          <t>UBER</t>
        </is>
      </c>
    </row>
    <row r="2720">
      <c r="A2720" t="n">
        <v>128</v>
      </c>
      <c r="B2720" t="inlineStr">
        <is>
          <t>Love Cabaret</t>
        </is>
      </c>
      <c r="C2720" s="27" t="n">
        <v>45695</v>
      </c>
      <c r="D2720" t="n">
        <v>0</v>
      </c>
      <c r="E2720" t="inlineStr">
        <is>
          <t>ANTECIPADO</t>
        </is>
      </c>
    </row>
    <row r="2721">
      <c r="A2721" t="n">
        <v>128</v>
      </c>
      <c r="B2721" t="inlineStr">
        <is>
          <t>Love Cabaret</t>
        </is>
      </c>
      <c r="C2721" s="27" t="n">
        <v>45695</v>
      </c>
      <c r="D2721" t="n">
        <v>0</v>
      </c>
      <c r="E2721" t="inlineStr">
        <is>
          <t>VOUCHER</t>
        </is>
      </c>
    </row>
    <row r="2722">
      <c r="A2722" t="n">
        <v>128</v>
      </c>
      <c r="B2722" t="inlineStr">
        <is>
          <t>Love Cabaret</t>
        </is>
      </c>
      <c r="C2722" s="27" t="n">
        <v>45695</v>
      </c>
      <c r="D2722" t="n">
        <v>3669.5</v>
      </c>
      <c r="E2722" t="inlineStr">
        <is>
          <t>DÉBITO</t>
        </is>
      </c>
    </row>
    <row r="2723">
      <c r="A2723" t="n">
        <v>128</v>
      </c>
      <c r="B2723" t="inlineStr">
        <is>
          <t>Love Cabaret</t>
        </is>
      </c>
      <c r="C2723" s="27" t="n">
        <v>45695</v>
      </c>
      <c r="D2723" t="n">
        <v>0</v>
      </c>
      <c r="E2723" t="inlineStr">
        <is>
          <t>BÔNUS</t>
        </is>
      </c>
    </row>
    <row r="2724">
      <c r="A2724" t="n">
        <v>128</v>
      </c>
      <c r="B2724" t="inlineStr">
        <is>
          <t>Love Cabaret</t>
        </is>
      </c>
      <c r="C2724" s="27" t="n">
        <v>45695</v>
      </c>
      <c r="D2724" t="n">
        <v>0</v>
      </c>
      <c r="E2724" t="inlineStr">
        <is>
          <t>ANTECIPADO</t>
        </is>
      </c>
    </row>
    <row r="2725">
      <c r="A2725" t="n">
        <v>128</v>
      </c>
      <c r="B2725" t="inlineStr">
        <is>
          <t>Love Cabaret</t>
        </is>
      </c>
      <c r="C2725" s="27" t="n">
        <v>45695</v>
      </c>
      <c r="D2725" t="n">
        <v>0</v>
      </c>
      <c r="E2725" t="inlineStr">
        <is>
          <t>NOTAS MANUAIS + SERVIÇO</t>
        </is>
      </c>
    </row>
    <row r="2726">
      <c r="A2726" t="n">
        <v>128</v>
      </c>
      <c r="B2726" t="inlineStr">
        <is>
          <t>Love Cabaret</t>
        </is>
      </c>
      <c r="C2726" s="27" t="n">
        <v>45695</v>
      </c>
      <c r="D2726" t="n">
        <v>0</v>
      </c>
      <c r="E2726" t="inlineStr">
        <is>
          <t>RAPPI</t>
        </is>
      </c>
    </row>
    <row r="2727">
      <c r="A2727" t="n">
        <v>128</v>
      </c>
      <c r="B2727" t="inlineStr">
        <is>
          <t>Love Cabaret</t>
        </is>
      </c>
      <c r="C2727" s="27" t="n">
        <v>45695</v>
      </c>
      <c r="D2727" t="n">
        <v>1035.92</v>
      </c>
      <c r="E2727" t="inlineStr">
        <is>
          <t>PIX</t>
        </is>
      </c>
    </row>
    <row r="2728">
      <c r="A2728" t="n">
        <v>128</v>
      </c>
      <c r="B2728" t="inlineStr">
        <is>
          <t>Love Cabaret</t>
        </is>
      </c>
      <c r="C2728" s="27" t="n">
        <v>45695</v>
      </c>
      <c r="D2728" t="n">
        <v>0</v>
      </c>
      <c r="E2728" t="inlineStr">
        <is>
          <t>IFOOD</t>
        </is>
      </c>
    </row>
    <row r="2729">
      <c r="A2729" t="n">
        <v>128</v>
      </c>
      <c r="B2729" t="inlineStr">
        <is>
          <t>Love Cabaret</t>
        </is>
      </c>
      <c r="C2729" s="27" t="n">
        <v>45695</v>
      </c>
      <c r="D2729" t="n">
        <v>0</v>
      </c>
      <c r="E2729" t="inlineStr">
        <is>
          <t>DELIVERY ONLINE</t>
        </is>
      </c>
    </row>
    <row r="2730">
      <c r="A2730" t="n">
        <v>128</v>
      </c>
      <c r="B2730" t="inlineStr">
        <is>
          <t>Love Cabaret</t>
        </is>
      </c>
      <c r="C2730" s="27" t="n">
        <v>45695</v>
      </c>
      <c r="D2730" t="n">
        <v>0</v>
      </c>
      <c r="E2730" t="inlineStr">
        <is>
          <t>APP</t>
        </is>
      </c>
    </row>
    <row r="2731">
      <c r="A2731" t="n">
        <v>128</v>
      </c>
      <c r="B2731" t="inlineStr">
        <is>
          <t>Love Cabaret</t>
        </is>
      </c>
      <c r="C2731" s="27" t="n">
        <v>45695</v>
      </c>
      <c r="D2731" t="n">
        <v>0</v>
      </c>
      <c r="E2731" t="inlineStr">
        <is>
          <t>DINHEIRO</t>
        </is>
      </c>
    </row>
    <row r="2732">
      <c r="A2732" t="n">
        <v>128</v>
      </c>
      <c r="B2732" t="inlineStr">
        <is>
          <t>Love Cabaret</t>
        </is>
      </c>
      <c r="C2732" s="27" t="n">
        <v>45695</v>
      </c>
      <c r="D2732" t="n">
        <v>11570.89</v>
      </c>
      <c r="E2732" t="inlineStr">
        <is>
          <t>CRÉDITO</t>
        </is>
      </c>
    </row>
    <row r="2733">
      <c r="A2733" t="n">
        <v>128</v>
      </c>
      <c r="B2733" t="inlineStr">
        <is>
          <t>Love Cabaret</t>
        </is>
      </c>
      <c r="C2733" s="27" t="n">
        <v>45695</v>
      </c>
      <c r="D2733" t="n">
        <v>0</v>
      </c>
      <c r="E2733" t="inlineStr">
        <is>
          <t>OUTROS</t>
        </is>
      </c>
    </row>
    <row r="2734">
      <c r="A2734" t="n">
        <v>128</v>
      </c>
      <c r="B2734" t="inlineStr">
        <is>
          <t>Love Cabaret</t>
        </is>
      </c>
      <c r="C2734" s="27" t="n">
        <v>45695</v>
      </c>
      <c r="D2734" t="n">
        <v>0</v>
      </c>
      <c r="E2734" t="inlineStr">
        <is>
          <t>AME</t>
        </is>
      </c>
    </row>
    <row r="2735">
      <c r="A2735" t="n">
        <v>128</v>
      </c>
      <c r="B2735" t="inlineStr">
        <is>
          <t>Love Cabaret</t>
        </is>
      </c>
      <c r="C2735" s="27" t="n">
        <v>45695</v>
      </c>
      <c r="D2735" t="n">
        <v>0</v>
      </c>
      <c r="E2735" t="inlineStr">
        <is>
          <t>RECARGAS DEVOLVIDAS</t>
        </is>
      </c>
    </row>
    <row r="2736">
      <c r="A2736" t="n">
        <v>128</v>
      </c>
      <c r="B2736" t="inlineStr">
        <is>
          <t>Love Cabaret</t>
        </is>
      </c>
      <c r="C2736" s="27" t="n">
        <v>45695</v>
      </c>
      <c r="D2736" t="n">
        <v>0</v>
      </c>
      <c r="E2736" t="inlineStr">
        <is>
          <t>VOUCHER INTEGRADO</t>
        </is>
      </c>
    </row>
    <row r="2737">
      <c r="A2737" t="n">
        <v>128</v>
      </c>
      <c r="B2737" t="inlineStr">
        <is>
          <t>Love Cabaret</t>
        </is>
      </c>
      <c r="C2737" s="27" t="n">
        <v>45695</v>
      </c>
      <c r="D2737" t="n">
        <v>0</v>
      </c>
      <c r="E2737" t="inlineStr">
        <is>
          <t>MBWAY</t>
        </is>
      </c>
    </row>
    <row r="2738">
      <c r="A2738" t="n">
        <v>128</v>
      </c>
      <c r="B2738" t="inlineStr">
        <is>
          <t>Love Cabaret</t>
        </is>
      </c>
      <c r="C2738" s="27" t="n">
        <v>45694</v>
      </c>
      <c r="D2738" t="n">
        <v>0</v>
      </c>
      <c r="E2738" t="inlineStr">
        <is>
          <t>NOTAS MANUAIS + SERVIÇO</t>
        </is>
      </c>
    </row>
    <row r="2739">
      <c r="A2739" t="n">
        <v>128</v>
      </c>
      <c r="B2739" t="inlineStr">
        <is>
          <t>Love Cabaret</t>
        </is>
      </c>
      <c r="C2739" s="27" t="n">
        <v>45694</v>
      </c>
      <c r="D2739" t="n">
        <v>0</v>
      </c>
      <c r="E2739" t="inlineStr">
        <is>
          <t>MBWAY</t>
        </is>
      </c>
    </row>
    <row r="2740">
      <c r="A2740" t="n">
        <v>128</v>
      </c>
      <c r="B2740" t="inlineStr">
        <is>
          <t>Love Cabaret</t>
        </is>
      </c>
      <c r="C2740" s="27" t="n">
        <v>45694</v>
      </c>
      <c r="D2740" t="n">
        <v>0</v>
      </c>
      <c r="E2740" t="inlineStr">
        <is>
          <t>VOUCHER INTEGRADO</t>
        </is>
      </c>
    </row>
    <row r="2741">
      <c r="A2741" t="n">
        <v>128</v>
      </c>
      <c r="B2741" t="inlineStr">
        <is>
          <t>Love Cabaret</t>
        </is>
      </c>
      <c r="C2741" s="27" t="n">
        <v>45694</v>
      </c>
      <c r="D2741" t="n">
        <v>2629.24</v>
      </c>
      <c r="E2741" t="inlineStr">
        <is>
          <t>PIX</t>
        </is>
      </c>
    </row>
    <row r="2742">
      <c r="A2742" t="n">
        <v>128</v>
      </c>
      <c r="B2742" t="inlineStr">
        <is>
          <t>Love Cabaret</t>
        </is>
      </c>
      <c r="C2742" s="27" t="n">
        <v>45694</v>
      </c>
      <c r="D2742" t="n">
        <v>0</v>
      </c>
      <c r="E2742" t="inlineStr">
        <is>
          <t>BÔNUS</t>
        </is>
      </c>
    </row>
    <row r="2743">
      <c r="A2743" t="n">
        <v>128</v>
      </c>
      <c r="B2743" t="inlineStr">
        <is>
          <t>Love Cabaret</t>
        </is>
      </c>
      <c r="C2743" s="27" t="n">
        <v>45694</v>
      </c>
      <c r="D2743" t="n">
        <v>7450.9</v>
      </c>
      <c r="E2743" t="inlineStr">
        <is>
          <t>DÉBITO</t>
        </is>
      </c>
    </row>
    <row r="2744">
      <c r="A2744" t="n">
        <v>128</v>
      </c>
      <c r="B2744" t="inlineStr">
        <is>
          <t>Love Cabaret</t>
        </is>
      </c>
      <c r="C2744" s="27" t="n">
        <v>45694</v>
      </c>
      <c r="D2744" t="n">
        <v>0</v>
      </c>
      <c r="E2744" t="inlineStr">
        <is>
          <t>VOUCHER</t>
        </is>
      </c>
    </row>
    <row r="2745">
      <c r="A2745" t="n">
        <v>128</v>
      </c>
      <c r="B2745" t="inlineStr">
        <is>
          <t>Love Cabaret</t>
        </is>
      </c>
      <c r="C2745" s="27" t="n">
        <v>45694</v>
      </c>
      <c r="D2745" t="n">
        <v>0</v>
      </c>
      <c r="E2745" t="inlineStr">
        <is>
          <t>ANTECIPADO</t>
        </is>
      </c>
    </row>
    <row r="2746">
      <c r="A2746" t="n">
        <v>128</v>
      </c>
      <c r="B2746" t="inlineStr">
        <is>
          <t>Love Cabaret</t>
        </is>
      </c>
      <c r="C2746" s="27" t="n">
        <v>45694</v>
      </c>
      <c r="D2746" t="n">
        <v>0</v>
      </c>
      <c r="E2746" t="inlineStr">
        <is>
          <t>ANTECIPADO</t>
        </is>
      </c>
    </row>
    <row r="2747">
      <c r="A2747" t="n">
        <v>128</v>
      </c>
      <c r="B2747" t="inlineStr">
        <is>
          <t>Love Cabaret</t>
        </is>
      </c>
      <c r="C2747" s="27" t="n">
        <v>45694</v>
      </c>
      <c r="D2747" t="n">
        <v>0</v>
      </c>
      <c r="E2747" t="inlineStr">
        <is>
          <t>RAPPI</t>
        </is>
      </c>
    </row>
    <row r="2748">
      <c r="A2748" t="n">
        <v>128</v>
      </c>
      <c r="B2748" t="inlineStr">
        <is>
          <t>Love Cabaret</t>
        </is>
      </c>
      <c r="C2748" s="27" t="n">
        <v>45694</v>
      </c>
      <c r="D2748" t="n">
        <v>19087.18</v>
      </c>
      <c r="E2748" t="inlineStr">
        <is>
          <t>CRÉDITO</t>
        </is>
      </c>
    </row>
    <row r="2749">
      <c r="A2749" t="n">
        <v>128</v>
      </c>
      <c r="B2749" t="inlineStr">
        <is>
          <t>Love Cabaret</t>
        </is>
      </c>
      <c r="C2749" s="27" t="n">
        <v>45694</v>
      </c>
      <c r="D2749" t="n">
        <v>0</v>
      </c>
      <c r="E2749" t="inlineStr">
        <is>
          <t>OUTROS</t>
        </is>
      </c>
    </row>
    <row r="2750">
      <c r="A2750" t="n">
        <v>128</v>
      </c>
      <c r="B2750" t="inlineStr">
        <is>
          <t>Love Cabaret</t>
        </is>
      </c>
      <c r="C2750" s="27" t="n">
        <v>45694</v>
      </c>
      <c r="D2750" t="n">
        <v>395.5</v>
      </c>
      <c r="E2750" t="inlineStr">
        <is>
          <t>DINHEIRO</t>
        </is>
      </c>
    </row>
    <row r="2751">
      <c r="A2751" t="n">
        <v>128</v>
      </c>
      <c r="B2751" t="inlineStr">
        <is>
          <t>Love Cabaret</t>
        </is>
      </c>
      <c r="C2751" s="27" t="n">
        <v>45694</v>
      </c>
      <c r="D2751" t="n">
        <v>0</v>
      </c>
      <c r="E2751" t="inlineStr">
        <is>
          <t>IFOOD</t>
        </is>
      </c>
    </row>
    <row r="2752">
      <c r="A2752" t="n">
        <v>128</v>
      </c>
      <c r="B2752" t="inlineStr">
        <is>
          <t>Love Cabaret</t>
        </is>
      </c>
      <c r="C2752" s="27" t="n">
        <v>45694</v>
      </c>
      <c r="D2752" t="n">
        <v>0</v>
      </c>
      <c r="E2752" t="inlineStr">
        <is>
          <t>DELIVERY ONLINE</t>
        </is>
      </c>
    </row>
    <row r="2753">
      <c r="A2753" t="n">
        <v>128</v>
      </c>
      <c r="B2753" t="inlineStr">
        <is>
          <t>Love Cabaret</t>
        </is>
      </c>
      <c r="C2753" s="27" t="n">
        <v>45694</v>
      </c>
      <c r="D2753" t="n">
        <v>324.31</v>
      </c>
      <c r="E2753" t="inlineStr">
        <is>
          <t>APP</t>
        </is>
      </c>
    </row>
    <row r="2754">
      <c r="A2754" t="n">
        <v>128</v>
      </c>
      <c r="B2754" t="inlineStr">
        <is>
          <t>Love Cabaret</t>
        </is>
      </c>
      <c r="C2754" s="27" t="n">
        <v>45694</v>
      </c>
      <c r="D2754" t="n">
        <v>0</v>
      </c>
      <c r="E2754" t="inlineStr">
        <is>
          <t>UBER</t>
        </is>
      </c>
    </row>
    <row r="2755">
      <c r="A2755" t="n">
        <v>128</v>
      </c>
      <c r="B2755" t="inlineStr">
        <is>
          <t>Love Cabaret</t>
        </is>
      </c>
      <c r="C2755" s="27" t="n">
        <v>45694</v>
      </c>
      <c r="D2755" t="n">
        <v>0</v>
      </c>
      <c r="E2755" t="inlineStr">
        <is>
          <t>AME</t>
        </is>
      </c>
    </row>
    <row r="2756">
      <c r="A2756" t="n">
        <v>128</v>
      </c>
      <c r="B2756" t="inlineStr">
        <is>
          <t>Love Cabaret</t>
        </is>
      </c>
      <c r="C2756" s="27" t="n">
        <v>45694</v>
      </c>
      <c r="D2756" t="n">
        <v>0</v>
      </c>
      <c r="E2756" t="inlineStr">
        <is>
          <t>RECARGAS DEVOLVIDAS</t>
        </is>
      </c>
    </row>
    <row r="2757">
      <c r="A2757" t="n">
        <v>128</v>
      </c>
      <c r="B2757" t="inlineStr">
        <is>
          <t>Love Cabaret</t>
        </is>
      </c>
      <c r="C2757" s="27" t="n">
        <v>45692</v>
      </c>
      <c r="D2757" t="n">
        <v>0</v>
      </c>
      <c r="E2757" t="inlineStr">
        <is>
          <t>RAPPI</t>
        </is>
      </c>
    </row>
    <row r="2758">
      <c r="A2758" t="n">
        <v>128</v>
      </c>
      <c r="B2758" t="inlineStr">
        <is>
          <t>Love Cabaret</t>
        </is>
      </c>
      <c r="C2758" s="27" t="n">
        <v>45692</v>
      </c>
      <c r="D2758" t="n">
        <v>0</v>
      </c>
      <c r="E2758" t="inlineStr">
        <is>
          <t>MBWAY</t>
        </is>
      </c>
    </row>
    <row r="2759">
      <c r="A2759" t="n">
        <v>128</v>
      </c>
      <c r="B2759" t="inlineStr">
        <is>
          <t>Love Cabaret</t>
        </is>
      </c>
      <c r="C2759" s="27" t="n">
        <v>45692</v>
      </c>
      <c r="D2759" t="n">
        <v>0</v>
      </c>
      <c r="E2759" t="inlineStr">
        <is>
          <t>VOUCHER INTEGRADO</t>
        </is>
      </c>
    </row>
    <row r="2760">
      <c r="A2760" t="n">
        <v>128</v>
      </c>
      <c r="B2760" t="inlineStr">
        <is>
          <t>Love Cabaret</t>
        </is>
      </c>
      <c r="C2760" s="27" t="n">
        <v>45692</v>
      </c>
      <c r="D2760" t="n">
        <v>0</v>
      </c>
      <c r="E2760" t="inlineStr">
        <is>
          <t>RECARGAS DEVOLVIDAS</t>
        </is>
      </c>
    </row>
    <row r="2761">
      <c r="A2761" t="n">
        <v>128</v>
      </c>
      <c r="B2761" t="inlineStr">
        <is>
          <t>Love Cabaret</t>
        </is>
      </c>
      <c r="C2761" s="27" t="n">
        <v>45692</v>
      </c>
      <c r="D2761" t="n">
        <v>0</v>
      </c>
      <c r="E2761" t="inlineStr">
        <is>
          <t>NOTAS MANUAIS + SERVIÇO</t>
        </is>
      </c>
    </row>
    <row r="2762">
      <c r="A2762" t="n">
        <v>128</v>
      </c>
      <c r="B2762" t="inlineStr">
        <is>
          <t>Love Cabaret</t>
        </is>
      </c>
      <c r="C2762" s="27" t="n">
        <v>45692</v>
      </c>
      <c r="D2762" t="n">
        <v>0</v>
      </c>
      <c r="E2762" t="inlineStr">
        <is>
          <t>AME</t>
        </is>
      </c>
    </row>
    <row r="2763">
      <c r="A2763" t="n">
        <v>128</v>
      </c>
      <c r="B2763" t="inlineStr">
        <is>
          <t>Love Cabaret</t>
        </is>
      </c>
      <c r="C2763" s="27" t="n">
        <v>45692</v>
      </c>
      <c r="D2763" t="n">
        <v>256.01</v>
      </c>
      <c r="E2763" t="inlineStr">
        <is>
          <t>OUTROS</t>
        </is>
      </c>
    </row>
    <row r="2764">
      <c r="A2764" t="n">
        <v>128</v>
      </c>
      <c r="B2764" t="inlineStr">
        <is>
          <t>Love Cabaret</t>
        </is>
      </c>
      <c r="C2764" s="27" t="n">
        <v>45692</v>
      </c>
      <c r="D2764" t="n">
        <v>0</v>
      </c>
      <c r="E2764" t="inlineStr">
        <is>
          <t>ANTECIPADO</t>
        </is>
      </c>
    </row>
    <row r="2765">
      <c r="A2765" t="n">
        <v>128</v>
      </c>
      <c r="B2765" t="inlineStr">
        <is>
          <t>Love Cabaret</t>
        </is>
      </c>
      <c r="C2765" s="27" t="n">
        <v>45692</v>
      </c>
      <c r="D2765" t="n">
        <v>0</v>
      </c>
      <c r="E2765" t="inlineStr">
        <is>
          <t>BÔNUS</t>
        </is>
      </c>
    </row>
    <row r="2766">
      <c r="A2766" t="n">
        <v>128</v>
      </c>
      <c r="B2766" t="inlineStr">
        <is>
          <t>Love Cabaret</t>
        </is>
      </c>
      <c r="C2766" s="27" t="n">
        <v>45692</v>
      </c>
      <c r="D2766" t="n">
        <v>0</v>
      </c>
      <c r="E2766" t="inlineStr">
        <is>
          <t>DÉBITO</t>
        </is>
      </c>
    </row>
    <row r="2767">
      <c r="A2767" t="n">
        <v>128</v>
      </c>
      <c r="B2767" t="inlineStr">
        <is>
          <t>Love Cabaret</t>
        </is>
      </c>
      <c r="C2767" s="27" t="n">
        <v>45692</v>
      </c>
      <c r="D2767" t="n">
        <v>0</v>
      </c>
      <c r="E2767" t="inlineStr">
        <is>
          <t>VOUCHER</t>
        </is>
      </c>
    </row>
    <row r="2768">
      <c r="A2768" t="n">
        <v>128</v>
      </c>
      <c r="B2768" t="inlineStr">
        <is>
          <t>Love Cabaret</t>
        </is>
      </c>
      <c r="C2768" s="27" t="n">
        <v>45692</v>
      </c>
      <c r="D2768" t="n">
        <v>0</v>
      </c>
      <c r="E2768" t="inlineStr">
        <is>
          <t>ANTECIPADO</t>
        </is>
      </c>
    </row>
    <row r="2769">
      <c r="A2769" t="n">
        <v>128</v>
      </c>
      <c r="B2769" t="inlineStr">
        <is>
          <t>Love Cabaret</t>
        </is>
      </c>
      <c r="C2769" s="27" t="n">
        <v>45692</v>
      </c>
      <c r="D2769" t="n">
        <v>0</v>
      </c>
      <c r="E2769" t="inlineStr">
        <is>
          <t>PIX</t>
        </is>
      </c>
    </row>
    <row r="2770">
      <c r="A2770" t="n">
        <v>128</v>
      </c>
      <c r="B2770" t="inlineStr">
        <is>
          <t>Love Cabaret</t>
        </is>
      </c>
      <c r="C2770" s="27" t="n">
        <v>45692</v>
      </c>
      <c r="D2770" t="n">
        <v>0</v>
      </c>
      <c r="E2770" t="inlineStr">
        <is>
          <t>IFOOD</t>
        </is>
      </c>
    </row>
    <row r="2771">
      <c r="A2771" t="n">
        <v>128</v>
      </c>
      <c r="B2771" t="inlineStr">
        <is>
          <t>Love Cabaret</t>
        </is>
      </c>
      <c r="C2771" s="27" t="n">
        <v>45692</v>
      </c>
      <c r="D2771" t="n">
        <v>0</v>
      </c>
      <c r="E2771" t="inlineStr">
        <is>
          <t>DELIVERY ONLINE</t>
        </is>
      </c>
    </row>
    <row r="2772">
      <c r="A2772" t="n">
        <v>128</v>
      </c>
      <c r="B2772" t="inlineStr">
        <is>
          <t>Love Cabaret</t>
        </is>
      </c>
      <c r="C2772" s="27" t="n">
        <v>45692</v>
      </c>
      <c r="D2772" t="n">
        <v>0</v>
      </c>
      <c r="E2772" t="inlineStr">
        <is>
          <t>APP</t>
        </is>
      </c>
    </row>
    <row r="2773">
      <c r="A2773" t="n">
        <v>128</v>
      </c>
      <c r="B2773" t="inlineStr">
        <is>
          <t>Love Cabaret</t>
        </is>
      </c>
      <c r="C2773" s="27" t="n">
        <v>45692</v>
      </c>
      <c r="D2773" t="n">
        <v>0</v>
      </c>
      <c r="E2773" t="inlineStr">
        <is>
          <t>DINHEIRO</t>
        </is>
      </c>
    </row>
    <row r="2774">
      <c r="A2774" t="n">
        <v>128</v>
      </c>
      <c r="B2774" t="inlineStr">
        <is>
          <t>Love Cabaret</t>
        </is>
      </c>
      <c r="C2774" s="27" t="n">
        <v>45692</v>
      </c>
      <c r="D2774" t="n">
        <v>0</v>
      </c>
      <c r="E2774" t="inlineStr">
        <is>
          <t>CRÉDITO</t>
        </is>
      </c>
    </row>
    <row r="2775">
      <c r="A2775" t="n">
        <v>128</v>
      </c>
      <c r="B2775" t="inlineStr">
        <is>
          <t>Love Cabaret</t>
        </is>
      </c>
      <c r="C2775" s="27" t="n">
        <v>45692</v>
      </c>
      <c r="D2775" t="n">
        <v>0</v>
      </c>
      <c r="E2775" t="inlineStr">
        <is>
          <t>UBER</t>
        </is>
      </c>
    </row>
    <row r="2776">
      <c r="A2776" t="n">
        <v>128</v>
      </c>
      <c r="B2776" t="inlineStr">
        <is>
          <t>Love Cabaret</t>
        </is>
      </c>
      <c r="C2776" s="27" t="n">
        <v>45689</v>
      </c>
      <c r="D2776" t="n">
        <v>0</v>
      </c>
      <c r="E2776" t="inlineStr">
        <is>
          <t>BÔNUS</t>
        </is>
      </c>
    </row>
    <row r="2777">
      <c r="A2777" t="n">
        <v>128</v>
      </c>
      <c r="B2777" t="inlineStr">
        <is>
          <t>Love Cabaret</t>
        </is>
      </c>
      <c r="C2777" s="27" t="n">
        <v>45689</v>
      </c>
      <c r="D2777" t="n">
        <v>0</v>
      </c>
      <c r="E2777" t="inlineStr">
        <is>
          <t>RAPPI</t>
        </is>
      </c>
    </row>
    <row r="2778">
      <c r="A2778" t="n">
        <v>128</v>
      </c>
      <c r="B2778" t="inlineStr">
        <is>
          <t>Love Cabaret</t>
        </is>
      </c>
      <c r="C2778" s="27" t="n">
        <v>45689</v>
      </c>
      <c r="D2778" t="n">
        <v>0</v>
      </c>
      <c r="E2778" t="inlineStr">
        <is>
          <t>UBER</t>
        </is>
      </c>
    </row>
    <row r="2779">
      <c r="A2779" t="n">
        <v>128</v>
      </c>
      <c r="B2779" t="inlineStr">
        <is>
          <t>Love Cabaret</t>
        </is>
      </c>
      <c r="C2779" s="27" t="n">
        <v>45689</v>
      </c>
      <c r="D2779" t="n">
        <v>7503.54</v>
      </c>
      <c r="E2779" t="inlineStr">
        <is>
          <t>DÉBITO</t>
        </is>
      </c>
    </row>
    <row r="2780">
      <c r="A2780" t="n">
        <v>128</v>
      </c>
      <c r="B2780" t="inlineStr">
        <is>
          <t>Love Cabaret</t>
        </is>
      </c>
      <c r="C2780" s="27" t="n">
        <v>45689</v>
      </c>
      <c r="D2780" t="n">
        <v>0</v>
      </c>
      <c r="E2780" t="inlineStr">
        <is>
          <t>VOUCHER</t>
        </is>
      </c>
    </row>
    <row r="2781">
      <c r="A2781" t="n">
        <v>128</v>
      </c>
      <c r="B2781" t="inlineStr">
        <is>
          <t>Love Cabaret</t>
        </is>
      </c>
      <c r="C2781" s="27" t="n">
        <v>45689</v>
      </c>
      <c r="D2781" t="n">
        <v>0</v>
      </c>
      <c r="E2781" t="inlineStr">
        <is>
          <t>ANTECIPADO</t>
        </is>
      </c>
    </row>
    <row r="2782">
      <c r="A2782" t="n">
        <v>128</v>
      </c>
      <c r="B2782" t="inlineStr">
        <is>
          <t>Love Cabaret</t>
        </is>
      </c>
      <c r="C2782" s="27" t="n">
        <v>45689</v>
      </c>
      <c r="D2782" t="n">
        <v>1652.06</v>
      </c>
      <c r="E2782" t="inlineStr">
        <is>
          <t>PIX</t>
        </is>
      </c>
    </row>
    <row r="2783">
      <c r="A2783" t="n">
        <v>128</v>
      </c>
      <c r="B2783" t="inlineStr">
        <is>
          <t>Love Cabaret</t>
        </is>
      </c>
      <c r="C2783" s="27" t="n">
        <v>45689</v>
      </c>
      <c r="D2783" t="n">
        <v>0</v>
      </c>
      <c r="E2783" t="inlineStr">
        <is>
          <t>MBWAY</t>
        </is>
      </c>
    </row>
    <row r="2784">
      <c r="A2784" t="n">
        <v>128</v>
      </c>
      <c r="B2784" t="inlineStr">
        <is>
          <t>Love Cabaret</t>
        </is>
      </c>
      <c r="C2784" s="27" t="n">
        <v>45689</v>
      </c>
      <c r="D2784" t="n">
        <v>0</v>
      </c>
      <c r="E2784" t="inlineStr">
        <is>
          <t>VOUCHER INTEGRADO</t>
        </is>
      </c>
    </row>
    <row r="2785">
      <c r="A2785" t="n">
        <v>128</v>
      </c>
      <c r="B2785" t="inlineStr">
        <is>
          <t>Love Cabaret</t>
        </is>
      </c>
      <c r="C2785" s="27" t="n">
        <v>45689</v>
      </c>
      <c r="D2785" t="n">
        <v>0</v>
      </c>
      <c r="E2785" t="inlineStr">
        <is>
          <t>RECARGAS DEVOLVIDAS</t>
        </is>
      </c>
    </row>
    <row r="2786">
      <c r="A2786" t="n">
        <v>128</v>
      </c>
      <c r="B2786" t="inlineStr">
        <is>
          <t>Love Cabaret</t>
        </is>
      </c>
      <c r="C2786" s="27" t="n">
        <v>45689</v>
      </c>
      <c r="D2786" t="n">
        <v>0</v>
      </c>
      <c r="E2786" t="inlineStr">
        <is>
          <t>NOTAS MANUAIS + SERVIÇO</t>
        </is>
      </c>
    </row>
    <row r="2787">
      <c r="A2787" t="n">
        <v>128</v>
      </c>
      <c r="B2787" t="inlineStr">
        <is>
          <t>Love Cabaret</t>
        </is>
      </c>
      <c r="C2787" s="27" t="n">
        <v>45689</v>
      </c>
      <c r="D2787" t="n">
        <v>0</v>
      </c>
      <c r="E2787" t="inlineStr">
        <is>
          <t>AME</t>
        </is>
      </c>
    </row>
    <row r="2788">
      <c r="A2788" t="n">
        <v>128</v>
      </c>
      <c r="B2788" t="inlineStr">
        <is>
          <t>Love Cabaret</t>
        </is>
      </c>
      <c r="C2788" s="27" t="n">
        <v>45689</v>
      </c>
      <c r="D2788" t="n">
        <v>0</v>
      </c>
      <c r="E2788" t="inlineStr">
        <is>
          <t>OUTROS</t>
        </is>
      </c>
    </row>
    <row r="2789">
      <c r="A2789" t="n">
        <v>128</v>
      </c>
      <c r="B2789" t="inlineStr">
        <is>
          <t>Love Cabaret</t>
        </is>
      </c>
      <c r="C2789" s="27" t="n">
        <v>45689</v>
      </c>
      <c r="D2789" t="n">
        <v>0</v>
      </c>
      <c r="E2789" t="inlineStr">
        <is>
          <t>ANTECIPADO</t>
        </is>
      </c>
    </row>
    <row r="2790">
      <c r="A2790" t="n">
        <v>128</v>
      </c>
      <c r="B2790" t="inlineStr">
        <is>
          <t>Love Cabaret</t>
        </is>
      </c>
      <c r="C2790" s="27" t="n">
        <v>45689</v>
      </c>
      <c r="D2790" t="n">
        <v>0</v>
      </c>
      <c r="E2790" t="inlineStr">
        <is>
          <t>IFOOD</t>
        </is>
      </c>
    </row>
    <row r="2791">
      <c r="A2791" t="n">
        <v>128</v>
      </c>
      <c r="B2791" t="inlineStr">
        <is>
          <t>Love Cabaret</t>
        </is>
      </c>
      <c r="C2791" s="27" t="n">
        <v>45689</v>
      </c>
      <c r="D2791" t="n">
        <v>0</v>
      </c>
      <c r="E2791" t="inlineStr">
        <is>
          <t>DELIVERY ONLINE</t>
        </is>
      </c>
    </row>
    <row r="2792">
      <c r="A2792" t="n">
        <v>128</v>
      </c>
      <c r="B2792" t="inlineStr">
        <is>
          <t>Love Cabaret</t>
        </is>
      </c>
      <c r="C2792" s="27" t="n">
        <v>45689</v>
      </c>
      <c r="D2792" t="n">
        <v>0</v>
      </c>
      <c r="E2792" t="inlineStr">
        <is>
          <t>APP</t>
        </is>
      </c>
    </row>
    <row r="2793">
      <c r="A2793" t="n">
        <v>128</v>
      </c>
      <c r="B2793" t="inlineStr">
        <is>
          <t>Love Cabaret</t>
        </is>
      </c>
      <c r="C2793" s="27" t="n">
        <v>45689</v>
      </c>
      <c r="D2793" t="n">
        <v>0</v>
      </c>
      <c r="E2793" t="inlineStr">
        <is>
          <t>DINHEIRO</t>
        </is>
      </c>
    </row>
    <row r="2794">
      <c r="A2794" t="n">
        <v>128</v>
      </c>
      <c r="B2794" t="inlineStr">
        <is>
          <t>Love Cabaret</t>
        </is>
      </c>
      <c r="C2794" s="27" t="n">
        <v>45689</v>
      </c>
      <c r="D2794" t="n">
        <v>16111.04</v>
      </c>
      <c r="E2794" t="inlineStr">
        <is>
          <t>CRÉDITO</t>
        </is>
      </c>
    </row>
    <row r="2795">
      <c r="A2795" t="n">
        <v>128</v>
      </c>
      <c r="B2795" t="inlineStr">
        <is>
          <t>Love Cabaret</t>
        </is>
      </c>
      <c r="C2795" s="27" t="n">
        <v>45688</v>
      </c>
      <c r="D2795" t="n">
        <v>0</v>
      </c>
      <c r="E2795" t="inlineStr">
        <is>
          <t>VOUCHER</t>
        </is>
      </c>
    </row>
    <row r="2796">
      <c r="A2796" t="n">
        <v>128</v>
      </c>
      <c r="B2796" t="inlineStr">
        <is>
          <t>Love Cabaret</t>
        </is>
      </c>
      <c r="C2796" s="27" t="n">
        <v>45688</v>
      </c>
      <c r="D2796" t="n">
        <v>11275.73</v>
      </c>
      <c r="E2796" t="inlineStr">
        <is>
          <t>CRÉDITO</t>
        </is>
      </c>
    </row>
    <row r="2797">
      <c r="A2797" t="n">
        <v>128</v>
      </c>
      <c r="B2797" t="inlineStr">
        <is>
          <t>Love Cabaret</t>
        </is>
      </c>
      <c r="C2797" s="27" t="n">
        <v>45688</v>
      </c>
      <c r="D2797" t="n">
        <v>0</v>
      </c>
      <c r="E2797" t="inlineStr">
        <is>
          <t>UBER</t>
        </is>
      </c>
    </row>
    <row r="2798">
      <c r="A2798" t="n">
        <v>128</v>
      </c>
      <c r="B2798" t="inlineStr">
        <is>
          <t>Love Cabaret</t>
        </is>
      </c>
      <c r="C2798" s="27" t="n">
        <v>45688</v>
      </c>
      <c r="D2798" t="n">
        <v>0</v>
      </c>
      <c r="E2798" t="inlineStr">
        <is>
          <t>ANTECIPADO</t>
        </is>
      </c>
    </row>
    <row r="2799">
      <c r="A2799" t="n">
        <v>128</v>
      </c>
      <c r="B2799" t="inlineStr">
        <is>
          <t>Love Cabaret</t>
        </is>
      </c>
      <c r="C2799" s="27" t="n">
        <v>45688</v>
      </c>
      <c r="D2799" t="n">
        <v>0</v>
      </c>
      <c r="E2799" t="inlineStr">
        <is>
          <t>RAPPI</t>
        </is>
      </c>
    </row>
    <row r="2800">
      <c r="A2800" t="n">
        <v>128</v>
      </c>
      <c r="B2800" t="inlineStr">
        <is>
          <t>Love Cabaret</t>
        </is>
      </c>
      <c r="C2800" s="27" t="n">
        <v>45688</v>
      </c>
      <c r="D2800" t="n">
        <v>4252.17</v>
      </c>
      <c r="E2800" t="inlineStr">
        <is>
          <t>DÉBITO</t>
        </is>
      </c>
    </row>
    <row r="2801">
      <c r="A2801" t="n">
        <v>128</v>
      </c>
      <c r="B2801" t="inlineStr">
        <is>
          <t>Love Cabaret</t>
        </is>
      </c>
      <c r="C2801" s="27" t="n">
        <v>45688</v>
      </c>
      <c r="D2801" t="n">
        <v>0</v>
      </c>
      <c r="E2801" t="inlineStr">
        <is>
          <t>BÔNUS</t>
        </is>
      </c>
    </row>
    <row r="2802">
      <c r="A2802" t="n">
        <v>128</v>
      </c>
      <c r="B2802" t="inlineStr">
        <is>
          <t>Love Cabaret</t>
        </is>
      </c>
      <c r="C2802" s="27" t="n">
        <v>45688</v>
      </c>
      <c r="D2802" t="n">
        <v>105.7</v>
      </c>
      <c r="E2802" t="inlineStr">
        <is>
          <t>DINHEIRO</t>
        </is>
      </c>
    </row>
    <row r="2803">
      <c r="A2803" t="n">
        <v>128</v>
      </c>
      <c r="B2803" t="inlineStr">
        <is>
          <t>Love Cabaret</t>
        </is>
      </c>
      <c r="C2803" s="27" t="n">
        <v>45688</v>
      </c>
      <c r="D2803" t="n">
        <v>0</v>
      </c>
      <c r="E2803" t="inlineStr">
        <is>
          <t>APP</t>
        </is>
      </c>
    </row>
    <row r="2804">
      <c r="A2804" t="n">
        <v>128</v>
      </c>
      <c r="B2804" t="inlineStr">
        <is>
          <t>Love Cabaret</t>
        </is>
      </c>
      <c r="C2804" s="27" t="n">
        <v>45688</v>
      </c>
      <c r="D2804" t="n">
        <v>0</v>
      </c>
      <c r="E2804" t="inlineStr">
        <is>
          <t>DELIVERY ONLINE</t>
        </is>
      </c>
    </row>
    <row r="2805">
      <c r="A2805" t="n">
        <v>128</v>
      </c>
      <c r="B2805" t="inlineStr">
        <is>
          <t>Love Cabaret</t>
        </is>
      </c>
      <c r="C2805" s="27" t="n">
        <v>45688</v>
      </c>
      <c r="D2805" t="n">
        <v>0</v>
      </c>
      <c r="E2805" t="inlineStr">
        <is>
          <t>IFOOD</t>
        </is>
      </c>
    </row>
    <row r="2806">
      <c r="A2806" t="n">
        <v>128</v>
      </c>
      <c r="B2806" t="inlineStr">
        <is>
          <t>Love Cabaret</t>
        </is>
      </c>
      <c r="C2806" s="27" t="n">
        <v>45688</v>
      </c>
      <c r="D2806" t="n">
        <v>1566.97</v>
      </c>
      <c r="E2806" t="inlineStr">
        <is>
          <t>PIX</t>
        </is>
      </c>
    </row>
    <row r="2807">
      <c r="A2807" t="n">
        <v>128</v>
      </c>
      <c r="B2807" t="inlineStr">
        <is>
          <t>Love Cabaret</t>
        </is>
      </c>
      <c r="C2807" s="27" t="n">
        <v>45688</v>
      </c>
      <c r="D2807" t="n">
        <v>0</v>
      </c>
      <c r="E2807" t="inlineStr">
        <is>
          <t>MBWAY</t>
        </is>
      </c>
    </row>
    <row r="2808">
      <c r="A2808" t="n">
        <v>128</v>
      </c>
      <c r="B2808" t="inlineStr">
        <is>
          <t>Love Cabaret</t>
        </is>
      </c>
      <c r="C2808" s="27" t="n">
        <v>45688</v>
      </c>
      <c r="D2808" t="n">
        <v>0</v>
      </c>
      <c r="E2808" t="inlineStr">
        <is>
          <t>ANTECIPADO</t>
        </is>
      </c>
    </row>
    <row r="2809">
      <c r="A2809" t="n">
        <v>128</v>
      </c>
      <c r="B2809" t="inlineStr">
        <is>
          <t>Love Cabaret</t>
        </is>
      </c>
      <c r="C2809" s="27" t="n">
        <v>45688</v>
      </c>
      <c r="D2809" t="n">
        <v>0</v>
      </c>
      <c r="E2809" t="inlineStr">
        <is>
          <t>OUTROS</t>
        </is>
      </c>
    </row>
    <row r="2810">
      <c r="A2810" t="n">
        <v>128</v>
      </c>
      <c r="B2810" t="inlineStr">
        <is>
          <t>Love Cabaret</t>
        </is>
      </c>
      <c r="C2810" s="27" t="n">
        <v>45688</v>
      </c>
      <c r="D2810" t="n">
        <v>0</v>
      </c>
      <c r="E2810" t="inlineStr">
        <is>
          <t>AME</t>
        </is>
      </c>
    </row>
    <row r="2811">
      <c r="A2811" t="n">
        <v>128</v>
      </c>
      <c r="B2811" t="inlineStr">
        <is>
          <t>Love Cabaret</t>
        </is>
      </c>
      <c r="C2811" s="27" t="n">
        <v>45688</v>
      </c>
      <c r="D2811" t="n">
        <v>0</v>
      </c>
      <c r="E2811" t="inlineStr">
        <is>
          <t>NOTAS MANUAIS + SERVIÇO</t>
        </is>
      </c>
    </row>
    <row r="2812">
      <c r="A2812" t="n">
        <v>128</v>
      </c>
      <c r="B2812" t="inlineStr">
        <is>
          <t>Love Cabaret</t>
        </is>
      </c>
      <c r="C2812" s="27" t="n">
        <v>45688</v>
      </c>
      <c r="D2812" t="n">
        <v>0</v>
      </c>
      <c r="E2812" t="inlineStr">
        <is>
          <t>RECARGAS DEVOLVIDAS</t>
        </is>
      </c>
    </row>
    <row r="2813">
      <c r="A2813" t="n">
        <v>128</v>
      </c>
      <c r="B2813" t="inlineStr">
        <is>
          <t>Love Cabaret</t>
        </is>
      </c>
      <c r="C2813" s="27" t="n">
        <v>45688</v>
      </c>
      <c r="D2813" t="n">
        <v>0</v>
      </c>
      <c r="E2813" t="inlineStr">
        <is>
          <t>VOUCHER INTEGRADO</t>
        </is>
      </c>
    </row>
    <row r="2814">
      <c r="A2814" t="n">
        <v>128</v>
      </c>
      <c r="B2814" t="inlineStr">
        <is>
          <t>Love Cabaret</t>
        </is>
      </c>
      <c r="C2814" s="27" t="n">
        <v>45687</v>
      </c>
      <c r="D2814" t="n">
        <v>0</v>
      </c>
      <c r="E2814" t="inlineStr">
        <is>
          <t>DINHEIRO</t>
        </is>
      </c>
    </row>
    <row r="2815">
      <c r="A2815" t="n">
        <v>128</v>
      </c>
      <c r="B2815" t="inlineStr">
        <is>
          <t>Love Cabaret</t>
        </is>
      </c>
      <c r="C2815" s="27" t="n">
        <v>45687</v>
      </c>
      <c r="D2815" t="n">
        <v>0</v>
      </c>
      <c r="E2815" t="inlineStr">
        <is>
          <t>UBER</t>
        </is>
      </c>
    </row>
    <row r="2816">
      <c r="A2816" t="n">
        <v>128</v>
      </c>
      <c r="B2816" t="inlineStr">
        <is>
          <t>Love Cabaret</t>
        </is>
      </c>
      <c r="C2816" s="27" t="n">
        <v>45687</v>
      </c>
      <c r="D2816" t="n">
        <v>0</v>
      </c>
      <c r="E2816" t="inlineStr">
        <is>
          <t>ANTECIPADO</t>
        </is>
      </c>
    </row>
    <row r="2817">
      <c r="A2817" t="n">
        <v>128</v>
      </c>
      <c r="B2817" t="inlineStr">
        <is>
          <t>Love Cabaret</t>
        </is>
      </c>
      <c r="C2817" s="27" t="n">
        <v>45687</v>
      </c>
      <c r="D2817" t="n">
        <v>0</v>
      </c>
      <c r="E2817" t="inlineStr">
        <is>
          <t>VOUCHER</t>
        </is>
      </c>
    </row>
    <row r="2818">
      <c r="A2818" t="n">
        <v>128</v>
      </c>
      <c r="B2818" t="inlineStr">
        <is>
          <t>Love Cabaret</t>
        </is>
      </c>
      <c r="C2818" s="27" t="n">
        <v>45687</v>
      </c>
      <c r="D2818" t="n">
        <v>4363.8</v>
      </c>
      <c r="E2818" t="inlineStr">
        <is>
          <t>DÉBITO</t>
        </is>
      </c>
    </row>
    <row r="2819">
      <c r="A2819" t="n">
        <v>128</v>
      </c>
      <c r="B2819" t="inlineStr">
        <is>
          <t>Love Cabaret</t>
        </is>
      </c>
      <c r="C2819" s="27" t="n">
        <v>45687</v>
      </c>
      <c r="D2819" t="n">
        <v>0</v>
      </c>
      <c r="E2819" t="inlineStr">
        <is>
          <t>BÔNUS</t>
        </is>
      </c>
    </row>
    <row r="2820">
      <c r="A2820" t="n">
        <v>128</v>
      </c>
      <c r="B2820" t="inlineStr">
        <is>
          <t>Love Cabaret</t>
        </is>
      </c>
      <c r="C2820" s="27" t="n">
        <v>45687</v>
      </c>
      <c r="D2820" t="n">
        <v>0</v>
      </c>
      <c r="E2820" t="inlineStr">
        <is>
          <t>ANTECIPADO</t>
        </is>
      </c>
    </row>
    <row r="2821">
      <c r="A2821" t="n">
        <v>128</v>
      </c>
      <c r="B2821" t="inlineStr">
        <is>
          <t>Love Cabaret</t>
        </is>
      </c>
      <c r="C2821" s="27" t="n">
        <v>45687</v>
      </c>
      <c r="D2821" t="n">
        <v>0</v>
      </c>
      <c r="E2821" t="inlineStr">
        <is>
          <t>OUTROS</t>
        </is>
      </c>
    </row>
    <row r="2822">
      <c r="A2822" t="n">
        <v>128</v>
      </c>
      <c r="B2822" t="inlineStr">
        <is>
          <t>Love Cabaret</t>
        </is>
      </c>
      <c r="C2822" s="27" t="n">
        <v>45687</v>
      </c>
      <c r="D2822" t="n">
        <v>0</v>
      </c>
      <c r="E2822" t="inlineStr">
        <is>
          <t>AME</t>
        </is>
      </c>
    </row>
    <row r="2823">
      <c r="A2823" t="n">
        <v>128</v>
      </c>
      <c r="B2823" t="inlineStr">
        <is>
          <t>Love Cabaret</t>
        </is>
      </c>
      <c r="C2823" s="27" t="n">
        <v>45687</v>
      </c>
      <c r="D2823" t="n">
        <v>0</v>
      </c>
      <c r="E2823" t="inlineStr">
        <is>
          <t>NOTAS MANUAIS + SERVIÇO</t>
        </is>
      </c>
    </row>
    <row r="2824">
      <c r="A2824" t="n">
        <v>128</v>
      </c>
      <c r="B2824" t="inlineStr">
        <is>
          <t>Love Cabaret</t>
        </is>
      </c>
      <c r="C2824" s="27" t="n">
        <v>45687</v>
      </c>
      <c r="D2824" t="n">
        <v>0</v>
      </c>
      <c r="E2824" t="inlineStr">
        <is>
          <t>RECARGAS DEVOLVIDAS</t>
        </is>
      </c>
    </row>
    <row r="2825">
      <c r="A2825" t="n">
        <v>128</v>
      </c>
      <c r="B2825" t="inlineStr">
        <is>
          <t>Love Cabaret</t>
        </is>
      </c>
      <c r="C2825" s="27" t="n">
        <v>45687</v>
      </c>
      <c r="D2825" t="n">
        <v>0</v>
      </c>
      <c r="E2825" t="inlineStr">
        <is>
          <t>RAPPI</t>
        </is>
      </c>
    </row>
    <row r="2826">
      <c r="A2826" t="n">
        <v>128</v>
      </c>
      <c r="B2826" t="inlineStr">
        <is>
          <t>Love Cabaret</t>
        </is>
      </c>
      <c r="C2826" s="27" t="n">
        <v>45687</v>
      </c>
      <c r="D2826" t="n">
        <v>0</v>
      </c>
      <c r="E2826" t="inlineStr">
        <is>
          <t>VOUCHER INTEGRADO</t>
        </is>
      </c>
    </row>
    <row r="2827">
      <c r="A2827" t="n">
        <v>128</v>
      </c>
      <c r="B2827" t="inlineStr">
        <is>
          <t>Love Cabaret</t>
        </is>
      </c>
      <c r="C2827" s="27" t="n">
        <v>45687</v>
      </c>
      <c r="D2827" t="n">
        <v>0</v>
      </c>
      <c r="E2827" t="inlineStr">
        <is>
          <t>MBWAY</t>
        </is>
      </c>
    </row>
    <row r="2828">
      <c r="A2828" t="n">
        <v>128</v>
      </c>
      <c r="B2828" t="inlineStr">
        <is>
          <t>Love Cabaret</t>
        </is>
      </c>
      <c r="C2828" s="27" t="n">
        <v>45687</v>
      </c>
      <c r="D2828" t="n">
        <v>131.82</v>
      </c>
      <c r="E2828" t="inlineStr">
        <is>
          <t>PIX</t>
        </is>
      </c>
    </row>
    <row r="2829">
      <c r="A2829" t="n">
        <v>128</v>
      </c>
      <c r="B2829" t="inlineStr">
        <is>
          <t>Love Cabaret</t>
        </is>
      </c>
      <c r="C2829" s="27" t="n">
        <v>45687</v>
      </c>
      <c r="D2829" t="n">
        <v>0</v>
      </c>
      <c r="E2829" t="inlineStr">
        <is>
          <t>IFOOD</t>
        </is>
      </c>
    </row>
    <row r="2830">
      <c r="A2830" t="n">
        <v>128</v>
      </c>
      <c r="B2830" t="inlineStr">
        <is>
          <t>Love Cabaret</t>
        </is>
      </c>
      <c r="C2830" s="27" t="n">
        <v>45687</v>
      </c>
      <c r="D2830" t="n">
        <v>0</v>
      </c>
      <c r="E2830" t="inlineStr">
        <is>
          <t>DELIVERY ONLINE</t>
        </is>
      </c>
    </row>
    <row r="2831">
      <c r="A2831" t="n">
        <v>128</v>
      </c>
      <c r="B2831" t="inlineStr">
        <is>
          <t>Love Cabaret</t>
        </is>
      </c>
      <c r="C2831" s="27" t="n">
        <v>45687</v>
      </c>
      <c r="D2831" t="n">
        <v>0</v>
      </c>
      <c r="E2831" t="inlineStr">
        <is>
          <t>APP</t>
        </is>
      </c>
    </row>
    <row r="2832">
      <c r="A2832" t="n">
        <v>128</v>
      </c>
      <c r="B2832" t="inlineStr">
        <is>
          <t>Love Cabaret</t>
        </is>
      </c>
      <c r="C2832" s="27" t="n">
        <v>45687</v>
      </c>
      <c r="D2832" t="n">
        <v>6210.52</v>
      </c>
      <c r="E2832" t="inlineStr">
        <is>
          <t>CRÉDITO</t>
        </is>
      </c>
    </row>
    <row r="2833">
      <c r="A2833" t="n">
        <v>128</v>
      </c>
      <c r="B2833" t="inlineStr">
        <is>
          <t>Love Cabaret</t>
        </is>
      </c>
      <c r="C2833" s="27" t="n">
        <v>45683</v>
      </c>
      <c r="D2833" t="n">
        <v>0</v>
      </c>
      <c r="E2833" t="inlineStr">
        <is>
          <t>DELIVERY ONLINE</t>
        </is>
      </c>
    </row>
    <row r="2834">
      <c r="A2834" t="n">
        <v>128</v>
      </c>
      <c r="B2834" t="inlineStr">
        <is>
          <t>Love Cabaret</t>
        </is>
      </c>
      <c r="C2834" s="27" t="n">
        <v>45683</v>
      </c>
      <c r="D2834" t="n">
        <v>0</v>
      </c>
      <c r="E2834" t="inlineStr">
        <is>
          <t>APP</t>
        </is>
      </c>
    </row>
    <row r="2835">
      <c r="A2835" t="n">
        <v>128</v>
      </c>
      <c r="B2835" t="inlineStr">
        <is>
          <t>Love Cabaret</t>
        </is>
      </c>
      <c r="C2835" s="27" t="n">
        <v>45683</v>
      </c>
      <c r="D2835" t="n">
        <v>6871.36</v>
      </c>
      <c r="E2835" t="inlineStr">
        <is>
          <t>DÉBITO</t>
        </is>
      </c>
    </row>
    <row r="2836">
      <c r="A2836" t="n">
        <v>128</v>
      </c>
      <c r="B2836" t="inlineStr">
        <is>
          <t>Love Cabaret</t>
        </is>
      </c>
      <c r="C2836" s="27" t="n">
        <v>45683</v>
      </c>
      <c r="D2836" t="n">
        <v>61.02</v>
      </c>
      <c r="E2836" t="inlineStr">
        <is>
          <t>DINHEIRO</t>
        </is>
      </c>
    </row>
    <row r="2837">
      <c r="A2837" t="n">
        <v>128</v>
      </c>
      <c r="B2837" t="inlineStr">
        <is>
          <t>Love Cabaret</t>
        </is>
      </c>
      <c r="C2837" s="27" t="n">
        <v>45683</v>
      </c>
      <c r="D2837" t="n">
        <v>18880.22</v>
      </c>
      <c r="E2837" t="inlineStr">
        <is>
          <t>CRÉDITO</t>
        </is>
      </c>
    </row>
    <row r="2838">
      <c r="A2838" t="n">
        <v>128</v>
      </c>
      <c r="B2838" t="inlineStr">
        <is>
          <t>Love Cabaret</t>
        </is>
      </c>
      <c r="C2838" s="27" t="n">
        <v>45683</v>
      </c>
      <c r="D2838" t="n">
        <v>0</v>
      </c>
      <c r="E2838" t="inlineStr">
        <is>
          <t>IFOOD</t>
        </is>
      </c>
    </row>
    <row r="2839">
      <c r="A2839" t="n">
        <v>128</v>
      </c>
      <c r="B2839" t="inlineStr">
        <is>
          <t>Love Cabaret</t>
        </is>
      </c>
      <c r="C2839" s="27" t="n">
        <v>45683</v>
      </c>
      <c r="D2839" t="n">
        <v>853.53</v>
      </c>
      <c r="E2839" t="inlineStr">
        <is>
          <t>PIX</t>
        </is>
      </c>
    </row>
    <row r="2840">
      <c r="A2840" t="n">
        <v>128</v>
      </c>
      <c r="B2840" t="inlineStr">
        <is>
          <t>Love Cabaret</t>
        </is>
      </c>
      <c r="C2840" s="27" t="n">
        <v>45683</v>
      </c>
      <c r="D2840" t="n">
        <v>0</v>
      </c>
      <c r="E2840" t="inlineStr">
        <is>
          <t>RAPPI</t>
        </is>
      </c>
    </row>
    <row r="2841">
      <c r="A2841" t="n">
        <v>128</v>
      </c>
      <c r="B2841" t="inlineStr">
        <is>
          <t>Love Cabaret</t>
        </is>
      </c>
      <c r="C2841" s="27" t="n">
        <v>45683</v>
      </c>
      <c r="D2841" t="n">
        <v>0</v>
      </c>
      <c r="E2841" t="inlineStr">
        <is>
          <t>UBER</t>
        </is>
      </c>
    </row>
    <row r="2842">
      <c r="A2842" t="n">
        <v>128</v>
      </c>
      <c r="B2842" t="inlineStr">
        <is>
          <t>Love Cabaret</t>
        </is>
      </c>
      <c r="C2842" s="27" t="n">
        <v>45683</v>
      </c>
      <c r="D2842" t="n">
        <v>0</v>
      </c>
      <c r="E2842" t="inlineStr">
        <is>
          <t>ANTECIPADO</t>
        </is>
      </c>
    </row>
    <row r="2843">
      <c r="A2843" t="n">
        <v>128</v>
      </c>
      <c r="B2843" t="inlineStr">
        <is>
          <t>Love Cabaret</t>
        </is>
      </c>
      <c r="C2843" s="27" t="n">
        <v>45683</v>
      </c>
      <c r="D2843" t="n">
        <v>0</v>
      </c>
      <c r="E2843" t="inlineStr">
        <is>
          <t>VOUCHER</t>
        </is>
      </c>
    </row>
    <row r="2844">
      <c r="A2844" t="n">
        <v>128</v>
      </c>
      <c r="B2844" t="inlineStr">
        <is>
          <t>Love Cabaret</t>
        </is>
      </c>
      <c r="C2844" s="27" t="n">
        <v>45683</v>
      </c>
      <c r="D2844" t="n">
        <v>0</v>
      </c>
      <c r="E2844" t="inlineStr">
        <is>
          <t>MBWAY</t>
        </is>
      </c>
    </row>
    <row r="2845">
      <c r="A2845" t="n">
        <v>128</v>
      </c>
      <c r="B2845" t="inlineStr">
        <is>
          <t>Love Cabaret</t>
        </is>
      </c>
      <c r="C2845" s="27" t="n">
        <v>45683</v>
      </c>
      <c r="D2845" t="n">
        <v>0</v>
      </c>
      <c r="E2845" t="inlineStr">
        <is>
          <t>BÔNUS</t>
        </is>
      </c>
    </row>
    <row r="2846">
      <c r="A2846" t="n">
        <v>128</v>
      </c>
      <c r="B2846" t="inlineStr">
        <is>
          <t>Love Cabaret</t>
        </is>
      </c>
      <c r="C2846" s="27" t="n">
        <v>45683</v>
      </c>
      <c r="D2846" t="n">
        <v>0</v>
      </c>
      <c r="E2846" t="inlineStr">
        <is>
          <t>ANTECIPADO</t>
        </is>
      </c>
    </row>
    <row r="2847">
      <c r="A2847" t="n">
        <v>128</v>
      </c>
      <c r="B2847" t="inlineStr">
        <is>
          <t>Love Cabaret</t>
        </is>
      </c>
      <c r="C2847" s="27" t="n">
        <v>45683</v>
      </c>
      <c r="D2847" t="n">
        <v>0</v>
      </c>
      <c r="E2847" t="inlineStr">
        <is>
          <t>OUTROS</t>
        </is>
      </c>
    </row>
    <row r="2848">
      <c r="A2848" t="n">
        <v>128</v>
      </c>
      <c r="B2848" t="inlineStr">
        <is>
          <t>Love Cabaret</t>
        </is>
      </c>
      <c r="C2848" s="27" t="n">
        <v>45683</v>
      </c>
      <c r="D2848" t="n">
        <v>0</v>
      </c>
      <c r="E2848" t="inlineStr">
        <is>
          <t>AME</t>
        </is>
      </c>
    </row>
    <row r="2849">
      <c r="A2849" t="n">
        <v>128</v>
      </c>
      <c r="B2849" t="inlineStr">
        <is>
          <t>Love Cabaret</t>
        </is>
      </c>
      <c r="C2849" s="27" t="n">
        <v>45683</v>
      </c>
      <c r="D2849" t="n">
        <v>0</v>
      </c>
      <c r="E2849" t="inlineStr">
        <is>
          <t>NOTAS MANUAIS + SERVIÇO</t>
        </is>
      </c>
    </row>
    <row r="2850">
      <c r="A2850" t="n">
        <v>128</v>
      </c>
      <c r="B2850" t="inlineStr">
        <is>
          <t>Love Cabaret</t>
        </is>
      </c>
      <c r="C2850" s="27" t="n">
        <v>45683</v>
      </c>
      <c r="D2850" t="n">
        <v>0</v>
      </c>
      <c r="E2850" t="inlineStr">
        <is>
          <t>RECARGAS DEVOLVIDAS</t>
        </is>
      </c>
    </row>
    <row r="2851">
      <c r="A2851" t="n">
        <v>128</v>
      </c>
      <c r="B2851" t="inlineStr">
        <is>
          <t>Love Cabaret</t>
        </is>
      </c>
      <c r="C2851" s="27" t="n">
        <v>45683</v>
      </c>
      <c r="D2851" t="n">
        <v>0</v>
      </c>
      <c r="E2851" t="inlineStr">
        <is>
          <t>VOUCHER INTEGRADO</t>
        </is>
      </c>
    </row>
    <row r="2852">
      <c r="A2852" t="n">
        <v>128</v>
      </c>
      <c r="B2852" t="inlineStr">
        <is>
          <t>Love Cabaret</t>
        </is>
      </c>
      <c r="C2852" s="27" t="n">
        <v>45681</v>
      </c>
      <c r="D2852" t="n">
        <v>0</v>
      </c>
      <c r="E2852" t="inlineStr">
        <is>
          <t>ANTECIPADO</t>
        </is>
      </c>
    </row>
    <row r="2853">
      <c r="A2853" t="n">
        <v>128</v>
      </c>
      <c r="B2853" t="inlineStr">
        <is>
          <t>Love Cabaret</t>
        </is>
      </c>
      <c r="C2853" s="27" t="n">
        <v>45681</v>
      </c>
      <c r="D2853" t="n">
        <v>0</v>
      </c>
      <c r="E2853" t="inlineStr">
        <is>
          <t>APP</t>
        </is>
      </c>
    </row>
    <row r="2854">
      <c r="A2854" t="n">
        <v>128</v>
      </c>
      <c r="B2854" t="inlineStr">
        <is>
          <t>Love Cabaret</t>
        </is>
      </c>
      <c r="C2854" s="27" t="n">
        <v>45681</v>
      </c>
      <c r="D2854" t="n">
        <v>0</v>
      </c>
      <c r="E2854" t="inlineStr">
        <is>
          <t>DELIVERY ONLINE</t>
        </is>
      </c>
    </row>
    <row r="2855">
      <c r="A2855" t="n">
        <v>128</v>
      </c>
      <c r="B2855" t="inlineStr">
        <is>
          <t>Love Cabaret</t>
        </is>
      </c>
      <c r="C2855" s="27" t="n">
        <v>45681</v>
      </c>
      <c r="D2855" t="n">
        <v>0</v>
      </c>
      <c r="E2855" t="inlineStr">
        <is>
          <t>MBWAY</t>
        </is>
      </c>
    </row>
    <row r="2856">
      <c r="A2856" t="n">
        <v>128</v>
      </c>
      <c r="B2856" t="inlineStr">
        <is>
          <t>Love Cabaret</t>
        </is>
      </c>
      <c r="C2856" s="27" t="n">
        <v>45681</v>
      </c>
      <c r="D2856" t="n">
        <v>0</v>
      </c>
      <c r="E2856" t="inlineStr">
        <is>
          <t>VOUCHER INTEGRADO</t>
        </is>
      </c>
    </row>
    <row r="2857">
      <c r="A2857" t="n">
        <v>128</v>
      </c>
      <c r="B2857" t="inlineStr">
        <is>
          <t>Love Cabaret</t>
        </is>
      </c>
      <c r="C2857" s="27" t="n">
        <v>45681</v>
      </c>
      <c r="D2857" t="n">
        <v>0</v>
      </c>
      <c r="E2857" t="inlineStr">
        <is>
          <t>RECARGAS DEVOLVIDAS</t>
        </is>
      </c>
    </row>
    <row r="2858">
      <c r="A2858" t="n">
        <v>128</v>
      </c>
      <c r="B2858" t="inlineStr">
        <is>
          <t>Love Cabaret</t>
        </is>
      </c>
      <c r="C2858" s="27" t="n">
        <v>45681</v>
      </c>
      <c r="D2858" t="n">
        <v>0</v>
      </c>
      <c r="E2858" t="inlineStr">
        <is>
          <t>NOTAS MANUAIS + SERVIÇO</t>
        </is>
      </c>
    </row>
    <row r="2859">
      <c r="A2859" t="n">
        <v>128</v>
      </c>
      <c r="B2859" t="inlineStr">
        <is>
          <t>Love Cabaret</t>
        </is>
      </c>
      <c r="C2859" s="27" t="n">
        <v>45681</v>
      </c>
      <c r="D2859" t="n">
        <v>0</v>
      </c>
      <c r="E2859" t="inlineStr">
        <is>
          <t>AME</t>
        </is>
      </c>
    </row>
    <row r="2860">
      <c r="A2860" t="n">
        <v>128</v>
      </c>
      <c r="B2860" t="inlineStr">
        <is>
          <t>Love Cabaret</t>
        </is>
      </c>
      <c r="C2860" s="27" t="n">
        <v>45681</v>
      </c>
      <c r="D2860" t="n">
        <v>0</v>
      </c>
      <c r="E2860" t="inlineStr">
        <is>
          <t>OUTROS</t>
        </is>
      </c>
    </row>
    <row r="2861">
      <c r="A2861" t="n">
        <v>128</v>
      </c>
      <c r="B2861" t="inlineStr">
        <is>
          <t>Love Cabaret</t>
        </is>
      </c>
      <c r="C2861" s="27" t="n">
        <v>45681</v>
      </c>
      <c r="D2861" t="n">
        <v>0</v>
      </c>
      <c r="E2861" t="inlineStr">
        <is>
          <t>IFOOD</t>
        </is>
      </c>
    </row>
    <row r="2862">
      <c r="A2862" t="n">
        <v>128</v>
      </c>
      <c r="B2862" t="inlineStr">
        <is>
          <t>Love Cabaret</t>
        </is>
      </c>
      <c r="C2862" s="27" t="n">
        <v>45681</v>
      </c>
      <c r="D2862" t="n">
        <v>0</v>
      </c>
      <c r="E2862" t="inlineStr">
        <is>
          <t>BÔNUS</t>
        </is>
      </c>
    </row>
    <row r="2863">
      <c r="A2863" t="n">
        <v>128</v>
      </c>
      <c r="B2863" t="inlineStr">
        <is>
          <t>Love Cabaret</t>
        </is>
      </c>
      <c r="C2863" s="27" t="n">
        <v>45681</v>
      </c>
      <c r="D2863" t="n">
        <v>3921.67</v>
      </c>
      <c r="E2863" t="inlineStr">
        <is>
          <t>DÉBITO</t>
        </is>
      </c>
    </row>
    <row r="2864">
      <c r="A2864" t="n">
        <v>128</v>
      </c>
      <c r="B2864" t="inlineStr">
        <is>
          <t>Love Cabaret</t>
        </is>
      </c>
      <c r="C2864" s="27" t="n">
        <v>45681</v>
      </c>
      <c r="D2864" t="n">
        <v>0</v>
      </c>
      <c r="E2864" t="inlineStr">
        <is>
          <t>VOUCHER</t>
        </is>
      </c>
    </row>
    <row r="2865">
      <c r="A2865" t="n">
        <v>128</v>
      </c>
      <c r="B2865" t="inlineStr">
        <is>
          <t>Love Cabaret</t>
        </is>
      </c>
      <c r="C2865" s="27" t="n">
        <v>45681</v>
      </c>
      <c r="D2865" t="n">
        <v>0</v>
      </c>
      <c r="E2865" t="inlineStr">
        <is>
          <t>ANTECIPADO</t>
        </is>
      </c>
    </row>
    <row r="2866">
      <c r="A2866" t="n">
        <v>128</v>
      </c>
      <c r="B2866" t="inlineStr">
        <is>
          <t>Love Cabaret</t>
        </is>
      </c>
      <c r="C2866" s="27" t="n">
        <v>45681</v>
      </c>
      <c r="D2866" t="n">
        <v>0</v>
      </c>
      <c r="E2866" t="inlineStr">
        <is>
          <t>UBER</t>
        </is>
      </c>
    </row>
    <row r="2867">
      <c r="A2867" t="n">
        <v>128</v>
      </c>
      <c r="B2867" t="inlineStr">
        <is>
          <t>Love Cabaret</t>
        </is>
      </c>
      <c r="C2867" s="27" t="n">
        <v>45681</v>
      </c>
      <c r="D2867" t="n">
        <v>0</v>
      </c>
      <c r="E2867" t="inlineStr">
        <is>
          <t>RAPPI</t>
        </is>
      </c>
    </row>
    <row r="2868">
      <c r="A2868" t="n">
        <v>128</v>
      </c>
      <c r="B2868" t="inlineStr">
        <is>
          <t>Love Cabaret</t>
        </is>
      </c>
      <c r="C2868" s="27" t="n">
        <v>45681</v>
      </c>
      <c r="D2868" t="n">
        <v>2267.51</v>
      </c>
      <c r="E2868" t="inlineStr">
        <is>
          <t>PIX</t>
        </is>
      </c>
    </row>
    <row r="2869">
      <c r="A2869" t="n">
        <v>128</v>
      </c>
      <c r="B2869" t="inlineStr">
        <is>
          <t>Love Cabaret</t>
        </is>
      </c>
      <c r="C2869" s="27" t="n">
        <v>45681</v>
      </c>
      <c r="D2869" t="n">
        <v>13420.44</v>
      </c>
      <c r="E2869" t="inlineStr">
        <is>
          <t>CRÉDITO</t>
        </is>
      </c>
    </row>
    <row r="2870">
      <c r="A2870" t="n">
        <v>128</v>
      </c>
      <c r="B2870" t="inlineStr">
        <is>
          <t>Love Cabaret</t>
        </is>
      </c>
      <c r="C2870" s="27" t="n">
        <v>45681</v>
      </c>
      <c r="D2870" t="n">
        <v>197.75</v>
      </c>
      <c r="E2870" t="inlineStr">
        <is>
          <t>DINHEIRO</t>
        </is>
      </c>
    </row>
    <row r="2871">
      <c r="A2871" t="n">
        <v>128</v>
      </c>
      <c r="B2871" t="inlineStr">
        <is>
          <t>Love Cabaret</t>
        </is>
      </c>
      <c r="C2871" s="27" t="n">
        <v>45680</v>
      </c>
      <c r="D2871" t="n">
        <v>0</v>
      </c>
      <c r="E2871" t="inlineStr">
        <is>
          <t>MBWAY</t>
        </is>
      </c>
    </row>
    <row r="2872">
      <c r="A2872" t="n">
        <v>128</v>
      </c>
      <c r="B2872" t="inlineStr">
        <is>
          <t>Love Cabaret</t>
        </is>
      </c>
      <c r="C2872" s="27" t="n">
        <v>45680</v>
      </c>
      <c r="D2872" t="n">
        <v>0</v>
      </c>
      <c r="E2872" t="inlineStr">
        <is>
          <t>VOUCHER INTEGRADO</t>
        </is>
      </c>
    </row>
    <row r="2873">
      <c r="A2873" t="n">
        <v>128</v>
      </c>
      <c r="B2873" t="inlineStr">
        <is>
          <t>Love Cabaret</t>
        </is>
      </c>
      <c r="C2873" s="27" t="n">
        <v>45680</v>
      </c>
      <c r="D2873" t="n">
        <v>0</v>
      </c>
      <c r="E2873" t="inlineStr">
        <is>
          <t>RECARGAS DEVOLVIDAS</t>
        </is>
      </c>
    </row>
    <row r="2874">
      <c r="A2874" t="n">
        <v>128</v>
      </c>
      <c r="B2874" t="inlineStr">
        <is>
          <t>Love Cabaret</t>
        </is>
      </c>
      <c r="C2874" s="27" t="n">
        <v>45680</v>
      </c>
      <c r="D2874" t="n">
        <v>0</v>
      </c>
      <c r="E2874" t="inlineStr">
        <is>
          <t>NOTAS MANUAIS + SERVIÇO</t>
        </is>
      </c>
    </row>
    <row r="2875">
      <c r="A2875" t="n">
        <v>128</v>
      </c>
      <c r="B2875" t="inlineStr">
        <is>
          <t>Love Cabaret</t>
        </is>
      </c>
      <c r="C2875" s="27" t="n">
        <v>45680</v>
      </c>
      <c r="D2875" t="n">
        <v>0</v>
      </c>
      <c r="E2875" t="inlineStr">
        <is>
          <t>AME</t>
        </is>
      </c>
    </row>
    <row r="2876">
      <c r="A2876" t="n">
        <v>128</v>
      </c>
      <c r="B2876" t="inlineStr">
        <is>
          <t>Love Cabaret</t>
        </is>
      </c>
      <c r="C2876" s="27" t="n">
        <v>45680</v>
      </c>
      <c r="D2876" t="n">
        <v>0</v>
      </c>
      <c r="E2876" t="inlineStr">
        <is>
          <t>OUTROS</t>
        </is>
      </c>
    </row>
    <row r="2877">
      <c r="A2877" t="n">
        <v>128</v>
      </c>
      <c r="B2877" t="inlineStr">
        <is>
          <t>Love Cabaret</t>
        </is>
      </c>
      <c r="C2877" s="27" t="n">
        <v>45680</v>
      </c>
      <c r="D2877" t="n">
        <v>0</v>
      </c>
      <c r="E2877" t="inlineStr">
        <is>
          <t>ANTECIPADO</t>
        </is>
      </c>
    </row>
    <row r="2878">
      <c r="A2878" t="n">
        <v>128</v>
      </c>
      <c r="B2878" t="inlineStr">
        <is>
          <t>Love Cabaret</t>
        </is>
      </c>
      <c r="C2878" s="27" t="n">
        <v>45680</v>
      </c>
      <c r="D2878" t="n">
        <v>0</v>
      </c>
      <c r="E2878" t="inlineStr">
        <is>
          <t>BÔNUS</t>
        </is>
      </c>
    </row>
    <row r="2879">
      <c r="A2879" t="n">
        <v>128</v>
      </c>
      <c r="B2879" t="inlineStr">
        <is>
          <t>Love Cabaret</t>
        </is>
      </c>
      <c r="C2879" s="27" t="n">
        <v>45680</v>
      </c>
      <c r="D2879" t="n">
        <v>6460.65</v>
      </c>
      <c r="E2879" t="inlineStr">
        <is>
          <t>DÉBITO</t>
        </is>
      </c>
    </row>
    <row r="2880">
      <c r="A2880" t="n">
        <v>128</v>
      </c>
      <c r="B2880" t="inlineStr">
        <is>
          <t>Love Cabaret</t>
        </is>
      </c>
      <c r="C2880" s="27" t="n">
        <v>45680</v>
      </c>
      <c r="D2880" t="n">
        <v>0</v>
      </c>
      <c r="E2880" t="inlineStr">
        <is>
          <t>VOUCHER</t>
        </is>
      </c>
    </row>
    <row r="2881">
      <c r="A2881" t="n">
        <v>128</v>
      </c>
      <c r="B2881" t="inlineStr">
        <is>
          <t>Love Cabaret</t>
        </is>
      </c>
      <c r="C2881" s="27" t="n">
        <v>45680</v>
      </c>
      <c r="D2881" t="n">
        <v>0</v>
      </c>
      <c r="E2881" t="inlineStr">
        <is>
          <t>ANTECIPADO</t>
        </is>
      </c>
    </row>
    <row r="2882">
      <c r="A2882" t="n">
        <v>128</v>
      </c>
      <c r="B2882" t="inlineStr">
        <is>
          <t>Love Cabaret</t>
        </is>
      </c>
      <c r="C2882" s="27" t="n">
        <v>45680</v>
      </c>
      <c r="D2882" t="n">
        <v>0</v>
      </c>
      <c r="E2882" t="inlineStr">
        <is>
          <t>UBER</t>
        </is>
      </c>
    </row>
    <row r="2883">
      <c r="A2883" t="n">
        <v>128</v>
      </c>
      <c r="B2883" t="inlineStr">
        <is>
          <t>Love Cabaret</t>
        </is>
      </c>
      <c r="C2883" s="27" t="n">
        <v>45680</v>
      </c>
      <c r="D2883" t="n">
        <v>0</v>
      </c>
      <c r="E2883" t="inlineStr">
        <is>
          <t>RAPPI</t>
        </is>
      </c>
    </row>
    <row r="2884">
      <c r="A2884" t="n">
        <v>128</v>
      </c>
      <c r="B2884" t="inlineStr">
        <is>
          <t>Love Cabaret</t>
        </is>
      </c>
      <c r="C2884" s="27" t="n">
        <v>45680</v>
      </c>
      <c r="D2884" t="n">
        <v>562.39</v>
      </c>
      <c r="E2884" t="inlineStr">
        <is>
          <t>PIX</t>
        </is>
      </c>
    </row>
    <row r="2885">
      <c r="A2885" t="n">
        <v>128</v>
      </c>
      <c r="B2885" t="inlineStr">
        <is>
          <t>Love Cabaret</t>
        </is>
      </c>
      <c r="C2885" s="27" t="n">
        <v>45680</v>
      </c>
      <c r="D2885" t="n">
        <v>0</v>
      </c>
      <c r="E2885" t="inlineStr">
        <is>
          <t>IFOOD</t>
        </is>
      </c>
    </row>
    <row r="2886">
      <c r="A2886" t="n">
        <v>128</v>
      </c>
      <c r="B2886" t="inlineStr">
        <is>
          <t>Love Cabaret</t>
        </is>
      </c>
      <c r="C2886" s="27" t="n">
        <v>45680</v>
      </c>
      <c r="D2886" t="n">
        <v>0</v>
      </c>
      <c r="E2886" t="inlineStr">
        <is>
          <t>DELIVERY ONLINE</t>
        </is>
      </c>
    </row>
    <row r="2887">
      <c r="A2887" t="n">
        <v>128</v>
      </c>
      <c r="B2887" t="inlineStr">
        <is>
          <t>Love Cabaret</t>
        </is>
      </c>
      <c r="C2887" s="27" t="n">
        <v>45680</v>
      </c>
      <c r="D2887" t="n">
        <v>0</v>
      </c>
      <c r="E2887" t="inlineStr">
        <is>
          <t>APP</t>
        </is>
      </c>
    </row>
    <row r="2888">
      <c r="A2888" t="n">
        <v>128</v>
      </c>
      <c r="B2888" t="inlineStr">
        <is>
          <t>Love Cabaret</t>
        </is>
      </c>
      <c r="C2888" s="27" t="n">
        <v>45680</v>
      </c>
      <c r="D2888" t="n">
        <v>0</v>
      </c>
      <c r="E2888" t="inlineStr">
        <is>
          <t>DINHEIRO</t>
        </is>
      </c>
    </row>
    <row r="2889">
      <c r="A2889" t="n">
        <v>128</v>
      </c>
      <c r="B2889" t="inlineStr">
        <is>
          <t>Love Cabaret</t>
        </is>
      </c>
      <c r="C2889" s="27" t="n">
        <v>45680</v>
      </c>
      <c r="D2889" t="n">
        <v>14849.49</v>
      </c>
      <c r="E2889" t="inlineStr">
        <is>
          <t>CRÉDITO</t>
        </is>
      </c>
    </row>
    <row r="2890">
      <c r="A2890" t="n">
        <v>128</v>
      </c>
      <c r="B2890" t="inlineStr">
        <is>
          <t>Love Cabaret</t>
        </is>
      </c>
      <c r="C2890" s="27" t="n">
        <v>45675</v>
      </c>
      <c r="D2890" t="n">
        <v>0</v>
      </c>
      <c r="E2890" t="inlineStr">
        <is>
          <t>UBER</t>
        </is>
      </c>
    </row>
    <row r="2891">
      <c r="A2891" t="n">
        <v>128</v>
      </c>
      <c r="B2891" t="inlineStr">
        <is>
          <t>Love Cabaret</t>
        </is>
      </c>
      <c r="C2891" s="27" t="n">
        <v>45675</v>
      </c>
      <c r="D2891" t="n">
        <v>0</v>
      </c>
      <c r="E2891" t="inlineStr">
        <is>
          <t>VOUCHER INTEGRADO</t>
        </is>
      </c>
    </row>
    <row r="2892">
      <c r="A2892" t="n">
        <v>128</v>
      </c>
      <c r="B2892" t="inlineStr">
        <is>
          <t>Love Cabaret</t>
        </is>
      </c>
      <c r="C2892" s="27" t="n">
        <v>45675</v>
      </c>
      <c r="D2892" t="n">
        <v>0</v>
      </c>
      <c r="E2892" t="inlineStr">
        <is>
          <t>ANTECIPADO</t>
        </is>
      </c>
    </row>
    <row r="2893">
      <c r="A2893" t="n">
        <v>128</v>
      </c>
      <c r="B2893" t="inlineStr">
        <is>
          <t>Love Cabaret</t>
        </is>
      </c>
      <c r="C2893" s="27" t="n">
        <v>45675</v>
      </c>
      <c r="D2893" t="n">
        <v>0</v>
      </c>
      <c r="E2893" t="inlineStr">
        <is>
          <t>RAPPI</t>
        </is>
      </c>
    </row>
    <row r="2894">
      <c r="A2894" t="n">
        <v>128</v>
      </c>
      <c r="B2894" t="inlineStr">
        <is>
          <t>Love Cabaret</t>
        </is>
      </c>
      <c r="C2894" s="27" t="n">
        <v>45675</v>
      </c>
      <c r="D2894" t="n">
        <v>1530.88</v>
      </c>
      <c r="E2894" t="inlineStr">
        <is>
          <t>PIX</t>
        </is>
      </c>
    </row>
    <row r="2895">
      <c r="A2895" t="n">
        <v>128</v>
      </c>
      <c r="B2895" t="inlineStr">
        <is>
          <t>Love Cabaret</t>
        </is>
      </c>
      <c r="C2895" s="27" t="n">
        <v>45675</v>
      </c>
      <c r="D2895" t="n">
        <v>0</v>
      </c>
      <c r="E2895" t="inlineStr">
        <is>
          <t>VOUCHER</t>
        </is>
      </c>
    </row>
    <row r="2896">
      <c r="A2896" t="n">
        <v>128</v>
      </c>
      <c r="B2896" t="inlineStr">
        <is>
          <t>Love Cabaret</t>
        </is>
      </c>
      <c r="C2896" s="27" t="n">
        <v>45675</v>
      </c>
      <c r="D2896" t="n">
        <v>7273.29</v>
      </c>
      <c r="E2896" t="inlineStr">
        <is>
          <t>DÉBITO</t>
        </is>
      </c>
    </row>
    <row r="2897">
      <c r="A2897" t="n">
        <v>128</v>
      </c>
      <c r="B2897" t="inlineStr">
        <is>
          <t>Love Cabaret</t>
        </is>
      </c>
      <c r="C2897" s="27" t="n">
        <v>45675</v>
      </c>
      <c r="D2897" t="n">
        <v>0</v>
      </c>
      <c r="E2897" t="inlineStr">
        <is>
          <t>IFOOD</t>
        </is>
      </c>
    </row>
    <row r="2898">
      <c r="A2898" t="n">
        <v>128</v>
      </c>
      <c r="B2898" t="inlineStr">
        <is>
          <t>Love Cabaret</t>
        </is>
      </c>
      <c r="C2898" s="27" t="n">
        <v>45675</v>
      </c>
      <c r="D2898" t="n">
        <v>0</v>
      </c>
      <c r="E2898" t="inlineStr">
        <is>
          <t>DELIVERY ONLINE</t>
        </is>
      </c>
    </row>
    <row r="2899">
      <c r="A2899" t="n">
        <v>128</v>
      </c>
      <c r="B2899" t="inlineStr">
        <is>
          <t>Love Cabaret</t>
        </is>
      </c>
      <c r="C2899" s="27" t="n">
        <v>45675</v>
      </c>
      <c r="D2899" t="n">
        <v>0</v>
      </c>
      <c r="E2899" t="inlineStr">
        <is>
          <t>APP</t>
        </is>
      </c>
    </row>
    <row r="2900">
      <c r="A2900" t="n">
        <v>128</v>
      </c>
      <c r="B2900" t="inlineStr">
        <is>
          <t>Love Cabaret</t>
        </is>
      </c>
      <c r="C2900" s="27" t="n">
        <v>45675</v>
      </c>
      <c r="D2900" t="n">
        <v>531.66</v>
      </c>
      <c r="E2900" t="inlineStr">
        <is>
          <t>DINHEIRO</t>
        </is>
      </c>
    </row>
    <row r="2901">
      <c r="A2901" t="n">
        <v>128</v>
      </c>
      <c r="B2901" t="inlineStr">
        <is>
          <t>Love Cabaret</t>
        </is>
      </c>
      <c r="C2901" s="27" t="n">
        <v>45675</v>
      </c>
      <c r="D2901" t="n">
        <v>19501.07</v>
      </c>
      <c r="E2901" t="inlineStr">
        <is>
          <t>CRÉDITO</t>
        </is>
      </c>
    </row>
    <row r="2902">
      <c r="A2902" t="n">
        <v>128</v>
      </c>
      <c r="B2902" t="inlineStr">
        <is>
          <t>Love Cabaret</t>
        </is>
      </c>
      <c r="C2902" s="27" t="n">
        <v>45675</v>
      </c>
      <c r="D2902" t="n">
        <v>0</v>
      </c>
      <c r="E2902" t="inlineStr">
        <is>
          <t>BÔNUS</t>
        </is>
      </c>
    </row>
    <row r="2903">
      <c r="A2903" t="n">
        <v>128</v>
      </c>
      <c r="B2903" t="inlineStr">
        <is>
          <t>Love Cabaret</t>
        </is>
      </c>
      <c r="C2903" s="27" t="n">
        <v>45675</v>
      </c>
      <c r="D2903" t="n">
        <v>0</v>
      </c>
      <c r="E2903" t="inlineStr">
        <is>
          <t>ANTECIPADO</t>
        </is>
      </c>
    </row>
    <row r="2904">
      <c r="A2904" t="n">
        <v>128</v>
      </c>
      <c r="B2904" t="inlineStr">
        <is>
          <t>Love Cabaret</t>
        </is>
      </c>
      <c r="C2904" s="27" t="n">
        <v>45675</v>
      </c>
      <c r="D2904" t="n">
        <v>0</v>
      </c>
      <c r="E2904" t="inlineStr">
        <is>
          <t>OUTROS</t>
        </is>
      </c>
    </row>
    <row r="2905">
      <c r="A2905" t="n">
        <v>128</v>
      </c>
      <c r="B2905" t="inlineStr">
        <is>
          <t>Love Cabaret</t>
        </is>
      </c>
      <c r="C2905" s="27" t="n">
        <v>45675</v>
      </c>
      <c r="D2905" t="n">
        <v>0</v>
      </c>
      <c r="E2905" t="inlineStr">
        <is>
          <t>MBWAY</t>
        </is>
      </c>
    </row>
    <row r="2906">
      <c r="A2906" t="n">
        <v>128</v>
      </c>
      <c r="B2906" t="inlineStr">
        <is>
          <t>Love Cabaret</t>
        </is>
      </c>
      <c r="C2906" s="27" t="n">
        <v>45675</v>
      </c>
      <c r="D2906" t="n">
        <v>0</v>
      </c>
      <c r="E2906" t="inlineStr">
        <is>
          <t>RECARGAS DEVOLVIDAS</t>
        </is>
      </c>
    </row>
    <row r="2907">
      <c r="A2907" t="n">
        <v>128</v>
      </c>
      <c r="B2907" t="inlineStr">
        <is>
          <t>Love Cabaret</t>
        </is>
      </c>
      <c r="C2907" s="27" t="n">
        <v>45675</v>
      </c>
      <c r="D2907" t="n">
        <v>0</v>
      </c>
      <c r="E2907" t="inlineStr">
        <is>
          <t>NOTAS MANUAIS + SERVIÇO</t>
        </is>
      </c>
    </row>
    <row r="2908">
      <c r="A2908" t="n">
        <v>128</v>
      </c>
      <c r="B2908" t="inlineStr">
        <is>
          <t>Love Cabaret</t>
        </is>
      </c>
      <c r="C2908" s="27" t="n">
        <v>45675</v>
      </c>
      <c r="D2908" t="n">
        <v>0</v>
      </c>
      <c r="E2908" t="inlineStr">
        <is>
          <t>AME</t>
        </is>
      </c>
    </row>
    <row r="2909">
      <c r="A2909" t="n">
        <v>128</v>
      </c>
      <c r="B2909" t="inlineStr">
        <is>
          <t>Love Cabaret</t>
        </is>
      </c>
      <c r="C2909" s="27" t="n">
        <v>45674</v>
      </c>
      <c r="D2909" t="n">
        <v>6694.5</v>
      </c>
      <c r="E2909" t="inlineStr">
        <is>
          <t>DÉBITO</t>
        </is>
      </c>
    </row>
    <row r="2910">
      <c r="A2910" t="n">
        <v>128</v>
      </c>
      <c r="B2910" t="inlineStr">
        <is>
          <t>Love Cabaret</t>
        </is>
      </c>
      <c r="C2910" s="27" t="n">
        <v>45674</v>
      </c>
      <c r="D2910" t="n">
        <v>17523.41</v>
      </c>
      <c r="E2910" t="inlineStr">
        <is>
          <t>CRÉDITO</t>
        </is>
      </c>
    </row>
    <row r="2911">
      <c r="A2911" t="n">
        <v>128</v>
      </c>
      <c r="B2911" t="inlineStr">
        <is>
          <t>Love Cabaret</t>
        </is>
      </c>
      <c r="C2911" s="27" t="n">
        <v>45674</v>
      </c>
      <c r="D2911" t="n">
        <v>304</v>
      </c>
      <c r="E2911" t="inlineStr">
        <is>
          <t>DINHEIRO</t>
        </is>
      </c>
    </row>
    <row r="2912">
      <c r="A2912" t="n">
        <v>128</v>
      </c>
      <c r="B2912" t="inlineStr">
        <is>
          <t>Love Cabaret</t>
        </is>
      </c>
      <c r="C2912" s="27" t="n">
        <v>45674</v>
      </c>
      <c r="D2912" t="n">
        <v>0</v>
      </c>
      <c r="E2912" t="inlineStr">
        <is>
          <t>APP</t>
        </is>
      </c>
    </row>
    <row r="2913">
      <c r="A2913" t="n">
        <v>128</v>
      </c>
      <c r="B2913" t="inlineStr">
        <is>
          <t>Love Cabaret</t>
        </is>
      </c>
      <c r="C2913" s="27" t="n">
        <v>45674</v>
      </c>
      <c r="D2913" t="n">
        <v>0</v>
      </c>
      <c r="E2913" t="inlineStr">
        <is>
          <t>DELIVERY ONLINE</t>
        </is>
      </c>
    </row>
    <row r="2914">
      <c r="A2914" t="n">
        <v>128</v>
      </c>
      <c r="B2914" t="inlineStr">
        <is>
          <t>Love Cabaret</t>
        </is>
      </c>
      <c r="C2914" s="27" t="n">
        <v>45674</v>
      </c>
      <c r="D2914" t="n">
        <v>0</v>
      </c>
      <c r="E2914" t="inlineStr">
        <is>
          <t>IFOOD</t>
        </is>
      </c>
    </row>
    <row r="2915">
      <c r="A2915" t="n">
        <v>128</v>
      </c>
      <c r="B2915" t="inlineStr">
        <is>
          <t>Love Cabaret</t>
        </is>
      </c>
      <c r="C2915" s="27" t="n">
        <v>45674</v>
      </c>
      <c r="D2915" t="n">
        <v>1241.66</v>
      </c>
      <c r="E2915" t="inlineStr">
        <is>
          <t>PIX</t>
        </is>
      </c>
    </row>
    <row r="2916">
      <c r="A2916" t="n">
        <v>128</v>
      </c>
      <c r="B2916" t="inlineStr">
        <is>
          <t>Love Cabaret</t>
        </is>
      </c>
      <c r="C2916" s="27" t="n">
        <v>45674</v>
      </c>
      <c r="D2916" t="n">
        <v>0</v>
      </c>
      <c r="E2916" t="inlineStr">
        <is>
          <t>RAPPI</t>
        </is>
      </c>
    </row>
    <row r="2917">
      <c r="A2917" t="n">
        <v>128</v>
      </c>
      <c r="B2917" t="inlineStr">
        <is>
          <t>Love Cabaret</t>
        </is>
      </c>
      <c r="C2917" s="27" t="n">
        <v>45674</v>
      </c>
      <c r="D2917" t="n">
        <v>0</v>
      </c>
      <c r="E2917" t="inlineStr">
        <is>
          <t>ANTECIPADO</t>
        </is>
      </c>
    </row>
    <row r="2918">
      <c r="A2918" t="n">
        <v>128</v>
      </c>
      <c r="B2918" t="inlineStr">
        <is>
          <t>Love Cabaret</t>
        </is>
      </c>
      <c r="C2918" s="27" t="n">
        <v>45674</v>
      </c>
      <c r="D2918" t="n">
        <v>0</v>
      </c>
      <c r="E2918" t="inlineStr">
        <is>
          <t>UBER</t>
        </is>
      </c>
    </row>
    <row r="2919">
      <c r="A2919" t="n">
        <v>128</v>
      </c>
      <c r="B2919" t="inlineStr">
        <is>
          <t>Love Cabaret</t>
        </is>
      </c>
      <c r="C2919" s="27" t="n">
        <v>45674</v>
      </c>
      <c r="D2919" t="n">
        <v>0</v>
      </c>
      <c r="E2919" t="inlineStr">
        <is>
          <t>VOUCHER</t>
        </is>
      </c>
    </row>
    <row r="2920">
      <c r="A2920" t="n">
        <v>128</v>
      </c>
      <c r="B2920" t="inlineStr">
        <is>
          <t>Love Cabaret</t>
        </is>
      </c>
      <c r="C2920" s="27" t="n">
        <v>45674</v>
      </c>
      <c r="D2920" t="n">
        <v>0</v>
      </c>
      <c r="E2920" t="inlineStr">
        <is>
          <t>BÔNUS</t>
        </is>
      </c>
    </row>
    <row r="2921">
      <c r="A2921" t="n">
        <v>128</v>
      </c>
      <c r="B2921" t="inlineStr">
        <is>
          <t>Love Cabaret</t>
        </is>
      </c>
      <c r="C2921" s="27" t="n">
        <v>45674</v>
      </c>
      <c r="D2921" t="n">
        <v>0</v>
      </c>
      <c r="E2921" t="inlineStr">
        <is>
          <t>ANTECIPADO</t>
        </is>
      </c>
    </row>
    <row r="2922">
      <c r="A2922" t="n">
        <v>128</v>
      </c>
      <c r="B2922" t="inlineStr">
        <is>
          <t>Love Cabaret</t>
        </is>
      </c>
      <c r="C2922" s="27" t="n">
        <v>45674</v>
      </c>
      <c r="D2922" t="n">
        <v>0</v>
      </c>
      <c r="E2922" t="inlineStr">
        <is>
          <t>OUTROS</t>
        </is>
      </c>
    </row>
    <row r="2923">
      <c r="A2923" t="n">
        <v>128</v>
      </c>
      <c r="B2923" t="inlineStr">
        <is>
          <t>Love Cabaret</t>
        </is>
      </c>
      <c r="C2923" s="27" t="n">
        <v>45674</v>
      </c>
      <c r="D2923" t="n">
        <v>0</v>
      </c>
      <c r="E2923" t="inlineStr">
        <is>
          <t>AME</t>
        </is>
      </c>
    </row>
    <row r="2924">
      <c r="A2924" t="n">
        <v>128</v>
      </c>
      <c r="B2924" t="inlineStr">
        <is>
          <t>Love Cabaret</t>
        </is>
      </c>
      <c r="C2924" s="27" t="n">
        <v>45674</v>
      </c>
      <c r="D2924" t="n">
        <v>0</v>
      </c>
      <c r="E2924" t="inlineStr">
        <is>
          <t>NOTAS MANUAIS + SERVIÇO</t>
        </is>
      </c>
    </row>
    <row r="2925">
      <c r="A2925" t="n">
        <v>128</v>
      </c>
      <c r="B2925" t="inlineStr">
        <is>
          <t>Love Cabaret</t>
        </is>
      </c>
      <c r="C2925" s="27" t="n">
        <v>45674</v>
      </c>
      <c r="D2925" t="n">
        <v>0</v>
      </c>
      <c r="E2925" t="inlineStr">
        <is>
          <t>RECARGAS DEVOLVIDAS</t>
        </is>
      </c>
    </row>
    <row r="2926">
      <c r="A2926" t="n">
        <v>128</v>
      </c>
      <c r="B2926" t="inlineStr">
        <is>
          <t>Love Cabaret</t>
        </is>
      </c>
      <c r="C2926" s="27" t="n">
        <v>45674</v>
      </c>
      <c r="D2926" t="n">
        <v>0</v>
      </c>
      <c r="E2926" t="inlineStr">
        <is>
          <t>VOUCHER INTEGRADO</t>
        </is>
      </c>
    </row>
    <row r="2927">
      <c r="A2927" t="n">
        <v>128</v>
      </c>
      <c r="B2927" t="inlineStr">
        <is>
          <t>Love Cabaret</t>
        </is>
      </c>
      <c r="C2927" s="27" t="n">
        <v>45674</v>
      </c>
      <c r="D2927" t="n">
        <v>0</v>
      </c>
      <c r="E2927" t="inlineStr">
        <is>
          <t>MBWAY</t>
        </is>
      </c>
    </row>
    <row r="2928">
      <c r="A2928" t="n">
        <v>128</v>
      </c>
      <c r="B2928" t="inlineStr">
        <is>
          <t>Love Cabaret</t>
        </is>
      </c>
      <c r="C2928" s="27" t="n">
        <v>45673</v>
      </c>
      <c r="D2928" t="n">
        <v>12518.6</v>
      </c>
      <c r="E2928" t="inlineStr">
        <is>
          <t>CRÉDITO</t>
        </is>
      </c>
    </row>
    <row r="2929">
      <c r="A2929" t="n">
        <v>128</v>
      </c>
      <c r="B2929" t="inlineStr">
        <is>
          <t>Love Cabaret</t>
        </is>
      </c>
      <c r="C2929" s="27" t="n">
        <v>45673</v>
      </c>
      <c r="D2929" t="n">
        <v>0</v>
      </c>
      <c r="E2929" t="inlineStr">
        <is>
          <t>MBWAY</t>
        </is>
      </c>
    </row>
    <row r="2930">
      <c r="A2930" t="n">
        <v>128</v>
      </c>
      <c r="B2930" t="inlineStr">
        <is>
          <t>Love Cabaret</t>
        </is>
      </c>
      <c r="C2930" s="27" t="n">
        <v>45673</v>
      </c>
      <c r="D2930" t="n">
        <v>0</v>
      </c>
      <c r="E2930" t="inlineStr">
        <is>
          <t>VOUCHER INTEGRADO</t>
        </is>
      </c>
    </row>
    <row r="2931">
      <c r="A2931" t="n">
        <v>128</v>
      </c>
      <c r="B2931" t="inlineStr">
        <is>
          <t>Love Cabaret</t>
        </is>
      </c>
      <c r="C2931" s="27" t="n">
        <v>45673</v>
      </c>
      <c r="D2931" t="n">
        <v>0</v>
      </c>
      <c r="E2931" t="inlineStr">
        <is>
          <t>RECARGAS DEVOLVIDAS</t>
        </is>
      </c>
    </row>
    <row r="2932">
      <c r="A2932" t="n">
        <v>128</v>
      </c>
      <c r="B2932" t="inlineStr">
        <is>
          <t>Love Cabaret</t>
        </is>
      </c>
      <c r="C2932" s="27" t="n">
        <v>45673</v>
      </c>
      <c r="D2932" t="n">
        <v>0</v>
      </c>
      <c r="E2932" t="inlineStr">
        <is>
          <t>NOTAS MANUAIS + SERVIÇO</t>
        </is>
      </c>
    </row>
    <row r="2933">
      <c r="A2933" t="n">
        <v>128</v>
      </c>
      <c r="B2933" t="inlineStr">
        <is>
          <t>Love Cabaret</t>
        </is>
      </c>
      <c r="C2933" s="27" t="n">
        <v>45673</v>
      </c>
      <c r="D2933" t="n">
        <v>0</v>
      </c>
      <c r="E2933" t="inlineStr">
        <is>
          <t>AME</t>
        </is>
      </c>
    </row>
    <row r="2934">
      <c r="A2934" t="n">
        <v>128</v>
      </c>
      <c r="B2934" t="inlineStr">
        <is>
          <t>Love Cabaret</t>
        </is>
      </c>
      <c r="C2934" s="27" t="n">
        <v>45673</v>
      </c>
      <c r="D2934" t="n">
        <v>0</v>
      </c>
      <c r="E2934" t="inlineStr">
        <is>
          <t>OUTROS</t>
        </is>
      </c>
    </row>
    <row r="2935">
      <c r="A2935" t="n">
        <v>128</v>
      </c>
      <c r="B2935" t="inlineStr">
        <is>
          <t>Love Cabaret</t>
        </is>
      </c>
      <c r="C2935" s="27" t="n">
        <v>45673</v>
      </c>
      <c r="D2935" t="n">
        <v>0</v>
      </c>
      <c r="E2935" t="inlineStr">
        <is>
          <t>ANTECIPADO</t>
        </is>
      </c>
    </row>
    <row r="2936">
      <c r="A2936" t="n">
        <v>128</v>
      </c>
      <c r="B2936" t="inlineStr">
        <is>
          <t>Love Cabaret</t>
        </is>
      </c>
      <c r="C2936" s="27" t="n">
        <v>45673</v>
      </c>
      <c r="D2936" t="n">
        <v>0</v>
      </c>
      <c r="E2936" t="inlineStr">
        <is>
          <t>BÔNUS</t>
        </is>
      </c>
    </row>
    <row r="2937">
      <c r="A2937" t="n">
        <v>128</v>
      </c>
      <c r="B2937" t="inlineStr">
        <is>
          <t>Love Cabaret</t>
        </is>
      </c>
      <c r="C2937" s="27" t="n">
        <v>45673</v>
      </c>
      <c r="D2937" t="n">
        <v>6140.47</v>
      </c>
      <c r="E2937" t="inlineStr">
        <is>
          <t>DÉBITO</t>
        </is>
      </c>
    </row>
    <row r="2938">
      <c r="A2938" t="n">
        <v>128</v>
      </c>
      <c r="B2938" t="inlineStr">
        <is>
          <t>Love Cabaret</t>
        </is>
      </c>
      <c r="C2938" s="27" t="n">
        <v>45673</v>
      </c>
      <c r="D2938" t="n">
        <v>0</v>
      </c>
      <c r="E2938" t="inlineStr">
        <is>
          <t>VOUCHER</t>
        </is>
      </c>
    </row>
    <row r="2939">
      <c r="A2939" t="n">
        <v>128</v>
      </c>
      <c r="B2939" t="inlineStr">
        <is>
          <t>Love Cabaret</t>
        </is>
      </c>
      <c r="C2939" s="27" t="n">
        <v>45673</v>
      </c>
      <c r="D2939" t="n">
        <v>0</v>
      </c>
      <c r="E2939" t="inlineStr">
        <is>
          <t>ANTECIPADO</t>
        </is>
      </c>
    </row>
    <row r="2940">
      <c r="A2940" t="n">
        <v>128</v>
      </c>
      <c r="B2940" t="inlineStr">
        <is>
          <t>Love Cabaret</t>
        </is>
      </c>
      <c r="C2940" s="27" t="n">
        <v>45673</v>
      </c>
      <c r="D2940" t="n">
        <v>0</v>
      </c>
      <c r="E2940" t="inlineStr">
        <is>
          <t>UBER</t>
        </is>
      </c>
    </row>
    <row r="2941">
      <c r="A2941" t="n">
        <v>128</v>
      </c>
      <c r="B2941" t="inlineStr">
        <is>
          <t>Love Cabaret</t>
        </is>
      </c>
      <c r="C2941" s="27" t="n">
        <v>45673</v>
      </c>
      <c r="D2941" t="n">
        <v>0</v>
      </c>
      <c r="E2941" t="inlineStr">
        <is>
          <t>RAPPI</t>
        </is>
      </c>
    </row>
    <row r="2942">
      <c r="A2942" t="n">
        <v>128</v>
      </c>
      <c r="B2942" t="inlineStr">
        <is>
          <t>Love Cabaret</t>
        </is>
      </c>
      <c r="C2942" s="27" t="n">
        <v>45673</v>
      </c>
      <c r="D2942" t="n">
        <v>573.52</v>
      </c>
      <c r="E2942" t="inlineStr">
        <is>
          <t>PIX</t>
        </is>
      </c>
    </row>
    <row r="2943">
      <c r="A2943" t="n">
        <v>128</v>
      </c>
      <c r="B2943" t="inlineStr">
        <is>
          <t>Love Cabaret</t>
        </is>
      </c>
      <c r="C2943" s="27" t="n">
        <v>45673</v>
      </c>
      <c r="D2943" t="n">
        <v>0</v>
      </c>
      <c r="E2943" t="inlineStr">
        <is>
          <t>IFOOD</t>
        </is>
      </c>
    </row>
    <row r="2944">
      <c r="A2944" t="n">
        <v>128</v>
      </c>
      <c r="B2944" t="inlineStr">
        <is>
          <t>Love Cabaret</t>
        </is>
      </c>
      <c r="C2944" s="27" t="n">
        <v>45673</v>
      </c>
      <c r="D2944" t="n">
        <v>0</v>
      </c>
      <c r="E2944" t="inlineStr">
        <is>
          <t>DELIVERY ONLINE</t>
        </is>
      </c>
    </row>
    <row r="2945">
      <c r="A2945" t="n">
        <v>128</v>
      </c>
      <c r="B2945" t="inlineStr">
        <is>
          <t>Love Cabaret</t>
        </is>
      </c>
      <c r="C2945" s="27" t="n">
        <v>45673</v>
      </c>
      <c r="D2945" t="n">
        <v>0</v>
      </c>
      <c r="E2945" t="inlineStr">
        <is>
          <t>APP</t>
        </is>
      </c>
    </row>
    <row r="2946">
      <c r="A2946" t="n">
        <v>128</v>
      </c>
      <c r="B2946" t="inlineStr">
        <is>
          <t>Love Cabaret</t>
        </is>
      </c>
      <c r="C2946" s="27" t="n">
        <v>45673</v>
      </c>
      <c r="D2946" t="n">
        <v>120</v>
      </c>
      <c r="E2946" t="inlineStr">
        <is>
          <t>DINHEIRO</t>
        </is>
      </c>
    </row>
    <row r="2947">
      <c r="A2947" t="n">
        <v>128</v>
      </c>
      <c r="B2947" t="inlineStr">
        <is>
          <t>Love Cabaret</t>
        </is>
      </c>
      <c r="C2947" s="27" t="n">
        <v>45668</v>
      </c>
      <c r="D2947" t="n">
        <v>0</v>
      </c>
      <c r="E2947" t="inlineStr">
        <is>
          <t>ANTECIPADO</t>
        </is>
      </c>
    </row>
    <row r="2948">
      <c r="A2948" t="n">
        <v>128</v>
      </c>
      <c r="B2948" t="inlineStr">
        <is>
          <t>Love Cabaret</t>
        </is>
      </c>
      <c r="C2948" s="27" t="n">
        <v>45668</v>
      </c>
      <c r="D2948" t="n">
        <v>14806.82</v>
      </c>
      <c r="E2948" t="inlineStr">
        <is>
          <t>CRÉDITO</t>
        </is>
      </c>
    </row>
    <row r="2949">
      <c r="A2949" t="n">
        <v>128</v>
      </c>
      <c r="B2949" t="inlineStr">
        <is>
          <t>Love Cabaret</t>
        </is>
      </c>
      <c r="C2949" s="27" t="n">
        <v>45668</v>
      </c>
      <c r="D2949" t="n">
        <v>44.07</v>
      </c>
      <c r="E2949" t="inlineStr">
        <is>
          <t>DINHEIRO</t>
        </is>
      </c>
    </row>
    <row r="2950">
      <c r="A2950" t="n">
        <v>128</v>
      </c>
      <c r="B2950" t="inlineStr">
        <is>
          <t>Love Cabaret</t>
        </is>
      </c>
      <c r="C2950" s="27" t="n">
        <v>45668</v>
      </c>
      <c r="D2950" t="n">
        <v>0</v>
      </c>
      <c r="E2950" t="inlineStr">
        <is>
          <t>APP</t>
        </is>
      </c>
    </row>
    <row r="2951">
      <c r="A2951" t="n">
        <v>128</v>
      </c>
      <c r="B2951" t="inlineStr">
        <is>
          <t>Love Cabaret</t>
        </is>
      </c>
      <c r="C2951" s="27" t="n">
        <v>45668</v>
      </c>
      <c r="D2951" t="n">
        <v>0</v>
      </c>
      <c r="E2951" t="inlineStr">
        <is>
          <t>DELIVERY ONLINE</t>
        </is>
      </c>
    </row>
    <row r="2952">
      <c r="A2952" t="n">
        <v>128</v>
      </c>
      <c r="B2952" t="inlineStr">
        <is>
          <t>Love Cabaret</t>
        </is>
      </c>
      <c r="C2952" s="27" t="n">
        <v>45668</v>
      </c>
      <c r="D2952" t="n">
        <v>0</v>
      </c>
      <c r="E2952" t="inlineStr">
        <is>
          <t>IFOOD</t>
        </is>
      </c>
    </row>
    <row r="2953">
      <c r="A2953" t="n">
        <v>128</v>
      </c>
      <c r="B2953" t="inlineStr">
        <is>
          <t>Love Cabaret</t>
        </is>
      </c>
      <c r="C2953" s="27" t="n">
        <v>45668</v>
      </c>
      <c r="D2953" t="n">
        <v>1190.45</v>
      </c>
      <c r="E2953" t="inlineStr">
        <is>
          <t>PIX</t>
        </is>
      </c>
    </row>
    <row r="2954">
      <c r="A2954" t="n">
        <v>128</v>
      </c>
      <c r="B2954" t="inlineStr">
        <is>
          <t>Love Cabaret</t>
        </is>
      </c>
      <c r="C2954" s="27" t="n">
        <v>45668</v>
      </c>
      <c r="D2954" t="n">
        <v>0</v>
      </c>
      <c r="E2954" t="inlineStr">
        <is>
          <t>RAPPI</t>
        </is>
      </c>
    </row>
    <row r="2955">
      <c r="A2955" t="n">
        <v>128</v>
      </c>
      <c r="B2955" t="inlineStr">
        <is>
          <t>Love Cabaret</t>
        </is>
      </c>
      <c r="C2955" s="27" t="n">
        <v>45668</v>
      </c>
      <c r="D2955" t="n">
        <v>0</v>
      </c>
      <c r="E2955" t="inlineStr">
        <is>
          <t>UBER</t>
        </is>
      </c>
    </row>
    <row r="2956">
      <c r="A2956" t="n">
        <v>128</v>
      </c>
      <c r="B2956" t="inlineStr">
        <is>
          <t>Love Cabaret</t>
        </is>
      </c>
      <c r="C2956" s="27" t="n">
        <v>45668</v>
      </c>
      <c r="D2956" t="n">
        <v>0</v>
      </c>
      <c r="E2956" t="inlineStr">
        <is>
          <t>VOUCHER</t>
        </is>
      </c>
    </row>
    <row r="2957">
      <c r="A2957" t="n">
        <v>128</v>
      </c>
      <c r="B2957" t="inlineStr">
        <is>
          <t>Love Cabaret</t>
        </is>
      </c>
      <c r="C2957" s="27" t="n">
        <v>45668</v>
      </c>
      <c r="D2957" t="n">
        <v>4576.22</v>
      </c>
      <c r="E2957" t="inlineStr">
        <is>
          <t>DÉBITO</t>
        </is>
      </c>
    </row>
    <row r="2958">
      <c r="A2958" t="n">
        <v>128</v>
      </c>
      <c r="B2958" t="inlineStr">
        <is>
          <t>Love Cabaret</t>
        </is>
      </c>
      <c r="C2958" s="27" t="n">
        <v>45668</v>
      </c>
      <c r="D2958" t="n">
        <v>0</v>
      </c>
      <c r="E2958" t="inlineStr">
        <is>
          <t>BÔNUS</t>
        </is>
      </c>
    </row>
    <row r="2959">
      <c r="A2959" t="n">
        <v>128</v>
      </c>
      <c r="B2959" t="inlineStr">
        <is>
          <t>Love Cabaret</t>
        </is>
      </c>
      <c r="C2959" s="27" t="n">
        <v>45668</v>
      </c>
      <c r="D2959" t="n">
        <v>0</v>
      </c>
      <c r="E2959" t="inlineStr">
        <is>
          <t>ANTECIPADO</t>
        </is>
      </c>
    </row>
    <row r="2960">
      <c r="A2960" t="n">
        <v>128</v>
      </c>
      <c r="B2960" t="inlineStr">
        <is>
          <t>Love Cabaret</t>
        </is>
      </c>
      <c r="C2960" s="27" t="n">
        <v>45668</v>
      </c>
      <c r="D2960" t="n">
        <v>0</v>
      </c>
      <c r="E2960" t="inlineStr">
        <is>
          <t>OUTROS</t>
        </is>
      </c>
    </row>
    <row r="2961">
      <c r="A2961" t="n">
        <v>128</v>
      </c>
      <c r="B2961" t="inlineStr">
        <is>
          <t>Love Cabaret</t>
        </is>
      </c>
      <c r="C2961" s="27" t="n">
        <v>45668</v>
      </c>
      <c r="D2961" t="n">
        <v>0</v>
      </c>
      <c r="E2961" t="inlineStr">
        <is>
          <t>AME</t>
        </is>
      </c>
    </row>
    <row r="2962">
      <c r="A2962" t="n">
        <v>128</v>
      </c>
      <c r="B2962" t="inlineStr">
        <is>
          <t>Love Cabaret</t>
        </is>
      </c>
      <c r="C2962" s="27" t="n">
        <v>45668</v>
      </c>
      <c r="D2962" t="n">
        <v>0</v>
      </c>
      <c r="E2962" t="inlineStr">
        <is>
          <t>NOTAS MANUAIS + SERVIÇO</t>
        </is>
      </c>
    </row>
    <row r="2963">
      <c r="A2963" t="n">
        <v>128</v>
      </c>
      <c r="B2963" t="inlineStr">
        <is>
          <t>Love Cabaret</t>
        </is>
      </c>
      <c r="C2963" s="27" t="n">
        <v>45668</v>
      </c>
      <c r="D2963" t="n">
        <v>0</v>
      </c>
      <c r="E2963" t="inlineStr">
        <is>
          <t>RECARGAS DEVOLVIDAS</t>
        </is>
      </c>
    </row>
    <row r="2964">
      <c r="A2964" t="n">
        <v>128</v>
      </c>
      <c r="B2964" t="inlineStr">
        <is>
          <t>Love Cabaret</t>
        </is>
      </c>
      <c r="C2964" s="27" t="n">
        <v>45668</v>
      </c>
      <c r="D2964" t="n">
        <v>0</v>
      </c>
      <c r="E2964" t="inlineStr">
        <is>
          <t>VOUCHER INTEGRADO</t>
        </is>
      </c>
    </row>
    <row r="2965">
      <c r="A2965" t="n">
        <v>128</v>
      </c>
      <c r="B2965" t="inlineStr">
        <is>
          <t>Love Cabaret</t>
        </is>
      </c>
      <c r="C2965" s="27" t="n">
        <v>45668</v>
      </c>
      <c r="D2965" t="n">
        <v>0</v>
      </c>
      <c r="E2965" t="inlineStr">
        <is>
          <t>MBWAY</t>
        </is>
      </c>
    </row>
    <row r="2966">
      <c r="A2966" t="n">
        <v>128</v>
      </c>
      <c r="B2966" t="inlineStr">
        <is>
          <t>Love Cabaret</t>
        </is>
      </c>
      <c r="C2966" s="27" t="n">
        <v>45667</v>
      </c>
      <c r="D2966" t="n">
        <v>14830.32</v>
      </c>
      <c r="E2966" t="inlineStr">
        <is>
          <t>CRÉDITO</t>
        </is>
      </c>
    </row>
    <row r="2967">
      <c r="A2967" t="n">
        <v>128</v>
      </c>
      <c r="B2967" t="inlineStr">
        <is>
          <t>Love Cabaret</t>
        </is>
      </c>
      <c r="C2967" s="27" t="n">
        <v>45667</v>
      </c>
      <c r="D2967" t="n">
        <v>0</v>
      </c>
      <c r="E2967" t="inlineStr">
        <is>
          <t>ANTECIPADO</t>
        </is>
      </c>
    </row>
    <row r="2968">
      <c r="A2968" t="n">
        <v>128</v>
      </c>
      <c r="B2968" t="inlineStr">
        <is>
          <t>Love Cabaret</t>
        </is>
      </c>
      <c r="C2968" s="27" t="n">
        <v>45667</v>
      </c>
      <c r="D2968" t="n">
        <v>10</v>
      </c>
      <c r="E2968" t="inlineStr">
        <is>
          <t>DINHEIRO</t>
        </is>
      </c>
    </row>
    <row r="2969">
      <c r="A2969" t="n">
        <v>128</v>
      </c>
      <c r="B2969" t="inlineStr">
        <is>
          <t>Love Cabaret</t>
        </is>
      </c>
      <c r="C2969" s="27" t="n">
        <v>45667</v>
      </c>
      <c r="D2969" t="n">
        <v>0</v>
      </c>
      <c r="E2969" t="inlineStr">
        <is>
          <t>APP</t>
        </is>
      </c>
    </row>
    <row r="2970">
      <c r="A2970" t="n">
        <v>128</v>
      </c>
      <c r="B2970" t="inlineStr">
        <is>
          <t>Love Cabaret</t>
        </is>
      </c>
      <c r="C2970" s="27" t="n">
        <v>45667</v>
      </c>
      <c r="D2970" t="n">
        <v>0</v>
      </c>
      <c r="E2970" t="inlineStr">
        <is>
          <t>DELIVERY ONLINE</t>
        </is>
      </c>
    </row>
    <row r="2971">
      <c r="A2971" t="n">
        <v>128</v>
      </c>
      <c r="B2971" t="inlineStr">
        <is>
          <t>Love Cabaret</t>
        </is>
      </c>
      <c r="C2971" s="27" t="n">
        <v>45667</v>
      </c>
      <c r="D2971" t="n">
        <v>0</v>
      </c>
      <c r="E2971" t="inlineStr">
        <is>
          <t>IFOOD</t>
        </is>
      </c>
    </row>
    <row r="2972">
      <c r="A2972" t="n">
        <v>128</v>
      </c>
      <c r="B2972" t="inlineStr">
        <is>
          <t>Love Cabaret</t>
        </is>
      </c>
      <c r="C2972" s="27" t="n">
        <v>45667</v>
      </c>
      <c r="D2972" t="n">
        <v>1785.22</v>
      </c>
      <c r="E2972" t="inlineStr">
        <is>
          <t>PIX</t>
        </is>
      </c>
    </row>
    <row r="2973">
      <c r="A2973" t="n">
        <v>128</v>
      </c>
      <c r="B2973" t="inlineStr">
        <is>
          <t>Love Cabaret</t>
        </is>
      </c>
      <c r="C2973" s="27" t="n">
        <v>45667</v>
      </c>
      <c r="D2973" t="n">
        <v>0</v>
      </c>
      <c r="E2973" t="inlineStr">
        <is>
          <t>MBWAY</t>
        </is>
      </c>
    </row>
    <row r="2974">
      <c r="A2974" t="n">
        <v>128</v>
      </c>
      <c r="B2974" t="inlineStr">
        <is>
          <t>Love Cabaret</t>
        </is>
      </c>
      <c r="C2974" s="27" t="n">
        <v>45667</v>
      </c>
      <c r="D2974" t="n">
        <v>0</v>
      </c>
      <c r="E2974" t="inlineStr">
        <is>
          <t>VOUCHER INTEGRADO</t>
        </is>
      </c>
    </row>
    <row r="2975">
      <c r="A2975" t="n">
        <v>128</v>
      </c>
      <c r="B2975" t="inlineStr">
        <is>
          <t>Love Cabaret</t>
        </is>
      </c>
      <c r="C2975" s="27" t="n">
        <v>45667</v>
      </c>
      <c r="D2975" t="n">
        <v>0</v>
      </c>
      <c r="E2975" t="inlineStr">
        <is>
          <t>RECARGAS DEVOLVIDAS</t>
        </is>
      </c>
    </row>
    <row r="2976">
      <c r="A2976" t="n">
        <v>128</v>
      </c>
      <c r="B2976" t="inlineStr">
        <is>
          <t>Love Cabaret</t>
        </is>
      </c>
      <c r="C2976" s="27" t="n">
        <v>45667</v>
      </c>
      <c r="D2976" t="n">
        <v>0</v>
      </c>
      <c r="E2976" t="inlineStr">
        <is>
          <t>NOTAS MANUAIS + SERVIÇO</t>
        </is>
      </c>
    </row>
    <row r="2977">
      <c r="A2977" t="n">
        <v>128</v>
      </c>
      <c r="B2977" t="inlineStr">
        <is>
          <t>Love Cabaret</t>
        </is>
      </c>
      <c r="C2977" s="27" t="n">
        <v>45667</v>
      </c>
      <c r="D2977" t="n">
        <v>0</v>
      </c>
      <c r="E2977" t="inlineStr">
        <is>
          <t>AME</t>
        </is>
      </c>
    </row>
    <row r="2978">
      <c r="A2978" t="n">
        <v>128</v>
      </c>
      <c r="B2978" t="inlineStr">
        <is>
          <t>Love Cabaret</t>
        </is>
      </c>
      <c r="C2978" s="27" t="n">
        <v>45667</v>
      </c>
      <c r="D2978" t="n">
        <v>0</v>
      </c>
      <c r="E2978" t="inlineStr">
        <is>
          <t>OUTROS</t>
        </is>
      </c>
    </row>
    <row r="2979">
      <c r="A2979" t="n">
        <v>128</v>
      </c>
      <c r="B2979" t="inlineStr">
        <is>
          <t>Love Cabaret</t>
        </is>
      </c>
      <c r="C2979" s="27" t="n">
        <v>45667</v>
      </c>
      <c r="D2979" t="n">
        <v>0</v>
      </c>
      <c r="E2979" t="inlineStr">
        <is>
          <t>BÔNUS</t>
        </is>
      </c>
    </row>
    <row r="2980">
      <c r="A2980" t="n">
        <v>128</v>
      </c>
      <c r="B2980" t="inlineStr">
        <is>
          <t>Love Cabaret</t>
        </is>
      </c>
      <c r="C2980" s="27" t="n">
        <v>45667</v>
      </c>
      <c r="D2980" t="n">
        <v>5775.69</v>
      </c>
      <c r="E2980" t="inlineStr">
        <is>
          <t>DÉBITO</t>
        </is>
      </c>
    </row>
    <row r="2981">
      <c r="A2981" t="n">
        <v>128</v>
      </c>
      <c r="B2981" t="inlineStr">
        <is>
          <t>Love Cabaret</t>
        </is>
      </c>
      <c r="C2981" s="27" t="n">
        <v>45667</v>
      </c>
      <c r="D2981" t="n">
        <v>0</v>
      </c>
      <c r="E2981" t="inlineStr">
        <is>
          <t>VOUCHER</t>
        </is>
      </c>
    </row>
    <row r="2982">
      <c r="A2982" t="n">
        <v>128</v>
      </c>
      <c r="B2982" t="inlineStr">
        <is>
          <t>Love Cabaret</t>
        </is>
      </c>
      <c r="C2982" s="27" t="n">
        <v>45667</v>
      </c>
      <c r="D2982" t="n">
        <v>0</v>
      </c>
      <c r="E2982" t="inlineStr">
        <is>
          <t>ANTECIPADO</t>
        </is>
      </c>
    </row>
    <row r="2983">
      <c r="A2983" t="n">
        <v>128</v>
      </c>
      <c r="B2983" t="inlineStr">
        <is>
          <t>Love Cabaret</t>
        </is>
      </c>
      <c r="C2983" s="27" t="n">
        <v>45667</v>
      </c>
      <c r="D2983" t="n">
        <v>0</v>
      </c>
      <c r="E2983" t="inlineStr">
        <is>
          <t>UBER</t>
        </is>
      </c>
    </row>
    <row r="2984">
      <c r="A2984" t="n">
        <v>128</v>
      </c>
      <c r="B2984" t="inlineStr">
        <is>
          <t>Love Cabaret</t>
        </is>
      </c>
      <c r="C2984" s="27" t="n">
        <v>45667</v>
      </c>
      <c r="D2984" t="n">
        <v>0</v>
      </c>
      <c r="E2984" t="inlineStr">
        <is>
          <t>RAPPI</t>
        </is>
      </c>
    </row>
    <row r="2985">
      <c r="A2985" t="n">
        <v>128</v>
      </c>
      <c r="B2985" t="inlineStr">
        <is>
          <t>Love Cabaret</t>
        </is>
      </c>
      <c r="C2985" s="27" t="n">
        <v>45666</v>
      </c>
      <c r="D2985" t="n">
        <v>5398.72</v>
      </c>
      <c r="E2985" t="inlineStr">
        <is>
          <t>DÉBITO</t>
        </is>
      </c>
    </row>
    <row r="2986">
      <c r="A2986" t="n">
        <v>128</v>
      </c>
      <c r="B2986" t="inlineStr">
        <is>
          <t>Love Cabaret</t>
        </is>
      </c>
      <c r="C2986" s="27" t="n">
        <v>45666</v>
      </c>
      <c r="D2986" t="n">
        <v>0</v>
      </c>
      <c r="E2986" t="inlineStr">
        <is>
          <t>OUTROS</t>
        </is>
      </c>
    </row>
    <row r="2987">
      <c r="A2987" t="n">
        <v>128</v>
      </c>
      <c r="B2987" t="inlineStr">
        <is>
          <t>Love Cabaret</t>
        </is>
      </c>
      <c r="C2987" s="27" t="n">
        <v>45666</v>
      </c>
      <c r="D2987" t="n">
        <v>0</v>
      </c>
      <c r="E2987" t="inlineStr">
        <is>
          <t>ANTECIPADO</t>
        </is>
      </c>
    </row>
    <row r="2988">
      <c r="A2988" t="n">
        <v>128</v>
      </c>
      <c r="B2988" t="inlineStr">
        <is>
          <t>Love Cabaret</t>
        </is>
      </c>
      <c r="C2988" s="27" t="n">
        <v>45666</v>
      </c>
      <c r="D2988" t="n">
        <v>0</v>
      </c>
      <c r="E2988" t="inlineStr">
        <is>
          <t>BÔNUS</t>
        </is>
      </c>
    </row>
    <row r="2989">
      <c r="A2989" t="n">
        <v>128</v>
      </c>
      <c r="B2989" t="inlineStr">
        <is>
          <t>Love Cabaret</t>
        </is>
      </c>
      <c r="C2989" s="27" t="n">
        <v>45666</v>
      </c>
      <c r="D2989" t="n">
        <v>99.44</v>
      </c>
      <c r="E2989" t="inlineStr">
        <is>
          <t>DINHEIRO</t>
        </is>
      </c>
    </row>
    <row r="2990">
      <c r="A2990" t="n">
        <v>128</v>
      </c>
      <c r="B2990" t="inlineStr">
        <is>
          <t>Love Cabaret</t>
        </is>
      </c>
      <c r="C2990" s="27" t="n">
        <v>45666</v>
      </c>
      <c r="D2990" t="n">
        <v>0</v>
      </c>
      <c r="E2990" t="inlineStr">
        <is>
          <t>AME</t>
        </is>
      </c>
    </row>
    <row r="2991">
      <c r="A2991" t="n">
        <v>128</v>
      </c>
      <c r="B2991" t="inlineStr">
        <is>
          <t>Love Cabaret</t>
        </is>
      </c>
      <c r="C2991" s="27" t="n">
        <v>45666</v>
      </c>
      <c r="D2991" t="n">
        <v>0</v>
      </c>
      <c r="E2991" t="inlineStr">
        <is>
          <t>NOTAS MANUAIS + SERVIÇO</t>
        </is>
      </c>
    </row>
    <row r="2992">
      <c r="A2992" t="n">
        <v>128</v>
      </c>
      <c r="B2992" t="inlineStr">
        <is>
          <t>Love Cabaret</t>
        </is>
      </c>
      <c r="C2992" s="27" t="n">
        <v>45666</v>
      </c>
      <c r="D2992" t="n">
        <v>0</v>
      </c>
      <c r="E2992" t="inlineStr">
        <is>
          <t>RECARGAS DEVOLVIDAS</t>
        </is>
      </c>
    </row>
    <row r="2993">
      <c r="A2993" t="n">
        <v>128</v>
      </c>
      <c r="B2993" t="inlineStr">
        <is>
          <t>Love Cabaret</t>
        </is>
      </c>
      <c r="C2993" s="27" t="n">
        <v>45666</v>
      </c>
      <c r="D2993" t="n">
        <v>0</v>
      </c>
      <c r="E2993" t="inlineStr">
        <is>
          <t>VOUCHER INTEGRADO</t>
        </is>
      </c>
    </row>
    <row r="2994">
      <c r="A2994" t="n">
        <v>128</v>
      </c>
      <c r="B2994" t="inlineStr">
        <is>
          <t>Love Cabaret</t>
        </is>
      </c>
      <c r="C2994" s="27" t="n">
        <v>45666</v>
      </c>
      <c r="D2994" t="n">
        <v>0</v>
      </c>
      <c r="E2994" t="inlineStr">
        <is>
          <t>MBWAY</t>
        </is>
      </c>
    </row>
    <row r="2995">
      <c r="A2995" t="n">
        <v>128</v>
      </c>
      <c r="B2995" t="inlineStr">
        <is>
          <t>Love Cabaret</t>
        </is>
      </c>
      <c r="C2995" s="27" t="n">
        <v>45666</v>
      </c>
      <c r="D2995" t="n">
        <v>0</v>
      </c>
      <c r="E2995" t="inlineStr">
        <is>
          <t>VOUCHER</t>
        </is>
      </c>
    </row>
    <row r="2996">
      <c r="A2996" t="n">
        <v>128</v>
      </c>
      <c r="B2996" t="inlineStr">
        <is>
          <t>Love Cabaret</t>
        </is>
      </c>
      <c r="C2996" s="27" t="n">
        <v>45666</v>
      </c>
      <c r="D2996" t="n">
        <v>0</v>
      </c>
      <c r="E2996" t="inlineStr">
        <is>
          <t>ANTECIPADO</t>
        </is>
      </c>
    </row>
    <row r="2997">
      <c r="A2997" t="n">
        <v>128</v>
      </c>
      <c r="B2997" t="inlineStr">
        <is>
          <t>Love Cabaret</t>
        </is>
      </c>
      <c r="C2997" s="27" t="n">
        <v>45666</v>
      </c>
      <c r="D2997" t="n">
        <v>0</v>
      </c>
      <c r="E2997" t="inlineStr">
        <is>
          <t>UBER</t>
        </is>
      </c>
    </row>
    <row r="2998">
      <c r="A2998" t="n">
        <v>128</v>
      </c>
      <c r="B2998" t="inlineStr">
        <is>
          <t>Love Cabaret</t>
        </is>
      </c>
      <c r="C2998" s="27" t="n">
        <v>45666</v>
      </c>
      <c r="D2998" t="n">
        <v>0</v>
      </c>
      <c r="E2998" t="inlineStr">
        <is>
          <t>RAPPI</t>
        </is>
      </c>
    </row>
    <row r="2999">
      <c r="A2999" t="n">
        <v>128</v>
      </c>
      <c r="B2999" t="inlineStr">
        <is>
          <t>Love Cabaret</t>
        </is>
      </c>
      <c r="C2999" s="27" t="n">
        <v>45666</v>
      </c>
      <c r="D2999" t="n">
        <v>1731.12</v>
      </c>
      <c r="E2999" t="inlineStr">
        <is>
          <t>PIX</t>
        </is>
      </c>
    </row>
    <row r="3000">
      <c r="A3000" t="n">
        <v>128</v>
      </c>
      <c r="B3000" t="inlineStr">
        <is>
          <t>Love Cabaret</t>
        </is>
      </c>
      <c r="C3000" s="27" t="n">
        <v>45666</v>
      </c>
      <c r="D3000" t="n">
        <v>0</v>
      </c>
      <c r="E3000" t="inlineStr">
        <is>
          <t>IFOOD</t>
        </is>
      </c>
    </row>
    <row r="3001">
      <c r="A3001" t="n">
        <v>128</v>
      </c>
      <c r="B3001" t="inlineStr">
        <is>
          <t>Love Cabaret</t>
        </is>
      </c>
      <c r="C3001" s="27" t="n">
        <v>45666</v>
      </c>
      <c r="D3001" t="n">
        <v>0</v>
      </c>
      <c r="E3001" t="inlineStr">
        <is>
          <t>DELIVERY ONLINE</t>
        </is>
      </c>
    </row>
    <row r="3002">
      <c r="A3002" t="n">
        <v>128</v>
      </c>
      <c r="B3002" t="inlineStr">
        <is>
          <t>Love Cabaret</t>
        </is>
      </c>
      <c r="C3002" s="27" t="n">
        <v>45666</v>
      </c>
      <c r="D3002" t="n">
        <v>0</v>
      </c>
      <c r="E3002" t="inlineStr">
        <is>
          <t>APP</t>
        </is>
      </c>
    </row>
    <row r="3003">
      <c r="A3003" t="n">
        <v>128</v>
      </c>
      <c r="B3003" t="inlineStr">
        <is>
          <t>Love Cabaret</t>
        </is>
      </c>
      <c r="C3003" s="27" t="n">
        <v>45666</v>
      </c>
      <c r="D3003" t="n">
        <v>11377.14</v>
      </c>
      <c r="E3003" t="inlineStr">
        <is>
          <t>CRÉDITO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ID_Casa</t>
        </is>
      </c>
      <c r="C1" t="inlineStr">
        <is>
          <t>Casa</t>
        </is>
      </c>
      <c r="D1" t="inlineStr">
        <is>
          <t>Cliente</t>
        </is>
      </c>
      <c r="E1" t="inlineStr">
        <is>
          <t>Data_Ocorrencia</t>
        </is>
      </c>
      <c r="F1" t="inlineStr">
        <is>
          <t>Vencimento_Parcela</t>
        </is>
      </c>
      <c r="G1" t="inlineStr">
        <is>
          <t>Recebimento_Parcela</t>
        </is>
      </c>
      <c r="H1" t="inlineStr">
        <is>
          <t>Valor_Parcela</t>
        </is>
      </c>
      <c r="I1" t="inlineStr">
        <is>
          <t>Doc_NF</t>
        </is>
      </c>
      <c r="J1" t="inlineStr">
        <is>
          <t>Classif_Receita</t>
        </is>
      </c>
      <c r="K1" t="inlineStr">
        <is>
          <t>Forma_Pagamento</t>
        </is>
      </c>
      <c r="L1" t="inlineStr">
        <is>
          <t>Status_Pgto</t>
        </is>
      </c>
      <c r="M1" t="inlineStr">
        <is>
          <t>Conta_Bancaria</t>
        </is>
      </c>
      <c r="N1" t="inlineStr">
        <is>
          <t>Observacoes</t>
        </is>
      </c>
    </row>
    <row r="2">
      <c r="A2" t="n">
        <v>7788</v>
      </c>
      <c r="B2" t="n">
        <v>128</v>
      </c>
      <c r="C2" t="inlineStr">
        <is>
          <t>Love Cabaret</t>
        </is>
      </c>
      <c r="D2" t="inlineStr">
        <is>
          <t>Diageo</t>
        </is>
      </c>
      <c r="E2" s="27" t="n">
        <v>46021</v>
      </c>
      <c r="F2" s="27" t="n">
        <v>46010</v>
      </c>
      <c r="G2" s="27" t="n">
        <v>46017</v>
      </c>
      <c r="H2" t="n">
        <v>24392.42</v>
      </c>
      <c r="J2" t="inlineStr">
        <is>
          <t>Patrocínio</t>
        </is>
      </c>
      <c r="K2" t="inlineStr">
        <is>
          <t>Transferência Bancária ou Pix</t>
        </is>
      </c>
      <c r="L2" t="inlineStr">
        <is>
          <t>Pago</t>
        </is>
      </c>
      <c r="M2" t="inlineStr">
        <is>
          <t>Love - Shibari - Bradesco</t>
        </is>
      </c>
      <c r="N2" t="inlineStr">
        <is>
          <t>VOLUME 38.000 - SET+OUT+NOV - CONTRATO DE TRADE VIEGENCIA 01/08/2025 A 31/07/2027</t>
        </is>
      </c>
    </row>
    <row r="3">
      <c r="A3" t="n">
        <v>10164</v>
      </c>
      <c r="B3" t="n">
        <v>128</v>
      </c>
      <c r="C3" t="inlineStr">
        <is>
          <t>Love Cabaret</t>
        </is>
      </c>
      <c r="D3" t="inlineStr">
        <is>
          <t xml:space="preserve">SYMPLA INTERNET SOLUÇÕES S/A </t>
        </is>
      </c>
      <c r="E3" s="27" t="n">
        <v>46017</v>
      </c>
      <c r="F3" s="27" t="n">
        <v>46017</v>
      </c>
      <c r="G3" s="27" t="n">
        <v>46017</v>
      </c>
      <c r="H3" t="n">
        <v>20000</v>
      </c>
      <c r="J3" t="inlineStr">
        <is>
          <t>Bilheteria</t>
        </is>
      </c>
      <c r="K3" t="inlineStr">
        <is>
          <t>Transferência Bancária ou Pix</t>
        </is>
      </c>
      <c r="L3" t="inlineStr">
        <is>
          <t>Pago</t>
        </is>
      </c>
      <c r="M3" t="inlineStr">
        <is>
          <t>Love - Shibari - Bradesco</t>
        </is>
      </c>
      <c r="N3" t="inlineStr">
        <is>
          <t>BILEHTERIA 12/2025</t>
        </is>
      </c>
    </row>
    <row r="4">
      <c r="A4" t="n">
        <v>10067</v>
      </c>
      <c r="B4" t="n">
        <v>128</v>
      </c>
      <c r="C4" t="inlineStr">
        <is>
          <t>Love Cabaret</t>
        </is>
      </c>
      <c r="D4" t="inlineStr">
        <is>
          <t xml:space="preserve">SYMPLA INTERNET SOLUÇÕES S/A </t>
        </is>
      </c>
      <c r="E4" s="27" t="n">
        <v>46008</v>
      </c>
      <c r="F4" s="27" t="n">
        <v>46008</v>
      </c>
      <c r="G4" s="27" t="n">
        <v>46008</v>
      </c>
      <c r="H4" t="n">
        <v>21335</v>
      </c>
      <c r="J4" t="inlineStr">
        <is>
          <t>Bilheteria</t>
        </is>
      </c>
      <c r="K4" t="inlineStr">
        <is>
          <t>Transferência Bancária ou Pix</t>
        </is>
      </c>
      <c r="L4" t="inlineStr">
        <is>
          <t>Pago</t>
        </is>
      </c>
      <c r="M4" t="inlineStr">
        <is>
          <t>Love - Shibari - Bradesco</t>
        </is>
      </c>
      <c r="N4" t="inlineStr">
        <is>
          <t>BILHETERIA - 12/2025</t>
        </is>
      </c>
    </row>
    <row r="5">
      <c r="A5" t="n">
        <v>9761</v>
      </c>
      <c r="B5" t="n">
        <v>128</v>
      </c>
      <c r="C5" t="inlineStr">
        <is>
          <t>Love Cabaret</t>
        </is>
      </c>
      <c r="D5" t="inlineStr">
        <is>
          <t>LIRIUM RECICLAGEM</t>
        </is>
      </c>
      <c r="E5" s="27" t="n">
        <v>45991</v>
      </c>
      <c r="F5" s="27" t="n">
        <v>46001</v>
      </c>
      <c r="G5" s="27" t="n">
        <v>46003</v>
      </c>
      <c r="H5" t="n">
        <v>162</v>
      </c>
      <c r="J5" t="inlineStr">
        <is>
          <t>Coleta de Óleo</t>
        </is>
      </c>
      <c r="K5" t="inlineStr">
        <is>
          <t>Transferência Bancária ou Pix</t>
        </is>
      </c>
      <c r="L5" t="inlineStr">
        <is>
          <t>Pago</t>
        </is>
      </c>
      <c r="M5" t="inlineStr">
        <is>
          <t>Love - Shibari - Bradesco</t>
        </is>
      </c>
      <c r="N5" t="inlineStr">
        <is>
          <t>COLETA DE OLEO VEGETAL - 60 LITROS - REF. 11/2025</t>
        </is>
      </c>
    </row>
    <row r="6">
      <c r="A6" t="n">
        <v>9977</v>
      </c>
      <c r="B6" t="n">
        <v>128</v>
      </c>
      <c r="C6" t="inlineStr">
        <is>
          <t>Love Cabaret</t>
        </is>
      </c>
      <c r="D6" t="inlineStr">
        <is>
          <t xml:space="preserve">SYMPLA INTERNET SOLUÇÕES S/A </t>
        </is>
      </c>
      <c r="E6" s="27" t="n">
        <v>46002</v>
      </c>
      <c r="F6" s="27" t="n">
        <v>46002</v>
      </c>
      <c r="G6" s="27" t="n">
        <v>46002</v>
      </c>
      <c r="H6" t="n">
        <v>34221</v>
      </c>
      <c r="J6" t="inlineStr">
        <is>
          <t>Bilheteria</t>
        </is>
      </c>
      <c r="K6" t="inlineStr">
        <is>
          <t>Transferência Bancária ou Pix</t>
        </is>
      </c>
      <c r="L6" t="inlineStr">
        <is>
          <t>Pago</t>
        </is>
      </c>
      <c r="M6" t="inlineStr">
        <is>
          <t>Love - Shibari - Bradesco</t>
        </is>
      </c>
      <c r="N6" t="inlineStr">
        <is>
          <t>BILHETERIA - 12/2025</t>
        </is>
      </c>
    </row>
    <row r="7">
      <c r="A7" t="n">
        <v>4540</v>
      </c>
      <c r="B7" t="n">
        <v>128</v>
      </c>
      <c r="C7" t="inlineStr">
        <is>
          <t>Love Cabaret</t>
        </is>
      </c>
      <c r="D7" t="inlineStr">
        <is>
          <t>Love Suits Ltda</t>
        </is>
      </c>
      <c r="E7" s="27" t="n">
        <v>45981</v>
      </c>
      <c r="F7" s="27" t="n">
        <v>46001</v>
      </c>
      <c r="G7" s="27" t="n">
        <v>46001</v>
      </c>
      <c r="H7" t="n">
        <v>32594.19</v>
      </c>
      <c r="J7" t="inlineStr">
        <is>
          <t>Aluguel</t>
        </is>
      </c>
      <c r="K7" t="inlineStr">
        <is>
          <t>Transferência Bancária ou Pix</t>
        </is>
      </c>
      <c r="L7" t="inlineStr">
        <is>
          <t>Pago</t>
        </is>
      </c>
      <c r="M7" t="inlineStr">
        <is>
          <t>Love - Shibari - Bradesco</t>
        </is>
      </c>
      <c r="N7" t="inlineStr">
        <is>
          <t>ALUGUEL LOVE SUITS - 12/2025</t>
        </is>
      </c>
    </row>
    <row r="8">
      <c r="A8" t="n">
        <v>5104</v>
      </c>
      <c r="B8" t="n">
        <v>128</v>
      </c>
      <c r="C8" t="inlineStr">
        <is>
          <t>Love Cabaret</t>
        </is>
      </c>
      <c r="D8" t="inlineStr">
        <is>
          <t>Love Suits Ltda</t>
        </is>
      </c>
      <c r="E8" s="27" t="n">
        <v>45981</v>
      </c>
      <c r="F8" s="27" t="n">
        <v>46001</v>
      </c>
      <c r="G8" s="27" t="n">
        <v>46001</v>
      </c>
      <c r="H8" t="n">
        <v>2953.14</v>
      </c>
      <c r="J8" t="inlineStr">
        <is>
          <t>Aluguel</t>
        </is>
      </c>
      <c r="K8" t="inlineStr">
        <is>
          <t>Transferência Bancária ou Pix</t>
        </is>
      </c>
      <c r="L8" t="inlineStr">
        <is>
          <t>Pago</t>
        </is>
      </c>
      <c r="M8" t="inlineStr">
        <is>
          <t>Love - Shibari - Bradesco</t>
        </is>
      </c>
      <c r="N8" t="inlineStr">
        <is>
          <t>REEMBOLSO DE IPTU - 11/2025</t>
        </is>
      </c>
    </row>
    <row r="9">
      <c r="A9" t="n">
        <v>9817</v>
      </c>
      <c r="B9" t="n">
        <v>128</v>
      </c>
      <c r="C9" t="inlineStr">
        <is>
          <t>Love Cabaret</t>
        </is>
      </c>
      <c r="D9" t="inlineStr">
        <is>
          <t xml:space="preserve">SYMPLA INTERNET SOLUÇÕES S/A </t>
        </is>
      </c>
      <c r="E9" s="27" t="n">
        <v>45991</v>
      </c>
      <c r="F9" s="27" t="n">
        <v>45996</v>
      </c>
      <c r="G9" s="27" t="n">
        <v>45996</v>
      </c>
      <c r="H9" t="n">
        <v>4269.53</v>
      </c>
      <c r="J9" t="inlineStr">
        <is>
          <t>Bilheteria-Rebate</t>
        </is>
      </c>
      <c r="K9" t="inlineStr">
        <is>
          <t>Transferência Bancária ou Pix</t>
        </is>
      </c>
      <c r="L9" t="inlineStr">
        <is>
          <t>Pago</t>
        </is>
      </c>
      <c r="M9" t="inlineStr">
        <is>
          <t>Love - Shibari - Bradesco</t>
        </is>
      </c>
      <c r="N9" t="inlineStr">
        <is>
          <t>REBATE BILHETERIA - 11/2025</t>
        </is>
      </c>
    </row>
    <row r="10">
      <c r="A10" t="n">
        <v>9811</v>
      </c>
      <c r="B10" t="n">
        <v>128</v>
      </c>
      <c r="C10" t="inlineStr">
        <is>
          <t>Love Cabaret</t>
        </is>
      </c>
      <c r="D10" t="inlineStr">
        <is>
          <t xml:space="preserve">SYMPLA INTERNET SOLUÇÕES S/A </t>
        </is>
      </c>
      <c r="E10" s="27" t="n">
        <v>45995</v>
      </c>
      <c r="F10" s="27" t="n">
        <v>45995</v>
      </c>
      <c r="G10" s="27" t="n">
        <v>45995</v>
      </c>
      <c r="H10" t="n">
        <v>27020</v>
      </c>
      <c r="J10" t="inlineStr">
        <is>
          <t>Bilheteria</t>
        </is>
      </c>
      <c r="K10" t="inlineStr">
        <is>
          <t>Transferência Bancária ou Pix</t>
        </is>
      </c>
      <c r="L10" t="inlineStr">
        <is>
          <t>Pago</t>
        </is>
      </c>
      <c r="M10" t="inlineStr">
        <is>
          <t>Love - Shibari - Bradesco</t>
        </is>
      </c>
      <c r="N10" t="inlineStr">
        <is>
          <t>BILHETERIA - 12/2025</t>
        </is>
      </c>
    </row>
    <row r="11">
      <c r="A11" t="n">
        <v>9781</v>
      </c>
      <c r="B11" t="n">
        <v>128</v>
      </c>
      <c r="C11" t="inlineStr">
        <is>
          <t>Love Cabaret</t>
        </is>
      </c>
      <c r="D11" t="inlineStr">
        <is>
          <t xml:space="preserve">SYMPLA INTERNET SOLUÇÕES S/A </t>
        </is>
      </c>
      <c r="E11" s="27" t="n">
        <v>45994</v>
      </c>
      <c r="F11" s="27" t="n">
        <v>45994</v>
      </c>
      <c r="G11" s="27" t="n">
        <v>45994</v>
      </c>
      <c r="H11" t="n">
        <v>17935</v>
      </c>
      <c r="J11" t="inlineStr">
        <is>
          <t>Bilheteria</t>
        </is>
      </c>
      <c r="K11" t="inlineStr">
        <is>
          <t>Transferência Bancária ou Pix</t>
        </is>
      </c>
      <c r="L11" t="inlineStr">
        <is>
          <t>Pago</t>
        </is>
      </c>
      <c r="M11" t="inlineStr">
        <is>
          <t>Love - Shibari - Bradesco</t>
        </is>
      </c>
      <c r="N11" t="inlineStr">
        <is>
          <t>BILHETERIA - 12/2025</t>
        </is>
      </c>
    </row>
    <row r="12">
      <c r="A12" t="n">
        <v>9685</v>
      </c>
      <c r="B12" t="n">
        <v>128</v>
      </c>
      <c r="C12" t="inlineStr">
        <is>
          <t>Love Cabaret</t>
        </is>
      </c>
      <c r="D12" t="inlineStr">
        <is>
          <t xml:space="preserve">SYMPLA INTERNET SOLUÇÕES S/A </t>
        </is>
      </c>
      <c r="E12" s="27" t="n">
        <v>45987</v>
      </c>
      <c r="F12" s="27" t="n">
        <v>45987</v>
      </c>
      <c r="G12" s="27" t="n">
        <v>45987</v>
      </c>
      <c r="H12" t="n">
        <v>24530</v>
      </c>
      <c r="J12" t="inlineStr">
        <is>
          <t>Bilheteria</t>
        </is>
      </c>
      <c r="K12" t="inlineStr">
        <is>
          <t>Transferência Bancária ou Pix</t>
        </is>
      </c>
      <c r="L12" t="inlineStr">
        <is>
          <t>Pago</t>
        </is>
      </c>
      <c r="M12" t="inlineStr">
        <is>
          <t>Love - Shibari - Bradesco</t>
        </is>
      </c>
    </row>
    <row r="13">
      <c r="A13" t="n">
        <v>9684</v>
      </c>
      <c r="B13" t="n">
        <v>128</v>
      </c>
      <c r="C13" t="inlineStr">
        <is>
          <t>Love Cabaret</t>
        </is>
      </c>
      <c r="D13" t="inlineStr">
        <is>
          <t xml:space="preserve">SYMPLA INTERNET SOLUÇÕES S/A </t>
        </is>
      </c>
      <c r="E13" s="27" t="n">
        <v>45986</v>
      </c>
      <c r="F13" s="27" t="n">
        <v>45986</v>
      </c>
      <c r="G13" s="27" t="n">
        <v>45986</v>
      </c>
      <c r="H13" t="n">
        <v>11270</v>
      </c>
      <c r="J13" t="inlineStr">
        <is>
          <t>Bilheteria</t>
        </is>
      </c>
      <c r="K13" t="inlineStr">
        <is>
          <t>Transferência Bancária ou Pix</t>
        </is>
      </c>
      <c r="L13" t="inlineStr">
        <is>
          <t>Pago</t>
        </is>
      </c>
      <c r="M13" t="inlineStr">
        <is>
          <t>Love - Shibari - Bradesco</t>
        </is>
      </c>
      <c r="N13" t="inlineStr">
        <is>
          <t>BILHETERIA - 11/2025</t>
        </is>
      </c>
    </row>
    <row r="14">
      <c r="A14" t="n">
        <v>9677</v>
      </c>
      <c r="B14" t="n">
        <v>128</v>
      </c>
      <c r="C14" t="inlineStr">
        <is>
          <t>Love Cabaret</t>
        </is>
      </c>
      <c r="D14" t="inlineStr">
        <is>
          <t xml:space="preserve">SYMPLA INTERNET SOLUÇÕES S/A </t>
        </is>
      </c>
      <c r="E14" s="27" t="n">
        <v>45980</v>
      </c>
      <c r="F14" s="27" t="n">
        <v>45980</v>
      </c>
      <c r="G14" s="27" t="n">
        <v>45980</v>
      </c>
      <c r="H14" t="n">
        <v>25055</v>
      </c>
      <c r="J14" t="inlineStr">
        <is>
          <t>Bilheteria</t>
        </is>
      </c>
      <c r="K14" t="inlineStr">
        <is>
          <t>Transferência Bancária ou Pix</t>
        </is>
      </c>
      <c r="L14" t="inlineStr">
        <is>
          <t>Pago</t>
        </is>
      </c>
      <c r="M14" t="inlineStr">
        <is>
          <t>Love - Shibari - Bradesco</t>
        </is>
      </c>
      <c r="N14" t="inlineStr">
        <is>
          <t>BILHETERIA NOSHOW DEGUSTAÇÃO</t>
        </is>
      </c>
    </row>
    <row r="15">
      <c r="A15" t="n">
        <v>9426</v>
      </c>
      <c r="B15" t="n">
        <v>128</v>
      </c>
      <c r="C15" t="inlineStr">
        <is>
          <t>Love Cabaret</t>
        </is>
      </c>
      <c r="D15" t="inlineStr">
        <is>
          <t>LIRIUM RECICLAGEM</t>
        </is>
      </c>
      <c r="E15" s="27" t="n">
        <v>45960</v>
      </c>
      <c r="F15" s="27" t="n">
        <v>45991</v>
      </c>
      <c r="G15" s="27" t="n">
        <v>45973</v>
      </c>
      <c r="H15" t="n">
        <v>243</v>
      </c>
      <c r="J15" t="inlineStr">
        <is>
          <t>Coleta de Óleo</t>
        </is>
      </c>
      <c r="K15" t="inlineStr">
        <is>
          <t>Transferência Bancária ou Pix</t>
        </is>
      </c>
      <c r="L15" t="inlineStr">
        <is>
          <t>Pago</t>
        </is>
      </c>
      <c r="M15" t="inlineStr">
        <is>
          <t>Love - Shibari - Bradesco</t>
        </is>
      </c>
      <c r="N15" t="inlineStr">
        <is>
          <t>COLETA DE OLETO 90L - 10/2025</t>
        </is>
      </c>
    </row>
    <row r="16">
      <c r="A16" t="n">
        <v>9527</v>
      </c>
      <c r="B16" t="n">
        <v>128</v>
      </c>
      <c r="C16" t="inlineStr">
        <is>
          <t>Love Cabaret</t>
        </is>
      </c>
      <c r="D16" t="inlineStr">
        <is>
          <t xml:space="preserve">SYMPLA INTERNET SOLUÇÕES S/A </t>
        </is>
      </c>
      <c r="E16" s="27" t="n">
        <v>45973</v>
      </c>
      <c r="F16" s="27" t="n">
        <v>45973</v>
      </c>
      <c r="G16" s="27" t="n">
        <v>45973</v>
      </c>
      <c r="H16" t="n">
        <v>27590</v>
      </c>
      <c r="J16" t="inlineStr">
        <is>
          <t>Bilheteria</t>
        </is>
      </c>
      <c r="K16" t="inlineStr">
        <is>
          <t>Transferência Bancária ou Pix</t>
        </is>
      </c>
      <c r="L16" t="inlineStr">
        <is>
          <t>Pago</t>
        </is>
      </c>
      <c r="M16" t="inlineStr">
        <is>
          <t>Love - Shibari - Bradesco</t>
        </is>
      </c>
      <c r="N16" t="inlineStr">
        <is>
          <t>BILHETERIA - 11/2025</t>
        </is>
      </c>
    </row>
    <row r="17">
      <c r="A17" t="n">
        <v>4538</v>
      </c>
      <c r="B17" t="n">
        <v>128</v>
      </c>
      <c r="C17" t="inlineStr">
        <is>
          <t>Love Cabaret</t>
        </is>
      </c>
      <c r="D17" t="inlineStr">
        <is>
          <t>Love Suits Ltda</t>
        </is>
      </c>
      <c r="E17" s="27" t="n">
        <v>45920</v>
      </c>
      <c r="F17" s="27" t="n">
        <v>45966</v>
      </c>
      <c r="G17" s="27" t="n">
        <v>45971</v>
      </c>
      <c r="H17" t="n">
        <v>959.55</v>
      </c>
      <c r="J17" t="inlineStr">
        <is>
          <t>Aluguel</t>
        </is>
      </c>
      <c r="K17" t="inlineStr">
        <is>
          <t>Transferência Bancária ou Pix</t>
        </is>
      </c>
      <c r="L17" t="inlineStr">
        <is>
          <t>Pago</t>
        </is>
      </c>
      <c r="M17" t="inlineStr">
        <is>
          <t>Love - Shibari - Bradesco</t>
        </is>
      </c>
      <c r="N17" t="inlineStr">
        <is>
          <t>ALUGUEL LOVE SUITS - 10/2025</t>
        </is>
      </c>
    </row>
    <row r="18">
      <c r="A18" t="n">
        <v>4539</v>
      </c>
      <c r="B18" t="n">
        <v>128</v>
      </c>
      <c r="C18" t="inlineStr">
        <is>
          <t>Love Cabaret</t>
        </is>
      </c>
      <c r="D18" t="inlineStr">
        <is>
          <t>Love Suits Ltda</t>
        </is>
      </c>
      <c r="E18" s="27" t="n">
        <v>45950</v>
      </c>
      <c r="F18" s="27" t="n">
        <v>45971</v>
      </c>
      <c r="G18" s="27" t="n">
        <v>45971</v>
      </c>
      <c r="H18" t="n">
        <v>32594.19</v>
      </c>
      <c r="J18" t="inlineStr">
        <is>
          <t>Aluguel</t>
        </is>
      </c>
      <c r="K18" t="inlineStr">
        <is>
          <t>Transferência Bancária ou Pix</t>
        </is>
      </c>
      <c r="L18" t="inlineStr">
        <is>
          <t>Pago</t>
        </is>
      </c>
      <c r="M18" t="inlineStr">
        <is>
          <t>Love - Shibari - Bradesco</t>
        </is>
      </c>
      <c r="N18" t="inlineStr">
        <is>
          <t>ALUGUEL LOVE SUITS - 11/2025</t>
        </is>
      </c>
    </row>
    <row r="19">
      <c r="A19" t="n">
        <v>5103</v>
      </c>
      <c r="B19" t="n">
        <v>128</v>
      </c>
      <c r="C19" t="inlineStr">
        <is>
          <t>Love Cabaret</t>
        </is>
      </c>
      <c r="D19" t="inlineStr">
        <is>
          <t>Love Suits Ltda</t>
        </is>
      </c>
      <c r="E19" s="27" t="n">
        <v>45950</v>
      </c>
      <c r="F19" s="27" t="n">
        <v>45971</v>
      </c>
      <c r="G19" s="27" t="n">
        <v>45971</v>
      </c>
      <c r="H19" t="n">
        <v>2953.14</v>
      </c>
      <c r="J19" t="inlineStr">
        <is>
          <t>Aluguel</t>
        </is>
      </c>
      <c r="K19" t="inlineStr">
        <is>
          <t>Transferência Bancária ou Pix</t>
        </is>
      </c>
      <c r="L19" t="inlineStr">
        <is>
          <t>Pago</t>
        </is>
      </c>
      <c r="M19" t="inlineStr">
        <is>
          <t>Arcos - Arcos Bar - Banco do Brasil</t>
        </is>
      </c>
      <c r="N19" t="inlineStr">
        <is>
          <t>REEMBOLSO DE IPTU - 10/2025</t>
        </is>
      </c>
    </row>
    <row r="20">
      <c r="A20" t="n">
        <v>9483</v>
      </c>
      <c r="B20" t="n">
        <v>128</v>
      </c>
      <c r="C20" t="inlineStr">
        <is>
          <t>Love Cabaret</t>
        </is>
      </c>
      <c r="D20" t="inlineStr">
        <is>
          <t xml:space="preserve">SYMPLA INTERNET SOLUÇÕES S/A </t>
        </is>
      </c>
      <c r="E20" s="27" t="n">
        <v>45968</v>
      </c>
      <c r="F20" s="27" t="n">
        <v>45968</v>
      </c>
      <c r="G20" s="27" t="n">
        <v>45968</v>
      </c>
      <c r="H20" t="n">
        <v>2970.86</v>
      </c>
      <c r="J20" t="inlineStr">
        <is>
          <t>Bilheteria-Rebate</t>
        </is>
      </c>
      <c r="K20" t="inlineStr">
        <is>
          <t>Transferência Bancária ou Pix</t>
        </is>
      </c>
      <c r="L20" t="inlineStr">
        <is>
          <t>Pago</t>
        </is>
      </c>
      <c r="M20" t="inlineStr">
        <is>
          <t>Love - Shibari - Bradesco</t>
        </is>
      </c>
      <c r="N20" t="inlineStr">
        <is>
          <t>BILHETERIA - 11/2025</t>
        </is>
      </c>
    </row>
    <row r="21">
      <c r="A21" t="n">
        <v>7891</v>
      </c>
      <c r="B21" t="n">
        <v>128</v>
      </c>
      <c r="C21" t="inlineStr">
        <is>
          <t>Love Cabaret</t>
        </is>
      </c>
      <c r="D21" t="inlineStr">
        <is>
          <t>Diageo</t>
        </is>
      </c>
      <c r="E21" s="27" t="n">
        <v>45960</v>
      </c>
      <c r="F21" s="27" t="n">
        <v>45954</v>
      </c>
      <c r="G21" s="27" t="n">
        <v>45968</v>
      </c>
      <c r="H21" t="n">
        <v>20000</v>
      </c>
      <c r="J21" t="inlineStr">
        <is>
          <t>Patrocínio</t>
        </is>
      </c>
      <c r="K21" t="inlineStr">
        <is>
          <t>Transferência Bancária ou Pix</t>
        </is>
      </c>
      <c r="L21" t="inlineStr">
        <is>
          <t>Pago</t>
        </is>
      </c>
      <c r="M21" t="inlineStr">
        <is>
          <t>Love - Shibari - Bradesco</t>
        </is>
      </c>
      <c r="N21" t="inlineStr">
        <is>
          <t>AÇÕES ESPECIAIS COM ATIVAÇÃO DE MARCA (DON JULIO, JW, SMIRNOFF) - SEMANA DO PRAZER - PRODUÇÃO DE MATERIAL ESPECIAL + WELCOME DRINK ESPECIAL DE DRINKS COM DON JULIO PARA A NOITE - CONTRATO DE TRADE VIEGENCIA 01/08/2025 A 31/07/2027</t>
        </is>
      </c>
    </row>
    <row r="22">
      <c r="A22" t="n">
        <v>9442</v>
      </c>
      <c r="B22" t="n">
        <v>128</v>
      </c>
      <c r="C22" t="inlineStr">
        <is>
          <t>Love Cabaret</t>
        </is>
      </c>
      <c r="D22" t="inlineStr">
        <is>
          <t xml:space="preserve">SYMPLA INTERNET SOLUÇÕES S/A </t>
        </is>
      </c>
      <c r="E22" s="27" t="n">
        <v>45966</v>
      </c>
      <c r="F22" s="27" t="n">
        <v>45966</v>
      </c>
      <c r="G22" s="27" t="n">
        <v>45966</v>
      </c>
      <c r="H22" t="n">
        <v>27515</v>
      </c>
      <c r="J22" t="inlineStr">
        <is>
          <t>Bilheteria</t>
        </is>
      </c>
      <c r="K22" t="inlineStr">
        <is>
          <t>Transferência Bancária ou Pix</t>
        </is>
      </c>
      <c r="L22" t="inlineStr">
        <is>
          <t>Pago</t>
        </is>
      </c>
      <c r="M22" t="inlineStr">
        <is>
          <t>Love - Shibari - Bradesco</t>
        </is>
      </c>
      <c r="N22" t="inlineStr">
        <is>
          <t>BILHETERIA - 11/2025</t>
        </is>
      </c>
    </row>
    <row r="23">
      <c r="A23" t="n">
        <v>9943</v>
      </c>
      <c r="B23" t="n">
        <v>128</v>
      </c>
      <c r="C23" t="inlineStr">
        <is>
          <t>Love Cabaret</t>
        </is>
      </c>
      <c r="D23" t="inlineStr">
        <is>
          <t xml:space="preserve">SYMPLA INTERNET SOLUÇÕES S/A </t>
        </is>
      </c>
      <c r="E23" s="27" t="n">
        <v>45959</v>
      </c>
      <c r="F23" s="27" t="n">
        <v>45959</v>
      </c>
      <c r="G23" s="27" t="n">
        <v>45959</v>
      </c>
      <c r="H23" t="n">
        <v>20570</v>
      </c>
      <c r="J23" t="inlineStr">
        <is>
          <t>Bilheteria</t>
        </is>
      </c>
      <c r="K23" t="inlineStr">
        <is>
          <t>Transferência Bancária ou Pix</t>
        </is>
      </c>
      <c r="L23" t="inlineStr">
        <is>
          <t>Pago</t>
        </is>
      </c>
      <c r="M23" t="inlineStr">
        <is>
          <t>Love - Shibari - Bradesco</t>
        </is>
      </c>
      <c r="N23" t="inlineStr">
        <is>
          <t>BILHETERIA - 10/2025</t>
        </is>
      </c>
    </row>
    <row r="24">
      <c r="A24" t="n">
        <v>9391</v>
      </c>
      <c r="B24" t="n">
        <v>128</v>
      </c>
      <c r="C24" t="inlineStr">
        <is>
          <t>Love Cabaret</t>
        </is>
      </c>
      <c r="D24" t="inlineStr">
        <is>
          <t>camile liguori  paulin</t>
        </is>
      </c>
      <c r="E24" s="27" t="n">
        <v>45958</v>
      </c>
      <c r="F24" s="27" t="n">
        <v>45958</v>
      </c>
      <c r="G24" s="27" t="n">
        <v>45958</v>
      </c>
      <c r="H24" t="n">
        <v>930</v>
      </c>
      <c r="J24" t="inlineStr">
        <is>
          <t>Reservas/ Pagto antecipado</t>
        </is>
      </c>
      <c r="K24" t="inlineStr">
        <is>
          <t>Transferência Bancária ou Pix</t>
        </is>
      </c>
      <c r="L24" t="inlineStr">
        <is>
          <t>Pago</t>
        </is>
      </c>
      <c r="M24" t="inlineStr">
        <is>
          <t>Love - Shibari - Bradesco</t>
        </is>
      </c>
    </row>
    <row r="25">
      <c r="A25" t="n">
        <v>9966</v>
      </c>
      <c r="B25" t="n">
        <v>128</v>
      </c>
      <c r="C25" t="inlineStr">
        <is>
          <t>Love Cabaret</t>
        </is>
      </c>
      <c r="D25" t="inlineStr">
        <is>
          <t>MY PET AND ME FRANCHI</t>
        </is>
      </c>
      <c r="E25" s="27" t="n">
        <v>45957</v>
      </c>
      <c r="F25" s="27" t="n">
        <v>45957</v>
      </c>
      <c r="G25" s="27" t="n">
        <v>45957</v>
      </c>
      <c r="H25" t="n">
        <v>385</v>
      </c>
      <c r="J25" t="inlineStr">
        <is>
          <t>Alimentos</t>
        </is>
      </c>
      <c r="K25" t="inlineStr">
        <is>
          <t>Transferência Bancária ou Pix</t>
        </is>
      </c>
      <c r="L25" t="inlineStr">
        <is>
          <t>Pago</t>
        </is>
      </c>
      <c r="M25" t="inlineStr">
        <is>
          <t>Love - Shibari - Bradesco</t>
        </is>
      </c>
      <c r="N25" t="inlineStr">
        <is>
          <t>CONTA EM ABERTO DO DIA 17/10 LOVE - 10/2025</t>
        </is>
      </c>
    </row>
    <row r="26">
      <c r="A26" t="n">
        <v>9339</v>
      </c>
      <c r="B26" t="n">
        <v>128</v>
      </c>
      <c r="C26" t="inlineStr">
        <is>
          <t>Love Cabaret</t>
        </is>
      </c>
      <c r="D26" t="inlineStr">
        <is>
          <t xml:space="preserve">SYMPLA INTERNET SOLUÇÕES S/A </t>
        </is>
      </c>
      <c r="E26" s="27" t="n">
        <v>45953</v>
      </c>
      <c r="F26" s="27" t="n">
        <v>45953</v>
      </c>
      <c r="G26" s="27" t="n">
        <v>45953</v>
      </c>
      <c r="H26" t="n">
        <v>5330</v>
      </c>
      <c r="J26" t="inlineStr">
        <is>
          <t>Bilheteria</t>
        </is>
      </c>
      <c r="K26" t="inlineStr">
        <is>
          <t>Transferência Bancária ou Pix</t>
        </is>
      </c>
      <c r="L26" t="inlineStr">
        <is>
          <t>Pago</t>
        </is>
      </c>
      <c r="M26" t="inlineStr">
        <is>
          <t>Love - Shibari - Bradesco</t>
        </is>
      </c>
    </row>
    <row r="27">
      <c r="A27" t="n">
        <v>9338</v>
      </c>
      <c r="B27" t="n">
        <v>128</v>
      </c>
      <c r="C27" t="inlineStr">
        <is>
          <t>Love Cabaret</t>
        </is>
      </c>
      <c r="D27" t="inlineStr">
        <is>
          <t xml:space="preserve">SYMPLA INTERNET SOLUÇÕES S/A </t>
        </is>
      </c>
      <c r="E27" s="27" t="n">
        <v>45952</v>
      </c>
      <c r="F27" s="27" t="n">
        <v>45952</v>
      </c>
      <c r="G27" s="27" t="n">
        <v>45952</v>
      </c>
      <c r="H27" t="n">
        <v>19870</v>
      </c>
      <c r="J27" t="inlineStr">
        <is>
          <t>Bilheteria</t>
        </is>
      </c>
      <c r="K27" t="inlineStr">
        <is>
          <t>Transferência Bancária ou Pix</t>
        </is>
      </c>
      <c r="L27" t="inlineStr">
        <is>
          <t>Pago</t>
        </is>
      </c>
      <c r="M27" t="inlineStr">
        <is>
          <t>Love - Shibari - Bradesco</t>
        </is>
      </c>
    </row>
    <row r="28">
      <c r="A28" t="n">
        <v>9283</v>
      </c>
      <c r="B28" t="n">
        <v>128</v>
      </c>
      <c r="C28" t="inlineStr">
        <is>
          <t>Love Cabaret</t>
        </is>
      </c>
      <c r="D28" t="inlineStr">
        <is>
          <t xml:space="preserve">SYMPLA INTERNET SOLUÇÕES S/A </t>
        </is>
      </c>
      <c r="E28" s="27" t="n">
        <v>45945</v>
      </c>
      <c r="F28" s="27" t="n">
        <v>45945</v>
      </c>
      <c r="G28" s="27" t="n">
        <v>45945</v>
      </c>
      <c r="H28" t="n">
        <v>21840</v>
      </c>
      <c r="J28" t="inlineStr">
        <is>
          <t>Bilheteria</t>
        </is>
      </c>
      <c r="K28" t="inlineStr">
        <is>
          <t>Transferência Bancária ou Pix</t>
        </is>
      </c>
      <c r="L28" t="inlineStr">
        <is>
          <t>Pago</t>
        </is>
      </c>
      <c r="M28" t="inlineStr">
        <is>
          <t>Love - Shibari - Bradesco</t>
        </is>
      </c>
    </row>
    <row r="29">
      <c r="A29" t="n">
        <v>9189</v>
      </c>
      <c r="B29" t="n">
        <v>128</v>
      </c>
      <c r="C29" t="inlineStr">
        <is>
          <t>Love Cabaret</t>
        </is>
      </c>
      <c r="D29" t="inlineStr">
        <is>
          <t>LIRIUM RECICLAGEM</t>
        </is>
      </c>
      <c r="E29" s="27" t="n">
        <v>45910</v>
      </c>
      <c r="F29" s="27" t="n">
        <v>45944</v>
      </c>
      <c r="G29" s="27" t="n">
        <v>45944</v>
      </c>
      <c r="H29" t="n">
        <v>243</v>
      </c>
      <c r="J29" t="inlineStr">
        <is>
          <t>Coleta de Óleo</t>
        </is>
      </c>
      <c r="K29" t="inlineStr">
        <is>
          <t>Transferência Bancária ou Pix</t>
        </is>
      </c>
      <c r="L29" t="inlineStr">
        <is>
          <t>Pago</t>
        </is>
      </c>
      <c r="M29" t="inlineStr">
        <is>
          <t>Love - Shibari - Bradesco</t>
        </is>
      </c>
    </row>
    <row r="30">
      <c r="A30" t="n">
        <v>4538</v>
      </c>
      <c r="B30" t="n">
        <v>128</v>
      </c>
      <c r="C30" t="inlineStr">
        <is>
          <t>Love Cabaret</t>
        </is>
      </c>
      <c r="D30" t="inlineStr">
        <is>
          <t>Love Suits Ltda</t>
        </is>
      </c>
      <c r="E30" s="27" t="n">
        <v>45920</v>
      </c>
      <c r="F30" s="27" t="n">
        <v>45971</v>
      </c>
      <c r="G30" s="27" t="n">
        <v>45940</v>
      </c>
      <c r="H30" t="n">
        <v>31634.64</v>
      </c>
      <c r="J30" t="inlineStr">
        <is>
          <t>Aluguel</t>
        </is>
      </c>
      <c r="K30" t="inlineStr">
        <is>
          <t>Transferência Bancária ou Pix</t>
        </is>
      </c>
      <c r="L30" t="inlineStr">
        <is>
          <t>Pago</t>
        </is>
      </c>
      <c r="M30" t="inlineStr">
        <is>
          <t>Love - Shibari - Bradesco</t>
        </is>
      </c>
      <c r="N30" t="inlineStr">
        <is>
          <t>ALUGUEL LOVE SUITS - 10/2025</t>
        </is>
      </c>
    </row>
    <row r="31">
      <c r="A31" t="n">
        <v>5102</v>
      </c>
      <c r="B31" t="n">
        <v>128</v>
      </c>
      <c r="C31" t="inlineStr">
        <is>
          <t>Love Cabaret</t>
        </is>
      </c>
      <c r="D31" t="inlineStr">
        <is>
          <t>Love Suits Ltda</t>
        </is>
      </c>
      <c r="E31" s="27" t="n">
        <v>45920</v>
      </c>
      <c r="F31" s="27" t="n">
        <v>45940</v>
      </c>
      <c r="G31" s="27" t="n">
        <v>45940</v>
      </c>
      <c r="H31" t="n">
        <v>2953.14</v>
      </c>
      <c r="J31" t="inlineStr">
        <is>
          <t>Aluguel</t>
        </is>
      </c>
      <c r="K31" t="inlineStr">
        <is>
          <t>Transferência Bancária ou Pix</t>
        </is>
      </c>
      <c r="L31" t="inlineStr">
        <is>
          <t>Pago</t>
        </is>
      </c>
      <c r="M31" t="inlineStr">
        <is>
          <t>Love - Shibari - Bradesco</t>
        </is>
      </c>
      <c r="N31" t="inlineStr">
        <is>
          <t>REEMBOLSO DE IPTU - 09/2025</t>
        </is>
      </c>
    </row>
    <row r="32">
      <c r="A32" t="n">
        <v>9152</v>
      </c>
      <c r="B32" t="n">
        <v>128</v>
      </c>
      <c r="C32" t="inlineStr">
        <is>
          <t>Love Cabaret</t>
        </is>
      </c>
      <c r="D32" t="inlineStr">
        <is>
          <t xml:space="preserve">SYMPLA INTERNET SOLUÇÕES S/A </t>
        </is>
      </c>
      <c r="E32" s="27" t="n">
        <v>45938</v>
      </c>
      <c r="F32" s="27" t="n">
        <v>45938</v>
      </c>
      <c r="G32" s="27" t="n">
        <v>45938</v>
      </c>
      <c r="H32" t="n">
        <v>17485</v>
      </c>
      <c r="J32" t="inlineStr">
        <is>
          <t>Bilheteria</t>
        </is>
      </c>
      <c r="K32" t="inlineStr">
        <is>
          <t>Transferência Bancária ou Pix</t>
        </is>
      </c>
      <c r="L32" t="inlineStr">
        <is>
          <t>Pago</t>
        </is>
      </c>
      <c r="M32" t="inlineStr">
        <is>
          <t>Love - Shibari - Bradesco</t>
        </is>
      </c>
    </row>
    <row r="33">
      <c r="A33" t="n">
        <v>9151</v>
      </c>
      <c r="B33" t="n">
        <v>128</v>
      </c>
      <c r="C33" t="inlineStr">
        <is>
          <t>Love Cabaret</t>
        </is>
      </c>
      <c r="D33" t="inlineStr">
        <is>
          <t xml:space="preserve">SYMPLA INTERNET SOLUÇÕES S/A </t>
        </is>
      </c>
      <c r="E33" s="27" t="n">
        <v>45937</v>
      </c>
      <c r="F33" s="27" t="n">
        <v>45937</v>
      </c>
      <c r="G33" s="27" t="n">
        <v>45937</v>
      </c>
      <c r="H33" t="n">
        <v>3670</v>
      </c>
      <c r="J33" t="inlineStr">
        <is>
          <t>Bilheteria</t>
        </is>
      </c>
      <c r="K33" t="inlineStr">
        <is>
          <t>Transferência Bancária ou Pix</t>
        </is>
      </c>
      <c r="L33" t="inlineStr">
        <is>
          <t>Pago</t>
        </is>
      </c>
      <c r="M33" t="inlineStr">
        <is>
          <t>Love - Shibari - Bradesco</t>
        </is>
      </c>
    </row>
    <row r="34">
      <c r="A34" t="n">
        <v>9055</v>
      </c>
      <c r="B34" t="n">
        <v>128</v>
      </c>
      <c r="C34" t="inlineStr">
        <is>
          <t>Love Cabaret</t>
        </is>
      </c>
      <c r="D34" t="inlineStr">
        <is>
          <t xml:space="preserve">SYMPLA INTERNET SOLUÇÕES S/A </t>
        </is>
      </c>
      <c r="E34" s="27" t="n">
        <v>45931</v>
      </c>
      <c r="F34" s="27" t="n">
        <v>45931</v>
      </c>
      <c r="G34" s="27" t="n">
        <v>45931</v>
      </c>
      <c r="H34" t="n">
        <v>22400</v>
      </c>
      <c r="J34" t="inlineStr">
        <is>
          <t>Bilheteria</t>
        </is>
      </c>
      <c r="K34" t="inlineStr">
        <is>
          <t>Transferência Bancária ou Pix</t>
        </is>
      </c>
      <c r="L34" t="inlineStr">
        <is>
          <t>Pago</t>
        </is>
      </c>
      <c r="M34" t="inlineStr">
        <is>
          <t>Love - Shibari - Bradesco</t>
        </is>
      </c>
    </row>
    <row r="35">
      <c r="A35" t="n">
        <v>8869</v>
      </c>
      <c r="B35" t="n">
        <v>128</v>
      </c>
      <c r="C35" t="inlineStr">
        <is>
          <t>Love Cabaret</t>
        </is>
      </c>
      <c r="D35" t="inlineStr">
        <is>
          <t xml:space="preserve">SYMPLA INTERNET SOLUÇÕES S/A </t>
        </is>
      </c>
      <c r="E35" s="27" t="n">
        <v>45923</v>
      </c>
      <c r="F35" s="27" t="n">
        <v>45924</v>
      </c>
      <c r="G35" s="27" t="n">
        <v>45924</v>
      </c>
      <c r="H35" t="n">
        <v>25599.5</v>
      </c>
      <c r="J35" t="inlineStr">
        <is>
          <t>Bilheteria</t>
        </is>
      </c>
      <c r="K35" t="inlineStr">
        <is>
          <t>Transferência Bancária ou Pix</t>
        </is>
      </c>
      <c r="L35" t="inlineStr">
        <is>
          <t>Pago</t>
        </is>
      </c>
      <c r="M35" t="inlineStr">
        <is>
          <t>Love - Shibari - Bradesco</t>
        </is>
      </c>
      <c r="N35" t="inlineStr">
        <is>
          <t>BILHETERIA - 09/2025</t>
        </is>
      </c>
    </row>
    <row r="36">
      <c r="A36" t="n">
        <v>8869</v>
      </c>
      <c r="B36" t="n">
        <v>128</v>
      </c>
      <c r="C36" t="inlineStr">
        <is>
          <t>Love Cabaret</t>
        </is>
      </c>
      <c r="D36" t="inlineStr">
        <is>
          <t xml:space="preserve">SYMPLA INTERNET SOLUÇÕES S/A </t>
        </is>
      </c>
      <c r="E36" s="27" t="n">
        <v>45923</v>
      </c>
      <c r="F36" s="27" t="n">
        <v>45923</v>
      </c>
      <c r="G36" s="27" t="n">
        <v>45923</v>
      </c>
      <c r="H36" t="n">
        <v>220</v>
      </c>
      <c r="J36" t="inlineStr">
        <is>
          <t>Bilheteria</t>
        </is>
      </c>
      <c r="K36" t="inlineStr">
        <is>
          <t>Transferência Bancária ou Pix</t>
        </is>
      </c>
      <c r="L36" t="inlineStr">
        <is>
          <t>Pago</t>
        </is>
      </c>
      <c r="M36" t="inlineStr">
        <is>
          <t>Love - Shibari - Bradesco</t>
        </is>
      </c>
      <c r="N36" t="inlineStr">
        <is>
          <t>BILHETERIA - 09/2025</t>
        </is>
      </c>
    </row>
    <row r="37">
      <c r="A37" t="n">
        <v>7787</v>
      </c>
      <c r="B37" t="n">
        <v>128</v>
      </c>
      <c r="C37" t="inlineStr">
        <is>
          <t>Love Cabaret</t>
        </is>
      </c>
      <c r="D37" t="inlineStr">
        <is>
          <t>Diageo</t>
        </is>
      </c>
      <c r="E37" s="27" t="n">
        <v>45930</v>
      </c>
      <c r="F37" s="27" t="n">
        <v>45926</v>
      </c>
      <c r="G37" s="27" t="n">
        <v>45919</v>
      </c>
      <c r="H37" t="n">
        <v>7215</v>
      </c>
      <c r="J37" t="inlineStr">
        <is>
          <t>Patrocínio</t>
        </is>
      </c>
      <c r="K37" t="inlineStr">
        <is>
          <t>Transferência Bancária ou Pix</t>
        </is>
      </c>
      <c r="L37" t="inlineStr">
        <is>
          <t>Pago</t>
        </is>
      </c>
      <c r="M37" t="inlineStr">
        <is>
          <t>Love - Shibari - Bradesco</t>
        </is>
      </c>
      <c r="N37" t="inlineStr">
        <is>
          <t>VOLUME 10.000 - JUN+JUL+AGO - CONTRATO DE TRADE VIEGENCIA 01/08/2025 A 31/07/2027</t>
        </is>
      </c>
    </row>
    <row r="38">
      <c r="A38" t="n">
        <v>8781</v>
      </c>
      <c r="B38" t="n">
        <v>128</v>
      </c>
      <c r="C38" t="inlineStr">
        <is>
          <t>Love Cabaret</t>
        </is>
      </c>
      <c r="D38" t="inlineStr">
        <is>
          <t xml:space="preserve">SYMPLA INTERNET SOLUÇÕES S/A </t>
        </is>
      </c>
      <c r="E38" s="27" t="n">
        <v>45917</v>
      </c>
      <c r="F38" s="27" t="n">
        <v>45917</v>
      </c>
      <c r="G38" s="27" t="n">
        <v>45917</v>
      </c>
      <c r="H38" t="n">
        <v>23560</v>
      </c>
      <c r="J38" t="inlineStr">
        <is>
          <t>Bilheteria</t>
        </is>
      </c>
      <c r="K38" t="inlineStr">
        <is>
          <t>Transferência Bancária ou Pix</t>
        </is>
      </c>
      <c r="L38" t="inlineStr">
        <is>
          <t>Pago</t>
        </is>
      </c>
      <c r="M38" t="inlineStr">
        <is>
          <t>Love - Shibari - Bradesco</t>
        </is>
      </c>
      <c r="N38" t="inlineStr">
        <is>
          <t>BILHETERIA - 09/2025</t>
        </is>
      </c>
    </row>
    <row r="39">
      <c r="A39" t="n">
        <v>8773</v>
      </c>
      <c r="B39" t="n">
        <v>128</v>
      </c>
      <c r="C39" t="inlineStr">
        <is>
          <t>Love Cabaret</t>
        </is>
      </c>
      <c r="D39" t="inlineStr">
        <is>
          <t xml:space="preserve">SYMPLA INTERNET SOLUÇÕES S/A </t>
        </is>
      </c>
      <c r="E39" s="27" t="n">
        <v>45916</v>
      </c>
      <c r="F39" s="27" t="n">
        <v>45916</v>
      </c>
      <c r="G39" s="27" t="n">
        <v>45916</v>
      </c>
      <c r="H39" t="n">
        <v>385</v>
      </c>
      <c r="J39" t="inlineStr">
        <is>
          <t>Bilheteria</t>
        </is>
      </c>
      <c r="K39" t="inlineStr">
        <is>
          <t>Transferência Bancária ou Pix</t>
        </is>
      </c>
      <c r="L39" t="inlineStr">
        <is>
          <t>Pago</t>
        </is>
      </c>
      <c r="M39" t="inlineStr">
        <is>
          <t>Love - Shibari - Bradesco</t>
        </is>
      </c>
      <c r="N39" t="inlineStr">
        <is>
          <t>BILHETERIA - 09/2025</t>
        </is>
      </c>
    </row>
    <row r="40">
      <c r="A40" t="n">
        <v>5101</v>
      </c>
      <c r="B40" t="n">
        <v>128</v>
      </c>
      <c r="C40" t="inlineStr">
        <is>
          <t>Love Cabaret</t>
        </is>
      </c>
      <c r="D40" t="inlineStr">
        <is>
          <t>Love Suits Ltda</t>
        </is>
      </c>
      <c r="E40" s="27" t="n">
        <v>45889</v>
      </c>
      <c r="F40" s="27" t="n">
        <v>45910</v>
      </c>
      <c r="G40" s="27" t="n">
        <v>45910</v>
      </c>
      <c r="H40" t="n">
        <v>2953.14</v>
      </c>
      <c r="J40" t="inlineStr">
        <is>
          <t>Aluguel</t>
        </is>
      </c>
      <c r="K40" t="inlineStr">
        <is>
          <t>Transferência Bancária ou Pix</t>
        </is>
      </c>
      <c r="L40" t="inlineStr">
        <is>
          <t>Pago</t>
        </is>
      </c>
      <c r="M40" t="inlineStr">
        <is>
          <t>Love - Shibari - Bradesco</t>
        </is>
      </c>
      <c r="N40" t="inlineStr">
        <is>
          <t>REEMBOLSO DE IPTU - 08/2025</t>
        </is>
      </c>
    </row>
    <row r="41">
      <c r="A41" t="n">
        <v>4537</v>
      </c>
      <c r="B41" t="n">
        <v>128</v>
      </c>
      <c r="C41" t="inlineStr">
        <is>
          <t>Love Cabaret</t>
        </is>
      </c>
      <c r="D41" t="inlineStr">
        <is>
          <t>Love Suits Ltda</t>
        </is>
      </c>
      <c r="E41" s="27" t="n">
        <v>45889</v>
      </c>
      <c r="F41" s="27" t="n">
        <v>45910</v>
      </c>
      <c r="G41" s="27" t="n">
        <v>45910</v>
      </c>
      <c r="H41" t="n">
        <v>31634.64</v>
      </c>
      <c r="J41" t="inlineStr">
        <is>
          <t>Aluguel</t>
        </is>
      </c>
      <c r="K41" t="inlineStr">
        <is>
          <t>Transferência Bancária ou Pix</t>
        </is>
      </c>
      <c r="L41" t="inlineStr">
        <is>
          <t>Pago</t>
        </is>
      </c>
      <c r="M41" t="inlineStr">
        <is>
          <t>Love - Shibari - Bradesco</t>
        </is>
      </c>
      <c r="N41" t="inlineStr">
        <is>
          <t>ALUGUEL LOVE SUITS - 09/2025</t>
        </is>
      </c>
    </row>
    <row r="42">
      <c r="A42" t="n">
        <v>8670</v>
      </c>
      <c r="B42" t="n">
        <v>128</v>
      </c>
      <c r="C42" t="inlineStr">
        <is>
          <t>Love Cabaret</t>
        </is>
      </c>
      <c r="D42" t="inlineStr">
        <is>
          <t xml:space="preserve">SYMPLA INTERNET SOLUÇÕES S/A </t>
        </is>
      </c>
      <c r="E42" s="27" t="n">
        <v>45909</v>
      </c>
      <c r="F42" s="27" t="n">
        <v>45910</v>
      </c>
      <c r="G42" s="27" t="n">
        <v>45910</v>
      </c>
      <c r="H42" t="n">
        <v>29780</v>
      </c>
      <c r="J42" t="inlineStr">
        <is>
          <t>Bilheteria</t>
        </is>
      </c>
      <c r="K42" t="inlineStr">
        <is>
          <t>Transferência Bancária ou Pix</t>
        </is>
      </c>
      <c r="L42" t="inlineStr">
        <is>
          <t>Pago</t>
        </is>
      </c>
      <c r="M42" t="inlineStr">
        <is>
          <t>Love - Shibari - Bradesco</t>
        </is>
      </c>
      <c r="N42" t="inlineStr">
        <is>
          <t>BILHETERIA - 09/2025</t>
        </is>
      </c>
    </row>
    <row r="43">
      <c r="A43" t="n">
        <v>8520</v>
      </c>
      <c r="B43" t="n">
        <v>128</v>
      </c>
      <c r="C43" t="inlineStr">
        <is>
          <t>Love Cabaret</t>
        </is>
      </c>
      <c r="D43" t="inlineStr">
        <is>
          <t>LIRIUM RECICLAGEM</t>
        </is>
      </c>
      <c r="E43" s="27" t="n">
        <v>45900</v>
      </c>
      <c r="F43" s="27" t="n">
        <v>45930</v>
      </c>
      <c r="G43" s="27" t="n">
        <v>45909</v>
      </c>
      <c r="H43" t="n">
        <v>162</v>
      </c>
      <c r="J43" t="inlineStr">
        <is>
          <t>Coleta de Óleo</t>
        </is>
      </c>
      <c r="K43" t="inlineStr">
        <is>
          <t>Transferência Bancária ou Pix</t>
        </is>
      </c>
      <c r="L43" t="inlineStr">
        <is>
          <t>Pago</t>
        </is>
      </c>
      <c r="M43" t="inlineStr">
        <is>
          <t>Love - Shibari - Bradesco</t>
        </is>
      </c>
      <c r="N43" t="inlineStr">
        <is>
          <t>COLETA (60L) - 08/2025</t>
        </is>
      </c>
    </row>
    <row r="44">
      <c r="A44" t="n">
        <v>8670</v>
      </c>
      <c r="B44" t="n">
        <v>128</v>
      </c>
      <c r="C44" t="inlineStr">
        <is>
          <t>Love Cabaret</t>
        </is>
      </c>
      <c r="D44" t="inlineStr">
        <is>
          <t xml:space="preserve">SYMPLA INTERNET SOLUÇÕES S/A </t>
        </is>
      </c>
      <c r="E44" s="27" t="n">
        <v>45909</v>
      </c>
      <c r="F44" s="27" t="n">
        <v>45909</v>
      </c>
      <c r="G44" s="27" t="n">
        <v>45909</v>
      </c>
      <c r="H44" t="n">
        <v>5.54</v>
      </c>
      <c r="J44" t="inlineStr">
        <is>
          <t>Bilheteria</t>
        </is>
      </c>
      <c r="K44" t="inlineStr">
        <is>
          <t>Transferência Bancária ou Pix</t>
        </is>
      </c>
      <c r="L44" t="inlineStr">
        <is>
          <t>Pago</t>
        </is>
      </c>
      <c r="M44" t="inlineStr">
        <is>
          <t>Love - Shibari - Bradesco</t>
        </is>
      </c>
      <c r="N44" t="inlineStr">
        <is>
          <t>BILHETERIA - 09/2025</t>
        </is>
      </c>
    </row>
    <row r="45">
      <c r="A45" t="n">
        <v>8550</v>
      </c>
      <c r="B45" t="n">
        <v>128</v>
      </c>
      <c r="C45" t="inlineStr">
        <is>
          <t>Love Cabaret</t>
        </is>
      </c>
      <c r="D45" t="inlineStr">
        <is>
          <t xml:space="preserve">SYMPLA INTERNET SOLUÇÕES S/A </t>
        </is>
      </c>
      <c r="E45" s="27" t="n">
        <v>45903</v>
      </c>
      <c r="F45" s="27" t="n">
        <v>45905</v>
      </c>
      <c r="G45" s="27" t="n">
        <v>45905</v>
      </c>
      <c r="H45" t="n">
        <v>4169.4</v>
      </c>
      <c r="J45" t="inlineStr">
        <is>
          <t>Bilheteria</t>
        </is>
      </c>
      <c r="K45" t="inlineStr">
        <is>
          <t>Transferência Bancária ou Pix</t>
        </is>
      </c>
      <c r="L45" t="inlineStr">
        <is>
          <t>Pago</t>
        </is>
      </c>
      <c r="M45" t="inlineStr">
        <is>
          <t>Love - Shibari - Bradesco</t>
        </is>
      </c>
      <c r="N45" t="inlineStr">
        <is>
          <t>BILHETERIA - 09/2025</t>
        </is>
      </c>
    </row>
    <row r="46">
      <c r="A46" t="n">
        <v>8550</v>
      </c>
      <c r="B46" t="n">
        <v>128</v>
      </c>
      <c r="C46" t="inlineStr">
        <is>
          <t>Love Cabaret</t>
        </is>
      </c>
      <c r="D46" t="inlineStr">
        <is>
          <t xml:space="preserve">SYMPLA INTERNET SOLUÇÕES S/A </t>
        </is>
      </c>
      <c r="E46" s="27" t="n">
        <v>45903</v>
      </c>
      <c r="F46" s="27" t="n">
        <v>45903</v>
      </c>
      <c r="G46" s="27" t="n">
        <v>45903</v>
      </c>
      <c r="H46" t="n">
        <v>21705</v>
      </c>
      <c r="J46" t="inlineStr">
        <is>
          <t>Bilheteria</t>
        </is>
      </c>
      <c r="K46" t="inlineStr">
        <is>
          <t>Transferência Bancária ou Pix</t>
        </is>
      </c>
      <c r="L46" t="inlineStr">
        <is>
          <t>Pago</t>
        </is>
      </c>
      <c r="M46" t="inlineStr">
        <is>
          <t>Love - Shibari - Bradesco</t>
        </is>
      </c>
      <c r="N46" t="inlineStr">
        <is>
          <t>BILHETERIA - 09/2025</t>
        </is>
      </c>
    </row>
    <row r="47">
      <c r="A47" t="n">
        <v>8475</v>
      </c>
      <c r="B47" t="n">
        <v>128</v>
      </c>
      <c r="C47" t="inlineStr">
        <is>
          <t>Love Cabaret</t>
        </is>
      </c>
      <c r="D47" t="inlineStr">
        <is>
          <t xml:space="preserve"> Giovanna Belo de Pontes</t>
        </is>
      </c>
      <c r="E47" s="27" t="n">
        <v>45919</v>
      </c>
      <c r="F47" s="27" t="n">
        <v>45898</v>
      </c>
      <c r="G47" s="27" t="n">
        <v>45898</v>
      </c>
      <c r="H47" t="n">
        <v>698</v>
      </c>
      <c r="J47" t="inlineStr">
        <is>
          <t>Eventos</t>
        </is>
      </c>
      <c r="K47" t="inlineStr">
        <is>
          <t>Transferência Bancária ou Pix</t>
        </is>
      </c>
      <c r="L47" t="inlineStr">
        <is>
          <t>Pago</t>
        </is>
      </c>
      <c r="M47" t="inlineStr">
        <is>
          <t>Love - Shibari - Bradesco</t>
        </is>
      </c>
      <c r="N47" t="inlineStr">
        <is>
          <t>LOCAÇÃO DE LOUGE - 09/2025</t>
        </is>
      </c>
    </row>
    <row r="48">
      <c r="A48" t="n">
        <v>8233</v>
      </c>
      <c r="B48" t="n">
        <v>128</v>
      </c>
      <c r="C48" t="inlineStr">
        <is>
          <t>Love Cabaret</t>
        </is>
      </c>
      <c r="D48" t="inlineStr">
        <is>
          <t>Thaina Carolina dos Santos</t>
        </is>
      </c>
      <c r="E48" s="27" t="n">
        <v>45898</v>
      </c>
      <c r="F48" s="27" t="n">
        <v>45900</v>
      </c>
      <c r="G48" s="27" t="n">
        <v>45898</v>
      </c>
      <c r="H48" t="n">
        <v>77.5</v>
      </c>
      <c r="J48" t="inlineStr">
        <is>
          <t>Eventos</t>
        </is>
      </c>
      <c r="K48" t="inlineStr">
        <is>
          <t>Transferência Bancária ou Pix</t>
        </is>
      </c>
      <c r="L48" t="inlineStr">
        <is>
          <t>Parcial</t>
        </is>
      </c>
      <c r="M48" t="inlineStr">
        <is>
          <t>Love - Shibari - Bradesco</t>
        </is>
      </c>
      <c r="N48" t="inlineStr">
        <is>
          <t>EVENTO LOUGE - 08/2025</t>
        </is>
      </c>
    </row>
    <row r="49">
      <c r="A49" t="n">
        <v>8445</v>
      </c>
      <c r="B49" t="n">
        <v>128</v>
      </c>
      <c r="C49" t="inlineStr">
        <is>
          <t>Love Cabaret</t>
        </is>
      </c>
      <c r="D49" t="inlineStr">
        <is>
          <t xml:space="preserve">SYMPLA INTERNET SOLUÇÕES S/A </t>
        </is>
      </c>
      <c r="E49" s="27" t="n">
        <v>45896</v>
      </c>
      <c r="F49" s="27" t="n">
        <v>45896</v>
      </c>
      <c r="G49" s="27" t="n">
        <v>45896</v>
      </c>
      <c r="H49" t="n">
        <v>21711.75</v>
      </c>
      <c r="J49" t="inlineStr">
        <is>
          <t>Bilheteria</t>
        </is>
      </c>
      <c r="K49" t="inlineStr">
        <is>
          <t>Transferência Bancária ou Pix</t>
        </is>
      </c>
      <c r="L49" t="inlineStr">
        <is>
          <t>Pago</t>
        </is>
      </c>
      <c r="M49" t="inlineStr">
        <is>
          <t>Love - Shibari - Bradesco</t>
        </is>
      </c>
      <c r="N49" t="inlineStr">
        <is>
          <t>BILHETERIA</t>
        </is>
      </c>
    </row>
    <row r="50">
      <c r="A50" t="n">
        <v>8370</v>
      </c>
      <c r="B50" t="n">
        <v>128</v>
      </c>
      <c r="C50" t="inlineStr">
        <is>
          <t>Love Cabaret</t>
        </is>
      </c>
      <c r="D50" t="inlineStr">
        <is>
          <t xml:space="preserve"> Letícia Picolo Masago</t>
        </is>
      </c>
      <c r="E50" s="27" t="n">
        <v>45892</v>
      </c>
      <c r="F50" s="27" t="n">
        <v>45892</v>
      </c>
      <c r="G50" s="27" t="n">
        <v>45894</v>
      </c>
      <c r="H50" t="n">
        <v>620</v>
      </c>
      <c r="J50" t="inlineStr">
        <is>
          <t>Eventos</t>
        </is>
      </c>
      <c r="K50" t="inlineStr">
        <is>
          <t>Transferência Bancária ou Pix</t>
        </is>
      </c>
      <c r="L50" t="inlineStr">
        <is>
          <t>Pago</t>
        </is>
      </c>
      <c r="M50" t="inlineStr">
        <is>
          <t>Love - Shibari - Bradesco</t>
        </is>
      </c>
      <c r="N50" t="inlineStr">
        <is>
          <t>LOCAÇÃO DE LOUGE - 08/2025</t>
        </is>
      </c>
    </row>
    <row r="51">
      <c r="A51" t="n">
        <v>8415</v>
      </c>
      <c r="B51" t="n">
        <v>128</v>
      </c>
      <c r="C51" t="inlineStr">
        <is>
          <t>Love Cabaret</t>
        </is>
      </c>
      <c r="D51" t="inlineStr">
        <is>
          <t>Anete Weber</t>
        </is>
      </c>
      <c r="E51" s="27" t="n">
        <v>45899</v>
      </c>
      <c r="F51" s="27" t="n">
        <v>45894</v>
      </c>
      <c r="G51" s="27" t="n">
        <v>45894</v>
      </c>
      <c r="H51" t="n">
        <v>620</v>
      </c>
      <c r="J51" t="inlineStr">
        <is>
          <t>Eventos</t>
        </is>
      </c>
      <c r="K51" t="inlineStr">
        <is>
          <t>Transferência Bancária ou Pix</t>
        </is>
      </c>
      <c r="L51" t="inlineStr">
        <is>
          <t>Pago</t>
        </is>
      </c>
      <c r="M51" t="inlineStr">
        <is>
          <t>Love - Shibari - Bradesco</t>
        </is>
      </c>
      <c r="N51" t="inlineStr">
        <is>
          <t>LOCAÇÃO DE LOUGE - 08/2025</t>
        </is>
      </c>
    </row>
    <row r="52">
      <c r="A52" t="n">
        <v>8416</v>
      </c>
      <c r="B52" t="n">
        <v>128</v>
      </c>
      <c r="C52" t="inlineStr">
        <is>
          <t>Love Cabaret</t>
        </is>
      </c>
      <c r="D52" t="inlineStr">
        <is>
          <t>Andreza Cândido Matias</t>
        </is>
      </c>
      <c r="E52" s="27" t="n">
        <v>45905</v>
      </c>
      <c r="F52" s="27" t="n">
        <v>45894</v>
      </c>
      <c r="G52" s="27" t="n">
        <v>45894</v>
      </c>
      <c r="H52" t="n">
        <v>620</v>
      </c>
      <c r="J52" t="inlineStr">
        <is>
          <t>Eventos</t>
        </is>
      </c>
      <c r="K52" t="inlineStr">
        <is>
          <t>Transferência Bancária ou Pix</t>
        </is>
      </c>
      <c r="L52" t="inlineStr">
        <is>
          <t>Pago</t>
        </is>
      </c>
      <c r="M52" t="inlineStr">
        <is>
          <t>Love - Shibari - Bradesco</t>
        </is>
      </c>
      <c r="N52" t="inlineStr">
        <is>
          <t>LOCAÇÃO DE LOUGE - 09/2025</t>
        </is>
      </c>
    </row>
    <row r="53">
      <c r="A53" t="n">
        <v>8233</v>
      </c>
      <c r="B53" t="n">
        <v>128</v>
      </c>
      <c r="C53" t="inlineStr">
        <is>
          <t>Love Cabaret</t>
        </is>
      </c>
      <c r="D53" t="inlineStr">
        <is>
          <t>Thaina Carolina dos Santos</t>
        </is>
      </c>
      <c r="E53" s="27" t="n">
        <v>45898</v>
      </c>
      <c r="F53" s="27" t="n">
        <v>45894</v>
      </c>
      <c r="G53" s="27" t="n">
        <v>45894</v>
      </c>
      <c r="H53" t="n">
        <v>77.5</v>
      </c>
      <c r="J53" t="inlineStr">
        <is>
          <t>Eventos</t>
        </is>
      </c>
      <c r="K53" t="inlineStr">
        <is>
          <t>Transferência Bancária ou Pix</t>
        </is>
      </c>
      <c r="L53" t="inlineStr">
        <is>
          <t>Parcial</t>
        </is>
      </c>
      <c r="M53" t="inlineStr">
        <is>
          <t>Love - Shibari - Bradesco</t>
        </is>
      </c>
      <c r="N53" t="inlineStr">
        <is>
          <t>EVENTO LOUGE - 08/2025</t>
        </is>
      </c>
    </row>
    <row r="54">
      <c r="A54" t="n">
        <v>8313</v>
      </c>
      <c r="B54" t="n">
        <v>128</v>
      </c>
      <c r="C54" t="inlineStr">
        <is>
          <t>Love Cabaret</t>
        </is>
      </c>
      <c r="D54" t="inlineStr">
        <is>
          <t>Deivisson Lima</t>
        </is>
      </c>
      <c r="E54" s="27" t="n">
        <v>45906</v>
      </c>
      <c r="F54" s="27" t="n">
        <v>45889</v>
      </c>
      <c r="G54" s="27" t="n">
        <v>45889</v>
      </c>
      <c r="H54" t="n">
        <v>620</v>
      </c>
      <c r="J54" t="inlineStr">
        <is>
          <t>Eventos</t>
        </is>
      </c>
      <c r="K54" t="inlineStr">
        <is>
          <t>Transferência Bancária ou Pix</t>
        </is>
      </c>
      <c r="L54" t="inlineStr">
        <is>
          <t>Pago</t>
        </is>
      </c>
      <c r="M54" t="inlineStr">
        <is>
          <t>Love - Shibari - Bradesco</t>
        </is>
      </c>
      <c r="N54" t="inlineStr">
        <is>
          <t>EVENTO - 08/2025</t>
        </is>
      </c>
    </row>
    <row r="55">
      <c r="A55" t="n">
        <v>8315</v>
      </c>
      <c r="B55" t="n">
        <v>128</v>
      </c>
      <c r="C55" t="inlineStr">
        <is>
          <t>Love Cabaret</t>
        </is>
      </c>
      <c r="D55" t="inlineStr">
        <is>
          <t xml:space="preserve">SYMPLA INTERNET SOLUÇÕES S/A </t>
        </is>
      </c>
      <c r="E55" s="27" t="n">
        <v>45889</v>
      </c>
      <c r="F55" s="27" t="n">
        <v>45889</v>
      </c>
      <c r="G55" s="27" t="n">
        <v>45889</v>
      </c>
      <c r="H55" t="n">
        <v>25070</v>
      </c>
      <c r="J55" t="inlineStr">
        <is>
          <t>Bilheteria</t>
        </is>
      </c>
      <c r="K55" t="inlineStr">
        <is>
          <t>Transferência Bancária ou Pix</t>
        </is>
      </c>
      <c r="L55" t="inlineStr">
        <is>
          <t>Pago</t>
        </is>
      </c>
      <c r="M55" t="inlineStr">
        <is>
          <t>Love - Shibari - Bradesco</t>
        </is>
      </c>
      <c r="N55" t="inlineStr">
        <is>
          <t>BILHETERIA - 08/2025</t>
        </is>
      </c>
    </row>
    <row r="56">
      <c r="A56" t="n">
        <v>8096</v>
      </c>
      <c r="B56" t="n">
        <v>128</v>
      </c>
      <c r="C56" t="inlineStr">
        <is>
          <t>Love Cabaret</t>
        </is>
      </c>
      <c r="D56" t="inlineStr">
        <is>
          <t xml:space="preserve"> Alvaro César da Silva</t>
        </is>
      </c>
      <c r="E56" s="27" t="n">
        <v>45892</v>
      </c>
      <c r="F56" s="27" t="n">
        <v>45890</v>
      </c>
      <c r="G56" s="27" t="n">
        <v>45888</v>
      </c>
      <c r="H56" t="n">
        <v>154</v>
      </c>
      <c r="J56" t="inlineStr">
        <is>
          <t>Eventos</t>
        </is>
      </c>
      <c r="K56" t="inlineStr">
        <is>
          <t>Transferência Bancária ou Pix</t>
        </is>
      </c>
      <c r="L56" t="inlineStr">
        <is>
          <t>Pago</t>
        </is>
      </c>
      <c r="M56" t="inlineStr">
        <is>
          <t>Love - Shibari - Bradesco</t>
        </is>
      </c>
      <c r="N56" t="inlineStr">
        <is>
          <t>LOCAÇÃO DE LOUGE - 08/2025</t>
        </is>
      </c>
    </row>
    <row r="57">
      <c r="A57" t="n">
        <v>8235</v>
      </c>
      <c r="B57" t="n">
        <v>128</v>
      </c>
      <c r="C57" t="inlineStr">
        <is>
          <t>Love Cabaret</t>
        </is>
      </c>
      <c r="D57" t="inlineStr">
        <is>
          <t>Andressa Naice Silveira Rodriguês</t>
        </is>
      </c>
      <c r="E57" s="27" t="n">
        <v>45892</v>
      </c>
      <c r="F57" s="27" t="n">
        <v>45887</v>
      </c>
      <c r="G57" s="27" t="n">
        <v>45887</v>
      </c>
      <c r="H57" t="n">
        <v>620</v>
      </c>
      <c r="J57" t="inlineStr">
        <is>
          <t>Eventos</t>
        </is>
      </c>
      <c r="K57" t="inlineStr">
        <is>
          <t>Transferência Bancária ou Pix</t>
        </is>
      </c>
      <c r="L57" t="inlineStr">
        <is>
          <t>Pago</t>
        </is>
      </c>
      <c r="M57" t="inlineStr">
        <is>
          <t>Love - Shibari - Bradesco</t>
        </is>
      </c>
      <c r="N57" t="inlineStr">
        <is>
          <t>EVENTO - 08/2025</t>
        </is>
      </c>
    </row>
    <row r="58">
      <c r="A58" t="n">
        <v>8231</v>
      </c>
      <c r="B58" t="n">
        <v>128</v>
      </c>
      <c r="C58" t="inlineStr">
        <is>
          <t>Love Cabaret</t>
        </is>
      </c>
      <c r="D58" t="inlineStr">
        <is>
          <t>DANIELLE CANDIDO DE OLIVEIRA</t>
        </is>
      </c>
      <c r="E58" s="27" t="n">
        <v>45892</v>
      </c>
      <c r="F58" s="27" t="n">
        <v>45887</v>
      </c>
      <c r="G58" s="27" t="n">
        <v>45887</v>
      </c>
      <c r="H58" t="n">
        <v>155</v>
      </c>
      <c r="J58" t="inlineStr">
        <is>
          <t>Eventos</t>
        </is>
      </c>
      <c r="K58" t="inlineStr">
        <is>
          <t>Transferência Bancária ou Pix</t>
        </is>
      </c>
      <c r="L58" t="inlineStr">
        <is>
          <t>Pago</t>
        </is>
      </c>
      <c r="M58" t="inlineStr">
        <is>
          <t>Love - Shibari - Bradesco</t>
        </is>
      </c>
      <c r="N58" t="inlineStr">
        <is>
          <t>LOCAÇÃO DE LOUGE - 08/2025</t>
        </is>
      </c>
    </row>
    <row r="59">
      <c r="A59" t="n">
        <v>8096</v>
      </c>
      <c r="B59" t="n">
        <v>128</v>
      </c>
      <c r="C59" t="inlineStr">
        <is>
          <t>Love Cabaret</t>
        </is>
      </c>
      <c r="D59" t="inlineStr">
        <is>
          <t xml:space="preserve"> Alvaro César da Silva</t>
        </is>
      </c>
      <c r="E59" s="27" t="n">
        <v>45892</v>
      </c>
      <c r="F59" s="27" t="n">
        <v>45884</v>
      </c>
      <c r="G59" s="27" t="n">
        <v>45884</v>
      </c>
      <c r="H59" t="n">
        <v>387.5</v>
      </c>
      <c r="J59" t="inlineStr">
        <is>
          <t>Eventos</t>
        </is>
      </c>
      <c r="K59" t="inlineStr">
        <is>
          <t>Transferência Bancária ou Pix</t>
        </is>
      </c>
      <c r="L59" t="inlineStr">
        <is>
          <t>Pago</t>
        </is>
      </c>
      <c r="M59" t="inlineStr">
        <is>
          <t>Love - Shibari - Bradesco</t>
        </is>
      </c>
      <c r="N59" t="inlineStr">
        <is>
          <t>LOCAÇÃO DE LOUGE - 08/2025</t>
        </is>
      </c>
    </row>
    <row r="60">
      <c r="A60" t="n">
        <v>8234</v>
      </c>
      <c r="B60" t="n">
        <v>128</v>
      </c>
      <c r="C60" t="inlineStr">
        <is>
          <t>Love Cabaret</t>
        </is>
      </c>
      <c r="D60" t="inlineStr">
        <is>
          <t>Jader Bueno</t>
        </is>
      </c>
      <c r="E60" s="27" t="n">
        <v>45892.875</v>
      </c>
      <c r="F60" s="27" t="n">
        <v>45884</v>
      </c>
      <c r="G60" s="27" t="n">
        <v>45884</v>
      </c>
      <c r="H60" t="n">
        <v>1240</v>
      </c>
      <c r="J60" t="inlineStr">
        <is>
          <t>Eventos</t>
        </is>
      </c>
      <c r="K60" t="inlineStr">
        <is>
          <t>Transferência Bancária ou Pix</t>
        </is>
      </c>
      <c r="L60" t="inlineStr">
        <is>
          <t>Pago</t>
        </is>
      </c>
      <c r="M60" t="inlineStr">
        <is>
          <t>Love - Shibari - Bradesco</t>
        </is>
      </c>
      <c r="N60" t="inlineStr">
        <is>
          <t>EVENTO - 08/2025</t>
        </is>
      </c>
    </row>
    <row r="61">
      <c r="A61" t="n">
        <v>8231</v>
      </c>
      <c r="B61" t="n">
        <v>128</v>
      </c>
      <c r="C61" t="inlineStr">
        <is>
          <t>Love Cabaret</t>
        </is>
      </c>
      <c r="D61" t="inlineStr">
        <is>
          <t>DANIELLE CANDIDO DE OLIVEIRA</t>
        </is>
      </c>
      <c r="E61" s="27" t="n">
        <v>45892</v>
      </c>
      <c r="F61" s="27" t="n">
        <v>45883</v>
      </c>
      <c r="G61" s="27" t="n">
        <v>45883</v>
      </c>
      <c r="H61" t="n">
        <v>620</v>
      </c>
      <c r="J61" t="inlineStr">
        <is>
          <t>Eventos</t>
        </is>
      </c>
      <c r="K61" t="inlineStr">
        <is>
          <t>Transferência Bancária ou Pix</t>
        </is>
      </c>
      <c r="L61" t="inlineStr">
        <is>
          <t>Pago</t>
        </is>
      </c>
      <c r="M61" t="inlineStr">
        <is>
          <t>Love - Shibari - Bradesco</t>
        </is>
      </c>
      <c r="N61" t="inlineStr">
        <is>
          <t>LOCAÇÃO DE LOUGE - 08/2025</t>
        </is>
      </c>
    </row>
    <row r="62">
      <c r="A62" t="n">
        <v>8233</v>
      </c>
      <c r="B62" t="n">
        <v>128</v>
      </c>
      <c r="C62" t="inlineStr">
        <is>
          <t>Love Cabaret</t>
        </is>
      </c>
      <c r="D62" t="inlineStr">
        <is>
          <t>Thaina Carolina dos Santos</t>
        </is>
      </c>
      <c r="E62" s="27" t="n">
        <v>45898</v>
      </c>
      <c r="F62" s="27" t="n">
        <v>45883</v>
      </c>
      <c r="G62" s="27" t="n">
        <v>45883</v>
      </c>
      <c r="H62" t="n">
        <v>1860</v>
      </c>
      <c r="J62" t="inlineStr">
        <is>
          <t>Eventos</t>
        </is>
      </c>
      <c r="K62" t="inlineStr">
        <is>
          <t>Transferência Bancária ou Pix</t>
        </is>
      </c>
      <c r="L62" t="inlineStr">
        <is>
          <t>Parcial</t>
        </is>
      </c>
      <c r="M62" t="inlineStr">
        <is>
          <t>Love - Shibari - Bradesco</t>
        </is>
      </c>
      <c r="N62" t="inlineStr">
        <is>
          <t>EVENTO LOUGE - 08/2025</t>
        </is>
      </c>
    </row>
    <row r="63">
      <c r="A63" t="n">
        <v>8062</v>
      </c>
      <c r="B63" t="n">
        <v>128</v>
      </c>
      <c r="C63" t="inlineStr">
        <is>
          <t>Love Cabaret</t>
        </is>
      </c>
      <c r="D63" t="inlineStr">
        <is>
          <t>Rodrigo Motta Santoro</t>
        </is>
      </c>
      <c r="E63" s="27" t="n">
        <v>45885</v>
      </c>
      <c r="F63" s="27" t="n">
        <v>45883</v>
      </c>
      <c r="G63" s="27" t="n">
        <v>45883</v>
      </c>
      <c r="H63" t="n">
        <v>77.5</v>
      </c>
      <c r="J63" t="inlineStr">
        <is>
          <t>Eventos</t>
        </is>
      </c>
      <c r="K63" t="inlineStr">
        <is>
          <t>Transferência Bancária ou Pix</t>
        </is>
      </c>
      <c r="L63" t="inlineStr">
        <is>
          <t>Pago</t>
        </is>
      </c>
      <c r="M63" t="inlineStr">
        <is>
          <t>Love - Shibari - Bradesco</t>
        </is>
      </c>
      <c r="N63" t="inlineStr">
        <is>
          <t>LOCAÇÃO DE LOUGE - 08/2025</t>
        </is>
      </c>
    </row>
    <row r="64">
      <c r="A64" t="n">
        <v>8182</v>
      </c>
      <c r="B64" t="n">
        <v>128</v>
      </c>
      <c r="C64" t="inlineStr">
        <is>
          <t>Love Cabaret</t>
        </is>
      </c>
      <c r="D64" t="inlineStr">
        <is>
          <t xml:space="preserve">SYMPLA INTERNET SOLUÇÕES S/A </t>
        </is>
      </c>
      <c r="E64" s="27" t="n">
        <v>45882</v>
      </c>
      <c r="F64" s="27" t="n">
        <v>45882</v>
      </c>
      <c r="G64" s="27" t="n">
        <v>45882</v>
      </c>
      <c r="H64" t="n">
        <v>22135</v>
      </c>
      <c r="J64" t="inlineStr">
        <is>
          <t>Bilheteria</t>
        </is>
      </c>
      <c r="K64" t="inlineStr">
        <is>
          <t>Transferência Bancária ou Pix</t>
        </is>
      </c>
      <c r="L64" t="inlineStr">
        <is>
          <t>Pago</t>
        </is>
      </c>
      <c r="M64" t="inlineStr">
        <is>
          <t>Love - Shibari - Bradesco</t>
        </is>
      </c>
      <c r="N64" t="inlineStr">
        <is>
          <t>BILEHTERIA 08/2025</t>
        </is>
      </c>
    </row>
    <row r="65">
      <c r="A65" t="n">
        <v>8223</v>
      </c>
      <c r="B65" t="n">
        <v>128</v>
      </c>
      <c r="C65" t="inlineStr">
        <is>
          <t>Love Cabaret</t>
        </is>
      </c>
      <c r="D65" t="inlineStr">
        <is>
          <t xml:space="preserve">Thamires de Castro Araujo </t>
        </is>
      </c>
      <c r="E65" s="27" t="n">
        <v>45881</v>
      </c>
      <c r="F65" s="27" t="n">
        <v>45881</v>
      </c>
      <c r="G65" s="27" t="n">
        <v>45881</v>
      </c>
      <c r="H65" t="n">
        <v>1240</v>
      </c>
      <c r="J65" t="inlineStr">
        <is>
          <t>Eventos</t>
        </is>
      </c>
      <c r="K65" t="inlineStr">
        <is>
          <t>Transferência Bancária ou Pix</t>
        </is>
      </c>
      <c r="L65" t="inlineStr">
        <is>
          <t>Pago</t>
        </is>
      </c>
      <c r="M65" t="inlineStr">
        <is>
          <t>Love - Shibari - Bradesco</t>
        </is>
      </c>
      <c r="N65" t="inlineStr">
        <is>
          <t>DESPEDIDA DE SOLTEIRO - 08/2025</t>
        </is>
      </c>
    </row>
    <row r="66">
      <c r="A66" t="n">
        <v>8096</v>
      </c>
      <c r="B66" t="n">
        <v>128</v>
      </c>
      <c r="C66" t="inlineStr">
        <is>
          <t>Love Cabaret</t>
        </is>
      </c>
      <c r="D66" t="inlineStr">
        <is>
          <t xml:space="preserve"> Alvaro César da Silva</t>
        </is>
      </c>
      <c r="E66" s="27" t="n">
        <v>45892</v>
      </c>
      <c r="F66" s="27" t="n">
        <v>45881</v>
      </c>
      <c r="G66" s="27" t="n">
        <v>45881</v>
      </c>
      <c r="H66" t="n">
        <v>1240</v>
      </c>
      <c r="J66" t="inlineStr">
        <is>
          <t>Eventos</t>
        </is>
      </c>
      <c r="K66" t="inlineStr">
        <is>
          <t>Transferência Bancária ou Pix</t>
        </is>
      </c>
      <c r="L66" t="inlineStr">
        <is>
          <t>Pago</t>
        </is>
      </c>
      <c r="M66" t="inlineStr">
        <is>
          <t>Love - Shibari - Bradesco</t>
        </is>
      </c>
      <c r="N66" t="inlineStr">
        <is>
          <t>LOCAÇÃO DE LOUGE - 08/2025</t>
        </is>
      </c>
    </row>
    <row r="67">
      <c r="A67" t="n">
        <v>8068</v>
      </c>
      <c r="B67" t="n">
        <v>128</v>
      </c>
      <c r="C67" t="inlineStr">
        <is>
          <t>Love Cabaret</t>
        </is>
      </c>
      <c r="D67" t="inlineStr">
        <is>
          <t xml:space="preserve"> Giovanna Roberto Nogueira</t>
        </is>
      </c>
      <c r="E67" s="27" t="n">
        <v>45885</v>
      </c>
      <c r="F67" s="27" t="n">
        <v>45877</v>
      </c>
      <c r="G67" s="27" t="n">
        <v>45880</v>
      </c>
      <c r="H67" t="n">
        <v>1200</v>
      </c>
      <c r="J67" t="inlineStr">
        <is>
          <t>Eventos</t>
        </is>
      </c>
      <c r="K67" t="inlineStr">
        <is>
          <t>Transferência Bancária ou Pix</t>
        </is>
      </c>
      <c r="L67" t="inlineStr">
        <is>
          <t>Pago</t>
        </is>
      </c>
      <c r="M67" t="inlineStr">
        <is>
          <t>Love - Shibari - Bradesco</t>
        </is>
      </c>
      <c r="N67" t="inlineStr">
        <is>
          <t>LOCAÇÃO DE LOUGE - 08/2025</t>
        </is>
      </c>
    </row>
    <row r="68">
      <c r="A68" t="n">
        <v>8128</v>
      </c>
      <c r="B68" t="n">
        <v>128</v>
      </c>
      <c r="C68" t="inlineStr">
        <is>
          <t>Love Cabaret</t>
        </is>
      </c>
      <c r="D68" t="inlineStr">
        <is>
          <t>LIRIUM RECICLAGEM</t>
        </is>
      </c>
      <c r="E68" s="27" t="n">
        <v>45869</v>
      </c>
      <c r="F68" s="27" t="n">
        <v>45880</v>
      </c>
      <c r="G68" s="27" t="n">
        <v>45880</v>
      </c>
      <c r="H68" t="n">
        <v>324</v>
      </c>
      <c r="J68" t="inlineStr">
        <is>
          <t>Coleta de Óleo</t>
        </is>
      </c>
      <c r="K68" t="inlineStr">
        <is>
          <t>Transferência Bancária ou Pix</t>
        </is>
      </c>
      <c r="L68" t="inlineStr">
        <is>
          <t>Pago</t>
        </is>
      </c>
      <c r="M68" t="inlineStr">
        <is>
          <t>Love - Shibari - Kamino</t>
        </is>
      </c>
      <c r="N68" t="inlineStr">
        <is>
          <t>COLETA DE OLEO</t>
        </is>
      </c>
    </row>
    <row r="69">
      <c r="A69" t="n">
        <v>5100</v>
      </c>
      <c r="B69" t="n">
        <v>128</v>
      </c>
      <c r="C69" t="inlineStr">
        <is>
          <t>Love Cabaret</t>
        </is>
      </c>
      <c r="D69" t="inlineStr">
        <is>
          <t>Love Suits Ltda</t>
        </is>
      </c>
      <c r="E69" s="27" t="n">
        <v>45858</v>
      </c>
      <c r="F69" s="27" t="n">
        <v>45879</v>
      </c>
      <c r="G69" s="27" t="n">
        <v>45880</v>
      </c>
      <c r="H69" t="n">
        <v>2953.14</v>
      </c>
      <c r="J69" t="inlineStr">
        <is>
          <t>Aluguel</t>
        </is>
      </c>
      <c r="K69" t="inlineStr">
        <is>
          <t>Transferência Bancária ou Pix</t>
        </is>
      </c>
      <c r="L69" t="inlineStr">
        <is>
          <t>Pago</t>
        </is>
      </c>
      <c r="M69" t="inlineStr">
        <is>
          <t>Love - Shibari - Bradesco</t>
        </is>
      </c>
      <c r="N69" t="inlineStr">
        <is>
          <t>REEMBOLSO REFERENTE AO IPTU - 07/2025</t>
        </is>
      </c>
    </row>
    <row r="70">
      <c r="A70" t="n">
        <v>7653</v>
      </c>
      <c r="B70" t="n">
        <v>128</v>
      </c>
      <c r="C70" t="inlineStr">
        <is>
          <t>Love Cabaret</t>
        </is>
      </c>
      <c r="D70" t="inlineStr">
        <is>
          <t>Love Suits Ltda</t>
        </is>
      </c>
      <c r="E70" s="27" t="n">
        <v>45858</v>
      </c>
      <c r="F70" s="27" t="n">
        <v>45879</v>
      </c>
      <c r="G70" s="27" t="n">
        <v>45880</v>
      </c>
      <c r="H70" t="n">
        <v>31634.64</v>
      </c>
      <c r="J70" t="inlineStr">
        <is>
          <t>Aluguel</t>
        </is>
      </c>
      <c r="K70" t="inlineStr">
        <is>
          <t>Transferência Bancária ou Pix</t>
        </is>
      </c>
      <c r="L70" t="inlineStr">
        <is>
          <t>Pago</t>
        </is>
      </c>
      <c r="M70" t="inlineStr">
        <is>
          <t>Love - Shibari - Bradesco</t>
        </is>
      </c>
      <c r="N70" t="inlineStr">
        <is>
          <t>ALUGUEL LOVE SUITS - 07/2025</t>
        </is>
      </c>
    </row>
    <row r="71">
      <c r="A71" t="n">
        <v>8060</v>
      </c>
      <c r="B71" t="n">
        <v>128</v>
      </c>
      <c r="C71" t="inlineStr">
        <is>
          <t>Love Cabaret</t>
        </is>
      </c>
      <c r="D71" t="inlineStr">
        <is>
          <t>Thainara Ruela da Rocha</t>
        </is>
      </c>
      <c r="E71" s="27" t="n">
        <v>45877</v>
      </c>
      <c r="F71" s="27" t="n">
        <v>45877</v>
      </c>
      <c r="G71" s="27" t="n">
        <v>45877</v>
      </c>
      <c r="H71" t="n">
        <v>232.5</v>
      </c>
      <c r="J71" t="inlineStr">
        <is>
          <t>Eventos</t>
        </is>
      </c>
      <c r="K71" t="inlineStr">
        <is>
          <t>Transferência Bancária ou Pix</t>
        </is>
      </c>
      <c r="L71" t="inlineStr">
        <is>
          <t>Pago</t>
        </is>
      </c>
      <c r="M71" t="inlineStr">
        <is>
          <t>Love - Shibari - Bradesco</t>
        </is>
      </c>
      <c r="N71" t="inlineStr">
        <is>
          <t>LOCAÇÃO DE LOUGE - 08/2025</t>
        </is>
      </c>
    </row>
    <row r="72">
      <c r="A72" t="n">
        <v>8061</v>
      </c>
      <c r="B72" t="n">
        <v>128</v>
      </c>
      <c r="C72" t="inlineStr">
        <is>
          <t>Love Cabaret</t>
        </is>
      </c>
      <c r="D72" t="inlineStr">
        <is>
          <t xml:space="preserve"> Juliana Borbely</t>
        </is>
      </c>
      <c r="E72" s="27" t="n">
        <v>45885</v>
      </c>
      <c r="F72" s="27" t="n">
        <v>45877</v>
      </c>
      <c r="G72" s="27" t="n">
        <v>45877</v>
      </c>
      <c r="H72" t="n">
        <v>620</v>
      </c>
      <c r="J72" t="inlineStr">
        <is>
          <t>Eventos</t>
        </is>
      </c>
      <c r="K72" t="inlineStr">
        <is>
          <t>Transferência Bancária ou Pix</t>
        </is>
      </c>
      <c r="L72" t="inlineStr">
        <is>
          <t>Pago</t>
        </is>
      </c>
      <c r="M72" t="inlineStr">
        <is>
          <t>Love - Shibari - Bradesco</t>
        </is>
      </c>
      <c r="N72" t="inlineStr">
        <is>
          <t>LOCAÇÃO DE LOUGE - 08/2025</t>
        </is>
      </c>
    </row>
    <row r="73">
      <c r="A73" t="n">
        <v>8062</v>
      </c>
      <c r="B73" t="n">
        <v>128</v>
      </c>
      <c r="C73" t="inlineStr">
        <is>
          <t>Love Cabaret</t>
        </is>
      </c>
      <c r="D73" t="inlineStr">
        <is>
          <t>Rodrigo Motta Santoro</t>
        </is>
      </c>
      <c r="E73" s="27" t="n">
        <v>45885</v>
      </c>
      <c r="F73" s="27" t="n">
        <v>45877</v>
      </c>
      <c r="G73" s="27" t="n">
        <v>45877</v>
      </c>
      <c r="H73" t="n">
        <v>852.5</v>
      </c>
      <c r="J73" t="inlineStr">
        <is>
          <t>Eventos</t>
        </is>
      </c>
      <c r="K73" t="inlineStr">
        <is>
          <t>Transferência Bancária ou Pix</t>
        </is>
      </c>
      <c r="L73" t="inlineStr">
        <is>
          <t>Pago</t>
        </is>
      </c>
      <c r="M73" t="inlineStr">
        <is>
          <t>Love - Shibari - Bradesco</t>
        </is>
      </c>
      <c r="N73" t="inlineStr">
        <is>
          <t>LOCAÇÃO DE LOUGE - 08/2025</t>
        </is>
      </c>
    </row>
    <row r="74">
      <c r="A74" t="n">
        <v>8063</v>
      </c>
      <c r="B74" t="n">
        <v>128</v>
      </c>
      <c r="C74" t="inlineStr">
        <is>
          <t>Love Cabaret</t>
        </is>
      </c>
      <c r="D74" t="inlineStr">
        <is>
          <t>Leticia Matson</t>
        </is>
      </c>
      <c r="E74" s="27" t="n">
        <v>45905</v>
      </c>
      <c r="F74" s="27" t="n">
        <v>45877</v>
      </c>
      <c r="G74" s="27" t="n">
        <v>45877</v>
      </c>
      <c r="H74" t="n">
        <v>775</v>
      </c>
      <c r="J74" t="inlineStr">
        <is>
          <t>Eventos</t>
        </is>
      </c>
      <c r="K74" t="inlineStr">
        <is>
          <t>Transferência Bancária ou Pix</t>
        </is>
      </c>
      <c r="L74" t="inlineStr">
        <is>
          <t>Pago</t>
        </is>
      </c>
      <c r="M74" t="inlineStr">
        <is>
          <t>Love - Shibari - Bradesco</t>
        </is>
      </c>
      <c r="N74" t="inlineStr">
        <is>
          <t>LOCAÇÃO DE LOUGE - 08/2025</t>
        </is>
      </c>
    </row>
    <row r="75">
      <c r="A75" t="n">
        <v>8064</v>
      </c>
      <c r="B75" t="n">
        <v>128</v>
      </c>
      <c r="C75" t="inlineStr">
        <is>
          <t>Love Cabaret</t>
        </is>
      </c>
      <c r="D75" t="inlineStr">
        <is>
          <t xml:space="preserve"> Laura Campos</t>
        </is>
      </c>
      <c r="E75" s="27" t="n">
        <v>45913</v>
      </c>
      <c r="F75" s="27" t="n">
        <v>45877</v>
      </c>
      <c r="G75" s="27" t="n">
        <v>45877</v>
      </c>
      <c r="H75" t="n">
        <v>1240</v>
      </c>
      <c r="J75" t="inlineStr">
        <is>
          <t>Eventos</t>
        </is>
      </c>
      <c r="K75" t="inlineStr">
        <is>
          <t>Transferência Bancária ou Pix</t>
        </is>
      </c>
      <c r="L75" t="inlineStr">
        <is>
          <t>Pago</t>
        </is>
      </c>
      <c r="M75" t="inlineStr">
        <is>
          <t>Love - Shibari - Bradesco</t>
        </is>
      </c>
      <c r="N75" t="inlineStr">
        <is>
          <t>LOCAÇÃO DE LOUGE - 08/2025</t>
        </is>
      </c>
    </row>
    <row r="76">
      <c r="A76" t="n">
        <v>8067</v>
      </c>
      <c r="B76" t="n">
        <v>128</v>
      </c>
      <c r="C76" t="inlineStr">
        <is>
          <t>Love Cabaret</t>
        </is>
      </c>
      <c r="D76" t="inlineStr">
        <is>
          <t xml:space="preserve">Flávia Almeida Nogueira </t>
        </is>
      </c>
      <c r="E76" s="27" t="n">
        <v>45920</v>
      </c>
      <c r="F76" s="27" t="n">
        <v>45877</v>
      </c>
      <c r="G76" s="27" t="n">
        <v>45877</v>
      </c>
      <c r="H76" t="n">
        <v>620</v>
      </c>
      <c r="J76" t="inlineStr">
        <is>
          <t>Eventos</t>
        </is>
      </c>
      <c r="K76" t="inlineStr">
        <is>
          <t>Transferência Bancária ou Pix</t>
        </is>
      </c>
      <c r="L76" t="inlineStr">
        <is>
          <t>Pago</t>
        </is>
      </c>
      <c r="M76" t="inlineStr">
        <is>
          <t>Love - Shibari - Bradesco</t>
        </is>
      </c>
      <c r="N76" t="inlineStr">
        <is>
          <t>LOCAÇÃO DE LOUGE - 08/2025</t>
        </is>
      </c>
    </row>
    <row r="77">
      <c r="A77" t="n">
        <v>8044</v>
      </c>
      <c r="B77" t="n">
        <v>128</v>
      </c>
      <c r="C77" t="inlineStr">
        <is>
          <t>Love Cabaret</t>
        </is>
      </c>
      <c r="D77" t="inlineStr">
        <is>
          <t xml:space="preserve">SYMPLA INTERNET SOLUÇÕES S/A </t>
        </is>
      </c>
      <c r="E77" s="27" t="n">
        <v>45876</v>
      </c>
      <c r="F77" s="27" t="n">
        <v>45876</v>
      </c>
      <c r="G77" s="27" t="n">
        <v>45876</v>
      </c>
      <c r="H77" t="n">
        <v>3042.84</v>
      </c>
      <c r="J77" t="inlineStr">
        <is>
          <t>Bilheteria</t>
        </is>
      </c>
      <c r="K77" t="inlineStr">
        <is>
          <t>Transferência Bancária ou Pix</t>
        </is>
      </c>
      <c r="L77" t="inlineStr">
        <is>
          <t>Pago</t>
        </is>
      </c>
      <c r="M77" t="inlineStr">
        <is>
          <t>Love - Shibari - Bradesco</t>
        </is>
      </c>
      <c r="N77" t="inlineStr">
        <is>
          <t>BILHETERIA - 08/2025</t>
        </is>
      </c>
    </row>
    <row r="78">
      <c r="A78" t="n">
        <v>7963</v>
      </c>
      <c r="B78" t="n">
        <v>128</v>
      </c>
      <c r="C78" t="inlineStr">
        <is>
          <t>Love Cabaret</t>
        </is>
      </c>
      <c r="D78" t="inlineStr">
        <is>
          <t>Cleiton Lima Campos</t>
        </is>
      </c>
      <c r="E78" s="27" t="n">
        <v>45891</v>
      </c>
      <c r="F78" s="27" t="n">
        <v>45875</v>
      </c>
      <c r="G78" s="27" t="n">
        <v>45875</v>
      </c>
      <c r="H78" t="n">
        <v>1240</v>
      </c>
      <c r="J78" t="inlineStr">
        <is>
          <t>Eventos</t>
        </is>
      </c>
      <c r="K78" t="inlineStr">
        <is>
          <t>Transferência Bancária ou Pix</t>
        </is>
      </c>
      <c r="L78" t="inlineStr">
        <is>
          <t>Pago</t>
        </is>
      </c>
      <c r="M78" t="inlineStr">
        <is>
          <t>Love - Shibari - Bradesco</t>
        </is>
      </c>
      <c r="N78" t="inlineStr">
        <is>
          <t>LOCAÇÃO DE LOUGE - 08/2025</t>
        </is>
      </c>
    </row>
    <row r="79">
      <c r="A79" t="n">
        <v>7957</v>
      </c>
      <c r="B79" t="n">
        <v>128</v>
      </c>
      <c r="C79" t="inlineStr">
        <is>
          <t>Love Cabaret</t>
        </is>
      </c>
      <c r="D79" t="inlineStr">
        <is>
          <t xml:space="preserve">SYMPLA INTERNET SOLUÇÕES S/A </t>
        </is>
      </c>
      <c r="E79" s="27" t="n">
        <v>45875</v>
      </c>
      <c r="F79" s="27" t="n">
        <v>45875</v>
      </c>
      <c r="G79" s="27" t="n">
        <v>45875</v>
      </c>
      <c r="H79" t="n">
        <v>25349</v>
      </c>
      <c r="J79" t="inlineStr">
        <is>
          <t>Bilheteria</t>
        </is>
      </c>
      <c r="K79" t="inlineStr">
        <is>
          <t>Transferência Bancária ou Pix</t>
        </is>
      </c>
      <c r="L79" t="inlineStr">
        <is>
          <t>Pago</t>
        </is>
      </c>
      <c r="M79" t="inlineStr">
        <is>
          <t>Love - Shibari - Bradesco</t>
        </is>
      </c>
      <c r="N79" t="inlineStr">
        <is>
          <t>BILHETERIA - 08/2025</t>
        </is>
      </c>
    </row>
    <row r="80">
      <c r="A80" t="n">
        <v>7959</v>
      </c>
      <c r="B80" t="n">
        <v>128</v>
      </c>
      <c r="C80" t="inlineStr">
        <is>
          <t>Love Cabaret</t>
        </is>
      </c>
      <c r="D80" t="inlineStr">
        <is>
          <t>Beatriz Pereira Vieira</t>
        </is>
      </c>
      <c r="E80" s="27" t="n">
        <v>45878</v>
      </c>
      <c r="F80" s="27" t="n">
        <v>45874</v>
      </c>
      <c r="G80" s="27" t="n">
        <v>45874</v>
      </c>
      <c r="H80" t="n">
        <v>465</v>
      </c>
      <c r="J80" t="inlineStr">
        <is>
          <t>Eventos</t>
        </is>
      </c>
      <c r="K80" t="inlineStr">
        <is>
          <t>Transferência Bancária ou Pix</t>
        </is>
      </c>
      <c r="L80" t="inlineStr">
        <is>
          <t>Pago</t>
        </is>
      </c>
      <c r="M80" t="inlineStr">
        <is>
          <t>Love - Shibari - Bradesco</t>
        </is>
      </c>
      <c r="N80" t="inlineStr">
        <is>
          <t>LOCAÇÃO DE LOUGE - 08/2025</t>
        </is>
      </c>
    </row>
    <row r="81">
      <c r="A81" t="n">
        <v>7883</v>
      </c>
      <c r="B81" t="n">
        <v>128</v>
      </c>
      <c r="C81" t="inlineStr">
        <is>
          <t>Love Cabaret</t>
        </is>
      </c>
      <c r="D81" t="inlineStr">
        <is>
          <t>Felipe Riera</t>
        </is>
      </c>
      <c r="E81" s="27" t="n">
        <v>45871</v>
      </c>
      <c r="F81" s="27" t="n">
        <v>45871</v>
      </c>
      <c r="G81" s="27" t="n">
        <v>45873</v>
      </c>
      <c r="H81" t="n">
        <v>620</v>
      </c>
      <c r="J81" t="inlineStr">
        <is>
          <t>Eventos</t>
        </is>
      </c>
      <c r="K81" t="inlineStr">
        <is>
          <t>Transferência Bancária ou Pix</t>
        </is>
      </c>
      <c r="L81" t="inlineStr">
        <is>
          <t>Pago</t>
        </is>
      </c>
      <c r="M81" t="inlineStr">
        <is>
          <t>Love - Shibari - Bradesco</t>
        </is>
      </c>
      <c r="N81" t="inlineStr">
        <is>
          <t>LOCAÇÃO DE LOUGE - 08/2025</t>
        </is>
      </c>
    </row>
    <row r="82">
      <c r="A82" t="n">
        <v>7972</v>
      </c>
      <c r="B82" t="n">
        <v>128</v>
      </c>
      <c r="C82" t="inlineStr">
        <is>
          <t>Love Cabaret</t>
        </is>
      </c>
      <c r="D82" t="inlineStr">
        <is>
          <t>BABEL</t>
        </is>
      </c>
      <c r="E82" s="27" t="n">
        <v>45870</v>
      </c>
      <c r="F82" s="27" t="n">
        <v>45870</v>
      </c>
      <c r="G82" s="27" t="n">
        <v>45870</v>
      </c>
      <c r="H82" t="n">
        <v>8902.1</v>
      </c>
      <c r="J82" t="inlineStr">
        <is>
          <t>Bilheteria</t>
        </is>
      </c>
      <c r="K82" t="inlineStr">
        <is>
          <t>Transferência Bancária ou Pix</t>
        </is>
      </c>
      <c r="L82" t="inlineStr">
        <is>
          <t>Pago</t>
        </is>
      </c>
      <c r="M82" t="inlineStr">
        <is>
          <t>Love - Shibari - Bradesco</t>
        </is>
      </c>
      <c r="N82" t="inlineStr">
        <is>
          <t>REPASSE NOVO AFFAIR</t>
        </is>
      </c>
    </row>
    <row r="83">
      <c r="A83" t="n">
        <v>7826</v>
      </c>
      <c r="B83" t="n">
        <v>128</v>
      </c>
      <c r="C83" t="inlineStr">
        <is>
          <t>Love Cabaret</t>
        </is>
      </c>
      <c r="D83" t="inlineStr">
        <is>
          <t>Thainara Ruela da Rocha</t>
        </is>
      </c>
      <c r="E83" s="27" t="n">
        <v>45877</v>
      </c>
      <c r="F83" s="27" t="n">
        <v>45869</v>
      </c>
      <c r="G83" s="27" t="n">
        <v>45869</v>
      </c>
      <c r="H83" t="n">
        <v>852.5</v>
      </c>
      <c r="J83" t="inlineStr">
        <is>
          <t>Eventos</t>
        </is>
      </c>
      <c r="K83" t="inlineStr">
        <is>
          <t>Transferência Bancária ou Pix</t>
        </is>
      </c>
      <c r="L83" t="inlineStr">
        <is>
          <t>Pago</t>
        </is>
      </c>
      <c r="M83" t="inlineStr">
        <is>
          <t>Love - Shibari - Bradesco</t>
        </is>
      </c>
      <c r="N83" t="inlineStr">
        <is>
          <t>LOCAÇÃO DE LOUGE - 08/2025</t>
        </is>
      </c>
    </row>
    <row r="84">
      <c r="A84" t="n">
        <v>7674</v>
      </c>
      <c r="B84" t="n">
        <v>128</v>
      </c>
      <c r="C84" t="inlineStr">
        <is>
          <t>Love Cabaret</t>
        </is>
      </c>
      <c r="D84" t="inlineStr">
        <is>
          <t xml:space="preserve">SYMPLA INTERNET SOLUÇÕES S/A </t>
        </is>
      </c>
      <c r="E84" s="27" t="n">
        <v>45857</v>
      </c>
      <c r="F84" s="27" t="n">
        <v>45868</v>
      </c>
      <c r="G84" s="27" t="n">
        <v>45868</v>
      </c>
      <c r="H84" t="n">
        <v>21575</v>
      </c>
      <c r="J84" t="inlineStr">
        <is>
          <t>Bilheteria</t>
        </is>
      </c>
      <c r="K84" t="inlineStr">
        <is>
          <t>Transferência Bancária ou Pix</t>
        </is>
      </c>
      <c r="L84" t="inlineStr">
        <is>
          <t>Pago</t>
        </is>
      </c>
      <c r="M84" t="inlineStr">
        <is>
          <t>Love - Shibari - Bradesco</t>
        </is>
      </c>
      <c r="N84" t="inlineStr">
        <is>
          <t>BILHETERIA DIA 19/07- 07/2025</t>
        </is>
      </c>
    </row>
    <row r="85">
      <c r="A85" t="n">
        <v>7652</v>
      </c>
      <c r="B85" t="n">
        <v>128</v>
      </c>
      <c r="C85" t="inlineStr">
        <is>
          <t>Love Cabaret</t>
        </is>
      </c>
      <c r="D85" t="inlineStr">
        <is>
          <t xml:space="preserve">Lucas Delgado Patrignani </t>
        </is>
      </c>
      <c r="E85" s="27" t="n">
        <v>45877</v>
      </c>
      <c r="F85" s="27" t="n">
        <v>45862</v>
      </c>
      <c r="G85" s="27" t="n">
        <v>45862</v>
      </c>
      <c r="H85" t="n">
        <v>700</v>
      </c>
      <c r="J85" t="inlineStr">
        <is>
          <t>Eventos</t>
        </is>
      </c>
      <c r="K85" t="inlineStr">
        <is>
          <t>Transferência Bancária ou Pix</t>
        </is>
      </c>
      <c r="L85" t="inlineStr">
        <is>
          <t>Pago</t>
        </is>
      </c>
      <c r="M85" t="inlineStr">
        <is>
          <t>Love - Shibari - Bradesco</t>
        </is>
      </c>
      <c r="N85" t="inlineStr">
        <is>
          <t>EVENTO LOCAÇÃO LOUGE - 07/2025</t>
        </is>
      </c>
    </row>
    <row r="86">
      <c r="A86" t="n">
        <v>7748</v>
      </c>
      <c r="B86" t="n">
        <v>128</v>
      </c>
      <c r="C86" t="inlineStr">
        <is>
          <t>Love Cabaret</t>
        </is>
      </c>
      <c r="D86" t="inlineStr">
        <is>
          <t>João Vilaça</t>
        </is>
      </c>
      <c r="E86" s="27" t="n">
        <v>45878</v>
      </c>
      <c r="F86" s="27" t="n">
        <v>45863</v>
      </c>
      <c r="G86" s="27" t="n">
        <v>45862</v>
      </c>
      <c r="H86" t="n">
        <v>620</v>
      </c>
      <c r="J86" t="inlineStr">
        <is>
          <t>Eventos</t>
        </is>
      </c>
      <c r="K86" t="inlineStr">
        <is>
          <t>Transferência Bancária ou Pix</t>
        </is>
      </c>
      <c r="L86" t="inlineStr">
        <is>
          <t>Pago</t>
        </is>
      </c>
      <c r="M86" t="inlineStr">
        <is>
          <t>Love - Shibari - Bradesco</t>
        </is>
      </c>
      <c r="N86" t="inlineStr">
        <is>
          <t>LOCAÇÃO DE LOUGE - 08/2025</t>
        </is>
      </c>
    </row>
    <row r="87">
      <c r="A87" t="n">
        <v>7674</v>
      </c>
      <c r="B87" t="n">
        <v>128</v>
      </c>
      <c r="C87" t="inlineStr">
        <is>
          <t>Love Cabaret</t>
        </is>
      </c>
      <c r="D87" t="inlineStr">
        <is>
          <t xml:space="preserve">SYMPLA INTERNET SOLUÇÕES S/A </t>
        </is>
      </c>
      <c r="E87" s="27" t="n">
        <v>45857</v>
      </c>
      <c r="F87" s="27" t="n">
        <v>45861</v>
      </c>
      <c r="G87" s="27" t="n">
        <v>45861</v>
      </c>
      <c r="H87" t="n">
        <v>9025</v>
      </c>
      <c r="J87" t="inlineStr">
        <is>
          <t>Bilheteria</t>
        </is>
      </c>
      <c r="K87" t="inlineStr">
        <is>
          <t>Transferência Bancária ou Pix</t>
        </is>
      </c>
      <c r="L87" t="inlineStr">
        <is>
          <t>Pago</t>
        </is>
      </c>
      <c r="M87" t="inlineStr">
        <is>
          <t>Love - Shibari - Bradesco</t>
        </is>
      </c>
      <c r="N87" t="inlineStr">
        <is>
          <t>BILHETERIA DIA 19/07- 07/2025</t>
        </is>
      </c>
    </row>
    <row r="88">
      <c r="A88" t="n">
        <v>7672</v>
      </c>
      <c r="B88" t="n">
        <v>128</v>
      </c>
      <c r="C88" t="inlineStr">
        <is>
          <t>Love Cabaret</t>
        </is>
      </c>
      <c r="D88" t="inlineStr">
        <is>
          <t xml:space="preserve">SYMPLA INTERNET SOLUÇÕES S/A </t>
        </is>
      </c>
      <c r="E88" s="27" t="n">
        <v>45856</v>
      </c>
      <c r="F88" s="27" t="n">
        <v>45856</v>
      </c>
      <c r="G88" s="27" t="n">
        <v>45861</v>
      </c>
      <c r="H88" t="n">
        <v>11460</v>
      </c>
      <c r="J88" t="inlineStr">
        <is>
          <t>Bilheteria</t>
        </is>
      </c>
      <c r="K88" t="inlineStr">
        <is>
          <t>Transferência Bancária ou Pix</t>
        </is>
      </c>
      <c r="L88" t="inlineStr">
        <is>
          <t>Pago</t>
        </is>
      </c>
      <c r="M88" t="inlineStr">
        <is>
          <t>Love - Shibari - Bradesco</t>
        </is>
      </c>
      <c r="N88" t="inlineStr">
        <is>
          <t>BILEHTERIA DIA 18/07 - 07/2025</t>
        </is>
      </c>
    </row>
    <row r="89">
      <c r="A89" t="n">
        <v>7634</v>
      </c>
      <c r="B89" t="n">
        <v>128</v>
      </c>
      <c r="C89" t="inlineStr">
        <is>
          <t>Love Cabaret</t>
        </is>
      </c>
      <c r="D89" t="inlineStr">
        <is>
          <t>Thaís Barbosa</t>
        </is>
      </c>
      <c r="E89" s="27" t="n">
        <v>45906</v>
      </c>
      <c r="F89" s="27" t="n">
        <v>45861</v>
      </c>
      <c r="G89" s="27" t="n">
        <v>45861</v>
      </c>
      <c r="H89" t="n">
        <v>620</v>
      </c>
      <c r="J89" t="inlineStr">
        <is>
          <t>Eventos</t>
        </is>
      </c>
      <c r="K89" t="inlineStr">
        <is>
          <t>Transferência Bancária ou Pix</t>
        </is>
      </c>
      <c r="L89" t="inlineStr">
        <is>
          <t>Pago</t>
        </is>
      </c>
      <c r="M89" t="inlineStr">
        <is>
          <t>Love - Shibari - Bradesco</t>
        </is>
      </c>
      <c r="N89" t="inlineStr">
        <is>
          <t>EVENTO LOCAÇÃO LOUGE - 09/2025</t>
        </is>
      </c>
    </row>
    <row r="90">
      <c r="A90" t="n">
        <v>7671</v>
      </c>
      <c r="B90" t="n">
        <v>128</v>
      </c>
      <c r="C90" t="inlineStr">
        <is>
          <t>Love Cabaret</t>
        </is>
      </c>
      <c r="D90" t="inlineStr">
        <is>
          <t xml:space="preserve">SYMPLA INTERNET SOLUÇÕES S/A </t>
        </is>
      </c>
      <c r="E90" s="27" t="n">
        <v>45855</v>
      </c>
      <c r="F90" s="27" t="n">
        <v>45861</v>
      </c>
      <c r="G90" s="27" t="n">
        <v>45861</v>
      </c>
      <c r="H90" t="n">
        <v>297</v>
      </c>
      <c r="J90" t="inlineStr">
        <is>
          <t>Bilheteria</t>
        </is>
      </c>
      <c r="K90" t="inlineStr">
        <is>
          <t>Transferência Bancária ou Pix</t>
        </is>
      </c>
      <c r="L90" t="inlineStr">
        <is>
          <t>Pago</t>
        </is>
      </c>
      <c r="M90" t="inlineStr">
        <is>
          <t>Love - Shibari - Bradesco</t>
        </is>
      </c>
      <c r="N90" t="inlineStr">
        <is>
          <t>BILHETERIA DIA 17/07 - 07/2025</t>
        </is>
      </c>
    </row>
    <row r="91">
      <c r="A91" t="n">
        <v>7613</v>
      </c>
      <c r="B91" t="n">
        <v>128</v>
      </c>
      <c r="C91" t="inlineStr">
        <is>
          <t>Love Cabaret</t>
        </is>
      </c>
      <c r="D91" t="inlineStr">
        <is>
          <t>PRESHH BAR LTDA</t>
        </is>
      </c>
      <c r="E91" s="27" t="n">
        <v>45859</v>
      </c>
      <c r="F91" s="27" t="n">
        <v>45859</v>
      </c>
      <c r="G91" s="27" t="n">
        <v>45859</v>
      </c>
      <c r="H91" t="n">
        <v>80.8</v>
      </c>
      <c r="J91" t="inlineStr">
        <is>
          <t>Reembolso</t>
        </is>
      </c>
      <c r="K91" t="inlineStr">
        <is>
          <t>Transferência Bancária ou Pix</t>
        </is>
      </c>
      <c r="L91" t="inlineStr">
        <is>
          <t>Pago</t>
        </is>
      </c>
      <c r="M91" t="inlineStr">
        <is>
          <t>Love - Shibari - Bradesco</t>
        </is>
      </c>
      <c r="N91" t="inlineStr">
        <is>
          <t>REEMBOLSO REFERENTE Á VALOR PAGO SEM O DESCONTO NA MENSALIDADE DE MAIO - 05/2025</t>
        </is>
      </c>
    </row>
    <row r="92">
      <c r="A92" t="n">
        <v>7553</v>
      </c>
      <c r="B92" t="n">
        <v>128</v>
      </c>
      <c r="C92" t="inlineStr">
        <is>
          <t>Love Cabaret</t>
        </is>
      </c>
      <c r="D92" t="inlineStr">
        <is>
          <t xml:space="preserve">SYMPLA INTERNET SOLUÇÕES S/A </t>
        </is>
      </c>
      <c r="E92" s="27" t="n">
        <v>45854</v>
      </c>
      <c r="F92" s="27" t="n">
        <v>45854</v>
      </c>
      <c r="G92" s="27" t="n">
        <v>45854</v>
      </c>
      <c r="H92" t="n">
        <v>5745</v>
      </c>
      <c r="J92" t="inlineStr">
        <is>
          <t>Bilheteria</t>
        </is>
      </c>
      <c r="K92" t="inlineStr">
        <is>
          <t>Transferência Bancária ou Pix</t>
        </is>
      </c>
      <c r="L92" t="inlineStr">
        <is>
          <t>Pago</t>
        </is>
      </c>
      <c r="M92" t="inlineStr">
        <is>
          <t>Love - Shibari - Bradesco</t>
        </is>
      </c>
      <c r="N92" t="inlineStr">
        <is>
          <t xml:space="preserve">BILHETERIA LOVE </t>
        </is>
      </c>
    </row>
    <row r="93">
      <c r="A93" t="n">
        <v>7553</v>
      </c>
      <c r="B93" t="n">
        <v>128</v>
      </c>
      <c r="C93" t="inlineStr">
        <is>
          <t>Love Cabaret</t>
        </is>
      </c>
      <c r="D93" t="inlineStr">
        <is>
          <t xml:space="preserve">SYMPLA INTERNET SOLUÇÕES S/A </t>
        </is>
      </c>
      <c r="E93" s="27" t="n">
        <v>45854</v>
      </c>
      <c r="F93" s="27" t="n">
        <v>45854</v>
      </c>
      <c r="G93" s="27" t="n">
        <v>45854</v>
      </c>
      <c r="H93" t="n">
        <v>13702.8</v>
      </c>
      <c r="J93" t="inlineStr">
        <is>
          <t>Bilheteria</t>
        </is>
      </c>
      <c r="K93" t="inlineStr">
        <is>
          <t>Transferência Bancária ou Pix</t>
        </is>
      </c>
      <c r="L93" t="inlineStr">
        <is>
          <t>Pago</t>
        </is>
      </c>
      <c r="M93" t="inlineStr">
        <is>
          <t>Love - Shibari - Bradesco</t>
        </is>
      </c>
      <c r="N93" t="inlineStr">
        <is>
          <t xml:space="preserve">BILHETERIA LOVE </t>
        </is>
      </c>
    </row>
    <row r="94">
      <c r="A94" t="n">
        <v>7553</v>
      </c>
      <c r="B94" t="n">
        <v>128</v>
      </c>
      <c r="C94" t="inlineStr">
        <is>
          <t>Love Cabaret</t>
        </is>
      </c>
      <c r="D94" t="inlineStr">
        <is>
          <t xml:space="preserve">SYMPLA INTERNET SOLUÇÕES S/A </t>
        </is>
      </c>
      <c r="E94" s="27" t="n">
        <v>45854</v>
      </c>
      <c r="F94" s="27" t="n">
        <v>45854</v>
      </c>
      <c r="G94" s="27" t="n">
        <v>45854</v>
      </c>
      <c r="H94" t="n">
        <v>989.8</v>
      </c>
      <c r="J94" t="inlineStr">
        <is>
          <t>Bilheteria</t>
        </is>
      </c>
      <c r="K94" t="inlineStr">
        <is>
          <t>Transferência Bancária ou Pix</t>
        </is>
      </c>
      <c r="L94" t="inlineStr">
        <is>
          <t>Pago</t>
        </is>
      </c>
      <c r="M94" t="inlineStr">
        <is>
          <t>Love - Shibari - Bradesco</t>
        </is>
      </c>
      <c r="N94" t="inlineStr">
        <is>
          <t xml:space="preserve">BILHETERIA LOVE </t>
        </is>
      </c>
    </row>
    <row r="95">
      <c r="A95" t="n">
        <v>7445</v>
      </c>
      <c r="B95" t="n">
        <v>128</v>
      </c>
      <c r="C95" t="inlineStr">
        <is>
          <t>Love Cabaret</t>
        </is>
      </c>
      <c r="D95" t="inlineStr">
        <is>
          <t xml:space="preserve">SYMPLA INTERNET SOLUÇÕES S/A </t>
        </is>
      </c>
      <c r="E95" s="27" t="n">
        <v>45848</v>
      </c>
      <c r="F95" s="27" t="n">
        <v>45848</v>
      </c>
      <c r="G95" s="27" t="n">
        <v>45848</v>
      </c>
      <c r="H95" t="n">
        <v>2622</v>
      </c>
      <c r="J95" t="inlineStr">
        <is>
          <t>Bilheteria</t>
        </is>
      </c>
      <c r="K95" t="inlineStr">
        <is>
          <t>Transferência Bancária ou Pix</t>
        </is>
      </c>
      <c r="L95" t="inlineStr">
        <is>
          <t>Pago</t>
        </is>
      </c>
      <c r="M95" t="inlineStr">
        <is>
          <t>Love - Shibari - Bradesco</t>
        </is>
      </c>
    </row>
    <row r="96">
      <c r="A96" t="n">
        <v>5094</v>
      </c>
      <c r="B96" t="n">
        <v>128</v>
      </c>
      <c r="C96" t="inlineStr">
        <is>
          <t>Love Cabaret</t>
        </is>
      </c>
      <c r="D96" t="inlineStr">
        <is>
          <t>Love Suits Ltda</t>
        </is>
      </c>
      <c r="E96" s="27" t="n">
        <v>45708</v>
      </c>
      <c r="F96" s="27" t="n">
        <v>45848</v>
      </c>
      <c r="G96" s="27" t="n">
        <v>45848</v>
      </c>
      <c r="H96" t="n">
        <v>1292.39</v>
      </c>
      <c r="J96" t="inlineStr">
        <is>
          <t>Aluguel</t>
        </is>
      </c>
      <c r="K96" t="inlineStr">
        <is>
          <t>Transferência Bancária ou Pix</t>
        </is>
      </c>
      <c r="L96" t="inlineStr">
        <is>
          <t>Pago</t>
        </is>
      </c>
      <c r="M96" t="inlineStr">
        <is>
          <t>Love - Shibari - Bradesco</t>
        </is>
      </c>
      <c r="N96" t="inlineStr">
        <is>
          <t>ALUGUEL COMPLEMENTAR SUITS REFERENTE AO PERIODO 10/2024, 11/2024 E 12/2024 - 02/2025</t>
        </is>
      </c>
    </row>
    <row r="97">
      <c r="A97" t="n">
        <v>7445</v>
      </c>
      <c r="B97" t="n">
        <v>128</v>
      </c>
      <c r="C97" t="inlineStr">
        <is>
          <t>Love Cabaret</t>
        </is>
      </c>
      <c r="D97" t="inlineStr">
        <is>
          <t xml:space="preserve">SYMPLA INTERNET SOLUÇÕES S/A </t>
        </is>
      </c>
      <c r="E97" s="27" t="n">
        <v>45848</v>
      </c>
      <c r="F97" s="27" t="n">
        <v>45848</v>
      </c>
      <c r="G97" s="27" t="n">
        <v>45848</v>
      </c>
      <c r="H97" t="n">
        <v>9207.799999999999</v>
      </c>
      <c r="J97" t="inlineStr">
        <is>
          <t>Bilheteria</t>
        </is>
      </c>
      <c r="K97" t="inlineStr">
        <is>
          <t>Transferência Bancária ou Pix</t>
        </is>
      </c>
      <c r="L97" t="inlineStr">
        <is>
          <t>Pago</t>
        </is>
      </c>
      <c r="M97" t="inlineStr">
        <is>
          <t>Love - Shibari - Bradesco</t>
        </is>
      </c>
    </row>
    <row r="98">
      <c r="A98" t="n">
        <v>7445</v>
      </c>
      <c r="B98" t="n">
        <v>128</v>
      </c>
      <c r="C98" t="inlineStr">
        <is>
          <t>Love Cabaret</t>
        </is>
      </c>
      <c r="D98" t="inlineStr">
        <is>
          <t xml:space="preserve">SYMPLA INTERNET SOLUÇÕES S/A </t>
        </is>
      </c>
      <c r="E98" s="27" t="n">
        <v>45848</v>
      </c>
      <c r="F98" s="27" t="n">
        <v>45848</v>
      </c>
      <c r="G98" s="27" t="n">
        <v>45848</v>
      </c>
      <c r="H98" t="n">
        <v>10225</v>
      </c>
      <c r="J98" t="inlineStr">
        <is>
          <t>Bilheteria</t>
        </is>
      </c>
      <c r="K98" t="inlineStr">
        <is>
          <t>Transferência Bancária ou Pix</t>
        </is>
      </c>
      <c r="L98" t="inlineStr">
        <is>
          <t>Pago</t>
        </is>
      </c>
      <c r="M98" t="inlineStr">
        <is>
          <t>Love - Shibari - Bradesco</t>
        </is>
      </c>
    </row>
    <row r="99">
      <c r="A99" t="n">
        <v>7441</v>
      </c>
      <c r="B99" t="n">
        <v>128</v>
      </c>
      <c r="C99" t="inlineStr">
        <is>
          <t>Love Cabaret</t>
        </is>
      </c>
      <c r="D99" t="inlineStr">
        <is>
          <t>BOUTIQUE FILMES E PRODUÇÕES LTDA</t>
        </is>
      </c>
      <c r="E99" s="27" t="n">
        <v>45846</v>
      </c>
      <c r="F99" s="27" t="n">
        <v>45848</v>
      </c>
      <c r="G99" s="27" t="n">
        <v>45848</v>
      </c>
      <c r="H99" t="n">
        <v>8000</v>
      </c>
      <c r="J99" t="inlineStr">
        <is>
          <t>Eventos</t>
        </is>
      </c>
      <c r="K99" t="inlineStr">
        <is>
          <t>Transferência Bancária ou Pix</t>
        </is>
      </c>
      <c r="L99" t="inlineStr">
        <is>
          <t>Pago</t>
        </is>
      </c>
      <c r="M99" t="inlineStr">
        <is>
          <t>Love - Shibari - Bradesco</t>
        </is>
      </c>
      <c r="N99" t="inlineStr">
        <is>
          <t>GRAVAÇÃO 08/07</t>
        </is>
      </c>
    </row>
    <row r="100">
      <c r="A100" t="n">
        <v>4536</v>
      </c>
      <c r="B100" t="n">
        <v>128</v>
      </c>
      <c r="C100" t="inlineStr">
        <is>
          <t>Love Cabaret</t>
        </is>
      </c>
      <c r="D100" t="inlineStr">
        <is>
          <t>Love Suits Ltda</t>
        </is>
      </c>
      <c r="E100" s="27" t="n">
        <v>45828</v>
      </c>
      <c r="F100" s="27" t="n">
        <v>45848</v>
      </c>
      <c r="G100" s="27" t="n">
        <v>45848</v>
      </c>
      <c r="H100" t="n">
        <v>31634.64</v>
      </c>
      <c r="J100" t="inlineStr">
        <is>
          <t>Aluguel</t>
        </is>
      </c>
      <c r="K100" t="inlineStr">
        <is>
          <t>Transferência Bancária ou Pix</t>
        </is>
      </c>
      <c r="L100" t="inlineStr">
        <is>
          <t>Pago</t>
        </is>
      </c>
      <c r="M100" t="inlineStr">
        <is>
          <t>Love - Shibari - Bradesco</t>
        </is>
      </c>
      <c r="N100" t="inlineStr">
        <is>
          <t>ALUGUEL LOVE SUITS - 01/2025</t>
        </is>
      </c>
    </row>
    <row r="101">
      <c r="A101" t="n">
        <v>5099</v>
      </c>
      <c r="B101" t="n">
        <v>128</v>
      </c>
      <c r="C101" t="inlineStr">
        <is>
          <t>Love Cabaret</t>
        </is>
      </c>
      <c r="D101" t="inlineStr">
        <is>
          <t>Love Suits Ltda</t>
        </is>
      </c>
      <c r="E101" s="27" t="n">
        <v>45828</v>
      </c>
      <c r="F101" s="27" t="n">
        <v>45848</v>
      </c>
      <c r="G101" s="27" t="n">
        <v>45848</v>
      </c>
      <c r="H101" t="n">
        <v>2953.14</v>
      </c>
      <c r="J101" t="inlineStr">
        <is>
          <t>Aluguel</t>
        </is>
      </c>
      <c r="K101" t="inlineStr">
        <is>
          <t>Transferência Bancária ou Pix</t>
        </is>
      </c>
      <c r="L101" t="inlineStr">
        <is>
          <t>Pago</t>
        </is>
      </c>
      <c r="M101" t="inlineStr">
        <is>
          <t>Love - Shibari - Bradesco</t>
        </is>
      </c>
      <c r="N101" t="inlineStr">
        <is>
          <t>REEMBOLSO DE IPTU - 06/2025</t>
        </is>
      </c>
    </row>
    <row r="102">
      <c r="A102" t="n">
        <v>7444</v>
      </c>
      <c r="B102" t="n">
        <v>128</v>
      </c>
      <c r="C102" t="inlineStr">
        <is>
          <t>Love Cabaret</t>
        </is>
      </c>
      <c r="D102" t="inlineStr">
        <is>
          <t xml:space="preserve">SYMPLA INTERNET SOLUÇÕES S/A </t>
        </is>
      </c>
      <c r="E102" s="27" t="n">
        <v>45845</v>
      </c>
      <c r="F102" s="27" t="n">
        <v>45845</v>
      </c>
      <c r="G102" s="27" t="n">
        <v>45845</v>
      </c>
      <c r="H102" t="n">
        <v>3330.81</v>
      </c>
      <c r="J102" t="inlineStr">
        <is>
          <t>Bilheteria</t>
        </is>
      </c>
      <c r="K102" t="inlineStr">
        <is>
          <t>Transferência Bancária ou Pix</t>
        </is>
      </c>
      <c r="L102" t="inlineStr">
        <is>
          <t>Pago</t>
        </is>
      </c>
      <c r="M102" t="inlineStr">
        <is>
          <t>Love - Shibari - Bradesco</t>
        </is>
      </c>
    </row>
    <row r="103">
      <c r="A103" t="n">
        <v>7619</v>
      </c>
      <c r="B103" t="n">
        <v>128</v>
      </c>
      <c r="C103" t="inlineStr">
        <is>
          <t>Love Cabaret</t>
        </is>
      </c>
      <c r="D103" t="inlineStr">
        <is>
          <t>Victor Ozako</t>
        </is>
      </c>
      <c r="E103" s="27" t="n">
        <v>45850</v>
      </c>
      <c r="F103" s="27" t="n">
        <v>45841</v>
      </c>
      <c r="G103" s="27" t="n">
        <v>45841</v>
      </c>
      <c r="H103" t="n">
        <v>520</v>
      </c>
      <c r="J103" t="inlineStr">
        <is>
          <t>Eventos</t>
        </is>
      </c>
      <c r="K103" t="inlineStr">
        <is>
          <t>Transferência Bancária ou Pix</t>
        </is>
      </c>
      <c r="L103" t="inlineStr">
        <is>
          <t>Pago</t>
        </is>
      </c>
      <c r="M103" t="inlineStr">
        <is>
          <t>Love - Shibari - Bradesco</t>
        </is>
      </c>
      <c r="N103" t="inlineStr">
        <is>
          <t>EVENTO LOCAÇÃO DE LOUNGE - 07/2025</t>
        </is>
      </c>
    </row>
    <row r="104">
      <c r="A104" t="n">
        <v>7443</v>
      </c>
      <c r="B104" t="n">
        <v>128</v>
      </c>
      <c r="C104" t="inlineStr">
        <is>
          <t>Love Cabaret</t>
        </is>
      </c>
      <c r="D104" t="inlineStr">
        <is>
          <t xml:space="preserve">SYMPLA INTERNET SOLUÇÕES S/A </t>
        </is>
      </c>
      <c r="E104" s="27" t="n">
        <v>45840</v>
      </c>
      <c r="F104" s="27" t="n">
        <v>45840</v>
      </c>
      <c r="G104" s="27" t="n">
        <v>45840</v>
      </c>
      <c r="H104" t="n">
        <v>7110</v>
      </c>
      <c r="J104" t="inlineStr">
        <is>
          <t>Bilheteria</t>
        </is>
      </c>
      <c r="K104" t="inlineStr">
        <is>
          <t>Transferência Bancária ou Pix</t>
        </is>
      </c>
      <c r="L104" t="inlineStr">
        <is>
          <t>Pago</t>
        </is>
      </c>
      <c r="M104" t="inlineStr">
        <is>
          <t>Love - Shibari - Bradesco</t>
        </is>
      </c>
    </row>
    <row r="105">
      <c r="A105" t="n">
        <v>7317</v>
      </c>
      <c r="B105" t="n">
        <v>128</v>
      </c>
      <c r="C105" t="inlineStr">
        <is>
          <t>Love Cabaret</t>
        </is>
      </c>
      <c r="D105" t="inlineStr">
        <is>
          <t>MACHINE SERVICO LTDA</t>
        </is>
      </c>
      <c r="E105" s="27" t="n">
        <v>45838</v>
      </c>
      <c r="F105" s="27" t="n">
        <v>45840</v>
      </c>
      <c r="G105" s="27" t="n">
        <v>45840</v>
      </c>
      <c r="H105" t="n">
        <v>1063.05</v>
      </c>
      <c r="J105" t="inlineStr">
        <is>
          <t>Reembolso</t>
        </is>
      </c>
      <c r="K105" t="inlineStr">
        <is>
          <t>Transferência Bancária ou Pix</t>
        </is>
      </c>
      <c r="L105" t="inlineStr">
        <is>
          <t>Pago</t>
        </is>
      </c>
      <c r="M105" t="inlineStr">
        <is>
          <t>Love - Shibari - Bradesco</t>
        </is>
      </c>
      <c r="N105" t="inlineStr">
        <is>
          <t>NOTA 623 FOI PAGA NO VALOR TOTAL SEM DESCONTAR OS IMPOSTOS, REEMBOLSO REALIZADO NO MES 07/2025</t>
        </is>
      </c>
    </row>
    <row r="106">
      <c r="A106" t="n">
        <v>7301</v>
      </c>
      <c r="B106" t="n">
        <v>128</v>
      </c>
      <c r="C106" t="inlineStr">
        <is>
          <t>Love Cabaret</t>
        </is>
      </c>
      <c r="D106" t="inlineStr">
        <is>
          <t>Andressa Aires</t>
        </is>
      </c>
      <c r="E106" s="27" t="n">
        <v>45843</v>
      </c>
      <c r="F106" s="27" t="n">
        <v>45840</v>
      </c>
      <c r="G106" s="27" t="n">
        <v>45840</v>
      </c>
      <c r="H106" t="n">
        <v>600</v>
      </c>
      <c r="J106" t="inlineStr">
        <is>
          <t>Eventos</t>
        </is>
      </c>
      <c r="K106" t="inlineStr">
        <is>
          <t>Transferência Bancária ou Pix</t>
        </is>
      </c>
      <c r="L106" t="inlineStr">
        <is>
          <t>Pago</t>
        </is>
      </c>
      <c r="M106" t="inlineStr">
        <is>
          <t>Love - Shibari - Bradesco</t>
        </is>
      </c>
      <c r="N106" t="inlineStr">
        <is>
          <t>LOCAÇÃO DE LOUGE - 07/2025</t>
        </is>
      </c>
    </row>
    <row r="107">
      <c r="A107" t="n">
        <v>7443</v>
      </c>
      <c r="B107" t="n">
        <v>128</v>
      </c>
      <c r="C107" t="inlineStr">
        <is>
          <t>Love Cabaret</t>
        </is>
      </c>
      <c r="D107" t="inlineStr">
        <is>
          <t xml:space="preserve">SYMPLA INTERNET SOLUÇÕES S/A </t>
        </is>
      </c>
      <c r="E107" s="27" t="n">
        <v>45840</v>
      </c>
      <c r="F107" s="27" t="n">
        <v>45840</v>
      </c>
      <c r="G107" s="27" t="n">
        <v>45840</v>
      </c>
      <c r="H107" t="n">
        <v>7155</v>
      </c>
      <c r="J107" t="inlineStr">
        <is>
          <t>Bilheteria</t>
        </is>
      </c>
      <c r="K107" t="inlineStr">
        <is>
          <t>Transferência Bancária ou Pix</t>
        </is>
      </c>
      <c r="L107" t="inlineStr">
        <is>
          <t>Pago</t>
        </is>
      </c>
      <c r="M107" t="inlineStr">
        <is>
          <t>Love - Shibari - Bradesco</t>
        </is>
      </c>
    </row>
    <row r="108">
      <c r="A108" t="n">
        <v>7442</v>
      </c>
      <c r="B108" t="n">
        <v>128</v>
      </c>
      <c r="C108" t="inlineStr">
        <is>
          <t>Love Cabaret</t>
        </is>
      </c>
      <c r="D108" t="inlineStr">
        <is>
          <t xml:space="preserve">SYMPLA INTERNET SOLUÇÕES S/A </t>
        </is>
      </c>
      <c r="E108" s="27" t="n">
        <v>45839</v>
      </c>
      <c r="F108" s="27" t="n">
        <v>45839</v>
      </c>
      <c r="G108" s="27" t="n">
        <v>45839</v>
      </c>
      <c r="H108" t="n">
        <v>4290</v>
      </c>
      <c r="J108" t="inlineStr">
        <is>
          <t>Bilheteria</t>
        </is>
      </c>
      <c r="K108" t="inlineStr">
        <is>
          <t>Transferência Bancária ou Pix</t>
        </is>
      </c>
      <c r="L108" t="inlineStr">
        <is>
          <t>Pago</t>
        </is>
      </c>
      <c r="M108" t="inlineStr">
        <is>
          <t>Love - Shibari - Bradesco</t>
        </is>
      </c>
    </row>
    <row r="109">
      <c r="A109" t="n">
        <v>7064</v>
      </c>
      <c r="B109" t="n">
        <v>128</v>
      </c>
      <c r="C109" t="inlineStr">
        <is>
          <t>Love Cabaret</t>
        </is>
      </c>
      <c r="D109" t="inlineStr">
        <is>
          <t xml:space="preserve">SYMPLA INTERNET SOLUÇÕES S/A </t>
        </is>
      </c>
      <c r="E109" s="27" t="n">
        <v>45825</v>
      </c>
      <c r="F109" s="27" t="n">
        <v>45833</v>
      </c>
      <c r="G109" s="27" t="n">
        <v>45833</v>
      </c>
      <c r="H109" t="n">
        <v>23419</v>
      </c>
      <c r="J109" t="inlineStr">
        <is>
          <t>Bilheteria</t>
        </is>
      </c>
      <c r="K109" t="inlineStr">
        <is>
          <t>Transferência Bancária ou Pix</t>
        </is>
      </c>
      <c r="L109" t="inlineStr">
        <is>
          <t>Pago</t>
        </is>
      </c>
      <c r="M109" t="inlineStr">
        <is>
          <t>Love - Shibari - Bradesco</t>
        </is>
      </c>
      <c r="N109" t="inlineStr">
        <is>
          <t>BILHETERIA - 06/2025</t>
        </is>
      </c>
    </row>
    <row r="110">
      <c r="A110" t="n">
        <v>7102</v>
      </c>
      <c r="B110" t="n">
        <v>128</v>
      </c>
      <c r="C110" t="inlineStr">
        <is>
          <t>Love Cabaret</t>
        </is>
      </c>
      <c r="D110" t="inlineStr">
        <is>
          <t>Ana Luisa Gusmão</t>
        </is>
      </c>
      <c r="E110" s="27" t="n">
        <v>45857</v>
      </c>
      <c r="F110" s="27" t="n">
        <v>45831</v>
      </c>
      <c r="G110" s="27" t="n">
        <v>45831</v>
      </c>
      <c r="H110" t="n">
        <v>790</v>
      </c>
      <c r="J110" t="inlineStr">
        <is>
          <t>Eventos</t>
        </is>
      </c>
      <c r="K110" t="inlineStr">
        <is>
          <t>Transferência Bancária ou Pix</t>
        </is>
      </c>
      <c r="L110" t="inlineStr">
        <is>
          <t>Pago</t>
        </is>
      </c>
      <c r="M110" t="inlineStr">
        <is>
          <t>Love - Shibari - Bradesco</t>
        </is>
      </c>
      <c r="N110" t="inlineStr">
        <is>
          <t>EVENTO LOUGE - 06/2025</t>
        </is>
      </c>
    </row>
    <row r="111">
      <c r="A111" t="n">
        <v>5094</v>
      </c>
      <c r="B111" t="n">
        <v>128</v>
      </c>
      <c r="C111" t="inlineStr">
        <is>
          <t>Love Cabaret</t>
        </is>
      </c>
      <c r="D111" t="inlineStr">
        <is>
          <t>Love Suits Ltda</t>
        </is>
      </c>
      <c r="E111" s="27" t="n">
        <v>45708</v>
      </c>
      <c r="F111" s="27" t="n">
        <v>45818</v>
      </c>
      <c r="G111" s="27" t="n">
        <v>45831</v>
      </c>
      <c r="H111" t="n">
        <v>1292.39</v>
      </c>
      <c r="J111" t="inlineStr">
        <is>
          <t>Aluguel</t>
        </is>
      </c>
      <c r="K111" t="inlineStr">
        <is>
          <t>Transferência Bancária ou Pix</t>
        </is>
      </c>
      <c r="L111" t="inlineStr">
        <is>
          <t>Pago</t>
        </is>
      </c>
      <c r="M111" t="inlineStr">
        <is>
          <t>Love - Shibari - Bradesco</t>
        </is>
      </c>
      <c r="N111" t="inlineStr">
        <is>
          <t>ALUGUEL COMPLEMENTAR SUITS REFERENTE AO PERIODO 10/2024, 11/2024 E 12/2024 - 02/2025</t>
        </is>
      </c>
    </row>
    <row r="112">
      <c r="A112" t="n">
        <v>7064</v>
      </c>
      <c r="B112" t="n">
        <v>128</v>
      </c>
      <c r="C112" t="inlineStr">
        <is>
          <t>Love Cabaret</t>
        </is>
      </c>
      <c r="D112" t="inlineStr">
        <is>
          <t xml:space="preserve">SYMPLA INTERNET SOLUÇÕES S/A </t>
        </is>
      </c>
      <c r="E112" s="27" t="n">
        <v>45825</v>
      </c>
      <c r="F112" s="27" t="n">
        <v>45826</v>
      </c>
      <c r="G112" s="27" t="n">
        <v>45826</v>
      </c>
      <c r="H112" t="n">
        <v>12490</v>
      </c>
      <c r="J112" t="inlineStr">
        <is>
          <t>Bilheteria</t>
        </is>
      </c>
      <c r="K112" t="inlineStr">
        <is>
          <t>Transferência Bancária ou Pix</t>
        </is>
      </c>
      <c r="L112" t="inlineStr">
        <is>
          <t>Pago</t>
        </is>
      </c>
      <c r="M112" t="inlineStr">
        <is>
          <t>Love - Shibari - Bradesco</t>
        </is>
      </c>
      <c r="N112" t="inlineStr">
        <is>
          <t>BILHETERIA - 06/2025</t>
        </is>
      </c>
    </row>
    <row r="113">
      <c r="A113" t="n">
        <v>6802</v>
      </c>
      <c r="B113" t="n">
        <v>128</v>
      </c>
      <c r="C113" t="inlineStr">
        <is>
          <t>Love Cabaret</t>
        </is>
      </c>
      <c r="D113" t="inlineStr">
        <is>
          <t>LIRIUM RECICLAGEM</t>
        </is>
      </c>
      <c r="E113" s="27" t="n">
        <v>45808</v>
      </c>
      <c r="F113" s="27" t="n">
        <v>45818</v>
      </c>
      <c r="G113" s="27" t="n">
        <v>45826</v>
      </c>
      <c r="H113" t="n">
        <v>216</v>
      </c>
      <c r="J113" t="inlineStr">
        <is>
          <t>Coleta de Óleo</t>
        </is>
      </c>
      <c r="K113" t="inlineStr">
        <is>
          <t>Transferência Bancária ou Pix</t>
        </is>
      </c>
      <c r="L113" t="inlineStr">
        <is>
          <t>Pago</t>
        </is>
      </c>
      <c r="M113" t="inlineStr">
        <is>
          <t>Love - Shibari - Bradesco</t>
        </is>
      </c>
      <c r="N113" t="inlineStr">
        <is>
          <t>COLETA DE 80LT</t>
        </is>
      </c>
    </row>
    <row r="114">
      <c r="A114" t="n">
        <v>7039</v>
      </c>
      <c r="B114" t="n">
        <v>128</v>
      </c>
      <c r="C114" t="inlineStr">
        <is>
          <t>Love Cabaret</t>
        </is>
      </c>
      <c r="D114" t="inlineStr">
        <is>
          <t xml:space="preserve"> VALTER CAIXÊTA</t>
        </is>
      </c>
      <c r="E114" s="27" t="n">
        <v>45828</v>
      </c>
      <c r="F114" s="27" t="n">
        <v>45825</v>
      </c>
      <c r="G114" s="27" t="n">
        <v>45825</v>
      </c>
      <c r="H114" t="n">
        <v>6960</v>
      </c>
      <c r="J114" t="inlineStr">
        <is>
          <t>Eventos</t>
        </is>
      </c>
      <c r="K114" t="inlineStr">
        <is>
          <t>Transferência Bancária ou Pix</t>
        </is>
      </c>
      <c r="L114" t="inlineStr">
        <is>
          <t>Pago</t>
        </is>
      </c>
      <c r="M114" t="inlineStr">
        <is>
          <t>Love - Shibari - Bradesco</t>
        </is>
      </c>
      <c r="N114" t="inlineStr">
        <is>
          <t>COMEMORAÇÃO DE ANIVERSARIO - 06/2025</t>
        </is>
      </c>
    </row>
    <row r="115">
      <c r="A115" t="n">
        <v>7064</v>
      </c>
      <c r="B115" t="n">
        <v>128</v>
      </c>
      <c r="C115" t="inlineStr">
        <is>
          <t>Love Cabaret</t>
        </is>
      </c>
      <c r="D115" t="inlineStr">
        <is>
          <t xml:space="preserve">SYMPLA INTERNET SOLUÇÕES S/A </t>
        </is>
      </c>
      <c r="E115" s="27" t="n">
        <v>45825</v>
      </c>
      <c r="F115" s="27" t="n">
        <v>45825</v>
      </c>
      <c r="G115" s="27" t="n">
        <v>45825</v>
      </c>
      <c r="H115" t="n">
        <v>23566</v>
      </c>
      <c r="J115" t="inlineStr">
        <is>
          <t>Bilheteria</t>
        </is>
      </c>
      <c r="K115" t="inlineStr">
        <is>
          <t>Transferência Bancária ou Pix</t>
        </is>
      </c>
      <c r="L115" t="inlineStr">
        <is>
          <t>Pago</t>
        </is>
      </c>
      <c r="M115" t="inlineStr">
        <is>
          <t>Love - Shibari - Bradesco</t>
        </is>
      </c>
      <c r="N115" t="inlineStr">
        <is>
          <t>BILHETERIA - 06/2025</t>
        </is>
      </c>
    </row>
    <row r="116">
      <c r="A116" t="n">
        <v>7022</v>
      </c>
      <c r="B116" t="n">
        <v>128</v>
      </c>
      <c r="C116" t="inlineStr">
        <is>
          <t>Love Cabaret</t>
        </is>
      </c>
      <c r="D116" t="inlineStr">
        <is>
          <t>Jessica Oliveira Silva</t>
        </is>
      </c>
      <c r="E116" s="27" t="n">
        <v>45842</v>
      </c>
      <c r="F116" s="27" t="n">
        <v>45824</v>
      </c>
      <c r="G116" s="27" t="n">
        <v>45824</v>
      </c>
      <c r="H116" t="n">
        <v>1235</v>
      </c>
      <c r="J116" t="inlineStr">
        <is>
          <t>Eventos</t>
        </is>
      </c>
      <c r="K116" t="inlineStr">
        <is>
          <t>Transferência Bancária ou Pix</t>
        </is>
      </c>
      <c r="L116" t="inlineStr">
        <is>
          <t>Pago</t>
        </is>
      </c>
      <c r="M116" t="inlineStr">
        <is>
          <t>Love - Shibari - Bradesco</t>
        </is>
      </c>
      <c r="N116" t="inlineStr">
        <is>
          <t>EVENTO - 06/2025</t>
        </is>
      </c>
    </row>
    <row r="117">
      <c r="A117" t="n">
        <v>6945</v>
      </c>
      <c r="B117" t="n">
        <v>128</v>
      </c>
      <c r="C117" t="inlineStr">
        <is>
          <t>Love Cabaret</t>
        </is>
      </c>
      <c r="D117" t="inlineStr">
        <is>
          <t>Luiza Martins</t>
        </is>
      </c>
      <c r="E117" s="27" t="n">
        <v>45822</v>
      </c>
      <c r="F117" s="27" t="n">
        <v>45822</v>
      </c>
      <c r="G117" s="27" t="n">
        <v>45824</v>
      </c>
      <c r="H117" t="n">
        <v>170</v>
      </c>
      <c r="J117" t="inlineStr">
        <is>
          <t>Eventos</t>
        </is>
      </c>
      <c r="K117" t="inlineStr">
        <is>
          <t>Transferência Bancária ou Pix</t>
        </is>
      </c>
      <c r="L117" t="inlineStr">
        <is>
          <t>Pago</t>
        </is>
      </c>
      <c r="M117" t="inlineStr">
        <is>
          <t>Love - Shibari - Bradesco</t>
        </is>
      </c>
      <c r="N117" t="inlineStr">
        <is>
          <t>EVENTO - 06/2025</t>
        </is>
      </c>
    </row>
    <row r="118">
      <c r="A118" t="n">
        <v>6945</v>
      </c>
      <c r="B118" t="n">
        <v>128</v>
      </c>
      <c r="C118" t="inlineStr">
        <is>
          <t>Love Cabaret</t>
        </is>
      </c>
      <c r="D118" t="inlineStr">
        <is>
          <t>Luiza Martins</t>
        </is>
      </c>
      <c r="E118" s="27" t="n">
        <v>45822</v>
      </c>
      <c r="F118" s="27" t="n">
        <v>45822</v>
      </c>
      <c r="G118" s="27" t="n">
        <v>45824</v>
      </c>
      <c r="H118" t="n">
        <v>380</v>
      </c>
      <c r="J118" t="inlineStr">
        <is>
          <t>Eventos</t>
        </is>
      </c>
      <c r="K118" t="inlineStr">
        <is>
          <t>Transferência Bancária ou Pix</t>
        </is>
      </c>
      <c r="L118" t="inlineStr">
        <is>
          <t>Pago</t>
        </is>
      </c>
      <c r="M118" t="inlineStr">
        <is>
          <t>Love - Shibari - Bradesco</t>
        </is>
      </c>
      <c r="N118" t="inlineStr">
        <is>
          <t>EVENTO - 06/2025</t>
        </is>
      </c>
    </row>
    <row r="119">
      <c r="A119" t="n">
        <v>5098</v>
      </c>
      <c r="B119" t="n">
        <v>128</v>
      </c>
      <c r="C119" t="inlineStr">
        <is>
          <t>Love Cabaret</t>
        </is>
      </c>
      <c r="D119" t="inlineStr">
        <is>
          <t>Love Suits Ltda</t>
        </is>
      </c>
      <c r="E119" s="27" t="n">
        <v>45797</v>
      </c>
      <c r="F119" s="27" t="n">
        <v>45818</v>
      </c>
      <c r="G119" s="27" t="n">
        <v>45824</v>
      </c>
      <c r="H119" t="n">
        <v>2953.14</v>
      </c>
      <c r="J119" t="inlineStr">
        <is>
          <t>Aluguel</t>
        </is>
      </c>
      <c r="K119" t="inlineStr">
        <is>
          <t>Transferência Bancária ou Pix</t>
        </is>
      </c>
      <c r="L119" t="inlineStr">
        <is>
          <t>Pago</t>
        </is>
      </c>
      <c r="M119" t="inlineStr">
        <is>
          <t>Love - Shibari - Bradesco</t>
        </is>
      </c>
      <c r="N119" t="inlineStr">
        <is>
          <t>REEMBOLSO DE IPTU - 05/2025</t>
        </is>
      </c>
    </row>
    <row r="120">
      <c r="A120" t="n">
        <v>4535</v>
      </c>
      <c r="B120" t="n">
        <v>128</v>
      </c>
      <c r="C120" t="inlineStr">
        <is>
          <t>Love Cabaret</t>
        </is>
      </c>
      <c r="D120" t="inlineStr">
        <is>
          <t>Love Suits Ltda</t>
        </is>
      </c>
      <c r="E120" s="27" t="n">
        <v>45797</v>
      </c>
      <c r="F120" s="27" t="n">
        <v>45818</v>
      </c>
      <c r="G120" s="27" t="n">
        <v>45824</v>
      </c>
      <c r="H120" t="n">
        <v>31634.64</v>
      </c>
      <c r="J120" t="inlineStr">
        <is>
          <t>Aluguel</t>
        </is>
      </c>
      <c r="K120" t="inlineStr">
        <is>
          <t>Transferência Bancária ou Pix</t>
        </is>
      </c>
      <c r="L120" t="inlineStr">
        <is>
          <t>Pago</t>
        </is>
      </c>
      <c r="M120" t="inlineStr">
        <is>
          <t>Love - Shibari - Bradesco</t>
        </is>
      </c>
      <c r="N120" t="inlineStr">
        <is>
          <t>ALUGUEL LOVE SUITS - 06/2025</t>
        </is>
      </c>
    </row>
    <row r="121">
      <c r="A121" t="n">
        <v>6998</v>
      </c>
      <c r="B121" t="n">
        <v>128</v>
      </c>
      <c r="C121" t="inlineStr">
        <is>
          <t>Love Cabaret</t>
        </is>
      </c>
      <c r="D121" t="inlineStr">
        <is>
          <t>Giovana Sartori</t>
        </is>
      </c>
      <c r="E121" s="27" t="n">
        <v>45843</v>
      </c>
      <c r="F121" s="27" t="n">
        <v>45821</v>
      </c>
      <c r="G121" s="27" t="n">
        <v>45821</v>
      </c>
      <c r="H121" t="n">
        <v>520</v>
      </c>
      <c r="J121" t="inlineStr">
        <is>
          <t>Eventos</t>
        </is>
      </c>
      <c r="K121" t="inlineStr">
        <is>
          <t>Transferência Bancária ou Pix</t>
        </is>
      </c>
      <c r="L121" t="inlineStr">
        <is>
          <t>Pago</t>
        </is>
      </c>
      <c r="M121" t="inlineStr">
        <is>
          <t>Love - Shibari - Bradesco</t>
        </is>
      </c>
      <c r="N121" t="inlineStr">
        <is>
          <t>EVENTO - 06/2025</t>
        </is>
      </c>
    </row>
    <row r="122">
      <c r="A122" t="n">
        <v>6973</v>
      </c>
      <c r="B122" t="n">
        <v>128</v>
      </c>
      <c r="C122" t="inlineStr">
        <is>
          <t>Love Cabaret</t>
        </is>
      </c>
      <c r="D122" t="inlineStr">
        <is>
          <t>Gabriela Zorzi</t>
        </is>
      </c>
      <c r="E122" s="27" t="n">
        <v>45843</v>
      </c>
      <c r="F122" s="27" t="n">
        <v>45821</v>
      </c>
      <c r="G122" s="27" t="n">
        <v>45820</v>
      </c>
      <c r="H122" t="n">
        <v>520</v>
      </c>
      <c r="J122" t="inlineStr">
        <is>
          <t>Eventos</t>
        </is>
      </c>
      <c r="K122" t="inlineStr">
        <is>
          <t>Transferência Bancária ou Pix</t>
        </is>
      </c>
      <c r="L122" t="inlineStr">
        <is>
          <t>Pago</t>
        </is>
      </c>
      <c r="M122" t="inlineStr">
        <is>
          <t>Arcos - Arcos Bar - Banco do Brasil</t>
        </is>
      </c>
      <c r="N122" t="inlineStr">
        <is>
          <t>EVENTO - 06/2025</t>
        </is>
      </c>
    </row>
    <row r="123">
      <c r="A123" t="n">
        <v>6945</v>
      </c>
      <c r="B123" t="n">
        <v>128</v>
      </c>
      <c r="C123" t="inlineStr">
        <is>
          <t>Love Cabaret</t>
        </is>
      </c>
      <c r="D123" t="inlineStr">
        <is>
          <t>Luiza Martins</t>
        </is>
      </c>
      <c r="E123" s="27" t="n">
        <v>45822</v>
      </c>
      <c r="F123" s="27" t="n">
        <v>45819</v>
      </c>
      <c r="G123" s="27" t="n">
        <v>45819</v>
      </c>
      <c r="H123" t="n">
        <v>1100</v>
      </c>
      <c r="J123" t="inlineStr">
        <is>
          <t>Eventos</t>
        </is>
      </c>
      <c r="K123" t="inlineStr">
        <is>
          <t>Transferência Bancária ou Pix</t>
        </is>
      </c>
      <c r="L123" t="inlineStr">
        <is>
          <t>Pago</t>
        </is>
      </c>
      <c r="M123" t="inlineStr">
        <is>
          <t>Love - Shibari - Bradesco</t>
        </is>
      </c>
      <c r="N123" t="inlineStr">
        <is>
          <t>EVENTO - 06/2025</t>
        </is>
      </c>
    </row>
    <row r="124">
      <c r="A124" t="n">
        <v>6811</v>
      </c>
      <c r="B124" t="n">
        <v>128</v>
      </c>
      <c r="C124" t="inlineStr">
        <is>
          <t>Love Cabaret</t>
        </is>
      </c>
      <c r="D124" t="inlineStr">
        <is>
          <t xml:space="preserve">SYMPLA INTERNET SOLUÇÕES S/A </t>
        </is>
      </c>
      <c r="E124" s="27" t="n">
        <v>45811</v>
      </c>
      <c r="F124" s="27" t="n">
        <v>45819</v>
      </c>
      <c r="G124" s="27" t="n">
        <v>45819</v>
      </c>
      <c r="H124" t="n">
        <v>16135</v>
      </c>
      <c r="J124" t="inlineStr">
        <is>
          <t>Bilheteria</t>
        </is>
      </c>
      <c r="K124" t="inlineStr">
        <is>
          <t>Transferência Bancária ou Pix</t>
        </is>
      </c>
      <c r="L124" t="inlineStr">
        <is>
          <t>Pago</t>
        </is>
      </c>
      <c r="M124" t="inlineStr">
        <is>
          <t>Love - Shibari - Bradesco</t>
        </is>
      </c>
      <c r="N124" t="inlineStr">
        <is>
          <t>BILHETERIA - 06/2025</t>
        </is>
      </c>
    </row>
    <row r="125">
      <c r="A125" t="n">
        <v>6811</v>
      </c>
      <c r="B125" t="n">
        <v>128</v>
      </c>
      <c r="C125" t="inlineStr">
        <is>
          <t>Love Cabaret</t>
        </is>
      </c>
      <c r="D125" t="inlineStr">
        <is>
          <t xml:space="preserve">SYMPLA INTERNET SOLUÇÕES S/A </t>
        </is>
      </c>
      <c r="E125" s="27" t="n">
        <v>45811</v>
      </c>
      <c r="F125" s="27" t="n">
        <v>45818</v>
      </c>
      <c r="G125" s="27" t="n">
        <v>45818</v>
      </c>
      <c r="H125" t="n">
        <v>1730</v>
      </c>
      <c r="J125" t="inlineStr">
        <is>
          <t>Bilheteria</t>
        </is>
      </c>
      <c r="K125" t="inlineStr">
        <is>
          <t>Transferência Bancária ou Pix</t>
        </is>
      </c>
      <c r="L125" t="inlineStr">
        <is>
          <t>Pago</t>
        </is>
      </c>
      <c r="M125" t="inlineStr">
        <is>
          <t>Love - Shibari - Bradesco</t>
        </is>
      </c>
      <c r="N125" t="inlineStr">
        <is>
          <t>BILHETERIA - 06/2025</t>
        </is>
      </c>
    </row>
    <row r="126">
      <c r="A126" t="n">
        <v>6926</v>
      </c>
      <c r="B126" t="n">
        <v>128</v>
      </c>
      <c r="C126" t="inlineStr">
        <is>
          <t>Love Cabaret</t>
        </is>
      </c>
      <c r="D126" t="inlineStr">
        <is>
          <t xml:space="preserve">Barbara Furrigo Zanco </t>
        </is>
      </c>
      <c r="E126" s="27" t="n">
        <v>45822</v>
      </c>
      <c r="F126" s="27" t="n">
        <v>45818</v>
      </c>
      <c r="G126" s="27" t="n">
        <v>45818</v>
      </c>
      <c r="H126" t="n">
        <v>520</v>
      </c>
      <c r="J126" t="inlineStr">
        <is>
          <t>Eventos</t>
        </is>
      </c>
      <c r="K126" t="inlineStr">
        <is>
          <t>Transferência Bancária ou Pix</t>
        </is>
      </c>
      <c r="L126" t="inlineStr">
        <is>
          <t>Pago</t>
        </is>
      </c>
      <c r="M126" t="inlineStr">
        <is>
          <t>Love - Shibari - Bradesco</t>
        </is>
      </c>
      <c r="N126" t="inlineStr">
        <is>
          <t>EVENTO - 06/2025</t>
        </is>
      </c>
    </row>
    <row r="127">
      <c r="A127" t="n">
        <v>6811</v>
      </c>
      <c r="B127" t="n">
        <v>128</v>
      </c>
      <c r="C127" t="inlineStr">
        <is>
          <t>Love Cabaret</t>
        </is>
      </c>
      <c r="D127" t="inlineStr">
        <is>
          <t xml:space="preserve">SYMPLA INTERNET SOLUÇÕES S/A </t>
        </is>
      </c>
      <c r="E127" s="27" t="n">
        <v>45811</v>
      </c>
      <c r="F127" s="27" t="n">
        <v>45814</v>
      </c>
      <c r="G127" s="27" t="n">
        <v>45814</v>
      </c>
      <c r="H127" t="n">
        <v>4456.01</v>
      </c>
      <c r="J127" t="inlineStr">
        <is>
          <t>Bilheteria</t>
        </is>
      </c>
      <c r="K127" t="inlineStr">
        <is>
          <t>Transferência Bancária ou Pix</t>
        </is>
      </c>
      <c r="L127" t="inlineStr">
        <is>
          <t>Pago</t>
        </is>
      </c>
      <c r="M127" t="inlineStr">
        <is>
          <t>Love - Shibari - Bradesco</t>
        </is>
      </c>
      <c r="N127" t="inlineStr">
        <is>
          <t>BILHETERIA - 06/2025</t>
        </is>
      </c>
    </row>
    <row r="128">
      <c r="A128" t="n">
        <v>6811</v>
      </c>
      <c r="B128" t="n">
        <v>128</v>
      </c>
      <c r="C128" t="inlineStr">
        <is>
          <t>Love Cabaret</t>
        </is>
      </c>
      <c r="D128" t="inlineStr">
        <is>
          <t xml:space="preserve">SYMPLA INTERNET SOLUÇÕES S/A </t>
        </is>
      </c>
      <c r="E128" s="27" t="n">
        <v>45811</v>
      </c>
      <c r="F128" s="27" t="n">
        <v>45812</v>
      </c>
      <c r="G128" s="27" t="n">
        <v>45812</v>
      </c>
      <c r="H128" t="n">
        <v>18625</v>
      </c>
      <c r="J128" t="inlineStr">
        <is>
          <t>Bilheteria</t>
        </is>
      </c>
      <c r="K128" t="inlineStr">
        <is>
          <t>Transferência Bancária ou Pix</t>
        </is>
      </c>
      <c r="L128" t="inlineStr">
        <is>
          <t>Pago</t>
        </is>
      </c>
      <c r="M128" t="inlineStr">
        <is>
          <t>Love - Shibari - Bradesco</t>
        </is>
      </c>
      <c r="N128" t="inlineStr">
        <is>
          <t>BILHETERIA - 06/2025</t>
        </is>
      </c>
    </row>
    <row r="129">
      <c r="A129" t="n">
        <v>6838</v>
      </c>
      <c r="B129" t="n">
        <v>128</v>
      </c>
      <c r="C129" t="inlineStr">
        <is>
          <t>Love Cabaret</t>
        </is>
      </c>
      <c r="D129" t="inlineStr">
        <is>
          <t>Julia Kahane</t>
        </is>
      </c>
      <c r="E129" s="27" t="n">
        <v>45813</v>
      </c>
      <c r="F129" s="27" t="n">
        <v>45812</v>
      </c>
      <c r="G129" s="27" t="n">
        <v>45812</v>
      </c>
      <c r="H129" t="n">
        <v>520</v>
      </c>
      <c r="J129" t="inlineStr">
        <is>
          <t>Eventos</t>
        </is>
      </c>
      <c r="K129" t="inlineStr">
        <is>
          <t>Transferência Bancária ou Pix</t>
        </is>
      </c>
      <c r="L129" t="inlineStr">
        <is>
          <t>Pago</t>
        </is>
      </c>
      <c r="M129" t="inlineStr">
        <is>
          <t>Love - Shibari - Bradesco</t>
        </is>
      </c>
    </row>
    <row r="130">
      <c r="A130" t="n">
        <v>6890</v>
      </c>
      <c r="B130" t="n">
        <v>128</v>
      </c>
      <c r="C130" t="inlineStr">
        <is>
          <t>Love Cabaret</t>
        </is>
      </c>
      <c r="D130" t="inlineStr">
        <is>
          <t>Júlia Ferreira</t>
        </is>
      </c>
      <c r="E130" s="27" t="n">
        <v>45815</v>
      </c>
      <c r="F130" s="27" t="n">
        <v>45812</v>
      </c>
      <c r="G130" s="27" t="n">
        <v>45812</v>
      </c>
      <c r="H130" t="n">
        <v>770</v>
      </c>
      <c r="J130" t="inlineStr">
        <is>
          <t>Eventos</t>
        </is>
      </c>
      <c r="K130" t="inlineStr">
        <is>
          <t>Transferência Bancária ou Pix</t>
        </is>
      </c>
      <c r="L130" t="inlineStr">
        <is>
          <t>Pago</t>
        </is>
      </c>
      <c r="M130" t="inlineStr">
        <is>
          <t>Love - Shibari - Bradesco</t>
        </is>
      </c>
    </row>
    <row r="131">
      <c r="A131" t="n">
        <v>6811</v>
      </c>
      <c r="B131" t="n">
        <v>128</v>
      </c>
      <c r="C131" t="inlineStr">
        <is>
          <t>Love Cabaret</t>
        </is>
      </c>
      <c r="D131" t="inlineStr">
        <is>
          <t xml:space="preserve">SYMPLA INTERNET SOLUÇÕES S/A </t>
        </is>
      </c>
      <c r="E131" s="27" t="n">
        <v>45811</v>
      </c>
      <c r="F131" s="27" t="n">
        <v>45811</v>
      </c>
      <c r="G131" s="27" t="n">
        <v>45811</v>
      </c>
      <c r="H131" t="n">
        <v>2640</v>
      </c>
      <c r="J131" t="inlineStr">
        <is>
          <t>Bilheteria</t>
        </is>
      </c>
      <c r="K131" t="inlineStr">
        <is>
          <t>Transferência Bancária ou Pix</t>
        </is>
      </c>
      <c r="L131" t="inlineStr">
        <is>
          <t>Pago</t>
        </is>
      </c>
      <c r="M131" t="inlineStr">
        <is>
          <t>Love - Shibari - Bradesco</t>
        </is>
      </c>
      <c r="N131" t="inlineStr">
        <is>
          <t>BILHETERIA - 06/2025</t>
        </is>
      </c>
    </row>
    <row r="132">
      <c r="A132" t="n">
        <v>6770</v>
      </c>
      <c r="B132" t="n">
        <v>128</v>
      </c>
      <c r="C132" t="inlineStr">
        <is>
          <t>Love Cabaret</t>
        </is>
      </c>
      <c r="D132" t="inlineStr">
        <is>
          <t>Izabella Machado</t>
        </is>
      </c>
      <c r="E132" s="27" t="n">
        <v>45814</v>
      </c>
      <c r="F132" s="27" t="n">
        <v>45810</v>
      </c>
      <c r="G132" s="27" t="n">
        <v>45810</v>
      </c>
      <c r="H132" t="n">
        <v>520</v>
      </c>
      <c r="J132" t="inlineStr">
        <is>
          <t>Eventos</t>
        </is>
      </c>
      <c r="K132" t="inlineStr">
        <is>
          <t>Transferência Bancária ou Pix</t>
        </is>
      </c>
      <c r="L132" t="inlineStr">
        <is>
          <t>Pago</t>
        </is>
      </c>
      <c r="M132" t="inlineStr">
        <is>
          <t>Love - Shibari - Bradesco</t>
        </is>
      </c>
      <c r="N132" t="inlineStr">
        <is>
          <t>EVENTO - 06/2025</t>
        </is>
      </c>
    </row>
    <row r="133">
      <c r="A133" t="n">
        <v>6701</v>
      </c>
      <c r="B133" t="n">
        <v>128</v>
      </c>
      <c r="C133" t="inlineStr">
        <is>
          <t>Love Cabaret</t>
        </is>
      </c>
      <c r="D133" t="inlineStr">
        <is>
          <t xml:space="preserve">Mayumi Iwasse </t>
        </is>
      </c>
      <c r="E133" s="27" t="n">
        <v>45808</v>
      </c>
      <c r="F133" s="27" t="n">
        <v>45806</v>
      </c>
      <c r="G133" s="27" t="n">
        <v>45806</v>
      </c>
      <c r="H133" t="n">
        <v>720</v>
      </c>
      <c r="J133" t="inlineStr">
        <is>
          <t>Eventos</t>
        </is>
      </c>
      <c r="K133" t="inlineStr">
        <is>
          <t>Transferência Bancária ou Pix</t>
        </is>
      </c>
      <c r="L133" t="inlineStr">
        <is>
          <t>Pago</t>
        </is>
      </c>
      <c r="M133" t="inlineStr">
        <is>
          <t>Love - Shibari - Bradesco</t>
        </is>
      </c>
      <c r="N133" t="inlineStr">
        <is>
          <t>EVENTO - 05/2025</t>
        </is>
      </c>
    </row>
    <row r="134">
      <c r="A134" t="n">
        <v>6699</v>
      </c>
      <c r="B134" t="n">
        <v>128</v>
      </c>
      <c r="C134" t="inlineStr">
        <is>
          <t>Love Cabaret</t>
        </is>
      </c>
      <c r="D134" t="inlineStr">
        <is>
          <t xml:space="preserve">SYMPLA INTERNET SOLUÇÕES S/A </t>
        </is>
      </c>
      <c r="E134" s="27" t="n">
        <v>45805</v>
      </c>
      <c r="F134" s="27" t="n">
        <v>45805</v>
      </c>
      <c r="G134" s="27" t="n">
        <v>45805</v>
      </c>
      <c r="H134" t="n">
        <v>11995</v>
      </c>
      <c r="J134" t="inlineStr">
        <is>
          <t>Bilheteria</t>
        </is>
      </c>
      <c r="K134" t="inlineStr">
        <is>
          <t>Transferência Bancária ou Pix</t>
        </is>
      </c>
      <c r="L134" t="inlineStr">
        <is>
          <t>Pago</t>
        </is>
      </c>
      <c r="M134" t="inlineStr">
        <is>
          <t>Love - Shibari - Bradesco</t>
        </is>
      </c>
      <c r="N134" t="inlineStr">
        <is>
          <t>BILHETERIA - 05/2025</t>
        </is>
      </c>
    </row>
    <row r="135">
      <c r="A135" t="n">
        <v>6683</v>
      </c>
      <c r="B135" t="n">
        <v>128</v>
      </c>
      <c r="C135" t="inlineStr">
        <is>
          <t>Love Cabaret</t>
        </is>
      </c>
      <c r="D135" t="inlineStr">
        <is>
          <t xml:space="preserve">SYMPLA INTERNET SOLUÇÕES S/A </t>
        </is>
      </c>
      <c r="E135" s="27" t="n">
        <v>45804</v>
      </c>
      <c r="F135" s="27" t="n">
        <v>45804</v>
      </c>
      <c r="G135" s="27" t="n">
        <v>45804</v>
      </c>
      <c r="H135" t="n">
        <v>5915</v>
      </c>
      <c r="J135" t="inlineStr">
        <is>
          <t>Bilheteria</t>
        </is>
      </c>
      <c r="K135" t="inlineStr">
        <is>
          <t>Transferência Bancária ou Pix</t>
        </is>
      </c>
      <c r="L135" t="inlineStr">
        <is>
          <t>Pago</t>
        </is>
      </c>
      <c r="M135" t="inlineStr">
        <is>
          <t>Love - Shibari - Bradesco</t>
        </is>
      </c>
      <c r="N135" t="inlineStr">
        <is>
          <t>BILHETERIA - 05/2025</t>
        </is>
      </c>
    </row>
    <row r="136">
      <c r="A136" t="n">
        <v>6659</v>
      </c>
      <c r="B136" t="n">
        <v>128</v>
      </c>
      <c r="C136" t="inlineStr">
        <is>
          <t>Love Cabaret</t>
        </is>
      </c>
      <c r="D136" t="inlineStr">
        <is>
          <t>Nathalia Cardenete</t>
        </is>
      </c>
      <c r="E136" s="27" t="n">
        <v>45808</v>
      </c>
      <c r="F136" s="27" t="n">
        <v>45804</v>
      </c>
      <c r="G136" s="27" t="n">
        <v>45804</v>
      </c>
      <c r="H136" t="n">
        <v>520</v>
      </c>
      <c r="J136" t="inlineStr">
        <is>
          <t>Eventos</t>
        </is>
      </c>
      <c r="K136" t="inlineStr">
        <is>
          <t>Transferência Bancária ou Pix</t>
        </is>
      </c>
      <c r="L136" t="inlineStr">
        <is>
          <t>Pago</t>
        </is>
      </c>
      <c r="M136" t="inlineStr">
        <is>
          <t>Love - Shibari - Bradesco</t>
        </is>
      </c>
      <c r="N136" t="inlineStr">
        <is>
          <t>Reserva de Despedida de Solteiro</t>
        </is>
      </c>
    </row>
    <row r="137">
      <c r="A137" t="n">
        <v>6688</v>
      </c>
      <c r="B137" t="n">
        <v>128</v>
      </c>
      <c r="C137" t="inlineStr">
        <is>
          <t>Love Cabaret</t>
        </is>
      </c>
      <c r="D137" t="inlineStr">
        <is>
          <t>Luma Jardim</t>
        </is>
      </c>
      <c r="E137" s="27" t="n">
        <v>45808</v>
      </c>
      <c r="F137" s="27" t="n">
        <v>45805</v>
      </c>
      <c r="G137" s="27" t="n">
        <v>45804</v>
      </c>
      <c r="H137" t="n">
        <v>1040</v>
      </c>
      <c r="J137" t="inlineStr">
        <is>
          <t>Eventos</t>
        </is>
      </c>
      <c r="K137" t="inlineStr">
        <is>
          <t>Transferência Bancária ou Pix</t>
        </is>
      </c>
      <c r="L137" t="inlineStr">
        <is>
          <t>Pago</t>
        </is>
      </c>
      <c r="M137" t="inlineStr">
        <is>
          <t>Love - Shibari - Bradesco</t>
        </is>
      </c>
      <c r="N137" t="inlineStr">
        <is>
          <t>Despedida de Solteiro</t>
        </is>
      </c>
    </row>
    <row r="138">
      <c r="A138" t="n">
        <v>6618</v>
      </c>
      <c r="B138" t="n">
        <v>128</v>
      </c>
      <c r="C138" t="inlineStr">
        <is>
          <t>Love Cabaret</t>
        </is>
      </c>
      <c r="D138" t="inlineStr">
        <is>
          <t>TOTAL ACESSO</t>
        </is>
      </c>
      <c r="E138" s="27" t="n">
        <v>45800</v>
      </c>
      <c r="F138" s="27" t="n">
        <v>45800</v>
      </c>
      <c r="G138" s="27" t="n">
        <v>45800</v>
      </c>
      <c r="H138" t="n">
        <v>191.34</v>
      </c>
      <c r="J138" t="inlineStr">
        <is>
          <t>Bilheteria</t>
        </is>
      </c>
      <c r="K138" t="inlineStr">
        <is>
          <t>Transferência Bancária ou Pix</t>
        </is>
      </c>
      <c r="L138" t="inlineStr">
        <is>
          <t>Pago</t>
        </is>
      </c>
      <c r="M138" t="inlineStr">
        <is>
          <t>Love - Shibari - Bradesco</t>
        </is>
      </c>
      <c r="N138" t="inlineStr">
        <is>
          <t>BILHETERIA - 05/2025</t>
        </is>
      </c>
    </row>
    <row r="139">
      <c r="A139" t="n">
        <v>6658</v>
      </c>
      <c r="B139" t="n">
        <v>128</v>
      </c>
      <c r="C139" t="inlineStr">
        <is>
          <t>Love Cabaret</t>
        </is>
      </c>
      <c r="D139" t="inlineStr">
        <is>
          <t>Renata Ambrósio de Carvalho</t>
        </is>
      </c>
      <c r="E139" s="27" t="n">
        <v>45801</v>
      </c>
      <c r="F139" s="27" t="n">
        <v>45800</v>
      </c>
      <c r="G139" s="27" t="n">
        <v>45800</v>
      </c>
      <c r="H139" t="n">
        <v>520</v>
      </c>
      <c r="J139" t="inlineStr">
        <is>
          <t>Eventos</t>
        </is>
      </c>
      <c r="K139" t="inlineStr">
        <is>
          <t>Transferência Bancária ou Pix</t>
        </is>
      </c>
      <c r="L139" t="inlineStr">
        <is>
          <t>Pago</t>
        </is>
      </c>
      <c r="M139" t="inlineStr">
        <is>
          <t>Love - Shibari - Bradesco</t>
        </is>
      </c>
      <c r="N139" t="inlineStr">
        <is>
          <t>EVENTO LOVE - 05/2025</t>
        </is>
      </c>
    </row>
    <row r="140">
      <c r="A140" t="n">
        <v>6601</v>
      </c>
      <c r="B140" t="n">
        <v>128</v>
      </c>
      <c r="C140" t="inlineStr">
        <is>
          <t>Love Cabaret</t>
        </is>
      </c>
      <c r="D140" t="inlineStr">
        <is>
          <t xml:space="preserve">SYMPLA INTERNET SOLUÇÕES S/A </t>
        </is>
      </c>
      <c r="E140" s="27" t="n">
        <v>45798</v>
      </c>
      <c r="F140" s="27" t="n">
        <v>45798</v>
      </c>
      <c r="G140" s="27" t="n">
        <v>45798</v>
      </c>
      <c r="H140" t="n">
        <v>17710</v>
      </c>
      <c r="J140" t="inlineStr">
        <is>
          <t>Bilheteria</t>
        </is>
      </c>
      <c r="K140" t="inlineStr">
        <is>
          <t>Transferência Bancária ou Pix</t>
        </is>
      </c>
      <c r="L140" t="inlineStr">
        <is>
          <t>Pago</t>
        </is>
      </c>
      <c r="M140" t="inlineStr">
        <is>
          <t>Love - Shibari - Bradesco</t>
        </is>
      </c>
      <c r="N140" t="inlineStr">
        <is>
          <t>BILHETERIA - 05/2025</t>
        </is>
      </c>
    </row>
    <row r="141">
      <c r="A141" t="n">
        <v>6550</v>
      </c>
      <c r="B141" t="n">
        <v>128</v>
      </c>
      <c r="C141" t="inlineStr">
        <is>
          <t>Love Cabaret</t>
        </is>
      </c>
      <c r="D141" t="inlineStr">
        <is>
          <t xml:space="preserve">SYMPLA INTERNET SOLUÇÕES S/A </t>
        </is>
      </c>
      <c r="E141" s="27" t="n">
        <v>45797</v>
      </c>
      <c r="F141" s="27" t="n">
        <v>45797</v>
      </c>
      <c r="G141" s="27" t="n">
        <v>45797</v>
      </c>
      <c r="H141" t="n">
        <v>1345</v>
      </c>
      <c r="J141" t="inlineStr">
        <is>
          <t>Bilheteria</t>
        </is>
      </c>
      <c r="K141" t="inlineStr">
        <is>
          <t>Transferência Bancária ou Pix</t>
        </is>
      </c>
      <c r="L141" t="inlineStr">
        <is>
          <t>Pago</t>
        </is>
      </c>
      <c r="M141" t="inlineStr">
        <is>
          <t>Love - Shibari - Bradesco</t>
        </is>
      </c>
      <c r="N141" t="inlineStr">
        <is>
          <t>BILHETERIA - 05/2025</t>
        </is>
      </c>
    </row>
    <row r="142">
      <c r="A142" t="n">
        <v>6144</v>
      </c>
      <c r="B142" t="n">
        <v>128</v>
      </c>
      <c r="C142" t="inlineStr">
        <is>
          <t>Love Cabaret</t>
        </is>
      </c>
      <c r="D142" t="inlineStr">
        <is>
          <t>ATENAS COMUNICAÇÃO LTDA</t>
        </is>
      </c>
      <c r="E142" s="27" t="n">
        <v>45756</v>
      </c>
      <c r="F142" s="27" t="n">
        <v>45794</v>
      </c>
      <c r="G142" s="27" t="n">
        <v>45796</v>
      </c>
      <c r="H142" t="n">
        <v>22200</v>
      </c>
      <c r="J142" t="inlineStr">
        <is>
          <t>Eventos</t>
        </is>
      </c>
      <c r="K142" t="inlineStr">
        <is>
          <t>Transferência Bancária ou Pix</t>
        </is>
      </c>
      <c r="L142" t="inlineStr">
        <is>
          <t>Pago</t>
        </is>
      </c>
      <c r="M142" t="inlineStr">
        <is>
          <t>Love - Shibari - Bradesco</t>
        </is>
      </c>
      <c r="N142" t="inlineStr">
        <is>
          <t>EVENTO HNKN INTERMEDIADO POR AGENCIA ATENAS / R$ 10.000 PERMUTA EM PRODUTO</t>
        </is>
      </c>
    </row>
    <row r="143">
      <c r="A143" t="n">
        <v>5097</v>
      </c>
      <c r="B143" t="n">
        <v>128</v>
      </c>
      <c r="C143" t="inlineStr">
        <is>
          <t>Love Cabaret</t>
        </is>
      </c>
      <c r="D143" t="inlineStr">
        <is>
          <t>Love Suits Ltda</t>
        </is>
      </c>
      <c r="E143" s="27" t="n">
        <v>45767</v>
      </c>
      <c r="F143" s="27" t="n">
        <v>45787</v>
      </c>
      <c r="G143" s="27" t="n">
        <v>45796</v>
      </c>
      <c r="H143" t="n">
        <v>2953.14</v>
      </c>
      <c r="J143" t="inlineStr">
        <is>
          <t>Aluguel</t>
        </is>
      </c>
      <c r="K143" t="inlineStr">
        <is>
          <t>Transferência Bancária ou Pix</t>
        </is>
      </c>
      <c r="L143" t="inlineStr">
        <is>
          <t>Pago</t>
        </is>
      </c>
      <c r="M143" t="inlineStr">
        <is>
          <t>Love - Shibari - Bradesco</t>
        </is>
      </c>
      <c r="N143" t="inlineStr">
        <is>
          <t>REEMBOLSO DE IPTU - 04/2025</t>
        </is>
      </c>
    </row>
    <row r="144">
      <c r="A144" t="n">
        <v>6468</v>
      </c>
      <c r="B144" t="n">
        <v>128</v>
      </c>
      <c r="C144" t="inlineStr">
        <is>
          <t>Love Cabaret</t>
        </is>
      </c>
      <c r="D144" t="inlineStr">
        <is>
          <t>TOTAL ACESSO</t>
        </is>
      </c>
      <c r="E144" s="27" t="n">
        <v>45793</v>
      </c>
      <c r="F144" s="27" t="n">
        <v>45793</v>
      </c>
      <c r="G144" s="27" t="n">
        <v>45793</v>
      </c>
      <c r="H144" t="n">
        <v>159.46</v>
      </c>
      <c r="J144" t="inlineStr">
        <is>
          <t>Bilheteria</t>
        </is>
      </c>
      <c r="K144" t="inlineStr">
        <is>
          <t>Transferência Bancária ou Pix</t>
        </is>
      </c>
      <c r="L144" t="inlineStr">
        <is>
          <t>Pago</t>
        </is>
      </c>
      <c r="M144" t="inlineStr">
        <is>
          <t>Love - Shibari - Bradesco</t>
        </is>
      </c>
      <c r="N144" t="inlineStr">
        <is>
          <t>TOTAL ACESSO BILHETERIA - 05/2025</t>
        </is>
      </c>
    </row>
    <row r="145">
      <c r="A145" t="n">
        <v>6389</v>
      </c>
      <c r="B145" t="n">
        <v>128</v>
      </c>
      <c r="C145" t="inlineStr">
        <is>
          <t>Love Cabaret</t>
        </is>
      </c>
      <c r="D145" t="inlineStr">
        <is>
          <t xml:space="preserve">SYMPLA INTERNET SOLUÇÕES S/A </t>
        </is>
      </c>
      <c r="E145" s="27" t="n">
        <v>45791</v>
      </c>
      <c r="F145" s="27" t="n">
        <v>45791</v>
      </c>
      <c r="G145" s="27" t="n">
        <v>45791</v>
      </c>
      <c r="H145" t="n">
        <v>19655</v>
      </c>
      <c r="J145" t="inlineStr">
        <is>
          <t>Bilheteria</t>
        </is>
      </c>
      <c r="K145" t="inlineStr">
        <is>
          <t>Transferência Bancária ou Pix</t>
        </is>
      </c>
      <c r="L145" t="inlineStr">
        <is>
          <t>Pago</t>
        </is>
      </c>
      <c r="M145" t="inlineStr">
        <is>
          <t>Love - Shibari - Bradesco</t>
        </is>
      </c>
      <c r="N145" t="inlineStr">
        <is>
          <t>BILHETERIA - 05/2025</t>
        </is>
      </c>
    </row>
    <row r="146">
      <c r="A146" t="n">
        <v>6380</v>
      </c>
      <c r="B146" t="n">
        <v>128</v>
      </c>
      <c r="C146" t="inlineStr">
        <is>
          <t>Love Cabaret</t>
        </is>
      </c>
      <c r="D146" t="inlineStr">
        <is>
          <t xml:space="preserve">Tamyris Hernandes </t>
        </is>
      </c>
      <c r="E146" s="27" t="n">
        <v>45794</v>
      </c>
      <c r="F146" s="27" t="n">
        <v>45791</v>
      </c>
      <c r="G146" s="27" t="n">
        <v>45791</v>
      </c>
      <c r="H146" t="n">
        <v>1540</v>
      </c>
      <c r="J146" t="inlineStr">
        <is>
          <t>Eventos</t>
        </is>
      </c>
      <c r="K146" t="inlineStr">
        <is>
          <t>Transferência Bancária ou Pix</t>
        </is>
      </c>
      <c r="L146" t="inlineStr">
        <is>
          <t>Pago</t>
        </is>
      </c>
      <c r="M146" t="inlineStr">
        <is>
          <t>Love - Shibari - Bradesco</t>
        </is>
      </c>
      <c r="N146" t="inlineStr">
        <is>
          <t>EVENTIM - 05/2025</t>
        </is>
      </c>
    </row>
    <row r="147">
      <c r="A147" t="n">
        <v>6341</v>
      </c>
      <c r="B147" t="n">
        <v>128</v>
      </c>
      <c r="C147" t="inlineStr">
        <is>
          <t>Love Cabaret</t>
        </is>
      </c>
      <c r="D147" t="inlineStr">
        <is>
          <t>Priscilla Cicconi</t>
        </is>
      </c>
      <c r="E147" s="27" t="n">
        <v>45822</v>
      </c>
      <c r="F147" s="27" t="n">
        <v>45791</v>
      </c>
      <c r="G147" s="27" t="n">
        <v>45790</v>
      </c>
      <c r="H147" t="n">
        <v>845</v>
      </c>
      <c r="J147" t="inlineStr">
        <is>
          <t>Eventos</t>
        </is>
      </c>
      <c r="K147" t="inlineStr">
        <is>
          <t>Transferência Bancária ou Pix</t>
        </is>
      </c>
      <c r="L147" t="inlineStr">
        <is>
          <t>Pago</t>
        </is>
      </c>
      <c r="M147" t="inlineStr">
        <is>
          <t>Love - Shibari - Bradesco</t>
        </is>
      </c>
      <c r="N147" t="inlineStr">
        <is>
          <t>EVENTOS 05/2025</t>
        </is>
      </c>
    </row>
    <row r="148">
      <c r="A148" t="n">
        <v>6388</v>
      </c>
      <c r="B148" t="n">
        <v>128</v>
      </c>
      <c r="C148" t="inlineStr">
        <is>
          <t>Love Cabaret</t>
        </is>
      </c>
      <c r="D148" t="inlineStr">
        <is>
          <t xml:space="preserve">SYMPLA INTERNET SOLUÇÕES S/A </t>
        </is>
      </c>
      <c r="E148" s="27" t="n">
        <v>45790</v>
      </c>
      <c r="F148" s="27" t="n">
        <v>45790</v>
      </c>
      <c r="G148" s="27" t="n">
        <v>45790</v>
      </c>
      <c r="H148" t="n">
        <v>1595</v>
      </c>
      <c r="J148" t="inlineStr">
        <is>
          <t>Bilheteria</t>
        </is>
      </c>
      <c r="K148" t="inlineStr">
        <is>
          <t>Transferência Bancária ou Pix</t>
        </is>
      </c>
      <c r="L148" t="inlineStr">
        <is>
          <t>Pago</t>
        </is>
      </c>
      <c r="M148" t="inlineStr">
        <is>
          <t>Love - Shibari - Bradesco</t>
        </is>
      </c>
      <c r="N148" t="inlineStr">
        <is>
          <t>BILHETERIA - 05/2025</t>
        </is>
      </c>
    </row>
    <row r="149">
      <c r="A149" t="n">
        <v>6337</v>
      </c>
      <c r="B149" t="n">
        <v>128</v>
      </c>
      <c r="C149" t="inlineStr">
        <is>
          <t>Love Cabaret</t>
        </is>
      </c>
      <c r="D149" t="inlineStr">
        <is>
          <t>Victoria Nalini</t>
        </is>
      </c>
      <c r="E149" s="27" t="n">
        <v>45793</v>
      </c>
      <c r="F149" s="27" t="n">
        <v>45789</v>
      </c>
      <c r="G149" s="27" t="n">
        <v>45789</v>
      </c>
      <c r="H149" t="n">
        <v>520</v>
      </c>
      <c r="J149" t="inlineStr">
        <is>
          <t>Eventos</t>
        </is>
      </c>
      <c r="K149" t="inlineStr">
        <is>
          <t>Transferência Bancária ou Pix</t>
        </is>
      </c>
      <c r="L149" t="inlineStr">
        <is>
          <t>Pago</t>
        </is>
      </c>
      <c r="M149" t="inlineStr">
        <is>
          <t>Love - Shibari - Bradesco</t>
        </is>
      </c>
      <c r="N149" t="inlineStr">
        <is>
          <t>ANIVERSARIO VICTORIA - 05/2025</t>
        </is>
      </c>
    </row>
    <row r="150">
      <c r="A150" t="n">
        <v>6296</v>
      </c>
      <c r="B150" t="n">
        <v>128</v>
      </c>
      <c r="C150" t="inlineStr">
        <is>
          <t>Love Cabaret</t>
        </is>
      </c>
      <c r="D150" t="inlineStr">
        <is>
          <t>LIRIUM RECICLAGEM</t>
        </is>
      </c>
      <c r="E150" s="27" t="n">
        <v>45777</v>
      </c>
      <c r="F150" s="27" t="n">
        <v>45807</v>
      </c>
      <c r="G150" s="27" t="n">
        <v>45789</v>
      </c>
      <c r="H150" t="n">
        <v>270</v>
      </c>
      <c r="J150" t="inlineStr">
        <is>
          <t>Coleta de Óleo</t>
        </is>
      </c>
      <c r="K150" t="inlineStr">
        <is>
          <t>Transferência Bancária ou Pix</t>
        </is>
      </c>
      <c r="L150" t="inlineStr">
        <is>
          <t>Pago</t>
        </is>
      </c>
      <c r="M150" t="inlineStr">
        <is>
          <t>Love - Shibari - Bradesco</t>
        </is>
      </c>
      <c r="N150" t="inlineStr">
        <is>
          <t>COLETA DE OLEO VEGETAL - 04/2025</t>
        </is>
      </c>
    </row>
    <row r="151">
      <c r="A151" t="n">
        <v>5094</v>
      </c>
      <c r="B151" t="n">
        <v>128</v>
      </c>
      <c r="C151" t="inlineStr">
        <is>
          <t>Love Cabaret</t>
        </is>
      </c>
      <c r="D151" t="inlineStr">
        <is>
          <t>Love Suits Ltda</t>
        </is>
      </c>
      <c r="E151" s="27" t="n">
        <v>45708</v>
      </c>
      <c r="F151" s="27" t="n">
        <v>45787</v>
      </c>
      <c r="G151" s="27" t="n">
        <v>45789</v>
      </c>
      <c r="H151" t="n">
        <v>1292.39</v>
      </c>
      <c r="J151" t="inlineStr">
        <is>
          <t>Aluguel</t>
        </is>
      </c>
      <c r="K151" t="inlineStr">
        <is>
          <t>Transferência Bancária ou Pix</t>
        </is>
      </c>
      <c r="L151" t="inlineStr">
        <is>
          <t>Pago</t>
        </is>
      </c>
      <c r="M151" t="inlineStr">
        <is>
          <t>Love - Shibari - Bradesco</t>
        </is>
      </c>
      <c r="N151" t="inlineStr">
        <is>
          <t>ALUGUEL COMPLEMENTAR SUITS REFERENTE AO PERIODO 10/2024, 11/2024 E 12/2024 - 02/2025</t>
        </is>
      </c>
    </row>
    <row r="152">
      <c r="A152" t="n">
        <v>4534</v>
      </c>
      <c r="B152" t="n">
        <v>128</v>
      </c>
      <c r="C152" t="inlineStr">
        <is>
          <t>Love Cabaret</t>
        </is>
      </c>
      <c r="D152" t="inlineStr">
        <is>
          <t>Love Suits Ltda</t>
        </is>
      </c>
      <c r="E152" s="27" t="n">
        <v>45767</v>
      </c>
      <c r="F152" s="27" t="n">
        <v>45787</v>
      </c>
      <c r="G152" s="27" t="n">
        <v>45789</v>
      </c>
      <c r="H152" t="n">
        <v>31634.64</v>
      </c>
      <c r="J152" t="inlineStr">
        <is>
          <t>Aluguel</t>
        </is>
      </c>
      <c r="K152" t="inlineStr">
        <is>
          <t>Transferência Bancária ou Pix</t>
        </is>
      </c>
      <c r="L152" t="inlineStr">
        <is>
          <t>Pago</t>
        </is>
      </c>
      <c r="M152" t="inlineStr">
        <is>
          <t>Love - Shibari - Bradesco</t>
        </is>
      </c>
      <c r="N152" t="inlineStr">
        <is>
          <t>ALUGUEL LOVE SUITS - 05/2025</t>
        </is>
      </c>
    </row>
    <row r="153">
      <c r="A153" t="n">
        <v>6326</v>
      </c>
      <c r="B153" t="n">
        <v>128</v>
      </c>
      <c r="C153" t="inlineStr">
        <is>
          <t>Love Cabaret</t>
        </is>
      </c>
      <c r="D153" t="inlineStr">
        <is>
          <t>TOTAL ACESSO</t>
        </is>
      </c>
      <c r="E153" s="27" t="n">
        <v>45786</v>
      </c>
      <c r="F153" s="27" t="n">
        <v>45786</v>
      </c>
      <c r="G153" s="27" t="n">
        <v>45786</v>
      </c>
      <c r="H153" t="n">
        <v>674.99</v>
      </c>
      <c r="J153" t="inlineStr">
        <is>
          <t>Bilheteria</t>
        </is>
      </c>
      <c r="K153" t="inlineStr">
        <is>
          <t>Transferência Bancária ou Pix</t>
        </is>
      </c>
      <c r="L153" t="inlineStr">
        <is>
          <t>Pago</t>
        </is>
      </c>
      <c r="M153" t="inlineStr">
        <is>
          <t>Love - Shibari - Bradesco</t>
        </is>
      </c>
      <c r="N153" t="inlineStr">
        <is>
          <t>TOTAL ACESSO BILHETERIA - 28-04</t>
        </is>
      </c>
    </row>
    <row r="154">
      <c r="A154" t="n">
        <v>6377</v>
      </c>
      <c r="B154" t="n">
        <v>128</v>
      </c>
      <c r="C154" t="inlineStr">
        <is>
          <t>Love Cabaret</t>
        </is>
      </c>
      <c r="D154" t="inlineStr">
        <is>
          <t>TOTAL ACESSO</t>
        </is>
      </c>
      <c r="E154" s="27" t="n">
        <v>45779</v>
      </c>
      <c r="F154" s="27" t="n">
        <v>45779</v>
      </c>
      <c r="G154" s="27" t="n">
        <v>45779</v>
      </c>
      <c r="H154" t="n">
        <v>40149.52</v>
      </c>
      <c r="J154" t="inlineStr">
        <is>
          <t>Bilheteria</t>
        </is>
      </c>
      <c r="K154" t="inlineStr">
        <is>
          <t>Transferência Bancária ou Pix</t>
        </is>
      </c>
      <c r="L154" t="inlineStr">
        <is>
          <t>Pago</t>
        </is>
      </c>
      <c r="M154" t="inlineStr">
        <is>
          <t>Love - Shibari - Bradesco</t>
        </is>
      </c>
      <c r="N154" t="inlineStr">
        <is>
          <t>TOTAL ACESSO BILHETERIA - 04/2025</t>
        </is>
      </c>
    </row>
    <row r="155">
      <c r="A155" t="n">
        <v>5763</v>
      </c>
      <c r="B155" t="n">
        <v>128</v>
      </c>
      <c r="C155" t="inlineStr">
        <is>
          <t>Love Cabaret</t>
        </is>
      </c>
      <c r="D155" t="inlineStr">
        <is>
          <t>TOTAL ACESSO</t>
        </is>
      </c>
      <c r="E155" s="27" t="n">
        <v>45772</v>
      </c>
      <c r="F155" s="27" t="n">
        <v>45772</v>
      </c>
      <c r="G155" s="27" t="n">
        <v>45772</v>
      </c>
      <c r="H155" t="n">
        <v>35519.08</v>
      </c>
      <c r="J155" t="inlineStr">
        <is>
          <t>Bilheteria</t>
        </is>
      </c>
      <c r="K155" t="inlineStr">
        <is>
          <t>Transferência Bancária ou Pix</t>
        </is>
      </c>
      <c r="L155" t="inlineStr">
        <is>
          <t>Pago</t>
        </is>
      </c>
      <c r="M155" t="inlineStr">
        <is>
          <t>Love - Shibari - Bradesco</t>
        </is>
      </c>
      <c r="N155" t="inlineStr">
        <is>
          <t>BILHETERIA DIVERTI - 04/2025</t>
        </is>
      </c>
    </row>
    <row r="156">
      <c r="A156" t="n">
        <v>5096</v>
      </c>
      <c r="B156" t="n">
        <v>128</v>
      </c>
      <c r="C156" t="inlineStr">
        <is>
          <t>Love Cabaret</t>
        </is>
      </c>
      <c r="D156" t="inlineStr">
        <is>
          <t>Love Suits Ltda</t>
        </is>
      </c>
      <c r="E156" s="27" t="n">
        <v>45736</v>
      </c>
      <c r="F156" s="27" t="n">
        <v>45757</v>
      </c>
      <c r="G156" s="27" t="n">
        <v>45770</v>
      </c>
      <c r="H156" t="n">
        <v>2953.14</v>
      </c>
      <c r="J156" t="inlineStr">
        <is>
          <t>Aluguel</t>
        </is>
      </c>
      <c r="K156" t="inlineStr">
        <is>
          <t>Transferência Bancária ou Pix</t>
        </is>
      </c>
      <c r="L156" t="inlineStr">
        <is>
          <t>Pago</t>
        </is>
      </c>
      <c r="M156" t="inlineStr">
        <is>
          <t>Love - Shibari - Bradesco</t>
        </is>
      </c>
      <c r="N156" t="inlineStr">
        <is>
          <t>REEMBOLSO DE IPTU - 03/2025</t>
        </is>
      </c>
    </row>
    <row r="157">
      <c r="A157" t="n">
        <v>4533</v>
      </c>
      <c r="B157" t="n">
        <v>128</v>
      </c>
      <c r="C157" t="inlineStr">
        <is>
          <t>Love Cabaret</t>
        </is>
      </c>
      <c r="D157" t="inlineStr">
        <is>
          <t>Love Suits Ltda</t>
        </is>
      </c>
      <c r="E157" s="27" t="n">
        <v>45736</v>
      </c>
      <c r="F157" s="27" t="n">
        <v>45757</v>
      </c>
      <c r="G157" s="27" t="n">
        <v>45770</v>
      </c>
      <c r="H157" t="n">
        <v>31634.64</v>
      </c>
      <c r="J157" t="inlineStr">
        <is>
          <t>Aluguel</t>
        </is>
      </c>
      <c r="K157" t="inlineStr">
        <is>
          <t>Transferência Bancária ou Pix</t>
        </is>
      </c>
      <c r="L157" t="inlineStr">
        <is>
          <t>Pago</t>
        </is>
      </c>
      <c r="M157" t="inlineStr">
        <is>
          <t>Love - Shibari - Bradesco</t>
        </is>
      </c>
      <c r="N157" t="inlineStr">
        <is>
          <t>ALUGUEL LOVE SUITS - 04/2025</t>
        </is>
      </c>
    </row>
    <row r="158">
      <c r="A158" t="n">
        <v>4532</v>
      </c>
      <c r="B158" t="n">
        <v>128</v>
      </c>
      <c r="C158" t="inlineStr">
        <is>
          <t>Love Cabaret</t>
        </is>
      </c>
      <c r="D158" t="inlineStr">
        <is>
          <t>Love Suits Ltda</t>
        </is>
      </c>
      <c r="E158" s="27" t="n">
        <v>45708</v>
      </c>
      <c r="F158" s="27" t="n">
        <v>45757</v>
      </c>
      <c r="G158" s="27" t="n">
        <v>45770</v>
      </c>
      <c r="H158" t="n">
        <v>1292.39</v>
      </c>
      <c r="J158" t="inlineStr">
        <is>
          <t>Aluguel</t>
        </is>
      </c>
      <c r="K158" t="inlineStr">
        <is>
          <t>Transferência Bancária ou Pix</t>
        </is>
      </c>
      <c r="L158" t="inlineStr">
        <is>
          <t>Pago</t>
        </is>
      </c>
      <c r="M158" t="inlineStr">
        <is>
          <t>Love - Shibari - Bradesco</t>
        </is>
      </c>
      <c r="N158" t="inlineStr">
        <is>
          <t>ALUGUEL LOVE SUITS - 02/2025</t>
        </is>
      </c>
    </row>
    <row r="159">
      <c r="A159" t="n">
        <v>6376</v>
      </c>
      <c r="B159" t="n">
        <v>128</v>
      </c>
      <c r="C159" t="inlineStr">
        <is>
          <t>Love Cabaret</t>
        </is>
      </c>
      <c r="D159" t="inlineStr">
        <is>
          <t>INTERFOOD IMPORTAÇÃO</t>
        </is>
      </c>
      <c r="E159" s="27" t="n">
        <v>45764</v>
      </c>
      <c r="F159" s="27" t="n">
        <v>45764</v>
      </c>
      <c r="G159" s="27" t="n">
        <v>45764</v>
      </c>
      <c r="H159" t="n">
        <v>813.24</v>
      </c>
      <c r="J159" t="inlineStr">
        <is>
          <t>Reembolso</t>
        </is>
      </c>
      <c r="K159" t="inlineStr">
        <is>
          <t>Transferência Bancária ou Pix</t>
        </is>
      </c>
      <c r="L159" t="inlineStr">
        <is>
          <t>Pago</t>
        </is>
      </c>
      <c r="M159" t="inlineStr">
        <is>
          <t>Love - Shibari - Bradesco</t>
        </is>
      </c>
      <c r="N159" t="inlineStr">
        <is>
          <t>REEMBOLSO REFERENTE A UM VALOR PAGO EM DUPLICIDADE 2023</t>
        </is>
      </c>
    </row>
    <row r="160">
      <c r="A160" t="n">
        <v>6118</v>
      </c>
      <c r="B160" t="n">
        <v>128</v>
      </c>
      <c r="C160" t="inlineStr">
        <is>
          <t>Love Cabaret</t>
        </is>
      </c>
      <c r="D160" t="inlineStr">
        <is>
          <t>DIVERTI EVENTOS F&amp;B LTDA</t>
        </is>
      </c>
      <c r="E160" s="27" t="n">
        <v>45764</v>
      </c>
      <c r="F160" s="27" t="n">
        <v>45764</v>
      </c>
      <c r="G160" s="27" t="n">
        <v>45764</v>
      </c>
      <c r="H160" t="n">
        <v>32256.74</v>
      </c>
      <c r="J160" t="inlineStr">
        <is>
          <t>Bilheteria</t>
        </is>
      </c>
      <c r="K160" t="inlineStr">
        <is>
          <t>Transferência Bancária ou Pix</t>
        </is>
      </c>
      <c r="L160" t="inlineStr">
        <is>
          <t>Pago</t>
        </is>
      </c>
      <c r="M160" t="inlineStr">
        <is>
          <t>Love - Shibari - Bradesco</t>
        </is>
      </c>
      <c r="N160" t="inlineStr">
        <is>
          <t xml:space="preserve">BILHETERIA DIVERTI - 04/2025 </t>
        </is>
      </c>
    </row>
    <row r="161">
      <c r="A161" t="n">
        <v>5836</v>
      </c>
      <c r="B161" t="n">
        <v>128</v>
      </c>
      <c r="C161" t="inlineStr">
        <is>
          <t>Love Cabaret</t>
        </is>
      </c>
      <c r="D161" t="inlineStr">
        <is>
          <t>LIRIUM RECICLAGEM</t>
        </is>
      </c>
      <c r="E161" s="27" t="n">
        <v>45747</v>
      </c>
      <c r="F161" s="27" t="n">
        <v>45777</v>
      </c>
      <c r="G161" s="27" t="n">
        <v>45764</v>
      </c>
      <c r="H161" t="n">
        <v>135</v>
      </c>
      <c r="J161" t="inlineStr">
        <is>
          <t>Coleta de Óleo</t>
        </is>
      </c>
      <c r="K161" t="inlineStr">
        <is>
          <t>Transferência Bancária ou Pix</t>
        </is>
      </c>
      <c r="L161" t="inlineStr">
        <is>
          <t>Pago</t>
        </is>
      </c>
      <c r="M161" t="inlineStr">
        <is>
          <t>Love - Shibari - Bradesco</t>
        </is>
      </c>
      <c r="N161" t="inlineStr">
        <is>
          <t>COLETA DE OLEO VEGETAL - 50 LITROS - REF. 03/2025</t>
        </is>
      </c>
    </row>
    <row r="162">
      <c r="A162" t="n">
        <v>5991</v>
      </c>
      <c r="B162" t="n">
        <v>128</v>
      </c>
      <c r="C162" t="inlineStr">
        <is>
          <t>Love Cabaret</t>
        </is>
      </c>
      <c r="D162" t="inlineStr">
        <is>
          <t>JOÃO VICTOR MENDES SALUSTIANO</t>
        </is>
      </c>
      <c r="E162" s="27" t="n">
        <v>45747</v>
      </c>
      <c r="F162" s="27" t="n">
        <v>45757</v>
      </c>
      <c r="G162" s="27" t="n">
        <v>45763</v>
      </c>
      <c r="H162" t="n">
        <v>4800</v>
      </c>
      <c r="J162" t="inlineStr">
        <is>
          <t>Reembolso</t>
        </is>
      </c>
      <c r="K162" t="inlineStr">
        <is>
          <t>Transferência Bancária ou Pix</t>
        </is>
      </c>
      <c r="L162" t="inlineStr">
        <is>
          <t>Pago</t>
        </is>
      </c>
      <c r="M162" t="inlineStr">
        <is>
          <t>Love - Shibari - Bradesco</t>
        </is>
      </c>
      <c r="N162" t="inlineStr">
        <is>
          <t>SALÁRIO DUPLICADO DEVOLVIDO - 03/2025</t>
        </is>
      </c>
    </row>
    <row r="163">
      <c r="A163" t="n">
        <v>5920</v>
      </c>
      <c r="B163" t="n">
        <v>128</v>
      </c>
      <c r="C163" t="inlineStr">
        <is>
          <t>Love Cabaret</t>
        </is>
      </c>
      <c r="D163" t="inlineStr">
        <is>
          <t>TOTAL ACESSO</t>
        </is>
      </c>
      <c r="E163" s="27" t="n">
        <v>45758</v>
      </c>
      <c r="F163" s="27" t="n">
        <v>45758</v>
      </c>
      <c r="G163" s="27" t="n">
        <v>45758</v>
      </c>
      <c r="H163" t="n">
        <v>22073.18</v>
      </c>
      <c r="J163" t="inlineStr">
        <is>
          <t>Bilheteria</t>
        </is>
      </c>
      <c r="K163" t="inlineStr">
        <is>
          <t>Transferência Bancária ou Pix</t>
        </is>
      </c>
      <c r="L163" t="inlineStr">
        <is>
          <t>Pago</t>
        </is>
      </c>
      <c r="M163" t="inlineStr">
        <is>
          <t>Love - Shibari - Bradesco</t>
        </is>
      </c>
      <c r="N163" t="inlineStr">
        <is>
          <t>BILHETERIA DIVERTI - 04/2025</t>
        </is>
      </c>
    </row>
    <row r="164">
      <c r="A164" t="n">
        <v>6144</v>
      </c>
      <c r="B164" t="n">
        <v>128</v>
      </c>
      <c r="C164" t="inlineStr">
        <is>
          <t>Love Cabaret</t>
        </is>
      </c>
      <c r="D164" t="inlineStr">
        <is>
          <t>ATENAS COMUNICAÇÃO LTDA</t>
        </is>
      </c>
      <c r="E164" s="27" t="n">
        <v>45756</v>
      </c>
      <c r="F164" s="27" t="n">
        <v>45792</v>
      </c>
      <c r="G164" s="27" t="n">
        <v>45756</v>
      </c>
      <c r="H164" t="n">
        <v>10000</v>
      </c>
      <c r="J164" t="inlineStr">
        <is>
          <t>Eventos</t>
        </is>
      </c>
      <c r="K164" t="inlineStr">
        <is>
          <t>Transferência Bancária ou Pix</t>
        </is>
      </c>
      <c r="L164" t="inlineStr">
        <is>
          <t>Pago</t>
        </is>
      </c>
      <c r="M164" t="inlineStr">
        <is>
          <t>Love - Shibari - Bradesco</t>
        </is>
      </c>
      <c r="N164" t="inlineStr">
        <is>
          <t>EVENTO HNKN INTERMEDIADO POR AGENCIA ATENAS / R$ 10.000 PERMUTA EM PRODUTO</t>
        </is>
      </c>
    </row>
    <row r="165">
      <c r="A165" t="n">
        <v>5919</v>
      </c>
      <c r="B165" t="n">
        <v>128</v>
      </c>
      <c r="C165" t="inlineStr">
        <is>
          <t>Love Cabaret</t>
        </is>
      </c>
      <c r="D165" t="inlineStr">
        <is>
          <t>TOTAL ACESSO</t>
        </is>
      </c>
      <c r="E165" s="27" t="n">
        <v>45751</v>
      </c>
      <c r="F165" s="27" t="n">
        <v>45751</v>
      </c>
      <c r="G165" s="27" t="n">
        <v>45751</v>
      </c>
      <c r="H165" t="n">
        <v>19889.8</v>
      </c>
      <c r="J165" t="inlineStr">
        <is>
          <t>Bilheteria</t>
        </is>
      </c>
      <c r="K165" t="inlineStr">
        <is>
          <t>Transferência Bancária ou Pix</t>
        </is>
      </c>
      <c r="L165" t="inlineStr">
        <is>
          <t>Pago</t>
        </is>
      </c>
      <c r="M165" t="inlineStr">
        <is>
          <t>Love - Shibari - Bradesco</t>
        </is>
      </c>
      <c r="N165" t="inlineStr">
        <is>
          <t>BILHETERIA DIVERTI - 04/2025</t>
        </is>
      </c>
    </row>
    <row r="166">
      <c r="A166" t="n">
        <v>1065</v>
      </c>
      <c r="B166" t="n">
        <v>128</v>
      </c>
      <c r="C166" t="inlineStr">
        <is>
          <t>Love Cabaret</t>
        </is>
      </c>
      <c r="D166" t="inlineStr">
        <is>
          <t>Diageo</t>
        </is>
      </c>
      <c r="E166" s="27" t="n">
        <v>45746</v>
      </c>
      <c r="F166" s="27" t="n">
        <v>45746</v>
      </c>
      <c r="G166" s="27" t="n">
        <v>45746</v>
      </c>
      <c r="H166" t="n">
        <v>0</v>
      </c>
      <c r="J166" t="inlineStr">
        <is>
          <t>Patrocínio</t>
        </is>
      </c>
      <c r="K166" t="inlineStr">
        <is>
          <t>Transferência Bancária ou Pix</t>
        </is>
      </c>
      <c r="L166" t="inlineStr">
        <is>
          <t>Pago</t>
        </is>
      </c>
      <c r="M166" t="inlineStr">
        <is>
          <t>Love - Shibari - Bradesco</t>
        </is>
      </c>
      <c r="N166" t="inlineStr">
        <is>
          <t>META VOLUME (65625) - Dezembro + Janeiro + Fevereiro - VARIAVEL (META NÃO ALCANÇADA)</t>
        </is>
      </c>
    </row>
    <row r="167">
      <c r="A167" t="n">
        <v>5917</v>
      </c>
      <c r="B167" t="n">
        <v>128</v>
      </c>
      <c r="C167" t="inlineStr">
        <is>
          <t>Love Cabaret</t>
        </is>
      </c>
      <c r="D167" t="inlineStr">
        <is>
          <t>TOTAL ACESSO</t>
        </is>
      </c>
      <c r="E167" s="27" t="n">
        <v>45744</v>
      </c>
      <c r="F167" s="27" t="n">
        <v>45744</v>
      </c>
      <c r="G167" s="27" t="n">
        <v>45744</v>
      </c>
      <c r="H167" t="n">
        <v>14467.43</v>
      </c>
      <c r="J167" t="inlineStr">
        <is>
          <t>Bilheteria</t>
        </is>
      </c>
      <c r="K167" t="inlineStr">
        <is>
          <t>Transferência Bancária ou Pix</t>
        </is>
      </c>
      <c r="L167" t="inlineStr">
        <is>
          <t>Pago</t>
        </is>
      </c>
      <c r="M167" t="inlineStr">
        <is>
          <t>Love - Shibari - Bradesco</t>
        </is>
      </c>
      <c r="N167" t="inlineStr">
        <is>
          <t>BILHETERIA DIVERTI - 03/2025</t>
        </is>
      </c>
    </row>
    <row r="168">
      <c r="A168" t="n">
        <v>5610</v>
      </c>
      <c r="B168" t="n">
        <v>128</v>
      </c>
      <c r="C168" t="inlineStr">
        <is>
          <t>Love Cabaret</t>
        </is>
      </c>
      <c r="D168" t="inlineStr">
        <is>
          <t>TOTAL ACESSO</t>
        </is>
      </c>
      <c r="E168" s="27" t="n">
        <v>45732</v>
      </c>
      <c r="F168" s="27" t="n">
        <v>45737</v>
      </c>
      <c r="G168" s="27" t="n">
        <v>45737</v>
      </c>
      <c r="H168" t="n">
        <v>24427.72</v>
      </c>
      <c r="J168" t="inlineStr">
        <is>
          <t>Bilheteria</t>
        </is>
      </c>
      <c r="K168" t="inlineStr">
        <is>
          <t>Transferência Bancária ou Pix</t>
        </is>
      </c>
      <c r="L168" t="inlineStr">
        <is>
          <t>Pago</t>
        </is>
      </c>
      <c r="M168" t="inlineStr">
        <is>
          <t>Love - Shibari - Bradesco</t>
        </is>
      </c>
      <c r="N168" t="inlineStr">
        <is>
          <t>TOTAL ACESSO BILHETERIA - 03/2025</t>
        </is>
      </c>
    </row>
    <row r="169">
      <c r="A169" t="n">
        <v>5095</v>
      </c>
      <c r="B169" t="n">
        <v>128</v>
      </c>
      <c r="C169" t="inlineStr">
        <is>
          <t>Love Cabaret</t>
        </is>
      </c>
      <c r="D169" t="inlineStr">
        <is>
          <t>Love Suits Ltda</t>
        </is>
      </c>
      <c r="E169" s="27" t="n">
        <v>45708</v>
      </c>
      <c r="F169" s="27" t="n">
        <v>45726</v>
      </c>
      <c r="G169" s="27" t="n">
        <v>45735</v>
      </c>
      <c r="H169" t="n">
        <v>2953.14</v>
      </c>
      <c r="J169" t="inlineStr">
        <is>
          <t>Aluguel</t>
        </is>
      </c>
      <c r="K169" t="inlineStr">
        <is>
          <t>Transferência Bancária ou Pix</t>
        </is>
      </c>
      <c r="L169" t="inlineStr">
        <is>
          <t>Pago</t>
        </is>
      </c>
      <c r="M169" t="inlineStr">
        <is>
          <t>Arcos - Arcos Bar - Banco do Brasil</t>
        </is>
      </c>
      <c r="N169" t="inlineStr">
        <is>
          <t>REEMBOLSO IPTU - 02/2025</t>
        </is>
      </c>
    </row>
    <row r="170">
      <c r="A170" t="n">
        <v>5451</v>
      </c>
      <c r="B170" t="n">
        <v>128</v>
      </c>
      <c r="C170" t="inlineStr">
        <is>
          <t>Love Cabaret</t>
        </is>
      </c>
      <c r="D170" t="inlineStr">
        <is>
          <t>TOTAL ACESSO</t>
        </is>
      </c>
      <c r="E170" s="27" t="n">
        <v>45725</v>
      </c>
      <c r="F170" s="27" t="n">
        <v>45730</v>
      </c>
      <c r="G170" s="27" t="n">
        <v>45730</v>
      </c>
      <c r="H170" t="n">
        <v>2519.31</v>
      </c>
      <c r="J170" t="inlineStr">
        <is>
          <t>Bilheteria</t>
        </is>
      </c>
      <c r="K170" t="inlineStr">
        <is>
          <t>Transferência Bancária ou Pix</t>
        </is>
      </c>
      <c r="L170" t="inlineStr">
        <is>
          <t>Pago</t>
        </is>
      </c>
      <c r="M170" t="inlineStr">
        <is>
          <t>Love - Shibari - Bradesco</t>
        </is>
      </c>
      <c r="N170" t="inlineStr">
        <is>
          <t>TOTAL ACESSO BILHETERIA - 03/2025</t>
        </is>
      </c>
    </row>
    <row r="171">
      <c r="A171" t="n">
        <v>5373</v>
      </c>
      <c r="B171" t="n">
        <v>128</v>
      </c>
      <c r="C171" t="inlineStr">
        <is>
          <t>Love Cabaret</t>
        </is>
      </c>
      <c r="D171" t="inlineStr">
        <is>
          <t>LIRIUM RECICLAGEM</t>
        </is>
      </c>
      <c r="E171" s="27" t="n">
        <v>45716</v>
      </c>
      <c r="F171" s="27" t="n">
        <v>45747</v>
      </c>
      <c r="G171" s="27" t="n">
        <v>45727</v>
      </c>
      <c r="H171" t="n">
        <v>135</v>
      </c>
      <c r="J171" t="inlineStr">
        <is>
          <t>Coleta de Óleo</t>
        </is>
      </c>
      <c r="K171" t="inlineStr">
        <is>
          <t>Transferência Bancária ou Pix</t>
        </is>
      </c>
      <c r="L171" t="inlineStr">
        <is>
          <t>Pago</t>
        </is>
      </c>
      <c r="M171" t="inlineStr">
        <is>
          <t>Love - Shibari - Bradesco</t>
        </is>
      </c>
      <c r="N171" t="inlineStr">
        <is>
          <t>COLETA DE OLEO VEGETAL - 50 LITROS - REF. 02/2025</t>
        </is>
      </c>
    </row>
    <row r="172">
      <c r="A172" t="n">
        <v>4532</v>
      </c>
      <c r="B172" t="n">
        <v>128</v>
      </c>
      <c r="C172" t="inlineStr">
        <is>
          <t>Love Cabaret</t>
        </is>
      </c>
      <c r="D172" t="inlineStr">
        <is>
          <t>Love Suits Ltda</t>
        </is>
      </c>
      <c r="E172" s="27" t="n">
        <v>45708</v>
      </c>
      <c r="F172" s="27" t="n">
        <v>45726</v>
      </c>
      <c r="G172" s="27" t="n">
        <v>45726</v>
      </c>
      <c r="H172" t="n">
        <v>31634.64</v>
      </c>
      <c r="J172" t="inlineStr">
        <is>
          <t>Aluguel</t>
        </is>
      </c>
      <c r="K172" t="inlineStr">
        <is>
          <t>Transferência Bancária ou Pix</t>
        </is>
      </c>
      <c r="L172" t="inlineStr">
        <is>
          <t>Pago</t>
        </is>
      </c>
      <c r="M172" t="inlineStr">
        <is>
          <t>Love - Shibari - Bradesco</t>
        </is>
      </c>
      <c r="N172" t="inlineStr">
        <is>
          <t>ALUGUEL LOVE SUITS - 02/2025</t>
        </is>
      </c>
    </row>
    <row r="173">
      <c r="A173" t="n">
        <v>4531</v>
      </c>
      <c r="B173" t="n">
        <v>128</v>
      </c>
      <c r="C173" t="inlineStr">
        <is>
          <t>Love Cabaret</t>
        </is>
      </c>
      <c r="D173" t="inlineStr">
        <is>
          <t>Love Suits Ltda</t>
        </is>
      </c>
      <c r="E173" s="27" t="n">
        <v>45677</v>
      </c>
      <c r="F173" s="27" t="n">
        <v>45726</v>
      </c>
      <c r="G173" s="27" t="n">
        <v>45726</v>
      </c>
      <c r="H173" t="n">
        <v>1292.39</v>
      </c>
      <c r="J173" t="inlineStr">
        <is>
          <t>Aluguel</t>
        </is>
      </c>
      <c r="K173" t="inlineStr">
        <is>
          <t>Transferência Bancária ou Pix</t>
        </is>
      </c>
      <c r="L173" t="inlineStr">
        <is>
          <t>Pago</t>
        </is>
      </c>
      <c r="M173" t="inlineStr">
        <is>
          <t>Love - Shibari - Bradesco</t>
        </is>
      </c>
      <c r="N173" t="inlineStr">
        <is>
          <t>ALUGUEL LOVE SUITS - 01/2025</t>
        </is>
      </c>
    </row>
    <row r="174">
      <c r="A174" t="n">
        <v>5338</v>
      </c>
      <c r="B174" t="n">
        <v>128</v>
      </c>
      <c r="C174" t="inlineStr">
        <is>
          <t>Love Cabaret</t>
        </is>
      </c>
      <c r="D174" t="inlineStr">
        <is>
          <t>TOTAL ACESSO</t>
        </is>
      </c>
      <c r="E174" s="27" t="n">
        <v>45690</v>
      </c>
      <c r="F174" s="27" t="n">
        <v>45723</v>
      </c>
      <c r="G174" s="27" t="n">
        <v>45723</v>
      </c>
      <c r="H174" t="n">
        <v>10055.99</v>
      </c>
      <c r="J174" t="inlineStr">
        <is>
          <t>Bilheteria</t>
        </is>
      </c>
      <c r="K174" t="inlineStr">
        <is>
          <t>Transferência Bancária ou Pix</t>
        </is>
      </c>
      <c r="L174" t="inlineStr">
        <is>
          <t>Pago</t>
        </is>
      </c>
      <c r="M174" t="inlineStr">
        <is>
          <t>Love - Shibari - Bradesco</t>
        </is>
      </c>
      <c r="N174" t="inlineStr">
        <is>
          <t>TOTAL ACESSO BILHETERIA - 03/2025</t>
        </is>
      </c>
    </row>
    <row r="175">
      <c r="A175" t="n">
        <v>5238</v>
      </c>
      <c r="B175" t="n">
        <v>128</v>
      </c>
      <c r="C175" t="inlineStr">
        <is>
          <t>Love Cabaret</t>
        </is>
      </c>
      <c r="D175" t="inlineStr">
        <is>
          <t>TOTAL ACESSO</t>
        </is>
      </c>
      <c r="E175" s="27" t="n">
        <v>45710</v>
      </c>
      <c r="F175" s="27" t="n">
        <v>45716</v>
      </c>
      <c r="G175" s="27" t="n">
        <v>45716</v>
      </c>
      <c r="H175" t="n">
        <v>30824.75</v>
      </c>
      <c r="J175" t="inlineStr">
        <is>
          <t>Bilheteria</t>
        </is>
      </c>
      <c r="K175" t="inlineStr">
        <is>
          <t>Transferência Bancária ou Pix</t>
        </is>
      </c>
      <c r="L175" t="inlineStr">
        <is>
          <t>Pago</t>
        </is>
      </c>
      <c r="M175" t="inlineStr">
        <is>
          <t>Love - Shibari - Bradesco</t>
        </is>
      </c>
      <c r="N175" t="inlineStr">
        <is>
          <t>TOTAL ACESSO BILHETERIA PERIODO 17-23/02</t>
        </is>
      </c>
    </row>
    <row r="176">
      <c r="A176" t="n">
        <v>5109</v>
      </c>
      <c r="B176" t="n">
        <v>128</v>
      </c>
      <c r="C176" t="inlineStr">
        <is>
          <t>Love Cabaret</t>
        </is>
      </c>
      <c r="D176" t="inlineStr">
        <is>
          <t>TOTAL ACESSO</t>
        </is>
      </c>
      <c r="E176" s="27" t="n">
        <v>45702</v>
      </c>
      <c r="F176" s="27" t="n">
        <v>45709</v>
      </c>
      <c r="G176" s="27" t="n">
        <v>45709</v>
      </c>
      <c r="H176" t="n">
        <v>73117.46000000001</v>
      </c>
      <c r="J176" t="inlineStr">
        <is>
          <t>Bilheteria</t>
        </is>
      </c>
      <c r="K176" t="inlineStr">
        <is>
          <t>Transferência Bancária ou Pix</t>
        </is>
      </c>
      <c r="L176" t="inlineStr">
        <is>
          <t>Pago</t>
        </is>
      </c>
      <c r="M176" t="inlineStr">
        <is>
          <t>Love - Shibari - Bradesco</t>
        </is>
      </c>
      <c r="N176" t="inlineStr">
        <is>
          <t>TOTAL ACESSO BILHETERIA - 02/2025</t>
        </is>
      </c>
    </row>
    <row r="177">
      <c r="A177" t="n">
        <v>5003</v>
      </c>
      <c r="B177" t="n">
        <v>128</v>
      </c>
      <c r="C177" t="inlineStr">
        <is>
          <t>Love Cabaret</t>
        </is>
      </c>
      <c r="D177" t="inlineStr">
        <is>
          <t>TOTAL ACESSO</t>
        </is>
      </c>
      <c r="E177" s="27" t="n">
        <v>45702</v>
      </c>
      <c r="F177" s="27" t="n">
        <v>45702</v>
      </c>
      <c r="G177" s="27" t="n">
        <v>45702</v>
      </c>
      <c r="H177" t="n">
        <v>4846.84</v>
      </c>
      <c r="J177" t="inlineStr">
        <is>
          <t>Bilheteria</t>
        </is>
      </c>
      <c r="K177" t="inlineStr">
        <is>
          <t>Transferência Bancária ou Pix</t>
        </is>
      </c>
      <c r="L177" t="inlineStr">
        <is>
          <t>Pago</t>
        </is>
      </c>
      <c r="M177" t="inlineStr">
        <is>
          <t>Love - Shibari - Bradesco</t>
        </is>
      </c>
      <c r="N177" t="inlineStr">
        <is>
          <t>BILHETERIA PERIODO 02/2025</t>
        </is>
      </c>
    </row>
    <row r="178">
      <c r="A178" t="n">
        <v>4531</v>
      </c>
      <c r="B178" t="n">
        <v>128</v>
      </c>
      <c r="C178" t="inlineStr">
        <is>
          <t>Love Cabaret</t>
        </is>
      </c>
      <c r="D178" t="inlineStr">
        <is>
          <t>Love Suits Ltda</t>
        </is>
      </c>
      <c r="E178" s="27" t="n">
        <v>45677</v>
      </c>
      <c r="F178" s="27" t="n">
        <v>45698</v>
      </c>
      <c r="G178" s="27" t="n">
        <v>45698</v>
      </c>
      <c r="H178" t="n">
        <v>30342.25</v>
      </c>
      <c r="J178" t="inlineStr">
        <is>
          <t>Aluguel</t>
        </is>
      </c>
      <c r="K178" t="inlineStr">
        <is>
          <t>Transferência Bancária ou Pix</t>
        </is>
      </c>
      <c r="L178" t="inlineStr">
        <is>
          <t>Pago</t>
        </is>
      </c>
      <c r="M178" t="inlineStr">
        <is>
          <t>Love - Shibari - Bradesco</t>
        </is>
      </c>
      <c r="N178" t="inlineStr">
        <is>
          <t>ALUGUEL LOVE SUITS - 01/2025</t>
        </is>
      </c>
    </row>
    <row r="179">
      <c r="A179" t="n">
        <v>4819</v>
      </c>
      <c r="B179" t="n">
        <v>128</v>
      </c>
      <c r="C179" t="inlineStr">
        <is>
          <t>Love Cabaret</t>
        </is>
      </c>
      <c r="D179" t="inlineStr">
        <is>
          <t>LIRIUM RECICLAGEM</t>
        </is>
      </c>
      <c r="E179" s="27" t="n">
        <v>45688</v>
      </c>
      <c r="F179" s="27" t="n">
        <v>45716</v>
      </c>
      <c r="G179" s="27" t="n">
        <v>45698</v>
      </c>
      <c r="H179" t="n">
        <v>202.5</v>
      </c>
      <c r="J179" t="inlineStr">
        <is>
          <t>Coleta de Óleo</t>
        </is>
      </c>
      <c r="K179" t="inlineStr">
        <is>
          <t>Transferência Bancária ou Pix</t>
        </is>
      </c>
      <c r="L179" t="inlineStr">
        <is>
          <t>Pago</t>
        </is>
      </c>
      <c r="M179" t="inlineStr">
        <is>
          <t>Love - Shibari - Bradesco</t>
        </is>
      </c>
      <c r="N179" t="inlineStr">
        <is>
          <t>COLETA DE OLEO VEGETAL - 75 LITROS - REF. 01/2025</t>
        </is>
      </c>
    </row>
    <row r="180">
      <c r="A180" t="n">
        <v>4866</v>
      </c>
      <c r="B180" t="n">
        <v>128</v>
      </c>
      <c r="C180" t="inlineStr">
        <is>
          <t>Love Cabaret</t>
        </is>
      </c>
      <c r="D180" t="inlineStr">
        <is>
          <t>TOTAL ACESSO</t>
        </is>
      </c>
      <c r="E180" s="27" t="n">
        <v>45690</v>
      </c>
      <c r="F180" s="27" t="n">
        <v>45695</v>
      </c>
      <c r="G180" s="27" t="n">
        <v>45695</v>
      </c>
      <c r="H180" t="n">
        <v>1086.77</v>
      </c>
      <c r="J180" t="inlineStr">
        <is>
          <t>Bilheteria</t>
        </is>
      </c>
      <c r="K180" t="inlineStr">
        <is>
          <t>Transferência Bancária ou Pix</t>
        </is>
      </c>
      <c r="L180" t="inlineStr">
        <is>
          <t>Pago</t>
        </is>
      </c>
      <c r="M180" t="inlineStr">
        <is>
          <t>Love - Shibari - Bradesco</t>
        </is>
      </c>
      <c r="N180" t="inlineStr">
        <is>
          <t>TOTAL ACESSO BILHETERIA PERIODO: 01-02/02</t>
        </is>
      </c>
    </row>
    <row r="181">
      <c r="A181" t="n">
        <v>4803</v>
      </c>
      <c r="B181" t="n">
        <v>128</v>
      </c>
      <c r="C181" t="inlineStr">
        <is>
          <t>Love Cabaret</t>
        </is>
      </c>
      <c r="D181" t="inlineStr">
        <is>
          <t>KZEMOS BRASIL EVENTOS LTDA</t>
        </is>
      </c>
      <c r="E181" s="27" t="n">
        <v>45690</v>
      </c>
      <c r="F181" s="27" t="n">
        <v>45692</v>
      </c>
      <c r="G181" s="27" t="n">
        <v>45692</v>
      </c>
      <c r="H181" t="n">
        <v>1139.4</v>
      </c>
      <c r="J181" t="inlineStr">
        <is>
          <t>Bilheteria</t>
        </is>
      </c>
      <c r="K181" t="inlineStr">
        <is>
          <t>Transferência Bancária ou Pix</t>
        </is>
      </c>
      <c r="L181" t="inlineStr">
        <is>
          <t>Pago</t>
        </is>
      </c>
      <c r="M181" t="inlineStr">
        <is>
          <t>Love - Shibari - Bradesco</t>
        </is>
      </c>
      <c r="N181" t="inlineStr">
        <is>
          <t>KZEMOS BILHETERIA PERIODO: 27 Á 02/02 - 01/2025</t>
        </is>
      </c>
    </row>
    <row r="182">
      <c r="A182" t="n">
        <v>4796</v>
      </c>
      <c r="B182" t="n">
        <v>128</v>
      </c>
      <c r="C182" t="inlineStr">
        <is>
          <t>Love Cabaret</t>
        </is>
      </c>
      <c r="D182" t="inlineStr">
        <is>
          <t>TOTAL ACESSO</t>
        </is>
      </c>
      <c r="E182" s="27" t="n">
        <v>45688</v>
      </c>
      <c r="F182" s="27" t="n">
        <v>45688</v>
      </c>
      <c r="G182" s="27" t="n">
        <v>45688</v>
      </c>
      <c r="H182" t="n">
        <v>10599.4</v>
      </c>
      <c r="J182" t="inlineStr">
        <is>
          <t>Bilheteria</t>
        </is>
      </c>
      <c r="K182" t="inlineStr">
        <is>
          <t>Transferência Bancária ou Pix</t>
        </is>
      </c>
      <c r="L182" t="inlineStr">
        <is>
          <t>Pago</t>
        </is>
      </c>
      <c r="M182" t="inlineStr">
        <is>
          <t>Love - Shibari - Bradesco</t>
        </is>
      </c>
      <c r="N182" t="inlineStr">
        <is>
          <t>BILHETERIA - 01/2025</t>
        </is>
      </c>
    </row>
    <row r="183">
      <c r="A183" t="n">
        <v>4703</v>
      </c>
      <c r="B183" t="n">
        <v>128</v>
      </c>
      <c r="C183" t="inlineStr">
        <is>
          <t>Love Cabaret</t>
        </is>
      </c>
      <c r="D183" t="inlineStr">
        <is>
          <t>KZEMOS BRASIL EVENTOS LTDA</t>
        </is>
      </c>
      <c r="E183" s="27" t="n">
        <v>45683</v>
      </c>
      <c r="F183" s="27" t="n">
        <v>45685</v>
      </c>
      <c r="G183" s="27" t="n">
        <v>45685</v>
      </c>
      <c r="H183" t="n">
        <v>5755.87</v>
      </c>
      <c r="J183" t="inlineStr">
        <is>
          <t>Bilheteria</t>
        </is>
      </c>
      <c r="K183" t="inlineStr">
        <is>
          <t>Transferência Bancária ou Pix</t>
        </is>
      </c>
      <c r="L183" t="inlineStr">
        <is>
          <t>Pago</t>
        </is>
      </c>
      <c r="M183" t="inlineStr">
        <is>
          <t>Love - Shibari - Bradesco</t>
        </is>
      </c>
      <c r="N183" t="inlineStr">
        <is>
          <t>KZEMOS BILHETERIA PERIODO: 20 Á 26/01 - 01/2025</t>
        </is>
      </c>
    </row>
    <row r="184">
      <c r="A184" t="n">
        <v>3807</v>
      </c>
      <c r="B184" t="n">
        <v>128</v>
      </c>
      <c r="C184" t="inlineStr">
        <is>
          <t>Love Cabaret</t>
        </is>
      </c>
      <c r="D184" t="inlineStr">
        <is>
          <t>LIRIUM RECICLAGEM</t>
        </is>
      </c>
      <c r="E184" s="27" t="n">
        <v>45657</v>
      </c>
      <c r="F184" s="27" t="n">
        <v>45688</v>
      </c>
      <c r="G184" s="27" t="n">
        <v>45685</v>
      </c>
      <c r="H184" t="n">
        <v>135</v>
      </c>
      <c r="J184" t="inlineStr">
        <is>
          <t>Coleta de Óleo</t>
        </is>
      </c>
      <c r="K184" t="inlineStr">
        <is>
          <t>Transferência Bancária ou Pix</t>
        </is>
      </c>
      <c r="L184" t="inlineStr">
        <is>
          <t>Pago</t>
        </is>
      </c>
      <c r="M184" t="inlineStr">
        <is>
          <t>Love - Shibari - Bradesco</t>
        </is>
      </c>
      <c r="N184" t="inlineStr">
        <is>
          <t>COLETA DE OLEO VEGETAL - 50 LITROS - REF.12/2024</t>
        </is>
      </c>
    </row>
    <row r="185">
      <c r="A185" t="n">
        <v>3550</v>
      </c>
      <c r="B185" t="n">
        <v>128</v>
      </c>
      <c r="C185" t="inlineStr">
        <is>
          <t>Love Cabaret</t>
        </is>
      </c>
      <c r="D185" t="inlineStr">
        <is>
          <t>LIRIUM RECICLAGEM</t>
        </is>
      </c>
      <c r="E185" s="27" t="n">
        <v>45626</v>
      </c>
      <c r="F185" s="27" t="n">
        <v>45656</v>
      </c>
      <c r="G185" s="27" t="n">
        <v>45685</v>
      </c>
      <c r="H185" t="n">
        <v>135</v>
      </c>
      <c r="J185" t="inlineStr">
        <is>
          <t>Coleta de Óleo</t>
        </is>
      </c>
      <c r="K185" t="inlineStr">
        <is>
          <t>Transferência Bancária ou Pix</t>
        </is>
      </c>
      <c r="L185" t="inlineStr">
        <is>
          <t>Pago</t>
        </is>
      </c>
      <c r="M185" t="inlineStr">
        <is>
          <t>Love - Shibari - Bradesco</t>
        </is>
      </c>
      <c r="N185" t="inlineStr">
        <is>
          <t>50 LT OUTUBRO - 11/2024</t>
        </is>
      </c>
    </row>
    <row r="186">
      <c r="A186" t="n">
        <v>4655</v>
      </c>
      <c r="B186" t="n">
        <v>128</v>
      </c>
      <c r="C186" t="inlineStr">
        <is>
          <t>Love Cabaret</t>
        </is>
      </c>
      <c r="D186" t="inlineStr">
        <is>
          <t>TOTAL ACESSO</t>
        </is>
      </c>
      <c r="E186" s="27" t="n">
        <v>45681</v>
      </c>
      <c r="F186" s="27" t="n">
        <v>45681</v>
      </c>
      <c r="G186" s="27" t="n">
        <v>45681</v>
      </c>
      <c r="H186" t="n">
        <v>20239.88</v>
      </c>
      <c r="J186" t="inlineStr">
        <is>
          <t>Bilheteria</t>
        </is>
      </c>
      <c r="K186" t="inlineStr">
        <is>
          <t>Transferência Bancária ou Pix</t>
        </is>
      </c>
      <c r="L186" t="inlineStr">
        <is>
          <t>Pago</t>
        </is>
      </c>
      <c r="M186" t="inlineStr">
        <is>
          <t>Love - Shibari - Bradesco</t>
        </is>
      </c>
      <c r="N186" t="inlineStr">
        <is>
          <t>TOTAL ACESSO BILHETERIA - 01/2025</t>
        </is>
      </c>
    </row>
    <row r="187">
      <c r="A187" t="n">
        <v>4623</v>
      </c>
      <c r="B187" t="n">
        <v>128</v>
      </c>
      <c r="C187" t="inlineStr">
        <is>
          <t>Love Cabaret</t>
        </is>
      </c>
      <c r="D187" t="inlineStr">
        <is>
          <t>KZEMOS BRASIL EVENTOS LTDA</t>
        </is>
      </c>
      <c r="E187" s="27" t="n">
        <v>45676</v>
      </c>
      <c r="F187" s="27" t="n">
        <v>45678</v>
      </c>
      <c r="G187" s="27" t="n">
        <v>45678</v>
      </c>
      <c r="H187" t="n">
        <v>11805.94</v>
      </c>
      <c r="J187" t="inlineStr">
        <is>
          <t>Bilheteria</t>
        </is>
      </c>
      <c r="K187" t="inlineStr">
        <is>
          <t>Transferência Bancária ou Pix</t>
        </is>
      </c>
      <c r="L187" t="inlineStr">
        <is>
          <t>Pago</t>
        </is>
      </c>
      <c r="M187" t="inlineStr">
        <is>
          <t>Love - Shibari - Bradesco</t>
        </is>
      </c>
      <c r="N187" t="inlineStr">
        <is>
          <t>KZEMOS BILHETERIA PERIODO: 13 Á 19/01 - 01/2025</t>
        </is>
      </c>
    </row>
    <row r="188">
      <c r="A188" t="n">
        <v>4616</v>
      </c>
      <c r="B188" t="n">
        <v>128</v>
      </c>
      <c r="C188" t="inlineStr">
        <is>
          <t>Love Cabaret</t>
        </is>
      </c>
      <c r="D188" t="inlineStr">
        <is>
          <t>HENRIQUE BAUM BERTOTT</t>
        </is>
      </c>
      <c r="E188" s="27" t="n">
        <v>45668</v>
      </c>
      <c r="F188" s="27" t="n">
        <v>45677</v>
      </c>
      <c r="G188" s="27" t="n">
        <v>45677</v>
      </c>
      <c r="H188" t="n">
        <v>289.28</v>
      </c>
      <c r="J188" t="inlineStr">
        <is>
          <t>Alimentos</t>
        </is>
      </c>
      <c r="K188" t="inlineStr">
        <is>
          <t>Transferência Bancária ou Pix</t>
        </is>
      </c>
      <c r="L188" t="inlineStr">
        <is>
          <t>Pago</t>
        </is>
      </c>
      <c r="M188" t="inlineStr">
        <is>
          <t>Love - Shibari - Bradesco</t>
        </is>
      </c>
      <c r="N188" t="inlineStr">
        <is>
          <t>CLIENTE PAGOU VIA PIX POIS PDV DEU ERRO NA HORA DE PAGAR - 11/01/2025</t>
        </is>
      </c>
    </row>
    <row r="189">
      <c r="A189" t="n">
        <v>781</v>
      </c>
      <c r="B189" t="n">
        <v>128</v>
      </c>
      <c r="C189" t="inlineStr">
        <is>
          <t>Love Cabaret</t>
        </is>
      </c>
      <c r="D189" t="inlineStr">
        <is>
          <t>CERVEJARIAS KAISER BRASIL S/A</t>
        </is>
      </c>
      <c r="E189" s="27" t="n">
        <v>45957</v>
      </c>
      <c r="F189" s="27" t="n">
        <v>45957</v>
      </c>
      <c r="G189" s="27" t="n">
        <v>45674</v>
      </c>
      <c r="H189" t="n">
        <v>135300</v>
      </c>
      <c r="J189" t="inlineStr">
        <is>
          <t>Patrocínio</t>
        </is>
      </c>
      <c r="K189" t="inlineStr">
        <is>
          <t>Transferência Bancária ou Pix</t>
        </is>
      </c>
      <c r="L189" t="inlineStr">
        <is>
          <t>Pago</t>
        </is>
      </c>
      <c r="M189" t="inlineStr">
        <is>
          <t>Love - Shibari - Bradesco</t>
        </is>
      </c>
      <c r="N189" t="inlineStr">
        <is>
          <t>CONTRATO HNKN - 027394.000 - ANO 3 (Vigencia 03 anos a contar da inauguração). COMP: 10/2025 (Eventos-MKT)</t>
        </is>
      </c>
    </row>
    <row r="190">
      <c r="A190" t="n">
        <v>779</v>
      </c>
      <c r="B190" t="n">
        <v>128</v>
      </c>
      <c r="C190" t="inlineStr">
        <is>
          <t>Love Cabaret</t>
        </is>
      </c>
      <c r="D190" t="inlineStr">
        <is>
          <t>CERVEJARIAS KAISER BRASIL S/A</t>
        </is>
      </c>
      <c r="E190" s="27" t="n">
        <v>45687</v>
      </c>
      <c r="F190" s="27" t="n">
        <v>45687</v>
      </c>
      <c r="G190" s="27" t="n">
        <v>45674</v>
      </c>
      <c r="H190" t="n">
        <v>319000</v>
      </c>
      <c r="J190" t="inlineStr">
        <is>
          <t>Patrocínio</t>
        </is>
      </c>
      <c r="K190" t="inlineStr">
        <is>
          <t>Transferência Bancária ou Pix</t>
        </is>
      </c>
      <c r="L190" t="inlineStr">
        <is>
          <t>Pago</t>
        </is>
      </c>
      <c r="M190" t="inlineStr">
        <is>
          <t>Love - Shibari - Bradesco</t>
        </is>
      </c>
      <c r="N190" t="inlineStr">
        <is>
          <t>CONTRATO HNKN - 027394.000 - ANO 3 (Vigencia 03 anos a contar da inauguração) COM: 01/2025 (Eventos)</t>
        </is>
      </c>
    </row>
    <row r="191">
      <c r="A191" t="n">
        <v>4559</v>
      </c>
      <c r="B191" t="n">
        <v>128</v>
      </c>
      <c r="C191" t="inlineStr">
        <is>
          <t>Love Cabaret</t>
        </is>
      </c>
      <c r="D191" t="inlineStr">
        <is>
          <t>KZEMOS BRASIL EVENTOS LTDA</t>
        </is>
      </c>
      <c r="E191" s="27" t="n">
        <v>45669</v>
      </c>
      <c r="F191" s="27" t="n">
        <v>45671</v>
      </c>
      <c r="G191" s="27" t="n">
        <v>45671</v>
      </c>
      <c r="H191" t="n">
        <v>26564.7</v>
      </c>
      <c r="J191" t="inlineStr">
        <is>
          <t>Bilheteria</t>
        </is>
      </c>
      <c r="K191" t="inlineStr">
        <is>
          <t>Transferência Bancária ou Pix</t>
        </is>
      </c>
      <c r="L191" t="inlineStr">
        <is>
          <t>Pago</t>
        </is>
      </c>
      <c r="M191" t="inlineStr">
        <is>
          <t>Love - Shibari - Bradesco</t>
        </is>
      </c>
      <c r="N191" t="inlineStr">
        <is>
          <t>KZEMOS BILHETERIA PERIODO: 06 Á 12/01 - 01/2025</t>
        </is>
      </c>
    </row>
    <row r="192">
      <c r="A192" t="n">
        <v>4506</v>
      </c>
      <c r="B192" t="n">
        <v>128</v>
      </c>
      <c r="C192" t="inlineStr">
        <is>
          <t>Love Cabaret</t>
        </is>
      </c>
      <c r="D192" t="inlineStr">
        <is>
          <t>Love Suits Ltda</t>
        </is>
      </c>
      <c r="E192" s="27" t="n">
        <v>45656</v>
      </c>
      <c r="F192" s="27" t="n">
        <v>45667</v>
      </c>
      <c r="G192" s="27" t="n">
        <v>45667</v>
      </c>
      <c r="H192" t="n">
        <v>30342.25</v>
      </c>
      <c r="J192" t="inlineStr">
        <is>
          <t>Aluguel</t>
        </is>
      </c>
      <c r="K192" t="inlineStr">
        <is>
          <t>Transferência Bancária ou Pix</t>
        </is>
      </c>
      <c r="L192" t="inlineStr">
        <is>
          <t>Pago</t>
        </is>
      </c>
      <c r="M192" t="inlineStr">
        <is>
          <t>Love - Shibari - Bradesco</t>
        </is>
      </c>
      <c r="N192" t="inlineStr">
        <is>
          <t>ALUGUEL LOVE SUITS - 01/2025</t>
        </is>
      </c>
    </row>
    <row r="193">
      <c r="A193" t="n">
        <v>3888</v>
      </c>
      <c r="B193" t="n">
        <v>128</v>
      </c>
      <c r="C193" t="inlineStr">
        <is>
          <t>Love Cabaret</t>
        </is>
      </c>
      <c r="D193" t="inlineStr">
        <is>
          <t>OFFICINA DE VIDRO ART</t>
        </is>
      </c>
      <c r="E193" s="27" t="n">
        <v>45664</v>
      </c>
      <c r="F193" s="27" t="n">
        <v>45664</v>
      </c>
      <c r="G193" s="27" t="n">
        <v>45664</v>
      </c>
      <c r="H193" t="n">
        <v>780</v>
      </c>
      <c r="J193" t="inlineStr">
        <is>
          <t>Reembolso</t>
        </is>
      </c>
      <c r="K193" t="inlineStr">
        <is>
          <t>Transferência Bancária ou Pix</t>
        </is>
      </c>
      <c r="L193" t="inlineStr">
        <is>
          <t>Pago</t>
        </is>
      </c>
      <c r="M193" t="inlineStr">
        <is>
          <t>Love - Shibari - Bradesco</t>
        </is>
      </c>
      <c r="N193" t="inlineStr">
        <is>
          <t>REEMBOLSO REFERENTE A VALOR PAGO EM DUPLICIDADE ID 100.379 - 12/2024</t>
        </is>
      </c>
    </row>
    <row r="194">
      <c r="A194" t="n">
        <v>3641</v>
      </c>
      <c r="B194" t="n">
        <v>128</v>
      </c>
      <c r="C194" t="inlineStr">
        <is>
          <t>Love Cabaret</t>
        </is>
      </c>
      <c r="D194" t="inlineStr">
        <is>
          <t>SUNSET PUBLICIDADE E MARKETING LTDA</t>
        </is>
      </c>
      <c r="E194" s="27" t="n">
        <v>45645</v>
      </c>
      <c r="F194" s="27" t="n">
        <v>45674</v>
      </c>
      <c r="G194" s="27" t="n">
        <v>45664</v>
      </c>
      <c r="H194" t="n">
        <v>20000</v>
      </c>
      <c r="J194" t="inlineStr">
        <is>
          <t>Eventos</t>
        </is>
      </c>
      <c r="K194" t="inlineStr">
        <is>
          <t>Transferência Bancária ou Pix</t>
        </is>
      </c>
      <c r="L194" t="inlineStr">
        <is>
          <t>Pago</t>
        </is>
      </c>
      <c r="M194" t="inlineStr">
        <is>
          <t>Love - Shibari - Bradesco</t>
        </is>
      </c>
      <c r="N194" t="inlineStr">
        <is>
          <t>EVENTO DM9 19/12/2024</t>
        </is>
      </c>
    </row>
    <row r="195">
      <c r="A195" t="n">
        <v>3646</v>
      </c>
      <c r="B195" t="n">
        <v>128</v>
      </c>
      <c r="C195" t="inlineStr">
        <is>
          <t>Love Cabaret</t>
        </is>
      </c>
      <c r="D195" t="inlineStr">
        <is>
          <t>ARCOS BAR E RESTAURANTE LTDA</t>
        </is>
      </c>
      <c r="E195" s="27" t="n">
        <v>45623</v>
      </c>
      <c r="F195" s="27" t="n">
        <v>45664</v>
      </c>
      <c r="G195" s="27" t="n">
        <v>45663</v>
      </c>
      <c r="H195" t="n">
        <v>6279.85</v>
      </c>
      <c r="J195" t="inlineStr">
        <is>
          <t>Bebidas</t>
        </is>
      </c>
      <c r="K195" t="inlineStr">
        <is>
          <t>Transferência Bancária ou Pix</t>
        </is>
      </c>
      <c r="L195" t="inlineStr">
        <is>
          <t>Pago</t>
        </is>
      </c>
      <c r="M195" t="inlineStr">
        <is>
          <t>Love - Shibari - Bradesco</t>
        </is>
      </c>
      <c r="N195" t="inlineStr">
        <is>
          <t>BEBIDAS- REEMBOLSO - FATURADO VIA SHIBARI PARA BATIMENTO DE META, PORÉM A MERCADORIA PERTENCE AO ARCOS - 11/2024</t>
        </is>
      </c>
    </row>
    <row r="196">
      <c r="A196" t="n">
        <v>780</v>
      </c>
      <c r="B196" t="n">
        <v>128</v>
      </c>
      <c r="C196" t="inlineStr">
        <is>
          <t>Love Cabaret</t>
        </is>
      </c>
      <c r="D196" t="inlineStr">
        <is>
          <t>CERVEJARIAS KAISER BRASIL S/A</t>
        </is>
      </c>
      <c r="E196" s="27" t="n">
        <v>45687</v>
      </c>
      <c r="F196" s="27" t="n">
        <v>45687</v>
      </c>
      <c r="G196" s="27" t="n">
        <v>45663</v>
      </c>
      <c r="H196" t="n">
        <v>451000</v>
      </c>
      <c r="J196" t="inlineStr">
        <is>
          <t>Patrocínio</t>
        </is>
      </c>
      <c r="K196" t="inlineStr">
        <is>
          <t>Transferência Bancária ou Pix</t>
        </is>
      </c>
      <c r="L196" t="inlineStr">
        <is>
          <t>Pago</t>
        </is>
      </c>
      <c r="M196" t="inlineStr">
        <is>
          <t>Love - Shibari - Bradesco</t>
        </is>
      </c>
      <c r="N196" t="inlineStr">
        <is>
          <t>CONTRATO HNKN - 027394.000 - ANO 3 (Vigencia 03 anos a contar da inauguração) COM: 01/2025 (Trade)</t>
        </is>
      </c>
    </row>
    <row r="197">
      <c r="A197" t="n">
        <v>1066</v>
      </c>
      <c r="B197" t="n">
        <v>128</v>
      </c>
      <c r="C197" t="inlineStr">
        <is>
          <t>Love Cabaret</t>
        </is>
      </c>
      <c r="D197" t="inlineStr">
        <is>
          <t>Diageo</t>
        </is>
      </c>
      <c r="E197" s="27" t="n">
        <v>45656</v>
      </c>
      <c r="F197" s="27" t="n">
        <v>45656</v>
      </c>
      <c r="G197" s="27" t="n">
        <v>45660</v>
      </c>
      <c r="H197" t="n">
        <v>39455.14</v>
      </c>
      <c r="J197" t="inlineStr">
        <is>
          <t>Patrocínio</t>
        </is>
      </c>
      <c r="K197" t="inlineStr">
        <is>
          <t>Transferência Bancária ou Pix</t>
        </is>
      </c>
      <c r="L197" t="inlineStr">
        <is>
          <t>Pago</t>
        </is>
      </c>
      <c r="M197" t="inlineStr">
        <is>
          <t>Love - Shibari - Bradesco</t>
        </is>
      </c>
      <c r="N197" t="inlineStr">
        <is>
          <t>META VOLUME (65625) - Setembro + Outubro + Novembro - VARIÁVEL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ID_Evento</t>
        </is>
      </c>
      <c r="B1" t="inlineStr">
        <is>
          <t>Nome_Evento</t>
        </is>
      </c>
      <c r="C1" t="inlineStr">
        <is>
          <t>ID_Casa</t>
        </is>
      </c>
      <c r="D1" t="inlineStr">
        <is>
          <t>Casa</t>
        </is>
      </c>
      <c r="E1" t="inlineStr">
        <is>
          <t>ID_Parcela</t>
        </is>
      </c>
      <c r="F1" t="inlineStr">
        <is>
          <t>Valor_Parcela</t>
        </is>
      </c>
      <c r="G1" t="inlineStr">
        <is>
          <t>Vencimento_Parcela</t>
        </is>
      </c>
      <c r="H1" t="inlineStr">
        <is>
          <t>Recebimento_Parcela</t>
        </is>
      </c>
      <c r="I1" t="inlineStr">
        <is>
          <t>Status_Pgto</t>
        </is>
      </c>
      <c r="J1" t="inlineStr">
        <is>
          <t>Forma_Pgto</t>
        </is>
      </c>
      <c r="K1" t="inlineStr">
        <is>
          <t>ID_Conta_Bancaria</t>
        </is>
      </c>
      <c r="L1" t="inlineStr">
        <is>
          <t>Conta_Bancaria</t>
        </is>
      </c>
      <c r="M1" t="inlineStr">
        <is>
          <t>Observacoes</t>
        </is>
      </c>
    </row>
    <row r="2">
      <c r="A2" t="n">
        <v>2317</v>
      </c>
      <c r="B2" t="inlineStr">
        <is>
          <t>PRO_20251211_ReservaAnaPaula</t>
        </is>
      </c>
      <c r="C2" t="n">
        <v>128</v>
      </c>
      <c r="D2" t="inlineStr">
        <is>
          <t>Love Cabaret</t>
        </is>
      </c>
      <c r="E2" t="n">
        <v>1182</v>
      </c>
      <c r="F2" t="n">
        <v>155</v>
      </c>
      <c r="G2" s="27" t="n">
        <v>46010</v>
      </c>
      <c r="H2" s="27" t="n">
        <v>46010</v>
      </c>
      <c r="I2" t="inlineStr">
        <is>
          <t>Pago</t>
        </is>
      </c>
      <c r="J2" t="inlineStr">
        <is>
          <t>Transferência Bancária ou Pix</t>
        </is>
      </c>
      <c r="K2" t="n">
        <v>115</v>
      </c>
      <c r="L2" t="inlineStr">
        <is>
          <t>Love - Shibari - Bradesco</t>
        </is>
      </c>
    </row>
    <row r="3">
      <c r="A3" t="n">
        <v>2187</v>
      </c>
      <c r="B3" t="inlineStr">
        <is>
          <t>PRO_20251113_ConfraternizaçãoGlobo</t>
        </is>
      </c>
      <c r="C3" t="n">
        <v>128</v>
      </c>
      <c r="D3" t="inlineStr">
        <is>
          <t>Love Cabaret</t>
        </is>
      </c>
      <c r="E3" t="n">
        <v>1049</v>
      </c>
      <c r="F3" t="n">
        <v>240000</v>
      </c>
      <c r="G3" s="27" t="n">
        <v>46007</v>
      </c>
      <c r="H3" s="27" t="n">
        <v>46007</v>
      </c>
      <c r="I3" t="inlineStr">
        <is>
          <t>Pago</t>
        </is>
      </c>
      <c r="J3" t="inlineStr">
        <is>
          <t>Transferência Bancária ou Pix</t>
        </is>
      </c>
      <c r="K3" t="n">
        <v>115</v>
      </c>
      <c r="L3" t="inlineStr">
        <is>
          <t>Love - Shibari - Bradesco</t>
        </is>
      </c>
    </row>
    <row r="4">
      <c r="A4" t="n">
        <v>2272</v>
      </c>
      <c r="B4" t="inlineStr">
        <is>
          <t>PRO_20251210_ReservaBruna</t>
        </is>
      </c>
      <c r="C4" t="n">
        <v>128</v>
      </c>
      <c r="D4" t="inlineStr">
        <is>
          <t>Love Cabaret</t>
        </is>
      </c>
      <c r="E4" t="n">
        <v>1122</v>
      </c>
      <c r="F4" t="n">
        <v>232.5</v>
      </c>
      <c r="G4" s="27" t="n">
        <v>46003</v>
      </c>
      <c r="H4" s="27" t="n">
        <v>46003</v>
      </c>
      <c r="I4" t="inlineStr">
        <is>
          <t>Pago</t>
        </is>
      </c>
      <c r="J4" t="inlineStr">
        <is>
          <t>Transferência Bancária ou Pix</t>
        </is>
      </c>
      <c r="K4" t="n">
        <v>115</v>
      </c>
      <c r="L4" t="inlineStr">
        <is>
          <t>Love - Shibari - Bradesco</t>
        </is>
      </c>
    </row>
    <row r="5">
      <c r="A5" t="n">
        <v>2194</v>
      </c>
      <c r="B5" t="inlineStr">
        <is>
          <t>PRO_20251208_AniversárioMayara</t>
        </is>
      </c>
      <c r="C5" t="n">
        <v>128</v>
      </c>
      <c r="D5" t="inlineStr">
        <is>
          <t>Love Cabaret</t>
        </is>
      </c>
      <c r="E5" t="n">
        <v>1061</v>
      </c>
      <c r="F5" t="n">
        <v>540</v>
      </c>
      <c r="G5" s="27" t="n">
        <v>45996</v>
      </c>
      <c r="H5" s="27" t="n">
        <v>45996</v>
      </c>
      <c r="I5" t="inlineStr">
        <is>
          <t>Pago</t>
        </is>
      </c>
      <c r="J5" t="inlineStr">
        <is>
          <t>Transferência Bancária ou Pix</t>
        </is>
      </c>
      <c r="K5" t="n">
        <v>115</v>
      </c>
      <c r="L5" t="inlineStr">
        <is>
          <t>Love - Shibari - Bradesco</t>
        </is>
      </c>
    </row>
    <row r="6">
      <c r="A6" t="n">
        <v>2200</v>
      </c>
      <c r="B6" t="inlineStr">
        <is>
          <t>PRO_20251209_ReservaRafael</t>
        </is>
      </c>
      <c r="C6" t="n">
        <v>128</v>
      </c>
      <c r="D6" t="inlineStr">
        <is>
          <t>Love Cabaret</t>
        </is>
      </c>
      <c r="E6" t="n">
        <v>1067</v>
      </c>
      <c r="F6" t="n">
        <v>620</v>
      </c>
      <c r="G6" s="27" t="n">
        <v>45996</v>
      </c>
      <c r="H6" s="27" t="n">
        <v>45996</v>
      </c>
      <c r="I6" t="inlineStr">
        <is>
          <t>Pago</t>
        </is>
      </c>
      <c r="J6" t="inlineStr">
        <is>
          <t>Transferência Bancária ou Pix</t>
        </is>
      </c>
      <c r="K6" t="n">
        <v>115</v>
      </c>
      <c r="L6" t="inlineStr">
        <is>
          <t>Love - Shibari - Bradesco</t>
        </is>
      </c>
    </row>
    <row r="7">
      <c r="A7" t="n">
        <v>2190</v>
      </c>
      <c r="B7" t="inlineStr">
        <is>
          <t>PRO_20251204_DespedidaFernada</t>
        </is>
      </c>
      <c r="C7" t="n">
        <v>128</v>
      </c>
      <c r="D7" t="inlineStr">
        <is>
          <t>Love Cabaret</t>
        </is>
      </c>
      <c r="E7" t="n">
        <v>1055</v>
      </c>
      <c r="F7" t="n">
        <v>155</v>
      </c>
      <c r="G7" s="27" t="n">
        <v>45996</v>
      </c>
      <c r="H7" s="27" t="n">
        <v>45996</v>
      </c>
      <c r="I7" t="inlineStr">
        <is>
          <t>Pago</t>
        </is>
      </c>
      <c r="J7" t="inlineStr">
        <is>
          <t>Transferência Bancária ou Pix</t>
        </is>
      </c>
      <c r="K7" t="n">
        <v>115</v>
      </c>
      <c r="L7" t="inlineStr">
        <is>
          <t>Love - Shibari - Bradesco</t>
        </is>
      </c>
    </row>
    <row r="8">
      <c r="A8" t="n">
        <v>2192</v>
      </c>
      <c r="B8" t="inlineStr">
        <is>
          <t>PRO_20251206_GrupoRapha</t>
        </is>
      </c>
      <c r="C8" t="n">
        <v>128</v>
      </c>
      <c r="D8" t="inlineStr">
        <is>
          <t>Love Cabaret</t>
        </is>
      </c>
      <c r="E8" t="n">
        <v>1059</v>
      </c>
      <c r="F8" t="n">
        <v>186</v>
      </c>
      <c r="G8" s="27" t="n">
        <v>45995</v>
      </c>
      <c r="H8" s="27" t="n">
        <v>45995</v>
      </c>
      <c r="I8" t="inlineStr">
        <is>
          <t>Pago</t>
        </is>
      </c>
      <c r="J8" t="inlineStr">
        <is>
          <t>Transferência Bancária ou Pix</t>
        </is>
      </c>
      <c r="K8" t="n">
        <v>115</v>
      </c>
      <c r="L8" t="inlineStr">
        <is>
          <t>Love - Shibari - Bradesco</t>
        </is>
      </c>
    </row>
    <row r="9">
      <c r="A9" t="n">
        <v>2190</v>
      </c>
      <c r="B9" t="inlineStr">
        <is>
          <t>PRO_20251204_DespedidaFernada</t>
        </is>
      </c>
      <c r="C9" t="n">
        <v>128</v>
      </c>
      <c r="D9" t="inlineStr">
        <is>
          <t>Love Cabaret</t>
        </is>
      </c>
      <c r="E9" t="n">
        <v>1054</v>
      </c>
      <c r="F9" t="n">
        <v>620</v>
      </c>
      <c r="G9" s="27" t="n">
        <v>45993</v>
      </c>
      <c r="H9" s="27" t="n">
        <v>45993</v>
      </c>
      <c r="I9" t="inlineStr">
        <is>
          <t>Pago</t>
        </is>
      </c>
      <c r="J9" t="inlineStr">
        <is>
          <t>Transferência Bancária ou Pix</t>
        </is>
      </c>
      <c r="K9" t="n">
        <v>115</v>
      </c>
      <c r="L9" t="inlineStr">
        <is>
          <t>Love - Shibari - Bradesco</t>
        </is>
      </c>
    </row>
    <row r="10">
      <c r="A10" t="n">
        <v>2191</v>
      </c>
      <c r="B10" t="inlineStr">
        <is>
          <t>PRO_20251205_DespedidaLais</t>
        </is>
      </c>
      <c r="C10" t="n">
        <v>128</v>
      </c>
      <c r="D10" t="inlineStr">
        <is>
          <t>Love Cabaret</t>
        </is>
      </c>
      <c r="E10" t="n">
        <v>1056</v>
      </c>
      <c r="F10" t="n">
        <v>620</v>
      </c>
      <c r="G10" s="27" t="n">
        <v>45993</v>
      </c>
      <c r="H10" s="27" t="n">
        <v>45993</v>
      </c>
      <c r="I10" t="inlineStr">
        <is>
          <t>Pago</t>
        </is>
      </c>
      <c r="J10" t="inlineStr">
        <is>
          <t>Transferência Bancária ou Pix</t>
        </is>
      </c>
      <c r="K10" t="n">
        <v>115</v>
      </c>
      <c r="L10" t="inlineStr">
        <is>
          <t>Love - Shibari - Bradesco</t>
        </is>
      </c>
    </row>
    <row r="11">
      <c r="A11" t="n">
        <v>2193</v>
      </c>
      <c r="B11" t="inlineStr">
        <is>
          <t>PRO_20251207_DespedidaCarolina</t>
        </is>
      </c>
      <c r="C11" t="n">
        <v>128</v>
      </c>
      <c r="D11" t="inlineStr">
        <is>
          <t>Love Cabaret</t>
        </is>
      </c>
      <c r="E11" t="n">
        <v>1060</v>
      </c>
      <c r="F11" t="n">
        <v>620</v>
      </c>
      <c r="G11" s="27" t="n">
        <v>45993</v>
      </c>
      <c r="H11" s="27" t="n">
        <v>45993</v>
      </c>
      <c r="I11" t="inlineStr">
        <is>
          <t>Pago</t>
        </is>
      </c>
      <c r="J11" t="inlineStr">
        <is>
          <t>Transferência Bancária ou Pix</t>
        </is>
      </c>
      <c r="K11" t="n">
        <v>115</v>
      </c>
      <c r="L11" t="inlineStr">
        <is>
          <t>Love - Shibari - Bradesco</t>
        </is>
      </c>
    </row>
    <row r="12">
      <c r="A12" t="n">
        <v>2188</v>
      </c>
      <c r="B12" t="inlineStr">
        <is>
          <t>PRO_20251202_AniversárioRenato</t>
        </is>
      </c>
      <c r="C12" t="n">
        <v>128</v>
      </c>
      <c r="D12" t="inlineStr">
        <is>
          <t>Love Cabaret</t>
        </is>
      </c>
      <c r="E12" t="n">
        <v>1052</v>
      </c>
      <c r="F12" t="n">
        <v>620</v>
      </c>
      <c r="G12" s="27" t="n">
        <v>45992</v>
      </c>
      <c r="H12" s="27" t="n">
        <v>45992</v>
      </c>
      <c r="I12" t="inlineStr">
        <is>
          <t>Pago</t>
        </is>
      </c>
      <c r="J12" t="inlineStr">
        <is>
          <t>Transferência Bancária ou Pix</t>
        </is>
      </c>
      <c r="K12" t="n">
        <v>115</v>
      </c>
      <c r="L12" t="inlineStr">
        <is>
          <t>Love - Shibari - Bradesco</t>
        </is>
      </c>
    </row>
    <row r="13">
      <c r="A13" t="n">
        <v>2189</v>
      </c>
      <c r="B13" t="inlineStr">
        <is>
          <t>PRO_20251203_GrupoLeandra</t>
        </is>
      </c>
      <c r="C13" t="n">
        <v>128</v>
      </c>
      <c r="D13" t="inlineStr">
        <is>
          <t>Love Cabaret</t>
        </is>
      </c>
      <c r="E13" t="n">
        <v>1053</v>
      </c>
      <c r="F13" t="n">
        <v>576</v>
      </c>
      <c r="G13" s="27" t="n">
        <v>45992</v>
      </c>
      <c r="H13" s="27" t="n">
        <v>45992</v>
      </c>
      <c r="I13" t="inlineStr">
        <is>
          <t>Pago</t>
        </is>
      </c>
      <c r="J13" t="inlineStr">
        <is>
          <t>Transferência Bancária ou Pix</t>
        </is>
      </c>
      <c r="K13" t="n">
        <v>115</v>
      </c>
      <c r="L13" t="inlineStr">
        <is>
          <t>Love - Shibari - Bradesco</t>
        </is>
      </c>
    </row>
    <row r="14">
      <c r="A14" t="n">
        <v>1974</v>
      </c>
      <c r="B14" t="inlineStr">
        <is>
          <t>PRO_20251107_AniversárioMariana</t>
        </is>
      </c>
      <c r="C14" t="n">
        <v>128</v>
      </c>
      <c r="D14" t="inlineStr">
        <is>
          <t>Love Cabaret</t>
        </is>
      </c>
      <c r="E14" t="n">
        <v>922</v>
      </c>
      <c r="F14" t="n">
        <v>620</v>
      </c>
      <c r="G14" s="27" t="n">
        <v>45986</v>
      </c>
      <c r="H14" s="27" t="n">
        <v>45989</v>
      </c>
      <c r="I14" t="inlineStr">
        <is>
          <t>Pago</t>
        </is>
      </c>
      <c r="J14" t="inlineStr">
        <is>
          <t>Transferência Bancária ou Pix</t>
        </is>
      </c>
      <c r="K14" t="n">
        <v>115</v>
      </c>
      <c r="L14" t="inlineStr">
        <is>
          <t>Love - Shibari - Bradesco</t>
        </is>
      </c>
    </row>
    <row r="15">
      <c r="A15" t="n">
        <v>2069</v>
      </c>
      <c r="B15" t="inlineStr">
        <is>
          <t>PRO_20251112_DespedidAna</t>
        </is>
      </c>
      <c r="C15" t="n">
        <v>128</v>
      </c>
      <c r="D15" t="inlineStr">
        <is>
          <t>Love Cabaret</t>
        </is>
      </c>
      <c r="E15" t="n">
        <v>990</v>
      </c>
      <c r="F15" t="n">
        <v>620</v>
      </c>
      <c r="G15" s="27" t="n">
        <v>45989</v>
      </c>
      <c r="H15" s="27" t="n">
        <v>45989</v>
      </c>
      <c r="I15" t="inlineStr">
        <is>
          <t>Pago</t>
        </is>
      </c>
      <c r="J15" t="inlineStr">
        <is>
          <t>Transferência Bancária ou Pix</t>
        </is>
      </c>
      <c r="K15" t="n">
        <v>115</v>
      </c>
      <c r="L15" t="inlineStr">
        <is>
          <t>Love - Shibari - Bradesco</t>
        </is>
      </c>
    </row>
    <row r="16">
      <c r="A16" t="n">
        <v>2047</v>
      </c>
      <c r="B16" t="inlineStr">
        <is>
          <t>PRO_20251110_DespedidaDaher</t>
        </is>
      </c>
      <c r="C16" t="n">
        <v>128</v>
      </c>
      <c r="D16" t="inlineStr">
        <is>
          <t>Love Cabaret</t>
        </is>
      </c>
      <c r="E16" t="n">
        <v>979</v>
      </c>
      <c r="F16" t="n">
        <v>620</v>
      </c>
      <c r="G16" s="27" t="n">
        <v>45989</v>
      </c>
      <c r="H16" s="27" t="n">
        <v>45989</v>
      </c>
      <c r="I16" t="inlineStr">
        <is>
          <t>Pago</t>
        </is>
      </c>
      <c r="J16" t="inlineStr">
        <is>
          <t>Transferência Bancária ou Pix</t>
        </is>
      </c>
      <c r="K16" t="n">
        <v>115</v>
      </c>
      <c r="L16" t="inlineStr">
        <is>
          <t>Love - Shibari - Bradesco</t>
        </is>
      </c>
    </row>
    <row r="17">
      <c r="A17" t="n">
        <v>1896</v>
      </c>
      <c r="B17" t="inlineStr">
        <is>
          <t>PRO_20251105_FutureBrand</t>
        </is>
      </c>
      <c r="C17" t="n">
        <v>128</v>
      </c>
      <c r="D17" t="inlineStr">
        <is>
          <t>Love Cabaret</t>
        </is>
      </c>
      <c r="E17" t="n">
        <v>885</v>
      </c>
      <c r="F17" t="n">
        <v>106000</v>
      </c>
      <c r="G17" s="27" t="n">
        <v>45982</v>
      </c>
      <c r="H17" s="27" t="n">
        <v>45989</v>
      </c>
      <c r="I17" t="inlineStr">
        <is>
          <t>Pago</t>
        </is>
      </c>
      <c r="J17" t="inlineStr">
        <is>
          <t>Transferência Bancária ou Pix</t>
        </is>
      </c>
      <c r="K17" t="n">
        <v>115</v>
      </c>
      <c r="L17" t="inlineStr">
        <is>
          <t>Love - Shibari - Bradesco</t>
        </is>
      </c>
    </row>
    <row r="18">
      <c r="A18" t="n">
        <v>2046</v>
      </c>
      <c r="B18" t="inlineStr">
        <is>
          <t>PRO_20251109_DespedidaBrunaLopes</t>
        </is>
      </c>
      <c r="C18" t="n">
        <v>128</v>
      </c>
      <c r="D18" t="inlineStr">
        <is>
          <t>Love Cabaret</t>
        </is>
      </c>
      <c r="E18" t="n">
        <v>978</v>
      </c>
      <c r="F18" t="n">
        <v>620</v>
      </c>
      <c r="G18" s="27" t="n">
        <v>45989</v>
      </c>
      <c r="H18" s="27" t="n">
        <v>45988</v>
      </c>
      <c r="I18" t="inlineStr">
        <is>
          <t>Pago</t>
        </is>
      </c>
      <c r="J18" t="inlineStr">
        <is>
          <t>Transferência Bancária ou Pix</t>
        </is>
      </c>
      <c r="K18" t="n">
        <v>115</v>
      </c>
      <c r="L18" t="inlineStr">
        <is>
          <t>Love - Shibari - Bradesco</t>
        </is>
      </c>
    </row>
    <row r="19">
      <c r="A19" t="n">
        <v>1765</v>
      </c>
      <c r="B19" t="inlineStr">
        <is>
          <t>PRO_20251103_AniversárioMaurinea</t>
        </is>
      </c>
      <c r="C19" t="n">
        <v>128</v>
      </c>
      <c r="D19" t="inlineStr">
        <is>
          <t>Love Cabaret</t>
        </is>
      </c>
      <c r="E19" t="n">
        <v>963</v>
      </c>
      <c r="F19" t="n">
        <v>155</v>
      </c>
      <c r="G19" s="27" t="n">
        <v>45987</v>
      </c>
      <c r="H19" s="27" t="n">
        <v>45987</v>
      </c>
      <c r="I19" t="inlineStr">
        <is>
          <t>Pago</t>
        </is>
      </c>
      <c r="J19" t="inlineStr">
        <is>
          <t>Transferência Bancária ou Pix</t>
        </is>
      </c>
      <c r="K19" t="n">
        <v>115</v>
      </c>
      <c r="L19" t="inlineStr">
        <is>
          <t>Love - Shibari - Bradesco</t>
        </is>
      </c>
    </row>
    <row r="20">
      <c r="A20" t="n">
        <v>1809</v>
      </c>
      <c r="B20" t="inlineStr">
        <is>
          <t>PRO_20251104_GrupoKunde</t>
        </is>
      </c>
      <c r="C20" t="n">
        <v>128</v>
      </c>
      <c r="D20" t="inlineStr">
        <is>
          <t>Love Cabaret</t>
        </is>
      </c>
      <c r="E20" t="n">
        <v>955</v>
      </c>
      <c r="F20" t="n">
        <v>155</v>
      </c>
      <c r="G20" s="27" t="n">
        <v>45987</v>
      </c>
      <c r="H20" s="27" t="n">
        <v>45987</v>
      </c>
      <c r="I20" t="inlineStr">
        <is>
          <t>Pago</t>
        </is>
      </c>
      <c r="J20" t="inlineStr">
        <is>
          <t>Transferência Bancária ou Pix</t>
        </is>
      </c>
      <c r="K20" t="n">
        <v>115</v>
      </c>
      <c r="L20" t="inlineStr">
        <is>
          <t>Love - Shibari - Bradesco</t>
        </is>
      </c>
    </row>
    <row r="21">
      <c r="A21" t="n">
        <v>2045</v>
      </c>
      <c r="B21" t="inlineStr">
        <is>
          <t>PRO_20251108_AniversárioMariana</t>
        </is>
      </c>
      <c r="C21" t="n">
        <v>128</v>
      </c>
      <c r="D21" t="inlineStr">
        <is>
          <t>Love Cabaret</t>
        </is>
      </c>
      <c r="E21" t="n">
        <v>977</v>
      </c>
      <c r="F21" t="n">
        <v>620</v>
      </c>
      <c r="G21" s="27" t="n">
        <v>45987</v>
      </c>
      <c r="H21" s="27" t="n">
        <v>45987</v>
      </c>
      <c r="I21" t="inlineStr">
        <is>
          <t>Pago</t>
        </is>
      </c>
      <c r="J21" t="inlineStr">
        <is>
          <t>Transferência Bancária ou Pix</t>
        </is>
      </c>
      <c r="K21" t="n">
        <v>115</v>
      </c>
      <c r="L21" t="inlineStr">
        <is>
          <t>Love - Shibari - Bradesco</t>
        </is>
      </c>
    </row>
    <row r="22">
      <c r="A22" t="n">
        <v>1897</v>
      </c>
      <c r="B22" t="inlineStr">
        <is>
          <t>PRO_20251106_AniversáriaVera</t>
        </is>
      </c>
      <c r="C22" t="n">
        <v>128</v>
      </c>
      <c r="D22" t="inlineStr">
        <is>
          <t>Love Cabaret</t>
        </is>
      </c>
      <c r="E22" t="n">
        <v>975</v>
      </c>
      <c r="F22" t="n">
        <v>155</v>
      </c>
      <c r="G22" s="27" t="n">
        <v>45979</v>
      </c>
      <c r="H22" s="27" t="n">
        <v>45982</v>
      </c>
      <c r="I22" t="inlineStr">
        <is>
          <t>Pago</t>
        </is>
      </c>
      <c r="J22" t="inlineStr">
        <is>
          <t>Transferência Bancária ou Pix</t>
        </is>
      </c>
      <c r="K22" t="n">
        <v>115</v>
      </c>
      <c r="L22" t="inlineStr">
        <is>
          <t>Love - Shibari - Bradesco</t>
        </is>
      </c>
    </row>
    <row r="23">
      <c r="A23" t="n">
        <v>1476</v>
      </c>
      <c r="B23" t="inlineStr">
        <is>
          <t>ADTV_PRO_20250903_ AfterTheTown</t>
        </is>
      </c>
      <c r="C23" t="n">
        <v>128</v>
      </c>
      <c r="D23" t="inlineStr">
        <is>
          <t>Love Cabaret</t>
        </is>
      </c>
      <c r="E23" t="n">
        <v>664</v>
      </c>
      <c r="F23" t="n">
        <v>5000</v>
      </c>
      <c r="G23" s="27" t="n">
        <v>45954</v>
      </c>
      <c r="H23" s="27" t="n">
        <v>45980</v>
      </c>
      <c r="I23" t="inlineStr">
        <is>
          <t>Pago</t>
        </is>
      </c>
      <c r="J23" t="inlineStr">
        <is>
          <t>Transferência Bancária ou Pix</t>
        </is>
      </c>
      <c r="K23" t="n">
        <v>115</v>
      </c>
      <c r="L23" t="inlineStr">
        <is>
          <t>Love - Shibari - Bradesco</t>
        </is>
      </c>
      <c r="M23" t="inlineStr">
        <is>
          <t xml:space="preserve">  Cobranças extras referentes ao after do The Town realizado no love cabaret.</t>
        </is>
      </c>
    </row>
    <row r="24">
      <c r="A24" t="n">
        <v>1812</v>
      </c>
      <c r="B24" t="inlineStr">
        <is>
          <t>PRO_20251106_GrupoAvena</t>
        </is>
      </c>
      <c r="C24" t="n">
        <v>128</v>
      </c>
      <c r="D24" t="inlineStr">
        <is>
          <t>Love Cabaret</t>
        </is>
      </c>
      <c r="E24" t="n">
        <v>895</v>
      </c>
      <c r="F24" t="n">
        <v>186</v>
      </c>
      <c r="G24" s="27" t="n">
        <v>45980</v>
      </c>
      <c r="H24" s="27" t="n">
        <v>45980</v>
      </c>
      <c r="I24" t="inlineStr">
        <is>
          <t>Pago</t>
        </is>
      </c>
      <c r="J24" t="inlineStr">
        <is>
          <t>Transferência Bancária ou Pix</t>
        </is>
      </c>
      <c r="K24" t="n">
        <v>115</v>
      </c>
      <c r="L24" t="inlineStr">
        <is>
          <t>Love - Shibari - Bradesco</t>
        </is>
      </c>
    </row>
    <row r="25">
      <c r="A25" t="n">
        <v>1897</v>
      </c>
      <c r="B25" t="inlineStr">
        <is>
          <t>PRO_20251106_AniversáriaVera</t>
        </is>
      </c>
      <c r="C25" t="n">
        <v>128</v>
      </c>
      <c r="D25" t="inlineStr">
        <is>
          <t>Love Cabaret</t>
        </is>
      </c>
      <c r="E25" t="n">
        <v>899</v>
      </c>
      <c r="F25" t="n">
        <v>77.5</v>
      </c>
      <c r="G25" s="27" t="n">
        <v>45980</v>
      </c>
      <c r="H25" s="27" t="n">
        <v>45980</v>
      </c>
      <c r="I25" t="inlineStr">
        <is>
          <t>Pago</t>
        </is>
      </c>
      <c r="J25" t="inlineStr">
        <is>
          <t>Transferência Bancária ou Pix</t>
        </is>
      </c>
      <c r="K25" t="n">
        <v>115</v>
      </c>
      <c r="L25" t="inlineStr">
        <is>
          <t>Love - Shibari - Bradesco</t>
        </is>
      </c>
    </row>
    <row r="26">
      <c r="A26" t="n">
        <v>1897</v>
      </c>
      <c r="B26" t="inlineStr">
        <is>
          <t>PRO_20251106_AniversáriaVera</t>
        </is>
      </c>
      <c r="C26" t="n">
        <v>128</v>
      </c>
      <c r="D26" t="inlineStr">
        <is>
          <t>Love Cabaret</t>
        </is>
      </c>
      <c r="E26" t="n">
        <v>900</v>
      </c>
      <c r="F26" t="n">
        <v>155</v>
      </c>
      <c r="G26" s="27" t="n">
        <v>45980</v>
      </c>
      <c r="H26" s="27" t="n">
        <v>45980</v>
      </c>
      <c r="I26" t="inlineStr">
        <is>
          <t>Pago</t>
        </is>
      </c>
      <c r="J26" t="inlineStr">
        <is>
          <t>Transferência Bancária ou Pix</t>
        </is>
      </c>
      <c r="K26" t="n">
        <v>115</v>
      </c>
      <c r="L26" t="inlineStr">
        <is>
          <t>Love - Shibari - Bradesco</t>
        </is>
      </c>
    </row>
    <row r="27">
      <c r="A27" t="n">
        <v>1897</v>
      </c>
      <c r="B27" t="inlineStr">
        <is>
          <t>PRO_20251106_AniversáriaVera</t>
        </is>
      </c>
      <c r="C27" t="n">
        <v>128</v>
      </c>
      <c r="D27" t="inlineStr">
        <is>
          <t>Love Cabaret</t>
        </is>
      </c>
      <c r="E27" t="n">
        <v>886</v>
      </c>
      <c r="F27" t="n">
        <v>620</v>
      </c>
      <c r="G27" s="27" t="n">
        <v>45979</v>
      </c>
      <c r="H27" s="27" t="n">
        <v>45979</v>
      </c>
      <c r="I27" t="inlineStr">
        <is>
          <t>Pago</t>
        </is>
      </c>
      <c r="J27" t="inlineStr">
        <is>
          <t>Transferência Bancária ou Pix</t>
        </is>
      </c>
      <c r="K27" t="n">
        <v>115</v>
      </c>
      <c r="L27" t="inlineStr">
        <is>
          <t>Love - Shibari - Bradesco</t>
        </is>
      </c>
    </row>
    <row r="28">
      <c r="A28" t="n">
        <v>1897</v>
      </c>
      <c r="B28" t="inlineStr">
        <is>
          <t>PRO_20251106_AniversáriaVera</t>
        </is>
      </c>
      <c r="C28" t="n">
        <v>128</v>
      </c>
      <c r="D28" t="inlineStr">
        <is>
          <t>Love Cabaret</t>
        </is>
      </c>
      <c r="E28" t="n">
        <v>901</v>
      </c>
      <c r="F28" t="n">
        <v>77.5</v>
      </c>
      <c r="G28" s="27" t="n">
        <v>45980</v>
      </c>
      <c r="H28" s="27" t="n">
        <v>45979</v>
      </c>
      <c r="I28" t="inlineStr">
        <is>
          <t>Pago</t>
        </is>
      </c>
      <c r="J28" t="inlineStr">
        <is>
          <t>Transferência Bancária ou Pix</t>
        </is>
      </c>
      <c r="K28" t="n">
        <v>115</v>
      </c>
      <c r="L28" t="inlineStr">
        <is>
          <t>Love - Shibari - Bradesco</t>
        </is>
      </c>
    </row>
    <row r="29">
      <c r="A29" t="n">
        <v>1765</v>
      </c>
      <c r="B29" t="inlineStr">
        <is>
          <t>PRO_20251103_AniversárioMaurinea</t>
        </is>
      </c>
      <c r="C29" t="n">
        <v>128</v>
      </c>
      <c r="D29" t="inlineStr">
        <is>
          <t>Love Cabaret</t>
        </is>
      </c>
      <c r="E29" t="n">
        <v>884</v>
      </c>
      <c r="F29" t="n">
        <v>77.5</v>
      </c>
      <c r="G29" s="27" t="n">
        <v>45978</v>
      </c>
      <c r="H29" s="27" t="n">
        <v>45978</v>
      </c>
      <c r="I29" t="inlineStr">
        <is>
          <t>Pago</t>
        </is>
      </c>
      <c r="J29" t="inlineStr">
        <is>
          <t>Transferência Bancária ou Pix</t>
        </is>
      </c>
      <c r="K29" t="n">
        <v>115</v>
      </c>
      <c r="L29" t="inlineStr">
        <is>
          <t>Love - Shibari - Bradesco</t>
        </is>
      </c>
    </row>
    <row r="30">
      <c r="A30" t="n">
        <v>1812</v>
      </c>
      <c r="B30" t="inlineStr">
        <is>
          <t>PRO_20251106_GrupoAvena</t>
        </is>
      </c>
      <c r="C30" t="n">
        <v>128</v>
      </c>
      <c r="D30" t="inlineStr">
        <is>
          <t>Love Cabaret</t>
        </is>
      </c>
      <c r="E30" t="n">
        <v>894</v>
      </c>
      <c r="F30" t="n">
        <v>186</v>
      </c>
      <c r="G30" s="27" t="n">
        <v>45975</v>
      </c>
      <c r="H30" s="27" t="n">
        <v>45975</v>
      </c>
      <c r="I30" t="inlineStr">
        <is>
          <t>Pago</t>
        </is>
      </c>
      <c r="J30" t="inlineStr">
        <is>
          <t>Transferência Bancária ou Pix</t>
        </is>
      </c>
      <c r="K30" t="n">
        <v>115</v>
      </c>
      <c r="L30" t="inlineStr">
        <is>
          <t>Love - Shibari - Bradesco</t>
        </is>
      </c>
    </row>
    <row r="31">
      <c r="A31" t="n">
        <v>1812</v>
      </c>
      <c r="B31" t="inlineStr">
        <is>
          <t>PRO_20251106_GrupoAvena</t>
        </is>
      </c>
      <c r="C31" t="n">
        <v>128</v>
      </c>
      <c r="D31" t="inlineStr">
        <is>
          <t>Love Cabaret</t>
        </is>
      </c>
      <c r="E31" t="n">
        <v>837</v>
      </c>
      <c r="F31" t="n">
        <v>620</v>
      </c>
      <c r="G31" s="27" t="n">
        <v>45973</v>
      </c>
      <c r="H31" s="27" t="n">
        <v>45973</v>
      </c>
      <c r="I31" t="inlineStr">
        <is>
          <t>Pago</t>
        </is>
      </c>
      <c r="J31" t="inlineStr">
        <is>
          <t>Transferência Bancária ou Pix</t>
        </is>
      </c>
      <c r="K31" t="n">
        <v>115</v>
      </c>
      <c r="L31" t="inlineStr">
        <is>
          <t>Love - Shibari - Bradesco</t>
        </is>
      </c>
    </row>
    <row r="32">
      <c r="A32" t="n">
        <v>1811</v>
      </c>
      <c r="B32" t="inlineStr">
        <is>
          <t>PRO_20251105_DespedidaChris</t>
        </is>
      </c>
      <c r="C32" t="n">
        <v>128</v>
      </c>
      <c r="D32" t="inlineStr">
        <is>
          <t>Love Cabaret</t>
        </is>
      </c>
      <c r="E32" t="n">
        <v>836</v>
      </c>
      <c r="F32" t="n">
        <v>620</v>
      </c>
      <c r="G32" s="27" t="n">
        <v>45972</v>
      </c>
      <c r="H32" s="27" t="n">
        <v>45972</v>
      </c>
      <c r="I32" t="inlineStr">
        <is>
          <t>Pago</t>
        </is>
      </c>
      <c r="J32" t="inlineStr">
        <is>
          <t>Transferência Bancária ou Pix</t>
        </is>
      </c>
      <c r="K32" t="n">
        <v>115</v>
      </c>
      <c r="L32" t="inlineStr">
        <is>
          <t>Love - Shibari - Bradesco</t>
        </is>
      </c>
    </row>
    <row r="33">
      <c r="A33" t="n">
        <v>1809</v>
      </c>
      <c r="B33" t="inlineStr">
        <is>
          <t>PRO_20251104_GrupoKunde</t>
        </is>
      </c>
      <c r="C33" t="n">
        <v>128</v>
      </c>
      <c r="D33" t="inlineStr">
        <is>
          <t>Love Cabaret</t>
        </is>
      </c>
      <c r="E33" t="n">
        <v>835</v>
      </c>
      <c r="F33" t="n">
        <v>1240</v>
      </c>
      <c r="G33" s="27" t="n">
        <v>45971</v>
      </c>
      <c r="H33" s="27" t="n">
        <v>45971</v>
      </c>
      <c r="I33" t="inlineStr">
        <is>
          <t>Pago</t>
        </is>
      </c>
      <c r="J33" t="inlineStr">
        <is>
          <t>Transferência Bancária ou Pix</t>
        </is>
      </c>
      <c r="K33" t="n">
        <v>115</v>
      </c>
      <c r="L33" t="inlineStr">
        <is>
          <t>Love - Shibari - Bradesco</t>
        </is>
      </c>
    </row>
    <row r="34">
      <c r="A34" t="n">
        <v>1813</v>
      </c>
      <c r="B34" t="inlineStr">
        <is>
          <t>ADTV_PRO_20251021_Aniversário</t>
        </is>
      </c>
      <c r="C34" t="n">
        <v>128</v>
      </c>
      <c r="D34" t="inlineStr">
        <is>
          <t>Love Cabaret</t>
        </is>
      </c>
      <c r="E34" t="n">
        <v>838</v>
      </c>
      <c r="F34" t="n">
        <v>77.5</v>
      </c>
      <c r="G34" s="27" t="n">
        <v>45969</v>
      </c>
      <c r="H34" s="27" t="n">
        <v>45971</v>
      </c>
      <c r="I34" t="inlineStr">
        <is>
          <t>Pago</t>
        </is>
      </c>
      <c r="J34" t="inlineStr">
        <is>
          <t>Transferência Bancária ou Pix</t>
        </is>
      </c>
      <c r="K34" t="n">
        <v>115</v>
      </c>
      <c r="L34" t="inlineStr">
        <is>
          <t>Love - Shibari - Bradesco</t>
        </is>
      </c>
    </row>
    <row r="35">
      <c r="A35" t="n">
        <v>1765</v>
      </c>
      <c r="B35" t="inlineStr">
        <is>
          <t>PRO_20251103_AniversárioMaurinea</t>
        </is>
      </c>
      <c r="C35" t="n">
        <v>128</v>
      </c>
      <c r="D35" t="inlineStr">
        <is>
          <t>Love Cabaret</t>
        </is>
      </c>
      <c r="E35" t="n">
        <v>792</v>
      </c>
      <c r="F35" t="n">
        <v>620</v>
      </c>
      <c r="G35" s="27" t="n">
        <v>45968</v>
      </c>
      <c r="H35" s="27" t="n">
        <v>45968</v>
      </c>
      <c r="I35" t="inlineStr">
        <is>
          <t>Pago</t>
        </is>
      </c>
      <c r="J35" t="inlineStr">
        <is>
          <t>Transferência Bancária ou Pix</t>
        </is>
      </c>
      <c r="K35" t="n">
        <v>115</v>
      </c>
      <c r="L35" t="inlineStr">
        <is>
          <t>Love - Shibari - Bradesco</t>
        </is>
      </c>
    </row>
    <row r="36">
      <c r="A36" t="n">
        <v>1764</v>
      </c>
      <c r="B36" t="inlineStr">
        <is>
          <t>PRO_20251102_AniversárioCaio</t>
        </is>
      </c>
      <c r="C36" t="n">
        <v>128</v>
      </c>
      <c r="D36" t="inlineStr">
        <is>
          <t>Love Cabaret</t>
        </is>
      </c>
      <c r="E36" t="n">
        <v>791</v>
      </c>
      <c r="F36" t="n">
        <v>1860</v>
      </c>
      <c r="G36" s="27" t="n">
        <v>45968</v>
      </c>
      <c r="H36" s="27" t="n">
        <v>45968</v>
      </c>
      <c r="I36" t="inlineStr">
        <is>
          <t>Pago</t>
        </is>
      </c>
      <c r="J36" t="inlineStr">
        <is>
          <t>Transferência Bancária ou Pix</t>
        </is>
      </c>
      <c r="K36" t="n">
        <v>115</v>
      </c>
      <c r="L36" t="inlineStr">
        <is>
          <t>Love - Shibari - Bradesco</t>
        </is>
      </c>
    </row>
    <row r="37">
      <c r="A37" t="n">
        <v>1766</v>
      </c>
      <c r="B37" t="inlineStr">
        <is>
          <t>PRO_20251102_DespedidaMaryani</t>
        </is>
      </c>
      <c r="C37" t="n">
        <v>128</v>
      </c>
      <c r="D37" t="inlineStr">
        <is>
          <t>Love Cabaret</t>
        </is>
      </c>
      <c r="E37" t="n">
        <v>793</v>
      </c>
      <c r="F37" t="n">
        <v>620</v>
      </c>
      <c r="G37" s="27" t="n">
        <v>45966</v>
      </c>
      <c r="H37" s="27" t="n">
        <v>45966</v>
      </c>
      <c r="I37" t="inlineStr">
        <is>
          <t>Pago</t>
        </is>
      </c>
      <c r="J37" t="inlineStr">
        <is>
          <t>Transferência Bancária ou Pix</t>
        </is>
      </c>
      <c r="K37" t="n">
        <v>115</v>
      </c>
      <c r="L37" t="inlineStr">
        <is>
          <t>Love - Shibari - Bradesco</t>
        </is>
      </c>
    </row>
    <row r="38">
      <c r="A38" t="n">
        <v>1763</v>
      </c>
      <c r="B38" t="inlineStr">
        <is>
          <t>PRO_20251101_DespedidaIsabela</t>
        </is>
      </c>
      <c r="C38" t="n">
        <v>128</v>
      </c>
      <c r="D38" t="inlineStr">
        <is>
          <t>Love Cabaret</t>
        </is>
      </c>
      <c r="E38" t="n">
        <v>790</v>
      </c>
      <c r="F38" t="n">
        <v>620</v>
      </c>
      <c r="G38" s="27" t="n">
        <v>45966</v>
      </c>
      <c r="H38" s="27" t="n">
        <v>45966</v>
      </c>
      <c r="I38" t="inlineStr">
        <is>
          <t>Pago</t>
        </is>
      </c>
      <c r="J38" t="inlineStr">
        <is>
          <t>Transferência Bancária ou Pix</t>
        </is>
      </c>
      <c r="K38" t="n">
        <v>115</v>
      </c>
      <c r="L38" t="inlineStr">
        <is>
          <t>Love - Shibari - Bradesco</t>
        </is>
      </c>
    </row>
    <row r="39">
      <c r="A39" t="n">
        <v>1632</v>
      </c>
      <c r="B39" t="inlineStr">
        <is>
          <t>PRO_20251021_Aniversário</t>
        </is>
      </c>
      <c r="C39" t="n">
        <v>128</v>
      </c>
      <c r="D39" t="inlineStr">
        <is>
          <t>Love Cabaret</t>
        </is>
      </c>
      <c r="E39" t="n">
        <v>736</v>
      </c>
      <c r="F39" t="n">
        <v>620</v>
      </c>
      <c r="G39" s="27" t="n">
        <v>45961</v>
      </c>
      <c r="H39" s="27" t="n">
        <v>45961</v>
      </c>
      <c r="I39" t="inlineStr">
        <is>
          <t>Pago</t>
        </is>
      </c>
      <c r="J39" t="inlineStr">
        <is>
          <t>Transferência Bancária ou Pix</t>
        </is>
      </c>
      <c r="K39" t="n">
        <v>115</v>
      </c>
      <c r="L39" t="inlineStr">
        <is>
          <t>Love - Shibari - Bradesco</t>
        </is>
      </c>
    </row>
    <row r="40">
      <c r="A40" t="n">
        <v>1407</v>
      </c>
      <c r="B40" t="inlineStr">
        <is>
          <t xml:space="preserve">PRO_20251007_Aniversário </t>
        </is>
      </c>
      <c r="C40" t="n">
        <v>128</v>
      </c>
      <c r="D40" t="inlineStr">
        <is>
          <t>Love Cabaret</t>
        </is>
      </c>
      <c r="E40" t="n">
        <v>735</v>
      </c>
      <c r="F40" t="n">
        <v>387.5</v>
      </c>
      <c r="G40" s="27" t="n">
        <v>45961</v>
      </c>
      <c r="H40" s="27" t="n">
        <v>45961</v>
      </c>
      <c r="I40" t="inlineStr">
        <is>
          <t>Pago</t>
        </is>
      </c>
      <c r="J40" t="inlineStr">
        <is>
          <t>Transferência Bancária ou Pix</t>
        </is>
      </c>
      <c r="K40" t="n">
        <v>115</v>
      </c>
      <c r="L40" t="inlineStr">
        <is>
          <t>Love - Shibari - Bradesco</t>
        </is>
      </c>
    </row>
    <row r="41">
      <c r="A41" t="n">
        <v>1082</v>
      </c>
      <c r="B41" t="inlineStr">
        <is>
          <t>PRO_202509011_Aniversário_DavidFeffer</t>
        </is>
      </c>
      <c r="C41" t="n">
        <v>128</v>
      </c>
      <c r="D41" t="inlineStr">
        <is>
          <t>Love Cabaret</t>
        </is>
      </c>
      <c r="E41" t="n">
        <v>519</v>
      </c>
      <c r="F41" t="n">
        <v>40000</v>
      </c>
      <c r="G41" s="27" t="n">
        <v>45954</v>
      </c>
      <c r="H41" s="27" t="n">
        <v>45954</v>
      </c>
      <c r="I41" t="inlineStr">
        <is>
          <t>Pago</t>
        </is>
      </c>
      <c r="J41" t="inlineStr">
        <is>
          <t>Transferência Bancária ou Pix</t>
        </is>
      </c>
      <c r="K41" t="n">
        <v>115</v>
      </c>
      <c r="L41" t="inlineStr">
        <is>
          <t>Love - Shibari - Bradesco</t>
        </is>
      </c>
    </row>
    <row r="42">
      <c r="A42" t="n">
        <v>1401</v>
      </c>
      <c r="B42" t="inlineStr">
        <is>
          <t>PRO_20251003_DespedidaDeSolteira</t>
        </is>
      </c>
      <c r="C42" t="n">
        <v>128</v>
      </c>
      <c r="D42" t="inlineStr">
        <is>
          <t>Love Cabaret</t>
        </is>
      </c>
      <c r="E42" t="n">
        <v>680</v>
      </c>
      <c r="F42" t="n">
        <v>77</v>
      </c>
      <c r="G42" s="27" t="n">
        <v>45954</v>
      </c>
      <c r="H42" s="27" t="n">
        <v>45954</v>
      </c>
      <c r="I42" t="inlineStr">
        <is>
          <t>Pago</t>
        </is>
      </c>
      <c r="J42" t="inlineStr">
        <is>
          <t>Transferência Bancária ou Pix</t>
        </is>
      </c>
      <c r="K42" t="n">
        <v>115</v>
      </c>
      <c r="L42" t="inlineStr">
        <is>
          <t>Love - Shibari - Bradesco</t>
        </is>
      </c>
    </row>
    <row r="43">
      <c r="A43" t="n">
        <v>1401</v>
      </c>
      <c r="B43" t="inlineStr">
        <is>
          <t>PRO_20251003_DespedidaDeSolteira</t>
        </is>
      </c>
      <c r="C43" t="n">
        <v>128</v>
      </c>
      <c r="D43" t="inlineStr">
        <is>
          <t>Love Cabaret</t>
        </is>
      </c>
      <c r="E43" t="n">
        <v>679</v>
      </c>
      <c r="F43" t="n">
        <v>77.5</v>
      </c>
      <c r="G43" s="27" t="n">
        <v>45954</v>
      </c>
      <c r="H43" s="27" t="n">
        <v>45954</v>
      </c>
      <c r="I43" t="inlineStr">
        <is>
          <t>Pago</t>
        </is>
      </c>
      <c r="J43" t="inlineStr">
        <is>
          <t>Transferência Bancária ou Pix</t>
        </is>
      </c>
      <c r="K43" t="n">
        <v>115</v>
      </c>
      <c r="L43" t="inlineStr">
        <is>
          <t>Love - Shibari - Bradesco</t>
        </is>
      </c>
    </row>
    <row r="44">
      <c r="A44" t="n">
        <v>1481</v>
      </c>
      <c r="B44" t="inlineStr">
        <is>
          <t>PRO_20251019_ColetivaDRAGCON</t>
        </is>
      </c>
      <c r="C44" t="n">
        <v>128</v>
      </c>
      <c r="D44" t="inlineStr">
        <is>
          <t>Love Cabaret</t>
        </is>
      </c>
      <c r="E44" t="n">
        <v>671</v>
      </c>
      <c r="F44" t="n">
        <v>41000</v>
      </c>
      <c r="G44" s="27" t="n">
        <v>45954</v>
      </c>
      <c r="H44" s="27" t="n">
        <v>45954</v>
      </c>
      <c r="I44" t="inlineStr">
        <is>
          <t>Pago</t>
        </is>
      </c>
      <c r="J44" t="inlineStr">
        <is>
          <t>Transferência Bancária ou Pix</t>
        </is>
      </c>
      <c r="K44" t="n">
        <v>115</v>
      </c>
      <c r="L44" t="inlineStr">
        <is>
          <t>Love - Shibari - Bradesco</t>
        </is>
      </c>
    </row>
    <row r="45">
      <c r="A45" t="n">
        <v>1476</v>
      </c>
      <c r="B45" t="inlineStr">
        <is>
          <t>ADTV_PRO_20250903_ AfterTheTown</t>
        </is>
      </c>
      <c r="C45" t="n">
        <v>128</v>
      </c>
      <c r="D45" t="inlineStr">
        <is>
          <t>Love Cabaret</t>
        </is>
      </c>
      <c r="E45" t="n">
        <v>666</v>
      </c>
      <c r="F45" t="n">
        <v>5000</v>
      </c>
      <c r="G45" s="27" t="n">
        <v>45954</v>
      </c>
      <c r="H45" s="27" t="n">
        <v>45954</v>
      </c>
      <c r="I45" t="inlineStr">
        <is>
          <t>Pago</t>
        </is>
      </c>
      <c r="J45" t="inlineStr">
        <is>
          <t>Transferência Bancária ou Pix</t>
        </is>
      </c>
      <c r="K45" t="n">
        <v>115</v>
      </c>
      <c r="L45" t="inlineStr">
        <is>
          <t>Love - Shibari - Bradesco</t>
        </is>
      </c>
      <c r="M45" t="inlineStr">
        <is>
          <t xml:space="preserve">  Cobranças extras referentes ao after do The Town realizado no love cabaret.</t>
        </is>
      </c>
    </row>
    <row r="46">
      <c r="A46" t="n">
        <v>1476</v>
      </c>
      <c r="B46" t="inlineStr">
        <is>
          <t>ADTV_PRO_20250903_ AfterTheTown</t>
        </is>
      </c>
      <c r="C46" t="n">
        <v>128</v>
      </c>
      <c r="D46" t="inlineStr">
        <is>
          <t>Love Cabaret</t>
        </is>
      </c>
      <c r="E46" t="n">
        <v>665</v>
      </c>
      <c r="F46" t="n">
        <v>5000</v>
      </c>
      <c r="G46" s="27" t="n">
        <v>45954</v>
      </c>
      <c r="H46" s="27" t="n">
        <v>45954</v>
      </c>
      <c r="I46" t="inlineStr">
        <is>
          <t>Pago</t>
        </is>
      </c>
      <c r="J46" t="inlineStr">
        <is>
          <t>Transferência Bancária ou Pix</t>
        </is>
      </c>
      <c r="K46" t="n">
        <v>115</v>
      </c>
      <c r="L46" t="inlineStr">
        <is>
          <t>Love - Shibari - Bradesco</t>
        </is>
      </c>
      <c r="M46" t="inlineStr">
        <is>
          <t xml:space="preserve">  Cobranças extras referentes ao after do The Town realizado no love cabaret.</t>
        </is>
      </c>
    </row>
    <row r="47">
      <c r="A47" t="n">
        <v>1401</v>
      </c>
      <c r="B47" t="inlineStr">
        <is>
          <t>PRO_20251003_DespedidaDeSolteira</t>
        </is>
      </c>
      <c r="C47" t="n">
        <v>128</v>
      </c>
      <c r="D47" t="inlineStr">
        <is>
          <t>Love Cabaret</t>
        </is>
      </c>
      <c r="E47" t="n">
        <v>676</v>
      </c>
      <c r="F47" t="n">
        <v>155</v>
      </c>
      <c r="G47" s="27" t="n">
        <v>45953</v>
      </c>
      <c r="H47" s="27" t="n">
        <v>45953</v>
      </c>
      <c r="I47" t="inlineStr">
        <is>
          <t>Pago</t>
        </is>
      </c>
      <c r="J47" t="inlineStr">
        <is>
          <t>Transferência Bancária ou Pix</t>
        </is>
      </c>
      <c r="K47" t="n">
        <v>115</v>
      </c>
      <c r="L47" t="inlineStr">
        <is>
          <t>Love - Shibari - Bradesco</t>
        </is>
      </c>
    </row>
    <row r="48">
      <c r="A48" t="n">
        <v>1495</v>
      </c>
      <c r="B48" t="inlineStr">
        <is>
          <t>PRO_20251020_Despedida</t>
        </is>
      </c>
      <c r="C48" t="n">
        <v>128</v>
      </c>
      <c r="D48" t="inlineStr">
        <is>
          <t>Love Cabaret</t>
        </is>
      </c>
      <c r="E48" t="n">
        <v>678</v>
      </c>
      <c r="F48" t="n">
        <v>620</v>
      </c>
      <c r="G48" s="27" t="n">
        <v>45953</v>
      </c>
      <c r="H48" s="27" t="n">
        <v>45953</v>
      </c>
      <c r="I48" t="inlineStr">
        <is>
          <t>Pago</t>
        </is>
      </c>
      <c r="J48" t="inlineStr">
        <is>
          <t>Transferência Bancária ou Pix</t>
        </is>
      </c>
      <c r="K48" t="n">
        <v>115</v>
      </c>
      <c r="L48" t="inlineStr">
        <is>
          <t>Love - Shibari - Bradesco</t>
        </is>
      </c>
    </row>
    <row r="49">
      <c r="A49" t="n">
        <v>1424</v>
      </c>
      <c r="B49" t="inlineStr">
        <is>
          <t>PRO_20251013_Aniversário</t>
        </is>
      </c>
      <c r="C49" t="n">
        <v>128</v>
      </c>
      <c r="D49" t="inlineStr">
        <is>
          <t>Love Cabaret</t>
        </is>
      </c>
      <c r="E49" t="n">
        <v>672</v>
      </c>
      <c r="F49" t="n">
        <v>387.5</v>
      </c>
      <c r="G49" s="27" t="n">
        <v>45953</v>
      </c>
      <c r="H49" s="27" t="n">
        <v>45953</v>
      </c>
      <c r="I49" t="inlineStr">
        <is>
          <t>Pago</t>
        </is>
      </c>
      <c r="J49" t="inlineStr">
        <is>
          <t>Transferência Bancária ou Pix</t>
        </is>
      </c>
      <c r="K49" t="n">
        <v>115</v>
      </c>
      <c r="L49" t="inlineStr">
        <is>
          <t>Love - Shibari - Bradesco</t>
        </is>
      </c>
    </row>
    <row r="50">
      <c r="A50" t="n">
        <v>1478</v>
      </c>
      <c r="B50" t="inlineStr">
        <is>
          <t>PRO_20251016_Despedida</t>
        </is>
      </c>
      <c r="C50" t="n">
        <v>128</v>
      </c>
      <c r="D50" t="inlineStr">
        <is>
          <t>Love Cabaret</t>
        </is>
      </c>
      <c r="E50" t="n">
        <v>668</v>
      </c>
      <c r="F50" t="n">
        <v>1240</v>
      </c>
      <c r="G50" s="27" t="n">
        <v>45948</v>
      </c>
      <c r="H50" s="27" t="n">
        <v>45950</v>
      </c>
      <c r="I50" t="inlineStr">
        <is>
          <t>Pago</t>
        </is>
      </c>
      <c r="J50" t="inlineStr">
        <is>
          <t>Transferência Bancária ou Pix</t>
        </is>
      </c>
      <c r="K50" t="n">
        <v>115</v>
      </c>
      <c r="L50" t="inlineStr">
        <is>
          <t>Love - Shibari - Bradesco</t>
        </is>
      </c>
    </row>
    <row r="51">
      <c r="A51" t="n">
        <v>1479</v>
      </c>
      <c r="B51" t="inlineStr">
        <is>
          <t>PRO_20251017_Eventos</t>
        </is>
      </c>
      <c r="C51" t="n">
        <v>128</v>
      </c>
      <c r="D51" t="inlineStr">
        <is>
          <t>Love Cabaret</t>
        </is>
      </c>
      <c r="E51" t="n">
        <v>669</v>
      </c>
      <c r="F51" t="n">
        <v>620</v>
      </c>
      <c r="G51" s="27" t="n">
        <v>45948</v>
      </c>
      <c r="H51" s="27" t="n">
        <v>45950</v>
      </c>
      <c r="I51" t="inlineStr">
        <is>
          <t>Pago</t>
        </is>
      </c>
      <c r="J51" t="inlineStr">
        <is>
          <t>Transferência Bancária ou Pix</t>
        </is>
      </c>
      <c r="K51" t="n">
        <v>115</v>
      </c>
      <c r="L51" t="inlineStr">
        <is>
          <t>Love - Shibari - Bradesco</t>
        </is>
      </c>
    </row>
    <row r="52">
      <c r="A52" t="n">
        <v>1480</v>
      </c>
      <c r="B52" t="inlineStr">
        <is>
          <t>PRO_20251018_Aniversário</t>
        </is>
      </c>
      <c r="C52" t="n">
        <v>128</v>
      </c>
      <c r="D52" t="inlineStr">
        <is>
          <t>Love Cabaret</t>
        </is>
      </c>
      <c r="E52" t="n">
        <v>670</v>
      </c>
      <c r="F52" t="n">
        <v>620</v>
      </c>
      <c r="G52" s="27" t="n">
        <v>45949</v>
      </c>
      <c r="H52" s="27" t="n">
        <v>45950</v>
      </c>
      <c r="I52" t="inlineStr">
        <is>
          <t>Pago</t>
        </is>
      </c>
      <c r="J52" t="inlineStr">
        <is>
          <t>Transferência Bancária ou Pix</t>
        </is>
      </c>
      <c r="K52" t="n">
        <v>115</v>
      </c>
      <c r="L52" t="inlineStr">
        <is>
          <t>Love - Shibari - Bradesco</t>
        </is>
      </c>
    </row>
    <row r="53">
      <c r="A53" t="n">
        <v>1424</v>
      </c>
      <c r="B53" t="inlineStr">
        <is>
          <t>PRO_20251013_Aniversário</t>
        </is>
      </c>
      <c r="C53" t="n">
        <v>128</v>
      </c>
      <c r="D53" t="inlineStr">
        <is>
          <t>Love Cabaret</t>
        </is>
      </c>
      <c r="E53" t="n">
        <v>637</v>
      </c>
      <c r="F53" t="n">
        <v>620</v>
      </c>
      <c r="G53" s="27" t="n">
        <v>45947</v>
      </c>
      <c r="H53" s="27" t="n">
        <v>45947</v>
      </c>
      <c r="I53" t="inlineStr">
        <is>
          <t>Pago</t>
        </is>
      </c>
      <c r="J53" t="inlineStr">
        <is>
          <t>Transferência Bancária ou Pix</t>
        </is>
      </c>
      <c r="K53" t="n">
        <v>115</v>
      </c>
      <c r="L53" t="inlineStr">
        <is>
          <t>Love - Shibari - Bradesco</t>
        </is>
      </c>
    </row>
    <row r="54">
      <c r="A54" t="n">
        <v>1477</v>
      </c>
      <c r="B54" t="inlineStr">
        <is>
          <t>PRO_20251015_Despedida</t>
        </is>
      </c>
      <c r="C54" t="n">
        <v>128</v>
      </c>
      <c r="D54" t="inlineStr">
        <is>
          <t>Love Cabaret</t>
        </is>
      </c>
      <c r="E54" t="n">
        <v>667</v>
      </c>
      <c r="F54" t="n">
        <v>620</v>
      </c>
      <c r="G54" s="27" t="n">
        <v>45947</v>
      </c>
      <c r="H54" s="27" t="n">
        <v>45947</v>
      </c>
      <c r="I54" t="inlineStr">
        <is>
          <t>Pago</t>
        </is>
      </c>
      <c r="J54" t="inlineStr">
        <is>
          <t>Transferência Bancária ou Pix</t>
        </is>
      </c>
      <c r="K54" t="n">
        <v>115</v>
      </c>
      <c r="L54" t="inlineStr">
        <is>
          <t>Love - Shibari - Bradesco</t>
        </is>
      </c>
    </row>
    <row r="55">
      <c r="A55" t="n">
        <v>1412</v>
      </c>
      <c r="B55" t="inlineStr">
        <is>
          <t>PRO_20251012_Aniversário</t>
        </is>
      </c>
      <c r="C55" t="n">
        <v>128</v>
      </c>
      <c r="D55" t="inlineStr">
        <is>
          <t>Love Cabaret</t>
        </is>
      </c>
      <c r="E55" t="n">
        <v>635</v>
      </c>
      <c r="F55" t="n">
        <v>620</v>
      </c>
      <c r="G55" s="27" t="n">
        <v>45946</v>
      </c>
      <c r="H55" s="27" t="n">
        <v>45946</v>
      </c>
      <c r="I55" t="inlineStr">
        <is>
          <t>Pago</t>
        </is>
      </c>
      <c r="J55" t="inlineStr">
        <is>
          <t>Transferência Bancária ou Pix</t>
        </is>
      </c>
      <c r="K55" t="n">
        <v>115</v>
      </c>
      <c r="L55" t="inlineStr">
        <is>
          <t>Love - Shibari - Bradesco</t>
        </is>
      </c>
    </row>
    <row r="56">
      <c r="A56" t="n">
        <v>1410</v>
      </c>
      <c r="B56" t="inlineStr">
        <is>
          <t>PRO_20251010_Despedida</t>
        </is>
      </c>
      <c r="C56" t="n">
        <v>128</v>
      </c>
      <c r="D56" t="inlineStr">
        <is>
          <t>Love Cabaret</t>
        </is>
      </c>
      <c r="E56" t="n">
        <v>633</v>
      </c>
      <c r="F56" t="n">
        <v>620</v>
      </c>
      <c r="G56" s="27" t="n">
        <v>45945</v>
      </c>
      <c r="H56" s="27" t="n">
        <v>45945</v>
      </c>
      <c r="I56" t="inlineStr">
        <is>
          <t>Pago</t>
        </is>
      </c>
      <c r="J56" t="inlineStr">
        <is>
          <t>Transferência Bancária ou Pix</t>
        </is>
      </c>
      <c r="K56" t="n">
        <v>115</v>
      </c>
      <c r="L56" t="inlineStr">
        <is>
          <t>Love - Shibari - Bradesco</t>
        </is>
      </c>
    </row>
    <row r="57">
      <c r="A57" t="n">
        <v>1409</v>
      </c>
      <c r="B57" t="inlineStr">
        <is>
          <t>PRO_20251009_Despedida</t>
        </is>
      </c>
      <c r="C57" t="n">
        <v>128</v>
      </c>
      <c r="D57" t="inlineStr">
        <is>
          <t>Love Cabaret</t>
        </is>
      </c>
      <c r="E57" t="n">
        <v>632</v>
      </c>
      <c r="F57" t="n">
        <v>775</v>
      </c>
      <c r="G57" s="27" t="n">
        <v>45945</v>
      </c>
      <c r="H57" s="27" t="n">
        <v>45945</v>
      </c>
      <c r="I57" t="inlineStr">
        <is>
          <t>Pago</t>
        </is>
      </c>
      <c r="J57" t="inlineStr">
        <is>
          <t>Transferência Bancária ou Pix</t>
        </is>
      </c>
      <c r="K57" t="n">
        <v>115</v>
      </c>
      <c r="L57" t="inlineStr">
        <is>
          <t>Love - Shibari - Bradesco</t>
        </is>
      </c>
    </row>
    <row r="58">
      <c r="A58" t="n">
        <v>1411</v>
      </c>
      <c r="B58" t="inlineStr">
        <is>
          <t>PRO_20251011_Aniversário</t>
        </is>
      </c>
      <c r="C58" t="n">
        <v>128</v>
      </c>
      <c r="D58" t="inlineStr">
        <is>
          <t>Love Cabaret</t>
        </is>
      </c>
      <c r="E58" t="n">
        <v>634</v>
      </c>
      <c r="F58" t="n">
        <v>620</v>
      </c>
      <c r="G58" s="27" t="n">
        <v>45945</v>
      </c>
      <c r="H58" s="27" t="n">
        <v>45945</v>
      </c>
      <c r="I58" t="inlineStr">
        <is>
          <t>Pago</t>
        </is>
      </c>
      <c r="J58" t="inlineStr">
        <is>
          <t>Transferência Bancária ou Pix</t>
        </is>
      </c>
      <c r="K58" t="n">
        <v>115</v>
      </c>
      <c r="L58" t="inlineStr">
        <is>
          <t>Love - Shibari - Bradesco</t>
        </is>
      </c>
    </row>
    <row r="59">
      <c r="A59" t="n">
        <v>1407</v>
      </c>
      <c r="B59" t="inlineStr">
        <is>
          <t xml:space="preserve">PRO_20251007_Aniversário </t>
        </is>
      </c>
      <c r="C59" t="n">
        <v>128</v>
      </c>
      <c r="D59" t="inlineStr">
        <is>
          <t>Love Cabaret</t>
        </is>
      </c>
      <c r="E59" t="n">
        <v>630</v>
      </c>
      <c r="F59" t="n">
        <v>620</v>
      </c>
      <c r="G59" s="27" t="n">
        <v>45944</v>
      </c>
      <c r="H59" s="27" t="n">
        <v>45944</v>
      </c>
      <c r="I59" t="inlineStr">
        <is>
          <t>Pago</t>
        </is>
      </c>
      <c r="J59" t="inlineStr">
        <is>
          <t>Transferência Bancária ou Pix</t>
        </is>
      </c>
      <c r="K59" t="n">
        <v>115</v>
      </c>
      <c r="L59" t="inlineStr">
        <is>
          <t>Love - Shibari - Bradesco</t>
        </is>
      </c>
    </row>
    <row r="60">
      <c r="A60" t="n">
        <v>1403</v>
      </c>
      <c r="B60" t="inlineStr">
        <is>
          <t xml:space="preserve">PRO_20251004_Aniversário </t>
        </is>
      </c>
      <c r="C60" t="n">
        <v>128</v>
      </c>
      <c r="D60" t="inlineStr">
        <is>
          <t>Love Cabaret</t>
        </is>
      </c>
      <c r="E60" t="n">
        <v>627</v>
      </c>
      <c r="F60" t="n">
        <v>77.5</v>
      </c>
      <c r="G60" s="27" t="n">
        <v>45944</v>
      </c>
      <c r="H60" s="27" t="n">
        <v>45944</v>
      </c>
      <c r="I60" t="inlineStr">
        <is>
          <t>Pago</t>
        </is>
      </c>
      <c r="J60" t="inlineStr">
        <is>
          <t>Transferência Bancária ou Pix</t>
        </is>
      </c>
      <c r="K60" t="n">
        <v>115</v>
      </c>
      <c r="L60" t="inlineStr">
        <is>
          <t>Love - Shibari - Bradesco</t>
        </is>
      </c>
    </row>
    <row r="61">
      <c r="A61" t="n">
        <v>1408</v>
      </c>
      <c r="B61" t="inlineStr">
        <is>
          <t>PRO_20251008_Despedida</t>
        </is>
      </c>
      <c r="C61" t="n">
        <v>128</v>
      </c>
      <c r="D61" t="inlineStr">
        <is>
          <t>Love Cabaret</t>
        </is>
      </c>
      <c r="E61" t="n">
        <v>631</v>
      </c>
      <c r="F61" t="n">
        <v>620</v>
      </c>
      <c r="G61" s="27" t="n">
        <v>45944</v>
      </c>
      <c r="H61" s="27" t="n">
        <v>45944</v>
      </c>
      <c r="I61" t="inlineStr">
        <is>
          <t>Pago</t>
        </is>
      </c>
      <c r="J61" t="inlineStr">
        <is>
          <t>Transferência Bancária ou Pix</t>
        </is>
      </c>
      <c r="K61" t="n">
        <v>115</v>
      </c>
      <c r="L61" t="inlineStr">
        <is>
          <t>Love - Shibari - Bradesco</t>
        </is>
      </c>
    </row>
    <row r="62">
      <c r="A62" t="n">
        <v>1406</v>
      </c>
      <c r="B62" t="inlineStr">
        <is>
          <t xml:space="preserve">PRO_20251006_Aniversário </t>
        </is>
      </c>
      <c r="C62" t="n">
        <v>128</v>
      </c>
      <c r="D62" t="inlineStr">
        <is>
          <t>Love Cabaret</t>
        </is>
      </c>
      <c r="E62" t="n">
        <v>629</v>
      </c>
      <c r="F62" t="n">
        <v>1240</v>
      </c>
      <c r="G62" s="27" t="n">
        <v>45940</v>
      </c>
      <c r="H62" s="27" t="n">
        <v>45940</v>
      </c>
      <c r="I62" t="inlineStr">
        <is>
          <t>Pago</t>
        </is>
      </c>
      <c r="J62" t="inlineStr">
        <is>
          <t>Transferência Bancária ou Pix</t>
        </is>
      </c>
      <c r="K62" t="n">
        <v>115</v>
      </c>
      <c r="L62" t="inlineStr">
        <is>
          <t>Love - Shibari - Bradesco</t>
        </is>
      </c>
    </row>
    <row r="63">
      <c r="A63" t="n">
        <v>1406</v>
      </c>
      <c r="B63" t="inlineStr">
        <is>
          <t xml:space="preserve">PRO_20251006_Aniversário </t>
        </is>
      </c>
      <c r="C63" t="n">
        <v>128</v>
      </c>
      <c r="D63" t="inlineStr">
        <is>
          <t>Love Cabaret</t>
        </is>
      </c>
      <c r="E63" t="n">
        <v>636</v>
      </c>
      <c r="F63" t="n">
        <v>77.5</v>
      </c>
      <c r="G63" s="27" t="n">
        <v>45940</v>
      </c>
      <c r="H63" s="27" t="n">
        <v>45940</v>
      </c>
      <c r="I63" t="inlineStr">
        <is>
          <t>Pago</t>
        </is>
      </c>
      <c r="J63" t="inlineStr">
        <is>
          <t>Transferência Bancária ou Pix</t>
        </is>
      </c>
      <c r="K63" t="n">
        <v>115</v>
      </c>
      <c r="L63" t="inlineStr">
        <is>
          <t>Love - Shibari - Bradesco</t>
        </is>
      </c>
    </row>
    <row r="64">
      <c r="A64" t="n">
        <v>1405</v>
      </c>
      <c r="B64" t="inlineStr">
        <is>
          <t xml:space="preserve">PRO_20251005_Aniversário </t>
        </is>
      </c>
      <c r="C64" t="n">
        <v>128</v>
      </c>
      <c r="D64" t="inlineStr">
        <is>
          <t>Love Cabaret</t>
        </is>
      </c>
      <c r="E64" t="n">
        <v>628</v>
      </c>
      <c r="F64" t="n">
        <v>775</v>
      </c>
      <c r="G64" s="27" t="n">
        <v>45938</v>
      </c>
      <c r="H64" s="27" t="n">
        <v>45938</v>
      </c>
      <c r="I64" t="inlineStr">
        <is>
          <t>Pago</t>
        </is>
      </c>
      <c r="J64" t="inlineStr">
        <is>
          <t>Transferência Bancária ou Pix</t>
        </is>
      </c>
      <c r="K64" t="n">
        <v>115</v>
      </c>
      <c r="L64" t="inlineStr">
        <is>
          <t>Love - Shibari - Bradesco</t>
        </is>
      </c>
    </row>
    <row r="65">
      <c r="A65" t="n">
        <v>1403</v>
      </c>
      <c r="B65" t="inlineStr">
        <is>
          <t xml:space="preserve">PRO_20251004_Aniversário </t>
        </is>
      </c>
      <c r="C65" t="n">
        <v>128</v>
      </c>
      <c r="D65" t="inlineStr">
        <is>
          <t>Love Cabaret</t>
        </is>
      </c>
      <c r="E65" t="n">
        <v>626</v>
      </c>
      <c r="F65" t="n">
        <v>920</v>
      </c>
      <c r="G65" s="27" t="n">
        <v>45938</v>
      </c>
      <c r="H65" s="27" t="n">
        <v>45938</v>
      </c>
      <c r="I65" t="inlineStr">
        <is>
          <t>Pago</t>
        </is>
      </c>
      <c r="J65" t="inlineStr">
        <is>
          <t>Transferência Bancária ou Pix</t>
        </is>
      </c>
      <c r="K65" t="n">
        <v>115</v>
      </c>
      <c r="L65" t="inlineStr">
        <is>
          <t>Love - Shibari - Bradesco</t>
        </is>
      </c>
    </row>
    <row r="66">
      <c r="A66" t="n">
        <v>1400</v>
      </c>
      <c r="B66" t="inlineStr">
        <is>
          <t>PRO_20251002_DespedidaDeSolteira</t>
        </is>
      </c>
      <c r="C66" t="n">
        <v>128</v>
      </c>
      <c r="D66" t="inlineStr">
        <is>
          <t>Love Cabaret</t>
        </is>
      </c>
      <c r="E66" t="n">
        <v>624</v>
      </c>
      <c r="F66" t="n">
        <v>697.5</v>
      </c>
      <c r="G66" s="27" t="n">
        <v>45937</v>
      </c>
      <c r="H66" s="27" t="n">
        <v>45937</v>
      </c>
      <c r="I66" t="inlineStr">
        <is>
          <t>Pago</t>
        </is>
      </c>
      <c r="J66" t="inlineStr">
        <is>
          <t>Transferência Bancária ou Pix</t>
        </is>
      </c>
      <c r="K66" t="n">
        <v>115</v>
      </c>
      <c r="L66" t="inlineStr">
        <is>
          <t>Love - Shibari - Bradesco</t>
        </is>
      </c>
    </row>
    <row r="67">
      <c r="A67" t="n">
        <v>1401</v>
      </c>
      <c r="B67" t="inlineStr">
        <is>
          <t>PRO_20251003_DespedidaDeSolteira</t>
        </is>
      </c>
      <c r="C67" t="n">
        <v>128</v>
      </c>
      <c r="D67" t="inlineStr">
        <is>
          <t>Love Cabaret</t>
        </is>
      </c>
      <c r="E67" t="n">
        <v>625</v>
      </c>
      <c r="F67" t="n">
        <v>620</v>
      </c>
      <c r="G67" s="27" t="n">
        <v>45937</v>
      </c>
      <c r="H67" s="27" t="n">
        <v>45937</v>
      </c>
      <c r="I67" t="inlineStr">
        <is>
          <t>Pago</t>
        </is>
      </c>
      <c r="J67" t="inlineStr">
        <is>
          <t>Transferência Bancária ou Pix</t>
        </is>
      </c>
      <c r="K67" t="n">
        <v>115</v>
      </c>
      <c r="L67" t="inlineStr">
        <is>
          <t>Love - Shibari - Bradesco</t>
        </is>
      </c>
    </row>
    <row r="68">
      <c r="A68" t="n">
        <v>1399</v>
      </c>
      <c r="B68" t="inlineStr">
        <is>
          <t>PRO_20251001_DespedidaDeSolteira</t>
        </is>
      </c>
      <c r="C68" t="n">
        <v>128</v>
      </c>
      <c r="D68" t="inlineStr">
        <is>
          <t>Love Cabaret</t>
        </is>
      </c>
      <c r="E68" t="n">
        <v>623</v>
      </c>
      <c r="F68" t="n">
        <v>620</v>
      </c>
      <c r="G68" s="27" t="n">
        <v>45936</v>
      </c>
      <c r="H68" s="27" t="n">
        <v>45936</v>
      </c>
      <c r="I68" t="inlineStr">
        <is>
          <t>Pago</t>
        </is>
      </c>
      <c r="J68" t="inlineStr">
        <is>
          <t>Transferência Bancária ou Pix</t>
        </is>
      </c>
      <c r="K68" t="n">
        <v>115</v>
      </c>
      <c r="L68" t="inlineStr">
        <is>
          <t>Love - Shibari - Bradesco</t>
        </is>
      </c>
    </row>
    <row r="69">
      <c r="A69" t="n">
        <v>1082</v>
      </c>
      <c r="B69" t="inlineStr">
        <is>
          <t>PRO_202509011_Aniversário_DavidFeffer</t>
        </is>
      </c>
      <c r="C69" t="n">
        <v>128</v>
      </c>
      <c r="D69" t="inlineStr">
        <is>
          <t>Love Cabaret</t>
        </is>
      </c>
      <c r="E69" t="n">
        <v>518</v>
      </c>
      <c r="F69" t="n">
        <v>40000</v>
      </c>
      <c r="G69" s="27" t="n">
        <v>45930</v>
      </c>
      <c r="H69" s="27" t="n">
        <v>45929</v>
      </c>
      <c r="I69" t="inlineStr">
        <is>
          <t>Pago</t>
        </is>
      </c>
      <c r="J69" t="inlineStr">
        <is>
          <t>Transferência Bancária ou Pix</t>
        </is>
      </c>
      <c r="K69" t="n">
        <v>115</v>
      </c>
      <c r="L69" t="inlineStr">
        <is>
          <t>Love - Shibari - Bradesco</t>
        </is>
      </c>
    </row>
    <row r="70">
      <c r="A70" t="n">
        <v>1192</v>
      </c>
      <c r="B70" t="inlineStr">
        <is>
          <t>PRO_202509014_Confraternização</t>
        </is>
      </c>
      <c r="C70" t="n">
        <v>128</v>
      </c>
      <c r="D70" t="inlineStr">
        <is>
          <t>Love Cabaret</t>
        </is>
      </c>
      <c r="E70" t="n">
        <v>548</v>
      </c>
      <c r="F70" t="n">
        <v>620</v>
      </c>
      <c r="G70" s="27" t="n">
        <v>45926</v>
      </c>
      <c r="H70" s="27" t="n">
        <v>45926</v>
      </c>
      <c r="I70" t="inlineStr">
        <is>
          <t>Pago</t>
        </is>
      </c>
      <c r="J70" t="inlineStr">
        <is>
          <t>Transferência Bancária ou Pix</t>
        </is>
      </c>
      <c r="K70" t="n">
        <v>115</v>
      </c>
      <c r="L70" t="inlineStr">
        <is>
          <t>Love - Shibari - Bradesco</t>
        </is>
      </c>
    </row>
    <row r="71">
      <c r="A71" t="n">
        <v>1191</v>
      </c>
      <c r="B71" t="inlineStr">
        <is>
          <t>PRO_202509013_Aniversário</t>
        </is>
      </c>
      <c r="C71" t="n">
        <v>128</v>
      </c>
      <c r="D71" t="inlineStr">
        <is>
          <t>Love Cabaret</t>
        </is>
      </c>
      <c r="E71" t="n">
        <v>547</v>
      </c>
      <c r="F71" t="n">
        <v>620</v>
      </c>
      <c r="G71" s="27" t="n">
        <v>45924</v>
      </c>
      <c r="H71" s="27" t="n">
        <v>45924</v>
      </c>
      <c r="I71" t="inlineStr">
        <is>
          <t>Pago</t>
        </is>
      </c>
      <c r="J71" t="inlineStr">
        <is>
          <t>Transferência Bancária ou Pix</t>
        </is>
      </c>
      <c r="K71" t="n">
        <v>115</v>
      </c>
      <c r="L71" t="inlineStr">
        <is>
          <t>Love - Shibari - Bradesco</t>
        </is>
      </c>
    </row>
    <row r="72">
      <c r="A72" t="n">
        <v>1059</v>
      </c>
      <c r="B72" t="inlineStr">
        <is>
          <t>PRO_20250904_ DespedidaDeSolteira</t>
        </is>
      </c>
      <c r="C72" t="n">
        <v>128</v>
      </c>
      <c r="D72" t="inlineStr">
        <is>
          <t>Love Cabaret</t>
        </is>
      </c>
      <c r="E72" t="n">
        <v>556</v>
      </c>
      <c r="F72" t="n">
        <v>77.5</v>
      </c>
      <c r="G72" s="27" t="n">
        <v>45920</v>
      </c>
      <c r="H72" s="27" t="n">
        <v>45922</v>
      </c>
      <c r="I72" t="inlineStr">
        <is>
          <t>Pago</t>
        </is>
      </c>
      <c r="J72" t="inlineStr">
        <is>
          <t>Transferência Bancária ou Pix</t>
        </is>
      </c>
      <c r="K72" t="n">
        <v>115</v>
      </c>
      <c r="L72" t="inlineStr">
        <is>
          <t>Love - Shibari - Bradesco</t>
        </is>
      </c>
    </row>
    <row r="73">
      <c r="A73" t="n">
        <v>1059</v>
      </c>
      <c r="B73" t="inlineStr">
        <is>
          <t>PRO_20250904_ DespedidaDeSolteira</t>
        </is>
      </c>
      <c r="C73" t="n">
        <v>128</v>
      </c>
      <c r="D73" t="inlineStr">
        <is>
          <t>Love Cabaret</t>
        </is>
      </c>
      <c r="E73" t="n">
        <v>555</v>
      </c>
      <c r="F73" t="n">
        <v>310</v>
      </c>
      <c r="G73" s="27" t="n">
        <v>45920</v>
      </c>
      <c r="H73" s="27" t="n">
        <v>45922</v>
      </c>
      <c r="I73" t="inlineStr">
        <is>
          <t>Pago</t>
        </is>
      </c>
      <c r="J73" t="inlineStr">
        <is>
          <t>Transferência Bancária ou Pix</t>
        </is>
      </c>
      <c r="K73" t="n">
        <v>115</v>
      </c>
      <c r="L73" t="inlineStr">
        <is>
          <t>Love - Shibari - Bradesco</t>
        </is>
      </c>
    </row>
    <row r="74">
      <c r="A74" t="n">
        <v>1194</v>
      </c>
      <c r="B74" t="inlineStr">
        <is>
          <t>PRO_202509015_Aniversário</t>
        </is>
      </c>
      <c r="C74" t="n">
        <v>128</v>
      </c>
      <c r="D74" t="inlineStr">
        <is>
          <t>Love Cabaret</t>
        </is>
      </c>
      <c r="E74" t="n">
        <v>551</v>
      </c>
      <c r="F74" t="n">
        <v>620</v>
      </c>
      <c r="G74" s="27" t="n">
        <v>45922</v>
      </c>
      <c r="H74" s="27" t="n">
        <v>45922</v>
      </c>
      <c r="I74" t="inlineStr">
        <is>
          <t>Pago</t>
        </is>
      </c>
      <c r="J74" t="inlineStr">
        <is>
          <t>Transferência Bancária ou Pix</t>
        </is>
      </c>
      <c r="K74" t="n">
        <v>115</v>
      </c>
      <c r="L74" t="inlineStr">
        <is>
          <t>Love - Shibari - Bradesco</t>
        </is>
      </c>
    </row>
    <row r="75">
      <c r="A75" t="n">
        <v>1194</v>
      </c>
      <c r="B75" t="inlineStr">
        <is>
          <t>PRO_202509015_Aniversário</t>
        </is>
      </c>
      <c r="C75" t="n">
        <v>128</v>
      </c>
      <c r="D75" t="inlineStr">
        <is>
          <t>Love Cabaret</t>
        </is>
      </c>
      <c r="E75" t="n">
        <v>552</v>
      </c>
      <c r="F75" t="n">
        <v>77.5</v>
      </c>
      <c r="G75" s="27" t="n">
        <v>45922</v>
      </c>
      <c r="H75" s="27" t="n">
        <v>45922</v>
      </c>
      <c r="I75" t="inlineStr">
        <is>
          <t>Pago</t>
        </is>
      </c>
      <c r="J75" t="inlineStr">
        <is>
          <t>Transferência Bancária ou Pix</t>
        </is>
      </c>
      <c r="K75" t="n">
        <v>115</v>
      </c>
      <c r="L75" t="inlineStr">
        <is>
          <t>Love - Shibari - Bradesco</t>
        </is>
      </c>
    </row>
    <row r="76">
      <c r="A76" t="n">
        <v>1061</v>
      </c>
      <c r="B76" t="inlineStr">
        <is>
          <t>PRO_20250905_ Aniversário</t>
        </is>
      </c>
      <c r="C76" t="n">
        <v>128</v>
      </c>
      <c r="D76" t="inlineStr">
        <is>
          <t>Love Cabaret</t>
        </is>
      </c>
      <c r="E76" t="n">
        <v>553</v>
      </c>
      <c r="F76" t="n">
        <v>155</v>
      </c>
      <c r="G76" s="27" t="n">
        <v>45919</v>
      </c>
      <c r="H76" s="27" t="n">
        <v>45919</v>
      </c>
      <c r="I76" t="inlineStr">
        <is>
          <t>Pago</t>
        </is>
      </c>
      <c r="J76" t="inlineStr">
        <is>
          <t>Transferência Bancária ou Pix</t>
        </is>
      </c>
      <c r="K76" t="n">
        <v>115</v>
      </c>
      <c r="L76" t="inlineStr">
        <is>
          <t>Love - Shibari - Bradesco</t>
        </is>
      </c>
    </row>
    <row r="77">
      <c r="A77" t="n">
        <v>1189</v>
      </c>
      <c r="B77" t="inlineStr">
        <is>
          <t>PRO_202509012_Aniversário</t>
        </is>
      </c>
      <c r="C77" t="n">
        <v>128</v>
      </c>
      <c r="D77" t="inlineStr">
        <is>
          <t>Love Cabaret</t>
        </is>
      </c>
      <c r="E77" t="n">
        <v>546</v>
      </c>
      <c r="F77" t="n">
        <v>697.5</v>
      </c>
      <c r="G77" s="27" t="n">
        <v>45919</v>
      </c>
      <c r="H77" s="27" t="n">
        <v>45919</v>
      </c>
      <c r="I77" t="inlineStr">
        <is>
          <t>Pago</t>
        </is>
      </c>
      <c r="J77" t="inlineStr">
        <is>
          <t>Transferência Bancária ou Pix</t>
        </is>
      </c>
      <c r="K77" t="n">
        <v>115</v>
      </c>
      <c r="L77" t="inlineStr">
        <is>
          <t>Love - Shibari - Bradesco</t>
        </is>
      </c>
    </row>
    <row r="78">
      <c r="A78" t="n">
        <v>1070</v>
      </c>
      <c r="B78" t="inlineStr">
        <is>
          <t>PRO_20250909_DespedidaDeSolteiro</t>
        </is>
      </c>
      <c r="C78" t="n">
        <v>128</v>
      </c>
      <c r="D78" t="inlineStr">
        <is>
          <t>Love Cabaret</t>
        </is>
      </c>
      <c r="E78" t="n">
        <v>528</v>
      </c>
      <c r="F78" t="n">
        <v>78</v>
      </c>
      <c r="G78" s="27" t="n">
        <v>45919</v>
      </c>
      <c r="H78" s="27" t="n">
        <v>45919</v>
      </c>
      <c r="I78" t="inlineStr">
        <is>
          <t>Pago</t>
        </is>
      </c>
      <c r="J78" t="inlineStr">
        <is>
          <t>Transferência Bancária ou Pix</t>
        </is>
      </c>
      <c r="K78" t="n">
        <v>115</v>
      </c>
      <c r="L78" t="inlineStr">
        <is>
          <t>Love - Shibari - Bradesco</t>
        </is>
      </c>
    </row>
    <row r="79">
      <c r="A79" t="n">
        <v>1059</v>
      </c>
      <c r="B79" t="inlineStr">
        <is>
          <t>PRO_20250904_ DespedidaDeSolteira</t>
        </is>
      </c>
      <c r="C79" t="n">
        <v>128</v>
      </c>
      <c r="D79" t="inlineStr">
        <is>
          <t>Love Cabaret</t>
        </is>
      </c>
      <c r="E79" t="n">
        <v>554</v>
      </c>
      <c r="F79" t="n">
        <v>310</v>
      </c>
      <c r="G79" s="27" t="n">
        <v>45919</v>
      </c>
      <c r="H79" s="27" t="n">
        <v>45919</v>
      </c>
      <c r="I79" t="inlineStr">
        <is>
          <t>Pago</t>
        </is>
      </c>
      <c r="J79" t="inlineStr">
        <is>
          <t>Transferência Bancária ou Pix</t>
        </is>
      </c>
      <c r="K79" t="n">
        <v>115</v>
      </c>
      <c r="L79" t="inlineStr">
        <is>
          <t>Love - Shibari - Bradesco</t>
        </is>
      </c>
    </row>
    <row r="80">
      <c r="A80" t="n">
        <v>1072</v>
      </c>
      <c r="B80" t="inlineStr">
        <is>
          <t>PRO_20250910_Aniversário</t>
        </is>
      </c>
      <c r="C80" t="n">
        <v>128</v>
      </c>
      <c r="D80" t="inlineStr">
        <is>
          <t>Love Cabaret</t>
        </is>
      </c>
      <c r="E80" t="n">
        <v>514</v>
      </c>
      <c r="F80" t="n">
        <v>620</v>
      </c>
      <c r="G80" s="27" t="n">
        <v>45916</v>
      </c>
      <c r="H80" s="27" t="n">
        <v>45916</v>
      </c>
      <c r="I80" t="inlineStr">
        <is>
          <t>Pago</t>
        </is>
      </c>
      <c r="J80" t="inlineStr">
        <is>
          <t>Transferência Bancária ou Pix</t>
        </is>
      </c>
      <c r="K80" t="n">
        <v>115</v>
      </c>
      <c r="L80" t="inlineStr">
        <is>
          <t>Love - Shibari - Bradesco</t>
        </is>
      </c>
    </row>
    <row r="81">
      <c r="A81" t="n">
        <v>1066</v>
      </c>
      <c r="B81" t="inlineStr">
        <is>
          <t>PRO_20250907_FrentePalco</t>
        </is>
      </c>
      <c r="C81" t="n">
        <v>128</v>
      </c>
      <c r="D81" t="inlineStr">
        <is>
          <t>Love Cabaret</t>
        </is>
      </c>
      <c r="E81" t="n">
        <v>511</v>
      </c>
      <c r="F81" t="n">
        <v>250</v>
      </c>
      <c r="G81" s="27" t="n">
        <v>45912</v>
      </c>
      <c r="H81" s="27" t="n">
        <v>45912</v>
      </c>
      <c r="I81" t="inlineStr">
        <is>
          <t>Pago</t>
        </is>
      </c>
      <c r="J81" t="inlineStr">
        <is>
          <t>Transferência Bancária ou Pix</t>
        </is>
      </c>
      <c r="K81" t="n">
        <v>115</v>
      </c>
      <c r="L81" t="inlineStr">
        <is>
          <t>Love - Shibari - Bradesco</t>
        </is>
      </c>
    </row>
    <row r="82">
      <c r="A82" t="n">
        <v>1065</v>
      </c>
      <c r="B82" t="inlineStr">
        <is>
          <t>PRO_20250906_Aniversário</t>
        </is>
      </c>
      <c r="C82" t="n">
        <v>128</v>
      </c>
      <c r="D82" t="inlineStr">
        <is>
          <t>Love Cabaret</t>
        </is>
      </c>
      <c r="E82" t="n">
        <v>510</v>
      </c>
      <c r="F82" t="n">
        <v>620</v>
      </c>
      <c r="G82" s="27" t="n">
        <v>45912</v>
      </c>
      <c r="H82" s="27" t="n">
        <v>45912</v>
      </c>
      <c r="I82" t="inlineStr">
        <is>
          <t>Pago</t>
        </is>
      </c>
      <c r="J82" t="inlineStr">
        <is>
          <t>Transferência Bancária ou Pix</t>
        </is>
      </c>
      <c r="K82" t="n">
        <v>115</v>
      </c>
      <c r="L82" t="inlineStr">
        <is>
          <t>Love - Shibari - Bradesco</t>
        </is>
      </c>
    </row>
    <row r="83">
      <c r="A83" t="n">
        <v>1061</v>
      </c>
      <c r="B83" t="inlineStr">
        <is>
          <t>PRO_20250905_ Aniversário</t>
        </is>
      </c>
      <c r="C83" t="n">
        <v>128</v>
      </c>
      <c r="D83" t="inlineStr">
        <is>
          <t>Love Cabaret</t>
        </is>
      </c>
      <c r="E83" t="n">
        <v>509</v>
      </c>
      <c r="F83" t="n">
        <v>697.5</v>
      </c>
      <c r="G83" s="27" t="n">
        <v>45912</v>
      </c>
      <c r="H83" s="27" t="n">
        <v>45912</v>
      </c>
      <c r="I83" t="inlineStr">
        <is>
          <t>Pago</t>
        </is>
      </c>
      <c r="J83" t="inlineStr">
        <is>
          <t>Transferência Bancária ou Pix</t>
        </is>
      </c>
      <c r="K83" t="n">
        <v>115</v>
      </c>
      <c r="L83" t="inlineStr">
        <is>
          <t>Love - Shibari - Bradesco</t>
        </is>
      </c>
    </row>
    <row r="84">
      <c r="A84" t="n">
        <v>1068</v>
      </c>
      <c r="B84" t="inlineStr">
        <is>
          <t>PRO_20250908_Aniversário</t>
        </is>
      </c>
      <c r="C84" t="n">
        <v>128</v>
      </c>
      <c r="D84" t="inlineStr">
        <is>
          <t>Love Cabaret</t>
        </is>
      </c>
      <c r="E84" t="n">
        <v>512</v>
      </c>
      <c r="F84" t="n">
        <v>620</v>
      </c>
      <c r="G84" s="27" t="n">
        <v>45912</v>
      </c>
      <c r="H84" s="27" t="n">
        <v>45912</v>
      </c>
      <c r="I84" t="inlineStr">
        <is>
          <t>Pago</t>
        </is>
      </c>
      <c r="J84" t="inlineStr">
        <is>
          <t>Transferência Bancária ou Pix</t>
        </is>
      </c>
      <c r="K84" t="n">
        <v>115</v>
      </c>
      <c r="L84" t="inlineStr">
        <is>
          <t>Love - Shibari - Bradesco</t>
        </is>
      </c>
    </row>
    <row r="85">
      <c r="A85" t="n">
        <v>1059</v>
      </c>
      <c r="B85" t="inlineStr">
        <is>
          <t>PRO_20250904_ DespedidaDeSolteira</t>
        </is>
      </c>
      <c r="C85" t="n">
        <v>128</v>
      </c>
      <c r="D85" t="inlineStr">
        <is>
          <t>Love Cabaret</t>
        </is>
      </c>
      <c r="E85" t="n">
        <v>508</v>
      </c>
      <c r="F85" t="n">
        <v>620</v>
      </c>
      <c r="G85" s="27" t="n">
        <v>45910</v>
      </c>
      <c r="H85" s="27" t="n">
        <v>45910</v>
      </c>
      <c r="I85" t="inlineStr">
        <is>
          <t>Pago</t>
        </is>
      </c>
      <c r="J85" t="inlineStr">
        <is>
          <t>Transferência Bancária ou Pix</t>
        </is>
      </c>
      <c r="K85" t="n">
        <v>115</v>
      </c>
      <c r="L85" t="inlineStr">
        <is>
          <t>Love - Shibari - Bradesco</t>
        </is>
      </c>
    </row>
    <row r="86">
      <c r="A86" t="n">
        <v>1057</v>
      </c>
      <c r="B86" t="inlineStr">
        <is>
          <t>PRO_20250903_ AfterTheTown</t>
        </is>
      </c>
      <c r="C86" t="n">
        <v>128</v>
      </c>
      <c r="D86" t="inlineStr">
        <is>
          <t>Love Cabaret</t>
        </is>
      </c>
      <c r="E86" t="n">
        <v>507</v>
      </c>
      <c r="F86" t="n">
        <v>131000</v>
      </c>
      <c r="G86" s="27" t="n">
        <v>45906</v>
      </c>
      <c r="H86" s="27" t="n">
        <v>45908</v>
      </c>
      <c r="I86" t="inlineStr">
        <is>
          <t>Pago</t>
        </is>
      </c>
      <c r="J86" t="inlineStr">
        <is>
          <t>Transferência Bancária ou Pix</t>
        </is>
      </c>
      <c r="K86" t="n">
        <v>115</v>
      </c>
      <c r="L86" t="inlineStr">
        <is>
          <t>Love - Shibari - Bradesco</t>
        </is>
      </c>
    </row>
    <row r="87">
      <c r="A87" t="n">
        <v>1070</v>
      </c>
      <c r="B87" t="inlineStr">
        <is>
          <t>PRO_20250909_DespedidaDeSolteiro</t>
        </is>
      </c>
      <c r="C87" t="n">
        <v>128</v>
      </c>
      <c r="D87" t="inlineStr">
        <is>
          <t>Love Cabaret</t>
        </is>
      </c>
      <c r="E87" t="n">
        <v>513</v>
      </c>
      <c r="F87" t="n">
        <v>77.5</v>
      </c>
      <c r="G87" s="27" t="n">
        <v>45907</v>
      </c>
      <c r="H87" s="27" t="n">
        <v>45908</v>
      </c>
      <c r="I87" t="inlineStr">
        <is>
          <t>Pago</t>
        </is>
      </c>
      <c r="J87" t="inlineStr">
        <is>
          <t>Transferência Bancária ou Pix</t>
        </is>
      </c>
      <c r="K87" t="n">
        <v>115</v>
      </c>
      <c r="L87" t="inlineStr">
        <is>
          <t>Love - Shibari - Bradesco</t>
        </is>
      </c>
    </row>
    <row r="88">
      <c r="A88" t="n">
        <v>1054</v>
      </c>
      <c r="B88" t="inlineStr">
        <is>
          <t>PRO_20250902_ DespedidaDeSolteira</t>
        </is>
      </c>
      <c r="C88" t="n">
        <v>128</v>
      </c>
      <c r="D88" t="inlineStr">
        <is>
          <t>Love Cabaret</t>
        </is>
      </c>
      <c r="E88" t="n">
        <v>506</v>
      </c>
      <c r="F88" t="n">
        <v>465</v>
      </c>
      <c r="G88" s="27" t="n">
        <v>45904</v>
      </c>
      <c r="H88" s="27" t="n">
        <v>45904</v>
      </c>
      <c r="I88" t="inlineStr">
        <is>
          <t>Pago</t>
        </is>
      </c>
      <c r="J88" t="inlineStr">
        <is>
          <t>Transferência Bancária ou Pix</t>
        </is>
      </c>
      <c r="K88" t="n">
        <v>115</v>
      </c>
      <c r="L88" t="inlineStr">
        <is>
          <t>Love - Shibari - Bradesco</t>
        </is>
      </c>
    </row>
    <row r="89">
      <c r="A89" t="n">
        <v>1052</v>
      </c>
      <c r="B89" t="inlineStr">
        <is>
          <t>PRO_20250901_ Aniversário</t>
        </is>
      </c>
      <c r="C89" t="n">
        <v>128</v>
      </c>
      <c r="D89" t="inlineStr">
        <is>
          <t>Love Cabaret</t>
        </is>
      </c>
      <c r="E89" t="n">
        <v>505</v>
      </c>
      <c r="F89" t="n">
        <v>620</v>
      </c>
      <c r="G89" s="27" t="n">
        <v>45901</v>
      </c>
      <c r="H89" s="27" t="n">
        <v>45901</v>
      </c>
      <c r="I89" t="inlineStr">
        <is>
          <t>Pago</t>
        </is>
      </c>
      <c r="J89" t="inlineStr">
        <is>
          <t>Transferência Bancária ou Pix</t>
        </is>
      </c>
      <c r="K89" t="n">
        <v>115</v>
      </c>
      <c r="L89" t="inlineStr">
        <is>
          <t>Love - Shibari - Bradesco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0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</t>
        </is>
      </c>
      <c r="B1" t="inlineStr">
        <is>
          <t>ID_Casa</t>
        </is>
      </c>
      <c r="C1" t="inlineStr">
        <is>
          <t>Casa</t>
        </is>
      </c>
      <c r="D1" t="inlineStr">
        <is>
          <t>Fornecedor</t>
        </is>
      </c>
      <c r="E1" t="inlineStr">
        <is>
          <t>Valor</t>
        </is>
      </c>
      <c r="F1" t="inlineStr">
        <is>
          <t>Data_Vencimento</t>
        </is>
      </c>
      <c r="G1" t="inlineStr">
        <is>
          <t>Previsao_Pgto</t>
        </is>
      </c>
      <c r="H1" t="inlineStr">
        <is>
          <t>Realizacao_Pgto</t>
        </is>
      </c>
      <c r="I1" t="inlineStr">
        <is>
          <t>Data_Competencia</t>
        </is>
      </c>
      <c r="J1" t="inlineStr">
        <is>
          <t>Data_Lancamento</t>
        </is>
      </c>
      <c r="K1" t="inlineStr">
        <is>
          <t>Forma_Pagamento</t>
        </is>
      </c>
      <c r="L1" t="inlineStr">
        <is>
          <t>Class_Cont_1</t>
        </is>
      </c>
      <c r="M1" t="inlineStr">
        <is>
          <t>Class_Cont_2</t>
        </is>
      </c>
      <c r="N1" t="inlineStr">
        <is>
          <t>Doc_NF</t>
        </is>
      </c>
      <c r="O1" t="inlineStr">
        <is>
          <t>Status_Conf_Document</t>
        </is>
      </c>
      <c r="P1" t="inlineStr">
        <is>
          <t>Status_Aprov_Diret</t>
        </is>
      </c>
      <c r="Q1" t="inlineStr">
        <is>
          <t>Status_Aprov_Caixa</t>
        </is>
      </c>
      <c r="R1" t="inlineStr">
        <is>
          <t>Status_Pgto</t>
        </is>
      </c>
      <c r="S1" t="inlineStr">
        <is>
          <t>ID_Conta_Bancaria</t>
        </is>
      </c>
      <c r="T1" t="inlineStr">
        <is>
          <t>Conta_Bancaria</t>
        </is>
      </c>
      <c r="U1" t="inlineStr">
        <is>
          <t>CNPJ_Loja</t>
        </is>
      </c>
    </row>
    <row r="2">
      <c r="A2" t="n">
        <v>186104</v>
      </c>
      <c r="B2" t="n">
        <v>128</v>
      </c>
      <c r="C2" t="inlineStr">
        <is>
          <t>Love Cabaret</t>
        </is>
      </c>
      <c r="D2" t="inlineStr">
        <is>
          <t>ALLIMENTARI COMERCIO DE PRODUTOS ALIMENTICIOS E SERVICOS LTDA</t>
        </is>
      </c>
      <c r="E2" t="n">
        <v>165.29</v>
      </c>
      <c r="F2" s="27" t="n">
        <v>46024</v>
      </c>
      <c r="G2" s="27" t="n">
        <v>46021</v>
      </c>
      <c r="H2" s="27" t="n">
        <v>46021</v>
      </c>
      <c r="I2" s="27" t="n">
        <v>45996</v>
      </c>
      <c r="J2" s="27" t="n">
        <v>46017</v>
      </c>
      <c r="K2" t="inlineStr">
        <is>
          <t>Boleto Bancário</t>
        </is>
      </c>
      <c r="L2" t="inlineStr">
        <is>
          <t>Custo Mercadoria Vendida</t>
        </is>
      </c>
      <c r="M2" t="inlineStr">
        <is>
          <t>Insumos - Alimentos</t>
        </is>
      </c>
      <c r="N2" t="inlineStr">
        <is>
          <t>33226</t>
        </is>
      </c>
      <c r="O2" t="inlineStr">
        <is>
          <t>Documentação Aprovada</t>
        </is>
      </c>
      <c r="P2" t="inlineStr">
        <is>
          <t>Aprovado Diretoria</t>
        </is>
      </c>
      <c r="Q2" t="inlineStr">
        <is>
          <t>Aprovado Caixa</t>
        </is>
      </c>
      <c r="R2" t="inlineStr">
        <is>
          <t>Pago</t>
        </is>
      </c>
      <c r="S2" t="n">
        <v>182</v>
      </c>
      <c r="T2" t="inlineStr">
        <is>
          <t>Love - Shibari - Kamino</t>
        </is>
      </c>
    </row>
    <row r="3">
      <c r="A3" t="n">
        <v>186117</v>
      </c>
      <c r="B3" t="n">
        <v>128</v>
      </c>
      <c r="C3" t="inlineStr">
        <is>
          <t>Love Cabaret</t>
        </is>
      </c>
      <c r="D3" t="inlineStr">
        <is>
          <t>HORTA NOVA DISTRIBUIDORA DE HORTIFRUTI LTDA</t>
        </is>
      </c>
      <c r="E3" t="n">
        <v>463.2</v>
      </c>
      <c r="F3" s="27" t="n">
        <v>46023</v>
      </c>
      <c r="G3" s="27" t="n">
        <v>46021</v>
      </c>
      <c r="H3" s="27" t="n">
        <v>46021</v>
      </c>
      <c r="I3" s="27" t="n">
        <v>45995</v>
      </c>
      <c r="J3" s="27" t="n">
        <v>46017</v>
      </c>
      <c r="K3" t="inlineStr">
        <is>
          <t>Boleto Bancário</t>
        </is>
      </c>
      <c r="L3" t="inlineStr">
        <is>
          <t>Custo Mercadoria Vendida</t>
        </is>
      </c>
      <c r="M3" t="inlineStr">
        <is>
          <t>Insumos - Alimentos</t>
        </is>
      </c>
      <c r="N3" t="inlineStr">
        <is>
          <t>7750</t>
        </is>
      </c>
      <c r="O3" t="inlineStr">
        <is>
          <t>Documentação Aprovada</t>
        </is>
      </c>
      <c r="P3" t="inlineStr">
        <is>
          <t>Aprovado Diretoria</t>
        </is>
      </c>
      <c r="Q3" t="inlineStr">
        <is>
          <t>Aprovado Caixa</t>
        </is>
      </c>
      <c r="R3" t="inlineStr">
        <is>
          <t>Pago</t>
        </is>
      </c>
      <c r="S3" t="n">
        <v>182</v>
      </c>
      <c r="T3" t="inlineStr">
        <is>
          <t>Love - Shibari - Kamino</t>
        </is>
      </c>
    </row>
    <row r="4">
      <c r="A4" t="n">
        <v>186079</v>
      </c>
      <c r="B4" t="n">
        <v>128</v>
      </c>
      <c r="C4" t="inlineStr">
        <is>
          <t>Love Cabaret</t>
        </is>
      </c>
      <c r="D4" t="inlineStr">
        <is>
          <t>D FILIPA - LOCACAO DE MAT. FESTAS E EVEN</t>
        </is>
      </c>
      <c r="E4" t="n">
        <v>3194.2</v>
      </c>
      <c r="F4" s="27" t="n">
        <v>46024</v>
      </c>
      <c r="G4" s="27" t="n">
        <v>46021</v>
      </c>
      <c r="H4" s="27" t="n">
        <v>46021</v>
      </c>
      <c r="I4" s="27" t="n">
        <v>46009</v>
      </c>
      <c r="J4" s="27" t="n">
        <v>46017</v>
      </c>
      <c r="K4" t="inlineStr">
        <is>
          <t>Boleto Bancário</t>
        </is>
      </c>
      <c r="L4" t="inlineStr">
        <is>
          <t>Custos de Eventos</t>
        </is>
      </c>
      <c r="M4" t="inlineStr">
        <is>
          <t>Locação de Utensílios - Eventos</t>
        </is>
      </c>
      <c r="N4" t="inlineStr">
        <is>
          <t>35460</t>
        </is>
      </c>
      <c r="O4" t="inlineStr">
        <is>
          <t>Documentação Aprovada</t>
        </is>
      </c>
      <c r="P4" t="inlineStr">
        <is>
          <t>Aprovado Diretoria</t>
        </is>
      </c>
      <c r="Q4" t="inlineStr">
        <is>
          <t>Aprovado Caixa</t>
        </is>
      </c>
      <c r="R4" t="inlineStr">
        <is>
          <t>Pago</t>
        </is>
      </c>
      <c r="S4" t="n">
        <v>182</v>
      </c>
      <c r="T4" t="inlineStr">
        <is>
          <t>Love - Shibari - Kamino</t>
        </is>
      </c>
    </row>
    <row r="5">
      <c r="A5" t="n">
        <v>186119</v>
      </c>
      <c r="B5" t="n">
        <v>128</v>
      </c>
      <c r="C5" t="inlineStr">
        <is>
          <t>Love Cabaret</t>
        </is>
      </c>
      <c r="D5" t="inlineStr">
        <is>
          <t>CECILIA TSUYACO ARAKI SILVA LTDA</t>
        </is>
      </c>
      <c r="E5" t="n">
        <v>70.8</v>
      </c>
      <c r="F5" s="27" t="n">
        <v>46023</v>
      </c>
      <c r="G5" s="27" t="n">
        <v>46021</v>
      </c>
      <c r="H5" s="27" t="n">
        <v>46021</v>
      </c>
      <c r="I5" s="27" t="n">
        <v>45995</v>
      </c>
      <c r="J5" s="27" t="n">
        <v>46017</v>
      </c>
      <c r="K5" t="inlineStr">
        <is>
          <t>Boleto Bancário</t>
        </is>
      </c>
      <c r="L5" t="inlineStr">
        <is>
          <t>Custo Mercadoria Vendida</t>
        </is>
      </c>
      <c r="M5" t="inlineStr">
        <is>
          <t>Insumos - Alimentos</t>
        </is>
      </c>
      <c r="N5" t="inlineStr">
        <is>
          <t>382984</t>
        </is>
      </c>
      <c r="O5" t="inlineStr">
        <is>
          <t>Documentação Aprovada</t>
        </is>
      </c>
      <c r="P5" t="inlineStr">
        <is>
          <t>Aprovado Diretoria</t>
        </is>
      </c>
      <c r="Q5" t="inlineStr">
        <is>
          <t>Aprovado Caixa</t>
        </is>
      </c>
      <c r="R5" t="inlineStr">
        <is>
          <t>Pago</t>
        </is>
      </c>
      <c r="S5" t="n">
        <v>182</v>
      </c>
      <c r="T5" t="inlineStr">
        <is>
          <t>Love - Shibari - Kamino</t>
        </is>
      </c>
    </row>
    <row r="6">
      <c r="A6" t="n">
        <v>186108</v>
      </c>
      <c r="B6" t="n">
        <v>128</v>
      </c>
      <c r="C6" t="inlineStr">
        <is>
          <t>Love Cabaret</t>
        </is>
      </c>
      <c r="D6" t="inlineStr">
        <is>
          <t xml:space="preserve">ARENA VIP DISTRIBUIDORA DE BEBIDAS LTDA </t>
        </is>
      </c>
      <c r="E6" t="n">
        <v>211.74</v>
      </c>
      <c r="F6" s="27" t="n">
        <v>46024</v>
      </c>
      <c r="G6" s="27" t="n">
        <v>46021</v>
      </c>
      <c r="H6" s="27" t="n">
        <v>46021</v>
      </c>
      <c r="I6" s="27" t="n">
        <v>45996</v>
      </c>
      <c r="J6" s="27" t="n">
        <v>46017</v>
      </c>
      <c r="K6" t="inlineStr">
        <is>
          <t>Boleto Bancário</t>
        </is>
      </c>
      <c r="L6" t="inlineStr">
        <is>
          <t>Custo Mercadoria Vendida</t>
        </is>
      </c>
      <c r="M6" t="inlineStr">
        <is>
          <t>Insumos - Bebidas</t>
        </is>
      </c>
      <c r="N6" t="inlineStr">
        <is>
          <t>20899</t>
        </is>
      </c>
      <c r="O6" t="inlineStr">
        <is>
          <t>Documentação Aprovada</t>
        </is>
      </c>
      <c r="P6" t="inlineStr">
        <is>
          <t>Aprovado Diretoria</t>
        </is>
      </c>
      <c r="Q6" t="inlineStr">
        <is>
          <t>Aprovado Caixa</t>
        </is>
      </c>
      <c r="R6" t="inlineStr">
        <is>
          <t>Pago</t>
        </is>
      </c>
      <c r="S6" t="n">
        <v>182</v>
      </c>
      <c r="T6" t="inlineStr">
        <is>
          <t>Love - Shibari - Kamino</t>
        </is>
      </c>
    </row>
    <row r="7">
      <c r="A7" t="n">
        <v>186112</v>
      </c>
      <c r="B7" t="n">
        <v>128</v>
      </c>
      <c r="C7" t="inlineStr">
        <is>
          <t>Love Cabaret</t>
        </is>
      </c>
      <c r="D7" t="inlineStr">
        <is>
          <t>NOVA COMERCIAL PESCADOS LTDA</t>
        </is>
      </c>
      <c r="E7" t="n">
        <v>1176</v>
      </c>
      <c r="F7" s="27" t="n">
        <v>46024</v>
      </c>
      <c r="G7" s="27" t="n">
        <v>46021</v>
      </c>
      <c r="H7" s="27" t="n">
        <v>46021</v>
      </c>
      <c r="I7" s="27" t="n">
        <v>45996</v>
      </c>
      <c r="J7" s="27" t="n">
        <v>46017</v>
      </c>
      <c r="K7" t="inlineStr">
        <is>
          <t>Boleto Bancário</t>
        </is>
      </c>
      <c r="L7" t="inlineStr">
        <is>
          <t>Custo Mercadoria Vendida</t>
        </is>
      </c>
      <c r="M7" t="inlineStr">
        <is>
          <t>Insumos - Alimentos</t>
        </is>
      </c>
      <c r="N7" t="inlineStr">
        <is>
          <t>29812</t>
        </is>
      </c>
      <c r="O7" t="inlineStr">
        <is>
          <t>Documentação Aprovada</t>
        </is>
      </c>
      <c r="P7" t="inlineStr">
        <is>
          <t>Aprovado Diretoria</t>
        </is>
      </c>
      <c r="Q7" t="inlineStr">
        <is>
          <t>Aprovado Caixa</t>
        </is>
      </c>
      <c r="R7" t="inlineStr">
        <is>
          <t>Pago</t>
        </is>
      </c>
      <c r="S7" t="n">
        <v>182</v>
      </c>
      <c r="T7" t="inlineStr">
        <is>
          <t>Love - Shibari - Kamino</t>
        </is>
      </c>
    </row>
    <row r="8">
      <c r="A8" t="n">
        <v>186127</v>
      </c>
      <c r="B8" t="n">
        <v>128</v>
      </c>
      <c r="C8" t="inlineStr">
        <is>
          <t>Love Cabaret</t>
        </is>
      </c>
      <c r="D8" t="inlineStr">
        <is>
          <t>BATARD PADARIA ARTESANAL LTDA</t>
        </is>
      </c>
      <c r="E8" t="n">
        <v>395</v>
      </c>
      <c r="F8" s="27" t="n">
        <v>46024</v>
      </c>
      <c r="G8" s="27" t="n">
        <v>46021</v>
      </c>
      <c r="H8" s="27" t="n">
        <v>46021</v>
      </c>
      <c r="I8" s="27" t="n">
        <v>46008</v>
      </c>
      <c r="J8" s="27" t="n">
        <v>46017</v>
      </c>
      <c r="K8" t="inlineStr">
        <is>
          <t>Boleto Bancário</t>
        </is>
      </c>
      <c r="L8" t="inlineStr">
        <is>
          <t>Custo Mercadoria Vendida</t>
        </is>
      </c>
      <c r="M8" t="inlineStr">
        <is>
          <t>Insumos - Alimentos</t>
        </is>
      </c>
      <c r="N8" t="inlineStr">
        <is>
          <t>12855</t>
        </is>
      </c>
      <c r="O8" t="inlineStr">
        <is>
          <t>Documentação Aprovada</t>
        </is>
      </c>
      <c r="P8" t="inlineStr">
        <is>
          <t>Aprovado Diretoria</t>
        </is>
      </c>
      <c r="Q8" t="inlineStr">
        <is>
          <t>Aprovado Caixa</t>
        </is>
      </c>
      <c r="R8" t="inlineStr">
        <is>
          <t>Pago</t>
        </is>
      </c>
      <c r="S8" t="n">
        <v>182</v>
      </c>
      <c r="T8" t="inlineStr">
        <is>
          <t>Love - Shibari - Kamino</t>
        </is>
      </c>
    </row>
    <row r="9">
      <c r="A9" t="n">
        <v>186096</v>
      </c>
      <c r="B9" t="n">
        <v>128</v>
      </c>
      <c r="C9" t="inlineStr">
        <is>
          <t>Love Cabaret</t>
        </is>
      </c>
      <c r="D9" t="inlineStr">
        <is>
          <t>MARIO PEDRO FELICIANO - HORTIFRUTI</t>
        </is>
      </c>
      <c r="E9" t="n">
        <v>112.3</v>
      </c>
      <c r="F9" s="27" t="n">
        <v>46023</v>
      </c>
      <c r="G9" s="27" t="n">
        <v>46021</v>
      </c>
      <c r="H9" s="27" t="n">
        <v>46021</v>
      </c>
      <c r="I9" s="27" t="n">
        <v>45995</v>
      </c>
      <c r="J9" s="27" t="n">
        <v>46017</v>
      </c>
      <c r="K9" t="inlineStr">
        <is>
          <t>Boleto Bancário</t>
        </is>
      </c>
      <c r="L9" t="inlineStr">
        <is>
          <t>Custo Mercadoria Vendida</t>
        </is>
      </c>
      <c r="M9" t="inlineStr">
        <is>
          <t>Insumos - Alimentos</t>
        </is>
      </c>
      <c r="N9" t="inlineStr">
        <is>
          <t>460805</t>
        </is>
      </c>
      <c r="O9" t="inlineStr">
        <is>
          <t>Documentação Aprovada</t>
        </is>
      </c>
      <c r="P9" t="inlineStr">
        <is>
          <t>Aprovado Diretoria</t>
        </is>
      </c>
      <c r="Q9" t="inlineStr">
        <is>
          <t>Aprovado Caixa</t>
        </is>
      </c>
      <c r="R9" t="inlineStr">
        <is>
          <t>Pago</t>
        </is>
      </c>
      <c r="S9" t="n">
        <v>182</v>
      </c>
      <c r="T9" t="inlineStr">
        <is>
          <t>Love - Shibari - Kamino</t>
        </is>
      </c>
    </row>
    <row r="10">
      <c r="A10" t="n">
        <v>187397</v>
      </c>
      <c r="B10" t="n">
        <v>128</v>
      </c>
      <c r="C10" t="inlineStr">
        <is>
          <t>Love Cabaret</t>
        </is>
      </c>
      <c r="D10" t="inlineStr">
        <is>
          <t xml:space="preserve">KAMINO INSTITUICAO DE PAGAMENTO LTDA </t>
        </is>
      </c>
      <c r="E10" t="n">
        <v>1</v>
      </c>
      <c r="F10" s="27" t="n">
        <v>46021</v>
      </c>
      <c r="G10" s="27" t="n"/>
      <c r="H10" s="27" t="n">
        <v>46021</v>
      </c>
      <c r="I10" s="27" t="n">
        <v>46021</v>
      </c>
      <c r="J10" s="27" t="n"/>
      <c r="K10" t="inlineStr">
        <is>
          <t xml:space="preserve">Debito Automático </t>
        </is>
      </c>
      <c r="L10" t="inlineStr">
        <is>
          <t>Despesas Financeiras</t>
        </is>
      </c>
      <c r="M10" t="inlineStr">
        <is>
          <t>Tarifas Bancárias</t>
        </is>
      </c>
      <c r="O10" t="inlineStr">
        <is>
          <t>Documentação Aprovada</t>
        </is>
      </c>
      <c r="P10" t="inlineStr">
        <is>
          <t>Aprovado Diretoria</t>
        </is>
      </c>
      <c r="Q10" t="inlineStr">
        <is>
          <t>Aprovado Caixa</t>
        </is>
      </c>
      <c r="R10" t="inlineStr">
        <is>
          <t>Pago</t>
        </is>
      </c>
      <c r="S10" t="n">
        <v>182</v>
      </c>
      <c r="T10" t="inlineStr">
        <is>
          <t>Love - Shibari - Kamino</t>
        </is>
      </c>
    </row>
    <row r="11">
      <c r="A11" t="n">
        <v>189598</v>
      </c>
      <c r="B11" t="n">
        <v>128</v>
      </c>
      <c r="C11" t="inlineStr">
        <is>
          <t>Love Cabaret</t>
        </is>
      </c>
      <c r="D11" t="inlineStr">
        <is>
          <t>ZIGPAY LTDAS -ME</t>
        </is>
      </c>
      <c r="E11" t="n">
        <v>0</v>
      </c>
      <c r="F11" s="27" t="n">
        <v>46021</v>
      </c>
      <c r="G11" s="27" t="n"/>
      <c r="H11" s="27" t="n">
        <v>46021</v>
      </c>
      <c r="I11" s="27" t="n">
        <v>46021</v>
      </c>
      <c r="J11" s="27" t="n"/>
      <c r="K11" t="inlineStr">
        <is>
          <t>Encontro de Contas</t>
        </is>
      </c>
      <c r="L11" t="inlineStr">
        <is>
          <t>Deduções sobre Venda</t>
        </is>
      </c>
      <c r="M11" t="inlineStr">
        <is>
          <t>Meios de pagamento</t>
        </is>
      </c>
      <c r="N11" t="inlineStr">
        <is>
          <t>122025</t>
        </is>
      </c>
      <c r="R11" t="inlineStr">
        <is>
          <t>Pago</t>
        </is>
      </c>
    </row>
    <row r="12">
      <c r="A12" t="n">
        <v>181656</v>
      </c>
      <c r="B12" t="n">
        <v>128</v>
      </c>
      <c r="C12" t="inlineStr">
        <is>
          <t>Love Cabaret</t>
        </is>
      </c>
      <c r="D12" t="inlineStr">
        <is>
          <t>EMPORIO M&amp;L COMERCIO DE ALIM E BEBIDAS LTDA</t>
        </is>
      </c>
      <c r="E12" t="n">
        <v>1010.68</v>
      </c>
      <c r="F12" s="27" t="n">
        <v>46023</v>
      </c>
      <c r="G12" s="27" t="n">
        <v>46021</v>
      </c>
      <c r="H12" s="27" t="n">
        <v>46021</v>
      </c>
      <c r="I12" s="27" t="n">
        <v>45992</v>
      </c>
      <c r="J12" s="27" t="n">
        <v>45999</v>
      </c>
      <c r="K12" t="inlineStr">
        <is>
          <t>Boleto Bancário</t>
        </is>
      </c>
      <c r="L12" t="inlineStr">
        <is>
          <t>Custo Mercadoria Vendida</t>
        </is>
      </c>
      <c r="M12" t="inlineStr">
        <is>
          <t>Insumos - Alimentos</t>
        </is>
      </c>
      <c r="N12" t="inlineStr">
        <is>
          <t>483978</t>
        </is>
      </c>
      <c r="O12" t="inlineStr">
        <is>
          <t>Documentação Aprovada</t>
        </is>
      </c>
      <c r="P12" t="inlineStr">
        <is>
          <t>Aprovado Diretoria</t>
        </is>
      </c>
      <c r="Q12" t="inlineStr">
        <is>
          <t>Aprovado Caixa</t>
        </is>
      </c>
      <c r="R12" t="inlineStr">
        <is>
          <t>Pago</t>
        </is>
      </c>
      <c r="S12" t="n">
        <v>182</v>
      </c>
      <c r="T12" t="inlineStr">
        <is>
          <t>Love - Shibari - Kamino</t>
        </is>
      </c>
    </row>
    <row r="13">
      <c r="A13" t="n">
        <v>181654</v>
      </c>
      <c r="B13" t="n">
        <v>128</v>
      </c>
      <c r="C13" t="inlineStr">
        <is>
          <t>Love Cabaret</t>
        </is>
      </c>
      <c r="D13" t="inlineStr">
        <is>
          <t>EMPORIO M&amp;L COMERCIO DE ALIM E BEBIDAS LTDA</t>
        </is>
      </c>
      <c r="E13" t="n">
        <v>935.4</v>
      </c>
      <c r="F13" s="27" t="n">
        <v>46023</v>
      </c>
      <c r="G13" s="27" t="n">
        <v>46021</v>
      </c>
      <c r="H13" s="27" t="n">
        <v>46021</v>
      </c>
      <c r="I13" s="27" t="n">
        <v>45992</v>
      </c>
      <c r="J13" s="27" t="n">
        <v>45999</v>
      </c>
      <c r="K13" t="inlineStr">
        <is>
          <t>Boleto Bancário</t>
        </is>
      </c>
      <c r="L13" t="inlineStr">
        <is>
          <t>Custo Mercadoria Vendida</t>
        </is>
      </c>
      <c r="M13" t="inlineStr">
        <is>
          <t>Insumos - Bebidas</t>
        </is>
      </c>
      <c r="N13" t="inlineStr">
        <is>
          <t>484029</t>
        </is>
      </c>
      <c r="O13" t="inlineStr">
        <is>
          <t>Documentação Aprovada</t>
        </is>
      </c>
      <c r="P13" t="inlineStr">
        <is>
          <t>Aprovado Diretoria</t>
        </is>
      </c>
      <c r="Q13" t="inlineStr">
        <is>
          <t>Aprovado Caixa</t>
        </is>
      </c>
      <c r="R13" t="inlineStr">
        <is>
          <t>Pago</t>
        </is>
      </c>
      <c r="S13" t="n">
        <v>182</v>
      </c>
      <c r="T13" t="inlineStr">
        <is>
          <t>Love - Shibari - Kamino</t>
        </is>
      </c>
    </row>
    <row r="14">
      <c r="A14" t="n">
        <v>181551</v>
      </c>
      <c r="B14" t="n">
        <v>128</v>
      </c>
      <c r="C14" t="inlineStr">
        <is>
          <t>Love Cabaret</t>
        </is>
      </c>
      <c r="D14" t="inlineStr">
        <is>
          <t>EMPORIO M&amp;L COMERCIO DE ALIM E BEBIDAS LTDA</t>
        </is>
      </c>
      <c r="E14" t="n">
        <v>2214.25</v>
      </c>
      <c r="F14" s="27" t="n">
        <v>46023</v>
      </c>
      <c r="G14" s="27" t="n">
        <v>46021</v>
      </c>
      <c r="H14" s="27" t="n">
        <v>46021</v>
      </c>
      <c r="I14" s="27" t="n">
        <v>45992</v>
      </c>
      <c r="J14" s="27" t="n">
        <v>45999</v>
      </c>
      <c r="K14" t="inlineStr">
        <is>
          <t>Boleto Bancário</t>
        </is>
      </c>
      <c r="L14" t="inlineStr">
        <is>
          <t>Custo Mercadoria Vendida</t>
        </is>
      </c>
      <c r="M14" t="inlineStr">
        <is>
          <t>Insumos - Alimentos</t>
        </is>
      </c>
      <c r="N14" t="inlineStr">
        <is>
          <t>483974</t>
        </is>
      </c>
      <c r="O14" t="inlineStr">
        <is>
          <t>Documentação Aprovada</t>
        </is>
      </c>
      <c r="P14" t="inlineStr">
        <is>
          <t>Aprovado Diretoria</t>
        </is>
      </c>
      <c r="Q14" t="inlineStr">
        <is>
          <t>Aprovado Caixa</t>
        </is>
      </c>
      <c r="R14" t="inlineStr">
        <is>
          <t>Pago</t>
        </is>
      </c>
      <c r="S14" t="n">
        <v>182</v>
      </c>
      <c r="T14" t="inlineStr">
        <is>
          <t>Love - Shibari - Kamino</t>
        </is>
      </c>
    </row>
    <row r="15">
      <c r="A15" t="n">
        <v>164670</v>
      </c>
      <c r="B15" t="n">
        <v>128</v>
      </c>
      <c r="C15" t="inlineStr">
        <is>
          <t>Love Cabaret</t>
        </is>
      </c>
      <c r="D15" t="inlineStr">
        <is>
          <t>PJ 00192022 - FELIPE FERREIRA FRANCA</t>
        </is>
      </c>
      <c r="E15" t="n">
        <v>176.5</v>
      </c>
      <c r="F15" s="27" t="n">
        <v>45988</v>
      </c>
      <c r="G15" s="27" t="n">
        <v>46020</v>
      </c>
      <c r="H15" s="27" t="n">
        <v>46021</v>
      </c>
      <c r="I15" s="27" t="n">
        <v>45960</v>
      </c>
      <c r="J15" s="27" t="n">
        <v>45932</v>
      </c>
      <c r="K15" t="inlineStr">
        <is>
          <t>Transferência Bancária ou Pix</t>
        </is>
      </c>
      <c r="L15" t="inlineStr">
        <is>
          <t>Utilidades</t>
        </is>
      </c>
      <c r="M15" t="inlineStr">
        <is>
          <t>Serviços Graficos</t>
        </is>
      </c>
      <c r="N15" t="inlineStr">
        <is>
          <t>RP 1002025</t>
        </is>
      </c>
      <c r="O15" t="inlineStr">
        <is>
          <t>Documentação Aprovada</t>
        </is>
      </c>
      <c r="P15" t="inlineStr">
        <is>
          <t>Aprovado Diretoria</t>
        </is>
      </c>
      <c r="Q15" t="inlineStr">
        <is>
          <t>Aprovado Caixa</t>
        </is>
      </c>
      <c r="R15" t="inlineStr">
        <is>
          <t>Pago</t>
        </is>
      </c>
      <c r="S15" t="n">
        <v>182</v>
      </c>
      <c r="T15" t="inlineStr">
        <is>
          <t>Love - Shibari - Kamino</t>
        </is>
      </c>
    </row>
    <row r="16">
      <c r="A16" t="n">
        <v>48374</v>
      </c>
      <c r="B16" t="n">
        <v>128</v>
      </c>
      <c r="C16" t="inlineStr">
        <is>
          <t>Love Cabaret</t>
        </is>
      </c>
      <c r="D16" t="inlineStr">
        <is>
          <t xml:space="preserve">MINISTERIO DA FAZENDA </t>
        </is>
      </c>
      <c r="E16" t="n">
        <v>21533.28</v>
      </c>
      <c r="F16" s="27" t="n">
        <v>46050</v>
      </c>
      <c r="G16" s="27" t="n">
        <v>46031</v>
      </c>
      <c r="H16" s="27" t="n">
        <v>46021</v>
      </c>
      <c r="I16" s="27" t="n">
        <v>45366</v>
      </c>
      <c r="J16" s="27" t="n"/>
      <c r="L16" t="inlineStr">
        <is>
          <t>Endividamento</t>
        </is>
      </c>
      <c r="M16" t="inlineStr">
        <is>
          <t>Endividamento Geral</t>
        </is>
      </c>
      <c r="N16" t="inlineStr">
        <is>
          <t>23/60</t>
        </is>
      </c>
      <c r="O16" t="inlineStr">
        <is>
          <t>Documentação Aprovada</t>
        </is>
      </c>
      <c r="P16" t="inlineStr">
        <is>
          <t>Aprovado Diretoria</t>
        </is>
      </c>
      <c r="Q16" t="inlineStr">
        <is>
          <t>Aprovado Caixa</t>
        </is>
      </c>
      <c r="R16" t="inlineStr">
        <is>
          <t>Pago</t>
        </is>
      </c>
      <c r="S16" t="n">
        <v>115</v>
      </c>
      <c r="T16" t="inlineStr">
        <is>
          <t>Love - Shibari - Bradesco</t>
        </is>
      </c>
    </row>
    <row r="17">
      <c r="A17" t="n">
        <v>97359</v>
      </c>
      <c r="B17" t="n">
        <v>128</v>
      </c>
      <c r="C17" t="inlineStr">
        <is>
          <t>Love Cabaret</t>
        </is>
      </c>
      <c r="D17" t="inlineStr">
        <is>
          <t>EDJANE DANTAS DE ALMEIDA SOUSA  - DESENTUPIDORA</t>
        </is>
      </c>
      <c r="E17" t="n">
        <v>1200</v>
      </c>
      <c r="F17" s="27" t="n">
        <v>46024</v>
      </c>
      <c r="G17" s="27" t="n">
        <v>46021</v>
      </c>
      <c r="H17" s="27" t="n">
        <v>46021</v>
      </c>
      <c r="I17" s="27" t="n">
        <v>46008</v>
      </c>
      <c r="J17" s="27" t="n"/>
      <c r="K17" t="inlineStr">
        <is>
          <t>Transferência Bancária ou Pix</t>
        </is>
      </c>
      <c r="L17" t="inlineStr">
        <is>
          <t>Utilidades</t>
        </is>
      </c>
      <c r="M17" t="inlineStr">
        <is>
          <t>Serviços de Limpeza</t>
        </is>
      </c>
      <c r="N17" t="inlineStr">
        <is>
          <t>124</t>
        </is>
      </c>
      <c r="O17" t="inlineStr">
        <is>
          <t>Documentação Aprovada</t>
        </is>
      </c>
      <c r="P17" t="inlineStr">
        <is>
          <t>Aprovado Diretoria</t>
        </is>
      </c>
      <c r="Q17" t="inlineStr">
        <is>
          <t>Aprovado Caixa</t>
        </is>
      </c>
      <c r="R17" t="inlineStr">
        <is>
          <t>Pago</t>
        </is>
      </c>
      <c r="S17" t="n">
        <v>182</v>
      </c>
      <c r="T17" t="inlineStr">
        <is>
          <t>Love - Shibari - Kamino</t>
        </is>
      </c>
    </row>
    <row r="18">
      <c r="A18" t="n">
        <v>96059</v>
      </c>
      <c r="B18" t="n">
        <v>128</v>
      </c>
      <c r="C18" t="inlineStr">
        <is>
          <t>Love Cabaret</t>
        </is>
      </c>
      <c r="D18" t="inlineStr">
        <is>
          <t>ISS</t>
        </is>
      </c>
      <c r="E18" t="n">
        <v>2058.51</v>
      </c>
      <c r="F18" s="27" t="n">
        <v>46022</v>
      </c>
      <c r="G18" s="27" t="n">
        <v>46020</v>
      </c>
      <c r="H18" s="27" t="n">
        <v>46021</v>
      </c>
      <c r="I18" s="27" t="n">
        <v>45991</v>
      </c>
      <c r="J18" s="27" t="n"/>
      <c r="K18" t="inlineStr">
        <is>
          <t>Boleto Bancário</t>
        </is>
      </c>
      <c r="L18" t="inlineStr">
        <is>
          <t>Endividamento</t>
        </is>
      </c>
      <c r="M18" t="inlineStr">
        <is>
          <t>Endividamento Geral</t>
        </is>
      </c>
      <c r="N18" t="inlineStr">
        <is>
          <t>12/60</t>
        </is>
      </c>
      <c r="O18" t="inlineStr">
        <is>
          <t>Documentação Aprovada</t>
        </is>
      </c>
      <c r="P18" t="inlineStr">
        <is>
          <t>Aprovado Diretoria</t>
        </is>
      </c>
      <c r="Q18" t="inlineStr">
        <is>
          <t>Aprovado Caixa</t>
        </is>
      </c>
      <c r="R18" t="inlineStr">
        <is>
          <t>Pago</t>
        </is>
      </c>
      <c r="S18" t="n">
        <v>182</v>
      </c>
      <c r="T18" t="inlineStr">
        <is>
          <t>Love - Shibari - Kamino</t>
        </is>
      </c>
    </row>
    <row r="19">
      <c r="A19" t="n">
        <v>84051</v>
      </c>
      <c r="B19" t="n">
        <v>128</v>
      </c>
      <c r="C19" t="inlineStr">
        <is>
          <t>Love Cabaret</t>
        </is>
      </c>
      <c r="D19" t="inlineStr">
        <is>
          <t>CSLL</t>
        </is>
      </c>
      <c r="E19" t="n">
        <v>1053.45</v>
      </c>
      <c r="F19" s="27" t="n">
        <v>46021</v>
      </c>
      <c r="G19" s="27" t="n">
        <v>46020</v>
      </c>
      <c r="H19" s="27" t="n">
        <v>46020</v>
      </c>
      <c r="I19" s="27" t="n">
        <v>45599</v>
      </c>
      <c r="J19" s="27" t="n"/>
      <c r="K19" t="inlineStr">
        <is>
          <t>Boleto Bancário</t>
        </is>
      </c>
      <c r="L19" t="inlineStr">
        <is>
          <t>Endividamento</t>
        </is>
      </c>
      <c r="M19" t="inlineStr">
        <is>
          <t>Endividamento Geral</t>
        </is>
      </c>
      <c r="N19" t="inlineStr">
        <is>
          <t>15/120</t>
        </is>
      </c>
      <c r="O19" t="inlineStr">
        <is>
          <t>Documentação Aprovada</t>
        </is>
      </c>
      <c r="P19" t="inlineStr">
        <is>
          <t>Aprovado Diretoria</t>
        </is>
      </c>
      <c r="Q19" t="inlineStr">
        <is>
          <t>Aprovado Caixa</t>
        </is>
      </c>
      <c r="R19" t="inlineStr">
        <is>
          <t>Pago</t>
        </is>
      </c>
      <c r="S19" t="n">
        <v>182</v>
      </c>
      <c r="T19" t="inlineStr">
        <is>
          <t>Love - Shibari - Kamino</t>
        </is>
      </c>
    </row>
    <row r="20">
      <c r="A20" t="n">
        <v>181562</v>
      </c>
      <c r="B20" t="n">
        <v>128</v>
      </c>
      <c r="C20" t="inlineStr">
        <is>
          <t>Love Cabaret</t>
        </is>
      </c>
      <c r="D20" t="inlineStr">
        <is>
          <t>WPP COMERCIO DE CARNES LTDA</t>
        </is>
      </c>
      <c r="E20" t="n">
        <v>1056</v>
      </c>
      <c r="F20" s="27" t="n">
        <v>46021</v>
      </c>
      <c r="G20" s="27" t="n">
        <v>46020</v>
      </c>
      <c r="H20" s="27" t="n">
        <v>46020</v>
      </c>
      <c r="I20" s="27" t="n">
        <v>45993</v>
      </c>
      <c r="J20" s="27" t="n">
        <v>45999</v>
      </c>
      <c r="K20" t="inlineStr">
        <is>
          <t>Boleto Bancário</t>
        </is>
      </c>
      <c r="L20" t="inlineStr">
        <is>
          <t>Custo Mercadoria Vendida</t>
        </is>
      </c>
      <c r="M20" t="inlineStr">
        <is>
          <t>Insumos - Alimentos</t>
        </is>
      </c>
      <c r="N20" t="inlineStr">
        <is>
          <t>75938</t>
        </is>
      </c>
      <c r="O20" t="inlineStr">
        <is>
          <t>Documentação Aprovada</t>
        </is>
      </c>
      <c r="P20" t="inlineStr">
        <is>
          <t>Aprovado Diretoria</t>
        </is>
      </c>
      <c r="Q20" t="inlineStr">
        <is>
          <t>Aprovado Caixa</t>
        </is>
      </c>
      <c r="R20" t="inlineStr">
        <is>
          <t>Pago</t>
        </is>
      </c>
      <c r="S20" t="n">
        <v>182</v>
      </c>
      <c r="T20" t="inlineStr">
        <is>
          <t>Love - Shibari - Kamino</t>
        </is>
      </c>
    </row>
    <row r="21">
      <c r="A21" t="n">
        <v>181568</v>
      </c>
      <c r="B21" t="n">
        <v>128</v>
      </c>
      <c r="C21" t="inlineStr">
        <is>
          <t>Love Cabaret</t>
        </is>
      </c>
      <c r="D21" t="inlineStr">
        <is>
          <t>HORTA NOVA DISTRIBUIDORA DE HORTIFRUTI LTDA</t>
        </is>
      </c>
      <c r="E21" t="n">
        <v>165</v>
      </c>
      <c r="F21" s="27" t="n">
        <v>46020</v>
      </c>
      <c r="G21" s="27" t="n">
        <v>46020</v>
      </c>
      <c r="H21" s="27" t="n">
        <v>46020</v>
      </c>
      <c r="I21" s="27" t="n">
        <v>45992</v>
      </c>
      <c r="J21" s="27" t="n">
        <v>45999</v>
      </c>
      <c r="K21" t="inlineStr">
        <is>
          <t>Boleto Bancário</t>
        </is>
      </c>
      <c r="L21" t="inlineStr">
        <is>
          <t>Custo Mercadoria Vendida</t>
        </is>
      </c>
      <c r="M21" t="inlineStr">
        <is>
          <t>Insumos - Alimentos</t>
        </is>
      </c>
      <c r="N21" t="inlineStr">
        <is>
          <t>7646</t>
        </is>
      </c>
      <c r="O21" t="inlineStr">
        <is>
          <t>Documentação Aprovada</t>
        </is>
      </c>
      <c r="P21" t="inlineStr">
        <is>
          <t>Aprovado Diretoria</t>
        </is>
      </c>
      <c r="Q21" t="inlineStr">
        <is>
          <t>Aprovado Caixa</t>
        </is>
      </c>
      <c r="R21" t="inlineStr">
        <is>
          <t>Pago</t>
        </is>
      </c>
      <c r="S21" t="n">
        <v>182</v>
      </c>
      <c r="T21" t="inlineStr">
        <is>
          <t>Love - Shibari - Kamino</t>
        </is>
      </c>
    </row>
    <row r="22">
      <c r="A22" t="n">
        <v>181557</v>
      </c>
      <c r="B22" t="n">
        <v>128</v>
      </c>
      <c r="C22" t="inlineStr">
        <is>
          <t>Love Cabaret</t>
        </is>
      </c>
      <c r="D22" t="inlineStr">
        <is>
          <t>DTK COMERCIO DE ALIMENTOS LTDA</t>
        </is>
      </c>
      <c r="E22" t="n">
        <v>632.53</v>
      </c>
      <c r="F22" s="27" t="n">
        <v>46021</v>
      </c>
      <c r="G22" s="27" t="n">
        <v>46020</v>
      </c>
      <c r="H22" s="27" t="n">
        <v>46020</v>
      </c>
      <c r="I22" s="27" t="n">
        <v>45993</v>
      </c>
      <c r="J22" s="27" t="n">
        <v>45999</v>
      </c>
      <c r="K22" t="inlineStr">
        <is>
          <t>Boleto Bancário</t>
        </is>
      </c>
      <c r="L22" t="inlineStr">
        <is>
          <t>Custo Mercadoria Vendida</t>
        </is>
      </c>
      <c r="M22" t="inlineStr">
        <is>
          <t>Insumos - Alimentos</t>
        </is>
      </c>
      <c r="N22" t="inlineStr">
        <is>
          <t>55214</t>
        </is>
      </c>
      <c r="O22" t="inlineStr">
        <is>
          <t>Documentação Aprovada</t>
        </is>
      </c>
      <c r="P22" t="inlineStr">
        <is>
          <t>Aprovado Diretoria</t>
        </is>
      </c>
      <c r="Q22" t="inlineStr">
        <is>
          <t>Aprovado Caixa</t>
        </is>
      </c>
      <c r="R22" t="inlineStr">
        <is>
          <t>Pago</t>
        </is>
      </c>
      <c r="S22" t="n">
        <v>182</v>
      </c>
      <c r="T22" t="inlineStr">
        <is>
          <t>Love - Shibari - Kamino</t>
        </is>
      </c>
    </row>
    <row r="23">
      <c r="A23" t="n">
        <v>181696</v>
      </c>
      <c r="B23" t="n">
        <v>128</v>
      </c>
      <c r="C23" t="inlineStr">
        <is>
          <t>Love Cabaret</t>
        </is>
      </c>
      <c r="D23" t="inlineStr">
        <is>
          <t>EAU - DISTRIBUIDORA DE AGUA MINERAL LTDA</t>
        </is>
      </c>
      <c r="E23" t="n">
        <v>1554.44</v>
      </c>
      <c r="F23" s="27" t="n">
        <v>46020</v>
      </c>
      <c r="G23" s="27" t="n">
        <v>46020</v>
      </c>
      <c r="H23" s="27" t="n">
        <v>46020</v>
      </c>
      <c r="I23" s="27" t="n">
        <v>45992</v>
      </c>
      <c r="J23" s="27" t="n">
        <v>46000</v>
      </c>
      <c r="K23" t="inlineStr">
        <is>
          <t>Boleto Bancário</t>
        </is>
      </c>
      <c r="L23" t="inlineStr">
        <is>
          <t>Custo Mercadoria Vendida</t>
        </is>
      </c>
      <c r="M23" t="inlineStr">
        <is>
          <t>Insumos - Bebidas</t>
        </is>
      </c>
      <c r="N23" t="inlineStr">
        <is>
          <t>279946</t>
        </is>
      </c>
      <c r="O23" t="inlineStr">
        <is>
          <t>Documentação Aprovada</t>
        </is>
      </c>
      <c r="P23" t="inlineStr">
        <is>
          <t>Aprovado Diretoria</t>
        </is>
      </c>
      <c r="Q23" t="inlineStr">
        <is>
          <t>Aprovado Caixa</t>
        </is>
      </c>
      <c r="R23" t="inlineStr">
        <is>
          <t>Pago</t>
        </is>
      </c>
      <c r="S23" t="n">
        <v>182</v>
      </c>
      <c r="T23" t="inlineStr">
        <is>
          <t>Love - Shibari - Kamino</t>
        </is>
      </c>
    </row>
    <row r="24">
      <c r="A24" t="n">
        <v>181695</v>
      </c>
      <c r="B24" t="n">
        <v>128</v>
      </c>
      <c r="C24" t="inlineStr">
        <is>
          <t>Love Cabaret</t>
        </is>
      </c>
      <c r="D24" t="inlineStr">
        <is>
          <t>MARCOS SILVA DO NASCIMENTO</t>
        </is>
      </c>
      <c r="E24" t="n">
        <v>263.87</v>
      </c>
      <c r="F24" s="27" t="n">
        <v>46022</v>
      </c>
      <c r="G24" s="27" t="n">
        <v>46020</v>
      </c>
      <c r="H24" s="27" t="n">
        <v>46020</v>
      </c>
      <c r="I24" s="27" t="n">
        <v>45992</v>
      </c>
      <c r="J24" s="27" t="n">
        <v>46000</v>
      </c>
      <c r="K24" t="inlineStr">
        <is>
          <t>Boleto Bancário</t>
        </is>
      </c>
      <c r="L24" t="inlineStr">
        <is>
          <t>Custo Mercadoria Vendida</t>
        </is>
      </c>
      <c r="M24" t="inlineStr">
        <is>
          <t>Insumos - Alimentos</t>
        </is>
      </c>
      <c r="N24" t="inlineStr">
        <is>
          <t>622</t>
        </is>
      </c>
      <c r="O24" t="inlineStr">
        <is>
          <t>Documentação Aprovada</t>
        </is>
      </c>
      <c r="P24" t="inlineStr">
        <is>
          <t>Aprovado Diretoria</t>
        </is>
      </c>
      <c r="Q24" t="inlineStr">
        <is>
          <t>Aprovado Caixa</t>
        </is>
      </c>
      <c r="R24" t="inlineStr">
        <is>
          <t>Pago</t>
        </is>
      </c>
      <c r="S24" t="n">
        <v>182</v>
      </c>
      <c r="T24" t="inlineStr">
        <is>
          <t>Love - Shibari - Kamino</t>
        </is>
      </c>
    </row>
    <row r="25">
      <c r="A25" t="n">
        <v>181693</v>
      </c>
      <c r="B25" t="n">
        <v>128</v>
      </c>
      <c r="C25" t="inlineStr">
        <is>
          <t>Love Cabaret</t>
        </is>
      </c>
      <c r="D25" t="inlineStr">
        <is>
          <t>CECILIA TSUYACO ARAKI SILVA LTDA</t>
        </is>
      </c>
      <c r="E25" t="n">
        <v>180.9</v>
      </c>
      <c r="F25" s="27" t="n">
        <v>46020</v>
      </c>
      <c r="G25" s="27" t="n">
        <v>46020</v>
      </c>
      <c r="H25" s="27" t="n">
        <v>46020</v>
      </c>
      <c r="I25" s="27" t="n">
        <v>45992</v>
      </c>
      <c r="J25" s="27" t="n">
        <v>46000</v>
      </c>
      <c r="K25" t="inlineStr">
        <is>
          <t>Boleto Bancário</t>
        </is>
      </c>
      <c r="L25" t="inlineStr">
        <is>
          <t>Custo Mercadoria Vendida</t>
        </is>
      </c>
      <c r="M25" t="inlineStr">
        <is>
          <t>Insumos - Alimentos</t>
        </is>
      </c>
      <c r="N25" t="inlineStr">
        <is>
          <t>382679</t>
        </is>
      </c>
      <c r="O25" t="inlineStr">
        <is>
          <t>Documentação Aprovada</t>
        </is>
      </c>
      <c r="P25" t="inlineStr">
        <is>
          <t>Aprovado Diretoria</t>
        </is>
      </c>
      <c r="Q25" t="inlineStr">
        <is>
          <t>Aprovado Caixa</t>
        </is>
      </c>
      <c r="R25" t="inlineStr">
        <is>
          <t>Pago</t>
        </is>
      </c>
      <c r="S25" t="n">
        <v>182</v>
      </c>
      <c r="T25" t="inlineStr">
        <is>
          <t>Love - Shibari - Kamino</t>
        </is>
      </c>
    </row>
    <row r="26">
      <c r="A26" t="n">
        <v>181692</v>
      </c>
      <c r="B26" t="n">
        <v>128</v>
      </c>
      <c r="C26" t="inlineStr">
        <is>
          <t>Love Cabaret</t>
        </is>
      </c>
      <c r="D26" t="inlineStr">
        <is>
          <t>CECILIA TSUYACO ARAKI SILVA LTDA</t>
        </is>
      </c>
      <c r="E26" t="n">
        <v>177</v>
      </c>
      <c r="F26" s="27" t="n">
        <v>46020</v>
      </c>
      <c r="G26" s="27" t="n">
        <v>46020</v>
      </c>
      <c r="H26" s="27" t="n">
        <v>46020</v>
      </c>
      <c r="I26" s="27" t="n">
        <v>45992</v>
      </c>
      <c r="J26" s="27" t="n">
        <v>46000</v>
      </c>
      <c r="K26" t="inlineStr">
        <is>
          <t>Boleto Bancário</t>
        </is>
      </c>
      <c r="L26" t="inlineStr">
        <is>
          <t>Custo Mercadoria Vendida</t>
        </is>
      </c>
      <c r="M26" t="inlineStr">
        <is>
          <t>Insumos - Alimentos</t>
        </is>
      </c>
      <c r="N26" t="inlineStr">
        <is>
          <t>382709</t>
        </is>
      </c>
      <c r="O26" t="inlineStr">
        <is>
          <t>Documentação Aprovada</t>
        </is>
      </c>
      <c r="P26" t="inlineStr">
        <is>
          <t>Aprovado Diretoria</t>
        </is>
      </c>
      <c r="Q26" t="inlineStr">
        <is>
          <t>Aprovado Caixa</t>
        </is>
      </c>
      <c r="R26" t="inlineStr">
        <is>
          <t>Pago</t>
        </is>
      </c>
      <c r="S26" t="n">
        <v>182</v>
      </c>
      <c r="T26" t="inlineStr">
        <is>
          <t>Love - Shibari - Kamino</t>
        </is>
      </c>
    </row>
    <row r="27">
      <c r="A27" t="n">
        <v>181641</v>
      </c>
      <c r="B27" t="n">
        <v>128</v>
      </c>
      <c r="C27" t="inlineStr">
        <is>
          <t>Love Cabaret</t>
        </is>
      </c>
      <c r="D27" t="inlineStr">
        <is>
          <t>HORTA NOVA DISTRIBUIDORA DE HORTIFRUTI LTDA</t>
        </is>
      </c>
      <c r="E27" t="n">
        <v>68.5</v>
      </c>
      <c r="F27" s="27" t="n">
        <v>46020</v>
      </c>
      <c r="G27" s="27" t="n">
        <v>46020</v>
      </c>
      <c r="H27" s="27" t="n">
        <v>46020</v>
      </c>
      <c r="I27" s="27" t="n">
        <v>45992</v>
      </c>
      <c r="J27" s="27" t="n">
        <v>45999</v>
      </c>
      <c r="K27" t="inlineStr">
        <is>
          <t>Boleto Bancário</t>
        </is>
      </c>
      <c r="L27" t="inlineStr">
        <is>
          <t>Custo Mercadoria Vendida</t>
        </is>
      </c>
      <c r="M27" t="inlineStr">
        <is>
          <t>Insumos - Alimentos</t>
        </is>
      </c>
      <c r="N27" t="inlineStr">
        <is>
          <t>7631</t>
        </is>
      </c>
      <c r="O27" t="inlineStr">
        <is>
          <t>Documentação Aprovada</t>
        </is>
      </c>
      <c r="P27" t="inlineStr">
        <is>
          <t>Aprovado Diretoria</t>
        </is>
      </c>
      <c r="Q27" t="inlineStr">
        <is>
          <t>Aprovado Caixa</t>
        </is>
      </c>
      <c r="R27" t="inlineStr">
        <is>
          <t>Pago</t>
        </is>
      </c>
      <c r="S27" t="n">
        <v>182</v>
      </c>
      <c r="T27" t="inlineStr">
        <is>
          <t>Love - Shibari - Kamino</t>
        </is>
      </c>
    </row>
    <row r="28">
      <c r="A28" t="n">
        <v>181643</v>
      </c>
      <c r="B28" t="n">
        <v>128</v>
      </c>
      <c r="C28" t="inlineStr">
        <is>
          <t>Love Cabaret</t>
        </is>
      </c>
      <c r="D28" t="inlineStr">
        <is>
          <t>MARIO PEDRO FELICIANO - HORTIFRUTI</t>
        </is>
      </c>
      <c r="E28" t="n">
        <v>9.43</v>
      </c>
      <c r="F28" s="27" t="n">
        <v>46020</v>
      </c>
      <c r="G28" s="27" t="n">
        <v>46020</v>
      </c>
      <c r="H28" s="27" t="n">
        <v>46020</v>
      </c>
      <c r="I28" s="27" t="n">
        <v>45992</v>
      </c>
      <c r="J28" s="27" t="n">
        <v>45999</v>
      </c>
      <c r="K28" t="inlineStr">
        <is>
          <t>Boleto Bancário</t>
        </is>
      </c>
      <c r="L28" t="inlineStr">
        <is>
          <t>Custo Mercadoria Vendida</t>
        </is>
      </c>
      <c r="M28" t="inlineStr">
        <is>
          <t>Insumos - Alimentos</t>
        </is>
      </c>
      <c r="N28" t="inlineStr">
        <is>
          <t>460430</t>
        </is>
      </c>
      <c r="O28" t="inlineStr">
        <is>
          <t>Documentação Aprovada</t>
        </is>
      </c>
      <c r="P28" t="inlineStr">
        <is>
          <t>Aprovado Diretoria</t>
        </is>
      </c>
      <c r="Q28" t="inlineStr">
        <is>
          <t>Aprovado Caixa</t>
        </is>
      </c>
      <c r="R28" t="inlineStr">
        <is>
          <t>Pago</t>
        </is>
      </c>
      <c r="S28" t="n">
        <v>182</v>
      </c>
      <c r="T28" t="inlineStr">
        <is>
          <t>Love - Shibari - Kamino</t>
        </is>
      </c>
    </row>
    <row r="29">
      <c r="A29" t="n">
        <v>181651</v>
      </c>
      <c r="B29" t="n">
        <v>128</v>
      </c>
      <c r="C29" t="inlineStr">
        <is>
          <t>Love Cabaret</t>
        </is>
      </c>
      <c r="D29" t="inlineStr">
        <is>
          <t>B.B DISTRIBUIDORA DE CARNES LTDA</t>
        </is>
      </c>
      <c r="E29" t="n">
        <v>173.6</v>
      </c>
      <c r="F29" s="27" t="n">
        <v>46020</v>
      </c>
      <c r="G29" s="27" t="n">
        <v>46020</v>
      </c>
      <c r="H29" s="27" t="n">
        <v>46020</v>
      </c>
      <c r="I29" s="27" t="n">
        <v>45992</v>
      </c>
      <c r="J29" s="27" t="n">
        <v>45999</v>
      </c>
      <c r="K29" t="inlineStr">
        <is>
          <t>Boleto Bancário</t>
        </is>
      </c>
      <c r="L29" t="inlineStr">
        <is>
          <t>Custo Mercadoria Vendida</t>
        </is>
      </c>
      <c r="M29" t="inlineStr">
        <is>
          <t>Insumos - Alimentos</t>
        </is>
      </c>
      <c r="N29" t="inlineStr">
        <is>
          <t>409116</t>
        </is>
      </c>
      <c r="O29" t="inlineStr">
        <is>
          <t>Documentação Aprovada</t>
        </is>
      </c>
      <c r="P29" t="inlineStr">
        <is>
          <t>Aprovado Diretoria</t>
        </is>
      </c>
      <c r="Q29" t="inlineStr">
        <is>
          <t>Aprovado Caixa</t>
        </is>
      </c>
      <c r="R29" t="inlineStr">
        <is>
          <t>Pago</t>
        </is>
      </c>
      <c r="S29" t="n">
        <v>182</v>
      </c>
      <c r="T29" t="inlineStr">
        <is>
          <t>Love - Shibari - Kamino</t>
        </is>
      </c>
    </row>
    <row r="30">
      <c r="A30" t="n">
        <v>181635</v>
      </c>
      <c r="B30" t="n">
        <v>128</v>
      </c>
      <c r="C30" t="inlineStr">
        <is>
          <t>Love Cabaret</t>
        </is>
      </c>
      <c r="D30" t="inlineStr">
        <is>
          <t>WIDE STOCK COMERCIO E DISTRIBUICAO LTDA</t>
        </is>
      </c>
      <c r="E30" t="n">
        <v>310.2</v>
      </c>
      <c r="F30" s="27" t="n">
        <v>46020</v>
      </c>
      <c r="G30" s="27" t="n">
        <v>46020</v>
      </c>
      <c r="H30" s="27" t="n">
        <v>46020</v>
      </c>
      <c r="I30" s="27" t="n">
        <v>45992</v>
      </c>
      <c r="J30" s="27" t="n">
        <v>45999</v>
      </c>
      <c r="K30" t="inlineStr">
        <is>
          <t>Boleto Bancário</t>
        </is>
      </c>
      <c r="L30" t="inlineStr">
        <is>
          <t>Utilidades</t>
        </is>
      </c>
      <c r="M30" t="inlineStr">
        <is>
          <t>Higiene e Limpeza</t>
        </is>
      </c>
      <c r="N30" t="inlineStr">
        <is>
          <t>420893</t>
        </is>
      </c>
      <c r="O30" t="inlineStr">
        <is>
          <t>Documentação Aprovada</t>
        </is>
      </c>
      <c r="P30" t="inlineStr">
        <is>
          <t>Aprovado Diretoria</t>
        </is>
      </c>
      <c r="Q30" t="inlineStr">
        <is>
          <t>Aprovado Caixa</t>
        </is>
      </c>
      <c r="R30" t="inlineStr">
        <is>
          <t>Pago</t>
        </is>
      </c>
      <c r="S30" t="n">
        <v>182</v>
      </c>
      <c r="T30" t="inlineStr">
        <is>
          <t>Love - Shibari - Kamino</t>
        </is>
      </c>
    </row>
    <row r="31">
      <c r="A31" t="n">
        <v>179323</v>
      </c>
      <c r="B31" t="n">
        <v>128</v>
      </c>
      <c r="C31" t="inlineStr">
        <is>
          <t>Love Cabaret</t>
        </is>
      </c>
      <c r="D31" t="inlineStr">
        <is>
          <t xml:space="preserve">MINISTERIO DA FAZENDA </t>
        </is>
      </c>
      <c r="E31" t="n">
        <v>4014.56</v>
      </c>
      <c r="F31" s="27" t="n">
        <v>46019</v>
      </c>
      <c r="G31" s="27" t="n">
        <v>46020</v>
      </c>
      <c r="H31" s="27" t="n">
        <v>46020</v>
      </c>
      <c r="I31" s="27" t="n">
        <v>45992</v>
      </c>
      <c r="J31" s="27" t="n"/>
      <c r="K31" t="inlineStr">
        <is>
          <t>Boleto Bancário</t>
        </is>
      </c>
      <c r="L31" t="inlineStr">
        <is>
          <t>Endividamento</t>
        </is>
      </c>
      <c r="M31" t="inlineStr">
        <is>
          <t>Endividamento Geral</t>
        </is>
      </c>
      <c r="N31" t="inlineStr">
        <is>
          <t>2/60</t>
        </is>
      </c>
      <c r="O31" t="inlineStr">
        <is>
          <t>Documentação Aprovada</t>
        </is>
      </c>
      <c r="P31" t="inlineStr">
        <is>
          <t>Aprovado Diretoria</t>
        </is>
      </c>
      <c r="Q31" t="inlineStr">
        <is>
          <t>Aprovado Caixa</t>
        </is>
      </c>
      <c r="R31" t="inlineStr">
        <is>
          <t>Pago</t>
        </is>
      </c>
      <c r="S31" t="n">
        <v>182</v>
      </c>
      <c r="T31" t="inlineStr">
        <is>
          <t>Love - Shibari - Kamino</t>
        </is>
      </c>
    </row>
    <row r="32">
      <c r="A32" t="n">
        <v>182700</v>
      </c>
      <c r="B32" t="n">
        <v>128</v>
      </c>
      <c r="C32" t="inlineStr">
        <is>
          <t>Love Cabaret</t>
        </is>
      </c>
      <c r="D32" t="inlineStr">
        <is>
          <t>IRRF</t>
        </is>
      </c>
      <c r="E32" t="n">
        <v>199.2</v>
      </c>
      <c r="F32" s="27" t="n">
        <v>46010</v>
      </c>
      <c r="G32" s="27" t="n">
        <v>46020</v>
      </c>
      <c r="H32" s="27" t="n">
        <v>46020</v>
      </c>
      <c r="I32" s="27" t="n">
        <v>45980</v>
      </c>
      <c r="J32" s="27" t="n"/>
      <c r="K32" t="inlineStr">
        <is>
          <t>Boleto Bancário</t>
        </is>
      </c>
      <c r="L32" t="inlineStr">
        <is>
          <t>Mão de Obra - Encargos e Provisões</t>
        </is>
      </c>
      <c r="M32" t="inlineStr">
        <is>
          <t>IRRF - MDO CLT - Salário</t>
        </is>
      </c>
      <c r="N32" t="inlineStr">
        <is>
          <t>112025</t>
        </is>
      </c>
      <c r="O32" t="inlineStr">
        <is>
          <t>Documentação Aprovada</t>
        </is>
      </c>
      <c r="P32" t="inlineStr">
        <is>
          <t>Aprovado Diretoria</t>
        </is>
      </c>
      <c r="Q32" t="inlineStr">
        <is>
          <t>Aprovado Caixa</t>
        </is>
      </c>
      <c r="R32" t="inlineStr">
        <is>
          <t>Pago</t>
        </is>
      </c>
      <c r="S32" t="n">
        <v>182</v>
      </c>
      <c r="T32" t="inlineStr">
        <is>
          <t>Love - Shibari - Kamino</t>
        </is>
      </c>
    </row>
    <row r="33">
      <c r="A33" t="n">
        <v>184035</v>
      </c>
      <c r="B33" t="n">
        <v>128</v>
      </c>
      <c r="C33" t="inlineStr">
        <is>
          <t>Love Cabaret</t>
        </is>
      </c>
      <c r="D33" t="inlineStr">
        <is>
          <t>ASSAZ ORGANICA INDUSTRIA E COMERCIO DE ALIMENTOS LTDA</t>
        </is>
      </c>
      <c r="E33" t="n">
        <v>60.5</v>
      </c>
      <c r="F33" s="27" t="n">
        <v>46018</v>
      </c>
      <c r="G33" s="27" t="n">
        <v>46020</v>
      </c>
      <c r="H33" s="27" t="n">
        <v>46020</v>
      </c>
      <c r="I33" s="27" t="n">
        <v>46003</v>
      </c>
      <c r="J33" s="27" t="n">
        <v>46008</v>
      </c>
      <c r="K33" t="inlineStr">
        <is>
          <t>Boleto Bancário</t>
        </is>
      </c>
      <c r="L33" t="inlineStr">
        <is>
          <t>Custo Mercadoria Vendida</t>
        </is>
      </c>
      <c r="M33" t="inlineStr">
        <is>
          <t>Insumos - Alimentos</t>
        </is>
      </c>
      <c r="N33" t="inlineStr">
        <is>
          <t>24932</t>
        </is>
      </c>
      <c r="O33" t="inlineStr">
        <is>
          <t>Documentação Aprovada</t>
        </is>
      </c>
      <c r="P33" t="inlineStr">
        <is>
          <t>Aprovado Diretoria</t>
        </is>
      </c>
      <c r="Q33" t="inlineStr">
        <is>
          <t>Aprovado Caixa</t>
        </is>
      </c>
      <c r="R33" t="inlineStr">
        <is>
          <t>Pago</t>
        </is>
      </c>
      <c r="S33" t="n">
        <v>182</v>
      </c>
      <c r="T33" t="inlineStr">
        <is>
          <t>Love - Shibari - Kamino</t>
        </is>
      </c>
    </row>
    <row r="34">
      <c r="A34" t="n">
        <v>187387</v>
      </c>
      <c r="B34" t="n">
        <v>128</v>
      </c>
      <c r="C34" t="inlineStr">
        <is>
          <t>Love Cabaret</t>
        </is>
      </c>
      <c r="D34" t="inlineStr">
        <is>
          <t xml:space="preserve">KAMINO INSTITUICAO DE PAGAMENTO LTDA </t>
        </is>
      </c>
      <c r="E34" t="n">
        <v>2.5</v>
      </c>
      <c r="F34" s="27" t="n">
        <v>46020</v>
      </c>
      <c r="G34" s="27" t="n"/>
      <c r="H34" s="27" t="n">
        <v>46020</v>
      </c>
      <c r="I34" s="27" t="n">
        <v>46020</v>
      </c>
      <c r="J34" s="27" t="n"/>
      <c r="K34" t="inlineStr">
        <is>
          <t xml:space="preserve">Debito Automático </t>
        </is>
      </c>
      <c r="L34" t="inlineStr">
        <is>
          <t>Despesas Financeiras</t>
        </is>
      </c>
      <c r="M34" t="inlineStr">
        <is>
          <t>Tarifas Bancárias</t>
        </is>
      </c>
      <c r="O34" t="inlineStr">
        <is>
          <t>Documentação Aprovada</t>
        </is>
      </c>
      <c r="P34" t="inlineStr">
        <is>
          <t>Aprovado Diretoria</t>
        </is>
      </c>
      <c r="Q34" t="inlineStr">
        <is>
          <t>Aprovado Caixa</t>
        </is>
      </c>
      <c r="R34" t="inlineStr">
        <is>
          <t>Pago</t>
        </is>
      </c>
      <c r="S34" t="n">
        <v>182</v>
      </c>
      <c r="T34" t="inlineStr">
        <is>
          <t>Love - Shibari - Kamino</t>
        </is>
      </c>
    </row>
    <row r="35">
      <c r="A35" t="n">
        <v>184143</v>
      </c>
      <c r="B35" t="n">
        <v>128</v>
      </c>
      <c r="C35" t="inlineStr">
        <is>
          <t>Love Cabaret</t>
        </is>
      </c>
      <c r="D35" t="inlineStr">
        <is>
          <t>PAULO CESAR MEDEIROS EYEZANIO</t>
        </is>
      </c>
      <c r="E35" t="n">
        <v>3200</v>
      </c>
      <c r="F35" s="27" t="n">
        <v>46021</v>
      </c>
      <c r="G35" s="27" t="n">
        <v>46020</v>
      </c>
      <c r="H35" s="27" t="n">
        <v>46020</v>
      </c>
      <c r="I35" s="27" t="n">
        <v>45992</v>
      </c>
      <c r="J35" s="27" t="n">
        <v>46008</v>
      </c>
      <c r="K35" t="inlineStr">
        <is>
          <t>Transferência Bancária ou Pix</t>
        </is>
      </c>
      <c r="L35" t="inlineStr">
        <is>
          <t>Serviços de Terceiros</t>
        </is>
      </c>
      <c r="M35" t="inlineStr">
        <is>
          <t>Assessoria Jurídica</t>
        </is>
      </c>
      <c r="N35" t="inlineStr">
        <is>
          <t>RP1302025</t>
        </is>
      </c>
      <c r="O35" t="inlineStr">
        <is>
          <t>Documentação Aprovada</t>
        </is>
      </c>
      <c r="P35" t="inlineStr">
        <is>
          <t>Aprovado Diretoria</t>
        </is>
      </c>
      <c r="Q35" t="inlineStr">
        <is>
          <t>Aprovado Caixa</t>
        </is>
      </c>
      <c r="R35" t="inlineStr">
        <is>
          <t>Pago</t>
        </is>
      </c>
      <c r="S35" t="n">
        <v>182</v>
      </c>
      <c r="T35" t="inlineStr">
        <is>
          <t>Love - Shibari - Kamino</t>
        </is>
      </c>
    </row>
    <row r="36">
      <c r="A36" t="n">
        <v>184389</v>
      </c>
      <c r="B36" t="n">
        <v>128</v>
      </c>
      <c r="C36" t="inlineStr">
        <is>
          <t>Love Cabaret</t>
        </is>
      </c>
      <c r="D36" t="inlineStr">
        <is>
          <t>TELEFONICA BRASIL S/A</t>
        </is>
      </c>
      <c r="E36" t="n">
        <v>498.38</v>
      </c>
      <c r="F36" s="27" t="n">
        <v>46018</v>
      </c>
      <c r="G36" s="27" t="n">
        <v>46020</v>
      </c>
      <c r="H36" s="27" t="n">
        <v>46020</v>
      </c>
      <c r="I36" s="27" t="n">
        <v>45992</v>
      </c>
      <c r="J36" s="27" t="n">
        <v>46009</v>
      </c>
      <c r="K36" t="inlineStr">
        <is>
          <t>Boleto Bancário</t>
        </is>
      </c>
      <c r="L36" t="inlineStr">
        <is>
          <t>Informática e TI</t>
        </is>
      </c>
      <c r="M36" t="inlineStr">
        <is>
          <t>Internet</t>
        </is>
      </c>
      <c r="N36" t="inlineStr">
        <is>
          <t>49838 122025</t>
        </is>
      </c>
      <c r="O36" t="inlineStr">
        <is>
          <t>Documentação Aprovada</t>
        </is>
      </c>
      <c r="P36" t="inlineStr">
        <is>
          <t>Aprovado Diretoria</t>
        </is>
      </c>
      <c r="Q36" t="inlineStr">
        <is>
          <t>Aprovado Caixa</t>
        </is>
      </c>
      <c r="R36" t="inlineStr">
        <is>
          <t>Pago</t>
        </is>
      </c>
      <c r="S36" t="n">
        <v>182</v>
      </c>
      <c r="T36" t="inlineStr">
        <is>
          <t>Love - Shibari - Kamino</t>
        </is>
      </c>
    </row>
    <row r="37">
      <c r="A37" t="n">
        <v>184391</v>
      </c>
      <c r="B37" t="n">
        <v>128</v>
      </c>
      <c r="C37" t="inlineStr">
        <is>
          <t>Love Cabaret</t>
        </is>
      </c>
      <c r="D37" t="inlineStr">
        <is>
          <t>TELEFONICA BRASIL S/A</t>
        </is>
      </c>
      <c r="E37" t="n">
        <v>22.18</v>
      </c>
      <c r="F37" s="27" t="n">
        <v>46018</v>
      </c>
      <c r="G37" s="27" t="n">
        <v>46020</v>
      </c>
      <c r="H37" s="27" t="n">
        <v>46020</v>
      </c>
      <c r="I37" s="27" t="n">
        <v>45991</v>
      </c>
      <c r="J37" s="27" t="n">
        <v>46009</v>
      </c>
      <c r="K37" t="inlineStr">
        <is>
          <t>Boleto Bancário</t>
        </is>
      </c>
      <c r="L37" t="inlineStr">
        <is>
          <t>Informática e TI</t>
        </is>
      </c>
      <c r="M37" t="inlineStr">
        <is>
          <t>Internet</t>
        </is>
      </c>
      <c r="N37" t="inlineStr">
        <is>
          <t>2218 112025</t>
        </is>
      </c>
      <c r="O37" t="inlineStr">
        <is>
          <t>Documentação Aprovada</t>
        </is>
      </c>
      <c r="P37" t="inlineStr">
        <is>
          <t>Aprovado Diretoria</t>
        </is>
      </c>
      <c r="Q37" t="inlineStr">
        <is>
          <t>Aprovado Caixa</t>
        </is>
      </c>
      <c r="R37" t="inlineStr">
        <is>
          <t>Pago</t>
        </is>
      </c>
      <c r="S37" t="n">
        <v>182</v>
      </c>
      <c r="T37" t="inlineStr">
        <is>
          <t>Love - Shibari - Kamino</t>
        </is>
      </c>
    </row>
    <row r="38">
      <c r="A38" t="n">
        <v>184125</v>
      </c>
      <c r="B38" t="n">
        <v>128</v>
      </c>
      <c r="C38" t="inlineStr">
        <is>
          <t>Love Cabaret</t>
        </is>
      </c>
      <c r="D38" t="inlineStr">
        <is>
          <t>JULIA BAISCH FRANZ 02463978023</t>
        </is>
      </c>
      <c r="E38" t="n">
        <v>800</v>
      </c>
      <c r="F38" s="27" t="n">
        <v>46022</v>
      </c>
      <c r="G38" s="27" t="n">
        <v>46020</v>
      </c>
      <c r="H38" s="27" t="n">
        <v>46020</v>
      </c>
      <c r="I38" s="27" t="n">
        <v>46008</v>
      </c>
      <c r="J38" s="27" t="n">
        <v>46008</v>
      </c>
      <c r="K38" t="inlineStr">
        <is>
          <t>Transferência Bancária ou Pix</t>
        </is>
      </c>
      <c r="L38" t="inlineStr">
        <is>
          <t>Custos de Eventos</t>
        </is>
      </c>
      <c r="M38" t="inlineStr">
        <is>
          <t>Serviços Terceirizados - Eventos</t>
        </is>
      </c>
      <c r="N38" t="inlineStr">
        <is>
          <t>20</t>
        </is>
      </c>
      <c r="O38" t="inlineStr">
        <is>
          <t>Documentação Aprovada</t>
        </is>
      </c>
      <c r="P38" t="inlineStr">
        <is>
          <t>Aprovado Diretoria</t>
        </is>
      </c>
      <c r="Q38" t="inlineStr">
        <is>
          <t>Aprovado Caixa</t>
        </is>
      </c>
      <c r="R38" t="inlineStr">
        <is>
          <t>Pago</t>
        </is>
      </c>
      <c r="S38" t="n">
        <v>182</v>
      </c>
      <c r="T38" t="inlineStr">
        <is>
          <t>Love - Shibari - Kamino</t>
        </is>
      </c>
    </row>
    <row r="39">
      <c r="A39" t="n">
        <v>186101</v>
      </c>
      <c r="B39" t="n">
        <v>128</v>
      </c>
      <c r="C39" t="inlineStr">
        <is>
          <t>Love Cabaret</t>
        </is>
      </c>
      <c r="D39" t="inlineStr">
        <is>
          <t xml:space="preserve">LEBANON MARKET CENTER LTDA </t>
        </is>
      </c>
      <c r="E39" t="n">
        <v>380.12</v>
      </c>
      <c r="F39" s="27" t="n">
        <v>46020</v>
      </c>
      <c r="G39" s="27" t="n">
        <v>46020</v>
      </c>
      <c r="H39" s="27" t="n">
        <v>46020</v>
      </c>
      <c r="I39" s="27" t="n">
        <v>46003</v>
      </c>
      <c r="J39" s="27" t="n">
        <v>46017</v>
      </c>
      <c r="K39" t="inlineStr">
        <is>
          <t>Boleto Bancário</t>
        </is>
      </c>
      <c r="L39" t="inlineStr">
        <is>
          <t>Custo Mercadoria Vendida</t>
        </is>
      </c>
      <c r="M39" t="inlineStr">
        <is>
          <t>Insumos - Alimentos</t>
        </is>
      </c>
      <c r="N39" t="inlineStr">
        <is>
          <t>146207</t>
        </is>
      </c>
      <c r="O39" t="inlineStr">
        <is>
          <t>Documentação Aprovada</t>
        </is>
      </c>
      <c r="P39" t="inlineStr">
        <is>
          <t>Aprovado Diretoria</t>
        </is>
      </c>
      <c r="Q39" t="inlineStr">
        <is>
          <t>Aprovado Caixa</t>
        </is>
      </c>
      <c r="R39" t="inlineStr">
        <is>
          <t>Pago</t>
        </is>
      </c>
      <c r="S39" t="n">
        <v>182</v>
      </c>
      <c r="T39" t="inlineStr">
        <is>
          <t>Love - Shibari - Kamino</t>
        </is>
      </c>
    </row>
    <row r="40">
      <c r="A40" t="n">
        <v>186102</v>
      </c>
      <c r="B40" t="n">
        <v>128</v>
      </c>
      <c r="C40" t="inlineStr">
        <is>
          <t>Love Cabaret</t>
        </is>
      </c>
      <c r="D40" t="inlineStr">
        <is>
          <t>CASA DE CARNES P.J.J.LTDA</t>
        </is>
      </c>
      <c r="E40" t="n">
        <v>419.06</v>
      </c>
      <c r="F40" s="27" t="n">
        <v>46020</v>
      </c>
      <c r="G40" s="27" t="n">
        <v>46020</v>
      </c>
      <c r="H40" s="27" t="n">
        <v>46020</v>
      </c>
      <c r="I40" s="27" t="n">
        <v>46003</v>
      </c>
      <c r="J40" s="27" t="n">
        <v>46017</v>
      </c>
      <c r="K40" t="inlineStr">
        <is>
          <t>Boleto Bancário</t>
        </is>
      </c>
      <c r="L40" t="inlineStr">
        <is>
          <t>Custo Mercadoria Vendida</t>
        </is>
      </c>
      <c r="M40" t="inlineStr">
        <is>
          <t>Insumos - Alimentos</t>
        </is>
      </c>
      <c r="N40" t="inlineStr">
        <is>
          <t>44946</t>
        </is>
      </c>
      <c r="O40" t="inlineStr">
        <is>
          <t>Documentação Aprovada</t>
        </is>
      </c>
      <c r="P40" t="inlineStr">
        <is>
          <t>Aprovado Diretoria</t>
        </is>
      </c>
      <c r="Q40" t="inlineStr">
        <is>
          <t>Aprovado Caixa</t>
        </is>
      </c>
      <c r="R40" t="inlineStr">
        <is>
          <t>Pago</t>
        </is>
      </c>
      <c r="S40" t="n">
        <v>182</v>
      </c>
      <c r="T40" t="inlineStr">
        <is>
          <t>Love - Shibari - Kamino</t>
        </is>
      </c>
    </row>
    <row r="41">
      <c r="A41" t="n">
        <v>186125</v>
      </c>
      <c r="B41" t="n">
        <v>128</v>
      </c>
      <c r="C41" t="inlineStr">
        <is>
          <t>Love Cabaret</t>
        </is>
      </c>
      <c r="D41" t="inlineStr">
        <is>
          <t>JUNDIA FOODS DISTRIBUIDORA DE PRODUTOA ALIMENTICIOS LTDA</t>
        </is>
      </c>
      <c r="E41" t="n">
        <v>657.28</v>
      </c>
      <c r="F41" s="27" t="n">
        <v>46021</v>
      </c>
      <c r="G41" s="27" t="n">
        <v>46020</v>
      </c>
      <c r="H41" s="27" t="n">
        <v>46020</v>
      </c>
      <c r="I41" s="27" t="n">
        <v>46007</v>
      </c>
      <c r="J41" s="27" t="n">
        <v>46017</v>
      </c>
      <c r="K41" t="inlineStr">
        <is>
          <t>Boleto Bancário</t>
        </is>
      </c>
      <c r="L41" t="inlineStr">
        <is>
          <t>Custo Mercadoria Vendida</t>
        </is>
      </c>
      <c r="M41" t="inlineStr">
        <is>
          <t>Insumos - Alimentos</t>
        </is>
      </c>
      <c r="N41" t="inlineStr">
        <is>
          <t>577561</t>
        </is>
      </c>
      <c r="O41" t="inlineStr">
        <is>
          <t>Documentação Aprovada</t>
        </is>
      </c>
      <c r="P41" t="inlineStr">
        <is>
          <t>Aprovado Diretoria</t>
        </is>
      </c>
      <c r="Q41" t="inlineStr">
        <is>
          <t>Aprovado Caixa</t>
        </is>
      </c>
      <c r="R41" t="inlineStr">
        <is>
          <t>Pago</t>
        </is>
      </c>
      <c r="S41" t="n">
        <v>182</v>
      </c>
      <c r="T41" t="inlineStr">
        <is>
          <t>Love - Shibari - Kamino</t>
        </is>
      </c>
    </row>
    <row r="42">
      <c r="A42" t="n">
        <v>186105</v>
      </c>
      <c r="B42" t="n">
        <v>128</v>
      </c>
      <c r="C42" t="inlineStr">
        <is>
          <t>Love Cabaret</t>
        </is>
      </c>
      <c r="D42" t="inlineStr">
        <is>
          <t>CG FOOD´S DISTRIBUIDORA DE ALIMENTOS LTDA</t>
        </is>
      </c>
      <c r="E42" t="n">
        <v>473.8</v>
      </c>
      <c r="F42" s="27" t="n">
        <v>46020</v>
      </c>
      <c r="G42" s="27" t="n">
        <v>46020</v>
      </c>
      <c r="H42" s="27" t="n">
        <v>46020</v>
      </c>
      <c r="I42" s="27" t="n">
        <v>45999</v>
      </c>
      <c r="J42" s="27" t="n">
        <v>46017</v>
      </c>
      <c r="K42" t="inlineStr">
        <is>
          <t>Boleto Bancário</t>
        </is>
      </c>
      <c r="L42" t="inlineStr">
        <is>
          <t>Custo Mercadoria Vendida</t>
        </is>
      </c>
      <c r="M42" t="inlineStr">
        <is>
          <t>Insumos - Alimentos</t>
        </is>
      </c>
      <c r="N42" t="inlineStr">
        <is>
          <t>173399</t>
        </is>
      </c>
      <c r="O42" t="inlineStr">
        <is>
          <t>Documentação Aprovada</t>
        </is>
      </c>
      <c r="P42" t="inlineStr">
        <is>
          <t>Aprovado Diretoria</t>
        </is>
      </c>
      <c r="Q42" t="inlineStr">
        <is>
          <t>Aprovado Caixa</t>
        </is>
      </c>
      <c r="R42" t="inlineStr">
        <is>
          <t>Pago</t>
        </is>
      </c>
      <c r="S42" t="n">
        <v>182</v>
      </c>
      <c r="T42" t="inlineStr">
        <is>
          <t>Love - Shibari - Kamino</t>
        </is>
      </c>
    </row>
    <row r="43">
      <c r="A43" t="n">
        <v>186122</v>
      </c>
      <c r="B43" t="n">
        <v>128</v>
      </c>
      <c r="C43" t="inlineStr">
        <is>
          <t>Love Cabaret</t>
        </is>
      </c>
      <c r="D43" t="inlineStr">
        <is>
          <t>PSSS LTDA</t>
        </is>
      </c>
      <c r="E43" t="n">
        <v>284</v>
      </c>
      <c r="F43" s="27" t="n">
        <v>46021</v>
      </c>
      <c r="G43" s="27" t="n">
        <v>46020</v>
      </c>
      <c r="H43" s="27" t="n">
        <v>46020</v>
      </c>
      <c r="I43" s="27" t="n">
        <v>46006</v>
      </c>
      <c r="J43" s="27" t="n">
        <v>46017</v>
      </c>
      <c r="K43" t="inlineStr">
        <is>
          <t>Boleto Bancário</t>
        </is>
      </c>
      <c r="L43" t="inlineStr">
        <is>
          <t>Utilidades</t>
        </is>
      </c>
      <c r="M43" t="inlineStr">
        <is>
          <t>Higiene e Limpeza</t>
        </is>
      </c>
      <c r="N43" t="inlineStr">
        <is>
          <t>2814</t>
        </is>
      </c>
      <c r="O43" t="inlineStr">
        <is>
          <t>Documentação Aprovada</t>
        </is>
      </c>
      <c r="P43" t="inlineStr">
        <is>
          <t>Aprovado Diretoria</t>
        </is>
      </c>
      <c r="Q43" t="inlineStr">
        <is>
          <t>Aprovado Caixa</t>
        </is>
      </c>
      <c r="R43" t="inlineStr">
        <is>
          <t>Pago</t>
        </is>
      </c>
      <c r="S43" t="n">
        <v>182</v>
      </c>
      <c r="T43" t="inlineStr">
        <is>
          <t>Love - Shibari - Kamino</t>
        </is>
      </c>
    </row>
    <row r="44">
      <c r="A44" t="n">
        <v>186083</v>
      </c>
      <c r="B44" t="n">
        <v>128</v>
      </c>
      <c r="C44" t="inlineStr">
        <is>
          <t>Love Cabaret</t>
        </is>
      </c>
      <c r="D44" t="inlineStr">
        <is>
          <t>ESTAFF SOLUCOES TECNOLOGICAS DE AGENCIAMENTO LTDA</t>
        </is>
      </c>
      <c r="E44" t="n">
        <v>25526.88</v>
      </c>
      <c r="F44" s="27" t="n">
        <v>46022</v>
      </c>
      <c r="G44" s="27" t="n">
        <v>46020</v>
      </c>
      <c r="H44" s="27" t="n">
        <v>46020</v>
      </c>
      <c r="I44" s="27" t="n">
        <v>45992</v>
      </c>
      <c r="J44" s="27" t="n">
        <v>46017</v>
      </c>
      <c r="K44" t="inlineStr">
        <is>
          <t>Boleto Bancário</t>
        </is>
      </c>
      <c r="L44" t="inlineStr">
        <is>
          <t>Mão de Obra - Extra</t>
        </is>
      </c>
      <c r="M44" t="inlineStr">
        <is>
          <t>Mão de Obra Extra</t>
        </is>
      </c>
      <c r="N44" t="inlineStr">
        <is>
          <t>706041894</t>
        </is>
      </c>
      <c r="O44" t="inlineStr">
        <is>
          <t>Documentação Aprovada</t>
        </is>
      </c>
      <c r="P44" t="inlineStr">
        <is>
          <t>Aprovado Diretoria</t>
        </is>
      </c>
      <c r="Q44" t="inlineStr">
        <is>
          <t>Aprovado Caixa</t>
        </is>
      </c>
      <c r="R44" t="inlineStr">
        <is>
          <t>Pago</t>
        </is>
      </c>
      <c r="S44" t="n">
        <v>182</v>
      </c>
      <c r="T44" t="inlineStr">
        <is>
          <t>Love - Shibari - Kamino</t>
        </is>
      </c>
    </row>
    <row r="45">
      <c r="A45" t="n">
        <v>186098</v>
      </c>
      <c r="B45" t="n">
        <v>128</v>
      </c>
      <c r="C45" t="inlineStr">
        <is>
          <t>Love Cabaret</t>
        </is>
      </c>
      <c r="D45" t="inlineStr">
        <is>
          <t>BATALHA FABRICA DE PAES LTDA</t>
        </is>
      </c>
      <c r="E45" t="n">
        <v>331.2</v>
      </c>
      <c r="F45" s="27" t="n">
        <v>46022</v>
      </c>
      <c r="G45" s="27" t="n">
        <v>46020</v>
      </c>
      <c r="H45" s="27" t="n">
        <v>46020</v>
      </c>
      <c r="I45" s="27" t="n">
        <v>46003</v>
      </c>
      <c r="J45" s="27" t="n">
        <v>46017</v>
      </c>
      <c r="K45" t="inlineStr">
        <is>
          <t>Boleto Bancário</t>
        </is>
      </c>
      <c r="L45" t="inlineStr">
        <is>
          <t>Custo Mercadoria Vendida</t>
        </is>
      </c>
      <c r="M45" t="inlineStr">
        <is>
          <t>Insumos - Alimentos</t>
        </is>
      </c>
      <c r="N45" t="inlineStr">
        <is>
          <t>61589</t>
        </is>
      </c>
      <c r="O45" t="inlineStr">
        <is>
          <t>Documentação Aprovada</t>
        </is>
      </c>
      <c r="P45" t="inlineStr">
        <is>
          <t>Aprovado Diretoria</t>
        </is>
      </c>
      <c r="Q45" t="inlineStr">
        <is>
          <t>Aprovado Caixa</t>
        </is>
      </c>
      <c r="R45" t="inlineStr">
        <is>
          <t>Pago</t>
        </is>
      </c>
      <c r="S45" t="n">
        <v>182</v>
      </c>
      <c r="T45" t="inlineStr">
        <is>
          <t>Love - Shibari - Kamino</t>
        </is>
      </c>
    </row>
    <row r="46">
      <c r="A46" t="n">
        <v>186097</v>
      </c>
      <c r="B46" t="n">
        <v>128</v>
      </c>
      <c r="C46" t="inlineStr">
        <is>
          <t>Love Cabaret</t>
        </is>
      </c>
      <c r="D46" t="inlineStr">
        <is>
          <t>ASSAZ ORGANICA INDUSTRIA E COMERCIO DE ALIMENTOS LTDA</t>
        </is>
      </c>
      <c r="E46" t="n">
        <v>65.25</v>
      </c>
      <c r="F46" s="27" t="n">
        <v>46022</v>
      </c>
      <c r="G46" s="27" t="n">
        <v>46020</v>
      </c>
      <c r="H46" s="27" t="n">
        <v>46020</v>
      </c>
      <c r="I46" s="27" t="n">
        <v>46007</v>
      </c>
      <c r="J46" s="27" t="n">
        <v>46017</v>
      </c>
      <c r="K46" t="inlineStr">
        <is>
          <t>Boleto Bancário</t>
        </is>
      </c>
      <c r="L46" t="inlineStr">
        <is>
          <t>Custo Mercadoria Vendida</t>
        </is>
      </c>
      <c r="M46" t="inlineStr">
        <is>
          <t>Insumos - Alimentos</t>
        </is>
      </c>
      <c r="N46" t="inlineStr">
        <is>
          <t>25005</t>
        </is>
      </c>
      <c r="O46" t="inlineStr">
        <is>
          <t>Documentação Aprovada</t>
        </is>
      </c>
      <c r="P46" t="inlineStr">
        <is>
          <t>Aprovado Diretoria</t>
        </is>
      </c>
      <c r="Q46" t="inlineStr">
        <is>
          <t>Aprovado Caixa</t>
        </is>
      </c>
      <c r="R46" t="inlineStr">
        <is>
          <t>Pago</t>
        </is>
      </c>
      <c r="S46" t="n">
        <v>182</v>
      </c>
      <c r="T46" t="inlineStr">
        <is>
          <t>Love - Shibari - Kamino</t>
        </is>
      </c>
    </row>
    <row r="47">
      <c r="A47" t="n">
        <v>186115</v>
      </c>
      <c r="B47" t="n">
        <v>128</v>
      </c>
      <c r="C47" t="inlineStr">
        <is>
          <t>Love Cabaret</t>
        </is>
      </c>
      <c r="D47" t="inlineStr">
        <is>
          <t>FG7 COMERCIO E DISTRIBUICAO DE BEBIDAS LTDA</t>
        </is>
      </c>
      <c r="E47" t="n">
        <v>613.62</v>
      </c>
      <c r="F47" s="27" t="n">
        <v>46020</v>
      </c>
      <c r="G47" s="27" t="n">
        <v>46020</v>
      </c>
      <c r="H47" s="27" t="n">
        <v>46020</v>
      </c>
      <c r="I47" s="27" t="n">
        <v>45997</v>
      </c>
      <c r="J47" s="27" t="n">
        <v>46017</v>
      </c>
      <c r="K47" t="inlineStr">
        <is>
          <t>Boleto Bancário</t>
        </is>
      </c>
      <c r="L47" t="inlineStr">
        <is>
          <t>Custo Mercadoria Vendida</t>
        </is>
      </c>
      <c r="M47" t="inlineStr">
        <is>
          <t>Insumos - Bebidas</t>
        </is>
      </c>
      <c r="N47" t="inlineStr">
        <is>
          <t>714086</t>
        </is>
      </c>
      <c r="O47" t="inlineStr">
        <is>
          <t>Documentação Aprovada</t>
        </is>
      </c>
      <c r="P47" t="inlineStr">
        <is>
          <t>Aprovado Diretoria</t>
        </is>
      </c>
      <c r="Q47" t="inlineStr">
        <is>
          <t>Aprovado Caixa</t>
        </is>
      </c>
      <c r="R47" t="inlineStr">
        <is>
          <t>Pago</t>
        </is>
      </c>
      <c r="S47" t="n">
        <v>182</v>
      </c>
      <c r="T47" t="inlineStr">
        <is>
          <t>Love - Shibari - Kamino</t>
        </is>
      </c>
    </row>
    <row r="48">
      <c r="A48" t="n">
        <v>186114</v>
      </c>
      <c r="B48" t="n">
        <v>128</v>
      </c>
      <c r="C48" t="inlineStr">
        <is>
          <t>Love Cabaret</t>
        </is>
      </c>
      <c r="D48" t="inlineStr">
        <is>
          <t>DTK COMERCIO DE ALIMENTOS LTDA</t>
        </is>
      </c>
      <c r="E48" t="n">
        <v>884.5</v>
      </c>
      <c r="F48" s="27" t="n">
        <v>46020</v>
      </c>
      <c r="G48" s="27" t="n">
        <v>46020</v>
      </c>
      <c r="H48" s="27" t="n">
        <v>46020</v>
      </c>
      <c r="I48" s="27" t="n">
        <v>45999</v>
      </c>
      <c r="J48" s="27" t="n">
        <v>46017</v>
      </c>
      <c r="K48" t="inlineStr">
        <is>
          <t>Boleto Bancário</t>
        </is>
      </c>
      <c r="L48" t="inlineStr">
        <is>
          <t>Custo Mercadoria Vendida</t>
        </is>
      </c>
      <c r="M48" t="inlineStr">
        <is>
          <t>Insumos - Alimentos</t>
        </is>
      </c>
      <c r="N48" t="inlineStr">
        <is>
          <t>56154</t>
        </is>
      </c>
      <c r="O48" t="inlineStr">
        <is>
          <t>Documentação Aprovada</t>
        </is>
      </c>
      <c r="P48" t="inlineStr">
        <is>
          <t>Aprovado Diretoria</t>
        </is>
      </c>
      <c r="Q48" t="inlineStr">
        <is>
          <t>Aprovado Caixa</t>
        </is>
      </c>
      <c r="R48" t="inlineStr">
        <is>
          <t>Pago</t>
        </is>
      </c>
      <c r="S48" t="n">
        <v>182</v>
      </c>
      <c r="T48" t="inlineStr">
        <is>
          <t>Love - Shibari - Kamino</t>
        </is>
      </c>
    </row>
    <row r="49">
      <c r="A49" t="n">
        <v>185907</v>
      </c>
      <c r="B49" t="n">
        <v>128</v>
      </c>
      <c r="C49" t="inlineStr">
        <is>
          <t>Love Cabaret</t>
        </is>
      </c>
      <c r="D49" t="inlineStr">
        <is>
          <t>VALE TRANSPORTE</t>
        </is>
      </c>
      <c r="E49" t="n">
        <v>504.98</v>
      </c>
      <c r="F49" s="27" t="n">
        <v>46020</v>
      </c>
      <c r="G49" s="27" t="n">
        <v>46020</v>
      </c>
      <c r="H49" s="27" t="n">
        <v>46020</v>
      </c>
      <c r="I49" s="27" t="n">
        <v>46023</v>
      </c>
      <c r="J49" s="27" t="n">
        <v>46015</v>
      </c>
      <c r="K49" t="inlineStr">
        <is>
          <t>Boleto Bancário</t>
        </is>
      </c>
      <c r="L49" t="inlineStr">
        <is>
          <t>Mão de Obra - Benefícios</t>
        </is>
      </c>
      <c r="M49" t="inlineStr">
        <is>
          <t xml:space="preserve">  -  Vale-transporte</t>
        </is>
      </c>
      <c r="N49" t="inlineStr">
        <is>
          <t>50498 012026</t>
        </is>
      </c>
      <c r="O49" t="inlineStr">
        <is>
          <t>Documentação Aprovada</t>
        </is>
      </c>
      <c r="P49" t="inlineStr">
        <is>
          <t>Aprovado Diretoria</t>
        </is>
      </c>
      <c r="Q49" t="inlineStr">
        <is>
          <t>Aprovado Caixa</t>
        </is>
      </c>
      <c r="R49" t="inlineStr">
        <is>
          <t>Pago</t>
        </is>
      </c>
      <c r="S49" t="n">
        <v>182</v>
      </c>
      <c r="T49" t="inlineStr">
        <is>
          <t>Love - Shibari - Kamino</t>
        </is>
      </c>
    </row>
    <row r="50">
      <c r="A50" t="n">
        <v>48468</v>
      </c>
      <c r="B50" t="n">
        <v>128</v>
      </c>
      <c r="C50" t="inlineStr">
        <is>
          <t>Love Cabaret</t>
        </is>
      </c>
      <c r="D50" t="inlineStr">
        <is>
          <t xml:space="preserve">MINISTERIO DA FAZENDA </t>
        </is>
      </c>
      <c r="E50" t="n">
        <v>21533.28</v>
      </c>
      <c r="F50" s="27" t="n">
        <v>46019</v>
      </c>
      <c r="G50" s="27" t="n">
        <v>46020</v>
      </c>
      <c r="H50" s="27" t="n">
        <v>46020</v>
      </c>
      <c r="I50" s="27" t="n">
        <v>45366</v>
      </c>
      <c r="J50" s="27" t="n"/>
      <c r="K50" t="inlineStr">
        <is>
          <t>Boleto Bancário</t>
        </is>
      </c>
      <c r="L50" t="inlineStr">
        <is>
          <t>Endividamento</t>
        </is>
      </c>
      <c r="M50" t="inlineStr">
        <is>
          <t>Endividamento Geral</t>
        </is>
      </c>
      <c r="N50" t="inlineStr">
        <is>
          <t>22/60</t>
        </is>
      </c>
      <c r="O50" t="inlineStr">
        <is>
          <t>Documentação Aprovada</t>
        </is>
      </c>
      <c r="P50" t="inlineStr">
        <is>
          <t>Aprovado Diretoria</t>
        </is>
      </c>
      <c r="Q50" t="inlineStr">
        <is>
          <t>Aprovado Caixa</t>
        </is>
      </c>
      <c r="R50" t="inlineStr">
        <is>
          <t>Pago</t>
        </is>
      </c>
      <c r="S50" t="n">
        <v>182</v>
      </c>
      <c r="T50" t="inlineStr">
        <is>
          <t>Love - Shibari - Kamino</t>
        </is>
      </c>
    </row>
    <row r="51">
      <c r="A51" t="n">
        <v>48362</v>
      </c>
      <c r="B51" t="n">
        <v>128</v>
      </c>
      <c r="C51" t="inlineStr">
        <is>
          <t>Love Cabaret</t>
        </is>
      </c>
      <c r="D51" t="inlineStr">
        <is>
          <t>ICMS</t>
        </is>
      </c>
      <c r="E51" t="n">
        <v>839.13</v>
      </c>
      <c r="F51" s="27" t="n">
        <v>46022</v>
      </c>
      <c r="G51" s="27" t="n">
        <v>46020</v>
      </c>
      <c r="H51" s="27" t="n">
        <v>46020</v>
      </c>
      <c r="I51" s="27" t="n">
        <v>45366</v>
      </c>
      <c r="J51" s="27" t="n"/>
      <c r="K51" t="inlineStr">
        <is>
          <t>Boleto Bancário</t>
        </is>
      </c>
      <c r="L51" t="inlineStr">
        <is>
          <t>Endividamento</t>
        </is>
      </c>
      <c r="M51" t="inlineStr">
        <is>
          <t>Endividamento Geral</t>
        </is>
      </c>
      <c r="N51" t="inlineStr">
        <is>
          <t>21/60</t>
        </is>
      </c>
      <c r="O51" t="inlineStr">
        <is>
          <t>Documentação Aprovada</t>
        </is>
      </c>
      <c r="P51" t="inlineStr">
        <is>
          <t>Aprovado Diretoria</t>
        </is>
      </c>
      <c r="Q51" t="inlineStr">
        <is>
          <t>Aprovado Caixa</t>
        </is>
      </c>
      <c r="R51" t="inlineStr">
        <is>
          <t>Pago</t>
        </is>
      </c>
      <c r="S51" t="n">
        <v>182</v>
      </c>
      <c r="T51" t="inlineStr">
        <is>
          <t>Love - Shibari - Kamino</t>
        </is>
      </c>
    </row>
    <row r="52">
      <c r="A52" t="n">
        <v>48505</v>
      </c>
      <c r="B52" t="n">
        <v>128</v>
      </c>
      <c r="C52" t="inlineStr">
        <is>
          <t>Love Cabaret</t>
        </is>
      </c>
      <c r="D52" t="inlineStr">
        <is>
          <t xml:space="preserve">MINISTERIO DA FAZENDA </t>
        </is>
      </c>
      <c r="E52" t="n">
        <v>616.45</v>
      </c>
      <c r="F52" s="27" t="n">
        <v>46021</v>
      </c>
      <c r="G52" s="27" t="n">
        <v>46020</v>
      </c>
      <c r="H52" s="27" t="n">
        <v>46020</v>
      </c>
      <c r="I52" s="27" t="n">
        <v>45366</v>
      </c>
      <c r="J52" s="27" t="n"/>
      <c r="K52" t="inlineStr">
        <is>
          <t>Boleto Bancário</t>
        </is>
      </c>
      <c r="L52" t="inlineStr">
        <is>
          <t>Endividamento</t>
        </is>
      </c>
      <c r="M52" t="inlineStr">
        <is>
          <t>Endividamento Geral</t>
        </is>
      </c>
      <c r="N52" t="inlineStr">
        <is>
          <t>22/45</t>
        </is>
      </c>
      <c r="O52" t="inlineStr">
        <is>
          <t>Documentação Aprovada</t>
        </is>
      </c>
      <c r="P52" t="inlineStr">
        <is>
          <t>Aprovado Diretoria</t>
        </is>
      </c>
      <c r="Q52" t="inlineStr">
        <is>
          <t>Aprovado Caixa</t>
        </is>
      </c>
      <c r="R52" t="inlineStr">
        <is>
          <t>Pago</t>
        </is>
      </c>
      <c r="S52" t="n">
        <v>182</v>
      </c>
      <c r="T52" t="inlineStr">
        <is>
          <t>Love - Shibari - Kamino</t>
        </is>
      </c>
    </row>
    <row r="53">
      <c r="A53" t="n">
        <v>51151</v>
      </c>
      <c r="B53" t="n">
        <v>128</v>
      </c>
      <c r="C53" t="inlineStr">
        <is>
          <t>Love Cabaret</t>
        </is>
      </c>
      <c r="D53" t="inlineStr">
        <is>
          <t>ICMS</t>
        </is>
      </c>
      <c r="E53" t="n">
        <v>640.9299999999999</v>
      </c>
      <c r="F53" s="27" t="n">
        <v>46022</v>
      </c>
      <c r="G53" s="27" t="n">
        <v>46020</v>
      </c>
      <c r="H53" s="27" t="n">
        <v>46020</v>
      </c>
      <c r="I53" s="27" t="n">
        <v>45406</v>
      </c>
      <c r="J53" s="27" t="n"/>
      <c r="K53" t="inlineStr">
        <is>
          <t>Boleto Bancário</t>
        </is>
      </c>
      <c r="L53" t="inlineStr">
        <is>
          <t>Endividamento</t>
        </is>
      </c>
      <c r="M53" t="inlineStr">
        <is>
          <t>Endividamento Geral</t>
        </is>
      </c>
      <c r="N53" t="inlineStr">
        <is>
          <t>20/36</t>
        </is>
      </c>
      <c r="O53" t="inlineStr">
        <is>
          <t>Documentação Aprovada</t>
        </is>
      </c>
      <c r="P53" t="inlineStr">
        <is>
          <t>Aprovado Diretoria</t>
        </is>
      </c>
      <c r="Q53" t="inlineStr">
        <is>
          <t>Aprovado Caixa</t>
        </is>
      </c>
      <c r="R53" t="inlineStr">
        <is>
          <t>Pago</t>
        </is>
      </c>
      <c r="S53" t="n">
        <v>182</v>
      </c>
      <c r="T53" t="inlineStr">
        <is>
          <t>Love - Shibari - Kamino</t>
        </is>
      </c>
    </row>
    <row r="54">
      <c r="A54" t="n">
        <v>187417</v>
      </c>
      <c r="B54" t="n">
        <v>128</v>
      </c>
      <c r="C54" t="inlineStr">
        <is>
          <t>Love Cabaret</t>
        </is>
      </c>
      <c r="D54" t="inlineStr">
        <is>
          <t>BRADESCO SA</t>
        </is>
      </c>
      <c r="E54" t="n">
        <v>9.800000000000001</v>
      </c>
      <c r="F54" s="27" t="n">
        <v>46015</v>
      </c>
      <c r="G54" s="27" t="n"/>
      <c r="H54" s="27" t="n">
        <v>46015</v>
      </c>
      <c r="I54" s="27" t="n">
        <v>46015</v>
      </c>
      <c r="J54" s="27" t="n"/>
      <c r="K54" t="inlineStr">
        <is>
          <t xml:space="preserve">Debito Automático </t>
        </is>
      </c>
      <c r="L54" t="inlineStr">
        <is>
          <t>Despesas Financeiras</t>
        </is>
      </c>
      <c r="M54" t="inlineStr">
        <is>
          <t>Tarifas Bancárias</t>
        </is>
      </c>
      <c r="O54" t="inlineStr">
        <is>
          <t>Documentação Aprovada</t>
        </is>
      </c>
      <c r="P54" t="inlineStr">
        <is>
          <t>Aprovado Diretoria</t>
        </is>
      </c>
      <c r="Q54" t="inlineStr">
        <is>
          <t>Aprovado Caixa</t>
        </is>
      </c>
      <c r="R54" t="inlineStr">
        <is>
          <t>Pago</t>
        </is>
      </c>
      <c r="S54" t="n">
        <v>115</v>
      </c>
      <c r="T54" t="inlineStr">
        <is>
          <t>Love - Shibari - Bradesco</t>
        </is>
      </c>
    </row>
    <row r="55">
      <c r="A55" t="n">
        <v>186868</v>
      </c>
      <c r="B55" t="n">
        <v>128</v>
      </c>
      <c r="C55" t="inlineStr">
        <is>
          <t>Love Cabaret</t>
        </is>
      </c>
      <c r="D55" t="inlineStr">
        <is>
          <t xml:space="preserve">KAMINO INSTITUICAO DE PAGAMENTO LTDA </t>
        </is>
      </c>
      <c r="E55" t="n">
        <v>0.5</v>
      </c>
      <c r="F55" s="27" t="n">
        <v>46014</v>
      </c>
      <c r="G55" s="27" t="n"/>
      <c r="H55" s="27" t="n">
        <v>46014</v>
      </c>
      <c r="I55" s="27" t="n">
        <v>46014</v>
      </c>
      <c r="J55" s="27" t="n"/>
      <c r="K55" t="inlineStr">
        <is>
          <t xml:space="preserve">Debito Automático </t>
        </is>
      </c>
      <c r="L55" t="inlineStr">
        <is>
          <t>Despesas Financeiras</t>
        </is>
      </c>
      <c r="M55" t="inlineStr">
        <is>
          <t>Tarifas Bancárias</t>
        </is>
      </c>
      <c r="O55" t="inlineStr">
        <is>
          <t>Documentação Aprovada</t>
        </is>
      </c>
      <c r="P55" t="inlineStr">
        <is>
          <t>Aprovado Diretoria</t>
        </is>
      </c>
      <c r="Q55" t="inlineStr">
        <is>
          <t>Aprovado Caixa</t>
        </is>
      </c>
      <c r="R55" t="inlineStr">
        <is>
          <t>Pago</t>
        </is>
      </c>
      <c r="S55" t="n">
        <v>182</v>
      </c>
      <c r="T55" t="inlineStr">
        <is>
          <t>Love - Shibari - Kamino</t>
        </is>
      </c>
    </row>
    <row r="56">
      <c r="A56" t="n">
        <v>185289</v>
      </c>
      <c r="B56" t="n">
        <v>128</v>
      </c>
      <c r="C56" t="inlineStr">
        <is>
          <t>Love Cabaret</t>
        </is>
      </c>
      <c r="D56" t="inlineStr">
        <is>
          <t>INSS</t>
        </is>
      </c>
      <c r="E56" t="n">
        <v>618.11</v>
      </c>
      <c r="F56" s="27" t="n">
        <v>46014</v>
      </c>
      <c r="G56" s="27" t="n">
        <v>46014</v>
      </c>
      <c r="H56" s="27" t="n">
        <v>46014</v>
      </c>
      <c r="I56" s="27" t="n">
        <v>45992</v>
      </c>
      <c r="J56" s="27" t="n">
        <v>46013</v>
      </c>
      <c r="K56" t="inlineStr">
        <is>
          <t>Boleto Bancário</t>
        </is>
      </c>
      <c r="L56" t="inlineStr">
        <is>
          <t>Mão de Obra - Encargos e Provisões</t>
        </is>
      </c>
      <c r="M56" t="inlineStr">
        <is>
          <t xml:space="preserve">  -  INSS sobre 13º Salários</t>
        </is>
      </c>
      <c r="N56" t="inlineStr">
        <is>
          <t>61811 132025</t>
        </is>
      </c>
      <c r="O56" t="inlineStr">
        <is>
          <t>Documentação Aprovada</t>
        </is>
      </c>
      <c r="P56" t="inlineStr">
        <is>
          <t>Aprovado Diretoria</t>
        </is>
      </c>
      <c r="Q56" t="inlineStr">
        <is>
          <t>Aprovado Caixa</t>
        </is>
      </c>
      <c r="R56" t="inlineStr">
        <is>
          <t>Pago</t>
        </is>
      </c>
      <c r="S56" t="n">
        <v>182</v>
      </c>
      <c r="T56" t="inlineStr">
        <is>
          <t>Love - Shibari - Kamino</t>
        </is>
      </c>
    </row>
    <row r="57">
      <c r="A57" t="n">
        <v>185288</v>
      </c>
      <c r="B57" t="n">
        <v>128</v>
      </c>
      <c r="C57" t="inlineStr">
        <is>
          <t>Love Cabaret</t>
        </is>
      </c>
      <c r="D57" t="inlineStr">
        <is>
          <t>INSS</t>
        </is>
      </c>
      <c r="E57" t="n">
        <v>1871.27</v>
      </c>
      <c r="F57" s="27" t="n">
        <v>46014</v>
      </c>
      <c r="G57" s="27" t="n">
        <v>46014</v>
      </c>
      <c r="H57" s="27" t="n">
        <v>46014</v>
      </c>
      <c r="I57" s="27" t="n">
        <v>45992</v>
      </c>
      <c r="J57" s="27" t="n">
        <v>46013</v>
      </c>
      <c r="K57" t="inlineStr">
        <is>
          <t>Boleto Bancário</t>
        </is>
      </c>
      <c r="L57" t="inlineStr">
        <is>
          <t>Mão de Obra - Encargos e Provisões</t>
        </is>
      </c>
      <c r="M57" t="inlineStr">
        <is>
          <t xml:space="preserve">  -  INSS sobre 13º Salários</t>
        </is>
      </c>
      <c r="N57" t="inlineStr">
        <is>
          <t>187127 132025</t>
        </is>
      </c>
      <c r="O57" t="inlineStr">
        <is>
          <t>Documentação Aprovada</t>
        </is>
      </c>
      <c r="P57" t="inlineStr">
        <is>
          <t>Aprovado Diretoria</t>
        </is>
      </c>
      <c r="Q57" t="inlineStr">
        <is>
          <t>Aprovado Caixa</t>
        </is>
      </c>
      <c r="R57" t="inlineStr">
        <is>
          <t>Pago</t>
        </is>
      </c>
      <c r="S57" t="n">
        <v>182</v>
      </c>
      <c r="T57" t="inlineStr">
        <is>
          <t>Love - Shibari - Kamino</t>
        </is>
      </c>
    </row>
    <row r="58">
      <c r="A58" t="n">
        <v>184033</v>
      </c>
      <c r="B58" t="n">
        <v>128</v>
      </c>
      <c r="C58" t="inlineStr">
        <is>
          <t>Love Cabaret</t>
        </is>
      </c>
      <c r="D58" t="inlineStr">
        <is>
          <t xml:space="preserve">HNK BR INDUSTRIA DE BEBIDAS </t>
        </is>
      </c>
      <c r="E58" t="n">
        <v>4767.97</v>
      </c>
      <c r="F58" s="27" t="n">
        <v>46017</v>
      </c>
      <c r="G58" s="27" t="n">
        <v>46014</v>
      </c>
      <c r="H58" s="27" t="n">
        <v>46014</v>
      </c>
      <c r="I58" s="27" t="n">
        <v>46003</v>
      </c>
      <c r="J58" s="27" t="n">
        <v>46008</v>
      </c>
      <c r="K58" t="inlineStr">
        <is>
          <t>Boleto Bancário</t>
        </is>
      </c>
      <c r="L58" t="inlineStr">
        <is>
          <t>Custo Mercadoria Vendida</t>
        </is>
      </c>
      <c r="M58" t="inlineStr">
        <is>
          <t>Insumos - Bebidas</t>
        </is>
      </c>
      <c r="N58" t="inlineStr">
        <is>
          <t>119663</t>
        </is>
      </c>
      <c r="O58" t="inlineStr">
        <is>
          <t>Documentação Aprovada</t>
        </is>
      </c>
      <c r="P58" t="inlineStr">
        <is>
          <t>Aprovado Diretoria</t>
        </is>
      </c>
      <c r="Q58" t="inlineStr">
        <is>
          <t>Aprovado Caixa</t>
        </is>
      </c>
      <c r="R58" t="inlineStr">
        <is>
          <t>Pago</t>
        </is>
      </c>
      <c r="S58" t="n">
        <v>182</v>
      </c>
      <c r="T58" t="inlineStr">
        <is>
          <t>Love - Shibari - Kamino</t>
        </is>
      </c>
    </row>
    <row r="59">
      <c r="A59" t="n">
        <v>184094</v>
      </c>
      <c r="B59" t="n">
        <v>128</v>
      </c>
      <c r="C59" t="inlineStr">
        <is>
          <t>Love Cabaret</t>
        </is>
      </c>
      <c r="D59" t="inlineStr">
        <is>
          <t>EMPORIO M&amp;L COMERCIO DE ALIM E BEBIDAS LTDA</t>
        </is>
      </c>
      <c r="E59" t="n">
        <v>67.2</v>
      </c>
      <c r="F59" s="27" t="n">
        <v>46016</v>
      </c>
      <c r="G59" s="27" t="n">
        <v>46014</v>
      </c>
      <c r="H59" s="27" t="n">
        <v>46014</v>
      </c>
      <c r="I59" s="27" t="n">
        <v>46002</v>
      </c>
      <c r="J59" s="27" t="n">
        <v>46008</v>
      </c>
      <c r="K59" t="inlineStr">
        <is>
          <t>Transferência Bancária ou Pix</t>
        </is>
      </c>
      <c r="L59" t="inlineStr">
        <is>
          <t>Custo Mercadoria Vendida</t>
        </is>
      </c>
      <c r="M59" t="inlineStr">
        <is>
          <t>Insumos - Alimentos</t>
        </is>
      </c>
      <c r="N59" t="inlineStr">
        <is>
          <t>486389</t>
        </is>
      </c>
      <c r="O59" t="inlineStr">
        <is>
          <t>Documentação Aprovada</t>
        </is>
      </c>
      <c r="P59" t="inlineStr">
        <is>
          <t>Aprovado Diretoria</t>
        </is>
      </c>
      <c r="Q59" t="inlineStr">
        <is>
          <t>Aprovado Caixa</t>
        </is>
      </c>
      <c r="R59" t="inlineStr">
        <is>
          <t>Pago</t>
        </is>
      </c>
      <c r="S59" t="n">
        <v>182</v>
      </c>
      <c r="T59" t="inlineStr">
        <is>
          <t>Love - Shibari - Kamino</t>
        </is>
      </c>
    </row>
    <row r="60">
      <c r="A60" t="n">
        <v>184387</v>
      </c>
      <c r="B60" t="n">
        <v>128</v>
      </c>
      <c r="C60" t="inlineStr">
        <is>
          <t>Love Cabaret</t>
        </is>
      </c>
      <c r="D60" t="inlineStr">
        <is>
          <t>TELEFONICA BRASIL S/A</t>
        </is>
      </c>
      <c r="E60" t="n">
        <v>228.87</v>
      </c>
      <c r="F60" s="27" t="n">
        <v>46016</v>
      </c>
      <c r="G60" s="27" t="n">
        <v>46014</v>
      </c>
      <c r="H60" s="27" t="n">
        <v>46014</v>
      </c>
      <c r="I60" s="27" t="n">
        <v>45992</v>
      </c>
      <c r="J60" s="27" t="n">
        <v>46009</v>
      </c>
      <c r="K60" t="inlineStr">
        <is>
          <t>Boleto Bancário</t>
        </is>
      </c>
      <c r="L60" t="inlineStr">
        <is>
          <t>Informática e TI</t>
        </is>
      </c>
      <c r="M60" t="inlineStr">
        <is>
          <t>Internet</t>
        </is>
      </c>
      <c r="N60" t="inlineStr">
        <is>
          <t>22887 122025</t>
        </is>
      </c>
      <c r="O60" t="inlineStr">
        <is>
          <t>Documentação Aprovada</t>
        </is>
      </c>
      <c r="P60" t="inlineStr">
        <is>
          <t>Aprovado Diretoria</t>
        </is>
      </c>
      <c r="Q60" t="inlineStr">
        <is>
          <t>Aprovado Caixa</t>
        </is>
      </c>
      <c r="R60" t="inlineStr">
        <is>
          <t>Pago</t>
        </is>
      </c>
      <c r="S60" t="n">
        <v>182</v>
      </c>
      <c r="T60" t="inlineStr">
        <is>
          <t>Love - Shibari - Kamino</t>
        </is>
      </c>
    </row>
    <row r="61">
      <c r="A61" t="n">
        <v>184386</v>
      </c>
      <c r="B61" t="n">
        <v>128</v>
      </c>
      <c r="C61" t="inlineStr">
        <is>
          <t>Love Cabaret</t>
        </is>
      </c>
      <c r="D61" t="inlineStr">
        <is>
          <t>TELEFONICA BRASIL S/A</t>
        </is>
      </c>
      <c r="E61" t="n">
        <v>98.63</v>
      </c>
      <c r="F61" s="27" t="n">
        <v>46016</v>
      </c>
      <c r="G61" s="27" t="n">
        <v>46014</v>
      </c>
      <c r="H61" s="27" t="n">
        <v>46014</v>
      </c>
      <c r="I61" s="27" t="n">
        <v>45992</v>
      </c>
      <c r="J61" s="27" t="n">
        <v>46009</v>
      </c>
      <c r="K61" t="inlineStr">
        <is>
          <t>Boleto Bancário</t>
        </is>
      </c>
      <c r="L61" t="inlineStr">
        <is>
          <t>Informática e TI</t>
        </is>
      </c>
      <c r="M61" t="inlineStr">
        <is>
          <t>Telefone</t>
        </is>
      </c>
      <c r="N61" t="inlineStr">
        <is>
          <t>9863 122025</t>
        </is>
      </c>
      <c r="O61" t="inlineStr">
        <is>
          <t>Documentação Aprovada</t>
        </is>
      </c>
      <c r="P61" t="inlineStr">
        <is>
          <t>Aprovado Diretoria</t>
        </is>
      </c>
      <c r="Q61" t="inlineStr">
        <is>
          <t>Aprovado Caixa</t>
        </is>
      </c>
      <c r="R61" t="inlineStr">
        <is>
          <t>Pago</t>
        </is>
      </c>
      <c r="S61" t="n">
        <v>182</v>
      </c>
      <c r="T61" t="inlineStr">
        <is>
          <t>Love - Shibari - Kamino</t>
        </is>
      </c>
    </row>
    <row r="62">
      <c r="A62" t="n">
        <v>181879</v>
      </c>
      <c r="B62" t="n">
        <v>128</v>
      </c>
      <c r="C62" t="inlineStr">
        <is>
          <t>Love Cabaret</t>
        </is>
      </c>
      <c r="D62" t="inlineStr">
        <is>
          <t>JULIA BAISCH FRANZ 02463978023</t>
        </is>
      </c>
      <c r="E62" t="n">
        <v>1000</v>
      </c>
      <c r="F62" s="27" t="n">
        <v>46014</v>
      </c>
      <c r="G62" s="27" t="n">
        <v>46014</v>
      </c>
      <c r="H62" s="27" t="n">
        <v>46014</v>
      </c>
      <c r="I62" s="27" t="n">
        <v>45992</v>
      </c>
      <c r="J62" s="27" t="n">
        <v>46000</v>
      </c>
      <c r="K62" t="inlineStr">
        <is>
          <t>Transferência Bancária ou Pix</t>
        </is>
      </c>
      <c r="L62" t="inlineStr">
        <is>
          <t>Patrocínio</t>
        </is>
      </c>
      <c r="M62" t="inlineStr">
        <is>
          <t>(-) Despesas de Patrocínio</t>
        </is>
      </c>
      <c r="N62" t="inlineStr">
        <is>
          <t>RP1262025</t>
        </is>
      </c>
      <c r="O62" t="inlineStr">
        <is>
          <t>Documentação Aprovada</t>
        </is>
      </c>
      <c r="P62" t="inlineStr">
        <is>
          <t>Aprovado Diretoria</t>
        </is>
      </c>
      <c r="Q62" t="inlineStr">
        <is>
          <t>Aprovado Caixa</t>
        </is>
      </c>
      <c r="R62" t="inlineStr">
        <is>
          <t>Pago</t>
        </is>
      </c>
      <c r="S62" t="n">
        <v>182</v>
      </c>
      <c r="T62" t="inlineStr">
        <is>
          <t>Love - Shibari - Kamino</t>
        </is>
      </c>
    </row>
    <row r="63">
      <c r="A63" t="n">
        <v>180111</v>
      </c>
      <c r="B63" t="n">
        <v>128</v>
      </c>
      <c r="C63" t="inlineStr">
        <is>
          <t>Love Cabaret</t>
        </is>
      </c>
      <c r="D63" t="inlineStr">
        <is>
          <t xml:space="preserve">ARENA VIP DISTRIBUIDORA DE BEBIDAS LTDA </t>
        </is>
      </c>
      <c r="E63" t="n">
        <v>405.94</v>
      </c>
      <c r="F63" s="27" t="n">
        <v>46017</v>
      </c>
      <c r="G63" s="27" t="n">
        <v>46014</v>
      </c>
      <c r="H63" s="27" t="n">
        <v>46014</v>
      </c>
      <c r="I63" s="27" t="n">
        <v>45989</v>
      </c>
      <c r="J63" s="27" t="n">
        <v>45995</v>
      </c>
      <c r="K63" t="inlineStr">
        <is>
          <t>Boleto Bancário</t>
        </is>
      </c>
      <c r="L63" t="inlineStr">
        <is>
          <t>Custo Mercadoria Vendida</t>
        </is>
      </c>
      <c r="M63" t="inlineStr">
        <is>
          <t>Insumos - Bebidas</t>
        </is>
      </c>
      <c r="N63" t="inlineStr">
        <is>
          <t>19937</t>
        </is>
      </c>
      <c r="O63" t="inlineStr">
        <is>
          <t>Documentação Aprovada</t>
        </is>
      </c>
      <c r="P63" t="inlineStr">
        <is>
          <t>Aprovado Diretoria</t>
        </is>
      </c>
      <c r="Q63" t="inlineStr">
        <is>
          <t>Aprovado Caixa</t>
        </is>
      </c>
      <c r="R63" t="inlineStr">
        <is>
          <t>Pago</t>
        </is>
      </c>
      <c r="S63" t="n">
        <v>182</v>
      </c>
      <c r="T63" t="inlineStr">
        <is>
          <t>Love - Shibari - Kamino</t>
        </is>
      </c>
    </row>
    <row r="64">
      <c r="A64" t="n">
        <v>181169</v>
      </c>
      <c r="B64" t="n">
        <v>128</v>
      </c>
      <c r="C64" t="inlineStr">
        <is>
          <t>Love Cabaret</t>
        </is>
      </c>
      <c r="D64" t="inlineStr">
        <is>
          <t>FABLAB INOVACAO E SOLUCOES</t>
        </is>
      </c>
      <c r="E64" t="n">
        <v>389</v>
      </c>
      <c r="F64" s="27" t="n">
        <v>46016</v>
      </c>
      <c r="G64" s="27" t="n">
        <v>46014</v>
      </c>
      <c r="H64" s="27" t="n">
        <v>46014</v>
      </c>
      <c r="I64" s="27" t="n">
        <v>45991</v>
      </c>
      <c r="J64" s="27" t="n">
        <v>45996</v>
      </c>
      <c r="K64" t="inlineStr">
        <is>
          <t>Boleto Bancário</t>
        </is>
      </c>
      <c r="L64" t="inlineStr">
        <is>
          <t>Informática e TI</t>
        </is>
      </c>
      <c r="M64" t="inlineStr">
        <is>
          <t>Sistemas Gerais - Financeiros</t>
        </is>
      </c>
      <c r="N64" t="inlineStr">
        <is>
          <t>208</t>
        </is>
      </c>
      <c r="O64" t="inlineStr">
        <is>
          <t>Documentação Aprovada</t>
        </is>
      </c>
      <c r="P64" t="inlineStr">
        <is>
          <t>Aprovado Diretoria</t>
        </is>
      </c>
      <c r="Q64" t="inlineStr">
        <is>
          <t>Aprovado Caixa</t>
        </is>
      </c>
      <c r="R64" t="inlineStr">
        <is>
          <t>Pago</t>
        </is>
      </c>
      <c r="S64" t="n">
        <v>182</v>
      </c>
      <c r="T64" t="inlineStr">
        <is>
          <t>Love - Shibari - Kamino</t>
        </is>
      </c>
    </row>
    <row r="65">
      <c r="A65" t="n">
        <v>180115</v>
      </c>
      <c r="B65" t="n">
        <v>128</v>
      </c>
      <c r="C65" t="inlineStr">
        <is>
          <t>Love Cabaret</t>
        </is>
      </c>
      <c r="D65" t="inlineStr">
        <is>
          <t>FRONT BEBIDAS LTDA</t>
        </is>
      </c>
      <c r="E65" t="n">
        <v>1910.12</v>
      </c>
      <c r="F65" s="27" t="n">
        <v>46017</v>
      </c>
      <c r="G65" s="27" t="n">
        <v>46014</v>
      </c>
      <c r="H65" s="27" t="n">
        <v>46014</v>
      </c>
      <c r="I65" s="27" t="n">
        <v>45989</v>
      </c>
      <c r="J65" s="27" t="n">
        <v>45995</v>
      </c>
      <c r="K65" t="inlineStr">
        <is>
          <t>Boleto Bancário</t>
        </is>
      </c>
      <c r="L65" t="inlineStr">
        <is>
          <t>Custo Mercadoria Vendida</t>
        </is>
      </c>
      <c r="M65" t="inlineStr">
        <is>
          <t>Insumos - Bebidas</t>
        </is>
      </c>
      <c r="N65" t="inlineStr">
        <is>
          <t>781190</t>
        </is>
      </c>
      <c r="O65" t="inlineStr">
        <is>
          <t>Documentação Aprovada</t>
        </is>
      </c>
      <c r="P65" t="inlineStr">
        <is>
          <t>Aprovado Diretoria</t>
        </is>
      </c>
      <c r="Q65" t="inlineStr">
        <is>
          <t>Aprovado Caixa</t>
        </is>
      </c>
      <c r="R65" t="inlineStr">
        <is>
          <t>Pago</t>
        </is>
      </c>
      <c r="S65" t="n">
        <v>182</v>
      </c>
      <c r="T65" t="inlineStr">
        <is>
          <t>Love - Shibari - Kamino</t>
        </is>
      </c>
    </row>
    <row r="66">
      <c r="A66" t="n">
        <v>180112</v>
      </c>
      <c r="B66" t="n">
        <v>128</v>
      </c>
      <c r="C66" t="inlineStr">
        <is>
          <t>Love Cabaret</t>
        </is>
      </c>
      <c r="D66" t="inlineStr">
        <is>
          <t>KING COMERCIO E IMPORTACAO DE BEBIDAS LTDA</t>
        </is>
      </c>
      <c r="E66" t="n">
        <v>741.22</v>
      </c>
      <c r="F66" s="27" t="n">
        <v>46017</v>
      </c>
      <c r="G66" s="27" t="n">
        <v>46014</v>
      </c>
      <c r="H66" s="27" t="n">
        <v>46014</v>
      </c>
      <c r="I66" s="27" t="n">
        <v>45989</v>
      </c>
      <c r="J66" s="27" t="n">
        <v>45995</v>
      </c>
      <c r="K66" t="inlineStr">
        <is>
          <t>Boleto Bancário</t>
        </is>
      </c>
      <c r="L66" t="inlineStr">
        <is>
          <t>Custo Mercadoria Vendida</t>
        </is>
      </c>
      <c r="M66" t="inlineStr">
        <is>
          <t>Insumos - Bebidas</t>
        </is>
      </c>
      <c r="N66" t="inlineStr">
        <is>
          <t>123491</t>
        </is>
      </c>
      <c r="O66" t="inlineStr">
        <is>
          <t>Documentação Aprovada</t>
        </is>
      </c>
      <c r="P66" t="inlineStr">
        <is>
          <t>Aprovado Diretoria</t>
        </is>
      </c>
      <c r="Q66" t="inlineStr">
        <is>
          <t>Aprovado Caixa</t>
        </is>
      </c>
      <c r="R66" t="inlineStr">
        <is>
          <t>Pago</t>
        </is>
      </c>
      <c r="S66" t="n">
        <v>182</v>
      </c>
      <c r="T66" t="inlineStr">
        <is>
          <t>Love - Shibari - Kamino</t>
        </is>
      </c>
    </row>
    <row r="67">
      <c r="A67" t="n">
        <v>180109</v>
      </c>
      <c r="B67" t="n">
        <v>128</v>
      </c>
      <c r="C67" t="inlineStr">
        <is>
          <t>Love Cabaret</t>
        </is>
      </c>
      <c r="D67" t="inlineStr">
        <is>
          <t>HORTA NOVA DISTRIBUIDORA DE HORTIFRUTI LTDA</t>
        </is>
      </c>
      <c r="E67" t="n">
        <v>108.11</v>
      </c>
      <c r="F67" s="27" t="n">
        <v>46016</v>
      </c>
      <c r="G67" s="27" t="n">
        <v>46014</v>
      </c>
      <c r="H67" s="27" t="n">
        <v>46014</v>
      </c>
      <c r="I67" s="27" t="n">
        <v>45988</v>
      </c>
      <c r="J67" s="27" t="n">
        <v>45995</v>
      </c>
      <c r="K67" t="inlineStr">
        <is>
          <t>Boleto Bancário</t>
        </is>
      </c>
      <c r="L67" t="inlineStr">
        <is>
          <t>Custo Mercadoria Vendida</t>
        </is>
      </c>
      <c r="M67" t="inlineStr">
        <is>
          <t>Insumos - Alimentos</t>
        </is>
      </c>
      <c r="N67" t="inlineStr">
        <is>
          <t>7580</t>
        </is>
      </c>
      <c r="O67" t="inlineStr">
        <is>
          <t>Documentação Aprovada</t>
        </is>
      </c>
      <c r="P67" t="inlineStr">
        <is>
          <t>Aprovado Diretoria</t>
        </is>
      </c>
      <c r="Q67" t="inlineStr">
        <is>
          <t>Aprovado Caixa</t>
        </is>
      </c>
      <c r="R67" t="inlineStr">
        <is>
          <t>Pago</t>
        </is>
      </c>
      <c r="S67" t="n">
        <v>182</v>
      </c>
      <c r="T67" t="inlineStr">
        <is>
          <t>Love - Shibari - Kamino</t>
        </is>
      </c>
    </row>
    <row r="68">
      <c r="A68" t="n">
        <v>179144</v>
      </c>
      <c r="B68" t="n">
        <v>128</v>
      </c>
      <c r="C68" t="inlineStr">
        <is>
          <t>Love Cabaret</t>
        </is>
      </c>
      <c r="D68" t="inlineStr">
        <is>
          <t>EMPORIO M&amp;L COMERCIO DE ALIM E BEBIDAS LTDA</t>
        </is>
      </c>
      <c r="E68" t="n">
        <v>218.2</v>
      </c>
      <c r="F68" s="27" t="n">
        <v>46016</v>
      </c>
      <c r="G68" s="27" t="n">
        <v>46014</v>
      </c>
      <c r="H68" s="27" t="n">
        <v>46014</v>
      </c>
      <c r="I68" s="27" t="n">
        <v>45988</v>
      </c>
      <c r="J68" s="27" t="n">
        <v>45992</v>
      </c>
      <c r="K68" t="inlineStr">
        <is>
          <t>Boleto Bancário</t>
        </is>
      </c>
      <c r="L68" t="inlineStr">
        <is>
          <t>Custo Mercadoria Vendida</t>
        </is>
      </c>
      <c r="M68" t="inlineStr">
        <is>
          <t>Insumos - Alimentos</t>
        </is>
      </c>
      <c r="N68" t="inlineStr">
        <is>
          <t>483316</t>
        </is>
      </c>
      <c r="O68" t="inlineStr">
        <is>
          <t>Documentação Aprovada</t>
        </is>
      </c>
      <c r="P68" t="inlineStr">
        <is>
          <t>Aprovado Diretoria</t>
        </is>
      </c>
      <c r="Q68" t="inlineStr">
        <is>
          <t>Aprovado Caixa</t>
        </is>
      </c>
      <c r="R68" t="inlineStr">
        <is>
          <t>Pago</t>
        </is>
      </c>
      <c r="S68" t="n">
        <v>182</v>
      </c>
      <c r="T68" t="inlineStr">
        <is>
          <t>Love - Shibari - Kamino</t>
        </is>
      </c>
    </row>
    <row r="69">
      <c r="A69" t="n">
        <v>179147</v>
      </c>
      <c r="B69" t="n">
        <v>128</v>
      </c>
      <c r="C69" t="inlineStr">
        <is>
          <t>Love Cabaret</t>
        </is>
      </c>
      <c r="D69" t="inlineStr">
        <is>
          <t>CECILIA TSUYACO ARAKI SILVA LTDA</t>
        </is>
      </c>
      <c r="E69" t="n">
        <v>153.3</v>
      </c>
      <c r="F69" s="27" t="n">
        <v>46016</v>
      </c>
      <c r="G69" s="27" t="n">
        <v>46014</v>
      </c>
      <c r="H69" s="27" t="n">
        <v>46014</v>
      </c>
      <c r="I69" s="27" t="n">
        <v>45989</v>
      </c>
      <c r="J69" s="27" t="n">
        <v>45992</v>
      </c>
      <c r="K69" t="inlineStr">
        <is>
          <t>Boleto Bancário</t>
        </is>
      </c>
      <c r="L69" t="inlineStr">
        <is>
          <t>Custo Mercadoria Vendida</t>
        </is>
      </c>
      <c r="M69" t="inlineStr">
        <is>
          <t>Insumos - Alimentos</t>
        </is>
      </c>
      <c r="N69" t="inlineStr">
        <is>
          <t>382529</t>
        </is>
      </c>
      <c r="O69" t="inlineStr">
        <is>
          <t>Documentação Aprovada</t>
        </is>
      </c>
      <c r="P69" t="inlineStr">
        <is>
          <t>Aprovado Diretoria</t>
        </is>
      </c>
      <c r="Q69" t="inlineStr">
        <is>
          <t>Aprovado Caixa</t>
        </is>
      </c>
      <c r="R69" t="inlineStr">
        <is>
          <t>Pago</t>
        </is>
      </c>
      <c r="S69" t="n">
        <v>182</v>
      </c>
      <c r="T69" t="inlineStr">
        <is>
          <t>Love - Shibari - Kamino</t>
        </is>
      </c>
    </row>
    <row r="70">
      <c r="A70" t="n">
        <v>179149</v>
      </c>
      <c r="B70" t="n">
        <v>128</v>
      </c>
      <c r="C70" t="inlineStr">
        <is>
          <t>Love Cabaret</t>
        </is>
      </c>
      <c r="D70" t="inlineStr">
        <is>
          <t>HORTA NOVA DISTRIBUIDORA DE HORTIFRUTI LTDA</t>
        </is>
      </c>
      <c r="E70" t="n">
        <v>395</v>
      </c>
      <c r="F70" s="27" t="n">
        <v>46016</v>
      </c>
      <c r="G70" s="27" t="n">
        <v>46014</v>
      </c>
      <c r="H70" s="27" t="n">
        <v>46014</v>
      </c>
      <c r="I70" s="27" t="n">
        <v>45989</v>
      </c>
      <c r="J70" s="27" t="n">
        <v>45992</v>
      </c>
      <c r="K70" t="inlineStr">
        <is>
          <t>Boleto Bancário</t>
        </is>
      </c>
      <c r="L70" t="inlineStr">
        <is>
          <t>Custo Mercadoria Vendida</t>
        </is>
      </c>
      <c r="M70" t="inlineStr">
        <is>
          <t>Insumos - Alimentos</t>
        </is>
      </c>
      <c r="N70" t="inlineStr">
        <is>
          <t>7558</t>
        </is>
      </c>
      <c r="O70" t="inlineStr">
        <is>
          <t>Documentação Aprovada</t>
        </is>
      </c>
      <c r="P70" t="inlineStr">
        <is>
          <t>Aprovado Diretoria</t>
        </is>
      </c>
      <c r="Q70" t="inlineStr">
        <is>
          <t>Aprovado Caixa</t>
        </is>
      </c>
      <c r="R70" t="inlineStr">
        <is>
          <t>Pago</t>
        </is>
      </c>
      <c r="S70" t="n">
        <v>182</v>
      </c>
      <c r="T70" t="inlineStr">
        <is>
          <t>Love - Shibari - Kamino</t>
        </is>
      </c>
    </row>
    <row r="71">
      <c r="A71" t="n">
        <v>179136</v>
      </c>
      <c r="B71" t="n">
        <v>128</v>
      </c>
      <c r="C71" t="inlineStr">
        <is>
          <t>Love Cabaret</t>
        </is>
      </c>
      <c r="D71" t="inlineStr">
        <is>
          <t>MARIO PEDRO FELICIANO - HORTIFRUTI</t>
        </is>
      </c>
      <c r="E71" t="n">
        <v>85.91</v>
      </c>
      <c r="F71" s="27" t="n">
        <v>46016</v>
      </c>
      <c r="G71" s="27" t="n">
        <v>46014</v>
      </c>
      <c r="H71" s="27" t="n">
        <v>46014</v>
      </c>
      <c r="I71" s="27" t="n">
        <v>45989</v>
      </c>
      <c r="J71" s="27" t="n">
        <v>45991</v>
      </c>
      <c r="K71" t="inlineStr">
        <is>
          <t>Boleto Bancário</t>
        </is>
      </c>
      <c r="L71" t="inlineStr">
        <is>
          <t>Custo Mercadoria Vendida</t>
        </is>
      </c>
      <c r="M71" t="inlineStr">
        <is>
          <t>Insumos - Alimentos</t>
        </is>
      </c>
      <c r="N71" t="inlineStr">
        <is>
          <t>460139</t>
        </is>
      </c>
      <c r="O71" t="inlineStr">
        <is>
          <t>Documentação Aprovada</t>
        </is>
      </c>
      <c r="P71" t="inlineStr">
        <is>
          <t>Aprovado Diretoria</t>
        </is>
      </c>
      <c r="Q71" t="inlineStr">
        <is>
          <t>Aprovado Caixa</t>
        </is>
      </c>
      <c r="R71" t="inlineStr">
        <is>
          <t>Pago</t>
        </is>
      </c>
      <c r="S71" t="n">
        <v>182</v>
      </c>
      <c r="T71" t="inlineStr">
        <is>
          <t>Love - Shibari - Kamino</t>
        </is>
      </c>
    </row>
    <row r="72">
      <c r="A72" t="n">
        <v>179135</v>
      </c>
      <c r="B72" t="n">
        <v>128</v>
      </c>
      <c r="C72" t="inlineStr">
        <is>
          <t>Love Cabaret</t>
        </is>
      </c>
      <c r="D72" t="inlineStr">
        <is>
          <t>WPP COMERCIO DE CARNES LTDA</t>
        </is>
      </c>
      <c r="E72" t="n">
        <v>422.5</v>
      </c>
      <c r="F72" s="27" t="n">
        <v>46016</v>
      </c>
      <c r="G72" s="27" t="n">
        <v>46014</v>
      </c>
      <c r="H72" s="27" t="n">
        <v>46014</v>
      </c>
      <c r="I72" s="27" t="n">
        <v>45988</v>
      </c>
      <c r="J72" s="27" t="n">
        <v>45991</v>
      </c>
      <c r="K72" t="inlineStr">
        <is>
          <t>Boleto Bancário</t>
        </is>
      </c>
      <c r="L72" t="inlineStr">
        <is>
          <t>Custo Mercadoria Vendida</t>
        </is>
      </c>
      <c r="M72" t="inlineStr">
        <is>
          <t>Insumos - Alimentos</t>
        </is>
      </c>
      <c r="N72" t="inlineStr">
        <is>
          <t>75845</t>
        </is>
      </c>
      <c r="O72" t="inlineStr">
        <is>
          <t>Documentação Aprovada</t>
        </is>
      </c>
      <c r="P72" t="inlineStr">
        <is>
          <t>Aprovado Diretoria</t>
        </is>
      </c>
      <c r="Q72" t="inlineStr">
        <is>
          <t>Aprovado Caixa</t>
        </is>
      </c>
      <c r="R72" t="inlineStr">
        <is>
          <t>Pago</t>
        </is>
      </c>
      <c r="S72" t="n">
        <v>182</v>
      </c>
      <c r="T72" t="inlineStr">
        <is>
          <t>Love - Shibari - Kamino</t>
        </is>
      </c>
    </row>
    <row r="73">
      <c r="A73" t="n">
        <v>179128</v>
      </c>
      <c r="B73" t="n">
        <v>128</v>
      </c>
      <c r="C73" t="inlineStr">
        <is>
          <t>Love Cabaret</t>
        </is>
      </c>
      <c r="D73" t="inlineStr">
        <is>
          <t xml:space="preserve">ARENA VIP DISTRIBUIDORA DE BEBIDAS LTDA </t>
        </is>
      </c>
      <c r="E73" t="n">
        <v>480.26</v>
      </c>
      <c r="F73" s="27" t="n">
        <v>46014</v>
      </c>
      <c r="G73" s="27" t="n">
        <v>46013</v>
      </c>
      <c r="H73" s="27" t="n">
        <v>46013</v>
      </c>
      <c r="I73" s="27" t="n">
        <v>45986</v>
      </c>
      <c r="J73" s="27" t="n">
        <v>45991</v>
      </c>
      <c r="K73" t="inlineStr">
        <is>
          <t>Boleto Bancário</t>
        </is>
      </c>
      <c r="L73" t="inlineStr">
        <is>
          <t>Custo Mercadoria Vendida</t>
        </is>
      </c>
      <c r="M73" t="inlineStr">
        <is>
          <t>Insumos - Bebidas</t>
        </is>
      </c>
      <c r="N73" t="inlineStr">
        <is>
          <t>19424</t>
        </is>
      </c>
      <c r="O73" t="inlineStr">
        <is>
          <t>Documentação Aprovada</t>
        </is>
      </c>
      <c r="P73" t="inlineStr">
        <is>
          <t>Aprovado Diretoria</t>
        </is>
      </c>
      <c r="Q73" t="inlineStr">
        <is>
          <t>Aprovado Caixa</t>
        </is>
      </c>
      <c r="R73" t="inlineStr">
        <is>
          <t>Pago</t>
        </is>
      </c>
      <c r="S73" t="n">
        <v>182</v>
      </c>
      <c r="T73" t="inlineStr">
        <is>
          <t>Love - Shibari - Kamino</t>
        </is>
      </c>
    </row>
    <row r="74">
      <c r="A74" t="n">
        <v>179130</v>
      </c>
      <c r="B74" t="n">
        <v>128</v>
      </c>
      <c r="C74" t="inlineStr">
        <is>
          <t>Love Cabaret</t>
        </is>
      </c>
      <c r="D74" t="inlineStr">
        <is>
          <t>EMPORIO M&amp;L COMERCIO DE ALIM E BEBIDAS LTDA</t>
        </is>
      </c>
      <c r="E74" t="n">
        <v>454.8</v>
      </c>
      <c r="F74" s="27" t="n">
        <v>46014</v>
      </c>
      <c r="G74" s="27" t="n">
        <v>46013</v>
      </c>
      <c r="H74" s="27" t="n">
        <v>46013</v>
      </c>
      <c r="I74" s="27" t="n">
        <v>45986</v>
      </c>
      <c r="J74" s="27" t="n">
        <v>45991</v>
      </c>
      <c r="K74" t="inlineStr">
        <is>
          <t>Boleto Bancário</t>
        </is>
      </c>
      <c r="L74" t="inlineStr">
        <is>
          <t>Custo Mercadoria Vendida</t>
        </is>
      </c>
      <c r="M74" t="inlineStr">
        <is>
          <t>Insumos - Bebidas</t>
        </is>
      </c>
      <c r="N74" t="inlineStr">
        <is>
          <t>483108</t>
        </is>
      </c>
      <c r="O74" t="inlineStr">
        <is>
          <t>Documentação Aprovada</t>
        </is>
      </c>
      <c r="P74" t="inlineStr">
        <is>
          <t>Aprovado Diretoria</t>
        </is>
      </c>
      <c r="Q74" t="inlineStr">
        <is>
          <t>Aprovado Caixa</t>
        </is>
      </c>
      <c r="R74" t="inlineStr">
        <is>
          <t>Pago</t>
        </is>
      </c>
      <c r="S74" t="n">
        <v>182</v>
      </c>
      <c r="T74" t="inlineStr">
        <is>
          <t>Love - Shibari - Kamino</t>
        </is>
      </c>
    </row>
    <row r="75">
      <c r="A75" t="n">
        <v>179143</v>
      </c>
      <c r="B75" t="n">
        <v>128</v>
      </c>
      <c r="C75" t="inlineStr">
        <is>
          <t>Love Cabaret</t>
        </is>
      </c>
      <c r="D75" t="inlineStr">
        <is>
          <t>B.B DISTRIBUIDORA DE CARNES LTDA</t>
        </is>
      </c>
      <c r="E75" t="n">
        <v>969.77</v>
      </c>
      <c r="F75" s="27" t="n">
        <v>46015</v>
      </c>
      <c r="G75" s="27" t="n">
        <v>46013</v>
      </c>
      <c r="H75" s="27" t="n">
        <v>46013</v>
      </c>
      <c r="I75" s="27" t="n">
        <v>45988</v>
      </c>
      <c r="J75" s="27" t="n">
        <v>45992</v>
      </c>
      <c r="K75" t="inlineStr">
        <is>
          <t>Boleto Bancário</t>
        </is>
      </c>
      <c r="L75" t="inlineStr">
        <is>
          <t>Custo Mercadoria Vendida</t>
        </is>
      </c>
      <c r="M75" t="inlineStr">
        <is>
          <t>Insumos - Alimentos</t>
        </is>
      </c>
      <c r="N75" t="inlineStr">
        <is>
          <t>408738</t>
        </is>
      </c>
      <c r="O75" t="inlineStr">
        <is>
          <t>Documentação Aprovada</t>
        </is>
      </c>
      <c r="P75" t="inlineStr">
        <is>
          <t>Aprovado Diretoria</t>
        </is>
      </c>
      <c r="Q75" t="inlineStr">
        <is>
          <t>Aprovado Caixa</t>
        </is>
      </c>
      <c r="R75" t="inlineStr">
        <is>
          <t>Pago</t>
        </is>
      </c>
      <c r="S75" t="n">
        <v>182</v>
      </c>
      <c r="T75" t="inlineStr">
        <is>
          <t>Love - Shibari - Kamino</t>
        </is>
      </c>
    </row>
    <row r="76">
      <c r="A76" t="n">
        <v>179133</v>
      </c>
      <c r="B76" t="n">
        <v>128</v>
      </c>
      <c r="C76" t="inlineStr">
        <is>
          <t>Love Cabaret</t>
        </is>
      </c>
      <c r="D76" t="inlineStr">
        <is>
          <t>EMPORIO M&amp;L COMERCIO DE ALIM E BEBIDAS LTDA</t>
        </is>
      </c>
      <c r="E76" t="n">
        <v>1194.68</v>
      </c>
      <c r="F76" s="27" t="n">
        <v>46014</v>
      </c>
      <c r="G76" s="27" t="n">
        <v>46013</v>
      </c>
      <c r="H76" s="27" t="n">
        <v>46013</v>
      </c>
      <c r="I76" s="27" t="n">
        <v>45986</v>
      </c>
      <c r="J76" s="27" t="n">
        <v>45991</v>
      </c>
      <c r="K76" t="inlineStr">
        <is>
          <t>Boleto Bancário</t>
        </is>
      </c>
      <c r="L76" t="inlineStr">
        <is>
          <t>Custo Mercadoria Vendida</t>
        </is>
      </c>
      <c r="M76" t="inlineStr">
        <is>
          <t>Insumos - Alimentos</t>
        </is>
      </c>
      <c r="N76" t="inlineStr">
        <is>
          <t>483182</t>
        </is>
      </c>
      <c r="O76" t="inlineStr">
        <is>
          <t>Documentação Aprovada</t>
        </is>
      </c>
      <c r="P76" t="inlineStr">
        <is>
          <t>Aprovado Diretoria</t>
        </is>
      </c>
      <c r="Q76" t="inlineStr">
        <is>
          <t>Aprovado Caixa</t>
        </is>
      </c>
      <c r="R76" t="inlineStr">
        <is>
          <t>Pago</t>
        </is>
      </c>
      <c r="S76" t="n">
        <v>182</v>
      </c>
      <c r="T76" t="inlineStr">
        <is>
          <t>Love - Shibari - Kamino</t>
        </is>
      </c>
    </row>
    <row r="77">
      <c r="A77" t="n">
        <v>181653</v>
      </c>
      <c r="B77" t="n">
        <v>128</v>
      </c>
      <c r="C77" t="inlineStr">
        <is>
          <t>Love Cabaret</t>
        </is>
      </c>
      <c r="D77" t="inlineStr">
        <is>
          <t>CG FOOD´S DISTRIBUIDORA DE ALIMENTOS LTDA</t>
        </is>
      </c>
      <c r="E77" t="n">
        <v>551.5</v>
      </c>
      <c r="F77" s="27" t="n">
        <v>46013</v>
      </c>
      <c r="G77" s="27" t="n">
        <v>46013</v>
      </c>
      <c r="H77" s="27" t="n">
        <v>46013</v>
      </c>
      <c r="I77" s="27" t="n">
        <v>45992</v>
      </c>
      <c r="J77" s="27" t="n">
        <v>45999</v>
      </c>
      <c r="K77" t="inlineStr">
        <is>
          <t>Boleto Bancário</t>
        </is>
      </c>
      <c r="L77" t="inlineStr">
        <is>
          <t>Custo Mercadoria Vendida</t>
        </is>
      </c>
      <c r="M77" t="inlineStr">
        <is>
          <t>Insumos - Alimentos</t>
        </is>
      </c>
      <c r="N77" t="inlineStr">
        <is>
          <t>172651</t>
        </is>
      </c>
      <c r="O77" t="inlineStr">
        <is>
          <t>Documentação Aprovada</t>
        </is>
      </c>
      <c r="P77" t="inlineStr">
        <is>
          <t>Aprovado Diretoria</t>
        </is>
      </c>
      <c r="Q77" t="inlineStr">
        <is>
          <t>Aprovado Caixa</t>
        </is>
      </c>
      <c r="R77" t="inlineStr">
        <is>
          <t>Pago</t>
        </is>
      </c>
      <c r="S77" t="n">
        <v>182</v>
      </c>
      <c r="T77" t="inlineStr">
        <is>
          <t>Love - Shibari - Kamino</t>
        </is>
      </c>
    </row>
    <row r="78">
      <c r="A78" t="n">
        <v>181875</v>
      </c>
      <c r="B78" t="n">
        <v>128</v>
      </c>
      <c r="C78" t="inlineStr">
        <is>
          <t>Love Cabaret</t>
        </is>
      </c>
      <c r="D78" t="inlineStr">
        <is>
          <t>INVYE CAPITAL LTDA</t>
        </is>
      </c>
      <c r="E78" t="n">
        <v>1260</v>
      </c>
      <c r="F78" s="27" t="n">
        <v>46013</v>
      </c>
      <c r="G78" s="27" t="n">
        <v>46013</v>
      </c>
      <c r="H78" s="27" t="n">
        <v>46013</v>
      </c>
      <c r="I78" s="27" t="n">
        <v>45992</v>
      </c>
      <c r="J78" s="27" t="n">
        <v>46000</v>
      </c>
      <c r="K78" t="inlineStr">
        <is>
          <t>Boleto Bancário</t>
        </is>
      </c>
      <c r="L78" t="inlineStr">
        <is>
          <t>Serviços de Terceiros</t>
        </is>
      </c>
      <c r="M78" t="inlineStr">
        <is>
          <t>Assessoria em Geral</t>
        </is>
      </c>
      <c r="N78" t="inlineStr">
        <is>
          <t>3075</t>
        </is>
      </c>
      <c r="O78" t="inlineStr">
        <is>
          <t>Documentação Aprovada</t>
        </is>
      </c>
      <c r="P78" t="inlineStr">
        <is>
          <t>Aprovado Diretoria</t>
        </is>
      </c>
      <c r="Q78" t="inlineStr">
        <is>
          <t>Aprovado Caixa</t>
        </is>
      </c>
      <c r="R78" t="inlineStr">
        <is>
          <t>Pago</t>
        </is>
      </c>
      <c r="S78" t="n">
        <v>182</v>
      </c>
      <c r="T78" t="inlineStr">
        <is>
          <t>Love - Shibari - Kamino</t>
        </is>
      </c>
    </row>
    <row r="79">
      <c r="A79" t="n">
        <v>180104</v>
      </c>
      <c r="B79" t="n">
        <v>128</v>
      </c>
      <c r="C79" t="inlineStr">
        <is>
          <t>Love Cabaret</t>
        </is>
      </c>
      <c r="D79" t="inlineStr">
        <is>
          <t>CECILIA TSUYACO ARAKI SILVA LTDA</t>
        </is>
      </c>
      <c r="E79" t="n">
        <v>209.4</v>
      </c>
      <c r="F79" s="27" t="n">
        <v>46013</v>
      </c>
      <c r="G79" s="27" t="n">
        <v>46013</v>
      </c>
      <c r="H79" s="27" t="n">
        <v>46013</v>
      </c>
      <c r="I79" s="27" t="n">
        <v>45985</v>
      </c>
      <c r="J79" s="27" t="n">
        <v>45995</v>
      </c>
      <c r="K79" t="inlineStr">
        <is>
          <t>Boleto Bancário</t>
        </is>
      </c>
      <c r="L79" t="inlineStr">
        <is>
          <t>Custo Mercadoria Vendida</t>
        </is>
      </c>
      <c r="M79" t="inlineStr">
        <is>
          <t>Insumos - Alimentos</t>
        </is>
      </c>
      <c r="N79" t="inlineStr">
        <is>
          <t>382238</t>
        </is>
      </c>
      <c r="O79" t="inlineStr">
        <is>
          <t>Documentação Aprovada</t>
        </is>
      </c>
      <c r="P79" t="inlineStr">
        <is>
          <t>Aprovado Diretoria</t>
        </is>
      </c>
      <c r="Q79" t="inlineStr">
        <is>
          <t>Aprovado Caixa</t>
        </is>
      </c>
      <c r="R79" t="inlineStr">
        <is>
          <t>Pago</t>
        </is>
      </c>
      <c r="S79" t="n">
        <v>182</v>
      </c>
      <c r="T79" t="inlineStr">
        <is>
          <t>Love - Shibari - Kamino</t>
        </is>
      </c>
    </row>
    <row r="80">
      <c r="A80" t="n">
        <v>180105</v>
      </c>
      <c r="B80" t="n">
        <v>128</v>
      </c>
      <c r="C80" t="inlineStr">
        <is>
          <t>Love Cabaret</t>
        </is>
      </c>
      <c r="D80" t="inlineStr">
        <is>
          <t>NOVA COMERCIAL PESCADOS LTDA</t>
        </is>
      </c>
      <c r="E80" t="n">
        <v>588</v>
      </c>
      <c r="F80" s="27" t="n">
        <v>46013</v>
      </c>
      <c r="G80" s="27" t="n">
        <v>46013</v>
      </c>
      <c r="H80" s="27" t="n">
        <v>46013</v>
      </c>
      <c r="I80" s="27" t="n">
        <v>45985</v>
      </c>
      <c r="J80" s="27" t="n">
        <v>45995</v>
      </c>
      <c r="K80" t="inlineStr">
        <is>
          <t>Boleto Bancário</t>
        </is>
      </c>
      <c r="L80" t="inlineStr">
        <is>
          <t>Custo Mercadoria Vendida</t>
        </is>
      </c>
      <c r="M80" t="inlineStr">
        <is>
          <t>Insumos - Alimentos</t>
        </is>
      </c>
      <c r="N80" t="inlineStr">
        <is>
          <t>29501</t>
        </is>
      </c>
      <c r="O80" t="inlineStr">
        <is>
          <t>Documentação Aprovada</t>
        </is>
      </c>
      <c r="P80" t="inlineStr">
        <is>
          <t>Aprovado Diretoria</t>
        </is>
      </c>
      <c r="Q80" t="inlineStr">
        <is>
          <t>Aprovado Caixa</t>
        </is>
      </c>
      <c r="R80" t="inlineStr">
        <is>
          <t>Pago</t>
        </is>
      </c>
      <c r="S80" t="n">
        <v>182</v>
      </c>
      <c r="T80" t="inlineStr">
        <is>
          <t>Love - Shibari - Kamino</t>
        </is>
      </c>
    </row>
    <row r="81">
      <c r="A81" t="n">
        <v>180101</v>
      </c>
      <c r="B81" t="n">
        <v>128</v>
      </c>
      <c r="C81" t="inlineStr">
        <is>
          <t>Love Cabaret</t>
        </is>
      </c>
      <c r="D81" t="inlineStr">
        <is>
          <t>WPP COMERCIO DE CARNES LTDA</t>
        </is>
      </c>
      <c r="E81" t="n">
        <v>881.3</v>
      </c>
      <c r="F81" s="27" t="n">
        <v>46014</v>
      </c>
      <c r="G81" s="27" t="n">
        <v>46013</v>
      </c>
      <c r="H81" s="27" t="n">
        <v>46013</v>
      </c>
      <c r="I81" s="27" t="n">
        <v>45986</v>
      </c>
      <c r="J81" s="27" t="n">
        <v>45995</v>
      </c>
      <c r="K81" t="inlineStr">
        <is>
          <t>Boleto Bancário</t>
        </is>
      </c>
      <c r="L81" t="inlineStr">
        <is>
          <t>Custo Mercadoria Vendida</t>
        </is>
      </c>
      <c r="M81" t="inlineStr">
        <is>
          <t>Insumos - Alimentos</t>
        </is>
      </c>
      <c r="N81" t="inlineStr">
        <is>
          <t>75809</t>
        </is>
      </c>
      <c r="O81" t="inlineStr">
        <is>
          <t>Documentação Aprovada</t>
        </is>
      </c>
      <c r="P81" t="inlineStr">
        <is>
          <t>Aprovado Diretoria</t>
        </is>
      </c>
      <c r="Q81" t="inlineStr">
        <is>
          <t>Aprovado Caixa</t>
        </is>
      </c>
      <c r="R81" t="inlineStr">
        <is>
          <t>Pago</t>
        </is>
      </c>
      <c r="S81" t="n">
        <v>182</v>
      </c>
      <c r="T81" t="inlineStr">
        <is>
          <t>Love - Shibari - Kamino</t>
        </is>
      </c>
    </row>
    <row r="82">
      <c r="A82" t="n">
        <v>180094</v>
      </c>
      <c r="B82" t="n">
        <v>128</v>
      </c>
      <c r="C82" t="inlineStr">
        <is>
          <t>Love Cabaret</t>
        </is>
      </c>
      <c r="D82" t="inlineStr">
        <is>
          <t>DEOLINDA DOS SANTOS FREITAS</t>
        </is>
      </c>
      <c r="E82" t="n">
        <v>342</v>
      </c>
      <c r="F82" s="27" t="n">
        <v>46013</v>
      </c>
      <c r="G82" s="27" t="n">
        <v>46013</v>
      </c>
      <c r="H82" s="27" t="n">
        <v>46013</v>
      </c>
      <c r="I82" s="27" t="n">
        <v>45979</v>
      </c>
      <c r="J82" s="27" t="n">
        <v>45994</v>
      </c>
      <c r="K82" t="inlineStr">
        <is>
          <t>Boleto Bancário</t>
        </is>
      </c>
      <c r="L82" t="inlineStr">
        <is>
          <t>Custo Mercadoria Vendida</t>
        </is>
      </c>
      <c r="M82" t="inlineStr">
        <is>
          <t>Insumos - Alimentos</t>
        </is>
      </c>
      <c r="N82" t="inlineStr">
        <is>
          <t>2242</t>
        </is>
      </c>
      <c r="O82" t="inlineStr">
        <is>
          <t>Documentação Aprovada</t>
        </is>
      </c>
      <c r="P82" t="inlineStr">
        <is>
          <t>Aprovado Diretoria</t>
        </is>
      </c>
      <c r="Q82" t="inlineStr">
        <is>
          <t>Aprovado Caixa</t>
        </is>
      </c>
      <c r="R82" t="inlineStr">
        <is>
          <t>Pago</t>
        </is>
      </c>
      <c r="S82" t="n">
        <v>182</v>
      </c>
      <c r="T82" t="inlineStr">
        <is>
          <t>Love - Shibari - Kamino</t>
        </is>
      </c>
    </row>
    <row r="83">
      <c r="A83" t="n">
        <v>181564</v>
      </c>
      <c r="B83" t="n">
        <v>128</v>
      </c>
      <c r="C83" t="inlineStr">
        <is>
          <t>Love Cabaret</t>
        </is>
      </c>
      <c r="D83" t="inlineStr">
        <is>
          <t>FG7 COMERCIO E DISTRIBUICAO DE BEBIDAS LTDA</t>
        </is>
      </c>
      <c r="E83" t="n">
        <v>860.9400000000001</v>
      </c>
      <c r="F83" s="27" t="n">
        <v>46014</v>
      </c>
      <c r="G83" s="27" t="n">
        <v>46013</v>
      </c>
      <c r="H83" s="27" t="n">
        <v>46013</v>
      </c>
      <c r="I83" s="27" t="n">
        <v>45992</v>
      </c>
      <c r="J83" s="27" t="n">
        <v>45999</v>
      </c>
      <c r="K83" t="inlineStr">
        <is>
          <t>Boleto Bancário</t>
        </is>
      </c>
      <c r="L83" t="inlineStr">
        <is>
          <t>Custo Mercadoria Vendida</t>
        </is>
      </c>
      <c r="M83" t="inlineStr">
        <is>
          <t>Insumos - Bebidas</t>
        </is>
      </c>
      <c r="N83" t="inlineStr">
        <is>
          <t>709622</t>
        </is>
      </c>
      <c r="O83" t="inlineStr">
        <is>
          <t>Documentação Aprovada</t>
        </is>
      </c>
      <c r="P83" t="inlineStr">
        <is>
          <t>Aprovado Diretoria</t>
        </is>
      </c>
      <c r="Q83" t="inlineStr">
        <is>
          <t>Aprovado Caixa</t>
        </is>
      </c>
      <c r="R83" t="inlineStr">
        <is>
          <t>Pago</t>
        </is>
      </c>
      <c r="S83" t="n">
        <v>182</v>
      </c>
      <c r="T83" t="inlineStr">
        <is>
          <t>Love - Shibari - Kamino</t>
        </is>
      </c>
    </row>
    <row r="84">
      <c r="A84" t="n">
        <v>181174</v>
      </c>
      <c r="B84" t="n">
        <v>128</v>
      </c>
      <c r="C84" t="inlineStr">
        <is>
          <t>Love Cabaret</t>
        </is>
      </c>
      <c r="D84" t="inlineStr">
        <is>
          <t xml:space="preserve">DESTEC SOLUCOES LTDA </t>
        </is>
      </c>
      <c r="E84" t="n">
        <v>812.7</v>
      </c>
      <c r="F84" s="27" t="n">
        <v>46015</v>
      </c>
      <c r="G84" s="27" t="n">
        <v>46013</v>
      </c>
      <c r="H84" s="27" t="n">
        <v>46013</v>
      </c>
      <c r="I84" s="27" t="n">
        <v>45991</v>
      </c>
      <c r="J84" s="27" t="n">
        <v>45996</v>
      </c>
      <c r="K84" t="inlineStr">
        <is>
          <t>Boleto Bancário</t>
        </is>
      </c>
      <c r="L84" t="inlineStr">
        <is>
          <t>Locação de Equipamentos</t>
        </is>
      </c>
      <c r="M84" t="inlineStr">
        <is>
          <t>Locações de Equipamentos - Operacionais</t>
        </is>
      </c>
      <c r="N84" t="inlineStr">
        <is>
          <t xml:space="preserve"> d/2025/1755</t>
        </is>
      </c>
      <c r="O84" t="inlineStr">
        <is>
          <t>Documentação Aprovada</t>
        </is>
      </c>
      <c r="P84" t="inlineStr">
        <is>
          <t>Aprovado Diretoria</t>
        </is>
      </c>
      <c r="Q84" t="inlineStr">
        <is>
          <t>Aprovado Caixa</t>
        </is>
      </c>
      <c r="R84" t="inlineStr">
        <is>
          <t>Pago</t>
        </is>
      </c>
      <c r="S84" t="n">
        <v>182</v>
      </c>
      <c r="T84" t="inlineStr">
        <is>
          <t>Love - Shibari - Kamino</t>
        </is>
      </c>
    </row>
    <row r="85">
      <c r="A85" t="n">
        <v>180103</v>
      </c>
      <c r="B85" t="n">
        <v>128</v>
      </c>
      <c r="C85" t="inlineStr">
        <is>
          <t>Love Cabaret</t>
        </is>
      </c>
      <c r="D85" t="inlineStr">
        <is>
          <t>HORTA NOVA DISTRIBUIDORA DE HORTIFRUTI LTDA</t>
        </is>
      </c>
      <c r="E85" t="n">
        <v>65.04000000000001</v>
      </c>
      <c r="F85" s="27" t="n">
        <v>46013</v>
      </c>
      <c r="G85" s="27" t="n">
        <v>46013</v>
      </c>
      <c r="H85" s="27" t="n">
        <v>46013</v>
      </c>
      <c r="I85" s="27" t="n">
        <v>45985</v>
      </c>
      <c r="J85" s="27" t="n">
        <v>45995</v>
      </c>
      <c r="K85" t="inlineStr">
        <is>
          <t>Boleto Bancário</t>
        </is>
      </c>
      <c r="L85" t="inlineStr">
        <is>
          <t>Custo Mercadoria Vendida</t>
        </is>
      </c>
      <c r="M85" t="inlineStr">
        <is>
          <t>Insumos - Alimentos</t>
        </is>
      </c>
      <c r="N85" t="inlineStr">
        <is>
          <t>7448</t>
        </is>
      </c>
      <c r="O85" t="inlineStr">
        <is>
          <t>Documentação Aprovada</t>
        </is>
      </c>
      <c r="P85" t="inlineStr">
        <is>
          <t>Aprovado Diretoria</t>
        </is>
      </c>
      <c r="Q85" t="inlineStr">
        <is>
          <t>Aprovado Caixa</t>
        </is>
      </c>
      <c r="R85" t="inlineStr">
        <is>
          <t>Pago</t>
        </is>
      </c>
      <c r="S85" t="n">
        <v>182</v>
      </c>
      <c r="T85" t="inlineStr">
        <is>
          <t>Love - Shibari - Kamino</t>
        </is>
      </c>
    </row>
    <row r="86">
      <c r="A86" t="n">
        <v>176989</v>
      </c>
      <c r="B86" t="n">
        <v>128</v>
      </c>
      <c r="C86" t="inlineStr">
        <is>
          <t>Love Cabaret</t>
        </is>
      </c>
      <c r="D86" t="inlineStr">
        <is>
          <t>DEOLINDA DOS SANTOS FREITAS</t>
        </is>
      </c>
      <c r="E86" t="n">
        <v>47.8</v>
      </c>
      <c r="F86" s="27" t="n">
        <v>46013</v>
      </c>
      <c r="G86" s="27" t="n">
        <v>46013</v>
      </c>
      <c r="H86" s="27" t="n">
        <v>46013</v>
      </c>
      <c r="I86" s="27" t="n">
        <v>45978</v>
      </c>
      <c r="J86" s="27" t="n">
        <v>45981</v>
      </c>
      <c r="K86" t="inlineStr">
        <is>
          <t>Boleto Bancário</t>
        </is>
      </c>
      <c r="L86" t="inlineStr">
        <is>
          <t>Utilidades</t>
        </is>
      </c>
      <c r="M86" t="inlineStr">
        <is>
          <t>Higiene e Limpeza</t>
        </is>
      </c>
      <c r="N86" t="inlineStr">
        <is>
          <t>2222</t>
        </is>
      </c>
      <c r="O86" t="inlineStr">
        <is>
          <t>Documentação Aprovada</t>
        </is>
      </c>
      <c r="P86" t="inlineStr">
        <is>
          <t>Aprovado Diretoria</t>
        </is>
      </c>
      <c r="Q86" t="inlineStr">
        <is>
          <t>Aprovado Caixa</t>
        </is>
      </c>
      <c r="R86" t="inlineStr">
        <is>
          <t>Pago</t>
        </is>
      </c>
      <c r="S86" t="n">
        <v>182</v>
      </c>
      <c r="T86" t="inlineStr">
        <is>
          <t>Love - Shibari - Kamino</t>
        </is>
      </c>
    </row>
    <row r="87">
      <c r="A87" t="n">
        <v>176990</v>
      </c>
      <c r="B87" t="n">
        <v>128</v>
      </c>
      <c r="C87" t="inlineStr">
        <is>
          <t>Love Cabaret</t>
        </is>
      </c>
      <c r="D87" t="inlineStr">
        <is>
          <t>DEOLINDA DOS SANTOS FREITAS</t>
        </is>
      </c>
      <c r="E87" t="n">
        <v>518.0599999999999</v>
      </c>
      <c r="F87" s="27" t="n">
        <v>46013</v>
      </c>
      <c r="G87" s="27" t="n">
        <v>46013</v>
      </c>
      <c r="H87" s="27" t="n">
        <v>46013</v>
      </c>
      <c r="I87" s="27" t="n">
        <v>45978</v>
      </c>
      <c r="J87" s="27" t="n">
        <v>45981</v>
      </c>
      <c r="K87" t="inlineStr">
        <is>
          <t>Boleto Bancário</t>
        </is>
      </c>
      <c r="L87" t="inlineStr">
        <is>
          <t>Custo Mercadoria Vendida</t>
        </is>
      </c>
      <c r="M87" t="inlineStr">
        <is>
          <t>Insumos - Alimentos</t>
        </is>
      </c>
      <c r="N87" t="inlineStr">
        <is>
          <t>2221</t>
        </is>
      </c>
      <c r="O87" t="inlineStr">
        <is>
          <t>Documentação Aprovada</t>
        </is>
      </c>
      <c r="P87" t="inlineStr">
        <is>
          <t>Aprovado Diretoria</t>
        </is>
      </c>
      <c r="Q87" t="inlineStr">
        <is>
          <t>Aprovado Caixa</t>
        </is>
      </c>
      <c r="R87" t="inlineStr">
        <is>
          <t>Pago</t>
        </is>
      </c>
      <c r="S87" t="n">
        <v>182</v>
      </c>
      <c r="T87" t="inlineStr">
        <is>
          <t>Love - Shibari - Kamino</t>
        </is>
      </c>
    </row>
    <row r="88">
      <c r="A88" t="n">
        <v>176627</v>
      </c>
      <c r="B88" t="n">
        <v>128</v>
      </c>
      <c r="C88" t="inlineStr">
        <is>
          <t>Love Cabaret</t>
        </is>
      </c>
      <c r="D88" t="inlineStr">
        <is>
          <t>CIA DE SANEAMENTO BASICO DO ESTADO DE SAO PAULO SABESP</t>
        </is>
      </c>
      <c r="E88" t="n">
        <v>153.96</v>
      </c>
      <c r="F88" s="27" t="n">
        <v>46011</v>
      </c>
      <c r="G88" s="27" t="n">
        <v>46013</v>
      </c>
      <c r="H88" s="27" t="n">
        <v>46013</v>
      </c>
      <c r="I88" s="27" t="n">
        <v>45975</v>
      </c>
      <c r="J88" s="27" t="n">
        <v>45979</v>
      </c>
      <c r="K88" t="inlineStr">
        <is>
          <t>Boleto Bancário</t>
        </is>
      </c>
      <c r="L88" t="inlineStr">
        <is>
          <t>Utilidades</t>
        </is>
      </c>
      <c r="M88" t="inlineStr">
        <is>
          <t>Agua/Esgoto</t>
        </is>
      </c>
      <c r="N88" t="inlineStr">
        <is>
          <t xml:space="preserve">2025114251205 </t>
        </is>
      </c>
      <c r="O88" t="inlineStr">
        <is>
          <t>Documentação Aprovada</t>
        </is>
      </c>
      <c r="P88" t="inlineStr">
        <is>
          <t>Aprovado Diretoria</t>
        </is>
      </c>
      <c r="Q88" t="inlineStr">
        <is>
          <t>Aprovado Caixa</t>
        </is>
      </c>
      <c r="R88" t="inlineStr">
        <is>
          <t>Pago</t>
        </is>
      </c>
      <c r="S88" t="n">
        <v>182</v>
      </c>
      <c r="T88" t="inlineStr">
        <is>
          <t>Love - Shibari - Kamino</t>
        </is>
      </c>
    </row>
    <row r="89">
      <c r="A89" t="n">
        <v>176465</v>
      </c>
      <c r="B89" t="n">
        <v>128</v>
      </c>
      <c r="C89" t="inlineStr">
        <is>
          <t>Love Cabaret</t>
        </is>
      </c>
      <c r="D89" t="inlineStr">
        <is>
          <t>GOMES D ELIA EQUIP. HIGIENE LTDA - WESCO</t>
        </is>
      </c>
      <c r="E89" t="n">
        <v>551.14</v>
      </c>
      <c r="F89" s="27" t="n">
        <v>46011</v>
      </c>
      <c r="G89" s="27" t="n">
        <v>46013</v>
      </c>
      <c r="H89" s="27" t="n">
        <v>46013</v>
      </c>
      <c r="I89" s="27" t="n">
        <v>45992</v>
      </c>
      <c r="J89" s="27" t="n">
        <v>45979</v>
      </c>
      <c r="K89" t="inlineStr">
        <is>
          <t>Boleto Bancário</t>
        </is>
      </c>
      <c r="L89" t="inlineStr">
        <is>
          <t>Utilidades</t>
        </is>
      </c>
      <c r="M89" t="inlineStr">
        <is>
          <t>Higiene e Limpeza</t>
        </is>
      </c>
      <c r="N89" t="inlineStr">
        <is>
          <t>185159</t>
        </is>
      </c>
      <c r="O89" t="inlineStr">
        <is>
          <t>Documentação Aprovada</t>
        </is>
      </c>
      <c r="P89" t="inlineStr">
        <is>
          <t>Aprovado Diretoria</t>
        </is>
      </c>
      <c r="Q89" t="inlineStr">
        <is>
          <t>Aprovado Caixa</t>
        </is>
      </c>
      <c r="R89" t="inlineStr">
        <is>
          <t>Pago</t>
        </is>
      </c>
      <c r="S89" t="n">
        <v>182</v>
      </c>
      <c r="T89" t="inlineStr">
        <is>
          <t>Love - Shibari - Kamino</t>
        </is>
      </c>
    </row>
    <row r="90">
      <c r="A90" t="n">
        <v>174996</v>
      </c>
      <c r="B90" t="n">
        <v>128</v>
      </c>
      <c r="C90" t="inlineStr">
        <is>
          <t>Love Cabaret</t>
        </is>
      </c>
      <c r="D90" t="inlineStr">
        <is>
          <t>LALAMOVE TECNOLOGIA (BRASIL) LTDA</t>
        </is>
      </c>
      <c r="E90" t="n">
        <v>120.34</v>
      </c>
      <c r="F90" s="27" t="n">
        <v>46011</v>
      </c>
      <c r="G90" s="27" t="n">
        <v>46013</v>
      </c>
      <c r="H90" s="27" t="n">
        <v>46013</v>
      </c>
      <c r="I90" s="27" t="n">
        <v>45976</v>
      </c>
      <c r="J90" s="27" t="n">
        <v>45973</v>
      </c>
      <c r="K90" t="inlineStr">
        <is>
          <t>Transferência Bancária ou Pix</t>
        </is>
      </c>
      <c r="L90" t="inlineStr">
        <is>
          <t>Despesas com Transporte / Hospedagem</t>
        </is>
      </c>
      <c r="M90" t="inlineStr">
        <is>
          <t>Fretes e Carretos</t>
        </is>
      </c>
      <c r="N90" t="inlineStr">
        <is>
          <t>RP1272025</t>
        </is>
      </c>
      <c r="O90" t="inlineStr">
        <is>
          <t>Documentação Aprovada</t>
        </is>
      </c>
      <c r="P90" t="inlineStr">
        <is>
          <t>Aprovado Diretoria</t>
        </is>
      </c>
      <c r="Q90" t="inlineStr">
        <is>
          <t>Aprovado Caixa</t>
        </is>
      </c>
      <c r="R90" t="inlineStr">
        <is>
          <t>Pago</t>
        </is>
      </c>
      <c r="S90" t="n">
        <v>182</v>
      </c>
      <c r="T90" t="inlineStr">
        <is>
          <t>Love - Shibari - Kamino</t>
        </is>
      </c>
    </row>
    <row r="91">
      <c r="A91" t="n">
        <v>184213</v>
      </c>
      <c r="B91" t="n">
        <v>128</v>
      </c>
      <c r="C91" t="inlineStr">
        <is>
          <t>Love Cabaret</t>
        </is>
      </c>
      <c r="D91" t="inlineStr">
        <is>
          <t>COMPANHIA DE GAS DE SAO PAULO</t>
        </is>
      </c>
      <c r="E91" t="n">
        <v>1887.06</v>
      </c>
      <c r="F91" s="27" t="n">
        <v>46015</v>
      </c>
      <c r="G91" s="27" t="n">
        <v>46013</v>
      </c>
      <c r="H91" s="27" t="n">
        <v>46013</v>
      </c>
      <c r="I91" s="27" t="n">
        <v>45992</v>
      </c>
      <c r="J91" s="27" t="n">
        <v>46009</v>
      </c>
      <c r="K91" t="inlineStr">
        <is>
          <t>Boleto Bancário</t>
        </is>
      </c>
      <c r="L91" t="inlineStr">
        <is>
          <t>Utilidades</t>
        </is>
      </c>
      <c r="M91" t="inlineStr">
        <is>
          <t>Gas de Cozinha</t>
        </is>
      </c>
      <c r="N91" t="inlineStr">
        <is>
          <t>136.549.395</t>
        </is>
      </c>
      <c r="O91" t="inlineStr">
        <is>
          <t>Documentação Aprovada</t>
        </is>
      </c>
      <c r="P91" t="inlineStr">
        <is>
          <t>Aprovado Diretoria</t>
        </is>
      </c>
      <c r="Q91" t="inlineStr">
        <is>
          <t>Aprovado Caixa</t>
        </is>
      </c>
      <c r="R91" t="inlineStr">
        <is>
          <t>Pago</t>
        </is>
      </c>
      <c r="S91" t="n">
        <v>182</v>
      </c>
      <c r="T91" t="inlineStr">
        <is>
          <t>Love - Shibari - Kamino</t>
        </is>
      </c>
    </row>
    <row r="92">
      <c r="A92" t="n">
        <v>184400</v>
      </c>
      <c r="B92" t="n">
        <v>128</v>
      </c>
      <c r="C92" t="inlineStr">
        <is>
          <t>Love Cabaret</t>
        </is>
      </c>
      <c r="D92" t="inlineStr">
        <is>
          <t>ESHOWS PROMOCOES ARTISTICAS LTDA</t>
        </is>
      </c>
      <c r="E92" t="n">
        <v>26810</v>
      </c>
      <c r="F92" s="27" t="n">
        <v>46011</v>
      </c>
      <c r="G92" s="27" t="n">
        <v>46013</v>
      </c>
      <c r="H92" s="27" t="n">
        <v>46013</v>
      </c>
      <c r="I92" s="27" t="n">
        <v>45992</v>
      </c>
      <c r="J92" s="27" t="n">
        <v>46009</v>
      </c>
      <c r="K92" t="inlineStr">
        <is>
          <t>Boleto Bancário</t>
        </is>
      </c>
      <c r="L92" t="inlineStr">
        <is>
          <t>Custos Artístico Geral</t>
        </is>
      </c>
      <c r="M92" t="inlineStr">
        <is>
          <t>Cachê de Músicos e Artistas</t>
        </is>
      </c>
      <c r="N92" t="inlineStr">
        <is>
          <t>703723766</t>
        </is>
      </c>
      <c r="O92" t="inlineStr">
        <is>
          <t>Documentação Aprovada</t>
        </is>
      </c>
      <c r="P92" t="inlineStr">
        <is>
          <t>Aprovado Diretoria</t>
        </is>
      </c>
      <c r="Q92" t="inlineStr">
        <is>
          <t>Aprovado Caixa</t>
        </is>
      </c>
      <c r="R92" t="inlineStr">
        <is>
          <t>Pago</t>
        </is>
      </c>
      <c r="S92" t="n">
        <v>182</v>
      </c>
      <c r="T92" t="inlineStr">
        <is>
          <t>Love - Shibari - Kamino</t>
        </is>
      </c>
    </row>
    <row r="93">
      <c r="A93" t="n">
        <v>184147</v>
      </c>
      <c r="B93" t="n">
        <v>128</v>
      </c>
      <c r="C93" t="inlineStr">
        <is>
          <t>Love Cabaret</t>
        </is>
      </c>
      <c r="D93" t="inlineStr">
        <is>
          <t>AURORA ALVORADA ESTACIONAMENTO E LANCHONETE LTDA</t>
        </is>
      </c>
      <c r="E93" t="n">
        <v>235.34</v>
      </c>
      <c r="F93" s="27" t="n">
        <v>46013</v>
      </c>
      <c r="G93" s="27" t="n">
        <v>46013</v>
      </c>
      <c r="H93" s="27" t="n">
        <v>46013</v>
      </c>
      <c r="I93" s="27" t="n">
        <v>46002</v>
      </c>
      <c r="J93" s="27" t="n">
        <v>46008</v>
      </c>
      <c r="K93" t="inlineStr">
        <is>
          <t>Boleto Bancário</t>
        </is>
      </c>
      <c r="L93" t="inlineStr">
        <is>
          <t>Mão de Obra - Benefícios</t>
        </is>
      </c>
      <c r="M93" t="inlineStr">
        <is>
          <t xml:space="preserve">  -  Alimentação Funcionário</t>
        </is>
      </c>
      <c r="N93" t="inlineStr">
        <is>
          <t>11286</t>
        </is>
      </c>
      <c r="O93" t="inlineStr">
        <is>
          <t>Documentação Aprovada</t>
        </is>
      </c>
      <c r="P93" t="inlineStr">
        <is>
          <t>Aprovado Diretoria</t>
        </is>
      </c>
      <c r="Q93" t="inlineStr">
        <is>
          <t>Aprovado Caixa</t>
        </is>
      </c>
      <c r="R93" t="inlineStr">
        <is>
          <t>Pago</t>
        </is>
      </c>
      <c r="S93" t="n">
        <v>182</v>
      </c>
      <c r="T93" t="inlineStr">
        <is>
          <t>Love - Shibari - Kamino</t>
        </is>
      </c>
    </row>
    <row r="94">
      <c r="A94" t="n">
        <v>184155</v>
      </c>
      <c r="B94" t="n">
        <v>128</v>
      </c>
      <c r="C94" t="inlineStr">
        <is>
          <t>Love Cabaret</t>
        </is>
      </c>
      <c r="D94" t="inlineStr">
        <is>
          <t>ESTAFF SOLUCOES TECNOLOGICAS DE AGENCIAMENTO LTDA</t>
        </is>
      </c>
      <c r="E94" t="n">
        <v>19173.91</v>
      </c>
      <c r="F94" s="27" t="n">
        <v>46015</v>
      </c>
      <c r="G94" s="27" t="n">
        <v>46013</v>
      </c>
      <c r="H94" s="27" t="n">
        <v>46013</v>
      </c>
      <c r="I94" s="27" t="n">
        <v>45992</v>
      </c>
      <c r="J94" s="27" t="n">
        <v>46008</v>
      </c>
      <c r="K94" t="inlineStr">
        <is>
          <t>Boleto Bancário</t>
        </is>
      </c>
      <c r="L94" t="inlineStr">
        <is>
          <t>Mão de Obra - Extra</t>
        </is>
      </c>
      <c r="M94" t="inlineStr">
        <is>
          <t>Mão de Obra Extra</t>
        </is>
      </c>
      <c r="N94" t="inlineStr">
        <is>
          <t>701332134</t>
        </is>
      </c>
      <c r="O94" t="inlineStr">
        <is>
          <t>Documentação Aprovada</t>
        </is>
      </c>
      <c r="P94" t="inlineStr">
        <is>
          <t>Aprovado Diretoria</t>
        </is>
      </c>
      <c r="Q94" t="inlineStr">
        <is>
          <t>Aprovado Caixa</t>
        </is>
      </c>
      <c r="R94" t="inlineStr">
        <is>
          <t>Pago</t>
        </is>
      </c>
      <c r="S94" t="n">
        <v>182</v>
      </c>
      <c r="T94" t="inlineStr">
        <is>
          <t>Love - Shibari - Kamino</t>
        </is>
      </c>
    </row>
    <row r="95">
      <c r="A95" t="n">
        <v>184092</v>
      </c>
      <c r="B95" t="n">
        <v>128</v>
      </c>
      <c r="C95" t="inlineStr">
        <is>
          <t>Love Cabaret</t>
        </is>
      </c>
      <c r="D95" t="inlineStr">
        <is>
          <t>EAU - DISTRIBUIDORA DE AGUA MINERAL LTDA</t>
        </is>
      </c>
      <c r="E95" t="n">
        <v>276</v>
      </c>
      <c r="F95" s="27" t="n">
        <v>46009</v>
      </c>
      <c r="G95" s="27" t="n">
        <v>46013</v>
      </c>
      <c r="H95" s="27" t="n">
        <v>46013</v>
      </c>
      <c r="I95" s="27" t="n">
        <v>45992</v>
      </c>
      <c r="J95" s="27" t="n">
        <v>46008</v>
      </c>
      <c r="K95" t="inlineStr">
        <is>
          <t>Boleto Bancário</t>
        </is>
      </c>
      <c r="L95" t="inlineStr">
        <is>
          <t>Custo Mercadoria Vendida</t>
        </is>
      </c>
      <c r="M95" t="inlineStr">
        <is>
          <t>Insumos - Bebidas</t>
        </is>
      </c>
      <c r="N95" t="inlineStr">
        <is>
          <t>277888</t>
        </is>
      </c>
      <c r="O95" t="inlineStr">
        <is>
          <t>Documentação Aprovada</t>
        </is>
      </c>
      <c r="P95" t="inlineStr">
        <is>
          <t>Aprovado Diretoria</t>
        </is>
      </c>
      <c r="Q95" t="inlineStr">
        <is>
          <t>Aprovado Caixa</t>
        </is>
      </c>
      <c r="R95" t="inlineStr">
        <is>
          <t>Pago</t>
        </is>
      </c>
      <c r="S95" t="n">
        <v>182</v>
      </c>
      <c r="T95" t="inlineStr">
        <is>
          <t>Love - Shibari - Kamino</t>
        </is>
      </c>
    </row>
    <row r="96">
      <c r="A96" t="n">
        <v>182508</v>
      </c>
      <c r="B96" t="n">
        <v>128</v>
      </c>
      <c r="C96" t="inlineStr">
        <is>
          <t>Love Cabaret</t>
        </is>
      </c>
      <c r="D96" t="inlineStr">
        <is>
          <t>PSSS LTDA</t>
        </is>
      </c>
      <c r="E96" t="n">
        <v>435</v>
      </c>
      <c r="F96" s="27" t="n">
        <v>46011</v>
      </c>
      <c r="G96" s="27" t="n">
        <v>46013</v>
      </c>
      <c r="H96" s="27" t="n">
        <v>46013</v>
      </c>
      <c r="I96" s="27" t="n">
        <v>45997</v>
      </c>
      <c r="J96" s="27" t="n">
        <v>46001</v>
      </c>
      <c r="K96" t="inlineStr">
        <is>
          <t>Boleto Bancário</t>
        </is>
      </c>
      <c r="L96" t="inlineStr">
        <is>
          <t>Utilidades</t>
        </is>
      </c>
      <c r="M96" t="inlineStr">
        <is>
          <t>Higiene e Limpeza</t>
        </is>
      </c>
      <c r="N96" t="inlineStr">
        <is>
          <t>2777</t>
        </is>
      </c>
      <c r="O96" t="inlineStr">
        <is>
          <t>Documentação Aprovada</t>
        </is>
      </c>
      <c r="P96" t="inlineStr">
        <is>
          <t>Aprovado Diretoria</t>
        </is>
      </c>
      <c r="Q96" t="inlineStr">
        <is>
          <t>Aprovado Caixa</t>
        </is>
      </c>
      <c r="R96" t="inlineStr">
        <is>
          <t>Pago</t>
        </is>
      </c>
      <c r="S96" t="n">
        <v>182</v>
      </c>
      <c r="T96" t="inlineStr">
        <is>
          <t>Love - Shibari - Kamino</t>
        </is>
      </c>
    </row>
    <row r="97">
      <c r="A97" t="n">
        <v>182932</v>
      </c>
      <c r="B97" t="n">
        <v>128</v>
      </c>
      <c r="C97" t="inlineStr">
        <is>
          <t>Love Cabaret</t>
        </is>
      </c>
      <c r="D97" t="inlineStr">
        <is>
          <t>ALPHALIX AMBIENTEAL LOC/ DE EQUIPAMENTOS EIRELI</t>
        </is>
      </c>
      <c r="E97" t="n">
        <v>1531.02</v>
      </c>
      <c r="F97" s="27" t="n">
        <v>46013</v>
      </c>
      <c r="G97" s="27" t="n">
        <v>46013</v>
      </c>
      <c r="H97" s="27" t="n">
        <v>46013</v>
      </c>
      <c r="I97" s="27" t="n">
        <v>45992</v>
      </c>
      <c r="J97" s="27" t="n">
        <v>46003</v>
      </c>
      <c r="K97" t="inlineStr">
        <is>
          <t>Boleto Bancário</t>
        </is>
      </c>
      <c r="L97" t="inlineStr">
        <is>
          <t>Utilidades</t>
        </is>
      </c>
      <c r="M97" t="inlineStr">
        <is>
          <t>Coleta de lixo</t>
        </is>
      </c>
      <c r="N97" t="inlineStr">
        <is>
          <t>51949</t>
        </is>
      </c>
      <c r="O97" t="inlineStr">
        <is>
          <t>Documentação Aprovada</t>
        </is>
      </c>
      <c r="P97" t="inlineStr">
        <is>
          <t>Aprovado Diretoria</t>
        </is>
      </c>
      <c r="Q97" t="inlineStr">
        <is>
          <t>Aprovado Caixa</t>
        </is>
      </c>
      <c r="R97" t="inlineStr">
        <is>
          <t>Pago</t>
        </is>
      </c>
      <c r="S97" t="n">
        <v>182</v>
      </c>
      <c r="T97" t="inlineStr">
        <is>
          <t>Love - Shibari - Kamino</t>
        </is>
      </c>
    </row>
    <row r="98">
      <c r="A98" t="n">
        <v>184036</v>
      </c>
      <c r="B98" t="n">
        <v>128</v>
      </c>
      <c r="C98" t="inlineStr">
        <is>
          <t>Love Cabaret</t>
        </is>
      </c>
      <c r="D98" t="inlineStr">
        <is>
          <t>ZAHIL IMPORTADORA LTDA</t>
        </is>
      </c>
      <c r="E98" t="n">
        <v>899.9299999999999</v>
      </c>
      <c r="F98" s="27" t="n">
        <v>46014</v>
      </c>
      <c r="G98" s="27" t="n">
        <v>46013</v>
      </c>
      <c r="H98" s="27" t="n">
        <v>46013</v>
      </c>
      <c r="I98" s="27" t="n">
        <v>45999</v>
      </c>
      <c r="J98" s="27" t="n">
        <v>46008</v>
      </c>
      <c r="K98" t="inlineStr">
        <is>
          <t>Boleto Bancário</t>
        </is>
      </c>
      <c r="L98" t="inlineStr">
        <is>
          <t>Custo Mercadoria Vendida</t>
        </is>
      </c>
      <c r="M98" t="inlineStr">
        <is>
          <t>Insumos - Bebidas</t>
        </is>
      </c>
      <c r="N98" t="inlineStr">
        <is>
          <t>261699</t>
        </is>
      </c>
      <c r="O98" t="inlineStr">
        <is>
          <t>Documentação Aprovada</t>
        </is>
      </c>
      <c r="P98" t="inlineStr">
        <is>
          <t>Aprovado Diretoria</t>
        </is>
      </c>
      <c r="Q98" t="inlineStr">
        <is>
          <t>Aprovado Caixa</t>
        </is>
      </c>
      <c r="R98" t="inlineStr">
        <is>
          <t>Pago</t>
        </is>
      </c>
      <c r="S98" t="n">
        <v>182</v>
      </c>
      <c r="T98" t="inlineStr">
        <is>
          <t>Love - Shibari - Kamino</t>
        </is>
      </c>
    </row>
    <row r="99">
      <c r="A99" t="n">
        <v>184034</v>
      </c>
      <c r="B99" t="n">
        <v>128</v>
      </c>
      <c r="C99" t="inlineStr">
        <is>
          <t>Love Cabaret</t>
        </is>
      </c>
      <c r="D99" t="inlineStr">
        <is>
          <t xml:space="preserve">HNK BR INDUSTRIA DE BEBIDAS </t>
        </is>
      </c>
      <c r="E99" t="n">
        <v>12672.31</v>
      </c>
      <c r="F99" s="27" t="n">
        <v>46015</v>
      </c>
      <c r="G99" s="27" t="n">
        <v>46013</v>
      </c>
      <c r="H99" s="27" t="n">
        <v>46013</v>
      </c>
      <c r="I99" s="27" t="n">
        <v>46001</v>
      </c>
      <c r="J99" s="27" t="n">
        <v>46008</v>
      </c>
      <c r="K99" t="inlineStr">
        <is>
          <t>Boleto Bancário</t>
        </is>
      </c>
      <c r="L99" t="inlineStr">
        <is>
          <t>Custo Mercadoria Vendida</t>
        </is>
      </c>
      <c r="M99" t="inlineStr">
        <is>
          <t>Insumos - Bebidas</t>
        </is>
      </c>
      <c r="N99" t="inlineStr">
        <is>
          <t>118283</t>
        </is>
      </c>
      <c r="O99" t="inlineStr">
        <is>
          <t>Documentação Aprovada</t>
        </is>
      </c>
      <c r="P99" t="inlineStr">
        <is>
          <t>Aprovado Diretoria</t>
        </is>
      </c>
      <c r="Q99" t="inlineStr">
        <is>
          <t>Aprovado Caixa</t>
        </is>
      </c>
      <c r="R99" t="inlineStr">
        <is>
          <t>Pago</t>
        </is>
      </c>
      <c r="S99" t="n">
        <v>182</v>
      </c>
      <c r="T99" t="inlineStr">
        <is>
          <t>Love - Shibari - Kamino</t>
        </is>
      </c>
    </row>
    <row r="100">
      <c r="A100" t="n">
        <v>184037</v>
      </c>
      <c r="B100" t="n">
        <v>128</v>
      </c>
      <c r="C100" t="inlineStr">
        <is>
          <t>Love Cabaret</t>
        </is>
      </c>
      <c r="D100" t="inlineStr">
        <is>
          <t>PSSS LTDA</t>
        </is>
      </c>
      <c r="E100" t="n">
        <v>943</v>
      </c>
      <c r="F100" s="27" t="n">
        <v>46014</v>
      </c>
      <c r="G100" s="27" t="n">
        <v>46013</v>
      </c>
      <c r="H100" s="27" t="n">
        <v>46013</v>
      </c>
      <c r="I100" s="27" t="n">
        <v>46000</v>
      </c>
      <c r="J100" s="27" t="n">
        <v>46008</v>
      </c>
      <c r="K100" t="inlineStr">
        <is>
          <t>Boleto Bancário</t>
        </is>
      </c>
      <c r="L100" t="inlineStr">
        <is>
          <t>Utilidades</t>
        </is>
      </c>
      <c r="M100" t="inlineStr">
        <is>
          <t>Higiene e Limpeza</t>
        </is>
      </c>
      <c r="N100" t="inlineStr">
        <is>
          <t>2779</t>
        </is>
      </c>
      <c r="O100" t="inlineStr">
        <is>
          <t>Documentação Aprovada</t>
        </is>
      </c>
      <c r="P100" t="inlineStr">
        <is>
          <t>Aprovado Diretoria</t>
        </is>
      </c>
      <c r="Q100" t="inlineStr">
        <is>
          <t>Aprovado Caixa</t>
        </is>
      </c>
      <c r="R100" t="inlineStr">
        <is>
          <t>Pago</t>
        </is>
      </c>
      <c r="S100" t="n">
        <v>182</v>
      </c>
      <c r="T100" t="inlineStr">
        <is>
          <t>Love - Shibari - Kamino</t>
        </is>
      </c>
    </row>
    <row r="101">
      <c r="A101" t="n">
        <v>129470</v>
      </c>
      <c r="B101" t="n">
        <v>128</v>
      </c>
      <c r="C101" t="inlineStr">
        <is>
          <t>Love Cabaret</t>
        </is>
      </c>
      <c r="D101" t="inlineStr">
        <is>
          <t>OPUS CONSULTORIA E PESQUISA LTDA</t>
        </is>
      </c>
      <c r="E101" t="n">
        <v>300</v>
      </c>
      <c r="F101" s="27" t="n">
        <v>46011</v>
      </c>
      <c r="G101" s="27" t="n">
        <v>46013</v>
      </c>
      <c r="H101" s="27" t="n">
        <v>46013</v>
      </c>
      <c r="I101" s="27" t="n">
        <v>45997</v>
      </c>
      <c r="J101" s="27" t="n"/>
      <c r="K101" t="inlineStr">
        <is>
          <t>Boleto Bancário</t>
        </is>
      </c>
      <c r="L101" t="inlineStr">
        <is>
          <t>Serviços de Terceiros</t>
        </is>
      </c>
      <c r="M101" t="inlineStr">
        <is>
          <t>Assessoria em Geral</t>
        </is>
      </c>
      <c r="N101" t="inlineStr">
        <is>
          <t>BOL 651</t>
        </is>
      </c>
      <c r="O101" t="inlineStr">
        <is>
          <t>Documentação Aprovada</t>
        </is>
      </c>
      <c r="P101" t="inlineStr">
        <is>
          <t>Aprovado Diretoria</t>
        </is>
      </c>
      <c r="Q101" t="inlineStr">
        <is>
          <t>Aprovado Caixa</t>
        </is>
      </c>
      <c r="R101" t="inlineStr">
        <is>
          <t>Pago</t>
        </is>
      </c>
      <c r="S101" t="n">
        <v>182</v>
      </c>
      <c r="T101" t="inlineStr">
        <is>
          <t>Love - Shibari - Kamino</t>
        </is>
      </c>
    </row>
    <row r="102">
      <c r="A102" t="n">
        <v>108197</v>
      </c>
      <c r="B102" t="n">
        <v>128</v>
      </c>
      <c r="C102" t="inlineStr">
        <is>
          <t>Love Cabaret</t>
        </is>
      </c>
      <c r="D102" t="inlineStr">
        <is>
          <t xml:space="preserve">GOOGLE BRASIL INTERNET LTDA </t>
        </is>
      </c>
      <c r="E102" t="n">
        <v>1000</v>
      </c>
      <c r="F102" s="27" t="n">
        <v>46006</v>
      </c>
      <c r="G102" s="27" t="n">
        <v>46013</v>
      </c>
      <c r="H102" s="27" t="n">
        <v>46013</v>
      </c>
      <c r="I102" s="27" t="n">
        <v>46006</v>
      </c>
      <c r="J102" s="27" t="n"/>
      <c r="K102" t="inlineStr">
        <is>
          <t>Boleto Bancário</t>
        </is>
      </c>
      <c r="L102" t="inlineStr">
        <is>
          <t>Marketing</t>
        </is>
      </c>
      <c r="M102" t="inlineStr">
        <is>
          <t>Publicidade e Propaganda</t>
        </is>
      </c>
      <c r="N102" t="inlineStr">
        <is>
          <t>PIX</t>
        </is>
      </c>
      <c r="O102" t="inlineStr">
        <is>
          <t>Documentação Aprovada</t>
        </is>
      </c>
      <c r="P102" t="inlineStr">
        <is>
          <t>Aprovado Diretoria</t>
        </is>
      </c>
      <c r="Q102" t="inlineStr">
        <is>
          <t>Aprovado Caixa</t>
        </is>
      </c>
      <c r="R102" t="inlineStr">
        <is>
          <t>Pago</t>
        </is>
      </c>
      <c r="S102" t="n">
        <v>182</v>
      </c>
      <c r="T102" t="inlineStr">
        <is>
          <t>Love - Shibari - Kamino</t>
        </is>
      </c>
    </row>
    <row r="103">
      <c r="A103" t="n">
        <v>108220</v>
      </c>
      <c r="B103" t="n">
        <v>128</v>
      </c>
      <c r="C103" t="inlineStr">
        <is>
          <t>Love Cabaret</t>
        </is>
      </c>
      <c r="D103" t="inlineStr">
        <is>
          <t>DLOCAL BRASIL PAGAMENTOS LTDA  - DMK</t>
        </is>
      </c>
      <c r="E103" t="n">
        <v>5000</v>
      </c>
      <c r="F103" s="27" t="n">
        <v>46011</v>
      </c>
      <c r="G103" s="27" t="n">
        <v>46013</v>
      </c>
      <c r="H103" s="27" t="n">
        <v>46013</v>
      </c>
      <c r="I103" s="27" t="n">
        <v>45992</v>
      </c>
      <c r="J103" s="27" t="n"/>
      <c r="K103" t="inlineStr">
        <is>
          <t>Boleto Bancário</t>
        </is>
      </c>
      <c r="L103" t="inlineStr">
        <is>
          <t>Marketing</t>
        </is>
      </c>
      <c r="M103" t="inlineStr">
        <is>
          <t>Publicidade e Propaganda</t>
        </is>
      </c>
      <c r="N103" t="inlineStr">
        <is>
          <t>BOL 19148200700</t>
        </is>
      </c>
      <c r="O103" t="inlineStr">
        <is>
          <t>Documentação Aprovada</t>
        </is>
      </c>
      <c r="P103" t="inlineStr">
        <is>
          <t>Aprovado Diretoria</t>
        </is>
      </c>
      <c r="Q103" t="inlineStr">
        <is>
          <t>Aprovado Caixa</t>
        </is>
      </c>
      <c r="R103" t="inlineStr">
        <is>
          <t>Pago</t>
        </is>
      </c>
      <c r="S103" t="n">
        <v>182</v>
      </c>
      <c r="T103" t="inlineStr">
        <is>
          <t>Love - Shibari - Kamino</t>
        </is>
      </c>
    </row>
    <row r="104">
      <c r="A104" t="n">
        <v>97491</v>
      </c>
      <c r="B104" t="n">
        <v>128</v>
      </c>
      <c r="C104" t="inlineStr">
        <is>
          <t>Love Cabaret</t>
        </is>
      </c>
      <c r="D104" t="inlineStr">
        <is>
          <t>IRRF</t>
        </is>
      </c>
      <c r="E104" t="n">
        <v>134.27</v>
      </c>
      <c r="F104" s="27" t="n">
        <v>46010</v>
      </c>
      <c r="G104" s="27" t="n">
        <v>46013</v>
      </c>
      <c r="H104" s="27" t="n">
        <v>46013</v>
      </c>
      <c r="I104" s="27" t="n">
        <v>45991</v>
      </c>
      <c r="J104" s="27" t="n"/>
      <c r="K104" t="inlineStr">
        <is>
          <t>Boleto Bancário</t>
        </is>
      </c>
      <c r="L104" t="inlineStr">
        <is>
          <t>Serviços de Terceiros</t>
        </is>
      </c>
      <c r="M104" t="inlineStr">
        <is>
          <t>Serviços de Segurança</t>
        </is>
      </c>
      <c r="N104" t="inlineStr">
        <is>
          <t>Novembro/2025</t>
        </is>
      </c>
      <c r="O104" t="inlineStr">
        <is>
          <t>Documentação Aprovada</t>
        </is>
      </c>
      <c r="P104" t="inlineStr">
        <is>
          <t>Aprovado Diretoria</t>
        </is>
      </c>
      <c r="Q104" t="inlineStr">
        <is>
          <t>Aprovado Caixa</t>
        </is>
      </c>
      <c r="R104" t="inlineStr">
        <is>
          <t>Pago</t>
        </is>
      </c>
      <c r="S104" t="n">
        <v>182</v>
      </c>
      <c r="T104" t="inlineStr">
        <is>
          <t>Love - Shibari - Kamino</t>
        </is>
      </c>
    </row>
    <row r="105">
      <c r="A105" t="n">
        <v>97475</v>
      </c>
      <c r="B105" t="n">
        <v>128</v>
      </c>
      <c r="C105" t="inlineStr">
        <is>
          <t>Love Cabaret</t>
        </is>
      </c>
      <c r="D105" t="inlineStr">
        <is>
          <t>ICMS</t>
        </is>
      </c>
      <c r="E105" t="n">
        <v>10657.25</v>
      </c>
      <c r="F105" s="27" t="n">
        <v>46013</v>
      </c>
      <c r="G105" s="27" t="n">
        <v>46013</v>
      </c>
      <c r="H105" s="27" t="n">
        <v>46013</v>
      </c>
      <c r="I105" s="27" t="n">
        <v>45991</v>
      </c>
      <c r="J105" s="27" t="n"/>
      <c r="K105" t="inlineStr">
        <is>
          <t>Boleto Bancário</t>
        </is>
      </c>
      <c r="L105" t="inlineStr">
        <is>
          <t>Impostos sobre Venda</t>
        </is>
      </c>
      <c r="M105" t="inlineStr">
        <is>
          <t>ICMS</t>
        </is>
      </c>
      <c r="N105" t="inlineStr">
        <is>
          <t>Novembro/2025</t>
        </is>
      </c>
      <c r="O105" t="inlineStr">
        <is>
          <t>Documentação Aprovada</t>
        </is>
      </c>
      <c r="P105" t="inlineStr">
        <is>
          <t>Aprovado Diretoria</t>
        </is>
      </c>
      <c r="Q105" t="inlineStr">
        <is>
          <t>Aprovado Caixa</t>
        </is>
      </c>
      <c r="R105" t="inlineStr">
        <is>
          <t>Pago</t>
        </is>
      </c>
      <c r="S105" t="n">
        <v>182</v>
      </c>
      <c r="T105" t="inlineStr">
        <is>
          <t>Love - Shibari - Kamino</t>
        </is>
      </c>
    </row>
    <row r="106">
      <c r="A106" t="n">
        <v>102801</v>
      </c>
      <c r="B106" t="n">
        <v>128</v>
      </c>
      <c r="C106" t="inlineStr">
        <is>
          <t>Love Cabaret</t>
        </is>
      </c>
      <c r="D106" t="inlineStr">
        <is>
          <t>FABRICA DE BARES PARTICIPACOES LTDA</t>
        </is>
      </c>
      <c r="E106" t="n">
        <v>100</v>
      </c>
      <c r="F106" s="27" t="n">
        <v>46011</v>
      </c>
      <c r="G106" s="27" t="n">
        <v>46013</v>
      </c>
      <c r="H106" s="27" t="n">
        <v>46013</v>
      </c>
      <c r="I106" s="27" t="n">
        <v>45962</v>
      </c>
      <c r="J106" s="27" t="n"/>
      <c r="K106" t="inlineStr">
        <is>
          <t>Transferência Bancária ou Pix</t>
        </is>
      </c>
      <c r="L106" t="inlineStr">
        <is>
          <t>Serviços de Terceiros</t>
        </is>
      </c>
      <c r="M106" t="inlineStr">
        <is>
          <t>Assessoria RH</t>
        </is>
      </c>
      <c r="N106" t="inlineStr">
        <is>
          <t>ND 90/2025</t>
        </is>
      </c>
      <c r="O106" t="inlineStr">
        <is>
          <t>Documentação Aprovada</t>
        </is>
      </c>
      <c r="P106" t="inlineStr">
        <is>
          <t>Aprovado Diretoria</t>
        </is>
      </c>
      <c r="Q106" t="inlineStr">
        <is>
          <t>Aprovado Caixa</t>
        </is>
      </c>
      <c r="R106" t="inlineStr">
        <is>
          <t>Pago</t>
        </is>
      </c>
      <c r="S106" t="n">
        <v>182</v>
      </c>
      <c r="T106" t="inlineStr">
        <is>
          <t>Love - Shibari - Kamino</t>
        </is>
      </c>
    </row>
    <row r="107">
      <c r="A107" t="n">
        <v>102873</v>
      </c>
      <c r="B107" t="n">
        <v>128</v>
      </c>
      <c r="C107" t="inlineStr">
        <is>
          <t>Love Cabaret</t>
        </is>
      </c>
      <c r="D107" t="inlineStr">
        <is>
          <t>MACHINE SEGURANCA PATRIMONIAL LTDA</t>
        </is>
      </c>
      <c r="E107" t="n">
        <v>6650</v>
      </c>
      <c r="F107" s="27" t="n">
        <v>46000</v>
      </c>
      <c r="G107" s="27" t="n">
        <v>46013</v>
      </c>
      <c r="H107" s="27" t="n">
        <v>46013</v>
      </c>
      <c r="I107" s="27" t="n">
        <v>45991</v>
      </c>
      <c r="J107" s="27" t="n"/>
      <c r="K107" t="inlineStr">
        <is>
          <t>Transferência Bancária ou Pix</t>
        </is>
      </c>
      <c r="L107" t="inlineStr">
        <is>
          <t>Serviços de Terceiros</t>
        </is>
      </c>
      <c r="M107" t="inlineStr">
        <is>
          <t>Serviços de Segurança</t>
        </is>
      </c>
      <c r="N107" t="inlineStr">
        <is>
          <t>FAT 62</t>
        </is>
      </c>
      <c r="O107" t="inlineStr">
        <is>
          <t>Documentação Aprovada</t>
        </is>
      </c>
      <c r="P107" t="inlineStr">
        <is>
          <t>Aprovado Diretoria</t>
        </is>
      </c>
      <c r="Q107" t="inlineStr">
        <is>
          <t>Aprovado Caixa</t>
        </is>
      </c>
      <c r="R107" t="inlineStr">
        <is>
          <t>Pago</t>
        </is>
      </c>
      <c r="S107" t="n">
        <v>182</v>
      </c>
      <c r="T107" t="inlineStr">
        <is>
          <t>Love - Shibari - Kamino</t>
        </is>
      </c>
    </row>
    <row r="108">
      <c r="A108" t="n">
        <v>102779</v>
      </c>
      <c r="B108" t="n">
        <v>128</v>
      </c>
      <c r="C108" t="inlineStr">
        <is>
          <t>Love Cabaret</t>
        </is>
      </c>
      <c r="D108" t="inlineStr">
        <is>
          <t>FABRICA DE BARES PARTICIPACOES LTDA</t>
        </is>
      </c>
      <c r="E108" t="n">
        <v>6752.98</v>
      </c>
      <c r="F108" s="27" t="n">
        <v>45920</v>
      </c>
      <c r="G108" s="27" t="n">
        <v>46013</v>
      </c>
      <c r="H108" s="27" t="n">
        <v>46013</v>
      </c>
      <c r="I108" s="27" t="n">
        <v>45899</v>
      </c>
      <c r="J108" s="27" t="n"/>
      <c r="K108" t="inlineStr">
        <is>
          <t>Transferência Bancária ou Pix</t>
        </is>
      </c>
      <c r="L108" t="inlineStr">
        <is>
          <t>Mão de Obra - Benefícios</t>
        </is>
      </c>
      <c r="M108" t="inlineStr">
        <is>
          <t xml:space="preserve">  -  Alimentação Funcionário</t>
        </is>
      </c>
      <c r="N108" t="inlineStr">
        <is>
          <t>049-2025</t>
        </is>
      </c>
      <c r="O108" t="inlineStr">
        <is>
          <t>Documentação Aprovada</t>
        </is>
      </c>
      <c r="P108" t="inlineStr">
        <is>
          <t>Aprovado Diretoria</t>
        </is>
      </c>
      <c r="Q108" t="inlineStr">
        <is>
          <t>Aprovado Caixa</t>
        </is>
      </c>
      <c r="R108" t="inlineStr">
        <is>
          <t>Pago</t>
        </is>
      </c>
      <c r="S108" t="n">
        <v>182</v>
      </c>
      <c r="T108" t="inlineStr">
        <is>
          <t>Love - Shibari - Kamino</t>
        </is>
      </c>
    </row>
    <row r="109">
      <c r="A109" t="n">
        <v>183950</v>
      </c>
      <c r="B109" t="n">
        <v>128</v>
      </c>
      <c r="C109" t="inlineStr">
        <is>
          <t>Love Cabaret</t>
        </is>
      </c>
      <c r="D109" t="inlineStr">
        <is>
          <t xml:space="preserve">CSRF </t>
        </is>
      </c>
      <c r="E109" t="n">
        <v>344.44</v>
      </c>
      <c r="F109" s="27" t="n">
        <v>46010</v>
      </c>
      <c r="G109" s="27" t="n">
        <v>46009</v>
      </c>
      <c r="H109" s="27" t="n">
        <v>46009</v>
      </c>
      <c r="I109" s="27" t="n">
        <v>46021</v>
      </c>
      <c r="J109" s="27" t="n">
        <v>46008</v>
      </c>
      <c r="K109" t="inlineStr">
        <is>
          <t>Boleto Bancário</t>
        </is>
      </c>
      <c r="L109" t="inlineStr">
        <is>
          <t>Serviços de Terceiros</t>
        </is>
      </c>
      <c r="M109" t="inlineStr">
        <is>
          <t>Assessoria Contabil</t>
        </is>
      </c>
      <c r="N109" t="inlineStr">
        <is>
          <t>NOV2025</t>
        </is>
      </c>
      <c r="O109" t="inlineStr">
        <is>
          <t>Documentação Aprovada</t>
        </is>
      </c>
      <c r="P109" t="inlineStr">
        <is>
          <t>Aprovado Diretoria</t>
        </is>
      </c>
      <c r="Q109" t="inlineStr">
        <is>
          <t>Aprovado Caixa</t>
        </is>
      </c>
      <c r="R109" t="inlineStr">
        <is>
          <t>Pago</t>
        </is>
      </c>
      <c r="S109" t="n">
        <v>182</v>
      </c>
      <c r="T109" t="inlineStr">
        <is>
          <t>Love - Shibari - Kamino</t>
        </is>
      </c>
    </row>
    <row r="110">
      <c r="A110" t="n">
        <v>183960</v>
      </c>
      <c r="B110" t="n">
        <v>128</v>
      </c>
      <c r="C110" t="inlineStr">
        <is>
          <t>Love Cabaret</t>
        </is>
      </c>
      <c r="D110" t="inlineStr">
        <is>
          <t>INSS</t>
        </is>
      </c>
      <c r="E110" t="n">
        <v>627</v>
      </c>
      <c r="F110" s="27" t="n">
        <v>46010</v>
      </c>
      <c r="G110" s="27" t="n">
        <v>46009</v>
      </c>
      <c r="H110" s="27" t="n">
        <v>46009</v>
      </c>
      <c r="I110" s="27" t="n">
        <v>46021</v>
      </c>
      <c r="J110" s="27" t="n">
        <v>46008</v>
      </c>
      <c r="K110" t="inlineStr">
        <is>
          <t>Boleto Bancário</t>
        </is>
      </c>
      <c r="L110" t="inlineStr">
        <is>
          <t>Serviços de Terceiros</t>
        </is>
      </c>
      <c r="M110" t="inlineStr">
        <is>
          <t>Assessoria Contabil</t>
        </is>
      </c>
      <c r="N110" t="inlineStr">
        <is>
          <t>NOV2025</t>
        </is>
      </c>
      <c r="O110" t="inlineStr">
        <is>
          <t>Documentação Aprovada</t>
        </is>
      </c>
      <c r="P110" t="inlineStr">
        <is>
          <t>Aprovado Diretoria</t>
        </is>
      </c>
      <c r="Q110" t="inlineStr">
        <is>
          <t>Aprovado Caixa</t>
        </is>
      </c>
      <c r="R110" t="inlineStr">
        <is>
          <t>Pago</t>
        </is>
      </c>
      <c r="S110" t="n">
        <v>182</v>
      </c>
      <c r="T110" t="inlineStr">
        <is>
          <t>Love - Shibari - Kamino</t>
        </is>
      </c>
    </row>
    <row r="111">
      <c r="A111" t="n">
        <v>184321</v>
      </c>
      <c r="B111" t="n">
        <v>128</v>
      </c>
      <c r="C111" t="inlineStr">
        <is>
          <t>Love Cabaret</t>
        </is>
      </c>
      <c r="D111" t="inlineStr">
        <is>
          <t>CAROLINE FERREIRA DA SILVA</t>
        </is>
      </c>
      <c r="E111" t="n">
        <v>901.1</v>
      </c>
      <c r="F111" s="27" t="n">
        <v>46010</v>
      </c>
      <c r="G111" s="27" t="n">
        <v>46009</v>
      </c>
      <c r="H111" s="27" t="n">
        <v>46009</v>
      </c>
      <c r="I111" s="27" t="n">
        <v>46006</v>
      </c>
      <c r="J111" s="27" t="n"/>
      <c r="L111" t="inlineStr">
        <is>
          <t>Mão de Obra - Salários</t>
        </is>
      </c>
      <c r="M111" t="inlineStr">
        <is>
          <t>MDO CLT - Salário</t>
        </is>
      </c>
      <c r="O111" t="inlineStr">
        <is>
          <t>Documentação Aprovada</t>
        </is>
      </c>
      <c r="P111" t="inlineStr">
        <is>
          <t>Aprovado Diretoria</t>
        </is>
      </c>
      <c r="Q111" t="inlineStr">
        <is>
          <t>Aprovado Caixa</t>
        </is>
      </c>
      <c r="R111" t="inlineStr">
        <is>
          <t>Pago</t>
        </is>
      </c>
      <c r="S111" t="n">
        <v>115</v>
      </c>
      <c r="T111" t="inlineStr">
        <is>
          <t>Love - Shibari - Bradesco</t>
        </is>
      </c>
    </row>
    <row r="112">
      <c r="A112" t="n">
        <v>184322</v>
      </c>
      <c r="B112" t="n">
        <v>128</v>
      </c>
      <c r="C112" t="inlineStr">
        <is>
          <t>Love Cabaret</t>
        </is>
      </c>
      <c r="D112" t="inlineStr">
        <is>
          <t>JULIANA OLIVEIRA DA SILVA</t>
        </is>
      </c>
      <c r="E112" t="n">
        <v>816.95</v>
      </c>
      <c r="F112" s="27" t="n">
        <v>46010</v>
      </c>
      <c r="G112" s="27" t="n">
        <v>46009</v>
      </c>
      <c r="H112" s="27" t="n">
        <v>46009</v>
      </c>
      <c r="I112" s="27" t="n">
        <v>46006</v>
      </c>
      <c r="J112" s="27" t="n"/>
      <c r="L112" t="inlineStr">
        <is>
          <t>Mão de Obra - Salários</t>
        </is>
      </c>
      <c r="M112" t="inlineStr">
        <is>
          <t>MDO CLT - Salário</t>
        </is>
      </c>
      <c r="O112" t="inlineStr">
        <is>
          <t>Documentação Aprovada</t>
        </is>
      </c>
      <c r="P112" t="inlineStr">
        <is>
          <t>Aprovado Diretoria</t>
        </is>
      </c>
      <c r="Q112" t="inlineStr">
        <is>
          <t>Aprovado Caixa</t>
        </is>
      </c>
      <c r="R112" t="inlineStr">
        <is>
          <t>Pago</t>
        </is>
      </c>
      <c r="S112" t="n">
        <v>115</v>
      </c>
      <c r="T112" t="inlineStr">
        <is>
          <t>Love - Shibari - Bradesco</t>
        </is>
      </c>
    </row>
    <row r="113">
      <c r="A113" t="n">
        <v>184742</v>
      </c>
      <c r="B113" t="n">
        <v>128</v>
      </c>
      <c r="C113" t="inlineStr">
        <is>
          <t>Love Cabaret</t>
        </is>
      </c>
      <c r="D113" t="inlineStr">
        <is>
          <t>CAROLINE FERREIRA DA SILVA</t>
        </is>
      </c>
      <c r="E113" t="n">
        <v>1804.65</v>
      </c>
      <c r="F113" s="27" t="n">
        <v>46010</v>
      </c>
      <c r="G113" s="27" t="n">
        <v>46010</v>
      </c>
      <c r="H113" s="27" t="n">
        <v>46009</v>
      </c>
      <c r="I113" s="27" t="n">
        <v>46006</v>
      </c>
      <c r="J113" s="27" t="n"/>
      <c r="L113" t="inlineStr">
        <is>
          <t>Mão de Obra - Encargos e Provisões</t>
        </is>
      </c>
      <c r="M113" t="inlineStr">
        <is>
          <t xml:space="preserve">  -  13º Salário</t>
        </is>
      </c>
      <c r="O113" t="inlineStr">
        <is>
          <t>Documentação Aprovada</t>
        </is>
      </c>
      <c r="P113" t="inlineStr">
        <is>
          <t>Aprovado Diretoria</t>
        </is>
      </c>
      <c r="Q113" t="inlineStr">
        <is>
          <t>Aprovado Caixa</t>
        </is>
      </c>
      <c r="R113" t="inlineStr">
        <is>
          <t>Pago</t>
        </is>
      </c>
      <c r="S113" t="n">
        <v>115</v>
      </c>
      <c r="T113" t="inlineStr">
        <is>
          <t>Love - Shibari - Bradesco</t>
        </is>
      </c>
    </row>
    <row r="114">
      <c r="A114" t="n">
        <v>184743</v>
      </c>
      <c r="B114" t="n">
        <v>128</v>
      </c>
      <c r="C114" t="inlineStr">
        <is>
          <t>Love Cabaret</t>
        </is>
      </c>
      <c r="D114" t="inlineStr">
        <is>
          <t>JULIANA OLIVEIRA DA SILVA</t>
        </is>
      </c>
      <c r="E114" t="n">
        <v>827.22</v>
      </c>
      <c r="F114" s="27" t="n">
        <v>46010</v>
      </c>
      <c r="G114" s="27" t="n">
        <v>46010</v>
      </c>
      <c r="H114" s="27" t="n">
        <v>46009</v>
      </c>
      <c r="I114" s="27" t="n">
        <v>46006</v>
      </c>
      <c r="J114" s="27" t="n"/>
      <c r="L114" t="inlineStr">
        <is>
          <t>Mão de Obra - Encargos e Provisões</t>
        </is>
      </c>
      <c r="M114" t="inlineStr">
        <is>
          <t xml:space="preserve">  -  13º Salário</t>
        </is>
      </c>
      <c r="O114" t="inlineStr">
        <is>
          <t>Documentação Aprovada</t>
        </is>
      </c>
      <c r="P114" t="inlineStr">
        <is>
          <t>Aprovado Diretoria</t>
        </is>
      </c>
      <c r="Q114" t="inlineStr">
        <is>
          <t>Aprovado Caixa</t>
        </is>
      </c>
      <c r="R114" t="inlineStr">
        <is>
          <t>Pago</t>
        </is>
      </c>
      <c r="S114" t="n">
        <v>115</v>
      </c>
      <c r="T114" t="inlineStr">
        <is>
          <t>Love - Shibari - Bradesco</t>
        </is>
      </c>
    </row>
    <row r="115">
      <c r="A115" t="n">
        <v>182622</v>
      </c>
      <c r="B115" t="n">
        <v>128</v>
      </c>
      <c r="C115" t="inlineStr">
        <is>
          <t>Love Cabaret</t>
        </is>
      </c>
      <c r="D115" t="inlineStr">
        <is>
          <t>FGTS</t>
        </is>
      </c>
      <c r="E115" t="n">
        <v>1082.43</v>
      </c>
      <c r="F115" s="27" t="n">
        <v>46010</v>
      </c>
      <c r="G115" s="27" t="n">
        <v>46009</v>
      </c>
      <c r="H115" s="27" t="n">
        <v>46009</v>
      </c>
      <c r="I115" s="27" t="n">
        <v>45980</v>
      </c>
      <c r="J115" s="27" t="n"/>
      <c r="K115" t="inlineStr">
        <is>
          <t>Transferência Bancária ou Pix</t>
        </is>
      </c>
      <c r="L115" t="inlineStr">
        <is>
          <t>Mão de Obra - Encargos e Provisões</t>
        </is>
      </c>
      <c r="M115" t="inlineStr">
        <is>
          <t xml:space="preserve">  -  FGTS</t>
        </is>
      </c>
      <c r="N115" t="inlineStr">
        <is>
          <t>Novembro/2025</t>
        </is>
      </c>
      <c r="O115" t="inlineStr">
        <is>
          <t>Documentação Aprovada</t>
        </is>
      </c>
      <c r="P115" t="inlineStr">
        <is>
          <t>Aprovado Diretoria</t>
        </is>
      </c>
      <c r="Q115" t="inlineStr">
        <is>
          <t>Aprovado Caixa</t>
        </is>
      </c>
      <c r="R115" t="inlineStr">
        <is>
          <t>Pago</t>
        </is>
      </c>
      <c r="S115" t="n">
        <v>182</v>
      </c>
      <c r="T115" t="inlineStr">
        <is>
          <t>Love - Shibari - Kamino</t>
        </is>
      </c>
    </row>
    <row r="116">
      <c r="A116" t="n">
        <v>182641</v>
      </c>
      <c r="B116" t="n">
        <v>128</v>
      </c>
      <c r="C116" t="inlineStr">
        <is>
          <t>Love Cabaret</t>
        </is>
      </c>
      <c r="D116" t="inlineStr">
        <is>
          <t>INSS</t>
        </is>
      </c>
      <c r="E116" t="n">
        <v>3057.88</v>
      </c>
      <c r="F116" s="27" t="n">
        <v>46010</v>
      </c>
      <c r="G116" s="27" t="n">
        <v>46009</v>
      </c>
      <c r="H116" s="27" t="n">
        <v>46009</v>
      </c>
      <c r="I116" s="27" t="n">
        <v>45980</v>
      </c>
      <c r="J116" s="27" t="n"/>
      <c r="K116" t="inlineStr">
        <is>
          <t>Boleto Bancário</t>
        </is>
      </c>
      <c r="L116" t="inlineStr">
        <is>
          <t>Mão de Obra - Encargos e Provisões</t>
        </is>
      </c>
      <c r="M116" t="inlineStr">
        <is>
          <t xml:space="preserve">  -  INSS Patronal</t>
        </is>
      </c>
      <c r="N116" t="inlineStr">
        <is>
          <t>Novembro/2025</t>
        </is>
      </c>
      <c r="O116" t="inlineStr">
        <is>
          <t>Documentação Aprovada</t>
        </is>
      </c>
      <c r="P116" t="inlineStr">
        <is>
          <t>Aprovado Diretoria</t>
        </is>
      </c>
      <c r="Q116" t="inlineStr">
        <is>
          <t>Aprovado Caixa</t>
        </is>
      </c>
      <c r="R116" t="inlineStr">
        <is>
          <t>Pago</t>
        </is>
      </c>
      <c r="S116" t="n">
        <v>182</v>
      </c>
      <c r="T116" t="inlineStr">
        <is>
          <t>Love - Shibari - Kamino</t>
        </is>
      </c>
    </row>
    <row r="117">
      <c r="A117" t="n">
        <v>182642</v>
      </c>
      <c r="B117" t="n">
        <v>128</v>
      </c>
      <c r="C117" t="inlineStr">
        <is>
          <t>Love Cabaret</t>
        </is>
      </c>
      <c r="D117" t="inlineStr">
        <is>
          <t>INSS</t>
        </is>
      </c>
      <c r="E117" t="n">
        <v>1105.65</v>
      </c>
      <c r="F117" s="27" t="n">
        <v>46010</v>
      </c>
      <c r="G117" s="27" t="n">
        <v>46009</v>
      </c>
      <c r="H117" s="27" t="n">
        <v>46009</v>
      </c>
      <c r="I117" s="27" t="n">
        <v>45980</v>
      </c>
      <c r="J117" s="27" t="n"/>
      <c r="K117" t="inlineStr">
        <is>
          <t>Boleto Bancário</t>
        </is>
      </c>
      <c r="L117" t="inlineStr">
        <is>
          <t>Mão de Obra - Encargos e Provisões</t>
        </is>
      </c>
      <c r="M117" t="inlineStr">
        <is>
          <t xml:space="preserve">  -  INSS Segurados</t>
        </is>
      </c>
      <c r="N117" t="inlineStr">
        <is>
          <t>Novembro/2025</t>
        </is>
      </c>
      <c r="O117" t="inlineStr">
        <is>
          <t>Documentação Aprovada</t>
        </is>
      </c>
      <c r="P117" t="inlineStr">
        <is>
          <t>Aprovado Diretoria</t>
        </is>
      </c>
      <c r="Q117" t="inlineStr">
        <is>
          <t>Aprovado Caixa</t>
        </is>
      </c>
      <c r="R117" t="inlineStr">
        <is>
          <t>Pago</t>
        </is>
      </c>
      <c r="S117" t="n">
        <v>182</v>
      </c>
      <c r="T117" t="inlineStr">
        <is>
          <t>Love - Shibari - Kamino</t>
        </is>
      </c>
    </row>
    <row r="118">
      <c r="A118" t="n">
        <v>182507</v>
      </c>
      <c r="B118" t="n">
        <v>128</v>
      </c>
      <c r="C118" t="inlineStr">
        <is>
          <t>Love Cabaret</t>
        </is>
      </c>
      <c r="D118" t="inlineStr">
        <is>
          <t>ICE4PROS FABRICA DE GELO LTDA</t>
        </is>
      </c>
      <c r="E118" t="n">
        <v>1106</v>
      </c>
      <c r="F118" s="27" t="n">
        <v>46010</v>
      </c>
      <c r="G118" s="27" t="n">
        <v>46008</v>
      </c>
      <c r="H118" s="27" t="n">
        <v>46008</v>
      </c>
      <c r="I118" s="27" t="n">
        <v>46000</v>
      </c>
      <c r="J118" s="27" t="n">
        <v>46001</v>
      </c>
      <c r="K118" t="inlineStr">
        <is>
          <t>Boleto Bancário</t>
        </is>
      </c>
      <c r="L118" t="inlineStr">
        <is>
          <t>Custo Mercadoria Vendida</t>
        </is>
      </c>
      <c r="M118" t="inlineStr">
        <is>
          <t>Insumos - Bebidas</t>
        </is>
      </c>
      <c r="N118" t="inlineStr">
        <is>
          <t>89999</t>
        </is>
      </c>
      <c r="O118" t="inlineStr">
        <is>
          <t>Documentação Aprovada</t>
        </is>
      </c>
      <c r="P118" t="inlineStr">
        <is>
          <t>Aprovado Diretoria</t>
        </is>
      </c>
      <c r="Q118" t="inlineStr">
        <is>
          <t>Aprovado Caixa</t>
        </is>
      </c>
      <c r="R118" t="inlineStr">
        <is>
          <t>Pago</t>
        </is>
      </c>
      <c r="S118" t="n">
        <v>182</v>
      </c>
      <c r="T118" t="inlineStr">
        <is>
          <t>Love - Shibari - Kamino</t>
        </is>
      </c>
    </row>
    <row r="119">
      <c r="A119" t="n">
        <v>183989</v>
      </c>
      <c r="B119" t="n">
        <v>128</v>
      </c>
      <c r="C119" t="inlineStr">
        <is>
          <t>Love Cabaret</t>
        </is>
      </c>
      <c r="D119" t="inlineStr">
        <is>
          <t>FELIPE FERREIRA FRANCA 36496185832</t>
        </is>
      </c>
      <c r="E119" t="n">
        <v>2400</v>
      </c>
      <c r="F119" s="27" t="n">
        <v>46008</v>
      </c>
      <c r="G119" s="27" t="n"/>
      <c r="H119" s="27" t="n">
        <v>46008</v>
      </c>
      <c r="I119" s="27" t="n">
        <v>46008</v>
      </c>
      <c r="J119" s="27" t="n">
        <v>46008</v>
      </c>
      <c r="K119" t="inlineStr">
        <is>
          <t>Transferência Bancária ou Pix</t>
        </is>
      </c>
      <c r="L119" t="inlineStr">
        <is>
          <t>Utilidades</t>
        </is>
      </c>
      <c r="M119" t="inlineStr">
        <is>
          <t>Agua/Esgoto</t>
        </is>
      </c>
      <c r="N119" t="inlineStr">
        <is>
          <t>RP1292025</t>
        </is>
      </c>
      <c r="O119" t="inlineStr">
        <is>
          <t>Documentação Aprovada</t>
        </is>
      </c>
      <c r="P119" t="inlineStr">
        <is>
          <t>Aprovado Diretoria</t>
        </is>
      </c>
      <c r="Q119" t="inlineStr">
        <is>
          <t>Aprovado Caixa</t>
        </is>
      </c>
      <c r="R119" t="inlineStr">
        <is>
          <t>Pago</t>
        </is>
      </c>
      <c r="S119" t="n">
        <v>182</v>
      </c>
      <c r="T119" t="inlineStr">
        <is>
          <t>Love - Shibari - Kamino</t>
        </is>
      </c>
    </row>
    <row r="120">
      <c r="A120" t="n">
        <v>184507</v>
      </c>
      <c r="B120" t="n">
        <v>128</v>
      </c>
      <c r="C120" t="inlineStr">
        <is>
          <t>Love Cabaret</t>
        </is>
      </c>
      <c r="D120" t="inlineStr">
        <is>
          <t>BRADESCO SA</t>
        </is>
      </c>
      <c r="E120" t="n">
        <v>9.800000000000001</v>
      </c>
      <c r="F120" s="27" t="n">
        <v>46008</v>
      </c>
      <c r="G120" s="27" t="n"/>
      <c r="H120" s="27" t="n">
        <v>46008</v>
      </c>
      <c r="I120" s="27" t="n">
        <v>46008</v>
      </c>
      <c r="J120" s="27" t="n"/>
      <c r="K120" t="inlineStr">
        <is>
          <t xml:space="preserve">Debito Automático </t>
        </is>
      </c>
      <c r="L120" t="inlineStr">
        <is>
          <t>Despesas Financeiras</t>
        </is>
      </c>
      <c r="M120" t="inlineStr">
        <is>
          <t>Tarifas Bancárias</t>
        </is>
      </c>
      <c r="O120" t="inlineStr">
        <is>
          <t>Documentação Aprovada</t>
        </is>
      </c>
      <c r="P120" t="inlineStr">
        <is>
          <t>Aprovado Diretoria</t>
        </is>
      </c>
      <c r="Q120" t="inlineStr">
        <is>
          <t>Aprovado Caixa</t>
        </is>
      </c>
      <c r="R120" t="inlineStr">
        <is>
          <t>Pago</t>
        </is>
      </c>
      <c r="S120" t="n">
        <v>115</v>
      </c>
      <c r="T120" t="inlineStr">
        <is>
          <t>Love - Shibari - Bradesco</t>
        </is>
      </c>
    </row>
    <row r="121">
      <c r="A121" t="n">
        <v>176490</v>
      </c>
      <c r="B121" t="n">
        <v>128</v>
      </c>
      <c r="C121" t="inlineStr">
        <is>
          <t>Love Cabaret</t>
        </is>
      </c>
      <c r="D121" t="inlineStr">
        <is>
          <t xml:space="preserve">EDIMAR MOURA TARTAGLIONI SERVICOES DE DEDETIZACAO </t>
        </is>
      </c>
      <c r="E121" t="n">
        <v>630</v>
      </c>
      <c r="F121" s="27" t="n">
        <v>46009</v>
      </c>
      <c r="G121" s="27" t="n">
        <v>46008</v>
      </c>
      <c r="H121" s="27" t="n">
        <v>46008</v>
      </c>
      <c r="I121" s="27" t="n">
        <v>45996</v>
      </c>
      <c r="J121" s="27" t="n">
        <v>45979</v>
      </c>
      <c r="K121" t="inlineStr">
        <is>
          <t>Transferência Bancária ou Pix</t>
        </is>
      </c>
      <c r="L121" t="inlineStr">
        <is>
          <t>Utilidades</t>
        </is>
      </c>
      <c r="M121" t="inlineStr">
        <is>
          <t>Controle de Pragas</t>
        </is>
      </c>
      <c r="N121" t="inlineStr">
        <is>
          <t>638</t>
        </is>
      </c>
      <c r="O121" t="inlineStr">
        <is>
          <t>Documentação Aprovada</t>
        </is>
      </c>
      <c r="P121" t="inlineStr">
        <is>
          <t>Aprovado Diretoria</t>
        </is>
      </c>
      <c r="Q121" t="inlineStr">
        <is>
          <t>Aprovado Caixa</t>
        </is>
      </c>
      <c r="R121" t="inlineStr">
        <is>
          <t>Pago</t>
        </is>
      </c>
      <c r="S121" t="n">
        <v>182</v>
      </c>
      <c r="T121" t="inlineStr">
        <is>
          <t>Love - Shibari - Kamino</t>
        </is>
      </c>
    </row>
    <row r="122">
      <c r="A122" t="n">
        <v>179148</v>
      </c>
      <c r="B122" t="n">
        <v>128</v>
      </c>
      <c r="C122" t="inlineStr">
        <is>
          <t>Love Cabaret</t>
        </is>
      </c>
      <c r="D122" t="inlineStr">
        <is>
          <t>PSSS LTDA</t>
        </is>
      </c>
      <c r="E122" t="n">
        <v>798</v>
      </c>
      <c r="F122" s="27" t="n">
        <v>46010</v>
      </c>
      <c r="G122" s="27" t="n">
        <v>46008</v>
      </c>
      <c r="H122" s="27" t="n">
        <v>46008</v>
      </c>
      <c r="I122" s="27" t="n">
        <v>45989</v>
      </c>
      <c r="J122" s="27" t="n">
        <v>45992</v>
      </c>
      <c r="K122" t="inlineStr">
        <is>
          <t>Boleto Bancário</t>
        </is>
      </c>
      <c r="L122" t="inlineStr">
        <is>
          <t>Utilidades</t>
        </is>
      </c>
      <c r="M122" t="inlineStr">
        <is>
          <t>Higiene e Limpeza</t>
        </is>
      </c>
      <c r="N122" t="inlineStr">
        <is>
          <t>2725</t>
        </is>
      </c>
      <c r="O122" t="inlineStr">
        <is>
          <t>Documentação Aprovada</t>
        </is>
      </c>
      <c r="P122" t="inlineStr">
        <is>
          <t>Aprovado Diretoria</t>
        </is>
      </c>
      <c r="Q122" t="inlineStr">
        <is>
          <t>Aprovado Caixa</t>
        </is>
      </c>
      <c r="R122" t="inlineStr">
        <is>
          <t>Pago</t>
        </is>
      </c>
      <c r="S122" t="n">
        <v>182</v>
      </c>
      <c r="T122" t="inlineStr">
        <is>
          <t>Love - Shibari - Kamino</t>
        </is>
      </c>
    </row>
    <row r="123">
      <c r="A123" t="n">
        <v>178312</v>
      </c>
      <c r="B123" t="n">
        <v>128</v>
      </c>
      <c r="C123" t="inlineStr">
        <is>
          <t>Love Cabaret</t>
        </is>
      </c>
      <c r="D123" t="inlineStr">
        <is>
          <t>PORTO SEGURO CIA DE SEGUROS GERAIS</t>
        </is>
      </c>
      <c r="E123" t="n">
        <v>80.40000000000001</v>
      </c>
      <c r="F123" s="27" t="n">
        <v>46009</v>
      </c>
      <c r="G123" s="27" t="n">
        <v>46008</v>
      </c>
      <c r="H123" s="27" t="n">
        <v>46008</v>
      </c>
      <c r="I123" s="27" t="n">
        <v>45992</v>
      </c>
      <c r="J123" s="27" t="n">
        <v>45988</v>
      </c>
      <c r="K123" t="inlineStr">
        <is>
          <t>Boleto Bancário</t>
        </is>
      </c>
      <c r="L123" t="inlineStr">
        <is>
          <t>Mão de Obra - Benefícios</t>
        </is>
      </c>
      <c r="M123" t="inlineStr">
        <is>
          <t xml:space="preserve">  -  Seguro de Vida</t>
        </is>
      </c>
      <c r="N123" t="inlineStr">
        <is>
          <t>8040 122025</t>
        </is>
      </c>
      <c r="O123" t="inlineStr">
        <is>
          <t>Documentação Aprovada</t>
        </is>
      </c>
      <c r="P123" t="inlineStr">
        <is>
          <t>Aprovado Diretoria</t>
        </is>
      </c>
      <c r="Q123" t="inlineStr">
        <is>
          <t>Aprovado Caixa</t>
        </is>
      </c>
      <c r="R123" t="inlineStr">
        <is>
          <t>Pago</t>
        </is>
      </c>
      <c r="S123" t="n">
        <v>182</v>
      </c>
      <c r="T123" t="inlineStr">
        <is>
          <t>Love - Shibari - Kamino</t>
        </is>
      </c>
    </row>
    <row r="124">
      <c r="A124" t="n">
        <v>176986</v>
      </c>
      <c r="B124" t="n">
        <v>128</v>
      </c>
      <c r="C124" t="inlineStr">
        <is>
          <t>Love Cabaret</t>
        </is>
      </c>
      <c r="D124" t="inlineStr">
        <is>
          <t>EMPORIO M&amp;L COMERCIO DE ALIM E BEBIDAS LTDA</t>
        </is>
      </c>
      <c r="E124" t="n">
        <v>951.86</v>
      </c>
      <c r="F124" s="27" t="n">
        <v>46009</v>
      </c>
      <c r="G124" s="27" t="n">
        <v>46008</v>
      </c>
      <c r="H124" s="27" t="n">
        <v>46008</v>
      </c>
      <c r="I124" s="27" t="n">
        <v>45978</v>
      </c>
      <c r="J124" s="27" t="n">
        <v>45981</v>
      </c>
      <c r="K124" t="inlineStr">
        <is>
          <t>Boleto Bancário</t>
        </is>
      </c>
      <c r="L124" t="inlineStr">
        <is>
          <t>Custo Mercadoria Vendida</t>
        </is>
      </c>
      <c r="M124" t="inlineStr">
        <is>
          <t>Insumos - Alimentos</t>
        </is>
      </c>
      <c r="N124" t="inlineStr">
        <is>
          <t>481635</t>
        </is>
      </c>
      <c r="O124" t="inlineStr">
        <is>
          <t>Documentação Aprovada</t>
        </is>
      </c>
      <c r="P124" t="inlineStr">
        <is>
          <t>Aprovado Diretoria</t>
        </is>
      </c>
      <c r="Q124" t="inlineStr">
        <is>
          <t>Aprovado Caixa</t>
        </is>
      </c>
      <c r="R124" t="inlineStr">
        <is>
          <t>Pago</t>
        </is>
      </c>
      <c r="S124" t="n">
        <v>182</v>
      </c>
      <c r="T124" t="inlineStr">
        <is>
          <t>Love - Shibari - Kamino</t>
        </is>
      </c>
    </row>
    <row r="125">
      <c r="A125" t="n">
        <v>181127</v>
      </c>
      <c r="B125" t="n">
        <v>128</v>
      </c>
      <c r="C125" t="inlineStr">
        <is>
          <t>Love Cabaret</t>
        </is>
      </c>
      <c r="D125" t="inlineStr">
        <is>
          <t>DEBORAH RIZZO SERRADO</t>
        </is>
      </c>
      <c r="E125" t="n">
        <v>16309.32</v>
      </c>
      <c r="F125" s="27" t="n">
        <v>46009</v>
      </c>
      <c r="G125" s="27" t="n">
        <v>46008</v>
      </c>
      <c r="H125" s="27" t="n">
        <v>46008</v>
      </c>
      <c r="I125" s="27" t="n">
        <v>45991</v>
      </c>
      <c r="J125" s="27" t="n">
        <v>45995</v>
      </c>
      <c r="K125" t="inlineStr">
        <is>
          <t>Transferência Bancária ou Pix</t>
        </is>
      </c>
      <c r="L125" t="inlineStr">
        <is>
          <t>Custos Artístico Geral</t>
        </is>
      </c>
      <c r="M125" t="inlineStr">
        <is>
          <t>MDO Terceirizada - Artístico</t>
        </is>
      </c>
      <c r="N125" t="inlineStr">
        <is>
          <t>RP1252025</t>
        </is>
      </c>
      <c r="O125" t="inlineStr">
        <is>
          <t>Documentação Aprovada</t>
        </is>
      </c>
      <c r="P125" t="inlineStr">
        <is>
          <t>Aprovado Diretoria</t>
        </is>
      </c>
      <c r="Q125" t="inlineStr">
        <is>
          <t>Aprovado Caixa</t>
        </is>
      </c>
      <c r="R125" t="inlineStr">
        <is>
          <t>Pago</t>
        </is>
      </c>
      <c r="S125" t="n">
        <v>182</v>
      </c>
      <c r="T125" t="inlineStr">
        <is>
          <t>Love - Shibari - Kamino</t>
        </is>
      </c>
    </row>
    <row r="126">
      <c r="A126" t="n">
        <v>176118</v>
      </c>
      <c r="B126" t="n">
        <v>128</v>
      </c>
      <c r="C126" t="inlineStr">
        <is>
          <t>Love Cabaret</t>
        </is>
      </c>
      <c r="D126" t="inlineStr">
        <is>
          <t xml:space="preserve">KAMINO INSTITUICAO DE PAGAMENTO LTDA </t>
        </is>
      </c>
      <c r="E126" t="n">
        <v>400</v>
      </c>
      <c r="F126" s="27" t="n">
        <v>46006</v>
      </c>
      <c r="G126" s="27" t="n">
        <v>46007</v>
      </c>
      <c r="H126" s="27" t="n">
        <v>46007</v>
      </c>
      <c r="I126" s="27" t="n">
        <v>45992</v>
      </c>
      <c r="J126" s="27" t="n">
        <v>45978</v>
      </c>
      <c r="K126" t="inlineStr">
        <is>
          <t>Boleto Bancário</t>
        </is>
      </c>
      <c r="L126" t="inlineStr">
        <is>
          <t>Despesas Financeiras</t>
        </is>
      </c>
      <c r="M126" t="inlineStr">
        <is>
          <t>Tarifas Bancárias</t>
        </is>
      </c>
      <c r="N126" t="inlineStr">
        <is>
          <t>122025</t>
        </is>
      </c>
      <c r="O126" t="inlineStr">
        <is>
          <t>Documentação Aprovada</t>
        </is>
      </c>
      <c r="P126" t="inlineStr">
        <is>
          <t>Aprovado Diretoria</t>
        </is>
      </c>
      <c r="Q126" t="inlineStr">
        <is>
          <t>Aprovado Caixa</t>
        </is>
      </c>
      <c r="R126" t="inlineStr">
        <is>
          <t>Pago</t>
        </is>
      </c>
      <c r="S126" t="n">
        <v>182</v>
      </c>
      <c r="T126" t="inlineStr">
        <is>
          <t>Love - Shibari - Kamino</t>
        </is>
      </c>
    </row>
    <row r="127">
      <c r="A127" t="n">
        <v>183574</v>
      </c>
      <c r="B127" t="n">
        <v>128</v>
      </c>
      <c r="C127" t="inlineStr">
        <is>
          <t>Love Cabaret</t>
        </is>
      </c>
      <c r="D127" t="inlineStr">
        <is>
          <t>JULIANA OLIVEIRA DA SILVA</t>
        </is>
      </c>
      <c r="E127" t="n">
        <v>34.13</v>
      </c>
      <c r="F127" s="27" t="n">
        <v>46007</v>
      </c>
      <c r="G127" s="27" t="n">
        <v>46008</v>
      </c>
      <c r="H127" s="27" t="n">
        <v>46007</v>
      </c>
      <c r="I127" s="27" t="n">
        <v>45991</v>
      </c>
      <c r="J127" s="27" t="n"/>
      <c r="L127" t="inlineStr">
        <is>
          <t>Mão de Obra - Salários</t>
        </is>
      </c>
      <c r="M127" t="inlineStr">
        <is>
          <t>MDO CLT - Salário</t>
        </is>
      </c>
      <c r="O127" t="inlineStr">
        <is>
          <t>Documentação Aprovada</t>
        </is>
      </c>
      <c r="P127" t="inlineStr">
        <is>
          <t>Aprovado Diretoria</t>
        </is>
      </c>
      <c r="Q127" t="inlineStr">
        <is>
          <t>Aprovado Caixa</t>
        </is>
      </c>
      <c r="R127" t="inlineStr">
        <is>
          <t>Pago</t>
        </is>
      </c>
      <c r="S127" t="n">
        <v>115</v>
      </c>
      <c r="T127" t="inlineStr">
        <is>
          <t>Love - Shibari - Bradesco</t>
        </is>
      </c>
    </row>
    <row r="128">
      <c r="A128" t="n">
        <v>175627</v>
      </c>
      <c r="B128" t="n">
        <v>128</v>
      </c>
      <c r="C128" t="inlineStr">
        <is>
          <t>Love Cabaret</t>
        </is>
      </c>
      <c r="D128" t="inlineStr">
        <is>
          <t xml:space="preserve">SPOTIFY </t>
        </is>
      </c>
      <c r="E128" t="n">
        <v>20.45</v>
      </c>
      <c r="F128" s="27" t="n">
        <v>46006</v>
      </c>
      <c r="G128" s="27" t="n">
        <v>46007</v>
      </c>
      <c r="H128" s="27" t="n">
        <v>46007</v>
      </c>
      <c r="I128" s="27" t="n">
        <v>45992</v>
      </c>
      <c r="J128" s="27" t="n">
        <v>45974</v>
      </c>
      <c r="K128" t="inlineStr">
        <is>
          <t>Transferência Bancária ou Pix</t>
        </is>
      </c>
      <c r="L128" t="inlineStr">
        <is>
          <t>Informática e TI</t>
        </is>
      </c>
      <c r="M128" t="inlineStr">
        <is>
          <t>TV por assinatura/musica ambiente</t>
        </is>
      </c>
      <c r="N128" t="inlineStr">
        <is>
          <t>RP 128-2025</t>
        </is>
      </c>
      <c r="O128" t="inlineStr">
        <is>
          <t>Documentação Aprovada</t>
        </is>
      </c>
      <c r="P128" t="inlineStr">
        <is>
          <t>Aprovado Diretoria</t>
        </is>
      </c>
      <c r="Q128" t="inlineStr">
        <is>
          <t>Aprovado Caixa</t>
        </is>
      </c>
      <c r="R128" t="inlineStr">
        <is>
          <t>Pago</t>
        </is>
      </c>
      <c r="S128" t="n">
        <v>182</v>
      </c>
      <c r="T128" t="inlineStr">
        <is>
          <t>Love - Shibari - Kamino</t>
        </is>
      </c>
    </row>
    <row r="129">
      <c r="A129" t="n">
        <v>102897</v>
      </c>
      <c r="B129" t="n">
        <v>128</v>
      </c>
      <c r="C129" t="inlineStr">
        <is>
          <t>Love Cabaret</t>
        </is>
      </c>
      <c r="D129" t="inlineStr">
        <is>
          <t>MACHINE SEGURANCA PATRIMONIAL LTDA</t>
        </is>
      </c>
      <c r="E129" t="n">
        <v>7790</v>
      </c>
      <c r="F129" s="27" t="n">
        <v>45981</v>
      </c>
      <c r="G129" s="27" t="n">
        <v>46007</v>
      </c>
      <c r="H129" s="27" t="n">
        <v>46007</v>
      </c>
      <c r="I129" s="27" t="n">
        <v>45976</v>
      </c>
      <c r="J129" s="27" t="n"/>
      <c r="K129" t="inlineStr">
        <is>
          <t>Transferência Bancária ou Pix</t>
        </is>
      </c>
      <c r="L129" t="inlineStr">
        <is>
          <t>Serviços de Terceiros</t>
        </is>
      </c>
      <c r="M129" t="inlineStr">
        <is>
          <t>Serviços de Segurança</t>
        </is>
      </c>
      <c r="N129" t="inlineStr">
        <is>
          <t>FAT 42</t>
        </is>
      </c>
      <c r="O129" t="inlineStr">
        <is>
          <t>Documentação Aprovada</t>
        </is>
      </c>
      <c r="P129" t="inlineStr">
        <is>
          <t>Aprovado Diretoria</t>
        </is>
      </c>
      <c r="Q129" t="inlineStr">
        <is>
          <t>Aprovado Caixa</t>
        </is>
      </c>
      <c r="R129" t="inlineStr">
        <is>
          <t>Pago</t>
        </is>
      </c>
      <c r="S129" t="n">
        <v>182</v>
      </c>
      <c r="T129" t="inlineStr">
        <is>
          <t>Love - Shibari - Kamino</t>
        </is>
      </c>
    </row>
    <row r="130">
      <c r="A130" t="n">
        <v>102910</v>
      </c>
      <c r="B130" t="n">
        <v>128</v>
      </c>
      <c r="C130" t="inlineStr">
        <is>
          <t>Love Cabaret</t>
        </is>
      </c>
      <c r="D130" t="inlineStr">
        <is>
          <t>MACRO CONTABILIDADE E CONSULTORIA LTDA</t>
        </is>
      </c>
      <c r="E130" t="n">
        <v>3204.47</v>
      </c>
      <c r="F130" s="27" t="n">
        <v>46006</v>
      </c>
      <c r="G130" s="27" t="n">
        <v>46006</v>
      </c>
      <c r="H130" s="27" t="n">
        <v>46006</v>
      </c>
      <c r="I130" s="27" t="n">
        <v>45994</v>
      </c>
      <c r="J130" s="27" t="n"/>
      <c r="K130" t="inlineStr">
        <is>
          <t>Boleto Bancário</t>
        </is>
      </c>
      <c r="L130" t="inlineStr">
        <is>
          <t>Serviços de Terceiros</t>
        </is>
      </c>
      <c r="M130" t="inlineStr">
        <is>
          <t>Assessoria Contabil</t>
        </is>
      </c>
      <c r="N130" t="inlineStr">
        <is>
          <t>9876</t>
        </is>
      </c>
      <c r="O130" t="inlineStr">
        <is>
          <t>Documentação Aprovada</t>
        </is>
      </c>
      <c r="P130" t="inlineStr">
        <is>
          <t>Aprovado Diretoria</t>
        </is>
      </c>
      <c r="Q130" t="inlineStr">
        <is>
          <t>Aprovado Caixa</t>
        </is>
      </c>
      <c r="R130" t="inlineStr">
        <is>
          <t>Pago</t>
        </is>
      </c>
      <c r="S130" t="n">
        <v>182</v>
      </c>
      <c r="T130" t="inlineStr">
        <is>
          <t>Love - Shibari - Kamino</t>
        </is>
      </c>
    </row>
    <row r="131">
      <c r="A131" t="n">
        <v>176513</v>
      </c>
      <c r="B131" t="n">
        <v>128</v>
      </c>
      <c r="C131" t="inlineStr">
        <is>
          <t>Love Cabaret</t>
        </is>
      </c>
      <c r="D131" t="inlineStr">
        <is>
          <t>HEADCHEF SEGURANCA DOS ALIM E GARANTIA D</t>
        </is>
      </c>
      <c r="E131" t="n">
        <v>891.0599999999999</v>
      </c>
      <c r="F131" s="27" t="n">
        <v>46006</v>
      </c>
      <c r="G131" s="27" t="n">
        <v>46006</v>
      </c>
      <c r="H131" s="27" t="n">
        <v>46006</v>
      </c>
      <c r="I131" s="27" t="n">
        <v>45987</v>
      </c>
      <c r="J131" s="27" t="n">
        <v>45979</v>
      </c>
      <c r="K131" t="inlineStr">
        <is>
          <t>Boleto Bancário</t>
        </is>
      </c>
      <c r="L131" t="inlineStr">
        <is>
          <t>Serviços de Terceiros</t>
        </is>
      </c>
      <c r="M131" t="inlineStr">
        <is>
          <t>Assessoria de Alimentos e Bebidas</t>
        </is>
      </c>
      <c r="N131" t="inlineStr">
        <is>
          <t>1715</t>
        </is>
      </c>
      <c r="O131" t="inlineStr">
        <is>
          <t>Documentação Aprovada</t>
        </is>
      </c>
      <c r="P131" t="inlineStr">
        <is>
          <t>Aprovado Diretoria</t>
        </is>
      </c>
      <c r="Q131" t="inlineStr">
        <is>
          <t>Aprovado Caixa</t>
        </is>
      </c>
      <c r="R131" t="inlineStr">
        <is>
          <t>Pago</t>
        </is>
      </c>
      <c r="S131" t="n">
        <v>182</v>
      </c>
      <c r="T131" t="inlineStr">
        <is>
          <t>Love - Shibari - Kamino</t>
        </is>
      </c>
    </row>
    <row r="132">
      <c r="A132" t="n">
        <v>180096</v>
      </c>
      <c r="B132" t="n">
        <v>128</v>
      </c>
      <c r="C132" t="inlineStr">
        <is>
          <t>Love Cabaret</t>
        </is>
      </c>
      <c r="D132" t="inlineStr">
        <is>
          <t>CECILIA TSUYACO ARAKI SILVA LTDA</t>
        </is>
      </c>
      <c r="E132" t="n">
        <v>478.5</v>
      </c>
      <c r="F132" s="27" t="n">
        <v>46008</v>
      </c>
      <c r="G132" s="27" t="n">
        <v>46006</v>
      </c>
      <c r="H132" s="27" t="n">
        <v>46006</v>
      </c>
      <c r="I132" s="27" t="n">
        <v>45980</v>
      </c>
      <c r="J132" s="27" t="n">
        <v>45994</v>
      </c>
      <c r="K132" t="inlineStr">
        <is>
          <t>Boleto Bancário</t>
        </is>
      </c>
      <c r="L132" t="inlineStr">
        <is>
          <t>Custo Mercadoria Vendida</t>
        </is>
      </c>
      <c r="M132" t="inlineStr">
        <is>
          <t>Insumos - Alimentos</t>
        </is>
      </c>
      <c r="N132" t="inlineStr">
        <is>
          <t>381982</t>
        </is>
      </c>
      <c r="O132" t="inlineStr">
        <is>
          <t>Documentação Aprovada</t>
        </is>
      </c>
      <c r="P132" t="inlineStr">
        <is>
          <t>Aprovado Diretoria</t>
        </is>
      </c>
      <c r="Q132" t="inlineStr">
        <is>
          <t>Aprovado Caixa</t>
        </is>
      </c>
      <c r="R132" t="inlineStr">
        <is>
          <t>Pago</t>
        </is>
      </c>
      <c r="S132" t="n">
        <v>182</v>
      </c>
      <c r="T132" t="inlineStr">
        <is>
          <t>Love - Shibari - Kamino</t>
        </is>
      </c>
    </row>
    <row r="133">
      <c r="A133" t="n">
        <v>181574</v>
      </c>
      <c r="B133" t="n">
        <v>128</v>
      </c>
      <c r="C133" t="inlineStr">
        <is>
          <t>Love Cabaret</t>
        </is>
      </c>
      <c r="D133" t="inlineStr">
        <is>
          <t>ZAHIL IMPORTADORA LTDA</t>
        </is>
      </c>
      <c r="E133" t="n">
        <v>880.54</v>
      </c>
      <c r="F133" s="27" t="n">
        <v>46007</v>
      </c>
      <c r="G133" s="27" t="n">
        <v>46006</v>
      </c>
      <c r="H133" s="27" t="n">
        <v>46006</v>
      </c>
      <c r="I133" s="27" t="n">
        <v>45992</v>
      </c>
      <c r="J133" s="27" t="n">
        <v>45999</v>
      </c>
      <c r="K133" t="inlineStr">
        <is>
          <t>Boleto Bancário</t>
        </is>
      </c>
      <c r="L133" t="inlineStr">
        <is>
          <t>Custo Mercadoria Vendida</t>
        </is>
      </c>
      <c r="M133" t="inlineStr">
        <is>
          <t>Insumos - Bebidas</t>
        </is>
      </c>
      <c r="N133" t="inlineStr">
        <is>
          <t>261162</t>
        </is>
      </c>
      <c r="O133" t="inlineStr">
        <is>
          <t>Documentação Aprovada</t>
        </is>
      </c>
      <c r="P133" t="inlineStr">
        <is>
          <t>Aprovado Diretoria</t>
        </is>
      </c>
      <c r="Q133" t="inlineStr">
        <is>
          <t>Aprovado Caixa</t>
        </is>
      </c>
      <c r="R133" t="inlineStr">
        <is>
          <t>Pago</t>
        </is>
      </c>
      <c r="S133" t="n">
        <v>182</v>
      </c>
      <c r="T133" t="inlineStr">
        <is>
          <t>Love - Shibari - Kamino</t>
        </is>
      </c>
    </row>
    <row r="134">
      <c r="A134" t="n">
        <v>181567</v>
      </c>
      <c r="B134" t="n">
        <v>128</v>
      </c>
      <c r="C134" t="inlineStr">
        <is>
          <t>Love Cabaret</t>
        </is>
      </c>
      <c r="D134" t="inlineStr">
        <is>
          <t>ASSAZ ORGANICA INDUSTRIA E COMERCIO DE ALIMENTOS LTDA</t>
        </is>
      </c>
      <c r="E134" t="n">
        <v>50.75</v>
      </c>
      <c r="F134" s="27" t="n">
        <v>46008</v>
      </c>
      <c r="G134" s="27" t="n">
        <v>46006</v>
      </c>
      <c r="H134" s="27" t="n">
        <v>46006</v>
      </c>
      <c r="I134" s="27" t="n">
        <v>45993</v>
      </c>
      <c r="J134" s="27" t="n">
        <v>45999</v>
      </c>
      <c r="K134" t="inlineStr">
        <is>
          <t>Boleto Bancário</t>
        </is>
      </c>
      <c r="L134" t="inlineStr">
        <is>
          <t>Custo Mercadoria Vendida</t>
        </is>
      </c>
      <c r="M134" t="inlineStr">
        <is>
          <t>Insumos - Alimentos</t>
        </is>
      </c>
      <c r="N134" t="inlineStr">
        <is>
          <t>24722</t>
        </is>
      </c>
      <c r="O134" t="inlineStr">
        <is>
          <t>Documentação Aprovada</t>
        </is>
      </c>
      <c r="P134" t="inlineStr">
        <is>
          <t>Aprovado Diretoria</t>
        </is>
      </c>
      <c r="Q134" t="inlineStr">
        <is>
          <t>Aprovado Caixa</t>
        </is>
      </c>
      <c r="R134" t="inlineStr">
        <is>
          <t>Pago</t>
        </is>
      </c>
      <c r="S134" t="n">
        <v>182</v>
      </c>
      <c r="T134" t="inlineStr">
        <is>
          <t>Love - Shibari - Kamino</t>
        </is>
      </c>
    </row>
    <row r="135">
      <c r="A135" t="n">
        <v>181566</v>
      </c>
      <c r="B135" t="n">
        <v>128</v>
      </c>
      <c r="C135" t="inlineStr">
        <is>
          <t>Love Cabaret</t>
        </is>
      </c>
      <c r="D135" t="inlineStr">
        <is>
          <t>MULTIFRANGOS COMERCIO DE ALIMENTOS LTDA</t>
        </is>
      </c>
      <c r="E135" t="n">
        <v>336.87</v>
      </c>
      <c r="F135" s="27" t="n">
        <v>46007</v>
      </c>
      <c r="G135" s="27" t="n">
        <v>46006</v>
      </c>
      <c r="H135" s="27" t="n">
        <v>46006</v>
      </c>
      <c r="I135" s="27" t="n">
        <v>45993</v>
      </c>
      <c r="J135" s="27" t="n">
        <v>45999</v>
      </c>
      <c r="K135" t="inlineStr">
        <is>
          <t>Boleto Bancário</t>
        </is>
      </c>
      <c r="L135" t="inlineStr">
        <is>
          <t>Custo Mercadoria Vendida</t>
        </is>
      </c>
      <c r="M135" t="inlineStr">
        <is>
          <t>Insumos - Alimentos</t>
        </is>
      </c>
      <c r="N135" t="inlineStr">
        <is>
          <t>931751</t>
        </is>
      </c>
      <c r="O135" t="inlineStr">
        <is>
          <t>Documentação Aprovada</t>
        </is>
      </c>
      <c r="P135" t="inlineStr">
        <is>
          <t>Aprovado Diretoria</t>
        </is>
      </c>
      <c r="Q135" t="inlineStr">
        <is>
          <t>Aprovado Caixa</t>
        </is>
      </c>
      <c r="R135" t="inlineStr">
        <is>
          <t>Pago</t>
        </is>
      </c>
      <c r="S135" t="n">
        <v>182</v>
      </c>
      <c r="T135" t="inlineStr">
        <is>
          <t>Love - Shibari - Kamino</t>
        </is>
      </c>
    </row>
    <row r="136">
      <c r="A136" t="n">
        <v>180098</v>
      </c>
      <c r="B136" t="n">
        <v>128</v>
      </c>
      <c r="C136" t="inlineStr">
        <is>
          <t>Love Cabaret</t>
        </is>
      </c>
      <c r="D136" t="inlineStr">
        <is>
          <t>CEPEL COMERCIO DE PAPEIS E EMBALAGENS LTDA</t>
        </is>
      </c>
      <c r="E136" t="n">
        <v>290</v>
      </c>
      <c r="F136" s="27" t="n">
        <v>46006</v>
      </c>
      <c r="G136" s="27" t="n">
        <v>46006</v>
      </c>
      <c r="H136" s="27" t="n">
        <v>46006</v>
      </c>
      <c r="I136" s="27" t="n">
        <v>45985</v>
      </c>
      <c r="J136" s="27" t="n">
        <v>45994</v>
      </c>
      <c r="K136" t="inlineStr">
        <is>
          <t>Boleto Bancário</t>
        </is>
      </c>
      <c r="L136" t="inlineStr">
        <is>
          <t>Utilidades</t>
        </is>
      </c>
      <c r="M136" t="inlineStr">
        <is>
          <t>Higiene e Limpeza</t>
        </is>
      </c>
      <c r="N136" t="inlineStr">
        <is>
          <t>253607</t>
        </is>
      </c>
      <c r="O136" t="inlineStr">
        <is>
          <t>Documentação Aprovada</t>
        </is>
      </c>
      <c r="P136" t="inlineStr">
        <is>
          <t>Aprovado Diretoria</t>
        </is>
      </c>
      <c r="Q136" t="inlineStr">
        <is>
          <t>Aprovado Caixa</t>
        </is>
      </c>
      <c r="R136" t="inlineStr">
        <is>
          <t>Pago</t>
        </is>
      </c>
      <c r="S136" t="n">
        <v>182</v>
      </c>
      <c r="T136" t="inlineStr">
        <is>
          <t>Love - Shibari - Kamino</t>
        </is>
      </c>
    </row>
    <row r="137">
      <c r="A137" t="n">
        <v>180102</v>
      </c>
      <c r="B137" t="n">
        <v>128</v>
      </c>
      <c r="C137" t="inlineStr">
        <is>
          <t>Love Cabaret</t>
        </is>
      </c>
      <c r="D137" t="inlineStr">
        <is>
          <t>CG FOOD´S DISTRIBUIDORA DE ALIMENTOS LTDA</t>
        </is>
      </c>
      <c r="E137" t="n">
        <v>401.45</v>
      </c>
      <c r="F137" s="27" t="n">
        <v>46007</v>
      </c>
      <c r="G137" s="27" t="n">
        <v>46006</v>
      </c>
      <c r="H137" s="27" t="n">
        <v>46006</v>
      </c>
      <c r="I137" s="27" t="n">
        <v>45986</v>
      </c>
      <c r="J137" s="27" t="n">
        <v>45995</v>
      </c>
      <c r="K137" t="inlineStr">
        <is>
          <t>Boleto Bancário</t>
        </is>
      </c>
      <c r="L137" t="inlineStr">
        <is>
          <t>Custo Mercadoria Vendida</t>
        </is>
      </c>
      <c r="M137" t="inlineStr">
        <is>
          <t>Insumos - Alimentos</t>
        </is>
      </c>
      <c r="N137" t="inlineStr">
        <is>
          <t>172009</t>
        </is>
      </c>
      <c r="O137" t="inlineStr">
        <is>
          <t>Documentação Aprovada</t>
        </is>
      </c>
      <c r="P137" t="inlineStr">
        <is>
          <t>Aprovado Diretoria</t>
        </is>
      </c>
      <c r="Q137" t="inlineStr">
        <is>
          <t>Aprovado Caixa</t>
        </is>
      </c>
      <c r="R137" t="inlineStr">
        <is>
          <t>Pago</t>
        </is>
      </c>
      <c r="S137" t="n">
        <v>182</v>
      </c>
      <c r="T137" t="inlineStr">
        <is>
          <t>Love - Shibari - Kamino</t>
        </is>
      </c>
    </row>
    <row r="138">
      <c r="A138" t="n">
        <v>180114</v>
      </c>
      <c r="B138" t="n">
        <v>128</v>
      </c>
      <c r="C138" t="inlineStr">
        <is>
          <t>Love Cabaret</t>
        </is>
      </c>
      <c r="D138" t="inlineStr">
        <is>
          <t xml:space="preserve">HNK BR INDUSTRIA DE BEBIDAS </t>
        </is>
      </c>
      <c r="E138" t="n">
        <v>2352.33</v>
      </c>
      <c r="F138" s="27" t="n">
        <v>46006</v>
      </c>
      <c r="G138" s="27" t="n">
        <v>46006</v>
      </c>
      <c r="H138" s="27" t="n">
        <v>46006</v>
      </c>
      <c r="I138" s="27" t="n">
        <v>45989</v>
      </c>
      <c r="J138" s="27" t="n">
        <v>45995</v>
      </c>
      <c r="K138" t="inlineStr">
        <is>
          <t>Boleto Bancário</t>
        </is>
      </c>
      <c r="L138" t="inlineStr">
        <is>
          <t>Custo Mercadoria Vendida</t>
        </is>
      </c>
      <c r="M138" t="inlineStr">
        <is>
          <t>Insumos - Bebidas</t>
        </is>
      </c>
      <c r="N138" t="inlineStr">
        <is>
          <t>110964</t>
        </is>
      </c>
      <c r="O138" t="inlineStr">
        <is>
          <t>Documentação Aprovada</t>
        </is>
      </c>
      <c r="P138" t="inlineStr">
        <is>
          <t>Aprovado Diretoria</t>
        </is>
      </c>
      <c r="Q138" t="inlineStr">
        <is>
          <t>Aprovado Caixa</t>
        </is>
      </c>
      <c r="R138" t="inlineStr">
        <is>
          <t>Pago</t>
        </is>
      </c>
      <c r="S138" t="n">
        <v>182</v>
      </c>
      <c r="T138" t="inlineStr">
        <is>
          <t>Love - Shibari - Kamino</t>
        </is>
      </c>
    </row>
    <row r="139">
      <c r="A139" t="n">
        <v>181578</v>
      </c>
      <c r="B139" t="n">
        <v>128</v>
      </c>
      <c r="C139" t="inlineStr">
        <is>
          <t>Love Cabaret</t>
        </is>
      </c>
      <c r="D139" t="inlineStr">
        <is>
          <t>CASA DE CARNES P.J.J.LTDA</t>
        </is>
      </c>
      <c r="E139" t="n">
        <v>130.74</v>
      </c>
      <c r="F139" s="27" t="n">
        <v>46008</v>
      </c>
      <c r="G139" s="27" t="n">
        <v>46006</v>
      </c>
      <c r="H139" s="27" t="n">
        <v>46006</v>
      </c>
      <c r="I139" s="27" t="n">
        <v>45993</v>
      </c>
      <c r="J139" s="27" t="n">
        <v>45999</v>
      </c>
      <c r="K139" t="inlineStr">
        <is>
          <t>Boleto Bancário</t>
        </is>
      </c>
      <c r="L139" t="inlineStr">
        <is>
          <t>Custo Mercadoria Vendida</t>
        </is>
      </c>
      <c r="M139" t="inlineStr">
        <is>
          <t>Insumos - Alimentos</t>
        </is>
      </c>
      <c r="N139" t="inlineStr">
        <is>
          <t>44858</t>
        </is>
      </c>
      <c r="O139" t="inlineStr">
        <is>
          <t>Documentação Aprovada</t>
        </is>
      </c>
      <c r="P139" t="inlineStr">
        <is>
          <t>Aprovado Diretoria</t>
        </is>
      </c>
      <c r="Q139" t="inlineStr">
        <is>
          <t>Aprovado Caixa</t>
        </is>
      </c>
      <c r="R139" t="inlineStr">
        <is>
          <t>Pago</t>
        </is>
      </c>
      <c r="S139" t="n">
        <v>182</v>
      </c>
      <c r="T139" t="inlineStr">
        <is>
          <t>Love - Shibari - Kamino</t>
        </is>
      </c>
    </row>
    <row r="140">
      <c r="A140" t="n">
        <v>181580</v>
      </c>
      <c r="B140" t="n">
        <v>128</v>
      </c>
      <c r="C140" t="inlineStr">
        <is>
          <t>Love Cabaret</t>
        </is>
      </c>
      <c r="D140" t="inlineStr">
        <is>
          <t xml:space="preserve">LATICINIOS FIOR DITALIA LTDA </t>
        </is>
      </c>
      <c r="E140" t="n">
        <v>326.75</v>
      </c>
      <c r="F140" s="27" t="n">
        <v>46008</v>
      </c>
      <c r="G140" s="27" t="n">
        <v>46006</v>
      </c>
      <c r="H140" s="27" t="n">
        <v>46006</v>
      </c>
      <c r="I140" s="27" t="n">
        <v>45992</v>
      </c>
      <c r="J140" s="27" t="n">
        <v>45999</v>
      </c>
      <c r="K140" t="inlineStr">
        <is>
          <t>Boleto Bancário</t>
        </is>
      </c>
      <c r="L140" t="inlineStr">
        <is>
          <t>Custo Mercadoria Vendida</t>
        </is>
      </c>
      <c r="M140" t="inlineStr">
        <is>
          <t>Insumos - Alimentos</t>
        </is>
      </c>
      <c r="N140" t="inlineStr">
        <is>
          <t>40803</t>
        </is>
      </c>
      <c r="O140" t="inlineStr">
        <is>
          <t>Documentação Aprovada</t>
        </is>
      </c>
      <c r="P140" t="inlineStr">
        <is>
          <t>Aprovado Diretoria</t>
        </is>
      </c>
      <c r="Q140" t="inlineStr">
        <is>
          <t>Aprovado Caixa</t>
        </is>
      </c>
      <c r="R140" t="inlineStr">
        <is>
          <t>Pago</t>
        </is>
      </c>
      <c r="S140" t="n">
        <v>182</v>
      </c>
      <c r="T140" t="inlineStr">
        <is>
          <t>Love - Shibari - Kamino</t>
        </is>
      </c>
    </row>
    <row r="141">
      <c r="A141" t="n">
        <v>181175</v>
      </c>
      <c r="B141" t="n">
        <v>128</v>
      </c>
      <c r="C141" t="inlineStr">
        <is>
          <t>Love Cabaret</t>
        </is>
      </c>
      <c r="D141" t="inlineStr">
        <is>
          <t>CEM ENGENHARIA DA MANUTENCAO LTDA</t>
        </is>
      </c>
      <c r="E141" t="n">
        <v>6601.38</v>
      </c>
      <c r="F141" s="27" t="n">
        <v>46006</v>
      </c>
      <c r="G141" s="27" t="n">
        <v>46006</v>
      </c>
      <c r="H141" s="27" t="n">
        <v>46006</v>
      </c>
      <c r="I141" s="27" t="n">
        <v>45991</v>
      </c>
      <c r="J141" s="27" t="n">
        <v>45996</v>
      </c>
      <c r="K141" t="inlineStr">
        <is>
          <t>Boleto Bancário</t>
        </is>
      </c>
      <c r="L141" t="inlineStr">
        <is>
          <t>Manutenção</t>
        </is>
      </c>
      <c r="M141" t="inlineStr">
        <is>
          <t>Manutenção Predial</t>
        </is>
      </c>
      <c r="N141" t="inlineStr">
        <is>
          <t>3400</t>
        </is>
      </c>
      <c r="O141" t="inlineStr">
        <is>
          <t>Documentação Aprovada</t>
        </is>
      </c>
      <c r="P141" t="inlineStr">
        <is>
          <t>Aprovado Diretoria</t>
        </is>
      </c>
      <c r="Q141" t="inlineStr">
        <is>
          <t>Aprovado Caixa</t>
        </is>
      </c>
      <c r="R141" t="inlineStr">
        <is>
          <t>Pago</t>
        </is>
      </c>
      <c r="S141" t="n">
        <v>182</v>
      </c>
      <c r="T141" t="inlineStr">
        <is>
          <t>Love - Shibari - Kamino</t>
        </is>
      </c>
    </row>
    <row r="142">
      <c r="A142" t="n">
        <v>176994</v>
      </c>
      <c r="B142" t="n">
        <v>128</v>
      </c>
      <c r="C142" t="inlineStr">
        <is>
          <t>Love Cabaret</t>
        </is>
      </c>
      <c r="D142" t="inlineStr">
        <is>
          <t>WPP COMERCIO DE CARNES LTDA</t>
        </is>
      </c>
      <c r="E142" t="n">
        <v>1169.17</v>
      </c>
      <c r="F142" s="27" t="n">
        <v>46007</v>
      </c>
      <c r="G142" s="27" t="n">
        <v>46006</v>
      </c>
      <c r="H142" s="27" t="n">
        <v>46006</v>
      </c>
      <c r="I142" s="27" t="n">
        <v>45979</v>
      </c>
      <c r="J142" s="27" t="n">
        <v>45981</v>
      </c>
      <c r="K142" t="inlineStr">
        <is>
          <t>Boleto Bancário</t>
        </is>
      </c>
      <c r="L142" t="inlineStr">
        <is>
          <t>Custo Mercadoria Vendida</t>
        </is>
      </c>
      <c r="M142" t="inlineStr">
        <is>
          <t>Insumos - Alimentos</t>
        </is>
      </c>
      <c r="N142" t="inlineStr">
        <is>
          <t>75667</t>
        </is>
      </c>
      <c r="O142" t="inlineStr">
        <is>
          <t>Documentação Aprovada</t>
        </is>
      </c>
      <c r="P142" t="inlineStr">
        <is>
          <t>Aprovado Diretoria</t>
        </is>
      </c>
      <c r="Q142" t="inlineStr">
        <is>
          <t>Aprovado Caixa</t>
        </is>
      </c>
      <c r="R142" t="inlineStr">
        <is>
          <t>Pago</t>
        </is>
      </c>
      <c r="S142" t="n">
        <v>182</v>
      </c>
      <c r="T142" t="inlineStr">
        <is>
          <t>Love - Shibari - Kamino</t>
        </is>
      </c>
    </row>
    <row r="143">
      <c r="A143" t="n">
        <v>176993</v>
      </c>
      <c r="B143" t="n">
        <v>128</v>
      </c>
      <c r="C143" t="inlineStr">
        <is>
          <t>Love Cabaret</t>
        </is>
      </c>
      <c r="D143" t="inlineStr">
        <is>
          <t>KING COMERCIO E IMPORTACAO DE BEBIDAS LTDA</t>
        </is>
      </c>
      <c r="E143" t="n">
        <v>2392.4</v>
      </c>
      <c r="F143" s="27" t="n">
        <v>46007</v>
      </c>
      <c r="G143" s="27" t="n">
        <v>46006</v>
      </c>
      <c r="H143" s="27" t="n">
        <v>46006</v>
      </c>
      <c r="I143" s="27" t="n">
        <v>45979</v>
      </c>
      <c r="J143" s="27" t="n">
        <v>45981</v>
      </c>
      <c r="K143" t="inlineStr">
        <is>
          <t>Boleto Bancário</t>
        </is>
      </c>
      <c r="L143" t="inlineStr">
        <is>
          <t>Custo Mercadoria Vendida</t>
        </is>
      </c>
      <c r="M143" t="inlineStr">
        <is>
          <t>Insumos - Bebidas</t>
        </is>
      </c>
      <c r="N143" t="inlineStr">
        <is>
          <t>123132</t>
        </is>
      </c>
      <c r="O143" t="inlineStr">
        <is>
          <t>Documentação Aprovada</t>
        </is>
      </c>
      <c r="P143" t="inlineStr">
        <is>
          <t>Aprovado Diretoria</t>
        </is>
      </c>
      <c r="Q143" t="inlineStr">
        <is>
          <t>Aprovado Caixa</t>
        </is>
      </c>
      <c r="R143" t="inlineStr">
        <is>
          <t>Pago</t>
        </is>
      </c>
      <c r="S143" t="n">
        <v>182</v>
      </c>
      <c r="T143" t="inlineStr">
        <is>
          <t>Love - Shibari - Kamino</t>
        </is>
      </c>
    </row>
    <row r="144">
      <c r="A144" t="n">
        <v>176991</v>
      </c>
      <c r="B144" t="n">
        <v>128</v>
      </c>
      <c r="C144" t="inlineStr">
        <is>
          <t>Love Cabaret</t>
        </is>
      </c>
      <c r="D144" t="inlineStr">
        <is>
          <t>DTK COMERCIO DE ALIMENTOS LTDA</t>
        </is>
      </c>
      <c r="E144" t="n">
        <v>289.01</v>
      </c>
      <c r="F144" s="27" t="n">
        <v>46006</v>
      </c>
      <c r="G144" s="27" t="n">
        <v>46006</v>
      </c>
      <c r="H144" s="27" t="n">
        <v>46006</v>
      </c>
      <c r="I144" s="27" t="n">
        <v>45978</v>
      </c>
      <c r="J144" s="27" t="n">
        <v>45981</v>
      </c>
      <c r="K144" t="inlineStr">
        <is>
          <t>Boleto Bancário</t>
        </is>
      </c>
      <c r="L144" t="inlineStr">
        <is>
          <t>Custo Mercadoria Vendida</t>
        </is>
      </c>
      <c r="M144" t="inlineStr">
        <is>
          <t>Insumos - Alimentos</t>
        </is>
      </c>
      <c r="N144" t="inlineStr">
        <is>
          <t>52788</t>
        </is>
      </c>
      <c r="O144" t="inlineStr">
        <is>
          <t>Documentação Aprovada</t>
        </is>
      </c>
      <c r="P144" t="inlineStr">
        <is>
          <t>Aprovado Diretoria</t>
        </is>
      </c>
      <c r="Q144" t="inlineStr">
        <is>
          <t>Aprovado Caixa</t>
        </is>
      </c>
      <c r="R144" t="inlineStr">
        <is>
          <t>Pago</t>
        </is>
      </c>
      <c r="S144" t="n">
        <v>182</v>
      </c>
      <c r="T144" t="inlineStr">
        <is>
          <t>Love - Shibari - Kamino</t>
        </is>
      </c>
    </row>
    <row r="145">
      <c r="A145" t="n">
        <v>176985</v>
      </c>
      <c r="B145" t="n">
        <v>128</v>
      </c>
      <c r="C145" t="inlineStr">
        <is>
          <t>Love Cabaret</t>
        </is>
      </c>
      <c r="D145" t="inlineStr">
        <is>
          <t>MARIO PEDRO FELICIANO - HORTIFRUTI</t>
        </is>
      </c>
      <c r="E145" t="n">
        <v>131.39</v>
      </c>
      <c r="F145" s="27" t="n">
        <v>46006</v>
      </c>
      <c r="G145" s="27" t="n">
        <v>46006</v>
      </c>
      <c r="H145" s="27" t="n">
        <v>46006</v>
      </c>
      <c r="I145" s="27" t="n">
        <v>45978</v>
      </c>
      <c r="J145" s="27" t="n">
        <v>45981</v>
      </c>
      <c r="K145" t="inlineStr">
        <is>
          <t>Boleto Bancário</t>
        </is>
      </c>
      <c r="L145" t="inlineStr">
        <is>
          <t>Custo Mercadoria Vendida</t>
        </is>
      </c>
      <c r="M145" t="inlineStr">
        <is>
          <t>Insumos - Alimentos</t>
        </is>
      </c>
      <c r="N145" t="inlineStr">
        <is>
          <t>458943</t>
        </is>
      </c>
      <c r="O145" t="inlineStr">
        <is>
          <t>Documentação Aprovada</t>
        </is>
      </c>
      <c r="P145" t="inlineStr">
        <is>
          <t>Aprovado Diretoria</t>
        </is>
      </c>
      <c r="Q145" t="inlineStr">
        <is>
          <t>Aprovado Caixa</t>
        </is>
      </c>
      <c r="R145" t="inlineStr">
        <is>
          <t>Pago</t>
        </is>
      </c>
      <c r="S145" t="n">
        <v>182</v>
      </c>
      <c r="T145" t="inlineStr">
        <is>
          <t>Love - Shibari - Kamino</t>
        </is>
      </c>
    </row>
    <row r="146">
      <c r="A146" t="n">
        <v>177103</v>
      </c>
      <c r="B146" t="n">
        <v>128</v>
      </c>
      <c r="C146" t="inlineStr">
        <is>
          <t>Love Cabaret</t>
        </is>
      </c>
      <c r="D146" t="inlineStr">
        <is>
          <t>MACHINE SEGURANCA PATRIMONIAL LTDA</t>
        </is>
      </c>
      <c r="E146" t="n">
        <v>4636.95</v>
      </c>
      <c r="F146" s="27" t="n">
        <v>46006</v>
      </c>
      <c r="G146" s="27" t="n">
        <v>46006</v>
      </c>
      <c r="H146" s="27" t="n">
        <v>46006</v>
      </c>
      <c r="I146" s="27" t="n">
        <v>45981</v>
      </c>
      <c r="J146" s="27" t="n">
        <v>45982</v>
      </c>
      <c r="K146" t="inlineStr">
        <is>
          <t>Transferência Bancária ou Pix</t>
        </is>
      </c>
      <c r="L146" t="inlineStr">
        <is>
          <t>Serviços de Terceiros</t>
        </is>
      </c>
      <c r="M146" t="inlineStr">
        <is>
          <t>Serviços de Segurança</t>
        </is>
      </c>
      <c r="N146" t="inlineStr">
        <is>
          <t>904</t>
        </is>
      </c>
      <c r="O146" t="inlineStr">
        <is>
          <t>Documentação Aprovada</t>
        </is>
      </c>
      <c r="P146" t="inlineStr">
        <is>
          <t>Aprovado Diretoria</t>
        </is>
      </c>
      <c r="Q146" t="inlineStr">
        <is>
          <t>Aprovado Caixa</t>
        </is>
      </c>
      <c r="R146" t="inlineStr">
        <is>
          <t>Pago</t>
        </is>
      </c>
      <c r="S146" t="n">
        <v>182</v>
      </c>
      <c r="T146" t="inlineStr">
        <is>
          <t>Love - Shibari - Kamino</t>
        </is>
      </c>
    </row>
    <row r="147">
      <c r="A147" t="n">
        <v>176987</v>
      </c>
      <c r="B147" t="n">
        <v>128</v>
      </c>
      <c r="C147" t="inlineStr">
        <is>
          <t>Love Cabaret</t>
        </is>
      </c>
      <c r="D147" t="inlineStr">
        <is>
          <t>CECILIA TSUYACO ARAKI SILVA LTDA</t>
        </is>
      </c>
      <c r="E147" t="n">
        <v>340.9</v>
      </c>
      <c r="F147" s="27" t="n">
        <v>46006</v>
      </c>
      <c r="G147" s="27" t="n">
        <v>46006</v>
      </c>
      <c r="H147" s="27" t="n">
        <v>46006</v>
      </c>
      <c r="I147" s="27" t="n">
        <v>45978</v>
      </c>
      <c r="J147" s="27" t="n">
        <v>45981</v>
      </c>
      <c r="K147" t="inlineStr">
        <is>
          <t>Boleto Bancário</t>
        </is>
      </c>
      <c r="L147" t="inlineStr">
        <is>
          <t>Custo Mercadoria Vendida</t>
        </is>
      </c>
      <c r="M147" t="inlineStr">
        <is>
          <t>Insumos - Alimentos</t>
        </is>
      </c>
      <c r="N147" t="inlineStr">
        <is>
          <t>381824</t>
        </is>
      </c>
      <c r="O147" t="inlineStr">
        <is>
          <t>Documentação Aprovada</t>
        </is>
      </c>
      <c r="P147" t="inlineStr">
        <is>
          <t>Aprovado Diretoria</t>
        </is>
      </c>
      <c r="Q147" t="inlineStr">
        <is>
          <t>Aprovado Caixa</t>
        </is>
      </c>
      <c r="R147" t="inlineStr">
        <is>
          <t>Pago</t>
        </is>
      </c>
      <c r="S147" t="n">
        <v>182</v>
      </c>
      <c r="T147" t="inlineStr">
        <is>
          <t>Love - Shibari - Kamino</t>
        </is>
      </c>
    </row>
    <row r="148">
      <c r="A148" t="n">
        <v>176992</v>
      </c>
      <c r="B148" t="n">
        <v>128</v>
      </c>
      <c r="C148" t="inlineStr">
        <is>
          <t>Love Cabaret</t>
        </is>
      </c>
      <c r="D148" t="inlineStr">
        <is>
          <t>FG7 COMERCIO E DISTRIBUICAO DE BEBIDAS LTDA</t>
        </is>
      </c>
      <c r="E148" t="n">
        <v>1454.4</v>
      </c>
      <c r="F148" s="27" t="n">
        <v>46006</v>
      </c>
      <c r="G148" s="27" t="n">
        <v>46006</v>
      </c>
      <c r="H148" s="27" t="n">
        <v>46006</v>
      </c>
      <c r="I148" s="27" t="n">
        <v>45975</v>
      </c>
      <c r="J148" s="27" t="n">
        <v>45981</v>
      </c>
      <c r="K148" t="inlineStr">
        <is>
          <t>Boleto Bancário</t>
        </is>
      </c>
      <c r="L148" t="inlineStr">
        <is>
          <t>Custo Mercadoria Vendida</t>
        </is>
      </c>
      <c r="M148" t="inlineStr">
        <is>
          <t>Insumos - Bebidas</t>
        </is>
      </c>
      <c r="N148" t="inlineStr">
        <is>
          <t>701007</t>
        </is>
      </c>
      <c r="O148" t="inlineStr">
        <is>
          <t>Documentação Aprovada</t>
        </is>
      </c>
      <c r="P148" t="inlineStr">
        <is>
          <t>Aprovado Diretoria</t>
        </is>
      </c>
      <c r="Q148" t="inlineStr">
        <is>
          <t>Aprovado Caixa</t>
        </is>
      </c>
      <c r="R148" t="inlineStr">
        <is>
          <t>Pago</t>
        </is>
      </c>
      <c r="S148" t="n">
        <v>182</v>
      </c>
      <c r="T148" t="inlineStr">
        <is>
          <t>Love - Shibari - Kamino</t>
        </is>
      </c>
    </row>
    <row r="149">
      <c r="A149" t="n">
        <v>181881</v>
      </c>
      <c r="B149" t="n">
        <v>128</v>
      </c>
      <c r="C149" t="inlineStr">
        <is>
          <t>Love Cabaret</t>
        </is>
      </c>
      <c r="D149" t="inlineStr">
        <is>
          <t>LUIZ EDUARDO CARDOSO GUERRA</t>
        </is>
      </c>
      <c r="E149" t="n">
        <v>650</v>
      </c>
      <c r="F149" s="27" t="n">
        <v>46007</v>
      </c>
      <c r="G149" s="27" t="n">
        <v>46006</v>
      </c>
      <c r="H149" s="27" t="n">
        <v>46006</v>
      </c>
      <c r="I149" s="27" t="n">
        <v>45992</v>
      </c>
      <c r="J149" s="27" t="n">
        <v>46000</v>
      </c>
      <c r="K149" t="inlineStr">
        <is>
          <t>Transferência Bancária ou Pix</t>
        </is>
      </c>
      <c r="L149" t="inlineStr">
        <is>
          <t>Marketing</t>
        </is>
      </c>
      <c r="M149" t="inlineStr">
        <is>
          <t>Sessão de Fotos/Captação de Vídeo</t>
        </is>
      </c>
      <c r="N149" t="inlineStr">
        <is>
          <t>59</t>
        </is>
      </c>
      <c r="O149" t="inlineStr">
        <is>
          <t>Documentação Aprovada</t>
        </is>
      </c>
      <c r="P149" t="inlineStr">
        <is>
          <t>Aprovado Diretoria</t>
        </is>
      </c>
      <c r="Q149" t="inlineStr">
        <is>
          <t>Aprovado Caixa</t>
        </is>
      </c>
      <c r="R149" t="inlineStr">
        <is>
          <t>Pago</t>
        </is>
      </c>
      <c r="S149" t="n">
        <v>182</v>
      </c>
      <c r="T149" t="inlineStr">
        <is>
          <t>Love - Shibari - Kamino</t>
        </is>
      </c>
    </row>
    <row r="150">
      <c r="A150" t="n">
        <v>181646</v>
      </c>
      <c r="B150" t="n">
        <v>128</v>
      </c>
      <c r="C150" t="inlineStr">
        <is>
          <t>Love Cabaret</t>
        </is>
      </c>
      <c r="D150" t="inlineStr">
        <is>
          <t>MEAT HUNTER IMPORT EXPORT AND DISTRIBUTION LTDA</t>
        </is>
      </c>
      <c r="E150" t="n">
        <v>1272.64</v>
      </c>
      <c r="F150" s="27" t="n">
        <v>46006</v>
      </c>
      <c r="G150" s="27" t="n">
        <v>46006</v>
      </c>
      <c r="H150" s="27" t="n">
        <v>46006</v>
      </c>
      <c r="I150" s="27" t="n">
        <v>45992</v>
      </c>
      <c r="J150" s="27" t="n">
        <v>45999</v>
      </c>
      <c r="K150" t="inlineStr">
        <is>
          <t>Boleto Bancário</t>
        </is>
      </c>
      <c r="L150" t="inlineStr">
        <is>
          <t>Custo Mercadoria Vendida</t>
        </is>
      </c>
      <c r="M150" t="inlineStr">
        <is>
          <t>Insumos - Alimentos</t>
        </is>
      </c>
      <c r="N150" t="inlineStr">
        <is>
          <t>6515</t>
        </is>
      </c>
      <c r="O150" t="inlineStr">
        <is>
          <t>Documentação Aprovada</t>
        </is>
      </c>
      <c r="P150" t="inlineStr">
        <is>
          <t>Aprovado Diretoria</t>
        </is>
      </c>
      <c r="Q150" t="inlineStr">
        <is>
          <t>Aprovado Caixa</t>
        </is>
      </c>
      <c r="R150" t="inlineStr">
        <is>
          <t>Pago</t>
        </is>
      </c>
      <c r="S150" t="n">
        <v>182</v>
      </c>
      <c r="T150" t="inlineStr">
        <is>
          <t>Love - Shibari - Kamino</t>
        </is>
      </c>
    </row>
    <row r="151">
      <c r="A151" t="n">
        <v>181697</v>
      </c>
      <c r="B151" t="n">
        <v>128</v>
      </c>
      <c r="C151" t="inlineStr">
        <is>
          <t>Love Cabaret</t>
        </is>
      </c>
      <c r="D151" t="inlineStr">
        <is>
          <t>PARAMU COMERCIO E REPRESENTACAO DE PRODUTOS ALIMENTICIOS</t>
        </is>
      </c>
      <c r="E151" t="n">
        <v>220.58</v>
      </c>
      <c r="F151" s="27" t="n">
        <v>46006</v>
      </c>
      <c r="G151" s="27" t="n">
        <v>46006</v>
      </c>
      <c r="H151" s="27" t="n">
        <v>46006</v>
      </c>
      <c r="I151" s="27" t="n">
        <v>45992</v>
      </c>
      <c r="J151" s="27" t="n">
        <v>46000</v>
      </c>
      <c r="K151" t="inlineStr">
        <is>
          <t>Boleto Bancário</t>
        </is>
      </c>
      <c r="L151" t="inlineStr">
        <is>
          <t>Custo Mercadoria Vendida</t>
        </is>
      </c>
      <c r="M151" t="inlineStr">
        <is>
          <t>Insumos - Alimentos</t>
        </is>
      </c>
      <c r="N151" t="inlineStr">
        <is>
          <t>16194</t>
        </is>
      </c>
      <c r="O151" t="inlineStr">
        <is>
          <t>Documentação Aprovada</t>
        </is>
      </c>
      <c r="P151" t="inlineStr">
        <is>
          <t>Aprovado Diretoria</t>
        </is>
      </c>
      <c r="Q151" t="inlineStr">
        <is>
          <t>Aprovado Caixa</t>
        </is>
      </c>
      <c r="R151" t="inlineStr">
        <is>
          <t>Pago</t>
        </is>
      </c>
      <c r="S151" t="n">
        <v>182</v>
      </c>
      <c r="T151" t="inlineStr">
        <is>
          <t>Love - Shibari - Kamino</t>
        </is>
      </c>
    </row>
    <row r="152">
      <c r="A152" t="n">
        <v>177840</v>
      </c>
      <c r="B152" t="n">
        <v>128</v>
      </c>
      <c r="C152" t="inlineStr">
        <is>
          <t>Love Cabaret</t>
        </is>
      </c>
      <c r="D152" t="inlineStr">
        <is>
          <t xml:space="preserve">DUO COMUNICA LTDA </t>
        </is>
      </c>
      <c r="E152" t="n">
        <v>2000</v>
      </c>
      <c r="F152" s="27" t="n">
        <v>46005</v>
      </c>
      <c r="G152" s="27" t="n">
        <v>46006</v>
      </c>
      <c r="H152" s="27" t="n">
        <v>46006</v>
      </c>
      <c r="I152" s="27" t="n">
        <v>45986</v>
      </c>
      <c r="J152" s="27" t="n">
        <v>45987</v>
      </c>
      <c r="K152" t="inlineStr">
        <is>
          <t>Transferência Bancária ou Pix</t>
        </is>
      </c>
      <c r="L152" t="inlineStr">
        <is>
          <t>Informática e TI</t>
        </is>
      </c>
      <c r="M152" t="inlineStr">
        <is>
          <t>Sistemas Gerais - Comunicação e Marketing</t>
        </is>
      </c>
      <c r="N152" t="inlineStr">
        <is>
          <t>619</t>
        </is>
      </c>
      <c r="O152" t="inlineStr">
        <is>
          <t>Documentação Aprovada</t>
        </is>
      </c>
      <c r="P152" t="inlineStr">
        <is>
          <t>Aprovado Diretoria</t>
        </is>
      </c>
      <c r="Q152" t="inlineStr">
        <is>
          <t>Aprovado Caixa</t>
        </is>
      </c>
      <c r="R152" t="inlineStr">
        <is>
          <t>Pago</t>
        </is>
      </c>
      <c r="S152" t="n">
        <v>182</v>
      </c>
      <c r="T152" t="inlineStr">
        <is>
          <t>Love - Shibari - Kamino</t>
        </is>
      </c>
    </row>
    <row r="153">
      <c r="A153" t="n">
        <v>183744</v>
      </c>
      <c r="B153" t="n">
        <v>128</v>
      </c>
      <c r="C153" t="inlineStr">
        <is>
          <t>Love Cabaret</t>
        </is>
      </c>
      <c r="D153" t="inlineStr">
        <is>
          <t>BRADESCO SA</t>
        </is>
      </c>
      <c r="E153" t="n">
        <v>177.05</v>
      </c>
      <c r="F153" s="27" t="n">
        <v>46006</v>
      </c>
      <c r="G153" s="27" t="n"/>
      <c r="H153" s="27" t="n">
        <v>46006</v>
      </c>
      <c r="I153" s="27" t="n">
        <v>46006</v>
      </c>
      <c r="J153" s="27" t="n"/>
      <c r="K153" t="inlineStr">
        <is>
          <t xml:space="preserve">Debito Automático </t>
        </is>
      </c>
      <c r="L153" t="inlineStr">
        <is>
          <t>Despesas Financeiras</t>
        </is>
      </c>
      <c r="M153" t="inlineStr">
        <is>
          <t>Tarifas Bancárias</t>
        </is>
      </c>
      <c r="O153" t="inlineStr">
        <is>
          <t>Documentação Aprovada</t>
        </is>
      </c>
      <c r="P153" t="inlineStr">
        <is>
          <t>Aprovado Diretoria</t>
        </is>
      </c>
      <c r="Q153" t="inlineStr">
        <is>
          <t>Aprovado Caixa</t>
        </is>
      </c>
      <c r="R153" t="inlineStr">
        <is>
          <t>Pago</t>
        </is>
      </c>
      <c r="S153" t="n">
        <v>115</v>
      </c>
      <c r="T153" t="inlineStr">
        <is>
          <t>Love - Shibari - Bradesco</t>
        </is>
      </c>
    </row>
    <row r="154">
      <c r="A154" t="n">
        <v>182506</v>
      </c>
      <c r="B154" t="n">
        <v>128</v>
      </c>
      <c r="C154" t="inlineStr">
        <is>
          <t>Love Cabaret</t>
        </is>
      </c>
      <c r="D154" t="inlineStr">
        <is>
          <t>ESTAFF SOLUCOES TECNOLOGICAS DE AGENCIAMENTO LTDA</t>
        </is>
      </c>
      <c r="E154" t="n">
        <v>22792</v>
      </c>
      <c r="F154" s="27" t="n">
        <v>46008</v>
      </c>
      <c r="G154" s="27" t="n">
        <v>46006</v>
      </c>
      <c r="H154" s="27" t="n">
        <v>46006</v>
      </c>
      <c r="I154" s="27" t="n">
        <v>45992</v>
      </c>
      <c r="J154" s="27" t="n">
        <v>46001</v>
      </c>
      <c r="K154" t="inlineStr">
        <is>
          <t>Boleto Bancário</t>
        </is>
      </c>
      <c r="L154" t="inlineStr">
        <is>
          <t>Mão de Obra - Extra</t>
        </is>
      </c>
      <c r="M154" t="inlineStr">
        <is>
          <t>Mão de Obra Extra</t>
        </is>
      </c>
      <c r="N154" t="inlineStr">
        <is>
          <t>696497662</t>
        </is>
      </c>
      <c r="O154" t="inlineStr">
        <is>
          <t>Documentação Aprovada</t>
        </is>
      </c>
      <c r="P154" t="inlineStr">
        <is>
          <t>Aprovado Diretoria</t>
        </is>
      </c>
      <c r="Q154" t="inlineStr">
        <is>
          <t>Aprovado Caixa</t>
        </is>
      </c>
      <c r="R154" t="inlineStr">
        <is>
          <t>Pago</t>
        </is>
      </c>
      <c r="S154" t="n">
        <v>182</v>
      </c>
      <c r="T154" t="inlineStr">
        <is>
          <t>Love - Shibari - Kamino</t>
        </is>
      </c>
    </row>
    <row r="155">
      <c r="A155" t="n">
        <v>182505</v>
      </c>
      <c r="B155" t="n">
        <v>128</v>
      </c>
      <c r="C155" t="inlineStr">
        <is>
          <t>Love Cabaret</t>
        </is>
      </c>
      <c r="D155" t="inlineStr">
        <is>
          <t>AURORA ALVORADA ESTACIONAMENTO E LANCHONETE LTDA</t>
        </is>
      </c>
      <c r="E155" t="n">
        <v>309.03</v>
      </c>
      <c r="F155" s="27" t="n">
        <v>46006</v>
      </c>
      <c r="G155" s="27" t="n">
        <v>46006</v>
      </c>
      <c r="H155" s="27" t="n">
        <v>46006</v>
      </c>
      <c r="I155" s="27" t="n">
        <v>45992</v>
      </c>
      <c r="J155" s="27" t="n">
        <v>46001</v>
      </c>
      <c r="K155" t="inlineStr">
        <is>
          <t>Boleto Bancário</t>
        </is>
      </c>
      <c r="L155" t="inlineStr">
        <is>
          <t>Mão de Obra - Benefícios</t>
        </is>
      </c>
      <c r="M155" t="inlineStr">
        <is>
          <t xml:space="preserve">  -  Alimentação Funcionário</t>
        </is>
      </c>
      <c r="N155" t="inlineStr">
        <is>
          <t>11265</t>
        </is>
      </c>
      <c r="O155" t="inlineStr">
        <is>
          <t>Documentação Aprovada</t>
        </is>
      </c>
      <c r="P155" t="inlineStr">
        <is>
          <t>Aprovado Diretoria</t>
        </is>
      </c>
      <c r="Q155" t="inlineStr">
        <is>
          <t>Aprovado Caixa</t>
        </is>
      </c>
      <c r="R155" t="inlineStr">
        <is>
          <t>Pago</t>
        </is>
      </c>
      <c r="S155" t="n">
        <v>182</v>
      </c>
      <c r="T155" t="inlineStr">
        <is>
          <t>Love - Shibari - Kamino</t>
        </is>
      </c>
    </row>
    <row r="156">
      <c r="A156" t="n">
        <v>182606</v>
      </c>
      <c r="B156" t="n">
        <v>128</v>
      </c>
      <c r="C156" t="inlineStr">
        <is>
          <t>Love Cabaret</t>
        </is>
      </c>
      <c r="D156" t="inlineStr">
        <is>
          <t>AURORA ALVORADA ESTACIONAMENTO E LANCHONETE LTDA</t>
        </is>
      </c>
      <c r="E156" t="n">
        <v>255.81</v>
      </c>
      <c r="F156" s="27" t="n">
        <v>46006</v>
      </c>
      <c r="G156" s="27" t="n">
        <v>46006</v>
      </c>
      <c r="H156" s="27" t="n">
        <v>46006</v>
      </c>
      <c r="I156" s="27" t="n">
        <v>45992</v>
      </c>
      <c r="J156" s="27" t="n">
        <v>46002</v>
      </c>
      <c r="K156" t="inlineStr">
        <is>
          <t>Boleto Bancário</t>
        </is>
      </c>
      <c r="L156" t="inlineStr">
        <is>
          <t>Mão de Obra - Benefícios</t>
        </is>
      </c>
      <c r="M156" t="inlineStr">
        <is>
          <t xml:space="preserve">  -  Alimentação Funcionário</t>
        </is>
      </c>
      <c r="N156" t="inlineStr">
        <is>
          <t>11216</t>
        </is>
      </c>
      <c r="O156" t="inlineStr">
        <is>
          <t>Documentação Aprovada</t>
        </is>
      </c>
      <c r="P156" t="inlineStr">
        <is>
          <t>Aprovado Diretoria</t>
        </is>
      </c>
      <c r="Q156" t="inlineStr">
        <is>
          <t>Aprovado Caixa</t>
        </is>
      </c>
      <c r="R156" t="inlineStr">
        <is>
          <t>Pago</t>
        </is>
      </c>
      <c r="S156" t="n">
        <v>182</v>
      </c>
      <c r="T156" t="inlineStr">
        <is>
          <t>Love - Shibari - Kamino</t>
        </is>
      </c>
    </row>
    <row r="157">
      <c r="A157" t="n">
        <v>188493</v>
      </c>
      <c r="B157" t="n">
        <v>128</v>
      </c>
      <c r="C157" t="inlineStr">
        <is>
          <t>Love Cabaret</t>
        </is>
      </c>
      <c r="D157" t="inlineStr">
        <is>
          <t>Bendita MM LTDA</t>
        </is>
      </c>
      <c r="E157" t="n">
        <v>3255</v>
      </c>
      <c r="F157" s="27" t="n">
        <v>46007</v>
      </c>
      <c r="G157" s="27" t="n"/>
      <c r="H157" s="27" t="n">
        <v>46006</v>
      </c>
      <c r="I157" s="27" t="n">
        <v>46007</v>
      </c>
      <c r="J157" s="27" t="n">
        <v>46027</v>
      </c>
      <c r="K157" t="inlineStr">
        <is>
          <t>Transferência Bancária ou Pix</t>
        </is>
      </c>
      <c r="L157" t="inlineStr">
        <is>
          <t>Custo Mercadoria Vendida</t>
        </is>
      </c>
      <c r="M157" t="inlineStr">
        <is>
          <t>Insumos - Alimentos</t>
        </is>
      </c>
      <c r="N157" t="inlineStr">
        <is>
          <t>16720</t>
        </is>
      </c>
      <c r="O157" t="inlineStr">
        <is>
          <t>Análise Pendente</t>
        </is>
      </c>
      <c r="P157" t="inlineStr">
        <is>
          <t>Análise Pendente</t>
        </is>
      </c>
      <c r="Q157" t="inlineStr">
        <is>
          <t>Análise Pendente</t>
        </is>
      </c>
      <c r="R157" t="inlineStr">
        <is>
          <t>Pago</t>
        </is>
      </c>
      <c r="S157" t="n">
        <v>182</v>
      </c>
      <c r="T157" t="inlineStr">
        <is>
          <t>Love - Shibari - Kamino</t>
        </is>
      </c>
    </row>
    <row r="158">
      <c r="A158" t="n">
        <v>183357</v>
      </c>
      <c r="B158" t="n">
        <v>128</v>
      </c>
      <c r="C158" t="inlineStr">
        <is>
          <t>Love Cabaret</t>
        </is>
      </c>
      <c r="D158" t="inlineStr">
        <is>
          <t>BRADESCO SA</t>
        </is>
      </c>
      <c r="E158" t="n">
        <v>9.800000000000001</v>
      </c>
      <c r="F158" s="27" t="n">
        <v>46003</v>
      </c>
      <c r="G158" s="27" t="n"/>
      <c r="H158" s="27" t="n">
        <v>46003</v>
      </c>
      <c r="I158" s="27" t="n">
        <v>46003</v>
      </c>
      <c r="J158" s="27" t="n"/>
      <c r="K158" t="inlineStr">
        <is>
          <t xml:space="preserve">Debito Automático </t>
        </is>
      </c>
      <c r="L158" t="inlineStr">
        <is>
          <t>Despesas Financeiras</t>
        </is>
      </c>
      <c r="M158" t="inlineStr">
        <is>
          <t>Tarifas Bancárias</t>
        </is>
      </c>
      <c r="O158" t="inlineStr">
        <is>
          <t>Documentação Aprovada</t>
        </is>
      </c>
      <c r="P158" t="inlineStr">
        <is>
          <t>Aprovado Diretoria</t>
        </is>
      </c>
      <c r="Q158" t="inlineStr">
        <is>
          <t>Aprovado Caixa</t>
        </is>
      </c>
      <c r="R158" t="inlineStr">
        <is>
          <t>Pago</t>
        </is>
      </c>
      <c r="S158" t="n">
        <v>115</v>
      </c>
      <c r="T158" t="inlineStr">
        <is>
          <t>Love - Shibari - Bradesco</t>
        </is>
      </c>
    </row>
    <row r="159">
      <c r="A159" t="n">
        <v>181178</v>
      </c>
      <c r="B159" t="n">
        <v>128</v>
      </c>
      <c r="C159" t="inlineStr">
        <is>
          <t>Love Cabaret</t>
        </is>
      </c>
      <c r="D159" t="inlineStr">
        <is>
          <t>STGRAF ARTES GRAFICAS E EDITORA LTDA</t>
        </is>
      </c>
      <c r="E159" t="n">
        <v>990</v>
      </c>
      <c r="F159" s="27" t="n">
        <v>45999</v>
      </c>
      <c r="G159" s="27" t="n">
        <v>46002</v>
      </c>
      <c r="H159" s="27" t="n">
        <v>46002</v>
      </c>
      <c r="I159" s="27" t="n">
        <v>45992</v>
      </c>
      <c r="J159" s="27" t="n">
        <v>45996</v>
      </c>
      <c r="K159" t="inlineStr">
        <is>
          <t>Transferência Bancária ou Pix</t>
        </is>
      </c>
      <c r="L159" t="inlineStr">
        <is>
          <t>Utilidades</t>
        </is>
      </c>
      <c r="M159" t="inlineStr">
        <is>
          <t>Serviços Graficos</t>
        </is>
      </c>
      <c r="N159" t="inlineStr">
        <is>
          <t>10746</t>
        </is>
      </c>
      <c r="O159" t="inlineStr">
        <is>
          <t>Documentação Aprovada</t>
        </is>
      </c>
      <c r="P159" t="inlineStr">
        <is>
          <t>Aprovado Diretoria</t>
        </is>
      </c>
      <c r="Q159" t="inlineStr">
        <is>
          <t>Aprovado Caixa</t>
        </is>
      </c>
      <c r="R159" t="inlineStr">
        <is>
          <t>Pago</t>
        </is>
      </c>
      <c r="S159" t="n">
        <v>182</v>
      </c>
      <c r="T159" t="inlineStr">
        <is>
          <t>Love - Shibari - Kamino</t>
        </is>
      </c>
    </row>
    <row r="160">
      <c r="A160" t="n">
        <v>180095</v>
      </c>
      <c r="B160" t="n">
        <v>128</v>
      </c>
      <c r="C160" t="inlineStr">
        <is>
          <t>Love Cabaret</t>
        </is>
      </c>
      <c r="D160" t="inlineStr">
        <is>
          <t>HORTA NOVA DISTRIBUIDORA DE HORTIFRUTI LTDA</t>
        </is>
      </c>
      <c r="E160" t="n">
        <v>71.38</v>
      </c>
      <c r="F160" s="27" t="n">
        <v>46003</v>
      </c>
      <c r="G160" s="27" t="n">
        <v>46001</v>
      </c>
      <c r="H160" s="27" t="n">
        <v>46001</v>
      </c>
      <c r="I160" s="27" t="n">
        <v>45975</v>
      </c>
      <c r="J160" s="27" t="n">
        <v>45994</v>
      </c>
      <c r="K160" t="inlineStr">
        <is>
          <t>Boleto Bancário</t>
        </is>
      </c>
      <c r="L160" t="inlineStr">
        <is>
          <t>Custo Mercadoria Vendida</t>
        </is>
      </c>
      <c r="M160" t="inlineStr">
        <is>
          <t>Insumos - Alimentos</t>
        </is>
      </c>
      <c r="N160" t="inlineStr">
        <is>
          <t>7307</t>
        </is>
      </c>
      <c r="O160" t="inlineStr">
        <is>
          <t>Documentação Aprovada</t>
        </is>
      </c>
      <c r="P160" t="inlineStr">
        <is>
          <t>Aprovado Diretoria</t>
        </is>
      </c>
      <c r="Q160" t="inlineStr">
        <is>
          <t>Aprovado Caixa</t>
        </is>
      </c>
      <c r="R160" t="inlineStr">
        <is>
          <t>Pago</t>
        </is>
      </c>
      <c r="S160" t="n">
        <v>182</v>
      </c>
      <c r="T160" t="inlineStr">
        <is>
          <t>Love - Shibari - Kamino</t>
        </is>
      </c>
    </row>
    <row r="161">
      <c r="A161" t="n">
        <v>181071</v>
      </c>
      <c r="B161" t="n">
        <v>128</v>
      </c>
      <c r="C161" t="inlineStr">
        <is>
          <t>Love Cabaret</t>
        </is>
      </c>
      <c r="D161" t="inlineStr">
        <is>
          <t>MARIA EDUARDA RAMOS DE SOUSA</t>
        </is>
      </c>
      <c r="E161" t="n">
        <v>2444.44</v>
      </c>
      <c r="F161" s="27" t="n">
        <v>46001</v>
      </c>
      <c r="G161" s="27" t="n">
        <v>46001</v>
      </c>
      <c r="H161" s="27" t="n">
        <v>46001</v>
      </c>
      <c r="I161" s="27" t="n">
        <v>45962</v>
      </c>
      <c r="J161" s="27" t="n">
        <v>45995</v>
      </c>
      <c r="K161" t="inlineStr">
        <is>
          <t>Transferência Bancária ou Pix</t>
        </is>
      </c>
      <c r="L161" t="inlineStr">
        <is>
          <t>Custos de Eventos</t>
        </is>
      </c>
      <c r="M161" t="inlineStr">
        <is>
          <t>Comissões de Vendas - Eventos</t>
        </is>
      </c>
      <c r="N161" t="inlineStr">
        <is>
          <t>73</t>
        </is>
      </c>
      <c r="O161" t="inlineStr">
        <is>
          <t>Documentação Aprovada</t>
        </is>
      </c>
      <c r="P161" t="inlineStr">
        <is>
          <t>Aprovado Diretoria</t>
        </is>
      </c>
      <c r="Q161" t="inlineStr">
        <is>
          <t>Aprovado Caixa</t>
        </is>
      </c>
      <c r="R161" t="inlineStr">
        <is>
          <t>Pago</t>
        </is>
      </c>
      <c r="S161" t="n">
        <v>182</v>
      </c>
      <c r="T161" t="inlineStr">
        <is>
          <t>Love - Shibari - Kamino</t>
        </is>
      </c>
    </row>
    <row r="162">
      <c r="A162" t="n">
        <v>181027</v>
      </c>
      <c r="B162" t="n">
        <v>128</v>
      </c>
      <c r="C162" t="inlineStr">
        <is>
          <t>Love Cabaret</t>
        </is>
      </c>
      <c r="D162" t="inlineStr">
        <is>
          <t>GOMES D ELIA EQUIP. HIGIENE LTDA - WESCO</t>
        </is>
      </c>
      <c r="E162" t="n">
        <v>342</v>
      </c>
      <c r="F162" s="27" t="n">
        <v>46003</v>
      </c>
      <c r="G162" s="27" t="n">
        <v>46001</v>
      </c>
      <c r="H162" s="27" t="n">
        <v>46001</v>
      </c>
      <c r="I162" s="27" t="n">
        <v>45988</v>
      </c>
      <c r="J162" s="27" t="n">
        <v>45995</v>
      </c>
      <c r="K162" t="inlineStr">
        <is>
          <t>Boleto Bancário</t>
        </is>
      </c>
      <c r="L162" t="inlineStr">
        <is>
          <t>Utilidades</t>
        </is>
      </c>
      <c r="M162" t="inlineStr">
        <is>
          <t>Higiene e Limpeza</t>
        </is>
      </c>
      <c r="N162" t="inlineStr">
        <is>
          <t>233165</t>
        </is>
      </c>
      <c r="O162" t="inlineStr">
        <is>
          <t>Documentação Aprovada</t>
        </is>
      </c>
      <c r="P162" t="inlineStr">
        <is>
          <t>Aprovado Diretoria</t>
        </is>
      </c>
      <c r="Q162" t="inlineStr">
        <is>
          <t>Aprovado Caixa</t>
        </is>
      </c>
      <c r="R162" t="inlineStr">
        <is>
          <t>Pago</t>
        </is>
      </c>
      <c r="S162" t="n">
        <v>182</v>
      </c>
      <c r="T162" t="inlineStr">
        <is>
          <t>Love - Shibari - Kamino</t>
        </is>
      </c>
    </row>
    <row r="163">
      <c r="A163" t="n">
        <v>181083</v>
      </c>
      <c r="B163" t="n">
        <v>128</v>
      </c>
      <c r="C163" t="inlineStr">
        <is>
          <t>Love Cabaret</t>
        </is>
      </c>
      <c r="D163" t="inlineStr">
        <is>
          <t xml:space="preserve">DOUGLAS FELIPE DOMINGUES GONCALVES </t>
        </is>
      </c>
      <c r="E163" t="n">
        <v>3120</v>
      </c>
      <c r="F163" s="27" t="n">
        <v>46001</v>
      </c>
      <c r="G163" s="27" t="n">
        <v>46001</v>
      </c>
      <c r="H163" s="27" t="n">
        <v>46001</v>
      </c>
      <c r="I163" s="27" t="n">
        <v>45962</v>
      </c>
      <c r="J163" s="27" t="n">
        <v>45995</v>
      </c>
      <c r="K163" t="inlineStr">
        <is>
          <t>Transferência Bancária ou Pix</t>
        </is>
      </c>
      <c r="L163" t="inlineStr">
        <is>
          <t>Gorjeta</t>
        </is>
      </c>
      <c r="M163" t="inlineStr">
        <is>
          <t xml:space="preserve">  -  Comissões e Gorjeta</t>
        </is>
      </c>
      <c r="N163" t="inlineStr">
        <is>
          <t>57</t>
        </is>
      </c>
      <c r="O163" t="inlineStr">
        <is>
          <t>Documentação Aprovada</t>
        </is>
      </c>
      <c r="P163" t="inlineStr">
        <is>
          <t>Aprovado Diretoria</t>
        </is>
      </c>
      <c r="Q163" t="inlineStr">
        <is>
          <t>Aprovado Caixa</t>
        </is>
      </c>
      <c r="R163" t="inlineStr">
        <is>
          <t>Pago</t>
        </is>
      </c>
      <c r="S163" t="n">
        <v>182</v>
      </c>
      <c r="T163" t="inlineStr">
        <is>
          <t>Love - Shibari - Kamino</t>
        </is>
      </c>
    </row>
    <row r="164">
      <c r="A164" t="n">
        <v>181082</v>
      </c>
      <c r="B164" t="n">
        <v>128</v>
      </c>
      <c r="C164" t="inlineStr">
        <is>
          <t>Love Cabaret</t>
        </is>
      </c>
      <c r="D164" t="inlineStr">
        <is>
          <t>PJ 00302023 - ANDRES LA ROSA</t>
        </is>
      </c>
      <c r="E164" t="n">
        <v>3710</v>
      </c>
      <c r="F164" s="27" t="n">
        <v>46001</v>
      </c>
      <c r="G164" s="27" t="n">
        <v>46001</v>
      </c>
      <c r="H164" s="27" t="n">
        <v>46001</v>
      </c>
      <c r="I164" s="27" t="n">
        <v>45962</v>
      </c>
      <c r="J164" s="27" t="n">
        <v>45995</v>
      </c>
      <c r="K164" t="inlineStr">
        <is>
          <t>Transferência Bancária ou Pix</t>
        </is>
      </c>
      <c r="L164" t="inlineStr">
        <is>
          <t>Gorjeta</t>
        </is>
      </c>
      <c r="M164" t="inlineStr">
        <is>
          <t xml:space="preserve">  -  Comissões e Gorjeta</t>
        </is>
      </c>
      <c r="N164" t="inlineStr">
        <is>
          <t>73</t>
        </is>
      </c>
      <c r="O164" t="inlineStr">
        <is>
          <t>Documentação Aprovada</t>
        </is>
      </c>
      <c r="P164" t="inlineStr">
        <is>
          <t>Aprovado Diretoria</t>
        </is>
      </c>
      <c r="Q164" t="inlineStr">
        <is>
          <t>Aprovado Caixa</t>
        </is>
      </c>
      <c r="R164" t="inlineStr">
        <is>
          <t>Pago</t>
        </is>
      </c>
      <c r="S164" t="n">
        <v>182</v>
      </c>
      <c r="T164" t="inlineStr">
        <is>
          <t>Love - Shibari - Kamino</t>
        </is>
      </c>
    </row>
    <row r="165">
      <c r="A165" t="n">
        <v>181170</v>
      </c>
      <c r="B165" t="n">
        <v>128</v>
      </c>
      <c r="C165" t="inlineStr">
        <is>
          <t>Love Cabaret</t>
        </is>
      </c>
      <c r="D165" t="inlineStr">
        <is>
          <t>CEM ENGENHARIA DA MANUTENCAO LTDA</t>
        </is>
      </c>
      <c r="E165" t="n">
        <v>1591.46</v>
      </c>
      <c r="F165" s="27" t="n">
        <v>46002</v>
      </c>
      <c r="G165" s="27" t="n">
        <v>46001</v>
      </c>
      <c r="H165" s="27" t="n">
        <v>46001</v>
      </c>
      <c r="I165" s="27" t="n">
        <v>45987</v>
      </c>
      <c r="J165" s="27" t="n">
        <v>45996</v>
      </c>
      <c r="K165" t="inlineStr">
        <is>
          <t>Boleto Bancário</t>
        </is>
      </c>
      <c r="L165" t="inlineStr">
        <is>
          <t>Manutenção</t>
        </is>
      </c>
      <c r="M165" t="inlineStr">
        <is>
          <t>Material de Manutenção</t>
        </is>
      </c>
      <c r="N165" t="inlineStr">
        <is>
          <t>2811</t>
        </is>
      </c>
      <c r="O165" t="inlineStr">
        <is>
          <t>Documentação Aprovada</t>
        </is>
      </c>
      <c r="P165" t="inlineStr">
        <is>
          <t>Aprovado Diretoria</t>
        </is>
      </c>
      <c r="Q165" t="inlineStr">
        <is>
          <t>Aprovado Caixa</t>
        </is>
      </c>
      <c r="R165" t="inlineStr">
        <is>
          <t>Pago</t>
        </is>
      </c>
      <c r="S165" t="n">
        <v>182</v>
      </c>
      <c r="T165" t="inlineStr">
        <is>
          <t>Love - Shibari - Kamino</t>
        </is>
      </c>
    </row>
    <row r="166">
      <c r="A166" t="n">
        <v>180108</v>
      </c>
      <c r="B166" t="n">
        <v>128</v>
      </c>
      <c r="C166" t="inlineStr">
        <is>
          <t>Love Cabaret</t>
        </is>
      </c>
      <c r="D166" t="inlineStr">
        <is>
          <t>PSSS LTDA</t>
        </is>
      </c>
      <c r="E166" t="n">
        <v>526</v>
      </c>
      <c r="F166" s="27" t="n">
        <v>46003</v>
      </c>
      <c r="G166" s="27" t="n">
        <v>46001</v>
      </c>
      <c r="H166" s="27" t="n">
        <v>46001</v>
      </c>
      <c r="I166" s="27" t="n">
        <v>45989</v>
      </c>
      <c r="J166" s="27" t="n">
        <v>45995</v>
      </c>
      <c r="K166" t="inlineStr">
        <is>
          <t>Boleto Bancário</t>
        </is>
      </c>
      <c r="L166" t="inlineStr">
        <is>
          <t>Utilidades</t>
        </is>
      </c>
      <c r="M166" t="inlineStr">
        <is>
          <t>Higiene e Limpeza</t>
        </is>
      </c>
      <c r="N166" t="inlineStr">
        <is>
          <t>2724</t>
        </is>
      </c>
      <c r="O166" t="inlineStr">
        <is>
          <t>Documentação Aprovada</t>
        </is>
      </c>
      <c r="P166" t="inlineStr">
        <is>
          <t>Aprovado Diretoria</t>
        </is>
      </c>
      <c r="Q166" t="inlineStr">
        <is>
          <t>Aprovado Caixa</t>
        </is>
      </c>
      <c r="R166" t="inlineStr">
        <is>
          <t>Pago</t>
        </is>
      </c>
      <c r="S166" t="n">
        <v>182</v>
      </c>
      <c r="T166" t="inlineStr">
        <is>
          <t>Love - Shibari - Kamino</t>
        </is>
      </c>
    </row>
    <row r="167">
      <c r="A167" t="n">
        <v>179146</v>
      </c>
      <c r="B167" t="n">
        <v>128</v>
      </c>
      <c r="C167" t="inlineStr">
        <is>
          <t>Love Cabaret</t>
        </is>
      </c>
      <c r="D167" t="inlineStr">
        <is>
          <t xml:space="preserve">HNK BR INDUSTRIA DE BEBIDAS </t>
        </is>
      </c>
      <c r="E167" t="n">
        <v>555.76</v>
      </c>
      <c r="F167" s="27" t="n">
        <v>46003</v>
      </c>
      <c r="G167" s="27" t="n">
        <v>46001</v>
      </c>
      <c r="H167" s="27" t="n">
        <v>46001</v>
      </c>
      <c r="I167" s="27" t="n">
        <v>45989</v>
      </c>
      <c r="J167" s="27" t="n">
        <v>45992</v>
      </c>
      <c r="K167" t="inlineStr">
        <is>
          <t>Boleto Bancário</t>
        </is>
      </c>
      <c r="L167" t="inlineStr">
        <is>
          <t>Custo Mercadoria Vendida</t>
        </is>
      </c>
      <c r="M167" t="inlineStr">
        <is>
          <t>Insumos - Bebidas</t>
        </is>
      </c>
      <c r="N167" t="inlineStr">
        <is>
          <t>109374</t>
        </is>
      </c>
      <c r="O167" t="inlineStr">
        <is>
          <t>Documentação Aprovada</t>
        </is>
      </c>
      <c r="P167" t="inlineStr">
        <is>
          <t>Aprovado Diretoria</t>
        </is>
      </c>
      <c r="Q167" t="inlineStr">
        <is>
          <t>Aprovado Caixa</t>
        </is>
      </c>
      <c r="R167" t="inlineStr">
        <is>
          <t>Pago</t>
        </is>
      </c>
      <c r="S167" t="n">
        <v>182</v>
      </c>
      <c r="T167" t="inlineStr">
        <is>
          <t>Love - Shibari - Kamino</t>
        </is>
      </c>
    </row>
    <row r="168">
      <c r="A168" t="n">
        <v>179140</v>
      </c>
      <c r="B168" t="n">
        <v>128</v>
      </c>
      <c r="C168" t="inlineStr">
        <is>
          <t>Love Cabaret</t>
        </is>
      </c>
      <c r="D168" t="inlineStr">
        <is>
          <t>BATALHA FABRICA DE PAES LTDA</t>
        </is>
      </c>
      <c r="E168" t="n">
        <v>561.84</v>
      </c>
      <c r="F168" s="27" t="n">
        <v>46003</v>
      </c>
      <c r="G168" s="27" t="n">
        <v>46001</v>
      </c>
      <c r="H168" s="27" t="n">
        <v>46001</v>
      </c>
      <c r="I168" s="27" t="n">
        <v>45988</v>
      </c>
      <c r="J168" s="27" t="n">
        <v>45991</v>
      </c>
      <c r="K168" t="inlineStr">
        <is>
          <t>Boleto Bancário</t>
        </is>
      </c>
      <c r="L168" t="inlineStr">
        <is>
          <t>Custo Mercadoria Vendida</t>
        </is>
      </c>
      <c r="M168" t="inlineStr">
        <is>
          <t>Insumos - Alimentos</t>
        </is>
      </c>
      <c r="N168" t="inlineStr">
        <is>
          <t>59541</t>
        </is>
      </c>
      <c r="O168" t="inlineStr">
        <is>
          <t>Documentação Aprovada</t>
        </is>
      </c>
      <c r="P168" t="inlineStr">
        <is>
          <t>Aprovado Diretoria</t>
        </is>
      </c>
      <c r="Q168" t="inlineStr">
        <is>
          <t>Aprovado Caixa</t>
        </is>
      </c>
      <c r="R168" t="inlineStr">
        <is>
          <t>Pago</t>
        </is>
      </c>
      <c r="S168" t="n">
        <v>182</v>
      </c>
      <c r="T168" t="inlineStr">
        <is>
          <t>Love - Shibari - Kamino</t>
        </is>
      </c>
    </row>
    <row r="169">
      <c r="A169" t="n">
        <v>179141</v>
      </c>
      <c r="B169" t="n">
        <v>128</v>
      </c>
      <c r="C169" t="inlineStr">
        <is>
          <t>Love Cabaret</t>
        </is>
      </c>
      <c r="D169" t="inlineStr">
        <is>
          <t xml:space="preserve">HNK BR INDUSTRIA DE BEBIDAS </t>
        </is>
      </c>
      <c r="E169" t="n">
        <v>3779.35</v>
      </c>
      <c r="F169" s="27" t="n">
        <v>46002</v>
      </c>
      <c r="G169" s="27" t="n">
        <v>46001</v>
      </c>
      <c r="H169" s="27" t="n">
        <v>46001</v>
      </c>
      <c r="I169" s="27" t="n">
        <v>45988</v>
      </c>
      <c r="J169" s="27" t="n">
        <v>45992</v>
      </c>
      <c r="K169" t="inlineStr">
        <is>
          <t>Boleto Bancário</t>
        </is>
      </c>
      <c r="L169" t="inlineStr">
        <is>
          <t>Custo Mercadoria Vendida</t>
        </is>
      </c>
      <c r="M169" t="inlineStr">
        <is>
          <t>Insumos - Bebidas</t>
        </is>
      </c>
      <c r="N169" t="inlineStr">
        <is>
          <t>108304</t>
        </is>
      </c>
      <c r="O169" t="inlineStr">
        <is>
          <t>Documentação Aprovada</t>
        </is>
      </c>
      <c r="P169" t="inlineStr">
        <is>
          <t>Aprovado Diretoria</t>
        </is>
      </c>
      <c r="Q169" t="inlineStr">
        <is>
          <t>Aprovado Caixa</t>
        </is>
      </c>
      <c r="R169" t="inlineStr">
        <is>
          <t>Pago</t>
        </is>
      </c>
      <c r="S169" t="n">
        <v>182</v>
      </c>
      <c r="T169" t="inlineStr">
        <is>
          <t>Love - Shibari - Kamino</t>
        </is>
      </c>
    </row>
    <row r="170">
      <c r="A170" t="n">
        <v>179142</v>
      </c>
      <c r="B170" t="n">
        <v>128</v>
      </c>
      <c r="C170" t="inlineStr">
        <is>
          <t>Love Cabaret</t>
        </is>
      </c>
      <c r="D170" t="inlineStr">
        <is>
          <t xml:space="preserve">HNK BR INDUSTRIA DE BEBIDAS </t>
        </is>
      </c>
      <c r="E170" t="n">
        <v>420.26</v>
      </c>
      <c r="F170" s="27" t="n">
        <v>46002</v>
      </c>
      <c r="G170" s="27" t="n">
        <v>46001</v>
      </c>
      <c r="H170" s="27" t="n">
        <v>46001</v>
      </c>
      <c r="I170" s="27" t="n">
        <v>45988</v>
      </c>
      <c r="J170" s="27" t="n">
        <v>45992</v>
      </c>
      <c r="K170" t="inlineStr">
        <is>
          <t>Boleto Bancário</t>
        </is>
      </c>
      <c r="L170" t="inlineStr">
        <is>
          <t>Custo Mercadoria Vendida</t>
        </is>
      </c>
      <c r="M170" t="inlineStr">
        <is>
          <t>Insumos - Bebidas</t>
        </is>
      </c>
      <c r="N170" t="inlineStr">
        <is>
          <t>108308</t>
        </is>
      </c>
      <c r="O170" t="inlineStr">
        <is>
          <t>Documentação Aprovada</t>
        </is>
      </c>
      <c r="P170" t="inlineStr">
        <is>
          <t>Aprovado Diretoria</t>
        </is>
      </c>
      <c r="Q170" t="inlineStr">
        <is>
          <t>Aprovado Caixa</t>
        </is>
      </c>
      <c r="R170" t="inlineStr">
        <is>
          <t>Pago</t>
        </is>
      </c>
      <c r="S170" t="n">
        <v>182</v>
      </c>
      <c r="T170" t="inlineStr">
        <is>
          <t>Love - Shibari - Kamino</t>
        </is>
      </c>
    </row>
    <row r="171">
      <c r="A171" t="n">
        <v>178065</v>
      </c>
      <c r="B171" t="n">
        <v>128</v>
      </c>
      <c r="C171" t="inlineStr">
        <is>
          <t>Love Cabaret</t>
        </is>
      </c>
      <c r="D171" t="inlineStr">
        <is>
          <t>AURORA ALVORADA ESTACIONAMENTO E LANCHONETE LTDA</t>
        </is>
      </c>
      <c r="E171" t="n">
        <v>329.28</v>
      </c>
      <c r="F171" s="27" t="n">
        <v>45999</v>
      </c>
      <c r="G171" s="27" t="n">
        <v>46001</v>
      </c>
      <c r="H171" s="27" t="n">
        <v>46001</v>
      </c>
      <c r="I171" s="27" t="n">
        <v>45991</v>
      </c>
      <c r="J171" s="27" t="n">
        <v>45987</v>
      </c>
      <c r="K171" t="inlineStr">
        <is>
          <t>Boleto Bancário</t>
        </is>
      </c>
      <c r="L171" t="inlineStr">
        <is>
          <t>Mão de Obra - Benefícios</t>
        </is>
      </c>
      <c r="M171" t="inlineStr">
        <is>
          <t xml:space="preserve">  -  Alimentação Funcionário</t>
        </is>
      </c>
      <c r="N171" t="inlineStr">
        <is>
          <t>11254</t>
        </is>
      </c>
      <c r="O171" t="inlineStr">
        <is>
          <t>Documentação Aprovada</t>
        </is>
      </c>
      <c r="P171" t="inlineStr">
        <is>
          <t>Aprovado Diretoria</t>
        </is>
      </c>
      <c r="Q171" t="inlineStr">
        <is>
          <t>Aprovado Caixa</t>
        </is>
      </c>
      <c r="R171" t="inlineStr">
        <is>
          <t>Pago</t>
        </is>
      </c>
      <c r="S171" t="n">
        <v>182</v>
      </c>
      <c r="T171" t="inlineStr">
        <is>
          <t>Love - Shibari - Kamino</t>
        </is>
      </c>
    </row>
    <row r="172">
      <c r="A172" t="n">
        <v>176983</v>
      </c>
      <c r="B172" t="n">
        <v>128</v>
      </c>
      <c r="C172" t="inlineStr">
        <is>
          <t>Love Cabaret</t>
        </is>
      </c>
      <c r="D172" t="inlineStr">
        <is>
          <t>WPP COMERCIO DE CARNES LTDA</t>
        </is>
      </c>
      <c r="E172" t="n">
        <v>252.81</v>
      </c>
      <c r="F172" s="27" t="n">
        <v>46003</v>
      </c>
      <c r="G172" s="27" t="n">
        <v>46001</v>
      </c>
      <c r="H172" s="27" t="n">
        <v>46001</v>
      </c>
      <c r="I172" s="27" t="n">
        <v>45975</v>
      </c>
      <c r="J172" s="27" t="n">
        <v>45981</v>
      </c>
      <c r="K172" t="inlineStr">
        <is>
          <t>Boleto Bancário</t>
        </is>
      </c>
      <c r="L172" t="inlineStr">
        <is>
          <t>Custo Mercadoria Vendida</t>
        </is>
      </c>
      <c r="M172" t="inlineStr">
        <is>
          <t>Insumos - Alimentos</t>
        </is>
      </c>
      <c r="N172" t="inlineStr">
        <is>
          <t>75615</t>
        </is>
      </c>
      <c r="O172" t="inlineStr">
        <is>
          <t>Documentação Aprovada</t>
        </is>
      </c>
      <c r="P172" t="inlineStr">
        <is>
          <t>Aprovado Diretoria</t>
        </is>
      </c>
      <c r="Q172" t="inlineStr">
        <is>
          <t>Aprovado Caixa</t>
        </is>
      </c>
      <c r="R172" t="inlineStr">
        <is>
          <t>Pago</t>
        </is>
      </c>
      <c r="S172" t="n">
        <v>182</v>
      </c>
      <c r="T172" t="inlineStr">
        <is>
          <t>Love - Shibari - Kamino</t>
        </is>
      </c>
    </row>
    <row r="173">
      <c r="A173" t="n">
        <v>176980</v>
      </c>
      <c r="B173" t="n">
        <v>128</v>
      </c>
      <c r="C173" t="inlineStr">
        <is>
          <t>Love Cabaret</t>
        </is>
      </c>
      <c r="D173" t="inlineStr">
        <is>
          <t>CECILIA TSUYACO ARAKI SILVA LTDA</t>
        </is>
      </c>
      <c r="E173" t="n">
        <v>82.95</v>
      </c>
      <c r="F173" s="27" t="n">
        <v>46002</v>
      </c>
      <c r="G173" s="27" t="n">
        <v>46001</v>
      </c>
      <c r="H173" s="27" t="n">
        <v>46001</v>
      </c>
      <c r="I173" s="27" t="n">
        <v>45974</v>
      </c>
      <c r="J173" s="27" t="n">
        <v>45981</v>
      </c>
      <c r="K173" t="inlineStr">
        <is>
          <t>Boleto Bancário</t>
        </is>
      </c>
      <c r="L173" t="inlineStr">
        <is>
          <t>Custo Mercadoria Vendida</t>
        </is>
      </c>
      <c r="M173" t="inlineStr">
        <is>
          <t>Insumos - Alimentos</t>
        </is>
      </c>
      <c r="N173" t="inlineStr">
        <is>
          <t>381654</t>
        </is>
      </c>
      <c r="O173" t="inlineStr">
        <is>
          <t>Documentação Aprovada</t>
        </is>
      </c>
      <c r="P173" t="inlineStr">
        <is>
          <t>Aprovado Diretoria</t>
        </is>
      </c>
      <c r="Q173" t="inlineStr">
        <is>
          <t>Aprovado Caixa</t>
        </is>
      </c>
      <c r="R173" t="inlineStr">
        <is>
          <t>Pago</t>
        </is>
      </c>
      <c r="S173" t="n">
        <v>182</v>
      </c>
      <c r="T173" t="inlineStr">
        <is>
          <t>Love - Shibari - Kamino</t>
        </is>
      </c>
    </row>
    <row r="174">
      <c r="A174" t="n">
        <v>176981</v>
      </c>
      <c r="B174" t="n">
        <v>128</v>
      </c>
      <c r="C174" t="inlineStr">
        <is>
          <t>Love Cabaret</t>
        </is>
      </c>
      <c r="D174" t="inlineStr">
        <is>
          <t>HORTA NOVA DISTRIBUIDORA DE HORTIFRUTI LTDA</t>
        </is>
      </c>
      <c r="E174" t="n">
        <v>105.65</v>
      </c>
      <c r="F174" s="27" t="n">
        <v>46002</v>
      </c>
      <c r="G174" s="27" t="n">
        <v>46001</v>
      </c>
      <c r="H174" s="27" t="n">
        <v>46001</v>
      </c>
      <c r="I174" s="27" t="n">
        <v>45974</v>
      </c>
      <c r="J174" s="27" t="n">
        <v>45981</v>
      </c>
      <c r="K174" t="inlineStr">
        <is>
          <t>Boleto Bancário</t>
        </is>
      </c>
      <c r="L174" t="inlineStr">
        <is>
          <t>Custo Mercadoria Vendida</t>
        </is>
      </c>
      <c r="M174" t="inlineStr">
        <is>
          <t>Insumos - Alimentos</t>
        </is>
      </c>
      <c r="N174" t="inlineStr">
        <is>
          <t>7273</t>
        </is>
      </c>
      <c r="O174" t="inlineStr">
        <is>
          <t>Documentação Aprovada</t>
        </is>
      </c>
      <c r="P174" t="inlineStr">
        <is>
          <t>Aprovado Diretoria</t>
        </is>
      </c>
      <c r="Q174" t="inlineStr">
        <is>
          <t>Aprovado Caixa</t>
        </is>
      </c>
      <c r="R174" t="inlineStr">
        <is>
          <t>Pago</t>
        </is>
      </c>
      <c r="S174" t="n">
        <v>182</v>
      </c>
      <c r="T174" t="inlineStr">
        <is>
          <t>Love - Shibari - Kamino</t>
        </is>
      </c>
    </row>
    <row r="175">
      <c r="A175" t="n">
        <v>176982</v>
      </c>
      <c r="B175" t="n">
        <v>128</v>
      </c>
      <c r="C175" t="inlineStr">
        <is>
          <t>Love Cabaret</t>
        </is>
      </c>
      <c r="D175" t="inlineStr">
        <is>
          <t>MARIO PEDRO FELICIANO - HORTIFRUTI</t>
        </is>
      </c>
      <c r="E175" t="n">
        <v>45.24</v>
      </c>
      <c r="F175" s="27" t="n">
        <v>46002</v>
      </c>
      <c r="G175" s="27" t="n">
        <v>46001</v>
      </c>
      <c r="H175" s="27" t="n">
        <v>46001</v>
      </c>
      <c r="I175" s="27" t="n">
        <v>45974</v>
      </c>
      <c r="J175" s="27" t="n">
        <v>45981</v>
      </c>
      <c r="K175" t="inlineStr">
        <is>
          <t>Boleto Bancário</t>
        </is>
      </c>
      <c r="L175" t="inlineStr">
        <is>
          <t>Custo Mercadoria Vendida</t>
        </is>
      </c>
      <c r="M175" t="inlineStr">
        <is>
          <t>Insumos - Alimentos</t>
        </is>
      </c>
      <c r="N175" t="inlineStr">
        <is>
          <t>458618</t>
        </is>
      </c>
      <c r="O175" t="inlineStr">
        <is>
          <t>Documentação Aprovada</t>
        </is>
      </c>
      <c r="P175" t="inlineStr">
        <is>
          <t>Aprovado Diretoria</t>
        </is>
      </c>
      <c r="Q175" t="inlineStr">
        <is>
          <t>Aprovado Caixa</t>
        </is>
      </c>
      <c r="R175" t="inlineStr">
        <is>
          <t>Pago</t>
        </is>
      </c>
      <c r="S175" t="n">
        <v>182</v>
      </c>
      <c r="T175" t="inlineStr">
        <is>
          <t>Love - Shibari - Kamino</t>
        </is>
      </c>
    </row>
    <row r="176">
      <c r="A176" t="n">
        <v>176979</v>
      </c>
      <c r="B176" t="n">
        <v>128</v>
      </c>
      <c r="C176" t="inlineStr">
        <is>
          <t>Love Cabaret</t>
        </is>
      </c>
      <c r="D176" t="inlineStr">
        <is>
          <t>EMPORIO M&amp;L COMERCIO DE ALIM E BEBIDAS LTDA</t>
        </is>
      </c>
      <c r="E176" t="n">
        <v>563.1</v>
      </c>
      <c r="F176" s="27" t="n">
        <v>46002</v>
      </c>
      <c r="G176" s="27" t="n">
        <v>46001</v>
      </c>
      <c r="H176" s="27" t="n">
        <v>46001</v>
      </c>
      <c r="I176" s="27" t="n">
        <v>45973</v>
      </c>
      <c r="J176" s="27" t="n">
        <v>45981</v>
      </c>
      <c r="K176" t="inlineStr">
        <is>
          <t>Boleto Bancário</t>
        </is>
      </c>
      <c r="L176" t="inlineStr">
        <is>
          <t>Custo Mercadoria Vendida</t>
        </is>
      </c>
      <c r="M176" t="inlineStr">
        <is>
          <t>Insumos - Alimentos</t>
        </is>
      </c>
      <c r="N176" t="inlineStr">
        <is>
          <t>480918</t>
        </is>
      </c>
      <c r="O176" t="inlineStr">
        <is>
          <t>Documentação Aprovada</t>
        </is>
      </c>
      <c r="P176" t="inlineStr">
        <is>
          <t>Aprovado Diretoria</t>
        </is>
      </c>
      <c r="Q176" t="inlineStr">
        <is>
          <t>Aprovado Caixa</t>
        </is>
      </c>
      <c r="R176" t="inlineStr">
        <is>
          <t>Pago</t>
        </is>
      </c>
      <c r="S176" t="n">
        <v>182</v>
      </c>
      <c r="T176" t="inlineStr">
        <is>
          <t>Love - Shibari - Kamino</t>
        </is>
      </c>
    </row>
    <row r="177">
      <c r="A177" t="n">
        <v>175827</v>
      </c>
      <c r="B177" t="n">
        <v>128</v>
      </c>
      <c r="C177" t="inlineStr">
        <is>
          <t>Love Cabaret</t>
        </is>
      </c>
      <c r="D177" t="inlineStr">
        <is>
          <t>DEOLINDA DOS SANTOS FREITAS</t>
        </is>
      </c>
      <c r="E177" t="n">
        <v>514.83</v>
      </c>
      <c r="F177" s="27" t="n">
        <v>46002</v>
      </c>
      <c r="G177" s="27" t="n">
        <v>46001</v>
      </c>
      <c r="H177" s="27" t="n">
        <v>46001</v>
      </c>
      <c r="I177" s="27" t="n">
        <v>45967</v>
      </c>
      <c r="J177" s="27" t="n">
        <v>45975</v>
      </c>
      <c r="K177" t="inlineStr">
        <is>
          <t>Boleto Bancário</t>
        </is>
      </c>
      <c r="L177" t="inlineStr">
        <is>
          <t>Custo Mercadoria Vendida</t>
        </is>
      </c>
      <c r="M177" t="inlineStr">
        <is>
          <t>Insumos - Alimentos</t>
        </is>
      </c>
      <c r="N177" t="inlineStr">
        <is>
          <t>2170</t>
        </is>
      </c>
      <c r="O177" t="inlineStr">
        <is>
          <t>Documentação Aprovada</t>
        </is>
      </c>
      <c r="P177" t="inlineStr">
        <is>
          <t>Aprovado Diretoria</t>
        </is>
      </c>
      <c r="Q177" t="inlineStr">
        <is>
          <t>Aprovado Caixa</t>
        </is>
      </c>
      <c r="R177" t="inlineStr">
        <is>
          <t>Pago</t>
        </is>
      </c>
      <c r="S177" t="n">
        <v>182</v>
      </c>
      <c r="T177" t="inlineStr">
        <is>
          <t>Love - Shibari - Kamino</t>
        </is>
      </c>
    </row>
    <row r="178">
      <c r="A178" t="n">
        <v>182739</v>
      </c>
      <c r="B178" t="n">
        <v>128</v>
      </c>
      <c r="C178" t="inlineStr">
        <is>
          <t>Love Cabaret</t>
        </is>
      </c>
      <c r="D178" t="inlineStr">
        <is>
          <t>BRADESCO SA</t>
        </is>
      </c>
      <c r="E178" t="n">
        <v>9.800000000000001</v>
      </c>
      <c r="F178" s="27" t="n">
        <v>46001</v>
      </c>
      <c r="G178" s="27" t="n"/>
      <c r="H178" s="27" t="n">
        <v>46001</v>
      </c>
      <c r="I178" s="27" t="n">
        <v>46001</v>
      </c>
      <c r="J178" s="27" t="n"/>
      <c r="K178" t="inlineStr">
        <is>
          <t xml:space="preserve">Debito Automático </t>
        </is>
      </c>
      <c r="L178" t="inlineStr">
        <is>
          <t>Despesas Financeiras</t>
        </is>
      </c>
      <c r="M178" t="inlineStr">
        <is>
          <t>Tarifas Bancárias</t>
        </is>
      </c>
      <c r="O178" t="inlineStr">
        <is>
          <t>Documentação Aprovada</t>
        </is>
      </c>
      <c r="P178" t="inlineStr">
        <is>
          <t>Aprovado Diretoria</t>
        </is>
      </c>
      <c r="Q178" t="inlineStr">
        <is>
          <t>Aprovado Caixa</t>
        </is>
      </c>
      <c r="R178" t="inlineStr">
        <is>
          <t>Pago</t>
        </is>
      </c>
      <c r="S178" t="n">
        <v>115</v>
      </c>
      <c r="T178" t="inlineStr">
        <is>
          <t>Love - Shibari - Bradesco</t>
        </is>
      </c>
    </row>
    <row r="179">
      <c r="A179" t="n">
        <v>97535</v>
      </c>
      <c r="B179" t="n">
        <v>128</v>
      </c>
      <c r="C179" t="inlineStr">
        <is>
          <t>Love Cabaret</t>
        </is>
      </c>
      <c r="D179" t="inlineStr">
        <is>
          <t>ISS</t>
        </is>
      </c>
      <c r="E179" t="n">
        <v>195.34</v>
      </c>
      <c r="F179" s="27" t="n">
        <v>46001</v>
      </c>
      <c r="G179" s="27" t="n">
        <v>46001</v>
      </c>
      <c r="H179" s="27" t="n">
        <v>46001</v>
      </c>
      <c r="I179" s="27" t="n">
        <v>45991</v>
      </c>
      <c r="J179" s="27" t="n"/>
      <c r="K179" t="inlineStr">
        <is>
          <t>Boleto Bancário</t>
        </is>
      </c>
      <c r="L179" t="inlineStr">
        <is>
          <t>Utilidades</t>
        </is>
      </c>
      <c r="M179" t="inlineStr">
        <is>
          <t>Coleta de lixo</t>
        </is>
      </c>
      <c r="N179" t="inlineStr">
        <is>
          <t>NOV2025</t>
        </is>
      </c>
      <c r="O179" t="inlineStr">
        <is>
          <t>Documentação Aprovada</t>
        </is>
      </c>
      <c r="P179" t="inlineStr">
        <is>
          <t>Aprovado Diretoria</t>
        </is>
      </c>
      <c r="Q179" t="inlineStr">
        <is>
          <t>Aprovado Caixa</t>
        </is>
      </c>
      <c r="R179" t="inlineStr">
        <is>
          <t>Pago</t>
        </is>
      </c>
      <c r="S179" t="n">
        <v>182</v>
      </c>
      <c r="T179" t="inlineStr">
        <is>
          <t>Love - Shibari - Kamino</t>
        </is>
      </c>
    </row>
    <row r="180">
      <c r="A180" t="n">
        <v>96058</v>
      </c>
      <c r="B180" t="n">
        <v>128</v>
      </c>
      <c r="C180" t="inlineStr">
        <is>
          <t>Love Cabaret</t>
        </is>
      </c>
      <c r="D180" t="inlineStr">
        <is>
          <t>ISS</t>
        </is>
      </c>
      <c r="E180" t="n">
        <v>2145.71</v>
      </c>
      <c r="F180" s="27" t="n">
        <v>45991</v>
      </c>
      <c r="G180" s="27" t="n">
        <v>46001</v>
      </c>
      <c r="H180" s="27" t="n">
        <v>46001</v>
      </c>
      <c r="I180" s="27" t="n">
        <v>45961</v>
      </c>
      <c r="J180" s="27" t="n"/>
      <c r="K180" t="inlineStr">
        <is>
          <t>Boleto Bancário</t>
        </is>
      </c>
      <c r="L180" t="inlineStr">
        <is>
          <t>Endividamento</t>
        </is>
      </c>
      <c r="M180" t="inlineStr">
        <is>
          <t>Endividamento Geral</t>
        </is>
      </c>
      <c r="N180" t="inlineStr">
        <is>
          <t>11/60</t>
        </is>
      </c>
      <c r="O180" t="inlineStr">
        <is>
          <t>Documentação Aprovada</t>
        </is>
      </c>
      <c r="P180" t="inlineStr">
        <is>
          <t>Aprovado Diretoria</t>
        </is>
      </c>
      <c r="Q180" t="inlineStr">
        <is>
          <t>Aprovado Caixa</t>
        </is>
      </c>
      <c r="R180" t="inlineStr">
        <is>
          <t>Pago</t>
        </is>
      </c>
      <c r="S180" t="n">
        <v>182</v>
      </c>
      <c r="T180" t="inlineStr">
        <is>
          <t>Love - Shibari - Kamino</t>
        </is>
      </c>
    </row>
    <row r="181">
      <c r="A181" t="n">
        <v>102926</v>
      </c>
      <c r="B181" t="n">
        <v>128</v>
      </c>
      <c r="C181" t="inlineStr">
        <is>
          <t>Love Cabaret</t>
        </is>
      </c>
      <c r="D181" t="inlineStr">
        <is>
          <t>PRESHH ALUGUEL DE MAQUINAS LTDA</t>
        </is>
      </c>
      <c r="E181" t="n">
        <v>727.2</v>
      </c>
      <c r="F181" s="27" t="n">
        <v>46001</v>
      </c>
      <c r="G181" s="27" t="n">
        <v>45999</v>
      </c>
      <c r="H181" s="27" t="n">
        <v>45999</v>
      </c>
      <c r="I181" s="27" t="n">
        <v>45991</v>
      </c>
      <c r="J181" s="27" t="n"/>
      <c r="K181" t="inlineStr">
        <is>
          <t>Boleto Bancário</t>
        </is>
      </c>
      <c r="L181" t="inlineStr">
        <is>
          <t>Locação de Equipamentos</t>
        </is>
      </c>
      <c r="M181" t="inlineStr">
        <is>
          <t>Locações de Equipamentos - Operacionais</t>
        </is>
      </c>
      <c r="N181" t="inlineStr">
        <is>
          <t>669939971</t>
        </is>
      </c>
      <c r="O181" t="inlineStr">
        <is>
          <t>Documentação Aprovada</t>
        </is>
      </c>
      <c r="P181" t="inlineStr">
        <is>
          <t>Aprovado Diretoria</t>
        </is>
      </c>
      <c r="Q181" t="inlineStr">
        <is>
          <t>Aprovado Caixa</t>
        </is>
      </c>
      <c r="R181" t="inlineStr">
        <is>
          <t>Pago</t>
        </is>
      </c>
      <c r="S181" t="n">
        <v>182</v>
      </c>
      <c r="T181" t="inlineStr">
        <is>
          <t>Love - Shibari - Kamino</t>
        </is>
      </c>
    </row>
    <row r="182">
      <c r="A182" t="n">
        <v>177083</v>
      </c>
      <c r="B182" t="n">
        <v>128</v>
      </c>
      <c r="C182" t="inlineStr">
        <is>
          <t>Love Cabaret</t>
        </is>
      </c>
      <c r="D182" t="inlineStr">
        <is>
          <t>PETERSON PATRIK COSTA BARBOSA</t>
        </is>
      </c>
      <c r="E182" t="n">
        <v>200</v>
      </c>
      <c r="F182" s="27" t="n">
        <v>45999</v>
      </c>
      <c r="G182" s="27" t="n">
        <v>45999</v>
      </c>
      <c r="H182" s="27" t="n">
        <v>45999</v>
      </c>
      <c r="I182" s="27" t="n">
        <v>45962</v>
      </c>
      <c r="J182" s="27" t="n">
        <v>45982</v>
      </c>
      <c r="K182" t="inlineStr">
        <is>
          <t>Transferência Bancária ou Pix</t>
        </is>
      </c>
      <c r="L182" t="inlineStr">
        <is>
          <t>Patrocínio</t>
        </is>
      </c>
      <c r="M182" t="inlineStr">
        <is>
          <t>(-) Despesas de Patrocínio</t>
        </is>
      </c>
      <c r="N182" t="inlineStr">
        <is>
          <t>1172025</t>
        </is>
      </c>
      <c r="O182" t="inlineStr">
        <is>
          <t>Documentação Aprovada</t>
        </is>
      </c>
      <c r="P182" t="inlineStr">
        <is>
          <t>Aprovado Diretoria</t>
        </is>
      </c>
      <c r="Q182" t="inlineStr">
        <is>
          <t>Aprovado Caixa</t>
        </is>
      </c>
      <c r="R182" t="inlineStr">
        <is>
          <t>Pago</t>
        </is>
      </c>
      <c r="S182" t="n">
        <v>182</v>
      </c>
      <c r="T182" t="inlineStr">
        <is>
          <t>Love - Shibari - Kamino</t>
        </is>
      </c>
    </row>
    <row r="183">
      <c r="A183" t="n">
        <v>176984</v>
      </c>
      <c r="B183" t="n">
        <v>128</v>
      </c>
      <c r="C183" t="inlineStr">
        <is>
          <t>Love Cabaret</t>
        </is>
      </c>
      <c r="D183" t="inlineStr">
        <is>
          <t>CG FOOD´S DISTRIBUIDORA DE ALIMENTOS LTDA</t>
        </is>
      </c>
      <c r="E183" t="n">
        <v>335.55</v>
      </c>
      <c r="F183" s="27" t="n">
        <v>45999</v>
      </c>
      <c r="G183" s="27" t="n">
        <v>45999</v>
      </c>
      <c r="H183" s="27" t="n">
        <v>45999</v>
      </c>
      <c r="I183" s="27" t="n">
        <v>45978</v>
      </c>
      <c r="J183" s="27" t="n">
        <v>45981</v>
      </c>
      <c r="K183" t="inlineStr">
        <is>
          <t>Boleto Bancário</t>
        </is>
      </c>
      <c r="L183" t="inlineStr">
        <is>
          <t>Custo Mercadoria Vendida</t>
        </is>
      </c>
      <c r="M183" t="inlineStr">
        <is>
          <t>Insumos - Alimentos</t>
        </is>
      </c>
      <c r="N183" t="inlineStr">
        <is>
          <t>171264</t>
        </is>
      </c>
      <c r="O183" t="inlineStr">
        <is>
          <t>Documentação Aprovada</t>
        </is>
      </c>
      <c r="P183" t="inlineStr">
        <is>
          <t>Aprovado Diretoria</t>
        </is>
      </c>
      <c r="Q183" t="inlineStr">
        <is>
          <t>Aprovado Caixa</t>
        </is>
      </c>
      <c r="R183" t="inlineStr">
        <is>
          <t>Pago</t>
        </is>
      </c>
      <c r="S183" t="n">
        <v>182</v>
      </c>
      <c r="T183" t="inlineStr">
        <is>
          <t>Love - Shibari - Kamino</t>
        </is>
      </c>
    </row>
    <row r="184">
      <c r="A184" t="n">
        <v>177120</v>
      </c>
      <c r="B184" t="n">
        <v>128</v>
      </c>
      <c r="C184" t="inlineStr">
        <is>
          <t>Love Cabaret</t>
        </is>
      </c>
      <c r="D184" t="inlineStr">
        <is>
          <t>IRMANDADE DA SANTA CASA DE MISERICORDIA DE SAO PAULO</t>
        </is>
      </c>
      <c r="E184" t="n">
        <v>32594.19</v>
      </c>
      <c r="F184" s="27" t="n">
        <v>46001</v>
      </c>
      <c r="G184" s="27" t="n">
        <v>45999</v>
      </c>
      <c r="H184" s="27" t="n">
        <v>45999</v>
      </c>
      <c r="I184" s="27" t="n">
        <v>45981</v>
      </c>
      <c r="J184" s="27" t="n">
        <v>45982</v>
      </c>
      <c r="K184" t="inlineStr">
        <is>
          <t>Boleto Bancário</t>
        </is>
      </c>
      <c r="L184" t="inlineStr">
        <is>
          <t>Custo de Ocupação</t>
        </is>
      </c>
      <c r="M184" t="inlineStr">
        <is>
          <t>Aluguel de Imoveis</t>
        </is>
      </c>
      <c r="N184" t="inlineStr">
        <is>
          <t>159556</t>
        </is>
      </c>
      <c r="O184" t="inlineStr">
        <is>
          <t>Documentação Aprovada</t>
        </is>
      </c>
      <c r="P184" t="inlineStr">
        <is>
          <t>Aprovado Diretoria</t>
        </is>
      </c>
      <c r="Q184" t="inlineStr">
        <is>
          <t>Aprovado Caixa</t>
        </is>
      </c>
      <c r="R184" t="inlineStr">
        <is>
          <t>Pago</t>
        </is>
      </c>
      <c r="S184" t="n">
        <v>182</v>
      </c>
      <c r="T184" t="inlineStr">
        <is>
          <t>Love - Shibari - Kamino</t>
        </is>
      </c>
    </row>
    <row r="185">
      <c r="A185" t="n">
        <v>177121</v>
      </c>
      <c r="B185" t="n">
        <v>128</v>
      </c>
      <c r="C185" t="inlineStr">
        <is>
          <t>Love Cabaret</t>
        </is>
      </c>
      <c r="D185" t="inlineStr">
        <is>
          <t>SAFE BRAND COMERCIAL- IMPORTACAO- EXPORTACAO E SERVICOS LTDA</t>
        </is>
      </c>
      <c r="E185" t="n">
        <v>2117.46</v>
      </c>
      <c r="F185" s="27" t="n">
        <v>46000</v>
      </c>
      <c r="G185" s="27" t="n">
        <v>45999</v>
      </c>
      <c r="H185" s="27" t="n">
        <v>45999</v>
      </c>
      <c r="I185" s="27" t="n">
        <v>45992</v>
      </c>
      <c r="J185" s="27" t="n">
        <v>45982</v>
      </c>
      <c r="K185" t="inlineStr">
        <is>
          <t>Boleto Bancário</t>
        </is>
      </c>
      <c r="L185" t="inlineStr">
        <is>
          <t>Locação de Equipamentos</t>
        </is>
      </c>
      <c r="M185" t="inlineStr">
        <is>
          <t>Locações de Equipamentos - Operacionais</t>
        </is>
      </c>
      <c r="N185" t="inlineStr">
        <is>
          <t>03250226</t>
        </is>
      </c>
      <c r="O185" t="inlineStr">
        <is>
          <t>Documentação Aprovada</t>
        </is>
      </c>
      <c r="P185" t="inlineStr">
        <is>
          <t>Aprovado Diretoria</t>
        </is>
      </c>
      <c r="Q185" t="inlineStr">
        <is>
          <t>Aprovado Caixa</t>
        </is>
      </c>
      <c r="R185" t="inlineStr">
        <is>
          <t>Pago</t>
        </is>
      </c>
    </row>
    <row r="186">
      <c r="A186" t="n">
        <v>181173</v>
      </c>
      <c r="B186" t="n">
        <v>128</v>
      </c>
      <c r="C186" t="inlineStr">
        <is>
          <t>Love Cabaret</t>
        </is>
      </c>
      <c r="D186" t="inlineStr">
        <is>
          <t>MACRO CONTABILIDADE E CONSULTORIA LTDA</t>
        </is>
      </c>
      <c r="E186" t="n">
        <v>1602.23</v>
      </c>
      <c r="F186" s="27" t="n">
        <v>46001</v>
      </c>
      <c r="G186" s="27" t="n">
        <v>45999</v>
      </c>
      <c r="H186" s="27" t="n">
        <v>45999</v>
      </c>
      <c r="I186" s="27" t="n">
        <v>45991</v>
      </c>
      <c r="J186" s="27" t="n">
        <v>45996</v>
      </c>
      <c r="K186" t="inlineStr">
        <is>
          <t>Boleto Bancário</t>
        </is>
      </c>
      <c r="L186" t="inlineStr">
        <is>
          <t>Serviços de Terceiros</t>
        </is>
      </c>
      <c r="M186" t="inlineStr">
        <is>
          <t>Assessoria Contabil</t>
        </is>
      </c>
      <c r="N186" t="inlineStr">
        <is>
          <t>9658</t>
        </is>
      </c>
      <c r="O186" t="inlineStr">
        <is>
          <t>Documentação Aprovada</t>
        </is>
      </c>
      <c r="P186" t="inlineStr">
        <is>
          <t>Aprovado Diretoria</t>
        </is>
      </c>
      <c r="Q186" t="inlineStr">
        <is>
          <t>Aprovado Caixa</t>
        </is>
      </c>
      <c r="R186" t="inlineStr">
        <is>
          <t>Pago</t>
        </is>
      </c>
      <c r="S186" t="n">
        <v>182</v>
      </c>
      <c r="T186" t="inlineStr">
        <is>
          <t>Love - Shibari - Kamino</t>
        </is>
      </c>
    </row>
    <row r="187">
      <c r="A187" t="n">
        <v>181172</v>
      </c>
      <c r="B187" t="n">
        <v>128</v>
      </c>
      <c r="C187" t="inlineStr">
        <is>
          <t>Love Cabaret</t>
        </is>
      </c>
      <c r="D187" t="inlineStr">
        <is>
          <t>STAR COPIAS COMERCIO E SERVICOS LTDA</t>
        </is>
      </c>
      <c r="E187" t="n">
        <v>220</v>
      </c>
      <c r="F187" s="27" t="n">
        <v>45999</v>
      </c>
      <c r="G187" s="27" t="n">
        <v>45999</v>
      </c>
      <c r="H187" s="27" t="n">
        <v>45999</v>
      </c>
      <c r="I187" s="27" t="n">
        <v>45991</v>
      </c>
      <c r="J187" s="27" t="n">
        <v>45996</v>
      </c>
      <c r="K187" t="inlineStr">
        <is>
          <t>Boleto Bancário</t>
        </is>
      </c>
      <c r="L187" t="inlineStr">
        <is>
          <t>Locação de Equipamentos</t>
        </is>
      </c>
      <c r="M187" t="inlineStr">
        <is>
          <t>Locação de Equipamentos - Informatica e TI</t>
        </is>
      </c>
      <c r="N187" t="inlineStr">
        <is>
          <t>4756</t>
        </is>
      </c>
      <c r="O187" t="inlineStr">
        <is>
          <t>Documentação Aprovada</t>
        </is>
      </c>
      <c r="P187" t="inlineStr">
        <is>
          <t>Aprovado Diretoria</t>
        </is>
      </c>
      <c r="Q187" t="inlineStr">
        <is>
          <t>Aprovado Caixa</t>
        </is>
      </c>
      <c r="R187" t="inlineStr">
        <is>
          <t>Pago</t>
        </is>
      </c>
      <c r="S187" t="n">
        <v>182</v>
      </c>
      <c r="T187" t="inlineStr">
        <is>
          <t>Love - Shibari - Kamino</t>
        </is>
      </c>
    </row>
    <row r="188">
      <c r="A188" t="n">
        <v>180200</v>
      </c>
      <c r="B188" t="n">
        <v>128</v>
      </c>
      <c r="C188" t="inlineStr">
        <is>
          <t>Love Cabaret</t>
        </is>
      </c>
      <c r="D188" t="inlineStr">
        <is>
          <t>EUREKA TECHNOLOGY LTDA</t>
        </is>
      </c>
      <c r="E188" t="n">
        <v>420</v>
      </c>
      <c r="F188" s="27" t="n">
        <v>46001</v>
      </c>
      <c r="G188" s="27" t="n">
        <v>45999</v>
      </c>
      <c r="H188" s="27" t="n">
        <v>45999</v>
      </c>
      <c r="I188" s="27" t="n">
        <v>45962</v>
      </c>
      <c r="J188" s="27" t="n">
        <v>45995</v>
      </c>
      <c r="K188" t="inlineStr">
        <is>
          <t>Transferência Bancária ou Pix</t>
        </is>
      </c>
      <c r="L188" t="inlineStr">
        <is>
          <t>Marketing</t>
        </is>
      </c>
      <c r="M188" t="inlineStr">
        <is>
          <t>Ferramentas de Marketing</t>
        </is>
      </c>
      <c r="N188" t="inlineStr">
        <is>
          <t>299</t>
        </is>
      </c>
      <c r="O188" t="inlineStr">
        <is>
          <t>Documentação Aprovada</t>
        </is>
      </c>
      <c r="P188" t="inlineStr">
        <is>
          <t>Aprovado Diretoria</t>
        </is>
      </c>
      <c r="Q188" t="inlineStr">
        <is>
          <t>Aprovado Caixa</t>
        </is>
      </c>
      <c r="R188" t="inlineStr">
        <is>
          <t>Pago</t>
        </is>
      </c>
      <c r="S188" t="n">
        <v>182</v>
      </c>
      <c r="T188" t="inlineStr">
        <is>
          <t>Love - Shibari - Kamino</t>
        </is>
      </c>
    </row>
    <row r="189">
      <c r="A189" t="n">
        <v>180069</v>
      </c>
      <c r="B189" t="n">
        <v>128</v>
      </c>
      <c r="C189" t="inlineStr">
        <is>
          <t>Love Cabaret</t>
        </is>
      </c>
      <c r="D189" t="inlineStr">
        <is>
          <t>FG7 COMERCIO E DISTRIBUICAO DE BEBIDAS LTDA</t>
        </is>
      </c>
      <c r="E189" t="n">
        <v>1261.8</v>
      </c>
      <c r="F189" s="27" t="n">
        <v>46001</v>
      </c>
      <c r="G189" s="27" t="n">
        <v>45999</v>
      </c>
      <c r="H189" s="27" t="n">
        <v>45999</v>
      </c>
      <c r="I189" s="27" t="n">
        <v>45979</v>
      </c>
      <c r="J189" s="27" t="n">
        <v>45994</v>
      </c>
      <c r="K189" t="inlineStr">
        <is>
          <t>Boleto Bancário</t>
        </is>
      </c>
      <c r="L189" t="inlineStr">
        <is>
          <t>Custo Mercadoria Vendida</t>
        </is>
      </c>
      <c r="M189" t="inlineStr">
        <is>
          <t>Insumos - Bebidas</t>
        </is>
      </c>
      <c r="N189" t="inlineStr">
        <is>
          <t>702856</t>
        </is>
      </c>
      <c r="O189" t="inlineStr">
        <is>
          <t>Documentação Aprovada</t>
        </is>
      </c>
      <c r="P189" t="inlineStr">
        <is>
          <t>Aprovado Diretoria</t>
        </is>
      </c>
      <c r="Q189" t="inlineStr">
        <is>
          <t>Aprovado Caixa</t>
        </is>
      </c>
      <c r="R189" t="inlineStr">
        <is>
          <t>Pago</t>
        </is>
      </c>
      <c r="S189" t="n">
        <v>182</v>
      </c>
      <c r="T189" t="inlineStr">
        <is>
          <t>Love - Shibari - Kamino</t>
        </is>
      </c>
    </row>
    <row r="190">
      <c r="A190" t="n">
        <v>181177</v>
      </c>
      <c r="B190" t="n">
        <v>128</v>
      </c>
      <c r="C190" t="inlineStr">
        <is>
          <t>Love Cabaret</t>
        </is>
      </c>
      <c r="D190" t="inlineStr">
        <is>
          <t xml:space="preserve">DIVIFY OPERACAO DE PLATAFORMA ELETRONICA LTDA </t>
        </is>
      </c>
      <c r="E190" t="n">
        <v>1000</v>
      </c>
      <c r="F190" s="27" t="n">
        <v>46001</v>
      </c>
      <c r="G190" s="27" t="n">
        <v>45999</v>
      </c>
      <c r="H190" s="27" t="n">
        <v>45999</v>
      </c>
      <c r="I190" s="27" t="n">
        <v>45991</v>
      </c>
      <c r="J190" s="27" t="n">
        <v>45996</v>
      </c>
      <c r="K190" t="inlineStr">
        <is>
          <t>Boleto Bancário</t>
        </is>
      </c>
      <c r="L190" t="inlineStr">
        <is>
          <t>Serviços de Terceiros</t>
        </is>
      </c>
      <c r="M190" t="inlineStr">
        <is>
          <t>Assessoria em Geral</t>
        </is>
      </c>
      <c r="N190" t="inlineStr">
        <is>
          <t>330</t>
        </is>
      </c>
      <c r="O190" t="inlineStr">
        <is>
          <t>Documentação Aprovada</t>
        </is>
      </c>
      <c r="P190" t="inlineStr">
        <is>
          <t>Aprovado Diretoria</t>
        </is>
      </c>
      <c r="Q190" t="inlineStr">
        <is>
          <t>Aprovado Caixa</t>
        </is>
      </c>
      <c r="R190" t="inlineStr">
        <is>
          <t>Pago</t>
        </is>
      </c>
      <c r="S190" t="n">
        <v>182</v>
      </c>
      <c r="T190" t="inlineStr">
        <is>
          <t>Love - Shibari - Kamino</t>
        </is>
      </c>
    </row>
    <row r="191">
      <c r="A191" t="n">
        <v>180107</v>
      </c>
      <c r="B191" t="n">
        <v>128</v>
      </c>
      <c r="C191" t="inlineStr">
        <is>
          <t>Love Cabaret</t>
        </is>
      </c>
      <c r="D191" t="inlineStr">
        <is>
          <t>PSSS LTDA</t>
        </is>
      </c>
      <c r="E191" t="n">
        <v>1115.4</v>
      </c>
      <c r="F191" s="27" t="n">
        <v>46000</v>
      </c>
      <c r="G191" s="27" t="n">
        <v>45999</v>
      </c>
      <c r="H191" s="27" t="n">
        <v>45999</v>
      </c>
      <c r="I191" s="27" t="n">
        <v>45979</v>
      </c>
      <c r="J191" s="27" t="n">
        <v>45995</v>
      </c>
      <c r="K191" t="inlineStr">
        <is>
          <t>Boleto Bancário</t>
        </is>
      </c>
      <c r="L191" t="inlineStr">
        <is>
          <t>Utilidades</t>
        </is>
      </c>
      <c r="M191" t="inlineStr">
        <is>
          <t>Higiene e Limpeza</t>
        </is>
      </c>
      <c r="N191" t="inlineStr">
        <is>
          <t>2656</t>
        </is>
      </c>
      <c r="O191" t="inlineStr">
        <is>
          <t>Documentação Aprovada</t>
        </is>
      </c>
      <c r="P191" t="inlineStr">
        <is>
          <t>Aprovado Diretoria</t>
        </is>
      </c>
      <c r="Q191" t="inlineStr">
        <is>
          <t>Aprovado Caixa</t>
        </is>
      </c>
      <c r="R191" t="inlineStr">
        <is>
          <t>Pago</t>
        </is>
      </c>
      <c r="S191" t="n">
        <v>182</v>
      </c>
      <c r="T191" t="inlineStr">
        <is>
          <t>Love - Shibari - Kamino</t>
        </is>
      </c>
    </row>
    <row r="192">
      <c r="A192" t="n">
        <v>180097</v>
      </c>
      <c r="B192" t="n">
        <v>128</v>
      </c>
      <c r="C192" t="inlineStr">
        <is>
          <t>Love Cabaret</t>
        </is>
      </c>
      <c r="D192" t="inlineStr">
        <is>
          <t xml:space="preserve">LATICINIOS FIOR DITALIA LTDA </t>
        </is>
      </c>
      <c r="E192" t="n">
        <v>326.75</v>
      </c>
      <c r="F192" s="27" t="n">
        <v>46001</v>
      </c>
      <c r="G192" s="27" t="n">
        <v>45999</v>
      </c>
      <c r="H192" s="27" t="n">
        <v>45999</v>
      </c>
      <c r="I192" s="27" t="n">
        <v>45985</v>
      </c>
      <c r="J192" s="27" t="n">
        <v>45994</v>
      </c>
      <c r="K192" t="inlineStr">
        <is>
          <t>Boleto Bancário</t>
        </is>
      </c>
      <c r="L192" t="inlineStr">
        <is>
          <t>Custo Mercadoria Vendida</t>
        </is>
      </c>
      <c r="M192" t="inlineStr">
        <is>
          <t>Insumos - Alimentos</t>
        </is>
      </c>
      <c r="N192" t="inlineStr">
        <is>
          <t>40630</t>
        </is>
      </c>
      <c r="O192" t="inlineStr">
        <is>
          <t>Documentação Aprovada</t>
        </is>
      </c>
      <c r="P192" t="inlineStr">
        <is>
          <t>Aprovado Diretoria</t>
        </is>
      </c>
      <c r="Q192" t="inlineStr">
        <is>
          <t>Aprovado Caixa</t>
        </is>
      </c>
      <c r="R192" t="inlineStr">
        <is>
          <t>Pago</t>
        </is>
      </c>
      <c r="S192" t="n">
        <v>182</v>
      </c>
      <c r="T192" t="inlineStr">
        <is>
          <t>Love - Shibari - Kamino</t>
        </is>
      </c>
    </row>
    <row r="193">
      <c r="A193" t="n">
        <v>180110</v>
      </c>
      <c r="B193" t="n">
        <v>128</v>
      </c>
      <c r="C193" t="inlineStr">
        <is>
          <t>Love Cabaret</t>
        </is>
      </c>
      <c r="D193" t="inlineStr">
        <is>
          <t>ALLIMENTARI COMERCIO DE PRODUTOS ALIMENTICIOS E SERVICOS LTDA</t>
        </is>
      </c>
      <c r="E193" t="n">
        <v>231.78</v>
      </c>
      <c r="F193" s="27" t="n">
        <v>45999</v>
      </c>
      <c r="G193" s="27" t="n">
        <v>45999</v>
      </c>
      <c r="H193" s="27" t="n">
        <v>45999</v>
      </c>
      <c r="I193" s="27" t="n">
        <v>45962</v>
      </c>
      <c r="J193" s="27" t="n">
        <v>45995</v>
      </c>
      <c r="K193" t="inlineStr">
        <is>
          <t>Boleto Bancário</t>
        </is>
      </c>
      <c r="L193" t="inlineStr">
        <is>
          <t>Custo Mercadoria Vendida</t>
        </is>
      </c>
      <c r="M193" t="inlineStr">
        <is>
          <t>Insumos - Alimentos</t>
        </is>
      </c>
      <c r="N193" t="inlineStr">
        <is>
          <t>31201</t>
        </is>
      </c>
      <c r="O193" t="inlineStr">
        <is>
          <t>Documentação Aprovada</t>
        </is>
      </c>
      <c r="P193" t="inlineStr">
        <is>
          <t>Aprovado Diretoria</t>
        </is>
      </c>
      <c r="Q193" t="inlineStr">
        <is>
          <t>Aprovado Caixa</t>
        </is>
      </c>
      <c r="R193" t="inlineStr">
        <is>
          <t>Pago</t>
        </is>
      </c>
      <c r="S193" t="n">
        <v>182</v>
      </c>
      <c r="T193" t="inlineStr">
        <is>
          <t>Love - Shibari - Kamino</t>
        </is>
      </c>
    </row>
    <row r="194">
      <c r="A194" t="n">
        <v>181179</v>
      </c>
      <c r="B194" t="n">
        <v>128</v>
      </c>
      <c r="C194" t="inlineStr">
        <is>
          <t>Love Cabaret</t>
        </is>
      </c>
      <c r="D194" t="inlineStr">
        <is>
          <t>ESHOWS PROMOCOES ARTISTICAS LTDA</t>
        </is>
      </c>
      <c r="E194" t="n">
        <v>29865</v>
      </c>
      <c r="F194" s="27" t="n">
        <v>45996</v>
      </c>
      <c r="G194" s="27" t="n">
        <v>45999</v>
      </c>
      <c r="H194" s="27" t="n">
        <v>45999</v>
      </c>
      <c r="I194" s="27" t="n">
        <v>45991</v>
      </c>
      <c r="J194" s="27" t="n">
        <v>45996</v>
      </c>
      <c r="K194" t="inlineStr">
        <is>
          <t>Boleto Bancário</t>
        </is>
      </c>
      <c r="L194" t="inlineStr">
        <is>
          <t>Custos Artístico Geral</t>
        </is>
      </c>
      <c r="M194" t="inlineStr">
        <is>
          <t>Cachê de Músicos e Artistas</t>
        </is>
      </c>
      <c r="N194" t="inlineStr">
        <is>
          <t>693912015</t>
        </is>
      </c>
      <c r="O194" t="inlineStr">
        <is>
          <t>Documentação Aprovada</t>
        </is>
      </c>
      <c r="P194" t="inlineStr">
        <is>
          <t>Aprovado Diretoria</t>
        </is>
      </c>
      <c r="Q194" t="inlineStr">
        <is>
          <t>Aprovado Caixa</t>
        </is>
      </c>
      <c r="R194" t="inlineStr">
        <is>
          <t>Pago</t>
        </is>
      </c>
      <c r="S194" t="n">
        <v>182</v>
      </c>
      <c r="T194" t="inlineStr">
        <is>
          <t>Love - Shibari - Kamino</t>
        </is>
      </c>
    </row>
    <row r="195">
      <c r="A195" t="n">
        <v>181176</v>
      </c>
      <c r="B195" t="n">
        <v>128</v>
      </c>
      <c r="C195" t="inlineStr">
        <is>
          <t>Love Cabaret</t>
        </is>
      </c>
      <c r="D195" t="inlineStr">
        <is>
          <t>STEMME TELECOMUNICACOES DO BRASIL LTDA</t>
        </is>
      </c>
      <c r="E195" t="n">
        <v>299.99</v>
      </c>
      <c r="F195" s="27" t="n">
        <v>46001</v>
      </c>
      <c r="G195" s="27" t="n">
        <v>45999</v>
      </c>
      <c r="H195" s="27" t="n">
        <v>45999</v>
      </c>
      <c r="I195" s="27" t="n">
        <v>45991</v>
      </c>
      <c r="J195" s="27" t="n">
        <v>45996</v>
      </c>
      <c r="K195" t="inlineStr">
        <is>
          <t>Boleto Bancário</t>
        </is>
      </c>
      <c r="L195" t="inlineStr">
        <is>
          <t>Informática e TI</t>
        </is>
      </c>
      <c r="M195" t="inlineStr">
        <is>
          <t>Internet</t>
        </is>
      </c>
      <c r="N195" t="inlineStr">
        <is>
          <t>8725</t>
        </is>
      </c>
      <c r="O195" t="inlineStr">
        <is>
          <t>Documentação Aprovada</t>
        </is>
      </c>
      <c r="P195" t="inlineStr">
        <is>
          <t>Aprovado Diretoria</t>
        </is>
      </c>
      <c r="Q195" t="inlineStr">
        <is>
          <t>Aprovado Caixa</t>
        </is>
      </c>
      <c r="R195" t="inlineStr">
        <is>
          <t>Pago</t>
        </is>
      </c>
      <c r="S195" t="n">
        <v>182</v>
      </c>
      <c r="T195" t="inlineStr">
        <is>
          <t>Love - Shibari - Kamino</t>
        </is>
      </c>
    </row>
    <row r="196">
      <c r="A196" t="n">
        <v>181087</v>
      </c>
      <c r="B196" t="n">
        <v>128</v>
      </c>
      <c r="C196" t="inlineStr">
        <is>
          <t>Love Cabaret</t>
        </is>
      </c>
      <c r="D196" t="inlineStr">
        <is>
          <t>ESTAFF SOLUCOES TECNOLOGICAS DE AGENCIAMENTO LTDA</t>
        </is>
      </c>
      <c r="E196" t="n">
        <v>22269.5</v>
      </c>
      <c r="F196" s="27" t="n">
        <v>46001</v>
      </c>
      <c r="G196" s="27" t="n">
        <v>45999</v>
      </c>
      <c r="H196" s="27" t="n">
        <v>45999</v>
      </c>
      <c r="I196" s="27" t="n">
        <v>45991</v>
      </c>
      <c r="J196" s="27" t="n">
        <v>45995</v>
      </c>
      <c r="K196" t="inlineStr">
        <is>
          <t>Boleto Bancário</t>
        </is>
      </c>
      <c r="L196" t="inlineStr">
        <is>
          <t>Mão de Obra - Extra</t>
        </is>
      </c>
      <c r="M196" t="inlineStr">
        <is>
          <t>Mão de Obra Extra</t>
        </is>
      </c>
      <c r="N196" t="inlineStr">
        <is>
          <t>690835785</t>
        </is>
      </c>
      <c r="O196" t="inlineStr">
        <is>
          <t>Documentação Aprovada</t>
        </is>
      </c>
      <c r="P196" t="inlineStr">
        <is>
          <t>Aprovado Diretoria</t>
        </is>
      </c>
      <c r="Q196" t="inlineStr">
        <is>
          <t>Aprovado Caixa</t>
        </is>
      </c>
      <c r="R196" t="inlineStr">
        <is>
          <t>Pago</t>
        </is>
      </c>
      <c r="S196" t="n">
        <v>182</v>
      </c>
      <c r="T196" t="inlineStr">
        <is>
          <t>Love - Shibari - Kamino</t>
        </is>
      </c>
    </row>
    <row r="197">
      <c r="A197" t="n">
        <v>180106</v>
      </c>
      <c r="B197" t="n">
        <v>128</v>
      </c>
      <c r="C197" t="inlineStr">
        <is>
          <t>Love Cabaret</t>
        </is>
      </c>
      <c r="D197" t="inlineStr">
        <is>
          <t>MULTIFRANGOS COMERCIO DE ALIMENTOS LTDA</t>
        </is>
      </c>
      <c r="E197" t="n">
        <v>329.85</v>
      </c>
      <c r="F197" s="27" t="n">
        <v>46000</v>
      </c>
      <c r="G197" s="27" t="n">
        <v>45999</v>
      </c>
      <c r="H197" s="27" t="n">
        <v>45999</v>
      </c>
      <c r="I197" s="27" t="n">
        <v>45986</v>
      </c>
      <c r="J197" s="27" t="n">
        <v>45995</v>
      </c>
      <c r="K197" t="inlineStr">
        <is>
          <t>Boleto Bancário</t>
        </is>
      </c>
      <c r="L197" t="inlineStr">
        <is>
          <t>Custo Mercadoria Vendida</t>
        </is>
      </c>
      <c r="M197" t="inlineStr">
        <is>
          <t>Insumos - Alimentos</t>
        </is>
      </c>
      <c r="N197" t="inlineStr">
        <is>
          <t>930309</t>
        </is>
      </c>
      <c r="O197" t="inlineStr">
        <is>
          <t>Documentação Aprovada</t>
        </is>
      </c>
      <c r="P197" t="inlineStr">
        <is>
          <t>Aprovado Diretoria</t>
        </is>
      </c>
      <c r="Q197" t="inlineStr">
        <is>
          <t>Aprovado Caixa</t>
        </is>
      </c>
      <c r="R197" t="inlineStr">
        <is>
          <t>Pago</t>
        </is>
      </c>
      <c r="S197" t="n">
        <v>182</v>
      </c>
      <c r="T197" t="inlineStr">
        <is>
          <t>Love - Shibari - Kamino</t>
        </is>
      </c>
    </row>
    <row r="198">
      <c r="A198" t="n">
        <v>180113</v>
      </c>
      <c r="B198" t="n">
        <v>128</v>
      </c>
      <c r="C198" t="inlineStr">
        <is>
          <t>Love Cabaret</t>
        </is>
      </c>
      <c r="D198" t="inlineStr">
        <is>
          <t>EDUARDO JOSE DA SILVA DISTRIBUIÇÃO DE PRODUTOS ALIMENTICIOS</t>
        </is>
      </c>
      <c r="E198" t="n">
        <v>327.6</v>
      </c>
      <c r="F198" s="27" t="n">
        <v>46001</v>
      </c>
      <c r="G198" s="27" t="n">
        <v>45999</v>
      </c>
      <c r="H198" s="27" t="n">
        <v>45999</v>
      </c>
      <c r="I198" s="27" t="n">
        <v>45987</v>
      </c>
      <c r="J198" s="27" t="n">
        <v>45995</v>
      </c>
      <c r="K198" t="inlineStr">
        <is>
          <t>Boleto Bancário</t>
        </is>
      </c>
      <c r="L198" t="inlineStr">
        <is>
          <t>Custo Mercadoria Vendida</t>
        </is>
      </c>
      <c r="M198" t="inlineStr">
        <is>
          <t>Insumos - Alimentos</t>
        </is>
      </c>
      <c r="N198" t="inlineStr">
        <is>
          <t>142094</t>
        </is>
      </c>
      <c r="O198" t="inlineStr">
        <is>
          <t>Documentação Aprovada</t>
        </is>
      </c>
      <c r="P198" t="inlineStr">
        <is>
          <t>Aprovado Diretoria</t>
        </is>
      </c>
      <c r="Q198" t="inlineStr">
        <is>
          <t>Aprovado Caixa</t>
        </is>
      </c>
      <c r="R198" t="inlineStr">
        <is>
          <t>Pago</t>
        </is>
      </c>
      <c r="S198" t="n">
        <v>182</v>
      </c>
      <c r="T198" t="inlineStr">
        <is>
          <t>Love - Shibari - Kamino</t>
        </is>
      </c>
    </row>
    <row r="199">
      <c r="A199" t="n">
        <v>179782</v>
      </c>
      <c r="B199" t="n">
        <v>128</v>
      </c>
      <c r="C199" t="inlineStr">
        <is>
          <t>Love Cabaret</t>
        </is>
      </c>
      <c r="D199" t="inlineStr">
        <is>
          <t>MALKA JULIETA BIJELLI FERREIRA</t>
        </is>
      </c>
      <c r="E199" t="n">
        <v>600</v>
      </c>
      <c r="F199" s="27" t="n">
        <v>46001</v>
      </c>
      <c r="G199" s="27" t="n">
        <v>45999</v>
      </c>
      <c r="H199" s="27" t="n">
        <v>45999</v>
      </c>
      <c r="I199" s="27" t="n">
        <v>45966</v>
      </c>
      <c r="J199" s="27" t="n">
        <v>45994</v>
      </c>
      <c r="K199" t="inlineStr">
        <is>
          <t>Transferência Bancária ou Pix</t>
        </is>
      </c>
      <c r="L199" t="inlineStr">
        <is>
          <t>Custos Artístico Geral</t>
        </is>
      </c>
      <c r="M199" t="inlineStr">
        <is>
          <t>MDO Terceirizada - Artístico</t>
        </is>
      </c>
      <c r="N199" t="inlineStr">
        <is>
          <t>31</t>
        </is>
      </c>
      <c r="O199" t="inlineStr">
        <is>
          <t>Documentação Aprovada</t>
        </is>
      </c>
      <c r="P199" t="inlineStr">
        <is>
          <t>Aprovado Diretoria</t>
        </is>
      </c>
      <c r="Q199" t="inlineStr">
        <is>
          <t>Aprovado Caixa</t>
        </is>
      </c>
      <c r="R199" t="inlineStr">
        <is>
          <t>Pago</t>
        </is>
      </c>
      <c r="S199" t="n">
        <v>182</v>
      </c>
      <c r="T199" t="inlineStr">
        <is>
          <t>Love - Shibari - Kamino</t>
        </is>
      </c>
    </row>
    <row r="200">
      <c r="A200" t="n">
        <v>178084</v>
      </c>
      <c r="B200" t="n">
        <v>128</v>
      </c>
      <c r="C200" t="inlineStr">
        <is>
          <t>Love Cabaret</t>
        </is>
      </c>
      <c r="D200" t="inlineStr">
        <is>
          <t>PSSS LTDA</t>
        </is>
      </c>
      <c r="E200" t="n">
        <v>160</v>
      </c>
      <c r="F200" s="27" t="n">
        <v>45997</v>
      </c>
      <c r="G200" s="27" t="n">
        <v>45999</v>
      </c>
      <c r="H200" s="27" t="n">
        <v>45999</v>
      </c>
      <c r="I200" s="27" t="n">
        <v>45981</v>
      </c>
      <c r="J200" s="27" t="n">
        <v>45987</v>
      </c>
      <c r="K200" t="inlineStr">
        <is>
          <t>Boleto Bancário</t>
        </is>
      </c>
      <c r="L200" t="inlineStr">
        <is>
          <t>Utilidades</t>
        </is>
      </c>
      <c r="M200" t="inlineStr">
        <is>
          <t>Higiene e Limpeza</t>
        </is>
      </c>
      <c r="N200" t="inlineStr">
        <is>
          <t>2679</t>
        </is>
      </c>
      <c r="O200" t="inlineStr">
        <is>
          <t>Documentação Aprovada</t>
        </is>
      </c>
      <c r="P200" t="inlineStr">
        <is>
          <t>Aprovado Diretoria</t>
        </is>
      </c>
      <c r="Q200" t="inlineStr">
        <is>
          <t>Aprovado Caixa</t>
        </is>
      </c>
      <c r="R200" t="inlineStr">
        <is>
          <t>Pago</t>
        </is>
      </c>
      <c r="S200" t="n">
        <v>182</v>
      </c>
      <c r="T200" t="inlineStr">
        <is>
          <t>Love - Shibari - Kamino</t>
        </is>
      </c>
    </row>
    <row r="201">
      <c r="A201" t="n">
        <v>178081</v>
      </c>
      <c r="B201" t="n">
        <v>128</v>
      </c>
      <c r="C201" t="inlineStr">
        <is>
          <t>Love Cabaret</t>
        </is>
      </c>
      <c r="D201" t="inlineStr">
        <is>
          <t>BATARD PADARIA ARTESANAL LTDA</t>
        </is>
      </c>
      <c r="E201" t="n">
        <v>168</v>
      </c>
      <c r="F201" s="27" t="n">
        <v>45997</v>
      </c>
      <c r="G201" s="27" t="n">
        <v>45999</v>
      </c>
      <c r="H201" s="27" t="n">
        <v>45999</v>
      </c>
      <c r="I201" s="27" t="n">
        <v>45980</v>
      </c>
      <c r="J201" s="27" t="n">
        <v>45987</v>
      </c>
      <c r="K201" t="inlineStr">
        <is>
          <t>Boleto Bancário</t>
        </is>
      </c>
      <c r="L201" t="inlineStr">
        <is>
          <t>Custo Mercadoria Vendida</t>
        </is>
      </c>
      <c r="M201" t="inlineStr">
        <is>
          <t>Insumos - Alimentos</t>
        </is>
      </c>
      <c r="N201" t="inlineStr">
        <is>
          <t>12590</t>
        </is>
      </c>
      <c r="O201" t="inlineStr">
        <is>
          <t>Documentação Aprovada</t>
        </is>
      </c>
      <c r="P201" t="inlineStr">
        <is>
          <t>Aprovado Diretoria</t>
        </is>
      </c>
      <c r="Q201" t="inlineStr">
        <is>
          <t>Aprovado Caixa</t>
        </is>
      </c>
      <c r="R201" t="inlineStr">
        <is>
          <t>Pago</t>
        </is>
      </c>
      <c r="S201" t="n">
        <v>182</v>
      </c>
      <c r="T201" t="inlineStr">
        <is>
          <t>Love - Shibari - Kamino</t>
        </is>
      </c>
    </row>
    <row r="202">
      <c r="A202" t="n">
        <v>177839</v>
      </c>
      <c r="B202" t="n">
        <v>128</v>
      </c>
      <c r="C202" t="inlineStr">
        <is>
          <t>Love Cabaret</t>
        </is>
      </c>
      <c r="D202" t="inlineStr">
        <is>
          <t>CICLO PARTICIPACOES LTDA</t>
        </is>
      </c>
      <c r="E202" t="n">
        <v>32594.19</v>
      </c>
      <c r="F202" s="27" t="n">
        <v>46001</v>
      </c>
      <c r="G202" s="27" t="n">
        <v>45999</v>
      </c>
      <c r="H202" s="27" t="n">
        <v>45999</v>
      </c>
      <c r="I202" s="27" t="n">
        <v>45984</v>
      </c>
      <c r="J202" s="27" t="n">
        <v>45987</v>
      </c>
      <c r="K202" t="inlineStr">
        <is>
          <t>Boleto Bancário</t>
        </is>
      </c>
      <c r="L202" t="inlineStr">
        <is>
          <t>Custo de Ocupação</t>
        </is>
      </c>
      <c r="M202" t="inlineStr">
        <is>
          <t>Aluguel de Imoveis</t>
        </is>
      </c>
      <c r="N202" t="inlineStr">
        <is>
          <t>112025</t>
        </is>
      </c>
      <c r="O202" t="inlineStr">
        <is>
          <t>Documentação Aprovada</t>
        </is>
      </c>
      <c r="P202" t="inlineStr">
        <is>
          <t>Aprovado Diretoria</t>
        </is>
      </c>
      <c r="Q202" t="inlineStr">
        <is>
          <t>Aprovado Caixa</t>
        </is>
      </c>
      <c r="R202" t="inlineStr">
        <is>
          <t>Pago</t>
        </is>
      </c>
      <c r="S202" t="n">
        <v>182</v>
      </c>
      <c r="T202" t="inlineStr">
        <is>
          <t>Love - Shibari - Kamino</t>
        </is>
      </c>
    </row>
    <row r="203">
      <c r="A203" t="n">
        <v>179139</v>
      </c>
      <c r="B203" t="n">
        <v>128</v>
      </c>
      <c r="C203" t="inlineStr">
        <is>
          <t>Love Cabaret</t>
        </is>
      </c>
      <c r="D203" t="inlineStr">
        <is>
          <t>PSSS LTDA</t>
        </is>
      </c>
      <c r="E203" t="n">
        <v>678.5</v>
      </c>
      <c r="F203" s="27" t="n">
        <v>46001</v>
      </c>
      <c r="G203" s="27" t="n">
        <v>45999</v>
      </c>
      <c r="H203" s="27" t="n">
        <v>45999</v>
      </c>
      <c r="I203" s="27" t="n">
        <v>45988</v>
      </c>
      <c r="J203" s="27" t="n">
        <v>45991</v>
      </c>
      <c r="K203" t="inlineStr">
        <is>
          <t>Boleto Bancário</t>
        </is>
      </c>
      <c r="L203" t="inlineStr">
        <is>
          <t>Utilidades</t>
        </is>
      </c>
      <c r="M203" t="inlineStr">
        <is>
          <t>Higiene e Limpeza</t>
        </is>
      </c>
      <c r="N203" t="inlineStr">
        <is>
          <t>2715</t>
        </is>
      </c>
      <c r="O203" t="inlineStr">
        <is>
          <t>Documentação Aprovada</t>
        </is>
      </c>
      <c r="P203" t="inlineStr">
        <is>
          <t>Aprovado Diretoria</t>
        </is>
      </c>
      <c r="Q203" t="inlineStr">
        <is>
          <t>Aprovado Caixa</t>
        </is>
      </c>
      <c r="R203" t="inlineStr">
        <is>
          <t>Pago</t>
        </is>
      </c>
      <c r="S203" t="n">
        <v>182</v>
      </c>
      <c r="T203" t="inlineStr">
        <is>
          <t>Love - Shibari - Kamino</t>
        </is>
      </c>
    </row>
    <row r="204">
      <c r="A204" t="n">
        <v>179145</v>
      </c>
      <c r="B204" t="n">
        <v>128</v>
      </c>
      <c r="C204" t="inlineStr">
        <is>
          <t>Love Cabaret</t>
        </is>
      </c>
      <c r="D204" t="inlineStr">
        <is>
          <t>PARAMU COMERCIO E REPRESENTACAO DE PRODUTOS ALIMENTICIOS</t>
        </is>
      </c>
      <c r="E204" t="n">
        <v>168.3</v>
      </c>
      <c r="F204" s="27" t="n">
        <v>45999</v>
      </c>
      <c r="G204" s="27" t="n">
        <v>45999</v>
      </c>
      <c r="H204" s="27" t="n">
        <v>45999</v>
      </c>
      <c r="I204" s="27" t="n">
        <v>45988</v>
      </c>
      <c r="J204" s="27" t="n">
        <v>45992</v>
      </c>
      <c r="K204" t="inlineStr">
        <is>
          <t>Boleto Bancário</t>
        </is>
      </c>
      <c r="L204" t="inlineStr">
        <is>
          <t>Custo Mercadoria Vendida</t>
        </is>
      </c>
      <c r="M204" t="inlineStr">
        <is>
          <t>Insumos - Alimentos</t>
        </is>
      </c>
      <c r="N204" t="inlineStr">
        <is>
          <t>16122</t>
        </is>
      </c>
      <c r="O204" t="inlineStr">
        <is>
          <t>Documentação Aprovada</t>
        </is>
      </c>
      <c r="P204" t="inlineStr">
        <is>
          <t>Aprovado Diretoria</t>
        </is>
      </c>
      <c r="Q204" t="inlineStr">
        <is>
          <t>Aprovado Caixa</t>
        </is>
      </c>
      <c r="R204" t="inlineStr">
        <is>
          <t>Pago</t>
        </is>
      </c>
      <c r="S204" t="n">
        <v>182</v>
      </c>
      <c r="T204" t="inlineStr">
        <is>
          <t>Love - Shibari - Kamino</t>
        </is>
      </c>
    </row>
    <row r="205">
      <c r="A205" t="n">
        <v>154526</v>
      </c>
      <c r="B205" t="n">
        <v>128</v>
      </c>
      <c r="C205" t="inlineStr">
        <is>
          <t>Love Cabaret</t>
        </is>
      </c>
      <c r="D205" t="inlineStr">
        <is>
          <t>SEGUROS SURA S/A</t>
        </is>
      </c>
      <c r="E205" t="n">
        <v>229.26</v>
      </c>
      <c r="F205" s="27" t="n">
        <v>46001</v>
      </c>
      <c r="G205" s="27" t="n">
        <v>45999</v>
      </c>
      <c r="H205" s="27" t="n">
        <v>45999</v>
      </c>
      <c r="I205" s="27" t="n">
        <v>46004</v>
      </c>
      <c r="J205" s="27" t="n"/>
      <c r="K205" t="inlineStr">
        <is>
          <t>Transferência Bancária ou Pix</t>
        </is>
      </c>
      <c r="L205" t="inlineStr">
        <is>
          <t>Custo de Ocupação</t>
        </is>
      </c>
      <c r="M205" t="inlineStr">
        <is>
          <t>Seguro Patrimonial</t>
        </is>
      </c>
      <c r="N205" t="inlineStr">
        <is>
          <t>PARC 5/6</t>
        </is>
      </c>
      <c r="O205" t="inlineStr">
        <is>
          <t>Documentação Aprovada</t>
        </is>
      </c>
      <c r="P205" t="inlineStr">
        <is>
          <t>Aprovado Diretoria</t>
        </is>
      </c>
      <c r="Q205" t="inlineStr">
        <is>
          <t>Aprovado Caixa</t>
        </is>
      </c>
      <c r="R205" t="inlineStr">
        <is>
          <t>Pago</t>
        </is>
      </c>
      <c r="S205" t="n">
        <v>182</v>
      </c>
      <c r="T205" t="inlineStr">
        <is>
          <t>Love - Shibari - Kamino</t>
        </is>
      </c>
    </row>
    <row r="206">
      <c r="A206" t="n">
        <v>159876</v>
      </c>
      <c r="B206" t="n">
        <v>128</v>
      </c>
      <c r="C206" t="inlineStr">
        <is>
          <t>Love Cabaret</t>
        </is>
      </c>
      <c r="D206" t="inlineStr">
        <is>
          <t>GET IN TECNOLOGIA S.A.</t>
        </is>
      </c>
      <c r="E206" t="n">
        <v>957.6</v>
      </c>
      <c r="F206" s="27" t="n">
        <v>46000</v>
      </c>
      <c r="G206" s="27" t="n">
        <v>45999</v>
      </c>
      <c r="H206" s="27" t="n">
        <v>45999</v>
      </c>
      <c r="I206" s="27" t="n">
        <v>45999</v>
      </c>
      <c r="J206" s="27" t="n"/>
      <c r="K206" t="inlineStr">
        <is>
          <t>Boleto Bancário</t>
        </is>
      </c>
      <c r="L206" t="inlineStr">
        <is>
          <t>Informática e TI</t>
        </is>
      </c>
      <c r="M206" t="inlineStr">
        <is>
          <t>Sistemas Gerais - Comunicação e Marketing</t>
        </is>
      </c>
      <c r="O206" t="inlineStr">
        <is>
          <t>Documentação Aprovada</t>
        </is>
      </c>
      <c r="P206" t="inlineStr">
        <is>
          <t>Aprovado Diretoria</t>
        </is>
      </c>
      <c r="Q206" t="inlineStr">
        <is>
          <t>Aprovado Caixa</t>
        </is>
      </c>
      <c r="R206" t="inlineStr">
        <is>
          <t>Pago</t>
        </is>
      </c>
      <c r="S206" t="n">
        <v>182</v>
      </c>
      <c r="T206" t="inlineStr">
        <is>
          <t>Love - Shibari - Kamino</t>
        </is>
      </c>
    </row>
    <row r="207">
      <c r="A207" t="n">
        <v>175824</v>
      </c>
      <c r="B207" t="n">
        <v>128</v>
      </c>
      <c r="C207" t="inlineStr">
        <is>
          <t>Love Cabaret</t>
        </is>
      </c>
      <c r="D207" t="inlineStr">
        <is>
          <t>PROAUTO INDUSTRIA QUIMICA EIRELI</t>
        </is>
      </c>
      <c r="E207" t="n">
        <v>1412.37</v>
      </c>
      <c r="F207" s="27" t="n">
        <v>45999</v>
      </c>
      <c r="G207" s="27" t="n">
        <v>45999</v>
      </c>
      <c r="H207" s="27" t="n">
        <v>45999</v>
      </c>
      <c r="I207" s="27" t="n">
        <v>45971</v>
      </c>
      <c r="J207" s="27" t="n">
        <v>45975</v>
      </c>
      <c r="K207" t="inlineStr">
        <is>
          <t>Boleto Bancário</t>
        </is>
      </c>
      <c r="L207" t="inlineStr">
        <is>
          <t>Utilidades</t>
        </is>
      </c>
      <c r="M207" t="inlineStr">
        <is>
          <t>Higiene e Limpeza</t>
        </is>
      </c>
      <c r="N207" t="inlineStr">
        <is>
          <t>147390</t>
        </is>
      </c>
      <c r="O207" t="inlineStr">
        <is>
          <t>Documentação Aprovada</t>
        </is>
      </c>
      <c r="P207" t="inlineStr">
        <is>
          <t>Aprovado Diretoria</t>
        </is>
      </c>
      <c r="Q207" t="inlineStr">
        <is>
          <t>Aprovado Caixa</t>
        </is>
      </c>
      <c r="R207" t="inlineStr">
        <is>
          <t>Pago</t>
        </is>
      </c>
      <c r="S207" t="n">
        <v>182</v>
      </c>
      <c r="T207" t="inlineStr">
        <is>
          <t>Love - Shibari - Kamino</t>
        </is>
      </c>
    </row>
    <row r="208">
      <c r="A208" t="n">
        <v>175820</v>
      </c>
      <c r="B208" t="n">
        <v>128</v>
      </c>
      <c r="C208" t="inlineStr">
        <is>
          <t>Love Cabaret</t>
        </is>
      </c>
      <c r="D208" t="inlineStr">
        <is>
          <t>WPP COMERCIO DE CARNES LTDA</t>
        </is>
      </c>
      <c r="E208" t="n">
        <v>390.6</v>
      </c>
      <c r="F208" s="27" t="n">
        <v>46000</v>
      </c>
      <c r="G208" s="27" t="n">
        <v>45999</v>
      </c>
      <c r="H208" s="27" t="n">
        <v>45999</v>
      </c>
      <c r="I208" s="27" t="n">
        <v>45972</v>
      </c>
      <c r="J208" s="27" t="n">
        <v>45975</v>
      </c>
      <c r="K208" t="inlineStr">
        <is>
          <t>Boleto Bancário</t>
        </is>
      </c>
      <c r="L208" t="inlineStr">
        <is>
          <t>Custo Mercadoria Vendida</t>
        </is>
      </c>
      <c r="M208" t="inlineStr">
        <is>
          <t>Insumos - Alimentos</t>
        </is>
      </c>
      <c r="N208" t="inlineStr">
        <is>
          <t>75532</t>
        </is>
      </c>
      <c r="O208" t="inlineStr">
        <is>
          <t>Documentação Aprovada</t>
        </is>
      </c>
      <c r="P208" t="inlineStr">
        <is>
          <t>Aprovado Diretoria</t>
        </is>
      </c>
      <c r="Q208" t="inlineStr">
        <is>
          <t>Aprovado Caixa</t>
        </is>
      </c>
      <c r="R208" t="inlineStr">
        <is>
          <t>Pago</t>
        </is>
      </c>
      <c r="S208" t="n">
        <v>182</v>
      </c>
      <c r="T208" t="inlineStr">
        <is>
          <t>Love - Shibari - Kamino</t>
        </is>
      </c>
    </row>
    <row r="209">
      <c r="A209" t="n">
        <v>175819</v>
      </c>
      <c r="B209" t="n">
        <v>128</v>
      </c>
      <c r="C209" t="inlineStr">
        <is>
          <t>Love Cabaret</t>
        </is>
      </c>
      <c r="D209" t="inlineStr">
        <is>
          <t>MARIO PEDRO FELICIANO - HORTIFRUTI</t>
        </is>
      </c>
      <c r="E209" t="n">
        <v>62.07</v>
      </c>
      <c r="F209" s="27" t="n">
        <v>45999</v>
      </c>
      <c r="G209" s="27" t="n">
        <v>45999</v>
      </c>
      <c r="H209" s="27" t="n">
        <v>45999</v>
      </c>
      <c r="I209" s="27" t="n">
        <v>45971</v>
      </c>
      <c r="J209" s="27" t="n">
        <v>45975</v>
      </c>
      <c r="K209" t="inlineStr">
        <is>
          <t>Boleto Bancário</t>
        </is>
      </c>
      <c r="L209" t="inlineStr">
        <is>
          <t>Custo Mercadoria Vendida</t>
        </is>
      </c>
      <c r="M209" t="inlineStr">
        <is>
          <t>Insumos - Alimentos</t>
        </is>
      </c>
      <c r="N209" t="inlineStr">
        <is>
          <t>458269</t>
        </is>
      </c>
      <c r="O209" t="inlineStr">
        <is>
          <t>Documentação Aprovada</t>
        </is>
      </c>
      <c r="P209" t="inlineStr">
        <is>
          <t>Aprovado Diretoria</t>
        </is>
      </c>
      <c r="Q209" t="inlineStr">
        <is>
          <t>Aprovado Caixa</t>
        </is>
      </c>
      <c r="R209" t="inlineStr">
        <is>
          <t>Pago</t>
        </is>
      </c>
      <c r="S209" t="n">
        <v>182</v>
      </c>
      <c r="T209" t="inlineStr">
        <is>
          <t>Love - Shibari - Kamino</t>
        </is>
      </c>
    </row>
    <row r="210">
      <c r="A210" t="n">
        <v>170264</v>
      </c>
      <c r="B210" t="n">
        <v>128</v>
      </c>
      <c r="C210" t="inlineStr">
        <is>
          <t>Love Cabaret</t>
        </is>
      </c>
      <c r="D210" t="inlineStr">
        <is>
          <t xml:space="preserve">MVE DELEZARI REP MANUT PREV INCEND </t>
        </is>
      </c>
      <c r="E210" t="n">
        <v>2205</v>
      </c>
      <c r="F210" s="27" t="n">
        <v>45997</v>
      </c>
      <c r="G210" s="27" t="n">
        <v>45999</v>
      </c>
      <c r="H210" s="27" t="n">
        <v>45999</v>
      </c>
      <c r="I210" s="27" t="n">
        <v>45957</v>
      </c>
      <c r="J210" s="27" t="n">
        <v>45958</v>
      </c>
      <c r="K210" t="inlineStr">
        <is>
          <t>Boleto Bancário</t>
        </is>
      </c>
      <c r="L210" t="inlineStr">
        <is>
          <t>Manutenção</t>
        </is>
      </c>
      <c r="M210" t="inlineStr">
        <is>
          <t>Manutenção de Equipamentos</t>
        </is>
      </c>
      <c r="N210" t="inlineStr">
        <is>
          <t>125</t>
        </is>
      </c>
      <c r="O210" t="inlineStr">
        <is>
          <t>Documentação Aprovada</t>
        </is>
      </c>
      <c r="P210" t="inlineStr">
        <is>
          <t>Aprovado Diretoria</t>
        </is>
      </c>
      <c r="Q210" t="inlineStr">
        <is>
          <t>Aprovado Caixa</t>
        </is>
      </c>
      <c r="R210" t="inlineStr">
        <is>
          <t>Pago</t>
        </is>
      </c>
      <c r="S210" t="n">
        <v>182</v>
      </c>
      <c r="T210" t="inlineStr">
        <is>
          <t>Love - Shibari - Kamino</t>
        </is>
      </c>
    </row>
    <row r="211">
      <c r="A211" t="n">
        <v>172572</v>
      </c>
      <c r="B211" t="n">
        <v>128</v>
      </c>
      <c r="C211" t="inlineStr">
        <is>
          <t>Love Cabaret</t>
        </is>
      </c>
      <c r="D211" t="inlineStr">
        <is>
          <t>PJ 00352023 - JESSICA IZABEL DE SOUZA</t>
        </is>
      </c>
      <c r="E211" t="n">
        <v>1250</v>
      </c>
      <c r="F211" s="27" t="n">
        <v>46001</v>
      </c>
      <c r="G211" s="27" t="n">
        <v>45999</v>
      </c>
      <c r="H211" s="27" t="n">
        <v>45999</v>
      </c>
      <c r="I211" s="27" t="n">
        <v>45962</v>
      </c>
      <c r="J211" s="27" t="n">
        <v>45966</v>
      </c>
      <c r="K211" t="inlineStr">
        <is>
          <t>Transferência Bancária ou Pix</t>
        </is>
      </c>
      <c r="L211" t="inlineStr">
        <is>
          <t>Mão de Obra - PJ</t>
        </is>
      </c>
      <c r="M211" t="inlineStr">
        <is>
          <t>MDO PJ Fixo</t>
        </is>
      </c>
      <c r="N211" t="inlineStr">
        <is>
          <t>100</t>
        </is>
      </c>
      <c r="O211" t="inlineStr">
        <is>
          <t>Documentação Aprovada</t>
        </is>
      </c>
      <c r="P211" t="inlineStr">
        <is>
          <t>Aprovado Diretoria</t>
        </is>
      </c>
      <c r="Q211" t="inlineStr">
        <is>
          <t>Aprovado Caixa</t>
        </is>
      </c>
      <c r="R211" t="inlineStr">
        <is>
          <t>Pago</t>
        </is>
      </c>
      <c r="S211" t="n">
        <v>182</v>
      </c>
      <c r="T211" t="inlineStr">
        <is>
          <t>Love - Shibari - Kamino</t>
        </is>
      </c>
    </row>
    <row r="212">
      <c r="A212" t="n">
        <v>172571</v>
      </c>
      <c r="B212" t="n">
        <v>128</v>
      </c>
      <c r="C212" t="inlineStr">
        <is>
          <t>Love Cabaret</t>
        </is>
      </c>
      <c r="D212" t="inlineStr">
        <is>
          <t>PJ 00492024 - ISABELLA FERNANDES GOMES</t>
        </is>
      </c>
      <c r="E212" t="n">
        <v>1200</v>
      </c>
      <c r="F212" s="27" t="n">
        <v>46001</v>
      </c>
      <c r="G212" s="27" t="n">
        <v>45999</v>
      </c>
      <c r="H212" s="27" t="n">
        <v>45999</v>
      </c>
      <c r="I212" s="27" t="n">
        <v>45962</v>
      </c>
      <c r="J212" s="27" t="n">
        <v>45966</v>
      </c>
      <c r="K212" t="inlineStr">
        <is>
          <t>Transferência Bancária ou Pix</t>
        </is>
      </c>
      <c r="L212" t="inlineStr">
        <is>
          <t>Mão de Obra - PJ</t>
        </is>
      </c>
      <c r="M212" t="inlineStr">
        <is>
          <t>MDO PJ Fixo</t>
        </is>
      </c>
      <c r="N212" t="inlineStr">
        <is>
          <t>68</t>
        </is>
      </c>
      <c r="O212" t="inlineStr">
        <is>
          <t>Documentação Aprovada</t>
        </is>
      </c>
      <c r="P212" t="inlineStr">
        <is>
          <t>Aprovado Diretoria</t>
        </is>
      </c>
      <c r="Q212" t="inlineStr">
        <is>
          <t>Aprovado Caixa</t>
        </is>
      </c>
      <c r="R212" t="inlineStr">
        <is>
          <t>Pago</t>
        </is>
      </c>
      <c r="S212" t="n">
        <v>182</v>
      </c>
      <c r="T212" t="inlineStr">
        <is>
          <t>Love - Shibari - Kamino</t>
        </is>
      </c>
    </row>
    <row r="213">
      <c r="A213" t="n">
        <v>172573</v>
      </c>
      <c r="B213" t="n">
        <v>128</v>
      </c>
      <c r="C213" t="inlineStr">
        <is>
          <t>Love Cabaret</t>
        </is>
      </c>
      <c r="D213" t="inlineStr">
        <is>
          <t>JULIA BAISCH FRANZ 02463978023</t>
        </is>
      </c>
      <c r="E213" t="n">
        <v>8500</v>
      </c>
      <c r="F213" s="27" t="n">
        <v>46001</v>
      </c>
      <c r="G213" s="27" t="n">
        <v>45999</v>
      </c>
      <c r="H213" s="27" t="n">
        <v>45999</v>
      </c>
      <c r="I213" s="27" t="n">
        <v>45962</v>
      </c>
      <c r="J213" s="27" t="n">
        <v>45966</v>
      </c>
      <c r="K213" t="inlineStr">
        <is>
          <t>Transferência Bancária ou Pix</t>
        </is>
      </c>
      <c r="L213" t="inlineStr">
        <is>
          <t>Custos Artístico Geral</t>
        </is>
      </c>
      <c r="M213" t="inlineStr">
        <is>
          <t>Técnico de Som / Luz</t>
        </is>
      </c>
      <c r="N213" t="inlineStr">
        <is>
          <t>18</t>
        </is>
      </c>
      <c r="O213" t="inlineStr">
        <is>
          <t>Documentação Aprovada</t>
        </is>
      </c>
      <c r="P213" t="inlineStr">
        <is>
          <t>Aprovado Diretoria</t>
        </is>
      </c>
      <c r="Q213" t="inlineStr">
        <is>
          <t>Aprovado Caixa</t>
        </is>
      </c>
      <c r="R213" t="inlineStr">
        <is>
          <t>Pago</t>
        </is>
      </c>
      <c r="S213" t="n">
        <v>182</v>
      </c>
      <c r="T213" t="inlineStr">
        <is>
          <t>Love - Shibari - Kamino</t>
        </is>
      </c>
    </row>
    <row r="214">
      <c r="A214" t="n">
        <v>172575</v>
      </c>
      <c r="B214" t="n">
        <v>128</v>
      </c>
      <c r="C214" t="inlineStr">
        <is>
          <t>Love Cabaret</t>
        </is>
      </c>
      <c r="D214" t="inlineStr">
        <is>
          <t xml:space="preserve">PJ 00452023 LAISA ROCHA LARANGEIRA </t>
        </is>
      </c>
      <c r="E214" t="n">
        <v>1600</v>
      </c>
      <c r="F214" s="27" t="n">
        <v>46001</v>
      </c>
      <c r="G214" s="27" t="n">
        <v>45999</v>
      </c>
      <c r="H214" s="27" t="n">
        <v>45999</v>
      </c>
      <c r="I214" s="27" t="n">
        <v>45962</v>
      </c>
      <c r="J214" s="27" t="n">
        <v>45966</v>
      </c>
      <c r="K214" t="inlineStr">
        <is>
          <t>Transferência Bancária ou Pix</t>
        </is>
      </c>
      <c r="L214" t="inlineStr">
        <is>
          <t>Mão de Obra - PJ</t>
        </is>
      </c>
      <c r="M214" t="inlineStr">
        <is>
          <t>MDO PJ Fixo</t>
        </is>
      </c>
      <c r="N214" t="inlineStr">
        <is>
          <t>94</t>
        </is>
      </c>
      <c r="O214" t="inlineStr">
        <is>
          <t>Documentação Aprovada</t>
        </is>
      </c>
      <c r="P214" t="inlineStr">
        <is>
          <t>Aprovado Diretoria</t>
        </is>
      </c>
      <c r="Q214" t="inlineStr">
        <is>
          <t>Aprovado Caixa</t>
        </is>
      </c>
      <c r="R214" t="inlineStr">
        <is>
          <t>Pago</t>
        </is>
      </c>
      <c r="S214" t="n">
        <v>182</v>
      </c>
      <c r="T214" t="inlineStr">
        <is>
          <t>Love - Shibari - Kamino</t>
        </is>
      </c>
    </row>
    <row r="215">
      <c r="A215" t="n">
        <v>172566</v>
      </c>
      <c r="B215" t="n">
        <v>128</v>
      </c>
      <c r="C215" t="inlineStr">
        <is>
          <t>Love Cabaret</t>
        </is>
      </c>
      <c r="D215" t="inlineStr">
        <is>
          <t>PJ 00192022 - FELIPE FERREIRA FRANCA</t>
        </is>
      </c>
      <c r="E215" t="n">
        <v>3250</v>
      </c>
      <c r="F215" s="27" t="n">
        <v>46001</v>
      </c>
      <c r="G215" s="27" t="n">
        <v>45999</v>
      </c>
      <c r="H215" s="27" t="n">
        <v>45999</v>
      </c>
      <c r="I215" s="27" t="n">
        <v>45962</v>
      </c>
      <c r="J215" s="27" t="n">
        <v>45966</v>
      </c>
      <c r="K215" t="inlineStr">
        <is>
          <t>Transferência Bancária ou Pix</t>
        </is>
      </c>
      <c r="L215" t="inlineStr">
        <is>
          <t>Mão de Obra - PJ</t>
        </is>
      </c>
      <c r="M215" t="inlineStr">
        <is>
          <t>MDO PJ Fixo</t>
        </is>
      </c>
      <c r="N215" t="inlineStr">
        <is>
          <t>60</t>
        </is>
      </c>
      <c r="O215" t="inlineStr">
        <is>
          <t>Documentação Aprovada</t>
        </is>
      </c>
      <c r="P215" t="inlineStr">
        <is>
          <t>Aprovado Diretoria</t>
        </is>
      </c>
      <c r="Q215" t="inlineStr">
        <is>
          <t>Aprovado Caixa</t>
        </is>
      </c>
      <c r="R215" t="inlineStr">
        <is>
          <t>Pago</t>
        </is>
      </c>
      <c r="S215" t="n">
        <v>182</v>
      </c>
      <c r="T215" t="inlineStr">
        <is>
          <t>Love - Shibari - Kamino</t>
        </is>
      </c>
    </row>
    <row r="216">
      <c r="A216" t="n">
        <v>172579</v>
      </c>
      <c r="B216" t="n">
        <v>128</v>
      </c>
      <c r="C216" t="inlineStr">
        <is>
          <t>Love Cabaret</t>
        </is>
      </c>
      <c r="D216" t="inlineStr">
        <is>
          <t>MARIA EDUARDA RAMOS DE SOUSA</t>
        </is>
      </c>
      <c r="E216" t="n">
        <v>1600</v>
      </c>
      <c r="F216" s="27" t="n">
        <v>46001</v>
      </c>
      <c r="G216" s="27" t="n">
        <v>45999</v>
      </c>
      <c r="H216" s="27" t="n">
        <v>45999</v>
      </c>
      <c r="I216" s="27" t="n">
        <v>45962</v>
      </c>
      <c r="J216" s="27" t="n">
        <v>45966</v>
      </c>
      <c r="K216" t="inlineStr">
        <is>
          <t>Transferência Bancária ou Pix</t>
        </is>
      </c>
      <c r="L216" t="inlineStr">
        <is>
          <t>Mão de Obra - PJ</t>
        </is>
      </c>
      <c r="M216" t="inlineStr">
        <is>
          <t>MDO PJ Fixo</t>
        </is>
      </c>
      <c r="N216" t="inlineStr">
        <is>
          <t>71</t>
        </is>
      </c>
      <c r="O216" t="inlineStr">
        <is>
          <t>Documentação Aprovada</t>
        </is>
      </c>
      <c r="P216" t="inlineStr">
        <is>
          <t>Aprovado Diretoria</t>
        </is>
      </c>
      <c r="Q216" t="inlineStr">
        <is>
          <t>Aprovado Caixa</t>
        </is>
      </c>
      <c r="R216" t="inlineStr">
        <is>
          <t>Pago</t>
        </is>
      </c>
      <c r="S216" t="n">
        <v>182</v>
      </c>
      <c r="T216" t="inlineStr">
        <is>
          <t>Love - Shibari - Kamino</t>
        </is>
      </c>
    </row>
    <row r="217">
      <c r="A217" t="n">
        <v>172561</v>
      </c>
      <c r="B217" t="n">
        <v>128</v>
      </c>
      <c r="C217" t="inlineStr">
        <is>
          <t>Love Cabaret</t>
        </is>
      </c>
      <c r="D217" t="inlineStr">
        <is>
          <t xml:space="preserve">DOUGLAS FELIPE DOMINGUES GONCALVES </t>
        </is>
      </c>
      <c r="E217" t="n">
        <v>4100</v>
      </c>
      <c r="F217" s="27" t="n">
        <v>46001</v>
      </c>
      <c r="G217" s="27" t="n">
        <v>45999</v>
      </c>
      <c r="H217" s="27" t="n">
        <v>45999</v>
      </c>
      <c r="I217" s="27" t="n">
        <v>45962</v>
      </c>
      <c r="J217" s="27" t="n">
        <v>45966</v>
      </c>
      <c r="K217" t="inlineStr">
        <is>
          <t>Transferência Bancária ou Pix</t>
        </is>
      </c>
      <c r="L217" t="inlineStr">
        <is>
          <t>Custos Artístico Geral</t>
        </is>
      </c>
      <c r="M217" t="inlineStr">
        <is>
          <t>Técnico de Som / Luz</t>
        </is>
      </c>
      <c r="N217" t="inlineStr">
        <is>
          <t>54</t>
        </is>
      </c>
      <c r="O217" t="inlineStr">
        <is>
          <t>Documentação Aprovada</t>
        </is>
      </c>
      <c r="P217" t="inlineStr">
        <is>
          <t>Aprovado Diretoria</t>
        </is>
      </c>
      <c r="Q217" t="inlineStr">
        <is>
          <t>Aprovado Caixa</t>
        </is>
      </c>
      <c r="R217" t="inlineStr">
        <is>
          <t>Pago</t>
        </is>
      </c>
      <c r="S217" t="n">
        <v>182</v>
      </c>
      <c r="T217" t="inlineStr">
        <is>
          <t>Love - Shibari - Kamino</t>
        </is>
      </c>
    </row>
    <row r="218">
      <c r="A218" t="n">
        <v>172580</v>
      </c>
      <c r="B218" t="n">
        <v>128</v>
      </c>
      <c r="C218" t="inlineStr">
        <is>
          <t>Love Cabaret</t>
        </is>
      </c>
      <c r="D218" t="inlineStr">
        <is>
          <t>TAMARA SANTOS RIBEIRO</t>
        </is>
      </c>
      <c r="E218" t="n">
        <v>3500</v>
      </c>
      <c r="F218" s="27" t="n">
        <v>46001</v>
      </c>
      <c r="G218" s="27" t="n">
        <v>45999</v>
      </c>
      <c r="H218" s="27" t="n">
        <v>45999</v>
      </c>
      <c r="I218" s="27" t="n">
        <v>45962</v>
      </c>
      <c r="J218" s="27" t="n">
        <v>45966</v>
      </c>
      <c r="K218" t="inlineStr">
        <is>
          <t>Transferência Bancária ou Pix</t>
        </is>
      </c>
      <c r="L218" t="inlineStr">
        <is>
          <t>Mão de Obra - PJ</t>
        </is>
      </c>
      <c r="M218" t="inlineStr">
        <is>
          <t>MDO PJ Fixo</t>
        </is>
      </c>
      <c r="N218" t="inlineStr">
        <is>
          <t>32</t>
        </is>
      </c>
      <c r="O218" t="inlineStr">
        <is>
          <t>Documentação Aprovada</t>
        </is>
      </c>
      <c r="P218" t="inlineStr">
        <is>
          <t>Aprovado Diretoria</t>
        </is>
      </c>
      <c r="Q218" t="inlineStr">
        <is>
          <t>Aprovado Caixa</t>
        </is>
      </c>
      <c r="R218" t="inlineStr">
        <is>
          <t>Pago</t>
        </is>
      </c>
      <c r="S218" t="n">
        <v>182</v>
      </c>
      <c r="T218" t="inlineStr">
        <is>
          <t>Love - Shibari - Kamino</t>
        </is>
      </c>
    </row>
    <row r="219">
      <c r="A219" t="n">
        <v>172581</v>
      </c>
      <c r="B219" t="n">
        <v>128</v>
      </c>
      <c r="C219" t="inlineStr">
        <is>
          <t>Love Cabaret</t>
        </is>
      </c>
      <c r="D219" t="inlineStr">
        <is>
          <t>TELES DE ALMEIDA PINTO</t>
        </is>
      </c>
      <c r="E219" t="n">
        <v>2000</v>
      </c>
      <c r="F219" s="27" t="n">
        <v>46001</v>
      </c>
      <c r="G219" s="27" t="n">
        <v>45999</v>
      </c>
      <c r="H219" s="27" t="n">
        <v>45999</v>
      </c>
      <c r="I219" s="27" t="n">
        <v>45962</v>
      </c>
      <c r="J219" s="27" t="n">
        <v>45966</v>
      </c>
      <c r="K219" t="inlineStr">
        <is>
          <t>Transferência Bancária ou Pix</t>
        </is>
      </c>
      <c r="L219" t="inlineStr">
        <is>
          <t>Mão de Obra - PJ</t>
        </is>
      </c>
      <c r="M219" t="inlineStr">
        <is>
          <t>MDO PJ Fixo</t>
        </is>
      </c>
      <c r="N219" t="inlineStr">
        <is>
          <t>39</t>
        </is>
      </c>
      <c r="O219" t="inlineStr">
        <is>
          <t>Documentação Aprovada</t>
        </is>
      </c>
      <c r="P219" t="inlineStr">
        <is>
          <t>Aprovado Diretoria</t>
        </is>
      </c>
      <c r="Q219" t="inlineStr">
        <is>
          <t>Aprovado Caixa</t>
        </is>
      </c>
      <c r="R219" t="inlineStr">
        <is>
          <t>Pago</t>
        </is>
      </c>
      <c r="S219" t="n">
        <v>182</v>
      </c>
      <c r="T219" t="inlineStr">
        <is>
          <t>Love - Shibari - Kamino</t>
        </is>
      </c>
    </row>
    <row r="220">
      <c r="A220" t="n">
        <v>172582</v>
      </c>
      <c r="B220" t="n">
        <v>128</v>
      </c>
      <c r="C220" t="inlineStr">
        <is>
          <t>Love Cabaret</t>
        </is>
      </c>
      <c r="D220" t="inlineStr">
        <is>
          <t>PJ 00502024 THIAGO PINHEIRO DA SILVA</t>
        </is>
      </c>
      <c r="E220" t="n">
        <v>1125</v>
      </c>
      <c r="F220" s="27" t="n">
        <v>46001</v>
      </c>
      <c r="G220" s="27" t="n">
        <v>45999</v>
      </c>
      <c r="H220" s="27" t="n">
        <v>45999</v>
      </c>
      <c r="I220" s="27" t="n">
        <v>45962</v>
      </c>
      <c r="J220" s="27" t="n">
        <v>45966</v>
      </c>
      <c r="K220" t="inlineStr">
        <is>
          <t>Transferência Bancária ou Pix</t>
        </is>
      </c>
      <c r="L220" t="inlineStr">
        <is>
          <t>Mão de Obra - PJ</t>
        </is>
      </c>
      <c r="M220" t="inlineStr">
        <is>
          <t>MDO PJ Fixo</t>
        </is>
      </c>
      <c r="N220" t="inlineStr">
        <is>
          <t>72</t>
        </is>
      </c>
      <c r="O220" t="inlineStr">
        <is>
          <t>Documentação Aprovada</t>
        </is>
      </c>
      <c r="P220" t="inlineStr">
        <is>
          <t>Aprovado Diretoria</t>
        </is>
      </c>
      <c r="Q220" t="inlineStr">
        <is>
          <t>Aprovado Caixa</t>
        </is>
      </c>
      <c r="R220" t="inlineStr">
        <is>
          <t>Pago</t>
        </is>
      </c>
      <c r="S220" t="n">
        <v>182</v>
      </c>
      <c r="T220" t="inlineStr">
        <is>
          <t>Love - Shibari - Kamino</t>
        </is>
      </c>
    </row>
    <row r="221">
      <c r="A221" t="n">
        <v>172557</v>
      </c>
      <c r="B221" t="n">
        <v>128</v>
      </c>
      <c r="C221" t="inlineStr">
        <is>
          <t>Love Cabaret</t>
        </is>
      </c>
      <c r="D221" t="inlineStr">
        <is>
          <t>PJ 00302023 - ANDRES LA ROSA</t>
        </is>
      </c>
      <c r="E221" t="n">
        <v>5200</v>
      </c>
      <c r="F221" s="27" t="n">
        <v>46001</v>
      </c>
      <c r="G221" s="27" t="n">
        <v>45999</v>
      </c>
      <c r="H221" s="27" t="n">
        <v>45999</v>
      </c>
      <c r="I221" s="27" t="n">
        <v>45962</v>
      </c>
      <c r="J221" s="27" t="n">
        <v>45966</v>
      </c>
      <c r="K221" t="inlineStr">
        <is>
          <t>Transferência Bancária ou Pix</t>
        </is>
      </c>
      <c r="L221" t="inlineStr">
        <is>
          <t>Mão de Obra - PJ</t>
        </is>
      </c>
      <c r="M221" t="inlineStr">
        <is>
          <t>MDO PJ Fixo</t>
        </is>
      </c>
      <c r="N221" t="inlineStr">
        <is>
          <t>70</t>
        </is>
      </c>
      <c r="O221" t="inlineStr">
        <is>
          <t>Documentação Aprovada</t>
        </is>
      </c>
      <c r="P221" t="inlineStr">
        <is>
          <t>Aprovado Diretoria</t>
        </is>
      </c>
      <c r="Q221" t="inlineStr">
        <is>
          <t>Aprovado Caixa</t>
        </is>
      </c>
      <c r="R221" t="inlineStr">
        <is>
          <t>Pago</t>
        </is>
      </c>
      <c r="S221" t="n">
        <v>182</v>
      </c>
      <c r="T221" t="inlineStr">
        <is>
          <t>Love - Shibari - Kamino</t>
        </is>
      </c>
    </row>
    <row r="222">
      <c r="A222" t="n">
        <v>172554</v>
      </c>
      <c r="B222" t="n">
        <v>128</v>
      </c>
      <c r="C222" t="inlineStr">
        <is>
          <t>Love Cabaret</t>
        </is>
      </c>
      <c r="D222" t="inlineStr">
        <is>
          <t>ANDRE RODRIGUES AZEVEDO</t>
        </is>
      </c>
      <c r="E222" t="n">
        <v>7420</v>
      </c>
      <c r="F222" s="27" t="n">
        <v>46001</v>
      </c>
      <c r="G222" s="27" t="n">
        <v>45999</v>
      </c>
      <c r="H222" s="27" t="n">
        <v>45999</v>
      </c>
      <c r="I222" s="27" t="n">
        <v>45962</v>
      </c>
      <c r="J222" s="27" t="n">
        <v>45966</v>
      </c>
      <c r="K222" t="inlineStr">
        <is>
          <t>Transferência Bancária ou Pix</t>
        </is>
      </c>
      <c r="L222" t="inlineStr">
        <is>
          <t>Custos Artístico Geral</t>
        </is>
      </c>
      <c r="M222" t="inlineStr">
        <is>
          <t>Técnico de Som / Luz</t>
        </is>
      </c>
      <c r="N222" t="inlineStr">
        <is>
          <t>70</t>
        </is>
      </c>
      <c r="O222" t="inlineStr">
        <is>
          <t>Documentação Aprovada</t>
        </is>
      </c>
      <c r="P222" t="inlineStr">
        <is>
          <t>Aprovado Diretoria</t>
        </is>
      </c>
      <c r="Q222" t="inlineStr">
        <is>
          <t>Aprovado Caixa</t>
        </is>
      </c>
      <c r="R222" t="inlineStr">
        <is>
          <t>Pago</t>
        </is>
      </c>
      <c r="S222" t="n">
        <v>182</v>
      </c>
      <c r="T222" t="inlineStr">
        <is>
          <t>Love - Shibari - Kamino</t>
        </is>
      </c>
    </row>
    <row r="223">
      <c r="A223" t="n">
        <v>172585</v>
      </c>
      <c r="B223" t="n">
        <v>128</v>
      </c>
      <c r="C223" t="inlineStr">
        <is>
          <t>Love Cabaret</t>
        </is>
      </c>
      <c r="D223" t="inlineStr">
        <is>
          <t>PJ 00092021 - VANESSA FERREIRA DEL SANTO</t>
        </is>
      </c>
      <c r="E223" t="n">
        <v>3000</v>
      </c>
      <c r="F223" s="27" t="n">
        <v>46001</v>
      </c>
      <c r="G223" s="27" t="n">
        <v>45999</v>
      </c>
      <c r="H223" s="27" t="n">
        <v>45999</v>
      </c>
      <c r="I223" s="27" t="n">
        <v>45962</v>
      </c>
      <c r="J223" s="27" t="n">
        <v>45966</v>
      </c>
      <c r="K223" t="inlineStr">
        <is>
          <t>Transferência Bancária ou Pix</t>
        </is>
      </c>
      <c r="L223" t="inlineStr">
        <is>
          <t>Mão de Obra - PJ</t>
        </is>
      </c>
      <c r="M223" t="inlineStr">
        <is>
          <t>MDO PJ Fixo</t>
        </is>
      </c>
      <c r="N223" t="inlineStr">
        <is>
          <t>293</t>
        </is>
      </c>
      <c r="O223" t="inlineStr">
        <is>
          <t>Documentação Aprovada</t>
        </is>
      </c>
      <c r="P223" t="inlineStr">
        <is>
          <t>Aprovado Diretoria</t>
        </is>
      </c>
      <c r="Q223" t="inlineStr">
        <is>
          <t>Aprovado Caixa</t>
        </is>
      </c>
      <c r="R223" t="inlineStr">
        <is>
          <t>Pago</t>
        </is>
      </c>
      <c r="S223" t="n">
        <v>182</v>
      </c>
      <c r="T223" t="inlineStr">
        <is>
          <t>Love - Shibari - Kamino</t>
        </is>
      </c>
    </row>
    <row r="224">
      <c r="A224" t="n">
        <v>172552</v>
      </c>
      <c r="B224" t="n">
        <v>128</v>
      </c>
      <c r="C224" t="inlineStr">
        <is>
          <t>Love Cabaret</t>
        </is>
      </c>
      <c r="D224" t="inlineStr">
        <is>
          <t xml:space="preserve">AGNES RODRIGUES DE OLIVEIRA </t>
        </is>
      </c>
      <c r="E224" t="n">
        <v>5000</v>
      </c>
      <c r="F224" s="27" t="n">
        <v>46001</v>
      </c>
      <c r="G224" s="27" t="n">
        <v>45999</v>
      </c>
      <c r="H224" s="27" t="n">
        <v>45999</v>
      </c>
      <c r="I224" s="27" t="n">
        <v>45962</v>
      </c>
      <c r="J224" s="27" t="n">
        <v>45966</v>
      </c>
      <c r="K224" t="inlineStr">
        <is>
          <t>Transferência Bancária ou Pix</t>
        </is>
      </c>
      <c r="L224" t="inlineStr">
        <is>
          <t>Custos Artístico Geral</t>
        </is>
      </c>
      <c r="M224" t="inlineStr">
        <is>
          <t>Técnico de Som / Luz</t>
        </is>
      </c>
      <c r="N224" t="inlineStr">
        <is>
          <t>40</t>
        </is>
      </c>
      <c r="O224" t="inlineStr">
        <is>
          <t>Documentação Aprovada</t>
        </is>
      </c>
      <c r="P224" t="inlineStr">
        <is>
          <t>Aprovado Diretoria</t>
        </is>
      </c>
      <c r="Q224" t="inlineStr">
        <is>
          <t>Aprovado Caixa</t>
        </is>
      </c>
      <c r="R224" t="inlineStr">
        <is>
          <t>Pago</t>
        </is>
      </c>
      <c r="S224" t="n">
        <v>182</v>
      </c>
      <c r="T224" t="inlineStr">
        <is>
          <t>Love - Shibari - Kamino</t>
        </is>
      </c>
    </row>
    <row r="225">
      <c r="A225" t="n">
        <v>172567</v>
      </c>
      <c r="B225" t="n">
        <v>128</v>
      </c>
      <c r="C225" t="inlineStr">
        <is>
          <t>Love Cabaret</t>
        </is>
      </c>
      <c r="D225" t="inlineStr">
        <is>
          <t>PUXURI CONSULTORIA LTDA</t>
        </is>
      </c>
      <c r="E225" t="n">
        <v>4000</v>
      </c>
      <c r="F225" s="27" t="n">
        <v>46001</v>
      </c>
      <c r="G225" s="27" t="n">
        <v>45999</v>
      </c>
      <c r="H225" s="27" t="n">
        <v>45999</v>
      </c>
      <c r="I225" s="27" t="n">
        <v>45962</v>
      </c>
      <c r="J225" s="27" t="n">
        <v>45966</v>
      </c>
      <c r="K225" t="inlineStr">
        <is>
          <t>Transferência Bancária ou Pix</t>
        </is>
      </c>
      <c r="L225" t="inlineStr">
        <is>
          <t>Mão de Obra - PJ</t>
        </is>
      </c>
      <c r="M225" t="inlineStr">
        <is>
          <t>MDO PJ Fixo</t>
        </is>
      </c>
      <c r="N225" t="inlineStr">
        <is>
          <t>129</t>
        </is>
      </c>
      <c r="O225" t="inlineStr">
        <is>
          <t>Documentação Aprovada</t>
        </is>
      </c>
      <c r="P225" t="inlineStr">
        <is>
          <t>Aprovado Diretoria</t>
        </is>
      </c>
      <c r="Q225" t="inlineStr">
        <is>
          <t>Aprovado Caixa</t>
        </is>
      </c>
      <c r="R225" t="inlineStr">
        <is>
          <t>Pago</t>
        </is>
      </c>
      <c r="S225" t="n">
        <v>182</v>
      </c>
      <c r="T225" t="inlineStr">
        <is>
          <t>Love - Shibari - Kamino</t>
        </is>
      </c>
    </row>
    <row r="226">
      <c r="A226" t="n">
        <v>173846</v>
      </c>
      <c r="B226" t="n">
        <v>128</v>
      </c>
      <c r="C226" t="inlineStr">
        <is>
          <t>Love Cabaret</t>
        </is>
      </c>
      <c r="D226" t="inlineStr">
        <is>
          <t>CICLO PARTICIPACOES LTDA</t>
        </is>
      </c>
      <c r="E226" t="n">
        <v>5906.28</v>
      </c>
      <c r="F226" s="27" t="n">
        <v>46001</v>
      </c>
      <c r="G226" s="27" t="n">
        <v>45999</v>
      </c>
      <c r="H226" s="27" t="n">
        <v>45999</v>
      </c>
      <c r="I226" s="27" t="n">
        <v>45976</v>
      </c>
      <c r="J226" s="27" t="n">
        <v>45971</v>
      </c>
      <c r="K226" t="inlineStr">
        <is>
          <t>Boleto Bancário</t>
        </is>
      </c>
      <c r="L226" t="inlineStr">
        <is>
          <t>Custo de Ocupação</t>
        </is>
      </c>
      <c r="M226" t="inlineStr">
        <is>
          <t>IPTU</t>
        </is>
      </c>
      <c r="N226" t="inlineStr">
        <is>
          <t>470040877186</t>
        </is>
      </c>
      <c r="O226" t="inlineStr">
        <is>
          <t>Documentação Aprovada</t>
        </is>
      </c>
      <c r="P226" t="inlineStr">
        <is>
          <t>Aprovado Diretoria</t>
        </is>
      </c>
      <c r="Q226" t="inlineStr">
        <is>
          <t>Aprovado Caixa</t>
        </is>
      </c>
      <c r="R226" t="inlineStr">
        <is>
          <t>Pago</t>
        </is>
      </c>
      <c r="S226" t="n">
        <v>182</v>
      </c>
      <c r="T226" t="inlineStr">
        <is>
          <t>Love - Shibari - Kamino</t>
        </is>
      </c>
    </row>
    <row r="227">
      <c r="A227" t="n">
        <v>173850</v>
      </c>
      <c r="B227" t="n">
        <v>128</v>
      </c>
      <c r="C227" t="inlineStr">
        <is>
          <t>Love Cabaret</t>
        </is>
      </c>
      <c r="D227" t="inlineStr">
        <is>
          <t>BRH SAUDE OCUPACIONAL LTDA</t>
        </is>
      </c>
      <c r="E227" t="n">
        <v>131.58</v>
      </c>
      <c r="F227" s="27" t="n">
        <v>46001</v>
      </c>
      <c r="G227" s="27" t="n">
        <v>45999</v>
      </c>
      <c r="H227" s="27" t="n">
        <v>45999</v>
      </c>
      <c r="I227" s="27" t="n">
        <v>45962</v>
      </c>
      <c r="J227" s="27" t="n">
        <v>45971</v>
      </c>
      <c r="K227" t="inlineStr">
        <is>
          <t>Boleto Bancário</t>
        </is>
      </c>
      <c r="L227" t="inlineStr">
        <is>
          <t>Mão de Obra - Benefícios</t>
        </is>
      </c>
      <c r="M227" t="inlineStr">
        <is>
          <t xml:space="preserve">  -  Exames Periódicos</t>
        </is>
      </c>
      <c r="N227" t="inlineStr">
        <is>
          <t>84689</t>
        </is>
      </c>
      <c r="O227" t="inlineStr">
        <is>
          <t>Documentação Aprovada</t>
        </is>
      </c>
      <c r="P227" t="inlineStr">
        <is>
          <t>Aprovado Diretoria</t>
        </is>
      </c>
      <c r="Q227" t="inlineStr">
        <is>
          <t>Aprovado Caixa</t>
        </is>
      </c>
      <c r="R227" t="inlineStr">
        <is>
          <t>Pago</t>
        </is>
      </c>
      <c r="S227" t="n">
        <v>182</v>
      </c>
      <c r="T227" t="inlineStr">
        <is>
          <t>Love - Shibari - Kamino</t>
        </is>
      </c>
    </row>
    <row r="228">
      <c r="A228" t="n">
        <v>173967</v>
      </c>
      <c r="B228" t="n">
        <v>128</v>
      </c>
      <c r="C228" t="inlineStr">
        <is>
          <t>Love Cabaret</t>
        </is>
      </c>
      <c r="D228" t="inlineStr">
        <is>
          <t>ESTAFF SOLUCOES TECNOLOGICAS DE AGENCIAMENTO LTDA</t>
        </is>
      </c>
      <c r="E228" t="n">
        <v>14048.22</v>
      </c>
      <c r="F228" s="27" t="n">
        <v>45987</v>
      </c>
      <c r="G228" s="27" t="n">
        <v>45999</v>
      </c>
      <c r="H228" s="27" t="n">
        <v>45999</v>
      </c>
      <c r="I228" s="27" t="n">
        <v>45971</v>
      </c>
      <c r="J228" s="27" t="n">
        <v>45971</v>
      </c>
      <c r="K228" t="inlineStr">
        <is>
          <t>Boleto Bancário</t>
        </is>
      </c>
      <c r="L228" t="inlineStr">
        <is>
          <t>Mão de Obra - Extra</t>
        </is>
      </c>
      <c r="M228" t="inlineStr">
        <is>
          <t>Mão de Obra Extra</t>
        </is>
      </c>
      <c r="N228" t="inlineStr">
        <is>
          <t>681783953</t>
        </is>
      </c>
      <c r="O228" t="inlineStr">
        <is>
          <t>Documentação Aprovada</t>
        </is>
      </c>
      <c r="P228" t="inlineStr">
        <is>
          <t>Aprovado Diretoria</t>
        </is>
      </c>
      <c r="Q228" t="inlineStr">
        <is>
          <t>Aprovado Caixa</t>
        </is>
      </c>
      <c r="R228" t="inlineStr">
        <is>
          <t>Pago</t>
        </is>
      </c>
      <c r="S228" t="n">
        <v>182</v>
      </c>
      <c r="T228" t="inlineStr">
        <is>
          <t>Love - Shibari - Kamino</t>
        </is>
      </c>
    </row>
    <row r="229">
      <c r="A229" t="n">
        <v>173830</v>
      </c>
      <c r="B229" t="n">
        <v>128</v>
      </c>
      <c r="C229" t="inlineStr">
        <is>
          <t>Love Cabaret</t>
        </is>
      </c>
      <c r="D229" t="inlineStr">
        <is>
          <t>VERISURE BRASIL MONITORAMENTO DE ALARMES S.A</t>
        </is>
      </c>
      <c r="E229" t="n">
        <v>270.11</v>
      </c>
      <c r="F229" s="27" t="n">
        <v>45996</v>
      </c>
      <c r="G229" s="27" t="n">
        <v>46002</v>
      </c>
      <c r="H229" s="27" t="n">
        <v>45996</v>
      </c>
      <c r="I229" s="27" t="n">
        <v>45966</v>
      </c>
      <c r="J229" s="27" t="n">
        <v>45971</v>
      </c>
      <c r="K229" t="inlineStr">
        <is>
          <t>Cartão de Crédito</t>
        </is>
      </c>
      <c r="L229" t="inlineStr">
        <is>
          <t>Informática e TI</t>
        </is>
      </c>
      <c r="M229" t="inlineStr">
        <is>
          <t>Sistemas de Segurança e Alarme</t>
        </is>
      </c>
      <c r="N229" t="inlineStr">
        <is>
          <t>16993087</t>
        </is>
      </c>
      <c r="O229" t="inlineStr">
        <is>
          <t>Documentação Aprovada</t>
        </is>
      </c>
      <c r="P229" t="inlineStr">
        <is>
          <t>Aprovado Diretoria</t>
        </is>
      </c>
      <c r="Q229" t="inlineStr">
        <is>
          <t>Aprovado Caixa</t>
        </is>
      </c>
      <c r="R229" t="inlineStr">
        <is>
          <t>Pago</t>
        </is>
      </c>
      <c r="S229" t="n">
        <v>115</v>
      </c>
      <c r="T229" t="inlineStr">
        <is>
          <t>Love - Shibari - Bradesco</t>
        </is>
      </c>
    </row>
    <row r="230">
      <c r="A230" t="n">
        <v>182217</v>
      </c>
      <c r="B230" t="n">
        <v>128</v>
      </c>
      <c r="C230" t="inlineStr">
        <is>
          <t>Love Cabaret</t>
        </is>
      </c>
      <c r="D230" t="inlineStr">
        <is>
          <t>JULIANA OLIVEIRA DA SILVA</t>
        </is>
      </c>
      <c r="E230" t="n">
        <v>2856.62</v>
      </c>
      <c r="F230" s="27" t="n">
        <v>45996</v>
      </c>
      <c r="G230" s="27" t="n"/>
      <c r="H230" s="27" t="n">
        <v>45996</v>
      </c>
      <c r="I230" s="27" t="n">
        <v>45991</v>
      </c>
      <c r="J230" s="27" t="n"/>
      <c r="L230" t="inlineStr">
        <is>
          <t>Mão de Obra - Salários</t>
        </is>
      </c>
      <c r="M230" t="inlineStr">
        <is>
          <t>MDO CLT - Salário</t>
        </is>
      </c>
      <c r="O230" t="inlineStr">
        <is>
          <t>Documentação Aprovada</t>
        </is>
      </c>
      <c r="P230" t="inlineStr">
        <is>
          <t>Aprovado Diretoria</t>
        </is>
      </c>
      <c r="Q230" t="inlineStr">
        <is>
          <t>Aprovado Caixa</t>
        </is>
      </c>
      <c r="R230" t="inlineStr">
        <is>
          <t>Pago</t>
        </is>
      </c>
      <c r="S230" t="n">
        <v>115</v>
      </c>
      <c r="T230" t="inlineStr">
        <is>
          <t>Love - Shibari - Bradesco</t>
        </is>
      </c>
    </row>
    <row r="231">
      <c r="A231" t="n">
        <v>182216</v>
      </c>
      <c r="B231" t="n">
        <v>128</v>
      </c>
      <c r="C231" t="inlineStr">
        <is>
          <t>Love Cabaret</t>
        </is>
      </c>
      <c r="D231" t="inlineStr">
        <is>
          <t>CAROLINE FERREIRA DA SILVA</t>
        </is>
      </c>
      <c r="E231" t="n">
        <v>4047.98</v>
      </c>
      <c r="F231" s="27" t="n">
        <v>45996</v>
      </c>
      <c r="G231" s="27" t="n"/>
      <c r="H231" s="27" t="n">
        <v>45996</v>
      </c>
      <c r="I231" s="27" t="n">
        <v>45991</v>
      </c>
      <c r="J231" s="27" t="n"/>
      <c r="L231" t="inlineStr">
        <is>
          <t>Mão de Obra - Salários</t>
        </is>
      </c>
      <c r="M231" t="inlineStr">
        <is>
          <t>MDO CLT - Salário</t>
        </is>
      </c>
      <c r="O231" t="inlineStr">
        <is>
          <t>Documentação Aprovada</t>
        </is>
      </c>
      <c r="P231" t="inlineStr">
        <is>
          <t>Aprovado Diretoria</t>
        </is>
      </c>
      <c r="Q231" t="inlineStr">
        <is>
          <t>Aprovado Caixa</t>
        </is>
      </c>
      <c r="R231" t="inlineStr">
        <is>
          <t>Pago</t>
        </is>
      </c>
      <c r="S231" t="n">
        <v>115</v>
      </c>
      <c r="T231" t="inlineStr">
        <is>
          <t>Love - Shibari - Bradesco</t>
        </is>
      </c>
    </row>
    <row r="232">
      <c r="A232" t="n">
        <v>180995</v>
      </c>
      <c r="B232" t="n">
        <v>128</v>
      </c>
      <c r="C232" t="inlineStr">
        <is>
          <t>Love Cabaret</t>
        </is>
      </c>
      <c r="D232" t="inlineStr">
        <is>
          <t>PETTY CASH</t>
        </is>
      </c>
      <c r="E232" t="n">
        <v>76</v>
      </c>
      <c r="F232" s="27" t="n">
        <v>45996</v>
      </c>
      <c r="G232" s="27" t="n">
        <v>45995</v>
      </c>
      <c r="H232" s="27" t="n">
        <v>45995</v>
      </c>
      <c r="I232" s="27" t="n">
        <v>45991</v>
      </c>
      <c r="J232" s="27" t="n">
        <v>45995</v>
      </c>
      <c r="K232" t="inlineStr">
        <is>
          <t>Cartão de Crédito</t>
        </is>
      </c>
      <c r="L232" t="inlineStr">
        <is>
          <t>Utilidades</t>
        </is>
      </c>
      <c r="M232" t="inlineStr">
        <is>
          <t>Utensilios</t>
        </is>
      </c>
      <c r="N232" t="inlineStr">
        <is>
          <t>40PETTY112025</t>
        </is>
      </c>
      <c r="O232" t="inlineStr">
        <is>
          <t>Documentação Aprovada</t>
        </is>
      </c>
      <c r="P232" t="inlineStr">
        <is>
          <t>Aprovado Diretoria</t>
        </is>
      </c>
      <c r="Q232" t="inlineStr">
        <is>
          <t>Aprovado Caixa</t>
        </is>
      </c>
      <c r="R232" t="inlineStr">
        <is>
          <t>Pago</t>
        </is>
      </c>
      <c r="S232" t="n">
        <v>182</v>
      </c>
      <c r="T232" t="inlineStr">
        <is>
          <t>Love - Shibari - Kamino</t>
        </is>
      </c>
    </row>
    <row r="233">
      <c r="A233" t="n">
        <v>180993</v>
      </c>
      <c r="B233" t="n">
        <v>128</v>
      </c>
      <c r="C233" t="inlineStr">
        <is>
          <t>Love Cabaret</t>
        </is>
      </c>
      <c r="D233" t="inlineStr">
        <is>
          <t>PETTY CASH</t>
        </is>
      </c>
      <c r="E233" t="n">
        <v>107.1</v>
      </c>
      <c r="F233" s="27" t="n">
        <v>45996</v>
      </c>
      <c r="G233" s="27" t="n">
        <v>45995</v>
      </c>
      <c r="H233" s="27" t="n">
        <v>45995</v>
      </c>
      <c r="I233" s="27" t="n">
        <v>45991</v>
      </c>
      <c r="J233" s="27" t="n">
        <v>45995</v>
      </c>
      <c r="K233" t="inlineStr">
        <is>
          <t>Cartão de Crédito</t>
        </is>
      </c>
      <c r="L233" t="inlineStr">
        <is>
          <t>Utilidades</t>
        </is>
      </c>
      <c r="M233" t="inlineStr">
        <is>
          <t>Serviços Graficos</t>
        </is>
      </c>
      <c r="N233" t="inlineStr">
        <is>
          <t>39PETTY112025</t>
        </is>
      </c>
      <c r="O233" t="inlineStr">
        <is>
          <t>Documentação Aprovada</t>
        </is>
      </c>
      <c r="P233" t="inlineStr">
        <is>
          <t>Aprovado Diretoria</t>
        </is>
      </c>
      <c r="Q233" t="inlineStr">
        <is>
          <t>Aprovado Caixa</t>
        </is>
      </c>
      <c r="R233" t="inlineStr">
        <is>
          <t>Pago</t>
        </is>
      </c>
      <c r="S233" t="n">
        <v>182</v>
      </c>
      <c r="T233" t="inlineStr">
        <is>
          <t>Love - Shibari - Kamino</t>
        </is>
      </c>
    </row>
    <row r="234">
      <c r="A234" t="n">
        <v>180991</v>
      </c>
      <c r="B234" t="n">
        <v>128</v>
      </c>
      <c r="C234" t="inlineStr">
        <is>
          <t>Love Cabaret</t>
        </is>
      </c>
      <c r="D234" t="inlineStr">
        <is>
          <t>PETTY CASH</t>
        </is>
      </c>
      <c r="E234" t="n">
        <v>35</v>
      </c>
      <c r="F234" s="27" t="n">
        <v>45996</v>
      </c>
      <c r="G234" s="27" t="n">
        <v>45995</v>
      </c>
      <c r="H234" s="27" t="n">
        <v>45995</v>
      </c>
      <c r="I234" s="27" t="n">
        <v>45991</v>
      </c>
      <c r="J234" s="27" t="n">
        <v>45995</v>
      </c>
      <c r="K234" t="inlineStr">
        <is>
          <t>Cartão de Crédito</t>
        </is>
      </c>
      <c r="L234" t="inlineStr">
        <is>
          <t>Utilidades</t>
        </is>
      </c>
      <c r="M234" t="inlineStr">
        <is>
          <t>Utensilios</t>
        </is>
      </c>
      <c r="N234" t="inlineStr">
        <is>
          <t>37PETTY112025</t>
        </is>
      </c>
      <c r="O234" t="inlineStr">
        <is>
          <t>Documentação Aprovada</t>
        </is>
      </c>
      <c r="P234" t="inlineStr">
        <is>
          <t>Aprovado Diretoria</t>
        </is>
      </c>
      <c r="Q234" t="inlineStr">
        <is>
          <t>Aprovado Caixa</t>
        </is>
      </c>
      <c r="R234" t="inlineStr">
        <is>
          <t>Pago</t>
        </is>
      </c>
      <c r="S234" t="n">
        <v>182</v>
      </c>
      <c r="T234" t="inlineStr">
        <is>
          <t>Love - Shibari - Kamino</t>
        </is>
      </c>
    </row>
    <row r="235">
      <c r="A235" t="n">
        <v>180992</v>
      </c>
      <c r="B235" t="n">
        <v>128</v>
      </c>
      <c r="C235" t="inlineStr">
        <is>
          <t>Love Cabaret</t>
        </is>
      </c>
      <c r="D235" t="inlineStr">
        <is>
          <t>PETTY CASH</t>
        </is>
      </c>
      <c r="E235" t="n">
        <v>45</v>
      </c>
      <c r="F235" s="27" t="n">
        <v>45996</v>
      </c>
      <c r="G235" s="27" t="n">
        <v>45995</v>
      </c>
      <c r="H235" s="27" t="n">
        <v>45995</v>
      </c>
      <c r="I235" s="27" t="n">
        <v>45991</v>
      </c>
      <c r="J235" s="27" t="n">
        <v>45995</v>
      </c>
      <c r="K235" t="inlineStr">
        <is>
          <t>Cartão de Crédito</t>
        </is>
      </c>
      <c r="L235" t="inlineStr">
        <is>
          <t>Utilidades</t>
        </is>
      </c>
      <c r="M235" t="inlineStr">
        <is>
          <t>Utensilios</t>
        </is>
      </c>
      <c r="N235" t="inlineStr">
        <is>
          <t>38PETTY112025</t>
        </is>
      </c>
      <c r="O235" t="inlineStr">
        <is>
          <t>Documentação Aprovada</t>
        </is>
      </c>
      <c r="P235" t="inlineStr">
        <is>
          <t>Aprovado Diretoria</t>
        </is>
      </c>
      <c r="Q235" t="inlineStr">
        <is>
          <t>Aprovado Caixa</t>
        </is>
      </c>
      <c r="R235" t="inlineStr">
        <is>
          <t>Pago</t>
        </is>
      </c>
      <c r="S235" t="n">
        <v>182</v>
      </c>
      <c r="T235" t="inlineStr">
        <is>
          <t>Love - Shibari - Kamino</t>
        </is>
      </c>
    </row>
    <row r="236">
      <c r="A236" t="n">
        <v>180989</v>
      </c>
      <c r="B236" t="n">
        <v>128</v>
      </c>
      <c r="C236" t="inlineStr">
        <is>
          <t>Love Cabaret</t>
        </is>
      </c>
      <c r="D236" t="inlineStr">
        <is>
          <t>PETTY CASH</t>
        </is>
      </c>
      <c r="E236" t="n">
        <v>6</v>
      </c>
      <c r="F236" s="27" t="n">
        <v>45996</v>
      </c>
      <c r="G236" s="27" t="n">
        <v>45995</v>
      </c>
      <c r="H236" s="27" t="n">
        <v>45995</v>
      </c>
      <c r="I236" s="27" t="n">
        <v>45991</v>
      </c>
      <c r="J236" s="27" t="n">
        <v>45995</v>
      </c>
      <c r="K236" t="inlineStr">
        <is>
          <t>Cartão de Crédito</t>
        </is>
      </c>
      <c r="L236" t="inlineStr">
        <is>
          <t>Utilidades</t>
        </is>
      </c>
      <c r="M236" t="inlineStr">
        <is>
          <t>Utensilios</t>
        </is>
      </c>
      <c r="N236" t="inlineStr">
        <is>
          <t>36PETTY112025</t>
        </is>
      </c>
      <c r="O236" t="inlineStr">
        <is>
          <t>Documentação Aprovada</t>
        </is>
      </c>
      <c r="P236" t="inlineStr">
        <is>
          <t>Aprovado Diretoria</t>
        </is>
      </c>
      <c r="Q236" t="inlineStr">
        <is>
          <t>Aprovado Caixa</t>
        </is>
      </c>
      <c r="R236" t="inlineStr">
        <is>
          <t>Pago</t>
        </is>
      </c>
      <c r="S236" t="n">
        <v>182</v>
      </c>
      <c r="T236" t="inlineStr">
        <is>
          <t>Love - Shibari - Kamino</t>
        </is>
      </c>
    </row>
    <row r="237">
      <c r="A237" t="n">
        <v>180118</v>
      </c>
      <c r="B237" t="n">
        <v>128</v>
      </c>
      <c r="C237" t="inlineStr">
        <is>
          <t>Love Cabaret</t>
        </is>
      </c>
      <c r="D237" t="inlineStr">
        <is>
          <t>PETTY CASH</t>
        </is>
      </c>
      <c r="E237" t="n">
        <v>-217</v>
      </c>
      <c r="F237" s="27" t="n">
        <v>45996</v>
      </c>
      <c r="G237" s="27" t="n">
        <v>45995</v>
      </c>
      <c r="H237" s="27" t="n">
        <v>45995</v>
      </c>
      <c r="I237" s="27" t="n">
        <v>45991</v>
      </c>
      <c r="J237" s="27" t="n">
        <v>45995</v>
      </c>
      <c r="K237" t="inlineStr">
        <is>
          <t>Cartão de Crédito</t>
        </is>
      </c>
      <c r="L237" t="inlineStr">
        <is>
          <t>Manutenção</t>
        </is>
      </c>
      <c r="M237" t="inlineStr">
        <is>
          <t>Material de Manutenção</t>
        </is>
      </c>
      <c r="N237" t="inlineStr">
        <is>
          <t>13PETTY102025</t>
        </is>
      </c>
      <c r="O237" t="inlineStr">
        <is>
          <t>Documentação Aprovada</t>
        </is>
      </c>
      <c r="P237" t="inlineStr">
        <is>
          <t>Aprovado Diretoria</t>
        </is>
      </c>
      <c r="Q237" t="inlineStr">
        <is>
          <t>Aprovado Caixa</t>
        </is>
      </c>
      <c r="R237" t="inlineStr">
        <is>
          <t>Pago</t>
        </is>
      </c>
      <c r="S237" t="n">
        <v>182</v>
      </c>
      <c r="T237" t="inlineStr">
        <is>
          <t>Love - Shibari - Kamino</t>
        </is>
      </c>
    </row>
    <row r="238">
      <c r="A238" t="n">
        <v>176501</v>
      </c>
      <c r="B238" t="n">
        <v>128</v>
      </c>
      <c r="C238" t="inlineStr">
        <is>
          <t>Love Cabaret</t>
        </is>
      </c>
      <c r="D238" t="inlineStr">
        <is>
          <t>ESTAFF SOLUCOES TECNOLOGICAS DE AGENCIAMENTO LTDA</t>
        </is>
      </c>
      <c r="E238" t="n">
        <v>17831</v>
      </c>
      <c r="F238" s="27" t="n">
        <v>45994</v>
      </c>
      <c r="G238" s="27" t="n">
        <v>45995</v>
      </c>
      <c r="H238" s="27" t="n">
        <v>45995</v>
      </c>
      <c r="I238" s="27" t="n">
        <v>45978</v>
      </c>
      <c r="J238" s="27" t="n">
        <v>45979</v>
      </c>
      <c r="K238" t="inlineStr">
        <is>
          <t>Boleto Bancário</t>
        </is>
      </c>
      <c r="L238" t="inlineStr">
        <is>
          <t>Mão de Obra - Extra</t>
        </is>
      </c>
      <c r="M238" t="inlineStr">
        <is>
          <t>Mão de Obra Extra</t>
        </is>
      </c>
      <c r="N238" t="inlineStr">
        <is>
          <t>BOL 685879640</t>
        </is>
      </c>
      <c r="O238" t="inlineStr">
        <is>
          <t>Documentação Aprovada</t>
        </is>
      </c>
      <c r="P238" t="inlineStr">
        <is>
          <t>Aprovado Diretoria</t>
        </is>
      </c>
      <c r="Q238" t="inlineStr">
        <is>
          <t>Aprovado Caixa</t>
        </is>
      </c>
      <c r="R238" t="inlineStr">
        <is>
          <t>Pago</t>
        </is>
      </c>
      <c r="S238" t="n">
        <v>182</v>
      </c>
      <c r="T238" t="inlineStr">
        <is>
          <t>Love - Shibari - Kamino</t>
        </is>
      </c>
    </row>
    <row r="239">
      <c r="A239" t="n">
        <v>178608</v>
      </c>
      <c r="B239" t="n">
        <v>128</v>
      </c>
      <c r="C239" t="inlineStr">
        <is>
          <t>Love Cabaret</t>
        </is>
      </c>
      <c r="D239" t="inlineStr">
        <is>
          <t>PETTY CASH</t>
        </is>
      </c>
      <c r="E239" t="n">
        <v>75.3</v>
      </c>
      <c r="F239" s="27" t="n">
        <v>45996</v>
      </c>
      <c r="G239" s="27" t="n">
        <v>45995</v>
      </c>
      <c r="H239" s="27" t="n">
        <v>45995</v>
      </c>
      <c r="I239" s="27" t="n">
        <v>45962</v>
      </c>
      <c r="J239" s="27" t="n">
        <v>45988</v>
      </c>
      <c r="K239" t="inlineStr">
        <is>
          <t>Cartão de Crédito</t>
        </is>
      </c>
      <c r="L239" t="inlineStr">
        <is>
          <t>Manutenção</t>
        </is>
      </c>
      <c r="M239" t="inlineStr">
        <is>
          <t>Material de Manutenção</t>
        </is>
      </c>
      <c r="N239" t="inlineStr">
        <is>
          <t>34PETTY112025</t>
        </is>
      </c>
      <c r="O239" t="inlineStr">
        <is>
          <t>Documentação Aprovada</t>
        </is>
      </c>
      <c r="P239" t="inlineStr">
        <is>
          <t>Aprovado Diretoria</t>
        </is>
      </c>
      <c r="Q239" t="inlineStr">
        <is>
          <t>Aprovado Caixa</t>
        </is>
      </c>
      <c r="R239" t="inlineStr">
        <is>
          <t>Pago</t>
        </is>
      </c>
      <c r="S239" t="n">
        <v>182</v>
      </c>
      <c r="T239" t="inlineStr">
        <is>
          <t>Love - Shibari - Kamino</t>
        </is>
      </c>
    </row>
    <row r="240">
      <c r="A240" t="n">
        <v>178607</v>
      </c>
      <c r="B240" t="n">
        <v>128</v>
      </c>
      <c r="C240" t="inlineStr">
        <is>
          <t>Love Cabaret</t>
        </is>
      </c>
      <c r="D240" t="inlineStr">
        <is>
          <t>PETTY CASH</t>
        </is>
      </c>
      <c r="E240" t="n">
        <v>82.5</v>
      </c>
      <c r="F240" s="27" t="n">
        <v>45996</v>
      </c>
      <c r="G240" s="27" t="n">
        <v>45995</v>
      </c>
      <c r="H240" s="27" t="n">
        <v>45995</v>
      </c>
      <c r="I240" s="27" t="n">
        <v>45962</v>
      </c>
      <c r="J240" s="27" t="n">
        <v>45988</v>
      </c>
      <c r="K240" t="inlineStr">
        <is>
          <t>Cartão de Crédito</t>
        </is>
      </c>
      <c r="L240" t="inlineStr">
        <is>
          <t>Manutenção</t>
        </is>
      </c>
      <c r="M240" t="inlineStr">
        <is>
          <t>Material de Manutenção</t>
        </is>
      </c>
      <c r="N240" t="inlineStr">
        <is>
          <t>35PETTY112025</t>
        </is>
      </c>
      <c r="O240" t="inlineStr">
        <is>
          <t>Documentação Aprovada</t>
        </is>
      </c>
      <c r="P240" t="inlineStr">
        <is>
          <t>Aprovado Diretoria</t>
        </is>
      </c>
      <c r="Q240" t="inlineStr">
        <is>
          <t>Aprovado Caixa</t>
        </is>
      </c>
      <c r="R240" t="inlineStr">
        <is>
          <t>Pago</t>
        </is>
      </c>
      <c r="S240" t="n">
        <v>182</v>
      </c>
      <c r="T240" t="inlineStr">
        <is>
          <t>Love - Shibari - Kamino</t>
        </is>
      </c>
    </row>
    <row r="241">
      <c r="A241" t="n">
        <v>178606</v>
      </c>
      <c r="B241" t="n">
        <v>128</v>
      </c>
      <c r="C241" t="inlineStr">
        <is>
          <t>Love Cabaret</t>
        </is>
      </c>
      <c r="D241" t="inlineStr">
        <is>
          <t>PETTY CASH</t>
        </is>
      </c>
      <c r="E241" t="n">
        <v>315.9</v>
      </c>
      <c r="F241" s="27" t="n">
        <v>45996</v>
      </c>
      <c r="G241" s="27" t="n">
        <v>45995</v>
      </c>
      <c r="H241" s="27" t="n">
        <v>45995</v>
      </c>
      <c r="I241" s="27" t="n">
        <v>45962</v>
      </c>
      <c r="J241" s="27" t="n">
        <v>45988</v>
      </c>
      <c r="K241" t="inlineStr">
        <is>
          <t>Cartão de Crédito</t>
        </is>
      </c>
      <c r="L241" t="inlineStr">
        <is>
          <t>Manutenção</t>
        </is>
      </c>
      <c r="M241" t="inlineStr">
        <is>
          <t>Material de Manutenção</t>
        </is>
      </c>
      <c r="N241" t="inlineStr">
        <is>
          <t>33PETTY112025</t>
        </is>
      </c>
      <c r="O241" t="inlineStr">
        <is>
          <t>Documentação Aprovada</t>
        </is>
      </c>
      <c r="P241" t="inlineStr">
        <is>
          <t>Aprovado Diretoria</t>
        </is>
      </c>
      <c r="Q241" t="inlineStr">
        <is>
          <t>Aprovado Caixa</t>
        </is>
      </c>
      <c r="R241" t="inlineStr">
        <is>
          <t>Pago</t>
        </is>
      </c>
      <c r="S241" t="n">
        <v>182</v>
      </c>
      <c r="T241" t="inlineStr">
        <is>
          <t>Love - Shibari - Kamino</t>
        </is>
      </c>
    </row>
    <row r="242">
      <c r="A242" t="n">
        <v>178604</v>
      </c>
      <c r="B242" t="n">
        <v>128</v>
      </c>
      <c r="C242" t="inlineStr">
        <is>
          <t>Love Cabaret</t>
        </is>
      </c>
      <c r="D242" t="inlineStr">
        <is>
          <t>PETTY CASH</t>
        </is>
      </c>
      <c r="E242" t="n">
        <v>34.89</v>
      </c>
      <c r="F242" s="27" t="n">
        <v>45996</v>
      </c>
      <c r="G242" s="27" t="n">
        <v>45995</v>
      </c>
      <c r="H242" s="27" t="n">
        <v>45995</v>
      </c>
      <c r="I242" s="27" t="n">
        <v>45962</v>
      </c>
      <c r="J242" s="27" t="n">
        <v>45988</v>
      </c>
      <c r="K242" t="inlineStr">
        <is>
          <t>Cartão de Crédito</t>
        </is>
      </c>
      <c r="L242" t="inlineStr">
        <is>
          <t>Manutenção</t>
        </is>
      </c>
      <c r="M242" t="inlineStr">
        <is>
          <t>Material de Manutenção</t>
        </is>
      </c>
      <c r="N242" t="inlineStr">
        <is>
          <t>31PETTY112025</t>
        </is>
      </c>
      <c r="O242" t="inlineStr">
        <is>
          <t>Documentação Aprovada</t>
        </is>
      </c>
      <c r="P242" t="inlineStr">
        <is>
          <t>Aprovado Diretoria</t>
        </is>
      </c>
      <c r="Q242" t="inlineStr">
        <is>
          <t>Aprovado Caixa</t>
        </is>
      </c>
      <c r="R242" t="inlineStr">
        <is>
          <t>Pago</t>
        </is>
      </c>
      <c r="S242" t="n">
        <v>182</v>
      </c>
      <c r="T242" t="inlineStr">
        <is>
          <t>Love - Shibari - Kamino</t>
        </is>
      </c>
    </row>
    <row r="243">
      <c r="A243" t="n">
        <v>178605</v>
      </c>
      <c r="B243" t="n">
        <v>128</v>
      </c>
      <c r="C243" t="inlineStr">
        <is>
          <t>Love Cabaret</t>
        </is>
      </c>
      <c r="D243" t="inlineStr">
        <is>
          <t>PETTY CASH</t>
        </is>
      </c>
      <c r="E243" t="n">
        <v>74</v>
      </c>
      <c r="F243" s="27" t="n">
        <v>45996</v>
      </c>
      <c r="G243" s="27" t="n">
        <v>45995</v>
      </c>
      <c r="H243" s="27" t="n">
        <v>45995</v>
      </c>
      <c r="I243" s="27" t="n">
        <v>45962</v>
      </c>
      <c r="J243" s="27" t="n">
        <v>45988</v>
      </c>
      <c r="K243" t="inlineStr">
        <is>
          <t>Cartão de Crédito</t>
        </is>
      </c>
      <c r="L243" t="inlineStr">
        <is>
          <t>Utilidades</t>
        </is>
      </c>
      <c r="M243" t="inlineStr">
        <is>
          <t>Serviços Graficos</t>
        </is>
      </c>
      <c r="N243" t="inlineStr">
        <is>
          <t>32PETTY112025</t>
        </is>
      </c>
      <c r="O243" t="inlineStr">
        <is>
          <t>Documentação Aprovada</t>
        </is>
      </c>
      <c r="P243" t="inlineStr">
        <is>
          <t>Aprovado Diretoria</t>
        </is>
      </c>
      <c r="Q243" t="inlineStr">
        <is>
          <t>Aprovado Caixa</t>
        </is>
      </c>
      <c r="R243" t="inlineStr">
        <is>
          <t>Pago</t>
        </is>
      </c>
      <c r="S243" t="n">
        <v>182</v>
      </c>
      <c r="T243" t="inlineStr">
        <is>
          <t>Love - Shibari - Kamino</t>
        </is>
      </c>
    </row>
    <row r="244">
      <c r="A244" t="n">
        <v>177721</v>
      </c>
      <c r="B244" t="n">
        <v>128</v>
      </c>
      <c r="C244" t="inlineStr">
        <is>
          <t>Love Cabaret</t>
        </is>
      </c>
      <c r="D244" t="inlineStr">
        <is>
          <t>PETTY CASH</t>
        </is>
      </c>
      <c r="E244" t="n">
        <v>18.9</v>
      </c>
      <c r="F244" s="27" t="n">
        <v>45996</v>
      </c>
      <c r="G244" s="27" t="n">
        <v>45995</v>
      </c>
      <c r="H244" s="27" t="n">
        <v>45995</v>
      </c>
      <c r="I244" s="27" t="n">
        <v>45962</v>
      </c>
      <c r="J244" s="27" t="n">
        <v>45986</v>
      </c>
      <c r="K244" t="inlineStr">
        <is>
          <t>Cartão de Crédito</t>
        </is>
      </c>
      <c r="L244" t="inlineStr">
        <is>
          <t>Utilidades</t>
        </is>
      </c>
      <c r="M244" t="inlineStr">
        <is>
          <t>Utensilios</t>
        </is>
      </c>
      <c r="N244" t="inlineStr">
        <is>
          <t>1PETTY112025</t>
        </is>
      </c>
      <c r="O244" t="inlineStr">
        <is>
          <t>Documentação Aprovada</t>
        </is>
      </c>
      <c r="P244" t="inlineStr">
        <is>
          <t>Aprovado Diretoria</t>
        </is>
      </c>
      <c r="Q244" t="inlineStr">
        <is>
          <t>Aprovado Caixa</t>
        </is>
      </c>
      <c r="R244" t="inlineStr">
        <is>
          <t>Pago</t>
        </is>
      </c>
      <c r="S244" t="n">
        <v>182</v>
      </c>
      <c r="T244" t="inlineStr">
        <is>
          <t>Love - Shibari - Kamino</t>
        </is>
      </c>
    </row>
    <row r="245">
      <c r="A245" t="n">
        <v>177766</v>
      </c>
      <c r="B245" t="n">
        <v>128</v>
      </c>
      <c r="C245" t="inlineStr">
        <is>
          <t>Love Cabaret</t>
        </is>
      </c>
      <c r="D245" t="inlineStr">
        <is>
          <t>PETTY CASH</t>
        </is>
      </c>
      <c r="E245" t="n">
        <v>19.99</v>
      </c>
      <c r="F245" s="27" t="n">
        <v>45996</v>
      </c>
      <c r="G245" s="27" t="n">
        <v>45995</v>
      </c>
      <c r="H245" s="27" t="n">
        <v>45995</v>
      </c>
      <c r="I245" s="27" t="n">
        <v>45962</v>
      </c>
      <c r="J245" s="27" t="n">
        <v>45986</v>
      </c>
      <c r="K245" t="inlineStr">
        <is>
          <t>Cartão de Crédito</t>
        </is>
      </c>
      <c r="L245" t="inlineStr">
        <is>
          <t>Utilidades</t>
        </is>
      </c>
      <c r="M245" t="inlineStr">
        <is>
          <t>Utensilios</t>
        </is>
      </c>
      <c r="N245" t="inlineStr">
        <is>
          <t xml:space="preserve">30PETTY112025 </t>
        </is>
      </c>
      <c r="O245" t="inlineStr">
        <is>
          <t>Documentação Aprovada</t>
        </is>
      </c>
      <c r="P245" t="inlineStr">
        <is>
          <t>Aprovado Diretoria</t>
        </is>
      </c>
      <c r="Q245" t="inlineStr">
        <is>
          <t>Aprovado Caixa</t>
        </is>
      </c>
      <c r="R245" t="inlineStr">
        <is>
          <t>Pago</t>
        </is>
      </c>
      <c r="S245" t="n">
        <v>182</v>
      </c>
      <c r="T245" t="inlineStr">
        <is>
          <t>Love - Shibari - Kamino</t>
        </is>
      </c>
    </row>
    <row r="246">
      <c r="A246" t="n">
        <v>177752</v>
      </c>
      <c r="B246" t="n">
        <v>128</v>
      </c>
      <c r="C246" t="inlineStr">
        <is>
          <t>Love Cabaret</t>
        </is>
      </c>
      <c r="D246" t="inlineStr">
        <is>
          <t>PETTY CASH</t>
        </is>
      </c>
      <c r="E246" t="n">
        <v>102</v>
      </c>
      <c r="F246" s="27" t="n">
        <v>45996</v>
      </c>
      <c r="G246" s="27" t="n">
        <v>45995</v>
      </c>
      <c r="H246" s="27" t="n">
        <v>45995</v>
      </c>
      <c r="I246" s="27" t="n">
        <v>45962</v>
      </c>
      <c r="J246" s="27" t="n">
        <v>45986</v>
      </c>
      <c r="K246" t="inlineStr">
        <is>
          <t>Cartão de Crédito</t>
        </is>
      </c>
      <c r="L246" t="inlineStr">
        <is>
          <t>Utilidades</t>
        </is>
      </c>
      <c r="M246" t="inlineStr">
        <is>
          <t>Material de Consumo - Gelo/ Gas CO2/ Carvao /Velas</t>
        </is>
      </c>
      <c r="N246" t="inlineStr">
        <is>
          <t xml:space="preserve">19PETTY112025 </t>
        </is>
      </c>
      <c r="O246" t="inlineStr">
        <is>
          <t>Documentação Aprovada</t>
        </is>
      </c>
      <c r="P246" t="inlineStr">
        <is>
          <t>Aprovado Diretoria</t>
        </is>
      </c>
      <c r="Q246" t="inlineStr">
        <is>
          <t>Aprovado Caixa</t>
        </is>
      </c>
      <c r="R246" t="inlineStr">
        <is>
          <t>Pago</t>
        </is>
      </c>
      <c r="S246" t="n">
        <v>182</v>
      </c>
      <c r="T246" t="inlineStr">
        <is>
          <t>Love - Shibari - Kamino</t>
        </is>
      </c>
    </row>
    <row r="247">
      <c r="A247" t="n">
        <v>177753</v>
      </c>
      <c r="B247" t="n">
        <v>128</v>
      </c>
      <c r="C247" t="inlineStr">
        <is>
          <t>Love Cabaret</t>
        </is>
      </c>
      <c r="D247" t="inlineStr">
        <is>
          <t>PETTY CASH</t>
        </is>
      </c>
      <c r="E247" t="n">
        <v>48</v>
      </c>
      <c r="F247" s="27" t="n">
        <v>45996</v>
      </c>
      <c r="G247" s="27" t="n">
        <v>45995</v>
      </c>
      <c r="H247" s="27" t="n">
        <v>45995</v>
      </c>
      <c r="I247" s="27" t="n">
        <v>45962</v>
      </c>
      <c r="J247" s="27" t="n">
        <v>45986</v>
      </c>
      <c r="K247" t="inlineStr">
        <is>
          <t>Cartão de Crédito</t>
        </is>
      </c>
      <c r="L247" t="inlineStr">
        <is>
          <t>Utilidades</t>
        </is>
      </c>
      <c r="M247" t="inlineStr">
        <is>
          <t>Material de Consumo - Gelo/ Gas CO2/ Carvao /Velas</t>
        </is>
      </c>
      <c r="N247" t="inlineStr">
        <is>
          <t xml:space="preserve">20PETTY112025 </t>
        </is>
      </c>
      <c r="O247" t="inlineStr">
        <is>
          <t>Documentação Aprovada</t>
        </is>
      </c>
      <c r="P247" t="inlineStr">
        <is>
          <t>Aprovado Diretoria</t>
        </is>
      </c>
      <c r="Q247" t="inlineStr">
        <is>
          <t>Aprovado Caixa</t>
        </is>
      </c>
      <c r="R247" t="inlineStr">
        <is>
          <t>Pago</t>
        </is>
      </c>
      <c r="S247" t="n">
        <v>182</v>
      </c>
      <c r="T247" t="inlineStr">
        <is>
          <t>Love - Shibari - Kamino</t>
        </is>
      </c>
    </row>
    <row r="248">
      <c r="A248" t="n">
        <v>177754</v>
      </c>
      <c r="B248" t="n">
        <v>128</v>
      </c>
      <c r="C248" t="inlineStr">
        <is>
          <t>Love Cabaret</t>
        </is>
      </c>
      <c r="D248" t="inlineStr">
        <is>
          <t>PETTY CASH</t>
        </is>
      </c>
      <c r="E248" t="n">
        <v>129.9</v>
      </c>
      <c r="F248" s="27" t="n">
        <v>45996</v>
      </c>
      <c r="G248" s="27" t="n">
        <v>45995</v>
      </c>
      <c r="H248" s="27" t="n">
        <v>45995</v>
      </c>
      <c r="I248" s="27" t="n">
        <v>45962</v>
      </c>
      <c r="J248" s="27" t="n">
        <v>45986</v>
      </c>
      <c r="K248" t="inlineStr">
        <is>
          <t>Cartão de Crédito</t>
        </is>
      </c>
      <c r="L248" t="inlineStr">
        <is>
          <t>Utilidades</t>
        </is>
      </c>
      <c r="M248" t="inlineStr">
        <is>
          <t>Utensilios</t>
        </is>
      </c>
      <c r="N248" t="inlineStr">
        <is>
          <t>21PETTY112025</t>
        </is>
      </c>
      <c r="O248" t="inlineStr">
        <is>
          <t>Documentação Aprovada</t>
        </is>
      </c>
      <c r="P248" t="inlineStr">
        <is>
          <t>Aprovado Diretoria</t>
        </is>
      </c>
      <c r="Q248" t="inlineStr">
        <is>
          <t>Aprovado Caixa</t>
        </is>
      </c>
      <c r="R248" t="inlineStr">
        <is>
          <t>Pago</t>
        </is>
      </c>
      <c r="S248" t="n">
        <v>182</v>
      </c>
      <c r="T248" t="inlineStr">
        <is>
          <t>Love - Shibari - Kamino</t>
        </is>
      </c>
    </row>
    <row r="249">
      <c r="A249" t="n">
        <v>177755</v>
      </c>
      <c r="B249" t="n">
        <v>128</v>
      </c>
      <c r="C249" t="inlineStr">
        <is>
          <t>Love Cabaret</t>
        </is>
      </c>
      <c r="D249" t="inlineStr">
        <is>
          <t>PETTY CASH</t>
        </is>
      </c>
      <c r="E249" t="n">
        <v>78</v>
      </c>
      <c r="F249" s="27" t="n">
        <v>45996</v>
      </c>
      <c r="G249" s="27" t="n">
        <v>45995</v>
      </c>
      <c r="H249" s="27" t="n">
        <v>45995</v>
      </c>
      <c r="I249" s="27" t="n">
        <v>45962</v>
      </c>
      <c r="J249" s="27" t="n">
        <v>45986</v>
      </c>
      <c r="K249" t="inlineStr">
        <is>
          <t>Cartão de Crédito</t>
        </is>
      </c>
      <c r="L249" t="inlineStr">
        <is>
          <t>Utilidades</t>
        </is>
      </c>
      <c r="M249" t="inlineStr">
        <is>
          <t>Utensilios</t>
        </is>
      </c>
      <c r="N249" t="inlineStr">
        <is>
          <t>22PETTY112025</t>
        </is>
      </c>
      <c r="O249" t="inlineStr">
        <is>
          <t>Documentação Aprovada</t>
        </is>
      </c>
      <c r="P249" t="inlineStr">
        <is>
          <t>Aprovado Diretoria</t>
        </is>
      </c>
      <c r="Q249" t="inlineStr">
        <is>
          <t>Aprovado Caixa</t>
        </is>
      </c>
      <c r="R249" t="inlineStr">
        <is>
          <t>Pago</t>
        </is>
      </c>
      <c r="S249" t="n">
        <v>182</v>
      </c>
      <c r="T249" t="inlineStr">
        <is>
          <t>Love - Shibari - Kamino</t>
        </is>
      </c>
    </row>
    <row r="250">
      <c r="A250" t="n">
        <v>177756</v>
      </c>
      <c r="B250" t="n">
        <v>128</v>
      </c>
      <c r="C250" t="inlineStr">
        <is>
          <t>Love Cabaret</t>
        </is>
      </c>
      <c r="D250" t="inlineStr">
        <is>
          <t>PETTY CASH</t>
        </is>
      </c>
      <c r="E250" t="n">
        <v>24.9</v>
      </c>
      <c r="F250" s="27" t="n">
        <v>45996</v>
      </c>
      <c r="G250" s="27" t="n">
        <v>45995</v>
      </c>
      <c r="H250" s="27" t="n">
        <v>45995</v>
      </c>
      <c r="I250" s="27" t="n">
        <v>45962</v>
      </c>
      <c r="J250" s="27" t="n">
        <v>45986</v>
      </c>
      <c r="K250" t="inlineStr">
        <is>
          <t>Cartão de Crédito</t>
        </is>
      </c>
      <c r="L250" t="inlineStr">
        <is>
          <t>Utilidades</t>
        </is>
      </c>
      <c r="M250" t="inlineStr">
        <is>
          <t>Utensilios</t>
        </is>
      </c>
      <c r="N250" t="inlineStr">
        <is>
          <t>23PETTY112025</t>
        </is>
      </c>
      <c r="O250" t="inlineStr">
        <is>
          <t>Documentação Aprovada</t>
        </is>
      </c>
      <c r="P250" t="inlineStr">
        <is>
          <t>Aprovado Diretoria</t>
        </is>
      </c>
      <c r="Q250" t="inlineStr">
        <is>
          <t>Aprovado Caixa</t>
        </is>
      </c>
      <c r="R250" t="inlineStr">
        <is>
          <t>Pago</t>
        </is>
      </c>
      <c r="S250" t="n">
        <v>182</v>
      </c>
      <c r="T250" t="inlineStr">
        <is>
          <t>Love - Shibari - Kamino</t>
        </is>
      </c>
    </row>
    <row r="251">
      <c r="A251" t="n">
        <v>177757</v>
      </c>
      <c r="B251" t="n">
        <v>128</v>
      </c>
      <c r="C251" t="inlineStr">
        <is>
          <t>Love Cabaret</t>
        </is>
      </c>
      <c r="D251" t="inlineStr">
        <is>
          <t>PETTY CASH</t>
        </is>
      </c>
      <c r="E251" t="n">
        <v>113.7</v>
      </c>
      <c r="F251" s="27" t="n">
        <v>45996</v>
      </c>
      <c r="G251" s="27" t="n">
        <v>45995</v>
      </c>
      <c r="H251" s="27" t="n">
        <v>45995</v>
      </c>
      <c r="I251" s="27" t="n">
        <v>45962</v>
      </c>
      <c r="J251" s="27" t="n">
        <v>45986</v>
      </c>
      <c r="K251" t="inlineStr">
        <is>
          <t>Cartão de Crédito</t>
        </is>
      </c>
      <c r="L251" t="inlineStr">
        <is>
          <t>Custo Mercadoria Vendida</t>
        </is>
      </c>
      <c r="M251" t="inlineStr">
        <is>
          <t>Insumos - Alimentos</t>
        </is>
      </c>
      <c r="N251" t="inlineStr">
        <is>
          <t>24PETTY112025</t>
        </is>
      </c>
      <c r="O251" t="inlineStr">
        <is>
          <t>Documentação Aprovada</t>
        </is>
      </c>
      <c r="P251" t="inlineStr">
        <is>
          <t>Aprovado Diretoria</t>
        </is>
      </c>
      <c r="Q251" t="inlineStr">
        <is>
          <t>Aprovado Caixa</t>
        </is>
      </c>
      <c r="R251" t="inlineStr">
        <is>
          <t>Pago</t>
        </is>
      </c>
      <c r="S251" t="n">
        <v>182</v>
      </c>
      <c r="T251" t="inlineStr">
        <is>
          <t>Love - Shibari - Kamino</t>
        </is>
      </c>
    </row>
    <row r="252">
      <c r="A252" t="n">
        <v>177750</v>
      </c>
      <c r="B252" t="n">
        <v>128</v>
      </c>
      <c r="C252" t="inlineStr">
        <is>
          <t>Love Cabaret</t>
        </is>
      </c>
      <c r="D252" t="inlineStr">
        <is>
          <t>PETTY CASH</t>
        </is>
      </c>
      <c r="E252" t="n">
        <v>125.9</v>
      </c>
      <c r="F252" s="27" t="n">
        <v>45996</v>
      </c>
      <c r="G252" s="27" t="n">
        <v>45995</v>
      </c>
      <c r="H252" s="27" t="n">
        <v>45995</v>
      </c>
      <c r="I252" s="27" t="n">
        <v>45962</v>
      </c>
      <c r="J252" s="27" t="n">
        <v>45986</v>
      </c>
      <c r="K252" t="inlineStr">
        <is>
          <t>Cartão de Crédito</t>
        </is>
      </c>
      <c r="L252" t="inlineStr">
        <is>
          <t>Manutenção</t>
        </is>
      </c>
      <c r="M252" t="inlineStr">
        <is>
          <t>Material de Manutenção</t>
        </is>
      </c>
      <c r="N252" t="inlineStr">
        <is>
          <t>16PETTY112025</t>
        </is>
      </c>
      <c r="O252" t="inlineStr">
        <is>
          <t>Documentação Aprovada</t>
        </is>
      </c>
      <c r="P252" t="inlineStr">
        <is>
          <t>Aprovado Diretoria</t>
        </is>
      </c>
      <c r="Q252" t="inlineStr">
        <is>
          <t>Aprovado Caixa</t>
        </is>
      </c>
      <c r="R252" t="inlineStr">
        <is>
          <t>Pago</t>
        </is>
      </c>
      <c r="S252" t="n">
        <v>182</v>
      </c>
      <c r="T252" t="inlineStr">
        <is>
          <t>Love - Shibari - Kamino</t>
        </is>
      </c>
    </row>
    <row r="253">
      <c r="A253" t="n">
        <v>177759</v>
      </c>
      <c r="B253" t="n">
        <v>128</v>
      </c>
      <c r="C253" t="inlineStr">
        <is>
          <t>Love Cabaret</t>
        </is>
      </c>
      <c r="D253" t="inlineStr">
        <is>
          <t>PETTY CASH</t>
        </is>
      </c>
      <c r="E253" t="n">
        <v>46.35</v>
      </c>
      <c r="F253" s="27" t="n">
        <v>45996</v>
      </c>
      <c r="G253" s="27" t="n">
        <v>45995</v>
      </c>
      <c r="H253" s="27" t="n">
        <v>45995</v>
      </c>
      <c r="I253" s="27" t="n">
        <v>45962</v>
      </c>
      <c r="J253" s="27" t="n">
        <v>45986</v>
      </c>
      <c r="K253" t="inlineStr">
        <is>
          <t>Cartão de Crédito</t>
        </is>
      </c>
      <c r="L253" t="inlineStr">
        <is>
          <t>Custo Mercadoria Vendida</t>
        </is>
      </c>
      <c r="M253" t="inlineStr">
        <is>
          <t>Insumos - Bebidas</t>
        </is>
      </c>
      <c r="N253" t="inlineStr">
        <is>
          <t xml:space="preserve">25PETTY112025 </t>
        </is>
      </c>
      <c r="O253" t="inlineStr">
        <is>
          <t>Documentação Aprovada</t>
        </is>
      </c>
      <c r="P253" t="inlineStr">
        <is>
          <t>Aprovado Diretoria</t>
        </is>
      </c>
      <c r="Q253" t="inlineStr">
        <is>
          <t>Aprovado Caixa</t>
        </is>
      </c>
      <c r="R253" t="inlineStr">
        <is>
          <t>Pago</t>
        </is>
      </c>
      <c r="S253" t="n">
        <v>182</v>
      </c>
      <c r="T253" t="inlineStr">
        <is>
          <t>Love - Shibari - Kamino</t>
        </is>
      </c>
    </row>
    <row r="254">
      <c r="A254" t="n">
        <v>177761</v>
      </c>
      <c r="B254" t="n">
        <v>128</v>
      </c>
      <c r="C254" t="inlineStr">
        <is>
          <t>Love Cabaret</t>
        </is>
      </c>
      <c r="D254" t="inlineStr">
        <is>
          <t>PETTY CASH</t>
        </is>
      </c>
      <c r="E254" t="n">
        <v>48.54</v>
      </c>
      <c r="F254" s="27" t="n">
        <v>45996</v>
      </c>
      <c r="G254" s="27" t="n">
        <v>45995</v>
      </c>
      <c r="H254" s="27" t="n">
        <v>45995</v>
      </c>
      <c r="I254" s="27" t="n">
        <v>45962</v>
      </c>
      <c r="J254" s="27" t="n">
        <v>45986</v>
      </c>
      <c r="K254" t="inlineStr">
        <is>
          <t>Cartão de Crédito</t>
        </is>
      </c>
      <c r="L254" t="inlineStr">
        <is>
          <t>Despesas com Transporte / Hospedagem</t>
        </is>
      </c>
      <c r="M254" t="inlineStr">
        <is>
          <t>Fretes e Carretos</t>
        </is>
      </c>
      <c r="N254" t="inlineStr">
        <is>
          <t xml:space="preserve">26PETTY112025 </t>
        </is>
      </c>
      <c r="O254" t="inlineStr">
        <is>
          <t>Documentação Aprovada</t>
        </is>
      </c>
      <c r="P254" t="inlineStr">
        <is>
          <t>Aprovado Diretoria</t>
        </is>
      </c>
      <c r="Q254" t="inlineStr">
        <is>
          <t>Aprovado Caixa</t>
        </is>
      </c>
      <c r="R254" t="inlineStr">
        <is>
          <t>Pago</t>
        </is>
      </c>
      <c r="S254" t="n">
        <v>182</v>
      </c>
      <c r="T254" t="inlineStr">
        <is>
          <t>Love - Shibari - Kamino</t>
        </is>
      </c>
    </row>
    <row r="255">
      <c r="A255" t="n">
        <v>177762</v>
      </c>
      <c r="B255" t="n">
        <v>128</v>
      </c>
      <c r="C255" t="inlineStr">
        <is>
          <t>Love Cabaret</t>
        </is>
      </c>
      <c r="D255" t="inlineStr">
        <is>
          <t>PETTY CASH</t>
        </is>
      </c>
      <c r="E255" t="n">
        <v>79</v>
      </c>
      <c r="F255" s="27" t="n">
        <v>45996</v>
      </c>
      <c r="G255" s="27" t="n">
        <v>45995</v>
      </c>
      <c r="H255" s="27" t="n">
        <v>45995</v>
      </c>
      <c r="I255" s="27" t="n">
        <v>45962</v>
      </c>
      <c r="J255" s="27" t="n">
        <v>45986</v>
      </c>
      <c r="K255" t="inlineStr">
        <is>
          <t>Cartão de Crédito</t>
        </is>
      </c>
      <c r="L255" t="inlineStr">
        <is>
          <t>Custo Mercadoria Vendida</t>
        </is>
      </c>
      <c r="M255" t="inlineStr">
        <is>
          <t>Insumos - Alimentos</t>
        </is>
      </c>
      <c r="N255" t="inlineStr">
        <is>
          <t xml:space="preserve">27PETTY112025 </t>
        </is>
      </c>
      <c r="O255" t="inlineStr">
        <is>
          <t>Documentação Aprovada</t>
        </is>
      </c>
      <c r="P255" t="inlineStr">
        <is>
          <t>Aprovado Diretoria</t>
        </is>
      </c>
      <c r="Q255" t="inlineStr">
        <is>
          <t>Aprovado Caixa</t>
        </is>
      </c>
      <c r="R255" t="inlineStr">
        <is>
          <t>Pago</t>
        </is>
      </c>
      <c r="S255" t="n">
        <v>182</v>
      </c>
      <c r="T255" t="inlineStr">
        <is>
          <t>Love - Shibari - Kamino</t>
        </is>
      </c>
    </row>
    <row r="256">
      <c r="A256" t="n">
        <v>177763</v>
      </c>
      <c r="B256" t="n">
        <v>128</v>
      </c>
      <c r="C256" t="inlineStr">
        <is>
          <t>Love Cabaret</t>
        </is>
      </c>
      <c r="D256" t="inlineStr">
        <is>
          <t>PETTY CASH</t>
        </is>
      </c>
      <c r="E256" t="n">
        <v>150</v>
      </c>
      <c r="F256" s="27" t="n">
        <v>45996</v>
      </c>
      <c r="G256" s="27" t="n">
        <v>45995</v>
      </c>
      <c r="H256" s="27" t="n">
        <v>45995</v>
      </c>
      <c r="I256" s="27" t="n">
        <v>45962</v>
      </c>
      <c r="J256" s="27" t="n">
        <v>45986</v>
      </c>
      <c r="K256" t="inlineStr">
        <is>
          <t>Cartão de Crédito</t>
        </is>
      </c>
      <c r="L256" t="inlineStr">
        <is>
          <t>Utilidades</t>
        </is>
      </c>
      <c r="M256" t="inlineStr">
        <is>
          <t>Utensilios</t>
        </is>
      </c>
      <c r="N256" t="inlineStr">
        <is>
          <t xml:space="preserve">28PETTY112025 </t>
        </is>
      </c>
      <c r="O256" t="inlineStr">
        <is>
          <t>Documentação Aprovada</t>
        </is>
      </c>
      <c r="P256" t="inlineStr">
        <is>
          <t>Aprovado Diretoria</t>
        </is>
      </c>
      <c r="Q256" t="inlineStr">
        <is>
          <t>Aprovado Caixa</t>
        </is>
      </c>
      <c r="R256" t="inlineStr">
        <is>
          <t>Pago</t>
        </is>
      </c>
      <c r="S256" t="n">
        <v>182</v>
      </c>
      <c r="T256" t="inlineStr">
        <is>
          <t>Love - Shibari - Kamino</t>
        </is>
      </c>
    </row>
    <row r="257">
      <c r="A257" t="n">
        <v>177764</v>
      </c>
      <c r="B257" t="n">
        <v>128</v>
      </c>
      <c r="C257" t="inlineStr">
        <is>
          <t>Love Cabaret</t>
        </is>
      </c>
      <c r="D257" t="inlineStr">
        <is>
          <t>PETTY CASH</t>
        </is>
      </c>
      <c r="E257" t="n">
        <v>350</v>
      </c>
      <c r="F257" s="27" t="n">
        <v>45996</v>
      </c>
      <c r="G257" s="27" t="n">
        <v>45995</v>
      </c>
      <c r="H257" s="27" t="n">
        <v>45995</v>
      </c>
      <c r="I257" s="27" t="n">
        <v>45962</v>
      </c>
      <c r="J257" s="27" t="n">
        <v>45986</v>
      </c>
      <c r="K257" t="inlineStr">
        <is>
          <t>Cartão de Crédito</t>
        </is>
      </c>
      <c r="L257" t="inlineStr">
        <is>
          <t>Utilidades</t>
        </is>
      </c>
      <c r="M257" t="inlineStr">
        <is>
          <t>Serviços Graficos</t>
        </is>
      </c>
      <c r="N257" t="inlineStr">
        <is>
          <t xml:space="preserve">29PETTY112025 </t>
        </is>
      </c>
      <c r="O257" t="inlineStr">
        <is>
          <t>Documentação Aprovada</t>
        </is>
      </c>
      <c r="P257" t="inlineStr">
        <is>
          <t>Aprovado Diretoria</t>
        </is>
      </c>
      <c r="Q257" t="inlineStr">
        <is>
          <t>Aprovado Caixa</t>
        </is>
      </c>
      <c r="R257" t="inlineStr">
        <is>
          <t>Pago</t>
        </is>
      </c>
      <c r="S257" t="n">
        <v>182</v>
      </c>
      <c r="T257" t="inlineStr">
        <is>
          <t>Love - Shibari - Kamino</t>
        </is>
      </c>
    </row>
    <row r="258">
      <c r="A258" t="n">
        <v>177751</v>
      </c>
      <c r="B258" t="n">
        <v>128</v>
      </c>
      <c r="C258" t="inlineStr">
        <is>
          <t>Love Cabaret</t>
        </is>
      </c>
      <c r="D258" t="inlineStr">
        <is>
          <t>PETTY CASH</t>
        </is>
      </c>
      <c r="E258" t="n">
        <v>66</v>
      </c>
      <c r="F258" s="27" t="n">
        <v>45996</v>
      </c>
      <c r="G258" s="27" t="n">
        <v>45995</v>
      </c>
      <c r="H258" s="27" t="n">
        <v>45995</v>
      </c>
      <c r="I258" s="27" t="n">
        <v>45962</v>
      </c>
      <c r="J258" s="27" t="n">
        <v>45986</v>
      </c>
      <c r="K258" t="inlineStr">
        <is>
          <t>Cartão de Crédito</t>
        </is>
      </c>
      <c r="L258" t="inlineStr">
        <is>
          <t>Manutenção</t>
        </is>
      </c>
      <c r="M258" t="inlineStr">
        <is>
          <t>Material de Manutenção</t>
        </is>
      </c>
      <c r="N258" t="inlineStr">
        <is>
          <t>17PETTY112025</t>
        </is>
      </c>
      <c r="O258" t="inlineStr">
        <is>
          <t>Documentação Aprovada</t>
        </is>
      </c>
      <c r="P258" t="inlineStr">
        <is>
          <t>Aprovado Diretoria</t>
        </is>
      </c>
      <c r="Q258" t="inlineStr">
        <is>
          <t>Aprovado Caixa</t>
        </is>
      </c>
      <c r="R258" t="inlineStr">
        <is>
          <t>Pago</t>
        </is>
      </c>
      <c r="S258" t="n">
        <v>182</v>
      </c>
      <c r="T258" t="inlineStr">
        <is>
          <t>Love - Shibari - Kamino</t>
        </is>
      </c>
    </row>
    <row r="259">
      <c r="A259" t="n">
        <v>177749</v>
      </c>
      <c r="B259" t="n">
        <v>128</v>
      </c>
      <c r="C259" t="inlineStr">
        <is>
          <t>Love Cabaret</t>
        </is>
      </c>
      <c r="D259" t="inlineStr">
        <is>
          <t>PETTY CASH</t>
        </is>
      </c>
      <c r="E259" t="n">
        <v>18.9</v>
      </c>
      <c r="F259" s="27" t="n">
        <v>45996</v>
      </c>
      <c r="G259" s="27" t="n">
        <v>45995</v>
      </c>
      <c r="H259" s="27" t="n">
        <v>45995</v>
      </c>
      <c r="I259" s="27" t="n">
        <v>45962</v>
      </c>
      <c r="J259" s="27" t="n">
        <v>45986</v>
      </c>
      <c r="K259" t="inlineStr">
        <is>
          <t>Cartão de Crédito</t>
        </is>
      </c>
      <c r="L259" t="inlineStr">
        <is>
          <t>Utilidades</t>
        </is>
      </c>
      <c r="M259" t="inlineStr">
        <is>
          <t>Utensilios</t>
        </is>
      </c>
      <c r="N259" t="inlineStr">
        <is>
          <t>15PETTY112025</t>
        </is>
      </c>
      <c r="O259" t="inlineStr">
        <is>
          <t>Documentação Aprovada</t>
        </is>
      </c>
      <c r="P259" t="inlineStr">
        <is>
          <t>Aprovado Diretoria</t>
        </is>
      </c>
      <c r="Q259" t="inlineStr">
        <is>
          <t>Aprovado Caixa</t>
        </is>
      </c>
      <c r="R259" t="inlineStr">
        <is>
          <t>Pago</t>
        </is>
      </c>
      <c r="S259" t="n">
        <v>182</v>
      </c>
      <c r="T259" t="inlineStr">
        <is>
          <t>Love - Shibari - Kamino</t>
        </is>
      </c>
    </row>
    <row r="260">
      <c r="A260" t="n">
        <v>177748</v>
      </c>
      <c r="B260" t="n">
        <v>128</v>
      </c>
      <c r="C260" t="inlineStr">
        <is>
          <t>Love Cabaret</t>
        </is>
      </c>
      <c r="D260" t="inlineStr">
        <is>
          <t>PETTY CASH</t>
        </is>
      </c>
      <c r="E260" t="n">
        <v>29.56</v>
      </c>
      <c r="F260" s="27" t="n">
        <v>45996</v>
      </c>
      <c r="G260" s="27" t="n">
        <v>45995</v>
      </c>
      <c r="H260" s="27" t="n">
        <v>45995</v>
      </c>
      <c r="I260" s="27" t="n">
        <v>45962</v>
      </c>
      <c r="J260" s="27" t="n">
        <v>45986</v>
      </c>
      <c r="K260" t="inlineStr">
        <is>
          <t>Cartão de Crédito</t>
        </is>
      </c>
      <c r="L260" t="inlineStr">
        <is>
          <t>Custo Mercadoria Vendida</t>
        </is>
      </c>
      <c r="M260" t="inlineStr">
        <is>
          <t>Insumos - Bebidas</t>
        </is>
      </c>
      <c r="N260" t="inlineStr">
        <is>
          <t xml:space="preserve">14PETTY112025 </t>
        </is>
      </c>
      <c r="O260" t="inlineStr">
        <is>
          <t>Documentação Aprovada</t>
        </is>
      </c>
      <c r="P260" t="inlineStr">
        <is>
          <t>Aprovado Diretoria</t>
        </is>
      </c>
      <c r="Q260" t="inlineStr">
        <is>
          <t>Aprovado Caixa</t>
        </is>
      </c>
      <c r="R260" t="inlineStr">
        <is>
          <t>Pago</t>
        </is>
      </c>
      <c r="S260" t="n">
        <v>182</v>
      </c>
      <c r="T260" t="inlineStr">
        <is>
          <t>Love - Shibari - Kamino</t>
        </is>
      </c>
    </row>
    <row r="261">
      <c r="A261" t="n">
        <v>177747</v>
      </c>
      <c r="B261" t="n">
        <v>128</v>
      </c>
      <c r="C261" t="inlineStr">
        <is>
          <t>Love Cabaret</t>
        </is>
      </c>
      <c r="D261" t="inlineStr">
        <is>
          <t>PETTY CASH</t>
        </is>
      </c>
      <c r="E261" t="n">
        <v>18.9</v>
      </c>
      <c r="F261" s="27" t="n">
        <v>45996</v>
      </c>
      <c r="G261" s="27" t="n">
        <v>45995</v>
      </c>
      <c r="H261" s="27" t="n">
        <v>45995</v>
      </c>
      <c r="I261" s="27" t="n">
        <v>45962</v>
      </c>
      <c r="J261" s="27" t="n">
        <v>45986</v>
      </c>
      <c r="K261" t="inlineStr">
        <is>
          <t>Cartão de Crédito</t>
        </is>
      </c>
      <c r="L261" t="inlineStr">
        <is>
          <t>Utilidades</t>
        </is>
      </c>
      <c r="M261" t="inlineStr">
        <is>
          <t>Utensilios</t>
        </is>
      </c>
      <c r="N261" t="inlineStr">
        <is>
          <t>13PETTY112025</t>
        </is>
      </c>
      <c r="O261" t="inlineStr">
        <is>
          <t>Documentação Aprovada</t>
        </is>
      </c>
      <c r="P261" t="inlineStr">
        <is>
          <t>Aprovado Diretoria</t>
        </is>
      </c>
      <c r="Q261" t="inlineStr">
        <is>
          <t>Aprovado Caixa</t>
        </is>
      </c>
      <c r="R261" t="inlineStr">
        <is>
          <t>Pago</t>
        </is>
      </c>
      <c r="S261" t="n">
        <v>182</v>
      </c>
      <c r="T261" t="inlineStr">
        <is>
          <t>Love - Shibari - Kamino</t>
        </is>
      </c>
    </row>
    <row r="262">
      <c r="A262" t="n">
        <v>177746</v>
      </c>
      <c r="B262" t="n">
        <v>128</v>
      </c>
      <c r="C262" t="inlineStr">
        <is>
          <t>Love Cabaret</t>
        </is>
      </c>
      <c r="D262" t="inlineStr">
        <is>
          <t>PETTY CASH</t>
        </is>
      </c>
      <c r="E262" t="n">
        <v>9.98</v>
      </c>
      <c r="F262" s="27" t="n">
        <v>45996</v>
      </c>
      <c r="G262" s="27" t="n">
        <v>45995</v>
      </c>
      <c r="H262" s="27" t="n">
        <v>45995</v>
      </c>
      <c r="I262" s="27" t="n">
        <v>45962</v>
      </c>
      <c r="J262" s="27" t="n">
        <v>45986</v>
      </c>
      <c r="K262" t="inlineStr">
        <is>
          <t>Cartão de Crédito</t>
        </is>
      </c>
      <c r="L262" t="inlineStr">
        <is>
          <t>Custo Mercadoria Vendida</t>
        </is>
      </c>
      <c r="M262" t="inlineStr">
        <is>
          <t>Insumos - Alimentos</t>
        </is>
      </c>
      <c r="N262" t="inlineStr">
        <is>
          <t xml:space="preserve">12PETTY112025 </t>
        </is>
      </c>
      <c r="O262" t="inlineStr">
        <is>
          <t>Documentação Aprovada</t>
        </is>
      </c>
      <c r="P262" t="inlineStr">
        <is>
          <t>Aprovado Diretoria</t>
        </is>
      </c>
      <c r="Q262" t="inlineStr">
        <is>
          <t>Aprovado Caixa</t>
        </is>
      </c>
      <c r="R262" t="inlineStr">
        <is>
          <t>Pago</t>
        </is>
      </c>
      <c r="S262" t="n">
        <v>182</v>
      </c>
      <c r="T262" t="inlineStr">
        <is>
          <t>Love - Shibari - Kamino</t>
        </is>
      </c>
    </row>
    <row r="263">
      <c r="A263" t="n">
        <v>177745</v>
      </c>
      <c r="B263" t="n">
        <v>128</v>
      </c>
      <c r="C263" t="inlineStr">
        <is>
          <t>Love Cabaret</t>
        </is>
      </c>
      <c r="D263" t="inlineStr">
        <is>
          <t>PETTY CASH</t>
        </is>
      </c>
      <c r="E263" t="n">
        <v>29.45</v>
      </c>
      <c r="F263" s="27" t="n">
        <v>45996</v>
      </c>
      <c r="G263" s="27" t="n">
        <v>45995</v>
      </c>
      <c r="H263" s="27" t="n">
        <v>45995</v>
      </c>
      <c r="I263" s="27" t="n">
        <v>45962</v>
      </c>
      <c r="J263" s="27" t="n">
        <v>45986</v>
      </c>
      <c r="K263" t="inlineStr">
        <is>
          <t>Cartão de Crédito</t>
        </is>
      </c>
      <c r="L263" t="inlineStr">
        <is>
          <t>Custo Mercadoria Vendida</t>
        </is>
      </c>
      <c r="M263" t="inlineStr">
        <is>
          <t>Insumos - Alimentos</t>
        </is>
      </c>
      <c r="N263" t="inlineStr">
        <is>
          <t xml:space="preserve">11PETTY112025 </t>
        </is>
      </c>
      <c r="O263" t="inlineStr">
        <is>
          <t>Documentação Aprovada</t>
        </is>
      </c>
      <c r="P263" t="inlineStr">
        <is>
          <t>Aprovado Diretoria</t>
        </is>
      </c>
      <c r="Q263" t="inlineStr">
        <is>
          <t>Aprovado Caixa</t>
        </is>
      </c>
      <c r="R263" t="inlineStr">
        <is>
          <t>Pago</t>
        </is>
      </c>
      <c r="S263" t="n">
        <v>182</v>
      </c>
      <c r="T263" t="inlineStr">
        <is>
          <t>Love - Shibari - Kamino</t>
        </is>
      </c>
    </row>
    <row r="264">
      <c r="A264" t="n">
        <v>177744</v>
      </c>
      <c r="B264" t="n">
        <v>128</v>
      </c>
      <c r="C264" t="inlineStr">
        <is>
          <t>Love Cabaret</t>
        </is>
      </c>
      <c r="D264" t="inlineStr">
        <is>
          <t>PETTY CASH</t>
        </is>
      </c>
      <c r="E264" t="n">
        <v>25.46</v>
      </c>
      <c r="F264" s="27" t="n">
        <v>45996</v>
      </c>
      <c r="G264" s="27" t="n">
        <v>45995</v>
      </c>
      <c r="H264" s="27" t="n">
        <v>45995</v>
      </c>
      <c r="I264" s="27" t="n">
        <v>45962</v>
      </c>
      <c r="J264" s="27" t="n">
        <v>45986</v>
      </c>
      <c r="K264" t="inlineStr">
        <is>
          <t>Cartão de Crédito</t>
        </is>
      </c>
      <c r="L264" t="inlineStr">
        <is>
          <t>Custo Mercadoria Vendida</t>
        </is>
      </c>
      <c r="M264" t="inlineStr">
        <is>
          <t>Insumos - Bebidas</t>
        </is>
      </c>
      <c r="N264" t="inlineStr">
        <is>
          <t xml:space="preserve">10PETTY112025 </t>
        </is>
      </c>
      <c r="O264" t="inlineStr">
        <is>
          <t>Documentação Aprovada</t>
        </is>
      </c>
      <c r="P264" t="inlineStr">
        <is>
          <t>Aprovado Diretoria</t>
        </is>
      </c>
      <c r="Q264" t="inlineStr">
        <is>
          <t>Aprovado Caixa</t>
        </is>
      </c>
      <c r="R264" t="inlineStr">
        <is>
          <t>Pago</t>
        </is>
      </c>
      <c r="S264" t="n">
        <v>182</v>
      </c>
      <c r="T264" t="inlineStr">
        <is>
          <t>Love - Shibari - Kamino</t>
        </is>
      </c>
    </row>
    <row r="265">
      <c r="A265" t="n">
        <v>177743</v>
      </c>
      <c r="B265" t="n">
        <v>128</v>
      </c>
      <c r="C265" t="inlineStr">
        <is>
          <t>Love Cabaret</t>
        </is>
      </c>
      <c r="D265" t="inlineStr">
        <is>
          <t>PETTY CASH</t>
        </is>
      </c>
      <c r="E265" t="n">
        <v>18.07</v>
      </c>
      <c r="F265" s="27" t="n">
        <v>45996</v>
      </c>
      <c r="G265" s="27" t="n">
        <v>45995</v>
      </c>
      <c r="H265" s="27" t="n">
        <v>45995</v>
      </c>
      <c r="I265" s="27" t="n">
        <v>45962</v>
      </c>
      <c r="J265" s="27" t="n">
        <v>45986</v>
      </c>
      <c r="K265" t="inlineStr">
        <is>
          <t>Cartão de Crédito</t>
        </is>
      </c>
      <c r="L265" t="inlineStr">
        <is>
          <t>Custo Mercadoria Vendida</t>
        </is>
      </c>
      <c r="M265" t="inlineStr">
        <is>
          <t>Insumos - Bebidas</t>
        </is>
      </c>
      <c r="N265" t="inlineStr">
        <is>
          <t xml:space="preserve">9PETTY112025 </t>
        </is>
      </c>
      <c r="O265" t="inlineStr">
        <is>
          <t>Documentação Aprovada</t>
        </is>
      </c>
      <c r="P265" t="inlineStr">
        <is>
          <t>Aprovado Diretoria</t>
        </is>
      </c>
      <c r="Q265" t="inlineStr">
        <is>
          <t>Aprovado Caixa</t>
        </is>
      </c>
      <c r="R265" t="inlineStr">
        <is>
          <t>Pago</t>
        </is>
      </c>
      <c r="S265" t="n">
        <v>182</v>
      </c>
      <c r="T265" t="inlineStr">
        <is>
          <t>Love - Shibari - Kamino</t>
        </is>
      </c>
    </row>
    <row r="266">
      <c r="A266" t="n">
        <v>177742</v>
      </c>
      <c r="B266" t="n">
        <v>128</v>
      </c>
      <c r="C266" t="inlineStr">
        <is>
          <t>Love Cabaret</t>
        </is>
      </c>
      <c r="D266" t="inlineStr">
        <is>
          <t>PETTY CASH</t>
        </is>
      </c>
      <c r="E266" t="n">
        <v>160</v>
      </c>
      <c r="F266" s="27" t="n">
        <v>45996</v>
      </c>
      <c r="G266" s="27" t="n">
        <v>45995</v>
      </c>
      <c r="H266" s="27" t="n">
        <v>45995</v>
      </c>
      <c r="I266" s="27" t="n">
        <v>45962</v>
      </c>
      <c r="J266" s="27" t="n">
        <v>45986</v>
      </c>
      <c r="K266" t="inlineStr">
        <is>
          <t>Cartão de Crédito</t>
        </is>
      </c>
      <c r="L266" t="inlineStr">
        <is>
          <t>Utilidades</t>
        </is>
      </c>
      <c r="M266" t="inlineStr">
        <is>
          <t>Serviços Graficos</t>
        </is>
      </c>
      <c r="N266" t="inlineStr">
        <is>
          <t>8PETTY112025</t>
        </is>
      </c>
      <c r="O266" t="inlineStr">
        <is>
          <t>Documentação Aprovada</t>
        </is>
      </c>
      <c r="P266" t="inlineStr">
        <is>
          <t>Aprovado Diretoria</t>
        </is>
      </c>
      <c r="Q266" t="inlineStr">
        <is>
          <t>Aprovado Caixa</t>
        </is>
      </c>
      <c r="R266" t="inlineStr">
        <is>
          <t>Pago</t>
        </is>
      </c>
      <c r="S266" t="n">
        <v>182</v>
      </c>
      <c r="T266" t="inlineStr">
        <is>
          <t>Love - Shibari - Kamino</t>
        </is>
      </c>
    </row>
    <row r="267">
      <c r="A267" t="n">
        <v>177729</v>
      </c>
      <c r="B267" t="n">
        <v>128</v>
      </c>
      <c r="C267" t="inlineStr">
        <is>
          <t>Love Cabaret</t>
        </is>
      </c>
      <c r="D267" t="inlineStr">
        <is>
          <t>PETTY CASH</t>
        </is>
      </c>
      <c r="E267" t="n">
        <v>21.4</v>
      </c>
      <c r="F267" s="27" t="n">
        <v>45996</v>
      </c>
      <c r="G267" s="27" t="n">
        <v>45995</v>
      </c>
      <c r="H267" s="27" t="n">
        <v>45995</v>
      </c>
      <c r="I267" s="27" t="n">
        <v>45962</v>
      </c>
      <c r="J267" s="27" t="n">
        <v>45986</v>
      </c>
      <c r="K267" t="inlineStr">
        <is>
          <t>Cartão de Crédito</t>
        </is>
      </c>
      <c r="L267" t="inlineStr">
        <is>
          <t>Manutenção</t>
        </is>
      </c>
      <c r="M267" t="inlineStr">
        <is>
          <t>Material de Manutenção</t>
        </is>
      </c>
      <c r="N267" t="inlineStr">
        <is>
          <t>6PETTY112025</t>
        </is>
      </c>
      <c r="O267" t="inlineStr">
        <is>
          <t>Documentação Aprovada</t>
        </is>
      </c>
      <c r="P267" t="inlineStr">
        <is>
          <t>Aprovado Diretoria</t>
        </is>
      </c>
      <c r="Q267" t="inlineStr">
        <is>
          <t>Aprovado Caixa</t>
        </is>
      </c>
      <c r="R267" t="inlineStr">
        <is>
          <t>Pago</t>
        </is>
      </c>
      <c r="S267" t="n">
        <v>182</v>
      </c>
      <c r="T267" t="inlineStr">
        <is>
          <t>Love - Shibari - Kamino</t>
        </is>
      </c>
    </row>
    <row r="268">
      <c r="A268" t="n">
        <v>177727</v>
      </c>
      <c r="B268" t="n">
        <v>128</v>
      </c>
      <c r="C268" t="inlineStr">
        <is>
          <t>Love Cabaret</t>
        </is>
      </c>
      <c r="D268" t="inlineStr">
        <is>
          <t>PETTY CASH</t>
        </is>
      </c>
      <c r="E268" t="n">
        <v>66</v>
      </c>
      <c r="F268" s="27" t="n">
        <v>45996</v>
      </c>
      <c r="G268" s="27" t="n">
        <v>45995</v>
      </c>
      <c r="H268" s="27" t="n">
        <v>45995</v>
      </c>
      <c r="I268" s="27" t="n">
        <v>45962</v>
      </c>
      <c r="J268" s="27" t="n">
        <v>45986</v>
      </c>
      <c r="K268" t="inlineStr">
        <is>
          <t>Cartão de Crédito</t>
        </is>
      </c>
      <c r="L268" t="inlineStr">
        <is>
          <t>Utilidades</t>
        </is>
      </c>
      <c r="M268" t="inlineStr">
        <is>
          <t>Material de Consumo - Gelo/ Gas CO2/ Carvao /Velas</t>
        </is>
      </c>
      <c r="N268" t="inlineStr">
        <is>
          <t>5PETTY112025</t>
        </is>
      </c>
      <c r="O268" t="inlineStr">
        <is>
          <t>Documentação Aprovada</t>
        </is>
      </c>
      <c r="P268" t="inlineStr">
        <is>
          <t>Aprovado Diretoria</t>
        </is>
      </c>
      <c r="Q268" t="inlineStr">
        <is>
          <t>Aprovado Caixa</t>
        </is>
      </c>
      <c r="R268" t="inlineStr">
        <is>
          <t>Pago</t>
        </is>
      </c>
      <c r="S268" t="n">
        <v>182</v>
      </c>
      <c r="T268" t="inlineStr">
        <is>
          <t>Love - Shibari - Kamino</t>
        </is>
      </c>
    </row>
    <row r="269">
      <c r="A269" t="n">
        <v>177725</v>
      </c>
      <c r="B269" t="n">
        <v>128</v>
      </c>
      <c r="C269" t="inlineStr">
        <is>
          <t>Love Cabaret</t>
        </is>
      </c>
      <c r="D269" t="inlineStr">
        <is>
          <t>PETTY CASH</t>
        </is>
      </c>
      <c r="E269" t="n">
        <v>102</v>
      </c>
      <c r="F269" s="27" t="n">
        <v>45996</v>
      </c>
      <c r="G269" s="27" t="n">
        <v>45995</v>
      </c>
      <c r="H269" s="27" t="n">
        <v>45995</v>
      </c>
      <c r="I269" s="27" t="n">
        <v>45962</v>
      </c>
      <c r="J269" s="27" t="n">
        <v>45986</v>
      </c>
      <c r="K269" t="inlineStr">
        <is>
          <t>Cartão de Crédito</t>
        </is>
      </c>
      <c r="L269" t="inlineStr">
        <is>
          <t>Utilidades</t>
        </is>
      </c>
      <c r="M269" t="inlineStr">
        <is>
          <t>Material de Consumo - Gelo/ Gas CO2/ Carvao /Velas</t>
        </is>
      </c>
      <c r="N269" t="inlineStr">
        <is>
          <t>4PETTY112025</t>
        </is>
      </c>
      <c r="O269" t="inlineStr">
        <is>
          <t>Documentação Aprovada</t>
        </is>
      </c>
      <c r="P269" t="inlineStr">
        <is>
          <t>Aprovado Diretoria</t>
        </is>
      </c>
      <c r="Q269" t="inlineStr">
        <is>
          <t>Aprovado Caixa</t>
        </is>
      </c>
      <c r="R269" t="inlineStr">
        <is>
          <t>Pago</t>
        </is>
      </c>
      <c r="S269" t="n">
        <v>182</v>
      </c>
      <c r="T269" t="inlineStr">
        <is>
          <t>Love - Shibari - Kamino</t>
        </is>
      </c>
    </row>
    <row r="270">
      <c r="A270" t="n">
        <v>177724</v>
      </c>
      <c r="B270" t="n">
        <v>128</v>
      </c>
      <c r="C270" t="inlineStr">
        <is>
          <t>Love Cabaret</t>
        </is>
      </c>
      <c r="D270" t="inlineStr">
        <is>
          <t>PETTY CASH</t>
        </is>
      </c>
      <c r="E270" t="n">
        <v>144</v>
      </c>
      <c r="F270" s="27" t="n">
        <v>45996</v>
      </c>
      <c r="G270" s="27" t="n">
        <v>45995</v>
      </c>
      <c r="H270" s="27" t="n">
        <v>45995</v>
      </c>
      <c r="I270" s="27" t="n">
        <v>45962</v>
      </c>
      <c r="J270" s="27" t="n">
        <v>45986</v>
      </c>
      <c r="K270" t="inlineStr">
        <is>
          <t>Cartão de Crédito</t>
        </is>
      </c>
      <c r="L270" t="inlineStr">
        <is>
          <t>Custos de Eventos</t>
        </is>
      </c>
      <c r="M270" t="inlineStr">
        <is>
          <t>Locação de Equipamentos - Eventos</t>
        </is>
      </c>
      <c r="N270" t="inlineStr">
        <is>
          <t>3PETTY112025</t>
        </is>
      </c>
      <c r="O270" t="inlineStr">
        <is>
          <t>Documentação Aprovada</t>
        </is>
      </c>
      <c r="P270" t="inlineStr">
        <is>
          <t>Aprovado Diretoria</t>
        </is>
      </c>
      <c r="Q270" t="inlineStr">
        <is>
          <t>Aprovado Caixa</t>
        </is>
      </c>
      <c r="R270" t="inlineStr">
        <is>
          <t>Pago</t>
        </is>
      </c>
      <c r="S270" t="n">
        <v>182</v>
      </c>
      <c r="T270" t="inlineStr">
        <is>
          <t>Love - Shibari - Kamino</t>
        </is>
      </c>
    </row>
    <row r="271">
      <c r="A271" t="n">
        <v>175612</v>
      </c>
      <c r="B271" t="n">
        <v>128</v>
      </c>
      <c r="C271" t="inlineStr">
        <is>
          <t>Love Cabaret</t>
        </is>
      </c>
      <c r="D271" t="inlineStr">
        <is>
          <t>AURORA ALVORADA ESTACIONAMENTO E LANCHONETE LTDA</t>
        </is>
      </c>
      <c r="E271" t="n">
        <v>256.91</v>
      </c>
      <c r="F271" s="27" t="n">
        <v>45992</v>
      </c>
      <c r="G271" s="27" t="n">
        <v>45994</v>
      </c>
      <c r="H271" s="27" t="n">
        <v>45995</v>
      </c>
      <c r="I271" s="27" t="n">
        <v>45978</v>
      </c>
      <c r="J271" s="27" t="n">
        <v>45974</v>
      </c>
      <c r="K271" t="inlineStr">
        <is>
          <t>Boleto Bancário</t>
        </is>
      </c>
      <c r="L271" t="inlineStr">
        <is>
          <t>Mão de Obra - Benefícios</t>
        </is>
      </c>
      <c r="M271" t="inlineStr">
        <is>
          <t xml:space="preserve">  -  Alimentação Funcionário</t>
        </is>
      </c>
      <c r="N271" t="inlineStr">
        <is>
          <t>1122226</t>
        </is>
      </c>
      <c r="O271" t="inlineStr">
        <is>
          <t>Documentação Aprovada</t>
        </is>
      </c>
      <c r="P271" t="inlineStr">
        <is>
          <t>Aprovado Diretoria</t>
        </is>
      </c>
      <c r="Q271" t="inlineStr">
        <is>
          <t>Aprovado Caixa</t>
        </is>
      </c>
      <c r="R271" t="inlineStr">
        <is>
          <t>Pago</t>
        </is>
      </c>
      <c r="S271" t="n">
        <v>182</v>
      </c>
      <c r="T271" t="inlineStr">
        <is>
          <t>Love - Shibari - Kamino</t>
        </is>
      </c>
    </row>
    <row r="272">
      <c r="A272" t="n">
        <v>172146</v>
      </c>
      <c r="B272" t="n">
        <v>128</v>
      </c>
      <c r="C272" t="inlineStr">
        <is>
          <t>Love Cabaret</t>
        </is>
      </c>
      <c r="D272" t="inlineStr">
        <is>
          <t>PETTY CASH</t>
        </is>
      </c>
      <c r="E272" t="n">
        <v>3.99</v>
      </c>
      <c r="F272" s="27" t="n">
        <v>45996</v>
      </c>
      <c r="G272" s="27" t="n">
        <v>45995</v>
      </c>
      <c r="H272" s="27" t="n">
        <v>45995</v>
      </c>
      <c r="I272" s="27" t="n">
        <v>45931</v>
      </c>
      <c r="J272" s="27" t="n">
        <v>45964</v>
      </c>
      <c r="K272" t="inlineStr">
        <is>
          <t>Cartão de Crédito</t>
        </is>
      </c>
      <c r="L272" t="inlineStr">
        <is>
          <t>Utilidades</t>
        </is>
      </c>
      <c r="M272" t="inlineStr">
        <is>
          <t>Utensilios</t>
        </is>
      </c>
      <c r="N272" t="inlineStr">
        <is>
          <t>31PETTY102025</t>
        </is>
      </c>
      <c r="O272" t="inlineStr">
        <is>
          <t>Documentação Aprovada</t>
        </is>
      </c>
      <c r="P272" t="inlineStr">
        <is>
          <t>Aprovado Diretoria</t>
        </is>
      </c>
      <c r="Q272" t="inlineStr">
        <is>
          <t>Aprovado Caixa</t>
        </is>
      </c>
      <c r="R272" t="inlineStr">
        <is>
          <t>Pago</t>
        </is>
      </c>
      <c r="S272" t="n">
        <v>182</v>
      </c>
      <c r="T272" t="inlineStr">
        <is>
          <t>Love - Shibari - Kamino</t>
        </is>
      </c>
    </row>
    <row r="273">
      <c r="A273" t="n">
        <v>172148</v>
      </c>
      <c r="B273" t="n">
        <v>128</v>
      </c>
      <c r="C273" t="inlineStr">
        <is>
          <t>Love Cabaret</t>
        </is>
      </c>
      <c r="D273" t="inlineStr">
        <is>
          <t>PETTY CASH</t>
        </is>
      </c>
      <c r="E273" t="n">
        <v>5</v>
      </c>
      <c r="F273" s="27" t="n">
        <v>45996</v>
      </c>
      <c r="G273" s="27" t="n">
        <v>45995</v>
      </c>
      <c r="H273" s="27" t="n">
        <v>45995</v>
      </c>
      <c r="I273" s="27" t="n">
        <v>45931</v>
      </c>
      <c r="J273" s="27" t="n">
        <v>45964</v>
      </c>
      <c r="K273" t="inlineStr">
        <is>
          <t>Cartão de Crédito</t>
        </is>
      </c>
      <c r="L273" t="inlineStr">
        <is>
          <t>Utilidades</t>
        </is>
      </c>
      <c r="M273" t="inlineStr">
        <is>
          <t>Utensilios</t>
        </is>
      </c>
      <c r="N273" t="inlineStr">
        <is>
          <t>32PETTY102025</t>
        </is>
      </c>
      <c r="O273" t="inlineStr">
        <is>
          <t>Documentação Aprovada</t>
        </is>
      </c>
      <c r="P273" t="inlineStr">
        <is>
          <t>Aprovado Diretoria</t>
        </is>
      </c>
      <c r="Q273" t="inlineStr">
        <is>
          <t>Aprovado Caixa</t>
        </is>
      </c>
      <c r="R273" t="inlineStr">
        <is>
          <t>Pago</t>
        </is>
      </c>
      <c r="S273" t="n">
        <v>182</v>
      </c>
      <c r="T273" t="inlineStr">
        <is>
          <t>Love - Shibari - Kamino</t>
        </is>
      </c>
    </row>
    <row r="274">
      <c r="A274" t="n">
        <v>172149</v>
      </c>
      <c r="B274" t="n">
        <v>128</v>
      </c>
      <c r="C274" t="inlineStr">
        <is>
          <t>Love Cabaret</t>
        </is>
      </c>
      <c r="D274" t="inlineStr">
        <is>
          <t>PETTY CASH</t>
        </is>
      </c>
      <c r="E274" t="n">
        <v>60.98</v>
      </c>
      <c r="F274" s="27" t="n">
        <v>45996</v>
      </c>
      <c r="G274" s="27" t="n">
        <v>45995</v>
      </c>
      <c r="H274" s="27" t="n">
        <v>45995</v>
      </c>
      <c r="I274" s="27" t="n">
        <v>45931</v>
      </c>
      <c r="J274" s="27" t="n">
        <v>45964</v>
      </c>
      <c r="K274" t="inlineStr">
        <is>
          <t>Cartão de Crédito</t>
        </is>
      </c>
      <c r="L274" t="inlineStr">
        <is>
          <t>Utilidades</t>
        </is>
      </c>
      <c r="M274" t="inlineStr">
        <is>
          <t>Utensilios</t>
        </is>
      </c>
      <c r="N274" t="inlineStr">
        <is>
          <t>33PETTY102025</t>
        </is>
      </c>
      <c r="O274" t="inlineStr">
        <is>
          <t>Documentação Aprovada</t>
        </is>
      </c>
      <c r="P274" t="inlineStr">
        <is>
          <t>Aprovado Diretoria</t>
        </is>
      </c>
      <c r="Q274" t="inlineStr">
        <is>
          <t>Aprovado Caixa</t>
        </is>
      </c>
      <c r="R274" t="inlineStr">
        <is>
          <t>Pago</t>
        </is>
      </c>
      <c r="S274" t="n">
        <v>182</v>
      </c>
      <c r="T274" t="inlineStr">
        <is>
          <t>Love - Shibari - Kamino</t>
        </is>
      </c>
    </row>
    <row r="275">
      <c r="A275" t="n">
        <v>96865</v>
      </c>
      <c r="B275" t="n">
        <v>128</v>
      </c>
      <c r="C275" t="inlineStr">
        <is>
          <t>Love Cabaret</t>
        </is>
      </c>
      <c r="D275" t="inlineStr">
        <is>
          <t>AGENCIA BIOMA PUBLICIDADE E EVENTOS LTDA - FACUNDO</t>
        </is>
      </c>
      <c r="E275" t="n">
        <v>8000</v>
      </c>
      <c r="F275" s="27" t="n">
        <v>45996</v>
      </c>
      <c r="G275" s="27" t="n">
        <v>45995</v>
      </c>
      <c r="H275" s="27" t="n">
        <v>45995</v>
      </c>
      <c r="I275" s="27" t="n">
        <v>45981</v>
      </c>
      <c r="J275" s="27" t="n"/>
      <c r="K275" t="inlineStr">
        <is>
          <t>Transferência Bancária ou Pix</t>
        </is>
      </c>
      <c r="L275" t="inlineStr">
        <is>
          <t>Marketing</t>
        </is>
      </c>
      <c r="M275" t="inlineStr">
        <is>
          <t>Agência de Propaganda</t>
        </is>
      </c>
      <c r="N275" t="inlineStr">
        <is>
          <t>340</t>
        </is>
      </c>
      <c r="O275" t="inlineStr">
        <is>
          <t>Documentação Aprovada</t>
        </is>
      </c>
      <c r="P275" t="inlineStr">
        <is>
          <t>Aprovado Diretoria</t>
        </is>
      </c>
      <c r="Q275" t="inlineStr">
        <is>
          <t>Aprovado Caixa</t>
        </is>
      </c>
      <c r="R275" t="inlineStr">
        <is>
          <t>Pago</t>
        </is>
      </c>
      <c r="S275" t="n">
        <v>182</v>
      </c>
      <c r="T275" t="inlineStr">
        <is>
          <t>Love - Shibari - Kamino</t>
        </is>
      </c>
    </row>
    <row r="276">
      <c r="A276" t="n">
        <v>103002</v>
      </c>
      <c r="B276" t="n">
        <v>128</v>
      </c>
      <c r="C276" t="inlineStr">
        <is>
          <t>Love Cabaret</t>
        </is>
      </c>
      <c r="D276" t="inlineStr">
        <is>
          <t>TELEFONICA BRASIL S/A</t>
        </is>
      </c>
      <c r="E276" t="n">
        <v>487.66</v>
      </c>
      <c r="F276" s="27" t="n">
        <v>45988</v>
      </c>
      <c r="G276" s="27" t="n">
        <v>45994</v>
      </c>
      <c r="H276" s="27" t="n">
        <v>45994</v>
      </c>
      <c r="I276" s="27" t="n">
        <v>45978</v>
      </c>
      <c r="J276" s="27" t="n"/>
      <c r="K276" t="inlineStr">
        <is>
          <t>Boleto Bancário</t>
        </is>
      </c>
      <c r="L276" t="inlineStr">
        <is>
          <t>Informática e TI</t>
        </is>
      </c>
      <c r="M276" t="inlineStr">
        <is>
          <t>Internet</t>
        </is>
      </c>
      <c r="N276" t="inlineStr">
        <is>
          <t>0443318083</t>
        </is>
      </c>
      <c r="O276" t="inlineStr">
        <is>
          <t>Documentação Aprovada</t>
        </is>
      </c>
      <c r="P276" t="inlineStr">
        <is>
          <t>Aprovado Diretoria</t>
        </is>
      </c>
      <c r="Q276" t="inlineStr">
        <is>
          <t>Aprovado Caixa</t>
        </is>
      </c>
      <c r="R276" t="inlineStr">
        <is>
          <t>Pago</t>
        </is>
      </c>
      <c r="S276" t="n">
        <v>182</v>
      </c>
      <c r="T276" t="inlineStr">
        <is>
          <t>Love - Shibari - Kamino</t>
        </is>
      </c>
    </row>
    <row r="277">
      <c r="A277" t="n">
        <v>103039</v>
      </c>
      <c r="B277" t="n">
        <v>128</v>
      </c>
      <c r="C277" t="inlineStr">
        <is>
          <t>Love Cabaret</t>
        </is>
      </c>
      <c r="D277" t="inlineStr">
        <is>
          <t>TELEFONICA BRASIL S/A</t>
        </is>
      </c>
      <c r="E277" t="n">
        <v>223.82</v>
      </c>
      <c r="F277" s="27" t="n">
        <v>45986</v>
      </c>
      <c r="G277" s="27" t="n">
        <v>45994</v>
      </c>
      <c r="H277" s="27" t="n">
        <v>45994</v>
      </c>
      <c r="I277" s="27" t="n">
        <v>45978</v>
      </c>
      <c r="J277" s="27" t="n"/>
      <c r="K277" t="inlineStr">
        <is>
          <t>Boleto Bancário</t>
        </is>
      </c>
      <c r="L277" t="inlineStr">
        <is>
          <t>Informática e TI</t>
        </is>
      </c>
      <c r="M277" t="inlineStr">
        <is>
          <t>Internet</t>
        </is>
      </c>
      <c r="N277" t="inlineStr">
        <is>
          <t>0455530810</t>
        </is>
      </c>
      <c r="O277" t="inlineStr">
        <is>
          <t>Documentação Aprovada</t>
        </is>
      </c>
      <c r="P277" t="inlineStr">
        <is>
          <t>Aprovado Diretoria</t>
        </is>
      </c>
      <c r="Q277" t="inlineStr">
        <is>
          <t>Aprovado Caixa</t>
        </is>
      </c>
      <c r="R277" t="inlineStr">
        <is>
          <t>Pago</t>
        </is>
      </c>
      <c r="S277" t="n">
        <v>182</v>
      </c>
      <c r="T277" t="inlineStr">
        <is>
          <t>Love - Shibari - Kamino</t>
        </is>
      </c>
    </row>
    <row r="278">
      <c r="A278" t="n">
        <v>103027</v>
      </c>
      <c r="B278" t="n">
        <v>128</v>
      </c>
      <c r="C278" t="inlineStr">
        <is>
          <t>Love Cabaret</t>
        </is>
      </c>
      <c r="D278" t="inlineStr">
        <is>
          <t>TELEFONICA BRASIL S/A</t>
        </is>
      </c>
      <c r="E278" t="n">
        <v>96.45999999999999</v>
      </c>
      <c r="F278" s="27" t="n">
        <v>45986</v>
      </c>
      <c r="G278" s="27" t="n">
        <v>45994</v>
      </c>
      <c r="H278" s="27" t="n">
        <v>45994</v>
      </c>
      <c r="I278" s="27" t="n">
        <v>45965</v>
      </c>
      <c r="J278" s="27" t="n"/>
      <c r="K278" t="inlineStr">
        <is>
          <t>Boleto Bancário</t>
        </is>
      </c>
      <c r="L278" t="inlineStr">
        <is>
          <t>Informática e TI</t>
        </is>
      </c>
      <c r="M278" t="inlineStr">
        <is>
          <t>Telefone</t>
        </is>
      </c>
      <c r="N278" t="inlineStr">
        <is>
          <t>0434906426</t>
        </is>
      </c>
      <c r="O278" t="inlineStr">
        <is>
          <t>Documentação Aprovada</t>
        </is>
      </c>
      <c r="P278" t="inlineStr">
        <is>
          <t>Aprovado Diretoria</t>
        </is>
      </c>
      <c r="Q278" t="inlineStr">
        <is>
          <t>Aprovado Caixa</t>
        </is>
      </c>
      <c r="R278" t="inlineStr">
        <is>
          <t>Pago</t>
        </is>
      </c>
      <c r="S278" t="n">
        <v>182</v>
      </c>
      <c r="T278" t="inlineStr">
        <is>
          <t>Love - Shibari - Kamino</t>
        </is>
      </c>
    </row>
    <row r="279">
      <c r="A279" t="n">
        <v>103015</v>
      </c>
      <c r="B279" t="n">
        <v>128</v>
      </c>
      <c r="C279" t="inlineStr">
        <is>
          <t>Love Cabaret</t>
        </is>
      </c>
      <c r="D279" t="inlineStr">
        <is>
          <t>TELEFONICA BRASIL S/A</t>
        </is>
      </c>
      <c r="E279" t="n">
        <v>21.71</v>
      </c>
      <c r="F279" s="27" t="n">
        <v>45988</v>
      </c>
      <c r="G279" s="27" t="n">
        <v>45994</v>
      </c>
      <c r="H279" s="27" t="n">
        <v>45994</v>
      </c>
      <c r="I279" s="27" t="n">
        <v>45947</v>
      </c>
      <c r="J279" s="27" t="n"/>
      <c r="K279" t="inlineStr">
        <is>
          <t>Boleto Bancário</t>
        </is>
      </c>
      <c r="L279" t="inlineStr">
        <is>
          <t>Informática e TI</t>
        </is>
      </c>
      <c r="M279" t="inlineStr">
        <is>
          <t>Internet</t>
        </is>
      </c>
      <c r="N279" t="inlineStr">
        <is>
          <t>0443836731</t>
        </is>
      </c>
      <c r="O279" t="inlineStr">
        <is>
          <t>Documentação Aprovada</t>
        </is>
      </c>
      <c r="P279" t="inlineStr">
        <is>
          <t>Aprovado Diretoria</t>
        </is>
      </c>
      <c r="Q279" t="inlineStr">
        <is>
          <t>Aprovado Caixa</t>
        </is>
      </c>
      <c r="R279" t="inlineStr">
        <is>
          <t>Pago</t>
        </is>
      </c>
      <c r="S279" t="n">
        <v>182</v>
      </c>
      <c r="T279" t="inlineStr">
        <is>
          <t>Love - Shibari - Kamino</t>
        </is>
      </c>
    </row>
    <row r="280">
      <c r="A280" t="n">
        <v>174896</v>
      </c>
      <c r="B280" t="n">
        <v>128</v>
      </c>
      <c r="C280" t="inlineStr">
        <is>
          <t>Love Cabaret</t>
        </is>
      </c>
      <c r="D280" t="inlineStr">
        <is>
          <t>EMPORIO M&amp;L COMERCIO DE ALIM E BEBIDAS LTDA</t>
        </is>
      </c>
      <c r="E280" t="n">
        <v>1477.95</v>
      </c>
      <c r="F280" s="27" t="n">
        <v>45995</v>
      </c>
      <c r="G280" s="27" t="n">
        <v>45994</v>
      </c>
      <c r="H280" s="27" t="n">
        <v>45994</v>
      </c>
      <c r="I280" s="27" t="n">
        <v>45965</v>
      </c>
      <c r="J280" s="27" t="n">
        <v>45972</v>
      </c>
      <c r="K280" t="inlineStr">
        <is>
          <t>Boleto Bancário</t>
        </is>
      </c>
      <c r="L280" t="inlineStr">
        <is>
          <t>Custo Mercadoria Vendida</t>
        </is>
      </c>
      <c r="M280" t="inlineStr">
        <is>
          <t>Insumos - Alimentos</t>
        </is>
      </c>
      <c r="N280" t="inlineStr">
        <is>
          <t>479338</t>
        </is>
      </c>
      <c r="O280" t="inlineStr">
        <is>
          <t>Documentação Aprovada</t>
        </is>
      </c>
      <c r="P280" t="inlineStr">
        <is>
          <t>Aprovado Diretoria</t>
        </is>
      </c>
      <c r="Q280" t="inlineStr">
        <is>
          <t>Aprovado Caixa</t>
        </is>
      </c>
      <c r="R280" t="inlineStr">
        <is>
          <t>Pago</t>
        </is>
      </c>
      <c r="S280" t="n">
        <v>182</v>
      </c>
      <c r="T280" t="inlineStr">
        <is>
          <t>Love - Shibari - Kamino</t>
        </is>
      </c>
    </row>
    <row r="281">
      <c r="A281" t="n">
        <v>175817</v>
      </c>
      <c r="B281" t="n">
        <v>128</v>
      </c>
      <c r="C281" t="inlineStr">
        <is>
          <t>Love Cabaret</t>
        </is>
      </c>
      <c r="D281" t="inlineStr">
        <is>
          <t>HORTA NOVA DISTRIBUIDORA DE HORTIFRUTI LTDA</t>
        </is>
      </c>
      <c r="E281" t="n">
        <v>33.75</v>
      </c>
      <c r="F281" s="27" t="n">
        <v>45995</v>
      </c>
      <c r="G281" s="27" t="n">
        <v>45994</v>
      </c>
      <c r="H281" s="27" t="n">
        <v>45994</v>
      </c>
      <c r="I281" s="27" t="n">
        <v>45967</v>
      </c>
      <c r="J281" s="27" t="n">
        <v>45975</v>
      </c>
      <c r="K281" t="inlineStr">
        <is>
          <t>Boleto Bancário</t>
        </is>
      </c>
      <c r="L281" t="inlineStr">
        <is>
          <t>Custo Mercadoria Vendida</t>
        </is>
      </c>
      <c r="M281" t="inlineStr">
        <is>
          <t>Insumos - Alimentos</t>
        </is>
      </c>
      <c r="N281" t="inlineStr">
        <is>
          <t>7103</t>
        </is>
      </c>
      <c r="O281" t="inlineStr">
        <is>
          <t>Documentação Aprovada</t>
        </is>
      </c>
      <c r="P281" t="inlineStr">
        <is>
          <t>Aprovado Diretoria</t>
        </is>
      </c>
      <c r="Q281" t="inlineStr">
        <is>
          <t>Aprovado Caixa</t>
        </is>
      </c>
      <c r="R281" t="inlineStr">
        <is>
          <t>Pago</t>
        </is>
      </c>
      <c r="S281" t="n">
        <v>182</v>
      </c>
      <c r="T281" t="inlineStr">
        <is>
          <t>Love - Shibari - Kamino</t>
        </is>
      </c>
    </row>
    <row r="282">
      <c r="A282" t="n">
        <v>175826</v>
      </c>
      <c r="B282" t="n">
        <v>128</v>
      </c>
      <c r="C282" t="inlineStr">
        <is>
          <t>Love Cabaret</t>
        </is>
      </c>
      <c r="D282" t="inlineStr">
        <is>
          <t>MARIO PEDRO FELICIANO - HORTIFRUTI</t>
        </is>
      </c>
      <c r="E282" t="n">
        <v>30.4</v>
      </c>
      <c r="F282" s="27" t="n">
        <v>45995</v>
      </c>
      <c r="G282" s="27" t="n">
        <v>45994</v>
      </c>
      <c r="H282" s="27" t="n">
        <v>45994</v>
      </c>
      <c r="I282" s="27" t="n">
        <v>45967</v>
      </c>
      <c r="J282" s="27" t="n">
        <v>45975</v>
      </c>
      <c r="K282" t="inlineStr">
        <is>
          <t>Boleto Bancário</t>
        </is>
      </c>
      <c r="L282" t="inlineStr">
        <is>
          <t>Custo Mercadoria Vendida</t>
        </is>
      </c>
      <c r="M282" t="inlineStr">
        <is>
          <t>Insumos - Alimentos</t>
        </is>
      </c>
      <c r="N282" t="inlineStr">
        <is>
          <t>457882</t>
        </is>
      </c>
      <c r="O282" t="inlineStr">
        <is>
          <t>Documentação Aprovada</t>
        </is>
      </c>
      <c r="P282" t="inlineStr">
        <is>
          <t>Aprovado Diretoria</t>
        </is>
      </c>
      <c r="Q282" t="inlineStr">
        <is>
          <t>Aprovado Caixa</t>
        </is>
      </c>
      <c r="R282" t="inlineStr">
        <is>
          <t>Pago</t>
        </is>
      </c>
      <c r="S282" t="n">
        <v>182</v>
      </c>
      <c r="T282" t="inlineStr">
        <is>
          <t>Love - Shibari - Kamino</t>
        </is>
      </c>
    </row>
    <row r="283">
      <c r="A283" t="n">
        <v>175825</v>
      </c>
      <c r="B283" t="n">
        <v>128</v>
      </c>
      <c r="C283" t="inlineStr">
        <is>
          <t>Love Cabaret</t>
        </is>
      </c>
      <c r="D283" t="inlineStr">
        <is>
          <t>EAU - DISTRIBUIDORA DE AGUA MINERAL LTDA</t>
        </is>
      </c>
      <c r="E283" t="n">
        <v>241.5</v>
      </c>
      <c r="F283" s="27" t="n">
        <v>45996</v>
      </c>
      <c r="G283" s="27" t="n">
        <v>45994</v>
      </c>
      <c r="H283" s="27" t="n">
        <v>45994</v>
      </c>
      <c r="I283" s="27" t="n">
        <v>45967</v>
      </c>
      <c r="J283" s="27" t="n">
        <v>45975</v>
      </c>
      <c r="K283" t="inlineStr">
        <is>
          <t>Boleto Bancário</t>
        </is>
      </c>
      <c r="L283" t="inlineStr">
        <is>
          <t>Custo Mercadoria Vendida</t>
        </is>
      </c>
      <c r="M283" t="inlineStr">
        <is>
          <t>Insumos - Bebidas</t>
        </is>
      </c>
      <c r="N283" t="inlineStr">
        <is>
          <t>276050</t>
        </is>
      </c>
      <c r="O283" t="inlineStr">
        <is>
          <t>Documentação Aprovada</t>
        </is>
      </c>
      <c r="P283" t="inlineStr">
        <is>
          <t>Aprovado Diretoria</t>
        </is>
      </c>
      <c r="Q283" t="inlineStr">
        <is>
          <t>Aprovado Caixa</t>
        </is>
      </c>
      <c r="R283" t="inlineStr">
        <is>
          <t>Pago</t>
        </is>
      </c>
      <c r="S283" t="n">
        <v>182</v>
      </c>
      <c r="T283" t="inlineStr">
        <is>
          <t>Love - Shibari - Kamino</t>
        </is>
      </c>
    </row>
    <row r="284">
      <c r="A284" t="n">
        <v>177838</v>
      </c>
      <c r="B284" t="n">
        <v>128</v>
      </c>
      <c r="C284" t="inlineStr">
        <is>
          <t>Love Cabaret</t>
        </is>
      </c>
      <c r="D284" t="inlineStr">
        <is>
          <t>EASY ICE SOLUTION LTDA-ME LOCAÇÃO</t>
        </is>
      </c>
      <c r="E284" t="n">
        <v>1600</v>
      </c>
      <c r="F284" s="27" t="n">
        <v>45996</v>
      </c>
      <c r="G284" s="27" t="n">
        <v>45994</v>
      </c>
      <c r="H284" s="27" t="n">
        <v>45994</v>
      </c>
      <c r="I284" s="27" t="n">
        <v>45984</v>
      </c>
      <c r="J284" s="27" t="n">
        <v>45987</v>
      </c>
      <c r="K284" t="inlineStr">
        <is>
          <t>Boleto Bancário</t>
        </is>
      </c>
      <c r="L284" t="inlineStr">
        <is>
          <t>Locação de Equipamentos</t>
        </is>
      </c>
      <c r="M284" t="inlineStr">
        <is>
          <t>Locações de Equipamentos - Operacionais</t>
        </is>
      </c>
      <c r="N284" t="inlineStr">
        <is>
          <t>9520</t>
        </is>
      </c>
      <c r="O284" t="inlineStr">
        <is>
          <t>Documentação Aprovada</t>
        </is>
      </c>
      <c r="P284" t="inlineStr">
        <is>
          <t>Aprovado Diretoria</t>
        </is>
      </c>
      <c r="Q284" t="inlineStr">
        <is>
          <t>Aprovado Caixa</t>
        </is>
      </c>
      <c r="R284" t="inlineStr">
        <is>
          <t>Pago</t>
        </is>
      </c>
      <c r="S284" t="n">
        <v>182</v>
      </c>
      <c r="T284" t="inlineStr">
        <is>
          <t>Love - Shibari - Kamino</t>
        </is>
      </c>
    </row>
    <row r="285">
      <c r="A285" t="n">
        <v>178111</v>
      </c>
      <c r="B285" t="n">
        <v>128</v>
      </c>
      <c r="C285" t="inlineStr">
        <is>
          <t>Love Cabaret</t>
        </is>
      </c>
      <c r="D285" t="inlineStr">
        <is>
          <t>ICE4PROS FABRICA DE GELO LTDA</t>
        </is>
      </c>
      <c r="E285" t="n">
        <v>834.75</v>
      </c>
      <c r="F285" s="27" t="n">
        <v>45995</v>
      </c>
      <c r="G285" s="27" t="n">
        <v>45994</v>
      </c>
      <c r="H285" s="27" t="n">
        <v>45994</v>
      </c>
      <c r="I285" s="27" t="n">
        <v>45985</v>
      </c>
      <c r="J285" s="27" t="n">
        <v>45987</v>
      </c>
      <c r="K285" t="inlineStr">
        <is>
          <t>Boleto Bancário</t>
        </is>
      </c>
      <c r="L285" t="inlineStr">
        <is>
          <t>Custo Mercadoria Vendida</t>
        </is>
      </c>
      <c r="M285" t="inlineStr">
        <is>
          <t>Insumos - Bebidas</t>
        </is>
      </c>
      <c r="N285" t="inlineStr">
        <is>
          <t>89215</t>
        </is>
      </c>
      <c r="O285" t="inlineStr">
        <is>
          <t>Documentação Aprovada</t>
        </is>
      </c>
      <c r="P285" t="inlineStr">
        <is>
          <t>Aprovado Diretoria</t>
        </is>
      </c>
      <c r="Q285" t="inlineStr">
        <is>
          <t>Aprovado Caixa</t>
        </is>
      </c>
      <c r="R285" t="inlineStr">
        <is>
          <t>Pago</t>
        </is>
      </c>
      <c r="S285" t="n">
        <v>182</v>
      </c>
      <c r="T285" t="inlineStr">
        <is>
          <t>Love - Shibari - Kamino</t>
        </is>
      </c>
    </row>
    <row r="286">
      <c r="A286" t="n">
        <v>180121</v>
      </c>
      <c r="B286" t="n">
        <v>128</v>
      </c>
      <c r="C286" t="inlineStr">
        <is>
          <t>Love Cabaret</t>
        </is>
      </c>
      <c r="D286" t="inlineStr">
        <is>
          <t>BRADESCO SA</t>
        </is>
      </c>
      <c r="E286" t="n">
        <v>9.800000000000001</v>
      </c>
      <c r="F286" s="27" t="n">
        <v>45994</v>
      </c>
      <c r="G286" s="27" t="n"/>
      <c r="H286" s="27" t="n">
        <v>45994</v>
      </c>
      <c r="I286" s="27" t="n">
        <v>45994</v>
      </c>
      <c r="J286" s="27" t="n"/>
      <c r="K286" t="inlineStr">
        <is>
          <t xml:space="preserve">Debito Automático </t>
        </is>
      </c>
      <c r="L286" t="inlineStr">
        <is>
          <t>Despesas Financeiras</t>
        </is>
      </c>
      <c r="M286" t="inlineStr">
        <is>
          <t>Tarifas Bancárias</t>
        </is>
      </c>
      <c r="O286" t="inlineStr">
        <is>
          <t>Documentação Aprovada</t>
        </is>
      </c>
      <c r="P286" t="inlineStr">
        <is>
          <t>Aprovado Diretoria</t>
        </is>
      </c>
      <c r="Q286" t="inlineStr">
        <is>
          <t>Aprovado Caixa</t>
        </is>
      </c>
      <c r="R286" t="inlineStr">
        <is>
          <t>Pago</t>
        </is>
      </c>
      <c r="S286" t="n">
        <v>115</v>
      </c>
      <c r="T286" t="inlineStr">
        <is>
          <t>Love - Shibari - Bradesco</t>
        </is>
      </c>
    </row>
    <row r="287">
      <c r="A287" t="n">
        <v>177127</v>
      </c>
      <c r="B287" t="n">
        <v>128</v>
      </c>
      <c r="C287" t="inlineStr">
        <is>
          <t>Love Cabaret</t>
        </is>
      </c>
      <c r="D287" t="inlineStr">
        <is>
          <t>EDJANE DANTAS DE ALMEIDA SOUSA  - DESENTUPIDORA</t>
        </is>
      </c>
      <c r="E287" t="n">
        <v>1200</v>
      </c>
      <c r="F287" s="27" t="n">
        <v>45996</v>
      </c>
      <c r="G287" s="27" t="n">
        <v>45994</v>
      </c>
      <c r="H287" s="27" t="n">
        <v>45994</v>
      </c>
      <c r="I287" s="27" t="n">
        <v>45981</v>
      </c>
      <c r="J287" s="27" t="n">
        <v>45982</v>
      </c>
      <c r="K287" t="inlineStr">
        <is>
          <t>Transferência Bancária ou Pix</t>
        </is>
      </c>
      <c r="L287" t="inlineStr">
        <is>
          <t>Utilidades</t>
        </is>
      </c>
      <c r="M287" t="inlineStr">
        <is>
          <t>Serviços de Limpeza</t>
        </is>
      </c>
      <c r="N287" t="inlineStr">
        <is>
          <t>118</t>
        </is>
      </c>
      <c r="O287" t="inlineStr">
        <is>
          <t>Documentação Aprovada</t>
        </is>
      </c>
      <c r="P287" t="inlineStr">
        <is>
          <t>Aprovado Diretoria</t>
        </is>
      </c>
      <c r="Q287" t="inlineStr">
        <is>
          <t>Aprovado Caixa</t>
        </is>
      </c>
      <c r="R287" t="inlineStr">
        <is>
          <t>Pago</t>
        </is>
      </c>
      <c r="S287" t="n">
        <v>182</v>
      </c>
      <c r="T287" t="inlineStr">
        <is>
          <t>Love - Shibari - Kamino</t>
        </is>
      </c>
    </row>
    <row r="288">
      <c r="A288" t="n">
        <v>177086</v>
      </c>
      <c r="B288" t="n">
        <v>128</v>
      </c>
      <c r="C288" t="inlineStr">
        <is>
          <t>Love Cabaret</t>
        </is>
      </c>
      <c r="D288" t="inlineStr">
        <is>
          <t xml:space="preserve">MATEUS SILVEIRA CEZAR </t>
        </is>
      </c>
      <c r="E288" t="n">
        <v>500</v>
      </c>
      <c r="F288" s="27" t="n">
        <v>45995</v>
      </c>
      <c r="G288" s="27" t="n">
        <v>45994</v>
      </c>
      <c r="H288" s="27" t="n">
        <v>45994</v>
      </c>
      <c r="I288" s="27" t="n">
        <v>45980</v>
      </c>
      <c r="J288" s="27" t="n">
        <v>45982</v>
      </c>
      <c r="K288" t="inlineStr">
        <is>
          <t>Transferência Bancária ou Pix</t>
        </is>
      </c>
      <c r="L288" t="inlineStr">
        <is>
          <t>Marketing</t>
        </is>
      </c>
      <c r="M288" t="inlineStr">
        <is>
          <t>Sessão de Fotos/Captação de Vídeo</t>
        </is>
      </c>
      <c r="N288" t="inlineStr">
        <is>
          <t>40</t>
        </is>
      </c>
      <c r="O288" t="inlineStr">
        <is>
          <t>Documentação Aprovada</t>
        </is>
      </c>
      <c r="P288" t="inlineStr">
        <is>
          <t>Aprovado Diretoria</t>
        </is>
      </c>
      <c r="Q288" t="inlineStr">
        <is>
          <t>Aprovado Caixa</t>
        </is>
      </c>
      <c r="R288" t="inlineStr">
        <is>
          <t>Pago</t>
        </is>
      </c>
      <c r="S288" t="n">
        <v>182</v>
      </c>
      <c r="T288" t="inlineStr">
        <is>
          <t>Love - Shibari - Kamino</t>
        </is>
      </c>
    </row>
    <row r="289">
      <c r="A289" t="n">
        <v>177122</v>
      </c>
      <c r="B289" t="n">
        <v>128</v>
      </c>
      <c r="C289" t="inlineStr">
        <is>
          <t>Love Cabaret</t>
        </is>
      </c>
      <c r="D289" t="inlineStr">
        <is>
          <t>ESCRITORIO CENTRAL DE ARRECADACAO E DISTRIBUICAO ECAD</t>
        </is>
      </c>
      <c r="E289" t="n">
        <v>802.5</v>
      </c>
      <c r="F289" s="27" t="n">
        <v>45996</v>
      </c>
      <c r="G289" s="27" t="n">
        <v>45994</v>
      </c>
      <c r="H289" s="27" t="n">
        <v>45994</v>
      </c>
      <c r="I289" s="27" t="n">
        <v>45980</v>
      </c>
      <c r="J289" s="27" t="n">
        <v>45982</v>
      </c>
      <c r="K289" t="inlineStr">
        <is>
          <t>Boleto Bancário</t>
        </is>
      </c>
      <c r="L289" t="inlineStr">
        <is>
          <t>Custos Artístico Geral</t>
        </is>
      </c>
      <c r="M289" t="inlineStr">
        <is>
          <t>Taxas e Licenças - Artístico</t>
        </is>
      </c>
      <c r="N289" t="inlineStr">
        <is>
          <t>9022626443</t>
        </is>
      </c>
      <c r="O289" t="inlineStr">
        <is>
          <t>Documentação Aprovada</t>
        </is>
      </c>
      <c r="P289" t="inlineStr">
        <is>
          <t>Aprovado Diretoria</t>
        </is>
      </c>
      <c r="Q289" t="inlineStr">
        <is>
          <t>Aprovado Caixa</t>
        </is>
      </c>
      <c r="R289" t="inlineStr">
        <is>
          <t>Pago</t>
        </is>
      </c>
      <c r="S289" t="n">
        <v>182</v>
      </c>
      <c r="T289" t="inlineStr">
        <is>
          <t>Love - Shibari - Kamino</t>
        </is>
      </c>
    </row>
    <row r="290">
      <c r="A290" t="n">
        <v>176626</v>
      </c>
      <c r="B290" t="n">
        <v>128</v>
      </c>
      <c r="C290" t="inlineStr">
        <is>
          <t>Love Cabaret</t>
        </is>
      </c>
      <c r="D290" t="inlineStr">
        <is>
          <t>ELETROPAULO METROPOLITANA ELETRICIDADE DE SAO PAULO SA</t>
        </is>
      </c>
      <c r="E290" t="n">
        <v>11621.5</v>
      </c>
      <c r="F290" s="27" t="n">
        <v>45995</v>
      </c>
      <c r="G290" s="27" t="n">
        <v>45994</v>
      </c>
      <c r="H290" s="27" t="n">
        <v>45994</v>
      </c>
      <c r="I290" s="27" t="n">
        <v>45976</v>
      </c>
      <c r="J290" s="27" t="n">
        <v>45979</v>
      </c>
      <c r="K290" t="inlineStr">
        <is>
          <t>Boleto Bancário</t>
        </is>
      </c>
      <c r="L290" t="inlineStr">
        <is>
          <t>Utilidades</t>
        </is>
      </c>
      <c r="M290" t="inlineStr">
        <is>
          <t>Energia Eletrica</t>
        </is>
      </c>
      <c r="N290" t="inlineStr">
        <is>
          <t>013122303</t>
        </is>
      </c>
      <c r="O290" t="inlineStr">
        <is>
          <t>Documentação Aprovada</t>
        </is>
      </c>
      <c r="P290" t="inlineStr">
        <is>
          <t>Aprovado Diretoria</t>
        </is>
      </c>
      <c r="Q290" t="inlineStr">
        <is>
          <t>Aprovado Caixa</t>
        </is>
      </c>
      <c r="R290" t="inlineStr">
        <is>
          <t>Pago</t>
        </is>
      </c>
      <c r="S290" t="n">
        <v>182</v>
      </c>
      <c r="T290" t="inlineStr">
        <is>
          <t>Love - Shibari - Kamino</t>
        </is>
      </c>
    </row>
    <row r="291">
      <c r="A291" t="n">
        <v>176624</v>
      </c>
      <c r="B291" t="n">
        <v>128</v>
      </c>
      <c r="C291" t="inlineStr">
        <is>
          <t>Love Cabaret</t>
        </is>
      </c>
      <c r="D291" t="inlineStr">
        <is>
          <t>ELETROPAULO METROPOLITANA ELETRICIDADE DE SAO PAULO SA</t>
        </is>
      </c>
      <c r="E291" t="n">
        <v>105.21</v>
      </c>
      <c r="F291" s="27" t="n">
        <v>45995</v>
      </c>
      <c r="G291" s="27" t="n">
        <v>45994</v>
      </c>
      <c r="H291" s="27" t="n">
        <v>45994</v>
      </c>
      <c r="I291" s="27" t="n">
        <v>45976</v>
      </c>
      <c r="J291" s="27" t="n">
        <v>45979</v>
      </c>
      <c r="K291" t="inlineStr">
        <is>
          <t>Boleto Bancário</t>
        </is>
      </c>
      <c r="L291" t="inlineStr">
        <is>
          <t>Utilidades</t>
        </is>
      </c>
      <c r="M291" t="inlineStr">
        <is>
          <t>Energia Eletrica</t>
        </is>
      </c>
      <c r="N291" t="inlineStr">
        <is>
          <t>013953574</t>
        </is>
      </c>
      <c r="O291" t="inlineStr">
        <is>
          <t>Documentação Aprovada</t>
        </is>
      </c>
      <c r="P291" t="inlineStr">
        <is>
          <t>Aprovado Diretoria</t>
        </is>
      </c>
      <c r="Q291" t="inlineStr">
        <is>
          <t>Aprovado Caixa</t>
        </is>
      </c>
      <c r="R291" t="inlineStr">
        <is>
          <t>Pago</t>
        </is>
      </c>
      <c r="S291" t="n">
        <v>182</v>
      </c>
      <c r="T291" t="inlineStr">
        <is>
          <t>Love - Shibari - Kamino</t>
        </is>
      </c>
    </row>
    <row r="292">
      <c r="A292" t="n">
        <v>168089</v>
      </c>
      <c r="B292" t="n">
        <v>128</v>
      </c>
      <c r="C292" t="inlineStr">
        <is>
          <t>Love Cabaret</t>
        </is>
      </c>
      <c r="D292" t="inlineStr">
        <is>
          <t xml:space="preserve">MATEUS SILVEIRA CEZAR </t>
        </is>
      </c>
      <c r="E292" t="n">
        <v>1800</v>
      </c>
      <c r="F292" s="27" t="n">
        <v>45996</v>
      </c>
      <c r="G292" s="27" t="n">
        <v>45994</v>
      </c>
      <c r="H292" s="27" t="n">
        <v>45994</v>
      </c>
      <c r="I292" s="27" t="n">
        <v>45981</v>
      </c>
      <c r="J292" s="27" t="n">
        <v>45946</v>
      </c>
      <c r="K292" t="inlineStr">
        <is>
          <t>Transferência Bancária ou Pix</t>
        </is>
      </c>
      <c r="L292" t="inlineStr">
        <is>
          <t>Marketing</t>
        </is>
      </c>
      <c r="M292" t="inlineStr">
        <is>
          <t>Produção Gráfica e Material Institucional</t>
        </is>
      </c>
      <c r="N292" t="inlineStr">
        <is>
          <t>37</t>
        </is>
      </c>
      <c r="O292" t="inlineStr">
        <is>
          <t>Documentação Aprovada</t>
        </is>
      </c>
      <c r="P292" t="inlineStr">
        <is>
          <t>Aprovado Diretoria</t>
        </is>
      </c>
      <c r="Q292" t="inlineStr">
        <is>
          <t>Aprovado Caixa</t>
        </is>
      </c>
      <c r="R292" t="inlineStr">
        <is>
          <t>Pago</t>
        </is>
      </c>
      <c r="S292" t="n">
        <v>182</v>
      </c>
      <c r="T292" t="inlineStr">
        <is>
          <t>Love - Shibari - Kamino</t>
        </is>
      </c>
    </row>
    <row r="293">
      <c r="A293" t="n">
        <v>175821</v>
      </c>
      <c r="B293" t="n">
        <v>128</v>
      </c>
      <c r="C293" t="inlineStr">
        <is>
          <t>Love Cabaret</t>
        </is>
      </c>
      <c r="D293" t="inlineStr">
        <is>
          <t>CG FOOD´S DISTRIBUIDORA DE ALIMENTOS LTDA</t>
        </is>
      </c>
      <c r="E293" t="n">
        <v>307.5</v>
      </c>
      <c r="F293" s="27" t="n">
        <v>45992</v>
      </c>
      <c r="G293" s="27" t="n">
        <v>45992</v>
      </c>
      <c r="H293" s="27" t="n">
        <v>45992</v>
      </c>
      <c r="I293" s="27" t="n">
        <v>45971</v>
      </c>
      <c r="J293" s="27" t="n">
        <v>45975</v>
      </c>
      <c r="K293" t="inlineStr">
        <is>
          <t>Boleto Bancário</t>
        </is>
      </c>
      <c r="L293" t="inlineStr">
        <is>
          <t>Custo Mercadoria Vendida</t>
        </is>
      </c>
      <c r="M293" t="inlineStr">
        <is>
          <t>Insumos - Alimentos</t>
        </is>
      </c>
      <c r="N293" t="inlineStr">
        <is>
          <t>170544</t>
        </is>
      </c>
      <c r="O293" t="inlineStr">
        <is>
          <t>Documentação Aprovada</t>
        </is>
      </c>
      <c r="P293" t="inlineStr">
        <is>
          <t>Aprovado Diretoria</t>
        </is>
      </c>
      <c r="Q293" t="inlineStr">
        <is>
          <t>Aprovado Caixa</t>
        </is>
      </c>
      <c r="R293" t="inlineStr">
        <is>
          <t>Pago</t>
        </is>
      </c>
      <c r="S293" t="n">
        <v>182</v>
      </c>
      <c r="T293" t="inlineStr">
        <is>
          <t>Love - Shibari - Kamino</t>
        </is>
      </c>
    </row>
    <row r="294">
      <c r="A294" t="n">
        <v>172952</v>
      </c>
      <c r="B294" t="n">
        <v>128</v>
      </c>
      <c r="C294" t="inlineStr">
        <is>
          <t>Love Cabaret</t>
        </is>
      </c>
      <c r="D294" t="inlineStr">
        <is>
          <t>CEM ENGENHARIA DA MANUTENCAO LTDA</t>
        </is>
      </c>
      <c r="E294" t="n">
        <v>6601.38</v>
      </c>
      <c r="F294" s="27" t="n">
        <v>45976</v>
      </c>
      <c r="G294" s="27" t="n">
        <v>45992</v>
      </c>
      <c r="H294" s="27" t="n">
        <v>45992</v>
      </c>
      <c r="I294" s="27" t="n">
        <v>45960</v>
      </c>
      <c r="J294" s="27" t="n">
        <v>45967</v>
      </c>
      <c r="K294" t="inlineStr">
        <is>
          <t>Boleto Bancário</t>
        </is>
      </c>
      <c r="L294" t="inlineStr">
        <is>
          <t>Manutenção</t>
        </is>
      </c>
      <c r="M294" t="inlineStr">
        <is>
          <t>Manutenção Predial</t>
        </is>
      </c>
      <c r="N294" t="inlineStr">
        <is>
          <t>3239</t>
        </is>
      </c>
      <c r="O294" t="inlineStr">
        <is>
          <t>Documentação Aprovada</t>
        </is>
      </c>
      <c r="P294" t="inlineStr">
        <is>
          <t>Aprovado Diretoria</t>
        </is>
      </c>
      <c r="Q294" t="inlineStr">
        <is>
          <t>Aprovado Caixa</t>
        </is>
      </c>
      <c r="R294" t="inlineStr">
        <is>
          <t>Pago</t>
        </is>
      </c>
      <c r="S294" t="n">
        <v>182</v>
      </c>
      <c r="T294" t="inlineStr">
        <is>
          <t>Love - Shibari - Kamino</t>
        </is>
      </c>
    </row>
    <row r="295">
      <c r="A295" t="n">
        <v>172795</v>
      </c>
      <c r="B295" t="n">
        <v>128</v>
      </c>
      <c r="C295" t="inlineStr">
        <is>
          <t>Love Cabaret</t>
        </is>
      </c>
      <c r="D295" t="inlineStr">
        <is>
          <t>FREE SOM - LOCACAO DE SOM E  LUZ LTDA - TUKASON</t>
        </is>
      </c>
      <c r="E295" t="n">
        <v>6000</v>
      </c>
      <c r="F295" s="27" t="n">
        <v>45992</v>
      </c>
      <c r="G295" s="27" t="n">
        <v>45992</v>
      </c>
      <c r="H295" s="27" t="n">
        <v>45992</v>
      </c>
      <c r="I295" s="27" t="n">
        <v>45964</v>
      </c>
      <c r="J295" s="27" t="n">
        <v>45966</v>
      </c>
      <c r="K295" t="inlineStr">
        <is>
          <t>Boleto Bancário</t>
        </is>
      </c>
      <c r="L295" t="inlineStr">
        <is>
          <t>Custos Artístico Geral</t>
        </is>
      </c>
      <c r="M295" t="inlineStr">
        <is>
          <t>Locação de Equipamentos Fixo</t>
        </is>
      </c>
      <c r="N295" t="inlineStr">
        <is>
          <t>529</t>
        </is>
      </c>
      <c r="O295" t="inlineStr">
        <is>
          <t>Documentação Aprovada</t>
        </is>
      </c>
      <c r="P295" t="inlineStr">
        <is>
          <t>Aprovado Diretoria</t>
        </is>
      </c>
      <c r="Q295" t="inlineStr">
        <is>
          <t>Aprovado Caixa</t>
        </is>
      </c>
      <c r="R295" t="inlineStr">
        <is>
          <t>Pago</t>
        </is>
      </c>
      <c r="S295" t="n">
        <v>182</v>
      </c>
      <c r="T295" t="inlineStr">
        <is>
          <t>Love - Shibari - Kamino</t>
        </is>
      </c>
    </row>
    <row r="296">
      <c r="A296" t="n">
        <v>174891</v>
      </c>
      <c r="B296" t="n">
        <v>128</v>
      </c>
      <c r="C296" t="inlineStr">
        <is>
          <t>Love Cabaret</t>
        </is>
      </c>
      <c r="D296" t="inlineStr">
        <is>
          <t>DTK COMERCIO DE ALIMENTOS LTDA</t>
        </is>
      </c>
      <c r="E296" t="n">
        <v>429.74</v>
      </c>
      <c r="F296" s="27" t="n">
        <v>45992</v>
      </c>
      <c r="G296" s="27" t="n">
        <v>45992</v>
      </c>
      <c r="H296" s="27" t="n">
        <v>45992</v>
      </c>
      <c r="I296" s="27" t="n">
        <v>45964</v>
      </c>
      <c r="J296" s="27" t="n">
        <v>45972</v>
      </c>
      <c r="K296" t="inlineStr">
        <is>
          <t>Boleto Bancário</t>
        </is>
      </c>
      <c r="L296" t="inlineStr">
        <is>
          <t>Custo Mercadoria Vendida</t>
        </is>
      </c>
      <c r="M296" t="inlineStr">
        <is>
          <t>Insumos - Alimentos</t>
        </is>
      </c>
      <c r="N296" t="inlineStr">
        <is>
          <t>50679</t>
        </is>
      </c>
      <c r="O296" t="inlineStr">
        <is>
          <t>Documentação Aprovada</t>
        </is>
      </c>
      <c r="P296" t="inlineStr">
        <is>
          <t>Aprovado Diretoria</t>
        </is>
      </c>
      <c r="Q296" t="inlineStr">
        <is>
          <t>Aprovado Caixa</t>
        </is>
      </c>
      <c r="R296" t="inlineStr">
        <is>
          <t>Pago</t>
        </is>
      </c>
      <c r="S296" t="n">
        <v>182</v>
      </c>
      <c r="T296" t="inlineStr">
        <is>
          <t>Love - Shibari - Kamino</t>
        </is>
      </c>
    </row>
    <row r="297">
      <c r="A297" t="n">
        <v>173833</v>
      </c>
      <c r="B297" t="n">
        <v>128</v>
      </c>
      <c r="C297" t="inlineStr">
        <is>
          <t>Love Cabaret</t>
        </is>
      </c>
      <c r="D297" t="inlineStr">
        <is>
          <t>INVYE CAPITAL LTDA</t>
        </is>
      </c>
      <c r="E297" t="n">
        <v>1287.72</v>
      </c>
      <c r="F297" s="27" t="n">
        <v>45986</v>
      </c>
      <c r="G297" s="27" t="n">
        <v>45992</v>
      </c>
      <c r="H297" s="27" t="n">
        <v>45992</v>
      </c>
      <c r="I297" s="27" t="n">
        <v>45967</v>
      </c>
      <c r="J297" s="27" t="n">
        <v>45971</v>
      </c>
      <c r="K297" t="inlineStr">
        <is>
          <t>Boleto Bancário</t>
        </is>
      </c>
      <c r="L297" t="inlineStr">
        <is>
          <t>Serviços de Terceiros</t>
        </is>
      </c>
      <c r="M297" t="inlineStr">
        <is>
          <t>Assessoria em Geral</t>
        </is>
      </c>
      <c r="N297" t="inlineStr">
        <is>
          <t>3005</t>
        </is>
      </c>
      <c r="O297" t="inlineStr">
        <is>
          <t>Documentação Aprovada</t>
        </is>
      </c>
      <c r="P297" t="inlineStr">
        <is>
          <t>Aprovado Diretoria</t>
        </is>
      </c>
      <c r="Q297" t="inlineStr">
        <is>
          <t>Aprovado Caixa</t>
        </is>
      </c>
      <c r="R297" t="inlineStr">
        <is>
          <t>Pago</t>
        </is>
      </c>
      <c r="S297" t="n">
        <v>182</v>
      </c>
      <c r="T297" t="inlineStr">
        <is>
          <t>Love - Shibari - Kamino</t>
        </is>
      </c>
    </row>
    <row r="298">
      <c r="A298" t="n">
        <v>171715</v>
      </c>
      <c r="B298" t="n">
        <v>128</v>
      </c>
      <c r="C298" t="inlineStr">
        <is>
          <t>Love Cabaret</t>
        </is>
      </c>
      <c r="D298" t="inlineStr">
        <is>
          <t>MACHINE SEGURANCA PATRIMONIAL LTDA</t>
        </is>
      </c>
      <c r="E298" t="n">
        <v>9120</v>
      </c>
      <c r="F298" s="27" t="n">
        <v>45968</v>
      </c>
      <c r="G298" s="27" t="n">
        <v>45992</v>
      </c>
      <c r="H298" s="27" t="n">
        <v>45992</v>
      </c>
      <c r="I298" s="27" t="n">
        <v>45946</v>
      </c>
      <c r="J298" s="27" t="n">
        <v>45961</v>
      </c>
      <c r="K298" t="inlineStr">
        <is>
          <t>Boleto Bancário</t>
        </is>
      </c>
      <c r="L298" t="inlineStr">
        <is>
          <t>Serviços de Terceiros</t>
        </is>
      </c>
      <c r="M298" t="inlineStr">
        <is>
          <t>Serviços de Segurança</t>
        </is>
      </c>
      <c r="N298" t="inlineStr">
        <is>
          <t>FAT 19</t>
        </is>
      </c>
      <c r="O298" t="inlineStr">
        <is>
          <t>Documentação Aprovada</t>
        </is>
      </c>
      <c r="P298" t="inlineStr">
        <is>
          <t>Aprovado Diretoria</t>
        </is>
      </c>
      <c r="Q298" t="inlineStr">
        <is>
          <t>Aprovado Caixa</t>
        </is>
      </c>
      <c r="R298" t="inlineStr">
        <is>
          <t>Pago</t>
        </is>
      </c>
      <c r="S298" t="n">
        <v>182</v>
      </c>
      <c r="T298" t="inlineStr">
        <is>
          <t>Love - Shibari - Kamino</t>
        </is>
      </c>
    </row>
    <row r="299">
      <c r="A299" t="n">
        <v>171647</v>
      </c>
      <c r="B299" t="n">
        <v>128</v>
      </c>
      <c r="C299" t="inlineStr">
        <is>
          <t>Love Cabaret</t>
        </is>
      </c>
      <c r="D299" t="inlineStr">
        <is>
          <t>DEOLINDA DOS SANTOS FREITAS</t>
        </is>
      </c>
      <c r="E299" t="n">
        <v>201.54</v>
      </c>
      <c r="F299" s="27" t="n">
        <v>45993</v>
      </c>
      <c r="G299" s="27" t="n">
        <v>45992</v>
      </c>
      <c r="H299" s="27" t="n">
        <v>45992</v>
      </c>
      <c r="I299" s="27" t="n">
        <v>45958</v>
      </c>
      <c r="J299" s="27" t="n">
        <v>45961</v>
      </c>
      <c r="K299" t="inlineStr">
        <is>
          <t>Boleto Bancário</t>
        </is>
      </c>
      <c r="L299" t="inlineStr">
        <is>
          <t>Custo Mercadoria Vendida</t>
        </is>
      </c>
      <c r="M299" t="inlineStr">
        <is>
          <t>Insumos - Alimentos</t>
        </is>
      </c>
      <c r="N299" t="inlineStr">
        <is>
          <t>2123</t>
        </is>
      </c>
      <c r="O299" t="inlineStr">
        <is>
          <t>Documentação Aprovada</t>
        </is>
      </c>
      <c r="P299" t="inlineStr">
        <is>
          <t>Aprovado Diretoria</t>
        </is>
      </c>
      <c r="Q299" t="inlineStr">
        <is>
          <t>Aprovado Caixa</t>
        </is>
      </c>
      <c r="R299" t="inlineStr">
        <is>
          <t>Pago</t>
        </is>
      </c>
      <c r="S299" t="n">
        <v>182</v>
      </c>
      <c r="T299" t="inlineStr">
        <is>
          <t>Love - Shibari - Kamino</t>
        </is>
      </c>
    </row>
    <row r="300">
      <c r="A300" t="n">
        <v>171655</v>
      </c>
      <c r="B300" t="n">
        <v>128</v>
      </c>
      <c r="C300" t="inlineStr">
        <is>
          <t>Love Cabaret</t>
        </is>
      </c>
      <c r="D300" t="inlineStr">
        <is>
          <t>DEOLINDA DOS SANTOS FREITAS</t>
        </is>
      </c>
      <c r="E300" t="n">
        <v>247.94</v>
      </c>
      <c r="F300" s="27" t="n">
        <v>45993</v>
      </c>
      <c r="G300" s="27" t="n">
        <v>45992</v>
      </c>
      <c r="H300" s="27" t="n">
        <v>45992</v>
      </c>
      <c r="I300" s="27" t="n">
        <v>45958</v>
      </c>
      <c r="J300" s="27" t="n">
        <v>45961</v>
      </c>
      <c r="K300" t="inlineStr">
        <is>
          <t>Boleto Bancário</t>
        </is>
      </c>
      <c r="L300" t="inlineStr">
        <is>
          <t>Utilidades</t>
        </is>
      </c>
      <c r="M300" t="inlineStr">
        <is>
          <t>Higiene e Limpeza</t>
        </is>
      </c>
      <c r="N300" t="inlineStr">
        <is>
          <t>2118</t>
        </is>
      </c>
      <c r="O300" t="inlineStr">
        <is>
          <t>Documentação Aprovada</t>
        </is>
      </c>
      <c r="P300" t="inlineStr">
        <is>
          <t>Aprovado Diretoria</t>
        </is>
      </c>
      <c r="Q300" t="inlineStr">
        <is>
          <t>Aprovado Caixa</t>
        </is>
      </c>
      <c r="R300" t="inlineStr">
        <is>
          <t>Pago</t>
        </is>
      </c>
      <c r="S300" t="n">
        <v>182</v>
      </c>
      <c r="T300" t="inlineStr">
        <is>
          <t>Love - Shibari - Kamino</t>
        </is>
      </c>
    </row>
    <row r="301">
      <c r="A301" t="n">
        <v>176125</v>
      </c>
      <c r="B301" t="n">
        <v>128</v>
      </c>
      <c r="C301" t="inlineStr">
        <is>
          <t>Love Cabaret</t>
        </is>
      </c>
      <c r="D301" t="inlineStr">
        <is>
          <t>LUIZ ROBERTO DA SILVA JUNIOR</t>
        </is>
      </c>
      <c r="E301" t="n">
        <v>1800</v>
      </c>
      <c r="F301" s="27" t="n">
        <v>45990</v>
      </c>
      <c r="G301" s="27" t="n">
        <v>45992</v>
      </c>
      <c r="H301" s="27" t="n">
        <v>45992</v>
      </c>
      <c r="I301" s="27" t="n">
        <v>45962</v>
      </c>
      <c r="J301" s="27" t="n">
        <v>45978</v>
      </c>
      <c r="K301" t="inlineStr">
        <is>
          <t>Transferência Bancária ou Pix</t>
        </is>
      </c>
      <c r="L301" t="inlineStr">
        <is>
          <t>Patrocínio</t>
        </is>
      </c>
      <c r="M301" t="inlineStr">
        <is>
          <t>(-) Despesas de Patrocínio</t>
        </is>
      </c>
      <c r="N301" t="inlineStr">
        <is>
          <t>1192025</t>
        </is>
      </c>
      <c r="O301" t="inlineStr">
        <is>
          <t>Documentação Aprovada</t>
        </is>
      </c>
      <c r="P301" t="inlineStr">
        <is>
          <t>Aprovado Diretoria</t>
        </is>
      </c>
      <c r="Q301" t="inlineStr">
        <is>
          <t>Aprovado Caixa</t>
        </is>
      </c>
      <c r="R301" t="inlineStr">
        <is>
          <t>Pago</t>
        </is>
      </c>
      <c r="S301" t="n">
        <v>182</v>
      </c>
      <c r="T301" t="inlineStr">
        <is>
          <t>Love - Shibari - Kamino</t>
        </is>
      </c>
    </row>
    <row r="302">
      <c r="A302" t="n">
        <v>176126</v>
      </c>
      <c r="B302" t="n">
        <v>128</v>
      </c>
      <c r="C302" t="inlineStr">
        <is>
          <t>Love Cabaret</t>
        </is>
      </c>
      <c r="D302" t="inlineStr">
        <is>
          <t>LUIZ ROBERTO DA SILVA JUNIOR</t>
        </is>
      </c>
      <c r="E302" t="n">
        <v>1800</v>
      </c>
      <c r="F302" s="27" t="n">
        <v>45990</v>
      </c>
      <c r="G302" s="27" t="n">
        <v>45992</v>
      </c>
      <c r="H302" s="27" t="n">
        <v>45992</v>
      </c>
      <c r="I302" s="27" t="n">
        <v>45962</v>
      </c>
      <c r="J302" s="27" t="n">
        <v>45978</v>
      </c>
      <c r="K302" t="inlineStr">
        <is>
          <t>Transferência Bancária ou Pix</t>
        </is>
      </c>
      <c r="L302" t="inlineStr">
        <is>
          <t>Locação de Equipamentos</t>
        </is>
      </c>
      <c r="M302" t="inlineStr">
        <is>
          <t>Locações de Equipamentos - Operacionais</t>
        </is>
      </c>
      <c r="N302" t="inlineStr">
        <is>
          <t>1202025</t>
        </is>
      </c>
      <c r="O302" t="inlineStr">
        <is>
          <t>Documentação Aprovada</t>
        </is>
      </c>
      <c r="P302" t="inlineStr">
        <is>
          <t>Aprovado Diretoria</t>
        </is>
      </c>
      <c r="Q302" t="inlineStr">
        <is>
          <t>Aprovado Caixa</t>
        </is>
      </c>
      <c r="R302" t="inlineStr">
        <is>
          <t>Pago</t>
        </is>
      </c>
      <c r="S302" t="n">
        <v>182</v>
      </c>
      <c r="T302" t="inlineStr">
        <is>
          <t>Love - Shibari - Kamino</t>
        </is>
      </c>
    </row>
    <row r="303">
      <c r="A303" t="n">
        <v>176476</v>
      </c>
      <c r="B303" t="n">
        <v>128</v>
      </c>
      <c r="C303" t="inlineStr">
        <is>
          <t>Love Cabaret</t>
        </is>
      </c>
      <c r="D303" t="inlineStr">
        <is>
          <t>EBM ADVOGADOS - MATECKI SOCIEDADE INDIVIDUAL DE ADVOCACIA</t>
        </is>
      </c>
      <c r="E303" t="n">
        <v>3200</v>
      </c>
      <c r="F303" s="27" t="n">
        <v>45990</v>
      </c>
      <c r="G303" s="27" t="n">
        <v>45992</v>
      </c>
      <c r="H303" s="27" t="n">
        <v>45992</v>
      </c>
      <c r="I303" s="27" t="n">
        <v>45975</v>
      </c>
      <c r="J303" s="27" t="n">
        <v>45979</v>
      </c>
      <c r="K303" t="inlineStr">
        <is>
          <t>Transferência Bancária ou Pix</t>
        </is>
      </c>
      <c r="L303" t="inlineStr">
        <is>
          <t>Serviços de Terceiros</t>
        </is>
      </c>
      <c r="M303" t="inlineStr">
        <is>
          <t>Assessoria Jurídica</t>
        </is>
      </c>
      <c r="N303" t="inlineStr">
        <is>
          <t>1222025</t>
        </is>
      </c>
      <c r="O303" t="inlineStr">
        <is>
          <t>Documentação Aprovada</t>
        </is>
      </c>
      <c r="P303" t="inlineStr">
        <is>
          <t>Aprovado Diretoria</t>
        </is>
      </c>
      <c r="Q303" t="inlineStr">
        <is>
          <t>Aprovado Caixa</t>
        </is>
      </c>
      <c r="R303" t="inlineStr">
        <is>
          <t>Pago</t>
        </is>
      </c>
      <c r="S303" t="n">
        <v>182</v>
      </c>
      <c r="T303" t="inlineStr">
        <is>
          <t>Love - Shibari - Kamino</t>
        </is>
      </c>
    </row>
    <row r="304">
      <c r="A304" t="n">
        <v>176469</v>
      </c>
      <c r="B304" t="n">
        <v>128</v>
      </c>
      <c r="C304" t="inlineStr">
        <is>
          <t>Love Cabaret</t>
        </is>
      </c>
      <c r="D304" t="inlineStr">
        <is>
          <t>MACRO CONTABILIDADE E CONSULTORIA LTDA</t>
        </is>
      </c>
      <c r="E304" t="n">
        <v>3204.47</v>
      </c>
      <c r="F304" s="27" t="n">
        <v>45980</v>
      </c>
      <c r="G304" s="27" t="n">
        <v>45992</v>
      </c>
      <c r="H304" s="27" t="n">
        <v>45992</v>
      </c>
      <c r="I304" s="27" t="n">
        <v>45962</v>
      </c>
      <c r="J304" s="27" t="n">
        <v>45979</v>
      </c>
      <c r="K304" t="inlineStr">
        <is>
          <t>Boleto Bancário</t>
        </is>
      </c>
      <c r="L304" t="inlineStr">
        <is>
          <t>Serviços de Terceiros</t>
        </is>
      </c>
      <c r="M304" t="inlineStr">
        <is>
          <t>Assessoria Contabil</t>
        </is>
      </c>
      <c r="N304" t="inlineStr">
        <is>
          <t>9435</t>
        </is>
      </c>
      <c r="O304" t="inlineStr">
        <is>
          <t>Documentação Aprovada</t>
        </is>
      </c>
      <c r="P304" t="inlineStr">
        <is>
          <t>Aprovado Diretoria</t>
        </is>
      </c>
      <c r="Q304" t="inlineStr">
        <is>
          <t>Aprovado Caixa</t>
        </is>
      </c>
      <c r="R304" t="inlineStr">
        <is>
          <t>Pago</t>
        </is>
      </c>
      <c r="S304" t="n">
        <v>182</v>
      </c>
      <c r="T304" t="inlineStr">
        <is>
          <t>Love - Shibari - Kamino</t>
        </is>
      </c>
    </row>
    <row r="305">
      <c r="A305" t="n">
        <v>178118</v>
      </c>
      <c r="B305" t="n">
        <v>128</v>
      </c>
      <c r="C305" t="inlineStr">
        <is>
          <t>Love Cabaret</t>
        </is>
      </c>
      <c r="D305" t="inlineStr">
        <is>
          <t>LUMI CREAMY LTDA</t>
        </is>
      </c>
      <c r="E305" t="n">
        <v>385</v>
      </c>
      <c r="F305" s="27" t="n">
        <v>45992</v>
      </c>
      <c r="G305" s="27" t="n">
        <v>45992</v>
      </c>
      <c r="H305" s="27" t="n">
        <v>45992</v>
      </c>
      <c r="I305" s="27" t="n">
        <v>45985</v>
      </c>
      <c r="J305" s="27" t="n">
        <v>45987</v>
      </c>
      <c r="K305" t="inlineStr">
        <is>
          <t>Boleto Bancário</t>
        </is>
      </c>
      <c r="L305" t="inlineStr">
        <is>
          <t>Custo Mercadoria Vendida</t>
        </is>
      </c>
      <c r="M305" t="inlineStr">
        <is>
          <t>Insumos - Alimentos</t>
        </is>
      </c>
      <c r="N305" t="inlineStr">
        <is>
          <t>47</t>
        </is>
      </c>
      <c r="O305" t="inlineStr">
        <is>
          <t>Documentação Aprovada</t>
        </is>
      </c>
      <c r="P305" t="inlineStr">
        <is>
          <t>Aprovado Diretoria</t>
        </is>
      </c>
      <c r="Q305" t="inlineStr">
        <is>
          <t>Aprovado Caixa</t>
        </is>
      </c>
      <c r="R305" t="inlineStr">
        <is>
          <t>Pago</t>
        </is>
      </c>
      <c r="S305" t="n">
        <v>182</v>
      </c>
      <c r="T305" t="inlineStr">
        <is>
          <t>Love - Shibari - Kamino</t>
        </is>
      </c>
    </row>
    <row r="306">
      <c r="A306" t="n">
        <v>178099</v>
      </c>
      <c r="B306" t="n">
        <v>128</v>
      </c>
      <c r="C306" t="inlineStr">
        <is>
          <t>Love Cabaret</t>
        </is>
      </c>
      <c r="D306" t="inlineStr">
        <is>
          <t>CHOOP FAST DISTRIBUIDORA DE BEBIDAS LTDA</t>
        </is>
      </c>
      <c r="E306" t="n">
        <v>1461.6</v>
      </c>
      <c r="F306" s="27" t="n">
        <v>45993</v>
      </c>
      <c r="G306" s="27" t="n">
        <v>45992</v>
      </c>
      <c r="H306" s="27" t="n">
        <v>45992</v>
      </c>
      <c r="I306" s="27" t="n">
        <v>45983</v>
      </c>
      <c r="J306" s="27" t="n">
        <v>45987</v>
      </c>
      <c r="K306" t="inlineStr">
        <is>
          <t>Boleto Bancário</t>
        </is>
      </c>
      <c r="L306" t="inlineStr">
        <is>
          <t>Custo Mercadoria Vendida</t>
        </is>
      </c>
      <c r="M306" t="inlineStr">
        <is>
          <t>Insumos - Bebidas</t>
        </is>
      </c>
      <c r="N306" t="inlineStr">
        <is>
          <t>24503</t>
        </is>
      </c>
      <c r="O306" t="inlineStr">
        <is>
          <t>Documentação Aprovada</t>
        </is>
      </c>
      <c r="P306" t="inlineStr">
        <is>
          <t>Aprovado Diretoria</t>
        </is>
      </c>
      <c r="Q306" t="inlineStr">
        <is>
          <t>Aprovado Caixa</t>
        </is>
      </c>
      <c r="R306" t="inlineStr">
        <is>
          <t>Pago</t>
        </is>
      </c>
      <c r="S306" t="n">
        <v>182</v>
      </c>
      <c r="T306" t="inlineStr">
        <is>
          <t>Love - Shibari - Kamino</t>
        </is>
      </c>
    </row>
    <row r="307">
      <c r="A307" t="n">
        <v>176880</v>
      </c>
      <c r="B307" t="n">
        <v>128</v>
      </c>
      <c r="C307" t="inlineStr">
        <is>
          <t>Love Cabaret</t>
        </is>
      </c>
      <c r="D307" t="inlineStr">
        <is>
          <t>PJ 00192022 - FELIPE FERREIRA FRANCA</t>
        </is>
      </c>
      <c r="E307" t="n">
        <v>404.9</v>
      </c>
      <c r="F307" s="27" t="n">
        <v>45990</v>
      </c>
      <c r="G307" s="27" t="n">
        <v>45992</v>
      </c>
      <c r="H307" s="27" t="n">
        <v>45992</v>
      </c>
      <c r="I307" s="27" t="n">
        <v>45962</v>
      </c>
      <c r="J307" s="27" t="n">
        <v>45980</v>
      </c>
      <c r="K307" t="inlineStr">
        <is>
          <t>Transferência Bancária ou Pix</t>
        </is>
      </c>
      <c r="L307" t="inlineStr">
        <is>
          <t>Patrocínio</t>
        </is>
      </c>
      <c r="M307" t="inlineStr">
        <is>
          <t>(-) Despesas de Patrocínio</t>
        </is>
      </c>
      <c r="N307" t="inlineStr">
        <is>
          <t>112025</t>
        </is>
      </c>
      <c r="O307" t="inlineStr">
        <is>
          <t>Documentação Aprovada</t>
        </is>
      </c>
      <c r="P307" t="inlineStr">
        <is>
          <t>Aprovado Diretoria</t>
        </is>
      </c>
      <c r="Q307" t="inlineStr">
        <is>
          <t>Aprovado Caixa</t>
        </is>
      </c>
      <c r="R307" t="inlineStr">
        <is>
          <t>Pago</t>
        </is>
      </c>
      <c r="S307" t="n">
        <v>182</v>
      </c>
      <c r="T307" t="inlineStr">
        <is>
          <t>Love - Shibari - Kamino</t>
        </is>
      </c>
    </row>
    <row r="308">
      <c r="A308" t="n">
        <v>177117</v>
      </c>
      <c r="B308" t="n">
        <v>128</v>
      </c>
      <c r="C308" t="inlineStr">
        <is>
          <t>Love Cabaret</t>
        </is>
      </c>
      <c r="D308" t="inlineStr">
        <is>
          <t>ZAHIL IMPORTADORA LTDA</t>
        </is>
      </c>
      <c r="E308" t="n">
        <v>692.25</v>
      </c>
      <c r="F308" s="27" t="n">
        <v>45992</v>
      </c>
      <c r="G308" s="27" t="n">
        <v>45992</v>
      </c>
      <c r="H308" s="27" t="n">
        <v>45992</v>
      </c>
      <c r="I308" s="27" t="n">
        <v>45974</v>
      </c>
      <c r="J308" s="27" t="n">
        <v>45982</v>
      </c>
      <c r="K308" t="inlineStr">
        <is>
          <t>Boleto Bancário</t>
        </is>
      </c>
      <c r="L308" t="inlineStr">
        <is>
          <t>Custo Mercadoria Vendida</t>
        </is>
      </c>
      <c r="M308" t="inlineStr">
        <is>
          <t>Insumos - Bebidas</t>
        </is>
      </c>
      <c r="N308" t="inlineStr">
        <is>
          <t>26074</t>
        </is>
      </c>
      <c r="O308" t="inlineStr">
        <is>
          <t>Documentação Aprovada</t>
        </is>
      </c>
      <c r="P308" t="inlineStr">
        <is>
          <t>Aprovado Diretoria</t>
        </is>
      </c>
      <c r="Q308" t="inlineStr">
        <is>
          <t>Aprovado Caixa</t>
        </is>
      </c>
      <c r="R308" t="inlineStr">
        <is>
          <t>Pago</t>
        </is>
      </c>
      <c r="S308" t="n">
        <v>182</v>
      </c>
      <c r="T308" t="inlineStr">
        <is>
          <t>Love - Shibari - Kamino</t>
        </is>
      </c>
    </row>
    <row r="309">
      <c r="A309" t="n">
        <v>176988</v>
      </c>
      <c r="B309" t="n">
        <v>128</v>
      </c>
      <c r="C309" t="inlineStr">
        <is>
          <t>Love Cabaret</t>
        </is>
      </c>
      <c r="D309" t="inlineStr">
        <is>
          <t>ASSAZ ORGANICA INDUSTRIA E COMERCIO DE ALIMENTOS LTDA</t>
        </is>
      </c>
      <c r="E309" t="n">
        <v>36.75</v>
      </c>
      <c r="F309" s="27" t="n">
        <v>45994</v>
      </c>
      <c r="G309" s="27" t="n">
        <v>45992</v>
      </c>
      <c r="H309" s="27" t="n">
        <v>45992</v>
      </c>
      <c r="I309" s="27" t="n">
        <v>45979</v>
      </c>
      <c r="J309" s="27" t="n">
        <v>45981</v>
      </c>
      <c r="K309" t="inlineStr">
        <is>
          <t>Boleto Bancário</t>
        </is>
      </c>
      <c r="L309" t="inlineStr">
        <is>
          <t>Custo Mercadoria Vendida</t>
        </is>
      </c>
      <c r="M309" t="inlineStr">
        <is>
          <t>Insumos - Alimentos</t>
        </is>
      </c>
      <c r="N309" t="inlineStr">
        <is>
          <t>24461</t>
        </is>
      </c>
      <c r="O309" t="inlineStr">
        <is>
          <t>Documentação Aprovada</t>
        </is>
      </c>
      <c r="P309" t="inlineStr">
        <is>
          <t>Aprovado Diretoria</t>
        </is>
      </c>
      <c r="Q309" t="inlineStr">
        <is>
          <t>Aprovado Caixa</t>
        </is>
      </c>
      <c r="R309" t="inlineStr">
        <is>
          <t>Pago</t>
        </is>
      </c>
      <c r="S309" t="n">
        <v>182</v>
      </c>
      <c r="T309" t="inlineStr">
        <is>
          <t>Love - Shibari - Kamino</t>
        </is>
      </c>
    </row>
    <row r="310">
      <c r="A310" t="n">
        <v>176995</v>
      </c>
      <c r="B310" t="n">
        <v>128</v>
      </c>
      <c r="C310" t="inlineStr">
        <is>
          <t>Love Cabaret</t>
        </is>
      </c>
      <c r="D310" t="inlineStr">
        <is>
          <t>CASA DE CARNES P.J.J.LTDA</t>
        </is>
      </c>
      <c r="E310" t="n">
        <v>114.54</v>
      </c>
      <c r="F310" s="27" t="n">
        <v>45994</v>
      </c>
      <c r="G310" s="27" t="n">
        <v>45992</v>
      </c>
      <c r="H310" s="27" t="n">
        <v>45992</v>
      </c>
      <c r="I310" s="27" t="n">
        <v>45979</v>
      </c>
      <c r="J310" s="27" t="n">
        <v>45981</v>
      </c>
      <c r="K310" t="inlineStr">
        <is>
          <t>Boleto Bancário</t>
        </is>
      </c>
      <c r="L310" t="inlineStr">
        <is>
          <t>Custo Mercadoria Vendida</t>
        </is>
      </c>
      <c r="M310" t="inlineStr">
        <is>
          <t>Insumos - Alimentos</t>
        </is>
      </c>
      <c r="N310" t="inlineStr">
        <is>
          <t>4800</t>
        </is>
      </c>
      <c r="O310" t="inlineStr">
        <is>
          <t>Documentação Aprovada</t>
        </is>
      </c>
      <c r="P310" t="inlineStr">
        <is>
          <t>Aprovado Diretoria</t>
        </is>
      </c>
      <c r="Q310" t="inlineStr">
        <is>
          <t>Aprovado Caixa</t>
        </is>
      </c>
      <c r="R310" t="inlineStr">
        <is>
          <t>Pago</t>
        </is>
      </c>
      <c r="S310" t="n">
        <v>182</v>
      </c>
      <c r="T310" t="inlineStr">
        <is>
          <t>Love - Shibari - Kamino</t>
        </is>
      </c>
    </row>
    <row r="311">
      <c r="A311" t="n">
        <v>179052</v>
      </c>
      <c r="B311" t="n">
        <v>128</v>
      </c>
      <c r="C311" t="inlineStr">
        <is>
          <t>Love Cabaret</t>
        </is>
      </c>
      <c r="D311" t="inlineStr">
        <is>
          <t>FRONT BEBIDAS LTDA</t>
        </is>
      </c>
      <c r="E311" t="n">
        <v>1146.46</v>
      </c>
      <c r="F311" s="27" t="n">
        <v>45992</v>
      </c>
      <c r="G311" s="27" t="n">
        <v>45992</v>
      </c>
      <c r="H311" s="27" t="n">
        <v>45992</v>
      </c>
      <c r="I311" s="27" t="n">
        <v>45962</v>
      </c>
      <c r="J311" s="27" t="n">
        <v>45989</v>
      </c>
      <c r="K311" t="inlineStr">
        <is>
          <t>Boleto Bancário</t>
        </is>
      </c>
      <c r="L311" t="inlineStr">
        <is>
          <t>Custo Mercadoria Vendida</t>
        </is>
      </c>
      <c r="M311" t="inlineStr">
        <is>
          <t>Insumos - Bebidas</t>
        </is>
      </c>
      <c r="N311" t="inlineStr">
        <is>
          <t>774846</t>
        </is>
      </c>
      <c r="O311" t="inlineStr">
        <is>
          <t>Documentação Aprovada</t>
        </is>
      </c>
      <c r="P311" t="inlineStr">
        <is>
          <t>Aprovado Diretoria</t>
        </is>
      </c>
      <c r="Q311" t="inlineStr">
        <is>
          <t>Aprovado Caixa</t>
        </is>
      </c>
      <c r="R311" t="inlineStr">
        <is>
          <t>Pago</t>
        </is>
      </c>
      <c r="S311" t="n">
        <v>182</v>
      </c>
      <c r="T311" t="inlineStr">
        <is>
          <t>Love - Shibari - Kamino</t>
        </is>
      </c>
    </row>
    <row r="312">
      <c r="A312" t="n">
        <v>179850</v>
      </c>
      <c r="B312" t="n">
        <v>128</v>
      </c>
      <c r="C312" t="inlineStr">
        <is>
          <t>Love Cabaret</t>
        </is>
      </c>
      <c r="D312" t="inlineStr">
        <is>
          <t xml:space="preserve">KAMINO INSTITUICAO DE PAGAMENTO LTDA </t>
        </is>
      </c>
      <c r="E312" t="n">
        <v>2</v>
      </c>
      <c r="F312" s="27" t="n">
        <v>45992</v>
      </c>
      <c r="G312" s="27" t="n"/>
      <c r="H312" s="27" t="n">
        <v>45992</v>
      </c>
      <c r="I312" s="27" t="n">
        <v>45992</v>
      </c>
      <c r="J312" s="27" t="n"/>
      <c r="K312" t="inlineStr">
        <is>
          <t xml:space="preserve">Debito Automático </t>
        </is>
      </c>
      <c r="L312" t="inlineStr">
        <is>
          <t>Despesas Financeiras</t>
        </is>
      </c>
      <c r="M312" t="inlineStr">
        <is>
          <t>Tarifas Bancárias</t>
        </is>
      </c>
      <c r="O312" t="inlineStr">
        <is>
          <t>Documentação Aprovada</t>
        </is>
      </c>
      <c r="P312" t="inlineStr">
        <is>
          <t>Aprovado Diretoria</t>
        </is>
      </c>
      <c r="Q312" t="inlineStr">
        <is>
          <t>Aprovado Caixa</t>
        </is>
      </c>
      <c r="R312" t="inlineStr">
        <is>
          <t>Pago</t>
        </is>
      </c>
      <c r="S312" t="n">
        <v>182</v>
      </c>
      <c r="T312" t="inlineStr">
        <is>
          <t>Love - Shibari - Kamino</t>
        </is>
      </c>
    </row>
    <row r="313">
      <c r="A313" t="n">
        <v>97474</v>
      </c>
      <c r="B313" t="n">
        <v>128</v>
      </c>
      <c r="C313" t="inlineStr">
        <is>
          <t>Love Cabaret</t>
        </is>
      </c>
      <c r="D313" t="inlineStr">
        <is>
          <t>ICMS</t>
        </is>
      </c>
      <c r="E313" t="n">
        <v>8584.49</v>
      </c>
      <c r="F313" s="27" t="n">
        <v>45982</v>
      </c>
      <c r="G313" s="27" t="n">
        <v>45992</v>
      </c>
      <c r="H313" s="27" t="n">
        <v>45992</v>
      </c>
      <c r="I313" s="27" t="n">
        <v>45961</v>
      </c>
      <c r="J313" s="27" t="n"/>
      <c r="K313" t="inlineStr">
        <is>
          <t>Boleto Bancário</t>
        </is>
      </c>
      <c r="L313" t="inlineStr">
        <is>
          <t>Impostos sobre Venda</t>
        </is>
      </c>
      <c r="M313" t="inlineStr">
        <is>
          <t>ICMS</t>
        </is>
      </c>
      <c r="N313" t="inlineStr">
        <is>
          <t>OUT2025</t>
        </is>
      </c>
      <c r="O313" t="inlineStr">
        <is>
          <t>Documentação Aprovada</t>
        </is>
      </c>
      <c r="P313" t="inlineStr">
        <is>
          <t>Aprovado Diretoria</t>
        </is>
      </c>
      <c r="Q313" t="inlineStr">
        <is>
          <t>Aprovado Caixa</t>
        </is>
      </c>
      <c r="R313" t="inlineStr">
        <is>
          <t>Pago</t>
        </is>
      </c>
      <c r="S313" t="n">
        <v>182</v>
      </c>
      <c r="T313" t="inlineStr">
        <is>
          <t>Love - Shibari - Kamino</t>
        </is>
      </c>
    </row>
    <row r="314">
      <c r="A314" t="n">
        <v>179322</v>
      </c>
      <c r="B314" t="n">
        <v>128</v>
      </c>
      <c r="C314" t="inlineStr">
        <is>
          <t>Love Cabaret</t>
        </is>
      </c>
      <c r="D314" t="inlineStr">
        <is>
          <t xml:space="preserve">MINISTERIO DA FAZENDA </t>
        </is>
      </c>
      <c r="E314" t="n">
        <v>3974.82</v>
      </c>
      <c r="F314" s="27" t="n">
        <v>45989</v>
      </c>
      <c r="G314" s="27" t="n">
        <v>45995</v>
      </c>
      <c r="H314" s="27" t="n">
        <v>45989</v>
      </c>
      <c r="I314" s="27" t="n">
        <v>45992</v>
      </c>
      <c r="J314" s="27" t="n"/>
      <c r="K314" t="inlineStr">
        <is>
          <t>Boleto Bancário</t>
        </is>
      </c>
      <c r="L314" t="inlineStr">
        <is>
          <t>Endividamento</t>
        </is>
      </c>
      <c r="M314" t="inlineStr">
        <is>
          <t>Endividamento Geral</t>
        </is>
      </c>
      <c r="N314" t="inlineStr">
        <is>
          <t>1/60 ADESAO</t>
        </is>
      </c>
      <c r="O314" t="inlineStr">
        <is>
          <t>Documentação Aprovada</t>
        </is>
      </c>
      <c r="P314" t="inlineStr">
        <is>
          <t>Aprovado Diretoria</t>
        </is>
      </c>
      <c r="Q314" t="inlineStr">
        <is>
          <t>Aprovado Caixa</t>
        </is>
      </c>
      <c r="R314" t="inlineStr">
        <is>
          <t>Pago</t>
        </is>
      </c>
      <c r="S314" t="n">
        <v>182</v>
      </c>
      <c r="T314" t="inlineStr">
        <is>
          <t>Love - Shibari - Kamino</t>
        </is>
      </c>
    </row>
    <row r="315">
      <c r="A315" t="n">
        <v>179200</v>
      </c>
      <c r="B315" t="n">
        <v>128</v>
      </c>
      <c r="C315" t="inlineStr">
        <is>
          <t>Love Cabaret</t>
        </is>
      </c>
      <c r="D315" t="inlineStr">
        <is>
          <t>BRADESCO SA</t>
        </is>
      </c>
      <c r="E315" t="n">
        <v>9.800000000000001</v>
      </c>
      <c r="F315" s="27" t="n">
        <v>45989</v>
      </c>
      <c r="G315" s="27" t="n"/>
      <c r="H315" s="27" t="n">
        <v>45989</v>
      </c>
      <c r="I315" s="27" t="n">
        <v>45989</v>
      </c>
      <c r="J315" s="27" t="n"/>
      <c r="K315" t="inlineStr">
        <is>
          <t xml:space="preserve">Debito Automático </t>
        </is>
      </c>
      <c r="L315" t="inlineStr">
        <is>
          <t>Despesas Financeiras</t>
        </is>
      </c>
      <c r="M315" t="inlineStr">
        <is>
          <t>Tarifas Bancárias</t>
        </is>
      </c>
      <c r="O315" t="inlineStr">
        <is>
          <t>Documentação Aprovada</t>
        </is>
      </c>
      <c r="P315" t="inlineStr">
        <is>
          <t>Aprovado Diretoria</t>
        </is>
      </c>
      <c r="Q315" t="inlineStr">
        <is>
          <t>Aprovado Caixa</t>
        </is>
      </c>
      <c r="R315" t="inlineStr">
        <is>
          <t>Pago</t>
        </is>
      </c>
      <c r="S315" t="n">
        <v>115</v>
      </c>
      <c r="T315" t="inlineStr">
        <is>
          <t>Love - Shibari - Bradesco</t>
        </is>
      </c>
    </row>
    <row r="316">
      <c r="A316" t="n">
        <v>48417</v>
      </c>
      <c r="B316" t="n">
        <v>128</v>
      </c>
      <c r="C316" t="inlineStr">
        <is>
          <t>Love Cabaret</t>
        </is>
      </c>
      <c r="D316" t="inlineStr">
        <is>
          <t xml:space="preserve">MINISTERIO DA FAZENDA </t>
        </is>
      </c>
      <c r="E316" t="n">
        <v>21346.46</v>
      </c>
      <c r="F316" s="27" t="n">
        <v>45989</v>
      </c>
      <c r="G316" s="27" t="n">
        <v>45992</v>
      </c>
      <c r="H316" s="27" t="n">
        <v>45989</v>
      </c>
      <c r="I316" s="27" t="n">
        <v>45366</v>
      </c>
      <c r="J316" s="27" t="n"/>
      <c r="K316" t="inlineStr">
        <is>
          <t xml:space="preserve">Debito Automático </t>
        </is>
      </c>
      <c r="L316" t="inlineStr">
        <is>
          <t>Endividamento</t>
        </is>
      </c>
      <c r="M316" t="inlineStr">
        <is>
          <t>Endividamento Geral</t>
        </is>
      </c>
      <c r="N316" t="inlineStr">
        <is>
          <t>21/60</t>
        </is>
      </c>
      <c r="O316" t="inlineStr">
        <is>
          <t>Documentação Aprovada</t>
        </is>
      </c>
      <c r="P316" t="inlineStr">
        <is>
          <t>Aprovado Diretoria</t>
        </is>
      </c>
      <c r="Q316" t="inlineStr">
        <is>
          <t>Aprovado Caixa</t>
        </is>
      </c>
      <c r="R316" t="inlineStr">
        <is>
          <t>Pago</t>
        </is>
      </c>
      <c r="S316" t="n">
        <v>115</v>
      </c>
      <c r="T316" t="inlineStr">
        <is>
          <t>Love - Shibari - Bradesco</t>
        </is>
      </c>
    </row>
    <row r="317">
      <c r="A317" t="n">
        <v>178984</v>
      </c>
      <c r="B317" t="n">
        <v>128</v>
      </c>
      <c r="C317" t="inlineStr">
        <is>
          <t>Love Cabaret</t>
        </is>
      </c>
      <c r="D317" t="inlineStr">
        <is>
          <t>JULIANA OLIVEIRA DA SILVA</t>
        </is>
      </c>
      <c r="E317" t="n">
        <v>587.0700000000001</v>
      </c>
      <c r="F317" s="27" t="n">
        <v>45989</v>
      </c>
      <c r="G317" s="27" t="n">
        <v>45989</v>
      </c>
      <c r="H317" s="27" t="n">
        <v>45988</v>
      </c>
      <c r="I317" s="27" t="n">
        <v>45989</v>
      </c>
      <c r="J317" s="27" t="n"/>
      <c r="L317" t="inlineStr">
        <is>
          <t>Mão de Obra - Encargos e Provisões</t>
        </is>
      </c>
      <c r="M317" t="inlineStr">
        <is>
          <t xml:space="preserve">  -  13º Salário</t>
        </is>
      </c>
      <c r="O317" t="inlineStr">
        <is>
          <t>Documentação Aprovada</t>
        </is>
      </c>
      <c r="P317" t="inlineStr">
        <is>
          <t>Aprovado Diretoria</t>
        </is>
      </c>
      <c r="Q317" t="inlineStr">
        <is>
          <t>Aprovado Caixa</t>
        </is>
      </c>
      <c r="R317" t="inlineStr">
        <is>
          <t>Pago</t>
        </is>
      </c>
      <c r="S317" t="n">
        <v>115</v>
      </c>
      <c r="T317" t="inlineStr">
        <is>
          <t>Love - Shibari - Bradesco</t>
        </is>
      </c>
    </row>
    <row r="318">
      <c r="A318" t="n">
        <v>178985</v>
      </c>
      <c r="B318" t="n">
        <v>128</v>
      </c>
      <c r="C318" t="inlineStr">
        <is>
          <t>Love Cabaret</t>
        </is>
      </c>
      <c r="D318" t="inlineStr">
        <is>
          <t>CAROLINE FERREIRA DA SILVA</t>
        </is>
      </c>
      <c r="E318" t="n">
        <v>2325.85</v>
      </c>
      <c r="F318" s="27" t="n">
        <v>45989</v>
      </c>
      <c r="G318" s="27" t="n">
        <v>45989</v>
      </c>
      <c r="H318" s="27" t="n">
        <v>45988</v>
      </c>
      <c r="I318" s="27" t="n">
        <v>45989</v>
      </c>
      <c r="J318" s="27" t="n"/>
      <c r="L318" t="inlineStr">
        <is>
          <t>Mão de Obra - Encargos e Provisões</t>
        </is>
      </c>
      <c r="M318" t="inlineStr">
        <is>
          <t xml:space="preserve">  -  13º Salário</t>
        </is>
      </c>
      <c r="O318" t="inlineStr">
        <is>
          <t>Documentação Aprovada</t>
        </is>
      </c>
      <c r="P318" t="inlineStr">
        <is>
          <t>Aprovado Diretoria</t>
        </is>
      </c>
      <c r="Q318" t="inlineStr">
        <is>
          <t>Aprovado Caixa</t>
        </is>
      </c>
      <c r="R318" t="inlineStr">
        <is>
          <t>Pago</t>
        </is>
      </c>
      <c r="S318" t="n">
        <v>115</v>
      </c>
      <c r="T318" t="inlineStr">
        <is>
          <t>Love - Shibari - Bradesco</t>
        </is>
      </c>
    </row>
    <row r="319">
      <c r="A319" t="n">
        <v>178539</v>
      </c>
      <c r="B319" t="n">
        <v>128</v>
      </c>
      <c r="C319" t="inlineStr">
        <is>
          <t>Love Cabaret</t>
        </is>
      </c>
      <c r="D319" t="inlineStr">
        <is>
          <t>BRADESCO SA</t>
        </is>
      </c>
      <c r="E319" t="n">
        <v>9.800000000000001</v>
      </c>
      <c r="F319" s="27" t="n">
        <v>45987</v>
      </c>
      <c r="G319" s="27" t="n"/>
      <c r="H319" s="27" t="n">
        <v>45987</v>
      </c>
      <c r="I319" s="27" t="n">
        <v>45987</v>
      </c>
      <c r="J319" s="27" t="n"/>
      <c r="K319" t="inlineStr">
        <is>
          <t xml:space="preserve">Debito Automático </t>
        </is>
      </c>
      <c r="L319" t="inlineStr">
        <is>
          <t>Despesas Financeiras</t>
        </is>
      </c>
      <c r="M319" t="inlineStr">
        <is>
          <t>Tarifas Bancárias</t>
        </is>
      </c>
      <c r="O319" t="inlineStr">
        <is>
          <t>Documentação Aprovada</t>
        </is>
      </c>
      <c r="P319" t="inlineStr">
        <is>
          <t>Aprovado Diretoria</t>
        </is>
      </c>
      <c r="Q319" t="inlineStr">
        <is>
          <t>Aprovado Caixa</t>
        </is>
      </c>
      <c r="R319" t="inlineStr">
        <is>
          <t>Pago</t>
        </is>
      </c>
      <c r="S319" t="n">
        <v>115</v>
      </c>
      <c r="T319" t="inlineStr">
        <is>
          <t>Love - Shibari - Bradesco</t>
        </is>
      </c>
    </row>
    <row r="320">
      <c r="A320" t="n">
        <v>176136</v>
      </c>
      <c r="B320" t="n">
        <v>128</v>
      </c>
      <c r="C320" t="inlineStr">
        <is>
          <t>Love Cabaret</t>
        </is>
      </c>
      <c r="D320" t="inlineStr">
        <is>
          <t>PJ 00192022 - FELIPE FERREIRA FRANCA</t>
        </is>
      </c>
      <c r="E320" t="n">
        <v>800</v>
      </c>
      <c r="F320" s="27" t="n">
        <v>45990</v>
      </c>
      <c r="G320" s="27" t="n">
        <v>45987</v>
      </c>
      <c r="H320" s="27" t="n">
        <v>45987</v>
      </c>
      <c r="I320" s="27" t="n">
        <v>45974</v>
      </c>
      <c r="J320" s="27" t="n">
        <v>45978</v>
      </c>
      <c r="K320" t="inlineStr">
        <is>
          <t>Transferência Bancária ou Pix</t>
        </is>
      </c>
      <c r="L320" t="inlineStr">
        <is>
          <t>Utilidades</t>
        </is>
      </c>
      <c r="M320" t="inlineStr">
        <is>
          <t>Agua/Esgoto</t>
        </is>
      </c>
      <c r="N320" t="inlineStr">
        <is>
          <t>1132025</t>
        </is>
      </c>
      <c r="O320" t="inlineStr">
        <is>
          <t>Documentação Aprovada</t>
        </is>
      </c>
      <c r="P320" t="inlineStr">
        <is>
          <t>Aprovado Diretoria</t>
        </is>
      </c>
      <c r="Q320" t="inlineStr">
        <is>
          <t>Aprovado Caixa</t>
        </is>
      </c>
      <c r="R320" t="inlineStr">
        <is>
          <t>Pago</t>
        </is>
      </c>
      <c r="S320" t="n">
        <v>182</v>
      </c>
      <c r="T320" t="inlineStr">
        <is>
          <t>Love - Shibari - Kamino</t>
        </is>
      </c>
    </row>
    <row r="321">
      <c r="A321" t="n">
        <v>176134</v>
      </c>
      <c r="B321" t="n">
        <v>128</v>
      </c>
      <c r="C321" t="inlineStr">
        <is>
          <t>Love Cabaret</t>
        </is>
      </c>
      <c r="D321" t="inlineStr">
        <is>
          <t>PJ 00192022 - FELIPE FERREIRA FRANCA</t>
        </is>
      </c>
      <c r="E321" t="n">
        <v>1900</v>
      </c>
      <c r="F321" s="27" t="n">
        <v>45990</v>
      </c>
      <c r="G321" s="27" t="n">
        <v>45987</v>
      </c>
      <c r="H321" s="27" t="n">
        <v>45987</v>
      </c>
      <c r="I321" s="27" t="n">
        <v>45962</v>
      </c>
      <c r="J321" s="27" t="n">
        <v>45978</v>
      </c>
      <c r="K321" t="inlineStr">
        <is>
          <t>Transferência Bancária ou Pix</t>
        </is>
      </c>
      <c r="L321" t="inlineStr">
        <is>
          <t>Patrocínio</t>
        </is>
      </c>
      <c r="M321" t="inlineStr">
        <is>
          <t>(-) Despesas de Patrocínio</t>
        </is>
      </c>
      <c r="N321" t="inlineStr">
        <is>
          <t>1142025</t>
        </is>
      </c>
      <c r="O321" t="inlineStr">
        <is>
          <t>Documentação Aprovada</t>
        </is>
      </c>
      <c r="P321" t="inlineStr">
        <is>
          <t>Aprovado Diretoria</t>
        </is>
      </c>
      <c r="Q321" t="inlineStr">
        <is>
          <t>Aprovado Caixa</t>
        </is>
      </c>
      <c r="R321" t="inlineStr">
        <is>
          <t>Pago</t>
        </is>
      </c>
      <c r="S321" t="n">
        <v>182</v>
      </c>
      <c r="T321" t="inlineStr">
        <is>
          <t>Love - Shibari - Kamino</t>
        </is>
      </c>
    </row>
    <row r="322">
      <c r="A322" t="n">
        <v>176131</v>
      </c>
      <c r="B322" t="n">
        <v>128</v>
      </c>
      <c r="C322" t="inlineStr">
        <is>
          <t>Love Cabaret</t>
        </is>
      </c>
      <c r="D322" t="inlineStr">
        <is>
          <t xml:space="preserve">AGNES RODRIGUES DE OLIVEIRA </t>
        </is>
      </c>
      <c r="E322" t="n">
        <v>800</v>
      </c>
      <c r="F322" s="27" t="n">
        <v>45990</v>
      </c>
      <c r="G322" s="27" t="n">
        <v>45987</v>
      </c>
      <c r="H322" s="27" t="n">
        <v>45987</v>
      </c>
      <c r="I322" s="27" t="n">
        <v>45975</v>
      </c>
      <c r="J322" s="27" t="n">
        <v>45978</v>
      </c>
      <c r="K322" t="inlineStr">
        <is>
          <t>Transferência Bancária ou Pix</t>
        </is>
      </c>
      <c r="L322" t="inlineStr">
        <is>
          <t>Custos de Eventos</t>
        </is>
      </c>
      <c r="M322" t="inlineStr">
        <is>
          <t>Serviços Terceirizados - Eventos</t>
        </is>
      </c>
      <c r="N322" t="inlineStr">
        <is>
          <t>42</t>
        </is>
      </c>
      <c r="O322" t="inlineStr">
        <is>
          <t>Documentação Aprovada</t>
        </is>
      </c>
      <c r="P322" t="inlineStr">
        <is>
          <t>Aprovado Diretoria</t>
        </is>
      </c>
      <c r="Q322" t="inlineStr">
        <is>
          <t>Aprovado Caixa</t>
        </is>
      </c>
      <c r="R322" t="inlineStr">
        <is>
          <t>Pago</t>
        </is>
      </c>
      <c r="S322" t="n">
        <v>182</v>
      </c>
      <c r="T322" t="inlineStr">
        <is>
          <t>Love - Shibari - Kamino</t>
        </is>
      </c>
    </row>
    <row r="323">
      <c r="A323" t="n">
        <v>176104</v>
      </c>
      <c r="B323" t="n">
        <v>128</v>
      </c>
      <c r="C323" t="inlineStr">
        <is>
          <t>Love Cabaret</t>
        </is>
      </c>
      <c r="D323" t="inlineStr">
        <is>
          <t>LUIZ ROBERTO DA SILVA JUNIOR</t>
        </is>
      </c>
      <c r="E323" t="n">
        <v>2400</v>
      </c>
      <c r="F323" s="27" t="n">
        <v>45989</v>
      </c>
      <c r="G323" s="27" t="n">
        <v>45987</v>
      </c>
      <c r="H323" s="27" t="n">
        <v>45987</v>
      </c>
      <c r="I323" s="27" t="n">
        <v>45962</v>
      </c>
      <c r="J323" s="27" t="n">
        <v>45978</v>
      </c>
      <c r="K323" t="inlineStr">
        <is>
          <t>Transferência Bancária ou Pix</t>
        </is>
      </c>
      <c r="L323" t="inlineStr">
        <is>
          <t>Custos de Eventos</t>
        </is>
      </c>
      <c r="M323" t="inlineStr">
        <is>
          <t>Locação de Equipamentos - Eventos</t>
        </is>
      </c>
      <c r="N323" t="inlineStr">
        <is>
          <t>1182025</t>
        </is>
      </c>
      <c r="O323" t="inlineStr">
        <is>
          <t>Documentação Aprovada</t>
        </is>
      </c>
      <c r="P323" t="inlineStr">
        <is>
          <t>Aprovado Diretoria</t>
        </is>
      </c>
      <c r="Q323" t="inlineStr">
        <is>
          <t>Aprovado Caixa</t>
        </is>
      </c>
      <c r="R323" t="inlineStr">
        <is>
          <t>Pago</t>
        </is>
      </c>
      <c r="S323" t="n">
        <v>182</v>
      </c>
      <c r="T323" t="inlineStr">
        <is>
          <t>Love - Shibari - Kamino</t>
        </is>
      </c>
    </row>
    <row r="324">
      <c r="A324" t="n">
        <v>176458</v>
      </c>
      <c r="B324" t="n">
        <v>128</v>
      </c>
      <c r="C324" t="inlineStr">
        <is>
          <t>Love Cabaret</t>
        </is>
      </c>
      <c r="D324" t="inlineStr">
        <is>
          <t>PJ 00192022 - FELIPE FERREIRA FRANCA</t>
        </is>
      </c>
      <c r="E324" t="n">
        <v>413.08</v>
      </c>
      <c r="F324" s="27" t="n">
        <v>45990</v>
      </c>
      <c r="G324" s="27" t="n">
        <v>45987</v>
      </c>
      <c r="H324" s="27" t="n">
        <v>45987</v>
      </c>
      <c r="I324" s="27" t="n">
        <v>45962</v>
      </c>
      <c r="J324" s="27" t="n">
        <v>45979</v>
      </c>
      <c r="K324" t="inlineStr">
        <is>
          <t>Transferência Bancária ou Pix</t>
        </is>
      </c>
      <c r="L324" t="inlineStr">
        <is>
          <t>Utilidades</t>
        </is>
      </c>
      <c r="M324" t="inlineStr">
        <is>
          <t>Utensilios</t>
        </is>
      </c>
      <c r="N324" t="inlineStr">
        <is>
          <t>1212025</t>
        </is>
      </c>
      <c r="O324" t="inlineStr">
        <is>
          <t>Documentação Aprovada</t>
        </is>
      </c>
      <c r="P324" t="inlineStr">
        <is>
          <t>Aprovado Diretoria</t>
        </is>
      </c>
      <c r="Q324" t="inlineStr">
        <is>
          <t>Aprovado Caixa</t>
        </is>
      </c>
      <c r="R324" t="inlineStr">
        <is>
          <t>Pago</t>
        </is>
      </c>
      <c r="S324" t="n">
        <v>182</v>
      </c>
      <c r="T324" t="inlineStr">
        <is>
          <t>Love - Shibari - Kamino</t>
        </is>
      </c>
    </row>
    <row r="325">
      <c r="A325" t="n">
        <v>176459</v>
      </c>
      <c r="B325" t="n">
        <v>128</v>
      </c>
      <c r="C325" t="inlineStr">
        <is>
          <t>Love Cabaret</t>
        </is>
      </c>
      <c r="D325" t="inlineStr">
        <is>
          <t>PJ 00192022 - FELIPE FERREIRA FRANCA</t>
        </is>
      </c>
      <c r="E325" t="n">
        <v>66.88</v>
      </c>
      <c r="F325" s="27" t="n">
        <v>45990</v>
      </c>
      <c r="G325" s="27" t="n">
        <v>45987</v>
      </c>
      <c r="H325" s="27" t="n">
        <v>45987</v>
      </c>
      <c r="I325" s="27" t="n">
        <v>45962</v>
      </c>
      <c r="J325" s="27" t="n">
        <v>45979</v>
      </c>
      <c r="K325" t="inlineStr">
        <is>
          <t>Transferência Bancária ou Pix</t>
        </is>
      </c>
      <c r="L325" t="inlineStr">
        <is>
          <t>Manutenção</t>
        </is>
      </c>
      <c r="M325" t="inlineStr">
        <is>
          <t>Material de Manutenção</t>
        </is>
      </c>
      <c r="N325" t="inlineStr">
        <is>
          <t>1212025</t>
        </is>
      </c>
      <c r="O325" t="inlineStr">
        <is>
          <t>Documentação Aprovada</t>
        </is>
      </c>
      <c r="P325" t="inlineStr">
        <is>
          <t>Aprovado Diretoria</t>
        </is>
      </c>
      <c r="Q325" t="inlineStr">
        <is>
          <t>Aprovado Caixa</t>
        </is>
      </c>
      <c r="R325" t="inlineStr">
        <is>
          <t>Pago</t>
        </is>
      </c>
      <c r="S325" t="n">
        <v>182</v>
      </c>
      <c r="T325" t="inlineStr">
        <is>
          <t>Love - Shibari - Kamino</t>
        </is>
      </c>
    </row>
    <row r="326">
      <c r="A326" t="n">
        <v>176460</v>
      </c>
      <c r="B326" t="n">
        <v>128</v>
      </c>
      <c r="C326" t="inlineStr">
        <is>
          <t>Love Cabaret</t>
        </is>
      </c>
      <c r="D326" t="inlineStr">
        <is>
          <t>PJ 00192022 - FELIPE FERREIRA FRANCA</t>
        </is>
      </c>
      <c r="E326" t="n">
        <v>60.08</v>
      </c>
      <c r="F326" s="27" t="n">
        <v>45990</v>
      </c>
      <c r="G326" s="27" t="n">
        <v>45987</v>
      </c>
      <c r="H326" s="27" t="n">
        <v>45987</v>
      </c>
      <c r="I326" s="27" t="n">
        <v>45962</v>
      </c>
      <c r="J326" s="27" t="n">
        <v>45979</v>
      </c>
      <c r="K326" t="inlineStr">
        <is>
          <t>Transferência Bancária ou Pix</t>
        </is>
      </c>
      <c r="L326" t="inlineStr">
        <is>
          <t>Custo Mercadoria Vendida</t>
        </is>
      </c>
      <c r="M326" t="inlineStr">
        <is>
          <t>Insumos - Alimentos</t>
        </is>
      </c>
      <c r="N326" t="inlineStr">
        <is>
          <t>1212025</t>
        </is>
      </c>
      <c r="O326" t="inlineStr">
        <is>
          <t>Documentação Aprovada</t>
        </is>
      </c>
      <c r="P326" t="inlineStr">
        <is>
          <t>Aprovado Diretoria</t>
        </is>
      </c>
      <c r="Q326" t="inlineStr">
        <is>
          <t>Aprovado Caixa</t>
        </is>
      </c>
      <c r="R326" t="inlineStr">
        <is>
          <t>Pago</t>
        </is>
      </c>
      <c r="S326" t="n">
        <v>182</v>
      </c>
      <c r="T326" t="inlineStr">
        <is>
          <t>Love - Shibari - Kamino</t>
        </is>
      </c>
    </row>
    <row r="327">
      <c r="A327" t="n">
        <v>176488</v>
      </c>
      <c r="B327" t="n">
        <v>128</v>
      </c>
      <c r="C327" t="inlineStr">
        <is>
          <t>Love Cabaret</t>
        </is>
      </c>
      <c r="D327" t="inlineStr">
        <is>
          <t xml:space="preserve">EDIMAR MOURA TARTAGLIONI SERVICOES DE DEDETIZACAO </t>
        </is>
      </c>
      <c r="E327" t="n">
        <v>630</v>
      </c>
      <c r="F327" s="27" t="n">
        <v>45988</v>
      </c>
      <c r="G327" s="27" t="n">
        <v>45987</v>
      </c>
      <c r="H327" s="27" t="n">
        <v>45987</v>
      </c>
      <c r="I327" s="27" t="n">
        <v>45966</v>
      </c>
      <c r="J327" s="27" t="n">
        <v>45979</v>
      </c>
      <c r="K327" t="inlineStr">
        <is>
          <t>Transferência Bancária ou Pix</t>
        </is>
      </c>
      <c r="L327" t="inlineStr">
        <is>
          <t>Utilidades</t>
        </is>
      </c>
      <c r="M327" t="inlineStr">
        <is>
          <t>Controle de Pragas</t>
        </is>
      </c>
      <c r="N327" t="inlineStr">
        <is>
          <t>624</t>
        </is>
      </c>
      <c r="O327" t="inlineStr">
        <is>
          <t>Documentação Aprovada</t>
        </is>
      </c>
      <c r="P327" t="inlineStr">
        <is>
          <t>Aprovado Diretoria</t>
        </is>
      </c>
      <c r="Q327" t="inlineStr">
        <is>
          <t>Aprovado Caixa</t>
        </is>
      </c>
      <c r="R327" t="inlineStr">
        <is>
          <t>Pago</t>
        </is>
      </c>
      <c r="S327" t="n">
        <v>182</v>
      </c>
      <c r="T327" t="inlineStr">
        <is>
          <t>Love - Shibari - Kamino</t>
        </is>
      </c>
    </row>
    <row r="328">
      <c r="A328" t="n">
        <v>176978</v>
      </c>
      <c r="B328" t="n">
        <v>128</v>
      </c>
      <c r="C328" t="inlineStr">
        <is>
          <t>Love Cabaret</t>
        </is>
      </c>
      <c r="D328" t="inlineStr">
        <is>
          <t xml:space="preserve">HNK BR INDUSTRIA DE BEBIDAS </t>
        </is>
      </c>
      <c r="E328" t="n">
        <v>1518.69</v>
      </c>
      <c r="F328" s="27" t="n">
        <v>45989</v>
      </c>
      <c r="G328" s="27" t="n">
        <v>45987</v>
      </c>
      <c r="H328" s="27" t="n">
        <v>45987</v>
      </c>
      <c r="I328" s="27" t="n">
        <v>45974</v>
      </c>
      <c r="J328" s="27" t="n">
        <v>45981</v>
      </c>
      <c r="K328" t="inlineStr">
        <is>
          <t>Boleto Bancário</t>
        </is>
      </c>
      <c r="L328" t="inlineStr">
        <is>
          <t>Custo Mercadoria Vendida</t>
        </is>
      </c>
      <c r="M328" t="inlineStr">
        <is>
          <t>Insumos - Bebidas</t>
        </is>
      </c>
      <c r="N328" t="inlineStr">
        <is>
          <t>99904</t>
        </is>
      </c>
      <c r="O328" t="inlineStr">
        <is>
          <t>Documentação Aprovada</t>
        </is>
      </c>
      <c r="P328" t="inlineStr">
        <is>
          <t>Aprovado Diretoria</t>
        </is>
      </c>
      <c r="Q328" t="inlineStr">
        <is>
          <t>Aprovado Caixa</t>
        </is>
      </c>
      <c r="R328" t="inlineStr">
        <is>
          <t>Pago</t>
        </is>
      </c>
      <c r="S328" t="n">
        <v>182</v>
      </c>
      <c r="T328" t="inlineStr">
        <is>
          <t>Love - Shibari - Kamino</t>
        </is>
      </c>
    </row>
    <row r="329">
      <c r="A329" t="n">
        <v>176975</v>
      </c>
      <c r="B329" t="n">
        <v>128</v>
      </c>
      <c r="C329" t="inlineStr">
        <is>
          <t>Love Cabaret</t>
        </is>
      </c>
      <c r="D329" t="inlineStr">
        <is>
          <t>EMPORIO M&amp;L COMERCIO DE ALIM E BEBIDAS LTDA</t>
        </is>
      </c>
      <c r="E329" t="n">
        <v>195.8</v>
      </c>
      <c r="F329" s="27" t="n">
        <v>45985</v>
      </c>
      <c r="G329" s="27" t="n">
        <v>45987</v>
      </c>
      <c r="H329" s="27" t="n">
        <v>45987</v>
      </c>
      <c r="I329" s="27" t="n">
        <v>45962</v>
      </c>
      <c r="J329" s="27" t="n">
        <v>45981</v>
      </c>
      <c r="K329" t="inlineStr">
        <is>
          <t>Boleto Bancário</t>
        </is>
      </c>
      <c r="L329" t="inlineStr">
        <is>
          <t>Custo Mercadoria Vendida</t>
        </is>
      </c>
      <c r="M329" t="inlineStr">
        <is>
          <t>Insumos - Alimentos</t>
        </is>
      </c>
      <c r="N329" t="inlineStr">
        <is>
          <t>473494</t>
        </is>
      </c>
      <c r="O329" t="inlineStr">
        <is>
          <t>Documentação Aprovada</t>
        </is>
      </c>
      <c r="P329" t="inlineStr">
        <is>
          <t>Aprovado Diretoria</t>
        </is>
      </c>
      <c r="Q329" t="inlineStr">
        <is>
          <t>Aprovado Caixa</t>
        </is>
      </c>
      <c r="R329" t="inlineStr">
        <is>
          <t>Pago</t>
        </is>
      </c>
      <c r="S329" t="n">
        <v>182</v>
      </c>
      <c r="T329" t="inlineStr">
        <is>
          <t>Love - Shibari - Kamino</t>
        </is>
      </c>
    </row>
    <row r="330">
      <c r="A330" t="n">
        <v>177008</v>
      </c>
      <c r="B330" t="n">
        <v>128</v>
      </c>
      <c r="C330" t="inlineStr">
        <is>
          <t>Love Cabaret</t>
        </is>
      </c>
      <c r="D330" t="inlineStr">
        <is>
          <t xml:space="preserve">FELIPE PAES SEABRA </t>
        </is>
      </c>
      <c r="E330" t="n">
        <v>1050</v>
      </c>
      <c r="F330" s="27" t="n">
        <v>45985</v>
      </c>
      <c r="G330" s="27" t="n">
        <v>45987</v>
      </c>
      <c r="H330" s="27" t="n">
        <v>45987</v>
      </c>
      <c r="I330" s="27" t="n">
        <v>45962</v>
      </c>
      <c r="J330" s="27" t="n">
        <v>45982</v>
      </c>
      <c r="K330" t="inlineStr">
        <is>
          <t>Transferência Bancária ou Pix</t>
        </is>
      </c>
      <c r="L330" t="inlineStr">
        <is>
          <t>Marketing</t>
        </is>
      </c>
      <c r="M330" t="inlineStr">
        <is>
          <t>Sessão de Fotos/Captação de Vídeo</t>
        </is>
      </c>
      <c r="N330" t="inlineStr">
        <is>
          <t>135</t>
        </is>
      </c>
      <c r="O330" t="inlineStr">
        <is>
          <t>Documentação Aprovada</t>
        </is>
      </c>
      <c r="P330" t="inlineStr">
        <is>
          <t>Aprovado Diretoria</t>
        </is>
      </c>
      <c r="Q330" t="inlineStr">
        <is>
          <t>Aprovado Caixa</t>
        </is>
      </c>
      <c r="R330" t="inlineStr">
        <is>
          <t>Pago</t>
        </is>
      </c>
      <c r="S330" t="n">
        <v>182</v>
      </c>
      <c r="T330" t="inlineStr">
        <is>
          <t>Love - Shibari - Kamino</t>
        </is>
      </c>
    </row>
    <row r="331">
      <c r="A331" t="n">
        <v>171623</v>
      </c>
      <c r="B331" t="n">
        <v>128</v>
      </c>
      <c r="C331" t="inlineStr">
        <is>
          <t>Love Cabaret</t>
        </is>
      </c>
      <c r="D331" t="inlineStr">
        <is>
          <t>EMPORIO M&amp;L COMERCIO DE ALIM E BEBIDAS LTDA</t>
        </is>
      </c>
      <c r="E331" t="n">
        <v>1061.34</v>
      </c>
      <c r="F331" s="27" t="n">
        <v>45988</v>
      </c>
      <c r="G331" s="27" t="n">
        <v>45987</v>
      </c>
      <c r="H331" s="27" t="n">
        <v>45987</v>
      </c>
      <c r="I331" s="27" t="n">
        <v>45957</v>
      </c>
      <c r="J331" s="27" t="n">
        <v>45961</v>
      </c>
      <c r="K331" t="inlineStr">
        <is>
          <t>Boleto Bancário</t>
        </is>
      </c>
      <c r="L331" t="inlineStr">
        <is>
          <t>Custo Mercadoria Vendida</t>
        </is>
      </c>
      <c r="M331" t="inlineStr">
        <is>
          <t>Insumos - Alimentos</t>
        </is>
      </c>
      <c r="N331" t="inlineStr">
        <is>
          <t>478005</t>
        </is>
      </c>
      <c r="O331" t="inlineStr">
        <is>
          <t>Documentação Aprovada</t>
        </is>
      </c>
      <c r="P331" t="inlineStr">
        <is>
          <t>Aprovado Diretoria</t>
        </is>
      </c>
      <c r="Q331" t="inlineStr">
        <is>
          <t>Aprovado Caixa</t>
        </is>
      </c>
      <c r="R331" t="inlineStr">
        <is>
          <t>Pago</t>
        </is>
      </c>
      <c r="S331" t="n">
        <v>182</v>
      </c>
      <c r="T331" t="inlineStr">
        <is>
          <t>Love - Shibari - Kamino</t>
        </is>
      </c>
    </row>
    <row r="332">
      <c r="A332" t="n">
        <v>171637</v>
      </c>
      <c r="B332" t="n">
        <v>128</v>
      </c>
      <c r="C332" t="inlineStr">
        <is>
          <t>Love Cabaret</t>
        </is>
      </c>
      <c r="D332" t="inlineStr">
        <is>
          <t>HIDEL MERCEARIA LTDA ME</t>
        </is>
      </c>
      <c r="E332" t="n">
        <v>159</v>
      </c>
      <c r="F332" s="27" t="n">
        <v>45988</v>
      </c>
      <c r="G332" s="27" t="n">
        <v>45987</v>
      </c>
      <c r="H332" s="27" t="n">
        <v>45987</v>
      </c>
      <c r="I332" s="27" t="n">
        <v>45958</v>
      </c>
      <c r="J332" s="27" t="n">
        <v>45961</v>
      </c>
      <c r="K332" t="inlineStr">
        <is>
          <t>Boleto Bancário</t>
        </is>
      </c>
      <c r="L332" t="inlineStr">
        <is>
          <t>Custo Mercadoria Vendida</t>
        </is>
      </c>
      <c r="M332" t="inlineStr">
        <is>
          <t>Insumos - Alimentos</t>
        </is>
      </c>
      <c r="N332" t="inlineStr">
        <is>
          <t>8028</t>
        </is>
      </c>
      <c r="O332" t="inlineStr">
        <is>
          <t>Documentação Aprovada</t>
        </is>
      </c>
      <c r="P332" t="inlineStr">
        <is>
          <t>Aprovado Diretoria</t>
        </is>
      </c>
      <c r="Q332" t="inlineStr">
        <is>
          <t>Aprovado Caixa</t>
        </is>
      </c>
      <c r="R332" t="inlineStr">
        <is>
          <t>Pago</t>
        </is>
      </c>
      <c r="S332" t="n">
        <v>182</v>
      </c>
      <c r="T332" t="inlineStr">
        <is>
          <t>Love - Shibari - Kamino</t>
        </is>
      </c>
    </row>
    <row r="333">
      <c r="A333" t="n">
        <v>175818</v>
      </c>
      <c r="B333" t="n">
        <v>128</v>
      </c>
      <c r="C333" t="inlineStr">
        <is>
          <t>Love Cabaret</t>
        </is>
      </c>
      <c r="D333" t="inlineStr">
        <is>
          <t>MARIO PEDRO FELICIANO - HORTIFRUTI</t>
        </is>
      </c>
      <c r="E333" t="n">
        <v>42.52</v>
      </c>
      <c r="F333" s="27" t="n">
        <v>45990</v>
      </c>
      <c r="G333" s="27" t="n">
        <v>45987</v>
      </c>
      <c r="H333" s="27" t="n">
        <v>45987</v>
      </c>
      <c r="I333" s="27" t="n">
        <v>45962</v>
      </c>
      <c r="J333" s="27" t="n">
        <v>45975</v>
      </c>
      <c r="K333" t="inlineStr">
        <is>
          <t>Boleto Bancário</t>
        </is>
      </c>
      <c r="L333" t="inlineStr">
        <is>
          <t>Custo Mercadoria Vendida</t>
        </is>
      </c>
      <c r="M333" t="inlineStr">
        <is>
          <t>Insumos - Alimentos</t>
        </is>
      </c>
      <c r="N333" t="inlineStr">
        <is>
          <t>457387</t>
        </is>
      </c>
      <c r="O333" t="inlineStr">
        <is>
          <t>Documentação Aprovada</t>
        </is>
      </c>
      <c r="P333" t="inlineStr">
        <is>
          <t>Aprovado Diretoria</t>
        </is>
      </c>
      <c r="Q333" t="inlineStr">
        <is>
          <t>Aprovado Caixa</t>
        </is>
      </c>
      <c r="R333" t="inlineStr">
        <is>
          <t>Pago</t>
        </is>
      </c>
      <c r="S333" t="n">
        <v>182</v>
      </c>
      <c r="T333" t="inlineStr">
        <is>
          <t>Love - Shibari - Kamino</t>
        </is>
      </c>
    </row>
    <row r="334">
      <c r="A334" t="n">
        <v>175324</v>
      </c>
      <c r="B334" t="n">
        <v>128</v>
      </c>
      <c r="C334" t="inlineStr">
        <is>
          <t>Love Cabaret</t>
        </is>
      </c>
      <c r="D334" t="inlineStr">
        <is>
          <t>VALE TRANSPORTE</t>
        </is>
      </c>
      <c r="E334" t="n">
        <v>504.98</v>
      </c>
      <c r="F334" s="27" t="n">
        <v>45989</v>
      </c>
      <c r="G334" s="27" t="n">
        <v>45987</v>
      </c>
      <c r="H334" s="27" t="n">
        <v>45987</v>
      </c>
      <c r="I334" s="27" t="n">
        <v>45992</v>
      </c>
      <c r="J334" s="27" t="n">
        <v>45973</v>
      </c>
      <c r="K334" t="inlineStr">
        <is>
          <t>Boleto Bancário</t>
        </is>
      </c>
      <c r="L334" t="inlineStr">
        <is>
          <t>Mão de Obra - Benefícios</t>
        </is>
      </c>
      <c r="M334" t="inlineStr">
        <is>
          <t xml:space="preserve">  -  Vale-transporte</t>
        </is>
      </c>
      <c r="N334" t="inlineStr">
        <is>
          <t>50498 122025</t>
        </is>
      </c>
      <c r="O334" t="inlineStr">
        <is>
          <t>Documentação Aprovada</t>
        </is>
      </c>
      <c r="P334" t="inlineStr">
        <is>
          <t>Aprovado Diretoria</t>
        </is>
      </c>
      <c r="Q334" t="inlineStr">
        <is>
          <t>Aprovado Caixa</t>
        </is>
      </c>
      <c r="R334" t="inlineStr">
        <is>
          <t>Pago</t>
        </is>
      </c>
      <c r="S334" t="n">
        <v>182</v>
      </c>
      <c r="T334" t="inlineStr">
        <is>
          <t>Love - Shibari - Kamino</t>
        </is>
      </c>
    </row>
    <row r="335">
      <c r="A335" t="n">
        <v>175790</v>
      </c>
      <c r="B335" t="n">
        <v>128</v>
      </c>
      <c r="C335" t="inlineStr">
        <is>
          <t>Love Cabaret</t>
        </is>
      </c>
      <c r="D335" t="inlineStr">
        <is>
          <t>HORTA NOVA DISTRIBUIDORA DE HORTIFRUTI LTDA</t>
        </is>
      </c>
      <c r="E335" t="n">
        <v>80.65000000000001</v>
      </c>
      <c r="F335" s="27" t="n">
        <v>45988</v>
      </c>
      <c r="G335" s="27" t="n">
        <v>45987</v>
      </c>
      <c r="H335" s="27" t="n">
        <v>45987</v>
      </c>
      <c r="I335" s="27" t="n">
        <v>45962</v>
      </c>
      <c r="J335" s="27" t="n">
        <v>45975</v>
      </c>
      <c r="K335" t="inlineStr">
        <is>
          <t>Boleto Bancário</t>
        </is>
      </c>
      <c r="L335" t="inlineStr">
        <is>
          <t>Custo Mercadoria Vendida</t>
        </is>
      </c>
      <c r="M335" t="inlineStr">
        <is>
          <t>Insumos - Alimentos</t>
        </is>
      </c>
      <c r="N335" t="inlineStr">
        <is>
          <t>6967</t>
        </is>
      </c>
      <c r="O335" t="inlineStr">
        <is>
          <t>Documentação Aprovada</t>
        </is>
      </c>
      <c r="P335" t="inlineStr">
        <is>
          <t>Aprovado Diretoria</t>
        </is>
      </c>
      <c r="Q335" t="inlineStr">
        <is>
          <t>Aprovado Caixa</t>
        </is>
      </c>
      <c r="R335" t="inlineStr">
        <is>
          <t>Pago</t>
        </is>
      </c>
      <c r="S335" t="n">
        <v>182</v>
      </c>
      <c r="T335" t="inlineStr">
        <is>
          <t>Love - Shibari - Kamino</t>
        </is>
      </c>
    </row>
    <row r="336">
      <c r="A336" t="n">
        <v>172401</v>
      </c>
      <c r="B336" t="n">
        <v>128</v>
      </c>
      <c r="C336" t="inlineStr">
        <is>
          <t>Love Cabaret</t>
        </is>
      </c>
      <c r="D336" t="inlineStr">
        <is>
          <t>ANDRE RODRIGUES AZEVEDO</t>
        </is>
      </c>
      <c r="E336" t="n">
        <v>47.9</v>
      </c>
      <c r="F336" s="27" t="n">
        <v>45986</v>
      </c>
      <c r="G336" s="27" t="n">
        <v>45987</v>
      </c>
      <c r="H336" s="27" t="n">
        <v>45987</v>
      </c>
      <c r="I336" s="27" t="n">
        <v>45959</v>
      </c>
      <c r="J336" s="27" t="n">
        <v>45965</v>
      </c>
      <c r="K336" t="inlineStr">
        <is>
          <t>Transferência Bancária ou Pix</t>
        </is>
      </c>
      <c r="L336" t="inlineStr">
        <is>
          <t>Utilidades</t>
        </is>
      </c>
      <c r="M336" t="inlineStr">
        <is>
          <t>Material de Escritorio</t>
        </is>
      </c>
      <c r="N336" t="inlineStr">
        <is>
          <t>102025</t>
        </is>
      </c>
      <c r="O336" t="inlineStr">
        <is>
          <t>Documentação Aprovada</t>
        </is>
      </c>
      <c r="P336" t="inlineStr">
        <is>
          <t>Aprovado Diretoria</t>
        </is>
      </c>
      <c r="Q336" t="inlineStr">
        <is>
          <t>Aprovado Caixa</t>
        </is>
      </c>
      <c r="R336" t="inlineStr">
        <is>
          <t>Pago</t>
        </is>
      </c>
      <c r="S336" t="n">
        <v>182</v>
      </c>
      <c r="T336" t="inlineStr">
        <is>
          <t>Love - Shibari - Kamino</t>
        </is>
      </c>
    </row>
    <row r="337">
      <c r="A337" t="n">
        <v>174889</v>
      </c>
      <c r="B337" t="n">
        <v>128</v>
      </c>
      <c r="C337" t="inlineStr">
        <is>
          <t>Love Cabaret</t>
        </is>
      </c>
      <c r="D337" t="inlineStr">
        <is>
          <t>NOVA COMERCIAL PESCADOS LTDA</t>
        </is>
      </c>
      <c r="E337" t="n">
        <v>588</v>
      </c>
      <c r="F337" s="27" t="n">
        <v>45989</v>
      </c>
      <c r="G337" s="27" t="n">
        <v>45987</v>
      </c>
      <c r="H337" s="27" t="n">
        <v>45987</v>
      </c>
      <c r="I337" s="27" t="n">
        <v>45961</v>
      </c>
      <c r="J337" s="27" t="n">
        <v>45972</v>
      </c>
      <c r="K337" t="inlineStr">
        <is>
          <t>Boleto Bancário</t>
        </is>
      </c>
      <c r="L337" t="inlineStr">
        <is>
          <t>Custo Mercadoria Vendida</t>
        </is>
      </c>
      <c r="M337" t="inlineStr">
        <is>
          <t>Insumos - Alimentos</t>
        </is>
      </c>
      <c r="N337" t="inlineStr">
        <is>
          <t>28906</t>
        </is>
      </c>
      <c r="O337" t="inlineStr">
        <is>
          <t>Documentação Aprovada</t>
        </is>
      </c>
      <c r="P337" t="inlineStr">
        <is>
          <t>Aprovado Diretoria</t>
        </is>
      </c>
      <c r="Q337" t="inlineStr">
        <is>
          <t>Aprovado Caixa</t>
        </is>
      </c>
      <c r="R337" t="inlineStr">
        <is>
          <t>Pago</t>
        </is>
      </c>
      <c r="S337" t="n">
        <v>182</v>
      </c>
      <c r="T337" t="inlineStr">
        <is>
          <t>Love - Shibari - Kamino</t>
        </is>
      </c>
    </row>
    <row r="338">
      <c r="A338" t="n">
        <v>174885</v>
      </c>
      <c r="B338" t="n">
        <v>128</v>
      </c>
      <c r="C338" t="inlineStr">
        <is>
          <t>Love Cabaret</t>
        </is>
      </c>
      <c r="D338" t="inlineStr">
        <is>
          <t>MARIO PEDRO FELICIANO - HORTIFRUTI</t>
        </is>
      </c>
      <c r="E338" t="n">
        <v>101.9</v>
      </c>
      <c r="F338" s="27" t="n">
        <v>45988</v>
      </c>
      <c r="G338" s="27" t="n">
        <v>45987</v>
      </c>
      <c r="H338" s="27" t="n">
        <v>45987</v>
      </c>
      <c r="I338" s="27" t="n">
        <v>45960</v>
      </c>
      <c r="J338" s="27" t="n">
        <v>45972</v>
      </c>
      <c r="K338" t="inlineStr">
        <is>
          <t>Boleto Bancário</t>
        </is>
      </c>
      <c r="L338" t="inlineStr">
        <is>
          <t>Custo Mercadoria Vendida</t>
        </is>
      </c>
      <c r="M338" t="inlineStr">
        <is>
          <t>Insumos - Alimentos</t>
        </is>
      </c>
      <c r="N338" t="inlineStr">
        <is>
          <t>457170</t>
        </is>
      </c>
      <c r="O338" t="inlineStr">
        <is>
          <t>Documentação Aprovada</t>
        </is>
      </c>
      <c r="P338" t="inlineStr">
        <is>
          <t>Aprovado Diretoria</t>
        </is>
      </c>
      <c r="Q338" t="inlineStr">
        <is>
          <t>Aprovado Caixa</t>
        </is>
      </c>
      <c r="R338" t="inlineStr">
        <is>
          <t>Pago</t>
        </is>
      </c>
      <c r="S338" t="n">
        <v>182</v>
      </c>
      <c r="T338" t="inlineStr">
        <is>
          <t>Love - Shibari - Kamino</t>
        </is>
      </c>
    </row>
    <row r="339">
      <c r="A339" t="n">
        <v>174833</v>
      </c>
      <c r="B339" t="n">
        <v>128</v>
      </c>
      <c r="C339" t="inlineStr">
        <is>
          <t>Love Cabaret</t>
        </is>
      </c>
      <c r="D339" t="inlineStr">
        <is>
          <t>FG7 COMERCIO E DISTRIBUICAO DE BEBIDAS LTDA</t>
        </is>
      </c>
      <c r="E339" t="n">
        <v>249.55</v>
      </c>
      <c r="F339" s="27" t="n">
        <v>45988</v>
      </c>
      <c r="G339" s="27" t="n">
        <v>45987</v>
      </c>
      <c r="H339" s="27" t="n">
        <v>45987</v>
      </c>
      <c r="I339" s="27" t="n">
        <v>45959</v>
      </c>
      <c r="J339" s="27" t="n">
        <v>45972</v>
      </c>
      <c r="K339" t="inlineStr">
        <is>
          <t>Boleto Bancário</t>
        </is>
      </c>
      <c r="L339" t="inlineStr">
        <is>
          <t>Custo Mercadoria Vendida</t>
        </is>
      </c>
      <c r="M339" t="inlineStr">
        <is>
          <t>Insumos - Bebidas</t>
        </is>
      </c>
      <c r="N339" t="inlineStr">
        <is>
          <t>692509</t>
        </is>
      </c>
      <c r="O339" t="inlineStr">
        <is>
          <t>Documentação Aprovada</t>
        </is>
      </c>
      <c r="P339" t="inlineStr">
        <is>
          <t>Aprovado Diretoria</t>
        </is>
      </c>
      <c r="Q339" t="inlineStr">
        <is>
          <t>Aprovado Caixa</t>
        </is>
      </c>
      <c r="R339" t="inlineStr">
        <is>
          <t>Pago</t>
        </is>
      </c>
      <c r="S339" t="n">
        <v>182</v>
      </c>
      <c r="T339" t="inlineStr">
        <is>
          <t>Love - Shibari - Kamino</t>
        </is>
      </c>
    </row>
    <row r="340">
      <c r="A340" t="n">
        <v>174818</v>
      </c>
      <c r="B340" t="n">
        <v>128</v>
      </c>
      <c r="C340" t="inlineStr">
        <is>
          <t>Love Cabaret</t>
        </is>
      </c>
      <c r="D340" t="inlineStr">
        <is>
          <t>EMPORIO M&amp;L COMERCIO DE ALIM E BEBIDAS LTDA</t>
        </is>
      </c>
      <c r="E340" t="n">
        <v>214.3</v>
      </c>
      <c r="F340" s="27" t="n">
        <v>45988</v>
      </c>
      <c r="G340" s="27" t="n">
        <v>45987</v>
      </c>
      <c r="H340" s="27" t="n">
        <v>45987</v>
      </c>
      <c r="I340" s="27" t="n">
        <v>45958</v>
      </c>
      <c r="J340" s="27" t="n">
        <v>45972</v>
      </c>
      <c r="K340" t="inlineStr">
        <is>
          <t>Boleto Bancário</t>
        </is>
      </c>
      <c r="L340" t="inlineStr">
        <is>
          <t>Custo Mercadoria Vendida</t>
        </is>
      </c>
      <c r="M340" t="inlineStr">
        <is>
          <t>Insumos - Alimentos</t>
        </is>
      </c>
      <c r="N340" t="inlineStr">
        <is>
          <t>478173</t>
        </is>
      </c>
      <c r="O340" t="inlineStr">
        <is>
          <t>Documentação Aprovada</t>
        </is>
      </c>
      <c r="P340" t="inlineStr">
        <is>
          <t>Aprovado Diretoria</t>
        </is>
      </c>
      <c r="Q340" t="inlineStr">
        <is>
          <t>Aprovado Caixa</t>
        </is>
      </c>
      <c r="R340" t="inlineStr">
        <is>
          <t>Pago</t>
        </is>
      </c>
      <c r="S340" t="n">
        <v>182</v>
      </c>
      <c r="T340" t="inlineStr">
        <is>
          <t>Love - Shibari - Kamino</t>
        </is>
      </c>
    </row>
    <row r="341">
      <c r="A341" t="n">
        <v>174897</v>
      </c>
      <c r="B341" t="n">
        <v>128</v>
      </c>
      <c r="C341" t="inlineStr">
        <is>
          <t>Love Cabaret</t>
        </is>
      </c>
      <c r="D341" t="inlineStr">
        <is>
          <t>MARCOS SILVA DO NASCIMENTO</t>
        </is>
      </c>
      <c r="E341" t="n">
        <v>239.88</v>
      </c>
      <c r="F341" s="27" t="n">
        <v>45988</v>
      </c>
      <c r="G341" s="27" t="n">
        <v>45987</v>
      </c>
      <c r="H341" s="27" t="n">
        <v>45987</v>
      </c>
      <c r="I341" s="27" t="n">
        <v>45965</v>
      </c>
      <c r="J341" s="27" t="n">
        <v>45972</v>
      </c>
      <c r="K341" t="inlineStr">
        <is>
          <t>Boleto Bancário</t>
        </is>
      </c>
      <c r="L341" t="inlineStr">
        <is>
          <t>Custo Mercadoria Vendida</t>
        </is>
      </c>
      <c r="M341" t="inlineStr">
        <is>
          <t>Insumos - Alimentos</t>
        </is>
      </c>
      <c r="N341" t="inlineStr">
        <is>
          <t>558</t>
        </is>
      </c>
      <c r="O341" t="inlineStr">
        <is>
          <t>Documentação Aprovada</t>
        </is>
      </c>
      <c r="P341" t="inlineStr">
        <is>
          <t>Aprovado Diretoria</t>
        </is>
      </c>
      <c r="Q341" t="inlineStr">
        <is>
          <t>Aprovado Caixa</t>
        </is>
      </c>
      <c r="R341" t="inlineStr">
        <is>
          <t>Pago</t>
        </is>
      </c>
      <c r="S341" t="n">
        <v>182</v>
      </c>
      <c r="T341" t="inlineStr">
        <is>
          <t>Love - Shibari - Kamino</t>
        </is>
      </c>
    </row>
    <row r="342">
      <c r="A342" t="n">
        <v>84050</v>
      </c>
      <c r="B342" t="n">
        <v>128</v>
      </c>
      <c r="C342" t="inlineStr">
        <is>
          <t>Love Cabaret</t>
        </is>
      </c>
      <c r="D342" t="inlineStr">
        <is>
          <t>CSLL</t>
        </is>
      </c>
      <c r="E342" t="n">
        <v>1043.83</v>
      </c>
      <c r="F342" s="27" t="n">
        <v>45991</v>
      </c>
      <c r="G342" s="27" t="n">
        <v>45987</v>
      </c>
      <c r="H342" s="27" t="n">
        <v>45987</v>
      </c>
      <c r="I342" s="27" t="n">
        <v>45599</v>
      </c>
      <c r="J342" s="27" t="n"/>
      <c r="K342" t="inlineStr">
        <is>
          <t>Boleto Bancário</t>
        </is>
      </c>
      <c r="L342" t="inlineStr">
        <is>
          <t>Endividamento</t>
        </is>
      </c>
      <c r="M342" t="inlineStr">
        <is>
          <t>Endividamento Geral</t>
        </is>
      </c>
      <c r="N342" t="inlineStr">
        <is>
          <t>14/120</t>
        </is>
      </c>
      <c r="O342" t="inlineStr">
        <is>
          <t>Documentação Aprovada</t>
        </is>
      </c>
      <c r="P342" t="inlineStr">
        <is>
          <t>Aprovado Diretoria</t>
        </is>
      </c>
      <c r="Q342" t="inlineStr">
        <is>
          <t>Aprovado Caixa</t>
        </is>
      </c>
      <c r="R342" t="inlineStr">
        <is>
          <t>Pago</t>
        </is>
      </c>
      <c r="S342" t="n">
        <v>182</v>
      </c>
      <c r="T342" t="inlineStr">
        <is>
          <t>Love - Shibari - Kamino</t>
        </is>
      </c>
    </row>
    <row r="343">
      <c r="A343" t="n">
        <v>48403</v>
      </c>
      <c r="B343" t="n">
        <v>128</v>
      </c>
      <c r="C343" t="inlineStr">
        <is>
          <t>Love Cabaret</t>
        </is>
      </c>
      <c r="D343" t="inlineStr">
        <is>
          <t xml:space="preserve">MINISTERIO DA FAZENDA </t>
        </is>
      </c>
      <c r="E343" t="n">
        <v>611.1</v>
      </c>
      <c r="F343" s="27" t="n">
        <v>45989</v>
      </c>
      <c r="G343" s="27" t="n">
        <v>45987</v>
      </c>
      <c r="H343" s="27" t="n">
        <v>45987</v>
      </c>
      <c r="I343" s="27" t="n">
        <v>45366</v>
      </c>
      <c r="J343" s="27" t="n"/>
      <c r="K343" t="inlineStr">
        <is>
          <t>Boleto Bancário</t>
        </is>
      </c>
      <c r="L343" t="inlineStr">
        <is>
          <t>Endividamento</t>
        </is>
      </c>
      <c r="M343" t="inlineStr">
        <is>
          <t>Endividamento Geral</t>
        </is>
      </c>
      <c r="N343" t="inlineStr">
        <is>
          <t>21/45</t>
        </is>
      </c>
      <c r="O343" t="inlineStr">
        <is>
          <t>Documentação Aprovada</t>
        </is>
      </c>
      <c r="P343" t="inlineStr">
        <is>
          <t>Aprovado Diretoria</t>
        </is>
      </c>
      <c r="Q343" t="inlineStr">
        <is>
          <t>Aprovado Caixa</t>
        </is>
      </c>
      <c r="R343" t="inlineStr">
        <is>
          <t>Pago</t>
        </is>
      </c>
      <c r="S343" t="n">
        <v>182</v>
      </c>
      <c r="T343" t="inlineStr">
        <is>
          <t>Love - Shibari - Kamino</t>
        </is>
      </c>
    </row>
    <row r="344">
      <c r="A344" t="n">
        <v>48416</v>
      </c>
      <c r="B344" t="n">
        <v>128</v>
      </c>
      <c r="C344" t="inlineStr">
        <is>
          <t>Love Cabaret</t>
        </is>
      </c>
      <c r="D344" t="inlineStr">
        <is>
          <t>ICMS</t>
        </is>
      </c>
      <c r="E344" t="n">
        <v>831.84</v>
      </c>
      <c r="F344" s="27" t="n">
        <v>45989</v>
      </c>
      <c r="G344" s="27" t="n">
        <v>45987</v>
      </c>
      <c r="H344" s="27" t="n">
        <v>45987</v>
      </c>
      <c r="I344" s="27" t="n">
        <v>45366</v>
      </c>
      <c r="J344" s="27" t="n"/>
      <c r="K344" t="inlineStr">
        <is>
          <t>Boleto Bancário</t>
        </is>
      </c>
      <c r="L344" t="inlineStr">
        <is>
          <t>Endividamento</t>
        </is>
      </c>
      <c r="M344" t="inlineStr">
        <is>
          <t>Endividamento Geral</t>
        </is>
      </c>
      <c r="N344" t="inlineStr">
        <is>
          <t>20/60</t>
        </is>
      </c>
      <c r="O344" t="inlineStr">
        <is>
          <t>Documentação Aprovada</t>
        </is>
      </c>
      <c r="P344" t="inlineStr">
        <is>
          <t>Aprovado Diretoria</t>
        </is>
      </c>
      <c r="Q344" t="inlineStr">
        <is>
          <t>Aprovado Caixa</t>
        </is>
      </c>
      <c r="R344" t="inlineStr">
        <is>
          <t>Pago</t>
        </is>
      </c>
      <c r="S344" t="n">
        <v>182</v>
      </c>
      <c r="T344" t="inlineStr">
        <is>
          <t>Love - Shibari - Kamino</t>
        </is>
      </c>
    </row>
    <row r="345">
      <c r="A345" t="n">
        <v>51167</v>
      </c>
      <c r="B345" t="n">
        <v>128</v>
      </c>
      <c r="C345" t="inlineStr">
        <is>
          <t>Love Cabaret</t>
        </is>
      </c>
      <c r="D345" t="inlineStr">
        <is>
          <t>ICMS</t>
        </is>
      </c>
      <c r="E345" t="n">
        <v>635.33</v>
      </c>
      <c r="F345" s="27" t="n">
        <v>45988</v>
      </c>
      <c r="G345" s="27" t="n">
        <v>45987</v>
      </c>
      <c r="H345" s="27" t="n">
        <v>45987</v>
      </c>
      <c r="I345" s="27" t="n">
        <v>45406</v>
      </c>
      <c r="J345" s="27" t="n"/>
      <c r="K345" t="inlineStr">
        <is>
          <t>Boleto Bancário</t>
        </is>
      </c>
      <c r="L345" t="inlineStr">
        <is>
          <t>Endividamento</t>
        </is>
      </c>
      <c r="M345" t="inlineStr">
        <is>
          <t>Endividamento Geral</t>
        </is>
      </c>
      <c r="N345" t="inlineStr">
        <is>
          <t>19/36</t>
        </is>
      </c>
      <c r="O345" t="inlineStr">
        <is>
          <t>Documentação Aprovada</t>
        </is>
      </c>
      <c r="P345" t="inlineStr">
        <is>
          <t>Aprovado Diretoria</t>
        </is>
      </c>
      <c r="Q345" t="inlineStr">
        <is>
          <t>Aprovado Caixa</t>
        </is>
      </c>
      <c r="R345" t="inlineStr">
        <is>
          <t>Pago</t>
        </is>
      </c>
      <c r="S345" t="n">
        <v>182</v>
      </c>
      <c r="T345" t="inlineStr">
        <is>
          <t>Love - Shibari - Kamino</t>
        </is>
      </c>
    </row>
    <row r="346">
      <c r="A346" t="n">
        <v>174990</v>
      </c>
      <c r="B346" t="n">
        <v>128</v>
      </c>
      <c r="C346" t="inlineStr">
        <is>
          <t>Love Cabaret</t>
        </is>
      </c>
      <c r="D346" t="inlineStr">
        <is>
          <t xml:space="preserve">GOOGLE BRASIL INTERNET LTDA </t>
        </is>
      </c>
      <c r="E346" t="n">
        <v>3000</v>
      </c>
      <c r="F346" s="27" t="n">
        <v>45985</v>
      </c>
      <c r="G346" s="27" t="n">
        <v>45986</v>
      </c>
      <c r="H346" s="27" t="n">
        <v>45986</v>
      </c>
      <c r="I346" s="27" t="n">
        <v>45962</v>
      </c>
      <c r="J346" s="27" t="n">
        <v>45973</v>
      </c>
      <c r="K346" t="inlineStr">
        <is>
          <t>Boleto Bancário</t>
        </is>
      </c>
      <c r="L346" t="inlineStr">
        <is>
          <t>Marketing</t>
        </is>
      </c>
      <c r="M346" t="inlineStr">
        <is>
          <t>Publicidade e Propaganda</t>
        </is>
      </c>
      <c r="N346" t="inlineStr">
        <is>
          <t>112025</t>
        </is>
      </c>
      <c r="O346" t="inlineStr">
        <is>
          <t>Documentação Aprovada</t>
        </is>
      </c>
      <c r="P346" t="inlineStr">
        <is>
          <t>Aprovado Diretoria</t>
        </is>
      </c>
      <c r="Q346" t="inlineStr">
        <is>
          <t>Aprovado Caixa</t>
        </is>
      </c>
      <c r="R346" t="inlineStr">
        <is>
          <t>Pago</t>
        </is>
      </c>
      <c r="S346" t="n">
        <v>182</v>
      </c>
      <c r="T346" t="inlineStr">
        <is>
          <t>Love - Shibari - Kamino</t>
        </is>
      </c>
    </row>
    <row r="347">
      <c r="A347" t="n">
        <v>174815</v>
      </c>
      <c r="B347" t="n">
        <v>128</v>
      </c>
      <c r="C347" t="inlineStr">
        <is>
          <t>Love Cabaret</t>
        </is>
      </c>
      <c r="D347" t="inlineStr">
        <is>
          <t>LATEM COMERCIO DE MATERIAIS PARA CONSTRUCAO LTDA</t>
        </is>
      </c>
      <c r="E347" t="n">
        <v>289</v>
      </c>
      <c r="F347" s="27" t="n">
        <v>45985</v>
      </c>
      <c r="G347" s="27" t="n">
        <v>45985</v>
      </c>
      <c r="H347" s="27" t="n">
        <v>45985</v>
      </c>
      <c r="I347" s="27" t="n">
        <v>45957</v>
      </c>
      <c r="J347" s="27" t="n">
        <v>45972</v>
      </c>
      <c r="K347" t="inlineStr">
        <is>
          <t>Boleto Bancário</t>
        </is>
      </c>
      <c r="L347" t="inlineStr">
        <is>
          <t>Utilidades</t>
        </is>
      </c>
      <c r="M347" t="inlineStr">
        <is>
          <t>Utensilios</t>
        </is>
      </c>
      <c r="N347" t="inlineStr">
        <is>
          <t>87549</t>
        </is>
      </c>
      <c r="O347" t="inlineStr">
        <is>
          <t>Documentação Aprovada</t>
        </is>
      </c>
      <c r="P347" t="inlineStr">
        <is>
          <t>Aprovado Diretoria</t>
        </is>
      </c>
      <c r="Q347" t="inlineStr">
        <is>
          <t>Aprovado Caixa</t>
        </is>
      </c>
      <c r="R347" t="inlineStr">
        <is>
          <t>Pago</t>
        </is>
      </c>
      <c r="S347" t="n">
        <v>182</v>
      </c>
      <c r="T347" t="inlineStr">
        <is>
          <t>Love - Shibari - Kamino</t>
        </is>
      </c>
    </row>
    <row r="348">
      <c r="A348" t="n">
        <v>174883</v>
      </c>
      <c r="B348" t="n">
        <v>128</v>
      </c>
      <c r="C348" t="inlineStr">
        <is>
          <t>Love Cabaret</t>
        </is>
      </c>
      <c r="D348" t="inlineStr">
        <is>
          <t>FRONT BEBIDAS LTDA</t>
        </is>
      </c>
      <c r="E348" t="n">
        <v>1599.58</v>
      </c>
      <c r="F348" s="27" t="n">
        <v>45987</v>
      </c>
      <c r="G348" s="27" t="n">
        <v>45985</v>
      </c>
      <c r="H348" s="27" t="n">
        <v>45985</v>
      </c>
      <c r="I348" s="27" t="n">
        <v>45959</v>
      </c>
      <c r="J348" s="27" t="n">
        <v>45972</v>
      </c>
      <c r="K348" t="inlineStr">
        <is>
          <t>Boleto Bancário</t>
        </is>
      </c>
      <c r="L348" t="inlineStr">
        <is>
          <t>Custo Mercadoria Vendida</t>
        </is>
      </c>
      <c r="M348" t="inlineStr">
        <is>
          <t>Insumos - Bebidas</t>
        </is>
      </c>
      <c r="N348" t="inlineStr">
        <is>
          <t>775536</t>
        </is>
      </c>
      <c r="O348" t="inlineStr">
        <is>
          <t>Documentação Aprovada</t>
        </is>
      </c>
      <c r="P348" t="inlineStr">
        <is>
          <t>Aprovado Diretoria</t>
        </is>
      </c>
      <c r="Q348" t="inlineStr">
        <is>
          <t>Aprovado Caixa</t>
        </is>
      </c>
      <c r="R348" t="inlineStr">
        <is>
          <t>Pago</t>
        </is>
      </c>
      <c r="S348" t="n">
        <v>182</v>
      </c>
      <c r="T348" t="inlineStr">
        <is>
          <t>Love - Shibari - Kamino</t>
        </is>
      </c>
    </row>
    <row r="349">
      <c r="A349" t="n">
        <v>174820</v>
      </c>
      <c r="B349" t="n">
        <v>128</v>
      </c>
      <c r="C349" t="inlineStr">
        <is>
          <t>Love Cabaret</t>
        </is>
      </c>
      <c r="D349" t="inlineStr">
        <is>
          <t>HORTA NOVA DISTRIBUIDORA DE HORTIFRUTI LTDA</t>
        </is>
      </c>
      <c r="E349" t="n">
        <v>236.3</v>
      </c>
      <c r="F349" s="27" t="n">
        <v>45987</v>
      </c>
      <c r="G349" s="27" t="n">
        <v>45985</v>
      </c>
      <c r="H349" s="27" t="n">
        <v>45985</v>
      </c>
      <c r="I349" s="27" t="n">
        <v>45959</v>
      </c>
      <c r="J349" s="27" t="n">
        <v>45972</v>
      </c>
      <c r="K349" t="inlineStr">
        <is>
          <t>Boleto Bancário</t>
        </is>
      </c>
      <c r="L349" t="inlineStr">
        <is>
          <t>Custo Mercadoria Vendida</t>
        </is>
      </c>
      <c r="M349" t="inlineStr">
        <is>
          <t>Insumos - Alimentos</t>
        </is>
      </c>
      <c r="N349" t="inlineStr">
        <is>
          <t>6920</t>
        </is>
      </c>
      <c r="O349" t="inlineStr">
        <is>
          <t>Documentação Aprovada</t>
        </is>
      </c>
      <c r="P349" t="inlineStr">
        <is>
          <t>Aprovado Diretoria</t>
        </is>
      </c>
      <c r="Q349" t="inlineStr">
        <is>
          <t>Aprovado Caixa</t>
        </is>
      </c>
      <c r="R349" t="inlineStr">
        <is>
          <t>Pago</t>
        </is>
      </c>
      <c r="S349" t="n">
        <v>182</v>
      </c>
      <c r="T349" t="inlineStr">
        <is>
          <t>Love - Shibari - Kamino</t>
        </is>
      </c>
    </row>
    <row r="350">
      <c r="A350" t="n">
        <v>174821</v>
      </c>
      <c r="B350" t="n">
        <v>128</v>
      </c>
      <c r="C350" t="inlineStr">
        <is>
          <t>Love Cabaret</t>
        </is>
      </c>
      <c r="D350" t="inlineStr">
        <is>
          <t xml:space="preserve">ARENA VIP DISTRIBUIDORA DE BEBIDAS LTDA </t>
        </is>
      </c>
      <c r="E350" t="n">
        <v>1317.15</v>
      </c>
      <c r="F350" s="27" t="n">
        <v>45987</v>
      </c>
      <c r="G350" s="27" t="n">
        <v>45985</v>
      </c>
      <c r="H350" s="27" t="n">
        <v>45985</v>
      </c>
      <c r="I350" s="27" t="n">
        <v>45959</v>
      </c>
      <c r="J350" s="27" t="n">
        <v>45972</v>
      </c>
      <c r="K350" t="inlineStr">
        <is>
          <t>Boleto Bancário</t>
        </is>
      </c>
      <c r="L350" t="inlineStr">
        <is>
          <t>Custo Mercadoria Vendida</t>
        </is>
      </c>
      <c r="M350" t="inlineStr">
        <is>
          <t>Insumos - Bebidas</t>
        </is>
      </c>
      <c r="N350" t="inlineStr">
        <is>
          <t>16766</t>
        </is>
      </c>
      <c r="O350" t="inlineStr">
        <is>
          <t>Documentação Aprovada</t>
        </is>
      </c>
      <c r="P350" t="inlineStr">
        <is>
          <t>Aprovado Diretoria</t>
        </is>
      </c>
      <c r="Q350" t="inlineStr">
        <is>
          <t>Aprovado Caixa</t>
        </is>
      </c>
      <c r="R350" t="inlineStr">
        <is>
          <t>Pago</t>
        </is>
      </c>
      <c r="S350" t="n">
        <v>182</v>
      </c>
      <c r="T350" t="inlineStr">
        <is>
          <t>Love - Shibari - Kamino</t>
        </is>
      </c>
    </row>
    <row r="351">
      <c r="A351" t="n">
        <v>174898</v>
      </c>
      <c r="B351" t="n">
        <v>128</v>
      </c>
      <c r="C351" t="inlineStr">
        <is>
          <t>Love Cabaret</t>
        </is>
      </c>
      <c r="D351" t="inlineStr">
        <is>
          <t>KING COMERCIO E IMPORTACAO DE BEBIDAS LTDA</t>
        </is>
      </c>
      <c r="E351" t="n">
        <v>0</v>
      </c>
      <c r="F351" s="27" t="n">
        <v>45962</v>
      </c>
      <c r="G351" s="27" t="n">
        <v>45985</v>
      </c>
      <c r="H351" s="27" t="n">
        <v>45985</v>
      </c>
      <c r="I351" s="27" t="n">
        <v>45959</v>
      </c>
      <c r="J351" s="27" t="n">
        <v>45972</v>
      </c>
      <c r="K351" t="inlineStr">
        <is>
          <t xml:space="preserve">Nota Bonificada </t>
        </is>
      </c>
      <c r="L351" t="inlineStr">
        <is>
          <t>Custo Mercadoria Vendida</t>
        </is>
      </c>
      <c r="M351" t="inlineStr">
        <is>
          <t>Insumos - Bebidas</t>
        </is>
      </c>
      <c r="N351" t="inlineStr">
        <is>
          <t>122514</t>
        </is>
      </c>
      <c r="O351" t="inlineStr">
        <is>
          <t>Documentação Aprovada</t>
        </is>
      </c>
      <c r="P351" t="inlineStr">
        <is>
          <t>Aprovado Diretoria</t>
        </is>
      </c>
      <c r="Q351" t="inlineStr">
        <is>
          <t>Aprovado Caixa</t>
        </is>
      </c>
      <c r="R351" t="inlineStr">
        <is>
          <t>Pago</t>
        </is>
      </c>
      <c r="S351" t="n">
        <v>182</v>
      </c>
      <c r="T351" t="inlineStr">
        <is>
          <t>Love - Shibari - Kamino</t>
        </is>
      </c>
    </row>
    <row r="352">
      <c r="A352" t="n">
        <v>174894</v>
      </c>
      <c r="B352" t="n">
        <v>128</v>
      </c>
      <c r="C352" t="inlineStr">
        <is>
          <t>Love Cabaret</t>
        </is>
      </c>
      <c r="D352" t="inlineStr">
        <is>
          <t>CG FOOD´S DISTRIBUIDORA DE ALIMENTOS LTDA</t>
        </is>
      </c>
      <c r="E352" t="n">
        <v>179.2</v>
      </c>
      <c r="F352" s="27" t="n">
        <v>45985</v>
      </c>
      <c r="G352" s="27" t="n">
        <v>45985</v>
      </c>
      <c r="H352" s="27" t="n">
        <v>45985</v>
      </c>
      <c r="I352" s="27" t="n">
        <v>45964</v>
      </c>
      <c r="J352" s="27" t="n">
        <v>45972</v>
      </c>
      <c r="K352" t="inlineStr">
        <is>
          <t>Boleto Bancário</t>
        </is>
      </c>
      <c r="L352" t="inlineStr">
        <is>
          <t>Custo Mercadoria Vendida</t>
        </is>
      </c>
      <c r="M352" t="inlineStr">
        <is>
          <t>Insumos - Alimentos</t>
        </is>
      </c>
      <c r="N352" t="inlineStr">
        <is>
          <t>169719</t>
        </is>
      </c>
      <c r="O352" t="inlineStr">
        <is>
          <t>Documentação Aprovada</t>
        </is>
      </c>
      <c r="P352" t="inlineStr">
        <is>
          <t>Aprovado Diretoria</t>
        </is>
      </c>
      <c r="Q352" t="inlineStr">
        <is>
          <t>Aprovado Caixa</t>
        </is>
      </c>
      <c r="R352" t="inlineStr">
        <is>
          <t>Pago</t>
        </is>
      </c>
      <c r="S352" t="n">
        <v>182</v>
      </c>
      <c r="T352" t="inlineStr">
        <is>
          <t>Love - Shibari - Kamino</t>
        </is>
      </c>
    </row>
    <row r="353">
      <c r="A353" t="n">
        <v>175823</v>
      </c>
      <c r="B353" t="n">
        <v>128</v>
      </c>
      <c r="C353" t="inlineStr">
        <is>
          <t>Love Cabaret</t>
        </is>
      </c>
      <c r="D353" t="inlineStr">
        <is>
          <t xml:space="preserve">FORTE ALIMENTOS COM. IMPORTAÇÃO LTDA </t>
        </is>
      </c>
      <c r="E353" t="n">
        <v>577.5</v>
      </c>
      <c r="F353" s="27" t="n">
        <v>45986</v>
      </c>
      <c r="G353" s="27" t="n">
        <v>45985</v>
      </c>
      <c r="H353" s="27" t="n">
        <v>45985</v>
      </c>
      <c r="I353" s="27" t="n">
        <v>45971</v>
      </c>
      <c r="J353" s="27" t="n">
        <v>45975</v>
      </c>
      <c r="K353" t="inlineStr">
        <is>
          <t>Boleto Bancário</t>
        </is>
      </c>
      <c r="L353" t="inlineStr">
        <is>
          <t>Custo Mercadoria Vendida</t>
        </is>
      </c>
      <c r="M353" t="inlineStr">
        <is>
          <t>Insumos - Alimentos</t>
        </is>
      </c>
      <c r="N353" t="inlineStr">
        <is>
          <t>342353</t>
        </is>
      </c>
      <c r="O353" t="inlineStr">
        <is>
          <t>Documentação Aprovada</t>
        </is>
      </c>
      <c r="P353" t="inlineStr">
        <is>
          <t>Aprovado Diretoria</t>
        </is>
      </c>
      <c r="Q353" t="inlineStr">
        <is>
          <t>Aprovado Caixa</t>
        </is>
      </c>
      <c r="R353" t="inlineStr">
        <is>
          <t>Pago</t>
        </is>
      </c>
      <c r="S353" t="n">
        <v>182</v>
      </c>
      <c r="T353" t="inlineStr">
        <is>
          <t>Love - Shibari - Kamino</t>
        </is>
      </c>
    </row>
    <row r="354">
      <c r="A354" t="n">
        <v>175370</v>
      </c>
      <c r="B354" t="n">
        <v>128</v>
      </c>
      <c r="C354" t="inlineStr">
        <is>
          <t>Love Cabaret</t>
        </is>
      </c>
      <c r="D354" t="inlineStr">
        <is>
          <t>CECILIA TSUYACO ARAKI SILVA LTDA</t>
        </is>
      </c>
      <c r="E354" t="n">
        <v>193.2</v>
      </c>
      <c r="F354" s="27" t="n">
        <v>45985</v>
      </c>
      <c r="G354" s="27" t="n">
        <v>45985</v>
      </c>
      <c r="H354" s="27" t="n">
        <v>45985</v>
      </c>
      <c r="I354" s="27" t="n">
        <v>45971</v>
      </c>
      <c r="J354" s="27" t="n">
        <v>45973</v>
      </c>
      <c r="K354" t="inlineStr">
        <is>
          <t>Boleto Bancário</t>
        </is>
      </c>
      <c r="L354" t="inlineStr">
        <is>
          <t>Custo Mercadoria Vendida</t>
        </is>
      </c>
      <c r="M354" t="inlineStr">
        <is>
          <t>Insumos - Alimentos</t>
        </is>
      </c>
      <c r="N354" t="inlineStr">
        <is>
          <t>381254</t>
        </is>
      </c>
      <c r="O354" t="inlineStr">
        <is>
          <t>Documentação Aprovada</t>
        </is>
      </c>
      <c r="P354" t="inlineStr">
        <is>
          <t>Aprovado Diretoria</t>
        </is>
      </c>
      <c r="Q354" t="inlineStr">
        <is>
          <t>Aprovado Caixa</t>
        </is>
      </c>
      <c r="R354" t="inlineStr">
        <is>
          <t>Pago</t>
        </is>
      </c>
      <c r="S354" t="n">
        <v>182</v>
      </c>
      <c r="T354" t="inlineStr">
        <is>
          <t>Love - Shibari - Kamino</t>
        </is>
      </c>
    </row>
    <row r="355">
      <c r="A355" t="n">
        <v>175822</v>
      </c>
      <c r="B355" t="n">
        <v>128</v>
      </c>
      <c r="C355" t="inlineStr">
        <is>
          <t>Love Cabaret</t>
        </is>
      </c>
      <c r="D355" t="inlineStr">
        <is>
          <t>MULTIFRANGOS COMERCIO DE ALIMENTOS LTDA</t>
        </is>
      </c>
      <c r="E355" t="n">
        <v>1399.98</v>
      </c>
      <c r="F355" s="27" t="n">
        <v>45986</v>
      </c>
      <c r="G355" s="27" t="n">
        <v>45985</v>
      </c>
      <c r="H355" s="27" t="n">
        <v>45985</v>
      </c>
      <c r="I355" s="27" t="n">
        <v>45972</v>
      </c>
      <c r="J355" s="27" t="n">
        <v>45975</v>
      </c>
      <c r="K355" t="inlineStr">
        <is>
          <t>Boleto Bancário</t>
        </is>
      </c>
      <c r="L355" t="inlineStr">
        <is>
          <t>Custo Mercadoria Vendida</t>
        </is>
      </c>
      <c r="M355" t="inlineStr">
        <is>
          <t>Insumos - Alimentos</t>
        </is>
      </c>
      <c r="N355" t="inlineStr">
        <is>
          <t>927685</t>
        </is>
      </c>
      <c r="O355" t="inlineStr">
        <is>
          <t>Documentação Aprovada</t>
        </is>
      </c>
      <c r="P355" t="inlineStr">
        <is>
          <t>Aprovado Diretoria</t>
        </is>
      </c>
      <c r="Q355" t="inlineStr">
        <is>
          <t>Aprovado Caixa</t>
        </is>
      </c>
      <c r="R355" t="inlineStr">
        <is>
          <t>Pago</t>
        </is>
      </c>
      <c r="S355" t="n">
        <v>182</v>
      </c>
      <c r="T355" t="inlineStr">
        <is>
          <t>Love - Shibari - Kamino</t>
        </is>
      </c>
    </row>
    <row r="356">
      <c r="A356" t="n">
        <v>171609</v>
      </c>
      <c r="B356" t="n">
        <v>128</v>
      </c>
      <c r="C356" t="inlineStr">
        <is>
          <t>Love Cabaret</t>
        </is>
      </c>
      <c r="D356" t="inlineStr">
        <is>
          <t>WPP COMERCIO DE CARNES LTDA</t>
        </is>
      </c>
      <c r="E356" t="n">
        <v>2439.97</v>
      </c>
      <c r="F356" s="27" t="n">
        <v>45986</v>
      </c>
      <c r="G356" s="27" t="n">
        <v>45985</v>
      </c>
      <c r="H356" s="27" t="n">
        <v>45985</v>
      </c>
      <c r="I356" s="27" t="n">
        <v>45958</v>
      </c>
      <c r="J356" s="27" t="n">
        <v>45961</v>
      </c>
      <c r="K356" t="inlineStr">
        <is>
          <t>Boleto Bancário</t>
        </is>
      </c>
      <c r="L356" t="inlineStr">
        <is>
          <t>Custo Mercadoria Vendida</t>
        </is>
      </c>
      <c r="M356" t="inlineStr">
        <is>
          <t>Insumos - Alimentos</t>
        </is>
      </c>
      <c r="N356" t="inlineStr">
        <is>
          <t>75214</t>
        </is>
      </c>
      <c r="O356" t="inlineStr">
        <is>
          <t>Documentação Aprovada</t>
        </is>
      </c>
      <c r="P356" t="inlineStr">
        <is>
          <t>Aprovado Diretoria</t>
        </is>
      </c>
      <c r="Q356" t="inlineStr">
        <is>
          <t>Aprovado Caixa</t>
        </is>
      </c>
      <c r="R356" t="inlineStr">
        <is>
          <t>Pago</t>
        </is>
      </c>
      <c r="S356" t="n">
        <v>182</v>
      </c>
      <c r="T356" t="inlineStr">
        <is>
          <t>Love - Shibari - Kamino</t>
        </is>
      </c>
    </row>
    <row r="357">
      <c r="A357" t="n">
        <v>171615</v>
      </c>
      <c r="B357" t="n">
        <v>128</v>
      </c>
      <c r="C357" t="inlineStr">
        <is>
          <t>Love Cabaret</t>
        </is>
      </c>
      <c r="D357" t="inlineStr">
        <is>
          <t>DTK COMERCIO DE ALIMENTOS LTDA</t>
        </is>
      </c>
      <c r="E357" t="n">
        <v>1116.8</v>
      </c>
      <c r="F357" s="27" t="n">
        <v>45985</v>
      </c>
      <c r="G357" s="27" t="n">
        <v>45985</v>
      </c>
      <c r="H357" s="27" t="n">
        <v>45985</v>
      </c>
      <c r="I357" s="27" t="n">
        <v>45957</v>
      </c>
      <c r="J357" s="27" t="n">
        <v>45961</v>
      </c>
      <c r="K357" t="inlineStr">
        <is>
          <t>Boleto Bancário</t>
        </is>
      </c>
      <c r="L357" t="inlineStr">
        <is>
          <t>Custo Mercadoria Vendida</t>
        </is>
      </c>
      <c r="M357" t="inlineStr">
        <is>
          <t>Insumos - Alimentos</t>
        </is>
      </c>
      <c r="N357" t="inlineStr">
        <is>
          <t>49673</t>
        </is>
      </c>
      <c r="O357" t="inlineStr">
        <is>
          <t>Documentação Aprovada</t>
        </is>
      </c>
      <c r="P357" t="inlineStr">
        <is>
          <t>Aprovado Diretoria</t>
        </is>
      </c>
      <c r="Q357" t="inlineStr">
        <is>
          <t>Aprovado Caixa</t>
        </is>
      </c>
      <c r="R357" t="inlineStr">
        <is>
          <t>Pago</t>
        </is>
      </c>
      <c r="S357" t="n">
        <v>182</v>
      </c>
      <c r="T357" t="inlineStr">
        <is>
          <t>Love - Shibari - Kamino</t>
        </is>
      </c>
    </row>
    <row r="358">
      <c r="A358" t="n">
        <v>171641</v>
      </c>
      <c r="B358" t="n">
        <v>128</v>
      </c>
      <c r="C358" t="inlineStr">
        <is>
          <t>Love Cabaret</t>
        </is>
      </c>
      <c r="D358" t="inlineStr">
        <is>
          <t xml:space="preserve"> FAMIGERADA COMERCIO E EXPORTACAO DE BEBIDAS LTDA</t>
        </is>
      </c>
      <c r="E358" t="n">
        <v>220</v>
      </c>
      <c r="F358" s="27" t="n">
        <v>45986</v>
      </c>
      <c r="G358" s="27" t="n">
        <v>45985</v>
      </c>
      <c r="H358" s="27" t="n">
        <v>45985</v>
      </c>
      <c r="I358" s="27" t="n">
        <v>45958</v>
      </c>
      <c r="J358" s="27" t="n">
        <v>45961</v>
      </c>
      <c r="K358" t="inlineStr">
        <is>
          <t>Boleto Bancário</t>
        </is>
      </c>
      <c r="L358" t="inlineStr">
        <is>
          <t>Custo Mercadoria Vendida</t>
        </is>
      </c>
      <c r="M358" t="inlineStr">
        <is>
          <t>Insumos - Bebidas</t>
        </is>
      </c>
      <c r="N358" t="inlineStr">
        <is>
          <t>1882</t>
        </is>
      </c>
      <c r="O358" t="inlineStr">
        <is>
          <t>Documentação Aprovada</t>
        </is>
      </c>
      <c r="P358" t="inlineStr">
        <is>
          <t>Aprovado Diretoria</t>
        </is>
      </c>
      <c r="Q358" t="inlineStr">
        <is>
          <t>Aprovado Caixa</t>
        </is>
      </c>
      <c r="R358" t="inlineStr">
        <is>
          <t>Pago</t>
        </is>
      </c>
      <c r="S358" t="n">
        <v>182</v>
      </c>
      <c r="T358" t="inlineStr">
        <is>
          <t>Love - Shibari - Kamino</t>
        </is>
      </c>
    </row>
    <row r="359">
      <c r="A359" t="n">
        <v>171626</v>
      </c>
      <c r="B359" t="n">
        <v>128</v>
      </c>
      <c r="C359" t="inlineStr">
        <is>
          <t>Love Cabaret</t>
        </is>
      </c>
      <c r="D359" t="inlineStr">
        <is>
          <t xml:space="preserve">LEBANON MARKET CENTER LTDA </t>
        </is>
      </c>
      <c r="E359" t="n">
        <v>418.13</v>
      </c>
      <c r="F359" s="27" t="n">
        <v>45987</v>
      </c>
      <c r="G359" s="27" t="n">
        <v>45985</v>
      </c>
      <c r="H359" s="27" t="n">
        <v>45985</v>
      </c>
      <c r="I359" s="27" t="n">
        <v>45957</v>
      </c>
      <c r="J359" s="27" t="n">
        <v>45961</v>
      </c>
      <c r="K359" t="inlineStr">
        <is>
          <t>Boleto Bancário</t>
        </is>
      </c>
      <c r="L359" t="inlineStr">
        <is>
          <t>Custo Mercadoria Vendida</t>
        </is>
      </c>
      <c r="M359" t="inlineStr">
        <is>
          <t>Insumos - Alimentos</t>
        </is>
      </c>
      <c r="N359" t="inlineStr">
        <is>
          <t>143408</t>
        </is>
      </c>
      <c r="O359" t="inlineStr">
        <is>
          <t>Documentação Aprovada</t>
        </is>
      </c>
      <c r="P359" t="inlineStr">
        <is>
          <t>Aprovado Diretoria</t>
        </is>
      </c>
      <c r="Q359" t="inlineStr">
        <is>
          <t>Aprovado Caixa</t>
        </is>
      </c>
      <c r="R359" t="inlineStr">
        <is>
          <t>Pago</t>
        </is>
      </c>
      <c r="S359" t="n">
        <v>182</v>
      </c>
      <c r="T359" t="inlineStr">
        <is>
          <t>Love - Shibari - Kamino</t>
        </is>
      </c>
    </row>
    <row r="360">
      <c r="A360" t="n">
        <v>171634</v>
      </c>
      <c r="B360" t="n">
        <v>128</v>
      </c>
      <c r="C360" t="inlineStr">
        <is>
          <t>Love Cabaret</t>
        </is>
      </c>
      <c r="D360" t="inlineStr">
        <is>
          <t>MARIO PEDRO FELICIANO - HORTIFRUTI</t>
        </is>
      </c>
      <c r="E360" t="n">
        <v>201.19</v>
      </c>
      <c r="F360" s="27" t="n">
        <v>45985</v>
      </c>
      <c r="G360" s="27" t="n">
        <v>45985</v>
      </c>
      <c r="H360" s="27" t="n">
        <v>45985</v>
      </c>
      <c r="I360" s="27" t="n">
        <v>45957</v>
      </c>
      <c r="J360" s="27" t="n">
        <v>45961</v>
      </c>
      <c r="K360" t="inlineStr">
        <is>
          <t>Boleto Bancário</t>
        </is>
      </c>
      <c r="L360" t="inlineStr">
        <is>
          <t>Custo Mercadoria Vendida</t>
        </is>
      </c>
      <c r="M360" t="inlineStr">
        <is>
          <t>Insumos - Alimentos</t>
        </is>
      </c>
      <c r="N360" t="inlineStr">
        <is>
          <t>456739</t>
        </is>
      </c>
      <c r="O360" t="inlineStr">
        <is>
          <t>Documentação Aprovada</t>
        </is>
      </c>
      <c r="P360" t="inlineStr">
        <is>
          <t>Aprovado Diretoria</t>
        </is>
      </c>
      <c r="Q360" t="inlineStr">
        <is>
          <t>Aprovado Caixa</t>
        </is>
      </c>
      <c r="R360" t="inlineStr">
        <is>
          <t>Pago</t>
        </is>
      </c>
      <c r="S360" t="n">
        <v>182</v>
      </c>
      <c r="T360" t="inlineStr">
        <is>
          <t>Love - Shibari - Kamino</t>
        </is>
      </c>
    </row>
    <row r="361">
      <c r="A361" t="n">
        <v>171643</v>
      </c>
      <c r="B361" t="n">
        <v>128</v>
      </c>
      <c r="C361" t="inlineStr">
        <is>
          <t>Love Cabaret</t>
        </is>
      </c>
      <c r="D361" t="inlineStr">
        <is>
          <t>EMPORIO M&amp;L COMERCIO DE ALIM E BEBIDAS LTDA</t>
        </is>
      </c>
      <c r="E361" t="n">
        <v>1858.8</v>
      </c>
      <c r="F361" s="27" t="n">
        <v>45986</v>
      </c>
      <c r="G361" s="27" t="n">
        <v>45985</v>
      </c>
      <c r="H361" s="27" t="n">
        <v>45985</v>
      </c>
      <c r="I361" s="27" t="n">
        <v>45958</v>
      </c>
      <c r="J361" s="27" t="n">
        <v>45961</v>
      </c>
      <c r="K361" t="inlineStr">
        <is>
          <t>Boleto Bancário</t>
        </is>
      </c>
      <c r="L361" t="inlineStr">
        <is>
          <t>Custo Mercadoria Vendida</t>
        </is>
      </c>
      <c r="M361" t="inlineStr">
        <is>
          <t>Insumos - Bebidas</t>
        </is>
      </c>
      <c r="N361" t="inlineStr">
        <is>
          <t>478270</t>
        </is>
      </c>
      <c r="O361" t="inlineStr">
        <is>
          <t>Documentação Aprovada</t>
        </is>
      </c>
      <c r="P361" t="inlineStr">
        <is>
          <t>Aprovado Diretoria</t>
        </is>
      </c>
      <c r="Q361" t="inlineStr">
        <is>
          <t>Aprovado Caixa</t>
        </is>
      </c>
      <c r="R361" t="inlineStr">
        <is>
          <t>Pago</t>
        </is>
      </c>
      <c r="S361" t="n">
        <v>182</v>
      </c>
      <c r="T361" t="inlineStr">
        <is>
          <t>Love - Shibari - Kamino</t>
        </is>
      </c>
    </row>
    <row r="362">
      <c r="A362" t="n">
        <v>171652</v>
      </c>
      <c r="B362" t="n">
        <v>128</v>
      </c>
      <c r="C362" t="inlineStr">
        <is>
          <t>Love Cabaret</t>
        </is>
      </c>
      <c r="D362" t="inlineStr">
        <is>
          <t>HORTA NOVA DISTRIBUIDORA DE HORTIFRUTI LTDA</t>
        </is>
      </c>
      <c r="E362" t="n">
        <v>206.26</v>
      </c>
      <c r="F362" s="27" t="n">
        <v>45985</v>
      </c>
      <c r="G362" s="27" t="n">
        <v>45985</v>
      </c>
      <c r="H362" s="27" t="n">
        <v>45985</v>
      </c>
      <c r="I362" s="27" t="n">
        <v>45957</v>
      </c>
      <c r="J362" s="27" t="n">
        <v>45961</v>
      </c>
      <c r="K362" t="inlineStr">
        <is>
          <t>Boleto Bancário</t>
        </is>
      </c>
      <c r="L362" t="inlineStr">
        <is>
          <t>Custo Mercadoria Vendida</t>
        </is>
      </c>
      <c r="M362" t="inlineStr">
        <is>
          <t>Insumos - Alimentos</t>
        </is>
      </c>
      <c r="N362" t="inlineStr">
        <is>
          <t>6883</t>
        </is>
      </c>
      <c r="O362" t="inlineStr">
        <is>
          <t>Documentação Aprovada</t>
        </is>
      </c>
      <c r="P362" t="inlineStr">
        <is>
          <t>Aprovado Diretoria</t>
        </is>
      </c>
      <c r="Q362" t="inlineStr">
        <is>
          <t>Aprovado Caixa</t>
        </is>
      </c>
      <c r="R362" t="inlineStr">
        <is>
          <t>Pago</t>
        </is>
      </c>
      <c r="S362" t="n">
        <v>182</v>
      </c>
      <c r="T362" t="inlineStr">
        <is>
          <t>Love - Shibari - Kamino</t>
        </is>
      </c>
    </row>
    <row r="363">
      <c r="A363" t="n">
        <v>171661</v>
      </c>
      <c r="B363" t="n">
        <v>128</v>
      </c>
      <c r="C363" t="inlineStr">
        <is>
          <t>Love Cabaret</t>
        </is>
      </c>
      <c r="D363" t="inlineStr">
        <is>
          <t>PROAUTO INDUSTRIA QUIMICA EIRELI</t>
        </is>
      </c>
      <c r="E363" t="n">
        <v>927.9</v>
      </c>
      <c r="F363" s="27" t="n">
        <v>45986</v>
      </c>
      <c r="G363" s="27" t="n">
        <v>45985</v>
      </c>
      <c r="H363" s="27" t="n">
        <v>45985</v>
      </c>
      <c r="I363" s="27" t="n">
        <v>45958</v>
      </c>
      <c r="J363" s="27" t="n">
        <v>45961</v>
      </c>
      <c r="K363" t="inlineStr">
        <is>
          <t>Boleto Bancário</t>
        </is>
      </c>
      <c r="L363" t="inlineStr">
        <is>
          <t>Utilidades</t>
        </is>
      </c>
      <c r="M363" t="inlineStr">
        <is>
          <t>Higiene e Limpeza</t>
        </is>
      </c>
      <c r="N363" t="inlineStr">
        <is>
          <t>146695</t>
        </is>
      </c>
      <c r="O363" t="inlineStr">
        <is>
          <t>Documentação Aprovada</t>
        </is>
      </c>
      <c r="P363" t="inlineStr">
        <is>
          <t>Aprovado Diretoria</t>
        </is>
      </c>
      <c r="Q363" t="inlineStr">
        <is>
          <t>Aprovado Caixa</t>
        </is>
      </c>
      <c r="R363" t="inlineStr">
        <is>
          <t>Pago</t>
        </is>
      </c>
      <c r="S363" t="n">
        <v>182</v>
      </c>
      <c r="T363" t="inlineStr">
        <is>
          <t>Love - Shibari - Kamino</t>
        </is>
      </c>
    </row>
    <row r="364">
      <c r="A364" t="n">
        <v>172955</v>
      </c>
      <c r="B364" t="n">
        <v>128</v>
      </c>
      <c r="C364" t="inlineStr">
        <is>
          <t>Love Cabaret</t>
        </is>
      </c>
      <c r="D364" t="inlineStr">
        <is>
          <t>DLOCAL BRASIL PAGAMENTOS LTDA  - DMK</t>
        </is>
      </c>
      <c r="E364" t="n">
        <v>9000</v>
      </c>
      <c r="F364" s="27" t="n">
        <v>45985</v>
      </c>
      <c r="G364" s="27" t="n">
        <v>45985</v>
      </c>
      <c r="H364" s="27" t="n">
        <v>45985</v>
      </c>
      <c r="I364" s="27" t="n">
        <v>45962</v>
      </c>
      <c r="J364" s="27" t="n">
        <v>45967</v>
      </c>
      <c r="K364" t="inlineStr">
        <is>
          <t>Boleto Bancário</t>
        </is>
      </c>
      <c r="L364" t="inlineStr">
        <is>
          <t>Marketing</t>
        </is>
      </c>
      <c r="M364" t="inlineStr">
        <is>
          <t>Publicidade e Propaganda</t>
        </is>
      </c>
      <c r="N364" t="inlineStr">
        <is>
          <t>18445345133</t>
        </is>
      </c>
      <c r="O364" t="inlineStr">
        <is>
          <t>Documentação Aprovada</t>
        </is>
      </c>
      <c r="P364" t="inlineStr">
        <is>
          <t>Aprovado Diretoria</t>
        </is>
      </c>
      <c r="Q364" t="inlineStr">
        <is>
          <t>Aprovado Caixa</t>
        </is>
      </c>
      <c r="R364" t="inlineStr">
        <is>
          <t>Pago</t>
        </is>
      </c>
      <c r="S364" t="n">
        <v>182</v>
      </c>
      <c r="T364" t="inlineStr">
        <is>
          <t>Love - Shibari - Kamino</t>
        </is>
      </c>
    </row>
    <row r="365">
      <c r="A365" t="n">
        <v>172774</v>
      </c>
      <c r="B365" t="n">
        <v>128</v>
      </c>
      <c r="C365" t="inlineStr">
        <is>
          <t>Love Cabaret</t>
        </is>
      </c>
      <c r="D365" t="inlineStr">
        <is>
          <t xml:space="preserve">DESTEC SOLUCOES LTDA </t>
        </is>
      </c>
      <c r="E365" t="n">
        <v>812.7</v>
      </c>
      <c r="F365" s="27" t="n">
        <v>45985</v>
      </c>
      <c r="G365" s="27" t="n">
        <v>45985</v>
      </c>
      <c r="H365" s="27" t="n">
        <v>45985</v>
      </c>
      <c r="I365" s="27" t="n">
        <v>45964</v>
      </c>
      <c r="J365" s="27" t="n">
        <v>45966</v>
      </c>
      <c r="K365" t="inlineStr">
        <is>
          <t>Boleto Bancário</t>
        </is>
      </c>
      <c r="L365" t="inlineStr">
        <is>
          <t>Locação de Equipamentos</t>
        </is>
      </c>
      <c r="M365" t="inlineStr">
        <is>
          <t>Locações de Equipamentos - Operacionais</t>
        </is>
      </c>
      <c r="N365" t="inlineStr">
        <is>
          <t>20251594</t>
        </is>
      </c>
      <c r="O365" t="inlineStr">
        <is>
          <t>Documentação Aprovada</t>
        </is>
      </c>
      <c r="P365" t="inlineStr">
        <is>
          <t>Aprovado Diretoria</t>
        </is>
      </c>
      <c r="Q365" t="inlineStr">
        <is>
          <t>Aprovado Caixa</t>
        </is>
      </c>
      <c r="R365" t="inlineStr">
        <is>
          <t>Pago</t>
        </is>
      </c>
      <c r="S365" t="n">
        <v>182</v>
      </c>
      <c r="T365" t="inlineStr">
        <is>
          <t>Love - Shibari - Kamino</t>
        </is>
      </c>
    </row>
    <row r="366">
      <c r="A366" t="n">
        <v>168588</v>
      </c>
      <c r="B366" t="n">
        <v>128</v>
      </c>
      <c r="C366" t="inlineStr">
        <is>
          <t>Love Cabaret</t>
        </is>
      </c>
      <c r="D366" t="inlineStr">
        <is>
          <t>EMPORIO M&amp;L COMERCIO DE ALIM E BEBIDAS LTDA</t>
        </is>
      </c>
      <c r="E366" t="n">
        <v>90</v>
      </c>
      <c r="F366" s="27" t="n">
        <v>45974</v>
      </c>
      <c r="G366" s="27" t="n">
        <v>45985</v>
      </c>
      <c r="H366" s="27" t="n">
        <v>45985</v>
      </c>
      <c r="I366" s="27" t="n">
        <v>45945</v>
      </c>
      <c r="J366" s="27" t="n">
        <v>45947</v>
      </c>
      <c r="K366" t="inlineStr">
        <is>
          <t>Transferência Bancária ou Pix</t>
        </is>
      </c>
      <c r="L366" t="inlineStr">
        <is>
          <t>Custo Mercadoria Vendida</t>
        </is>
      </c>
      <c r="M366" t="inlineStr">
        <is>
          <t>Insumos - Alimentos</t>
        </is>
      </c>
      <c r="N366" t="inlineStr">
        <is>
          <t>476158</t>
        </is>
      </c>
      <c r="O366" t="inlineStr">
        <is>
          <t>Documentação Aprovada</t>
        </is>
      </c>
      <c r="P366" t="inlineStr">
        <is>
          <t>Aprovado Diretoria</t>
        </is>
      </c>
      <c r="Q366" t="inlineStr">
        <is>
          <t>Aprovado Caixa</t>
        </is>
      </c>
      <c r="R366" t="inlineStr">
        <is>
          <t>Pago</t>
        </is>
      </c>
      <c r="S366" t="n">
        <v>182</v>
      </c>
      <c r="T366" t="inlineStr">
        <is>
          <t>Love - Shibari - Kamino</t>
        </is>
      </c>
    </row>
    <row r="367">
      <c r="A367" t="n">
        <v>169264</v>
      </c>
      <c r="B367" t="n">
        <v>128</v>
      </c>
      <c r="C367" t="inlineStr">
        <is>
          <t>Love Cabaret</t>
        </is>
      </c>
      <c r="D367" t="inlineStr">
        <is>
          <t>DEOLINDA DOS SANTOS FREITAS</t>
        </is>
      </c>
      <c r="E367" t="n">
        <v>507</v>
      </c>
      <c r="F367" s="27" t="n">
        <v>45985</v>
      </c>
      <c r="G367" s="27" t="n">
        <v>45985</v>
      </c>
      <c r="H367" s="27" t="n">
        <v>45985</v>
      </c>
      <c r="I367" s="27" t="n">
        <v>45950</v>
      </c>
      <c r="J367" s="27" t="n">
        <v>45953</v>
      </c>
      <c r="K367" t="inlineStr">
        <is>
          <t>Boleto Bancário</t>
        </is>
      </c>
      <c r="L367" t="inlineStr">
        <is>
          <t>Custo Mercadoria Vendida</t>
        </is>
      </c>
      <c r="M367" t="inlineStr">
        <is>
          <t>Insumos - Alimentos</t>
        </is>
      </c>
      <c r="N367" t="inlineStr">
        <is>
          <t>2767</t>
        </is>
      </c>
      <c r="O367" t="inlineStr">
        <is>
          <t>Documentação Aprovada</t>
        </is>
      </c>
      <c r="P367" t="inlineStr">
        <is>
          <t>Aprovado Diretoria</t>
        </is>
      </c>
      <c r="Q367" t="inlineStr">
        <is>
          <t>Aprovado Caixa</t>
        </is>
      </c>
      <c r="R367" t="inlineStr">
        <is>
          <t>Pago</t>
        </is>
      </c>
      <c r="S367" t="n">
        <v>182</v>
      </c>
      <c r="T367" t="inlineStr">
        <is>
          <t>Love - Shibari - Kamino</t>
        </is>
      </c>
    </row>
    <row r="368">
      <c r="A368" t="n">
        <v>176977</v>
      </c>
      <c r="B368" t="n">
        <v>128</v>
      </c>
      <c r="C368" t="inlineStr">
        <is>
          <t>Love Cabaret</t>
        </is>
      </c>
      <c r="D368" t="inlineStr">
        <is>
          <t>PSSS LTDA</t>
        </is>
      </c>
      <c r="E368" t="n">
        <v>684.1</v>
      </c>
      <c r="F368" s="27" t="n">
        <v>45987</v>
      </c>
      <c r="G368" s="27" t="n">
        <v>45985</v>
      </c>
      <c r="H368" s="27" t="n">
        <v>45985</v>
      </c>
      <c r="I368" s="27" t="n">
        <v>45972</v>
      </c>
      <c r="J368" s="27" t="n">
        <v>45981</v>
      </c>
      <c r="K368" t="inlineStr">
        <is>
          <t>Boleto Bancário</t>
        </is>
      </c>
      <c r="L368" t="inlineStr">
        <is>
          <t>Utilidades</t>
        </is>
      </c>
      <c r="M368" t="inlineStr">
        <is>
          <t>Higiene e Limpeza</t>
        </is>
      </c>
      <c r="N368" t="inlineStr">
        <is>
          <t>2612</t>
        </is>
      </c>
      <c r="O368" t="inlineStr">
        <is>
          <t>Documentação Aprovada</t>
        </is>
      </c>
      <c r="P368" t="inlineStr">
        <is>
          <t>Aprovado Diretoria</t>
        </is>
      </c>
      <c r="Q368" t="inlineStr">
        <is>
          <t>Aprovado Caixa</t>
        </is>
      </c>
      <c r="R368" t="inlineStr">
        <is>
          <t>Pago</t>
        </is>
      </c>
      <c r="S368" t="n">
        <v>182</v>
      </c>
      <c r="T368" t="inlineStr">
        <is>
          <t>Love - Shibari - Kamino</t>
        </is>
      </c>
    </row>
    <row r="369">
      <c r="A369" t="n">
        <v>176881</v>
      </c>
      <c r="B369" t="n">
        <v>128</v>
      </c>
      <c r="C369" t="inlineStr">
        <is>
          <t>Love Cabaret</t>
        </is>
      </c>
      <c r="D369" t="inlineStr">
        <is>
          <t>ESHOWS PROMOCOES ARTISTICAS LTDA</t>
        </is>
      </c>
      <c r="E369" t="n">
        <v>33165</v>
      </c>
      <c r="F369" s="27" t="n">
        <v>45987</v>
      </c>
      <c r="G369" s="27" t="n">
        <v>45985</v>
      </c>
      <c r="H369" s="27" t="n">
        <v>45985</v>
      </c>
      <c r="I369" s="27" t="n">
        <v>45976</v>
      </c>
      <c r="J369" s="27" t="n">
        <v>45980</v>
      </c>
      <c r="K369" t="inlineStr">
        <is>
          <t>Boleto Bancário</t>
        </is>
      </c>
      <c r="L369" t="inlineStr">
        <is>
          <t>Custos Artístico Geral</t>
        </is>
      </c>
      <c r="M369" t="inlineStr">
        <is>
          <t>Cachê de Músicos e Artistas</t>
        </is>
      </c>
      <c r="N369" t="inlineStr">
        <is>
          <t>683142985</t>
        </is>
      </c>
      <c r="O369" t="inlineStr">
        <is>
          <t>Documentação Aprovada</t>
        </is>
      </c>
      <c r="P369" t="inlineStr">
        <is>
          <t>Aprovado Diretoria</t>
        </is>
      </c>
      <c r="Q369" t="inlineStr">
        <is>
          <t>Aprovado Caixa</t>
        </is>
      </c>
      <c r="R369" t="inlineStr">
        <is>
          <t>Pago</t>
        </is>
      </c>
      <c r="S369" t="n">
        <v>182</v>
      </c>
      <c r="T369" t="inlineStr">
        <is>
          <t>Love - Shibari - Kamino</t>
        </is>
      </c>
    </row>
    <row r="370">
      <c r="A370" t="n">
        <v>178440</v>
      </c>
      <c r="B370" t="n">
        <v>128</v>
      </c>
      <c r="C370" t="inlineStr">
        <is>
          <t>Love Cabaret</t>
        </is>
      </c>
      <c r="D370" t="inlineStr">
        <is>
          <t>BRADESCO SA</t>
        </is>
      </c>
      <c r="E370" t="n">
        <v>9.800000000000001</v>
      </c>
      <c r="F370" s="27" t="n">
        <v>45985</v>
      </c>
      <c r="G370" s="27" t="n"/>
      <c r="H370" s="27" t="n">
        <v>45985</v>
      </c>
      <c r="I370" s="27" t="n">
        <v>45985</v>
      </c>
      <c r="J370" s="27" t="n"/>
      <c r="K370" t="inlineStr">
        <is>
          <t xml:space="preserve">Debito Automático </t>
        </is>
      </c>
      <c r="L370" t="inlineStr">
        <is>
          <t>Despesas Financeiras</t>
        </is>
      </c>
      <c r="M370" t="inlineStr">
        <is>
          <t>Tarifas Bancárias</t>
        </is>
      </c>
      <c r="O370" t="inlineStr">
        <is>
          <t>Documentação Aprovada</t>
        </is>
      </c>
      <c r="P370" t="inlineStr">
        <is>
          <t>Aprovado Diretoria</t>
        </is>
      </c>
      <c r="Q370" t="inlineStr">
        <is>
          <t>Aprovado Caixa</t>
        </is>
      </c>
      <c r="R370" t="inlineStr">
        <is>
          <t>Pago</t>
        </is>
      </c>
      <c r="S370" t="n">
        <v>115</v>
      </c>
      <c r="T370" t="inlineStr">
        <is>
          <t>Love - Shibari - Bradesco</t>
        </is>
      </c>
    </row>
    <row r="371">
      <c r="A371" t="n">
        <v>176620</v>
      </c>
      <c r="B371" t="n">
        <v>128</v>
      </c>
      <c r="C371" t="inlineStr">
        <is>
          <t>Love Cabaret</t>
        </is>
      </c>
      <c r="D371" t="inlineStr">
        <is>
          <t>COMPANHIA DE GAS DE SAO PAULO</t>
        </is>
      </c>
      <c r="E371" t="n">
        <v>1482.21</v>
      </c>
      <c r="F371" s="27" t="n">
        <v>45985</v>
      </c>
      <c r="G371" s="27" t="n">
        <v>45985</v>
      </c>
      <c r="H371" s="27" t="n">
        <v>45985</v>
      </c>
      <c r="I371" s="27" t="n">
        <v>45978</v>
      </c>
      <c r="J371" s="27" t="n">
        <v>45979</v>
      </c>
      <c r="K371" t="inlineStr">
        <is>
          <t>Boleto Bancário</t>
        </is>
      </c>
      <c r="L371" t="inlineStr">
        <is>
          <t>Utilidades</t>
        </is>
      </c>
      <c r="M371" t="inlineStr">
        <is>
          <t>Gas de Cozinha</t>
        </is>
      </c>
      <c r="N371" t="inlineStr">
        <is>
          <t>134781139</t>
        </is>
      </c>
      <c r="O371" t="inlineStr">
        <is>
          <t>Documentação Aprovada</t>
        </is>
      </c>
      <c r="P371" t="inlineStr">
        <is>
          <t>Aprovado Diretoria</t>
        </is>
      </c>
      <c r="Q371" t="inlineStr">
        <is>
          <t>Aprovado Caixa</t>
        </is>
      </c>
      <c r="R371" t="inlineStr">
        <is>
          <t>Pago</t>
        </is>
      </c>
      <c r="S371" t="n">
        <v>182</v>
      </c>
      <c r="T371" t="inlineStr">
        <is>
          <t>Love - Shibari - Kamino</t>
        </is>
      </c>
    </row>
    <row r="372">
      <c r="A372" t="n">
        <v>178356</v>
      </c>
      <c r="B372" t="n">
        <v>128</v>
      </c>
      <c r="C372" t="inlineStr">
        <is>
          <t>Love Cabaret</t>
        </is>
      </c>
      <c r="D372" t="inlineStr">
        <is>
          <t>BRADESCO SA</t>
        </is>
      </c>
      <c r="E372" t="n">
        <v>9.800000000000001</v>
      </c>
      <c r="F372" s="27" t="n">
        <v>45980</v>
      </c>
      <c r="G372" s="27" t="n"/>
      <c r="H372" s="27" t="n">
        <v>45980</v>
      </c>
      <c r="I372" s="27" t="n">
        <v>45980</v>
      </c>
      <c r="J372" s="27" t="n"/>
      <c r="K372" t="inlineStr">
        <is>
          <t xml:space="preserve">Debito Automático </t>
        </is>
      </c>
      <c r="L372" t="inlineStr">
        <is>
          <t>Despesas Financeiras</t>
        </is>
      </c>
      <c r="M372" t="inlineStr">
        <is>
          <t>Tarifas Bancárias</t>
        </is>
      </c>
      <c r="O372" t="inlineStr">
        <is>
          <t>Documentação Aprovada</t>
        </is>
      </c>
      <c r="P372" t="inlineStr">
        <is>
          <t>Aprovado Diretoria</t>
        </is>
      </c>
      <c r="Q372" t="inlineStr">
        <is>
          <t>Aprovado Caixa</t>
        </is>
      </c>
      <c r="R372" t="inlineStr">
        <is>
          <t>Pago</t>
        </is>
      </c>
      <c r="S372" t="n">
        <v>115</v>
      </c>
      <c r="T372" t="inlineStr">
        <is>
          <t>Love - Shibari - Bradesco</t>
        </is>
      </c>
    </row>
    <row r="373">
      <c r="A373" t="n">
        <v>172890</v>
      </c>
      <c r="B373" t="n">
        <v>128</v>
      </c>
      <c r="C373" t="inlineStr">
        <is>
          <t>Love Cabaret</t>
        </is>
      </c>
      <c r="D373" t="inlineStr">
        <is>
          <t>LALAMOVE TECNOLOGIA (BRASIL) LTDA</t>
        </is>
      </c>
      <c r="E373" t="n">
        <v>92.45999999999999</v>
      </c>
      <c r="F373" s="27" t="n">
        <v>45981</v>
      </c>
      <c r="G373" s="27" t="n">
        <v>45980</v>
      </c>
      <c r="H373" s="27" t="n">
        <v>45980</v>
      </c>
      <c r="I373" s="27" t="n">
        <v>45961</v>
      </c>
      <c r="J373" s="27" t="n">
        <v>45966</v>
      </c>
      <c r="K373" t="inlineStr">
        <is>
          <t>Transferência Bancária ou Pix</t>
        </is>
      </c>
      <c r="L373" t="inlineStr">
        <is>
          <t>Despesas com Transporte / Hospedagem</t>
        </is>
      </c>
      <c r="M373" t="inlineStr">
        <is>
          <t>Fretes e Carretos</t>
        </is>
      </c>
      <c r="N373" t="inlineStr">
        <is>
          <t>1072025</t>
        </is>
      </c>
      <c r="O373" t="inlineStr">
        <is>
          <t>Documentação Aprovada</t>
        </is>
      </c>
      <c r="P373" t="inlineStr">
        <is>
          <t>Aprovado Diretoria</t>
        </is>
      </c>
      <c r="Q373" t="inlineStr">
        <is>
          <t>Aprovado Caixa</t>
        </is>
      </c>
      <c r="R373" t="inlineStr">
        <is>
          <t>Pago</t>
        </is>
      </c>
      <c r="S373" t="n">
        <v>182</v>
      </c>
      <c r="T373" t="inlineStr">
        <is>
          <t>Love - Shibari - Kamino</t>
        </is>
      </c>
    </row>
    <row r="374">
      <c r="A374" t="n">
        <v>172953</v>
      </c>
      <c r="B374" t="n">
        <v>128</v>
      </c>
      <c r="C374" t="inlineStr">
        <is>
          <t>Love Cabaret</t>
        </is>
      </c>
      <c r="D374" t="inlineStr">
        <is>
          <t>ALPHALIX AMBIENTEAL LOC/ DE EQUIPAMENTOS EIRELI</t>
        </is>
      </c>
      <c r="E374" t="n">
        <v>1455.97</v>
      </c>
      <c r="F374" s="27" t="n">
        <v>45981</v>
      </c>
      <c r="G374" s="27" t="n">
        <v>45980</v>
      </c>
      <c r="H374" s="27" t="n">
        <v>45980</v>
      </c>
      <c r="I374" s="27" t="n">
        <v>45960</v>
      </c>
      <c r="J374" s="27" t="n">
        <v>45967</v>
      </c>
      <c r="K374" t="inlineStr">
        <is>
          <t>Boleto Bancário</t>
        </is>
      </c>
      <c r="L374" t="inlineStr">
        <is>
          <t>Utilidades</t>
        </is>
      </c>
      <c r="M374" t="inlineStr">
        <is>
          <t>Coleta de lixo</t>
        </is>
      </c>
      <c r="N374" t="inlineStr">
        <is>
          <t>50970</t>
        </is>
      </c>
      <c r="O374" t="inlineStr">
        <is>
          <t>Documentação Aprovada</t>
        </is>
      </c>
      <c r="P374" t="inlineStr">
        <is>
          <t>Aprovado Diretoria</t>
        </is>
      </c>
      <c r="Q374" t="inlineStr">
        <is>
          <t>Aprovado Caixa</t>
        </is>
      </c>
      <c r="R374" t="inlineStr">
        <is>
          <t>Pago</t>
        </is>
      </c>
      <c r="S374" t="n">
        <v>182</v>
      </c>
      <c r="T374" t="inlineStr">
        <is>
          <t>Love - Shibari - Kamino</t>
        </is>
      </c>
    </row>
    <row r="375">
      <c r="A375" t="n">
        <v>175349</v>
      </c>
      <c r="B375" t="n">
        <v>128</v>
      </c>
      <c r="C375" t="inlineStr">
        <is>
          <t>Love Cabaret</t>
        </is>
      </c>
      <c r="D375" t="inlineStr">
        <is>
          <t>CECILIA TSUYACO ARAKI SILVA LTDA</t>
        </is>
      </c>
      <c r="E375" t="n">
        <v>116</v>
      </c>
      <c r="F375" s="27" t="n">
        <v>45981</v>
      </c>
      <c r="G375" s="27" t="n">
        <v>45980</v>
      </c>
      <c r="H375" s="27" t="n">
        <v>45980</v>
      </c>
      <c r="I375" s="27" t="n">
        <v>45967</v>
      </c>
      <c r="J375" s="27" t="n">
        <v>45973</v>
      </c>
      <c r="K375" t="inlineStr">
        <is>
          <t>Boleto Bancário</t>
        </is>
      </c>
      <c r="L375" t="inlineStr">
        <is>
          <t>Custo Mercadoria Vendida</t>
        </is>
      </c>
      <c r="M375" t="inlineStr">
        <is>
          <t>Insumos - Alimentos</t>
        </is>
      </c>
      <c r="N375" t="inlineStr">
        <is>
          <t>381202</t>
        </is>
      </c>
      <c r="O375" t="inlineStr">
        <is>
          <t>Documentação Aprovada</t>
        </is>
      </c>
      <c r="P375" t="inlineStr">
        <is>
          <t>Aprovado Diretoria</t>
        </is>
      </c>
      <c r="Q375" t="inlineStr">
        <is>
          <t>Aprovado Caixa</t>
        </is>
      </c>
      <c r="R375" t="inlineStr">
        <is>
          <t>Pago</t>
        </is>
      </c>
      <c r="S375" t="n">
        <v>182</v>
      </c>
      <c r="T375" t="inlineStr">
        <is>
          <t>Love - Shibari - Kamino</t>
        </is>
      </c>
    </row>
    <row r="376">
      <c r="A376" t="n">
        <v>175368</v>
      </c>
      <c r="B376" t="n">
        <v>128</v>
      </c>
      <c r="C376" t="inlineStr">
        <is>
          <t>Love Cabaret</t>
        </is>
      </c>
      <c r="D376" t="inlineStr">
        <is>
          <t xml:space="preserve">HNK BR INDUSTRIA DE BEBIDAS </t>
        </is>
      </c>
      <c r="E376" t="n">
        <v>455.61</v>
      </c>
      <c r="F376" s="27" t="n">
        <v>45982</v>
      </c>
      <c r="G376" s="27" t="n">
        <v>45980</v>
      </c>
      <c r="H376" s="27" t="n">
        <v>45980</v>
      </c>
      <c r="I376" s="27" t="n">
        <v>45967</v>
      </c>
      <c r="J376" s="27" t="n">
        <v>45973</v>
      </c>
      <c r="K376" t="inlineStr">
        <is>
          <t>Boleto Bancário</t>
        </is>
      </c>
      <c r="L376" t="inlineStr">
        <is>
          <t>Custo Mercadoria Vendida</t>
        </is>
      </c>
      <c r="M376" t="inlineStr">
        <is>
          <t>Insumos - Bebidas</t>
        </is>
      </c>
      <c r="N376" t="inlineStr">
        <is>
          <t>94335</t>
        </is>
      </c>
      <c r="O376" t="inlineStr">
        <is>
          <t>Documentação Aprovada</t>
        </is>
      </c>
      <c r="P376" t="inlineStr">
        <is>
          <t>Aprovado Diretoria</t>
        </is>
      </c>
      <c r="Q376" t="inlineStr">
        <is>
          <t>Aprovado Caixa</t>
        </is>
      </c>
      <c r="R376" t="inlineStr">
        <is>
          <t>Pago</t>
        </is>
      </c>
      <c r="S376" t="n">
        <v>182</v>
      </c>
      <c r="T376" t="inlineStr">
        <is>
          <t>Love - Shibari - Kamino</t>
        </is>
      </c>
    </row>
    <row r="377">
      <c r="A377" t="n">
        <v>175889</v>
      </c>
      <c r="B377" t="n">
        <v>128</v>
      </c>
      <c r="C377" t="inlineStr">
        <is>
          <t>Love Cabaret</t>
        </is>
      </c>
      <c r="D377" t="inlineStr">
        <is>
          <t xml:space="preserve">CSRF </t>
        </is>
      </c>
      <c r="E377" t="n">
        <v>678.23</v>
      </c>
      <c r="F377" s="27" t="n">
        <v>45980</v>
      </c>
      <c r="G377" s="27" t="n">
        <v>45980</v>
      </c>
      <c r="H377" s="27" t="n">
        <v>45980</v>
      </c>
      <c r="I377" s="27" t="n">
        <v>45960</v>
      </c>
      <c r="J377" s="27" t="n">
        <v>45977</v>
      </c>
      <c r="K377" t="inlineStr">
        <is>
          <t>Boleto Bancário</t>
        </is>
      </c>
      <c r="L377" t="inlineStr">
        <is>
          <t>Serviços de Terceiros</t>
        </is>
      </c>
      <c r="M377" t="inlineStr">
        <is>
          <t>Serviços de Segurança</t>
        </is>
      </c>
      <c r="N377" t="inlineStr">
        <is>
          <t>OUT2025</t>
        </is>
      </c>
      <c r="O377" t="inlineStr">
        <is>
          <t>Documentação Aprovada</t>
        </is>
      </c>
      <c r="P377" t="inlineStr">
        <is>
          <t>Aprovado Diretoria</t>
        </is>
      </c>
      <c r="Q377" t="inlineStr">
        <is>
          <t>Aprovado Caixa</t>
        </is>
      </c>
      <c r="R377" t="inlineStr">
        <is>
          <t>Pago</t>
        </is>
      </c>
      <c r="S377" t="n">
        <v>182</v>
      </c>
      <c r="T377" t="inlineStr">
        <is>
          <t>Love - Shibari - Kamino</t>
        </is>
      </c>
    </row>
    <row r="378">
      <c r="A378" t="n">
        <v>175888</v>
      </c>
      <c r="B378" t="n">
        <v>128</v>
      </c>
      <c r="C378" t="inlineStr">
        <is>
          <t>Love Cabaret</t>
        </is>
      </c>
      <c r="D378" t="inlineStr">
        <is>
          <t>IRRF</t>
        </is>
      </c>
      <c r="E378" t="n">
        <v>208.83</v>
      </c>
      <c r="F378" s="27" t="n">
        <v>45980</v>
      </c>
      <c r="G378" s="27" t="n">
        <v>45980</v>
      </c>
      <c r="H378" s="27" t="n">
        <v>45980</v>
      </c>
      <c r="I378" s="27" t="n">
        <v>45960</v>
      </c>
      <c r="J378" s="27" t="n">
        <v>45977</v>
      </c>
      <c r="K378" t="inlineStr">
        <is>
          <t>Boleto Bancário</t>
        </is>
      </c>
      <c r="L378" t="inlineStr">
        <is>
          <t>Serviços de Terceiros</t>
        </is>
      </c>
      <c r="M378" t="inlineStr">
        <is>
          <t>Serviços de Segurança</t>
        </is>
      </c>
      <c r="N378" t="inlineStr">
        <is>
          <t>OUT2025</t>
        </is>
      </c>
      <c r="O378" t="inlineStr">
        <is>
          <t>Documentação Aprovada</t>
        </is>
      </c>
      <c r="P378" t="inlineStr">
        <is>
          <t>Aprovado Diretoria</t>
        </is>
      </c>
      <c r="Q378" t="inlineStr">
        <is>
          <t>Aprovado Caixa</t>
        </is>
      </c>
      <c r="R378" t="inlineStr">
        <is>
          <t>Pago</t>
        </is>
      </c>
      <c r="S378" t="n">
        <v>182</v>
      </c>
      <c r="T378" t="inlineStr">
        <is>
          <t>Love - Shibari - Kamino</t>
        </is>
      </c>
    </row>
    <row r="379">
      <c r="A379" t="n">
        <v>175887</v>
      </c>
      <c r="B379" t="n">
        <v>128</v>
      </c>
      <c r="C379" t="inlineStr">
        <is>
          <t>Love Cabaret</t>
        </is>
      </c>
      <c r="D379" t="inlineStr">
        <is>
          <t>INSS</t>
        </is>
      </c>
      <c r="E379" t="n">
        <v>685.3</v>
      </c>
      <c r="F379" s="27" t="n">
        <v>45980</v>
      </c>
      <c r="G379" s="27" t="n">
        <v>45980</v>
      </c>
      <c r="H379" s="27" t="n">
        <v>45980</v>
      </c>
      <c r="I379" s="27" t="n">
        <v>45960</v>
      </c>
      <c r="J379" s="27" t="n">
        <v>45977</v>
      </c>
      <c r="K379" t="inlineStr">
        <is>
          <t>Boleto Bancário</t>
        </is>
      </c>
      <c r="L379" t="inlineStr">
        <is>
          <t>Serviços de Terceiros</t>
        </is>
      </c>
      <c r="M379" t="inlineStr">
        <is>
          <t>Serviços de Segurança</t>
        </is>
      </c>
      <c r="N379" t="inlineStr">
        <is>
          <t>OUT2025</t>
        </is>
      </c>
      <c r="O379" t="inlineStr">
        <is>
          <t>Documentação Aprovada</t>
        </is>
      </c>
      <c r="P379" t="inlineStr">
        <is>
          <t>Aprovado Diretoria</t>
        </is>
      </c>
      <c r="Q379" t="inlineStr">
        <is>
          <t>Aprovado Caixa</t>
        </is>
      </c>
      <c r="R379" t="inlineStr">
        <is>
          <t>Pago</t>
        </is>
      </c>
      <c r="S379" t="n">
        <v>182</v>
      </c>
      <c r="T379" t="inlineStr">
        <is>
          <t>Love - Shibari - Kamino</t>
        </is>
      </c>
    </row>
    <row r="380">
      <c r="A380" t="n">
        <v>175364</v>
      </c>
      <c r="B380" t="n">
        <v>128</v>
      </c>
      <c r="C380" t="inlineStr">
        <is>
          <t>Love Cabaret</t>
        </is>
      </c>
      <c r="D380" t="inlineStr">
        <is>
          <t>CECILIA TSUYACO ARAKI SILVA LTDA</t>
        </is>
      </c>
      <c r="E380" t="n">
        <v>143.58</v>
      </c>
      <c r="F380" s="27" t="n">
        <v>45982</v>
      </c>
      <c r="G380" s="27" t="n">
        <v>45980</v>
      </c>
      <c r="H380" s="27" t="n">
        <v>45980</v>
      </c>
      <c r="I380" s="27" t="n">
        <v>45969</v>
      </c>
      <c r="J380" s="27" t="n">
        <v>45973</v>
      </c>
      <c r="K380" t="inlineStr">
        <is>
          <t>Boleto Bancário</t>
        </is>
      </c>
      <c r="L380" t="inlineStr">
        <is>
          <t>Custo Mercadoria Vendida</t>
        </is>
      </c>
      <c r="M380" t="inlineStr">
        <is>
          <t>Insumos - Alimentos</t>
        </is>
      </c>
      <c r="N380" t="inlineStr">
        <is>
          <t>381211</t>
        </is>
      </c>
      <c r="O380" t="inlineStr">
        <is>
          <t>Documentação Aprovada</t>
        </is>
      </c>
      <c r="P380" t="inlineStr">
        <is>
          <t>Aprovado Diretoria</t>
        </is>
      </c>
      <c r="Q380" t="inlineStr">
        <is>
          <t>Aprovado Caixa</t>
        </is>
      </c>
      <c r="R380" t="inlineStr">
        <is>
          <t>Pago</t>
        </is>
      </c>
      <c r="S380" t="n">
        <v>182</v>
      </c>
      <c r="T380" t="inlineStr">
        <is>
          <t>Love - Shibari - Kamino</t>
        </is>
      </c>
    </row>
    <row r="381">
      <c r="A381" t="n">
        <v>173835</v>
      </c>
      <c r="B381" t="n">
        <v>128</v>
      </c>
      <c r="C381" t="inlineStr">
        <is>
          <t>Love Cabaret</t>
        </is>
      </c>
      <c r="D381" t="inlineStr">
        <is>
          <t xml:space="preserve">AGNES RODRIGUES DE OLIVEIRA </t>
        </is>
      </c>
      <c r="E381" t="n">
        <v>800</v>
      </c>
      <c r="F381" s="27" t="n">
        <v>45982</v>
      </c>
      <c r="G381" s="27" t="n">
        <v>45980</v>
      </c>
      <c r="H381" s="27" t="n">
        <v>45980</v>
      </c>
      <c r="I381" s="27" t="n">
        <v>45967</v>
      </c>
      <c r="J381" s="27" t="n">
        <v>45971</v>
      </c>
      <c r="K381" t="inlineStr">
        <is>
          <t>Transferência Bancária ou Pix</t>
        </is>
      </c>
      <c r="L381" t="inlineStr">
        <is>
          <t>Custos de Eventos</t>
        </is>
      </c>
      <c r="M381" t="inlineStr">
        <is>
          <t>Serviços Terceirizados - Eventos</t>
        </is>
      </c>
      <c r="N381" t="inlineStr">
        <is>
          <t>41</t>
        </is>
      </c>
      <c r="O381" t="inlineStr">
        <is>
          <t>Documentação Aprovada</t>
        </is>
      </c>
      <c r="P381" t="inlineStr">
        <is>
          <t>Aprovado Diretoria</t>
        </is>
      </c>
      <c r="Q381" t="inlineStr">
        <is>
          <t>Aprovado Caixa</t>
        </is>
      </c>
      <c r="R381" t="inlineStr">
        <is>
          <t>Pago</t>
        </is>
      </c>
      <c r="S381" t="n">
        <v>182</v>
      </c>
      <c r="T381" t="inlineStr">
        <is>
          <t>Love - Shibari - Kamino</t>
        </is>
      </c>
    </row>
    <row r="382">
      <c r="A382" t="n">
        <v>171607</v>
      </c>
      <c r="B382" t="n">
        <v>128</v>
      </c>
      <c r="C382" t="inlineStr">
        <is>
          <t>Love Cabaret</t>
        </is>
      </c>
      <c r="D382" t="inlineStr">
        <is>
          <t>PROAUTO INDUSTRIA QUIMICA EIRELI</t>
        </is>
      </c>
      <c r="E382" t="n">
        <v>1654.6</v>
      </c>
      <c r="F382" s="27" t="n">
        <v>45982</v>
      </c>
      <c r="G382" s="27" t="n">
        <v>45980</v>
      </c>
      <c r="H382" s="27" t="n">
        <v>45980</v>
      </c>
      <c r="I382" s="27" t="n">
        <v>45954</v>
      </c>
      <c r="J382" s="27" t="n">
        <v>45961</v>
      </c>
      <c r="K382" t="inlineStr">
        <is>
          <t>Boleto Bancário</t>
        </is>
      </c>
      <c r="L382" t="inlineStr">
        <is>
          <t>Utilidades</t>
        </is>
      </c>
      <c r="M382" t="inlineStr">
        <is>
          <t>Higiene e Limpeza</t>
        </is>
      </c>
      <c r="N382" t="inlineStr">
        <is>
          <t>146551</t>
        </is>
      </c>
      <c r="O382" t="inlineStr">
        <is>
          <t>Documentação Aprovada</t>
        </is>
      </c>
      <c r="P382" t="inlineStr">
        <is>
          <t>Aprovado Diretoria</t>
        </is>
      </c>
      <c r="Q382" t="inlineStr">
        <is>
          <t>Aprovado Caixa</t>
        </is>
      </c>
      <c r="R382" t="inlineStr">
        <is>
          <t>Pago</t>
        </is>
      </c>
      <c r="S382" t="n">
        <v>182</v>
      </c>
      <c r="T382" t="inlineStr">
        <is>
          <t>Love - Shibari - Kamino</t>
        </is>
      </c>
    </row>
    <row r="383">
      <c r="A383" t="n">
        <v>171596</v>
      </c>
      <c r="B383" t="n">
        <v>128</v>
      </c>
      <c r="C383" t="inlineStr">
        <is>
          <t>Love Cabaret</t>
        </is>
      </c>
      <c r="D383" t="inlineStr">
        <is>
          <t>HORTA NOVA DISTRIBUIDORA DE HORTIFRUTI LTDA</t>
        </is>
      </c>
      <c r="E383" t="n">
        <v>93.15000000000001</v>
      </c>
      <c r="F383" s="27" t="n">
        <v>45981</v>
      </c>
      <c r="G383" s="27" t="n">
        <v>45980</v>
      </c>
      <c r="H383" s="27" t="n">
        <v>45980</v>
      </c>
      <c r="I383" s="27" t="n">
        <v>45953</v>
      </c>
      <c r="J383" s="27" t="n">
        <v>45961</v>
      </c>
      <c r="K383" t="inlineStr">
        <is>
          <t>Boleto Bancário</t>
        </is>
      </c>
      <c r="L383" t="inlineStr">
        <is>
          <t>Custo Mercadoria Vendida</t>
        </is>
      </c>
      <c r="M383" t="inlineStr">
        <is>
          <t>Insumos - Alimentos</t>
        </is>
      </c>
      <c r="N383" t="inlineStr">
        <is>
          <t>6805</t>
        </is>
      </c>
      <c r="O383" t="inlineStr">
        <is>
          <t>Documentação Aprovada</t>
        </is>
      </c>
      <c r="P383" t="inlineStr">
        <is>
          <t>Aprovado Diretoria</t>
        </is>
      </c>
      <c r="Q383" t="inlineStr">
        <is>
          <t>Aprovado Caixa</t>
        </is>
      </c>
      <c r="R383" t="inlineStr">
        <is>
          <t>Pago</t>
        </is>
      </c>
      <c r="S383" t="n">
        <v>182</v>
      </c>
      <c r="T383" t="inlineStr">
        <is>
          <t>Love - Shibari - Kamino</t>
        </is>
      </c>
    </row>
    <row r="384">
      <c r="A384" t="n">
        <v>171673</v>
      </c>
      <c r="B384" t="n">
        <v>128</v>
      </c>
      <c r="C384" t="inlineStr">
        <is>
          <t>Love Cabaret</t>
        </is>
      </c>
      <c r="D384" t="inlineStr">
        <is>
          <t>MARCOS SILVA DO NASCIMENTO</t>
        </is>
      </c>
      <c r="E384" t="n">
        <v>279.86</v>
      </c>
      <c r="F384" s="27" t="n">
        <v>45984</v>
      </c>
      <c r="G384" s="27" t="n">
        <v>45980</v>
      </c>
      <c r="H384" s="27" t="n">
        <v>45980</v>
      </c>
      <c r="I384" s="27" t="n">
        <v>45959</v>
      </c>
      <c r="J384" s="27" t="n">
        <v>45961</v>
      </c>
      <c r="K384" t="inlineStr">
        <is>
          <t>Boleto Bancário</t>
        </is>
      </c>
      <c r="L384" t="inlineStr">
        <is>
          <t>Custo Mercadoria Vendida</t>
        </is>
      </c>
      <c r="M384" t="inlineStr">
        <is>
          <t>Insumos - Alimentos</t>
        </is>
      </c>
      <c r="N384" t="inlineStr">
        <is>
          <t>547</t>
        </is>
      </c>
      <c r="O384" t="inlineStr">
        <is>
          <t>Documentação Aprovada</t>
        </is>
      </c>
      <c r="P384" t="inlineStr">
        <is>
          <t>Aprovado Diretoria</t>
        </is>
      </c>
      <c r="Q384" t="inlineStr">
        <is>
          <t>Aprovado Caixa</t>
        </is>
      </c>
      <c r="R384" t="inlineStr">
        <is>
          <t>Pago</t>
        </is>
      </c>
      <c r="S384" t="n">
        <v>182</v>
      </c>
      <c r="T384" t="inlineStr">
        <is>
          <t>Love - Shibari - Kamino</t>
        </is>
      </c>
    </row>
    <row r="385">
      <c r="A385" t="n">
        <v>172713</v>
      </c>
      <c r="B385" t="n">
        <v>128</v>
      </c>
      <c r="C385" t="inlineStr">
        <is>
          <t>Love Cabaret</t>
        </is>
      </c>
      <c r="D385" t="inlineStr">
        <is>
          <t>PRESHH ALUGUEL DE MAQUINAS LTDA</t>
        </is>
      </c>
      <c r="E385" t="n">
        <v>198</v>
      </c>
      <c r="F385" s="27" t="n">
        <v>45984</v>
      </c>
      <c r="G385" s="27" t="n">
        <v>45980</v>
      </c>
      <c r="H385" s="27" t="n">
        <v>45980</v>
      </c>
      <c r="I385" s="27" t="n">
        <v>45964</v>
      </c>
      <c r="J385" s="27" t="n">
        <v>45966</v>
      </c>
      <c r="K385" t="inlineStr">
        <is>
          <t>Boleto Bancário</t>
        </is>
      </c>
      <c r="L385" t="inlineStr">
        <is>
          <t>Utilidades</t>
        </is>
      </c>
      <c r="M385" t="inlineStr">
        <is>
          <t>Material de Consumo - Gelo/ Gas CO2/ Carvao /Velas</t>
        </is>
      </c>
      <c r="N385" t="inlineStr">
        <is>
          <t>T-36530</t>
        </is>
      </c>
      <c r="O385" t="inlineStr">
        <is>
          <t>Documentação Aprovada</t>
        </is>
      </c>
      <c r="P385" t="inlineStr">
        <is>
          <t>Aprovado Diretoria</t>
        </is>
      </c>
      <c r="Q385" t="inlineStr">
        <is>
          <t>Aprovado Caixa</t>
        </is>
      </c>
      <c r="R385" t="inlineStr">
        <is>
          <t>Pago</t>
        </is>
      </c>
      <c r="S385" t="n">
        <v>182</v>
      </c>
      <c r="T385" t="inlineStr">
        <is>
          <t>Love - Shibari - Kamino</t>
        </is>
      </c>
    </row>
    <row r="386">
      <c r="A386" t="n">
        <v>168965</v>
      </c>
      <c r="B386" t="n">
        <v>128</v>
      </c>
      <c r="C386" t="inlineStr">
        <is>
          <t>Love Cabaret</t>
        </is>
      </c>
      <c r="D386" t="inlineStr">
        <is>
          <t>BRH SAUDE OCUPACIONAL LTDA</t>
        </is>
      </c>
      <c r="E386" t="n">
        <v>43.6</v>
      </c>
      <c r="F386" s="27" t="n">
        <v>45982</v>
      </c>
      <c r="G386" s="27" t="n">
        <v>45980</v>
      </c>
      <c r="H386" s="27" t="n">
        <v>45980</v>
      </c>
      <c r="I386" s="27" t="n">
        <v>45931</v>
      </c>
      <c r="J386" s="27" t="n">
        <v>45952</v>
      </c>
      <c r="K386" t="inlineStr">
        <is>
          <t>Boleto Bancário</t>
        </is>
      </c>
      <c r="L386" t="inlineStr">
        <is>
          <t>Mão de Obra - Benefícios</t>
        </is>
      </c>
      <c r="M386" t="inlineStr">
        <is>
          <t xml:space="preserve">  -  Exames Periódicos</t>
        </is>
      </c>
      <c r="N386" t="inlineStr">
        <is>
          <t>84180</t>
        </is>
      </c>
      <c r="O386" t="inlineStr">
        <is>
          <t>Documentação Aprovada</t>
        </is>
      </c>
      <c r="P386" t="inlineStr">
        <is>
          <t>Aprovado Diretoria</t>
        </is>
      </c>
      <c r="Q386" t="inlineStr">
        <is>
          <t>Aprovado Caixa</t>
        </is>
      </c>
      <c r="R386" t="inlineStr">
        <is>
          <t>Pago</t>
        </is>
      </c>
      <c r="S386" t="n">
        <v>182</v>
      </c>
      <c r="T386" t="inlineStr">
        <is>
          <t>Love - Shibari - Kamino</t>
        </is>
      </c>
    </row>
    <row r="387">
      <c r="A387" t="n">
        <v>169250</v>
      </c>
      <c r="B387" t="n">
        <v>128</v>
      </c>
      <c r="C387" t="inlineStr">
        <is>
          <t>Love Cabaret</t>
        </is>
      </c>
      <c r="D387" t="inlineStr">
        <is>
          <t>WINES4U COMÉRCIO, IMPORTAÇÃO E EXPORTAÇÃO DE VINHOS LTDA</t>
        </is>
      </c>
      <c r="E387" t="n">
        <v>1377</v>
      </c>
      <c r="F387" s="27" t="n">
        <v>45981</v>
      </c>
      <c r="G387" s="27" t="n">
        <v>45980</v>
      </c>
      <c r="H387" s="27" t="n">
        <v>45980</v>
      </c>
      <c r="I387" s="27" t="n">
        <v>45951</v>
      </c>
      <c r="J387" s="27" t="n">
        <v>45953</v>
      </c>
      <c r="K387" t="inlineStr">
        <is>
          <t>Boleto Bancário</t>
        </is>
      </c>
      <c r="L387" t="inlineStr">
        <is>
          <t>Custo Mercadoria Vendida</t>
        </is>
      </c>
      <c r="M387" t="inlineStr">
        <is>
          <t>Insumos - Bebidas</t>
        </is>
      </c>
      <c r="N387" t="inlineStr">
        <is>
          <t>14482</t>
        </is>
      </c>
      <c r="O387" t="inlineStr">
        <is>
          <t>Documentação Aprovada</t>
        </is>
      </c>
      <c r="P387" t="inlineStr">
        <is>
          <t>Aprovado Diretoria</t>
        </is>
      </c>
      <c r="Q387" t="inlineStr">
        <is>
          <t>Aprovado Caixa</t>
        </is>
      </c>
      <c r="R387" t="inlineStr">
        <is>
          <t>Pago</t>
        </is>
      </c>
      <c r="S387" t="n">
        <v>182</v>
      </c>
      <c r="T387" t="inlineStr">
        <is>
          <t>Love - Shibari - Kamino</t>
        </is>
      </c>
    </row>
    <row r="388">
      <c r="A388" t="n">
        <v>167114</v>
      </c>
      <c r="B388" t="n">
        <v>128</v>
      </c>
      <c r="C388" t="inlineStr">
        <is>
          <t>Love Cabaret</t>
        </is>
      </c>
      <c r="D388" t="inlineStr">
        <is>
          <t>PORTO SEGURO SEGURO SAUDE SA</t>
        </is>
      </c>
      <c r="E388" t="n">
        <v>80.40000000000001</v>
      </c>
      <c r="F388" s="27" t="n">
        <v>45983</v>
      </c>
      <c r="G388" s="27" t="n">
        <v>45980</v>
      </c>
      <c r="H388" s="27" t="n">
        <v>45980</v>
      </c>
      <c r="I388" s="27" t="n">
        <v>45962</v>
      </c>
      <c r="J388" s="27" t="n">
        <v>45945</v>
      </c>
      <c r="K388" t="inlineStr">
        <is>
          <t>Boleto Bancário</t>
        </is>
      </c>
      <c r="L388" t="inlineStr">
        <is>
          <t>Mão de Obra - Benefícios</t>
        </is>
      </c>
      <c r="M388" t="inlineStr">
        <is>
          <t xml:space="preserve">  -  Seguro de Vida</t>
        </is>
      </c>
      <c r="N388" t="inlineStr">
        <is>
          <t>8040 112025</t>
        </is>
      </c>
      <c r="O388" t="inlineStr">
        <is>
          <t>Documentação Aprovada</t>
        </is>
      </c>
      <c r="P388" t="inlineStr">
        <is>
          <t>Aprovado Diretoria</t>
        </is>
      </c>
      <c r="Q388" t="inlineStr">
        <is>
          <t>Aprovado Caixa</t>
        </is>
      </c>
      <c r="R388" t="inlineStr">
        <is>
          <t>Pago</t>
        </is>
      </c>
      <c r="S388" t="n">
        <v>182</v>
      </c>
      <c r="T388" t="inlineStr">
        <is>
          <t>Love - Shibari - Kamino</t>
        </is>
      </c>
    </row>
    <row r="389">
      <c r="A389" t="n">
        <v>129469</v>
      </c>
      <c r="B389" t="n">
        <v>128</v>
      </c>
      <c r="C389" t="inlineStr">
        <is>
          <t>Love Cabaret</t>
        </is>
      </c>
      <c r="D389" t="inlineStr">
        <is>
          <t>OPUS CONSULTORIA E PESQUISA LTDA</t>
        </is>
      </c>
      <c r="E389" t="n">
        <v>300</v>
      </c>
      <c r="F389" s="27" t="n">
        <v>45981</v>
      </c>
      <c r="G389" s="27" t="n">
        <v>45980</v>
      </c>
      <c r="H389" s="27" t="n">
        <v>45980</v>
      </c>
      <c r="I389" s="27" t="n">
        <v>45967</v>
      </c>
      <c r="J389" s="27" t="n"/>
      <c r="K389" t="inlineStr">
        <is>
          <t>Boleto Bancário</t>
        </is>
      </c>
      <c r="L389" t="inlineStr">
        <is>
          <t>Serviços de Terceiros</t>
        </is>
      </c>
      <c r="M389" t="inlineStr">
        <is>
          <t>Assessoria em Geral</t>
        </is>
      </c>
      <c r="N389" t="inlineStr">
        <is>
          <t>Venda 627</t>
        </is>
      </c>
      <c r="O389" t="inlineStr">
        <is>
          <t>Documentação Aprovada</t>
        </is>
      </c>
      <c r="P389" t="inlineStr">
        <is>
          <t>Aprovado Diretoria</t>
        </is>
      </c>
      <c r="Q389" t="inlineStr">
        <is>
          <t>Aprovado Caixa</t>
        </is>
      </c>
      <c r="R389" t="inlineStr">
        <is>
          <t>Pago</t>
        </is>
      </c>
      <c r="S389" t="n">
        <v>182</v>
      </c>
      <c r="T389" t="inlineStr">
        <is>
          <t>Love - Shibari - Kamino</t>
        </is>
      </c>
    </row>
    <row r="390">
      <c r="A390" t="n">
        <v>97473</v>
      </c>
      <c r="B390" t="n">
        <v>128</v>
      </c>
      <c r="C390" t="inlineStr">
        <is>
          <t>Love Cabaret</t>
        </is>
      </c>
      <c r="D390" t="inlineStr">
        <is>
          <t>ICMS</t>
        </is>
      </c>
      <c r="E390" t="n">
        <v>9415.98</v>
      </c>
      <c r="F390" s="27" t="n">
        <v>45950</v>
      </c>
      <c r="G390" s="27" t="n">
        <v>45980</v>
      </c>
      <c r="H390" s="27" t="n">
        <v>45980</v>
      </c>
      <c r="I390" s="27" t="n">
        <v>45930</v>
      </c>
      <c r="J390" s="27" t="n"/>
      <c r="K390" t="inlineStr">
        <is>
          <t>Boleto Bancário</t>
        </is>
      </c>
      <c r="L390" t="inlineStr">
        <is>
          <t>Impostos sobre Venda</t>
        </is>
      </c>
      <c r="M390" t="inlineStr">
        <is>
          <t>ICMS</t>
        </is>
      </c>
      <c r="O390" t="inlineStr">
        <is>
          <t>Documentação Aprovada</t>
        </is>
      </c>
      <c r="P390" t="inlineStr">
        <is>
          <t>Aprovado Diretoria</t>
        </is>
      </c>
      <c r="Q390" t="inlineStr">
        <is>
          <t>Aprovado Caixa</t>
        </is>
      </c>
      <c r="R390" t="inlineStr">
        <is>
          <t>Pago</t>
        </is>
      </c>
      <c r="S390" t="n">
        <v>182</v>
      </c>
      <c r="T390" t="inlineStr">
        <is>
          <t>Love - Shibari - Kamino</t>
        </is>
      </c>
    </row>
    <row r="391">
      <c r="A391" t="n">
        <v>102823</v>
      </c>
      <c r="B391" t="n">
        <v>128</v>
      </c>
      <c r="C391" t="inlineStr">
        <is>
          <t>Love Cabaret</t>
        </is>
      </c>
      <c r="D391" t="inlineStr">
        <is>
          <t>GOMES D ELIA EQUIP. HIGIENE LTDA - WESCO</t>
        </is>
      </c>
      <c r="E391" t="n">
        <v>551.14</v>
      </c>
      <c r="F391" s="27" t="n">
        <v>45981</v>
      </c>
      <c r="G391" s="27" t="n">
        <v>45980</v>
      </c>
      <c r="H391" s="27" t="n">
        <v>45980</v>
      </c>
      <c r="I391" s="27" t="n">
        <v>45962</v>
      </c>
      <c r="J391" s="27" t="n"/>
      <c r="K391" t="inlineStr">
        <is>
          <t>Boleto Bancário</t>
        </is>
      </c>
      <c r="L391" t="inlineStr">
        <is>
          <t>Utilidades</t>
        </is>
      </c>
      <c r="M391" t="inlineStr">
        <is>
          <t>Higiene e Limpeza</t>
        </is>
      </c>
      <c r="N391" t="inlineStr">
        <is>
          <t>184171</t>
        </is>
      </c>
      <c r="O391" t="inlineStr">
        <is>
          <t>Documentação Aprovada</t>
        </is>
      </c>
      <c r="P391" t="inlineStr">
        <is>
          <t>Aprovado Diretoria</t>
        </is>
      </c>
      <c r="Q391" t="inlineStr">
        <is>
          <t>Aprovado Caixa</t>
        </is>
      </c>
      <c r="R391" t="inlineStr">
        <is>
          <t>Pago</t>
        </is>
      </c>
      <c r="S391" t="n">
        <v>182</v>
      </c>
      <c r="T391" t="inlineStr">
        <is>
          <t>Love - Shibari - Kamino</t>
        </is>
      </c>
    </row>
    <row r="392">
      <c r="A392" t="n">
        <v>102800</v>
      </c>
      <c r="B392" t="n">
        <v>128</v>
      </c>
      <c r="C392" t="inlineStr">
        <is>
          <t>Love Cabaret</t>
        </is>
      </c>
      <c r="D392" t="inlineStr">
        <is>
          <t>FABRICA DE BARES PARTICIPACOES LTDA</t>
        </is>
      </c>
      <c r="E392" t="n">
        <v>100</v>
      </c>
      <c r="F392" s="27" t="n">
        <v>45981</v>
      </c>
      <c r="G392" s="27" t="n">
        <v>45980</v>
      </c>
      <c r="H392" s="27" t="n">
        <v>45980</v>
      </c>
      <c r="I392" s="27" t="n">
        <v>45931</v>
      </c>
      <c r="J392" s="27" t="n"/>
      <c r="K392" t="inlineStr">
        <is>
          <t>Transferência Bancária ou Pix</t>
        </is>
      </c>
      <c r="L392" t="inlineStr">
        <is>
          <t>Serviços de Terceiros</t>
        </is>
      </c>
      <c r="M392" t="inlineStr">
        <is>
          <t>Assessoria RH</t>
        </is>
      </c>
      <c r="N392" t="inlineStr">
        <is>
          <t>102025</t>
        </is>
      </c>
      <c r="O392" t="inlineStr">
        <is>
          <t>Documentação Aprovada</t>
        </is>
      </c>
      <c r="P392" t="inlineStr">
        <is>
          <t>Aprovado Diretoria</t>
        </is>
      </c>
      <c r="Q392" t="inlineStr">
        <is>
          <t>Aprovado Caixa</t>
        </is>
      </c>
      <c r="R392" t="inlineStr">
        <is>
          <t>Pago</t>
        </is>
      </c>
      <c r="S392" t="n">
        <v>182</v>
      </c>
      <c r="T392" t="inlineStr">
        <is>
          <t>Love - Shibari - Kamino</t>
        </is>
      </c>
    </row>
    <row r="393">
      <c r="A393" t="n">
        <v>96942</v>
      </c>
      <c r="B393" t="n">
        <v>128</v>
      </c>
      <c r="C393" t="inlineStr">
        <is>
          <t>Love Cabaret</t>
        </is>
      </c>
      <c r="D393" t="inlineStr">
        <is>
          <t>CIA DE SANEAMENTO BASICO DO ESTADO DE SAO PAULO SABESP</t>
        </is>
      </c>
      <c r="E393" t="n">
        <v>153.96</v>
      </c>
      <c r="F393" s="27" t="n">
        <v>45981</v>
      </c>
      <c r="G393" s="27" t="n">
        <v>45980</v>
      </c>
      <c r="H393" s="27" t="n">
        <v>45980</v>
      </c>
      <c r="I393" s="27" t="n">
        <v>45943</v>
      </c>
      <c r="J393" s="27" t="n"/>
      <c r="K393" t="inlineStr">
        <is>
          <t>Boleto Bancário</t>
        </is>
      </c>
      <c r="L393" t="inlineStr">
        <is>
          <t>Utilidades</t>
        </is>
      </c>
      <c r="M393" t="inlineStr">
        <is>
          <t>Agua/Esgoto</t>
        </is>
      </c>
      <c r="N393" t="inlineStr">
        <is>
          <t>2025103266247</t>
        </is>
      </c>
      <c r="O393" t="inlineStr">
        <is>
          <t>Documentação Aprovada</t>
        </is>
      </c>
      <c r="P393" t="inlineStr">
        <is>
          <t>Aprovado Diretoria</t>
        </is>
      </c>
      <c r="Q393" t="inlineStr">
        <is>
          <t>Aprovado Caixa</t>
        </is>
      </c>
      <c r="R393" t="inlineStr">
        <is>
          <t>Pago</t>
        </is>
      </c>
      <c r="S393" t="n">
        <v>182</v>
      </c>
      <c r="T393" t="inlineStr">
        <is>
          <t>Love - Shibari - Kamino</t>
        </is>
      </c>
    </row>
    <row r="394">
      <c r="A394" t="n">
        <v>176448</v>
      </c>
      <c r="B394" t="n">
        <v>128</v>
      </c>
      <c r="C394" t="inlineStr">
        <is>
          <t>Love Cabaret</t>
        </is>
      </c>
      <c r="D394" t="inlineStr">
        <is>
          <t>CAROLINE FERREIRA DA SILVA</t>
        </is>
      </c>
      <c r="E394" t="n">
        <v>1049.83</v>
      </c>
      <c r="F394" s="27" t="n">
        <v>45980</v>
      </c>
      <c r="G394" s="27" t="n">
        <v>45979</v>
      </c>
      <c r="H394" s="27" t="n">
        <v>45979</v>
      </c>
      <c r="I394" s="27" t="n">
        <v>45976</v>
      </c>
      <c r="J394" s="27" t="n"/>
      <c r="L394" t="inlineStr">
        <is>
          <t>Mão de Obra - Salários</t>
        </is>
      </c>
      <c r="M394" t="inlineStr">
        <is>
          <t>MDO CLT - Salário</t>
        </is>
      </c>
      <c r="O394" t="inlineStr">
        <is>
          <t>Documentação Aprovada</t>
        </is>
      </c>
      <c r="P394" t="inlineStr">
        <is>
          <t>Aprovado Diretoria</t>
        </is>
      </c>
      <c r="Q394" t="inlineStr">
        <is>
          <t>Aprovado Caixa</t>
        </is>
      </c>
      <c r="R394" t="inlineStr">
        <is>
          <t>Pago</t>
        </is>
      </c>
      <c r="S394" t="n">
        <v>115</v>
      </c>
      <c r="T394" t="inlineStr">
        <is>
          <t>Love - Shibari - Bradesco</t>
        </is>
      </c>
    </row>
    <row r="395">
      <c r="A395" t="n">
        <v>176449</v>
      </c>
      <c r="B395" t="n">
        <v>128</v>
      </c>
      <c r="C395" t="inlineStr">
        <is>
          <t>Love Cabaret</t>
        </is>
      </c>
      <c r="D395" t="inlineStr">
        <is>
          <t>JULIANA OLIVEIRA DA SILVA</t>
        </is>
      </c>
      <c r="E395" t="n">
        <v>926.91</v>
      </c>
      <c r="F395" s="27" t="n">
        <v>45980</v>
      </c>
      <c r="G395" s="27" t="n">
        <v>45979</v>
      </c>
      <c r="H395" s="27" t="n">
        <v>45979</v>
      </c>
      <c r="I395" s="27" t="n">
        <v>45976</v>
      </c>
      <c r="J395" s="27" t="n"/>
      <c r="L395" t="inlineStr">
        <is>
          <t>Mão de Obra - Salários</t>
        </is>
      </c>
      <c r="M395" t="inlineStr">
        <is>
          <t>MDO CLT - Salário</t>
        </is>
      </c>
      <c r="O395" t="inlineStr">
        <is>
          <t>Documentação Aprovada</t>
        </is>
      </c>
      <c r="P395" t="inlineStr">
        <is>
          <t>Aprovado Diretoria</t>
        </is>
      </c>
      <c r="Q395" t="inlineStr">
        <is>
          <t>Aprovado Caixa</t>
        </is>
      </c>
      <c r="R395" t="inlineStr">
        <is>
          <t>Pago</t>
        </is>
      </c>
      <c r="S395" t="n">
        <v>115</v>
      </c>
      <c r="T395" t="inlineStr">
        <is>
          <t>Love - Shibari - Bradesco</t>
        </is>
      </c>
    </row>
    <row r="396">
      <c r="A396" t="n">
        <v>169242</v>
      </c>
      <c r="B396" t="n">
        <v>128</v>
      </c>
      <c r="C396" t="inlineStr">
        <is>
          <t>Love Cabaret</t>
        </is>
      </c>
      <c r="D396" t="inlineStr">
        <is>
          <t>B.B DISTRIBUIDORA DE CARNES LTDA</t>
        </is>
      </c>
      <c r="E396" t="n">
        <v>276</v>
      </c>
      <c r="F396" s="27" t="n">
        <v>45978</v>
      </c>
      <c r="G396" s="27" t="n">
        <v>45978</v>
      </c>
      <c r="H396" s="27" t="n">
        <v>45978</v>
      </c>
      <c r="I396" s="27" t="n">
        <v>45950</v>
      </c>
      <c r="J396" s="27" t="n">
        <v>45953</v>
      </c>
      <c r="K396" t="inlineStr">
        <is>
          <t>Boleto Bancário</t>
        </is>
      </c>
      <c r="L396" t="inlineStr">
        <is>
          <t>Custo Mercadoria Vendida</t>
        </is>
      </c>
      <c r="M396" t="inlineStr">
        <is>
          <t>Insumos - Alimentos</t>
        </is>
      </c>
      <c r="N396" t="inlineStr">
        <is>
          <t>405829</t>
        </is>
      </c>
      <c r="O396" t="inlineStr">
        <is>
          <t>Documentação Aprovada</t>
        </is>
      </c>
      <c r="P396" t="inlineStr">
        <is>
          <t>Aprovado Diretoria</t>
        </is>
      </c>
      <c r="Q396" t="inlineStr">
        <is>
          <t>Aprovado Caixa</t>
        </is>
      </c>
      <c r="R396" t="inlineStr">
        <is>
          <t>Pago</t>
        </is>
      </c>
      <c r="S396" t="n">
        <v>182</v>
      </c>
      <c r="T396" t="inlineStr">
        <is>
          <t>Love - Shibari - Kamino</t>
        </is>
      </c>
    </row>
    <row r="397">
      <c r="A397" t="n">
        <v>169255</v>
      </c>
      <c r="B397" t="n">
        <v>128</v>
      </c>
      <c r="C397" t="inlineStr">
        <is>
          <t>Love Cabaret</t>
        </is>
      </c>
      <c r="D397" t="inlineStr">
        <is>
          <t>DTK COMERCIO DE ALIMENTOS LTDA</t>
        </is>
      </c>
      <c r="E397" t="n">
        <v>771.33</v>
      </c>
      <c r="F397" s="27" t="n">
        <v>45978</v>
      </c>
      <c r="G397" s="27" t="n">
        <v>45978</v>
      </c>
      <c r="H397" s="27" t="n">
        <v>45978</v>
      </c>
      <c r="I397" s="27" t="n">
        <v>45950</v>
      </c>
      <c r="J397" s="27" t="n">
        <v>45953</v>
      </c>
      <c r="K397" t="inlineStr">
        <is>
          <t>Boleto Bancário</t>
        </is>
      </c>
      <c r="L397" t="inlineStr">
        <is>
          <t>Custo Mercadoria Vendida</t>
        </is>
      </c>
      <c r="M397" t="inlineStr">
        <is>
          <t>Insumos - Alimentos</t>
        </is>
      </c>
      <c r="N397" t="inlineStr">
        <is>
          <t>48702</t>
        </is>
      </c>
      <c r="O397" t="inlineStr">
        <is>
          <t>Documentação Aprovada</t>
        </is>
      </c>
      <c r="P397" t="inlineStr">
        <is>
          <t>Aprovado Diretoria</t>
        </is>
      </c>
      <c r="Q397" t="inlineStr">
        <is>
          <t>Aprovado Caixa</t>
        </is>
      </c>
      <c r="R397" t="inlineStr">
        <is>
          <t>Pago</t>
        </is>
      </c>
      <c r="S397" t="n">
        <v>182</v>
      </c>
      <c r="T397" t="inlineStr">
        <is>
          <t>Love - Shibari - Kamino</t>
        </is>
      </c>
    </row>
    <row r="398">
      <c r="A398" t="n">
        <v>169252</v>
      </c>
      <c r="B398" t="n">
        <v>128</v>
      </c>
      <c r="C398" t="inlineStr">
        <is>
          <t>Love Cabaret</t>
        </is>
      </c>
      <c r="D398" t="inlineStr">
        <is>
          <t>CEPEL COMERCIO DE PAPEIS E EMBALAGENS LTDA</t>
        </is>
      </c>
      <c r="E398" t="n">
        <v>450</v>
      </c>
      <c r="F398" s="27" t="n">
        <v>45978</v>
      </c>
      <c r="G398" s="27" t="n">
        <v>45978</v>
      </c>
      <c r="H398" s="27" t="n">
        <v>45978</v>
      </c>
      <c r="I398" s="27" t="n">
        <v>45950</v>
      </c>
      <c r="J398" s="27" t="n">
        <v>45953</v>
      </c>
      <c r="K398" t="inlineStr">
        <is>
          <t>Boleto Bancário</t>
        </is>
      </c>
      <c r="L398" t="inlineStr">
        <is>
          <t>Utilidades</t>
        </is>
      </c>
      <c r="M398" t="inlineStr">
        <is>
          <t>Higiene e Limpeza</t>
        </is>
      </c>
      <c r="N398" t="inlineStr">
        <is>
          <t>251108</t>
        </is>
      </c>
      <c r="O398" t="inlineStr">
        <is>
          <t>Documentação Aprovada</t>
        </is>
      </c>
      <c r="P398" t="inlineStr">
        <is>
          <t>Aprovado Diretoria</t>
        </is>
      </c>
      <c r="Q398" t="inlineStr">
        <is>
          <t>Aprovado Caixa</t>
        </is>
      </c>
      <c r="R398" t="inlineStr">
        <is>
          <t>Pago</t>
        </is>
      </c>
      <c r="S398" t="n">
        <v>182</v>
      </c>
      <c r="T398" t="inlineStr">
        <is>
          <t>Love - Shibari - Kamino</t>
        </is>
      </c>
    </row>
    <row r="399">
      <c r="A399" t="n">
        <v>169253</v>
      </c>
      <c r="B399" t="n">
        <v>128</v>
      </c>
      <c r="C399" t="inlineStr">
        <is>
          <t>Love Cabaret</t>
        </is>
      </c>
      <c r="D399" t="inlineStr">
        <is>
          <t>DTK COMERCIO DE ALIMENTOS LTDA</t>
        </is>
      </c>
      <c r="E399" t="n">
        <v>176.78</v>
      </c>
      <c r="F399" s="27" t="n">
        <v>45979</v>
      </c>
      <c r="G399" s="27" t="n">
        <v>45978</v>
      </c>
      <c r="H399" s="27" t="n">
        <v>45978</v>
      </c>
      <c r="I399" s="27" t="n">
        <v>45951</v>
      </c>
      <c r="J399" s="27" t="n">
        <v>45953</v>
      </c>
      <c r="K399" t="inlineStr">
        <is>
          <t>Boleto Bancário</t>
        </is>
      </c>
      <c r="L399" t="inlineStr">
        <is>
          <t>Custo Mercadoria Vendida</t>
        </is>
      </c>
      <c r="M399" t="inlineStr">
        <is>
          <t>Insumos - Alimentos</t>
        </is>
      </c>
      <c r="N399" t="inlineStr">
        <is>
          <t>49097</t>
        </is>
      </c>
      <c r="O399" t="inlineStr">
        <is>
          <t>Documentação Aprovada</t>
        </is>
      </c>
      <c r="P399" t="inlineStr">
        <is>
          <t>Aprovado Diretoria</t>
        </is>
      </c>
      <c r="Q399" t="inlineStr">
        <is>
          <t>Aprovado Caixa</t>
        </is>
      </c>
      <c r="R399" t="inlineStr">
        <is>
          <t>Pago</t>
        </is>
      </c>
      <c r="S399" t="n">
        <v>182</v>
      </c>
      <c r="T399" t="inlineStr">
        <is>
          <t>Love - Shibari - Kamino</t>
        </is>
      </c>
    </row>
    <row r="400">
      <c r="A400" t="n">
        <v>169257</v>
      </c>
      <c r="B400" t="n">
        <v>128</v>
      </c>
      <c r="C400" t="inlineStr">
        <is>
          <t>Love Cabaret</t>
        </is>
      </c>
      <c r="D400" t="inlineStr">
        <is>
          <t>EMPORIO M&amp;L COMERCIO DE ALIM E BEBIDAS LTDA</t>
        </is>
      </c>
      <c r="E400" t="n">
        <v>488.46</v>
      </c>
      <c r="F400" s="27" t="n">
        <v>45979</v>
      </c>
      <c r="G400" s="27" t="n">
        <v>45978</v>
      </c>
      <c r="H400" s="27" t="n">
        <v>45978</v>
      </c>
      <c r="I400" s="27" t="n">
        <v>45951</v>
      </c>
      <c r="J400" s="27" t="n">
        <v>45953</v>
      </c>
      <c r="K400" t="inlineStr">
        <is>
          <t>Boleto Bancário</t>
        </is>
      </c>
      <c r="L400" t="inlineStr">
        <is>
          <t>Custo Mercadoria Vendida</t>
        </is>
      </c>
      <c r="M400" t="inlineStr">
        <is>
          <t>Insumos - Alimentos</t>
        </is>
      </c>
      <c r="N400" t="inlineStr">
        <is>
          <t>477191</t>
        </is>
      </c>
      <c r="O400" t="inlineStr">
        <is>
          <t>Documentação Aprovada</t>
        </is>
      </c>
      <c r="P400" t="inlineStr">
        <is>
          <t>Aprovado Diretoria</t>
        </is>
      </c>
      <c r="Q400" t="inlineStr">
        <is>
          <t>Aprovado Caixa</t>
        </is>
      </c>
      <c r="R400" t="inlineStr">
        <is>
          <t>Pago</t>
        </is>
      </c>
      <c r="S400" t="n">
        <v>182</v>
      </c>
      <c r="T400" t="inlineStr">
        <is>
          <t>Love - Shibari - Kamino</t>
        </is>
      </c>
    </row>
    <row r="401">
      <c r="A401" t="n">
        <v>164645</v>
      </c>
      <c r="B401" t="n">
        <v>128</v>
      </c>
      <c r="C401" t="inlineStr">
        <is>
          <t>Love Cabaret</t>
        </is>
      </c>
      <c r="D401" t="inlineStr">
        <is>
          <t>ZAHIL IMPORTADORA LTDA</t>
        </is>
      </c>
      <c r="E401" t="n">
        <v>1009.3</v>
      </c>
      <c r="F401" s="27" t="n">
        <v>45978</v>
      </c>
      <c r="G401" s="27" t="n">
        <v>45978</v>
      </c>
      <c r="H401" s="27" t="n">
        <v>45978</v>
      </c>
      <c r="I401" s="27" t="n">
        <v>45959</v>
      </c>
      <c r="J401" s="27" t="n">
        <v>45932</v>
      </c>
      <c r="K401" t="inlineStr">
        <is>
          <t>Boleto Bancário</t>
        </is>
      </c>
      <c r="L401" t="inlineStr">
        <is>
          <t>Custo Mercadoria Vendida</t>
        </is>
      </c>
      <c r="M401" t="inlineStr">
        <is>
          <t>Insumos - Bebidas</t>
        </is>
      </c>
      <c r="N401" t="inlineStr">
        <is>
          <t>256937</t>
        </is>
      </c>
      <c r="O401" t="inlineStr">
        <is>
          <t>Documentação Aprovada</t>
        </is>
      </c>
      <c r="P401" t="inlineStr">
        <is>
          <t>Aprovado Diretoria</t>
        </is>
      </c>
      <c r="Q401" t="inlineStr">
        <is>
          <t>Aprovado Caixa</t>
        </is>
      </c>
      <c r="R401" t="inlineStr">
        <is>
          <t>Pago</t>
        </is>
      </c>
      <c r="S401" t="n">
        <v>182</v>
      </c>
      <c r="T401" t="inlineStr">
        <is>
          <t>Love - Shibari - Kamino</t>
        </is>
      </c>
    </row>
    <row r="402">
      <c r="A402" t="n">
        <v>168593</v>
      </c>
      <c r="B402" t="n">
        <v>128</v>
      </c>
      <c r="C402" t="inlineStr">
        <is>
          <t>Love Cabaret</t>
        </is>
      </c>
      <c r="D402" t="inlineStr">
        <is>
          <t>ERVAS FINAS HORTICULTURA LTDA</t>
        </is>
      </c>
      <c r="E402" t="n">
        <v>128.1</v>
      </c>
      <c r="F402" s="27" t="n">
        <v>45978</v>
      </c>
      <c r="G402" s="27" t="n">
        <v>45978</v>
      </c>
      <c r="H402" s="27" t="n">
        <v>45978</v>
      </c>
      <c r="I402" s="27" t="n">
        <v>45946</v>
      </c>
      <c r="J402" s="27" t="n">
        <v>45947</v>
      </c>
      <c r="K402" t="inlineStr">
        <is>
          <t>Boleto Bancário</t>
        </is>
      </c>
      <c r="L402" t="inlineStr">
        <is>
          <t>Custo Mercadoria Vendida</t>
        </is>
      </c>
      <c r="M402" t="inlineStr">
        <is>
          <t>Insumos - Alimentos</t>
        </is>
      </c>
      <c r="N402" t="inlineStr">
        <is>
          <t>392006</t>
        </is>
      </c>
      <c r="O402" t="inlineStr">
        <is>
          <t>Documentação Aprovada</t>
        </is>
      </c>
      <c r="P402" t="inlineStr">
        <is>
          <t>Aprovado Diretoria</t>
        </is>
      </c>
      <c r="Q402" t="inlineStr">
        <is>
          <t>Aprovado Caixa</t>
        </is>
      </c>
      <c r="R402" t="inlineStr">
        <is>
          <t>Pago</t>
        </is>
      </c>
      <c r="S402" t="n">
        <v>182</v>
      </c>
      <c r="T402" t="inlineStr">
        <is>
          <t>Love - Shibari - Kamino</t>
        </is>
      </c>
    </row>
    <row r="403">
      <c r="A403" t="n">
        <v>168582</v>
      </c>
      <c r="B403" t="n">
        <v>128</v>
      </c>
      <c r="C403" t="inlineStr">
        <is>
          <t>Love Cabaret</t>
        </is>
      </c>
      <c r="D403" t="inlineStr">
        <is>
          <t>DEOLINDA DOS SANTOS FREITAS</t>
        </is>
      </c>
      <c r="E403" t="n">
        <v>141.5</v>
      </c>
      <c r="F403" s="27" t="n">
        <v>45978</v>
      </c>
      <c r="G403" s="27" t="n">
        <v>45978</v>
      </c>
      <c r="H403" s="27" t="n">
        <v>45978</v>
      </c>
      <c r="I403" s="27" t="n">
        <v>45946</v>
      </c>
      <c r="J403" s="27" t="n">
        <v>45947</v>
      </c>
      <c r="K403" t="inlineStr">
        <is>
          <t>Boleto Bancário</t>
        </is>
      </c>
      <c r="L403" t="inlineStr">
        <is>
          <t>Custo Mercadoria Vendida</t>
        </is>
      </c>
      <c r="M403" t="inlineStr">
        <is>
          <t>Insumos - Alimentos</t>
        </is>
      </c>
      <c r="N403" t="inlineStr">
        <is>
          <t>2060</t>
        </is>
      </c>
      <c r="O403" t="inlineStr">
        <is>
          <t>Documentação Aprovada</t>
        </is>
      </c>
      <c r="P403" t="inlineStr">
        <is>
          <t>Aprovado Diretoria</t>
        </is>
      </c>
      <c r="Q403" t="inlineStr">
        <is>
          <t>Aprovado Caixa</t>
        </is>
      </c>
      <c r="R403" t="inlineStr">
        <is>
          <t>Pago</t>
        </is>
      </c>
      <c r="S403" t="n">
        <v>182</v>
      </c>
      <c r="T403" t="inlineStr">
        <is>
          <t>Love - Shibari - Kamino</t>
        </is>
      </c>
    </row>
    <row r="404">
      <c r="A404" t="n">
        <v>175361</v>
      </c>
      <c r="B404" t="n">
        <v>128</v>
      </c>
      <c r="C404" t="inlineStr">
        <is>
          <t>Love Cabaret</t>
        </is>
      </c>
      <c r="D404" t="inlineStr">
        <is>
          <t>CASA DE CARNES P.J.J.LTDA</t>
        </is>
      </c>
      <c r="E404" t="n">
        <v>123.8</v>
      </c>
      <c r="F404" s="27" t="n">
        <v>45979</v>
      </c>
      <c r="G404" s="27" t="n">
        <v>45978</v>
      </c>
      <c r="H404" s="27" t="n">
        <v>45978</v>
      </c>
      <c r="I404" s="27" t="n">
        <v>45972</v>
      </c>
      <c r="J404" s="27" t="n">
        <v>45973</v>
      </c>
      <c r="K404" t="inlineStr">
        <is>
          <t>Boleto Bancário</t>
        </is>
      </c>
      <c r="L404" t="inlineStr">
        <is>
          <t>Custo Mercadoria Vendida</t>
        </is>
      </c>
      <c r="M404" t="inlineStr">
        <is>
          <t>Insumos - Alimentos</t>
        </is>
      </c>
      <c r="N404" t="inlineStr">
        <is>
          <t>44625</t>
        </is>
      </c>
      <c r="O404" t="inlineStr">
        <is>
          <t>Documentação Aprovada</t>
        </is>
      </c>
      <c r="P404" t="inlineStr">
        <is>
          <t>Aprovado Diretoria</t>
        </is>
      </c>
      <c r="Q404" t="inlineStr">
        <is>
          <t>Aprovado Caixa</t>
        </is>
      </c>
      <c r="R404" t="inlineStr">
        <is>
          <t>Pago</t>
        </is>
      </c>
      <c r="S404" t="n">
        <v>182</v>
      </c>
      <c r="T404" t="inlineStr">
        <is>
          <t>Love - Shibari - Kamino</t>
        </is>
      </c>
    </row>
    <row r="405">
      <c r="A405" t="n">
        <v>175212</v>
      </c>
      <c r="B405" t="n">
        <v>128</v>
      </c>
      <c r="C405" t="inlineStr">
        <is>
          <t>Love Cabaret</t>
        </is>
      </c>
      <c r="D405" t="inlineStr">
        <is>
          <t>AURORA ALVORADA ESTACIONAMENTO E LANCHONETE LTDA</t>
        </is>
      </c>
      <c r="E405" t="n">
        <v>253.23</v>
      </c>
      <c r="F405" s="27" t="n">
        <v>45978</v>
      </c>
      <c r="G405" s="27" t="n">
        <v>45978</v>
      </c>
      <c r="H405" s="27" t="n">
        <v>45978</v>
      </c>
      <c r="I405" s="27" t="n">
        <v>45971</v>
      </c>
      <c r="J405" s="27" t="n">
        <v>45973</v>
      </c>
      <c r="K405" t="inlineStr">
        <is>
          <t>Boleto Bancário</t>
        </is>
      </c>
      <c r="L405" t="inlineStr">
        <is>
          <t>Mão de Obra - Benefícios</t>
        </is>
      </c>
      <c r="M405" t="inlineStr">
        <is>
          <t xml:space="preserve">  -  Alimentação Funcionário</t>
        </is>
      </c>
      <c r="N405" t="inlineStr">
        <is>
          <t>11179</t>
        </is>
      </c>
      <c r="O405" t="inlineStr">
        <is>
          <t>Documentação Aprovada</t>
        </is>
      </c>
      <c r="P405" t="inlineStr">
        <is>
          <t>Aprovado Diretoria</t>
        </is>
      </c>
      <c r="Q405" t="inlineStr">
        <is>
          <t>Aprovado Caixa</t>
        </is>
      </c>
      <c r="R405" t="inlineStr">
        <is>
          <t>Pago</t>
        </is>
      </c>
      <c r="S405" t="n">
        <v>182</v>
      </c>
      <c r="T405" t="inlineStr">
        <is>
          <t>Love - Shibari - Kamino</t>
        </is>
      </c>
    </row>
    <row r="406">
      <c r="A406" t="n">
        <v>175315</v>
      </c>
      <c r="B406" t="n">
        <v>128</v>
      </c>
      <c r="C406" t="inlineStr">
        <is>
          <t>Love Cabaret</t>
        </is>
      </c>
      <c r="D406" t="inlineStr">
        <is>
          <t>CECILIA TSUYACO ARAKI SILVA LTDA</t>
        </is>
      </c>
      <c r="E406" t="n">
        <v>191.7</v>
      </c>
      <c r="F406" s="27" t="n">
        <v>45978</v>
      </c>
      <c r="G406" s="27" t="n">
        <v>45978</v>
      </c>
      <c r="H406" s="27" t="n">
        <v>45978</v>
      </c>
      <c r="I406" s="27" t="n">
        <v>45960</v>
      </c>
      <c r="J406" s="27" t="n">
        <v>45973</v>
      </c>
      <c r="K406" t="inlineStr">
        <is>
          <t>Boleto Bancário</t>
        </is>
      </c>
      <c r="L406" t="inlineStr">
        <is>
          <t>Custo Mercadoria Vendida</t>
        </is>
      </c>
      <c r="M406" t="inlineStr">
        <is>
          <t>Insumos - Alimentos</t>
        </is>
      </c>
      <c r="N406" t="inlineStr">
        <is>
          <t>380794</t>
        </is>
      </c>
      <c r="O406" t="inlineStr">
        <is>
          <t>Documentação Aprovada</t>
        </is>
      </c>
      <c r="P406" t="inlineStr">
        <is>
          <t>Aprovado Diretoria</t>
        </is>
      </c>
      <c r="Q406" t="inlineStr">
        <is>
          <t>Aprovado Caixa</t>
        </is>
      </c>
      <c r="R406" t="inlineStr">
        <is>
          <t>Pago</t>
        </is>
      </c>
      <c r="S406" t="n">
        <v>182</v>
      </c>
      <c r="T406" t="inlineStr">
        <is>
          <t>Love - Shibari - Kamino</t>
        </is>
      </c>
    </row>
    <row r="407">
      <c r="A407" t="n">
        <v>175625</v>
      </c>
      <c r="B407" t="n">
        <v>128</v>
      </c>
      <c r="C407" t="inlineStr">
        <is>
          <t>Love Cabaret</t>
        </is>
      </c>
      <c r="D407" t="inlineStr">
        <is>
          <t xml:space="preserve">SPOTIFY </t>
        </is>
      </c>
      <c r="E407" t="n">
        <v>20.45</v>
      </c>
      <c r="F407" s="27" t="n">
        <v>45976</v>
      </c>
      <c r="G407" s="27" t="n">
        <v>45978</v>
      </c>
      <c r="H407" s="27" t="n">
        <v>45978</v>
      </c>
      <c r="I407" s="27" t="n">
        <v>45962</v>
      </c>
      <c r="J407" s="27" t="n">
        <v>45974</v>
      </c>
      <c r="K407" t="inlineStr">
        <is>
          <t>Transferência Bancária ou Pix</t>
        </is>
      </c>
      <c r="L407" t="inlineStr">
        <is>
          <t>Informática e TI</t>
        </is>
      </c>
      <c r="M407" t="inlineStr">
        <is>
          <t>TV por assinatura/musica ambiente</t>
        </is>
      </c>
      <c r="N407" t="inlineStr">
        <is>
          <t>1162025</t>
        </is>
      </c>
      <c r="O407" t="inlineStr">
        <is>
          <t>Documentação Aprovada</t>
        </is>
      </c>
      <c r="P407" t="inlineStr">
        <is>
          <t>Aprovado Diretoria</t>
        </is>
      </c>
      <c r="Q407" t="inlineStr">
        <is>
          <t>Aprovado Caixa</t>
        </is>
      </c>
      <c r="R407" t="inlineStr">
        <is>
          <t>Pago</t>
        </is>
      </c>
      <c r="S407" t="n">
        <v>182</v>
      </c>
      <c r="T407" t="inlineStr">
        <is>
          <t>Love - Shibari - Kamino</t>
        </is>
      </c>
    </row>
    <row r="408">
      <c r="A408" t="n">
        <v>175388</v>
      </c>
      <c r="B408" t="n">
        <v>128</v>
      </c>
      <c r="C408" t="inlineStr">
        <is>
          <t>Love Cabaret</t>
        </is>
      </c>
      <c r="D408" t="inlineStr">
        <is>
          <t>JK COMERCIO DE GENEROS ALIMENTICIOS LTDA</t>
        </is>
      </c>
      <c r="E408" t="n">
        <v>19.9</v>
      </c>
      <c r="F408" s="27" t="n">
        <v>45979</v>
      </c>
      <c r="G408" s="27" t="n">
        <v>45978</v>
      </c>
      <c r="H408" s="27" t="n">
        <v>45978</v>
      </c>
      <c r="I408" s="27" t="n">
        <v>45972</v>
      </c>
      <c r="J408" s="27" t="n">
        <v>45973</v>
      </c>
      <c r="K408" t="inlineStr">
        <is>
          <t>Boleto Bancário</t>
        </is>
      </c>
      <c r="L408" t="inlineStr">
        <is>
          <t>Custo Mercadoria Vendida</t>
        </is>
      </c>
      <c r="M408" t="inlineStr">
        <is>
          <t>Insumos - Alimentos</t>
        </is>
      </c>
      <c r="N408" t="inlineStr">
        <is>
          <t>8696</t>
        </is>
      </c>
      <c r="O408" t="inlineStr">
        <is>
          <t>Documentação Aprovada</t>
        </is>
      </c>
      <c r="P408" t="inlineStr">
        <is>
          <t>Aprovado Diretoria</t>
        </is>
      </c>
      <c r="Q408" t="inlineStr">
        <is>
          <t>Aprovado Caixa</t>
        </is>
      </c>
      <c r="R408" t="inlineStr">
        <is>
          <t>Pago</t>
        </is>
      </c>
      <c r="S408" t="n">
        <v>182</v>
      </c>
      <c r="T408" t="inlineStr">
        <is>
          <t>Love - Shibari - Kamino</t>
        </is>
      </c>
    </row>
    <row r="409">
      <c r="A409" t="n">
        <v>175572</v>
      </c>
      <c r="B409" t="n">
        <v>128</v>
      </c>
      <c r="C409" t="inlineStr">
        <is>
          <t>Love Cabaret</t>
        </is>
      </c>
      <c r="D409" t="inlineStr">
        <is>
          <t xml:space="preserve">KAMINO INSTITUICAO DE PAGAMENTO LTDA </t>
        </is>
      </c>
      <c r="E409" t="n">
        <v>400</v>
      </c>
      <c r="F409" s="27" t="n">
        <v>45979</v>
      </c>
      <c r="G409" s="27" t="n">
        <v>45978</v>
      </c>
      <c r="H409" s="27" t="n">
        <v>45978</v>
      </c>
      <c r="I409" s="27" t="n">
        <v>45962</v>
      </c>
      <c r="J409" s="27" t="n">
        <v>45974</v>
      </c>
      <c r="K409" t="inlineStr">
        <is>
          <t>Boleto Bancário</t>
        </is>
      </c>
      <c r="L409" t="inlineStr">
        <is>
          <t>Despesas Financeiras</t>
        </is>
      </c>
      <c r="M409" t="inlineStr">
        <is>
          <t>Tarifas Bancárias</t>
        </is>
      </c>
      <c r="N409" t="inlineStr">
        <is>
          <t>6745744</t>
        </is>
      </c>
      <c r="O409" t="inlineStr">
        <is>
          <t>Documentação Aprovada</t>
        </is>
      </c>
      <c r="P409" t="inlineStr">
        <is>
          <t>Aprovado Diretoria</t>
        </is>
      </c>
      <c r="Q409" t="inlineStr">
        <is>
          <t>Aprovado Caixa</t>
        </is>
      </c>
      <c r="R409" t="inlineStr">
        <is>
          <t>Pago</t>
        </is>
      </c>
      <c r="S409" t="n">
        <v>182</v>
      </c>
      <c r="T409" t="inlineStr">
        <is>
          <t>Love - Shibari - Kamino</t>
        </is>
      </c>
    </row>
    <row r="410">
      <c r="A410" t="n">
        <v>172882</v>
      </c>
      <c r="B410" t="n">
        <v>128</v>
      </c>
      <c r="C410" t="inlineStr">
        <is>
          <t>Love Cabaret</t>
        </is>
      </c>
      <c r="D410" t="inlineStr">
        <is>
          <t>ASSAZ ORGANICA INDUSTRIA E COMERCIO DE ALIMENTOS LTDA</t>
        </is>
      </c>
      <c r="E410" t="n">
        <v>36.5</v>
      </c>
      <c r="F410" s="27" t="n">
        <v>45980</v>
      </c>
      <c r="G410" s="27" t="n">
        <v>45978</v>
      </c>
      <c r="H410" s="27" t="n">
        <v>45978</v>
      </c>
      <c r="I410" s="27" t="n">
        <v>45965</v>
      </c>
      <c r="J410" s="27" t="n">
        <v>45966</v>
      </c>
      <c r="K410" t="inlineStr">
        <is>
          <t>Boleto Bancário</t>
        </is>
      </c>
      <c r="L410" t="inlineStr">
        <is>
          <t>Custo Mercadoria Vendida</t>
        </is>
      </c>
      <c r="M410" t="inlineStr">
        <is>
          <t>Insumos - Alimentos</t>
        </is>
      </c>
      <c r="N410" t="inlineStr">
        <is>
          <t>24191</t>
        </is>
      </c>
      <c r="O410" t="inlineStr">
        <is>
          <t>Documentação Aprovada</t>
        </is>
      </c>
      <c r="P410" t="inlineStr">
        <is>
          <t>Aprovado Diretoria</t>
        </is>
      </c>
      <c r="Q410" t="inlineStr">
        <is>
          <t>Aprovado Caixa</t>
        </is>
      </c>
      <c r="R410" t="inlineStr">
        <is>
          <t>Pago</t>
        </is>
      </c>
      <c r="S410" t="n">
        <v>182</v>
      </c>
      <c r="T410" t="inlineStr">
        <is>
          <t>Love - Shibari - Kamino</t>
        </is>
      </c>
    </row>
    <row r="411">
      <c r="A411" t="n">
        <v>171617</v>
      </c>
      <c r="B411" t="n">
        <v>128</v>
      </c>
      <c r="C411" t="inlineStr">
        <is>
          <t>Love Cabaret</t>
        </is>
      </c>
      <c r="D411" t="inlineStr">
        <is>
          <t>CG FOOD´S DISTRIBUIDORA DE ALIMENTOS LTDA</t>
        </is>
      </c>
      <c r="E411" t="n">
        <v>387.7</v>
      </c>
      <c r="F411" s="27" t="n">
        <v>45978</v>
      </c>
      <c r="G411" s="27" t="n">
        <v>45978</v>
      </c>
      <c r="H411" s="27" t="n">
        <v>45978</v>
      </c>
      <c r="I411" s="27" t="n">
        <v>45957</v>
      </c>
      <c r="J411" s="27" t="n">
        <v>45961</v>
      </c>
      <c r="K411" t="inlineStr">
        <is>
          <t>Boleto Bancário</t>
        </is>
      </c>
      <c r="L411" t="inlineStr">
        <is>
          <t>Custo Mercadoria Vendida</t>
        </is>
      </c>
      <c r="M411" t="inlineStr">
        <is>
          <t>Insumos - Alimentos</t>
        </is>
      </c>
      <c r="N411" t="inlineStr">
        <is>
          <t>168921</t>
        </is>
      </c>
      <c r="O411" t="inlineStr">
        <is>
          <t>Documentação Aprovada</t>
        </is>
      </c>
      <c r="P411" t="inlineStr">
        <is>
          <t>Aprovado Diretoria</t>
        </is>
      </c>
      <c r="Q411" t="inlineStr">
        <is>
          <t>Aprovado Caixa</t>
        </is>
      </c>
      <c r="R411" t="inlineStr">
        <is>
          <t>Pago</t>
        </is>
      </c>
      <c r="S411" t="n">
        <v>182</v>
      </c>
      <c r="T411" t="inlineStr">
        <is>
          <t>Love - Shibari - Kamino</t>
        </is>
      </c>
    </row>
    <row r="412">
      <c r="A412" t="n">
        <v>171286</v>
      </c>
      <c r="B412" t="n">
        <v>128</v>
      </c>
      <c r="C412" t="inlineStr">
        <is>
          <t>Love Cabaret</t>
        </is>
      </c>
      <c r="D412" t="inlineStr">
        <is>
          <t>PJ 00302023 - ANDRES LA ROSA</t>
        </is>
      </c>
      <c r="E412" t="n">
        <v>17.72</v>
      </c>
      <c r="F412" s="27" t="n">
        <v>45980</v>
      </c>
      <c r="G412" s="27" t="n">
        <v>45978</v>
      </c>
      <c r="H412" s="27" t="n">
        <v>45978</v>
      </c>
      <c r="I412" s="27" t="n">
        <v>45952</v>
      </c>
      <c r="J412" s="27" t="n">
        <v>45960</v>
      </c>
      <c r="K412" t="inlineStr">
        <is>
          <t>Transferência Bancária ou Pix</t>
        </is>
      </c>
      <c r="L412" t="inlineStr">
        <is>
          <t>Despesas com Transporte / Hospedagem</t>
        </is>
      </c>
      <c r="M412" t="inlineStr">
        <is>
          <t>Conduções/Taxi/Uber</t>
        </is>
      </c>
      <c r="N412" t="inlineStr">
        <is>
          <t>1052025</t>
        </is>
      </c>
      <c r="O412" t="inlineStr">
        <is>
          <t>Documentação Aprovada</t>
        </is>
      </c>
      <c r="P412" t="inlineStr">
        <is>
          <t>Aprovado Diretoria</t>
        </is>
      </c>
      <c r="Q412" t="inlineStr">
        <is>
          <t>Aprovado Caixa</t>
        </is>
      </c>
      <c r="R412" t="inlineStr">
        <is>
          <t>Pago</t>
        </is>
      </c>
      <c r="S412" t="n">
        <v>182</v>
      </c>
      <c r="T412" t="inlineStr">
        <is>
          <t>Love - Shibari - Kamino</t>
        </is>
      </c>
    </row>
    <row r="413">
      <c r="A413" t="n">
        <v>174899</v>
      </c>
      <c r="B413" t="n">
        <v>128</v>
      </c>
      <c r="C413" t="inlineStr">
        <is>
          <t>Love Cabaret</t>
        </is>
      </c>
      <c r="D413" t="inlineStr">
        <is>
          <t>BATALHA FABRICA DE PAES LTDA</t>
        </is>
      </c>
      <c r="E413" t="n">
        <v>374.56</v>
      </c>
      <c r="F413" s="27" t="n">
        <v>45978</v>
      </c>
      <c r="G413" s="27" t="n">
        <v>45978</v>
      </c>
      <c r="H413" s="27" t="n">
        <v>45978</v>
      </c>
      <c r="I413" s="27" t="n">
        <v>45958</v>
      </c>
      <c r="J413" s="27" t="n">
        <v>45972</v>
      </c>
      <c r="K413" t="inlineStr">
        <is>
          <t>Boleto Bancário</t>
        </is>
      </c>
      <c r="L413" t="inlineStr">
        <is>
          <t>Custo Mercadoria Vendida</t>
        </is>
      </c>
      <c r="M413" t="inlineStr">
        <is>
          <t>Insumos - Alimentos</t>
        </is>
      </c>
      <c r="N413" t="inlineStr">
        <is>
          <t>56679</t>
        </is>
      </c>
      <c r="O413" t="inlineStr">
        <is>
          <t>Documentação Aprovada</t>
        </is>
      </c>
      <c r="P413" t="inlineStr">
        <is>
          <t>Aprovado Diretoria</t>
        </is>
      </c>
      <c r="Q413" t="inlineStr">
        <is>
          <t>Aprovado Caixa</t>
        </is>
      </c>
      <c r="R413" t="inlineStr">
        <is>
          <t>Pago</t>
        </is>
      </c>
      <c r="S413" t="n">
        <v>182</v>
      </c>
      <c r="T413" t="inlineStr">
        <is>
          <t>Love - Shibari - Kamino</t>
        </is>
      </c>
    </row>
    <row r="414">
      <c r="A414" t="n">
        <v>173753</v>
      </c>
      <c r="B414" t="n">
        <v>128</v>
      </c>
      <c r="C414" t="inlineStr">
        <is>
          <t>Love Cabaret</t>
        </is>
      </c>
      <c r="D414" t="inlineStr">
        <is>
          <t>MARIA EDUARDA RAMOS DE SOUSA</t>
        </is>
      </c>
      <c r="E414" t="n">
        <v>1059.49</v>
      </c>
      <c r="F414" s="27" t="n">
        <v>45978</v>
      </c>
      <c r="G414" s="27" t="n">
        <v>45978</v>
      </c>
      <c r="H414" s="27" t="n">
        <v>45978</v>
      </c>
      <c r="I414" s="27" t="n">
        <v>45931</v>
      </c>
      <c r="J414" s="27" t="n">
        <v>45970</v>
      </c>
      <c r="K414" t="inlineStr">
        <is>
          <t>Transferência Bancária ou Pix</t>
        </is>
      </c>
      <c r="L414" t="inlineStr">
        <is>
          <t>Custos de Eventos</t>
        </is>
      </c>
      <c r="M414" t="inlineStr">
        <is>
          <t>Comissões de Vendas - Eventos</t>
        </is>
      </c>
      <c r="N414" t="inlineStr">
        <is>
          <t>69</t>
        </is>
      </c>
      <c r="O414" t="inlineStr">
        <is>
          <t>Documentação Aprovada</t>
        </is>
      </c>
      <c r="P414" t="inlineStr">
        <is>
          <t>Aprovado Diretoria</t>
        </is>
      </c>
      <c r="Q414" t="inlineStr">
        <is>
          <t>Aprovado Caixa</t>
        </is>
      </c>
      <c r="R414" t="inlineStr">
        <is>
          <t>Pago</t>
        </is>
      </c>
      <c r="S414" t="n">
        <v>182</v>
      </c>
      <c r="T414" t="inlineStr">
        <is>
          <t>Love - Shibari - Kamino</t>
        </is>
      </c>
    </row>
    <row r="415">
      <c r="A415" t="n">
        <v>173766</v>
      </c>
      <c r="B415" t="n">
        <v>128</v>
      </c>
      <c r="C415" t="inlineStr">
        <is>
          <t>Love Cabaret</t>
        </is>
      </c>
      <c r="D415" t="inlineStr">
        <is>
          <t>JOSE CASSIO PREVEDEL SISTEMAS ME</t>
        </is>
      </c>
      <c r="E415" t="n">
        <v>400</v>
      </c>
      <c r="F415" s="27" t="n">
        <v>45978</v>
      </c>
      <c r="G415" s="27" t="n">
        <v>45978</v>
      </c>
      <c r="H415" s="27" t="n">
        <v>45978</v>
      </c>
      <c r="I415" s="27" t="n">
        <v>45962</v>
      </c>
      <c r="J415" s="27" t="n">
        <v>45970</v>
      </c>
      <c r="K415" t="inlineStr">
        <is>
          <t>Boleto Bancário</t>
        </is>
      </c>
      <c r="L415" t="inlineStr">
        <is>
          <t>Locação de Equipamentos</t>
        </is>
      </c>
      <c r="M415" t="inlineStr">
        <is>
          <t>Locações de Equipamentos - Operacionais</t>
        </is>
      </c>
      <c r="N415" t="inlineStr">
        <is>
          <t>20819</t>
        </is>
      </c>
      <c r="O415" t="inlineStr">
        <is>
          <t>Documentação Aprovada</t>
        </is>
      </c>
      <c r="P415" t="inlineStr">
        <is>
          <t>Aprovado Diretoria</t>
        </is>
      </c>
      <c r="Q415" t="inlineStr">
        <is>
          <t>Aprovado Caixa</t>
        </is>
      </c>
      <c r="R415" t="inlineStr">
        <is>
          <t>Pago</t>
        </is>
      </c>
      <c r="S415" t="n">
        <v>182</v>
      </c>
      <c r="T415" t="inlineStr">
        <is>
          <t>Love - Shibari - Kamino</t>
        </is>
      </c>
    </row>
    <row r="416">
      <c r="A416" t="n">
        <v>173744</v>
      </c>
      <c r="B416" t="n">
        <v>128</v>
      </c>
      <c r="C416" t="inlineStr">
        <is>
          <t>Love Cabaret</t>
        </is>
      </c>
      <c r="D416" t="inlineStr">
        <is>
          <t>IRRF</t>
        </is>
      </c>
      <c r="E416" t="n">
        <v>529.84</v>
      </c>
      <c r="F416" s="27" t="n">
        <v>45980</v>
      </c>
      <c r="G416" s="27" t="n">
        <v>45978</v>
      </c>
      <c r="H416" s="27" t="n">
        <v>45978</v>
      </c>
      <c r="I416" s="27" t="n">
        <v>45931</v>
      </c>
      <c r="J416" s="27" t="n">
        <v>45970</v>
      </c>
      <c r="K416" t="inlineStr">
        <is>
          <t>Boleto Bancário</t>
        </is>
      </c>
      <c r="L416" t="inlineStr">
        <is>
          <t>Mão de Obra - Encargos e Provisões</t>
        </is>
      </c>
      <c r="M416" t="inlineStr">
        <is>
          <t>IRRF - MDO CLT - Salário</t>
        </is>
      </c>
      <c r="N416" t="inlineStr">
        <is>
          <t>52984 102025</t>
        </is>
      </c>
      <c r="O416" t="inlineStr">
        <is>
          <t>Documentação Aprovada</t>
        </is>
      </c>
      <c r="P416" t="inlineStr">
        <is>
          <t>Aprovado Diretoria</t>
        </is>
      </c>
      <c r="Q416" t="inlineStr">
        <is>
          <t>Aprovado Caixa</t>
        </is>
      </c>
      <c r="R416" t="inlineStr">
        <is>
          <t>Pago</t>
        </is>
      </c>
      <c r="S416" t="n">
        <v>182</v>
      </c>
      <c r="T416" t="inlineStr">
        <is>
          <t>Love - Shibari - Kamino</t>
        </is>
      </c>
    </row>
    <row r="417">
      <c r="A417" t="n">
        <v>173743</v>
      </c>
      <c r="B417" t="n">
        <v>128</v>
      </c>
      <c r="C417" t="inlineStr">
        <is>
          <t>Love Cabaret</t>
        </is>
      </c>
      <c r="D417" t="inlineStr">
        <is>
          <t>INSS</t>
        </is>
      </c>
      <c r="E417" t="n">
        <v>717.89</v>
      </c>
      <c r="F417" s="27" t="n">
        <v>45980</v>
      </c>
      <c r="G417" s="27" t="n">
        <v>45978</v>
      </c>
      <c r="H417" s="27" t="n">
        <v>45978</v>
      </c>
      <c r="I417" s="27" t="n">
        <v>45931</v>
      </c>
      <c r="J417" s="27" t="n">
        <v>45970</v>
      </c>
      <c r="K417" t="inlineStr">
        <is>
          <t>Boleto Bancário</t>
        </is>
      </c>
      <c r="L417" t="inlineStr">
        <is>
          <t>Mão de Obra - Encargos e Provisões</t>
        </is>
      </c>
      <c r="M417" t="inlineStr">
        <is>
          <t xml:space="preserve">  -  INSS Segurados</t>
        </is>
      </c>
      <c r="N417" t="inlineStr">
        <is>
          <t>71789 102025</t>
        </is>
      </c>
      <c r="O417" t="inlineStr">
        <is>
          <t>Documentação Aprovada</t>
        </is>
      </c>
      <c r="P417" t="inlineStr">
        <is>
          <t>Aprovado Diretoria</t>
        </is>
      </c>
      <c r="Q417" t="inlineStr">
        <is>
          <t>Aprovado Caixa</t>
        </is>
      </c>
      <c r="R417" t="inlineStr">
        <is>
          <t>Pago</t>
        </is>
      </c>
      <c r="S417" t="n">
        <v>182</v>
      </c>
      <c r="T417" t="inlineStr">
        <is>
          <t>Love - Shibari - Kamino</t>
        </is>
      </c>
    </row>
    <row r="418">
      <c r="A418" t="n">
        <v>173742</v>
      </c>
      <c r="B418" t="n">
        <v>128</v>
      </c>
      <c r="C418" t="inlineStr">
        <is>
          <t>Love Cabaret</t>
        </is>
      </c>
      <c r="D418" t="inlineStr">
        <is>
          <t>INSS</t>
        </is>
      </c>
      <c r="E418" t="n">
        <v>2224.73</v>
      </c>
      <c r="F418" s="27" t="n">
        <v>45980</v>
      </c>
      <c r="G418" s="27" t="n">
        <v>45978</v>
      </c>
      <c r="H418" s="27" t="n">
        <v>45978</v>
      </c>
      <c r="I418" s="27" t="n">
        <v>45931</v>
      </c>
      <c r="J418" s="27" t="n">
        <v>45970</v>
      </c>
      <c r="K418" t="inlineStr">
        <is>
          <t>Boleto Bancário</t>
        </is>
      </c>
      <c r="L418" t="inlineStr">
        <is>
          <t>Mão de Obra - Encargos e Provisões</t>
        </is>
      </c>
      <c r="M418" t="inlineStr">
        <is>
          <t xml:space="preserve">  -  INSS Patronal</t>
        </is>
      </c>
      <c r="N418" t="inlineStr">
        <is>
          <t>222473 102025</t>
        </is>
      </c>
      <c r="O418" t="inlineStr">
        <is>
          <t>Documentação Aprovada</t>
        </is>
      </c>
      <c r="P418" t="inlineStr">
        <is>
          <t>Aprovado Diretoria</t>
        </is>
      </c>
      <c r="Q418" t="inlineStr">
        <is>
          <t>Aprovado Caixa</t>
        </is>
      </c>
      <c r="R418" t="inlineStr">
        <is>
          <t>Pago</t>
        </is>
      </c>
      <c r="S418" t="n">
        <v>182</v>
      </c>
      <c r="T418" t="inlineStr">
        <is>
          <t>Love - Shibari - Kamino</t>
        </is>
      </c>
    </row>
    <row r="419">
      <c r="A419" t="n">
        <v>173741</v>
      </c>
      <c r="B419" t="n">
        <v>128</v>
      </c>
      <c r="C419" t="inlineStr">
        <is>
          <t>Love Cabaret</t>
        </is>
      </c>
      <c r="D419" t="inlineStr">
        <is>
          <t>FGTS</t>
        </is>
      </c>
      <c r="E419" t="n">
        <v>617.98</v>
      </c>
      <c r="F419" s="27" t="n">
        <v>45980</v>
      </c>
      <c r="G419" s="27" t="n">
        <v>45978</v>
      </c>
      <c r="H419" s="27" t="n">
        <v>45978</v>
      </c>
      <c r="I419" s="27" t="n">
        <v>45931</v>
      </c>
      <c r="J419" s="27" t="n">
        <v>45970</v>
      </c>
      <c r="K419" t="inlineStr">
        <is>
          <t>Transferência Bancária ou Pix</t>
        </is>
      </c>
      <c r="L419" t="inlineStr">
        <is>
          <t>Mão de Obra - Encargos e Provisões</t>
        </is>
      </c>
      <c r="M419" t="inlineStr">
        <is>
          <t xml:space="preserve">  -  FGTS</t>
        </is>
      </c>
      <c r="N419" t="inlineStr">
        <is>
          <t>61798 102025</t>
        </is>
      </c>
      <c r="O419" t="inlineStr">
        <is>
          <t>Documentação Aprovada</t>
        </is>
      </c>
      <c r="P419" t="inlineStr">
        <is>
          <t>Aprovado Diretoria</t>
        </is>
      </c>
      <c r="Q419" t="inlineStr">
        <is>
          <t>Aprovado Caixa</t>
        </is>
      </c>
      <c r="R419" t="inlineStr">
        <is>
          <t>Pago</t>
        </is>
      </c>
      <c r="S419" t="n">
        <v>182</v>
      </c>
      <c r="T419" t="inlineStr">
        <is>
          <t>Love - Shibari - Kamino</t>
        </is>
      </c>
    </row>
    <row r="420">
      <c r="A420" t="n">
        <v>174817</v>
      </c>
      <c r="B420" t="n">
        <v>128</v>
      </c>
      <c r="C420" t="inlineStr">
        <is>
          <t>Love Cabaret</t>
        </is>
      </c>
      <c r="D420" t="inlineStr">
        <is>
          <t>PSSS LTDA</t>
        </is>
      </c>
      <c r="E420" t="n">
        <v>62</v>
      </c>
      <c r="F420" s="27" t="n">
        <v>45973</v>
      </c>
      <c r="G420" s="27" t="n">
        <v>45978</v>
      </c>
      <c r="H420" s="27" t="n">
        <v>45978</v>
      </c>
      <c r="I420" s="27" t="n">
        <v>45958</v>
      </c>
      <c r="J420" s="27" t="n">
        <v>45972</v>
      </c>
      <c r="K420" t="inlineStr">
        <is>
          <t>Boleto Bancário</t>
        </is>
      </c>
      <c r="L420" t="inlineStr">
        <is>
          <t>Utilidades</t>
        </is>
      </c>
      <c r="M420" t="inlineStr">
        <is>
          <t>Higiene e Limpeza</t>
        </is>
      </c>
      <c r="N420" t="inlineStr">
        <is>
          <t>2533</t>
        </is>
      </c>
      <c r="O420" t="inlineStr">
        <is>
          <t>Documentação Aprovada</t>
        </is>
      </c>
      <c r="P420" t="inlineStr">
        <is>
          <t>Aprovado Diretoria</t>
        </is>
      </c>
      <c r="Q420" t="inlineStr">
        <is>
          <t>Aprovado Caixa</t>
        </is>
      </c>
      <c r="R420" t="inlineStr">
        <is>
          <t>Pago</t>
        </is>
      </c>
      <c r="S420" t="n">
        <v>182</v>
      </c>
      <c r="T420" t="inlineStr">
        <is>
          <t>Love - Shibari - Kamino</t>
        </is>
      </c>
    </row>
    <row r="421">
      <c r="A421" t="n">
        <v>174895</v>
      </c>
      <c r="B421" t="n">
        <v>128</v>
      </c>
      <c r="C421" t="inlineStr">
        <is>
          <t>Love Cabaret</t>
        </is>
      </c>
      <c r="D421" t="inlineStr">
        <is>
          <t>PARAMU COMERCIO E REPRESENTACAO DE PRODUTOS ALIMENTICIOS</t>
        </is>
      </c>
      <c r="E421" t="n">
        <v>451.7</v>
      </c>
      <c r="F421" s="27" t="n">
        <v>45979</v>
      </c>
      <c r="G421" s="27" t="n">
        <v>45978</v>
      </c>
      <c r="H421" s="27" t="n">
        <v>45978</v>
      </c>
      <c r="I421" s="27" t="n">
        <v>45965</v>
      </c>
      <c r="J421" s="27" t="n">
        <v>45972</v>
      </c>
      <c r="K421" t="inlineStr">
        <is>
          <t>Boleto Bancário</t>
        </is>
      </c>
      <c r="L421" t="inlineStr">
        <is>
          <t>Custo Mercadoria Vendida</t>
        </is>
      </c>
      <c r="M421" t="inlineStr">
        <is>
          <t>Insumos - Alimentos</t>
        </is>
      </c>
      <c r="N421" t="inlineStr">
        <is>
          <t>15910</t>
        </is>
      </c>
      <c r="O421" t="inlineStr">
        <is>
          <t>Documentação Aprovada</t>
        </is>
      </c>
      <c r="P421" t="inlineStr">
        <is>
          <t>Aprovado Diretoria</t>
        </is>
      </c>
      <c r="Q421" t="inlineStr">
        <is>
          <t>Aprovado Caixa</t>
        </is>
      </c>
      <c r="R421" t="inlineStr">
        <is>
          <t>Pago</t>
        </is>
      </c>
      <c r="S421" t="n">
        <v>182</v>
      </c>
      <c r="T421" t="inlineStr">
        <is>
          <t>Love - Shibari - Kamino</t>
        </is>
      </c>
    </row>
    <row r="422">
      <c r="A422" t="n">
        <v>174892</v>
      </c>
      <c r="B422" t="n">
        <v>128</v>
      </c>
      <c r="C422" t="inlineStr">
        <is>
          <t>Love Cabaret</t>
        </is>
      </c>
      <c r="D422" t="inlineStr">
        <is>
          <t xml:space="preserve">LATICINIOS FIOR DITALIA LTDA </t>
        </is>
      </c>
      <c r="E422" t="n">
        <v>326.75</v>
      </c>
      <c r="F422" s="27" t="n">
        <v>45980</v>
      </c>
      <c r="G422" s="27" t="n">
        <v>45978</v>
      </c>
      <c r="H422" s="27" t="n">
        <v>45978</v>
      </c>
      <c r="I422" s="27" t="n">
        <v>45964</v>
      </c>
      <c r="J422" s="27" t="n">
        <v>45972</v>
      </c>
      <c r="K422" t="inlineStr">
        <is>
          <t>Boleto Bancário</t>
        </is>
      </c>
      <c r="L422" t="inlineStr">
        <is>
          <t>Custo Mercadoria Vendida</t>
        </is>
      </c>
      <c r="M422" t="inlineStr">
        <is>
          <t>Insumos - Alimentos</t>
        </is>
      </c>
      <c r="N422" t="inlineStr">
        <is>
          <t>40169</t>
        </is>
      </c>
      <c r="O422" t="inlineStr">
        <is>
          <t>Documentação Aprovada</t>
        </is>
      </c>
      <c r="P422" t="inlineStr">
        <is>
          <t>Aprovado Diretoria</t>
        </is>
      </c>
      <c r="Q422" t="inlineStr">
        <is>
          <t>Aprovado Caixa</t>
        </is>
      </c>
      <c r="R422" t="inlineStr">
        <is>
          <t>Pago</t>
        </is>
      </c>
      <c r="S422" t="n">
        <v>182</v>
      </c>
      <c r="T422" t="inlineStr">
        <is>
          <t>Love - Shibari - Kamino</t>
        </is>
      </c>
    </row>
    <row r="423">
      <c r="A423" t="n">
        <v>174890</v>
      </c>
      <c r="B423" t="n">
        <v>128</v>
      </c>
      <c r="C423" t="inlineStr">
        <is>
          <t>Love Cabaret</t>
        </is>
      </c>
      <c r="D423" t="inlineStr">
        <is>
          <t>MULTIFRANGOS COMERCIO DE ALIMENTOS LTDA</t>
        </is>
      </c>
      <c r="E423" t="n">
        <v>377.79</v>
      </c>
      <c r="F423" s="27" t="n">
        <v>45979</v>
      </c>
      <c r="G423" s="27" t="n">
        <v>45978</v>
      </c>
      <c r="H423" s="27" t="n">
        <v>45978</v>
      </c>
      <c r="I423" s="27" t="n">
        <v>45965</v>
      </c>
      <c r="J423" s="27" t="n">
        <v>45972</v>
      </c>
      <c r="K423" t="inlineStr">
        <is>
          <t>Boleto Bancário</t>
        </is>
      </c>
      <c r="L423" t="inlineStr">
        <is>
          <t>Custo Mercadoria Vendida</t>
        </is>
      </c>
      <c r="M423" t="inlineStr">
        <is>
          <t>Insumos - Alimentos</t>
        </is>
      </c>
      <c r="N423" t="inlineStr">
        <is>
          <t>926230</t>
        </is>
      </c>
      <c r="O423" t="inlineStr">
        <is>
          <t>Documentação Aprovada</t>
        </is>
      </c>
      <c r="P423" t="inlineStr">
        <is>
          <t>Aprovado Diretoria</t>
        </is>
      </c>
      <c r="Q423" t="inlineStr">
        <is>
          <t>Aprovado Caixa</t>
        </is>
      </c>
      <c r="R423" t="inlineStr">
        <is>
          <t>Pago</t>
        </is>
      </c>
      <c r="S423" t="n">
        <v>182</v>
      </c>
      <c r="T423" t="inlineStr">
        <is>
          <t>Love - Shibari - Kamino</t>
        </is>
      </c>
    </row>
    <row r="424">
      <c r="A424" t="n">
        <v>173864</v>
      </c>
      <c r="B424" t="n">
        <v>128</v>
      </c>
      <c r="C424" t="inlineStr">
        <is>
          <t>Love Cabaret</t>
        </is>
      </c>
      <c r="D424" t="inlineStr">
        <is>
          <t>PJ 00192022 - FELIPE FERREIRA FRANCA</t>
        </is>
      </c>
      <c r="E424" t="n">
        <v>1600</v>
      </c>
      <c r="F424" s="27" t="n">
        <v>45971</v>
      </c>
      <c r="G424" s="27" t="n">
        <v>45978</v>
      </c>
      <c r="H424" s="27" t="n">
        <v>45978</v>
      </c>
      <c r="I424" s="27" t="n">
        <v>45971</v>
      </c>
      <c r="J424" s="27" t="n">
        <v>45971</v>
      </c>
      <c r="K424" t="inlineStr">
        <is>
          <t>Transferência Bancária ou Pix</t>
        </is>
      </c>
      <c r="L424" t="inlineStr">
        <is>
          <t>Utilidades</t>
        </is>
      </c>
      <c r="M424" t="inlineStr">
        <is>
          <t>Agua/Esgoto</t>
        </is>
      </c>
      <c r="N424" t="inlineStr">
        <is>
          <t>1092025</t>
        </is>
      </c>
      <c r="O424" t="inlineStr">
        <is>
          <t>Documentação Aprovada</t>
        </is>
      </c>
      <c r="P424" t="inlineStr">
        <is>
          <t>Aprovado Diretoria</t>
        </is>
      </c>
      <c r="Q424" t="inlineStr">
        <is>
          <t>Aprovado Caixa</t>
        </is>
      </c>
      <c r="R424" t="inlineStr">
        <is>
          <t>Pago</t>
        </is>
      </c>
      <c r="S424" t="n">
        <v>182</v>
      </c>
      <c r="T424" t="inlineStr">
        <is>
          <t>Love - Shibari - Kamino</t>
        </is>
      </c>
    </row>
    <row r="425">
      <c r="A425" t="n">
        <v>174887</v>
      </c>
      <c r="B425" t="n">
        <v>128</v>
      </c>
      <c r="C425" t="inlineStr">
        <is>
          <t>Love Cabaret</t>
        </is>
      </c>
      <c r="D425" t="inlineStr">
        <is>
          <t>PSSS LTDA</t>
        </is>
      </c>
      <c r="E425" t="n">
        <v>621.75</v>
      </c>
      <c r="F425" s="27" t="n">
        <v>45978</v>
      </c>
      <c r="G425" s="27" t="n">
        <v>45978</v>
      </c>
      <c r="H425" s="27" t="n">
        <v>45978</v>
      </c>
      <c r="I425" s="27" t="n">
        <v>45954</v>
      </c>
      <c r="J425" s="27" t="n">
        <v>45972</v>
      </c>
      <c r="K425" t="inlineStr">
        <is>
          <t>Boleto Bancário</t>
        </is>
      </c>
      <c r="L425" t="inlineStr">
        <is>
          <t>Utilidades</t>
        </is>
      </c>
      <c r="M425" t="inlineStr">
        <is>
          <t>Higiene e Limpeza</t>
        </is>
      </c>
      <c r="N425" t="inlineStr">
        <is>
          <t>2510</t>
        </is>
      </c>
      <c r="O425" t="inlineStr">
        <is>
          <t>Documentação Aprovada</t>
        </is>
      </c>
      <c r="P425" t="inlineStr">
        <is>
          <t>Aprovado Diretoria</t>
        </is>
      </c>
      <c r="Q425" t="inlineStr">
        <is>
          <t>Aprovado Caixa</t>
        </is>
      </c>
      <c r="R425" t="inlineStr">
        <is>
          <t>Pago</t>
        </is>
      </c>
      <c r="S425" t="n">
        <v>182</v>
      </c>
      <c r="T425" t="inlineStr">
        <is>
          <t>Love - Shibari - Kamino</t>
        </is>
      </c>
    </row>
    <row r="426">
      <c r="A426" t="n">
        <v>174884</v>
      </c>
      <c r="B426" t="n">
        <v>128</v>
      </c>
      <c r="C426" t="inlineStr">
        <is>
          <t>Love Cabaret</t>
        </is>
      </c>
      <c r="D426" t="inlineStr">
        <is>
          <t>ZAHIL IMPORTADORA LTDA</t>
        </is>
      </c>
      <c r="E426" t="n">
        <v>722.71</v>
      </c>
      <c r="F426" s="27" t="n">
        <v>45978</v>
      </c>
      <c r="G426" s="27" t="n">
        <v>45978</v>
      </c>
      <c r="H426" s="27" t="n">
        <v>45978</v>
      </c>
      <c r="I426" s="27" t="n">
        <v>45959</v>
      </c>
      <c r="J426" s="27" t="n">
        <v>45972</v>
      </c>
      <c r="K426" t="inlineStr">
        <is>
          <t>Boleto Bancário</t>
        </is>
      </c>
      <c r="L426" t="inlineStr">
        <is>
          <t>Custo Mercadoria Vendida</t>
        </is>
      </c>
      <c r="M426" t="inlineStr">
        <is>
          <t>Insumos - Bebidas</t>
        </is>
      </c>
      <c r="N426" t="inlineStr">
        <is>
          <t>258872</t>
        </is>
      </c>
      <c r="O426" t="inlineStr">
        <is>
          <t>Documentação Aprovada</t>
        </is>
      </c>
      <c r="P426" t="inlineStr">
        <is>
          <t>Aprovado Diretoria</t>
        </is>
      </c>
      <c r="Q426" t="inlineStr">
        <is>
          <t>Aprovado Caixa</t>
        </is>
      </c>
      <c r="R426" t="inlineStr">
        <is>
          <t>Pago</t>
        </is>
      </c>
      <c r="S426" t="n">
        <v>182</v>
      </c>
      <c r="T426" t="inlineStr">
        <is>
          <t>Love - Shibari - Kamino</t>
        </is>
      </c>
    </row>
    <row r="427">
      <c r="A427" t="n">
        <v>174886</v>
      </c>
      <c r="B427" t="n">
        <v>128</v>
      </c>
      <c r="C427" t="inlineStr">
        <is>
          <t>Love Cabaret</t>
        </is>
      </c>
      <c r="D427" t="inlineStr">
        <is>
          <t>ZAHIL IMPORTADORA LTDA</t>
        </is>
      </c>
      <c r="E427" t="n">
        <v>578.72</v>
      </c>
      <c r="F427" s="27" t="n">
        <v>45978</v>
      </c>
      <c r="G427" s="27" t="n">
        <v>45978</v>
      </c>
      <c r="H427" s="27" t="n">
        <v>45978</v>
      </c>
      <c r="I427" s="27" t="n">
        <v>45960</v>
      </c>
      <c r="J427" s="27" t="n">
        <v>45972</v>
      </c>
      <c r="K427" t="inlineStr">
        <is>
          <t>Boleto Bancário</t>
        </is>
      </c>
      <c r="L427" t="inlineStr">
        <is>
          <t>Custo Mercadoria Vendida</t>
        </is>
      </c>
      <c r="M427" t="inlineStr">
        <is>
          <t>Insumos - Bebidas</t>
        </is>
      </c>
      <c r="N427" t="inlineStr">
        <is>
          <t>259012</t>
        </is>
      </c>
      <c r="O427" t="inlineStr">
        <is>
          <t>Documentação Aprovada</t>
        </is>
      </c>
      <c r="P427" t="inlineStr">
        <is>
          <t>Aprovado Diretoria</t>
        </is>
      </c>
      <c r="Q427" t="inlineStr">
        <is>
          <t>Aprovado Caixa</t>
        </is>
      </c>
      <c r="R427" t="inlineStr">
        <is>
          <t>Pago</t>
        </is>
      </c>
      <c r="S427" t="n">
        <v>182</v>
      </c>
      <c r="T427" t="inlineStr">
        <is>
          <t>Love - Shibari - Kamino</t>
        </is>
      </c>
    </row>
    <row r="428">
      <c r="A428" t="n">
        <v>174888</v>
      </c>
      <c r="B428" t="n">
        <v>128</v>
      </c>
      <c r="C428" t="inlineStr">
        <is>
          <t>Love Cabaret</t>
        </is>
      </c>
      <c r="D428" t="inlineStr">
        <is>
          <t>CECILIA TSUYACO ARAKI SILVA LTDA</t>
        </is>
      </c>
      <c r="E428" t="n">
        <v>160.93</v>
      </c>
      <c r="F428" s="27" t="n">
        <v>45978</v>
      </c>
      <c r="G428" s="27" t="n">
        <v>45978</v>
      </c>
      <c r="H428" s="27" t="n">
        <v>45978</v>
      </c>
      <c r="I428" s="27" t="n">
        <v>45964</v>
      </c>
      <c r="J428" s="27" t="n">
        <v>45972</v>
      </c>
      <c r="K428" t="inlineStr">
        <is>
          <t>Boleto Bancário</t>
        </is>
      </c>
      <c r="L428" t="inlineStr">
        <is>
          <t>Custo Mercadoria Vendida</t>
        </is>
      </c>
      <c r="M428" t="inlineStr">
        <is>
          <t>Insumos - Alimentos</t>
        </is>
      </c>
      <c r="N428" t="inlineStr">
        <is>
          <t>380951</t>
        </is>
      </c>
      <c r="O428" t="inlineStr">
        <is>
          <t>Documentação Aprovada</t>
        </is>
      </c>
      <c r="P428" t="inlineStr">
        <is>
          <t>Aprovado Diretoria</t>
        </is>
      </c>
      <c r="Q428" t="inlineStr">
        <is>
          <t>Aprovado Caixa</t>
        </is>
      </c>
      <c r="R428" t="inlineStr">
        <is>
          <t>Pago</t>
        </is>
      </c>
      <c r="S428" t="n">
        <v>182</v>
      </c>
      <c r="T428" t="inlineStr">
        <is>
          <t>Love - Shibari - Kamino</t>
        </is>
      </c>
    </row>
    <row r="429">
      <c r="A429" t="n">
        <v>102834</v>
      </c>
      <c r="B429" t="n">
        <v>128</v>
      </c>
      <c r="C429" t="inlineStr">
        <is>
          <t>Love Cabaret</t>
        </is>
      </c>
      <c r="D429" t="inlineStr">
        <is>
          <t>HEADCHEF SEGURANCA DOS ALIM E GARANTIA D</t>
        </is>
      </c>
      <c r="E429" t="n">
        <v>891.0599999999999</v>
      </c>
      <c r="F429" s="27" t="n">
        <v>45976</v>
      </c>
      <c r="G429" s="27" t="n">
        <v>45978</v>
      </c>
      <c r="H429" s="27" t="n">
        <v>45978</v>
      </c>
      <c r="I429" s="27" t="n">
        <v>45956</v>
      </c>
      <c r="J429" s="27" t="n"/>
      <c r="K429" t="inlineStr">
        <is>
          <t>Boleto Bancário</t>
        </is>
      </c>
      <c r="L429" t="inlineStr">
        <is>
          <t>Serviços de Terceiros</t>
        </is>
      </c>
      <c r="M429" t="inlineStr">
        <is>
          <t>Assessoria de Alimentos e Bebidas</t>
        </is>
      </c>
      <c r="N429" t="inlineStr">
        <is>
          <t>1616</t>
        </is>
      </c>
      <c r="O429" t="inlineStr">
        <is>
          <t>Documentação Aprovada</t>
        </is>
      </c>
      <c r="P429" t="inlineStr">
        <is>
          <t>Aprovado Diretoria</t>
        </is>
      </c>
      <c r="Q429" t="inlineStr">
        <is>
          <t>Aprovado Caixa</t>
        </is>
      </c>
      <c r="R429" t="inlineStr">
        <is>
          <t>Pago</t>
        </is>
      </c>
      <c r="S429" t="n">
        <v>182</v>
      </c>
      <c r="T429" t="inlineStr">
        <is>
          <t>Love - Shibari - Kamino</t>
        </is>
      </c>
    </row>
    <row r="430">
      <c r="A430" t="n">
        <v>176002</v>
      </c>
      <c r="B430" t="n">
        <v>128</v>
      </c>
      <c r="C430" t="inlineStr">
        <is>
          <t>Love Cabaret</t>
        </is>
      </c>
      <c r="D430" t="inlineStr">
        <is>
          <t>BRADESCO SA</t>
        </is>
      </c>
      <c r="E430" t="n">
        <v>186.85</v>
      </c>
      <c r="F430" s="27" t="n">
        <v>45975</v>
      </c>
      <c r="G430" s="27" t="n"/>
      <c r="H430" s="27" t="n">
        <v>45975</v>
      </c>
      <c r="I430" s="27" t="n">
        <v>45975</v>
      </c>
      <c r="J430" s="27" t="n"/>
      <c r="K430" t="inlineStr">
        <is>
          <t xml:space="preserve">Debito Automático </t>
        </is>
      </c>
      <c r="L430" t="inlineStr">
        <is>
          <t>Despesas Financeiras</t>
        </is>
      </c>
      <c r="M430" t="inlineStr">
        <is>
          <t>Tarifas Bancárias</t>
        </is>
      </c>
      <c r="O430" t="inlineStr">
        <is>
          <t>Documentação Aprovada</t>
        </is>
      </c>
      <c r="P430" t="inlineStr">
        <is>
          <t>Aprovado Diretoria</t>
        </is>
      </c>
      <c r="Q430" t="inlineStr">
        <is>
          <t>Aprovado Caixa</t>
        </is>
      </c>
      <c r="R430" t="inlineStr">
        <is>
          <t>Pago</t>
        </is>
      </c>
      <c r="S430" t="n">
        <v>115</v>
      </c>
      <c r="T430" t="inlineStr">
        <is>
          <t>Love - Shibari - Bradesco</t>
        </is>
      </c>
    </row>
    <row r="431">
      <c r="A431" t="n">
        <v>175455</v>
      </c>
      <c r="B431" t="n">
        <v>128</v>
      </c>
      <c r="C431" t="inlineStr">
        <is>
          <t>Love Cabaret</t>
        </is>
      </c>
      <c r="D431" t="inlineStr">
        <is>
          <t>BRADESCO SA</t>
        </is>
      </c>
      <c r="E431" t="n">
        <v>9.800000000000001</v>
      </c>
      <c r="F431" s="27" t="n">
        <v>45973</v>
      </c>
      <c r="G431" s="27" t="n"/>
      <c r="H431" s="27" t="n">
        <v>45973</v>
      </c>
      <c r="I431" s="27" t="n">
        <v>45973</v>
      </c>
      <c r="J431" s="27" t="n"/>
      <c r="K431" t="inlineStr">
        <is>
          <t xml:space="preserve">Debito Automático </t>
        </is>
      </c>
      <c r="L431" t="inlineStr">
        <is>
          <t>Despesas Financeiras</t>
        </is>
      </c>
      <c r="M431" t="inlineStr">
        <is>
          <t>Tarifas Bancárias</t>
        </is>
      </c>
      <c r="O431" t="inlineStr">
        <is>
          <t>Documentação Aprovada</t>
        </is>
      </c>
      <c r="P431" t="inlineStr">
        <is>
          <t>Aprovado Diretoria</t>
        </is>
      </c>
      <c r="Q431" t="inlineStr">
        <is>
          <t>Aprovado Caixa</t>
        </is>
      </c>
      <c r="R431" t="inlineStr">
        <is>
          <t>Pago</t>
        </is>
      </c>
      <c r="S431" t="n">
        <v>115</v>
      </c>
      <c r="T431" t="inlineStr">
        <is>
          <t>Love - Shibari - Bradesco</t>
        </is>
      </c>
    </row>
    <row r="432">
      <c r="A432" t="n">
        <v>171608</v>
      </c>
      <c r="B432" t="n">
        <v>128</v>
      </c>
      <c r="C432" t="inlineStr">
        <is>
          <t>Love Cabaret</t>
        </is>
      </c>
      <c r="D432" t="inlineStr">
        <is>
          <t xml:space="preserve">LATICINIOS FIOR DITALIA LTDA </t>
        </is>
      </c>
      <c r="E432" t="n">
        <v>326.75</v>
      </c>
      <c r="F432" s="27" t="n">
        <v>45973</v>
      </c>
      <c r="G432" s="27" t="n">
        <v>45973</v>
      </c>
      <c r="H432" s="27" t="n">
        <v>45973</v>
      </c>
      <c r="I432" s="27" t="n">
        <v>45957</v>
      </c>
      <c r="J432" s="27" t="n">
        <v>45961</v>
      </c>
      <c r="K432" t="inlineStr">
        <is>
          <t>Boleto Bancário</t>
        </is>
      </c>
      <c r="L432" t="inlineStr">
        <is>
          <t>Custo Mercadoria Vendida</t>
        </is>
      </c>
      <c r="M432" t="inlineStr">
        <is>
          <t>Insumos - Alimentos</t>
        </is>
      </c>
      <c r="N432" t="inlineStr">
        <is>
          <t>40008</t>
        </is>
      </c>
      <c r="O432" t="inlineStr">
        <is>
          <t>Documentação Aprovada</t>
        </is>
      </c>
      <c r="P432" t="inlineStr">
        <is>
          <t>Aprovado Diretoria</t>
        </is>
      </c>
      <c r="Q432" t="inlineStr">
        <is>
          <t>Aprovado Caixa</t>
        </is>
      </c>
      <c r="R432" t="inlineStr">
        <is>
          <t>Pago</t>
        </is>
      </c>
      <c r="S432" t="n">
        <v>182</v>
      </c>
      <c r="T432" t="inlineStr">
        <is>
          <t>Love - Shibari - Kamino</t>
        </is>
      </c>
    </row>
    <row r="433">
      <c r="A433" t="n">
        <v>171240</v>
      </c>
      <c r="B433" t="n">
        <v>128</v>
      </c>
      <c r="C433" t="inlineStr">
        <is>
          <t>Love Cabaret</t>
        </is>
      </c>
      <c r="D433" t="inlineStr">
        <is>
          <t>NILTON CESAR STORINO JUNIOR</t>
        </is>
      </c>
      <c r="E433" t="n">
        <v>600</v>
      </c>
      <c r="F433" s="27" t="n">
        <v>45975</v>
      </c>
      <c r="G433" s="27" t="n">
        <v>45973</v>
      </c>
      <c r="H433" s="27" t="n">
        <v>45973</v>
      </c>
      <c r="I433" s="27" t="n">
        <v>45960</v>
      </c>
      <c r="J433" s="27" t="n">
        <v>45960</v>
      </c>
      <c r="K433" t="inlineStr">
        <is>
          <t>Transferência Bancária ou Pix</t>
        </is>
      </c>
      <c r="L433" t="inlineStr">
        <is>
          <t>Patrocínio</t>
        </is>
      </c>
      <c r="M433" t="inlineStr">
        <is>
          <t>(+) Receitas de Patrocínio</t>
        </is>
      </c>
      <c r="N433" t="inlineStr">
        <is>
          <t>117</t>
        </is>
      </c>
      <c r="O433" t="inlineStr">
        <is>
          <t>Documentação Aprovada</t>
        </is>
      </c>
      <c r="P433" t="inlineStr">
        <is>
          <t>Aprovado Diretoria</t>
        </is>
      </c>
      <c r="Q433" t="inlineStr">
        <is>
          <t>Aprovado Caixa</t>
        </is>
      </c>
      <c r="R433" t="inlineStr">
        <is>
          <t>Pago</t>
        </is>
      </c>
      <c r="S433" t="n">
        <v>182</v>
      </c>
      <c r="T433" t="inlineStr">
        <is>
          <t>Love - Shibari - Kamino</t>
        </is>
      </c>
    </row>
    <row r="434">
      <c r="A434" t="n">
        <v>171710</v>
      </c>
      <c r="B434" t="n">
        <v>128</v>
      </c>
      <c r="C434" t="inlineStr">
        <is>
          <t>Love Cabaret</t>
        </is>
      </c>
      <c r="D434" t="inlineStr">
        <is>
          <t>ESTAFF SOLUCOES TECNOLOGICAS DE AGENCIAMENTO LTDA</t>
        </is>
      </c>
      <c r="E434" t="n">
        <v>15892.26</v>
      </c>
      <c r="F434" s="27" t="n">
        <v>45973</v>
      </c>
      <c r="G434" s="27" t="n">
        <v>45973</v>
      </c>
      <c r="H434" s="27" t="n">
        <v>45973</v>
      </c>
      <c r="I434" s="27" t="n">
        <v>45964</v>
      </c>
      <c r="J434" s="27" t="n">
        <v>45961</v>
      </c>
      <c r="K434" t="inlineStr">
        <is>
          <t>Boleto Bancário</t>
        </is>
      </c>
      <c r="L434" t="inlineStr">
        <is>
          <t>Mão de Obra - Extra</t>
        </is>
      </c>
      <c r="M434" t="inlineStr">
        <is>
          <t>Mão de Obra Extra</t>
        </is>
      </c>
      <c r="N434" t="inlineStr">
        <is>
          <t>675764286</t>
        </is>
      </c>
      <c r="O434" t="inlineStr">
        <is>
          <t>Documentação Aprovada</t>
        </is>
      </c>
      <c r="P434" t="inlineStr">
        <is>
          <t>Aprovado Diretoria</t>
        </is>
      </c>
      <c r="Q434" t="inlineStr">
        <is>
          <t>Aprovado Caixa</t>
        </is>
      </c>
      <c r="R434" t="inlineStr">
        <is>
          <t>Pago</t>
        </is>
      </c>
      <c r="S434" t="n">
        <v>182</v>
      </c>
      <c r="T434" t="inlineStr">
        <is>
          <t>Love - Shibari - Kamino</t>
        </is>
      </c>
    </row>
    <row r="435">
      <c r="A435" t="n">
        <v>172954</v>
      </c>
      <c r="B435" t="n">
        <v>128</v>
      </c>
      <c r="C435" t="inlineStr">
        <is>
          <t>Love Cabaret</t>
        </is>
      </c>
      <c r="D435" t="inlineStr">
        <is>
          <t>STEMME TELECOMUNICACOES DO BRASIL LTDA</t>
        </is>
      </c>
      <c r="E435" t="n">
        <v>306.18</v>
      </c>
      <c r="F435" s="27" t="n">
        <v>45971</v>
      </c>
      <c r="G435" s="27" t="n">
        <v>45973</v>
      </c>
      <c r="H435" s="27" t="n">
        <v>45973</v>
      </c>
      <c r="I435" s="27" t="n">
        <v>45961</v>
      </c>
      <c r="J435" s="27" t="n">
        <v>45967</v>
      </c>
      <c r="K435" t="inlineStr">
        <is>
          <t>Boleto Bancário</t>
        </is>
      </c>
      <c r="L435" t="inlineStr">
        <is>
          <t>Informática e TI</t>
        </is>
      </c>
      <c r="M435" t="inlineStr">
        <is>
          <t>Internet</t>
        </is>
      </c>
      <c r="N435" t="inlineStr">
        <is>
          <t>8615</t>
        </is>
      </c>
      <c r="O435" t="inlineStr">
        <is>
          <t>Documentação Aprovada</t>
        </is>
      </c>
      <c r="P435" t="inlineStr">
        <is>
          <t>Aprovado Diretoria</t>
        </is>
      </c>
      <c r="Q435" t="inlineStr">
        <is>
          <t>Aprovado Caixa</t>
        </is>
      </c>
      <c r="R435" t="inlineStr">
        <is>
          <t>Pago</t>
        </is>
      </c>
      <c r="S435" t="n">
        <v>182</v>
      </c>
      <c r="T435" t="inlineStr">
        <is>
          <t>Love - Shibari - Kamino</t>
        </is>
      </c>
    </row>
    <row r="436">
      <c r="A436" t="n">
        <v>168598</v>
      </c>
      <c r="B436" t="n">
        <v>128</v>
      </c>
      <c r="C436" t="inlineStr">
        <is>
          <t>Love Cabaret</t>
        </is>
      </c>
      <c r="D436" t="inlineStr">
        <is>
          <t xml:space="preserve">HORTIFRUTI DO CHEF LTDA </t>
        </is>
      </c>
      <c r="E436" t="n">
        <v>275</v>
      </c>
      <c r="F436" s="27" t="n">
        <v>45974</v>
      </c>
      <c r="G436" s="27" t="n">
        <v>45973</v>
      </c>
      <c r="H436" s="27" t="n">
        <v>45973</v>
      </c>
      <c r="I436" s="27" t="n">
        <v>45946</v>
      </c>
      <c r="J436" s="27" t="n">
        <v>45947</v>
      </c>
      <c r="K436" t="inlineStr">
        <is>
          <t>Boleto Bancário</t>
        </is>
      </c>
      <c r="L436" t="inlineStr">
        <is>
          <t>Custo Mercadoria Vendida</t>
        </is>
      </c>
      <c r="M436" t="inlineStr">
        <is>
          <t>Insumos - Alimentos</t>
        </is>
      </c>
      <c r="N436" t="inlineStr">
        <is>
          <t>28118</t>
        </is>
      </c>
      <c r="O436" t="inlineStr">
        <is>
          <t>Documentação Aprovada</t>
        </is>
      </c>
      <c r="P436" t="inlineStr">
        <is>
          <t>Aprovado Diretoria</t>
        </is>
      </c>
      <c r="Q436" t="inlineStr">
        <is>
          <t>Aprovado Caixa</t>
        </is>
      </c>
      <c r="R436" t="inlineStr">
        <is>
          <t>Pago</t>
        </is>
      </c>
      <c r="S436" t="n">
        <v>182</v>
      </c>
      <c r="T436" t="inlineStr">
        <is>
          <t>Love - Shibari - Kamino</t>
        </is>
      </c>
    </row>
    <row r="437">
      <c r="A437" t="n">
        <v>168152</v>
      </c>
      <c r="B437" t="n">
        <v>128</v>
      </c>
      <c r="C437" t="inlineStr">
        <is>
          <t>Love Cabaret</t>
        </is>
      </c>
      <c r="D437" t="inlineStr">
        <is>
          <t>EMPORIO M&amp;L COMERCIO DE ALIM E BEBIDAS LTDA</t>
        </is>
      </c>
      <c r="E437" t="n">
        <v>937.22</v>
      </c>
      <c r="F437" s="27" t="n">
        <v>45974</v>
      </c>
      <c r="G437" s="27" t="n">
        <v>45973</v>
      </c>
      <c r="H437" s="27" t="n">
        <v>45973</v>
      </c>
      <c r="I437" s="27" t="n">
        <v>45943</v>
      </c>
      <c r="J437" s="27" t="n">
        <v>45946</v>
      </c>
      <c r="K437" t="inlineStr">
        <is>
          <t>Boleto Bancário</t>
        </is>
      </c>
      <c r="L437" t="inlineStr">
        <is>
          <t>Custo Mercadoria Vendida</t>
        </is>
      </c>
      <c r="M437" t="inlineStr">
        <is>
          <t>Insumos - Alimentos</t>
        </is>
      </c>
      <c r="N437" t="inlineStr">
        <is>
          <t>475883</t>
        </is>
      </c>
      <c r="O437" t="inlineStr">
        <is>
          <t>Documentação Aprovada</t>
        </is>
      </c>
      <c r="P437" t="inlineStr">
        <is>
          <t>Aprovado Diretoria</t>
        </is>
      </c>
      <c r="Q437" t="inlineStr">
        <is>
          <t>Aprovado Caixa</t>
        </is>
      </c>
      <c r="R437" t="inlineStr">
        <is>
          <t>Pago</t>
        </is>
      </c>
      <c r="S437" t="n">
        <v>182</v>
      </c>
      <c r="T437" t="inlineStr">
        <is>
          <t>Love - Shibari - Kamino</t>
        </is>
      </c>
    </row>
    <row r="438">
      <c r="A438" t="n">
        <v>168164</v>
      </c>
      <c r="B438" t="n">
        <v>128</v>
      </c>
      <c r="C438" t="inlineStr">
        <is>
          <t>Love Cabaret</t>
        </is>
      </c>
      <c r="D438" t="inlineStr">
        <is>
          <t>EMPORIO M&amp;M LTDA - ME</t>
        </is>
      </c>
      <c r="E438" t="n">
        <v>140</v>
      </c>
      <c r="F438" s="27" t="n">
        <v>45974</v>
      </c>
      <c r="G438" s="27" t="n">
        <v>45973</v>
      </c>
      <c r="H438" s="27" t="n">
        <v>45973</v>
      </c>
      <c r="I438" s="27" t="n">
        <v>45944</v>
      </c>
      <c r="J438" s="27" t="n">
        <v>45946</v>
      </c>
      <c r="K438" t="inlineStr">
        <is>
          <t>Boleto Bancário</t>
        </is>
      </c>
      <c r="L438" t="inlineStr">
        <is>
          <t>Custo Mercadoria Vendida</t>
        </is>
      </c>
      <c r="M438" t="inlineStr">
        <is>
          <t>Insumos - Alimentos</t>
        </is>
      </c>
      <c r="N438" t="inlineStr">
        <is>
          <t>7466</t>
        </is>
      </c>
      <c r="O438" t="inlineStr">
        <is>
          <t>Documentação Aprovada</t>
        </is>
      </c>
      <c r="P438" t="inlineStr">
        <is>
          <t>Aprovado Diretoria</t>
        </is>
      </c>
      <c r="Q438" t="inlineStr">
        <is>
          <t>Aprovado Caixa</t>
        </is>
      </c>
      <c r="R438" t="inlineStr">
        <is>
          <t>Pago</t>
        </is>
      </c>
    </row>
    <row r="439">
      <c r="A439" t="n">
        <v>168585</v>
      </c>
      <c r="B439" t="n">
        <v>128</v>
      </c>
      <c r="C439" t="inlineStr">
        <is>
          <t>Love Cabaret</t>
        </is>
      </c>
      <c r="D439" t="inlineStr">
        <is>
          <t>WINES4U COMÉRCIO, IMPORTAÇÃO E EXPORTAÇÃO DE VINHOS LTDA</t>
        </is>
      </c>
      <c r="E439" t="n">
        <v>2754</v>
      </c>
      <c r="F439" s="27" t="n">
        <v>45974</v>
      </c>
      <c r="G439" s="27" t="n">
        <v>45973</v>
      </c>
      <c r="H439" s="27" t="n">
        <v>45973</v>
      </c>
      <c r="I439" s="27" t="n">
        <v>45944</v>
      </c>
      <c r="J439" s="27" t="n">
        <v>45947</v>
      </c>
      <c r="K439" t="inlineStr">
        <is>
          <t>Boleto Bancário</t>
        </is>
      </c>
      <c r="L439" t="inlineStr">
        <is>
          <t>Custo Mercadoria Vendida</t>
        </is>
      </c>
      <c r="M439" t="inlineStr">
        <is>
          <t>Insumos - Bebidas</t>
        </is>
      </c>
      <c r="N439" t="inlineStr">
        <is>
          <t>14458</t>
        </is>
      </c>
      <c r="O439" t="inlineStr">
        <is>
          <t>Documentação Aprovada</t>
        </is>
      </c>
      <c r="P439" t="inlineStr">
        <is>
          <t>Aprovado Diretoria</t>
        </is>
      </c>
      <c r="Q439" t="inlineStr">
        <is>
          <t>Aprovado Caixa</t>
        </is>
      </c>
      <c r="R439" t="inlineStr">
        <is>
          <t>Pago</t>
        </is>
      </c>
      <c r="S439" t="n">
        <v>182</v>
      </c>
      <c r="T439" t="inlineStr">
        <is>
          <t>Love - Shibari - Kamino</t>
        </is>
      </c>
    </row>
    <row r="440">
      <c r="A440" t="n">
        <v>102884</v>
      </c>
      <c r="B440" t="n">
        <v>128</v>
      </c>
      <c r="C440" t="inlineStr">
        <is>
          <t>Love Cabaret</t>
        </is>
      </c>
      <c r="D440" t="inlineStr">
        <is>
          <t>MACHINE SEGURANCA PATRIMONIAL LTDA</t>
        </is>
      </c>
      <c r="E440" t="n">
        <v>4636.95</v>
      </c>
      <c r="F440" s="27" t="n">
        <v>45976</v>
      </c>
      <c r="G440" s="27" t="n">
        <v>45973</v>
      </c>
      <c r="H440" s="27" t="n">
        <v>45973</v>
      </c>
      <c r="I440" s="27" t="n">
        <v>45961</v>
      </c>
      <c r="J440" s="27" t="n"/>
      <c r="K440" t="inlineStr">
        <is>
          <t>Transferência Bancária ou Pix</t>
        </is>
      </c>
      <c r="L440" t="inlineStr">
        <is>
          <t>Serviços de Terceiros</t>
        </is>
      </c>
      <c r="M440" t="inlineStr">
        <is>
          <t>Serviços de Segurança</t>
        </is>
      </c>
      <c r="N440" t="inlineStr">
        <is>
          <t>846</t>
        </is>
      </c>
      <c r="O440" t="inlineStr">
        <is>
          <t>Documentação Aprovada</t>
        </is>
      </c>
      <c r="P440" t="inlineStr">
        <is>
          <t>Aprovado Diretoria</t>
        </is>
      </c>
      <c r="Q440" t="inlineStr">
        <is>
          <t>Aprovado Caixa</t>
        </is>
      </c>
      <c r="R440" t="inlineStr">
        <is>
          <t>Pago</t>
        </is>
      </c>
      <c r="S440" t="n">
        <v>182</v>
      </c>
      <c r="T440" t="inlineStr">
        <is>
          <t>Love - Shibari - Kamino</t>
        </is>
      </c>
    </row>
    <row r="441">
      <c r="A441" t="n">
        <v>96967</v>
      </c>
      <c r="B441" t="n">
        <v>128</v>
      </c>
      <c r="C441" t="inlineStr">
        <is>
          <t>Love Cabaret</t>
        </is>
      </c>
      <c r="D441" t="inlineStr">
        <is>
          <t xml:space="preserve">DUO COMUNICA LTDA </t>
        </is>
      </c>
      <c r="E441" t="n">
        <v>2000</v>
      </c>
      <c r="F441" s="27" t="n">
        <v>45975</v>
      </c>
      <c r="G441" s="27" t="n">
        <v>45973</v>
      </c>
      <c r="H441" s="27" t="n">
        <v>45973</v>
      </c>
      <c r="I441" s="27" t="n">
        <v>45948</v>
      </c>
      <c r="J441" s="27" t="n"/>
      <c r="K441" t="inlineStr">
        <is>
          <t>Transferência Bancária ou Pix</t>
        </is>
      </c>
      <c r="L441" t="inlineStr">
        <is>
          <t>Informática e TI</t>
        </is>
      </c>
      <c r="M441" t="inlineStr">
        <is>
          <t>Sistemas Gerais - Comunicação e Marketing</t>
        </is>
      </c>
      <c r="N441" t="inlineStr">
        <is>
          <t>606</t>
        </is>
      </c>
      <c r="O441" t="inlineStr">
        <is>
          <t>Documentação Aprovada</t>
        </is>
      </c>
      <c r="P441" t="inlineStr">
        <is>
          <t>Aprovado Diretoria</t>
        </is>
      </c>
      <c r="Q441" t="inlineStr">
        <is>
          <t>Aprovado Caixa</t>
        </is>
      </c>
      <c r="R441" t="inlineStr">
        <is>
          <t>Pago</t>
        </is>
      </c>
      <c r="S441" t="n">
        <v>182</v>
      </c>
      <c r="T441" t="inlineStr">
        <is>
          <t>Love - Shibari - Kamino</t>
        </is>
      </c>
    </row>
    <row r="442">
      <c r="A442" t="n">
        <v>172877</v>
      </c>
      <c r="B442" t="n">
        <v>128</v>
      </c>
      <c r="C442" t="inlineStr">
        <is>
          <t>Love Cabaret</t>
        </is>
      </c>
      <c r="D442" t="inlineStr">
        <is>
          <t>AURORA ALVORADA ESTACIONAMENTO E LANCHONETE LTDA</t>
        </is>
      </c>
      <c r="E442" t="n">
        <v>341.31</v>
      </c>
      <c r="F442" s="27" t="n">
        <v>45972</v>
      </c>
      <c r="G442" s="27" t="n">
        <v>45972</v>
      </c>
      <c r="H442" s="27" t="n">
        <v>45972</v>
      </c>
      <c r="I442" s="27" t="n">
        <v>45965</v>
      </c>
      <c r="J442" s="27" t="n">
        <v>45966</v>
      </c>
      <c r="K442" t="inlineStr">
        <is>
          <t>Boleto Bancário</t>
        </is>
      </c>
      <c r="L442" t="inlineStr">
        <is>
          <t>Mão de Obra - Benefícios</t>
        </is>
      </c>
      <c r="M442" t="inlineStr">
        <is>
          <t xml:space="preserve">  -  Alimentação Funcionário</t>
        </is>
      </c>
      <c r="N442" t="inlineStr">
        <is>
          <t>11169</t>
        </is>
      </c>
      <c r="O442" t="inlineStr">
        <is>
          <t>Documentação Aprovada</t>
        </is>
      </c>
      <c r="P442" t="inlineStr">
        <is>
          <t>Aprovado Diretoria</t>
        </is>
      </c>
      <c r="Q442" t="inlineStr">
        <is>
          <t>Aprovado Caixa</t>
        </is>
      </c>
      <c r="R442" t="inlineStr">
        <is>
          <t>Pago</t>
        </is>
      </c>
      <c r="S442" t="n">
        <v>182</v>
      </c>
      <c r="T442" t="inlineStr">
        <is>
          <t>Love - Shibari - Kamino</t>
        </is>
      </c>
    </row>
    <row r="443">
      <c r="A443" t="n">
        <v>172878</v>
      </c>
      <c r="B443" t="n">
        <v>128</v>
      </c>
      <c r="C443" t="inlineStr">
        <is>
          <t>Love Cabaret</t>
        </is>
      </c>
      <c r="D443" t="inlineStr">
        <is>
          <t>ICE4PROS FABRICA DE GELO LTDA</t>
        </is>
      </c>
      <c r="E443" t="n">
        <v>563.5</v>
      </c>
      <c r="F443" s="27" t="n">
        <v>45971</v>
      </c>
      <c r="G443" s="27" t="n">
        <v>45971</v>
      </c>
      <c r="H443" s="27" t="n">
        <v>45971</v>
      </c>
      <c r="I443" s="27" t="n">
        <v>45960</v>
      </c>
      <c r="J443" s="27" t="n">
        <v>45966</v>
      </c>
      <c r="K443" t="inlineStr">
        <is>
          <t>Boleto Bancário</t>
        </is>
      </c>
      <c r="L443" t="inlineStr">
        <is>
          <t>Custo Mercadoria Vendida</t>
        </is>
      </c>
      <c r="M443" t="inlineStr">
        <is>
          <t>Insumos - Bebidas</t>
        </is>
      </c>
      <c r="N443" t="inlineStr">
        <is>
          <t>88082</t>
        </is>
      </c>
      <c r="O443" t="inlineStr">
        <is>
          <t>Documentação Aprovada</t>
        </is>
      </c>
      <c r="P443" t="inlineStr">
        <is>
          <t>Aprovado Diretoria</t>
        </is>
      </c>
      <c r="Q443" t="inlineStr">
        <is>
          <t>Aprovado Caixa</t>
        </is>
      </c>
      <c r="R443" t="inlineStr">
        <is>
          <t>Pago</t>
        </is>
      </c>
      <c r="S443" t="n">
        <v>182</v>
      </c>
      <c r="T443" t="inlineStr">
        <is>
          <t>Love - Shibari - Kamino</t>
        </is>
      </c>
    </row>
    <row r="444">
      <c r="A444" t="n">
        <v>172791</v>
      </c>
      <c r="B444" t="n">
        <v>128</v>
      </c>
      <c r="C444" t="inlineStr">
        <is>
          <t>Love Cabaret</t>
        </is>
      </c>
      <c r="D444" t="inlineStr">
        <is>
          <t xml:space="preserve">DIVIFY OPERACAO DE PLATAFORMA ELETRONICA LTDA </t>
        </is>
      </c>
      <c r="E444" t="n">
        <v>1000</v>
      </c>
      <c r="F444" s="27" t="n">
        <v>45971</v>
      </c>
      <c r="G444" s="27" t="n">
        <v>45971</v>
      </c>
      <c r="H444" s="27" t="n">
        <v>45971</v>
      </c>
      <c r="I444" s="27" t="n">
        <v>45950</v>
      </c>
      <c r="J444" s="27" t="n">
        <v>45966</v>
      </c>
      <c r="K444" t="inlineStr">
        <is>
          <t>Boleto Bancário</t>
        </is>
      </c>
      <c r="L444" t="inlineStr">
        <is>
          <t>Serviços de Terceiros</t>
        </is>
      </c>
      <c r="M444" t="inlineStr">
        <is>
          <t>Assessoria em Geral</t>
        </is>
      </c>
      <c r="N444" t="inlineStr">
        <is>
          <t>316</t>
        </is>
      </c>
      <c r="O444" t="inlineStr">
        <is>
          <t>Documentação Aprovada</t>
        </is>
      </c>
      <c r="P444" t="inlineStr">
        <is>
          <t>Aprovado Diretoria</t>
        </is>
      </c>
      <c r="Q444" t="inlineStr">
        <is>
          <t>Aprovado Caixa</t>
        </is>
      </c>
      <c r="R444" t="inlineStr">
        <is>
          <t>Pago</t>
        </is>
      </c>
      <c r="S444" t="n">
        <v>182</v>
      </c>
      <c r="T444" t="inlineStr">
        <is>
          <t>Love - Shibari - Kamino</t>
        </is>
      </c>
    </row>
    <row r="445">
      <c r="A445" t="n">
        <v>172874</v>
      </c>
      <c r="B445" t="n">
        <v>128</v>
      </c>
      <c r="C445" t="inlineStr">
        <is>
          <t>Love Cabaret</t>
        </is>
      </c>
      <c r="D445" t="inlineStr">
        <is>
          <t>MARIO PEDRO FELICIANO - HORTIFRUTI</t>
        </is>
      </c>
      <c r="E445" t="n">
        <v>112.28</v>
      </c>
      <c r="F445" s="27" t="n">
        <v>45971</v>
      </c>
      <c r="G445" s="27" t="n">
        <v>45971</v>
      </c>
      <c r="H445" s="27" t="n">
        <v>45971</v>
      </c>
      <c r="I445" s="27" t="n">
        <v>45944</v>
      </c>
      <c r="J445" s="27" t="n">
        <v>45966</v>
      </c>
      <c r="K445" t="inlineStr">
        <is>
          <t>Boleto Bancário</t>
        </is>
      </c>
      <c r="L445" t="inlineStr">
        <is>
          <t>Custo Mercadoria Vendida</t>
        </is>
      </c>
      <c r="M445" t="inlineStr">
        <is>
          <t>Insumos - Alimentos</t>
        </is>
      </c>
      <c r="N445" t="inlineStr">
        <is>
          <t>455300</t>
        </is>
      </c>
      <c r="O445" t="inlineStr">
        <is>
          <t>Documentação Aprovada</t>
        </is>
      </c>
      <c r="P445" t="inlineStr">
        <is>
          <t>Aprovado Diretoria</t>
        </is>
      </c>
      <c r="Q445" t="inlineStr">
        <is>
          <t>Aprovado Caixa</t>
        </is>
      </c>
      <c r="R445" t="inlineStr">
        <is>
          <t>Pago</t>
        </is>
      </c>
      <c r="S445" t="n">
        <v>182</v>
      </c>
      <c r="T445" t="inlineStr">
        <is>
          <t>Love - Shibari - Kamino</t>
        </is>
      </c>
    </row>
    <row r="446">
      <c r="A446" t="n">
        <v>173699</v>
      </c>
      <c r="B446" t="n">
        <v>128</v>
      </c>
      <c r="C446" t="inlineStr">
        <is>
          <t>Love Cabaret</t>
        </is>
      </c>
      <c r="D446" t="inlineStr">
        <is>
          <t>ESHOWS PROMOCOES ARTISTICAS LTDA</t>
        </is>
      </c>
      <c r="E446" t="n">
        <v>35455</v>
      </c>
      <c r="F446" s="27" t="n">
        <v>45973</v>
      </c>
      <c r="G446" s="27" t="n">
        <v>45971</v>
      </c>
      <c r="H446" s="27" t="n">
        <v>45971</v>
      </c>
      <c r="I446" s="27" t="n">
        <v>45962</v>
      </c>
      <c r="J446" s="27" t="n">
        <v>45969</v>
      </c>
      <c r="K446" t="inlineStr">
        <is>
          <t>Boleto Bancário</t>
        </is>
      </c>
      <c r="L446" t="inlineStr">
        <is>
          <t>Custos Artístico Geral</t>
        </is>
      </c>
      <c r="M446" t="inlineStr">
        <is>
          <t>Cachê de Músicos e Artistas</t>
        </is>
      </c>
      <c r="N446" t="inlineStr">
        <is>
          <t>673412467</t>
        </is>
      </c>
      <c r="O446" t="inlineStr">
        <is>
          <t>Documentação Aprovada</t>
        </is>
      </c>
      <c r="P446" t="inlineStr">
        <is>
          <t>Aprovado Diretoria</t>
        </is>
      </c>
      <c r="Q446" t="inlineStr">
        <is>
          <t>Aprovado Caixa</t>
        </is>
      </c>
      <c r="R446" t="inlineStr">
        <is>
          <t>Pago</t>
        </is>
      </c>
      <c r="S446" t="n">
        <v>182</v>
      </c>
      <c r="T446" t="inlineStr">
        <is>
          <t>Love - Shibari - Kamino</t>
        </is>
      </c>
    </row>
    <row r="447">
      <c r="A447" t="n">
        <v>170356</v>
      </c>
      <c r="B447" t="n">
        <v>128</v>
      </c>
      <c r="C447" t="inlineStr">
        <is>
          <t>Love Cabaret</t>
        </is>
      </c>
      <c r="D447" t="inlineStr">
        <is>
          <t xml:space="preserve">ALEXANDRE SANTOS DA CRUZ </t>
        </is>
      </c>
      <c r="E447" t="n">
        <v>3805.6</v>
      </c>
      <c r="F447" s="27" t="n">
        <v>45971</v>
      </c>
      <c r="G447" s="27" t="n">
        <v>45971</v>
      </c>
      <c r="H447" s="27" t="n">
        <v>45971</v>
      </c>
      <c r="I447" s="27" t="n">
        <v>45956</v>
      </c>
      <c r="J447" s="27" t="n">
        <v>45958</v>
      </c>
      <c r="K447" t="inlineStr">
        <is>
          <t>Transferência Bancária ou Pix</t>
        </is>
      </c>
      <c r="L447" t="inlineStr">
        <is>
          <t>Custos Artístico Geral</t>
        </is>
      </c>
      <c r="M447" t="inlineStr">
        <is>
          <t>Cachê de Músicos e Artistas</t>
        </is>
      </c>
      <c r="N447" t="inlineStr">
        <is>
          <t>162</t>
        </is>
      </c>
      <c r="O447" t="inlineStr">
        <is>
          <t>Documentação Aprovada</t>
        </is>
      </c>
      <c r="P447" t="inlineStr">
        <is>
          <t>Aprovado Diretoria</t>
        </is>
      </c>
      <c r="Q447" t="inlineStr">
        <is>
          <t>Aprovado Caixa</t>
        </is>
      </c>
      <c r="R447" t="inlineStr">
        <is>
          <t>Pago</t>
        </is>
      </c>
      <c r="S447" t="n">
        <v>182</v>
      </c>
      <c r="T447" t="inlineStr">
        <is>
          <t>Love - Shibari - Kamino</t>
        </is>
      </c>
    </row>
    <row r="448">
      <c r="A448" t="n">
        <v>172125</v>
      </c>
      <c r="B448" t="n">
        <v>128</v>
      </c>
      <c r="C448" t="inlineStr">
        <is>
          <t>Love Cabaret</t>
        </is>
      </c>
      <c r="D448" t="inlineStr">
        <is>
          <t>PJ 00302023 - ANDRES LA ROSA</t>
        </is>
      </c>
      <c r="E448" t="n">
        <v>1350</v>
      </c>
      <c r="F448" s="27" t="n">
        <v>45971</v>
      </c>
      <c r="G448" s="27" t="n">
        <v>45971</v>
      </c>
      <c r="H448" s="27" t="n">
        <v>45971</v>
      </c>
      <c r="I448" s="27" t="n">
        <v>45931</v>
      </c>
      <c r="J448" s="27" t="n">
        <v>45964</v>
      </c>
      <c r="K448" t="inlineStr">
        <is>
          <t>Transferência Bancária ou Pix</t>
        </is>
      </c>
      <c r="L448" t="inlineStr">
        <is>
          <t>Gorjeta</t>
        </is>
      </c>
      <c r="M448" t="inlineStr">
        <is>
          <t xml:space="preserve">  -  Comissões e Gorjeta</t>
        </is>
      </c>
      <c r="N448" t="inlineStr">
        <is>
          <t>71</t>
        </is>
      </c>
      <c r="O448" t="inlineStr">
        <is>
          <t>Documentação Aprovada</t>
        </is>
      </c>
      <c r="P448" t="inlineStr">
        <is>
          <t>Aprovado Diretoria</t>
        </is>
      </c>
      <c r="Q448" t="inlineStr">
        <is>
          <t>Aprovado Caixa</t>
        </is>
      </c>
      <c r="R448" t="inlineStr">
        <is>
          <t>Pago</t>
        </is>
      </c>
      <c r="S448" t="n">
        <v>182</v>
      </c>
      <c r="T448" t="inlineStr">
        <is>
          <t>Love - Shibari - Kamino</t>
        </is>
      </c>
    </row>
    <row r="449">
      <c r="A449" t="n">
        <v>172123</v>
      </c>
      <c r="B449" t="n">
        <v>128</v>
      </c>
      <c r="C449" t="inlineStr">
        <is>
          <t>Love Cabaret</t>
        </is>
      </c>
      <c r="D449" t="inlineStr">
        <is>
          <t>PJ23824129000110 - FELIPE DA COSTA SANTOS</t>
        </is>
      </c>
      <c r="E449" t="n">
        <v>30</v>
      </c>
      <c r="F449" s="27" t="n">
        <v>45971</v>
      </c>
      <c r="G449" s="27" t="n">
        <v>45971</v>
      </c>
      <c r="H449" s="27" t="n">
        <v>45971</v>
      </c>
      <c r="I449" s="27" t="n">
        <v>45931</v>
      </c>
      <c r="J449" s="27" t="n">
        <v>45964</v>
      </c>
      <c r="K449" t="inlineStr">
        <is>
          <t>Transferência Bancária ou Pix</t>
        </is>
      </c>
      <c r="L449" t="inlineStr">
        <is>
          <t>Gorjeta</t>
        </is>
      </c>
      <c r="M449" t="inlineStr">
        <is>
          <t xml:space="preserve">  -  Comissões e Gorjeta</t>
        </is>
      </c>
      <c r="N449" t="inlineStr">
        <is>
          <t>61</t>
        </is>
      </c>
      <c r="O449" t="inlineStr">
        <is>
          <t>Documentação Aprovada</t>
        </is>
      </c>
      <c r="P449" t="inlineStr">
        <is>
          <t>Aprovado Diretoria</t>
        </is>
      </c>
      <c r="Q449" t="inlineStr">
        <is>
          <t>Aprovado Caixa</t>
        </is>
      </c>
      <c r="R449" t="inlineStr">
        <is>
          <t>Pago</t>
        </is>
      </c>
      <c r="S449" t="n">
        <v>182</v>
      </c>
      <c r="T449" t="inlineStr">
        <is>
          <t>Love - Shibari - Kamino</t>
        </is>
      </c>
    </row>
    <row r="450">
      <c r="A450" t="n">
        <v>172127</v>
      </c>
      <c r="B450" t="n">
        <v>128</v>
      </c>
      <c r="C450" t="inlineStr">
        <is>
          <t>Love Cabaret</t>
        </is>
      </c>
      <c r="D450" t="inlineStr">
        <is>
          <t xml:space="preserve">DOUGLAS FELIPE DOMINGUES GONCALVES </t>
        </is>
      </c>
      <c r="E450" t="n">
        <v>1130</v>
      </c>
      <c r="F450" s="27" t="n">
        <v>45971</v>
      </c>
      <c r="G450" s="27" t="n">
        <v>45971</v>
      </c>
      <c r="H450" s="27" t="n">
        <v>45971</v>
      </c>
      <c r="I450" s="27" t="n">
        <v>45931</v>
      </c>
      <c r="J450" s="27" t="n">
        <v>45964</v>
      </c>
      <c r="K450" t="inlineStr">
        <is>
          <t>Transferência Bancária ou Pix</t>
        </is>
      </c>
      <c r="L450" t="inlineStr">
        <is>
          <t>Gorjeta</t>
        </is>
      </c>
      <c r="M450" t="inlineStr">
        <is>
          <t xml:space="preserve">  -  Comissões e Gorjeta</t>
        </is>
      </c>
      <c r="N450" t="inlineStr">
        <is>
          <t>55</t>
        </is>
      </c>
      <c r="O450" t="inlineStr">
        <is>
          <t>Documentação Aprovada</t>
        </is>
      </c>
      <c r="P450" t="inlineStr">
        <is>
          <t>Aprovado Diretoria</t>
        </is>
      </c>
      <c r="Q450" t="inlineStr">
        <is>
          <t>Aprovado Caixa</t>
        </is>
      </c>
      <c r="R450" t="inlineStr">
        <is>
          <t>Pago</t>
        </is>
      </c>
      <c r="S450" t="n">
        <v>182</v>
      </c>
      <c r="T450" t="inlineStr">
        <is>
          <t>Love - Shibari - Kamino</t>
        </is>
      </c>
    </row>
    <row r="451">
      <c r="A451" t="n">
        <v>171678</v>
      </c>
      <c r="B451" t="n">
        <v>128</v>
      </c>
      <c r="C451" t="inlineStr">
        <is>
          <t>Love Cabaret</t>
        </is>
      </c>
      <c r="D451" t="inlineStr">
        <is>
          <t xml:space="preserve">HNK BR INDUSTRIA DE BEBIDAS </t>
        </is>
      </c>
      <c r="E451" t="n">
        <v>2352.32</v>
      </c>
      <c r="F451" s="27" t="n">
        <v>45973</v>
      </c>
      <c r="G451" s="27" t="n">
        <v>45971</v>
      </c>
      <c r="H451" s="27" t="n">
        <v>45971</v>
      </c>
      <c r="I451" s="27" t="n">
        <v>45958</v>
      </c>
      <c r="J451" s="27" t="n">
        <v>45961</v>
      </c>
      <c r="K451" t="inlineStr">
        <is>
          <t>Boleto Bancário</t>
        </is>
      </c>
      <c r="L451" t="inlineStr">
        <is>
          <t>Custo Mercadoria Vendida</t>
        </is>
      </c>
      <c r="M451" t="inlineStr">
        <is>
          <t>Insumos - Bebidas</t>
        </is>
      </c>
      <c r="N451" t="inlineStr">
        <is>
          <t>87647</t>
        </is>
      </c>
      <c r="O451" t="inlineStr">
        <is>
          <t>Documentação Aprovada</t>
        </is>
      </c>
      <c r="P451" t="inlineStr">
        <is>
          <t>Aprovado Diretoria</t>
        </is>
      </c>
      <c r="Q451" t="inlineStr">
        <is>
          <t>Aprovado Caixa</t>
        </is>
      </c>
      <c r="R451" t="inlineStr">
        <is>
          <t>Pago</t>
        </is>
      </c>
      <c r="S451" t="n">
        <v>182</v>
      </c>
      <c r="T451" t="inlineStr">
        <is>
          <t>Love - Shibari - Kamino</t>
        </is>
      </c>
    </row>
    <row r="452">
      <c r="A452" t="n">
        <v>171621</v>
      </c>
      <c r="B452" t="n">
        <v>128</v>
      </c>
      <c r="C452" t="inlineStr">
        <is>
          <t>Love Cabaret</t>
        </is>
      </c>
      <c r="D452" t="inlineStr">
        <is>
          <t>CECILIA TSUYACO ARAKI SILVA LTDA</t>
        </is>
      </c>
      <c r="E452" t="n">
        <v>318.1</v>
      </c>
      <c r="F452" s="27" t="n">
        <v>45971</v>
      </c>
      <c r="G452" s="27" t="n">
        <v>45971</v>
      </c>
      <c r="H452" s="27" t="n">
        <v>45971</v>
      </c>
      <c r="I452" s="27" t="n">
        <v>45957</v>
      </c>
      <c r="J452" s="27" t="n">
        <v>45961</v>
      </c>
      <c r="K452" t="inlineStr">
        <is>
          <t>Boleto Bancário</t>
        </is>
      </c>
      <c r="L452" t="inlineStr">
        <is>
          <t>Custo Mercadoria Vendida</t>
        </is>
      </c>
      <c r="M452" t="inlineStr">
        <is>
          <t>Insumos - Alimentos</t>
        </is>
      </c>
      <c r="N452" t="inlineStr">
        <is>
          <t>380513</t>
        </is>
      </c>
      <c r="O452" t="inlineStr">
        <is>
          <t>Documentação Aprovada</t>
        </is>
      </c>
      <c r="P452" t="inlineStr">
        <is>
          <t>Aprovado Diretoria</t>
        </is>
      </c>
      <c r="Q452" t="inlineStr">
        <is>
          <t>Aprovado Caixa</t>
        </is>
      </c>
      <c r="R452" t="inlineStr">
        <is>
          <t>Pago</t>
        </is>
      </c>
      <c r="S452" t="n">
        <v>182</v>
      </c>
      <c r="T452" t="inlineStr">
        <is>
          <t>Love - Shibari - Kamino</t>
        </is>
      </c>
    </row>
    <row r="453">
      <c r="A453" t="n">
        <v>171612</v>
      </c>
      <c r="B453" t="n">
        <v>128</v>
      </c>
      <c r="C453" t="inlineStr">
        <is>
          <t>Love Cabaret</t>
        </is>
      </c>
      <c r="D453" t="inlineStr">
        <is>
          <t xml:space="preserve">FORTE ALIMENTOS COM. IMPORTAÇÃO LTDA </t>
        </is>
      </c>
      <c r="E453" t="n">
        <v>324.9</v>
      </c>
      <c r="F453" s="27" t="n">
        <v>45972</v>
      </c>
      <c r="G453" s="27" t="n">
        <v>45971</v>
      </c>
      <c r="H453" s="27" t="n">
        <v>45971</v>
      </c>
      <c r="I453" s="27" t="n">
        <v>45957</v>
      </c>
      <c r="J453" s="27" t="n">
        <v>45961</v>
      </c>
      <c r="K453" t="inlineStr">
        <is>
          <t>Boleto Bancário</t>
        </is>
      </c>
      <c r="L453" t="inlineStr">
        <is>
          <t>Custo Mercadoria Vendida</t>
        </is>
      </c>
      <c r="M453" t="inlineStr">
        <is>
          <t>Insumos - Alimentos</t>
        </is>
      </c>
      <c r="N453" t="inlineStr">
        <is>
          <t>339879</t>
        </is>
      </c>
      <c r="O453" t="inlineStr">
        <is>
          <t>Documentação Aprovada</t>
        </is>
      </c>
      <c r="P453" t="inlineStr">
        <is>
          <t>Aprovado Diretoria</t>
        </is>
      </c>
      <c r="Q453" t="inlineStr">
        <is>
          <t>Aprovado Caixa</t>
        </is>
      </c>
      <c r="R453" t="inlineStr">
        <is>
          <t>Pago</t>
        </is>
      </c>
      <c r="S453" t="n">
        <v>182</v>
      </c>
      <c r="T453" t="inlineStr">
        <is>
          <t>Love - Shibari - Kamino</t>
        </is>
      </c>
    </row>
    <row r="454">
      <c r="A454" t="n">
        <v>171610</v>
      </c>
      <c r="B454" t="n">
        <v>128</v>
      </c>
      <c r="C454" t="inlineStr">
        <is>
          <t>Love Cabaret</t>
        </is>
      </c>
      <c r="D454" t="inlineStr">
        <is>
          <t xml:space="preserve">FORTE ALIMENTOS COM. IMPORTAÇÃO LTDA </t>
        </is>
      </c>
      <c r="E454" t="n">
        <v>441.38</v>
      </c>
      <c r="F454" s="27" t="n">
        <v>45972</v>
      </c>
      <c r="G454" s="27" t="n">
        <v>45971</v>
      </c>
      <c r="H454" s="27" t="n">
        <v>45971</v>
      </c>
      <c r="I454" s="27" t="n">
        <v>45957</v>
      </c>
      <c r="J454" s="27" t="n">
        <v>45961</v>
      </c>
      <c r="K454" t="inlineStr">
        <is>
          <t>Boleto Bancário</t>
        </is>
      </c>
      <c r="L454" t="inlineStr">
        <is>
          <t>Custo Mercadoria Vendida</t>
        </is>
      </c>
      <c r="M454" t="inlineStr">
        <is>
          <t>Insumos - Alimentos</t>
        </is>
      </c>
      <c r="N454" t="inlineStr">
        <is>
          <t>339865</t>
        </is>
      </c>
      <c r="O454" t="inlineStr">
        <is>
          <t>Documentação Aprovada</t>
        </is>
      </c>
      <c r="P454" t="inlineStr">
        <is>
          <t>Aprovado Diretoria</t>
        </is>
      </c>
      <c r="Q454" t="inlineStr">
        <is>
          <t>Aprovado Caixa</t>
        </is>
      </c>
      <c r="R454" t="inlineStr">
        <is>
          <t>Pago</t>
        </is>
      </c>
      <c r="S454" t="n">
        <v>182</v>
      </c>
      <c r="T454" t="inlineStr">
        <is>
          <t>Love - Shibari - Kamino</t>
        </is>
      </c>
    </row>
    <row r="455">
      <c r="A455" t="n">
        <v>171629</v>
      </c>
      <c r="B455" t="n">
        <v>128</v>
      </c>
      <c r="C455" t="inlineStr">
        <is>
          <t>Love Cabaret</t>
        </is>
      </c>
      <c r="D455" t="inlineStr">
        <is>
          <t>ASSAZ ORGANICA INDUSTRIA E COMERCIO DE ALIMENTOS LTDA</t>
        </is>
      </c>
      <c r="E455" t="n">
        <v>49.75</v>
      </c>
      <c r="F455" s="27" t="n">
        <v>45973</v>
      </c>
      <c r="G455" s="27" t="n">
        <v>45971</v>
      </c>
      <c r="H455" s="27" t="n">
        <v>45971</v>
      </c>
      <c r="I455" s="27" t="n">
        <v>45958</v>
      </c>
      <c r="J455" s="27" t="n">
        <v>45961</v>
      </c>
      <c r="K455" t="inlineStr">
        <is>
          <t>Boleto Bancário</t>
        </is>
      </c>
      <c r="L455" t="inlineStr">
        <is>
          <t>Custo Mercadoria Vendida</t>
        </is>
      </c>
      <c r="M455" t="inlineStr">
        <is>
          <t>Insumos - Alimentos</t>
        </is>
      </c>
      <c r="N455" t="inlineStr">
        <is>
          <t>24054</t>
        </is>
      </c>
      <c r="O455" t="inlineStr">
        <is>
          <t>Documentação Aprovada</t>
        </is>
      </c>
      <c r="P455" t="inlineStr">
        <is>
          <t>Aprovado Diretoria</t>
        </is>
      </c>
      <c r="Q455" t="inlineStr">
        <is>
          <t>Aprovado Caixa</t>
        </is>
      </c>
      <c r="R455" t="inlineStr">
        <is>
          <t>Pago</t>
        </is>
      </c>
      <c r="S455" t="n">
        <v>182</v>
      </c>
      <c r="T455" t="inlineStr">
        <is>
          <t>Love - Shibari - Kamino</t>
        </is>
      </c>
    </row>
    <row r="456">
      <c r="A456" t="n">
        <v>171671</v>
      </c>
      <c r="B456" t="n">
        <v>128</v>
      </c>
      <c r="C456" t="inlineStr">
        <is>
          <t>Love Cabaret</t>
        </is>
      </c>
      <c r="D456" t="inlineStr">
        <is>
          <t>CECILIA TSUYACO ARAKI SILVA LTDA</t>
        </is>
      </c>
      <c r="E456" t="n">
        <v>18.75</v>
      </c>
      <c r="F456" s="27" t="n">
        <v>45972</v>
      </c>
      <c r="G456" s="27" t="n">
        <v>45971</v>
      </c>
      <c r="H456" s="27" t="n">
        <v>45971</v>
      </c>
      <c r="I456" s="27" t="n">
        <v>45958</v>
      </c>
      <c r="J456" s="27" t="n">
        <v>45961</v>
      </c>
      <c r="K456" t="inlineStr">
        <is>
          <t>Boleto Bancário</t>
        </is>
      </c>
      <c r="L456" t="inlineStr">
        <is>
          <t>Custo Mercadoria Vendida</t>
        </is>
      </c>
      <c r="M456" t="inlineStr">
        <is>
          <t>Insumos - Alimentos</t>
        </is>
      </c>
      <c r="N456" t="inlineStr">
        <is>
          <t>380633</t>
        </is>
      </c>
      <c r="O456" t="inlineStr">
        <is>
          <t>Documentação Aprovada</t>
        </is>
      </c>
      <c r="P456" t="inlineStr">
        <is>
          <t>Aprovado Diretoria</t>
        </is>
      </c>
      <c r="Q456" t="inlineStr">
        <is>
          <t>Aprovado Caixa</t>
        </is>
      </c>
      <c r="R456" t="inlineStr">
        <is>
          <t>Pago</t>
        </is>
      </c>
      <c r="S456" t="n">
        <v>182</v>
      </c>
      <c r="T456" t="inlineStr">
        <is>
          <t>Love - Shibari - Kamino</t>
        </is>
      </c>
    </row>
    <row r="457">
      <c r="A457" t="n">
        <v>171676</v>
      </c>
      <c r="B457" t="n">
        <v>128</v>
      </c>
      <c r="C457" t="inlineStr">
        <is>
          <t>Love Cabaret</t>
        </is>
      </c>
      <c r="D457" t="inlineStr">
        <is>
          <t xml:space="preserve">HNK BR INDUSTRIA DE BEBIDAS </t>
        </is>
      </c>
      <c r="E457" t="n">
        <v>10271.12</v>
      </c>
      <c r="F457" s="27" t="n">
        <v>45973</v>
      </c>
      <c r="G457" s="27" t="n">
        <v>45971</v>
      </c>
      <c r="H457" s="27" t="n">
        <v>45971</v>
      </c>
      <c r="I457" s="27" t="n">
        <v>45958</v>
      </c>
      <c r="J457" s="27" t="n">
        <v>45961</v>
      </c>
      <c r="K457" t="inlineStr">
        <is>
          <t>Boleto Bancário</t>
        </is>
      </c>
      <c r="L457" t="inlineStr">
        <is>
          <t>Custo Mercadoria Vendida</t>
        </is>
      </c>
      <c r="M457" t="inlineStr">
        <is>
          <t>Insumos - Bebidas</t>
        </is>
      </c>
      <c r="N457" t="inlineStr">
        <is>
          <t>87644</t>
        </is>
      </c>
      <c r="O457" t="inlineStr">
        <is>
          <t>Documentação Aprovada</t>
        </is>
      </c>
      <c r="P457" t="inlineStr">
        <is>
          <t>Aprovado Diretoria</t>
        </is>
      </c>
      <c r="Q457" t="inlineStr">
        <is>
          <t>Aprovado Caixa</t>
        </is>
      </c>
      <c r="R457" t="inlineStr">
        <is>
          <t>Pago</t>
        </is>
      </c>
      <c r="S457" t="n">
        <v>182</v>
      </c>
      <c r="T457" t="inlineStr">
        <is>
          <t>Love - Shibari - Kamino</t>
        </is>
      </c>
    </row>
    <row r="458">
      <c r="A458" t="n">
        <v>171732</v>
      </c>
      <c r="B458" t="n">
        <v>128</v>
      </c>
      <c r="C458" t="inlineStr">
        <is>
          <t>Love Cabaret</t>
        </is>
      </c>
      <c r="D458" t="inlineStr">
        <is>
          <t>IRMANDADE DA SANTA CASA DE MISERICORDIA DE SAO PAULO</t>
        </is>
      </c>
      <c r="E458" t="n">
        <v>32594.19</v>
      </c>
      <c r="F458" s="27" t="n">
        <v>45971</v>
      </c>
      <c r="G458" s="27" t="n">
        <v>45971</v>
      </c>
      <c r="H458" s="27" t="n">
        <v>45971</v>
      </c>
      <c r="I458" s="27" t="n">
        <v>45961</v>
      </c>
      <c r="J458" s="27" t="n">
        <v>45961</v>
      </c>
      <c r="K458" t="inlineStr">
        <is>
          <t>Boleto Bancário</t>
        </is>
      </c>
      <c r="L458" t="inlineStr">
        <is>
          <t>Custo de Ocupação</t>
        </is>
      </c>
      <c r="M458" t="inlineStr">
        <is>
          <t>Aluguel de Imoveis</t>
        </is>
      </c>
      <c r="N458" t="inlineStr">
        <is>
          <t xml:space="preserve">159364 </t>
        </is>
      </c>
      <c r="O458" t="inlineStr">
        <is>
          <t>Documentação Aprovada</t>
        </is>
      </c>
      <c r="P458" t="inlineStr">
        <is>
          <t>Aprovado Diretoria</t>
        </is>
      </c>
      <c r="Q458" t="inlineStr">
        <is>
          <t>Aprovado Caixa</t>
        </is>
      </c>
      <c r="R458" t="inlineStr">
        <is>
          <t>Pago</t>
        </is>
      </c>
      <c r="S458" t="n">
        <v>182</v>
      </c>
      <c r="T458" t="inlineStr">
        <is>
          <t>Love - Shibari - Kamino</t>
        </is>
      </c>
    </row>
    <row r="459">
      <c r="A459" t="n">
        <v>171725</v>
      </c>
      <c r="B459" t="n">
        <v>128</v>
      </c>
      <c r="C459" t="inlineStr">
        <is>
          <t>Love Cabaret</t>
        </is>
      </c>
      <c r="D459" t="inlineStr">
        <is>
          <t>CICLO PARTICIPACOES LTDA</t>
        </is>
      </c>
      <c r="E459" t="n">
        <v>5906.28</v>
      </c>
      <c r="F459" s="27" t="n">
        <v>45971</v>
      </c>
      <c r="G459" s="27" t="n">
        <v>45971</v>
      </c>
      <c r="H459" s="27" t="n">
        <v>45971</v>
      </c>
      <c r="I459" s="27" t="n">
        <v>45945</v>
      </c>
      <c r="J459" s="27" t="n">
        <v>45961</v>
      </c>
      <c r="K459" t="inlineStr">
        <is>
          <t>Boleto Bancário</t>
        </is>
      </c>
      <c r="L459" t="inlineStr">
        <is>
          <t>Custo de Ocupação</t>
        </is>
      </c>
      <c r="M459" t="inlineStr">
        <is>
          <t>IPTU</t>
        </is>
      </c>
      <c r="N459" t="inlineStr">
        <is>
          <t>102025</t>
        </is>
      </c>
      <c r="O459" t="inlineStr">
        <is>
          <t>Documentação Aprovada</t>
        </is>
      </c>
      <c r="P459" t="inlineStr">
        <is>
          <t>Aprovado Diretoria</t>
        </is>
      </c>
      <c r="Q459" t="inlineStr">
        <is>
          <t>Aprovado Caixa</t>
        </is>
      </c>
      <c r="R459" t="inlineStr">
        <is>
          <t>Pago</t>
        </is>
      </c>
      <c r="S459" t="n">
        <v>182</v>
      </c>
      <c r="T459" t="inlineStr">
        <is>
          <t>Love - Shibari - Kamino</t>
        </is>
      </c>
    </row>
    <row r="460">
      <c r="A460" t="n">
        <v>171721</v>
      </c>
      <c r="B460" t="n">
        <v>128</v>
      </c>
      <c r="C460" t="inlineStr">
        <is>
          <t>Love Cabaret</t>
        </is>
      </c>
      <c r="D460" t="inlineStr">
        <is>
          <t>CICLO PARTICIPACOES LTDA</t>
        </is>
      </c>
      <c r="E460" t="n">
        <v>32594.19</v>
      </c>
      <c r="F460" s="27" t="n">
        <v>45971</v>
      </c>
      <c r="G460" s="27" t="n">
        <v>45971</v>
      </c>
      <c r="H460" s="27" t="n">
        <v>45971</v>
      </c>
      <c r="I460" s="27" t="n">
        <v>45955</v>
      </c>
      <c r="J460" s="27" t="n">
        <v>45961</v>
      </c>
      <c r="K460" t="inlineStr">
        <is>
          <t>Boleto Bancário</t>
        </is>
      </c>
      <c r="L460" t="inlineStr">
        <is>
          <t>Custo de Ocupação</t>
        </is>
      </c>
      <c r="M460" t="inlineStr">
        <is>
          <t>Aluguel de Imoveis</t>
        </is>
      </c>
      <c r="N460" t="inlineStr">
        <is>
          <t>102025</t>
        </is>
      </c>
      <c r="O460" t="inlineStr">
        <is>
          <t>Documentação Aprovada</t>
        </is>
      </c>
      <c r="P460" t="inlineStr">
        <is>
          <t>Aprovado Diretoria</t>
        </is>
      </c>
      <c r="Q460" t="inlineStr">
        <is>
          <t>Aprovado Caixa</t>
        </is>
      </c>
      <c r="R460" t="inlineStr">
        <is>
          <t>Pago</t>
        </is>
      </c>
      <c r="S460" t="n">
        <v>182</v>
      </c>
      <c r="T460" t="inlineStr">
        <is>
          <t>Love - Shibari - Kamino</t>
        </is>
      </c>
    </row>
    <row r="461">
      <c r="A461" t="n">
        <v>170178</v>
      </c>
      <c r="B461" t="n">
        <v>128</v>
      </c>
      <c r="C461" t="inlineStr">
        <is>
          <t>Love Cabaret</t>
        </is>
      </c>
      <c r="D461" t="inlineStr">
        <is>
          <t>FABLAB INOVACAO E SOLUCOES</t>
        </is>
      </c>
      <c r="E461" t="n">
        <v>389</v>
      </c>
      <c r="F461" s="27" t="n">
        <v>45971</v>
      </c>
      <c r="G461" s="27" t="n">
        <v>45971</v>
      </c>
      <c r="H461" s="27" t="n">
        <v>45971</v>
      </c>
      <c r="I461" s="27" t="n">
        <v>45952</v>
      </c>
      <c r="J461" s="27" t="n">
        <v>45957</v>
      </c>
      <c r="K461" t="inlineStr">
        <is>
          <t>Boleto Bancário</t>
        </is>
      </c>
      <c r="L461" t="inlineStr">
        <is>
          <t>Informática e TI</t>
        </is>
      </c>
      <c r="M461" t="inlineStr">
        <is>
          <t>Sistemas Gerais - Financeiros</t>
        </is>
      </c>
      <c r="N461" t="inlineStr">
        <is>
          <t>192</t>
        </is>
      </c>
      <c r="O461" t="inlineStr">
        <is>
          <t>Documentação Aprovada</t>
        </is>
      </c>
      <c r="P461" t="inlineStr">
        <is>
          <t>Aprovado Diretoria</t>
        </is>
      </c>
      <c r="Q461" t="inlineStr">
        <is>
          <t>Aprovado Caixa</t>
        </is>
      </c>
      <c r="R461" t="inlineStr">
        <is>
          <t>Pago</t>
        </is>
      </c>
      <c r="S461" t="n">
        <v>182</v>
      </c>
      <c r="T461" t="inlineStr">
        <is>
          <t>Love - Shibari - Kamino</t>
        </is>
      </c>
    </row>
    <row r="462">
      <c r="A462" t="n">
        <v>169694</v>
      </c>
      <c r="B462" t="n">
        <v>128</v>
      </c>
      <c r="C462" t="inlineStr">
        <is>
          <t>Love Cabaret</t>
        </is>
      </c>
      <c r="D462" t="inlineStr">
        <is>
          <t>MACRO CONTABILIDADE E CONSULTORIA LTDA</t>
        </is>
      </c>
      <c r="E462" t="n">
        <v>1602.23</v>
      </c>
      <c r="F462" s="27" t="n">
        <v>45971</v>
      </c>
      <c r="G462" s="27" t="n">
        <v>45971</v>
      </c>
      <c r="H462" s="27" t="n">
        <v>45971</v>
      </c>
      <c r="I462" s="27" t="n">
        <v>45962</v>
      </c>
      <c r="J462" s="27" t="n">
        <v>45954</v>
      </c>
      <c r="K462" t="inlineStr">
        <is>
          <t>Boleto Bancário</t>
        </is>
      </c>
      <c r="L462" t="inlineStr">
        <is>
          <t>Serviços de Terceiros</t>
        </is>
      </c>
      <c r="M462" t="inlineStr">
        <is>
          <t>Assessoria Contabil</t>
        </is>
      </c>
      <c r="N462" t="inlineStr">
        <is>
          <t>000009188</t>
        </is>
      </c>
      <c r="O462" t="inlineStr">
        <is>
          <t>Documentação Aprovada</t>
        </is>
      </c>
      <c r="P462" t="inlineStr">
        <is>
          <t>Aprovado Diretoria</t>
        </is>
      </c>
      <c r="Q462" t="inlineStr">
        <is>
          <t>Aprovado Caixa</t>
        </is>
      </c>
      <c r="R462" t="inlineStr">
        <is>
          <t>Pago</t>
        </is>
      </c>
      <c r="S462" t="n">
        <v>182</v>
      </c>
      <c r="T462" t="inlineStr">
        <is>
          <t>Love - Shibari - Kamino</t>
        </is>
      </c>
    </row>
    <row r="463">
      <c r="A463" t="n">
        <v>154525</v>
      </c>
      <c r="B463" t="n">
        <v>128</v>
      </c>
      <c r="C463" t="inlineStr">
        <is>
          <t>Love Cabaret</t>
        </is>
      </c>
      <c r="D463" t="inlineStr">
        <is>
          <t>SEGUROS SURA S/A</t>
        </is>
      </c>
      <c r="E463" t="n">
        <v>229.26</v>
      </c>
      <c r="F463" s="27" t="n">
        <v>45971</v>
      </c>
      <c r="G463" s="27" t="n">
        <v>45971</v>
      </c>
      <c r="H463" s="27" t="n">
        <v>45971</v>
      </c>
      <c r="I463" s="27" t="n">
        <v>45974</v>
      </c>
      <c r="J463" s="27" t="n"/>
      <c r="K463" t="inlineStr">
        <is>
          <t>Transferência Bancária ou Pix</t>
        </is>
      </c>
      <c r="L463" t="inlineStr">
        <is>
          <t>Custo de Ocupação</t>
        </is>
      </c>
      <c r="M463" t="inlineStr">
        <is>
          <t>Seguro Patrimonial</t>
        </is>
      </c>
      <c r="N463" t="inlineStr">
        <is>
          <t>PARC 4/6</t>
        </is>
      </c>
      <c r="O463" t="inlineStr">
        <is>
          <t>Documentação Aprovada</t>
        </is>
      </c>
      <c r="P463" t="inlineStr">
        <is>
          <t>Aprovado Diretoria</t>
        </is>
      </c>
      <c r="Q463" t="inlineStr">
        <is>
          <t>Aprovado Caixa</t>
        </is>
      </c>
      <c r="R463" t="inlineStr">
        <is>
          <t>Pago</t>
        </is>
      </c>
      <c r="S463" t="n">
        <v>182</v>
      </c>
      <c r="T463" t="inlineStr">
        <is>
          <t>Love - Shibari - Kamino</t>
        </is>
      </c>
    </row>
    <row r="464">
      <c r="A464" t="n">
        <v>168155</v>
      </c>
      <c r="B464" t="n">
        <v>128</v>
      </c>
      <c r="C464" t="inlineStr">
        <is>
          <t>Love Cabaret</t>
        </is>
      </c>
      <c r="D464" t="inlineStr">
        <is>
          <t>PROAUTO INDUSTRIA QUIMICA EIRELI</t>
        </is>
      </c>
      <c r="E464" t="n">
        <v>1108.57</v>
      </c>
      <c r="F464" s="27" t="n">
        <v>45971</v>
      </c>
      <c r="G464" s="27" t="n">
        <v>45971</v>
      </c>
      <c r="H464" s="27" t="n">
        <v>45971</v>
      </c>
      <c r="I464" s="27" t="n">
        <v>45943</v>
      </c>
      <c r="J464" s="27" t="n">
        <v>45946</v>
      </c>
      <c r="K464" t="inlineStr">
        <is>
          <t>Boleto Bancário</t>
        </is>
      </c>
      <c r="L464" t="inlineStr">
        <is>
          <t>Utilidades</t>
        </is>
      </c>
      <c r="M464" t="inlineStr">
        <is>
          <t>Higiene e Limpeza</t>
        </is>
      </c>
      <c r="N464" t="inlineStr">
        <is>
          <t>145866</t>
        </is>
      </c>
      <c r="O464" t="inlineStr">
        <is>
          <t>Documentação Aprovada</t>
        </is>
      </c>
      <c r="P464" t="inlineStr">
        <is>
          <t>Aprovado Diretoria</t>
        </is>
      </c>
      <c r="Q464" t="inlineStr">
        <is>
          <t>Aprovado Caixa</t>
        </is>
      </c>
      <c r="R464" t="inlineStr">
        <is>
          <t>Pago</t>
        </is>
      </c>
      <c r="S464" t="n">
        <v>182</v>
      </c>
      <c r="T464" t="inlineStr">
        <is>
          <t>Love - Shibari - Kamino</t>
        </is>
      </c>
    </row>
    <row r="465">
      <c r="A465" t="n">
        <v>168156</v>
      </c>
      <c r="B465" t="n">
        <v>128</v>
      </c>
      <c r="C465" t="inlineStr">
        <is>
          <t>Love Cabaret</t>
        </is>
      </c>
      <c r="D465" t="inlineStr">
        <is>
          <t>QUEIJARIA ATALAIA LTDA</t>
        </is>
      </c>
      <c r="E465" t="n">
        <v>228.75</v>
      </c>
      <c r="F465" s="27" t="n">
        <v>45971</v>
      </c>
      <c r="G465" s="27" t="n">
        <v>45971</v>
      </c>
      <c r="H465" s="27" t="n">
        <v>45971</v>
      </c>
      <c r="I465" s="27" t="n">
        <v>45943</v>
      </c>
      <c r="J465" s="27" t="n">
        <v>45946</v>
      </c>
      <c r="K465" t="inlineStr">
        <is>
          <t>Boleto Bancário</t>
        </is>
      </c>
      <c r="L465" t="inlineStr">
        <is>
          <t>Custo Mercadoria Vendida</t>
        </is>
      </c>
      <c r="M465" t="inlineStr">
        <is>
          <t>Insumos - Alimentos</t>
        </is>
      </c>
      <c r="N465" t="inlineStr">
        <is>
          <t>16117</t>
        </is>
      </c>
      <c r="O465" t="inlineStr">
        <is>
          <t>Documentação Aprovada</t>
        </is>
      </c>
      <c r="P465" t="inlineStr">
        <is>
          <t>Aprovado Diretoria</t>
        </is>
      </c>
      <c r="Q465" t="inlineStr">
        <is>
          <t>Aprovado Caixa</t>
        </is>
      </c>
      <c r="R465" t="inlineStr">
        <is>
          <t>Pago</t>
        </is>
      </c>
      <c r="S465" t="n">
        <v>182</v>
      </c>
      <c r="T465" t="inlineStr">
        <is>
          <t>Love - Shibari - Kamino</t>
        </is>
      </c>
    </row>
    <row r="466">
      <c r="A466" t="n">
        <v>168158</v>
      </c>
      <c r="B466" t="n">
        <v>128</v>
      </c>
      <c r="C466" t="inlineStr">
        <is>
          <t>Love Cabaret</t>
        </is>
      </c>
      <c r="D466" t="inlineStr">
        <is>
          <t>ZAHIL IMPORTADORA LTDA</t>
        </is>
      </c>
      <c r="E466" t="n">
        <v>880.54</v>
      </c>
      <c r="F466" s="27" t="n">
        <v>45973</v>
      </c>
      <c r="G466" s="27" t="n">
        <v>45971</v>
      </c>
      <c r="H466" s="27" t="n">
        <v>45971</v>
      </c>
      <c r="I466" s="27" t="n">
        <v>45943</v>
      </c>
      <c r="J466" s="27" t="n">
        <v>45946</v>
      </c>
      <c r="K466" t="inlineStr">
        <is>
          <t>Boleto Bancário</t>
        </is>
      </c>
      <c r="L466" t="inlineStr">
        <is>
          <t>Custo Mercadoria Vendida</t>
        </is>
      </c>
      <c r="M466" t="inlineStr">
        <is>
          <t>Insumos - Bebidas</t>
        </is>
      </c>
      <c r="N466" t="inlineStr">
        <is>
          <t>257784</t>
        </is>
      </c>
      <c r="O466" t="inlineStr">
        <is>
          <t>Documentação Aprovada</t>
        </is>
      </c>
      <c r="P466" t="inlineStr">
        <is>
          <t>Aprovado Diretoria</t>
        </is>
      </c>
      <c r="Q466" t="inlineStr">
        <is>
          <t>Aprovado Caixa</t>
        </is>
      </c>
      <c r="R466" t="inlineStr">
        <is>
          <t>Pago</t>
        </is>
      </c>
      <c r="S466" t="n">
        <v>182</v>
      </c>
      <c r="T466" t="inlineStr">
        <is>
          <t>Love - Shibari - Kamino</t>
        </is>
      </c>
    </row>
    <row r="467">
      <c r="A467" t="n">
        <v>168162</v>
      </c>
      <c r="B467" t="n">
        <v>128</v>
      </c>
      <c r="C467" t="inlineStr">
        <is>
          <t>Love Cabaret</t>
        </is>
      </c>
      <c r="D467" t="inlineStr">
        <is>
          <t xml:space="preserve">HORTIFRUTI DO CHEF LTDA </t>
        </is>
      </c>
      <c r="E467" t="n">
        <v>167.63</v>
      </c>
      <c r="F467" s="27" t="n">
        <v>45971</v>
      </c>
      <c r="G467" s="27" t="n">
        <v>45971</v>
      </c>
      <c r="H467" s="27" t="n">
        <v>45971</v>
      </c>
      <c r="I467" s="27" t="n">
        <v>45943</v>
      </c>
      <c r="J467" s="27" t="n">
        <v>45946</v>
      </c>
      <c r="K467" t="inlineStr">
        <is>
          <t>Boleto Bancário</t>
        </is>
      </c>
      <c r="L467" t="inlineStr">
        <is>
          <t>Custo Mercadoria Vendida</t>
        </is>
      </c>
      <c r="M467" t="inlineStr">
        <is>
          <t>Insumos - Alimentos</t>
        </is>
      </c>
      <c r="N467" t="inlineStr">
        <is>
          <t>28093</t>
        </is>
      </c>
      <c r="O467" t="inlineStr">
        <is>
          <t>Documentação Aprovada</t>
        </is>
      </c>
      <c r="P467" t="inlineStr">
        <is>
          <t>Aprovado Diretoria</t>
        </is>
      </c>
      <c r="Q467" t="inlineStr">
        <is>
          <t>Aprovado Caixa</t>
        </is>
      </c>
      <c r="R467" t="inlineStr">
        <is>
          <t>Pago</t>
        </is>
      </c>
      <c r="S467" t="n">
        <v>182</v>
      </c>
      <c r="T467" t="inlineStr">
        <is>
          <t>Love - Shibari - Kamino</t>
        </is>
      </c>
    </row>
    <row r="468">
      <c r="A468" t="n">
        <v>168583</v>
      </c>
      <c r="B468" t="n">
        <v>128</v>
      </c>
      <c r="C468" t="inlineStr">
        <is>
          <t>Love Cabaret</t>
        </is>
      </c>
      <c r="D468" t="inlineStr">
        <is>
          <t>EMPORIO M&amp;L COMERCIO DE ALIM E BEBIDAS LTDA</t>
        </is>
      </c>
      <c r="E468" t="n">
        <v>382.2</v>
      </c>
      <c r="F468" s="27" t="n">
        <v>45973</v>
      </c>
      <c r="G468" s="27" t="n">
        <v>45971</v>
      </c>
      <c r="H468" s="27" t="n">
        <v>45971</v>
      </c>
      <c r="I468" s="27" t="n">
        <v>45945</v>
      </c>
      <c r="J468" s="27" t="n">
        <v>45947</v>
      </c>
      <c r="K468" t="inlineStr">
        <is>
          <t>Boleto Bancário</t>
        </is>
      </c>
      <c r="L468" t="inlineStr">
        <is>
          <t>Custo Mercadoria Vendida</t>
        </is>
      </c>
      <c r="M468" t="inlineStr">
        <is>
          <t>Insumos - Alimentos</t>
        </is>
      </c>
      <c r="N468" t="inlineStr">
        <is>
          <t>476384</t>
        </is>
      </c>
      <c r="O468" t="inlineStr">
        <is>
          <t>Documentação Aprovada</t>
        </is>
      </c>
      <c r="P468" t="inlineStr">
        <is>
          <t>Aprovado Diretoria</t>
        </is>
      </c>
      <c r="Q468" t="inlineStr">
        <is>
          <t>Aprovado Caixa</t>
        </is>
      </c>
      <c r="R468" t="inlineStr">
        <is>
          <t>Pago</t>
        </is>
      </c>
      <c r="S468" t="n">
        <v>182</v>
      </c>
      <c r="T468" t="inlineStr">
        <is>
          <t>Love - Shibari - Kamino</t>
        </is>
      </c>
    </row>
    <row r="469">
      <c r="A469" t="n">
        <v>169244</v>
      </c>
      <c r="B469" t="n">
        <v>128</v>
      </c>
      <c r="C469" t="inlineStr">
        <is>
          <t>Love Cabaret</t>
        </is>
      </c>
      <c r="D469" t="inlineStr">
        <is>
          <t>CG FOOD´S DISTRIBUIDORA DE ALIMENTOS LTDA</t>
        </is>
      </c>
      <c r="E469" t="n">
        <v>378.4</v>
      </c>
      <c r="F469" s="27" t="n">
        <v>45972</v>
      </c>
      <c r="G469" s="27" t="n">
        <v>45971</v>
      </c>
      <c r="H469" s="27" t="n">
        <v>45971</v>
      </c>
      <c r="I469" s="27" t="n">
        <v>45951</v>
      </c>
      <c r="J469" s="27" t="n">
        <v>45953</v>
      </c>
      <c r="K469" t="inlineStr">
        <is>
          <t>Boleto Bancário</t>
        </is>
      </c>
      <c r="L469" t="inlineStr">
        <is>
          <t>Custo Mercadoria Vendida</t>
        </is>
      </c>
      <c r="M469" t="inlineStr">
        <is>
          <t>Insumos - Alimentos</t>
        </is>
      </c>
      <c r="N469" t="inlineStr">
        <is>
          <t>168263</t>
        </is>
      </c>
      <c r="O469" t="inlineStr">
        <is>
          <t>Documentação Aprovada</t>
        </is>
      </c>
      <c r="P469" t="inlineStr">
        <is>
          <t>Aprovado Diretoria</t>
        </is>
      </c>
      <c r="Q469" t="inlineStr">
        <is>
          <t>Aprovado Caixa</t>
        </is>
      </c>
      <c r="R469" t="inlineStr">
        <is>
          <t>Pago</t>
        </is>
      </c>
      <c r="S469" t="n">
        <v>182</v>
      </c>
      <c r="T469" t="inlineStr">
        <is>
          <t>Love - Shibari - Kamino</t>
        </is>
      </c>
    </row>
    <row r="470">
      <c r="A470" t="n">
        <v>169256</v>
      </c>
      <c r="B470" t="n">
        <v>128</v>
      </c>
      <c r="C470" t="inlineStr">
        <is>
          <t>Love Cabaret</t>
        </is>
      </c>
      <c r="D470" t="inlineStr">
        <is>
          <t>FG7 COMERCIO E DISTRIBUICAO DE BEBIDAS LTDA</t>
        </is>
      </c>
      <c r="E470" t="n">
        <v>252.43</v>
      </c>
      <c r="F470" s="27" t="n">
        <v>45973</v>
      </c>
      <c r="G470" s="27" t="n">
        <v>45971</v>
      </c>
      <c r="H470" s="27" t="n">
        <v>45971</v>
      </c>
      <c r="I470" s="27" t="n">
        <v>45951</v>
      </c>
      <c r="J470" s="27" t="n">
        <v>45953</v>
      </c>
      <c r="K470" t="inlineStr">
        <is>
          <t>Boleto Bancário</t>
        </is>
      </c>
      <c r="L470" t="inlineStr">
        <is>
          <t>Custo Mercadoria Vendida</t>
        </is>
      </c>
      <c r="M470" t="inlineStr">
        <is>
          <t>Insumos - Bebidas</t>
        </is>
      </c>
      <c r="N470" t="inlineStr">
        <is>
          <t>688351</t>
        </is>
      </c>
      <c r="O470" t="inlineStr">
        <is>
          <t>Documentação Aprovada</t>
        </is>
      </c>
      <c r="P470" t="inlineStr">
        <is>
          <t>Aprovado Diretoria</t>
        </is>
      </c>
      <c r="Q470" t="inlineStr">
        <is>
          <t>Aprovado Caixa</t>
        </is>
      </c>
      <c r="R470" t="inlineStr">
        <is>
          <t>Pago</t>
        </is>
      </c>
      <c r="S470" t="n">
        <v>182</v>
      </c>
      <c r="T470" t="inlineStr">
        <is>
          <t>Love - Shibari - Kamino</t>
        </is>
      </c>
    </row>
    <row r="471">
      <c r="A471" t="n">
        <v>166426</v>
      </c>
      <c r="B471" t="n">
        <v>128</v>
      </c>
      <c r="C471" t="inlineStr">
        <is>
          <t>Love Cabaret</t>
        </is>
      </c>
      <c r="D471" t="inlineStr">
        <is>
          <t>DEOLINDA DOS SANTOS FREITAS</t>
        </is>
      </c>
      <c r="E471" t="n">
        <v>658.6799999999999</v>
      </c>
      <c r="F471" s="27" t="n">
        <v>45973</v>
      </c>
      <c r="G471" s="27" t="n">
        <v>45971</v>
      </c>
      <c r="H471" s="27" t="n">
        <v>45971</v>
      </c>
      <c r="I471" s="27" t="n">
        <v>45938</v>
      </c>
      <c r="J471" s="27" t="n">
        <v>45940</v>
      </c>
      <c r="K471" t="inlineStr">
        <is>
          <t>Boleto Bancário</t>
        </is>
      </c>
      <c r="L471" t="inlineStr">
        <is>
          <t>Custo Mercadoria Vendida</t>
        </is>
      </c>
      <c r="M471" t="inlineStr">
        <is>
          <t>Insumos - Alimentos</t>
        </is>
      </c>
      <c r="N471" t="inlineStr">
        <is>
          <t>2024</t>
        </is>
      </c>
      <c r="O471" t="inlineStr">
        <is>
          <t>Documentação Aprovada</t>
        </is>
      </c>
      <c r="P471" t="inlineStr">
        <is>
          <t>Aprovado Diretoria</t>
        </is>
      </c>
      <c r="Q471" t="inlineStr">
        <is>
          <t>Aprovado Caixa</t>
        </is>
      </c>
      <c r="R471" t="inlineStr">
        <is>
          <t>Pago</t>
        </is>
      </c>
      <c r="S471" t="n">
        <v>182</v>
      </c>
      <c r="T471" t="inlineStr">
        <is>
          <t>Love - Shibari - Kamino</t>
        </is>
      </c>
    </row>
    <row r="472">
      <c r="A472" t="n">
        <v>166253</v>
      </c>
      <c r="B472" t="n">
        <v>128</v>
      </c>
      <c r="C472" t="inlineStr">
        <is>
          <t>Love Cabaret</t>
        </is>
      </c>
      <c r="D472" t="inlineStr">
        <is>
          <t>ANDRE RODRIGUES AZEVEDO</t>
        </is>
      </c>
      <c r="E472" t="n">
        <v>7420</v>
      </c>
      <c r="F472" s="27" t="n">
        <v>45971</v>
      </c>
      <c r="G472" s="27" t="n">
        <v>45971</v>
      </c>
      <c r="H472" s="27" t="n">
        <v>45971</v>
      </c>
      <c r="I472" s="27" t="n">
        <v>45931</v>
      </c>
      <c r="J472" s="27" t="n">
        <v>45939</v>
      </c>
      <c r="K472" t="inlineStr">
        <is>
          <t>Transferência Bancária ou Pix</t>
        </is>
      </c>
      <c r="L472" t="inlineStr">
        <is>
          <t>Custos Artístico Geral</t>
        </is>
      </c>
      <c r="M472" t="inlineStr">
        <is>
          <t>Técnico de Som / Luz</t>
        </is>
      </c>
      <c r="N472" t="inlineStr">
        <is>
          <t>65</t>
        </is>
      </c>
      <c r="O472" t="inlineStr">
        <is>
          <t>Documentação Aprovada</t>
        </is>
      </c>
      <c r="P472" t="inlineStr">
        <is>
          <t>Aprovado Diretoria</t>
        </is>
      </c>
      <c r="Q472" t="inlineStr">
        <is>
          <t>Aprovado Caixa</t>
        </is>
      </c>
      <c r="R472" t="inlineStr">
        <is>
          <t>Pago</t>
        </is>
      </c>
      <c r="S472" t="n">
        <v>182</v>
      </c>
      <c r="T472" t="inlineStr">
        <is>
          <t>Love - Shibari - Kamino</t>
        </is>
      </c>
    </row>
    <row r="473">
      <c r="A473" t="n">
        <v>166252</v>
      </c>
      <c r="B473" t="n">
        <v>128</v>
      </c>
      <c r="C473" t="inlineStr">
        <is>
          <t>Love Cabaret</t>
        </is>
      </c>
      <c r="D473" t="inlineStr">
        <is>
          <t xml:space="preserve">AGNES RODRIGUES DE OLIVEIRA </t>
        </is>
      </c>
      <c r="E473" t="n">
        <v>5000</v>
      </c>
      <c r="F473" s="27" t="n">
        <v>45971</v>
      </c>
      <c r="G473" s="27" t="n">
        <v>45971</v>
      </c>
      <c r="H473" s="27" t="n">
        <v>45971</v>
      </c>
      <c r="I473" s="27" t="n">
        <v>45931</v>
      </c>
      <c r="J473" s="27" t="n">
        <v>45939</v>
      </c>
      <c r="K473" t="inlineStr">
        <is>
          <t>Transferência Bancária ou Pix</t>
        </is>
      </c>
      <c r="L473" t="inlineStr">
        <is>
          <t>Custos Artístico Geral</t>
        </is>
      </c>
      <c r="M473" t="inlineStr">
        <is>
          <t>Técnico de Som / Luz</t>
        </is>
      </c>
      <c r="N473" t="inlineStr">
        <is>
          <t>39</t>
        </is>
      </c>
      <c r="O473" t="inlineStr">
        <is>
          <t>Documentação Aprovada</t>
        </is>
      </c>
      <c r="P473" t="inlineStr">
        <is>
          <t>Aprovado Diretoria</t>
        </is>
      </c>
      <c r="Q473" t="inlineStr">
        <is>
          <t>Aprovado Caixa</t>
        </is>
      </c>
      <c r="R473" t="inlineStr">
        <is>
          <t>Pago</t>
        </is>
      </c>
      <c r="S473" t="n">
        <v>182</v>
      </c>
      <c r="T473" t="inlineStr">
        <is>
          <t>Love - Shibari - Kamino</t>
        </is>
      </c>
    </row>
    <row r="474">
      <c r="A474" t="n">
        <v>166254</v>
      </c>
      <c r="B474" t="n">
        <v>128</v>
      </c>
      <c r="C474" t="inlineStr">
        <is>
          <t>Love Cabaret</t>
        </is>
      </c>
      <c r="D474" t="inlineStr">
        <is>
          <t>PJ 00302023 - ANDRES LA ROSA</t>
        </is>
      </c>
      <c r="E474" t="n">
        <v>5200</v>
      </c>
      <c r="F474" s="27" t="n">
        <v>45971</v>
      </c>
      <c r="G474" s="27" t="n">
        <v>45971</v>
      </c>
      <c r="H474" s="27" t="n">
        <v>45971</v>
      </c>
      <c r="I474" s="27" t="n">
        <v>45931</v>
      </c>
      <c r="J474" s="27" t="n">
        <v>45939</v>
      </c>
      <c r="K474" t="inlineStr">
        <is>
          <t>Transferência Bancária ou Pix</t>
        </is>
      </c>
      <c r="L474" t="inlineStr">
        <is>
          <t>Mão de Obra - PJ</t>
        </is>
      </c>
      <c r="M474" t="inlineStr">
        <is>
          <t>MDO PJ Fixo</t>
        </is>
      </c>
      <c r="N474" t="inlineStr">
        <is>
          <t>68</t>
        </is>
      </c>
      <c r="O474" t="inlineStr">
        <is>
          <t>Documentação Aprovada</t>
        </is>
      </c>
      <c r="P474" t="inlineStr">
        <is>
          <t>Aprovado Diretoria</t>
        </is>
      </c>
      <c r="Q474" t="inlineStr">
        <is>
          <t>Aprovado Caixa</t>
        </is>
      </c>
      <c r="R474" t="inlineStr">
        <is>
          <t>Pago</t>
        </is>
      </c>
      <c r="S474" t="n">
        <v>182</v>
      </c>
      <c r="T474" t="inlineStr">
        <is>
          <t>Love - Shibari - Kamino</t>
        </is>
      </c>
    </row>
    <row r="475">
      <c r="A475" t="n">
        <v>166255</v>
      </c>
      <c r="B475" t="n">
        <v>128</v>
      </c>
      <c r="C475" t="inlineStr">
        <is>
          <t>Love Cabaret</t>
        </is>
      </c>
      <c r="D475" t="inlineStr">
        <is>
          <t xml:space="preserve">DOUGLAS FELIPE DOMINGUES GONCALVES </t>
        </is>
      </c>
      <c r="E475" t="n">
        <v>4100</v>
      </c>
      <c r="F475" s="27" t="n">
        <v>45971</v>
      </c>
      <c r="G475" s="27" t="n">
        <v>45971</v>
      </c>
      <c r="H475" s="27" t="n">
        <v>45971</v>
      </c>
      <c r="I475" s="27" t="n">
        <v>45931</v>
      </c>
      <c r="J475" s="27" t="n">
        <v>45939</v>
      </c>
      <c r="K475" t="inlineStr">
        <is>
          <t>Transferência Bancária ou Pix</t>
        </is>
      </c>
      <c r="L475" t="inlineStr">
        <is>
          <t>Custos Artístico Geral</t>
        </is>
      </c>
      <c r="M475" t="inlineStr">
        <is>
          <t>Técnico de Som / Luz</t>
        </is>
      </c>
      <c r="N475" t="inlineStr">
        <is>
          <t>52</t>
        </is>
      </c>
      <c r="O475" t="inlineStr">
        <is>
          <t>Documentação Aprovada</t>
        </is>
      </c>
      <c r="P475" t="inlineStr">
        <is>
          <t>Aprovado Diretoria</t>
        </is>
      </c>
      <c r="Q475" t="inlineStr">
        <is>
          <t>Aprovado Caixa</t>
        </is>
      </c>
      <c r="R475" t="inlineStr">
        <is>
          <t>Pago</t>
        </is>
      </c>
      <c r="S475" t="n">
        <v>182</v>
      </c>
      <c r="T475" t="inlineStr">
        <is>
          <t>Love - Shibari - Kamino</t>
        </is>
      </c>
    </row>
    <row r="476">
      <c r="A476" t="n">
        <v>166256</v>
      </c>
      <c r="B476" t="n">
        <v>128</v>
      </c>
      <c r="C476" t="inlineStr">
        <is>
          <t>Love Cabaret</t>
        </is>
      </c>
      <c r="D476" t="inlineStr">
        <is>
          <t>PJ 00192022 - FELIPE FERREIRA FRANCA</t>
        </is>
      </c>
      <c r="E476" t="n">
        <v>3250</v>
      </c>
      <c r="F476" s="27" t="n">
        <v>45971</v>
      </c>
      <c r="G476" s="27" t="n">
        <v>45971</v>
      </c>
      <c r="H476" s="27" t="n">
        <v>45971</v>
      </c>
      <c r="I476" s="27" t="n">
        <v>45931</v>
      </c>
      <c r="J476" s="27" t="n">
        <v>45939</v>
      </c>
      <c r="K476" t="inlineStr">
        <is>
          <t>Transferência Bancária ou Pix</t>
        </is>
      </c>
      <c r="L476" t="inlineStr">
        <is>
          <t>Mão de Obra - PJ</t>
        </is>
      </c>
      <c r="M476" t="inlineStr">
        <is>
          <t>MDO PJ Fixo</t>
        </is>
      </c>
      <c r="N476" t="inlineStr">
        <is>
          <t>57</t>
        </is>
      </c>
      <c r="O476" t="inlineStr">
        <is>
          <t>Documentação Aprovada</t>
        </is>
      </c>
      <c r="P476" t="inlineStr">
        <is>
          <t>Aprovado Diretoria</t>
        </is>
      </c>
      <c r="Q476" t="inlineStr">
        <is>
          <t>Aprovado Caixa</t>
        </is>
      </c>
      <c r="R476" t="inlineStr">
        <is>
          <t>Pago</t>
        </is>
      </c>
      <c r="S476" t="n">
        <v>182</v>
      </c>
      <c r="T476" t="inlineStr">
        <is>
          <t>Love - Shibari - Kamino</t>
        </is>
      </c>
    </row>
    <row r="477">
      <c r="A477" t="n">
        <v>166257</v>
      </c>
      <c r="B477" t="n">
        <v>128</v>
      </c>
      <c r="C477" t="inlineStr">
        <is>
          <t>Love Cabaret</t>
        </is>
      </c>
      <c r="D477" t="inlineStr">
        <is>
          <t>PUXURI CONSULTORIA LTDA</t>
        </is>
      </c>
      <c r="E477" t="n">
        <v>4000</v>
      </c>
      <c r="F477" s="27" t="n">
        <v>45971</v>
      </c>
      <c r="G477" s="27" t="n">
        <v>45971</v>
      </c>
      <c r="H477" s="27" t="n">
        <v>45971</v>
      </c>
      <c r="I477" s="27" t="n">
        <v>45931</v>
      </c>
      <c r="J477" s="27" t="n">
        <v>45939</v>
      </c>
      <c r="K477" t="inlineStr">
        <is>
          <t>Transferência Bancária ou Pix</t>
        </is>
      </c>
      <c r="L477" t="inlineStr">
        <is>
          <t>Mão de Obra - PJ</t>
        </is>
      </c>
      <c r="M477" t="inlineStr">
        <is>
          <t>MDO PJ Fixo</t>
        </is>
      </c>
      <c r="N477" t="inlineStr">
        <is>
          <t>125</t>
        </is>
      </c>
      <c r="O477" t="inlineStr">
        <is>
          <t>Documentação Aprovada</t>
        </is>
      </c>
      <c r="P477" t="inlineStr">
        <is>
          <t>Aprovado Diretoria</t>
        </is>
      </c>
      <c r="Q477" t="inlineStr">
        <is>
          <t>Aprovado Caixa</t>
        </is>
      </c>
      <c r="R477" t="inlineStr">
        <is>
          <t>Pago</t>
        </is>
      </c>
      <c r="S477" t="n">
        <v>182</v>
      </c>
      <c r="T477" t="inlineStr">
        <is>
          <t>Love - Shibari - Kamino</t>
        </is>
      </c>
    </row>
    <row r="478">
      <c r="A478" t="n">
        <v>166258</v>
      </c>
      <c r="B478" t="n">
        <v>128</v>
      </c>
      <c r="C478" t="inlineStr">
        <is>
          <t>Love Cabaret</t>
        </is>
      </c>
      <c r="D478" t="inlineStr">
        <is>
          <t>PJ 00492024 - ISABELLA FERNANDES GOMES</t>
        </is>
      </c>
      <c r="E478" t="n">
        <v>1200</v>
      </c>
      <c r="F478" s="27" t="n">
        <v>45971</v>
      </c>
      <c r="G478" s="27" t="n">
        <v>45971</v>
      </c>
      <c r="H478" s="27" t="n">
        <v>45971</v>
      </c>
      <c r="I478" s="27" t="n">
        <v>45931</v>
      </c>
      <c r="J478" s="27" t="n">
        <v>45939</v>
      </c>
      <c r="K478" t="inlineStr">
        <is>
          <t>Transferência Bancária ou Pix</t>
        </is>
      </c>
      <c r="L478" t="inlineStr">
        <is>
          <t>Mão de Obra - PJ</t>
        </is>
      </c>
      <c r="M478" t="inlineStr">
        <is>
          <t>MDO PJ Fixo</t>
        </is>
      </c>
      <c r="N478" t="inlineStr">
        <is>
          <t>66</t>
        </is>
      </c>
      <c r="O478" t="inlineStr">
        <is>
          <t>Documentação Aprovada</t>
        </is>
      </c>
      <c r="P478" t="inlineStr">
        <is>
          <t>Aprovado Diretoria</t>
        </is>
      </c>
      <c r="Q478" t="inlineStr">
        <is>
          <t>Aprovado Caixa</t>
        </is>
      </c>
      <c r="R478" t="inlineStr">
        <is>
          <t>Pago</t>
        </is>
      </c>
      <c r="S478" t="n">
        <v>182</v>
      </c>
      <c r="T478" t="inlineStr">
        <is>
          <t>Love - Shibari - Kamino</t>
        </is>
      </c>
    </row>
    <row r="479">
      <c r="A479" t="n">
        <v>166260</v>
      </c>
      <c r="B479" t="n">
        <v>128</v>
      </c>
      <c r="C479" t="inlineStr">
        <is>
          <t>Love Cabaret</t>
        </is>
      </c>
      <c r="D479" t="inlineStr">
        <is>
          <t>JULIA BAISCH FRANZ 02463978023</t>
        </is>
      </c>
      <c r="E479" t="n">
        <v>8500</v>
      </c>
      <c r="F479" s="27" t="n">
        <v>45971</v>
      </c>
      <c r="G479" s="27" t="n">
        <v>45971</v>
      </c>
      <c r="H479" s="27" t="n">
        <v>45971</v>
      </c>
      <c r="I479" s="27" t="n">
        <v>45931</v>
      </c>
      <c r="J479" s="27" t="n">
        <v>45939</v>
      </c>
      <c r="K479" t="inlineStr">
        <is>
          <t>Transferência Bancária ou Pix</t>
        </is>
      </c>
      <c r="L479" t="inlineStr">
        <is>
          <t>Custos Artístico Geral</t>
        </is>
      </c>
      <c r="M479" t="inlineStr">
        <is>
          <t>Técnico de Som / Luz</t>
        </is>
      </c>
      <c r="N479" t="inlineStr">
        <is>
          <t>17</t>
        </is>
      </c>
      <c r="O479" t="inlineStr">
        <is>
          <t>Documentação Aprovada</t>
        </is>
      </c>
      <c r="P479" t="inlineStr">
        <is>
          <t>Aprovado Diretoria</t>
        </is>
      </c>
      <c r="Q479" t="inlineStr">
        <is>
          <t>Aprovado Caixa</t>
        </is>
      </c>
      <c r="R479" t="inlineStr">
        <is>
          <t>Pago</t>
        </is>
      </c>
      <c r="S479" t="n">
        <v>182</v>
      </c>
      <c r="T479" t="inlineStr">
        <is>
          <t>Love - Shibari - Kamino</t>
        </is>
      </c>
    </row>
    <row r="480">
      <c r="A480" t="n">
        <v>166259</v>
      </c>
      <c r="B480" t="n">
        <v>128</v>
      </c>
      <c r="C480" t="inlineStr">
        <is>
          <t>Love Cabaret</t>
        </is>
      </c>
      <c r="D480" t="inlineStr">
        <is>
          <t>PJ 00352023 - JESSICA IZABEL DE SOUZA</t>
        </is>
      </c>
      <c r="E480" t="n">
        <v>1250</v>
      </c>
      <c r="F480" s="27" t="n">
        <v>45971</v>
      </c>
      <c r="G480" s="27" t="n">
        <v>45971</v>
      </c>
      <c r="H480" s="27" t="n">
        <v>45971</v>
      </c>
      <c r="I480" s="27" t="n">
        <v>45931</v>
      </c>
      <c r="J480" s="27" t="n">
        <v>45939</v>
      </c>
      <c r="K480" t="inlineStr">
        <is>
          <t>Transferência Bancária ou Pix</t>
        </is>
      </c>
      <c r="L480" t="inlineStr">
        <is>
          <t>Mão de Obra - PJ</t>
        </is>
      </c>
      <c r="M480" t="inlineStr">
        <is>
          <t>MDO PJ Fixo</t>
        </is>
      </c>
      <c r="N480" t="inlineStr">
        <is>
          <t>96</t>
        </is>
      </c>
      <c r="O480" t="inlineStr">
        <is>
          <t>Documentação Aprovada</t>
        </is>
      </c>
      <c r="P480" t="inlineStr">
        <is>
          <t>Aprovado Diretoria</t>
        </is>
      </c>
      <c r="Q480" t="inlineStr">
        <is>
          <t>Aprovado Caixa</t>
        </is>
      </c>
      <c r="R480" t="inlineStr">
        <is>
          <t>Pago</t>
        </is>
      </c>
      <c r="S480" t="n">
        <v>182</v>
      </c>
      <c r="T480" t="inlineStr">
        <is>
          <t>Love - Shibari - Kamino</t>
        </is>
      </c>
    </row>
    <row r="481">
      <c r="A481" t="n">
        <v>166267</v>
      </c>
      <c r="B481" t="n">
        <v>128</v>
      </c>
      <c r="C481" t="inlineStr">
        <is>
          <t>Love Cabaret</t>
        </is>
      </c>
      <c r="D481" t="inlineStr">
        <is>
          <t>PJ 00092021 - VANESSA FERREIRA DEL SANTO</t>
        </is>
      </c>
      <c r="E481" t="n">
        <v>3000</v>
      </c>
      <c r="F481" s="27" t="n">
        <v>45971</v>
      </c>
      <c r="G481" s="27" t="n">
        <v>45971</v>
      </c>
      <c r="H481" s="27" t="n">
        <v>45971</v>
      </c>
      <c r="I481" s="27" t="n">
        <v>45931</v>
      </c>
      <c r="J481" s="27" t="n">
        <v>45939</v>
      </c>
      <c r="K481" t="inlineStr">
        <is>
          <t>Transferência Bancária ou Pix</t>
        </is>
      </c>
      <c r="L481" t="inlineStr">
        <is>
          <t>Mão de Obra - PJ</t>
        </is>
      </c>
      <c r="M481" t="inlineStr">
        <is>
          <t>MDO PJ Fixo</t>
        </is>
      </c>
      <c r="N481" t="inlineStr">
        <is>
          <t>289</t>
        </is>
      </c>
      <c r="O481" t="inlineStr">
        <is>
          <t>Documentação Aprovada</t>
        </is>
      </c>
      <c r="P481" t="inlineStr">
        <is>
          <t>Aprovado Diretoria</t>
        </is>
      </c>
      <c r="Q481" t="inlineStr">
        <is>
          <t>Aprovado Caixa</t>
        </is>
      </c>
      <c r="R481" t="inlineStr">
        <is>
          <t>Pago</t>
        </is>
      </c>
      <c r="S481" t="n">
        <v>182</v>
      </c>
      <c r="T481" t="inlineStr">
        <is>
          <t>Love - Shibari - Kamino</t>
        </is>
      </c>
    </row>
    <row r="482">
      <c r="A482" t="n">
        <v>166265</v>
      </c>
      <c r="B482" t="n">
        <v>128</v>
      </c>
      <c r="C482" t="inlineStr">
        <is>
          <t>Love Cabaret</t>
        </is>
      </c>
      <c r="D482" t="inlineStr">
        <is>
          <t>PJ 00502024 THIAGO PINHEIRO DA SILVA</t>
        </is>
      </c>
      <c r="E482" t="n">
        <v>1125</v>
      </c>
      <c r="F482" s="27" t="n">
        <v>45971</v>
      </c>
      <c r="G482" s="27" t="n">
        <v>45971</v>
      </c>
      <c r="H482" s="27" t="n">
        <v>45971</v>
      </c>
      <c r="I482" s="27" t="n">
        <v>45931</v>
      </c>
      <c r="J482" s="27" t="n">
        <v>45939</v>
      </c>
      <c r="K482" t="inlineStr">
        <is>
          <t>Transferência Bancária ou Pix</t>
        </is>
      </c>
      <c r="L482" t="inlineStr">
        <is>
          <t>Mão de Obra - PJ</t>
        </is>
      </c>
      <c r="M482" t="inlineStr">
        <is>
          <t>MDO PJ Fixo</t>
        </is>
      </c>
      <c r="N482" t="inlineStr">
        <is>
          <t>68</t>
        </is>
      </c>
      <c r="O482" t="inlineStr">
        <is>
          <t>Documentação Aprovada</t>
        </is>
      </c>
      <c r="P482" t="inlineStr">
        <is>
          <t>Aprovado Diretoria</t>
        </is>
      </c>
      <c r="Q482" t="inlineStr">
        <is>
          <t>Aprovado Caixa</t>
        </is>
      </c>
      <c r="R482" t="inlineStr">
        <is>
          <t>Pago</t>
        </is>
      </c>
      <c r="S482" t="n">
        <v>182</v>
      </c>
      <c r="T482" t="inlineStr">
        <is>
          <t>Love - Shibari - Kamino</t>
        </is>
      </c>
    </row>
    <row r="483">
      <c r="A483" t="n">
        <v>166264</v>
      </c>
      <c r="B483" t="n">
        <v>128</v>
      </c>
      <c r="C483" t="inlineStr">
        <is>
          <t>Love Cabaret</t>
        </is>
      </c>
      <c r="D483" t="inlineStr">
        <is>
          <t>PJ 00132021 - TELES DE ALMEIDA PINTO</t>
        </is>
      </c>
      <c r="E483" t="n">
        <v>2000</v>
      </c>
      <c r="F483" s="27" t="n">
        <v>45971</v>
      </c>
      <c r="G483" s="27" t="n">
        <v>45971</v>
      </c>
      <c r="H483" s="27" t="n">
        <v>45971</v>
      </c>
      <c r="I483" s="27" t="n">
        <v>45931</v>
      </c>
      <c r="J483" s="27" t="n">
        <v>45939</v>
      </c>
      <c r="K483" t="inlineStr">
        <is>
          <t>Transferência Bancária ou Pix</t>
        </is>
      </c>
      <c r="L483" t="inlineStr">
        <is>
          <t>Mão de Obra - PJ</t>
        </is>
      </c>
      <c r="M483" t="inlineStr">
        <is>
          <t>MDO PJ Fixo</t>
        </is>
      </c>
      <c r="N483" t="inlineStr">
        <is>
          <t>34</t>
        </is>
      </c>
      <c r="O483" t="inlineStr">
        <is>
          <t>Documentação Aprovada</t>
        </is>
      </c>
      <c r="P483" t="inlineStr">
        <is>
          <t>Aprovado Diretoria</t>
        </is>
      </c>
      <c r="Q483" t="inlineStr">
        <is>
          <t>Aprovado Caixa</t>
        </is>
      </c>
      <c r="R483" t="inlineStr">
        <is>
          <t>Pago</t>
        </is>
      </c>
      <c r="S483" t="n">
        <v>182</v>
      </c>
      <c r="T483" t="inlineStr">
        <is>
          <t>Love - Shibari - Kamino</t>
        </is>
      </c>
    </row>
    <row r="484">
      <c r="A484" t="n">
        <v>166263</v>
      </c>
      <c r="B484" t="n">
        <v>128</v>
      </c>
      <c r="C484" t="inlineStr">
        <is>
          <t>Love Cabaret</t>
        </is>
      </c>
      <c r="D484" t="inlineStr">
        <is>
          <t>TAMARA SANTOS RIBEIRO</t>
        </is>
      </c>
      <c r="E484" t="n">
        <v>3500</v>
      </c>
      <c r="F484" s="27" t="n">
        <v>45971</v>
      </c>
      <c r="G484" s="27" t="n">
        <v>45971</v>
      </c>
      <c r="H484" s="27" t="n">
        <v>45971</v>
      </c>
      <c r="I484" s="27" t="n">
        <v>45931</v>
      </c>
      <c r="J484" s="27" t="n">
        <v>45939</v>
      </c>
      <c r="K484" t="inlineStr">
        <is>
          <t>Transferência Bancária ou Pix</t>
        </is>
      </c>
      <c r="L484" t="inlineStr">
        <is>
          <t>Mão de Obra - PJ</t>
        </is>
      </c>
      <c r="M484" t="inlineStr">
        <is>
          <t>MDO PJ Fixo</t>
        </is>
      </c>
      <c r="N484" t="inlineStr">
        <is>
          <t>31</t>
        </is>
      </c>
      <c r="O484" t="inlineStr">
        <is>
          <t>Documentação Aprovada</t>
        </is>
      </c>
      <c r="P484" t="inlineStr">
        <is>
          <t>Aprovado Diretoria</t>
        </is>
      </c>
      <c r="Q484" t="inlineStr">
        <is>
          <t>Aprovado Caixa</t>
        </is>
      </c>
      <c r="R484" t="inlineStr">
        <is>
          <t>Pago</t>
        </is>
      </c>
      <c r="S484" t="n">
        <v>182</v>
      </c>
      <c r="T484" t="inlineStr">
        <is>
          <t>Love - Shibari - Kamino</t>
        </is>
      </c>
    </row>
    <row r="485">
      <c r="A485" t="n">
        <v>166261</v>
      </c>
      <c r="B485" t="n">
        <v>128</v>
      </c>
      <c r="C485" t="inlineStr">
        <is>
          <t>Love Cabaret</t>
        </is>
      </c>
      <c r="D485" t="inlineStr">
        <is>
          <t xml:space="preserve">PJ 00452023 LAISA ROCHA LARANGEIRA </t>
        </is>
      </c>
      <c r="E485" t="n">
        <v>1600</v>
      </c>
      <c r="F485" s="27" t="n">
        <v>45971</v>
      </c>
      <c r="G485" s="27" t="n">
        <v>45971</v>
      </c>
      <c r="H485" s="27" t="n">
        <v>45971</v>
      </c>
      <c r="I485" s="27" t="n">
        <v>45931</v>
      </c>
      <c r="J485" s="27" t="n">
        <v>45939</v>
      </c>
      <c r="K485" t="inlineStr">
        <is>
          <t>Transferência Bancária ou Pix</t>
        </is>
      </c>
      <c r="L485" t="inlineStr">
        <is>
          <t>Mão de Obra - PJ</t>
        </is>
      </c>
      <c r="M485" t="inlineStr">
        <is>
          <t>MDO PJ Fixo</t>
        </is>
      </c>
      <c r="N485" t="inlineStr">
        <is>
          <t>93</t>
        </is>
      </c>
      <c r="O485" t="inlineStr">
        <is>
          <t>Documentação Aprovada</t>
        </is>
      </c>
      <c r="P485" t="inlineStr">
        <is>
          <t>Aprovado Diretoria</t>
        </is>
      </c>
      <c r="Q485" t="inlineStr">
        <is>
          <t>Aprovado Caixa</t>
        </is>
      </c>
      <c r="R485" t="inlineStr">
        <is>
          <t>Pago</t>
        </is>
      </c>
      <c r="S485" t="n">
        <v>182</v>
      </c>
      <c r="T485" t="inlineStr">
        <is>
          <t>Love - Shibari - Kamino</t>
        </is>
      </c>
    </row>
    <row r="486">
      <c r="A486" t="n">
        <v>166262</v>
      </c>
      <c r="B486" t="n">
        <v>128</v>
      </c>
      <c r="C486" t="inlineStr">
        <is>
          <t>Love Cabaret</t>
        </is>
      </c>
      <c r="D486" t="inlineStr">
        <is>
          <t>MARIA EDUARDA RAMOS DE SOUSA</t>
        </is>
      </c>
      <c r="E486" t="n">
        <v>1600</v>
      </c>
      <c r="F486" s="27" t="n">
        <v>45971</v>
      </c>
      <c r="G486" s="27" t="n">
        <v>45971</v>
      </c>
      <c r="H486" s="27" t="n">
        <v>45971</v>
      </c>
      <c r="I486" s="27" t="n">
        <v>45931</v>
      </c>
      <c r="J486" s="27" t="n">
        <v>45939</v>
      </c>
      <c r="K486" t="inlineStr">
        <is>
          <t>Transferência Bancária ou Pix</t>
        </is>
      </c>
      <c r="L486" t="inlineStr">
        <is>
          <t>Mão de Obra - PJ</t>
        </is>
      </c>
      <c r="M486" t="inlineStr">
        <is>
          <t>MDO PJ Fixo</t>
        </is>
      </c>
      <c r="N486" t="inlineStr">
        <is>
          <t>67</t>
        </is>
      </c>
      <c r="O486" t="inlineStr">
        <is>
          <t>Documentação Aprovada</t>
        </is>
      </c>
      <c r="P486" t="inlineStr">
        <is>
          <t>Aprovado Diretoria</t>
        </is>
      </c>
      <c r="Q486" t="inlineStr">
        <is>
          <t>Aprovado Caixa</t>
        </is>
      </c>
      <c r="R486" t="inlineStr">
        <is>
          <t>Pago</t>
        </is>
      </c>
      <c r="S486" t="n">
        <v>182</v>
      </c>
      <c r="T486" t="inlineStr">
        <is>
          <t>Love - Shibari - Kamino</t>
        </is>
      </c>
    </row>
    <row r="487">
      <c r="A487" t="n">
        <v>164470</v>
      </c>
      <c r="B487" t="n">
        <v>128</v>
      </c>
      <c r="C487" t="inlineStr">
        <is>
          <t>Love Cabaret</t>
        </is>
      </c>
      <c r="D487" t="inlineStr">
        <is>
          <t>MICHELLY ROSSI COUTO</t>
        </is>
      </c>
      <c r="E487" t="n">
        <v>5000</v>
      </c>
      <c r="F487" s="27" t="n">
        <v>45971</v>
      </c>
      <c r="G487" s="27" t="n">
        <v>45971</v>
      </c>
      <c r="H487" s="27" t="n">
        <v>45971</v>
      </c>
      <c r="I487" s="27" t="n">
        <v>45962</v>
      </c>
      <c r="J487" s="27" t="n">
        <v>45932</v>
      </c>
      <c r="K487" t="inlineStr">
        <is>
          <t>Transferência Bancária ou Pix</t>
        </is>
      </c>
      <c r="L487" t="inlineStr">
        <is>
          <t>Patrocínio</t>
        </is>
      </c>
      <c r="M487" t="inlineStr">
        <is>
          <t>(-) Despesas de Patrocínio</t>
        </is>
      </c>
      <c r="N487" t="inlineStr">
        <is>
          <t>283</t>
        </is>
      </c>
      <c r="O487" t="inlineStr">
        <is>
          <t>Documentação Aprovada</t>
        </is>
      </c>
      <c r="P487" t="inlineStr">
        <is>
          <t>Aprovado Diretoria</t>
        </is>
      </c>
      <c r="Q487" t="inlineStr">
        <is>
          <t>Aprovado Caixa</t>
        </is>
      </c>
      <c r="R487" t="inlineStr">
        <is>
          <t>Pago</t>
        </is>
      </c>
      <c r="S487" t="n">
        <v>182</v>
      </c>
      <c r="T487" t="inlineStr">
        <is>
          <t>Love - Shibari - Kamino</t>
        </is>
      </c>
    </row>
    <row r="488">
      <c r="A488" t="n">
        <v>102925</v>
      </c>
      <c r="B488" t="n">
        <v>128</v>
      </c>
      <c r="C488" t="inlineStr">
        <is>
          <t>Love Cabaret</t>
        </is>
      </c>
      <c r="D488" t="inlineStr">
        <is>
          <t>PRESHH ALUGUEL DE MAQUINAS LTDA</t>
        </is>
      </c>
      <c r="E488" t="n">
        <v>727.2</v>
      </c>
      <c r="F488" s="27" t="n">
        <v>45971</v>
      </c>
      <c r="G488" s="27" t="n">
        <v>45971</v>
      </c>
      <c r="H488" s="27" t="n">
        <v>45971</v>
      </c>
      <c r="I488" s="27" t="n">
        <v>45961</v>
      </c>
      <c r="J488" s="27" t="n"/>
      <c r="K488" t="inlineStr">
        <is>
          <t>Boleto Bancário</t>
        </is>
      </c>
      <c r="L488" t="inlineStr">
        <is>
          <t>Locação de Equipamentos</t>
        </is>
      </c>
      <c r="M488" t="inlineStr">
        <is>
          <t>Locações de Equipamentos - Operacionais</t>
        </is>
      </c>
      <c r="N488" t="inlineStr">
        <is>
          <t xml:space="preserve">648222511 </t>
        </is>
      </c>
      <c r="O488" t="inlineStr">
        <is>
          <t>Documentação Aprovada</t>
        </is>
      </c>
      <c r="P488" t="inlineStr">
        <is>
          <t>Aprovado Diretoria</t>
        </is>
      </c>
      <c r="Q488" t="inlineStr">
        <is>
          <t>Aprovado Caixa</t>
        </is>
      </c>
      <c r="R488" t="inlineStr">
        <is>
          <t>Pago</t>
        </is>
      </c>
      <c r="S488" t="n">
        <v>182</v>
      </c>
      <c r="T488" t="inlineStr">
        <is>
          <t>Love - Shibari - Kamino</t>
        </is>
      </c>
    </row>
    <row r="489">
      <c r="A489" t="n">
        <v>97534</v>
      </c>
      <c r="B489" t="n">
        <v>128</v>
      </c>
      <c r="C489" t="inlineStr">
        <is>
          <t>Love Cabaret</t>
        </is>
      </c>
      <c r="D489" t="inlineStr">
        <is>
          <t>ISS</t>
        </is>
      </c>
      <c r="E489" t="n">
        <v>207.48</v>
      </c>
      <c r="F489" s="27" t="n">
        <v>45971</v>
      </c>
      <c r="G489" s="27" t="n">
        <v>45971</v>
      </c>
      <c r="H489" s="27" t="n">
        <v>45971</v>
      </c>
      <c r="I489" s="27" t="n">
        <v>45961</v>
      </c>
      <c r="J489" s="27" t="n"/>
      <c r="K489" t="inlineStr">
        <is>
          <t>Boleto Bancário</t>
        </is>
      </c>
      <c r="L489" t="inlineStr">
        <is>
          <t>Utilidades</t>
        </is>
      </c>
      <c r="M489" t="inlineStr">
        <is>
          <t>Coleta de lixo</t>
        </is>
      </c>
      <c r="N489" t="inlineStr">
        <is>
          <t>OUT2025</t>
        </is>
      </c>
      <c r="O489" t="inlineStr">
        <is>
          <t>Documentação Aprovada</t>
        </is>
      </c>
      <c r="P489" t="inlineStr">
        <is>
          <t>Aprovado Diretoria</t>
        </is>
      </c>
      <c r="Q489" t="inlineStr">
        <is>
          <t>Aprovado Caixa</t>
        </is>
      </c>
      <c r="R489" t="inlineStr">
        <is>
          <t>Pago</t>
        </is>
      </c>
      <c r="S489" t="n">
        <v>182</v>
      </c>
      <c r="T489" t="inlineStr">
        <is>
          <t>Love - Shibari - Kamino</t>
        </is>
      </c>
    </row>
    <row r="490">
      <c r="A490" t="n">
        <v>174848</v>
      </c>
      <c r="B490" t="n">
        <v>128</v>
      </c>
      <c r="C490" t="inlineStr">
        <is>
          <t>Love Cabaret</t>
        </is>
      </c>
      <c r="D490" t="inlineStr">
        <is>
          <t>BRADESCO SA</t>
        </is>
      </c>
      <c r="E490" t="n">
        <v>9.800000000000001</v>
      </c>
      <c r="F490" s="27" t="n">
        <v>45968</v>
      </c>
      <c r="G490" s="27" t="n"/>
      <c r="H490" s="27" t="n">
        <v>45968</v>
      </c>
      <c r="I490" s="27" t="n">
        <v>45968</v>
      </c>
      <c r="J490" s="27" t="n"/>
      <c r="K490" t="inlineStr">
        <is>
          <t xml:space="preserve">Debito Automático </t>
        </is>
      </c>
      <c r="L490" t="inlineStr">
        <is>
          <t>Despesas Financeiras</t>
        </is>
      </c>
      <c r="M490" t="inlineStr">
        <is>
          <t>Tarifas Bancárias</t>
        </is>
      </c>
      <c r="O490" t="inlineStr">
        <is>
          <t>Documentação Aprovada</t>
        </is>
      </c>
      <c r="P490" t="inlineStr">
        <is>
          <t>Aprovado Diretoria</t>
        </is>
      </c>
      <c r="Q490" t="inlineStr">
        <is>
          <t>Aprovado Caixa</t>
        </is>
      </c>
      <c r="R490" t="inlineStr">
        <is>
          <t>Pago</t>
        </is>
      </c>
      <c r="S490" t="n">
        <v>115</v>
      </c>
      <c r="T490" t="inlineStr">
        <is>
          <t>Love - Shibari - Bradesco</t>
        </is>
      </c>
    </row>
    <row r="491">
      <c r="A491" t="n">
        <v>188458</v>
      </c>
      <c r="B491" t="n">
        <v>128</v>
      </c>
      <c r="C491" t="inlineStr">
        <is>
          <t>Love Cabaret</t>
        </is>
      </c>
      <c r="D491" t="inlineStr">
        <is>
          <t>MERCADO PAGO.COM REPRESENTACOES LTDA</t>
        </is>
      </c>
      <c r="E491" t="n">
        <v>101.73</v>
      </c>
      <c r="F491" s="27" t="n">
        <v>45967</v>
      </c>
      <c r="G491" s="27" t="n"/>
      <c r="H491" s="27" t="n">
        <v>45967</v>
      </c>
      <c r="I491" s="27" t="n">
        <v>45967</v>
      </c>
      <c r="J491" s="27" t="n">
        <v>46026</v>
      </c>
      <c r="K491" t="inlineStr">
        <is>
          <t>Transferência Bancária ou Pix</t>
        </is>
      </c>
      <c r="L491" t="inlineStr">
        <is>
          <t>Custo Mercadoria Vendida</t>
        </is>
      </c>
      <c r="M491" t="inlineStr">
        <is>
          <t>Insumos - Bebidas</t>
        </is>
      </c>
      <c r="N491" t="inlineStr">
        <is>
          <t>A VISTA 06112025</t>
        </is>
      </c>
      <c r="R491" t="inlineStr">
        <is>
          <t>Pago</t>
        </is>
      </c>
      <c r="S491" t="n">
        <v>182</v>
      </c>
      <c r="T491" t="inlineStr">
        <is>
          <t>Love - Shibari - Kamino</t>
        </is>
      </c>
    </row>
    <row r="492">
      <c r="A492" t="n">
        <v>169690</v>
      </c>
      <c r="B492" t="n">
        <v>128</v>
      </c>
      <c r="C492" t="inlineStr">
        <is>
          <t>Love Cabaret</t>
        </is>
      </c>
      <c r="D492" t="inlineStr">
        <is>
          <t>PETTY CASH</t>
        </is>
      </c>
      <c r="E492" t="n">
        <v>15.98</v>
      </c>
      <c r="F492" s="27" t="n">
        <v>45966</v>
      </c>
      <c r="G492" s="27" t="n">
        <v>45966</v>
      </c>
      <c r="H492" s="27" t="n">
        <v>45966</v>
      </c>
      <c r="I492" s="27" t="n">
        <v>45931</v>
      </c>
      <c r="J492" s="27" t="n">
        <v>45954</v>
      </c>
      <c r="K492" t="inlineStr">
        <is>
          <t>Cartão de Crédito</t>
        </is>
      </c>
      <c r="L492" t="inlineStr">
        <is>
          <t>Utilidades</t>
        </is>
      </c>
      <c r="M492" t="inlineStr">
        <is>
          <t>Utensilios</t>
        </is>
      </c>
      <c r="N492" t="inlineStr">
        <is>
          <t>2PETTY102025</t>
        </is>
      </c>
      <c r="O492" t="inlineStr">
        <is>
          <t>Documentação Aprovada</t>
        </is>
      </c>
      <c r="P492" t="inlineStr">
        <is>
          <t>Aprovado Diretoria</t>
        </is>
      </c>
      <c r="Q492" t="inlineStr">
        <is>
          <t>Aprovado Caixa</t>
        </is>
      </c>
      <c r="R492" t="inlineStr">
        <is>
          <t>Pago</t>
        </is>
      </c>
      <c r="S492" t="n">
        <v>182</v>
      </c>
      <c r="T492" t="inlineStr">
        <is>
          <t>Love - Shibari - Kamino</t>
        </is>
      </c>
    </row>
    <row r="493">
      <c r="A493" t="n">
        <v>169724</v>
      </c>
      <c r="B493" t="n">
        <v>128</v>
      </c>
      <c r="C493" t="inlineStr">
        <is>
          <t>Love Cabaret</t>
        </is>
      </c>
      <c r="D493" t="inlineStr">
        <is>
          <t>PETTY CASH</t>
        </is>
      </c>
      <c r="E493" t="n">
        <v>154</v>
      </c>
      <c r="F493" s="27" t="n">
        <v>45966</v>
      </c>
      <c r="G493" s="27" t="n">
        <v>45966</v>
      </c>
      <c r="H493" s="27" t="n">
        <v>45966</v>
      </c>
      <c r="I493" s="27" t="n">
        <v>45931</v>
      </c>
      <c r="J493" s="27" t="n">
        <v>45954</v>
      </c>
      <c r="K493" t="inlineStr">
        <is>
          <t>Cartão de Crédito</t>
        </is>
      </c>
      <c r="L493" t="inlineStr">
        <is>
          <t>Utilidades</t>
        </is>
      </c>
      <c r="M493" t="inlineStr">
        <is>
          <t>Utensilios</t>
        </is>
      </c>
      <c r="N493" t="inlineStr">
        <is>
          <t>10PETTY102025</t>
        </is>
      </c>
      <c r="O493" t="inlineStr">
        <is>
          <t>Documentação Aprovada</t>
        </is>
      </c>
      <c r="P493" t="inlineStr">
        <is>
          <t>Aprovado Diretoria</t>
        </is>
      </c>
      <c r="Q493" t="inlineStr">
        <is>
          <t>Aprovado Caixa</t>
        </is>
      </c>
      <c r="R493" t="inlineStr">
        <is>
          <t>Pago</t>
        </is>
      </c>
      <c r="S493" t="n">
        <v>182</v>
      </c>
      <c r="T493" t="inlineStr">
        <is>
          <t>Love - Shibari - Kamino</t>
        </is>
      </c>
    </row>
    <row r="494">
      <c r="A494" t="n">
        <v>169718</v>
      </c>
      <c r="B494" t="n">
        <v>128</v>
      </c>
      <c r="C494" t="inlineStr">
        <is>
          <t>Love Cabaret</t>
        </is>
      </c>
      <c r="D494" t="inlineStr">
        <is>
          <t>PETTY CASH</t>
        </is>
      </c>
      <c r="E494" t="n">
        <v>107</v>
      </c>
      <c r="F494" s="27" t="n">
        <v>45966</v>
      </c>
      <c r="G494" s="27" t="n">
        <v>45966</v>
      </c>
      <c r="H494" s="27" t="n">
        <v>45966</v>
      </c>
      <c r="I494" s="27" t="n">
        <v>45931</v>
      </c>
      <c r="J494" s="27" t="n">
        <v>45954</v>
      </c>
      <c r="K494" t="inlineStr">
        <is>
          <t>Cartão de Crédito</t>
        </is>
      </c>
      <c r="L494" t="inlineStr">
        <is>
          <t>Manutenção</t>
        </is>
      </c>
      <c r="M494" t="inlineStr">
        <is>
          <t>Material de Manutenção</t>
        </is>
      </c>
      <c r="N494" t="inlineStr">
        <is>
          <t>8PETTY102025</t>
        </is>
      </c>
      <c r="O494" t="inlineStr">
        <is>
          <t>Documentação Aprovada</t>
        </is>
      </c>
      <c r="P494" t="inlineStr">
        <is>
          <t>Aprovado Diretoria</t>
        </is>
      </c>
      <c r="Q494" t="inlineStr">
        <is>
          <t>Aprovado Caixa</t>
        </is>
      </c>
      <c r="R494" t="inlineStr">
        <is>
          <t>Pago</t>
        </is>
      </c>
      <c r="S494" t="n">
        <v>182</v>
      </c>
      <c r="T494" t="inlineStr">
        <is>
          <t>Love - Shibari - Kamino</t>
        </is>
      </c>
    </row>
    <row r="495">
      <c r="A495" t="n">
        <v>169716</v>
      </c>
      <c r="B495" t="n">
        <v>128</v>
      </c>
      <c r="C495" t="inlineStr">
        <is>
          <t>Love Cabaret</t>
        </is>
      </c>
      <c r="D495" t="inlineStr">
        <is>
          <t>PETTY CASH</t>
        </is>
      </c>
      <c r="E495" t="n">
        <v>8.09</v>
      </c>
      <c r="F495" s="27" t="n">
        <v>45966</v>
      </c>
      <c r="G495" s="27" t="n">
        <v>45966</v>
      </c>
      <c r="H495" s="27" t="n">
        <v>45966</v>
      </c>
      <c r="I495" s="27" t="n">
        <v>45931</v>
      </c>
      <c r="J495" s="27" t="n">
        <v>45954</v>
      </c>
      <c r="K495" t="inlineStr">
        <is>
          <t>Cartão de Crédito</t>
        </is>
      </c>
      <c r="L495" t="inlineStr">
        <is>
          <t>Custo Mercadoria Vendida</t>
        </is>
      </c>
      <c r="M495" t="inlineStr">
        <is>
          <t>Insumos - Alimentos</t>
        </is>
      </c>
      <c r="N495" t="inlineStr">
        <is>
          <t>7PETTY102025</t>
        </is>
      </c>
      <c r="O495" t="inlineStr">
        <is>
          <t>Documentação Aprovada</t>
        </is>
      </c>
      <c r="P495" t="inlineStr">
        <is>
          <t>Aprovado Diretoria</t>
        </is>
      </c>
      <c r="Q495" t="inlineStr">
        <is>
          <t>Aprovado Caixa</t>
        </is>
      </c>
      <c r="R495" t="inlineStr">
        <is>
          <t>Pago</t>
        </is>
      </c>
      <c r="S495" t="n">
        <v>182</v>
      </c>
      <c r="T495" t="inlineStr">
        <is>
          <t>Love - Shibari - Kamino</t>
        </is>
      </c>
    </row>
    <row r="496">
      <c r="A496" t="n">
        <v>169733</v>
      </c>
      <c r="B496" t="n">
        <v>128</v>
      </c>
      <c r="C496" t="inlineStr">
        <is>
          <t>Love Cabaret</t>
        </is>
      </c>
      <c r="D496" t="inlineStr">
        <is>
          <t>PETTY CASH</t>
        </is>
      </c>
      <c r="E496" t="n">
        <v>27</v>
      </c>
      <c r="F496" s="27" t="n">
        <v>45966</v>
      </c>
      <c r="G496" s="27" t="n">
        <v>45966</v>
      </c>
      <c r="H496" s="27" t="n">
        <v>45966</v>
      </c>
      <c r="I496" s="27" t="n">
        <v>45931</v>
      </c>
      <c r="J496" s="27" t="n">
        <v>45954</v>
      </c>
      <c r="K496" t="inlineStr">
        <is>
          <t>Cartão de Crédito</t>
        </is>
      </c>
      <c r="L496" t="inlineStr">
        <is>
          <t>Manutenção</t>
        </is>
      </c>
      <c r="M496" t="inlineStr">
        <is>
          <t>Material de Manutenção</t>
        </is>
      </c>
      <c r="N496" t="inlineStr">
        <is>
          <t>14PETTY102025</t>
        </is>
      </c>
      <c r="O496" t="inlineStr">
        <is>
          <t>Documentação Aprovada</t>
        </is>
      </c>
      <c r="P496" t="inlineStr">
        <is>
          <t>Aprovado Diretoria</t>
        </is>
      </c>
      <c r="Q496" t="inlineStr">
        <is>
          <t>Aprovado Caixa</t>
        </is>
      </c>
      <c r="R496" t="inlineStr">
        <is>
          <t>Pago</t>
        </is>
      </c>
      <c r="S496" t="n">
        <v>182</v>
      </c>
      <c r="T496" t="inlineStr">
        <is>
          <t>Love - Shibari - Kamino</t>
        </is>
      </c>
    </row>
    <row r="497">
      <c r="A497" t="n">
        <v>169715</v>
      </c>
      <c r="B497" t="n">
        <v>128</v>
      </c>
      <c r="C497" t="inlineStr">
        <is>
          <t>Love Cabaret</t>
        </is>
      </c>
      <c r="D497" t="inlineStr">
        <is>
          <t>PETTY CASH</t>
        </is>
      </c>
      <c r="E497" t="n">
        <v>3.99</v>
      </c>
      <c r="F497" s="27" t="n">
        <v>45966</v>
      </c>
      <c r="G497" s="27" t="n">
        <v>45966</v>
      </c>
      <c r="H497" s="27" t="n">
        <v>45966</v>
      </c>
      <c r="I497" s="27" t="n">
        <v>45931</v>
      </c>
      <c r="J497" s="27" t="n">
        <v>45954</v>
      </c>
      <c r="K497" t="inlineStr">
        <is>
          <t>Cartão de Crédito</t>
        </is>
      </c>
      <c r="L497" t="inlineStr">
        <is>
          <t>Custo Mercadoria Vendida</t>
        </is>
      </c>
      <c r="M497" t="inlineStr">
        <is>
          <t>Insumos - Alimentos</t>
        </is>
      </c>
      <c r="N497" t="inlineStr">
        <is>
          <t>6PETTY102025</t>
        </is>
      </c>
      <c r="O497" t="inlineStr">
        <is>
          <t>Documentação Aprovada</t>
        </is>
      </c>
      <c r="P497" t="inlineStr">
        <is>
          <t>Aprovado Diretoria</t>
        </is>
      </c>
      <c r="Q497" t="inlineStr">
        <is>
          <t>Aprovado Caixa</t>
        </is>
      </c>
      <c r="R497" t="inlineStr">
        <is>
          <t>Pago</t>
        </is>
      </c>
      <c r="S497" t="n">
        <v>182</v>
      </c>
      <c r="T497" t="inlineStr">
        <is>
          <t>Love - Shibari - Kamino</t>
        </is>
      </c>
    </row>
    <row r="498">
      <c r="A498" t="n">
        <v>169730</v>
      </c>
      <c r="B498" t="n">
        <v>128</v>
      </c>
      <c r="C498" t="inlineStr">
        <is>
          <t>Love Cabaret</t>
        </is>
      </c>
      <c r="D498" t="inlineStr">
        <is>
          <t>PETTY CASH</t>
        </is>
      </c>
      <c r="E498" t="n">
        <v>217</v>
      </c>
      <c r="F498" s="27" t="n">
        <v>45966</v>
      </c>
      <c r="G498" s="27" t="n">
        <v>45966</v>
      </c>
      <c r="H498" s="27" t="n">
        <v>45966</v>
      </c>
      <c r="I498" s="27" t="n">
        <v>45931</v>
      </c>
      <c r="J498" s="27" t="n">
        <v>45954</v>
      </c>
      <c r="K498" t="inlineStr">
        <is>
          <t>Cartão de Crédito</t>
        </is>
      </c>
      <c r="L498" t="inlineStr">
        <is>
          <t>Manutenção</t>
        </is>
      </c>
      <c r="M498" t="inlineStr">
        <is>
          <t>Material de Manutenção</t>
        </is>
      </c>
      <c r="N498" t="inlineStr">
        <is>
          <t>13PETTY102025</t>
        </is>
      </c>
      <c r="O498" t="inlineStr">
        <is>
          <t>Documentação Aprovada</t>
        </is>
      </c>
      <c r="P498" t="inlineStr">
        <is>
          <t>Aprovado Diretoria</t>
        </is>
      </c>
      <c r="Q498" t="inlineStr">
        <is>
          <t>Aprovado Caixa</t>
        </is>
      </c>
      <c r="R498" t="inlineStr">
        <is>
          <t>Pago</t>
        </is>
      </c>
      <c r="S498" t="n">
        <v>182</v>
      </c>
      <c r="T498" t="inlineStr">
        <is>
          <t>Love - Shibari - Kamino</t>
        </is>
      </c>
    </row>
    <row r="499">
      <c r="A499" t="n">
        <v>169677</v>
      </c>
      <c r="B499" t="n">
        <v>128</v>
      </c>
      <c r="C499" t="inlineStr">
        <is>
          <t>Love Cabaret</t>
        </is>
      </c>
      <c r="D499" t="inlineStr">
        <is>
          <t>PETTY CASH</t>
        </is>
      </c>
      <c r="E499" t="n">
        <v>165</v>
      </c>
      <c r="F499" s="27" t="n">
        <v>45966</v>
      </c>
      <c r="G499" s="27" t="n">
        <v>45966</v>
      </c>
      <c r="H499" s="27" t="n">
        <v>45966</v>
      </c>
      <c r="I499" s="27" t="n">
        <v>45931</v>
      </c>
      <c r="J499" s="27" t="n">
        <v>45954</v>
      </c>
      <c r="K499" t="inlineStr">
        <is>
          <t>Cartão de Crédito</t>
        </is>
      </c>
      <c r="L499" t="inlineStr">
        <is>
          <t>Manutenção</t>
        </is>
      </c>
      <c r="M499" t="inlineStr">
        <is>
          <t>Material de Manutenção</t>
        </is>
      </c>
      <c r="N499" t="inlineStr">
        <is>
          <t>1PETTY102025</t>
        </is>
      </c>
      <c r="O499" t="inlineStr">
        <is>
          <t>Documentação Aprovada</t>
        </is>
      </c>
      <c r="P499" t="inlineStr">
        <is>
          <t>Aprovado Diretoria</t>
        </is>
      </c>
      <c r="Q499" t="inlineStr">
        <is>
          <t>Aprovado Caixa</t>
        </is>
      </c>
      <c r="R499" t="inlineStr">
        <is>
          <t>Pago</t>
        </is>
      </c>
      <c r="S499" t="n">
        <v>182</v>
      </c>
      <c r="T499" t="inlineStr">
        <is>
          <t>Love - Shibari - Kamino</t>
        </is>
      </c>
    </row>
    <row r="500">
      <c r="A500" t="n">
        <v>169729</v>
      </c>
      <c r="B500" t="n">
        <v>128</v>
      </c>
      <c r="C500" t="inlineStr">
        <is>
          <t>Love Cabaret</t>
        </is>
      </c>
      <c r="D500" t="inlineStr">
        <is>
          <t>PETTY CASH</t>
        </is>
      </c>
      <c r="E500" t="n">
        <v>37.8</v>
      </c>
      <c r="F500" s="27" t="n">
        <v>45966</v>
      </c>
      <c r="G500" s="27" t="n">
        <v>45966</v>
      </c>
      <c r="H500" s="27" t="n">
        <v>45966</v>
      </c>
      <c r="I500" s="27" t="n">
        <v>45931</v>
      </c>
      <c r="J500" s="27" t="n">
        <v>45954</v>
      </c>
      <c r="K500" t="inlineStr">
        <is>
          <t>Cartão de Crédito</t>
        </is>
      </c>
      <c r="L500" t="inlineStr">
        <is>
          <t>Utilidades</t>
        </is>
      </c>
      <c r="M500" t="inlineStr">
        <is>
          <t>Serviços Graficos</t>
        </is>
      </c>
      <c r="N500" t="inlineStr">
        <is>
          <t>12PETTY102025</t>
        </is>
      </c>
      <c r="O500" t="inlineStr">
        <is>
          <t>Documentação Aprovada</t>
        </is>
      </c>
      <c r="P500" t="inlineStr">
        <is>
          <t>Aprovado Diretoria</t>
        </is>
      </c>
      <c r="Q500" t="inlineStr">
        <is>
          <t>Aprovado Caixa</t>
        </is>
      </c>
      <c r="R500" t="inlineStr">
        <is>
          <t>Pago</t>
        </is>
      </c>
      <c r="S500" t="n">
        <v>182</v>
      </c>
      <c r="T500" t="inlineStr">
        <is>
          <t>Love - Shibari - Kamino</t>
        </is>
      </c>
    </row>
    <row r="501">
      <c r="A501" t="n">
        <v>169726</v>
      </c>
      <c r="B501" t="n">
        <v>128</v>
      </c>
      <c r="C501" t="inlineStr">
        <is>
          <t>Love Cabaret</t>
        </is>
      </c>
      <c r="D501" t="inlineStr">
        <is>
          <t>PETTY CASH</t>
        </is>
      </c>
      <c r="E501" t="n">
        <v>191.9</v>
      </c>
      <c r="F501" s="27" t="n">
        <v>45966</v>
      </c>
      <c r="G501" s="27" t="n">
        <v>45966</v>
      </c>
      <c r="H501" s="27" t="n">
        <v>45966</v>
      </c>
      <c r="I501" s="27" t="n">
        <v>45931</v>
      </c>
      <c r="J501" s="27" t="n">
        <v>45954</v>
      </c>
      <c r="K501" t="inlineStr">
        <is>
          <t>Cartão de Crédito</t>
        </is>
      </c>
      <c r="L501" t="inlineStr">
        <is>
          <t>Manutenção</t>
        </is>
      </c>
      <c r="M501" t="inlineStr">
        <is>
          <t>Material de Manutenção</t>
        </is>
      </c>
      <c r="N501" t="inlineStr">
        <is>
          <t>11PETTY102025</t>
        </is>
      </c>
      <c r="O501" t="inlineStr">
        <is>
          <t>Documentação Aprovada</t>
        </is>
      </c>
      <c r="P501" t="inlineStr">
        <is>
          <t>Aprovado Diretoria</t>
        </is>
      </c>
      <c r="Q501" t="inlineStr">
        <is>
          <t>Aprovado Caixa</t>
        </is>
      </c>
      <c r="R501" t="inlineStr">
        <is>
          <t>Pago</t>
        </is>
      </c>
      <c r="S501" t="n">
        <v>182</v>
      </c>
      <c r="T501" t="inlineStr">
        <is>
          <t>Love - Shibari - Kamino</t>
        </is>
      </c>
    </row>
    <row r="502">
      <c r="A502" t="n">
        <v>169707</v>
      </c>
      <c r="B502" t="n">
        <v>128</v>
      </c>
      <c r="C502" t="inlineStr">
        <is>
          <t>Love Cabaret</t>
        </is>
      </c>
      <c r="D502" t="inlineStr">
        <is>
          <t>PETTY CASH</t>
        </is>
      </c>
      <c r="E502" t="n">
        <v>34.99</v>
      </c>
      <c r="F502" s="27" t="n">
        <v>45966</v>
      </c>
      <c r="G502" s="27" t="n">
        <v>45966</v>
      </c>
      <c r="H502" s="27" t="n">
        <v>45966</v>
      </c>
      <c r="I502" s="27" t="n">
        <v>45931</v>
      </c>
      <c r="J502" s="27" t="n">
        <v>45954</v>
      </c>
      <c r="K502" t="inlineStr">
        <is>
          <t>Cartão de Crédito</t>
        </is>
      </c>
      <c r="L502" t="inlineStr">
        <is>
          <t>Utilidades</t>
        </is>
      </c>
      <c r="M502" t="inlineStr">
        <is>
          <t>Material de Escritorio</t>
        </is>
      </c>
      <c r="N502" t="inlineStr">
        <is>
          <t>5PETTY102025</t>
        </is>
      </c>
      <c r="O502" t="inlineStr">
        <is>
          <t>Documentação Aprovada</t>
        </is>
      </c>
      <c r="P502" t="inlineStr">
        <is>
          <t>Aprovado Diretoria</t>
        </is>
      </c>
      <c r="Q502" t="inlineStr">
        <is>
          <t>Aprovado Caixa</t>
        </is>
      </c>
      <c r="R502" t="inlineStr">
        <is>
          <t>Pago</t>
        </is>
      </c>
      <c r="S502" t="n">
        <v>182</v>
      </c>
      <c r="T502" t="inlineStr">
        <is>
          <t>Love - Shibari - Kamino</t>
        </is>
      </c>
    </row>
    <row r="503">
      <c r="A503" t="n">
        <v>169705</v>
      </c>
      <c r="B503" t="n">
        <v>128</v>
      </c>
      <c r="C503" t="inlineStr">
        <is>
          <t>Love Cabaret</t>
        </is>
      </c>
      <c r="D503" t="inlineStr">
        <is>
          <t>PETTY CASH</t>
        </is>
      </c>
      <c r="E503" t="n">
        <v>19.56</v>
      </c>
      <c r="F503" s="27" t="n">
        <v>45966</v>
      </c>
      <c r="G503" s="27" t="n">
        <v>45966</v>
      </c>
      <c r="H503" s="27" t="n">
        <v>45966</v>
      </c>
      <c r="I503" s="27" t="n">
        <v>45931</v>
      </c>
      <c r="J503" s="27" t="n">
        <v>45954</v>
      </c>
      <c r="K503" t="inlineStr">
        <is>
          <t>Cartão de Crédito</t>
        </is>
      </c>
      <c r="L503" t="inlineStr">
        <is>
          <t>Marketing</t>
        </is>
      </c>
      <c r="M503" t="inlineStr">
        <is>
          <t>Brindes e Confraternizações - Marketing</t>
        </is>
      </c>
      <c r="N503" t="inlineStr">
        <is>
          <t>5PETTY102025</t>
        </is>
      </c>
      <c r="O503" t="inlineStr">
        <is>
          <t>Documentação Aprovada</t>
        </is>
      </c>
      <c r="P503" t="inlineStr">
        <is>
          <t>Aprovado Diretoria</t>
        </is>
      </c>
      <c r="Q503" t="inlineStr">
        <is>
          <t>Aprovado Caixa</t>
        </is>
      </c>
      <c r="R503" t="inlineStr">
        <is>
          <t>Pago</t>
        </is>
      </c>
      <c r="S503" t="n">
        <v>182</v>
      </c>
      <c r="T503" t="inlineStr">
        <is>
          <t>Love - Shibari - Kamino</t>
        </is>
      </c>
    </row>
    <row r="504">
      <c r="A504" t="n">
        <v>169739</v>
      </c>
      <c r="B504" t="n">
        <v>128</v>
      </c>
      <c r="C504" t="inlineStr">
        <is>
          <t>Love Cabaret</t>
        </is>
      </c>
      <c r="D504" t="inlineStr">
        <is>
          <t>PETTY CASH</t>
        </is>
      </c>
      <c r="E504" t="n">
        <v>53.19</v>
      </c>
      <c r="F504" s="27" t="n">
        <v>45966</v>
      </c>
      <c r="G504" s="27" t="n">
        <v>45966</v>
      </c>
      <c r="H504" s="27" t="n">
        <v>45966</v>
      </c>
      <c r="I504" s="27" t="n">
        <v>45931</v>
      </c>
      <c r="J504" s="27" t="n">
        <v>45954</v>
      </c>
      <c r="K504" t="inlineStr">
        <is>
          <t>Cartão de Crédito</t>
        </is>
      </c>
      <c r="L504" t="inlineStr">
        <is>
          <t>Manutenção</t>
        </is>
      </c>
      <c r="M504" t="inlineStr">
        <is>
          <t>Material de Manutenção</t>
        </is>
      </c>
      <c r="N504" t="inlineStr">
        <is>
          <t>16PETTY102025</t>
        </is>
      </c>
      <c r="O504" t="inlineStr">
        <is>
          <t>Documentação Aprovada</t>
        </is>
      </c>
      <c r="P504" t="inlineStr">
        <is>
          <t>Aprovado Diretoria</t>
        </is>
      </c>
      <c r="Q504" t="inlineStr">
        <is>
          <t>Aprovado Caixa</t>
        </is>
      </c>
      <c r="R504" t="inlineStr">
        <is>
          <t>Pago</t>
        </is>
      </c>
      <c r="S504" t="n">
        <v>182</v>
      </c>
      <c r="T504" t="inlineStr">
        <is>
          <t>Love - Shibari - Kamino</t>
        </is>
      </c>
    </row>
    <row r="505">
      <c r="A505" t="n">
        <v>169702</v>
      </c>
      <c r="B505" t="n">
        <v>128</v>
      </c>
      <c r="C505" t="inlineStr">
        <is>
          <t>Love Cabaret</t>
        </is>
      </c>
      <c r="D505" t="inlineStr">
        <is>
          <t>PETTY CASH</t>
        </is>
      </c>
      <c r="E505" t="n">
        <v>60</v>
      </c>
      <c r="F505" s="27" t="n">
        <v>45966</v>
      </c>
      <c r="G505" s="27" t="n">
        <v>45966</v>
      </c>
      <c r="H505" s="27" t="n">
        <v>45966</v>
      </c>
      <c r="I505" s="27" t="n">
        <v>45931</v>
      </c>
      <c r="J505" s="27" t="n">
        <v>45954</v>
      </c>
      <c r="K505" t="inlineStr">
        <is>
          <t>Cartão de Crédito</t>
        </is>
      </c>
      <c r="L505" t="inlineStr">
        <is>
          <t>Marketing</t>
        </is>
      </c>
      <c r="M505" t="inlineStr">
        <is>
          <t>Brindes e Confraternizações - Marketing</t>
        </is>
      </c>
      <c r="N505" t="inlineStr">
        <is>
          <t>4PETTY102025</t>
        </is>
      </c>
      <c r="O505" t="inlineStr">
        <is>
          <t>Documentação Aprovada</t>
        </is>
      </c>
      <c r="P505" t="inlineStr">
        <is>
          <t>Aprovado Diretoria</t>
        </is>
      </c>
      <c r="Q505" t="inlineStr">
        <is>
          <t>Aprovado Caixa</t>
        </is>
      </c>
      <c r="R505" t="inlineStr">
        <is>
          <t>Pago</t>
        </is>
      </c>
      <c r="S505" t="n">
        <v>182</v>
      </c>
      <c r="T505" t="inlineStr">
        <is>
          <t>Love - Shibari - Kamino</t>
        </is>
      </c>
    </row>
    <row r="506">
      <c r="A506" t="n">
        <v>169688</v>
      </c>
      <c r="B506" t="n">
        <v>128</v>
      </c>
      <c r="C506" t="inlineStr">
        <is>
          <t>Love Cabaret</t>
        </is>
      </c>
      <c r="D506" t="inlineStr">
        <is>
          <t>PETTY CASH</t>
        </is>
      </c>
      <c r="E506" t="n">
        <v>19.98</v>
      </c>
      <c r="F506" s="27" t="n">
        <v>45966</v>
      </c>
      <c r="G506" s="27" t="n">
        <v>45966</v>
      </c>
      <c r="H506" s="27" t="n">
        <v>45966</v>
      </c>
      <c r="I506" s="27" t="n">
        <v>45931</v>
      </c>
      <c r="J506" s="27" t="n">
        <v>45954</v>
      </c>
      <c r="K506" t="inlineStr">
        <is>
          <t>Cartão de Crédito</t>
        </is>
      </c>
      <c r="L506" t="inlineStr">
        <is>
          <t>Mão de Obra - Benefícios</t>
        </is>
      </c>
      <c r="M506" t="inlineStr">
        <is>
          <t xml:space="preserve">  -  Alimentação Funcionário</t>
        </is>
      </c>
      <c r="N506" t="inlineStr">
        <is>
          <t>2PETTY102025</t>
        </is>
      </c>
      <c r="O506" t="inlineStr">
        <is>
          <t>Documentação Aprovada</t>
        </is>
      </c>
      <c r="P506" t="inlineStr">
        <is>
          <t>Aprovado Diretoria</t>
        </is>
      </c>
      <c r="Q506" t="inlineStr">
        <is>
          <t>Aprovado Caixa</t>
        </is>
      </c>
      <c r="R506" t="inlineStr">
        <is>
          <t>Pago</t>
        </is>
      </c>
      <c r="S506" t="n">
        <v>182</v>
      </c>
      <c r="T506" t="inlineStr">
        <is>
          <t>Love - Shibari - Kamino</t>
        </is>
      </c>
    </row>
    <row r="507">
      <c r="A507" t="n">
        <v>169735</v>
      </c>
      <c r="B507" t="n">
        <v>128</v>
      </c>
      <c r="C507" t="inlineStr">
        <is>
          <t>Love Cabaret</t>
        </is>
      </c>
      <c r="D507" t="inlineStr">
        <is>
          <t>PETTY CASH</t>
        </is>
      </c>
      <c r="E507" t="n">
        <v>23.9</v>
      </c>
      <c r="F507" s="27" t="n">
        <v>45966</v>
      </c>
      <c r="G507" s="27" t="n">
        <v>45966</v>
      </c>
      <c r="H507" s="27" t="n">
        <v>45966</v>
      </c>
      <c r="I507" s="27" t="n">
        <v>45931</v>
      </c>
      <c r="J507" s="27" t="n">
        <v>45954</v>
      </c>
      <c r="K507" t="inlineStr">
        <is>
          <t>Cartão de Crédito</t>
        </is>
      </c>
      <c r="L507" t="inlineStr">
        <is>
          <t>Utilidades</t>
        </is>
      </c>
      <c r="M507" t="inlineStr">
        <is>
          <t>Utensilios</t>
        </is>
      </c>
      <c r="N507" t="inlineStr">
        <is>
          <t>15PETTY102025</t>
        </is>
      </c>
      <c r="O507" t="inlineStr">
        <is>
          <t>Documentação Aprovada</t>
        </is>
      </c>
      <c r="P507" t="inlineStr">
        <is>
          <t>Aprovado Diretoria</t>
        </is>
      </c>
      <c r="Q507" t="inlineStr">
        <is>
          <t>Aprovado Caixa</t>
        </is>
      </c>
      <c r="R507" t="inlineStr">
        <is>
          <t>Pago</t>
        </is>
      </c>
      <c r="S507" t="n">
        <v>182</v>
      </c>
      <c r="T507" t="inlineStr">
        <is>
          <t>Love - Shibari - Kamino</t>
        </is>
      </c>
    </row>
    <row r="508">
      <c r="A508" t="n">
        <v>169722</v>
      </c>
      <c r="B508" t="n">
        <v>128</v>
      </c>
      <c r="C508" t="inlineStr">
        <is>
          <t>Love Cabaret</t>
        </is>
      </c>
      <c r="D508" t="inlineStr">
        <is>
          <t>PETTY CASH</t>
        </is>
      </c>
      <c r="E508" t="n">
        <v>166.9</v>
      </c>
      <c r="F508" s="27" t="n">
        <v>45966</v>
      </c>
      <c r="G508" s="27" t="n">
        <v>45966</v>
      </c>
      <c r="H508" s="27" t="n">
        <v>45966</v>
      </c>
      <c r="I508" s="27" t="n">
        <v>45931</v>
      </c>
      <c r="J508" s="27" t="n">
        <v>45954</v>
      </c>
      <c r="K508" t="inlineStr">
        <is>
          <t>Cartão de Crédito</t>
        </is>
      </c>
      <c r="L508" t="inlineStr">
        <is>
          <t>Manutenção</t>
        </is>
      </c>
      <c r="M508" t="inlineStr">
        <is>
          <t>Material de Manutenção</t>
        </is>
      </c>
      <c r="N508" t="inlineStr">
        <is>
          <t>9PETTY102025</t>
        </is>
      </c>
      <c r="O508" t="inlineStr">
        <is>
          <t>Documentação Aprovada</t>
        </is>
      </c>
      <c r="P508" t="inlineStr">
        <is>
          <t>Aprovado Diretoria</t>
        </is>
      </c>
      <c r="Q508" t="inlineStr">
        <is>
          <t>Aprovado Caixa</t>
        </is>
      </c>
      <c r="R508" t="inlineStr">
        <is>
          <t>Pago</t>
        </is>
      </c>
      <c r="S508" t="n">
        <v>182</v>
      </c>
      <c r="T508" t="inlineStr">
        <is>
          <t>Love - Shibari - Kamino</t>
        </is>
      </c>
    </row>
    <row r="509">
      <c r="A509" t="n">
        <v>173338</v>
      </c>
      <c r="B509" t="n">
        <v>128</v>
      </c>
      <c r="C509" t="inlineStr">
        <is>
          <t>Love Cabaret</t>
        </is>
      </c>
      <c r="D509" t="inlineStr">
        <is>
          <t>JULIANA OLIVEIRA DA SILVA</t>
        </is>
      </c>
      <c r="E509" t="n">
        <v>2072.78</v>
      </c>
      <c r="F509" s="27" t="n">
        <v>45967</v>
      </c>
      <c r="G509" s="27" t="n">
        <v>45967</v>
      </c>
      <c r="H509" s="27" t="n">
        <v>45966</v>
      </c>
      <c r="I509" s="27" t="n">
        <v>45960</v>
      </c>
      <c r="J509" s="27" t="n"/>
      <c r="L509" t="inlineStr">
        <is>
          <t>Mão de Obra - Salários</t>
        </is>
      </c>
      <c r="M509" t="inlineStr">
        <is>
          <t>MDO CLT - Salário</t>
        </is>
      </c>
      <c r="O509" t="inlineStr">
        <is>
          <t>Documentação Aprovada</t>
        </is>
      </c>
      <c r="P509" t="inlineStr">
        <is>
          <t>Aprovado Diretoria</t>
        </is>
      </c>
      <c r="Q509" t="inlineStr">
        <is>
          <t>Aprovado Caixa</t>
        </is>
      </c>
      <c r="R509" t="inlineStr">
        <is>
          <t>Pago</t>
        </is>
      </c>
      <c r="S509" t="n">
        <v>115</v>
      </c>
      <c r="T509" t="inlineStr">
        <is>
          <t>Love - Shibari - Bradesco</t>
        </is>
      </c>
    </row>
    <row r="510">
      <c r="A510" t="n">
        <v>173442</v>
      </c>
      <c r="B510" t="n">
        <v>128</v>
      </c>
      <c r="C510" t="inlineStr">
        <is>
          <t>Love Cabaret</t>
        </is>
      </c>
      <c r="D510" t="inlineStr">
        <is>
          <t>BRADESCO SA</t>
        </is>
      </c>
      <c r="E510" t="n">
        <v>9.800000000000001</v>
      </c>
      <c r="F510" s="27" t="n">
        <v>45966</v>
      </c>
      <c r="G510" s="27" t="n"/>
      <c r="H510" s="27" t="n">
        <v>45966</v>
      </c>
      <c r="I510" s="27" t="n">
        <v>45966</v>
      </c>
      <c r="J510" s="27" t="n"/>
      <c r="K510" t="inlineStr">
        <is>
          <t xml:space="preserve">Debito Automático </t>
        </is>
      </c>
      <c r="L510" t="inlineStr">
        <is>
          <t>Despesas Financeiras</t>
        </is>
      </c>
      <c r="M510" t="inlineStr">
        <is>
          <t>Tarifas Bancárias</t>
        </is>
      </c>
      <c r="O510" t="inlineStr">
        <is>
          <t>Documentação Aprovada</t>
        </is>
      </c>
      <c r="P510" t="inlineStr">
        <is>
          <t>Aprovado Diretoria</t>
        </is>
      </c>
      <c r="Q510" t="inlineStr">
        <is>
          <t>Aprovado Caixa</t>
        </is>
      </c>
      <c r="R510" t="inlineStr">
        <is>
          <t>Pago</t>
        </is>
      </c>
      <c r="S510" t="n">
        <v>115</v>
      </c>
      <c r="T510" t="inlineStr">
        <is>
          <t>Love - Shibari - Bradesco</t>
        </is>
      </c>
    </row>
    <row r="511">
      <c r="A511" t="n">
        <v>173337</v>
      </c>
      <c r="B511" t="n">
        <v>128</v>
      </c>
      <c r="C511" t="inlineStr">
        <is>
          <t>Love Cabaret</t>
        </is>
      </c>
      <c r="D511" t="inlineStr">
        <is>
          <t>CAROLINE FERREIRA DA SILVA</t>
        </is>
      </c>
      <c r="E511" t="n">
        <v>2682.4</v>
      </c>
      <c r="F511" s="27" t="n">
        <v>45967</v>
      </c>
      <c r="G511" s="27" t="n">
        <v>45967</v>
      </c>
      <c r="H511" s="27" t="n">
        <v>45966</v>
      </c>
      <c r="I511" s="27" t="n">
        <v>45960</v>
      </c>
      <c r="J511" s="27" t="n"/>
      <c r="L511" t="inlineStr">
        <is>
          <t>Mão de Obra - Salários</t>
        </is>
      </c>
      <c r="M511" t="inlineStr">
        <is>
          <t>MDO CLT - Salário</t>
        </is>
      </c>
      <c r="O511" t="inlineStr">
        <is>
          <t>Documentação Aprovada</t>
        </is>
      </c>
      <c r="P511" t="inlineStr">
        <is>
          <t>Aprovado Diretoria</t>
        </is>
      </c>
      <c r="Q511" t="inlineStr">
        <is>
          <t>Aprovado Caixa</t>
        </is>
      </c>
      <c r="R511" t="inlineStr">
        <is>
          <t>Pago</t>
        </is>
      </c>
      <c r="S511" t="n">
        <v>115</v>
      </c>
      <c r="T511" t="inlineStr">
        <is>
          <t>Love - Shibari - Bradesco</t>
        </is>
      </c>
    </row>
    <row r="512">
      <c r="A512" t="n">
        <v>170976</v>
      </c>
      <c r="B512" t="n">
        <v>128</v>
      </c>
      <c r="C512" t="inlineStr">
        <is>
          <t>Love Cabaret</t>
        </is>
      </c>
      <c r="D512" t="inlineStr">
        <is>
          <t>MARIO PEDRO FELICIANO - HORTIFRUTI</t>
        </is>
      </c>
      <c r="E512" t="n">
        <v>50.84</v>
      </c>
      <c r="F512" s="27" t="n">
        <v>45967</v>
      </c>
      <c r="G512" s="27" t="n">
        <v>45966</v>
      </c>
      <c r="H512" s="27" t="n">
        <v>45966</v>
      </c>
      <c r="I512" s="27" t="n">
        <v>45953</v>
      </c>
      <c r="J512" s="27" t="n">
        <v>45959</v>
      </c>
      <c r="K512" t="inlineStr">
        <is>
          <t>Boleto Bancário</t>
        </is>
      </c>
      <c r="L512" t="inlineStr">
        <is>
          <t>Custo Mercadoria Vendida</t>
        </is>
      </c>
      <c r="M512" t="inlineStr">
        <is>
          <t>Insumos - Alimentos</t>
        </is>
      </c>
      <c r="N512" t="inlineStr">
        <is>
          <t>456447</t>
        </is>
      </c>
      <c r="O512" t="inlineStr">
        <is>
          <t>Documentação Aprovada</t>
        </is>
      </c>
      <c r="P512" t="inlineStr">
        <is>
          <t>Aprovado Diretoria</t>
        </is>
      </c>
      <c r="Q512" t="inlineStr">
        <is>
          <t>Aprovado Caixa</t>
        </is>
      </c>
      <c r="R512" t="inlineStr">
        <is>
          <t>Pago</t>
        </is>
      </c>
      <c r="S512" t="n">
        <v>182</v>
      </c>
      <c r="T512" t="inlineStr">
        <is>
          <t>Love - Shibari - Kamino</t>
        </is>
      </c>
    </row>
    <row r="513">
      <c r="A513" t="n">
        <v>170263</v>
      </c>
      <c r="B513" t="n">
        <v>128</v>
      </c>
      <c r="C513" t="inlineStr">
        <is>
          <t>Love Cabaret</t>
        </is>
      </c>
      <c r="D513" t="inlineStr">
        <is>
          <t xml:space="preserve">MVE DELEZARI REP MANUT PREV INCEND </t>
        </is>
      </c>
      <c r="E513" t="n">
        <v>2205</v>
      </c>
      <c r="F513" s="27" t="n">
        <v>45967</v>
      </c>
      <c r="G513" s="27" t="n">
        <v>45966</v>
      </c>
      <c r="H513" s="27" t="n">
        <v>45966</v>
      </c>
      <c r="I513" s="27" t="n">
        <v>45957</v>
      </c>
      <c r="J513" s="27" t="n">
        <v>45958</v>
      </c>
      <c r="K513" t="inlineStr">
        <is>
          <t>Boleto Bancário</t>
        </is>
      </c>
      <c r="L513" t="inlineStr">
        <is>
          <t>Manutenção</t>
        </is>
      </c>
      <c r="M513" t="inlineStr">
        <is>
          <t>Manutenção de Equipamentos</t>
        </is>
      </c>
      <c r="N513" t="inlineStr">
        <is>
          <t>125</t>
        </is>
      </c>
      <c r="O513" t="inlineStr">
        <is>
          <t>Documentação Aprovada</t>
        </is>
      </c>
      <c r="P513" t="inlineStr">
        <is>
          <t>Aprovado Diretoria</t>
        </is>
      </c>
      <c r="Q513" t="inlineStr">
        <is>
          <t>Aprovado Caixa</t>
        </is>
      </c>
      <c r="R513" t="inlineStr">
        <is>
          <t>Pago</t>
        </is>
      </c>
      <c r="S513" t="n">
        <v>182</v>
      </c>
      <c r="T513" t="inlineStr">
        <is>
          <t>Love - Shibari - Kamino</t>
        </is>
      </c>
    </row>
    <row r="514">
      <c r="A514" t="n">
        <v>171000</v>
      </c>
      <c r="B514" t="n">
        <v>128</v>
      </c>
      <c r="C514" t="inlineStr">
        <is>
          <t>Love Cabaret</t>
        </is>
      </c>
      <c r="D514" t="inlineStr">
        <is>
          <t>CECILIA TSUYACO ARAKI SILVA LTDA</t>
        </is>
      </c>
      <c r="E514" t="n">
        <v>158</v>
      </c>
      <c r="F514" s="27" t="n">
        <v>45968</v>
      </c>
      <c r="G514" s="27" t="n">
        <v>45966</v>
      </c>
      <c r="H514" s="27" t="n">
        <v>45966</v>
      </c>
      <c r="I514" s="27" t="n">
        <v>45957</v>
      </c>
      <c r="J514" s="27" t="n">
        <v>45959</v>
      </c>
      <c r="K514" t="inlineStr">
        <is>
          <t>Boleto Bancário</t>
        </is>
      </c>
      <c r="L514" t="inlineStr">
        <is>
          <t>Custo Mercadoria Vendida</t>
        </is>
      </c>
      <c r="M514" t="inlineStr">
        <is>
          <t>Insumos - Alimentos</t>
        </is>
      </c>
      <c r="N514" t="inlineStr">
        <is>
          <t>380514</t>
        </is>
      </c>
      <c r="O514" t="inlineStr">
        <is>
          <t>Documentação Aprovada</t>
        </is>
      </c>
      <c r="P514" t="inlineStr">
        <is>
          <t>Aprovado Diretoria</t>
        </is>
      </c>
      <c r="Q514" t="inlineStr">
        <is>
          <t>Aprovado Caixa</t>
        </is>
      </c>
      <c r="R514" t="inlineStr">
        <is>
          <t>Pago</t>
        </is>
      </c>
      <c r="S514" t="n">
        <v>182</v>
      </c>
      <c r="T514" t="inlineStr">
        <is>
          <t>Love - Shibari - Kamino</t>
        </is>
      </c>
    </row>
    <row r="515">
      <c r="A515" t="n">
        <v>170989</v>
      </c>
      <c r="B515" t="n">
        <v>128</v>
      </c>
      <c r="C515" t="inlineStr">
        <is>
          <t>Love Cabaret</t>
        </is>
      </c>
      <c r="D515" t="inlineStr">
        <is>
          <t>CECILIA TSUYACO ARAKI SILVA LTDA</t>
        </is>
      </c>
      <c r="E515" t="n">
        <v>80.55</v>
      </c>
      <c r="F515" s="27" t="n">
        <v>45967</v>
      </c>
      <c r="G515" s="27" t="n">
        <v>45966</v>
      </c>
      <c r="H515" s="27" t="n">
        <v>45966</v>
      </c>
      <c r="I515" s="27" t="n">
        <v>45953</v>
      </c>
      <c r="J515" s="27" t="n">
        <v>45959</v>
      </c>
      <c r="K515" t="inlineStr">
        <is>
          <t>Boleto Bancário</t>
        </is>
      </c>
      <c r="L515" t="inlineStr">
        <is>
          <t>Custo Mercadoria Vendida</t>
        </is>
      </c>
      <c r="M515" t="inlineStr">
        <is>
          <t>Insumos - Alimentos</t>
        </is>
      </c>
      <c r="N515" t="inlineStr">
        <is>
          <t>380353</t>
        </is>
      </c>
      <c r="O515" t="inlineStr">
        <is>
          <t>Documentação Aprovada</t>
        </is>
      </c>
      <c r="P515" t="inlineStr">
        <is>
          <t>Aprovado Diretoria</t>
        </is>
      </c>
      <c r="Q515" t="inlineStr">
        <is>
          <t>Aprovado Caixa</t>
        </is>
      </c>
      <c r="R515" t="inlineStr">
        <is>
          <t>Pago</t>
        </is>
      </c>
      <c r="S515" t="n">
        <v>182</v>
      </c>
      <c r="T515" t="inlineStr">
        <is>
          <t>Love - Shibari - Kamino</t>
        </is>
      </c>
    </row>
    <row r="516">
      <c r="A516" t="n">
        <v>170991</v>
      </c>
      <c r="B516" t="n">
        <v>128</v>
      </c>
      <c r="C516" t="inlineStr">
        <is>
          <t>Love Cabaret</t>
        </is>
      </c>
      <c r="D516" t="inlineStr">
        <is>
          <t>PSSS LTDA</t>
        </is>
      </c>
      <c r="E516" t="n">
        <v>300</v>
      </c>
      <c r="F516" s="27" t="n">
        <v>45968</v>
      </c>
      <c r="G516" s="27" t="n">
        <v>45966</v>
      </c>
      <c r="H516" s="27" t="n">
        <v>45966</v>
      </c>
      <c r="I516" s="27" t="n">
        <v>45952</v>
      </c>
      <c r="J516" s="27" t="n">
        <v>45959</v>
      </c>
      <c r="K516" t="inlineStr">
        <is>
          <t>Boleto Bancário</t>
        </is>
      </c>
      <c r="L516" t="inlineStr">
        <is>
          <t>Utilidades</t>
        </is>
      </c>
      <c r="M516" t="inlineStr">
        <is>
          <t>Higiene e Limpeza</t>
        </is>
      </c>
      <c r="N516" t="inlineStr">
        <is>
          <t>2504</t>
        </is>
      </c>
      <c r="O516" t="inlineStr">
        <is>
          <t>Documentação Aprovada</t>
        </is>
      </c>
      <c r="P516" t="inlineStr">
        <is>
          <t>Aprovado Diretoria</t>
        </is>
      </c>
      <c r="Q516" t="inlineStr">
        <is>
          <t>Aprovado Caixa</t>
        </is>
      </c>
      <c r="R516" t="inlineStr">
        <is>
          <t>Pago</t>
        </is>
      </c>
      <c r="S516" t="n">
        <v>182</v>
      </c>
      <c r="T516" t="inlineStr">
        <is>
          <t>Love - Shibari - Kamino</t>
        </is>
      </c>
    </row>
    <row r="517">
      <c r="A517" t="n">
        <v>170998</v>
      </c>
      <c r="B517" t="n">
        <v>128</v>
      </c>
      <c r="C517" t="inlineStr">
        <is>
          <t>Love Cabaret</t>
        </is>
      </c>
      <c r="D517" t="inlineStr">
        <is>
          <t>BATALHA FABRICA DE PAES LTDA</t>
        </is>
      </c>
      <c r="E517" t="n">
        <v>561.84</v>
      </c>
      <c r="F517" s="27" t="n">
        <v>45970</v>
      </c>
      <c r="G517" s="27" t="n">
        <v>45966</v>
      </c>
      <c r="H517" s="27" t="n">
        <v>45966</v>
      </c>
      <c r="I517" s="27" t="n">
        <v>45953</v>
      </c>
      <c r="J517" s="27" t="n">
        <v>45959</v>
      </c>
      <c r="K517" t="inlineStr">
        <is>
          <t>Boleto Bancário</t>
        </is>
      </c>
      <c r="L517" t="inlineStr">
        <is>
          <t>Custo Mercadoria Vendida</t>
        </is>
      </c>
      <c r="M517" t="inlineStr">
        <is>
          <t>Insumos - Alimentos</t>
        </is>
      </c>
      <c r="N517" t="inlineStr">
        <is>
          <t>56300</t>
        </is>
      </c>
      <c r="O517" t="inlineStr">
        <is>
          <t>Documentação Aprovada</t>
        </is>
      </c>
      <c r="P517" t="inlineStr">
        <is>
          <t>Aprovado Diretoria</t>
        </is>
      </c>
      <c r="Q517" t="inlineStr">
        <is>
          <t>Aprovado Caixa</t>
        </is>
      </c>
      <c r="R517" t="inlineStr">
        <is>
          <t>Pago</t>
        </is>
      </c>
      <c r="S517" t="n">
        <v>182</v>
      </c>
      <c r="T517" t="inlineStr">
        <is>
          <t>Love - Shibari - Kamino</t>
        </is>
      </c>
    </row>
    <row r="518">
      <c r="A518" t="n">
        <v>171448</v>
      </c>
      <c r="B518" t="n">
        <v>128</v>
      </c>
      <c r="C518" t="inlineStr">
        <is>
          <t>Love Cabaret</t>
        </is>
      </c>
      <c r="D518" t="inlineStr">
        <is>
          <t>PETTY CASH</t>
        </is>
      </c>
      <c r="E518" t="n">
        <v>65.8</v>
      </c>
      <c r="F518" s="27" t="n">
        <v>45966</v>
      </c>
      <c r="G518" s="27" t="n">
        <v>45966</v>
      </c>
      <c r="H518" s="27" t="n">
        <v>45966</v>
      </c>
      <c r="I518" s="27" t="n">
        <v>45931</v>
      </c>
      <c r="J518" s="27" t="n">
        <v>45960</v>
      </c>
      <c r="K518" t="inlineStr">
        <is>
          <t>Cartão de Crédito</t>
        </is>
      </c>
      <c r="L518" t="inlineStr">
        <is>
          <t>Utilidades</t>
        </is>
      </c>
      <c r="M518" t="inlineStr">
        <is>
          <t>Utensilios</t>
        </is>
      </c>
      <c r="N518" t="inlineStr">
        <is>
          <t>21PETTY102025</t>
        </is>
      </c>
      <c r="O518" t="inlineStr">
        <is>
          <t>Documentação Aprovada</t>
        </is>
      </c>
      <c r="P518" t="inlineStr">
        <is>
          <t>Aprovado Diretoria</t>
        </is>
      </c>
      <c r="Q518" t="inlineStr">
        <is>
          <t>Aprovado Caixa</t>
        </is>
      </c>
      <c r="R518" t="inlineStr">
        <is>
          <t>Pago</t>
        </is>
      </c>
      <c r="S518" t="n">
        <v>182</v>
      </c>
      <c r="T518" t="inlineStr">
        <is>
          <t>Love - Shibari - Kamino</t>
        </is>
      </c>
    </row>
    <row r="519">
      <c r="A519" t="n">
        <v>171469</v>
      </c>
      <c r="B519" t="n">
        <v>128</v>
      </c>
      <c r="C519" t="inlineStr">
        <is>
          <t>Love Cabaret</t>
        </is>
      </c>
      <c r="D519" t="inlineStr">
        <is>
          <t>PETTY CASH</t>
        </is>
      </c>
      <c r="E519" t="n">
        <v>85.2</v>
      </c>
      <c r="F519" s="27" t="n">
        <v>45966</v>
      </c>
      <c r="G519" s="27" t="n">
        <v>45966</v>
      </c>
      <c r="H519" s="27" t="n">
        <v>45966</v>
      </c>
      <c r="I519" s="27" t="n">
        <v>45931</v>
      </c>
      <c r="J519" s="27" t="n">
        <v>45960</v>
      </c>
      <c r="K519" t="inlineStr">
        <is>
          <t>Cartão de Crédito</t>
        </is>
      </c>
      <c r="L519" t="inlineStr">
        <is>
          <t>Utilidades</t>
        </is>
      </c>
      <c r="M519" t="inlineStr">
        <is>
          <t>Utensilios</t>
        </is>
      </c>
      <c r="N519" t="inlineStr">
        <is>
          <t>28PETTY102025</t>
        </is>
      </c>
      <c r="O519" t="inlineStr">
        <is>
          <t>Documentação Aprovada</t>
        </is>
      </c>
      <c r="P519" t="inlineStr">
        <is>
          <t>Aprovado Diretoria</t>
        </is>
      </c>
      <c r="Q519" t="inlineStr">
        <is>
          <t>Aprovado Caixa</t>
        </is>
      </c>
      <c r="R519" t="inlineStr">
        <is>
          <t>Pago</t>
        </is>
      </c>
      <c r="S519" t="n">
        <v>182</v>
      </c>
      <c r="T519" t="inlineStr">
        <is>
          <t>Love - Shibari - Kamino</t>
        </is>
      </c>
    </row>
    <row r="520">
      <c r="A520" t="n">
        <v>171438</v>
      </c>
      <c r="B520" t="n">
        <v>128</v>
      </c>
      <c r="C520" t="inlineStr">
        <is>
          <t>Love Cabaret</t>
        </is>
      </c>
      <c r="D520" t="inlineStr">
        <is>
          <t>PETTY CASH</t>
        </is>
      </c>
      <c r="E520" t="n">
        <v>25.5</v>
      </c>
      <c r="F520" s="27" t="n">
        <v>45966</v>
      </c>
      <c r="G520" s="27" t="n">
        <v>45966</v>
      </c>
      <c r="H520" s="27" t="n">
        <v>45966</v>
      </c>
      <c r="I520" s="27" t="n">
        <v>45931</v>
      </c>
      <c r="J520" s="27" t="n">
        <v>45960</v>
      </c>
      <c r="K520" t="inlineStr">
        <is>
          <t>Cartão de Crédito</t>
        </is>
      </c>
      <c r="L520" t="inlineStr">
        <is>
          <t>Utilidades</t>
        </is>
      </c>
      <c r="M520" t="inlineStr">
        <is>
          <t>Utensilios</t>
        </is>
      </c>
      <c r="N520" t="inlineStr">
        <is>
          <t>17PETTY102025</t>
        </is>
      </c>
      <c r="O520" t="inlineStr">
        <is>
          <t>Documentação Aprovada</t>
        </is>
      </c>
      <c r="P520" t="inlineStr">
        <is>
          <t>Aprovado Diretoria</t>
        </is>
      </c>
      <c r="Q520" t="inlineStr">
        <is>
          <t>Aprovado Caixa</t>
        </is>
      </c>
      <c r="R520" t="inlineStr">
        <is>
          <t>Pago</t>
        </is>
      </c>
      <c r="S520" t="n">
        <v>182</v>
      </c>
      <c r="T520" t="inlineStr">
        <is>
          <t>Love - Shibari - Kamino</t>
        </is>
      </c>
    </row>
    <row r="521">
      <c r="A521" t="n">
        <v>171471</v>
      </c>
      <c r="B521" t="n">
        <v>128</v>
      </c>
      <c r="C521" t="inlineStr">
        <is>
          <t>Love Cabaret</t>
        </is>
      </c>
      <c r="D521" t="inlineStr">
        <is>
          <t>PETTY CASH</t>
        </is>
      </c>
      <c r="E521" t="n">
        <v>27.8</v>
      </c>
      <c r="F521" s="27" t="n">
        <v>45966</v>
      </c>
      <c r="G521" s="27" t="n">
        <v>45966</v>
      </c>
      <c r="H521" s="27" t="n">
        <v>45966</v>
      </c>
      <c r="I521" s="27" t="n">
        <v>45931</v>
      </c>
      <c r="J521" s="27" t="n">
        <v>45960</v>
      </c>
      <c r="K521" t="inlineStr">
        <is>
          <t>Cartão de Crédito</t>
        </is>
      </c>
      <c r="L521" t="inlineStr">
        <is>
          <t>Utilidades</t>
        </is>
      </c>
      <c r="M521" t="inlineStr">
        <is>
          <t>Utensilios</t>
        </is>
      </c>
      <c r="N521" t="inlineStr">
        <is>
          <t>30PETTY102025</t>
        </is>
      </c>
      <c r="O521" t="inlineStr">
        <is>
          <t>Documentação Aprovada</t>
        </is>
      </c>
      <c r="P521" t="inlineStr">
        <is>
          <t>Aprovado Diretoria</t>
        </is>
      </c>
      <c r="Q521" t="inlineStr">
        <is>
          <t>Aprovado Caixa</t>
        </is>
      </c>
      <c r="R521" t="inlineStr">
        <is>
          <t>Pago</t>
        </is>
      </c>
      <c r="S521" t="n">
        <v>182</v>
      </c>
      <c r="T521" t="inlineStr">
        <is>
          <t>Love - Shibari - Kamino</t>
        </is>
      </c>
    </row>
    <row r="522">
      <c r="A522" t="n">
        <v>171451</v>
      </c>
      <c r="B522" t="n">
        <v>128</v>
      </c>
      <c r="C522" t="inlineStr">
        <is>
          <t>Love Cabaret</t>
        </is>
      </c>
      <c r="D522" t="inlineStr">
        <is>
          <t>PETTY CASH</t>
        </is>
      </c>
      <c r="E522" t="n">
        <v>35.7</v>
      </c>
      <c r="F522" s="27" t="n">
        <v>45966</v>
      </c>
      <c r="G522" s="27" t="n">
        <v>45966</v>
      </c>
      <c r="H522" s="27" t="n">
        <v>45966</v>
      </c>
      <c r="I522" s="27" t="n">
        <v>45931</v>
      </c>
      <c r="J522" s="27" t="n">
        <v>45960</v>
      </c>
      <c r="K522" t="inlineStr">
        <is>
          <t>Cartão de Crédito</t>
        </is>
      </c>
      <c r="L522" t="inlineStr">
        <is>
          <t>Utilidades</t>
        </is>
      </c>
      <c r="M522" t="inlineStr">
        <is>
          <t>Utensilios</t>
        </is>
      </c>
      <c r="N522" t="inlineStr">
        <is>
          <t>22PETTY102025</t>
        </is>
      </c>
      <c r="O522" t="inlineStr">
        <is>
          <t>Documentação Aprovada</t>
        </is>
      </c>
      <c r="P522" t="inlineStr">
        <is>
          <t>Aprovado Diretoria</t>
        </is>
      </c>
      <c r="Q522" t="inlineStr">
        <is>
          <t>Aprovado Caixa</t>
        </is>
      </c>
      <c r="R522" t="inlineStr">
        <is>
          <t>Pago</t>
        </is>
      </c>
      <c r="S522" t="n">
        <v>182</v>
      </c>
      <c r="T522" t="inlineStr">
        <is>
          <t>Love - Shibari - Kamino</t>
        </is>
      </c>
    </row>
    <row r="523">
      <c r="A523" t="n">
        <v>171440</v>
      </c>
      <c r="B523" t="n">
        <v>128</v>
      </c>
      <c r="C523" t="inlineStr">
        <is>
          <t>Love Cabaret</t>
        </is>
      </c>
      <c r="D523" t="inlineStr">
        <is>
          <t>PETTY CASH</t>
        </is>
      </c>
      <c r="E523" t="n">
        <v>363</v>
      </c>
      <c r="F523" s="27" t="n">
        <v>45966</v>
      </c>
      <c r="G523" s="27" t="n">
        <v>45966</v>
      </c>
      <c r="H523" s="27" t="n">
        <v>45966</v>
      </c>
      <c r="I523" s="27" t="n">
        <v>45931</v>
      </c>
      <c r="J523" s="27" t="n">
        <v>45960</v>
      </c>
      <c r="K523" t="inlineStr">
        <is>
          <t>Cartão de Crédito</t>
        </is>
      </c>
      <c r="L523" t="inlineStr">
        <is>
          <t>Utilidades</t>
        </is>
      </c>
      <c r="M523" t="inlineStr">
        <is>
          <t>Serviços Graficos</t>
        </is>
      </c>
      <c r="N523" t="inlineStr">
        <is>
          <t>18PETTY102025</t>
        </is>
      </c>
      <c r="O523" t="inlineStr">
        <is>
          <t>Documentação Aprovada</t>
        </is>
      </c>
      <c r="P523" t="inlineStr">
        <is>
          <t>Aprovado Diretoria</t>
        </is>
      </c>
      <c r="Q523" t="inlineStr">
        <is>
          <t>Aprovado Caixa</t>
        </is>
      </c>
      <c r="R523" t="inlineStr">
        <is>
          <t>Pago</t>
        </is>
      </c>
      <c r="S523" t="n">
        <v>182</v>
      </c>
      <c r="T523" t="inlineStr">
        <is>
          <t>Love - Shibari - Kamino</t>
        </is>
      </c>
    </row>
    <row r="524">
      <c r="A524" t="n">
        <v>171443</v>
      </c>
      <c r="B524" t="n">
        <v>128</v>
      </c>
      <c r="C524" t="inlineStr">
        <is>
          <t>Love Cabaret</t>
        </is>
      </c>
      <c r="D524" t="inlineStr">
        <is>
          <t>PETTY CASH</t>
        </is>
      </c>
      <c r="E524" t="n">
        <v>62</v>
      </c>
      <c r="F524" s="27" t="n">
        <v>45966</v>
      </c>
      <c r="G524" s="27" t="n">
        <v>45966</v>
      </c>
      <c r="H524" s="27" t="n">
        <v>45966</v>
      </c>
      <c r="I524" s="27" t="n">
        <v>45931</v>
      </c>
      <c r="J524" s="27" t="n">
        <v>45960</v>
      </c>
      <c r="K524" t="inlineStr">
        <is>
          <t>Cartão de Crédito</t>
        </is>
      </c>
      <c r="L524" t="inlineStr">
        <is>
          <t>Utilidades</t>
        </is>
      </c>
      <c r="M524" t="inlineStr">
        <is>
          <t>Utensilios</t>
        </is>
      </c>
      <c r="N524" t="inlineStr">
        <is>
          <t>19PETTY102025</t>
        </is>
      </c>
      <c r="O524" t="inlineStr">
        <is>
          <t>Documentação Aprovada</t>
        </is>
      </c>
      <c r="P524" t="inlineStr">
        <is>
          <t>Aprovado Diretoria</t>
        </is>
      </c>
      <c r="Q524" t="inlineStr">
        <is>
          <t>Aprovado Caixa</t>
        </is>
      </c>
      <c r="R524" t="inlineStr">
        <is>
          <t>Pago</t>
        </is>
      </c>
      <c r="S524" t="n">
        <v>182</v>
      </c>
      <c r="T524" t="inlineStr">
        <is>
          <t>Love - Shibari - Kamino</t>
        </is>
      </c>
    </row>
    <row r="525">
      <c r="A525" t="n">
        <v>171458</v>
      </c>
      <c r="B525" t="n">
        <v>128</v>
      </c>
      <c r="C525" t="inlineStr">
        <is>
          <t>Love Cabaret</t>
        </is>
      </c>
      <c r="D525" t="inlineStr">
        <is>
          <t>PETTY CASH</t>
        </is>
      </c>
      <c r="E525" t="n">
        <v>15</v>
      </c>
      <c r="F525" s="27" t="n">
        <v>45966</v>
      </c>
      <c r="G525" s="27" t="n">
        <v>45966</v>
      </c>
      <c r="H525" s="27" t="n">
        <v>45966</v>
      </c>
      <c r="I525" s="27" t="n">
        <v>45931</v>
      </c>
      <c r="J525" s="27" t="n">
        <v>45960</v>
      </c>
      <c r="K525" t="inlineStr">
        <is>
          <t>Cartão de Crédito</t>
        </is>
      </c>
      <c r="L525" t="inlineStr">
        <is>
          <t>Utilidades</t>
        </is>
      </c>
      <c r="M525" t="inlineStr">
        <is>
          <t>Utensilios</t>
        </is>
      </c>
      <c r="N525" t="inlineStr">
        <is>
          <t>24PETTY102025</t>
        </is>
      </c>
      <c r="O525" t="inlineStr">
        <is>
          <t>Documentação Aprovada</t>
        </is>
      </c>
      <c r="P525" t="inlineStr">
        <is>
          <t>Aprovado Diretoria</t>
        </is>
      </c>
      <c r="Q525" t="inlineStr">
        <is>
          <t>Aprovado Caixa</t>
        </is>
      </c>
      <c r="R525" t="inlineStr">
        <is>
          <t>Pago</t>
        </is>
      </c>
      <c r="S525" t="n">
        <v>182</v>
      </c>
      <c r="T525" t="inlineStr">
        <is>
          <t>Love - Shibari - Kamino</t>
        </is>
      </c>
    </row>
    <row r="526">
      <c r="A526" t="n">
        <v>171470</v>
      </c>
      <c r="B526" t="n">
        <v>128</v>
      </c>
      <c r="C526" t="inlineStr">
        <is>
          <t>Love Cabaret</t>
        </is>
      </c>
      <c r="D526" t="inlineStr">
        <is>
          <t>PETTY CASH</t>
        </is>
      </c>
      <c r="E526" t="n">
        <v>30</v>
      </c>
      <c r="F526" s="27" t="n">
        <v>45966</v>
      </c>
      <c r="G526" s="27" t="n">
        <v>45966</v>
      </c>
      <c r="H526" s="27" t="n">
        <v>45966</v>
      </c>
      <c r="I526" s="27" t="n">
        <v>45931</v>
      </c>
      <c r="J526" s="27" t="n">
        <v>45960</v>
      </c>
      <c r="K526" t="inlineStr">
        <is>
          <t>Cartão de Crédito</t>
        </is>
      </c>
      <c r="L526" t="inlineStr">
        <is>
          <t>Utilidades</t>
        </is>
      </c>
      <c r="M526" t="inlineStr">
        <is>
          <t>Utensilios</t>
        </is>
      </c>
      <c r="N526" t="inlineStr">
        <is>
          <t>29PETTY102025</t>
        </is>
      </c>
      <c r="O526" t="inlineStr">
        <is>
          <t>Documentação Aprovada</t>
        </is>
      </c>
      <c r="P526" t="inlineStr">
        <is>
          <t>Aprovado Diretoria</t>
        </is>
      </c>
      <c r="Q526" t="inlineStr">
        <is>
          <t>Aprovado Caixa</t>
        </is>
      </c>
      <c r="R526" t="inlineStr">
        <is>
          <t>Pago</t>
        </is>
      </c>
      <c r="S526" t="n">
        <v>182</v>
      </c>
      <c r="T526" t="inlineStr">
        <is>
          <t>Love - Shibari - Kamino</t>
        </is>
      </c>
    </row>
    <row r="527">
      <c r="A527" t="n">
        <v>171708</v>
      </c>
      <c r="B527" t="n">
        <v>128</v>
      </c>
      <c r="C527" t="inlineStr">
        <is>
          <t>Love Cabaret</t>
        </is>
      </c>
      <c r="D527" t="inlineStr">
        <is>
          <t>ESTAFF SOLUCOES TECNOLOGICAS DE AGENCIAMENTO LTDA</t>
        </is>
      </c>
      <c r="E527" t="n">
        <v>13795.95</v>
      </c>
      <c r="F527" s="27" t="n">
        <v>45966</v>
      </c>
      <c r="G527" s="27" t="n">
        <v>45966</v>
      </c>
      <c r="H527" s="27" t="n">
        <v>45966</v>
      </c>
      <c r="I527" s="27" t="n">
        <v>45962</v>
      </c>
      <c r="J527" s="27" t="n">
        <v>45961</v>
      </c>
      <c r="K527" t="inlineStr">
        <is>
          <t>Boleto Bancário</t>
        </is>
      </c>
      <c r="L527" t="inlineStr">
        <is>
          <t>Mão de Obra - Extra</t>
        </is>
      </c>
      <c r="M527" t="inlineStr">
        <is>
          <t>Mão de Obra Extra</t>
        </is>
      </c>
      <c r="N527" t="inlineStr">
        <is>
          <t>670585611</t>
        </is>
      </c>
      <c r="O527" t="inlineStr">
        <is>
          <t>Documentação Aprovada</t>
        </is>
      </c>
      <c r="P527" t="inlineStr">
        <is>
          <t>Aprovado Diretoria</t>
        </is>
      </c>
      <c r="Q527" t="inlineStr">
        <is>
          <t>Aprovado Caixa</t>
        </is>
      </c>
      <c r="R527" t="inlineStr">
        <is>
          <t>Pago</t>
        </is>
      </c>
      <c r="S527" t="n">
        <v>182</v>
      </c>
      <c r="T527" t="inlineStr">
        <is>
          <t>Love - Shibari - Kamino</t>
        </is>
      </c>
    </row>
    <row r="528">
      <c r="A528" t="n">
        <v>171445</v>
      </c>
      <c r="B528" t="n">
        <v>128</v>
      </c>
      <c r="C528" t="inlineStr">
        <is>
          <t>Love Cabaret</t>
        </is>
      </c>
      <c r="D528" t="inlineStr">
        <is>
          <t>PETTY CASH</t>
        </is>
      </c>
      <c r="E528" t="n">
        <v>23.99</v>
      </c>
      <c r="F528" s="27" t="n">
        <v>45966</v>
      </c>
      <c r="G528" s="27" t="n">
        <v>45966</v>
      </c>
      <c r="H528" s="27" t="n">
        <v>45966</v>
      </c>
      <c r="I528" s="27" t="n">
        <v>45931</v>
      </c>
      <c r="J528" s="27" t="n">
        <v>45960</v>
      </c>
      <c r="K528" t="inlineStr">
        <is>
          <t>Cartão de Crédito</t>
        </is>
      </c>
      <c r="L528" t="inlineStr">
        <is>
          <t>Utilidades</t>
        </is>
      </c>
      <c r="M528" t="inlineStr">
        <is>
          <t>Utensilios</t>
        </is>
      </c>
      <c r="N528" t="inlineStr">
        <is>
          <t>20PETTY102025</t>
        </is>
      </c>
      <c r="O528" t="inlineStr">
        <is>
          <t>Documentação Aprovada</t>
        </is>
      </c>
      <c r="P528" t="inlineStr">
        <is>
          <t>Aprovado Diretoria</t>
        </is>
      </c>
      <c r="Q528" t="inlineStr">
        <is>
          <t>Aprovado Caixa</t>
        </is>
      </c>
      <c r="R528" t="inlineStr">
        <is>
          <t>Pago</t>
        </is>
      </c>
      <c r="S528" t="n">
        <v>182</v>
      </c>
      <c r="T528" t="inlineStr">
        <is>
          <t>Love - Shibari - Kamino</t>
        </is>
      </c>
    </row>
    <row r="529">
      <c r="A529" t="n">
        <v>171465</v>
      </c>
      <c r="B529" t="n">
        <v>128</v>
      </c>
      <c r="C529" t="inlineStr">
        <is>
          <t>Love Cabaret</t>
        </is>
      </c>
      <c r="D529" t="inlineStr">
        <is>
          <t>PETTY CASH</t>
        </is>
      </c>
      <c r="E529" t="n">
        <v>47.8</v>
      </c>
      <c r="F529" s="27" t="n">
        <v>45966</v>
      </c>
      <c r="G529" s="27" t="n">
        <v>45966</v>
      </c>
      <c r="H529" s="27" t="n">
        <v>45966</v>
      </c>
      <c r="I529" s="27" t="n">
        <v>45931</v>
      </c>
      <c r="J529" s="27" t="n">
        <v>45960</v>
      </c>
      <c r="K529" t="inlineStr">
        <is>
          <t>Cartão de Crédito</t>
        </is>
      </c>
      <c r="L529" t="inlineStr">
        <is>
          <t>Utilidades</t>
        </is>
      </c>
      <c r="M529" t="inlineStr">
        <is>
          <t>Utensilios</t>
        </is>
      </c>
      <c r="N529" t="inlineStr">
        <is>
          <t>25PETTY102025</t>
        </is>
      </c>
      <c r="O529" t="inlineStr">
        <is>
          <t>Documentação Aprovada</t>
        </is>
      </c>
      <c r="P529" t="inlineStr">
        <is>
          <t>Aprovado Diretoria</t>
        </is>
      </c>
      <c r="Q529" t="inlineStr">
        <is>
          <t>Aprovado Caixa</t>
        </is>
      </c>
      <c r="R529" t="inlineStr">
        <is>
          <t>Pago</t>
        </is>
      </c>
      <c r="S529" t="n">
        <v>182</v>
      </c>
      <c r="T529" t="inlineStr">
        <is>
          <t>Love - Shibari - Kamino</t>
        </is>
      </c>
    </row>
    <row r="530">
      <c r="A530" t="n">
        <v>171456</v>
      </c>
      <c r="B530" t="n">
        <v>128</v>
      </c>
      <c r="C530" t="inlineStr">
        <is>
          <t>Love Cabaret</t>
        </is>
      </c>
      <c r="D530" t="inlineStr">
        <is>
          <t>PETTY CASH</t>
        </is>
      </c>
      <c r="E530" t="n">
        <v>55</v>
      </c>
      <c r="F530" s="27" t="n">
        <v>45966</v>
      </c>
      <c r="G530" s="27" t="n">
        <v>45966</v>
      </c>
      <c r="H530" s="27" t="n">
        <v>45966</v>
      </c>
      <c r="I530" s="27" t="n">
        <v>45931</v>
      </c>
      <c r="J530" s="27" t="n">
        <v>45960</v>
      </c>
      <c r="K530" t="inlineStr">
        <is>
          <t>Cartão de Crédito</t>
        </is>
      </c>
      <c r="L530" t="inlineStr">
        <is>
          <t>Utilidades</t>
        </is>
      </c>
      <c r="M530" t="inlineStr">
        <is>
          <t>Utensilios</t>
        </is>
      </c>
      <c r="N530" t="inlineStr">
        <is>
          <t>23PETTY102025</t>
        </is>
      </c>
      <c r="O530" t="inlineStr">
        <is>
          <t>Documentação Aprovada</t>
        </is>
      </c>
      <c r="P530" t="inlineStr">
        <is>
          <t>Aprovado Diretoria</t>
        </is>
      </c>
      <c r="Q530" t="inlineStr">
        <is>
          <t>Aprovado Caixa</t>
        </is>
      </c>
      <c r="R530" t="inlineStr">
        <is>
          <t>Pago</t>
        </is>
      </c>
      <c r="S530" t="n">
        <v>182</v>
      </c>
      <c r="T530" t="inlineStr">
        <is>
          <t>Love - Shibari - Kamino</t>
        </is>
      </c>
    </row>
    <row r="531">
      <c r="A531" t="n">
        <v>171467</v>
      </c>
      <c r="B531" t="n">
        <v>128</v>
      </c>
      <c r="C531" t="inlineStr">
        <is>
          <t>Love Cabaret</t>
        </is>
      </c>
      <c r="D531" t="inlineStr">
        <is>
          <t>PETTY CASH</t>
        </is>
      </c>
      <c r="E531" t="n">
        <v>17.9</v>
      </c>
      <c r="F531" s="27" t="n">
        <v>45966</v>
      </c>
      <c r="G531" s="27" t="n">
        <v>45966</v>
      </c>
      <c r="H531" s="27" t="n">
        <v>45966</v>
      </c>
      <c r="I531" s="27" t="n">
        <v>45931</v>
      </c>
      <c r="J531" s="27" t="n">
        <v>45960</v>
      </c>
      <c r="K531" t="inlineStr">
        <is>
          <t>Cartão de Crédito</t>
        </is>
      </c>
      <c r="L531" t="inlineStr">
        <is>
          <t>Utilidades</t>
        </is>
      </c>
      <c r="M531" t="inlineStr">
        <is>
          <t>Utensilios</t>
        </is>
      </c>
      <c r="N531" t="inlineStr">
        <is>
          <t>26PETTY102025</t>
        </is>
      </c>
      <c r="O531" t="inlineStr">
        <is>
          <t>Documentação Aprovada</t>
        </is>
      </c>
      <c r="P531" t="inlineStr">
        <is>
          <t>Aprovado Diretoria</t>
        </is>
      </c>
      <c r="Q531" t="inlineStr">
        <is>
          <t>Aprovado Caixa</t>
        </is>
      </c>
      <c r="R531" t="inlineStr">
        <is>
          <t>Pago</t>
        </is>
      </c>
      <c r="S531" t="n">
        <v>182</v>
      </c>
      <c r="T531" t="inlineStr">
        <is>
          <t>Love - Shibari - Kamino</t>
        </is>
      </c>
    </row>
    <row r="532">
      <c r="A532" t="n">
        <v>171468</v>
      </c>
      <c r="B532" t="n">
        <v>128</v>
      </c>
      <c r="C532" t="inlineStr">
        <is>
          <t>Love Cabaret</t>
        </is>
      </c>
      <c r="D532" t="inlineStr">
        <is>
          <t>PETTY CASH</t>
        </is>
      </c>
      <c r="E532" t="n">
        <v>39.98</v>
      </c>
      <c r="F532" s="27" t="n">
        <v>45966</v>
      </c>
      <c r="G532" s="27" t="n">
        <v>45966</v>
      </c>
      <c r="H532" s="27" t="n">
        <v>45966</v>
      </c>
      <c r="I532" s="27" t="n">
        <v>45931</v>
      </c>
      <c r="J532" s="27" t="n">
        <v>45960</v>
      </c>
      <c r="K532" t="inlineStr">
        <is>
          <t>Cartão de Crédito</t>
        </is>
      </c>
      <c r="L532" t="inlineStr">
        <is>
          <t>Utilidades</t>
        </is>
      </c>
      <c r="M532" t="inlineStr">
        <is>
          <t>Utensilios</t>
        </is>
      </c>
      <c r="N532" t="inlineStr">
        <is>
          <t>27PETTY102025</t>
        </is>
      </c>
      <c r="O532" t="inlineStr">
        <is>
          <t>Documentação Aprovada</t>
        </is>
      </c>
      <c r="P532" t="inlineStr">
        <is>
          <t>Aprovado Diretoria</t>
        </is>
      </c>
      <c r="Q532" t="inlineStr">
        <is>
          <t>Aprovado Caixa</t>
        </is>
      </c>
      <c r="R532" t="inlineStr">
        <is>
          <t>Pago</t>
        </is>
      </c>
      <c r="S532" t="n">
        <v>182</v>
      </c>
      <c r="T532" t="inlineStr">
        <is>
          <t>Love - Shibari - Kamino</t>
        </is>
      </c>
    </row>
    <row r="533">
      <c r="A533" t="n">
        <v>171707</v>
      </c>
      <c r="B533" t="n">
        <v>128</v>
      </c>
      <c r="C533" t="inlineStr">
        <is>
          <t>Love Cabaret</t>
        </is>
      </c>
      <c r="D533" t="inlineStr">
        <is>
          <t>ESTAFF SOLUCOES TECNOLOGICAS DE AGENCIAMENTO LTDA</t>
        </is>
      </c>
      <c r="E533" t="n">
        <v>9764.950000000001</v>
      </c>
      <c r="F533" s="27" t="n">
        <v>45966</v>
      </c>
      <c r="G533" s="27" t="n">
        <v>45966</v>
      </c>
      <c r="H533" s="27" t="n">
        <v>45966</v>
      </c>
      <c r="I533" s="27" t="n">
        <v>45961</v>
      </c>
      <c r="J533" s="27" t="n">
        <v>45961</v>
      </c>
      <c r="K533" t="inlineStr">
        <is>
          <t>Boleto Bancário</t>
        </is>
      </c>
      <c r="L533" t="inlineStr">
        <is>
          <t>Mão de Obra - Extra</t>
        </is>
      </c>
      <c r="M533" t="inlineStr">
        <is>
          <t>Mão de Obra Extra</t>
        </is>
      </c>
      <c r="N533" t="inlineStr">
        <is>
          <t>670585611</t>
        </is>
      </c>
      <c r="O533" t="inlineStr">
        <is>
          <t>Documentação Aprovada</t>
        </is>
      </c>
      <c r="P533" t="inlineStr">
        <is>
          <t>Aprovado Diretoria</t>
        </is>
      </c>
      <c r="Q533" t="inlineStr">
        <is>
          <t>Aprovado Caixa</t>
        </is>
      </c>
      <c r="R533" t="inlineStr">
        <is>
          <t>Pago</t>
        </is>
      </c>
      <c r="S533" t="n">
        <v>182</v>
      </c>
      <c r="T533" t="inlineStr">
        <is>
          <t>Love - Shibari - Kamino</t>
        </is>
      </c>
    </row>
    <row r="534">
      <c r="A534" t="n">
        <v>172164</v>
      </c>
      <c r="B534" t="n">
        <v>128</v>
      </c>
      <c r="C534" t="inlineStr">
        <is>
          <t>Love Cabaret</t>
        </is>
      </c>
      <c r="D534" t="inlineStr">
        <is>
          <t>PETTY CASH</t>
        </is>
      </c>
      <c r="E534" t="n">
        <v>68</v>
      </c>
      <c r="F534" s="27" t="n">
        <v>45966</v>
      </c>
      <c r="G534" s="27" t="n">
        <v>45966</v>
      </c>
      <c r="H534" s="27" t="n">
        <v>45966</v>
      </c>
      <c r="I534" s="27" t="n">
        <v>45931</v>
      </c>
      <c r="J534" s="27" t="n">
        <v>45964</v>
      </c>
      <c r="K534" t="inlineStr">
        <is>
          <t>Cartão de Crédito</t>
        </is>
      </c>
      <c r="L534" t="inlineStr">
        <is>
          <t>Custo Mercadoria Vendida</t>
        </is>
      </c>
      <c r="M534" t="inlineStr">
        <is>
          <t>Insumos - Bebidas</t>
        </is>
      </c>
      <c r="N534" t="inlineStr">
        <is>
          <t>35PETTY102025</t>
        </is>
      </c>
      <c r="O534" t="inlineStr">
        <is>
          <t>Documentação Aprovada</t>
        </is>
      </c>
      <c r="P534" t="inlineStr">
        <is>
          <t>Aprovado Diretoria</t>
        </is>
      </c>
      <c r="Q534" t="inlineStr">
        <is>
          <t>Aprovado Caixa</t>
        </is>
      </c>
      <c r="R534" t="inlineStr">
        <is>
          <t>Pago</t>
        </is>
      </c>
      <c r="S534" t="n">
        <v>182</v>
      </c>
      <c r="T534" t="inlineStr">
        <is>
          <t>Love - Shibari - Kamino</t>
        </is>
      </c>
    </row>
    <row r="535">
      <c r="A535" t="n">
        <v>172169</v>
      </c>
      <c r="B535" t="n">
        <v>128</v>
      </c>
      <c r="C535" t="inlineStr">
        <is>
          <t>Love Cabaret</t>
        </is>
      </c>
      <c r="D535" t="inlineStr">
        <is>
          <t>PETTY CASH</t>
        </is>
      </c>
      <c r="E535" t="n">
        <v>136</v>
      </c>
      <c r="F535" s="27" t="n">
        <v>45966</v>
      </c>
      <c r="G535" s="27" t="n">
        <v>45966</v>
      </c>
      <c r="H535" s="27" t="n">
        <v>45966</v>
      </c>
      <c r="I535" s="27" t="n">
        <v>45931</v>
      </c>
      <c r="J535" s="27" t="n">
        <v>45964</v>
      </c>
      <c r="K535" t="inlineStr">
        <is>
          <t>Cartão de Crédito</t>
        </is>
      </c>
      <c r="L535" t="inlineStr">
        <is>
          <t>Utilidades</t>
        </is>
      </c>
      <c r="M535" t="inlineStr">
        <is>
          <t>Material de Consumo - Gelo/ Gas CO2/ Carvao /Velas</t>
        </is>
      </c>
      <c r="N535" t="inlineStr">
        <is>
          <t>36PETTY102025</t>
        </is>
      </c>
      <c r="O535" t="inlineStr">
        <is>
          <t>Documentação Aprovada</t>
        </is>
      </c>
      <c r="P535" t="inlineStr">
        <is>
          <t>Aprovado Diretoria</t>
        </is>
      </c>
      <c r="Q535" t="inlineStr">
        <is>
          <t>Aprovado Caixa</t>
        </is>
      </c>
      <c r="R535" t="inlineStr">
        <is>
          <t>Pago</t>
        </is>
      </c>
      <c r="S535" t="n">
        <v>182</v>
      </c>
      <c r="T535" t="inlineStr">
        <is>
          <t>Love - Shibari - Kamino</t>
        </is>
      </c>
    </row>
    <row r="536">
      <c r="A536" t="n">
        <v>172177</v>
      </c>
      <c r="B536" t="n">
        <v>128</v>
      </c>
      <c r="C536" t="inlineStr">
        <is>
          <t>Love Cabaret</t>
        </is>
      </c>
      <c r="D536" t="inlineStr">
        <is>
          <t>STAR COPIAS COMERCIO E SERVICOS LTDA</t>
        </is>
      </c>
      <c r="E536" t="n">
        <v>220</v>
      </c>
      <c r="F536" s="27" t="n">
        <v>45968</v>
      </c>
      <c r="G536" s="27" t="n">
        <v>45966</v>
      </c>
      <c r="H536" s="27" t="n">
        <v>45966</v>
      </c>
      <c r="I536" s="27" t="n">
        <v>45961</v>
      </c>
      <c r="J536" s="27" t="n">
        <v>45964</v>
      </c>
      <c r="K536" t="inlineStr">
        <is>
          <t>Boleto Bancário</t>
        </is>
      </c>
      <c r="L536" t="inlineStr">
        <is>
          <t>Locação de Equipamentos</t>
        </is>
      </c>
      <c r="M536" t="inlineStr">
        <is>
          <t>Locação de Equipamentos - Informatica e TI</t>
        </is>
      </c>
      <c r="N536" t="inlineStr">
        <is>
          <t>4657</t>
        </is>
      </c>
      <c r="O536" t="inlineStr">
        <is>
          <t>Documentação Aprovada</t>
        </is>
      </c>
      <c r="P536" t="inlineStr">
        <is>
          <t>Aprovado Diretoria</t>
        </is>
      </c>
      <c r="Q536" t="inlineStr">
        <is>
          <t>Aprovado Caixa</t>
        </is>
      </c>
      <c r="R536" t="inlineStr">
        <is>
          <t>Pago</t>
        </is>
      </c>
      <c r="S536" t="n">
        <v>182</v>
      </c>
      <c r="T536" t="inlineStr">
        <is>
          <t>Love - Shibari - Kamino</t>
        </is>
      </c>
    </row>
    <row r="537">
      <c r="A537" t="n">
        <v>172145</v>
      </c>
      <c r="B537" t="n">
        <v>128</v>
      </c>
      <c r="C537" t="inlineStr">
        <is>
          <t>Love Cabaret</t>
        </is>
      </c>
      <c r="D537" t="inlineStr">
        <is>
          <t>PETTY CASH</t>
        </is>
      </c>
      <c r="E537" t="n">
        <v>138.6</v>
      </c>
      <c r="F537" s="27" t="n">
        <v>45966</v>
      </c>
      <c r="G537" s="27" t="n">
        <v>45966</v>
      </c>
      <c r="H537" s="27" t="n">
        <v>45966</v>
      </c>
      <c r="I537" s="27" t="n">
        <v>45931</v>
      </c>
      <c r="J537" s="27" t="n">
        <v>45964</v>
      </c>
      <c r="K537" t="inlineStr">
        <is>
          <t>Cartão de Crédito</t>
        </is>
      </c>
      <c r="L537" t="inlineStr">
        <is>
          <t>Utilidades</t>
        </is>
      </c>
      <c r="M537" t="inlineStr">
        <is>
          <t>Utensilios</t>
        </is>
      </c>
      <c r="N537" t="inlineStr">
        <is>
          <t>34PETTY102025</t>
        </is>
      </c>
      <c r="O537" t="inlineStr">
        <is>
          <t>Documentação Aprovada</t>
        </is>
      </c>
      <c r="P537" t="inlineStr">
        <is>
          <t>Aprovado Diretoria</t>
        </is>
      </c>
      <c r="Q537" t="inlineStr">
        <is>
          <t>Aprovado Caixa</t>
        </is>
      </c>
      <c r="R537" t="inlineStr">
        <is>
          <t>Pago</t>
        </is>
      </c>
      <c r="S537" t="n">
        <v>182</v>
      </c>
      <c r="T537" t="inlineStr">
        <is>
          <t>Love - Shibari - Kamino</t>
        </is>
      </c>
    </row>
    <row r="538">
      <c r="A538" t="n">
        <v>166425</v>
      </c>
      <c r="B538" t="n">
        <v>128</v>
      </c>
      <c r="C538" t="inlineStr">
        <is>
          <t>Love Cabaret</t>
        </is>
      </c>
      <c r="D538" t="inlineStr">
        <is>
          <t>EAU - DISTRIBUIDORA DE AGUA MINERAL LTDA</t>
        </is>
      </c>
      <c r="E538" t="n">
        <v>138</v>
      </c>
      <c r="F538" s="27" t="n">
        <v>45967</v>
      </c>
      <c r="G538" s="27" t="n">
        <v>45966</v>
      </c>
      <c r="H538" s="27" t="n">
        <v>45966</v>
      </c>
      <c r="I538" s="27" t="n">
        <v>45938</v>
      </c>
      <c r="J538" s="27" t="n">
        <v>45940</v>
      </c>
      <c r="K538" t="inlineStr">
        <is>
          <t>Boleto Bancário</t>
        </is>
      </c>
      <c r="L538" t="inlineStr">
        <is>
          <t>Custo Mercadoria Vendida</t>
        </is>
      </c>
      <c r="M538" t="inlineStr">
        <is>
          <t>Insumos - Bebidas</t>
        </is>
      </c>
      <c r="N538" t="inlineStr">
        <is>
          <t>271247</t>
        </is>
      </c>
      <c r="O538" t="inlineStr">
        <is>
          <t>Documentação Aprovada</t>
        </is>
      </c>
      <c r="P538" t="inlineStr">
        <is>
          <t>Aprovado Diretoria</t>
        </is>
      </c>
      <c r="Q538" t="inlineStr">
        <is>
          <t>Aprovado Caixa</t>
        </is>
      </c>
      <c r="R538" t="inlineStr">
        <is>
          <t>Pago</t>
        </is>
      </c>
      <c r="S538" t="n">
        <v>182</v>
      </c>
      <c r="T538" t="inlineStr">
        <is>
          <t>Love - Shibari - Kamino</t>
        </is>
      </c>
    </row>
    <row r="539">
      <c r="A539" t="n">
        <v>167078</v>
      </c>
      <c r="B539" t="n">
        <v>128</v>
      </c>
      <c r="C539" t="inlineStr">
        <is>
          <t>Love Cabaret</t>
        </is>
      </c>
      <c r="D539" t="inlineStr">
        <is>
          <t xml:space="preserve">HORTIFRUTI DO CHEF LTDA </t>
        </is>
      </c>
      <c r="E539" t="n">
        <v>444.06</v>
      </c>
      <c r="F539" s="27" t="n">
        <v>45967</v>
      </c>
      <c r="G539" s="27" t="n">
        <v>45966</v>
      </c>
      <c r="H539" s="27" t="n">
        <v>45966</v>
      </c>
      <c r="I539" s="27" t="n">
        <v>45939</v>
      </c>
      <c r="J539" s="27" t="n">
        <v>45944</v>
      </c>
      <c r="K539" t="inlineStr">
        <is>
          <t>Boleto Bancário</t>
        </is>
      </c>
      <c r="L539" t="inlineStr">
        <is>
          <t>Custo Mercadoria Vendida</t>
        </is>
      </c>
      <c r="M539" t="inlineStr">
        <is>
          <t>Insumos - Alimentos</t>
        </is>
      </c>
      <c r="N539" t="inlineStr">
        <is>
          <t>28082</t>
        </is>
      </c>
      <c r="O539" t="inlineStr">
        <is>
          <t>Documentação Aprovada</t>
        </is>
      </c>
      <c r="P539" t="inlineStr">
        <is>
          <t>Aprovado Diretoria</t>
        </is>
      </c>
      <c r="Q539" t="inlineStr">
        <is>
          <t>Aprovado Caixa</t>
        </is>
      </c>
      <c r="R539" t="inlineStr">
        <is>
          <t>Pago</t>
        </is>
      </c>
      <c r="S539" t="n">
        <v>182</v>
      </c>
      <c r="T539" t="inlineStr">
        <is>
          <t>Love - Shibari - Kamino</t>
        </is>
      </c>
    </row>
    <row r="540">
      <c r="A540" t="n">
        <v>166429</v>
      </c>
      <c r="B540" t="n">
        <v>128</v>
      </c>
      <c r="C540" t="inlineStr">
        <is>
          <t>Love Cabaret</t>
        </is>
      </c>
      <c r="D540" t="inlineStr">
        <is>
          <t>WINES4U COMÉRCIO, IMPORTAÇÃO E EXPORTAÇÃO DE VINHOS LTDA</t>
        </is>
      </c>
      <c r="E540" t="n">
        <v>1377</v>
      </c>
      <c r="F540" s="27" t="n">
        <v>45968</v>
      </c>
      <c r="G540" s="27" t="n">
        <v>45966</v>
      </c>
      <c r="H540" s="27" t="n">
        <v>45966</v>
      </c>
      <c r="I540" s="27" t="n">
        <v>45938</v>
      </c>
      <c r="J540" s="27" t="n">
        <v>45940</v>
      </c>
      <c r="K540" t="inlineStr">
        <is>
          <t>Boleto Bancário</t>
        </is>
      </c>
      <c r="L540" t="inlineStr">
        <is>
          <t>Custo Mercadoria Vendida</t>
        </is>
      </c>
      <c r="M540" t="inlineStr">
        <is>
          <t>Insumos - Bebidas</t>
        </is>
      </c>
      <c r="N540" t="inlineStr">
        <is>
          <t>14428</t>
        </is>
      </c>
      <c r="O540" t="inlineStr">
        <is>
          <t>Documentação Aprovada</t>
        </is>
      </c>
      <c r="P540" t="inlineStr">
        <is>
          <t>Aprovado Diretoria</t>
        </is>
      </c>
      <c r="Q540" t="inlineStr">
        <is>
          <t>Aprovado Caixa</t>
        </is>
      </c>
      <c r="R540" t="inlineStr">
        <is>
          <t>Pago</t>
        </is>
      </c>
      <c r="S540" t="n">
        <v>182</v>
      </c>
      <c r="T540" t="inlineStr">
        <is>
          <t>Love - Shibari - Kamino</t>
        </is>
      </c>
    </row>
    <row r="541">
      <c r="A541" t="n">
        <v>166333</v>
      </c>
      <c r="B541" t="n">
        <v>128</v>
      </c>
      <c r="C541" t="inlineStr">
        <is>
          <t>Love Cabaret</t>
        </is>
      </c>
      <c r="D541" t="inlineStr">
        <is>
          <t>EMPORIO M&amp;L COMERCIO DE ALIM E BEBIDAS LTDA</t>
        </is>
      </c>
      <c r="E541" t="n">
        <v>1100.26</v>
      </c>
      <c r="F541" s="27" t="n">
        <v>45967</v>
      </c>
      <c r="G541" s="27" t="n">
        <v>45966</v>
      </c>
      <c r="H541" s="27" t="n">
        <v>45966</v>
      </c>
      <c r="I541" s="27" t="n">
        <v>45936</v>
      </c>
      <c r="J541" s="27" t="n">
        <v>45939</v>
      </c>
      <c r="K541" t="inlineStr">
        <is>
          <t>Boleto Bancário</t>
        </is>
      </c>
      <c r="L541" t="inlineStr">
        <is>
          <t>Custo Mercadoria Vendida</t>
        </is>
      </c>
      <c r="M541" t="inlineStr">
        <is>
          <t>Insumos - Alimentos</t>
        </is>
      </c>
      <c r="N541" t="inlineStr">
        <is>
          <t>474774</t>
        </is>
      </c>
      <c r="O541" t="inlineStr">
        <is>
          <t>Documentação Aprovada</t>
        </is>
      </c>
      <c r="P541" t="inlineStr">
        <is>
          <t>Aprovado Diretoria</t>
        </is>
      </c>
      <c r="Q541" t="inlineStr">
        <is>
          <t>Aprovado Caixa</t>
        </is>
      </c>
      <c r="R541" t="inlineStr">
        <is>
          <t>Pago</t>
        </is>
      </c>
      <c r="S541" t="n">
        <v>182</v>
      </c>
      <c r="T541" t="inlineStr">
        <is>
          <t>Love - Shibari - Kamino</t>
        </is>
      </c>
    </row>
    <row r="542">
      <c r="A542" t="n">
        <v>166065</v>
      </c>
      <c r="B542" t="n">
        <v>128</v>
      </c>
      <c r="C542" t="inlineStr">
        <is>
          <t>Love Cabaret</t>
        </is>
      </c>
      <c r="D542" t="inlineStr">
        <is>
          <t>EMPORIO M&amp;L COMERCIO DE ALIM E BEBIDAS LTDA</t>
        </is>
      </c>
      <c r="E542" t="n">
        <v>1129.3</v>
      </c>
      <c r="F542" s="27" t="n">
        <v>45967</v>
      </c>
      <c r="G542" s="27" t="n">
        <v>45966</v>
      </c>
      <c r="H542" s="27" t="n">
        <v>45966</v>
      </c>
      <c r="I542" s="27" t="n">
        <v>45936</v>
      </c>
      <c r="J542" s="27" t="n">
        <v>45938</v>
      </c>
      <c r="K542" t="inlineStr">
        <is>
          <t>Boleto Bancário</t>
        </is>
      </c>
      <c r="L542" t="inlineStr">
        <is>
          <t>Custo Mercadoria Vendida</t>
        </is>
      </c>
      <c r="M542" t="inlineStr">
        <is>
          <t>Insumos - Bebidas</t>
        </is>
      </c>
      <c r="N542" t="inlineStr">
        <is>
          <t>474728</t>
        </is>
      </c>
      <c r="O542" t="inlineStr">
        <is>
          <t>Documentação Aprovada</t>
        </is>
      </c>
      <c r="P542" t="inlineStr">
        <is>
          <t>Aprovado Diretoria</t>
        </is>
      </c>
      <c r="Q542" t="inlineStr">
        <is>
          <t>Aprovado Caixa</t>
        </is>
      </c>
      <c r="R542" t="inlineStr">
        <is>
          <t>Pago</t>
        </is>
      </c>
      <c r="S542" t="n">
        <v>182</v>
      </c>
      <c r="T542" t="inlineStr">
        <is>
          <t>Love - Shibari - Kamino</t>
        </is>
      </c>
    </row>
    <row r="543">
      <c r="A543" t="n">
        <v>159875</v>
      </c>
      <c r="B543" t="n">
        <v>128</v>
      </c>
      <c r="C543" t="inlineStr">
        <is>
          <t>Love Cabaret</t>
        </is>
      </c>
      <c r="D543" t="inlineStr">
        <is>
          <t>GET IN TECNOLOGIA S.A.</t>
        </is>
      </c>
      <c r="E543" t="n">
        <v>957.6</v>
      </c>
      <c r="F543" s="27" t="n">
        <v>45970</v>
      </c>
      <c r="G543" s="27" t="n">
        <v>45966</v>
      </c>
      <c r="H543" s="27" t="n">
        <v>45966</v>
      </c>
      <c r="I543" s="27" t="n">
        <v>45969</v>
      </c>
      <c r="J543" s="27" t="n"/>
      <c r="K543" t="inlineStr">
        <is>
          <t>Boleto Bancário</t>
        </is>
      </c>
      <c r="L543" t="inlineStr">
        <is>
          <t>Informática e TI</t>
        </is>
      </c>
      <c r="M543" t="inlineStr">
        <is>
          <t>Sistemas Gerais - Comunicação e Marketing</t>
        </is>
      </c>
      <c r="O543" t="inlineStr">
        <is>
          <t>Documentação Aprovada</t>
        </is>
      </c>
      <c r="P543" t="inlineStr">
        <is>
          <t>Aprovado Diretoria</t>
        </is>
      </c>
      <c r="Q543" t="inlineStr">
        <is>
          <t>Aprovado Caixa</t>
        </is>
      </c>
      <c r="R543" t="inlineStr">
        <is>
          <t>Pago</t>
        </is>
      </c>
      <c r="S543" t="n">
        <v>182</v>
      </c>
      <c r="T543" t="inlineStr">
        <is>
          <t>Love - Shibari - Kamino</t>
        </is>
      </c>
    </row>
    <row r="544">
      <c r="A544" t="n">
        <v>161014</v>
      </c>
      <c r="B544" t="n">
        <v>128</v>
      </c>
      <c r="C544" t="inlineStr">
        <is>
          <t>Love Cabaret</t>
        </is>
      </c>
      <c r="D544" t="inlineStr">
        <is>
          <t>JND SOLUCOES TECNICAS EIRELI</t>
        </is>
      </c>
      <c r="E544" t="n">
        <v>121.55</v>
      </c>
      <c r="F544" s="27" t="n">
        <v>45966</v>
      </c>
      <c r="G544" s="27" t="n">
        <v>45966</v>
      </c>
      <c r="H544" s="27" t="n">
        <v>45966</v>
      </c>
      <c r="I544" s="27" t="n">
        <v>45916</v>
      </c>
      <c r="J544" s="27" t="n">
        <v>45916</v>
      </c>
      <c r="K544" t="inlineStr">
        <is>
          <t>Boleto Bancário</t>
        </is>
      </c>
      <c r="L544" t="inlineStr">
        <is>
          <t>Utilidades</t>
        </is>
      </c>
      <c r="M544" t="inlineStr">
        <is>
          <t>Serviços de Limpeza</t>
        </is>
      </c>
      <c r="N544" t="inlineStr">
        <is>
          <t>6983</t>
        </is>
      </c>
      <c r="O544" t="inlineStr">
        <is>
          <t>Documentação Aprovada</t>
        </is>
      </c>
      <c r="P544" t="inlineStr">
        <is>
          <t>Aprovado Diretoria</t>
        </is>
      </c>
      <c r="Q544" t="inlineStr">
        <is>
          <t>Aprovado Caixa</t>
        </is>
      </c>
      <c r="R544" t="inlineStr">
        <is>
          <t>Pago</t>
        </is>
      </c>
      <c r="S544" t="n">
        <v>182</v>
      </c>
      <c r="T544" t="inlineStr">
        <is>
          <t>Love - Shibari - Kamino</t>
        </is>
      </c>
    </row>
    <row r="545">
      <c r="A545" t="n">
        <v>97489</v>
      </c>
      <c r="B545" t="n">
        <v>128</v>
      </c>
      <c r="C545" t="inlineStr">
        <is>
          <t>Love Cabaret</t>
        </is>
      </c>
      <c r="D545" t="inlineStr">
        <is>
          <t>IRRF</t>
        </is>
      </c>
      <c r="E545" t="n">
        <v>194.72</v>
      </c>
      <c r="F545" s="27" t="n">
        <v>45950</v>
      </c>
      <c r="G545" s="27" t="n">
        <v>45966</v>
      </c>
      <c r="H545" s="27" t="n">
        <v>45966</v>
      </c>
      <c r="I545" s="27" t="n">
        <v>45930</v>
      </c>
      <c r="J545" s="27" t="n"/>
      <c r="K545" t="inlineStr">
        <is>
          <t>Boleto Bancário</t>
        </is>
      </c>
      <c r="L545" t="inlineStr">
        <is>
          <t>Serviços de Terceiros</t>
        </is>
      </c>
      <c r="M545" t="inlineStr">
        <is>
          <t>Serviços de Segurança</t>
        </is>
      </c>
      <c r="N545" t="inlineStr">
        <is>
          <t>092025</t>
        </is>
      </c>
      <c r="O545" t="inlineStr">
        <is>
          <t>Documentação Aprovada</t>
        </is>
      </c>
      <c r="P545" t="inlineStr">
        <is>
          <t>Aprovado Diretoria</t>
        </is>
      </c>
      <c r="Q545" t="inlineStr">
        <is>
          <t>Aprovado Caixa</t>
        </is>
      </c>
      <c r="R545" t="inlineStr">
        <is>
          <t>Pago</t>
        </is>
      </c>
      <c r="S545" t="n">
        <v>182</v>
      </c>
      <c r="T545" t="inlineStr">
        <is>
          <t>Love - Shibari - Kamino</t>
        </is>
      </c>
    </row>
    <row r="546">
      <c r="A546" t="n">
        <v>97444</v>
      </c>
      <c r="B546" t="n">
        <v>128</v>
      </c>
      <c r="C546" t="inlineStr">
        <is>
          <t>Love Cabaret</t>
        </is>
      </c>
      <c r="D546" t="inlineStr">
        <is>
          <t xml:space="preserve">MINISTERIO DA FAZENDA </t>
        </is>
      </c>
      <c r="E546" t="n">
        <v>709.17</v>
      </c>
      <c r="F546" s="27" t="n">
        <v>45950</v>
      </c>
      <c r="G546" s="27" t="n">
        <v>45966</v>
      </c>
      <c r="H546" s="27" t="n">
        <v>45966</v>
      </c>
      <c r="I546" s="27" t="n">
        <v>45930</v>
      </c>
      <c r="J546" s="27" t="n"/>
      <c r="K546" t="inlineStr">
        <is>
          <t>Boleto Bancário</t>
        </is>
      </c>
      <c r="L546" t="inlineStr">
        <is>
          <t>Serviços de Terceiros</t>
        </is>
      </c>
      <c r="M546" t="inlineStr">
        <is>
          <t>Serviços de Segurança</t>
        </is>
      </c>
      <c r="N546" t="inlineStr">
        <is>
          <t>092025</t>
        </is>
      </c>
      <c r="O546" t="inlineStr">
        <is>
          <t>Documentação Aprovada</t>
        </is>
      </c>
      <c r="P546" t="inlineStr">
        <is>
          <t>Aprovado Diretoria</t>
        </is>
      </c>
      <c r="Q546" t="inlineStr">
        <is>
          <t>Aprovado Caixa</t>
        </is>
      </c>
      <c r="R546" t="inlineStr">
        <is>
          <t>Pago</t>
        </is>
      </c>
      <c r="S546" t="n">
        <v>182</v>
      </c>
      <c r="T546" t="inlineStr">
        <is>
          <t>Love - Shibari - Kamino</t>
        </is>
      </c>
    </row>
    <row r="547">
      <c r="A547" t="n">
        <v>97461</v>
      </c>
      <c r="B547" t="n">
        <v>128</v>
      </c>
      <c r="C547" t="inlineStr">
        <is>
          <t>Love Cabaret</t>
        </is>
      </c>
      <c r="D547" t="inlineStr">
        <is>
          <t>INSS</t>
        </is>
      </c>
      <c r="E547" t="n">
        <v>839.39</v>
      </c>
      <c r="F547" s="27" t="n">
        <v>45950</v>
      </c>
      <c r="G547" s="27" t="n">
        <v>45966</v>
      </c>
      <c r="H547" s="27" t="n">
        <v>45966</v>
      </c>
      <c r="I547" s="27" t="n">
        <v>45919</v>
      </c>
      <c r="J547" s="27" t="n"/>
      <c r="K547" t="inlineStr">
        <is>
          <t>Boleto Bancário</t>
        </is>
      </c>
      <c r="L547" t="inlineStr">
        <is>
          <t>Serviços de Terceiros</t>
        </is>
      </c>
      <c r="M547" t="inlineStr">
        <is>
          <t>Serviços de Segurança</t>
        </is>
      </c>
      <c r="N547" t="inlineStr">
        <is>
          <t>092025</t>
        </is>
      </c>
      <c r="O547" t="inlineStr">
        <is>
          <t>Documentação Aprovada</t>
        </is>
      </c>
      <c r="P547" t="inlineStr">
        <is>
          <t>Aprovado Diretoria</t>
        </is>
      </c>
      <c r="Q547" t="inlineStr">
        <is>
          <t>Aprovado Caixa</t>
        </is>
      </c>
      <c r="R547" t="inlineStr">
        <is>
          <t>Pago</t>
        </is>
      </c>
      <c r="S547" t="n">
        <v>182</v>
      </c>
      <c r="T547" t="inlineStr">
        <is>
          <t>Love - Shibari - Kamino</t>
        </is>
      </c>
    </row>
    <row r="548">
      <c r="A548" t="n">
        <v>102949</v>
      </c>
      <c r="B548" t="n">
        <v>128</v>
      </c>
      <c r="C548" t="inlineStr">
        <is>
          <t>Love Cabaret</t>
        </is>
      </c>
      <c r="D548" t="inlineStr">
        <is>
          <t>SAFE BRAND COMERCIAL- IMPORTACAO- EXPORTACAO E SERVICOS LTDA</t>
        </is>
      </c>
      <c r="E548" t="n">
        <v>2117.46</v>
      </c>
      <c r="F548" s="27" t="n">
        <v>45970</v>
      </c>
      <c r="G548" s="27" t="n">
        <v>45966</v>
      </c>
      <c r="H548" s="27" t="n">
        <v>45966</v>
      </c>
      <c r="I548" s="27" t="n">
        <v>45962</v>
      </c>
      <c r="J548" s="27" t="n"/>
      <c r="K548" t="inlineStr">
        <is>
          <t>Boleto Bancário</t>
        </is>
      </c>
      <c r="L548" t="inlineStr">
        <is>
          <t>Locação de Equipamentos</t>
        </is>
      </c>
      <c r="M548" t="inlineStr">
        <is>
          <t>Locações de Equipamentos - Operacionais</t>
        </is>
      </c>
      <c r="N548" t="inlineStr">
        <is>
          <t>03250226</t>
        </is>
      </c>
      <c r="O548" t="inlineStr">
        <is>
          <t>Documentação Aprovada</t>
        </is>
      </c>
      <c r="P548" t="inlineStr">
        <is>
          <t>Aprovado Diretoria</t>
        </is>
      </c>
      <c r="Q548" t="inlineStr">
        <is>
          <t>Aprovado Caixa</t>
        </is>
      </c>
      <c r="R548" t="inlineStr">
        <is>
          <t>Pago</t>
        </is>
      </c>
      <c r="S548" t="n">
        <v>182</v>
      </c>
      <c r="T548" t="inlineStr">
        <is>
          <t>Love - Shibari - Kamino</t>
        </is>
      </c>
    </row>
    <row r="549">
      <c r="A549" t="n">
        <v>103050</v>
      </c>
      <c r="B549" t="n">
        <v>128</v>
      </c>
      <c r="C549" t="inlineStr">
        <is>
          <t>Love Cabaret</t>
        </is>
      </c>
      <c r="D549" t="inlineStr">
        <is>
          <t>VERISURE BRASIL MONITORAMENTO DE ALARMES S.A</t>
        </is>
      </c>
      <c r="E549" t="n">
        <v>270.11</v>
      </c>
      <c r="F549" s="27" t="n">
        <v>45966</v>
      </c>
      <c r="G549" s="27" t="n">
        <v>45966</v>
      </c>
      <c r="H549" s="27" t="n">
        <v>45966</v>
      </c>
      <c r="I549" s="27" t="n">
        <v>45945</v>
      </c>
      <c r="J549" s="27" t="n"/>
      <c r="K549" t="inlineStr">
        <is>
          <t xml:space="preserve">Debito Automático </t>
        </is>
      </c>
      <c r="L549" t="inlineStr">
        <is>
          <t>Informática e TI</t>
        </is>
      </c>
      <c r="M549" t="inlineStr">
        <is>
          <t>Sistemas de Segurança e Alarme</t>
        </is>
      </c>
      <c r="N549" t="inlineStr">
        <is>
          <t>16690451</t>
        </is>
      </c>
      <c r="O549" t="inlineStr">
        <is>
          <t>Documentação Aprovada</t>
        </is>
      </c>
      <c r="P549" t="inlineStr">
        <is>
          <t>Aprovado Diretoria</t>
        </is>
      </c>
      <c r="Q549" t="inlineStr">
        <is>
          <t>Aprovado Caixa</t>
        </is>
      </c>
      <c r="R549" t="inlineStr">
        <is>
          <t>Pago</t>
        </is>
      </c>
      <c r="S549" t="n">
        <v>115</v>
      </c>
      <c r="T549" t="inlineStr">
        <is>
          <t>Love - Shibari - Bradesco</t>
        </is>
      </c>
    </row>
    <row r="550">
      <c r="A550" t="n">
        <v>96827</v>
      </c>
      <c r="B550" t="n">
        <v>128</v>
      </c>
      <c r="C550" t="inlineStr">
        <is>
          <t>Love Cabaret</t>
        </is>
      </c>
      <c r="D550" t="inlineStr">
        <is>
          <t xml:space="preserve">ANA CLAUDIA DA COSTA PINTO </t>
        </is>
      </c>
      <c r="E550" t="n">
        <v>471.7</v>
      </c>
      <c r="F550" s="27" t="n">
        <v>45970</v>
      </c>
      <c r="G550" s="27" t="n">
        <v>45966</v>
      </c>
      <c r="H550" s="27" t="n">
        <v>45966</v>
      </c>
      <c r="I550" s="27" t="n">
        <v>45950</v>
      </c>
      <c r="J550" s="27" t="n"/>
      <c r="K550" t="inlineStr">
        <is>
          <t>Transferência Bancária ou Pix</t>
        </is>
      </c>
      <c r="L550" t="inlineStr">
        <is>
          <t>Manutenção</t>
        </is>
      </c>
      <c r="M550" t="inlineStr">
        <is>
          <t>Decoração/Paisagismo e Jardinagem</t>
        </is>
      </c>
      <c r="N550" t="inlineStr">
        <is>
          <t>2430</t>
        </is>
      </c>
      <c r="O550" t="inlineStr">
        <is>
          <t>Documentação Aprovada</t>
        </is>
      </c>
      <c r="P550" t="inlineStr">
        <is>
          <t>Aprovado Diretoria</t>
        </is>
      </c>
      <c r="Q550" t="inlineStr">
        <is>
          <t>Aprovado Caixa</t>
        </is>
      </c>
      <c r="R550" t="inlineStr">
        <is>
          <t>Pago</t>
        </is>
      </c>
      <c r="S550" t="n">
        <v>182</v>
      </c>
      <c r="T550" t="inlineStr">
        <is>
          <t>Love - Shibari - Kamino</t>
        </is>
      </c>
    </row>
    <row r="551">
      <c r="A551" t="n">
        <v>97472</v>
      </c>
      <c r="B551" t="n">
        <v>128</v>
      </c>
      <c r="C551" t="inlineStr">
        <is>
          <t>Love Cabaret</t>
        </is>
      </c>
      <c r="D551" t="inlineStr">
        <is>
          <t>ICMS</t>
        </is>
      </c>
      <c r="E551" t="n">
        <v>12417.75</v>
      </c>
      <c r="F551" s="27" t="n">
        <v>45920</v>
      </c>
      <c r="G551" s="27" t="n">
        <v>45965</v>
      </c>
      <c r="H551" s="27" t="n">
        <v>45965</v>
      </c>
      <c r="I551" s="27" t="n">
        <v>45900</v>
      </c>
      <c r="J551" s="27" t="n"/>
      <c r="K551" t="inlineStr">
        <is>
          <t>Boleto Bancário</t>
        </is>
      </c>
      <c r="L551" t="inlineStr">
        <is>
          <t>Impostos sobre Venda</t>
        </is>
      </c>
      <c r="M551" t="inlineStr">
        <is>
          <t>ICMS</t>
        </is>
      </c>
      <c r="N551" t="inlineStr">
        <is>
          <t>082025</t>
        </is>
      </c>
      <c r="O551" t="inlineStr">
        <is>
          <t>Documentação Aprovada</t>
        </is>
      </c>
      <c r="P551" t="inlineStr">
        <is>
          <t>Aprovado Diretoria</t>
        </is>
      </c>
      <c r="Q551" t="inlineStr">
        <is>
          <t>Aprovado Caixa</t>
        </is>
      </c>
      <c r="R551" t="inlineStr">
        <is>
          <t>Pago</t>
        </is>
      </c>
      <c r="S551" t="n">
        <v>182</v>
      </c>
      <c r="T551" t="inlineStr">
        <is>
          <t>Love - Shibari - Kamino</t>
        </is>
      </c>
    </row>
    <row r="552">
      <c r="A552" t="n">
        <v>97383</v>
      </c>
      <c r="B552" t="n">
        <v>128</v>
      </c>
      <c r="C552" t="inlineStr">
        <is>
          <t>Love Cabaret</t>
        </is>
      </c>
      <c r="D552" t="inlineStr">
        <is>
          <t>EBM ADVOGADOS - MATECKI SOCIEDADE INDIVIDUAL DE ADVOCACIA</t>
        </is>
      </c>
      <c r="E552" t="n">
        <v>3200</v>
      </c>
      <c r="F552" s="27" t="n">
        <v>45960</v>
      </c>
      <c r="G552" s="27" t="n">
        <v>45964</v>
      </c>
      <c r="H552" s="27" t="n">
        <v>45964</v>
      </c>
      <c r="I552" s="27" t="n">
        <v>45945</v>
      </c>
      <c r="J552" s="27" t="n"/>
      <c r="K552" t="inlineStr">
        <is>
          <t>Transferência Bancária ou Pix</t>
        </is>
      </c>
      <c r="L552" t="inlineStr">
        <is>
          <t>Serviços de Terceiros</t>
        </is>
      </c>
      <c r="M552" t="inlineStr">
        <is>
          <t>Assessoria Jurídica</t>
        </is>
      </c>
      <c r="N552" t="inlineStr">
        <is>
          <t>1042025</t>
        </is>
      </c>
      <c r="O552" t="inlineStr">
        <is>
          <t>Documentação Aprovada</t>
        </is>
      </c>
      <c r="P552" t="inlineStr">
        <is>
          <t>Aprovado Diretoria</t>
        </is>
      </c>
      <c r="Q552" t="inlineStr">
        <is>
          <t>Aprovado Caixa</t>
        </is>
      </c>
      <c r="R552" t="inlineStr">
        <is>
          <t>Pago</t>
        </is>
      </c>
      <c r="S552" t="n">
        <v>182</v>
      </c>
      <c r="T552" t="inlineStr">
        <is>
          <t>Love - Shibari - Kamino</t>
        </is>
      </c>
    </row>
    <row r="553">
      <c r="A553" t="n">
        <v>97344</v>
      </c>
      <c r="B553" t="n">
        <v>128</v>
      </c>
      <c r="C553" t="inlineStr">
        <is>
          <t>Love Cabaret</t>
        </is>
      </c>
      <c r="D553" t="inlineStr">
        <is>
          <t>ELETROPAULO METROPOLITANA ELETRICIDADE DE SAO PAULO SA</t>
        </is>
      </c>
      <c r="E553" t="n">
        <v>107.43</v>
      </c>
      <c r="F553" s="27" t="n">
        <v>45965</v>
      </c>
      <c r="G553" s="27" t="n">
        <v>45964</v>
      </c>
      <c r="H553" s="27" t="n">
        <v>45964</v>
      </c>
      <c r="I553" s="27" t="n">
        <v>45945</v>
      </c>
      <c r="J553" s="27" t="n"/>
      <c r="K553" t="inlineStr">
        <is>
          <t>Boleto Bancário</t>
        </is>
      </c>
      <c r="L553" t="inlineStr">
        <is>
          <t>Utilidades</t>
        </is>
      </c>
      <c r="M553" t="inlineStr">
        <is>
          <t>Energia Eletrica</t>
        </is>
      </c>
      <c r="N553" t="inlineStr">
        <is>
          <t>5011929</t>
        </is>
      </c>
      <c r="O553" t="inlineStr">
        <is>
          <t>Documentação Aprovada</t>
        </is>
      </c>
      <c r="P553" t="inlineStr">
        <is>
          <t>Aprovado Diretoria</t>
        </is>
      </c>
      <c r="Q553" t="inlineStr">
        <is>
          <t>Aprovado Caixa</t>
        </is>
      </c>
      <c r="R553" t="inlineStr">
        <is>
          <t>Pago</t>
        </is>
      </c>
      <c r="S553" t="n">
        <v>182</v>
      </c>
      <c r="T553" t="inlineStr">
        <is>
          <t>Love - Shibari - Kamino</t>
        </is>
      </c>
    </row>
    <row r="554">
      <c r="A554" t="n">
        <v>97320</v>
      </c>
      <c r="B554" t="n">
        <v>128</v>
      </c>
      <c r="C554" t="inlineStr">
        <is>
          <t>Love Cabaret</t>
        </is>
      </c>
      <c r="D554" t="inlineStr">
        <is>
          <t>ESCRITORIO CENTRAL DE ARRECADACAO E DISTRIBUICAO ECAD</t>
        </is>
      </c>
      <c r="E554" t="n">
        <v>802.5</v>
      </c>
      <c r="F554" s="27" t="n">
        <v>45966</v>
      </c>
      <c r="G554" s="27" t="n">
        <v>45964</v>
      </c>
      <c r="H554" s="27" t="n">
        <v>45964</v>
      </c>
      <c r="I554" s="27" t="n">
        <v>45949</v>
      </c>
      <c r="J554" s="27" t="n"/>
      <c r="K554" t="inlineStr">
        <is>
          <t>Boleto Bancário</t>
        </is>
      </c>
      <c r="L554" t="inlineStr">
        <is>
          <t>Custos Artístico Geral</t>
        </is>
      </c>
      <c r="M554" t="inlineStr">
        <is>
          <t>Taxas e Licenças - Artístico</t>
        </is>
      </c>
      <c r="N554" t="inlineStr">
        <is>
          <t xml:space="preserve">9022537565 </t>
        </is>
      </c>
      <c r="O554" t="inlineStr">
        <is>
          <t>Documentação Aprovada</t>
        </is>
      </c>
      <c r="P554" t="inlineStr">
        <is>
          <t>Aprovado Diretoria</t>
        </is>
      </c>
      <c r="Q554" t="inlineStr">
        <is>
          <t>Aprovado Caixa</t>
        </is>
      </c>
      <c r="R554" t="inlineStr">
        <is>
          <t>Pago</t>
        </is>
      </c>
      <c r="S554" t="n">
        <v>182</v>
      </c>
      <c r="T554" t="inlineStr">
        <is>
          <t>Love - Shibari - Kamino</t>
        </is>
      </c>
    </row>
    <row r="555">
      <c r="A555" t="n">
        <v>97332</v>
      </c>
      <c r="B555" t="n">
        <v>128</v>
      </c>
      <c r="C555" t="inlineStr">
        <is>
          <t>Love Cabaret</t>
        </is>
      </c>
      <c r="D555" t="inlineStr">
        <is>
          <t>ELETROPAULO METROPOLITANA ELETRICIDADE DE SAO PAULO SA</t>
        </is>
      </c>
      <c r="E555" t="n">
        <v>11379.59</v>
      </c>
      <c r="F555" s="27" t="n">
        <v>45965</v>
      </c>
      <c r="G555" s="27" t="n">
        <v>45964</v>
      </c>
      <c r="H555" s="27" t="n">
        <v>45964</v>
      </c>
      <c r="I555" s="27" t="n">
        <v>45945</v>
      </c>
      <c r="J555" s="27" t="n"/>
      <c r="K555" t="inlineStr">
        <is>
          <t>Boleto Bancário</t>
        </is>
      </c>
      <c r="L555" t="inlineStr">
        <is>
          <t>Utilidades</t>
        </is>
      </c>
      <c r="M555" t="inlineStr">
        <is>
          <t>Energia Eletrica</t>
        </is>
      </c>
      <c r="N555" t="inlineStr">
        <is>
          <t>4619931</t>
        </is>
      </c>
      <c r="O555" t="inlineStr">
        <is>
          <t>Documentação Aprovada</t>
        </is>
      </c>
      <c r="P555" t="inlineStr">
        <is>
          <t>Aprovado Diretoria</t>
        </is>
      </c>
      <c r="Q555" t="inlineStr">
        <is>
          <t>Aprovado Caixa</t>
        </is>
      </c>
      <c r="R555" t="inlineStr">
        <is>
          <t>Pago</t>
        </is>
      </c>
      <c r="S555" t="n">
        <v>182</v>
      </c>
      <c r="T555" t="inlineStr">
        <is>
          <t>Love - Shibari - Kamino</t>
        </is>
      </c>
    </row>
    <row r="556">
      <c r="A556" t="n">
        <v>97357</v>
      </c>
      <c r="B556" t="n">
        <v>128</v>
      </c>
      <c r="C556" t="inlineStr">
        <is>
          <t>Love Cabaret</t>
        </is>
      </c>
      <c r="D556" t="inlineStr">
        <is>
          <t>EDJANE DANTAS DE ALMEIDA SOUSA  - DESENTUPIDORA</t>
        </is>
      </c>
      <c r="E556" t="n">
        <v>1200</v>
      </c>
      <c r="F556" s="27" t="n">
        <v>45965</v>
      </c>
      <c r="G556" s="27" t="n">
        <v>45964</v>
      </c>
      <c r="H556" s="27" t="n">
        <v>45964</v>
      </c>
      <c r="I556" s="27" t="n">
        <v>45947</v>
      </c>
      <c r="J556" s="27" t="n"/>
      <c r="K556" t="inlineStr">
        <is>
          <t>Transferência Bancária ou Pix</t>
        </is>
      </c>
      <c r="L556" t="inlineStr">
        <is>
          <t>Utilidades</t>
        </is>
      </c>
      <c r="M556" t="inlineStr">
        <is>
          <t>Serviços de Limpeza</t>
        </is>
      </c>
      <c r="N556" t="inlineStr">
        <is>
          <t>114</t>
        </is>
      </c>
      <c r="O556" t="inlineStr">
        <is>
          <t>Documentação Aprovada</t>
        </is>
      </c>
      <c r="P556" t="inlineStr">
        <is>
          <t>Aprovado Diretoria</t>
        </is>
      </c>
      <c r="Q556" t="inlineStr">
        <is>
          <t>Aprovado Caixa</t>
        </is>
      </c>
      <c r="R556" t="inlineStr">
        <is>
          <t>Pago</t>
        </is>
      </c>
      <c r="S556" t="n">
        <v>182</v>
      </c>
      <c r="T556" t="inlineStr">
        <is>
          <t>Love - Shibari - Kamino</t>
        </is>
      </c>
    </row>
    <row r="557">
      <c r="A557" t="n">
        <v>97398</v>
      </c>
      <c r="B557" t="n">
        <v>128</v>
      </c>
      <c r="C557" t="inlineStr">
        <is>
          <t>Love Cabaret</t>
        </is>
      </c>
      <c r="D557" t="inlineStr">
        <is>
          <t>EASY ICE SOLUTION LTDA-ME LOCAÇÃO</t>
        </is>
      </c>
      <c r="E557" t="n">
        <v>1600</v>
      </c>
      <c r="F557" s="27" t="n">
        <v>45966</v>
      </c>
      <c r="G557" s="27" t="n">
        <v>45964</v>
      </c>
      <c r="H557" s="27" t="n">
        <v>45964</v>
      </c>
      <c r="I557" s="27" t="n">
        <v>45955</v>
      </c>
      <c r="J557" s="27" t="n"/>
      <c r="K557" t="inlineStr">
        <is>
          <t>Boleto Bancário</t>
        </is>
      </c>
      <c r="L557" t="inlineStr">
        <is>
          <t>Locação de Equipamentos</t>
        </is>
      </c>
      <c r="M557" t="inlineStr">
        <is>
          <t>Locações de Equipamentos - Operacionais</t>
        </is>
      </c>
      <c r="N557" t="inlineStr">
        <is>
          <t>9329</t>
        </is>
      </c>
      <c r="O557" t="inlineStr">
        <is>
          <t>Documentação Aprovada</t>
        </is>
      </c>
      <c r="P557" t="inlineStr">
        <is>
          <t>Aprovado Diretoria</t>
        </is>
      </c>
      <c r="Q557" t="inlineStr">
        <is>
          <t>Aprovado Caixa</t>
        </is>
      </c>
      <c r="R557" t="inlineStr">
        <is>
          <t>Pago</t>
        </is>
      </c>
      <c r="S557" t="n">
        <v>182</v>
      </c>
      <c r="T557" t="inlineStr">
        <is>
          <t>Love - Shibari - Kamino</t>
        </is>
      </c>
    </row>
    <row r="558">
      <c r="A558" t="n">
        <v>102812</v>
      </c>
      <c r="B558" t="n">
        <v>128</v>
      </c>
      <c r="C558" t="inlineStr">
        <is>
          <t>Love Cabaret</t>
        </is>
      </c>
      <c r="D558" t="inlineStr">
        <is>
          <t>FREE SOM - LOCACAO DE SOM E  LUZ LTDA - TUKASON</t>
        </is>
      </c>
      <c r="E558" t="n">
        <v>6000</v>
      </c>
      <c r="F558" s="27" t="n">
        <v>45960</v>
      </c>
      <c r="G558" s="27" t="n">
        <v>45964</v>
      </c>
      <c r="H558" s="27" t="n">
        <v>45964</v>
      </c>
      <c r="I558" s="27" t="n">
        <v>45943</v>
      </c>
      <c r="J558" s="27" t="n"/>
      <c r="K558" t="inlineStr">
        <is>
          <t>Boleto Bancário</t>
        </is>
      </c>
      <c r="L558" t="inlineStr">
        <is>
          <t>Custos Artístico Geral</t>
        </is>
      </c>
      <c r="M558" t="inlineStr">
        <is>
          <t>Locação de Equipamentos Fixo</t>
        </is>
      </c>
      <c r="N558" t="inlineStr">
        <is>
          <t>525</t>
        </is>
      </c>
      <c r="O558" t="inlineStr">
        <is>
          <t>Documentação Aprovada</t>
        </is>
      </c>
      <c r="P558" t="inlineStr">
        <is>
          <t>Aprovado Diretoria</t>
        </is>
      </c>
      <c r="Q558" t="inlineStr">
        <is>
          <t>Aprovado Caixa</t>
        </is>
      </c>
      <c r="R558" t="inlineStr">
        <is>
          <t>Pago</t>
        </is>
      </c>
      <c r="S558" t="n">
        <v>182</v>
      </c>
      <c r="T558" t="inlineStr">
        <is>
          <t>Love - Shibari - Kamino</t>
        </is>
      </c>
    </row>
    <row r="559">
      <c r="A559" t="n">
        <v>102895</v>
      </c>
      <c r="B559" t="n">
        <v>128</v>
      </c>
      <c r="C559" t="inlineStr">
        <is>
          <t>Love Cabaret</t>
        </is>
      </c>
      <c r="D559" t="inlineStr">
        <is>
          <t>MACHINE SEGURANCA PATRIMONIAL LTDA</t>
        </is>
      </c>
      <c r="E559" t="n">
        <v>5700</v>
      </c>
      <c r="F559" s="27" t="n">
        <v>45964</v>
      </c>
      <c r="G559" s="27" t="n">
        <v>45964</v>
      </c>
      <c r="H559" s="27" t="n">
        <v>45964</v>
      </c>
      <c r="I559" s="27" t="n">
        <v>45931</v>
      </c>
      <c r="J559" s="27" t="n"/>
      <c r="K559" t="inlineStr">
        <is>
          <t>Transferência Bancária ou Pix</t>
        </is>
      </c>
      <c r="L559" t="inlineStr">
        <is>
          <t>Serviços de Terceiros</t>
        </is>
      </c>
      <c r="M559" t="inlineStr">
        <is>
          <t>Serviços de Segurança</t>
        </is>
      </c>
      <c r="N559" t="inlineStr">
        <is>
          <t>09</t>
        </is>
      </c>
      <c r="O559" t="inlineStr">
        <is>
          <t>Documentação Aprovada</t>
        </is>
      </c>
      <c r="P559" t="inlineStr">
        <is>
          <t>Aprovado Diretoria</t>
        </is>
      </c>
      <c r="Q559" t="inlineStr">
        <is>
          <t>Aprovado Caixa</t>
        </is>
      </c>
      <c r="R559" t="inlineStr">
        <is>
          <t>Pago</t>
        </is>
      </c>
    </row>
    <row r="560">
      <c r="A560" t="n">
        <v>102778</v>
      </c>
      <c r="B560" t="n">
        <v>128</v>
      </c>
      <c r="C560" t="inlineStr">
        <is>
          <t>Love Cabaret</t>
        </is>
      </c>
      <c r="D560" t="inlineStr">
        <is>
          <t>FABRICA DE BARES PARTICIPACOES LTDA</t>
        </is>
      </c>
      <c r="E560" t="n">
        <v>6145.54</v>
      </c>
      <c r="F560" s="27" t="n">
        <v>45889</v>
      </c>
      <c r="G560" s="27" t="n">
        <v>45964</v>
      </c>
      <c r="H560" s="27" t="n">
        <v>45964</v>
      </c>
      <c r="I560" s="27" t="n">
        <v>45868</v>
      </c>
      <c r="J560" s="27" t="n"/>
      <c r="K560" t="inlineStr">
        <is>
          <t>Transferência Bancária ou Pix</t>
        </is>
      </c>
      <c r="L560" t="inlineStr">
        <is>
          <t>Mão de Obra - Benefícios</t>
        </is>
      </c>
      <c r="M560" t="inlineStr">
        <is>
          <t xml:space="preserve">  -  Alimentação Funcionário</t>
        </is>
      </c>
      <c r="N560" t="inlineStr">
        <is>
          <t>432025</t>
        </is>
      </c>
      <c r="O560" t="inlineStr">
        <is>
          <t>Documentação Aprovada</t>
        </is>
      </c>
      <c r="P560" t="inlineStr">
        <is>
          <t>Aprovado Diretoria</t>
        </is>
      </c>
      <c r="Q560" t="inlineStr">
        <is>
          <t>Aprovado Caixa</t>
        </is>
      </c>
      <c r="R560" t="inlineStr">
        <is>
          <t>Pago</t>
        </is>
      </c>
      <c r="S560" t="n">
        <v>182</v>
      </c>
      <c r="T560" t="inlineStr">
        <is>
          <t>Love - Shibari - Kamino</t>
        </is>
      </c>
    </row>
    <row r="561">
      <c r="A561" t="n">
        <v>96864</v>
      </c>
      <c r="B561" t="n">
        <v>128</v>
      </c>
      <c r="C561" t="inlineStr">
        <is>
          <t>Love Cabaret</t>
        </is>
      </c>
      <c r="D561" t="inlineStr">
        <is>
          <t>AGENCIA BIOMA PUBLICIDADE E EVENTOS LTDA - FACUNDO</t>
        </is>
      </c>
      <c r="E561" t="n">
        <v>8000</v>
      </c>
      <c r="F561" s="27" t="n">
        <v>45966</v>
      </c>
      <c r="G561" s="27" t="n">
        <v>45964</v>
      </c>
      <c r="H561" s="27" t="n">
        <v>45964</v>
      </c>
      <c r="I561" s="27" t="n">
        <v>45950</v>
      </c>
      <c r="J561" s="27" t="n"/>
      <c r="K561" t="inlineStr">
        <is>
          <t>Transferência Bancária ou Pix</t>
        </is>
      </c>
      <c r="L561" t="inlineStr">
        <is>
          <t>Marketing</t>
        </is>
      </c>
      <c r="M561" t="inlineStr">
        <is>
          <t>Agência de Propaganda</t>
        </is>
      </c>
      <c r="N561" t="inlineStr">
        <is>
          <t>335</t>
        </is>
      </c>
      <c r="O561" t="inlineStr">
        <is>
          <t>Documentação Aprovada</t>
        </is>
      </c>
      <c r="P561" t="inlineStr">
        <is>
          <t>Aprovado Diretoria</t>
        </is>
      </c>
      <c r="Q561" t="inlineStr">
        <is>
          <t>Aprovado Caixa</t>
        </is>
      </c>
      <c r="R561" t="inlineStr">
        <is>
          <t>Pago</t>
        </is>
      </c>
      <c r="S561" t="n">
        <v>182</v>
      </c>
      <c r="T561" t="inlineStr">
        <is>
          <t>Love - Shibari - Kamino</t>
        </is>
      </c>
    </row>
    <row r="562">
      <c r="A562" t="n">
        <v>106706</v>
      </c>
      <c r="B562" t="n">
        <v>128</v>
      </c>
      <c r="C562" t="inlineStr">
        <is>
          <t>Love Cabaret</t>
        </is>
      </c>
      <c r="D562" t="inlineStr">
        <is>
          <t>AURORA ALVORADA ESTACIONAMENTO E LANCHONETE LTDA</t>
        </is>
      </c>
      <c r="E562" t="n">
        <v>247.04</v>
      </c>
      <c r="F562" s="27" t="n">
        <v>45964</v>
      </c>
      <c r="G562" s="27" t="n">
        <v>45964</v>
      </c>
      <c r="H562" s="27" t="n">
        <v>45964</v>
      </c>
      <c r="I562" s="27" t="n">
        <v>45957</v>
      </c>
      <c r="J562" s="27" t="n"/>
      <c r="K562" t="inlineStr">
        <is>
          <t>Boleto Bancário</t>
        </is>
      </c>
      <c r="L562" t="inlineStr">
        <is>
          <t>Custo Mercadoria Vendida</t>
        </is>
      </c>
      <c r="M562" t="inlineStr">
        <is>
          <t>Insumos - Alimentos</t>
        </is>
      </c>
      <c r="N562" t="inlineStr">
        <is>
          <t>11137</t>
        </is>
      </c>
      <c r="O562" t="inlineStr">
        <is>
          <t>Documentação Aprovada</t>
        </is>
      </c>
      <c r="P562" t="inlineStr">
        <is>
          <t>Aprovado Diretoria</t>
        </is>
      </c>
      <c r="Q562" t="inlineStr">
        <is>
          <t>Aprovado Caixa</t>
        </is>
      </c>
      <c r="R562" t="inlineStr">
        <is>
          <t>Pago</t>
        </is>
      </c>
      <c r="S562" t="n">
        <v>182</v>
      </c>
      <c r="T562" t="inlineStr">
        <is>
          <t>Love - Shibari - Kamino</t>
        </is>
      </c>
    </row>
    <row r="563">
      <c r="A563" t="n">
        <v>173005</v>
      </c>
      <c r="B563" t="n">
        <v>128</v>
      </c>
      <c r="C563" t="inlineStr">
        <is>
          <t>Love Cabaret</t>
        </is>
      </c>
      <c r="D563" t="inlineStr">
        <is>
          <t xml:space="preserve">KAMINO INSTITUICAO DE PAGAMENTO LTDA </t>
        </is>
      </c>
      <c r="E563" t="n">
        <v>2</v>
      </c>
      <c r="F563" s="27" t="n">
        <v>45964</v>
      </c>
      <c r="G563" s="27" t="n"/>
      <c r="H563" s="27" t="n">
        <v>45964</v>
      </c>
      <c r="I563" s="27" t="n">
        <v>45964</v>
      </c>
      <c r="J563" s="27" t="n"/>
      <c r="K563" t="inlineStr">
        <is>
          <t xml:space="preserve">Debito Automático </t>
        </is>
      </c>
      <c r="L563" t="inlineStr">
        <is>
          <t>Despesas Financeiras</t>
        </is>
      </c>
      <c r="M563" t="inlineStr">
        <is>
          <t>Tarifas Bancárias</t>
        </is>
      </c>
      <c r="O563" t="inlineStr">
        <is>
          <t>Documentação Aprovada</t>
        </is>
      </c>
      <c r="P563" t="inlineStr">
        <is>
          <t>Aprovado Diretoria</t>
        </is>
      </c>
      <c r="Q563" t="inlineStr">
        <is>
          <t>Aprovado Caixa</t>
        </is>
      </c>
      <c r="R563" t="inlineStr">
        <is>
          <t>Pago</t>
        </is>
      </c>
      <c r="S563" t="n">
        <v>182</v>
      </c>
      <c r="T563" t="inlineStr">
        <is>
          <t>Love - Shibari - Kamino</t>
        </is>
      </c>
    </row>
    <row r="564">
      <c r="A564" t="n">
        <v>173011</v>
      </c>
      <c r="B564" t="n">
        <v>128</v>
      </c>
      <c r="C564" t="inlineStr">
        <is>
          <t>Love Cabaret</t>
        </is>
      </c>
      <c r="D564" t="inlineStr">
        <is>
          <t>BRADESCO SA</t>
        </is>
      </c>
      <c r="E564" t="n">
        <v>9.800000000000001</v>
      </c>
      <c r="F564" s="27" t="n">
        <v>45964</v>
      </c>
      <c r="G564" s="27" t="n"/>
      <c r="H564" s="27" t="n">
        <v>45964</v>
      </c>
      <c r="I564" s="27" t="n">
        <v>45964</v>
      </c>
      <c r="J564" s="27" t="n"/>
      <c r="K564" t="inlineStr">
        <is>
          <t xml:space="preserve">Debito Automático </t>
        </is>
      </c>
      <c r="L564" t="inlineStr">
        <is>
          <t>Despesas Financeiras</t>
        </is>
      </c>
      <c r="M564" t="inlineStr">
        <is>
          <t>Tarifas Bancárias</t>
        </is>
      </c>
      <c r="O564" t="inlineStr">
        <is>
          <t>Documentação Aprovada</t>
        </is>
      </c>
      <c r="P564" t="inlineStr">
        <is>
          <t>Aprovado Diretoria</t>
        </is>
      </c>
      <c r="Q564" t="inlineStr">
        <is>
          <t>Aprovado Caixa</t>
        </is>
      </c>
      <c r="R564" t="inlineStr">
        <is>
          <t>Pago</t>
        </is>
      </c>
      <c r="S564" t="n">
        <v>115</v>
      </c>
      <c r="T564" t="inlineStr">
        <is>
          <t>Love - Shibari - Bradesco</t>
        </is>
      </c>
    </row>
    <row r="565">
      <c r="A565" t="n">
        <v>171280</v>
      </c>
      <c r="B565" t="n">
        <v>128</v>
      </c>
      <c r="C565" t="inlineStr">
        <is>
          <t>Love Cabaret</t>
        </is>
      </c>
      <c r="D565" t="inlineStr">
        <is>
          <t>CAMILE LIGUORI PAULIN</t>
        </is>
      </c>
      <c r="E565" t="n">
        <v>930</v>
      </c>
      <c r="F565" s="27" t="n">
        <v>45964</v>
      </c>
      <c r="G565" s="27" t="n">
        <v>45964</v>
      </c>
      <c r="H565" s="27" t="n">
        <v>45964</v>
      </c>
      <c r="I565" s="27" t="n">
        <v>45960</v>
      </c>
      <c r="J565" s="27" t="n">
        <v>45960</v>
      </c>
      <c r="K565" t="inlineStr">
        <is>
          <t>Transferência Bancária ou Pix</t>
        </is>
      </c>
      <c r="L565" t="inlineStr">
        <is>
          <t>Deduções sobre Venda</t>
        </is>
      </c>
      <c r="M565" t="inlineStr">
        <is>
          <t>Outros D</t>
        </is>
      </c>
      <c r="N565" t="inlineStr">
        <is>
          <t>1062025</t>
        </is>
      </c>
      <c r="O565" t="inlineStr">
        <is>
          <t>Documentação Aprovada</t>
        </is>
      </c>
      <c r="P565" t="inlineStr">
        <is>
          <t>Aprovado Diretoria</t>
        </is>
      </c>
      <c r="Q565" t="inlineStr">
        <is>
          <t>Aprovado Caixa</t>
        </is>
      </c>
      <c r="R565" t="inlineStr">
        <is>
          <t>Pago</t>
        </is>
      </c>
      <c r="S565" t="n">
        <v>182</v>
      </c>
      <c r="T565" t="inlineStr">
        <is>
          <t>Love - Shibari - Kamino</t>
        </is>
      </c>
    </row>
    <row r="566">
      <c r="A566" t="n">
        <v>171179</v>
      </c>
      <c r="B566" t="n">
        <v>128</v>
      </c>
      <c r="C566" t="inlineStr">
        <is>
          <t>Love Cabaret</t>
        </is>
      </c>
      <c r="D566" t="inlineStr">
        <is>
          <t>CHOPP FAST DISTRIBUIDORA DE BEBIDAS LTDA</t>
        </is>
      </c>
      <c r="E566" t="n">
        <v>3336.72</v>
      </c>
      <c r="F566" s="27" t="n">
        <v>45964</v>
      </c>
      <c r="G566" s="27" t="n">
        <v>45964</v>
      </c>
      <c r="H566" s="27" t="n">
        <v>45964</v>
      </c>
      <c r="I566" s="27" t="n">
        <v>45954</v>
      </c>
      <c r="J566" s="27" t="n">
        <v>45960</v>
      </c>
      <c r="K566" t="inlineStr">
        <is>
          <t>Boleto Bancário</t>
        </is>
      </c>
      <c r="L566" t="inlineStr">
        <is>
          <t>Custo Mercadoria Vendida</t>
        </is>
      </c>
      <c r="M566" t="inlineStr">
        <is>
          <t>Insumos - Bebidas</t>
        </is>
      </c>
      <c r="N566" t="inlineStr">
        <is>
          <t>23709</t>
        </is>
      </c>
      <c r="O566" t="inlineStr">
        <is>
          <t>Documentação Aprovada</t>
        </is>
      </c>
      <c r="P566" t="inlineStr">
        <is>
          <t>Aprovado Diretoria</t>
        </is>
      </c>
      <c r="Q566" t="inlineStr">
        <is>
          <t>Aprovado Caixa</t>
        </is>
      </c>
      <c r="R566" t="inlineStr">
        <is>
          <t>Pago</t>
        </is>
      </c>
      <c r="S566" t="n">
        <v>182</v>
      </c>
      <c r="T566" t="inlineStr">
        <is>
          <t>Love - Shibari - Kamino</t>
        </is>
      </c>
    </row>
    <row r="567">
      <c r="A567" t="n">
        <v>170994</v>
      </c>
      <c r="B567" t="n">
        <v>128</v>
      </c>
      <c r="C567" t="inlineStr">
        <is>
          <t>Love Cabaret</t>
        </is>
      </c>
      <c r="D567" t="inlineStr">
        <is>
          <t>ICE4PROS FABRICA DE GELO LTDA</t>
        </is>
      </c>
      <c r="E567" t="n">
        <v>563.5</v>
      </c>
      <c r="F567" s="27" t="n">
        <v>45964</v>
      </c>
      <c r="G567" s="27" t="n">
        <v>45964</v>
      </c>
      <c r="H567" s="27" t="n">
        <v>45964</v>
      </c>
      <c r="I567" s="27" t="n">
        <v>45954</v>
      </c>
      <c r="J567" s="27" t="n">
        <v>45959</v>
      </c>
      <c r="K567" t="inlineStr">
        <is>
          <t>Boleto Bancário</t>
        </is>
      </c>
      <c r="L567" t="inlineStr">
        <is>
          <t>Custo Mercadoria Vendida</t>
        </is>
      </c>
      <c r="M567" t="inlineStr">
        <is>
          <t>Insumos - Bebidas</t>
        </is>
      </c>
      <c r="N567" t="inlineStr">
        <is>
          <t>87861</t>
        </is>
      </c>
      <c r="O567" t="inlineStr">
        <is>
          <t>Documentação Aprovada</t>
        </is>
      </c>
      <c r="P567" t="inlineStr">
        <is>
          <t>Aprovado Diretoria</t>
        </is>
      </c>
      <c r="Q567" t="inlineStr">
        <is>
          <t>Aprovado Caixa</t>
        </is>
      </c>
      <c r="R567" t="inlineStr">
        <is>
          <t>Pago</t>
        </is>
      </c>
      <c r="S567" t="n">
        <v>182</v>
      </c>
      <c r="T567" t="inlineStr">
        <is>
          <t>Love - Shibari - Kamino</t>
        </is>
      </c>
    </row>
    <row r="568">
      <c r="A568" t="n">
        <v>166061</v>
      </c>
      <c r="B568" t="n">
        <v>128</v>
      </c>
      <c r="C568" t="inlineStr">
        <is>
          <t>Love Cabaret</t>
        </is>
      </c>
      <c r="D568" t="inlineStr">
        <is>
          <t>WINES4U COMÉRCIO, IMPORTAÇÃO E EXPORTAÇÃO DE VINHOS LTDA</t>
        </is>
      </c>
      <c r="E568" t="n">
        <v>688.5</v>
      </c>
      <c r="F568" s="27" t="n">
        <v>45966</v>
      </c>
      <c r="G568" s="27" t="n">
        <v>45964</v>
      </c>
      <c r="H568" s="27" t="n">
        <v>45964</v>
      </c>
      <c r="I568" s="27" t="n">
        <v>45936</v>
      </c>
      <c r="J568" s="27" t="n">
        <v>45938</v>
      </c>
      <c r="K568" t="inlineStr">
        <is>
          <t>Boleto Bancário</t>
        </is>
      </c>
      <c r="L568" t="inlineStr">
        <is>
          <t>Custo Mercadoria Vendida</t>
        </is>
      </c>
      <c r="M568" t="inlineStr">
        <is>
          <t>Insumos - Bebidas</t>
        </is>
      </c>
      <c r="N568" t="inlineStr">
        <is>
          <t>14415</t>
        </is>
      </c>
      <c r="O568" t="inlineStr">
        <is>
          <t>Documentação Aprovada</t>
        </is>
      </c>
      <c r="P568" t="inlineStr">
        <is>
          <t>Aprovado Diretoria</t>
        </is>
      </c>
      <c r="Q568" t="inlineStr">
        <is>
          <t>Aprovado Caixa</t>
        </is>
      </c>
      <c r="R568" t="inlineStr">
        <is>
          <t>Pago</t>
        </is>
      </c>
      <c r="S568" t="n">
        <v>182</v>
      </c>
      <c r="T568" t="inlineStr">
        <is>
          <t>Love - Shibari - Kamino</t>
        </is>
      </c>
    </row>
    <row r="569">
      <c r="A569" t="n">
        <v>166068</v>
      </c>
      <c r="B569" t="n">
        <v>128</v>
      </c>
      <c r="C569" t="inlineStr">
        <is>
          <t>Love Cabaret</t>
        </is>
      </c>
      <c r="D569" t="inlineStr">
        <is>
          <t>DTK COMERCIO DE ALIMENTOS LTDA</t>
        </is>
      </c>
      <c r="E569" t="n">
        <v>529.54</v>
      </c>
      <c r="F569" s="27" t="n">
        <v>45964</v>
      </c>
      <c r="G569" s="27" t="n">
        <v>45964</v>
      </c>
      <c r="H569" s="27" t="n">
        <v>45964</v>
      </c>
      <c r="I569" s="27" t="n">
        <v>45936</v>
      </c>
      <c r="J569" s="27" t="n">
        <v>45938</v>
      </c>
      <c r="K569" t="inlineStr">
        <is>
          <t>Boleto Bancário</t>
        </is>
      </c>
      <c r="L569" t="inlineStr">
        <is>
          <t>Custo Mercadoria Vendida</t>
        </is>
      </c>
      <c r="M569" t="inlineStr">
        <is>
          <t>Insumos - Alimentos</t>
        </is>
      </c>
      <c r="N569" t="inlineStr">
        <is>
          <t>46768</t>
        </is>
      </c>
      <c r="O569" t="inlineStr">
        <is>
          <t>Documentação Aprovada</t>
        </is>
      </c>
      <c r="P569" t="inlineStr">
        <is>
          <t>Aprovado Diretoria</t>
        </is>
      </c>
      <c r="Q569" t="inlineStr">
        <is>
          <t>Aprovado Caixa</t>
        </is>
      </c>
      <c r="R569" t="inlineStr">
        <is>
          <t>Pago</t>
        </is>
      </c>
      <c r="S569" t="n">
        <v>182</v>
      </c>
      <c r="T569" t="inlineStr">
        <is>
          <t>Love - Shibari - Kamino</t>
        </is>
      </c>
    </row>
    <row r="570">
      <c r="A570" t="n">
        <v>166070</v>
      </c>
      <c r="B570" t="n">
        <v>128</v>
      </c>
      <c r="C570" t="inlineStr">
        <is>
          <t>Love Cabaret</t>
        </is>
      </c>
      <c r="D570" t="inlineStr">
        <is>
          <t>CEPEL COMERCIO DE PAPEIS E EMBALAGENS LTDA</t>
        </is>
      </c>
      <c r="E570" t="n">
        <v>1398.38</v>
      </c>
      <c r="F570" s="27" t="n">
        <v>45964</v>
      </c>
      <c r="G570" s="27" t="n">
        <v>45964</v>
      </c>
      <c r="H570" s="27" t="n">
        <v>45964</v>
      </c>
      <c r="I570" s="27" t="n">
        <v>45936</v>
      </c>
      <c r="J570" s="27" t="n">
        <v>45938</v>
      </c>
      <c r="K570" t="inlineStr">
        <is>
          <t>Boleto Bancário</t>
        </is>
      </c>
      <c r="L570" t="inlineStr">
        <is>
          <t>Utilidades</t>
        </is>
      </c>
      <c r="M570" t="inlineStr">
        <is>
          <t>Higiene e Limpeza</t>
        </is>
      </c>
      <c r="N570" t="inlineStr">
        <is>
          <t>250074</t>
        </is>
      </c>
      <c r="O570" t="inlineStr">
        <is>
          <t>Documentação Aprovada</t>
        </is>
      </c>
      <c r="P570" t="inlineStr">
        <is>
          <t>Aprovado Diretoria</t>
        </is>
      </c>
      <c r="Q570" t="inlineStr">
        <is>
          <t>Aprovado Caixa</t>
        </is>
      </c>
      <c r="R570" t="inlineStr">
        <is>
          <t>Pago</t>
        </is>
      </c>
      <c r="S570" t="n">
        <v>182</v>
      </c>
      <c r="T570" t="inlineStr">
        <is>
          <t>Love - Shibari - Kamino</t>
        </is>
      </c>
    </row>
    <row r="571">
      <c r="A571" t="n">
        <v>165560</v>
      </c>
      <c r="B571" t="n">
        <v>128</v>
      </c>
      <c r="C571" t="inlineStr">
        <is>
          <t>Love Cabaret</t>
        </is>
      </c>
      <c r="D571" t="inlineStr">
        <is>
          <t xml:space="preserve">MATEUS SILVEIRA CEZAR </t>
        </is>
      </c>
      <c r="E571" t="n">
        <v>1800</v>
      </c>
      <c r="F571" s="27" t="n">
        <v>45966</v>
      </c>
      <c r="G571" s="27" t="n">
        <v>45964</v>
      </c>
      <c r="H571" s="27" t="n">
        <v>45964</v>
      </c>
      <c r="I571" s="27" t="n">
        <v>45946</v>
      </c>
      <c r="J571" s="27" t="n">
        <v>45937</v>
      </c>
      <c r="K571" t="inlineStr">
        <is>
          <t>Transferência Bancária ou Pix</t>
        </is>
      </c>
      <c r="L571" t="inlineStr">
        <is>
          <t>Marketing</t>
        </is>
      </c>
      <c r="M571" t="inlineStr">
        <is>
          <t>Produção Gráfica e Material Institucional</t>
        </is>
      </c>
      <c r="N571" t="inlineStr">
        <is>
          <t>33</t>
        </is>
      </c>
      <c r="O571" t="inlineStr">
        <is>
          <t>Documentação Aprovada</t>
        </is>
      </c>
      <c r="P571" t="inlineStr">
        <is>
          <t>Aprovado Diretoria</t>
        </is>
      </c>
      <c r="Q571" t="inlineStr">
        <is>
          <t>Aprovado Caixa</t>
        </is>
      </c>
      <c r="R571" t="inlineStr">
        <is>
          <t>Pago</t>
        </is>
      </c>
      <c r="S571" t="n">
        <v>182</v>
      </c>
      <c r="T571" t="inlineStr">
        <is>
          <t>Love - Shibari - Kamino</t>
        </is>
      </c>
    </row>
    <row r="572">
      <c r="A572" t="n">
        <v>166067</v>
      </c>
      <c r="B572" t="n">
        <v>128</v>
      </c>
      <c r="C572" t="inlineStr">
        <is>
          <t>Love Cabaret</t>
        </is>
      </c>
      <c r="D572" t="inlineStr">
        <is>
          <t>PROAUTO INDUSTRIA QUIMICA EIRELI</t>
        </is>
      </c>
      <c r="E572" t="n">
        <v>1140.98</v>
      </c>
      <c r="F572" s="27" t="n">
        <v>45964</v>
      </c>
      <c r="G572" s="27" t="n">
        <v>45964</v>
      </c>
      <c r="H572" s="27" t="n">
        <v>45964</v>
      </c>
      <c r="I572" s="27" t="n">
        <v>45936</v>
      </c>
      <c r="J572" s="27" t="n">
        <v>45938</v>
      </c>
      <c r="K572" t="inlineStr">
        <is>
          <t>Boleto Bancário</t>
        </is>
      </c>
      <c r="L572" t="inlineStr">
        <is>
          <t>Utilidades</t>
        </is>
      </c>
      <c r="M572" t="inlineStr">
        <is>
          <t>Higiene e Limpeza</t>
        </is>
      </c>
      <c r="N572" t="inlineStr">
        <is>
          <t>145515</t>
        </is>
      </c>
      <c r="O572" t="inlineStr">
        <is>
          <t>Documentação Aprovada</t>
        </is>
      </c>
      <c r="P572" t="inlineStr">
        <is>
          <t>Aprovado Diretoria</t>
        </is>
      </c>
      <c r="Q572" t="inlineStr">
        <is>
          <t>Aprovado Caixa</t>
        </is>
      </c>
      <c r="R572" t="inlineStr">
        <is>
          <t>Pago</t>
        </is>
      </c>
      <c r="S572" t="n">
        <v>182</v>
      </c>
      <c r="T572" t="inlineStr">
        <is>
          <t>Love - Shibari - Kamino</t>
        </is>
      </c>
    </row>
    <row r="573">
      <c r="A573" t="n">
        <v>168591</v>
      </c>
      <c r="B573" t="n">
        <v>128</v>
      </c>
      <c r="C573" t="inlineStr">
        <is>
          <t>Love Cabaret</t>
        </is>
      </c>
      <c r="D573" t="inlineStr">
        <is>
          <t>MARCOS SILVA DO NASCIMENTO</t>
        </is>
      </c>
      <c r="E573" t="n">
        <v>269.87</v>
      </c>
      <c r="F573" s="27" t="n">
        <v>45964</v>
      </c>
      <c r="G573" s="27" t="n">
        <v>45964</v>
      </c>
      <c r="H573" s="27" t="n">
        <v>45964</v>
      </c>
      <c r="I573" s="27" t="n">
        <v>45945</v>
      </c>
      <c r="J573" s="27" t="n">
        <v>45947</v>
      </c>
      <c r="K573" t="inlineStr">
        <is>
          <t>Boleto Bancário</t>
        </is>
      </c>
      <c r="L573" t="inlineStr">
        <is>
          <t>Custo Mercadoria Vendida</t>
        </is>
      </c>
      <c r="M573" t="inlineStr">
        <is>
          <t>Insumos - Alimentos</t>
        </is>
      </c>
      <c r="N573" t="inlineStr">
        <is>
          <t>505</t>
        </is>
      </c>
      <c r="O573" t="inlineStr">
        <is>
          <t>Documentação Aprovada</t>
        </is>
      </c>
      <c r="P573" t="inlineStr">
        <is>
          <t>Aprovado Diretoria</t>
        </is>
      </c>
      <c r="Q573" t="inlineStr">
        <is>
          <t>Aprovado Caixa</t>
        </is>
      </c>
      <c r="R573" t="inlineStr">
        <is>
          <t>Pago</t>
        </is>
      </c>
      <c r="S573" t="n">
        <v>182</v>
      </c>
      <c r="T573" t="inlineStr">
        <is>
          <t>Love - Shibari - Kamino</t>
        </is>
      </c>
    </row>
    <row r="574">
      <c r="A574" t="n">
        <v>168168</v>
      </c>
      <c r="B574" t="n">
        <v>128</v>
      </c>
      <c r="C574" t="inlineStr">
        <is>
          <t>Love Cabaret</t>
        </is>
      </c>
      <c r="D574" t="inlineStr">
        <is>
          <t>CG FOOD´S DISTRIBUIDORA DE ALIMENTOS LTDA</t>
        </is>
      </c>
      <c r="E574" t="n">
        <v>413.4</v>
      </c>
      <c r="F574" s="27" t="n">
        <v>45964</v>
      </c>
      <c r="G574" s="27" t="n">
        <v>45964</v>
      </c>
      <c r="H574" s="27" t="n">
        <v>45964</v>
      </c>
      <c r="I574" s="27" t="n">
        <v>45943</v>
      </c>
      <c r="J574" s="27" t="n">
        <v>45946</v>
      </c>
      <c r="K574" t="inlineStr">
        <is>
          <t>Boleto Bancário</t>
        </is>
      </c>
      <c r="L574" t="inlineStr">
        <is>
          <t>Custo Mercadoria Vendida</t>
        </is>
      </c>
      <c r="M574" t="inlineStr">
        <is>
          <t>Insumos - Alimentos</t>
        </is>
      </c>
      <c r="N574" t="inlineStr">
        <is>
          <t>167400</t>
        </is>
      </c>
      <c r="O574" t="inlineStr">
        <is>
          <t>Documentação Aprovada</t>
        </is>
      </c>
      <c r="P574" t="inlineStr">
        <is>
          <t>Aprovado Diretoria</t>
        </is>
      </c>
      <c r="Q574" t="inlineStr">
        <is>
          <t>Aprovado Caixa</t>
        </is>
      </c>
      <c r="R574" t="inlineStr">
        <is>
          <t>Pago</t>
        </is>
      </c>
      <c r="S574" t="n">
        <v>182</v>
      </c>
      <c r="T574" t="inlineStr">
        <is>
          <t>Love - Shibari - Kamino</t>
        </is>
      </c>
    </row>
    <row r="575">
      <c r="A575" t="n">
        <v>169243</v>
      </c>
      <c r="B575" t="n">
        <v>128</v>
      </c>
      <c r="C575" t="inlineStr">
        <is>
          <t>Love Cabaret</t>
        </is>
      </c>
      <c r="D575" t="inlineStr">
        <is>
          <t xml:space="preserve">FORTE ALIMENTOS COM. IMPORTAÇÃO LTDA </t>
        </is>
      </c>
      <c r="E575" t="n">
        <v>541.5599999999999</v>
      </c>
      <c r="F575" s="27" t="n">
        <v>45965</v>
      </c>
      <c r="G575" s="27" t="n">
        <v>45964</v>
      </c>
      <c r="H575" s="27" t="n">
        <v>45964</v>
      </c>
      <c r="I575" s="27" t="n">
        <v>45950</v>
      </c>
      <c r="J575" s="27" t="n">
        <v>45953</v>
      </c>
      <c r="K575" t="inlineStr">
        <is>
          <t>Boleto Bancário</t>
        </is>
      </c>
      <c r="L575" t="inlineStr">
        <is>
          <t>Custo Mercadoria Vendida</t>
        </is>
      </c>
      <c r="M575" t="inlineStr">
        <is>
          <t>Insumos - Alimentos</t>
        </is>
      </c>
      <c r="N575" t="inlineStr">
        <is>
          <t>338601</t>
        </is>
      </c>
      <c r="O575" t="inlineStr">
        <is>
          <t>Documentação Aprovada</t>
        </is>
      </c>
      <c r="P575" t="inlineStr">
        <is>
          <t>Aprovado Diretoria</t>
        </is>
      </c>
      <c r="Q575" t="inlineStr">
        <is>
          <t>Aprovado Caixa</t>
        </is>
      </c>
      <c r="R575" t="inlineStr">
        <is>
          <t>Pago</t>
        </is>
      </c>
      <c r="S575" t="n">
        <v>182</v>
      </c>
      <c r="T575" t="inlineStr">
        <is>
          <t>Love - Shibari - Kamino</t>
        </is>
      </c>
    </row>
    <row r="576">
      <c r="A576" t="n">
        <v>169233</v>
      </c>
      <c r="B576" t="n">
        <v>128</v>
      </c>
      <c r="C576" t="inlineStr">
        <is>
          <t>Love Cabaret</t>
        </is>
      </c>
      <c r="D576" t="inlineStr">
        <is>
          <t>CECILIA TSUYACO ARAKI SILVA LTDA</t>
        </is>
      </c>
      <c r="E576" t="n">
        <v>318.15</v>
      </c>
      <c r="F576" s="27" t="n">
        <v>45964</v>
      </c>
      <c r="G576" s="27" t="n">
        <v>45964</v>
      </c>
      <c r="H576" s="27" t="n">
        <v>45964</v>
      </c>
      <c r="I576" s="27" t="n">
        <v>45950</v>
      </c>
      <c r="J576" s="27" t="n">
        <v>45953</v>
      </c>
      <c r="K576" t="inlineStr">
        <is>
          <t>Boleto Bancário</t>
        </is>
      </c>
      <c r="L576" t="inlineStr">
        <is>
          <t>Custo Mercadoria Vendida</t>
        </is>
      </c>
      <c r="M576" t="inlineStr">
        <is>
          <t>Insumos - Alimentos</t>
        </is>
      </c>
      <c r="N576" t="inlineStr">
        <is>
          <t>380118</t>
        </is>
      </c>
      <c r="O576" t="inlineStr">
        <is>
          <t>Documentação Aprovada</t>
        </is>
      </c>
      <c r="P576" t="inlineStr">
        <is>
          <t>Aprovado Diretoria</t>
        </is>
      </c>
      <c r="Q576" t="inlineStr">
        <is>
          <t>Aprovado Caixa</t>
        </is>
      </c>
      <c r="R576" t="inlineStr">
        <is>
          <t>Pago</t>
        </is>
      </c>
      <c r="S576" t="n">
        <v>182</v>
      </c>
      <c r="T576" t="inlineStr">
        <is>
          <t>Love - Shibari - Kamino</t>
        </is>
      </c>
    </row>
    <row r="577">
      <c r="A577" t="n">
        <v>169245</v>
      </c>
      <c r="B577" t="n">
        <v>128</v>
      </c>
      <c r="C577" t="inlineStr">
        <is>
          <t>Love Cabaret</t>
        </is>
      </c>
      <c r="D577" t="inlineStr">
        <is>
          <t xml:space="preserve">FORTE ALIMENTOS COM. IMPORTAÇÃO LTDA </t>
        </is>
      </c>
      <c r="E577" t="n">
        <v>216</v>
      </c>
      <c r="F577" s="27" t="n">
        <v>45965</v>
      </c>
      <c r="G577" s="27" t="n">
        <v>45964</v>
      </c>
      <c r="H577" s="27" t="n">
        <v>45964</v>
      </c>
      <c r="I577" s="27" t="n">
        <v>45950</v>
      </c>
      <c r="J577" s="27" t="n">
        <v>45953</v>
      </c>
      <c r="K577" t="inlineStr">
        <is>
          <t>Boleto Bancário</t>
        </is>
      </c>
      <c r="L577" t="inlineStr">
        <is>
          <t>Custo Mercadoria Vendida</t>
        </is>
      </c>
      <c r="M577" t="inlineStr">
        <is>
          <t>Insumos - Alimentos</t>
        </is>
      </c>
      <c r="N577" t="inlineStr">
        <is>
          <t>338602</t>
        </is>
      </c>
      <c r="O577" t="inlineStr">
        <is>
          <t>Documentação Aprovada</t>
        </is>
      </c>
      <c r="P577" t="inlineStr">
        <is>
          <t>Aprovado Diretoria</t>
        </is>
      </c>
      <c r="Q577" t="inlineStr">
        <is>
          <t>Aprovado Caixa</t>
        </is>
      </c>
      <c r="R577" t="inlineStr">
        <is>
          <t>Pago</t>
        </is>
      </c>
      <c r="S577" t="n">
        <v>182</v>
      </c>
      <c r="T577" t="inlineStr">
        <is>
          <t>Love - Shibari - Kamino</t>
        </is>
      </c>
    </row>
    <row r="578">
      <c r="A578" t="n">
        <v>169269</v>
      </c>
      <c r="B578" t="n">
        <v>128</v>
      </c>
      <c r="C578" t="inlineStr">
        <is>
          <t>Love Cabaret</t>
        </is>
      </c>
      <c r="D578" t="inlineStr">
        <is>
          <t>WPP COMERCIO DE CARNES LTDA</t>
        </is>
      </c>
      <c r="E578" t="n">
        <v>560.98</v>
      </c>
      <c r="F578" s="27" t="n">
        <v>45965</v>
      </c>
      <c r="G578" s="27" t="n">
        <v>45964</v>
      </c>
      <c r="H578" s="27" t="n">
        <v>45964</v>
      </c>
      <c r="I578" s="27" t="n">
        <v>45951</v>
      </c>
      <c r="J578" s="27" t="n">
        <v>45953</v>
      </c>
      <c r="K578" t="inlineStr">
        <is>
          <t>Boleto Bancário</t>
        </is>
      </c>
      <c r="L578" t="inlineStr">
        <is>
          <t>Custo Mercadoria Vendida</t>
        </is>
      </c>
      <c r="M578" t="inlineStr">
        <is>
          <t>Insumos - Alimentos</t>
        </is>
      </c>
      <c r="N578" t="inlineStr">
        <is>
          <t>75085</t>
        </is>
      </c>
      <c r="O578" t="inlineStr">
        <is>
          <t>Documentação Aprovada</t>
        </is>
      </c>
      <c r="P578" t="inlineStr">
        <is>
          <t>Aprovado Diretoria</t>
        </is>
      </c>
      <c r="Q578" t="inlineStr">
        <is>
          <t>Aprovado Caixa</t>
        </is>
      </c>
      <c r="R578" t="inlineStr">
        <is>
          <t>Pago</t>
        </is>
      </c>
      <c r="S578" t="n">
        <v>182</v>
      </c>
      <c r="T578" t="inlineStr">
        <is>
          <t>Love - Shibari - Kamino</t>
        </is>
      </c>
    </row>
    <row r="579">
      <c r="A579" t="n">
        <v>169248</v>
      </c>
      <c r="B579" t="n">
        <v>128</v>
      </c>
      <c r="C579" t="inlineStr">
        <is>
          <t>Love Cabaret</t>
        </is>
      </c>
      <c r="D579" t="inlineStr">
        <is>
          <t xml:space="preserve">LATICINIOS FIOR DITALIA LTDA </t>
        </is>
      </c>
      <c r="E579" t="n">
        <v>326.75</v>
      </c>
      <c r="F579" s="27" t="n">
        <v>45966</v>
      </c>
      <c r="G579" s="27" t="n">
        <v>45964</v>
      </c>
      <c r="H579" s="27" t="n">
        <v>45964</v>
      </c>
      <c r="I579" s="27" t="n">
        <v>45950</v>
      </c>
      <c r="J579" s="27" t="n">
        <v>45953</v>
      </c>
      <c r="K579" t="inlineStr">
        <is>
          <t>Boleto Bancário</t>
        </is>
      </c>
      <c r="L579" t="inlineStr">
        <is>
          <t>Custo Mercadoria Vendida</t>
        </is>
      </c>
      <c r="M579" t="inlineStr">
        <is>
          <t>Insumos - Alimentos</t>
        </is>
      </c>
      <c r="N579" t="inlineStr">
        <is>
          <t>39857</t>
        </is>
      </c>
      <c r="O579" t="inlineStr">
        <is>
          <t>Documentação Aprovada</t>
        </is>
      </c>
      <c r="P579" t="inlineStr">
        <is>
          <t>Aprovado Diretoria</t>
        </is>
      </c>
      <c r="Q579" t="inlineStr">
        <is>
          <t>Aprovado Caixa</t>
        </is>
      </c>
      <c r="R579" t="inlineStr">
        <is>
          <t>Pago</t>
        </is>
      </c>
      <c r="S579" t="n">
        <v>182</v>
      </c>
      <c r="T579" t="inlineStr">
        <is>
          <t>Love - Shibari - Kamino</t>
        </is>
      </c>
    </row>
    <row r="580">
      <c r="A580" t="n">
        <v>173036</v>
      </c>
      <c r="B580" t="n">
        <v>128</v>
      </c>
      <c r="C580" t="inlineStr">
        <is>
          <t>Love Cabaret</t>
        </is>
      </c>
      <c r="D580" t="inlineStr">
        <is>
          <t>BRADESCO SA</t>
        </is>
      </c>
      <c r="E580" t="n">
        <v>9.800000000000001</v>
      </c>
      <c r="F580" s="27" t="n">
        <v>45961</v>
      </c>
      <c r="G580" s="27" t="n"/>
      <c r="H580" s="27" t="n">
        <v>45961</v>
      </c>
      <c r="I580" s="27" t="n">
        <v>45961</v>
      </c>
      <c r="J580" s="27" t="n"/>
      <c r="K580" t="inlineStr">
        <is>
          <t xml:space="preserve">Debito Automático </t>
        </is>
      </c>
      <c r="L580" t="inlineStr">
        <is>
          <t>Despesas Financeiras</t>
        </is>
      </c>
      <c r="M580" t="inlineStr">
        <is>
          <t>Tarifas Bancárias</t>
        </is>
      </c>
      <c r="O580" t="inlineStr">
        <is>
          <t>Documentação Aprovada</t>
        </is>
      </c>
      <c r="P580" t="inlineStr">
        <is>
          <t>Aprovado Diretoria</t>
        </is>
      </c>
      <c r="Q580" t="inlineStr">
        <is>
          <t>Aprovado Caixa</t>
        </is>
      </c>
      <c r="R580" t="inlineStr">
        <is>
          <t>Pago</t>
        </is>
      </c>
      <c r="S580" t="n">
        <v>115</v>
      </c>
      <c r="T580" t="inlineStr">
        <is>
          <t>Love - Shibari - Bradesco</t>
        </is>
      </c>
    </row>
    <row r="581">
      <c r="A581" t="n">
        <v>48404</v>
      </c>
      <c r="B581" t="n">
        <v>128</v>
      </c>
      <c r="C581" t="inlineStr">
        <is>
          <t>Love Cabaret</t>
        </is>
      </c>
      <c r="D581" t="inlineStr">
        <is>
          <t xml:space="preserve">MINISTERIO DA FAZENDA </t>
        </is>
      </c>
      <c r="E581" t="n">
        <v>21118.73</v>
      </c>
      <c r="F581" s="27" t="n">
        <v>45958</v>
      </c>
      <c r="G581" s="27" t="n">
        <v>45966</v>
      </c>
      <c r="H581" s="27" t="n">
        <v>45961</v>
      </c>
      <c r="I581" s="27" t="n">
        <v>45366</v>
      </c>
      <c r="J581" s="27" t="n"/>
      <c r="L581" t="inlineStr">
        <is>
          <t>Endividamento</t>
        </is>
      </c>
      <c r="M581" t="inlineStr">
        <is>
          <t>Endividamento Geral</t>
        </is>
      </c>
      <c r="N581" t="inlineStr">
        <is>
          <t>20/60</t>
        </is>
      </c>
      <c r="O581" t="inlineStr">
        <is>
          <t>Documentação Aprovada</t>
        </is>
      </c>
      <c r="P581" t="inlineStr">
        <is>
          <t>Aprovado Diretoria</t>
        </is>
      </c>
      <c r="Q581" t="inlineStr">
        <is>
          <t>Aprovado Caixa</t>
        </is>
      </c>
      <c r="R581" t="inlineStr">
        <is>
          <t>Pago</t>
        </is>
      </c>
      <c r="S581" t="n">
        <v>115</v>
      </c>
      <c r="T581" t="inlineStr">
        <is>
          <t>Love - Shibari - Bradesco</t>
        </is>
      </c>
    </row>
    <row r="582">
      <c r="A582" t="n">
        <v>173467</v>
      </c>
      <c r="B582" t="n">
        <v>128</v>
      </c>
      <c r="C582" t="inlineStr">
        <is>
          <t>Love Cabaret</t>
        </is>
      </c>
      <c r="D582" t="inlineStr">
        <is>
          <t xml:space="preserve">KAMINO INSTITUICAO DE PAGAMENTO LTDA </t>
        </is>
      </c>
      <c r="E582" t="n">
        <v>0.5</v>
      </c>
      <c r="F582" s="27" t="n">
        <v>45960</v>
      </c>
      <c r="G582" s="27" t="n"/>
      <c r="H582" s="27" t="n">
        <v>45960</v>
      </c>
      <c r="I582" s="27" t="n">
        <v>45960</v>
      </c>
      <c r="J582" s="27" t="n"/>
      <c r="K582" t="inlineStr">
        <is>
          <t xml:space="preserve">Debito Automático </t>
        </is>
      </c>
      <c r="L582" t="inlineStr">
        <is>
          <t>Despesas Financeiras</t>
        </is>
      </c>
      <c r="M582" t="inlineStr">
        <is>
          <t>Tarifas Bancárias</t>
        </is>
      </c>
      <c r="O582" t="inlineStr">
        <is>
          <t>Documentação Aprovada</t>
        </is>
      </c>
      <c r="P582" t="inlineStr">
        <is>
          <t>Aprovado Diretoria</t>
        </is>
      </c>
      <c r="Q582" t="inlineStr">
        <is>
          <t>Aprovado Caixa</t>
        </is>
      </c>
      <c r="R582" t="inlineStr">
        <is>
          <t>Pago</t>
        </is>
      </c>
      <c r="S582" t="n">
        <v>182</v>
      </c>
      <c r="T582" t="inlineStr">
        <is>
          <t>Love - Shibari - Kamino</t>
        </is>
      </c>
    </row>
    <row r="583">
      <c r="A583" t="n">
        <v>167031</v>
      </c>
      <c r="B583" t="n">
        <v>128</v>
      </c>
      <c r="C583" t="inlineStr">
        <is>
          <t>Love Cabaret</t>
        </is>
      </c>
      <c r="D583" t="inlineStr">
        <is>
          <t>LUIZ ROBERTO DA SILVA JUNIOR</t>
        </is>
      </c>
      <c r="E583" t="n">
        <v>5000</v>
      </c>
      <c r="F583" s="27" t="n">
        <v>45961</v>
      </c>
      <c r="G583" s="27" t="n">
        <v>45960</v>
      </c>
      <c r="H583" s="27" t="n">
        <v>45960</v>
      </c>
      <c r="I583" s="27" t="n">
        <v>45931</v>
      </c>
      <c r="J583" s="27" t="n">
        <v>45944</v>
      </c>
      <c r="K583" t="inlineStr">
        <is>
          <t>Transferência Bancária ou Pix</t>
        </is>
      </c>
      <c r="L583" t="inlineStr">
        <is>
          <t>Custos Artístico Geral</t>
        </is>
      </c>
      <c r="M583" t="inlineStr">
        <is>
          <t>Locação de Equipamentos Fixo</t>
        </is>
      </c>
      <c r="N583" t="inlineStr">
        <is>
          <t>1032025</t>
        </is>
      </c>
      <c r="O583" t="inlineStr">
        <is>
          <t>Documentação Aprovada</t>
        </is>
      </c>
      <c r="P583" t="inlineStr">
        <is>
          <t>Aprovado Diretoria</t>
        </is>
      </c>
      <c r="Q583" t="inlineStr">
        <is>
          <t>Aprovado Caixa</t>
        </is>
      </c>
      <c r="R583" t="inlineStr">
        <is>
          <t>Pago</t>
        </is>
      </c>
      <c r="S583" t="n">
        <v>182</v>
      </c>
      <c r="T583" t="inlineStr">
        <is>
          <t>Love - Shibari - Kamino</t>
        </is>
      </c>
    </row>
    <row r="584">
      <c r="A584" t="n">
        <v>166635</v>
      </c>
      <c r="B584" t="n">
        <v>128</v>
      </c>
      <c r="C584" t="inlineStr">
        <is>
          <t>Love Cabaret</t>
        </is>
      </c>
      <c r="D584" t="inlineStr">
        <is>
          <t>VALE TRANSPORTE</t>
        </is>
      </c>
      <c r="E584" t="n">
        <v>878.22</v>
      </c>
      <c r="F584" s="27" t="n">
        <v>45960</v>
      </c>
      <c r="G584" s="27" t="n">
        <v>45959</v>
      </c>
      <c r="H584" s="27" t="n">
        <v>45959</v>
      </c>
      <c r="I584" s="27" t="n">
        <v>45962</v>
      </c>
      <c r="J584" s="27" t="n">
        <v>45943</v>
      </c>
      <c r="K584" t="inlineStr">
        <is>
          <t>Boleto Bancário</t>
        </is>
      </c>
      <c r="L584" t="inlineStr">
        <is>
          <t>Mão de Obra - Benefícios</t>
        </is>
      </c>
      <c r="M584" t="inlineStr">
        <is>
          <t xml:space="preserve">  -  Vale-transporte</t>
        </is>
      </c>
      <c r="N584" t="inlineStr">
        <is>
          <t>87822 112025</t>
        </is>
      </c>
      <c r="O584" t="inlineStr">
        <is>
          <t>Documentação Aprovada</t>
        </is>
      </c>
      <c r="P584" t="inlineStr">
        <is>
          <t>Aprovado Diretoria</t>
        </is>
      </c>
      <c r="Q584" t="inlineStr">
        <is>
          <t>Aprovado Caixa</t>
        </is>
      </c>
      <c r="R584" t="inlineStr">
        <is>
          <t>Pago</t>
        </is>
      </c>
      <c r="S584" t="n">
        <v>182</v>
      </c>
      <c r="T584" t="inlineStr">
        <is>
          <t>Love - Shibari - Kamino</t>
        </is>
      </c>
    </row>
    <row r="585">
      <c r="A585" t="n">
        <v>168597</v>
      </c>
      <c r="B585" t="n">
        <v>128</v>
      </c>
      <c r="C585" t="inlineStr">
        <is>
          <t>Love Cabaret</t>
        </is>
      </c>
      <c r="D585" t="inlineStr">
        <is>
          <t>CECILIA TSUYACO ARAKI SILVA LTDA</t>
        </is>
      </c>
      <c r="E585" t="n">
        <v>140.85</v>
      </c>
      <c r="F585" s="27" t="n">
        <v>45960</v>
      </c>
      <c r="G585" s="27" t="n">
        <v>45959</v>
      </c>
      <c r="H585" s="27" t="n">
        <v>45959</v>
      </c>
      <c r="I585" s="27" t="n">
        <v>45946</v>
      </c>
      <c r="J585" s="27" t="n">
        <v>45947</v>
      </c>
      <c r="K585" t="inlineStr">
        <is>
          <t>Boleto Bancário</t>
        </is>
      </c>
      <c r="L585" t="inlineStr">
        <is>
          <t>Custo Mercadoria Vendida</t>
        </is>
      </c>
      <c r="M585" t="inlineStr">
        <is>
          <t>Insumos - Alimentos</t>
        </is>
      </c>
      <c r="N585" t="inlineStr">
        <is>
          <t>379959</t>
        </is>
      </c>
      <c r="O585" t="inlineStr">
        <is>
          <t>Documentação Aprovada</t>
        </is>
      </c>
      <c r="P585" t="inlineStr">
        <is>
          <t>Aprovado Diretoria</t>
        </is>
      </c>
      <c r="Q585" t="inlineStr">
        <is>
          <t>Aprovado Caixa</t>
        </is>
      </c>
      <c r="R585" t="inlineStr">
        <is>
          <t>Pago</t>
        </is>
      </c>
      <c r="S585" t="n">
        <v>182</v>
      </c>
      <c r="T585" t="inlineStr">
        <is>
          <t>Love - Shibari - Kamino</t>
        </is>
      </c>
    </row>
    <row r="586">
      <c r="A586" t="n">
        <v>168594</v>
      </c>
      <c r="B586" t="n">
        <v>128</v>
      </c>
      <c r="C586" t="inlineStr">
        <is>
          <t>Love Cabaret</t>
        </is>
      </c>
      <c r="D586" t="inlineStr">
        <is>
          <t>PSSS LTDA</t>
        </is>
      </c>
      <c r="E586" t="n">
        <v>312.84</v>
      </c>
      <c r="F586" s="27" t="n">
        <v>45961</v>
      </c>
      <c r="G586" s="27" t="n">
        <v>45959</v>
      </c>
      <c r="H586" s="27" t="n">
        <v>45959</v>
      </c>
      <c r="I586" s="27" t="n">
        <v>45947</v>
      </c>
      <c r="J586" s="27" t="n">
        <v>45947</v>
      </c>
      <c r="K586" t="inlineStr">
        <is>
          <t>Boleto Bancário</t>
        </is>
      </c>
      <c r="L586" t="inlineStr">
        <is>
          <t>Utilidades</t>
        </is>
      </c>
      <c r="M586" t="inlineStr">
        <is>
          <t>Higiene e Limpeza</t>
        </is>
      </c>
      <c r="N586" t="inlineStr">
        <is>
          <t>2473</t>
        </is>
      </c>
      <c r="O586" t="inlineStr">
        <is>
          <t>Documentação Aprovada</t>
        </is>
      </c>
      <c r="P586" t="inlineStr">
        <is>
          <t>Aprovado Diretoria</t>
        </is>
      </c>
      <c r="Q586" t="inlineStr">
        <is>
          <t>Aprovado Caixa</t>
        </is>
      </c>
      <c r="R586" t="inlineStr">
        <is>
          <t>Pago</t>
        </is>
      </c>
      <c r="S586" t="n">
        <v>182</v>
      </c>
      <c r="T586" t="inlineStr">
        <is>
          <t>Love - Shibari - Kamino</t>
        </is>
      </c>
    </row>
    <row r="587">
      <c r="A587" t="n">
        <v>168595</v>
      </c>
      <c r="B587" t="n">
        <v>128</v>
      </c>
      <c r="C587" t="inlineStr">
        <is>
          <t>Love Cabaret</t>
        </is>
      </c>
      <c r="D587" t="inlineStr">
        <is>
          <t>HORTIFRUTIGRANJEIRO RODRIGUES LTDA</t>
        </is>
      </c>
      <c r="E587" t="n">
        <v>67.40000000000001</v>
      </c>
      <c r="F587" s="27" t="n">
        <v>45962</v>
      </c>
      <c r="G587" s="27" t="n">
        <v>45959</v>
      </c>
      <c r="H587" s="27" t="n">
        <v>45959</v>
      </c>
      <c r="I587" s="27" t="n">
        <v>45946</v>
      </c>
      <c r="J587" s="27" t="n">
        <v>45947</v>
      </c>
      <c r="K587" t="inlineStr">
        <is>
          <t>Boleto Bancário</t>
        </is>
      </c>
      <c r="L587" t="inlineStr">
        <is>
          <t>Custo Mercadoria Vendida</t>
        </is>
      </c>
      <c r="M587" t="inlineStr">
        <is>
          <t>Insumos - Alimentos</t>
        </is>
      </c>
      <c r="N587" t="inlineStr">
        <is>
          <t>13424</t>
        </is>
      </c>
      <c r="O587" t="inlineStr">
        <is>
          <t>Documentação Aprovada</t>
        </is>
      </c>
      <c r="P587" t="inlineStr">
        <is>
          <t>Aprovado Diretoria</t>
        </is>
      </c>
      <c r="Q587" t="inlineStr">
        <is>
          <t>Aprovado Caixa</t>
        </is>
      </c>
      <c r="R587" t="inlineStr">
        <is>
          <t>Pago</t>
        </is>
      </c>
      <c r="S587" t="n">
        <v>182</v>
      </c>
      <c r="T587" t="inlineStr">
        <is>
          <t>Love - Shibari - Kamino</t>
        </is>
      </c>
    </row>
    <row r="588">
      <c r="A588" t="n">
        <v>168596</v>
      </c>
      <c r="B588" t="n">
        <v>128</v>
      </c>
      <c r="C588" t="inlineStr">
        <is>
          <t>Love Cabaret</t>
        </is>
      </c>
      <c r="D588" t="inlineStr">
        <is>
          <t>WPP COMERCIO DE CARNES LTDA</t>
        </is>
      </c>
      <c r="E588" t="n">
        <v>1114.56</v>
      </c>
      <c r="F588" s="27" t="n">
        <v>45961</v>
      </c>
      <c r="G588" s="27" t="n">
        <v>45959</v>
      </c>
      <c r="H588" s="27" t="n">
        <v>45959</v>
      </c>
      <c r="I588" s="27" t="n">
        <v>45947</v>
      </c>
      <c r="J588" s="27" t="n">
        <v>45947</v>
      </c>
      <c r="K588" t="inlineStr">
        <is>
          <t>Boleto Bancário</t>
        </is>
      </c>
      <c r="L588" t="inlineStr">
        <is>
          <t>Custo Mercadoria Vendida</t>
        </is>
      </c>
      <c r="M588" t="inlineStr">
        <is>
          <t>Insumos - Alimentos</t>
        </is>
      </c>
      <c r="N588" t="inlineStr">
        <is>
          <t>75026</t>
        </is>
      </c>
      <c r="O588" t="inlineStr">
        <is>
          <t>Documentação Aprovada</t>
        </is>
      </c>
      <c r="P588" t="inlineStr">
        <is>
          <t>Aprovado Diretoria</t>
        </is>
      </c>
      <c r="Q588" t="inlineStr">
        <is>
          <t>Aprovado Caixa</t>
        </is>
      </c>
      <c r="R588" t="inlineStr">
        <is>
          <t>Pago</t>
        </is>
      </c>
      <c r="S588" t="n">
        <v>182</v>
      </c>
      <c r="T588" t="inlineStr">
        <is>
          <t>Love - Shibari - Kamino</t>
        </is>
      </c>
    </row>
    <row r="589">
      <c r="A589" t="n">
        <v>164641</v>
      </c>
      <c r="B589" t="n">
        <v>128</v>
      </c>
      <c r="C589" t="inlineStr">
        <is>
          <t>Love Cabaret</t>
        </is>
      </c>
      <c r="D589" t="inlineStr">
        <is>
          <t>EMPORIO M&amp;L COMERCIO DE ALIM E BEBIDAS LTDA</t>
        </is>
      </c>
      <c r="E589" t="n">
        <v>408.45</v>
      </c>
      <c r="F589" s="27" t="n">
        <v>45960</v>
      </c>
      <c r="G589" s="27" t="n">
        <v>45959</v>
      </c>
      <c r="H589" s="27" t="n">
        <v>45959</v>
      </c>
      <c r="I589" s="27" t="n">
        <v>45929</v>
      </c>
      <c r="J589" s="27" t="n">
        <v>45932</v>
      </c>
      <c r="K589" t="inlineStr">
        <is>
          <t>Boleto Bancário</t>
        </is>
      </c>
      <c r="L589" t="inlineStr">
        <is>
          <t>Custo Mercadoria Vendida</t>
        </is>
      </c>
      <c r="M589" t="inlineStr">
        <is>
          <t>Insumos - Alimentos</t>
        </is>
      </c>
      <c r="N589" t="inlineStr">
        <is>
          <t>473681</t>
        </is>
      </c>
      <c r="O589" t="inlineStr">
        <is>
          <t>Documentação Aprovada</t>
        </is>
      </c>
      <c r="P589" t="inlineStr">
        <is>
          <t>Aprovado Diretoria</t>
        </is>
      </c>
      <c r="Q589" t="inlineStr">
        <is>
          <t>Aprovado Caixa</t>
        </is>
      </c>
      <c r="R589" t="inlineStr">
        <is>
          <t>Pago</t>
        </is>
      </c>
      <c r="S589" t="n">
        <v>182</v>
      </c>
      <c r="T589" t="inlineStr">
        <is>
          <t>Love - Shibari - Kamino</t>
        </is>
      </c>
    </row>
    <row r="590">
      <c r="A590" t="n">
        <v>169214</v>
      </c>
      <c r="B590" t="n">
        <v>128</v>
      </c>
      <c r="C590" t="inlineStr">
        <is>
          <t>Love Cabaret</t>
        </is>
      </c>
      <c r="D590" t="inlineStr">
        <is>
          <t>GOMES D ELIA EQUIP. HIGIENE LTDA - WESCO</t>
        </is>
      </c>
      <c r="E590" t="n">
        <v>484.5</v>
      </c>
      <c r="F590" s="27" t="n">
        <v>45960</v>
      </c>
      <c r="G590" s="27" t="n">
        <v>45959</v>
      </c>
      <c r="H590" s="27" t="n">
        <v>45959</v>
      </c>
      <c r="I590" s="27" t="n">
        <v>45945</v>
      </c>
      <c r="J590" s="27" t="n">
        <v>45952</v>
      </c>
      <c r="K590" t="inlineStr">
        <is>
          <t>Boleto Bancário</t>
        </is>
      </c>
      <c r="L590" t="inlineStr">
        <is>
          <t>Utilidades</t>
        </is>
      </c>
      <c r="M590" t="inlineStr">
        <is>
          <t>Higiene e Limpeza</t>
        </is>
      </c>
      <c r="N590" t="inlineStr">
        <is>
          <t>230711</t>
        </is>
      </c>
      <c r="O590" t="inlineStr">
        <is>
          <t>Documentação Aprovada</t>
        </is>
      </c>
      <c r="P590" t="inlineStr">
        <is>
          <t>Aprovado Diretoria</t>
        </is>
      </c>
      <c r="Q590" t="inlineStr">
        <is>
          <t>Aprovado Caixa</t>
        </is>
      </c>
      <c r="R590" t="inlineStr">
        <is>
          <t>Pago</t>
        </is>
      </c>
      <c r="S590" t="n">
        <v>182</v>
      </c>
      <c r="T590" t="inlineStr">
        <is>
          <t>Love - Shibari - Kamino</t>
        </is>
      </c>
    </row>
    <row r="591">
      <c r="A591" t="n">
        <v>169215</v>
      </c>
      <c r="B591" t="n">
        <v>128</v>
      </c>
      <c r="C591" t="inlineStr">
        <is>
          <t>Love Cabaret</t>
        </is>
      </c>
      <c r="D591" t="inlineStr">
        <is>
          <t>MARIO PEDRO FELICIANO - HORTIFRUTI</t>
        </is>
      </c>
      <c r="E591" t="n">
        <v>64.27</v>
      </c>
      <c r="F591" s="27" t="n">
        <v>45960</v>
      </c>
      <c r="G591" s="27" t="n">
        <v>45959</v>
      </c>
      <c r="H591" s="27" t="n">
        <v>45959</v>
      </c>
      <c r="I591" s="27" t="n">
        <v>45946</v>
      </c>
      <c r="J591" s="27" t="n">
        <v>45952</v>
      </c>
      <c r="K591" t="inlineStr">
        <is>
          <t>Boleto Bancário</t>
        </is>
      </c>
      <c r="L591" t="inlineStr">
        <is>
          <t>Custo Mercadoria Vendida</t>
        </is>
      </c>
      <c r="M591" t="inlineStr">
        <is>
          <t>Insumos - Alimentos</t>
        </is>
      </c>
      <c r="N591" t="inlineStr">
        <is>
          <t>455672</t>
        </is>
      </c>
      <c r="O591" t="inlineStr">
        <is>
          <t>Documentação Aprovada</t>
        </is>
      </c>
      <c r="P591" t="inlineStr">
        <is>
          <t>Aprovado Diretoria</t>
        </is>
      </c>
      <c r="Q591" t="inlineStr">
        <is>
          <t>Aprovado Caixa</t>
        </is>
      </c>
      <c r="R591" t="inlineStr">
        <is>
          <t>Pago</t>
        </is>
      </c>
      <c r="S591" t="n">
        <v>182</v>
      </c>
      <c r="T591" t="inlineStr">
        <is>
          <t>Love - Shibari - Kamino</t>
        </is>
      </c>
    </row>
    <row r="592">
      <c r="A592" t="n">
        <v>164675</v>
      </c>
      <c r="B592" t="n">
        <v>128</v>
      </c>
      <c r="C592" t="inlineStr">
        <is>
          <t>Love Cabaret</t>
        </is>
      </c>
      <c r="D592" t="inlineStr">
        <is>
          <t xml:space="preserve">PJ 00452023 LAISA ROCHA LARANGEIRA </t>
        </is>
      </c>
      <c r="E592" t="n">
        <v>93.86</v>
      </c>
      <c r="F592" s="27" t="n">
        <v>45958</v>
      </c>
      <c r="G592" s="27" t="n">
        <v>45959</v>
      </c>
      <c r="H592" s="27" t="n">
        <v>45959</v>
      </c>
      <c r="I592" s="27" t="n">
        <v>45930</v>
      </c>
      <c r="J592" s="27" t="n">
        <v>45932</v>
      </c>
      <c r="K592" t="inlineStr">
        <is>
          <t>Transferência Bancária ou Pix</t>
        </is>
      </c>
      <c r="L592" t="inlineStr">
        <is>
          <t>Despesas com Transporte / Hospedagem</t>
        </is>
      </c>
      <c r="M592" t="inlineStr">
        <is>
          <t>Conduções/Taxi/Uber</t>
        </is>
      </c>
      <c r="N592" t="inlineStr">
        <is>
          <t>992025</t>
        </is>
      </c>
      <c r="O592" t="inlineStr">
        <is>
          <t>Documentação Aprovada</t>
        </is>
      </c>
      <c r="P592" t="inlineStr">
        <is>
          <t>Aprovado Diretoria</t>
        </is>
      </c>
      <c r="Q592" t="inlineStr">
        <is>
          <t>Aprovado Caixa</t>
        </is>
      </c>
      <c r="R592" t="inlineStr">
        <is>
          <t>Pago</t>
        </is>
      </c>
      <c r="S592" t="n">
        <v>182</v>
      </c>
      <c r="T592" t="inlineStr">
        <is>
          <t>Love - Shibari - Kamino</t>
        </is>
      </c>
    </row>
    <row r="593">
      <c r="A593" t="n">
        <v>183157</v>
      </c>
      <c r="B593" t="n">
        <v>128</v>
      </c>
      <c r="C593" t="inlineStr">
        <is>
          <t>Love Cabaret</t>
        </is>
      </c>
      <c r="D593" t="inlineStr">
        <is>
          <t>BRADESCO SA</t>
        </is>
      </c>
      <c r="E593" t="n">
        <v>9.800000000000001</v>
      </c>
      <c r="F593" s="27" t="n">
        <v>45959</v>
      </c>
      <c r="G593" s="27" t="n"/>
      <c r="H593" s="27" t="n">
        <v>45959</v>
      </c>
      <c r="I593" s="27" t="n">
        <v>45959</v>
      </c>
      <c r="J593" s="27" t="n"/>
      <c r="K593" t="inlineStr">
        <is>
          <t xml:space="preserve">Debito Automático </t>
        </is>
      </c>
      <c r="L593" t="inlineStr">
        <is>
          <t>Despesas Financeiras</t>
        </is>
      </c>
      <c r="M593" t="inlineStr">
        <is>
          <t>Tarifas Bancárias</t>
        </is>
      </c>
      <c r="O593" t="inlineStr">
        <is>
          <t>Documentação Aprovada</t>
        </is>
      </c>
      <c r="P593" t="inlineStr">
        <is>
          <t>Aprovado Diretoria</t>
        </is>
      </c>
      <c r="Q593" t="inlineStr">
        <is>
          <t>Aprovado Caixa</t>
        </is>
      </c>
      <c r="R593" t="inlineStr">
        <is>
          <t>Pago</t>
        </is>
      </c>
      <c r="S593" t="n">
        <v>115</v>
      </c>
      <c r="T593" t="inlineStr">
        <is>
          <t>Love - Shibari - Bradesco</t>
        </is>
      </c>
    </row>
    <row r="594">
      <c r="A594" t="n">
        <v>173466</v>
      </c>
      <c r="B594" t="n">
        <v>128</v>
      </c>
      <c r="C594" t="inlineStr">
        <is>
          <t>Love Cabaret</t>
        </is>
      </c>
      <c r="D594" t="inlineStr">
        <is>
          <t xml:space="preserve">KAMINO INSTITUICAO DE PAGAMENTO LTDA </t>
        </is>
      </c>
      <c r="E594" t="n">
        <v>1</v>
      </c>
      <c r="F594" s="27" t="n">
        <v>45959</v>
      </c>
      <c r="G594" s="27" t="n"/>
      <c r="H594" s="27" t="n">
        <v>45959</v>
      </c>
      <c r="I594" s="27" t="n">
        <v>45959</v>
      </c>
      <c r="J594" s="27" t="n"/>
      <c r="K594" t="inlineStr">
        <is>
          <t xml:space="preserve">Debito Automático </t>
        </is>
      </c>
      <c r="L594" t="inlineStr">
        <is>
          <t>Despesas Financeiras</t>
        </is>
      </c>
      <c r="M594" t="inlineStr">
        <is>
          <t>Tarifas Bancárias</t>
        </is>
      </c>
      <c r="O594" t="inlineStr">
        <is>
          <t>Documentação Aprovada</t>
        </is>
      </c>
      <c r="P594" t="inlineStr">
        <is>
          <t>Aprovado Diretoria</t>
        </is>
      </c>
      <c r="Q594" t="inlineStr">
        <is>
          <t>Aprovado Caixa</t>
        </is>
      </c>
      <c r="R594" t="inlineStr">
        <is>
          <t>Pago</t>
        </is>
      </c>
      <c r="S594" t="n">
        <v>182</v>
      </c>
      <c r="T594" t="inlineStr">
        <is>
          <t>Love - Shibari - Kamino</t>
        </is>
      </c>
    </row>
    <row r="595">
      <c r="A595" t="n">
        <v>102799</v>
      </c>
      <c r="B595" t="n">
        <v>128</v>
      </c>
      <c r="C595" t="inlineStr">
        <is>
          <t>Love Cabaret</t>
        </is>
      </c>
      <c r="D595" t="inlineStr">
        <is>
          <t>FABRICA DE BARES PARTICIPACOES LTDA</t>
        </is>
      </c>
      <c r="E595" t="n">
        <v>100</v>
      </c>
      <c r="F595" s="27" t="n">
        <v>45960</v>
      </c>
      <c r="G595" s="27" t="n">
        <v>45959</v>
      </c>
      <c r="H595" s="27" t="n">
        <v>45959</v>
      </c>
      <c r="I595" s="27" t="n">
        <v>45901</v>
      </c>
      <c r="J595" s="27" t="n"/>
      <c r="K595" t="inlineStr">
        <is>
          <t>Transferência Bancária ou Pix</t>
        </is>
      </c>
      <c r="L595" t="inlineStr">
        <is>
          <t>Serviços de Terceiros</t>
        </is>
      </c>
      <c r="M595" t="inlineStr">
        <is>
          <t>Assessoria RH</t>
        </is>
      </c>
      <c r="N595" t="inlineStr">
        <is>
          <t>642025</t>
        </is>
      </c>
      <c r="O595" t="inlineStr">
        <is>
          <t>Documentação Aprovada</t>
        </is>
      </c>
      <c r="P595" t="inlineStr">
        <is>
          <t>Aprovado Diretoria</t>
        </is>
      </c>
      <c r="Q595" t="inlineStr">
        <is>
          <t>Aprovado Caixa</t>
        </is>
      </c>
      <c r="R595" t="inlineStr">
        <is>
          <t>Pago</t>
        </is>
      </c>
      <c r="S595" t="n">
        <v>182</v>
      </c>
      <c r="T595" t="inlineStr">
        <is>
          <t>Love - Shibari - Kamino</t>
        </is>
      </c>
    </row>
    <row r="596">
      <c r="A596" t="n">
        <v>84049</v>
      </c>
      <c r="B596" t="n">
        <v>128</v>
      </c>
      <c r="C596" t="inlineStr">
        <is>
          <t>Love Cabaret</t>
        </is>
      </c>
      <c r="D596" t="inlineStr">
        <is>
          <t>CSLL</t>
        </is>
      </c>
      <c r="E596" t="n">
        <v>1032.1</v>
      </c>
      <c r="F596" s="27" t="n">
        <v>45960</v>
      </c>
      <c r="G596" s="27" t="n">
        <v>45959</v>
      </c>
      <c r="H596" s="27" t="n">
        <v>45959</v>
      </c>
      <c r="I596" s="27" t="n">
        <v>45599</v>
      </c>
      <c r="J596" s="27" t="n"/>
      <c r="K596" t="inlineStr">
        <is>
          <t>Boleto Bancário</t>
        </is>
      </c>
      <c r="L596" t="inlineStr">
        <is>
          <t>Endividamento</t>
        </is>
      </c>
      <c r="M596" t="inlineStr">
        <is>
          <t>Endividamento Geral</t>
        </is>
      </c>
      <c r="N596" t="inlineStr">
        <is>
          <t>13/120</t>
        </is>
      </c>
      <c r="O596" t="inlineStr">
        <is>
          <t>Documentação Aprovada</t>
        </is>
      </c>
      <c r="P596" t="inlineStr">
        <is>
          <t>Aprovado Diretoria</t>
        </is>
      </c>
      <c r="Q596" t="inlineStr">
        <is>
          <t>Aprovado Caixa</t>
        </is>
      </c>
      <c r="R596" t="inlineStr">
        <is>
          <t>Pago</t>
        </is>
      </c>
      <c r="S596" t="n">
        <v>182</v>
      </c>
      <c r="T596" t="inlineStr">
        <is>
          <t>Love - Shibari - Kamino</t>
        </is>
      </c>
    </row>
    <row r="597">
      <c r="A597" t="n">
        <v>97124</v>
      </c>
      <c r="B597" t="n">
        <v>128</v>
      </c>
      <c r="C597" t="inlineStr">
        <is>
          <t>Love Cabaret</t>
        </is>
      </c>
      <c r="D597" t="inlineStr">
        <is>
          <t>ESTAFF SOLUCOES TECNOLOGICAS DE AGENCIAMENTO LTDA</t>
        </is>
      </c>
      <c r="E597" t="n">
        <v>13579.5</v>
      </c>
      <c r="F597" s="27" t="n">
        <v>45959</v>
      </c>
      <c r="G597" s="27" t="n">
        <v>45959</v>
      </c>
      <c r="H597" s="27" t="n">
        <v>45959</v>
      </c>
      <c r="I597" s="27" t="n">
        <v>45950</v>
      </c>
      <c r="J597" s="27" t="n"/>
      <c r="K597" t="inlineStr">
        <is>
          <t>Boleto Bancário</t>
        </is>
      </c>
      <c r="L597" t="inlineStr">
        <is>
          <t>Mão de Obra - Extra</t>
        </is>
      </c>
      <c r="M597" t="inlineStr">
        <is>
          <t>Mão de Obra Extra</t>
        </is>
      </c>
      <c r="N597" t="inlineStr">
        <is>
          <t>664359146</t>
        </is>
      </c>
      <c r="O597" t="inlineStr">
        <is>
          <t>Documentação Aprovada</t>
        </is>
      </c>
      <c r="P597" t="inlineStr">
        <is>
          <t>Aprovado Diretoria</t>
        </is>
      </c>
      <c r="Q597" t="inlineStr">
        <is>
          <t>Aprovado Caixa</t>
        </is>
      </c>
      <c r="R597" t="inlineStr">
        <is>
          <t>Pago</t>
        </is>
      </c>
      <c r="S597" t="n">
        <v>182</v>
      </c>
      <c r="T597" t="inlineStr">
        <is>
          <t>Love - Shibari - Kamino</t>
        </is>
      </c>
    </row>
    <row r="598">
      <c r="A598" t="n">
        <v>96057</v>
      </c>
      <c r="B598" t="n">
        <v>128</v>
      </c>
      <c r="C598" t="inlineStr">
        <is>
          <t>Love Cabaret</t>
        </is>
      </c>
      <c r="D598" t="inlineStr">
        <is>
          <t>ISS</t>
        </is>
      </c>
      <c r="E598" t="n">
        <v>2011.41</v>
      </c>
      <c r="F598" s="27" t="n">
        <v>45961</v>
      </c>
      <c r="G598" s="27" t="n">
        <v>45959</v>
      </c>
      <c r="H598" s="27" t="n">
        <v>45959</v>
      </c>
      <c r="I598" s="27" t="n">
        <v>45930</v>
      </c>
      <c r="J598" s="27" t="n"/>
      <c r="K598" t="inlineStr">
        <is>
          <t>Boleto Bancário</t>
        </is>
      </c>
      <c r="L598" t="inlineStr">
        <is>
          <t>Endividamento</t>
        </is>
      </c>
      <c r="M598" t="inlineStr">
        <is>
          <t>Endividamento Geral</t>
        </is>
      </c>
      <c r="N598" t="inlineStr">
        <is>
          <t>10/60</t>
        </is>
      </c>
      <c r="O598" t="inlineStr">
        <is>
          <t>Documentação Aprovada</t>
        </is>
      </c>
      <c r="P598" t="inlineStr">
        <is>
          <t>Aprovado Diretoria</t>
        </is>
      </c>
      <c r="Q598" t="inlineStr">
        <is>
          <t>Aprovado Caixa</t>
        </is>
      </c>
      <c r="R598" t="inlineStr">
        <is>
          <t>Pago</t>
        </is>
      </c>
      <c r="S598" t="n">
        <v>182</v>
      </c>
      <c r="T598" t="inlineStr">
        <is>
          <t>Love - Shibari - Kamino</t>
        </is>
      </c>
    </row>
    <row r="599">
      <c r="A599" t="n">
        <v>171538</v>
      </c>
      <c r="B599" t="n">
        <v>128</v>
      </c>
      <c r="C599" t="inlineStr">
        <is>
          <t>Love Cabaret</t>
        </is>
      </c>
      <c r="D599" t="inlineStr">
        <is>
          <t xml:space="preserve">KAMINO INSTITUICAO DE PAGAMENTO LTDA </t>
        </is>
      </c>
      <c r="E599" t="n">
        <v>0.5</v>
      </c>
      <c r="F599" s="27" t="n">
        <v>45958</v>
      </c>
      <c r="G599" s="27" t="n"/>
      <c r="H599" s="27" t="n">
        <v>45958</v>
      </c>
      <c r="I599" s="27" t="n">
        <v>45958</v>
      </c>
      <c r="J599" s="27" t="n"/>
      <c r="K599" t="inlineStr">
        <is>
          <t xml:space="preserve">Debito Automático </t>
        </is>
      </c>
      <c r="L599" t="inlineStr">
        <is>
          <t>Despesas Financeiras</t>
        </is>
      </c>
      <c r="M599" t="inlineStr">
        <is>
          <t>Tarifas Bancárias</t>
        </is>
      </c>
      <c r="O599" t="inlineStr">
        <is>
          <t>Documentação Aprovada</t>
        </is>
      </c>
      <c r="P599" t="inlineStr">
        <is>
          <t>Aprovado Diretoria</t>
        </is>
      </c>
      <c r="Q599" t="inlineStr">
        <is>
          <t>Aprovado Caixa</t>
        </is>
      </c>
      <c r="R599" t="inlineStr">
        <is>
          <t>Pago</t>
        </is>
      </c>
      <c r="S599" t="n">
        <v>182</v>
      </c>
      <c r="T599" t="inlineStr">
        <is>
          <t>Love - Shibari - Kamino</t>
        </is>
      </c>
    </row>
    <row r="600">
      <c r="A600" t="n">
        <v>188457</v>
      </c>
      <c r="B600" t="n">
        <v>128</v>
      </c>
      <c r="C600" t="inlineStr">
        <is>
          <t>Love Cabaret</t>
        </is>
      </c>
      <c r="D600" t="inlineStr">
        <is>
          <t>MERCADO PAGO.COM REPRESENTACOES LTDA</t>
        </is>
      </c>
      <c r="E600" t="n">
        <v>87.39</v>
      </c>
      <c r="F600" s="27" t="n">
        <v>45958</v>
      </c>
      <c r="G600" s="27" t="n"/>
      <c r="H600" s="27" t="n">
        <v>45958</v>
      </c>
      <c r="I600" s="27" t="n">
        <v>45958</v>
      </c>
      <c r="J600" s="27" t="n">
        <v>46026</v>
      </c>
      <c r="K600" t="inlineStr">
        <is>
          <t>Transferência Bancária ou Pix</t>
        </is>
      </c>
      <c r="L600" t="inlineStr">
        <is>
          <t>Custo Mercadoria Vendida</t>
        </is>
      </c>
      <c r="M600" t="inlineStr">
        <is>
          <t>Insumos - Bebidas</t>
        </is>
      </c>
      <c r="N600" t="inlineStr">
        <is>
          <t>A VISTA 28102025</t>
        </is>
      </c>
      <c r="R600" t="inlineStr">
        <is>
          <t>Pago</t>
        </is>
      </c>
      <c r="S600" t="n">
        <v>182</v>
      </c>
      <c r="T600" t="inlineStr">
        <is>
          <t>Love - Shibari - Kamino</t>
        </is>
      </c>
    </row>
    <row r="601">
      <c r="A601" t="n">
        <v>168167</v>
      </c>
      <c r="B601" t="n">
        <v>128</v>
      </c>
      <c r="C601" t="inlineStr">
        <is>
          <t>Love Cabaret</t>
        </is>
      </c>
      <c r="D601" t="inlineStr">
        <is>
          <t>EDUARDO JOSE DA SILVA DISTRIBUIÇÃO DE PRODUTOS ALIMENTICIOS</t>
        </is>
      </c>
      <c r="E601" t="n">
        <v>417.2</v>
      </c>
      <c r="F601" s="27" t="n">
        <v>45958</v>
      </c>
      <c r="G601" s="27" t="n">
        <v>45957</v>
      </c>
      <c r="H601" s="27" t="n">
        <v>45957</v>
      </c>
      <c r="I601" s="27" t="n">
        <v>45943</v>
      </c>
      <c r="J601" s="27" t="n">
        <v>45946</v>
      </c>
      <c r="K601" t="inlineStr">
        <is>
          <t>Boleto Bancário</t>
        </is>
      </c>
      <c r="L601" t="inlineStr">
        <is>
          <t>Custo Mercadoria Vendida</t>
        </is>
      </c>
      <c r="M601" t="inlineStr">
        <is>
          <t>Insumos - Alimentos</t>
        </is>
      </c>
      <c r="N601" t="inlineStr">
        <is>
          <t>140573</t>
        </is>
      </c>
      <c r="O601" t="inlineStr">
        <is>
          <t>Documentação Aprovada</t>
        </is>
      </c>
      <c r="P601" t="inlineStr">
        <is>
          <t>Aprovado Diretoria</t>
        </is>
      </c>
      <c r="Q601" t="inlineStr">
        <is>
          <t>Aprovado Caixa</t>
        </is>
      </c>
      <c r="R601" t="inlineStr">
        <is>
          <t>Pago</t>
        </is>
      </c>
      <c r="S601" t="n">
        <v>182</v>
      </c>
      <c r="T601" t="inlineStr">
        <is>
          <t>Love - Shibari - Kamino</t>
        </is>
      </c>
    </row>
    <row r="602">
      <c r="A602" t="n">
        <v>168586</v>
      </c>
      <c r="B602" t="n">
        <v>128</v>
      </c>
      <c r="C602" t="inlineStr">
        <is>
          <t>Love Cabaret</t>
        </is>
      </c>
      <c r="D602" t="inlineStr">
        <is>
          <t>PSSS LTDA</t>
        </is>
      </c>
      <c r="E602" t="n">
        <v>764.59</v>
      </c>
      <c r="F602" s="27" t="n">
        <v>45959</v>
      </c>
      <c r="G602" s="27" t="n">
        <v>45957</v>
      </c>
      <c r="H602" s="27" t="n">
        <v>45957</v>
      </c>
      <c r="I602" s="27" t="n">
        <v>45945</v>
      </c>
      <c r="J602" s="27" t="n">
        <v>45947</v>
      </c>
      <c r="K602" t="inlineStr">
        <is>
          <t>Boleto Bancário</t>
        </is>
      </c>
      <c r="L602" t="inlineStr">
        <is>
          <t>Utilidades</t>
        </is>
      </c>
      <c r="M602" t="inlineStr">
        <is>
          <t>Higiene e Limpeza</t>
        </is>
      </c>
      <c r="N602" t="inlineStr">
        <is>
          <t>2463</t>
        </is>
      </c>
      <c r="O602" t="inlineStr">
        <is>
          <t>Documentação Aprovada</t>
        </is>
      </c>
      <c r="P602" t="inlineStr">
        <is>
          <t>Aprovado Diretoria</t>
        </is>
      </c>
      <c r="Q602" t="inlineStr">
        <is>
          <t>Aprovado Caixa</t>
        </is>
      </c>
      <c r="R602" t="inlineStr">
        <is>
          <t>Pago</t>
        </is>
      </c>
      <c r="S602" t="n">
        <v>182</v>
      </c>
      <c r="T602" t="inlineStr">
        <is>
          <t>Love - Shibari - Kamino</t>
        </is>
      </c>
    </row>
    <row r="603">
      <c r="A603" t="n">
        <v>168587</v>
      </c>
      <c r="B603" t="n">
        <v>128</v>
      </c>
      <c r="C603" t="inlineStr">
        <is>
          <t>Love Cabaret</t>
        </is>
      </c>
      <c r="D603" t="inlineStr">
        <is>
          <t xml:space="preserve">HNK BR INDUSTRIA DE BEBIDAS </t>
        </is>
      </c>
      <c r="E603" t="n">
        <v>2278.04</v>
      </c>
      <c r="F603" s="27" t="n">
        <v>45959</v>
      </c>
      <c r="G603" s="27" t="n">
        <v>45957</v>
      </c>
      <c r="H603" s="27" t="n">
        <v>45957</v>
      </c>
      <c r="I603" s="27" t="n">
        <v>45944</v>
      </c>
      <c r="J603" s="27" t="n">
        <v>45947</v>
      </c>
      <c r="K603" t="inlineStr">
        <is>
          <t>Boleto Bancário</t>
        </is>
      </c>
      <c r="L603" t="inlineStr">
        <is>
          <t>Custo Mercadoria Vendida</t>
        </is>
      </c>
      <c r="M603" t="inlineStr">
        <is>
          <t>Insumos - Bebidas</t>
        </is>
      </c>
      <c r="N603" t="inlineStr">
        <is>
          <t>78170</t>
        </is>
      </c>
      <c r="O603" t="inlineStr">
        <is>
          <t>Documentação Aprovada</t>
        </is>
      </c>
      <c r="P603" t="inlineStr">
        <is>
          <t>Aprovado Diretoria</t>
        </is>
      </c>
      <c r="Q603" t="inlineStr">
        <is>
          <t>Aprovado Caixa</t>
        </is>
      </c>
      <c r="R603" t="inlineStr">
        <is>
          <t>Pago</t>
        </is>
      </c>
      <c r="S603" t="n">
        <v>182</v>
      </c>
      <c r="T603" t="inlineStr">
        <is>
          <t>Love - Shibari - Kamino</t>
        </is>
      </c>
    </row>
    <row r="604">
      <c r="A604" t="n">
        <v>168589</v>
      </c>
      <c r="B604" t="n">
        <v>128</v>
      </c>
      <c r="C604" t="inlineStr">
        <is>
          <t>Love Cabaret</t>
        </is>
      </c>
      <c r="D604" t="inlineStr">
        <is>
          <t xml:space="preserve">HNK BR INDUSTRIA DE BEBIDAS </t>
        </is>
      </c>
      <c r="E604" t="n">
        <v>408.47</v>
      </c>
      <c r="F604" s="27" t="n">
        <v>45958</v>
      </c>
      <c r="G604" s="27" t="n">
        <v>45957</v>
      </c>
      <c r="H604" s="27" t="n">
        <v>45957</v>
      </c>
      <c r="I604" s="27" t="n">
        <v>45944</v>
      </c>
      <c r="J604" s="27" t="n">
        <v>45947</v>
      </c>
      <c r="K604" t="inlineStr">
        <is>
          <t>Boleto Bancário</t>
        </is>
      </c>
      <c r="L604" t="inlineStr">
        <is>
          <t>Custo Mercadoria Vendida</t>
        </is>
      </c>
      <c r="M604" t="inlineStr">
        <is>
          <t>Insumos - Bebidas</t>
        </is>
      </c>
      <c r="N604" t="inlineStr">
        <is>
          <t>78213</t>
        </is>
      </c>
      <c r="O604" t="inlineStr">
        <is>
          <t>Documentação Aprovada</t>
        </is>
      </c>
      <c r="P604" t="inlineStr">
        <is>
          <t>Aprovado Diretoria</t>
        </is>
      </c>
      <c r="Q604" t="inlineStr">
        <is>
          <t>Aprovado Caixa</t>
        </is>
      </c>
      <c r="R604" t="inlineStr">
        <is>
          <t>Pago</t>
        </is>
      </c>
      <c r="S604" t="n">
        <v>182</v>
      </c>
      <c r="T604" t="inlineStr">
        <is>
          <t>Love - Shibari - Kamino</t>
        </is>
      </c>
    </row>
    <row r="605">
      <c r="A605" t="n">
        <v>168592</v>
      </c>
      <c r="B605" t="n">
        <v>128</v>
      </c>
      <c r="C605" t="inlineStr">
        <is>
          <t>Love Cabaret</t>
        </is>
      </c>
      <c r="D605" t="inlineStr">
        <is>
          <t xml:space="preserve">HNK BR INDUSTRIA DE BEBIDAS </t>
        </is>
      </c>
      <c r="E605" t="n">
        <v>697.41</v>
      </c>
      <c r="F605" s="27" t="n">
        <v>45959</v>
      </c>
      <c r="G605" s="27" t="n">
        <v>45957</v>
      </c>
      <c r="H605" s="27" t="n">
        <v>45957</v>
      </c>
      <c r="I605" s="27" t="n">
        <v>45944</v>
      </c>
      <c r="J605" s="27" t="n">
        <v>45947</v>
      </c>
      <c r="K605" t="inlineStr">
        <is>
          <t>Boleto Bancário</t>
        </is>
      </c>
      <c r="L605" t="inlineStr">
        <is>
          <t>Custo Mercadoria Vendida</t>
        </is>
      </c>
      <c r="M605" t="inlineStr">
        <is>
          <t>Insumos - Bebidas</t>
        </is>
      </c>
      <c r="N605" t="inlineStr">
        <is>
          <t>78167</t>
        </is>
      </c>
      <c r="O605" t="inlineStr">
        <is>
          <t>Documentação Aprovada</t>
        </is>
      </c>
      <c r="P605" t="inlineStr">
        <is>
          <t>Aprovado Diretoria</t>
        </is>
      </c>
      <c r="Q605" t="inlineStr">
        <is>
          <t>Aprovado Caixa</t>
        </is>
      </c>
      <c r="R605" t="inlineStr">
        <is>
          <t>Pago</t>
        </is>
      </c>
      <c r="S605" t="n">
        <v>182</v>
      </c>
      <c r="T605" t="inlineStr">
        <is>
          <t>Love - Shibari - Kamino</t>
        </is>
      </c>
    </row>
    <row r="606">
      <c r="A606" t="n">
        <v>168085</v>
      </c>
      <c r="B606" t="n">
        <v>128</v>
      </c>
      <c r="C606" t="inlineStr">
        <is>
          <t>Love Cabaret</t>
        </is>
      </c>
      <c r="D606" t="inlineStr">
        <is>
          <t>CEM ENGENHARIA DA MANUTENCAO LTDA</t>
        </is>
      </c>
      <c r="E606" t="n">
        <v>1591.46</v>
      </c>
      <c r="F606" s="27" t="n">
        <v>45959</v>
      </c>
      <c r="G606" s="27" t="n">
        <v>45957</v>
      </c>
      <c r="H606" s="27" t="n">
        <v>45957</v>
      </c>
      <c r="I606" s="27" t="n">
        <v>45944</v>
      </c>
      <c r="J606" s="27" t="n">
        <v>45946</v>
      </c>
      <c r="K606" t="inlineStr">
        <is>
          <t>Boleto Bancário</t>
        </is>
      </c>
      <c r="L606" t="inlineStr">
        <is>
          <t>Manutenção</t>
        </is>
      </c>
      <c r="M606" t="inlineStr">
        <is>
          <t>Material de Manutenção</t>
        </is>
      </c>
      <c r="N606" t="inlineStr">
        <is>
          <t>2699</t>
        </is>
      </c>
      <c r="O606" t="inlineStr">
        <is>
          <t>Documentação Aprovada</t>
        </is>
      </c>
      <c r="P606" t="inlineStr">
        <is>
          <t>Aprovado Diretoria</t>
        </is>
      </c>
      <c r="Q606" t="inlineStr">
        <is>
          <t>Aprovado Caixa</t>
        </is>
      </c>
      <c r="R606" t="inlineStr">
        <is>
          <t>Pago</t>
        </is>
      </c>
      <c r="S606" t="n">
        <v>182</v>
      </c>
      <c r="T606" t="inlineStr">
        <is>
          <t>Love - Shibari - Kamino</t>
        </is>
      </c>
    </row>
    <row r="607">
      <c r="A607" t="n">
        <v>168151</v>
      </c>
      <c r="B607" t="n">
        <v>128</v>
      </c>
      <c r="C607" t="inlineStr">
        <is>
          <t>Love Cabaret</t>
        </is>
      </c>
      <c r="D607" t="inlineStr">
        <is>
          <t>WPP COMERCIO DE CARNES LTDA</t>
        </is>
      </c>
      <c r="E607" t="n">
        <v>167.86</v>
      </c>
      <c r="F607" s="27" t="n">
        <v>45959</v>
      </c>
      <c r="G607" s="27" t="n">
        <v>45957</v>
      </c>
      <c r="H607" s="27" t="n">
        <v>45957</v>
      </c>
      <c r="I607" s="27" t="n">
        <v>45945</v>
      </c>
      <c r="J607" s="27" t="n">
        <v>45946</v>
      </c>
      <c r="K607" t="inlineStr">
        <is>
          <t>Boleto Bancário</t>
        </is>
      </c>
      <c r="L607" t="inlineStr">
        <is>
          <t>Custo Mercadoria Vendida</t>
        </is>
      </c>
      <c r="M607" t="inlineStr">
        <is>
          <t>Insumos - Alimentos</t>
        </is>
      </c>
      <c r="N607" t="inlineStr">
        <is>
          <t>74988</t>
        </is>
      </c>
      <c r="O607" t="inlineStr">
        <is>
          <t>Documentação Aprovada</t>
        </is>
      </c>
      <c r="P607" t="inlineStr">
        <is>
          <t>Aprovado Diretoria</t>
        </is>
      </c>
      <c r="Q607" t="inlineStr">
        <is>
          <t>Aprovado Caixa</t>
        </is>
      </c>
      <c r="R607" t="inlineStr">
        <is>
          <t>Pago</t>
        </is>
      </c>
      <c r="S607" t="n">
        <v>182</v>
      </c>
      <c r="T607" t="inlineStr">
        <is>
          <t>Love - Shibari - Kamino</t>
        </is>
      </c>
    </row>
    <row r="608">
      <c r="A608" t="n">
        <v>168160</v>
      </c>
      <c r="B608" t="n">
        <v>128</v>
      </c>
      <c r="C608" t="inlineStr">
        <is>
          <t>Love Cabaret</t>
        </is>
      </c>
      <c r="D608" t="inlineStr">
        <is>
          <t>ASSAZ ORGANICA INDUSTRIA E COMERCIO DE ALIMENTOS LTDA</t>
        </is>
      </c>
      <c r="E608" t="n">
        <v>18.5</v>
      </c>
      <c r="F608" s="27" t="n">
        <v>45959</v>
      </c>
      <c r="G608" s="27" t="n">
        <v>45957</v>
      </c>
      <c r="H608" s="27" t="n">
        <v>45957</v>
      </c>
      <c r="I608" s="27" t="n">
        <v>45944</v>
      </c>
      <c r="J608" s="27" t="n">
        <v>45946</v>
      </c>
      <c r="K608" t="inlineStr">
        <is>
          <t>Boleto Bancário</t>
        </is>
      </c>
      <c r="L608" t="inlineStr">
        <is>
          <t>Custo Mercadoria Vendida</t>
        </is>
      </c>
      <c r="M608" t="inlineStr">
        <is>
          <t>Insumos - Alimentos</t>
        </is>
      </c>
      <c r="N608" t="inlineStr">
        <is>
          <t>23767</t>
        </is>
      </c>
      <c r="O608" t="inlineStr">
        <is>
          <t>Documentação Aprovada</t>
        </is>
      </c>
      <c r="P608" t="inlineStr">
        <is>
          <t>Aprovado Diretoria</t>
        </is>
      </c>
      <c r="Q608" t="inlineStr">
        <is>
          <t>Aprovado Caixa</t>
        </is>
      </c>
      <c r="R608" t="inlineStr">
        <is>
          <t>Pago</t>
        </is>
      </c>
      <c r="S608" t="n">
        <v>182</v>
      </c>
      <c r="T608" t="inlineStr">
        <is>
          <t>Love - Shibari - Kamino</t>
        </is>
      </c>
    </row>
    <row r="609">
      <c r="A609" t="n">
        <v>168161</v>
      </c>
      <c r="B609" t="n">
        <v>128</v>
      </c>
      <c r="C609" t="inlineStr">
        <is>
          <t>Love Cabaret</t>
        </is>
      </c>
      <c r="D609" t="inlineStr">
        <is>
          <t>WPP COMERCIO DE CARNES LTDA</t>
        </is>
      </c>
      <c r="E609" t="n">
        <v>978.65</v>
      </c>
      <c r="F609" s="27" t="n">
        <v>45957</v>
      </c>
      <c r="G609" s="27" t="n">
        <v>45957</v>
      </c>
      <c r="H609" s="27" t="n">
        <v>45957</v>
      </c>
      <c r="I609" s="27" t="n">
        <v>45943</v>
      </c>
      <c r="J609" s="27" t="n">
        <v>45946</v>
      </c>
      <c r="K609" t="inlineStr">
        <is>
          <t>Boleto Bancário</t>
        </is>
      </c>
      <c r="L609" t="inlineStr">
        <is>
          <t>Custo Mercadoria Vendida</t>
        </is>
      </c>
      <c r="M609" t="inlineStr">
        <is>
          <t>Insumos - Alimentos</t>
        </is>
      </c>
      <c r="N609" t="inlineStr">
        <is>
          <t>74936</t>
        </is>
      </c>
      <c r="O609" t="inlineStr">
        <is>
          <t>Documentação Aprovada</t>
        </is>
      </c>
      <c r="P609" t="inlineStr">
        <is>
          <t>Aprovado Diretoria</t>
        </is>
      </c>
      <c r="Q609" t="inlineStr">
        <is>
          <t>Aprovado Caixa</t>
        </is>
      </c>
      <c r="R609" t="inlineStr">
        <is>
          <t>Pago</t>
        </is>
      </c>
      <c r="S609" t="n">
        <v>182</v>
      </c>
      <c r="T609" t="inlineStr">
        <is>
          <t>Love - Shibari - Kamino</t>
        </is>
      </c>
    </row>
    <row r="610">
      <c r="A610" t="n">
        <v>166064</v>
      </c>
      <c r="B610" t="n">
        <v>128</v>
      </c>
      <c r="C610" t="inlineStr">
        <is>
          <t>Love Cabaret</t>
        </is>
      </c>
      <c r="D610" t="inlineStr">
        <is>
          <t>FG7 COMERCIO E DISTRIBUICAO DE BEBIDAS LTDA</t>
        </is>
      </c>
      <c r="E610" t="n">
        <v>1093.5</v>
      </c>
      <c r="F610" s="27" t="n">
        <v>45958</v>
      </c>
      <c r="G610" s="27" t="n">
        <v>45957</v>
      </c>
      <c r="H610" s="27" t="n">
        <v>45957</v>
      </c>
      <c r="I610" s="27" t="n">
        <v>45936</v>
      </c>
      <c r="J610" s="27" t="n">
        <v>45938</v>
      </c>
      <c r="K610" t="inlineStr">
        <is>
          <t>Boleto Bancário</t>
        </is>
      </c>
      <c r="L610" t="inlineStr">
        <is>
          <t>Custo Mercadoria Vendida</t>
        </is>
      </c>
      <c r="M610" t="inlineStr">
        <is>
          <t>Insumos - Bebidas</t>
        </is>
      </c>
      <c r="N610" t="inlineStr">
        <is>
          <t>681228</t>
        </is>
      </c>
      <c r="O610" t="inlineStr">
        <is>
          <t>Documentação Aprovada</t>
        </is>
      </c>
      <c r="P610" t="inlineStr">
        <is>
          <t>Aprovado Diretoria</t>
        </is>
      </c>
      <c r="Q610" t="inlineStr">
        <is>
          <t>Aprovado Caixa</t>
        </is>
      </c>
      <c r="R610" t="inlineStr">
        <is>
          <t>Pago</t>
        </is>
      </c>
      <c r="S610" t="n">
        <v>182</v>
      </c>
      <c r="T610" t="inlineStr">
        <is>
          <t>Love - Shibari - Kamino</t>
        </is>
      </c>
    </row>
    <row r="611">
      <c r="A611" t="n">
        <v>166069</v>
      </c>
      <c r="B611" t="n">
        <v>128</v>
      </c>
      <c r="C611" t="inlineStr">
        <is>
          <t>Love Cabaret</t>
        </is>
      </c>
      <c r="D611" t="inlineStr">
        <is>
          <t>CG FOOD´S DISTRIBUIDORA DE ALIMENTOS LTDA</t>
        </is>
      </c>
      <c r="E611" t="n">
        <v>319.7</v>
      </c>
      <c r="F611" s="27" t="n">
        <v>45957</v>
      </c>
      <c r="G611" s="27" t="n">
        <v>45957</v>
      </c>
      <c r="H611" s="27" t="n">
        <v>45957</v>
      </c>
      <c r="I611" s="27" t="n">
        <v>45936</v>
      </c>
      <c r="J611" s="27" t="n">
        <v>45938</v>
      </c>
      <c r="K611" t="inlineStr">
        <is>
          <t>Boleto Bancário</t>
        </is>
      </c>
      <c r="L611" t="inlineStr">
        <is>
          <t>Custo Mercadoria Vendida</t>
        </is>
      </c>
      <c r="M611" t="inlineStr">
        <is>
          <t>Insumos - Alimentos</t>
        </is>
      </c>
      <c r="N611" t="inlineStr">
        <is>
          <t>166634</t>
        </is>
      </c>
      <c r="O611" t="inlineStr">
        <is>
          <t>Documentação Aprovada</t>
        </is>
      </c>
      <c r="P611" t="inlineStr">
        <is>
          <t>Aprovado Diretoria</t>
        </is>
      </c>
      <c r="Q611" t="inlineStr">
        <is>
          <t>Aprovado Caixa</t>
        </is>
      </c>
      <c r="R611" t="inlineStr">
        <is>
          <t>Pago</t>
        </is>
      </c>
      <c r="S611" t="n">
        <v>182</v>
      </c>
      <c r="T611" t="inlineStr">
        <is>
          <t>Love - Shibari - Kamino</t>
        </is>
      </c>
    </row>
    <row r="612">
      <c r="A612" t="n">
        <v>166060</v>
      </c>
      <c r="B612" t="n">
        <v>128</v>
      </c>
      <c r="C612" t="inlineStr">
        <is>
          <t>Love Cabaret</t>
        </is>
      </c>
      <c r="D612" t="inlineStr">
        <is>
          <t>MURILLO S DUARTE COMERCIAL LTDA</t>
        </is>
      </c>
      <c r="E612" t="n">
        <v>905.34</v>
      </c>
      <c r="F612" s="27" t="n">
        <v>45957</v>
      </c>
      <c r="G612" s="27" t="n">
        <v>45957</v>
      </c>
      <c r="H612" s="27" t="n">
        <v>45957</v>
      </c>
      <c r="I612" s="27" t="n">
        <v>45929</v>
      </c>
      <c r="J612" s="27" t="n">
        <v>45938</v>
      </c>
      <c r="K612" t="inlineStr">
        <is>
          <t>Boleto Bancário</t>
        </is>
      </c>
      <c r="L612" t="inlineStr">
        <is>
          <t>Custo Mercadoria Vendida</t>
        </is>
      </c>
      <c r="M612" t="inlineStr">
        <is>
          <t>Insumos - Alimentos</t>
        </is>
      </c>
      <c r="N612" t="inlineStr">
        <is>
          <t>2205</t>
        </is>
      </c>
      <c r="O612" t="inlineStr">
        <is>
          <t>Documentação Aprovada</t>
        </is>
      </c>
      <c r="P612" t="inlineStr">
        <is>
          <t>Aprovado Diretoria</t>
        </is>
      </c>
      <c r="Q612" t="inlineStr">
        <is>
          <t>Aprovado Caixa</t>
        </is>
      </c>
      <c r="R612" t="inlineStr">
        <is>
          <t>Pago</t>
        </is>
      </c>
      <c r="S612" t="n">
        <v>182</v>
      </c>
      <c r="T612" t="inlineStr">
        <is>
          <t>Love - Shibari - Kamino</t>
        </is>
      </c>
    </row>
    <row r="613">
      <c r="A613" t="n">
        <v>169173</v>
      </c>
      <c r="B613" t="n">
        <v>128</v>
      </c>
      <c r="C613" t="inlineStr">
        <is>
          <t>Love Cabaret</t>
        </is>
      </c>
      <c r="D613" t="inlineStr">
        <is>
          <t>FLAVIO RODRIGUES DE MOURA</t>
        </is>
      </c>
      <c r="E613" t="n">
        <v>600</v>
      </c>
      <c r="F613" s="27" t="n">
        <v>45957</v>
      </c>
      <c r="G613" s="27" t="n">
        <v>45957</v>
      </c>
      <c r="H613" s="27" t="n">
        <v>45957</v>
      </c>
      <c r="I613" s="27" t="n">
        <v>45931</v>
      </c>
      <c r="J613" s="27" t="n">
        <v>45952</v>
      </c>
      <c r="K613" t="inlineStr">
        <is>
          <t>Transferência Bancária ou Pix</t>
        </is>
      </c>
      <c r="L613" t="inlineStr">
        <is>
          <t>Custos Artístico Geral</t>
        </is>
      </c>
      <c r="M613" t="inlineStr">
        <is>
          <t>Cachê de Músicos e Artistas</t>
        </is>
      </c>
      <c r="N613" t="inlineStr">
        <is>
          <t>600102025</t>
        </is>
      </c>
      <c r="O613" t="inlineStr">
        <is>
          <t>Documentação Aprovada</t>
        </is>
      </c>
      <c r="P613" t="inlineStr">
        <is>
          <t>Aprovado Diretoria</t>
        </is>
      </c>
      <c r="Q613" t="inlineStr">
        <is>
          <t>Aprovado Caixa</t>
        </is>
      </c>
      <c r="R613" t="inlineStr">
        <is>
          <t>Pago</t>
        </is>
      </c>
      <c r="S613" t="n">
        <v>182</v>
      </c>
      <c r="T613" t="inlineStr">
        <is>
          <t>Love - Shibari - Kamino</t>
        </is>
      </c>
    </row>
    <row r="614">
      <c r="A614" t="n">
        <v>164536</v>
      </c>
      <c r="B614" t="n">
        <v>128</v>
      </c>
      <c r="C614" t="inlineStr">
        <is>
          <t>Love Cabaret</t>
        </is>
      </c>
      <c r="D614" t="inlineStr">
        <is>
          <t xml:space="preserve">HORTIFRUTI DO CHEF LTDA </t>
        </is>
      </c>
      <c r="E614" t="n">
        <v>138.17</v>
      </c>
      <c r="F614" s="27" t="n">
        <v>45957</v>
      </c>
      <c r="G614" s="27" t="n">
        <v>45957</v>
      </c>
      <c r="H614" s="27" t="n">
        <v>45957</v>
      </c>
      <c r="I614" s="27" t="n">
        <v>45929</v>
      </c>
      <c r="J614" s="27" t="n">
        <v>45932</v>
      </c>
      <c r="K614" t="inlineStr">
        <is>
          <t>Boleto Bancário</t>
        </is>
      </c>
      <c r="L614" t="inlineStr">
        <is>
          <t>Custo Mercadoria Vendida</t>
        </is>
      </c>
      <c r="M614" t="inlineStr">
        <is>
          <t>Insumos - Alimentos</t>
        </is>
      </c>
      <c r="N614" t="inlineStr">
        <is>
          <t>28007</t>
        </is>
      </c>
      <c r="O614" t="inlineStr">
        <is>
          <t>Documentação Aprovada</t>
        </is>
      </c>
      <c r="P614" t="inlineStr">
        <is>
          <t>Aprovado Diretoria</t>
        </is>
      </c>
      <c r="Q614" t="inlineStr">
        <is>
          <t>Aprovado Caixa</t>
        </is>
      </c>
      <c r="R614" t="inlineStr">
        <is>
          <t>Pago</t>
        </is>
      </c>
      <c r="S614" t="n">
        <v>182</v>
      </c>
      <c r="T614" t="inlineStr">
        <is>
          <t>Love - Shibari - Kamino</t>
        </is>
      </c>
    </row>
    <row r="615">
      <c r="A615" t="n">
        <v>164555</v>
      </c>
      <c r="B615" t="n">
        <v>128</v>
      </c>
      <c r="C615" t="inlineStr">
        <is>
          <t>Love Cabaret</t>
        </is>
      </c>
      <c r="D615" t="inlineStr">
        <is>
          <t>DTK COMERCIO DE ALIMENTOS LTDA</t>
        </is>
      </c>
      <c r="E615" t="n">
        <v>686.48</v>
      </c>
      <c r="F615" s="27" t="n">
        <v>45957</v>
      </c>
      <c r="G615" s="27" t="n">
        <v>45957</v>
      </c>
      <c r="H615" s="27" t="n">
        <v>45957</v>
      </c>
      <c r="I615" s="27" t="n">
        <v>45929</v>
      </c>
      <c r="J615" s="27" t="n">
        <v>45932</v>
      </c>
      <c r="K615" t="inlineStr">
        <is>
          <t>Boleto Bancário</t>
        </is>
      </c>
      <c r="L615" t="inlineStr">
        <is>
          <t>Custo Mercadoria Vendida</t>
        </is>
      </c>
      <c r="M615" t="inlineStr">
        <is>
          <t>Insumos - Alimentos</t>
        </is>
      </c>
      <c r="N615" t="inlineStr">
        <is>
          <t>45676</t>
        </is>
      </c>
      <c r="O615" t="inlineStr">
        <is>
          <t>Documentação Aprovada</t>
        </is>
      </c>
      <c r="P615" t="inlineStr">
        <is>
          <t>Aprovado Diretoria</t>
        </is>
      </c>
      <c r="Q615" t="inlineStr">
        <is>
          <t>Aprovado Caixa</t>
        </is>
      </c>
      <c r="R615" t="inlineStr">
        <is>
          <t>Pago</t>
        </is>
      </c>
      <c r="S615" t="n">
        <v>182</v>
      </c>
      <c r="T615" t="inlineStr">
        <is>
          <t>Love - Shibari - Kamino</t>
        </is>
      </c>
    </row>
    <row r="616">
      <c r="A616" t="n">
        <v>164589</v>
      </c>
      <c r="B616" t="n">
        <v>128</v>
      </c>
      <c r="C616" t="inlineStr">
        <is>
          <t>Love Cabaret</t>
        </is>
      </c>
      <c r="D616" t="inlineStr">
        <is>
          <t>CEPEL COMERCIO DE PAPEIS E EMBALAGENS LTDA</t>
        </is>
      </c>
      <c r="E616" t="n">
        <v>450</v>
      </c>
      <c r="F616" s="27" t="n">
        <v>45957</v>
      </c>
      <c r="G616" s="27" t="n">
        <v>45957</v>
      </c>
      <c r="H616" s="27" t="n">
        <v>45957</v>
      </c>
      <c r="I616" s="27" t="n">
        <v>45929</v>
      </c>
      <c r="J616" s="27" t="n">
        <v>45932</v>
      </c>
      <c r="K616" t="inlineStr">
        <is>
          <t>Boleto Bancário</t>
        </is>
      </c>
      <c r="L616" t="inlineStr">
        <is>
          <t>Utilidades</t>
        </is>
      </c>
      <c r="M616" t="inlineStr">
        <is>
          <t>Higiene e Limpeza</t>
        </is>
      </c>
      <c r="N616" t="inlineStr">
        <is>
          <t>249590</t>
        </is>
      </c>
      <c r="O616" t="inlineStr">
        <is>
          <t>Documentação Aprovada</t>
        </is>
      </c>
      <c r="P616" t="inlineStr">
        <is>
          <t>Aprovado Diretoria</t>
        </is>
      </c>
      <c r="Q616" t="inlineStr">
        <is>
          <t>Aprovado Caixa</t>
        </is>
      </c>
      <c r="R616" t="inlineStr">
        <is>
          <t>Pago</t>
        </is>
      </c>
      <c r="S616" t="n">
        <v>182</v>
      </c>
      <c r="T616" t="inlineStr">
        <is>
          <t>Love - Shibari - Kamino</t>
        </is>
      </c>
    </row>
    <row r="617">
      <c r="A617" t="n">
        <v>164540</v>
      </c>
      <c r="B617" t="n">
        <v>128</v>
      </c>
      <c r="C617" t="inlineStr">
        <is>
          <t>Love Cabaret</t>
        </is>
      </c>
      <c r="D617" t="inlineStr">
        <is>
          <t>FG7 COMERCIO E DISTRIBUICAO DE BEBIDAS LTDA</t>
        </is>
      </c>
      <c r="E617" t="n">
        <v>2603.64</v>
      </c>
      <c r="F617" s="27" t="n">
        <v>45958</v>
      </c>
      <c r="G617" s="27" t="n">
        <v>45957</v>
      </c>
      <c r="H617" s="27" t="n">
        <v>45957</v>
      </c>
      <c r="I617" s="27" t="n">
        <v>45929</v>
      </c>
      <c r="J617" s="27" t="n">
        <v>45932</v>
      </c>
      <c r="K617" t="inlineStr">
        <is>
          <t>Boleto Bancário</t>
        </is>
      </c>
      <c r="L617" t="inlineStr">
        <is>
          <t>Custo Mercadoria Vendida</t>
        </is>
      </c>
      <c r="M617" t="inlineStr">
        <is>
          <t>Insumos - Bebidas</t>
        </is>
      </c>
      <c r="N617" t="inlineStr">
        <is>
          <t>677796</t>
        </is>
      </c>
      <c r="O617" t="inlineStr">
        <is>
          <t>Documentação Aprovada</t>
        </is>
      </c>
      <c r="P617" t="inlineStr">
        <is>
          <t>Aprovado Diretoria</t>
        </is>
      </c>
      <c r="Q617" t="inlineStr">
        <is>
          <t>Aprovado Caixa</t>
        </is>
      </c>
      <c r="R617" t="inlineStr">
        <is>
          <t>Pago</t>
        </is>
      </c>
      <c r="S617" t="n">
        <v>182</v>
      </c>
      <c r="T617" t="inlineStr">
        <is>
          <t>Love - Shibari - Kamino</t>
        </is>
      </c>
    </row>
    <row r="618">
      <c r="A618" t="n">
        <v>171535</v>
      </c>
      <c r="B618" t="n">
        <v>128</v>
      </c>
      <c r="C618" t="inlineStr">
        <is>
          <t>Love Cabaret</t>
        </is>
      </c>
      <c r="D618" t="inlineStr">
        <is>
          <t xml:space="preserve">KAMINO INSTITUICAO DE PAGAMENTO LTDA </t>
        </is>
      </c>
      <c r="E618" t="n">
        <v>0.5</v>
      </c>
      <c r="F618" s="27" t="n">
        <v>45957</v>
      </c>
      <c r="G618" s="27" t="n"/>
      <c r="H618" s="27" t="n">
        <v>45957</v>
      </c>
      <c r="I618" s="27" t="n">
        <v>45957</v>
      </c>
      <c r="J618" s="27" t="n"/>
      <c r="K618" t="inlineStr">
        <is>
          <t xml:space="preserve">Debito Automático </t>
        </is>
      </c>
      <c r="L618" t="inlineStr">
        <is>
          <t>Despesas Financeiras</t>
        </is>
      </c>
      <c r="M618" t="inlineStr">
        <is>
          <t>Tarifas Bancárias</t>
        </is>
      </c>
      <c r="O618" t="inlineStr">
        <is>
          <t>Documentação Aprovada</t>
        </is>
      </c>
      <c r="P618" t="inlineStr">
        <is>
          <t>Aprovado Diretoria</t>
        </is>
      </c>
      <c r="Q618" t="inlineStr">
        <is>
          <t>Aprovado Caixa</t>
        </is>
      </c>
      <c r="R618" t="inlineStr">
        <is>
          <t>Pago</t>
        </is>
      </c>
      <c r="S618" t="n">
        <v>182</v>
      </c>
      <c r="T618" t="inlineStr">
        <is>
          <t>Love - Shibari - Kamino</t>
        </is>
      </c>
    </row>
    <row r="619">
      <c r="A619" t="n">
        <v>48481</v>
      </c>
      <c r="B619" t="n">
        <v>128</v>
      </c>
      <c r="C619" t="inlineStr">
        <is>
          <t>Love Cabaret</t>
        </is>
      </c>
      <c r="D619" t="inlineStr">
        <is>
          <t>ICMS</t>
        </is>
      </c>
      <c r="E619" t="n">
        <v>822.97</v>
      </c>
      <c r="F619" s="27" t="n">
        <v>45958</v>
      </c>
      <c r="G619" s="27" t="n">
        <v>45957</v>
      </c>
      <c r="H619" s="27" t="n">
        <v>45957</v>
      </c>
      <c r="I619" s="27" t="n">
        <v>45366</v>
      </c>
      <c r="J619" s="27" t="n"/>
      <c r="K619" t="inlineStr">
        <is>
          <t>Boleto Bancário</t>
        </is>
      </c>
      <c r="L619" t="inlineStr">
        <is>
          <t>Endividamento</t>
        </is>
      </c>
      <c r="M619" t="inlineStr">
        <is>
          <t>Endividamento Geral</t>
        </is>
      </c>
      <c r="N619" t="inlineStr">
        <is>
          <t>19/60</t>
        </is>
      </c>
      <c r="O619" t="inlineStr">
        <is>
          <t>Documentação Aprovada</t>
        </is>
      </c>
      <c r="P619" t="inlineStr">
        <is>
          <t>Aprovado Diretoria</t>
        </is>
      </c>
      <c r="Q619" t="inlineStr">
        <is>
          <t>Aprovado Caixa</t>
        </is>
      </c>
      <c r="R619" t="inlineStr">
        <is>
          <t>Pago</t>
        </is>
      </c>
      <c r="S619" t="n">
        <v>182</v>
      </c>
      <c r="T619" t="inlineStr">
        <is>
          <t>Love - Shibari - Kamino</t>
        </is>
      </c>
    </row>
    <row r="620">
      <c r="A620" t="n">
        <v>48428</v>
      </c>
      <c r="B620" t="n">
        <v>128</v>
      </c>
      <c r="C620" t="inlineStr">
        <is>
          <t>Love Cabaret</t>
        </is>
      </c>
      <c r="D620" t="inlineStr">
        <is>
          <t xml:space="preserve">MINISTERIO DA FAZENDA </t>
        </is>
      </c>
      <c r="E620" t="n">
        <v>604.58</v>
      </c>
      <c r="F620" s="27" t="n">
        <v>45958</v>
      </c>
      <c r="G620" s="27" t="n">
        <v>45957</v>
      </c>
      <c r="H620" s="27" t="n">
        <v>45957</v>
      </c>
      <c r="I620" s="27" t="n">
        <v>45366</v>
      </c>
      <c r="J620" s="27" t="n"/>
      <c r="K620" t="inlineStr">
        <is>
          <t>Boleto Bancário</t>
        </is>
      </c>
      <c r="L620" t="inlineStr">
        <is>
          <t>Endividamento</t>
        </is>
      </c>
      <c r="M620" t="inlineStr">
        <is>
          <t>Endividamento Geral</t>
        </is>
      </c>
      <c r="N620" t="inlineStr">
        <is>
          <t>20/45</t>
        </is>
      </c>
      <c r="O620" t="inlineStr">
        <is>
          <t>Documentação Aprovada</t>
        </is>
      </c>
      <c r="P620" t="inlineStr">
        <is>
          <t>Aprovado Diretoria</t>
        </is>
      </c>
      <c r="Q620" t="inlineStr">
        <is>
          <t>Aprovado Caixa</t>
        </is>
      </c>
      <c r="R620" t="inlineStr">
        <is>
          <t>Pago</t>
        </is>
      </c>
      <c r="S620" t="n">
        <v>182</v>
      </c>
      <c r="T620" t="inlineStr">
        <is>
          <t>Love - Shibari - Kamino</t>
        </is>
      </c>
    </row>
    <row r="621">
      <c r="A621" t="n">
        <v>51160</v>
      </c>
      <c r="B621" t="n">
        <v>128</v>
      </c>
      <c r="C621" t="inlineStr">
        <is>
          <t>Love Cabaret</t>
        </is>
      </c>
      <c r="D621" t="inlineStr">
        <is>
          <t>ICMS</t>
        </is>
      </c>
      <c r="E621" t="n">
        <v>628.5</v>
      </c>
      <c r="F621" s="27" t="n">
        <v>45957</v>
      </c>
      <c r="G621" s="27" t="n">
        <v>45957</v>
      </c>
      <c r="H621" s="27" t="n">
        <v>45957</v>
      </c>
      <c r="I621" s="27" t="n">
        <v>45406</v>
      </c>
      <c r="J621" s="27" t="n"/>
      <c r="K621" t="inlineStr">
        <is>
          <t>Boleto Bancário</t>
        </is>
      </c>
      <c r="L621" t="inlineStr">
        <is>
          <t>Endividamento</t>
        </is>
      </c>
      <c r="M621" t="inlineStr">
        <is>
          <t>Endividamento Geral</t>
        </is>
      </c>
      <c r="N621" t="inlineStr">
        <is>
          <t>18/36</t>
        </is>
      </c>
      <c r="O621" t="inlineStr">
        <is>
          <t>Documentação Aprovada</t>
        </is>
      </c>
      <c r="P621" t="inlineStr">
        <is>
          <t>Aprovado Diretoria</t>
        </is>
      </c>
      <c r="Q621" t="inlineStr">
        <is>
          <t>Aprovado Caixa</t>
        </is>
      </c>
      <c r="R621" t="inlineStr">
        <is>
          <t>Pago</t>
        </is>
      </c>
      <c r="S621" t="n">
        <v>182</v>
      </c>
      <c r="T621" t="inlineStr">
        <is>
          <t>Love - Shibari - Kamino</t>
        </is>
      </c>
    </row>
    <row r="622">
      <c r="A622" t="n">
        <v>96903</v>
      </c>
      <c r="B622" t="n">
        <v>128</v>
      </c>
      <c r="C622" t="inlineStr">
        <is>
          <t>Love Cabaret</t>
        </is>
      </c>
      <c r="D622" t="inlineStr">
        <is>
          <t>COMPANHIA DE GAS DE SAO PAULO</t>
        </is>
      </c>
      <c r="E622" t="n">
        <v>1994.47</v>
      </c>
      <c r="F622" s="27" t="n">
        <v>45956</v>
      </c>
      <c r="G622" s="27" t="n">
        <v>45957</v>
      </c>
      <c r="H622" s="27" t="n">
        <v>45957</v>
      </c>
      <c r="I622" s="27" t="n">
        <v>45940</v>
      </c>
      <c r="J622" s="27" t="n"/>
      <c r="K622" t="inlineStr">
        <is>
          <t>Boleto Bancário</t>
        </is>
      </c>
      <c r="L622" t="inlineStr">
        <is>
          <t>Utilidades</t>
        </is>
      </c>
      <c r="M622" t="inlineStr">
        <is>
          <t>Gas de Cozinha</t>
        </is>
      </c>
      <c r="N622" t="inlineStr">
        <is>
          <t>133084367</t>
        </is>
      </c>
      <c r="O622" t="inlineStr">
        <is>
          <t>Documentação Aprovada</t>
        </is>
      </c>
      <c r="P622" t="inlineStr">
        <is>
          <t>Aprovado Diretoria</t>
        </is>
      </c>
      <c r="Q622" t="inlineStr">
        <is>
          <t>Aprovado Caixa</t>
        </is>
      </c>
      <c r="R622" t="inlineStr">
        <is>
          <t>Pago</t>
        </is>
      </c>
      <c r="S622" t="n">
        <v>182</v>
      </c>
      <c r="T622" t="inlineStr">
        <is>
          <t>Love - Shibari - Kamino</t>
        </is>
      </c>
    </row>
    <row r="623">
      <c r="A623" t="n">
        <v>103001</v>
      </c>
      <c r="B623" t="n">
        <v>128</v>
      </c>
      <c r="C623" t="inlineStr">
        <is>
          <t>Love Cabaret</t>
        </is>
      </c>
      <c r="D623" t="inlineStr">
        <is>
          <t>TELEFONICA BRASIL S/A</t>
        </is>
      </c>
      <c r="E623" t="n">
        <v>487.66</v>
      </c>
      <c r="F623" s="27" t="n">
        <v>45957</v>
      </c>
      <c r="G623" s="27" t="n">
        <v>45957</v>
      </c>
      <c r="H623" s="27" t="n">
        <v>45957</v>
      </c>
      <c r="I623" s="27" t="n">
        <v>45947</v>
      </c>
      <c r="J623" s="27" t="n"/>
      <c r="K623" t="inlineStr">
        <is>
          <t>Boleto Bancário</t>
        </is>
      </c>
      <c r="L623" t="inlineStr">
        <is>
          <t>Informática e TI</t>
        </is>
      </c>
      <c r="M623" t="inlineStr">
        <is>
          <t>Internet</t>
        </is>
      </c>
      <c r="N623" t="inlineStr">
        <is>
          <t>0443318083</t>
        </is>
      </c>
      <c r="O623" t="inlineStr">
        <is>
          <t>Documentação Aprovada</t>
        </is>
      </c>
      <c r="P623" t="inlineStr">
        <is>
          <t>Aprovado Diretoria</t>
        </is>
      </c>
      <c r="Q623" t="inlineStr">
        <is>
          <t>Aprovado Caixa</t>
        </is>
      </c>
      <c r="R623" t="inlineStr">
        <is>
          <t>Pago</t>
        </is>
      </c>
      <c r="S623" t="n">
        <v>182</v>
      </c>
      <c r="T623" t="inlineStr">
        <is>
          <t>Love - Shibari - Kamino</t>
        </is>
      </c>
    </row>
    <row r="624">
      <c r="A624" t="n">
        <v>103014</v>
      </c>
      <c r="B624" t="n">
        <v>128</v>
      </c>
      <c r="C624" t="inlineStr">
        <is>
          <t>Love Cabaret</t>
        </is>
      </c>
      <c r="D624" t="inlineStr">
        <is>
          <t>TELEFONICA BRASIL S/A</t>
        </is>
      </c>
      <c r="E624" t="n">
        <v>21.71</v>
      </c>
      <c r="F624" s="27" t="n">
        <v>45957</v>
      </c>
      <c r="G624" s="27" t="n">
        <v>45957</v>
      </c>
      <c r="H624" s="27" t="n">
        <v>45957</v>
      </c>
      <c r="I624" s="27" t="n">
        <v>45917</v>
      </c>
      <c r="J624" s="27" t="n"/>
      <c r="K624" t="inlineStr">
        <is>
          <t>Boleto Bancário</t>
        </is>
      </c>
      <c r="L624" t="inlineStr">
        <is>
          <t>Informática e TI</t>
        </is>
      </c>
      <c r="M624" t="inlineStr">
        <is>
          <t>Internet</t>
        </is>
      </c>
      <c r="N624" t="inlineStr">
        <is>
          <t>0443836731</t>
        </is>
      </c>
      <c r="O624" t="inlineStr">
        <is>
          <t>Documentação Aprovada</t>
        </is>
      </c>
      <c r="P624" t="inlineStr">
        <is>
          <t>Aprovado Diretoria</t>
        </is>
      </c>
      <c r="Q624" t="inlineStr">
        <is>
          <t>Aprovado Caixa</t>
        </is>
      </c>
      <c r="R624" t="inlineStr">
        <is>
          <t>Pago</t>
        </is>
      </c>
      <c r="S624" t="n">
        <v>182</v>
      </c>
      <c r="T624" t="inlineStr">
        <is>
          <t>Love - Shibari - Kamino</t>
        </is>
      </c>
    </row>
    <row r="625">
      <c r="A625" t="n">
        <v>106705</v>
      </c>
      <c r="B625" t="n">
        <v>128</v>
      </c>
      <c r="C625" t="inlineStr">
        <is>
          <t>Love Cabaret</t>
        </is>
      </c>
      <c r="D625" t="inlineStr">
        <is>
          <t>AURORA ALVORADA ESTACIONAMENTO E LANCHONETE LTDA</t>
        </is>
      </c>
      <c r="E625" t="n">
        <v>310.03</v>
      </c>
      <c r="F625" s="27" t="n">
        <v>45957</v>
      </c>
      <c r="G625" s="27" t="n">
        <v>45957</v>
      </c>
      <c r="H625" s="27" t="n">
        <v>45957</v>
      </c>
      <c r="I625" s="27" t="n">
        <v>45950</v>
      </c>
      <c r="J625" s="27" t="n"/>
      <c r="K625" t="inlineStr">
        <is>
          <t>Boleto Bancário</t>
        </is>
      </c>
      <c r="L625" t="inlineStr">
        <is>
          <t>Custo Mercadoria Vendida</t>
        </is>
      </c>
      <c r="M625" t="inlineStr">
        <is>
          <t>Insumos - Alimentos</t>
        </is>
      </c>
      <c r="N625" t="inlineStr">
        <is>
          <t>11121</t>
        </is>
      </c>
      <c r="O625" t="inlineStr">
        <is>
          <t>Documentação Aprovada</t>
        </is>
      </c>
      <c r="P625" t="inlineStr">
        <is>
          <t>Aprovado Diretoria</t>
        </is>
      </c>
      <c r="Q625" t="inlineStr">
        <is>
          <t>Aprovado Caixa</t>
        </is>
      </c>
      <c r="R625" t="inlineStr">
        <is>
          <t>Pago</t>
        </is>
      </c>
      <c r="S625" t="n">
        <v>182</v>
      </c>
      <c r="T625" t="inlineStr">
        <is>
          <t>Love - Shibari - Kamino</t>
        </is>
      </c>
    </row>
    <row r="626">
      <c r="A626" t="n">
        <v>171541</v>
      </c>
      <c r="B626" t="n">
        <v>128</v>
      </c>
      <c r="C626" t="inlineStr">
        <is>
          <t>Love Cabaret</t>
        </is>
      </c>
      <c r="D626" t="inlineStr">
        <is>
          <t>BRADESCO SA</t>
        </is>
      </c>
      <c r="E626" t="n">
        <v>9.800000000000001</v>
      </c>
      <c r="F626" s="27" t="n">
        <v>45954</v>
      </c>
      <c r="G626" s="27" t="n"/>
      <c r="H626" s="27" t="n">
        <v>45954</v>
      </c>
      <c r="I626" s="27" t="n">
        <v>45954</v>
      </c>
      <c r="J626" s="27" t="n"/>
      <c r="K626" t="inlineStr">
        <is>
          <t xml:space="preserve">Debito Automático </t>
        </is>
      </c>
      <c r="L626" t="inlineStr">
        <is>
          <t>Despesas Financeiras</t>
        </is>
      </c>
      <c r="M626" t="inlineStr">
        <is>
          <t>Tarifas Bancárias</t>
        </is>
      </c>
      <c r="O626" t="inlineStr">
        <is>
          <t>Documentação Aprovada</t>
        </is>
      </c>
      <c r="P626" t="inlineStr">
        <is>
          <t>Aprovado Diretoria</t>
        </is>
      </c>
      <c r="Q626" t="inlineStr">
        <is>
          <t>Aprovado Caixa</t>
        </is>
      </c>
      <c r="R626" t="inlineStr">
        <is>
          <t>Pago</t>
        </is>
      </c>
      <c r="S626" t="n">
        <v>115</v>
      </c>
      <c r="T626" t="inlineStr">
        <is>
          <t>Love - Shibari - Bradesco</t>
        </is>
      </c>
    </row>
    <row r="627">
      <c r="A627" t="n">
        <v>170961</v>
      </c>
      <c r="B627" t="n">
        <v>128</v>
      </c>
      <c r="C627" t="inlineStr">
        <is>
          <t>Love Cabaret</t>
        </is>
      </c>
      <c r="D627" t="inlineStr">
        <is>
          <t>BRADESCO SA</t>
        </is>
      </c>
      <c r="E627" t="n">
        <v>9.800000000000001</v>
      </c>
      <c r="F627" s="27" t="n">
        <v>45952</v>
      </c>
      <c r="G627" s="27" t="n"/>
      <c r="H627" s="27" t="n">
        <v>45952</v>
      </c>
      <c r="I627" s="27" t="n">
        <v>45952</v>
      </c>
      <c r="J627" s="27" t="n"/>
      <c r="K627" t="inlineStr">
        <is>
          <t xml:space="preserve">Debito Automático </t>
        </is>
      </c>
      <c r="L627" t="inlineStr">
        <is>
          <t>Despesas Financeiras</t>
        </is>
      </c>
      <c r="M627" t="inlineStr">
        <is>
          <t>Tarifas Bancárias</t>
        </is>
      </c>
      <c r="O627" t="inlineStr">
        <is>
          <t>Documentação Aprovada</t>
        </is>
      </c>
      <c r="P627" t="inlineStr">
        <is>
          <t>Aprovado Diretoria</t>
        </is>
      </c>
      <c r="Q627" t="inlineStr">
        <is>
          <t>Aprovado Caixa</t>
        </is>
      </c>
      <c r="R627" t="inlineStr">
        <is>
          <t>Pago</t>
        </is>
      </c>
      <c r="S627" t="n">
        <v>115</v>
      </c>
      <c r="T627" t="inlineStr">
        <is>
          <t>Love - Shibari - Bradesco</t>
        </is>
      </c>
    </row>
    <row r="628">
      <c r="A628" t="n">
        <v>171046</v>
      </c>
      <c r="B628" t="n">
        <v>128</v>
      </c>
      <c r="C628" t="inlineStr">
        <is>
          <t>Love Cabaret</t>
        </is>
      </c>
      <c r="D628" t="inlineStr">
        <is>
          <t xml:space="preserve">KAMINO INSTITUICAO DE PAGAMENTO LTDA </t>
        </is>
      </c>
      <c r="E628" t="n">
        <v>1</v>
      </c>
      <c r="F628" s="27" t="n">
        <v>45952</v>
      </c>
      <c r="G628" s="27" t="n"/>
      <c r="H628" s="27" t="n">
        <v>45952</v>
      </c>
      <c r="I628" s="27" t="n">
        <v>45952</v>
      </c>
      <c r="J628" s="27" t="n"/>
      <c r="K628" t="inlineStr">
        <is>
          <t xml:space="preserve">Debito Automático </t>
        </is>
      </c>
      <c r="L628" t="inlineStr">
        <is>
          <t>Despesas Financeiras</t>
        </is>
      </c>
      <c r="M628" t="inlineStr">
        <is>
          <t>Tarifas Bancárias</t>
        </is>
      </c>
      <c r="O628" t="inlineStr">
        <is>
          <t>Documentação Aprovada</t>
        </is>
      </c>
      <c r="P628" t="inlineStr">
        <is>
          <t>Aprovado Diretoria</t>
        </is>
      </c>
      <c r="Q628" t="inlineStr">
        <is>
          <t>Aprovado Caixa</t>
        </is>
      </c>
      <c r="R628" t="inlineStr">
        <is>
          <t>Pago</t>
        </is>
      </c>
      <c r="S628" t="n">
        <v>182</v>
      </c>
      <c r="T628" t="inlineStr">
        <is>
          <t>Love - Shibari - Kamino</t>
        </is>
      </c>
    </row>
    <row r="629">
      <c r="A629" t="n">
        <v>135772</v>
      </c>
      <c r="B629" t="n">
        <v>128</v>
      </c>
      <c r="C629" t="inlineStr">
        <is>
          <t>Love Cabaret</t>
        </is>
      </c>
      <c r="D629" t="inlineStr">
        <is>
          <t xml:space="preserve">RD GESTAO E SISTEMAS S.A </t>
        </is>
      </c>
      <c r="E629" t="n">
        <v>939.03</v>
      </c>
      <c r="F629" s="27" t="n">
        <v>45937</v>
      </c>
      <c r="G629" s="27" t="n">
        <v>45937</v>
      </c>
      <c r="H629" s="27" t="n">
        <v>45952</v>
      </c>
      <c r="I629" s="27" t="n">
        <v>45930</v>
      </c>
      <c r="J629" s="27" t="n"/>
      <c r="K629" t="inlineStr">
        <is>
          <t>Transferência Bancária ou Pix</t>
        </is>
      </c>
      <c r="L629" t="inlineStr">
        <is>
          <t>Marketing</t>
        </is>
      </c>
      <c r="M629" t="inlineStr">
        <is>
          <t>Ferramentas de Marketing</t>
        </is>
      </c>
      <c r="N629" t="inlineStr">
        <is>
          <t>0032025</t>
        </is>
      </c>
      <c r="O629" t="inlineStr">
        <is>
          <t>Documentação Aprovada</t>
        </is>
      </c>
      <c r="P629" t="inlineStr">
        <is>
          <t>Aprovado Diretoria</t>
        </is>
      </c>
      <c r="Q629" t="inlineStr">
        <is>
          <t>Aprovado Caixa</t>
        </is>
      </c>
      <c r="R629" t="inlineStr">
        <is>
          <t>Pago</t>
        </is>
      </c>
      <c r="S629" t="n">
        <v>182</v>
      </c>
      <c r="T629" t="inlineStr">
        <is>
          <t>Love - Shibari - Kamino</t>
        </is>
      </c>
    </row>
    <row r="630">
      <c r="A630" t="n">
        <v>142651</v>
      </c>
      <c r="B630" t="n">
        <v>128</v>
      </c>
      <c r="C630" t="inlineStr">
        <is>
          <t>Love Cabaret</t>
        </is>
      </c>
      <c r="D630" t="inlineStr">
        <is>
          <t xml:space="preserve">DESTEC SOLUCOES LTDA </t>
        </is>
      </c>
      <c r="E630" t="n">
        <v>812.7</v>
      </c>
      <c r="F630" s="27" t="n">
        <v>45954</v>
      </c>
      <c r="G630" s="27" t="n">
        <v>45952</v>
      </c>
      <c r="H630" s="27" t="n">
        <v>45952</v>
      </c>
      <c r="I630" s="27" t="n">
        <v>45930</v>
      </c>
      <c r="J630" s="27" t="n"/>
      <c r="K630" t="inlineStr">
        <is>
          <t>Boleto Bancário</t>
        </is>
      </c>
      <c r="L630" t="inlineStr">
        <is>
          <t>Locação de Equipamentos</t>
        </is>
      </c>
      <c r="M630" t="inlineStr">
        <is>
          <t>Locações de Equipamentos - Operacionais</t>
        </is>
      </c>
      <c r="N630" t="inlineStr">
        <is>
          <t>20251454</t>
        </is>
      </c>
      <c r="O630" t="inlineStr">
        <is>
          <t>Documentação Aprovada</t>
        </is>
      </c>
      <c r="P630" t="inlineStr">
        <is>
          <t>Aprovado Diretoria</t>
        </is>
      </c>
      <c r="Q630" t="inlineStr">
        <is>
          <t>Aprovado Caixa</t>
        </is>
      </c>
      <c r="R630" t="inlineStr">
        <is>
          <t>Pago</t>
        </is>
      </c>
      <c r="S630" t="n">
        <v>182</v>
      </c>
      <c r="T630" t="inlineStr">
        <is>
          <t>Love - Shibari - Kamino</t>
        </is>
      </c>
    </row>
    <row r="631">
      <c r="A631" t="n">
        <v>164591</v>
      </c>
      <c r="B631" t="n">
        <v>128</v>
      </c>
      <c r="C631" t="inlineStr">
        <is>
          <t>Love Cabaret</t>
        </is>
      </c>
      <c r="D631" t="inlineStr">
        <is>
          <t>NOVA COMERCIAL PESCADOS LTDA</t>
        </is>
      </c>
      <c r="E631" t="n">
        <v>588</v>
      </c>
      <c r="F631" s="27" t="n">
        <v>45953</v>
      </c>
      <c r="G631" s="27" t="n">
        <v>45952</v>
      </c>
      <c r="H631" s="27" t="n">
        <v>45952</v>
      </c>
      <c r="I631" s="27" t="n">
        <v>45925</v>
      </c>
      <c r="J631" s="27" t="n">
        <v>45932</v>
      </c>
      <c r="K631" t="inlineStr">
        <is>
          <t>Boleto Bancário</t>
        </is>
      </c>
      <c r="L631" t="inlineStr">
        <is>
          <t>Custo Mercadoria Vendida</t>
        </is>
      </c>
      <c r="M631" t="inlineStr">
        <is>
          <t>Insumos - Alimentos</t>
        </is>
      </c>
      <c r="N631" t="inlineStr">
        <is>
          <t>28087</t>
        </is>
      </c>
      <c r="O631" t="inlineStr">
        <is>
          <t>Documentação Aprovada</t>
        </is>
      </c>
      <c r="P631" t="inlineStr">
        <is>
          <t>Aprovado Diretoria</t>
        </is>
      </c>
      <c r="Q631" t="inlineStr">
        <is>
          <t>Aprovado Caixa</t>
        </is>
      </c>
      <c r="R631" t="inlineStr">
        <is>
          <t>Pago</t>
        </is>
      </c>
      <c r="S631" t="n">
        <v>182</v>
      </c>
      <c r="T631" t="inlineStr">
        <is>
          <t>Love - Shibari - Kamino</t>
        </is>
      </c>
    </row>
    <row r="632">
      <c r="A632" t="n">
        <v>164526</v>
      </c>
      <c r="B632" t="n">
        <v>128</v>
      </c>
      <c r="C632" t="inlineStr">
        <is>
          <t>Love Cabaret</t>
        </is>
      </c>
      <c r="D632" t="inlineStr">
        <is>
          <t xml:space="preserve">ARENA VIP DISTRIBUIDORA DE BEBIDAS LTDA </t>
        </is>
      </c>
      <c r="E632" t="n">
        <v>1473</v>
      </c>
      <c r="F632" s="27" t="n">
        <v>45954</v>
      </c>
      <c r="G632" s="27" t="n">
        <v>45952</v>
      </c>
      <c r="H632" s="27" t="n">
        <v>45952</v>
      </c>
      <c r="I632" s="27" t="n">
        <v>45930</v>
      </c>
      <c r="J632" s="27" t="n">
        <v>45932</v>
      </c>
      <c r="K632" t="inlineStr">
        <is>
          <t>Boleto Bancário</t>
        </is>
      </c>
      <c r="L632" t="inlineStr">
        <is>
          <t>Custo Mercadoria Vendida</t>
        </is>
      </c>
      <c r="M632" t="inlineStr">
        <is>
          <t>Insumos - Bebidas</t>
        </is>
      </c>
      <c r="N632" t="inlineStr">
        <is>
          <t>14318</t>
        </is>
      </c>
      <c r="O632" t="inlineStr">
        <is>
          <t>Documentação Aprovada</t>
        </is>
      </c>
      <c r="P632" t="inlineStr">
        <is>
          <t>Aprovado Diretoria</t>
        </is>
      </c>
      <c r="Q632" t="inlineStr">
        <is>
          <t>Aprovado Caixa</t>
        </is>
      </c>
      <c r="R632" t="inlineStr">
        <is>
          <t>Pago</t>
        </is>
      </c>
      <c r="S632" t="n">
        <v>182</v>
      </c>
      <c r="T632" t="inlineStr">
        <is>
          <t>Love - Shibari - Kamino</t>
        </is>
      </c>
    </row>
    <row r="633">
      <c r="A633" t="n">
        <v>168148</v>
      </c>
      <c r="B633" t="n">
        <v>128</v>
      </c>
      <c r="C633" t="inlineStr">
        <is>
          <t>Love Cabaret</t>
        </is>
      </c>
      <c r="D633" t="inlineStr">
        <is>
          <t xml:space="preserve">HNK BR INDUSTRIA DE BEBIDAS </t>
        </is>
      </c>
      <c r="E633" t="n">
        <v>1518.69</v>
      </c>
      <c r="F633" s="27" t="n">
        <v>45954</v>
      </c>
      <c r="G633" s="27" t="n">
        <v>45952</v>
      </c>
      <c r="H633" s="27" t="n">
        <v>45952</v>
      </c>
      <c r="I633" s="27" t="n">
        <v>45940</v>
      </c>
      <c r="J633" s="27" t="n">
        <v>45946</v>
      </c>
      <c r="K633" t="inlineStr">
        <is>
          <t>Boleto Bancário</t>
        </is>
      </c>
      <c r="L633" t="inlineStr">
        <is>
          <t>Custo Mercadoria Vendida</t>
        </is>
      </c>
      <c r="M633" t="inlineStr">
        <is>
          <t>Insumos - Bebidas</t>
        </is>
      </c>
      <c r="N633" t="inlineStr">
        <is>
          <t>76078</t>
        </is>
      </c>
      <c r="O633" t="inlineStr">
        <is>
          <t>Documentação Aprovada</t>
        </is>
      </c>
      <c r="P633" t="inlineStr">
        <is>
          <t>Aprovado Diretoria</t>
        </is>
      </c>
      <c r="Q633" t="inlineStr">
        <is>
          <t>Aprovado Caixa</t>
        </is>
      </c>
      <c r="R633" t="inlineStr">
        <is>
          <t>Pago</t>
        </is>
      </c>
      <c r="S633" t="n">
        <v>182</v>
      </c>
      <c r="T633" t="inlineStr">
        <is>
          <t>Love - Shibari - Kamino</t>
        </is>
      </c>
    </row>
    <row r="634">
      <c r="A634" t="n">
        <v>167360</v>
      </c>
      <c r="B634" t="n">
        <v>128</v>
      </c>
      <c r="C634" t="inlineStr">
        <is>
          <t>Love Cabaret</t>
        </is>
      </c>
      <c r="D634" t="inlineStr">
        <is>
          <t>CECILIA TSUYACO ARAKI SILVA LTDA</t>
        </is>
      </c>
      <c r="E634" t="n">
        <v>128.1</v>
      </c>
      <c r="F634" s="27" t="n">
        <v>45954</v>
      </c>
      <c r="G634" s="27" t="n">
        <v>45952</v>
      </c>
      <c r="H634" s="27" t="n">
        <v>45952</v>
      </c>
      <c r="I634" s="27" t="n">
        <v>45943</v>
      </c>
      <c r="J634" s="27" t="n">
        <v>45945</v>
      </c>
      <c r="K634" t="inlineStr">
        <is>
          <t>Boleto Bancário</t>
        </is>
      </c>
      <c r="L634" t="inlineStr">
        <is>
          <t>Custo Mercadoria Vendida</t>
        </is>
      </c>
      <c r="M634" t="inlineStr">
        <is>
          <t>Insumos - Alimentos</t>
        </is>
      </c>
      <c r="N634" t="inlineStr">
        <is>
          <t>379677</t>
        </is>
      </c>
      <c r="O634" t="inlineStr">
        <is>
          <t>Documentação Aprovada</t>
        </is>
      </c>
      <c r="P634" t="inlineStr">
        <is>
          <t>Aprovado Diretoria</t>
        </is>
      </c>
      <c r="Q634" t="inlineStr">
        <is>
          <t>Aprovado Caixa</t>
        </is>
      </c>
      <c r="R634" t="inlineStr">
        <is>
          <t>Pago</t>
        </is>
      </c>
      <c r="S634" t="n">
        <v>182</v>
      </c>
      <c r="T634" t="inlineStr">
        <is>
          <t>Love - Shibari - Kamino</t>
        </is>
      </c>
    </row>
    <row r="635">
      <c r="A635" t="n">
        <v>167074</v>
      </c>
      <c r="B635" t="n">
        <v>128</v>
      </c>
      <c r="C635" t="inlineStr">
        <is>
          <t>Love Cabaret</t>
        </is>
      </c>
      <c r="D635" t="inlineStr">
        <is>
          <t>MARIO PEDRO FELICIANO - HORTIFRUTI</t>
        </is>
      </c>
      <c r="E635" t="n">
        <v>116.29</v>
      </c>
      <c r="F635" s="27" t="n">
        <v>45953</v>
      </c>
      <c r="G635" s="27" t="n">
        <v>45952</v>
      </c>
      <c r="H635" s="27" t="n">
        <v>45952</v>
      </c>
      <c r="I635" s="27" t="n">
        <v>45939</v>
      </c>
      <c r="J635" s="27" t="n">
        <v>45944</v>
      </c>
      <c r="K635" t="inlineStr">
        <is>
          <t>Boleto Bancário</t>
        </is>
      </c>
      <c r="L635" t="inlineStr">
        <is>
          <t>Custo Mercadoria Vendida</t>
        </is>
      </c>
      <c r="M635" t="inlineStr">
        <is>
          <t>Insumos - Alimentos</t>
        </is>
      </c>
      <c r="N635" t="inlineStr">
        <is>
          <t>454885</t>
        </is>
      </c>
      <c r="O635" t="inlineStr">
        <is>
          <t>Documentação Aprovada</t>
        </is>
      </c>
      <c r="P635" t="inlineStr">
        <is>
          <t>Aprovado Diretoria</t>
        </is>
      </c>
      <c r="Q635" t="inlineStr">
        <is>
          <t>Aprovado Caixa</t>
        </is>
      </c>
      <c r="R635" t="inlineStr">
        <is>
          <t>Pago</t>
        </is>
      </c>
      <c r="S635" t="n">
        <v>182</v>
      </c>
      <c r="T635" t="inlineStr">
        <is>
          <t>Love - Shibari - Kamino</t>
        </is>
      </c>
    </row>
    <row r="636">
      <c r="A636" t="n">
        <v>167079</v>
      </c>
      <c r="B636" t="n">
        <v>128</v>
      </c>
      <c r="C636" t="inlineStr">
        <is>
          <t>Love Cabaret</t>
        </is>
      </c>
      <c r="D636" t="inlineStr">
        <is>
          <t>ZAHIL IMPORTADORA LTDA</t>
        </is>
      </c>
      <c r="E636" t="n">
        <v>1331.06</v>
      </c>
      <c r="F636" s="27" t="n">
        <v>45954</v>
      </c>
      <c r="G636" s="27" t="n">
        <v>45952</v>
      </c>
      <c r="H636" s="27" t="n">
        <v>45952</v>
      </c>
      <c r="I636" s="27" t="n">
        <v>45939</v>
      </c>
      <c r="J636" s="27" t="n">
        <v>45944</v>
      </c>
      <c r="K636" t="inlineStr">
        <is>
          <t>Boleto Bancário</t>
        </is>
      </c>
      <c r="L636" t="inlineStr">
        <is>
          <t>Custo Mercadoria Vendida</t>
        </is>
      </c>
      <c r="M636" t="inlineStr">
        <is>
          <t>Insumos - Bebidas</t>
        </is>
      </c>
      <c r="N636" t="inlineStr">
        <is>
          <t>257703</t>
        </is>
      </c>
      <c r="O636" t="inlineStr">
        <is>
          <t>Documentação Aprovada</t>
        </is>
      </c>
      <c r="P636" t="inlineStr">
        <is>
          <t>Aprovado Diretoria</t>
        </is>
      </c>
      <c r="Q636" t="inlineStr">
        <is>
          <t>Aprovado Caixa</t>
        </is>
      </c>
      <c r="R636" t="inlineStr">
        <is>
          <t>Pago</t>
        </is>
      </c>
      <c r="S636" t="n">
        <v>182</v>
      </c>
      <c r="T636" t="inlineStr">
        <is>
          <t>Love - Shibari - Kamino</t>
        </is>
      </c>
    </row>
    <row r="637">
      <c r="A637" t="n">
        <v>167073</v>
      </c>
      <c r="B637" t="n">
        <v>128</v>
      </c>
      <c r="C637" t="inlineStr">
        <is>
          <t>Love Cabaret</t>
        </is>
      </c>
      <c r="D637" t="inlineStr">
        <is>
          <t>CECILIA TSUYACO ARAKI SILVA LTDA</t>
        </is>
      </c>
      <c r="E637" t="n">
        <v>152.15</v>
      </c>
      <c r="F637" s="27" t="n">
        <v>45953</v>
      </c>
      <c r="G637" s="27" t="n">
        <v>45952</v>
      </c>
      <c r="H637" s="27" t="n">
        <v>45952</v>
      </c>
      <c r="I637" s="27" t="n">
        <v>45939</v>
      </c>
      <c r="J637" s="27" t="n">
        <v>45944</v>
      </c>
      <c r="K637" t="inlineStr">
        <is>
          <t>Boleto Bancário</t>
        </is>
      </c>
      <c r="L637" t="inlineStr">
        <is>
          <t>Custo Mercadoria Vendida</t>
        </is>
      </c>
      <c r="M637" t="inlineStr">
        <is>
          <t>Insumos - Alimentos</t>
        </is>
      </c>
      <c r="N637" t="inlineStr">
        <is>
          <t>379527</t>
        </is>
      </c>
      <c r="O637" t="inlineStr">
        <is>
          <t>Documentação Aprovada</t>
        </is>
      </c>
      <c r="P637" t="inlineStr">
        <is>
          <t>Aprovado Diretoria</t>
        </is>
      </c>
      <c r="Q637" t="inlineStr">
        <is>
          <t>Aprovado Caixa</t>
        </is>
      </c>
      <c r="R637" t="inlineStr">
        <is>
          <t>Pago</t>
        </is>
      </c>
      <c r="S637" t="n">
        <v>182</v>
      </c>
      <c r="T637" t="inlineStr">
        <is>
          <t>Love - Shibari - Kamino</t>
        </is>
      </c>
    </row>
    <row r="638">
      <c r="A638" t="n">
        <v>166427</v>
      </c>
      <c r="B638" t="n">
        <v>128</v>
      </c>
      <c r="C638" t="inlineStr">
        <is>
          <t>Love Cabaret</t>
        </is>
      </c>
      <c r="D638" t="inlineStr">
        <is>
          <t>PSSS LTDA</t>
        </is>
      </c>
      <c r="E638" t="n">
        <v>129.5</v>
      </c>
      <c r="F638" s="27" t="n">
        <v>45953</v>
      </c>
      <c r="G638" s="27" t="n">
        <v>45952</v>
      </c>
      <c r="H638" s="27" t="n">
        <v>45952</v>
      </c>
      <c r="I638" s="27" t="n">
        <v>45937</v>
      </c>
      <c r="J638" s="27" t="n">
        <v>45940</v>
      </c>
      <c r="K638" t="inlineStr">
        <is>
          <t>Boleto Bancário</t>
        </is>
      </c>
      <c r="L638" t="inlineStr">
        <is>
          <t>Utilidades</t>
        </is>
      </c>
      <c r="M638" t="inlineStr">
        <is>
          <t>Utensilios</t>
        </is>
      </c>
      <c r="N638" t="inlineStr">
        <is>
          <t>2415</t>
        </is>
      </c>
      <c r="O638" t="inlineStr">
        <is>
          <t>Documentação Aprovada</t>
        </is>
      </c>
      <c r="P638" t="inlineStr">
        <is>
          <t>Aprovado Diretoria</t>
        </is>
      </c>
      <c r="Q638" t="inlineStr">
        <is>
          <t>Aprovado Caixa</t>
        </is>
      </c>
      <c r="R638" t="inlineStr">
        <is>
          <t>Pago</t>
        </is>
      </c>
      <c r="S638" t="n">
        <v>182</v>
      </c>
      <c r="T638" t="inlineStr">
        <is>
          <t>Love - Shibari - Kamino</t>
        </is>
      </c>
    </row>
    <row r="639">
      <c r="A639" t="n">
        <v>164687</v>
      </c>
      <c r="B639" t="n">
        <v>128</v>
      </c>
      <c r="C639" t="inlineStr">
        <is>
          <t>Love Cabaret</t>
        </is>
      </c>
      <c r="D639" t="inlineStr">
        <is>
          <t>EMPORIO M&amp;L COMERCIO DE ALIM E BEBIDAS LTDA</t>
        </is>
      </c>
      <c r="E639" t="n">
        <v>1830</v>
      </c>
      <c r="F639" s="27" t="n">
        <v>45953</v>
      </c>
      <c r="G639" s="27" t="n">
        <v>45952</v>
      </c>
      <c r="H639" s="27" t="n">
        <v>45952</v>
      </c>
      <c r="I639" s="27" t="n">
        <v>45924</v>
      </c>
      <c r="J639" s="27" t="n">
        <v>45932</v>
      </c>
      <c r="K639" t="inlineStr">
        <is>
          <t>Boleto Bancário</t>
        </is>
      </c>
      <c r="L639" t="inlineStr">
        <is>
          <t>Custo Mercadoria Vendida</t>
        </is>
      </c>
      <c r="M639" t="inlineStr">
        <is>
          <t>Insumos - Bebidas</t>
        </is>
      </c>
      <c r="N639" t="inlineStr">
        <is>
          <t>473079</t>
        </is>
      </c>
      <c r="O639" t="inlineStr">
        <is>
          <t>Documentação Aprovada</t>
        </is>
      </c>
      <c r="P639" t="inlineStr">
        <is>
          <t>Aprovado Diretoria</t>
        </is>
      </c>
      <c r="Q639" t="inlineStr">
        <is>
          <t>Aprovado Caixa</t>
        </is>
      </c>
      <c r="R639" t="inlineStr">
        <is>
          <t>Pago</t>
        </is>
      </c>
      <c r="S639" t="n">
        <v>182</v>
      </c>
      <c r="T639" t="inlineStr">
        <is>
          <t>Love - Shibari - Kamino</t>
        </is>
      </c>
    </row>
    <row r="640">
      <c r="A640" t="n">
        <v>163250</v>
      </c>
      <c r="B640" t="n">
        <v>128</v>
      </c>
      <c r="C640" t="inlineStr">
        <is>
          <t>Love Cabaret</t>
        </is>
      </c>
      <c r="D640" t="inlineStr">
        <is>
          <t>WINES4U COMERCIO, IMPORTACAO E EXPORTACAO DE VINHOS LTDA</t>
        </is>
      </c>
      <c r="E640" t="n">
        <v>688.5</v>
      </c>
      <c r="F640" s="27" t="n">
        <v>45953</v>
      </c>
      <c r="G640" s="27" t="n">
        <v>45952</v>
      </c>
      <c r="H640" s="27" t="n">
        <v>45952</v>
      </c>
      <c r="I640" s="27" t="n">
        <v>45923</v>
      </c>
      <c r="J640" s="27" t="n">
        <v>45926</v>
      </c>
      <c r="K640" t="inlineStr">
        <is>
          <t>Boleto Bancário</t>
        </is>
      </c>
      <c r="L640" t="inlineStr">
        <is>
          <t>Custo Mercadoria Vendida</t>
        </is>
      </c>
      <c r="M640" t="inlineStr">
        <is>
          <t>Insumos - Bebidas</t>
        </is>
      </c>
      <c r="N640" t="inlineStr">
        <is>
          <t>14348</t>
        </is>
      </c>
      <c r="O640" t="inlineStr">
        <is>
          <t>Documentação Aprovada</t>
        </is>
      </c>
      <c r="P640" t="inlineStr">
        <is>
          <t>Aprovado Diretoria</t>
        </is>
      </c>
      <c r="Q640" t="inlineStr">
        <is>
          <t>Aprovado Caixa</t>
        </is>
      </c>
      <c r="R640" t="inlineStr">
        <is>
          <t>Pago</t>
        </is>
      </c>
      <c r="S640" t="n">
        <v>182</v>
      </c>
      <c r="T640" t="inlineStr">
        <is>
          <t>Love - Shibari - Kamino</t>
        </is>
      </c>
    </row>
    <row r="641">
      <c r="A641" t="n">
        <v>163228</v>
      </c>
      <c r="B641" t="n">
        <v>128</v>
      </c>
      <c r="C641" t="inlineStr">
        <is>
          <t>Love Cabaret</t>
        </is>
      </c>
      <c r="D641" t="inlineStr">
        <is>
          <t xml:space="preserve">EMPORIO MEL </t>
        </is>
      </c>
      <c r="E641" t="n">
        <v>1310.2</v>
      </c>
      <c r="F641" s="27" t="n">
        <v>45953</v>
      </c>
      <c r="G641" s="27" t="n">
        <v>45952</v>
      </c>
      <c r="H641" s="27" t="n">
        <v>45952</v>
      </c>
      <c r="I641" s="27" t="n">
        <v>45922</v>
      </c>
      <c r="J641" s="27" t="n">
        <v>45926</v>
      </c>
      <c r="K641" t="inlineStr">
        <is>
          <t>Boleto Bancário</t>
        </is>
      </c>
      <c r="L641" t="inlineStr">
        <is>
          <t>Custo Mercadoria Vendida</t>
        </is>
      </c>
      <c r="M641" t="inlineStr">
        <is>
          <t>Insumos - Alimentos</t>
        </is>
      </c>
      <c r="N641" t="inlineStr">
        <is>
          <t>472632</t>
        </is>
      </c>
      <c r="O641" t="inlineStr">
        <is>
          <t>Documentação Aprovada</t>
        </is>
      </c>
      <c r="P641" t="inlineStr">
        <is>
          <t>Aprovado Diretoria</t>
        </is>
      </c>
      <c r="Q641" t="inlineStr">
        <is>
          <t>Aprovado Caixa</t>
        </is>
      </c>
      <c r="R641" t="inlineStr">
        <is>
          <t>Pago</t>
        </is>
      </c>
      <c r="S641" t="n">
        <v>182</v>
      </c>
      <c r="T641" t="inlineStr">
        <is>
          <t>Love - Shibari - Kamino</t>
        </is>
      </c>
    </row>
    <row r="642">
      <c r="A642" t="n">
        <v>163219</v>
      </c>
      <c r="B642" t="n">
        <v>128</v>
      </c>
      <c r="C642" t="inlineStr">
        <is>
          <t>Love Cabaret</t>
        </is>
      </c>
      <c r="D642" t="inlineStr">
        <is>
          <t xml:space="preserve">EMPORIO MEL </t>
        </is>
      </c>
      <c r="E642" t="n">
        <v>911.4</v>
      </c>
      <c r="F642" s="27" t="n">
        <v>45953</v>
      </c>
      <c r="G642" s="27" t="n">
        <v>45952</v>
      </c>
      <c r="H642" s="27" t="n">
        <v>45952</v>
      </c>
      <c r="I642" s="27" t="n">
        <v>45922</v>
      </c>
      <c r="J642" s="27" t="n">
        <v>45926</v>
      </c>
      <c r="K642" t="inlineStr">
        <is>
          <t>Boleto Bancário</t>
        </is>
      </c>
      <c r="L642" t="inlineStr">
        <is>
          <t>Custo Mercadoria Vendida</t>
        </is>
      </c>
      <c r="M642" t="inlineStr">
        <is>
          <t>Insumos - Bebidas</t>
        </is>
      </c>
      <c r="N642" t="inlineStr">
        <is>
          <t>472553</t>
        </is>
      </c>
      <c r="O642" t="inlineStr">
        <is>
          <t>Documentação Aprovada</t>
        </is>
      </c>
      <c r="P642" t="inlineStr">
        <is>
          <t>Aprovado Diretoria</t>
        </is>
      </c>
      <c r="Q642" t="inlineStr">
        <is>
          <t>Aprovado Caixa</t>
        </is>
      </c>
      <c r="R642" t="inlineStr">
        <is>
          <t>Pago</t>
        </is>
      </c>
      <c r="S642" t="n">
        <v>182</v>
      </c>
      <c r="T642" t="inlineStr">
        <is>
          <t>Love - Shibari - Kamino</t>
        </is>
      </c>
    </row>
    <row r="643">
      <c r="A643" t="n">
        <v>166066</v>
      </c>
      <c r="B643" t="n">
        <v>128</v>
      </c>
      <c r="C643" t="inlineStr">
        <is>
          <t>Love Cabaret</t>
        </is>
      </c>
      <c r="D643" t="inlineStr">
        <is>
          <t>BATARD PADARIA ARTESANAL LTDA</t>
        </is>
      </c>
      <c r="E643" t="n">
        <v>199</v>
      </c>
      <c r="F643" s="27" t="n">
        <v>45953</v>
      </c>
      <c r="G643" s="27" t="n">
        <v>45952</v>
      </c>
      <c r="H643" s="27" t="n">
        <v>45952</v>
      </c>
      <c r="I643" s="27" t="n">
        <v>45937</v>
      </c>
      <c r="J643" s="27" t="n">
        <v>45938</v>
      </c>
      <c r="K643" t="inlineStr">
        <is>
          <t>Boleto Bancário</t>
        </is>
      </c>
      <c r="L643" t="inlineStr">
        <is>
          <t>Custo Mercadoria Vendida</t>
        </is>
      </c>
      <c r="M643" t="inlineStr">
        <is>
          <t>Insumos - Alimentos</t>
        </is>
      </c>
      <c r="N643" t="inlineStr">
        <is>
          <t>12175</t>
        </is>
      </c>
      <c r="O643" t="inlineStr">
        <is>
          <t>Documentação Aprovada</t>
        </is>
      </c>
      <c r="P643" t="inlineStr">
        <is>
          <t>Aprovado Diretoria</t>
        </is>
      </c>
      <c r="Q643" t="inlineStr">
        <is>
          <t>Aprovado Caixa</t>
        </is>
      </c>
      <c r="R643" t="inlineStr">
        <is>
          <t>Pago</t>
        </is>
      </c>
      <c r="S643" t="n">
        <v>182</v>
      </c>
      <c r="T643" t="inlineStr">
        <is>
          <t>Love - Shibari - Kamino</t>
        </is>
      </c>
    </row>
    <row r="644">
      <c r="A644" t="n">
        <v>156270</v>
      </c>
      <c r="B644" t="n">
        <v>128</v>
      </c>
      <c r="C644" t="inlineStr">
        <is>
          <t>Love Cabaret</t>
        </is>
      </c>
      <c r="D644" t="inlineStr">
        <is>
          <t>GOOGLE WORKSPACE</t>
        </is>
      </c>
      <c r="E644" t="n">
        <v>850</v>
      </c>
      <c r="F644" s="27" t="n">
        <v>45955</v>
      </c>
      <c r="G644" s="27" t="n">
        <v>45952</v>
      </c>
      <c r="H644" s="27" t="n">
        <v>45952</v>
      </c>
      <c r="I644" s="27" t="n">
        <v>45901</v>
      </c>
      <c r="J644" s="27" t="n">
        <v>45891</v>
      </c>
      <c r="K644" t="inlineStr">
        <is>
          <t>Transferência Bancária ou Pix</t>
        </is>
      </c>
      <c r="L644" t="inlineStr">
        <is>
          <t>Marketing</t>
        </is>
      </c>
      <c r="M644" t="inlineStr">
        <is>
          <t>Publicidade e Propaganda</t>
        </is>
      </c>
      <c r="N644" t="inlineStr">
        <is>
          <t>12025</t>
        </is>
      </c>
      <c r="O644" t="inlineStr">
        <is>
          <t>Documentação Aprovada</t>
        </is>
      </c>
      <c r="P644" t="inlineStr">
        <is>
          <t>Aprovado Diretoria</t>
        </is>
      </c>
      <c r="Q644" t="inlineStr">
        <is>
          <t>Aprovado Caixa</t>
        </is>
      </c>
      <c r="R644" t="inlineStr">
        <is>
          <t>Pago</t>
        </is>
      </c>
      <c r="S644" t="n">
        <v>182</v>
      </c>
      <c r="T644" t="inlineStr">
        <is>
          <t>Love - Shibari - Kamino</t>
        </is>
      </c>
    </row>
    <row r="645">
      <c r="A645" t="n">
        <v>103038</v>
      </c>
      <c r="B645" t="n">
        <v>128</v>
      </c>
      <c r="C645" t="inlineStr">
        <is>
          <t>Love Cabaret</t>
        </is>
      </c>
      <c r="D645" t="inlineStr">
        <is>
          <t>TELEFONICA BRASIL S/A</t>
        </is>
      </c>
      <c r="E645" t="n">
        <v>223.82</v>
      </c>
      <c r="F645" s="27" t="n">
        <v>45955</v>
      </c>
      <c r="G645" s="27" t="n">
        <v>45952</v>
      </c>
      <c r="H645" s="27" t="n">
        <v>45952</v>
      </c>
      <c r="I645" s="27" t="n">
        <v>45947</v>
      </c>
      <c r="J645" s="27" t="n"/>
      <c r="K645" t="inlineStr">
        <is>
          <t>Boleto Bancário</t>
        </is>
      </c>
      <c r="L645" t="inlineStr">
        <is>
          <t>Informática e TI</t>
        </is>
      </c>
      <c r="M645" t="inlineStr">
        <is>
          <t>Internet</t>
        </is>
      </c>
      <c r="N645" t="inlineStr">
        <is>
          <t>0455530810</t>
        </is>
      </c>
      <c r="O645" t="inlineStr">
        <is>
          <t>Documentação Aprovada</t>
        </is>
      </c>
      <c r="P645" t="inlineStr">
        <is>
          <t>Aprovado Diretoria</t>
        </is>
      </c>
      <c r="Q645" t="inlineStr">
        <is>
          <t>Aprovado Caixa</t>
        </is>
      </c>
      <c r="R645" t="inlineStr">
        <is>
          <t>Pago</t>
        </is>
      </c>
      <c r="S645" t="n">
        <v>182</v>
      </c>
      <c r="T645" t="inlineStr">
        <is>
          <t>Love - Shibari - Kamino</t>
        </is>
      </c>
    </row>
    <row r="646">
      <c r="A646" t="n">
        <v>103026</v>
      </c>
      <c r="B646" t="n">
        <v>128</v>
      </c>
      <c r="C646" t="inlineStr">
        <is>
          <t>Love Cabaret</t>
        </is>
      </c>
      <c r="D646" t="inlineStr">
        <is>
          <t>TELEFONICA BRASIL S/A</t>
        </is>
      </c>
      <c r="E646" t="n">
        <v>96.45999999999999</v>
      </c>
      <c r="F646" s="27" t="n">
        <v>45955</v>
      </c>
      <c r="G646" s="27" t="n">
        <v>45952</v>
      </c>
      <c r="H646" s="27" t="n">
        <v>45952</v>
      </c>
      <c r="I646" s="27" t="n">
        <v>45934</v>
      </c>
      <c r="J646" s="27" t="n"/>
      <c r="K646" t="inlineStr">
        <is>
          <t>Boleto Bancário</t>
        </is>
      </c>
      <c r="L646" t="inlineStr">
        <is>
          <t>Informática e TI</t>
        </is>
      </c>
      <c r="M646" t="inlineStr">
        <is>
          <t>Telefone</t>
        </is>
      </c>
      <c r="N646" t="inlineStr">
        <is>
          <t>0434906426</t>
        </is>
      </c>
      <c r="O646" t="inlineStr">
        <is>
          <t>Documentação Aprovada</t>
        </is>
      </c>
      <c r="P646" t="inlineStr">
        <is>
          <t>Aprovado Diretoria</t>
        </is>
      </c>
      <c r="Q646" t="inlineStr">
        <is>
          <t>Aprovado Caixa</t>
        </is>
      </c>
      <c r="R646" t="inlineStr">
        <is>
          <t>Pago</t>
        </is>
      </c>
      <c r="S646" t="n">
        <v>182</v>
      </c>
      <c r="T646" t="inlineStr">
        <is>
          <t>Love - Shibari - Kamino</t>
        </is>
      </c>
    </row>
    <row r="647">
      <c r="A647" t="n">
        <v>102845</v>
      </c>
      <c r="B647" t="n">
        <v>128</v>
      </c>
      <c r="C647" t="inlineStr">
        <is>
          <t>Love Cabaret</t>
        </is>
      </c>
      <c r="D647" t="inlineStr">
        <is>
          <t>INVYE CAPITAL LTDA</t>
        </is>
      </c>
      <c r="E647" t="n">
        <v>1260</v>
      </c>
      <c r="F647" s="27" t="n">
        <v>45954</v>
      </c>
      <c r="G647" s="27" t="n">
        <v>45952</v>
      </c>
      <c r="H647" s="27" t="n">
        <v>45952</v>
      </c>
      <c r="I647" s="27" t="n">
        <v>45939</v>
      </c>
      <c r="J647" s="27" t="n"/>
      <c r="K647" t="inlineStr">
        <is>
          <t>Boleto Bancário</t>
        </is>
      </c>
      <c r="L647" t="inlineStr">
        <is>
          <t>Serviços de Terceiros</t>
        </is>
      </c>
      <c r="M647" t="inlineStr">
        <is>
          <t>Assessoria em Geral</t>
        </is>
      </c>
      <c r="N647" t="inlineStr">
        <is>
          <t>2923</t>
        </is>
      </c>
      <c r="O647" t="inlineStr">
        <is>
          <t>Documentação Aprovada</t>
        </is>
      </c>
      <c r="P647" t="inlineStr">
        <is>
          <t>Aprovado Diretoria</t>
        </is>
      </c>
      <c r="Q647" t="inlineStr">
        <is>
          <t>Aprovado Caixa</t>
        </is>
      </c>
      <c r="R647" t="inlineStr">
        <is>
          <t>Pago</t>
        </is>
      </c>
      <c r="S647" t="n">
        <v>182</v>
      </c>
      <c r="T647" t="inlineStr">
        <is>
          <t>Love - Shibari - Kamino</t>
        </is>
      </c>
    </row>
    <row r="648">
      <c r="A648" t="n">
        <v>97369</v>
      </c>
      <c r="B648" t="n">
        <v>128</v>
      </c>
      <c r="C648" t="inlineStr">
        <is>
          <t>Love Cabaret</t>
        </is>
      </c>
      <c r="D648" t="inlineStr">
        <is>
          <t xml:space="preserve">EDIMAR MOURA TARTAGLIONI SERVICOES DE DEDETIZACAO </t>
        </is>
      </c>
      <c r="E648" t="n">
        <v>630</v>
      </c>
      <c r="F648" s="27" t="n">
        <v>45956</v>
      </c>
      <c r="G648" s="27" t="n">
        <v>45952</v>
      </c>
      <c r="H648" s="27" t="n">
        <v>45952</v>
      </c>
      <c r="I648" s="27" t="n">
        <v>45935</v>
      </c>
      <c r="J648" s="27" t="n"/>
      <c r="K648" t="inlineStr">
        <is>
          <t>Transferência Bancária ou Pix</t>
        </is>
      </c>
      <c r="L648" t="inlineStr">
        <is>
          <t>Utilidades</t>
        </is>
      </c>
      <c r="M648" t="inlineStr">
        <is>
          <t>Controle de Pragas</t>
        </is>
      </c>
      <c r="N648" t="inlineStr">
        <is>
          <t>605</t>
        </is>
      </c>
      <c r="O648" t="inlineStr">
        <is>
          <t>Documentação Aprovada</t>
        </is>
      </c>
      <c r="P648" t="inlineStr">
        <is>
          <t>Aprovado Diretoria</t>
        </is>
      </c>
      <c r="Q648" t="inlineStr">
        <is>
          <t>Aprovado Caixa</t>
        </is>
      </c>
      <c r="R648" t="inlineStr">
        <is>
          <t>Pago</t>
        </is>
      </c>
      <c r="S648" t="n">
        <v>182</v>
      </c>
      <c r="T648" t="inlineStr">
        <is>
          <t>Love - Shibari - Kamino</t>
        </is>
      </c>
    </row>
    <row r="649">
      <c r="A649" t="n">
        <v>97123</v>
      </c>
      <c r="B649" t="n">
        <v>128</v>
      </c>
      <c r="C649" t="inlineStr">
        <is>
          <t>Love Cabaret</t>
        </is>
      </c>
      <c r="D649" t="inlineStr">
        <is>
          <t>ESTAFF SOLUCOES TECNOLOGICAS DE AGENCIAMENTO LTDA</t>
        </is>
      </c>
      <c r="E649" t="n">
        <v>19442.5</v>
      </c>
      <c r="F649" s="27" t="n">
        <v>45952</v>
      </c>
      <c r="G649" s="27" t="n">
        <v>45952</v>
      </c>
      <c r="H649" s="27" t="n">
        <v>45952</v>
      </c>
      <c r="I649" s="27" t="n">
        <v>45943</v>
      </c>
      <c r="J649" s="27" t="n"/>
      <c r="K649" t="inlineStr">
        <is>
          <t>Boleto Bancário</t>
        </is>
      </c>
      <c r="L649" t="inlineStr">
        <is>
          <t>Mão de Obra - Extra</t>
        </is>
      </c>
      <c r="M649" t="inlineStr">
        <is>
          <t>Mão de Obra Extra</t>
        </is>
      </c>
      <c r="N649" t="inlineStr">
        <is>
          <t>658498884</t>
        </is>
      </c>
      <c r="O649" t="inlineStr">
        <is>
          <t>Documentação Aprovada</t>
        </is>
      </c>
      <c r="P649" t="inlineStr">
        <is>
          <t>Aprovado Diretoria</t>
        </is>
      </c>
      <c r="Q649" t="inlineStr">
        <is>
          <t>Aprovado Caixa</t>
        </is>
      </c>
      <c r="R649" t="inlineStr">
        <is>
          <t>Pago</t>
        </is>
      </c>
      <c r="S649" t="n">
        <v>182</v>
      </c>
      <c r="T649" t="inlineStr">
        <is>
          <t>Love - Shibari - Kamino</t>
        </is>
      </c>
    </row>
    <row r="650">
      <c r="A650" t="n">
        <v>97018</v>
      </c>
      <c r="B650" t="n">
        <v>128</v>
      </c>
      <c r="C650" t="inlineStr">
        <is>
          <t>Love Cabaret</t>
        </is>
      </c>
      <c r="D650" t="inlineStr">
        <is>
          <t>ESHOWS PROMOCOES ARTISTICAS LTDA</t>
        </is>
      </c>
      <c r="E650" t="n">
        <v>19440</v>
      </c>
      <c r="F650" s="27" t="n">
        <v>45958</v>
      </c>
      <c r="G650" s="27" t="n">
        <v>45952</v>
      </c>
      <c r="H650" s="27" t="n">
        <v>45952</v>
      </c>
      <c r="I650" s="27" t="n">
        <v>45931</v>
      </c>
      <c r="J650" s="27" t="n"/>
      <c r="K650" t="inlineStr">
        <is>
          <t>Boleto Bancário</t>
        </is>
      </c>
      <c r="L650" t="inlineStr">
        <is>
          <t>Custos Artístico Geral</t>
        </is>
      </c>
      <c r="M650" t="inlineStr">
        <is>
          <t>Cachê de Músicos e Artistas</t>
        </is>
      </c>
      <c r="N650" t="inlineStr">
        <is>
          <t>658742256</t>
        </is>
      </c>
      <c r="O650" t="inlineStr">
        <is>
          <t>Documentação Aprovada</t>
        </is>
      </c>
      <c r="P650" t="inlineStr">
        <is>
          <t>Aprovado Diretoria</t>
        </is>
      </c>
      <c r="Q650" t="inlineStr">
        <is>
          <t>Aprovado Caixa</t>
        </is>
      </c>
      <c r="R650" t="inlineStr">
        <is>
          <t>Pago</t>
        </is>
      </c>
      <c r="S650" t="n">
        <v>182</v>
      </c>
      <c r="T650" t="inlineStr">
        <is>
          <t>Love - Shibari - Kamino</t>
        </is>
      </c>
    </row>
    <row r="651">
      <c r="A651" t="n">
        <v>96928</v>
      </c>
      <c r="B651" t="n">
        <v>128</v>
      </c>
      <c r="C651" t="inlineStr">
        <is>
          <t>Love Cabaret</t>
        </is>
      </c>
      <c r="D651" t="inlineStr">
        <is>
          <t>CICLO PARTICIPACOES LTDA</t>
        </is>
      </c>
      <c r="E651" t="n">
        <v>32594.19</v>
      </c>
      <c r="F651" s="27" t="n">
        <v>45950</v>
      </c>
      <c r="G651" s="27" t="n">
        <v>45950</v>
      </c>
      <c r="H651" s="27" t="n">
        <v>45950</v>
      </c>
      <c r="I651" s="27" t="n">
        <v>45920</v>
      </c>
      <c r="J651" s="27" t="n"/>
      <c r="K651" t="inlineStr">
        <is>
          <t>Boleto Bancário</t>
        </is>
      </c>
      <c r="L651" t="inlineStr">
        <is>
          <t>Custo de Ocupação</t>
        </is>
      </c>
      <c r="M651" t="inlineStr">
        <is>
          <t>Aluguel de Imoveis</t>
        </is>
      </c>
      <c r="N651" t="inlineStr">
        <is>
          <t>092025</t>
        </is>
      </c>
      <c r="O651" t="inlineStr">
        <is>
          <t>Documentação Aprovada</t>
        </is>
      </c>
      <c r="P651" t="inlineStr">
        <is>
          <t>Aprovado Diretoria</t>
        </is>
      </c>
      <c r="Q651" t="inlineStr">
        <is>
          <t>Aprovado Caixa</t>
        </is>
      </c>
      <c r="R651" t="inlineStr">
        <is>
          <t>Pago</t>
        </is>
      </c>
      <c r="S651" t="n">
        <v>182</v>
      </c>
      <c r="T651" t="inlineStr">
        <is>
          <t>Love - Shibari - Kamino</t>
        </is>
      </c>
    </row>
    <row r="652">
      <c r="A652" t="n">
        <v>96888</v>
      </c>
      <c r="B652" t="n">
        <v>128</v>
      </c>
      <c r="C652" t="inlineStr">
        <is>
          <t>Love Cabaret</t>
        </is>
      </c>
      <c r="D652" t="inlineStr">
        <is>
          <t>ALPHALIX AMBIENTEAL LOC/ DE EQUIPAMENTOS EIRELI</t>
        </is>
      </c>
      <c r="E652" t="n">
        <v>1621.08</v>
      </c>
      <c r="F652" s="27" t="n">
        <v>45951</v>
      </c>
      <c r="G652" s="27" t="n">
        <v>45950</v>
      </c>
      <c r="H652" s="27" t="n">
        <v>45950</v>
      </c>
      <c r="I652" s="27" t="n">
        <v>45930</v>
      </c>
      <c r="J652" s="27" t="n"/>
      <c r="K652" t="inlineStr">
        <is>
          <t>Boleto Bancário</t>
        </is>
      </c>
      <c r="L652" t="inlineStr">
        <is>
          <t>Utilidades</t>
        </is>
      </c>
      <c r="M652" t="inlineStr">
        <is>
          <t>Coleta de lixo</t>
        </is>
      </c>
      <c r="N652" t="inlineStr">
        <is>
          <t>49902</t>
        </is>
      </c>
      <c r="O652" t="inlineStr">
        <is>
          <t>Documentação Aprovada</t>
        </is>
      </c>
      <c r="P652" t="inlineStr">
        <is>
          <t>Aprovado Diretoria</t>
        </is>
      </c>
      <c r="Q652" t="inlineStr">
        <is>
          <t>Aprovado Caixa</t>
        </is>
      </c>
      <c r="R652" t="inlineStr">
        <is>
          <t>Pago</t>
        </is>
      </c>
      <c r="S652" t="n">
        <v>182</v>
      </c>
      <c r="T652" t="inlineStr">
        <is>
          <t>Love - Shibari - Kamino</t>
        </is>
      </c>
    </row>
    <row r="653">
      <c r="A653" t="n">
        <v>96941</v>
      </c>
      <c r="B653" t="n">
        <v>128</v>
      </c>
      <c r="C653" t="inlineStr">
        <is>
          <t>Love Cabaret</t>
        </is>
      </c>
      <c r="D653" t="inlineStr">
        <is>
          <t>CIA DE SANEAMENTO BASICO DO ESTADO DE SAO PAULO SABESP</t>
        </is>
      </c>
      <c r="E653" t="n">
        <v>153.96</v>
      </c>
      <c r="F653" s="27" t="n">
        <v>45950</v>
      </c>
      <c r="G653" s="27" t="n">
        <v>45950</v>
      </c>
      <c r="H653" s="27" t="n">
        <v>45950</v>
      </c>
      <c r="I653" s="27" t="n">
        <v>45913</v>
      </c>
      <c r="J653" s="27" t="n"/>
      <c r="K653" t="inlineStr">
        <is>
          <t>Boleto Bancário</t>
        </is>
      </c>
      <c r="L653" t="inlineStr">
        <is>
          <t>Utilidades</t>
        </is>
      </c>
      <c r="M653" t="inlineStr">
        <is>
          <t>Agua/Esgoto</t>
        </is>
      </c>
      <c r="N653" t="inlineStr">
        <is>
          <t xml:space="preserve">202592626174 </t>
        </is>
      </c>
      <c r="O653" t="inlineStr">
        <is>
          <t>Documentação Aprovada</t>
        </is>
      </c>
      <c r="P653" t="inlineStr">
        <is>
          <t>Aprovado Diretoria</t>
        </is>
      </c>
      <c r="Q653" t="inlineStr">
        <is>
          <t>Aprovado Caixa</t>
        </is>
      </c>
      <c r="R653" t="inlineStr">
        <is>
          <t>Pago</t>
        </is>
      </c>
      <c r="S653" t="n">
        <v>182</v>
      </c>
      <c r="T653" t="inlineStr">
        <is>
          <t>Love - Shibari - Kamino</t>
        </is>
      </c>
    </row>
    <row r="654">
      <c r="A654" t="n">
        <v>102857</v>
      </c>
      <c r="B654" t="n">
        <v>128</v>
      </c>
      <c r="C654" t="inlineStr">
        <is>
          <t>Love Cabaret</t>
        </is>
      </c>
      <c r="D654" t="inlineStr">
        <is>
          <t>IRMANDADE DA SANTA CASA DE MISERICORDIA DE SAO PAULO</t>
        </is>
      </c>
      <c r="E654" t="n">
        <v>32594.19</v>
      </c>
      <c r="F654" s="27" t="n">
        <v>45950</v>
      </c>
      <c r="G654" s="27" t="n">
        <v>45950</v>
      </c>
      <c r="H654" s="27" t="n">
        <v>45950</v>
      </c>
      <c r="I654" s="27" t="n">
        <v>45920</v>
      </c>
      <c r="J654" s="27" t="n"/>
      <c r="K654" t="inlineStr">
        <is>
          <t>Boleto Bancário</t>
        </is>
      </c>
      <c r="L654" t="inlineStr">
        <is>
          <t>Custo de Ocupação</t>
        </is>
      </c>
      <c r="M654" t="inlineStr">
        <is>
          <t>Aluguel de Imoveis</t>
        </is>
      </c>
      <c r="N654" t="inlineStr">
        <is>
          <t>159169</t>
        </is>
      </c>
      <c r="O654" t="inlineStr">
        <is>
          <t>Documentação Aprovada</t>
        </is>
      </c>
      <c r="P654" t="inlineStr">
        <is>
          <t>Aprovado Diretoria</t>
        </is>
      </c>
      <c r="Q654" t="inlineStr">
        <is>
          <t>Aprovado Caixa</t>
        </is>
      </c>
      <c r="R654" t="inlineStr">
        <is>
          <t>Pago</t>
        </is>
      </c>
      <c r="S654" t="n">
        <v>182</v>
      </c>
      <c r="T654" t="inlineStr">
        <is>
          <t>Love - Shibari - Kamino</t>
        </is>
      </c>
    </row>
    <row r="655">
      <c r="A655" t="n">
        <v>102780</v>
      </c>
      <c r="B655" t="n">
        <v>128</v>
      </c>
      <c r="C655" t="inlineStr">
        <is>
          <t>Love Cabaret</t>
        </is>
      </c>
      <c r="D655" t="inlineStr">
        <is>
          <t>FABRICA DE BARES PARTICIPACOES LTDA</t>
        </is>
      </c>
      <c r="E655" t="n">
        <v>7034.98</v>
      </c>
      <c r="F655" s="27" t="n">
        <v>45952</v>
      </c>
      <c r="G655" s="27" t="n">
        <v>45950</v>
      </c>
      <c r="H655" s="27" t="n">
        <v>45950</v>
      </c>
      <c r="I655" s="27" t="n">
        <v>45930</v>
      </c>
      <c r="J655" s="27" t="n"/>
      <c r="K655" t="inlineStr">
        <is>
          <t>Transferência Bancária ou Pix</t>
        </is>
      </c>
      <c r="L655" t="inlineStr">
        <is>
          <t>Mão de Obra - Benefícios</t>
        </is>
      </c>
      <c r="M655" t="inlineStr">
        <is>
          <t xml:space="preserve">  -  Alimentação Funcionário</t>
        </is>
      </c>
      <c r="N655" t="inlineStr">
        <is>
          <t>602025</t>
        </is>
      </c>
      <c r="O655" t="inlineStr">
        <is>
          <t>Documentação Aprovada</t>
        </is>
      </c>
      <c r="P655" t="inlineStr">
        <is>
          <t>Aprovado Diretoria</t>
        </is>
      </c>
      <c r="Q655" t="inlineStr">
        <is>
          <t>Aprovado Caixa</t>
        </is>
      </c>
      <c r="R655" t="inlineStr">
        <is>
          <t>Pago</t>
        </is>
      </c>
      <c r="S655" t="n">
        <v>182</v>
      </c>
      <c r="T655" t="inlineStr">
        <is>
          <t>Love - Shibari - Kamino</t>
        </is>
      </c>
    </row>
    <row r="656">
      <c r="A656" t="n">
        <v>102822</v>
      </c>
      <c r="B656" t="n">
        <v>128</v>
      </c>
      <c r="C656" t="inlineStr">
        <is>
          <t>Love Cabaret</t>
        </is>
      </c>
      <c r="D656" t="inlineStr">
        <is>
          <t>GOMES D ELIA EQUIP. HIGIENE LTDA - WESCO</t>
        </is>
      </c>
      <c r="E656" t="n">
        <v>551.14</v>
      </c>
      <c r="F656" s="27" t="n">
        <v>45950</v>
      </c>
      <c r="G656" s="27" t="n">
        <v>45950</v>
      </c>
      <c r="H656" s="27" t="n">
        <v>45950</v>
      </c>
      <c r="I656" s="27" t="n">
        <v>45931</v>
      </c>
      <c r="J656" s="27" t="n"/>
      <c r="K656" t="inlineStr">
        <is>
          <t>Boleto Bancário</t>
        </is>
      </c>
      <c r="L656" t="inlineStr">
        <is>
          <t>Utilidades</t>
        </is>
      </c>
      <c r="M656" t="inlineStr">
        <is>
          <t>Higiene e Limpeza</t>
        </is>
      </c>
      <c r="N656" t="inlineStr">
        <is>
          <t>183073</t>
        </is>
      </c>
      <c r="O656" t="inlineStr">
        <is>
          <t>Documentação Aprovada</t>
        </is>
      </c>
      <c r="P656" t="inlineStr">
        <is>
          <t>Aprovado Diretoria</t>
        </is>
      </c>
      <c r="Q656" t="inlineStr">
        <is>
          <t>Aprovado Caixa</t>
        </is>
      </c>
      <c r="R656" t="inlineStr">
        <is>
          <t>Pago</t>
        </is>
      </c>
      <c r="S656" t="n">
        <v>182</v>
      </c>
      <c r="T656" t="inlineStr">
        <is>
          <t>Love - Shibari - Kamino</t>
        </is>
      </c>
    </row>
    <row r="657">
      <c r="A657" t="n">
        <v>106704</v>
      </c>
      <c r="B657" t="n">
        <v>128</v>
      </c>
      <c r="C657" t="inlineStr">
        <is>
          <t>Love Cabaret</t>
        </is>
      </c>
      <c r="D657" t="inlineStr">
        <is>
          <t>AURORA ALVORADA ESTACIONAMENTO E LANCHONETE LTDA</t>
        </is>
      </c>
      <c r="E657" t="n">
        <v>247.72</v>
      </c>
      <c r="F657" s="27" t="n">
        <v>45951</v>
      </c>
      <c r="G657" s="27" t="n">
        <v>45950</v>
      </c>
      <c r="H657" s="27" t="n">
        <v>45950</v>
      </c>
      <c r="I657" s="27" t="n">
        <v>45943</v>
      </c>
      <c r="J657" s="27" t="n"/>
      <c r="K657" t="inlineStr">
        <is>
          <t>Boleto Bancário</t>
        </is>
      </c>
      <c r="L657" t="inlineStr">
        <is>
          <t>Custo Mercadoria Vendida</t>
        </is>
      </c>
      <c r="M657" t="inlineStr">
        <is>
          <t>Insumos - Alimentos</t>
        </is>
      </c>
      <c r="N657" t="inlineStr">
        <is>
          <t>11087</t>
        </is>
      </c>
      <c r="O657" t="inlineStr">
        <is>
          <t>Documentação Aprovada</t>
        </is>
      </c>
      <c r="P657" t="inlineStr">
        <is>
          <t>Aprovado Diretoria</t>
        </is>
      </c>
      <c r="Q657" t="inlineStr">
        <is>
          <t>Aprovado Caixa</t>
        </is>
      </c>
      <c r="R657" t="inlineStr">
        <is>
          <t>Pago</t>
        </is>
      </c>
      <c r="S657" t="n">
        <v>182</v>
      </c>
      <c r="T657" t="inlineStr">
        <is>
          <t>Love - Shibari - Kamino</t>
        </is>
      </c>
    </row>
    <row r="658">
      <c r="A658" t="n">
        <v>104326</v>
      </c>
      <c r="B658" t="n">
        <v>128</v>
      </c>
      <c r="C658" t="inlineStr">
        <is>
          <t>Love Cabaret</t>
        </is>
      </c>
      <c r="D658" t="inlineStr">
        <is>
          <t>CICLO PARTICIPACOES LTDA</t>
        </is>
      </c>
      <c r="E658" t="n">
        <v>5906.28</v>
      </c>
      <c r="F658" s="27" t="n">
        <v>45950</v>
      </c>
      <c r="G658" s="27" t="n">
        <v>45950</v>
      </c>
      <c r="H658" s="27" t="n">
        <v>45950</v>
      </c>
      <c r="I658" s="27" t="n">
        <v>45915</v>
      </c>
      <c r="J658" s="27" t="n"/>
      <c r="K658" t="inlineStr">
        <is>
          <t>Boleto Bancário</t>
        </is>
      </c>
      <c r="L658" t="inlineStr">
        <is>
          <t>Custo de Ocupação</t>
        </is>
      </c>
      <c r="M658" t="inlineStr">
        <is>
          <t>IPTU</t>
        </is>
      </c>
      <c r="N658" t="inlineStr">
        <is>
          <t>470040877123</t>
        </is>
      </c>
      <c r="O658" t="inlineStr">
        <is>
          <t>Documentação Aprovada</t>
        </is>
      </c>
      <c r="P658" t="inlineStr">
        <is>
          <t>Aprovado Diretoria</t>
        </is>
      </c>
      <c r="Q658" t="inlineStr">
        <is>
          <t>Aprovado Caixa</t>
        </is>
      </c>
      <c r="R658" t="inlineStr">
        <is>
          <t>Pago</t>
        </is>
      </c>
      <c r="S658" t="n">
        <v>182</v>
      </c>
      <c r="T658" t="inlineStr">
        <is>
          <t>Love - Shibari - Kamino</t>
        </is>
      </c>
    </row>
    <row r="659">
      <c r="A659" t="n">
        <v>159773</v>
      </c>
      <c r="B659" t="n">
        <v>128</v>
      </c>
      <c r="C659" t="inlineStr">
        <is>
          <t>Love Cabaret</t>
        </is>
      </c>
      <c r="D659" t="inlineStr">
        <is>
          <t>ZAHIL IMPORTADORA LTDA</t>
        </is>
      </c>
      <c r="E659" t="n">
        <v>1732.01</v>
      </c>
      <c r="F659" s="27" t="n">
        <v>45950</v>
      </c>
      <c r="G659" s="27" t="n">
        <v>45950</v>
      </c>
      <c r="H659" s="27" t="n">
        <v>45950</v>
      </c>
      <c r="I659" s="27" t="n">
        <v>45905</v>
      </c>
      <c r="J659" s="27" t="n">
        <v>45909</v>
      </c>
      <c r="K659" t="inlineStr">
        <is>
          <t>Boleto Bancário</t>
        </is>
      </c>
      <c r="L659" t="inlineStr">
        <is>
          <t>Custo Mercadoria Vendida</t>
        </is>
      </c>
      <c r="M659" t="inlineStr">
        <is>
          <t>Insumos - Bebidas</t>
        </is>
      </c>
      <c r="N659" t="inlineStr">
        <is>
          <t>255638</t>
        </is>
      </c>
      <c r="O659" t="inlineStr">
        <is>
          <t>Documentação Aprovada</t>
        </is>
      </c>
      <c r="P659" t="inlineStr">
        <is>
          <t>Aprovado Diretoria</t>
        </is>
      </c>
      <c r="Q659" t="inlineStr">
        <is>
          <t>Aprovado Caixa</t>
        </is>
      </c>
      <c r="R659" t="inlineStr">
        <is>
          <t>Pago</t>
        </is>
      </c>
      <c r="S659" t="n">
        <v>182</v>
      </c>
      <c r="T659" t="inlineStr">
        <is>
          <t>Love - Shibari - Kamino</t>
        </is>
      </c>
    </row>
    <row r="660">
      <c r="A660" t="n">
        <v>162410</v>
      </c>
      <c r="B660" t="n">
        <v>128</v>
      </c>
      <c r="C660" t="inlineStr">
        <is>
          <t>Love Cabaret</t>
        </is>
      </c>
      <c r="D660" t="inlineStr">
        <is>
          <t>BRH SAUDE OCUPACIONAL LTDA</t>
        </is>
      </c>
      <c r="E660" t="n">
        <v>43.6</v>
      </c>
      <c r="F660" s="27" t="n">
        <v>45950</v>
      </c>
      <c r="G660" s="27" t="n">
        <v>45950</v>
      </c>
      <c r="H660" s="27" t="n">
        <v>45950</v>
      </c>
      <c r="I660" s="27" t="n">
        <v>45901</v>
      </c>
      <c r="J660" s="27" t="n">
        <v>45922</v>
      </c>
      <c r="K660" t="inlineStr">
        <is>
          <t>Boleto Bancário</t>
        </is>
      </c>
      <c r="L660" t="inlineStr">
        <is>
          <t>Mão de Obra - Benefícios</t>
        </is>
      </c>
      <c r="M660" t="inlineStr">
        <is>
          <t xml:space="preserve">  -  Exames Periódicos</t>
        </is>
      </c>
      <c r="N660" t="inlineStr">
        <is>
          <t>832204</t>
        </is>
      </c>
      <c r="O660" t="inlineStr">
        <is>
          <t>Documentação Aprovada</t>
        </is>
      </c>
      <c r="P660" t="inlineStr">
        <is>
          <t>Aprovado Diretoria</t>
        </is>
      </c>
      <c r="Q660" t="inlineStr">
        <is>
          <t>Aprovado Caixa</t>
        </is>
      </c>
      <c r="R660" t="inlineStr">
        <is>
          <t>Pago</t>
        </is>
      </c>
      <c r="S660" t="n">
        <v>182</v>
      </c>
      <c r="T660" t="inlineStr">
        <is>
          <t>Love - Shibari - Kamino</t>
        </is>
      </c>
    </row>
    <row r="661">
      <c r="A661" t="n">
        <v>157677</v>
      </c>
      <c r="B661" t="n">
        <v>128</v>
      </c>
      <c r="C661" t="inlineStr">
        <is>
          <t>Love Cabaret</t>
        </is>
      </c>
      <c r="D661" t="inlineStr">
        <is>
          <t>CLOROART SERVICOS E COMERCIO LTDA-ME</t>
        </is>
      </c>
      <c r="E661" t="n">
        <v>1225</v>
      </c>
      <c r="F661" s="27" t="n">
        <v>45952</v>
      </c>
      <c r="G661" s="27" t="n">
        <v>45950</v>
      </c>
      <c r="H661" s="27" t="n">
        <v>45950</v>
      </c>
      <c r="I661" s="27" t="n">
        <v>45897</v>
      </c>
      <c r="J661" s="27" t="n">
        <v>45898</v>
      </c>
      <c r="K661" t="inlineStr">
        <is>
          <t>Boleto Bancário</t>
        </is>
      </c>
      <c r="L661" t="inlineStr">
        <is>
          <t>Utilidades</t>
        </is>
      </c>
      <c r="M661" t="inlineStr">
        <is>
          <t>Serviços de Limpeza</t>
        </is>
      </c>
      <c r="N661" t="inlineStr">
        <is>
          <t>2825</t>
        </is>
      </c>
      <c r="O661" t="inlineStr">
        <is>
          <t>Documentação Aprovada</t>
        </is>
      </c>
      <c r="P661" t="inlineStr">
        <is>
          <t>Aprovado Diretoria</t>
        </is>
      </c>
      <c r="Q661" t="inlineStr">
        <is>
          <t>Aprovado Caixa</t>
        </is>
      </c>
      <c r="R661" t="inlineStr">
        <is>
          <t>Pago</t>
        </is>
      </c>
      <c r="S661" t="n">
        <v>182</v>
      </c>
      <c r="T661" t="inlineStr">
        <is>
          <t>Love - Shibari - Kamino</t>
        </is>
      </c>
    </row>
    <row r="662">
      <c r="A662" t="n">
        <v>129468</v>
      </c>
      <c r="B662" t="n">
        <v>128</v>
      </c>
      <c r="C662" t="inlineStr">
        <is>
          <t>Love Cabaret</t>
        </is>
      </c>
      <c r="D662" t="inlineStr">
        <is>
          <t>OPUS CONSULTORIA E PESQUISA LTDA</t>
        </is>
      </c>
      <c r="E662" t="n">
        <v>300</v>
      </c>
      <c r="F662" s="27" t="n">
        <v>45950</v>
      </c>
      <c r="G662" s="27" t="n">
        <v>45950</v>
      </c>
      <c r="H662" s="27" t="n">
        <v>45950</v>
      </c>
      <c r="I662" s="27" t="n">
        <v>45936</v>
      </c>
      <c r="J662" s="27" t="n"/>
      <c r="K662" t="inlineStr">
        <is>
          <t>Boleto Bancário</t>
        </is>
      </c>
      <c r="L662" t="inlineStr">
        <is>
          <t>Serviços de Terceiros</t>
        </is>
      </c>
      <c r="M662" t="inlineStr">
        <is>
          <t>Assessoria em Geral</t>
        </is>
      </c>
      <c r="O662" t="inlineStr">
        <is>
          <t>Documentação Aprovada</t>
        </is>
      </c>
      <c r="P662" t="inlineStr">
        <is>
          <t>Aprovado Diretoria</t>
        </is>
      </c>
      <c r="Q662" t="inlineStr">
        <is>
          <t>Aprovado Caixa</t>
        </is>
      </c>
      <c r="R662" t="inlineStr">
        <is>
          <t>Pago</t>
        </is>
      </c>
      <c r="S662" t="n">
        <v>182</v>
      </c>
      <c r="T662" t="inlineStr">
        <is>
          <t>Love - Shibari - Kamino</t>
        </is>
      </c>
    </row>
    <row r="663">
      <c r="A663" t="n">
        <v>166063</v>
      </c>
      <c r="B663" t="n">
        <v>128</v>
      </c>
      <c r="C663" t="inlineStr">
        <is>
          <t>Love Cabaret</t>
        </is>
      </c>
      <c r="D663" t="inlineStr">
        <is>
          <t>PARAMU COMERCIO E REPRESENTACAO DE PRODUTOS ALIMENTICIOS</t>
        </is>
      </c>
      <c r="E663" t="n">
        <v>103.95</v>
      </c>
      <c r="F663" s="27" t="n">
        <v>45950</v>
      </c>
      <c r="G663" s="27" t="n">
        <v>45950</v>
      </c>
      <c r="H663" s="27" t="n">
        <v>45950</v>
      </c>
      <c r="I663" s="27" t="n">
        <v>45936</v>
      </c>
      <c r="J663" s="27" t="n">
        <v>45938</v>
      </c>
      <c r="K663" t="inlineStr">
        <is>
          <t>Boleto Bancário</t>
        </is>
      </c>
      <c r="L663" t="inlineStr">
        <is>
          <t>Custo Mercadoria Vendida</t>
        </is>
      </c>
      <c r="M663" t="inlineStr">
        <is>
          <t>Insumos - Alimentos</t>
        </is>
      </c>
      <c r="N663" t="inlineStr">
        <is>
          <t>15589</t>
        </is>
      </c>
      <c r="O663" t="inlineStr">
        <is>
          <t>Documentação Aprovada</t>
        </is>
      </c>
      <c r="P663" t="inlineStr">
        <is>
          <t>Aprovado Diretoria</t>
        </is>
      </c>
      <c r="Q663" t="inlineStr">
        <is>
          <t>Aprovado Caixa</t>
        </is>
      </c>
      <c r="R663" t="inlineStr">
        <is>
          <t>Pago</t>
        </is>
      </c>
      <c r="S663" t="n">
        <v>182</v>
      </c>
      <c r="T663" t="inlineStr">
        <is>
          <t>Love - Shibari - Kamino</t>
        </is>
      </c>
    </row>
    <row r="664">
      <c r="A664" t="n">
        <v>166062</v>
      </c>
      <c r="B664" t="n">
        <v>128</v>
      </c>
      <c r="C664" t="inlineStr">
        <is>
          <t>Love Cabaret</t>
        </is>
      </c>
      <c r="D664" t="inlineStr">
        <is>
          <t>CECILIA TSUYACO ARAKI SILVA LTDA</t>
        </is>
      </c>
      <c r="E664" t="n">
        <v>235.6</v>
      </c>
      <c r="F664" s="27" t="n">
        <v>45950</v>
      </c>
      <c r="G664" s="27" t="n">
        <v>45950</v>
      </c>
      <c r="H664" s="27" t="n">
        <v>45950</v>
      </c>
      <c r="I664" s="27" t="n">
        <v>45936</v>
      </c>
      <c r="J664" s="27" t="n">
        <v>45938</v>
      </c>
      <c r="K664" t="inlineStr">
        <is>
          <t>Boleto Bancário</t>
        </is>
      </c>
      <c r="L664" t="inlineStr">
        <is>
          <t>Custo Mercadoria Vendida</t>
        </is>
      </c>
      <c r="M664" t="inlineStr">
        <is>
          <t>Insumos - Alimentos</t>
        </is>
      </c>
      <c r="N664" t="inlineStr">
        <is>
          <t>379297</t>
        </is>
      </c>
      <c r="O664" t="inlineStr">
        <is>
          <t>Documentação Aprovada</t>
        </is>
      </c>
      <c r="P664" t="inlineStr">
        <is>
          <t>Aprovado Diretoria</t>
        </is>
      </c>
      <c r="Q664" t="inlineStr">
        <is>
          <t>Aprovado Caixa</t>
        </is>
      </c>
      <c r="R664" t="inlineStr">
        <is>
          <t>Pago</t>
        </is>
      </c>
      <c r="S664" t="n">
        <v>182</v>
      </c>
      <c r="T664" t="inlineStr">
        <is>
          <t>Love - Shibari - Kamino</t>
        </is>
      </c>
    </row>
    <row r="665">
      <c r="A665" t="n">
        <v>166330</v>
      </c>
      <c r="B665" t="n">
        <v>128</v>
      </c>
      <c r="C665" t="inlineStr">
        <is>
          <t>Love Cabaret</t>
        </is>
      </c>
      <c r="D665" t="inlineStr">
        <is>
          <t>WPP COMERCIO DE CARNES LTDA</t>
        </is>
      </c>
      <c r="E665" t="n">
        <v>853.0599999999999</v>
      </c>
      <c r="F665" s="27" t="n">
        <v>45952</v>
      </c>
      <c r="G665" s="27" t="n">
        <v>45950</v>
      </c>
      <c r="H665" s="27" t="n">
        <v>45950</v>
      </c>
      <c r="I665" s="27" t="n">
        <v>45938</v>
      </c>
      <c r="J665" s="27" t="n">
        <v>45939</v>
      </c>
      <c r="K665" t="inlineStr">
        <is>
          <t>Boleto Bancário</t>
        </is>
      </c>
      <c r="L665" t="inlineStr">
        <is>
          <t>Custo Mercadoria Vendida</t>
        </is>
      </c>
      <c r="M665" t="inlineStr">
        <is>
          <t>Insumos - Alimentos</t>
        </is>
      </c>
      <c r="N665" t="inlineStr">
        <is>
          <t>74864</t>
        </is>
      </c>
      <c r="O665" t="inlineStr">
        <is>
          <t>Documentação Aprovada</t>
        </is>
      </c>
      <c r="P665" t="inlineStr">
        <is>
          <t>Aprovado Diretoria</t>
        </is>
      </c>
      <c r="Q665" t="inlineStr">
        <is>
          <t>Aprovado Caixa</t>
        </is>
      </c>
      <c r="R665" t="inlineStr">
        <is>
          <t>Pago</t>
        </is>
      </c>
      <c r="S665" t="n">
        <v>182</v>
      </c>
      <c r="T665" t="inlineStr">
        <is>
          <t>Love - Shibari - Kamino</t>
        </is>
      </c>
    </row>
    <row r="666">
      <c r="A666" t="n">
        <v>166071</v>
      </c>
      <c r="B666" t="n">
        <v>128</v>
      </c>
      <c r="C666" t="inlineStr">
        <is>
          <t>Love Cabaret</t>
        </is>
      </c>
      <c r="D666" t="inlineStr">
        <is>
          <t xml:space="preserve">LATICINIOS FIOR DITALIA LTDA </t>
        </is>
      </c>
      <c r="E666" t="n">
        <v>326.75</v>
      </c>
      <c r="F666" s="27" t="n">
        <v>45952</v>
      </c>
      <c r="G666" s="27" t="n">
        <v>45950</v>
      </c>
      <c r="H666" s="27" t="n">
        <v>45950</v>
      </c>
      <c r="I666" s="27" t="n">
        <v>45936</v>
      </c>
      <c r="J666" s="27" t="n">
        <v>45938</v>
      </c>
      <c r="K666" t="inlineStr">
        <is>
          <t>Boleto Bancário</t>
        </is>
      </c>
      <c r="L666" t="inlineStr">
        <is>
          <t>Custo Mercadoria Vendida</t>
        </is>
      </c>
      <c r="M666" t="inlineStr">
        <is>
          <t>Insumos - Alimentos</t>
        </is>
      </c>
      <c r="N666" t="inlineStr">
        <is>
          <t>39541</t>
        </is>
      </c>
      <c r="O666" t="inlineStr">
        <is>
          <t>Documentação Aprovada</t>
        </is>
      </c>
      <c r="P666" t="inlineStr">
        <is>
          <t>Aprovado Diretoria</t>
        </is>
      </c>
      <c r="Q666" t="inlineStr">
        <is>
          <t>Aprovado Caixa</t>
        </is>
      </c>
      <c r="R666" t="inlineStr">
        <is>
          <t>Pago</t>
        </is>
      </c>
      <c r="S666" t="n">
        <v>182</v>
      </c>
      <c r="T666" t="inlineStr">
        <is>
          <t>Love - Shibari - Kamino</t>
        </is>
      </c>
    </row>
    <row r="667">
      <c r="A667" t="n">
        <v>166327</v>
      </c>
      <c r="B667" t="n">
        <v>128</v>
      </c>
      <c r="C667" t="inlineStr">
        <is>
          <t>Love Cabaret</t>
        </is>
      </c>
      <c r="D667" t="inlineStr">
        <is>
          <t>WPP COMERCIO DE CARNES LTDA</t>
        </is>
      </c>
      <c r="E667" t="n">
        <v>484.83</v>
      </c>
      <c r="F667" s="27" t="n">
        <v>45952</v>
      </c>
      <c r="G667" s="27" t="n">
        <v>45950</v>
      </c>
      <c r="H667" s="27" t="n">
        <v>45950</v>
      </c>
      <c r="I667" s="27" t="n">
        <v>45938</v>
      </c>
      <c r="J667" s="27" t="n">
        <v>45939</v>
      </c>
      <c r="K667" t="inlineStr">
        <is>
          <t>Boleto Bancário</t>
        </is>
      </c>
      <c r="L667" t="inlineStr">
        <is>
          <t>Custo Mercadoria Vendida</t>
        </is>
      </c>
      <c r="M667" t="inlineStr">
        <is>
          <t>Insumos - Alimentos</t>
        </is>
      </c>
      <c r="N667" t="inlineStr">
        <is>
          <t>74863</t>
        </is>
      </c>
      <c r="O667" t="inlineStr">
        <is>
          <t>Documentação Aprovada</t>
        </is>
      </c>
      <c r="P667" t="inlineStr">
        <is>
          <t>Aprovado Diretoria</t>
        </is>
      </c>
      <c r="Q667" t="inlineStr">
        <is>
          <t>Aprovado Caixa</t>
        </is>
      </c>
      <c r="R667" t="inlineStr">
        <is>
          <t>Pago</t>
        </is>
      </c>
      <c r="S667" t="n">
        <v>182</v>
      </c>
      <c r="T667" t="inlineStr">
        <is>
          <t>Love - Shibari - Kamino</t>
        </is>
      </c>
    </row>
    <row r="668">
      <c r="A668" t="n">
        <v>165693</v>
      </c>
      <c r="B668" t="n">
        <v>128</v>
      </c>
      <c r="C668" t="inlineStr">
        <is>
          <t>Love Cabaret</t>
        </is>
      </c>
      <c r="D668" t="inlineStr">
        <is>
          <t>TEC LITE MANUTENCAO EM EQUIPAMENTOS DE ILUMINAÇÃO LTDA</t>
        </is>
      </c>
      <c r="E668" t="n">
        <v>380</v>
      </c>
      <c r="F668" s="27" t="n">
        <v>45952</v>
      </c>
      <c r="G668" s="27" t="n">
        <v>45950</v>
      </c>
      <c r="H668" s="27" t="n">
        <v>45950</v>
      </c>
      <c r="I668" s="27" t="n">
        <v>45931</v>
      </c>
      <c r="J668" s="27" t="n">
        <v>45937</v>
      </c>
      <c r="K668" t="inlineStr">
        <is>
          <t>Boleto Bancário</t>
        </is>
      </c>
      <c r="L668" t="inlineStr">
        <is>
          <t>Utilidades</t>
        </is>
      </c>
      <c r="M668" t="inlineStr">
        <is>
          <t>Utensilios</t>
        </is>
      </c>
      <c r="N668" t="inlineStr">
        <is>
          <t>923</t>
        </is>
      </c>
      <c r="O668" t="inlineStr">
        <is>
          <t>Documentação Aprovada</t>
        </is>
      </c>
      <c r="P668" t="inlineStr">
        <is>
          <t>Aprovado Diretoria</t>
        </is>
      </c>
      <c r="Q668" t="inlineStr">
        <is>
          <t>Aprovado Caixa</t>
        </is>
      </c>
      <c r="R668" t="inlineStr">
        <is>
          <t>Pago</t>
        </is>
      </c>
      <c r="S668" t="n">
        <v>182</v>
      </c>
      <c r="T668" t="inlineStr">
        <is>
          <t>Love - Shibari - Kamino</t>
        </is>
      </c>
    </row>
    <row r="669">
      <c r="A669" t="n">
        <v>167071</v>
      </c>
      <c r="B669" t="n">
        <v>128</v>
      </c>
      <c r="C669" t="inlineStr">
        <is>
          <t>Love Cabaret</t>
        </is>
      </c>
      <c r="D669" t="inlineStr">
        <is>
          <t>ZAHIL IMPORTADORA LTDA</t>
        </is>
      </c>
      <c r="E669" t="n">
        <v>647.95</v>
      </c>
      <c r="F669" s="27" t="n">
        <v>45952</v>
      </c>
      <c r="G669" s="27" t="n">
        <v>45950</v>
      </c>
      <c r="H669" s="27" t="n">
        <v>45950</v>
      </c>
      <c r="I669" s="27" t="n">
        <v>45937</v>
      </c>
      <c r="J669" s="27" t="n">
        <v>45944</v>
      </c>
      <c r="K669" t="inlineStr">
        <is>
          <t>Boleto Bancário</t>
        </is>
      </c>
      <c r="L669" t="inlineStr">
        <is>
          <t>Custo Mercadoria Vendida</t>
        </is>
      </c>
      <c r="M669" t="inlineStr">
        <is>
          <t>Insumos - Bebidas</t>
        </is>
      </c>
      <c r="N669" t="inlineStr">
        <is>
          <t>257505</t>
        </is>
      </c>
      <c r="O669" t="inlineStr">
        <is>
          <t>Documentação Aprovada</t>
        </is>
      </c>
      <c r="P669" t="inlineStr">
        <is>
          <t>Aprovado Diretoria</t>
        </is>
      </c>
      <c r="Q669" t="inlineStr">
        <is>
          <t>Aprovado Caixa</t>
        </is>
      </c>
      <c r="R669" t="inlineStr">
        <is>
          <t>Pago</t>
        </is>
      </c>
      <c r="S669" t="n">
        <v>182</v>
      </c>
      <c r="T669" t="inlineStr">
        <is>
          <t>Love - Shibari - Kamino</t>
        </is>
      </c>
    </row>
    <row r="670">
      <c r="A670" t="n">
        <v>166424</v>
      </c>
      <c r="B670" t="n">
        <v>128</v>
      </c>
      <c r="C670" t="inlineStr">
        <is>
          <t>Love Cabaret</t>
        </is>
      </c>
      <c r="D670" t="inlineStr">
        <is>
          <t xml:space="preserve">HNK BR INDUSTRIA DE BEBIDAS </t>
        </is>
      </c>
      <c r="E670" t="n">
        <v>755.16</v>
      </c>
      <c r="F670" s="27" t="n">
        <v>45952</v>
      </c>
      <c r="G670" s="27" t="n">
        <v>45950</v>
      </c>
      <c r="H670" s="27" t="n">
        <v>45950</v>
      </c>
      <c r="I670" s="27" t="n">
        <v>45938</v>
      </c>
      <c r="J670" s="27" t="n">
        <v>45940</v>
      </c>
      <c r="K670" t="inlineStr">
        <is>
          <t>Boleto Bancário</t>
        </is>
      </c>
      <c r="L670" t="inlineStr">
        <is>
          <t>Custo Mercadoria Vendida</t>
        </is>
      </c>
      <c r="M670" t="inlineStr">
        <is>
          <t>Insumos - Bebidas</t>
        </is>
      </c>
      <c r="N670" t="inlineStr">
        <is>
          <t>73756</t>
        </is>
      </c>
      <c r="O670" t="inlineStr">
        <is>
          <t>Documentação Aprovada</t>
        </is>
      </c>
      <c r="P670" t="inlineStr">
        <is>
          <t>Aprovado Diretoria</t>
        </is>
      </c>
      <c r="Q670" t="inlineStr">
        <is>
          <t>Aprovado Caixa</t>
        </is>
      </c>
      <c r="R670" t="inlineStr">
        <is>
          <t>Pago</t>
        </is>
      </c>
      <c r="S670" t="n">
        <v>182</v>
      </c>
      <c r="T670" t="inlineStr">
        <is>
          <t>Love - Shibari - Kamino</t>
        </is>
      </c>
    </row>
    <row r="671">
      <c r="A671" t="n">
        <v>166428</v>
      </c>
      <c r="B671" t="n">
        <v>128</v>
      </c>
      <c r="C671" t="inlineStr">
        <is>
          <t>Love Cabaret</t>
        </is>
      </c>
      <c r="D671" t="inlineStr">
        <is>
          <t>PSSS LTDA</t>
        </is>
      </c>
      <c r="E671" t="n">
        <v>136.1</v>
      </c>
      <c r="F671" s="27" t="n">
        <v>45952</v>
      </c>
      <c r="G671" s="27" t="n">
        <v>45950</v>
      </c>
      <c r="H671" s="27" t="n">
        <v>45950</v>
      </c>
      <c r="I671" s="27" t="n">
        <v>45937</v>
      </c>
      <c r="J671" s="27" t="n">
        <v>45940</v>
      </c>
      <c r="K671" t="inlineStr">
        <is>
          <t>Boleto Bancário</t>
        </is>
      </c>
      <c r="L671" t="inlineStr">
        <is>
          <t>Utilidades</t>
        </is>
      </c>
      <c r="M671" t="inlineStr">
        <is>
          <t>Higiene e Limpeza</t>
        </is>
      </c>
      <c r="N671" t="inlineStr">
        <is>
          <t>2411</t>
        </is>
      </c>
      <c r="O671" t="inlineStr">
        <is>
          <t>Documentação Aprovada</t>
        </is>
      </c>
      <c r="P671" t="inlineStr">
        <is>
          <t>Aprovado Diretoria</t>
        </is>
      </c>
      <c r="Q671" t="inlineStr">
        <is>
          <t>Aprovado Caixa</t>
        </is>
      </c>
      <c r="R671" t="inlineStr">
        <is>
          <t>Pago</t>
        </is>
      </c>
      <c r="S671" t="n">
        <v>182</v>
      </c>
      <c r="T671" t="inlineStr">
        <is>
          <t>Love - Shibari - Kamino</t>
        </is>
      </c>
    </row>
    <row r="672">
      <c r="A672" t="n">
        <v>168546</v>
      </c>
      <c r="B672" t="n">
        <v>128</v>
      </c>
      <c r="C672" t="inlineStr">
        <is>
          <t>Love Cabaret</t>
        </is>
      </c>
      <c r="D672" t="inlineStr">
        <is>
          <t>CAROLINE FERREIRA DA SILVA</t>
        </is>
      </c>
      <c r="E672" t="n">
        <v>889.4299999999999</v>
      </c>
      <c r="F672" s="27" t="n">
        <v>45950</v>
      </c>
      <c r="G672" s="27" t="n">
        <v>45950</v>
      </c>
      <c r="H672" s="27" t="n">
        <v>45950</v>
      </c>
      <c r="I672" s="27" t="n">
        <v>45945</v>
      </c>
      <c r="J672" s="27" t="n"/>
      <c r="L672" t="inlineStr">
        <is>
          <t>Mão de Obra - Salários</t>
        </is>
      </c>
      <c r="M672" t="inlineStr">
        <is>
          <t>MDO CLT - Salário</t>
        </is>
      </c>
      <c r="O672" t="inlineStr">
        <is>
          <t>Documentação Aprovada</t>
        </is>
      </c>
      <c r="P672" t="inlineStr">
        <is>
          <t>Aprovado Diretoria</t>
        </is>
      </c>
      <c r="Q672" t="inlineStr">
        <is>
          <t>Aprovado Caixa</t>
        </is>
      </c>
      <c r="R672" t="inlineStr">
        <is>
          <t>Pago</t>
        </is>
      </c>
      <c r="S672" t="n">
        <v>115</v>
      </c>
      <c r="T672" t="inlineStr">
        <is>
          <t>Love - Shibari - Bradesco</t>
        </is>
      </c>
    </row>
    <row r="673">
      <c r="A673" t="n">
        <v>167358</v>
      </c>
      <c r="B673" t="n">
        <v>128</v>
      </c>
      <c r="C673" t="inlineStr">
        <is>
          <t>Love Cabaret</t>
        </is>
      </c>
      <c r="D673" t="inlineStr">
        <is>
          <t>MULTIFRANGOS COMERCIO DE ALIMENTOS LTDA</t>
        </is>
      </c>
      <c r="E673" t="n">
        <v>254.85</v>
      </c>
      <c r="F673" s="27" t="n">
        <v>45951</v>
      </c>
      <c r="G673" s="27" t="n">
        <v>45950</v>
      </c>
      <c r="H673" s="27" t="n">
        <v>45950</v>
      </c>
      <c r="I673" s="27" t="n">
        <v>45937</v>
      </c>
      <c r="J673" s="27" t="n">
        <v>45945</v>
      </c>
      <c r="K673" t="inlineStr">
        <is>
          <t>Boleto Bancário</t>
        </is>
      </c>
      <c r="L673" t="inlineStr">
        <is>
          <t>Custo Mercadoria Vendida</t>
        </is>
      </c>
      <c r="M673" t="inlineStr">
        <is>
          <t>Insumos - Alimentos</t>
        </is>
      </c>
      <c r="N673" t="inlineStr">
        <is>
          <t>920784</t>
        </is>
      </c>
      <c r="O673" t="inlineStr">
        <is>
          <t>Documentação Aprovada</t>
        </is>
      </c>
      <c r="P673" t="inlineStr">
        <is>
          <t>Aprovado Diretoria</t>
        </is>
      </c>
      <c r="Q673" t="inlineStr">
        <is>
          <t>Aprovado Caixa</t>
        </is>
      </c>
      <c r="R673" t="inlineStr">
        <is>
          <t>Pago</t>
        </is>
      </c>
      <c r="S673" t="n">
        <v>182</v>
      </c>
      <c r="T673" t="inlineStr">
        <is>
          <t>Love - Shibari - Kamino</t>
        </is>
      </c>
    </row>
    <row r="674">
      <c r="A674" t="n">
        <v>168547</v>
      </c>
      <c r="B674" t="n">
        <v>128</v>
      </c>
      <c r="C674" t="inlineStr">
        <is>
          <t>Love Cabaret</t>
        </is>
      </c>
      <c r="D674" t="inlineStr">
        <is>
          <t>JULIANA OLIVEIRA DA SILVA</t>
        </is>
      </c>
      <c r="E674" t="n">
        <v>751.55</v>
      </c>
      <c r="F674" s="27" t="n">
        <v>45950</v>
      </c>
      <c r="G674" s="27" t="n">
        <v>45950</v>
      </c>
      <c r="H674" s="27" t="n">
        <v>45950</v>
      </c>
      <c r="I674" s="27" t="n">
        <v>45945</v>
      </c>
      <c r="J674" s="27" t="n"/>
      <c r="L674" t="inlineStr">
        <is>
          <t>Mão de Obra - Salários</t>
        </is>
      </c>
      <c r="M674" t="inlineStr">
        <is>
          <t>MDO CLT - Salário</t>
        </is>
      </c>
      <c r="O674" t="inlineStr">
        <is>
          <t>Documentação Aprovada</t>
        </is>
      </c>
      <c r="P674" t="inlineStr">
        <is>
          <t>Aprovado Diretoria</t>
        </is>
      </c>
      <c r="Q674" t="inlineStr">
        <is>
          <t>Aprovado Caixa</t>
        </is>
      </c>
      <c r="R674" t="inlineStr">
        <is>
          <t>Pago</t>
        </is>
      </c>
      <c r="S674" t="n">
        <v>115</v>
      </c>
      <c r="T674" t="inlineStr">
        <is>
          <t>Love - Shibari - Bradesco</t>
        </is>
      </c>
    </row>
    <row r="675">
      <c r="A675" t="n">
        <v>163253</v>
      </c>
      <c r="B675" t="n">
        <v>128</v>
      </c>
      <c r="C675" t="inlineStr">
        <is>
          <t>Love Cabaret</t>
        </is>
      </c>
      <c r="D675" t="inlineStr">
        <is>
          <t>DTK COMERCIO DE ALIMENTOS LTDA</t>
        </is>
      </c>
      <c r="E675" t="n">
        <v>647.8</v>
      </c>
      <c r="F675" s="27" t="n">
        <v>45952</v>
      </c>
      <c r="G675" s="27" t="n">
        <v>45950</v>
      </c>
      <c r="H675" s="27" t="n">
        <v>45950</v>
      </c>
      <c r="I675" s="27" t="n">
        <v>45924</v>
      </c>
      <c r="J675" s="27" t="n">
        <v>45926</v>
      </c>
      <c r="K675" t="inlineStr">
        <is>
          <t>Boleto Bancário</t>
        </is>
      </c>
      <c r="L675" t="inlineStr">
        <is>
          <t>Custo Mercadoria Vendida</t>
        </is>
      </c>
      <c r="M675" t="inlineStr">
        <is>
          <t>Insumos - Alimentos</t>
        </is>
      </c>
      <c r="N675" t="inlineStr">
        <is>
          <t>45364</t>
        </is>
      </c>
      <c r="O675" t="inlineStr">
        <is>
          <t>Documentação Aprovada</t>
        </is>
      </c>
      <c r="P675" t="inlineStr">
        <is>
          <t>Aprovado Diretoria</t>
        </is>
      </c>
      <c r="Q675" t="inlineStr">
        <is>
          <t>Aprovado Caixa</t>
        </is>
      </c>
      <c r="R675" t="inlineStr">
        <is>
          <t>Pago</t>
        </is>
      </c>
      <c r="S675" t="n">
        <v>182</v>
      </c>
      <c r="T675" t="inlineStr">
        <is>
          <t>Love - Shibari - Kamino</t>
        </is>
      </c>
    </row>
    <row r="676">
      <c r="A676" t="n">
        <v>163237</v>
      </c>
      <c r="B676" t="n">
        <v>128</v>
      </c>
      <c r="C676" t="inlineStr">
        <is>
          <t>Love Cabaret</t>
        </is>
      </c>
      <c r="D676" t="inlineStr">
        <is>
          <t>FG7 COMERCIO E DISTRIBUICAO DE BEBIDAS LTDA</t>
        </is>
      </c>
      <c r="E676" t="n">
        <v>437.4</v>
      </c>
      <c r="F676" s="27" t="n">
        <v>45951</v>
      </c>
      <c r="G676" s="27" t="n">
        <v>45950</v>
      </c>
      <c r="H676" s="27" t="n">
        <v>45950</v>
      </c>
      <c r="I676" s="27" t="n">
        <v>45922</v>
      </c>
      <c r="J676" s="27" t="n">
        <v>45926</v>
      </c>
      <c r="K676" t="inlineStr">
        <is>
          <t>Boleto Bancário</t>
        </is>
      </c>
      <c r="L676" t="inlineStr">
        <is>
          <t>Custo Mercadoria Vendida</t>
        </is>
      </c>
      <c r="M676" t="inlineStr">
        <is>
          <t>Insumos - Bebidas</t>
        </is>
      </c>
      <c r="N676" t="inlineStr">
        <is>
          <t>674442</t>
        </is>
      </c>
      <c r="O676" t="inlineStr">
        <is>
          <t>Documentação Aprovada</t>
        </is>
      </c>
      <c r="P676" t="inlineStr">
        <is>
          <t>Aprovado Diretoria</t>
        </is>
      </c>
      <c r="Q676" t="inlineStr">
        <is>
          <t>Aprovado Caixa</t>
        </is>
      </c>
      <c r="R676" t="inlineStr">
        <is>
          <t>Pago</t>
        </is>
      </c>
      <c r="S676" t="n">
        <v>182</v>
      </c>
      <c r="T676" t="inlineStr">
        <is>
          <t>Love - Shibari - Kamino</t>
        </is>
      </c>
    </row>
    <row r="677">
      <c r="A677" t="n">
        <v>163235</v>
      </c>
      <c r="B677" t="n">
        <v>128</v>
      </c>
      <c r="C677" t="inlineStr">
        <is>
          <t>Love Cabaret</t>
        </is>
      </c>
      <c r="D677" t="inlineStr">
        <is>
          <t xml:space="preserve">HORTIFRUTI DO CHEF LTDA </t>
        </is>
      </c>
      <c r="E677" t="n">
        <v>125.67</v>
      </c>
      <c r="F677" s="27" t="n">
        <v>45950</v>
      </c>
      <c r="G677" s="27" t="n">
        <v>45950</v>
      </c>
      <c r="H677" s="27" t="n">
        <v>45950</v>
      </c>
      <c r="I677" s="27" t="n">
        <v>45922</v>
      </c>
      <c r="J677" s="27" t="n">
        <v>45926</v>
      </c>
      <c r="K677" t="inlineStr">
        <is>
          <t>Boleto Bancário</t>
        </is>
      </c>
      <c r="L677" t="inlineStr">
        <is>
          <t>Custo Mercadoria Vendida</t>
        </is>
      </c>
      <c r="M677" t="inlineStr">
        <is>
          <t>Insumos - Alimentos</t>
        </is>
      </c>
      <c r="N677" t="inlineStr">
        <is>
          <t>27953</t>
        </is>
      </c>
      <c r="O677" t="inlineStr">
        <is>
          <t>Documentação Aprovada</t>
        </is>
      </c>
      <c r="P677" t="inlineStr">
        <is>
          <t>Aprovado Diretoria</t>
        </is>
      </c>
      <c r="Q677" t="inlineStr">
        <is>
          <t>Aprovado Caixa</t>
        </is>
      </c>
      <c r="R677" t="inlineStr">
        <is>
          <t>Pago</t>
        </is>
      </c>
      <c r="S677" t="n">
        <v>182</v>
      </c>
      <c r="T677" t="inlineStr">
        <is>
          <t>Love - Shibari - Kamino</t>
        </is>
      </c>
    </row>
    <row r="678">
      <c r="A678" t="n">
        <v>163234</v>
      </c>
      <c r="B678" t="n">
        <v>128</v>
      </c>
      <c r="C678" t="inlineStr">
        <is>
          <t>Love Cabaret</t>
        </is>
      </c>
      <c r="D678" t="inlineStr">
        <is>
          <t>CEPEL COMERCIO DE PAPEIS E EMBALAGENS LTDA</t>
        </is>
      </c>
      <c r="E678" t="n">
        <v>1266</v>
      </c>
      <c r="F678" s="27" t="n">
        <v>45950</v>
      </c>
      <c r="G678" s="27" t="n">
        <v>45950</v>
      </c>
      <c r="H678" s="27" t="n">
        <v>45950</v>
      </c>
      <c r="I678" s="27" t="n">
        <v>45922</v>
      </c>
      <c r="J678" s="27" t="n">
        <v>45926</v>
      </c>
      <c r="K678" t="inlineStr">
        <is>
          <t>Boleto Bancário</t>
        </is>
      </c>
      <c r="L678" t="inlineStr">
        <is>
          <t>Utilidades</t>
        </is>
      </c>
      <c r="M678" t="inlineStr">
        <is>
          <t>Higiene e Limpeza</t>
        </is>
      </c>
      <c r="N678" t="inlineStr">
        <is>
          <t>249063</t>
        </is>
      </c>
      <c r="O678" t="inlineStr">
        <is>
          <t>Documentação Aprovada</t>
        </is>
      </c>
      <c r="P678" t="inlineStr">
        <is>
          <t>Aprovado Diretoria</t>
        </is>
      </c>
      <c r="Q678" t="inlineStr">
        <is>
          <t>Aprovado Caixa</t>
        </is>
      </c>
      <c r="R678" t="inlineStr">
        <is>
          <t>Pago</t>
        </is>
      </c>
      <c r="S678" t="n">
        <v>182</v>
      </c>
      <c r="T678" t="inlineStr">
        <is>
          <t>Love - Shibari - Kamino</t>
        </is>
      </c>
    </row>
    <row r="679">
      <c r="A679" t="n">
        <v>163251</v>
      </c>
      <c r="B679" t="n">
        <v>128</v>
      </c>
      <c r="C679" t="inlineStr">
        <is>
          <t>Love Cabaret</t>
        </is>
      </c>
      <c r="D679" t="inlineStr">
        <is>
          <t xml:space="preserve">ARENA VIP DISTRIBUIDORA DE BEBIDAS LTDA </t>
        </is>
      </c>
      <c r="E679" t="n">
        <v>471</v>
      </c>
      <c r="F679" s="27" t="n">
        <v>45952</v>
      </c>
      <c r="G679" s="27" t="n">
        <v>45950</v>
      </c>
      <c r="H679" s="27" t="n">
        <v>45950</v>
      </c>
      <c r="I679" s="27" t="n">
        <v>45924</v>
      </c>
      <c r="J679" s="27" t="n">
        <v>45926</v>
      </c>
      <c r="K679" t="inlineStr">
        <is>
          <t>Boleto Bancário</t>
        </is>
      </c>
      <c r="L679" t="inlineStr">
        <is>
          <t>Custo Mercadoria Vendida</t>
        </is>
      </c>
      <c r="M679" t="inlineStr">
        <is>
          <t>Insumos - Bebidas</t>
        </is>
      </c>
      <c r="N679" t="inlineStr">
        <is>
          <t>13955</t>
        </is>
      </c>
      <c r="O679" t="inlineStr">
        <is>
          <t>Documentação Aprovada</t>
        </is>
      </c>
      <c r="P679" t="inlineStr">
        <is>
          <t>Aprovado Diretoria</t>
        </is>
      </c>
      <c r="Q679" t="inlineStr">
        <is>
          <t>Aprovado Caixa</t>
        </is>
      </c>
      <c r="R679" t="inlineStr">
        <is>
          <t>Pago</t>
        </is>
      </c>
      <c r="S679" t="n">
        <v>182</v>
      </c>
      <c r="T679" t="inlineStr">
        <is>
          <t>Love - Shibari - Kamino</t>
        </is>
      </c>
    </row>
    <row r="680">
      <c r="A680" t="n">
        <v>163249</v>
      </c>
      <c r="B680" t="n">
        <v>128</v>
      </c>
      <c r="C680" t="inlineStr">
        <is>
          <t>Love Cabaret</t>
        </is>
      </c>
      <c r="D680" t="inlineStr">
        <is>
          <t>MURILLO S DUARTE COMERCIAL LTDA</t>
        </is>
      </c>
      <c r="E680" t="n">
        <v>577</v>
      </c>
      <c r="F680" s="27" t="n">
        <v>45950</v>
      </c>
      <c r="G680" s="27" t="n">
        <v>45950</v>
      </c>
      <c r="H680" s="27" t="n">
        <v>45950</v>
      </c>
      <c r="I680" s="27" t="n">
        <v>45922</v>
      </c>
      <c r="J680" s="27" t="n">
        <v>45926</v>
      </c>
      <c r="K680" t="inlineStr">
        <is>
          <t>Boleto Bancário</t>
        </is>
      </c>
      <c r="L680" t="inlineStr">
        <is>
          <t>Utilidades</t>
        </is>
      </c>
      <c r="M680" t="inlineStr">
        <is>
          <t>Higiene e Limpeza</t>
        </is>
      </c>
      <c r="N680" t="inlineStr">
        <is>
          <t>2175</t>
        </is>
      </c>
      <c r="O680" t="inlineStr">
        <is>
          <t>Documentação Aprovada</t>
        </is>
      </c>
      <c r="P680" t="inlineStr">
        <is>
          <t>Aprovado Diretoria</t>
        </is>
      </c>
      <c r="Q680" t="inlineStr">
        <is>
          <t>Aprovado Caixa</t>
        </is>
      </c>
      <c r="R680" t="inlineStr">
        <is>
          <t>Pago</t>
        </is>
      </c>
      <c r="S680" t="n">
        <v>182</v>
      </c>
      <c r="T680" t="inlineStr">
        <is>
          <t>Love - Shibari - Kamino</t>
        </is>
      </c>
    </row>
    <row r="681">
      <c r="A681" t="n">
        <v>163246</v>
      </c>
      <c r="B681" t="n">
        <v>128</v>
      </c>
      <c r="C681" t="inlineStr">
        <is>
          <t>Love Cabaret</t>
        </is>
      </c>
      <c r="D681" t="inlineStr">
        <is>
          <t>PROAUTO INDUSTRIA QUIMICA EIRELI</t>
        </is>
      </c>
      <c r="E681" t="n">
        <v>382.69</v>
      </c>
      <c r="F681" s="27" t="n">
        <v>45951</v>
      </c>
      <c r="G681" s="27" t="n">
        <v>45950</v>
      </c>
      <c r="H681" s="27" t="n">
        <v>45950</v>
      </c>
      <c r="I681" s="27" t="n">
        <v>45923</v>
      </c>
      <c r="J681" s="27" t="n">
        <v>45926</v>
      </c>
      <c r="K681" t="inlineStr">
        <is>
          <t>Boleto Bancário</t>
        </is>
      </c>
      <c r="L681" t="inlineStr">
        <is>
          <t>Utilidades</t>
        </is>
      </c>
      <c r="M681" t="inlineStr">
        <is>
          <t>Higiene e Limpeza</t>
        </is>
      </c>
      <c r="N681" t="inlineStr">
        <is>
          <t>144799</t>
        </is>
      </c>
      <c r="O681" t="inlineStr">
        <is>
          <t>Documentação Aprovada</t>
        </is>
      </c>
      <c r="P681" t="inlineStr">
        <is>
          <t>Aprovado Diretoria</t>
        </is>
      </c>
      <c r="Q681" t="inlineStr">
        <is>
          <t>Aprovado Caixa</t>
        </is>
      </c>
      <c r="R681" t="inlineStr">
        <is>
          <t>Pago</t>
        </is>
      </c>
      <c r="S681" t="n">
        <v>182</v>
      </c>
      <c r="T681" t="inlineStr">
        <is>
          <t>Love - Shibari - Kamino</t>
        </is>
      </c>
    </row>
    <row r="682">
      <c r="A682" t="n">
        <v>168658</v>
      </c>
      <c r="B682" t="n">
        <v>128</v>
      </c>
      <c r="C682" t="inlineStr">
        <is>
          <t>Love Cabaret</t>
        </is>
      </c>
      <c r="D682" t="inlineStr">
        <is>
          <t>PREFEITURA DE SÃO PAULO</t>
        </is>
      </c>
      <c r="E682" t="n">
        <v>1748.27</v>
      </c>
      <c r="F682" s="27" t="n">
        <v>45950</v>
      </c>
      <c r="G682" s="27" t="n">
        <v>45950</v>
      </c>
      <c r="H682" s="27" t="n">
        <v>45950</v>
      </c>
      <c r="I682" s="27" t="n">
        <v>45950</v>
      </c>
      <c r="J682" s="27" t="n"/>
      <c r="K682" t="inlineStr">
        <is>
          <t>Boleto Bancário</t>
        </is>
      </c>
      <c r="L682" t="inlineStr">
        <is>
          <t>Despesas Financeiras</t>
        </is>
      </c>
      <c r="M682" t="inlineStr">
        <is>
          <t>Impostos Parcelados - Despesas Financeiras</t>
        </is>
      </c>
      <c r="N682" t="inlineStr">
        <is>
          <t>102025</t>
        </is>
      </c>
      <c r="O682" t="inlineStr">
        <is>
          <t>Documentação Aprovada</t>
        </is>
      </c>
      <c r="P682" t="inlineStr">
        <is>
          <t>Aprovado Diretoria</t>
        </is>
      </c>
      <c r="Q682" t="inlineStr">
        <is>
          <t>Aprovado Caixa</t>
        </is>
      </c>
      <c r="R682" t="inlineStr">
        <is>
          <t>Pago</t>
        </is>
      </c>
      <c r="S682" t="n">
        <v>182</v>
      </c>
      <c r="T682" t="inlineStr">
        <is>
          <t>Love - Shibari - Kamino</t>
        </is>
      </c>
    </row>
    <row r="683">
      <c r="A683" t="n">
        <v>165155</v>
      </c>
      <c r="B683" t="n">
        <v>128</v>
      </c>
      <c r="C683" t="inlineStr">
        <is>
          <t>Love Cabaret</t>
        </is>
      </c>
      <c r="D683" t="inlineStr">
        <is>
          <t>INSS</t>
        </is>
      </c>
      <c r="E683" t="n">
        <v>1397.71</v>
      </c>
      <c r="F683" s="27" t="n">
        <v>45950</v>
      </c>
      <c r="G683" s="27" t="n">
        <v>45950</v>
      </c>
      <c r="H683" s="27" t="n">
        <v>45950</v>
      </c>
      <c r="I683" s="27" t="n">
        <v>45901</v>
      </c>
      <c r="J683" s="27" t="n">
        <v>45933</v>
      </c>
      <c r="K683" t="inlineStr">
        <is>
          <t>Boleto Bancário</t>
        </is>
      </c>
      <c r="L683" t="inlineStr">
        <is>
          <t>Mão de Obra - Encargos e Provisões</t>
        </is>
      </c>
      <c r="M683" t="inlineStr">
        <is>
          <t xml:space="preserve">  -  INSS Segurados</t>
        </is>
      </c>
      <c r="N683" t="inlineStr">
        <is>
          <t>139771 092025</t>
        </is>
      </c>
      <c r="O683" t="inlineStr">
        <is>
          <t>Documentação Aprovada</t>
        </is>
      </c>
      <c r="P683" t="inlineStr">
        <is>
          <t>Aprovado Diretoria</t>
        </is>
      </c>
      <c r="Q683" t="inlineStr">
        <is>
          <t>Aprovado Caixa</t>
        </is>
      </c>
      <c r="R683" t="inlineStr">
        <is>
          <t>Pago</t>
        </is>
      </c>
      <c r="S683" t="n">
        <v>182</v>
      </c>
      <c r="T683" t="inlineStr">
        <is>
          <t>Love - Shibari - Kamino</t>
        </is>
      </c>
    </row>
    <row r="684">
      <c r="A684" t="n">
        <v>165158</v>
      </c>
      <c r="B684" t="n">
        <v>128</v>
      </c>
      <c r="C684" t="inlineStr">
        <is>
          <t>Love Cabaret</t>
        </is>
      </c>
      <c r="D684" t="inlineStr">
        <is>
          <t>IRRF</t>
        </is>
      </c>
      <c r="E684" t="n">
        <v>984.34</v>
      </c>
      <c r="F684" s="27" t="n">
        <v>45950</v>
      </c>
      <c r="G684" s="27" t="n">
        <v>45950</v>
      </c>
      <c r="H684" s="27" t="n">
        <v>45950</v>
      </c>
      <c r="I684" s="27" t="n">
        <v>45901</v>
      </c>
      <c r="J684" s="27" t="n">
        <v>45933</v>
      </c>
      <c r="K684" t="inlineStr">
        <is>
          <t>Boleto Bancário</t>
        </is>
      </c>
      <c r="L684" t="inlineStr">
        <is>
          <t>Mão de Obra - Encargos e Provisões</t>
        </is>
      </c>
      <c r="M684" t="inlineStr">
        <is>
          <t>IRRF - MDO CLT - Salário</t>
        </is>
      </c>
      <c r="N684" t="inlineStr">
        <is>
          <t>98434 092025</t>
        </is>
      </c>
      <c r="O684" t="inlineStr">
        <is>
          <t>Documentação Aprovada</t>
        </is>
      </c>
      <c r="P684" t="inlineStr">
        <is>
          <t>Aprovado Diretoria</t>
        </is>
      </c>
      <c r="Q684" t="inlineStr">
        <is>
          <t>Aprovado Caixa</t>
        </is>
      </c>
      <c r="R684" t="inlineStr">
        <is>
          <t>Pago</t>
        </is>
      </c>
      <c r="S684" t="n">
        <v>182</v>
      </c>
      <c r="T684" t="inlineStr">
        <is>
          <t>Love - Shibari - Kamino</t>
        </is>
      </c>
    </row>
    <row r="685">
      <c r="A685" t="n">
        <v>165152</v>
      </c>
      <c r="B685" t="n">
        <v>128</v>
      </c>
      <c r="C685" t="inlineStr">
        <is>
          <t>Love Cabaret</t>
        </is>
      </c>
      <c r="D685" t="inlineStr">
        <is>
          <t>INSS</t>
        </is>
      </c>
      <c r="E685" t="n">
        <v>3658.68</v>
      </c>
      <c r="F685" s="27" t="n">
        <v>45950</v>
      </c>
      <c r="G685" s="27" t="n">
        <v>45950</v>
      </c>
      <c r="H685" s="27" t="n">
        <v>45950</v>
      </c>
      <c r="I685" s="27" t="n">
        <v>45901</v>
      </c>
      <c r="J685" s="27" t="n">
        <v>45933</v>
      </c>
      <c r="K685" t="inlineStr">
        <is>
          <t>Boleto Bancário</t>
        </is>
      </c>
      <c r="L685" t="inlineStr">
        <is>
          <t>Mão de Obra - Encargos e Provisões</t>
        </is>
      </c>
      <c r="M685" t="inlineStr">
        <is>
          <t xml:space="preserve">  -  INSS Patronal</t>
        </is>
      </c>
      <c r="N685" t="inlineStr">
        <is>
          <t>365868 092025</t>
        </is>
      </c>
      <c r="O685" t="inlineStr">
        <is>
          <t>Documentação Aprovada</t>
        </is>
      </c>
      <c r="P685" t="inlineStr">
        <is>
          <t>Aprovado Diretoria</t>
        </is>
      </c>
      <c r="Q685" t="inlineStr">
        <is>
          <t>Aprovado Caixa</t>
        </is>
      </c>
      <c r="R685" t="inlineStr">
        <is>
          <t>Pago</t>
        </is>
      </c>
      <c r="S685" t="n">
        <v>182</v>
      </c>
      <c r="T685" t="inlineStr">
        <is>
          <t>Love - Shibari - Kamino</t>
        </is>
      </c>
    </row>
    <row r="686">
      <c r="A686" t="n">
        <v>165150</v>
      </c>
      <c r="B686" t="n">
        <v>128</v>
      </c>
      <c r="C686" t="inlineStr">
        <is>
          <t>Love Cabaret</t>
        </is>
      </c>
      <c r="D686" t="inlineStr">
        <is>
          <t>FGTS</t>
        </is>
      </c>
      <c r="E686" t="n">
        <v>1016.3</v>
      </c>
      <c r="F686" s="27" t="n">
        <v>45950</v>
      </c>
      <c r="G686" s="27" t="n">
        <v>45950</v>
      </c>
      <c r="H686" s="27" t="n">
        <v>45950</v>
      </c>
      <c r="I686" s="27" t="n">
        <v>45901</v>
      </c>
      <c r="J686" s="27" t="n">
        <v>45933</v>
      </c>
      <c r="K686" t="inlineStr">
        <is>
          <t>Transferência Bancária ou Pix</t>
        </is>
      </c>
      <c r="L686" t="inlineStr">
        <is>
          <t>Mão de Obra - Encargos e Provisões</t>
        </is>
      </c>
      <c r="M686" t="inlineStr">
        <is>
          <t xml:space="preserve">  -  FGTS</t>
        </is>
      </c>
      <c r="N686" t="inlineStr">
        <is>
          <t>101630 092025</t>
        </is>
      </c>
      <c r="O686" t="inlineStr">
        <is>
          <t>Documentação Aprovada</t>
        </is>
      </c>
      <c r="P686" t="inlineStr">
        <is>
          <t>Aprovado Diretoria</t>
        </is>
      </c>
      <c r="Q686" t="inlineStr">
        <is>
          <t>Aprovado Caixa</t>
        </is>
      </c>
      <c r="R686" t="inlineStr">
        <is>
          <t>Pago</t>
        </is>
      </c>
      <c r="S686" t="n">
        <v>182</v>
      </c>
      <c r="T686" t="inlineStr">
        <is>
          <t>Love - Shibari - Kamino</t>
        </is>
      </c>
    </row>
    <row r="687">
      <c r="A687" t="n">
        <v>169031</v>
      </c>
      <c r="B687" t="n">
        <v>128</v>
      </c>
      <c r="C687" t="inlineStr">
        <is>
          <t>Love Cabaret</t>
        </is>
      </c>
      <c r="D687" t="inlineStr">
        <is>
          <t>BRADESCO SA</t>
        </is>
      </c>
      <c r="E687" t="n">
        <v>9.800000000000001</v>
      </c>
      <c r="F687" s="27" t="n">
        <v>45947</v>
      </c>
      <c r="G687" s="27" t="n"/>
      <c r="H687" s="27" t="n">
        <v>45947</v>
      </c>
      <c r="I687" s="27" t="n">
        <v>45947</v>
      </c>
      <c r="J687" s="27" t="n">
        <v>45952</v>
      </c>
      <c r="K687" t="inlineStr">
        <is>
          <t>Encontro de Contas</t>
        </is>
      </c>
      <c r="L687" t="inlineStr">
        <is>
          <t>Despesas Financeiras</t>
        </is>
      </c>
      <c r="M687" t="inlineStr">
        <is>
          <t>Tarifas Bancárias</t>
        </is>
      </c>
      <c r="N687" t="inlineStr">
        <is>
          <t>10/2025</t>
        </is>
      </c>
      <c r="R687" t="inlineStr">
        <is>
          <t>Pago</t>
        </is>
      </c>
    </row>
    <row r="688">
      <c r="A688" t="n">
        <v>171003</v>
      </c>
      <c r="B688" t="n">
        <v>128</v>
      </c>
      <c r="C688" t="inlineStr">
        <is>
          <t>Love Cabaret</t>
        </is>
      </c>
      <c r="D688" t="inlineStr">
        <is>
          <t>MERCADO PAGO.COM REPRESENTACOES LTDA</t>
        </is>
      </c>
      <c r="E688" t="n">
        <v>36.9</v>
      </c>
      <c r="F688" s="27" t="n">
        <v>45946</v>
      </c>
      <c r="G688" s="27" t="n">
        <v>45999</v>
      </c>
      <c r="H688" s="27" t="n">
        <v>45946</v>
      </c>
      <c r="I688" s="27" t="n">
        <v>45947</v>
      </c>
      <c r="J688" s="27" t="n">
        <v>45959</v>
      </c>
      <c r="K688" t="inlineStr">
        <is>
          <t>Transferência Bancária ou Pix</t>
        </is>
      </c>
      <c r="L688" t="inlineStr">
        <is>
          <t>Utilidades</t>
        </is>
      </c>
      <c r="M688" t="inlineStr">
        <is>
          <t>Utensilios</t>
        </is>
      </c>
      <c r="N688" t="inlineStr">
        <is>
          <t>551502</t>
        </is>
      </c>
      <c r="O688" t="inlineStr">
        <is>
          <t>Documentação Aprovada</t>
        </is>
      </c>
      <c r="P688" t="inlineStr">
        <is>
          <t>Aprovado Diretoria</t>
        </is>
      </c>
      <c r="Q688" t="inlineStr">
        <is>
          <t>Aprovado Caixa</t>
        </is>
      </c>
      <c r="R688" t="inlineStr">
        <is>
          <t>Pago</t>
        </is>
      </c>
      <c r="S688" t="n">
        <v>182</v>
      </c>
      <c r="T688" t="inlineStr">
        <is>
          <t>Love - Shibari - Kamino</t>
        </is>
      </c>
    </row>
    <row r="689">
      <c r="A689" t="n">
        <v>171007</v>
      </c>
      <c r="B689" t="n">
        <v>128</v>
      </c>
      <c r="C689" t="inlineStr">
        <is>
          <t>Love Cabaret</t>
        </is>
      </c>
      <c r="D689" t="inlineStr">
        <is>
          <t>MERCADO PAGO.COM REPRESENTACOES LTDA</t>
        </is>
      </c>
      <c r="E689" t="n">
        <v>297.09</v>
      </c>
      <c r="F689" s="27" t="n">
        <v>45946</v>
      </c>
      <c r="G689" s="27" t="n"/>
      <c r="H689" s="27" t="n">
        <v>45946</v>
      </c>
      <c r="I689" s="27" t="n">
        <v>45946</v>
      </c>
      <c r="J689" s="27" t="n">
        <v>45959</v>
      </c>
      <c r="K689" t="inlineStr">
        <is>
          <t>Transferência Bancária ou Pix</t>
        </is>
      </c>
      <c r="L689" t="inlineStr">
        <is>
          <t>Utilidades</t>
        </is>
      </c>
      <c r="M689" t="inlineStr">
        <is>
          <t>Higiene e Limpeza</t>
        </is>
      </c>
      <c r="N689" t="inlineStr">
        <is>
          <t>89770</t>
        </is>
      </c>
      <c r="R689" t="inlineStr">
        <is>
          <t>Pago</t>
        </is>
      </c>
      <c r="S689" t="n">
        <v>140</v>
      </c>
      <c r="T689" t="inlineStr">
        <is>
          <t>Bar Leo  - Leo Aurora - Kamino</t>
        </is>
      </c>
    </row>
    <row r="690">
      <c r="A690" t="n">
        <v>171728</v>
      </c>
      <c r="B690" t="n">
        <v>128</v>
      </c>
      <c r="C690" t="inlineStr">
        <is>
          <t>Love Cabaret</t>
        </is>
      </c>
      <c r="D690" t="inlineStr">
        <is>
          <t>BRADESCO SA</t>
        </is>
      </c>
      <c r="E690" t="n">
        <v>186.85</v>
      </c>
      <c r="F690" s="27" t="n">
        <v>45945</v>
      </c>
      <c r="G690" s="27" t="n"/>
      <c r="H690" s="27" t="n">
        <v>45945</v>
      </c>
      <c r="I690" s="27" t="n">
        <v>45945</v>
      </c>
      <c r="J690" s="27" t="n"/>
      <c r="K690" t="inlineStr">
        <is>
          <t xml:space="preserve">Debito Automático </t>
        </is>
      </c>
      <c r="L690" t="inlineStr">
        <is>
          <t>Despesas Financeiras</t>
        </is>
      </c>
      <c r="M690" t="inlineStr">
        <is>
          <t>Tarifas Bancárias</t>
        </is>
      </c>
      <c r="O690" t="inlineStr">
        <is>
          <t>Documentação Aprovada</t>
        </is>
      </c>
      <c r="P690" t="inlineStr">
        <is>
          <t>Aprovado Diretoria</t>
        </is>
      </c>
      <c r="Q690" t="inlineStr">
        <is>
          <t>Aprovado Caixa</t>
        </is>
      </c>
      <c r="R690" t="inlineStr">
        <is>
          <t>Pago</t>
        </is>
      </c>
      <c r="S690" t="n">
        <v>115</v>
      </c>
      <c r="T690" t="inlineStr">
        <is>
          <t>Love - Shibari - Bradesco</t>
        </is>
      </c>
    </row>
    <row r="691">
      <c r="A691" t="n">
        <v>166029</v>
      </c>
      <c r="B691" t="n">
        <v>128</v>
      </c>
      <c r="C691" t="inlineStr">
        <is>
          <t>Love Cabaret</t>
        </is>
      </c>
      <c r="D691" t="inlineStr">
        <is>
          <t>CECILIA TSUYACO ARAKI SILVA LTDA</t>
        </is>
      </c>
      <c r="E691" t="n">
        <v>268.35</v>
      </c>
      <c r="F691" s="27" t="n">
        <v>45946</v>
      </c>
      <c r="G691" s="27" t="n">
        <v>45945</v>
      </c>
      <c r="H691" s="27" t="n">
        <v>45945</v>
      </c>
      <c r="I691" s="27" t="n">
        <v>45932</v>
      </c>
      <c r="J691" s="27" t="n">
        <v>45938</v>
      </c>
      <c r="K691" t="inlineStr">
        <is>
          <t>Boleto Bancário</t>
        </is>
      </c>
      <c r="L691" t="inlineStr">
        <is>
          <t>Custo Mercadoria Vendida</t>
        </is>
      </c>
      <c r="M691" t="inlineStr">
        <is>
          <t>Insumos - Alimentos</t>
        </is>
      </c>
      <c r="N691" t="inlineStr">
        <is>
          <t>379125</t>
        </is>
      </c>
      <c r="O691" t="inlineStr">
        <is>
          <t>Documentação Aprovada</t>
        </is>
      </c>
      <c r="P691" t="inlineStr">
        <is>
          <t>Aprovado Diretoria</t>
        </is>
      </c>
      <c r="Q691" t="inlineStr">
        <is>
          <t>Aprovado Caixa</t>
        </is>
      </c>
      <c r="R691" t="inlineStr">
        <is>
          <t>Pago</t>
        </is>
      </c>
      <c r="S691" t="n">
        <v>182</v>
      </c>
      <c r="T691" t="inlineStr">
        <is>
          <t>Love - Shibari - Kamino</t>
        </is>
      </c>
    </row>
    <row r="692">
      <c r="A692" t="n">
        <v>164730</v>
      </c>
      <c r="B692" t="n">
        <v>128</v>
      </c>
      <c r="C692" t="inlineStr">
        <is>
          <t>Love Cabaret</t>
        </is>
      </c>
      <c r="D692" t="inlineStr">
        <is>
          <t>FABLAB INOVACAO E SOLUCOES</t>
        </is>
      </c>
      <c r="E692" t="n">
        <v>389</v>
      </c>
      <c r="F692" s="27" t="n">
        <v>45947</v>
      </c>
      <c r="G692" s="27" t="n">
        <v>45945</v>
      </c>
      <c r="H692" s="27" t="n">
        <v>45945</v>
      </c>
      <c r="I692" s="27" t="n">
        <v>45901</v>
      </c>
      <c r="J692" s="27" t="n">
        <v>45932</v>
      </c>
      <c r="K692" t="inlineStr">
        <is>
          <t>Boleto Bancário</t>
        </is>
      </c>
      <c r="L692" t="inlineStr">
        <is>
          <t>Informática e TI</t>
        </is>
      </c>
      <c r="M692" t="inlineStr">
        <is>
          <t>Sistemas Gerais - Financeiros</t>
        </is>
      </c>
      <c r="N692" t="inlineStr">
        <is>
          <t>177</t>
        </is>
      </c>
      <c r="O692" t="inlineStr">
        <is>
          <t>Documentação Aprovada</t>
        </is>
      </c>
      <c r="P692" t="inlineStr">
        <is>
          <t>Aprovado Diretoria</t>
        </is>
      </c>
      <c r="Q692" t="inlineStr">
        <is>
          <t>Aprovado Caixa</t>
        </is>
      </c>
      <c r="R692" t="inlineStr">
        <is>
          <t>Pago</t>
        </is>
      </c>
      <c r="S692" t="n">
        <v>182</v>
      </c>
      <c r="T692" t="inlineStr">
        <is>
          <t>Love - Shibari - Kamino</t>
        </is>
      </c>
    </row>
    <row r="693">
      <c r="A693" t="n">
        <v>165298</v>
      </c>
      <c r="B693" t="n">
        <v>128</v>
      </c>
      <c r="C693" t="inlineStr">
        <is>
          <t>Love Cabaret</t>
        </is>
      </c>
      <c r="D693" t="inlineStr">
        <is>
          <t>LALAMOVE TECNOLOGIA (BRASIL) LTDA</t>
        </is>
      </c>
      <c r="E693" t="n">
        <v>204.79</v>
      </c>
      <c r="F693" s="27" t="n">
        <v>45948</v>
      </c>
      <c r="G693" s="27" t="n">
        <v>45945</v>
      </c>
      <c r="H693" s="27" t="n">
        <v>45945</v>
      </c>
      <c r="I693" s="27" t="n">
        <v>45930</v>
      </c>
      <c r="J693" s="27" t="n">
        <v>45933</v>
      </c>
      <c r="K693" t="inlineStr">
        <is>
          <t>Transferência Bancária ou Pix</t>
        </is>
      </c>
      <c r="L693" t="inlineStr">
        <is>
          <t>Despesas com Transporte / Hospedagem</t>
        </is>
      </c>
      <c r="M693" t="inlineStr">
        <is>
          <t>Fretes e Carretos</t>
        </is>
      </c>
      <c r="N693" t="inlineStr">
        <is>
          <t>55</t>
        </is>
      </c>
      <c r="O693" t="inlineStr">
        <is>
          <t>Documentação Aprovada</t>
        </is>
      </c>
      <c r="P693" t="inlineStr">
        <is>
          <t>Aprovado Diretoria</t>
        </is>
      </c>
      <c r="Q693" t="inlineStr">
        <is>
          <t>Aprovado Caixa</t>
        </is>
      </c>
      <c r="R693" t="inlineStr">
        <is>
          <t>Pago</t>
        </is>
      </c>
      <c r="S693" t="n">
        <v>182</v>
      </c>
      <c r="T693" t="inlineStr">
        <is>
          <t>Love - Shibari - Kamino</t>
        </is>
      </c>
    </row>
    <row r="694">
      <c r="A694" t="n">
        <v>167314</v>
      </c>
      <c r="B694" t="n">
        <v>128</v>
      </c>
      <c r="C694" t="inlineStr">
        <is>
          <t>Love Cabaret</t>
        </is>
      </c>
      <c r="D694" t="inlineStr">
        <is>
          <t>TRIBUNAL DE JUSTIÇA</t>
        </is>
      </c>
      <c r="E694" t="n">
        <v>200</v>
      </c>
      <c r="F694" s="27" t="n">
        <v>45945</v>
      </c>
      <c r="G694" s="27" t="n">
        <v>45945</v>
      </c>
      <c r="H694" s="27" t="n">
        <v>45945</v>
      </c>
      <c r="I694" s="27" t="n">
        <v>45945</v>
      </c>
      <c r="J694" s="27" t="n"/>
      <c r="K694" t="inlineStr">
        <is>
          <t>Boleto Bancário</t>
        </is>
      </c>
      <c r="L694" t="inlineStr">
        <is>
          <t>Endividamento</t>
        </is>
      </c>
      <c r="M694" t="inlineStr">
        <is>
          <t>Recurso Processual</t>
        </is>
      </c>
      <c r="N694" t="inlineStr">
        <is>
          <t>1000211874</t>
        </is>
      </c>
      <c r="O694" t="inlineStr">
        <is>
          <t>Documentação Aprovada</t>
        </is>
      </c>
      <c r="P694" t="inlineStr">
        <is>
          <t>Aprovado Diretoria</t>
        </is>
      </c>
      <c r="Q694" t="inlineStr">
        <is>
          <t>Aprovado Caixa</t>
        </is>
      </c>
      <c r="R694" t="inlineStr">
        <is>
          <t>Pago</t>
        </is>
      </c>
      <c r="S694" t="n">
        <v>182</v>
      </c>
      <c r="T694" t="inlineStr">
        <is>
          <t>Love - Shibari - Kamino</t>
        </is>
      </c>
    </row>
    <row r="695">
      <c r="A695" t="n">
        <v>163230</v>
      </c>
      <c r="B695" t="n">
        <v>128</v>
      </c>
      <c r="C695" t="inlineStr">
        <is>
          <t>Love Cabaret</t>
        </is>
      </c>
      <c r="D695" t="inlineStr">
        <is>
          <t>KING COMERCIO E IMPORTACAO DE BEBIDAS LTDA</t>
        </is>
      </c>
      <c r="E695" t="n">
        <v>3364.92</v>
      </c>
      <c r="F695" s="27" t="n">
        <v>45947</v>
      </c>
      <c r="G695" s="27" t="n">
        <v>45945</v>
      </c>
      <c r="H695" s="27" t="n">
        <v>45945</v>
      </c>
      <c r="I695" s="27" t="n">
        <v>45919</v>
      </c>
      <c r="J695" s="27" t="n">
        <v>45926</v>
      </c>
      <c r="K695" t="inlineStr">
        <is>
          <t>Boleto Bancário</t>
        </is>
      </c>
      <c r="L695" t="inlineStr">
        <is>
          <t>Custo Mercadoria Vendida</t>
        </is>
      </c>
      <c r="M695" t="inlineStr">
        <is>
          <t>Insumos - Bebidas</t>
        </is>
      </c>
      <c r="N695" t="inlineStr">
        <is>
          <t>121393</t>
        </is>
      </c>
      <c r="O695" t="inlineStr">
        <is>
          <t>Documentação Aprovada</t>
        </is>
      </c>
      <c r="P695" t="inlineStr">
        <is>
          <t>Aprovado Diretoria</t>
        </is>
      </c>
      <c r="Q695" t="inlineStr">
        <is>
          <t>Aprovado Caixa</t>
        </is>
      </c>
      <c r="R695" t="inlineStr">
        <is>
          <t>Pago</t>
        </is>
      </c>
      <c r="S695" t="n">
        <v>182</v>
      </c>
      <c r="T695" t="inlineStr">
        <is>
          <t>Love - Shibari - Kamino</t>
        </is>
      </c>
    </row>
    <row r="696">
      <c r="A696" t="n">
        <v>163217</v>
      </c>
      <c r="B696" t="n">
        <v>128</v>
      </c>
      <c r="C696" t="inlineStr">
        <is>
          <t>Love Cabaret</t>
        </is>
      </c>
      <c r="D696" t="inlineStr">
        <is>
          <t xml:space="preserve">ARENA VIP DISTRIBUIDORA DE BEBIDAS LTDA </t>
        </is>
      </c>
      <c r="E696" t="n">
        <v>762.26</v>
      </c>
      <c r="F696" s="27" t="n">
        <v>45947</v>
      </c>
      <c r="G696" s="27" t="n">
        <v>45945</v>
      </c>
      <c r="H696" s="27" t="n">
        <v>45945</v>
      </c>
      <c r="I696" s="27" t="n">
        <v>45919</v>
      </c>
      <c r="J696" s="27" t="n">
        <v>45926</v>
      </c>
      <c r="K696" t="inlineStr">
        <is>
          <t>Boleto Bancário</t>
        </is>
      </c>
      <c r="L696" t="inlineStr">
        <is>
          <t>Custo Mercadoria Vendida</t>
        </is>
      </c>
      <c r="M696" t="inlineStr">
        <is>
          <t>Insumos - Bebidas</t>
        </is>
      </c>
      <c r="N696" t="inlineStr">
        <is>
          <t>13574</t>
        </is>
      </c>
      <c r="O696" t="inlineStr">
        <is>
          <t>Documentação Aprovada</t>
        </is>
      </c>
      <c r="P696" t="inlineStr">
        <is>
          <t>Aprovado Diretoria</t>
        </is>
      </c>
      <c r="Q696" t="inlineStr">
        <is>
          <t>Aprovado Caixa</t>
        </is>
      </c>
      <c r="R696" t="inlineStr">
        <is>
          <t>Pago</t>
        </is>
      </c>
      <c r="S696" t="n">
        <v>182</v>
      </c>
      <c r="T696" t="inlineStr">
        <is>
          <t>Love - Shibari - Kamino</t>
        </is>
      </c>
    </row>
    <row r="697">
      <c r="A697" t="n">
        <v>163216</v>
      </c>
      <c r="B697" t="n">
        <v>128</v>
      </c>
      <c r="C697" t="inlineStr">
        <is>
          <t>Love Cabaret</t>
        </is>
      </c>
      <c r="D697" t="inlineStr">
        <is>
          <t>PROAUTO INDUSTRIA QUIMICA EIRELI</t>
        </is>
      </c>
      <c r="E697" t="n">
        <v>2077.94</v>
      </c>
      <c r="F697" s="27" t="n">
        <v>45946</v>
      </c>
      <c r="G697" s="27" t="n">
        <v>45945</v>
      </c>
      <c r="H697" s="27" t="n">
        <v>45945</v>
      </c>
      <c r="I697" s="27" t="n">
        <v>45918</v>
      </c>
      <c r="J697" s="27" t="n">
        <v>45926</v>
      </c>
      <c r="K697" t="inlineStr">
        <is>
          <t>Boleto Bancário</t>
        </is>
      </c>
      <c r="L697" t="inlineStr">
        <is>
          <t>Utilidades</t>
        </is>
      </c>
      <c r="M697" t="inlineStr">
        <is>
          <t>Higiene e Limpeza</t>
        </is>
      </c>
      <c r="N697" t="inlineStr">
        <is>
          <t>144617</t>
        </is>
      </c>
      <c r="O697" t="inlineStr">
        <is>
          <t>Documentação Aprovada</t>
        </is>
      </c>
      <c r="P697" t="inlineStr">
        <is>
          <t>Aprovado Diretoria</t>
        </is>
      </c>
      <c r="Q697" t="inlineStr">
        <is>
          <t>Aprovado Caixa</t>
        </is>
      </c>
      <c r="R697" t="inlineStr">
        <is>
          <t>Pago</t>
        </is>
      </c>
      <c r="S697" t="n">
        <v>182</v>
      </c>
      <c r="T697" t="inlineStr">
        <is>
          <t>Love - Shibari - Kamino</t>
        </is>
      </c>
    </row>
    <row r="698">
      <c r="A698" t="n">
        <v>162480</v>
      </c>
      <c r="B698" t="n">
        <v>128</v>
      </c>
      <c r="C698" t="inlineStr">
        <is>
          <t>Love Cabaret</t>
        </is>
      </c>
      <c r="D698" t="inlineStr">
        <is>
          <t>PORTO SEGURO SEGURO SAUDE SA</t>
        </is>
      </c>
      <c r="E698" t="n">
        <v>46.35</v>
      </c>
      <c r="F698" s="27" t="n">
        <v>45952</v>
      </c>
      <c r="G698" s="27" t="n">
        <v>45945</v>
      </c>
      <c r="H698" s="27" t="n">
        <v>45945</v>
      </c>
      <c r="I698" s="27" t="n">
        <v>45931</v>
      </c>
      <c r="J698" s="27" t="n">
        <v>45923</v>
      </c>
      <c r="K698" t="inlineStr">
        <is>
          <t>Boleto Bancário</t>
        </is>
      </c>
      <c r="L698" t="inlineStr">
        <is>
          <t>Mão de Obra - Benefícios</t>
        </is>
      </c>
      <c r="M698" t="inlineStr">
        <is>
          <t xml:space="preserve">  -  Seguro de Vida</t>
        </is>
      </c>
      <c r="N698" t="inlineStr">
        <is>
          <t>4635 102025</t>
        </is>
      </c>
      <c r="O698" t="inlineStr">
        <is>
          <t>Documentação Aprovada</t>
        </is>
      </c>
      <c r="P698" t="inlineStr">
        <is>
          <t>Aprovado Diretoria</t>
        </is>
      </c>
      <c r="Q698" t="inlineStr">
        <is>
          <t>Aprovado Caixa</t>
        </is>
      </c>
      <c r="R698" t="inlineStr">
        <is>
          <t>Pago</t>
        </is>
      </c>
      <c r="S698" t="n">
        <v>182</v>
      </c>
      <c r="T698" t="inlineStr">
        <is>
          <t>Love - Shibari - Kamino</t>
        </is>
      </c>
    </row>
    <row r="699">
      <c r="A699" t="n">
        <v>108206</v>
      </c>
      <c r="B699" t="n">
        <v>128</v>
      </c>
      <c r="C699" t="inlineStr">
        <is>
          <t>Love Cabaret</t>
        </is>
      </c>
      <c r="D699" t="inlineStr">
        <is>
          <t>DLOCAL BRASIL PAGAMENTOS LTDA  - DMK</t>
        </is>
      </c>
      <c r="E699" t="n">
        <v>9000</v>
      </c>
      <c r="F699" s="27" t="n">
        <v>45949</v>
      </c>
      <c r="G699" s="27" t="n">
        <v>45945</v>
      </c>
      <c r="H699" s="27" t="n">
        <v>45945</v>
      </c>
      <c r="I699" s="27" t="n">
        <v>45945</v>
      </c>
      <c r="J699" s="27" t="n"/>
      <c r="K699" t="inlineStr">
        <is>
          <t>Boleto Bancário</t>
        </is>
      </c>
      <c r="L699" t="inlineStr">
        <is>
          <t>Marketing</t>
        </is>
      </c>
      <c r="M699" t="inlineStr">
        <is>
          <t>Publicidade e Propaganda</t>
        </is>
      </c>
      <c r="N699" t="inlineStr">
        <is>
          <t xml:space="preserve">15085498785 </t>
        </is>
      </c>
      <c r="O699" t="inlineStr">
        <is>
          <t>Documentação Aprovada</t>
        </is>
      </c>
      <c r="P699" t="inlineStr">
        <is>
          <t>Aprovado Diretoria</t>
        </is>
      </c>
      <c r="Q699" t="inlineStr">
        <is>
          <t>Aprovado Caixa</t>
        </is>
      </c>
      <c r="R699" t="inlineStr">
        <is>
          <t>Pago</t>
        </is>
      </c>
      <c r="S699" t="n">
        <v>182</v>
      </c>
      <c r="T699" t="inlineStr">
        <is>
          <t>Love - Shibari - Kamino</t>
        </is>
      </c>
    </row>
    <row r="700">
      <c r="A700" t="n">
        <v>109222</v>
      </c>
      <c r="B700" t="n">
        <v>128</v>
      </c>
      <c r="C700" t="inlineStr">
        <is>
          <t>Love Cabaret</t>
        </is>
      </c>
      <c r="D700" t="inlineStr">
        <is>
          <t xml:space="preserve">KAMINO INSTITUICAO DE PAGAMENTO LTDA </t>
        </is>
      </c>
      <c r="E700" t="n">
        <v>400</v>
      </c>
      <c r="F700" s="27" t="n">
        <v>45948</v>
      </c>
      <c r="G700" s="27" t="n">
        <v>45945</v>
      </c>
      <c r="H700" s="27" t="n">
        <v>45945</v>
      </c>
      <c r="I700" s="27" t="n">
        <v>45937</v>
      </c>
      <c r="J700" s="27" t="n"/>
      <c r="K700" t="inlineStr">
        <is>
          <t>Boleto Bancário</t>
        </is>
      </c>
      <c r="L700" t="inlineStr">
        <is>
          <t>Despesas Financeiras</t>
        </is>
      </c>
      <c r="M700" t="inlineStr">
        <is>
          <t>Tarifas Bancárias</t>
        </is>
      </c>
      <c r="O700" t="inlineStr">
        <is>
          <t>Documentação Aprovada</t>
        </is>
      </c>
      <c r="P700" t="inlineStr">
        <is>
          <t>Aprovado Diretoria</t>
        </is>
      </c>
      <c r="Q700" t="inlineStr">
        <is>
          <t>Aprovado Caixa</t>
        </is>
      </c>
      <c r="R700" t="inlineStr">
        <is>
          <t>Pago</t>
        </is>
      </c>
      <c r="S700" t="n">
        <v>182</v>
      </c>
      <c r="T700" t="inlineStr">
        <is>
          <t>Love - Shibari - Kamino</t>
        </is>
      </c>
    </row>
    <row r="701">
      <c r="A701" t="n">
        <v>102908</v>
      </c>
      <c r="B701" t="n">
        <v>128</v>
      </c>
      <c r="C701" t="inlineStr">
        <is>
          <t>Love Cabaret</t>
        </is>
      </c>
      <c r="D701" t="inlineStr">
        <is>
          <t>MACRO CONTABILIDADE E CONSULTORIA LTDA</t>
        </is>
      </c>
      <c r="E701" t="n">
        <v>3204.47</v>
      </c>
      <c r="F701" s="27" t="n">
        <v>45945</v>
      </c>
      <c r="G701" s="27" t="n">
        <v>45945</v>
      </c>
      <c r="H701" s="27" t="n">
        <v>45945</v>
      </c>
      <c r="I701" s="27" t="n">
        <v>45933</v>
      </c>
      <c r="J701" s="27" t="n"/>
      <c r="K701" t="inlineStr">
        <is>
          <t>Boleto Bancário</t>
        </is>
      </c>
      <c r="L701" t="inlineStr">
        <is>
          <t>Serviços de Terceiros</t>
        </is>
      </c>
      <c r="M701" t="inlineStr">
        <is>
          <t>Assessoria Contabil</t>
        </is>
      </c>
      <c r="O701" t="inlineStr">
        <is>
          <t>Documentação Aprovada</t>
        </is>
      </c>
      <c r="P701" t="inlineStr">
        <is>
          <t>Aprovado Diretoria</t>
        </is>
      </c>
      <c r="Q701" t="inlineStr">
        <is>
          <t>Aprovado Caixa</t>
        </is>
      </c>
      <c r="R701" t="inlineStr">
        <is>
          <t>Pago</t>
        </is>
      </c>
      <c r="S701" t="n">
        <v>182</v>
      </c>
      <c r="T701" t="inlineStr">
        <is>
          <t>Love - Shibari - Kamino</t>
        </is>
      </c>
    </row>
    <row r="702">
      <c r="A702" t="n">
        <v>97122</v>
      </c>
      <c r="B702" t="n">
        <v>128</v>
      </c>
      <c r="C702" t="inlineStr">
        <is>
          <t>Love Cabaret</t>
        </is>
      </c>
      <c r="D702" t="inlineStr">
        <is>
          <t>ESTAFF SOLUCOES TECNOLOGICAS DE AGENCIAMENTO LTDA</t>
        </is>
      </c>
      <c r="E702" t="n">
        <v>14052.5</v>
      </c>
      <c r="F702" s="27" t="n">
        <v>45945</v>
      </c>
      <c r="G702" s="27" t="n">
        <v>45945</v>
      </c>
      <c r="H702" s="27" t="n">
        <v>45945</v>
      </c>
      <c r="I702" s="27" t="n">
        <v>45936</v>
      </c>
      <c r="J702" s="27" t="n"/>
      <c r="K702" t="inlineStr">
        <is>
          <t>Boleto Bancário</t>
        </is>
      </c>
      <c r="L702" t="inlineStr">
        <is>
          <t>Mão de Obra - Extra</t>
        </is>
      </c>
      <c r="M702" t="inlineStr">
        <is>
          <t>Mão de Obra Extra</t>
        </is>
      </c>
      <c r="N702" t="inlineStr">
        <is>
          <t xml:space="preserve">654327698 </t>
        </is>
      </c>
      <c r="O702" t="inlineStr">
        <is>
          <t>Documentação Aprovada</t>
        </is>
      </c>
      <c r="P702" t="inlineStr">
        <is>
          <t>Aprovado Diretoria</t>
        </is>
      </c>
      <c r="Q702" t="inlineStr">
        <is>
          <t>Aprovado Caixa</t>
        </is>
      </c>
      <c r="R702" t="inlineStr">
        <is>
          <t>Pago</t>
        </is>
      </c>
      <c r="S702" t="n">
        <v>182</v>
      </c>
      <c r="T702" t="inlineStr">
        <is>
          <t>Love - Shibari - Kamino</t>
        </is>
      </c>
    </row>
    <row r="703">
      <c r="A703" t="n">
        <v>108195</v>
      </c>
      <c r="B703" t="n">
        <v>128</v>
      </c>
      <c r="C703" t="inlineStr">
        <is>
          <t>Love Cabaret</t>
        </is>
      </c>
      <c r="D703" t="inlineStr">
        <is>
          <t xml:space="preserve">GOOGLE BRASIL INTERNET LTDA </t>
        </is>
      </c>
      <c r="E703" t="n">
        <v>3000</v>
      </c>
      <c r="F703" s="27" t="n">
        <v>45945</v>
      </c>
      <c r="G703" s="27" t="n">
        <v>45945</v>
      </c>
      <c r="H703" s="27" t="n">
        <v>45944</v>
      </c>
      <c r="I703" s="27" t="n">
        <v>45945</v>
      </c>
      <c r="J703" s="27" t="n"/>
      <c r="K703" t="inlineStr">
        <is>
          <t>Boleto Bancário</t>
        </is>
      </c>
      <c r="L703" t="inlineStr">
        <is>
          <t>Marketing</t>
        </is>
      </c>
      <c r="M703" t="inlineStr">
        <is>
          <t>Publicidade e Propaganda</t>
        </is>
      </c>
      <c r="N703" t="inlineStr">
        <is>
          <t>1022025</t>
        </is>
      </c>
      <c r="O703" t="inlineStr">
        <is>
          <t>Documentação Aprovada</t>
        </is>
      </c>
      <c r="P703" t="inlineStr">
        <is>
          <t>Aprovado Diretoria</t>
        </is>
      </c>
      <c r="Q703" t="inlineStr">
        <is>
          <t>Aprovado Caixa</t>
        </is>
      </c>
      <c r="R703" t="inlineStr">
        <is>
          <t>Pago</t>
        </is>
      </c>
      <c r="S703" t="n">
        <v>182</v>
      </c>
      <c r="T703" t="inlineStr">
        <is>
          <t>Love - Shibari - Kamino</t>
        </is>
      </c>
    </row>
    <row r="704">
      <c r="A704" t="n">
        <v>158997</v>
      </c>
      <c r="B704" t="n">
        <v>128</v>
      </c>
      <c r="C704" t="inlineStr">
        <is>
          <t>Love Cabaret</t>
        </is>
      </c>
      <c r="D704" t="inlineStr">
        <is>
          <t xml:space="preserve">EXTRATECH SERVICOS DE ENGENHARIA LTDA </t>
        </is>
      </c>
      <c r="E704" t="n">
        <v>5000</v>
      </c>
      <c r="F704" s="27" t="n">
        <v>45945</v>
      </c>
      <c r="G704" s="27" t="n">
        <v>45945</v>
      </c>
      <c r="H704" s="27" t="n">
        <v>45944</v>
      </c>
      <c r="I704" s="27" t="n">
        <v>45901</v>
      </c>
      <c r="J704" s="27" t="n">
        <v>45903</v>
      </c>
      <c r="K704" t="inlineStr">
        <is>
          <t>Transferência Bancária ou Pix</t>
        </is>
      </c>
      <c r="L704" t="inlineStr">
        <is>
          <t>Serviços de Terceiros</t>
        </is>
      </c>
      <c r="M704" t="inlineStr">
        <is>
          <t>Assessoria em Geral</t>
        </is>
      </c>
      <c r="N704" t="inlineStr">
        <is>
          <t>1459</t>
        </is>
      </c>
      <c r="O704" t="inlineStr">
        <is>
          <t>Documentação Aprovada</t>
        </is>
      </c>
      <c r="P704" t="inlineStr">
        <is>
          <t>Aprovado Diretoria</t>
        </is>
      </c>
      <c r="Q704" t="inlineStr">
        <is>
          <t>Aprovado Caixa</t>
        </is>
      </c>
      <c r="R704" t="inlineStr">
        <is>
          <t>Pago</t>
        </is>
      </c>
      <c r="S704" t="n">
        <v>182</v>
      </c>
      <c r="T704" t="inlineStr">
        <is>
          <t>Love - Shibari - Kamino</t>
        </is>
      </c>
    </row>
    <row r="705">
      <c r="A705" t="n">
        <v>165683</v>
      </c>
      <c r="B705" t="n">
        <v>128</v>
      </c>
      <c r="C705" t="inlineStr">
        <is>
          <t>Love Cabaret</t>
        </is>
      </c>
      <c r="D705" t="inlineStr">
        <is>
          <t xml:space="preserve">FABRICIO LUMINATO ADRIANO </t>
        </is>
      </c>
      <c r="E705" t="n">
        <v>394.86</v>
      </c>
      <c r="F705" s="27" t="n">
        <v>45943</v>
      </c>
      <c r="G705" s="27" t="n">
        <v>45944</v>
      </c>
      <c r="H705" s="27" t="n">
        <v>45944</v>
      </c>
      <c r="I705" s="27" t="n">
        <v>45931</v>
      </c>
      <c r="J705" s="27" t="n">
        <v>45937</v>
      </c>
      <c r="K705" t="inlineStr">
        <is>
          <t>Boleto Bancário</t>
        </is>
      </c>
      <c r="L705" t="inlineStr">
        <is>
          <t>Custo Mercadoria Vendida</t>
        </is>
      </c>
      <c r="M705" t="inlineStr">
        <is>
          <t>Insumos - Alimentos</t>
        </is>
      </c>
      <c r="N705" t="inlineStr">
        <is>
          <t>36</t>
        </is>
      </c>
      <c r="O705" t="inlineStr">
        <is>
          <t>Documentação Aprovada</t>
        </is>
      </c>
      <c r="P705" t="inlineStr">
        <is>
          <t>Aprovado Diretoria</t>
        </is>
      </c>
      <c r="Q705" t="inlineStr">
        <is>
          <t>Aprovado Caixa</t>
        </is>
      </c>
      <c r="R705" t="inlineStr">
        <is>
          <t>Pago</t>
        </is>
      </c>
      <c r="S705" t="n">
        <v>182</v>
      </c>
      <c r="T705" t="inlineStr">
        <is>
          <t>Love - Shibari - Kamino</t>
        </is>
      </c>
    </row>
    <row r="706">
      <c r="A706" t="n">
        <v>166030</v>
      </c>
      <c r="B706" t="n">
        <v>128</v>
      </c>
      <c r="C706" t="inlineStr">
        <is>
          <t>Love Cabaret</t>
        </is>
      </c>
      <c r="D706" t="inlineStr">
        <is>
          <t>WIDE STOCK COMERCIO E DISTRIBUICAO LTDA</t>
        </is>
      </c>
      <c r="E706" t="n">
        <v>415.8</v>
      </c>
      <c r="F706" s="27" t="n">
        <v>45943</v>
      </c>
      <c r="G706" s="27" t="n">
        <v>45943</v>
      </c>
      <c r="H706" s="27" t="n">
        <v>45943</v>
      </c>
      <c r="I706" s="27" t="n">
        <v>45912</v>
      </c>
      <c r="J706" s="27" t="n">
        <v>45938</v>
      </c>
      <c r="K706" t="inlineStr">
        <is>
          <t>Boleto Bancário</t>
        </is>
      </c>
      <c r="L706" t="inlineStr">
        <is>
          <t>Utilidades</t>
        </is>
      </c>
      <c r="M706" t="inlineStr">
        <is>
          <t>Higiene e Limpeza</t>
        </is>
      </c>
      <c r="N706" t="inlineStr">
        <is>
          <t>413982</t>
        </is>
      </c>
      <c r="O706" t="inlineStr">
        <is>
          <t>Documentação Aprovada</t>
        </is>
      </c>
      <c r="P706" t="inlineStr">
        <is>
          <t>Aprovado Diretoria</t>
        </is>
      </c>
      <c r="Q706" t="inlineStr">
        <is>
          <t>Aprovado Caixa</t>
        </is>
      </c>
      <c r="R706" t="inlineStr">
        <is>
          <t>Pago</t>
        </is>
      </c>
      <c r="S706" t="n">
        <v>182</v>
      </c>
      <c r="T706" t="inlineStr">
        <is>
          <t>Love - Shibari - Kamino</t>
        </is>
      </c>
    </row>
    <row r="707">
      <c r="A707" t="n">
        <v>165539</v>
      </c>
      <c r="B707" t="n">
        <v>128</v>
      </c>
      <c r="C707" t="inlineStr">
        <is>
          <t>Love Cabaret</t>
        </is>
      </c>
      <c r="D707" t="inlineStr">
        <is>
          <t>JOSE CASSIO PREVEDEL SISTEMAS ME</t>
        </is>
      </c>
      <c r="E707" t="n">
        <v>400</v>
      </c>
      <c r="F707" s="27" t="n">
        <v>45945</v>
      </c>
      <c r="G707" s="27" t="n">
        <v>45943</v>
      </c>
      <c r="H707" s="27" t="n">
        <v>45943</v>
      </c>
      <c r="I707" s="27" t="n">
        <v>45931</v>
      </c>
      <c r="J707" s="27" t="n">
        <v>45937</v>
      </c>
      <c r="K707" t="inlineStr">
        <is>
          <t>Boleto Bancário</t>
        </is>
      </c>
      <c r="L707" t="inlineStr">
        <is>
          <t>Locação de Equipamentos</t>
        </is>
      </c>
      <c r="M707" t="inlineStr">
        <is>
          <t>Locações de Equipamentos - Operacionais</t>
        </is>
      </c>
      <c r="N707" t="inlineStr">
        <is>
          <t>20481</t>
        </is>
      </c>
      <c r="O707" t="inlineStr">
        <is>
          <t>Documentação Aprovada</t>
        </is>
      </c>
      <c r="P707" t="inlineStr">
        <is>
          <t>Aprovado Diretoria</t>
        </is>
      </c>
      <c r="Q707" t="inlineStr">
        <is>
          <t>Aprovado Caixa</t>
        </is>
      </c>
      <c r="R707" t="inlineStr">
        <is>
          <t>Pago</t>
        </is>
      </c>
      <c r="S707" t="n">
        <v>182</v>
      </c>
      <c r="T707" t="inlineStr">
        <is>
          <t>Love - Shibari - Kamino</t>
        </is>
      </c>
    </row>
    <row r="708">
      <c r="A708" t="n">
        <v>166334</v>
      </c>
      <c r="B708" t="n">
        <v>128</v>
      </c>
      <c r="C708" t="inlineStr">
        <is>
          <t>Love Cabaret</t>
        </is>
      </c>
      <c r="D708" t="inlineStr">
        <is>
          <t>MARIA EDUARDA RAMOS DE SOUSA</t>
        </is>
      </c>
      <c r="E708" t="n">
        <v>3583.1</v>
      </c>
      <c r="F708" s="27" t="n">
        <v>45943</v>
      </c>
      <c r="G708" s="27" t="n">
        <v>45943</v>
      </c>
      <c r="H708" s="27" t="n">
        <v>45943</v>
      </c>
      <c r="I708" s="27" t="n">
        <v>45930</v>
      </c>
      <c r="J708" s="27" t="n"/>
      <c r="K708" t="inlineStr">
        <is>
          <t>Transferência Bancária ou Pix</t>
        </is>
      </c>
      <c r="L708" t="inlineStr">
        <is>
          <t>Custos de Eventos</t>
        </is>
      </c>
      <c r="M708" t="inlineStr">
        <is>
          <t>Comissões de Vendas - Eventos</t>
        </is>
      </c>
      <c r="N708" t="inlineStr">
        <is>
          <t>65</t>
        </is>
      </c>
      <c r="O708" t="inlineStr">
        <is>
          <t>Documentação Aprovada</t>
        </is>
      </c>
      <c r="P708" t="inlineStr">
        <is>
          <t>Aprovado Diretoria</t>
        </is>
      </c>
      <c r="Q708" t="inlineStr">
        <is>
          <t>Aprovado Caixa</t>
        </is>
      </c>
      <c r="R708" t="inlineStr">
        <is>
          <t>Pago</t>
        </is>
      </c>
      <c r="S708" t="n">
        <v>182</v>
      </c>
      <c r="T708" t="inlineStr">
        <is>
          <t>Love - Shibari - Kamino</t>
        </is>
      </c>
    </row>
    <row r="709">
      <c r="A709" t="n">
        <v>165559</v>
      </c>
      <c r="B709" t="n">
        <v>128</v>
      </c>
      <c r="C709" t="inlineStr">
        <is>
          <t>Love Cabaret</t>
        </is>
      </c>
      <c r="D709" t="inlineStr">
        <is>
          <t xml:space="preserve">MATEUS SILVEIRA CEZAR </t>
        </is>
      </c>
      <c r="E709" t="n">
        <v>1800</v>
      </c>
      <c r="F709" s="27" t="n">
        <v>45943</v>
      </c>
      <c r="G709" s="27" t="n">
        <v>45943</v>
      </c>
      <c r="H709" s="27" t="n">
        <v>45943</v>
      </c>
      <c r="I709" s="27" t="n">
        <v>45917</v>
      </c>
      <c r="J709" s="27" t="n">
        <v>45937</v>
      </c>
      <c r="K709" t="inlineStr">
        <is>
          <t>Transferência Bancária ou Pix</t>
        </is>
      </c>
      <c r="L709" t="inlineStr">
        <is>
          <t>Marketing</t>
        </is>
      </c>
      <c r="M709" t="inlineStr">
        <is>
          <t>Produção Gráfica e Material Institucional</t>
        </is>
      </c>
      <c r="N709" t="inlineStr">
        <is>
          <t>28</t>
        </is>
      </c>
      <c r="O709" t="inlineStr">
        <is>
          <t>Documentação Aprovada</t>
        </is>
      </c>
      <c r="P709" t="inlineStr">
        <is>
          <t>Aprovado Diretoria</t>
        </is>
      </c>
      <c r="Q709" t="inlineStr">
        <is>
          <t>Aprovado Caixa</t>
        </is>
      </c>
      <c r="R709" t="inlineStr">
        <is>
          <t>Pago</t>
        </is>
      </c>
      <c r="S709" t="n">
        <v>182</v>
      </c>
      <c r="T709" t="inlineStr">
        <is>
          <t>Love - Shibari - Kamino</t>
        </is>
      </c>
    </row>
    <row r="710">
      <c r="A710" t="n">
        <v>164605</v>
      </c>
      <c r="B710" t="n">
        <v>128</v>
      </c>
      <c r="C710" t="inlineStr">
        <is>
          <t>Love Cabaret</t>
        </is>
      </c>
      <c r="D710" t="inlineStr">
        <is>
          <t>BATALHA FABRICA DE PAES LTDA</t>
        </is>
      </c>
      <c r="E710" t="n">
        <v>374.56</v>
      </c>
      <c r="F710" s="27" t="n">
        <v>45945</v>
      </c>
      <c r="G710" s="27" t="n">
        <v>45943</v>
      </c>
      <c r="H710" s="27" t="n">
        <v>45943</v>
      </c>
      <c r="I710" s="27" t="n">
        <v>45926</v>
      </c>
      <c r="J710" s="27" t="n">
        <v>45932</v>
      </c>
      <c r="K710" t="inlineStr">
        <is>
          <t>Boleto Bancário</t>
        </is>
      </c>
      <c r="L710" t="inlineStr">
        <is>
          <t>Custo Mercadoria Vendida</t>
        </is>
      </c>
      <c r="M710" t="inlineStr">
        <is>
          <t>Insumos - Alimentos</t>
        </is>
      </c>
      <c r="N710" t="inlineStr">
        <is>
          <t>53460</t>
        </is>
      </c>
      <c r="O710" t="inlineStr">
        <is>
          <t>Documentação Aprovada</t>
        </is>
      </c>
      <c r="P710" t="inlineStr">
        <is>
          <t>Aprovado Diretoria</t>
        </is>
      </c>
      <c r="Q710" t="inlineStr">
        <is>
          <t>Aprovado Caixa</t>
        </is>
      </c>
      <c r="R710" t="inlineStr">
        <is>
          <t>Pago</t>
        </is>
      </c>
      <c r="S710" t="n">
        <v>182</v>
      </c>
      <c r="T710" t="inlineStr">
        <is>
          <t>Love - Shibari - Kamino</t>
        </is>
      </c>
    </row>
    <row r="711">
      <c r="A711" t="n">
        <v>164528</v>
      </c>
      <c r="B711" t="n">
        <v>128</v>
      </c>
      <c r="C711" t="inlineStr">
        <is>
          <t>Love Cabaret</t>
        </is>
      </c>
      <c r="D711" t="inlineStr">
        <is>
          <t xml:space="preserve">DISTRIBUIDORA DE CARNES CANTAREIRA </t>
        </is>
      </c>
      <c r="E711" t="n">
        <v>178.2</v>
      </c>
      <c r="F711" s="27" t="n">
        <v>45943</v>
      </c>
      <c r="G711" s="27" t="n">
        <v>45943</v>
      </c>
      <c r="H711" s="27" t="n">
        <v>45943</v>
      </c>
      <c r="I711" s="27" t="n">
        <v>45930</v>
      </c>
      <c r="J711" s="27" t="n">
        <v>45932</v>
      </c>
      <c r="K711" t="inlineStr">
        <is>
          <t>Boleto Bancário</t>
        </is>
      </c>
      <c r="L711" t="inlineStr">
        <is>
          <t>Custo Mercadoria Vendida</t>
        </is>
      </c>
      <c r="M711" t="inlineStr">
        <is>
          <t>Insumos - Alimentos</t>
        </is>
      </c>
      <c r="N711" t="inlineStr">
        <is>
          <t>45833</t>
        </is>
      </c>
      <c r="O711" t="inlineStr">
        <is>
          <t>Documentação Aprovada</t>
        </is>
      </c>
      <c r="P711" t="inlineStr">
        <is>
          <t>Aprovado Diretoria</t>
        </is>
      </c>
      <c r="Q711" t="inlineStr">
        <is>
          <t>Aprovado Caixa</t>
        </is>
      </c>
      <c r="R711" t="inlineStr">
        <is>
          <t>Pago</t>
        </is>
      </c>
      <c r="S711" t="n">
        <v>182</v>
      </c>
      <c r="T711" t="inlineStr">
        <is>
          <t>Love - Shibari - Kamino</t>
        </is>
      </c>
    </row>
    <row r="712">
      <c r="A712" t="n">
        <v>164598</v>
      </c>
      <c r="B712" t="n">
        <v>128</v>
      </c>
      <c r="C712" t="inlineStr">
        <is>
          <t>Love Cabaret</t>
        </is>
      </c>
      <c r="D712" t="inlineStr">
        <is>
          <t>WPP COMERCIO DE CARNES LTDA</t>
        </is>
      </c>
      <c r="E712" t="n">
        <v>509.16</v>
      </c>
      <c r="F712" s="27" t="n">
        <v>45944</v>
      </c>
      <c r="G712" s="27" t="n">
        <v>45943</v>
      </c>
      <c r="H712" s="27" t="n">
        <v>45943</v>
      </c>
      <c r="I712" s="27" t="n">
        <v>45930</v>
      </c>
      <c r="J712" s="27" t="n">
        <v>45932</v>
      </c>
      <c r="K712" t="inlineStr">
        <is>
          <t>Boleto Bancário</t>
        </is>
      </c>
      <c r="L712" t="inlineStr">
        <is>
          <t>Custo Mercadoria Vendida</t>
        </is>
      </c>
      <c r="M712" t="inlineStr">
        <is>
          <t>Insumos - Alimentos</t>
        </is>
      </c>
      <c r="N712" t="inlineStr">
        <is>
          <t>74703</t>
        </is>
      </c>
      <c r="O712" t="inlineStr">
        <is>
          <t>Documentação Aprovada</t>
        </is>
      </c>
      <c r="P712" t="inlineStr">
        <is>
          <t>Aprovado Diretoria</t>
        </is>
      </c>
      <c r="Q712" t="inlineStr">
        <is>
          <t>Aprovado Caixa</t>
        </is>
      </c>
      <c r="R712" t="inlineStr">
        <is>
          <t>Pago</t>
        </is>
      </c>
      <c r="S712" t="n">
        <v>182</v>
      </c>
      <c r="T712" t="inlineStr">
        <is>
          <t>Love - Shibari - Kamino</t>
        </is>
      </c>
    </row>
    <row r="713">
      <c r="A713" t="n">
        <v>164576</v>
      </c>
      <c r="B713" t="n">
        <v>128</v>
      </c>
      <c r="C713" t="inlineStr">
        <is>
          <t>Love Cabaret</t>
        </is>
      </c>
      <c r="D713" t="inlineStr">
        <is>
          <t>CECILIA TSUYACO ARAKI SILVA LTDA</t>
        </is>
      </c>
      <c r="E713" t="n">
        <v>111.3</v>
      </c>
      <c r="F713" s="27" t="n">
        <v>45943</v>
      </c>
      <c r="G713" s="27" t="n">
        <v>45943</v>
      </c>
      <c r="H713" s="27" t="n">
        <v>45943</v>
      </c>
      <c r="I713" s="27" t="n">
        <v>45929</v>
      </c>
      <c r="J713" s="27" t="n">
        <v>45932</v>
      </c>
      <c r="K713" t="inlineStr">
        <is>
          <t>Boleto Bancário</t>
        </is>
      </c>
      <c r="L713" t="inlineStr">
        <is>
          <t>Custo Mercadoria Vendida</t>
        </is>
      </c>
      <c r="M713" t="inlineStr">
        <is>
          <t>Insumos - Alimentos</t>
        </is>
      </c>
      <c r="N713" t="inlineStr">
        <is>
          <t>378892</t>
        </is>
      </c>
      <c r="O713" t="inlineStr">
        <is>
          <t>Documentação Aprovada</t>
        </is>
      </c>
      <c r="P713" t="inlineStr">
        <is>
          <t>Aprovado Diretoria</t>
        </is>
      </c>
      <c r="Q713" t="inlineStr">
        <is>
          <t>Aprovado Caixa</t>
        </is>
      </c>
      <c r="R713" t="inlineStr">
        <is>
          <t>Pago</t>
        </is>
      </c>
      <c r="S713" t="n">
        <v>182</v>
      </c>
      <c r="T713" t="inlineStr">
        <is>
          <t>Love - Shibari - Kamino</t>
        </is>
      </c>
    </row>
    <row r="714">
      <c r="A714" t="n">
        <v>164533</v>
      </c>
      <c r="B714" t="n">
        <v>128</v>
      </c>
      <c r="C714" t="inlineStr">
        <is>
          <t>Love Cabaret</t>
        </is>
      </c>
      <c r="D714" t="inlineStr">
        <is>
          <t>STORM COMERCIO DE ALIMENTOS E BEBIDAS LTDA</t>
        </is>
      </c>
      <c r="E714" t="n">
        <v>1453.22</v>
      </c>
      <c r="F714" s="27" t="n">
        <v>45944</v>
      </c>
      <c r="G714" s="27" t="n">
        <v>45943</v>
      </c>
      <c r="H714" s="27" t="n">
        <v>45943</v>
      </c>
      <c r="I714" s="27" t="n">
        <v>45930</v>
      </c>
      <c r="J714" s="27" t="n">
        <v>45932</v>
      </c>
      <c r="K714" t="inlineStr">
        <is>
          <t>Boleto Bancário</t>
        </is>
      </c>
      <c r="L714" t="inlineStr">
        <is>
          <t>Custo Mercadoria Vendida</t>
        </is>
      </c>
      <c r="M714" t="inlineStr">
        <is>
          <t>Insumos - Bebidas</t>
        </is>
      </c>
      <c r="N714" t="inlineStr">
        <is>
          <t>7261</t>
        </is>
      </c>
      <c r="O714" t="inlineStr">
        <is>
          <t>Documentação Aprovada</t>
        </is>
      </c>
      <c r="P714" t="inlineStr">
        <is>
          <t>Aprovado Diretoria</t>
        </is>
      </c>
      <c r="Q714" t="inlineStr">
        <is>
          <t>Aprovado Caixa</t>
        </is>
      </c>
      <c r="R714" t="inlineStr">
        <is>
          <t>Pago</t>
        </is>
      </c>
      <c r="S714" t="n">
        <v>182</v>
      </c>
      <c r="T714" t="inlineStr">
        <is>
          <t>Love - Shibari - Kamino</t>
        </is>
      </c>
    </row>
    <row r="715">
      <c r="A715" t="n">
        <v>164581</v>
      </c>
      <c r="B715" t="n">
        <v>128</v>
      </c>
      <c r="C715" t="inlineStr">
        <is>
          <t>Love Cabaret</t>
        </is>
      </c>
      <c r="D715" t="inlineStr">
        <is>
          <t>MARIO PEDRO FELICIANO - HORTIFRUTI</t>
        </is>
      </c>
      <c r="E715" t="n">
        <v>145.78</v>
      </c>
      <c r="F715" s="27" t="n">
        <v>45943</v>
      </c>
      <c r="G715" s="27" t="n">
        <v>45943</v>
      </c>
      <c r="H715" s="27" t="n">
        <v>45943</v>
      </c>
      <c r="I715" s="27" t="n">
        <v>45929</v>
      </c>
      <c r="J715" s="27" t="n">
        <v>45932</v>
      </c>
      <c r="K715" t="inlineStr">
        <is>
          <t>Boleto Bancário</t>
        </is>
      </c>
      <c r="L715" t="inlineStr">
        <is>
          <t>Custo Mercadoria Vendida</t>
        </is>
      </c>
      <c r="M715" t="inlineStr">
        <is>
          <t>Insumos - Alimentos</t>
        </is>
      </c>
      <c r="N715" t="inlineStr">
        <is>
          <t>453794</t>
        </is>
      </c>
      <c r="O715" t="inlineStr">
        <is>
          <t>Documentação Aprovada</t>
        </is>
      </c>
      <c r="P715" t="inlineStr">
        <is>
          <t>Aprovado Diretoria</t>
        </is>
      </c>
      <c r="Q715" t="inlineStr">
        <is>
          <t>Aprovado Caixa</t>
        </is>
      </c>
      <c r="R715" t="inlineStr">
        <is>
          <t>Pago</t>
        </is>
      </c>
      <c r="S715" t="n">
        <v>182</v>
      </c>
      <c r="T715" t="inlineStr">
        <is>
          <t>Love - Shibari - Kamino</t>
        </is>
      </c>
    </row>
    <row r="716">
      <c r="A716" t="n">
        <v>164524</v>
      </c>
      <c r="B716" t="n">
        <v>128</v>
      </c>
      <c r="C716" t="inlineStr">
        <is>
          <t>Love Cabaret</t>
        </is>
      </c>
      <c r="D716" t="inlineStr">
        <is>
          <t xml:space="preserve">HNK BR INDUSTRIA DE BEBIDAS </t>
        </is>
      </c>
      <c r="E716" t="n">
        <v>779.62</v>
      </c>
      <c r="F716" s="27" t="n">
        <v>45945</v>
      </c>
      <c r="G716" s="27" t="n">
        <v>45943</v>
      </c>
      <c r="H716" s="27" t="n">
        <v>45943</v>
      </c>
      <c r="I716" s="27" t="n">
        <v>45930</v>
      </c>
      <c r="J716" s="27" t="n">
        <v>45932</v>
      </c>
      <c r="K716" t="inlineStr">
        <is>
          <t>Boleto Bancário</t>
        </is>
      </c>
      <c r="L716" t="inlineStr">
        <is>
          <t>Custo Mercadoria Vendida</t>
        </is>
      </c>
      <c r="M716" t="inlineStr">
        <is>
          <t>Insumos - Bebidas</t>
        </is>
      </c>
      <c r="N716" t="inlineStr">
        <is>
          <t>68324</t>
        </is>
      </c>
      <c r="O716" t="inlineStr">
        <is>
          <t>Documentação Aprovada</t>
        </is>
      </c>
      <c r="P716" t="inlineStr">
        <is>
          <t>Aprovado Diretoria</t>
        </is>
      </c>
      <c r="Q716" t="inlineStr">
        <is>
          <t>Aprovado Caixa</t>
        </is>
      </c>
      <c r="R716" t="inlineStr">
        <is>
          <t>Pago</t>
        </is>
      </c>
      <c r="S716" t="n">
        <v>182</v>
      </c>
      <c r="T716" t="inlineStr">
        <is>
          <t>Love - Shibari - Kamino</t>
        </is>
      </c>
    </row>
    <row r="717">
      <c r="A717" t="n">
        <v>163214</v>
      </c>
      <c r="B717" t="n">
        <v>128</v>
      </c>
      <c r="C717" t="inlineStr">
        <is>
          <t>Love Cabaret</t>
        </is>
      </c>
      <c r="D717" t="inlineStr">
        <is>
          <t>EMPORIO M&amp;L COMERCIO DE ALIM E BEBIDAS LTDA</t>
        </is>
      </c>
      <c r="E717" t="n">
        <v>1007.93</v>
      </c>
      <c r="F717" s="27" t="n">
        <v>45945</v>
      </c>
      <c r="G717" s="27" t="n">
        <v>45943</v>
      </c>
      <c r="H717" s="27" t="n">
        <v>45943</v>
      </c>
      <c r="I717" s="27" t="n">
        <v>45917</v>
      </c>
      <c r="J717" s="27" t="n">
        <v>45926</v>
      </c>
      <c r="K717" t="inlineStr">
        <is>
          <t>Boleto Bancário</t>
        </is>
      </c>
      <c r="L717" t="inlineStr">
        <is>
          <t>Custo Mercadoria Vendida</t>
        </is>
      </c>
      <c r="M717" t="inlineStr">
        <is>
          <t>Insumos - Alimentos</t>
        </is>
      </c>
      <c r="N717" t="inlineStr">
        <is>
          <t>471882</t>
        </is>
      </c>
      <c r="O717" t="inlineStr">
        <is>
          <t>Documentação Aprovada</t>
        </is>
      </c>
      <c r="P717" t="inlineStr">
        <is>
          <t>Aprovado Diretoria</t>
        </is>
      </c>
      <c r="Q717" t="inlineStr">
        <is>
          <t>Aprovado Caixa</t>
        </is>
      </c>
      <c r="R717" t="inlineStr">
        <is>
          <t>Pago</t>
        </is>
      </c>
      <c r="S717" t="n">
        <v>182</v>
      </c>
      <c r="T717" t="inlineStr">
        <is>
          <t>Love - Shibari - Kamino</t>
        </is>
      </c>
    </row>
    <row r="718">
      <c r="A718" t="n">
        <v>168170</v>
      </c>
      <c r="B718" t="n">
        <v>128</v>
      </c>
      <c r="C718" t="inlineStr">
        <is>
          <t>Love Cabaret</t>
        </is>
      </c>
      <c r="D718" t="inlineStr">
        <is>
          <t>BRADESCO SA</t>
        </is>
      </c>
      <c r="E718" t="n">
        <v>9.800000000000001</v>
      </c>
      <c r="F718" s="27" t="n">
        <v>45943</v>
      </c>
      <c r="G718" s="27" t="n"/>
      <c r="H718" s="27" t="n">
        <v>45943</v>
      </c>
      <c r="I718" s="27" t="n">
        <v>45943</v>
      </c>
      <c r="J718" s="27" t="n">
        <v>45946</v>
      </c>
      <c r="K718" t="inlineStr">
        <is>
          <t>Encontro de Contas</t>
        </is>
      </c>
      <c r="L718" t="inlineStr">
        <is>
          <t>Despesas Financeiras</t>
        </is>
      </c>
      <c r="M718" t="inlineStr">
        <is>
          <t>Tarifas Bancárias</t>
        </is>
      </c>
      <c r="N718" t="inlineStr">
        <is>
          <t>10/2025</t>
        </is>
      </c>
      <c r="O718" t="inlineStr">
        <is>
          <t>Documentação Aprovada</t>
        </is>
      </c>
      <c r="R718" t="inlineStr">
        <is>
          <t>Pago</t>
        </is>
      </c>
    </row>
    <row r="719">
      <c r="A719" t="n">
        <v>164654</v>
      </c>
      <c r="B719" t="n">
        <v>128</v>
      </c>
      <c r="C719" t="inlineStr">
        <is>
          <t>Love Cabaret</t>
        </is>
      </c>
      <c r="D719" t="inlineStr">
        <is>
          <t>PSSS LTDA</t>
        </is>
      </c>
      <c r="E719" t="n">
        <v>778.95</v>
      </c>
      <c r="F719" s="27" t="n">
        <v>45945</v>
      </c>
      <c r="G719" s="27" t="n">
        <v>45943</v>
      </c>
      <c r="H719" s="27" t="n">
        <v>45943</v>
      </c>
      <c r="I719" s="27" t="n">
        <v>45931</v>
      </c>
      <c r="J719" s="27" t="n">
        <v>45932</v>
      </c>
      <c r="K719" t="inlineStr">
        <is>
          <t>Boleto Bancário</t>
        </is>
      </c>
      <c r="L719" t="inlineStr">
        <is>
          <t>Utilidades</t>
        </is>
      </c>
      <c r="M719" t="inlineStr">
        <is>
          <t>Higiene e Limpeza</t>
        </is>
      </c>
      <c r="N719" t="inlineStr">
        <is>
          <t>2379</t>
        </is>
      </c>
      <c r="O719" t="inlineStr">
        <is>
          <t>Documentação Aprovada</t>
        </is>
      </c>
      <c r="P719" t="inlineStr">
        <is>
          <t>Aprovado Diretoria</t>
        </is>
      </c>
      <c r="Q719" t="inlineStr">
        <is>
          <t>Aprovado Caixa</t>
        </is>
      </c>
      <c r="R719" t="inlineStr">
        <is>
          <t>Pago</t>
        </is>
      </c>
      <c r="S719" t="n">
        <v>182</v>
      </c>
      <c r="T719" t="inlineStr">
        <is>
          <t>Love - Shibari - Kamino</t>
        </is>
      </c>
    </row>
    <row r="720">
      <c r="A720" t="n">
        <v>162702</v>
      </c>
      <c r="B720" t="n">
        <v>128</v>
      </c>
      <c r="C720" t="inlineStr">
        <is>
          <t>Love Cabaret</t>
        </is>
      </c>
      <c r="D720" t="inlineStr">
        <is>
          <t>PRESHH ALUGUEL DE MAQUINAS LTDA</t>
        </is>
      </c>
      <c r="E720" t="n">
        <v>198</v>
      </c>
      <c r="F720" s="27" t="n">
        <v>45943</v>
      </c>
      <c r="G720" s="27" t="n">
        <v>45943</v>
      </c>
      <c r="H720" s="27" t="n">
        <v>45943</v>
      </c>
      <c r="I720" s="27" t="n">
        <v>45923</v>
      </c>
      <c r="J720" s="27" t="n">
        <v>45924</v>
      </c>
      <c r="K720" t="inlineStr">
        <is>
          <t>Boleto Bancário</t>
        </is>
      </c>
      <c r="L720" t="inlineStr">
        <is>
          <t>Utilidades</t>
        </is>
      </c>
      <c r="M720" t="inlineStr">
        <is>
          <t>Material de Consumo - Gelo/ Gas CO2/ Carvao /Velas</t>
        </is>
      </c>
      <c r="N720" t="inlineStr">
        <is>
          <t>T-35285</t>
        </is>
      </c>
      <c r="O720" t="inlineStr">
        <is>
          <t>Documentação Aprovada</t>
        </is>
      </c>
      <c r="P720" t="inlineStr">
        <is>
          <t>Aprovado Diretoria</t>
        </is>
      </c>
      <c r="Q720" t="inlineStr">
        <is>
          <t>Aprovado Caixa</t>
        </is>
      </c>
      <c r="R720" t="inlineStr">
        <is>
          <t>Pago</t>
        </is>
      </c>
      <c r="S720" t="n">
        <v>182</v>
      </c>
      <c r="T720" t="inlineStr">
        <is>
          <t>Love - Shibari - Kamino</t>
        </is>
      </c>
    </row>
    <row r="721">
      <c r="A721" t="n">
        <v>161854</v>
      </c>
      <c r="B721" t="n">
        <v>128</v>
      </c>
      <c r="C721" t="inlineStr">
        <is>
          <t>Love Cabaret</t>
        </is>
      </c>
      <c r="D721" t="inlineStr">
        <is>
          <t>PROAUTO INDUSTRIA QUIMICA EIRELI</t>
        </is>
      </c>
      <c r="E721" t="n">
        <v>946.05</v>
      </c>
      <c r="F721" s="27" t="n">
        <v>45943</v>
      </c>
      <c r="G721" s="27" t="n">
        <v>45943</v>
      </c>
      <c r="H721" s="27" t="n">
        <v>45943</v>
      </c>
      <c r="I721" s="27" t="n">
        <v>45915</v>
      </c>
      <c r="J721" s="27" t="n">
        <v>45917</v>
      </c>
      <c r="K721" t="inlineStr">
        <is>
          <t>Boleto Bancário</t>
        </is>
      </c>
      <c r="L721" t="inlineStr">
        <is>
          <t>Utilidades</t>
        </is>
      </c>
      <c r="M721" t="inlineStr">
        <is>
          <t>Higiene e Limpeza</t>
        </is>
      </c>
      <c r="N721" t="inlineStr">
        <is>
          <t>144383</t>
        </is>
      </c>
      <c r="O721" t="inlineStr">
        <is>
          <t>Documentação Aprovada</t>
        </is>
      </c>
      <c r="P721" t="inlineStr">
        <is>
          <t>Aprovado Diretoria</t>
        </is>
      </c>
      <c r="Q721" t="inlineStr">
        <is>
          <t>Aprovado Caixa</t>
        </is>
      </c>
      <c r="R721" t="inlineStr">
        <is>
          <t>Pago</t>
        </is>
      </c>
      <c r="S721" t="n">
        <v>182</v>
      </c>
      <c r="T721" t="inlineStr">
        <is>
          <t>Love - Shibari - Kamino</t>
        </is>
      </c>
    </row>
    <row r="722">
      <c r="A722" t="n">
        <v>161963</v>
      </c>
      <c r="B722" t="n">
        <v>128</v>
      </c>
      <c r="C722" t="inlineStr">
        <is>
          <t>Love Cabaret</t>
        </is>
      </c>
      <c r="D722" t="inlineStr">
        <is>
          <t>DTK COMERCIO DE ALIMENTOS LTDA</t>
        </is>
      </c>
      <c r="E722" t="n">
        <v>695.04</v>
      </c>
      <c r="F722" s="27" t="n">
        <v>45944</v>
      </c>
      <c r="G722" s="27" t="n">
        <v>45943</v>
      </c>
      <c r="H722" s="27" t="n">
        <v>45943</v>
      </c>
      <c r="I722" s="27" t="n">
        <v>45916</v>
      </c>
      <c r="J722" s="27" t="n">
        <v>45918</v>
      </c>
      <c r="K722" t="inlineStr">
        <is>
          <t>Boleto Bancário</t>
        </is>
      </c>
      <c r="L722" t="inlineStr">
        <is>
          <t>Custo Mercadoria Vendida</t>
        </is>
      </c>
      <c r="M722" t="inlineStr">
        <is>
          <t>Insumos - Alimentos</t>
        </is>
      </c>
      <c r="N722" t="inlineStr">
        <is>
          <t>44304</t>
        </is>
      </c>
      <c r="O722" t="inlineStr">
        <is>
          <t>Documentação Aprovada</t>
        </is>
      </c>
      <c r="P722" t="inlineStr">
        <is>
          <t>Aprovado Diretoria</t>
        </is>
      </c>
      <c r="Q722" t="inlineStr">
        <is>
          <t>Aprovado Caixa</t>
        </is>
      </c>
      <c r="R722" t="inlineStr">
        <is>
          <t>Pago</t>
        </is>
      </c>
      <c r="S722" t="n">
        <v>182</v>
      </c>
      <c r="T722" t="inlineStr">
        <is>
          <t>Love - Shibari - Kamino</t>
        </is>
      </c>
    </row>
    <row r="723">
      <c r="A723" t="n">
        <v>149516</v>
      </c>
      <c r="B723" t="n">
        <v>128</v>
      </c>
      <c r="C723" t="inlineStr">
        <is>
          <t>Love Cabaret</t>
        </is>
      </c>
      <c r="D723" t="inlineStr">
        <is>
          <t xml:space="preserve">SPOTIFY </t>
        </is>
      </c>
      <c r="E723" t="n">
        <v>17.45</v>
      </c>
      <c r="F723" s="27" t="n">
        <v>45945</v>
      </c>
      <c r="G723" s="27" t="n">
        <v>45943</v>
      </c>
      <c r="H723" s="27" t="n">
        <v>45943</v>
      </c>
      <c r="I723" s="27" t="n">
        <v>45938</v>
      </c>
      <c r="J723" s="27" t="n"/>
      <c r="K723" t="inlineStr">
        <is>
          <t>Transferência Bancária ou Pix</t>
        </is>
      </c>
      <c r="L723" t="inlineStr">
        <is>
          <t>Informática e TI</t>
        </is>
      </c>
      <c r="M723" t="inlineStr">
        <is>
          <t>TV por assinatura/musica ambiente</t>
        </is>
      </c>
      <c r="O723" t="inlineStr">
        <is>
          <t>Documentação Aprovada</t>
        </is>
      </c>
      <c r="P723" t="inlineStr">
        <is>
          <t>Aprovado Diretoria</t>
        </is>
      </c>
      <c r="Q723" t="inlineStr">
        <is>
          <t>Aprovado Caixa</t>
        </is>
      </c>
      <c r="R723" t="inlineStr">
        <is>
          <t>Pago</t>
        </is>
      </c>
      <c r="S723" t="n">
        <v>182</v>
      </c>
      <c r="T723" t="inlineStr">
        <is>
          <t>Love - Shibari - Kamino</t>
        </is>
      </c>
    </row>
    <row r="724">
      <c r="A724" t="n">
        <v>106703</v>
      </c>
      <c r="B724" t="n">
        <v>128</v>
      </c>
      <c r="C724" t="inlineStr">
        <is>
          <t>Love Cabaret</t>
        </is>
      </c>
      <c r="D724" t="inlineStr">
        <is>
          <t>AURORA ALVORADA ESTACIONAMENTO E LANCHONETE LTDA</t>
        </is>
      </c>
      <c r="E724" t="n">
        <v>231.18</v>
      </c>
      <c r="F724" s="27" t="n">
        <v>45943</v>
      </c>
      <c r="G724" s="27" t="n">
        <v>45943</v>
      </c>
      <c r="H724" s="27" t="n">
        <v>45943</v>
      </c>
      <c r="I724" s="27" t="n">
        <v>45936</v>
      </c>
      <c r="J724" s="27" t="n"/>
      <c r="K724" t="inlineStr">
        <is>
          <t>Boleto Bancário</t>
        </is>
      </c>
      <c r="L724" t="inlineStr">
        <is>
          <t>Custo Mercadoria Vendida</t>
        </is>
      </c>
      <c r="M724" t="inlineStr">
        <is>
          <t>Insumos - Alimentos</t>
        </is>
      </c>
      <c r="N724" t="inlineStr">
        <is>
          <t>11073</t>
        </is>
      </c>
      <c r="O724" t="inlineStr">
        <is>
          <t>Documentação Aprovada</t>
        </is>
      </c>
      <c r="P724" t="inlineStr">
        <is>
          <t>Aprovado Diretoria</t>
        </is>
      </c>
      <c r="Q724" t="inlineStr">
        <is>
          <t>Aprovado Caixa</t>
        </is>
      </c>
      <c r="R724" t="inlineStr">
        <is>
          <t>Pago</t>
        </is>
      </c>
      <c r="S724" t="n">
        <v>182</v>
      </c>
      <c r="T724" t="inlineStr">
        <is>
          <t>Love - Shibari - Kamino</t>
        </is>
      </c>
    </row>
    <row r="725">
      <c r="A725" t="n">
        <v>96954</v>
      </c>
      <c r="B725" t="n">
        <v>128</v>
      </c>
      <c r="C725" t="inlineStr">
        <is>
          <t>Love Cabaret</t>
        </is>
      </c>
      <c r="D725" t="inlineStr">
        <is>
          <t>CEM ENGENHARIA DA MANUTENCAO LTDA</t>
        </is>
      </c>
      <c r="E725" t="n">
        <v>6601.38</v>
      </c>
      <c r="F725" s="27" t="n">
        <v>45945</v>
      </c>
      <c r="G725" s="27" t="n">
        <v>45943</v>
      </c>
      <c r="H725" s="27" t="n">
        <v>45943</v>
      </c>
      <c r="I725" s="27" t="n">
        <v>45930</v>
      </c>
      <c r="J725" s="27" t="n"/>
      <c r="K725" t="inlineStr">
        <is>
          <t>Boleto Bancário</t>
        </is>
      </c>
      <c r="L725" t="inlineStr">
        <is>
          <t>Manutenção</t>
        </is>
      </c>
      <c r="M725" t="inlineStr">
        <is>
          <t>Manutenção Predial</t>
        </is>
      </c>
      <c r="N725" t="inlineStr">
        <is>
          <t>3147</t>
        </is>
      </c>
      <c r="O725" t="inlineStr">
        <is>
          <t>Documentação Aprovada</t>
        </is>
      </c>
      <c r="P725" t="inlineStr">
        <is>
          <t>Aprovado Diretoria</t>
        </is>
      </c>
      <c r="Q725" t="inlineStr">
        <is>
          <t>Aprovado Caixa</t>
        </is>
      </c>
      <c r="R725" t="inlineStr">
        <is>
          <t>Pago</t>
        </is>
      </c>
      <c r="S725" t="n">
        <v>182</v>
      </c>
      <c r="T725" t="inlineStr">
        <is>
          <t>Love - Shibari - Kamino</t>
        </is>
      </c>
    </row>
    <row r="726">
      <c r="A726" t="n">
        <v>102883</v>
      </c>
      <c r="B726" t="n">
        <v>128</v>
      </c>
      <c r="C726" t="inlineStr">
        <is>
          <t>Love Cabaret</t>
        </is>
      </c>
      <c r="D726" t="inlineStr">
        <is>
          <t>MACHINE SEGURANCA PATRIMONIAL LTDA</t>
        </is>
      </c>
      <c r="E726" t="n">
        <v>4636.95</v>
      </c>
      <c r="F726" s="27" t="n">
        <v>45945</v>
      </c>
      <c r="G726" s="27" t="n">
        <v>45943</v>
      </c>
      <c r="H726" s="27" t="n">
        <v>45943</v>
      </c>
      <c r="I726" s="27" t="n">
        <v>45930</v>
      </c>
      <c r="J726" s="27" t="n"/>
      <c r="K726" t="inlineStr">
        <is>
          <t>Transferência Bancária ou Pix</t>
        </is>
      </c>
      <c r="L726" t="inlineStr">
        <is>
          <t>Serviços de Terceiros</t>
        </is>
      </c>
      <c r="M726" t="inlineStr">
        <is>
          <t>Serviços de Segurança</t>
        </is>
      </c>
      <c r="N726" t="inlineStr">
        <is>
          <t>810</t>
        </is>
      </c>
      <c r="O726" t="inlineStr">
        <is>
          <t>Documentação Aprovada</t>
        </is>
      </c>
      <c r="P726" t="inlineStr">
        <is>
          <t>Aprovado Diretoria</t>
        </is>
      </c>
      <c r="Q726" t="inlineStr">
        <is>
          <t>Aprovado Caixa</t>
        </is>
      </c>
      <c r="R726" t="inlineStr">
        <is>
          <t>Pago</t>
        </is>
      </c>
      <c r="S726" t="n">
        <v>182</v>
      </c>
      <c r="T726" t="inlineStr">
        <is>
          <t>Love - Shibari - Kamino</t>
        </is>
      </c>
    </row>
    <row r="727">
      <c r="A727" t="n">
        <v>102833</v>
      </c>
      <c r="B727" t="n">
        <v>128</v>
      </c>
      <c r="C727" t="inlineStr">
        <is>
          <t>Love Cabaret</t>
        </is>
      </c>
      <c r="D727" t="inlineStr">
        <is>
          <t>HEADCHEF SEGURANCA DOS ALIM E GARANTIA D</t>
        </is>
      </c>
      <c r="E727" t="n">
        <v>891.0599999999999</v>
      </c>
      <c r="F727" s="27" t="n">
        <v>45945</v>
      </c>
      <c r="G727" s="27" t="n">
        <v>45943</v>
      </c>
      <c r="H727" s="27" t="n">
        <v>45943</v>
      </c>
      <c r="I727" s="27" t="n">
        <v>45926</v>
      </c>
      <c r="J727" s="27" t="n"/>
      <c r="K727" t="inlineStr">
        <is>
          <t>Boleto Bancário</t>
        </is>
      </c>
      <c r="L727" t="inlineStr">
        <is>
          <t>Serviços de Terceiros</t>
        </is>
      </c>
      <c r="M727" t="inlineStr">
        <is>
          <t>Assessoria de Alimentos e Bebidas</t>
        </is>
      </c>
      <c r="N727" t="inlineStr">
        <is>
          <t>1574</t>
        </is>
      </c>
      <c r="O727" t="inlineStr">
        <is>
          <t>Documentação Aprovada</t>
        </is>
      </c>
      <c r="P727" t="inlineStr">
        <is>
          <t>Aprovado Diretoria</t>
        </is>
      </c>
      <c r="Q727" t="inlineStr">
        <is>
          <t>Aprovado Caixa</t>
        </is>
      </c>
      <c r="R727" t="inlineStr">
        <is>
          <t>Pago</t>
        </is>
      </c>
      <c r="S727" t="n">
        <v>182</v>
      </c>
      <c r="T727" t="inlineStr">
        <is>
          <t>Love - Shibari - Kamino</t>
        </is>
      </c>
    </row>
    <row r="728">
      <c r="A728" t="n">
        <v>167329</v>
      </c>
      <c r="B728" t="n">
        <v>128</v>
      </c>
      <c r="C728" t="inlineStr">
        <is>
          <t>Love Cabaret</t>
        </is>
      </c>
      <c r="D728" t="inlineStr">
        <is>
          <t>BRADESCO SA</t>
        </is>
      </c>
      <c r="E728" t="n">
        <v>9.800000000000001</v>
      </c>
      <c r="F728" s="27" t="n">
        <v>45940</v>
      </c>
      <c r="G728" s="27" t="n"/>
      <c r="H728" s="27" t="n">
        <v>45940</v>
      </c>
      <c r="I728" s="27" t="n">
        <v>45940</v>
      </c>
      <c r="J728" s="27" t="n">
        <v>45945</v>
      </c>
      <c r="K728" t="inlineStr">
        <is>
          <t>Encontro de Contas</t>
        </is>
      </c>
      <c r="L728" t="inlineStr">
        <is>
          <t>Despesas Financeiras</t>
        </is>
      </c>
      <c r="M728" t="inlineStr">
        <is>
          <t>Tarifas Bancárias</t>
        </is>
      </c>
      <c r="N728" t="inlineStr">
        <is>
          <t>10/2025</t>
        </is>
      </c>
      <c r="R728" t="inlineStr">
        <is>
          <t>Pago</t>
        </is>
      </c>
    </row>
    <row r="729">
      <c r="A729" t="n">
        <v>167306</v>
      </c>
      <c r="B729" t="n">
        <v>128</v>
      </c>
      <c r="C729" t="inlineStr">
        <is>
          <t>Love Cabaret</t>
        </is>
      </c>
      <c r="D729" t="inlineStr">
        <is>
          <t>BRADESCO SA</t>
        </is>
      </c>
      <c r="E729" t="n">
        <v>19.6</v>
      </c>
      <c r="F729" s="27" t="n">
        <v>45939</v>
      </c>
      <c r="G729" s="27" t="n"/>
      <c r="H729" s="27" t="n">
        <v>45939</v>
      </c>
      <c r="I729" s="27" t="n">
        <v>45939</v>
      </c>
      <c r="J729" s="27" t="n">
        <v>45945</v>
      </c>
      <c r="K729" t="inlineStr">
        <is>
          <t>Encontro de Contas</t>
        </is>
      </c>
      <c r="L729" t="inlineStr">
        <is>
          <t>Despesas Financeiras</t>
        </is>
      </c>
      <c r="M729" t="inlineStr">
        <is>
          <t>Tarifas Bancárias</t>
        </is>
      </c>
      <c r="N729" t="inlineStr">
        <is>
          <t>10/2025</t>
        </is>
      </c>
      <c r="R729" t="inlineStr">
        <is>
          <t>Pago</t>
        </is>
      </c>
    </row>
    <row r="730">
      <c r="A730" t="n">
        <v>97533</v>
      </c>
      <c r="B730" t="n">
        <v>128</v>
      </c>
      <c r="C730" t="inlineStr">
        <is>
          <t>Love Cabaret</t>
        </is>
      </c>
      <c r="D730" t="inlineStr">
        <is>
          <t>ISS</t>
        </is>
      </c>
      <c r="E730" t="n">
        <v>180.72</v>
      </c>
      <c r="F730" s="27" t="n">
        <v>45940</v>
      </c>
      <c r="G730" s="27" t="n">
        <v>45939</v>
      </c>
      <c r="H730" s="27" t="n">
        <v>45939</v>
      </c>
      <c r="I730" s="27" t="n">
        <v>45930</v>
      </c>
      <c r="J730" s="27" t="n"/>
      <c r="K730" t="inlineStr">
        <is>
          <t>Boleto Bancário</t>
        </is>
      </c>
      <c r="L730" t="inlineStr">
        <is>
          <t>Utilidades</t>
        </is>
      </c>
      <c r="M730" t="inlineStr">
        <is>
          <t>Coleta de lixo</t>
        </is>
      </c>
      <c r="N730" t="inlineStr">
        <is>
          <t>10/2025</t>
        </is>
      </c>
      <c r="O730" t="inlineStr">
        <is>
          <t>Documentação Aprovada</t>
        </is>
      </c>
      <c r="P730" t="inlineStr">
        <is>
          <t>Aprovado Diretoria</t>
        </is>
      </c>
      <c r="Q730" t="inlineStr">
        <is>
          <t>Aprovado Caixa</t>
        </is>
      </c>
      <c r="R730" t="inlineStr">
        <is>
          <t>Pago</t>
        </is>
      </c>
      <c r="S730" t="n">
        <v>182</v>
      </c>
      <c r="T730" t="inlineStr">
        <is>
          <t>Love - Shibari - Kamino</t>
        </is>
      </c>
    </row>
    <row r="731">
      <c r="A731" t="n">
        <v>102924</v>
      </c>
      <c r="B731" t="n">
        <v>128</v>
      </c>
      <c r="C731" t="inlineStr">
        <is>
          <t>Love Cabaret</t>
        </is>
      </c>
      <c r="D731" t="inlineStr">
        <is>
          <t>PRESHH ALUGUEL DE MAQUINAS LTDA</t>
        </is>
      </c>
      <c r="E731" t="n">
        <v>727.2</v>
      </c>
      <c r="F731" s="27" t="n">
        <v>45940</v>
      </c>
      <c r="G731" s="27" t="n">
        <v>45938</v>
      </c>
      <c r="H731" s="27" t="n">
        <v>45938</v>
      </c>
      <c r="I731" s="27" t="n">
        <v>45930</v>
      </c>
      <c r="J731" s="27" t="n"/>
      <c r="K731" t="inlineStr">
        <is>
          <t>Boleto Bancário</t>
        </is>
      </c>
      <c r="L731" t="inlineStr">
        <is>
          <t>Locação de Equipamentos</t>
        </is>
      </c>
      <c r="M731" t="inlineStr">
        <is>
          <t>Locações de Equipamentos - Operacionais</t>
        </is>
      </c>
      <c r="N731" t="inlineStr">
        <is>
          <t xml:space="preserve">628189691 </t>
        </is>
      </c>
      <c r="O731" t="inlineStr">
        <is>
          <t>Documentação Aprovada</t>
        </is>
      </c>
      <c r="P731" t="inlineStr">
        <is>
          <t>Aprovado Diretoria</t>
        </is>
      </c>
      <c r="Q731" t="inlineStr">
        <is>
          <t>Aprovado Caixa</t>
        </is>
      </c>
      <c r="R731" t="inlineStr">
        <is>
          <t>Pago</t>
        </is>
      </c>
      <c r="S731" t="n">
        <v>182</v>
      </c>
      <c r="T731" t="inlineStr">
        <is>
          <t>Love - Shibari - Kamino</t>
        </is>
      </c>
    </row>
    <row r="732">
      <c r="A732" t="n">
        <v>102948</v>
      </c>
      <c r="B732" t="n">
        <v>128</v>
      </c>
      <c r="C732" t="inlineStr">
        <is>
          <t>Love Cabaret</t>
        </is>
      </c>
      <c r="D732" t="inlineStr">
        <is>
          <t>SAFE BRAND COMERCIAL- IMPORTACAO- EXPORTACAO E SERVICOS LTDA</t>
        </is>
      </c>
      <c r="E732" t="n">
        <v>2117.46</v>
      </c>
      <c r="F732" s="27" t="n">
        <v>45939</v>
      </c>
      <c r="G732" s="27" t="n">
        <v>45938</v>
      </c>
      <c r="H732" s="27" t="n">
        <v>45938</v>
      </c>
      <c r="I732" s="27" t="n">
        <v>45931</v>
      </c>
      <c r="J732" s="27" t="n"/>
      <c r="K732" t="inlineStr">
        <is>
          <t>Boleto Bancário</t>
        </is>
      </c>
      <c r="L732" t="inlineStr">
        <is>
          <t>Locação de Equipamentos</t>
        </is>
      </c>
      <c r="M732" t="inlineStr">
        <is>
          <t>Locações de Equipamentos - Operacionais</t>
        </is>
      </c>
      <c r="N732" t="inlineStr">
        <is>
          <t xml:space="preserve">03250226 </t>
        </is>
      </c>
      <c r="O732" t="inlineStr">
        <is>
          <t>Documentação Aprovada</t>
        </is>
      </c>
      <c r="P732" t="inlineStr">
        <is>
          <t>Aprovado Diretoria</t>
        </is>
      </c>
      <c r="Q732" t="inlineStr">
        <is>
          <t>Aprovado Caixa</t>
        </is>
      </c>
      <c r="R732" t="inlineStr">
        <is>
          <t>Pago</t>
        </is>
      </c>
      <c r="S732" t="n">
        <v>182</v>
      </c>
      <c r="T732" t="inlineStr">
        <is>
          <t>Love - Shibari - Kamino</t>
        </is>
      </c>
    </row>
    <row r="733">
      <c r="A733" t="n">
        <v>102979</v>
      </c>
      <c r="B733" t="n">
        <v>128</v>
      </c>
      <c r="C733" t="inlineStr">
        <is>
          <t>Love Cabaret</t>
        </is>
      </c>
      <c r="D733" t="inlineStr">
        <is>
          <t>STEMME TELECOMUNICACOES DO BRASIL LTDA</t>
        </is>
      </c>
      <c r="E733" t="n">
        <v>299.99</v>
      </c>
      <c r="F733" s="27" t="n">
        <v>45940</v>
      </c>
      <c r="G733" s="27" t="n">
        <v>45938</v>
      </c>
      <c r="H733" s="27" t="n">
        <v>45938</v>
      </c>
      <c r="I733" s="27" t="n">
        <v>45930</v>
      </c>
      <c r="J733" s="27" t="n"/>
      <c r="K733" t="inlineStr">
        <is>
          <t>Boleto Bancário</t>
        </is>
      </c>
      <c r="L733" t="inlineStr">
        <is>
          <t>Informática e TI</t>
        </is>
      </c>
      <c r="M733" t="inlineStr">
        <is>
          <t>Internet</t>
        </is>
      </c>
      <c r="N733" t="inlineStr">
        <is>
          <t>8486</t>
        </is>
      </c>
      <c r="O733" t="inlineStr">
        <is>
          <t>Documentação Aprovada</t>
        </is>
      </c>
      <c r="P733" t="inlineStr">
        <is>
          <t>Aprovado Diretoria</t>
        </is>
      </c>
      <c r="Q733" t="inlineStr">
        <is>
          <t>Aprovado Caixa</t>
        </is>
      </c>
      <c r="R733" t="inlineStr">
        <is>
          <t>Pago</t>
        </is>
      </c>
      <c r="S733" t="n">
        <v>182</v>
      </c>
      <c r="T733" t="inlineStr">
        <is>
          <t>Love - Shibari - Kamino</t>
        </is>
      </c>
    </row>
    <row r="734">
      <c r="A734" t="n">
        <v>96978</v>
      </c>
      <c r="B734" t="n">
        <v>128</v>
      </c>
      <c r="C734" t="inlineStr">
        <is>
          <t>Love Cabaret</t>
        </is>
      </c>
      <c r="D734" t="inlineStr">
        <is>
          <t xml:space="preserve">DIVIFY OPERACAO DE PLATAFORMA ELETRONICA LTDA </t>
        </is>
      </c>
      <c r="E734" t="n">
        <v>1000</v>
      </c>
      <c r="F734" s="27" t="n">
        <v>45940</v>
      </c>
      <c r="G734" s="27" t="n">
        <v>45938</v>
      </c>
      <c r="H734" s="27" t="n">
        <v>45938</v>
      </c>
      <c r="I734" s="27" t="n">
        <v>45920</v>
      </c>
      <c r="J734" s="27" t="n"/>
      <c r="K734" t="inlineStr">
        <is>
          <t>Boleto Bancário</t>
        </is>
      </c>
      <c r="L734" t="inlineStr">
        <is>
          <t>Serviços de Terceiros</t>
        </is>
      </c>
      <c r="M734" t="inlineStr">
        <is>
          <t>Assessoria em Geral</t>
        </is>
      </c>
      <c r="N734" t="inlineStr">
        <is>
          <t>305</t>
        </is>
      </c>
      <c r="O734" t="inlineStr">
        <is>
          <t>Documentação Aprovada</t>
        </is>
      </c>
      <c r="P734" t="inlineStr">
        <is>
          <t>Aprovado Diretoria</t>
        </is>
      </c>
      <c r="Q734" t="inlineStr">
        <is>
          <t>Aprovado Caixa</t>
        </is>
      </c>
      <c r="R734" t="inlineStr">
        <is>
          <t>Pago</t>
        </is>
      </c>
      <c r="S734" t="n">
        <v>182</v>
      </c>
      <c r="T734" t="inlineStr">
        <is>
          <t>Love - Shibari - Kamino</t>
        </is>
      </c>
    </row>
    <row r="735">
      <c r="A735" t="n">
        <v>96966</v>
      </c>
      <c r="B735" t="n">
        <v>128</v>
      </c>
      <c r="C735" t="inlineStr">
        <is>
          <t>Love Cabaret</t>
        </is>
      </c>
      <c r="D735" t="inlineStr">
        <is>
          <t xml:space="preserve">DUO COMUNICA LTDA </t>
        </is>
      </c>
      <c r="E735" t="n">
        <v>2000</v>
      </c>
      <c r="F735" s="27" t="n">
        <v>45942</v>
      </c>
      <c r="G735" s="27" t="n">
        <v>45938</v>
      </c>
      <c r="H735" s="27" t="n">
        <v>45938</v>
      </c>
      <c r="I735" s="27" t="n">
        <v>45918</v>
      </c>
      <c r="J735" s="27" t="n"/>
      <c r="K735" t="inlineStr">
        <is>
          <t>Transferência Bancária ou Pix</t>
        </is>
      </c>
      <c r="L735" t="inlineStr">
        <is>
          <t>Informática e TI</t>
        </is>
      </c>
      <c r="M735" t="inlineStr">
        <is>
          <t>Sistemas Gerais - Comunicação e Marketing</t>
        </is>
      </c>
      <c r="N735" t="inlineStr">
        <is>
          <t>589</t>
        </is>
      </c>
      <c r="O735" t="inlineStr">
        <is>
          <t>Documentação Aprovada</t>
        </is>
      </c>
      <c r="P735" t="inlineStr">
        <is>
          <t>Aprovado Diretoria</t>
        </is>
      </c>
      <c r="Q735" t="inlineStr">
        <is>
          <t>Aprovado Caixa</t>
        </is>
      </c>
      <c r="R735" t="inlineStr">
        <is>
          <t>Pago</t>
        </is>
      </c>
      <c r="S735" t="n">
        <v>182</v>
      </c>
      <c r="T735" t="inlineStr">
        <is>
          <t>Love - Shibari - Kamino</t>
        </is>
      </c>
    </row>
    <row r="736">
      <c r="A736" t="n">
        <v>106702</v>
      </c>
      <c r="B736" t="n">
        <v>128</v>
      </c>
      <c r="C736" t="inlineStr">
        <is>
          <t>Love Cabaret</t>
        </is>
      </c>
      <c r="D736" t="inlineStr">
        <is>
          <t>AURORA ALVORADA ESTACIONAMENTO E LANCHONETE LTDA</t>
        </is>
      </c>
      <c r="E736" t="n">
        <v>302.1</v>
      </c>
      <c r="F736" s="27" t="n">
        <v>45939</v>
      </c>
      <c r="G736" s="27" t="n">
        <v>45938</v>
      </c>
      <c r="H736" s="27" t="n">
        <v>45938</v>
      </c>
      <c r="I736" s="27" t="n">
        <v>45929</v>
      </c>
      <c r="J736" s="27" t="n"/>
      <c r="K736" t="inlineStr">
        <is>
          <t>Boleto Bancário</t>
        </is>
      </c>
      <c r="L736" t="inlineStr">
        <is>
          <t>Custo Mercadoria Vendida</t>
        </is>
      </c>
      <c r="M736" t="inlineStr">
        <is>
          <t>Insumos - Alimentos</t>
        </is>
      </c>
      <c r="N736" t="inlineStr">
        <is>
          <t>11053</t>
        </is>
      </c>
      <c r="O736" t="inlineStr">
        <is>
          <t>Documentação Aprovada</t>
        </is>
      </c>
      <c r="P736" t="inlineStr">
        <is>
          <t>Aprovado Diretoria</t>
        </is>
      </c>
      <c r="Q736" t="inlineStr">
        <is>
          <t>Aprovado Caixa</t>
        </is>
      </c>
      <c r="R736" t="inlineStr">
        <is>
          <t>Pago</t>
        </is>
      </c>
      <c r="S736" t="n">
        <v>182</v>
      </c>
      <c r="T736" t="inlineStr">
        <is>
          <t>Love - Shibari - Kamino</t>
        </is>
      </c>
    </row>
    <row r="737">
      <c r="A737" t="n">
        <v>166883</v>
      </c>
      <c r="B737" t="n">
        <v>128</v>
      </c>
      <c r="C737" t="inlineStr">
        <is>
          <t>Love Cabaret</t>
        </is>
      </c>
      <c r="D737" t="inlineStr">
        <is>
          <t>BRADESCO SA</t>
        </is>
      </c>
      <c r="E737" t="n">
        <v>29.4</v>
      </c>
      <c r="F737" s="27" t="n">
        <v>45938</v>
      </c>
      <c r="G737" s="27" t="n"/>
      <c r="H737" s="27" t="n">
        <v>45938</v>
      </c>
      <c r="I737" s="27" t="n">
        <v>45938</v>
      </c>
      <c r="J737" s="27" t="n">
        <v>45943</v>
      </c>
      <c r="K737" t="inlineStr">
        <is>
          <t>Encontro de Contas</t>
        </is>
      </c>
      <c r="L737" t="inlineStr">
        <is>
          <t>Despesas Financeiras</t>
        </is>
      </c>
      <c r="M737" t="inlineStr">
        <is>
          <t>Tarifas Bancárias</t>
        </is>
      </c>
      <c r="N737" t="inlineStr">
        <is>
          <t>10/2025</t>
        </is>
      </c>
      <c r="R737" t="inlineStr">
        <is>
          <t>Pago</t>
        </is>
      </c>
    </row>
    <row r="738">
      <c r="A738" t="n">
        <v>164419</v>
      </c>
      <c r="B738" t="n">
        <v>128</v>
      </c>
      <c r="C738" t="inlineStr">
        <is>
          <t>Love Cabaret</t>
        </is>
      </c>
      <c r="D738" t="inlineStr">
        <is>
          <t xml:space="preserve">FORTE ALIMENTOS COM. IMPORTAÇÃO LTDA </t>
        </is>
      </c>
      <c r="E738" t="n">
        <v>1004.83</v>
      </c>
      <c r="F738" s="27" t="n">
        <v>45940</v>
      </c>
      <c r="G738" s="27" t="n">
        <v>45938</v>
      </c>
      <c r="H738" s="27" t="n">
        <v>45938</v>
      </c>
      <c r="I738" s="27" t="n">
        <v>45926</v>
      </c>
      <c r="J738" s="27" t="n">
        <v>45932</v>
      </c>
      <c r="K738" t="inlineStr">
        <is>
          <t>Boleto Bancário</t>
        </is>
      </c>
      <c r="L738" t="inlineStr">
        <is>
          <t>Custo Mercadoria Vendida</t>
        </is>
      </c>
      <c r="M738" t="inlineStr">
        <is>
          <t>Insumos - Alimentos</t>
        </is>
      </c>
      <c r="N738" t="inlineStr">
        <is>
          <t>334683</t>
        </is>
      </c>
      <c r="O738" t="inlineStr">
        <is>
          <t>Documentação Aprovada</t>
        </is>
      </c>
      <c r="P738" t="inlineStr">
        <is>
          <t>Aprovado Diretoria</t>
        </is>
      </c>
      <c r="Q738" t="inlineStr">
        <is>
          <t>Aprovado Caixa</t>
        </is>
      </c>
      <c r="R738" t="inlineStr">
        <is>
          <t>Pago</t>
        </is>
      </c>
      <c r="S738" t="n">
        <v>182</v>
      </c>
      <c r="T738" t="inlineStr">
        <is>
          <t>Love - Shibari - Kamino</t>
        </is>
      </c>
    </row>
    <row r="739">
      <c r="A739" t="n">
        <v>164468</v>
      </c>
      <c r="B739" t="n">
        <v>128</v>
      </c>
      <c r="C739" t="inlineStr">
        <is>
          <t>Love Cabaret</t>
        </is>
      </c>
      <c r="D739" t="inlineStr">
        <is>
          <t>MICHELLY ROSSI COUTO</t>
        </is>
      </c>
      <c r="E739" t="n">
        <v>5000</v>
      </c>
      <c r="F739" s="27" t="n">
        <v>45940</v>
      </c>
      <c r="G739" s="27" t="n">
        <v>45938</v>
      </c>
      <c r="H739" s="27" t="n">
        <v>45938</v>
      </c>
      <c r="I739" s="27" t="n">
        <v>45931</v>
      </c>
      <c r="J739" s="27" t="n">
        <v>45932</v>
      </c>
      <c r="K739" t="inlineStr">
        <is>
          <t>Transferência Bancária ou Pix</t>
        </is>
      </c>
      <c r="L739" t="inlineStr">
        <is>
          <t>Patrocínio</t>
        </is>
      </c>
      <c r="M739" t="inlineStr">
        <is>
          <t>(-) Despesas de Patrocínio</t>
        </is>
      </c>
      <c r="N739" t="inlineStr">
        <is>
          <t>277</t>
        </is>
      </c>
      <c r="O739" t="inlineStr">
        <is>
          <t>Documentação Aprovada</t>
        </is>
      </c>
      <c r="P739" t="inlineStr">
        <is>
          <t>Aprovado Diretoria</t>
        </is>
      </c>
      <c r="Q739" t="inlineStr">
        <is>
          <t>Aprovado Caixa</t>
        </is>
      </c>
      <c r="R739" t="inlineStr">
        <is>
          <t>Pago</t>
        </is>
      </c>
      <c r="S739" t="n">
        <v>182</v>
      </c>
      <c r="T739" t="inlineStr">
        <is>
          <t>Love - Shibari - Kamino</t>
        </is>
      </c>
    </row>
    <row r="740">
      <c r="A740" t="n">
        <v>164426</v>
      </c>
      <c r="B740" t="n">
        <v>128</v>
      </c>
      <c r="C740" t="inlineStr">
        <is>
          <t>Love Cabaret</t>
        </is>
      </c>
      <c r="D740" t="inlineStr">
        <is>
          <t>CASA DE CARNES P.J.J.LTDA</t>
        </is>
      </c>
      <c r="E740" t="n">
        <v>462.76</v>
      </c>
      <c r="F740" s="27" t="n">
        <v>45940</v>
      </c>
      <c r="G740" s="27" t="n">
        <v>45938</v>
      </c>
      <c r="H740" s="27" t="n">
        <v>45938</v>
      </c>
      <c r="I740" s="27" t="n">
        <v>45925</v>
      </c>
      <c r="J740" s="27" t="n">
        <v>45932</v>
      </c>
      <c r="K740" t="inlineStr">
        <is>
          <t>Boleto Bancário</t>
        </is>
      </c>
      <c r="L740" t="inlineStr">
        <is>
          <t>Custo Mercadoria Vendida</t>
        </is>
      </c>
      <c r="M740" t="inlineStr">
        <is>
          <t>Insumos - Alimentos</t>
        </is>
      </c>
      <c r="N740" t="inlineStr">
        <is>
          <t>44120</t>
        </is>
      </c>
      <c r="O740" t="inlineStr">
        <is>
          <t>Documentação Aprovada</t>
        </is>
      </c>
      <c r="P740" t="inlineStr">
        <is>
          <t>Aprovado Diretoria</t>
        </is>
      </c>
      <c r="Q740" t="inlineStr">
        <is>
          <t>Aprovado Caixa</t>
        </is>
      </c>
      <c r="R740" t="inlineStr">
        <is>
          <t>Pago</t>
        </is>
      </c>
      <c r="S740" t="n">
        <v>182</v>
      </c>
      <c r="T740" t="inlineStr">
        <is>
          <t>Love - Shibari - Kamino</t>
        </is>
      </c>
    </row>
    <row r="741">
      <c r="A741" t="n">
        <v>164422</v>
      </c>
      <c r="B741" t="n">
        <v>128</v>
      </c>
      <c r="C741" t="inlineStr">
        <is>
          <t>Love Cabaret</t>
        </is>
      </c>
      <c r="D741" t="inlineStr">
        <is>
          <t xml:space="preserve">DOUGLAS FELIPE DOMINGUES GONCALVES </t>
        </is>
      </c>
      <c r="E741" t="n">
        <v>4400</v>
      </c>
      <c r="F741" s="27" t="n">
        <v>45940</v>
      </c>
      <c r="G741" s="27" t="n">
        <v>45938</v>
      </c>
      <c r="H741" s="27" t="n">
        <v>45938</v>
      </c>
      <c r="I741" s="27" t="n">
        <v>45901</v>
      </c>
      <c r="J741" s="27" t="n">
        <v>45932</v>
      </c>
      <c r="K741" t="inlineStr">
        <is>
          <t>Transferência Bancária ou Pix</t>
        </is>
      </c>
      <c r="L741" t="inlineStr">
        <is>
          <t>Gorjeta</t>
        </is>
      </c>
      <c r="M741" t="inlineStr">
        <is>
          <t xml:space="preserve">  -  Comissões e Gorjeta</t>
        </is>
      </c>
      <c r="N741" t="inlineStr">
        <is>
          <t>51</t>
        </is>
      </c>
      <c r="O741" t="inlineStr">
        <is>
          <t>Documentação Aprovada</t>
        </is>
      </c>
      <c r="P741" t="inlineStr">
        <is>
          <t>Aprovado Diretoria</t>
        </is>
      </c>
      <c r="Q741" t="inlineStr">
        <is>
          <t>Aprovado Caixa</t>
        </is>
      </c>
      <c r="R741" t="inlineStr">
        <is>
          <t>Pago</t>
        </is>
      </c>
      <c r="S741" t="n">
        <v>182</v>
      </c>
      <c r="T741" t="inlineStr">
        <is>
          <t>Love - Shibari - Kamino</t>
        </is>
      </c>
    </row>
    <row r="742">
      <c r="A742" t="n">
        <v>164416</v>
      </c>
      <c r="B742" t="n">
        <v>128</v>
      </c>
      <c r="C742" t="inlineStr">
        <is>
          <t>Love Cabaret</t>
        </is>
      </c>
      <c r="D742" t="inlineStr">
        <is>
          <t>PJ23824129000110 - FELIPE DA COSTA SANTOS</t>
        </is>
      </c>
      <c r="E742" t="n">
        <v>5280</v>
      </c>
      <c r="F742" s="27" t="n">
        <v>45940</v>
      </c>
      <c r="G742" s="27" t="n">
        <v>45938</v>
      </c>
      <c r="H742" s="27" t="n">
        <v>45938</v>
      </c>
      <c r="I742" s="27" t="n">
        <v>45901</v>
      </c>
      <c r="J742" s="27" t="n">
        <v>45932</v>
      </c>
      <c r="K742" t="inlineStr">
        <is>
          <t>Transferência Bancária ou Pix</t>
        </is>
      </c>
      <c r="L742" t="inlineStr">
        <is>
          <t>Gorjeta</t>
        </is>
      </c>
      <c r="M742" t="inlineStr">
        <is>
          <t xml:space="preserve">  -  Comissões e Gorjeta</t>
        </is>
      </c>
      <c r="N742" t="inlineStr">
        <is>
          <t>60</t>
        </is>
      </c>
      <c r="O742" t="inlineStr">
        <is>
          <t>Documentação Aprovada</t>
        </is>
      </c>
      <c r="P742" t="inlineStr">
        <is>
          <t>Aprovado Diretoria</t>
        </is>
      </c>
      <c r="Q742" t="inlineStr">
        <is>
          <t>Aprovado Caixa</t>
        </is>
      </c>
      <c r="R742" t="inlineStr">
        <is>
          <t>Pago</t>
        </is>
      </c>
      <c r="S742" t="n">
        <v>182</v>
      </c>
      <c r="T742" t="inlineStr">
        <is>
          <t>Love - Shibari - Kamino</t>
        </is>
      </c>
    </row>
    <row r="743">
      <c r="A743" t="n">
        <v>164420</v>
      </c>
      <c r="B743" t="n">
        <v>128</v>
      </c>
      <c r="C743" t="inlineStr">
        <is>
          <t>Love Cabaret</t>
        </is>
      </c>
      <c r="D743" t="inlineStr">
        <is>
          <t>CECILIA TSUYACO ARAKI SILVA LTDA</t>
        </is>
      </c>
      <c r="E743" t="n">
        <v>283.78</v>
      </c>
      <c r="F743" s="27" t="n">
        <v>45939</v>
      </c>
      <c r="G743" s="27" t="n">
        <v>45938</v>
      </c>
      <c r="H743" s="27" t="n">
        <v>45938</v>
      </c>
      <c r="I743" s="27" t="n">
        <v>45925</v>
      </c>
      <c r="J743" s="27" t="n">
        <v>45932</v>
      </c>
      <c r="K743" t="inlineStr">
        <is>
          <t>Boleto Bancário</t>
        </is>
      </c>
      <c r="L743" t="inlineStr">
        <is>
          <t>Custo Mercadoria Vendida</t>
        </is>
      </c>
      <c r="M743" t="inlineStr">
        <is>
          <t>Insumos - Alimentos</t>
        </is>
      </c>
      <c r="N743" t="inlineStr">
        <is>
          <t>378697</t>
        </is>
      </c>
      <c r="O743" t="inlineStr">
        <is>
          <t>Documentação Aprovada</t>
        </is>
      </c>
      <c r="P743" t="inlineStr">
        <is>
          <t>Aprovado Diretoria</t>
        </is>
      </c>
      <c r="Q743" t="inlineStr">
        <is>
          <t>Aprovado Caixa</t>
        </is>
      </c>
      <c r="R743" t="inlineStr">
        <is>
          <t>Pago</t>
        </is>
      </c>
      <c r="S743" t="n">
        <v>182</v>
      </c>
      <c r="T743" t="inlineStr">
        <is>
          <t>Love - Shibari - Kamino</t>
        </is>
      </c>
    </row>
    <row r="744">
      <c r="A744" t="n">
        <v>154524</v>
      </c>
      <c r="B744" t="n">
        <v>128</v>
      </c>
      <c r="C744" t="inlineStr">
        <is>
          <t>Love Cabaret</t>
        </is>
      </c>
      <c r="D744" t="inlineStr">
        <is>
          <t>SEGUROS SURA S/A</t>
        </is>
      </c>
      <c r="E744" t="n">
        <v>229.26</v>
      </c>
      <c r="F744" s="27" t="n">
        <v>45940</v>
      </c>
      <c r="G744" s="27" t="n">
        <v>45938</v>
      </c>
      <c r="H744" s="27" t="n">
        <v>45938</v>
      </c>
      <c r="I744" s="27" t="n">
        <v>45943</v>
      </c>
      <c r="J744" s="27" t="n"/>
      <c r="K744" t="inlineStr">
        <is>
          <t>Transferência Bancária ou Pix</t>
        </is>
      </c>
      <c r="L744" t="inlineStr">
        <is>
          <t>Custo de Ocupação</t>
        </is>
      </c>
      <c r="M744" t="inlineStr">
        <is>
          <t>Seguro Patrimonial</t>
        </is>
      </c>
      <c r="N744" t="inlineStr">
        <is>
          <t>PARC 3/6</t>
        </is>
      </c>
      <c r="O744" t="inlineStr">
        <is>
          <t>Documentação Aprovada</t>
        </is>
      </c>
      <c r="P744" t="inlineStr">
        <is>
          <t>Aprovado Diretoria</t>
        </is>
      </c>
      <c r="Q744" t="inlineStr">
        <is>
          <t>Aprovado Caixa</t>
        </is>
      </c>
      <c r="R744" t="inlineStr">
        <is>
          <t>Pago</t>
        </is>
      </c>
      <c r="S744" t="n">
        <v>182</v>
      </c>
      <c r="T744" t="inlineStr">
        <is>
          <t>Love - Shibari - Kamino</t>
        </is>
      </c>
    </row>
    <row r="745">
      <c r="A745" t="n">
        <v>161557</v>
      </c>
      <c r="B745" t="n">
        <v>128</v>
      </c>
      <c r="C745" t="inlineStr">
        <is>
          <t>Love Cabaret</t>
        </is>
      </c>
      <c r="D745" t="inlineStr">
        <is>
          <t>PJ 00192022 - FELIPE FERREIRA FRANCA</t>
        </is>
      </c>
      <c r="E745" t="n">
        <v>3250</v>
      </c>
      <c r="F745" s="27" t="n">
        <v>45940</v>
      </c>
      <c r="G745" s="27" t="n">
        <v>45938</v>
      </c>
      <c r="H745" s="27" t="n">
        <v>45938</v>
      </c>
      <c r="I745" s="27" t="n">
        <v>45901</v>
      </c>
      <c r="J745" s="27" t="n">
        <v>45917</v>
      </c>
      <c r="K745" t="inlineStr">
        <is>
          <t>Transferência Bancária ou Pix</t>
        </is>
      </c>
      <c r="L745" t="inlineStr">
        <is>
          <t>Mão de Obra - PJ</t>
        </is>
      </c>
      <c r="M745" t="inlineStr">
        <is>
          <t>MDO PJ Fixo</t>
        </is>
      </c>
      <c r="N745" t="inlineStr">
        <is>
          <t>54</t>
        </is>
      </c>
      <c r="O745" t="inlineStr">
        <is>
          <t>Documentação Aprovada</t>
        </is>
      </c>
      <c r="P745" t="inlineStr">
        <is>
          <t>Aprovado Diretoria</t>
        </is>
      </c>
      <c r="Q745" t="inlineStr">
        <is>
          <t>Aprovado Caixa</t>
        </is>
      </c>
      <c r="R745" t="inlineStr">
        <is>
          <t>Pago</t>
        </is>
      </c>
      <c r="S745" t="n">
        <v>182</v>
      </c>
      <c r="T745" t="inlineStr">
        <is>
          <t>Love - Shibari - Kamino</t>
        </is>
      </c>
    </row>
    <row r="746">
      <c r="A746" t="n">
        <v>161574</v>
      </c>
      <c r="B746" t="n">
        <v>128</v>
      </c>
      <c r="C746" t="inlineStr">
        <is>
          <t>Love Cabaret</t>
        </is>
      </c>
      <c r="D746" t="inlineStr">
        <is>
          <t>VANESSA DEL SANTOS DE FREITAS CONSULTORIA - PJ 00092021</t>
        </is>
      </c>
      <c r="E746" t="n">
        <v>3000</v>
      </c>
      <c r="F746" s="27" t="n">
        <v>45940</v>
      </c>
      <c r="G746" s="27" t="n">
        <v>45938</v>
      </c>
      <c r="H746" s="27" t="n">
        <v>45938</v>
      </c>
      <c r="I746" s="27" t="n">
        <v>45901</v>
      </c>
      <c r="J746" s="27" t="n">
        <v>45917</v>
      </c>
      <c r="K746" t="inlineStr">
        <is>
          <t>Transferência Bancária ou Pix</t>
        </is>
      </c>
      <c r="L746" t="inlineStr">
        <is>
          <t>Mão de Obra - PJ</t>
        </is>
      </c>
      <c r="M746" t="inlineStr">
        <is>
          <t>MDO PJ Fixo</t>
        </is>
      </c>
      <c r="N746" t="inlineStr">
        <is>
          <t>285</t>
        </is>
      </c>
      <c r="O746" t="inlineStr">
        <is>
          <t>Documentação Aprovada</t>
        </is>
      </c>
      <c r="P746" t="inlineStr">
        <is>
          <t>Aprovado Diretoria</t>
        </is>
      </c>
      <c r="Q746" t="inlineStr">
        <is>
          <t>Aprovado Caixa</t>
        </is>
      </c>
      <c r="R746" t="inlineStr">
        <is>
          <t>Pago</t>
        </is>
      </c>
      <c r="S746" t="n">
        <v>182</v>
      </c>
      <c r="T746" t="inlineStr">
        <is>
          <t>Love - Shibari - Kamino</t>
        </is>
      </c>
    </row>
    <row r="747">
      <c r="A747" t="n">
        <v>161554</v>
      </c>
      <c r="B747" t="n">
        <v>128</v>
      </c>
      <c r="C747" t="inlineStr">
        <is>
          <t>Love Cabaret</t>
        </is>
      </c>
      <c r="D747" t="inlineStr">
        <is>
          <t xml:space="preserve">DOUGLAS FELIPE DOMINGUES GONCALVES </t>
        </is>
      </c>
      <c r="E747" t="n">
        <v>4100</v>
      </c>
      <c r="F747" s="27" t="n">
        <v>45940</v>
      </c>
      <c r="G747" s="27" t="n">
        <v>45938</v>
      </c>
      <c r="H747" s="27" t="n">
        <v>45938</v>
      </c>
      <c r="I747" s="27" t="n">
        <v>45901</v>
      </c>
      <c r="J747" s="27" t="n">
        <v>45917</v>
      </c>
      <c r="K747" t="inlineStr">
        <is>
          <t>Transferência Bancária ou Pix</t>
        </is>
      </c>
      <c r="L747" t="inlineStr">
        <is>
          <t>Custos Artístico Geral</t>
        </is>
      </c>
      <c r="M747" t="inlineStr">
        <is>
          <t>Técnico de Som / Luz</t>
        </is>
      </c>
      <c r="N747" t="inlineStr">
        <is>
          <t>50</t>
        </is>
      </c>
      <c r="O747" t="inlineStr">
        <is>
          <t>Documentação Aprovada</t>
        </is>
      </c>
      <c r="P747" t="inlineStr">
        <is>
          <t>Aprovado Diretoria</t>
        </is>
      </c>
      <c r="Q747" t="inlineStr">
        <is>
          <t>Aprovado Caixa</t>
        </is>
      </c>
      <c r="R747" t="inlineStr">
        <is>
          <t>Pago</t>
        </is>
      </c>
      <c r="S747" t="n">
        <v>182</v>
      </c>
      <c r="T747" t="inlineStr">
        <is>
          <t>Love - Shibari - Kamino</t>
        </is>
      </c>
    </row>
    <row r="748">
      <c r="A748" t="n">
        <v>161558</v>
      </c>
      <c r="B748" t="n">
        <v>128</v>
      </c>
      <c r="C748" t="inlineStr">
        <is>
          <t>Love Cabaret</t>
        </is>
      </c>
      <c r="D748" t="inlineStr">
        <is>
          <t>PUXURI CONSULTORIA LTDA</t>
        </is>
      </c>
      <c r="E748" t="n">
        <v>4000</v>
      </c>
      <c r="F748" s="27" t="n">
        <v>45940</v>
      </c>
      <c r="G748" s="27" t="n">
        <v>45938</v>
      </c>
      <c r="H748" s="27" t="n">
        <v>45938</v>
      </c>
      <c r="I748" s="27" t="n">
        <v>45901</v>
      </c>
      <c r="J748" s="27" t="n">
        <v>45917</v>
      </c>
      <c r="K748" t="inlineStr">
        <is>
          <t>Transferência Bancária ou Pix</t>
        </is>
      </c>
      <c r="L748" t="inlineStr">
        <is>
          <t>Mão de Obra - PJ</t>
        </is>
      </c>
      <c r="M748" t="inlineStr">
        <is>
          <t>MDO PJ Fixo</t>
        </is>
      </c>
      <c r="N748" t="inlineStr">
        <is>
          <t>122</t>
        </is>
      </c>
      <c r="O748" t="inlineStr">
        <is>
          <t>Documentação Aprovada</t>
        </is>
      </c>
      <c r="P748" t="inlineStr">
        <is>
          <t>Aprovado Diretoria</t>
        </is>
      </c>
      <c r="Q748" t="inlineStr">
        <is>
          <t>Aprovado Caixa</t>
        </is>
      </c>
      <c r="R748" t="inlineStr">
        <is>
          <t>Pago</t>
        </is>
      </c>
      <c r="S748" t="n">
        <v>182</v>
      </c>
      <c r="T748" t="inlineStr">
        <is>
          <t>Love - Shibari - Kamino</t>
        </is>
      </c>
    </row>
    <row r="749">
      <c r="A749" t="n">
        <v>161560</v>
      </c>
      <c r="B749" t="n">
        <v>128</v>
      </c>
      <c r="C749" t="inlineStr">
        <is>
          <t>Love Cabaret</t>
        </is>
      </c>
      <c r="D749" t="inlineStr">
        <is>
          <t>PJ 00492024 - ISABELLA FERNANDES GOMES</t>
        </is>
      </c>
      <c r="E749" t="n">
        <v>1200</v>
      </c>
      <c r="F749" s="27" t="n">
        <v>45940</v>
      </c>
      <c r="G749" s="27" t="n">
        <v>45938</v>
      </c>
      <c r="H749" s="27" t="n">
        <v>45938</v>
      </c>
      <c r="I749" s="27" t="n">
        <v>45901</v>
      </c>
      <c r="J749" s="27" t="n">
        <v>45917</v>
      </c>
      <c r="K749" t="inlineStr">
        <is>
          <t>Transferência Bancária ou Pix</t>
        </is>
      </c>
      <c r="L749" t="inlineStr">
        <is>
          <t>Mão de Obra - PJ</t>
        </is>
      </c>
      <c r="M749" t="inlineStr">
        <is>
          <t>MDO PJ Fixo</t>
        </is>
      </c>
      <c r="N749" t="inlineStr">
        <is>
          <t>61</t>
        </is>
      </c>
      <c r="O749" t="inlineStr">
        <is>
          <t>Documentação Aprovada</t>
        </is>
      </c>
      <c r="P749" t="inlineStr">
        <is>
          <t>Aprovado Diretoria</t>
        </is>
      </c>
      <c r="Q749" t="inlineStr">
        <is>
          <t>Aprovado Caixa</t>
        </is>
      </c>
      <c r="R749" t="inlineStr">
        <is>
          <t>Pago</t>
        </is>
      </c>
      <c r="S749" t="n">
        <v>182</v>
      </c>
      <c r="T749" t="inlineStr">
        <is>
          <t>Love - Shibari - Kamino</t>
        </is>
      </c>
    </row>
    <row r="750">
      <c r="A750" t="n">
        <v>161563</v>
      </c>
      <c r="B750" t="n">
        <v>128</v>
      </c>
      <c r="C750" t="inlineStr">
        <is>
          <t>Love Cabaret</t>
        </is>
      </c>
      <c r="D750" t="inlineStr">
        <is>
          <t>PJ 00352023 - JESSICA IZABEL DE SOUZA</t>
        </is>
      </c>
      <c r="E750" t="n">
        <v>1250</v>
      </c>
      <c r="F750" s="27" t="n">
        <v>45940</v>
      </c>
      <c r="G750" s="27" t="n">
        <v>45938</v>
      </c>
      <c r="H750" s="27" t="n">
        <v>45938</v>
      </c>
      <c r="I750" s="27" t="n">
        <v>45901</v>
      </c>
      <c r="J750" s="27" t="n">
        <v>45917</v>
      </c>
      <c r="K750" t="inlineStr">
        <is>
          <t>Transferência Bancária ou Pix</t>
        </is>
      </c>
      <c r="L750" t="inlineStr">
        <is>
          <t>Mão de Obra - PJ</t>
        </is>
      </c>
      <c r="M750" t="inlineStr">
        <is>
          <t>MDO PJ Fixo</t>
        </is>
      </c>
      <c r="N750" t="inlineStr">
        <is>
          <t>92</t>
        </is>
      </c>
      <c r="O750" t="inlineStr">
        <is>
          <t>Documentação Aprovada</t>
        </is>
      </c>
      <c r="P750" t="inlineStr">
        <is>
          <t>Aprovado Diretoria</t>
        </is>
      </c>
      <c r="Q750" t="inlineStr">
        <is>
          <t>Aprovado Caixa</t>
        </is>
      </c>
      <c r="R750" t="inlineStr">
        <is>
          <t>Pago</t>
        </is>
      </c>
      <c r="S750" t="n">
        <v>182</v>
      </c>
      <c r="T750" t="inlineStr">
        <is>
          <t>Love - Shibari - Kamino</t>
        </is>
      </c>
    </row>
    <row r="751">
      <c r="A751" t="n">
        <v>161564</v>
      </c>
      <c r="B751" t="n">
        <v>128</v>
      </c>
      <c r="C751" t="inlineStr">
        <is>
          <t>Love Cabaret</t>
        </is>
      </c>
      <c r="D751" t="inlineStr">
        <is>
          <t>JULIA BAISCH FRANZ 02463978023</t>
        </is>
      </c>
      <c r="E751" t="n">
        <v>8500</v>
      </c>
      <c r="F751" s="27" t="n">
        <v>45940</v>
      </c>
      <c r="G751" s="27" t="n">
        <v>45938</v>
      </c>
      <c r="H751" s="27" t="n">
        <v>45938</v>
      </c>
      <c r="I751" s="27" t="n">
        <v>45901</v>
      </c>
      <c r="J751" s="27" t="n">
        <v>45917</v>
      </c>
      <c r="K751" t="inlineStr">
        <is>
          <t>Transferência Bancária ou Pix</t>
        </is>
      </c>
      <c r="L751" t="inlineStr">
        <is>
          <t>Custos Artístico Geral</t>
        </is>
      </c>
      <c r="M751" t="inlineStr">
        <is>
          <t>Técnico de Som / Luz</t>
        </is>
      </c>
      <c r="N751" t="inlineStr">
        <is>
          <t>16</t>
        </is>
      </c>
      <c r="O751" t="inlineStr">
        <is>
          <t>Documentação Aprovada</t>
        </is>
      </c>
      <c r="P751" t="inlineStr">
        <is>
          <t>Aprovado Diretoria</t>
        </is>
      </c>
      <c r="Q751" t="inlineStr">
        <is>
          <t>Aprovado Caixa</t>
        </is>
      </c>
      <c r="R751" t="inlineStr">
        <is>
          <t>Pago</t>
        </is>
      </c>
      <c r="S751" t="n">
        <v>182</v>
      </c>
      <c r="T751" t="inlineStr">
        <is>
          <t>Love - Shibari - Kamino</t>
        </is>
      </c>
    </row>
    <row r="752">
      <c r="A752" t="n">
        <v>161565</v>
      </c>
      <c r="B752" t="n">
        <v>128</v>
      </c>
      <c r="C752" t="inlineStr">
        <is>
          <t>Love Cabaret</t>
        </is>
      </c>
      <c r="D752" t="inlineStr">
        <is>
          <t xml:space="preserve">PJ 00452023 LAISA ROCHA LARANGEIRA </t>
        </is>
      </c>
      <c r="E752" t="n">
        <v>1600</v>
      </c>
      <c r="F752" s="27" t="n">
        <v>45940</v>
      </c>
      <c r="G752" s="27" t="n">
        <v>45938</v>
      </c>
      <c r="H752" s="27" t="n">
        <v>45938</v>
      </c>
      <c r="I752" s="27" t="n">
        <v>45901</v>
      </c>
      <c r="J752" s="27" t="n">
        <v>45917</v>
      </c>
      <c r="K752" t="inlineStr">
        <is>
          <t>Transferência Bancária ou Pix</t>
        </is>
      </c>
      <c r="L752" t="inlineStr">
        <is>
          <t>Mão de Obra - PJ</t>
        </is>
      </c>
      <c r="M752" t="inlineStr">
        <is>
          <t>MDO PJ Fixo</t>
        </is>
      </c>
      <c r="N752" t="inlineStr">
        <is>
          <t>87</t>
        </is>
      </c>
      <c r="O752" t="inlineStr">
        <is>
          <t>Documentação Aprovada</t>
        </is>
      </c>
      <c r="P752" t="inlineStr">
        <is>
          <t>Aprovado Diretoria</t>
        </is>
      </c>
      <c r="Q752" t="inlineStr">
        <is>
          <t>Aprovado Caixa</t>
        </is>
      </c>
      <c r="R752" t="inlineStr">
        <is>
          <t>Pago</t>
        </is>
      </c>
      <c r="S752" t="n">
        <v>182</v>
      </c>
      <c r="T752" t="inlineStr">
        <is>
          <t>Love - Shibari - Kamino</t>
        </is>
      </c>
    </row>
    <row r="753">
      <c r="A753" t="n">
        <v>161566</v>
      </c>
      <c r="B753" t="n">
        <v>128</v>
      </c>
      <c r="C753" t="inlineStr">
        <is>
          <t>Love Cabaret</t>
        </is>
      </c>
      <c r="D753" t="inlineStr">
        <is>
          <t>MARIA EDUARDA RAMOS DE SOUSA</t>
        </is>
      </c>
      <c r="E753" t="n">
        <v>1600</v>
      </c>
      <c r="F753" s="27" t="n">
        <v>45940</v>
      </c>
      <c r="G753" s="27" t="n">
        <v>45938</v>
      </c>
      <c r="H753" s="27" t="n">
        <v>45938</v>
      </c>
      <c r="I753" s="27" t="n">
        <v>45901</v>
      </c>
      <c r="J753" s="27" t="n">
        <v>45917</v>
      </c>
      <c r="K753" t="inlineStr">
        <is>
          <t>Transferência Bancária ou Pix</t>
        </is>
      </c>
      <c r="L753" t="inlineStr">
        <is>
          <t>Mão de Obra - PJ</t>
        </is>
      </c>
      <c r="M753" t="inlineStr">
        <is>
          <t>MDO PJ Fixo</t>
        </is>
      </c>
      <c r="N753" t="inlineStr">
        <is>
          <t>60</t>
        </is>
      </c>
      <c r="O753" t="inlineStr">
        <is>
          <t>Documentação Aprovada</t>
        </is>
      </c>
      <c r="P753" t="inlineStr">
        <is>
          <t>Aprovado Diretoria</t>
        </is>
      </c>
      <c r="Q753" t="inlineStr">
        <is>
          <t>Aprovado Caixa</t>
        </is>
      </c>
      <c r="R753" t="inlineStr">
        <is>
          <t>Pago</t>
        </is>
      </c>
      <c r="S753" t="n">
        <v>182</v>
      </c>
      <c r="T753" t="inlineStr">
        <is>
          <t>Love - Shibari - Kamino</t>
        </is>
      </c>
    </row>
    <row r="754">
      <c r="A754" t="n">
        <v>161570</v>
      </c>
      <c r="B754" t="n">
        <v>128</v>
      </c>
      <c r="C754" t="inlineStr">
        <is>
          <t>Love Cabaret</t>
        </is>
      </c>
      <c r="D754" t="inlineStr">
        <is>
          <t>TAMARA SANTOS RIBEIRO</t>
        </is>
      </c>
      <c r="E754" t="n">
        <v>3500</v>
      </c>
      <c r="F754" s="27" t="n">
        <v>45940</v>
      </c>
      <c r="G754" s="27" t="n">
        <v>45938</v>
      </c>
      <c r="H754" s="27" t="n">
        <v>45938</v>
      </c>
      <c r="I754" s="27" t="n">
        <v>45901</v>
      </c>
      <c r="J754" s="27" t="n">
        <v>45917</v>
      </c>
      <c r="K754" t="inlineStr">
        <is>
          <t>Transferência Bancária ou Pix</t>
        </is>
      </c>
      <c r="L754" t="inlineStr">
        <is>
          <t>Mão de Obra - PJ</t>
        </is>
      </c>
      <c r="M754" t="inlineStr">
        <is>
          <t>MDO PJ Fixo</t>
        </is>
      </c>
      <c r="N754" t="inlineStr">
        <is>
          <t>27</t>
        </is>
      </c>
      <c r="O754" t="inlineStr">
        <is>
          <t>Documentação Aprovada</t>
        </is>
      </c>
      <c r="P754" t="inlineStr">
        <is>
          <t>Aprovado Diretoria</t>
        </is>
      </c>
      <c r="Q754" t="inlineStr">
        <is>
          <t>Aprovado Caixa</t>
        </is>
      </c>
      <c r="R754" t="inlineStr">
        <is>
          <t>Pago</t>
        </is>
      </c>
      <c r="S754" t="n">
        <v>182</v>
      </c>
      <c r="T754" t="inlineStr">
        <is>
          <t>Love - Shibari - Kamino</t>
        </is>
      </c>
    </row>
    <row r="755">
      <c r="A755" t="n">
        <v>161571</v>
      </c>
      <c r="B755" t="n">
        <v>128</v>
      </c>
      <c r="C755" t="inlineStr">
        <is>
          <t>Love Cabaret</t>
        </is>
      </c>
      <c r="D755" t="inlineStr">
        <is>
          <t>PJ 00132021 - TELES DE ALMEIDA PINTO</t>
        </is>
      </c>
      <c r="E755" t="n">
        <v>2774.2</v>
      </c>
      <c r="F755" s="27" t="n">
        <v>45940</v>
      </c>
      <c r="G755" s="27" t="n">
        <v>45938</v>
      </c>
      <c r="H755" s="27" t="n">
        <v>45938</v>
      </c>
      <c r="I755" s="27" t="n">
        <v>45901</v>
      </c>
      <c r="J755" s="27" t="n">
        <v>45917</v>
      </c>
      <c r="K755" t="inlineStr">
        <is>
          <t>Transferência Bancária ou Pix</t>
        </is>
      </c>
      <c r="L755" t="inlineStr">
        <is>
          <t>Mão de Obra - PJ</t>
        </is>
      </c>
      <c r="M755" t="inlineStr">
        <is>
          <t>MDO PJ Fixo</t>
        </is>
      </c>
      <c r="N755" t="inlineStr">
        <is>
          <t>31</t>
        </is>
      </c>
      <c r="O755" t="inlineStr">
        <is>
          <t>Documentação Aprovada</t>
        </is>
      </c>
      <c r="P755" t="inlineStr">
        <is>
          <t>Aprovado Diretoria</t>
        </is>
      </c>
      <c r="Q755" t="inlineStr">
        <is>
          <t>Aprovado Caixa</t>
        </is>
      </c>
      <c r="R755" t="inlineStr">
        <is>
          <t>Pago</t>
        </is>
      </c>
      <c r="S755" t="n">
        <v>182</v>
      </c>
      <c r="T755" t="inlineStr">
        <is>
          <t>Love - Shibari - Kamino</t>
        </is>
      </c>
    </row>
    <row r="756">
      <c r="A756" t="n">
        <v>161573</v>
      </c>
      <c r="B756" t="n">
        <v>128</v>
      </c>
      <c r="C756" t="inlineStr">
        <is>
          <t>Love Cabaret</t>
        </is>
      </c>
      <c r="D756" t="inlineStr">
        <is>
          <t>PJ 00502024 THIAGO PINHEIRO DA SILVA</t>
        </is>
      </c>
      <c r="E756" t="n">
        <v>1125</v>
      </c>
      <c r="F756" s="27" t="n">
        <v>45940</v>
      </c>
      <c r="G756" s="27" t="n">
        <v>45938</v>
      </c>
      <c r="H756" s="27" t="n">
        <v>45938</v>
      </c>
      <c r="I756" s="27" t="n">
        <v>45901</v>
      </c>
      <c r="J756" s="27" t="n">
        <v>45917</v>
      </c>
      <c r="K756" t="inlineStr">
        <is>
          <t>Transferência Bancária ou Pix</t>
        </is>
      </c>
      <c r="L756" t="inlineStr">
        <is>
          <t>Mão de Obra - PJ</t>
        </is>
      </c>
      <c r="M756" t="inlineStr">
        <is>
          <t>MDO PJ Fixo</t>
        </is>
      </c>
      <c r="N756" t="inlineStr">
        <is>
          <t>63</t>
        </is>
      </c>
      <c r="O756" t="inlineStr">
        <is>
          <t>Documentação Aprovada</t>
        </is>
      </c>
      <c r="P756" t="inlineStr">
        <is>
          <t>Aprovado Diretoria</t>
        </is>
      </c>
      <c r="Q756" t="inlineStr">
        <is>
          <t>Aprovado Caixa</t>
        </is>
      </c>
      <c r="R756" t="inlineStr">
        <is>
          <t>Pago</t>
        </is>
      </c>
      <c r="S756" t="n">
        <v>182</v>
      </c>
      <c r="T756" t="inlineStr">
        <is>
          <t>Love - Shibari - Kamino</t>
        </is>
      </c>
    </row>
    <row r="757">
      <c r="A757" t="n">
        <v>161552</v>
      </c>
      <c r="B757" t="n">
        <v>128</v>
      </c>
      <c r="C757" t="inlineStr">
        <is>
          <t>Love Cabaret</t>
        </is>
      </c>
      <c r="D757" t="inlineStr">
        <is>
          <t xml:space="preserve">AGNES RODRIGUES DE OLIVEIRA </t>
        </is>
      </c>
      <c r="E757" t="n">
        <v>5000</v>
      </c>
      <c r="F757" s="27" t="n">
        <v>45940</v>
      </c>
      <c r="G757" s="27" t="n">
        <v>45938</v>
      </c>
      <c r="H757" s="27" t="n">
        <v>45938</v>
      </c>
      <c r="I757" s="27" t="n">
        <v>45901</v>
      </c>
      <c r="J757" s="27" t="n">
        <v>45917</v>
      </c>
      <c r="K757" t="inlineStr">
        <is>
          <t>Transferência Bancária ou Pix</t>
        </is>
      </c>
      <c r="L757" t="inlineStr">
        <is>
          <t>Custos Artístico Geral</t>
        </is>
      </c>
      <c r="M757" t="inlineStr">
        <is>
          <t>Técnico de Som / Luz</t>
        </is>
      </c>
      <c r="N757" t="inlineStr">
        <is>
          <t>38</t>
        </is>
      </c>
      <c r="O757" t="inlineStr">
        <is>
          <t>Documentação Aprovada</t>
        </is>
      </c>
      <c r="P757" t="inlineStr">
        <is>
          <t>Aprovado Diretoria</t>
        </is>
      </c>
      <c r="Q757" t="inlineStr">
        <is>
          <t>Aprovado Caixa</t>
        </is>
      </c>
      <c r="R757" t="inlineStr">
        <is>
          <t>Pago</t>
        </is>
      </c>
      <c r="S757" t="n">
        <v>182</v>
      </c>
      <c r="T757" t="inlineStr">
        <is>
          <t>Love - Shibari - Kamino</t>
        </is>
      </c>
    </row>
    <row r="758">
      <c r="A758" t="n">
        <v>161553</v>
      </c>
      <c r="B758" t="n">
        <v>128</v>
      </c>
      <c r="C758" t="inlineStr">
        <is>
          <t>Love Cabaret</t>
        </is>
      </c>
      <c r="D758" t="inlineStr">
        <is>
          <t>ANDRE RODRIGUES AZEVEDO</t>
        </is>
      </c>
      <c r="E758" t="n">
        <v>7420</v>
      </c>
      <c r="F758" s="27" t="n">
        <v>45940</v>
      </c>
      <c r="G758" s="27" t="n">
        <v>45938</v>
      </c>
      <c r="H758" s="27" t="n">
        <v>45938</v>
      </c>
      <c r="I758" s="27" t="n">
        <v>45901</v>
      </c>
      <c r="J758" s="27" t="n">
        <v>45917</v>
      </c>
      <c r="K758" t="inlineStr">
        <is>
          <t>Transferência Bancária ou Pix</t>
        </is>
      </c>
      <c r="L758" t="inlineStr">
        <is>
          <t>Custos Artístico Geral</t>
        </is>
      </c>
      <c r="M758" t="inlineStr">
        <is>
          <t>Técnico de Som / Luz</t>
        </is>
      </c>
      <c r="N758" t="inlineStr">
        <is>
          <t>64</t>
        </is>
      </c>
      <c r="O758" t="inlineStr">
        <is>
          <t>Documentação Aprovada</t>
        </is>
      </c>
      <c r="P758" t="inlineStr">
        <is>
          <t>Aprovado Diretoria</t>
        </is>
      </c>
      <c r="Q758" t="inlineStr">
        <is>
          <t>Aprovado Caixa</t>
        </is>
      </c>
      <c r="R758" t="inlineStr">
        <is>
          <t>Pago</t>
        </is>
      </c>
      <c r="S758" t="n">
        <v>182</v>
      </c>
      <c r="T758" t="inlineStr">
        <is>
          <t>Love - Shibari - Kamino</t>
        </is>
      </c>
    </row>
    <row r="759">
      <c r="A759" t="n">
        <v>161888</v>
      </c>
      <c r="B759" t="n">
        <v>128</v>
      </c>
      <c r="C759" t="inlineStr">
        <is>
          <t>Love Cabaret</t>
        </is>
      </c>
      <c r="D759" t="inlineStr">
        <is>
          <t>PJ 00302023 - ANDRES LA ROSA</t>
        </is>
      </c>
      <c r="E759" t="n">
        <v>1386.67</v>
      </c>
      <c r="F759" s="27" t="n">
        <v>45940</v>
      </c>
      <c r="G759" s="27" t="n">
        <v>45938</v>
      </c>
      <c r="H759" s="27" t="n">
        <v>45938</v>
      </c>
      <c r="I759" s="27" t="n">
        <v>45901</v>
      </c>
      <c r="J759" s="27" t="n">
        <v>45918</v>
      </c>
      <c r="K759" t="inlineStr">
        <is>
          <t>Transferência Bancária ou Pix</t>
        </is>
      </c>
      <c r="L759" t="inlineStr">
        <is>
          <t>Mão de Obra - PJ</t>
        </is>
      </c>
      <c r="M759" t="inlineStr">
        <is>
          <t>MDO PJ Fixo</t>
        </is>
      </c>
      <c r="N759" t="inlineStr">
        <is>
          <t>66</t>
        </is>
      </c>
      <c r="O759" t="inlineStr">
        <is>
          <t>Documentação Aprovada</t>
        </is>
      </c>
      <c r="P759" t="inlineStr">
        <is>
          <t>Aprovado Diretoria</t>
        </is>
      </c>
      <c r="Q759" t="inlineStr">
        <is>
          <t>Aprovado Caixa</t>
        </is>
      </c>
      <c r="R759" t="inlineStr">
        <is>
          <t>Pago</t>
        </is>
      </c>
      <c r="S759" t="n">
        <v>182</v>
      </c>
      <c r="T759" t="inlineStr">
        <is>
          <t>Love - Shibari - Kamino</t>
        </is>
      </c>
    </row>
    <row r="760">
      <c r="A760" t="n">
        <v>161913</v>
      </c>
      <c r="B760" t="n">
        <v>128</v>
      </c>
      <c r="C760" t="inlineStr">
        <is>
          <t>Love Cabaret</t>
        </is>
      </c>
      <c r="D760" t="inlineStr">
        <is>
          <t>MURILLO S DUARTE COMERCIAL LTDA</t>
        </is>
      </c>
      <c r="E760" t="n">
        <v>322.4</v>
      </c>
      <c r="F760" s="27" t="n">
        <v>45939</v>
      </c>
      <c r="G760" s="27" t="n">
        <v>45938</v>
      </c>
      <c r="H760" s="27" t="n">
        <v>45938</v>
      </c>
      <c r="I760" s="27" t="n">
        <v>45911</v>
      </c>
      <c r="J760" s="27" t="n">
        <v>45918</v>
      </c>
      <c r="K760" t="inlineStr">
        <is>
          <t>Boleto Bancário</t>
        </is>
      </c>
      <c r="L760" t="inlineStr">
        <is>
          <t>Custo Mercadoria Vendida</t>
        </is>
      </c>
      <c r="M760" t="inlineStr">
        <is>
          <t>Insumos - Alimentos</t>
        </is>
      </c>
      <c r="N760" t="inlineStr">
        <is>
          <t>2122</t>
        </is>
      </c>
      <c r="O760" t="inlineStr">
        <is>
          <t>Documentação Aprovada</t>
        </is>
      </c>
      <c r="P760" t="inlineStr">
        <is>
          <t>Aprovado Diretoria</t>
        </is>
      </c>
      <c r="Q760" t="inlineStr">
        <is>
          <t>Aprovado Caixa</t>
        </is>
      </c>
      <c r="R760" t="inlineStr">
        <is>
          <t>Pago</t>
        </is>
      </c>
      <c r="S760" t="n">
        <v>182</v>
      </c>
      <c r="T760" t="inlineStr">
        <is>
          <t>Love - Shibari - Kamino</t>
        </is>
      </c>
    </row>
    <row r="761">
      <c r="A761" t="n">
        <v>161037</v>
      </c>
      <c r="B761" t="n">
        <v>128</v>
      </c>
      <c r="C761" t="inlineStr">
        <is>
          <t>Love Cabaret</t>
        </is>
      </c>
      <c r="D761" t="inlineStr">
        <is>
          <t>KING COMERCIO E IMPORTACAO DE BEBIDAS LTDA</t>
        </is>
      </c>
      <c r="E761" t="n">
        <v>9356.110000000001</v>
      </c>
      <c r="F761" s="27" t="n">
        <v>45939</v>
      </c>
      <c r="G761" s="27" t="n">
        <v>45938</v>
      </c>
      <c r="H761" s="27" t="n">
        <v>45938</v>
      </c>
      <c r="I761" s="27" t="n">
        <v>45911</v>
      </c>
      <c r="J761" s="27" t="n">
        <v>45916</v>
      </c>
      <c r="K761" t="inlineStr">
        <is>
          <t>Boleto Bancário</t>
        </is>
      </c>
      <c r="L761" t="inlineStr">
        <is>
          <t>Custo Mercadoria Vendida</t>
        </is>
      </c>
      <c r="M761" t="inlineStr">
        <is>
          <t>Insumos - Bebidas</t>
        </is>
      </c>
      <c r="N761" t="inlineStr">
        <is>
          <t>121088</t>
        </is>
      </c>
      <c r="O761" t="inlineStr">
        <is>
          <t>Documentação Aprovada</t>
        </is>
      </c>
      <c r="P761" t="inlineStr">
        <is>
          <t>Aprovado Diretoria</t>
        </is>
      </c>
      <c r="Q761" t="inlineStr">
        <is>
          <t>Aprovado Caixa</t>
        </is>
      </c>
      <c r="R761" t="inlineStr">
        <is>
          <t>Pago</t>
        </is>
      </c>
      <c r="S761" t="n">
        <v>182</v>
      </c>
      <c r="T761" t="inlineStr">
        <is>
          <t>Love - Shibari - Kamino</t>
        </is>
      </c>
    </row>
    <row r="762">
      <c r="A762" t="n">
        <v>161049</v>
      </c>
      <c r="B762" t="n">
        <v>128</v>
      </c>
      <c r="C762" t="inlineStr">
        <is>
          <t>Love Cabaret</t>
        </is>
      </c>
      <c r="D762" t="inlineStr">
        <is>
          <t>EMPORIO M&amp;L COMERCIO DE ALIM E BEBIDAS LTDA</t>
        </is>
      </c>
      <c r="E762" t="n">
        <v>1146.6</v>
      </c>
      <c r="F762" s="27" t="n">
        <v>45940</v>
      </c>
      <c r="G762" s="27" t="n">
        <v>45938</v>
      </c>
      <c r="H762" s="27" t="n">
        <v>45938</v>
      </c>
      <c r="I762" s="27" t="n">
        <v>45911</v>
      </c>
      <c r="J762" s="27" t="n">
        <v>45916</v>
      </c>
      <c r="K762" t="inlineStr">
        <is>
          <t>Boleto Bancário</t>
        </is>
      </c>
      <c r="L762" t="inlineStr">
        <is>
          <t>Custo Mercadoria Vendida</t>
        </is>
      </c>
      <c r="M762" t="inlineStr">
        <is>
          <t>Insumos - Bebidas</t>
        </is>
      </c>
      <c r="N762" t="inlineStr">
        <is>
          <t>471032</t>
        </is>
      </c>
      <c r="O762" t="inlineStr">
        <is>
          <t>Documentação Aprovada</t>
        </is>
      </c>
      <c r="P762" t="inlineStr">
        <is>
          <t>Aprovado Diretoria</t>
        </is>
      </c>
      <c r="Q762" t="inlineStr">
        <is>
          <t>Aprovado Caixa</t>
        </is>
      </c>
      <c r="R762" t="inlineStr">
        <is>
          <t>Pago</t>
        </is>
      </c>
      <c r="S762" t="n">
        <v>182</v>
      </c>
      <c r="T762" t="inlineStr">
        <is>
          <t>Love - Shibari - Kamino</t>
        </is>
      </c>
    </row>
    <row r="763">
      <c r="A763" t="n">
        <v>162959</v>
      </c>
      <c r="B763" t="n">
        <v>128</v>
      </c>
      <c r="C763" t="inlineStr">
        <is>
          <t>Love Cabaret</t>
        </is>
      </c>
      <c r="D763" t="inlineStr">
        <is>
          <t>STUDIO METROPOLE LTDA - ME</t>
        </is>
      </c>
      <c r="E763" t="n">
        <v>2973.44</v>
      </c>
      <c r="F763" s="27" t="n">
        <v>45939</v>
      </c>
      <c r="G763" s="27" t="n">
        <v>45938</v>
      </c>
      <c r="H763" s="27" t="n">
        <v>45938</v>
      </c>
      <c r="I763" s="27" t="n">
        <v>45924</v>
      </c>
      <c r="J763" s="27" t="n">
        <v>45924</v>
      </c>
      <c r="K763" t="inlineStr">
        <is>
          <t>Transferência Bancária ou Pix</t>
        </is>
      </c>
      <c r="L763" t="inlineStr">
        <is>
          <t>Custos Artístico Geral</t>
        </is>
      </c>
      <c r="M763" t="inlineStr">
        <is>
          <t>Cachê de Músicos e Artistas</t>
        </is>
      </c>
      <c r="N763" t="inlineStr">
        <is>
          <t>1301</t>
        </is>
      </c>
      <c r="O763" t="inlineStr">
        <is>
          <t>Documentação Aprovada</t>
        </is>
      </c>
      <c r="P763" t="inlineStr">
        <is>
          <t>Aprovado Diretoria</t>
        </is>
      </c>
      <c r="Q763" t="inlineStr">
        <is>
          <t>Aprovado Caixa</t>
        </is>
      </c>
      <c r="R763" t="inlineStr">
        <is>
          <t>Pago</t>
        </is>
      </c>
      <c r="S763" t="n">
        <v>182</v>
      </c>
      <c r="T763" t="inlineStr">
        <is>
          <t>Love - Shibari - Kamino</t>
        </is>
      </c>
    </row>
    <row r="764">
      <c r="A764" t="n">
        <v>159817</v>
      </c>
      <c r="B764" t="n">
        <v>128</v>
      </c>
      <c r="C764" t="inlineStr">
        <is>
          <t>Love Cabaret</t>
        </is>
      </c>
      <c r="D764" t="inlineStr">
        <is>
          <t>EMPORIO M&amp;L COMERCIO DE ALIM E BEBIDAS LTDA</t>
        </is>
      </c>
      <c r="E764" t="n">
        <v>456.2</v>
      </c>
      <c r="F764" s="27" t="n">
        <v>45939</v>
      </c>
      <c r="G764" s="27" t="n">
        <v>45938</v>
      </c>
      <c r="H764" s="27" t="n">
        <v>45938</v>
      </c>
      <c r="I764" s="27" t="n">
        <v>45905</v>
      </c>
      <c r="J764" s="27" t="n">
        <v>45909</v>
      </c>
      <c r="K764" t="inlineStr">
        <is>
          <t>Boleto Bancário</t>
        </is>
      </c>
      <c r="L764" t="inlineStr">
        <is>
          <t>Custo Mercadoria Vendida</t>
        </is>
      </c>
      <c r="M764" t="inlineStr">
        <is>
          <t>Insumos - Alimentos</t>
        </is>
      </c>
      <c r="N764" t="inlineStr">
        <is>
          <t>470076</t>
        </is>
      </c>
      <c r="O764" t="inlineStr">
        <is>
          <t>Documentação Aprovada</t>
        </is>
      </c>
      <c r="P764" t="inlineStr">
        <is>
          <t>Aprovado Diretoria</t>
        </is>
      </c>
      <c r="Q764" t="inlineStr">
        <is>
          <t>Aprovado Caixa</t>
        </is>
      </c>
      <c r="R764" t="inlineStr">
        <is>
          <t>Pago</t>
        </is>
      </c>
      <c r="S764" t="n">
        <v>182</v>
      </c>
      <c r="T764" t="inlineStr">
        <is>
          <t>Love - Shibari - Kamino</t>
        </is>
      </c>
    </row>
    <row r="765">
      <c r="A765" t="n">
        <v>159874</v>
      </c>
      <c r="B765" t="n">
        <v>128</v>
      </c>
      <c r="C765" t="inlineStr">
        <is>
          <t>Love Cabaret</t>
        </is>
      </c>
      <c r="D765" t="inlineStr">
        <is>
          <t>GET IN TECNOLOGIA S.A.</t>
        </is>
      </c>
      <c r="E765" t="n">
        <v>957.6</v>
      </c>
      <c r="F765" s="27" t="n">
        <v>45939</v>
      </c>
      <c r="G765" s="27" t="n">
        <v>45938</v>
      </c>
      <c r="H765" s="27" t="n">
        <v>45938</v>
      </c>
      <c r="I765" s="27" t="n">
        <v>45938</v>
      </c>
      <c r="J765" s="27" t="n"/>
      <c r="K765" t="inlineStr">
        <is>
          <t>Boleto Bancário</t>
        </is>
      </c>
      <c r="L765" t="inlineStr">
        <is>
          <t>Informática e TI</t>
        </is>
      </c>
      <c r="M765" t="inlineStr">
        <is>
          <t>Sistemas Gerais - Comunicação e Marketing</t>
        </is>
      </c>
      <c r="O765" t="inlineStr">
        <is>
          <t>Documentação Aprovada</t>
        </is>
      </c>
      <c r="P765" t="inlineStr">
        <is>
          <t>Aprovado Diretoria</t>
        </is>
      </c>
      <c r="Q765" t="inlineStr">
        <is>
          <t>Aprovado Caixa</t>
        </is>
      </c>
      <c r="R765" t="inlineStr">
        <is>
          <t>Pago</t>
        </is>
      </c>
      <c r="S765" t="n">
        <v>182</v>
      </c>
      <c r="T765" t="inlineStr">
        <is>
          <t>Love - Shibari - Kamino</t>
        </is>
      </c>
    </row>
    <row r="766">
      <c r="A766" t="n">
        <v>162290</v>
      </c>
      <c r="B766" t="n">
        <v>128</v>
      </c>
      <c r="C766" t="inlineStr">
        <is>
          <t>Love Cabaret</t>
        </is>
      </c>
      <c r="D766" t="inlineStr">
        <is>
          <t>CEM ENGENHARIA DA MANUTENCAO LTDA</t>
        </is>
      </c>
      <c r="E766" t="n">
        <v>2000</v>
      </c>
      <c r="F766" s="27" t="n">
        <v>45933</v>
      </c>
      <c r="G766" s="27" t="n">
        <v>45937</v>
      </c>
      <c r="H766" s="27" t="n">
        <v>45937</v>
      </c>
      <c r="I766" s="27" t="n">
        <v>45919</v>
      </c>
      <c r="J766" s="27" t="n">
        <v>45922</v>
      </c>
      <c r="K766" t="inlineStr">
        <is>
          <t>Boleto Bancário</t>
        </is>
      </c>
      <c r="L766" t="inlineStr">
        <is>
          <t>Manutenção</t>
        </is>
      </c>
      <c r="M766" t="inlineStr">
        <is>
          <t>Manutenção de Equipamentos</t>
        </is>
      </c>
      <c r="N766" t="inlineStr">
        <is>
          <t>3121</t>
        </is>
      </c>
      <c r="O766" t="inlineStr">
        <is>
          <t>Documentação Aprovada</t>
        </is>
      </c>
      <c r="P766" t="inlineStr">
        <is>
          <t>Aprovado Diretoria</t>
        </is>
      </c>
      <c r="Q766" t="inlineStr">
        <is>
          <t>Aprovado Caixa</t>
        </is>
      </c>
      <c r="R766" t="inlineStr">
        <is>
          <t>Pago</t>
        </is>
      </c>
      <c r="S766" t="n">
        <v>182</v>
      </c>
      <c r="T766" t="inlineStr">
        <is>
          <t>Love - Shibari - Kamino</t>
        </is>
      </c>
    </row>
    <row r="767">
      <c r="A767" t="n">
        <v>162872</v>
      </c>
      <c r="B767" t="n">
        <v>128</v>
      </c>
      <c r="C767" t="inlineStr">
        <is>
          <t>Love Cabaret</t>
        </is>
      </c>
      <c r="D767" t="inlineStr">
        <is>
          <t>THAMIRIS VIEIRA SILVA LUZ</t>
        </is>
      </c>
      <c r="E767" t="n">
        <v>250</v>
      </c>
      <c r="F767" s="27" t="n">
        <v>45936</v>
      </c>
      <c r="G767" s="27" t="n">
        <v>45936</v>
      </c>
      <c r="H767" s="27" t="n">
        <v>45937</v>
      </c>
      <c r="I767" s="27" t="n">
        <v>45907</v>
      </c>
      <c r="J767" s="27" t="n">
        <v>45924</v>
      </c>
      <c r="K767" t="inlineStr">
        <is>
          <t>Transferência Bancária ou Pix</t>
        </is>
      </c>
      <c r="L767" t="inlineStr">
        <is>
          <t>Mão de Obra - Extra</t>
        </is>
      </c>
      <c r="M767" t="inlineStr">
        <is>
          <t>Mão de Obra Extra</t>
        </is>
      </c>
      <c r="N767" t="inlineStr">
        <is>
          <t>972025</t>
        </is>
      </c>
      <c r="O767" t="inlineStr">
        <is>
          <t>Documentação Aprovada</t>
        </is>
      </c>
      <c r="P767" t="inlineStr">
        <is>
          <t>Aprovado Diretoria</t>
        </is>
      </c>
      <c r="Q767" t="inlineStr">
        <is>
          <t>Aprovado Caixa</t>
        </is>
      </c>
      <c r="R767" t="inlineStr">
        <is>
          <t>Pago</t>
        </is>
      </c>
      <c r="S767" t="n">
        <v>182</v>
      </c>
      <c r="T767" t="inlineStr">
        <is>
          <t>Love - Shibari - Kamino</t>
        </is>
      </c>
    </row>
    <row r="768">
      <c r="A768" t="n">
        <v>97038</v>
      </c>
      <c r="B768" t="n">
        <v>128</v>
      </c>
      <c r="C768" t="inlineStr">
        <is>
          <t>Love Cabaret</t>
        </is>
      </c>
      <c r="D768" t="inlineStr">
        <is>
          <t>ESHOWS PROMOCOES ARTISTICAS LTDA</t>
        </is>
      </c>
      <c r="E768" t="n">
        <v>28730</v>
      </c>
      <c r="F768" s="27" t="n">
        <v>45944</v>
      </c>
      <c r="G768" s="27" t="n">
        <v>45937</v>
      </c>
      <c r="H768" s="27" t="n">
        <v>45937</v>
      </c>
      <c r="I768" s="27" t="n">
        <v>45916</v>
      </c>
      <c r="J768" s="27" t="n"/>
      <c r="K768" t="inlineStr">
        <is>
          <t>Boleto Bancário</t>
        </is>
      </c>
      <c r="L768" t="inlineStr">
        <is>
          <t>Custos Artístico Geral</t>
        </is>
      </c>
      <c r="M768" t="inlineStr">
        <is>
          <t>Cachê de Músicos e Artistas</t>
        </is>
      </c>
      <c r="N768" t="inlineStr">
        <is>
          <t>649617147</t>
        </is>
      </c>
      <c r="O768" t="inlineStr">
        <is>
          <t>Documentação Aprovada</t>
        </is>
      </c>
      <c r="P768" t="inlineStr">
        <is>
          <t>Aprovado Diretoria</t>
        </is>
      </c>
      <c r="Q768" t="inlineStr">
        <is>
          <t>Aprovado Caixa</t>
        </is>
      </c>
      <c r="R768" t="inlineStr">
        <is>
          <t>Pago</t>
        </is>
      </c>
      <c r="S768" t="n">
        <v>182</v>
      </c>
      <c r="T768" t="inlineStr">
        <is>
          <t>Love - Shibari - Kamino</t>
        </is>
      </c>
    </row>
    <row r="769">
      <c r="A769" t="n">
        <v>97121</v>
      </c>
      <c r="B769" t="n">
        <v>128</v>
      </c>
      <c r="C769" t="inlineStr">
        <is>
          <t>Love Cabaret</t>
        </is>
      </c>
      <c r="D769" t="inlineStr">
        <is>
          <t>ESTAFF SOLUCOES TECNOLOGICAS DE AGENCIAMENTO LTDA</t>
        </is>
      </c>
      <c r="E769" t="n">
        <v>14019.5</v>
      </c>
      <c r="F769" s="27" t="n">
        <v>45938</v>
      </c>
      <c r="G769" s="27" t="n">
        <v>45937</v>
      </c>
      <c r="H769" s="27" t="n">
        <v>45937</v>
      </c>
      <c r="I769" s="27" t="n">
        <v>45931</v>
      </c>
      <c r="J769" s="27" t="n"/>
      <c r="K769" t="inlineStr">
        <is>
          <t>Boleto Bancário</t>
        </is>
      </c>
      <c r="L769" t="inlineStr">
        <is>
          <t>Mão de Obra - Extra</t>
        </is>
      </c>
      <c r="M769" t="inlineStr">
        <is>
          <t>Mão de Obra Extra</t>
        </is>
      </c>
      <c r="N769" t="inlineStr">
        <is>
          <t>649583175</t>
        </is>
      </c>
      <c r="O769" t="inlineStr">
        <is>
          <t>Documentação Aprovada</t>
        </is>
      </c>
      <c r="P769" t="inlineStr">
        <is>
          <t>Aprovado Diretoria</t>
        </is>
      </c>
      <c r="Q769" t="inlineStr">
        <is>
          <t>Aprovado Caixa</t>
        </is>
      </c>
      <c r="R769" t="inlineStr">
        <is>
          <t>Pago</t>
        </is>
      </c>
      <c r="S769" t="n">
        <v>182</v>
      </c>
      <c r="T769" t="inlineStr">
        <is>
          <t>Love - Shibari - Kamino</t>
        </is>
      </c>
    </row>
    <row r="770">
      <c r="A770" t="n">
        <v>102871</v>
      </c>
      <c r="B770" t="n">
        <v>128</v>
      </c>
      <c r="C770" t="inlineStr">
        <is>
          <t>Love Cabaret</t>
        </is>
      </c>
      <c r="D770" t="inlineStr">
        <is>
          <t>MACHINE SEGURANCA PATRIMONIAL LTDA</t>
        </is>
      </c>
      <c r="E770" t="n">
        <v>6650</v>
      </c>
      <c r="F770" s="27" t="n">
        <v>45935</v>
      </c>
      <c r="G770" s="27" t="n">
        <v>45937</v>
      </c>
      <c r="H770" s="27" t="n">
        <v>45937</v>
      </c>
      <c r="I770" s="27" t="n">
        <v>45930</v>
      </c>
      <c r="J770" s="27" t="n"/>
      <c r="K770" t="inlineStr">
        <is>
          <t>Transferência Bancária ou Pix</t>
        </is>
      </c>
      <c r="L770" t="inlineStr">
        <is>
          <t>Serviços de Terceiros</t>
        </is>
      </c>
      <c r="M770" t="inlineStr">
        <is>
          <t>Serviços de Segurança</t>
        </is>
      </c>
      <c r="N770" t="inlineStr">
        <is>
          <t>733</t>
        </is>
      </c>
      <c r="O770" t="inlineStr">
        <is>
          <t>Documentação Aprovada</t>
        </is>
      </c>
      <c r="P770" t="inlineStr">
        <is>
          <t>Aprovado Diretoria</t>
        </is>
      </c>
      <c r="Q770" t="inlineStr">
        <is>
          <t>Aprovado Caixa</t>
        </is>
      </c>
      <c r="R770" t="inlineStr">
        <is>
          <t>Pago</t>
        </is>
      </c>
      <c r="S770" t="n">
        <v>182</v>
      </c>
      <c r="T770" t="inlineStr">
        <is>
          <t>Love - Shibari - Kamino</t>
        </is>
      </c>
    </row>
    <row r="771">
      <c r="A771" t="n">
        <v>103049</v>
      </c>
      <c r="B771" t="n">
        <v>128</v>
      </c>
      <c r="C771" t="inlineStr">
        <is>
          <t>Love Cabaret</t>
        </is>
      </c>
      <c r="D771" t="inlineStr">
        <is>
          <t>VERISURE BRASIL MONITORAMENTO DE ALARMES S.A</t>
        </is>
      </c>
      <c r="E771" t="n">
        <v>270.11</v>
      </c>
      <c r="F771" s="27" t="n">
        <v>45935</v>
      </c>
      <c r="G771" s="27" t="n">
        <v>45939</v>
      </c>
      <c r="H771" s="27" t="n">
        <v>45936</v>
      </c>
      <c r="I771" s="27" t="n">
        <v>45915</v>
      </c>
      <c r="J771" s="27" t="n"/>
      <c r="K771" t="inlineStr">
        <is>
          <t xml:space="preserve">Debito Automático </t>
        </is>
      </c>
      <c r="L771" t="inlineStr">
        <is>
          <t>Informática e TI</t>
        </is>
      </c>
      <c r="M771" t="inlineStr">
        <is>
          <t>Sistemas de Segurança e Alarme</t>
        </is>
      </c>
      <c r="N771" t="inlineStr">
        <is>
          <t xml:space="preserve">16413588 </t>
        </is>
      </c>
      <c r="O771" t="inlineStr">
        <is>
          <t>Documentação Aprovada</t>
        </is>
      </c>
      <c r="P771" t="inlineStr">
        <is>
          <t>Aprovado Diretoria</t>
        </is>
      </c>
      <c r="Q771" t="inlineStr">
        <is>
          <t>Aprovado Caixa</t>
        </is>
      </c>
      <c r="R771" t="inlineStr">
        <is>
          <t>Pago</t>
        </is>
      </c>
      <c r="S771" t="n">
        <v>115</v>
      </c>
      <c r="T771" t="inlineStr">
        <is>
          <t>Love - Shibari - Bradesco</t>
        </is>
      </c>
    </row>
    <row r="772">
      <c r="A772" t="n">
        <v>102811</v>
      </c>
      <c r="B772" t="n">
        <v>128</v>
      </c>
      <c r="C772" t="inlineStr">
        <is>
          <t>Love Cabaret</t>
        </is>
      </c>
      <c r="D772" t="inlineStr">
        <is>
          <t>FREE SOM - LOCACAO DE SOM E  LUZ LTDA - TUKASON</t>
        </is>
      </c>
      <c r="E772" t="n">
        <v>6000</v>
      </c>
      <c r="F772" s="27" t="n">
        <v>45930</v>
      </c>
      <c r="G772" s="27" t="n">
        <v>45936</v>
      </c>
      <c r="H772" s="27" t="n">
        <v>45936</v>
      </c>
      <c r="I772" s="27" t="n">
        <v>45913</v>
      </c>
      <c r="J772" s="27" t="n"/>
      <c r="K772" t="inlineStr">
        <is>
          <t>Boleto Bancário</t>
        </is>
      </c>
      <c r="L772" t="inlineStr">
        <is>
          <t>Custos Artístico Geral</t>
        </is>
      </c>
      <c r="M772" t="inlineStr">
        <is>
          <t>Locação de Equipamentos Fixo</t>
        </is>
      </c>
      <c r="N772" t="inlineStr">
        <is>
          <t>0520</t>
        </is>
      </c>
      <c r="O772" t="inlineStr">
        <is>
          <t>Documentação Aprovada</t>
        </is>
      </c>
      <c r="P772" t="inlineStr">
        <is>
          <t>Aprovado Diretoria</t>
        </is>
      </c>
      <c r="Q772" t="inlineStr">
        <is>
          <t>Aprovado Caixa</t>
        </is>
      </c>
      <c r="R772" t="inlineStr">
        <is>
          <t>Pago</t>
        </is>
      </c>
      <c r="S772" t="n">
        <v>182</v>
      </c>
      <c r="T772" t="inlineStr">
        <is>
          <t>Love - Shibari - Kamino</t>
        </is>
      </c>
    </row>
    <row r="773">
      <c r="A773" t="n">
        <v>102966</v>
      </c>
      <c r="B773" t="n">
        <v>128</v>
      </c>
      <c r="C773" t="inlineStr">
        <is>
          <t>Love Cabaret</t>
        </is>
      </c>
      <c r="D773" t="inlineStr">
        <is>
          <t>STAR COPIAS COMERCIO E SERVICOS LTDA</t>
        </is>
      </c>
      <c r="E773" t="n">
        <v>220</v>
      </c>
      <c r="F773" s="27" t="n">
        <v>45938</v>
      </c>
      <c r="G773" s="27" t="n">
        <v>45936</v>
      </c>
      <c r="H773" s="27" t="n">
        <v>45936</v>
      </c>
      <c r="I773" s="27" t="n">
        <v>45920</v>
      </c>
      <c r="J773" s="27" t="n"/>
      <c r="K773" t="inlineStr">
        <is>
          <t>Boleto Bancário</t>
        </is>
      </c>
      <c r="L773" t="inlineStr">
        <is>
          <t>Locação de Equipamentos</t>
        </is>
      </c>
      <c r="M773" t="inlineStr">
        <is>
          <t>Locação de Equipamentos - Informatica e TI</t>
        </is>
      </c>
      <c r="N773" t="inlineStr">
        <is>
          <t>4538</t>
        </is>
      </c>
      <c r="O773" t="inlineStr">
        <is>
          <t>Documentação Aprovada</t>
        </is>
      </c>
      <c r="P773" t="inlineStr">
        <is>
          <t>Aprovado Diretoria</t>
        </is>
      </c>
      <c r="Q773" t="inlineStr">
        <is>
          <t>Aprovado Caixa</t>
        </is>
      </c>
      <c r="R773" t="inlineStr">
        <is>
          <t>Pago</t>
        </is>
      </c>
      <c r="S773" t="n">
        <v>182</v>
      </c>
      <c r="T773" t="inlineStr">
        <is>
          <t>Love - Shibari - Kamino</t>
        </is>
      </c>
    </row>
    <row r="774">
      <c r="A774" t="n">
        <v>97382</v>
      </c>
      <c r="B774" t="n">
        <v>128</v>
      </c>
      <c r="C774" t="inlineStr">
        <is>
          <t>Love Cabaret</t>
        </is>
      </c>
      <c r="D774" t="inlineStr">
        <is>
          <t>EBM ADVOGADOS - MATECKI SOCIEDADE INDIVIDUAL DE ADVOCACIA</t>
        </is>
      </c>
      <c r="E774" t="n">
        <v>3200</v>
      </c>
      <c r="F774" s="27" t="n">
        <v>45930</v>
      </c>
      <c r="G774" s="27" t="n">
        <v>45936</v>
      </c>
      <c r="H774" s="27" t="n">
        <v>45936</v>
      </c>
      <c r="I774" s="27" t="n">
        <v>45915</v>
      </c>
      <c r="J774" s="27" t="n"/>
      <c r="K774" t="inlineStr">
        <is>
          <t>Transferência Bancária ou Pix</t>
        </is>
      </c>
      <c r="L774" t="inlineStr">
        <is>
          <t>Serviços de Terceiros</t>
        </is>
      </c>
      <c r="M774" t="inlineStr">
        <is>
          <t>Assessoria Jurídica</t>
        </is>
      </c>
      <c r="N774" t="inlineStr">
        <is>
          <t>922025</t>
        </is>
      </c>
      <c r="O774" t="inlineStr">
        <is>
          <t>Documentação Aprovada</t>
        </is>
      </c>
      <c r="P774" t="inlineStr">
        <is>
          <t>Aprovado Diretoria</t>
        </is>
      </c>
      <c r="Q774" t="inlineStr">
        <is>
          <t>Aprovado Caixa</t>
        </is>
      </c>
      <c r="R774" t="inlineStr">
        <is>
          <t>Pago</t>
        </is>
      </c>
      <c r="S774" t="n">
        <v>182</v>
      </c>
      <c r="T774" t="inlineStr">
        <is>
          <t>Love - Shibari - Kamino</t>
        </is>
      </c>
    </row>
    <row r="775">
      <c r="A775" t="n">
        <v>97331</v>
      </c>
      <c r="B775" t="n">
        <v>128</v>
      </c>
      <c r="C775" t="inlineStr">
        <is>
          <t>Love Cabaret</t>
        </is>
      </c>
      <c r="D775" t="inlineStr">
        <is>
          <t>ELETROPAULO METROPOLITANA ELETRICIDADE DE SAO PAULO SA</t>
        </is>
      </c>
      <c r="E775" t="n">
        <v>12924.27</v>
      </c>
      <c r="F775" s="27" t="n">
        <v>45936</v>
      </c>
      <c r="G775" s="27" t="n">
        <v>45936</v>
      </c>
      <c r="H775" s="27" t="n">
        <v>45936</v>
      </c>
      <c r="I775" s="27" t="n">
        <v>45915</v>
      </c>
      <c r="J775" s="27" t="n"/>
      <c r="K775" t="inlineStr">
        <is>
          <t>Boleto Bancário</t>
        </is>
      </c>
      <c r="L775" t="inlineStr">
        <is>
          <t>Utilidades</t>
        </is>
      </c>
      <c r="M775" t="inlineStr">
        <is>
          <t>Energia Eletrica</t>
        </is>
      </c>
      <c r="N775" t="inlineStr">
        <is>
          <t>746114774</t>
        </is>
      </c>
      <c r="O775" t="inlineStr">
        <is>
          <t>Documentação Aprovada</t>
        </is>
      </c>
      <c r="P775" t="inlineStr">
        <is>
          <t>Aprovado Diretoria</t>
        </is>
      </c>
      <c r="Q775" t="inlineStr">
        <is>
          <t>Aprovado Caixa</t>
        </is>
      </c>
      <c r="R775" t="inlineStr">
        <is>
          <t>Pago</t>
        </is>
      </c>
      <c r="S775" t="n">
        <v>182</v>
      </c>
      <c r="T775" t="inlineStr">
        <is>
          <t>Love - Shibari - Kamino</t>
        </is>
      </c>
    </row>
    <row r="776">
      <c r="A776" t="n">
        <v>97343</v>
      </c>
      <c r="B776" t="n">
        <v>128</v>
      </c>
      <c r="C776" t="inlineStr">
        <is>
          <t>Love Cabaret</t>
        </is>
      </c>
      <c r="D776" t="inlineStr">
        <is>
          <t>ELETROPAULO METROPOLITANA ELETRICIDADE DE SAO PAULO SA</t>
        </is>
      </c>
      <c r="E776" t="n">
        <v>109.13</v>
      </c>
      <c r="F776" s="27" t="n">
        <v>45936</v>
      </c>
      <c r="G776" s="27" t="n">
        <v>45936</v>
      </c>
      <c r="H776" s="27" t="n">
        <v>45936</v>
      </c>
      <c r="I776" s="27" t="n">
        <v>45915</v>
      </c>
      <c r="J776" s="27" t="n"/>
      <c r="K776" t="inlineStr">
        <is>
          <t>Boleto Bancário</t>
        </is>
      </c>
      <c r="L776" t="inlineStr">
        <is>
          <t>Utilidades</t>
        </is>
      </c>
      <c r="M776" t="inlineStr">
        <is>
          <t>Energia Eletrica</t>
        </is>
      </c>
      <c r="N776" t="inlineStr">
        <is>
          <t>746433831</t>
        </is>
      </c>
      <c r="O776" t="inlineStr">
        <is>
          <t>Documentação Aprovada</t>
        </is>
      </c>
      <c r="P776" t="inlineStr">
        <is>
          <t>Aprovado Diretoria</t>
        </is>
      </c>
      <c r="Q776" t="inlineStr">
        <is>
          <t>Aprovado Caixa</t>
        </is>
      </c>
      <c r="R776" t="inlineStr">
        <is>
          <t>Pago</t>
        </is>
      </c>
      <c r="S776" t="n">
        <v>182</v>
      </c>
      <c r="T776" t="inlineStr">
        <is>
          <t>Love - Shibari - Kamino</t>
        </is>
      </c>
    </row>
    <row r="777">
      <c r="A777" t="n">
        <v>97356</v>
      </c>
      <c r="B777" t="n">
        <v>128</v>
      </c>
      <c r="C777" t="inlineStr">
        <is>
          <t>Love Cabaret</t>
        </is>
      </c>
      <c r="D777" t="inlineStr">
        <is>
          <t>EDJANE DANTAS DE ALMEIDA SOUSA  - DESENTUPIDORA</t>
        </is>
      </c>
      <c r="E777" t="n">
        <v>1200</v>
      </c>
      <c r="F777" s="27" t="n">
        <v>45938</v>
      </c>
      <c r="G777" s="27" t="n">
        <v>45936</v>
      </c>
      <c r="H777" s="27" t="n">
        <v>45936</v>
      </c>
      <c r="I777" s="27" t="n">
        <v>45917</v>
      </c>
      <c r="J777" s="27" t="n"/>
      <c r="K777" t="inlineStr">
        <is>
          <t>Transferência Bancária ou Pix</t>
        </is>
      </c>
      <c r="L777" t="inlineStr">
        <is>
          <t>Utilidades</t>
        </is>
      </c>
      <c r="M777" t="inlineStr">
        <is>
          <t>Serviços de Limpeza</t>
        </is>
      </c>
      <c r="N777" t="inlineStr">
        <is>
          <t>109</t>
        </is>
      </c>
      <c r="O777" t="inlineStr">
        <is>
          <t>Documentação Aprovada</t>
        </is>
      </c>
      <c r="P777" t="inlineStr">
        <is>
          <t>Aprovado Diretoria</t>
        </is>
      </c>
      <c r="Q777" t="inlineStr">
        <is>
          <t>Aprovado Caixa</t>
        </is>
      </c>
      <c r="R777" t="inlineStr">
        <is>
          <t>Pago</t>
        </is>
      </c>
      <c r="S777" t="n">
        <v>182</v>
      </c>
      <c r="T777" t="inlineStr">
        <is>
          <t>Love - Shibari - Kamino</t>
        </is>
      </c>
    </row>
    <row r="778">
      <c r="A778" t="n">
        <v>96826</v>
      </c>
      <c r="B778" t="n">
        <v>128</v>
      </c>
      <c r="C778" t="inlineStr">
        <is>
          <t>Love Cabaret</t>
        </is>
      </c>
      <c r="D778" t="inlineStr">
        <is>
          <t xml:space="preserve">ANA CLAUDIA DA COSTA PINTO </t>
        </is>
      </c>
      <c r="E778" t="n">
        <v>530</v>
      </c>
      <c r="F778" s="27" t="n">
        <v>45936</v>
      </c>
      <c r="G778" s="27" t="n">
        <v>45936</v>
      </c>
      <c r="H778" s="27" t="n">
        <v>45936</v>
      </c>
      <c r="I778" s="27" t="n">
        <v>45920</v>
      </c>
      <c r="J778" s="27" t="n"/>
      <c r="K778" t="inlineStr">
        <is>
          <t>Transferência Bancária ou Pix</t>
        </is>
      </c>
      <c r="L778" t="inlineStr">
        <is>
          <t>Manutenção</t>
        </is>
      </c>
      <c r="M778" t="inlineStr">
        <is>
          <t>Decoração/Paisagismo e Jardinagem</t>
        </is>
      </c>
      <c r="N778" t="inlineStr">
        <is>
          <t>2411</t>
        </is>
      </c>
      <c r="O778" t="inlineStr">
        <is>
          <t>Documentação Aprovada</t>
        </is>
      </c>
      <c r="P778" t="inlineStr">
        <is>
          <t>Aprovado Diretoria</t>
        </is>
      </c>
      <c r="Q778" t="inlineStr">
        <is>
          <t>Aprovado Caixa</t>
        </is>
      </c>
      <c r="R778" t="inlineStr">
        <is>
          <t>Pago</t>
        </is>
      </c>
      <c r="S778" t="n">
        <v>182</v>
      </c>
      <c r="T778" t="inlineStr">
        <is>
          <t>Love - Shibari - Kamino</t>
        </is>
      </c>
    </row>
    <row r="779">
      <c r="A779" t="n">
        <v>96863</v>
      </c>
      <c r="B779" t="n">
        <v>128</v>
      </c>
      <c r="C779" t="inlineStr">
        <is>
          <t>Love Cabaret</t>
        </is>
      </c>
      <c r="D779" t="inlineStr">
        <is>
          <t>AGENCIA BIOMA PUBLICIDADE E EVENTOS LTDA - FACUNDO</t>
        </is>
      </c>
      <c r="E779" t="n">
        <v>8000</v>
      </c>
      <c r="F779" s="27" t="n">
        <v>45935</v>
      </c>
      <c r="G779" s="27" t="n">
        <v>45936</v>
      </c>
      <c r="H779" s="27" t="n">
        <v>45936</v>
      </c>
      <c r="I779" s="27" t="n">
        <v>45920</v>
      </c>
      <c r="J779" s="27" t="n"/>
      <c r="K779" t="inlineStr">
        <is>
          <t>Transferência Bancária ou Pix</t>
        </is>
      </c>
      <c r="L779" t="inlineStr">
        <is>
          <t>Marketing</t>
        </is>
      </c>
      <c r="M779" t="inlineStr">
        <is>
          <t>Agência de Propaganda</t>
        </is>
      </c>
      <c r="N779" t="inlineStr">
        <is>
          <t>330</t>
        </is>
      </c>
      <c r="O779" t="inlineStr">
        <is>
          <t>Documentação Aprovada</t>
        </is>
      </c>
      <c r="P779" t="inlineStr">
        <is>
          <t>Aprovado Diretoria</t>
        </is>
      </c>
      <c r="Q779" t="inlineStr">
        <is>
          <t>Aprovado Caixa</t>
        </is>
      </c>
      <c r="R779" t="inlineStr">
        <is>
          <t>Pago</t>
        </is>
      </c>
      <c r="S779" t="n">
        <v>182</v>
      </c>
      <c r="T779" t="inlineStr">
        <is>
          <t>Love - Shibari - Kamino</t>
        </is>
      </c>
    </row>
    <row r="780">
      <c r="A780" t="n">
        <v>162854</v>
      </c>
      <c r="B780" t="n">
        <v>128</v>
      </c>
      <c r="C780" t="inlineStr">
        <is>
          <t>Love Cabaret</t>
        </is>
      </c>
      <c r="D780" t="inlineStr">
        <is>
          <t>CAROLINE FERREIRA DA SILVA</t>
        </is>
      </c>
      <c r="E780" t="n">
        <v>250</v>
      </c>
      <c r="F780" s="27" t="n">
        <v>45936</v>
      </c>
      <c r="G780" s="27" t="n">
        <v>45936</v>
      </c>
      <c r="H780" s="27" t="n">
        <v>45936</v>
      </c>
      <c r="I780" s="27" t="n">
        <v>45907</v>
      </c>
      <c r="J780" s="27" t="n">
        <v>45924</v>
      </c>
      <c r="K780" t="inlineStr">
        <is>
          <t>Transferência Bancária ou Pix</t>
        </is>
      </c>
      <c r="L780" t="inlineStr">
        <is>
          <t>Mão de Obra - Extra</t>
        </is>
      </c>
      <c r="M780" t="inlineStr">
        <is>
          <t>Mão de Obra Extra</t>
        </is>
      </c>
      <c r="N780" t="inlineStr">
        <is>
          <t>952025</t>
        </is>
      </c>
      <c r="O780" t="inlineStr">
        <is>
          <t>Documentação Aprovada</t>
        </is>
      </c>
      <c r="P780" t="inlineStr">
        <is>
          <t>Aprovado Diretoria</t>
        </is>
      </c>
      <c r="Q780" t="inlineStr">
        <is>
          <t>Aprovado Caixa</t>
        </is>
      </c>
      <c r="R780" t="inlineStr">
        <is>
          <t>Pago</t>
        </is>
      </c>
      <c r="S780" t="n">
        <v>182</v>
      </c>
      <c r="T780" t="inlineStr">
        <is>
          <t>Love - Shibari - Kamino</t>
        </is>
      </c>
    </row>
    <row r="781">
      <c r="A781" t="n">
        <v>162856</v>
      </c>
      <c r="B781" t="n">
        <v>128</v>
      </c>
      <c r="C781" t="inlineStr">
        <is>
          <t>Love Cabaret</t>
        </is>
      </c>
      <c r="D781" t="inlineStr">
        <is>
          <t>JULIANA OLIVEIRA DA SILVA</t>
        </is>
      </c>
      <c r="E781" t="n">
        <v>250</v>
      </c>
      <c r="F781" s="27" t="n">
        <v>45936</v>
      </c>
      <c r="G781" s="27" t="n">
        <v>45936</v>
      </c>
      <c r="H781" s="27" t="n">
        <v>45936</v>
      </c>
      <c r="I781" s="27" t="n">
        <v>45907</v>
      </c>
      <c r="J781" s="27" t="n">
        <v>45924</v>
      </c>
      <c r="K781" t="inlineStr">
        <is>
          <t>Transferência Bancária ou Pix</t>
        </is>
      </c>
      <c r="L781" t="inlineStr">
        <is>
          <t>Mão de Obra - Extra</t>
        </is>
      </c>
      <c r="M781" t="inlineStr">
        <is>
          <t>Mão de Obra Extra</t>
        </is>
      </c>
      <c r="N781" t="inlineStr">
        <is>
          <t>962025</t>
        </is>
      </c>
      <c r="O781" t="inlineStr">
        <is>
          <t>Documentação Aprovada</t>
        </is>
      </c>
      <c r="P781" t="inlineStr">
        <is>
          <t>Aprovado Diretoria</t>
        </is>
      </c>
      <c r="Q781" t="inlineStr">
        <is>
          <t>Aprovado Caixa</t>
        </is>
      </c>
      <c r="R781" t="inlineStr">
        <is>
          <t>Pago</t>
        </is>
      </c>
      <c r="S781" t="n">
        <v>182</v>
      </c>
      <c r="T781" t="inlineStr">
        <is>
          <t>Love - Shibari - Kamino</t>
        </is>
      </c>
    </row>
    <row r="782">
      <c r="A782" t="n">
        <v>162482</v>
      </c>
      <c r="B782" t="n">
        <v>128</v>
      </c>
      <c r="C782" t="inlineStr">
        <is>
          <t>Love Cabaret</t>
        </is>
      </c>
      <c r="D782" t="inlineStr">
        <is>
          <t>PETTY CASH</t>
        </is>
      </c>
      <c r="E782" t="n">
        <v>10.38</v>
      </c>
      <c r="F782" s="27" t="n">
        <v>45935</v>
      </c>
      <c r="G782" s="27" t="n">
        <v>45936</v>
      </c>
      <c r="H782" s="27" t="n">
        <v>45936</v>
      </c>
      <c r="I782" s="27" t="n">
        <v>45901</v>
      </c>
      <c r="J782" s="27" t="n">
        <v>45923</v>
      </c>
      <c r="K782" t="inlineStr">
        <is>
          <t>Cartão de Crédito</t>
        </is>
      </c>
      <c r="L782" t="inlineStr">
        <is>
          <t>Custo Mercadoria Vendida</t>
        </is>
      </c>
      <c r="M782" t="inlineStr">
        <is>
          <t>Insumos - Alimentos</t>
        </is>
      </c>
      <c r="N782" t="inlineStr">
        <is>
          <t>12PETTY092025</t>
        </is>
      </c>
      <c r="O782" t="inlineStr">
        <is>
          <t>Documentação Aprovada</t>
        </is>
      </c>
      <c r="P782" t="inlineStr">
        <is>
          <t>Aprovado Diretoria</t>
        </is>
      </c>
      <c r="Q782" t="inlineStr">
        <is>
          <t>Aprovado Caixa</t>
        </is>
      </c>
      <c r="R782" t="inlineStr">
        <is>
          <t>Pago</t>
        </is>
      </c>
      <c r="S782" t="n">
        <v>182</v>
      </c>
      <c r="T782" t="inlineStr">
        <is>
          <t>Love - Shibari - Kamino</t>
        </is>
      </c>
    </row>
    <row r="783">
      <c r="A783" t="n">
        <v>162483</v>
      </c>
      <c r="B783" t="n">
        <v>128</v>
      </c>
      <c r="C783" t="inlineStr">
        <is>
          <t>Love Cabaret</t>
        </is>
      </c>
      <c r="D783" t="inlineStr">
        <is>
          <t>PETTY CASH</t>
        </is>
      </c>
      <c r="E783" t="n">
        <v>25.95</v>
      </c>
      <c r="F783" s="27" t="n">
        <v>45935</v>
      </c>
      <c r="G783" s="27" t="n">
        <v>45936</v>
      </c>
      <c r="H783" s="27" t="n">
        <v>45936</v>
      </c>
      <c r="I783" s="27" t="n">
        <v>45901</v>
      </c>
      <c r="J783" s="27" t="n">
        <v>45923</v>
      </c>
      <c r="K783" t="inlineStr">
        <is>
          <t>Cartão de Crédito</t>
        </is>
      </c>
      <c r="L783" t="inlineStr">
        <is>
          <t>Custo Mercadoria Vendida</t>
        </is>
      </c>
      <c r="M783" t="inlineStr">
        <is>
          <t>Insumos - Alimentos</t>
        </is>
      </c>
      <c r="N783" t="inlineStr">
        <is>
          <t>13PETTY092025</t>
        </is>
      </c>
      <c r="O783" t="inlineStr">
        <is>
          <t>Documentação Aprovada</t>
        </is>
      </c>
      <c r="P783" t="inlineStr">
        <is>
          <t>Aprovado Diretoria</t>
        </is>
      </c>
      <c r="Q783" t="inlineStr">
        <is>
          <t>Aprovado Caixa</t>
        </is>
      </c>
      <c r="R783" t="inlineStr">
        <is>
          <t>Pago</t>
        </is>
      </c>
      <c r="S783" t="n">
        <v>182</v>
      </c>
      <c r="T783" t="inlineStr">
        <is>
          <t>Love - Shibari - Kamino</t>
        </is>
      </c>
    </row>
    <row r="784">
      <c r="A784" t="n">
        <v>162484</v>
      </c>
      <c r="B784" t="n">
        <v>128</v>
      </c>
      <c r="C784" t="inlineStr">
        <is>
          <t>Love Cabaret</t>
        </is>
      </c>
      <c r="D784" t="inlineStr">
        <is>
          <t>PETTY CASH</t>
        </is>
      </c>
      <c r="E784" t="n">
        <v>13.87</v>
      </c>
      <c r="F784" s="27" t="n">
        <v>45935</v>
      </c>
      <c r="G784" s="27" t="n">
        <v>45936</v>
      </c>
      <c r="H784" s="27" t="n">
        <v>45936</v>
      </c>
      <c r="I784" s="27" t="n">
        <v>45901</v>
      </c>
      <c r="J784" s="27" t="n">
        <v>45923</v>
      </c>
      <c r="K784" t="inlineStr">
        <is>
          <t>Cartão de Crédito</t>
        </is>
      </c>
      <c r="L784" t="inlineStr">
        <is>
          <t>Custo Mercadoria Vendida</t>
        </is>
      </c>
      <c r="M784" t="inlineStr">
        <is>
          <t>Insumos - Alimentos</t>
        </is>
      </c>
      <c r="N784" t="inlineStr">
        <is>
          <t>14PETTY092025</t>
        </is>
      </c>
      <c r="O784" t="inlineStr">
        <is>
          <t>Documentação Aprovada</t>
        </is>
      </c>
      <c r="P784" t="inlineStr">
        <is>
          <t>Aprovado Diretoria</t>
        </is>
      </c>
      <c r="Q784" t="inlineStr">
        <is>
          <t>Aprovado Caixa</t>
        </is>
      </c>
      <c r="R784" t="inlineStr">
        <is>
          <t>Pago</t>
        </is>
      </c>
      <c r="S784" t="n">
        <v>182</v>
      </c>
      <c r="T784" t="inlineStr">
        <is>
          <t>Love - Shibari - Kamino</t>
        </is>
      </c>
    </row>
    <row r="785">
      <c r="A785" t="n">
        <v>162485</v>
      </c>
      <c r="B785" t="n">
        <v>128</v>
      </c>
      <c r="C785" t="inlineStr">
        <is>
          <t>Love Cabaret</t>
        </is>
      </c>
      <c r="D785" t="inlineStr">
        <is>
          <t>PETTY CASH</t>
        </is>
      </c>
      <c r="E785" t="n">
        <v>90</v>
      </c>
      <c r="F785" s="27" t="n">
        <v>45935</v>
      </c>
      <c r="G785" s="27" t="n">
        <v>45936</v>
      </c>
      <c r="H785" s="27" t="n">
        <v>45936</v>
      </c>
      <c r="I785" s="27" t="n">
        <v>45901</v>
      </c>
      <c r="J785" s="27" t="n">
        <v>45923</v>
      </c>
      <c r="K785" t="inlineStr">
        <is>
          <t>Cartão de Crédito</t>
        </is>
      </c>
      <c r="L785" t="inlineStr">
        <is>
          <t>Custo Mercadoria Vendida</t>
        </is>
      </c>
      <c r="M785" t="inlineStr">
        <is>
          <t>Insumos - Bebidas</t>
        </is>
      </c>
      <c r="N785" t="inlineStr">
        <is>
          <t>15PETTY092025</t>
        </is>
      </c>
      <c r="O785" t="inlineStr">
        <is>
          <t>Documentação Aprovada</t>
        </is>
      </c>
      <c r="P785" t="inlineStr">
        <is>
          <t>Aprovado Diretoria</t>
        </is>
      </c>
      <c r="Q785" t="inlineStr">
        <is>
          <t>Aprovado Caixa</t>
        </is>
      </c>
      <c r="R785" t="inlineStr">
        <is>
          <t>Pago</t>
        </is>
      </c>
      <c r="S785" t="n">
        <v>182</v>
      </c>
      <c r="T785" t="inlineStr">
        <is>
          <t>Love - Shibari - Kamino</t>
        </is>
      </c>
    </row>
    <row r="786">
      <c r="A786" t="n">
        <v>162486</v>
      </c>
      <c r="B786" t="n">
        <v>128</v>
      </c>
      <c r="C786" t="inlineStr">
        <is>
          <t>Love Cabaret</t>
        </is>
      </c>
      <c r="D786" t="inlineStr">
        <is>
          <t>PETTY CASH</t>
        </is>
      </c>
      <c r="E786" t="n">
        <v>141.3</v>
      </c>
      <c r="F786" s="27" t="n">
        <v>45935</v>
      </c>
      <c r="G786" s="27" t="n">
        <v>45936</v>
      </c>
      <c r="H786" s="27" t="n">
        <v>45936</v>
      </c>
      <c r="I786" s="27" t="n">
        <v>45901</v>
      </c>
      <c r="J786" s="27" t="n">
        <v>45923</v>
      </c>
      <c r="K786" t="inlineStr">
        <is>
          <t>Cartão de Crédito</t>
        </is>
      </c>
      <c r="L786" t="inlineStr">
        <is>
          <t>Utilidades</t>
        </is>
      </c>
      <c r="M786" t="inlineStr">
        <is>
          <t>Serviços Graficos</t>
        </is>
      </c>
      <c r="N786" t="inlineStr">
        <is>
          <t>16PETTY092025</t>
        </is>
      </c>
      <c r="O786" t="inlineStr">
        <is>
          <t>Documentação Aprovada</t>
        </is>
      </c>
      <c r="P786" t="inlineStr">
        <is>
          <t>Aprovado Diretoria</t>
        </is>
      </c>
      <c r="Q786" t="inlineStr">
        <is>
          <t>Aprovado Caixa</t>
        </is>
      </c>
      <c r="R786" t="inlineStr">
        <is>
          <t>Pago</t>
        </is>
      </c>
      <c r="S786" t="n">
        <v>182</v>
      </c>
      <c r="T786" t="inlineStr">
        <is>
          <t>Love - Shibari - Kamino</t>
        </is>
      </c>
    </row>
    <row r="787">
      <c r="A787" t="n">
        <v>162487</v>
      </c>
      <c r="B787" t="n">
        <v>128</v>
      </c>
      <c r="C787" t="inlineStr">
        <is>
          <t>Love Cabaret</t>
        </is>
      </c>
      <c r="D787" t="inlineStr">
        <is>
          <t>PETTY CASH</t>
        </is>
      </c>
      <c r="E787" t="n">
        <v>15.67</v>
      </c>
      <c r="F787" s="27" t="n">
        <v>45935</v>
      </c>
      <c r="G787" s="27" t="n">
        <v>45936</v>
      </c>
      <c r="H787" s="27" t="n">
        <v>45936</v>
      </c>
      <c r="I787" s="27" t="n">
        <v>45901</v>
      </c>
      <c r="J787" s="27" t="n">
        <v>45923</v>
      </c>
      <c r="K787" t="inlineStr">
        <is>
          <t>Cartão de Crédito</t>
        </is>
      </c>
      <c r="L787" t="inlineStr">
        <is>
          <t>Mão de Obra - Benefícios</t>
        </is>
      </c>
      <c r="M787" t="inlineStr">
        <is>
          <t xml:space="preserve">  -  Alimentação Funcionário</t>
        </is>
      </c>
      <c r="N787" t="inlineStr">
        <is>
          <t>17PETTY092025</t>
        </is>
      </c>
      <c r="O787" t="inlineStr">
        <is>
          <t>Documentação Aprovada</t>
        </is>
      </c>
      <c r="P787" t="inlineStr">
        <is>
          <t>Aprovado Diretoria</t>
        </is>
      </c>
      <c r="Q787" t="inlineStr">
        <is>
          <t>Aprovado Caixa</t>
        </is>
      </c>
      <c r="R787" t="inlineStr">
        <is>
          <t>Pago</t>
        </is>
      </c>
      <c r="S787" t="n">
        <v>182</v>
      </c>
      <c r="T787" t="inlineStr">
        <is>
          <t>Love - Shibari - Kamino</t>
        </is>
      </c>
    </row>
    <row r="788">
      <c r="A788" t="n">
        <v>162488</v>
      </c>
      <c r="B788" t="n">
        <v>128</v>
      </c>
      <c r="C788" t="inlineStr">
        <is>
          <t>Love Cabaret</t>
        </is>
      </c>
      <c r="D788" t="inlineStr">
        <is>
          <t>PETTY CASH</t>
        </is>
      </c>
      <c r="E788" t="n">
        <v>198</v>
      </c>
      <c r="F788" s="27" t="n">
        <v>45935</v>
      </c>
      <c r="G788" s="27" t="n">
        <v>45936</v>
      </c>
      <c r="H788" s="27" t="n">
        <v>45936</v>
      </c>
      <c r="I788" s="27" t="n">
        <v>45901</v>
      </c>
      <c r="J788" s="27" t="n">
        <v>45923</v>
      </c>
      <c r="K788" t="inlineStr">
        <is>
          <t>Cartão de Crédito</t>
        </is>
      </c>
      <c r="L788" t="inlineStr">
        <is>
          <t>Manutenção</t>
        </is>
      </c>
      <c r="M788" t="inlineStr">
        <is>
          <t>Material de Manutenção</t>
        </is>
      </c>
      <c r="N788" t="inlineStr">
        <is>
          <t>18PETTY092025</t>
        </is>
      </c>
      <c r="O788" t="inlineStr">
        <is>
          <t>Documentação Aprovada</t>
        </is>
      </c>
      <c r="P788" t="inlineStr">
        <is>
          <t>Aprovado Diretoria</t>
        </is>
      </c>
      <c r="Q788" t="inlineStr">
        <is>
          <t>Aprovado Caixa</t>
        </is>
      </c>
      <c r="R788" t="inlineStr">
        <is>
          <t>Pago</t>
        </is>
      </c>
      <c r="S788" t="n">
        <v>182</v>
      </c>
      <c r="T788" t="inlineStr">
        <is>
          <t>Love - Shibari - Kamino</t>
        </is>
      </c>
    </row>
    <row r="789">
      <c r="A789" t="n">
        <v>162414</v>
      </c>
      <c r="B789" t="n">
        <v>128</v>
      </c>
      <c r="C789" t="inlineStr">
        <is>
          <t>Love Cabaret</t>
        </is>
      </c>
      <c r="D789" t="inlineStr">
        <is>
          <t>PETTY CASH</t>
        </is>
      </c>
      <c r="E789" t="n">
        <v>15.1</v>
      </c>
      <c r="F789" s="27" t="n">
        <v>45935</v>
      </c>
      <c r="G789" s="27" t="n">
        <v>45936</v>
      </c>
      <c r="H789" s="27" t="n">
        <v>45936</v>
      </c>
      <c r="I789" s="27" t="n">
        <v>45901</v>
      </c>
      <c r="J789" s="27" t="n">
        <v>45922</v>
      </c>
      <c r="K789" t="inlineStr">
        <is>
          <t>Cartão de Crédito</t>
        </is>
      </c>
      <c r="L789" t="inlineStr">
        <is>
          <t>Manutenção</t>
        </is>
      </c>
      <c r="M789" t="inlineStr">
        <is>
          <t>Material de Manutenção</t>
        </is>
      </c>
      <c r="N789" t="inlineStr">
        <is>
          <t>10PETTY092025</t>
        </is>
      </c>
      <c r="O789" t="inlineStr">
        <is>
          <t>Documentação Aprovada</t>
        </is>
      </c>
      <c r="P789" t="inlineStr">
        <is>
          <t>Aprovado Diretoria</t>
        </is>
      </c>
      <c r="Q789" t="inlineStr">
        <is>
          <t>Aprovado Caixa</t>
        </is>
      </c>
      <c r="R789" t="inlineStr">
        <is>
          <t>Pago</t>
        </is>
      </c>
      <c r="S789" t="n">
        <v>182</v>
      </c>
      <c r="T789" t="inlineStr">
        <is>
          <t>Love - Shibari - Kamino</t>
        </is>
      </c>
    </row>
    <row r="790">
      <c r="A790" t="n">
        <v>162500</v>
      </c>
      <c r="B790" t="n">
        <v>128</v>
      </c>
      <c r="C790" t="inlineStr">
        <is>
          <t>Love Cabaret</t>
        </is>
      </c>
      <c r="D790" t="inlineStr">
        <is>
          <t>PETTY CASH</t>
        </is>
      </c>
      <c r="E790" t="n">
        <v>9.98</v>
      </c>
      <c r="F790" s="27" t="n">
        <v>45935</v>
      </c>
      <c r="G790" s="27" t="n">
        <v>45936</v>
      </c>
      <c r="H790" s="27" t="n">
        <v>45936</v>
      </c>
      <c r="I790" s="27" t="n">
        <v>45901</v>
      </c>
      <c r="J790" s="27" t="n">
        <v>45923</v>
      </c>
      <c r="K790" t="inlineStr">
        <is>
          <t>Cartão de Crédito</t>
        </is>
      </c>
      <c r="L790" t="inlineStr">
        <is>
          <t>Custo Mercadoria Vendida</t>
        </is>
      </c>
      <c r="M790" t="inlineStr">
        <is>
          <t>Insumos - Alimentos</t>
        </is>
      </c>
      <c r="N790" t="inlineStr">
        <is>
          <t>21PETTY092025</t>
        </is>
      </c>
      <c r="O790" t="inlineStr">
        <is>
          <t>Documentação Aprovada</t>
        </is>
      </c>
      <c r="P790" t="inlineStr">
        <is>
          <t>Aprovado Diretoria</t>
        </is>
      </c>
      <c r="Q790" t="inlineStr">
        <is>
          <t>Aprovado Caixa</t>
        </is>
      </c>
      <c r="R790" t="inlineStr">
        <is>
          <t>Pago</t>
        </is>
      </c>
      <c r="S790" t="n">
        <v>182</v>
      </c>
      <c r="T790" t="inlineStr">
        <is>
          <t>Love - Shibari - Kamino</t>
        </is>
      </c>
    </row>
    <row r="791">
      <c r="A791" t="n">
        <v>162498</v>
      </c>
      <c r="B791" t="n">
        <v>128</v>
      </c>
      <c r="C791" t="inlineStr">
        <is>
          <t>Love Cabaret</t>
        </is>
      </c>
      <c r="D791" t="inlineStr">
        <is>
          <t>PETTY CASH</t>
        </is>
      </c>
      <c r="E791" t="n">
        <v>104.2</v>
      </c>
      <c r="F791" s="27" t="n">
        <v>45935</v>
      </c>
      <c r="G791" s="27" t="n">
        <v>45936</v>
      </c>
      <c r="H791" s="27" t="n">
        <v>45936</v>
      </c>
      <c r="I791" s="27" t="n">
        <v>45901</v>
      </c>
      <c r="J791" s="27" t="n">
        <v>45923</v>
      </c>
      <c r="K791" t="inlineStr">
        <is>
          <t>Cartão de Crédito</t>
        </is>
      </c>
      <c r="L791" t="inlineStr">
        <is>
          <t>Manutenção</t>
        </is>
      </c>
      <c r="M791" t="inlineStr">
        <is>
          <t>Material de Manutenção</t>
        </is>
      </c>
      <c r="N791" t="inlineStr">
        <is>
          <t>19PETTY092025</t>
        </is>
      </c>
      <c r="O791" t="inlineStr">
        <is>
          <t>Documentação Aprovada</t>
        </is>
      </c>
      <c r="P791" t="inlineStr">
        <is>
          <t>Aprovado Diretoria</t>
        </is>
      </c>
      <c r="Q791" t="inlineStr">
        <is>
          <t>Aprovado Caixa</t>
        </is>
      </c>
      <c r="R791" t="inlineStr">
        <is>
          <t>Pago</t>
        </is>
      </c>
      <c r="S791" t="n">
        <v>182</v>
      </c>
      <c r="T791" t="inlineStr">
        <is>
          <t>Love - Shibari - Kamino</t>
        </is>
      </c>
    </row>
    <row r="792">
      <c r="A792" t="n">
        <v>162499</v>
      </c>
      <c r="B792" t="n">
        <v>128</v>
      </c>
      <c r="C792" t="inlineStr">
        <is>
          <t>Love Cabaret</t>
        </is>
      </c>
      <c r="D792" t="inlineStr">
        <is>
          <t>PETTY CASH</t>
        </is>
      </c>
      <c r="E792" t="n">
        <v>22.5</v>
      </c>
      <c r="F792" s="27" t="n">
        <v>45935</v>
      </c>
      <c r="G792" s="27" t="n">
        <v>45936</v>
      </c>
      <c r="H792" s="27" t="n">
        <v>45936</v>
      </c>
      <c r="I792" s="27" t="n">
        <v>45901</v>
      </c>
      <c r="J792" s="27" t="n">
        <v>45923</v>
      </c>
      <c r="K792" t="inlineStr">
        <is>
          <t>Cartão de Crédito</t>
        </is>
      </c>
      <c r="L792" t="inlineStr">
        <is>
          <t>Manutenção</t>
        </is>
      </c>
      <c r="M792" t="inlineStr">
        <is>
          <t>Material de Manutenção</t>
        </is>
      </c>
      <c r="N792" t="inlineStr">
        <is>
          <t>20PETTY092025</t>
        </is>
      </c>
      <c r="O792" t="inlineStr">
        <is>
          <t>Documentação Aprovada</t>
        </is>
      </c>
      <c r="P792" t="inlineStr">
        <is>
          <t>Aprovado Diretoria</t>
        </is>
      </c>
      <c r="Q792" t="inlineStr">
        <is>
          <t>Aprovado Caixa</t>
        </is>
      </c>
      <c r="R792" t="inlineStr">
        <is>
          <t>Pago</t>
        </is>
      </c>
      <c r="S792" t="n">
        <v>182</v>
      </c>
      <c r="T792" t="inlineStr">
        <is>
          <t>Love - Shibari - Kamino</t>
        </is>
      </c>
    </row>
    <row r="793">
      <c r="A793" t="n">
        <v>162415</v>
      </c>
      <c r="B793" t="n">
        <v>128</v>
      </c>
      <c r="C793" t="inlineStr">
        <is>
          <t>Love Cabaret</t>
        </is>
      </c>
      <c r="D793" t="inlineStr">
        <is>
          <t>PETTY CASH</t>
        </is>
      </c>
      <c r="E793" t="n">
        <v>25.99</v>
      </c>
      <c r="F793" s="27" t="n">
        <v>45935</v>
      </c>
      <c r="G793" s="27" t="n">
        <v>45936</v>
      </c>
      <c r="H793" s="27" t="n">
        <v>45936</v>
      </c>
      <c r="I793" s="27" t="n">
        <v>45901</v>
      </c>
      <c r="J793" s="27" t="n">
        <v>45922</v>
      </c>
      <c r="K793" t="inlineStr">
        <is>
          <t>Cartão de Crédito</t>
        </is>
      </c>
      <c r="L793" t="inlineStr">
        <is>
          <t>Custo Mercadoria Vendida</t>
        </is>
      </c>
      <c r="M793" t="inlineStr">
        <is>
          <t>Insumos - Alimentos</t>
        </is>
      </c>
      <c r="N793" t="inlineStr">
        <is>
          <t>11PETTY092025</t>
        </is>
      </c>
      <c r="O793" t="inlineStr">
        <is>
          <t>Documentação Aprovada</t>
        </is>
      </c>
      <c r="P793" t="inlineStr">
        <is>
          <t>Aprovado Diretoria</t>
        </is>
      </c>
      <c r="Q793" t="inlineStr">
        <is>
          <t>Aprovado Caixa</t>
        </is>
      </c>
      <c r="R793" t="inlineStr">
        <is>
          <t>Pago</t>
        </is>
      </c>
      <c r="S793" t="n">
        <v>182</v>
      </c>
      <c r="T793" t="inlineStr">
        <is>
          <t>Love - Shibari - Kamino</t>
        </is>
      </c>
    </row>
    <row r="794">
      <c r="A794" t="n">
        <v>162501</v>
      </c>
      <c r="B794" t="n">
        <v>128</v>
      </c>
      <c r="C794" t="inlineStr">
        <is>
          <t>Love Cabaret</t>
        </is>
      </c>
      <c r="D794" t="inlineStr">
        <is>
          <t>PETTY CASH</t>
        </is>
      </c>
      <c r="E794" t="n">
        <v>10.9</v>
      </c>
      <c r="F794" s="27" t="n">
        <v>45935</v>
      </c>
      <c r="G794" s="27" t="n">
        <v>45936</v>
      </c>
      <c r="H794" s="27" t="n">
        <v>45936</v>
      </c>
      <c r="I794" s="27" t="n">
        <v>45901</v>
      </c>
      <c r="J794" s="27" t="n">
        <v>45923</v>
      </c>
      <c r="K794" t="inlineStr">
        <is>
          <t>Cartão de Crédito</t>
        </is>
      </c>
      <c r="L794" t="inlineStr">
        <is>
          <t>Custo Mercadoria Vendida</t>
        </is>
      </c>
      <c r="M794" t="inlineStr">
        <is>
          <t>Insumos - Alimentos</t>
        </is>
      </c>
      <c r="N794" t="inlineStr">
        <is>
          <t>22PETTY092025</t>
        </is>
      </c>
      <c r="O794" t="inlineStr">
        <is>
          <t>Documentação Aprovada</t>
        </is>
      </c>
      <c r="P794" t="inlineStr">
        <is>
          <t>Aprovado Diretoria</t>
        </is>
      </c>
      <c r="Q794" t="inlineStr">
        <is>
          <t>Aprovado Caixa</t>
        </is>
      </c>
      <c r="R794" t="inlineStr">
        <is>
          <t>Pago</t>
        </is>
      </c>
      <c r="S794" t="n">
        <v>182</v>
      </c>
      <c r="T794" t="inlineStr">
        <is>
          <t>Love - Shibari - Kamino</t>
        </is>
      </c>
    </row>
    <row r="795">
      <c r="A795" t="n">
        <v>161518</v>
      </c>
      <c r="B795" t="n">
        <v>128</v>
      </c>
      <c r="C795" t="inlineStr">
        <is>
          <t>Love Cabaret</t>
        </is>
      </c>
      <c r="D795" t="inlineStr">
        <is>
          <t>MURILLO S DUARTE COMERCIAL LTDA</t>
        </is>
      </c>
      <c r="E795" t="n">
        <v>1267</v>
      </c>
      <c r="F795" s="27" t="n">
        <v>45936</v>
      </c>
      <c r="G795" s="27" t="n">
        <v>45936</v>
      </c>
      <c r="H795" s="27" t="n">
        <v>45936</v>
      </c>
      <c r="I795" s="27" t="n">
        <v>45908</v>
      </c>
      <c r="J795" s="27" t="n">
        <v>45917</v>
      </c>
      <c r="K795" t="inlineStr">
        <is>
          <t>Boleto Bancário</t>
        </is>
      </c>
      <c r="L795" t="inlineStr">
        <is>
          <t>Utilidades</t>
        </is>
      </c>
      <c r="M795" t="inlineStr">
        <is>
          <t>Higiene e Limpeza</t>
        </is>
      </c>
      <c r="N795" t="inlineStr">
        <is>
          <t>2085</t>
        </is>
      </c>
      <c r="O795" t="inlineStr">
        <is>
          <t>Documentação Aprovada</t>
        </is>
      </c>
      <c r="P795" t="inlineStr">
        <is>
          <t>Aprovado Diretoria</t>
        </is>
      </c>
      <c r="Q795" t="inlineStr">
        <is>
          <t>Aprovado Caixa</t>
        </is>
      </c>
      <c r="R795" t="inlineStr">
        <is>
          <t>Pago</t>
        </is>
      </c>
      <c r="S795" t="n">
        <v>182</v>
      </c>
      <c r="T795" t="inlineStr">
        <is>
          <t>Love - Shibari - Kamino</t>
        </is>
      </c>
    </row>
    <row r="796">
      <c r="A796" t="n">
        <v>161526</v>
      </c>
      <c r="B796" t="n">
        <v>128</v>
      </c>
      <c r="C796" t="inlineStr">
        <is>
          <t>Love Cabaret</t>
        </is>
      </c>
      <c r="D796" t="inlineStr">
        <is>
          <t>MURILLO S DUARTE COMERCIAL LTDA</t>
        </is>
      </c>
      <c r="E796" t="n">
        <v>451.74</v>
      </c>
      <c r="F796" s="27" t="n">
        <v>45936</v>
      </c>
      <c r="G796" s="27" t="n">
        <v>45936</v>
      </c>
      <c r="H796" s="27" t="n">
        <v>45936</v>
      </c>
      <c r="I796" s="27" t="n">
        <v>45908</v>
      </c>
      <c r="J796" s="27" t="n">
        <v>45917</v>
      </c>
      <c r="K796" t="inlineStr">
        <is>
          <t>Boleto Bancário</t>
        </is>
      </c>
      <c r="L796" t="inlineStr">
        <is>
          <t>Utilidades</t>
        </is>
      </c>
      <c r="M796" t="inlineStr">
        <is>
          <t>Higiene e Limpeza</t>
        </is>
      </c>
      <c r="N796" t="inlineStr">
        <is>
          <t>2086</t>
        </is>
      </c>
      <c r="O796" t="inlineStr">
        <is>
          <t>Documentação Aprovada</t>
        </is>
      </c>
      <c r="P796" t="inlineStr">
        <is>
          <t>Aprovado Diretoria</t>
        </is>
      </c>
      <c r="Q796" t="inlineStr">
        <is>
          <t>Aprovado Caixa</t>
        </is>
      </c>
      <c r="R796" t="inlineStr">
        <is>
          <t>Pago</t>
        </is>
      </c>
      <c r="S796" t="n">
        <v>182</v>
      </c>
      <c r="T796" t="inlineStr">
        <is>
          <t>Love - Shibari - Kamino</t>
        </is>
      </c>
    </row>
    <row r="797">
      <c r="A797" t="n">
        <v>158052</v>
      </c>
      <c r="B797" t="n">
        <v>128</v>
      </c>
      <c r="C797" t="inlineStr">
        <is>
          <t>Love Cabaret</t>
        </is>
      </c>
      <c r="D797" t="inlineStr">
        <is>
          <t>PETTY CASH</t>
        </is>
      </c>
      <c r="E797" t="n">
        <v>169.5</v>
      </c>
      <c r="F797" s="27" t="n">
        <v>45935</v>
      </c>
      <c r="G797" s="27" t="n">
        <v>45936</v>
      </c>
      <c r="H797" s="27" t="n">
        <v>45936</v>
      </c>
      <c r="I797" s="27" t="n">
        <v>45870</v>
      </c>
      <c r="J797" s="27" t="n">
        <v>45901</v>
      </c>
      <c r="K797" t="inlineStr">
        <is>
          <t>Cartão de Crédito</t>
        </is>
      </c>
      <c r="L797" t="inlineStr">
        <is>
          <t>Utilidades</t>
        </is>
      </c>
      <c r="M797" t="inlineStr">
        <is>
          <t>Descartaveis</t>
        </is>
      </c>
      <c r="N797" t="inlineStr">
        <is>
          <t>25PETTY082025</t>
        </is>
      </c>
      <c r="O797" t="inlineStr">
        <is>
          <t>Documentação Aprovada</t>
        </is>
      </c>
      <c r="P797" t="inlineStr">
        <is>
          <t>Aprovado Diretoria</t>
        </is>
      </c>
      <c r="Q797" t="inlineStr">
        <is>
          <t>Aprovado Caixa</t>
        </is>
      </c>
      <c r="R797" t="inlineStr">
        <is>
          <t>Pago</t>
        </is>
      </c>
      <c r="S797" t="n">
        <v>182</v>
      </c>
      <c r="T797" t="inlineStr">
        <is>
          <t>Love - Shibari - Kamino</t>
        </is>
      </c>
    </row>
    <row r="798">
      <c r="A798" t="n">
        <v>159896</v>
      </c>
      <c r="B798" t="n">
        <v>128</v>
      </c>
      <c r="C798" t="inlineStr">
        <is>
          <t>Love Cabaret</t>
        </is>
      </c>
      <c r="D798" t="inlineStr">
        <is>
          <t>PJ23824129000110 - FELIPE DA COSTA SANTOS</t>
        </is>
      </c>
      <c r="E798" t="n">
        <v>93.23999999999999</v>
      </c>
      <c r="F798" s="27" t="n">
        <v>45936</v>
      </c>
      <c r="G798" s="27" t="n">
        <v>45936</v>
      </c>
      <c r="H798" s="27" t="n">
        <v>45936</v>
      </c>
      <c r="I798" s="27" t="n">
        <v>45908</v>
      </c>
      <c r="J798" s="27" t="n">
        <v>45909</v>
      </c>
      <c r="K798" t="inlineStr">
        <is>
          <t>Transferência Bancária ou Pix</t>
        </is>
      </c>
      <c r="L798" t="inlineStr">
        <is>
          <t>Custo Mercadoria Vendida</t>
        </is>
      </c>
      <c r="M798" t="inlineStr">
        <is>
          <t>Insumos - Bebidas</t>
        </is>
      </c>
      <c r="N798" t="inlineStr">
        <is>
          <t>912025</t>
        </is>
      </c>
      <c r="O798" t="inlineStr">
        <is>
          <t>Documentação Aprovada</t>
        </is>
      </c>
      <c r="P798" t="inlineStr">
        <is>
          <t>Aprovado Diretoria</t>
        </is>
      </c>
      <c r="Q798" t="inlineStr">
        <is>
          <t>Aprovado Caixa</t>
        </is>
      </c>
      <c r="R798" t="inlineStr">
        <is>
          <t>Pago</t>
        </is>
      </c>
      <c r="S798" t="n">
        <v>182</v>
      </c>
      <c r="T798" t="inlineStr">
        <is>
          <t>Love - Shibari - Kamino</t>
        </is>
      </c>
    </row>
    <row r="799">
      <c r="A799" t="n">
        <v>160407</v>
      </c>
      <c r="B799" t="n">
        <v>128</v>
      </c>
      <c r="C799" t="inlineStr">
        <is>
          <t>Love Cabaret</t>
        </is>
      </c>
      <c r="D799" t="inlineStr">
        <is>
          <t>PJ 00192022 - FELIPE FERREIRA FRANCA</t>
        </is>
      </c>
      <c r="E799" t="n">
        <v>1300</v>
      </c>
      <c r="F799" s="27" t="n">
        <v>45936</v>
      </c>
      <c r="G799" s="27" t="n">
        <v>45936</v>
      </c>
      <c r="H799" s="27" t="n">
        <v>45936</v>
      </c>
      <c r="I799" s="27" t="n">
        <v>45908</v>
      </c>
      <c r="J799" s="27" t="n">
        <v>45911</v>
      </c>
      <c r="K799" t="inlineStr">
        <is>
          <t>Transferência Bancária ou Pix</t>
        </is>
      </c>
      <c r="L799" t="inlineStr">
        <is>
          <t>Utilidades</t>
        </is>
      </c>
      <c r="M799" t="inlineStr">
        <is>
          <t>Agua/Esgoto</t>
        </is>
      </c>
      <c r="N799" t="inlineStr">
        <is>
          <t>902025</t>
        </is>
      </c>
      <c r="O799" t="inlineStr">
        <is>
          <t>Documentação Aprovada</t>
        </is>
      </c>
      <c r="P799" t="inlineStr">
        <is>
          <t>Aprovado Diretoria</t>
        </is>
      </c>
      <c r="Q799" t="inlineStr">
        <is>
          <t>Aprovado Caixa</t>
        </is>
      </c>
      <c r="R799" t="inlineStr">
        <is>
          <t>Pago</t>
        </is>
      </c>
      <c r="S799" t="n">
        <v>182</v>
      </c>
      <c r="T799" t="inlineStr">
        <is>
          <t>Love - Shibari - Kamino</t>
        </is>
      </c>
    </row>
    <row r="800">
      <c r="A800" t="n">
        <v>160154</v>
      </c>
      <c r="B800" t="n">
        <v>128</v>
      </c>
      <c r="C800" t="inlineStr">
        <is>
          <t>Love Cabaret</t>
        </is>
      </c>
      <c r="D800" t="inlineStr">
        <is>
          <t>PETTY CASH</t>
        </is>
      </c>
      <c r="E800" t="n">
        <v>62.8</v>
      </c>
      <c r="F800" s="27" t="n">
        <v>45935</v>
      </c>
      <c r="G800" s="27" t="n">
        <v>45936</v>
      </c>
      <c r="H800" s="27" t="n">
        <v>45936</v>
      </c>
      <c r="I800" s="27" t="n">
        <v>45901</v>
      </c>
      <c r="J800" s="27" t="n">
        <v>45910</v>
      </c>
      <c r="K800" t="inlineStr">
        <is>
          <t>Cartão de Crédito</t>
        </is>
      </c>
      <c r="L800" t="inlineStr">
        <is>
          <t>Utilidades</t>
        </is>
      </c>
      <c r="M800" t="inlineStr">
        <is>
          <t>Material de Consumo - Gelo/ Gas CO2/ Carvao /Velas</t>
        </is>
      </c>
      <c r="N800" t="inlineStr">
        <is>
          <t>1PETTY092025</t>
        </is>
      </c>
      <c r="O800" t="inlineStr">
        <is>
          <t>Documentação Aprovada</t>
        </is>
      </c>
      <c r="P800" t="inlineStr">
        <is>
          <t>Aprovado Diretoria</t>
        </is>
      </c>
      <c r="Q800" t="inlineStr">
        <is>
          <t>Aprovado Caixa</t>
        </is>
      </c>
      <c r="R800" t="inlineStr">
        <is>
          <t>Pago</t>
        </is>
      </c>
      <c r="S800" t="n">
        <v>182</v>
      </c>
      <c r="T800" t="inlineStr">
        <is>
          <t>Love - Shibari - Kamino</t>
        </is>
      </c>
    </row>
    <row r="801">
      <c r="A801" t="n">
        <v>160155</v>
      </c>
      <c r="B801" t="n">
        <v>128</v>
      </c>
      <c r="C801" t="inlineStr">
        <is>
          <t>Love Cabaret</t>
        </is>
      </c>
      <c r="D801" t="inlineStr">
        <is>
          <t>PETTY CASH</t>
        </is>
      </c>
      <c r="E801" t="n">
        <v>350</v>
      </c>
      <c r="F801" s="27" t="n">
        <v>45935</v>
      </c>
      <c r="G801" s="27" t="n">
        <v>45936</v>
      </c>
      <c r="H801" s="27" t="n">
        <v>45936</v>
      </c>
      <c r="I801" s="27" t="n">
        <v>45901</v>
      </c>
      <c r="J801" s="27" t="n">
        <v>45910</v>
      </c>
      <c r="K801" t="inlineStr">
        <is>
          <t>Cartão de Crédito</t>
        </is>
      </c>
      <c r="L801" t="inlineStr">
        <is>
          <t>Manutenção</t>
        </is>
      </c>
      <c r="M801" t="inlineStr">
        <is>
          <t>Manutenção de Equipamentos</t>
        </is>
      </c>
      <c r="N801" t="inlineStr">
        <is>
          <t>2PETTY092025</t>
        </is>
      </c>
      <c r="O801" t="inlineStr">
        <is>
          <t>Documentação Aprovada</t>
        </is>
      </c>
      <c r="P801" t="inlineStr">
        <is>
          <t>Aprovado Diretoria</t>
        </is>
      </c>
      <c r="Q801" t="inlineStr">
        <is>
          <t>Aprovado Caixa</t>
        </is>
      </c>
      <c r="R801" t="inlineStr">
        <is>
          <t>Pago</t>
        </is>
      </c>
      <c r="S801" t="n">
        <v>182</v>
      </c>
      <c r="T801" t="inlineStr">
        <is>
          <t>Love - Shibari - Kamino</t>
        </is>
      </c>
    </row>
    <row r="802">
      <c r="A802" t="n">
        <v>160157</v>
      </c>
      <c r="B802" t="n">
        <v>128</v>
      </c>
      <c r="C802" t="inlineStr">
        <is>
          <t>Love Cabaret</t>
        </is>
      </c>
      <c r="D802" t="inlineStr">
        <is>
          <t>PETTY CASH</t>
        </is>
      </c>
      <c r="E802" t="n">
        <v>764.1</v>
      </c>
      <c r="F802" s="27" t="n">
        <v>45935</v>
      </c>
      <c r="G802" s="27" t="n">
        <v>45936</v>
      </c>
      <c r="H802" s="27" t="n">
        <v>45936</v>
      </c>
      <c r="I802" s="27" t="n">
        <v>45901</v>
      </c>
      <c r="J802" s="27" t="n">
        <v>45910</v>
      </c>
      <c r="K802" t="inlineStr">
        <is>
          <t>Cartão de Crédito</t>
        </is>
      </c>
      <c r="L802" t="inlineStr">
        <is>
          <t>Utilidades</t>
        </is>
      </c>
      <c r="M802" t="inlineStr">
        <is>
          <t>Utensilios</t>
        </is>
      </c>
      <c r="N802" t="inlineStr">
        <is>
          <t>3PETTY092025</t>
        </is>
      </c>
      <c r="O802" t="inlineStr">
        <is>
          <t>Documentação Aprovada</t>
        </is>
      </c>
      <c r="P802" t="inlineStr">
        <is>
          <t>Aprovado Diretoria</t>
        </is>
      </c>
      <c r="Q802" t="inlineStr">
        <is>
          <t>Aprovado Caixa</t>
        </is>
      </c>
      <c r="R802" t="inlineStr">
        <is>
          <t>Pago</t>
        </is>
      </c>
      <c r="S802" t="n">
        <v>182</v>
      </c>
      <c r="T802" t="inlineStr">
        <is>
          <t>Love - Shibari - Kamino</t>
        </is>
      </c>
    </row>
    <row r="803">
      <c r="A803" t="n">
        <v>160159</v>
      </c>
      <c r="B803" t="n">
        <v>128</v>
      </c>
      <c r="C803" t="inlineStr">
        <is>
          <t>Love Cabaret</t>
        </is>
      </c>
      <c r="D803" t="inlineStr">
        <is>
          <t>PETTY CASH</t>
        </is>
      </c>
      <c r="E803" t="n">
        <v>9.69</v>
      </c>
      <c r="F803" s="27" t="n">
        <v>45935</v>
      </c>
      <c r="G803" s="27" t="n">
        <v>45936</v>
      </c>
      <c r="H803" s="27" t="n">
        <v>45936</v>
      </c>
      <c r="I803" s="27" t="n">
        <v>45901</v>
      </c>
      <c r="J803" s="27" t="n">
        <v>45910</v>
      </c>
      <c r="K803" t="inlineStr">
        <is>
          <t>Cartão de Crédito</t>
        </is>
      </c>
      <c r="L803" t="inlineStr">
        <is>
          <t>Custo Mercadoria Vendida</t>
        </is>
      </c>
      <c r="M803" t="inlineStr">
        <is>
          <t>Insumos - Alimentos</t>
        </is>
      </c>
      <c r="N803" t="inlineStr">
        <is>
          <t>4PETTY092025</t>
        </is>
      </c>
      <c r="O803" t="inlineStr">
        <is>
          <t>Documentação Aprovada</t>
        </is>
      </c>
      <c r="P803" t="inlineStr">
        <is>
          <t>Aprovado Diretoria</t>
        </is>
      </c>
      <c r="Q803" t="inlineStr">
        <is>
          <t>Aprovado Caixa</t>
        </is>
      </c>
      <c r="R803" t="inlineStr">
        <is>
          <t>Pago</t>
        </is>
      </c>
      <c r="S803" t="n">
        <v>182</v>
      </c>
      <c r="T803" t="inlineStr">
        <is>
          <t>Love - Shibari - Kamino</t>
        </is>
      </c>
    </row>
    <row r="804">
      <c r="A804" t="n">
        <v>160162</v>
      </c>
      <c r="B804" t="n">
        <v>128</v>
      </c>
      <c r="C804" t="inlineStr">
        <is>
          <t>Love Cabaret</t>
        </is>
      </c>
      <c r="D804" t="inlineStr">
        <is>
          <t>PETTY CASH</t>
        </is>
      </c>
      <c r="E804" t="n">
        <v>295.95</v>
      </c>
      <c r="F804" s="27" t="n">
        <v>45935</v>
      </c>
      <c r="G804" s="27" t="n">
        <v>45936</v>
      </c>
      <c r="H804" s="27" t="n">
        <v>45936</v>
      </c>
      <c r="I804" s="27" t="n">
        <v>45901</v>
      </c>
      <c r="J804" s="27" t="n">
        <v>45910</v>
      </c>
      <c r="K804" t="inlineStr">
        <is>
          <t>Cartão de Crédito</t>
        </is>
      </c>
      <c r="L804" t="inlineStr">
        <is>
          <t>Utilidades</t>
        </is>
      </c>
      <c r="M804" t="inlineStr">
        <is>
          <t>Descartaveis</t>
        </is>
      </c>
      <c r="N804" t="inlineStr">
        <is>
          <t>5PETTY092025</t>
        </is>
      </c>
      <c r="O804" t="inlineStr">
        <is>
          <t>Documentação Aprovada</t>
        </is>
      </c>
      <c r="P804" t="inlineStr">
        <is>
          <t>Aprovado Diretoria</t>
        </is>
      </c>
      <c r="Q804" t="inlineStr">
        <is>
          <t>Aprovado Caixa</t>
        </is>
      </c>
      <c r="R804" t="inlineStr">
        <is>
          <t>Pago</t>
        </is>
      </c>
      <c r="S804" t="n">
        <v>182</v>
      </c>
      <c r="T804" t="inlineStr">
        <is>
          <t>Love - Shibari - Kamino</t>
        </is>
      </c>
    </row>
    <row r="805">
      <c r="A805" t="n">
        <v>160164</v>
      </c>
      <c r="B805" t="n">
        <v>128</v>
      </c>
      <c r="C805" t="inlineStr">
        <is>
          <t>Love Cabaret</t>
        </is>
      </c>
      <c r="D805" t="inlineStr">
        <is>
          <t>PETTY CASH</t>
        </is>
      </c>
      <c r="E805" t="n">
        <v>439</v>
      </c>
      <c r="F805" s="27" t="n">
        <v>45935</v>
      </c>
      <c r="G805" s="27" t="n">
        <v>45936</v>
      </c>
      <c r="H805" s="27" t="n">
        <v>45936</v>
      </c>
      <c r="I805" s="27" t="n">
        <v>45901</v>
      </c>
      <c r="J805" s="27" t="n">
        <v>45910</v>
      </c>
      <c r="K805" t="inlineStr">
        <is>
          <t>Cartão de Crédito</t>
        </is>
      </c>
      <c r="L805" t="inlineStr">
        <is>
          <t>Utilidades</t>
        </is>
      </c>
      <c r="M805" t="inlineStr">
        <is>
          <t>Utensilios</t>
        </is>
      </c>
      <c r="N805" t="inlineStr">
        <is>
          <t>6PETTY092025</t>
        </is>
      </c>
      <c r="O805" t="inlineStr">
        <is>
          <t>Documentação Aprovada</t>
        </is>
      </c>
      <c r="P805" t="inlineStr">
        <is>
          <t>Aprovado Diretoria</t>
        </is>
      </c>
      <c r="Q805" t="inlineStr">
        <is>
          <t>Aprovado Caixa</t>
        </is>
      </c>
      <c r="R805" t="inlineStr">
        <is>
          <t>Pago</t>
        </is>
      </c>
      <c r="S805" t="n">
        <v>182</v>
      </c>
      <c r="T805" t="inlineStr">
        <is>
          <t>Love - Shibari - Kamino</t>
        </is>
      </c>
    </row>
    <row r="806">
      <c r="A806" t="n">
        <v>160168</v>
      </c>
      <c r="B806" t="n">
        <v>128</v>
      </c>
      <c r="C806" t="inlineStr">
        <is>
          <t>Love Cabaret</t>
        </is>
      </c>
      <c r="D806" t="inlineStr">
        <is>
          <t>PETTY CASH</t>
        </is>
      </c>
      <c r="E806" t="n">
        <v>191.2</v>
      </c>
      <c r="F806" s="27" t="n">
        <v>45935</v>
      </c>
      <c r="G806" s="27" t="n">
        <v>45936</v>
      </c>
      <c r="H806" s="27" t="n">
        <v>45936</v>
      </c>
      <c r="I806" s="27" t="n">
        <v>45901</v>
      </c>
      <c r="J806" s="27" t="n">
        <v>45910</v>
      </c>
      <c r="K806" t="inlineStr">
        <is>
          <t>Cartão de Crédito</t>
        </is>
      </c>
      <c r="L806" t="inlineStr">
        <is>
          <t>Mão de Obra - Benefícios</t>
        </is>
      </c>
      <c r="M806" t="inlineStr">
        <is>
          <t xml:space="preserve">  -  Alimentação Funcionário</t>
        </is>
      </c>
      <c r="N806" t="inlineStr">
        <is>
          <t>9PETTY092025</t>
        </is>
      </c>
      <c r="O806" t="inlineStr">
        <is>
          <t>Documentação Aprovada</t>
        </is>
      </c>
      <c r="P806" t="inlineStr">
        <is>
          <t>Aprovado Diretoria</t>
        </is>
      </c>
      <c r="Q806" t="inlineStr">
        <is>
          <t>Aprovado Caixa</t>
        </is>
      </c>
      <c r="R806" t="inlineStr">
        <is>
          <t>Pago</t>
        </is>
      </c>
      <c r="S806" t="n">
        <v>182</v>
      </c>
      <c r="T806" t="inlineStr">
        <is>
          <t>Love - Shibari - Kamino</t>
        </is>
      </c>
    </row>
    <row r="807">
      <c r="A807" t="n">
        <v>159895</v>
      </c>
      <c r="B807" t="n">
        <v>128</v>
      </c>
      <c r="C807" t="inlineStr">
        <is>
          <t>Love Cabaret</t>
        </is>
      </c>
      <c r="D807" t="inlineStr">
        <is>
          <t>PJ23824129000110 - FELIPE DA COSTA SANTOS</t>
        </is>
      </c>
      <c r="E807" t="n">
        <v>146.77</v>
      </c>
      <c r="F807" s="27" t="n">
        <v>45936</v>
      </c>
      <c r="G807" s="27" t="n">
        <v>45936</v>
      </c>
      <c r="H807" s="27" t="n">
        <v>45936</v>
      </c>
      <c r="I807" s="27" t="n">
        <v>45908</v>
      </c>
      <c r="J807" s="27" t="n">
        <v>45909</v>
      </c>
      <c r="K807" t="inlineStr">
        <is>
          <t>Transferência Bancária ou Pix</t>
        </is>
      </c>
      <c r="L807" t="inlineStr">
        <is>
          <t>Mão de Obra - Benefícios</t>
        </is>
      </c>
      <c r="M807" t="inlineStr">
        <is>
          <t xml:space="preserve">  -  Alimentação Funcionário</t>
        </is>
      </c>
      <c r="N807" t="inlineStr">
        <is>
          <t>912025</t>
        </is>
      </c>
      <c r="O807" t="inlineStr">
        <is>
          <t>Documentação Aprovada</t>
        </is>
      </c>
      <c r="P807" t="inlineStr">
        <is>
          <t>Aprovado Diretoria</t>
        </is>
      </c>
      <c r="Q807" t="inlineStr">
        <is>
          <t>Aprovado Caixa</t>
        </is>
      </c>
      <c r="R807" t="inlineStr">
        <is>
          <t>Pago</t>
        </is>
      </c>
      <c r="S807" t="n">
        <v>182</v>
      </c>
      <c r="T807" t="inlineStr">
        <is>
          <t>Love - Shibari - Kamino</t>
        </is>
      </c>
    </row>
    <row r="808">
      <c r="A808" t="n">
        <v>159886</v>
      </c>
      <c r="B808" t="n">
        <v>128</v>
      </c>
      <c r="C808" t="inlineStr">
        <is>
          <t>Love Cabaret</t>
        </is>
      </c>
      <c r="D808" t="inlineStr">
        <is>
          <t>PJ 00192022 - FELIPE FERREIRA FRANCA</t>
        </is>
      </c>
      <c r="E808" t="n">
        <v>360</v>
      </c>
      <c r="F808" s="27" t="n">
        <v>45936</v>
      </c>
      <c r="G808" s="27" t="n">
        <v>45936</v>
      </c>
      <c r="H808" s="27" t="n">
        <v>45936</v>
      </c>
      <c r="I808" s="27" t="n">
        <v>45908</v>
      </c>
      <c r="J808" s="27" t="n">
        <v>45909</v>
      </c>
      <c r="K808" t="inlineStr">
        <is>
          <t>Transferência Bancária ou Pix</t>
        </is>
      </c>
      <c r="L808" t="inlineStr">
        <is>
          <t>Utilidades</t>
        </is>
      </c>
      <c r="M808" t="inlineStr">
        <is>
          <t>Material de Consumo - Gelo/ Gas CO2/ Carvao /Velas</t>
        </is>
      </c>
      <c r="N808" t="inlineStr">
        <is>
          <t>902025</t>
        </is>
      </c>
      <c r="O808" t="inlineStr">
        <is>
          <t>Documentação Aprovada</t>
        </is>
      </c>
      <c r="P808" t="inlineStr">
        <is>
          <t>Aprovado Diretoria</t>
        </is>
      </c>
      <c r="Q808" t="inlineStr">
        <is>
          <t>Aprovado Caixa</t>
        </is>
      </c>
      <c r="R808" t="inlineStr">
        <is>
          <t>Pago</t>
        </is>
      </c>
      <c r="S808" t="n">
        <v>182</v>
      </c>
      <c r="T808" t="inlineStr">
        <is>
          <t>Love - Shibari - Kamino</t>
        </is>
      </c>
    </row>
    <row r="809">
      <c r="A809" t="n">
        <v>160165</v>
      </c>
      <c r="B809" t="n">
        <v>128</v>
      </c>
      <c r="C809" t="inlineStr">
        <is>
          <t>Love Cabaret</t>
        </is>
      </c>
      <c r="D809" t="inlineStr">
        <is>
          <t>PETTY CASH</t>
        </is>
      </c>
      <c r="E809" t="n">
        <v>320.4</v>
      </c>
      <c r="F809" s="27" t="n">
        <v>45935</v>
      </c>
      <c r="G809" s="27" t="n">
        <v>45936</v>
      </c>
      <c r="H809" s="27" t="n">
        <v>45936</v>
      </c>
      <c r="I809" s="27" t="n">
        <v>45901</v>
      </c>
      <c r="J809" s="27" t="n">
        <v>45910</v>
      </c>
      <c r="K809" t="inlineStr">
        <is>
          <t>Cartão de Crédito</t>
        </is>
      </c>
      <c r="L809" t="inlineStr">
        <is>
          <t>Utilidades</t>
        </is>
      </c>
      <c r="M809" t="inlineStr">
        <is>
          <t>Utensilios</t>
        </is>
      </c>
      <c r="N809" t="inlineStr">
        <is>
          <t>7PETTY092025</t>
        </is>
      </c>
      <c r="O809" t="inlineStr">
        <is>
          <t>Documentação Aprovada</t>
        </is>
      </c>
      <c r="P809" t="inlineStr">
        <is>
          <t>Aprovado Diretoria</t>
        </is>
      </c>
      <c r="Q809" t="inlineStr">
        <is>
          <t>Aprovado Caixa</t>
        </is>
      </c>
      <c r="R809" t="inlineStr">
        <is>
          <t>Pago</t>
        </is>
      </c>
      <c r="S809" t="n">
        <v>182</v>
      </c>
      <c r="T809" t="inlineStr">
        <is>
          <t>Love - Shibari - Kamino</t>
        </is>
      </c>
    </row>
    <row r="810">
      <c r="A810" t="n">
        <v>160166</v>
      </c>
      <c r="B810" t="n">
        <v>128</v>
      </c>
      <c r="C810" t="inlineStr">
        <is>
          <t>Love Cabaret</t>
        </is>
      </c>
      <c r="D810" t="inlineStr">
        <is>
          <t>PETTY CASH</t>
        </is>
      </c>
      <c r="E810" t="n">
        <v>550</v>
      </c>
      <c r="F810" s="27" t="n">
        <v>45935</v>
      </c>
      <c r="G810" s="27" t="n">
        <v>45936</v>
      </c>
      <c r="H810" s="27" t="n">
        <v>45936</v>
      </c>
      <c r="I810" s="27" t="n">
        <v>45901</v>
      </c>
      <c r="J810" s="27" t="n">
        <v>45910</v>
      </c>
      <c r="K810" t="inlineStr">
        <is>
          <t>Cartão de Crédito</t>
        </is>
      </c>
      <c r="L810" t="inlineStr">
        <is>
          <t>Mão de Obra - Benefícios</t>
        </is>
      </c>
      <c r="M810" t="inlineStr">
        <is>
          <t xml:space="preserve">  -  Alimentação Funcionário</t>
        </is>
      </c>
      <c r="N810" t="inlineStr">
        <is>
          <t>8PETTY092025</t>
        </is>
      </c>
      <c r="O810" t="inlineStr">
        <is>
          <t>Documentação Aprovada</t>
        </is>
      </c>
      <c r="P810" t="inlineStr">
        <is>
          <t>Aprovado Diretoria</t>
        </is>
      </c>
      <c r="Q810" t="inlineStr">
        <is>
          <t>Aprovado Caixa</t>
        </is>
      </c>
      <c r="R810" t="inlineStr">
        <is>
          <t>Pago</t>
        </is>
      </c>
      <c r="S810" t="n">
        <v>182</v>
      </c>
      <c r="T810" t="inlineStr">
        <is>
          <t>Love - Shibari - Kamino</t>
        </is>
      </c>
    </row>
    <row r="811">
      <c r="A811" t="n">
        <v>160766</v>
      </c>
      <c r="B811" t="n">
        <v>128</v>
      </c>
      <c r="C811" t="inlineStr">
        <is>
          <t>Love Cabaret</t>
        </is>
      </c>
      <c r="D811" t="inlineStr">
        <is>
          <t>GERALDO DAVID COSTA JUNIOR</t>
        </is>
      </c>
      <c r="E811" t="n">
        <v>1500</v>
      </c>
      <c r="F811" s="27" t="n">
        <v>45938</v>
      </c>
      <c r="G811" s="27" t="n">
        <v>45936</v>
      </c>
      <c r="H811" s="27" t="n">
        <v>45936</v>
      </c>
      <c r="I811" s="27" t="n">
        <v>45911</v>
      </c>
      <c r="J811" s="27" t="n">
        <v>45915</v>
      </c>
      <c r="K811" t="inlineStr">
        <is>
          <t>Transferência Bancária ou Pix</t>
        </is>
      </c>
      <c r="L811" t="inlineStr">
        <is>
          <t>Custos Artístico Geral</t>
        </is>
      </c>
      <c r="M811" t="inlineStr">
        <is>
          <t>Técnico de Som / Luz</t>
        </is>
      </c>
      <c r="N811" t="inlineStr">
        <is>
          <t>71</t>
        </is>
      </c>
      <c r="O811" t="inlineStr">
        <is>
          <t>Documentação Aprovada</t>
        </is>
      </c>
      <c r="P811" t="inlineStr">
        <is>
          <t>Aprovado Diretoria</t>
        </is>
      </c>
      <c r="Q811" t="inlineStr">
        <is>
          <t>Aprovado Caixa</t>
        </is>
      </c>
      <c r="R811" t="inlineStr">
        <is>
          <t>Pago</t>
        </is>
      </c>
      <c r="S811" t="n">
        <v>182</v>
      </c>
      <c r="T811" t="inlineStr">
        <is>
          <t>Love - Shibari - Kamino</t>
        </is>
      </c>
    </row>
    <row r="812">
      <c r="A812" t="n">
        <v>157235</v>
      </c>
      <c r="B812" t="n">
        <v>128</v>
      </c>
      <c r="C812" t="inlineStr">
        <is>
          <t>Love Cabaret</t>
        </is>
      </c>
      <c r="D812" t="inlineStr">
        <is>
          <t>PETTY CASH</t>
        </is>
      </c>
      <c r="E812" t="n">
        <v>18.19</v>
      </c>
      <c r="F812" s="27" t="n">
        <v>45935</v>
      </c>
      <c r="G812" s="27" t="n">
        <v>45936</v>
      </c>
      <c r="H812" s="27" t="n">
        <v>45936</v>
      </c>
      <c r="I812" s="27" t="n">
        <v>45870</v>
      </c>
      <c r="J812" s="27" t="n">
        <v>45897</v>
      </c>
      <c r="K812" t="inlineStr">
        <is>
          <t>Cartão de Crédito</t>
        </is>
      </c>
      <c r="L812" t="inlineStr">
        <is>
          <t>Mão de Obra - Benefícios</t>
        </is>
      </c>
      <c r="M812" t="inlineStr">
        <is>
          <t xml:space="preserve">  -  Alimentação Funcionário</t>
        </is>
      </c>
      <c r="N812" t="inlineStr">
        <is>
          <t>25PETTY082025</t>
        </is>
      </c>
      <c r="O812" t="inlineStr">
        <is>
          <t>Documentação Aprovada</t>
        </is>
      </c>
      <c r="P812" t="inlineStr">
        <is>
          <t>Aprovado Diretoria</t>
        </is>
      </c>
      <c r="Q812" t="inlineStr">
        <is>
          <t>Aprovado Caixa</t>
        </is>
      </c>
      <c r="R812" t="inlineStr">
        <is>
          <t>Pago</t>
        </is>
      </c>
      <c r="S812" t="n">
        <v>182</v>
      </c>
      <c r="T812" t="inlineStr">
        <is>
          <t>Love - Shibari - Kamino</t>
        </is>
      </c>
    </row>
    <row r="813">
      <c r="A813" t="n">
        <v>164423</v>
      </c>
      <c r="B813" t="n">
        <v>128</v>
      </c>
      <c r="C813" t="inlineStr">
        <is>
          <t>Love Cabaret</t>
        </is>
      </c>
      <c r="D813" t="inlineStr">
        <is>
          <t>ICE4PROS FABRICA DE GELO LTDA</t>
        </is>
      </c>
      <c r="E813" t="n">
        <v>1106</v>
      </c>
      <c r="F813" s="27" t="n">
        <v>45936</v>
      </c>
      <c r="G813" s="27" t="n">
        <v>45936</v>
      </c>
      <c r="H813" s="27" t="n">
        <v>45936</v>
      </c>
      <c r="I813" s="27" t="n">
        <v>45926</v>
      </c>
      <c r="J813" s="27" t="n">
        <v>45932</v>
      </c>
      <c r="K813" t="inlineStr">
        <is>
          <t>Boleto Bancário</t>
        </is>
      </c>
      <c r="L813" t="inlineStr">
        <is>
          <t>Custo Mercadoria Vendida</t>
        </is>
      </c>
      <c r="M813" t="inlineStr">
        <is>
          <t>Insumos - Bebidas</t>
        </is>
      </c>
      <c r="N813" t="inlineStr">
        <is>
          <t>86699</t>
        </is>
      </c>
      <c r="O813" t="inlineStr">
        <is>
          <t>Documentação Aprovada</t>
        </is>
      </c>
      <c r="P813" t="inlineStr">
        <is>
          <t>Aprovado Diretoria</t>
        </is>
      </c>
      <c r="Q813" t="inlineStr">
        <is>
          <t>Aprovado Caixa</t>
        </is>
      </c>
      <c r="R813" t="inlineStr">
        <is>
          <t>Pago</t>
        </is>
      </c>
      <c r="S813" t="n">
        <v>182</v>
      </c>
      <c r="T813" t="inlineStr">
        <is>
          <t>Love - Shibari - Kamino</t>
        </is>
      </c>
    </row>
    <row r="814">
      <c r="A814" t="n">
        <v>165128</v>
      </c>
      <c r="B814" t="n">
        <v>128</v>
      </c>
      <c r="C814" t="inlineStr">
        <is>
          <t>Love Cabaret</t>
        </is>
      </c>
      <c r="D814" t="inlineStr">
        <is>
          <t>JULIANA OLIVEIRA DA SILVA</t>
        </is>
      </c>
      <c r="E814" t="n">
        <v>3594.19</v>
      </c>
      <c r="F814" s="27" t="n">
        <v>45936</v>
      </c>
      <c r="G814" s="27" t="n">
        <v>45936</v>
      </c>
      <c r="H814" s="27" t="n">
        <v>45936</v>
      </c>
      <c r="I814" s="27" t="n">
        <v>45930</v>
      </c>
      <c r="J814" s="27" t="n"/>
      <c r="L814" t="inlineStr">
        <is>
          <t>Mão de Obra - Salários</t>
        </is>
      </c>
      <c r="M814" t="inlineStr">
        <is>
          <t>MDO CLT - Salário</t>
        </is>
      </c>
      <c r="O814" t="inlineStr">
        <is>
          <t>Documentação Aprovada</t>
        </is>
      </c>
      <c r="P814" t="inlineStr">
        <is>
          <t>Aprovado Diretoria</t>
        </is>
      </c>
      <c r="Q814" t="inlineStr">
        <is>
          <t>Aprovado Caixa</t>
        </is>
      </c>
      <c r="R814" t="inlineStr">
        <is>
          <t>Pago</t>
        </is>
      </c>
      <c r="S814" t="n">
        <v>115</v>
      </c>
      <c r="T814" t="inlineStr">
        <is>
          <t>Love - Shibari - Bradesco</t>
        </is>
      </c>
    </row>
    <row r="815">
      <c r="A815" t="n">
        <v>165127</v>
      </c>
      <c r="B815" t="n">
        <v>128</v>
      </c>
      <c r="C815" t="inlineStr">
        <is>
          <t>Love Cabaret</t>
        </is>
      </c>
      <c r="D815" t="inlineStr">
        <is>
          <t>CAROLINE FERREIRA DA SILVA</t>
        </is>
      </c>
      <c r="E815" t="n">
        <v>4546.15</v>
      </c>
      <c r="F815" s="27" t="n">
        <v>45936</v>
      </c>
      <c r="G815" s="27" t="n">
        <v>45936</v>
      </c>
      <c r="H815" s="27" t="n">
        <v>45936</v>
      </c>
      <c r="I815" s="27" t="n">
        <v>45930</v>
      </c>
      <c r="J815" s="27" t="n"/>
      <c r="L815" t="inlineStr">
        <is>
          <t>Mão de Obra - Salários</t>
        </is>
      </c>
      <c r="M815" t="inlineStr">
        <is>
          <t>MDO CLT - Salário</t>
        </is>
      </c>
      <c r="O815" t="inlineStr">
        <is>
          <t>Documentação Aprovada</t>
        </is>
      </c>
      <c r="P815" t="inlineStr">
        <is>
          <t>Aprovado Diretoria</t>
        </is>
      </c>
      <c r="Q815" t="inlineStr">
        <is>
          <t>Aprovado Caixa</t>
        </is>
      </c>
      <c r="R815" t="inlineStr">
        <is>
          <t>Pago</t>
        </is>
      </c>
      <c r="S815" t="n">
        <v>115</v>
      </c>
      <c r="T815" t="inlineStr">
        <is>
          <t>Love - Shibari - Bradesco</t>
        </is>
      </c>
    </row>
    <row r="816">
      <c r="A816" t="n">
        <v>163213</v>
      </c>
      <c r="B816" t="n">
        <v>128</v>
      </c>
      <c r="C816" t="inlineStr">
        <is>
          <t>Love Cabaret</t>
        </is>
      </c>
      <c r="D816" t="inlineStr">
        <is>
          <t>PSSS LTDA</t>
        </is>
      </c>
      <c r="E816" t="n">
        <v>392.25</v>
      </c>
      <c r="F816" s="27" t="n">
        <v>45938</v>
      </c>
      <c r="G816" s="27" t="n">
        <v>45936</v>
      </c>
      <c r="H816" s="27" t="n">
        <v>45936</v>
      </c>
      <c r="I816" s="27" t="n">
        <v>45924</v>
      </c>
      <c r="J816" s="27" t="n">
        <v>45926</v>
      </c>
      <c r="K816" t="inlineStr">
        <is>
          <t>Boleto Bancário</t>
        </is>
      </c>
      <c r="L816" t="inlineStr">
        <is>
          <t>Utilidades</t>
        </is>
      </c>
      <c r="M816" t="inlineStr">
        <is>
          <t>Higiene e Limpeza</t>
        </is>
      </c>
      <c r="N816" t="inlineStr">
        <is>
          <t>2338</t>
        </is>
      </c>
      <c r="O816" t="inlineStr">
        <is>
          <t>Documentação Aprovada</t>
        </is>
      </c>
      <c r="P816" t="inlineStr">
        <is>
          <t>Aprovado Diretoria</t>
        </is>
      </c>
      <c r="Q816" t="inlineStr">
        <is>
          <t>Aprovado Caixa</t>
        </is>
      </c>
      <c r="R816" t="inlineStr">
        <is>
          <t>Pago</t>
        </is>
      </c>
      <c r="S816" t="n">
        <v>182</v>
      </c>
      <c r="T816" t="inlineStr">
        <is>
          <t>Love - Shibari - Kamino</t>
        </is>
      </c>
    </row>
    <row r="817">
      <c r="A817" t="n">
        <v>163693</v>
      </c>
      <c r="B817" t="n">
        <v>128</v>
      </c>
      <c r="C817" t="inlineStr">
        <is>
          <t>Love Cabaret</t>
        </is>
      </c>
      <c r="D817" t="inlineStr">
        <is>
          <t>PETTY CASH</t>
        </is>
      </c>
      <c r="E817" t="n">
        <v>52</v>
      </c>
      <c r="F817" s="27" t="n">
        <v>45935</v>
      </c>
      <c r="G817" s="27" t="n">
        <v>45936</v>
      </c>
      <c r="H817" s="27" t="n">
        <v>45936</v>
      </c>
      <c r="I817" s="27" t="n">
        <v>45901</v>
      </c>
      <c r="J817" s="27" t="n">
        <v>45929</v>
      </c>
      <c r="K817" t="inlineStr">
        <is>
          <t>Cartão de Crédito</t>
        </is>
      </c>
      <c r="L817" t="inlineStr">
        <is>
          <t>Utilidades</t>
        </is>
      </c>
      <c r="M817" t="inlineStr">
        <is>
          <t>Material de Consumo - Gelo/ Gas CO2/ Carvao /Velas</t>
        </is>
      </c>
      <c r="N817" t="inlineStr">
        <is>
          <t>39PETTY092025</t>
        </is>
      </c>
      <c r="O817" t="inlineStr">
        <is>
          <t>Documentação Aprovada</t>
        </is>
      </c>
      <c r="P817" t="inlineStr">
        <is>
          <t>Aprovado Diretoria</t>
        </is>
      </c>
      <c r="Q817" t="inlineStr">
        <is>
          <t>Aprovado Caixa</t>
        </is>
      </c>
      <c r="R817" t="inlineStr">
        <is>
          <t>Pago</t>
        </is>
      </c>
      <c r="S817" t="n">
        <v>182</v>
      </c>
      <c r="T817" t="inlineStr">
        <is>
          <t>Love - Shibari - Kamino</t>
        </is>
      </c>
    </row>
    <row r="818">
      <c r="A818" t="n">
        <v>163671</v>
      </c>
      <c r="B818" t="n">
        <v>128</v>
      </c>
      <c r="C818" t="inlineStr">
        <is>
          <t>Love Cabaret</t>
        </is>
      </c>
      <c r="D818" t="inlineStr">
        <is>
          <t>PETTY CASH</t>
        </is>
      </c>
      <c r="E818" t="n">
        <v>19.99</v>
      </c>
      <c r="F818" s="27" t="n">
        <v>45935</v>
      </c>
      <c r="G818" s="27" t="n">
        <v>45936</v>
      </c>
      <c r="H818" s="27" t="n">
        <v>45936</v>
      </c>
      <c r="I818" s="27" t="n">
        <v>45901</v>
      </c>
      <c r="J818" s="27" t="n">
        <v>45929</v>
      </c>
      <c r="K818" t="inlineStr">
        <is>
          <t>Cartão de Crédito</t>
        </is>
      </c>
      <c r="L818" t="inlineStr">
        <is>
          <t>Utilidades</t>
        </is>
      </c>
      <c r="M818" t="inlineStr">
        <is>
          <t>Material de Escritorio</t>
        </is>
      </c>
      <c r="N818" t="inlineStr">
        <is>
          <t>35PETTY092025</t>
        </is>
      </c>
      <c r="O818" t="inlineStr">
        <is>
          <t>Documentação Aprovada</t>
        </is>
      </c>
      <c r="P818" t="inlineStr">
        <is>
          <t>Aprovado Diretoria</t>
        </is>
      </c>
      <c r="Q818" t="inlineStr">
        <is>
          <t>Aprovado Caixa</t>
        </is>
      </c>
      <c r="R818" t="inlineStr">
        <is>
          <t>Pago</t>
        </is>
      </c>
      <c r="S818" t="n">
        <v>182</v>
      </c>
      <c r="T818" t="inlineStr">
        <is>
          <t>Love - Shibari - Kamino</t>
        </is>
      </c>
    </row>
    <row r="819">
      <c r="A819" t="n">
        <v>163669</v>
      </c>
      <c r="B819" t="n">
        <v>128</v>
      </c>
      <c r="C819" t="inlineStr">
        <is>
          <t>Love Cabaret</t>
        </is>
      </c>
      <c r="D819" t="inlineStr">
        <is>
          <t>PETTY CASH</t>
        </is>
      </c>
      <c r="E819" t="n">
        <v>20</v>
      </c>
      <c r="F819" s="27" t="n">
        <v>45935</v>
      </c>
      <c r="G819" s="27" t="n">
        <v>45936</v>
      </c>
      <c r="H819" s="27" t="n">
        <v>45936</v>
      </c>
      <c r="I819" s="27" t="n">
        <v>45901</v>
      </c>
      <c r="J819" s="27" t="n">
        <v>45929</v>
      </c>
      <c r="K819" t="inlineStr">
        <is>
          <t>Cartão de Crédito</t>
        </is>
      </c>
      <c r="L819" t="inlineStr">
        <is>
          <t>Utilidades</t>
        </is>
      </c>
      <c r="M819" t="inlineStr">
        <is>
          <t>Material de Escritorio</t>
        </is>
      </c>
      <c r="N819" t="inlineStr">
        <is>
          <t>34PETTY092025</t>
        </is>
      </c>
      <c r="O819" t="inlineStr">
        <is>
          <t>Documentação Aprovada</t>
        </is>
      </c>
      <c r="P819" t="inlineStr">
        <is>
          <t>Aprovado Diretoria</t>
        </is>
      </c>
      <c r="Q819" t="inlineStr">
        <is>
          <t>Aprovado Caixa</t>
        </is>
      </c>
      <c r="R819" t="inlineStr">
        <is>
          <t>Pago</t>
        </is>
      </c>
      <c r="S819" t="n">
        <v>182</v>
      </c>
      <c r="T819" t="inlineStr">
        <is>
          <t>Love - Shibari - Kamino</t>
        </is>
      </c>
    </row>
    <row r="820">
      <c r="A820" t="n">
        <v>163665</v>
      </c>
      <c r="B820" t="n">
        <v>128</v>
      </c>
      <c r="C820" t="inlineStr">
        <is>
          <t>Love Cabaret</t>
        </is>
      </c>
      <c r="D820" t="inlineStr">
        <is>
          <t>PETTY CASH</t>
        </is>
      </c>
      <c r="E820" t="n">
        <v>71.81999999999999</v>
      </c>
      <c r="F820" s="27" t="n">
        <v>45935</v>
      </c>
      <c r="G820" s="27" t="n">
        <v>45936</v>
      </c>
      <c r="H820" s="27" t="n">
        <v>45936</v>
      </c>
      <c r="I820" s="27" t="n">
        <v>45901</v>
      </c>
      <c r="J820" s="27" t="n">
        <v>45929</v>
      </c>
      <c r="K820" t="inlineStr">
        <is>
          <t>Cartão de Crédito</t>
        </is>
      </c>
      <c r="L820" t="inlineStr">
        <is>
          <t>Utilidades</t>
        </is>
      </c>
      <c r="M820" t="inlineStr">
        <is>
          <t>Higiene e Limpeza</t>
        </is>
      </c>
      <c r="N820" t="inlineStr">
        <is>
          <t>33PETTY092025 (2)</t>
        </is>
      </c>
      <c r="O820" t="inlineStr">
        <is>
          <t>Documentação Aprovada</t>
        </is>
      </c>
      <c r="P820" t="inlineStr">
        <is>
          <t>Aprovado Diretoria</t>
        </is>
      </c>
      <c r="Q820" t="inlineStr">
        <is>
          <t>Aprovado Caixa</t>
        </is>
      </c>
      <c r="R820" t="inlineStr">
        <is>
          <t>Pago</t>
        </is>
      </c>
      <c r="S820" t="n">
        <v>182</v>
      </c>
      <c r="T820" t="inlineStr">
        <is>
          <t>Love - Shibari - Kamino</t>
        </is>
      </c>
    </row>
    <row r="821">
      <c r="A821" t="n">
        <v>163664</v>
      </c>
      <c r="B821" t="n">
        <v>128</v>
      </c>
      <c r="C821" t="inlineStr">
        <is>
          <t>Love Cabaret</t>
        </is>
      </c>
      <c r="D821" t="inlineStr">
        <is>
          <t>PETTY CASH</t>
        </is>
      </c>
      <c r="E821" t="n">
        <v>16.5</v>
      </c>
      <c r="F821" s="27" t="n">
        <v>45935</v>
      </c>
      <c r="G821" s="27" t="n">
        <v>45936</v>
      </c>
      <c r="H821" s="27" t="n">
        <v>45936</v>
      </c>
      <c r="I821" s="27" t="n">
        <v>45901</v>
      </c>
      <c r="J821" s="27" t="n">
        <v>45929</v>
      </c>
      <c r="K821" t="inlineStr">
        <is>
          <t>Cartão de Crédito</t>
        </is>
      </c>
      <c r="L821" t="inlineStr">
        <is>
          <t>Custos Artístico Geral</t>
        </is>
      </c>
      <c r="M821" t="inlineStr">
        <is>
          <t>Alimentação e Transporte</t>
        </is>
      </c>
      <c r="N821" t="inlineStr">
        <is>
          <t>32PETTY092025</t>
        </is>
      </c>
      <c r="O821" t="inlineStr">
        <is>
          <t>Documentação Aprovada</t>
        </is>
      </c>
      <c r="P821" t="inlineStr">
        <is>
          <t>Aprovado Diretoria</t>
        </is>
      </c>
      <c r="Q821" t="inlineStr">
        <is>
          <t>Aprovado Caixa</t>
        </is>
      </c>
      <c r="R821" t="inlineStr">
        <is>
          <t>Pago</t>
        </is>
      </c>
      <c r="S821" t="n">
        <v>182</v>
      </c>
      <c r="T821" t="inlineStr">
        <is>
          <t>Love - Shibari - Kamino</t>
        </is>
      </c>
    </row>
    <row r="822">
      <c r="A822" t="n">
        <v>163662</v>
      </c>
      <c r="B822" t="n">
        <v>128</v>
      </c>
      <c r="C822" t="inlineStr">
        <is>
          <t>Love Cabaret</t>
        </is>
      </c>
      <c r="D822" t="inlineStr">
        <is>
          <t>PETTY CASH</t>
        </is>
      </c>
      <c r="E822" t="n">
        <v>12.46</v>
      </c>
      <c r="F822" s="27" t="n">
        <v>45935</v>
      </c>
      <c r="G822" s="27" t="n">
        <v>45936</v>
      </c>
      <c r="H822" s="27" t="n">
        <v>45936</v>
      </c>
      <c r="I822" s="27" t="n">
        <v>45901</v>
      </c>
      <c r="J822" s="27" t="n">
        <v>45929</v>
      </c>
      <c r="K822" t="inlineStr">
        <is>
          <t>Cartão de Crédito</t>
        </is>
      </c>
      <c r="L822" t="inlineStr">
        <is>
          <t>Custo Mercadoria Vendida</t>
        </is>
      </c>
      <c r="M822" t="inlineStr">
        <is>
          <t>Insumos - Alimentos</t>
        </is>
      </c>
      <c r="N822" t="inlineStr">
        <is>
          <t>31PETTY092025</t>
        </is>
      </c>
      <c r="O822" t="inlineStr">
        <is>
          <t>Documentação Aprovada</t>
        </is>
      </c>
      <c r="P822" t="inlineStr">
        <is>
          <t>Aprovado Diretoria</t>
        </is>
      </c>
      <c r="Q822" t="inlineStr">
        <is>
          <t>Aprovado Caixa</t>
        </is>
      </c>
      <c r="R822" t="inlineStr">
        <is>
          <t>Pago</t>
        </is>
      </c>
      <c r="S822" t="n">
        <v>182</v>
      </c>
      <c r="T822" t="inlineStr">
        <is>
          <t>Love - Shibari - Kamino</t>
        </is>
      </c>
    </row>
    <row r="823">
      <c r="A823" t="n">
        <v>163040</v>
      </c>
      <c r="B823" t="n">
        <v>128</v>
      </c>
      <c r="C823" t="inlineStr">
        <is>
          <t>Love Cabaret</t>
        </is>
      </c>
      <c r="D823" t="inlineStr">
        <is>
          <t>PETTY CASH</t>
        </is>
      </c>
      <c r="E823" t="n">
        <v>16.5</v>
      </c>
      <c r="F823" s="27" t="n">
        <v>45935</v>
      </c>
      <c r="G823" s="27" t="n">
        <v>45936</v>
      </c>
      <c r="H823" s="27" t="n">
        <v>45936</v>
      </c>
      <c r="I823" s="27" t="n">
        <v>45901</v>
      </c>
      <c r="J823" s="27" t="n">
        <v>45925</v>
      </c>
      <c r="K823" t="inlineStr">
        <is>
          <t>Cartão de Crédito</t>
        </is>
      </c>
      <c r="L823" t="inlineStr">
        <is>
          <t>Custos Artístico Geral</t>
        </is>
      </c>
      <c r="M823" t="inlineStr">
        <is>
          <t>Alimentação e Transporte</t>
        </is>
      </c>
      <c r="N823" t="inlineStr">
        <is>
          <t>29PETTY092025</t>
        </is>
      </c>
      <c r="O823" t="inlineStr">
        <is>
          <t>Documentação Aprovada</t>
        </is>
      </c>
      <c r="P823" t="inlineStr">
        <is>
          <t>Aprovado Diretoria</t>
        </is>
      </c>
      <c r="Q823" t="inlineStr">
        <is>
          <t>Aprovado Caixa</t>
        </is>
      </c>
      <c r="R823" t="inlineStr">
        <is>
          <t>Pago</t>
        </is>
      </c>
      <c r="S823" t="n">
        <v>182</v>
      </c>
      <c r="T823" t="inlineStr">
        <is>
          <t>Love - Shibari - Kamino</t>
        </is>
      </c>
    </row>
    <row r="824">
      <c r="A824" t="n">
        <v>163206</v>
      </c>
      <c r="B824" t="n">
        <v>128</v>
      </c>
      <c r="C824" t="inlineStr">
        <is>
          <t>Love Cabaret</t>
        </is>
      </c>
      <c r="D824" t="inlineStr">
        <is>
          <t>PSSS LTDA</t>
        </is>
      </c>
      <c r="E824" t="n">
        <v>176</v>
      </c>
      <c r="F824" s="27" t="n">
        <v>45938</v>
      </c>
      <c r="G824" s="27" t="n">
        <v>45936</v>
      </c>
      <c r="H824" s="27" t="n">
        <v>45936</v>
      </c>
      <c r="I824" s="27" t="n">
        <v>45924</v>
      </c>
      <c r="J824" s="27" t="n">
        <v>45926</v>
      </c>
      <c r="K824" t="inlineStr">
        <is>
          <t>Boleto Bancário</t>
        </is>
      </c>
      <c r="L824" t="inlineStr">
        <is>
          <t>Utilidades</t>
        </is>
      </c>
      <c r="M824" t="inlineStr">
        <is>
          <t>Higiene e Limpeza</t>
        </is>
      </c>
      <c r="N824" t="inlineStr">
        <is>
          <t>2333</t>
        </is>
      </c>
      <c r="O824" t="inlineStr">
        <is>
          <t>Documentação Aprovada</t>
        </is>
      </c>
      <c r="P824" t="inlineStr">
        <is>
          <t>Aprovado Diretoria</t>
        </is>
      </c>
      <c r="Q824" t="inlineStr">
        <is>
          <t>Aprovado Caixa</t>
        </is>
      </c>
      <c r="R824" t="inlineStr">
        <is>
          <t>Pago</t>
        </is>
      </c>
      <c r="S824" t="n">
        <v>182</v>
      </c>
      <c r="T824" t="inlineStr">
        <is>
          <t>Love - Shibari - Kamino</t>
        </is>
      </c>
    </row>
    <row r="825">
      <c r="A825" t="n">
        <v>163032</v>
      </c>
      <c r="B825" t="n">
        <v>128</v>
      </c>
      <c r="C825" t="inlineStr">
        <is>
          <t>Love Cabaret</t>
        </is>
      </c>
      <c r="D825" t="inlineStr">
        <is>
          <t>PETTY CASH</t>
        </is>
      </c>
      <c r="E825" t="n">
        <v>95</v>
      </c>
      <c r="F825" s="27" t="n">
        <v>45935</v>
      </c>
      <c r="G825" s="27" t="n">
        <v>45936</v>
      </c>
      <c r="H825" s="27" t="n">
        <v>45936</v>
      </c>
      <c r="I825" s="27" t="n">
        <v>45901</v>
      </c>
      <c r="J825" s="27" t="n">
        <v>45925</v>
      </c>
      <c r="K825" t="inlineStr">
        <is>
          <t>Cartão de Crédito</t>
        </is>
      </c>
      <c r="L825" t="inlineStr">
        <is>
          <t>Utilidades</t>
        </is>
      </c>
      <c r="M825" t="inlineStr">
        <is>
          <t>Utensilios</t>
        </is>
      </c>
      <c r="N825" t="inlineStr">
        <is>
          <t>24PETTY092025</t>
        </is>
      </c>
      <c r="O825" t="inlineStr">
        <is>
          <t>Documentação Aprovada</t>
        </is>
      </c>
      <c r="P825" t="inlineStr">
        <is>
          <t>Aprovado Diretoria</t>
        </is>
      </c>
      <c r="Q825" t="inlineStr">
        <is>
          <t>Aprovado Caixa</t>
        </is>
      </c>
      <c r="R825" t="inlineStr">
        <is>
          <t>Pago</t>
        </is>
      </c>
      <c r="S825" t="n">
        <v>182</v>
      </c>
      <c r="T825" t="inlineStr">
        <is>
          <t>Love - Shibari - Kamino</t>
        </is>
      </c>
    </row>
    <row r="826">
      <c r="A826" t="n">
        <v>163232</v>
      </c>
      <c r="B826" t="n">
        <v>128</v>
      </c>
      <c r="C826" t="inlineStr">
        <is>
          <t>Love Cabaret</t>
        </is>
      </c>
      <c r="D826" t="inlineStr">
        <is>
          <t xml:space="preserve">DISTRIBUIDORA DE CARNES CANTAREIRA </t>
        </is>
      </c>
      <c r="E826" t="n">
        <v>249.6</v>
      </c>
      <c r="F826" s="27" t="n">
        <v>45936</v>
      </c>
      <c r="G826" s="27" t="n">
        <v>45936</v>
      </c>
      <c r="H826" s="27" t="n">
        <v>45936</v>
      </c>
      <c r="I826" s="27" t="n">
        <v>45922</v>
      </c>
      <c r="J826" s="27" t="n">
        <v>45926</v>
      </c>
      <c r="K826" t="inlineStr">
        <is>
          <t>Boleto Bancário</t>
        </is>
      </c>
      <c r="L826" t="inlineStr">
        <is>
          <t>Custo Mercadoria Vendida</t>
        </is>
      </c>
      <c r="M826" t="inlineStr">
        <is>
          <t>Insumos - Alimentos</t>
        </is>
      </c>
      <c r="N826" t="inlineStr">
        <is>
          <t>45613</t>
        </is>
      </c>
      <c r="O826" t="inlineStr">
        <is>
          <t>Documentação Aprovada</t>
        </is>
      </c>
      <c r="P826" t="inlineStr">
        <is>
          <t>Aprovado Diretoria</t>
        </is>
      </c>
      <c r="Q826" t="inlineStr">
        <is>
          <t>Aprovado Caixa</t>
        </is>
      </c>
      <c r="R826" t="inlineStr">
        <is>
          <t>Pago</t>
        </is>
      </c>
      <c r="S826" t="n">
        <v>182</v>
      </c>
      <c r="T826" t="inlineStr">
        <is>
          <t>Love - Shibari - Kamino</t>
        </is>
      </c>
    </row>
    <row r="827">
      <c r="A827" t="n">
        <v>163218</v>
      </c>
      <c r="B827" t="n">
        <v>128</v>
      </c>
      <c r="C827" t="inlineStr">
        <is>
          <t>Love Cabaret</t>
        </is>
      </c>
      <c r="D827" t="inlineStr">
        <is>
          <t>MULTIFRANGOS COMERCIO DE ALIMENTOS LTDA</t>
        </is>
      </c>
      <c r="E827" t="n">
        <v>570.0599999999999</v>
      </c>
      <c r="F827" s="27" t="n">
        <v>45937</v>
      </c>
      <c r="G827" s="27" t="n">
        <v>45936</v>
      </c>
      <c r="H827" s="27" t="n">
        <v>45936</v>
      </c>
      <c r="I827" s="27" t="n">
        <v>45923</v>
      </c>
      <c r="J827" s="27" t="n">
        <v>45926</v>
      </c>
      <c r="K827" t="inlineStr">
        <is>
          <t>Boleto Bancário</t>
        </is>
      </c>
      <c r="L827" t="inlineStr">
        <is>
          <t>Custo Mercadoria Vendida</t>
        </is>
      </c>
      <c r="M827" t="inlineStr">
        <is>
          <t>Insumos - Alimentos</t>
        </is>
      </c>
      <c r="N827" t="inlineStr">
        <is>
          <t>918070</t>
        </is>
      </c>
      <c r="O827" t="inlineStr">
        <is>
          <t>Documentação Aprovada</t>
        </is>
      </c>
      <c r="P827" t="inlineStr">
        <is>
          <t>Aprovado Diretoria</t>
        </is>
      </c>
      <c r="Q827" t="inlineStr">
        <is>
          <t>Aprovado Caixa</t>
        </is>
      </c>
      <c r="R827" t="inlineStr">
        <is>
          <t>Pago</t>
        </is>
      </c>
      <c r="S827" t="n">
        <v>182</v>
      </c>
      <c r="T827" t="inlineStr">
        <is>
          <t>Love - Shibari - Kamino</t>
        </is>
      </c>
    </row>
    <row r="828">
      <c r="A828" t="n">
        <v>163037</v>
      </c>
      <c r="B828" t="n">
        <v>128</v>
      </c>
      <c r="C828" t="inlineStr">
        <is>
          <t>Love Cabaret</t>
        </is>
      </c>
      <c r="D828" t="inlineStr">
        <is>
          <t>PETTY CASH</t>
        </is>
      </c>
      <c r="E828" t="n">
        <v>124.05</v>
      </c>
      <c r="F828" s="27" t="n">
        <v>45935</v>
      </c>
      <c r="G828" s="27" t="n">
        <v>45936</v>
      </c>
      <c r="H828" s="27" t="n">
        <v>45936</v>
      </c>
      <c r="I828" s="27" t="n">
        <v>45901</v>
      </c>
      <c r="J828" s="27" t="n">
        <v>45925</v>
      </c>
      <c r="K828" t="inlineStr">
        <is>
          <t>Cartão de Crédito</t>
        </is>
      </c>
      <c r="L828" t="inlineStr">
        <is>
          <t>Utilidades</t>
        </is>
      </c>
      <c r="M828" t="inlineStr">
        <is>
          <t>Serviços Graficos</t>
        </is>
      </c>
      <c r="N828" t="inlineStr">
        <is>
          <t>28PETTY092025</t>
        </is>
      </c>
      <c r="O828" t="inlineStr">
        <is>
          <t>Documentação Aprovada</t>
        </is>
      </c>
      <c r="P828" t="inlineStr">
        <is>
          <t>Aprovado Diretoria</t>
        </is>
      </c>
      <c r="Q828" t="inlineStr">
        <is>
          <t>Aprovado Caixa</t>
        </is>
      </c>
      <c r="R828" t="inlineStr">
        <is>
          <t>Pago</t>
        </is>
      </c>
      <c r="S828" t="n">
        <v>182</v>
      </c>
      <c r="T828" t="inlineStr">
        <is>
          <t>Love - Shibari - Kamino</t>
        </is>
      </c>
    </row>
    <row r="829">
      <c r="A829" t="n">
        <v>163036</v>
      </c>
      <c r="B829" t="n">
        <v>128</v>
      </c>
      <c r="C829" t="inlineStr">
        <is>
          <t>Love Cabaret</t>
        </is>
      </c>
      <c r="D829" t="inlineStr">
        <is>
          <t>PETTY CASH</t>
        </is>
      </c>
      <c r="E829" t="n">
        <v>28.9</v>
      </c>
      <c r="F829" s="27" t="n">
        <v>45935</v>
      </c>
      <c r="G829" s="27" t="n">
        <v>45936</v>
      </c>
      <c r="H829" s="27" t="n">
        <v>45936</v>
      </c>
      <c r="I829" s="27" t="n">
        <v>45901</v>
      </c>
      <c r="J829" s="27" t="n">
        <v>45925</v>
      </c>
      <c r="K829" t="inlineStr">
        <is>
          <t>Cartão de Crédito</t>
        </is>
      </c>
      <c r="L829" t="inlineStr">
        <is>
          <t>Utilidades</t>
        </is>
      </c>
      <c r="M829" t="inlineStr">
        <is>
          <t>Utensilios</t>
        </is>
      </c>
      <c r="N829" t="inlineStr">
        <is>
          <t>27PETTY092025</t>
        </is>
      </c>
      <c r="O829" t="inlineStr">
        <is>
          <t>Documentação Aprovada</t>
        </is>
      </c>
      <c r="P829" t="inlineStr">
        <is>
          <t>Aprovado Diretoria</t>
        </is>
      </c>
      <c r="Q829" t="inlineStr">
        <is>
          <t>Aprovado Caixa</t>
        </is>
      </c>
      <c r="R829" t="inlineStr">
        <is>
          <t>Pago</t>
        </is>
      </c>
      <c r="S829" t="n">
        <v>182</v>
      </c>
      <c r="T829" t="inlineStr">
        <is>
          <t>Love - Shibari - Kamino</t>
        </is>
      </c>
    </row>
    <row r="830">
      <c r="A830" t="n">
        <v>163031</v>
      </c>
      <c r="B830" t="n">
        <v>128</v>
      </c>
      <c r="C830" t="inlineStr">
        <is>
          <t>Love Cabaret</t>
        </is>
      </c>
      <c r="D830" t="inlineStr">
        <is>
          <t>PETTY CASH</t>
        </is>
      </c>
      <c r="E830" t="n">
        <v>35</v>
      </c>
      <c r="F830" s="27" t="n">
        <v>45935</v>
      </c>
      <c r="G830" s="27" t="n">
        <v>45936</v>
      </c>
      <c r="H830" s="27" t="n">
        <v>45936</v>
      </c>
      <c r="I830" s="27" t="n">
        <v>45901</v>
      </c>
      <c r="J830" s="27" t="n">
        <v>45925</v>
      </c>
      <c r="K830" t="inlineStr">
        <is>
          <t>Cartão de Crédito</t>
        </is>
      </c>
      <c r="L830" t="inlineStr">
        <is>
          <t>Utilidades</t>
        </is>
      </c>
      <c r="M830" t="inlineStr">
        <is>
          <t>Serviço de Lavanderia</t>
        </is>
      </c>
      <c r="N830" t="inlineStr">
        <is>
          <t>23PETTY092025</t>
        </is>
      </c>
      <c r="O830" t="inlineStr">
        <is>
          <t>Documentação Aprovada</t>
        </is>
      </c>
      <c r="P830" t="inlineStr">
        <is>
          <t>Aprovado Diretoria</t>
        </is>
      </c>
      <c r="Q830" t="inlineStr">
        <is>
          <t>Aprovado Caixa</t>
        </is>
      </c>
      <c r="R830" t="inlineStr">
        <is>
          <t>Pago</t>
        </is>
      </c>
      <c r="S830" t="n">
        <v>182</v>
      </c>
      <c r="T830" t="inlineStr">
        <is>
          <t>Love - Shibari - Kamino</t>
        </is>
      </c>
    </row>
    <row r="831">
      <c r="A831" t="n">
        <v>163035</v>
      </c>
      <c r="B831" t="n">
        <v>128</v>
      </c>
      <c r="C831" t="inlineStr">
        <is>
          <t>Love Cabaret</t>
        </is>
      </c>
      <c r="D831" t="inlineStr">
        <is>
          <t>PETTY CASH</t>
        </is>
      </c>
      <c r="E831" t="n">
        <v>42.58</v>
      </c>
      <c r="F831" s="27" t="n">
        <v>45935</v>
      </c>
      <c r="G831" s="27" t="n">
        <v>45936</v>
      </c>
      <c r="H831" s="27" t="n">
        <v>45936</v>
      </c>
      <c r="I831" s="27" t="n">
        <v>45901</v>
      </c>
      <c r="J831" s="27" t="n">
        <v>45925</v>
      </c>
      <c r="K831" t="inlineStr">
        <is>
          <t>Cartão de Crédito</t>
        </is>
      </c>
      <c r="L831" t="inlineStr">
        <is>
          <t>Utilidades</t>
        </is>
      </c>
      <c r="M831" t="inlineStr">
        <is>
          <t>Utensilios</t>
        </is>
      </c>
      <c r="N831" t="inlineStr">
        <is>
          <t>26PETTY092025</t>
        </is>
      </c>
      <c r="O831" t="inlineStr">
        <is>
          <t>Documentação Aprovada</t>
        </is>
      </c>
      <c r="P831" t="inlineStr">
        <is>
          <t>Aprovado Diretoria</t>
        </is>
      </c>
      <c r="Q831" t="inlineStr">
        <is>
          <t>Aprovado Caixa</t>
        </is>
      </c>
      <c r="R831" t="inlineStr">
        <is>
          <t>Pago</t>
        </is>
      </c>
      <c r="S831" t="n">
        <v>182</v>
      </c>
      <c r="T831" t="inlineStr">
        <is>
          <t>Love - Shibari - Kamino</t>
        </is>
      </c>
    </row>
    <row r="832">
      <c r="A832" t="n">
        <v>163034</v>
      </c>
      <c r="B832" t="n">
        <v>128</v>
      </c>
      <c r="C832" t="inlineStr">
        <is>
          <t>Love Cabaret</t>
        </is>
      </c>
      <c r="D832" t="inlineStr">
        <is>
          <t>PETTY CASH</t>
        </is>
      </c>
      <c r="E832" t="n">
        <v>52.66</v>
      </c>
      <c r="F832" s="27" t="n">
        <v>45935</v>
      </c>
      <c r="G832" s="27" t="n">
        <v>45936</v>
      </c>
      <c r="H832" s="27" t="n">
        <v>45936</v>
      </c>
      <c r="I832" s="27" t="n">
        <v>45901</v>
      </c>
      <c r="J832" s="27" t="n">
        <v>45925</v>
      </c>
      <c r="K832" t="inlineStr">
        <is>
          <t>Cartão de Crédito</t>
        </is>
      </c>
      <c r="L832" t="inlineStr">
        <is>
          <t>Custo Mercadoria Vendida</t>
        </is>
      </c>
      <c r="M832" t="inlineStr">
        <is>
          <t>Insumos - Alimentos</t>
        </is>
      </c>
      <c r="N832" t="inlineStr">
        <is>
          <t>25PETTY092025</t>
        </is>
      </c>
      <c r="O832" t="inlineStr">
        <is>
          <t>Documentação Aprovada</t>
        </is>
      </c>
      <c r="P832" t="inlineStr">
        <is>
          <t>Aprovado Diretoria</t>
        </is>
      </c>
      <c r="Q832" t="inlineStr">
        <is>
          <t>Aprovado Caixa</t>
        </is>
      </c>
      <c r="R832" t="inlineStr">
        <is>
          <t>Pago</t>
        </is>
      </c>
      <c r="S832" t="n">
        <v>182</v>
      </c>
      <c r="T832" t="inlineStr">
        <is>
          <t>Love - Shibari - Kamino</t>
        </is>
      </c>
    </row>
    <row r="833">
      <c r="A833" t="n">
        <v>163674</v>
      </c>
      <c r="B833" t="n">
        <v>128</v>
      </c>
      <c r="C833" t="inlineStr">
        <is>
          <t>Love Cabaret</t>
        </is>
      </c>
      <c r="D833" t="inlineStr">
        <is>
          <t>PETTY CASH</t>
        </is>
      </c>
      <c r="E833" t="n">
        <v>40</v>
      </c>
      <c r="F833" s="27" t="n">
        <v>45935</v>
      </c>
      <c r="G833" s="27" t="n">
        <v>45936</v>
      </c>
      <c r="H833" s="27" t="n">
        <v>45936</v>
      </c>
      <c r="I833" s="27" t="n">
        <v>45901</v>
      </c>
      <c r="J833" s="27" t="n">
        <v>45929</v>
      </c>
      <c r="K833" t="inlineStr">
        <is>
          <t>Cartão de Crédito</t>
        </is>
      </c>
      <c r="L833" t="inlineStr">
        <is>
          <t>Custo Mercadoria Vendida</t>
        </is>
      </c>
      <c r="M833" t="inlineStr">
        <is>
          <t>Insumos - Bebidas</t>
        </is>
      </c>
      <c r="N833" t="inlineStr">
        <is>
          <t>36PETTY092025</t>
        </is>
      </c>
      <c r="O833" t="inlineStr">
        <is>
          <t>Documentação Aprovada</t>
        </is>
      </c>
      <c r="P833" t="inlineStr">
        <is>
          <t>Aprovado Diretoria</t>
        </is>
      </c>
      <c r="Q833" t="inlineStr">
        <is>
          <t>Aprovado Caixa</t>
        </is>
      </c>
      <c r="R833" t="inlineStr">
        <is>
          <t>Pago</t>
        </is>
      </c>
      <c r="S833" t="n">
        <v>182</v>
      </c>
      <c r="T833" t="inlineStr">
        <is>
          <t>Love - Shibari - Kamino</t>
        </is>
      </c>
    </row>
    <row r="834">
      <c r="A834" t="n">
        <v>163240</v>
      </c>
      <c r="B834" t="n">
        <v>128</v>
      </c>
      <c r="C834" t="inlineStr">
        <is>
          <t>Love Cabaret</t>
        </is>
      </c>
      <c r="D834" t="inlineStr">
        <is>
          <t>HORTIFRUTIGRANJEIRO RODRIGUES LTDA</t>
        </is>
      </c>
      <c r="E834" t="n">
        <v>385</v>
      </c>
      <c r="F834" s="27" t="n">
        <v>45938</v>
      </c>
      <c r="G834" s="27" t="n">
        <v>45936</v>
      </c>
      <c r="H834" s="27" t="n">
        <v>45936</v>
      </c>
      <c r="I834" s="27" t="n">
        <v>45922</v>
      </c>
      <c r="J834" s="27" t="n">
        <v>45926</v>
      </c>
      <c r="K834" t="inlineStr">
        <is>
          <t>Boleto Bancário</t>
        </is>
      </c>
      <c r="L834" t="inlineStr">
        <is>
          <t>Custo Mercadoria Vendida</t>
        </is>
      </c>
      <c r="M834" t="inlineStr">
        <is>
          <t>Insumos - Alimentos</t>
        </is>
      </c>
      <c r="N834" t="inlineStr">
        <is>
          <t>12933</t>
        </is>
      </c>
      <c r="O834" t="inlineStr">
        <is>
          <t>Documentação Aprovada</t>
        </is>
      </c>
      <c r="P834" t="inlineStr">
        <is>
          <t>Aprovado Diretoria</t>
        </is>
      </c>
      <c r="Q834" t="inlineStr">
        <is>
          <t>Aprovado Caixa</t>
        </is>
      </c>
      <c r="R834" t="inlineStr">
        <is>
          <t>Pago</t>
        </is>
      </c>
      <c r="S834" t="n">
        <v>182</v>
      </c>
      <c r="T834" t="inlineStr">
        <is>
          <t>Love - Shibari - Kamino</t>
        </is>
      </c>
    </row>
    <row r="835">
      <c r="A835" t="n">
        <v>163692</v>
      </c>
      <c r="B835" t="n">
        <v>128</v>
      </c>
      <c r="C835" t="inlineStr">
        <is>
          <t>Love Cabaret</t>
        </is>
      </c>
      <c r="D835" t="inlineStr">
        <is>
          <t>PETTY CASH</t>
        </is>
      </c>
      <c r="E835" t="n">
        <v>43.8</v>
      </c>
      <c r="F835" s="27" t="n">
        <v>45935</v>
      </c>
      <c r="G835" s="27" t="n">
        <v>45936</v>
      </c>
      <c r="H835" s="27" t="n">
        <v>45936</v>
      </c>
      <c r="I835" s="27" t="n">
        <v>45901</v>
      </c>
      <c r="J835" s="27" t="n">
        <v>45929</v>
      </c>
      <c r="K835" t="inlineStr">
        <is>
          <t>Cartão de Crédito</t>
        </is>
      </c>
      <c r="L835" t="inlineStr">
        <is>
          <t>Utilidades</t>
        </is>
      </c>
      <c r="M835" t="inlineStr">
        <is>
          <t>Utensilios</t>
        </is>
      </c>
      <c r="N835" t="inlineStr">
        <is>
          <t xml:space="preserve"> 38PETTY092025</t>
        </is>
      </c>
      <c r="O835" t="inlineStr">
        <is>
          <t>Documentação Aprovada</t>
        </is>
      </c>
      <c r="P835" t="inlineStr">
        <is>
          <t>Aprovado Diretoria</t>
        </is>
      </c>
      <c r="Q835" t="inlineStr">
        <is>
          <t>Aprovado Caixa</t>
        </is>
      </c>
      <c r="R835" t="inlineStr">
        <is>
          <t>Pago</t>
        </is>
      </c>
      <c r="S835" t="n">
        <v>182</v>
      </c>
      <c r="T835" t="inlineStr">
        <is>
          <t>Love - Shibari - Kamino</t>
        </is>
      </c>
    </row>
    <row r="836">
      <c r="A836" t="n">
        <v>163691</v>
      </c>
      <c r="B836" t="n">
        <v>128</v>
      </c>
      <c r="C836" t="inlineStr">
        <is>
          <t>Love Cabaret</t>
        </is>
      </c>
      <c r="D836" t="inlineStr">
        <is>
          <t>PETTY CASH</t>
        </is>
      </c>
      <c r="E836" t="n">
        <v>49.5</v>
      </c>
      <c r="F836" s="27" t="n">
        <v>45935</v>
      </c>
      <c r="G836" s="27" t="n">
        <v>45936</v>
      </c>
      <c r="H836" s="27" t="n">
        <v>45936</v>
      </c>
      <c r="I836" s="27" t="n">
        <v>45901</v>
      </c>
      <c r="J836" s="27" t="n">
        <v>45929</v>
      </c>
      <c r="K836" t="inlineStr">
        <is>
          <t>Cartão de Crédito</t>
        </is>
      </c>
      <c r="L836" t="inlineStr">
        <is>
          <t>Utilidades</t>
        </is>
      </c>
      <c r="M836" t="inlineStr">
        <is>
          <t>Utensilios</t>
        </is>
      </c>
      <c r="N836" t="inlineStr">
        <is>
          <t>37PETTY092025</t>
        </is>
      </c>
      <c r="O836" t="inlineStr">
        <is>
          <t>Documentação Aprovada</t>
        </is>
      </c>
      <c r="P836" t="inlineStr">
        <is>
          <t>Aprovado Diretoria</t>
        </is>
      </c>
      <c r="Q836" t="inlineStr">
        <is>
          <t>Aprovado Caixa</t>
        </is>
      </c>
      <c r="R836" t="inlineStr">
        <is>
          <t>Pago</t>
        </is>
      </c>
      <c r="S836" t="n">
        <v>182</v>
      </c>
      <c r="T836" t="inlineStr">
        <is>
          <t>Love - Shibari - Kamino</t>
        </is>
      </c>
    </row>
    <row r="837">
      <c r="A837" t="n">
        <v>163241</v>
      </c>
      <c r="B837" t="n">
        <v>128</v>
      </c>
      <c r="C837" t="inlineStr">
        <is>
          <t>Love Cabaret</t>
        </is>
      </c>
      <c r="D837" t="inlineStr">
        <is>
          <t>HORTIFRUTIGRANJEIRO RODRIGUES LTDA</t>
        </is>
      </c>
      <c r="E837" t="n">
        <v>157.3</v>
      </c>
      <c r="F837" s="27" t="n">
        <v>45938</v>
      </c>
      <c r="G837" s="27" t="n">
        <v>45936</v>
      </c>
      <c r="H837" s="27" t="n">
        <v>45936</v>
      </c>
      <c r="I837" s="27" t="n">
        <v>45922</v>
      </c>
      <c r="J837" s="27" t="n">
        <v>45926</v>
      </c>
      <c r="K837" t="inlineStr">
        <is>
          <t>Boleto Bancário</t>
        </is>
      </c>
      <c r="L837" t="inlineStr">
        <is>
          <t>Custo Mercadoria Vendida</t>
        </is>
      </c>
      <c r="M837" t="inlineStr">
        <is>
          <t>Insumos - Alimentos</t>
        </is>
      </c>
      <c r="N837" t="inlineStr">
        <is>
          <t>12954</t>
        </is>
      </c>
      <c r="O837" t="inlineStr">
        <is>
          <t>Documentação Aprovada</t>
        </is>
      </c>
      <c r="P837" t="inlineStr">
        <is>
          <t>Aprovado Diretoria</t>
        </is>
      </c>
      <c r="Q837" t="inlineStr">
        <is>
          <t>Aprovado Caixa</t>
        </is>
      </c>
      <c r="R837" t="inlineStr">
        <is>
          <t>Pago</t>
        </is>
      </c>
      <c r="S837" t="n">
        <v>182</v>
      </c>
      <c r="T837" t="inlineStr">
        <is>
          <t>Love - Shibari - Kamino</t>
        </is>
      </c>
    </row>
    <row r="838">
      <c r="A838" t="n">
        <v>163244</v>
      </c>
      <c r="B838" t="n">
        <v>128</v>
      </c>
      <c r="C838" t="inlineStr">
        <is>
          <t>Love Cabaret</t>
        </is>
      </c>
      <c r="D838" t="inlineStr">
        <is>
          <t xml:space="preserve"> FAMIGERADA COMERCIO E EXPORTACAO DE BEBIDAS LTDA</t>
        </is>
      </c>
      <c r="E838" t="n">
        <v>220</v>
      </c>
      <c r="F838" s="27" t="n">
        <v>45937</v>
      </c>
      <c r="G838" s="27" t="n">
        <v>45936</v>
      </c>
      <c r="H838" s="27" t="n">
        <v>45936</v>
      </c>
      <c r="I838" s="27" t="n">
        <v>45923</v>
      </c>
      <c r="J838" s="27" t="n">
        <v>45926</v>
      </c>
      <c r="K838" t="inlineStr">
        <is>
          <t>Boleto Bancário</t>
        </is>
      </c>
      <c r="L838" t="inlineStr">
        <is>
          <t>Custo Mercadoria Vendida</t>
        </is>
      </c>
      <c r="M838" t="inlineStr">
        <is>
          <t>Insumos - Bebidas</t>
        </is>
      </c>
      <c r="N838" t="inlineStr">
        <is>
          <t>1819</t>
        </is>
      </c>
      <c r="O838" t="inlineStr">
        <is>
          <t>Documentação Aprovada</t>
        </is>
      </c>
      <c r="P838" t="inlineStr">
        <is>
          <t>Aprovado Diretoria</t>
        </is>
      </c>
      <c r="Q838" t="inlineStr">
        <is>
          <t>Aprovado Caixa</t>
        </is>
      </c>
      <c r="R838" t="inlineStr">
        <is>
          <t>Pago</t>
        </is>
      </c>
      <c r="S838" t="n">
        <v>182</v>
      </c>
      <c r="T838" t="inlineStr">
        <is>
          <t>Love - Shibari - Kamino</t>
        </is>
      </c>
    </row>
    <row r="839">
      <c r="A839" t="n">
        <v>163159</v>
      </c>
      <c r="B839" t="n">
        <v>128</v>
      </c>
      <c r="C839" t="inlineStr">
        <is>
          <t>Love Cabaret</t>
        </is>
      </c>
      <c r="D839" t="inlineStr">
        <is>
          <t>PETTY CASH</t>
        </is>
      </c>
      <c r="E839" t="n">
        <v>3.58</v>
      </c>
      <c r="F839" s="27" t="n">
        <v>45935</v>
      </c>
      <c r="G839" s="27" t="n">
        <v>45936</v>
      </c>
      <c r="H839" s="27" t="n">
        <v>45936</v>
      </c>
      <c r="I839" s="27" t="n">
        <v>45901</v>
      </c>
      <c r="J839" s="27" t="n">
        <v>45926</v>
      </c>
      <c r="K839" t="inlineStr">
        <is>
          <t>Cartão de Crédito</t>
        </is>
      </c>
      <c r="L839" t="inlineStr">
        <is>
          <t>Custo Mercadoria Vendida</t>
        </is>
      </c>
      <c r="M839" t="inlineStr">
        <is>
          <t>Insumos - Alimentos</t>
        </is>
      </c>
      <c r="N839" t="inlineStr">
        <is>
          <t xml:space="preserve"> 30PETTY092025 </t>
        </is>
      </c>
      <c r="O839" t="inlineStr">
        <is>
          <t>Documentação Aprovada</t>
        </is>
      </c>
      <c r="P839" t="inlineStr">
        <is>
          <t>Aprovado Diretoria</t>
        </is>
      </c>
      <c r="Q839" t="inlineStr">
        <is>
          <t>Aprovado Caixa</t>
        </is>
      </c>
      <c r="R839" t="inlineStr">
        <is>
          <t>Pago</t>
        </is>
      </c>
      <c r="S839" t="n">
        <v>182</v>
      </c>
      <c r="T839" t="inlineStr">
        <is>
          <t>Love - Shibari - Kamino</t>
        </is>
      </c>
    </row>
    <row r="840">
      <c r="A840" t="n">
        <v>163242</v>
      </c>
      <c r="B840" t="n">
        <v>128</v>
      </c>
      <c r="C840" t="inlineStr">
        <is>
          <t>Love Cabaret</t>
        </is>
      </c>
      <c r="D840" t="inlineStr">
        <is>
          <t>ASSAZ ORGANICA INDUSTRIA E COMERCIO DE ALIMENTOS LTDA</t>
        </is>
      </c>
      <c r="E840" t="n">
        <v>89.5</v>
      </c>
      <c r="F840" s="27" t="n">
        <v>45938</v>
      </c>
      <c r="G840" s="27" t="n">
        <v>45936</v>
      </c>
      <c r="H840" s="27" t="n">
        <v>45936</v>
      </c>
      <c r="I840" s="27" t="n">
        <v>45923</v>
      </c>
      <c r="J840" s="27" t="n">
        <v>45926</v>
      </c>
      <c r="K840" t="inlineStr">
        <is>
          <t>Boleto Bancário</t>
        </is>
      </c>
      <c r="L840" t="inlineStr">
        <is>
          <t>Custo Mercadoria Vendida</t>
        </is>
      </c>
      <c r="M840" t="inlineStr">
        <is>
          <t>Insumos - Alimentos</t>
        </is>
      </c>
      <c r="N840" t="inlineStr">
        <is>
          <t>23356</t>
        </is>
      </c>
      <c r="O840" t="inlineStr">
        <is>
          <t>Documentação Aprovada</t>
        </is>
      </c>
      <c r="P840" t="inlineStr">
        <is>
          <t>Aprovado Diretoria</t>
        </is>
      </c>
      <c r="Q840" t="inlineStr">
        <is>
          <t>Aprovado Caixa</t>
        </is>
      </c>
      <c r="R840" t="inlineStr">
        <is>
          <t>Pago</t>
        </is>
      </c>
      <c r="S840" t="n">
        <v>182</v>
      </c>
      <c r="T840" t="inlineStr">
        <is>
          <t>Love - Shibari - Kamino</t>
        </is>
      </c>
    </row>
    <row r="841">
      <c r="A841" t="n">
        <v>163243</v>
      </c>
      <c r="B841" t="n">
        <v>128</v>
      </c>
      <c r="C841" t="inlineStr">
        <is>
          <t>Love Cabaret</t>
        </is>
      </c>
      <c r="D841" t="inlineStr">
        <is>
          <t>CG FOOD´S DISTRIBUIDORA DE ALIMENTOS LTDA</t>
        </is>
      </c>
      <c r="E841" t="n">
        <v>302.9</v>
      </c>
      <c r="F841" s="27" t="n">
        <v>45913</v>
      </c>
      <c r="G841" s="27" t="n">
        <v>45936</v>
      </c>
      <c r="H841" s="27" t="n">
        <v>45936</v>
      </c>
      <c r="I841" s="27" t="n">
        <v>45922</v>
      </c>
      <c r="J841" s="27" t="n">
        <v>45926</v>
      </c>
      <c r="K841" t="inlineStr">
        <is>
          <t>Boleto Bancário</t>
        </is>
      </c>
      <c r="L841" t="inlineStr">
        <is>
          <t>Custo Mercadoria Vendida</t>
        </is>
      </c>
      <c r="M841" t="inlineStr">
        <is>
          <t>Insumos - Alimentos</t>
        </is>
      </c>
      <c r="N841" t="inlineStr">
        <is>
          <t>165110</t>
        </is>
      </c>
      <c r="O841" t="inlineStr">
        <is>
          <t>Documentação Aprovada</t>
        </is>
      </c>
      <c r="P841" t="inlineStr">
        <is>
          <t>Aprovado Diretoria</t>
        </is>
      </c>
      <c r="Q841" t="inlineStr">
        <is>
          <t>Aprovado Caixa</t>
        </is>
      </c>
      <c r="R841" t="inlineStr">
        <is>
          <t>Pago</t>
        </is>
      </c>
      <c r="S841" t="n">
        <v>182</v>
      </c>
      <c r="T841" t="inlineStr">
        <is>
          <t>Love - Shibari - Kamino</t>
        </is>
      </c>
    </row>
    <row r="842">
      <c r="A842" t="n">
        <v>161555</v>
      </c>
      <c r="B842" t="n">
        <v>128</v>
      </c>
      <c r="C842" t="inlineStr">
        <is>
          <t>Love Cabaret</t>
        </is>
      </c>
      <c r="D842" t="inlineStr">
        <is>
          <t>PJ23824129000110 - FELIPE DA COSTA SANTOS</t>
        </is>
      </c>
      <c r="E842" t="n">
        <v>8840</v>
      </c>
      <c r="F842" s="27" t="n">
        <v>45931</v>
      </c>
      <c r="G842" s="27" t="n">
        <v>45932</v>
      </c>
      <c r="H842" s="27" t="n">
        <v>45932</v>
      </c>
      <c r="I842" s="27" t="n">
        <v>45901</v>
      </c>
      <c r="J842" s="27" t="n">
        <v>45917</v>
      </c>
      <c r="K842" t="inlineStr">
        <is>
          <t>Transferência Bancária ou Pix</t>
        </is>
      </c>
      <c r="L842" t="inlineStr">
        <is>
          <t>Mão de Obra - PJ</t>
        </is>
      </c>
      <c r="M842" t="inlineStr">
        <is>
          <t>MDO PJ Fixo</t>
        </is>
      </c>
      <c r="N842" t="inlineStr">
        <is>
          <t>58/59</t>
        </is>
      </c>
      <c r="O842" t="inlineStr">
        <is>
          <t>Documentação Aprovada</t>
        </is>
      </c>
      <c r="P842" t="inlineStr">
        <is>
          <t>Aprovado Diretoria</t>
        </is>
      </c>
      <c r="Q842" t="inlineStr">
        <is>
          <t>Aprovado Caixa</t>
        </is>
      </c>
      <c r="R842" t="inlineStr">
        <is>
          <t>Pago</t>
        </is>
      </c>
      <c r="S842" t="n">
        <v>182</v>
      </c>
      <c r="T842" t="inlineStr">
        <is>
          <t>Love - Shibari - Kamino</t>
        </is>
      </c>
    </row>
    <row r="843">
      <c r="A843" t="n">
        <v>162364</v>
      </c>
      <c r="B843" t="n">
        <v>128</v>
      </c>
      <c r="C843" t="inlineStr">
        <is>
          <t>Love Cabaret</t>
        </is>
      </c>
      <c r="D843" t="inlineStr">
        <is>
          <t>CEM ENGENHARIA DA MANUTENCAO LTDA</t>
        </is>
      </c>
      <c r="E843" t="n">
        <v>845.5</v>
      </c>
      <c r="F843" s="27" t="n">
        <v>45933</v>
      </c>
      <c r="G843" s="27" t="n">
        <v>45931</v>
      </c>
      <c r="H843" s="27" t="n">
        <v>45931</v>
      </c>
      <c r="I843" s="27" t="n">
        <v>45919</v>
      </c>
      <c r="J843" s="27" t="n">
        <v>45922</v>
      </c>
      <c r="K843" t="inlineStr">
        <is>
          <t>Boleto Bancário</t>
        </is>
      </c>
      <c r="L843" t="inlineStr">
        <is>
          <t>Manutenção</t>
        </is>
      </c>
      <c r="M843" t="inlineStr">
        <is>
          <t>Manutenção de Equipamentos</t>
        </is>
      </c>
      <c r="N843" t="inlineStr">
        <is>
          <t>3120</t>
        </is>
      </c>
      <c r="O843" t="inlineStr">
        <is>
          <t>Documentação Aprovada</t>
        </is>
      </c>
      <c r="P843" t="inlineStr">
        <is>
          <t>Aprovado Diretoria</t>
        </is>
      </c>
      <c r="Q843" t="inlineStr">
        <is>
          <t>Aprovado Caixa</t>
        </is>
      </c>
      <c r="R843" t="inlineStr">
        <is>
          <t>Pago</t>
        </is>
      </c>
      <c r="S843" t="n">
        <v>182</v>
      </c>
      <c r="T843" t="inlineStr">
        <is>
          <t>Love - Shibari - Kamino</t>
        </is>
      </c>
    </row>
    <row r="844">
      <c r="A844" t="n">
        <v>162958</v>
      </c>
      <c r="B844" t="n">
        <v>128</v>
      </c>
      <c r="C844" t="inlineStr">
        <is>
          <t>Love Cabaret</t>
        </is>
      </c>
      <c r="D844" t="inlineStr">
        <is>
          <t>CECILIA TSUYACO ARAKI SILVA LTDA</t>
        </is>
      </c>
      <c r="E844" t="n">
        <v>165.4</v>
      </c>
      <c r="F844" s="27" t="n">
        <v>45932</v>
      </c>
      <c r="G844" s="27" t="n">
        <v>45931</v>
      </c>
      <c r="H844" s="27" t="n">
        <v>45931</v>
      </c>
      <c r="I844" s="27" t="n">
        <v>45918</v>
      </c>
      <c r="J844" s="27" t="n">
        <v>45924</v>
      </c>
      <c r="K844" t="inlineStr">
        <is>
          <t>Boleto Bancário</t>
        </is>
      </c>
      <c r="L844" t="inlineStr">
        <is>
          <t>Custo Mercadoria Vendida</t>
        </is>
      </c>
      <c r="M844" t="inlineStr">
        <is>
          <t>Insumos - Alimentos</t>
        </is>
      </c>
      <c r="N844" t="inlineStr">
        <is>
          <t>378320</t>
        </is>
      </c>
      <c r="O844" t="inlineStr">
        <is>
          <t>Documentação Aprovada</t>
        </is>
      </c>
      <c r="P844" t="inlineStr">
        <is>
          <t>Aprovado Diretoria</t>
        </is>
      </c>
      <c r="Q844" t="inlineStr">
        <is>
          <t>Aprovado Caixa</t>
        </is>
      </c>
      <c r="R844" t="inlineStr">
        <is>
          <t>Pago</t>
        </is>
      </c>
      <c r="S844" t="n">
        <v>182</v>
      </c>
      <c r="T844" t="inlineStr">
        <is>
          <t>Love - Shibari - Kamino</t>
        </is>
      </c>
    </row>
    <row r="845">
      <c r="A845" t="n">
        <v>162941</v>
      </c>
      <c r="B845" t="n">
        <v>128</v>
      </c>
      <c r="C845" t="inlineStr">
        <is>
          <t>Love Cabaret</t>
        </is>
      </c>
      <c r="D845" t="inlineStr">
        <is>
          <t xml:space="preserve">FORTE ALIMENTOS COM. IMPORTAÇÃO LTDA </t>
        </is>
      </c>
      <c r="E845" t="n">
        <v>179</v>
      </c>
      <c r="F845" s="27" t="n">
        <v>45933</v>
      </c>
      <c r="G845" s="27" t="n">
        <v>45931</v>
      </c>
      <c r="H845" s="27" t="n">
        <v>45931</v>
      </c>
      <c r="I845" s="27" t="n">
        <v>45918</v>
      </c>
      <c r="J845" s="27" t="n">
        <v>45924</v>
      </c>
      <c r="K845" t="inlineStr">
        <is>
          <t>Boleto Bancário</t>
        </is>
      </c>
      <c r="L845" t="inlineStr">
        <is>
          <t>Custo Mercadoria Vendida</t>
        </is>
      </c>
      <c r="M845" t="inlineStr">
        <is>
          <t>Insumos - Alimentos</t>
        </is>
      </c>
      <c r="N845" t="inlineStr">
        <is>
          <t>333344</t>
        </is>
      </c>
      <c r="O845" t="inlineStr">
        <is>
          <t>Documentação Aprovada</t>
        </is>
      </c>
      <c r="P845" t="inlineStr">
        <is>
          <t>Aprovado Diretoria</t>
        </is>
      </c>
      <c r="Q845" t="inlineStr">
        <is>
          <t>Aprovado Caixa</t>
        </is>
      </c>
      <c r="R845" t="inlineStr">
        <is>
          <t>Pago</t>
        </is>
      </c>
      <c r="S845" t="n">
        <v>182</v>
      </c>
      <c r="T845" t="inlineStr">
        <is>
          <t>Love - Shibari - Kamino</t>
        </is>
      </c>
    </row>
    <row r="846">
      <c r="A846" t="n">
        <v>162938</v>
      </c>
      <c r="B846" t="n">
        <v>128</v>
      </c>
      <c r="C846" t="inlineStr">
        <is>
          <t>Love Cabaret</t>
        </is>
      </c>
      <c r="D846" t="inlineStr">
        <is>
          <t xml:space="preserve">LATICINIOS FIOR DITALIA LTDA </t>
        </is>
      </c>
      <c r="E846" t="n">
        <v>326.75</v>
      </c>
      <c r="F846" s="27" t="n">
        <v>45934</v>
      </c>
      <c r="G846" s="27" t="n">
        <v>45931</v>
      </c>
      <c r="H846" s="27" t="n">
        <v>45931</v>
      </c>
      <c r="I846" s="27" t="n">
        <v>45918</v>
      </c>
      <c r="J846" s="27" t="n">
        <v>45924</v>
      </c>
      <c r="K846" t="inlineStr">
        <is>
          <t>Boleto Bancário</t>
        </is>
      </c>
      <c r="L846" t="inlineStr">
        <is>
          <t>Custo Mercadoria Vendida</t>
        </is>
      </c>
      <c r="M846" t="inlineStr">
        <is>
          <t>Insumos - Alimentos</t>
        </is>
      </c>
      <c r="N846" t="inlineStr">
        <is>
          <t>39179</t>
        </is>
      </c>
      <c r="O846" t="inlineStr">
        <is>
          <t>Documentação Aprovada</t>
        </is>
      </c>
      <c r="P846" t="inlineStr">
        <is>
          <t>Aprovado Diretoria</t>
        </is>
      </c>
      <c r="Q846" t="inlineStr">
        <is>
          <t>Aprovado Caixa</t>
        </is>
      </c>
      <c r="R846" t="inlineStr">
        <is>
          <t>Pago</t>
        </is>
      </c>
      <c r="S846" t="n">
        <v>182</v>
      </c>
      <c r="T846" t="inlineStr">
        <is>
          <t>Love - Shibari - Kamino</t>
        </is>
      </c>
    </row>
    <row r="847">
      <c r="A847" t="n">
        <v>162945</v>
      </c>
      <c r="B847" t="n">
        <v>128</v>
      </c>
      <c r="C847" t="inlineStr">
        <is>
          <t>Love Cabaret</t>
        </is>
      </c>
      <c r="D847" t="inlineStr">
        <is>
          <t xml:space="preserve">FORTE ALIMENTOS COM. IMPORTAÇÃO LTDA </t>
        </is>
      </c>
      <c r="E847" t="n">
        <v>435.5</v>
      </c>
      <c r="F847" s="27" t="n">
        <v>45932</v>
      </c>
      <c r="G847" s="27" t="n">
        <v>45931</v>
      </c>
      <c r="H847" s="27" t="n">
        <v>45931</v>
      </c>
      <c r="I847" s="27" t="n">
        <v>45917</v>
      </c>
      <c r="J847" s="27" t="n">
        <v>45924</v>
      </c>
      <c r="K847" t="inlineStr">
        <is>
          <t>Boleto Bancário</t>
        </is>
      </c>
      <c r="L847" t="inlineStr">
        <is>
          <t>Custo Mercadoria Vendida</t>
        </is>
      </c>
      <c r="M847" t="inlineStr">
        <is>
          <t>Insumos - Alimentos</t>
        </is>
      </c>
      <c r="N847" t="inlineStr">
        <is>
          <t>333095</t>
        </is>
      </c>
      <c r="O847" t="inlineStr">
        <is>
          <t>Documentação Aprovada</t>
        </is>
      </c>
      <c r="P847" t="inlineStr">
        <is>
          <t>Aprovado Diretoria</t>
        </is>
      </c>
      <c r="Q847" t="inlineStr">
        <is>
          <t>Aprovado Caixa</t>
        </is>
      </c>
      <c r="R847" t="inlineStr">
        <is>
          <t>Pago</t>
        </is>
      </c>
      <c r="S847" t="n">
        <v>182</v>
      </c>
      <c r="T847" t="inlineStr">
        <is>
          <t>Love - Shibari - Kamino</t>
        </is>
      </c>
    </row>
    <row r="848">
      <c r="A848" t="n">
        <v>162928</v>
      </c>
      <c r="B848" t="n">
        <v>128</v>
      </c>
      <c r="C848" t="inlineStr">
        <is>
          <t>Love Cabaret</t>
        </is>
      </c>
      <c r="D848" t="inlineStr">
        <is>
          <t xml:space="preserve">MS FRANGOS LTDA </t>
        </is>
      </c>
      <c r="E848" t="n">
        <v>822.7</v>
      </c>
      <c r="F848" s="27" t="n">
        <v>45933</v>
      </c>
      <c r="G848" s="27" t="n">
        <v>45931</v>
      </c>
      <c r="H848" s="27" t="n">
        <v>45931</v>
      </c>
      <c r="I848" s="27" t="n">
        <v>45918</v>
      </c>
      <c r="J848" s="27" t="n">
        <v>45924</v>
      </c>
      <c r="K848" t="inlineStr">
        <is>
          <t>Boleto Bancário</t>
        </is>
      </c>
      <c r="L848" t="inlineStr">
        <is>
          <t>Custo Mercadoria Vendida</t>
        </is>
      </c>
      <c r="M848" t="inlineStr">
        <is>
          <t>Insumos - Alimentos</t>
        </is>
      </c>
      <c r="N848" t="inlineStr">
        <is>
          <t>4097</t>
        </is>
      </c>
      <c r="O848" t="inlineStr">
        <is>
          <t>Documentação Aprovada</t>
        </is>
      </c>
      <c r="P848" t="inlineStr">
        <is>
          <t>Aprovado Diretoria</t>
        </is>
      </c>
      <c r="Q848" t="inlineStr">
        <is>
          <t>Aprovado Caixa</t>
        </is>
      </c>
      <c r="R848" t="inlineStr">
        <is>
          <t>Pago</t>
        </is>
      </c>
      <c r="S848" t="n">
        <v>182</v>
      </c>
      <c r="T848" t="inlineStr">
        <is>
          <t>Love - Shibari - Kamino</t>
        </is>
      </c>
    </row>
    <row r="849">
      <c r="A849" t="n">
        <v>159061</v>
      </c>
      <c r="B849" t="n">
        <v>128</v>
      </c>
      <c r="C849" t="inlineStr">
        <is>
          <t>Love Cabaret</t>
        </is>
      </c>
      <c r="D849" t="inlineStr">
        <is>
          <t xml:space="preserve">EMPORIO MEL </t>
        </is>
      </c>
      <c r="E849" t="n">
        <v>920.8200000000001</v>
      </c>
      <c r="F849" s="27" t="n">
        <v>45932</v>
      </c>
      <c r="G849" s="27" t="n">
        <v>45931</v>
      </c>
      <c r="H849" s="27" t="n">
        <v>45931</v>
      </c>
      <c r="I849" s="27" t="n">
        <v>45901</v>
      </c>
      <c r="J849" s="27" t="n">
        <v>45903</v>
      </c>
      <c r="K849" t="inlineStr">
        <is>
          <t>Boleto Bancário</t>
        </is>
      </c>
      <c r="L849" t="inlineStr">
        <is>
          <t>Custo Mercadoria Vendida</t>
        </is>
      </c>
      <c r="M849" t="inlineStr">
        <is>
          <t>Insumos - Alimentos</t>
        </is>
      </c>
      <c r="N849" t="inlineStr">
        <is>
          <t>469107</t>
        </is>
      </c>
      <c r="O849" t="inlineStr">
        <is>
          <t>Documentação Aprovada</t>
        </is>
      </c>
      <c r="P849" t="inlineStr">
        <is>
          <t>Aprovado Diretoria</t>
        </is>
      </c>
      <c r="Q849" t="inlineStr">
        <is>
          <t>Aprovado Caixa</t>
        </is>
      </c>
      <c r="R849" t="inlineStr">
        <is>
          <t>Pago</t>
        </is>
      </c>
      <c r="S849" t="n">
        <v>182</v>
      </c>
      <c r="T849" t="inlineStr">
        <is>
          <t>Love - Shibari - Kamino</t>
        </is>
      </c>
    </row>
    <row r="850">
      <c r="A850" t="n">
        <v>161036</v>
      </c>
      <c r="B850" t="n">
        <v>128</v>
      </c>
      <c r="C850" t="inlineStr">
        <is>
          <t>Love Cabaret</t>
        </is>
      </c>
      <c r="D850" t="inlineStr">
        <is>
          <t>CG FOOD´S DISTRIBUIDORA DE ALIMENTOS LTDA</t>
        </is>
      </c>
      <c r="E850" t="n">
        <v>366.5</v>
      </c>
      <c r="F850" s="27" t="n">
        <v>45932</v>
      </c>
      <c r="G850" s="27" t="n">
        <v>45931</v>
      </c>
      <c r="H850" s="27" t="n">
        <v>45931</v>
      </c>
      <c r="I850" s="27" t="n">
        <v>45911</v>
      </c>
      <c r="J850" s="27" t="n">
        <v>45916</v>
      </c>
      <c r="K850" t="inlineStr">
        <is>
          <t>Boleto Bancário</t>
        </is>
      </c>
      <c r="L850" t="inlineStr">
        <is>
          <t>Custo Mercadoria Vendida</t>
        </is>
      </c>
      <c r="M850" t="inlineStr">
        <is>
          <t>Insumos - Alimentos</t>
        </is>
      </c>
      <c r="N850" t="inlineStr">
        <is>
          <t>164018</t>
        </is>
      </c>
      <c r="O850" t="inlineStr">
        <is>
          <t>Documentação Aprovada</t>
        </is>
      </c>
      <c r="P850" t="inlineStr">
        <is>
          <t>Aprovado Diretoria</t>
        </is>
      </c>
      <c r="Q850" t="inlineStr">
        <is>
          <t>Aprovado Caixa</t>
        </is>
      </c>
      <c r="R850" t="inlineStr">
        <is>
          <t>Pago</t>
        </is>
      </c>
      <c r="S850" t="n">
        <v>182</v>
      </c>
      <c r="T850" t="inlineStr">
        <is>
          <t>Love - Shibari - Kamino</t>
        </is>
      </c>
    </row>
    <row r="851">
      <c r="A851" t="n">
        <v>161058</v>
      </c>
      <c r="B851" t="n">
        <v>128</v>
      </c>
      <c r="C851" t="inlineStr">
        <is>
          <t>Love Cabaret</t>
        </is>
      </c>
      <c r="D851" t="inlineStr">
        <is>
          <t>FG7 COMERCIO E DISTRIBUICAO DE BEBIDAS LTDA</t>
        </is>
      </c>
      <c r="E851" t="n">
        <v>2609.88</v>
      </c>
      <c r="F851" s="27" t="n">
        <v>45933</v>
      </c>
      <c r="G851" s="27" t="n">
        <v>45931</v>
      </c>
      <c r="H851" s="27" t="n">
        <v>45931</v>
      </c>
      <c r="I851" s="27" t="n">
        <v>45911</v>
      </c>
      <c r="J851" s="27" t="n">
        <v>45916</v>
      </c>
      <c r="K851" t="inlineStr">
        <is>
          <t>Boleto Bancário</t>
        </is>
      </c>
      <c r="L851" t="inlineStr">
        <is>
          <t>Custo Mercadoria Vendida</t>
        </is>
      </c>
      <c r="M851" t="inlineStr">
        <is>
          <t>Insumos - Bebidas</t>
        </is>
      </c>
      <c r="N851" t="inlineStr">
        <is>
          <t>670044</t>
        </is>
      </c>
      <c r="O851" t="inlineStr">
        <is>
          <t>Documentação Aprovada</t>
        </is>
      </c>
      <c r="P851" t="inlineStr">
        <is>
          <t>Aprovado Diretoria</t>
        </is>
      </c>
      <c r="Q851" t="inlineStr">
        <is>
          <t>Aprovado Caixa</t>
        </is>
      </c>
      <c r="R851" t="inlineStr">
        <is>
          <t>Pago</t>
        </is>
      </c>
      <c r="S851" t="n">
        <v>182</v>
      </c>
      <c r="T851" t="inlineStr">
        <is>
          <t>Love - Shibari - Kamino</t>
        </is>
      </c>
    </row>
    <row r="852">
      <c r="A852" t="n">
        <v>160098</v>
      </c>
      <c r="B852" t="n">
        <v>128</v>
      </c>
      <c r="C852" t="inlineStr">
        <is>
          <t>Love Cabaret</t>
        </is>
      </c>
      <c r="D852" t="inlineStr">
        <is>
          <t>KING COMERCIO E IMPORTACAO DE BEBIDAS LTDA</t>
        </is>
      </c>
      <c r="E852" t="n">
        <v>1484.7</v>
      </c>
      <c r="F852" s="27" t="n">
        <v>45933</v>
      </c>
      <c r="G852" s="27" t="n">
        <v>45931</v>
      </c>
      <c r="H852" s="27" t="n">
        <v>45931</v>
      </c>
      <c r="I852" s="27" t="n">
        <v>45905</v>
      </c>
      <c r="J852" s="27" t="n">
        <v>45910</v>
      </c>
      <c r="K852" t="inlineStr">
        <is>
          <t>Boleto Bancário</t>
        </is>
      </c>
      <c r="L852" t="inlineStr">
        <is>
          <t>Custo Mercadoria Vendida</t>
        </is>
      </c>
      <c r="M852" t="inlineStr">
        <is>
          <t>Insumos - Bebidas</t>
        </is>
      </c>
      <c r="N852" t="inlineStr">
        <is>
          <t>120905</t>
        </is>
      </c>
      <c r="O852" t="inlineStr">
        <is>
          <t>Documentação Aprovada</t>
        </is>
      </c>
      <c r="P852" t="inlineStr">
        <is>
          <t>Aprovado Diretoria</t>
        </is>
      </c>
      <c r="Q852" t="inlineStr">
        <is>
          <t>Aprovado Caixa</t>
        </is>
      </c>
      <c r="R852" t="inlineStr">
        <is>
          <t>Pago</t>
        </is>
      </c>
      <c r="S852" t="n">
        <v>182</v>
      </c>
      <c r="T852" t="inlineStr">
        <is>
          <t>Love - Shibari - Kamino</t>
        </is>
      </c>
    </row>
    <row r="853">
      <c r="A853" t="n">
        <v>159889</v>
      </c>
      <c r="B853" t="n">
        <v>128</v>
      </c>
      <c r="C853" t="inlineStr">
        <is>
          <t>Love Cabaret</t>
        </is>
      </c>
      <c r="D853" t="inlineStr">
        <is>
          <t>JULIA BAISCH FRANZ 02463978023</t>
        </is>
      </c>
      <c r="E853" t="n">
        <v>52</v>
      </c>
      <c r="F853" s="27" t="n">
        <v>45933</v>
      </c>
      <c r="G853" s="27" t="n">
        <v>45931</v>
      </c>
      <c r="H853" s="27" t="n">
        <v>45931</v>
      </c>
      <c r="I853" s="27" t="n">
        <v>45905</v>
      </c>
      <c r="J853" s="27" t="n">
        <v>45909</v>
      </c>
      <c r="K853" t="inlineStr">
        <is>
          <t>Transferência Bancária ou Pix</t>
        </is>
      </c>
      <c r="L853" t="inlineStr">
        <is>
          <t>Custos Artístico Geral</t>
        </is>
      </c>
      <c r="M853" t="inlineStr">
        <is>
          <t>Alimentação e Transporte</t>
        </is>
      </c>
      <c r="N853" t="inlineStr">
        <is>
          <t>892025</t>
        </is>
      </c>
      <c r="O853" t="inlineStr">
        <is>
          <t>Documentação Aprovada</t>
        </is>
      </c>
      <c r="P853" t="inlineStr">
        <is>
          <t>Aprovado Diretoria</t>
        </is>
      </c>
      <c r="Q853" t="inlineStr">
        <is>
          <t>Aprovado Caixa</t>
        </is>
      </c>
      <c r="R853" t="inlineStr">
        <is>
          <t>Pago</t>
        </is>
      </c>
      <c r="S853" t="n">
        <v>182</v>
      </c>
      <c r="T853" t="inlineStr">
        <is>
          <t>Love - Shibari - Kamino</t>
        </is>
      </c>
    </row>
    <row r="854">
      <c r="A854" t="n">
        <v>166020</v>
      </c>
      <c r="B854" t="n">
        <v>128</v>
      </c>
      <c r="C854" t="inlineStr">
        <is>
          <t>Love Cabaret</t>
        </is>
      </c>
      <c r="D854" t="inlineStr">
        <is>
          <t>BRADESCO SA</t>
        </is>
      </c>
      <c r="E854" t="n">
        <v>9.800000000000001</v>
      </c>
      <c r="F854" s="27" t="n">
        <v>45931</v>
      </c>
      <c r="G854" s="27" t="n">
        <v>45943</v>
      </c>
      <c r="H854" s="27" t="n">
        <v>45931</v>
      </c>
      <c r="I854" s="27" t="n">
        <v>45931</v>
      </c>
      <c r="J854" s="27" t="n">
        <v>45938</v>
      </c>
      <c r="K854" t="inlineStr">
        <is>
          <t>Encontro de Contas</t>
        </is>
      </c>
      <c r="L854" t="inlineStr">
        <is>
          <t>Despesas Financeiras</t>
        </is>
      </c>
      <c r="M854" t="inlineStr">
        <is>
          <t>Tarifas Bancárias</t>
        </is>
      </c>
      <c r="N854" t="inlineStr">
        <is>
          <t>10/2025</t>
        </is>
      </c>
      <c r="P854" t="inlineStr">
        <is>
          <t>Aprovado Diretoria</t>
        </is>
      </c>
      <c r="R854" t="inlineStr">
        <is>
          <t>Pago</t>
        </is>
      </c>
    </row>
    <row r="855">
      <c r="A855" t="n">
        <v>97120</v>
      </c>
      <c r="B855" t="n">
        <v>128</v>
      </c>
      <c r="C855" t="inlineStr">
        <is>
          <t>Love Cabaret</t>
        </is>
      </c>
      <c r="D855" t="inlineStr">
        <is>
          <t>ESTAFF SOLUCOES TECNOLOGICAS DE AGENCIAMENTO LTDA</t>
        </is>
      </c>
      <c r="E855" t="n">
        <v>14652</v>
      </c>
      <c r="F855" s="27" t="n">
        <v>45931</v>
      </c>
      <c r="G855" s="27" t="n">
        <v>45931</v>
      </c>
      <c r="H855" s="27" t="n">
        <v>45931</v>
      </c>
      <c r="I855" s="27" t="n">
        <v>45922</v>
      </c>
      <c r="J855" s="27" t="n"/>
      <c r="K855" t="inlineStr">
        <is>
          <t>Boleto Bancário</t>
        </is>
      </c>
      <c r="L855" t="inlineStr">
        <is>
          <t>Mão de Obra - Extra</t>
        </is>
      </c>
      <c r="M855" t="inlineStr">
        <is>
          <t>Mão de Obra Extra</t>
        </is>
      </c>
      <c r="N855" t="inlineStr">
        <is>
          <t>644467699</t>
        </is>
      </c>
      <c r="O855" t="inlineStr">
        <is>
          <t>Documentação Aprovada</t>
        </is>
      </c>
      <c r="P855" t="inlineStr">
        <is>
          <t>Aprovado Diretoria</t>
        </is>
      </c>
      <c r="Q855" t="inlineStr">
        <is>
          <t>Aprovado Caixa</t>
        </is>
      </c>
      <c r="R855" t="inlineStr">
        <is>
          <t>Pago</t>
        </is>
      </c>
      <c r="S855" t="n">
        <v>182</v>
      </c>
      <c r="T855" t="inlineStr">
        <is>
          <t>Love - Shibari - Kamino</t>
        </is>
      </c>
    </row>
    <row r="856">
      <c r="A856" t="n">
        <v>97319</v>
      </c>
      <c r="B856" t="n">
        <v>128</v>
      </c>
      <c r="C856" t="inlineStr">
        <is>
          <t>Love Cabaret</t>
        </is>
      </c>
      <c r="D856" t="inlineStr">
        <is>
          <t>ESCRITORIO CENTRAL DE ARRECADACAO E DISTRIBUICAO ECAD</t>
        </is>
      </c>
      <c r="E856" t="n">
        <v>802.5</v>
      </c>
      <c r="F856" s="27" t="n">
        <v>45935</v>
      </c>
      <c r="G856" s="27" t="n">
        <v>45931</v>
      </c>
      <c r="H856" s="27" t="n">
        <v>45931</v>
      </c>
      <c r="I856" s="27" t="n">
        <v>45919</v>
      </c>
      <c r="J856" s="27" t="n"/>
      <c r="K856" t="inlineStr">
        <is>
          <t>Boleto Bancário</t>
        </is>
      </c>
      <c r="L856" t="inlineStr">
        <is>
          <t>Custos Artístico Geral</t>
        </is>
      </c>
      <c r="M856" t="inlineStr">
        <is>
          <t>Taxas e Licenças - Artístico</t>
        </is>
      </c>
      <c r="N856" t="inlineStr">
        <is>
          <t xml:space="preserve">9022448868 </t>
        </is>
      </c>
      <c r="O856" t="inlineStr">
        <is>
          <t>Documentação Aprovada</t>
        </is>
      </c>
      <c r="P856" t="inlineStr">
        <is>
          <t>Aprovado Diretoria</t>
        </is>
      </c>
      <c r="Q856" t="inlineStr">
        <is>
          <t>Aprovado Caixa</t>
        </is>
      </c>
      <c r="R856" t="inlineStr">
        <is>
          <t>Pago</t>
        </is>
      </c>
      <c r="S856" t="n">
        <v>182</v>
      </c>
      <c r="T856" t="inlineStr">
        <is>
          <t>Love - Shibari - Kamino</t>
        </is>
      </c>
    </row>
    <row r="857">
      <c r="A857" t="n">
        <v>97397</v>
      </c>
      <c r="B857" t="n">
        <v>128</v>
      </c>
      <c r="C857" t="inlineStr">
        <is>
          <t>Love Cabaret</t>
        </is>
      </c>
      <c r="D857" t="inlineStr">
        <is>
          <t>EASY ICE SOLUTION LTDA-ME LOCAÇÃO</t>
        </is>
      </c>
      <c r="E857" t="n">
        <v>1600</v>
      </c>
      <c r="F857" s="27" t="n">
        <v>45935</v>
      </c>
      <c r="G857" s="27" t="n">
        <v>45931</v>
      </c>
      <c r="H857" s="27" t="n">
        <v>45931</v>
      </c>
      <c r="I857" s="27" t="n">
        <v>45925</v>
      </c>
      <c r="J857" s="27" t="n"/>
      <c r="K857" t="inlineStr">
        <is>
          <t>Boleto Bancário</t>
        </is>
      </c>
      <c r="L857" t="inlineStr">
        <is>
          <t>Locação de Equipamentos</t>
        </is>
      </c>
      <c r="M857" t="inlineStr">
        <is>
          <t>Locações de Equipamentos - Operacionais</t>
        </is>
      </c>
      <c r="N857" t="inlineStr">
        <is>
          <t>9136</t>
        </is>
      </c>
      <c r="O857" t="inlineStr">
        <is>
          <t>Documentação Aprovada</t>
        </is>
      </c>
      <c r="P857" t="inlineStr">
        <is>
          <t>Aprovado Diretoria</t>
        </is>
      </c>
      <c r="Q857" t="inlineStr">
        <is>
          <t>Aprovado Caixa</t>
        </is>
      </c>
      <c r="R857" t="inlineStr">
        <is>
          <t>Pago</t>
        </is>
      </c>
      <c r="S857" t="n">
        <v>182</v>
      </c>
      <c r="T857" t="inlineStr">
        <is>
          <t>Love - Shibari - Kamino</t>
        </is>
      </c>
    </row>
    <row r="858">
      <c r="A858" t="n">
        <v>108218</v>
      </c>
      <c r="B858" t="n">
        <v>128</v>
      </c>
      <c r="C858" t="inlineStr">
        <is>
          <t>Love Cabaret</t>
        </is>
      </c>
      <c r="D858" t="inlineStr">
        <is>
          <t>DLOCAL BRASIL PAGAMENTOS LTDA  - DMK</t>
        </is>
      </c>
      <c r="E858" t="n">
        <v>5000</v>
      </c>
      <c r="F858" s="27" t="n">
        <v>45929</v>
      </c>
      <c r="G858" s="27" t="n">
        <v>45931</v>
      </c>
      <c r="H858" s="27" t="n">
        <v>45931</v>
      </c>
      <c r="I858" s="27" t="n">
        <v>45901</v>
      </c>
      <c r="J858" s="27" t="n"/>
      <c r="K858" t="inlineStr">
        <is>
          <t>Boleto Bancário</t>
        </is>
      </c>
      <c r="L858" t="inlineStr">
        <is>
          <t>Marketing</t>
        </is>
      </c>
      <c r="M858" t="inlineStr">
        <is>
          <t>Publicidade e Propaganda</t>
        </is>
      </c>
      <c r="N858" t="inlineStr">
        <is>
          <t xml:space="preserve">15787243537 </t>
        </is>
      </c>
      <c r="O858" t="inlineStr">
        <is>
          <t>Documentação Aprovada</t>
        </is>
      </c>
      <c r="P858" t="inlineStr">
        <is>
          <t>Aprovado Diretoria</t>
        </is>
      </c>
      <c r="Q858" t="inlineStr">
        <is>
          <t>Aprovado Caixa</t>
        </is>
      </c>
      <c r="R858" t="inlineStr">
        <is>
          <t>Pago</t>
        </is>
      </c>
      <c r="S858" t="n">
        <v>182</v>
      </c>
      <c r="T858" t="inlineStr">
        <is>
          <t>Love - Shibari - Kamino</t>
        </is>
      </c>
    </row>
    <row r="859">
      <c r="A859" t="n">
        <v>171473</v>
      </c>
      <c r="B859" t="n">
        <v>128</v>
      </c>
      <c r="C859" t="inlineStr">
        <is>
          <t>Love Cabaret</t>
        </is>
      </c>
      <c r="D859" t="inlineStr">
        <is>
          <t>BRADESCO SA</t>
        </is>
      </c>
      <c r="E859" t="n">
        <v>9.800000000000001</v>
      </c>
      <c r="F859" s="27" t="n">
        <v>45930</v>
      </c>
      <c r="G859" s="27" t="n"/>
      <c r="H859" s="27" t="n">
        <v>45930</v>
      </c>
      <c r="I859" s="27" t="n">
        <v>45930</v>
      </c>
      <c r="J859" s="27" t="n"/>
      <c r="K859" t="inlineStr">
        <is>
          <t xml:space="preserve">Debito Automático </t>
        </is>
      </c>
      <c r="L859" t="inlineStr">
        <is>
          <t>Despesas Financeiras</t>
        </is>
      </c>
      <c r="M859" t="inlineStr">
        <is>
          <t>Tarifas Bancárias</t>
        </is>
      </c>
      <c r="O859" t="inlineStr">
        <is>
          <t>Documentação Aprovada</t>
        </is>
      </c>
      <c r="P859" t="inlineStr">
        <is>
          <t>Aprovado Diretoria</t>
        </is>
      </c>
      <c r="Q859" t="inlineStr">
        <is>
          <t>Aprovado Caixa</t>
        </is>
      </c>
      <c r="R859" t="inlineStr">
        <is>
          <t>Pago</t>
        </is>
      </c>
      <c r="S859" t="n">
        <v>115</v>
      </c>
      <c r="T859" t="inlineStr">
        <is>
          <t>Love - Shibari - Bradesco</t>
        </is>
      </c>
    </row>
    <row r="860">
      <c r="A860" t="n">
        <v>48382</v>
      </c>
      <c r="B860" t="n">
        <v>128</v>
      </c>
      <c r="C860" t="inlineStr">
        <is>
          <t>Love Cabaret</t>
        </is>
      </c>
      <c r="D860" t="inlineStr">
        <is>
          <t xml:space="preserve">MINISTERIO DA FAZENDA </t>
        </is>
      </c>
      <c r="E860" t="n">
        <v>20901.67</v>
      </c>
      <c r="F860" s="27" t="n">
        <v>45930</v>
      </c>
      <c r="G860" s="27" t="n">
        <v>45933</v>
      </c>
      <c r="H860" s="27" t="n">
        <v>45930</v>
      </c>
      <c r="I860" s="27" t="n">
        <v>45366</v>
      </c>
      <c r="J860" s="27" t="n"/>
      <c r="K860" t="inlineStr">
        <is>
          <t xml:space="preserve">Debito Automático </t>
        </is>
      </c>
      <c r="L860" t="inlineStr">
        <is>
          <t>Endividamento</t>
        </is>
      </c>
      <c r="M860" t="inlineStr">
        <is>
          <t>Endividamento Geral</t>
        </is>
      </c>
      <c r="N860" t="inlineStr">
        <is>
          <t>19/60 NÃO PAGAR DEBITO AUTOMATICO</t>
        </is>
      </c>
      <c r="O860" t="inlineStr">
        <is>
          <t>Documentação Aprovada</t>
        </is>
      </c>
      <c r="P860" t="inlineStr">
        <is>
          <t>Aprovado Diretoria</t>
        </is>
      </c>
      <c r="Q860" t="inlineStr">
        <is>
          <t>Aprovado Caixa</t>
        </is>
      </c>
      <c r="R860" t="inlineStr">
        <is>
          <t>Pago</t>
        </is>
      </c>
      <c r="S860" t="n">
        <v>115</v>
      </c>
      <c r="T860" t="inlineStr">
        <is>
          <t>Love - Shibari - Bradesco</t>
        </is>
      </c>
    </row>
    <row r="861">
      <c r="A861" t="n">
        <v>48438</v>
      </c>
      <c r="B861" t="n">
        <v>128</v>
      </c>
      <c r="C861" t="inlineStr">
        <is>
          <t>Love Cabaret</t>
        </is>
      </c>
      <c r="D861" t="inlineStr">
        <is>
          <t xml:space="preserve">MINISTERIO DA FAZENDA </t>
        </is>
      </c>
      <c r="E861" t="n">
        <v>598.37</v>
      </c>
      <c r="F861" s="27" t="n">
        <v>45930</v>
      </c>
      <c r="G861" s="27" t="n">
        <v>45929</v>
      </c>
      <c r="H861" s="27" t="n">
        <v>45929</v>
      </c>
      <c r="I861" s="27" t="n">
        <v>45366</v>
      </c>
      <c r="J861" s="27" t="n"/>
      <c r="K861" t="inlineStr">
        <is>
          <t>Boleto Bancário</t>
        </is>
      </c>
      <c r="L861" t="inlineStr">
        <is>
          <t>Endividamento</t>
        </is>
      </c>
      <c r="M861" t="inlineStr">
        <is>
          <t>Endividamento Geral</t>
        </is>
      </c>
      <c r="N861" t="inlineStr">
        <is>
          <t>19/45</t>
        </is>
      </c>
      <c r="O861" t="inlineStr">
        <is>
          <t>Documentação Aprovada</t>
        </is>
      </c>
      <c r="P861" t="inlineStr">
        <is>
          <t>Aprovado Diretoria</t>
        </is>
      </c>
      <c r="Q861" t="inlineStr">
        <is>
          <t>Aprovado Caixa</t>
        </is>
      </c>
      <c r="R861" t="inlineStr">
        <is>
          <t>Pago</t>
        </is>
      </c>
      <c r="S861" t="n">
        <v>182</v>
      </c>
      <c r="T861" t="inlineStr">
        <is>
          <t>Love - Shibari - Kamino</t>
        </is>
      </c>
    </row>
    <row r="862">
      <c r="A862" t="n">
        <v>51168</v>
      </c>
      <c r="B862" t="n">
        <v>128</v>
      </c>
      <c r="C862" t="inlineStr">
        <is>
          <t>Love Cabaret</t>
        </is>
      </c>
      <c r="D862" t="inlineStr">
        <is>
          <t>ICMS</t>
        </is>
      </c>
      <c r="E862" t="n">
        <v>622</v>
      </c>
      <c r="F862" s="27" t="n">
        <v>45930</v>
      </c>
      <c r="G862" s="27" t="n">
        <v>45929</v>
      </c>
      <c r="H862" s="27" t="n">
        <v>45929</v>
      </c>
      <c r="I862" s="27" t="n">
        <v>45406</v>
      </c>
      <c r="J862" s="27" t="n"/>
      <c r="K862" t="inlineStr">
        <is>
          <t>Boleto Bancário</t>
        </is>
      </c>
      <c r="L862" t="inlineStr">
        <is>
          <t>Endividamento</t>
        </is>
      </c>
      <c r="M862" t="inlineStr">
        <is>
          <t>Endividamento Geral</t>
        </is>
      </c>
      <c r="N862" t="inlineStr">
        <is>
          <t>17/36</t>
        </is>
      </c>
      <c r="O862" t="inlineStr">
        <is>
          <t>Documentação Aprovada</t>
        </is>
      </c>
      <c r="P862" t="inlineStr">
        <is>
          <t>Aprovado Diretoria</t>
        </is>
      </c>
      <c r="Q862" t="inlineStr">
        <is>
          <t>Aprovado Caixa</t>
        </is>
      </c>
      <c r="R862" t="inlineStr">
        <is>
          <t>Pago</t>
        </is>
      </c>
      <c r="S862" t="n">
        <v>182</v>
      </c>
      <c r="T862" t="inlineStr">
        <is>
          <t>Love - Shibari - Kamino</t>
        </is>
      </c>
    </row>
    <row r="863">
      <c r="A863" t="n">
        <v>106701</v>
      </c>
      <c r="B863" t="n">
        <v>128</v>
      </c>
      <c r="C863" t="inlineStr">
        <is>
          <t>Love Cabaret</t>
        </is>
      </c>
      <c r="D863" t="inlineStr">
        <is>
          <t>AURORA ALVORADA ESTACIONAMENTO E LANCHONETE LTDA</t>
        </is>
      </c>
      <c r="E863" t="n">
        <v>294.06</v>
      </c>
      <c r="F863" s="27" t="n">
        <v>45929</v>
      </c>
      <c r="G863" s="27" t="n">
        <v>45929</v>
      </c>
      <c r="H863" s="27" t="n">
        <v>45929</v>
      </c>
      <c r="I863" s="27" t="n">
        <v>45922</v>
      </c>
      <c r="J863" s="27" t="n"/>
      <c r="K863" t="inlineStr">
        <is>
          <t>Boleto Bancário</t>
        </is>
      </c>
      <c r="L863" t="inlineStr">
        <is>
          <t>Custo Mercadoria Vendida</t>
        </is>
      </c>
      <c r="M863" t="inlineStr">
        <is>
          <t>Insumos - Alimentos</t>
        </is>
      </c>
      <c r="N863" t="inlineStr">
        <is>
          <t>11021</t>
        </is>
      </c>
      <c r="O863" t="inlineStr">
        <is>
          <t>Documentação Aprovada</t>
        </is>
      </c>
      <c r="P863" t="inlineStr">
        <is>
          <t>Aprovado Diretoria</t>
        </is>
      </c>
      <c r="Q863" t="inlineStr">
        <is>
          <t>Aprovado Caixa</t>
        </is>
      </c>
      <c r="R863" t="inlineStr">
        <is>
          <t>Pago</t>
        </is>
      </c>
      <c r="S863" t="n">
        <v>182</v>
      </c>
      <c r="T863" t="inlineStr">
        <is>
          <t>Love - Shibari - Kamino</t>
        </is>
      </c>
    </row>
    <row r="864">
      <c r="A864" t="n">
        <v>97368</v>
      </c>
      <c r="B864" t="n">
        <v>128</v>
      </c>
      <c r="C864" t="inlineStr">
        <is>
          <t>Love Cabaret</t>
        </is>
      </c>
      <c r="D864" t="inlineStr">
        <is>
          <t xml:space="preserve">EDIMAR MOURA TARTAGLIONI SERVICOES DE DEDETIZACAO </t>
        </is>
      </c>
      <c r="E864" t="n">
        <v>630</v>
      </c>
      <c r="F864" s="27" t="n">
        <v>45930</v>
      </c>
      <c r="G864" s="27" t="n">
        <v>45929</v>
      </c>
      <c r="H864" s="27" t="n">
        <v>45929</v>
      </c>
      <c r="I864" s="27" t="n">
        <v>45905</v>
      </c>
      <c r="J864" s="27" t="n"/>
      <c r="K864" t="inlineStr">
        <is>
          <t>Transferência Bancária ou Pix</t>
        </is>
      </c>
      <c r="L864" t="inlineStr">
        <is>
          <t>Utilidades</t>
        </is>
      </c>
      <c r="M864" t="inlineStr">
        <is>
          <t>Controle de Pragas</t>
        </is>
      </c>
      <c r="N864" t="inlineStr">
        <is>
          <t>591</t>
        </is>
      </c>
      <c r="O864" t="inlineStr">
        <is>
          <t>Documentação Aprovada</t>
        </is>
      </c>
      <c r="P864" t="inlineStr">
        <is>
          <t>Aprovado Diretoria</t>
        </is>
      </c>
      <c r="Q864" t="inlineStr">
        <is>
          <t>Aprovado Caixa</t>
        </is>
      </c>
      <c r="R864" t="inlineStr">
        <is>
          <t>Pago</t>
        </is>
      </c>
      <c r="S864" t="n">
        <v>182</v>
      </c>
      <c r="T864" t="inlineStr">
        <is>
          <t>Love - Shibari - Kamino</t>
        </is>
      </c>
    </row>
    <row r="865">
      <c r="A865" t="n">
        <v>102856</v>
      </c>
      <c r="B865" t="n">
        <v>128</v>
      </c>
      <c r="C865" t="inlineStr">
        <is>
          <t>Love Cabaret</t>
        </is>
      </c>
      <c r="D865" t="inlineStr">
        <is>
          <t>IRMANDADE DA SANTA CASA DE MISERICORDIA DE SAO PAULO</t>
        </is>
      </c>
      <c r="E865" t="n">
        <v>31634.64</v>
      </c>
      <c r="F865" s="27" t="n">
        <v>45929</v>
      </c>
      <c r="G865" s="27" t="n">
        <v>45929</v>
      </c>
      <c r="H865" s="27" t="n">
        <v>45929</v>
      </c>
      <c r="I865" s="27" t="n">
        <v>45889</v>
      </c>
      <c r="J865" s="27" t="n"/>
      <c r="K865" t="inlineStr">
        <is>
          <t>Boleto Bancário</t>
        </is>
      </c>
      <c r="L865" t="inlineStr">
        <is>
          <t>Custo de Ocupação</t>
        </is>
      </c>
      <c r="M865" t="inlineStr">
        <is>
          <t>Aluguel de Imoveis</t>
        </is>
      </c>
      <c r="N865" t="inlineStr">
        <is>
          <t>158961</t>
        </is>
      </c>
      <c r="O865" t="inlineStr">
        <is>
          <t>Documentação Aprovada</t>
        </is>
      </c>
      <c r="P865" t="inlineStr">
        <is>
          <t>Aprovado Diretoria</t>
        </is>
      </c>
      <c r="Q865" t="inlineStr">
        <is>
          <t>Aprovado Caixa</t>
        </is>
      </c>
      <c r="R865" t="inlineStr">
        <is>
          <t>Pago</t>
        </is>
      </c>
      <c r="S865" t="n">
        <v>182</v>
      </c>
      <c r="T865" t="inlineStr">
        <is>
          <t>Love - Shibari - Kamino</t>
        </is>
      </c>
    </row>
    <row r="866">
      <c r="A866" t="n">
        <v>96056</v>
      </c>
      <c r="B866" t="n">
        <v>128</v>
      </c>
      <c r="C866" t="inlineStr">
        <is>
          <t>Love Cabaret</t>
        </is>
      </c>
      <c r="D866" t="inlineStr">
        <is>
          <t>ISS</t>
        </is>
      </c>
      <c r="E866" t="n">
        <v>1987.17</v>
      </c>
      <c r="F866" s="27" t="n">
        <v>45930</v>
      </c>
      <c r="G866" s="27" t="n">
        <v>45929</v>
      </c>
      <c r="H866" s="27" t="n">
        <v>45929</v>
      </c>
      <c r="I866" s="27" t="n">
        <v>45900</v>
      </c>
      <c r="J866" s="27" t="n"/>
      <c r="K866" t="inlineStr">
        <is>
          <t>Boleto Bancário</t>
        </is>
      </c>
      <c r="L866" t="inlineStr">
        <is>
          <t>Endividamento</t>
        </is>
      </c>
      <c r="M866" t="inlineStr">
        <is>
          <t>Endividamento Geral</t>
        </is>
      </c>
      <c r="N866" t="inlineStr">
        <is>
          <t>9/60</t>
        </is>
      </c>
      <c r="O866" t="inlineStr">
        <is>
          <t>Documentação Aprovada</t>
        </is>
      </c>
      <c r="P866" t="inlineStr">
        <is>
          <t>Aprovado Diretoria</t>
        </is>
      </c>
      <c r="Q866" t="inlineStr">
        <is>
          <t>Aprovado Caixa</t>
        </is>
      </c>
      <c r="R866" t="inlineStr">
        <is>
          <t>Pago</t>
        </is>
      </c>
      <c r="S866" t="n">
        <v>182</v>
      </c>
      <c r="T866" t="inlineStr">
        <is>
          <t>Love - Shibari - Kamino</t>
        </is>
      </c>
    </row>
    <row r="867">
      <c r="A867" t="n">
        <v>84048</v>
      </c>
      <c r="B867" t="n">
        <v>128</v>
      </c>
      <c r="C867" t="inlineStr">
        <is>
          <t>Love Cabaret</t>
        </is>
      </c>
      <c r="D867" t="inlineStr">
        <is>
          <t>CSLL</t>
        </is>
      </c>
      <c r="E867" t="n">
        <v>1020.92</v>
      </c>
      <c r="F867" s="27" t="n">
        <v>45930</v>
      </c>
      <c r="G867" s="27" t="n">
        <v>45929</v>
      </c>
      <c r="H867" s="27" t="n">
        <v>45929</v>
      </c>
      <c r="I867" s="27" t="n">
        <v>45599</v>
      </c>
      <c r="J867" s="27" t="n"/>
      <c r="K867" t="inlineStr">
        <is>
          <t>Boleto Bancário</t>
        </is>
      </c>
      <c r="L867" t="inlineStr">
        <is>
          <t>Endividamento</t>
        </is>
      </c>
      <c r="M867" t="inlineStr">
        <is>
          <t>Endividamento Geral</t>
        </is>
      </c>
      <c r="N867" t="inlineStr">
        <is>
          <t>12/120</t>
        </is>
      </c>
      <c r="O867" t="inlineStr">
        <is>
          <t>Documentação Aprovada</t>
        </is>
      </c>
      <c r="P867" t="inlineStr">
        <is>
          <t>Aprovado Diretoria</t>
        </is>
      </c>
      <c r="Q867" t="inlineStr">
        <is>
          <t>Aprovado Caixa</t>
        </is>
      </c>
      <c r="R867" t="inlineStr">
        <is>
          <t>Pago</t>
        </is>
      </c>
      <c r="S867" t="n">
        <v>182</v>
      </c>
      <c r="T867" t="inlineStr">
        <is>
          <t>Love - Shibari - Kamino</t>
        </is>
      </c>
    </row>
    <row r="868">
      <c r="A868" t="n">
        <v>116088</v>
      </c>
      <c r="B868" t="n">
        <v>128</v>
      </c>
      <c r="C868" t="inlineStr">
        <is>
          <t>Love Cabaret</t>
        </is>
      </c>
      <c r="D868" t="inlineStr">
        <is>
          <t xml:space="preserve">MINISTERIO DA FAZENDA </t>
        </is>
      </c>
      <c r="E868" t="n">
        <v>21258.97</v>
      </c>
      <c r="F868" s="27" t="n">
        <v>45930</v>
      </c>
      <c r="G868" s="27" t="n">
        <v>45929</v>
      </c>
      <c r="H868" s="27" t="n">
        <v>45929</v>
      </c>
      <c r="I868" s="27" t="n">
        <v>45722</v>
      </c>
      <c r="J868" s="27" t="n"/>
      <c r="K868" t="inlineStr">
        <is>
          <t>Boleto Bancário</t>
        </is>
      </c>
      <c r="L868" t="inlineStr">
        <is>
          <t>Endividamento</t>
        </is>
      </c>
      <c r="M868" t="inlineStr">
        <is>
          <t>Endividamento Geral</t>
        </is>
      </c>
      <c r="N868" t="inlineStr">
        <is>
          <t>7/60</t>
        </is>
      </c>
      <c r="O868" t="inlineStr">
        <is>
          <t>Documentação Aprovada</t>
        </is>
      </c>
      <c r="P868" t="inlineStr">
        <is>
          <t>Aprovado Diretoria</t>
        </is>
      </c>
      <c r="Q868" t="inlineStr">
        <is>
          <t>Aprovado Caixa</t>
        </is>
      </c>
      <c r="R868" t="inlineStr">
        <is>
          <t>Pago</t>
        </is>
      </c>
      <c r="S868" t="n">
        <v>182</v>
      </c>
      <c r="T868" t="inlineStr">
        <is>
          <t>Love - Shibari - Kamino</t>
        </is>
      </c>
    </row>
    <row r="869">
      <c r="A869" t="n">
        <v>164776</v>
      </c>
      <c r="B869" t="n">
        <v>128</v>
      </c>
      <c r="C869" t="inlineStr">
        <is>
          <t>Love Cabaret</t>
        </is>
      </c>
      <c r="D869" t="inlineStr">
        <is>
          <t xml:space="preserve">KAMINO INSTITUICAO DE PAGAMENTO LTDA </t>
        </is>
      </c>
      <c r="E869" t="n">
        <v>1</v>
      </c>
      <c r="F869" s="27" t="n">
        <v>45959</v>
      </c>
      <c r="G869" s="27" t="n"/>
      <c r="H869" s="27" t="n">
        <v>45929</v>
      </c>
      <c r="I869" s="27" t="n">
        <v>45959</v>
      </c>
      <c r="J869" s="27" t="n">
        <v>45932</v>
      </c>
      <c r="K869" t="inlineStr">
        <is>
          <t>Encontro de Contas</t>
        </is>
      </c>
      <c r="L869" t="inlineStr">
        <is>
          <t>Despesas Financeiras</t>
        </is>
      </c>
      <c r="M869" t="inlineStr">
        <is>
          <t>Tarifas Bancárias</t>
        </is>
      </c>
      <c r="N869" t="inlineStr">
        <is>
          <t>09/2025</t>
        </is>
      </c>
      <c r="R869" t="inlineStr">
        <is>
          <t>Pago</t>
        </is>
      </c>
    </row>
    <row r="870">
      <c r="A870" t="n">
        <v>160087</v>
      </c>
      <c r="B870" t="n">
        <v>128</v>
      </c>
      <c r="C870" t="inlineStr">
        <is>
          <t>Love Cabaret</t>
        </is>
      </c>
      <c r="D870" t="inlineStr">
        <is>
          <t>FG7 COMERCIO E DISTRIBUICAO DE BEBIDAS LTDA</t>
        </is>
      </c>
      <c r="E870" t="n">
        <v>586.38</v>
      </c>
      <c r="F870" s="27" t="n">
        <v>45930</v>
      </c>
      <c r="G870" s="27" t="n">
        <v>45929</v>
      </c>
      <c r="H870" s="27" t="n">
        <v>45929</v>
      </c>
      <c r="I870" s="27" t="n">
        <v>45908</v>
      </c>
      <c r="J870" s="27" t="n">
        <v>45910</v>
      </c>
      <c r="K870" t="inlineStr">
        <is>
          <t>Boleto Bancário</t>
        </is>
      </c>
      <c r="L870" t="inlineStr">
        <is>
          <t>Custo Mercadoria Vendida</t>
        </is>
      </c>
      <c r="M870" t="inlineStr">
        <is>
          <t>Insumos - Bebidas</t>
        </is>
      </c>
      <c r="N870" t="inlineStr">
        <is>
          <t>667565</t>
        </is>
      </c>
      <c r="O870" t="inlineStr">
        <is>
          <t>Documentação Aprovada</t>
        </is>
      </c>
      <c r="P870" t="inlineStr">
        <is>
          <t>Aprovado Diretoria</t>
        </is>
      </c>
      <c r="Q870" t="inlineStr">
        <is>
          <t>Aprovado Caixa</t>
        </is>
      </c>
      <c r="R870" t="inlineStr">
        <is>
          <t>Pago</t>
        </is>
      </c>
      <c r="S870" t="n">
        <v>182</v>
      </c>
      <c r="T870" t="inlineStr">
        <is>
          <t>Love - Shibari - Kamino</t>
        </is>
      </c>
    </row>
    <row r="871">
      <c r="A871" t="n">
        <v>160072</v>
      </c>
      <c r="B871" t="n">
        <v>128</v>
      </c>
      <c r="C871" t="inlineStr">
        <is>
          <t>Love Cabaret</t>
        </is>
      </c>
      <c r="D871" t="inlineStr">
        <is>
          <t>WIDE STOCK COMERCIO E DISTRIBUICAO LTDA</t>
        </is>
      </c>
      <c r="E871" t="n">
        <v>1302.54</v>
      </c>
      <c r="F871" s="27" t="n">
        <v>45929</v>
      </c>
      <c r="G871" s="27" t="n">
        <v>45929</v>
      </c>
      <c r="H871" s="27" t="n">
        <v>45929</v>
      </c>
      <c r="I871" s="27" t="n">
        <v>45908</v>
      </c>
      <c r="J871" s="27" t="n">
        <v>45910</v>
      </c>
      <c r="K871" t="inlineStr">
        <is>
          <t>Boleto Bancário</t>
        </is>
      </c>
      <c r="L871" t="inlineStr">
        <is>
          <t>Utilidades</t>
        </is>
      </c>
      <c r="M871" t="inlineStr">
        <is>
          <t>Higiene e Limpeza</t>
        </is>
      </c>
      <c r="N871" t="inlineStr">
        <is>
          <t>413452</t>
        </is>
      </c>
      <c r="O871" t="inlineStr">
        <is>
          <t>Documentação Aprovada</t>
        </is>
      </c>
      <c r="P871" t="inlineStr">
        <is>
          <t>Aprovado Diretoria</t>
        </is>
      </c>
      <c r="Q871" t="inlineStr">
        <is>
          <t>Aprovado Caixa</t>
        </is>
      </c>
      <c r="R871" t="inlineStr">
        <is>
          <t>Pago</t>
        </is>
      </c>
      <c r="S871" t="n">
        <v>182</v>
      </c>
      <c r="T871" t="inlineStr">
        <is>
          <t>Love - Shibari - Kamino</t>
        </is>
      </c>
    </row>
    <row r="872">
      <c r="A872" t="n">
        <v>162946</v>
      </c>
      <c r="B872" t="n">
        <v>128</v>
      </c>
      <c r="C872" t="inlineStr">
        <is>
          <t>Love Cabaret</t>
        </is>
      </c>
      <c r="D872" t="inlineStr">
        <is>
          <t>PSSS LTDA</t>
        </is>
      </c>
      <c r="E872" t="n">
        <v>396</v>
      </c>
      <c r="F872" s="27" t="n">
        <v>45930</v>
      </c>
      <c r="G872" s="27" t="n">
        <v>45929</v>
      </c>
      <c r="H872" s="27" t="n">
        <v>45929</v>
      </c>
      <c r="I872" s="27" t="n">
        <v>45917</v>
      </c>
      <c r="J872" s="27" t="n">
        <v>45924</v>
      </c>
      <c r="K872" t="inlineStr">
        <is>
          <t>Boleto Bancário</t>
        </is>
      </c>
      <c r="L872" t="inlineStr">
        <is>
          <t>Utilidades</t>
        </is>
      </c>
      <c r="M872" t="inlineStr">
        <is>
          <t>Higiene e Limpeza</t>
        </is>
      </c>
      <c r="N872" t="inlineStr">
        <is>
          <t>2284</t>
        </is>
      </c>
      <c r="O872" t="inlineStr">
        <is>
          <t>Documentação Aprovada</t>
        </is>
      </c>
      <c r="P872" t="inlineStr">
        <is>
          <t>Aprovado Diretoria</t>
        </is>
      </c>
      <c r="Q872" t="inlineStr">
        <is>
          <t>Aprovado Caixa</t>
        </is>
      </c>
      <c r="R872" t="inlineStr">
        <is>
          <t>Pago</t>
        </is>
      </c>
      <c r="S872" t="n">
        <v>182</v>
      </c>
      <c r="T872" t="inlineStr">
        <is>
          <t>Love - Shibari - Kamino</t>
        </is>
      </c>
    </row>
    <row r="873">
      <c r="A873" t="n">
        <v>157633</v>
      </c>
      <c r="B873" t="n">
        <v>128</v>
      </c>
      <c r="C873" t="inlineStr">
        <is>
          <t>Love Cabaret</t>
        </is>
      </c>
      <c r="D873" t="inlineStr">
        <is>
          <t>CLOROART SERVICOS E COMERCIO LTDA-ME</t>
        </is>
      </c>
      <c r="E873" t="n">
        <v>1225</v>
      </c>
      <c r="F873" s="27" t="n">
        <v>45929</v>
      </c>
      <c r="G873" s="27" t="n">
        <v>45929</v>
      </c>
      <c r="H873" s="27" t="n">
        <v>45929</v>
      </c>
      <c r="I873" s="27" t="n">
        <v>45897</v>
      </c>
      <c r="J873" s="27" t="n">
        <v>45898</v>
      </c>
      <c r="K873" t="inlineStr">
        <is>
          <t>Boleto Bancário</t>
        </is>
      </c>
      <c r="L873" t="inlineStr">
        <is>
          <t>Utilidades</t>
        </is>
      </c>
      <c r="M873" t="inlineStr">
        <is>
          <t>Serviços de Limpeza</t>
        </is>
      </c>
      <c r="N873" t="inlineStr">
        <is>
          <t>2825</t>
        </is>
      </c>
      <c r="O873" t="inlineStr">
        <is>
          <t>Documentação Aprovada</t>
        </is>
      </c>
      <c r="P873" t="inlineStr">
        <is>
          <t>Aprovado Diretoria</t>
        </is>
      </c>
      <c r="Q873" t="inlineStr">
        <is>
          <t>Aprovado Caixa</t>
        </is>
      </c>
      <c r="R873" t="inlineStr">
        <is>
          <t>Pago</t>
        </is>
      </c>
      <c r="S873" t="n">
        <v>182</v>
      </c>
      <c r="T873" t="inlineStr">
        <is>
          <t>Love - Shibari - Kamino</t>
        </is>
      </c>
    </row>
    <row r="874">
      <c r="A874" t="n">
        <v>161968</v>
      </c>
      <c r="B874" t="n">
        <v>128</v>
      </c>
      <c r="C874" t="inlineStr">
        <is>
          <t>Love Cabaret</t>
        </is>
      </c>
      <c r="D874" t="inlineStr">
        <is>
          <t>CECILIA TSUYACO ARAKI SILVA LTDA</t>
        </is>
      </c>
      <c r="E874" t="n">
        <v>168.6</v>
      </c>
      <c r="F874" s="27" t="n">
        <v>45929</v>
      </c>
      <c r="G874" s="27" t="n">
        <v>45929</v>
      </c>
      <c r="H874" s="27" t="n">
        <v>45929</v>
      </c>
      <c r="I874" s="27" t="n">
        <v>45915</v>
      </c>
      <c r="J874" s="27" t="n">
        <v>45918</v>
      </c>
      <c r="K874" t="inlineStr">
        <is>
          <t>Boleto Bancário</t>
        </is>
      </c>
      <c r="L874" t="inlineStr">
        <is>
          <t>Custo Mercadoria Vendida</t>
        </is>
      </c>
      <c r="M874" t="inlineStr">
        <is>
          <t>Insumos - Alimentos</t>
        </is>
      </c>
      <c r="N874" t="inlineStr">
        <is>
          <t>378089</t>
        </is>
      </c>
      <c r="O874" t="inlineStr">
        <is>
          <t>Documentação Aprovada</t>
        </is>
      </c>
      <c r="P874" t="inlineStr">
        <is>
          <t>Aprovado Diretoria</t>
        </is>
      </c>
      <c r="Q874" t="inlineStr">
        <is>
          <t>Aprovado Caixa</t>
        </is>
      </c>
      <c r="R874" t="inlineStr">
        <is>
          <t>Pago</t>
        </is>
      </c>
      <c r="S874" t="n">
        <v>182</v>
      </c>
      <c r="T874" t="inlineStr">
        <is>
          <t>Love - Shibari - Kamino</t>
        </is>
      </c>
    </row>
    <row r="875">
      <c r="A875" t="n">
        <v>161834</v>
      </c>
      <c r="B875" t="n">
        <v>128</v>
      </c>
      <c r="C875" t="inlineStr">
        <is>
          <t>Love Cabaret</t>
        </is>
      </c>
      <c r="D875" t="inlineStr">
        <is>
          <t xml:space="preserve">FORTE ALIMENTOS COM. IMPORTAÇÃO LTDA </t>
        </is>
      </c>
      <c r="E875" t="n">
        <v>956.1799999999999</v>
      </c>
      <c r="F875" s="27" t="n">
        <v>45930</v>
      </c>
      <c r="G875" s="27" t="n">
        <v>45929</v>
      </c>
      <c r="H875" s="27" t="n">
        <v>45929</v>
      </c>
      <c r="I875" s="27" t="n">
        <v>45915</v>
      </c>
      <c r="J875" s="27" t="n">
        <v>45917</v>
      </c>
      <c r="K875" t="inlineStr">
        <is>
          <t>Boleto Bancário</t>
        </is>
      </c>
      <c r="L875" t="inlineStr">
        <is>
          <t>Custo Mercadoria Vendida</t>
        </is>
      </c>
      <c r="M875" t="inlineStr">
        <is>
          <t>Insumos - Alimentos</t>
        </is>
      </c>
      <c r="N875" t="inlineStr">
        <is>
          <t>332530</t>
        </is>
      </c>
      <c r="O875" t="inlineStr">
        <is>
          <t>Documentação Aprovada</t>
        </is>
      </c>
      <c r="P875" t="inlineStr">
        <is>
          <t>Aprovado Diretoria</t>
        </is>
      </c>
      <c r="Q875" t="inlineStr">
        <is>
          <t>Aprovado Caixa</t>
        </is>
      </c>
      <c r="R875" t="inlineStr">
        <is>
          <t>Pago</t>
        </is>
      </c>
      <c r="S875" t="n">
        <v>182</v>
      </c>
      <c r="T875" t="inlineStr">
        <is>
          <t>Love - Shibari - Kamino</t>
        </is>
      </c>
    </row>
    <row r="876">
      <c r="A876" t="n">
        <v>161952</v>
      </c>
      <c r="B876" t="n">
        <v>128</v>
      </c>
      <c r="C876" t="inlineStr">
        <is>
          <t>Love Cabaret</t>
        </is>
      </c>
      <c r="D876" t="inlineStr">
        <is>
          <t>EDUARDO JOSE DA SILVA DISTRIBUIÇÃO DE PRODUTOS ALIMENTICIOS</t>
        </is>
      </c>
      <c r="E876" t="n">
        <v>381.2</v>
      </c>
      <c r="F876" s="27" t="n">
        <v>45931</v>
      </c>
      <c r="G876" s="27" t="n">
        <v>45929</v>
      </c>
      <c r="H876" s="27" t="n">
        <v>45929</v>
      </c>
      <c r="I876" s="27" t="n">
        <v>45916</v>
      </c>
      <c r="J876" s="27" t="n">
        <v>45918</v>
      </c>
      <c r="K876" t="inlineStr">
        <is>
          <t>Boleto Bancário</t>
        </is>
      </c>
      <c r="L876" t="inlineStr">
        <is>
          <t>Custo Mercadoria Vendida</t>
        </is>
      </c>
      <c r="M876" t="inlineStr">
        <is>
          <t>Insumos - Alimentos</t>
        </is>
      </c>
      <c r="N876" t="inlineStr">
        <is>
          <t>139646</t>
        </is>
      </c>
      <c r="O876" t="inlineStr">
        <is>
          <t>Documentação Aprovada</t>
        </is>
      </c>
      <c r="P876" t="inlineStr">
        <is>
          <t>Aprovado Diretoria</t>
        </is>
      </c>
      <c r="Q876" t="inlineStr">
        <is>
          <t>Aprovado Caixa</t>
        </is>
      </c>
      <c r="R876" t="inlineStr">
        <is>
          <t>Pago</t>
        </is>
      </c>
      <c r="S876" t="n">
        <v>182</v>
      </c>
      <c r="T876" t="inlineStr">
        <is>
          <t>Love - Shibari - Kamino</t>
        </is>
      </c>
    </row>
    <row r="877">
      <c r="A877" t="n">
        <v>161840</v>
      </c>
      <c r="B877" t="n">
        <v>128</v>
      </c>
      <c r="C877" t="inlineStr">
        <is>
          <t>Love Cabaret</t>
        </is>
      </c>
      <c r="D877" t="inlineStr">
        <is>
          <t>WPP COMERCIO DE CARNES LTDA</t>
        </is>
      </c>
      <c r="E877" t="n">
        <v>359.1</v>
      </c>
      <c r="F877" s="27" t="n">
        <v>45930</v>
      </c>
      <c r="G877" s="27" t="n">
        <v>45929</v>
      </c>
      <c r="H877" s="27" t="n">
        <v>45929</v>
      </c>
      <c r="I877" s="27" t="n">
        <v>45916</v>
      </c>
      <c r="J877" s="27" t="n">
        <v>45917</v>
      </c>
      <c r="K877" t="inlineStr">
        <is>
          <t>Boleto Bancário</t>
        </is>
      </c>
      <c r="L877" t="inlineStr">
        <is>
          <t>Custo Mercadoria Vendida</t>
        </is>
      </c>
      <c r="M877" t="inlineStr">
        <is>
          <t>Insumos - Alimentos</t>
        </is>
      </c>
      <c r="N877" t="inlineStr">
        <is>
          <t>74489</t>
        </is>
      </c>
      <c r="O877" t="inlineStr">
        <is>
          <t>Documentação Aprovada</t>
        </is>
      </c>
      <c r="P877" t="inlineStr">
        <is>
          <t>Aprovado Diretoria</t>
        </is>
      </c>
      <c r="Q877" t="inlineStr">
        <is>
          <t>Aprovado Caixa</t>
        </is>
      </c>
      <c r="R877" t="inlineStr">
        <is>
          <t>Pago</t>
        </is>
      </c>
      <c r="S877" t="n">
        <v>182</v>
      </c>
      <c r="T877" t="inlineStr">
        <is>
          <t>Love - Shibari - Kamino</t>
        </is>
      </c>
    </row>
    <row r="878">
      <c r="A878" t="n">
        <v>161847</v>
      </c>
      <c r="B878" t="n">
        <v>128</v>
      </c>
      <c r="C878" t="inlineStr">
        <is>
          <t>Love Cabaret</t>
        </is>
      </c>
      <c r="D878" t="inlineStr">
        <is>
          <t xml:space="preserve">LATICINIOS FIOR DITALIA LTDA </t>
        </is>
      </c>
      <c r="E878" t="n">
        <v>326.75</v>
      </c>
      <c r="F878" s="27" t="n">
        <v>45931</v>
      </c>
      <c r="G878" s="27" t="n">
        <v>45929</v>
      </c>
      <c r="H878" s="27" t="n">
        <v>45929</v>
      </c>
      <c r="I878" s="27" t="n">
        <v>45915</v>
      </c>
      <c r="J878" s="27" t="n">
        <v>45917</v>
      </c>
      <c r="K878" t="inlineStr">
        <is>
          <t>Boleto Bancário</t>
        </is>
      </c>
      <c r="L878" t="inlineStr">
        <is>
          <t>Custo Mercadoria Vendida</t>
        </is>
      </c>
      <c r="M878" t="inlineStr">
        <is>
          <t>Insumos - Alimentos</t>
        </is>
      </c>
      <c r="N878" t="inlineStr">
        <is>
          <t>39081</t>
        </is>
      </c>
      <c r="O878" t="inlineStr">
        <is>
          <t>Documentação Aprovada</t>
        </is>
      </c>
      <c r="P878" t="inlineStr">
        <is>
          <t>Aprovado Diretoria</t>
        </is>
      </c>
      <c r="Q878" t="inlineStr">
        <is>
          <t>Aprovado Caixa</t>
        </is>
      </c>
      <c r="R878" t="inlineStr">
        <is>
          <t>Pago</t>
        </is>
      </c>
      <c r="S878" t="n">
        <v>182</v>
      </c>
      <c r="T878" t="inlineStr">
        <is>
          <t>Love - Shibari - Kamino</t>
        </is>
      </c>
    </row>
    <row r="879">
      <c r="A879" t="n">
        <v>161992</v>
      </c>
      <c r="B879" t="n">
        <v>128</v>
      </c>
      <c r="C879" t="inlineStr">
        <is>
          <t>Love Cabaret</t>
        </is>
      </c>
      <c r="D879" t="inlineStr">
        <is>
          <t xml:space="preserve">HORTIFRUTI DO CHEF LTDA </t>
        </is>
      </c>
      <c r="E879" t="n">
        <v>509.34</v>
      </c>
      <c r="F879" s="27" t="n">
        <v>45929</v>
      </c>
      <c r="G879" s="27" t="n">
        <v>45929</v>
      </c>
      <c r="H879" s="27" t="n">
        <v>45929</v>
      </c>
      <c r="I879" s="27" t="n">
        <v>45915</v>
      </c>
      <c r="J879" s="27" t="n">
        <v>45918</v>
      </c>
      <c r="K879" t="inlineStr">
        <is>
          <t>Boleto Bancário</t>
        </is>
      </c>
      <c r="L879" t="inlineStr">
        <is>
          <t>Custo Mercadoria Vendida</t>
        </is>
      </c>
      <c r="M879" t="inlineStr">
        <is>
          <t>Insumos - Alimentos</t>
        </is>
      </c>
      <c r="N879" t="inlineStr">
        <is>
          <t>27884</t>
        </is>
      </c>
      <c r="O879" t="inlineStr">
        <is>
          <t>Documentação Aprovada</t>
        </is>
      </c>
      <c r="P879" t="inlineStr">
        <is>
          <t>Aprovado Diretoria</t>
        </is>
      </c>
      <c r="Q879" t="inlineStr">
        <is>
          <t>Aprovado Caixa</t>
        </is>
      </c>
      <c r="R879" t="inlineStr">
        <is>
          <t>Pago</t>
        </is>
      </c>
      <c r="S879" t="n">
        <v>182</v>
      </c>
      <c r="T879" t="inlineStr">
        <is>
          <t>Love - Shibari - Kamino</t>
        </is>
      </c>
    </row>
    <row r="880">
      <c r="A880" t="n">
        <v>161852</v>
      </c>
      <c r="B880" t="n">
        <v>128</v>
      </c>
      <c r="C880" t="inlineStr">
        <is>
          <t>Love Cabaret</t>
        </is>
      </c>
      <c r="D880" t="inlineStr">
        <is>
          <t>PARAMU COMERCIO E REPRESENTACAO DE PRODUTOS ALIMENTICIOS</t>
        </is>
      </c>
      <c r="E880" t="n">
        <v>339.9</v>
      </c>
      <c r="F880" s="27" t="n">
        <v>45929</v>
      </c>
      <c r="G880" s="27" t="n">
        <v>45929</v>
      </c>
      <c r="H880" s="27" t="n">
        <v>45929</v>
      </c>
      <c r="I880" s="27" t="n">
        <v>45915</v>
      </c>
      <c r="J880" s="27" t="n">
        <v>45917</v>
      </c>
      <c r="K880" t="inlineStr">
        <is>
          <t>Boleto Bancário</t>
        </is>
      </c>
      <c r="L880" t="inlineStr">
        <is>
          <t>Custo Mercadoria Vendida</t>
        </is>
      </c>
      <c r="M880" t="inlineStr">
        <is>
          <t>Insumos - Alimentos</t>
        </is>
      </c>
      <c r="N880" t="inlineStr">
        <is>
          <t>15374</t>
        </is>
      </c>
      <c r="O880" t="inlineStr">
        <is>
          <t>Documentação Aprovada</t>
        </is>
      </c>
      <c r="P880" t="inlineStr">
        <is>
          <t>Aprovado Diretoria</t>
        </is>
      </c>
      <c r="Q880" t="inlineStr">
        <is>
          <t>Aprovado Caixa</t>
        </is>
      </c>
      <c r="R880" t="inlineStr">
        <is>
          <t>Pago</t>
        </is>
      </c>
      <c r="S880" t="n">
        <v>182</v>
      </c>
      <c r="T880" t="inlineStr">
        <is>
          <t>Love - Shibari - Kamino</t>
        </is>
      </c>
    </row>
    <row r="881">
      <c r="A881" t="n">
        <v>160781</v>
      </c>
      <c r="B881" t="n">
        <v>128</v>
      </c>
      <c r="C881" t="inlineStr">
        <is>
          <t>Love Cabaret</t>
        </is>
      </c>
      <c r="D881" t="inlineStr">
        <is>
          <t>VALE TRANSPORTE</t>
        </is>
      </c>
      <c r="E881" t="n">
        <v>1009.95</v>
      </c>
      <c r="F881" s="27" t="n">
        <v>45929</v>
      </c>
      <c r="G881" s="27" t="n">
        <v>45929</v>
      </c>
      <c r="H881" s="27" t="n">
        <v>45929</v>
      </c>
      <c r="I881" s="27" t="n">
        <v>45931</v>
      </c>
      <c r="J881" s="27" t="n">
        <v>45915</v>
      </c>
      <c r="K881" t="inlineStr">
        <is>
          <t>Boleto Bancário</t>
        </is>
      </c>
      <c r="L881" t="inlineStr">
        <is>
          <t>Mão de Obra - Benefícios</t>
        </is>
      </c>
      <c r="M881" t="inlineStr">
        <is>
          <t xml:space="preserve">  -  Vale-transporte</t>
        </is>
      </c>
      <c r="N881" t="inlineStr">
        <is>
          <t>100995 102025</t>
        </is>
      </c>
      <c r="O881" t="inlineStr">
        <is>
          <t>Documentação Aprovada</t>
        </is>
      </c>
      <c r="P881" t="inlineStr">
        <is>
          <t>Aprovado Diretoria</t>
        </is>
      </c>
      <c r="Q881" t="inlineStr">
        <is>
          <t>Aprovado Caixa</t>
        </is>
      </c>
      <c r="R881" t="inlineStr">
        <is>
          <t>Pago</t>
        </is>
      </c>
      <c r="S881" t="n">
        <v>182</v>
      </c>
      <c r="T881" t="inlineStr">
        <is>
          <t>Love - Shibari - Kamino</t>
        </is>
      </c>
    </row>
    <row r="882">
      <c r="A882" t="n">
        <v>158050</v>
      </c>
      <c r="B882" t="n">
        <v>128</v>
      </c>
      <c r="C882" t="inlineStr">
        <is>
          <t>Love Cabaret</t>
        </is>
      </c>
      <c r="D882" t="inlineStr">
        <is>
          <t>CICLO PARTICIPACOES LTDA</t>
        </is>
      </c>
      <c r="E882" t="n">
        <v>27540.92</v>
      </c>
      <c r="F882" s="27" t="n">
        <v>45930</v>
      </c>
      <c r="G882" s="27" t="n">
        <v>45929</v>
      </c>
      <c r="H882" s="27" t="n">
        <v>45929</v>
      </c>
      <c r="I882" s="27" t="n">
        <v>45901</v>
      </c>
      <c r="J882" s="27" t="n"/>
      <c r="K882" t="inlineStr">
        <is>
          <t>Transferência Bancária ou Pix</t>
        </is>
      </c>
      <c r="L882" t="inlineStr">
        <is>
          <t>Custo de Ocupação</t>
        </is>
      </c>
      <c r="M882" t="inlineStr">
        <is>
          <t>Aluguel de Imoveis</t>
        </is>
      </c>
      <c r="N882" t="inlineStr">
        <is>
          <t>2/2</t>
        </is>
      </c>
      <c r="O882" t="inlineStr">
        <is>
          <t>Documentação Aprovada</t>
        </is>
      </c>
      <c r="P882" t="inlineStr">
        <is>
          <t>Aprovado Diretoria</t>
        </is>
      </c>
      <c r="Q882" t="inlineStr">
        <is>
          <t>Aprovado Caixa</t>
        </is>
      </c>
      <c r="R882" t="inlineStr">
        <is>
          <t>Pago</t>
        </is>
      </c>
      <c r="S882" t="n">
        <v>182</v>
      </c>
      <c r="T882" t="inlineStr">
        <is>
          <t>Love - Shibari - Kamino</t>
        </is>
      </c>
    </row>
    <row r="883">
      <c r="A883" t="n">
        <v>159163</v>
      </c>
      <c r="B883" t="n">
        <v>128</v>
      </c>
      <c r="C883" t="inlineStr">
        <is>
          <t>Love Cabaret</t>
        </is>
      </c>
      <c r="D883" t="inlineStr">
        <is>
          <t>B.B DISTRIBUIDORA DE CARNES LTDA</t>
        </is>
      </c>
      <c r="E883" t="n">
        <v>344.04</v>
      </c>
      <c r="F883" s="27" t="n">
        <v>45929</v>
      </c>
      <c r="G883" s="27" t="n">
        <v>45929</v>
      </c>
      <c r="H883" s="27" t="n">
        <v>45929</v>
      </c>
      <c r="I883" s="27" t="n">
        <v>45901</v>
      </c>
      <c r="J883" s="27" t="n">
        <v>45904</v>
      </c>
      <c r="K883" t="inlineStr">
        <is>
          <t>Boleto Bancário</t>
        </is>
      </c>
      <c r="L883" t="inlineStr">
        <is>
          <t>Custo Mercadoria Vendida</t>
        </is>
      </c>
      <c r="M883" t="inlineStr">
        <is>
          <t>Insumos - Alimentos</t>
        </is>
      </c>
      <c r="N883" t="inlineStr">
        <is>
          <t>401299</t>
        </is>
      </c>
      <c r="O883" t="inlineStr">
        <is>
          <t>Documentação Aprovada</t>
        </is>
      </c>
      <c r="P883" t="inlineStr">
        <is>
          <t>Aprovado Diretoria</t>
        </is>
      </c>
      <c r="Q883" t="inlineStr">
        <is>
          <t>Aprovado Caixa</t>
        </is>
      </c>
      <c r="R883" t="inlineStr">
        <is>
          <t>Pago</t>
        </is>
      </c>
      <c r="S883" t="n">
        <v>182</v>
      </c>
      <c r="T883" t="inlineStr">
        <is>
          <t>Love - Shibari - Kamino</t>
        </is>
      </c>
    </row>
    <row r="884">
      <c r="A884" t="n">
        <v>159184</v>
      </c>
      <c r="B884" t="n">
        <v>128</v>
      </c>
      <c r="C884" t="inlineStr">
        <is>
          <t>Love Cabaret</t>
        </is>
      </c>
      <c r="D884" t="inlineStr">
        <is>
          <t>PROAUTO INDUSTRIA QUIMICA EIRELI</t>
        </is>
      </c>
      <c r="E884" t="n">
        <v>1505.52</v>
      </c>
      <c r="F884" s="27" t="n">
        <v>45929</v>
      </c>
      <c r="G884" s="27" t="n">
        <v>45929</v>
      </c>
      <c r="H884" s="27" t="n">
        <v>45929</v>
      </c>
      <c r="I884" s="27" t="n">
        <v>45901</v>
      </c>
      <c r="J884" s="27" t="n">
        <v>45904</v>
      </c>
      <c r="K884" t="inlineStr">
        <is>
          <t>Boleto Bancário</t>
        </is>
      </c>
      <c r="L884" t="inlineStr">
        <is>
          <t>Utilidades</t>
        </is>
      </c>
      <c r="M884" t="inlineStr">
        <is>
          <t>Higiene e Limpeza</t>
        </is>
      </c>
      <c r="N884" t="inlineStr">
        <is>
          <t>143581</t>
        </is>
      </c>
      <c r="O884" t="inlineStr">
        <is>
          <t>Documentação Aprovada</t>
        </is>
      </c>
      <c r="P884" t="inlineStr">
        <is>
          <t>Aprovado Diretoria</t>
        </is>
      </c>
      <c r="Q884" t="inlineStr">
        <is>
          <t>Aprovado Caixa</t>
        </is>
      </c>
      <c r="R884" t="inlineStr">
        <is>
          <t>Pago</t>
        </is>
      </c>
      <c r="S884" t="n">
        <v>182</v>
      </c>
      <c r="T884" t="inlineStr">
        <is>
          <t>Love - Shibari - Kamino</t>
        </is>
      </c>
    </row>
    <row r="885">
      <c r="A885" t="n">
        <v>155511</v>
      </c>
      <c r="B885" t="n">
        <v>128</v>
      </c>
      <c r="C885" t="inlineStr">
        <is>
          <t>Love Cabaret</t>
        </is>
      </c>
      <c r="D885" t="inlineStr">
        <is>
          <t>LUIZ ROBERTO DA SILVA JUNIOR</t>
        </is>
      </c>
      <c r="E885" t="n">
        <v>4000</v>
      </c>
      <c r="F885" s="27" t="n">
        <v>45928</v>
      </c>
      <c r="G885" s="27" t="n">
        <v>45929</v>
      </c>
      <c r="H885" s="27" t="n">
        <v>45929</v>
      </c>
      <c r="I885" s="27" t="n">
        <v>45901</v>
      </c>
      <c r="J885" s="27" t="n">
        <v>45888</v>
      </c>
      <c r="K885" t="inlineStr">
        <is>
          <t>Transferência Bancária ou Pix</t>
        </is>
      </c>
      <c r="L885" t="inlineStr">
        <is>
          <t>Custos Artístico Geral</t>
        </is>
      </c>
      <c r="M885" t="inlineStr">
        <is>
          <t>Locação de Equipamentos Fixo</t>
        </is>
      </c>
      <c r="N885" t="inlineStr">
        <is>
          <t>942025</t>
        </is>
      </c>
      <c r="O885" t="inlineStr">
        <is>
          <t>Documentação Aprovada</t>
        </is>
      </c>
      <c r="P885" t="inlineStr">
        <is>
          <t>Aprovado Diretoria</t>
        </is>
      </c>
      <c r="Q885" t="inlineStr">
        <is>
          <t>Aprovado Caixa</t>
        </is>
      </c>
      <c r="R885" t="inlineStr">
        <is>
          <t>Pago</t>
        </is>
      </c>
      <c r="S885" t="n">
        <v>182</v>
      </c>
      <c r="T885" t="inlineStr">
        <is>
          <t>Love - Shibari - Kamino</t>
        </is>
      </c>
    </row>
    <row r="886">
      <c r="A886" t="n">
        <v>163415</v>
      </c>
      <c r="B886" t="n">
        <v>128</v>
      </c>
      <c r="C886" t="inlineStr">
        <is>
          <t>Love Cabaret</t>
        </is>
      </c>
      <c r="D886" t="inlineStr">
        <is>
          <t>BRADESCO SA</t>
        </is>
      </c>
      <c r="E886" t="n">
        <v>9.800000000000001</v>
      </c>
      <c r="F886" s="27" t="n">
        <v>45926</v>
      </c>
      <c r="G886" s="27" t="n"/>
      <c r="H886" s="27" t="n">
        <v>45926</v>
      </c>
      <c r="I886" s="27" t="n">
        <v>45926</v>
      </c>
      <c r="J886" s="27" t="n">
        <v>45929</v>
      </c>
      <c r="K886" t="inlineStr">
        <is>
          <t>Encontro de Contas</t>
        </is>
      </c>
      <c r="L886" t="inlineStr">
        <is>
          <t>Despesas Financeiras</t>
        </is>
      </c>
      <c r="M886" t="inlineStr">
        <is>
          <t>Tarifas Bancárias</t>
        </is>
      </c>
      <c r="N886" t="inlineStr">
        <is>
          <t>092025</t>
        </is>
      </c>
      <c r="R886" t="inlineStr">
        <is>
          <t>Pago</t>
        </is>
      </c>
    </row>
    <row r="887">
      <c r="A887" t="n">
        <v>163362</v>
      </c>
      <c r="B887" t="n">
        <v>128</v>
      </c>
      <c r="C887" t="inlineStr">
        <is>
          <t>Love Cabaret</t>
        </is>
      </c>
      <c r="D887" t="inlineStr">
        <is>
          <t>PJ 00192022 - FELIPE FERREIRA FRANCA</t>
        </is>
      </c>
      <c r="E887" t="n">
        <v>1600</v>
      </c>
      <c r="F887" s="27" t="n">
        <v>45926</v>
      </c>
      <c r="G887" s="27" t="n">
        <v>45926</v>
      </c>
      <c r="H887" s="27" t="n">
        <v>45926</v>
      </c>
      <c r="I887" s="27" t="n">
        <v>45921</v>
      </c>
      <c r="J887" s="27" t="n">
        <v>45926</v>
      </c>
      <c r="K887" t="inlineStr">
        <is>
          <t>Transferência Bancária ou Pix</t>
        </is>
      </c>
      <c r="L887" t="inlineStr">
        <is>
          <t>Utilidades</t>
        </is>
      </c>
      <c r="M887" t="inlineStr">
        <is>
          <t>Agua/Esgoto</t>
        </is>
      </c>
      <c r="N887" t="inlineStr">
        <is>
          <t>982025</t>
        </is>
      </c>
      <c r="O887" t="inlineStr">
        <is>
          <t>Documentação Aprovada</t>
        </is>
      </c>
      <c r="P887" t="inlineStr">
        <is>
          <t>Aprovado Diretoria</t>
        </is>
      </c>
      <c r="Q887" t="inlineStr">
        <is>
          <t>Aprovado Caixa</t>
        </is>
      </c>
      <c r="R887" t="inlineStr">
        <is>
          <t>Pago</t>
        </is>
      </c>
      <c r="S887" t="n">
        <v>115</v>
      </c>
      <c r="T887" t="inlineStr">
        <is>
          <t>Love - Shibari - Bradesco</t>
        </is>
      </c>
    </row>
    <row r="888">
      <c r="A888" t="n">
        <v>156255</v>
      </c>
      <c r="B888" t="n">
        <v>128</v>
      </c>
      <c r="C888" t="inlineStr">
        <is>
          <t>Love Cabaret</t>
        </is>
      </c>
      <c r="D888" t="inlineStr">
        <is>
          <t>GOOGLE WORKSPACE</t>
        </is>
      </c>
      <c r="E888" t="n">
        <v>741.99</v>
      </c>
      <c r="F888" s="27" t="n">
        <v>45925</v>
      </c>
      <c r="G888" s="27" t="n">
        <v>45924</v>
      </c>
      <c r="H888" s="27" t="n">
        <v>45924</v>
      </c>
      <c r="I888" s="27" t="n">
        <v>45870</v>
      </c>
      <c r="J888" s="27" t="n">
        <v>45891</v>
      </c>
      <c r="K888" t="inlineStr">
        <is>
          <t>Transferência Bancária ou Pix</t>
        </is>
      </c>
      <c r="L888" t="inlineStr">
        <is>
          <t>Marketing</t>
        </is>
      </c>
      <c r="M888" t="inlineStr">
        <is>
          <t>Publicidade e Propaganda</t>
        </is>
      </c>
      <c r="N888" t="inlineStr">
        <is>
          <t>002-2025</t>
        </is>
      </c>
      <c r="O888" t="inlineStr">
        <is>
          <t>Documentação Aprovada</t>
        </is>
      </c>
      <c r="P888" t="inlineStr">
        <is>
          <t>Aprovado Diretoria</t>
        </is>
      </c>
      <c r="Q888" t="inlineStr">
        <is>
          <t>Aprovado Caixa</t>
        </is>
      </c>
      <c r="R888" t="inlineStr">
        <is>
          <t>Pago</t>
        </is>
      </c>
      <c r="S888" t="n">
        <v>182</v>
      </c>
      <c r="T888" t="inlineStr">
        <is>
          <t>Love - Shibari - Kamino</t>
        </is>
      </c>
    </row>
    <row r="889">
      <c r="A889" t="n">
        <v>157039</v>
      </c>
      <c r="B889" t="n">
        <v>128</v>
      </c>
      <c r="C889" t="inlineStr">
        <is>
          <t>Love Cabaret</t>
        </is>
      </c>
      <c r="D889" t="inlineStr">
        <is>
          <t>EMPORIO M&amp;L COMERCIO DE ALIM E BEBIDAS LTDA</t>
        </is>
      </c>
      <c r="E889" t="n">
        <v>754.5</v>
      </c>
      <c r="F889" s="27" t="n">
        <v>45925</v>
      </c>
      <c r="G889" s="27" t="n">
        <v>45924</v>
      </c>
      <c r="H889" s="27" t="n">
        <v>45924</v>
      </c>
      <c r="I889" s="27" t="n">
        <v>45895</v>
      </c>
      <c r="J889" s="27" t="n">
        <v>45896</v>
      </c>
      <c r="K889" t="inlineStr">
        <is>
          <t>Boleto Bancário</t>
        </is>
      </c>
      <c r="L889" t="inlineStr">
        <is>
          <t>Custo Mercadoria Vendida</t>
        </is>
      </c>
      <c r="M889" t="inlineStr">
        <is>
          <t>Insumos - Bebidas</t>
        </is>
      </c>
      <c r="N889" t="inlineStr">
        <is>
          <t>468315</t>
        </is>
      </c>
      <c r="O889" t="inlineStr">
        <is>
          <t>Documentação Aprovada</t>
        </is>
      </c>
      <c r="P889" t="inlineStr">
        <is>
          <t>Aprovado Diretoria</t>
        </is>
      </c>
      <c r="Q889" t="inlineStr">
        <is>
          <t>Aprovado Caixa</t>
        </is>
      </c>
      <c r="R889" t="inlineStr">
        <is>
          <t>Pago</t>
        </is>
      </c>
      <c r="S889" t="n">
        <v>182</v>
      </c>
      <c r="T889" t="inlineStr">
        <is>
          <t>Love - Shibari - Kamino</t>
        </is>
      </c>
    </row>
    <row r="890">
      <c r="A890" t="n">
        <v>157044</v>
      </c>
      <c r="B890" t="n">
        <v>128</v>
      </c>
      <c r="C890" t="inlineStr">
        <is>
          <t>Love Cabaret</t>
        </is>
      </c>
      <c r="D890" t="inlineStr">
        <is>
          <t>EMPORIO M&amp;L COMERCIO DE ALIM E BEBIDAS LTDA</t>
        </is>
      </c>
      <c r="E890" t="n">
        <v>504.8</v>
      </c>
      <c r="F890" s="27" t="n">
        <v>45925</v>
      </c>
      <c r="G890" s="27" t="n">
        <v>45924</v>
      </c>
      <c r="H890" s="27" t="n">
        <v>45924</v>
      </c>
      <c r="I890" s="27" t="n">
        <v>45895</v>
      </c>
      <c r="J890" s="27" t="n">
        <v>45896</v>
      </c>
      <c r="K890" t="inlineStr">
        <is>
          <t>Boleto Bancário</t>
        </is>
      </c>
      <c r="L890" t="inlineStr">
        <is>
          <t>Custo Mercadoria Vendida</t>
        </is>
      </c>
      <c r="M890" t="inlineStr">
        <is>
          <t>Insumos - Alimentos</t>
        </is>
      </c>
      <c r="N890" t="inlineStr">
        <is>
          <t>468372</t>
        </is>
      </c>
      <c r="O890" t="inlineStr">
        <is>
          <t>Documentação Aprovada</t>
        </is>
      </c>
      <c r="P890" t="inlineStr">
        <is>
          <t>Aprovado Diretoria</t>
        </is>
      </c>
      <c r="Q890" t="inlineStr">
        <is>
          <t>Aprovado Caixa</t>
        </is>
      </c>
      <c r="R890" t="inlineStr">
        <is>
          <t>Pago</t>
        </is>
      </c>
      <c r="S890" t="n">
        <v>182</v>
      </c>
      <c r="T890" t="inlineStr">
        <is>
          <t>Love - Shibari - Kamino</t>
        </is>
      </c>
    </row>
    <row r="891">
      <c r="A891" t="n">
        <v>135771</v>
      </c>
      <c r="B891" t="n">
        <v>128</v>
      </c>
      <c r="C891" t="inlineStr">
        <is>
          <t>Love Cabaret</t>
        </is>
      </c>
      <c r="D891" t="inlineStr">
        <is>
          <t xml:space="preserve">RD GESTAO E SISTEMAS S.A </t>
        </is>
      </c>
      <c r="E891" t="n">
        <v>939.03</v>
      </c>
      <c r="F891" s="27" t="n">
        <v>45907</v>
      </c>
      <c r="G891" s="27" t="n">
        <v>45924</v>
      </c>
      <c r="H891" s="27" t="n">
        <v>45924</v>
      </c>
      <c r="I891" s="27" t="n">
        <v>45899</v>
      </c>
      <c r="J891" s="27" t="n"/>
      <c r="K891" t="inlineStr">
        <is>
          <t>Transferência Bancária ou Pix</t>
        </is>
      </c>
      <c r="L891" t="inlineStr">
        <is>
          <t>Marketing</t>
        </is>
      </c>
      <c r="M891" t="inlineStr">
        <is>
          <t>Ferramentas de Marketing</t>
        </is>
      </c>
      <c r="N891" t="inlineStr">
        <is>
          <t>RP003-2025</t>
        </is>
      </c>
      <c r="O891" t="inlineStr">
        <is>
          <t>Documentação Aprovada</t>
        </is>
      </c>
      <c r="P891" t="inlineStr">
        <is>
          <t>Aprovado Diretoria</t>
        </is>
      </c>
      <c r="Q891" t="inlineStr">
        <is>
          <t>Aprovado Caixa</t>
        </is>
      </c>
      <c r="R891" t="inlineStr">
        <is>
          <t>Pago</t>
        </is>
      </c>
      <c r="S891" t="n">
        <v>182</v>
      </c>
      <c r="T891" t="inlineStr">
        <is>
          <t>Love - Shibari - Kamino</t>
        </is>
      </c>
    </row>
    <row r="892">
      <c r="A892" t="n">
        <v>135770</v>
      </c>
      <c r="B892" t="n">
        <v>128</v>
      </c>
      <c r="C892" t="inlineStr">
        <is>
          <t>Love Cabaret</t>
        </is>
      </c>
      <c r="D892" t="inlineStr">
        <is>
          <t xml:space="preserve">RD GESTAO E SISTEMAS S.A </t>
        </is>
      </c>
      <c r="E892" t="n">
        <v>759.05</v>
      </c>
      <c r="F892" s="27" t="n">
        <v>45876</v>
      </c>
      <c r="G892" s="27" t="n">
        <v>45924</v>
      </c>
      <c r="H892" s="27" t="n">
        <v>45924</v>
      </c>
      <c r="I892" s="27" t="n">
        <v>45868</v>
      </c>
      <c r="J892" s="27" t="n"/>
      <c r="K892" t="inlineStr">
        <is>
          <t>Transferência Bancária ou Pix</t>
        </is>
      </c>
      <c r="L892" t="inlineStr">
        <is>
          <t>Marketing</t>
        </is>
      </c>
      <c r="M892" t="inlineStr">
        <is>
          <t>Ferramentas de Marketing</t>
        </is>
      </c>
      <c r="N892" t="inlineStr">
        <is>
          <t>RP003-2025</t>
        </is>
      </c>
      <c r="O892" t="inlineStr">
        <is>
          <t>Documentação Aprovada</t>
        </is>
      </c>
      <c r="P892" t="inlineStr">
        <is>
          <t>Aprovado Diretoria</t>
        </is>
      </c>
      <c r="Q892" t="inlineStr">
        <is>
          <t>Aprovado Caixa</t>
        </is>
      </c>
      <c r="R892" t="inlineStr">
        <is>
          <t>Pago</t>
        </is>
      </c>
      <c r="S892" t="n">
        <v>182</v>
      </c>
      <c r="T892" t="inlineStr">
        <is>
          <t>Love - Shibari - Kamino</t>
        </is>
      </c>
    </row>
    <row r="893">
      <c r="A893" t="n">
        <v>135767</v>
      </c>
      <c r="B893" t="n">
        <v>128</v>
      </c>
      <c r="C893" t="inlineStr">
        <is>
          <t>Love Cabaret</t>
        </is>
      </c>
      <c r="D893" t="inlineStr">
        <is>
          <t xml:space="preserve">RD GESTAO E SISTEMAS S.A </t>
        </is>
      </c>
      <c r="E893" t="n">
        <v>1560</v>
      </c>
      <c r="F893" s="27" t="n">
        <v>45873</v>
      </c>
      <c r="G893" s="27" t="n">
        <v>45924</v>
      </c>
      <c r="H893" s="27" t="n">
        <v>45924</v>
      </c>
      <c r="I893" s="27" t="n">
        <v>45870</v>
      </c>
      <c r="J893" s="27" t="n">
        <v>45810</v>
      </c>
      <c r="K893" t="inlineStr">
        <is>
          <t>Transferência Bancária ou Pix</t>
        </is>
      </c>
      <c r="L893" t="inlineStr">
        <is>
          <t>Marketing</t>
        </is>
      </c>
      <c r="M893" t="inlineStr">
        <is>
          <t>Ferramentas de Marketing</t>
        </is>
      </c>
      <c r="N893" t="inlineStr">
        <is>
          <t>RP 050-2025</t>
        </is>
      </c>
      <c r="O893" t="inlineStr">
        <is>
          <t>Documentação Aprovada</t>
        </is>
      </c>
      <c r="P893" t="inlineStr">
        <is>
          <t>Aprovado Diretoria</t>
        </is>
      </c>
      <c r="Q893" t="inlineStr">
        <is>
          <t>Aprovado Caixa</t>
        </is>
      </c>
      <c r="R893" t="inlineStr">
        <is>
          <t>Pago</t>
        </is>
      </c>
      <c r="S893" t="n">
        <v>182</v>
      </c>
      <c r="T893" t="inlineStr">
        <is>
          <t>Love - Shibari - Kamino</t>
        </is>
      </c>
    </row>
    <row r="894">
      <c r="A894" t="n">
        <v>159169</v>
      </c>
      <c r="B894" t="n">
        <v>128</v>
      </c>
      <c r="C894" t="inlineStr">
        <is>
          <t>Love Cabaret</t>
        </is>
      </c>
      <c r="D894" t="inlineStr">
        <is>
          <t>NOVA COMERCIAL PESCADOS LTDA</t>
        </is>
      </c>
      <c r="E894" t="n">
        <v>1176</v>
      </c>
      <c r="F894" s="27" t="n">
        <v>45926</v>
      </c>
      <c r="G894" s="27" t="n">
        <v>45924</v>
      </c>
      <c r="H894" s="27" t="n">
        <v>45924</v>
      </c>
      <c r="I894" s="27" t="n">
        <v>45898</v>
      </c>
      <c r="J894" s="27" t="n">
        <v>45904</v>
      </c>
      <c r="K894" t="inlineStr">
        <is>
          <t>Boleto Bancário</t>
        </is>
      </c>
      <c r="L894" t="inlineStr">
        <is>
          <t>Custo Mercadoria Vendida</t>
        </is>
      </c>
      <c r="M894" t="inlineStr">
        <is>
          <t>Insumos - Alimentos</t>
        </is>
      </c>
      <c r="N894" t="inlineStr">
        <is>
          <t>27437</t>
        </is>
      </c>
      <c r="O894" t="inlineStr">
        <is>
          <t>Documentação Aprovada</t>
        </is>
      </c>
      <c r="P894" t="inlineStr">
        <is>
          <t>Aprovado Diretoria</t>
        </is>
      </c>
      <c r="Q894" t="inlineStr">
        <is>
          <t>Aprovado Caixa</t>
        </is>
      </c>
      <c r="R894" t="inlineStr">
        <is>
          <t>Pago</t>
        </is>
      </c>
      <c r="S894" t="n">
        <v>182</v>
      </c>
      <c r="T894" t="inlineStr">
        <is>
          <t>Love - Shibari - Kamino</t>
        </is>
      </c>
    </row>
    <row r="895">
      <c r="A895" t="n">
        <v>159768</v>
      </c>
      <c r="B895" t="n">
        <v>128</v>
      </c>
      <c r="C895" t="inlineStr">
        <is>
          <t>Love Cabaret</t>
        </is>
      </c>
      <c r="D895" t="inlineStr">
        <is>
          <t>WIDE STOCK COMERCIO E DISTRIBUICAO LTDA</t>
        </is>
      </c>
      <c r="E895" t="n">
        <v>608</v>
      </c>
      <c r="F895" s="27" t="n">
        <v>45925</v>
      </c>
      <c r="G895" s="27" t="n">
        <v>45924</v>
      </c>
      <c r="H895" s="27" t="n">
        <v>45924</v>
      </c>
      <c r="I895" s="27" t="n">
        <v>45904</v>
      </c>
      <c r="J895" s="27" t="n">
        <v>45909</v>
      </c>
      <c r="K895" t="inlineStr">
        <is>
          <t>Boleto Bancário</t>
        </is>
      </c>
      <c r="L895" t="inlineStr">
        <is>
          <t>Utilidades</t>
        </is>
      </c>
      <c r="M895" t="inlineStr">
        <is>
          <t>Higiene e Limpeza</t>
        </is>
      </c>
      <c r="N895" t="inlineStr">
        <is>
          <t>413255</t>
        </is>
      </c>
      <c r="O895" t="inlineStr">
        <is>
          <t>Documentação Aprovada</t>
        </is>
      </c>
      <c r="P895" t="inlineStr">
        <is>
          <t>Aprovado Diretoria</t>
        </is>
      </c>
      <c r="Q895" t="inlineStr">
        <is>
          <t>Aprovado Caixa</t>
        </is>
      </c>
      <c r="R895" t="inlineStr">
        <is>
          <t>Pago</t>
        </is>
      </c>
      <c r="S895" t="n">
        <v>182</v>
      </c>
      <c r="T895" t="inlineStr">
        <is>
          <t>Love - Shibari - Kamino</t>
        </is>
      </c>
    </row>
    <row r="896">
      <c r="A896" t="n">
        <v>161858</v>
      </c>
      <c r="B896" t="n">
        <v>128</v>
      </c>
      <c r="C896" t="inlineStr">
        <is>
          <t>Love Cabaret</t>
        </is>
      </c>
      <c r="D896" t="inlineStr">
        <is>
          <t>HNK BR IND DE BEBIDAS</t>
        </is>
      </c>
      <c r="E896" t="n">
        <v>5010.54</v>
      </c>
      <c r="F896" s="27" t="n">
        <v>45926</v>
      </c>
      <c r="G896" s="27" t="n">
        <v>45924</v>
      </c>
      <c r="H896" s="27" t="n">
        <v>45924</v>
      </c>
      <c r="I896" s="27" t="n">
        <v>45912</v>
      </c>
      <c r="J896" s="27" t="n">
        <v>45917</v>
      </c>
      <c r="K896" t="inlineStr">
        <is>
          <t>Boleto Bancário</t>
        </is>
      </c>
      <c r="L896" t="inlineStr">
        <is>
          <t>Custo Mercadoria Vendida</t>
        </is>
      </c>
      <c r="M896" t="inlineStr">
        <is>
          <t>Insumos - Bebidas</t>
        </is>
      </c>
      <c r="N896" t="inlineStr">
        <is>
          <t>57758</t>
        </is>
      </c>
      <c r="O896" t="inlineStr">
        <is>
          <t>Documentação Aprovada</t>
        </is>
      </c>
      <c r="P896" t="inlineStr">
        <is>
          <t>Aprovado Diretoria</t>
        </is>
      </c>
      <c r="Q896" t="inlineStr">
        <is>
          <t>Aprovado Caixa</t>
        </is>
      </c>
      <c r="R896" t="inlineStr">
        <is>
          <t>Pago</t>
        </is>
      </c>
      <c r="S896" t="n">
        <v>182</v>
      </c>
      <c r="T896" t="inlineStr">
        <is>
          <t>Love - Shibari - Kamino</t>
        </is>
      </c>
    </row>
    <row r="897">
      <c r="A897" t="n">
        <v>161506</v>
      </c>
      <c r="B897" t="n">
        <v>128</v>
      </c>
      <c r="C897" t="inlineStr">
        <is>
          <t>Love Cabaret</t>
        </is>
      </c>
      <c r="D897" t="inlineStr">
        <is>
          <t xml:space="preserve">ARENA VIP DISTRIBUIDORA DE BEBIDAS LTDA </t>
        </is>
      </c>
      <c r="E897" t="n">
        <v>527.88</v>
      </c>
      <c r="F897" s="27" t="n">
        <v>45925</v>
      </c>
      <c r="G897" s="27" t="n">
        <v>45924</v>
      </c>
      <c r="H897" s="27" t="n">
        <v>45924</v>
      </c>
      <c r="I897" s="27" t="n">
        <v>45911</v>
      </c>
      <c r="J897" s="27" t="n">
        <v>45917</v>
      </c>
      <c r="K897" t="inlineStr">
        <is>
          <t>Boleto Bancário</t>
        </is>
      </c>
      <c r="L897" t="inlineStr">
        <is>
          <t>Custo Mercadoria Vendida</t>
        </is>
      </c>
      <c r="M897" t="inlineStr">
        <is>
          <t>Insumos - Bebidas</t>
        </is>
      </c>
      <c r="N897" t="inlineStr">
        <is>
          <t>12719</t>
        </is>
      </c>
      <c r="O897" t="inlineStr">
        <is>
          <t>Documentação Aprovada</t>
        </is>
      </c>
      <c r="P897" t="inlineStr">
        <is>
          <t>Aprovado Diretoria</t>
        </is>
      </c>
      <c r="Q897" t="inlineStr">
        <is>
          <t>Aprovado Caixa</t>
        </is>
      </c>
      <c r="R897" t="inlineStr">
        <is>
          <t>Pago</t>
        </is>
      </c>
      <c r="S897" t="n">
        <v>182</v>
      </c>
      <c r="T897" t="inlineStr">
        <is>
          <t>Love - Shibari - Kamino</t>
        </is>
      </c>
    </row>
    <row r="898">
      <c r="A898" t="n">
        <v>161505</v>
      </c>
      <c r="B898" t="n">
        <v>128</v>
      </c>
      <c r="C898" t="inlineStr">
        <is>
          <t>Love Cabaret</t>
        </is>
      </c>
      <c r="D898" t="inlineStr">
        <is>
          <t>CECILIA TSUYACO ARAKI SILVA LTDA</t>
        </is>
      </c>
      <c r="E898" t="n">
        <v>85.5</v>
      </c>
      <c r="F898" s="27" t="n">
        <v>45925</v>
      </c>
      <c r="G898" s="27" t="n">
        <v>45924</v>
      </c>
      <c r="H898" s="27" t="n">
        <v>45924</v>
      </c>
      <c r="I898" s="27" t="n">
        <v>45911</v>
      </c>
      <c r="J898" s="27" t="n">
        <v>45917</v>
      </c>
      <c r="K898" t="inlineStr">
        <is>
          <t>Boleto Bancário</t>
        </is>
      </c>
      <c r="L898" t="inlineStr">
        <is>
          <t>Custo Mercadoria Vendida</t>
        </is>
      </c>
      <c r="M898" t="inlineStr">
        <is>
          <t>Insumos - Alimentos</t>
        </is>
      </c>
      <c r="N898" t="inlineStr">
        <is>
          <t>377943</t>
        </is>
      </c>
      <c r="O898" t="inlineStr">
        <is>
          <t>Documentação Aprovada</t>
        </is>
      </c>
      <c r="P898" t="inlineStr">
        <is>
          <t>Aprovado Diretoria</t>
        </is>
      </c>
      <c r="Q898" t="inlineStr">
        <is>
          <t>Aprovado Caixa</t>
        </is>
      </c>
      <c r="R898" t="inlineStr">
        <is>
          <t>Pago</t>
        </is>
      </c>
      <c r="S898" t="n">
        <v>182</v>
      </c>
      <c r="T898" t="inlineStr">
        <is>
          <t>Love - Shibari - Kamino</t>
        </is>
      </c>
    </row>
    <row r="899">
      <c r="A899" t="n">
        <v>161055</v>
      </c>
      <c r="B899" t="n">
        <v>128</v>
      </c>
      <c r="C899" t="inlineStr">
        <is>
          <t>Love Cabaret</t>
        </is>
      </c>
      <c r="D899" t="inlineStr">
        <is>
          <t>HORTIFRUTIGRANJEIRO RODRIGUES LTDA</t>
        </is>
      </c>
      <c r="E899" t="n">
        <v>173</v>
      </c>
      <c r="F899" s="27" t="n">
        <v>45927</v>
      </c>
      <c r="G899" s="27" t="n">
        <v>45924</v>
      </c>
      <c r="H899" s="27" t="n">
        <v>45924</v>
      </c>
      <c r="I899" s="27" t="n">
        <v>45911</v>
      </c>
      <c r="J899" s="27" t="n">
        <v>45916</v>
      </c>
      <c r="K899" t="inlineStr">
        <is>
          <t>Boleto Bancário</t>
        </is>
      </c>
      <c r="L899" t="inlineStr">
        <is>
          <t>Custo Mercadoria Vendida</t>
        </is>
      </c>
      <c r="M899" t="inlineStr">
        <is>
          <t>Insumos - Alimentos</t>
        </is>
      </c>
      <c r="N899" t="inlineStr">
        <is>
          <t>12765</t>
        </is>
      </c>
      <c r="O899" t="inlineStr">
        <is>
          <t>Documentação Aprovada</t>
        </is>
      </c>
      <c r="P899" t="inlineStr">
        <is>
          <t>Aprovado Diretoria</t>
        </is>
      </c>
      <c r="Q899" t="inlineStr">
        <is>
          <t>Aprovado Caixa</t>
        </is>
      </c>
      <c r="R899" t="inlineStr">
        <is>
          <t>Pago</t>
        </is>
      </c>
      <c r="S899" t="n">
        <v>182</v>
      </c>
      <c r="T899" t="inlineStr">
        <is>
          <t>Love - Shibari - Kamino</t>
        </is>
      </c>
    </row>
    <row r="900">
      <c r="A900" t="n">
        <v>161044</v>
      </c>
      <c r="B900" t="n">
        <v>128</v>
      </c>
      <c r="C900" t="inlineStr">
        <is>
          <t>Love Cabaret</t>
        </is>
      </c>
      <c r="D900" t="inlineStr">
        <is>
          <t xml:space="preserve">ARENA VIP DISTRIBUIDORA DE BEBIDAS LTDA </t>
        </is>
      </c>
      <c r="E900" t="n">
        <v>123.54</v>
      </c>
      <c r="F900" s="27" t="n">
        <v>45925</v>
      </c>
      <c r="G900" s="27" t="n">
        <v>45924</v>
      </c>
      <c r="H900" s="27" t="n">
        <v>45924</v>
      </c>
      <c r="I900" s="27" t="n">
        <v>45911</v>
      </c>
      <c r="J900" s="27" t="n">
        <v>45916</v>
      </c>
      <c r="K900" t="inlineStr">
        <is>
          <t>Boleto Bancário</t>
        </is>
      </c>
      <c r="L900" t="inlineStr">
        <is>
          <t>Custo Mercadoria Vendida</t>
        </is>
      </c>
      <c r="M900" t="inlineStr">
        <is>
          <t>Insumos - Bebidas</t>
        </is>
      </c>
      <c r="N900" t="inlineStr">
        <is>
          <t>12803</t>
        </is>
      </c>
      <c r="O900" t="inlineStr">
        <is>
          <t>Documentação Aprovada</t>
        </is>
      </c>
      <c r="P900" t="inlineStr">
        <is>
          <t>Aprovado Diretoria</t>
        </is>
      </c>
      <c r="Q900" t="inlineStr">
        <is>
          <t>Aprovado Caixa</t>
        </is>
      </c>
      <c r="R900" t="inlineStr">
        <is>
          <t>Pago</t>
        </is>
      </c>
      <c r="S900" t="n">
        <v>182</v>
      </c>
      <c r="T900" t="inlineStr">
        <is>
          <t>Love - Shibari - Kamino</t>
        </is>
      </c>
    </row>
    <row r="901">
      <c r="A901" t="n">
        <v>160539</v>
      </c>
      <c r="B901" t="n">
        <v>128</v>
      </c>
      <c r="C901" t="inlineStr">
        <is>
          <t>Love Cabaret</t>
        </is>
      </c>
      <c r="D901" t="inlineStr">
        <is>
          <t>FLAVIO RODRIGUES DE MOURA</t>
        </is>
      </c>
      <c r="E901" t="n">
        <v>600</v>
      </c>
      <c r="F901" s="27" t="n">
        <v>45926</v>
      </c>
      <c r="G901" s="27" t="n">
        <v>45924</v>
      </c>
      <c r="H901" s="27" t="n">
        <v>45924</v>
      </c>
      <c r="I901" s="27" t="n">
        <v>45911</v>
      </c>
      <c r="J901" s="27" t="n">
        <v>45912</v>
      </c>
      <c r="K901" t="inlineStr">
        <is>
          <t>Transferência Bancária ou Pix</t>
        </is>
      </c>
      <c r="L901" t="inlineStr">
        <is>
          <t>Custos Artístico Geral</t>
        </is>
      </c>
      <c r="M901" t="inlineStr">
        <is>
          <t>Cachê de Músicos e Artistas</t>
        </is>
      </c>
      <c r="N901" t="inlineStr">
        <is>
          <t>600092025</t>
        </is>
      </c>
      <c r="O901" t="inlineStr">
        <is>
          <t>Documentação Aprovada</t>
        </is>
      </c>
      <c r="P901" t="inlineStr">
        <is>
          <t>Aprovado Diretoria</t>
        </is>
      </c>
      <c r="Q901" t="inlineStr">
        <is>
          <t>Aprovado Caixa</t>
        </is>
      </c>
      <c r="R901" t="inlineStr">
        <is>
          <t>Pago</t>
        </is>
      </c>
      <c r="S901" t="n">
        <v>182</v>
      </c>
      <c r="T901" t="inlineStr">
        <is>
          <t>Love - Shibari - Kamino</t>
        </is>
      </c>
    </row>
    <row r="902">
      <c r="A902" t="n">
        <v>171475</v>
      </c>
      <c r="B902" t="n">
        <v>128</v>
      </c>
      <c r="C902" t="inlineStr">
        <is>
          <t>Love Cabaret</t>
        </is>
      </c>
      <c r="D902" t="inlineStr">
        <is>
          <t xml:space="preserve">KAMINO INSTITUICAO DE PAGAMENTO LTDA </t>
        </is>
      </c>
      <c r="E902" t="n">
        <v>1</v>
      </c>
      <c r="F902" s="27" t="n">
        <v>45924</v>
      </c>
      <c r="G902" s="27" t="n"/>
      <c r="H902" s="27" t="n">
        <v>45924</v>
      </c>
      <c r="I902" s="27" t="n">
        <v>45924</v>
      </c>
      <c r="J902" s="27" t="n"/>
      <c r="K902" t="inlineStr">
        <is>
          <t xml:space="preserve">Debito Automático </t>
        </is>
      </c>
      <c r="L902" t="inlineStr">
        <is>
          <t>Despesas Financeiras</t>
        </is>
      </c>
      <c r="M902" t="inlineStr">
        <is>
          <t>Tarifas Bancárias</t>
        </is>
      </c>
      <c r="O902" t="inlineStr">
        <is>
          <t>Documentação Aprovada</t>
        </is>
      </c>
      <c r="P902" t="inlineStr">
        <is>
          <t>Aprovado Diretoria</t>
        </is>
      </c>
      <c r="Q902" t="inlineStr">
        <is>
          <t>Aprovado Caixa</t>
        </is>
      </c>
      <c r="R902" t="inlineStr">
        <is>
          <t>Pago</t>
        </is>
      </c>
      <c r="S902" t="n">
        <v>182</v>
      </c>
      <c r="T902" t="inlineStr">
        <is>
          <t>Love - Shibari - Kamino</t>
        </is>
      </c>
    </row>
    <row r="903">
      <c r="A903" t="n">
        <v>48498</v>
      </c>
      <c r="B903" t="n">
        <v>128</v>
      </c>
      <c r="C903" t="inlineStr">
        <is>
          <t>Love Cabaret</t>
        </is>
      </c>
      <c r="D903" t="inlineStr">
        <is>
          <t>ICMS</t>
        </is>
      </c>
      <c r="E903" t="n">
        <v>814.52</v>
      </c>
      <c r="F903" s="27" t="n">
        <v>45928</v>
      </c>
      <c r="G903" s="27" t="n">
        <v>45924</v>
      </c>
      <c r="H903" s="27" t="n">
        <v>45924</v>
      </c>
      <c r="I903" s="27" t="n">
        <v>45366</v>
      </c>
      <c r="J903" s="27" t="n"/>
      <c r="K903" t="inlineStr">
        <is>
          <t>Boleto Bancário</t>
        </is>
      </c>
      <c r="L903" t="inlineStr">
        <is>
          <t>Endividamento</t>
        </is>
      </c>
      <c r="M903" t="inlineStr">
        <is>
          <t>Endividamento Geral</t>
        </is>
      </c>
      <c r="N903" t="inlineStr">
        <is>
          <t>18/60</t>
        </is>
      </c>
      <c r="O903" t="inlineStr">
        <is>
          <t>Documentação Aprovada</t>
        </is>
      </c>
      <c r="P903" t="inlineStr">
        <is>
          <t>Aprovado Diretoria</t>
        </is>
      </c>
      <c r="Q903" t="inlineStr">
        <is>
          <t>Aprovado Caixa</t>
        </is>
      </c>
      <c r="R903" t="inlineStr">
        <is>
          <t>Pago</t>
        </is>
      </c>
      <c r="S903" t="n">
        <v>182</v>
      </c>
      <c r="T903" t="inlineStr">
        <is>
          <t>Love - Shibari - Kamino</t>
        </is>
      </c>
    </row>
    <row r="904">
      <c r="A904" t="n">
        <v>103000</v>
      </c>
      <c r="B904" t="n">
        <v>128</v>
      </c>
      <c r="C904" t="inlineStr">
        <is>
          <t>Love Cabaret</t>
        </is>
      </c>
      <c r="D904" t="inlineStr">
        <is>
          <t>TELEFONICA BRASIL S/A</t>
        </is>
      </c>
      <c r="E904" t="n">
        <v>487.66</v>
      </c>
      <c r="F904" s="27" t="n">
        <v>45927</v>
      </c>
      <c r="G904" s="27" t="n">
        <v>45924</v>
      </c>
      <c r="H904" s="27" t="n">
        <v>45924</v>
      </c>
      <c r="I904" s="27" t="n">
        <v>45917</v>
      </c>
      <c r="J904" s="27" t="n"/>
      <c r="K904" t="inlineStr">
        <is>
          <t>Boleto Bancário</t>
        </is>
      </c>
      <c r="L904" t="inlineStr">
        <is>
          <t>Informática e TI</t>
        </is>
      </c>
      <c r="M904" t="inlineStr">
        <is>
          <t>Internet</t>
        </is>
      </c>
      <c r="N904" t="inlineStr">
        <is>
          <t>0443318083</t>
        </is>
      </c>
      <c r="O904" t="inlineStr">
        <is>
          <t>Documentação Aprovada</t>
        </is>
      </c>
      <c r="P904" t="inlineStr">
        <is>
          <t>Aprovado Diretoria</t>
        </is>
      </c>
      <c r="Q904" t="inlineStr">
        <is>
          <t>Aprovado Caixa</t>
        </is>
      </c>
      <c r="R904" t="inlineStr">
        <is>
          <t>Pago</t>
        </is>
      </c>
      <c r="S904" t="n">
        <v>182</v>
      </c>
      <c r="T904" t="inlineStr">
        <is>
          <t>Love - Shibari - Kamino</t>
        </is>
      </c>
    </row>
    <row r="905">
      <c r="A905" t="n">
        <v>103037</v>
      </c>
      <c r="B905" t="n">
        <v>128</v>
      </c>
      <c r="C905" t="inlineStr">
        <is>
          <t>Love Cabaret</t>
        </is>
      </c>
      <c r="D905" t="inlineStr">
        <is>
          <t>TELEFONICA BRASIL S/A</t>
        </is>
      </c>
      <c r="E905" t="n">
        <v>223.7</v>
      </c>
      <c r="F905" s="27" t="n">
        <v>45925</v>
      </c>
      <c r="G905" s="27" t="n">
        <v>45924</v>
      </c>
      <c r="H905" s="27" t="n">
        <v>45924</v>
      </c>
      <c r="I905" s="27" t="n">
        <v>45917</v>
      </c>
      <c r="J905" s="27" t="n"/>
      <c r="K905" t="inlineStr">
        <is>
          <t>Boleto Bancário</t>
        </is>
      </c>
      <c r="L905" t="inlineStr">
        <is>
          <t>Informática e TI</t>
        </is>
      </c>
      <c r="M905" t="inlineStr">
        <is>
          <t>Internet</t>
        </is>
      </c>
      <c r="N905" t="inlineStr">
        <is>
          <t>0455530810</t>
        </is>
      </c>
      <c r="O905" t="inlineStr">
        <is>
          <t>Documentação Aprovada</t>
        </is>
      </c>
      <c r="P905" t="inlineStr">
        <is>
          <t>Aprovado Diretoria</t>
        </is>
      </c>
      <c r="Q905" t="inlineStr">
        <is>
          <t>Aprovado Caixa</t>
        </is>
      </c>
      <c r="R905" t="inlineStr">
        <is>
          <t>Pago</t>
        </is>
      </c>
      <c r="S905" t="n">
        <v>182</v>
      </c>
      <c r="T905" t="inlineStr">
        <is>
          <t>Love - Shibari - Kamino</t>
        </is>
      </c>
    </row>
    <row r="906">
      <c r="A906" t="n">
        <v>103013</v>
      </c>
      <c r="B906" t="n">
        <v>128</v>
      </c>
      <c r="C906" t="inlineStr">
        <is>
          <t>Love Cabaret</t>
        </is>
      </c>
      <c r="D906" t="inlineStr">
        <is>
          <t>TELEFONICA BRASIL S/A</t>
        </is>
      </c>
      <c r="E906" t="n">
        <v>21.71</v>
      </c>
      <c r="F906" s="27" t="n">
        <v>45927</v>
      </c>
      <c r="G906" s="27" t="n">
        <v>45924</v>
      </c>
      <c r="H906" s="27" t="n">
        <v>45924</v>
      </c>
      <c r="I906" s="27" t="n">
        <v>45886</v>
      </c>
      <c r="J906" s="27" t="n"/>
      <c r="K906" t="inlineStr">
        <is>
          <t>Boleto Bancário</t>
        </is>
      </c>
      <c r="L906" t="inlineStr">
        <is>
          <t>Informática e TI</t>
        </is>
      </c>
      <c r="M906" t="inlineStr">
        <is>
          <t>Internet</t>
        </is>
      </c>
      <c r="N906" t="inlineStr">
        <is>
          <t>0443836731</t>
        </is>
      </c>
      <c r="O906" t="inlineStr">
        <is>
          <t>Documentação Aprovada</t>
        </is>
      </c>
      <c r="P906" t="inlineStr">
        <is>
          <t>Aprovado Diretoria</t>
        </is>
      </c>
      <c r="Q906" t="inlineStr">
        <is>
          <t>Aprovado Caixa</t>
        </is>
      </c>
      <c r="R906" t="inlineStr">
        <is>
          <t>Pago</t>
        </is>
      </c>
      <c r="S906" t="n">
        <v>182</v>
      </c>
      <c r="T906" t="inlineStr">
        <is>
          <t>Love - Shibari - Kamino</t>
        </is>
      </c>
    </row>
    <row r="907">
      <c r="A907" t="n">
        <v>102844</v>
      </c>
      <c r="B907" t="n">
        <v>128</v>
      </c>
      <c r="C907" t="inlineStr">
        <is>
          <t>Love Cabaret</t>
        </is>
      </c>
      <c r="D907" t="inlineStr">
        <is>
          <t>INVYE CAPITAL LTDA</t>
        </is>
      </c>
      <c r="E907" t="n">
        <v>1260</v>
      </c>
      <c r="F907" s="27" t="n">
        <v>45925</v>
      </c>
      <c r="G907" s="27" t="n">
        <v>45924</v>
      </c>
      <c r="H907" s="27" t="n">
        <v>45924</v>
      </c>
      <c r="I907" s="27" t="n">
        <v>45909</v>
      </c>
      <c r="J907" s="27" t="n"/>
      <c r="K907" t="inlineStr">
        <is>
          <t>Boleto Bancário</t>
        </is>
      </c>
      <c r="L907" t="inlineStr">
        <is>
          <t>Serviços de Terceiros</t>
        </is>
      </c>
      <c r="M907" t="inlineStr">
        <is>
          <t>Assessoria em Geral</t>
        </is>
      </c>
      <c r="N907" t="inlineStr">
        <is>
          <t>28531.200,00</t>
        </is>
      </c>
      <c r="O907" t="inlineStr">
        <is>
          <t>Documentação Aprovada</t>
        </is>
      </c>
      <c r="P907" t="inlineStr">
        <is>
          <t>Aprovado Diretoria</t>
        </is>
      </c>
      <c r="Q907" t="inlineStr">
        <is>
          <t>Aprovado Caixa</t>
        </is>
      </c>
      <c r="R907" t="inlineStr">
        <is>
          <t>Pago</t>
        </is>
      </c>
      <c r="S907" t="n">
        <v>182</v>
      </c>
      <c r="T907" t="inlineStr">
        <is>
          <t>Love - Shibari - Kamino</t>
        </is>
      </c>
    </row>
    <row r="908">
      <c r="A908" t="n">
        <v>102894</v>
      </c>
      <c r="B908" t="n">
        <v>128</v>
      </c>
      <c r="C908" t="inlineStr">
        <is>
          <t>Love Cabaret</t>
        </is>
      </c>
      <c r="D908" t="inlineStr">
        <is>
          <t>MACHINE SEGURANCA PATRIMONIAL LTDA</t>
        </is>
      </c>
      <c r="E908" t="n">
        <v>7030</v>
      </c>
      <c r="F908" s="27" t="n">
        <v>45922</v>
      </c>
      <c r="G908" s="27" t="n">
        <v>45924</v>
      </c>
      <c r="H908" s="27" t="n">
        <v>45924</v>
      </c>
      <c r="I908" s="27" t="n">
        <v>45901</v>
      </c>
      <c r="J908" s="27" t="n"/>
      <c r="K908" t="inlineStr">
        <is>
          <t>Transferência Bancária ou Pix</t>
        </is>
      </c>
      <c r="L908" t="inlineStr">
        <is>
          <t>Serviços de Terceiros</t>
        </is>
      </c>
      <c r="M908" t="inlineStr">
        <is>
          <t>Serviços de Segurança</t>
        </is>
      </c>
      <c r="N908" t="inlineStr">
        <is>
          <t>686</t>
        </is>
      </c>
      <c r="O908" t="inlineStr">
        <is>
          <t>Documentação Aprovada</t>
        </is>
      </c>
      <c r="P908" t="inlineStr">
        <is>
          <t>Aprovado Diretoria</t>
        </is>
      </c>
      <c r="Q908" t="inlineStr">
        <is>
          <t>Aprovado Caixa</t>
        </is>
      </c>
      <c r="R908" t="inlineStr">
        <is>
          <t>Pago</t>
        </is>
      </c>
      <c r="S908" t="n">
        <v>182</v>
      </c>
      <c r="T908" t="inlineStr">
        <is>
          <t>Love - Shibari - Kamino</t>
        </is>
      </c>
    </row>
    <row r="909">
      <c r="A909" t="n">
        <v>103025</v>
      </c>
      <c r="B909" t="n">
        <v>128</v>
      </c>
      <c r="C909" t="inlineStr">
        <is>
          <t>Love Cabaret</t>
        </is>
      </c>
      <c r="D909" t="inlineStr">
        <is>
          <t>TELEFONICA BRASIL S/A</t>
        </is>
      </c>
      <c r="E909" t="n">
        <v>93.7</v>
      </c>
      <c r="F909" s="27" t="n">
        <v>45925</v>
      </c>
      <c r="G909" s="27" t="n">
        <v>45924</v>
      </c>
      <c r="H909" s="27" t="n">
        <v>45924</v>
      </c>
      <c r="I909" s="27" t="n">
        <v>45904</v>
      </c>
      <c r="J909" s="27" t="n"/>
      <c r="K909" t="inlineStr">
        <is>
          <t>Boleto Bancário</t>
        </is>
      </c>
      <c r="L909" t="inlineStr">
        <is>
          <t>Informática e TI</t>
        </is>
      </c>
      <c r="M909" t="inlineStr">
        <is>
          <t>Telefone</t>
        </is>
      </c>
      <c r="N909" t="inlineStr">
        <is>
          <t>0434906426</t>
        </is>
      </c>
      <c r="O909" t="inlineStr">
        <is>
          <t>Documentação Aprovada</t>
        </is>
      </c>
      <c r="P909" t="inlineStr">
        <is>
          <t>Aprovado Diretoria</t>
        </is>
      </c>
      <c r="Q909" t="inlineStr">
        <is>
          <t>Aprovado Caixa</t>
        </is>
      </c>
      <c r="R909" t="inlineStr">
        <is>
          <t>Pago</t>
        </is>
      </c>
      <c r="S909" t="n">
        <v>182</v>
      </c>
      <c r="T909" t="inlineStr">
        <is>
          <t>Love - Shibari - Kamino</t>
        </is>
      </c>
    </row>
    <row r="910">
      <c r="A910" t="n">
        <v>97119</v>
      </c>
      <c r="B910" t="n">
        <v>128</v>
      </c>
      <c r="C910" t="inlineStr">
        <is>
          <t>Love Cabaret</t>
        </is>
      </c>
      <c r="D910" t="inlineStr">
        <is>
          <t>ESTAFF SOLUCOES TECNOLOGICAS DE AGENCIAMENTO LTDA</t>
        </is>
      </c>
      <c r="E910" t="n">
        <v>17009.3</v>
      </c>
      <c r="F910" s="27" t="n">
        <v>45924</v>
      </c>
      <c r="G910" s="27" t="n">
        <v>45924</v>
      </c>
      <c r="H910" s="27" t="n">
        <v>45924</v>
      </c>
      <c r="I910" s="27" t="n">
        <v>45915</v>
      </c>
      <c r="J910" s="27" t="n"/>
      <c r="K910" t="inlineStr">
        <is>
          <t>Boleto Bancário</t>
        </is>
      </c>
      <c r="L910" t="inlineStr">
        <is>
          <t>Mão de Obra - Extra</t>
        </is>
      </c>
      <c r="M910" t="inlineStr">
        <is>
          <t>Mão de Obra Extra</t>
        </is>
      </c>
      <c r="N910" t="inlineStr">
        <is>
          <t>640311019</t>
        </is>
      </c>
      <c r="O910" t="inlineStr">
        <is>
          <t>Documentação Aprovada</t>
        </is>
      </c>
      <c r="P910" t="inlineStr">
        <is>
          <t>Aprovado Diretoria</t>
        </is>
      </c>
      <c r="Q910" t="inlineStr">
        <is>
          <t>Aprovado Caixa</t>
        </is>
      </c>
      <c r="R910" t="inlineStr">
        <is>
          <t>Pago</t>
        </is>
      </c>
      <c r="S910" t="n">
        <v>182</v>
      </c>
      <c r="T910" t="inlineStr">
        <is>
          <t>Love - Shibari - Kamino</t>
        </is>
      </c>
    </row>
    <row r="911">
      <c r="A911" t="n">
        <v>96902</v>
      </c>
      <c r="B911" t="n">
        <v>128</v>
      </c>
      <c r="C911" t="inlineStr">
        <is>
          <t>Love Cabaret</t>
        </is>
      </c>
      <c r="D911" t="inlineStr">
        <is>
          <t>COMPANHIA DE GAS DE SAO PAULO</t>
        </is>
      </c>
      <c r="E911" t="n">
        <v>1311.31</v>
      </c>
      <c r="F911" s="27" t="n">
        <v>45928</v>
      </c>
      <c r="G911" s="27" t="n">
        <v>45924</v>
      </c>
      <c r="H911" s="27" t="n">
        <v>45924</v>
      </c>
      <c r="I911" s="27" t="n">
        <v>45910</v>
      </c>
      <c r="J911" s="27" t="n"/>
      <c r="K911" t="inlineStr">
        <is>
          <t>Boleto Bancário</t>
        </is>
      </c>
      <c r="L911" t="inlineStr">
        <is>
          <t>Utilidades</t>
        </is>
      </c>
      <c r="M911" t="inlineStr">
        <is>
          <t>Gas de Cozinha</t>
        </is>
      </c>
      <c r="N911" t="inlineStr">
        <is>
          <t xml:space="preserve">131356001 </t>
        </is>
      </c>
      <c r="O911" t="inlineStr">
        <is>
          <t>Documentação Aprovada</t>
        </is>
      </c>
      <c r="P911" t="inlineStr">
        <is>
          <t>Aprovado Diretoria</t>
        </is>
      </c>
      <c r="Q911" t="inlineStr">
        <is>
          <t>Aprovado Caixa</t>
        </is>
      </c>
      <c r="R911" t="inlineStr">
        <is>
          <t>Pago</t>
        </is>
      </c>
      <c r="S911" t="n">
        <v>182</v>
      </c>
      <c r="T911" t="inlineStr">
        <is>
          <t>Love - Shibari - Kamino</t>
        </is>
      </c>
    </row>
    <row r="912">
      <c r="A912" t="n">
        <v>97017</v>
      </c>
      <c r="B912" t="n">
        <v>128</v>
      </c>
      <c r="C912" t="inlineStr">
        <is>
          <t>Love Cabaret</t>
        </is>
      </c>
      <c r="D912" t="inlineStr">
        <is>
          <t>ESHOWS PROMOCOES ARTISTICAS LTDA</t>
        </is>
      </c>
      <c r="E912" t="n">
        <v>18625</v>
      </c>
      <c r="F912" s="27" t="n">
        <v>45922</v>
      </c>
      <c r="G912" s="27" t="n">
        <v>45922</v>
      </c>
      <c r="H912" s="27" t="n">
        <v>45922</v>
      </c>
      <c r="I912" s="27" t="n">
        <v>45901</v>
      </c>
      <c r="J912" s="27" t="n"/>
      <c r="K912" t="inlineStr">
        <is>
          <t>Boleto Bancário</t>
        </is>
      </c>
      <c r="L912" t="inlineStr">
        <is>
          <t>Custos Artístico Geral</t>
        </is>
      </c>
      <c r="M912" t="inlineStr">
        <is>
          <t>Cachê de Músicos e Artistas</t>
        </is>
      </c>
      <c r="N912" t="inlineStr">
        <is>
          <t>639111572</t>
        </is>
      </c>
      <c r="O912" t="inlineStr">
        <is>
          <t>Documentação Aprovada</t>
        </is>
      </c>
      <c r="P912" t="inlineStr">
        <is>
          <t>Aprovado Diretoria</t>
        </is>
      </c>
      <c r="Q912" t="inlineStr">
        <is>
          <t>Aprovado Caixa</t>
        </is>
      </c>
      <c r="R912" t="inlineStr">
        <is>
          <t>Pago</t>
        </is>
      </c>
      <c r="S912" t="n">
        <v>182</v>
      </c>
      <c r="T912" t="inlineStr">
        <is>
          <t>Love - Shibari - Kamino</t>
        </is>
      </c>
    </row>
    <row r="913">
      <c r="A913" t="n">
        <v>96887</v>
      </c>
      <c r="B913" t="n">
        <v>128</v>
      </c>
      <c r="C913" t="inlineStr">
        <is>
          <t>Love Cabaret</t>
        </is>
      </c>
      <c r="D913" t="inlineStr">
        <is>
          <t>ALPHALIX AMBIENTEAL LOC/ DE EQUIPAMENTOS EIRELI</t>
        </is>
      </c>
      <c r="E913" t="n">
        <v>1178.28</v>
      </c>
      <c r="F913" s="27" t="n">
        <v>45923</v>
      </c>
      <c r="G913" s="27" t="n">
        <v>45922</v>
      </c>
      <c r="H913" s="27" t="n">
        <v>45922</v>
      </c>
      <c r="I913" s="27" t="n">
        <v>45899</v>
      </c>
      <c r="J913" s="27" t="n"/>
      <c r="K913" t="inlineStr">
        <is>
          <t>Boleto Bancário</t>
        </is>
      </c>
      <c r="L913" t="inlineStr">
        <is>
          <t>Utilidades</t>
        </is>
      </c>
      <c r="M913" t="inlineStr">
        <is>
          <t>Coleta de lixo</t>
        </is>
      </c>
      <c r="N913" t="inlineStr">
        <is>
          <t>48924</t>
        </is>
      </c>
      <c r="O913" t="inlineStr">
        <is>
          <t>Documentação Aprovada</t>
        </is>
      </c>
      <c r="P913" t="inlineStr">
        <is>
          <t>Aprovado Diretoria</t>
        </is>
      </c>
      <c r="Q913" t="inlineStr">
        <is>
          <t>Aprovado Caixa</t>
        </is>
      </c>
      <c r="R913" t="inlineStr">
        <is>
          <t>Pago</t>
        </is>
      </c>
      <c r="S913" t="n">
        <v>182</v>
      </c>
      <c r="T913" t="inlineStr">
        <is>
          <t>Love - Shibari - Kamino</t>
        </is>
      </c>
    </row>
    <row r="914">
      <c r="A914" t="n">
        <v>81786</v>
      </c>
      <c r="B914" t="n">
        <v>128</v>
      </c>
      <c r="C914" t="inlineStr">
        <is>
          <t>Love Cabaret</t>
        </is>
      </c>
      <c r="D914" t="inlineStr">
        <is>
          <t>EMPRESA BRASILEIRA DE CORREIOS E TELEGRAFOS.</t>
        </is>
      </c>
      <c r="E914" t="n">
        <v>42.35</v>
      </c>
      <c r="F914" s="27" t="n">
        <v>45583</v>
      </c>
      <c r="G914" s="27" t="n">
        <v>45922</v>
      </c>
      <c r="H914" s="27" t="n">
        <v>45922</v>
      </c>
      <c r="I914" s="27" t="n">
        <v>45575</v>
      </c>
      <c r="J914" s="27" t="n">
        <v>45583</v>
      </c>
      <c r="K914" t="inlineStr">
        <is>
          <t>Dinheiro em Espécie</t>
        </is>
      </c>
      <c r="N914" t="inlineStr">
        <is>
          <t>.</t>
        </is>
      </c>
      <c r="O914" t="inlineStr">
        <is>
          <t>Documentação Aprovada</t>
        </is>
      </c>
      <c r="P914" t="inlineStr">
        <is>
          <t>Aprovado Diretoria</t>
        </is>
      </c>
      <c r="Q914" t="inlineStr">
        <is>
          <t>Aprovado Caixa</t>
        </is>
      </c>
      <c r="R914" t="inlineStr">
        <is>
          <t>Pago</t>
        </is>
      </c>
      <c r="S914" t="n">
        <v>121</v>
      </c>
      <c r="T914" t="inlineStr">
        <is>
          <t>Love - Tesouraria</t>
        </is>
      </c>
    </row>
    <row r="915">
      <c r="A915" t="n">
        <v>106700</v>
      </c>
      <c r="B915" t="n">
        <v>128</v>
      </c>
      <c r="C915" t="inlineStr">
        <is>
          <t>Love Cabaret</t>
        </is>
      </c>
      <c r="D915" t="inlineStr">
        <is>
          <t>AURORA ALVORADA ESTACIONAMENTO E LANCHONETE LTDA</t>
        </is>
      </c>
      <c r="E915" t="n">
        <v>587.85</v>
      </c>
      <c r="F915" s="27" t="n">
        <v>45922</v>
      </c>
      <c r="G915" s="27" t="n">
        <v>45922</v>
      </c>
      <c r="H915" s="27" t="n">
        <v>45922</v>
      </c>
      <c r="I915" s="27" t="n">
        <v>45915</v>
      </c>
      <c r="J915" s="27" t="n"/>
      <c r="K915" t="inlineStr">
        <is>
          <t>Boleto Bancário</t>
        </is>
      </c>
      <c r="L915" t="inlineStr">
        <is>
          <t>Custo Mercadoria Vendida</t>
        </is>
      </c>
      <c r="M915" t="inlineStr">
        <is>
          <t>Insumos - Alimentos</t>
        </is>
      </c>
      <c r="N915" t="inlineStr">
        <is>
          <t>10984</t>
        </is>
      </c>
      <c r="O915" t="inlineStr">
        <is>
          <t>Documentação Aprovada</t>
        </is>
      </c>
      <c r="P915" t="inlineStr">
        <is>
          <t>Aprovado Diretoria</t>
        </is>
      </c>
      <c r="Q915" t="inlineStr">
        <is>
          <t>Aprovado Caixa</t>
        </is>
      </c>
      <c r="R915" t="inlineStr">
        <is>
          <t>Pago</t>
        </is>
      </c>
      <c r="S915" t="n">
        <v>182</v>
      </c>
      <c r="T915" t="inlineStr">
        <is>
          <t>Love - Shibari - Kamino</t>
        </is>
      </c>
    </row>
    <row r="916">
      <c r="A916" t="n">
        <v>160970</v>
      </c>
      <c r="B916" t="n">
        <v>128</v>
      </c>
      <c r="C916" t="inlineStr">
        <is>
          <t>Love Cabaret</t>
        </is>
      </c>
      <c r="D916" t="inlineStr">
        <is>
          <t>PORCO FELIZ COM DE CARNES LTDA</t>
        </is>
      </c>
      <c r="E916" t="n">
        <v>218.65</v>
      </c>
      <c r="F916" s="27" t="n">
        <v>45924</v>
      </c>
      <c r="G916" s="27" t="n">
        <v>45922</v>
      </c>
      <c r="H916" s="27" t="n">
        <v>45922</v>
      </c>
      <c r="I916" s="27" t="n">
        <v>45916</v>
      </c>
      <c r="J916" s="27" t="n">
        <v>45916</v>
      </c>
      <c r="K916" t="inlineStr">
        <is>
          <t>Boleto Bancário</t>
        </is>
      </c>
      <c r="L916" t="inlineStr">
        <is>
          <t>Custo Mercadoria Vendida</t>
        </is>
      </c>
      <c r="M916" t="inlineStr">
        <is>
          <t>Insumos - Alimentos</t>
        </is>
      </c>
      <c r="N916" t="inlineStr">
        <is>
          <t>591386</t>
        </is>
      </c>
      <c r="O916" t="inlineStr">
        <is>
          <t>Documentação Aprovada</t>
        </is>
      </c>
      <c r="P916" t="inlineStr">
        <is>
          <t>Aprovado Diretoria</t>
        </is>
      </c>
      <c r="Q916" t="inlineStr">
        <is>
          <t>Aprovado Caixa</t>
        </is>
      </c>
      <c r="R916" t="inlineStr">
        <is>
          <t>Pago</t>
        </is>
      </c>
      <c r="S916" t="n">
        <v>182</v>
      </c>
      <c r="T916" t="inlineStr">
        <is>
          <t>Love - Shibari - Kamino</t>
        </is>
      </c>
    </row>
    <row r="917">
      <c r="A917" t="n">
        <v>161051</v>
      </c>
      <c r="B917" t="n">
        <v>128</v>
      </c>
      <c r="C917" t="inlineStr">
        <is>
          <t>Love Cabaret</t>
        </is>
      </c>
      <c r="D917" t="inlineStr">
        <is>
          <t>ALLIMENTARI COMERCIO DE PRODUTOS ALIMENTICIOS E SERVICOS LTDA</t>
        </is>
      </c>
      <c r="E917" t="n">
        <v>126</v>
      </c>
      <c r="F917" s="27" t="n">
        <v>45922</v>
      </c>
      <c r="G917" s="27" t="n">
        <v>45922</v>
      </c>
      <c r="H917" s="27" t="n">
        <v>45922</v>
      </c>
      <c r="I917" s="27" t="n">
        <v>45908</v>
      </c>
      <c r="J917" s="27" t="n">
        <v>45916</v>
      </c>
      <c r="K917" t="inlineStr">
        <is>
          <t>Boleto Bancário</t>
        </is>
      </c>
      <c r="L917" t="inlineStr">
        <is>
          <t>Custo Mercadoria Vendida</t>
        </is>
      </c>
      <c r="M917" t="inlineStr">
        <is>
          <t>Insumos - Alimentos</t>
        </is>
      </c>
      <c r="N917" t="inlineStr">
        <is>
          <t>28860</t>
        </is>
      </c>
      <c r="O917" t="inlineStr">
        <is>
          <t>Documentação Aprovada</t>
        </is>
      </c>
      <c r="P917" t="inlineStr">
        <is>
          <t>Aprovado Diretoria</t>
        </is>
      </c>
      <c r="Q917" t="inlineStr">
        <is>
          <t>Aprovado Caixa</t>
        </is>
      </c>
      <c r="R917" t="inlineStr">
        <is>
          <t>Pago</t>
        </is>
      </c>
      <c r="S917" t="n">
        <v>182</v>
      </c>
      <c r="T917" t="inlineStr">
        <is>
          <t>Love - Shibari - Kamino</t>
        </is>
      </c>
    </row>
    <row r="918">
      <c r="A918" t="n">
        <v>159531</v>
      </c>
      <c r="B918" t="n">
        <v>128</v>
      </c>
      <c r="C918" t="inlineStr">
        <is>
          <t>Love Cabaret</t>
        </is>
      </c>
      <c r="D918" t="inlineStr">
        <is>
          <t>PRESHH ALUGUEL DE MAQUINAS LTDA</t>
        </is>
      </c>
      <c r="E918" t="n">
        <v>396</v>
      </c>
      <c r="F918" s="27" t="n">
        <v>45924</v>
      </c>
      <c r="G918" s="27" t="n">
        <v>45922</v>
      </c>
      <c r="H918" s="27" t="n">
        <v>45922</v>
      </c>
      <c r="I918" s="27" t="n">
        <v>45904</v>
      </c>
      <c r="J918" s="27" t="n">
        <v>45905</v>
      </c>
      <c r="K918" t="inlineStr">
        <is>
          <t>Boleto Bancário</t>
        </is>
      </c>
      <c r="L918" t="inlineStr">
        <is>
          <t>Utilidades</t>
        </is>
      </c>
      <c r="M918" t="inlineStr">
        <is>
          <t>Material de Consumo - Gelo/ Gas CO2/ Carvao /Velas</t>
        </is>
      </c>
      <c r="N918" t="inlineStr">
        <is>
          <t>T-34957</t>
        </is>
      </c>
      <c r="O918" t="inlineStr">
        <is>
          <t>Documentação Aprovada</t>
        </is>
      </c>
      <c r="P918" t="inlineStr">
        <is>
          <t>Aprovado Diretoria</t>
        </is>
      </c>
      <c r="Q918" t="inlineStr">
        <is>
          <t>Aprovado Caixa</t>
        </is>
      </c>
      <c r="R918" t="inlineStr">
        <is>
          <t>Pago</t>
        </is>
      </c>
      <c r="S918" t="n">
        <v>182</v>
      </c>
      <c r="T918" t="inlineStr">
        <is>
          <t>Love - Shibari - Kamino</t>
        </is>
      </c>
    </row>
    <row r="919">
      <c r="A919" t="n">
        <v>159539</v>
      </c>
      <c r="B919" t="n">
        <v>128</v>
      </c>
      <c r="C919" t="inlineStr">
        <is>
          <t>Love Cabaret</t>
        </is>
      </c>
      <c r="D919" t="inlineStr">
        <is>
          <t xml:space="preserve">D. FILIPA EVENTOS LTDA </t>
        </is>
      </c>
      <c r="E919" t="n">
        <v>1407.18</v>
      </c>
      <c r="F919" s="27" t="n">
        <v>45923</v>
      </c>
      <c r="G919" s="27" t="n">
        <v>45922</v>
      </c>
      <c r="H919" s="27" t="n">
        <v>45922</v>
      </c>
      <c r="I919" s="27" t="n">
        <v>45906</v>
      </c>
      <c r="J919" s="27" t="n">
        <v>45908</v>
      </c>
      <c r="K919" t="inlineStr">
        <is>
          <t>Boleto Bancário</t>
        </is>
      </c>
      <c r="L919" t="inlineStr">
        <is>
          <t>Custos de Eventos</t>
        </is>
      </c>
      <c r="M919" t="inlineStr">
        <is>
          <t>Locação de Utensílios - Eventos</t>
        </is>
      </c>
      <c r="N919" t="inlineStr">
        <is>
          <t>3160</t>
        </is>
      </c>
      <c r="O919" t="inlineStr">
        <is>
          <t>Documentação Aprovada</t>
        </is>
      </c>
      <c r="P919" t="inlineStr">
        <is>
          <t>Aprovado Diretoria</t>
        </is>
      </c>
      <c r="Q919" t="inlineStr">
        <is>
          <t>Aprovado Caixa</t>
        </is>
      </c>
      <c r="R919" t="inlineStr">
        <is>
          <t>Pago</t>
        </is>
      </c>
      <c r="S919" t="n">
        <v>182</v>
      </c>
      <c r="T919" t="inlineStr">
        <is>
          <t>Love - Shibari - Kamino</t>
        </is>
      </c>
    </row>
    <row r="920">
      <c r="A920" t="n">
        <v>159296</v>
      </c>
      <c r="B920" t="n">
        <v>128</v>
      </c>
      <c r="C920" t="inlineStr">
        <is>
          <t>Love Cabaret</t>
        </is>
      </c>
      <c r="D920" t="inlineStr">
        <is>
          <t>WIDE STOCK COMERCIO E DISTRIBUICAO LTDA</t>
        </is>
      </c>
      <c r="E920" t="n">
        <v>450</v>
      </c>
      <c r="F920" s="27" t="n">
        <v>45923</v>
      </c>
      <c r="G920" s="27" t="n">
        <v>45922</v>
      </c>
      <c r="H920" s="27" t="n">
        <v>45922</v>
      </c>
      <c r="I920" s="27" t="n">
        <v>45902</v>
      </c>
      <c r="J920" s="27" t="n">
        <v>45904</v>
      </c>
      <c r="K920" t="inlineStr">
        <is>
          <t>Boleto Bancário</t>
        </is>
      </c>
      <c r="L920" t="inlineStr">
        <is>
          <t>Utilidades</t>
        </is>
      </c>
      <c r="M920" t="inlineStr">
        <is>
          <t>Higiene e Limpeza</t>
        </is>
      </c>
      <c r="N920" t="inlineStr">
        <is>
          <t>413012</t>
        </is>
      </c>
      <c r="O920" t="inlineStr">
        <is>
          <t>Documentação Aprovada</t>
        </is>
      </c>
      <c r="P920" t="inlineStr">
        <is>
          <t>Aprovado Diretoria</t>
        </is>
      </c>
      <c r="Q920" t="inlineStr">
        <is>
          <t>Aprovado Caixa</t>
        </is>
      </c>
      <c r="R920" t="inlineStr">
        <is>
          <t>Pago</t>
        </is>
      </c>
      <c r="S920" t="n">
        <v>182</v>
      </c>
      <c r="T920" t="inlineStr">
        <is>
          <t>Love - Shibari - Kamino</t>
        </is>
      </c>
    </row>
    <row r="921">
      <c r="A921" t="n">
        <v>159165</v>
      </c>
      <c r="B921" t="n">
        <v>128</v>
      </c>
      <c r="C921" t="inlineStr">
        <is>
          <t>Love Cabaret</t>
        </is>
      </c>
      <c r="D921" t="inlineStr">
        <is>
          <t>FG7 COMERCIO E DISTRIBUICAO DE BEBIDAS LTDA</t>
        </is>
      </c>
      <c r="E921" t="n">
        <v>414.72</v>
      </c>
      <c r="F921" s="27" t="n">
        <v>45923</v>
      </c>
      <c r="G921" s="27" t="n">
        <v>45922</v>
      </c>
      <c r="H921" s="27" t="n">
        <v>45922</v>
      </c>
      <c r="I921" s="27" t="n">
        <v>45901</v>
      </c>
      <c r="J921" s="27" t="n">
        <v>45904</v>
      </c>
      <c r="K921" t="inlineStr">
        <is>
          <t>Boleto Bancário</t>
        </is>
      </c>
      <c r="L921" t="inlineStr">
        <is>
          <t>Custo Mercadoria Vendida</t>
        </is>
      </c>
      <c r="M921" t="inlineStr">
        <is>
          <t>Insumos - Bebidas</t>
        </is>
      </c>
      <c r="N921" t="inlineStr">
        <is>
          <t>663698</t>
        </is>
      </c>
      <c r="O921" t="inlineStr">
        <is>
          <t>Documentação Aprovada</t>
        </is>
      </c>
      <c r="P921" t="inlineStr">
        <is>
          <t>Aprovado Diretoria</t>
        </is>
      </c>
      <c r="Q921" t="inlineStr">
        <is>
          <t>Aprovado Caixa</t>
        </is>
      </c>
      <c r="R921" t="inlineStr">
        <is>
          <t>Pago</t>
        </is>
      </c>
      <c r="S921" t="n">
        <v>182</v>
      </c>
      <c r="T921" t="inlineStr">
        <is>
          <t>Love - Shibari - Kamino</t>
        </is>
      </c>
    </row>
    <row r="922">
      <c r="A922" t="n">
        <v>159168</v>
      </c>
      <c r="B922" t="n">
        <v>128</v>
      </c>
      <c r="C922" t="inlineStr">
        <is>
          <t>Love Cabaret</t>
        </is>
      </c>
      <c r="D922" t="inlineStr">
        <is>
          <t>DTK COMERCIO DE ALIMENTOS LTDA</t>
        </is>
      </c>
      <c r="E922" t="n">
        <v>414.44</v>
      </c>
      <c r="F922" s="27" t="n">
        <v>45922</v>
      </c>
      <c r="G922" s="27" t="n">
        <v>45922</v>
      </c>
      <c r="H922" s="27" t="n">
        <v>45922</v>
      </c>
      <c r="I922" s="27" t="n">
        <v>45901</v>
      </c>
      <c r="J922" s="27" t="n">
        <v>45904</v>
      </c>
      <c r="K922" t="inlineStr">
        <is>
          <t>Boleto Bancário</t>
        </is>
      </c>
      <c r="L922" t="inlineStr">
        <is>
          <t>Custo Mercadoria Vendida</t>
        </is>
      </c>
      <c r="M922" t="inlineStr">
        <is>
          <t>Insumos - Alimentos</t>
        </is>
      </c>
      <c r="N922" t="inlineStr">
        <is>
          <t>42128</t>
        </is>
      </c>
      <c r="O922" t="inlineStr">
        <is>
          <t>Documentação Aprovada</t>
        </is>
      </c>
      <c r="P922" t="inlineStr">
        <is>
          <t>Aprovado Diretoria</t>
        </is>
      </c>
      <c r="Q922" t="inlineStr">
        <is>
          <t>Aprovado Caixa</t>
        </is>
      </c>
      <c r="R922" t="inlineStr">
        <is>
          <t>Pago</t>
        </is>
      </c>
      <c r="S922" t="n">
        <v>182</v>
      </c>
      <c r="T922" t="inlineStr">
        <is>
          <t>Love - Shibari - Kamino</t>
        </is>
      </c>
    </row>
    <row r="923">
      <c r="A923" t="n">
        <v>159295</v>
      </c>
      <c r="B923" t="n">
        <v>128</v>
      </c>
      <c r="C923" t="inlineStr">
        <is>
          <t>Love Cabaret</t>
        </is>
      </c>
      <c r="D923" t="inlineStr">
        <is>
          <t>FG7 COMERCIO E DISTRIBUICAO DE BEBIDAS LTDA</t>
        </is>
      </c>
      <c r="E923" t="n">
        <v>454.8</v>
      </c>
      <c r="F923" s="27" t="n">
        <v>45924</v>
      </c>
      <c r="G923" s="27" t="n">
        <v>45922</v>
      </c>
      <c r="H923" s="27" t="n">
        <v>45922</v>
      </c>
      <c r="I923" s="27" t="n">
        <v>45902</v>
      </c>
      <c r="J923" s="27" t="n">
        <v>45904</v>
      </c>
      <c r="K923" t="inlineStr">
        <is>
          <t>Boleto Bancário</t>
        </is>
      </c>
      <c r="L923" t="inlineStr">
        <is>
          <t>Custo Mercadoria Vendida</t>
        </is>
      </c>
      <c r="M923" t="inlineStr">
        <is>
          <t>Insumos - Bebidas</t>
        </is>
      </c>
      <c r="N923" t="inlineStr">
        <is>
          <t>665045</t>
        </is>
      </c>
      <c r="O923" t="inlineStr">
        <is>
          <t>Documentação Aprovada</t>
        </is>
      </c>
      <c r="P923" t="inlineStr">
        <is>
          <t>Aprovado Diretoria</t>
        </is>
      </c>
      <c r="Q923" t="inlineStr">
        <is>
          <t>Aprovado Caixa</t>
        </is>
      </c>
      <c r="R923" t="inlineStr">
        <is>
          <t>Pago</t>
        </is>
      </c>
      <c r="S923" t="n">
        <v>182</v>
      </c>
      <c r="T923" t="inlineStr">
        <is>
          <t>Love - Shibari - Kamino</t>
        </is>
      </c>
    </row>
    <row r="924">
      <c r="A924" t="n">
        <v>157350</v>
      </c>
      <c r="B924" t="n">
        <v>128</v>
      </c>
      <c r="C924" t="inlineStr">
        <is>
          <t>Love Cabaret</t>
        </is>
      </c>
      <c r="D924" t="inlineStr">
        <is>
          <t>MURILLO S DUARTE COMERCIAL LTDA</t>
        </is>
      </c>
      <c r="E924" t="n">
        <v>129</v>
      </c>
      <c r="F924" s="27" t="n">
        <v>45922</v>
      </c>
      <c r="G924" s="27" t="n">
        <v>45922</v>
      </c>
      <c r="H924" s="27" t="n">
        <v>45922</v>
      </c>
      <c r="I924" s="27" t="n">
        <v>45894</v>
      </c>
      <c r="J924" s="27" t="n">
        <v>45897</v>
      </c>
      <c r="K924" t="inlineStr">
        <is>
          <t>Boleto Bancário</t>
        </is>
      </c>
      <c r="L924" t="inlineStr">
        <is>
          <t>Custo Mercadoria Vendida</t>
        </is>
      </c>
      <c r="M924" t="inlineStr">
        <is>
          <t>Insumos - Alimentos</t>
        </is>
      </c>
      <c r="N924" t="inlineStr">
        <is>
          <t>2015</t>
        </is>
      </c>
      <c r="O924" t="inlineStr">
        <is>
          <t>Documentação Aprovada</t>
        </is>
      </c>
      <c r="P924" t="inlineStr">
        <is>
          <t>Aprovado Diretoria</t>
        </is>
      </c>
      <c r="Q924" t="inlineStr">
        <is>
          <t>Aprovado Caixa</t>
        </is>
      </c>
      <c r="R924" t="inlineStr">
        <is>
          <t>Pago</t>
        </is>
      </c>
      <c r="S924" t="n">
        <v>182</v>
      </c>
      <c r="T924" t="inlineStr">
        <is>
          <t>Love - Shibari - Kamino</t>
        </is>
      </c>
    </row>
    <row r="925">
      <c r="A925" t="n">
        <v>161504</v>
      </c>
      <c r="B925" t="n">
        <v>128</v>
      </c>
      <c r="C925" t="inlineStr">
        <is>
          <t>Love Cabaret</t>
        </is>
      </c>
      <c r="D925" t="inlineStr">
        <is>
          <t>PSSS LTDA</t>
        </is>
      </c>
      <c r="E925" t="n">
        <v>1281</v>
      </c>
      <c r="F925" s="27" t="n">
        <v>45924</v>
      </c>
      <c r="G925" s="27" t="n">
        <v>45922</v>
      </c>
      <c r="H925" s="27" t="n">
        <v>45922</v>
      </c>
      <c r="I925" s="27" t="n">
        <v>45910</v>
      </c>
      <c r="J925" s="27" t="n">
        <v>45917</v>
      </c>
      <c r="K925" t="inlineStr">
        <is>
          <t>Boleto Bancário</t>
        </is>
      </c>
      <c r="L925" t="inlineStr">
        <is>
          <t>Utilidades</t>
        </is>
      </c>
      <c r="M925" t="inlineStr">
        <is>
          <t>Higiene e Limpeza</t>
        </is>
      </c>
      <c r="N925" t="inlineStr">
        <is>
          <t>2262</t>
        </is>
      </c>
      <c r="O925" t="inlineStr">
        <is>
          <t>Documentação Aprovada</t>
        </is>
      </c>
      <c r="P925" t="inlineStr">
        <is>
          <t>Aprovado Diretoria</t>
        </is>
      </c>
      <c r="Q925" t="inlineStr">
        <is>
          <t>Aprovado Caixa</t>
        </is>
      </c>
      <c r="R925" t="inlineStr">
        <is>
          <t>Pago</t>
        </is>
      </c>
      <c r="S925" t="n">
        <v>182</v>
      </c>
      <c r="T925" t="inlineStr">
        <is>
          <t>Love - Shibari - Kamino</t>
        </is>
      </c>
    </row>
    <row r="926">
      <c r="A926" t="n">
        <v>160140</v>
      </c>
      <c r="B926" t="n">
        <v>128</v>
      </c>
      <c r="C926" t="inlineStr">
        <is>
          <t>Love Cabaret</t>
        </is>
      </c>
      <c r="D926" t="inlineStr">
        <is>
          <t>GOMES D ELIA EQUIP. HIGIENE LTDA - WESCO</t>
        </is>
      </c>
      <c r="E926" t="n">
        <v>342</v>
      </c>
      <c r="F926" s="27" t="n">
        <v>45923</v>
      </c>
      <c r="G926" s="27" t="n">
        <v>45922</v>
      </c>
      <c r="H926" s="27" t="n">
        <v>45922</v>
      </c>
      <c r="I926" s="27" t="n">
        <v>45908</v>
      </c>
      <c r="J926" s="27" t="n">
        <v>45910</v>
      </c>
      <c r="K926" t="inlineStr">
        <is>
          <t>Boleto Bancário</t>
        </is>
      </c>
      <c r="L926" t="inlineStr">
        <is>
          <t>Utilidades</t>
        </is>
      </c>
      <c r="M926" t="inlineStr">
        <is>
          <t>Higiene e Limpeza</t>
        </is>
      </c>
      <c r="N926" t="inlineStr">
        <is>
          <t>228381</t>
        </is>
      </c>
      <c r="O926" t="inlineStr">
        <is>
          <t>Documentação Aprovada</t>
        </is>
      </c>
      <c r="P926" t="inlineStr">
        <is>
          <t>Aprovado Diretoria</t>
        </is>
      </c>
      <c r="Q926" t="inlineStr">
        <is>
          <t>Aprovado Caixa</t>
        </is>
      </c>
      <c r="R926" t="inlineStr">
        <is>
          <t>Pago</t>
        </is>
      </c>
      <c r="S926" t="n">
        <v>182</v>
      </c>
      <c r="T926" t="inlineStr">
        <is>
          <t>Love - Shibari - Kamino</t>
        </is>
      </c>
    </row>
    <row r="927">
      <c r="A927" t="n">
        <v>160117</v>
      </c>
      <c r="B927" t="n">
        <v>128</v>
      </c>
      <c r="C927" t="inlineStr">
        <is>
          <t>Love Cabaret</t>
        </is>
      </c>
      <c r="D927" t="inlineStr">
        <is>
          <t>STORM COMERCIO DE ALIMENTOS E BEBIDAS LTDA</t>
        </is>
      </c>
      <c r="E927" t="n">
        <v>404.4</v>
      </c>
      <c r="F927" s="27" t="n">
        <v>45923</v>
      </c>
      <c r="G927" s="27" t="n">
        <v>45922</v>
      </c>
      <c r="H927" s="27" t="n">
        <v>45922</v>
      </c>
      <c r="I927" s="27" t="n">
        <v>45909</v>
      </c>
      <c r="J927" s="27" t="n">
        <v>45910</v>
      </c>
      <c r="K927" t="inlineStr">
        <is>
          <t>Boleto Bancário</t>
        </is>
      </c>
      <c r="L927" t="inlineStr">
        <is>
          <t>Custo Mercadoria Vendida</t>
        </is>
      </c>
      <c r="M927" t="inlineStr">
        <is>
          <t>Insumos - Bebidas</t>
        </is>
      </c>
      <c r="N927" t="inlineStr">
        <is>
          <t>3857</t>
        </is>
      </c>
      <c r="O927" t="inlineStr">
        <is>
          <t>Documentação Aprovada</t>
        </is>
      </c>
      <c r="P927" t="inlineStr">
        <is>
          <t>Aprovado Diretoria</t>
        </is>
      </c>
      <c r="Q927" t="inlineStr">
        <is>
          <t>Aprovado Caixa</t>
        </is>
      </c>
      <c r="R927" t="inlineStr">
        <is>
          <t>Pago</t>
        </is>
      </c>
      <c r="S927" t="n">
        <v>182</v>
      </c>
      <c r="T927" t="inlineStr">
        <is>
          <t>Love - Shibari - Kamino</t>
        </is>
      </c>
    </row>
    <row r="928">
      <c r="A928" t="n">
        <v>160116</v>
      </c>
      <c r="B928" t="n">
        <v>128</v>
      </c>
      <c r="C928" t="inlineStr">
        <is>
          <t>Love Cabaret</t>
        </is>
      </c>
      <c r="D928" t="inlineStr">
        <is>
          <t>WPP COMERCIO DE CARNES LTDA</t>
        </is>
      </c>
      <c r="E928" t="n">
        <v>466.94</v>
      </c>
      <c r="F928" s="27" t="n">
        <v>45923</v>
      </c>
      <c r="G928" s="27" t="n">
        <v>45922</v>
      </c>
      <c r="H928" s="27" t="n">
        <v>45922</v>
      </c>
      <c r="I928" s="27" t="n">
        <v>45909</v>
      </c>
      <c r="J928" s="27" t="n">
        <v>45910</v>
      </c>
      <c r="K928" t="inlineStr">
        <is>
          <t>Boleto Bancário</t>
        </is>
      </c>
      <c r="L928" t="inlineStr">
        <is>
          <t>Custo Mercadoria Vendida</t>
        </is>
      </c>
      <c r="M928" t="inlineStr">
        <is>
          <t>Insumos - Alimentos</t>
        </is>
      </c>
      <c r="N928" t="inlineStr">
        <is>
          <t>74397</t>
        </is>
      </c>
      <c r="O928" t="inlineStr">
        <is>
          <t>Documentação Aprovada</t>
        </is>
      </c>
      <c r="P928" t="inlineStr">
        <is>
          <t>Aprovado Diretoria</t>
        </is>
      </c>
      <c r="Q928" t="inlineStr">
        <is>
          <t>Aprovado Caixa</t>
        </is>
      </c>
      <c r="R928" t="inlineStr">
        <is>
          <t>Pago</t>
        </is>
      </c>
      <c r="S928" t="n">
        <v>182</v>
      </c>
      <c r="T928" t="inlineStr">
        <is>
          <t>Love - Shibari - Kamino</t>
        </is>
      </c>
    </row>
    <row r="929">
      <c r="A929" t="n">
        <v>160079</v>
      </c>
      <c r="B929" t="n">
        <v>128</v>
      </c>
      <c r="C929" t="inlineStr">
        <is>
          <t>Love Cabaret</t>
        </is>
      </c>
      <c r="D929" t="inlineStr">
        <is>
          <t>BATALHA FABRICA DE PAES LTDA</t>
        </is>
      </c>
      <c r="E929" t="n">
        <v>374.56</v>
      </c>
      <c r="F929" s="27" t="n">
        <v>45924</v>
      </c>
      <c r="G929" s="27" t="n">
        <v>45922</v>
      </c>
      <c r="H929" s="27" t="n">
        <v>45922</v>
      </c>
      <c r="I929" s="27" t="n">
        <v>45905</v>
      </c>
      <c r="J929" s="27" t="n">
        <v>45910</v>
      </c>
      <c r="K929" t="inlineStr">
        <is>
          <t>Boleto Bancário</t>
        </is>
      </c>
      <c r="L929" t="inlineStr">
        <is>
          <t>Custo Mercadoria Vendida</t>
        </is>
      </c>
      <c r="M929" t="inlineStr">
        <is>
          <t>Insumos - Alimentos</t>
        </is>
      </c>
      <c r="N929" t="inlineStr">
        <is>
          <t>51283</t>
        </is>
      </c>
      <c r="O929" t="inlineStr">
        <is>
          <t>Documentação Aprovada</t>
        </is>
      </c>
      <c r="P929" t="inlineStr">
        <is>
          <t>Aprovado Diretoria</t>
        </is>
      </c>
      <c r="Q929" t="inlineStr">
        <is>
          <t>Aprovado Caixa</t>
        </is>
      </c>
      <c r="R929" t="inlineStr">
        <is>
          <t>Pago</t>
        </is>
      </c>
      <c r="S929" t="n">
        <v>182</v>
      </c>
      <c r="T929" t="inlineStr">
        <is>
          <t>Love - Shibari - Kamino</t>
        </is>
      </c>
    </row>
    <row r="930">
      <c r="A930" t="n">
        <v>160119</v>
      </c>
      <c r="B930" t="n">
        <v>128</v>
      </c>
      <c r="C930" t="inlineStr">
        <is>
          <t>Love Cabaret</t>
        </is>
      </c>
      <c r="D930" t="inlineStr">
        <is>
          <t>PARAMU COMERCIO E REPRESENTACAO DE PRODUTOS ALIMENTICIOS</t>
        </is>
      </c>
      <c r="E930" t="n">
        <v>728.33</v>
      </c>
      <c r="F930" s="27" t="n">
        <v>45922</v>
      </c>
      <c r="G930" s="27" t="n">
        <v>45922</v>
      </c>
      <c r="H930" s="27" t="n">
        <v>45922</v>
      </c>
      <c r="I930" s="27" t="n">
        <v>45908</v>
      </c>
      <c r="J930" s="27" t="n">
        <v>45910</v>
      </c>
      <c r="K930" t="inlineStr">
        <is>
          <t>Boleto Bancário</t>
        </is>
      </c>
      <c r="L930" t="inlineStr">
        <is>
          <t>Custo Mercadoria Vendida</t>
        </is>
      </c>
      <c r="M930" t="inlineStr">
        <is>
          <t>Insumos - Alimentos</t>
        </is>
      </c>
      <c r="N930" t="inlineStr">
        <is>
          <t>15301</t>
        </is>
      </c>
      <c r="O930" t="inlineStr">
        <is>
          <t>Documentação Aprovada</t>
        </is>
      </c>
      <c r="P930" t="inlineStr">
        <is>
          <t>Aprovado Diretoria</t>
        </is>
      </c>
      <c r="Q930" t="inlineStr">
        <is>
          <t>Aprovado Caixa</t>
        </is>
      </c>
      <c r="R930" t="inlineStr">
        <is>
          <t>Pago</t>
        </is>
      </c>
      <c r="S930" t="n">
        <v>182</v>
      </c>
      <c r="T930" t="inlineStr">
        <is>
          <t>Love - Shibari - Kamino</t>
        </is>
      </c>
    </row>
    <row r="931">
      <c r="A931" t="n">
        <v>160124</v>
      </c>
      <c r="B931" t="n">
        <v>128</v>
      </c>
      <c r="C931" t="inlineStr">
        <is>
          <t>Love Cabaret</t>
        </is>
      </c>
      <c r="D931" t="inlineStr">
        <is>
          <t xml:space="preserve">LEBANON MARKET CENTER LTDA </t>
        </is>
      </c>
      <c r="E931" t="n">
        <v>380.12</v>
      </c>
      <c r="F931" s="27" t="n">
        <v>45923</v>
      </c>
      <c r="G931" s="27" t="n">
        <v>45922</v>
      </c>
      <c r="H931" s="27" t="n">
        <v>45922</v>
      </c>
      <c r="I931" s="27" t="n">
        <v>45908</v>
      </c>
      <c r="J931" s="27" t="n">
        <v>45910</v>
      </c>
      <c r="K931" t="inlineStr">
        <is>
          <t>Boleto Bancário</t>
        </is>
      </c>
      <c r="L931" t="inlineStr">
        <is>
          <t>Custo Mercadoria Vendida</t>
        </is>
      </c>
      <c r="M931" t="inlineStr">
        <is>
          <t>Insumos - Alimentos</t>
        </is>
      </c>
      <c r="N931" t="inlineStr">
        <is>
          <t>140721</t>
        </is>
      </c>
      <c r="O931" t="inlineStr">
        <is>
          <t>Documentação Aprovada</t>
        </is>
      </c>
      <c r="P931" t="inlineStr">
        <is>
          <t>Aprovado Diretoria</t>
        </is>
      </c>
      <c r="Q931" t="inlineStr">
        <is>
          <t>Aprovado Caixa</t>
        </is>
      </c>
      <c r="R931" t="inlineStr">
        <is>
          <t>Pago</t>
        </is>
      </c>
      <c r="S931" t="n">
        <v>182</v>
      </c>
      <c r="T931" t="inlineStr">
        <is>
          <t>Love - Shibari - Kamino</t>
        </is>
      </c>
    </row>
    <row r="932">
      <c r="A932" t="n">
        <v>160128</v>
      </c>
      <c r="B932" t="n">
        <v>128</v>
      </c>
      <c r="C932" t="inlineStr">
        <is>
          <t>Love Cabaret</t>
        </is>
      </c>
      <c r="D932" t="inlineStr">
        <is>
          <t>DTK COMERCIO DE ALIMENTOS LTDA</t>
        </is>
      </c>
      <c r="E932" t="n">
        <v>255.75</v>
      </c>
      <c r="F932" s="27" t="n">
        <v>45923</v>
      </c>
      <c r="G932" s="27" t="n">
        <v>45922</v>
      </c>
      <c r="H932" s="27" t="n">
        <v>45922</v>
      </c>
      <c r="I932" s="27" t="n">
        <v>45909</v>
      </c>
      <c r="J932" s="27" t="n">
        <v>45910</v>
      </c>
      <c r="K932" t="inlineStr">
        <is>
          <t>Boleto Bancário</t>
        </is>
      </c>
      <c r="L932" t="inlineStr">
        <is>
          <t>Custo Mercadoria Vendida</t>
        </is>
      </c>
      <c r="M932" t="inlineStr">
        <is>
          <t>Insumos - Alimentos</t>
        </is>
      </c>
      <c r="N932" t="inlineStr">
        <is>
          <t>43179</t>
        </is>
      </c>
      <c r="O932" t="inlineStr">
        <is>
          <t>Documentação Aprovada</t>
        </is>
      </c>
      <c r="P932" t="inlineStr">
        <is>
          <t>Aprovado Diretoria</t>
        </is>
      </c>
      <c r="Q932" t="inlineStr">
        <is>
          <t>Aprovado Caixa</t>
        </is>
      </c>
      <c r="R932" t="inlineStr">
        <is>
          <t>Pago</t>
        </is>
      </c>
      <c r="S932" t="n">
        <v>182</v>
      </c>
      <c r="T932" t="inlineStr">
        <is>
          <t>Love - Shibari - Kamino</t>
        </is>
      </c>
    </row>
    <row r="933">
      <c r="A933" t="n">
        <v>160065</v>
      </c>
      <c r="B933" t="n">
        <v>128</v>
      </c>
      <c r="C933" t="inlineStr">
        <is>
          <t>Love Cabaret</t>
        </is>
      </c>
      <c r="D933" t="inlineStr">
        <is>
          <t>CEPEL COMERCIO DE PAPEIS E EMBALAGENS LTDA</t>
        </is>
      </c>
      <c r="E933" t="n">
        <v>580</v>
      </c>
      <c r="F933" s="27" t="n">
        <v>45923</v>
      </c>
      <c r="G933" s="27" t="n">
        <v>45922</v>
      </c>
      <c r="H933" s="27" t="n">
        <v>45922</v>
      </c>
      <c r="I933" s="27" t="n">
        <v>45908</v>
      </c>
      <c r="J933" s="27" t="n">
        <v>45910</v>
      </c>
      <c r="K933" t="inlineStr">
        <is>
          <t>Boleto Bancário</t>
        </is>
      </c>
      <c r="L933" t="inlineStr">
        <is>
          <t>Utilidades</t>
        </is>
      </c>
      <c r="M933" t="inlineStr">
        <is>
          <t>Higiene e Limpeza</t>
        </is>
      </c>
      <c r="N933" t="inlineStr">
        <is>
          <t>248078</t>
        </is>
      </c>
      <c r="O933" t="inlineStr">
        <is>
          <t>Documentação Aprovada</t>
        </is>
      </c>
      <c r="P933" t="inlineStr">
        <is>
          <t>Aprovado Diretoria</t>
        </is>
      </c>
      <c r="Q933" t="inlineStr">
        <is>
          <t>Aprovado Caixa</t>
        </is>
      </c>
      <c r="R933" t="inlineStr">
        <is>
          <t>Pago</t>
        </is>
      </c>
      <c r="S933" t="n">
        <v>182</v>
      </c>
      <c r="T933" t="inlineStr">
        <is>
          <t>Love - Shibari - Kamino</t>
        </is>
      </c>
    </row>
    <row r="934">
      <c r="A934" t="n">
        <v>160055</v>
      </c>
      <c r="B934" t="n">
        <v>128</v>
      </c>
      <c r="C934" t="inlineStr">
        <is>
          <t>Love Cabaret</t>
        </is>
      </c>
      <c r="D934" t="inlineStr">
        <is>
          <t>CEPEL COMERCIO DE PAPEIS E EMBALAGENS LTDA</t>
        </is>
      </c>
      <c r="E934" t="n">
        <v>1075.8</v>
      </c>
      <c r="F934" s="27" t="n">
        <v>45923</v>
      </c>
      <c r="G934" s="27" t="n">
        <v>45922</v>
      </c>
      <c r="H934" s="27" t="n">
        <v>45922</v>
      </c>
      <c r="I934" s="27" t="n">
        <v>45908</v>
      </c>
      <c r="J934" s="27" t="n">
        <v>45910</v>
      </c>
      <c r="K934" t="inlineStr">
        <is>
          <t>Boleto Bancário</t>
        </is>
      </c>
      <c r="L934" t="inlineStr">
        <is>
          <t>Utilidades</t>
        </is>
      </c>
      <c r="M934" t="inlineStr">
        <is>
          <t>Higiene e Limpeza</t>
        </is>
      </c>
      <c r="N934" t="inlineStr">
        <is>
          <t>248087</t>
        </is>
      </c>
      <c r="O934" t="inlineStr">
        <is>
          <t>Documentação Aprovada</t>
        </is>
      </c>
      <c r="P934" t="inlineStr">
        <is>
          <t>Aprovado Diretoria</t>
        </is>
      </c>
      <c r="Q934" t="inlineStr">
        <is>
          <t>Aprovado Caixa</t>
        </is>
      </c>
      <c r="R934" t="inlineStr">
        <is>
          <t>Pago</t>
        </is>
      </c>
      <c r="S934" t="n">
        <v>182</v>
      </c>
      <c r="T934" t="inlineStr">
        <is>
          <t>Love - Shibari - Kamino</t>
        </is>
      </c>
    </row>
    <row r="935">
      <c r="A935" t="n">
        <v>160130</v>
      </c>
      <c r="B935" t="n">
        <v>128</v>
      </c>
      <c r="C935" t="inlineStr">
        <is>
          <t>Love Cabaret</t>
        </is>
      </c>
      <c r="D935" t="inlineStr">
        <is>
          <t xml:space="preserve">HORTIFRUTI DO CHEF LTDA </t>
        </is>
      </c>
      <c r="E935" t="n">
        <v>285.57</v>
      </c>
      <c r="F935" s="27" t="n">
        <v>45922</v>
      </c>
      <c r="G935" s="27" t="n">
        <v>45922</v>
      </c>
      <c r="H935" s="27" t="n">
        <v>45922</v>
      </c>
      <c r="I935" s="27" t="n">
        <v>45908</v>
      </c>
      <c r="J935" s="27" t="n">
        <v>45910</v>
      </c>
      <c r="K935" t="inlineStr">
        <is>
          <t>Boleto Bancário</t>
        </is>
      </c>
      <c r="L935" t="inlineStr">
        <is>
          <t>Custo Mercadoria Vendida</t>
        </is>
      </c>
      <c r="M935" t="inlineStr">
        <is>
          <t>Insumos - Alimentos</t>
        </is>
      </c>
      <c r="N935" t="inlineStr">
        <is>
          <t>27825</t>
        </is>
      </c>
      <c r="O935" t="inlineStr">
        <is>
          <t>Documentação Aprovada</t>
        </is>
      </c>
      <c r="P935" t="inlineStr">
        <is>
          <t>Aprovado Diretoria</t>
        </is>
      </c>
      <c r="Q935" t="inlineStr">
        <is>
          <t>Aprovado Caixa</t>
        </is>
      </c>
      <c r="R935" t="inlineStr">
        <is>
          <t>Pago</t>
        </is>
      </c>
      <c r="S935" t="n">
        <v>182</v>
      </c>
      <c r="T935" t="inlineStr">
        <is>
          <t>Love - Shibari - Kamino</t>
        </is>
      </c>
    </row>
    <row r="936">
      <c r="A936" t="n">
        <v>149515</v>
      </c>
      <c r="B936" t="n">
        <v>128</v>
      </c>
      <c r="C936" t="inlineStr">
        <is>
          <t>Love Cabaret</t>
        </is>
      </c>
      <c r="D936" t="inlineStr">
        <is>
          <t xml:space="preserve">SPOTIFY </t>
        </is>
      </c>
      <c r="E936" t="n">
        <v>17.45</v>
      </c>
      <c r="F936" s="27" t="n">
        <v>45915</v>
      </c>
      <c r="G936" s="27" t="n">
        <v>45922</v>
      </c>
      <c r="H936" s="27" t="n">
        <v>45922</v>
      </c>
      <c r="I936" s="27" t="n">
        <v>45908</v>
      </c>
      <c r="J936" s="27" t="n"/>
      <c r="K936" t="inlineStr">
        <is>
          <t>Transferência Bancária ou Pix</t>
        </is>
      </c>
      <c r="L936" t="inlineStr">
        <is>
          <t>Informática e TI</t>
        </is>
      </c>
      <c r="M936" t="inlineStr">
        <is>
          <t>TV por assinatura/musica ambiente</t>
        </is>
      </c>
      <c r="N936" t="inlineStr">
        <is>
          <t>RP73-2025</t>
        </is>
      </c>
      <c r="O936" t="inlineStr">
        <is>
          <t>Documentação Aprovada</t>
        </is>
      </c>
      <c r="P936" t="inlineStr">
        <is>
          <t>Aprovado Diretoria</t>
        </is>
      </c>
      <c r="Q936" t="inlineStr">
        <is>
          <t>Aprovado Caixa</t>
        </is>
      </c>
      <c r="R936" t="inlineStr">
        <is>
          <t>Pago</t>
        </is>
      </c>
      <c r="S936" t="n">
        <v>182</v>
      </c>
      <c r="T936" t="inlineStr">
        <is>
          <t>Love - Shibari - Kamino</t>
        </is>
      </c>
    </row>
    <row r="937">
      <c r="A937" t="n">
        <v>157033</v>
      </c>
      <c r="B937" t="n">
        <v>128</v>
      </c>
      <c r="C937" t="inlineStr">
        <is>
          <t>Love Cabaret</t>
        </is>
      </c>
      <c r="D937" t="inlineStr">
        <is>
          <t>PROAUTO INDUSTRIA QUIMICA EIRELI</t>
        </is>
      </c>
      <c r="E937" t="n">
        <v>726.7</v>
      </c>
      <c r="F937" s="27" t="n">
        <v>45922</v>
      </c>
      <c r="G937" s="27" t="n">
        <v>45922</v>
      </c>
      <c r="H937" s="27" t="n">
        <v>45922</v>
      </c>
      <c r="I937" s="27" t="n">
        <v>45894</v>
      </c>
      <c r="J937" s="27" t="n">
        <v>45896</v>
      </c>
      <c r="K937" t="inlineStr">
        <is>
          <t>Boleto Bancário</t>
        </is>
      </c>
      <c r="L937" t="inlineStr">
        <is>
          <t>Utilidades</t>
        </is>
      </c>
      <c r="M937" t="inlineStr">
        <is>
          <t>Higiene e Limpeza</t>
        </is>
      </c>
      <c r="N937" t="inlineStr">
        <is>
          <t>143229</t>
        </is>
      </c>
      <c r="O937" t="inlineStr">
        <is>
          <t>Documentação Aprovada</t>
        </is>
      </c>
      <c r="P937" t="inlineStr">
        <is>
          <t>Aprovado Diretoria</t>
        </is>
      </c>
      <c r="Q937" t="inlineStr">
        <is>
          <t>Aprovado Caixa</t>
        </is>
      </c>
      <c r="R937" t="inlineStr">
        <is>
          <t>Pago</t>
        </is>
      </c>
      <c r="S937" t="n">
        <v>182</v>
      </c>
      <c r="T937" t="inlineStr">
        <is>
          <t>Love - Shibari - Kamino</t>
        </is>
      </c>
    </row>
    <row r="938">
      <c r="A938" t="n">
        <v>157035</v>
      </c>
      <c r="B938" t="n">
        <v>128</v>
      </c>
      <c r="C938" t="inlineStr">
        <is>
          <t>Love Cabaret</t>
        </is>
      </c>
      <c r="D938" t="inlineStr">
        <is>
          <t>INTERFOOD IMPORTACAO LTDA</t>
        </is>
      </c>
      <c r="E938" t="n">
        <v>780.9299999999999</v>
      </c>
      <c r="F938" s="27" t="n">
        <v>45922</v>
      </c>
      <c r="G938" s="27" t="n">
        <v>45922</v>
      </c>
      <c r="H938" s="27" t="n">
        <v>45922</v>
      </c>
      <c r="I938" s="27" t="n">
        <v>45895</v>
      </c>
      <c r="J938" s="27" t="n">
        <v>45896</v>
      </c>
      <c r="K938" t="inlineStr">
        <is>
          <t>Boleto Bancário</t>
        </is>
      </c>
      <c r="L938" t="inlineStr">
        <is>
          <t>Custo Mercadoria Vendida</t>
        </is>
      </c>
      <c r="M938" t="inlineStr">
        <is>
          <t>Insumos - Bebidas</t>
        </is>
      </c>
      <c r="N938" t="inlineStr">
        <is>
          <t>415087</t>
        </is>
      </c>
      <c r="O938" t="inlineStr">
        <is>
          <t>Documentação Aprovada</t>
        </is>
      </c>
      <c r="P938" t="inlineStr">
        <is>
          <t>Aprovado Diretoria</t>
        </is>
      </c>
      <c r="Q938" t="inlineStr">
        <is>
          <t>Aprovado Caixa</t>
        </is>
      </c>
      <c r="R938" t="inlineStr">
        <is>
          <t>Pago</t>
        </is>
      </c>
      <c r="S938" t="n">
        <v>182</v>
      </c>
      <c r="T938" t="inlineStr">
        <is>
          <t>Love - Shibari - Kamino</t>
        </is>
      </c>
    </row>
    <row r="939">
      <c r="A939" t="n">
        <v>156631</v>
      </c>
      <c r="B939" t="n">
        <v>128</v>
      </c>
      <c r="C939" t="inlineStr">
        <is>
          <t>Love Cabaret</t>
        </is>
      </c>
      <c r="D939" t="inlineStr">
        <is>
          <t>BRH SAUDE OCUPACIONAL LTDA</t>
        </is>
      </c>
      <c r="E939" t="n">
        <v>142.48</v>
      </c>
      <c r="F939" s="27" t="n">
        <v>45924</v>
      </c>
      <c r="G939" s="27" t="n">
        <v>45922</v>
      </c>
      <c r="H939" s="27" t="n">
        <v>45922</v>
      </c>
      <c r="I939" s="27" t="n">
        <v>45870</v>
      </c>
      <c r="J939" s="27" t="n">
        <v>45895</v>
      </c>
      <c r="K939" t="inlineStr">
        <is>
          <t>Boleto Bancário</t>
        </is>
      </c>
      <c r="L939" t="inlineStr">
        <is>
          <t>Mão de Obra - Benefícios</t>
        </is>
      </c>
      <c r="M939" t="inlineStr">
        <is>
          <t xml:space="preserve">  -  Exames Periódicos</t>
        </is>
      </c>
      <c r="N939" t="inlineStr">
        <is>
          <t>82330</t>
        </is>
      </c>
      <c r="O939" t="inlineStr">
        <is>
          <t>Documentação Aprovada</t>
        </is>
      </c>
      <c r="P939" t="inlineStr">
        <is>
          <t>Aprovado Diretoria</t>
        </is>
      </c>
      <c r="Q939" t="inlineStr">
        <is>
          <t>Aprovado Caixa</t>
        </is>
      </c>
      <c r="R939" t="inlineStr">
        <is>
          <t>Pago</t>
        </is>
      </c>
      <c r="S939" t="n">
        <v>182</v>
      </c>
      <c r="T939" t="inlineStr">
        <is>
          <t>Love - Shibari - Kamino</t>
        </is>
      </c>
    </row>
    <row r="940">
      <c r="A940" t="n">
        <v>142650</v>
      </c>
      <c r="B940" t="n">
        <v>128</v>
      </c>
      <c r="C940" t="inlineStr">
        <is>
          <t>Love Cabaret</t>
        </is>
      </c>
      <c r="D940" t="inlineStr">
        <is>
          <t xml:space="preserve">DESTEC SOLUCOES LTDA </t>
        </is>
      </c>
      <c r="E940" t="n">
        <v>812.7</v>
      </c>
      <c r="F940" s="27" t="n">
        <v>45924</v>
      </c>
      <c r="G940" s="27" t="n">
        <v>45922</v>
      </c>
      <c r="H940" s="27" t="n">
        <v>45922</v>
      </c>
      <c r="I940" s="27" t="n">
        <v>45899</v>
      </c>
      <c r="J940" s="27" t="n"/>
      <c r="K940" t="inlineStr">
        <is>
          <t>Boleto Bancário</t>
        </is>
      </c>
      <c r="L940" t="inlineStr">
        <is>
          <t>Locação de Equipamentos</t>
        </is>
      </c>
      <c r="M940" t="inlineStr">
        <is>
          <t>Locações de Equipamentos - Operacionais</t>
        </is>
      </c>
      <c r="N940" t="inlineStr">
        <is>
          <t xml:space="preserve">20251246 </t>
        </is>
      </c>
      <c r="O940" t="inlineStr">
        <is>
          <t>Documentação Aprovada</t>
        </is>
      </c>
      <c r="P940" t="inlineStr">
        <is>
          <t>Aprovado Diretoria</t>
        </is>
      </c>
      <c r="Q940" t="inlineStr">
        <is>
          <t>Aprovado Caixa</t>
        </is>
      </c>
      <c r="R940" t="inlineStr">
        <is>
          <t>Pago</t>
        </is>
      </c>
      <c r="S940" t="n">
        <v>182</v>
      </c>
      <c r="T940" t="inlineStr">
        <is>
          <t>Love - Shibari - Kamino</t>
        </is>
      </c>
    </row>
    <row r="941">
      <c r="A941" t="n">
        <v>159765</v>
      </c>
      <c r="B941" t="n">
        <v>128</v>
      </c>
      <c r="C941" t="inlineStr">
        <is>
          <t>Love Cabaret</t>
        </is>
      </c>
      <c r="D941" t="inlineStr">
        <is>
          <t xml:space="preserve">HNK BR INDUSTRIA DE BEBIDAS </t>
        </is>
      </c>
      <c r="E941" t="n">
        <v>3037.38</v>
      </c>
      <c r="F941" s="27" t="n">
        <v>45919</v>
      </c>
      <c r="G941" s="27" t="n">
        <v>45917</v>
      </c>
      <c r="H941" s="27" t="n">
        <v>45917</v>
      </c>
      <c r="I941" s="27" t="n">
        <v>45904</v>
      </c>
      <c r="J941" s="27" t="n">
        <v>45909</v>
      </c>
      <c r="K941" t="inlineStr">
        <is>
          <t>Boleto Bancário</t>
        </is>
      </c>
      <c r="L941" t="inlineStr">
        <is>
          <t>Custo Mercadoria Vendida</t>
        </is>
      </c>
      <c r="M941" t="inlineStr">
        <is>
          <t>Insumos - Bebidas</t>
        </is>
      </c>
      <c r="N941" t="inlineStr">
        <is>
          <t>51800</t>
        </is>
      </c>
      <c r="O941" t="inlineStr">
        <is>
          <t>Documentação Aprovada</t>
        </is>
      </c>
      <c r="P941" t="inlineStr">
        <is>
          <t>Aprovado Diretoria</t>
        </is>
      </c>
      <c r="Q941" t="inlineStr">
        <is>
          <t>Aprovado Caixa</t>
        </is>
      </c>
      <c r="R941" t="inlineStr">
        <is>
          <t>Pago</t>
        </is>
      </c>
      <c r="S941" t="n">
        <v>182</v>
      </c>
      <c r="T941" t="inlineStr">
        <is>
          <t>Love - Shibari - Kamino</t>
        </is>
      </c>
    </row>
    <row r="942">
      <c r="A942" t="n">
        <v>159770</v>
      </c>
      <c r="B942" t="n">
        <v>128</v>
      </c>
      <c r="C942" t="inlineStr">
        <is>
          <t>Love Cabaret</t>
        </is>
      </c>
      <c r="D942" t="inlineStr">
        <is>
          <t xml:space="preserve">DISTRIBUIDORA DE CARNES CANTAREIRA </t>
        </is>
      </c>
      <c r="E942" t="n">
        <v>462.4</v>
      </c>
      <c r="F942" s="27" t="n">
        <v>45918</v>
      </c>
      <c r="G942" s="27" t="n">
        <v>45917</v>
      </c>
      <c r="H942" s="27" t="n">
        <v>45917</v>
      </c>
      <c r="I942" s="27" t="n">
        <v>45905</v>
      </c>
      <c r="J942" s="27" t="n">
        <v>45909</v>
      </c>
      <c r="K942" t="inlineStr">
        <is>
          <t>Boleto Bancário</t>
        </is>
      </c>
      <c r="L942" t="inlineStr">
        <is>
          <t>Custo Mercadoria Vendida</t>
        </is>
      </c>
      <c r="M942" t="inlineStr">
        <is>
          <t>Insumos - Alimentos</t>
        </is>
      </c>
      <c r="N942" t="inlineStr">
        <is>
          <t>45096</t>
        </is>
      </c>
      <c r="O942" t="inlineStr">
        <is>
          <t>Documentação Aprovada</t>
        </is>
      </c>
      <c r="P942" t="inlineStr">
        <is>
          <t>Aprovado Diretoria</t>
        </is>
      </c>
      <c r="Q942" t="inlineStr">
        <is>
          <t>Aprovado Caixa</t>
        </is>
      </c>
      <c r="R942" t="inlineStr">
        <is>
          <t>Pago</t>
        </is>
      </c>
      <c r="S942" t="n">
        <v>182</v>
      </c>
      <c r="T942" t="inlineStr">
        <is>
          <t>Love - Shibari - Kamino</t>
        </is>
      </c>
    </row>
    <row r="943">
      <c r="A943" t="n">
        <v>159769</v>
      </c>
      <c r="B943" t="n">
        <v>128</v>
      </c>
      <c r="C943" t="inlineStr">
        <is>
          <t>Love Cabaret</t>
        </is>
      </c>
      <c r="D943" t="inlineStr">
        <is>
          <t>CECILIA TSUYACO ARAKI SILVA LTDA</t>
        </is>
      </c>
      <c r="E943" t="n">
        <v>91.59999999999999</v>
      </c>
      <c r="F943" s="27" t="n">
        <v>45918</v>
      </c>
      <c r="G943" s="27" t="n">
        <v>45917</v>
      </c>
      <c r="H943" s="27" t="n">
        <v>45917</v>
      </c>
      <c r="I943" s="27" t="n">
        <v>45904</v>
      </c>
      <c r="J943" s="27" t="n">
        <v>45909</v>
      </c>
      <c r="K943" t="inlineStr">
        <is>
          <t>Boleto Bancário</t>
        </is>
      </c>
      <c r="L943" t="inlineStr">
        <is>
          <t>Custo Mercadoria Vendida</t>
        </is>
      </c>
      <c r="M943" t="inlineStr">
        <is>
          <t>Insumos - Alimentos</t>
        </is>
      </c>
      <c r="N943" t="inlineStr">
        <is>
          <t>377509</t>
        </is>
      </c>
      <c r="O943" t="inlineStr">
        <is>
          <t>Documentação Aprovada</t>
        </is>
      </c>
      <c r="P943" t="inlineStr">
        <is>
          <t>Aprovado Diretoria</t>
        </is>
      </c>
      <c r="Q943" t="inlineStr">
        <is>
          <t>Aprovado Caixa</t>
        </is>
      </c>
      <c r="R943" t="inlineStr">
        <is>
          <t>Pago</t>
        </is>
      </c>
      <c r="S943" t="n">
        <v>182</v>
      </c>
      <c r="T943" t="inlineStr">
        <is>
          <t>Love - Shibari - Kamino</t>
        </is>
      </c>
    </row>
    <row r="944">
      <c r="A944" t="n">
        <v>159243</v>
      </c>
      <c r="B944" t="n">
        <v>128</v>
      </c>
      <c r="C944" t="inlineStr">
        <is>
          <t>Love Cabaret</t>
        </is>
      </c>
      <c r="D944" t="inlineStr">
        <is>
          <t>BATARD PADARIA ARTESANAL LTDA</t>
        </is>
      </c>
      <c r="E944" t="n">
        <v>137</v>
      </c>
      <c r="F944" s="27" t="n">
        <v>45918</v>
      </c>
      <c r="G944" s="27" t="n">
        <v>45917</v>
      </c>
      <c r="H944" s="27" t="n">
        <v>45917</v>
      </c>
      <c r="I944" s="27" t="n">
        <v>45902</v>
      </c>
      <c r="J944" s="27" t="n">
        <v>45904</v>
      </c>
      <c r="K944" t="inlineStr">
        <is>
          <t>Boleto Bancário</t>
        </is>
      </c>
      <c r="L944" t="inlineStr">
        <is>
          <t>Custo Mercadoria Vendida</t>
        </is>
      </c>
      <c r="M944" t="inlineStr">
        <is>
          <t>Insumos - Alimentos</t>
        </is>
      </c>
      <c r="N944" t="inlineStr">
        <is>
          <t>11850</t>
        </is>
      </c>
      <c r="O944" t="inlineStr">
        <is>
          <t>Documentação Aprovada</t>
        </is>
      </c>
      <c r="P944" t="inlineStr">
        <is>
          <t>Aprovado Diretoria</t>
        </is>
      </c>
      <c r="Q944" t="inlineStr">
        <is>
          <t>Aprovado Caixa</t>
        </is>
      </c>
      <c r="R944" t="inlineStr">
        <is>
          <t>Pago</t>
        </is>
      </c>
      <c r="S944" t="n">
        <v>182</v>
      </c>
      <c r="T944" t="inlineStr">
        <is>
          <t>Love - Shibari - Kamino</t>
        </is>
      </c>
    </row>
    <row r="945">
      <c r="A945" t="n">
        <v>161379</v>
      </c>
      <c r="B945" t="n">
        <v>128</v>
      </c>
      <c r="C945" t="inlineStr">
        <is>
          <t>Love Cabaret</t>
        </is>
      </c>
      <c r="D945" t="inlineStr">
        <is>
          <t>JULIANA OLIVEIRA DA SILVA</t>
        </is>
      </c>
      <c r="E945" t="n">
        <v>892.04</v>
      </c>
      <c r="F945" s="27" t="n">
        <v>45919</v>
      </c>
      <c r="G945" s="27" t="n">
        <v>45917</v>
      </c>
      <c r="H945" s="27" t="n">
        <v>45917</v>
      </c>
      <c r="I945" s="27" t="n">
        <v>45915</v>
      </c>
      <c r="J945" s="27" t="n"/>
      <c r="K945" t="inlineStr">
        <is>
          <t>Transferência Bancária ou Pix</t>
        </is>
      </c>
      <c r="L945" t="inlineStr">
        <is>
          <t>Mão de Obra - Salários</t>
        </is>
      </c>
      <c r="M945" t="inlineStr">
        <is>
          <t>MDO CLT - Salário</t>
        </is>
      </c>
      <c r="N945" t="inlineStr">
        <is>
          <t>092025</t>
        </is>
      </c>
      <c r="O945" t="inlineStr">
        <is>
          <t>Documentação Aprovada</t>
        </is>
      </c>
      <c r="P945" t="inlineStr">
        <is>
          <t>Aprovado Diretoria</t>
        </is>
      </c>
      <c r="Q945" t="inlineStr">
        <is>
          <t>Aprovado Caixa</t>
        </is>
      </c>
      <c r="R945" t="inlineStr">
        <is>
          <t>Pago</t>
        </is>
      </c>
      <c r="S945" t="n">
        <v>115</v>
      </c>
      <c r="T945" t="inlineStr">
        <is>
          <t>Love - Shibari - Bradesco</t>
        </is>
      </c>
    </row>
    <row r="946">
      <c r="A946" t="n">
        <v>161378</v>
      </c>
      <c r="B946" t="n">
        <v>128</v>
      </c>
      <c r="C946" t="inlineStr">
        <is>
          <t>Love Cabaret</t>
        </is>
      </c>
      <c r="D946" t="inlineStr">
        <is>
          <t>CAROLINE FERREIRA DA SILVA</t>
        </is>
      </c>
      <c r="E946" t="n">
        <v>963.84</v>
      </c>
      <c r="F946" s="27" t="n">
        <v>45919</v>
      </c>
      <c r="G946" s="27" t="n">
        <v>45917</v>
      </c>
      <c r="H946" s="27" t="n">
        <v>45917</v>
      </c>
      <c r="I946" s="27" t="n">
        <v>45915</v>
      </c>
      <c r="J946" s="27" t="n"/>
      <c r="K946" t="inlineStr">
        <is>
          <t>Transferência Bancária ou Pix</t>
        </is>
      </c>
      <c r="L946" t="inlineStr">
        <is>
          <t>Mão de Obra - Salários</t>
        </is>
      </c>
      <c r="M946" t="inlineStr">
        <is>
          <t>MDO CLT - Salário</t>
        </is>
      </c>
      <c r="N946" t="inlineStr">
        <is>
          <t>092025</t>
        </is>
      </c>
      <c r="O946" t="inlineStr">
        <is>
          <t>Documentação Aprovada</t>
        </is>
      </c>
      <c r="P946" t="inlineStr">
        <is>
          <t>Aprovado Diretoria</t>
        </is>
      </c>
      <c r="Q946" t="inlineStr">
        <is>
          <t>Aprovado Caixa</t>
        </is>
      </c>
      <c r="R946" t="inlineStr">
        <is>
          <t>Pago</t>
        </is>
      </c>
      <c r="S946" t="n">
        <v>115</v>
      </c>
      <c r="T946" t="inlineStr">
        <is>
          <t>Love - Shibari - Bradesco</t>
        </is>
      </c>
    </row>
    <row r="947">
      <c r="A947" t="n">
        <v>158882</v>
      </c>
      <c r="B947" t="n">
        <v>128</v>
      </c>
      <c r="C947" t="inlineStr">
        <is>
          <t>Love Cabaret</t>
        </is>
      </c>
      <c r="D947" t="inlineStr">
        <is>
          <t>FGTS</t>
        </is>
      </c>
      <c r="E947" t="n">
        <v>639.41</v>
      </c>
      <c r="F947" s="27" t="n">
        <v>45919</v>
      </c>
      <c r="G947" s="27" t="n">
        <v>45917</v>
      </c>
      <c r="H947" s="27" t="n">
        <v>45917</v>
      </c>
      <c r="I947" s="27" t="n">
        <v>45870</v>
      </c>
      <c r="J947" s="27" t="n">
        <v>45903</v>
      </c>
      <c r="K947" t="inlineStr">
        <is>
          <t>Transferência Bancária ou Pix</t>
        </is>
      </c>
      <c r="L947" t="inlineStr">
        <is>
          <t>Mão de Obra - Encargos e Provisões</t>
        </is>
      </c>
      <c r="M947" t="inlineStr">
        <is>
          <t xml:space="preserve">  -  FGTS</t>
        </is>
      </c>
      <c r="N947" t="inlineStr">
        <is>
          <t>63941 082025</t>
        </is>
      </c>
      <c r="O947" t="inlineStr">
        <is>
          <t>Documentação Aprovada</t>
        </is>
      </c>
      <c r="P947" t="inlineStr">
        <is>
          <t>Aprovado Diretoria</t>
        </is>
      </c>
      <c r="Q947" t="inlineStr">
        <is>
          <t>Aprovado Caixa</t>
        </is>
      </c>
      <c r="R947" t="inlineStr">
        <is>
          <t>Pago</t>
        </is>
      </c>
      <c r="S947" t="n">
        <v>182</v>
      </c>
      <c r="T947" t="inlineStr">
        <is>
          <t>Love - Shibari - Kamino</t>
        </is>
      </c>
    </row>
    <row r="948">
      <c r="A948" t="n">
        <v>158822</v>
      </c>
      <c r="B948" t="n">
        <v>128</v>
      </c>
      <c r="C948" t="inlineStr">
        <is>
          <t>Love Cabaret</t>
        </is>
      </c>
      <c r="D948" t="inlineStr">
        <is>
          <t>INSS</t>
        </is>
      </c>
      <c r="E948" t="n">
        <v>2301.87</v>
      </c>
      <c r="F948" s="27" t="n">
        <v>45919</v>
      </c>
      <c r="G948" s="27" t="n">
        <v>45917</v>
      </c>
      <c r="H948" s="27" t="n">
        <v>45917</v>
      </c>
      <c r="I948" s="27" t="n">
        <v>45870</v>
      </c>
      <c r="J948" s="27" t="n">
        <v>45903</v>
      </c>
      <c r="K948" t="inlineStr">
        <is>
          <t>Boleto Bancário</t>
        </is>
      </c>
      <c r="L948" t="inlineStr">
        <is>
          <t>Mão de Obra - Encargos e Provisões</t>
        </is>
      </c>
      <c r="M948" t="inlineStr">
        <is>
          <t xml:space="preserve">  -  INSS Patronal</t>
        </is>
      </c>
      <c r="N948" t="inlineStr">
        <is>
          <t>230187 082025</t>
        </is>
      </c>
      <c r="O948" t="inlineStr">
        <is>
          <t>Documentação Aprovada</t>
        </is>
      </c>
      <c r="P948" t="inlineStr">
        <is>
          <t>Aprovado Diretoria</t>
        </is>
      </c>
      <c r="Q948" t="inlineStr">
        <is>
          <t>Aprovado Caixa</t>
        </is>
      </c>
      <c r="R948" t="inlineStr">
        <is>
          <t>Pago</t>
        </is>
      </c>
      <c r="S948" t="n">
        <v>182</v>
      </c>
      <c r="T948" t="inlineStr">
        <is>
          <t>Love - Shibari - Kamino</t>
        </is>
      </c>
    </row>
    <row r="949">
      <c r="A949" t="n">
        <v>158576</v>
      </c>
      <c r="B949" t="n">
        <v>128</v>
      </c>
      <c r="C949" t="inlineStr">
        <is>
          <t>Love Cabaret</t>
        </is>
      </c>
      <c r="D949" t="inlineStr">
        <is>
          <t>PORTO SEGURO SEGURO SAUDE SA</t>
        </is>
      </c>
      <c r="E949" t="n">
        <v>102.42</v>
      </c>
      <c r="F949" s="27" t="n">
        <v>45918</v>
      </c>
      <c r="G949" s="27" t="n">
        <v>45917</v>
      </c>
      <c r="H949" s="27" t="n">
        <v>45917</v>
      </c>
      <c r="I949" s="27" t="n">
        <v>45901</v>
      </c>
      <c r="J949" s="27" t="n">
        <v>45903</v>
      </c>
      <c r="K949" t="inlineStr">
        <is>
          <t>Boleto Bancário</t>
        </is>
      </c>
      <c r="L949" t="inlineStr">
        <is>
          <t>Mão de Obra - Benefícios</t>
        </is>
      </c>
      <c r="M949" t="inlineStr">
        <is>
          <t xml:space="preserve">  -  Seguro de Vida</t>
        </is>
      </c>
      <c r="N949" t="inlineStr">
        <is>
          <t>10242 092025</t>
        </is>
      </c>
      <c r="O949" t="inlineStr">
        <is>
          <t>Documentação Aprovada</t>
        </is>
      </c>
      <c r="P949" t="inlineStr">
        <is>
          <t>Aprovado Diretoria</t>
        </is>
      </c>
      <c r="Q949" t="inlineStr">
        <is>
          <t>Aprovado Caixa</t>
        </is>
      </c>
      <c r="R949" t="inlineStr">
        <is>
          <t>Pago</t>
        </is>
      </c>
      <c r="S949" t="n">
        <v>182</v>
      </c>
      <c r="T949" t="inlineStr">
        <is>
          <t>Love - Shibari - Kamino</t>
        </is>
      </c>
    </row>
    <row r="950">
      <c r="A950" t="n">
        <v>158876</v>
      </c>
      <c r="B950" t="n">
        <v>128</v>
      </c>
      <c r="C950" t="inlineStr">
        <is>
          <t>Love Cabaret</t>
        </is>
      </c>
      <c r="D950" t="inlineStr">
        <is>
          <t>INSS</t>
        </is>
      </c>
      <c r="E950" t="n">
        <v>773.91</v>
      </c>
      <c r="F950" s="27" t="n">
        <v>45919</v>
      </c>
      <c r="G950" s="27" t="n">
        <v>45917</v>
      </c>
      <c r="H950" s="27" t="n">
        <v>45917</v>
      </c>
      <c r="I950" s="27" t="n">
        <v>45870</v>
      </c>
      <c r="J950" s="27" t="n">
        <v>45903</v>
      </c>
      <c r="K950" t="inlineStr">
        <is>
          <t>Boleto Bancário</t>
        </is>
      </c>
      <c r="L950" t="inlineStr">
        <is>
          <t>Mão de Obra - Encargos e Provisões</t>
        </is>
      </c>
      <c r="M950" t="inlineStr">
        <is>
          <t xml:space="preserve">  -  INSS Segurados</t>
        </is>
      </c>
      <c r="N950" t="inlineStr">
        <is>
          <t>77391 082025</t>
        </is>
      </c>
      <c r="O950" t="inlineStr">
        <is>
          <t>Documentação Aprovada</t>
        </is>
      </c>
      <c r="P950" t="inlineStr">
        <is>
          <t>Aprovado Diretoria</t>
        </is>
      </c>
      <c r="Q950" t="inlineStr">
        <is>
          <t>Aprovado Caixa</t>
        </is>
      </c>
      <c r="R950" t="inlineStr">
        <is>
          <t>Pago</t>
        </is>
      </c>
      <c r="S950" t="n">
        <v>182</v>
      </c>
      <c r="T950" t="inlineStr">
        <is>
          <t>Love - Shibari - Kamino</t>
        </is>
      </c>
    </row>
    <row r="951">
      <c r="A951" t="n">
        <v>158049</v>
      </c>
      <c r="B951" t="n">
        <v>128</v>
      </c>
      <c r="C951" t="inlineStr">
        <is>
          <t>Love Cabaret</t>
        </is>
      </c>
      <c r="D951" t="inlineStr">
        <is>
          <t>CICLO PARTICIPACOES LTDA</t>
        </is>
      </c>
      <c r="E951" t="n">
        <v>4093.72</v>
      </c>
      <c r="F951" s="27" t="n">
        <v>45920</v>
      </c>
      <c r="G951" s="27" t="n">
        <v>45917</v>
      </c>
      <c r="H951" s="27" t="n">
        <v>45917</v>
      </c>
      <c r="I951" s="27" t="n">
        <v>45901</v>
      </c>
      <c r="J951" s="27" t="n"/>
      <c r="K951" t="inlineStr">
        <is>
          <t>Transferência Bancária ou Pix</t>
        </is>
      </c>
      <c r="L951" t="inlineStr">
        <is>
          <t>Custo de Ocupação</t>
        </is>
      </c>
      <c r="M951" t="inlineStr">
        <is>
          <t>Aluguel de Imoveis</t>
        </is>
      </c>
      <c r="N951" t="inlineStr">
        <is>
          <t>1/2</t>
        </is>
      </c>
      <c r="O951" t="inlineStr">
        <is>
          <t>Documentação Aprovada</t>
        </is>
      </c>
      <c r="P951" t="inlineStr">
        <is>
          <t>Aprovado Diretoria</t>
        </is>
      </c>
      <c r="Q951" t="inlineStr">
        <is>
          <t>Aprovado Caixa</t>
        </is>
      </c>
      <c r="R951" t="inlineStr">
        <is>
          <t>Pago</t>
        </is>
      </c>
      <c r="S951" t="n">
        <v>182</v>
      </c>
      <c r="T951" t="inlineStr">
        <is>
          <t>Love - Shibari - Kamino</t>
        </is>
      </c>
    </row>
    <row r="952">
      <c r="A952" t="n">
        <v>158880</v>
      </c>
      <c r="B952" t="n">
        <v>128</v>
      </c>
      <c r="C952" t="inlineStr">
        <is>
          <t>Love Cabaret</t>
        </is>
      </c>
      <c r="D952" t="inlineStr">
        <is>
          <t>IRRF</t>
        </is>
      </c>
      <c r="E952" t="n">
        <v>320.69</v>
      </c>
      <c r="F952" s="27" t="n">
        <v>45919</v>
      </c>
      <c r="G952" s="27" t="n">
        <v>45917</v>
      </c>
      <c r="H952" s="27" t="n">
        <v>45917</v>
      </c>
      <c r="I952" s="27" t="n">
        <v>45870</v>
      </c>
      <c r="J952" s="27" t="n">
        <v>45903</v>
      </c>
      <c r="K952" t="inlineStr">
        <is>
          <t>Boleto Bancário</t>
        </is>
      </c>
      <c r="L952" t="inlineStr">
        <is>
          <t>Mão de Obra - Encargos e Provisões</t>
        </is>
      </c>
      <c r="M952" t="inlineStr">
        <is>
          <t>IRRF - MDO CLT - Salário</t>
        </is>
      </c>
      <c r="N952" t="inlineStr">
        <is>
          <t>32069 082025</t>
        </is>
      </c>
      <c r="O952" t="inlineStr">
        <is>
          <t>Documentação Aprovada</t>
        </is>
      </c>
      <c r="P952" t="inlineStr">
        <is>
          <t>Aprovado Diretoria</t>
        </is>
      </c>
      <c r="Q952" t="inlineStr">
        <is>
          <t>Aprovado Caixa</t>
        </is>
      </c>
      <c r="R952" t="inlineStr">
        <is>
          <t>Pago</t>
        </is>
      </c>
      <c r="S952" t="n">
        <v>182</v>
      </c>
      <c r="T952" t="inlineStr">
        <is>
          <t>Love - Shibari - Kamino</t>
        </is>
      </c>
    </row>
    <row r="953">
      <c r="A953" t="n">
        <v>157696</v>
      </c>
      <c r="B953" t="n">
        <v>128</v>
      </c>
      <c r="C953" t="inlineStr">
        <is>
          <t>Love Cabaret</t>
        </is>
      </c>
      <c r="D953" t="inlineStr">
        <is>
          <t>NILTON CESAR STORINO JUNIOR</t>
        </is>
      </c>
      <c r="E953" t="n">
        <v>600</v>
      </c>
      <c r="F953" s="27" t="n">
        <v>45920</v>
      </c>
      <c r="G953" s="27" t="n">
        <v>45917</v>
      </c>
      <c r="H953" s="27" t="n">
        <v>45917</v>
      </c>
      <c r="I953" s="27" t="n">
        <v>45897</v>
      </c>
      <c r="J953" s="27" t="n">
        <v>45898</v>
      </c>
      <c r="K953" t="inlineStr">
        <is>
          <t>Transferência Bancária ou Pix</t>
        </is>
      </c>
      <c r="L953" t="inlineStr">
        <is>
          <t>Marketing</t>
        </is>
      </c>
      <c r="M953" t="inlineStr">
        <is>
          <t>Sessão de Fotos/Captação de Vídeo</t>
        </is>
      </c>
      <c r="N953" t="inlineStr">
        <is>
          <t>102</t>
        </is>
      </c>
      <c r="O953" t="inlineStr">
        <is>
          <t>Documentação Aprovada</t>
        </is>
      </c>
      <c r="P953" t="inlineStr">
        <is>
          <t>Aprovado Diretoria</t>
        </is>
      </c>
      <c r="Q953" t="inlineStr">
        <is>
          <t>Aprovado Caixa</t>
        </is>
      </c>
      <c r="R953" t="inlineStr">
        <is>
          <t>Pago</t>
        </is>
      </c>
      <c r="S953" t="n">
        <v>182</v>
      </c>
      <c r="T953" t="inlineStr">
        <is>
          <t>Love - Shibari - Kamino</t>
        </is>
      </c>
    </row>
    <row r="954">
      <c r="A954" t="n">
        <v>154446</v>
      </c>
      <c r="B954" t="n">
        <v>128</v>
      </c>
      <c r="C954" t="inlineStr">
        <is>
          <t>Love Cabaret</t>
        </is>
      </c>
      <c r="D954" t="inlineStr">
        <is>
          <t>PAS DE DEUX PROJETOS LTDA</t>
        </is>
      </c>
      <c r="E954" t="n">
        <v>6000</v>
      </c>
      <c r="F954" s="27" t="n">
        <v>45920</v>
      </c>
      <c r="G954" s="27" t="n">
        <v>45917</v>
      </c>
      <c r="H954" s="27" t="n">
        <v>45917</v>
      </c>
      <c r="I954" s="27" t="n">
        <v>45881</v>
      </c>
      <c r="J954" s="27" t="n">
        <v>45882</v>
      </c>
      <c r="K954" t="inlineStr">
        <is>
          <t>Transferência Bancária ou Pix</t>
        </is>
      </c>
      <c r="L954" t="inlineStr">
        <is>
          <t>Serviços de Terceiros</t>
        </is>
      </c>
      <c r="M954" t="inlineStr">
        <is>
          <t>Assessoria em Geral</t>
        </is>
      </c>
      <c r="N954" t="inlineStr">
        <is>
          <t>082025</t>
        </is>
      </c>
      <c r="O954" t="inlineStr">
        <is>
          <t>Documentação Aprovada</t>
        </is>
      </c>
      <c r="P954" t="inlineStr">
        <is>
          <t>Aprovado Diretoria</t>
        </is>
      </c>
      <c r="Q954" t="inlineStr">
        <is>
          <t>Aprovado Caixa</t>
        </is>
      </c>
      <c r="R954" t="inlineStr">
        <is>
          <t>Pago</t>
        </is>
      </c>
      <c r="S954" t="n">
        <v>182</v>
      </c>
      <c r="T954" t="inlineStr">
        <is>
          <t>Love - Shibari - Kamino</t>
        </is>
      </c>
    </row>
    <row r="955">
      <c r="A955" t="n">
        <v>155917</v>
      </c>
      <c r="B955" t="n">
        <v>128</v>
      </c>
      <c r="C955" t="inlineStr">
        <is>
          <t>Love Cabaret</t>
        </is>
      </c>
      <c r="D955" t="inlineStr">
        <is>
          <t xml:space="preserve">EMPORIO MEL </t>
        </is>
      </c>
      <c r="E955" t="n">
        <v>1713.2</v>
      </c>
      <c r="F955" s="27" t="n">
        <v>45918</v>
      </c>
      <c r="G955" s="27" t="n">
        <v>45917</v>
      </c>
      <c r="H955" s="27" t="n">
        <v>45917</v>
      </c>
      <c r="I955" s="27" t="n">
        <v>45887</v>
      </c>
      <c r="J955" s="27" t="n">
        <v>45889</v>
      </c>
      <c r="K955" t="inlineStr">
        <is>
          <t>Boleto Bancário</t>
        </is>
      </c>
      <c r="L955" t="inlineStr">
        <is>
          <t>Custo Mercadoria Vendida</t>
        </is>
      </c>
      <c r="M955" t="inlineStr">
        <is>
          <t>Insumos - Bebidas</t>
        </is>
      </c>
      <c r="N955" t="inlineStr">
        <is>
          <t>466826</t>
        </is>
      </c>
      <c r="O955" t="inlineStr">
        <is>
          <t>Documentação Aprovada</t>
        </is>
      </c>
      <c r="P955" t="inlineStr">
        <is>
          <t>Aprovado Diretoria</t>
        </is>
      </c>
      <c r="Q955" t="inlineStr">
        <is>
          <t>Aprovado Caixa</t>
        </is>
      </c>
      <c r="R955" t="inlineStr">
        <is>
          <t>Pago</t>
        </is>
      </c>
      <c r="S955" t="n">
        <v>182</v>
      </c>
      <c r="T955" t="inlineStr">
        <is>
          <t>Love - Shibari - Kamino</t>
        </is>
      </c>
    </row>
    <row r="956">
      <c r="A956" t="n">
        <v>155911</v>
      </c>
      <c r="B956" t="n">
        <v>128</v>
      </c>
      <c r="C956" t="inlineStr">
        <is>
          <t>Love Cabaret</t>
        </is>
      </c>
      <c r="D956" t="inlineStr">
        <is>
          <t xml:space="preserve">EMPORIO MEL </t>
        </is>
      </c>
      <c r="E956" t="n">
        <v>1080.04</v>
      </c>
      <c r="F956" s="27" t="n">
        <v>45918</v>
      </c>
      <c r="G956" s="27" t="n">
        <v>45917</v>
      </c>
      <c r="H956" s="27" t="n">
        <v>45917</v>
      </c>
      <c r="I956" s="27" t="n">
        <v>45887</v>
      </c>
      <c r="J956" s="27" t="n">
        <v>45889</v>
      </c>
      <c r="K956" t="inlineStr">
        <is>
          <t>Boleto Bancário</t>
        </is>
      </c>
      <c r="L956" t="inlineStr">
        <is>
          <t>Custo Mercadoria Vendida</t>
        </is>
      </c>
      <c r="M956" t="inlineStr">
        <is>
          <t>Insumos - Alimentos</t>
        </is>
      </c>
      <c r="N956" t="inlineStr">
        <is>
          <t>466877</t>
        </is>
      </c>
      <c r="O956" t="inlineStr">
        <is>
          <t>Documentação Aprovada</t>
        </is>
      </c>
      <c r="P956" t="inlineStr">
        <is>
          <t>Aprovado Diretoria</t>
        </is>
      </c>
      <c r="Q956" t="inlineStr">
        <is>
          <t>Aprovado Caixa</t>
        </is>
      </c>
      <c r="R956" t="inlineStr">
        <is>
          <t>Pago</t>
        </is>
      </c>
      <c r="S956" t="n">
        <v>182</v>
      </c>
      <c r="T956" t="inlineStr">
        <is>
          <t>Love - Shibari - Kamino</t>
        </is>
      </c>
    </row>
    <row r="957">
      <c r="A957" t="n">
        <v>153779</v>
      </c>
      <c r="B957" t="n">
        <v>128</v>
      </c>
      <c r="C957" t="inlineStr">
        <is>
          <t>Love Cabaret</t>
        </is>
      </c>
      <c r="D957" t="inlineStr">
        <is>
          <t>LUIZ ROBERTO DA SILVA JUNIOR</t>
        </is>
      </c>
      <c r="E957" t="n">
        <v>1000</v>
      </c>
      <c r="F957" s="27" t="n">
        <v>45918</v>
      </c>
      <c r="G957" s="27" t="n">
        <v>45917</v>
      </c>
      <c r="H957" s="27" t="n">
        <v>45917</v>
      </c>
      <c r="I957" s="27" t="n">
        <v>45897</v>
      </c>
      <c r="J957" s="27" t="n">
        <v>45877</v>
      </c>
      <c r="K957" t="inlineStr">
        <is>
          <t>Transferência Bancária ou Pix</t>
        </is>
      </c>
      <c r="L957" t="inlineStr">
        <is>
          <t>Custos Artístico Geral</t>
        </is>
      </c>
      <c r="M957" t="inlineStr">
        <is>
          <t>Locação de Equipamentos Fixo</t>
        </is>
      </c>
      <c r="N957" t="inlineStr">
        <is>
          <t>842025</t>
        </is>
      </c>
      <c r="O957" t="inlineStr">
        <is>
          <t>Documentação Aprovada</t>
        </is>
      </c>
      <c r="P957" t="inlineStr">
        <is>
          <t>Aprovado Diretoria</t>
        </is>
      </c>
      <c r="Q957" t="inlineStr">
        <is>
          <t>Aprovado Caixa</t>
        </is>
      </c>
      <c r="R957" t="inlineStr">
        <is>
          <t>Pago</t>
        </is>
      </c>
      <c r="S957" t="n">
        <v>182</v>
      </c>
      <c r="T957" t="inlineStr">
        <is>
          <t>Love - Shibari - Kamino</t>
        </is>
      </c>
    </row>
    <row r="958">
      <c r="A958" t="n">
        <v>129467</v>
      </c>
      <c r="B958" t="n">
        <v>128</v>
      </c>
      <c r="C958" t="inlineStr">
        <is>
          <t>Love Cabaret</t>
        </is>
      </c>
      <c r="D958" t="inlineStr">
        <is>
          <t>OPUS CONSULTORIA E PESQUISA LTDA</t>
        </is>
      </c>
      <c r="E958" t="n">
        <v>300</v>
      </c>
      <c r="F958" s="27" t="n">
        <v>45920</v>
      </c>
      <c r="G958" s="27" t="n">
        <v>45917</v>
      </c>
      <c r="H958" s="27" t="n">
        <v>45917</v>
      </c>
      <c r="I958" s="27" t="n">
        <v>45906</v>
      </c>
      <c r="J958" s="27" t="n"/>
      <c r="K958" t="inlineStr">
        <is>
          <t>Boleto Bancário</t>
        </is>
      </c>
      <c r="L958" t="inlineStr">
        <is>
          <t>Serviços de Terceiros</t>
        </is>
      </c>
      <c r="M958" t="inlineStr">
        <is>
          <t>Assessoria em Geral</t>
        </is>
      </c>
      <c r="N958" t="inlineStr">
        <is>
          <t>581</t>
        </is>
      </c>
      <c r="O958" t="inlineStr">
        <is>
          <t>Documentação Aprovada</t>
        </is>
      </c>
      <c r="P958" t="inlineStr">
        <is>
          <t>Aprovado Diretoria</t>
        </is>
      </c>
      <c r="Q958" t="inlineStr">
        <is>
          <t>Aprovado Caixa</t>
        </is>
      </c>
      <c r="R958" t="inlineStr">
        <is>
          <t>Pago</t>
        </is>
      </c>
      <c r="S958" t="n">
        <v>182</v>
      </c>
      <c r="T958" t="inlineStr">
        <is>
          <t>Love - Shibari - Kamino</t>
        </is>
      </c>
    </row>
    <row r="959">
      <c r="A959" t="n">
        <v>109221</v>
      </c>
      <c r="B959" t="n">
        <v>128</v>
      </c>
      <c r="C959" t="inlineStr">
        <is>
          <t>Love Cabaret</t>
        </is>
      </c>
      <c r="D959" t="inlineStr">
        <is>
          <t xml:space="preserve">KAMINO INSTITUICAO DE PAGAMENTO LTDA </t>
        </is>
      </c>
      <c r="E959" t="n">
        <v>400</v>
      </c>
      <c r="F959" s="27" t="n">
        <v>45918</v>
      </c>
      <c r="G959" s="27" t="n">
        <v>45917</v>
      </c>
      <c r="H959" s="27" t="n">
        <v>45917</v>
      </c>
      <c r="I959" s="27" t="n">
        <v>45907</v>
      </c>
      <c r="J959" s="27" t="n"/>
      <c r="K959" t="inlineStr">
        <is>
          <t>Boleto Bancário</t>
        </is>
      </c>
      <c r="L959" t="inlineStr">
        <is>
          <t>Despesas Financeiras</t>
        </is>
      </c>
      <c r="M959" t="inlineStr">
        <is>
          <t>Tarifas Bancárias</t>
        </is>
      </c>
      <c r="N959" t="inlineStr">
        <is>
          <t>0006572181</t>
        </is>
      </c>
      <c r="O959" t="inlineStr">
        <is>
          <t>Documentação Aprovada</t>
        </is>
      </c>
      <c r="P959" t="inlineStr">
        <is>
          <t>Aprovado Diretoria</t>
        </is>
      </c>
      <c r="Q959" t="inlineStr">
        <is>
          <t>Aprovado Caixa</t>
        </is>
      </c>
      <c r="R959" t="inlineStr">
        <is>
          <t>Pago</t>
        </is>
      </c>
      <c r="S959" t="n">
        <v>182</v>
      </c>
      <c r="T959" t="inlineStr">
        <is>
          <t>Love - Shibari - Kamino</t>
        </is>
      </c>
    </row>
    <row r="960">
      <c r="A960" t="n">
        <v>108194</v>
      </c>
      <c r="B960" t="n">
        <v>128</v>
      </c>
      <c r="C960" t="inlineStr">
        <is>
          <t>Love Cabaret</t>
        </is>
      </c>
      <c r="D960" t="inlineStr">
        <is>
          <t xml:space="preserve">GOOGLE BRASIL INTERNET LTDA </t>
        </is>
      </c>
      <c r="E960" t="n">
        <v>1000</v>
      </c>
      <c r="F960" s="27" t="n">
        <v>45915</v>
      </c>
      <c r="G960" s="27" t="n">
        <v>45917</v>
      </c>
      <c r="H960" s="27" t="n">
        <v>45917</v>
      </c>
      <c r="I960" s="27" t="n">
        <v>45915</v>
      </c>
      <c r="J960" s="27" t="n"/>
      <c r="K960" t="inlineStr">
        <is>
          <t>Boleto Bancário</t>
        </is>
      </c>
      <c r="L960" t="inlineStr">
        <is>
          <t>Marketing</t>
        </is>
      </c>
      <c r="M960" t="inlineStr">
        <is>
          <t>Publicidade e Propaganda</t>
        </is>
      </c>
      <c r="N960" t="inlineStr">
        <is>
          <t>932025</t>
        </is>
      </c>
      <c r="O960" t="inlineStr">
        <is>
          <t>Documentação Aprovada</t>
        </is>
      </c>
      <c r="P960" t="inlineStr">
        <is>
          <t>Aprovado Diretoria</t>
        </is>
      </c>
      <c r="Q960" t="inlineStr">
        <is>
          <t>Aprovado Caixa</t>
        </is>
      </c>
      <c r="R960" t="inlineStr">
        <is>
          <t>Pago</t>
        </is>
      </c>
      <c r="S960" t="n">
        <v>182</v>
      </c>
      <c r="T960" t="inlineStr">
        <is>
          <t>Love - Shibari - Kamino</t>
        </is>
      </c>
    </row>
    <row r="961">
      <c r="A961" t="n">
        <v>104325</v>
      </c>
      <c r="B961" t="n">
        <v>128</v>
      </c>
      <c r="C961" t="inlineStr">
        <is>
          <t>Love Cabaret</t>
        </is>
      </c>
      <c r="D961" t="inlineStr">
        <is>
          <t>CICLO PARTICIPACOES LTDA</t>
        </is>
      </c>
      <c r="E961" t="n">
        <v>5906.28</v>
      </c>
      <c r="F961" s="27" t="n">
        <v>45920</v>
      </c>
      <c r="G961" s="27" t="n">
        <v>45917</v>
      </c>
      <c r="H961" s="27" t="n">
        <v>45917</v>
      </c>
      <c r="I961" s="27" t="n">
        <v>45884</v>
      </c>
      <c r="J961" s="27" t="n"/>
      <c r="K961" t="inlineStr">
        <is>
          <t>Boleto Bancário</t>
        </is>
      </c>
      <c r="L961" t="inlineStr">
        <is>
          <t>Custo de Ocupação</t>
        </is>
      </c>
      <c r="M961" t="inlineStr">
        <is>
          <t>IPTU</t>
        </is>
      </c>
      <c r="N961" t="inlineStr">
        <is>
          <t>470040877057</t>
        </is>
      </c>
      <c r="O961" t="inlineStr">
        <is>
          <t>Documentação Aprovada</t>
        </is>
      </c>
      <c r="P961" t="inlineStr">
        <is>
          <t>Aprovado Diretoria</t>
        </is>
      </c>
      <c r="Q961" t="inlineStr">
        <is>
          <t>Aprovado Caixa</t>
        </is>
      </c>
      <c r="R961" t="inlineStr">
        <is>
          <t>Pago</t>
        </is>
      </c>
      <c r="S961" t="n">
        <v>182</v>
      </c>
      <c r="T961" t="inlineStr">
        <is>
          <t>Love - Shibari - Kamino</t>
        </is>
      </c>
    </row>
    <row r="962">
      <c r="A962" t="n">
        <v>97118</v>
      </c>
      <c r="B962" t="n">
        <v>128</v>
      </c>
      <c r="C962" t="inlineStr">
        <is>
          <t>Love Cabaret</t>
        </is>
      </c>
      <c r="D962" t="inlineStr">
        <is>
          <t>ESTAFF SOLUCOES TECNOLOGICAS DE AGENCIAMENTO LTDA</t>
        </is>
      </c>
      <c r="E962" t="n">
        <v>14550.26</v>
      </c>
      <c r="F962" s="27" t="n">
        <v>45917</v>
      </c>
      <c r="G962" s="27" t="n">
        <v>45917</v>
      </c>
      <c r="H962" s="27" t="n">
        <v>45917</v>
      </c>
      <c r="I962" s="27" t="n">
        <v>45908</v>
      </c>
      <c r="J962" s="27" t="n"/>
      <c r="K962" t="inlineStr">
        <is>
          <t>Boleto Bancário</t>
        </is>
      </c>
      <c r="L962" t="inlineStr">
        <is>
          <t>Mão de Obra - Extra</t>
        </is>
      </c>
      <c r="M962" t="inlineStr">
        <is>
          <t>Mão de Obra Extra</t>
        </is>
      </c>
      <c r="N962" t="inlineStr">
        <is>
          <t>636237079</t>
        </is>
      </c>
      <c r="O962" t="inlineStr">
        <is>
          <t>Documentação Aprovada</t>
        </is>
      </c>
      <c r="P962" t="inlineStr">
        <is>
          <t>Aprovado Diretoria</t>
        </is>
      </c>
      <c r="Q962" t="inlineStr">
        <is>
          <t>Aprovado Caixa</t>
        </is>
      </c>
      <c r="R962" t="inlineStr">
        <is>
          <t>Pago</t>
        </is>
      </c>
      <c r="S962" t="n">
        <v>182</v>
      </c>
      <c r="T962" t="inlineStr">
        <is>
          <t>Love - Shibari - Kamino</t>
        </is>
      </c>
    </row>
    <row r="963">
      <c r="A963" t="n">
        <v>96940</v>
      </c>
      <c r="B963" t="n">
        <v>128</v>
      </c>
      <c r="C963" t="inlineStr">
        <is>
          <t>Love Cabaret</t>
        </is>
      </c>
      <c r="D963" t="inlineStr">
        <is>
          <t>CIA DE SANEAMENTO BASICO DO ESTADO DE SAO PAULO SABESP</t>
        </is>
      </c>
      <c r="E963" t="n">
        <v>153.96</v>
      </c>
      <c r="F963" s="27" t="n">
        <v>45920</v>
      </c>
      <c r="G963" s="27" t="n">
        <v>45917</v>
      </c>
      <c r="H963" s="27" t="n">
        <v>45917</v>
      </c>
      <c r="I963" s="27" t="n">
        <v>45882</v>
      </c>
      <c r="J963" s="27" t="n"/>
      <c r="K963" t="inlineStr">
        <is>
          <t>Boleto Bancário</t>
        </is>
      </c>
      <c r="L963" t="inlineStr">
        <is>
          <t>Utilidades</t>
        </is>
      </c>
      <c r="M963" t="inlineStr">
        <is>
          <t>Agua/Esgoto</t>
        </is>
      </c>
      <c r="N963" t="inlineStr">
        <is>
          <t xml:space="preserve">202582270791 </t>
        </is>
      </c>
      <c r="O963" t="inlineStr">
        <is>
          <t>Documentação Aprovada</t>
        </is>
      </c>
      <c r="P963" t="inlineStr">
        <is>
          <t>Aprovado Diretoria</t>
        </is>
      </c>
      <c r="Q963" t="inlineStr">
        <is>
          <t>Aprovado Caixa</t>
        </is>
      </c>
      <c r="R963" t="inlineStr">
        <is>
          <t>Pago</t>
        </is>
      </c>
      <c r="S963" t="n">
        <v>182</v>
      </c>
      <c r="T963" t="inlineStr">
        <is>
          <t>Love - Shibari - Kamino</t>
        </is>
      </c>
    </row>
    <row r="964">
      <c r="A964" t="n">
        <v>102821</v>
      </c>
      <c r="B964" t="n">
        <v>128</v>
      </c>
      <c r="C964" t="inlineStr">
        <is>
          <t>Love Cabaret</t>
        </is>
      </c>
      <c r="D964" t="inlineStr">
        <is>
          <t>GOMES D ELIA EQUIP. HIGIENE LTDA - WESCO</t>
        </is>
      </c>
      <c r="E964" t="n">
        <v>551.14</v>
      </c>
      <c r="F964" s="27" t="n">
        <v>45920</v>
      </c>
      <c r="G964" s="27" t="n">
        <v>45917</v>
      </c>
      <c r="H964" s="27" t="n">
        <v>45917</v>
      </c>
      <c r="I964" s="27" t="n">
        <v>45901</v>
      </c>
      <c r="J964" s="27" t="n"/>
      <c r="K964" t="inlineStr">
        <is>
          <t>Boleto Bancário</t>
        </is>
      </c>
      <c r="L964" t="inlineStr">
        <is>
          <t>Utilidades</t>
        </is>
      </c>
      <c r="M964" t="inlineStr">
        <is>
          <t>Higiene e Limpeza</t>
        </is>
      </c>
      <c r="N964" t="inlineStr">
        <is>
          <t>181933</t>
        </is>
      </c>
      <c r="O964" t="inlineStr">
        <is>
          <t>Documentação Aprovada</t>
        </is>
      </c>
      <c r="P964" t="inlineStr">
        <is>
          <t>Aprovado Diretoria</t>
        </is>
      </c>
      <c r="Q964" t="inlineStr">
        <is>
          <t>Aprovado Caixa</t>
        </is>
      </c>
      <c r="R964" t="inlineStr">
        <is>
          <t>Pago</t>
        </is>
      </c>
      <c r="S964" t="n">
        <v>182</v>
      </c>
      <c r="T964" t="inlineStr">
        <is>
          <t>Love - Shibari - Kamino</t>
        </is>
      </c>
    </row>
    <row r="965">
      <c r="A965" t="n">
        <v>102798</v>
      </c>
      <c r="B965" t="n">
        <v>128</v>
      </c>
      <c r="C965" t="inlineStr">
        <is>
          <t>Love Cabaret</t>
        </is>
      </c>
      <c r="D965" t="inlineStr">
        <is>
          <t>FABRICA DE BARES PARTICIPACOES LTDA</t>
        </is>
      </c>
      <c r="E965" t="n">
        <v>100</v>
      </c>
      <c r="F965" s="27" t="n">
        <v>45920</v>
      </c>
      <c r="G965" s="27" t="n">
        <v>45917</v>
      </c>
      <c r="H965" s="27" t="n">
        <v>45917</v>
      </c>
      <c r="I965" s="27" t="n">
        <v>45870</v>
      </c>
      <c r="J965" s="27" t="n"/>
      <c r="K965" t="inlineStr">
        <is>
          <t>Transferência Bancária ou Pix</t>
        </is>
      </c>
      <c r="L965" t="inlineStr">
        <is>
          <t>Serviços de Terceiros</t>
        </is>
      </c>
      <c r="M965" t="inlineStr">
        <is>
          <t>Assessoria RH</t>
        </is>
      </c>
      <c r="N965" t="inlineStr">
        <is>
          <t>51-2025</t>
        </is>
      </c>
      <c r="O965" t="inlineStr">
        <is>
          <t>Documentação Aprovada</t>
        </is>
      </c>
      <c r="P965" t="inlineStr">
        <is>
          <t>Aprovado Diretoria</t>
        </is>
      </c>
      <c r="Q965" t="inlineStr">
        <is>
          <t>Aprovado Caixa</t>
        </is>
      </c>
      <c r="R965" t="inlineStr">
        <is>
          <t>Pago</t>
        </is>
      </c>
      <c r="S965" t="n">
        <v>182</v>
      </c>
      <c r="T965" t="inlineStr">
        <is>
          <t>Love - Shibari - Kamino</t>
        </is>
      </c>
    </row>
    <row r="966">
      <c r="A966" t="n">
        <v>97488</v>
      </c>
      <c r="B966" t="n">
        <v>128</v>
      </c>
      <c r="C966" t="inlineStr">
        <is>
          <t>Love Cabaret</t>
        </is>
      </c>
      <c r="D966" t="inlineStr">
        <is>
          <t>IRRF</t>
        </is>
      </c>
      <c r="E966" t="n">
        <v>108.22</v>
      </c>
      <c r="F966" s="27" t="n">
        <v>45919</v>
      </c>
      <c r="G966" s="27" t="n">
        <v>45917</v>
      </c>
      <c r="H966" s="27" t="n">
        <v>45917</v>
      </c>
      <c r="I966" s="27" t="n">
        <v>45900</v>
      </c>
      <c r="J966" s="27" t="n"/>
      <c r="K966" t="inlineStr">
        <is>
          <t>Boleto Bancário</t>
        </is>
      </c>
      <c r="L966" t="inlineStr">
        <is>
          <t>Serviços de Terceiros</t>
        </is>
      </c>
      <c r="M966" t="inlineStr">
        <is>
          <t>Serviços de Segurança</t>
        </is>
      </c>
      <c r="N966" t="inlineStr">
        <is>
          <t>082025</t>
        </is>
      </c>
      <c r="O966" t="inlineStr">
        <is>
          <t>Documentação Aprovada</t>
        </is>
      </c>
      <c r="P966" t="inlineStr">
        <is>
          <t>Aprovado Diretoria</t>
        </is>
      </c>
      <c r="Q966" t="inlineStr">
        <is>
          <t>Aprovado Caixa</t>
        </is>
      </c>
      <c r="R966" t="inlineStr">
        <is>
          <t>Pago</t>
        </is>
      </c>
      <c r="S966" t="n">
        <v>182</v>
      </c>
      <c r="T966" t="inlineStr">
        <is>
          <t>Love - Shibari - Kamino</t>
        </is>
      </c>
    </row>
    <row r="967">
      <c r="A967" t="n">
        <v>97443</v>
      </c>
      <c r="B967" t="n">
        <v>128</v>
      </c>
      <c r="C967" t="inlineStr">
        <is>
          <t>Love Cabaret</t>
        </is>
      </c>
      <c r="D967" t="inlineStr">
        <is>
          <t xml:space="preserve">MINISTERIO DA FAZENDA </t>
        </is>
      </c>
      <c r="E967" t="n">
        <v>445.11</v>
      </c>
      <c r="F967" s="27" t="n">
        <v>45919</v>
      </c>
      <c r="G967" s="27" t="n">
        <v>45917</v>
      </c>
      <c r="H967" s="27" t="n">
        <v>45917</v>
      </c>
      <c r="I967" s="27" t="n">
        <v>45900</v>
      </c>
      <c r="J967" s="27" t="n"/>
      <c r="K967" t="inlineStr">
        <is>
          <t>Boleto Bancário</t>
        </is>
      </c>
      <c r="L967" t="inlineStr">
        <is>
          <t>Serviços de Terceiros</t>
        </is>
      </c>
      <c r="M967" t="inlineStr">
        <is>
          <t>Serviços de Segurança</t>
        </is>
      </c>
      <c r="N967" t="inlineStr">
        <is>
          <t>082025</t>
        </is>
      </c>
      <c r="O967" t="inlineStr">
        <is>
          <t>Documentação Aprovada</t>
        </is>
      </c>
      <c r="P967" t="inlineStr">
        <is>
          <t>Aprovado Diretoria</t>
        </is>
      </c>
      <c r="Q967" t="inlineStr">
        <is>
          <t>Aprovado Caixa</t>
        </is>
      </c>
      <c r="R967" t="inlineStr">
        <is>
          <t>Pago</t>
        </is>
      </c>
      <c r="S967" t="n">
        <v>182</v>
      </c>
      <c r="T967" t="inlineStr">
        <is>
          <t>Love - Shibari - Kamino</t>
        </is>
      </c>
    </row>
    <row r="968">
      <c r="A968" t="n">
        <v>97460</v>
      </c>
      <c r="B968" t="n">
        <v>128</v>
      </c>
      <c r="C968" t="inlineStr">
        <is>
          <t>Love Cabaret</t>
        </is>
      </c>
      <c r="D968" t="inlineStr">
        <is>
          <t>INSS</t>
        </is>
      </c>
      <c r="E968" t="n">
        <v>685.3</v>
      </c>
      <c r="F968" s="27" t="n">
        <v>45919</v>
      </c>
      <c r="G968" s="27" t="n">
        <v>45917</v>
      </c>
      <c r="H968" s="27" t="n">
        <v>45917</v>
      </c>
      <c r="I968" s="27" t="n">
        <v>45888</v>
      </c>
      <c r="J968" s="27" t="n"/>
      <c r="K968" t="inlineStr">
        <is>
          <t>Boleto Bancário</t>
        </is>
      </c>
      <c r="L968" t="inlineStr">
        <is>
          <t>Serviços de Terceiros</t>
        </is>
      </c>
      <c r="M968" t="inlineStr">
        <is>
          <t>Serviços de Segurança</t>
        </is>
      </c>
      <c r="N968" t="inlineStr">
        <is>
          <t>082025</t>
        </is>
      </c>
      <c r="O968" t="inlineStr">
        <is>
          <t>Documentação Aprovada</t>
        </is>
      </c>
      <c r="P968" t="inlineStr">
        <is>
          <t>Aprovado Diretoria</t>
        </is>
      </c>
      <c r="Q968" t="inlineStr">
        <is>
          <t>Aprovado Caixa</t>
        </is>
      </c>
      <c r="R968" t="inlineStr">
        <is>
          <t>Pago</t>
        </is>
      </c>
      <c r="S968" t="n">
        <v>182</v>
      </c>
      <c r="T968" t="inlineStr">
        <is>
          <t>Love - Shibari - Kamino</t>
        </is>
      </c>
    </row>
    <row r="969">
      <c r="A969" t="n">
        <v>97471</v>
      </c>
      <c r="B969" t="n">
        <v>128</v>
      </c>
      <c r="C969" t="inlineStr">
        <is>
          <t>Love Cabaret</t>
        </is>
      </c>
      <c r="D969" t="inlineStr">
        <is>
          <t>ICMS</t>
        </is>
      </c>
      <c r="E969" t="n">
        <v>8899.02</v>
      </c>
      <c r="F969" s="27" t="n">
        <v>45889</v>
      </c>
      <c r="G969" s="27" t="n">
        <v>45916</v>
      </c>
      <c r="H969" s="27" t="n">
        <v>45916</v>
      </c>
      <c r="I969" s="27" t="n">
        <v>45869</v>
      </c>
      <c r="J969" s="27" t="n"/>
      <c r="K969" t="inlineStr">
        <is>
          <t>Boleto Bancário</t>
        </is>
      </c>
      <c r="L969" t="inlineStr">
        <is>
          <t>Impostos sobre Venda</t>
        </is>
      </c>
      <c r="M969" t="inlineStr">
        <is>
          <t>ICMS</t>
        </is>
      </c>
      <c r="N969" t="inlineStr">
        <is>
          <t>072025</t>
        </is>
      </c>
      <c r="O969" t="inlineStr">
        <is>
          <t>Documentação Aprovada</t>
        </is>
      </c>
      <c r="P969" t="inlineStr">
        <is>
          <t>Aprovado Diretoria</t>
        </is>
      </c>
      <c r="Q969" t="inlineStr">
        <is>
          <t>Aprovado Caixa</t>
        </is>
      </c>
      <c r="R969" t="inlineStr">
        <is>
          <t>Pago</t>
        </is>
      </c>
      <c r="S969" t="n">
        <v>182</v>
      </c>
      <c r="T969" t="inlineStr">
        <is>
          <t>Love - Shibari - Kamino</t>
        </is>
      </c>
    </row>
    <row r="970">
      <c r="A970" t="n">
        <v>97546</v>
      </c>
      <c r="B970" t="n">
        <v>128</v>
      </c>
      <c r="C970" t="inlineStr">
        <is>
          <t>Love Cabaret</t>
        </is>
      </c>
      <c r="D970" t="inlineStr">
        <is>
          <t>PIS</t>
        </is>
      </c>
      <c r="E970" t="n">
        <v>2244.08</v>
      </c>
      <c r="F970" s="27" t="n">
        <v>45894</v>
      </c>
      <c r="G970" s="27" t="n">
        <v>45916</v>
      </c>
      <c r="H970" s="27" t="n">
        <v>45916</v>
      </c>
      <c r="I970" s="27" t="n">
        <v>45869</v>
      </c>
      <c r="J970" s="27" t="n"/>
      <c r="K970" t="inlineStr">
        <is>
          <t>Boleto Bancário</t>
        </is>
      </c>
      <c r="L970" t="inlineStr">
        <is>
          <t>Impostos sobre Venda</t>
        </is>
      </c>
      <c r="M970" t="inlineStr">
        <is>
          <t>PIS S/ SERVICO</t>
        </is>
      </c>
      <c r="N970" t="inlineStr">
        <is>
          <t>072025</t>
        </is>
      </c>
      <c r="O970" t="inlineStr">
        <is>
          <t>Documentação Aprovada</t>
        </is>
      </c>
      <c r="P970" t="inlineStr">
        <is>
          <t>Aprovado Diretoria</t>
        </is>
      </c>
      <c r="Q970" t="inlineStr">
        <is>
          <t>Aprovado Caixa</t>
        </is>
      </c>
      <c r="R970" t="inlineStr">
        <is>
          <t>Pago</t>
        </is>
      </c>
      <c r="S970" t="n">
        <v>182</v>
      </c>
      <c r="T970" t="inlineStr">
        <is>
          <t>Love - Shibari - Kamino</t>
        </is>
      </c>
    </row>
    <row r="971">
      <c r="A971" t="n">
        <v>102777</v>
      </c>
      <c r="B971" t="n">
        <v>128</v>
      </c>
      <c r="C971" t="inlineStr">
        <is>
          <t>Love Cabaret</t>
        </is>
      </c>
      <c r="D971" t="inlineStr">
        <is>
          <t>FABRICA DE BARES PARTICIPACOES LTDA</t>
        </is>
      </c>
      <c r="E971" t="n">
        <v>6619.29</v>
      </c>
      <c r="F971" s="27" t="n">
        <v>45866</v>
      </c>
      <c r="G971" s="27" t="n">
        <v>45915</v>
      </c>
      <c r="H971" s="27" t="n">
        <v>45915</v>
      </c>
      <c r="I971" s="27" t="n">
        <v>45838</v>
      </c>
      <c r="J971" s="27" t="n"/>
      <c r="K971" t="inlineStr">
        <is>
          <t>Transferência Bancária ou Pix</t>
        </is>
      </c>
      <c r="L971" t="inlineStr">
        <is>
          <t>Mão de Obra - Benefícios</t>
        </is>
      </c>
      <c r="M971" t="inlineStr">
        <is>
          <t xml:space="preserve">  -  Alimentação Funcionário</t>
        </is>
      </c>
      <c r="N971" t="inlineStr">
        <is>
          <t>36/2025</t>
        </is>
      </c>
      <c r="O971" t="inlineStr">
        <is>
          <t>Documentação Aprovada</t>
        </is>
      </c>
      <c r="P971" t="inlineStr">
        <is>
          <t>Aprovado Diretoria</t>
        </is>
      </c>
      <c r="Q971" t="inlineStr">
        <is>
          <t>Aprovado Caixa</t>
        </is>
      </c>
      <c r="R971" t="inlineStr">
        <is>
          <t>Pago</t>
        </is>
      </c>
      <c r="S971" t="n">
        <v>182</v>
      </c>
      <c r="T971" t="inlineStr">
        <is>
          <t>Love - Shibari - Kamino</t>
        </is>
      </c>
    </row>
    <row r="972">
      <c r="A972" t="n">
        <v>102882</v>
      </c>
      <c r="B972" t="n">
        <v>128</v>
      </c>
      <c r="C972" t="inlineStr">
        <is>
          <t>Love Cabaret</t>
        </is>
      </c>
      <c r="D972" t="inlineStr">
        <is>
          <t>MACHINE SEGURANCA PATRIMONIAL LTDA</t>
        </is>
      </c>
      <c r="E972" t="n">
        <v>4636.95</v>
      </c>
      <c r="F972" s="27" t="n">
        <v>45915</v>
      </c>
      <c r="G972" s="27" t="n">
        <v>45915</v>
      </c>
      <c r="H972" s="27" t="n">
        <v>45915</v>
      </c>
      <c r="I972" s="27" t="n">
        <v>45900</v>
      </c>
      <c r="J972" s="27" t="n"/>
      <c r="K972" t="inlineStr">
        <is>
          <t>Transferência Bancária ou Pix</t>
        </is>
      </c>
      <c r="L972" t="inlineStr">
        <is>
          <t>Serviços de Terceiros</t>
        </is>
      </c>
      <c r="M972" t="inlineStr">
        <is>
          <t>Serviços de Segurança</t>
        </is>
      </c>
      <c r="N972" t="inlineStr">
        <is>
          <t>749</t>
        </is>
      </c>
      <c r="O972" t="inlineStr">
        <is>
          <t>Documentação Aprovada</t>
        </is>
      </c>
      <c r="P972" t="inlineStr">
        <is>
          <t>Aprovado Diretoria</t>
        </is>
      </c>
      <c r="Q972" t="inlineStr">
        <is>
          <t>Aprovado Caixa</t>
        </is>
      </c>
      <c r="R972" t="inlineStr">
        <is>
          <t>Pago</t>
        </is>
      </c>
      <c r="S972" t="n">
        <v>182</v>
      </c>
      <c r="T972" t="inlineStr">
        <is>
          <t>Love - Shibari - Kamino</t>
        </is>
      </c>
    </row>
    <row r="973">
      <c r="A973" t="n">
        <v>102907</v>
      </c>
      <c r="B973" t="n">
        <v>128</v>
      </c>
      <c r="C973" t="inlineStr">
        <is>
          <t>Love Cabaret</t>
        </is>
      </c>
      <c r="D973" t="inlineStr">
        <is>
          <t>MACRO CONTABILIDADE E CONSULTORIA LTDA</t>
        </is>
      </c>
      <c r="E973" t="n">
        <v>3204.47</v>
      </c>
      <c r="F973" s="27" t="n">
        <v>45915</v>
      </c>
      <c r="G973" s="27" t="n">
        <v>45915</v>
      </c>
      <c r="H973" s="27" t="n">
        <v>45915</v>
      </c>
      <c r="I973" s="27" t="n">
        <v>45903</v>
      </c>
      <c r="J973" s="27" t="n"/>
      <c r="K973" t="inlineStr">
        <is>
          <t>Boleto Bancário</t>
        </is>
      </c>
      <c r="L973" t="inlineStr">
        <is>
          <t>Serviços de Terceiros</t>
        </is>
      </c>
      <c r="M973" t="inlineStr">
        <is>
          <t>Assessoria Contabil</t>
        </is>
      </c>
      <c r="N973" t="inlineStr">
        <is>
          <t>8744</t>
        </is>
      </c>
      <c r="O973" t="inlineStr">
        <is>
          <t>Documentação Aprovada</t>
        </is>
      </c>
      <c r="P973" t="inlineStr">
        <is>
          <t>Aprovado Diretoria</t>
        </is>
      </c>
      <c r="Q973" t="inlineStr">
        <is>
          <t>Aprovado Caixa</t>
        </is>
      </c>
      <c r="R973" t="inlineStr">
        <is>
          <t>Pago</t>
        </is>
      </c>
      <c r="S973" t="n">
        <v>182</v>
      </c>
      <c r="T973" t="inlineStr">
        <is>
          <t>Love - Shibari - Kamino</t>
        </is>
      </c>
    </row>
    <row r="974">
      <c r="A974" t="n">
        <v>102832</v>
      </c>
      <c r="B974" t="n">
        <v>128</v>
      </c>
      <c r="C974" t="inlineStr">
        <is>
          <t>Love Cabaret</t>
        </is>
      </c>
      <c r="D974" t="inlineStr">
        <is>
          <t>HEADCHEF SEGURANCA DOS ALIM E GARANTIA D</t>
        </is>
      </c>
      <c r="E974" t="n">
        <v>891.0599999999999</v>
      </c>
      <c r="F974" s="27" t="n">
        <v>45915</v>
      </c>
      <c r="G974" s="27" t="n">
        <v>45915</v>
      </c>
      <c r="H974" s="27" t="n">
        <v>45915</v>
      </c>
      <c r="I974" s="27" t="n">
        <v>45895</v>
      </c>
      <c r="J974" s="27" t="n"/>
      <c r="K974" t="inlineStr">
        <is>
          <t>Boleto Bancário</t>
        </is>
      </c>
      <c r="L974" t="inlineStr">
        <is>
          <t>Serviços de Terceiros</t>
        </is>
      </c>
      <c r="M974" t="inlineStr">
        <is>
          <t>Assessoria de Alimentos e Bebidas</t>
        </is>
      </c>
      <c r="N974" t="inlineStr">
        <is>
          <t>1610</t>
        </is>
      </c>
      <c r="O974" t="inlineStr">
        <is>
          <t>Documentação Aprovada</t>
        </is>
      </c>
      <c r="P974" t="inlineStr">
        <is>
          <t>Aprovado Diretoria</t>
        </is>
      </c>
      <c r="Q974" t="inlineStr">
        <is>
          <t>Aprovado Caixa</t>
        </is>
      </c>
      <c r="R974" t="inlineStr">
        <is>
          <t>Pago</t>
        </is>
      </c>
      <c r="S974" t="n">
        <v>182</v>
      </c>
      <c r="T974" t="inlineStr">
        <is>
          <t>Love - Shibari - Kamino</t>
        </is>
      </c>
    </row>
    <row r="975">
      <c r="A975" t="n">
        <v>106699</v>
      </c>
      <c r="B975" t="n">
        <v>128</v>
      </c>
      <c r="C975" t="inlineStr">
        <is>
          <t>Love Cabaret</t>
        </is>
      </c>
      <c r="D975" t="inlineStr">
        <is>
          <t>AURORA ALVORADA ESTACIONAMENTO E LANCHONETE LTDA</t>
        </is>
      </c>
      <c r="E975" t="n">
        <v>322.87</v>
      </c>
      <c r="F975" s="27" t="n">
        <v>45915</v>
      </c>
      <c r="G975" s="27" t="n">
        <v>45915</v>
      </c>
      <c r="H975" s="27" t="n">
        <v>45915</v>
      </c>
      <c r="I975" s="27" t="n">
        <v>45908</v>
      </c>
      <c r="J975" s="27" t="n"/>
      <c r="K975" t="inlineStr">
        <is>
          <t>Boleto Bancário</t>
        </is>
      </c>
      <c r="L975" t="inlineStr">
        <is>
          <t>Custo Mercadoria Vendida</t>
        </is>
      </c>
      <c r="M975" t="inlineStr">
        <is>
          <t>Insumos - Alimentos</t>
        </is>
      </c>
      <c r="N975" t="inlineStr">
        <is>
          <t>10954</t>
        </is>
      </c>
      <c r="O975" t="inlineStr">
        <is>
          <t>Documentação Aprovada</t>
        </is>
      </c>
      <c r="P975" t="inlineStr">
        <is>
          <t>Aprovado Diretoria</t>
        </is>
      </c>
      <c r="Q975" t="inlineStr">
        <is>
          <t>Aprovado Caixa</t>
        </is>
      </c>
      <c r="R975" t="inlineStr">
        <is>
          <t>Pago</t>
        </is>
      </c>
      <c r="S975" t="n">
        <v>182</v>
      </c>
      <c r="T975" t="inlineStr">
        <is>
          <t>Love - Shibari - Kamino</t>
        </is>
      </c>
    </row>
    <row r="976">
      <c r="A976" t="n">
        <v>96953</v>
      </c>
      <c r="B976" t="n">
        <v>128</v>
      </c>
      <c r="C976" t="inlineStr">
        <is>
          <t>Love Cabaret</t>
        </is>
      </c>
      <c r="D976" t="inlineStr">
        <is>
          <t>CEM ENGENHARIA DA MANUTENCAO LTDA</t>
        </is>
      </c>
      <c r="E976" t="n">
        <v>6601.38</v>
      </c>
      <c r="F976" s="27" t="n">
        <v>45915</v>
      </c>
      <c r="G976" s="27" t="n">
        <v>45915</v>
      </c>
      <c r="H976" s="27" t="n">
        <v>45915</v>
      </c>
      <c r="I976" s="27" t="n">
        <v>45899</v>
      </c>
      <c r="J976" s="27" t="n"/>
      <c r="K976" t="inlineStr">
        <is>
          <t>Boleto Bancário</t>
        </is>
      </c>
      <c r="L976" t="inlineStr">
        <is>
          <t>Manutenção</t>
        </is>
      </c>
      <c r="M976" t="inlineStr">
        <is>
          <t>Manutenção Predial</t>
        </is>
      </c>
      <c r="N976" t="inlineStr">
        <is>
          <t>2984</t>
        </is>
      </c>
      <c r="O976" t="inlineStr">
        <is>
          <t>Documentação Aprovada</t>
        </is>
      </c>
      <c r="P976" t="inlineStr">
        <is>
          <t>Aprovado Diretoria</t>
        </is>
      </c>
      <c r="Q976" t="inlineStr">
        <is>
          <t>Aprovado Caixa</t>
        </is>
      </c>
      <c r="R976" t="inlineStr">
        <is>
          <t>Pago</t>
        </is>
      </c>
      <c r="S976" t="n">
        <v>182</v>
      </c>
      <c r="T976" t="inlineStr">
        <is>
          <t>Love - Shibari - Kamino</t>
        </is>
      </c>
    </row>
    <row r="977">
      <c r="A977" t="n">
        <v>156953</v>
      </c>
      <c r="B977" t="n">
        <v>128</v>
      </c>
      <c r="C977" t="inlineStr">
        <is>
          <t>Love Cabaret</t>
        </is>
      </c>
      <c r="D977" t="inlineStr">
        <is>
          <t>MURILLO S DUARTE COMERCIAL LTDA</t>
        </is>
      </c>
      <c r="E977" t="n">
        <v>866.96</v>
      </c>
      <c r="F977" s="27" t="n">
        <v>45915</v>
      </c>
      <c r="G977" s="27" t="n">
        <v>45915</v>
      </c>
      <c r="H977" s="27" t="n">
        <v>45915</v>
      </c>
      <c r="I977" s="27" t="n">
        <v>45889</v>
      </c>
      <c r="J977" s="27" t="n">
        <v>45896</v>
      </c>
      <c r="K977" t="inlineStr">
        <is>
          <t>Boleto Bancário</t>
        </is>
      </c>
      <c r="L977" t="inlineStr">
        <is>
          <t>Custo Mercadoria Vendida</t>
        </is>
      </c>
      <c r="M977" t="inlineStr">
        <is>
          <t>Insumos - Alimentos</t>
        </is>
      </c>
      <c r="N977" t="inlineStr">
        <is>
          <t>2000</t>
        </is>
      </c>
      <c r="O977" t="inlineStr">
        <is>
          <t>Documentação Aprovada</t>
        </is>
      </c>
      <c r="P977" t="inlineStr">
        <is>
          <t>Aprovado Diretoria</t>
        </is>
      </c>
      <c r="Q977" t="inlineStr">
        <is>
          <t>Aprovado Caixa</t>
        </is>
      </c>
      <c r="R977" t="inlineStr">
        <is>
          <t>Pago</t>
        </is>
      </c>
      <c r="S977" t="n">
        <v>182</v>
      </c>
      <c r="T977" t="inlineStr">
        <is>
          <t>Love - Shibari - Kamino</t>
        </is>
      </c>
    </row>
    <row r="978">
      <c r="A978" t="n">
        <v>156681</v>
      </c>
      <c r="B978" t="n">
        <v>128</v>
      </c>
      <c r="C978" t="inlineStr">
        <is>
          <t>Love Cabaret</t>
        </is>
      </c>
      <c r="D978" t="inlineStr">
        <is>
          <t>FABLAB INOVACAO E SOLUCOES</t>
        </is>
      </c>
      <c r="E978" t="n">
        <v>389</v>
      </c>
      <c r="F978" s="27" t="n">
        <v>45915</v>
      </c>
      <c r="G978" s="27" t="n">
        <v>45915</v>
      </c>
      <c r="H978" s="27" t="n">
        <v>45915</v>
      </c>
      <c r="I978" s="27" t="n">
        <v>45894</v>
      </c>
      <c r="J978" s="27" t="n">
        <v>45895</v>
      </c>
      <c r="K978" t="inlineStr">
        <is>
          <t>Boleto Bancário</t>
        </is>
      </c>
      <c r="L978" t="inlineStr">
        <is>
          <t>Informática e TI</t>
        </is>
      </c>
      <c r="M978" t="inlineStr">
        <is>
          <t>Sistemas Gerais - Financeiros</t>
        </is>
      </c>
      <c r="N978" t="inlineStr">
        <is>
          <t>161</t>
        </is>
      </c>
      <c r="O978" t="inlineStr">
        <is>
          <t>Documentação Aprovada</t>
        </is>
      </c>
      <c r="P978" t="inlineStr">
        <is>
          <t>Aprovado Diretoria</t>
        </is>
      </c>
      <c r="Q978" t="inlineStr">
        <is>
          <t>Aprovado Caixa</t>
        </is>
      </c>
      <c r="R978" t="inlineStr">
        <is>
          <t>Pago</t>
        </is>
      </c>
      <c r="S978" t="n">
        <v>182</v>
      </c>
      <c r="T978" t="inlineStr">
        <is>
          <t>Love - Shibari - Kamino</t>
        </is>
      </c>
    </row>
    <row r="979">
      <c r="A979" t="n">
        <v>156823</v>
      </c>
      <c r="B979" t="n">
        <v>128</v>
      </c>
      <c r="C979" t="inlineStr">
        <is>
          <t>Love Cabaret</t>
        </is>
      </c>
      <c r="D979" t="inlineStr">
        <is>
          <t>MURILLO S DUARTE COMERCIAL LTDA</t>
        </is>
      </c>
      <c r="E979" t="n">
        <v>549.6</v>
      </c>
      <c r="F979" s="27" t="n">
        <v>45915</v>
      </c>
      <c r="G979" s="27" t="n">
        <v>45915</v>
      </c>
      <c r="H979" s="27" t="n">
        <v>45915</v>
      </c>
      <c r="I979" s="27" t="n">
        <v>45887</v>
      </c>
      <c r="J979" s="27" t="n">
        <v>45896</v>
      </c>
      <c r="K979" t="inlineStr">
        <is>
          <t>Boleto Bancário</t>
        </is>
      </c>
      <c r="L979" t="inlineStr">
        <is>
          <t>Utilidades</t>
        </is>
      </c>
      <c r="M979" t="inlineStr">
        <is>
          <t>Higiene e Limpeza</t>
        </is>
      </c>
      <c r="N979" t="inlineStr">
        <is>
          <t>1977</t>
        </is>
      </c>
      <c r="O979" t="inlineStr">
        <is>
          <t>Documentação Aprovada</t>
        </is>
      </c>
      <c r="P979" t="inlineStr">
        <is>
          <t>Aprovado Diretoria</t>
        </is>
      </c>
      <c r="Q979" t="inlineStr">
        <is>
          <t>Aprovado Caixa</t>
        </is>
      </c>
      <c r="R979" t="inlineStr">
        <is>
          <t>Pago</t>
        </is>
      </c>
      <c r="S979" t="n">
        <v>182</v>
      </c>
      <c r="T979" t="inlineStr">
        <is>
          <t>Love - Shibari - Kamino</t>
        </is>
      </c>
    </row>
    <row r="980">
      <c r="A980" t="n">
        <v>157018</v>
      </c>
      <c r="B980" t="n">
        <v>128</v>
      </c>
      <c r="C980" t="inlineStr">
        <is>
          <t>Love Cabaret</t>
        </is>
      </c>
      <c r="D980" t="inlineStr">
        <is>
          <t>DTK COMERCIO DE ALIMENTOS LTDA</t>
        </is>
      </c>
      <c r="E980" t="n">
        <v>773.99</v>
      </c>
      <c r="F980" s="27" t="n">
        <v>45915</v>
      </c>
      <c r="G980" s="27" t="n">
        <v>45915</v>
      </c>
      <c r="H980" s="27" t="n">
        <v>45915</v>
      </c>
      <c r="I980" s="27" t="n">
        <v>45894</v>
      </c>
      <c r="J980" s="27" t="n">
        <v>45896</v>
      </c>
      <c r="K980" t="inlineStr">
        <is>
          <t>Boleto Bancário</t>
        </is>
      </c>
      <c r="L980" t="inlineStr">
        <is>
          <t>Custo Mercadoria Vendida</t>
        </is>
      </c>
      <c r="M980" t="inlineStr">
        <is>
          <t>Insumos - Alimentos</t>
        </is>
      </c>
      <c r="N980" t="inlineStr">
        <is>
          <t>41114</t>
        </is>
      </c>
      <c r="O980" t="inlineStr">
        <is>
          <t>Documentação Aprovada</t>
        </is>
      </c>
      <c r="P980" t="inlineStr">
        <is>
          <t>Aprovado Diretoria</t>
        </is>
      </c>
      <c r="Q980" t="inlineStr">
        <is>
          <t>Aprovado Caixa</t>
        </is>
      </c>
      <c r="R980" t="inlineStr">
        <is>
          <t>Pago</t>
        </is>
      </c>
      <c r="S980" t="n">
        <v>182</v>
      </c>
      <c r="T980" t="inlineStr">
        <is>
          <t>Love - Shibari - Kamino</t>
        </is>
      </c>
    </row>
    <row r="981">
      <c r="A981" t="n">
        <v>155919</v>
      </c>
      <c r="B981" t="n">
        <v>128</v>
      </c>
      <c r="C981" t="inlineStr">
        <is>
          <t>Love Cabaret</t>
        </is>
      </c>
      <c r="D981" t="inlineStr">
        <is>
          <t>PROAUTO INDUSTRIA QUIMICA EIRELI</t>
        </is>
      </c>
      <c r="E981" t="n">
        <v>563.4</v>
      </c>
      <c r="F981" s="27" t="n">
        <v>45915</v>
      </c>
      <c r="G981" s="27" t="n">
        <v>45915</v>
      </c>
      <c r="H981" s="27" t="n">
        <v>45915</v>
      </c>
      <c r="I981" s="27" t="n">
        <v>45887</v>
      </c>
      <c r="J981" s="27" t="n">
        <v>45889</v>
      </c>
      <c r="K981" t="inlineStr">
        <is>
          <t>Boleto Bancário</t>
        </is>
      </c>
      <c r="L981" t="inlineStr">
        <is>
          <t>Utilidades</t>
        </is>
      </c>
      <c r="M981" t="inlineStr">
        <is>
          <t>Higiene e Limpeza</t>
        </is>
      </c>
      <c r="N981" t="inlineStr">
        <is>
          <t>142837</t>
        </is>
      </c>
      <c r="O981" t="inlineStr">
        <is>
          <t>Documentação Aprovada</t>
        </is>
      </c>
      <c r="P981" t="inlineStr">
        <is>
          <t>Aprovado Diretoria</t>
        </is>
      </c>
      <c r="Q981" t="inlineStr">
        <is>
          <t>Aprovado Caixa</t>
        </is>
      </c>
      <c r="R981" t="inlineStr">
        <is>
          <t>Pago</t>
        </is>
      </c>
      <c r="S981" t="n">
        <v>182</v>
      </c>
      <c r="T981" t="inlineStr">
        <is>
          <t>Love - Shibari - Kamino</t>
        </is>
      </c>
    </row>
    <row r="982">
      <c r="A982" t="n">
        <v>155916</v>
      </c>
      <c r="B982" t="n">
        <v>128</v>
      </c>
      <c r="C982" t="inlineStr">
        <is>
          <t>Love Cabaret</t>
        </is>
      </c>
      <c r="D982" t="inlineStr">
        <is>
          <t>HIDEL MERCEARIA LTDA ME</t>
        </is>
      </c>
      <c r="E982" t="n">
        <v>1494</v>
      </c>
      <c r="F982" s="27" t="n">
        <v>45915</v>
      </c>
      <c r="G982" s="27" t="n">
        <v>45915</v>
      </c>
      <c r="H982" s="27" t="n">
        <v>45915</v>
      </c>
      <c r="I982" s="27" t="n">
        <v>45887</v>
      </c>
      <c r="J982" s="27" t="n">
        <v>45889</v>
      </c>
      <c r="K982" t="inlineStr">
        <is>
          <t>Boleto Bancário</t>
        </is>
      </c>
      <c r="L982" t="inlineStr">
        <is>
          <t>Custo Mercadoria Vendida</t>
        </is>
      </c>
      <c r="M982" t="inlineStr">
        <is>
          <t>Insumos - Bebidas</t>
        </is>
      </c>
      <c r="N982" t="inlineStr">
        <is>
          <t>20064</t>
        </is>
      </c>
      <c r="O982" t="inlineStr">
        <is>
          <t>Documentação Aprovada</t>
        </is>
      </c>
      <c r="P982" t="inlineStr">
        <is>
          <t>Aprovado Diretoria</t>
        </is>
      </c>
      <c r="Q982" t="inlineStr">
        <is>
          <t>Aprovado Caixa</t>
        </is>
      </c>
      <c r="R982" t="inlineStr">
        <is>
          <t>Pago</t>
        </is>
      </c>
      <c r="S982" t="n">
        <v>182</v>
      </c>
      <c r="T982" t="inlineStr">
        <is>
          <t>Love - Shibari - Kamino</t>
        </is>
      </c>
    </row>
    <row r="983">
      <c r="A983" t="n">
        <v>155915</v>
      </c>
      <c r="B983" t="n">
        <v>128</v>
      </c>
      <c r="C983" t="inlineStr">
        <is>
          <t>Love Cabaret</t>
        </is>
      </c>
      <c r="D983" t="inlineStr">
        <is>
          <t>KING COMERCIO E IMPORTACAO DE BEBIDAS LTDA</t>
        </is>
      </c>
      <c r="E983" t="n">
        <v>5849.35</v>
      </c>
      <c r="F983" s="27" t="n">
        <v>45915</v>
      </c>
      <c r="G983" s="27" t="n">
        <v>45915</v>
      </c>
      <c r="H983" s="27" t="n">
        <v>45915</v>
      </c>
      <c r="I983" s="27" t="n">
        <v>45887</v>
      </c>
      <c r="J983" s="27" t="n">
        <v>45889</v>
      </c>
      <c r="K983" t="inlineStr">
        <is>
          <t>Boleto Bancário</t>
        </is>
      </c>
      <c r="L983" t="inlineStr">
        <is>
          <t>Custo Mercadoria Vendida</t>
        </is>
      </c>
      <c r="M983" t="inlineStr">
        <is>
          <t>Insumos - Bebidas</t>
        </is>
      </c>
      <c r="N983" t="inlineStr">
        <is>
          <t>120265</t>
        </is>
      </c>
      <c r="O983" t="inlineStr">
        <is>
          <t>Documentação Aprovada</t>
        </is>
      </c>
      <c r="P983" t="inlineStr">
        <is>
          <t>Aprovado Diretoria</t>
        </is>
      </c>
      <c r="Q983" t="inlineStr">
        <is>
          <t>Aprovado Caixa</t>
        </is>
      </c>
      <c r="R983" t="inlineStr">
        <is>
          <t>Pago</t>
        </is>
      </c>
      <c r="S983" t="n">
        <v>182</v>
      </c>
      <c r="T983" t="inlineStr">
        <is>
          <t>Love - Shibari - Kamino</t>
        </is>
      </c>
    </row>
    <row r="984">
      <c r="A984" t="n">
        <v>157714</v>
      </c>
      <c r="B984" t="n">
        <v>128</v>
      </c>
      <c r="C984" t="inlineStr">
        <is>
          <t>Love Cabaret</t>
        </is>
      </c>
      <c r="D984" t="inlineStr">
        <is>
          <t>FG7 COMERCIO E DISTRIBUICAO DE BEBIDAS LTDA</t>
        </is>
      </c>
      <c r="E984" t="n">
        <v>3093.02</v>
      </c>
      <c r="F984" s="27" t="n">
        <v>45917</v>
      </c>
      <c r="G984" s="27" t="n">
        <v>45915</v>
      </c>
      <c r="H984" s="27" t="n">
        <v>45915</v>
      </c>
      <c r="I984" s="27" t="n">
        <v>45895</v>
      </c>
      <c r="J984" s="27" t="n">
        <v>45898</v>
      </c>
      <c r="K984" t="inlineStr">
        <is>
          <t>Boleto Bancário</t>
        </is>
      </c>
      <c r="L984" t="inlineStr">
        <is>
          <t>Custo Mercadoria Vendida</t>
        </is>
      </c>
      <c r="M984" t="inlineStr">
        <is>
          <t>Insumos - Bebidas</t>
        </is>
      </c>
      <c r="N984" t="inlineStr">
        <is>
          <t>661358</t>
        </is>
      </c>
      <c r="O984" t="inlineStr">
        <is>
          <t>Documentação Aprovada</t>
        </is>
      </c>
      <c r="P984" t="inlineStr">
        <is>
          <t>Aprovado Diretoria</t>
        </is>
      </c>
      <c r="Q984" t="inlineStr">
        <is>
          <t>Aprovado Caixa</t>
        </is>
      </c>
      <c r="R984" t="inlineStr">
        <is>
          <t>Pago</t>
        </is>
      </c>
      <c r="S984" t="n">
        <v>182</v>
      </c>
      <c r="T984" t="inlineStr">
        <is>
          <t>Love - Shibari - Kamino</t>
        </is>
      </c>
    </row>
    <row r="985">
      <c r="A985" t="n">
        <v>157709</v>
      </c>
      <c r="B985" t="n">
        <v>128</v>
      </c>
      <c r="C985" t="inlineStr">
        <is>
          <t>Love Cabaret</t>
        </is>
      </c>
      <c r="D985" t="inlineStr">
        <is>
          <t>CG FOOD´S DISTRIBUIDORA DE ALIMENTOS LTDA</t>
        </is>
      </c>
      <c r="E985" t="n">
        <v>309</v>
      </c>
      <c r="F985" s="27" t="n">
        <v>45916</v>
      </c>
      <c r="G985" s="27" t="n">
        <v>45915</v>
      </c>
      <c r="H985" s="27" t="n">
        <v>45915</v>
      </c>
      <c r="I985" s="27" t="n">
        <v>45895</v>
      </c>
      <c r="J985" s="27" t="n">
        <v>45898</v>
      </c>
      <c r="K985" t="inlineStr">
        <is>
          <t>Boleto Bancário</t>
        </is>
      </c>
      <c r="L985" t="inlineStr">
        <is>
          <t>Custo Mercadoria Vendida</t>
        </is>
      </c>
      <c r="M985" t="inlineStr">
        <is>
          <t>Insumos - Alimentos</t>
        </is>
      </c>
      <c r="N985" t="inlineStr">
        <is>
          <t>162214</t>
        </is>
      </c>
      <c r="O985" t="inlineStr">
        <is>
          <t>Documentação Aprovada</t>
        </is>
      </c>
      <c r="P985" t="inlineStr">
        <is>
          <t>Aprovado Diretoria</t>
        </is>
      </c>
      <c r="Q985" t="inlineStr">
        <is>
          <t>Aprovado Caixa</t>
        </is>
      </c>
      <c r="R985" t="inlineStr">
        <is>
          <t>Pago</t>
        </is>
      </c>
      <c r="S985" t="n">
        <v>182</v>
      </c>
      <c r="T985" t="inlineStr">
        <is>
          <t>Love - Shibari - Kamino</t>
        </is>
      </c>
    </row>
    <row r="986">
      <c r="A986" t="n">
        <v>160045</v>
      </c>
      <c r="B986" t="n">
        <v>128</v>
      </c>
      <c r="C986" t="inlineStr">
        <is>
          <t>Love Cabaret</t>
        </is>
      </c>
      <c r="D986" t="inlineStr">
        <is>
          <t>CHOOP FAST DISTRIBUIDORA DE BEBIDAS LTDA</t>
        </is>
      </c>
      <c r="E986" t="n">
        <v>4384.8</v>
      </c>
      <c r="F986" s="27" t="n">
        <v>45916</v>
      </c>
      <c r="G986" s="27" t="n">
        <v>45915</v>
      </c>
      <c r="H986" s="27" t="n">
        <v>45915</v>
      </c>
      <c r="I986" s="27" t="n">
        <v>45906</v>
      </c>
      <c r="J986" s="27" t="n">
        <v>45910</v>
      </c>
      <c r="K986" t="inlineStr">
        <is>
          <t>Boleto Bancário</t>
        </is>
      </c>
      <c r="L986" t="inlineStr">
        <is>
          <t>Custo Mercadoria Vendida</t>
        </is>
      </c>
      <c r="M986" t="inlineStr">
        <is>
          <t>Insumos - Bebidas</t>
        </is>
      </c>
      <c r="N986" t="inlineStr">
        <is>
          <t>22444</t>
        </is>
      </c>
      <c r="O986" t="inlineStr">
        <is>
          <t>Documentação Aprovada</t>
        </is>
      </c>
      <c r="P986" t="inlineStr">
        <is>
          <t>Aprovado Diretoria</t>
        </is>
      </c>
      <c r="Q986" t="inlineStr">
        <is>
          <t>Aprovado Caixa</t>
        </is>
      </c>
      <c r="R986" t="inlineStr">
        <is>
          <t>Pago</t>
        </is>
      </c>
      <c r="S986" t="n">
        <v>182</v>
      </c>
      <c r="T986" t="inlineStr">
        <is>
          <t>Love - Shibari - Kamino</t>
        </is>
      </c>
    </row>
    <row r="987">
      <c r="A987" t="n">
        <v>159873</v>
      </c>
      <c r="B987" t="n">
        <v>128</v>
      </c>
      <c r="C987" t="inlineStr">
        <is>
          <t>Love Cabaret</t>
        </is>
      </c>
      <c r="D987" t="inlineStr">
        <is>
          <t>GET IN TECNOLOGIA S.A.</t>
        </is>
      </c>
      <c r="E987" t="n">
        <v>957.6</v>
      </c>
      <c r="F987" s="27" t="n">
        <v>45915</v>
      </c>
      <c r="G987" s="27" t="n">
        <v>45915</v>
      </c>
      <c r="H987" s="27" t="n">
        <v>45915</v>
      </c>
      <c r="I987" s="27" t="n">
        <v>45908</v>
      </c>
      <c r="J987" s="27" t="n"/>
      <c r="K987" t="inlineStr">
        <is>
          <t>Boleto Bancário</t>
        </is>
      </c>
      <c r="L987" t="inlineStr">
        <is>
          <t>Informática e TI</t>
        </is>
      </c>
      <c r="M987" t="inlineStr">
        <is>
          <t>Sistemas Gerais - Comunicação e Marketing</t>
        </is>
      </c>
      <c r="N987" t="inlineStr">
        <is>
          <t>60124</t>
        </is>
      </c>
      <c r="O987" t="inlineStr">
        <is>
          <t>Documentação Aprovada</t>
        </is>
      </c>
      <c r="P987" t="inlineStr">
        <is>
          <t>Aprovado Diretoria</t>
        </is>
      </c>
      <c r="Q987" t="inlineStr">
        <is>
          <t>Aprovado Caixa</t>
        </is>
      </c>
      <c r="R987" t="inlineStr">
        <is>
          <t>Pago</t>
        </is>
      </c>
      <c r="S987" t="n">
        <v>182</v>
      </c>
      <c r="T987" t="inlineStr">
        <is>
          <t>Love - Shibari - Kamino</t>
        </is>
      </c>
    </row>
    <row r="988">
      <c r="A988" t="n">
        <v>160085</v>
      </c>
      <c r="B988" t="n">
        <v>128</v>
      </c>
      <c r="C988" t="inlineStr">
        <is>
          <t>Love Cabaret</t>
        </is>
      </c>
      <c r="D988" t="inlineStr">
        <is>
          <t>ASSAZ ORGANICA INDUSTRIA E COMERCIO DE ALIMENTOS LTDA</t>
        </is>
      </c>
      <c r="E988" t="n">
        <v>92.25</v>
      </c>
      <c r="F988" s="27" t="n">
        <v>45901</v>
      </c>
      <c r="G988" s="27" t="n">
        <v>45915</v>
      </c>
      <c r="H988" s="27" t="n">
        <v>45915</v>
      </c>
      <c r="I988" s="27" t="n">
        <v>45906</v>
      </c>
      <c r="J988" s="27" t="n">
        <v>45910</v>
      </c>
      <c r="K988" t="inlineStr">
        <is>
          <t>Boleto Bancário</t>
        </is>
      </c>
      <c r="L988" t="inlineStr">
        <is>
          <t>Custo Mercadoria Vendida</t>
        </is>
      </c>
      <c r="M988" t="inlineStr">
        <is>
          <t>Insumos - Alimentos</t>
        </is>
      </c>
      <c r="N988" t="inlineStr">
        <is>
          <t>22991</t>
        </is>
      </c>
      <c r="O988" t="inlineStr">
        <is>
          <t>Documentação Aprovada</t>
        </is>
      </c>
      <c r="P988" t="inlineStr">
        <is>
          <t>Aprovado Diretoria</t>
        </is>
      </c>
      <c r="Q988" t="inlineStr">
        <is>
          <t>Aprovado Caixa</t>
        </is>
      </c>
      <c r="R988" t="inlineStr">
        <is>
          <t>Pago</t>
        </is>
      </c>
      <c r="S988" t="n">
        <v>182</v>
      </c>
      <c r="T988" t="inlineStr">
        <is>
          <t>Love - Shibari - Kamino</t>
        </is>
      </c>
    </row>
    <row r="989">
      <c r="A989" t="n">
        <v>159767</v>
      </c>
      <c r="B989" t="n">
        <v>128</v>
      </c>
      <c r="C989" t="inlineStr">
        <is>
          <t>Love Cabaret</t>
        </is>
      </c>
      <c r="D989" t="inlineStr">
        <is>
          <t>CECILIA TSUYACO ARAKI SILVA LTDA</t>
        </is>
      </c>
      <c r="E989" t="n">
        <v>172.6</v>
      </c>
      <c r="F989" s="27" t="n">
        <v>45915</v>
      </c>
      <c r="G989" s="27" t="n">
        <v>45915</v>
      </c>
      <c r="H989" s="27" t="n">
        <v>45915</v>
      </c>
      <c r="I989" s="27" t="n">
        <v>45901</v>
      </c>
      <c r="J989" s="27" t="n">
        <v>45909</v>
      </c>
      <c r="K989" t="inlineStr">
        <is>
          <t>Boleto Bancário</t>
        </is>
      </c>
      <c r="L989" t="inlineStr">
        <is>
          <t>Custo Mercadoria Vendida</t>
        </is>
      </c>
      <c r="M989" t="inlineStr">
        <is>
          <t>Insumos - Alimentos</t>
        </is>
      </c>
      <c r="N989" t="inlineStr">
        <is>
          <t>377267</t>
        </is>
      </c>
      <c r="O989" t="inlineStr">
        <is>
          <t>Documentação Aprovada</t>
        </is>
      </c>
      <c r="P989" t="inlineStr">
        <is>
          <t>Aprovado Diretoria</t>
        </is>
      </c>
      <c r="Q989" t="inlineStr">
        <is>
          <t>Aprovado Caixa</t>
        </is>
      </c>
      <c r="R989" t="inlineStr">
        <is>
          <t>Pago</t>
        </is>
      </c>
      <c r="S989" t="n">
        <v>182</v>
      </c>
      <c r="T989" t="inlineStr">
        <is>
          <t>Love - Shibari - Kamino</t>
        </is>
      </c>
    </row>
    <row r="990">
      <c r="A990" t="n">
        <v>160874</v>
      </c>
      <c r="B990" t="n">
        <v>128</v>
      </c>
      <c r="C990" t="inlineStr">
        <is>
          <t>Love Cabaret</t>
        </is>
      </c>
      <c r="D990" t="inlineStr">
        <is>
          <t>BRADESCO SA</t>
        </is>
      </c>
      <c r="E990" t="n">
        <v>177.05</v>
      </c>
      <c r="F990" s="27" t="n">
        <v>45915</v>
      </c>
      <c r="G990" s="27" t="n"/>
      <c r="H990" s="27" t="n">
        <v>45915</v>
      </c>
      <c r="I990" s="27" t="n">
        <v>45915</v>
      </c>
      <c r="J990" s="27" t="n">
        <v>45916</v>
      </c>
      <c r="K990" t="inlineStr">
        <is>
          <t>Encontro de Contas</t>
        </is>
      </c>
      <c r="L990" t="inlineStr">
        <is>
          <t>Despesas Financeiras</t>
        </is>
      </c>
      <c r="M990" t="inlineStr">
        <is>
          <t>Tarifas Bancárias</t>
        </is>
      </c>
      <c r="N990" t="inlineStr">
        <is>
          <t>092025</t>
        </is>
      </c>
      <c r="R990" t="inlineStr">
        <is>
          <t>Pago</t>
        </is>
      </c>
    </row>
    <row r="991">
      <c r="A991" t="n">
        <v>159166</v>
      </c>
      <c r="B991" t="n">
        <v>128</v>
      </c>
      <c r="C991" t="inlineStr">
        <is>
          <t>Love Cabaret</t>
        </is>
      </c>
      <c r="D991" t="inlineStr">
        <is>
          <t>PIRAMIDES COMERCIO DE AGUAS MINEIRAIS E BEBIDAS EM GERAL LTDA</t>
        </is>
      </c>
      <c r="E991" t="n">
        <v>159.18</v>
      </c>
      <c r="F991" s="27" t="n">
        <v>45915</v>
      </c>
      <c r="G991" s="27" t="n">
        <v>45915</v>
      </c>
      <c r="H991" s="27" t="n">
        <v>45915</v>
      </c>
      <c r="I991" s="27" t="n">
        <v>45901</v>
      </c>
      <c r="J991" s="27" t="n">
        <v>45904</v>
      </c>
      <c r="K991" t="inlineStr">
        <is>
          <t>Boleto Bancário</t>
        </is>
      </c>
      <c r="L991" t="inlineStr">
        <is>
          <t>Custo Mercadoria Vendida</t>
        </is>
      </c>
      <c r="M991" t="inlineStr">
        <is>
          <t>Insumos - Bebidas</t>
        </is>
      </c>
      <c r="N991" t="inlineStr">
        <is>
          <t>116034</t>
        </is>
      </c>
      <c r="O991" t="inlineStr">
        <is>
          <t>Documentação Aprovada</t>
        </is>
      </c>
      <c r="P991" t="inlineStr">
        <is>
          <t>Aprovado Diretoria</t>
        </is>
      </c>
      <c r="Q991" t="inlineStr">
        <is>
          <t>Aprovado Caixa</t>
        </is>
      </c>
      <c r="R991" t="inlineStr">
        <is>
          <t>Pago</t>
        </is>
      </c>
      <c r="S991" t="n">
        <v>182</v>
      </c>
      <c r="T991" t="inlineStr">
        <is>
          <t>Love - Shibari - Kamino</t>
        </is>
      </c>
    </row>
    <row r="992">
      <c r="A992" t="n">
        <v>159252</v>
      </c>
      <c r="B992" t="n">
        <v>128</v>
      </c>
      <c r="C992" t="inlineStr">
        <is>
          <t>Love Cabaret</t>
        </is>
      </c>
      <c r="D992" t="inlineStr">
        <is>
          <t>MARIA EDUARDA RAMOS DE SOUSA</t>
        </is>
      </c>
      <c r="E992" t="n">
        <v>187.92</v>
      </c>
      <c r="F992" s="27" t="n">
        <v>45910</v>
      </c>
      <c r="G992" s="27" t="n">
        <v>45915</v>
      </c>
      <c r="H992" s="27" t="n">
        <v>45915</v>
      </c>
      <c r="I992" s="27" t="n">
        <v>45899</v>
      </c>
      <c r="J992" s="27" t="n">
        <v>45904</v>
      </c>
      <c r="K992" t="inlineStr">
        <is>
          <t>Transferência Bancária ou Pix</t>
        </is>
      </c>
      <c r="L992" t="inlineStr">
        <is>
          <t>Custos de Eventos</t>
        </is>
      </c>
      <c r="M992" t="inlineStr">
        <is>
          <t>Comissões de Vendas - Eventos</t>
        </is>
      </c>
      <c r="N992" t="inlineStr">
        <is>
          <t>63</t>
        </is>
      </c>
      <c r="O992" t="inlineStr">
        <is>
          <t>Documentação Aprovada</t>
        </is>
      </c>
      <c r="P992" t="inlineStr">
        <is>
          <t>Aprovado Diretoria</t>
        </is>
      </c>
      <c r="Q992" t="inlineStr">
        <is>
          <t>Aprovado Caixa</t>
        </is>
      </c>
      <c r="R992" t="inlineStr">
        <is>
          <t>Pago</t>
        </is>
      </c>
      <c r="S992" t="n">
        <v>182</v>
      </c>
      <c r="T992" t="inlineStr">
        <is>
          <t>Love - Shibari - Kamino</t>
        </is>
      </c>
    </row>
    <row r="993">
      <c r="A993" t="n">
        <v>159173</v>
      </c>
      <c r="B993" t="n">
        <v>128</v>
      </c>
      <c r="C993" t="inlineStr">
        <is>
          <t>Love Cabaret</t>
        </is>
      </c>
      <c r="D993" t="inlineStr">
        <is>
          <t xml:space="preserve">HORTIFRUTI DO CHEF LTDA </t>
        </is>
      </c>
      <c r="E993" t="n">
        <v>356.3</v>
      </c>
      <c r="F993" s="27" t="n">
        <v>45915</v>
      </c>
      <c r="G993" s="27" t="n">
        <v>45915</v>
      </c>
      <c r="H993" s="27" t="n">
        <v>45915</v>
      </c>
      <c r="I993" s="27" t="n">
        <v>45901</v>
      </c>
      <c r="J993" s="27" t="n">
        <v>45904</v>
      </c>
      <c r="K993" t="inlineStr">
        <is>
          <t>Boleto Bancário</t>
        </is>
      </c>
      <c r="L993" t="inlineStr">
        <is>
          <t>Custo Mercadoria Vendida</t>
        </is>
      </c>
      <c r="M993" t="inlineStr">
        <is>
          <t>Insumos - Alimentos</t>
        </is>
      </c>
      <c r="N993" t="inlineStr">
        <is>
          <t>27741</t>
        </is>
      </c>
      <c r="O993" t="inlineStr">
        <is>
          <t>Documentação Aprovada</t>
        </is>
      </c>
      <c r="P993" t="inlineStr">
        <is>
          <t>Aprovado Diretoria</t>
        </is>
      </c>
      <c r="Q993" t="inlineStr">
        <is>
          <t>Aprovado Caixa</t>
        </is>
      </c>
      <c r="R993" t="inlineStr">
        <is>
          <t>Pago</t>
        </is>
      </c>
      <c r="S993" t="n">
        <v>182</v>
      </c>
      <c r="T993" t="inlineStr">
        <is>
          <t>Love - Shibari - Kamino</t>
        </is>
      </c>
    </row>
    <row r="994">
      <c r="A994" t="n">
        <v>159171</v>
      </c>
      <c r="B994" t="n">
        <v>128</v>
      </c>
      <c r="C994" t="inlineStr">
        <is>
          <t>Love Cabaret</t>
        </is>
      </c>
      <c r="D994" t="inlineStr">
        <is>
          <t xml:space="preserve">FORTE ALIMENTOS COM. IMPORTAÇÃO LTDA </t>
        </is>
      </c>
      <c r="E994" t="n">
        <v>430.31</v>
      </c>
      <c r="F994" s="27" t="n">
        <v>45916</v>
      </c>
      <c r="G994" s="27" t="n">
        <v>45915</v>
      </c>
      <c r="H994" s="27" t="n">
        <v>45915</v>
      </c>
      <c r="I994" s="27" t="n">
        <v>45901</v>
      </c>
      <c r="J994" s="27" t="n">
        <v>45904</v>
      </c>
      <c r="K994" t="inlineStr">
        <is>
          <t>Boleto Bancário</t>
        </is>
      </c>
      <c r="L994" t="inlineStr">
        <is>
          <t>Custo Mercadoria Vendida</t>
        </is>
      </c>
      <c r="M994" t="inlineStr">
        <is>
          <t>Insumos - Alimentos</t>
        </is>
      </c>
      <c r="N994" t="inlineStr">
        <is>
          <t>330031</t>
        </is>
      </c>
      <c r="O994" t="inlineStr">
        <is>
          <t>Documentação Aprovada</t>
        </is>
      </c>
      <c r="P994" t="inlineStr">
        <is>
          <t>Aprovado Diretoria</t>
        </is>
      </c>
      <c r="Q994" t="inlineStr">
        <is>
          <t>Aprovado Caixa</t>
        </is>
      </c>
      <c r="R994" t="inlineStr">
        <is>
          <t>Pago</t>
        </is>
      </c>
      <c r="S994" t="n">
        <v>182</v>
      </c>
      <c r="T994" t="inlineStr">
        <is>
          <t>Love - Shibari - Kamino</t>
        </is>
      </c>
    </row>
    <row r="995">
      <c r="A995" t="n">
        <v>159021</v>
      </c>
      <c r="B995" t="n">
        <v>128</v>
      </c>
      <c r="C995" t="inlineStr">
        <is>
          <t>Love Cabaret</t>
        </is>
      </c>
      <c r="D995" t="inlineStr">
        <is>
          <t>LALAMOVE TECNOLOGIA (BRASIL) LTDA</t>
        </is>
      </c>
      <c r="E995" t="n">
        <v>164.53</v>
      </c>
      <c r="F995" s="27" t="n">
        <v>45917</v>
      </c>
      <c r="G995" s="27" t="n">
        <v>45915</v>
      </c>
      <c r="H995" s="27" t="n">
        <v>45915</v>
      </c>
      <c r="I995" s="27" t="n">
        <v>45899</v>
      </c>
      <c r="J995" s="27" t="n">
        <v>45903</v>
      </c>
      <c r="K995" t="inlineStr">
        <is>
          <t>Transferência Bancária ou Pix</t>
        </is>
      </c>
      <c r="L995" t="inlineStr">
        <is>
          <t>Despesas com Transporte / Hospedagem</t>
        </is>
      </c>
      <c r="M995" t="inlineStr">
        <is>
          <t>Fretes e Carretos</t>
        </is>
      </c>
      <c r="N995" t="inlineStr">
        <is>
          <t>082025</t>
        </is>
      </c>
      <c r="O995" t="inlineStr">
        <is>
          <t>Documentação Aprovada</t>
        </is>
      </c>
      <c r="P995" t="inlineStr">
        <is>
          <t>Aprovado Diretoria</t>
        </is>
      </c>
      <c r="Q995" t="inlineStr">
        <is>
          <t>Aprovado Caixa</t>
        </is>
      </c>
      <c r="R995" t="inlineStr">
        <is>
          <t>Pago</t>
        </is>
      </c>
      <c r="S995" t="n">
        <v>182</v>
      </c>
      <c r="T995" t="inlineStr">
        <is>
          <t>Love - Shibari - Kamino</t>
        </is>
      </c>
    </row>
    <row r="996">
      <c r="A996" t="n">
        <v>159050</v>
      </c>
      <c r="B996" t="n">
        <v>128</v>
      </c>
      <c r="C996" t="inlineStr">
        <is>
          <t>Love Cabaret</t>
        </is>
      </c>
      <c r="D996" t="inlineStr">
        <is>
          <t xml:space="preserve">LATICINIOS FIOR DITALIA LTDA </t>
        </is>
      </c>
      <c r="E996" t="n">
        <v>326.75</v>
      </c>
      <c r="F996" s="27" t="n">
        <v>45917</v>
      </c>
      <c r="G996" s="27" t="n">
        <v>45915</v>
      </c>
      <c r="H996" s="27" t="n">
        <v>45915</v>
      </c>
      <c r="I996" s="27" t="n">
        <v>45901</v>
      </c>
      <c r="J996" s="27" t="n">
        <v>45903</v>
      </c>
      <c r="K996" t="inlineStr">
        <is>
          <t>Boleto Bancário</t>
        </is>
      </c>
      <c r="L996" t="inlineStr">
        <is>
          <t>Custo Mercadoria Vendida</t>
        </is>
      </c>
      <c r="M996" t="inlineStr">
        <is>
          <t>Insumos - Alimentos</t>
        </is>
      </c>
      <c r="N996" t="inlineStr">
        <is>
          <t>38763</t>
        </is>
      </c>
      <c r="O996" t="inlineStr">
        <is>
          <t>Documentação Aprovada</t>
        </is>
      </c>
      <c r="P996" t="inlineStr">
        <is>
          <t>Aprovado Diretoria</t>
        </is>
      </c>
      <c r="Q996" t="inlineStr">
        <is>
          <t>Aprovado Caixa</t>
        </is>
      </c>
      <c r="R996" t="inlineStr">
        <is>
          <t>Pago</t>
        </is>
      </c>
      <c r="S996" t="n">
        <v>182</v>
      </c>
      <c r="T996" t="inlineStr">
        <is>
          <t>Love - Shibari - Kamino</t>
        </is>
      </c>
    </row>
    <row r="997">
      <c r="A997" t="n">
        <v>159225</v>
      </c>
      <c r="B997" t="n">
        <v>128</v>
      </c>
      <c r="C997" t="inlineStr">
        <is>
          <t>Love Cabaret</t>
        </is>
      </c>
      <c r="D997" t="inlineStr">
        <is>
          <t>WPP COMERCIO DE CARNES LTDA</t>
        </is>
      </c>
      <c r="E997" t="n">
        <v>327.6</v>
      </c>
      <c r="F997" s="27" t="n">
        <v>45916</v>
      </c>
      <c r="G997" s="27" t="n">
        <v>45915</v>
      </c>
      <c r="H997" s="27" t="n">
        <v>45915</v>
      </c>
      <c r="I997" s="27" t="n">
        <v>45902</v>
      </c>
      <c r="J997" s="27" t="n">
        <v>45904</v>
      </c>
      <c r="K997" t="inlineStr">
        <is>
          <t>Boleto Bancário</t>
        </is>
      </c>
      <c r="L997" t="inlineStr">
        <is>
          <t>Custo Mercadoria Vendida</t>
        </is>
      </c>
      <c r="M997" t="inlineStr">
        <is>
          <t>Insumos - Alimentos</t>
        </is>
      </c>
      <c r="N997" t="inlineStr">
        <is>
          <t>74257</t>
        </is>
      </c>
      <c r="O997" t="inlineStr">
        <is>
          <t>Documentação Aprovada</t>
        </is>
      </c>
      <c r="P997" t="inlineStr">
        <is>
          <t>Aprovado Diretoria</t>
        </is>
      </c>
      <c r="Q997" t="inlineStr">
        <is>
          <t>Aprovado Caixa</t>
        </is>
      </c>
      <c r="R997" t="inlineStr">
        <is>
          <t>Pago</t>
        </is>
      </c>
      <c r="S997" t="n">
        <v>182</v>
      </c>
      <c r="T997" t="inlineStr">
        <is>
          <t>Love - Shibari - Kamino</t>
        </is>
      </c>
    </row>
    <row r="998">
      <c r="A998" t="n">
        <v>159179</v>
      </c>
      <c r="B998" t="n">
        <v>128</v>
      </c>
      <c r="C998" t="inlineStr">
        <is>
          <t>Love Cabaret</t>
        </is>
      </c>
      <c r="D998" t="inlineStr">
        <is>
          <t>MEAT HUNTER IMPORT EXPORT AND DISTRIBUTION LTDA</t>
        </is>
      </c>
      <c r="E998" t="n">
        <v>913.92</v>
      </c>
      <c r="F998" s="27" t="n">
        <v>45915</v>
      </c>
      <c r="G998" s="27" t="n">
        <v>45915</v>
      </c>
      <c r="H998" s="27" t="n">
        <v>45915</v>
      </c>
      <c r="I998" s="27" t="n">
        <v>45901</v>
      </c>
      <c r="J998" s="27" t="n">
        <v>45904</v>
      </c>
      <c r="K998" t="inlineStr">
        <is>
          <t>Boleto Bancário</t>
        </is>
      </c>
      <c r="L998" t="inlineStr">
        <is>
          <t>Custo Mercadoria Vendida</t>
        </is>
      </c>
      <c r="M998" t="inlineStr">
        <is>
          <t>Insumos - Alimentos</t>
        </is>
      </c>
      <c r="N998" t="inlineStr">
        <is>
          <t>5015</t>
        </is>
      </c>
      <c r="O998" t="inlineStr">
        <is>
          <t>Documentação Aprovada</t>
        </is>
      </c>
      <c r="P998" t="inlineStr">
        <is>
          <t>Aprovado Diretoria</t>
        </is>
      </c>
      <c r="Q998" t="inlineStr">
        <is>
          <t>Aprovado Caixa</t>
        </is>
      </c>
      <c r="R998" t="inlineStr">
        <is>
          <t>Pago</t>
        </is>
      </c>
      <c r="S998" t="n">
        <v>182</v>
      </c>
      <c r="T998" t="inlineStr">
        <is>
          <t>Love - Shibari - Kamino</t>
        </is>
      </c>
    </row>
    <row r="999">
      <c r="A999" t="n">
        <v>158993</v>
      </c>
      <c r="B999" t="n">
        <v>128</v>
      </c>
      <c r="C999" t="inlineStr">
        <is>
          <t>Love Cabaret</t>
        </is>
      </c>
      <c r="D999" t="inlineStr">
        <is>
          <t xml:space="preserve">EXTRATECH SERVICOS DE ENGENHARIA LTDA </t>
        </is>
      </c>
      <c r="E999" t="n">
        <v>4692.5</v>
      </c>
      <c r="F999" s="27" t="n">
        <v>45915</v>
      </c>
      <c r="G999" s="27" t="n">
        <v>45915</v>
      </c>
      <c r="H999" s="27" t="n">
        <v>45915</v>
      </c>
      <c r="I999" s="27" t="n">
        <v>45895</v>
      </c>
      <c r="J999" s="27" t="n">
        <v>45903</v>
      </c>
      <c r="K999" t="inlineStr">
        <is>
          <t>Transferência Bancária ou Pix</t>
        </is>
      </c>
      <c r="L999" t="inlineStr">
        <is>
          <t>Serviços de Terceiros</t>
        </is>
      </c>
      <c r="M999" t="inlineStr">
        <is>
          <t>Assessoria em Geral</t>
        </is>
      </c>
      <c r="N999" t="inlineStr">
        <is>
          <t>1442</t>
        </is>
      </c>
      <c r="O999" t="inlineStr">
        <is>
          <t>Documentação Aprovada</t>
        </is>
      </c>
      <c r="P999" t="inlineStr">
        <is>
          <t>Aprovado Diretoria</t>
        </is>
      </c>
      <c r="Q999" t="inlineStr">
        <is>
          <t>Aprovado Caixa</t>
        </is>
      </c>
      <c r="R999" t="inlineStr">
        <is>
          <t>Pago</t>
        </is>
      </c>
      <c r="S999" t="n">
        <v>182</v>
      </c>
      <c r="T999" t="inlineStr">
        <is>
          <t>Love - Shibari - Kamino</t>
        </is>
      </c>
    </row>
    <row r="1000">
      <c r="A1000" t="n">
        <v>158922</v>
      </c>
      <c r="B1000" t="n">
        <v>128</v>
      </c>
      <c r="C1000" t="inlineStr">
        <is>
          <t>Love Cabaret</t>
        </is>
      </c>
      <c r="D1000" t="inlineStr">
        <is>
          <t>JOSE CASSIO PREVEDEL SISTEMAS ME</t>
        </is>
      </c>
      <c r="E1000" t="n">
        <v>400</v>
      </c>
      <c r="F1000" s="27" t="n">
        <v>45915</v>
      </c>
      <c r="G1000" s="27" t="n">
        <v>45915</v>
      </c>
      <c r="H1000" s="27" t="n">
        <v>45915</v>
      </c>
      <c r="I1000" s="27" t="n">
        <v>45901</v>
      </c>
      <c r="J1000" s="27" t="n">
        <v>45903</v>
      </c>
      <c r="K1000" t="inlineStr">
        <is>
          <t>Boleto Bancário</t>
        </is>
      </c>
      <c r="L1000" t="inlineStr">
        <is>
          <t>Locação de Equipamentos</t>
        </is>
      </c>
      <c r="M1000" t="inlineStr">
        <is>
          <t>Locações de Equipamentos - Operacionais</t>
        </is>
      </c>
      <c r="N1000" t="inlineStr">
        <is>
          <t>20177</t>
        </is>
      </c>
      <c r="O1000" t="inlineStr">
        <is>
          <t>Documentação Aprovada</t>
        </is>
      </c>
      <c r="P1000" t="inlineStr">
        <is>
          <t>Aprovado Diretoria</t>
        </is>
      </c>
      <c r="Q1000" t="inlineStr">
        <is>
          <t>Aprovado Caixa</t>
        </is>
      </c>
      <c r="R1000" t="inlineStr">
        <is>
          <t>Pago</t>
        </is>
      </c>
      <c r="S1000" t="n">
        <v>182</v>
      </c>
      <c r="T1000" t="inlineStr">
        <is>
          <t>Love - Shibari - Kamino</t>
        </is>
      </c>
    </row>
    <row r="1001">
      <c r="A1001" t="n">
        <v>159188</v>
      </c>
      <c r="B1001" t="n">
        <v>128</v>
      </c>
      <c r="C1001" t="inlineStr">
        <is>
          <t>Love Cabaret</t>
        </is>
      </c>
      <c r="D1001" t="inlineStr">
        <is>
          <t>ASSAZ ORGANICA INDUSTRIA E COMERCIO DE ALIMENTOS LTDA</t>
        </is>
      </c>
      <c r="E1001" t="n">
        <v>61.25</v>
      </c>
      <c r="F1001" s="27" t="n">
        <v>45917</v>
      </c>
      <c r="G1001" s="27" t="n">
        <v>45915</v>
      </c>
      <c r="H1001" s="27" t="n">
        <v>45915</v>
      </c>
      <c r="I1001" s="27" t="n">
        <v>45902</v>
      </c>
      <c r="J1001" s="27" t="n">
        <v>45904</v>
      </c>
      <c r="K1001" t="inlineStr">
        <is>
          <t>Boleto Bancário</t>
        </is>
      </c>
      <c r="L1001" t="inlineStr">
        <is>
          <t>Custo Mercadoria Vendida</t>
        </is>
      </c>
      <c r="M1001" t="inlineStr">
        <is>
          <t>Insumos - Alimentos</t>
        </is>
      </c>
      <c r="N1001" t="inlineStr">
        <is>
          <t>22880</t>
        </is>
      </c>
      <c r="O1001" t="inlineStr">
        <is>
          <t>Documentação Aprovada</t>
        </is>
      </c>
      <c r="P1001" t="inlineStr">
        <is>
          <t>Aprovado Diretoria</t>
        </is>
      </c>
      <c r="Q1001" t="inlineStr">
        <is>
          <t>Aprovado Caixa</t>
        </is>
      </c>
      <c r="R1001" t="inlineStr">
        <is>
          <t>Pago</t>
        </is>
      </c>
      <c r="S1001" t="n">
        <v>182</v>
      </c>
      <c r="T1001" t="inlineStr">
        <is>
          <t>Love - Shibari - Kamino</t>
        </is>
      </c>
    </row>
    <row r="1002">
      <c r="A1002" t="n">
        <v>159248</v>
      </c>
      <c r="B1002" t="n">
        <v>128</v>
      </c>
      <c r="C1002" t="inlineStr">
        <is>
          <t>Love Cabaret</t>
        </is>
      </c>
      <c r="D1002" t="inlineStr">
        <is>
          <t>HNK BR INDUSTRIA DE BEBIDAS LTDA</t>
        </is>
      </c>
      <c r="E1002" t="n">
        <v>1607.84</v>
      </c>
      <c r="F1002" s="27" t="n">
        <v>45917</v>
      </c>
      <c r="G1002" s="27" t="n">
        <v>45915</v>
      </c>
      <c r="H1002" s="27" t="n">
        <v>45915</v>
      </c>
      <c r="I1002" s="27" t="n">
        <v>45902</v>
      </c>
      <c r="J1002" s="27" t="n">
        <v>45904</v>
      </c>
      <c r="K1002" t="inlineStr">
        <is>
          <t>Boleto Bancário</t>
        </is>
      </c>
      <c r="L1002" t="inlineStr">
        <is>
          <t>Custo Mercadoria Vendida</t>
        </is>
      </c>
      <c r="M1002" t="inlineStr">
        <is>
          <t>Insumos - Bebidas</t>
        </is>
      </c>
      <c r="N1002" t="inlineStr">
        <is>
          <t>50276</t>
        </is>
      </c>
      <c r="O1002" t="inlineStr">
        <is>
          <t>Documentação Aprovada</t>
        </is>
      </c>
      <c r="P1002" t="inlineStr">
        <is>
          <t>Aprovado Diretoria</t>
        </is>
      </c>
      <c r="Q1002" t="inlineStr">
        <is>
          <t>Aprovado Caixa</t>
        </is>
      </c>
      <c r="R1002" t="inlineStr">
        <is>
          <t>Pago</t>
        </is>
      </c>
      <c r="S1002" t="n">
        <v>182</v>
      </c>
      <c r="T1002" t="inlineStr">
        <is>
          <t>Love - Shibari - Kamino</t>
        </is>
      </c>
    </row>
    <row r="1003">
      <c r="A1003" t="n">
        <v>159189</v>
      </c>
      <c r="B1003" t="n">
        <v>128</v>
      </c>
      <c r="C1003" t="inlineStr">
        <is>
          <t>Love Cabaret</t>
        </is>
      </c>
      <c r="D1003" t="inlineStr">
        <is>
          <t>BOM GOSTO HORTIFRUTI LTDA</t>
        </is>
      </c>
      <c r="E1003" t="n">
        <v>319.25</v>
      </c>
      <c r="F1003" s="27" t="n">
        <v>45916</v>
      </c>
      <c r="G1003" s="27" t="n">
        <v>45915</v>
      </c>
      <c r="H1003" s="27" t="n">
        <v>45915</v>
      </c>
      <c r="I1003" s="27" t="n">
        <v>45901</v>
      </c>
      <c r="J1003" s="27" t="n">
        <v>45904</v>
      </c>
      <c r="K1003" t="inlineStr">
        <is>
          <t>Boleto Bancário</t>
        </is>
      </c>
      <c r="L1003" t="inlineStr">
        <is>
          <t>Custo Mercadoria Vendida</t>
        </is>
      </c>
      <c r="M1003" t="inlineStr">
        <is>
          <t>Insumos - Alimentos</t>
        </is>
      </c>
      <c r="N1003" t="inlineStr">
        <is>
          <t>134251</t>
        </is>
      </c>
      <c r="O1003" t="inlineStr">
        <is>
          <t>Documentação Aprovada</t>
        </is>
      </c>
      <c r="P1003" t="inlineStr">
        <is>
          <t>Aprovado Diretoria</t>
        </is>
      </c>
      <c r="Q1003" t="inlineStr">
        <is>
          <t>Aprovado Caixa</t>
        </is>
      </c>
      <c r="R1003" t="inlineStr">
        <is>
          <t>Pago</t>
        </is>
      </c>
      <c r="S1003" t="n">
        <v>182</v>
      </c>
      <c r="T1003" t="inlineStr">
        <is>
          <t>Love - Shibari - Kamino</t>
        </is>
      </c>
    </row>
    <row r="1004">
      <c r="A1004" t="n">
        <v>159245</v>
      </c>
      <c r="B1004" t="n">
        <v>128</v>
      </c>
      <c r="C1004" t="inlineStr">
        <is>
          <t>Love Cabaret</t>
        </is>
      </c>
      <c r="D1004" t="inlineStr">
        <is>
          <t>MURILLO S DUARTE COMERCIAL LTDA</t>
        </is>
      </c>
      <c r="E1004" t="n">
        <v>526.71</v>
      </c>
      <c r="F1004" s="27" t="n">
        <v>45915</v>
      </c>
      <c r="G1004" s="27" t="n">
        <v>45915</v>
      </c>
      <c r="H1004" s="27" t="n">
        <v>45915</v>
      </c>
      <c r="I1004" s="27" t="n">
        <v>45901</v>
      </c>
      <c r="J1004" s="27" t="n">
        <v>45904</v>
      </c>
      <c r="K1004" t="inlineStr">
        <is>
          <t>Boleto Bancário</t>
        </is>
      </c>
      <c r="L1004" t="inlineStr">
        <is>
          <t>Custo Mercadoria Vendida</t>
        </is>
      </c>
      <c r="M1004" t="inlineStr">
        <is>
          <t>Insumos - Alimentos</t>
        </is>
      </c>
      <c r="N1004" t="inlineStr">
        <is>
          <t>2058</t>
        </is>
      </c>
      <c r="O1004" t="inlineStr">
        <is>
          <t>Documentação Aprovada</t>
        </is>
      </c>
      <c r="P1004" t="inlineStr">
        <is>
          <t>Aprovado Diretoria</t>
        </is>
      </c>
      <c r="Q1004" t="inlineStr">
        <is>
          <t>Aprovado Caixa</t>
        </is>
      </c>
      <c r="R1004" t="inlineStr">
        <is>
          <t>Pago</t>
        </is>
      </c>
      <c r="S1004" t="n">
        <v>182</v>
      </c>
      <c r="T1004" t="inlineStr">
        <is>
          <t>Love - Shibari - Kamino</t>
        </is>
      </c>
    </row>
    <row r="1005">
      <c r="A1005" t="n">
        <v>160285</v>
      </c>
      <c r="B1005" t="n">
        <v>128</v>
      </c>
      <c r="C1005" t="inlineStr">
        <is>
          <t>Love Cabaret</t>
        </is>
      </c>
      <c r="D1005" t="inlineStr">
        <is>
          <t>BRADESCO SA</t>
        </is>
      </c>
      <c r="E1005" t="n">
        <v>9.800000000000001</v>
      </c>
      <c r="F1005" s="27" t="n">
        <v>45910</v>
      </c>
      <c r="G1005" s="27" t="n"/>
      <c r="H1005" s="27" t="n">
        <v>45910</v>
      </c>
      <c r="I1005" s="27" t="n">
        <v>45910</v>
      </c>
      <c r="J1005" s="27" t="n">
        <v>45911</v>
      </c>
      <c r="K1005" t="inlineStr">
        <is>
          <t>Encontro de Contas</t>
        </is>
      </c>
      <c r="L1005" t="inlineStr">
        <is>
          <t>Despesas Financeiras</t>
        </is>
      </c>
      <c r="M1005" t="inlineStr">
        <is>
          <t>Tarifas Bancárias</t>
        </is>
      </c>
      <c r="N1005" t="inlineStr">
        <is>
          <t>092025</t>
        </is>
      </c>
      <c r="R1005" t="inlineStr">
        <is>
          <t>Pago</t>
        </is>
      </c>
    </row>
    <row r="1006">
      <c r="A1006" t="n">
        <v>157712</v>
      </c>
      <c r="B1006" t="n">
        <v>128</v>
      </c>
      <c r="C1006" t="inlineStr">
        <is>
          <t>Love Cabaret</t>
        </is>
      </c>
      <c r="D1006" t="inlineStr">
        <is>
          <t>CECILIA TSUYACO ARAKI SILVA LTDA</t>
        </is>
      </c>
      <c r="E1006" t="n">
        <v>231.2</v>
      </c>
      <c r="F1006" s="27" t="n">
        <v>45911</v>
      </c>
      <c r="G1006" s="27" t="n">
        <v>45910</v>
      </c>
      <c r="H1006" s="27" t="n">
        <v>45910</v>
      </c>
      <c r="I1006" s="27" t="n">
        <v>45897</v>
      </c>
      <c r="J1006" s="27" t="n">
        <v>45898</v>
      </c>
      <c r="K1006" t="inlineStr">
        <is>
          <t>Boleto Bancário</t>
        </is>
      </c>
      <c r="L1006" t="inlineStr">
        <is>
          <t>Custo Mercadoria Vendida</t>
        </is>
      </c>
      <c r="M1006" t="inlineStr">
        <is>
          <t>Insumos - Alimentos</t>
        </is>
      </c>
      <c r="N1006" t="inlineStr">
        <is>
          <t>377105</t>
        </is>
      </c>
      <c r="O1006" t="inlineStr">
        <is>
          <t>Documentação Aprovada</t>
        </is>
      </c>
      <c r="P1006" t="inlineStr">
        <is>
          <t>Aprovado Diretoria</t>
        </is>
      </c>
      <c r="Q1006" t="inlineStr">
        <is>
          <t>Aprovado Caixa</t>
        </is>
      </c>
      <c r="R1006" t="inlineStr">
        <is>
          <t>Pago</t>
        </is>
      </c>
      <c r="S1006" t="n">
        <v>182</v>
      </c>
      <c r="T1006" t="inlineStr">
        <is>
          <t>Love - Shibari - Kamino</t>
        </is>
      </c>
    </row>
    <row r="1007">
      <c r="A1007" t="n">
        <v>157711</v>
      </c>
      <c r="B1007" t="n">
        <v>128</v>
      </c>
      <c r="C1007" t="inlineStr">
        <is>
          <t>Love Cabaret</t>
        </is>
      </c>
      <c r="D1007" t="inlineStr">
        <is>
          <t>HORTIFRUTIGRANJEIRO RODRIGUES LTDA</t>
        </is>
      </c>
      <c r="E1007" t="n">
        <v>172.2</v>
      </c>
      <c r="F1007" s="27" t="n">
        <v>45913</v>
      </c>
      <c r="G1007" s="27" t="n">
        <v>45910</v>
      </c>
      <c r="H1007" s="27" t="n">
        <v>45910</v>
      </c>
      <c r="I1007" s="27" t="n">
        <v>45897</v>
      </c>
      <c r="J1007" s="27" t="n">
        <v>45898</v>
      </c>
      <c r="K1007" t="inlineStr">
        <is>
          <t>Boleto Bancário</t>
        </is>
      </c>
      <c r="L1007" t="inlineStr">
        <is>
          <t>Custo Mercadoria Vendida</t>
        </is>
      </c>
      <c r="M1007" t="inlineStr">
        <is>
          <t>Insumos - Alimentos</t>
        </is>
      </c>
      <c r="N1007" t="inlineStr">
        <is>
          <t>12499</t>
        </is>
      </c>
      <c r="O1007" t="inlineStr">
        <is>
          <t>Documentação Aprovada</t>
        </is>
      </c>
      <c r="P1007" t="inlineStr">
        <is>
          <t>Aprovado Diretoria</t>
        </is>
      </c>
      <c r="Q1007" t="inlineStr">
        <is>
          <t>Aprovado Caixa</t>
        </is>
      </c>
      <c r="R1007" t="inlineStr">
        <is>
          <t>Pago</t>
        </is>
      </c>
      <c r="S1007" t="n">
        <v>182</v>
      </c>
      <c r="T1007" t="inlineStr">
        <is>
          <t>Love - Shibari - Kamino</t>
        </is>
      </c>
    </row>
    <row r="1008">
      <c r="A1008" t="n">
        <v>157710</v>
      </c>
      <c r="B1008" t="n">
        <v>128</v>
      </c>
      <c r="C1008" t="inlineStr">
        <is>
          <t>Love Cabaret</t>
        </is>
      </c>
      <c r="D1008" t="inlineStr">
        <is>
          <t xml:space="preserve">HORTIFRUTI DO CHEF LTDA </t>
        </is>
      </c>
      <c r="E1008" t="n">
        <v>126.24</v>
      </c>
      <c r="F1008" s="27" t="n">
        <v>45911</v>
      </c>
      <c r="G1008" s="27" t="n">
        <v>45910</v>
      </c>
      <c r="H1008" s="27" t="n">
        <v>45910</v>
      </c>
      <c r="I1008" s="27" t="n">
        <v>45897</v>
      </c>
      <c r="J1008" s="27" t="n">
        <v>45898</v>
      </c>
      <c r="K1008" t="inlineStr">
        <is>
          <t>Boleto Bancário</t>
        </is>
      </c>
      <c r="L1008" t="inlineStr">
        <is>
          <t>Custo Mercadoria Vendida</t>
        </is>
      </c>
      <c r="M1008" t="inlineStr">
        <is>
          <t>Insumos - Alimentos</t>
        </is>
      </c>
      <c r="N1008" t="inlineStr">
        <is>
          <t>27718</t>
        </is>
      </c>
      <c r="O1008" t="inlineStr">
        <is>
          <t>Documentação Aprovada</t>
        </is>
      </c>
      <c r="P1008" t="inlineStr">
        <is>
          <t>Aprovado Diretoria</t>
        </is>
      </c>
      <c r="Q1008" t="inlineStr">
        <is>
          <t>Aprovado Caixa</t>
        </is>
      </c>
      <c r="R1008" t="inlineStr">
        <is>
          <t>Pago</t>
        </is>
      </c>
      <c r="S1008" t="n">
        <v>182</v>
      </c>
      <c r="T1008" t="inlineStr">
        <is>
          <t>Love - Shibari - Kamino</t>
        </is>
      </c>
    </row>
    <row r="1009">
      <c r="A1009" t="n">
        <v>157803</v>
      </c>
      <c r="B1009" t="n">
        <v>128</v>
      </c>
      <c r="C1009" t="inlineStr">
        <is>
          <t>Love Cabaret</t>
        </is>
      </c>
      <c r="D1009" t="inlineStr">
        <is>
          <t>BATALHA FABRICA DE PAES LTDA</t>
        </is>
      </c>
      <c r="E1009" t="n">
        <v>374.56</v>
      </c>
      <c r="F1009" s="27" t="n">
        <v>45912</v>
      </c>
      <c r="G1009" s="27" t="n">
        <v>45910</v>
      </c>
      <c r="H1009" s="27" t="n">
        <v>45910</v>
      </c>
      <c r="I1009" s="27" t="n">
        <v>45895</v>
      </c>
      <c r="J1009" s="27" t="n">
        <v>45901</v>
      </c>
      <c r="K1009" t="inlineStr">
        <is>
          <t>Boleto Bancário</t>
        </is>
      </c>
      <c r="L1009" t="inlineStr">
        <is>
          <t>Custo Mercadoria Vendida</t>
        </is>
      </c>
      <c r="M1009" t="inlineStr">
        <is>
          <t>Insumos - Alimentos</t>
        </is>
      </c>
      <c r="N1009" t="inlineStr">
        <is>
          <t>50087</t>
        </is>
      </c>
      <c r="O1009" t="inlineStr">
        <is>
          <t>Documentação Aprovada</t>
        </is>
      </c>
      <c r="P1009" t="inlineStr">
        <is>
          <t>Aprovado Diretoria</t>
        </is>
      </c>
      <c r="Q1009" t="inlineStr">
        <is>
          <t>Aprovado Caixa</t>
        </is>
      </c>
      <c r="R1009" t="inlineStr">
        <is>
          <t>Pago</t>
        </is>
      </c>
      <c r="S1009" t="n">
        <v>182</v>
      </c>
      <c r="T1009" t="inlineStr">
        <is>
          <t>Love - Shibari - Kamino</t>
        </is>
      </c>
    </row>
    <row r="1010">
      <c r="A1010" t="n">
        <v>153777</v>
      </c>
      <c r="B1010" t="n">
        <v>128</v>
      </c>
      <c r="C1010" t="inlineStr">
        <is>
          <t>Love Cabaret</t>
        </is>
      </c>
      <c r="D1010" t="inlineStr">
        <is>
          <t>LUIZ ROBERTO DA SILVA JUNIOR</t>
        </is>
      </c>
      <c r="E1010" t="n">
        <v>1000</v>
      </c>
      <c r="F1010" s="27" t="n">
        <v>45911</v>
      </c>
      <c r="G1010" s="27" t="n">
        <v>45910</v>
      </c>
      <c r="H1010" s="27" t="n">
        <v>45910</v>
      </c>
      <c r="I1010" s="27" t="n">
        <v>45890</v>
      </c>
      <c r="J1010" s="27" t="n">
        <v>45877</v>
      </c>
      <c r="K1010" t="inlineStr">
        <is>
          <t>Transferência Bancária ou Pix</t>
        </is>
      </c>
      <c r="L1010" t="inlineStr">
        <is>
          <t>Custos Artístico Geral</t>
        </is>
      </c>
      <c r="M1010" t="inlineStr">
        <is>
          <t>Locação de Equipamentos Fixo</t>
        </is>
      </c>
      <c r="N1010" t="inlineStr">
        <is>
          <t>832025</t>
        </is>
      </c>
      <c r="O1010" t="inlineStr">
        <is>
          <t>Documentação Aprovada</t>
        </is>
      </c>
      <c r="P1010" t="inlineStr">
        <is>
          <t>Aprovado Diretoria</t>
        </is>
      </c>
      <c r="Q1010" t="inlineStr">
        <is>
          <t>Aprovado Caixa</t>
        </is>
      </c>
      <c r="R1010" t="inlineStr">
        <is>
          <t>Pago</t>
        </is>
      </c>
      <c r="S1010" t="n">
        <v>182</v>
      </c>
      <c r="T1010" t="inlineStr">
        <is>
          <t>Love - Shibari - Kamino</t>
        </is>
      </c>
    </row>
    <row r="1011">
      <c r="A1011" t="n">
        <v>154617</v>
      </c>
      <c r="B1011" t="n">
        <v>128</v>
      </c>
      <c r="C1011" t="inlineStr">
        <is>
          <t>Love Cabaret</t>
        </is>
      </c>
      <c r="D1011" t="inlineStr">
        <is>
          <t xml:space="preserve">EMPORIO MEL </t>
        </is>
      </c>
      <c r="E1011" t="n">
        <v>1374.17</v>
      </c>
      <c r="F1011" s="27" t="n">
        <v>45911</v>
      </c>
      <c r="G1011" s="27" t="n">
        <v>45910</v>
      </c>
      <c r="H1011" s="27" t="n">
        <v>45910</v>
      </c>
      <c r="I1011" s="27" t="n">
        <v>45880</v>
      </c>
      <c r="J1011" s="27" t="n">
        <v>45883</v>
      </c>
      <c r="K1011" t="inlineStr">
        <is>
          <t>Boleto Bancário</t>
        </is>
      </c>
      <c r="L1011" t="inlineStr">
        <is>
          <t>Custo Mercadoria Vendida</t>
        </is>
      </c>
      <c r="M1011" t="inlineStr">
        <is>
          <t>Insumos - Alimentos</t>
        </is>
      </c>
      <c r="N1011" t="inlineStr">
        <is>
          <t>465700</t>
        </is>
      </c>
      <c r="O1011" t="inlineStr">
        <is>
          <t>Documentação Aprovada</t>
        </is>
      </c>
      <c r="P1011" t="inlineStr">
        <is>
          <t>Aprovado Diretoria</t>
        </is>
      </c>
      <c r="Q1011" t="inlineStr">
        <is>
          <t>Aprovado Caixa</t>
        </is>
      </c>
      <c r="R1011" t="inlineStr">
        <is>
          <t>Pago</t>
        </is>
      </c>
      <c r="S1011" t="n">
        <v>182</v>
      </c>
      <c r="T1011" t="inlineStr">
        <is>
          <t>Love - Shibari - Kamino</t>
        </is>
      </c>
    </row>
    <row r="1012">
      <c r="A1012" t="n">
        <v>96965</v>
      </c>
      <c r="B1012" t="n">
        <v>128</v>
      </c>
      <c r="C1012" t="inlineStr">
        <is>
          <t>Love Cabaret</t>
        </is>
      </c>
      <c r="D1012" t="inlineStr">
        <is>
          <t xml:space="preserve">DUO COMUNICA LTDA </t>
        </is>
      </c>
      <c r="E1012" t="n">
        <v>2000</v>
      </c>
      <c r="F1012" s="27" t="n">
        <v>45914</v>
      </c>
      <c r="G1012" s="27" t="n">
        <v>45910</v>
      </c>
      <c r="H1012" s="27" t="n">
        <v>45910</v>
      </c>
      <c r="I1012" s="27" t="n">
        <v>45887</v>
      </c>
      <c r="J1012" s="27" t="n"/>
      <c r="K1012" t="inlineStr">
        <is>
          <t>Transferência Bancária ou Pix</t>
        </is>
      </c>
      <c r="L1012" t="inlineStr">
        <is>
          <t>Informática e TI</t>
        </is>
      </c>
      <c r="M1012" t="inlineStr">
        <is>
          <t>Sistemas Gerais - Comunicação e Marketing</t>
        </is>
      </c>
      <c r="N1012" t="inlineStr">
        <is>
          <t>573</t>
        </is>
      </c>
      <c r="O1012" t="inlineStr">
        <is>
          <t>Documentação Aprovada</t>
        </is>
      </c>
      <c r="P1012" t="inlineStr">
        <is>
          <t>Aprovado Diretoria</t>
        </is>
      </c>
      <c r="Q1012" t="inlineStr">
        <is>
          <t>Aprovado Caixa</t>
        </is>
      </c>
      <c r="R1012" t="inlineStr">
        <is>
          <t>Pago</t>
        </is>
      </c>
      <c r="S1012" t="n">
        <v>182</v>
      </c>
      <c r="T1012" t="inlineStr">
        <is>
          <t>Love - Shibari - Kamino</t>
        </is>
      </c>
    </row>
    <row r="1013">
      <c r="A1013" t="n">
        <v>97117</v>
      </c>
      <c r="B1013" t="n">
        <v>128</v>
      </c>
      <c r="C1013" t="inlineStr">
        <is>
          <t>Love Cabaret</t>
        </is>
      </c>
      <c r="D1013" t="inlineStr">
        <is>
          <t>ESTAFF SOLUCOES TECNOLOGICAS DE AGENCIAMENTO LTDA</t>
        </is>
      </c>
      <c r="E1013" t="n">
        <v>20912.07</v>
      </c>
      <c r="F1013" s="27" t="n">
        <v>45910</v>
      </c>
      <c r="G1013" s="27" t="n">
        <v>45910</v>
      </c>
      <c r="H1013" s="27" t="n">
        <v>45910</v>
      </c>
      <c r="I1013" s="27" t="n">
        <v>45901</v>
      </c>
      <c r="J1013" s="27" t="n"/>
      <c r="K1013" t="inlineStr">
        <is>
          <t>Boleto Bancário</t>
        </is>
      </c>
      <c r="L1013" t="inlineStr">
        <is>
          <t>Mão de Obra - Extra</t>
        </is>
      </c>
      <c r="M1013" t="inlineStr">
        <is>
          <t>Mão de Obra Extra</t>
        </is>
      </c>
      <c r="N1013" t="inlineStr">
        <is>
          <t>631758262</t>
        </is>
      </c>
      <c r="O1013" t="inlineStr">
        <is>
          <t>Documentação Aprovada</t>
        </is>
      </c>
      <c r="P1013" t="inlineStr">
        <is>
          <t>Aprovado Diretoria</t>
        </is>
      </c>
      <c r="Q1013" t="inlineStr">
        <is>
          <t>Aprovado Caixa</t>
        </is>
      </c>
      <c r="R1013" t="inlineStr">
        <is>
          <t>Pago</t>
        </is>
      </c>
      <c r="S1013" t="n">
        <v>182</v>
      </c>
      <c r="T1013" t="inlineStr">
        <is>
          <t>Love - Shibari - Kamino</t>
        </is>
      </c>
    </row>
    <row r="1014">
      <c r="A1014" t="n">
        <v>97037</v>
      </c>
      <c r="B1014" t="n">
        <v>128</v>
      </c>
      <c r="C1014" t="inlineStr">
        <is>
          <t>Love Cabaret</t>
        </is>
      </c>
      <c r="D1014" t="inlineStr">
        <is>
          <t>ESHOWS PROMOCOES ARTISTICAS LTDA</t>
        </is>
      </c>
      <c r="E1014" t="n">
        <v>24810</v>
      </c>
      <c r="F1014" s="27" t="n">
        <v>45914</v>
      </c>
      <c r="G1014" s="27" t="n">
        <v>45908</v>
      </c>
      <c r="H1014" s="27" t="n">
        <v>45908</v>
      </c>
      <c r="I1014" s="27" t="n">
        <v>45885</v>
      </c>
      <c r="J1014" s="27" t="n"/>
      <c r="K1014" t="inlineStr">
        <is>
          <t>Boleto Bancário</t>
        </is>
      </c>
      <c r="L1014" t="inlineStr">
        <is>
          <t>Custos Artístico Geral</t>
        </is>
      </c>
      <c r="M1014" t="inlineStr">
        <is>
          <t>Cachê de Músicos e Artistas</t>
        </is>
      </c>
      <c r="N1014" t="inlineStr">
        <is>
          <t>629649459</t>
        </is>
      </c>
      <c r="O1014" t="inlineStr">
        <is>
          <t>Documentação Aprovada</t>
        </is>
      </c>
      <c r="P1014" t="inlineStr">
        <is>
          <t>Aprovado Diretoria</t>
        </is>
      </c>
      <c r="Q1014" t="inlineStr">
        <is>
          <t>Aprovado Caixa</t>
        </is>
      </c>
      <c r="R1014" t="inlineStr">
        <is>
          <t>Pago</t>
        </is>
      </c>
      <c r="S1014" t="n">
        <v>182</v>
      </c>
      <c r="T1014" t="inlineStr">
        <is>
          <t>Love - Shibari - Kamino</t>
        </is>
      </c>
    </row>
    <row r="1015">
      <c r="A1015" t="n">
        <v>96862</v>
      </c>
      <c r="B1015" t="n">
        <v>128</v>
      </c>
      <c r="C1015" t="inlineStr">
        <is>
          <t>Love Cabaret</t>
        </is>
      </c>
      <c r="D1015" t="inlineStr">
        <is>
          <t>AGENCIA BIOMA PUBLICIDADE E EVENTOS LTDA - FACUNDO</t>
        </is>
      </c>
      <c r="E1015" t="n">
        <v>8000</v>
      </c>
      <c r="F1015" s="27" t="n">
        <v>45905</v>
      </c>
      <c r="G1015" s="27" t="n">
        <v>45908</v>
      </c>
      <c r="H1015" s="27" t="n">
        <v>45908</v>
      </c>
      <c r="I1015" s="27" t="n">
        <v>45889</v>
      </c>
      <c r="J1015" s="27" t="n"/>
      <c r="K1015" t="inlineStr">
        <is>
          <t>Transferência Bancária ou Pix</t>
        </is>
      </c>
      <c r="L1015" t="inlineStr">
        <is>
          <t>Marketing</t>
        </is>
      </c>
      <c r="M1015" t="inlineStr">
        <is>
          <t>Agência de Propaganda</t>
        </is>
      </c>
      <c r="N1015" t="inlineStr">
        <is>
          <t>325</t>
        </is>
      </c>
      <c r="O1015" t="inlineStr">
        <is>
          <t>Documentação Aprovada</t>
        </is>
      </c>
      <c r="P1015" t="inlineStr">
        <is>
          <t>Aprovado Diretoria</t>
        </is>
      </c>
      <c r="Q1015" t="inlineStr">
        <is>
          <t>Aprovado Caixa</t>
        </is>
      </c>
      <c r="R1015" t="inlineStr">
        <is>
          <t>Pago</t>
        </is>
      </c>
      <c r="S1015" t="n">
        <v>182</v>
      </c>
      <c r="T1015" t="inlineStr">
        <is>
          <t>Love - Shibari - Kamino</t>
        </is>
      </c>
    </row>
    <row r="1016">
      <c r="A1016" t="n">
        <v>96977</v>
      </c>
      <c r="B1016" t="n">
        <v>128</v>
      </c>
      <c r="C1016" t="inlineStr">
        <is>
          <t>Love Cabaret</t>
        </is>
      </c>
      <c r="D1016" t="inlineStr">
        <is>
          <t xml:space="preserve">DIVIFY OPERACAO DE PLATAFORMA ELETRONICA LTDA </t>
        </is>
      </c>
      <c r="E1016" t="n">
        <v>1000</v>
      </c>
      <c r="F1016" s="27" t="n">
        <v>45910</v>
      </c>
      <c r="G1016" s="27" t="n">
        <v>45908</v>
      </c>
      <c r="H1016" s="27" t="n">
        <v>45908</v>
      </c>
      <c r="I1016" s="27" t="n">
        <v>45889</v>
      </c>
      <c r="J1016" s="27" t="n"/>
      <c r="K1016" t="inlineStr">
        <is>
          <t>Boleto Bancário</t>
        </is>
      </c>
      <c r="L1016" t="inlineStr">
        <is>
          <t>Serviços de Terceiros</t>
        </is>
      </c>
      <c r="M1016" t="inlineStr">
        <is>
          <t>Assessoria em Geral</t>
        </is>
      </c>
      <c r="N1016" t="inlineStr">
        <is>
          <t>290</t>
        </is>
      </c>
      <c r="O1016" t="inlineStr">
        <is>
          <t>Documentação Aprovada</t>
        </is>
      </c>
      <c r="P1016" t="inlineStr">
        <is>
          <t>Aprovado Diretoria</t>
        </is>
      </c>
      <c r="Q1016" t="inlineStr">
        <is>
          <t>Aprovado Caixa</t>
        </is>
      </c>
      <c r="R1016" t="inlineStr">
        <is>
          <t>Pago</t>
        </is>
      </c>
      <c r="S1016" t="n">
        <v>182</v>
      </c>
      <c r="T1016" t="inlineStr">
        <is>
          <t>Love - Shibari - Kamino</t>
        </is>
      </c>
    </row>
    <row r="1017">
      <c r="A1017" t="n">
        <v>102870</v>
      </c>
      <c r="B1017" t="n">
        <v>128</v>
      </c>
      <c r="C1017" t="inlineStr">
        <is>
          <t>Love Cabaret</t>
        </is>
      </c>
      <c r="D1017" t="inlineStr">
        <is>
          <t>MACHINE SEGURANCA PATRIMONIAL LTDA</t>
        </is>
      </c>
      <c r="E1017" t="n">
        <v>6650</v>
      </c>
      <c r="F1017" s="27" t="n">
        <v>45906</v>
      </c>
      <c r="G1017" s="27" t="n">
        <v>45908</v>
      </c>
      <c r="H1017" s="27" t="n">
        <v>45908</v>
      </c>
      <c r="I1017" s="27" t="n">
        <v>45900</v>
      </c>
      <c r="J1017" s="27" t="n"/>
      <c r="K1017" t="inlineStr">
        <is>
          <t>Transferência Bancária ou Pix</t>
        </is>
      </c>
      <c r="L1017" t="inlineStr">
        <is>
          <t>Serviços de Terceiros</t>
        </is>
      </c>
      <c r="M1017" t="inlineStr">
        <is>
          <t>Serviços de Segurança</t>
        </is>
      </c>
      <c r="N1017" t="inlineStr">
        <is>
          <t>631</t>
        </is>
      </c>
      <c r="O1017" t="inlineStr">
        <is>
          <t>Documentação Aprovada</t>
        </is>
      </c>
      <c r="P1017" t="inlineStr">
        <is>
          <t>Aprovado Diretoria</t>
        </is>
      </c>
      <c r="Q1017" t="inlineStr">
        <is>
          <t>Aprovado Caixa</t>
        </is>
      </c>
      <c r="R1017" t="inlineStr">
        <is>
          <t>Pago</t>
        </is>
      </c>
      <c r="S1017" t="n">
        <v>182</v>
      </c>
      <c r="T1017" t="inlineStr">
        <is>
          <t>Love - Shibari - Kamino</t>
        </is>
      </c>
    </row>
    <row r="1018">
      <c r="A1018" t="n">
        <v>102965</v>
      </c>
      <c r="B1018" t="n">
        <v>128</v>
      </c>
      <c r="C1018" t="inlineStr">
        <is>
          <t>Love Cabaret</t>
        </is>
      </c>
      <c r="D1018" t="inlineStr">
        <is>
          <t>STAR COPIAS COMERCIO E SERVICOS LTDA</t>
        </is>
      </c>
      <c r="E1018" t="n">
        <v>220</v>
      </c>
      <c r="F1018" s="27" t="n">
        <v>45908</v>
      </c>
      <c r="G1018" s="27" t="n">
        <v>45908</v>
      </c>
      <c r="H1018" s="27" t="n">
        <v>45908</v>
      </c>
      <c r="I1018" s="27" t="n">
        <v>45889</v>
      </c>
      <c r="J1018" s="27" t="n"/>
      <c r="K1018" t="inlineStr">
        <is>
          <t>Boleto Bancário</t>
        </is>
      </c>
      <c r="L1018" t="inlineStr">
        <is>
          <t>Locação de Equipamentos</t>
        </is>
      </c>
      <c r="M1018" t="inlineStr">
        <is>
          <t>Locação de Equipamentos - Informatica e TI</t>
        </is>
      </c>
      <c r="N1018" t="inlineStr">
        <is>
          <t>4422</t>
        </is>
      </c>
      <c r="O1018" t="inlineStr">
        <is>
          <t>Documentação Aprovada</t>
        </is>
      </c>
      <c r="P1018" t="inlineStr">
        <is>
          <t>Aprovado Diretoria</t>
        </is>
      </c>
      <c r="Q1018" t="inlineStr">
        <is>
          <t>Aprovado Caixa</t>
        </is>
      </c>
      <c r="R1018" t="inlineStr">
        <is>
          <t>Pago</t>
        </is>
      </c>
      <c r="S1018" t="n">
        <v>182</v>
      </c>
      <c r="T1018" t="inlineStr">
        <is>
          <t>Love - Shibari - Kamino</t>
        </is>
      </c>
    </row>
    <row r="1019">
      <c r="A1019" t="n">
        <v>102810</v>
      </c>
      <c r="B1019" t="n">
        <v>128</v>
      </c>
      <c r="C1019" t="inlineStr">
        <is>
          <t>Love Cabaret</t>
        </is>
      </c>
      <c r="D1019" t="inlineStr">
        <is>
          <t>FREE SOM - LOCACAO DE SOM E  LUZ LTDA - TUKASON</t>
        </is>
      </c>
      <c r="E1019" t="n">
        <v>6000</v>
      </c>
      <c r="F1019" s="27" t="n">
        <v>45899</v>
      </c>
      <c r="G1019" s="27" t="n">
        <v>45908</v>
      </c>
      <c r="H1019" s="27" t="n">
        <v>45908</v>
      </c>
      <c r="I1019" s="27" t="n">
        <v>45870</v>
      </c>
      <c r="J1019" s="27" t="n"/>
      <c r="K1019" t="inlineStr">
        <is>
          <t>Boleto Bancário</t>
        </is>
      </c>
      <c r="L1019" t="inlineStr">
        <is>
          <t>Custos Artístico Geral</t>
        </is>
      </c>
      <c r="M1019" t="inlineStr">
        <is>
          <t>Locação de Equipamentos Fixo</t>
        </is>
      </c>
      <c r="N1019" t="inlineStr">
        <is>
          <t>517</t>
        </is>
      </c>
      <c r="O1019" t="inlineStr">
        <is>
          <t>Documentação Aprovada</t>
        </is>
      </c>
      <c r="P1019" t="inlineStr">
        <is>
          <t>Aprovado Diretoria</t>
        </is>
      </c>
      <c r="Q1019" t="inlineStr">
        <is>
          <t>Aprovado Caixa</t>
        </is>
      </c>
      <c r="R1019" t="inlineStr">
        <is>
          <t>Pago</t>
        </is>
      </c>
      <c r="S1019" t="n">
        <v>182</v>
      </c>
      <c r="T1019" t="inlineStr">
        <is>
          <t>Love - Shibari - Kamino</t>
        </is>
      </c>
    </row>
    <row r="1020">
      <c r="A1020" t="n">
        <v>102978</v>
      </c>
      <c r="B1020" t="n">
        <v>128</v>
      </c>
      <c r="C1020" t="inlineStr">
        <is>
          <t>Love Cabaret</t>
        </is>
      </c>
      <c r="D1020" t="inlineStr">
        <is>
          <t>STEMME TELECOMUNICACOES DO BRASIL LTDA</t>
        </is>
      </c>
      <c r="E1020" t="n">
        <v>299.99</v>
      </c>
      <c r="F1020" s="27" t="n">
        <v>45910</v>
      </c>
      <c r="G1020" s="27" t="n">
        <v>45908</v>
      </c>
      <c r="H1020" s="27" t="n">
        <v>45908</v>
      </c>
      <c r="I1020" s="27" t="n">
        <v>45900</v>
      </c>
      <c r="J1020" s="27" t="n"/>
      <c r="K1020" t="inlineStr">
        <is>
          <t>Boleto Bancário</t>
        </is>
      </c>
      <c r="L1020" t="inlineStr">
        <is>
          <t>Informática e TI</t>
        </is>
      </c>
      <c r="M1020" t="inlineStr">
        <is>
          <t>Internet</t>
        </is>
      </c>
      <c r="N1020" t="inlineStr">
        <is>
          <t>8375</t>
        </is>
      </c>
      <c r="O1020" t="inlineStr">
        <is>
          <t>Documentação Aprovada</t>
        </is>
      </c>
      <c r="P1020" t="inlineStr">
        <is>
          <t>Aprovado Diretoria</t>
        </is>
      </c>
      <c r="Q1020" t="inlineStr">
        <is>
          <t>Aprovado Caixa</t>
        </is>
      </c>
      <c r="R1020" t="inlineStr">
        <is>
          <t>Pago</t>
        </is>
      </c>
      <c r="S1020" t="n">
        <v>182</v>
      </c>
      <c r="T1020" t="inlineStr">
        <is>
          <t>Love - Shibari - Kamino</t>
        </is>
      </c>
    </row>
    <row r="1021">
      <c r="A1021" t="n">
        <v>102947</v>
      </c>
      <c r="B1021" t="n">
        <v>128</v>
      </c>
      <c r="C1021" t="inlineStr">
        <is>
          <t>Love Cabaret</t>
        </is>
      </c>
      <c r="D1021" t="inlineStr">
        <is>
          <t>SAFE BRAND COMERCIAL- IMPORTACAO- EXPORTACAO E SERVICOS LTDA</t>
        </is>
      </c>
      <c r="E1021" t="n">
        <v>2117.46</v>
      </c>
      <c r="F1021" s="27" t="n">
        <v>45909</v>
      </c>
      <c r="G1021" s="27" t="n">
        <v>45908</v>
      </c>
      <c r="H1021" s="27" t="n">
        <v>45908</v>
      </c>
      <c r="I1021" s="27" t="n">
        <v>45901</v>
      </c>
      <c r="J1021" s="27" t="n"/>
      <c r="K1021" t="inlineStr">
        <is>
          <t>Boleto Bancário</t>
        </is>
      </c>
      <c r="L1021" t="inlineStr">
        <is>
          <t>Locação de Equipamentos</t>
        </is>
      </c>
      <c r="M1021" t="inlineStr">
        <is>
          <t>Locações de Equipamentos - Operacionais</t>
        </is>
      </c>
      <c r="N1021" t="inlineStr">
        <is>
          <t>03250226</t>
        </is>
      </c>
      <c r="O1021" t="inlineStr">
        <is>
          <t>Documentação Aprovada</t>
        </is>
      </c>
      <c r="P1021" t="inlineStr">
        <is>
          <t>Aprovado Diretoria</t>
        </is>
      </c>
      <c r="Q1021" t="inlineStr">
        <is>
          <t>Aprovado Caixa</t>
        </is>
      </c>
      <c r="R1021" t="inlineStr">
        <is>
          <t>Pago</t>
        </is>
      </c>
      <c r="S1021" t="n">
        <v>182</v>
      </c>
      <c r="T1021" t="inlineStr">
        <is>
          <t>Love - Shibari - Kamino</t>
        </is>
      </c>
    </row>
    <row r="1022">
      <c r="A1022" t="n">
        <v>102923</v>
      </c>
      <c r="B1022" t="n">
        <v>128</v>
      </c>
      <c r="C1022" t="inlineStr">
        <is>
          <t>Love Cabaret</t>
        </is>
      </c>
      <c r="D1022" t="inlineStr">
        <is>
          <t>PRESHH ALUGUEL DE MAQUINAS LTDA</t>
        </is>
      </c>
      <c r="E1022" t="n">
        <v>727.2</v>
      </c>
      <c r="F1022" s="27" t="n">
        <v>45910</v>
      </c>
      <c r="G1022" s="27" t="n">
        <v>45908</v>
      </c>
      <c r="H1022" s="27" t="n">
        <v>45908</v>
      </c>
      <c r="I1022" s="27" t="n">
        <v>45900</v>
      </c>
      <c r="J1022" s="27" t="n"/>
      <c r="K1022" t="inlineStr">
        <is>
          <t>Boleto Bancário</t>
        </is>
      </c>
      <c r="L1022" t="inlineStr">
        <is>
          <t>Locação de Equipamentos</t>
        </is>
      </c>
      <c r="M1022" t="inlineStr">
        <is>
          <t>Locações de Equipamentos - Operacionais</t>
        </is>
      </c>
      <c r="N1022" t="inlineStr">
        <is>
          <t>609111152</t>
        </is>
      </c>
      <c r="O1022" t="inlineStr">
        <is>
          <t>Documentação Aprovada</t>
        </is>
      </c>
      <c r="P1022" t="inlineStr">
        <is>
          <t>Aprovado Diretoria</t>
        </is>
      </c>
      <c r="Q1022" t="inlineStr">
        <is>
          <t>Aprovado Caixa</t>
        </is>
      </c>
      <c r="R1022" t="inlineStr">
        <is>
          <t>Pago</t>
        </is>
      </c>
      <c r="S1022" t="n">
        <v>182</v>
      </c>
      <c r="T1022" t="inlineStr">
        <is>
          <t>Love - Shibari - Kamino</t>
        </is>
      </c>
    </row>
    <row r="1023">
      <c r="A1023" t="n">
        <v>97355</v>
      </c>
      <c r="B1023" t="n">
        <v>128</v>
      </c>
      <c r="C1023" t="inlineStr">
        <is>
          <t>Love Cabaret</t>
        </is>
      </c>
      <c r="D1023" t="inlineStr">
        <is>
          <t>EDJANE DANTAS DE ALMEIDA SOUSA  - DESENTUPIDORA</t>
        </is>
      </c>
      <c r="E1023" t="n">
        <v>1200</v>
      </c>
      <c r="F1023" s="27" t="n">
        <v>45908</v>
      </c>
      <c r="G1023" s="27" t="n">
        <v>45908</v>
      </c>
      <c r="H1023" s="27" t="n">
        <v>45908</v>
      </c>
      <c r="I1023" s="27" t="n">
        <v>45886</v>
      </c>
      <c r="J1023" s="27" t="n"/>
      <c r="K1023" t="inlineStr">
        <is>
          <t>Transferência Bancária ou Pix</t>
        </is>
      </c>
      <c r="L1023" t="inlineStr">
        <is>
          <t>Utilidades</t>
        </is>
      </c>
      <c r="M1023" t="inlineStr">
        <is>
          <t>Serviços de Limpeza</t>
        </is>
      </c>
      <c r="N1023" t="inlineStr">
        <is>
          <t>107</t>
        </is>
      </c>
      <c r="O1023" t="inlineStr">
        <is>
          <t>Documentação Aprovada</t>
        </is>
      </c>
      <c r="P1023" t="inlineStr">
        <is>
          <t>Aprovado Diretoria</t>
        </is>
      </c>
      <c r="Q1023" t="inlineStr">
        <is>
          <t>Aprovado Caixa</t>
        </is>
      </c>
      <c r="R1023" t="inlineStr">
        <is>
          <t>Pago</t>
        </is>
      </c>
      <c r="S1023" t="n">
        <v>182</v>
      </c>
      <c r="T1023" t="inlineStr">
        <is>
          <t>Love - Shibari - Kamino</t>
        </is>
      </c>
    </row>
    <row r="1024">
      <c r="A1024" t="n">
        <v>97532</v>
      </c>
      <c r="B1024" t="n">
        <v>128</v>
      </c>
      <c r="C1024" t="inlineStr">
        <is>
          <t>Love Cabaret</t>
        </is>
      </c>
      <c r="D1024" t="inlineStr">
        <is>
          <t>ISS</t>
        </is>
      </c>
      <c r="E1024" t="n">
        <v>192.97</v>
      </c>
      <c r="F1024" s="27" t="n">
        <v>45910</v>
      </c>
      <c r="G1024" s="27" t="n">
        <v>45908</v>
      </c>
      <c r="H1024" s="27" t="n">
        <v>45908</v>
      </c>
      <c r="I1024" s="27" t="n">
        <v>45900</v>
      </c>
      <c r="J1024" s="27" t="n"/>
      <c r="K1024" t="inlineStr">
        <is>
          <t>Boleto Bancário</t>
        </is>
      </c>
      <c r="L1024" t="inlineStr">
        <is>
          <t>Utilidades</t>
        </is>
      </c>
      <c r="M1024" t="inlineStr">
        <is>
          <t>Coleta de lixo</t>
        </is>
      </c>
      <c r="N1024" t="inlineStr">
        <is>
          <t>082025</t>
        </is>
      </c>
      <c r="O1024" t="inlineStr">
        <is>
          <t>Documentação Aprovada</t>
        </is>
      </c>
      <c r="P1024" t="inlineStr">
        <is>
          <t>Aprovado Diretoria</t>
        </is>
      </c>
      <c r="Q1024" t="inlineStr">
        <is>
          <t>Aprovado Caixa</t>
        </is>
      </c>
      <c r="R1024" t="inlineStr">
        <is>
          <t>Pago</t>
        </is>
      </c>
      <c r="S1024" t="n">
        <v>182</v>
      </c>
      <c r="T1024" t="inlineStr">
        <is>
          <t>Love - Shibari - Kamino</t>
        </is>
      </c>
    </row>
    <row r="1025">
      <c r="A1025" t="n">
        <v>97330</v>
      </c>
      <c r="B1025" t="n">
        <v>128</v>
      </c>
      <c r="C1025" t="inlineStr">
        <is>
          <t>Love Cabaret</t>
        </is>
      </c>
      <c r="D1025" t="inlineStr">
        <is>
          <t>ELETROPAULO METROPOLITANA ELETRICIDADE DE SAO PAULO SA</t>
        </is>
      </c>
      <c r="E1025" t="n">
        <v>9078.91</v>
      </c>
      <c r="F1025" s="27" t="n">
        <v>45904</v>
      </c>
      <c r="G1025" s="27" t="n">
        <v>45908</v>
      </c>
      <c r="H1025" s="27" t="n">
        <v>45908</v>
      </c>
      <c r="I1025" s="27" t="n">
        <v>45884</v>
      </c>
      <c r="J1025" s="27" t="n"/>
      <c r="K1025" t="inlineStr">
        <is>
          <t>Boleto Bancário</t>
        </is>
      </c>
      <c r="L1025" t="inlineStr">
        <is>
          <t>Utilidades</t>
        </is>
      </c>
      <c r="M1025" t="inlineStr">
        <is>
          <t>Energia Eletrica</t>
        </is>
      </c>
      <c r="N1025" t="inlineStr">
        <is>
          <t>737569007</t>
        </is>
      </c>
      <c r="O1025" t="inlineStr">
        <is>
          <t>Documentação Aprovada</t>
        </is>
      </c>
      <c r="P1025" t="inlineStr">
        <is>
          <t>Aprovado Diretoria</t>
        </is>
      </c>
      <c r="Q1025" t="inlineStr">
        <is>
          <t>Aprovado Caixa</t>
        </is>
      </c>
      <c r="R1025" t="inlineStr">
        <is>
          <t>Pago</t>
        </is>
      </c>
      <c r="S1025" t="n">
        <v>182</v>
      </c>
      <c r="T1025" t="inlineStr">
        <is>
          <t>Love - Shibari - Kamino</t>
        </is>
      </c>
    </row>
    <row r="1026">
      <c r="A1026" t="n">
        <v>97381</v>
      </c>
      <c r="B1026" t="n">
        <v>128</v>
      </c>
      <c r="C1026" t="inlineStr">
        <is>
          <t>Love Cabaret</t>
        </is>
      </c>
      <c r="D1026" t="inlineStr">
        <is>
          <t>EBM ADVOGADOS - MATECKI SOCIEDADE INDIVIDUAL DE ADVOCACIA</t>
        </is>
      </c>
      <c r="E1026" t="n">
        <v>3200</v>
      </c>
      <c r="F1026" s="27" t="n">
        <v>45899</v>
      </c>
      <c r="G1026" s="27" t="n">
        <v>45908</v>
      </c>
      <c r="H1026" s="27" t="n">
        <v>45908</v>
      </c>
      <c r="I1026" s="27" t="n">
        <v>45884</v>
      </c>
      <c r="J1026" s="27" t="n"/>
      <c r="K1026" t="inlineStr">
        <is>
          <t>Transferência Bancária ou Pix</t>
        </is>
      </c>
      <c r="L1026" t="inlineStr">
        <is>
          <t>Serviços de Terceiros</t>
        </is>
      </c>
      <c r="M1026" t="inlineStr">
        <is>
          <t>Assessoria Jurídica</t>
        </is>
      </c>
      <c r="N1026" t="inlineStr">
        <is>
          <t>802025</t>
        </is>
      </c>
      <c r="O1026" t="inlineStr">
        <is>
          <t>Documentação Aprovada</t>
        </is>
      </c>
      <c r="P1026" t="inlineStr">
        <is>
          <t>Aprovado Diretoria</t>
        </is>
      </c>
      <c r="Q1026" t="inlineStr">
        <is>
          <t>Aprovado Caixa</t>
        </is>
      </c>
      <c r="R1026" t="inlineStr">
        <is>
          <t>Pago</t>
        </is>
      </c>
      <c r="S1026" t="n">
        <v>182</v>
      </c>
      <c r="T1026" t="inlineStr">
        <is>
          <t>Love - Shibari - Kamino</t>
        </is>
      </c>
    </row>
    <row r="1027">
      <c r="A1027" t="n">
        <v>106698</v>
      </c>
      <c r="B1027" t="n">
        <v>128</v>
      </c>
      <c r="C1027" t="inlineStr">
        <is>
          <t>Love Cabaret</t>
        </is>
      </c>
      <c r="D1027" t="inlineStr">
        <is>
          <t>AURORA ALVORADA ESTACIONAMENTO E LANCHONETE LTDA</t>
        </is>
      </c>
      <c r="E1027" t="n">
        <v>222.82</v>
      </c>
      <c r="F1027" s="27" t="n">
        <v>45909</v>
      </c>
      <c r="G1027" s="27" t="n">
        <v>45908</v>
      </c>
      <c r="H1027" s="27" t="n">
        <v>45908</v>
      </c>
      <c r="I1027" s="27" t="n">
        <v>45901</v>
      </c>
      <c r="J1027" s="27" t="n"/>
      <c r="K1027" t="inlineStr">
        <is>
          <t>Boleto Bancário</t>
        </is>
      </c>
      <c r="L1027" t="inlineStr">
        <is>
          <t>Custo Mercadoria Vendida</t>
        </is>
      </c>
      <c r="M1027" t="inlineStr">
        <is>
          <t>Insumos - Alimentos</t>
        </is>
      </c>
      <c r="N1027" t="inlineStr">
        <is>
          <t>10936</t>
        </is>
      </c>
      <c r="O1027" t="inlineStr">
        <is>
          <t>Documentação Aprovada</t>
        </is>
      </c>
      <c r="P1027" t="inlineStr">
        <is>
          <t>Aprovado Diretoria</t>
        </is>
      </c>
      <c r="Q1027" t="inlineStr">
        <is>
          <t>Aprovado Caixa</t>
        </is>
      </c>
      <c r="R1027" t="inlineStr">
        <is>
          <t>Pago</t>
        </is>
      </c>
      <c r="S1027" t="n">
        <v>182</v>
      </c>
      <c r="T1027" t="inlineStr">
        <is>
          <t>Love - Shibari - Kamino</t>
        </is>
      </c>
    </row>
    <row r="1028">
      <c r="A1028" t="n">
        <v>154625</v>
      </c>
      <c r="B1028" t="n">
        <v>128</v>
      </c>
      <c r="C1028" t="inlineStr">
        <is>
          <t>Love Cabaret</t>
        </is>
      </c>
      <c r="D1028" t="inlineStr">
        <is>
          <t>PROAUTO INDUSTRIA QUIMICA EIRELI</t>
        </is>
      </c>
      <c r="E1028" t="n">
        <v>545.21</v>
      </c>
      <c r="F1028" s="27" t="n">
        <v>45908</v>
      </c>
      <c r="G1028" s="27" t="n">
        <v>45908</v>
      </c>
      <c r="H1028" s="27" t="n">
        <v>45908</v>
      </c>
      <c r="I1028" s="27" t="n">
        <v>45880</v>
      </c>
      <c r="J1028" s="27" t="n">
        <v>45883</v>
      </c>
      <c r="K1028" t="inlineStr">
        <is>
          <t>Boleto Bancário</t>
        </is>
      </c>
      <c r="L1028" t="inlineStr">
        <is>
          <t>Utilidades</t>
        </is>
      </c>
      <c r="M1028" t="inlineStr">
        <is>
          <t>Higiene e Limpeza</t>
        </is>
      </c>
      <c r="N1028" t="inlineStr">
        <is>
          <t>142491</t>
        </is>
      </c>
      <c r="O1028" t="inlineStr">
        <is>
          <t>Documentação Aprovada</t>
        </is>
      </c>
      <c r="P1028" t="inlineStr">
        <is>
          <t>Aprovado Diretoria</t>
        </is>
      </c>
      <c r="Q1028" t="inlineStr">
        <is>
          <t>Aprovado Caixa</t>
        </is>
      </c>
      <c r="R1028" t="inlineStr">
        <is>
          <t>Pago</t>
        </is>
      </c>
      <c r="S1028" t="n">
        <v>182</v>
      </c>
      <c r="T1028" t="inlineStr">
        <is>
          <t>Love - Shibari - Kamino</t>
        </is>
      </c>
    </row>
    <row r="1029">
      <c r="A1029" t="n">
        <v>154629</v>
      </c>
      <c r="B1029" t="n">
        <v>128</v>
      </c>
      <c r="C1029" t="inlineStr">
        <is>
          <t>Love Cabaret</t>
        </is>
      </c>
      <c r="D1029" t="inlineStr">
        <is>
          <t>B.B DISTRIBUIDORA DE CARNES LTDA</t>
        </is>
      </c>
      <c r="E1029" t="n">
        <v>238</v>
      </c>
      <c r="F1029" s="27" t="n">
        <v>45908</v>
      </c>
      <c r="G1029" s="27" t="n">
        <v>45908</v>
      </c>
      <c r="H1029" s="27" t="n">
        <v>45908</v>
      </c>
      <c r="I1029" s="27" t="n">
        <v>45880</v>
      </c>
      <c r="J1029" s="27" t="n">
        <v>45883</v>
      </c>
      <c r="K1029" t="inlineStr">
        <is>
          <t>Boleto Bancário</t>
        </is>
      </c>
      <c r="L1029" t="inlineStr">
        <is>
          <t>Custo Mercadoria Vendida</t>
        </is>
      </c>
      <c r="M1029" t="inlineStr">
        <is>
          <t>Insumos - Alimentos</t>
        </is>
      </c>
      <c r="N1029" t="inlineStr">
        <is>
          <t>399551</t>
        </is>
      </c>
      <c r="O1029" t="inlineStr">
        <is>
          <t>Documentação Aprovada</t>
        </is>
      </c>
      <c r="P1029" t="inlineStr">
        <is>
          <t>Aprovado Diretoria</t>
        </is>
      </c>
      <c r="Q1029" t="inlineStr">
        <is>
          <t>Aprovado Caixa</t>
        </is>
      </c>
      <c r="R1029" t="inlineStr">
        <is>
          <t>Pago</t>
        </is>
      </c>
      <c r="S1029" t="n">
        <v>182</v>
      </c>
      <c r="T1029" t="inlineStr">
        <is>
          <t>Love - Shibari - Kamino</t>
        </is>
      </c>
    </row>
    <row r="1030">
      <c r="A1030" t="n">
        <v>154652</v>
      </c>
      <c r="B1030" t="n">
        <v>128</v>
      </c>
      <c r="C1030" t="inlineStr">
        <is>
          <t>Love Cabaret</t>
        </is>
      </c>
      <c r="D1030" t="inlineStr">
        <is>
          <t>EAU - DISTRIBUIDORA DE AGUA MINERAL LTDA</t>
        </is>
      </c>
      <c r="E1030" t="n">
        <v>276</v>
      </c>
      <c r="F1030" s="27" t="n">
        <v>45909</v>
      </c>
      <c r="G1030" s="27" t="n">
        <v>45908</v>
      </c>
      <c r="H1030" s="27" t="n">
        <v>45908</v>
      </c>
      <c r="I1030" s="27" t="n">
        <v>45880</v>
      </c>
      <c r="J1030" s="27" t="n">
        <v>45883</v>
      </c>
      <c r="K1030" t="inlineStr">
        <is>
          <t>Boleto Bancário</t>
        </is>
      </c>
      <c r="L1030" t="inlineStr">
        <is>
          <t>Custo Mercadoria Vendida</t>
        </is>
      </c>
      <c r="M1030" t="inlineStr">
        <is>
          <t>Insumos - Bebidas</t>
        </is>
      </c>
      <c r="N1030" t="inlineStr">
        <is>
          <t>261875</t>
        </is>
      </c>
      <c r="O1030" t="inlineStr">
        <is>
          <t>Documentação Aprovada</t>
        </is>
      </c>
      <c r="P1030" t="inlineStr">
        <is>
          <t>Aprovado Diretoria</t>
        </is>
      </c>
      <c r="Q1030" t="inlineStr">
        <is>
          <t>Aprovado Caixa</t>
        </is>
      </c>
      <c r="R1030" t="inlineStr">
        <is>
          <t>Pago</t>
        </is>
      </c>
      <c r="S1030" t="n">
        <v>182</v>
      </c>
      <c r="T1030" t="inlineStr">
        <is>
          <t>Love - Shibari - Kamino</t>
        </is>
      </c>
    </row>
    <row r="1031">
      <c r="A1031" t="n">
        <v>154523</v>
      </c>
      <c r="B1031" t="n">
        <v>128</v>
      </c>
      <c r="C1031" t="inlineStr">
        <is>
          <t>Love Cabaret</t>
        </is>
      </c>
      <c r="D1031" t="inlineStr">
        <is>
          <t>SEGUROS SURA S/A</t>
        </is>
      </c>
      <c r="E1031" t="n">
        <v>229.26</v>
      </c>
      <c r="F1031" s="27" t="n">
        <v>45910</v>
      </c>
      <c r="G1031" s="27" t="n">
        <v>45908</v>
      </c>
      <c r="H1031" s="27" t="n">
        <v>45908</v>
      </c>
      <c r="I1031" s="27" t="n">
        <v>45913</v>
      </c>
      <c r="J1031" s="27" t="n"/>
      <c r="K1031" t="inlineStr">
        <is>
          <t>Transferência Bancária ou Pix</t>
        </is>
      </c>
      <c r="L1031" t="inlineStr">
        <is>
          <t>Custo de Ocupação</t>
        </is>
      </c>
      <c r="M1031" t="inlineStr">
        <is>
          <t>Seguro Patrimonial</t>
        </is>
      </c>
      <c r="N1031" t="inlineStr">
        <is>
          <t>PARC 2/6</t>
        </is>
      </c>
      <c r="O1031" t="inlineStr">
        <is>
          <t>Documentação Aprovada</t>
        </is>
      </c>
      <c r="P1031" t="inlineStr">
        <is>
          <t>Aprovado Diretoria</t>
        </is>
      </c>
      <c r="Q1031" t="inlineStr">
        <is>
          <t>Aprovado Caixa</t>
        </is>
      </c>
      <c r="R1031" t="inlineStr">
        <is>
          <t>Pago</t>
        </is>
      </c>
      <c r="S1031" t="n">
        <v>182</v>
      </c>
      <c r="T1031" t="inlineStr">
        <is>
          <t>Love - Shibari - Kamino</t>
        </is>
      </c>
    </row>
    <row r="1032">
      <c r="A1032" t="n">
        <v>155914</v>
      </c>
      <c r="B1032" t="n">
        <v>128</v>
      </c>
      <c r="C1032" t="inlineStr">
        <is>
          <t>Love Cabaret</t>
        </is>
      </c>
      <c r="D1032" t="inlineStr">
        <is>
          <t>FG7 COMERCIO E DISTRIBUICAO DE BEBIDAS LTDA</t>
        </is>
      </c>
      <c r="E1032" t="n">
        <v>874.8</v>
      </c>
      <c r="F1032" s="27" t="n">
        <v>45909</v>
      </c>
      <c r="G1032" s="27" t="n">
        <v>45908</v>
      </c>
      <c r="H1032" s="27" t="n">
        <v>45908</v>
      </c>
      <c r="I1032" s="27" t="n">
        <v>45887</v>
      </c>
      <c r="J1032" s="27" t="n">
        <v>45889</v>
      </c>
      <c r="K1032" t="inlineStr">
        <is>
          <t>Boleto Bancário</t>
        </is>
      </c>
      <c r="L1032" t="inlineStr">
        <is>
          <t>Custo Mercadoria Vendida</t>
        </is>
      </c>
      <c r="M1032" t="inlineStr">
        <is>
          <t>Insumos - Bebidas</t>
        </is>
      </c>
      <c r="N1032" t="inlineStr">
        <is>
          <t>657476</t>
        </is>
      </c>
      <c r="O1032" t="inlineStr">
        <is>
          <t>Documentação Aprovada</t>
        </is>
      </c>
      <c r="P1032" t="inlineStr">
        <is>
          <t>Aprovado Diretoria</t>
        </is>
      </c>
      <c r="Q1032" t="inlineStr">
        <is>
          <t>Aprovado Caixa</t>
        </is>
      </c>
      <c r="R1032" t="inlineStr">
        <is>
          <t>Pago</t>
        </is>
      </c>
      <c r="S1032" t="n">
        <v>182</v>
      </c>
      <c r="T1032" t="inlineStr">
        <is>
          <t>Love - Shibari - Kamino</t>
        </is>
      </c>
    </row>
    <row r="1033">
      <c r="A1033" t="n">
        <v>155913</v>
      </c>
      <c r="B1033" t="n">
        <v>128</v>
      </c>
      <c r="C1033" t="inlineStr">
        <is>
          <t>Love Cabaret</t>
        </is>
      </c>
      <c r="D1033" t="inlineStr">
        <is>
          <t>CEPEL COMERCIO DE PAPEIS E EMBALAGENS EIRELI</t>
        </is>
      </c>
      <c r="E1033" t="n">
        <v>659</v>
      </c>
      <c r="F1033" s="27" t="n">
        <v>45908</v>
      </c>
      <c r="G1033" s="27" t="n">
        <v>45908</v>
      </c>
      <c r="H1033" s="27" t="n">
        <v>45908</v>
      </c>
      <c r="I1033" s="27" t="n">
        <v>45887</v>
      </c>
      <c r="J1033" s="27" t="n">
        <v>45889</v>
      </c>
      <c r="K1033" t="inlineStr">
        <is>
          <t>Boleto Bancário</t>
        </is>
      </c>
      <c r="L1033" t="inlineStr">
        <is>
          <t>Utilidades</t>
        </is>
      </c>
      <c r="M1033" t="inlineStr">
        <is>
          <t>Higiene e Limpeza</t>
        </is>
      </c>
      <c r="N1033" t="inlineStr">
        <is>
          <t>246722</t>
        </is>
      </c>
      <c r="O1033" t="inlineStr">
        <is>
          <t>Documentação Aprovada</t>
        </is>
      </c>
      <c r="P1033" t="inlineStr">
        <is>
          <t>Aprovado Diretoria</t>
        </is>
      </c>
      <c r="Q1033" t="inlineStr">
        <is>
          <t>Aprovado Caixa</t>
        </is>
      </c>
      <c r="R1033" t="inlineStr">
        <is>
          <t>Pago</t>
        </is>
      </c>
      <c r="S1033" t="n">
        <v>182</v>
      </c>
      <c r="T1033" t="inlineStr">
        <is>
          <t>Love - Shibari - Kamino</t>
        </is>
      </c>
    </row>
    <row r="1034">
      <c r="A1034" t="n">
        <v>155900</v>
      </c>
      <c r="B1034" t="n">
        <v>128</v>
      </c>
      <c r="C1034" t="inlineStr">
        <is>
          <t>Love Cabaret</t>
        </is>
      </c>
      <c r="D1034" t="inlineStr">
        <is>
          <t>HORTIFRUTIGRANJEIRO RODRIGUES LTDA</t>
        </is>
      </c>
      <c r="E1034" t="n">
        <v>329.5</v>
      </c>
      <c r="F1034" s="27" t="n">
        <v>45909</v>
      </c>
      <c r="G1034" s="27" t="n">
        <v>45908</v>
      </c>
      <c r="H1034" s="27" t="n">
        <v>45908</v>
      </c>
      <c r="I1034" s="27" t="n">
        <v>45887</v>
      </c>
      <c r="J1034" s="27" t="n">
        <v>45889</v>
      </c>
      <c r="K1034" t="inlineStr">
        <is>
          <t>Boleto Bancário</t>
        </is>
      </c>
      <c r="L1034" t="inlineStr">
        <is>
          <t>Custo Mercadoria Vendida</t>
        </is>
      </c>
      <c r="M1034" t="inlineStr">
        <is>
          <t>Insumos - Alimentos</t>
        </is>
      </c>
      <c r="N1034" t="inlineStr">
        <is>
          <t>12260</t>
        </is>
      </c>
      <c r="O1034" t="inlineStr">
        <is>
          <t>Documentação Aprovada</t>
        </is>
      </c>
      <c r="P1034" t="inlineStr">
        <is>
          <t>Aprovado Diretoria</t>
        </is>
      </c>
      <c r="Q1034" t="inlineStr">
        <is>
          <t>Aprovado Caixa</t>
        </is>
      </c>
      <c r="R1034" t="inlineStr">
        <is>
          <t>Pago</t>
        </is>
      </c>
      <c r="S1034" t="n">
        <v>182</v>
      </c>
      <c r="T1034" t="inlineStr">
        <is>
          <t>Love - Shibari - Kamino</t>
        </is>
      </c>
    </row>
    <row r="1035">
      <c r="A1035" t="n">
        <v>155886</v>
      </c>
      <c r="B1035" t="n">
        <v>128</v>
      </c>
      <c r="C1035" t="inlineStr">
        <is>
          <t>Love Cabaret</t>
        </is>
      </c>
      <c r="D1035" t="inlineStr">
        <is>
          <t>WIDE STOCK COMERCIO E DISTRIBUICAO LTDA</t>
        </is>
      </c>
      <c r="E1035" t="n">
        <v>583.4</v>
      </c>
      <c r="F1035" s="27" t="n">
        <v>45908</v>
      </c>
      <c r="G1035" s="27" t="n">
        <v>45908</v>
      </c>
      <c r="H1035" s="27" t="n">
        <v>45908</v>
      </c>
      <c r="I1035" s="27" t="n">
        <v>45887</v>
      </c>
      <c r="J1035" s="27" t="n">
        <v>45889</v>
      </c>
      <c r="K1035" t="inlineStr">
        <is>
          <t>Boleto Bancário</t>
        </is>
      </c>
      <c r="L1035" t="inlineStr">
        <is>
          <t>Utilidades</t>
        </is>
      </c>
      <c r="M1035" t="inlineStr">
        <is>
          <t>Higiene e Limpeza</t>
        </is>
      </c>
      <c r="N1035" t="inlineStr">
        <is>
          <t>411582</t>
        </is>
      </c>
      <c r="O1035" t="inlineStr">
        <is>
          <t>Documentação Aprovada</t>
        </is>
      </c>
      <c r="P1035" t="inlineStr">
        <is>
          <t>Aprovado Diretoria</t>
        </is>
      </c>
      <c r="Q1035" t="inlineStr">
        <is>
          <t>Aprovado Caixa</t>
        </is>
      </c>
      <c r="R1035" t="inlineStr">
        <is>
          <t>Pago</t>
        </is>
      </c>
      <c r="S1035" t="n">
        <v>182</v>
      </c>
      <c r="T1035" t="inlineStr">
        <is>
          <t>Love - Shibari - Kamino</t>
        </is>
      </c>
    </row>
    <row r="1036">
      <c r="A1036" t="n">
        <v>154768</v>
      </c>
      <c r="B1036" t="n">
        <v>128</v>
      </c>
      <c r="C1036" t="inlineStr">
        <is>
          <t>Love Cabaret</t>
        </is>
      </c>
      <c r="D1036" t="inlineStr">
        <is>
          <t>MURILLO S DUARTE COMERCIAL LTDA</t>
        </is>
      </c>
      <c r="E1036" t="n">
        <v>398.8</v>
      </c>
      <c r="F1036" s="27" t="n">
        <v>45908</v>
      </c>
      <c r="G1036" s="27" t="n">
        <v>45908</v>
      </c>
      <c r="H1036" s="27" t="n">
        <v>45908</v>
      </c>
      <c r="I1036" s="27" t="n">
        <v>45880</v>
      </c>
      <c r="J1036" s="27" t="n">
        <v>45883</v>
      </c>
      <c r="K1036" t="inlineStr">
        <is>
          <t>Boleto Bancário</t>
        </is>
      </c>
      <c r="L1036" t="inlineStr">
        <is>
          <t>Utilidades</t>
        </is>
      </c>
      <c r="M1036" t="inlineStr">
        <is>
          <t>Higiene e Limpeza</t>
        </is>
      </c>
      <c r="N1036" t="inlineStr">
        <is>
          <t>1938</t>
        </is>
      </c>
      <c r="O1036" t="inlineStr">
        <is>
          <t>Documentação Aprovada</t>
        </is>
      </c>
      <c r="P1036" t="inlineStr">
        <is>
          <t>Aprovado Diretoria</t>
        </is>
      </c>
      <c r="Q1036" t="inlineStr">
        <is>
          <t>Aprovado Caixa</t>
        </is>
      </c>
      <c r="R1036" t="inlineStr">
        <is>
          <t>Pago</t>
        </is>
      </c>
      <c r="S1036" t="n">
        <v>182</v>
      </c>
      <c r="T1036" t="inlineStr">
        <is>
          <t>Love - Shibari - Kamino</t>
        </is>
      </c>
    </row>
    <row r="1037">
      <c r="A1037" t="n">
        <v>154764</v>
      </c>
      <c r="B1037" t="n">
        <v>128</v>
      </c>
      <c r="C1037" t="inlineStr">
        <is>
          <t>Love Cabaret</t>
        </is>
      </c>
      <c r="D1037" t="inlineStr">
        <is>
          <t>MURILLO S DUARTE COMERCIAL LTDA</t>
        </is>
      </c>
      <c r="E1037" t="n">
        <v>649.5700000000001</v>
      </c>
      <c r="F1037" s="27" t="n">
        <v>45908</v>
      </c>
      <c r="G1037" s="27" t="n">
        <v>45908</v>
      </c>
      <c r="H1037" s="27" t="n">
        <v>45908</v>
      </c>
      <c r="I1037" s="27" t="n">
        <v>45882</v>
      </c>
      <c r="J1037" s="27" t="n">
        <v>45883</v>
      </c>
      <c r="K1037" t="inlineStr">
        <is>
          <t>Boleto Bancário</t>
        </is>
      </c>
      <c r="L1037" t="inlineStr">
        <is>
          <t>Custo Mercadoria Vendida</t>
        </is>
      </c>
      <c r="M1037" t="inlineStr">
        <is>
          <t>Insumos - Alimentos</t>
        </is>
      </c>
      <c r="N1037" t="inlineStr">
        <is>
          <t>1937</t>
        </is>
      </c>
      <c r="O1037" t="inlineStr">
        <is>
          <t>Documentação Aprovada</t>
        </is>
      </c>
      <c r="P1037" t="inlineStr">
        <is>
          <t>Aprovado Diretoria</t>
        </is>
      </c>
      <c r="Q1037" t="inlineStr">
        <is>
          <t>Aprovado Caixa</t>
        </is>
      </c>
      <c r="R1037" t="inlineStr">
        <is>
          <t>Pago</t>
        </is>
      </c>
      <c r="S1037" t="n">
        <v>182</v>
      </c>
      <c r="T1037" t="inlineStr">
        <is>
          <t>Love - Shibari - Kamino</t>
        </is>
      </c>
    </row>
    <row r="1038">
      <c r="A1038" t="n">
        <v>153420</v>
      </c>
      <c r="B1038" t="n">
        <v>128</v>
      </c>
      <c r="C1038" t="inlineStr">
        <is>
          <t>Love Cabaret</t>
        </is>
      </c>
      <c r="D1038" t="inlineStr">
        <is>
          <t>PJ 00502024 THIAGO PINHEIRO DA SILVA</t>
        </is>
      </c>
      <c r="E1038" t="n">
        <v>1125</v>
      </c>
      <c r="F1038" s="27" t="n">
        <v>45910</v>
      </c>
      <c r="G1038" s="27" t="n">
        <v>45908</v>
      </c>
      <c r="H1038" s="27" t="n">
        <v>45908</v>
      </c>
      <c r="I1038" s="27" t="n">
        <v>45870</v>
      </c>
      <c r="J1038" s="27" t="n">
        <v>45876</v>
      </c>
      <c r="K1038" t="inlineStr">
        <is>
          <t>Transferência Bancária ou Pix</t>
        </is>
      </c>
      <c r="L1038" t="inlineStr">
        <is>
          <t>Mão de Obra - PJ</t>
        </is>
      </c>
      <c r="M1038" t="inlineStr">
        <is>
          <t>MDO PJ Fixo</t>
        </is>
      </c>
      <c r="N1038" t="inlineStr">
        <is>
          <t>60</t>
        </is>
      </c>
      <c r="O1038" t="inlineStr">
        <is>
          <t>Documentação Aprovada</t>
        </is>
      </c>
      <c r="P1038" t="inlineStr">
        <is>
          <t>Aprovado Diretoria</t>
        </is>
      </c>
      <c r="Q1038" t="inlineStr">
        <is>
          <t>Aprovado Caixa</t>
        </is>
      </c>
      <c r="R1038" t="inlineStr">
        <is>
          <t>Pago</t>
        </is>
      </c>
      <c r="S1038" t="n">
        <v>182</v>
      </c>
      <c r="T1038" t="inlineStr">
        <is>
          <t>Love - Shibari - Kamino</t>
        </is>
      </c>
    </row>
    <row r="1039">
      <c r="A1039" t="n">
        <v>153421</v>
      </c>
      <c r="B1039" t="n">
        <v>128</v>
      </c>
      <c r="C1039" t="inlineStr">
        <is>
          <t>Love Cabaret</t>
        </is>
      </c>
      <c r="D1039" t="inlineStr">
        <is>
          <t>PJ 00092021 - VANESSA FERREIRA DEL SANTO</t>
        </is>
      </c>
      <c r="E1039" t="n">
        <v>3000</v>
      </c>
      <c r="F1039" s="27" t="n">
        <v>45910</v>
      </c>
      <c r="G1039" s="27" t="n">
        <v>45908</v>
      </c>
      <c r="H1039" s="27" t="n">
        <v>45908</v>
      </c>
      <c r="I1039" s="27" t="n">
        <v>45870</v>
      </c>
      <c r="J1039" s="27" t="n">
        <v>45876</v>
      </c>
      <c r="K1039" t="inlineStr">
        <is>
          <t>Transferência Bancária ou Pix</t>
        </is>
      </c>
      <c r="L1039" t="inlineStr">
        <is>
          <t>Mão de Obra - PJ</t>
        </is>
      </c>
      <c r="M1039" t="inlineStr">
        <is>
          <t>MDO PJ Fixo</t>
        </is>
      </c>
      <c r="N1039" t="inlineStr">
        <is>
          <t>281</t>
        </is>
      </c>
      <c r="O1039" t="inlineStr">
        <is>
          <t>Documentação Aprovada</t>
        </is>
      </c>
      <c r="P1039" t="inlineStr">
        <is>
          <t>Aprovado Diretoria</t>
        </is>
      </c>
      <c r="Q1039" t="inlineStr">
        <is>
          <t>Aprovado Caixa</t>
        </is>
      </c>
      <c r="R1039" t="inlineStr">
        <is>
          <t>Pago</t>
        </is>
      </c>
      <c r="S1039" t="n">
        <v>182</v>
      </c>
      <c r="T1039" t="inlineStr">
        <is>
          <t>Love - Shibari - Kamino</t>
        </is>
      </c>
    </row>
    <row r="1040">
      <c r="A1040" t="n">
        <v>153418</v>
      </c>
      <c r="B1040" t="n">
        <v>128</v>
      </c>
      <c r="C1040" t="inlineStr">
        <is>
          <t>Love Cabaret</t>
        </is>
      </c>
      <c r="D1040" t="inlineStr">
        <is>
          <t>TAMARA SANTOS RIBEIRO</t>
        </is>
      </c>
      <c r="E1040" t="n">
        <v>3500</v>
      </c>
      <c r="F1040" s="27" t="n">
        <v>45910</v>
      </c>
      <c r="G1040" s="27" t="n">
        <v>45908</v>
      </c>
      <c r="H1040" s="27" t="n">
        <v>45908</v>
      </c>
      <c r="I1040" s="27" t="n">
        <v>45870</v>
      </c>
      <c r="J1040" s="27" t="n">
        <v>45876</v>
      </c>
      <c r="K1040" t="inlineStr">
        <is>
          <t>Transferência Bancária ou Pix</t>
        </is>
      </c>
      <c r="L1040" t="inlineStr">
        <is>
          <t>Mão de Obra - PJ</t>
        </is>
      </c>
      <c r="M1040" t="inlineStr">
        <is>
          <t>MDO PJ Fixo</t>
        </is>
      </c>
      <c r="N1040" t="inlineStr">
        <is>
          <t>26</t>
        </is>
      </c>
      <c r="O1040" t="inlineStr">
        <is>
          <t>Documentação Aprovada</t>
        </is>
      </c>
      <c r="P1040" t="inlineStr">
        <is>
          <t>Aprovado Diretoria</t>
        </is>
      </c>
      <c r="Q1040" t="inlineStr">
        <is>
          <t>Aprovado Caixa</t>
        </is>
      </c>
      <c r="R1040" t="inlineStr">
        <is>
          <t>Pago</t>
        </is>
      </c>
      <c r="S1040" t="n">
        <v>182</v>
      </c>
      <c r="T1040" t="inlineStr">
        <is>
          <t>Love - Shibari - Kamino</t>
        </is>
      </c>
    </row>
    <row r="1041">
      <c r="A1041" t="n">
        <v>153411</v>
      </c>
      <c r="B1041" t="n">
        <v>128</v>
      </c>
      <c r="C1041" t="inlineStr">
        <is>
          <t>Love Cabaret</t>
        </is>
      </c>
      <c r="D1041" t="inlineStr">
        <is>
          <t>PJ 00352023 - JESSICA IZABEL DE SOUZA</t>
        </is>
      </c>
      <c r="E1041" t="n">
        <v>1250</v>
      </c>
      <c r="F1041" s="27" t="n">
        <v>45910</v>
      </c>
      <c r="G1041" s="27" t="n">
        <v>45908</v>
      </c>
      <c r="H1041" s="27" t="n">
        <v>45908</v>
      </c>
      <c r="I1041" s="27" t="n">
        <v>45870</v>
      </c>
      <c r="J1041" s="27" t="n">
        <v>45876</v>
      </c>
      <c r="K1041" t="inlineStr">
        <is>
          <t>Transferência Bancária ou Pix</t>
        </is>
      </c>
      <c r="L1041" t="inlineStr">
        <is>
          <t>Mão de Obra - PJ</t>
        </is>
      </c>
      <c r="M1041" t="inlineStr">
        <is>
          <t>MDO PJ Fixo</t>
        </is>
      </c>
      <c r="N1041" t="inlineStr">
        <is>
          <t>88</t>
        </is>
      </c>
      <c r="O1041" t="inlineStr">
        <is>
          <t>Documentação Aprovada</t>
        </is>
      </c>
      <c r="P1041" t="inlineStr">
        <is>
          <t>Aprovado Diretoria</t>
        </is>
      </c>
      <c r="Q1041" t="inlineStr">
        <is>
          <t>Aprovado Caixa</t>
        </is>
      </c>
      <c r="R1041" t="inlineStr">
        <is>
          <t>Pago</t>
        </is>
      </c>
      <c r="S1041" t="n">
        <v>182</v>
      </c>
      <c r="T1041" t="inlineStr">
        <is>
          <t>Love - Shibari - Kamino</t>
        </is>
      </c>
    </row>
    <row r="1042">
      <c r="A1042" t="n">
        <v>153413</v>
      </c>
      <c r="B1042" t="n">
        <v>128</v>
      </c>
      <c r="C1042" t="inlineStr">
        <is>
          <t>Love Cabaret</t>
        </is>
      </c>
      <c r="D1042" t="inlineStr">
        <is>
          <t xml:space="preserve">PJ 00452023 LAISA ROCHA LARANGEIRA </t>
        </is>
      </c>
      <c r="E1042" t="n">
        <v>1600</v>
      </c>
      <c r="F1042" s="27" t="n">
        <v>45910</v>
      </c>
      <c r="G1042" s="27" t="n">
        <v>45908</v>
      </c>
      <c r="H1042" s="27" t="n">
        <v>45908</v>
      </c>
      <c r="I1042" s="27" t="n">
        <v>45870</v>
      </c>
      <c r="J1042" s="27" t="n">
        <v>45876</v>
      </c>
      <c r="K1042" t="inlineStr">
        <is>
          <t>Transferência Bancária ou Pix</t>
        </is>
      </c>
      <c r="L1042" t="inlineStr">
        <is>
          <t>Mão de Obra - PJ</t>
        </is>
      </c>
      <c r="M1042" t="inlineStr">
        <is>
          <t>MDO PJ Fixo</t>
        </is>
      </c>
      <c r="N1042" t="inlineStr">
        <is>
          <t>82</t>
        </is>
      </c>
      <c r="O1042" t="inlineStr">
        <is>
          <t>Documentação Aprovada</t>
        </is>
      </c>
      <c r="P1042" t="inlineStr">
        <is>
          <t>Aprovado Diretoria</t>
        </is>
      </c>
      <c r="Q1042" t="inlineStr">
        <is>
          <t>Aprovado Caixa</t>
        </is>
      </c>
      <c r="R1042" t="inlineStr">
        <is>
          <t>Pago</t>
        </is>
      </c>
      <c r="S1042" t="n">
        <v>182</v>
      </c>
      <c r="T1042" t="inlineStr">
        <is>
          <t>Love - Shibari - Kamino</t>
        </is>
      </c>
    </row>
    <row r="1043">
      <c r="A1043" t="n">
        <v>153412</v>
      </c>
      <c r="B1043" t="n">
        <v>128</v>
      </c>
      <c r="C1043" t="inlineStr">
        <is>
          <t>Love Cabaret</t>
        </is>
      </c>
      <c r="D1043" t="inlineStr">
        <is>
          <t>JULIA BAISCH FRANZ 02463978023</t>
        </is>
      </c>
      <c r="E1043" t="n">
        <v>8500</v>
      </c>
      <c r="F1043" s="27" t="n">
        <v>45910</v>
      </c>
      <c r="G1043" s="27" t="n">
        <v>45908</v>
      </c>
      <c r="H1043" s="27" t="n">
        <v>45908</v>
      </c>
      <c r="I1043" s="27" t="n">
        <v>45870</v>
      </c>
      <c r="J1043" s="27" t="n">
        <v>45876</v>
      </c>
      <c r="K1043" t="inlineStr">
        <is>
          <t>Transferência Bancária ou Pix</t>
        </is>
      </c>
      <c r="L1043" t="inlineStr">
        <is>
          <t>Custos Artístico Geral</t>
        </is>
      </c>
      <c r="M1043" t="inlineStr">
        <is>
          <t>Técnico de Som / Luz</t>
        </is>
      </c>
      <c r="N1043" t="inlineStr">
        <is>
          <t>15</t>
        </is>
      </c>
      <c r="O1043" t="inlineStr">
        <is>
          <t>Documentação Aprovada</t>
        </is>
      </c>
      <c r="P1043" t="inlineStr">
        <is>
          <t>Aprovado Diretoria</t>
        </is>
      </c>
      <c r="Q1043" t="inlineStr">
        <is>
          <t>Aprovado Caixa</t>
        </is>
      </c>
      <c r="R1043" t="inlineStr">
        <is>
          <t>Pago</t>
        </is>
      </c>
      <c r="S1043" t="n">
        <v>182</v>
      </c>
      <c r="T1043" t="inlineStr">
        <is>
          <t>Love - Shibari - Kamino</t>
        </is>
      </c>
    </row>
    <row r="1044">
      <c r="A1044" t="n">
        <v>153398</v>
      </c>
      <c r="B1044" t="n">
        <v>128</v>
      </c>
      <c r="C1044" t="inlineStr">
        <is>
          <t>Love Cabaret</t>
        </is>
      </c>
      <c r="D1044" t="inlineStr">
        <is>
          <t xml:space="preserve">DOUGLAS FELIPE DOMINGUES GONCALVES </t>
        </is>
      </c>
      <c r="E1044" t="n">
        <v>4100</v>
      </c>
      <c r="F1044" s="27" t="n">
        <v>45910</v>
      </c>
      <c r="G1044" s="27" t="n">
        <v>45908</v>
      </c>
      <c r="H1044" s="27" t="n">
        <v>45908</v>
      </c>
      <c r="I1044" s="27" t="n">
        <v>45870</v>
      </c>
      <c r="J1044" s="27" t="n">
        <v>45876</v>
      </c>
      <c r="K1044" t="inlineStr">
        <is>
          <t>Transferência Bancária ou Pix</t>
        </is>
      </c>
      <c r="L1044" t="inlineStr">
        <is>
          <t>Custos Artístico Geral</t>
        </is>
      </c>
      <c r="M1044" t="inlineStr">
        <is>
          <t>Técnico de Som / Luz</t>
        </is>
      </c>
      <c r="N1044" t="inlineStr">
        <is>
          <t>48</t>
        </is>
      </c>
      <c r="O1044" t="inlineStr">
        <is>
          <t>Documentação Aprovada</t>
        </is>
      </c>
      <c r="P1044" t="inlineStr">
        <is>
          <t>Aprovado Diretoria</t>
        </is>
      </c>
      <c r="Q1044" t="inlineStr">
        <is>
          <t>Aprovado Caixa</t>
        </is>
      </c>
      <c r="R1044" t="inlineStr">
        <is>
          <t>Pago</t>
        </is>
      </c>
      <c r="S1044" t="n">
        <v>182</v>
      </c>
      <c r="T1044" t="inlineStr">
        <is>
          <t>Love - Shibari - Kamino</t>
        </is>
      </c>
    </row>
    <row r="1045">
      <c r="A1045" t="n">
        <v>153397</v>
      </c>
      <c r="B1045" t="n">
        <v>128</v>
      </c>
      <c r="C1045" t="inlineStr">
        <is>
          <t>Love Cabaret</t>
        </is>
      </c>
      <c r="D1045" t="inlineStr">
        <is>
          <t>ANDRE RODRIGUES AZEVEDO</t>
        </is>
      </c>
      <c r="E1045" t="n">
        <v>7420</v>
      </c>
      <c r="F1045" s="27" t="n">
        <v>45910</v>
      </c>
      <c r="G1045" s="27" t="n">
        <v>45908</v>
      </c>
      <c r="H1045" s="27" t="n">
        <v>45908</v>
      </c>
      <c r="I1045" s="27" t="n">
        <v>45870</v>
      </c>
      <c r="J1045" s="27" t="n">
        <v>45876</v>
      </c>
      <c r="K1045" t="inlineStr">
        <is>
          <t>Transferência Bancária ou Pix</t>
        </is>
      </c>
      <c r="L1045" t="inlineStr">
        <is>
          <t>Custos Artístico Geral</t>
        </is>
      </c>
      <c r="M1045" t="inlineStr">
        <is>
          <t>Técnico de Som / Luz</t>
        </is>
      </c>
      <c r="N1045" t="inlineStr">
        <is>
          <t>62</t>
        </is>
      </c>
      <c r="O1045" t="inlineStr">
        <is>
          <t>Documentação Aprovada</t>
        </is>
      </c>
      <c r="P1045" t="inlineStr">
        <is>
          <t>Aprovado Diretoria</t>
        </is>
      </c>
      <c r="Q1045" t="inlineStr">
        <is>
          <t>Aprovado Caixa</t>
        </is>
      </c>
      <c r="R1045" t="inlineStr">
        <is>
          <t>Pago</t>
        </is>
      </c>
      <c r="S1045" t="n">
        <v>182</v>
      </c>
      <c r="T1045" t="inlineStr">
        <is>
          <t>Love - Shibari - Kamino</t>
        </is>
      </c>
    </row>
    <row r="1046">
      <c r="A1046" t="n">
        <v>153396</v>
      </c>
      <c r="B1046" t="n">
        <v>128</v>
      </c>
      <c r="C1046" t="inlineStr">
        <is>
          <t>Love Cabaret</t>
        </is>
      </c>
      <c r="D1046" t="inlineStr">
        <is>
          <t xml:space="preserve">AGNES RODRIGUES DE OLIVEIRA </t>
        </is>
      </c>
      <c r="E1046" t="n">
        <v>5000</v>
      </c>
      <c r="F1046" s="27" t="n">
        <v>45910</v>
      </c>
      <c r="G1046" s="27" t="n">
        <v>45908</v>
      </c>
      <c r="H1046" s="27" t="n">
        <v>45908</v>
      </c>
      <c r="I1046" s="27" t="n">
        <v>45870</v>
      </c>
      <c r="J1046" s="27" t="n">
        <v>45876</v>
      </c>
      <c r="K1046" t="inlineStr">
        <is>
          <t>Transferência Bancária ou Pix</t>
        </is>
      </c>
      <c r="L1046" t="inlineStr">
        <is>
          <t>Custos Artístico Geral</t>
        </is>
      </c>
      <c r="M1046" t="inlineStr">
        <is>
          <t>Técnico de Som / Luz</t>
        </is>
      </c>
      <c r="N1046" t="inlineStr">
        <is>
          <t>36</t>
        </is>
      </c>
      <c r="O1046" t="inlineStr">
        <is>
          <t>Documentação Aprovada</t>
        </is>
      </c>
      <c r="P1046" t="inlineStr">
        <is>
          <t>Aprovado Diretoria</t>
        </is>
      </c>
      <c r="Q1046" t="inlineStr">
        <is>
          <t>Aprovado Caixa</t>
        </is>
      </c>
      <c r="R1046" t="inlineStr">
        <is>
          <t>Pago</t>
        </is>
      </c>
      <c r="S1046" t="n">
        <v>182</v>
      </c>
      <c r="T1046" t="inlineStr">
        <is>
          <t>Love - Shibari - Kamino</t>
        </is>
      </c>
    </row>
    <row r="1047">
      <c r="A1047" t="n">
        <v>153402</v>
      </c>
      <c r="B1047" t="n">
        <v>128</v>
      </c>
      <c r="C1047" t="inlineStr">
        <is>
          <t>Love Cabaret</t>
        </is>
      </c>
      <c r="D1047" t="inlineStr">
        <is>
          <t>PJ 00492024 - ISABELLA FERNANDES GOMES</t>
        </is>
      </c>
      <c r="E1047" t="n">
        <v>1200</v>
      </c>
      <c r="F1047" s="27" t="n">
        <v>45910</v>
      </c>
      <c r="G1047" s="27" t="n">
        <v>45908</v>
      </c>
      <c r="H1047" s="27" t="n">
        <v>45908</v>
      </c>
      <c r="I1047" s="27" t="n">
        <v>45870</v>
      </c>
      <c r="J1047" s="27" t="n">
        <v>45876</v>
      </c>
      <c r="K1047" t="inlineStr">
        <is>
          <t>Transferência Bancária ou Pix</t>
        </is>
      </c>
      <c r="L1047" t="inlineStr">
        <is>
          <t>Mão de Obra - PJ</t>
        </is>
      </c>
      <c r="M1047" t="inlineStr">
        <is>
          <t>MDO PJ Fixo</t>
        </is>
      </c>
      <c r="N1047" t="inlineStr">
        <is>
          <t>58</t>
        </is>
      </c>
      <c r="O1047" t="inlineStr">
        <is>
          <t>Documentação Aprovada</t>
        </is>
      </c>
      <c r="P1047" t="inlineStr">
        <is>
          <t>Aprovado Diretoria</t>
        </is>
      </c>
      <c r="Q1047" t="inlineStr">
        <is>
          <t>Aprovado Caixa</t>
        </is>
      </c>
      <c r="R1047" t="inlineStr">
        <is>
          <t>Pago</t>
        </is>
      </c>
      <c r="S1047" t="n">
        <v>182</v>
      </c>
      <c r="T1047" t="inlineStr">
        <is>
          <t>Love - Shibari - Kamino</t>
        </is>
      </c>
    </row>
    <row r="1048">
      <c r="A1048" t="n">
        <v>153415</v>
      </c>
      <c r="B1048" t="n">
        <v>128</v>
      </c>
      <c r="C1048" t="inlineStr">
        <is>
          <t>Love Cabaret</t>
        </is>
      </c>
      <c r="D1048" t="inlineStr">
        <is>
          <t>MARIA EDUARDA RAMOS DE SOUSA</t>
        </is>
      </c>
      <c r="E1048" t="n">
        <v>1600</v>
      </c>
      <c r="F1048" s="27" t="n">
        <v>45910</v>
      </c>
      <c r="G1048" s="27" t="n">
        <v>45908</v>
      </c>
      <c r="H1048" s="27" t="n">
        <v>45908</v>
      </c>
      <c r="I1048" s="27" t="n">
        <v>45870</v>
      </c>
      <c r="J1048" s="27" t="n">
        <v>45876</v>
      </c>
      <c r="K1048" t="inlineStr">
        <is>
          <t>Transferência Bancária ou Pix</t>
        </is>
      </c>
      <c r="L1048" t="inlineStr">
        <is>
          <t>Mão de Obra - PJ</t>
        </is>
      </c>
      <c r="M1048" t="inlineStr">
        <is>
          <t>MDO PJ Fixo</t>
        </is>
      </c>
      <c r="N1048" t="inlineStr">
        <is>
          <t>55</t>
        </is>
      </c>
      <c r="O1048" t="inlineStr">
        <is>
          <t>Documentação Aprovada</t>
        </is>
      </c>
      <c r="P1048" t="inlineStr">
        <is>
          <t>Aprovado Diretoria</t>
        </is>
      </c>
      <c r="Q1048" t="inlineStr">
        <is>
          <t>Aprovado Caixa</t>
        </is>
      </c>
      <c r="R1048" t="inlineStr">
        <is>
          <t>Pago</t>
        </is>
      </c>
      <c r="S1048" t="n">
        <v>182</v>
      </c>
      <c r="T1048" t="inlineStr">
        <is>
          <t>Love - Shibari - Kamino</t>
        </is>
      </c>
    </row>
    <row r="1049">
      <c r="A1049" t="n">
        <v>153401</v>
      </c>
      <c r="B1049" t="n">
        <v>128</v>
      </c>
      <c r="C1049" t="inlineStr">
        <is>
          <t>Love Cabaret</t>
        </is>
      </c>
      <c r="D1049" t="inlineStr">
        <is>
          <t>PUXURI CONSULTORIA LTDA</t>
        </is>
      </c>
      <c r="E1049" t="n">
        <v>4000</v>
      </c>
      <c r="F1049" s="27" t="n">
        <v>45910</v>
      </c>
      <c r="G1049" s="27" t="n">
        <v>45908</v>
      </c>
      <c r="H1049" s="27" t="n">
        <v>45908</v>
      </c>
      <c r="I1049" s="27" t="n">
        <v>45870</v>
      </c>
      <c r="J1049" s="27" t="n">
        <v>45876</v>
      </c>
      <c r="K1049" t="inlineStr">
        <is>
          <t>Transferência Bancária ou Pix</t>
        </is>
      </c>
      <c r="L1049" t="inlineStr">
        <is>
          <t>Mão de Obra - PJ</t>
        </is>
      </c>
      <c r="M1049" t="inlineStr">
        <is>
          <t>MDO PJ Fixo</t>
        </is>
      </c>
      <c r="N1049" t="inlineStr">
        <is>
          <t>119</t>
        </is>
      </c>
      <c r="O1049" t="inlineStr">
        <is>
          <t>Documentação Aprovada</t>
        </is>
      </c>
      <c r="P1049" t="inlineStr">
        <is>
          <t>Aprovado Diretoria</t>
        </is>
      </c>
      <c r="Q1049" t="inlineStr">
        <is>
          <t>Aprovado Caixa</t>
        </is>
      </c>
      <c r="R1049" t="inlineStr">
        <is>
          <t>Pago</t>
        </is>
      </c>
      <c r="S1049" t="n">
        <v>182</v>
      </c>
      <c r="T1049" t="inlineStr">
        <is>
          <t>Love - Shibari - Kamino</t>
        </is>
      </c>
    </row>
    <row r="1050">
      <c r="A1050" t="n">
        <v>153400</v>
      </c>
      <c r="B1050" t="n">
        <v>128</v>
      </c>
      <c r="C1050" t="inlineStr">
        <is>
          <t>Love Cabaret</t>
        </is>
      </c>
      <c r="D1050" t="inlineStr">
        <is>
          <t>PJ 00192022 - FELIPE FERREIRA FRANCA</t>
        </is>
      </c>
      <c r="E1050" t="n">
        <v>3250</v>
      </c>
      <c r="F1050" s="27" t="n">
        <v>45910</v>
      </c>
      <c r="G1050" s="27" t="n">
        <v>45908</v>
      </c>
      <c r="H1050" s="27" t="n">
        <v>45908</v>
      </c>
      <c r="I1050" s="27" t="n">
        <v>45870</v>
      </c>
      <c r="J1050" s="27" t="n">
        <v>45876</v>
      </c>
      <c r="K1050" t="inlineStr">
        <is>
          <t>Transferência Bancária ou Pix</t>
        </is>
      </c>
      <c r="L1050" t="inlineStr">
        <is>
          <t>Mão de Obra - PJ</t>
        </is>
      </c>
      <c r="M1050" t="inlineStr">
        <is>
          <t>MDO PJ Fixo</t>
        </is>
      </c>
      <c r="N1050" t="inlineStr">
        <is>
          <t>51</t>
        </is>
      </c>
      <c r="O1050" t="inlineStr">
        <is>
          <t>Documentação Aprovada</t>
        </is>
      </c>
      <c r="P1050" t="inlineStr">
        <is>
          <t>Aprovado Diretoria</t>
        </is>
      </c>
      <c r="Q1050" t="inlineStr">
        <is>
          <t>Aprovado Caixa</t>
        </is>
      </c>
      <c r="R1050" t="inlineStr">
        <is>
          <t>Pago</t>
        </is>
      </c>
      <c r="S1050" t="n">
        <v>182</v>
      </c>
      <c r="T1050" t="inlineStr">
        <is>
          <t>Love - Shibari - Kamino</t>
        </is>
      </c>
    </row>
    <row r="1051">
      <c r="A1051" t="n">
        <v>153399</v>
      </c>
      <c r="B1051" t="n">
        <v>128</v>
      </c>
      <c r="C1051" t="inlineStr">
        <is>
          <t>Love Cabaret</t>
        </is>
      </c>
      <c r="D1051" t="inlineStr">
        <is>
          <t>PJ23824129000110 - FELIPE DA COSTA SANTOS</t>
        </is>
      </c>
      <c r="E1051" t="n">
        <v>5100</v>
      </c>
      <c r="F1051" s="27" t="n">
        <v>45910</v>
      </c>
      <c r="G1051" s="27" t="n">
        <v>45908</v>
      </c>
      <c r="H1051" s="27" t="n">
        <v>45908</v>
      </c>
      <c r="I1051" s="27" t="n">
        <v>45870</v>
      </c>
      <c r="J1051" s="27" t="n">
        <v>45876</v>
      </c>
      <c r="K1051" t="inlineStr">
        <is>
          <t>Transferência Bancária ou Pix</t>
        </is>
      </c>
      <c r="L1051" t="inlineStr">
        <is>
          <t>Mão de Obra - PJ</t>
        </is>
      </c>
      <c r="M1051" t="inlineStr">
        <is>
          <t>MDO PJ Fixo</t>
        </is>
      </c>
      <c r="N1051" t="inlineStr">
        <is>
          <t>55</t>
        </is>
      </c>
      <c r="O1051" t="inlineStr">
        <is>
          <t>Documentação Aprovada</t>
        </is>
      </c>
      <c r="P1051" t="inlineStr">
        <is>
          <t>Aprovado Diretoria</t>
        </is>
      </c>
      <c r="Q1051" t="inlineStr">
        <is>
          <t>Aprovado Caixa</t>
        </is>
      </c>
      <c r="R1051" t="inlineStr">
        <is>
          <t>Pago</t>
        </is>
      </c>
      <c r="S1051" t="n">
        <v>182</v>
      </c>
      <c r="T1051" t="inlineStr">
        <is>
          <t>Love - Shibari - Kamino</t>
        </is>
      </c>
    </row>
    <row r="1052">
      <c r="A1052" t="n">
        <v>156961</v>
      </c>
      <c r="B1052" t="n">
        <v>128</v>
      </c>
      <c r="C1052" t="inlineStr">
        <is>
          <t>Love Cabaret</t>
        </is>
      </c>
      <c r="D1052" t="inlineStr">
        <is>
          <t>ZAHIL IMPORTADORA LTDA</t>
        </is>
      </c>
      <c r="E1052" t="n">
        <v>843.16</v>
      </c>
      <c r="F1052" s="27" t="n">
        <v>45909</v>
      </c>
      <c r="G1052" s="27" t="n">
        <v>45908</v>
      </c>
      <c r="H1052" s="27" t="n">
        <v>45908</v>
      </c>
      <c r="I1052" s="27" t="n">
        <v>45894</v>
      </c>
      <c r="J1052" s="27" t="n">
        <v>45896</v>
      </c>
      <c r="K1052" t="inlineStr">
        <is>
          <t>Boleto Bancário</t>
        </is>
      </c>
      <c r="L1052" t="inlineStr">
        <is>
          <t>Custo Mercadoria Vendida</t>
        </is>
      </c>
      <c r="M1052" t="inlineStr">
        <is>
          <t>Insumos - Bebidas</t>
        </is>
      </c>
      <c r="N1052" t="inlineStr">
        <is>
          <t>254751</t>
        </is>
      </c>
      <c r="O1052" t="inlineStr">
        <is>
          <t>Documentação Aprovada</t>
        </is>
      </c>
      <c r="P1052" t="inlineStr">
        <is>
          <t>Aprovado Diretoria</t>
        </is>
      </c>
      <c r="Q1052" t="inlineStr">
        <is>
          <t>Aprovado Caixa</t>
        </is>
      </c>
      <c r="R1052" t="inlineStr">
        <is>
          <t>Pago</t>
        </is>
      </c>
      <c r="S1052" t="n">
        <v>182</v>
      </c>
      <c r="T1052" t="inlineStr">
        <is>
          <t>Love - Shibari - Kamino</t>
        </is>
      </c>
    </row>
    <row r="1053">
      <c r="A1053" t="n">
        <v>157015</v>
      </c>
      <c r="B1053" t="n">
        <v>128</v>
      </c>
      <c r="C1053" t="inlineStr">
        <is>
          <t>Love Cabaret</t>
        </is>
      </c>
      <c r="D1053" t="inlineStr">
        <is>
          <t>CECILIA TSUYACO ARAKI SILVA LTDA</t>
        </is>
      </c>
      <c r="E1053" t="n">
        <v>167.4</v>
      </c>
      <c r="F1053" s="27" t="n">
        <v>45908</v>
      </c>
      <c r="G1053" s="27" t="n">
        <v>45908</v>
      </c>
      <c r="H1053" s="27" t="n">
        <v>45908</v>
      </c>
      <c r="I1053" s="27" t="n">
        <v>45894</v>
      </c>
      <c r="J1053" s="27" t="n">
        <v>45896</v>
      </c>
      <c r="K1053" t="inlineStr">
        <is>
          <t>Boleto Bancário</t>
        </is>
      </c>
      <c r="L1053" t="inlineStr">
        <is>
          <t>Custo Mercadoria Vendida</t>
        </is>
      </c>
      <c r="M1053" t="inlineStr">
        <is>
          <t>Insumos - Alimentos</t>
        </is>
      </c>
      <c r="N1053" t="inlineStr">
        <is>
          <t>376895</t>
        </is>
      </c>
      <c r="O1053" t="inlineStr">
        <is>
          <t>Documentação Aprovada</t>
        </is>
      </c>
      <c r="P1053" t="inlineStr">
        <is>
          <t>Aprovado Diretoria</t>
        </is>
      </c>
      <c r="Q1053" t="inlineStr">
        <is>
          <t>Aprovado Caixa</t>
        </is>
      </c>
      <c r="R1053" t="inlineStr">
        <is>
          <t>Pago</t>
        </is>
      </c>
      <c r="S1053" t="n">
        <v>182</v>
      </c>
      <c r="T1053" t="inlineStr">
        <is>
          <t>Love - Shibari - Kamino</t>
        </is>
      </c>
    </row>
    <row r="1054">
      <c r="A1054" t="n">
        <v>157020</v>
      </c>
      <c r="B1054" t="n">
        <v>128</v>
      </c>
      <c r="C1054" t="inlineStr">
        <is>
          <t>Love Cabaret</t>
        </is>
      </c>
      <c r="D1054" t="inlineStr">
        <is>
          <t xml:space="preserve">ARENA VIP DISTRIBUIDORA DE BEBIDAS LTDA </t>
        </is>
      </c>
      <c r="E1054" t="n">
        <v>2062.36</v>
      </c>
      <c r="F1054" s="27" t="n">
        <v>45908</v>
      </c>
      <c r="G1054" s="27" t="n">
        <v>45908</v>
      </c>
      <c r="H1054" s="27" t="n">
        <v>45908</v>
      </c>
      <c r="I1054" s="27" t="n">
        <v>45894</v>
      </c>
      <c r="J1054" s="27" t="n">
        <v>45896</v>
      </c>
      <c r="K1054" t="inlineStr">
        <is>
          <t>Boleto Bancário</t>
        </is>
      </c>
      <c r="L1054" t="inlineStr">
        <is>
          <t>Custo Mercadoria Vendida</t>
        </is>
      </c>
      <c r="M1054" t="inlineStr">
        <is>
          <t>Insumos - Bebidas</t>
        </is>
      </c>
      <c r="N1054" t="inlineStr">
        <is>
          <t>10838</t>
        </is>
      </c>
      <c r="O1054" t="inlineStr">
        <is>
          <t>Documentação Aprovada</t>
        </is>
      </c>
      <c r="P1054" t="inlineStr">
        <is>
          <t>Aprovado Diretoria</t>
        </is>
      </c>
      <c r="Q1054" t="inlineStr">
        <is>
          <t>Aprovado Caixa</t>
        </is>
      </c>
      <c r="R1054" t="inlineStr">
        <is>
          <t>Pago</t>
        </is>
      </c>
      <c r="S1054" t="n">
        <v>182</v>
      </c>
      <c r="T1054" t="inlineStr">
        <is>
          <t>Love - Shibari - Kamino</t>
        </is>
      </c>
    </row>
    <row r="1055">
      <c r="A1055" t="n">
        <v>157032</v>
      </c>
      <c r="B1055" t="n">
        <v>128</v>
      </c>
      <c r="C1055" t="inlineStr">
        <is>
          <t>Love Cabaret</t>
        </is>
      </c>
      <c r="D1055" t="inlineStr">
        <is>
          <t xml:space="preserve">DISTRIBUIDORA DE CARNES CANTAREIRA </t>
        </is>
      </c>
      <c r="E1055" t="n">
        <v>355.35</v>
      </c>
      <c r="F1055" s="27" t="n">
        <v>45908</v>
      </c>
      <c r="G1055" s="27" t="n">
        <v>45908</v>
      </c>
      <c r="H1055" s="27" t="n">
        <v>45908</v>
      </c>
      <c r="I1055" s="27" t="n">
        <v>45895</v>
      </c>
      <c r="J1055" s="27" t="n">
        <v>45896</v>
      </c>
      <c r="K1055" t="inlineStr">
        <is>
          <t>Boleto Bancário</t>
        </is>
      </c>
      <c r="L1055" t="inlineStr">
        <is>
          <t>Custo Mercadoria Vendida</t>
        </is>
      </c>
      <c r="M1055" t="inlineStr">
        <is>
          <t>Insumos - Alimentos</t>
        </is>
      </c>
      <c r="N1055" t="inlineStr">
        <is>
          <t>44790</t>
        </is>
      </c>
      <c r="O1055" t="inlineStr">
        <is>
          <t>Documentação Aprovada</t>
        </is>
      </c>
      <c r="P1055" t="inlineStr">
        <is>
          <t>Aprovado Diretoria</t>
        </is>
      </c>
      <c r="Q1055" t="inlineStr">
        <is>
          <t>Aprovado Caixa</t>
        </is>
      </c>
      <c r="R1055" t="inlineStr">
        <is>
          <t>Pago</t>
        </is>
      </c>
      <c r="S1055" t="n">
        <v>182</v>
      </c>
      <c r="T1055" t="inlineStr">
        <is>
          <t>Love - Shibari - Kamino</t>
        </is>
      </c>
    </row>
    <row r="1056">
      <c r="A1056" t="n">
        <v>157029</v>
      </c>
      <c r="B1056" t="n">
        <v>128</v>
      </c>
      <c r="C1056" t="inlineStr">
        <is>
          <t>Love Cabaret</t>
        </is>
      </c>
      <c r="D1056" t="inlineStr">
        <is>
          <t>HORTIFRUTIGRANJEIRO RODRIGUES LTDA</t>
        </is>
      </c>
      <c r="E1056" t="n">
        <v>1052.1</v>
      </c>
      <c r="F1056" s="27" t="n">
        <v>45910</v>
      </c>
      <c r="G1056" s="27" t="n">
        <v>45908</v>
      </c>
      <c r="H1056" s="27" t="n">
        <v>45908</v>
      </c>
      <c r="I1056" s="27" t="n">
        <v>45895</v>
      </c>
      <c r="J1056" s="27" t="n">
        <v>45896</v>
      </c>
      <c r="K1056" t="inlineStr">
        <is>
          <t>Boleto Bancário</t>
        </is>
      </c>
      <c r="L1056" t="inlineStr">
        <is>
          <t>Custo Mercadoria Vendida</t>
        </is>
      </c>
      <c r="M1056" t="inlineStr">
        <is>
          <t>Insumos - Alimentos</t>
        </is>
      </c>
      <c r="N1056" t="inlineStr">
        <is>
          <t>12428</t>
        </is>
      </c>
      <c r="O1056" t="inlineStr">
        <is>
          <t>Documentação Aprovada</t>
        </is>
      </c>
      <c r="P1056" t="inlineStr">
        <is>
          <t>Aprovado Diretoria</t>
        </is>
      </c>
      <c r="Q1056" t="inlineStr">
        <is>
          <t>Aprovado Caixa</t>
        </is>
      </c>
      <c r="R1056" t="inlineStr">
        <is>
          <t>Pago</t>
        </is>
      </c>
      <c r="S1056" t="n">
        <v>182</v>
      </c>
      <c r="T1056" t="inlineStr">
        <is>
          <t>Love - Shibari - Kamino</t>
        </is>
      </c>
    </row>
    <row r="1057">
      <c r="A1057" t="n">
        <v>157023</v>
      </c>
      <c r="B1057" t="n">
        <v>128</v>
      </c>
      <c r="C1057" t="inlineStr">
        <is>
          <t>Love Cabaret</t>
        </is>
      </c>
      <c r="D1057" t="inlineStr">
        <is>
          <t>WPP COMERCIO DE CARNES LTDA</t>
        </is>
      </c>
      <c r="E1057" t="n">
        <v>860</v>
      </c>
      <c r="F1057" s="27" t="n">
        <v>45909</v>
      </c>
      <c r="G1057" s="27" t="n">
        <v>45908</v>
      </c>
      <c r="H1057" s="27" t="n">
        <v>45908</v>
      </c>
      <c r="I1057" s="27" t="n">
        <v>45895</v>
      </c>
      <c r="J1057" s="27" t="n">
        <v>45896</v>
      </c>
      <c r="K1057" t="inlineStr">
        <is>
          <t>Boleto Bancário</t>
        </is>
      </c>
      <c r="L1057" t="inlineStr">
        <is>
          <t>Custo Mercadoria Vendida</t>
        </is>
      </c>
      <c r="M1057" t="inlineStr">
        <is>
          <t>Insumos - Alimentos</t>
        </is>
      </c>
      <c r="N1057" t="inlineStr">
        <is>
          <t>74157</t>
        </is>
      </c>
      <c r="O1057" t="inlineStr">
        <is>
          <t>Documentação Aprovada</t>
        </is>
      </c>
      <c r="P1057" t="inlineStr">
        <is>
          <t>Aprovado Diretoria</t>
        </is>
      </c>
      <c r="Q1057" t="inlineStr">
        <is>
          <t>Aprovado Caixa</t>
        </is>
      </c>
      <c r="R1057" t="inlineStr">
        <is>
          <t>Pago</t>
        </is>
      </c>
      <c r="S1057" t="n">
        <v>182</v>
      </c>
      <c r="T1057" t="inlineStr">
        <is>
          <t>Love - Shibari - Kamino</t>
        </is>
      </c>
    </row>
    <row r="1058">
      <c r="A1058" t="n">
        <v>157641</v>
      </c>
      <c r="B1058" t="n">
        <v>128</v>
      </c>
      <c r="C1058" t="inlineStr">
        <is>
          <t>Love Cabaret</t>
        </is>
      </c>
      <c r="D1058" t="inlineStr">
        <is>
          <t xml:space="preserve">MATEUS SILVEIRA CEZAR </t>
        </is>
      </c>
      <c r="E1058" t="n">
        <v>1800</v>
      </c>
      <c r="F1058" s="27" t="n">
        <v>45908</v>
      </c>
      <c r="G1058" s="27" t="n">
        <v>45908</v>
      </c>
      <c r="H1058" s="27" t="n">
        <v>45908</v>
      </c>
      <c r="I1058" s="27" t="n">
        <v>45889</v>
      </c>
      <c r="J1058" s="27" t="n">
        <v>45898</v>
      </c>
      <c r="K1058" t="inlineStr">
        <is>
          <t>Transferência Bancária ou Pix</t>
        </is>
      </c>
      <c r="L1058" t="inlineStr">
        <is>
          <t>Marketing</t>
        </is>
      </c>
      <c r="M1058" t="inlineStr">
        <is>
          <t>Produção Gráfica e Material Institucional</t>
        </is>
      </c>
      <c r="N1058" t="inlineStr">
        <is>
          <t>25</t>
        </is>
      </c>
      <c r="O1058" t="inlineStr">
        <is>
          <t>Documentação Aprovada</t>
        </is>
      </c>
      <c r="P1058" t="inlineStr">
        <is>
          <t>Aprovado Diretoria</t>
        </is>
      </c>
      <c r="Q1058" t="inlineStr">
        <is>
          <t>Aprovado Caixa</t>
        </is>
      </c>
      <c r="R1058" t="inlineStr">
        <is>
          <t>Pago</t>
        </is>
      </c>
      <c r="S1058" t="n">
        <v>182</v>
      </c>
      <c r="T1058" t="inlineStr">
        <is>
          <t>Love - Shibari - Kamino</t>
        </is>
      </c>
    </row>
    <row r="1059">
      <c r="A1059" t="n">
        <v>157819</v>
      </c>
      <c r="B1059" t="n">
        <v>128</v>
      </c>
      <c r="C1059" t="inlineStr">
        <is>
          <t>Love Cabaret</t>
        </is>
      </c>
      <c r="D1059" t="inlineStr">
        <is>
          <t>PIRAMIDES COMERCIO DE AGUAS MINEIRAIS E BEBIDAS EM GERAL LTDA</t>
        </is>
      </c>
      <c r="E1059" t="n">
        <v>1178.24</v>
      </c>
      <c r="F1059" s="27" t="n">
        <v>45909</v>
      </c>
      <c r="G1059" s="27" t="n">
        <v>45908</v>
      </c>
      <c r="H1059" s="27" t="n">
        <v>45908</v>
      </c>
      <c r="I1059" s="27" t="n">
        <v>45895</v>
      </c>
      <c r="J1059" s="27" t="n">
        <v>45901</v>
      </c>
      <c r="K1059" t="inlineStr">
        <is>
          <t>Boleto Bancário</t>
        </is>
      </c>
      <c r="L1059" t="inlineStr">
        <is>
          <t>Custo Mercadoria Vendida</t>
        </is>
      </c>
      <c r="M1059" t="inlineStr">
        <is>
          <t>Insumos - Bebidas</t>
        </is>
      </c>
      <c r="N1059" t="inlineStr">
        <is>
          <t>115094</t>
        </is>
      </c>
      <c r="O1059" t="inlineStr">
        <is>
          <t>Documentação Aprovada</t>
        </is>
      </c>
      <c r="P1059" t="inlineStr">
        <is>
          <t>Aprovado Diretoria</t>
        </is>
      </c>
      <c r="Q1059" t="inlineStr">
        <is>
          <t>Aprovado Caixa</t>
        </is>
      </c>
      <c r="R1059" t="inlineStr">
        <is>
          <t>Pago</t>
        </is>
      </c>
      <c r="S1059" t="n">
        <v>182</v>
      </c>
      <c r="T1059" t="inlineStr">
        <is>
          <t>Love - Shibari - Kamino</t>
        </is>
      </c>
    </row>
    <row r="1060">
      <c r="A1060" t="n">
        <v>157713</v>
      </c>
      <c r="B1060" t="n">
        <v>128</v>
      </c>
      <c r="C1060" t="inlineStr">
        <is>
          <t>Love Cabaret</t>
        </is>
      </c>
      <c r="D1060" t="inlineStr">
        <is>
          <t>ICE4PROS FABRICA DE GELO LTDA</t>
        </is>
      </c>
      <c r="E1060" t="n">
        <v>1377.25</v>
      </c>
      <c r="F1060" s="27" t="n">
        <v>45908</v>
      </c>
      <c r="G1060" s="27" t="n">
        <v>45908</v>
      </c>
      <c r="H1060" s="27" t="n">
        <v>45908</v>
      </c>
      <c r="I1060" s="27" t="n">
        <v>45898</v>
      </c>
      <c r="J1060" s="27" t="n">
        <v>45898</v>
      </c>
      <c r="K1060" t="inlineStr">
        <is>
          <t>Boleto Bancário</t>
        </is>
      </c>
      <c r="L1060" t="inlineStr">
        <is>
          <t>Custo Mercadoria Vendida</t>
        </is>
      </c>
      <c r="M1060" t="inlineStr">
        <is>
          <t>Insumos - Bebidas</t>
        </is>
      </c>
      <c r="N1060" t="inlineStr">
        <is>
          <t>85136</t>
        </is>
      </c>
      <c r="O1060" t="inlineStr">
        <is>
          <t>Documentação Aprovada</t>
        </is>
      </c>
      <c r="P1060" t="inlineStr">
        <is>
          <t>Aprovado Diretoria</t>
        </is>
      </c>
      <c r="Q1060" t="inlineStr">
        <is>
          <t>Aprovado Caixa</t>
        </is>
      </c>
      <c r="R1060" t="inlineStr">
        <is>
          <t>Pago</t>
        </is>
      </c>
      <c r="S1060" t="n">
        <v>182</v>
      </c>
      <c r="T1060" t="inlineStr">
        <is>
          <t>Love - Shibari - Kamino</t>
        </is>
      </c>
    </row>
    <row r="1061">
      <c r="A1061" t="n">
        <v>157801</v>
      </c>
      <c r="B1061" t="n">
        <v>128</v>
      </c>
      <c r="C1061" t="inlineStr">
        <is>
          <t>Love Cabaret</t>
        </is>
      </c>
      <c r="D1061" t="inlineStr">
        <is>
          <t>PROAUTO INDUSTRIA QUIMICA EIRELI</t>
        </is>
      </c>
      <c r="E1061" t="n">
        <v>2886.69</v>
      </c>
      <c r="F1061" s="27" t="n">
        <v>45910</v>
      </c>
      <c r="G1061" s="27" t="n">
        <v>45908</v>
      </c>
      <c r="H1061" s="27" t="n">
        <v>45908</v>
      </c>
      <c r="I1061" s="27" t="n">
        <v>45882</v>
      </c>
      <c r="J1061" s="27" t="n">
        <v>45901</v>
      </c>
      <c r="K1061" t="inlineStr">
        <is>
          <t>Boleto Bancário</t>
        </is>
      </c>
      <c r="L1061" t="inlineStr">
        <is>
          <t>Utilidades</t>
        </is>
      </c>
      <c r="M1061" t="inlineStr">
        <is>
          <t>Higiene e Limpeza</t>
        </is>
      </c>
      <c r="N1061" t="inlineStr">
        <is>
          <t>142629</t>
        </is>
      </c>
      <c r="O1061" t="inlineStr">
        <is>
          <t>Documentação Aprovada</t>
        </is>
      </c>
      <c r="P1061" t="inlineStr">
        <is>
          <t>Aprovado Diretoria</t>
        </is>
      </c>
      <c r="Q1061" t="inlineStr">
        <is>
          <t>Aprovado Caixa</t>
        </is>
      </c>
      <c r="R1061" t="inlineStr">
        <is>
          <t>Pago</t>
        </is>
      </c>
      <c r="S1061" t="n">
        <v>182</v>
      </c>
      <c r="T1061" t="inlineStr">
        <is>
          <t>Love - Shibari - Kamino</t>
        </is>
      </c>
    </row>
    <row r="1062">
      <c r="A1062" t="n">
        <v>157346</v>
      </c>
      <c r="B1062" t="n">
        <v>128</v>
      </c>
      <c r="C1062" t="inlineStr">
        <is>
          <t>Love Cabaret</t>
        </is>
      </c>
      <c r="D1062" t="inlineStr">
        <is>
          <t>PSSS LTDA</t>
        </is>
      </c>
      <c r="E1062" t="n">
        <v>468.5</v>
      </c>
      <c r="F1062" s="27" t="n">
        <v>45910</v>
      </c>
      <c r="G1062" s="27" t="n">
        <v>45908</v>
      </c>
      <c r="H1062" s="27" t="n">
        <v>45908</v>
      </c>
      <c r="I1062" s="27" t="n">
        <v>45895</v>
      </c>
      <c r="J1062" s="27" t="n">
        <v>45897</v>
      </c>
      <c r="K1062" t="inlineStr">
        <is>
          <t>Boleto Bancário</t>
        </is>
      </c>
      <c r="L1062" t="inlineStr">
        <is>
          <t>Utilidades</t>
        </is>
      </c>
      <c r="M1062" t="inlineStr">
        <is>
          <t>Higiene e Limpeza</t>
        </is>
      </c>
      <c r="N1062" t="inlineStr">
        <is>
          <t>2181</t>
        </is>
      </c>
      <c r="O1062" t="inlineStr">
        <is>
          <t>Documentação Aprovada</t>
        </is>
      </c>
      <c r="P1062" t="inlineStr">
        <is>
          <t>Aprovado Diretoria</t>
        </is>
      </c>
      <c r="Q1062" t="inlineStr">
        <is>
          <t>Aprovado Caixa</t>
        </is>
      </c>
      <c r="R1062" t="inlineStr">
        <is>
          <t>Pago</t>
        </is>
      </c>
      <c r="S1062" t="n">
        <v>182</v>
      </c>
      <c r="T1062" t="inlineStr">
        <is>
          <t>Love - Shibari - Kamino</t>
        </is>
      </c>
    </row>
    <row r="1063">
      <c r="A1063" t="n">
        <v>157820</v>
      </c>
      <c r="B1063" t="n">
        <v>128</v>
      </c>
      <c r="C1063" t="inlineStr">
        <is>
          <t>Love Cabaret</t>
        </is>
      </c>
      <c r="D1063" t="inlineStr">
        <is>
          <t>HNK BR INDUSTRIA DE BEBIDAS LTDA</t>
        </is>
      </c>
      <c r="E1063" t="n">
        <v>4146.44</v>
      </c>
      <c r="F1063" s="27" t="n">
        <v>45910</v>
      </c>
      <c r="G1063" s="27" t="n">
        <v>45908</v>
      </c>
      <c r="H1063" s="27" t="n">
        <v>45908</v>
      </c>
      <c r="I1063" s="27" t="n">
        <v>45896</v>
      </c>
      <c r="J1063" s="27" t="n">
        <v>45901</v>
      </c>
      <c r="K1063" t="inlineStr">
        <is>
          <t>Boleto Bancário</t>
        </is>
      </c>
      <c r="L1063" t="inlineStr">
        <is>
          <t>Custo Mercadoria Vendida</t>
        </is>
      </c>
      <c r="M1063" t="inlineStr">
        <is>
          <t>Insumos - Bebidas</t>
        </is>
      </c>
      <c r="N1063" t="inlineStr">
        <is>
          <t>46721</t>
        </is>
      </c>
      <c r="O1063" t="inlineStr">
        <is>
          <t>Documentação Aprovada</t>
        </is>
      </c>
      <c r="P1063" t="inlineStr">
        <is>
          <t>Aprovado Diretoria</t>
        </is>
      </c>
      <c r="Q1063" t="inlineStr">
        <is>
          <t>Aprovado Caixa</t>
        </is>
      </c>
      <c r="R1063" t="inlineStr">
        <is>
          <t>Pago</t>
        </is>
      </c>
      <c r="S1063" t="n">
        <v>182</v>
      </c>
      <c r="T1063" t="inlineStr">
        <is>
          <t>Love - Shibari - Kamino</t>
        </is>
      </c>
    </row>
    <row r="1064">
      <c r="A1064" t="n">
        <v>157802</v>
      </c>
      <c r="B1064" t="n">
        <v>128</v>
      </c>
      <c r="C1064" t="inlineStr">
        <is>
          <t>Love Cabaret</t>
        </is>
      </c>
      <c r="D1064" t="inlineStr">
        <is>
          <t xml:space="preserve">ARENA VIP DISTRIBUIDORA DE BEBIDAS LTDA </t>
        </is>
      </c>
      <c r="E1064" t="n">
        <v>176</v>
      </c>
      <c r="F1064" s="27" t="n">
        <v>45908</v>
      </c>
      <c r="G1064" s="27" t="n">
        <v>45908</v>
      </c>
      <c r="H1064" s="27" t="n">
        <v>45908</v>
      </c>
      <c r="I1064" s="27" t="n">
        <v>45894</v>
      </c>
      <c r="J1064" s="27" t="n">
        <v>45901</v>
      </c>
      <c r="K1064" t="inlineStr">
        <is>
          <t>Boleto Bancário</t>
        </is>
      </c>
      <c r="L1064" t="inlineStr">
        <is>
          <t>Custo Mercadoria Vendida</t>
        </is>
      </c>
      <c r="M1064" t="inlineStr">
        <is>
          <t>Insumos - Bebidas</t>
        </is>
      </c>
      <c r="N1064" t="inlineStr">
        <is>
          <t>10866</t>
        </is>
      </c>
      <c r="O1064" t="inlineStr">
        <is>
          <t>Documentação Aprovada</t>
        </is>
      </c>
      <c r="P1064" t="inlineStr">
        <is>
          <t>Aprovado Diretoria</t>
        </is>
      </c>
      <c r="Q1064" t="inlineStr">
        <is>
          <t>Aprovado Caixa</t>
        </is>
      </c>
      <c r="R1064" t="inlineStr">
        <is>
          <t>Pago</t>
        </is>
      </c>
      <c r="S1064" t="n">
        <v>182</v>
      </c>
      <c r="T1064" t="inlineStr">
        <is>
          <t>Love - Shibari - Kamino</t>
        </is>
      </c>
    </row>
    <row r="1065">
      <c r="A1065" t="n">
        <v>159746</v>
      </c>
      <c r="B1065" t="n">
        <v>128</v>
      </c>
      <c r="C1065" t="inlineStr">
        <is>
          <t>Love Cabaret</t>
        </is>
      </c>
      <c r="D1065" t="inlineStr">
        <is>
          <t xml:space="preserve">KAMINO INSTITUICAO DE PAGAMENTO LTDA </t>
        </is>
      </c>
      <c r="E1065" t="n">
        <v>2</v>
      </c>
      <c r="F1065" s="27" t="n">
        <v>45908</v>
      </c>
      <c r="G1065" s="27" t="n"/>
      <c r="H1065" s="27" t="n">
        <v>45908</v>
      </c>
      <c r="I1065" s="27" t="n">
        <v>45908</v>
      </c>
      <c r="J1065" s="27" t="n">
        <v>45909</v>
      </c>
      <c r="K1065" t="inlineStr">
        <is>
          <t>Encontro de Contas</t>
        </is>
      </c>
      <c r="L1065" t="inlineStr">
        <is>
          <t>Despesas Financeiras</t>
        </is>
      </c>
      <c r="M1065" t="inlineStr">
        <is>
          <t>Tarifas Bancárias</t>
        </is>
      </c>
      <c r="N1065" t="inlineStr">
        <is>
          <t>092025</t>
        </is>
      </c>
      <c r="R1065" t="inlineStr">
        <is>
          <t>Pago</t>
        </is>
      </c>
    </row>
    <row r="1066">
      <c r="A1066" t="n">
        <v>159032</v>
      </c>
      <c r="B1066" t="n">
        <v>128</v>
      </c>
      <c r="C1066" t="inlineStr">
        <is>
          <t>Love Cabaret</t>
        </is>
      </c>
      <c r="D1066" t="inlineStr">
        <is>
          <t>MALKA JULIETA BIJELLI FERREIRA</t>
        </is>
      </c>
      <c r="E1066" t="n">
        <v>1500</v>
      </c>
      <c r="F1066" s="27" t="n">
        <v>45908</v>
      </c>
      <c r="G1066" s="27" t="n">
        <v>45908</v>
      </c>
      <c r="H1066" s="27" t="n">
        <v>45908</v>
      </c>
      <c r="I1066" s="27" t="n">
        <v>45881</v>
      </c>
      <c r="J1066" s="27" t="n">
        <v>45903</v>
      </c>
      <c r="K1066" t="inlineStr">
        <is>
          <t>Transferência Bancária ou Pix</t>
        </is>
      </c>
      <c r="L1066" t="inlineStr">
        <is>
          <t>Custos Artístico Geral</t>
        </is>
      </c>
      <c r="M1066" t="inlineStr">
        <is>
          <t>MDO Terceirizada - Artístico</t>
        </is>
      </c>
      <c r="N1066" t="inlineStr">
        <is>
          <t>27</t>
        </is>
      </c>
      <c r="O1066" t="inlineStr">
        <is>
          <t>Documentação Aprovada</t>
        </is>
      </c>
      <c r="P1066" t="inlineStr">
        <is>
          <t>Aprovado Diretoria</t>
        </is>
      </c>
      <c r="Q1066" t="inlineStr">
        <is>
          <t>Aprovado Caixa</t>
        </is>
      </c>
      <c r="R1066" t="inlineStr">
        <is>
          <t>Pago</t>
        </is>
      </c>
      <c r="S1066" t="n">
        <v>182</v>
      </c>
      <c r="T1066" t="inlineStr">
        <is>
          <t>Love - Shibari - Kamino</t>
        </is>
      </c>
    </row>
    <row r="1067">
      <c r="A1067" t="n">
        <v>158090</v>
      </c>
      <c r="B1067" t="n">
        <v>128</v>
      </c>
      <c r="C1067" t="inlineStr">
        <is>
          <t>Love Cabaret</t>
        </is>
      </c>
      <c r="D1067" t="inlineStr">
        <is>
          <t>PJ23824129000110 - FELIPE DA COSTA SANTOS</t>
        </is>
      </c>
      <c r="E1067" t="n">
        <v>2600</v>
      </c>
      <c r="F1067" s="27" t="n">
        <v>45910</v>
      </c>
      <c r="G1067" s="27" t="n">
        <v>45908</v>
      </c>
      <c r="H1067" s="27" t="n">
        <v>45908</v>
      </c>
      <c r="I1067" s="27" t="n">
        <v>45870</v>
      </c>
      <c r="J1067" s="27" t="n">
        <v>45901</v>
      </c>
      <c r="K1067" t="inlineStr">
        <is>
          <t>Transferência Bancária ou Pix</t>
        </is>
      </c>
      <c r="L1067" t="inlineStr">
        <is>
          <t>Gorjeta</t>
        </is>
      </c>
      <c r="M1067" t="inlineStr">
        <is>
          <t xml:space="preserve">  -  Comissões e Gorjeta</t>
        </is>
      </c>
      <c r="N1067" t="inlineStr">
        <is>
          <t>56</t>
        </is>
      </c>
      <c r="O1067" t="inlineStr">
        <is>
          <t>Documentação Aprovada</t>
        </is>
      </c>
      <c r="P1067" t="inlineStr">
        <is>
          <t>Aprovado Diretoria</t>
        </is>
      </c>
      <c r="Q1067" t="inlineStr">
        <is>
          <t>Aprovado Caixa</t>
        </is>
      </c>
      <c r="R1067" t="inlineStr">
        <is>
          <t>Pago</t>
        </is>
      </c>
      <c r="S1067" t="n">
        <v>182</v>
      </c>
      <c r="T1067" t="inlineStr">
        <is>
          <t>Love - Shibari - Kamino</t>
        </is>
      </c>
    </row>
    <row r="1068">
      <c r="A1068" t="n">
        <v>158105</v>
      </c>
      <c r="B1068" t="n">
        <v>128</v>
      </c>
      <c r="C1068" t="inlineStr">
        <is>
          <t>Love Cabaret</t>
        </is>
      </c>
      <c r="D1068" t="inlineStr">
        <is>
          <t>WAGNER DA SILVA FRANCA</t>
        </is>
      </c>
      <c r="E1068" t="n">
        <v>640</v>
      </c>
      <c r="F1068" s="27" t="n">
        <v>45910</v>
      </c>
      <c r="G1068" s="27" t="n">
        <v>45908</v>
      </c>
      <c r="H1068" s="27" t="n">
        <v>45908</v>
      </c>
      <c r="I1068" s="27" t="n">
        <v>45870</v>
      </c>
      <c r="J1068" s="27" t="n">
        <v>45902</v>
      </c>
      <c r="K1068" t="inlineStr">
        <is>
          <t>Transferência Bancária ou Pix</t>
        </is>
      </c>
      <c r="L1068" t="inlineStr">
        <is>
          <t>Gorjeta</t>
        </is>
      </c>
      <c r="M1068" t="inlineStr">
        <is>
          <t xml:space="preserve">  -  Comissões e Gorjeta</t>
        </is>
      </c>
      <c r="N1068" t="inlineStr">
        <is>
          <t>46</t>
        </is>
      </c>
      <c r="O1068" t="inlineStr">
        <is>
          <t>Documentação Aprovada</t>
        </is>
      </c>
      <c r="P1068" t="inlineStr">
        <is>
          <t>Aprovado Diretoria</t>
        </is>
      </c>
      <c r="Q1068" t="inlineStr">
        <is>
          <t>Aprovado Caixa</t>
        </is>
      </c>
      <c r="R1068" t="inlineStr">
        <is>
          <t>Pago</t>
        </is>
      </c>
      <c r="S1068" t="n">
        <v>182</v>
      </c>
      <c r="T1068" t="inlineStr">
        <is>
          <t>Love - Shibari - Kamino</t>
        </is>
      </c>
    </row>
    <row r="1069">
      <c r="A1069" t="n">
        <v>158106</v>
      </c>
      <c r="B1069" t="n">
        <v>128</v>
      </c>
      <c r="C1069" t="inlineStr">
        <is>
          <t>Love Cabaret</t>
        </is>
      </c>
      <c r="D1069" t="inlineStr">
        <is>
          <t xml:space="preserve">DOUGLAS FELIPE DOMINGUES GONCALVES </t>
        </is>
      </c>
      <c r="E1069" t="n">
        <v>2270</v>
      </c>
      <c r="F1069" s="27" t="n">
        <v>45910</v>
      </c>
      <c r="G1069" s="27" t="n">
        <v>45908</v>
      </c>
      <c r="H1069" s="27" t="n">
        <v>45908</v>
      </c>
      <c r="I1069" s="27" t="n">
        <v>45870</v>
      </c>
      <c r="J1069" s="27" t="n">
        <v>45902</v>
      </c>
      <c r="K1069" t="inlineStr">
        <is>
          <t>Transferência Bancária ou Pix</t>
        </is>
      </c>
      <c r="L1069" t="inlineStr">
        <is>
          <t>Gorjeta</t>
        </is>
      </c>
      <c r="M1069" t="inlineStr">
        <is>
          <t xml:space="preserve">  -  Comissões e Gorjeta</t>
        </is>
      </c>
      <c r="N1069" t="inlineStr">
        <is>
          <t>49</t>
        </is>
      </c>
      <c r="O1069" t="inlineStr">
        <is>
          <t>Documentação Aprovada</t>
        </is>
      </c>
      <c r="P1069" t="inlineStr">
        <is>
          <t>Aprovado Diretoria</t>
        </is>
      </c>
      <c r="Q1069" t="inlineStr">
        <is>
          <t>Aprovado Caixa</t>
        </is>
      </c>
      <c r="R1069" t="inlineStr">
        <is>
          <t>Pago</t>
        </is>
      </c>
      <c r="S1069" t="n">
        <v>182</v>
      </c>
      <c r="T1069" t="inlineStr">
        <is>
          <t>Love - Shibari - Kamino</t>
        </is>
      </c>
    </row>
    <row r="1070">
      <c r="A1070" t="n">
        <v>103048</v>
      </c>
      <c r="B1070" t="n">
        <v>128</v>
      </c>
      <c r="C1070" t="inlineStr">
        <is>
          <t>Love Cabaret</t>
        </is>
      </c>
      <c r="D1070" t="inlineStr">
        <is>
          <t>VERISURE BRASIL MONITORAMENTO DE ALARMES S.A</t>
        </is>
      </c>
      <c r="E1070" t="n">
        <v>270.11</v>
      </c>
      <c r="F1070" s="27" t="n">
        <v>45905</v>
      </c>
      <c r="G1070" s="27" t="n">
        <v>45908</v>
      </c>
      <c r="H1070" s="27" t="n">
        <v>45905</v>
      </c>
      <c r="I1070" s="27" t="n">
        <v>45884</v>
      </c>
      <c r="J1070" s="27" t="n"/>
      <c r="K1070" t="inlineStr">
        <is>
          <t xml:space="preserve">Debito Automático </t>
        </is>
      </c>
      <c r="L1070" t="inlineStr">
        <is>
          <t>Informática e TI</t>
        </is>
      </c>
      <c r="M1070" t="inlineStr">
        <is>
          <t>Sistemas de Segurança e Alarme</t>
        </is>
      </c>
      <c r="N1070" t="inlineStr">
        <is>
          <t xml:space="preserve">16134189 </t>
        </is>
      </c>
      <c r="O1070" t="inlineStr">
        <is>
          <t>Documentação Aprovada</t>
        </is>
      </c>
      <c r="P1070" t="inlineStr">
        <is>
          <t>Aprovado Diretoria</t>
        </is>
      </c>
      <c r="Q1070" t="inlineStr">
        <is>
          <t>Aprovado Caixa</t>
        </is>
      </c>
      <c r="R1070" t="inlineStr">
        <is>
          <t>Pago</t>
        </is>
      </c>
      <c r="S1070" t="n">
        <v>115</v>
      </c>
      <c r="T1070" t="inlineStr">
        <is>
          <t>Love - Shibari - Bradesco</t>
        </is>
      </c>
    </row>
    <row r="1071">
      <c r="A1071" t="n">
        <v>97396</v>
      </c>
      <c r="B1071" t="n">
        <v>128</v>
      </c>
      <c r="C1071" t="inlineStr">
        <is>
          <t>Love Cabaret</t>
        </is>
      </c>
      <c r="D1071" t="inlineStr">
        <is>
          <t>EASY ICE SOLUTION LTDA-ME LOCAÇÃO</t>
        </is>
      </c>
      <c r="E1071" t="n">
        <v>1600</v>
      </c>
      <c r="F1071" s="27" t="n">
        <v>45905</v>
      </c>
      <c r="G1071" s="27" t="n">
        <v>45903</v>
      </c>
      <c r="H1071" s="27" t="n">
        <v>45903</v>
      </c>
      <c r="I1071" s="27" t="n">
        <v>45894</v>
      </c>
      <c r="J1071" s="27" t="n"/>
      <c r="K1071" t="inlineStr">
        <is>
          <t>Boleto Bancário</t>
        </is>
      </c>
      <c r="L1071" t="inlineStr">
        <is>
          <t>Locação de Equipamentos</t>
        </is>
      </c>
      <c r="M1071" t="inlineStr">
        <is>
          <t>Locações de Equipamentos - Operacionais</t>
        </is>
      </c>
      <c r="N1071" t="inlineStr">
        <is>
          <t>8950</t>
        </is>
      </c>
      <c r="O1071" t="inlineStr">
        <is>
          <t>Documentação Aprovada</t>
        </is>
      </c>
      <c r="P1071" t="inlineStr">
        <is>
          <t>Aprovado Diretoria</t>
        </is>
      </c>
      <c r="Q1071" t="inlineStr">
        <is>
          <t>Aprovado Caixa</t>
        </is>
      </c>
      <c r="R1071" t="inlineStr">
        <is>
          <t>Pago</t>
        </is>
      </c>
      <c r="S1071" t="n">
        <v>182</v>
      </c>
      <c r="T1071" t="inlineStr">
        <is>
          <t>Love - Shibari - Kamino</t>
        </is>
      </c>
    </row>
    <row r="1072">
      <c r="A1072" t="n">
        <v>97342</v>
      </c>
      <c r="B1072" t="n">
        <v>128</v>
      </c>
      <c r="C1072" t="inlineStr">
        <is>
          <t>Love Cabaret</t>
        </is>
      </c>
      <c r="D1072" t="inlineStr">
        <is>
          <t>ELETROPAULO METROPOLITANA ELETRICIDADE DE SAO PAULO SA</t>
        </is>
      </c>
      <c r="E1072" t="n">
        <v>106.53</v>
      </c>
      <c r="F1072" s="27" t="n">
        <v>45904</v>
      </c>
      <c r="G1072" s="27" t="n">
        <v>45903</v>
      </c>
      <c r="H1072" s="27" t="n">
        <v>45903</v>
      </c>
      <c r="I1072" s="27" t="n">
        <v>45884</v>
      </c>
      <c r="J1072" s="27" t="n"/>
      <c r="K1072" t="inlineStr">
        <is>
          <t>Boleto Bancário</t>
        </is>
      </c>
      <c r="L1072" t="inlineStr">
        <is>
          <t>Utilidades</t>
        </is>
      </c>
      <c r="M1072" t="inlineStr">
        <is>
          <t>Energia Eletrica</t>
        </is>
      </c>
      <c r="N1072" t="inlineStr">
        <is>
          <t>738003694</t>
        </is>
      </c>
      <c r="O1072" t="inlineStr">
        <is>
          <t>Documentação Aprovada</t>
        </is>
      </c>
      <c r="P1072" t="inlineStr">
        <is>
          <t>Aprovado Diretoria</t>
        </is>
      </c>
      <c r="Q1072" t="inlineStr">
        <is>
          <t>Aprovado Caixa</t>
        </is>
      </c>
      <c r="R1072" t="inlineStr">
        <is>
          <t>Pago</t>
        </is>
      </c>
      <c r="S1072" t="n">
        <v>182</v>
      </c>
      <c r="T1072" t="inlineStr">
        <is>
          <t>Love - Shibari - Kamino</t>
        </is>
      </c>
    </row>
    <row r="1073">
      <c r="A1073" t="n">
        <v>97318</v>
      </c>
      <c r="B1073" t="n">
        <v>128</v>
      </c>
      <c r="C1073" t="inlineStr">
        <is>
          <t>Love Cabaret</t>
        </is>
      </c>
      <c r="D1073" t="inlineStr">
        <is>
          <t>ESCRITORIO CENTRAL DE ARRECADACAO E DISTRIBUICAO ECAD</t>
        </is>
      </c>
      <c r="E1073" t="n">
        <v>802.5</v>
      </c>
      <c r="F1073" s="27" t="n">
        <v>45905</v>
      </c>
      <c r="G1073" s="27" t="n">
        <v>45903</v>
      </c>
      <c r="H1073" s="27" t="n">
        <v>45903</v>
      </c>
      <c r="I1073" s="27" t="n">
        <v>45888</v>
      </c>
      <c r="J1073" s="27" t="n"/>
      <c r="K1073" t="inlineStr">
        <is>
          <t>Boleto Bancário</t>
        </is>
      </c>
      <c r="L1073" t="inlineStr">
        <is>
          <t>Custos Artístico Geral</t>
        </is>
      </c>
      <c r="M1073" t="inlineStr">
        <is>
          <t>Taxas e Licenças - Artístico</t>
        </is>
      </c>
      <c r="N1073" t="inlineStr">
        <is>
          <t>9022361199</t>
        </is>
      </c>
      <c r="O1073" t="inlineStr">
        <is>
          <t>Documentação Aprovada</t>
        </is>
      </c>
      <c r="P1073" t="inlineStr">
        <is>
          <t>Aprovado Diretoria</t>
        </is>
      </c>
      <c r="Q1073" t="inlineStr">
        <is>
          <t>Aprovado Caixa</t>
        </is>
      </c>
      <c r="R1073" t="inlineStr">
        <is>
          <t>Pago</t>
        </is>
      </c>
      <c r="S1073" t="n">
        <v>182</v>
      </c>
      <c r="T1073" t="inlineStr">
        <is>
          <t>Love - Shibari - Kamino</t>
        </is>
      </c>
    </row>
    <row r="1074">
      <c r="A1074" t="n">
        <v>96825</v>
      </c>
      <c r="B1074" t="n">
        <v>128</v>
      </c>
      <c r="C1074" t="inlineStr">
        <is>
          <t>Love Cabaret</t>
        </is>
      </c>
      <c r="D1074" t="inlineStr">
        <is>
          <t xml:space="preserve">ANA CLAUDIA DA COSTA PINTO </t>
        </is>
      </c>
      <c r="E1074" t="n">
        <v>471.7</v>
      </c>
      <c r="F1074" s="27" t="n">
        <v>45905</v>
      </c>
      <c r="G1074" s="27" t="n">
        <v>45903</v>
      </c>
      <c r="H1074" s="27" t="n">
        <v>45903</v>
      </c>
      <c r="I1074" s="27" t="n">
        <v>45889</v>
      </c>
      <c r="J1074" s="27" t="n"/>
      <c r="K1074" t="inlineStr">
        <is>
          <t>Transferência Bancária ou Pix</t>
        </is>
      </c>
      <c r="L1074" t="inlineStr">
        <is>
          <t>Manutenção</t>
        </is>
      </c>
      <c r="M1074" t="inlineStr">
        <is>
          <t>Decoração/Paisagismo e Jardinagem</t>
        </is>
      </c>
      <c r="N1074" t="inlineStr">
        <is>
          <t>2389</t>
        </is>
      </c>
      <c r="O1074" t="inlineStr">
        <is>
          <t>Documentação Aprovada</t>
        </is>
      </c>
      <c r="P1074" t="inlineStr">
        <is>
          <t>Aprovado Diretoria</t>
        </is>
      </c>
      <c r="Q1074" t="inlineStr">
        <is>
          <t>Aprovado Caixa</t>
        </is>
      </c>
      <c r="R1074" t="inlineStr">
        <is>
          <t>Pago</t>
        </is>
      </c>
      <c r="S1074" t="n">
        <v>182</v>
      </c>
      <c r="T1074" t="inlineStr">
        <is>
          <t>Love - Shibari - Kamino</t>
        </is>
      </c>
    </row>
    <row r="1075">
      <c r="A1075" t="n">
        <v>97116</v>
      </c>
      <c r="B1075" t="n">
        <v>128</v>
      </c>
      <c r="C1075" t="inlineStr">
        <is>
          <t>Love Cabaret</t>
        </is>
      </c>
      <c r="D1075" t="inlineStr">
        <is>
          <t>ESTAFF SOLUCOES TECNOLOGICAS DE AGENCIAMENTO LTDA</t>
        </is>
      </c>
      <c r="E1075" t="n">
        <v>13761</v>
      </c>
      <c r="F1075" s="27" t="n">
        <v>45903</v>
      </c>
      <c r="G1075" s="27" t="n">
        <v>45903</v>
      </c>
      <c r="H1075" s="27" t="n">
        <v>45903</v>
      </c>
      <c r="I1075" s="27" t="n">
        <v>45894</v>
      </c>
      <c r="J1075" s="27" t="n"/>
      <c r="K1075" t="inlineStr">
        <is>
          <t>Boleto Bancário</t>
        </is>
      </c>
      <c r="L1075" t="inlineStr">
        <is>
          <t>Mão de Obra - Extra</t>
        </is>
      </c>
      <c r="M1075" t="inlineStr">
        <is>
          <t>Mão de Obra Extra</t>
        </is>
      </c>
      <c r="N1075" t="inlineStr">
        <is>
          <t>626775238</t>
        </is>
      </c>
      <c r="O1075" t="inlineStr">
        <is>
          <t>Documentação Aprovada</t>
        </is>
      </c>
      <c r="P1075" t="inlineStr">
        <is>
          <t>Aprovado Diretoria</t>
        </is>
      </c>
      <c r="Q1075" t="inlineStr">
        <is>
          <t>Aprovado Caixa</t>
        </is>
      </c>
      <c r="R1075" t="inlineStr">
        <is>
          <t>Pago</t>
        </is>
      </c>
      <c r="S1075" t="n">
        <v>182</v>
      </c>
      <c r="T1075" t="inlineStr">
        <is>
          <t>Love - Shibari - Kamino</t>
        </is>
      </c>
    </row>
    <row r="1076">
      <c r="A1076" t="n">
        <v>158879</v>
      </c>
      <c r="B1076" t="n">
        <v>128</v>
      </c>
      <c r="C1076" t="inlineStr">
        <is>
          <t>Love Cabaret</t>
        </is>
      </c>
      <c r="D1076" t="inlineStr">
        <is>
          <t>JULIANA OLIVEIRA DA SILVA</t>
        </is>
      </c>
      <c r="E1076" t="n">
        <v>2304.82</v>
      </c>
      <c r="F1076" s="27" t="n">
        <v>45905</v>
      </c>
      <c r="G1076" s="27" t="n">
        <v>45903</v>
      </c>
      <c r="H1076" s="27" t="n">
        <v>45903</v>
      </c>
      <c r="I1076" s="27" t="n">
        <v>45899</v>
      </c>
      <c r="J1076" s="27" t="n"/>
      <c r="K1076" t="inlineStr">
        <is>
          <t>Transferência Bancária ou Pix</t>
        </is>
      </c>
      <c r="L1076" t="inlineStr">
        <is>
          <t>Mão de Obra - Salários</t>
        </is>
      </c>
      <c r="M1076" t="inlineStr">
        <is>
          <t>MDO CLT - Salário</t>
        </is>
      </c>
      <c r="N1076" t="inlineStr">
        <is>
          <t>082025</t>
        </is>
      </c>
      <c r="O1076" t="inlineStr">
        <is>
          <t>Documentação Aprovada</t>
        </is>
      </c>
      <c r="P1076" t="inlineStr">
        <is>
          <t>Aprovado Diretoria</t>
        </is>
      </c>
      <c r="Q1076" t="inlineStr">
        <is>
          <t>Aprovado Caixa</t>
        </is>
      </c>
      <c r="R1076" t="inlineStr">
        <is>
          <t>Pago</t>
        </is>
      </c>
      <c r="S1076" t="n">
        <v>115</v>
      </c>
      <c r="T1076" t="inlineStr">
        <is>
          <t>Love - Shibari - Bradesco</t>
        </is>
      </c>
    </row>
    <row r="1077">
      <c r="A1077" t="n">
        <v>158878</v>
      </c>
      <c r="B1077" t="n">
        <v>128</v>
      </c>
      <c r="C1077" t="inlineStr">
        <is>
          <t>Love Cabaret</t>
        </is>
      </c>
      <c r="D1077" t="inlineStr">
        <is>
          <t>CAROLINE FERREIRA DA SILVA</t>
        </is>
      </c>
      <c r="E1077" t="n">
        <v>3251.12</v>
      </c>
      <c r="F1077" s="27" t="n">
        <v>45905</v>
      </c>
      <c r="G1077" s="27" t="n">
        <v>45903</v>
      </c>
      <c r="H1077" s="27" t="n">
        <v>45903</v>
      </c>
      <c r="I1077" s="27" t="n">
        <v>45899</v>
      </c>
      <c r="J1077" s="27" t="n"/>
      <c r="K1077" t="inlineStr">
        <is>
          <t>Transferência Bancária ou Pix</t>
        </is>
      </c>
      <c r="L1077" t="inlineStr">
        <is>
          <t>Mão de Obra - Salários</t>
        </is>
      </c>
      <c r="M1077" t="inlineStr">
        <is>
          <t>MDO CLT - Salário</t>
        </is>
      </c>
      <c r="N1077" t="inlineStr">
        <is>
          <t>082025</t>
        </is>
      </c>
      <c r="O1077" t="inlineStr">
        <is>
          <t>Documentação Aprovada</t>
        </is>
      </c>
      <c r="P1077" t="inlineStr">
        <is>
          <t>Aprovado Diretoria</t>
        </is>
      </c>
      <c r="Q1077" t="inlineStr">
        <is>
          <t>Aprovado Caixa</t>
        </is>
      </c>
      <c r="R1077" t="inlineStr">
        <is>
          <t>Pago</t>
        </is>
      </c>
      <c r="S1077" t="n">
        <v>115</v>
      </c>
      <c r="T1077" t="inlineStr">
        <is>
          <t>Love - Shibari - Bradesco</t>
        </is>
      </c>
    </row>
    <row r="1078">
      <c r="A1078" t="n">
        <v>159157</v>
      </c>
      <c r="B1078" t="n">
        <v>128</v>
      </c>
      <c r="C1078" t="inlineStr">
        <is>
          <t>Love Cabaret</t>
        </is>
      </c>
      <c r="D1078" t="inlineStr">
        <is>
          <t>BRADESCO SA</t>
        </is>
      </c>
      <c r="E1078" t="n">
        <v>9.800000000000001</v>
      </c>
      <c r="F1078" s="27" t="n">
        <v>45903</v>
      </c>
      <c r="G1078" s="27" t="n"/>
      <c r="H1078" s="27" t="n">
        <v>45903</v>
      </c>
      <c r="I1078" s="27" t="n">
        <v>45903</v>
      </c>
      <c r="J1078" s="27" t="n">
        <v>45904</v>
      </c>
      <c r="K1078" t="inlineStr">
        <is>
          <t>Encontro de Contas</t>
        </is>
      </c>
      <c r="L1078" t="inlineStr">
        <is>
          <t>Despesas Financeiras</t>
        </is>
      </c>
      <c r="M1078" t="inlineStr">
        <is>
          <t>Tarifas Bancárias</t>
        </is>
      </c>
      <c r="N1078" t="inlineStr">
        <is>
          <t>092025</t>
        </is>
      </c>
      <c r="R1078" t="inlineStr">
        <is>
          <t>Pago</t>
        </is>
      </c>
    </row>
    <row r="1079">
      <c r="A1079" t="n">
        <v>156958</v>
      </c>
      <c r="B1079" t="n">
        <v>128</v>
      </c>
      <c r="C1079" t="inlineStr">
        <is>
          <t>Love Cabaret</t>
        </is>
      </c>
      <c r="D1079" t="inlineStr">
        <is>
          <t>BOM GOSTO HORTIFRUTI LTDA</t>
        </is>
      </c>
      <c r="E1079" t="n">
        <v>262.31</v>
      </c>
      <c r="F1079" s="27" t="n">
        <v>45905</v>
      </c>
      <c r="G1079" s="27" t="n">
        <v>45903</v>
      </c>
      <c r="H1079" s="27" t="n">
        <v>45903</v>
      </c>
      <c r="I1079" s="27" t="n">
        <v>45890</v>
      </c>
      <c r="J1079" s="27" t="n">
        <v>45896</v>
      </c>
      <c r="K1079" t="inlineStr">
        <is>
          <t>Boleto Bancário</t>
        </is>
      </c>
      <c r="L1079" t="inlineStr">
        <is>
          <t>Custo Mercadoria Vendida</t>
        </is>
      </c>
      <c r="M1079" t="inlineStr">
        <is>
          <t>Insumos - Alimentos</t>
        </is>
      </c>
      <c r="N1079" t="inlineStr">
        <is>
          <t>132484</t>
        </is>
      </c>
      <c r="O1079" t="inlineStr">
        <is>
          <t>Documentação Aprovada</t>
        </is>
      </c>
      <c r="P1079" t="inlineStr">
        <is>
          <t>Aprovado Diretoria</t>
        </is>
      </c>
      <c r="Q1079" t="inlineStr">
        <is>
          <t>Aprovado Caixa</t>
        </is>
      </c>
      <c r="R1079" t="inlineStr">
        <is>
          <t>Pago</t>
        </is>
      </c>
      <c r="S1079" t="n">
        <v>182</v>
      </c>
      <c r="T1079" t="inlineStr">
        <is>
          <t>Love - Shibari - Kamino</t>
        </is>
      </c>
    </row>
    <row r="1080">
      <c r="A1080" t="n">
        <v>157059</v>
      </c>
      <c r="B1080" t="n">
        <v>128</v>
      </c>
      <c r="C1080" t="inlineStr">
        <is>
          <t>Love Cabaret</t>
        </is>
      </c>
      <c r="D1080" t="inlineStr">
        <is>
          <t>CECILIA TSUYACO ARAKI SILVA LTDA</t>
        </is>
      </c>
      <c r="E1080" t="n">
        <v>226.2</v>
      </c>
      <c r="F1080" s="27" t="n">
        <v>45904</v>
      </c>
      <c r="G1080" s="27" t="n">
        <v>45903</v>
      </c>
      <c r="H1080" s="27" t="n">
        <v>45903</v>
      </c>
      <c r="I1080" s="27" t="n">
        <v>45890</v>
      </c>
      <c r="J1080" s="27" t="n">
        <v>45896</v>
      </c>
      <c r="K1080" t="inlineStr">
        <is>
          <t>Boleto Bancário</t>
        </is>
      </c>
      <c r="L1080" t="inlineStr">
        <is>
          <t>Custo Mercadoria Vendida</t>
        </is>
      </c>
      <c r="M1080" t="inlineStr">
        <is>
          <t>Insumos - Alimentos</t>
        </is>
      </c>
      <c r="N1080" t="inlineStr">
        <is>
          <t>376704</t>
        </is>
      </c>
      <c r="O1080" t="inlineStr">
        <is>
          <t>Documentação Aprovada</t>
        </is>
      </c>
      <c r="P1080" t="inlineStr">
        <is>
          <t>Aprovado Diretoria</t>
        </is>
      </c>
      <c r="Q1080" t="inlineStr">
        <is>
          <t>Aprovado Caixa</t>
        </is>
      </c>
      <c r="R1080" t="inlineStr">
        <is>
          <t>Pago</t>
        </is>
      </c>
      <c r="S1080" t="n">
        <v>182</v>
      </c>
      <c r="T1080" t="inlineStr">
        <is>
          <t>Love - Shibari - Kamino</t>
        </is>
      </c>
    </row>
    <row r="1081">
      <c r="A1081" t="n">
        <v>156994</v>
      </c>
      <c r="B1081" t="n">
        <v>128</v>
      </c>
      <c r="C1081" t="inlineStr">
        <is>
          <t>Love Cabaret</t>
        </is>
      </c>
      <c r="D1081" t="inlineStr">
        <is>
          <t>PETTY CASH</t>
        </is>
      </c>
      <c r="E1081" t="n">
        <v>52.66</v>
      </c>
      <c r="F1081" s="27" t="n">
        <v>45905</v>
      </c>
      <c r="G1081" s="27" t="n">
        <v>45903</v>
      </c>
      <c r="H1081" s="27" t="n">
        <v>45903</v>
      </c>
      <c r="I1081" s="27" t="n">
        <v>45870</v>
      </c>
      <c r="J1081" s="27" t="n">
        <v>45896</v>
      </c>
      <c r="K1081" t="inlineStr">
        <is>
          <t>Cartão de Crédito</t>
        </is>
      </c>
      <c r="L1081" t="inlineStr">
        <is>
          <t>Custo Mercadoria Vendida</t>
        </is>
      </c>
      <c r="M1081" t="inlineStr">
        <is>
          <t>Insumos - Alimentos</t>
        </is>
      </c>
      <c r="N1081" t="inlineStr">
        <is>
          <t>23PETTY082025</t>
        </is>
      </c>
      <c r="O1081" t="inlineStr">
        <is>
          <t>Documentação Aprovada</t>
        </is>
      </c>
      <c r="P1081" t="inlineStr">
        <is>
          <t>Aprovado Diretoria</t>
        </is>
      </c>
      <c r="Q1081" t="inlineStr">
        <is>
          <t>Aprovado Caixa</t>
        </is>
      </c>
      <c r="R1081" t="inlineStr">
        <is>
          <t>Pago</t>
        </is>
      </c>
      <c r="S1081" t="n">
        <v>182</v>
      </c>
      <c r="T1081" t="inlineStr">
        <is>
          <t>Love - Shibari - Kamino</t>
        </is>
      </c>
    </row>
    <row r="1082">
      <c r="A1082" t="n">
        <v>157027</v>
      </c>
      <c r="B1082" t="n">
        <v>128</v>
      </c>
      <c r="C1082" t="inlineStr">
        <is>
          <t>Love Cabaret</t>
        </is>
      </c>
      <c r="D1082" t="inlineStr">
        <is>
          <t xml:space="preserve">HORTIFRUTI DO CHEF LTDA </t>
        </is>
      </c>
      <c r="E1082" t="n">
        <v>388</v>
      </c>
      <c r="F1082" s="27" t="n">
        <v>45904</v>
      </c>
      <c r="G1082" s="27" t="n">
        <v>45903</v>
      </c>
      <c r="H1082" s="27" t="n">
        <v>45903</v>
      </c>
      <c r="I1082" s="27" t="n">
        <v>45890</v>
      </c>
      <c r="J1082" s="27" t="n">
        <v>45896</v>
      </c>
      <c r="K1082" t="inlineStr">
        <is>
          <t>Boleto Bancário</t>
        </is>
      </c>
      <c r="L1082" t="inlineStr">
        <is>
          <t>Custo Mercadoria Vendida</t>
        </is>
      </c>
      <c r="M1082" t="inlineStr">
        <is>
          <t>Insumos - Alimentos</t>
        </is>
      </c>
      <c r="N1082" t="inlineStr">
        <is>
          <t>27643</t>
        </is>
      </c>
      <c r="O1082" t="inlineStr">
        <is>
          <t>Documentação Aprovada</t>
        </is>
      </c>
      <c r="P1082" t="inlineStr">
        <is>
          <t>Aprovado Diretoria</t>
        </is>
      </c>
      <c r="Q1082" t="inlineStr">
        <is>
          <t>Aprovado Caixa</t>
        </is>
      </c>
      <c r="R1082" t="inlineStr">
        <is>
          <t>Pago</t>
        </is>
      </c>
      <c r="S1082" t="n">
        <v>182</v>
      </c>
      <c r="T1082" t="inlineStr">
        <is>
          <t>Love - Shibari - Kamino</t>
        </is>
      </c>
    </row>
    <row r="1083">
      <c r="A1083" t="n">
        <v>156416</v>
      </c>
      <c r="B1083" t="n">
        <v>128</v>
      </c>
      <c r="C1083" t="inlineStr">
        <is>
          <t>Love Cabaret</t>
        </is>
      </c>
      <c r="D1083" t="inlineStr">
        <is>
          <t>PETTY CASH</t>
        </is>
      </c>
      <c r="E1083" t="n">
        <v>377</v>
      </c>
      <c r="F1083" s="27" t="n">
        <v>45905</v>
      </c>
      <c r="G1083" s="27" t="n">
        <v>45903</v>
      </c>
      <c r="H1083" s="27" t="n">
        <v>45903</v>
      </c>
      <c r="I1083" s="27" t="n">
        <v>45870</v>
      </c>
      <c r="J1083" s="27" t="n">
        <v>45894</v>
      </c>
      <c r="K1083" t="inlineStr">
        <is>
          <t>Cartão de Crédito</t>
        </is>
      </c>
      <c r="L1083" t="inlineStr">
        <is>
          <t>Mão de Obra - Benefícios</t>
        </is>
      </c>
      <c r="M1083" t="inlineStr">
        <is>
          <t xml:space="preserve">  -  Uniformes Manutenção e Reposição</t>
        </is>
      </c>
      <c r="N1083" t="inlineStr">
        <is>
          <t>20PETTY082025</t>
        </is>
      </c>
      <c r="O1083" t="inlineStr">
        <is>
          <t>Documentação Aprovada</t>
        </is>
      </c>
      <c r="P1083" t="inlineStr">
        <is>
          <t>Aprovado Diretoria</t>
        </is>
      </c>
      <c r="Q1083" t="inlineStr">
        <is>
          <t>Aprovado Caixa</t>
        </is>
      </c>
      <c r="R1083" t="inlineStr">
        <is>
          <t>Pago</t>
        </is>
      </c>
      <c r="S1083" t="n">
        <v>182</v>
      </c>
      <c r="T1083" t="inlineStr">
        <is>
          <t>Love - Shibari - Kamino</t>
        </is>
      </c>
    </row>
    <row r="1084">
      <c r="A1084" t="n">
        <v>156415</v>
      </c>
      <c r="B1084" t="n">
        <v>128</v>
      </c>
      <c r="C1084" t="inlineStr">
        <is>
          <t>Love Cabaret</t>
        </is>
      </c>
      <c r="D1084" t="inlineStr">
        <is>
          <t>PETTY CASH</t>
        </is>
      </c>
      <c r="E1084" t="n">
        <v>15.98</v>
      </c>
      <c r="F1084" s="27" t="n">
        <v>45905</v>
      </c>
      <c r="G1084" s="27" t="n">
        <v>45903</v>
      </c>
      <c r="H1084" s="27" t="n">
        <v>45903</v>
      </c>
      <c r="I1084" s="27" t="n">
        <v>45870</v>
      </c>
      <c r="J1084" s="27" t="n">
        <v>45894</v>
      </c>
      <c r="K1084" t="inlineStr">
        <is>
          <t>Cartão de Crédito</t>
        </is>
      </c>
      <c r="L1084" t="inlineStr">
        <is>
          <t>Custo Mercadoria Vendida</t>
        </is>
      </c>
      <c r="M1084" t="inlineStr">
        <is>
          <t>Insumos - Alimentos</t>
        </is>
      </c>
      <c r="N1084" t="inlineStr">
        <is>
          <t>19PETTY082025</t>
        </is>
      </c>
      <c r="O1084" t="inlineStr">
        <is>
          <t>Documentação Aprovada</t>
        </is>
      </c>
      <c r="P1084" t="inlineStr">
        <is>
          <t>Aprovado Diretoria</t>
        </is>
      </c>
      <c r="Q1084" t="inlineStr">
        <is>
          <t>Aprovado Caixa</t>
        </is>
      </c>
      <c r="R1084" t="inlineStr">
        <is>
          <t>Pago</t>
        </is>
      </c>
      <c r="S1084" t="n">
        <v>182</v>
      </c>
      <c r="T1084" t="inlineStr">
        <is>
          <t>Love - Shibari - Kamino</t>
        </is>
      </c>
    </row>
    <row r="1085">
      <c r="A1085" t="n">
        <v>156413</v>
      </c>
      <c r="B1085" t="n">
        <v>128</v>
      </c>
      <c r="C1085" t="inlineStr">
        <is>
          <t>Love Cabaret</t>
        </is>
      </c>
      <c r="D1085" t="inlineStr">
        <is>
          <t>PETTY CASH</t>
        </is>
      </c>
      <c r="E1085" t="n">
        <v>180.36</v>
      </c>
      <c r="F1085" s="27" t="n">
        <v>45905</v>
      </c>
      <c r="G1085" s="27" t="n">
        <v>45903</v>
      </c>
      <c r="H1085" s="27" t="n">
        <v>45903</v>
      </c>
      <c r="I1085" s="27" t="n">
        <v>45870</v>
      </c>
      <c r="J1085" s="27" t="n">
        <v>45894</v>
      </c>
      <c r="K1085" t="inlineStr">
        <is>
          <t>Cartão de Crédito</t>
        </is>
      </c>
      <c r="L1085" t="inlineStr">
        <is>
          <t>Utilidades</t>
        </is>
      </c>
      <c r="M1085" t="inlineStr">
        <is>
          <t>Utensilios</t>
        </is>
      </c>
      <c r="N1085" t="inlineStr">
        <is>
          <t>18PETTY082025</t>
        </is>
      </c>
      <c r="O1085" t="inlineStr">
        <is>
          <t>Documentação Aprovada</t>
        </is>
      </c>
      <c r="P1085" t="inlineStr">
        <is>
          <t>Aprovado Diretoria</t>
        </is>
      </c>
      <c r="Q1085" t="inlineStr">
        <is>
          <t>Aprovado Caixa</t>
        </is>
      </c>
      <c r="R1085" t="inlineStr">
        <is>
          <t>Pago</t>
        </is>
      </c>
      <c r="S1085" t="n">
        <v>182</v>
      </c>
      <c r="T1085" t="inlineStr">
        <is>
          <t>Love - Shibari - Kamino</t>
        </is>
      </c>
    </row>
    <row r="1086">
      <c r="A1086" t="n">
        <v>156418</v>
      </c>
      <c r="B1086" t="n">
        <v>128</v>
      </c>
      <c r="C1086" t="inlineStr">
        <is>
          <t>Love Cabaret</t>
        </is>
      </c>
      <c r="D1086" t="inlineStr">
        <is>
          <t>PETTY CASH</t>
        </is>
      </c>
      <c r="E1086" t="n">
        <v>7.2</v>
      </c>
      <c r="F1086" s="27" t="n">
        <v>45905</v>
      </c>
      <c r="G1086" s="27" t="n">
        <v>45903</v>
      </c>
      <c r="H1086" s="27" t="n">
        <v>45903</v>
      </c>
      <c r="I1086" s="27" t="n">
        <v>45870</v>
      </c>
      <c r="J1086" s="27" t="n">
        <v>45894</v>
      </c>
      <c r="K1086" t="inlineStr">
        <is>
          <t>Cartão de Crédito</t>
        </is>
      </c>
      <c r="L1086" t="inlineStr">
        <is>
          <t>Custo Mercadoria Vendida</t>
        </is>
      </c>
      <c r="M1086" t="inlineStr">
        <is>
          <t>Insumos - Alimentos</t>
        </is>
      </c>
      <c r="N1086" t="inlineStr">
        <is>
          <t>21PETTY082025</t>
        </is>
      </c>
      <c r="O1086" t="inlineStr">
        <is>
          <t>Documentação Aprovada</t>
        </is>
      </c>
      <c r="P1086" t="inlineStr">
        <is>
          <t>Aprovado Diretoria</t>
        </is>
      </c>
      <c r="Q1086" t="inlineStr">
        <is>
          <t>Aprovado Caixa</t>
        </is>
      </c>
      <c r="R1086" t="inlineStr">
        <is>
          <t>Pago</t>
        </is>
      </c>
      <c r="S1086" t="n">
        <v>182</v>
      </c>
      <c r="T1086" t="inlineStr">
        <is>
          <t>Love - Shibari - Kamino</t>
        </is>
      </c>
    </row>
    <row r="1087">
      <c r="A1087" t="n">
        <v>155602</v>
      </c>
      <c r="B1087" t="n">
        <v>128</v>
      </c>
      <c r="C1087" t="inlineStr">
        <is>
          <t>Love Cabaret</t>
        </is>
      </c>
      <c r="D1087" t="inlineStr">
        <is>
          <t>PETTY CASH</t>
        </is>
      </c>
      <c r="E1087" t="n">
        <v>43.51</v>
      </c>
      <c r="F1087" s="27" t="n">
        <v>45905</v>
      </c>
      <c r="G1087" s="27" t="n">
        <v>45903</v>
      </c>
      <c r="H1087" s="27" t="n">
        <v>45903</v>
      </c>
      <c r="I1087" s="27" t="n">
        <v>45870</v>
      </c>
      <c r="J1087" s="27" t="n">
        <v>45888</v>
      </c>
      <c r="K1087" t="inlineStr">
        <is>
          <t>Cartão de Crédito</t>
        </is>
      </c>
      <c r="L1087" t="inlineStr">
        <is>
          <t>Custo Mercadoria Vendida</t>
        </is>
      </c>
      <c r="M1087" t="inlineStr">
        <is>
          <t>Insumos - Alimentos</t>
        </is>
      </c>
      <c r="N1087" t="inlineStr">
        <is>
          <t>2PETTY082025</t>
        </is>
      </c>
      <c r="O1087" t="inlineStr">
        <is>
          <t>Documentação Aprovada</t>
        </is>
      </c>
      <c r="P1087" t="inlineStr">
        <is>
          <t>Aprovado Diretoria</t>
        </is>
      </c>
      <c r="Q1087" t="inlineStr">
        <is>
          <t>Aprovado Caixa</t>
        </is>
      </c>
      <c r="R1087" t="inlineStr">
        <is>
          <t>Pago</t>
        </is>
      </c>
      <c r="S1087" t="n">
        <v>182</v>
      </c>
      <c r="T1087" t="inlineStr">
        <is>
          <t>Love - Shibari - Kamino</t>
        </is>
      </c>
    </row>
    <row r="1088">
      <c r="A1088" t="n">
        <v>155631</v>
      </c>
      <c r="B1088" t="n">
        <v>128</v>
      </c>
      <c r="C1088" t="inlineStr">
        <is>
          <t>Love Cabaret</t>
        </is>
      </c>
      <c r="D1088" t="inlineStr">
        <is>
          <t>PETTY CASH</t>
        </is>
      </c>
      <c r="E1088" t="n">
        <v>19.02</v>
      </c>
      <c r="F1088" s="27" t="n">
        <v>45905</v>
      </c>
      <c r="G1088" s="27" t="n">
        <v>45903</v>
      </c>
      <c r="H1088" s="27" t="n">
        <v>45903</v>
      </c>
      <c r="I1088" s="27" t="n">
        <v>45870</v>
      </c>
      <c r="J1088" s="27" t="n">
        <v>45888</v>
      </c>
      <c r="K1088" t="inlineStr">
        <is>
          <t>Cartão de Crédito</t>
        </is>
      </c>
      <c r="L1088" t="inlineStr">
        <is>
          <t>Utilidades</t>
        </is>
      </c>
      <c r="M1088" t="inlineStr">
        <is>
          <t>Utensilios</t>
        </is>
      </c>
      <c r="N1088" t="inlineStr">
        <is>
          <t>17PETTY082025</t>
        </is>
      </c>
      <c r="O1088" t="inlineStr">
        <is>
          <t>Documentação Aprovada</t>
        </is>
      </c>
      <c r="P1088" t="inlineStr">
        <is>
          <t>Aprovado Diretoria</t>
        </is>
      </c>
      <c r="Q1088" t="inlineStr">
        <is>
          <t>Aprovado Caixa</t>
        </is>
      </c>
      <c r="R1088" t="inlineStr">
        <is>
          <t>Pago</t>
        </is>
      </c>
      <c r="S1088" t="n">
        <v>182</v>
      </c>
      <c r="T1088" t="inlineStr">
        <is>
          <t>Love - Shibari - Kamino</t>
        </is>
      </c>
    </row>
    <row r="1089">
      <c r="A1089" t="n">
        <v>155630</v>
      </c>
      <c r="B1089" t="n">
        <v>128</v>
      </c>
      <c r="C1089" t="inlineStr">
        <is>
          <t>Love Cabaret</t>
        </is>
      </c>
      <c r="D1089" t="inlineStr">
        <is>
          <t>PETTY CASH</t>
        </is>
      </c>
      <c r="E1089" t="n">
        <v>38.8</v>
      </c>
      <c r="F1089" s="27" t="n">
        <v>45905</v>
      </c>
      <c r="G1089" s="27" t="n">
        <v>45903</v>
      </c>
      <c r="H1089" s="27" t="n">
        <v>45903</v>
      </c>
      <c r="I1089" s="27" t="n">
        <v>45870</v>
      </c>
      <c r="J1089" s="27" t="n">
        <v>45888</v>
      </c>
      <c r="K1089" t="inlineStr">
        <is>
          <t>Cartão de Crédito</t>
        </is>
      </c>
      <c r="L1089" t="inlineStr">
        <is>
          <t>Utilidades</t>
        </is>
      </c>
      <c r="M1089" t="inlineStr">
        <is>
          <t>Utensilios</t>
        </is>
      </c>
      <c r="N1089" t="inlineStr">
        <is>
          <t>16PETTY082025</t>
        </is>
      </c>
      <c r="O1089" t="inlineStr">
        <is>
          <t>Documentação Aprovada</t>
        </is>
      </c>
      <c r="P1089" t="inlineStr">
        <is>
          <t>Aprovado Diretoria</t>
        </is>
      </c>
      <c r="Q1089" t="inlineStr">
        <is>
          <t>Aprovado Caixa</t>
        </is>
      </c>
      <c r="R1089" t="inlineStr">
        <is>
          <t>Pago</t>
        </is>
      </c>
      <c r="S1089" t="n">
        <v>182</v>
      </c>
      <c r="T1089" t="inlineStr">
        <is>
          <t>Love - Shibari - Kamino</t>
        </is>
      </c>
    </row>
    <row r="1090">
      <c r="A1090" t="n">
        <v>155627</v>
      </c>
      <c r="B1090" t="n">
        <v>128</v>
      </c>
      <c r="C1090" t="inlineStr">
        <is>
          <t>Love Cabaret</t>
        </is>
      </c>
      <c r="D1090" t="inlineStr">
        <is>
          <t>PETTY CASH</t>
        </is>
      </c>
      <c r="E1090" t="n">
        <v>209.1</v>
      </c>
      <c r="F1090" s="27" t="n">
        <v>45905</v>
      </c>
      <c r="G1090" s="27" t="n">
        <v>45903</v>
      </c>
      <c r="H1090" s="27" t="n">
        <v>45903</v>
      </c>
      <c r="I1090" s="27" t="n">
        <v>45870</v>
      </c>
      <c r="J1090" s="27" t="n">
        <v>45888</v>
      </c>
      <c r="K1090" t="inlineStr">
        <is>
          <t>Cartão de Crédito</t>
        </is>
      </c>
      <c r="L1090" t="inlineStr">
        <is>
          <t>Utilidades</t>
        </is>
      </c>
      <c r="M1090" t="inlineStr">
        <is>
          <t>Utensilios</t>
        </is>
      </c>
      <c r="N1090" t="inlineStr">
        <is>
          <t>15PETTY082025</t>
        </is>
      </c>
      <c r="O1090" t="inlineStr">
        <is>
          <t>Documentação Aprovada</t>
        </is>
      </c>
      <c r="P1090" t="inlineStr">
        <is>
          <t>Aprovado Diretoria</t>
        </is>
      </c>
      <c r="Q1090" t="inlineStr">
        <is>
          <t>Aprovado Caixa</t>
        </is>
      </c>
      <c r="R1090" t="inlineStr">
        <is>
          <t>Pago</t>
        </is>
      </c>
      <c r="S1090" t="n">
        <v>182</v>
      </c>
      <c r="T1090" t="inlineStr">
        <is>
          <t>Love - Shibari - Kamino</t>
        </is>
      </c>
    </row>
    <row r="1091">
      <c r="A1091" t="n">
        <v>155626</v>
      </c>
      <c r="B1091" t="n">
        <v>128</v>
      </c>
      <c r="C1091" t="inlineStr">
        <is>
          <t>Love Cabaret</t>
        </is>
      </c>
      <c r="D1091" t="inlineStr">
        <is>
          <t>PETTY CASH</t>
        </is>
      </c>
      <c r="E1091" t="n">
        <v>595</v>
      </c>
      <c r="F1091" s="27" t="n">
        <v>45905</v>
      </c>
      <c r="G1091" s="27" t="n">
        <v>45903</v>
      </c>
      <c r="H1091" s="27" t="n">
        <v>45903</v>
      </c>
      <c r="I1091" s="27" t="n">
        <v>45870</v>
      </c>
      <c r="J1091" s="27" t="n">
        <v>45888</v>
      </c>
      <c r="K1091" t="inlineStr">
        <is>
          <t>Cartão de Crédito</t>
        </is>
      </c>
      <c r="L1091" t="inlineStr">
        <is>
          <t>Manutenção</t>
        </is>
      </c>
      <c r="M1091" t="inlineStr">
        <is>
          <t>Manutenção de Equipamentos</t>
        </is>
      </c>
      <c r="N1091" t="inlineStr">
        <is>
          <t>14PETTY082025</t>
        </is>
      </c>
      <c r="O1091" t="inlineStr">
        <is>
          <t>Documentação Aprovada</t>
        </is>
      </c>
      <c r="P1091" t="inlineStr">
        <is>
          <t>Aprovado Diretoria</t>
        </is>
      </c>
      <c r="Q1091" t="inlineStr">
        <is>
          <t>Aprovado Caixa</t>
        </is>
      </c>
      <c r="R1091" t="inlineStr">
        <is>
          <t>Pago</t>
        </is>
      </c>
      <c r="S1091" t="n">
        <v>182</v>
      </c>
      <c r="T1091" t="inlineStr">
        <is>
          <t>Love - Shibari - Kamino</t>
        </is>
      </c>
    </row>
    <row r="1092">
      <c r="A1092" t="n">
        <v>155625</v>
      </c>
      <c r="B1092" t="n">
        <v>128</v>
      </c>
      <c r="C1092" t="inlineStr">
        <is>
          <t>Love Cabaret</t>
        </is>
      </c>
      <c r="D1092" t="inlineStr">
        <is>
          <t>PETTY CASH</t>
        </is>
      </c>
      <c r="E1092" t="n">
        <v>5</v>
      </c>
      <c r="F1092" s="27" t="n">
        <v>45905</v>
      </c>
      <c r="G1092" s="27" t="n">
        <v>45903</v>
      </c>
      <c r="H1092" s="27" t="n">
        <v>45903</v>
      </c>
      <c r="I1092" s="27" t="n">
        <v>45870</v>
      </c>
      <c r="J1092" s="27" t="n">
        <v>45888</v>
      </c>
      <c r="K1092" t="inlineStr">
        <is>
          <t>Cartão de Crédito</t>
        </is>
      </c>
      <c r="L1092" t="inlineStr">
        <is>
          <t>Utilidades</t>
        </is>
      </c>
      <c r="M1092" t="inlineStr">
        <is>
          <t>Material de Escritorio</t>
        </is>
      </c>
      <c r="N1092" t="inlineStr">
        <is>
          <t>13PETTY082025</t>
        </is>
      </c>
      <c r="O1092" t="inlineStr">
        <is>
          <t>Documentação Aprovada</t>
        </is>
      </c>
      <c r="P1092" t="inlineStr">
        <is>
          <t>Aprovado Diretoria</t>
        </is>
      </c>
      <c r="Q1092" t="inlineStr">
        <is>
          <t>Aprovado Caixa</t>
        </is>
      </c>
      <c r="R1092" t="inlineStr">
        <is>
          <t>Pago</t>
        </is>
      </c>
      <c r="S1092" t="n">
        <v>182</v>
      </c>
      <c r="T1092" t="inlineStr">
        <is>
          <t>Love - Shibari - Kamino</t>
        </is>
      </c>
    </row>
    <row r="1093">
      <c r="A1093" t="n">
        <v>155623</v>
      </c>
      <c r="B1093" t="n">
        <v>128</v>
      </c>
      <c r="C1093" t="inlineStr">
        <is>
          <t>Love Cabaret</t>
        </is>
      </c>
      <c r="D1093" t="inlineStr">
        <is>
          <t>PETTY CASH</t>
        </is>
      </c>
      <c r="E1093" t="n">
        <v>112.8</v>
      </c>
      <c r="F1093" s="27" t="n">
        <v>45905</v>
      </c>
      <c r="G1093" s="27" t="n">
        <v>45903</v>
      </c>
      <c r="H1093" s="27" t="n">
        <v>45903</v>
      </c>
      <c r="I1093" s="27" t="n">
        <v>45870</v>
      </c>
      <c r="J1093" s="27" t="n">
        <v>45888</v>
      </c>
      <c r="K1093" t="inlineStr">
        <is>
          <t>Cartão de Crédito</t>
        </is>
      </c>
      <c r="L1093" t="inlineStr">
        <is>
          <t>Utilidades</t>
        </is>
      </c>
      <c r="M1093" t="inlineStr">
        <is>
          <t>Utensilios</t>
        </is>
      </c>
      <c r="N1093" t="inlineStr">
        <is>
          <t>12PETTY082025</t>
        </is>
      </c>
      <c r="O1093" t="inlineStr">
        <is>
          <t>Documentação Aprovada</t>
        </is>
      </c>
      <c r="P1093" t="inlineStr">
        <is>
          <t>Aprovado Diretoria</t>
        </is>
      </c>
      <c r="Q1093" t="inlineStr">
        <is>
          <t>Aprovado Caixa</t>
        </is>
      </c>
      <c r="R1093" t="inlineStr">
        <is>
          <t>Pago</t>
        </is>
      </c>
      <c r="S1093" t="n">
        <v>182</v>
      </c>
      <c r="T1093" t="inlineStr">
        <is>
          <t>Love - Shibari - Kamino</t>
        </is>
      </c>
    </row>
    <row r="1094">
      <c r="A1094" t="n">
        <v>155622</v>
      </c>
      <c r="B1094" t="n">
        <v>128</v>
      </c>
      <c r="C1094" t="inlineStr">
        <is>
          <t>Love Cabaret</t>
        </is>
      </c>
      <c r="D1094" t="inlineStr">
        <is>
          <t>PETTY CASH</t>
        </is>
      </c>
      <c r="E1094" t="n">
        <v>45</v>
      </c>
      <c r="F1094" s="27" t="n">
        <v>45905</v>
      </c>
      <c r="G1094" s="27" t="n">
        <v>45903</v>
      </c>
      <c r="H1094" s="27" t="n">
        <v>45903</v>
      </c>
      <c r="I1094" s="27" t="n">
        <v>45870</v>
      </c>
      <c r="J1094" s="27" t="n">
        <v>45888</v>
      </c>
      <c r="K1094" t="inlineStr">
        <is>
          <t>Cartão de Crédito</t>
        </is>
      </c>
      <c r="L1094" t="inlineStr">
        <is>
          <t>Utilidades</t>
        </is>
      </c>
      <c r="M1094" t="inlineStr">
        <is>
          <t>Serviço de Lavanderia</t>
        </is>
      </c>
      <c r="N1094" t="inlineStr">
        <is>
          <t>11PETTY082025</t>
        </is>
      </c>
      <c r="O1094" t="inlineStr">
        <is>
          <t>Documentação Aprovada</t>
        </is>
      </c>
      <c r="P1094" t="inlineStr">
        <is>
          <t>Aprovado Diretoria</t>
        </is>
      </c>
      <c r="Q1094" t="inlineStr">
        <is>
          <t>Aprovado Caixa</t>
        </is>
      </c>
      <c r="R1094" t="inlineStr">
        <is>
          <t>Pago</t>
        </is>
      </c>
      <c r="S1094" t="n">
        <v>182</v>
      </c>
      <c r="T1094" t="inlineStr">
        <is>
          <t>Love - Shibari - Kamino</t>
        </is>
      </c>
    </row>
    <row r="1095">
      <c r="A1095" t="n">
        <v>155621</v>
      </c>
      <c r="B1095" t="n">
        <v>128</v>
      </c>
      <c r="C1095" t="inlineStr">
        <is>
          <t>Love Cabaret</t>
        </is>
      </c>
      <c r="D1095" t="inlineStr">
        <is>
          <t>PETTY CASH</t>
        </is>
      </c>
      <c r="E1095" t="n">
        <v>42.26</v>
      </c>
      <c r="F1095" s="27" t="n">
        <v>45905</v>
      </c>
      <c r="G1095" s="27" t="n">
        <v>45903</v>
      </c>
      <c r="H1095" s="27" t="n">
        <v>45903</v>
      </c>
      <c r="I1095" s="27" t="n">
        <v>45870</v>
      </c>
      <c r="J1095" s="27" t="n">
        <v>45888</v>
      </c>
      <c r="K1095" t="inlineStr">
        <is>
          <t>Cartão de Crédito</t>
        </is>
      </c>
      <c r="L1095" t="inlineStr">
        <is>
          <t>Utilidades</t>
        </is>
      </c>
      <c r="M1095" t="inlineStr">
        <is>
          <t>Utensilios</t>
        </is>
      </c>
      <c r="N1095" t="inlineStr">
        <is>
          <t>10PETTY082025</t>
        </is>
      </c>
      <c r="O1095" t="inlineStr">
        <is>
          <t>Documentação Aprovada</t>
        </is>
      </c>
      <c r="P1095" t="inlineStr">
        <is>
          <t>Aprovado Diretoria</t>
        </is>
      </c>
      <c r="Q1095" t="inlineStr">
        <is>
          <t>Aprovado Caixa</t>
        </is>
      </c>
      <c r="R1095" t="inlineStr">
        <is>
          <t>Pago</t>
        </is>
      </c>
      <c r="S1095" t="n">
        <v>182</v>
      </c>
      <c r="T1095" t="inlineStr">
        <is>
          <t>Love - Shibari - Kamino</t>
        </is>
      </c>
    </row>
    <row r="1096">
      <c r="A1096" t="n">
        <v>155619</v>
      </c>
      <c r="B1096" t="n">
        <v>128</v>
      </c>
      <c r="C1096" t="inlineStr">
        <is>
          <t>Love Cabaret</t>
        </is>
      </c>
      <c r="D1096" t="inlineStr">
        <is>
          <t>PETTY CASH</t>
        </is>
      </c>
      <c r="E1096" t="n">
        <v>101.88</v>
      </c>
      <c r="F1096" s="27" t="n">
        <v>45905</v>
      </c>
      <c r="G1096" s="27" t="n">
        <v>45903</v>
      </c>
      <c r="H1096" s="27" t="n">
        <v>45903</v>
      </c>
      <c r="I1096" s="27" t="n">
        <v>45870</v>
      </c>
      <c r="J1096" s="27" t="n">
        <v>45888</v>
      </c>
      <c r="K1096" t="inlineStr">
        <is>
          <t>Cartão de Crédito</t>
        </is>
      </c>
      <c r="L1096" t="inlineStr">
        <is>
          <t>Utilidades</t>
        </is>
      </c>
      <c r="M1096" t="inlineStr">
        <is>
          <t>Serviços Graficos</t>
        </is>
      </c>
      <c r="N1096" t="inlineStr">
        <is>
          <t>9PETTY082025</t>
        </is>
      </c>
      <c r="O1096" t="inlineStr">
        <is>
          <t>Documentação Aprovada</t>
        </is>
      </c>
      <c r="P1096" t="inlineStr">
        <is>
          <t>Aprovado Diretoria</t>
        </is>
      </c>
      <c r="Q1096" t="inlineStr">
        <is>
          <t>Aprovado Caixa</t>
        </is>
      </c>
      <c r="R1096" t="inlineStr">
        <is>
          <t>Pago</t>
        </is>
      </c>
      <c r="S1096" t="n">
        <v>182</v>
      </c>
      <c r="T1096" t="inlineStr">
        <is>
          <t>Love - Shibari - Kamino</t>
        </is>
      </c>
    </row>
    <row r="1097">
      <c r="A1097" t="n">
        <v>155615</v>
      </c>
      <c r="B1097" t="n">
        <v>128</v>
      </c>
      <c r="C1097" t="inlineStr">
        <is>
          <t>Love Cabaret</t>
        </is>
      </c>
      <c r="D1097" t="inlineStr">
        <is>
          <t>PETTY CASH</t>
        </is>
      </c>
      <c r="E1097" t="n">
        <v>9.99</v>
      </c>
      <c r="F1097" s="27" t="n">
        <v>45905</v>
      </c>
      <c r="G1097" s="27" t="n">
        <v>45903</v>
      </c>
      <c r="H1097" s="27" t="n">
        <v>45903</v>
      </c>
      <c r="I1097" s="27" t="n">
        <v>45870</v>
      </c>
      <c r="J1097" s="27" t="n">
        <v>45888</v>
      </c>
      <c r="K1097" t="inlineStr">
        <is>
          <t>Cartão de Crédito</t>
        </is>
      </c>
      <c r="L1097" t="inlineStr">
        <is>
          <t>Mão de Obra - Benefícios</t>
        </is>
      </c>
      <c r="M1097" t="inlineStr">
        <is>
          <t xml:space="preserve">  -  Alimentação Funcionário</t>
        </is>
      </c>
      <c r="N1097" t="inlineStr">
        <is>
          <t>8PETTY082025</t>
        </is>
      </c>
      <c r="O1097" t="inlineStr">
        <is>
          <t>Documentação Aprovada</t>
        </is>
      </c>
      <c r="P1097" t="inlineStr">
        <is>
          <t>Aprovado Diretoria</t>
        </is>
      </c>
      <c r="Q1097" t="inlineStr">
        <is>
          <t>Aprovado Caixa</t>
        </is>
      </c>
      <c r="R1097" t="inlineStr">
        <is>
          <t>Pago</t>
        </is>
      </c>
      <c r="S1097" t="n">
        <v>182</v>
      </c>
      <c r="T1097" t="inlineStr">
        <is>
          <t>Love - Shibari - Kamino</t>
        </is>
      </c>
    </row>
    <row r="1098">
      <c r="A1098" t="n">
        <v>155614</v>
      </c>
      <c r="B1098" t="n">
        <v>128</v>
      </c>
      <c r="C1098" t="inlineStr">
        <is>
          <t>Love Cabaret</t>
        </is>
      </c>
      <c r="D1098" t="inlineStr">
        <is>
          <t>PETTY CASH</t>
        </is>
      </c>
      <c r="E1098" t="n">
        <v>14.58</v>
      </c>
      <c r="F1098" s="27" t="n">
        <v>45905</v>
      </c>
      <c r="G1098" s="27" t="n">
        <v>45903</v>
      </c>
      <c r="H1098" s="27" t="n">
        <v>45903</v>
      </c>
      <c r="I1098" s="27" t="n">
        <v>45870</v>
      </c>
      <c r="J1098" s="27" t="n">
        <v>45888</v>
      </c>
      <c r="K1098" t="inlineStr">
        <is>
          <t>Cartão de Crédito</t>
        </is>
      </c>
      <c r="L1098" t="inlineStr">
        <is>
          <t>Custo Mercadoria Vendida</t>
        </is>
      </c>
      <c r="M1098" t="inlineStr">
        <is>
          <t>Insumos - Alimentos</t>
        </is>
      </c>
      <c r="N1098" t="inlineStr">
        <is>
          <t>7PETTY082025</t>
        </is>
      </c>
      <c r="O1098" t="inlineStr">
        <is>
          <t>Documentação Aprovada</t>
        </is>
      </c>
      <c r="P1098" t="inlineStr">
        <is>
          <t>Aprovado Diretoria</t>
        </is>
      </c>
      <c r="Q1098" t="inlineStr">
        <is>
          <t>Aprovado Caixa</t>
        </is>
      </c>
      <c r="R1098" t="inlineStr">
        <is>
          <t>Pago</t>
        </is>
      </c>
      <c r="S1098" t="n">
        <v>182</v>
      </c>
      <c r="T1098" t="inlineStr">
        <is>
          <t>Love - Shibari - Kamino</t>
        </is>
      </c>
    </row>
    <row r="1099">
      <c r="A1099" t="n">
        <v>155613</v>
      </c>
      <c r="B1099" t="n">
        <v>128</v>
      </c>
      <c r="C1099" t="inlineStr">
        <is>
          <t>Love Cabaret</t>
        </is>
      </c>
      <c r="D1099" t="inlineStr">
        <is>
          <t>PETTY CASH</t>
        </is>
      </c>
      <c r="E1099" t="n">
        <v>46</v>
      </c>
      <c r="F1099" s="27" t="n">
        <v>45905</v>
      </c>
      <c r="G1099" s="27" t="n">
        <v>45903</v>
      </c>
      <c r="H1099" s="27" t="n">
        <v>45903</v>
      </c>
      <c r="I1099" s="27" t="n">
        <v>45870</v>
      </c>
      <c r="J1099" s="27" t="n">
        <v>45888</v>
      </c>
      <c r="K1099" t="inlineStr">
        <is>
          <t>Cartão de Crédito</t>
        </is>
      </c>
      <c r="L1099" t="inlineStr">
        <is>
          <t>Utilidades</t>
        </is>
      </c>
      <c r="M1099" t="inlineStr">
        <is>
          <t>Material de Escritorio</t>
        </is>
      </c>
      <c r="N1099" t="inlineStr">
        <is>
          <t>6PETTY082025</t>
        </is>
      </c>
      <c r="O1099" t="inlineStr">
        <is>
          <t>Documentação Aprovada</t>
        </is>
      </c>
      <c r="P1099" t="inlineStr">
        <is>
          <t>Aprovado Diretoria</t>
        </is>
      </c>
      <c r="Q1099" t="inlineStr">
        <is>
          <t>Aprovado Caixa</t>
        </is>
      </c>
      <c r="R1099" t="inlineStr">
        <is>
          <t>Pago</t>
        </is>
      </c>
      <c r="S1099" t="n">
        <v>182</v>
      </c>
      <c r="T1099" t="inlineStr">
        <is>
          <t>Love - Shibari - Kamino</t>
        </is>
      </c>
    </row>
    <row r="1100">
      <c r="A1100" t="n">
        <v>155611</v>
      </c>
      <c r="B1100" t="n">
        <v>128</v>
      </c>
      <c r="C1100" t="inlineStr">
        <is>
          <t>Love Cabaret</t>
        </is>
      </c>
      <c r="D1100" t="inlineStr">
        <is>
          <t>PETTY CASH</t>
        </is>
      </c>
      <c r="E1100" t="n">
        <v>16.4</v>
      </c>
      <c r="F1100" s="27" t="n">
        <v>45905</v>
      </c>
      <c r="G1100" s="27" t="n">
        <v>45903</v>
      </c>
      <c r="H1100" s="27" t="n">
        <v>45903</v>
      </c>
      <c r="I1100" s="27" t="n">
        <v>45870</v>
      </c>
      <c r="J1100" s="27" t="n">
        <v>45888</v>
      </c>
      <c r="K1100" t="inlineStr">
        <is>
          <t>Cartão de Crédito</t>
        </is>
      </c>
      <c r="L1100" t="inlineStr">
        <is>
          <t>Utilidades</t>
        </is>
      </c>
      <c r="M1100" t="inlineStr">
        <is>
          <t>Material de Escritorio</t>
        </is>
      </c>
      <c r="N1100" t="inlineStr">
        <is>
          <t>5PETTY082025</t>
        </is>
      </c>
      <c r="O1100" t="inlineStr">
        <is>
          <t>Documentação Aprovada</t>
        </is>
      </c>
      <c r="P1100" t="inlineStr">
        <is>
          <t>Aprovado Diretoria</t>
        </is>
      </c>
      <c r="Q1100" t="inlineStr">
        <is>
          <t>Aprovado Caixa</t>
        </is>
      </c>
      <c r="R1100" t="inlineStr">
        <is>
          <t>Pago</t>
        </is>
      </c>
      <c r="S1100" t="n">
        <v>182</v>
      </c>
      <c r="T1100" t="inlineStr">
        <is>
          <t>Love - Shibari - Kamino</t>
        </is>
      </c>
    </row>
    <row r="1101">
      <c r="A1101" t="n">
        <v>155608</v>
      </c>
      <c r="B1101" t="n">
        <v>128</v>
      </c>
      <c r="C1101" t="inlineStr">
        <is>
          <t>Love Cabaret</t>
        </is>
      </c>
      <c r="D1101" t="inlineStr">
        <is>
          <t>PETTY CASH</t>
        </is>
      </c>
      <c r="E1101" t="n">
        <v>25</v>
      </c>
      <c r="F1101" s="27" t="n">
        <v>45905</v>
      </c>
      <c r="G1101" s="27" t="n">
        <v>45903</v>
      </c>
      <c r="H1101" s="27" t="n">
        <v>45903</v>
      </c>
      <c r="I1101" s="27" t="n">
        <v>45870</v>
      </c>
      <c r="J1101" s="27" t="n">
        <v>45888</v>
      </c>
      <c r="K1101" t="inlineStr">
        <is>
          <t>Cartão de Crédito</t>
        </is>
      </c>
      <c r="L1101" t="inlineStr">
        <is>
          <t>Utilidades</t>
        </is>
      </c>
      <c r="M1101" t="inlineStr">
        <is>
          <t>Higiene e Limpeza</t>
        </is>
      </c>
      <c r="N1101" t="inlineStr">
        <is>
          <t>4PETTY082025</t>
        </is>
      </c>
      <c r="O1101" t="inlineStr">
        <is>
          <t>Documentação Aprovada</t>
        </is>
      </c>
      <c r="P1101" t="inlineStr">
        <is>
          <t>Aprovado Diretoria</t>
        </is>
      </c>
      <c r="Q1101" t="inlineStr">
        <is>
          <t>Aprovado Caixa</t>
        </is>
      </c>
      <c r="R1101" t="inlineStr">
        <is>
          <t>Pago</t>
        </is>
      </c>
      <c r="S1101" t="n">
        <v>182</v>
      </c>
      <c r="T1101" t="inlineStr">
        <is>
          <t>Love - Shibari - Kamino</t>
        </is>
      </c>
    </row>
    <row r="1102">
      <c r="A1102" t="n">
        <v>155606</v>
      </c>
      <c r="B1102" t="n">
        <v>128</v>
      </c>
      <c r="C1102" t="inlineStr">
        <is>
          <t>Love Cabaret</t>
        </is>
      </c>
      <c r="D1102" t="inlineStr">
        <is>
          <t>PETTY CASH</t>
        </is>
      </c>
      <c r="E1102" t="n">
        <v>76.8</v>
      </c>
      <c r="F1102" s="27" t="n">
        <v>45905</v>
      </c>
      <c r="G1102" s="27" t="n">
        <v>45903</v>
      </c>
      <c r="H1102" s="27" t="n">
        <v>45903</v>
      </c>
      <c r="I1102" s="27" t="n">
        <v>45870</v>
      </c>
      <c r="J1102" s="27" t="n">
        <v>45888</v>
      </c>
      <c r="K1102" t="inlineStr">
        <is>
          <t>Cartão de Crédito</t>
        </is>
      </c>
      <c r="L1102" t="inlineStr">
        <is>
          <t>Manutenção</t>
        </is>
      </c>
      <c r="M1102" t="inlineStr">
        <is>
          <t>Material de Manutenção</t>
        </is>
      </c>
      <c r="N1102" t="inlineStr">
        <is>
          <t>3PETTY082025</t>
        </is>
      </c>
      <c r="O1102" t="inlineStr">
        <is>
          <t>Documentação Aprovada</t>
        </is>
      </c>
      <c r="P1102" t="inlineStr">
        <is>
          <t>Aprovado Diretoria</t>
        </is>
      </c>
      <c r="Q1102" t="inlineStr">
        <is>
          <t>Aprovado Caixa</t>
        </is>
      </c>
      <c r="R1102" t="inlineStr">
        <is>
          <t>Pago</t>
        </is>
      </c>
      <c r="S1102" t="n">
        <v>182</v>
      </c>
      <c r="T1102" t="inlineStr">
        <is>
          <t>Love - Shibari - Kamino</t>
        </is>
      </c>
    </row>
    <row r="1103">
      <c r="A1103" t="n">
        <v>155600</v>
      </c>
      <c r="B1103" t="n">
        <v>128</v>
      </c>
      <c r="C1103" t="inlineStr">
        <is>
          <t>Love Cabaret</t>
        </is>
      </c>
      <c r="D1103" t="inlineStr">
        <is>
          <t>PETTY CASH</t>
        </is>
      </c>
      <c r="E1103" t="n">
        <v>9.9</v>
      </c>
      <c r="F1103" s="27" t="n">
        <v>45905</v>
      </c>
      <c r="G1103" s="27" t="n">
        <v>45903</v>
      </c>
      <c r="H1103" s="27" t="n">
        <v>45903</v>
      </c>
      <c r="I1103" s="27" t="n">
        <v>45870</v>
      </c>
      <c r="J1103" s="27" t="n">
        <v>45888</v>
      </c>
      <c r="K1103" t="inlineStr">
        <is>
          <t>Cartão de Crédito</t>
        </is>
      </c>
      <c r="L1103" t="inlineStr">
        <is>
          <t>Utilidades</t>
        </is>
      </c>
      <c r="M1103" t="inlineStr">
        <is>
          <t>Utensilios</t>
        </is>
      </c>
      <c r="N1103" t="inlineStr">
        <is>
          <t>1PETTY082025</t>
        </is>
      </c>
      <c r="O1103" t="inlineStr">
        <is>
          <t>Documentação Aprovada</t>
        </is>
      </c>
      <c r="P1103" t="inlineStr">
        <is>
          <t>Aprovado Diretoria</t>
        </is>
      </c>
      <c r="Q1103" t="inlineStr">
        <is>
          <t>Aprovado Caixa</t>
        </is>
      </c>
      <c r="R1103" t="inlineStr">
        <is>
          <t>Pago</t>
        </is>
      </c>
      <c r="S1103" t="n">
        <v>182</v>
      </c>
      <c r="T1103" t="inlineStr">
        <is>
          <t>Love - Shibari - Kamino</t>
        </is>
      </c>
    </row>
    <row r="1104">
      <c r="A1104" t="n">
        <v>150675</v>
      </c>
      <c r="B1104" t="n">
        <v>128</v>
      </c>
      <c r="C1104" t="inlineStr">
        <is>
          <t>Love Cabaret</t>
        </is>
      </c>
      <c r="D1104" t="inlineStr">
        <is>
          <t>PETTY CASH</t>
        </is>
      </c>
      <c r="E1104" t="n">
        <v>37.6</v>
      </c>
      <c r="F1104" s="27" t="n">
        <v>45905</v>
      </c>
      <c r="G1104" s="27" t="n">
        <v>45903</v>
      </c>
      <c r="H1104" s="27" t="n">
        <v>45903</v>
      </c>
      <c r="I1104" s="27" t="n">
        <v>45839</v>
      </c>
      <c r="J1104" s="27" t="n">
        <v>45873</v>
      </c>
      <c r="K1104" t="inlineStr">
        <is>
          <t>Cartão de Crédito</t>
        </is>
      </c>
      <c r="L1104" t="inlineStr">
        <is>
          <t>Custo Mercadoria Vendida</t>
        </is>
      </c>
      <c r="M1104" t="inlineStr">
        <is>
          <t>Insumos - Alimentos</t>
        </is>
      </c>
      <c r="N1104" t="inlineStr">
        <is>
          <t xml:space="preserve">17PETTY072025 </t>
        </is>
      </c>
      <c r="O1104" t="inlineStr">
        <is>
          <t>Documentação Aprovada</t>
        </is>
      </c>
      <c r="P1104" t="inlineStr">
        <is>
          <t>Aprovado Diretoria</t>
        </is>
      </c>
      <c r="Q1104" t="inlineStr">
        <is>
          <t>Aprovado Caixa</t>
        </is>
      </c>
      <c r="R1104" t="inlineStr">
        <is>
          <t>Pago</t>
        </is>
      </c>
      <c r="S1104" t="n">
        <v>182</v>
      </c>
      <c r="T1104" t="inlineStr">
        <is>
          <t>Love - Shibari - Kamino</t>
        </is>
      </c>
    </row>
    <row r="1105">
      <c r="A1105" t="n">
        <v>150643</v>
      </c>
      <c r="B1105" t="n">
        <v>128</v>
      </c>
      <c r="C1105" t="inlineStr">
        <is>
          <t>Love Cabaret</t>
        </is>
      </c>
      <c r="D1105" t="inlineStr">
        <is>
          <t>PETTY CASH</t>
        </is>
      </c>
      <c r="E1105" t="n">
        <v>25.2</v>
      </c>
      <c r="F1105" s="27" t="n">
        <v>45905</v>
      </c>
      <c r="G1105" s="27" t="n">
        <v>45903</v>
      </c>
      <c r="H1105" s="27" t="n">
        <v>45903</v>
      </c>
      <c r="I1105" s="27" t="n">
        <v>45839</v>
      </c>
      <c r="J1105" s="27" t="n">
        <v>45870</v>
      </c>
      <c r="K1105" t="inlineStr">
        <is>
          <t>Cartão de Crédito</t>
        </is>
      </c>
      <c r="L1105" t="inlineStr">
        <is>
          <t>Manutenção</t>
        </is>
      </c>
      <c r="M1105" t="inlineStr">
        <is>
          <t>Material de Manutenção</t>
        </is>
      </c>
      <c r="N1105" t="inlineStr">
        <is>
          <t xml:space="preserve">26PETTY072025 </t>
        </is>
      </c>
      <c r="O1105" t="inlineStr">
        <is>
          <t>Documentação Aprovada</t>
        </is>
      </c>
      <c r="P1105" t="inlineStr">
        <is>
          <t>Aprovado Diretoria</t>
        </is>
      </c>
      <c r="Q1105" t="inlineStr">
        <is>
          <t>Aprovado Caixa</t>
        </is>
      </c>
      <c r="R1105" t="inlineStr">
        <is>
          <t>Pago</t>
        </is>
      </c>
      <c r="S1105" t="n">
        <v>182</v>
      </c>
      <c r="T1105" t="inlineStr">
        <is>
          <t>Love - Shibari - Kamino</t>
        </is>
      </c>
    </row>
    <row r="1106">
      <c r="A1106" t="n">
        <v>153776</v>
      </c>
      <c r="B1106" t="n">
        <v>128</v>
      </c>
      <c r="C1106" t="inlineStr">
        <is>
          <t>Love Cabaret</t>
        </is>
      </c>
      <c r="D1106" t="inlineStr">
        <is>
          <t>LUIZ ROBERTO DA SILVA JUNIOR</t>
        </is>
      </c>
      <c r="E1106" t="n">
        <v>1000</v>
      </c>
      <c r="F1106" s="27" t="n">
        <v>45904</v>
      </c>
      <c r="G1106" s="27" t="n">
        <v>45903</v>
      </c>
      <c r="H1106" s="27" t="n">
        <v>45903</v>
      </c>
      <c r="I1106" s="27" t="n">
        <v>45883</v>
      </c>
      <c r="J1106" s="27" t="n">
        <v>45877</v>
      </c>
      <c r="K1106" t="inlineStr">
        <is>
          <t>Transferência Bancária ou Pix</t>
        </is>
      </c>
      <c r="L1106" t="inlineStr">
        <is>
          <t>Custos Artístico Geral</t>
        </is>
      </c>
      <c r="M1106" t="inlineStr">
        <is>
          <t>Locação de Equipamentos Fixo</t>
        </is>
      </c>
      <c r="N1106" t="inlineStr">
        <is>
          <t>822025</t>
        </is>
      </c>
      <c r="O1106" t="inlineStr">
        <is>
          <t>Documentação Aprovada</t>
        </is>
      </c>
      <c r="P1106" t="inlineStr">
        <is>
          <t>Aprovado Diretoria</t>
        </is>
      </c>
      <c r="Q1106" t="inlineStr">
        <is>
          <t>Aprovado Caixa</t>
        </is>
      </c>
      <c r="R1106" t="inlineStr">
        <is>
          <t>Pago</t>
        </is>
      </c>
      <c r="S1106" t="n">
        <v>182</v>
      </c>
      <c r="T1106" t="inlineStr">
        <is>
          <t>Love - Shibari - Kamino</t>
        </is>
      </c>
    </row>
    <row r="1107">
      <c r="A1107" t="n">
        <v>153679</v>
      </c>
      <c r="B1107" t="n">
        <v>128</v>
      </c>
      <c r="C1107" t="inlineStr">
        <is>
          <t>Love Cabaret</t>
        </is>
      </c>
      <c r="D1107" t="inlineStr">
        <is>
          <t xml:space="preserve">EMPORIO MEL </t>
        </is>
      </c>
      <c r="E1107" t="n">
        <v>200.5</v>
      </c>
      <c r="F1107" s="27" t="n">
        <v>45904</v>
      </c>
      <c r="G1107" s="27" t="n">
        <v>45903</v>
      </c>
      <c r="H1107" s="27" t="n">
        <v>45903</v>
      </c>
      <c r="I1107" s="27" t="n">
        <v>45875</v>
      </c>
      <c r="J1107" s="27" t="n">
        <v>45877</v>
      </c>
      <c r="K1107" t="inlineStr">
        <is>
          <t>Boleto Bancário</t>
        </is>
      </c>
      <c r="L1107" t="inlineStr">
        <is>
          <t>Custo Mercadoria Vendida</t>
        </is>
      </c>
      <c r="M1107" t="inlineStr">
        <is>
          <t>Insumos - Alimentos</t>
        </is>
      </c>
      <c r="N1107" t="inlineStr">
        <is>
          <t>465019</t>
        </is>
      </c>
      <c r="O1107" t="inlineStr">
        <is>
          <t>Documentação Aprovada</t>
        </is>
      </c>
      <c r="P1107" t="inlineStr">
        <is>
          <t>Aprovado Diretoria</t>
        </is>
      </c>
      <c r="Q1107" t="inlineStr">
        <is>
          <t>Aprovado Caixa</t>
        </is>
      </c>
      <c r="R1107" t="inlineStr">
        <is>
          <t>Pago</t>
        </is>
      </c>
      <c r="S1107" t="n">
        <v>182</v>
      </c>
      <c r="T1107" t="inlineStr">
        <is>
          <t>Love - Shibari - Kamino</t>
        </is>
      </c>
    </row>
    <row r="1108">
      <c r="A1108" t="n">
        <v>153638</v>
      </c>
      <c r="B1108" t="n">
        <v>128</v>
      </c>
      <c r="C1108" t="inlineStr">
        <is>
          <t>Love Cabaret</t>
        </is>
      </c>
      <c r="D1108" t="inlineStr">
        <is>
          <t xml:space="preserve">EMPORIO MEL </t>
        </is>
      </c>
      <c r="E1108" t="n">
        <v>961.74</v>
      </c>
      <c r="F1108" s="27" t="n">
        <v>45904</v>
      </c>
      <c r="G1108" s="27" t="n">
        <v>45903</v>
      </c>
      <c r="H1108" s="27" t="n">
        <v>45903</v>
      </c>
      <c r="I1108" s="27" t="n">
        <v>45873</v>
      </c>
      <c r="J1108" s="27" t="n">
        <v>45877</v>
      </c>
      <c r="K1108" t="inlineStr">
        <is>
          <t>Boleto Bancário</t>
        </is>
      </c>
      <c r="L1108" t="inlineStr">
        <is>
          <t>Custo Mercadoria Vendida</t>
        </is>
      </c>
      <c r="M1108" t="inlineStr">
        <is>
          <t>Insumos - Alimentos</t>
        </is>
      </c>
      <c r="N1108" t="inlineStr">
        <is>
          <t>464375</t>
        </is>
      </c>
      <c r="O1108" t="inlineStr">
        <is>
          <t>Documentação Aprovada</t>
        </is>
      </c>
      <c r="P1108" t="inlineStr">
        <is>
          <t>Aprovado Diretoria</t>
        </is>
      </c>
      <c r="Q1108" t="inlineStr">
        <is>
          <t>Aprovado Caixa</t>
        </is>
      </c>
      <c r="R1108" t="inlineStr">
        <is>
          <t>Pago</t>
        </is>
      </c>
      <c r="S1108" t="n">
        <v>182</v>
      </c>
      <c r="T1108" t="inlineStr">
        <is>
          <t>Love - Shibari - Kamino</t>
        </is>
      </c>
    </row>
    <row r="1109">
      <c r="A1109" t="n">
        <v>153637</v>
      </c>
      <c r="B1109" t="n">
        <v>128</v>
      </c>
      <c r="C1109" t="inlineStr">
        <is>
          <t>Love Cabaret</t>
        </is>
      </c>
      <c r="D1109" t="inlineStr">
        <is>
          <t xml:space="preserve">EMPORIO MEL </t>
        </is>
      </c>
      <c r="E1109" t="n">
        <v>3121.14</v>
      </c>
      <c r="F1109" s="27" t="n">
        <v>45904</v>
      </c>
      <c r="G1109" s="27" t="n">
        <v>45903</v>
      </c>
      <c r="H1109" s="27" t="n">
        <v>45903</v>
      </c>
      <c r="I1109" s="27" t="n">
        <v>45873</v>
      </c>
      <c r="J1109" s="27" t="n">
        <v>45877</v>
      </c>
      <c r="K1109" t="inlineStr">
        <is>
          <t>Boleto Bancário</t>
        </is>
      </c>
      <c r="L1109" t="inlineStr">
        <is>
          <t>Custo Mercadoria Vendida</t>
        </is>
      </c>
      <c r="M1109" t="inlineStr">
        <is>
          <t>Insumos - Bebidas</t>
        </is>
      </c>
      <c r="N1109" t="inlineStr">
        <is>
          <t>464297</t>
        </is>
      </c>
      <c r="O1109" t="inlineStr">
        <is>
          <t>Documentação Aprovada</t>
        </is>
      </c>
      <c r="P1109" t="inlineStr">
        <is>
          <t>Aprovado Diretoria</t>
        </is>
      </c>
      <c r="Q1109" t="inlineStr">
        <is>
          <t>Aprovado Caixa</t>
        </is>
      </c>
      <c r="R1109" t="inlineStr">
        <is>
          <t>Pago</t>
        </is>
      </c>
      <c r="S1109" t="n">
        <v>182</v>
      </c>
      <c r="T1109" t="inlineStr">
        <is>
          <t>Love - Shibari - Kamino</t>
        </is>
      </c>
    </row>
    <row r="1110">
      <c r="A1110" t="n">
        <v>155217</v>
      </c>
      <c r="B1110" t="n">
        <v>128</v>
      </c>
      <c r="C1110" t="inlineStr">
        <is>
          <t>Love Cabaret</t>
        </is>
      </c>
      <c r="D1110" t="inlineStr">
        <is>
          <t>MUNDO EPI EQUIPAMENTOS DE SEGURANCA LTDA</t>
        </is>
      </c>
      <c r="E1110" t="n">
        <v>683</v>
      </c>
      <c r="F1110" s="27" t="n">
        <v>45904</v>
      </c>
      <c r="G1110" s="27" t="n">
        <v>45903</v>
      </c>
      <c r="H1110" s="27" t="n">
        <v>45903</v>
      </c>
      <c r="I1110" s="27" t="n">
        <v>45883</v>
      </c>
      <c r="J1110" s="27" t="n">
        <v>45884</v>
      </c>
      <c r="K1110" t="inlineStr">
        <is>
          <t>Boleto Bancário</t>
        </is>
      </c>
      <c r="L1110" t="inlineStr">
        <is>
          <t>Mão de Obra - Benefícios</t>
        </is>
      </c>
      <c r="M1110" t="inlineStr">
        <is>
          <t xml:space="preserve">  -  Uniformes Manutenção e Reposição</t>
        </is>
      </c>
      <c r="N1110" t="inlineStr">
        <is>
          <t>6434</t>
        </is>
      </c>
      <c r="O1110" t="inlineStr">
        <is>
          <t>Documentação Aprovada</t>
        </is>
      </c>
      <c r="P1110" t="inlineStr">
        <is>
          <t>Aprovado Diretoria</t>
        </is>
      </c>
      <c r="Q1110" t="inlineStr">
        <is>
          <t>Aprovado Caixa</t>
        </is>
      </c>
      <c r="R1110" t="inlineStr">
        <is>
          <t>Pago</t>
        </is>
      </c>
      <c r="S1110" t="n">
        <v>182</v>
      </c>
      <c r="T1110" t="inlineStr">
        <is>
          <t>Love - Shibari - Kamino</t>
        </is>
      </c>
    </row>
    <row r="1111">
      <c r="A1111" t="n">
        <v>156165</v>
      </c>
      <c r="B1111" t="n">
        <v>128</v>
      </c>
      <c r="C1111" t="inlineStr">
        <is>
          <t>Love Cabaret</t>
        </is>
      </c>
      <c r="D1111" t="inlineStr">
        <is>
          <t>WAGNER DA SILVA FRANCA</t>
        </is>
      </c>
      <c r="E1111" t="n">
        <v>2000</v>
      </c>
      <c r="F1111" s="27" t="n">
        <v>45901</v>
      </c>
      <c r="G1111" s="27" t="n">
        <v>45901</v>
      </c>
      <c r="H1111" s="27" t="n">
        <v>45901</v>
      </c>
      <c r="I1111" s="27" t="n">
        <v>45870</v>
      </c>
      <c r="J1111" s="27" t="n">
        <v>45890</v>
      </c>
      <c r="K1111" t="inlineStr">
        <is>
          <t>Transferência Bancária ou Pix</t>
        </is>
      </c>
      <c r="L1111" t="inlineStr">
        <is>
          <t>Mão de Obra - PJ</t>
        </is>
      </c>
      <c r="M1111" t="inlineStr">
        <is>
          <t>MDO PJ Fixo</t>
        </is>
      </c>
      <c r="N1111" t="inlineStr">
        <is>
          <t>44</t>
        </is>
      </c>
      <c r="O1111" t="inlineStr">
        <is>
          <t>Documentação Aprovada</t>
        </is>
      </c>
      <c r="P1111" t="inlineStr">
        <is>
          <t>Aprovado Diretoria</t>
        </is>
      </c>
      <c r="Q1111" t="inlineStr">
        <is>
          <t>Aprovado Caixa</t>
        </is>
      </c>
      <c r="R1111" t="inlineStr">
        <is>
          <t>Pago</t>
        </is>
      </c>
      <c r="S1111" t="n">
        <v>182</v>
      </c>
      <c r="T1111" t="inlineStr">
        <is>
          <t>Love - Shibari - Kamino</t>
        </is>
      </c>
    </row>
    <row r="1112">
      <c r="A1112" t="n">
        <v>155881</v>
      </c>
      <c r="B1112" t="n">
        <v>128</v>
      </c>
      <c r="C1112" t="inlineStr">
        <is>
          <t>Love Cabaret</t>
        </is>
      </c>
      <c r="D1112" t="inlineStr">
        <is>
          <t>PORCO FELIZ COM DE CARNES LTDA</t>
        </is>
      </c>
      <c r="E1112" t="n">
        <v>267.46</v>
      </c>
      <c r="F1112" s="27" t="n">
        <v>45902</v>
      </c>
      <c r="G1112" s="27" t="n">
        <v>45901</v>
      </c>
      <c r="H1112" s="27" t="n">
        <v>45901</v>
      </c>
      <c r="I1112" s="27" t="n">
        <v>45888</v>
      </c>
      <c r="J1112" s="27" t="n">
        <v>45889</v>
      </c>
      <c r="K1112" t="inlineStr">
        <is>
          <t>Boleto Bancário</t>
        </is>
      </c>
      <c r="L1112" t="inlineStr">
        <is>
          <t>Custo Mercadoria Vendida</t>
        </is>
      </c>
      <c r="M1112" t="inlineStr">
        <is>
          <t>Insumos - Alimentos</t>
        </is>
      </c>
      <c r="N1112" t="inlineStr">
        <is>
          <t>588656</t>
        </is>
      </c>
      <c r="O1112" t="inlineStr">
        <is>
          <t>Documentação Aprovada</t>
        </is>
      </c>
      <c r="P1112" t="inlineStr">
        <is>
          <t>Aprovado Diretoria</t>
        </is>
      </c>
      <c r="Q1112" t="inlineStr">
        <is>
          <t>Aprovado Caixa</t>
        </is>
      </c>
      <c r="R1112" t="inlineStr">
        <is>
          <t>Pago</t>
        </is>
      </c>
      <c r="S1112" t="n">
        <v>182</v>
      </c>
      <c r="T1112" t="inlineStr">
        <is>
          <t>Love - Shibari - Kamino</t>
        </is>
      </c>
    </row>
    <row r="1113">
      <c r="A1113" t="n">
        <v>155882</v>
      </c>
      <c r="B1113" t="n">
        <v>128</v>
      </c>
      <c r="C1113" t="inlineStr">
        <is>
          <t>Love Cabaret</t>
        </is>
      </c>
      <c r="D1113" t="inlineStr">
        <is>
          <t>WPP COMERCIO DE CARNES LTDA</t>
        </is>
      </c>
      <c r="E1113" t="n">
        <v>1155.06</v>
      </c>
      <c r="F1113" s="27" t="n">
        <v>45902</v>
      </c>
      <c r="G1113" s="27" t="n">
        <v>45901</v>
      </c>
      <c r="H1113" s="27" t="n">
        <v>45901</v>
      </c>
      <c r="I1113" s="27" t="n">
        <v>45888</v>
      </c>
      <c r="J1113" s="27" t="n">
        <v>45889</v>
      </c>
      <c r="K1113" t="inlineStr">
        <is>
          <t>Boleto Bancário</t>
        </is>
      </c>
      <c r="L1113" t="inlineStr">
        <is>
          <t>Custo Mercadoria Vendida</t>
        </is>
      </c>
      <c r="M1113" t="inlineStr">
        <is>
          <t>Insumos - Alimentos</t>
        </is>
      </c>
      <c r="N1113" t="inlineStr">
        <is>
          <t>74044</t>
        </is>
      </c>
      <c r="O1113" t="inlineStr">
        <is>
          <t>Documentação Aprovada</t>
        </is>
      </c>
      <c r="P1113" t="inlineStr">
        <is>
          <t>Aprovado Diretoria</t>
        </is>
      </c>
      <c r="Q1113" t="inlineStr">
        <is>
          <t>Aprovado Caixa</t>
        </is>
      </c>
      <c r="R1113" t="inlineStr">
        <is>
          <t>Pago</t>
        </is>
      </c>
      <c r="S1113" t="n">
        <v>182</v>
      </c>
      <c r="T1113" t="inlineStr">
        <is>
          <t>Love - Shibari - Kamino</t>
        </is>
      </c>
    </row>
    <row r="1114">
      <c r="A1114" t="n">
        <v>155898</v>
      </c>
      <c r="B1114" t="n">
        <v>128</v>
      </c>
      <c r="C1114" t="inlineStr">
        <is>
          <t>Love Cabaret</t>
        </is>
      </c>
      <c r="D1114" t="inlineStr">
        <is>
          <t>GOMES D ELIA EQUIP. HIGIENE LTDA - WESCO</t>
        </is>
      </c>
      <c r="E1114" t="n">
        <v>389.5</v>
      </c>
      <c r="F1114" s="27" t="n">
        <v>45902</v>
      </c>
      <c r="G1114" s="27" t="n">
        <v>45901</v>
      </c>
      <c r="H1114" s="27" t="n">
        <v>45901</v>
      </c>
      <c r="I1114" s="27" t="n">
        <v>45887</v>
      </c>
      <c r="J1114" s="27" t="n">
        <v>45889</v>
      </c>
      <c r="K1114" t="inlineStr">
        <is>
          <t>Boleto Bancário</t>
        </is>
      </c>
      <c r="L1114" t="inlineStr">
        <is>
          <t>Utilidades</t>
        </is>
      </c>
      <c r="M1114" t="inlineStr">
        <is>
          <t>Higiene e Limpeza</t>
        </is>
      </c>
      <c r="N1114" t="inlineStr">
        <is>
          <t>227063</t>
        </is>
      </c>
      <c r="O1114" t="inlineStr">
        <is>
          <t>Documentação Aprovada</t>
        </is>
      </c>
      <c r="P1114" t="inlineStr">
        <is>
          <t>Aprovado Diretoria</t>
        </is>
      </c>
      <c r="Q1114" t="inlineStr">
        <is>
          <t>Aprovado Caixa</t>
        </is>
      </c>
      <c r="R1114" t="inlineStr">
        <is>
          <t>Pago</t>
        </is>
      </c>
      <c r="S1114" t="n">
        <v>182</v>
      </c>
      <c r="T1114" t="inlineStr">
        <is>
          <t>Love - Shibari - Kamino</t>
        </is>
      </c>
    </row>
    <row r="1115">
      <c r="A1115" t="n">
        <v>155897</v>
      </c>
      <c r="B1115" t="n">
        <v>128</v>
      </c>
      <c r="C1115" t="inlineStr">
        <is>
          <t>Love Cabaret</t>
        </is>
      </c>
      <c r="D1115" t="inlineStr">
        <is>
          <t>CECILIA TSUYACO ARAKI SILVA LTDA</t>
        </is>
      </c>
      <c r="E1115" t="n">
        <v>82.25</v>
      </c>
      <c r="F1115" s="27" t="n">
        <v>45901</v>
      </c>
      <c r="G1115" s="27" t="n">
        <v>45901</v>
      </c>
      <c r="H1115" s="27" t="n">
        <v>45901</v>
      </c>
      <c r="I1115" s="27" t="n">
        <v>45887</v>
      </c>
      <c r="J1115" s="27" t="n">
        <v>45889</v>
      </c>
      <c r="K1115" t="inlineStr">
        <is>
          <t>Boleto Bancário</t>
        </is>
      </c>
      <c r="L1115" t="inlineStr">
        <is>
          <t>Custo Mercadoria Vendida</t>
        </is>
      </c>
      <c r="M1115" t="inlineStr">
        <is>
          <t>Insumos - Alimentos</t>
        </is>
      </c>
      <c r="N1115" t="inlineStr">
        <is>
          <t>376424</t>
        </is>
      </c>
      <c r="O1115" t="inlineStr">
        <is>
          <t>Documentação Aprovada</t>
        </is>
      </c>
      <c r="P1115" t="inlineStr">
        <is>
          <t>Aprovado Diretoria</t>
        </is>
      </c>
      <c r="Q1115" t="inlineStr">
        <is>
          <t>Aprovado Caixa</t>
        </is>
      </c>
      <c r="R1115" t="inlineStr">
        <is>
          <t>Pago</t>
        </is>
      </c>
      <c r="S1115" t="n">
        <v>182</v>
      </c>
      <c r="T1115" t="inlineStr">
        <is>
          <t>Love - Shibari - Kamino</t>
        </is>
      </c>
    </row>
    <row r="1116">
      <c r="A1116" t="n">
        <v>155899</v>
      </c>
      <c r="B1116" t="n">
        <v>128</v>
      </c>
      <c r="C1116" t="inlineStr">
        <is>
          <t>Love Cabaret</t>
        </is>
      </c>
      <c r="D1116" t="inlineStr">
        <is>
          <t xml:space="preserve">LATICINIOS FIOR DITALIA LTDA </t>
        </is>
      </c>
      <c r="E1116" t="n">
        <v>326.75</v>
      </c>
      <c r="F1116" s="27" t="n">
        <v>45903</v>
      </c>
      <c r="G1116" s="27" t="n">
        <v>45901</v>
      </c>
      <c r="H1116" s="27" t="n">
        <v>45901</v>
      </c>
      <c r="I1116" s="27" t="n">
        <v>45887</v>
      </c>
      <c r="J1116" s="27" t="n">
        <v>45889</v>
      </c>
      <c r="K1116" t="inlineStr">
        <is>
          <t>Boleto Bancário</t>
        </is>
      </c>
      <c r="L1116" t="inlineStr">
        <is>
          <t>Custo Mercadoria Vendida</t>
        </is>
      </c>
      <c r="M1116" t="inlineStr">
        <is>
          <t>Insumos - Alimentos</t>
        </is>
      </c>
      <c r="N1116" t="inlineStr">
        <is>
          <t>38434</t>
        </is>
      </c>
      <c r="O1116" t="inlineStr">
        <is>
          <t>Documentação Aprovada</t>
        </is>
      </c>
      <c r="P1116" t="inlineStr">
        <is>
          <t>Aprovado Diretoria</t>
        </is>
      </c>
      <c r="Q1116" t="inlineStr">
        <is>
          <t>Aprovado Caixa</t>
        </is>
      </c>
      <c r="R1116" t="inlineStr">
        <is>
          <t>Pago</t>
        </is>
      </c>
      <c r="S1116" t="n">
        <v>182</v>
      </c>
      <c r="T1116" t="inlineStr">
        <is>
          <t>Love - Shibari - Kamino</t>
        </is>
      </c>
    </row>
    <row r="1117">
      <c r="A1117" t="n">
        <v>155918</v>
      </c>
      <c r="B1117" t="n">
        <v>128</v>
      </c>
      <c r="C1117" t="inlineStr">
        <is>
          <t>Love Cabaret</t>
        </is>
      </c>
      <c r="D1117" t="inlineStr">
        <is>
          <t>HNK BR IND DE BEBIDAS</t>
        </is>
      </c>
      <c r="E1117" t="n">
        <v>4130.75</v>
      </c>
      <c r="F1117" s="27" t="n">
        <v>45903</v>
      </c>
      <c r="G1117" s="27" t="n">
        <v>45901</v>
      </c>
      <c r="H1117" s="27" t="n">
        <v>45901</v>
      </c>
      <c r="I1117" s="27" t="n">
        <v>45888</v>
      </c>
      <c r="J1117" s="27" t="n">
        <v>45889</v>
      </c>
      <c r="K1117" t="inlineStr">
        <is>
          <t>Boleto Bancário</t>
        </is>
      </c>
      <c r="L1117" t="inlineStr">
        <is>
          <t>Custo Mercadoria Vendida</t>
        </is>
      </c>
      <c r="M1117" t="inlineStr">
        <is>
          <t>Insumos - Bebidas</t>
        </is>
      </c>
      <c r="N1117" t="inlineStr">
        <is>
          <t>42064</t>
        </is>
      </c>
      <c r="O1117" t="inlineStr">
        <is>
          <t>Documentação Aprovada</t>
        </is>
      </c>
      <c r="P1117" t="inlineStr">
        <is>
          <t>Aprovado Diretoria</t>
        </is>
      </c>
      <c r="Q1117" t="inlineStr">
        <is>
          <t>Aprovado Caixa</t>
        </is>
      </c>
      <c r="R1117" t="inlineStr">
        <is>
          <t>Pago</t>
        </is>
      </c>
      <c r="S1117" t="n">
        <v>182</v>
      </c>
      <c r="T1117" t="inlineStr">
        <is>
          <t>Love - Shibari - Kamino</t>
        </is>
      </c>
    </row>
    <row r="1118">
      <c r="A1118" t="n">
        <v>155901</v>
      </c>
      <c r="B1118" t="n">
        <v>128</v>
      </c>
      <c r="C1118" t="inlineStr">
        <is>
          <t>Love Cabaret</t>
        </is>
      </c>
      <c r="D1118" t="inlineStr">
        <is>
          <t>ASSAZ ORGANICA INDUSTRIA E COMERCIO DE ALIMENTOS LTDA</t>
        </is>
      </c>
      <c r="E1118" t="n">
        <v>49.75</v>
      </c>
      <c r="F1118" s="27" t="n">
        <v>45903</v>
      </c>
      <c r="G1118" s="27" t="n">
        <v>45901</v>
      </c>
      <c r="H1118" s="27" t="n">
        <v>45901</v>
      </c>
      <c r="I1118" s="27" t="n">
        <v>45888</v>
      </c>
      <c r="J1118" s="27" t="n">
        <v>45889</v>
      </c>
      <c r="K1118" t="inlineStr">
        <is>
          <t>Boleto Bancário</t>
        </is>
      </c>
      <c r="L1118" t="inlineStr">
        <is>
          <t>Custo Mercadoria Vendida</t>
        </is>
      </c>
      <c r="M1118" t="inlineStr">
        <is>
          <t>Insumos - Alimentos</t>
        </is>
      </c>
      <c r="N1118" t="inlineStr">
        <is>
          <t>22557</t>
        </is>
      </c>
      <c r="O1118" t="inlineStr">
        <is>
          <t>Documentação Aprovada</t>
        </is>
      </c>
      <c r="P1118" t="inlineStr">
        <is>
          <t>Aprovado Diretoria</t>
        </is>
      </c>
      <c r="Q1118" t="inlineStr">
        <is>
          <t>Aprovado Caixa</t>
        </is>
      </c>
      <c r="R1118" t="inlineStr">
        <is>
          <t>Pago</t>
        </is>
      </c>
      <c r="S1118" t="n">
        <v>182</v>
      </c>
      <c r="T1118" t="inlineStr">
        <is>
          <t>Love - Shibari - Kamino</t>
        </is>
      </c>
    </row>
    <row r="1119">
      <c r="A1119" t="n">
        <v>155912</v>
      </c>
      <c r="B1119" t="n">
        <v>128</v>
      </c>
      <c r="C1119" t="inlineStr">
        <is>
          <t>Love Cabaret</t>
        </is>
      </c>
      <c r="D1119" t="inlineStr">
        <is>
          <t>PSSS LTDA</t>
        </is>
      </c>
      <c r="E1119" t="n">
        <v>329.4</v>
      </c>
      <c r="F1119" s="27" t="n">
        <v>45903</v>
      </c>
      <c r="G1119" s="27" t="n">
        <v>45901</v>
      </c>
      <c r="H1119" s="27" t="n">
        <v>45901</v>
      </c>
      <c r="I1119" s="27" t="n">
        <v>45887</v>
      </c>
      <c r="J1119" s="27" t="n">
        <v>45889</v>
      </c>
      <c r="K1119" t="inlineStr">
        <is>
          <t>Boleto Bancário</t>
        </is>
      </c>
      <c r="L1119" t="inlineStr">
        <is>
          <t>Utilidades</t>
        </is>
      </c>
      <c r="M1119" t="inlineStr">
        <is>
          <t>Higiene e Limpeza</t>
        </is>
      </c>
      <c r="N1119" t="inlineStr">
        <is>
          <t>2136</t>
        </is>
      </c>
      <c r="O1119" t="inlineStr">
        <is>
          <t>Documentação Aprovada</t>
        </is>
      </c>
      <c r="P1119" t="inlineStr">
        <is>
          <t>Aprovado Diretoria</t>
        </is>
      </c>
      <c r="Q1119" t="inlineStr">
        <is>
          <t>Aprovado Caixa</t>
        </is>
      </c>
      <c r="R1119" t="inlineStr">
        <is>
          <t>Pago</t>
        </is>
      </c>
      <c r="S1119" t="n">
        <v>182</v>
      </c>
      <c r="T1119" t="inlineStr">
        <is>
          <t>Love - Shibari - Kamino</t>
        </is>
      </c>
    </row>
    <row r="1120">
      <c r="A1120" t="n">
        <v>154648</v>
      </c>
      <c r="B1120" t="n">
        <v>128</v>
      </c>
      <c r="C1120" t="inlineStr">
        <is>
          <t>Love Cabaret</t>
        </is>
      </c>
      <c r="D1120" t="inlineStr">
        <is>
          <t>FG7 COMERCIO E DISTRIBUICAO DE BEBIDAS LTDA</t>
        </is>
      </c>
      <c r="E1120" t="n">
        <v>288.33</v>
      </c>
      <c r="F1120" s="27" t="n">
        <v>45902</v>
      </c>
      <c r="G1120" s="27" t="n">
        <v>45901</v>
      </c>
      <c r="H1120" s="27" t="n">
        <v>45901</v>
      </c>
      <c r="I1120" s="27" t="n">
        <v>45880</v>
      </c>
      <c r="J1120" s="27" t="n">
        <v>45883</v>
      </c>
      <c r="K1120" t="inlineStr">
        <is>
          <t>Boleto Bancário</t>
        </is>
      </c>
      <c r="L1120" t="inlineStr">
        <is>
          <t>Custo Mercadoria Vendida</t>
        </is>
      </c>
      <c r="M1120" t="inlineStr">
        <is>
          <t>Insumos - Bebidas</t>
        </is>
      </c>
      <c r="N1120" t="inlineStr">
        <is>
          <t>653532</t>
        </is>
      </c>
      <c r="O1120" t="inlineStr">
        <is>
          <t>Documentação Aprovada</t>
        </is>
      </c>
      <c r="P1120" t="inlineStr">
        <is>
          <t>Aprovado Diretoria</t>
        </is>
      </c>
      <c r="Q1120" t="inlineStr">
        <is>
          <t>Aprovado Caixa</t>
        </is>
      </c>
      <c r="R1120" t="inlineStr">
        <is>
          <t>Pago</t>
        </is>
      </c>
      <c r="S1120" t="n">
        <v>182</v>
      </c>
      <c r="T1120" t="inlineStr">
        <is>
          <t>Love - Shibari - Kamino</t>
        </is>
      </c>
    </row>
    <row r="1121">
      <c r="A1121" t="n">
        <v>154619</v>
      </c>
      <c r="B1121" t="n">
        <v>128</v>
      </c>
      <c r="C1121" t="inlineStr">
        <is>
          <t>Love Cabaret</t>
        </is>
      </c>
      <c r="D1121" t="inlineStr">
        <is>
          <t>DTK COMERCIO DE ALIMENTOS LTDA</t>
        </is>
      </c>
      <c r="E1121" t="n">
        <v>523.02</v>
      </c>
      <c r="F1121" s="27" t="n">
        <v>45901</v>
      </c>
      <c r="G1121" s="27" t="n">
        <v>45901</v>
      </c>
      <c r="H1121" s="27" t="n">
        <v>45901</v>
      </c>
      <c r="I1121" s="27" t="n">
        <v>45880</v>
      </c>
      <c r="J1121" s="27" t="n">
        <v>45883</v>
      </c>
      <c r="K1121" t="inlineStr">
        <is>
          <t>Boleto Bancário</t>
        </is>
      </c>
      <c r="L1121" t="inlineStr">
        <is>
          <t>Custo Mercadoria Vendida</t>
        </is>
      </c>
      <c r="M1121" t="inlineStr">
        <is>
          <t>Insumos - Alimentos</t>
        </is>
      </c>
      <c r="N1121" t="inlineStr">
        <is>
          <t>39489</t>
        </is>
      </c>
      <c r="O1121" t="inlineStr">
        <is>
          <t>Documentação Aprovada</t>
        </is>
      </c>
      <c r="P1121" t="inlineStr">
        <is>
          <t>Aprovado Diretoria</t>
        </is>
      </c>
      <c r="Q1121" t="inlineStr">
        <is>
          <t>Aprovado Caixa</t>
        </is>
      </c>
      <c r="R1121" t="inlineStr">
        <is>
          <t>Pago</t>
        </is>
      </c>
      <c r="S1121" t="n">
        <v>182</v>
      </c>
      <c r="T1121" t="inlineStr">
        <is>
          <t>Love - Shibari - Kamino</t>
        </is>
      </c>
    </row>
    <row r="1122">
      <c r="A1122" t="n">
        <v>154621</v>
      </c>
      <c r="B1122" t="n">
        <v>128</v>
      </c>
      <c r="C1122" t="inlineStr">
        <is>
          <t>Love Cabaret</t>
        </is>
      </c>
      <c r="D1122" t="inlineStr">
        <is>
          <t>WIDE STOCK COMERCIO E DISTRIBUICAO LTDA</t>
        </is>
      </c>
      <c r="E1122" t="n">
        <v>461.1</v>
      </c>
      <c r="F1122" s="27" t="n">
        <v>45901</v>
      </c>
      <c r="G1122" s="27" t="n">
        <v>45901</v>
      </c>
      <c r="H1122" s="27" t="n">
        <v>45901</v>
      </c>
      <c r="I1122" s="27" t="n">
        <v>45880</v>
      </c>
      <c r="J1122" s="27" t="n">
        <v>45883</v>
      </c>
      <c r="K1122" t="inlineStr">
        <is>
          <t>Boleto Bancário</t>
        </is>
      </c>
      <c r="L1122" t="inlineStr">
        <is>
          <t>Utilidades</t>
        </is>
      </c>
      <c r="M1122" t="inlineStr">
        <is>
          <t>Higiene e Limpeza</t>
        </is>
      </c>
      <c r="N1122" t="inlineStr">
        <is>
          <t>410873</t>
        </is>
      </c>
      <c r="O1122" t="inlineStr">
        <is>
          <t>Documentação Aprovada</t>
        </is>
      </c>
      <c r="P1122" t="inlineStr">
        <is>
          <t>Aprovado Diretoria</t>
        </is>
      </c>
      <c r="Q1122" t="inlineStr">
        <is>
          <t>Aprovado Caixa</t>
        </is>
      </c>
      <c r="R1122" t="inlineStr">
        <is>
          <t>Pago</t>
        </is>
      </c>
      <c r="S1122" t="n">
        <v>182</v>
      </c>
      <c r="T1122" t="inlineStr">
        <is>
          <t>Love - Shibari - Kamino</t>
        </is>
      </c>
    </row>
    <row r="1123">
      <c r="A1123" t="n">
        <v>153635</v>
      </c>
      <c r="B1123" t="n">
        <v>128</v>
      </c>
      <c r="C1123" t="inlineStr">
        <is>
          <t>Love Cabaret</t>
        </is>
      </c>
      <c r="D1123" t="inlineStr">
        <is>
          <t>QUEIJARIA ATALAIA LTDA</t>
        </is>
      </c>
      <c r="E1123" t="n">
        <v>228.75</v>
      </c>
      <c r="F1123" s="27" t="n">
        <v>45901</v>
      </c>
      <c r="G1123" s="27" t="n">
        <v>45901</v>
      </c>
      <c r="H1123" s="27" t="n">
        <v>45901</v>
      </c>
      <c r="I1123" s="27" t="n">
        <v>45873</v>
      </c>
      <c r="J1123" s="27" t="n">
        <v>45877</v>
      </c>
      <c r="K1123" t="inlineStr">
        <is>
          <t>Boleto Bancário</t>
        </is>
      </c>
      <c r="L1123" t="inlineStr">
        <is>
          <t>Custo Mercadoria Vendida</t>
        </is>
      </c>
      <c r="M1123" t="inlineStr">
        <is>
          <t>Insumos - Alimentos</t>
        </is>
      </c>
      <c r="N1123" t="inlineStr">
        <is>
          <t>12585</t>
        </is>
      </c>
      <c r="O1123" t="inlineStr">
        <is>
          <t>Documentação Aprovada</t>
        </is>
      </c>
      <c r="P1123" t="inlineStr">
        <is>
          <t>Aprovado Diretoria</t>
        </is>
      </c>
      <c r="Q1123" t="inlineStr">
        <is>
          <t>Aprovado Caixa</t>
        </is>
      </c>
      <c r="R1123" t="inlineStr">
        <is>
          <t>Pago</t>
        </is>
      </c>
      <c r="S1123" t="n">
        <v>182</v>
      </c>
      <c r="T1123" t="inlineStr">
        <is>
          <t>Love - Shibari - Kamino</t>
        </is>
      </c>
    </row>
    <row r="1124">
      <c r="A1124" t="n">
        <v>153678</v>
      </c>
      <c r="B1124" t="n">
        <v>128</v>
      </c>
      <c r="C1124" t="inlineStr">
        <is>
          <t>Love Cabaret</t>
        </is>
      </c>
      <c r="D1124" t="inlineStr">
        <is>
          <t>DTK COMERCIO DE ALIMENTOS LTDA</t>
        </is>
      </c>
      <c r="E1124" t="n">
        <v>236.6</v>
      </c>
      <c r="F1124" s="27" t="n">
        <v>45903</v>
      </c>
      <c r="G1124" s="27" t="n">
        <v>45901</v>
      </c>
      <c r="H1124" s="27" t="n">
        <v>45901</v>
      </c>
      <c r="I1124" s="27" t="n">
        <v>45875</v>
      </c>
      <c r="J1124" s="27" t="n">
        <v>45877</v>
      </c>
      <c r="K1124" t="inlineStr">
        <is>
          <t>Boleto Bancário</t>
        </is>
      </c>
      <c r="L1124" t="inlineStr">
        <is>
          <t>Custo Mercadoria Vendida</t>
        </is>
      </c>
      <c r="M1124" t="inlineStr">
        <is>
          <t>Insumos - Alimentos</t>
        </is>
      </c>
      <c r="N1124" t="inlineStr">
        <is>
          <t>38938</t>
        </is>
      </c>
      <c r="O1124" t="inlineStr">
        <is>
          <t>Documentação Aprovada</t>
        </is>
      </c>
      <c r="P1124" t="inlineStr">
        <is>
          <t>Aprovado Diretoria</t>
        </is>
      </c>
      <c r="Q1124" t="inlineStr">
        <is>
          <t>Aprovado Caixa</t>
        </is>
      </c>
      <c r="R1124" t="inlineStr">
        <is>
          <t>Pago</t>
        </is>
      </c>
      <c r="S1124" t="n">
        <v>182</v>
      </c>
      <c r="T1124" t="inlineStr">
        <is>
          <t>Love - Shibari - Kamino</t>
        </is>
      </c>
    </row>
    <row r="1125">
      <c r="A1125" t="n">
        <v>153654</v>
      </c>
      <c r="B1125" t="n">
        <v>128</v>
      </c>
      <c r="C1125" t="inlineStr">
        <is>
          <t>Love Cabaret</t>
        </is>
      </c>
      <c r="D1125" t="inlineStr">
        <is>
          <t>MURILLO S DUARTE COMERCIAL LTDA</t>
        </is>
      </c>
      <c r="E1125" t="n">
        <v>234.38</v>
      </c>
      <c r="F1125" s="27" t="n">
        <v>45901</v>
      </c>
      <c r="G1125" s="27" t="n">
        <v>45901</v>
      </c>
      <c r="H1125" s="27" t="n">
        <v>45901</v>
      </c>
      <c r="I1125" s="27" t="n">
        <v>45874</v>
      </c>
      <c r="J1125" s="27" t="n">
        <v>45877</v>
      </c>
      <c r="K1125" t="inlineStr">
        <is>
          <t>Boleto Bancário</t>
        </is>
      </c>
      <c r="L1125" t="inlineStr">
        <is>
          <t>Custo Mercadoria Vendida</t>
        </is>
      </c>
      <c r="M1125" t="inlineStr">
        <is>
          <t>Insumos - Alimentos</t>
        </is>
      </c>
      <c r="N1125" t="inlineStr">
        <is>
          <t>1902</t>
        </is>
      </c>
      <c r="O1125" t="inlineStr">
        <is>
          <t>Documentação Aprovada</t>
        </is>
      </c>
      <c r="P1125" t="inlineStr">
        <is>
          <t>Aprovado Diretoria</t>
        </is>
      </c>
      <c r="Q1125" t="inlineStr">
        <is>
          <t>Aprovado Caixa</t>
        </is>
      </c>
      <c r="R1125" t="inlineStr">
        <is>
          <t>Pago</t>
        </is>
      </c>
      <c r="S1125" t="n">
        <v>182</v>
      </c>
      <c r="T1125" t="inlineStr">
        <is>
          <t>Love - Shibari - Kamino</t>
        </is>
      </c>
    </row>
    <row r="1126">
      <c r="A1126" t="n">
        <v>153687</v>
      </c>
      <c r="B1126" t="n">
        <v>128</v>
      </c>
      <c r="C1126" t="inlineStr">
        <is>
          <t>Love Cabaret</t>
        </is>
      </c>
      <c r="D1126" t="inlineStr">
        <is>
          <t>MURILLO S DUARTE COMERCIAL LTDA</t>
        </is>
      </c>
      <c r="E1126" t="n">
        <v>509.04</v>
      </c>
      <c r="F1126" s="27" t="n">
        <v>45903</v>
      </c>
      <c r="G1126" s="27" t="n">
        <v>45901</v>
      </c>
      <c r="H1126" s="27" t="n">
        <v>45901</v>
      </c>
      <c r="I1126" s="27" t="n">
        <v>45875</v>
      </c>
      <c r="J1126" s="27" t="n">
        <v>45877</v>
      </c>
      <c r="K1126" t="inlineStr">
        <is>
          <t>Boleto Bancário</t>
        </is>
      </c>
      <c r="L1126" t="inlineStr">
        <is>
          <t>Custo Mercadoria Vendida</t>
        </is>
      </c>
      <c r="M1126" t="inlineStr">
        <is>
          <t>Insumos - Alimentos</t>
        </is>
      </c>
      <c r="N1126" t="inlineStr">
        <is>
          <t>1924</t>
        </is>
      </c>
      <c r="O1126" t="inlineStr">
        <is>
          <t>Documentação Aprovada</t>
        </is>
      </c>
      <c r="P1126" t="inlineStr">
        <is>
          <t>Aprovado Diretoria</t>
        </is>
      </c>
      <c r="Q1126" t="inlineStr">
        <is>
          <t>Aprovado Caixa</t>
        </is>
      </c>
      <c r="R1126" t="inlineStr">
        <is>
          <t>Pago</t>
        </is>
      </c>
      <c r="S1126" t="n">
        <v>182</v>
      </c>
      <c r="T1126" t="inlineStr">
        <is>
          <t>Love - Shibari - Kamino</t>
        </is>
      </c>
    </row>
    <row r="1127">
      <c r="A1127" t="n">
        <v>168174</v>
      </c>
      <c r="B1127" t="n">
        <v>128</v>
      </c>
      <c r="C1127" t="inlineStr">
        <is>
          <t>Love Cabaret</t>
        </is>
      </c>
      <c r="D1127" t="inlineStr">
        <is>
          <t>BRADESCO SA</t>
        </is>
      </c>
      <c r="E1127" t="n">
        <v>0</v>
      </c>
      <c r="F1127" s="27" t="n">
        <v>45901</v>
      </c>
      <c r="G1127" s="27" t="n"/>
      <c r="H1127" s="27" t="n">
        <v>45901</v>
      </c>
      <c r="I1127" s="27" t="n">
        <v>45901</v>
      </c>
      <c r="J1127" s="27" t="n">
        <v>45946</v>
      </c>
      <c r="K1127" t="inlineStr">
        <is>
          <t xml:space="preserve">Debito Automático </t>
        </is>
      </c>
      <c r="L1127" t="inlineStr">
        <is>
          <t>Despesas Financeiras</t>
        </is>
      </c>
      <c r="M1127" t="inlineStr">
        <is>
          <t>Tarifas Bancárias</t>
        </is>
      </c>
      <c r="N1127" t="inlineStr">
        <is>
          <t>10/2025</t>
        </is>
      </c>
      <c r="O1127" t="inlineStr">
        <is>
          <t>Documentação Aprovada</t>
        </is>
      </c>
      <c r="P1127" t="inlineStr">
        <is>
          <t>Aprovado Diretoria</t>
        </is>
      </c>
      <c r="Q1127" t="inlineStr">
        <is>
          <t>Aprovado Caixa</t>
        </is>
      </c>
      <c r="R1127" t="inlineStr">
        <is>
          <t>Pago</t>
        </is>
      </c>
      <c r="S1127" t="n">
        <v>115</v>
      </c>
      <c r="T1127" t="inlineStr">
        <is>
          <t>Love - Shibari - Bradesco</t>
        </is>
      </c>
    </row>
    <row r="1128">
      <c r="A1128" t="n">
        <v>149514</v>
      </c>
      <c r="B1128" t="n">
        <v>128</v>
      </c>
      <c r="C1128" t="inlineStr">
        <is>
          <t>Love Cabaret</t>
        </is>
      </c>
      <c r="D1128" t="inlineStr">
        <is>
          <t xml:space="preserve">SPOTIFY </t>
        </is>
      </c>
      <c r="E1128" t="n">
        <v>17.45</v>
      </c>
      <c r="F1128" s="27" t="n">
        <v>45884</v>
      </c>
      <c r="G1128" s="27" t="n">
        <v>45901</v>
      </c>
      <c r="H1128" s="27" t="n">
        <v>45901</v>
      </c>
      <c r="I1128" s="27" t="n">
        <v>45877</v>
      </c>
      <c r="J1128" s="27" t="n"/>
      <c r="K1128" t="inlineStr">
        <is>
          <t>Transferência Bancária ou Pix</t>
        </is>
      </c>
      <c r="L1128" t="inlineStr">
        <is>
          <t>Informática e TI</t>
        </is>
      </c>
      <c r="M1128" t="inlineStr">
        <is>
          <t>TV por assinatura/musica ambiente</t>
        </is>
      </c>
      <c r="N1128" t="inlineStr">
        <is>
          <t>RP073-2025</t>
        </is>
      </c>
      <c r="O1128" t="inlineStr">
        <is>
          <t>Documentação Aprovada</t>
        </is>
      </c>
      <c r="P1128" t="inlineStr">
        <is>
          <t>Aprovado Diretoria</t>
        </is>
      </c>
      <c r="Q1128" t="inlineStr">
        <is>
          <t>Aprovado Caixa</t>
        </is>
      </c>
      <c r="R1128" t="inlineStr">
        <is>
          <t>Pago</t>
        </is>
      </c>
      <c r="S1128" t="n">
        <v>182</v>
      </c>
      <c r="T1128" t="inlineStr">
        <is>
          <t>Love - Shibari - Kamino</t>
        </is>
      </c>
    </row>
    <row r="1129">
      <c r="A1129" t="n">
        <v>157331</v>
      </c>
      <c r="B1129" t="n">
        <v>128</v>
      </c>
      <c r="C1129" t="inlineStr">
        <is>
          <t>Love Cabaret</t>
        </is>
      </c>
      <c r="D1129" t="inlineStr">
        <is>
          <t xml:space="preserve"> FAMIGERADA COMERCIO E EXPORTACAO DE BEBIDAS LTDA</t>
        </is>
      </c>
      <c r="E1129" t="n">
        <v>165</v>
      </c>
      <c r="F1129" s="27" t="n">
        <v>45901</v>
      </c>
      <c r="G1129" s="27" t="n">
        <v>45901</v>
      </c>
      <c r="H1129" s="27" t="n">
        <v>45901</v>
      </c>
      <c r="I1129" s="27" t="n">
        <v>45870</v>
      </c>
      <c r="J1129" s="27" t="n">
        <v>45897</v>
      </c>
      <c r="K1129" t="inlineStr">
        <is>
          <t>Boleto Bancário</t>
        </is>
      </c>
      <c r="L1129" t="inlineStr">
        <is>
          <t>Custo Mercadoria Vendida</t>
        </is>
      </c>
      <c r="M1129" t="inlineStr">
        <is>
          <t>Insumos - Bebidas</t>
        </is>
      </c>
      <c r="N1129" t="inlineStr">
        <is>
          <t>1688</t>
        </is>
      </c>
      <c r="O1129" t="inlineStr">
        <is>
          <t>Documentação Aprovada</t>
        </is>
      </c>
      <c r="P1129" t="inlineStr">
        <is>
          <t>Aprovado Diretoria</t>
        </is>
      </c>
      <c r="Q1129" t="inlineStr">
        <is>
          <t>Aprovado Caixa</t>
        </is>
      </c>
      <c r="R1129" t="inlineStr">
        <is>
          <t>Pago</t>
        </is>
      </c>
      <c r="S1129" t="n">
        <v>182</v>
      </c>
      <c r="T1129" t="inlineStr">
        <is>
          <t>Love - Shibari - Kamino</t>
        </is>
      </c>
    </row>
    <row r="1130">
      <c r="A1130" t="n">
        <v>162104</v>
      </c>
      <c r="B1130" t="n">
        <v>128</v>
      </c>
      <c r="C1130" t="inlineStr">
        <is>
          <t>Love Cabaret</t>
        </is>
      </c>
      <c r="D1130" t="inlineStr">
        <is>
          <t>GOOGLE WORKSPACE</t>
        </is>
      </c>
      <c r="E1130" t="n">
        <v>1637.8</v>
      </c>
      <c r="F1130" s="27" t="n">
        <v>45901</v>
      </c>
      <c r="G1130" s="27" t="n">
        <v>45919</v>
      </c>
      <c r="H1130" s="27" t="n">
        <v>45901</v>
      </c>
      <c r="I1130" s="27" t="n">
        <v>45899</v>
      </c>
      <c r="J1130" s="27" t="n">
        <v>45919</v>
      </c>
      <c r="K1130" t="inlineStr">
        <is>
          <t>Transferência Bancária ou Pix</t>
        </is>
      </c>
      <c r="L1130" t="inlineStr">
        <is>
          <t>Marketing</t>
        </is>
      </c>
      <c r="M1130" t="inlineStr">
        <is>
          <t>Ferramentas de Marketing</t>
        </is>
      </c>
      <c r="N1130" t="inlineStr">
        <is>
          <t>RP001-2025</t>
        </is>
      </c>
      <c r="O1130" t="inlineStr">
        <is>
          <t>Documentação Aprovada</t>
        </is>
      </c>
      <c r="P1130" t="inlineStr">
        <is>
          <t>Aprovado Diretoria</t>
        </is>
      </c>
      <c r="Q1130" t="inlineStr">
        <is>
          <t>Aprovado Caixa</t>
        </is>
      </c>
      <c r="R1130" t="inlineStr">
        <is>
          <t>Pago</t>
        </is>
      </c>
      <c r="S1130" t="n">
        <v>182</v>
      </c>
      <c r="T1130" t="inlineStr">
        <is>
          <t>Love - Shibari - Kamino</t>
        </is>
      </c>
    </row>
    <row r="1131">
      <c r="A1131" t="n">
        <v>96952</v>
      </c>
      <c r="B1131" t="n">
        <v>128</v>
      </c>
      <c r="C1131" t="inlineStr">
        <is>
          <t>Love Cabaret</t>
        </is>
      </c>
      <c r="D1131" t="inlineStr">
        <is>
          <t>CEM ENGENHARIA DA MANUTENCAO LTDA</t>
        </is>
      </c>
      <c r="E1131" t="n">
        <v>6617.19</v>
      </c>
      <c r="F1131" s="27" t="n">
        <v>45884</v>
      </c>
      <c r="G1131" s="27" t="n">
        <v>45901</v>
      </c>
      <c r="H1131" s="27" t="n">
        <v>45901</v>
      </c>
      <c r="I1131" s="27" t="n">
        <v>45868</v>
      </c>
      <c r="J1131" s="27" t="n"/>
      <c r="K1131" t="inlineStr">
        <is>
          <t>Boleto Bancário</t>
        </is>
      </c>
      <c r="L1131" t="inlineStr">
        <is>
          <t>Manutenção</t>
        </is>
      </c>
      <c r="M1131" t="inlineStr">
        <is>
          <t>Manutenção Predial</t>
        </is>
      </c>
      <c r="N1131" t="inlineStr">
        <is>
          <t>2872</t>
        </is>
      </c>
      <c r="O1131" t="inlineStr">
        <is>
          <t>Documentação Aprovada</t>
        </is>
      </c>
      <c r="P1131" t="inlineStr">
        <is>
          <t>Aprovado Diretoria</t>
        </is>
      </c>
      <c r="Q1131" t="inlineStr">
        <is>
          <t>Aprovado Caixa</t>
        </is>
      </c>
      <c r="R1131" t="inlineStr">
        <is>
          <t>Pago</t>
        </is>
      </c>
      <c r="S1131" t="n">
        <v>115</v>
      </c>
      <c r="T1131" t="inlineStr">
        <is>
          <t>Love - Shibari - Bradesco</t>
        </is>
      </c>
    </row>
    <row r="1132">
      <c r="A1132" t="n">
        <v>96861</v>
      </c>
      <c r="B1132" t="n">
        <v>128</v>
      </c>
      <c r="C1132" t="inlineStr">
        <is>
          <t>Love Cabaret</t>
        </is>
      </c>
      <c r="D1132" t="inlineStr">
        <is>
          <t>AGENCIA BIOMA PUBLICIDADE E EVENTOS LTDA - FACUNDO</t>
        </is>
      </c>
      <c r="E1132" t="n">
        <v>8000</v>
      </c>
      <c r="F1132" s="27" t="n">
        <v>45874</v>
      </c>
      <c r="G1132" s="27" t="n">
        <v>45901</v>
      </c>
      <c r="H1132" s="27" t="n">
        <v>45901</v>
      </c>
      <c r="I1132" s="27" t="n">
        <v>45858</v>
      </c>
      <c r="J1132" s="27" t="n"/>
      <c r="K1132" t="inlineStr">
        <is>
          <t>Transferência Bancária ou Pix</t>
        </is>
      </c>
      <c r="L1132" t="inlineStr">
        <is>
          <t>Marketing</t>
        </is>
      </c>
      <c r="M1132" t="inlineStr">
        <is>
          <t>Agência de Propaganda</t>
        </is>
      </c>
      <c r="N1132" t="inlineStr">
        <is>
          <t>322</t>
        </is>
      </c>
      <c r="O1132" t="inlineStr">
        <is>
          <t>Documentação Aprovada</t>
        </is>
      </c>
      <c r="P1132" t="inlineStr">
        <is>
          <t>Aprovado Diretoria</t>
        </is>
      </c>
      <c r="Q1132" t="inlineStr">
        <is>
          <t>Aprovado Caixa</t>
        </is>
      </c>
      <c r="R1132" t="inlineStr">
        <is>
          <t>Pago</t>
        </is>
      </c>
      <c r="S1132" t="n">
        <v>182</v>
      </c>
      <c r="T1132" t="inlineStr">
        <is>
          <t>Love - Shibari - Kamino</t>
        </is>
      </c>
    </row>
    <row r="1133">
      <c r="A1133" t="n">
        <v>106697</v>
      </c>
      <c r="B1133" t="n">
        <v>128</v>
      </c>
      <c r="C1133" t="inlineStr">
        <is>
          <t>Love Cabaret</t>
        </is>
      </c>
      <c r="D1133" t="inlineStr">
        <is>
          <t>AURORA ALVORADA ESTACIONAMENTO E LANCHONETE LTDA</t>
        </is>
      </c>
      <c r="E1133" t="n">
        <v>200.17</v>
      </c>
      <c r="F1133" s="27" t="n">
        <v>45901</v>
      </c>
      <c r="G1133" s="27" t="n">
        <v>45901</v>
      </c>
      <c r="H1133" s="27" t="n">
        <v>45901</v>
      </c>
      <c r="I1133" s="27" t="n">
        <v>45894</v>
      </c>
      <c r="J1133" s="27" t="n"/>
      <c r="K1133" t="inlineStr">
        <is>
          <t>Boleto Bancário</t>
        </is>
      </c>
      <c r="L1133" t="inlineStr">
        <is>
          <t>Custo Mercadoria Vendida</t>
        </is>
      </c>
      <c r="M1133" t="inlineStr">
        <is>
          <t>Insumos - Alimentos</t>
        </is>
      </c>
      <c r="N1133" t="inlineStr">
        <is>
          <t>10904</t>
        </is>
      </c>
      <c r="O1133" t="inlineStr">
        <is>
          <t>Documentação Aprovada</t>
        </is>
      </c>
      <c r="P1133" t="inlineStr">
        <is>
          <t>Aprovado Diretoria</t>
        </is>
      </c>
      <c r="Q1133" t="inlineStr">
        <is>
          <t>Aprovado Caixa</t>
        </is>
      </c>
      <c r="R1133" t="inlineStr">
        <is>
          <t>Pago</t>
        </is>
      </c>
      <c r="S1133" t="n">
        <v>182</v>
      </c>
      <c r="T1133" t="inlineStr">
        <is>
          <t>Love - Shibari - Kamino</t>
        </is>
      </c>
    </row>
    <row r="1134">
      <c r="A1134" t="n">
        <v>158202</v>
      </c>
      <c r="B1134" t="n">
        <v>128</v>
      </c>
      <c r="C1134" t="inlineStr">
        <is>
          <t>Love Cabaret</t>
        </is>
      </c>
      <c r="D1134" t="inlineStr">
        <is>
          <t>ZIGPAY LTDAS -ME</t>
        </is>
      </c>
      <c r="E1134" t="n">
        <v>0</v>
      </c>
      <c r="F1134" s="27" t="n">
        <v>45900</v>
      </c>
      <c r="G1134" s="27" t="n"/>
      <c r="H1134" s="27" t="n">
        <v>45900</v>
      </c>
      <c r="I1134" s="27" t="n">
        <v>45900</v>
      </c>
      <c r="J1134" s="27" t="n"/>
      <c r="K1134" t="inlineStr">
        <is>
          <t>Encontro de Contas</t>
        </is>
      </c>
      <c r="L1134" t="inlineStr">
        <is>
          <t>Deduções sobre Venda</t>
        </is>
      </c>
      <c r="M1134" t="inlineStr">
        <is>
          <t>Meios de pagamento</t>
        </is>
      </c>
      <c r="N1134" t="inlineStr">
        <is>
          <t>082025</t>
        </is>
      </c>
      <c r="R1134" t="inlineStr">
        <is>
          <t>Pago</t>
        </is>
      </c>
    </row>
    <row r="1135">
      <c r="A1135" t="n">
        <v>48469</v>
      </c>
      <c r="B1135" t="n">
        <v>128</v>
      </c>
      <c r="C1135" t="inlineStr">
        <is>
          <t>Love Cabaret</t>
        </is>
      </c>
      <c r="D1135" t="inlineStr">
        <is>
          <t xml:space="preserve">MINISTERIO DA FAZENDA </t>
        </is>
      </c>
      <c r="E1135" t="n">
        <v>20695.29</v>
      </c>
      <c r="F1135" s="27" t="n">
        <v>45897</v>
      </c>
      <c r="G1135" s="27" t="n">
        <v>45901</v>
      </c>
      <c r="H1135" s="27" t="n">
        <v>45898</v>
      </c>
      <c r="I1135" s="27" t="n">
        <v>45366</v>
      </c>
      <c r="J1135" s="27" t="n"/>
      <c r="K1135" t="inlineStr">
        <is>
          <t xml:space="preserve">Debito Automático </t>
        </is>
      </c>
      <c r="L1135" t="inlineStr">
        <is>
          <t>Endividamento</t>
        </is>
      </c>
      <c r="M1135" t="inlineStr">
        <is>
          <t>Endividamento Geral</t>
        </is>
      </c>
      <c r="N1135" t="inlineStr">
        <is>
          <t>18/60</t>
        </is>
      </c>
      <c r="O1135" t="inlineStr">
        <is>
          <t>Documentação Aprovada</t>
        </is>
      </c>
      <c r="P1135" t="inlineStr">
        <is>
          <t>Aprovado Diretoria</t>
        </is>
      </c>
      <c r="Q1135" t="inlineStr">
        <is>
          <t>Aprovado Caixa</t>
        </is>
      </c>
      <c r="R1135" t="inlineStr">
        <is>
          <t>Pago</t>
        </is>
      </c>
      <c r="S1135" t="n">
        <v>115</v>
      </c>
      <c r="T1135" t="inlineStr">
        <is>
          <t>Love - Shibari - Bradesco</t>
        </is>
      </c>
    </row>
    <row r="1136">
      <c r="A1136" t="n">
        <v>108205</v>
      </c>
      <c r="B1136" t="n">
        <v>128</v>
      </c>
      <c r="C1136" t="inlineStr">
        <is>
          <t>Love Cabaret</t>
        </is>
      </c>
      <c r="D1136" t="inlineStr">
        <is>
          <t xml:space="preserve">GOOGLE BRASIL INTERNET LTDA </t>
        </is>
      </c>
      <c r="E1136" t="n">
        <v>1000</v>
      </c>
      <c r="F1136" s="27" t="n">
        <v>45897</v>
      </c>
      <c r="G1136" s="27" t="n">
        <v>45896</v>
      </c>
      <c r="H1136" s="27" t="n">
        <v>45897</v>
      </c>
      <c r="I1136" s="27" t="n">
        <v>45897</v>
      </c>
      <c r="J1136" s="27" t="n"/>
      <c r="K1136" t="inlineStr">
        <is>
          <t>Boleto Bancário</t>
        </is>
      </c>
      <c r="L1136" t="inlineStr">
        <is>
          <t>Marketing</t>
        </is>
      </c>
      <c r="M1136" t="inlineStr">
        <is>
          <t>Publicidade e Propaganda</t>
        </is>
      </c>
      <c r="N1136" t="inlineStr">
        <is>
          <t>082025</t>
        </is>
      </c>
      <c r="O1136" t="inlineStr">
        <is>
          <t>Documentação Aprovada</t>
        </is>
      </c>
      <c r="P1136" t="inlineStr">
        <is>
          <t>Aprovado Diretoria</t>
        </is>
      </c>
      <c r="Q1136" t="inlineStr">
        <is>
          <t>Aprovado Caixa</t>
        </is>
      </c>
      <c r="R1136" t="inlineStr">
        <is>
          <t>Pago</t>
        </is>
      </c>
      <c r="S1136" t="n">
        <v>182</v>
      </c>
      <c r="T1136" t="inlineStr">
        <is>
          <t>Love - Shibari - Kamino</t>
        </is>
      </c>
    </row>
    <row r="1137">
      <c r="A1137" t="n">
        <v>157699</v>
      </c>
      <c r="B1137" t="n">
        <v>128</v>
      </c>
      <c r="C1137" t="inlineStr">
        <is>
          <t>Love Cabaret</t>
        </is>
      </c>
      <c r="D1137" t="inlineStr">
        <is>
          <t xml:space="preserve">KAMINO INSTITUICAO DE PAGAMENTO LTDA </t>
        </is>
      </c>
      <c r="E1137" t="n">
        <v>0.5</v>
      </c>
      <c r="F1137" s="27" t="n">
        <v>45897</v>
      </c>
      <c r="G1137" s="27" t="n"/>
      <c r="H1137" s="27" t="n">
        <v>45897</v>
      </c>
      <c r="I1137" s="27" t="n">
        <v>45897</v>
      </c>
      <c r="J1137" s="27" t="n">
        <v>45898</v>
      </c>
      <c r="K1137" t="inlineStr">
        <is>
          <t>Encontro de Contas</t>
        </is>
      </c>
      <c r="L1137" t="inlineStr">
        <is>
          <t>Despesas Financeiras</t>
        </is>
      </c>
      <c r="M1137" t="inlineStr">
        <is>
          <t>Tarifas Bancárias</t>
        </is>
      </c>
      <c r="N1137" t="inlineStr">
        <is>
          <t>082025</t>
        </is>
      </c>
      <c r="R1137" t="inlineStr">
        <is>
          <t>Pago</t>
        </is>
      </c>
    </row>
    <row r="1138">
      <c r="A1138" t="n">
        <v>157243</v>
      </c>
      <c r="B1138" t="n">
        <v>128</v>
      </c>
      <c r="C1138" t="inlineStr">
        <is>
          <t>Love Cabaret</t>
        </is>
      </c>
      <c r="D1138" t="inlineStr">
        <is>
          <t>BRADESCO SA</t>
        </is>
      </c>
      <c r="E1138" t="n">
        <v>9.800000000000001</v>
      </c>
      <c r="F1138" s="27" t="n">
        <v>45896</v>
      </c>
      <c r="G1138" s="27" t="n"/>
      <c r="H1138" s="27" t="n">
        <v>45896</v>
      </c>
      <c r="I1138" s="27" t="n">
        <v>45896</v>
      </c>
      <c r="J1138" s="27" t="n">
        <v>45897</v>
      </c>
      <c r="K1138" t="inlineStr">
        <is>
          <t>Encontro de Contas</t>
        </is>
      </c>
      <c r="L1138" t="inlineStr">
        <is>
          <t>Despesas Financeiras</t>
        </is>
      </c>
      <c r="M1138" t="inlineStr">
        <is>
          <t>Tarifas Bancárias</t>
        </is>
      </c>
      <c r="N1138" t="inlineStr">
        <is>
          <t>082025</t>
        </is>
      </c>
      <c r="R1138" t="inlineStr">
        <is>
          <t>Pago</t>
        </is>
      </c>
    </row>
    <row r="1139">
      <c r="A1139" t="n">
        <v>153286</v>
      </c>
      <c r="B1139" t="n">
        <v>128</v>
      </c>
      <c r="C1139" t="inlineStr">
        <is>
          <t>Love Cabaret</t>
        </is>
      </c>
      <c r="D1139" t="inlineStr">
        <is>
          <t xml:space="preserve">EMPORIO MEL </t>
        </is>
      </c>
      <c r="E1139" t="n">
        <v>655.8</v>
      </c>
      <c r="F1139" s="27" t="n">
        <v>45897</v>
      </c>
      <c r="G1139" s="27" t="n">
        <v>45896</v>
      </c>
      <c r="H1139" s="27" t="n">
        <v>45896</v>
      </c>
      <c r="I1139" s="27" t="n">
        <v>45866</v>
      </c>
      <c r="J1139" s="27" t="n">
        <v>45876</v>
      </c>
      <c r="K1139" t="inlineStr">
        <is>
          <t>Boleto Bancário</t>
        </is>
      </c>
      <c r="L1139" t="inlineStr">
        <is>
          <t>Custo Mercadoria Vendida</t>
        </is>
      </c>
      <c r="M1139" t="inlineStr">
        <is>
          <t>Insumos - Bebidas</t>
        </is>
      </c>
      <c r="N1139" t="inlineStr">
        <is>
          <t>463195</t>
        </is>
      </c>
      <c r="O1139" t="inlineStr">
        <is>
          <t>Documentação Aprovada</t>
        </is>
      </c>
      <c r="P1139" t="inlineStr">
        <is>
          <t>Aprovado Diretoria</t>
        </is>
      </c>
      <c r="Q1139" t="inlineStr">
        <is>
          <t>Aprovado Caixa</t>
        </is>
      </c>
      <c r="R1139" t="inlineStr">
        <is>
          <t>Pago</t>
        </is>
      </c>
      <c r="S1139" t="n">
        <v>182</v>
      </c>
      <c r="T1139" t="inlineStr">
        <is>
          <t>Love - Shibari - Kamino</t>
        </is>
      </c>
    </row>
    <row r="1140">
      <c r="A1140" t="n">
        <v>153285</v>
      </c>
      <c r="B1140" t="n">
        <v>128</v>
      </c>
      <c r="C1140" t="inlineStr">
        <is>
          <t>Love Cabaret</t>
        </is>
      </c>
      <c r="D1140" t="inlineStr">
        <is>
          <t xml:space="preserve">EMPORIO MEL </t>
        </is>
      </c>
      <c r="E1140" t="n">
        <v>1593</v>
      </c>
      <c r="F1140" s="27" t="n">
        <v>45897</v>
      </c>
      <c r="G1140" s="27" t="n">
        <v>45896</v>
      </c>
      <c r="H1140" s="27" t="n">
        <v>45896</v>
      </c>
      <c r="I1140" s="27" t="n">
        <v>45862</v>
      </c>
      <c r="J1140" s="27" t="n">
        <v>45876</v>
      </c>
      <c r="K1140" t="inlineStr">
        <is>
          <t>Boleto Bancário</t>
        </is>
      </c>
      <c r="L1140" t="inlineStr">
        <is>
          <t>Custo Mercadoria Vendida</t>
        </is>
      </c>
      <c r="M1140" t="inlineStr">
        <is>
          <t>Insumos - Bebidas</t>
        </is>
      </c>
      <c r="N1140" t="inlineStr">
        <is>
          <t>462929</t>
        </is>
      </c>
      <c r="O1140" t="inlineStr">
        <is>
          <t>Documentação Aprovada</t>
        </is>
      </c>
      <c r="P1140" t="inlineStr">
        <is>
          <t>Aprovado Diretoria</t>
        </is>
      </c>
      <c r="Q1140" t="inlineStr">
        <is>
          <t>Aprovado Caixa</t>
        </is>
      </c>
      <c r="R1140" t="inlineStr">
        <is>
          <t>Pago</t>
        </is>
      </c>
      <c r="S1140" t="n">
        <v>182</v>
      </c>
      <c r="T1140" t="inlineStr">
        <is>
          <t>Love - Shibari - Kamino</t>
        </is>
      </c>
    </row>
    <row r="1141">
      <c r="A1141" t="n">
        <v>153648</v>
      </c>
      <c r="B1141" t="n">
        <v>128</v>
      </c>
      <c r="C1141" t="inlineStr">
        <is>
          <t>Love Cabaret</t>
        </is>
      </c>
      <c r="D1141" t="inlineStr">
        <is>
          <t>KING COMERCIO E IMPORTACAO DE BEBIDAS LTDA</t>
        </is>
      </c>
      <c r="E1141" t="n">
        <v>8931.24</v>
      </c>
      <c r="F1141" s="27" t="n">
        <v>45898</v>
      </c>
      <c r="G1141" s="27" t="n">
        <v>45896</v>
      </c>
      <c r="H1141" s="27" t="n">
        <v>45896</v>
      </c>
      <c r="I1141" s="27" t="n">
        <v>45870</v>
      </c>
      <c r="J1141" s="27" t="n">
        <v>45877</v>
      </c>
      <c r="K1141" t="inlineStr">
        <is>
          <t>Boleto Bancário</t>
        </is>
      </c>
      <c r="L1141" t="inlineStr">
        <is>
          <t>Custo Mercadoria Vendida</t>
        </is>
      </c>
      <c r="M1141" t="inlineStr">
        <is>
          <t>Insumos - Bebidas</t>
        </is>
      </c>
      <c r="N1141" t="inlineStr">
        <is>
          <t>119919</t>
        </is>
      </c>
      <c r="O1141" t="inlineStr">
        <is>
          <t>Documentação Aprovada</t>
        </is>
      </c>
      <c r="P1141" t="inlineStr">
        <is>
          <t>Aprovado Diretoria</t>
        </is>
      </c>
      <c r="Q1141" t="inlineStr">
        <is>
          <t>Aprovado Caixa</t>
        </is>
      </c>
      <c r="R1141" t="inlineStr">
        <is>
          <t>Pago</t>
        </is>
      </c>
      <c r="S1141" t="n">
        <v>182</v>
      </c>
      <c r="T1141" t="inlineStr">
        <is>
          <t>Love - Shibari - Kamino</t>
        </is>
      </c>
    </row>
    <row r="1142">
      <c r="A1142" t="n">
        <v>155870</v>
      </c>
      <c r="B1142" t="n">
        <v>128</v>
      </c>
      <c r="C1142" t="inlineStr">
        <is>
          <t>Love Cabaret</t>
        </is>
      </c>
      <c r="D1142" t="inlineStr">
        <is>
          <t>CECILIA TSUYACO ARAKI SILVA LTDA</t>
        </is>
      </c>
      <c r="E1142" t="n">
        <v>237.6</v>
      </c>
      <c r="F1142" s="27" t="n">
        <v>45897</v>
      </c>
      <c r="G1142" s="27" t="n">
        <v>45896</v>
      </c>
      <c r="H1142" s="27" t="n">
        <v>45896</v>
      </c>
      <c r="I1142" s="27" t="n">
        <v>45883</v>
      </c>
      <c r="J1142" s="27" t="n">
        <v>45889</v>
      </c>
      <c r="K1142" t="inlineStr">
        <is>
          <t>Boleto Bancário</t>
        </is>
      </c>
      <c r="L1142" t="inlineStr">
        <is>
          <t>Custo Mercadoria Vendida</t>
        </is>
      </c>
      <c r="M1142" t="inlineStr">
        <is>
          <t>Insumos - Alimentos</t>
        </is>
      </c>
      <c r="N1142" t="inlineStr">
        <is>
          <t>376269</t>
        </is>
      </c>
      <c r="O1142" t="inlineStr">
        <is>
          <t>Documentação Aprovada</t>
        </is>
      </c>
      <c r="P1142" t="inlineStr">
        <is>
          <t>Aprovado Diretoria</t>
        </is>
      </c>
      <c r="Q1142" t="inlineStr">
        <is>
          <t>Aprovado Caixa</t>
        </is>
      </c>
      <c r="R1142" t="inlineStr">
        <is>
          <t>Pago</t>
        </is>
      </c>
      <c r="S1142" t="n">
        <v>182</v>
      </c>
      <c r="T1142" t="inlineStr">
        <is>
          <t>Love - Shibari - Kamino</t>
        </is>
      </c>
    </row>
    <row r="1143">
      <c r="A1143" t="n">
        <v>155850</v>
      </c>
      <c r="B1143" t="n">
        <v>128</v>
      </c>
      <c r="C1143" t="inlineStr">
        <is>
          <t>Love Cabaret</t>
        </is>
      </c>
      <c r="D1143" t="inlineStr">
        <is>
          <t>PSSS LTDA</t>
        </is>
      </c>
      <c r="E1143" t="n">
        <v>806.2</v>
      </c>
      <c r="F1143" s="27" t="n">
        <v>45898</v>
      </c>
      <c r="G1143" s="27" t="n">
        <v>45896</v>
      </c>
      <c r="H1143" s="27" t="n">
        <v>45896</v>
      </c>
      <c r="I1143" s="27" t="n">
        <v>45883</v>
      </c>
      <c r="J1143" s="27" t="n">
        <v>45889</v>
      </c>
      <c r="K1143" t="inlineStr">
        <is>
          <t>Boleto Bancário</t>
        </is>
      </c>
      <c r="L1143" t="inlineStr">
        <is>
          <t>Utilidades</t>
        </is>
      </c>
      <c r="M1143" t="inlineStr">
        <is>
          <t>Material de Escritorio</t>
        </is>
      </c>
      <c r="N1143" t="inlineStr">
        <is>
          <t>2121</t>
        </is>
      </c>
      <c r="O1143" t="inlineStr">
        <is>
          <t>Documentação Aprovada</t>
        </is>
      </c>
      <c r="P1143" t="inlineStr">
        <is>
          <t>Aprovado Diretoria</t>
        </is>
      </c>
      <c r="Q1143" t="inlineStr">
        <is>
          <t>Aprovado Caixa</t>
        </is>
      </c>
      <c r="R1143" t="inlineStr">
        <is>
          <t>Pago</t>
        </is>
      </c>
      <c r="S1143" t="n">
        <v>182</v>
      </c>
      <c r="T1143" t="inlineStr">
        <is>
          <t>Love - Shibari - Kamino</t>
        </is>
      </c>
    </row>
    <row r="1144">
      <c r="A1144" t="n">
        <v>155875</v>
      </c>
      <c r="B1144" t="n">
        <v>128</v>
      </c>
      <c r="C1144" t="inlineStr">
        <is>
          <t>Love Cabaret</t>
        </is>
      </c>
      <c r="D1144" t="inlineStr">
        <is>
          <t>HORTIFRUTIGRANJEIRO RODRIGUES LTDA</t>
        </is>
      </c>
      <c r="E1144" t="n">
        <v>154.4</v>
      </c>
      <c r="F1144" s="27" t="n">
        <v>45899</v>
      </c>
      <c r="G1144" s="27" t="n">
        <v>45896</v>
      </c>
      <c r="H1144" s="27" t="n">
        <v>45896</v>
      </c>
      <c r="I1144" s="27" t="n">
        <v>45883</v>
      </c>
      <c r="J1144" s="27" t="n">
        <v>45889</v>
      </c>
      <c r="K1144" t="inlineStr">
        <is>
          <t>Boleto Bancário</t>
        </is>
      </c>
      <c r="L1144" t="inlineStr">
        <is>
          <t>Custo Mercadoria Vendida</t>
        </is>
      </c>
      <c r="M1144" t="inlineStr">
        <is>
          <t>Insumos - Alimentos</t>
        </is>
      </c>
      <c r="N1144" t="inlineStr">
        <is>
          <t>12208</t>
        </is>
      </c>
      <c r="O1144" t="inlineStr">
        <is>
          <t>Documentação Aprovada</t>
        </is>
      </c>
      <c r="P1144" t="inlineStr">
        <is>
          <t>Aprovado Diretoria</t>
        </is>
      </c>
      <c r="Q1144" t="inlineStr">
        <is>
          <t>Aprovado Caixa</t>
        </is>
      </c>
      <c r="R1144" t="inlineStr">
        <is>
          <t>Pago</t>
        </is>
      </c>
      <c r="S1144" t="n">
        <v>182</v>
      </c>
      <c r="T1144" t="inlineStr">
        <is>
          <t>Love - Shibari - Kamino</t>
        </is>
      </c>
    </row>
    <row r="1145">
      <c r="A1145" t="n">
        <v>155876</v>
      </c>
      <c r="B1145" t="n">
        <v>128</v>
      </c>
      <c r="C1145" t="inlineStr">
        <is>
          <t>Love Cabaret</t>
        </is>
      </c>
      <c r="D1145" t="inlineStr">
        <is>
          <t>ICE4PROS FABRICA DE GELO LTDA</t>
        </is>
      </c>
      <c r="E1145" t="n">
        <v>563.5</v>
      </c>
      <c r="F1145" s="27" t="n">
        <v>45897</v>
      </c>
      <c r="G1145" s="27" t="n">
        <v>45896</v>
      </c>
      <c r="H1145" s="27" t="n">
        <v>45896</v>
      </c>
      <c r="I1145" s="27" t="n">
        <v>45887</v>
      </c>
      <c r="J1145" s="27" t="n">
        <v>45889</v>
      </c>
      <c r="K1145" t="inlineStr">
        <is>
          <t>Boleto Bancário</t>
        </is>
      </c>
      <c r="L1145" t="inlineStr">
        <is>
          <t>Custo Mercadoria Vendida</t>
        </is>
      </c>
      <c r="M1145" t="inlineStr">
        <is>
          <t>Insumos - Bebidas</t>
        </is>
      </c>
      <c r="N1145" t="inlineStr">
        <is>
          <t>84443</t>
        </is>
      </c>
      <c r="O1145" t="inlineStr">
        <is>
          <t>Documentação Aprovada</t>
        </is>
      </c>
      <c r="P1145" t="inlineStr">
        <is>
          <t>Aprovado Diretoria</t>
        </is>
      </c>
      <c r="Q1145" t="inlineStr">
        <is>
          <t>Aprovado Caixa</t>
        </is>
      </c>
      <c r="R1145" t="inlineStr">
        <is>
          <t>Pago</t>
        </is>
      </c>
      <c r="S1145" t="n">
        <v>182</v>
      </c>
      <c r="T1145" t="inlineStr">
        <is>
          <t>Love - Shibari - Kamino</t>
        </is>
      </c>
    </row>
    <row r="1146">
      <c r="A1146" t="n">
        <v>154646</v>
      </c>
      <c r="B1146" t="n">
        <v>128</v>
      </c>
      <c r="C1146" t="inlineStr">
        <is>
          <t>Love Cabaret</t>
        </is>
      </c>
      <c r="D1146" t="inlineStr">
        <is>
          <t>PSSS LTDA</t>
        </is>
      </c>
      <c r="E1146" t="n">
        <v>308.54</v>
      </c>
      <c r="F1146" s="27" t="n">
        <v>45897</v>
      </c>
      <c r="G1146" s="27" t="n">
        <v>45896</v>
      </c>
      <c r="H1146" s="27" t="n">
        <v>45896</v>
      </c>
      <c r="I1146" s="27" t="n">
        <v>45881</v>
      </c>
      <c r="J1146" s="27" t="n">
        <v>45883</v>
      </c>
      <c r="K1146" t="inlineStr">
        <is>
          <t>Boleto Bancário</t>
        </is>
      </c>
      <c r="L1146" t="inlineStr">
        <is>
          <t>Utilidades</t>
        </is>
      </c>
      <c r="M1146" t="inlineStr">
        <is>
          <t>Higiene e Limpeza</t>
        </is>
      </c>
      <c r="N1146" t="inlineStr">
        <is>
          <t>2095</t>
        </is>
      </c>
      <c r="O1146" t="inlineStr">
        <is>
          <t>Documentação Aprovada</t>
        </is>
      </c>
      <c r="P1146" t="inlineStr">
        <is>
          <t>Aprovado Diretoria</t>
        </is>
      </c>
      <c r="Q1146" t="inlineStr">
        <is>
          <t>Aprovado Caixa</t>
        </is>
      </c>
      <c r="R1146" t="inlineStr">
        <is>
          <t>Pago</t>
        </is>
      </c>
      <c r="S1146" t="n">
        <v>182</v>
      </c>
      <c r="T1146" t="inlineStr">
        <is>
          <t>Love - Shibari - Kamino</t>
        </is>
      </c>
    </row>
    <row r="1147">
      <c r="A1147" t="n">
        <v>154152</v>
      </c>
      <c r="B1147" t="n">
        <v>128</v>
      </c>
      <c r="C1147" t="inlineStr">
        <is>
          <t>Love Cabaret</t>
        </is>
      </c>
      <c r="D1147" t="inlineStr">
        <is>
          <t>VALE TRANSPORTE</t>
        </is>
      </c>
      <c r="E1147" t="n">
        <v>922.13</v>
      </c>
      <c r="F1147" s="27" t="n">
        <v>45898</v>
      </c>
      <c r="G1147" s="27" t="n">
        <v>45896</v>
      </c>
      <c r="H1147" s="27" t="n">
        <v>45896</v>
      </c>
      <c r="I1147" s="27" t="n">
        <v>45870</v>
      </c>
      <c r="J1147" s="27" t="n">
        <v>45881</v>
      </c>
      <c r="K1147" t="inlineStr">
        <is>
          <t>Boleto Bancário</t>
        </is>
      </c>
      <c r="L1147" t="inlineStr">
        <is>
          <t>Mão de Obra - Benefícios</t>
        </is>
      </c>
      <c r="M1147" t="inlineStr">
        <is>
          <t xml:space="preserve">  -  Vale-transporte</t>
        </is>
      </c>
      <c r="N1147" t="inlineStr">
        <is>
          <t>240812600</t>
        </is>
      </c>
      <c r="O1147" t="inlineStr">
        <is>
          <t>Documentação Aprovada</t>
        </is>
      </c>
      <c r="P1147" t="inlineStr">
        <is>
          <t>Aprovado Diretoria</t>
        </is>
      </c>
      <c r="Q1147" t="inlineStr">
        <is>
          <t>Aprovado Caixa</t>
        </is>
      </c>
      <c r="R1147" t="inlineStr">
        <is>
          <t>Pago</t>
        </is>
      </c>
      <c r="S1147" t="n">
        <v>182</v>
      </c>
      <c r="T1147" t="inlineStr">
        <is>
          <t>Love - Shibari - Kamino</t>
        </is>
      </c>
    </row>
    <row r="1148">
      <c r="A1148" t="n">
        <v>154464</v>
      </c>
      <c r="B1148" t="n">
        <v>128</v>
      </c>
      <c r="C1148" t="inlineStr">
        <is>
          <t>Love Cabaret</t>
        </is>
      </c>
      <c r="D1148" t="inlineStr">
        <is>
          <t>FLAVIO RODRIGUES DE MOURA</t>
        </is>
      </c>
      <c r="E1148" t="n">
        <v>1500</v>
      </c>
      <c r="F1148" s="27" t="n">
        <v>45897</v>
      </c>
      <c r="G1148" s="27" t="n">
        <v>45896</v>
      </c>
      <c r="H1148" s="27" t="n">
        <v>45896</v>
      </c>
      <c r="I1148" s="27" t="n">
        <v>45882</v>
      </c>
      <c r="J1148" s="27" t="n">
        <v>45882</v>
      </c>
      <c r="K1148" t="inlineStr">
        <is>
          <t>Transferência Bancária ou Pix</t>
        </is>
      </c>
      <c r="L1148" t="inlineStr">
        <is>
          <t>Custos Artístico Geral</t>
        </is>
      </c>
      <c r="M1148" t="inlineStr">
        <is>
          <t>Cachê de Músicos e Artistas</t>
        </is>
      </c>
      <c r="N1148" t="inlineStr">
        <is>
          <t>1500082025</t>
        </is>
      </c>
      <c r="O1148" t="inlineStr">
        <is>
          <t>Documentação Aprovada</t>
        </is>
      </c>
      <c r="P1148" t="inlineStr">
        <is>
          <t>Aprovado Diretoria</t>
        </is>
      </c>
      <c r="Q1148" t="inlineStr">
        <is>
          <t>Aprovado Caixa</t>
        </is>
      </c>
      <c r="R1148" t="inlineStr">
        <is>
          <t>Pago</t>
        </is>
      </c>
      <c r="S1148" t="n">
        <v>182</v>
      </c>
      <c r="T1148" t="inlineStr">
        <is>
          <t>Love - Shibari - Kamino</t>
        </is>
      </c>
    </row>
    <row r="1149">
      <c r="A1149" t="n">
        <v>150644</v>
      </c>
      <c r="B1149" t="n">
        <v>128</v>
      </c>
      <c r="C1149" t="inlineStr">
        <is>
          <t>Love Cabaret</t>
        </is>
      </c>
      <c r="D1149" t="inlineStr">
        <is>
          <t>PJ 00192022 - FELIPE FERREIRA FRANCA</t>
        </is>
      </c>
      <c r="E1149" t="n">
        <v>187.88</v>
      </c>
      <c r="F1149" s="27" t="n">
        <v>45897</v>
      </c>
      <c r="G1149" s="27" t="n">
        <v>45896</v>
      </c>
      <c r="H1149" s="27" t="n">
        <v>45896</v>
      </c>
      <c r="I1149" s="27" t="n">
        <v>45869</v>
      </c>
      <c r="J1149" s="27" t="n">
        <v>45870</v>
      </c>
      <c r="K1149" t="inlineStr">
        <is>
          <t>Cartão de Crédito</t>
        </is>
      </c>
      <c r="L1149" t="inlineStr">
        <is>
          <t>Manutenção</t>
        </is>
      </c>
      <c r="M1149" t="inlineStr">
        <is>
          <t>Material de Manutenção</t>
        </is>
      </c>
      <c r="N1149" t="inlineStr">
        <is>
          <t>722025</t>
        </is>
      </c>
      <c r="O1149" t="inlineStr">
        <is>
          <t>Documentação Aprovada</t>
        </is>
      </c>
      <c r="P1149" t="inlineStr">
        <is>
          <t>Aprovado Diretoria</t>
        </is>
      </c>
      <c r="Q1149" t="inlineStr">
        <is>
          <t>Aprovado Caixa</t>
        </is>
      </c>
      <c r="R1149" t="inlineStr">
        <is>
          <t>Pago</t>
        </is>
      </c>
      <c r="S1149" t="n">
        <v>182</v>
      </c>
      <c r="T1149" t="inlineStr">
        <is>
          <t>Love - Shibari - Kamino</t>
        </is>
      </c>
    </row>
    <row r="1150">
      <c r="A1150" t="n">
        <v>48429</v>
      </c>
      <c r="B1150" t="n">
        <v>128</v>
      </c>
      <c r="C1150" t="inlineStr">
        <is>
          <t>Love Cabaret</t>
        </is>
      </c>
      <c r="D1150" t="inlineStr">
        <is>
          <t>ICMS</t>
        </is>
      </c>
      <c r="E1150" t="n">
        <v>806.47</v>
      </c>
      <c r="F1150" s="27" t="n">
        <v>45897</v>
      </c>
      <c r="G1150" s="27" t="n">
        <v>45896</v>
      </c>
      <c r="H1150" s="27" t="n">
        <v>45896</v>
      </c>
      <c r="I1150" s="27" t="n">
        <v>45366</v>
      </c>
      <c r="J1150" s="27" t="n"/>
      <c r="K1150" t="inlineStr">
        <is>
          <t>Boleto Bancário</t>
        </is>
      </c>
      <c r="L1150" t="inlineStr">
        <is>
          <t>Endividamento</t>
        </is>
      </c>
      <c r="M1150" t="inlineStr">
        <is>
          <t>Endividamento Geral</t>
        </is>
      </c>
      <c r="N1150" t="inlineStr">
        <is>
          <t>17/60</t>
        </is>
      </c>
      <c r="O1150" t="inlineStr">
        <is>
          <t>Documentação Aprovada</t>
        </is>
      </c>
      <c r="P1150" t="inlineStr">
        <is>
          <t>Aprovado Diretoria</t>
        </is>
      </c>
      <c r="Q1150" t="inlineStr">
        <is>
          <t>Aprovado Caixa</t>
        </is>
      </c>
      <c r="R1150" t="inlineStr">
        <is>
          <t>Pago</t>
        </is>
      </c>
      <c r="S1150" t="n">
        <v>182</v>
      </c>
      <c r="T1150" t="inlineStr">
        <is>
          <t>Love - Shibari - Kamino</t>
        </is>
      </c>
    </row>
    <row r="1151">
      <c r="A1151" t="n">
        <v>48491</v>
      </c>
      <c r="B1151" t="n">
        <v>128</v>
      </c>
      <c r="C1151" t="inlineStr">
        <is>
          <t>Love Cabaret</t>
        </is>
      </c>
      <c r="D1151" t="inlineStr">
        <is>
          <t xml:space="preserve">MINISTERIO DA FAZENDA </t>
        </is>
      </c>
      <c r="E1151" t="n">
        <v>592.46</v>
      </c>
      <c r="F1151" s="27" t="n">
        <v>45897</v>
      </c>
      <c r="G1151" s="27" t="n">
        <v>45896</v>
      </c>
      <c r="H1151" s="27" t="n">
        <v>45896</v>
      </c>
      <c r="I1151" s="27" t="n">
        <v>45366</v>
      </c>
      <c r="J1151" s="27" t="n"/>
      <c r="K1151" t="inlineStr">
        <is>
          <t>Boleto Bancário</t>
        </is>
      </c>
      <c r="L1151" t="inlineStr">
        <is>
          <t>Endividamento</t>
        </is>
      </c>
      <c r="M1151" t="inlineStr">
        <is>
          <t>Endividamento Geral</t>
        </is>
      </c>
      <c r="N1151" t="inlineStr">
        <is>
          <t>18/45</t>
        </is>
      </c>
      <c r="O1151" t="inlineStr">
        <is>
          <t>Documentação Aprovada</t>
        </is>
      </c>
      <c r="P1151" t="inlineStr">
        <is>
          <t>Aprovado Diretoria</t>
        </is>
      </c>
      <c r="Q1151" t="inlineStr">
        <is>
          <t>Aprovado Caixa</t>
        </is>
      </c>
      <c r="R1151" t="inlineStr">
        <is>
          <t>Pago</t>
        </is>
      </c>
      <c r="S1151" t="n">
        <v>182</v>
      </c>
      <c r="T1151" t="inlineStr">
        <is>
          <t>Love - Shibari - Kamino</t>
        </is>
      </c>
    </row>
    <row r="1152">
      <c r="A1152" t="n">
        <v>51182</v>
      </c>
      <c r="B1152" t="n">
        <v>128</v>
      </c>
      <c r="C1152" t="inlineStr">
        <is>
          <t>Love Cabaret</t>
        </is>
      </c>
      <c r="D1152" t="inlineStr">
        <is>
          <t>ICMS</t>
        </is>
      </c>
      <c r="E1152" t="n">
        <v>615.8099999999999</v>
      </c>
      <c r="F1152" s="27" t="n">
        <v>45896</v>
      </c>
      <c r="G1152" s="27" t="n">
        <v>45896</v>
      </c>
      <c r="H1152" s="27" t="n">
        <v>45896</v>
      </c>
      <c r="I1152" s="27" t="n">
        <v>45406</v>
      </c>
      <c r="J1152" s="27" t="n"/>
      <c r="K1152" t="inlineStr">
        <is>
          <t>Boleto Bancário</t>
        </is>
      </c>
      <c r="L1152" t="inlineStr">
        <is>
          <t>Endividamento</t>
        </is>
      </c>
      <c r="M1152" t="inlineStr">
        <is>
          <t>Endividamento Geral</t>
        </is>
      </c>
      <c r="N1152" t="inlineStr">
        <is>
          <t>16/36</t>
        </is>
      </c>
      <c r="O1152" t="inlineStr">
        <is>
          <t>Documentação Aprovada</t>
        </is>
      </c>
      <c r="P1152" t="inlineStr">
        <is>
          <t>Aprovado Diretoria</t>
        </is>
      </c>
      <c r="Q1152" t="inlineStr">
        <is>
          <t>Aprovado Caixa</t>
        </is>
      </c>
      <c r="R1152" t="inlineStr">
        <is>
          <t>Pago</t>
        </is>
      </c>
      <c r="S1152" t="n">
        <v>182</v>
      </c>
      <c r="T1152" t="inlineStr">
        <is>
          <t>Love - Shibari - Kamino</t>
        </is>
      </c>
    </row>
    <row r="1153">
      <c r="A1153" t="n">
        <v>102906</v>
      </c>
      <c r="B1153" t="n">
        <v>128</v>
      </c>
      <c r="C1153" t="inlineStr">
        <is>
          <t>Love Cabaret</t>
        </is>
      </c>
      <c r="D1153" t="inlineStr">
        <is>
          <t>MACRO CONTABILIDADE E CONSULTORIA LTDA</t>
        </is>
      </c>
      <c r="E1153" t="n">
        <v>3205.54</v>
      </c>
      <c r="F1153" s="27" t="n">
        <v>45884</v>
      </c>
      <c r="G1153" s="27" t="n">
        <v>45894</v>
      </c>
      <c r="H1153" s="27" t="n">
        <v>45896</v>
      </c>
      <c r="I1153" s="27" t="n">
        <v>45872</v>
      </c>
      <c r="J1153" s="27" t="n"/>
      <c r="K1153" t="inlineStr">
        <is>
          <t>Boleto Bancário</t>
        </is>
      </c>
      <c r="L1153" t="inlineStr">
        <is>
          <t>Serviços de Terceiros</t>
        </is>
      </c>
      <c r="M1153" t="inlineStr">
        <is>
          <t>Assessoria Contabil</t>
        </is>
      </c>
      <c r="N1153" t="inlineStr">
        <is>
          <t>8347</t>
        </is>
      </c>
      <c r="O1153" t="inlineStr">
        <is>
          <t>Documentação Aprovada</t>
        </is>
      </c>
      <c r="P1153" t="inlineStr">
        <is>
          <t>Aprovado Diretoria</t>
        </is>
      </c>
      <c r="Q1153" t="inlineStr">
        <is>
          <t>Aprovado Caixa</t>
        </is>
      </c>
      <c r="R1153" t="inlineStr">
        <is>
          <t>Pago</t>
        </is>
      </c>
      <c r="S1153" t="n">
        <v>182</v>
      </c>
      <c r="T1153" t="inlineStr">
        <is>
          <t>Love - Shibari - Kamino</t>
        </is>
      </c>
    </row>
    <row r="1154">
      <c r="A1154" t="n">
        <v>116087</v>
      </c>
      <c r="B1154" t="n">
        <v>128</v>
      </c>
      <c r="C1154" t="inlineStr">
        <is>
          <t>Love Cabaret</t>
        </is>
      </c>
      <c r="D1154" t="inlineStr">
        <is>
          <t xml:space="preserve">MINISTERIO DA FAZENDA </t>
        </is>
      </c>
      <c r="E1154" t="n">
        <v>21027.94</v>
      </c>
      <c r="F1154" s="27" t="n">
        <v>45899</v>
      </c>
      <c r="G1154" s="27" t="n">
        <v>45896</v>
      </c>
      <c r="H1154" s="27" t="n">
        <v>45896</v>
      </c>
      <c r="I1154" s="27" t="n">
        <v>45722</v>
      </c>
      <c r="J1154" s="27" t="n"/>
      <c r="K1154" t="inlineStr">
        <is>
          <t>Boleto Bancário</t>
        </is>
      </c>
      <c r="L1154" t="inlineStr">
        <is>
          <t>Endividamento</t>
        </is>
      </c>
      <c r="M1154" t="inlineStr">
        <is>
          <t>Endividamento Geral</t>
        </is>
      </c>
      <c r="N1154" t="inlineStr">
        <is>
          <t>6/60</t>
        </is>
      </c>
      <c r="O1154" t="inlineStr">
        <is>
          <t>Documentação Aprovada</t>
        </is>
      </c>
      <c r="P1154" t="inlineStr">
        <is>
          <t>Aprovado Diretoria</t>
        </is>
      </c>
      <c r="Q1154" t="inlineStr">
        <is>
          <t>Aprovado Caixa</t>
        </is>
      </c>
      <c r="R1154" t="inlineStr">
        <is>
          <t>Pago</t>
        </is>
      </c>
      <c r="S1154" t="n">
        <v>182</v>
      </c>
      <c r="T1154" t="inlineStr">
        <is>
          <t>Love - Shibari - Kamino</t>
        </is>
      </c>
    </row>
    <row r="1155">
      <c r="A1155" t="n">
        <v>97115</v>
      </c>
      <c r="B1155" t="n">
        <v>128</v>
      </c>
      <c r="C1155" t="inlineStr">
        <is>
          <t>Love Cabaret</t>
        </is>
      </c>
      <c r="D1155" t="inlineStr">
        <is>
          <t>ESTAFF SOLUCOES TECNOLOGICAS DE AGENCIAMENTO LTDA</t>
        </is>
      </c>
      <c r="E1155" t="n">
        <v>13675.91</v>
      </c>
      <c r="F1155" s="27" t="n">
        <v>45896</v>
      </c>
      <c r="G1155" s="27" t="n">
        <v>45896</v>
      </c>
      <c r="H1155" s="27" t="n">
        <v>45896</v>
      </c>
      <c r="I1155" s="27" t="n">
        <v>45887</v>
      </c>
      <c r="J1155" s="27" t="n"/>
      <c r="K1155" t="inlineStr">
        <is>
          <t>Boleto Bancário</t>
        </is>
      </c>
      <c r="L1155" t="inlineStr">
        <is>
          <t>Mão de Obra - Extra</t>
        </is>
      </c>
      <c r="M1155" t="inlineStr">
        <is>
          <t>Mão de Obra Extra</t>
        </is>
      </c>
      <c r="N1155" t="inlineStr">
        <is>
          <t>622424760</t>
        </is>
      </c>
      <c r="O1155" t="inlineStr">
        <is>
          <t>Documentação Aprovada</t>
        </is>
      </c>
      <c r="P1155" t="inlineStr">
        <is>
          <t>Aprovado Diretoria</t>
        </is>
      </c>
      <c r="Q1155" t="inlineStr">
        <is>
          <t>Aprovado Caixa</t>
        </is>
      </c>
      <c r="R1155" t="inlineStr">
        <is>
          <t>Pago</t>
        </is>
      </c>
      <c r="S1155" t="n">
        <v>182</v>
      </c>
      <c r="T1155" t="inlineStr">
        <is>
          <t>Love - Shibari - Kamino</t>
        </is>
      </c>
    </row>
    <row r="1156">
      <c r="A1156" t="n">
        <v>96055</v>
      </c>
      <c r="B1156" t="n">
        <v>128</v>
      </c>
      <c r="C1156" t="inlineStr">
        <is>
          <t>Love Cabaret</t>
        </is>
      </c>
      <c r="D1156" t="inlineStr">
        <is>
          <t>ISS</t>
        </is>
      </c>
      <c r="E1156" t="n">
        <v>1964.3</v>
      </c>
      <c r="F1156" s="27" t="n">
        <v>45900</v>
      </c>
      <c r="G1156" s="27" t="n">
        <v>45896</v>
      </c>
      <c r="H1156" s="27" t="n">
        <v>45896</v>
      </c>
      <c r="I1156" s="27" t="n">
        <v>45869</v>
      </c>
      <c r="J1156" s="27" t="n"/>
      <c r="K1156" t="inlineStr">
        <is>
          <t>Boleto Bancário</t>
        </is>
      </c>
      <c r="L1156" t="inlineStr">
        <is>
          <t>Endividamento</t>
        </is>
      </c>
      <c r="M1156" t="inlineStr">
        <is>
          <t>Endividamento Geral</t>
        </is>
      </c>
      <c r="N1156" t="inlineStr">
        <is>
          <t>8/60</t>
        </is>
      </c>
      <c r="O1156" t="inlineStr">
        <is>
          <t>Documentação Aprovada</t>
        </is>
      </c>
      <c r="P1156" t="inlineStr">
        <is>
          <t>Aprovado Diretoria</t>
        </is>
      </c>
      <c r="Q1156" t="inlineStr">
        <is>
          <t>Aprovado Caixa</t>
        </is>
      </c>
      <c r="R1156" t="inlineStr">
        <is>
          <t>Pago</t>
        </is>
      </c>
      <c r="S1156" t="n">
        <v>182</v>
      </c>
      <c r="T1156" t="inlineStr">
        <is>
          <t>Love - Shibari - Kamino</t>
        </is>
      </c>
    </row>
    <row r="1157">
      <c r="A1157" t="n">
        <v>84047</v>
      </c>
      <c r="B1157" t="n">
        <v>128</v>
      </c>
      <c r="C1157" t="inlineStr">
        <is>
          <t>Love Cabaret</t>
        </is>
      </c>
      <c r="D1157" t="inlineStr">
        <is>
          <t>CSLL</t>
        </is>
      </c>
      <c r="E1157" t="n">
        <v>1010.3</v>
      </c>
      <c r="F1157" s="27" t="n">
        <v>45899</v>
      </c>
      <c r="G1157" s="27" t="n">
        <v>45896</v>
      </c>
      <c r="H1157" s="27" t="n">
        <v>45896</v>
      </c>
      <c r="I1157" s="27" t="n">
        <v>45599</v>
      </c>
      <c r="J1157" s="27" t="n"/>
      <c r="K1157" t="inlineStr">
        <is>
          <t>Boleto Bancário</t>
        </is>
      </c>
      <c r="L1157" t="inlineStr">
        <is>
          <t>Endividamento</t>
        </is>
      </c>
      <c r="M1157" t="inlineStr">
        <is>
          <t>Endividamento Geral</t>
        </is>
      </c>
      <c r="N1157" t="inlineStr">
        <is>
          <t>11/120</t>
        </is>
      </c>
      <c r="O1157" t="inlineStr">
        <is>
          <t>Documentação Aprovada</t>
        </is>
      </c>
      <c r="P1157" t="inlineStr">
        <is>
          <t>Aprovado Diretoria</t>
        </is>
      </c>
      <c r="Q1157" t="inlineStr">
        <is>
          <t>Aprovado Caixa</t>
        </is>
      </c>
      <c r="R1157" t="inlineStr">
        <is>
          <t>Pago</t>
        </is>
      </c>
      <c r="S1157" t="n">
        <v>182</v>
      </c>
      <c r="T1157" t="inlineStr">
        <is>
          <t>Love - Shibari - Kamino</t>
        </is>
      </c>
    </row>
    <row r="1158">
      <c r="A1158" t="n">
        <v>103012</v>
      </c>
      <c r="B1158" t="n">
        <v>128</v>
      </c>
      <c r="C1158" t="inlineStr">
        <is>
          <t>Love Cabaret</t>
        </is>
      </c>
      <c r="D1158" t="inlineStr">
        <is>
          <t>TELEFONICA BRASIL S/A</t>
        </is>
      </c>
      <c r="E1158" t="n">
        <v>21.71</v>
      </c>
      <c r="F1158" s="27" t="n">
        <v>45896</v>
      </c>
      <c r="G1158" s="27" t="n">
        <v>45894</v>
      </c>
      <c r="H1158" s="27" t="n">
        <v>45894</v>
      </c>
      <c r="I1158" s="27" t="n">
        <v>45855</v>
      </c>
      <c r="J1158" s="27" t="n"/>
      <c r="K1158" t="inlineStr">
        <is>
          <t>Boleto Bancário</t>
        </is>
      </c>
      <c r="L1158" t="inlineStr">
        <is>
          <t>Informática e TI</t>
        </is>
      </c>
      <c r="M1158" t="inlineStr">
        <is>
          <t>Internet</t>
        </is>
      </c>
      <c r="N1158" t="inlineStr">
        <is>
          <t>0443836731</t>
        </is>
      </c>
      <c r="O1158" t="inlineStr">
        <is>
          <t>Documentação Aprovada</t>
        </is>
      </c>
      <c r="P1158" t="inlineStr">
        <is>
          <t>Aprovado Diretoria</t>
        </is>
      </c>
      <c r="Q1158" t="inlineStr">
        <is>
          <t>Aprovado Caixa</t>
        </is>
      </c>
      <c r="R1158" t="inlineStr">
        <is>
          <t>Pago</t>
        </is>
      </c>
      <c r="S1158" t="n">
        <v>182</v>
      </c>
      <c r="T1158" t="inlineStr">
        <is>
          <t>Love - Shibari - Kamino</t>
        </is>
      </c>
    </row>
    <row r="1159">
      <c r="A1159" t="n">
        <v>102999</v>
      </c>
      <c r="B1159" t="n">
        <v>128</v>
      </c>
      <c r="C1159" t="inlineStr">
        <is>
          <t>Love Cabaret</t>
        </is>
      </c>
      <c r="D1159" t="inlineStr">
        <is>
          <t>TELEFONICA BRASIL S/A</t>
        </is>
      </c>
      <c r="E1159" t="n">
        <v>487.66</v>
      </c>
      <c r="F1159" s="27" t="n">
        <v>45896</v>
      </c>
      <c r="G1159" s="27" t="n">
        <v>45894</v>
      </c>
      <c r="H1159" s="27" t="n">
        <v>45894</v>
      </c>
      <c r="I1159" s="27" t="n">
        <v>45886</v>
      </c>
      <c r="J1159" s="27" t="n"/>
      <c r="K1159" t="inlineStr">
        <is>
          <t>Boleto Bancário</t>
        </is>
      </c>
      <c r="L1159" t="inlineStr">
        <is>
          <t>Informática e TI</t>
        </is>
      </c>
      <c r="M1159" t="inlineStr">
        <is>
          <t>Internet</t>
        </is>
      </c>
      <c r="N1159" t="inlineStr">
        <is>
          <t>0443318083</t>
        </is>
      </c>
      <c r="O1159" t="inlineStr">
        <is>
          <t>Documentação Aprovada</t>
        </is>
      </c>
      <c r="P1159" t="inlineStr">
        <is>
          <t>Aprovado Diretoria</t>
        </is>
      </c>
      <c r="Q1159" t="inlineStr">
        <is>
          <t>Aprovado Caixa</t>
        </is>
      </c>
      <c r="R1159" t="inlineStr">
        <is>
          <t>Pago</t>
        </is>
      </c>
      <c r="S1159" t="n">
        <v>182</v>
      </c>
      <c r="T1159" t="inlineStr">
        <is>
          <t>Love - Shibari - Kamino</t>
        </is>
      </c>
    </row>
    <row r="1160">
      <c r="A1160" t="n">
        <v>102893</v>
      </c>
      <c r="B1160" t="n">
        <v>128</v>
      </c>
      <c r="C1160" t="inlineStr">
        <is>
          <t>Love Cabaret</t>
        </is>
      </c>
      <c r="D1160" t="inlineStr">
        <is>
          <t>MACHINE SEGURANCA PATRIMONIAL LTDA</t>
        </is>
      </c>
      <c r="E1160" t="n">
        <v>5130</v>
      </c>
      <c r="F1160" s="27" t="n">
        <v>45891</v>
      </c>
      <c r="G1160" s="27" t="n">
        <v>45894</v>
      </c>
      <c r="H1160" s="27" t="n">
        <v>45894</v>
      </c>
      <c r="I1160" s="27" t="n">
        <v>45870</v>
      </c>
      <c r="J1160" s="27" t="n"/>
      <c r="K1160" t="inlineStr">
        <is>
          <t>Transferência Bancária ou Pix</t>
        </is>
      </c>
      <c r="L1160" t="inlineStr">
        <is>
          <t>Serviços de Terceiros</t>
        </is>
      </c>
      <c r="M1160" t="inlineStr">
        <is>
          <t>Serviços de Segurança</t>
        </is>
      </c>
      <c r="N1160" t="inlineStr">
        <is>
          <t>595</t>
        </is>
      </c>
      <c r="O1160" t="inlineStr">
        <is>
          <t>Documentação Aprovada</t>
        </is>
      </c>
      <c r="P1160" t="inlineStr">
        <is>
          <t>Aprovado Diretoria</t>
        </is>
      </c>
      <c r="Q1160" t="inlineStr">
        <is>
          <t>Aprovado Caixa</t>
        </is>
      </c>
      <c r="R1160" t="inlineStr">
        <is>
          <t>Pago</t>
        </is>
      </c>
      <c r="S1160" t="n">
        <v>182</v>
      </c>
      <c r="T1160" t="inlineStr">
        <is>
          <t>Love - Shibari - Kamino</t>
        </is>
      </c>
    </row>
    <row r="1161">
      <c r="A1161" t="n">
        <v>103024</v>
      </c>
      <c r="B1161" t="n">
        <v>128</v>
      </c>
      <c r="C1161" t="inlineStr">
        <is>
          <t>Love Cabaret</t>
        </is>
      </c>
      <c r="D1161" t="inlineStr">
        <is>
          <t>TELEFONICA BRASIL S/A</t>
        </is>
      </c>
      <c r="E1161" t="n">
        <v>93.7</v>
      </c>
      <c r="F1161" s="27" t="n">
        <v>45894</v>
      </c>
      <c r="G1161" s="27" t="n">
        <v>45894</v>
      </c>
      <c r="H1161" s="27" t="n">
        <v>45894</v>
      </c>
      <c r="I1161" s="27" t="n">
        <v>45873</v>
      </c>
      <c r="J1161" s="27" t="n"/>
      <c r="K1161" t="inlineStr">
        <is>
          <t>Boleto Bancário</t>
        </is>
      </c>
      <c r="L1161" t="inlineStr">
        <is>
          <t>Informática e TI</t>
        </is>
      </c>
      <c r="M1161" t="inlineStr">
        <is>
          <t>Telefone</t>
        </is>
      </c>
      <c r="N1161" t="inlineStr">
        <is>
          <t>0434906426</t>
        </is>
      </c>
      <c r="O1161" t="inlineStr">
        <is>
          <t>Documentação Aprovada</t>
        </is>
      </c>
      <c r="P1161" t="inlineStr">
        <is>
          <t>Aprovado Diretoria</t>
        </is>
      </c>
      <c r="Q1161" t="inlineStr">
        <is>
          <t>Aprovado Caixa</t>
        </is>
      </c>
      <c r="R1161" t="inlineStr">
        <is>
          <t>Pago</t>
        </is>
      </c>
      <c r="S1161" t="n">
        <v>182</v>
      </c>
      <c r="T1161" t="inlineStr">
        <is>
          <t>Love - Shibari - Kamino</t>
        </is>
      </c>
    </row>
    <row r="1162">
      <c r="A1162" t="n">
        <v>103036</v>
      </c>
      <c r="B1162" t="n">
        <v>128</v>
      </c>
      <c r="C1162" t="inlineStr">
        <is>
          <t>Love Cabaret</t>
        </is>
      </c>
      <c r="D1162" t="inlineStr">
        <is>
          <t>TELEFONICA BRASIL S/A</t>
        </is>
      </c>
      <c r="E1162" t="n">
        <v>223.7</v>
      </c>
      <c r="F1162" s="27" t="n">
        <v>45894</v>
      </c>
      <c r="G1162" s="27" t="n">
        <v>45894</v>
      </c>
      <c r="H1162" s="27" t="n">
        <v>45894</v>
      </c>
      <c r="I1162" s="27" t="n">
        <v>45886</v>
      </c>
      <c r="J1162" s="27" t="n"/>
      <c r="K1162" t="inlineStr">
        <is>
          <t>Boleto Bancário</t>
        </is>
      </c>
      <c r="L1162" t="inlineStr">
        <is>
          <t>Informática e TI</t>
        </is>
      </c>
      <c r="M1162" t="inlineStr">
        <is>
          <t>Internet</t>
        </is>
      </c>
      <c r="N1162" t="inlineStr">
        <is>
          <t>0455530810</t>
        </is>
      </c>
      <c r="O1162" t="inlineStr">
        <is>
          <t>Documentação Aprovada</t>
        </is>
      </c>
      <c r="P1162" t="inlineStr">
        <is>
          <t>Aprovado Diretoria</t>
        </is>
      </c>
      <c r="Q1162" t="inlineStr">
        <is>
          <t>Aprovado Caixa</t>
        </is>
      </c>
      <c r="R1162" t="inlineStr">
        <is>
          <t>Pago</t>
        </is>
      </c>
      <c r="S1162" t="n">
        <v>182</v>
      </c>
      <c r="T1162" t="inlineStr">
        <is>
          <t>Love - Shibari - Kamino</t>
        </is>
      </c>
    </row>
    <row r="1163">
      <c r="A1163" t="n">
        <v>102843</v>
      </c>
      <c r="B1163" t="n">
        <v>128</v>
      </c>
      <c r="C1163" t="inlineStr">
        <is>
          <t>Love Cabaret</t>
        </is>
      </c>
      <c r="D1163" t="inlineStr">
        <is>
          <t>INVYE CAPITAL LTDA</t>
        </is>
      </c>
      <c r="E1163" t="n">
        <v>1260</v>
      </c>
      <c r="F1163" s="27" t="n">
        <v>45894</v>
      </c>
      <c r="G1163" s="27" t="n">
        <v>45894</v>
      </c>
      <c r="H1163" s="27" t="n">
        <v>45894</v>
      </c>
      <c r="I1163" s="27" t="n">
        <v>45878</v>
      </c>
      <c r="J1163" s="27" t="n"/>
      <c r="K1163" t="inlineStr">
        <is>
          <t>Boleto Bancário</t>
        </is>
      </c>
      <c r="L1163" t="inlineStr">
        <is>
          <t>Serviços de Terceiros</t>
        </is>
      </c>
      <c r="M1163" t="inlineStr">
        <is>
          <t>Assessoria em Geral</t>
        </is>
      </c>
      <c r="N1163" t="inlineStr">
        <is>
          <t>2769</t>
        </is>
      </c>
      <c r="O1163" t="inlineStr">
        <is>
          <t>Documentação Aprovada</t>
        </is>
      </c>
      <c r="P1163" t="inlineStr">
        <is>
          <t>Aprovado Diretoria</t>
        </is>
      </c>
      <c r="Q1163" t="inlineStr">
        <is>
          <t>Aprovado Caixa</t>
        </is>
      </c>
      <c r="R1163" t="inlineStr">
        <is>
          <t>Pago</t>
        </is>
      </c>
      <c r="S1163" t="n">
        <v>182</v>
      </c>
      <c r="T1163" t="inlineStr">
        <is>
          <t>Love - Shibari - Kamino</t>
        </is>
      </c>
    </row>
    <row r="1164">
      <c r="A1164" t="n">
        <v>106696</v>
      </c>
      <c r="B1164" t="n">
        <v>128</v>
      </c>
      <c r="C1164" t="inlineStr">
        <is>
          <t>Love Cabaret</t>
        </is>
      </c>
      <c r="D1164" t="inlineStr">
        <is>
          <t>AURORA ALVORADA ESTACIONAMENTO E LANCHONETE LTDA</t>
        </is>
      </c>
      <c r="E1164" t="n">
        <v>219.96</v>
      </c>
      <c r="F1164" s="27" t="n">
        <v>45895</v>
      </c>
      <c r="G1164" s="27" t="n">
        <v>45894</v>
      </c>
      <c r="H1164" s="27" t="n">
        <v>45894</v>
      </c>
      <c r="I1164" s="27" t="n">
        <v>45887</v>
      </c>
      <c r="J1164" s="27" t="n"/>
      <c r="K1164" t="inlineStr">
        <is>
          <t>Boleto Bancário</t>
        </is>
      </c>
      <c r="L1164" t="inlineStr">
        <is>
          <t>Custo Mercadoria Vendida</t>
        </is>
      </c>
      <c r="M1164" t="inlineStr">
        <is>
          <t>Insumos - Alimentos</t>
        </is>
      </c>
      <c r="N1164" t="inlineStr">
        <is>
          <t>10886</t>
        </is>
      </c>
      <c r="O1164" t="inlineStr">
        <is>
          <t>Documentação Aprovada</t>
        </is>
      </c>
      <c r="P1164" t="inlineStr">
        <is>
          <t>Aprovado Diretoria</t>
        </is>
      </c>
      <c r="Q1164" t="inlineStr">
        <is>
          <t>Aprovado Caixa</t>
        </is>
      </c>
      <c r="R1164" t="inlineStr">
        <is>
          <t>Pago</t>
        </is>
      </c>
      <c r="S1164" t="n">
        <v>182</v>
      </c>
      <c r="T1164" t="inlineStr">
        <is>
          <t>Love - Shibari - Kamino</t>
        </is>
      </c>
    </row>
    <row r="1165">
      <c r="A1165" t="n">
        <v>153461</v>
      </c>
      <c r="B1165" t="n">
        <v>128</v>
      </c>
      <c r="C1165" t="inlineStr">
        <is>
          <t>Love Cabaret</t>
        </is>
      </c>
      <c r="D1165" t="inlineStr">
        <is>
          <t>PROAUTO INDUSTRIA QUIMICA EIRELI</t>
        </is>
      </c>
      <c r="E1165" t="n">
        <v>478.35</v>
      </c>
      <c r="F1165" s="27" t="n">
        <v>45894</v>
      </c>
      <c r="G1165" s="27" t="n">
        <v>45894</v>
      </c>
      <c r="H1165" s="27" t="n">
        <v>45894</v>
      </c>
      <c r="I1165" s="27" t="n">
        <v>45866</v>
      </c>
      <c r="J1165" s="27" t="n">
        <v>45876</v>
      </c>
      <c r="K1165" t="inlineStr">
        <is>
          <t>Boleto Bancário</t>
        </is>
      </c>
      <c r="L1165" t="inlineStr">
        <is>
          <t>Utilidades</t>
        </is>
      </c>
      <c r="M1165" t="inlineStr">
        <is>
          <t>Higiene e Limpeza</t>
        </is>
      </c>
      <c r="N1165" t="inlineStr">
        <is>
          <t>141675</t>
        </is>
      </c>
      <c r="O1165" t="inlineStr">
        <is>
          <t>Documentação Aprovada</t>
        </is>
      </c>
      <c r="P1165" t="inlineStr">
        <is>
          <t>Aprovado Diretoria</t>
        </is>
      </c>
      <c r="Q1165" t="inlineStr">
        <is>
          <t>Aprovado Caixa</t>
        </is>
      </c>
      <c r="R1165" t="inlineStr">
        <is>
          <t>Pago</t>
        </is>
      </c>
      <c r="S1165" t="n">
        <v>182</v>
      </c>
      <c r="T1165" t="inlineStr">
        <is>
          <t>Love - Shibari - Kamino</t>
        </is>
      </c>
    </row>
    <row r="1166">
      <c r="A1166" t="n">
        <v>153458</v>
      </c>
      <c r="B1166" t="n">
        <v>128</v>
      </c>
      <c r="C1166" t="inlineStr">
        <is>
          <t>Love Cabaret</t>
        </is>
      </c>
      <c r="D1166" t="inlineStr">
        <is>
          <t>QUEIJARIA ATALAIA LTDA</t>
        </is>
      </c>
      <c r="E1166" t="n">
        <v>228.75</v>
      </c>
      <c r="F1166" s="27" t="n">
        <v>45894</v>
      </c>
      <c r="G1166" s="27" t="n">
        <v>45894</v>
      </c>
      <c r="H1166" s="27" t="n">
        <v>45894</v>
      </c>
      <c r="I1166" s="27" t="n">
        <v>45866</v>
      </c>
      <c r="J1166" s="27" t="n">
        <v>45876</v>
      </c>
      <c r="K1166" t="inlineStr">
        <is>
          <t>Boleto Bancário</t>
        </is>
      </c>
      <c r="L1166" t="inlineStr">
        <is>
          <t>Custo Mercadoria Vendida</t>
        </is>
      </c>
      <c r="M1166" t="inlineStr">
        <is>
          <t>Insumos - Alimentos</t>
        </is>
      </c>
      <c r="N1166" t="inlineStr">
        <is>
          <t>12198</t>
        </is>
      </c>
      <c r="O1166" t="inlineStr">
        <is>
          <t>Documentação Aprovada</t>
        </is>
      </c>
      <c r="P1166" t="inlineStr">
        <is>
          <t>Aprovado Diretoria</t>
        </is>
      </c>
      <c r="Q1166" t="inlineStr">
        <is>
          <t>Aprovado Caixa</t>
        </is>
      </c>
      <c r="R1166" t="inlineStr">
        <is>
          <t>Pago</t>
        </is>
      </c>
      <c r="S1166" t="n">
        <v>182</v>
      </c>
      <c r="T1166" t="inlineStr">
        <is>
          <t>Love - Shibari - Kamino</t>
        </is>
      </c>
    </row>
    <row r="1167">
      <c r="A1167" t="n">
        <v>153627</v>
      </c>
      <c r="B1167" t="n">
        <v>128</v>
      </c>
      <c r="C1167" t="inlineStr">
        <is>
          <t>Love Cabaret</t>
        </is>
      </c>
      <c r="D1167" t="inlineStr">
        <is>
          <t>CG FOOD´S DISTRIBUIDORA DE ALIMENTOS LTDA</t>
        </is>
      </c>
      <c r="E1167" t="n">
        <v>773</v>
      </c>
      <c r="F1167" s="27" t="n">
        <v>45894</v>
      </c>
      <c r="G1167" s="27" t="n">
        <v>45894</v>
      </c>
      <c r="H1167" s="27" t="n">
        <v>45894</v>
      </c>
      <c r="I1167" s="27" t="n">
        <v>45873</v>
      </c>
      <c r="J1167" s="27" t="n">
        <v>45877</v>
      </c>
      <c r="K1167" t="inlineStr">
        <is>
          <t>Boleto Bancário</t>
        </is>
      </c>
      <c r="L1167" t="inlineStr">
        <is>
          <t>Custo Mercadoria Vendida</t>
        </is>
      </c>
      <c r="M1167" t="inlineStr">
        <is>
          <t>Insumos - Alimentos</t>
        </is>
      </c>
      <c r="N1167" t="inlineStr">
        <is>
          <t>159753</t>
        </is>
      </c>
      <c r="O1167" t="inlineStr">
        <is>
          <t>Documentação Aprovada</t>
        </is>
      </c>
      <c r="P1167" t="inlineStr">
        <is>
          <t>Aprovado Diretoria</t>
        </is>
      </c>
      <c r="Q1167" t="inlineStr">
        <is>
          <t>Aprovado Caixa</t>
        </is>
      </c>
      <c r="R1167" t="inlineStr">
        <is>
          <t>Pago</t>
        </is>
      </c>
      <c r="S1167" t="n">
        <v>182</v>
      </c>
      <c r="T1167" t="inlineStr">
        <is>
          <t>Love - Shibari - Kamino</t>
        </is>
      </c>
    </row>
    <row r="1168">
      <c r="A1168" t="n">
        <v>153629</v>
      </c>
      <c r="B1168" t="n">
        <v>128</v>
      </c>
      <c r="C1168" t="inlineStr">
        <is>
          <t>Love Cabaret</t>
        </is>
      </c>
      <c r="D1168" t="inlineStr">
        <is>
          <t>DTK COMERCIO DE ALIMENTOS LTDA</t>
        </is>
      </c>
      <c r="E1168" t="n">
        <v>246.42</v>
      </c>
      <c r="F1168" s="27" t="n">
        <v>45894</v>
      </c>
      <c r="G1168" s="27" t="n">
        <v>45894</v>
      </c>
      <c r="H1168" s="27" t="n">
        <v>45894</v>
      </c>
      <c r="I1168" s="27" t="n">
        <v>45873</v>
      </c>
      <c r="J1168" s="27" t="n">
        <v>45877</v>
      </c>
      <c r="K1168" t="inlineStr">
        <is>
          <t>Boleto Bancário</t>
        </is>
      </c>
      <c r="L1168" t="inlineStr">
        <is>
          <t>Custo Mercadoria Vendida</t>
        </is>
      </c>
      <c r="M1168" t="inlineStr">
        <is>
          <t>Insumos - Alimentos</t>
        </is>
      </c>
      <c r="N1168" t="inlineStr">
        <is>
          <t>38534</t>
        </is>
      </c>
      <c r="O1168" t="inlineStr">
        <is>
          <t>Documentação Aprovada</t>
        </is>
      </c>
      <c r="P1168" t="inlineStr">
        <is>
          <t>Aprovado Diretoria</t>
        </is>
      </c>
      <c r="Q1168" t="inlineStr">
        <is>
          <t>Aprovado Caixa</t>
        </is>
      </c>
      <c r="R1168" t="inlineStr">
        <is>
          <t>Pago</t>
        </is>
      </c>
      <c r="S1168" t="n">
        <v>182</v>
      </c>
      <c r="T1168" t="inlineStr">
        <is>
          <t>Love - Shibari - Kamino</t>
        </is>
      </c>
    </row>
    <row r="1169">
      <c r="A1169" t="n">
        <v>155227</v>
      </c>
      <c r="B1169" t="n">
        <v>128</v>
      </c>
      <c r="C1169" t="inlineStr">
        <is>
          <t>Love Cabaret</t>
        </is>
      </c>
      <c r="D1169" t="inlineStr">
        <is>
          <t>HNK BR IND DE BEBIDAS</t>
        </is>
      </c>
      <c r="E1169" t="n">
        <v>6355.25</v>
      </c>
      <c r="F1169" s="27" t="n">
        <v>45896</v>
      </c>
      <c r="G1169" s="27" t="n">
        <v>45894</v>
      </c>
      <c r="H1169" s="27" t="n">
        <v>45894</v>
      </c>
      <c r="I1169" s="27" t="n">
        <v>45882</v>
      </c>
      <c r="J1169" s="27" t="n">
        <v>45884</v>
      </c>
      <c r="K1169" t="inlineStr">
        <is>
          <t>Boleto Bancário</t>
        </is>
      </c>
      <c r="L1169" t="inlineStr">
        <is>
          <t>Custo Mercadoria Vendida</t>
        </is>
      </c>
      <c r="M1169" t="inlineStr">
        <is>
          <t>Insumos - Bebidas</t>
        </is>
      </c>
      <c r="N1169" t="inlineStr">
        <is>
          <t>38207</t>
        </is>
      </c>
      <c r="O1169" t="inlineStr">
        <is>
          <t>Documentação Aprovada</t>
        </is>
      </c>
      <c r="P1169" t="inlineStr">
        <is>
          <t>Aprovado Diretoria</t>
        </is>
      </c>
      <c r="Q1169" t="inlineStr">
        <is>
          <t>Aprovado Caixa</t>
        </is>
      </c>
      <c r="R1169" t="inlineStr">
        <is>
          <t>Pago</t>
        </is>
      </c>
      <c r="S1169" t="n">
        <v>182</v>
      </c>
      <c r="T1169" t="inlineStr">
        <is>
          <t>Love - Shibari - Kamino</t>
        </is>
      </c>
    </row>
    <row r="1170">
      <c r="A1170" t="n">
        <v>154639</v>
      </c>
      <c r="B1170" t="n">
        <v>128</v>
      </c>
      <c r="C1170" t="inlineStr">
        <is>
          <t>Love Cabaret</t>
        </is>
      </c>
      <c r="D1170" t="inlineStr">
        <is>
          <t xml:space="preserve">DISTRIBUIDORA DE CARNES CANTAREIRA </t>
        </is>
      </c>
      <c r="E1170" t="n">
        <v>226.72</v>
      </c>
      <c r="F1170" s="27" t="n">
        <v>45894</v>
      </c>
      <c r="G1170" s="27" t="n">
        <v>45894</v>
      </c>
      <c r="H1170" s="27" t="n">
        <v>45894</v>
      </c>
      <c r="I1170" s="27" t="n">
        <v>45881</v>
      </c>
      <c r="J1170" s="27" t="n">
        <v>45883</v>
      </c>
      <c r="K1170" t="inlineStr">
        <is>
          <t>Boleto Bancário</t>
        </is>
      </c>
      <c r="L1170" t="inlineStr">
        <is>
          <t>Custo Mercadoria Vendida</t>
        </is>
      </c>
      <c r="M1170" t="inlineStr">
        <is>
          <t>Insumos - Alimentos</t>
        </is>
      </c>
      <c r="N1170" t="inlineStr">
        <is>
          <t>44243</t>
        </is>
      </c>
      <c r="O1170" t="inlineStr">
        <is>
          <t>Documentação Aprovada</t>
        </is>
      </c>
      <c r="P1170" t="inlineStr">
        <is>
          <t>Aprovado Diretoria</t>
        </is>
      </c>
      <c r="Q1170" t="inlineStr">
        <is>
          <t>Aprovado Caixa</t>
        </is>
      </c>
      <c r="R1170" t="inlineStr">
        <is>
          <t>Pago</t>
        </is>
      </c>
      <c r="S1170" t="n">
        <v>182</v>
      </c>
      <c r="T1170" t="inlineStr">
        <is>
          <t>Love - Shibari - Kamino</t>
        </is>
      </c>
    </row>
    <row r="1171">
      <c r="A1171" t="n">
        <v>154632</v>
      </c>
      <c r="B1171" t="n">
        <v>128</v>
      </c>
      <c r="C1171" t="inlineStr">
        <is>
          <t>Love Cabaret</t>
        </is>
      </c>
      <c r="D1171" t="inlineStr">
        <is>
          <t>PORCO FELIZ COM DE CARNES LTDA</t>
        </is>
      </c>
      <c r="E1171" t="n">
        <v>323.14</v>
      </c>
      <c r="F1171" s="27" t="n">
        <v>45895</v>
      </c>
      <c r="G1171" s="27" t="n">
        <v>45894</v>
      </c>
      <c r="H1171" s="27" t="n">
        <v>45894</v>
      </c>
      <c r="I1171" s="27" t="n">
        <v>45881</v>
      </c>
      <c r="J1171" s="27" t="n">
        <v>45883</v>
      </c>
      <c r="K1171" t="inlineStr">
        <is>
          <t>Boleto Bancário</t>
        </is>
      </c>
      <c r="L1171" t="inlineStr">
        <is>
          <t>Custo Mercadoria Vendida</t>
        </is>
      </c>
      <c r="M1171" t="inlineStr">
        <is>
          <t>Insumos - Alimentos</t>
        </is>
      </c>
      <c r="N1171" t="inlineStr">
        <is>
          <t>587838</t>
        </is>
      </c>
      <c r="O1171" t="inlineStr">
        <is>
          <t>Documentação Aprovada</t>
        </is>
      </c>
      <c r="P1171" t="inlineStr">
        <is>
          <t>Aprovado Diretoria</t>
        </is>
      </c>
      <c r="Q1171" t="inlineStr">
        <is>
          <t>Aprovado Caixa</t>
        </is>
      </c>
      <c r="R1171" t="inlineStr">
        <is>
          <t>Pago</t>
        </is>
      </c>
      <c r="S1171" t="n">
        <v>182</v>
      </c>
      <c r="T1171" t="inlineStr">
        <is>
          <t>Love - Shibari - Kamino</t>
        </is>
      </c>
    </row>
    <row r="1172">
      <c r="A1172" t="n">
        <v>154627</v>
      </c>
      <c r="B1172" t="n">
        <v>128</v>
      </c>
      <c r="C1172" t="inlineStr">
        <is>
          <t>Love Cabaret</t>
        </is>
      </c>
      <c r="D1172" t="inlineStr">
        <is>
          <t>HORTIFRUTIGRANJEIRO RODRIGUES LTDA</t>
        </is>
      </c>
      <c r="E1172" t="n">
        <v>212.25</v>
      </c>
      <c r="F1172" s="27" t="n">
        <v>45896</v>
      </c>
      <c r="G1172" s="27" t="n">
        <v>45894</v>
      </c>
      <c r="H1172" s="27" t="n">
        <v>45894</v>
      </c>
      <c r="I1172" s="27" t="n">
        <v>45880</v>
      </c>
      <c r="J1172" s="27" t="n">
        <v>45883</v>
      </c>
      <c r="K1172" t="inlineStr">
        <is>
          <t>Boleto Bancário</t>
        </is>
      </c>
      <c r="L1172" t="inlineStr">
        <is>
          <t>Custo Mercadoria Vendida</t>
        </is>
      </c>
      <c r="M1172" t="inlineStr">
        <is>
          <t>Insumos - Alimentos</t>
        </is>
      </c>
      <c r="N1172" t="inlineStr">
        <is>
          <t>12132</t>
        </is>
      </c>
      <c r="O1172" t="inlineStr">
        <is>
          <t>Documentação Aprovada</t>
        </is>
      </c>
      <c r="P1172" t="inlineStr">
        <is>
          <t>Aprovado Diretoria</t>
        </is>
      </c>
      <c r="Q1172" t="inlineStr">
        <is>
          <t>Aprovado Caixa</t>
        </is>
      </c>
      <c r="R1172" t="inlineStr">
        <is>
          <t>Pago</t>
        </is>
      </c>
      <c r="S1172" t="n">
        <v>182</v>
      </c>
      <c r="T1172" t="inlineStr">
        <is>
          <t>Love - Shibari - Kamino</t>
        </is>
      </c>
    </row>
    <row r="1173">
      <c r="A1173" t="n">
        <v>154616</v>
      </c>
      <c r="B1173" t="n">
        <v>128</v>
      </c>
      <c r="C1173" t="inlineStr">
        <is>
          <t>Love Cabaret</t>
        </is>
      </c>
      <c r="D1173" t="inlineStr">
        <is>
          <t>CECILIA TSUYACO ARAKI SILVA LTDA</t>
        </is>
      </c>
      <c r="E1173" t="n">
        <v>88.09999999999999</v>
      </c>
      <c r="F1173" s="27" t="n">
        <v>45894</v>
      </c>
      <c r="G1173" s="27" t="n">
        <v>45894</v>
      </c>
      <c r="H1173" s="27" t="n">
        <v>45894</v>
      </c>
      <c r="I1173" s="27" t="n">
        <v>45880</v>
      </c>
      <c r="J1173" s="27" t="n">
        <v>45883</v>
      </c>
      <c r="K1173" t="inlineStr">
        <is>
          <t>Boleto Bancário</t>
        </is>
      </c>
      <c r="L1173" t="inlineStr">
        <is>
          <t>Custo Mercadoria Vendida</t>
        </is>
      </c>
      <c r="M1173" t="inlineStr">
        <is>
          <t>Insumos - Alimentos</t>
        </is>
      </c>
      <c r="N1173" t="inlineStr">
        <is>
          <t>376042</t>
        </is>
      </c>
      <c r="O1173" t="inlineStr">
        <is>
          <t>Documentação Aprovada</t>
        </is>
      </c>
      <c r="P1173" t="inlineStr">
        <is>
          <t>Aprovado Diretoria</t>
        </is>
      </c>
      <c r="Q1173" t="inlineStr">
        <is>
          <t>Aprovado Caixa</t>
        </is>
      </c>
      <c r="R1173" t="inlineStr">
        <is>
          <t>Pago</t>
        </is>
      </c>
      <c r="S1173" t="n">
        <v>182</v>
      </c>
      <c r="T1173" t="inlineStr">
        <is>
          <t>Love - Shibari - Kamino</t>
        </is>
      </c>
    </row>
    <row r="1174">
      <c r="A1174" t="n">
        <v>154615</v>
      </c>
      <c r="B1174" t="n">
        <v>128</v>
      </c>
      <c r="C1174" t="inlineStr">
        <is>
          <t>Love Cabaret</t>
        </is>
      </c>
      <c r="D1174" t="inlineStr">
        <is>
          <t>WPP COMERCIO DE CARNES LTDA</t>
        </is>
      </c>
      <c r="E1174" t="n">
        <v>1764.58</v>
      </c>
      <c r="F1174" s="27" t="n">
        <v>45895</v>
      </c>
      <c r="G1174" s="27" t="n">
        <v>45894</v>
      </c>
      <c r="H1174" s="27" t="n">
        <v>45894</v>
      </c>
      <c r="I1174" s="27" t="n">
        <v>45881</v>
      </c>
      <c r="J1174" s="27" t="n">
        <v>45883</v>
      </c>
      <c r="K1174" t="inlineStr">
        <is>
          <t>Boleto Bancário</t>
        </is>
      </c>
      <c r="L1174" t="inlineStr">
        <is>
          <t>Custo Mercadoria Vendida</t>
        </is>
      </c>
      <c r="M1174" t="inlineStr">
        <is>
          <t>Insumos - Alimentos</t>
        </is>
      </c>
      <c r="N1174" t="inlineStr">
        <is>
          <t>73925</t>
        </is>
      </c>
      <c r="O1174" t="inlineStr">
        <is>
          <t>Documentação Aprovada</t>
        </is>
      </c>
      <c r="P1174" t="inlineStr">
        <is>
          <t>Aprovado Diretoria</t>
        </is>
      </c>
      <c r="Q1174" t="inlineStr">
        <is>
          <t>Aprovado Caixa</t>
        </is>
      </c>
      <c r="R1174" t="inlineStr">
        <is>
          <t>Pago</t>
        </is>
      </c>
      <c r="S1174" t="n">
        <v>182</v>
      </c>
      <c r="T1174" t="inlineStr">
        <is>
          <t>Love - Shibari - Kamino</t>
        </is>
      </c>
    </row>
    <row r="1175">
      <c r="A1175" t="n">
        <v>154651</v>
      </c>
      <c r="B1175" t="n">
        <v>128</v>
      </c>
      <c r="C1175" t="inlineStr">
        <is>
          <t>Love Cabaret</t>
        </is>
      </c>
      <c r="D1175" t="inlineStr">
        <is>
          <t xml:space="preserve">FORTE ALIMENTOS COM. IMPORTAÇÃO LTDA </t>
        </is>
      </c>
      <c r="E1175" t="n">
        <v>569.9</v>
      </c>
      <c r="F1175" s="27" t="n">
        <v>45895</v>
      </c>
      <c r="G1175" s="27" t="n">
        <v>45894</v>
      </c>
      <c r="H1175" s="27" t="n">
        <v>45894</v>
      </c>
      <c r="I1175" s="27" t="n">
        <v>45880</v>
      </c>
      <c r="J1175" s="27" t="n">
        <v>45883</v>
      </c>
      <c r="K1175" t="inlineStr">
        <is>
          <t>Boleto Bancário</t>
        </is>
      </c>
      <c r="L1175" t="inlineStr">
        <is>
          <t>Custo Mercadoria Vendida</t>
        </is>
      </c>
      <c r="M1175" t="inlineStr">
        <is>
          <t>Insumos - Alimentos</t>
        </is>
      </c>
      <c r="N1175" t="inlineStr">
        <is>
          <t>236386</t>
        </is>
      </c>
      <c r="O1175" t="inlineStr">
        <is>
          <t>Documentação Aprovada</t>
        </is>
      </c>
      <c r="P1175" t="inlineStr">
        <is>
          <t>Aprovado Diretoria</t>
        </is>
      </c>
      <c r="Q1175" t="inlineStr">
        <is>
          <t>Aprovado Caixa</t>
        </is>
      </c>
      <c r="R1175" t="inlineStr">
        <is>
          <t>Pago</t>
        </is>
      </c>
      <c r="S1175" t="n">
        <v>182</v>
      </c>
      <c r="T1175" t="inlineStr">
        <is>
          <t>Love - Shibari - Kamino</t>
        </is>
      </c>
    </row>
    <row r="1176">
      <c r="A1176" t="n">
        <v>155872</v>
      </c>
      <c r="B1176" t="n">
        <v>128</v>
      </c>
      <c r="C1176" t="inlineStr">
        <is>
          <t>Love Cabaret</t>
        </is>
      </c>
      <c r="D1176" t="inlineStr">
        <is>
          <t>LUMI CREAMY LTDA</t>
        </is>
      </c>
      <c r="E1176" t="n">
        <v>386</v>
      </c>
      <c r="F1176" s="27" t="n">
        <v>45895</v>
      </c>
      <c r="G1176" s="27" t="n">
        <v>45894</v>
      </c>
      <c r="H1176" s="27" t="n">
        <v>45894</v>
      </c>
      <c r="I1176" s="27" t="n">
        <v>45888</v>
      </c>
      <c r="J1176" s="27" t="n">
        <v>45889</v>
      </c>
      <c r="K1176" t="inlineStr">
        <is>
          <t>Boleto Bancário</t>
        </is>
      </c>
      <c r="L1176" t="inlineStr">
        <is>
          <t>Custo Mercadoria Vendida</t>
        </is>
      </c>
      <c r="M1176" t="inlineStr">
        <is>
          <t>Insumos - Alimentos</t>
        </is>
      </c>
      <c r="N1176" t="inlineStr">
        <is>
          <t>24</t>
        </is>
      </c>
      <c r="O1176" t="inlineStr">
        <is>
          <t>Documentação Aprovada</t>
        </is>
      </c>
      <c r="P1176" t="inlineStr">
        <is>
          <t>Aprovado Diretoria</t>
        </is>
      </c>
      <c r="Q1176" t="inlineStr">
        <is>
          <t>Aprovado Caixa</t>
        </is>
      </c>
      <c r="R1176" t="inlineStr">
        <is>
          <t>Pago</t>
        </is>
      </c>
      <c r="S1176" t="n">
        <v>182</v>
      </c>
      <c r="T1176" t="inlineStr">
        <is>
          <t>Love - Shibari - Kamino</t>
        </is>
      </c>
    </row>
    <row r="1177">
      <c r="A1177" t="n">
        <v>134672</v>
      </c>
      <c r="B1177" t="n">
        <v>128</v>
      </c>
      <c r="C1177" t="inlineStr">
        <is>
          <t>Love Cabaret</t>
        </is>
      </c>
      <c r="D1177" t="inlineStr">
        <is>
          <t>JND SOLUCOES TECNICAS EIRELI</t>
        </is>
      </c>
      <c r="E1177" t="n">
        <v>121.55</v>
      </c>
      <c r="F1177" s="27" t="n">
        <v>45895</v>
      </c>
      <c r="G1177" s="27" t="n">
        <v>45894</v>
      </c>
      <c r="H1177" s="27" t="n">
        <v>45894</v>
      </c>
      <c r="I1177" s="27" t="n">
        <v>45839</v>
      </c>
      <c r="J1177" s="27" t="n">
        <v>45804</v>
      </c>
      <c r="K1177" t="inlineStr">
        <is>
          <t>Boleto Bancário</t>
        </is>
      </c>
      <c r="L1177" t="inlineStr">
        <is>
          <t>Utilidades</t>
        </is>
      </c>
      <c r="M1177" t="inlineStr">
        <is>
          <t>Serviços de Limpeza</t>
        </is>
      </c>
      <c r="N1177" t="inlineStr">
        <is>
          <t>6287</t>
        </is>
      </c>
      <c r="O1177" t="inlineStr">
        <is>
          <t>Documentação Aprovada</t>
        </is>
      </c>
      <c r="P1177" t="inlineStr">
        <is>
          <t>Aprovado Diretoria</t>
        </is>
      </c>
      <c r="Q1177" t="inlineStr">
        <is>
          <t>Aprovado Caixa</t>
        </is>
      </c>
      <c r="R1177" t="inlineStr">
        <is>
          <t>Pago</t>
        </is>
      </c>
      <c r="S1177" t="n">
        <v>182</v>
      </c>
      <c r="T1177" t="inlineStr">
        <is>
          <t>Love - Shibari - Kamino</t>
        </is>
      </c>
    </row>
    <row r="1178">
      <c r="A1178" t="n">
        <v>143912</v>
      </c>
      <c r="B1178" t="n">
        <v>128</v>
      </c>
      <c r="C1178" t="inlineStr">
        <is>
          <t>Love Cabaret</t>
        </is>
      </c>
      <c r="D1178" t="inlineStr">
        <is>
          <t>METALTEC CONSTRUTORA E INSTALACOES LTDA</t>
        </is>
      </c>
      <c r="E1178" t="n">
        <v>980</v>
      </c>
      <c r="F1178" s="27" t="n">
        <v>45894</v>
      </c>
      <c r="G1178" s="27" t="n">
        <v>45894</v>
      </c>
      <c r="H1178" s="27" t="n">
        <v>45894</v>
      </c>
      <c r="I1178" s="27" t="n">
        <v>45870</v>
      </c>
      <c r="J1178" s="27" t="n">
        <v>45842</v>
      </c>
      <c r="K1178" t="inlineStr">
        <is>
          <t>Transferência Bancária ou Pix</t>
        </is>
      </c>
      <c r="L1178" t="inlineStr">
        <is>
          <t>Manutenção</t>
        </is>
      </c>
      <c r="M1178" t="inlineStr">
        <is>
          <t>Manutenção de Equipamentos</t>
        </is>
      </c>
      <c r="N1178" t="inlineStr">
        <is>
          <t>082025</t>
        </is>
      </c>
      <c r="O1178" t="inlineStr">
        <is>
          <t>Documentação Aprovada</t>
        </is>
      </c>
      <c r="P1178" t="inlineStr">
        <is>
          <t>Aprovado Diretoria</t>
        </is>
      </c>
      <c r="Q1178" t="inlineStr">
        <is>
          <t>Aprovado Caixa</t>
        </is>
      </c>
      <c r="R1178" t="inlineStr">
        <is>
          <t>Pago</t>
        </is>
      </c>
      <c r="S1178" t="n">
        <v>182</v>
      </c>
      <c r="T1178" t="inlineStr">
        <is>
          <t>Love - Shibari - Kamino</t>
        </is>
      </c>
    </row>
    <row r="1179">
      <c r="A1179" t="n">
        <v>156402</v>
      </c>
      <c r="B1179" t="n">
        <v>128</v>
      </c>
      <c r="C1179" t="inlineStr">
        <is>
          <t>Love Cabaret</t>
        </is>
      </c>
      <c r="D1179" t="inlineStr">
        <is>
          <t>BRADESCO SA</t>
        </is>
      </c>
      <c r="E1179" t="n">
        <v>9.800000000000001</v>
      </c>
      <c r="F1179" s="27" t="n">
        <v>45891</v>
      </c>
      <c r="G1179" s="27" t="n"/>
      <c r="H1179" s="27" t="n">
        <v>45891</v>
      </c>
      <c r="I1179" s="27" t="n">
        <v>45891</v>
      </c>
      <c r="J1179" s="27" t="n">
        <v>45894</v>
      </c>
      <c r="K1179" t="inlineStr">
        <is>
          <t>Encontro de Contas</t>
        </is>
      </c>
      <c r="L1179" t="inlineStr">
        <is>
          <t>Despesas Financeiras</t>
        </is>
      </c>
      <c r="M1179" t="inlineStr">
        <is>
          <t>Tarifas Bancárias</t>
        </is>
      </c>
      <c r="N1179" t="inlineStr">
        <is>
          <t>082025</t>
        </is>
      </c>
      <c r="R1179" t="inlineStr">
        <is>
          <t>Pago</t>
        </is>
      </c>
    </row>
    <row r="1180">
      <c r="A1180" t="n">
        <v>156003</v>
      </c>
      <c r="B1180" t="n">
        <v>128</v>
      </c>
      <c r="C1180" t="inlineStr">
        <is>
          <t>Love Cabaret</t>
        </is>
      </c>
      <c r="D1180" t="inlineStr">
        <is>
          <t>BRADESCO SA</t>
        </is>
      </c>
      <c r="E1180" t="n">
        <v>9.800000000000001</v>
      </c>
      <c r="F1180" s="27" t="n">
        <v>45889</v>
      </c>
      <c r="G1180" s="27" t="n"/>
      <c r="H1180" s="27" t="n">
        <v>45889</v>
      </c>
      <c r="I1180" s="27" t="n">
        <v>45889</v>
      </c>
      <c r="J1180" s="27" t="n">
        <v>45890</v>
      </c>
      <c r="K1180" t="inlineStr">
        <is>
          <t>Encontro de Contas</t>
        </is>
      </c>
      <c r="L1180" t="inlineStr">
        <is>
          <t>Despesas Financeiras</t>
        </is>
      </c>
      <c r="M1180" t="inlineStr">
        <is>
          <t>Tarifas Bancárias</t>
        </is>
      </c>
      <c r="N1180" t="inlineStr">
        <is>
          <t>082025</t>
        </is>
      </c>
      <c r="R1180" t="inlineStr">
        <is>
          <t>Pago</t>
        </is>
      </c>
    </row>
    <row r="1181">
      <c r="A1181" t="n">
        <v>153463</v>
      </c>
      <c r="B1181" t="n">
        <v>128</v>
      </c>
      <c r="C1181" t="inlineStr">
        <is>
          <t>Love Cabaret</t>
        </is>
      </c>
      <c r="D1181" t="inlineStr">
        <is>
          <t>KING COMERCIO E IMPORTACAO DE BEBIDAS LTDA</t>
        </is>
      </c>
      <c r="E1181" t="n">
        <v>1198.8</v>
      </c>
      <c r="F1181" s="27" t="n">
        <v>45891</v>
      </c>
      <c r="G1181" s="27" t="n">
        <v>45889</v>
      </c>
      <c r="H1181" s="27" t="n">
        <v>45889</v>
      </c>
      <c r="I1181" s="27" t="n">
        <v>45863</v>
      </c>
      <c r="J1181" s="27" t="n">
        <v>45876</v>
      </c>
      <c r="K1181" t="inlineStr">
        <is>
          <t>Boleto Bancário</t>
        </is>
      </c>
      <c r="L1181" t="inlineStr">
        <is>
          <t>Custo Mercadoria Vendida</t>
        </is>
      </c>
      <c r="M1181" t="inlineStr">
        <is>
          <t>Insumos - Bebidas</t>
        </is>
      </c>
      <c r="N1181" t="inlineStr">
        <is>
          <t>119722</t>
        </is>
      </c>
      <c r="O1181" t="inlineStr">
        <is>
          <t>Documentação Aprovada</t>
        </is>
      </c>
      <c r="P1181" t="inlineStr">
        <is>
          <t>Aprovado Diretoria</t>
        </is>
      </c>
      <c r="Q1181" t="inlineStr">
        <is>
          <t>Aprovado Caixa</t>
        </is>
      </c>
      <c r="R1181" t="inlineStr">
        <is>
          <t>Pago</t>
        </is>
      </c>
      <c r="S1181" t="n">
        <v>182</v>
      </c>
      <c r="T1181" t="inlineStr">
        <is>
          <t>Love - Shibari - Kamino</t>
        </is>
      </c>
    </row>
    <row r="1182">
      <c r="A1182" t="n">
        <v>153284</v>
      </c>
      <c r="B1182" t="n">
        <v>128</v>
      </c>
      <c r="C1182" t="inlineStr">
        <is>
          <t>Love Cabaret</t>
        </is>
      </c>
      <c r="D1182" t="inlineStr">
        <is>
          <t>HORTICLEAN DISTRIBUIDORA DE HORTIFRUTI LTDA</t>
        </is>
      </c>
      <c r="E1182" t="n">
        <v>211.75</v>
      </c>
      <c r="F1182" s="27" t="n">
        <v>45891</v>
      </c>
      <c r="G1182" s="27" t="n">
        <v>45889</v>
      </c>
      <c r="H1182" s="27" t="n">
        <v>45889</v>
      </c>
      <c r="I1182" s="27" t="n">
        <v>45862</v>
      </c>
      <c r="J1182" s="27" t="n">
        <v>45876</v>
      </c>
      <c r="K1182" t="inlineStr">
        <is>
          <t>Boleto Bancário</t>
        </is>
      </c>
      <c r="L1182" t="inlineStr">
        <is>
          <t>Custo Mercadoria Vendida</t>
        </is>
      </c>
      <c r="M1182" t="inlineStr">
        <is>
          <t>Insumos - Alimentos</t>
        </is>
      </c>
      <c r="N1182" t="inlineStr">
        <is>
          <t>27367</t>
        </is>
      </c>
      <c r="O1182" t="inlineStr">
        <is>
          <t>Documentação Aprovada</t>
        </is>
      </c>
      <c r="P1182" t="inlineStr">
        <is>
          <t>Aprovado Diretoria</t>
        </is>
      </c>
      <c r="Q1182" t="inlineStr">
        <is>
          <t>Aprovado Caixa</t>
        </is>
      </c>
      <c r="R1182" t="inlineStr">
        <is>
          <t>Pago</t>
        </is>
      </c>
      <c r="S1182" t="n">
        <v>182</v>
      </c>
      <c r="T1182" t="inlineStr">
        <is>
          <t>Love - Shibari - Kamino</t>
        </is>
      </c>
    </row>
    <row r="1183">
      <c r="A1183" t="n">
        <v>153774</v>
      </c>
      <c r="B1183" t="n">
        <v>128</v>
      </c>
      <c r="C1183" t="inlineStr">
        <is>
          <t>Love Cabaret</t>
        </is>
      </c>
      <c r="D1183" t="inlineStr">
        <is>
          <t>LUIZ ROBERTO DA SILVA JUNIOR</t>
        </is>
      </c>
      <c r="E1183" t="n">
        <v>1900</v>
      </c>
      <c r="F1183" s="27" t="n">
        <v>45897</v>
      </c>
      <c r="G1183" s="27" t="n">
        <v>45889</v>
      </c>
      <c r="H1183" s="27" t="n">
        <v>45889</v>
      </c>
      <c r="I1183" s="27" t="n">
        <v>45876</v>
      </c>
      <c r="J1183" s="27" t="n">
        <v>45877</v>
      </c>
      <c r="K1183" t="inlineStr">
        <is>
          <t>Transferência Bancária ou Pix</t>
        </is>
      </c>
      <c r="L1183" t="inlineStr">
        <is>
          <t>Custos Artístico Geral</t>
        </is>
      </c>
      <c r="M1183" t="inlineStr">
        <is>
          <t>Locação de Equipamentos Fixo</t>
        </is>
      </c>
      <c r="N1183" t="inlineStr">
        <is>
          <t>812025</t>
        </is>
      </c>
      <c r="O1183" t="inlineStr">
        <is>
          <t>Documentação Aprovada</t>
        </is>
      </c>
      <c r="P1183" t="inlineStr">
        <is>
          <t>Aprovado Diretoria</t>
        </is>
      </c>
      <c r="Q1183" t="inlineStr">
        <is>
          <t>Aprovado Caixa</t>
        </is>
      </c>
      <c r="R1183" t="inlineStr">
        <is>
          <t>Pago</t>
        </is>
      </c>
      <c r="S1183" t="n">
        <v>182</v>
      </c>
      <c r="T1183" t="inlineStr">
        <is>
          <t>Love - Shibari - Kamino</t>
        </is>
      </c>
    </row>
    <row r="1184">
      <c r="A1184" t="n">
        <v>153697</v>
      </c>
      <c r="B1184" t="n">
        <v>128</v>
      </c>
      <c r="C1184" t="inlineStr">
        <is>
          <t>Love Cabaret</t>
        </is>
      </c>
      <c r="D1184" t="inlineStr">
        <is>
          <t>BATARD PADARIA ARTESANAL LTDA</t>
        </is>
      </c>
      <c r="E1184" t="n">
        <v>261</v>
      </c>
      <c r="F1184" s="27" t="n">
        <v>45893</v>
      </c>
      <c r="G1184" s="27" t="n">
        <v>45889</v>
      </c>
      <c r="H1184" s="27" t="n">
        <v>45889</v>
      </c>
      <c r="I1184" s="27" t="n">
        <v>45876</v>
      </c>
      <c r="J1184" s="27" t="n">
        <v>45877</v>
      </c>
      <c r="K1184" t="inlineStr">
        <is>
          <t>Boleto Bancário</t>
        </is>
      </c>
      <c r="L1184" t="inlineStr">
        <is>
          <t>Custo Mercadoria Vendida</t>
        </is>
      </c>
      <c r="M1184" t="inlineStr">
        <is>
          <t>Insumos - Alimentos</t>
        </is>
      </c>
      <c r="N1184" t="inlineStr">
        <is>
          <t>11607</t>
        </is>
      </c>
      <c r="O1184" t="inlineStr">
        <is>
          <t>Documentação Aprovada</t>
        </is>
      </c>
      <c r="P1184" t="inlineStr">
        <is>
          <t>Aprovado Diretoria</t>
        </is>
      </c>
      <c r="Q1184" t="inlineStr">
        <is>
          <t>Aprovado Caixa</t>
        </is>
      </c>
      <c r="R1184" t="inlineStr">
        <is>
          <t>Pago</t>
        </is>
      </c>
      <c r="S1184" t="n">
        <v>182</v>
      </c>
      <c r="T1184" t="inlineStr">
        <is>
          <t>Love - Shibari - Kamino</t>
        </is>
      </c>
    </row>
    <row r="1185">
      <c r="A1185" t="n">
        <v>153698</v>
      </c>
      <c r="B1185" t="n">
        <v>128</v>
      </c>
      <c r="C1185" t="inlineStr">
        <is>
          <t>Love Cabaret</t>
        </is>
      </c>
      <c r="D1185" t="inlineStr">
        <is>
          <t>EDUARDO JOSE DA SILVA DISTRIBUIÇÃO DE PRODUTOS ALIMENTICIOS</t>
        </is>
      </c>
      <c r="E1185" t="n">
        <v>403.6</v>
      </c>
      <c r="F1185" s="27" t="n">
        <v>45890</v>
      </c>
      <c r="G1185" s="27" t="n">
        <v>45889</v>
      </c>
      <c r="H1185" s="27" t="n">
        <v>45889</v>
      </c>
      <c r="I1185" s="27" t="n">
        <v>45875</v>
      </c>
      <c r="J1185" s="27" t="n">
        <v>45877</v>
      </c>
      <c r="K1185" t="inlineStr">
        <is>
          <t>Boleto Bancário</t>
        </is>
      </c>
      <c r="L1185" t="inlineStr">
        <is>
          <t>Custo Mercadoria Vendida</t>
        </is>
      </c>
      <c r="M1185" t="inlineStr">
        <is>
          <t>Insumos - Alimentos</t>
        </is>
      </c>
      <c r="N1185" t="inlineStr">
        <is>
          <t>138189</t>
        </is>
      </c>
      <c r="O1185" t="inlineStr">
        <is>
          <t>Documentação Aprovada</t>
        </is>
      </c>
      <c r="P1185" t="inlineStr">
        <is>
          <t>Aprovado Diretoria</t>
        </is>
      </c>
      <c r="Q1185" t="inlineStr">
        <is>
          <t>Aprovado Caixa</t>
        </is>
      </c>
      <c r="R1185" t="inlineStr">
        <is>
          <t>Pago</t>
        </is>
      </c>
      <c r="S1185" t="n">
        <v>182</v>
      </c>
      <c r="T1185" t="inlineStr">
        <is>
          <t>Love - Shibari - Kamino</t>
        </is>
      </c>
    </row>
    <row r="1186">
      <c r="A1186" t="n">
        <v>153276</v>
      </c>
      <c r="B1186" t="n">
        <v>128</v>
      </c>
      <c r="C1186" t="inlineStr">
        <is>
          <t>Love Cabaret</t>
        </is>
      </c>
      <c r="D1186" t="inlineStr">
        <is>
          <t xml:space="preserve">EMPORIO MEL </t>
        </is>
      </c>
      <c r="E1186" t="n">
        <v>1270.92</v>
      </c>
      <c r="F1186" s="27" t="n">
        <v>45890</v>
      </c>
      <c r="G1186" s="27" t="n">
        <v>45889</v>
      </c>
      <c r="H1186" s="27" t="n">
        <v>45889</v>
      </c>
      <c r="I1186" s="27" t="n">
        <v>45856</v>
      </c>
      <c r="J1186" s="27" t="n">
        <v>45876</v>
      </c>
      <c r="K1186" t="inlineStr">
        <is>
          <t>Boleto Bancário</t>
        </is>
      </c>
      <c r="L1186" t="inlineStr">
        <is>
          <t>Custo Mercadoria Vendida</t>
        </is>
      </c>
      <c r="M1186" t="inlineStr">
        <is>
          <t>Insumos - Alimentos</t>
        </is>
      </c>
      <c r="N1186" t="inlineStr">
        <is>
          <t>462008</t>
        </is>
      </c>
      <c r="O1186" t="inlineStr">
        <is>
          <t>Documentação Aprovada</t>
        </is>
      </c>
      <c r="P1186" t="inlineStr">
        <is>
          <t>Aprovado Diretoria</t>
        </is>
      </c>
      <c r="Q1186" t="inlineStr">
        <is>
          <t>Aprovado Caixa</t>
        </is>
      </c>
      <c r="R1186" t="inlineStr">
        <is>
          <t>Pago</t>
        </is>
      </c>
      <c r="S1186" t="n">
        <v>182</v>
      </c>
      <c r="T1186" t="inlineStr">
        <is>
          <t>Love - Shibari - Kamino</t>
        </is>
      </c>
    </row>
    <row r="1187">
      <c r="A1187" t="n">
        <v>154399</v>
      </c>
      <c r="B1187" t="n">
        <v>128</v>
      </c>
      <c r="C1187" t="inlineStr">
        <is>
          <t>Love Cabaret</t>
        </is>
      </c>
      <c r="D1187" t="inlineStr">
        <is>
          <t>ICE4PROS FABRICA DE GELO LTDA</t>
        </is>
      </c>
      <c r="E1187" t="n">
        <v>834.75</v>
      </c>
      <c r="F1187" s="27" t="n">
        <v>45891</v>
      </c>
      <c r="G1187" s="27" t="n">
        <v>45889</v>
      </c>
      <c r="H1187" s="27" t="n">
        <v>45889</v>
      </c>
      <c r="I1187" s="27" t="n">
        <v>45881</v>
      </c>
      <c r="J1187" s="27" t="n">
        <v>45882</v>
      </c>
      <c r="K1187" t="inlineStr">
        <is>
          <t>Boleto Bancário</t>
        </is>
      </c>
      <c r="L1187" t="inlineStr">
        <is>
          <t>Custo Mercadoria Vendida</t>
        </is>
      </c>
      <c r="M1187" t="inlineStr">
        <is>
          <t>Insumos - Bebidas</t>
        </is>
      </c>
      <c r="N1187" t="inlineStr">
        <is>
          <t>84082</t>
        </is>
      </c>
      <c r="O1187" t="inlineStr">
        <is>
          <t>Documentação Aprovada</t>
        </is>
      </c>
      <c r="P1187" t="inlineStr">
        <is>
          <t>Aprovado Diretoria</t>
        </is>
      </c>
      <c r="Q1187" t="inlineStr">
        <is>
          <t>Aprovado Caixa</t>
        </is>
      </c>
      <c r="R1187" t="inlineStr">
        <is>
          <t>Pago</t>
        </is>
      </c>
      <c r="S1187" t="n">
        <v>182</v>
      </c>
      <c r="T1187" t="inlineStr">
        <is>
          <t>Love - Shibari - Kamino</t>
        </is>
      </c>
    </row>
    <row r="1188">
      <c r="A1188" t="n">
        <v>154396</v>
      </c>
      <c r="B1188" t="n">
        <v>128</v>
      </c>
      <c r="C1188" t="inlineStr">
        <is>
          <t>Love Cabaret</t>
        </is>
      </c>
      <c r="D1188" t="inlineStr">
        <is>
          <t>CECILIA TSUYACO ARAKI SILVA LTDA</t>
        </is>
      </c>
      <c r="E1188" t="n">
        <v>181.65</v>
      </c>
      <c r="F1188" s="27" t="n">
        <v>45890</v>
      </c>
      <c r="G1188" s="27" t="n">
        <v>45889</v>
      </c>
      <c r="H1188" s="27" t="n">
        <v>45889</v>
      </c>
      <c r="I1188" s="27" t="n">
        <v>45877</v>
      </c>
      <c r="J1188" s="27" t="n">
        <v>45882</v>
      </c>
      <c r="K1188" t="inlineStr">
        <is>
          <t>Boleto Bancário</t>
        </is>
      </c>
      <c r="L1188" t="inlineStr">
        <is>
          <t>Custo Mercadoria Vendida</t>
        </is>
      </c>
      <c r="M1188" t="inlineStr">
        <is>
          <t>Insumos - Alimentos</t>
        </is>
      </c>
      <c r="N1188" t="inlineStr">
        <is>
          <t>375901</t>
        </is>
      </c>
      <c r="O1188" t="inlineStr">
        <is>
          <t>Documentação Aprovada</t>
        </is>
      </c>
      <c r="P1188" t="inlineStr">
        <is>
          <t>Aprovado Diretoria</t>
        </is>
      </c>
      <c r="Q1188" t="inlineStr">
        <is>
          <t>Aprovado Caixa</t>
        </is>
      </c>
      <c r="R1188" t="inlineStr">
        <is>
          <t>Pago</t>
        </is>
      </c>
      <c r="S1188" t="n">
        <v>182</v>
      </c>
      <c r="T1188" t="inlineStr">
        <is>
          <t>Love - Shibari - Kamino</t>
        </is>
      </c>
    </row>
    <row r="1189">
      <c r="A1189" t="n">
        <v>154398</v>
      </c>
      <c r="B1189" t="n">
        <v>128</v>
      </c>
      <c r="C1189" t="inlineStr">
        <is>
          <t>Love Cabaret</t>
        </is>
      </c>
      <c r="D1189" t="inlineStr">
        <is>
          <t>BATALHA FABRICA DE PAES LTDA</t>
        </is>
      </c>
      <c r="E1189" t="n">
        <v>374.56</v>
      </c>
      <c r="F1189" s="27" t="n">
        <v>45893</v>
      </c>
      <c r="G1189" s="27" t="n">
        <v>45889</v>
      </c>
      <c r="H1189" s="27" t="n">
        <v>45889</v>
      </c>
      <c r="I1189" s="27" t="n">
        <v>45876</v>
      </c>
      <c r="J1189" s="27" t="n">
        <v>45882</v>
      </c>
      <c r="K1189" t="inlineStr">
        <is>
          <t>Boleto Bancário</t>
        </is>
      </c>
      <c r="L1189" t="inlineStr">
        <is>
          <t>Custo Mercadoria Vendida</t>
        </is>
      </c>
      <c r="M1189" t="inlineStr">
        <is>
          <t>Insumos - Alimentos</t>
        </is>
      </c>
      <c r="N1189" t="inlineStr">
        <is>
          <t>48329</t>
        </is>
      </c>
      <c r="O1189" t="inlineStr">
        <is>
          <t>Documentação Aprovada</t>
        </is>
      </c>
      <c r="P1189" t="inlineStr">
        <is>
          <t>Aprovado Diretoria</t>
        </is>
      </c>
      <c r="Q1189" t="inlineStr">
        <is>
          <t>Aprovado Caixa</t>
        </is>
      </c>
      <c r="R1189" t="inlineStr">
        <is>
          <t>Pago</t>
        </is>
      </c>
      <c r="S1189" t="n">
        <v>182</v>
      </c>
      <c r="T1189" t="inlineStr">
        <is>
          <t>Love - Shibari - Kamino</t>
        </is>
      </c>
    </row>
    <row r="1190">
      <c r="A1190" t="n">
        <v>154397</v>
      </c>
      <c r="B1190" t="n">
        <v>128</v>
      </c>
      <c r="C1190" t="inlineStr">
        <is>
          <t>Love Cabaret</t>
        </is>
      </c>
      <c r="D1190" t="inlineStr">
        <is>
          <t>HORTICLEAN DISTRIBUIDORA DE HORTIFRUTI LTDA</t>
        </is>
      </c>
      <c r="E1190" t="n">
        <v>415.04</v>
      </c>
      <c r="F1190" s="27" t="n">
        <v>45890</v>
      </c>
      <c r="G1190" s="27" t="n">
        <v>45889</v>
      </c>
      <c r="H1190" s="27" t="n">
        <v>45889</v>
      </c>
      <c r="I1190" s="27" t="n">
        <v>45876</v>
      </c>
      <c r="J1190" s="27" t="n">
        <v>45882</v>
      </c>
      <c r="K1190" t="inlineStr">
        <is>
          <t>Boleto Bancário</t>
        </is>
      </c>
      <c r="L1190" t="inlineStr">
        <is>
          <t>Custo Mercadoria Vendida</t>
        </is>
      </c>
      <c r="M1190" t="inlineStr">
        <is>
          <t>Insumos - Alimentos</t>
        </is>
      </c>
      <c r="N1190" t="inlineStr">
        <is>
          <t>27508</t>
        </is>
      </c>
      <c r="O1190" t="inlineStr">
        <is>
          <t>Documentação Aprovada</t>
        </is>
      </c>
      <c r="P1190" t="inlineStr">
        <is>
          <t>Aprovado Diretoria</t>
        </is>
      </c>
      <c r="Q1190" t="inlineStr">
        <is>
          <t>Aprovado Caixa</t>
        </is>
      </c>
      <c r="R1190" t="inlineStr">
        <is>
          <t>Pago</t>
        </is>
      </c>
      <c r="S1190" t="n">
        <v>182</v>
      </c>
      <c r="T1190" t="inlineStr">
        <is>
          <t>Love - Shibari - Kamino</t>
        </is>
      </c>
    </row>
    <row r="1191">
      <c r="A1191" t="n">
        <v>142649</v>
      </c>
      <c r="B1191" t="n">
        <v>128</v>
      </c>
      <c r="C1191" t="inlineStr">
        <is>
          <t>Love Cabaret</t>
        </is>
      </c>
      <c r="D1191" t="inlineStr">
        <is>
          <t xml:space="preserve">DESTEC SOLUCOES LTDA </t>
        </is>
      </c>
      <c r="E1191" t="n">
        <v>812.7</v>
      </c>
      <c r="F1191" s="27" t="n">
        <v>45893</v>
      </c>
      <c r="G1191" s="27" t="n">
        <v>45889</v>
      </c>
      <c r="H1191" s="27" t="n">
        <v>45889</v>
      </c>
      <c r="I1191" s="27" t="n">
        <v>45868</v>
      </c>
      <c r="J1191" s="27" t="n"/>
      <c r="K1191" t="inlineStr">
        <is>
          <t>Boleto Bancário</t>
        </is>
      </c>
      <c r="L1191" t="inlineStr">
        <is>
          <t>Locação de Equipamentos</t>
        </is>
      </c>
      <c r="M1191" t="inlineStr">
        <is>
          <t>Locações de Equipamentos - Operacionais</t>
        </is>
      </c>
      <c r="N1191" t="inlineStr">
        <is>
          <t>20251121</t>
        </is>
      </c>
      <c r="O1191" t="inlineStr">
        <is>
          <t>Documentação Aprovada</t>
        </is>
      </c>
      <c r="P1191" t="inlineStr">
        <is>
          <t>Aprovado Diretoria</t>
        </is>
      </c>
      <c r="Q1191" t="inlineStr">
        <is>
          <t>Aprovado Caixa</t>
        </is>
      </c>
      <c r="R1191" t="inlineStr">
        <is>
          <t>Pago</t>
        </is>
      </c>
      <c r="S1191" t="n">
        <v>182</v>
      </c>
      <c r="T1191" t="inlineStr">
        <is>
          <t>Love - Shibari - Kamino</t>
        </is>
      </c>
    </row>
    <row r="1192">
      <c r="A1192" t="n">
        <v>102797</v>
      </c>
      <c r="B1192" t="n">
        <v>128</v>
      </c>
      <c r="C1192" t="inlineStr">
        <is>
          <t>Love Cabaret</t>
        </is>
      </c>
      <c r="D1192" t="inlineStr">
        <is>
          <t>FABRICA DE BARES PARTICIPACOES LTDA</t>
        </is>
      </c>
      <c r="E1192" t="n">
        <v>50</v>
      </c>
      <c r="F1192" s="27" t="n">
        <v>45889</v>
      </c>
      <c r="G1192" s="27" t="n">
        <v>45889</v>
      </c>
      <c r="H1192" s="27" t="n">
        <v>45889</v>
      </c>
      <c r="I1192" s="27" t="n">
        <v>45839</v>
      </c>
      <c r="J1192" s="27" t="n"/>
      <c r="K1192" t="inlineStr">
        <is>
          <t>Transferência Bancária ou Pix</t>
        </is>
      </c>
      <c r="L1192" t="inlineStr">
        <is>
          <t>Serviços de Terceiros</t>
        </is>
      </c>
      <c r="M1192" t="inlineStr">
        <is>
          <t>Assessoria RH</t>
        </is>
      </c>
      <c r="N1192" t="inlineStr">
        <is>
          <t>RP085-2025</t>
        </is>
      </c>
      <c r="O1192" t="inlineStr">
        <is>
          <t>Documentação Aprovada</t>
        </is>
      </c>
      <c r="P1192" t="inlineStr">
        <is>
          <t>Aprovado Diretoria</t>
        </is>
      </c>
      <c r="Q1192" t="inlineStr">
        <is>
          <t>Aprovado Caixa</t>
        </is>
      </c>
      <c r="R1192" t="inlineStr">
        <is>
          <t>Pago</t>
        </is>
      </c>
      <c r="S1192" t="n">
        <v>182</v>
      </c>
      <c r="T1192" t="inlineStr">
        <is>
          <t>Love - Shibari - Kamino</t>
        </is>
      </c>
    </row>
    <row r="1193">
      <c r="A1193" t="n">
        <v>97367</v>
      </c>
      <c r="B1193" t="n">
        <v>128</v>
      </c>
      <c r="C1193" t="inlineStr">
        <is>
          <t>Love Cabaret</t>
        </is>
      </c>
      <c r="D1193" t="inlineStr">
        <is>
          <t xml:space="preserve">EDIMAR MOURA TARTAGLIONI SERVICOES DE DEDETIZACAO </t>
        </is>
      </c>
      <c r="E1193" t="n">
        <v>630</v>
      </c>
      <c r="F1193" s="27" t="n">
        <v>45890</v>
      </c>
      <c r="G1193" s="27" t="n">
        <v>45889</v>
      </c>
      <c r="H1193" s="27" t="n">
        <v>45889</v>
      </c>
      <c r="I1193" s="27" t="n">
        <v>45874</v>
      </c>
      <c r="J1193" s="27" t="n"/>
      <c r="K1193" t="inlineStr">
        <is>
          <t>Transferência Bancária ou Pix</t>
        </is>
      </c>
      <c r="L1193" t="inlineStr">
        <is>
          <t>Utilidades</t>
        </is>
      </c>
      <c r="M1193" t="inlineStr">
        <is>
          <t>Controle de Pragas</t>
        </is>
      </c>
      <c r="N1193" t="inlineStr">
        <is>
          <t>573</t>
        </is>
      </c>
      <c r="O1193" t="inlineStr">
        <is>
          <t>Documentação Aprovada</t>
        </is>
      </c>
      <c r="P1193" t="inlineStr">
        <is>
          <t>Aprovado Diretoria</t>
        </is>
      </c>
      <c r="Q1193" t="inlineStr">
        <is>
          <t>Aprovado Caixa</t>
        </is>
      </c>
      <c r="R1193" t="inlineStr">
        <is>
          <t>Pago</t>
        </is>
      </c>
      <c r="S1193" t="n">
        <v>182</v>
      </c>
      <c r="T1193" t="inlineStr">
        <is>
          <t>Love - Shibari - Kamino</t>
        </is>
      </c>
    </row>
    <row r="1194">
      <c r="A1194" t="n">
        <v>97016</v>
      </c>
      <c r="B1194" t="n">
        <v>128</v>
      </c>
      <c r="C1194" t="inlineStr">
        <is>
          <t>Love Cabaret</t>
        </is>
      </c>
      <c r="D1194" t="inlineStr">
        <is>
          <t>ESHOWS PROMOCOES ARTISTICAS LTDA</t>
        </is>
      </c>
      <c r="E1194" t="n">
        <v>29585</v>
      </c>
      <c r="F1194" s="27" t="n">
        <v>45889</v>
      </c>
      <c r="G1194" s="27" t="n">
        <v>45889</v>
      </c>
      <c r="H1194" s="27" t="n">
        <v>45889</v>
      </c>
      <c r="I1194" s="27" t="n">
        <v>45870</v>
      </c>
      <c r="J1194" s="27" t="n"/>
      <c r="K1194" t="inlineStr">
        <is>
          <t>Boleto Bancário</t>
        </is>
      </c>
      <c r="L1194" t="inlineStr">
        <is>
          <t>Custos Artístico Geral</t>
        </is>
      </c>
      <c r="M1194" t="inlineStr">
        <is>
          <t>Cachê de Músicos e Artistas</t>
        </is>
      </c>
      <c r="N1194" t="inlineStr">
        <is>
          <t>619343582</t>
        </is>
      </c>
      <c r="O1194" t="inlineStr">
        <is>
          <t>Documentação Aprovada</t>
        </is>
      </c>
      <c r="P1194" t="inlineStr">
        <is>
          <t>Aprovado Diretoria</t>
        </is>
      </c>
      <c r="Q1194" t="inlineStr">
        <is>
          <t>Aprovado Caixa</t>
        </is>
      </c>
      <c r="R1194" t="inlineStr">
        <is>
          <t>Pago</t>
        </is>
      </c>
      <c r="S1194" t="n">
        <v>182</v>
      </c>
      <c r="T1194" t="inlineStr">
        <is>
          <t>Love - Shibari - Kamino</t>
        </is>
      </c>
    </row>
    <row r="1195">
      <c r="A1195" t="n">
        <v>96901</v>
      </c>
      <c r="B1195" t="n">
        <v>128</v>
      </c>
      <c r="C1195" t="inlineStr">
        <is>
          <t>Love Cabaret</t>
        </is>
      </c>
      <c r="D1195" t="inlineStr">
        <is>
          <t>COMPANHIA DE GAS DE SAO PAULO</t>
        </is>
      </c>
      <c r="E1195" t="n">
        <v>1659.06</v>
      </c>
      <c r="F1195" s="27" t="n">
        <v>45893</v>
      </c>
      <c r="G1195" s="27" t="n">
        <v>45889</v>
      </c>
      <c r="H1195" s="27" t="n">
        <v>45889</v>
      </c>
      <c r="I1195" s="27" t="n">
        <v>45879</v>
      </c>
      <c r="J1195" s="27" t="n"/>
      <c r="K1195" t="inlineStr">
        <is>
          <t>Boleto Bancário</t>
        </is>
      </c>
      <c r="L1195" t="inlineStr">
        <is>
          <t>Utilidades</t>
        </is>
      </c>
      <c r="M1195" t="inlineStr">
        <is>
          <t>Gas de Cozinha</t>
        </is>
      </c>
      <c r="N1195" t="inlineStr">
        <is>
          <t xml:space="preserve">129547855  </t>
        </is>
      </c>
      <c r="O1195" t="inlineStr">
        <is>
          <t>Documentação Aprovada</t>
        </is>
      </c>
      <c r="P1195" t="inlineStr">
        <is>
          <t>Aprovado Diretoria</t>
        </is>
      </c>
      <c r="Q1195" t="inlineStr">
        <is>
          <t>Aprovado Caixa</t>
        </is>
      </c>
      <c r="R1195" t="inlineStr">
        <is>
          <t>Pago</t>
        </is>
      </c>
      <c r="S1195" t="n">
        <v>182</v>
      </c>
      <c r="T1195" t="inlineStr">
        <is>
          <t>Love - Shibari - Kamino</t>
        </is>
      </c>
    </row>
    <row r="1196">
      <c r="A1196" t="n">
        <v>97114</v>
      </c>
      <c r="B1196" t="n">
        <v>128</v>
      </c>
      <c r="C1196" t="inlineStr">
        <is>
          <t>Love Cabaret</t>
        </is>
      </c>
      <c r="D1196" t="inlineStr">
        <is>
          <t>ESTAFF SOLUCOES TECNOLOGICAS DE AGENCIAMENTO LTDA</t>
        </is>
      </c>
      <c r="E1196" t="n">
        <v>12732.5</v>
      </c>
      <c r="F1196" s="27" t="n">
        <v>45889</v>
      </c>
      <c r="G1196" s="27" t="n">
        <v>45889</v>
      </c>
      <c r="H1196" s="27" t="n">
        <v>45889</v>
      </c>
      <c r="I1196" s="27" t="n">
        <v>45880</v>
      </c>
      <c r="J1196" s="27" t="n"/>
      <c r="K1196" t="inlineStr">
        <is>
          <t>Boleto Bancário</t>
        </is>
      </c>
      <c r="L1196" t="inlineStr">
        <is>
          <t>Mão de Obra - Extra</t>
        </is>
      </c>
      <c r="M1196" t="inlineStr">
        <is>
          <t>Mão de Obra Extra</t>
        </is>
      </c>
      <c r="N1196" t="inlineStr">
        <is>
          <t>618491969</t>
        </is>
      </c>
      <c r="O1196" t="inlineStr">
        <is>
          <t>Documentação Aprovada</t>
        </is>
      </c>
      <c r="P1196" t="inlineStr">
        <is>
          <t>Aprovado Diretoria</t>
        </is>
      </c>
      <c r="Q1196" t="inlineStr">
        <is>
          <t>Aprovado Caixa</t>
        </is>
      </c>
      <c r="R1196" t="inlineStr">
        <is>
          <t>Pago</t>
        </is>
      </c>
      <c r="S1196" t="n">
        <v>182</v>
      </c>
      <c r="T1196" t="inlineStr">
        <is>
          <t>Love - Shibari - Kamino</t>
        </is>
      </c>
    </row>
    <row r="1197">
      <c r="A1197" t="n">
        <v>155690</v>
      </c>
      <c r="B1197" t="n">
        <v>128</v>
      </c>
      <c r="C1197" t="inlineStr">
        <is>
          <t>Love Cabaret</t>
        </is>
      </c>
      <c r="D1197" t="inlineStr">
        <is>
          <t>TRIBUNAL DE JUSTIÇA</t>
        </is>
      </c>
      <c r="E1197" t="n">
        <v>219.45</v>
      </c>
      <c r="F1197" s="27" t="n">
        <v>45888</v>
      </c>
      <c r="G1197" s="27" t="n">
        <v>45889</v>
      </c>
      <c r="H1197" s="27" t="n">
        <v>45888</v>
      </c>
      <c r="I1197" s="27" t="n">
        <v>45888</v>
      </c>
      <c r="J1197" s="27" t="n"/>
      <c r="K1197" t="inlineStr">
        <is>
          <t>Boleto Bancário</t>
        </is>
      </c>
      <c r="L1197" t="inlineStr">
        <is>
          <t>Endividamento</t>
        </is>
      </c>
      <c r="M1197" t="inlineStr">
        <is>
          <t>Processo Civil</t>
        </is>
      </c>
      <c r="N1197" t="inlineStr">
        <is>
          <t>1000020481</t>
        </is>
      </c>
      <c r="O1197" t="inlineStr">
        <is>
          <t>Documentação Aprovada</t>
        </is>
      </c>
      <c r="P1197" t="inlineStr">
        <is>
          <t>Aprovado Diretoria</t>
        </is>
      </c>
      <c r="Q1197" t="inlineStr">
        <is>
          <t>Aprovado Caixa</t>
        </is>
      </c>
      <c r="R1197" t="inlineStr">
        <is>
          <t>Pago</t>
        </is>
      </c>
      <c r="S1197" t="n">
        <v>182</v>
      </c>
      <c r="T1197" t="inlineStr">
        <is>
          <t>Love - Shibari - Kamino</t>
        </is>
      </c>
    </row>
    <row r="1198">
      <c r="A1198" t="n">
        <v>155861</v>
      </c>
      <c r="B1198" t="n">
        <v>128</v>
      </c>
      <c r="C1198" t="inlineStr">
        <is>
          <t>Love Cabaret</t>
        </is>
      </c>
      <c r="D1198" t="inlineStr">
        <is>
          <t xml:space="preserve">BGC COMERCIO DE UTENSILIOS </t>
        </is>
      </c>
      <c r="E1198" t="n">
        <v>70.70999999999999</v>
      </c>
      <c r="F1198" s="27" t="n">
        <v>45888</v>
      </c>
      <c r="G1198" s="27" t="n">
        <v>45896</v>
      </c>
      <c r="H1198" s="27" t="n">
        <v>45888</v>
      </c>
      <c r="I1198" s="27" t="n">
        <v>45883</v>
      </c>
      <c r="J1198" s="27" t="n">
        <v>45889</v>
      </c>
      <c r="K1198" t="inlineStr">
        <is>
          <t>Transferência Bancária ou Pix</t>
        </is>
      </c>
      <c r="L1198" t="inlineStr">
        <is>
          <t>Utilidades</t>
        </is>
      </c>
      <c r="M1198" t="inlineStr">
        <is>
          <t>Utensilios</t>
        </is>
      </c>
      <c r="N1198" t="inlineStr">
        <is>
          <t>A VISTA 1559</t>
        </is>
      </c>
      <c r="O1198" t="inlineStr">
        <is>
          <t>Documentação Aprovada</t>
        </is>
      </c>
      <c r="P1198" t="inlineStr">
        <is>
          <t>Aprovado Diretoria</t>
        </is>
      </c>
      <c r="Q1198" t="inlineStr">
        <is>
          <t>Aprovado Caixa</t>
        </is>
      </c>
      <c r="R1198" t="inlineStr">
        <is>
          <t>Pago</t>
        </is>
      </c>
      <c r="S1198" t="n">
        <v>182</v>
      </c>
      <c r="T1198" t="inlineStr">
        <is>
          <t>Love - Shibari - Kamino</t>
        </is>
      </c>
    </row>
    <row r="1199">
      <c r="A1199" t="n">
        <v>154443</v>
      </c>
      <c r="B1199" t="n">
        <v>128</v>
      </c>
      <c r="C1199" t="inlineStr">
        <is>
          <t>Love Cabaret</t>
        </is>
      </c>
      <c r="D1199" t="inlineStr">
        <is>
          <t>PAS DE DEUX PROJETOS LTDA</t>
        </is>
      </c>
      <c r="E1199" t="n">
        <v>6000</v>
      </c>
      <c r="F1199" s="27" t="n">
        <v>45889</v>
      </c>
      <c r="G1199" s="27" t="n">
        <v>45887</v>
      </c>
      <c r="H1199" s="27" t="n">
        <v>45887</v>
      </c>
      <c r="I1199" s="27" t="n">
        <v>45881</v>
      </c>
      <c r="J1199" s="27" t="n">
        <v>45882</v>
      </c>
      <c r="K1199" t="inlineStr">
        <is>
          <t>Transferência Bancária ou Pix</t>
        </is>
      </c>
      <c r="L1199" t="inlineStr">
        <is>
          <t>Serviços de Terceiros</t>
        </is>
      </c>
      <c r="M1199" t="inlineStr">
        <is>
          <t>Assessoria em Geral</t>
        </is>
      </c>
      <c r="N1199" t="inlineStr">
        <is>
          <t>457</t>
        </is>
      </c>
      <c r="O1199" t="inlineStr">
        <is>
          <t>Documentação Aprovada</t>
        </is>
      </c>
      <c r="P1199" t="inlineStr">
        <is>
          <t>Aprovado Diretoria</t>
        </is>
      </c>
      <c r="Q1199" t="inlineStr">
        <is>
          <t>Aprovado Caixa</t>
        </is>
      </c>
      <c r="R1199" t="inlineStr">
        <is>
          <t>Pago</t>
        </is>
      </c>
      <c r="S1199" t="n">
        <v>182</v>
      </c>
      <c r="T1199" t="inlineStr">
        <is>
          <t>Love - Shibari - Kamino</t>
        </is>
      </c>
    </row>
    <row r="1200">
      <c r="A1200" t="n">
        <v>154522</v>
      </c>
      <c r="B1200" t="n">
        <v>128</v>
      </c>
      <c r="C1200" t="inlineStr">
        <is>
          <t>Love Cabaret</t>
        </is>
      </c>
      <c r="D1200" t="inlineStr">
        <is>
          <t>SEGUROS SURA S/A</t>
        </is>
      </c>
      <c r="E1200" t="n">
        <v>229.29</v>
      </c>
      <c r="F1200" s="27" t="n">
        <v>45887</v>
      </c>
      <c r="G1200" s="27" t="n">
        <v>45887</v>
      </c>
      <c r="H1200" s="27" t="n">
        <v>45887</v>
      </c>
      <c r="I1200" s="27" t="n">
        <v>45882</v>
      </c>
      <c r="J1200" s="27" t="n"/>
      <c r="K1200" t="inlineStr">
        <is>
          <t>Transferência Bancária ou Pix</t>
        </is>
      </c>
      <c r="L1200" t="inlineStr">
        <is>
          <t>Custo de Ocupação</t>
        </is>
      </c>
      <c r="M1200" t="inlineStr">
        <is>
          <t>Seguro Patrimonial</t>
        </is>
      </c>
      <c r="N1200" t="inlineStr">
        <is>
          <t>PARC 1/6</t>
        </is>
      </c>
      <c r="O1200" t="inlineStr">
        <is>
          <t>Documentação Aprovada</t>
        </is>
      </c>
      <c r="P1200" t="inlineStr">
        <is>
          <t>Aprovado Diretoria</t>
        </is>
      </c>
      <c r="Q1200" t="inlineStr">
        <is>
          <t>Aprovado Caixa</t>
        </is>
      </c>
      <c r="R1200" t="inlineStr">
        <is>
          <t>Pago</t>
        </is>
      </c>
      <c r="S1200" t="n">
        <v>182</v>
      </c>
      <c r="T1200" t="inlineStr">
        <is>
          <t>Love - Shibari - Kamino</t>
        </is>
      </c>
    </row>
    <row r="1201">
      <c r="A1201" t="n">
        <v>150354</v>
      </c>
      <c r="B1201" t="n">
        <v>128</v>
      </c>
      <c r="C1201" t="inlineStr">
        <is>
          <t>Love Cabaret</t>
        </is>
      </c>
      <c r="D1201" t="inlineStr">
        <is>
          <t>PORTO SEGURO SEGURO SAUDE SA</t>
        </is>
      </c>
      <c r="E1201" t="n">
        <v>102.42</v>
      </c>
      <c r="F1201" s="27" t="n">
        <v>45887</v>
      </c>
      <c r="G1201" s="27" t="n">
        <v>45887</v>
      </c>
      <c r="H1201" s="27" t="n">
        <v>45887</v>
      </c>
      <c r="I1201" s="27" t="n">
        <v>45870</v>
      </c>
      <c r="J1201" s="27" t="n">
        <v>45870</v>
      </c>
      <c r="K1201" t="inlineStr">
        <is>
          <t>Boleto Bancário</t>
        </is>
      </c>
      <c r="L1201" t="inlineStr">
        <is>
          <t>Mão de Obra - Benefícios</t>
        </is>
      </c>
      <c r="M1201" t="inlineStr">
        <is>
          <t xml:space="preserve">  -  Seguro de Vida</t>
        </is>
      </c>
      <c r="N1201" t="inlineStr">
        <is>
          <t>6795854616</t>
        </is>
      </c>
      <c r="O1201" t="inlineStr">
        <is>
          <t>Documentação Aprovada</t>
        </is>
      </c>
      <c r="P1201" t="inlineStr">
        <is>
          <t>Aprovado Diretoria</t>
        </is>
      </c>
      <c r="Q1201" t="inlineStr">
        <is>
          <t>Aprovado Caixa</t>
        </is>
      </c>
      <c r="R1201" t="inlineStr">
        <is>
          <t>Pago</t>
        </is>
      </c>
      <c r="S1201" t="n">
        <v>182</v>
      </c>
      <c r="T1201" t="inlineStr">
        <is>
          <t>Love - Shibari - Kamino</t>
        </is>
      </c>
    </row>
    <row r="1202">
      <c r="A1202" t="n">
        <v>150876</v>
      </c>
      <c r="B1202" t="n">
        <v>128</v>
      </c>
      <c r="C1202" t="inlineStr">
        <is>
          <t>Love Cabaret</t>
        </is>
      </c>
      <c r="D1202" t="inlineStr">
        <is>
          <t>FGTS</t>
        </is>
      </c>
      <c r="E1202" t="n">
        <v>362.16</v>
      </c>
      <c r="F1202" s="27" t="n">
        <v>45889</v>
      </c>
      <c r="G1202" s="27" t="n">
        <v>45887</v>
      </c>
      <c r="H1202" s="27" t="n">
        <v>45887</v>
      </c>
      <c r="I1202" s="27" t="n">
        <v>45839</v>
      </c>
      <c r="J1202" s="27" t="n">
        <v>45873</v>
      </c>
      <c r="K1202" t="inlineStr">
        <is>
          <t>Transferência Bancária ou Pix</t>
        </is>
      </c>
      <c r="L1202" t="inlineStr">
        <is>
          <t>Mão de Obra - Encargos e Provisões</t>
        </is>
      </c>
      <c r="M1202" t="inlineStr">
        <is>
          <t xml:space="preserve">  -  FGTS</t>
        </is>
      </c>
      <c r="N1202" t="inlineStr">
        <is>
          <t>36216 072025</t>
        </is>
      </c>
      <c r="O1202" t="inlineStr">
        <is>
          <t>Documentação Aprovada</t>
        </is>
      </c>
      <c r="P1202" t="inlineStr">
        <is>
          <t>Aprovado Diretoria</t>
        </is>
      </c>
      <c r="Q1202" t="inlineStr">
        <is>
          <t>Aprovado Caixa</t>
        </is>
      </c>
      <c r="R1202" t="inlineStr">
        <is>
          <t>Pago</t>
        </is>
      </c>
      <c r="S1202" t="n">
        <v>182</v>
      </c>
      <c r="T1202" t="inlineStr">
        <is>
          <t>Love - Shibari - Kamino</t>
        </is>
      </c>
    </row>
    <row r="1203">
      <c r="A1203" t="n">
        <v>150879</v>
      </c>
      <c r="B1203" t="n">
        <v>128</v>
      </c>
      <c r="C1203" t="inlineStr">
        <is>
          <t>Love Cabaret</t>
        </is>
      </c>
      <c r="D1203" t="inlineStr">
        <is>
          <t>INSS</t>
        </is>
      </c>
      <c r="E1203" t="n">
        <v>443.36</v>
      </c>
      <c r="F1203" s="27" t="n">
        <v>45889</v>
      </c>
      <c r="G1203" s="27" t="n">
        <v>45887</v>
      </c>
      <c r="H1203" s="27" t="n">
        <v>45887</v>
      </c>
      <c r="I1203" s="27" t="n">
        <v>45839</v>
      </c>
      <c r="J1203" s="27" t="n">
        <v>45873</v>
      </c>
      <c r="K1203" t="inlineStr">
        <is>
          <t>Boleto Bancário</t>
        </is>
      </c>
      <c r="L1203" t="inlineStr">
        <is>
          <t>Mão de Obra - Encargos e Provisões</t>
        </is>
      </c>
      <c r="M1203" t="inlineStr">
        <is>
          <t xml:space="preserve">  -  INSS Segurados</t>
        </is>
      </c>
      <c r="N1203" t="inlineStr">
        <is>
          <t>44336 072025</t>
        </is>
      </c>
      <c r="O1203" t="inlineStr">
        <is>
          <t>Documentação Aprovada</t>
        </is>
      </c>
      <c r="P1203" t="inlineStr">
        <is>
          <t>Aprovado Diretoria</t>
        </is>
      </c>
      <c r="Q1203" t="inlineStr">
        <is>
          <t>Aprovado Caixa</t>
        </is>
      </c>
      <c r="R1203" t="inlineStr">
        <is>
          <t>Pago</t>
        </is>
      </c>
      <c r="S1203" t="n">
        <v>182</v>
      </c>
      <c r="T1203" t="inlineStr">
        <is>
          <t>Love - Shibari - Kamino</t>
        </is>
      </c>
    </row>
    <row r="1204">
      <c r="A1204" t="n">
        <v>150887</v>
      </c>
      <c r="B1204" t="n">
        <v>128</v>
      </c>
      <c r="C1204" t="inlineStr">
        <is>
          <t>Love Cabaret</t>
        </is>
      </c>
      <c r="D1204" t="inlineStr">
        <is>
          <t>INSS</t>
        </is>
      </c>
      <c r="E1204" t="n">
        <v>1303.76</v>
      </c>
      <c r="F1204" s="27" t="n">
        <v>45889</v>
      </c>
      <c r="G1204" s="27" t="n">
        <v>45887</v>
      </c>
      <c r="H1204" s="27" t="n">
        <v>45887</v>
      </c>
      <c r="I1204" s="27" t="n">
        <v>45839</v>
      </c>
      <c r="J1204" s="27" t="n">
        <v>45873</v>
      </c>
      <c r="K1204" t="inlineStr">
        <is>
          <t>Boleto Bancário</t>
        </is>
      </c>
      <c r="L1204" t="inlineStr">
        <is>
          <t>Mão de Obra - Encargos e Provisões</t>
        </is>
      </c>
      <c r="M1204" t="inlineStr">
        <is>
          <t xml:space="preserve">  -  INSS Patronal</t>
        </is>
      </c>
      <c r="N1204" t="inlineStr">
        <is>
          <t>130376 072025</t>
        </is>
      </c>
      <c r="O1204" t="inlineStr">
        <is>
          <t>Documentação Aprovada</t>
        </is>
      </c>
      <c r="P1204" t="inlineStr">
        <is>
          <t>Aprovado Diretoria</t>
        </is>
      </c>
      <c r="Q1204" t="inlineStr">
        <is>
          <t>Aprovado Caixa</t>
        </is>
      </c>
      <c r="R1204" t="inlineStr">
        <is>
          <t>Pago</t>
        </is>
      </c>
      <c r="S1204" t="n">
        <v>182</v>
      </c>
      <c r="T1204" t="inlineStr">
        <is>
          <t>Love - Shibari - Kamino</t>
        </is>
      </c>
    </row>
    <row r="1205">
      <c r="A1205" t="n">
        <v>150740</v>
      </c>
      <c r="B1205" t="n">
        <v>128</v>
      </c>
      <c r="C1205" t="inlineStr">
        <is>
          <t>Love Cabaret</t>
        </is>
      </c>
      <c r="D1205" t="inlineStr">
        <is>
          <t>STEPHANY RODRIGUES DA SILVA</t>
        </is>
      </c>
      <c r="E1205" t="n">
        <v>400</v>
      </c>
      <c r="F1205" s="27" t="n">
        <v>45887</v>
      </c>
      <c r="G1205" s="27" t="n">
        <v>45887</v>
      </c>
      <c r="H1205" s="27" t="n">
        <v>45887</v>
      </c>
      <c r="I1205" s="27" t="n">
        <v>45869</v>
      </c>
      <c r="J1205" s="27" t="n">
        <v>45873</v>
      </c>
      <c r="K1205" t="inlineStr">
        <is>
          <t>Transferência Bancária ou Pix</t>
        </is>
      </c>
      <c r="L1205" t="inlineStr">
        <is>
          <t>Custos Artístico Geral</t>
        </is>
      </c>
      <c r="M1205" t="inlineStr">
        <is>
          <t>Cachê de Músicos e Artistas</t>
        </is>
      </c>
      <c r="N1205" t="inlineStr">
        <is>
          <t>73</t>
        </is>
      </c>
      <c r="O1205" t="inlineStr">
        <is>
          <t>Documentação Aprovada</t>
        </is>
      </c>
      <c r="P1205" t="inlineStr">
        <is>
          <t>Aprovado Diretoria</t>
        </is>
      </c>
      <c r="Q1205" t="inlineStr">
        <is>
          <t>Aprovado Caixa</t>
        </is>
      </c>
      <c r="R1205" t="inlineStr">
        <is>
          <t>Pago</t>
        </is>
      </c>
      <c r="S1205" t="n">
        <v>182</v>
      </c>
      <c r="T1205" t="inlineStr">
        <is>
          <t>Love - Shibari - Kamino</t>
        </is>
      </c>
    </row>
    <row r="1206">
      <c r="A1206" t="n">
        <v>153641</v>
      </c>
      <c r="B1206" t="n">
        <v>128</v>
      </c>
      <c r="C1206" t="inlineStr">
        <is>
          <t>Love Cabaret</t>
        </is>
      </c>
      <c r="D1206" t="inlineStr">
        <is>
          <t xml:space="preserve">FORTE ALIMENTOS COM. IMPORTAÇÃO LTDA </t>
        </is>
      </c>
      <c r="E1206" t="n">
        <v>849.86</v>
      </c>
      <c r="F1206" s="27" t="n">
        <v>45888</v>
      </c>
      <c r="G1206" s="27" t="n">
        <v>45887</v>
      </c>
      <c r="H1206" s="27" t="n">
        <v>45887</v>
      </c>
      <c r="I1206" s="27" t="n">
        <v>45873</v>
      </c>
      <c r="J1206" s="27" t="n">
        <v>45877</v>
      </c>
      <c r="K1206" t="inlineStr">
        <is>
          <t>Boleto Bancário</t>
        </is>
      </c>
      <c r="L1206" t="inlineStr">
        <is>
          <t>Custo Mercadoria Vendida</t>
        </is>
      </c>
      <c r="M1206" t="inlineStr">
        <is>
          <t>Insumos - Alimentos</t>
        </is>
      </c>
      <c r="N1206" t="inlineStr">
        <is>
          <t>325226</t>
        </is>
      </c>
      <c r="O1206" t="inlineStr">
        <is>
          <t>Documentação Aprovada</t>
        </is>
      </c>
      <c r="P1206" t="inlineStr">
        <is>
          <t>Aprovado Diretoria</t>
        </is>
      </c>
      <c r="Q1206" t="inlineStr">
        <is>
          <t>Aprovado Caixa</t>
        </is>
      </c>
      <c r="R1206" t="inlineStr">
        <is>
          <t>Pago</t>
        </is>
      </c>
      <c r="S1206" t="n">
        <v>182</v>
      </c>
      <c r="T1206" t="inlineStr">
        <is>
          <t>Love - Shibari - Kamino</t>
        </is>
      </c>
    </row>
    <row r="1207">
      <c r="A1207" t="n">
        <v>153651</v>
      </c>
      <c r="B1207" t="n">
        <v>128</v>
      </c>
      <c r="C1207" t="inlineStr">
        <is>
          <t>Love Cabaret</t>
        </is>
      </c>
      <c r="D1207" t="inlineStr">
        <is>
          <t>HORTICLEAN DISTRIBUIDORA DE HORTIFRUTI LTDA</t>
        </is>
      </c>
      <c r="E1207" t="n">
        <v>348.3</v>
      </c>
      <c r="F1207" s="27" t="n">
        <v>45888</v>
      </c>
      <c r="G1207" s="27" t="n">
        <v>45887</v>
      </c>
      <c r="H1207" s="27" t="n">
        <v>45887</v>
      </c>
      <c r="I1207" s="27" t="n">
        <v>45874</v>
      </c>
      <c r="J1207" s="27" t="n">
        <v>45877</v>
      </c>
      <c r="K1207" t="inlineStr">
        <is>
          <t>Boleto Bancário</t>
        </is>
      </c>
      <c r="L1207" t="inlineStr">
        <is>
          <t>Custo Mercadoria Vendida</t>
        </is>
      </c>
      <c r="M1207" t="inlineStr">
        <is>
          <t>Insumos - Alimentos</t>
        </is>
      </c>
      <c r="N1207" t="inlineStr">
        <is>
          <t>27483</t>
        </is>
      </c>
      <c r="O1207" t="inlineStr">
        <is>
          <t>Documentação Aprovada</t>
        </is>
      </c>
      <c r="P1207" t="inlineStr">
        <is>
          <t>Aprovado Diretoria</t>
        </is>
      </c>
      <c r="Q1207" t="inlineStr">
        <is>
          <t>Aprovado Caixa</t>
        </is>
      </c>
      <c r="R1207" t="inlineStr">
        <is>
          <t>Pago</t>
        </is>
      </c>
      <c r="S1207" t="n">
        <v>182</v>
      </c>
      <c r="T1207" t="inlineStr">
        <is>
          <t>Love - Shibari - Kamino</t>
        </is>
      </c>
    </row>
    <row r="1208">
      <c r="A1208" t="n">
        <v>153650</v>
      </c>
      <c r="B1208" t="n">
        <v>128</v>
      </c>
      <c r="C1208" t="inlineStr">
        <is>
          <t>Love Cabaret</t>
        </is>
      </c>
      <c r="D1208" t="inlineStr">
        <is>
          <t>CEPEL COMERCIO DE PAPEIS E EMBALAGENS EIRELI</t>
        </is>
      </c>
      <c r="E1208" t="n">
        <v>1318.88</v>
      </c>
      <c r="F1208" s="27" t="n">
        <v>45888</v>
      </c>
      <c r="G1208" s="27" t="n">
        <v>45887</v>
      </c>
      <c r="H1208" s="27" t="n">
        <v>45887</v>
      </c>
      <c r="I1208" s="27" t="n">
        <v>45873</v>
      </c>
      <c r="J1208" s="27" t="n">
        <v>45877</v>
      </c>
      <c r="K1208" t="inlineStr">
        <is>
          <t>Boleto Bancário</t>
        </is>
      </c>
      <c r="L1208" t="inlineStr">
        <is>
          <t>Utilidades</t>
        </is>
      </c>
      <c r="M1208" t="inlineStr">
        <is>
          <t>Higiene e Limpeza</t>
        </is>
      </c>
      <c r="N1208" t="inlineStr">
        <is>
          <t>245657</t>
        </is>
      </c>
      <c r="O1208" t="inlineStr">
        <is>
          <t>Documentação Aprovada</t>
        </is>
      </c>
      <c r="P1208" t="inlineStr">
        <is>
          <t>Aprovado Diretoria</t>
        </is>
      </c>
      <c r="Q1208" t="inlineStr">
        <is>
          <t>Aprovado Caixa</t>
        </is>
      </c>
      <c r="R1208" t="inlineStr">
        <is>
          <t>Pago</t>
        </is>
      </c>
      <c r="S1208" t="n">
        <v>182</v>
      </c>
      <c r="T1208" t="inlineStr">
        <is>
          <t>Love - Shibari - Kamino</t>
        </is>
      </c>
    </row>
    <row r="1209">
      <c r="A1209" t="n">
        <v>153291</v>
      </c>
      <c r="B1209" t="n">
        <v>128</v>
      </c>
      <c r="C1209" t="inlineStr">
        <is>
          <t>Love Cabaret</t>
        </is>
      </c>
      <c r="D1209" t="inlineStr">
        <is>
          <t>DTK COMERCIO DE ALIMENTOS LTDA</t>
        </is>
      </c>
      <c r="E1209" t="n">
        <v>766.55</v>
      </c>
      <c r="F1209" s="27" t="n">
        <v>45887</v>
      </c>
      <c r="G1209" s="27" t="n">
        <v>45887</v>
      </c>
      <c r="H1209" s="27" t="n">
        <v>45887</v>
      </c>
      <c r="I1209" s="27" t="n">
        <v>45866</v>
      </c>
      <c r="J1209" s="27" t="n">
        <v>45876</v>
      </c>
      <c r="K1209" t="inlineStr">
        <is>
          <t>Boleto Bancário</t>
        </is>
      </c>
      <c r="L1209" t="inlineStr">
        <is>
          <t>Custo Mercadoria Vendida</t>
        </is>
      </c>
      <c r="M1209" t="inlineStr">
        <is>
          <t>Insumos - Alimentos</t>
        </is>
      </c>
      <c r="N1209" t="inlineStr">
        <is>
          <t>37690</t>
        </is>
      </c>
      <c r="O1209" t="inlineStr">
        <is>
          <t>Documentação Aprovada</t>
        </is>
      </c>
      <c r="P1209" t="inlineStr">
        <is>
          <t>Aprovado Diretoria</t>
        </is>
      </c>
      <c r="Q1209" t="inlineStr">
        <is>
          <t>Aprovado Caixa</t>
        </is>
      </c>
      <c r="R1209" t="inlineStr">
        <is>
          <t>Pago</t>
        </is>
      </c>
      <c r="S1209" t="n">
        <v>182</v>
      </c>
      <c r="T1209" t="inlineStr">
        <is>
          <t>Love - Shibari - Kamino</t>
        </is>
      </c>
    </row>
    <row r="1210">
      <c r="A1210" t="n">
        <v>153658</v>
      </c>
      <c r="B1210" t="n">
        <v>128</v>
      </c>
      <c r="C1210" t="inlineStr">
        <is>
          <t>Love Cabaret</t>
        </is>
      </c>
      <c r="D1210" t="inlineStr">
        <is>
          <t>HNK BR IND DE BEBIDAS</t>
        </is>
      </c>
      <c r="E1210" t="n">
        <v>2079.36</v>
      </c>
      <c r="F1210" s="27" t="n">
        <v>45889</v>
      </c>
      <c r="G1210" s="27" t="n">
        <v>45887</v>
      </c>
      <c r="H1210" s="27" t="n">
        <v>45887</v>
      </c>
      <c r="I1210" s="27" t="n">
        <v>45874</v>
      </c>
      <c r="J1210" s="27" t="n">
        <v>45877</v>
      </c>
      <c r="K1210" t="inlineStr">
        <is>
          <t>Boleto Bancário</t>
        </is>
      </c>
      <c r="L1210" t="inlineStr">
        <is>
          <t>Custo Mercadoria Vendida</t>
        </is>
      </c>
      <c r="M1210" t="inlineStr">
        <is>
          <t>Insumos - Bebidas</t>
        </is>
      </c>
      <c r="N1210" t="inlineStr">
        <is>
          <t>32695</t>
        </is>
      </c>
      <c r="O1210" t="inlineStr">
        <is>
          <t>Documentação Aprovada</t>
        </is>
      </c>
      <c r="P1210" t="inlineStr">
        <is>
          <t>Aprovado Diretoria</t>
        </is>
      </c>
      <c r="Q1210" t="inlineStr">
        <is>
          <t>Aprovado Caixa</t>
        </is>
      </c>
      <c r="R1210" t="inlineStr">
        <is>
          <t>Pago</t>
        </is>
      </c>
      <c r="S1210" t="n">
        <v>182</v>
      </c>
      <c r="T1210" t="inlineStr">
        <is>
          <t>Love - Shibari - Kamino</t>
        </is>
      </c>
    </row>
    <row r="1211">
      <c r="A1211" t="n">
        <v>153647</v>
      </c>
      <c r="B1211" t="n">
        <v>128</v>
      </c>
      <c r="C1211" t="inlineStr">
        <is>
          <t>Love Cabaret</t>
        </is>
      </c>
      <c r="D1211" t="inlineStr">
        <is>
          <t xml:space="preserve">LATICINIOS FIOR DITALIA LTDA </t>
        </is>
      </c>
      <c r="E1211" t="n">
        <v>326.75</v>
      </c>
      <c r="F1211" s="27" t="n">
        <v>45889</v>
      </c>
      <c r="G1211" s="27" t="n">
        <v>45887</v>
      </c>
      <c r="H1211" s="27" t="n">
        <v>45887</v>
      </c>
      <c r="I1211" s="27" t="n">
        <v>45873</v>
      </c>
      <c r="J1211" s="27" t="n">
        <v>45877</v>
      </c>
      <c r="K1211" t="inlineStr">
        <is>
          <t>Boleto Bancário</t>
        </is>
      </c>
      <c r="L1211" t="inlineStr">
        <is>
          <t>Custo Mercadoria Vendida</t>
        </is>
      </c>
      <c r="M1211" t="inlineStr">
        <is>
          <t>Insumos - Alimentos</t>
        </is>
      </c>
      <c r="N1211" t="inlineStr">
        <is>
          <t>38133</t>
        </is>
      </c>
      <c r="O1211" t="inlineStr">
        <is>
          <t>Documentação Aprovada</t>
        </is>
      </c>
      <c r="P1211" t="inlineStr">
        <is>
          <t>Aprovado Diretoria</t>
        </is>
      </c>
      <c r="Q1211" t="inlineStr">
        <is>
          <t>Aprovado Caixa</t>
        </is>
      </c>
      <c r="R1211" t="inlineStr">
        <is>
          <t>Pago</t>
        </is>
      </c>
      <c r="S1211" t="n">
        <v>182</v>
      </c>
      <c r="T1211" t="inlineStr">
        <is>
          <t>Love - Shibari - Kamino</t>
        </is>
      </c>
    </row>
    <row r="1212">
      <c r="A1212" t="n">
        <v>153645</v>
      </c>
      <c r="B1212" t="n">
        <v>128</v>
      </c>
      <c r="C1212" t="inlineStr">
        <is>
          <t>Love Cabaret</t>
        </is>
      </c>
      <c r="D1212" t="inlineStr">
        <is>
          <t>CECILIA TSUYACO ARAKI SILVA LTDA</t>
        </is>
      </c>
      <c r="E1212" t="n">
        <v>207.11</v>
      </c>
      <c r="F1212" s="27" t="n">
        <v>45887</v>
      </c>
      <c r="G1212" s="27" t="n">
        <v>45887</v>
      </c>
      <c r="H1212" s="27" t="n">
        <v>45887</v>
      </c>
      <c r="I1212" s="27" t="n">
        <v>45873</v>
      </c>
      <c r="J1212" s="27" t="n">
        <v>45877</v>
      </c>
      <c r="K1212" t="inlineStr">
        <is>
          <t>Boleto Bancário</t>
        </is>
      </c>
      <c r="L1212" t="inlineStr">
        <is>
          <t>Custo Mercadoria Vendida</t>
        </is>
      </c>
      <c r="M1212" t="inlineStr">
        <is>
          <t>Insumos - Alimentos</t>
        </is>
      </c>
      <c r="N1212" t="inlineStr">
        <is>
          <t>375624</t>
        </is>
      </c>
      <c r="O1212" t="inlineStr">
        <is>
          <t>Documentação Aprovada</t>
        </is>
      </c>
      <c r="P1212" t="inlineStr">
        <is>
          <t>Aprovado Diretoria</t>
        </is>
      </c>
      <c r="Q1212" t="inlineStr">
        <is>
          <t>Aprovado Caixa</t>
        </is>
      </c>
      <c r="R1212" t="inlineStr">
        <is>
          <t>Pago</t>
        </is>
      </c>
      <c r="S1212" t="n">
        <v>182</v>
      </c>
      <c r="T1212" t="inlineStr">
        <is>
          <t>Love - Shibari - Kamino</t>
        </is>
      </c>
    </row>
    <row r="1213">
      <c r="A1213" t="n">
        <v>153283</v>
      </c>
      <c r="B1213" t="n">
        <v>128</v>
      </c>
      <c r="C1213" t="inlineStr">
        <is>
          <t>Love Cabaret</t>
        </is>
      </c>
      <c r="D1213" t="inlineStr">
        <is>
          <t>B.B DISTRIBUIDORA DE CARNES LTDA</t>
        </is>
      </c>
      <c r="E1213" t="n">
        <v>91.2</v>
      </c>
      <c r="F1213" s="27" t="n">
        <v>45889</v>
      </c>
      <c r="G1213" s="27" t="n">
        <v>45887</v>
      </c>
      <c r="H1213" s="27" t="n">
        <v>45887</v>
      </c>
      <c r="I1213" s="27" t="n">
        <v>45861</v>
      </c>
      <c r="J1213" s="27" t="n">
        <v>45876</v>
      </c>
      <c r="K1213" t="inlineStr">
        <is>
          <t>Boleto Bancário</t>
        </is>
      </c>
      <c r="L1213" t="inlineStr">
        <is>
          <t>Custo Mercadoria Vendida</t>
        </is>
      </c>
      <c r="M1213" t="inlineStr">
        <is>
          <t>Insumos - Alimentos</t>
        </is>
      </c>
      <c r="N1213" t="inlineStr">
        <is>
          <t>398243</t>
        </is>
      </c>
      <c r="O1213" t="inlineStr">
        <is>
          <t>Documentação Aprovada</t>
        </is>
      </c>
      <c r="P1213" t="inlineStr">
        <is>
          <t>Aprovado Diretoria</t>
        </is>
      </c>
      <c r="Q1213" t="inlineStr">
        <is>
          <t>Aprovado Caixa</t>
        </is>
      </c>
      <c r="R1213" t="inlineStr">
        <is>
          <t>Pago</t>
        </is>
      </c>
      <c r="S1213" t="n">
        <v>182</v>
      </c>
      <c r="T1213" t="inlineStr">
        <is>
          <t>Love - Shibari - Kamino</t>
        </is>
      </c>
    </row>
    <row r="1214">
      <c r="A1214" t="n">
        <v>153642</v>
      </c>
      <c r="B1214" t="n">
        <v>128</v>
      </c>
      <c r="C1214" t="inlineStr">
        <is>
          <t>Love Cabaret</t>
        </is>
      </c>
      <c r="D1214" t="inlineStr">
        <is>
          <t>CIUFFI HORTIFRUTI EIRELI</t>
        </is>
      </c>
      <c r="E1214" t="n">
        <v>81.02</v>
      </c>
      <c r="F1214" s="27" t="n">
        <v>45888</v>
      </c>
      <c r="G1214" s="27" t="n">
        <v>45887</v>
      </c>
      <c r="H1214" s="27" t="n">
        <v>45887</v>
      </c>
      <c r="I1214" s="27" t="n">
        <v>45873</v>
      </c>
      <c r="J1214" s="27" t="n">
        <v>45877</v>
      </c>
      <c r="K1214" t="inlineStr">
        <is>
          <t>Boleto Bancário</t>
        </is>
      </c>
      <c r="L1214" t="inlineStr">
        <is>
          <t>Custo Mercadoria Vendida</t>
        </is>
      </c>
      <c r="M1214" t="inlineStr">
        <is>
          <t>Insumos - Alimentos</t>
        </is>
      </c>
      <c r="N1214" t="inlineStr">
        <is>
          <t>25713</t>
        </is>
      </c>
      <c r="O1214" t="inlineStr">
        <is>
          <t>Documentação Aprovada</t>
        </is>
      </c>
      <c r="P1214" t="inlineStr">
        <is>
          <t>Aprovado Diretoria</t>
        </is>
      </c>
      <c r="Q1214" t="inlineStr">
        <is>
          <t>Aprovado Caixa</t>
        </is>
      </c>
      <c r="R1214" t="inlineStr">
        <is>
          <t>Pago</t>
        </is>
      </c>
      <c r="S1214" t="n">
        <v>182</v>
      </c>
      <c r="T1214" t="inlineStr">
        <is>
          <t>Love - Shibari - Kamino</t>
        </is>
      </c>
    </row>
    <row r="1215">
      <c r="A1215" t="n">
        <v>153640</v>
      </c>
      <c r="B1215" t="n">
        <v>128</v>
      </c>
      <c r="C1215" t="inlineStr">
        <is>
          <t>Love Cabaret</t>
        </is>
      </c>
      <c r="D1215" t="inlineStr">
        <is>
          <t xml:space="preserve">DISTRIBUIDORA DE CARNES CANTAREIRA </t>
        </is>
      </c>
      <c r="E1215" t="n">
        <v>268.32</v>
      </c>
      <c r="F1215" s="27" t="n">
        <v>45887</v>
      </c>
      <c r="G1215" s="27" t="n">
        <v>45887</v>
      </c>
      <c r="H1215" s="27" t="n">
        <v>45887</v>
      </c>
      <c r="I1215" s="27" t="n">
        <v>45874</v>
      </c>
      <c r="J1215" s="27" t="n">
        <v>45877</v>
      </c>
      <c r="K1215" t="inlineStr">
        <is>
          <t>Boleto Bancário</t>
        </is>
      </c>
      <c r="L1215" t="inlineStr">
        <is>
          <t>Custo Mercadoria Vendida</t>
        </is>
      </c>
      <c r="M1215" t="inlineStr">
        <is>
          <t>Insumos - Alimentos</t>
        </is>
      </c>
      <c r="N1215" t="inlineStr">
        <is>
          <t>44037</t>
        </is>
      </c>
      <c r="O1215" t="inlineStr">
        <is>
          <t>Documentação Aprovada</t>
        </is>
      </c>
      <c r="P1215" t="inlineStr">
        <is>
          <t>Aprovado Diretoria</t>
        </is>
      </c>
      <c r="Q1215" t="inlineStr">
        <is>
          <t>Aprovado Caixa</t>
        </is>
      </c>
      <c r="R1215" t="inlineStr">
        <is>
          <t>Pago</t>
        </is>
      </c>
      <c r="S1215" t="n">
        <v>182</v>
      </c>
      <c r="T1215" t="inlineStr">
        <is>
          <t>Love - Shibari - Kamino</t>
        </is>
      </c>
    </row>
    <row r="1216">
      <c r="A1216" t="n">
        <v>153639</v>
      </c>
      <c r="B1216" t="n">
        <v>128</v>
      </c>
      <c r="C1216" t="inlineStr">
        <is>
          <t>Love Cabaret</t>
        </is>
      </c>
      <c r="D1216" t="inlineStr">
        <is>
          <t>ASSAZ ORGANICA INDUSTRIA E COMERCIO DE ALIMENTOS LTDA</t>
        </is>
      </c>
      <c r="E1216" t="n">
        <v>30</v>
      </c>
      <c r="F1216" s="27" t="n">
        <v>45889</v>
      </c>
      <c r="G1216" s="27" t="n">
        <v>45887</v>
      </c>
      <c r="H1216" s="27" t="n">
        <v>45887</v>
      </c>
      <c r="I1216" s="27" t="n">
        <v>45874</v>
      </c>
      <c r="J1216" s="27" t="n">
        <v>45877</v>
      </c>
      <c r="K1216" t="inlineStr">
        <is>
          <t>Boleto Bancário</t>
        </is>
      </c>
      <c r="L1216" t="inlineStr">
        <is>
          <t>Custo Mercadoria Vendida</t>
        </is>
      </c>
      <c r="M1216" t="inlineStr">
        <is>
          <t>Insumos - Alimentos</t>
        </is>
      </c>
      <c r="N1216" t="inlineStr">
        <is>
          <t>22263</t>
        </is>
      </c>
      <c r="O1216" t="inlineStr">
        <is>
          <t>Documentação Aprovada</t>
        </is>
      </c>
      <c r="P1216" t="inlineStr">
        <is>
          <t>Aprovado Diretoria</t>
        </is>
      </c>
      <c r="Q1216" t="inlineStr">
        <is>
          <t>Aprovado Caixa</t>
        </is>
      </c>
      <c r="R1216" t="inlineStr">
        <is>
          <t>Pago</t>
        </is>
      </c>
      <c r="S1216" t="n">
        <v>182</v>
      </c>
      <c r="T1216" t="inlineStr">
        <is>
          <t>Love - Shibari - Kamino</t>
        </is>
      </c>
    </row>
    <row r="1217">
      <c r="A1217" t="n">
        <v>153664</v>
      </c>
      <c r="B1217" t="n">
        <v>128</v>
      </c>
      <c r="C1217" t="inlineStr">
        <is>
          <t>Love Cabaret</t>
        </is>
      </c>
      <c r="D1217" t="inlineStr">
        <is>
          <t>PSSS LTDA</t>
        </is>
      </c>
      <c r="E1217" t="n">
        <v>446.08</v>
      </c>
      <c r="F1217" s="27" t="n">
        <v>45889</v>
      </c>
      <c r="G1217" s="27" t="n">
        <v>45887</v>
      </c>
      <c r="H1217" s="27" t="n">
        <v>45887</v>
      </c>
      <c r="I1217" s="27" t="n">
        <v>45875</v>
      </c>
      <c r="J1217" s="27" t="n">
        <v>45877</v>
      </c>
      <c r="K1217" t="inlineStr">
        <is>
          <t>Boleto Bancário</t>
        </is>
      </c>
      <c r="L1217" t="inlineStr">
        <is>
          <t>Utilidades</t>
        </is>
      </c>
      <c r="M1217" t="inlineStr">
        <is>
          <t>Higiene e Limpeza</t>
        </is>
      </c>
      <c r="N1217" t="inlineStr">
        <is>
          <t>2063</t>
        </is>
      </c>
      <c r="O1217" t="inlineStr">
        <is>
          <t>Documentação Aprovada</t>
        </is>
      </c>
      <c r="P1217" t="inlineStr">
        <is>
          <t>Aprovado Diretoria</t>
        </is>
      </c>
      <c r="Q1217" t="inlineStr">
        <is>
          <t>Aprovado Caixa</t>
        </is>
      </c>
      <c r="R1217" t="inlineStr">
        <is>
          <t>Pago</t>
        </is>
      </c>
      <c r="S1217" t="n">
        <v>182</v>
      </c>
      <c r="T1217" t="inlineStr">
        <is>
          <t>Love - Shibari - Kamino</t>
        </is>
      </c>
    </row>
    <row r="1218">
      <c r="A1218" t="n">
        <v>153623</v>
      </c>
      <c r="B1218" t="n">
        <v>128</v>
      </c>
      <c r="C1218" t="inlineStr">
        <is>
          <t>Love Cabaret</t>
        </is>
      </c>
      <c r="D1218" t="inlineStr">
        <is>
          <t>WPP COMERCIO DE CARNES LTDA</t>
        </is>
      </c>
      <c r="E1218" t="n">
        <v>958.52</v>
      </c>
      <c r="F1218" s="27" t="n">
        <v>45888</v>
      </c>
      <c r="G1218" s="27" t="n">
        <v>45887</v>
      </c>
      <c r="H1218" s="27" t="n">
        <v>45887</v>
      </c>
      <c r="I1218" s="27" t="n">
        <v>45874</v>
      </c>
      <c r="J1218" s="27" t="n">
        <v>45877</v>
      </c>
      <c r="K1218" t="inlineStr">
        <is>
          <t>Boleto Bancário</t>
        </is>
      </c>
      <c r="L1218" t="inlineStr">
        <is>
          <t>Custo Mercadoria Vendida</t>
        </is>
      </c>
      <c r="M1218" t="inlineStr">
        <is>
          <t>Insumos - Alimentos</t>
        </is>
      </c>
      <c r="N1218" t="inlineStr">
        <is>
          <t>73790</t>
        </is>
      </c>
      <c r="O1218" t="inlineStr">
        <is>
          <t>Documentação Aprovada</t>
        </is>
      </c>
      <c r="P1218" t="inlineStr">
        <is>
          <t>Aprovado Diretoria</t>
        </is>
      </c>
      <c r="Q1218" t="inlineStr">
        <is>
          <t>Aprovado Caixa</t>
        </is>
      </c>
      <c r="R1218" t="inlineStr">
        <is>
          <t>Pago</t>
        </is>
      </c>
      <c r="S1218" t="n">
        <v>182</v>
      </c>
      <c r="T1218" t="inlineStr">
        <is>
          <t>Love - Shibari - Kamino</t>
        </is>
      </c>
    </row>
    <row r="1219">
      <c r="A1219" t="n">
        <v>153235</v>
      </c>
      <c r="B1219" t="n">
        <v>128</v>
      </c>
      <c r="C1219" t="inlineStr">
        <is>
          <t>Love Cabaret</t>
        </is>
      </c>
      <c r="D1219" t="inlineStr">
        <is>
          <t>B.B DISTRIBUIDORA DE CARNES LTDA</t>
        </is>
      </c>
      <c r="E1219" t="n">
        <v>85.2</v>
      </c>
      <c r="F1219" s="27" t="n">
        <v>45888</v>
      </c>
      <c r="G1219" s="27" t="n">
        <v>45887</v>
      </c>
      <c r="H1219" s="27" t="n">
        <v>45887</v>
      </c>
      <c r="I1219" s="27" t="n">
        <v>45860</v>
      </c>
      <c r="J1219" s="27" t="n">
        <v>45876</v>
      </c>
      <c r="K1219" t="inlineStr">
        <is>
          <t>Boleto Bancário</t>
        </is>
      </c>
      <c r="L1219" t="inlineStr">
        <is>
          <t>Custo Mercadoria Vendida</t>
        </is>
      </c>
      <c r="M1219" t="inlineStr">
        <is>
          <t>Insumos - Alimentos</t>
        </is>
      </c>
      <c r="N1219" t="inlineStr">
        <is>
          <t>398166</t>
        </is>
      </c>
      <c r="O1219" t="inlineStr">
        <is>
          <t>Documentação Aprovada</t>
        </is>
      </c>
      <c r="P1219" t="inlineStr">
        <is>
          <t>Aprovado Diretoria</t>
        </is>
      </c>
      <c r="Q1219" t="inlineStr">
        <is>
          <t>Aprovado Caixa</t>
        </is>
      </c>
      <c r="R1219" t="inlineStr">
        <is>
          <t>Pago</t>
        </is>
      </c>
      <c r="S1219" t="n">
        <v>182</v>
      </c>
      <c r="T1219" t="inlineStr">
        <is>
          <t>Love - Shibari - Kamino</t>
        </is>
      </c>
    </row>
    <row r="1220">
      <c r="A1220" t="n">
        <v>153456</v>
      </c>
      <c r="B1220" t="n">
        <v>128</v>
      </c>
      <c r="C1220" t="inlineStr">
        <is>
          <t>Love Cabaret</t>
        </is>
      </c>
      <c r="D1220" t="inlineStr">
        <is>
          <t>CG FOOD´S DISTRIBUIDORA DE ALIMENTOS LTDA</t>
        </is>
      </c>
      <c r="E1220" t="n">
        <v>691.4</v>
      </c>
      <c r="F1220" s="27" t="n">
        <v>45887</v>
      </c>
      <c r="G1220" s="27" t="n">
        <v>45887</v>
      </c>
      <c r="H1220" s="27" t="n">
        <v>45887</v>
      </c>
      <c r="I1220" s="27" t="n">
        <v>45866</v>
      </c>
      <c r="J1220" s="27" t="n">
        <v>45876</v>
      </c>
      <c r="K1220" t="inlineStr">
        <is>
          <t>Boleto Bancário</t>
        </is>
      </c>
      <c r="L1220" t="inlineStr">
        <is>
          <t>Custo Mercadoria Vendida</t>
        </is>
      </c>
      <c r="M1220" t="inlineStr">
        <is>
          <t>Insumos - Alimentos</t>
        </is>
      </c>
      <c r="N1220" t="inlineStr">
        <is>
          <t>158912</t>
        </is>
      </c>
      <c r="O1220" t="inlineStr">
        <is>
          <t>Documentação Aprovada</t>
        </is>
      </c>
      <c r="P1220" t="inlineStr">
        <is>
          <t>Aprovado Diretoria</t>
        </is>
      </c>
      <c r="Q1220" t="inlineStr">
        <is>
          <t>Aprovado Caixa</t>
        </is>
      </c>
      <c r="R1220" t="inlineStr">
        <is>
          <t>Pago</t>
        </is>
      </c>
      <c r="S1220" t="n">
        <v>182</v>
      </c>
      <c r="T1220" t="inlineStr">
        <is>
          <t>Love - Shibari - Kamino</t>
        </is>
      </c>
    </row>
    <row r="1221">
      <c r="A1221" t="n">
        <v>153278</v>
      </c>
      <c r="B1221" t="n">
        <v>128</v>
      </c>
      <c r="C1221" t="inlineStr">
        <is>
          <t>Love Cabaret</t>
        </is>
      </c>
      <c r="D1221" t="inlineStr">
        <is>
          <t>KING COMERCIO E IMPORTACAO DE BEBIDAS LTDA</t>
        </is>
      </c>
      <c r="E1221" t="n">
        <v>2465.54</v>
      </c>
      <c r="F1221" s="27" t="n">
        <v>45887</v>
      </c>
      <c r="G1221" s="27" t="n">
        <v>45887</v>
      </c>
      <c r="H1221" s="27" t="n">
        <v>45887</v>
      </c>
      <c r="I1221" s="27" t="n">
        <v>45859</v>
      </c>
      <c r="J1221" s="27" t="n">
        <v>45876</v>
      </c>
      <c r="K1221" t="inlineStr">
        <is>
          <t>Boleto Bancário</t>
        </is>
      </c>
      <c r="L1221" t="inlineStr">
        <is>
          <t>Custo Mercadoria Vendida</t>
        </is>
      </c>
      <c r="M1221" t="inlineStr">
        <is>
          <t>Insumos - Bebidas</t>
        </is>
      </c>
      <c r="N1221" t="inlineStr">
        <is>
          <t>119549</t>
        </is>
      </c>
      <c r="O1221" t="inlineStr">
        <is>
          <t>Documentação Aprovada</t>
        </is>
      </c>
      <c r="P1221" t="inlineStr">
        <is>
          <t>Aprovado Diretoria</t>
        </is>
      </c>
      <c r="Q1221" t="inlineStr">
        <is>
          <t>Aprovado Caixa</t>
        </is>
      </c>
      <c r="R1221" t="inlineStr">
        <is>
          <t>Pago</t>
        </is>
      </c>
      <c r="S1221" t="n">
        <v>182</v>
      </c>
      <c r="T1221" t="inlineStr">
        <is>
          <t>Love - Shibari - Kamino</t>
        </is>
      </c>
    </row>
    <row r="1222">
      <c r="A1222" t="n">
        <v>153631</v>
      </c>
      <c r="B1222" t="n">
        <v>128</v>
      </c>
      <c r="C1222" t="inlineStr">
        <is>
          <t>Love Cabaret</t>
        </is>
      </c>
      <c r="D1222" t="inlineStr">
        <is>
          <t>NOVA COMERCIAL DO PEIXE LTDA</t>
        </is>
      </c>
      <c r="E1222" t="n">
        <v>588</v>
      </c>
      <c r="F1222" s="27" t="n">
        <v>45887</v>
      </c>
      <c r="G1222" s="27" t="n">
        <v>45887</v>
      </c>
      <c r="H1222" s="27" t="n">
        <v>45887</v>
      </c>
      <c r="I1222" s="27" t="n">
        <v>45873</v>
      </c>
      <c r="J1222" s="27" t="n">
        <v>45877</v>
      </c>
      <c r="K1222" t="inlineStr">
        <is>
          <t>Boleto Bancário</t>
        </is>
      </c>
      <c r="L1222" t="inlineStr">
        <is>
          <t>Custo Mercadoria Vendida</t>
        </is>
      </c>
      <c r="M1222" t="inlineStr">
        <is>
          <t>Insumos - Alimentos</t>
        </is>
      </c>
      <c r="N1222" t="inlineStr">
        <is>
          <t>26731</t>
        </is>
      </c>
      <c r="O1222" t="inlineStr">
        <is>
          <t>Documentação Aprovada</t>
        </is>
      </c>
      <c r="P1222" t="inlineStr">
        <is>
          <t>Aprovado Diretoria</t>
        </is>
      </c>
      <c r="Q1222" t="inlineStr">
        <is>
          <t>Aprovado Caixa</t>
        </is>
      </c>
      <c r="R1222" t="inlineStr">
        <is>
          <t>Pago</t>
        </is>
      </c>
      <c r="S1222" t="n">
        <v>182</v>
      </c>
      <c r="T1222" t="inlineStr">
        <is>
          <t>Love - Shibari - Kamino</t>
        </is>
      </c>
    </row>
    <row r="1223">
      <c r="A1223" t="n">
        <v>150938</v>
      </c>
      <c r="B1223" t="n">
        <v>128</v>
      </c>
      <c r="C1223" t="inlineStr">
        <is>
          <t>Love Cabaret</t>
        </is>
      </c>
      <c r="D1223" t="inlineStr">
        <is>
          <t>IRRF</t>
        </is>
      </c>
      <c r="E1223" t="n">
        <v>329.82</v>
      </c>
      <c r="F1223" s="27" t="n">
        <v>45889</v>
      </c>
      <c r="G1223" s="27" t="n">
        <v>45887</v>
      </c>
      <c r="H1223" s="27" t="n">
        <v>45887</v>
      </c>
      <c r="I1223" s="27" t="n">
        <v>45839</v>
      </c>
      <c r="J1223" s="27" t="n">
        <v>45873</v>
      </c>
      <c r="K1223" t="inlineStr">
        <is>
          <t>Boleto Bancário</t>
        </is>
      </c>
      <c r="L1223" t="inlineStr">
        <is>
          <t>Mão de Obra - Encargos e Provisões</t>
        </is>
      </c>
      <c r="M1223" t="inlineStr">
        <is>
          <t>IRRF - MDO CLT - Salário</t>
        </is>
      </c>
      <c r="N1223" t="inlineStr">
        <is>
          <t>32982 072025</t>
        </is>
      </c>
      <c r="O1223" t="inlineStr">
        <is>
          <t>Documentação Aprovada</t>
        </is>
      </c>
      <c r="P1223" t="inlineStr">
        <is>
          <t>Aprovado Diretoria</t>
        </is>
      </c>
      <c r="Q1223" t="inlineStr">
        <is>
          <t>Aprovado Caixa</t>
        </is>
      </c>
      <c r="R1223" t="inlineStr">
        <is>
          <t>Pago</t>
        </is>
      </c>
      <c r="S1223" t="n">
        <v>182</v>
      </c>
      <c r="T1223" t="inlineStr">
        <is>
          <t>Love - Shibari - Kamino</t>
        </is>
      </c>
    </row>
    <row r="1224">
      <c r="A1224" t="n">
        <v>151399</v>
      </c>
      <c r="B1224" t="n">
        <v>128</v>
      </c>
      <c r="C1224" t="inlineStr">
        <is>
          <t>Love Cabaret</t>
        </is>
      </c>
      <c r="D1224" t="inlineStr">
        <is>
          <t>CAROLINA MATTOSO MAIA MACHADO EIRELI</t>
        </is>
      </c>
      <c r="E1224" t="n">
        <v>1500</v>
      </c>
      <c r="F1224" s="27" t="n">
        <v>45888</v>
      </c>
      <c r="G1224" s="27" t="n">
        <v>45887</v>
      </c>
      <c r="H1224" s="27" t="n">
        <v>45887</v>
      </c>
      <c r="I1224" s="27" t="n">
        <v>45873</v>
      </c>
      <c r="J1224" s="27" t="n">
        <v>45874</v>
      </c>
      <c r="K1224" t="inlineStr">
        <is>
          <t>Transferência Bancária ou Pix</t>
        </is>
      </c>
      <c r="L1224" t="inlineStr">
        <is>
          <t>Custos Artístico Geral</t>
        </is>
      </c>
      <c r="M1224" t="inlineStr">
        <is>
          <t>Cachê de Músicos e Artistas</t>
        </is>
      </c>
      <c r="N1224" t="inlineStr">
        <is>
          <t>54</t>
        </is>
      </c>
      <c r="O1224" t="inlineStr">
        <is>
          <t>Documentação Aprovada</t>
        </is>
      </c>
      <c r="P1224" t="inlineStr">
        <is>
          <t>Aprovado Diretoria</t>
        </is>
      </c>
      <c r="Q1224" t="inlineStr">
        <is>
          <t>Aprovado Caixa</t>
        </is>
      </c>
      <c r="R1224" t="inlineStr">
        <is>
          <t>Pago</t>
        </is>
      </c>
      <c r="S1224" t="n">
        <v>182</v>
      </c>
      <c r="T1224" t="inlineStr">
        <is>
          <t>Love - Shibari - Kamino</t>
        </is>
      </c>
    </row>
    <row r="1225">
      <c r="A1225" t="n">
        <v>155131</v>
      </c>
      <c r="B1225" t="n">
        <v>128</v>
      </c>
      <c r="C1225" t="inlineStr">
        <is>
          <t>Love Cabaret</t>
        </is>
      </c>
      <c r="D1225" t="inlineStr">
        <is>
          <t>CAROLINE FERREIRA DA SILVA</t>
        </is>
      </c>
      <c r="E1225" t="n">
        <v>1040.15</v>
      </c>
      <c r="F1225" s="27" t="n">
        <v>45889</v>
      </c>
      <c r="G1225" s="27" t="n">
        <v>45887</v>
      </c>
      <c r="H1225" s="27" t="n">
        <v>45887</v>
      </c>
      <c r="I1225" s="27" t="n">
        <v>45884</v>
      </c>
      <c r="J1225" s="27" t="n"/>
      <c r="K1225" t="inlineStr">
        <is>
          <t>Transferência Bancária ou Pix</t>
        </is>
      </c>
      <c r="L1225" t="inlineStr">
        <is>
          <t>Mão de Obra - Salários</t>
        </is>
      </c>
      <c r="M1225" t="inlineStr">
        <is>
          <t>MDO CLT - Salário</t>
        </is>
      </c>
      <c r="N1225" t="inlineStr">
        <is>
          <t>082025</t>
        </is>
      </c>
      <c r="O1225" t="inlineStr">
        <is>
          <t>Documentação Aprovada</t>
        </is>
      </c>
      <c r="P1225" t="inlineStr">
        <is>
          <t>Aprovado Diretoria</t>
        </is>
      </c>
      <c r="Q1225" t="inlineStr">
        <is>
          <t>Aprovado Caixa</t>
        </is>
      </c>
      <c r="R1225" t="inlineStr">
        <is>
          <t>Pago</t>
        </is>
      </c>
      <c r="S1225" t="n">
        <v>115</v>
      </c>
      <c r="T1225" t="inlineStr">
        <is>
          <t>Love - Shibari - Bradesco</t>
        </is>
      </c>
    </row>
    <row r="1226">
      <c r="A1226" t="n">
        <v>149479</v>
      </c>
      <c r="B1226" t="n">
        <v>128</v>
      </c>
      <c r="C1226" t="inlineStr">
        <is>
          <t>Love Cabaret</t>
        </is>
      </c>
      <c r="D1226" t="inlineStr">
        <is>
          <t>PRESHH ALUGUEL DE MAQUINAS LTDA</t>
        </is>
      </c>
      <c r="E1226" t="n">
        <v>198</v>
      </c>
      <c r="F1226" s="27" t="n">
        <v>45887</v>
      </c>
      <c r="G1226" s="27" t="n">
        <v>45887</v>
      </c>
      <c r="H1226" s="27" t="n">
        <v>45887</v>
      </c>
      <c r="I1226" s="27" t="n">
        <v>45867</v>
      </c>
      <c r="J1226" s="27" t="n">
        <v>45867</v>
      </c>
      <c r="K1226" t="inlineStr">
        <is>
          <t>Transferência Bancária ou Pix</t>
        </is>
      </c>
      <c r="L1226" t="inlineStr">
        <is>
          <t>Utilidades</t>
        </is>
      </c>
      <c r="M1226" t="inlineStr">
        <is>
          <t>Material de Consumo - Gelo/ Gas CO2/ Carvao /Velas</t>
        </is>
      </c>
      <c r="N1226" t="inlineStr">
        <is>
          <t>606092966</t>
        </is>
      </c>
      <c r="O1226" t="inlineStr">
        <is>
          <t>Documentação Aprovada</t>
        </is>
      </c>
      <c r="P1226" t="inlineStr">
        <is>
          <t>Aprovado Diretoria</t>
        </is>
      </c>
      <c r="Q1226" t="inlineStr">
        <is>
          <t>Aprovado Caixa</t>
        </is>
      </c>
      <c r="R1226" t="inlineStr">
        <is>
          <t>Pago</t>
        </is>
      </c>
      <c r="S1226" t="n">
        <v>182</v>
      </c>
      <c r="T1226" t="inlineStr">
        <is>
          <t>Love - Shibari - Kamino</t>
        </is>
      </c>
    </row>
    <row r="1227">
      <c r="A1227" t="n">
        <v>144041</v>
      </c>
      <c r="B1227" t="n">
        <v>128</v>
      </c>
      <c r="C1227" t="inlineStr">
        <is>
          <t>Love Cabaret</t>
        </is>
      </c>
      <c r="D1227" t="inlineStr">
        <is>
          <t>CEM ENGENHARIA DA MANUTENCAO LTDA</t>
        </is>
      </c>
      <c r="E1227" t="n">
        <v>656.77</v>
      </c>
      <c r="F1227" s="27" t="n">
        <v>45887</v>
      </c>
      <c r="G1227" s="27" t="n">
        <v>45887</v>
      </c>
      <c r="H1227" s="27" t="n">
        <v>45887</v>
      </c>
      <c r="I1227" s="27" t="n">
        <v>45840</v>
      </c>
      <c r="J1227" s="27" t="n">
        <v>45842</v>
      </c>
      <c r="K1227" t="inlineStr">
        <is>
          <t>Boleto Bancário</t>
        </is>
      </c>
      <c r="L1227" t="inlineStr">
        <is>
          <t>Manutenção</t>
        </is>
      </c>
      <c r="M1227" t="inlineStr">
        <is>
          <t>Material de Manutenção</t>
        </is>
      </c>
      <c r="N1227" t="inlineStr">
        <is>
          <t>2476</t>
        </is>
      </c>
      <c r="O1227" t="inlineStr">
        <is>
          <t>Documentação Aprovada</t>
        </is>
      </c>
      <c r="P1227" t="inlineStr">
        <is>
          <t>Aprovado Diretoria</t>
        </is>
      </c>
      <c r="Q1227" t="inlineStr">
        <is>
          <t>Aprovado Caixa</t>
        </is>
      </c>
      <c r="R1227" t="inlineStr">
        <is>
          <t>Pago</t>
        </is>
      </c>
      <c r="S1227" t="n">
        <v>182</v>
      </c>
      <c r="T1227" t="inlineStr">
        <is>
          <t>Love - Shibari - Kamino</t>
        </is>
      </c>
    </row>
    <row r="1228">
      <c r="A1228" t="n">
        <v>129466</v>
      </c>
      <c r="B1228" t="n">
        <v>128</v>
      </c>
      <c r="C1228" t="inlineStr">
        <is>
          <t>Love Cabaret</t>
        </is>
      </c>
      <c r="D1228" t="inlineStr">
        <is>
          <t>OPUS CONSULTORIA E PESQUISA LTDA</t>
        </is>
      </c>
      <c r="E1228" t="n">
        <v>300</v>
      </c>
      <c r="F1228" s="27" t="n">
        <v>45889</v>
      </c>
      <c r="G1228" s="27" t="n">
        <v>45887</v>
      </c>
      <c r="H1228" s="27" t="n">
        <v>45887</v>
      </c>
      <c r="I1228" s="27" t="n">
        <v>45875</v>
      </c>
      <c r="J1228" s="27" t="n"/>
      <c r="K1228" t="inlineStr">
        <is>
          <t>Boleto Bancário</t>
        </is>
      </c>
      <c r="L1228" t="inlineStr">
        <is>
          <t>Serviços de Terceiros</t>
        </is>
      </c>
      <c r="M1228" t="inlineStr">
        <is>
          <t>Assessoria em Geral</t>
        </is>
      </c>
      <c r="N1228" t="inlineStr">
        <is>
          <t>555</t>
        </is>
      </c>
      <c r="O1228" t="inlineStr">
        <is>
          <t>Documentação Aprovada</t>
        </is>
      </c>
      <c r="P1228" t="inlineStr">
        <is>
          <t>Aprovado Diretoria</t>
        </is>
      </c>
      <c r="Q1228" t="inlineStr">
        <is>
          <t>Aprovado Caixa</t>
        </is>
      </c>
      <c r="R1228" t="inlineStr">
        <is>
          <t>Pago</t>
        </is>
      </c>
      <c r="S1228" t="n">
        <v>182</v>
      </c>
      <c r="T1228" t="inlineStr">
        <is>
          <t>Love - Shibari - Kamino</t>
        </is>
      </c>
    </row>
    <row r="1229">
      <c r="A1229" t="n">
        <v>96886</v>
      </c>
      <c r="B1229" t="n">
        <v>128</v>
      </c>
      <c r="C1229" t="inlineStr">
        <is>
          <t>Love Cabaret</t>
        </is>
      </c>
      <c r="D1229" t="inlineStr">
        <is>
          <t>ALPHALIX AMBIENTEAL LOC/ DE EQUIPAMENTOS EIRELI</t>
        </is>
      </c>
      <c r="E1229" t="n">
        <v>1410.94</v>
      </c>
      <c r="F1229" s="27" t="n">
        <v>45888</v>
      </c>
      <c r="G1229" s="27" t="n">
        <v>45887</v>
      </c>
      <c r="H1229" s="27" t="n">
        <v>45887</v>
      </c>
      <c r="I1229" s="27" t="n">
        <v>45868</v>
      </c>
      <c r="J1229" s="27" t="n"/>
      <c r="K1229" t="inlineStr">
        <is>
          <t>Boleto Bancário</t>
        </is>
      </c>
      <c r="L1229" t="inlineStr">
        <is>
          <t>Utilidades</t>
        </is>
      </c>
      <c r="M1229" t="inlineStr">
        <is>
          <t>Coleta de lixo</t>
        </is>
      </c>
      <c r="N1229" t="inlineStr">
        <is>
          <t>48060</t>
        </is>
      </c>
      <c r="O1229" t="inlineStr">
        <is>
          <t>Documentação Aprovada</t>
        </is>
      </c>
      <c r="P1229" t="inlineStr">
        <is>
          <t>Aprovado Diretoria</t>
        </is>
      </c>
      <c r="Q1229" t="inlineStr">
        <is>
          <t>Aprovado Caixa</t>
        </is>
      </c>
      <c r="R1229" t="inlineStr">
        <is>
          <t>Pago</t>
        </is>
      </c>
      <c r="S1229" t="n">
        <v>182</v>
      </c>
      <c r="T1229" t="inlineStr">
        <is>
          <t>Love - Shibari - Kamino</t>
        </is>
      </c>
    </row>
    <row r="1230">
      <c r="A1230" t="n">
        <v>96939</v>
      </c>
      <c r="B1230" t="n">
        <v>128</v>
      </c>
      <c r="C1230" t="inlineStr">
        <is>
          <t>Love Cabaret</t>
        </is>
      </c>
      <c r="D1230" t="inlineStr">
        <is>
          <t>CIA DE SANEAMENTO BASICO DO ESTADO DE SAO PAULO SABESP</t>
        </is>
      </c>
      <c r="E1230" t="n">
        <v>153.96</v>
      </c>
      <c r="F1230" s="27" t="n">
        <v>45889</v>
      </c>
      <c r="G1230" s="27" t="n">
        <v>45887</v>
      </c>
      <c r="H1230" s="27" t="n">
        <v>45887</v>
      </c>
      <c r="I1230" s="27" t="n">
        <v>45851</v>
      </c>
      <c r="J1230" s="27" t="n"/>
      <c r="K1230" t="inlineStr">
        <is>
          <t>Boleto Bancário</t>
        </is>
      </c>
      <c r="L1230" t="inlineStr">
        <is>
          <t>Utilidades</t>
        </is>
      </c>
      <c r="M1230" t="inlineStr">
        <is>
          <t>Agua/Esgoto</t>
        </is>
      </c>
      <c r="N1230" t="inlineStr">
        <is>
          <t xml:space="preserve">202571296341 </t>
        </is>
      </c>
      <c r="O1230" t="inlineStr">
        <is>
          <t>Documentação Aprovada</t>
        </is>
      </c>
      <c r="P1230" t="inlineStr">
        <is>
          <t>Aprovado Diretoria</t>
        </is>
      </c>
      <c r="Q1230" t="inlineStr">
        <is>
          <t>Aprovado Caixa</t>
        </is>
      </c>
      <c r="R1230" t="inlineStr">
        <is>
          <t>Pago</t>
        </is>
      </c>
      <c r="S1230" t="n">
        <v>182</v>
      </c>
      <c r="T1230" t="inlineStr">
        <is>
          <t>Love - Shibari - Kamino</t>
        </is>
      </c>
    </row>
    <row r="1231">
      <c r="A1231" t="n">
        <v>106695</v>
      </c>
      <c r="B1231" t="n">
        <v>128</v>
      </c>
      <c r="C1231" t="inlineStr">
        <is>
          <t>Love Cabaret</t>
        </is>
      </c>
      <c r="D1231" t="inlineStr">
        <is>
          <t>AURORA ALVORADA ESTACIONAMENTO E LANCHONETE LTDA</t>
        </is>
      </c>
      <c r="E1231" t="n">
        <v>212.68</v>
      </c>
      <c r="F1231" s="27" t="n">
        <v>45887</v>
      </c>
      <c r="G1231" s="27" t="n">
        <v>45887</v>
      </c>
      <c r="H1231" s="27" t="n">
        <v>45887</v>
      </c>
      <c r="I1231" s="27" t="n">
        <v>45880</v>
      </c>
      <c r="J1231" s="27" t="n"/>
      <c r="K1231" t="inlineStr">
        <is>
          <t>Boleto Bancário</t>
        </is>
      </c>
      <c r="L1231" t="inlineStr">
        <is>
          <t>Custo Mercadoria Vendida</t>
        </is>
      </c>
      <c r="M1231" t="inlineStr">
        <is>
          <t>Insumos - Alimentos</t>
        </is>
      </c>
      <c r="N1231" t="inlineStr">
        <is>
          <t>10854</t>
        </is>
      </c>
      <c r="O1231" t="inlineStr">
        <is>
          <t>Documentação Aprovada</t>
        </is>
      </c>
      <c r="P1231" t="inlineStr">
        <is>
          <t>Aprovado Diretoria</t>
        </is>
      </c>
      <c r="Q1231" t="inlineStr">
        <is>
          <t>Aprovado Caixa</t>
        </is>
      </c>
      <c r="R1231" t="inlineStr">
        <is>
          <t>Pago</t>
        </is>
      </c>
      <c r="S1231" t="n">
        <v>182</v>
      </c>
      <c r="T1231" t="inlineStr">
        <is>
          <t>Love - Shibari - Kamino</t>
        </is>
      </c>
    </row>
    <row r="1232">
      <c r="A1232" t="n">
        <v>108217</v>
      </c>
      <c r="B1232" t="n">
        <v>128</v>
      </c>
      <c r="C1232" t="inlineStr">
        <is>
          <t>Love Cabaret</t>
        </is>
      </c>
      <c r="D1232" t="inlineStr">
        <is>
          <t>DLOCAL BRASIL PAGAMENTOS LTDA  - DMK</t>
        </is>
      </c>
      <c r="E1232" t="n">
        <v>5000</v>
      </c>
      <c r="F1232" s="27" t="n">
        <v>45887</v>
      </c>
      <c r="G1232" s="27" t="n">
        <v>45887</v>
      </c>
      <c r="H1232" s="27" t="n">
        <v>45887</v>
      </c>
      <c r="I1232" s="27" t="n">
        <v>45870</v>
      </c>
      <c r="J1232" s="27" t="n"/>
      <c r="K1232" t="inlineStr">
        <is>
          <t>Boleto Bancário</t>
        </is>
      </c>
      <c r="L1232" t="inlineStr">
        <is>
          <t>Marketing</t>
        </is>
      </c>
      <c r="M1232" t="inlineStr">
        <is>
          <t>Publicidade e Propaganda</t>
        </is>
      </c>
      <c r="N1232" t="inlineStr">
        <is>
          <t>14967310450</t>
        </is>
      </c>
      <c r="O1232" t="inlineStr">
        <is>
          <t>Documentação Aprovada</t>
        </is>
      </c>
      <c r="P1232" t="inlineStr">
        <is>
          <t>Aprovado Diretoria</t>
        </is>
      </c>
      <c r="Q1232" t="inlineStr">
        <is>
          <t>Aprovado Caixa</t>
        </is>
      </c>
      <c r="R1232" t="inlineStr">
        <is>
          <t>Pago</t>
        </is>
      </c>
      <c r="S1232" t="n">
        <v>182</v>
      </c>
      <c r="T1232" t="inlineStr">
        <is>
          <t>Love - Shibari - Kamino</t>
        </is>
      </c>
    </row>
    <row r="1233">
      <c r="A1233" t="n">
        <v>109220</v>
      </c>
      <c r="B1233" t="n">
        <v>128</v>
      </c>
      <c r="C1233" t="inlineStr">
        <is>
          <t>Love Cabaret</t>
        </is>
      </c>
      <c r="D1233" t="inlineStr">
        <is>
          <t xml:space="preserve">KAMINO INSTITUICAO DE PAGAMENTO LTDA </t>
        </is>
      </c>
      <c r="E1233" t="n">
        <v>400</v>
      </c>
      <c r="F1233" s="27" t="n">
        <v>45887</v>
      </c>
      <c r="G1233" s="27" t="n">
        <v>45887</v>
      </c>
      <c r="H1233" s="27" t="n">
        <v>45887</v>
      </c>
      <c r="I1233" s="27" t="n">
        <v>45876</v>
      </c>
      <c r="J1233" s="27" t="n"/>
      <c r="K1233" t="inlineStr">
        <is>
          <t>Boleto Bancário</t>
        </is>
      </c>
      <c r="L1233" t="inlineStr">
        <is>
          <t>Despesas Financeiras</t>
        </is>
      </c>
      <c r="M1233" t="inlineStr">
        <is>
          <t>Tarifas Bancárias</t>
        </is>
      </c>
      <c r="N1233" t="inlineStr">
        <is>
          <t>6503334</t>
        </is>
      </c>
      <c r="O1233" t="inlineStr">
        <is>
          <t>Documentação Aprovada</t>
        </is>
      </c>
      <c r="P1233" t="inlineStr">
        <is>
          <t>Aprovado Diretoria</t>
        </is>
      </c>
      <c r="Q1233" t="inlineStr">
        <is>
          <t>Aprovado Caixa</t>
        </is>
      </c>
      <c r="R1233" t="inlineStr">
        <is>
          <t>Pago</t>
        </is>
      </c>
      <c r="S1233" t="n">
        <v>182</v>
      </c>
      <c r="T1233" t="inlineStr">
        <is>
          <t>Love - Shibari - Kamino</t>
        </is>
      </c>
    </row>
    <row r="1234">
      <c r="A1234" t="n">
        <v>97459</v>
      </c>
      <c r="B1234" t="n">
        <v>128</v>
      </c>
      <c r="C1234" t="inlineStr">
        <is>
          <t>Love Cabaret</t>
        </is>
      </c>
      <c r="D1234" t="inlineStr">
        <is>
          <t>INSS</t>
        </is>
      </c>
      <c r="E1234" t="n">
        <v>685.3</v>
      </c>
      <c r="F1234" s="27" t="n">
        <v>45889</v>
      </c>
      <c r="G1234" s="27" t="n">
        <v>45887</v>
      </c>
      <c r="H1234" s="27" t="n">
        <v>45887</v>
      </c>
      <c r="I1234" s="27" t="n">
        <v>45857</v>
      </c>
      <c r="J1234" s="27" t="n"/>
      <c r="K1234" t="inlineStr">
        <is>
          <t>Boleto Bancário</t>
        </is>
      </c>
      <c r="L1234" t="inlineStr">
        <is>
          <t>Serviços de Terceiros</t>
        </is>
      </c>
      <c r="M1234" t="inlineStr">
        <is>
          <t>Serviços de Segurança</t>
        </is>
      </c>
      <c r="N1234" t="inlineStr">
        <is>
          <t>072025</t>
        </is>
      </c>
      <c r="O1234" t="inlineStr">
        <is>
          <t>Documentação Aprovada</t>
        </is>
      </c>
      <c r="P1234" t="inlineStr">
        <is>
          <t>Aprovado Diretoria</t>
        </is>
      </c>
      <c r="Q1234" t="inlineStr">
        <is>
          <t>Aprovado Caixa</t>
        </is>
      </c>
      <c r="R1234" t="inlineStr">
        <is>
          <t>Pago</t>
        </is>
      </c>
      <c r="S1234" t="n">
        <v>182</v>
      </c>
      <c r="T1234" t="inlineStr">
        <is>
          <t>Love - Shibari - Kamino</t>
        </is>
      </c>
    </row>
    <row r="1235">
      <c r="A1235" t="n">
        <v>97487</v>
      </c>
      <c r="B1235" t="n">
        <v>128</v>
      </c>
      <c r="C1235" t="inlineStr">
        <is>
          <t>Love Cabaret</t>
        </is>
      </c>
      <c r="D1235" t="inlineStr">
        <is>
          <t>IRRF</t>
        </is>
      </c>
      <c r="E1235" t="n">
        <v>108.22</v>
      </c>
      <c r="F1235" s="27" t="n">
        <v>45889</v>
      </c>
      <c r="G1235" s="27" t="n">
        <v>45887</v>
      </c>
      <c r="H1235" s="27" t="n">
        <v>45887</v>
      </c>
      <c r="I1235" s="27" t="n">
        <v>45869</v>
      </c>
      <c r="J1235" s="27" t="n"/>
      <c r="K1235" t="inlineStr">
        <is>
          <t>Boleto Bancário</t>
        </is>
      </c>
      <c r="L1235" t="inlineStr">
        <is>
          <t>Serviços de Terceiros</t>
        </is>
      </c>
      <c r="M1235" t="inlineStr">
        <is>
          <t>Serviços de Segurança</t>
        </is>
      </c>
      <c r="N1235" t="inlineStr">
        <is>
          <t>072025</t>
        </is>
      </c>
      <c r="O1235" t="inlineStr">
        <is>
          <t>Documentação Aprovada</t>
        </is>
      </c>
      <c r="P1235" t="inlineStr">
        <is>
          <t>Aprovado Diretoria</t>
        </is>
      </c>
      <c r="Q1235" t="inlineStr">
        <is>
          <t>Aprovado Caixa</t>
        </is>
      </c>
      <c r="R1235" t="inlineStr">
        <is>
          <t>Pago</t>
        </is>
      </c>
      <c r="S1235" t="n">
        <v>182</v>
      </c>
      <c r="T1235" t="inlineStr">
        <is>
          <t>Love - Shibari - Kamino</t>
        </is>
      </c>
    </row>
    <row r="1236">
      <c r="A1236" t="n">
        <v>97442</v>
      </c>
      <c r="B1236" t="n">
        <v>128</v>
      </c>
      <c r="C1236" t="inlineStr">
        <is>
          <t>Love Cabaret</t>
        </is>
      </c>
      <c r="D1236" t="inlineStr">
        <is>
          <t xml:space="preserve">MINISTERIO DA FAZENDA </t>
        </is>
      </c>
      <c r="E1236" t="n">
        <v>434.46</v>
      </c>
      <c r="F1236" s="27" t="n">
        <v>45889</v>
      </c>
      <c r="G1236" s="27" t="n">
        <v>45887</v>
      </c>
      <c r="H1236" s="27" t="n">
        <v>45887</v>
      </c>
      <c r="I1236" s="27" t="n">
        <v>45869</v>
      </c>
      <c r="J1236" s="27" t="n"/>
      <c r="K1236" t="inlineStr">
        <is>
          <t>Boleto Bancário</t>
        </is>
      </c>
      <c r="L1236" t="inlineStr">
        <is>
          <t>Serviços de Terceiros</t>
        </is>
      </c>
      <c r="M1236" t="inlineStr">
        <is>
          <t>Serviços de Segurança</t>
        </is>
      </c>
      <c r="N1236" t="inlineStr">
        <is>
          <t>072025</t>
        </is>
      </c>
      <c r="O1236" t="inlineStr">
        <is>
          <t>Documentação Aprovada</t>
        </is>
      </c>
      <c r="P1236" t="inlineStr">
        <is>
          <t>Aprovado Diretoria</t>
        </is>
      </c>
      <c r="Q1236" t="inlineStr">
        <is>
          <t>Aprovado Caixa</t>
        </is>
      </c>
      <c r="R1236" t="inlineStr">
        <is>
          <t>Pago</t>
        </is>
      </c>
      <c r="S1236" t="n">
        <v>182</v>
      </c>
      <c r="T1236" t="inlineStr">
        <is>
          <t>Love - Shibari - Kamino</t>
        </is>
      </c>
    </row>
    <row r="1237">
      <c r="A1237" t="n">
        <v>102820</v>
      </c>
      <c r="B1237" t="n">
        <v>128</v>
      </c>
      <c r="C1237" t="inlineStr">
        <is>
          <t>Love Cabaret</t>
        </is>
      </c>
      <c r="D1237" t="inlineStr">
        <is>
          <t>GOMES D ELIA EQUIP. HIGIENE LTDA - WESCO</t>
        </is>
      </c>
      <c r="E1237" t="n">
        <v>551.14</v>
      </c>
      <c r="F1237" s="27" t="n">
        <v>45889</v>
      </c>
      <c r="G1237" s="27" t="n">
        <v>45887</v>
      </c>
      <c r="H1237" s="27" t="n">
        <v>45887</v>
      </c>
      <c r="I1237" s="27" t="n">
        <v>45870</v>
      </c>
      <c r="J1237" s="27" t="n"/>
      <c r="K1237" t="inlineStr">
        <is>
          <t>Boleto Bancário</t>
        </is>
      </c>
      <c r="L1237" t="inlineStr">
        <is>
          <t>Utilidades</t>
        </is>
      </c>
      <c r="M1237" t="inlineStr">
        <is>
          <t>Higiene e Limpeza</t>
        </is>
      </c>
      <c r="N1237" t="inlineStr">
        <is>
          <t>180799</t>
        </is>
      </c>
      <c r="O1237" t="inlineStr">
        <is>
          <t>Documentação Aprovada</t>
        </is>
      </c>
      <c r="P1237" t="inlineStr">
        <is>
          <t>Aprovado Diretoria</t>
        </is>
      </c>
      <c r="Q1237" t="inlineStr">
        <is>
          <t>Aprovado Caixa</t>
        </is>
      </c>
      <c r="R1237" t="inlineStr">
        <is>
          <t>Pago</t>
        </is>
      </c>
      <c r="S1237" t="n">
        <v>182</v>
      </c>
      <c r="T1237" t="inlineStr">
        <is>
          <t>Love - Shibari - Kamino</t>
        </is>
      </c>
    </row>
    <row r="1238">
      <c r="A1238" t="n">
        <v>102881</v>
      </c>
      <c r="B1238" t="n">
        <v>128</v>
      </c>
      <c r="C1238" t="inlineStr">
        <is>
          <t>Love Cabaret</t>
        </is>
      </c>
      <c r="D1238" t="inlineStr">
        <is>
          <t>MACHINE SEGURANCA PATRIMONIAL LTDA</t>
        </is>
      </c>
      <c r="E1238" t="n">
        <v>4636.95</v>
      </c>
      <c r="F1238" s="27" t="n">
        <v>45884</v>
      </c>
      <c r="G1238" s="27" t="n">
        <v>45887</v>
      </c>
      <c r="H1238" s="27" t="n">
        <v>45887</v>
      </c>
      <c r="I1238" s="27" t="n">
        <v>45869</v>
      </c>
      <c r="J1238" s="27" t="n"/>
      <c r="K1238" t="inlineStr">
        <is>
          <t>Transferência Bancária ou Pix</t>
        </is>
      </c>
      <c r="L1238" t="inlineStr">
        <is>
          <t>Serviços de Terceiros</t>
        </is>
      </c>
      <c r="M1238" t="inlineStr">
        <is>
          <t>Serviços de Segurança</t>
        </is>
      </c>
      <c r="N1238" t="inlineStr">
        <is>
          <t>725</t>
        </is>
      </c>
      <c r="O1238" t="inlineStr">
        <is>
          <t>Documentação Aprovada</t>
        </is>
      </c>
      <c r="P1238" t="inlineStr">
        <is>
          <t>Aprovado Diretoria</t>
        </is>
      </c>
      <c r="Q1238" t="inlineStr">
        <is>
          <t>Aprovado Caixa</t>
        </is>
      </c>
      <c r="R1238" t="inlineStr">
        <is>
          <t>Pago</t>
        </is>
      </c>
      <c r="S1238" t="n">
        <v>182</v>
      </c>
      <c r="T1238" t="inlineStr">
        <is>
          <t>Love - Shibari - Kamino</t>
        </is>
      </c>
    </row>
    <row r="1239">
      <c r="A1239" t="n">
        <v>157679</v>
      </c>
      <c r="B1239" t="n">
        <v>128</v>
      </c>
      <c r="C1239" t="inlineStr">
        <is>
          <t>Love Cabaret</t>
        </is>
      </c>
      <c r="D1239" t="inlineStr">
        <is>
          <t>BRADESCO SA</t>
        </is>
      </c>
      <c r="E1239" t="n">
        <v>177.05</v>
      </c>
      <c r="F1239" s="27" t="n">
        <v>45884</v>
      </c>
      <c r="G1239" s="27" t="n"/>
      <c r="H1239" s="27" t="n">
        <v>45884</v>
      </c>
      <c r="I1239" s="27" t="n">
        <v>45884</v>
      </c>
      <c r="J1239" s="27" t="n">
        <v>45898</v>
      </c>
      <c r="K1239" t="inlineStr">
        <is>
          <t>Encontro de Contas</t>
        </is>
      </c>
      <c r="L1239" t="inlineStr">
        <is>
          <t>Despesas Financeiras</t>
        </is>
      </c>
      <c r="M1239" t="inlineStr">
        <is>
          <t>Tarifas Bancárias</t>
        </is>
      </c>
      <c r="N1239" t="inlineStr">
        <is>
          <t>082025</t>
        </is>
      </c>
      <c r="R1239" t="inlineStr">
        <is>
          <t>Pago</t>
        </is>
      </c>
    </row>
    <row r="1240">
      <c r="A1240" t="n">
        <v>153377</v>
      </c>
      <c r="B1240" t="n">
        <v>128</v>
      </c>
      <c r="C1240" t="inlineStr">
        <is>
          <t>Love Cabaret</t>
        </is>
      </c>
      <c r="D1240" t="inlineStr">
        <is>
          <t>CARTORIO</t>
        </is>
      </c>
      <c r="E1240" t="n">
        <v>77.20999999999999</v>
      </c>
      <c r="F1240" s="27" t="n">
        <v>45870</v>
      </c>
      <c r="G1240" s="27" t="n">
        <v>45883</v>
      </c>
      <c r="H1240" s="27" t="n">
        <v>45883</v>
      </c>
      <c r="I1240" s="27" t="n">
        <v>45870</v>
      </c>
      <c r="J1240" s="27" t="n">
        <v>45876</v>
      </c>
      <c r="K1240" t="inlineStr">
        <is>
          <t>Dinheiro em Espécie</t>
        </is>
      </c>
      <c r="L1240" t="inlineStr">
        <is>
          <t>Despesas Financeiras</t>
        </is>
      </c>
      <c r="M1240" t="inlineStr">
        <is>
          <t>Custas Cartórios / Protestos</t>
        </is>
      </c>
      <c r="N1240" t="inlineStr">
        <is>
          <t>.</t>
        </is>
      </c>
      <c r="O1240" t="inlineStr">
        <is>
          <t>Documentação Aprovada</t>
        </is>
      </c>
      <c r="P1240" t="inlineStr">
        <is>
          <t>Aprovado Diretoria</t>
        </is>
      </c>
      <c r="Q1240" t="inlineStr">
        <is>
          <t>Aprovado Caixa</t>
        </is>
      </c>
      <c r="R1240" t="inlineStr">
        <is>
          <t>Pago</t>
        </is>
      </c>
      <c r="S1240" t="n">
        <v>143</v>
      </c>
      <c r="T1240" t="inlineStr">
        <is>
          <t>Tesouraria</t>
        </is>
      </c>
    </row>
    <row r="1241">
      <c r="A1241" t="n">
        <v>153384</v>
      </c>
      <c r="B1241" t="n">
        <v>128</v>
      </c>
      <c r="C1241" t="inlineStr">
        <is>
          <t>Love Cabaret</t>
        </is>
      </c>
      <c r="D1241" t="inlineStr">
        <is>
          <t>TRANSPORTE TAXI OU APLICATIVO - UBER/LALAMOVE/99 E DEMAIS</t>
        </is>
      </c>
      <c r="E1241" t="n">
        <v>27.52</v>
      </c>
      <c r="F1241" s="27" t="n">
        <v>45870</v>
      </c>
      <c r="G1241" s="27" t="n">
        <v>45883</v>
      </c>
      <c r="H1241" s="27" t="n">
        <v>45883</v>
      </c>
      <c r="I1241" s="27" t="n">
        <v>45870</v>
      </c>
      <c r="J1241" s="27" t="n">
        <v>45876</v>
      </c>
      <c r="K1241" t="inlineStr">
        <is>
          <t>Dinheiro em Espécie</t>
        </is>
      </c>
      <c r="L1241" t="inlineStr">
        <is>
          <t>Despesas com Transporte / Hospedagem</t>
        </is>
      </c>
      <c r="M1241" t="inlineStr">
        <is>
          <t>Conduções/Taxi/Uber</t>
        </is>
      </c>
      <c r="N1241" t="inlineStr">
        <is>
          <t>.</t>
        </is>
      </c>
      <c r="O1241" t="inlineStr">
        <is>
          <t>Documentação Aprovada</t>
        </is>
      </c>
      <c r="P1241" t="inlineStr">
        <is>
          <t>Aprovado Diretoria</t>
        </is>
      </c>
      <c r="Q1241" t="inlineStr">
        <is>
          <t>Aprovado Caixa</t>
        </is>
      </c>
      <c r="R1241" t="inlineStr">
        <is>
          <t>Pago</t>
        </is>
      </c>
      <c r="S1241" t="n">
        <v>143</v>
      </c>
      <c r="T1241" t="inlineStr">
        <is>
          <t>Tesouraria</t>
        </is>
      </c>
    </row>
    <row r="1242">
      <c r="A1242" t="n">
        <v>108193</v>
      </c>
      <c r="B1242" t="n">
        <v>128</v>
      </c>
      <c r="C1242" t="inlineStr">
        <is>
          <t>Love Cabaret</t>
        </is>
      </c>
      <c r="D1242" t="inlineStr">
        <is>
          <t xml:space="preserve">GOOGLE BRASIL INTERNET LTDA </t>
        </is>
      </c>
      <c r="E1242" t="n">
        <v>1000</v>
      </c>
      <c r="F1242" s="27" t="n">
        <v>45884</v>
      </c>
      <c r="G1242" s="27" t="n">
        <v>45883</v>
      </c>
      <c r="H1242" s="27" t="n">
        <v>45883</v>
      </c>
      <c r="I1242" s="27" t="n">
        <v>45884</v>
      </c>
      <c r="J1242" s="27" t="n"/>
      <c r="K1242" t="inlineStr">
        <is>
          <t>Boleto Bancário</t>
        </is>
      </c>
      <c r="L1242" t="inlineStr">
        <is>
          <t>Marketing</t>
        </is>
      </c>
      <c r="M1242" t="inlineStr">
        <is>
          <t>Publicidade e Propaganda</t>
        </is>
      </c>
      <c r="N1242" t="inlineStr">
        <is>
          <t>082025</t>
        </is>
      </c>
      <c r="O1242" t="inlineStr">
        <is>
          <t>Documentação Aprovada</t>
        </is>
      </c>
      <c r="P1242" t="inlineStr">
        <is>
          <t>Aprovado Diretoria</t>
        </is>
      </c>
      <c r="Q1242" t="inlineStr">
        <is>
          <t>Aprovado Caixa</t>
        </is>
      </c>
      <c r="R1242" t="inlineStr">
        <is>
          <t>Pago</t>
        </is>
      </c>
      <c r="S1242" t="n">
        <v>182</v>
      </c>
      <c r="T1242" t="inlineStr">
        <is>
          <t>Love - Shibari - Kamino</t>
        </is>
      </c>
    </row>
    <row r="1243">
      <c r="A1243" t="n">
        <v>96964</v>
      </c>
      <c r="B1243" t="n">
        <v>128</v>
      </c>
      <c r="C1243" t="inlineStr">
        <is>
          <t>Love Cabaret</t>
        </is>
      </c>
      <c r="D1243" t="inlineStr">
        <is>
          <t xml:space="preserve">DUO COMUNICA LTDA </t>
        </is>
      </c>
      <c r="E1243" t="n">
        <v>2000</v>
      </c>
      <c r="F1243" s="27" t="n">
        <v>45883</v>
      </c>
      <c r="G1243" s="27" t="n">
        <v>45882</v>
      </c>
      <c r="H1243" s="27" t="n">
        <v>45882</v>
      </c>
      <c r="I1243" s="27" t="n">
        <v>45856</v>
      </c>
      <c r="J1243" s="27" t="n"/>
      <c r="K1243" t="inlineStr">
        <is>
          <t>Transferência Bancária ou Pix</t>
        </is>
      </c>
      <c r="L1243" t="inlineStr">
        <is>
          <t>Informática e TI</t>
        </is>
      </c>
      <c r="M1243" t="inlineStr">
        <is>
          <t>Sistemas Gerais - Comunicação e Marketing</t>
        </is>
      </c>
      <c r="N1243" t="inlineStr">
        <is>
          <t>552</t>
        </is>
      </c>
      <c r="O1243" t="inlineStr">
        <is>
          <t>Documentação Aprovada</t>
        </is>
      </c>
      <c r="P1243" t="inlineStr">
        <is>
          <t>Aprovado Diretoria</t>
        </is>
      </c>
      <c r="Q1243" t="inlineStr">
        <is>
          <t>Aprovado Caixa</t>
        </is>
      </c>
      <c r="R1243" t="inlineStr">
        <is>
          <t>Pago</t>
        </is>
      </c>
      <c r="S1243" t="n">
        <v>182</v>
      </c>
      <c r="T1243" t="inlineStr">
        <is>
          <t>Love - Shibari - Kamino</t>
        </is>
      </c>
    </row>
    <row r="1244">
      <c r="A1244" t="n">
        <v>97113</v>
      </c>
      <c r="B1244" t="n">
        <v>128</v>
      </c>
      <c r="C1244" t="inlineStr">
        <is>
          <t>Love Cabaret</t>
        </is>
      </c>
      <c r="D1244" t="inlineStr">
        <is>
          <t>ESTAFF SOLUCOES TECNOLOGICAS DE AGENCIAMENTO LTDA</t>
        </is>
      </c>
      <c r="E1244" t="n">
        <v>14608</v>
      </c>
      <c r="F1244" s="27" t="n">
        <v>45882</v>
      </c>
      <c r="G1244" s="27" t="n">
        <v>45882</v>
      </c>
      <c r="H1244" s="27" t="n">
        <v>45882</v>
      </c>
      <c r="I1244" s="27" t="n">
        <v>45873</v>
      </c>
      <c r="J1244" s="27" t="n"/>
      <c r="K1244" t="inlineStr">
        <is>
          <t>Boleto Bancário</t>
        </is>
      </c>
      <c r="L1244" t="inlineStr">
        <is>
          <t>Mão de Obra - Extra</t>
        </is>
      </c>
      <c r="M1244" t="inlineStr">
        <is>
          <t>Mão de Obra Extra</t>
        </is>
      </c>
      <c r="N1244" t="inlineStr">
        <is>
          <t>614420545</t>
        </is>
      </c>
      <c r="O1244" t="inlineStr">
        <is>
          <t>Documentação Aprovada</t>
        </is>
      </c>
      <c r="P1244" t="inlineStr">
        <is>
          <t>Aprovado Diretoria</t>
        </is>
      </c>
      <c r="Q1244" t="inlineStr">
        <is>
          <t>Aprovado Caixa</t>
        </is>
      </c>
      <c r="R1244" t="inlineStr">
        <is>
          <t>Pago</t>
        </is>
      </c>
      <c r="S1244" t="n">
        <v>182</v>
      </c>
      <c r="T1244" t="inlineStr">
        <is>
          <t>Love - Shibari - Kamino</t>
        </is>
      </c>
    </row>
    <row r="1245">
      <c r="A1245" t="n">
        <v>102831</v>
      </c>
      <c r="B1245" t="n">
        <v>128</v>
      </c>
      <c r="C1245" t="inlineStr">
        <is>
          <t>Love Cabaret</t>
        </is>
      </c>
      <c r="D1245" t="inlineStr">
        <is>
          <t>HEADCHEF SEGURANCA DOS ALIM E GARANTIA D</t>
        </is>
      </c>
      <c r="E1245" t="n">
        <v>891.0599999999999</v>
      </c>
      <c r="F1245" s="27" t="n">
        <v>45884</v>
      </c>
      <c r="G1245" s="27" t="n">
        <v>45882</v>
      </c>
      <c r="H1245" s="27" t="n">
        <v>45882</v>
      </c>
      <c r="I1245" s="27" t="n">
        <v>45864</v>
      </c>
      <c r="J1245" s="27" t="n"/>
      <c r="K1245" t="inlineStr">
        <is>
          <t>Boleto Bancário</t>
        </is>
      </c>
      <c r="L1245" t="inlineStr">
        <is>
          <t>Serviços de Terceiros</t>
        </is>
      </c>
      <c r="M1245" t="inlineStr">
        <is>
          <t>Assessoria de Alimentos e Bebidas</t>
        </is>
      </c>
      <c r="N1245" t="inlineStr">
        <is>
          <t>1397</t>
        </is>
      </c>
      <c r="O1245" t="inlineStr">
        <is>
          <t>Documentação Aprovada</t>
        </is>
      </c>
      <c r="P1245" t="inlineStr">
        <is>
          <t>Aprovado Diretoria</t>
        </is>
      </c>
      <c r="Q1245" t="inlineStr">
        <is>
          <t>Aprovado Caixa</t>
        </is>
      </c>
      <c r="R1245" t="inlineStr">
        <is>
          <t>Pago</t>
        </is>
      </c>
      <c r="S1245" t="n">
        <v>182</v>
      </c>
      <c r="T1245" t="inlineStr">
        <is>
          <t>Love - Shibari - Kamino</t>
        </is>
      </c>
    </row>
    <row r="1246">
      <c r="A1246" t="n">
        <v>153216</v>
      </c>
      <c r="B1246" t="n">
        <v>128</v>
      </c>
      <c r="C1246" t="inlineStr">
        <is>
          <t>Love Cabaret</t>
        </is>
      </c>
      <c r="D1246" t="inlineStr">
        <is>
          <t>VALE TRANSPORTE</t>
        </is>
      </c>
      <c r="E1246" t="n">
        <v>391.6</v>
      </c>
      <c r="F1246" s="27" t="n">
        <v>45882</v>
      </c>
      <c r="G1246" s="27" t="n">
        <v>45882</v>
      </c>
      <c r="H1246" s="27" t="n">
        <v>45882</v>
      </c>
      <c r="I1246" s="27" t="n">
        <v>45870</v>
      </c>
      <c r="J1246" s="27" t="n">
        <v>45876</v>
      </c>
      <c r="K1246" t="inlineStr">
        <is>
          <t>Transferência Bancária ou Pix</t>
        </is>
      </c>
      <c r="L1246" t="inlineStr">
        <is>
          <t>Mão de Obra - Benefícios</t>
        </is>
      </c>
      <c r="M1246" t="inlineStr">
        <is>
          <t xml:space="preserve">  -  Vale-transporte</t>
        </is>
      </c>
      <c r="N1246" t="inlineStr">
        <is>
          <t>39160082025</t>
        </is>
      </c>
      <c r="O1246" t="inlineStr">
        <is>
          <t>Documentação Aprovada</t>
        </is>
      </c>
      <c r="P1246" t="inlineStr">
        <is>
          <t>Aprovado Diretoria</t>
        </is>
      </c>
      <c r="Q1246" t="inlineStr">
        <is>
          <t>Aprovado Caixa</t>
        </is>
      </c>
      <c r="R1246" t="inlineStr">
        <is>
          <t>Pago</t>
        </is>
      </c>
      <c r="S1246" t="n">
        <v>182</v>
      </c>
      <c r="T1246" t="inlineStr">
        <is>
          <t>Love - Shibari - Kamino</t>
        </is>
      </c>
    </row>
    <row r="1247">
      <c r="A1247" t="n">
        <v>153239</v>
      </c>
      <c r="B1247" t="n">
        <v>128</v>
      </c>
      <c r="C1247" t="inlineStr">
        <is>
          <t>Love Cabaret</t>
        </is>
      </c>
      <c r="D1247" t="inlineStr">
        <is>
          <t>CECILIA TSUYACO ARAKI SILVA LTDA</t>
        </is>
      </c>
      <c r="E1247" t="n">
        <v>66</v>
      </c>
      <c r="F1247" s="27" t="n">
        <v>45884</v>
      </c>
      <c r="G1247" s="27" t="n">
        <v>45882</v>
      </c>
      <c r="H1247" s="27" t="n">
        <v>45882</v>
      </c>
      <c r="I1247" s="27" t="n">
        <v>45870</v>
      </c>
      <c r="J1247" s="27" t="n">
        <v>45876</v>
      </c>
      <c r="K1247" t="inlineStr">
        <is>
          <t>Boleto Bancário</t>
        </is>
      </c>
      <c r="L1247" t="inlineStr">
        <is>
          <t>Custo Mercadoria Vendida</t>
        </is>
      </c>
      <c r="M1247" t="inlineStr">
        <is>
          <t>Insumos - Alimentos</t>
        </is>
      </c>
      <c r="N1247" t="inlineStr">
        <is>
          <t>375529</t>
        </is>
      </c>
      <c r="O1247" t="inlineStr">
        <is>
          <t>Documentação Aprovada</t>
        </is>
      </c>
      <c r="P1247" t="inlineStr">
        <is>
          <t>Aprovado Diretoria</t>
        </is>
      </c>
      <c r="Q1247" t="inlineStr">
        <is>
          <t>Aprovado Caixa</t>
        </is>
      </c>
      <c r="R1247" t="inlineStr">
        <is>
          <t>Pago</t>
        </is>
      </c>
      <c r="S1247" t="n">
        <v>182</v>
      </c>
      <c r="T1247" t="inlineStr">
        <is>
          <t>Love - Shibari - Kamino</t>
        </is>
      </c>
    </row>
    <row r="1248">
      <c r="A1248" t="n">
        <v>153142</v>
      </c>
      <c r="B1248" t="n">
        <v>128</v>
      </c>
      <c r="C1248" t="inlineStr">
        <is>
          <t>Love Cabaret</t>
        </is>
      </c>
      <c r="D1248" t="inlineStr">
        <is>
          <t>CIUFFI HORTIFRUTI EIRELI</t>
        </is>
      </c>
      <c r="E1248" t="n">
        <v>392.69</v>
      </c>
      <c r="F1248" s="27" t="n">
        <v>45884</v>
      </c>
      <c r="G1248" s="27" t="n">
        <v>45882</v>
      </c>
      <c r="H1248" s="27" t="n">
        <v>45882</v>
      </c>
      <c r="I1248" s="27" t="n">
        <v>45869</v>
      </c>
      <c r="J1248" s="27" t="n">
        <v>45875</v>
      </c>
      <c r="K1248" t="inlineStr">
        <is>
          <t>Boleto Bancário</t>
        </is>
      </c>
      <c r="L1248" t="inlineStr">
        <is>
          <t>Custo Mercadoria Vendida</t>
        </is>
      </c>
      <c r="M1248" t="inlineStr">
        <is>
          <t>Insumos - Alimentos</t>
        </is>
      </c>
      <c r="N1248" t="inlineStr">
        <is>
          <t>25622</t>
        </is>
      </c>
      <c r="O1248" t="inlineStr">
        <is>
          <t>Documentação Aprovada</t>
        </is>
      </c>
      <c r="P1248" t="inlineStr">
        <is>
          <t>Aprovado Diretoria</t>
        </is>
      </c>
      <c r="Q1248" t="inlineStr">
        <is>
          <t>Aprovado Caixa</t>
        </is>
      </c>
      <c r="R1248" t="inlineStr">
        <is>
          <t>Pago</t>
        </is>
      </c>
      <c r="S1248" t="n">
        <v>182</v>
      </c>
      <c r="T1248" t="inlineStr">
        <is>
          <t>Love - Shibari - Kamino</t>
        </is>
      </c>
    </row>
    <row r="1249">
      <c r="A1249" t="n">
        <v>153117</v>
      </c>
      <c r="B1249" t="n">
        <v>128</v>
      </c>
      <c r="C1249" t="inlineStr">
        <is>
          <t>Love Cabaret</t>
        </is>
      </c>
      <c r="D1249" t="inlineStr">
        <is>
          <t>FG7 COMERCIO E DISTRIBUICAO DE BEBIDAS LTDA</t>
        </is>
      </c>
      <c r="E1249" t="n">
        <v>288.33</v>
      </c>
      <c r="F1249" s="27" t="n">
        <v>45884</v>
      </c>
      <c r="G1249" s="27" t="n">
        <v>45882</v>
      </c>
      <c r="H1249" s="27" t="n">
        <v>45882</v>
      </c>
      <c r="I1249" s="27" t="n">
        <v>45862</v>
      </c>
      <c r="J1249" s="27" t="n">
        <v>45875</v>
      </c>
      <c r="K1249" t="inlineStr">
        <is>
          <t>Boleto Bancário</t>
        </is>
      </c>
      <c r="L1249" t="inlineStr">
        <is>
          <t>Custo Mercadoria Vendida</t>
        </is>
      </c>
      <c r="M1249" t="inlineStr">
        <is>
          <t>Insumos - Bebidas</t>
        </is>
      </c>
      <c r="N1249" t="inlineStr">
        <is>
          <t>645809</t>
        </is>
      </c>
      <c r="O1249" t="inlineStr">
        <is>
          <t>Documentação Aprovada</t>
        </is>
      </c>
      <c r="P1249" t="inlineStr">
        <is>
          <t>Aprovado Diretoria</t>
        </is>
      </c>
      <c r="Q1249" t="inlineStr">
        <is>
          <t>Aprovado Caixa</t>
        </is>
      </c>
      <c r="R1249" t="inlineStr">
        <is>
          <t>Pago</t>
        </is>
      </c>
      <c r="S1249" t="n">
        <v>182</v>
      </c>
      <c r="T1249" t="inlineStr">
        <is>
          <t>Love - Shibari - Kamino</t>
        </is>
      </c>
    </row>
    <row r="1250">
      <c r="A1250" t="n">
        <v>154859</v>
      </c>
      <c r="B1250" t="n">
        <v>128</v>
      </c>
      <c r="C1250" t="inlineStr">
        <is>
          <t>Love Cabaret</t>
        </is>
      </c>
      <c r="D1250" t="inlineStr">
        <is>
          <t>BRADESCO SA</t>
        </is>
      </c>
      <c r="E1250" t="n">
        <v>9.800000000000001</v>
      </c>
      <c r="F1250" s="27" t="n">
        <v>45882</v>
      </c>
      <c r="G1250" s="27" t="n"/>
      <c r="H1250" s="27" t="n">
        <v>45882</v>
      </c>
      <c r="I1250" s="27" t="n">
        <v>45882</v>
      </c>
      <c r="J1250" s="27" t="n">
        <v>45884</v>
      </c>
      <c r="K1250" t="inlineStr">
        <is>
          <t>Encontro de Contas</t>
        </is>
      </c>
      <c r="L1250" t="inlineStr">
        <is>
          <t>Despesas Financeiras</t>
        </is>
      </c>
      <c r="M1250" t="inlineStr">
        <is>
          <t>Tarifas Bancárias</t>
        </is>
      </c>
      <c r="N1250" t="inlineStr">
        <is>
          <t>082025</t>
        </is>
      </c>
      <c r="P1250" t="inlineStr">
        <is>
          <t>Aprovado Diretoria</t>
        </is>
      </c>
      <c r="R1250" t="inlineStr">
        <is>
          <t>Pago</t>
        </is>
      </c>
    </row>
    <row r="1251">
      <c r="A1251" t="n">
        <v>150179</v>
      </c>
      <c r="B1251" t="n">
        <v>128</v>
      </c>
      <c r="C1251" t="inlineStr">
        <is>
          <t>Love Cabaret</t>
        </is>
      </c>
      <c r="D1251" t="inlineStr">
        <is>
          <t>MARIA EDUARDA RAMOS DE SOUSA</t>
        </is>
      </c>
      <c r="E1251" t="n">
        <v>119.13</v>
      </c>
      <c r="F1251" s="27" t="n">
        <v>45879</v>
      </c>
      <c r="G1251" s="27" t="n">
        <v>45882</v>
      </c>
      <c r="H1251" s="27" t="n">
        <v>45882</v>
      </c>
      <c r="I1251" s="27" t="n">
        <v>45869</v>
      </c>
      <c r="J1251" s="27" t="n">
        <v>45869</v>
      </c>
      <c r="K1251" t="inlineStr">
        <is>
          <t>Transferência Bancária ou Pix</t>
        </is>
      </c>
      <c r="L1251" t="inlineStr">
        <is>
          <t>Custos de Eventos</t>
        </is>
      </c>
      <c r="M1251" t="inlineStr">
        <is>
          <t>Comissões de Vendas - Eventos</t>
        </is>
      </c>
      <c r="N1251" t="inlineStr">
        <is>
          <t>58</t>
        </is>
      </c>
      <c r="O1251" t="inlineStr">
        <is>
          <t>Documentação Aprovada</t>
        </is>
      </c>
      <c r="P1251" t="inlineStr">
        <is>
          <t>Aprovado Diretoria</t>
        </is>
      </c>
      <c r="Q1251" t="inlineStr">
        <is>
          <t>Aprovado Caixa</t>
        </is>
      </c>
      <c r="R1251" t="inlineStr">
        <is>
          <t>Pago</t>
        </is>
      </c>
      <c r="S1251" t="n">
        <v>182</v>
      </c>
      <c r="T1251" t="inlineStr">
        <is>
          <t>Love - Shibari - Kamino</t>
        </is>
      </c>
    </row>
    <row r="1252">
      <c r="A1252" t="n">
        <v>150751</v>
      </c>
      <c r="B1252" t="n">
        <v>128</v>
      </c>
      <c r="C1252" t="inlineStr">
        <is>
          <t>Love Cabaret</t>
        </is>
      </c>
      <c r="D1252" t="inlineStr">
        <is>
          <t>FABLAB INOVACAO E SOLUCOES</t>
        </is>
      </c>
      <c r="E1252" t="n">
        <v>389</v>
      </c>
      <c r="F1252" s="27" t="n">
        <v>45884</v>
      </c>
      <c r="G1252" s="27" t="n">
        <v>45882</v>
      </c>
      <c r="H1252" s="27" t="n">
        <v>45882</v>
      </c>
      <c r="I1252" s="27" t="n">
        <v>45869</v>
      </c>
      <c r="J1252" s="27" t="n">
        <v>45873</v>
      </c>
      <c r="K1252" t="inlineStr">
        <is>
          <t>Boleto Bancário</t>
        </is>
      </c>
      <c r="L1252" t="inlineStr">
        <is>
          <t>Informática e TI</t>
        </is>
      </c>
      <c r="M1252" t="inlineStr">
        <is>
          <t>Sistemas Gerais - Financeiros</t>
        </is>
      </c>
      <c r="N1252" t="inlineStr">
        <is>
          <t>145</t>
        </is>
      </c>
      <c r="O1252" t="inlineStr">
        <is>
          <t>Documentação Aprovada</t>
        </is>
      </c>
      <c r="P1252" t="inlineStr">
        <is>
          <t>Aprovado Diretoria</t>
        </is>
      </c>
      <c r="Q1252" t="inlineStr">
        <is>
          <t>Aprovado Caixa</t>
        </is>
      </c>
      <c r="R1252" t="inlineStr">
        <is>
          <t>Pago</t>
        </is>
      </c>
      <c r="S1252" t="n">
        <v>182</v>
      </c>
      <c r="T1252" t="inlineStr">
        <is>
          <t>Love - Shibari - Kamino</t>
        </is>
      </c>
    </row>
    <row r="1253">
      <c r="A1253" t="n">
        <v>151403</v>
      </c>
      <c r="B1253" t="n">
        <v>128</v>
      </c>
      <c r="C1253" t="inlineStr">
        <is>
          <t>Love Cabaret</t>
        </is>
      </c>
      <c r="D1253" t="inlineStr">
        <is>
          <t>JOSE CASSIO PREVEDEL SISTEMAS ME</t>
        </is>
      </c>
      <c r="E1253" t="n">
        <v>400</v>
      </c>
      <c r="F1253" s="27" t="n">
        <v>45884</v>
      </c>
      <c r="G1253" s="27" t="n">
        <v>45882</v>
      </c>
      <c r="H1253" s="27" t="n">
        <v>45882</v>
      </c>
      <c r="I1253" s="27" t="n">
        <v>45870</v>
      </c>
      <c r="J1253" s="27" t="n">
        <v>45874</v>
      </c>
      <c r="K1253" t="inlineStr">
        <is>
          <t>Boleto Bancário</t>
        </is>
      </c>
      <c r="L1253" t="inlineStr">
        <is>
          <t>Locação de Equipamentos</t>
        </is>
      </c>
      <c r="M1253" t="inlineStr">
        <is>
          <t>Locações de Equipamentos - Operacionais</t>
        </is>
      </c>
      <c r="N1253" t="inlineStr">
        <is>
          <t>19847</t>
        </is>
      </c>
      <c r="O1253" t="inlineStr">
        <is>
          <t>Documentação Aprovada</t>
        </is>
      </c>
      <c r="P1253" t="inlineStr">
        <is>
          <t>Aprovado Diretoria</t>
        </is>
      </c>
      <c r="Q1253" t="inlineStr">
        <is>
          <t>Aprovado Caixa</t>
        </is>
      </c>
      <c r="R1253" t="inlineStr">
        <is>
          <t>Pago</t>
        </is>
      </c>
      <c r="S1253" t="n">
        <v>182</v>
      </c>
      <c r="T1253" t="inlineStr">
        <is>
          <t>Love - Shibari - Kamino</t>
        </is>
      </c>
    </row>
    <row r="1254">
      <c r="A1254" t="n">
        <v>145550</v>
      </c>
      <c r="B1254" t="n">
        <v>128</v>
      </c>
      <c r="C1254" t="inlineStr">
        <is>
          <t>Love Cabaret</t>
        </is>
      </c>
      <c r="D1254" t="inlineStr">
        <is>
          <t>LUIZ ROBERTO DA SILVA JUNIOR</t>
        </is>
      </c>
      <c r="E1254" t="n">
        <v>1000</v>
      </c>
      <c r="F1254" s="27" t="n">
        <v>45884</v>
      </c>
      <c r="G1254" s="27" t="n">
        <v>45882</v>
      </c>
      <c r="H1254" s="27" t="n">
        <v>45882</v>
      </c>
      <c r="I1254" s="27" t="n">
        <v>45869</v>
      </c>
      <c r="J1254" s="27" t="n">
        <v>45847</v>
      </c>
      <c r="K1254" t="inlineStr">
        <is>
          <t>Transferência Bancária ou Pix</t>
        </is>
      </c>
      <c r="L1254" t="inlineStr">
        <is>
          <t>Custos Artístico Geral</t>
        </is>
      </c>
      <c r="M1254" t="inlineStr">
        <is>
          <t>Locação de Equipamentos Fixo</t>
        </is>
      </c>
      <c r="N1254" t="inlineStr">
        <is>
          <t>682025</t>
        </is>
      </c>
      <c r="O1254" t="inlineStr">
        <is>
          <t>Documentação Aprovada</t>
        </is>
      </c>
      <c r="P1254" t="inlineStr">
        <is>
          <t>Aprovado Diretoria</t>
        </is>
      </c>
      <c r="Q1254" t="inlineStr">
        <is>
          <t>Aprovado Caixa</t>
        </is>
      </c>
      <c r="R1254" t="inlineStr">
        <is>
          <t>Pago</t>
        </is>
      </c>
      <c r="S1254" t="n">
        <v>182</v>
      </c>
      <c r="T1254" t="inlineStr">
        <is>
          <t>Love - Shibari - Kamino</t>
        </is>
      </c>
    </row>
    <row r="1255">
      <c r="A1255" t="n">
        <v>147695</v>
      </c>
      <c r="B1255" t="n">
        <v>128</v>
      </c>
      <c r="C1255" t="inlineStr">
        <is>
          <t>Love Cabaret</t>
        </is>
      </c>
      <c r="D1255" t="inlineStr">
        <is>
          <t xml:space="preserve">EMPORIO MEL </t>
        </is>
      </c>
      <c r="E1255" t="n">
        <v>845.03</v>
      </c>
      <c r="F1255" s="27" t="n">
        <v>45883</v>
      </c>
      <c r="G1255" s="27" t="n">
        <v>45882</v>
      </c>
      <c r="H1255" s="27" t="n">
        <v>45882</v>
      </c>
      <c r="I1255" s="27" t="n">
        <v>45852</v>
      </c>
      <c r="J1255" s="27" t="n">
        <v>45855</v>
      </c>
      <c r="K1255" t="inlineStr">
        <is>
          <t>Boleto Bancário</t>
        </is>
      </c>
      <c r="L1255" t="inlineStr">
        <is>
          <t>Custo Mercadoria Vendida</t>
        </is>
      </c>
      <c r="M1255" t="inlineStr">
        <is>
          <t>Insumos - Alimentos</t>
        </is>
      </c>
      <c r="N1255" t="inlineStr">
        <is>
          <t>461112</t>
        </is>
      </c>
      <c r="O1255" t="inlineStr">
        <is>
          <t>Documentação Aprovada</t>
        </is>
      </c>
      <c r="P1255" t="inlineStr">
        <is>
          <t>Aprovado Diretoria</t>
        </is>
      </c>
      <c r="Q1255" t="inlineStr">
        <is>
          <t>Aprovado Caixa</t>
        </is>
      </c>
      <c r="R1255" t="inlineStr">
        <is>
          <t>Pago</t>
        </is>
      </c>
      <c r="S1255" t="n">
        <v>182</v>
      </c>
      <c r="T1255" t="inlineStr">
        <is>
          <t>Love - Shibari - Kamino</t>
        </is>
      </c>
    </row>
    <row r="1256">
      <c r="A1256" t="n">
        <v>147809</v>
      </c>
      <c r="B1256" t="n">
        <v>128</v>
      </c>
      <c r="C1256" t="inlineStr">
        <is>
          <t>Love Cabaret</t>
        </is>
      </c>
      <c r="D1256" t="inlineStr">
        <is>
          <t>CEM ENGENHARIA DA MANUTENCAO LTDA</t>
        </is>
      </c>
      <c r="E1256" t="n">
        <v>638.73</v>
      </c>
      <c r="F1256" s="27" t="n">
        <v>45883</v>
      </c>
      <c r="G1256" s="27" t="n">
        <v>45882</v>
      </c>
      <c r="H1256" s="27" t="n">
        <v>45882</v>
      </c>
      <c r="I1256" s="27" t="n">
        <v>45854</v>
      </c>
      <c r="J1256" s="27" t="n">
        <v>45856</v>
      </c>
      <c r="K1256" t="inlineStr">
        <is>
          <t>Boleto Bancário</t>
        </is>
      </c>
      <c r="L1256" t="inlineStr">
        <is>
          <t>Manutenção</t>
        </is>
      </c>
      <c r="M1256" t="inlineStr">
        <is>
          <t>Material de Manutenção</t>
        </is>
      </c>
      <c r="N1256" t="inlineStr">
        <is>
          <t>2527</t>
        </is>
      </c>
      <c r="O1256" t="inlineStr">
        <is>
          <t>Documentação Aprovada</t>
        </is>
      </c>
      <c r="P1256" t="inlineStr">
        <is>
          <t>Aprovado Diretoria</t>
        </is>
      </c>
      <c r="Q1256" t="inlineStr">
        <is>
          <t>Aprovado Caixa</t>
        </is>
      </c>
      <c r="R1256" t="inlineStr">
        <is>
          <t>Pago</t>
        </is>
      </c>
      <c r="S1256" t="n">
        <v>182</v>
      </c>
      <c r="T1256" t="inlineStr">
        <is>
          <t>Love - Shibari - Kamino</t>
        </is>
      </c>
    </row>
    <row r="1257">
      <c r="A1257" t="n">
        <v>147341</v>
      </c>
      <c r="B1257" t="n">
        <v>128</v>
      </c>
      <c r="C1257" t="inlineStr">
        <is>
          <t>Love Cabaret</t>
        </is>
      </c>
      <c r="D1257" t="inlineStr">
        <is>
          <t>BRH SAUDE OCUPACIONAL LTDA</t>
        </is>
      </c>
      <c r="E1257" t="n">
        <v>43.6</v>
      </c>
      <c r="F1257" s="27" t="n">
        <v>45884</v>
      </c>
      <c r="G1257" s="27" t="n">
        <v>45882</v>
      </c>
      <c r="H1257" s="27" t="n">
        <v>45882</v>
      </c>
      <c r="I1257" s="27" t="n">
        <v>45839</v>
      </c>
      <c r="J1257" s="27" t="n">
        <v>45855</v>
      </c>
      <c r="K1257" t="inlineStr">
        <is>
          <t>Boleto Bancário</t>
        </is>
      </c>
      <c r="L1257" t="inlineStr">
        <is>
          <t>Mão de Obra - Benefícios</t>
        </is>
      </c>
      <c r="M1257" t="inlineStr">
        <is>
          <t xml:space="preserve">  -  Exames Periódicos</t>
        </is>
      </c>
      <c r="N1257" t="inlineStr">
        <is>
          <t>80952</t>
        </is>
      </c>
      <c r="O1257" t="inlineStr">
        <is>
          <t>Documentação Aprovada</t>
        </is>
      </c>
      <c r="P1257" t="inlineStr">
        <is>
          <t>Aprovado Diretoria</t>
        </is>
      </c>
      <c r="Q1257" t="inlineStr">
        <is>
          <t>Aprovado Caixa</t>
        </is>
      </c>
      <c r="R1257" t="inlineStr">
        <is>
          <t>Pago</t>
        </is>
      </c>
      <c r="S1257" t="n">
        <v>182</v>
      </c>
      <c r="T1257" t="inlineStr">
        <is>
          <t>Love - Shibari - Kamino</t>
        </is>
      </c>
    </row>
    <row r="1258">
      <c r="A1258" t="n">
        <v>147704</v>
      </c>
      <c r="B1258" t="n">
        <v>128</v>
      </c>
      <c r="C1258" t="inlineStr">
        <is>
          <t>Love Cabaret</t>
        </is>
      </c>
      <c r="D1258" t="inlineStr">
        <is>
          <t>B.B DISTRIBUIDORA DE CARNES LTDA</t>
        </is>
      </c>
      <c r="E1258" t="n">
        <v>373.76</v>
      </c>
      <c r="F1258" s="27" t="n">
        <v>45881</v>
      </c>
      <c r="G1258" s="27" t="n">
        <v>45880</v>
      </c>
      <c r="H1258" s="27" t="n">
        <v>45880</v>
      </c>
      <c r="I1258" s="27" t="n">
        <v>45853</v>
      </c>
      <c r="J1258" s="27" t="n">
        <v>45855</v>
      </c>
      <c r="K1258" t="inlineStr">
        <is>
          <t>Boleto Bancário</t>
        </is>
      </c>
      <c r="L1258" t="inlineStr">
        <is>
          <t>Custo Mercadoria Vendida</t>
        </is>
      </c>
      <c r="M1258" t="inlineStr">
        <is>
          <t>Insumos - Alimentos</t>
        </is>
      </c>
      <c r="N1258" t="inlineStr">
        <is>
          <t>397636</t>
        </is>
      </c>
      <c r="O1258" t="inlineStr">
        <is>
          <t>Documentação Aprovada</t>
        </is>
      </c>
      <c r="P1258" t="inlineStr">
        <is>
          <t>Aprovado Diretoria</t>
        </is>
      </c>
      <c r="Q1258" t="inlineStr">
        <is>
          <t>Aprovado Caixa</t>
        </is>
      </c>
      <c r="R1258" t="inlineStr">
        <is>
          <t>Pago</t>
        </is>
      </c>
      <c r="S1258" t="n">
        <v>182</v>
      </c>
      <c r="T1258" t="inlineStr">
        <is>
          <t>Love - Shibari - Kamino</t>
        </is>
      </c>
    </row>
    <row r="1259">
      <c r="A1259" t="n">
        <v>147702</v>
      </c>
      <c r="B1259" t="n">
        <v>128</v>
      </c>
      <c r="C1259" t="inlineStr">
        <is>
          <t>Love Cabaret</t>
        </is>
      </c>
      <c r="D1259" t="inlineStr">
        <is>
          <t>ANDREIA SANTOS FREITAS DUARTE</t>
        </is>
      </c>
      <c r="E1259" t="n">
        <v>423.36</v>
      </c>
      <c r="F1259" s="27" t="n">
        <v>45880</v>
      </c>
      <c r="G1259" s="27" t="n">
        <v>45880</v>
      </c>
      <c r="H1259" s="27" t="n">
        <v>45880</v>
      </c>
      <c r="I1259" s="27" t="n">
        <v>45853</v>
      </c>
      <c r="J1259" s="27" t="n">
        <v>45855</v>
      </c>
      <c r="K1259" t="inlineStr">
        <is>
          <t>Boleto Bancário</t>
        </is>
      </c>
      <c r="L1259" t="inlineStr">
        <is>
          <t>Utilidades</t>
        </is>
      </c>
      <c r="M1259" t="inlineStr">
        <is>
          <t>Higiene e Limpeza</t>
        </is>
      </c>
      <c r="N1259" t="inlineStr">
        <is>
          <t>2195</t>
        </is>
      </c>
      <c r="O1259" t="inlineStr">
        <is>
          <t>Documentação Aprovada</t>
        </is>
      </c>
      <c r="P1259" t="inlineStr">
        <is>
          <t>Aprovado Diretoria</t>
        </is>
      </c>
      <c r="Q1259" t="inlineStr">
        <is>
          <t>Aprovado Caixa</t>
        </is>
      </c>
      <c r="R1259" t="inlineStr">
        <is>
          <t>Pago</t>
        </is>
      </c>
      <c r="S1259" t="n">
        <v>182</v>
      </c>
      <c r="T1259" t="inlineStr">
        <is>
          <t>Love - Shibari - Kamino</t>
        </is>
      </c>
    </row>
    <row r="1260">
      <c r="A1260" t="n">
        <v>147700</v>
      </c>
      <c r="B1260" t="n">
        <v>128</v>
      </c>
      <c r="C1260" t="inlineStr">
        <is>
          <t>Love Cabaret</t>
        </is>
      </c>
      <c r="D1260" t="inlineStr">
        <is>
          <t>ANDREIA SANTOS FREITAS DUARTE</t>
        </is>
      </c>
      <c r="E1260" t="n">
        <v>263.18</v>
      </c>
      <c r="F1260" s="27" t="n">
        <v>45880</v>
      </c>
      <c r="G1260" s="27" t="n">
        <v>45880</v>
      </c>
      <c r="H1260" s="27" t="n">
        <v>45880</v>
      </c>
      <c r="I1260" s="27" t="n">
        <v>45853</v>
      </c>
      <c r="J1260" s="27" t="n">
        <v>45855</v>
      </c>
      <c r="K1260" t="inlineStr">
        <is>
          <t>Boleto Bancário</t>
        </is>
      </c>
      <c r="L1260" t="inlineStr">
        <is>
          <t>Custo Mercadoria Vendida</t>
        </is>
      </c>
      <c r="M1260" t="inlineStr">
        <is>
          <t>Insumos - Alimentos</t>
        </is>
      </c>
      <c r="N1260" t="inlineStr">
        <is>
          <t>2194</t>
        </is>
      </c>
      <c r="O1260" t="inlineStr">
        <is>
          <t>Documentação Aprovada</t>
        </is>
      </c>
      <c r="P1260" t="inlineStr">
        <is>
          <t>Aprovado Diretoria</t>
        </is>
      </c>
      <c r="Q1260" t="inlineStr">
        <is>
          <t>Aprovado Caixa</t>
        </is>
      </c>
      <c r="R1260" t="inlineStr">
        <is>
          <t>Pago</t>
        </is>
      </c>
      <c r="S1260" t="n">
        <v>182</v>
      </c>
      <c r="T1260" t="inlineStr">
        <is>
          <t>Love - Shibari - Kamino</t>
        </is>
      </c>
    </row>
    <row r="1261">
      <c r="A1261" t="n">
        <v>147676</v>
      </c>
      <c r="B1261" t="n">
        <v>128</v>
      </c>
      <c r="C1261" t="inlineStr">
        <is>
          <t>Love Cabaret</t>
        </is>
      </c>
      <c r="D1261" t="inlineStr">
        <is>
          <t>KING COMERCIO E IMPORTACAO DE BEBIDAS LTDA</t>
        </is>
      </c>
      <c r="E1261" t="n">
        <v>1570.24</v>
      </c>
      <c r="F1261" s="27" t="n">
        <v>45882</v>
      </c>
      <c r="G1261" s="27" t="n">
        <v>45880</v>
      </c>
      <c r="H1261" s="27" t="n">
        <v>45880</v>
      </c>
      <c r="I1261" s="27" t="n">
        <v>45854</v>
      </c>
      <c r="J1261" s="27" t="n">
        <v>45855</v>
      </c>
      <c r="K1261" t="inlineStr">
        <is>
          <t>Boleto Bancário</t>
        </is>
      </c>
      <c r="L1261" t="inlineStr">
        <is>
          <t>Custo Mercadoria Vendida</t>
        </is>
      </c>
      <c r="M1261" t="inlineStr">
        <is>
          <t>Insumos - Bebidas</t>
        </is>
      </c>
      <c r="N1261" t="inlineStr">
        <is>
          <t>119476</t>
        </is>
      </c>
      <c r="O1261" t="inlineStr">
        <is>
          <t>Documentação Aprovada</t>
        </is>
      </c>
      <c r="P1261" t="inlineStr">
        <is>
          <t>Aprovado Diretoria</t>
        </is>
      </c>
      <c r="Q1261" t="inlineStr">
        <is>
          <t>Aprovado Caixa</t>
        </is>
      </c>
      <c r="R1261" t="inlineStr">
        <is>
          <t>Pago</t>
        </is>
      </c>
      <c r="S1261" t="n">
        <v>182</v>
      </c>
      <c r="T1261" t="inlineStr">
        <is>
          <t>Love - Shibari - Kamino</t>
        </is>
      </c>
    </row>
    <row r="1262">
      <c r="A1262" t="n">
        <v>147688</v>
      </c>
      <c r="B1262" t="n">
        <v>128</v>
      </c>
      <c r="C1262" t="inlineStr">
        <is>
          <t>Love Cabaret</t>
        </is>
      </c>
      <c r="D1262" t="inlineStr">
        <is>
          <t>PROAUTO INDUSTRIA QUIMICA EIRELI</t>
        </is>
      </c>
      <c r="E1262" t="n">
        <v>1249.11</v>
      </c>
      <c r="F1262" s="27" t="n">
        <v>45880</v>
      </c>
      <c r="G1262" s="27" t="n">
        <v>45880</v>
      </c>
      <c r="H1262" s="27" t="n">
        <v>45880</v>
      </c>
      <c r="I1262" s="27" t="n">
        <v>45852</v>
      </c>
      <c r="J1262" s="27" t="n">
        <v>45855</v>
      </c>
      <c r="K1262" t="inlineStr">
        <is>
          <t>Boleto Bancário</t>
        </is>
      </c>
      <c r="L1262" t="inlineStr">
        <is>
          <t>Utilidades</t>
        </is>
      </c>
      <c r="M1262" t="inlineStr">
        <is>
          <t>Higiene e Limpeza</t>
        </is>
      </c>
      <c r="N1262" t="inlineStr">
        <is>
          <t>141064</t>
        </is>
      </c>
      <c r="O1262" t="inlineStr">
        <is>
          <t>Documentação Aprovada</t>
        </is>
      </c>
      <c r="P1262" t="inlineStr">
        <is>
          <t>Aprovado Diretoria</t>
        </is>
      </c>
      <c r="Q1262" t="inlineStr">
        <is>
          <t>Aprovado Caixa</t>
        </is>
      </c>
      <c r="R1262" t="inlineStr">
        <is>
          <t>Pago</t>
        </is>
      </c>
      <c r="S1262" t="n">
        <v>182</v>
      </c>
      <c r="T1262" t="inlineStr">
        <is>
          <t>Love - Shibari - Kamino</t>
        </is>
      </c>
    </row>
    <row r="1263">
      <c r="A1263" t="n">
        <v>149441</v>
      </c>
      <c r="B1263" t="n">
        <v>128</v>
      </c>
      <c r="C1263" t="inlineStr">
        <is>
          <t>Love Cabaret</t>
        </is>
      </c>
      <c r="D1263" t="inlineStr">
        <is>
          <t>HELTON DA SILVA CAITANO</t>
        </is>
      </c>
      <c r="E1263" t="n">
        <v>450</v>
      </c>
      <c r="F1263" s="27" t="n">
        <v>45880</v>
      </c>
      <c r="G1263" s="27" t="n">
        <v>45880</v>
      </c>
      <c r="H1263" s="27" t="n">
        <v>45880</v>
      </c>
      <c r="I1263" s="27" t="n">
        <v>45862</v>
      </c>
      <c r="J1263" s="27" t="n">
        <v>45867</v>
      </c>
      <c r="K1263" t="inlineStr">
        <is>
          <t>Transferência Bancária ou Pix</t>
        </is>
      </c>
      <c r="L1263" t="inlineStr">
        <is>
          <t>Manutenção</t>
        </is>
      </c>
      <c r="M1263" t="inlineStr">
        <is>
          <t>Manutenção Predial</t>
        </is>
      </c>
      <c r="N1263" t="inlineStr">
        <is>
          <t>70</t>
        </is>
      </c>
      <c r="O1263" t="inlineStr">
        <is>
          <t>Documentação Aprovada</t>
        </is>
      </c>
      <c r="P1263" t="inlineStr">
        <is>
          <t>Aprovado Diretoria</t>
        </is>
      </c>
      <c r="Q1263" t="inlineStr">
        <is>
          <t>Aprovado Caixa</t>
        </is>
      </c>
      <c r="R1263" t="inlineStr">
        <is>
          <t>Pago</t>
        </is>
      </c>
      <c r="S1263" t="n">
        <v>182</v>
      </c>
      <c r="T1263" t="inlineStr">
        <is>
          <t>Love - Shibari - Kamino</t>
        </is>
      </c>
    </row>
    <row r="1264">
      <c r="A1264" t="n">
        <v>152782</v>
      </c>
      <c r="B1264" t="n">
        <v>128</v>
      </c>
      <c r="C1264" t="inlineStr">
        <is>
          <t>Love Cabaret</t>
        </is>
      </c>
      <c r="D1264" t="inlineStr">
        <is>
          <t>PRESHH ALUGUEL DE MAQUINAS LTDA</t>
        </is>
      </c>
      <c r="E1264" t="n">
        <v>400</v>
      </c>
      <c r="F1264" s="27" t="n">
        <v>45880</v>
      </c>
      <c r="G1264" s="27" t="n">
        <v>45880</v>
      </c>
      <c r="H1264" s="27" t="n">
        <v>45880</v>
      </c>
      <c r="I1264" s="27" t="n">
        <v>45853</v>
      </c>
      <c r="J1264" s="27" t="n">
        <v>45875</v>
      </c>
      <c r="K1264" t="inlineStr">
        <is>
          <t>Boleto Bancário</t>
        </is>
      </c>
      <c r="L1264" t="inlineStr">
        <is>
          <t>Utilidades</t>
        </is>
      </c>
      <c r="M1264" t="inlineStr">
        <is>
          <t>Material de Consumo - Gelo/ Gas CO2/ Carvao /Velas</t>
        </is>
      </c>
      <c r="N1264" t="inlineStr">
        <is>
          <t>64662</t>
        </is>
      </c>
      <c r="O1264" t="inlineStr">
        <is>
          <t>Documentação Aprovada</t>
        </is>
      </c>
      <c r="P1264" t="inlineStr">
        <is>
          <t>Aprovado Diretoria</t>
        </is>
      </c>
      <c r="Q1264" t="inlineStr">
        <is>
          <t>Aprovado Caixa</t>
        </is>
      </c>
      <c r="R1264" t="inlineStr">
        <is>
          <t>Pago</t>
        </is>
      </c>
      <c r="S1264" t="n">
        <v>182</v>
      </c>
      <c r="T1264" t="inlineStr">
        <is>
          <t>Love - Shibari - Kamino</t>
        </is>
      </c>
    </row>
    <row r="1265">
      <c r="A1265" t="n">
        <v>150714</v>
      </c>
      <c r="B1265" t="n">
        <v>128</v>
      </c>
      <c r="C1265" t="inlineStr">
        <is>
          <t>Love Cabaret</t>
        </is>
      </c>
      <c r="D1265" t="inlineStr">
        <is>
          <t>NINO PONTES BRASILEIRO E SILVA</t>
        </is>
      </c>
      <c r="E1265" t="n">
        <v>500</v>
      </c>
      <c r="F1265" s="27" t="n">
        <v>45880</v>
      </c>
      <c r="G1265" s="27" t="n">
        <v>45880</v>
      </c>
      <c r="H1265" s="27" t="n">
        <v>45880</v>
      </c>
      <c r="I1265" s="27" t="n">
        <v>45850</v>
      </c>
      <c r="J1265" s="27" t="n">
        <v>45873</v>
      </c>
      <c r="K1265" t="inlineStr">
        <is>
          <t>Transferência Bancária ou Pix</t>
        </is>
      </c>
      <c r="L1265" t="inlineStr">
        <is>
          <t>Custos Artístico Geral</t>
        </is>
      </c>
      <c r="M1265" t="inlineStr">
        <is>
          <t>Técnico de Som / Luz</t>
        </is>
      </c>
      <c r="N1265" t="inlineStr">
        <is>
          <t>24</t>
        </is>
      </c>
      <c r="O1265" t="inlineStr">
        <is>
          <t>Documentação Aprovada</t>
        </is>
      </c>
      <c r="P1265" t="inlineStr">
        <is>
          <t>Aprovado Diretoria</t>
        </is>
      </c>
      <c r="Q1265" t="inlineStr">
        <is>
          <t>Aprovado Caixa</t>
        </is>
      </c>
      <c r="R1265" t="inlineStr">
        <is>
          <t>Pago</t>
        </is>
      </c>
      <c r="S1265" t="n">
        <v>182</v>
      </c>
      <c r="T1265" t="inlineStr">
        <is>
          <t>Love - Shibari - Kamino</t>
        </is>
      </c>
    </row>
    <row r="1266">
      <c r="A1266" t="n">
        <v>150121</v>
      </c>
      <c r="B1266" t="n">
        <v>128</v>
      </c>
      <c r="C1266" t="inlineStr">
        <is>
          <t>Love Cabaret</t>
        </is>
      </c>
      <c r="D1266" t="inlineStr">
        <is>
          <t>NOVA COMERCIAL DO PEIXE LTDA</t>
        </is>
      </c>
      <c r="E1266" t="n">
        <v>588</v>
      </c>
      <c r="F1266" s="27" t="n">
        <v>45880</v>
      </c>
      <c r="G1266" s="27" t="n">
        <v>45880</v>
      </c>
      <c r="H1266" s="27" t="n">
        <v>45880</v>
      </c>
      <c r="I1266" s="27" t="n">
        <v>45866</v>
      </c>
      <c r="J1266" s="27" t="n">
        <v>45869</v>
      </c>
      <c r="K1266" t="inlineStr">
        <is>
          <t>Boleto Bancário</t>
        </is>
      </c>
      <c r="L1266" t="inlineStr">
        <is>
          <t>Custo Mercadoria Vendida</t>
        </is>
      </c>
      <c r="M1266" t="inlineStr">
        <is>
          <t>Insumos - Alimentos</t>
        </is>
      </c>
      <c r="N1266" t="inlineStr">
        <is>
          <t>26567</t>
        </is>
      </c>
      <c r="O1266" t="inlineStr">
        <is>
          <t>Documentação Aprovada</t>
        </is>
      </c>
      <c r="P1266" t="inlineStr">
        <is>
          <t>Aprovado Diretoria</t>
        </is>
      </c>
      <c r="Q1266" t="inlineStr">
        <is>
          <t>Aprovado Caixa</t>
        </is>
      </c>
      <c r="R1266" t="inlineStr">
        <is>
          <t>Pago</t>
        </is>
      </c>
      <c r="S1266" t="n">
        <v>182</v>
      </c>
      <c r="T1266" t="inlineStr">
        <is>
          <t>Love - Shibari - Kamino</t>
        </is>
      </c>
    </row>
    <row r="1267">
      <c r="A1267" t="n">
        <v>153131</v>
      </c>
      <c r="B1267" t="n">
        <v>128</v>
      </c>
      <c r="C1267" t="inlineStr">
        <is>
          <t>Love Cabaret</t>
        </is>
      </c>
      <c r="D1267" t="inlineStr">
        <is>
          <t xml:space="preserve">FORTE ALIMENTOS COM. IMPORTAÇÃO LTDA </t>
        </is>
      </c>
      <c r="E1267" t="n">
        <v>882.4</v>
      </c>
      <c r="F1267" s="27" t="n">
        <v>45881</v>
      </c>
      <c r="G1267" s="27" t="n">
        <v>45880</v>
      </c>
      <c r="H1267" s="27" t="n">
        <v>45880</v>
      </c>
      <c r="I1267" s="27" t="n">
        <v>45866</v>
      </c>
      <c r="J1267" s="27" t="n">
        <v>45875</v>
      </c>
      <c r="K1267" t="inlineStr">
        <is>
          <t>Boleto Bancário</t>
        </is>
      </c>
      <c r="L1267" t="inlineStr">
        <is>
          <t>Custo Mercadoria Vendida</t>
        </is>
      </c>
      <c r="M1267" t="inlineStr">
        <is>
          <t>Insumos - Alimentos</t>
        </is>
      </c>
      <c r="N1267" t="inlineStr">
        <is>
          <t>324068</t>
        </is>
      </c>
      <c r="O1267" t="inlineStr">
        <is>
          <t>Documentação Aprovada</t>
        </is>
      </c>
      <c r="P1267" t="inlineStr">
        <is>
          <t>Aprovado Diretoria</t>
        </is>
      </c>
      <c r="Q1267" t="inlineStr">
        <is>
          <t>Aprovado Caixa</t>
        </is>
      </c>
      <c r="R1267" t="inlineStr">
        <is>
          <t>Pago</t>
        </is>
      </c>
      <c r="S1267" t="n">
        <v>182</v>
      </c>
      <c r="T1267" t="inlineStr">
        <is>
          <t>Love - Shibari - Kamino</t>
        </is>
      </c>
    </row>
    <row r="1268">
      <c r="A1268" t="n">
        <v>153087</v>
      </c>
      <c r="B1268" t="n">
        <v>128</v>
      </c>
      <c r="C1268" t="inlineStr">
        <is>
          <t>Love Cabaret</t>
        </is>
      </c>
      <c r="D1268" t="inlineStr">
        <is>
          <t>CIUFFI HORTIFRUTI EIRELI</t>
        </is>
      </c>
      <c r="E1268" t="n">
        <v>86.56999999999999</v>
      </c>
      <c r="F1268" s="27" t="n">
        <v>45880</v>
      </c>
      <c r="G1268" s="27" t="n">
        <v>45880</v>
      </c>
      <c r="H1268" s="27" t="n">
        <v>45880</v>
      </c>
      <c r="I1268" s="27" t="n">
        <v>45862</v>
      </c>
      <c r="J1268" s="27" t="n">
        <v>45875</v>
      </c>
      <c r="K1268" t="inlineStr">
        <is>
          <t>Boleto Bancário</t>
        </is>
      </c>
      <c r="L1268" t="inlineStr">
        <is>
          <t>Custo Mercadoria Vendida</t>
        </is>
      </c>
      <c r="M1268" t="inlineStr">
        <is>
          <t>Insumos - Alimentos</t>
        </is>
      </c>
      <c r="N1268" t="inlineStr">
        <is>
          <t>25416</t>
        </is>
      </c>
      <c r="O1268" t="inlineStr">
        <is>
          <t>Documentação Aprovada</t>
        </is>
      </c>
      <c r="P1268" t="inlineStr">
        <is>
          <t>Aprovado Diretoria</t>
        </is>
      </c>
      <c r="Q1268" t="inlineStr">
        <is>
          <t>Aprovado Caixa</t>
        </is>
      </c>
      <c r="R1268" t="inlineStr">
        <is>
          <t>Pago</t>
        </is>
      </c>
      <c r="S1268" t="n">
        <v>182</v>
      </c>
      <c r="T1268" t="inlineStr">
        <is>
          <t>Love - Shibari - Kamino</t>
        </is>
      </c>
    </row>
    <row r="1269">
      <c r="A1269" t="n">
        <v>153134</v>
      </c>
      <c r="B1269" t="n">
        <v>128</v>
      </c>
      <c r="C1269" t="inlineStr">
        <is>
          <t>Love Cabaret</t>
        </is>
      </c>
      <c r="D1269" t="inlineStr">
        <is>
          <t>WPP COMERCIO DE CARNES LTDA</t>
        </is>
      </c>
      <c r="E1269" t="n">
        <v>995.24</v>
      </c>
      <c r="F1269" s="27" t="n">
        <v>45881</v>
      </c>
      <c r="G1269" s="27" t="n">
        <v>45880</v>
      </c>
      <c r="H1269" s="27" t="n">
        <v>45880</v>
      </c>
      <c r="I1269" s="27" t="n">
        <v>45867</v>
      </c>
      <c r="J1269" s="27" t="n">
        <v>45875</v>
      </c>
      <c r="K1269" t="inlineStr">
        <is>
          <t>Boleto Bancário</t>
        </is>
      </c>
      <c r="L1269" t="inlineStr">
        <is>
          <t>Custo Mercadoria Vendida</t>
        </is>
      </c>
      <c r="M1269" t="inlineStr">
        <is>
          <t>Insumos - Alimentos</t>
        </is>
      </c>
      <c r="N1269" t="inlineStr">
        <is>
          <t>73670</t>
        </is>
      </c>
      <c r="O1269" t="inlineStr">
        <is>
          <t>Documentação Aprovada</t>
        </is>
      </c>
      <c r="P1269" t="inlineStr">
        <is>
          <t>Aprovado Diretoria</t>
        </is>
      </c>
      <c r="Q1269" t="inlineStr">
        <is>
          <t>Aprovado Caixa</t>
        </is>
      </c>
      <c r="R1269" t="inlineStr">
        <is>
          <t>Pago</t>
        </is>
      </c>
      <c r="S1269" t="n">
        <v>182</v>
      </c>
      <c r="T1269" t="inlineStr">
        <is>
          <t>Love - Shibari - Kamino</t>
        </is>
      </c>
    </row>
    <row r="1270">
      <c r="A1270" t="n">
        <v>153138</v>
      </c>
      <c r="B1270" t="n">
        <v>128</v>
      </c>
      <c r="C1270" t="inlineStr">
        <is>
          <t>Love Cabaret</t>
        </is>
      </c>
      <c r="D1270" t="inlineStr">
        <is>
          <t>CEPEL COMERCIO DE PAPEIS E EMBALAGENS EIRELI</t>
        </is>
      </c>
      <c r="E1270" t="n">
        <v>534.5</v>
      </c>
      <c r="F1270" s="27" t="n">
        <v>45881</v>
      </c>
      <c r="G1270" s="27" t="n">
        <v>45880</v>
      </c>
      <c r="H1270" s="27" t="n">
        <v>45880</v>
      </c>
      <c r="I1270" s="27" t="n">
        <v>45866</v>
      </c>
      <c r="J1270" s="27" t="n">
        <v>45875</v>
      </c>
      <c r="K1270" t="inlineStr">
        <is>
          <t>Boleto Bancário</t>
        </is>
      </c>
      <c r="L1270" t="inlineStr">
        <is>
          <t>Utilidades</t>
        </is>
      </c>
      <c r="M1270" t="inlineStr">
        <is>
          <t>Higiene e Limpeza</t>
        </is>
      </c>
      <c r="N1270" t="inlineStr">
        <is>
          <t>24233</t>
        </is>
      </c>
      <c r="O1270" t="inlineStr">
        <is>
          <t>Documentação Aprovada</t>
        </is>
      </c>
      <c r="P1270" t="inlineStr">
        <is>
          <t>Aprovado Diretoria</t>
        </is>
      </c>
      <c r="Q1270" t="inlineStr">
        <is>
          <t>Aprovado Caixa</t>
        </is>
      </c>
      <c r="R1270" t="inlineStr">
        <is>
          <t>Pago</t>
        </is>
      </c>
      <c r="S1270" t="n">
        <v>182</v>
      </c>
      <c r="T1270" t="inlineStr">
        <is>
          <t>Love - Shibari - Kamino</t>
        </is>
      </c>
    </row>
    <row r="1271">
      <c r="A1271" t="n">
        <v>153144</v>
      </c>
      <c r="B1271" t="n">
        <v>128</v>
      </c>
      <c r="C1271" t="inlineStr">
        <is>
          <t>Love Cabaret</t>
        </is>
      </c>
      <c r="D1271" t="inlineStr">
        <is>
          <t>CECILIA TSUYACO ARAKI SILVA LTDA</t>
        </is>
      </c>
      <c r="E1271" t="n">
        <v>100.53</v>
      </c>
      <c r="F1271" s="27" t="n">
        <v>45880</v>
      </c>
      <c r="G1271" s="27" t="n">
        <v>45880</v>
      </c>
      <c r="H1271" s="27" t="n">
        <v>45880</v>
      </c>
      <c r="I1271" s="27" t="n">
        <v>45862</v>
      </c>
      <c r="J1271" s="27" t="n">
        <v>45875</v>
      </c>
      <c r="K1271" t="inlineStr">
        <is>
          <t>Boleto Bancário</t>
        </is>
      </c>
      <c r="L1271" t="inlineStr">
        <is>
          <t>Custo Mercadoria Vendida</t>
        </is>
      </c>
      <c r="M1271" t="inlineStr">
        <is>
          <t>Insumos - Alimentos</t>
        </is>
      </c>
      <c r="N1271" t="inlineStr">
        <is>
          <t>375051</t>
        </is>
      </c>
      <c r="O1271" t="inlineStr">
        <is>
          <t>Documentação Aprovada</t>
        </is>
      </c>
      <c r="P1271" t="inlineStr">
        <is>
          <t>Aprovado Diretoria</t>
        </is>
      </c>
      <c r="Q1271" t="inlineStr">
        <is>
          <t>Aprovado Caixa</t>
        </is>
      </c>
      <c r="R1271" t="inlineStr">
        <is>
          <t>Pago</t>
        </is>
      </c>
      <c r="S1271" t="n">
        <v>182</v>
      </c>
      <c r="T1271" t="inlineStr">
        <is>
          <t>Love - Shibari - Kamino</t>
        </is>
      </c>
    </row>
    <row r="1272">
      <c r="A1272" t="n">
        <v>153125</v>
      </c>
      <c r="B1272" t="n">
        <v>128</v>
      </c>
      <c r="C1272" t="inlineStr">
        <is>
          <t>Love Cabaret</t>
        </is>
      </c>
      <c r="D1272" t="inlineStr">
        <is>
          <t xml:space="preserve">MS FRANGOS LTDA </t>
        </is>
      </c>
      <c r="E1272" t="n">
        <v>390.06</v>
      </c>
      <c r="F1272" s="27" t="n">
        <v>45882</v>
      </c>
      <c r="G1272" s="27" t="n">
        <v>45880</v>
      </c>
      <c r="H1272" s="27" t="n">
        <v>45880</v>
      </c>
      <c r="I1272" s="27" t="n">
        <v>45867</v>
      </c>
      <c r="J1272" s="27" t="n">
        <v>45875</v>
      </c>
      <c r="K1272" t="inlineStr">
        <is>
          <t>Boleto Bancário</t>
        </is>
      </c>
      <c r="L1272" t="inlineStr">
        <is>
          <t>Custo Mercadoria Vendida</t>
        </is>
      </c>
      <c r="M1272" t="inlineStr">
        <is>
          <t>Insumos - Alimentos</t>
        </is>
      </c>
      <c r="N1272" t="inlineStr">
        <is>
          <t>3617</t>
        </is>
      </c>
      <c r="O1272" t="inlineStr">
        <is>
          <t>Documentação Aprovada</t>
        </is>
      </c>
      <c r="P1272" t="inlineStr">
        <is>
          <t>Aprovado Diretoria</t>
        </is>
      </c>
      <c r="Q1272" t="inlineStr">
        <is>
          <t>Aprovado Caixa</t>
        </is>
      </c>
      <c r="R1272" t="inlineStr">
        <is>
          <t>Pago</t>
        </is>
      </c>
      <c r="S1272" t="n">
        <v>182</v>
      </c>
      <c r="T1272" t="inlineStr">
        <is>
          <t>Love - Shibari - Kamino</t>
        </is>
      </c>
    </row>
    <row r="1273">
      <c r="A1273" t="n">
        <v>153147</v>
      </c>
      <c r="B1273" t="n">
        <v>128</v>
      </c>
      <c r="C1273" t="inlineStr">
        <is>
          <t>Love Cabaret</t>
        </is>
      </c>
      <c r="D1273" t="inlineStr">
        <is>
          <t>CASA DE CARNES P.J.J.LTDA</t>
        </is>
      </c>
      <c r="E1273" t="n">
        <v>69.31</v>
      </c>
      <c r="F1273" s="27" t="n">
        <v>45881</v>
      </c>
      <c r="G1273" s="27" t="n">
        <v>45880</v>
      </c>
      <c r="H1273" s="27" t="n">
        <v>45880</v>
      </c>
      <c r="I1273" s="27" t="n">
        <v>45874</v>
      </c>
      <c r="J1273" s="27" t="n">
        <v>45875</v>
      </c>
      <c r="K1273" t="inlineStr">
        <is>
          <t>Boleto Bancário</t>
        </is>
      </c>
      <c r="L1273" t="inlineStr">
        <is>
          <t>Custo Mercadoria Vendida</t>
        </is>
      </c>
      <c r="M1273" t="inlineStr">
        <is>
          <t>Insumos - Alimentos</t>
        </is>
      </c>
      <c r="N1273" t="inlineStr">
        <is>
          <t>43469</t>
        </is>
      </c>
      <c r="O1273" t="inlineStr">
        <is>
          <t>Documentação Aprovada</t>
        </is>
      </c>
      <c r="P1273" t="inlineStr">
        <is>
          <t>Aprovado Diretoria</t>
        </is>
      </c>
      <c r="Q1273" t="inlineStr">
        <is>
          <t>Aprovado Caixa</t>
        </is>
      </c>
      <c r="R1273" t="inlineStr">
        <is>
          <t>Pago</t>
        </is>
      </c>
      <c r="S1273" t="n">
        <v>182</v>
      </c>
      <c r="T1273" t="inlineStr">
        <is>
          <t>Love - Shibari - Kamino</t>
        </is>
      </c>
    </row>
    <row r="1274">
      <c r="A1274" t="n">
        <v>153120</v>
      </c>
      <c r="B1274" t="n">
        <v>128</v>
      </c>
      <c r="C1274" t="inlineStr">
        <is>
          <t>Love Cabaret</t>
        </is>
      </c>
      <c r="D1274" t="inlineStr">
        <is>
          <t xml:space="preserve">LATICINIOS FIOR DITALIA LTDA </t>
        </is>
      </c>
      <c r="E1274" t="n">
        <v>326.75</v>
      </c>
      <c r="F1274" s="27" t="n">
        <v>45882</v>
      </c>
      <c r="G1274" s="27" t="n">
        <v>45880</v>
      </c>
      <c r="H1274" s="27" t="n">
        <v>45880</v>
      </c>
      <c r="I1274" s="27" t="n">
        <v>45866</v>
      </c>
      <c r="J1274" s="27" t="n">
        <v>45875</v>
      </c>
      <c r="K1274" t="inlineStr">
        <is>
          <t>Boleto Bancário</t>
        </is>
      </c>
      <c r="L1274" t="inlineStr">
        <is>
          <t>Custo Mercadoria Vendida</t>
        </is>
      </c>
      <c r="M1274" t="inlineStr">
        <is>
          <t>Insumos - Alimentos</t>
        </is>
      </c>
      <c r="N1274" t="inlineStr">
        <is>
          <t>37931</t>
        </is>
      </c>
      <c r="O1274" t="inlineStr">
        <is>
          <t>Documentação Aprovada</t>
        </is>
      </c>
      <c r="P1274" t="inlineStr">
        <is>
          <t>Aprovado Diretoria</t>
        </is>
      </c>
      <c r="Q1274" t="inlineStr">
        <is>
          <t>Aprovado Caixa</t>
        </is>
      </c>
      <c r="R1274" t="inlineStr">
        <is>
          <t>Pago</t>
        </is>
      </c>
      <c r="S1274" t="n">
        <v>182</v>
      </c>
      <c r="T1274" t="inlineStr">
        <is>
          <t>Love - Shibari - Kamino</t>
        </is>
      </c>
    </row>
    <row r="1275">
      <c r="A1275" t="n">
        <v>153164</v>
      </c>
      <c r="B1275" t="n">
        <v>128</v>
      </c>
      <c r="C1275" t="inlineStr">
        <is>
          <t>Love Cabaret</t>
        </is>
      </c>
      <c r="D1275" t="inlineStr">
        <is>
          <t>PSSS LTDA</t>
        </is>
      </c>
      <c r="E1275" t="n">
        <v>729.8</v>
      </c>
      <c r="F1275" s="27" t="n">
        <v>45882</v>
      </c>
      <c r="G1275" s="27" t="n">
        <v>45880</v>
      </c>
      <c r="H1275" s="27" t="n">
        <v>45880</v>
      </c>
      <c r="I1275" s="27" t="n">
        <v>45868</v>
      </c>
      <c r="J1275" s="27" t="n">
        <v>45875</v>
      </c>
      <c r="K1275" t="inlineStr">
        <is>
          <t>Boleto Bancário</t>
        </is>
      </c>
      <c r="L1275" t="inlineStr">
        <is>
          <t>Utilidades</t>
        </is>
      </c>
      <c r="M1275" t="inlineStr">
        <is>
          <t>Higiene e Limpeza</t>
        </is>
      </c>
      <c r="N1275" t="inlineStr">
        <is>
          <t>2024</t>
        </is>
      </c>
      <c r="O1275" t="inlineStr">
        <is>
          <t>Documentação Aprovada</t>
        </is>
      </c>
      <c r="P1275" t="inlineStr">
        <is>
          <t>Aprovado Diretoria</t>
        </is>
      </c>
      <c r="Q1275" t="inlineStr">
        <is>
          <t>Aprovado Caixa</t>
        </is>
      </c>
      <c r="R1275" t="inlineStr">
        <is>
          <t>Pago</t>
        </is>
      </c>
      <c r="S1275" t="n">
        <v>182</v>
      </c>
      <c r="T1275" t="inlineStr">
        <is>
          <t>Love - Shibari - Kamino</t>
        </is>
      </c>
    </row>
    <row r="1276">
      <c r="A1276" t="n">
        <v>153113</v>
      </c>
      <c r="B1276" t="n">
        <v>128</v>
      </c>
      <c r="C1276" t="inlineStr">
        <is>
          <t>Love Cabaret</t>
        </is>
      </c>
      <c r="D1276" t="inlineStr">
        <is>
          <t>FG7 COMERCIO E DISTRIBUICAO DE BEBIDAS LTDA</t>
        </is>
      </c>
      <c r="E1276" t="n">
        <v>824.12</v>
      </c>
      <c r="F1276" s="27" t="n">
        <v>45881</v>
      </c>
      <c r="G1276" s="27" t="n">
        <v>45880</v>
      </c>
      <c r="H1276" s="27" t="n">
        <v>45880</v>
      </c>
      <c r="I1276" s="27" t="n">
        <v>45859</v>
      </c>
      <c r="J1276" s="27" t="n">
        <v>45875</v>
      </c>
      <c r="K1276" t="inlineStr">
        <is>
          <t>Boleto Bancário</t>
        </is>
      </c>
      <c r="L1276" t="inlineStr">
        <is>
          <t>Custo Mercadoria Vendida</t>
        </is>
      </c>
      <c r="M1276" t="inlineStr">
        <is>
          <t>Insumos - Bebidas</t>
        </is>
      </c>
      <c r="N1276" t="inlineStr">
        <is>
          <t>643419</t>
        </is>
      </c>
      <c r="O1276" t="inlineStr">
        <is>
          <t>Documentação Aprovada</t>
        </is>
      </c>
      <c r="P1276" t="inlineStr">
        <is>
          <t>Aprovado Diretoria</t>
        </is>
      </c>
      <c r="Q1276" t="inlineStr">
        <is>
          <t>Aprovado Caixa</t>
        </is>
      </c>
      <c r="R1276" t="inlineStr">
        <is>
          <t>Pago</t>
        </is>
      </c>
      <c r="S1276" t="n">
        <v>182</v>
      </c>
      <c r="T1276" t="inlineStr">
        <is>
          <t>Love - Shibari - Kamino</t>
        </is>
      </c>
    </row>
    <row r="1277">
      <c r="A1277" t="n">
        <v>153196</v>
      </c>
      <c r="B1277" t="n">
        <v>128</v>
      </c>
      <c r="C1277" t="inlineStr">
        <is>
          <t>Love Cabaret</t>
        </is>
      </c>
      <c r="D1277" t="inlineStr">
        <is>
          <t>FERNANDA VILLAÇA</t>
        </is>
      </c>
      <c r="E1277" t="n">
        <v>1500</v>
      </c>
      <c r="F1277" s="27" t="n">
        <v>45880</v>
      </c>
      <c r="G1277" s="27" t="n">
        <v>45880</v>
      </c>
      <c r="H1277" s="27" t="n">
        <v>45880</v>
      </c>
      <c r="I1277" s="27" t="n">
        <v>45868</v>
      </c>
      <c r="J1277" s="27" t="n">
        <v>45875</v>
      </c>
      <c r="K1277" t="inlineStr">
        <is>
          <t>Transferência Bancária ou Pix</t>
        </is>
      </c>
      <c r="L1277" t="inlineStr">
        <is>
          <t>Marketing</t>
        </is>
      </c>
      <c r="M1277" t="inlineStr">
        <is>
          <t>Ferramentas de Marketing</t>
        </is>
      </c>
      <c r="N1277" t="inlineStr">
        <is>
          <t>742025</t>
        </is>
      </c>
      <c r="O1277" t="inlineStr">
        <is>
          <t>Documentação Aprovada</t>
        </is>
      </c>
      <c r="P1277" t="inlineStr">
        <is>
          <t>Aprovado Diretoria</t>
        </is>
      </c>
      <c r="Q1277" t="inlineStr">
        <is>
          <t>Aprovado Caixa</t>
        </is>
      </c>
      <c r="R1277" t="inlineStr">
        <is>
          <t>Pago</t>
        </is>
      </c>
      <c r="S1277" t="n">
        <v>182</v>
      </c>
      <c r="T1277" t="inlineStr">
        <is>
          <t>Love - Shibari - Kamino</t>
        </is>
      </c>
    </row>
    <row r="1278">
      <c r="A1278" t="n">
        <v>153112</v>
      </c>
      <c r="B1278" t="n">
        <v>128</v>
      </c>
      <c r="C1278" t="inlineStr">
        <is>
          <t>Love Cabaret</t>
        </is>
      </c>
      <c r="D1278" t="inlineStr">
        <is>
          <t>DTK COMERCIO DE ALIMENTOS LTDA</t>
        </is>
      </c>
      <c r="E1278" t="n">
        <v>1047.98</v>
      </c>
      <c r="F1278" s="27" t="n">
        <v>45880</v>
      </c>
      <c r="G1278" s="27" t="n">
        <v>45880</v>
      </c>
      <c r="H1278" s="27" t="n">
        <v>45880</v>
      </c>
      <c r="I1278" s="27" t="n">
        <v>45859</v>
      </c>
      <c r="J1278" s="27" t="n">
        <v>45875</v>
      </c>
      <c r="K1278" t="inlineStr">
        <is>
          <t>Boleto Bancário</t>
        </is>
      </c>
      <c r="L1278" t="inlineStr">
        <is>
          <t>Custo Mercadoria Vendida</t>
        </is>
      </c>
      <c r="M1278" t="inlineStr">
        <is>
          <t>Insumos - Alimentos</t>
        </is>
      </c>
      <c r="N1278" t="inlineStr">
        <is>
          <t>37032</t>
        </is>
      </c>
      <c r="O1278" t="inlineStr">
        <is>
          <t>Documentação Aprovada</t>
        </is>
      </c>
      <c r="P1278" t="inlineStr">
        <is>
          <t>Aprovado Diretoria</t>
        </is>
      </c>
      <c r="Q1278" t="inlineStr">
        <is>
          <t>Aprovado Caixa</t>
        </is>
      </c>
      <c r="R1278" t="inlineStr">
        <is>
          <t>Pago</t>
        </is>
      </c>
      <c r="S1278" t="n">
        <v>182</v>
      </c>
      <c r="T1278" t="inlineStr">
        <is>
          <t>Love - Shibari - Kamino</t>
        </is>
      </c>
    </row>
    <row r="1279">
      <c r="A1279" t="n">
        <v>153110</v>
      </c>
      <c r="B1279" t="n">
        <v>128</v>
      </c>
      <c r="C1279" t="inlineStr">
        <is>
          <t>Love Cabaret</t>
        </is>
      </c>
      <c r="D1279" t="inlineStr">
        <is>
          <t>HNK BR IND DE BEBIDAS</t>
        </is>
      </c>
      <c r="E1279" t="n">
        <v>3745.84</v>
      </c>
      <c r="F1279" s="27" t="n">
        <v>45880</v>
      </c>
      <c r="G1279" s="27" t="n">
        <v>45880</v>
      </c>
      <c r="H1279" s="27" t="n">
        <v>45880</v>
      </c>
      <c r="I1279" s="27" t="n">
        <v>45862</v>
      </c>
      <c r="J1279" s="27" t="n">
        <v>45875</v>
      </c>
      <c r="K1279" t="inlineStr">
        <is>
          <t>Boleto Bancário</t>
        </is>
      </c>
      <c r="L1279" t="inlineStr">
        <is>
          <t>Custo Mercadoria Vendida</t>
        </is>
      </c>
      <c r="M1279" t="inlineStr">
        <is>
          <t>Insumos - Bebidas</t>
        </is>
      </c>
      <c r="N1279" t="inlineStr">
        <is>
          <t>26787</t>
        </is>
      </c>
      <c r="O1279" t="inlineStr">
        <is>
          <t>Documentação Aprovada</t>
        </is>
      </c>
      <c r="P1279" t="inlineStr">
        <is>
          <t>Aprovado Diretoria</t>
        </is>
      </c>
      <c r="Q1279" t="inlineStr">
        <is>
          <t>Aprovado Caixa</t>
        </is>
      </c>
      <c r="R1279" t="inlineStr">
        <is>
          <t>Pago</t>
        </is>
      </c>
      <c r="S1279" t="n">
        <v>182</v>
      </c>
      <c r="T1279" t="inlineStr">
        <is>
          <t>Love - Shibari - Kamino</t>
        </is>
      </c>
    </row>
    <row r="1280">
      <c r="A1280" t="n">
        <v>153094</v>
      </c>
      <c r="B1280" t="n">
        <v>128</v>
      </c>
      <c r="C1280" t="inlineStr">
        <is>
          <t>Love Cabaret</t>
        </is>
      </c>
      <c r="D1280" t="inlineStr">
        <is>
          <t xml:space="preserve">ARENA VIP DISTRIBUIDORA DE BEBIDAS LTDA </t>
        </is>
      </c>
      <c r="E1280" t="n">
        <v>996</v>
      </c>
      <c r="F1280" s="27" t="n">
        <v>45880</v>
      </c>
      <c r="G1280" s="27" t="n">
        <v>45880</v>
      </c>
      <c r="H1280" s="27" t="n">
        <v>45880</v>
      </c>
      <c r="I1280" s="27" t="n">
        <v>45862</v>
      </c>
      <c r="J1280" s="27" t="n">
        <v>45875</v>
      </c>
      <c r="K1280" t="inlineStr">
        <is>
          <t>Boleto Bancário</t>
        </is>
      </c>
      <c r="L1280" t="inlineStr">
        <is>
          <t>Custo Mercadoria Vendida</t>
        </is>
      </c>
      <c r="M1280" t="inlineStr">
        <is>
          <t>Insumos - Bebidas</t>
        </is>
      </c>
      <c r="N1280" t="inlineStr">
        <is>
          <t>8136</t>
        </is>
      </c>
      <c r="O1280" t="inlineStr">
        <is>
          <t>Documentação Aprovada</t>
        </is>
      </c>
      <c r="P1280" t="inlineStr">
        <is>
          <t>Aprovado Diretoria</t>
        </is>
      </c>
      <c r="Q1280" t="inlineStr">
        <is>
          <t>Aprovado Caixa</t>
        </is>
      </c>
      <c r="R1280" t="inlineStr">
        <is>
          <t>Pago</t>
        </is>
      </c>
      <c r="S1280" t="n">
        <v>182</v>
      </c>
      <c r="T1280" t="inlineStr">
        <is>
          <t>Love - Shibari - Kamino</t>
        </is>
      </c>
    </row>
    <row r="1281">
      <c r="A1281" t="n">
        <v>153351</v>
      </c>
      <c r="B1281" t="n">
        <v>128</v>
      </c>
      <c r="C1281" t="inlineStr">
        <is>
          <t>Love Cabaret</t>
        </is>
      </c>
      <c r="D1281" t="inlineStr">
        <is>
          <t xml:space="preserve">CSRF </t>
        </is>
      </c>
      <c r="E1281" t="n">
        <v>538.2</v>
      </c>
      <c r="F1281" s="27" t="n">
        <v>45876</v>
      </c>
      <c r="G1281" s="27" t="n">
        <v>45876</v>
      </c>
      <c r="H1281" s="27" t="n">
        <v>45880</v>
      </c>
      <c r="I1281" s="27" t="n">
        <v>45876</v>
      </c>
      <c r="J1281" s="27" t="n"/>
      <c r="K1281" t="inlineStr">
        <is>
          <t>Boleto Bancário</t>
        </is>
      </c>
      <c r="L1281" t="inlineStr">
        <is>
          <t>Endividamento</t>
        </is>
      </c>
      <c r="M1281" t="inlineStr">
        <is>
          <t>Endividamento Geral</t>
        </is>
      </c>
      <c r="N1281" t="inlineStr">
        <is>
          <t>032025</t>
        </is>
      </c>
      <c r="O1281" t="inlineStr">
        <is>
          <t>Documentação Aprovada</t>
        </is>
      </c>
      <c r="P1281" t="inlineStr">
        <is>
          <t>Aprovado Diretoria</t>
        </is>
      </c>
      <c r="Q1281" t="inlineStr">
        <is>
          <t>Aprovado Caixa</t>
        </is>
      </c>
      <c r="R1281" t="inlineStr">
        <is>
          <t>Pago</t>
        </is>
      </c>
      <c r="S1281" t="n">
        <v>182</v>
      </c>
      <c r="T1281" t="inlineStr">
        <is>
          <t>Love - Shibari - Kamino</t>
        </is>
      </c>
    </row>
    <row r="1282">
      <c r="A1282" t="n">
        <v>153231</v>
      </c>
      <c r="B1282" t="n">
        <v>128</v>
      </c>
      <c r="C1282" t="inlineStr">
        <is>
          <t>Love Cabaret</t>
        </is>
      </c>
      <c r="D1282" t="inlineStr">
        <is>
          <t>CECILIA TSUYACO ARAKI SILVA LTDA</t>
        </is>
      </c>
      <c r="E1282" t="n">
        <v>214.39</v>
      </c>
      <c r="F1282" s="27" t="n">
        <v>45880</v>
      </c>
      <c r="G1282" s="27" t="n">
        <v>45880</v>
      </c>
      <c r="H1282" s="27" t="n">
        <v>45880</v>
      </c>
      <c r="I1282" s="27" t="n">
        <v>45867</v>
      </c>
      <c r="J1282" s="27" t="n">
        <v>45876</v>
      </c>
      <c r="K1282" t="inlineStr">
        <is>
          <t>Boleto Bancário</t>
        </is>
      </c>
      <c r="L1282" t="inlineStr">
        <is>
          <t>Custo Mercadoria Vendida</t>
        </is>
      </c>
      <c r="M1282" t="inlineStr">
        <is>
          <t>Insumos - Alimentos</t>
        </is>
      </c>
      <c r="N1282" t="inlineStr">
        <is>
          <t>375279</t>
        </is>
      </c>
      <c r="O1282" t="inlineStr">
        <is>
          <t>Documentação Aprovada</t>
        </is>
      </c>
      <c r="P1282" t="inlineStr">
        <is>
          <t>Aprovado Diretoria</t>
        </is>
      </c>
      <c r="Q1282" t="inlineStr">
        <is>
          <t>Aprovado Caixa</t>
        </is>
      </c>
      <c r="R1282" t="inlineStr">
        <is>
          <t>Pago</t>
        </is>
      </c>
      <c r="S1282" t="n">
        <v>182</v>
      </c>
      <c r="T1282" t="inlineStr">
        <is>
          <t>Love - Shibari - Kamino</t>
        </is>
      </c>
    </row>
    <row r="1283">
      <c r="A1283" t="n">
        <v>153236</v>
      </c>
      <c r="B1283" t="n">
        <v>128</v>
      </c>
      <c r="C1283" t="inlineStr">
        <is>
          <t>Love Cabaret</t>
        </is>
      </c>
      <c r="D1283" t="inlineStr">
        <is>
          <t xml:space="preserve">DISTRIBUIDORA DE CARNES CANTAREIRA </t>
        </is>
      </c>
      <c r="E1283" t="n">
        <v>566.4</v>
      </c>
      <c r="F1283" s="27" t="n">
        <v>45881</v>
      </c>
      <c r="G1283" s="27" t="n">
        <v>45880</v>
      </c>
      <c r="H1283" s="27" t="n">
        <v>45880</v>
      </c>
      <c r="I1283" s="27" t="n">
        <v>45868</v>
      </c>
      <c r="J1283" s="27" t="n">
        <v>45876</v>
      </c>
      <c r="K1283" t="inlineStr">
        <is>
          <t>Boleto Bancário</t>
        </is>
      </c>
      <c r="L1283" t="inlineStr">
        <is>
          <t>Custo Mercadoria Vendida</t>
        </is>
      </c>
      <c r="M1283" t="inlineStr">
        <is>
          <t>Insumos - Alimentos</t>
        </is>
      </c>
      <c r="N1283" t="inlineStr">
        <is>
          <t>43861</t>
        </is>
      </c>
      <c r="O1283" t="inlineStr">
        <is>
          <t>Documentação Aprovada</t>
        </is>
      </c>
      <c r="P1283" t="inlineStr">
        <is>
          <t>Aprovado Diretoria</t>
        </is>
      </c>
      <c r="Q1283" t="inlineStr">
        <is>
          <t>Aprovado Caixa</t>
        </is>
      </c>
      <c r="R1283" t="inlineStr">
        <is>
          <t>Pago</t>
        </is>
      </c>
      <c r="S1283" t="n">
        <v>182</v>
      </c>
      <c r="T1283" t="inlineStr">
        <is>
          <t>Love - Shibari - Kamino</t>
        </is>
      </c>
    </row>
    <row r="1284">
      <c r="A1284" t="n">
        <v>153237</v>
      </c>
      <c r="B1284" t="n">
        <v>128</v>
      </c>
      <c r="C1284" t="inlineStr">
        <is>
          <t>Love Cabaret</t>
        </is>
      </c>
      <c r="D1284" t="inlineStr">
        <is>
          <t>CECILIA TSUYACO ARAKI SILVA LTDA</t>
        </is>
      </c>
      <c r="E1284" t="n">
        <v>103.5</v>
      </c>
      <c r="F1284" s="27" t="n">
        <v>45881</v>
      </c>
      <c r="G1284" s="27" t="n">
        <v>45880</v>
      </c>
      <c r="H1284" s="27" t="n">
        <v>45880</v>
      </c>
      <c r="I1284" s="27" t="n">
        <v>45867</v>
      </c>
      <c r="J1284" s="27" t="n">
        <v>45876</v>
      </c>
      <c r="K1284" t="inlineStr">
        <is>
          <t>Boleto Bancário</t>
        </is>
      </c>
      <c r="L1284" t="inlineStr">
        <is>
          <t>Custo Mercadoria Vendida</t>
        </is>
      </c>
      <c r="M1284" t="inlineStr">
        <is>
          <t>Insumos - Alimentos</t>
        </is>
      </c>
      <c r="N1284" t="inlineStr">
        <is>
          <t>375345</t>
        </is>
      </c>
      <c r="O1284" t="inlineStr">
        <is>
          <t>Documentação Aprovada</t>
        </is>
      </c>
      <c r="P1284" t="inlineStr">
        <is>
          <t>Aprovado Diretoria</t>
        </is>
      </c>
      <c r="Q1284" t="inlineStr">
        <is>
          <t>Aprovado Caixa</t>
        </is>
      </c>
      <c r="R1284" t="inlineStr">
        <is>
          <t>Pago</t>
        </is>
      </c>
      <c r="S1284" t="n">
        <v>182</v>
      </c>
      <c r="T1284" t="inlineStr">
        <is>
          <t>Love - Shibari - Kamino</t>
        </is>
      </c>
    </row>
    <row r="1285">
      <c r="A1285" t="n">
        <v>102855</v>
      </c>
      <c r="B1285" t="n">
        <v>128</v>
      </c>
      <c r="C1285" t="inlineStr">
        <is>
          <t>Love Cabaret</t>
        </is>
      </c>
      <c r="D1285" t="inlineStr">
        <is>
          <t>IRMANDADE DA SANTA CASA DE MISERICORDIA DE SAO PAULO</t>
        </is>
      </c>
      <c r="E1285" t="n">
        <v>31634.64</v>
      </c>
      <c r="F1285" s="27" t="n">
        <v>45879</v>
      </c>
      <c r="G1285" s="27" t="n">
        <v>45880</v>
      </c>
      <c r="H1285" s="27" t="n">
        <v>45880</v>
      </c>
      <c r="I1285" s="27" t="n">
        <v>45858</v>
      </c>
      <c r="J1285" s="27" t="n"/>
      <c r="K1285" t="inlineStr">
        <is>
          <t>Boleto Bancário</t>
        </is>
      </c>
      <c r="L1285" t="inlineStr">
        <is>
          <t>Custo de Ocupação</t>
        </is>
      </c>
      <c r="M1285" t="inlineStr">
        <is>
          <t>Aluguel de Imoveis</t>
        </is>
      </c>
      <c r="N1285" t="inlineStr">
        <is>
          <t xml:space="preserve">00158716 </t>
        </is>
      </c>
      <c r="O1285" t="inlineStr">
        <is>
          <t>Documentação Aprovada</t>
        </is>
      </c>
      <c r="P1285" t="inlineStr">
        <is>
          <t>Aprovado Diretoria</t>
        </is>
      </c>
      <c r="Q1285" t="inlineStr">
        <is>
          <t>Aprovado Caixa</t>
        </is>
      </c>
      <c r="R1285" t="inlineStr">
        <is>
          <t>Pago</t>
        </is>
      </c>
      <c r="S1285" t="n">
        <v>182</v>
      </c>
      <c r="T1285" t="inlineStr">
        <is>
          <t>Love - Shibari - Kamino</t>
        </is>
      </c>
    </row>
    <row r="1286">
      <c r="A1286" t="n">
        <v>102869</v>
      </c>
      <c r="B1286" t="n">
        <v>128</v>
      </c>
      <c r="C1286" t="inlineStr">
        <is>
          <t>Love Cabaret</t>
        </is>
      </c>
      <c r="D1286" t="inlineStr">
        <is>
          <t>MACHINE SEGURANCA PATRIMONIAL LTDA</t>
        </is>
      </c>
      <c r="E1286" t="n">
        <v>6650</v>
      </c>
      <c r="F1286" s="27" t="n">
        <v>45874</v>
      </c>
      <c r="G1286" s="27" t="n">
        <v>45880</v>
      </c>
      <c r="H1286" s="27" t="n">
        <v>45880</v>
      </c>
      <c r="I1286" s="27" t="n">
        <v>45869</v>
      </c>
      <c r="J1286" s="27" t="n"/>
      <c r="K1286" t="inlineStr">
        <is>
          <t>Transferência Bancária ou Pix</t>
        </is>
      </c>
      <c r="L1286" t="inlineStr">
        <is>
          <t>Serviços de Terceiros</t>
        </is>
      </c>
      <c r="M1286" t="inlineStr">
        <is>
          <t>Serviços de Segurança</t>
        </is>
      </c>
      <c r="N1286" t="inlineStr">
        <is>
          <t>534</t>
        </is>
      </c>
      <c r="O1286" t="inlineStr">
        <is>
          <t>Documentação Aprovada</t>
        </is>
      </c>
      <c r="P1286" t="inlineStr">
        <is>
          <t>Aprovado Diretoria</t>
        </is>
      </c>
      <c r="Q1286" t="inlineStr">
        <is>
          <t>Aprovado Caixa</t>
        </is>
      </c>
      <c r="R1286" t="inlineStr">
        <is>
          <t>Pago</t>
        </is>
      </c>
      <c r="S1286" t="n">
        <v>182</v>
      </c>
      <c r="T1286" t="inlineStr">
        <is>
          <t>Love - Shibari - Kamino</t>
        </is>
      </c>
    </row>
    <row r="1287">
      <c r="A1287" t="n">
        <v>97531</v>
      </c>
      <c r="B1287" t="n">
        <v>128</v>
      </c>
      <c r="C1287" t="inlineStr">
        <is>
          <t>Love Cabaret</t>
        </is>
      </c>
      <c r="D1287" t="inlineStr">
        <is>
          <t>ISS</t>
        </is>
      </c>
      <c r="E1287" t="n">
        <v>189.28</v>
      </c>
      <c r="F1287" s="27" t="n">
        <v>45880</v>
      </c>
      <c r="G1287" s="27" t="n">
        <v>45880</v>
      </c>
      <c r="H1287" s="27" t="n">
        <v>45880</v>
      </c>
      <c r="I1287" s="27" t="n">
        <v>45869</v>
      </c>
      <c r="J1287" s="27" t="n"/>
      <c r="K1287" t="inlineStr">
        <is>
          <t>Boleto Bancário</t>
        </is>
      </c>
      <c r="L1287" t="inlineStr">
        <is>
          <t>Utilidades</t>
        </is>
      </c>
      <c r="M1287" t="inlineStr">
        <is>
          <t>Coleta de lixo</t>
        </is>
      </c>
      <c r="N1287" t="inlineStr">
        <is>
          <t>072025</t>
        </is>
      </c>
      <c r="O1287" t="inlineStr">
        <is>
          <t>Documentação Aprovada</t>
        </is>
      </c>
      <c r="P1287" t="inlineStr">
        <is>
          <t>Aprovado Diretoria</t>
        </is>
      </c>
      <c r="Q1287" t="inlineStr">
        <is>
          <t>Aprovado Caixa</t>
        </is>
      </c>
      <c r="R1287" t="inlineStr">
        <is>
          <t>Pago</t>
        </is>
      </c>
      <c r="S1287" t="n">
        <v>182</v>
      </c>
      <c r="T1287" t="inlineStr">
        <is>
          <t>Love - Shibari - Kamino</t>
        </is>
      </c>
    </row>
    <row r="1288">
      <c r="A1288" t="n">
        <v>106694</v>
      </c>
      <c r="B1288" t="n">
        <v>128</v>
      </c>
      <c r="C1288" t="inlineStr">
        <is>
          <t>Love Cabaret</t>
        </is>
      </c>
      <c r="D1288" t="inlineStr">
        <is>
          <t>AURORA ALVORADA ESTACIONAMENTO E LANCHONETE LTDA</t>
        </is>
      </c>
      <c r="E1288" t="n">
        <v>191.46</v>
      </c>
      <c r="F1288" s="27" t="n">
        <v>45880</v>
      </c>
      <c r="G1288" s="27" t="n">
        <v>45880</v>
      </c>
      <c r="H1288" s="27" t="n">
        <v>45880</v>
      </c>
      <c r="I1288" s="27" t="n">
        <v>45873</v>
      </c>
      <c r="J1288" s="27" t="n"/>
      <c r="K1288" t="inlineStr">
        <is>
          <t>Boleto Bancário</t>
        </is>
      </c>
      <c r="L1288" t="inlineStr">
        <is>
          <t>Custo Mercadoria Vendida</t>
        </is>
      </c>
      <c r="M1288" t="inlineStr">
        <is>
          <t>Insumos - Alimentos</t>
        </is>
      </c>
      <c r="N1288" t="inlineStr">
        <is>
          <t>10834</t>
        </is>
      </c>
      <c r="O1288" t="inlineStr">
        <is>
          <t>Documentação Aprovada</t>
        </is>
      </c>
      <c r="P1288" t="inlineStr">
        <is>
          <t>Aprovado Diretoria</t>
        </is>
      </c>
      <c r="Q1288" t="inlineStr">
        <is>
          <t>Aprovado Caixa</t>
        </is>
      </c>
      <c r="R1288" t="inlineStr">
        <is>
          <t>Pago</t>
        </is>
      </c>
      <c r="S1288" t="n">
        <v>182</v>
      </c>
      <c r="T1288" t="inlineStr">
        <is>
          <t>Love - Shibari - Kamino</t>
        </is>
      </c>
    </row>
    <row r="1289">
      <c r="A1289" t="n">
        <v>104324</v>
      </c>
      <c r="B1289" t="n">
        <v>128</v>
      </c>
      <c r="C1289" t="inlineStr">
        <is>
          <t>Love Cabaret</t>
        </is>
      </c>
      <c r="D1289" t="inlineStr">
        <is>
          <t>CICLO PARTICIPACOES LTDA</t>
        </is>
      </c>
      <c r="E1289" t="n">
        <v>5906.28</v>
      </c>
      <c r="F1289" s="27" t="n">
        <v>45879</v>
      </c>
      <c r="G1289" s="27" t="n">
        <v>45880</v>
      </c>
      <c r="H1289" s="27" t="n">
        <v>45880</v>
      </c>
      <c r="I1289" s="27" t="n">
        <v>45853</v>
      </c>
      <c r="J1289" s="27" t="n"/>
      <c r="K1289" t="inlineStr">
        <is>
          <t>Boleto Bancário</t>
        </is>
      </c>
      <c r="L1289" t="inlineStr">
        <is>
          <t>Custo de Ocupação</t>
        </is>
      </c>
      <c r="M1289" t="inlineStr">
        <is>
          <t>IPTU</t>
        </is>
      </c>
      <c r="N1289" t="inlineStr">
        <is>
          <t>072025</t>
        </is>
      </c>
      <c r="O1289" t="inlineStr">
        <is>
          <t>Documentação Aprovada</t>
        </is>
      </c>
      <c r="P1289" t="inlineStr">
        <is>
          <t>Aprovado Diretoria</t>
        </is>
      </c>
      <c r="Q1289" t="inlineStr">
        <is>
          <t>Aprovado Caixa</t>
        </is>
      </c>
      <c r="R1289" t="inlineStr">
        <is>
          <t>Pago</t>
        </is>
      </c>
      <c r="S1289" t="n">
        <v>182</v>
      </c>
      <c r="T1289" t="inlineStr">
        <is>
          <t>Love - Shibari - Kamino</t>
        </is>
      </c>
    </row>
    <row r="1290">
      <c r="A1290" t="n">
        <v>96926</v>
      </c>
      <c r="B1290" t="n">
        <v>128</v>
      </c>
      <c r="C1290" t="inlineStr">
        <is>
          <t>Love Cabaret</t>
        </is>
      </c>
      <c r="D1290" t="inlineStr">
        <is>
          <t>CICLO PARTICIPACOES LTDA</t>
        </is>
      </c>
      <c r="E1290" t="n">
        <v>31634.64</v>
      </c>
      <c r="F1290" s="27" t="n">
        <v>45879</v>
      </c>
      <c r="G1290" s="27" t="n">
        <v>45880</v>
      </c>
      <c r="H1290" s="27" t="n">
        <v>45880</v>
      </c>
      <c r="I1290" s="27" t="n">
        <v>45858</v>
      </c>
      <c r="J1290" s="27" t="n"/>
      <c r="K1290" t="inlineStr">
        <is>
          <t>Boleto Bancário</t>
        </is>
      </c>
      <c r="L1290" t="inlineStr">
        <is>
          <t>Custo de Ocupação</t>
        </is>
      </c>
      <c r="M1290" t="inlineStr">
        <is>
          <t>Aluguel de Imoveis</t>
        </is>
      </c>
      <c r="N1290" t="inlineStr">
        <is>
          <t>3163464072025</t>
        </is>
      </c>
      <c r="O1290" t="inlineStr">
        <is>
          <t>Documentação Aprovada</t>
        </is>
      </c>
      <c r="P1290" t="inlineStr">
        <is>
          <t>Aprovado Diretoria</t>
        </is>
      </c>
      <c r="Q1290" t="inlineStr">
        <is>
          <t>Aprovado Caixa</t>
        </is>
      </c>
      <c r="R1290" t="inlineStr">
        <is>
          <t>Pago</t>
        </is>
      </c>
      <c r="S1290" t="n">
        <v>182</v>
      </c>
      <c r="T1290" t="inlineStr">
        <is>
          <t>Love - Shibari - Kamino</t>
        </is>
      </c>
    </row>
    <row r="1291">
      <c r="A1291" t="n">
        <v>155170</v>
      </c>
      <c r="B1291" t="n">
        <v>128</v>
      </c>
      <c r="C1291" t="inlineStr">
        <is>
          <t>Love Cabaret</t>
        </is>
      </c>
      <c r="D1291" t="inlineStr">
        <is>
          <t>W NET LOGISTICA E TRANSPORTES LTDA</t>
        </is>
      </c>
      <c r="E1291" t="n">
        <v>0</v>
      </c>
      <c r="F1291" s="27" t="n">
        <v>45876</v>
      </c>
      <c r="G1291" s="27" t="n">
        <v>45897</v>
      </c>
      <c r="H1291" s="27" t="n">
        <v>45876</v>
      </c>
      <c r="I1291" s="27" t="n">
        <v>45876</v>
      </c>
      <c r="J1291" s="27" t="n">
        <v>45884</v>
      </c>
      <c r="K1291" t="inlineStr">
        <is>
          <t xml:space="preserve">Nota Bonificada </t>
        </is>
      </c>
      <c r="L1291" t="inlineStr">
        <is>
          <t>Custo Mercadoria Vendida</t>
        </is>
      </c>
      <c r="M1291" t="inlineStr">
        <is>
          <t>Insumos - Bebidas</t>
        </is>
      </c>
      <c r="N1291" t="inlineStr">
        <is>
          <t>10098</t>
        </is>
      </c>
      <c r="O1291" t="inlineStr">
        <is>
          <t>Documentação Aprovada</t>
        </is>
      </c>
      <c r="P1291" t="inlineStr">
        <is>
          <t>Aprovado Diretoria</t>
        </is>
      </c>
      <c r="Q1291" t="inlineStr">
        <is>
          <t>Aprovado Caixa</t>
        </is>
      </c>
      <c r="R1291" t="inlineStr">
        <is>
          <t>Pago</t>
        </is>
      </c>
      <c r="S1291" t="n">
        <v>182</v>
      </c>
      <c r="T1291" t="inlineStr">
        <is>
          <t>Love - Shibari - Kamino</t>
        </is>
      </c>
    </row>
    <row r="1292">
      <c r="A1292" t="n">
        <v>153233</v>
      </c>
      <c r="B1292" t="n">
        <v>128</v>
      </c>
      <c r="C1292" t="inlineStr">
        <is>
          <t>Love Cabaret</t>
        </is>
      </c>
      <c r="D1292" t="inlineStr">
        <is>
          <t xml:space="preserve">MS FRANGOS LTDA </t>
        </is>
      </c>
      <c r="E1292" t="n">
        <v>379.38</v>
      </c>
      <c r="F1292" s="27" t="n">
        <v>45875</v>
      </c>
      <c r="G1292" s="27" t="n">
        <v>45876</v>
      </c>
      <c r="H1292" s="27" t="n">
        <v>45875</v>
      </c>
      <c r="I1292" s="27" t="n">
        <v>45860</v>
      </c>
      <c r="J1292" s="27" t="n">
        <v>45876</v>
      </c>
      <c r="K1292" t="inlineStr">
        <is>
          <t>Boleto Bancário</t>
        </is>
      </c>
      <c r="L1292" t="inlineStr">
        <is>
          <t>Custo Mercadoria Vendida</t>
        </is>
      </c>
      <c r="M1292" t="inlineStr">
        <is>
          <t>Insumos - Alimentos</t>
        </is>
      </c>
      <c r="N1292" t="inlineStr">
        <is>
          <t>3526</t>
        </is>
      </c>
      <c r="O1292" t="inlineStr">
        <is>
          <t>Documentação Aprovada</t>
        </is>
      </c>
      <c r="P1292" t="inlineStr">
        <is>
          <t>Aprovado Diretoria</t>
        </is>
      </c>
      <c r="Q1292" t="inlineStr">
        <is>
          <t>Aprovado Caixa</t>
        </is>
      </c>
      <c r="R1292" t="inlineStr">
        <is>
          <t>Pago</t>
        </is>
      </c>
      <c r="S1292" t="n">
        <v>182</v>
      </c>
      <c r="T1292" t="inlineStr">
        <is>
          <t>Love - Shibari - Kamino</t>
        </is>
      </c>
    </row>
    <row r="1293">
      <c r="A1293" t="n">
        <v>153219</v>
      </c>
      <c r="B1293" t="n">
        <v>128</v>
      </c>
      <c r="C1293" t="inlineStr">
        <is>
          <t>Love Cabaret</t>
        </is>
      </c>
      <c r="D1293" t="inlineStr">
        <is>
          <t>BRADESCO SA</t>
        </is>
      </c>
      <c r="E1293" t="n">
        <v>9.800000000000001</v>
      </c>
      <c r="F1293" s="27" t="n">
        <v>45875</v>
      </c>
      <c r="G1293" s="27" t="n"/>
      <c r="H1293" s="27" t="n">
        <v>45875</v>
      </c>
      <c r="I1293" s="27" t="n">
        <v>45875</v>
      </c>
      <c r="J1293" s="27" t="n">
        <v>45876</v>
      </c>
      <c r="K1293" t="inlineStr">
        <is>
          <t>Encontro de Contas</t>
        </is>
      </c>
      <c r="L1293" t="inlineStr">
        <is>
          <t>Despesas Financeiras</t>
        </is>
      </c>
      <c r="M1293" t="inlineStr">
        <is>
          <t>Tarifas Bancárias</t>
        </is>
      </c>
      <c r="N1293" t="inlineStr">
        <is>
          <t>082025</t>
        </is>
      </c>
      <c r="P1293" t="inlineStr">
        <is>
          <t>Aprovado Diretoria</t>
        </is>
      </c>
      <c r="R1293" t="inlineStr">
        <is>
          <t>Pago</t>
        </is>
      </c>
    </row>
    <row r="1294">
      <c r="A1294" t="n">
        <v>150101</v>
      </c>
      <c r="B1294" t="n">
        <v>128</v>
      </c>
      <c r="C1294" t="inlineStr">
        <is>
          <t>Love Cabaret</t>
        </is>
      </c>
      <c r="D1294" t="inlineStr">
        <is>
          <t>BATARD PADARIA ARTESANAL LTDA</t>
        </is>
      </c>
      <c r="E1294" t="n">
        <v>168</v>
      </c>
      <c r="F1294" s="27" t="n">
        <v>45876</v>
      </c>
      <c r="G1294" s="27" t="n">
        <v>45875</v>
      </c>
      <c r="H1294" s="27" t="n">
        <v>45875</v>
      </c>
      <c r="I1294" s="27" t="n">
        <v>45869</v>
      </c>
      <c r="J1294" s="27" t="n">
        <v>45869</v>
      </c>
      <c r="K1294" t="inlineStr">
        <is>
          <t>Boleto Bancário</t>
        </is>
      </c>
      <c r="L1294" t="inlineStr">
        <is>
          <t>Custo Mercadoria Vendida</t>
        </is>
      </c>
      <c r="M1294" t="inlineStr">
        <is>
          <t>Insumos - Alimentos</t>
        </is>
      </c>
      <c r="N1294" t="inlineStr">
        <is>
          <t>11451</t>
        </is>
      </c>
      <c r="O1294" t="inlineStr">
        <is>
          <t>Documentação Aprovada</t>
        </is>
      </c>
      <c r="P1294" t="inlineStr">
        <is>
          <t>Aprovado Diretoria</t>
        </is>
      </c>
      <c r="Q1294" t="inlineStr">
        <is>
          <t>Aprovado Caixa</t>
        </is>
      </c>
      <c r="R1294" t="inlineStr">
        <is>
          <t>Pago</t>
        </is>
      </c>
      <c r="S1294" t="n">
        <v>182</v>
      </c>
      <c r="T1294" t="inlineStr">
        <is>
          <t>Love - Shibari - Kamino</t>
        </is>
      </c>
    </row>
    <row r="1295">
      <c r="A1295" t="n">
        <v>150112</v>
      </c>
      <c r="B1295" t="n">
        <v>128</v>
      </c>
      <c r="C1295" t="inlineStr">
        <is>
          <t>Love Cabaret</t>
        </is>
      </c>
      <c r="D1295" t="inlineStr">
        <is>
          <t>PSSS LTDA</t>
        </is>
      </c>
      <c r="E1295" t="n">
        <v>133.8</v>
      </c>
      <c r="F1295" s="27" t="n">
        <v>45875</v>
      </c>
      <c r="G1295" s="27" t="n">
        <v>45875</v>
      </c>
      <c r="H1295" s="27" t="n">
        <v>45875</v>
      </c>
      <c r="I1295" s="27" t="n">
        <v>45861</v>
      </c>
      <c r="J1295" s="27" t="n">
        <v>45869</v>
      </c>
      <c r="K1295" t="inlineStr">
        <is>
          <t>Boleto Bancário</t>
        </is>
      </c>
      <c r="L1295" t="inlineStr">
        <is>
          <t>Utilidades</t>
        </is>
      </c>
      <c r="M1295" t="inlineStr">
        <is>
          <t>Higiene e Limpeza</t>
        </is>
      </c>
      <c r="N1295" t="inlineStr">
        <is>
          <t>1986</t>
        </is>
      </c>
      <c r="O1295" t="inlineStr">
        <is>
          <t>Documentação Aprovada</t>
        </is>
      </c>
      <c r="P1295" t="inlineStr">
        <is>
          <t>Aprovado Diretoria</t>
        </is>
      </c>
      <c r="Q1295" t="inlineStr">
        <is>
          <t>Aprovado Caixa</t>
        </is>
      </c>
      <c r="R1295" t="inlineStr">
        <is>
          <t>Pago</t>
        </is>
      </c>
      <c r="S1295" t="n">
        <v>182</v>
      </c>
      <c r="T1295" t="inlineStr">
        <is>
          <t>Love - Shibari - Kamino</t>
        </is>
      </c>
    </row>
    <row r="1296">
      <c r="A1296" t="n">
        <v>150118</v>
      </c>
      <c r="B1296" t="n">
        <v>128</v>
      </c>
      <c r="C1296" t="inlineStr">
        <is>
          <t>Love Cabaret</t>
        </is>
      </c>
      <c r="D1296" t="inlineStr">
        <is>
          <t>HNK BR IND DE BEBIDAS</t>
        </is>
      </c>
      <c r="E1296" t="n">
        <v>3754.01</v>
      </c>
      <c r="F1296" s="27" t="n">
        <v>45875</v>
      </c>
      <c r="G1296" s="27" t="n">
        <v>45875</v>
      </c>
      <c r="H1296" s="27" t="n">
        <v>45875</v>
      </c>
      <c r="I1296" s="27" t="n">
        <v>45860</v>
      </c>
      <c r="J1296" s="27" t="n">
        <v>45869</v>
      </c>
      <c r="K1296" t="inlineStr">
        <is>
          <t>Boleto Bancário</t>
        </is>
      </c>
      <c r="L1296" t="inlineStr">
        <is>
          <t>Custo Mercadoria Vendida</t>
        </is>
      </c>
      <c r="M1296" t="inlineStr">
        <is>
          <t>Insumos - Bebidas</t>
        </is>
      </c>
      <c r="N1296" t="inlineStr">
        <is>
          <t>25535</t>
        </is>
      </c>
      <c r="O1296" t="inlineStr">
        <is>
          <t>Documentação Aprovada</t>
        </is>
      </c>
      <c r="P1296" t="inlineStr">
        <is>
          <t>Aprovado Diretoria</t>
        </is>
      </c>
      <c r="Q1296" t="inlineStr">
        <is>
          <t>Aprovado Caixa</t>
        </is>
      </c>
      <c r="R1296" t="inlineStr">
        <is>
          <t>Pago</t>
        </is>
      </c>
      <c r="S1296" t="n">
        <v>182</v>
      </c>
      <c r="T1296" t="inlineStr">
        <is>
          <t>Love - Shibari - Kamino</t>
        </is>
      </c>
    </row>
    <row r="1297">
      <c r="A1297" t="n">
        <v>150122</v>
      </c>
      <c r="B1297" t="n">
        <v>128</v>
      </c>
      <c r="C1297" t="inlineStr">
        <is>
          <t>Love Cabaret</t>
        </is>
      </c>
      <c r="D1297" t="inlineStr">
        <is>
          <t>ICE4PROS FABRICA DE GELO LTDA</t>
        </is>
      </c>
      <c r="E1297" t="n">
        <v>563.5</v>
      </c>
      <c r="F1297" s="27" t="n">
        <v>45877</v>
      </c>
      <c r="G1297" s="27" t="n">
        <v>45875</v>
      </c>
      <c r="H1297" s="27" t="n">
        <v>45875</v>
      </c>
      <c r="I1297" s="27" t="n">
        <v>45867</v>
      </c>
      <c r="J1297" s="27" t="n">
        <v>45869</v>
      </c>
      <c r="K1297" t="inlineStr">
        <is>
          <t>Boleto Bancário</t>
        </is>
      </c>
      <c r="L1297" t="inlineStr">
        <is>
          <t>Custo Mercadoria Vendida</t>
        </is>
      </c>
      <c r="M1297" t="inlineStr">
        <is>
          <t>Insumos - Bebidas</t>
        </is>
      </c>
      <c r="N1297" t="inlineStr">
        <is>
          <t>83277</t>
        </is>
      </c>
      <c r="O1297" t="inlineStr">
        <is>
          <t>Documentação Aprovada</t>
        </is>
      </c>
      <c r="P1297" t="inlineStr">
        <is>
          <t>Aprovado Diretoria</t>
        </is>
      </c>
      <c r="Q1297" t="inlineStr">
        <is>
          <t>Aprovado Caixa</t>
        </is>
      </c>
      <c r="R1297" t="inlineStr">
        <is>
          <t>Pago</t>
        </is>
      </c>
      <c r="S1297" t="n">
        <v>182</v>
      </c>
      <c r="T1297" t="inlineStr">
        <is>
          <t>Love - Shibari - Kamino</t>
        </is>
      </c>
    </row>
    <row r="1298">
      <c r="A1298" t="n">
        <v>150374</v>
      </c>
      <c r="B1298" t="n">
        <v>128</v>
      </c>
      <c r="C1298" t="inlineStr">
        <is>
          <t>Love Cabaret</t>
        </is>
      </c>
      <c r="D1298" t="inlineStr">
        <is>
          <t>ROBERTA MARIA SANTANA</t>
        </is>
      </c>
      <c r="E1298" t="n">
        <v>1150</v>
      </c>
      <c r="F1298" s="27" t="n">
        <v>45879</v>
      </c>
      <c r="G1298" s="27" t="n">
        <v>45875</v>
      </c>
      <c r="H1298" s="27" t="n">
        <v>45875</v>
      </c>
      <c r="I1298" s="27" t="n">
        <v>45839</v>
      </c>
      <c r="J1298" s="27" t="n">
        <v>45870</v>
      </c>
      <c r="K1298" t="inlineStr">
        <is>
          <t>Transferência Bancária ou Pix</t>
        </is>
      </c>
      <c r="L1298" t="inlineStr">
        <is>
          <t>Gorjeta</t>
        </is>
      </c>
      <c r="M1298" t="inlineStr">
        <is>
          <t xml:space="preserve">  -  Comissões e Gorjeta</t>
        </is>
      </c>
      <c r="N1298" t="inlineStr">
        <is>
          <t>17</t>
        </is>
      </c>
      <c r="O1298" t="inlineStr">
        <is>
          <t>Documentação Aprovada</t>
        </is>
      </c>
      <c r="P1298" t="inlineStr">
        <is>
          <t>Aprovado Diretoria</t>
        </is>
      </c>
      <c r="Q1298" t="inlineStr">
        <is>
          <t>Aprovado Caixa</t>
        </is>
      </c>
      <c r="R1298" t="inlineStr">
        <is>
          <t>Pago</t>
        </is>
      </c>
      <c r="S1298" t="n">
        <v>182</v>
      </c>
      <c r="T1298" t="inlineStr">
        <is>
          <t>Love - Shibari - Kamino</t>
        </is>
      </c>
    </row>
    <row r="1299">
      <c r="A1299" t="n">
        <v>150373</v>
      </c>
      <c r="B1299" t="n">
        <v>128</v>
      </c>
      <c r="C1299" t="inlineStr">
        <is>
          <t>Love Cabaret</t>
        </is>
      </c>
      <c r="D1299" t="inlineStr">
        <is>
          <t xml:space="preserve">DOUGLAS FELIPE DOMINGUES GONCALVES </t>
        </is>
      </c>
      <c r="E1299" t="n">
        <v>1050</v>
      </c>
      <c r="F1299" s="27" t="n">
        <v>45879</v>
      </c>
      <c r="G1299" s="27" t="n">
        <v>45875</v>
      </c>
      <c r="H1299" s="27" t="n">
        <v>45875</v>
      </c>
      <c r="I1299" s="27" t="n">
        <v>45839</v>
      </c>
      <c r="J1299" s="27" t="n">
        <v>45870</v>
      </c>
      <c r="K1299" t="inlineStr">
        <is>
          <t>Transferência Bancária ou Pix</t>
        </is>
      </c>
      <c r="L1299" t="inlineStr">
        <is>
          <t>Gorjeta</t>
        </is>
      </c>
      <c r="M1299" t="inlineStr">
        <is>
          <t xml:space="preserve">  -  Comissões e Gorjeta</t>
        </is>
      </c>
      <c r="N1299" t="inlineStr">
        <is>
          <t>47</t>
        </is>
      </c>
      <c r="O1299" t="inlineStr">
        <is>
          <t>Documentação Aprovada</t>
        </is>
      </c>
      <c r="P1299" t="inlineStr">
        <is>
          <t>Aprovado Diretoria</t>
        </is>
      </c>
      <c r="Q1299" t="inlineStr">
        <is>
          <t>Aprovado Caixa</t>
        </is>
      </c>
      <c r="R1299" t="inlineStr">
        <is>
          <t>Pago</t>
        </is>
      </c>
      <c r="S1299" t="n">
        <v>182</v>
      </c>
      <c r="T1299" t="inlineStr">
        <is>
          <t>Love - Shibari - Kamino</t>
        </is>
      </c>
    </row>
    <row r="1300">
      <c r="A1300" t="n">
        <v>150367</v>
      </c>
      <c r="B1300" t="n">
        <v>128</v>
      </c>
      <c r="C1300" t="inlineStr">
        <is>
          <t>Love Cabaret</t>
        </is>
      </c>
      <c r="D1300" t="inlineStr">
        <is>
          <t>WAGNER DA SILVA FRANCA</t>
        </is>
      </c>
      <c r="E1300" t="n">
        <v>1150</v>
      </c>
      <c r="F1300" s="27" t="n">
        <v>45879</v>
      </c>
      <c r="G1300" s="27" t="n">
        <v>45875</v>
      </c>
      <c r="H1300" s="27" t="n">
        <v>45875</v>
      </c>
      <c r="I1300" s="27" t="n">
        <v>45839</v>
      </c>
      <c r="J1300" s="27" t="n">
        <v>45870</v>
      </c>
      <c r="K1300" t="inlineStr">
        <is>
          <t>Transferência Bancária ou Pix</t>
        </is>
      </c>
      <c r="L1300" t="inlineStr">
        <is>
          <t>Gorjeta</t>
        </is>
      </c>
      <c r="M1300" t="inlineStr">
        <is>
          <t xml:space="preserve">  -  Comissões e Gorjeta</t>
        </is>
      </c>
      <c r="N1300" t="inlineStr">
        <is>
          <t>41</t>
        </is>
      </c>
      <c r="O1300" t="inlineStr">
        <is>
          <t>Documentação Aprovada</t>
        </is>
      </c>
      <c r="P1300" t="inlineStr">
        <is>
          <t>Aprovado Diretoria</t>
        </is>
      </c>
      <c r="Q1300" t="inlineStr">
        <is>
          <t>Aprovado Caixa</t>
        </is>
      </c>
      <c r="R1300" t="inlineStr">
        <is>
          <t>Pago</t>
        </is>
      </c>
      <c r="S1300" t="n">
        <v>182</v>
      </c>
      <c r="T1300" t="inlineStr">
        <is>
          <t>Love - Shibari - Kamino</t>
        </is>
      </c>
    </row>
    <row r="1301">
      <c r="A1301" t="n">
        <v>150366</v>
      </c>
      <c r="B1301" t="n">
        <v>128</v>
      </c>
      <c r="C1301" t="inlineStr">
        <is>
          <t>Love Cabaret</t>
        </is>
      </c>
      <c r="D1301" t="inlineStr">
        <is>
          <t>PJ23824129000110 - FELIPE DA COSTA SANTOS</t>
        </is>
      </c>
      <c r="E1301" t="n">
        <v>1260</v>
      </c>
      <c r="F1301" s="27" t="n">
        <v>45879</v>
      </c>
      <c r="G1301" s="27" t="n">
        <v>45875</v>
      </c>
      <c r="H1301" s="27" t="n">
        <v>45875</v>
      </c>
      <c r="I1301" s="27" t="n">
        <v>45839</v>
      </c>
      <c r="J1301" s="27" t="n">
        <v>45870</v>
      </c>
      <c r="K1301" t="inlineStr">
        <is>
          <t>Transferência Bancária ou Pix</t>
        </is>
      </c>
      <c r="L1301" t="inlineStr">
        <is>
          <t>Gorjeta</t>
        </is>
      </c>
      <c r="M1301" t="inlineStr">
        <is>
          <t xml:space="preserve">  -  Comissões e Gorjeta</t>
        </is>
      </c>
      <c r="N1301" t="inlineStr">
        <is>
          <t>54</t>
        </is>
      </c>
      <c r="O1301" t="inlineStr">
        <is>
          <t>Documentação Aprovada</t>
        </is>
      </c>
      <c r="P1301" t="inlineStr">
        <is>
          <t>Aprovado Diretoria</t>
        </is>
      </c>
      <c r="Q1301" t="inlineStr">
        <is>
          <t>Aprovado Caixa</t>
        </is>
      </c>
      <c r="R1301" t="inlineStr">
        <is>
          <t>Pago</t>
        </is>
      </c>
      <c r="S1301" t="n">
        <v>182</v>
      </c>
      <c r="T1301" t="inlineStr">
        <is>
          <t>Love - Shibari - Kamino</t>
        </is>
      </c>
    </row>
    <row r="1302">
      <c r="A1302" t="n">
        <v>142773</v>
      </c>
      <c r="B1302" t="n">
        <v>128</v>
      </c>
      <c r="C1302" t="inlineStr">
        <is>
          <t>Love Cabaret</t>
        </is>
      </c>
      <c r="D1302" t="inlineStr">
        <is>
          <t>PJ23824129000110 - FELIPE DA COSTA SANTOS</t>
        </is>
      </c>
      <c r="E1302" t="n">
        <v>104.5</v>
      </c>
      <c r="F1302" s="27" t="n">
        <v>45866</v>
      </c>
      <c r="G1302" s="27" t="n">
        <v>45875</v>
      </c>
      <c r="H1302" s="27" t="n">
        <v>45875</v>
      </c>
      <c r="I1302" s="27" t="n">
        <v>45838</v>
      </c>
      <c r="J1302" s="27" t="n">
        <v>45839</v>
      </c>
      <c r="K1302" t="inlineStr">
        <is>
          <t>Transferência Bancária ou Pix</t>
        </is>
      </c>
      <c r="L1302" t="inlineStr">
        <is>
          <t>Utilidades</t>
        </is>
      </c>
      <c r="M1302" t="inlineStr">
        <is>
          <t>Serviços Graficos</t>
        </is>
      </c>
      <c r="N1302" t="inlineStr">
        <is>
          <t>572025</t>
        </is>
      </c>
      <c r="O1302" t="inlineStr">
        <is>
          <t>Documentação Aprovada</t>
        </is>
      </c>
      <c r="P1302" t="inlineStr">
        <is>
          <t>Aprovado Diretoria</t>
        </is>
      </c>
      <c r="Q1302" t="inlineStr">
        <is>
          <t>Aprovado Caixa</t>
        </is>
      </c>
      <c r="R1302" t="inlineStr">
        <is>
          <t>Pago</t>
        </is>
      </c>
      <c r="S1302" t="n">
        <v>182</v>
      </c>
      <c r="T1302" t="inlineStr">
        <is>
          <t>Love - Shibari - Kamino</t>
        </is>
      </c>
    </row>
    <row r="1303">
      <c r="A1303" t="n">
        <v>149482</v>
      </c>
      <c r="B1303" t="n">
        <v>128</v>
      </c>
      <c r="C1303" t="inlineStr">
        <is>
          <t>Love Cabaret</t>
        </is>
      </c>
      <c r="D1303" t="inlineStr">
        <is>
          <t>CEM ENGENHARIA DA MANUTENCAO LTDA</t>
        </is>
      </c>
      <c r="E1303" t="n">
        <v>950</v>
      </c>
      <c r="F1303" s="27" t="n">
        <v>45876</v>
      </c>
      <c r="G1303" s="27" t="n">
        <v>45875</v>
      </c>
      <c r="H1303" s="27" t="n">
        <v>45875</v>
      </c>
      <c r="I1303" s="27" t="n">
        <v>45862</v>
      </c>
      <c r="J1303" s="27" t="n">
        <v>45867</v>
      </c>
      <c r="K1303" t="inlineStr">
        <is>
          <t>Boleto Bancário</t>
        </is>
      </c>
      <c r="L1303" t="inlineStr">
        <is>
          <t>Manutenção</t>
        </is>
      </c>
      <c r="M1303" t="inlineStr">
        <is>
          <t>Manutenção de Equipamentos</t>
        </is>
      </c>
      <c r="N1303" t="inlineStr">
        <is>
          <t>2860</t>
        </is>
      </c>
      <c r="O1303" t="inlineStr">
        <is>
          <t>Documentação Aprovada</t>
        </is>
      </c>
      <c r="P1303" t="inlineStr">
        <is>
          <t>Aprovado Diretoria</t>
        </is>
      </c>
      <c r="Q1303" t="inlineStr">
        <is>
          <t>Aprovado Caixa</t>
        </is>
      </c>
      <c r="R1303" t="inlineStr">
        <is>
          <t>Pago</t>
        </is>
      </c>
      <c r="S1303" t="n">
        <v>182</v>
      </c>
      <c r="T1303" t="inlineStr">
        <is>
          <t>Love - Shibari - Kamino</t>
        </is>
      </c>
    </row>
    <row r="1304">
      <c r="A1304" t="n">
        <v>149513</v>
      </c>
      <c r="B1304" t="n">
        <v>128</v>
      </c>
      <c r="C1304" t="inlineStr">
        <is>
          <t>Love Cabaret</t>
        </is>
      </c>
      <c r="D1304" t="inlineStr">
        <is>
          <t xml:space="preserve">SPOTIFY </t>
        </is>
      </c>
      <c r="E1304" t="n">
        <v>17.45</v>
      </c>
      <c r="F1304" s="27" t="n">
        <v>45873</v>
      </c>
      <c r="G1304" s="27" t="n">
        <v>45875</v>
      </c>
      <c r="H1304" s="27" t="n">
        <v>45875</v>
      </c>
      <c r="I1304" s="27" t="n">
        <v>45846</v>
      </c>
      <c r="J1304" s="27" t="n"/>
      <c r="K1304" t="inlineStr">
        <is>
          <t>Transferência Bancária ou Pix</t>
        </is>
      </c>
      <c r="L1304" t="inlineStr">
        <is>
          <t>Informática e TI</t>
        </is>
      </c>
      <c r="M1304" t="inlineStr">
        <is>
          <t>TV por assinatura/musica ambiente</t>
        </is>
      </c>
      <c r="N1304" t="inlineStr">
        <is>
          <t>RP073-2025</t>
        </is>
      </c>
      <c r="O1304" t="inlineStr">
        <is>
          <t>Documentação Aprovada</t>
        </is>
      </c>
      <c r="P1304" t="inlineStr">
        <is>
          <t>Aprovado Diretoria</t>
        </is>
      </c>
      <c r="Q1304" t="inlineStr">
        <is>
          <t>Aprovado Caixa</t>
        </is>
      </c>
      <c r="R1304" t="inlineStr">
        <is>
          <t>Pago</t>
        </is>
      </c>
      <c r="S1304" t="n">
        <v>182</v>
      </c>
      <c r="T1304" t="inlineStr">
        <is>
          <t>Love - Shibari - Kamino</t>
        </is>
      </c>
    </row>
    <row r="1305">
      <c r="A1305" t="n">
        <v>147807</v>
      </c>
      <c r="B1305" t="n">
        <v>128</v>
      </c>
      <c r="C1305" t="inlineStr">
        <is>
          <t>Love Cabaret</t>
        </is>
      </c>
      <c r="D1305" t="inlineStr">
        <is>
          <t>WAGNER DA SILVA FRANCA</t>
        </is>
      </c>
      <c r="E1305" t="n">
        <v>4000</v>
      </c>
      <c r="F1305" s="27" t="n">
        <v>45879</v>
      </c>
      <c r="G1305" s="27" t="n">
        <v>45875</v>
      </c>
      <c r="H1305" s="27" t="n">
        <v>45875</v>
      </c>
      <c r="I1305" s="27" t="n">
        <v>45839</v>
      </c>
      <c r="J1305" s="27" t="n">
        <v>45856</v>
      </c>
      <c r="K1305" t="inlineStr">
        <is>
          <t>Transferência Bancária ou Pix</t>
        </is>
      </c>
      <c r="L1305" t="inlineStr">
        <is>
          <t>Mão de Obra - PJ</t>
        </is>
      </c>
      <c r="M1305" t="inlineStr">
        <is>
          <t>MDO PJ Fixo</t>
        </is>
      </c>
      <c r="N1305" t="inlineStr">
        <is>
          <t>35</t>
        </is>
      </c>
      <c r="O1305" t="inlineStr">
        <is>
          <t>Documentação Aprovada</t>
        </is>
      </c>
      <c r="P1305" t="inlineStr">
        <is>
          <t>Aprovado Diretoria</t>
        </is>
      </c>
      <c r="Q1305" t="inlineStr">
        <is>
          <t>Aprovado Caixa</t>
        </is>
      </c>
      <c r="R1305" t="inlineStr">
        <is>
          <t>Pago</t>
        </is>
      </c>
      <c r="S1305" t="n">
        <v>182</v>
      </c>
      <c r="T1305" t="inlineStr">
        <is>
          <t>Love - Shibari - Kamino</t>
        </is>
      </c>
    </row>
    <row r="1306">
      <c r="A1306" t="n">
        <v>147795</v>
      </c>
      <c r="B1306" t="n">
        <v>128</v>
      </c>
      <c r="C1306" t="inlineStr">
        <is>
          <t>Love Cabaret</t>
        </is>
      </c>
      <c r="D1306" t="inlineStr">
        <is>
          <t>PJ23824129000110 - FELIPE DA COSTA SANTOS</t>
        </is>
      </c>
      <c r="E1306" t="n">
        <v>5100</v>
      </c>
      <c r="F1306" s="27" t="n">
        <v>45879</v>
      </c>
      <c r="G1306" s="27" t="n">
        <v>45875</v>
      </c>
      <c r="H1306" s="27" t="n">
        <v>45875</v>
      </c>
      <c r="I1306" s="27" t="n">
        <v>45839</v>
      </c>
      <c r="J1306" s="27" t="n">
        <v>45856</v>
      </c>
      <c r="K1306" t="inlineStr">
        <is>
          <t>Transferência Bancária ou Pix</t>
        </is>
      </c>
      <c r="L1306" t="inlineStr">
        <is>
          <t>Mão de Obra - PJ</t>
        </is>
      </c>
      <c r="M1306" t="inlineStr">
        <is>
          <t>MDO PJ Fixo</t>
        </is>
      </c>
      <c r="N1306" t="inlineStr">
        <is>
          <t>53</t>
        </is>
      </c>
      <c r="O1306" t="inlineStr">
        <is>
          <t>Documentação Aprovada</t>
        </is>
      </c>
      <c r="P1306" t="inlineStr">
        <is>
          <t>Aprovado Diretoria</t>
        </is>
      </c>
      <c r="Q1306" t="inlineStr">
        <is>
          <t>Aprovado Caixa</t>
        </is>
      </c>
      <c r="R1306" t="inlineStr">
        <is>
          <t>Pago</t>
        </is>
      </c>
      <c r="S1306" t="n">
        <v>182</v>
      </c>
      <c r="T1306" t="inlineStr">
        <is>
          <t>Love - Shibari - Kamino</t>
        </is>
      </c>
    </row>
    <row r="1307">
      <c r="A1307" t="n">
        <v>147806</v>
      </c>
      <c r="B1307" t="n">
        <v>128</v>
      </c>
      <c r="C1307" t="inlineStr">
        <is>
          <t>Love Cabaret</t>
        </is>
      </c>
      <c r="D1307" t="inlineStr">
        <is>
          <t>PJ 00502024 THIAGO PINHEIRO DA SILVA</t>
        </is>
      </c>
      <c r="E1307" t="n">
        <v>1125</v>
      </c>
      <c r="F1307" s="27" t="n">
        <v>45879</v>
      </c>
      <c r="G1307" s="27" t="n">
        <v>45875</v>
      </c>
      <c r="H1307" s="27" t="n">
        <v>45875</v>
      </c>
      <c r="I1307" s="27" t="n">
        <v>45839</v>
      </c>
      <c r="J1307" s="27" t="n">
        <v>45856</v>
      </c>
      <c r="K1307" t="inlineStr">
        <is>
          <t>Transferência Bancária ou Pix</t>
        </is>
      </c>
      <c r="L1307" t="inlineStr">
        <is>
          <t>Mão de Obra - PJ</t>
        </is>
      </c>
      <c r="M1307" t="inlineStr">
        <is>
          <t>MDO PJ Fixo</t>
        </is>
      </c>
      <c r="N1307" t="inlineStr">
        <is>
          <t>56</t>
        </is>
      </c>
      <c r="O1307" t="inlineStr">
        <is>
          <t>Documentação Aprovada</t>
        </is>
      </c>
      <c r="P1307" t="inlineStr">
        <is>
          <t>Aprovado Diretoria</t>
        </is>
      </c>
      <c r="Q1307" t="inlineStr">
        <is>
          <t>Aprovado Caixa</t>
        </is>
      </c>
      <c r="R1307" t="inlineStr">
        <is>
          <t>Pago</t>
        </is>
      </c>
      <c r="S1307" t="n">
        <v>182</v>
      </c>
      <c r="T1307" t="inlineStr">
        <is>
          <t>Love - Shibari - Kamino</t>
        </is>
      </c>
    </row>
    <row r="1308">
      <c r="A1308" t="n">
        <v>147805</v>
      </c>
      <c r="B1308" t="n">
        <v>128</v>
      </c>
      <c r="C1308" t="inlineStr">
        <is>
          <t>Love Cabaret</t>
        </is>
      </c>
      <c r="D1308" t="inlineStr">
        <is>
          <t>TAMARA SANTOS RIBEIRO</t>
        </is>
      </c>
      <c r="E1308" t="n">
        <v>3500</v>
      </c>
      <c r="F1308" s="27" t="n">
        <v>45879</v>
      </c>
      <c r="G1308" s="27" t="n">
        <v>45875</v>
      </c>
      <c r="H1308" s="27" t="n">
        <v>45875</v>
      </c>
      <c r="I1308" s="27" t="n">
        <v>45839</v>
      </c>
      <c r="J1308" s="27" t="n">
        <v>45856</v>
      </c>
      <c r="K1308" t="inlineStr">
        <is>
          <t>Transferência Bancária ou Pix</t>
        </is>
      </c>
      <c r="L1308" t="inlineStr">
        <is>
          <t>Mão de Obra - PJ</t>
        </is>
      </c>
      <c r="M1308" t="inlineStr">
        <is>
          <t>MDO PJ Fixo</t>
        </is>
      </c>
      <c r="N1308" t="inlineStr">
        <is>
          <t>25</t>
        </is>
      </c>
      <c r="O1308" t="inlineStr">
        <is>
          <t>Documentação Aprovada</t>
        </is>
      </c>
      <c r="P1308" t="inlineStr">
        <is>
          <t>Aprovado Diretoria</t>
        </is>
      </c>
      <c r="Q1308" t="inlineStr">
        <is>
          <t>Aprovado Caixa</t>
        </is>
      </c>
      <c r="R1308" t="inlineStr">
        <is>
          <t>Pago</t>
        </is>
      </c>
      <c r="S1308" t="n">
        <v>182</v>
      </c>
      <c r="T1308" t="inlineStr">
        <is>
          <t>Love - Shibari - Kamino</t>
        </is>
      </c>
    </row>
    <row r="1309">
      <c r="A1309" t="n">
        <v>147800</v>
      </c>
      <c r="B1309" t="n">
        <v>128</v>
      </c>
      <c r="C1309" t="inlineStr">
        <is>
          <t>Love Cabaret</t>
        </is>
      </c>
      <c r="D1309" t="inlineStr">
        <is>
          <t>MARIA EDUARDA RAMOS DE SOUSA</t>
        </is>
      </c>
      <c r="E1309" t="n">
        <v>1600</v>
      </c>
      <c r="F1309" s="27" t="n">
        <v>45879</v>
      </c>
      <c r="G1309" s="27" t="n">
        <v>45875</v>
      </c>
      <c r="H1309" s="27" t="n">
        <v>45875</v>
      </c>
      <c r="I1309" s="27" t="n">
        <v>45839</v>
      </c>
      <c r="J1309" s="27" t="n">
        <v>45856</v>
      </c>
      <c r="K1309" t="inlineStr">
        <is>
          <t>Transferência Bancária ou Pix</t>
        </is>
      </c>
      <c r="L1309" t="inlineStr">
        <is>
          <t>Mão de Obra - PJ</t>
        </is>
      </c>
      <c r="M1309" t="inlineStr">
        <is>
          <t>MDO PJ Fixo</t>
        </is>
      </c>
      <c r="N1309" t="inlineStr">
        <is>
          <t>50</t>
        </is>
      </c>
      <c r="O1309" t="inlineStr">
        <is>
          <t>Documentação Aprovada</t>
        </is>
      </c>
      <c r="P1309" t="inlineStr">
        <is>
          <t>Aprovado Diretoria</t>
        </is>
      </c>
      <c r="Q1309" t="inlineStr">
        <is>
          <t>Aprovado Caixa</t>
        </is>
      </c>
      <c r="R1309" t="inlineStr">
        <is>
          <t>Pago</t>
        </is>
      </c>
      <c r="S1309" t="n">
        <v>182</v>
      </c>
      <c r="T1309" t="inlineStr">
        <is>
          <t>Love - Shibari - Kamino</t>
        </is>
      </c>
    </row>
    <row r="1310">
      <c r="A1310" t="n">
        <v>147799</v>
      </c>
      <c r="B1310" t="n">
        <v>128</v>
      </c>
      <c r="C1310" t="inlineStr">
        <is>
          <t>Love Cabaret</t>
        </is>
      </c>
      <c r="D1310" t="inlineStr">
        <is>
          <t>JULIA BAISCH FRANZ 02463978023</t>
        </is>
      </c>
      <c r="E1310" t="n">
        <v>8500</v>
      </c>
      <c r="F1310" s="27" t="n">
        <v>45879</v>
      </c>
      <c r="G1310" s="27" t="n">
        <v>45875</v>
      </c>
      <c r="H1310" s="27" t="n">
        <v>45875</v>
      </c>
      <c r="I1310" s="27" t="n">
        <v>45839</v>
      </c>
      <c r="J1310" s="27" t="n">
        <v>45856</v>
      </c>
      <c r="K1310" t="inlineStr">
        <is>
          <t>Transferência Bancária ou Pix</t>
        </is>
      </c>
      <c r="L1310" t="inlineStr">
        <is>
          <t>Custos Artístico Geral</t>
        </is>
      </c>
      <c r="M1310" t="inlineStr">
        <is>
          <t>Técnico de Som / Luz</t>
        </is>
      </c>
      <c r="N1310" t="inlineStr">
        <is>
          <t>12</t>
        </is>
      </c>
      <c r="O1310" t="inlineStr">
        <is>
          <t>Documentação Aprovada</t>
        </is>
      </c>
      <c r="P1310" t="inlineStr">
        <is>
          <t>Aprovado Diretoria</t>
        </is>
      </c>
      <c r="Q1310" t="inlineStr">
        <is>
          <t>Aprovado Caixa</t>
        </is>
      </c>
      <c r="R1310" t="inlineStr">
        <is>
          <t>Pago</t>
        </is>
      </c>
      <c r="S1310" t="n">
        <v>182</v>
      </c>
      <c r="T1310" t="inlineStr">
        <is>
          <t>Love - Shibari - Kamino</t>
        </is>
      </c>
    </row>
    <row r="1311">
      <c r="A1311" t="n">
        <v>147798</v>
      </c>
      <c r="B1311" t="n">
        <v>128</v>
      </c>
      <c r="C1311" t="inlineStr">
        <is>
          <t>Love Cabaret</t>
        </is>
      </c>
      <c r="D1311" t="inlineStr">
        <is>
          <t>PJ 00352023 - JESSICA IZABEL DE SOUZA</t>
        </is>
      </c>
      <c r="E1311" t="n">
        <v>1250</v>
      </c>
      <c r="F1311" s="27" t="n">
        <v>45879</v>
      </c>
      <c r="G1311" s="27" t="n">
        <v>45875</v>
      </c>
      <c r="H1311" s="27" t="n">
        <v>45875</v>
      </c>
      <c r="I1311" s="27" t="n">
        <v>45839</v>
      </c>
      <c r="J1311" s="27" t="n">
        <v>45856</v>
      </c>
      <c r="K1311" t="inlineStr">
        <is>
          <t>Transferência Bancária ou Pix</t>
        </is>
      </c>
      <c r="L1311" t="inlineStr">
        <is>
          <t>Mão de Obra - PJ</t>
        </is>
      </c>
      <c r="M1311" t="inlineStr">
        <is>
          <t>MDO PJ Fixo</t>
        </is>
      </c>
      <c r="N1311" t="inlineStr">
        <is>
          <t>84</t>
        </is>
      </c>
      <c r="O1311" t="inlineStr">
        <is>
          <t>Documentação Aprovada</t>
        </is>
      </c>
      <c r="P1311" t="inlineStr">
        <is>
          <t>Aprovado Diretoria</t>
        </is>
      </c>
      <c r="Q1311" t="inlineStr">
        <is>
          <t>Aprovado Caixa</t>
        </is>
      </c>
      <c r="R1311" t="inlineStr">
        <is>
          <t>Pago</t>
        </is>
      </c>
      <c r="S1311" t="n">
        <v>182</v>
      </c>
      <c r="T1311" t="inlineStr">
        <is>
          <t>Love - Shibari - Kamino</t>
        </is>
      </c>
    </row>
    <row r="1312">
      <c r="A1312" t="n">
        <v>147797</v>
      </c>
      <c r="B1312" t="n">
        <v>128</v>
      </c>
      <c r="C1312" t="inlineStr">
        <is>
          <t>Love Cabaret</t>
        </is>
      </c>
      <c r="D1312" t="inlineStr">
        <is>
          <t>PJ 00492024 - ISABELLA FERNANDES GOMES</t>
        </is>
      </c>
      <c r="E1312" t="n">
        <v>1200</v>
      </c>
      <c r="F1312" s="27" t="n">
        <v>45879</v>
      </c>
      <c r="G1312" s="27" t="n">
        <v>45875</v>
      </c>
      <c r="H1312" s="27" t="n">
        <v>45875</v>
      </c>
      <c r="I1312" s="27" t="n">
        <v>45839</v>
      </c>
      <c r="J1312" s="27" t="n">
        <v>45856</v>
      </c>
      <c r="K1312" t="inlineStr">
        <is>
          <t>Transferência Bancária ou Pix</t>
        </is>
      </c>
      <c r="L1312" t="inlineStr">
        <is>
          <t>Mão de Obra - PJ</t>
        </is>
      </c>
      <c r="M1312" t="inlineStr">
        <is>
          <t>MDO PJ Fixo</t>
        </is>
      </c>
      <c r="N1312" t="inlineStr">
        <is>
          <t>56</t>
        </is>
      </c>
      <c r="O1312" t="inlineStr">
        <is>
          <t>Documentação Aprovada</t>
        </is>
      </c>
      <c r="P1312" t="inlineStr">
        <is>
          <t>Aprovado Diretoria</t>
        </is>
      </c>
      <c r="Q1312" t="inlineStr">
        <is>
          <t>Aprovado Caixa</t>
        </is>
      </c>
      <c r="R1312" t="inlineStr">
        <is>
          <t>Pago</t>
        </is>
      </c>
      <c r="S1312" t="n">
        <v>182</v>
      </c>
      <c r="T1312" t="inlineStr">
        <is>
          <t>Love - Shibari - Kamino</t>
        </is>
      </c>
    </row>
    <row r="1313">
      <c r="A1313" t="n">
        <v>147796</v>
      </c>
      <c r="B1313" t="n">
        <v>128</v>
      </c>
      <c r="C1313" t="inlineStr">
        <is>
          <t>Love Cabaret</t>
        </is>
      </c>
      <c r="D1313" t="inlineStr">
        <is>
          <t>PUXURI CONSULTORIA LTDA</t>
        </is>
      </c>
      <c r="E1313" t="n">
        <v>4000</v>
      </c>
      <c r="F1313" s="27" t="n">
        <v>45879</v>
      </c>
      <c r="G1313" s="27" t="n">
        <v>45875</v>
      </c>
      <c r="H1313" s="27" t="n">
        <v>45875</v>
      </c>
      <c r="I1313" s="27" t="n">
        <v>45839</v>
      </c>
      <c r="J1313" s="27" t="n">
        <v>45856</v>
      </c>
      <c r="K1313" t="inlineStr">
        <is>
          <t>Transferência Bancária ou Pix</t>
        </is>
      </c>
      <c r="L1313" t="inlineStr">
        <is>
          <t>Mão de Obra - PJ</t>
        </is>
      </c>
      <c r="M1313" t="inlineStr">
        <is>
          <t>MDO PJ Fixo</t>
        </is>
      </c>
      <c r="N1313" t="inlineStr">
        <is>
          <t>116</t>
        </is>
      </c>
      <c r="O1313" t="inlineStr">
        <is>
          <t>Documentação Aprovada</t>
        </is>
      </c>
      <c r="P1313" t="inlineStr">
        <is>
          <t>Aprovado Diretoria</t>
        </is>
      </c>
      <c r="Q1313" t="inlineStr">
        <is>
          <t>Aprovado Caixa</t>
        </is>
      </c>
      <c r="R1313" t="inlineStr">
        <is>
          <t>Pago</t>
        </is>
      </c>
      <c r="S1313" t="n">
        <v>182</v>
      </c>
      <c r="T1313" t="inlineStr">
        <is>
          <t>Love - Shibari - Kamino</t>
        </is>
      </c>
    </row>
    <row r="1314">
      <c r="A1314" t="n">
        <v>147793</v>
      </c>
      <c r="B1314" t="n">
        <v>128</v>
      </c>
      <c r="C1314" t="inlineStr">
        <is>
          <t>Love Cabaret</t>
        </is>
      </c>
      <c r="D1314" t="inlineStr">
        <is>
          <t xml:space="preserve">DOUGLAS FELIPE DOMINGUES GONCALVES </t>
        </is>
      </c>
      <c r="E1314" t="n">
        <v>4100</v>
      </c>
      <c r="F1314" s="27" t="n">
        <v>45879</v>
      </c>
      <c r="G1314" s="27" t="n">
        <v>45875</v>
      </c>
      <c r="H1314" s="27" t="n">
        <v>45875</v>
      </c>
      <c r="I1314" s="27" t="n">
        <v>45839</v>
      </c>
      <c r="J1314" s="27" t="n">
        <v>45856</v>
      </c>
      <c r="K1314" t="inlineStr">
        <is>
          <t>Transferência Bancária ou Pix</t>
        </is>
      </c>
      <c r="L1314" t="inlineStr">
        <is>
          <t>Custos Artístico Geral</t>
        </is>
      </c>
      <c r="M1314" t="inlineStr">
        <is>
          <t>Técnico de Som / Luz</t>
        </is>
      </c>
      <c r="N1314" t="inlineStr">
        <is>
          <t>46</t>
        </is>
      </c>
      <c r="O1314" t="inlineStr">
        <is>
          <t>Documentação Aprovada</t>
        </is>
      </c>
      <c r="P1314" t="inlineStr">
        <is>
          <t>Aprovado Diretoria</t>
        </is>
      </c>
      <c r="Q1314" t="inlineStr">
        <is>
          <t>Aprovado Caixa</t>
        </is>
      </c>
      <c r="R1314" t="inlineStr">
        <is>
          <t>Pago</t>
        </is>
      </c>
      <c r="S1314" t="n">
        <v>182</v>
      </c>
      <c r="T1314" t="inlineStr">
        <is>
          <t>Love - Shibari - Kamino</t>
        </is>
      </c>
    </row>
    <row r="1315">
      <c r="A1315" t="n">
        <v>147792</v>
      </c>
      <c r="B1315" t="n">
        <v>128</v>
      </c>
      <c r="C1315" t="inlineStr">
        <is>
          <t>Love Cabaret</t>
        </is>
      </c>
      <c r="D1315" t="inlineStr">
        <is>
          <t>ANDRE RODRIGUES AZEVEDO</t>
        </is>
      </c>
      <c r="E1315" t="n">
        <v>7420</v>
      </c>
      <c r="F1315" s="27" t="n">
        <v>45879</v>
      </c>
      <c r="G1315" s="27" t="n">
        <v>45875</v>
      </c>
      <c r="H1315" s="27" t="n">
        <v>45875</v>
      </c>
      <c r="I1315" s="27" t="n">
        <v>45839</v>
      </c>
      <c r="J1315" s="27" t="n">
        <v>45856</v>
      </c>
      <c r="K1315" t="inlineStr">
        <is>
          <t>Transferência Bancária ou Pix</t>
        </is>
      </c>
      <c r="L1315" t="inlineStr">
        <is>
          <t>Custos Artístico Geral</t>
        </is>
      </c>
      <c r="M1315" t="inlineStr">
        <is>
          <t>Técnico de Som / Luz</t>
        </is>
      </c>
      <c r="N1315" t="inlineStr">
        <is>
          <t>61</t>
        </is>
      </c>
      <c r="O1315" t="inlineStr">
        <is>
          <t>Documentação Aprovada</t>
        </is>
      </c>
      <c r="P1315" t="inlineStr">
        <is>
          <t>Aprovado Diretoria</t>
        </is>
      </c>
      <c r="Q1315" t="inlineStr">
        <is>
          <t>Aprovado Caixa</t>
        </is>
      </c>
      <c r="R1315" t="inlineStr">
        <is>
          <t>Pago</t>
        </is>
      </c>
      <c r="S1315" t="n">
        <v>182</v>
      </c>
      <c r="T1315" t="inlineStr">
        <is>
          <t>Love - Shibari - Kamino</t>
        </is>
      </c>
    </row>
    <row r="1316">
      <c r="A1316" t="n">
        <v>147790</v>
      </c>
      <c r="B1316" t="n">
        <v>128</v>
      </c>
      <c r="C1316" t="inlineStr">
        <is>
          <t>Love Cabaret</t>
        </is>
      </c>
      <c r="D1316" t="inlineStr">
        <is>
          <t xml:space="preserve">AGNES RODRIGUES DE OLIVEIRA </t>
        </is>
      </c>
      <c r="E1316" t="n">
        <v>5000</v>
      </c>
      <c r="F1316" s="27" t="n">
        <v>45879</v>
      </c>
      <c r="G1316" s="27" t="n">
        <v>45875</v>
      </c>
      <c r="H1316" s="27" t="n">
        <v>45875</v>
      </c>
      <c r="I1316" s="27" t="n">
        <v>45839</v>
      </c>
      <c r="J1316" s="27" t="n">
        <v>45856</v>
      </c>
      <c r="K1316" t="inlineStr">
        <is>
          <t>Transferência Bancária ou Pix</t>
        </is>
      </c>
      <c r="L1316" t="inlineStr">
        <is>
          <t>Custos Artístico Geral</t>
        </is>
      </c>
      <c r="M1316" t="inlineStr">
        <is>
          <t>Técnico de Som / Luz</t>
        </is>
      </c>
      <c r="N1316" t="inlineStr">
        <is>
          <t>35</t>
        </is>
      </c>
      <c r="O1316" t="inlineStr">
        <is>
          <t>Documentação Aprovada</t>
        </is>
      </c>
      <c r="P1316" t="inlineStr">
        <is>
          <t>Aprovado Diretoria</t>
        </is>
      </c>
      <c r="Q1316" t="inlineStr">
        <is>
          <t>Aprovado Caixa</t>
        </is>
      </c>
      <c r="R1316" t="inlineStr">
        <is>
          <t>Pago</t>
        </is>
      </c>
      <c r="S1316" t="n">
        <v>182</v>
      </c>
      <c r="T1316" t="inlineStr">
        <is>
          <t>Love - Shibari - Kamino</t>
        </is>
      </c>
    </row>
    <row r="1317">
      <c r="A1317" t="n">
        <v>148172</v>
      </c>
      <c r="B1317" t="n">
        <v>128</v>
      </c>
      <c r="C1317" t="inlineStr">
        <is>
          <t>Love Cabaret</t>
        </is>
      </c>
      <c r="D1317" t="inlineStr">
        <is>
          <t>KING COMERCIO E IMPORTACAO DE BEBIDAS LTDA</t>
        </is>
      </c>
      <c r="E1317" t="n">
        <v>5192.25</v>
      </c>
      <c r="F1317" s="27" t="n">
        <v>45877</v>
      </c>
      <c r="G1317" s="27" t="n">
        <v>45875</v>
      </c>
      <c r="H1317" s="27" t="n">
        <v>45875</v>
      </c>
      <c r="I1317" s="27" t="n">
        <v>45849</v>
      </c>
      <c r="J1317" s="27" t="n">
        <v>45859</v>
      </c>
      <c r="K1317" t="inlineStr">
        <is>
          <t>Boleto Bancário</t>
        </is>
      </c>
      <c r="L1317" t="inlineStr">
        <is>
          <t>Custo Mercadoria Vendida</t>
        </is>
      </c>
      <c r="M1317" t="inlineStr">
        <is>
          <t>Insumos - Bebidas</t>
        </is>
      </c>
      <c r="N1317" t="inlineStr">
        <is>
          <t>119349</t>
        </is>
      </c>
      <c r="O1317" t="inlineStr">
        <is>
          <t>Documentação Aprovada</t>
        </is>
      </c>
      <c r="P1317" t="inlineStr">
        <is>
          <t>Aprovado Diretoria</t>
        </is>
      </c>
      <c r="Q1317" t="inlineStr">
        <is>
          <t>Aprovado Caixa</t>
        </is>
      </c>
      <c r="R1317" t="inlineStr">
        <is>
          <t>Pago</t>
        </is>
      </c>
      <c r="S1317" t="n">
        <v>182</v>
      </c>
      <c r="T1317" t="inlineStr">
        <is>
          <t>Love - Shibari - Kamino</t>
        </is>
      </c>
    </row>
    <row r="1318">
      <c r="A1318" t="n">
        <v>147914</v>
      </c>
      <c r="B1318" t="n">
        <v>128</v>
      </c>
      <c r="C1318" t="inlineStr">
        <is>
          <t>Love Cabaret</t>
        </is>
      </c>
      <c r="D1318" t="inlineStr">
        <is>
          <t>STEPHANY RODRIGUES DA SILVA</t>
        </is>
      </c>
      <c r="E1318" t="n">
        <v>400</v>
      </c>
      <c r="F1318" s="27" t="n">
        <v>45880</v>
      </c>
      <c r="G1318" s="27" t="n">
        <v>45875</v>
      </c>
      <c r="H1318" s="27" t="n">
        <v>45875</v>
      </c>
      <c r="I1318" s="27" t="n">
        <v>45856</v>
      </c>
      <c r="J1318" s="27" t="n">
        <v>45856</v>
      </c>
      <c r="K1318" t="inlineStr">
        <is>
          <t>Transferência Bancária ou Pix</t>
        </is>
      </c>
      <c r="L1318" t="inlineStr">
        <is>
          <t>Custos Artístico Geral</t>
        </is>
      </c>
      <c r="M1318" t="inlineStr">
        <is>
          <t>MDO Terceirizada - Artístico</t>
        </is>
      </c>
      <c r="N1318" t="inlineStr">
        <is>
          <t>400072025</t>
        </is>
      </c>
      <c r="O1318" t="inlineStr">
        <is>
          <t>Documentação Aprovada</t>
        </is>
      </c>
      <c r="P1318" t="inlineStr">
        <is>
          <t>Aprovado Diretoria</t>
        </is>
      </c>
      <c r="Q1318" t="inlineStr">
        <is>
          <t>Aprovado Caixa</t>
        </is>
      </c>
      <c r="R1318" t="inlineStr">
        <is>
          <t>Pago</t>
        </is>
      </c>
      <c r="S1318" t="n">
        <v>182</v>
      </c>
      <c r="T1318" t="inlineStr">
        <is>
          <t>Love - Shibari - Kamino</t>
        </is>
      </c>
    </row>
    <row r="1319">
      <c r="A1319" t="n">
        <v>148175</v>
      </c>
      <c r="B1319" t="n">
        <v>128</v>
      </c>
      <c r="C1319" t="inlineStr">
        <is>
          <t>Love Cabaret</t>
        </is>
      </c>
      <c r="D1319" t="inlineStr">
        <is>
          <t>HORTICLEAN DISTRIBUIDORA DE HORTIFRUTI LTDA</t>
        </is>
      </c>
      <c r="E1319" t="n">
        <v>136.04</v>
      </c>
      <c r="F1319" s="27" t="n">
        <v>45877</v>
      </c>
      <c r="G1319" s="27" t="n">
        <v>45875</v>
      </c>
      <c r="H1319" s="27" t="n">
        <v>45875</v>
      </c>
      <c r="I1319" s="27" t="n">
        <v>45849</v>
      </c>
      <c r="J1319" s="27" t="n">
        <v>45859</v>
      </c>
      <c r="K1319" t="inlineStr">
        <is>
          <t>Boleto Bancário</t>
        </is>
      </c>
      <c r="L1319" t="inlineStr">
        <is>
          <t>Custo Mercadoria Vendida</t>
        </is>
      </c>
      <c r="M1319" t="inlineStr">
        <is>
          <t>Insumos - Alimentos</t>
        </is>
      </c>
      <c r="N1319" t="inlineStr">
        <is>
          <t>27263</t>
        </is>
      </c>
      <c r="O1319" t="inlineStr">
        <is>
          <t>Documentação Aprovada</t>
        </is>
      </c>
      <c r="P1319" t="inlineStr">
        <is>
          <t>Aprovado Diretoria</t>
        </is>
      </c>
      <c r="Q1319" t="inlineStr">
        <is>
          <t>Aprovado Caixa</t>
        </is>
      </c>
      <c r="R1319" t="inlineStr">
        <is>
          <t>Pago</t>
        </is>
      </c>
      <c r="S1319" t="n">
        <v>182</v>
      </c>
      <c r="T1319" t="inlineStr">
        <is>
          <t>Love - Shibari - Kamino</t>
        </is>
      </c>
    </row>
    <row r="1320">
      <c r="A1320" t="n">
        <v>148136</v>
      </c>
      <c r="B1320" t="n">
        <v>128</v>
      </c>
      <c r="C1320" t="inlineStr">
        <is>
          <t>Love Cabaret</t>
        </is>
      </c>
      <c r="D1320" t="inlineStr">
        <is>
          <t>PJ 00192022 - FELIPE FERREIRA FRANCA</t>
        </is>
      </c>
      <c r="E1320" t="n">
        <v>3250</v>
      </c>
      <c r="F1320" s="27" t="n">
        <v>45879</v>
      </c>
      <c r="G1320" s="27" t="n">
        <v>45875</v>
      </c>
      <c r="H1320" s="27" t="n">
        <v>45875</v>
      </c>
      <c r="I1320" s="27" t="n">
        <v>45839</v>
      </c>
      <c r="J1320" s="27" t="n">
        <v>45859</v>
      </c>
      <c r="K1320" t="inlineStr">
        <is>
          <t>Transferência Bancária ou Pix</t>
        </is>
      </c>
      <c r="L1320" t="inlineStr">
        <is>
          <t>Mão de Obra - PJ</t>
        </is>
      </c>
      <c r="M1320" t="inlineStr">
        <is>
          <t>MDO PJ Fixo</t>
        </is>
      </c>
      <c r="N1320" t="inlineStr">
        <is>
          <t>47</t>
        </is>
      </c>
      <c r="O1320" t="inlineStr">
        <is>
          <t>Documentação Aprovada</t>
        </is>
      </c>
      <c r="P1320" t="inlineStr">
        <is>
          <t>Aprovado Diretoria</t>
        </is>
      </c>
      <c r="Q1320" t="inlineStr">
        <is>
          <t>Aprovado Caixa</t>
        </is>
      </c>
      <c r="R1320" t="inlineStr">
        <is>
          <t>Pago</t>
        </is>
      </c>
      <c r="S1320" t="n">
        <v>182</v>
      </c>
      <c r="T1320" t="inlineStr">
        <is>
          <t>Love - Shibari - Kamino</t>
        </is>
      </c>
    </row>
    <row r="1321">
      <c r="A1321" t="n">
        <v>147813</v>
      </c>
      <c r="B1321" t="n">
        <v>128</v>
      </c>
      <c r="C1321" t="inlineStr">
        <is>
          <t>Love Cabaret</t>
        </is>
      </c>
      <c r="D1321" t="inlineStr">
        <is>
          <t>VANESSA DEL SANTOS DE FREITAS CONSULTORIA - PJ 00092021</t>
        </is>
      </c>
      <c r="E1321" t="n">
        <v>3000</v>
      </c>
      <c r="F1321" s="27" t="n">
        <v>45879</v>
      </c>
      <c r="G1321" s="27" t="n">
        <v>45875</v>
      </c>
      <c r="H1321" s="27" t="n">
        <v>45875</v>
      </c>
      <c r="I1321" s="27" t="n">
        <v>45839</v>
      </c>
      <c r="J1321" s="27" t="n">
        <v>45856</v>
      </c>
      <c r="K1321" t="inlineStr">
        <is>
          <t>Transferência Bancária ou Pix</t>
        </is>
      </c>
      <c r="L1321" t="inlineStr">
        <is>
          <t>Mão de Obra - PJ</t>
        </is>
      </c>
      <c r="M1321" t="inlineStr">
        <is>
          <t>MDO PJ Fixo</t>
        </is>
      </c>
      <c r="N1321" t="inlineStr">
        <is>
          <t>276</t>
        </is>
      </c>
      <c r="O1321" t="inlineStr">
        <is>
          <t>Documentação Aprovada</t>
        </is>
      </c>
      <c r="P1321" t="inlineStr">
        <is>
          <t>Aprovado Diretoria</t>
        </is>
      </c>
      <c r="Q1321" t="inlineStr">
        <is>
          <t>Aprovado Caixa</t>
        </is>
      </c>
      <c r="R1321" t="inlineStr">
        <is>
          <t>Pago</t>
        </is>
      </c>
      <c r="S1321" t="n">
        <v>182</v>
      </c>
      <c r="T1321" t="inlineStr">
        <is>
          <t>Love - Shibari - Kamino</t>
        </is>
      </c>
    </row>
    <row r="1322">
      <c r="A1322" t="n">
        <v>147694</v>
      </c>
      <c r="B1322" t="n">
        <v>128</v>
      </c>
      <c r="C1322" t="inlineStr">
        <is>
          <t>Love Cabaret</t>
        </is>
      </c>
      <c r="D1322" t="inlineStr">
        <is>
          <t xml:space="preserve">EMPORIO MEL </t>
        </is>
      </c>
      <c r="E1322" t="n">
        <v>2471.04</v>
      </c>
      <c r="F1322" s="27" t="n">
        <v>45876</v>
      </c>
      <c r="G1322" s="27" t="n">
        <v>45875</v>
      </c>
      <c r="H1322" s="27" t="n">
        <v>45875</v>
      </c>
      <c r="I1322" s="27" t="n">
        <v>45852</v>
      </c>
      <c r="J1322" s="27" t="n">
        <v>45855</v>
      </c>
      <c r="K1322" t="inlineStr">
        <is>
          <t>Boleto Bancário</t>
        </is>
      </c>
      <c r="L1322" t="inlineStr">
        <is>
          <t>Custo Mercadoria Vendida</t>
        </is>
      </c>
      <c r="M1322" t="inlineStr">
        <is>
          <t>Insumos - Bebidas</t>
        </is>
      </c>
      <c r="N1322" t="inlineStr">
        <is>
          <t>461021</t>
        </is>
      </c>
      <c r="O1322" t="inlineStr">
        <is>
          <t>Documentação Aprovada</t>
        </is>
      </c>
      <c r="P1322" t="inlineStr">
        <is>
          <t>Aprovado Diretoria</t>
        </is>
      </c>
      <c r="Q1322" t="inlineStr">
        <is>
          <t>Aprovado Caixa</t>
        </is>
      </c>
      <c r="R1322" t="inlineStr">
        <is>
          <t>Pago</t>
        </is>
      </c>
      <c r="S1322" t="n">
        <v>182</v>
      </c>
      <c r="T1322" t="inlineStr">
        <is>
          <t>Love - Shibari - Kamino</t>
        </is>
      </c>
    </row>
    <row r="1323">
      <c r="A1323" t="n">
        <v>147817</v>
      </c>
      <c r="B1323" t="n">
        <v>128</v>
      </c>
      <c r="C1323" t="inlineStr">
        <is>
          <t>Love Cabaret</t>
        </is>
      </c>
      <c r="D1323" t="inlineStr">
        <is>
          <t>LAISA ROCHA LARANGEIRA</t>
        </is>
      </c>
      <c r="E1323" t="n">
        <v>1600</v>
      </c>
      <c r="F1323" s="27" t="n">
        <v>45879</v>
      </c>
      <c r="G1323" s="27" t="n">
        <v>45875</v>
      </c>
      <c r="H1323" s="27" t="n">
        <v>45875</v>
      </c>
      <c r="I1323" s="27" t="n">
        <v>45839</v>
      </c>
      <c r="J1323" s="27" t="n">
        <v>45856</v>
      </c>
      <c r="K1323" t="inlineStr">
        <is>
          <t>Transferência Bancária ou Pix</t>
        </is>
      </c>
      <c r="L1323" t="inlineStr">
        <is>
          <t>Mão de Obra - PJ</t>
        </is>
      </c>
      <c r="M1323" t="inlineStr">
        <is>
          <t>MDO PJ Fixo</t>
        </is>
      </c>
      <c r="N1323" t="inlineStr">
        <is>
          <t>80</t>
        </is>
      </c>
      <c r="O1323" t="inlineStr">
        <is>
          <t>Documentação Aprovada</t>
        </is>
      </c>
      <c r="P1323" t="inlineStr">
        <is>
          <t>Aprovado Diretoria</t>
        </is>
      </c>
      <c r="Q1323" t="inlineStr">
        <is>
          <t>Aprovado Caixa</t>
        </is>
      </c>
      <c r="R1323" t="inlineStr">
        <is>
          <t>Pago</t>
        </is>
      </c>
      <c r="S1323" t="n">
        <v>182</v>
      </c>
      <c r="T1323" t="inlineStr">
        <is>
          <t>Love - Shibari - Kamino</t>
        </is>
      </c>
    </row>
    <row r="1324">
      <c r="A1324" t="n">
        <v>145549</v>
      </c>
      <c r="B1324" t="n">
        <v>128</v>
      </c>
      <c r="C1324" t="inlineStr">
        <is>
          <t>Love Cabaret</t>
        </is>
      </c>
      <c r="D1324" t="inlineStr">
        <is>
          <t>LUIZ ROBERTO DA SILVA JUNIOR</t>
        </is>
      </c>
      <c r="E1324" t="n">
        <v>1000</v>
      </c>
      <c r="F1324" s="27" t="n">
        <v>45877</v>
      </c>
      <c r="G1324" s="27" t="n">
        <v>45875</v>
      </c>
      <c r="H1324" s="27" t="n">
        <v>45875</v>
      </c>
      <c r="I1324" s="27" t="n">
        <v>45862</v>
      </c>
      <c r="J1324" s="27" t="n">
        <v>45847</v>
      </c>
      <c r="K1324" t="inlineStr">
        <is>
          <t>Transferência Bancária ou Pix</t>
        </is>
      </c>
      <c r="L1324" t="inlineStr">
        <is>
          <t>Custos Artístico Geral</t>
        </is>
      </c>
      <c r="M1324" t="inlineStr">
        <is>
          <t>Locação de Equipamentos Fixo</t>
        </is>
      </c>
      <c r="N1324" t="inlineStr">
        <is>
          <t>672025</t>
        </is>
      </c>
      <c r="O1324" t="inlineStr">
        <is>
          <t>Documentação Aprovada</t>
        </is>
      </c>
      <c r="P1324" t="inlineStr">
        <is>
          <t>Aprovado Diretoria</t>
        </is>
      </c>
      <c r="Q1324" t="inlineStr">
        <is>
          <t>Aprovado Caixa</t>
        </is>
      </c>
      <c r="R1324" t="inlineStr">
        <is>
          <t>Pago</t>
        </is>
      </c>
      <c r="S1324" t="n">
        <v>182</v>
      </c>
      <c r="T1324" t="inlineStr">
        <is>
          <t>Love - Shibari - Kamino</t>
        </is>
      </c>
    </row>
    <row r="1325">
      <c r="A1325" t="n">
        <v>97036</v>
      </c>
      <c r="B1325" t="n">
        <v>128</v>
      </c>
      <c r="C1325" t="inlineStr">
        <is>
          <t>Love Cabaret</t>
        </is>
      </c>
      <c r="D1325" t="inlineStr">
        <is>
          <t>ESHOWS PROMOCOES ARTISTICAS LTDA</t>
        </is>
      </c>
      <c r="E1325" t="n">
        <v>18340</v>
      </c>
      <c r="F1325" s="27" t="n">
        <v>45874</v>
      </c>
      <c r="G1325" s="27" t="n">
        <v>45875</v>
      </c>
      <c r="H1325" s="27" t="n">
        <v>45875</v>
      </c>
      <c r="I1325" s="27" t="n">
        <v>45854</v>
      </c>
      <c r="J1325" s="27" t="n"/>
      <c r="K1325" t="inlineStr">
        <is>
          <t>Boleto Bancário</t>
        </is>
      </c>
      <c r="L1325" t="inlineStr">
        <is>
          <t>Custos Artístico Geral</t>
        </is>
      </c>
      <c r="M1325" t="inlineStr">
        <is>
          <t>Cachê de Músicos e Artistas</t>
        </is>
      </c>
      <c r="N1325" t="inlineStr">
        <is>
          <t>610147842</t>
        </is>
      </c>
      <c r="O1325" t="inlineStr">
        <is>
          <t>Documentação Aprovada</t>
        </is>
      </c>
      <c r="P1325" t="inlineStr">
        <is>
          <t>Aprovado Diretoria</t>
        </is>
      </c>
      <c r="Q1325" t="inlineStr">
        <is>
          <t>Aprovado Caixa</t>
        </is>
      </c>
      <c r="R1325" t="inlineStr">
        <is>
          <t>Pago</t>
        </is>
      </c>
      <c r="S1325" t="n">
        <v>182</v>
      </c>
      <c r="T1325" t="inlineStr">
        <is>
          <t>Love - Shibari - Kamino</t>
        </is>
      </c>
    </row>
    <row r="1326">
      <c r="A1326" t="n">
        <v>96824</v>
      </c>
      <c r="B1326" t="n">
        <v>128</v>
      </c>
      <c r="C1326" t="inlineStr">
        <is>
          <t>Love Cabaret</t>
        </is>
      </c>
      <c r="D1326" t="inlineStr">
        <is>
          <t xml:space="preserve">ANA CLAUDIA DA COSTA PINTO </t>
        </is>
      </c>
      <c r="E1326" t="n">
        <v>471.7</v>
      </c>
      <c r="F1326" s="27" t="n">
        <v>45878</v>
      </c>
      <c r="G1326" s="27" t="n">
        <v>45875</v>
      </c>
      <c r="H1326" s="27" t="n">
        <v>45875</v>
      </c>
      <c r="I1326" s="27" t="n">
        <v>45858</v>
      </c>
      <c r="J1326" s="27" t="n"/>
      <c r="K1326" t="inlineStr">
        <is>
          <t>Transferência Bancária ou Pix</t>
        </is>
      </c>
      <c r="L1326" t="inlineStr">
        <is>
          <t>Manutenção</t>
        </is>
      </c>
      <c r="M1326" t="inlineStr">
        <is>
          <t>Decoração/Paisagismo e Jardinagem</t>
        </is>
      </c>
      <c r="N1326" t="inlineStr">
        <is>
          <t>2370</t>
        </is>
      </c>
      <c r="O1326" t="inlineStr">
        <is>
          <t>Documentação Aprovada</t>
        </is>
      </c>
      <c r="P1326" t="inlineStr">
        <is>
          <t>Aprovado Diretoria</t>
        </is>
      </c>
      <c r="Q1326" t="inlineStr">
        <is>
          <t>Aprovado Caixa</t>
        </is>
      </c>
      <c r="R1326" t="inlineStr">
        <is>
          <t>Pago</t>
        </is>
      </c>
      <c r="S1326" t="n">
        <v>182</v>
      </c>
      <c r="T1326" t="inlineStr">
        <is>
          <t>Love - Shibari - Kamino</t>
        </is>
      </c>
    </row>
    <row r="1327">
      <c r="A1327" t="n">
        <v>97112</v>
      </c>
      <c r="B1327" t="n">
        <v>128</v>
      </c>
      <c r="C1327" t="inlineStr">
        <is>
          <t>Love Cabaret</t>
        </is>
      </c>
      <c r="D1327" t="inlineStr">
        <is>
          <t>ESTAFF SOLUCOES TECNOLOGICAS DE AGENCIAMENTO LTDA</t>
        </is>
      </c>
      <c r="E1327" t="n">
        <v>4262.75</v>
      </c>
      <c r="F1327" s="27" t="n">
        <v>45875</v>
      </c>
      <c r="G1327" s="27" t="n">
        <v>45875</v>
      </c>
      <c r="H1327" s="27" t="n">
        <v>45875</v>
      </c>
      <c r="I1327" s="27" t="n">
        <v>45866</v>
      </c>
      <c r="J1327" s="27" t="n"/>
      <c r="K1327" t="inlineStr">
        <is>
          <t>Boleto Bancário</t>
        </is>
      </c>
      <c r="L1327" t="inlineStr">
        <is>
          <t>Mão de Obra - Extra</t>
        </is>
      </c>
      <c r="M1327" t="inlineStr">
        <is>
          <t>Mão de Obra Extra</t>
        </is>
      </c>
      <c r="N1327" t="inlineStr">
        <is>
          <t>609755306</t>
        </is>
      </c>
      <c r="O1327" t="inlineStr">
        <is>
          <t>Documentação Aprovada</t>
        </is>
      </c>
      <c r="P1327" t="inlineStr">
        <is>
          <t>Aprovado Diretoria</t>
        </is>
      </c>
      <c r="Q1327" t="inlineStr">
        <is>
          <t>Aprovado Caixa</t>
        </is>
      </c>
      <c r="R1327" t="inlineStr">
        <is>
          <t>Pago</t>
        </is>
      </c>
      <c r="S1327" t="n">
        <v>182</v>
      </c>
      <c r="T1327" t="inlineStr">
        <is>
          <t>Love - Shibari - Kamino</t>
        </is>
      </c>
    </row>
    <row r="1328">
      <c r="A1328" t="n">
        <v>96976</v>
      </c>
      <c r="B1328" t="n">
        <v>128</v>
      </c>
      <c r="C1328" t="inlineStr">
        <is>
          <t>Love Cabaret</t>
        </is>
      </c>
      <c r="D1328" t="inlineStr">
        <is>
          <t xml:space="preserve">DIVIFY OPERACAO DE PLATAFORMA ELETRONICA LTDA </t>
        </is>
      </c>
      <c r="E1328" t="n">
        <v>1000</v>
      </c>
      <c r="F1328" s="27" t="n">
        <v>45879</v>
      </c>
      <c r="G1328" s="27" t="n">
        <v>45875</v>
      </c>
      <c r="H1328" s="27" t="n">
        <v>45875</v>
      </c>
      <c r="I1328" s="27" t="n">
        <v>45858</v>
      </c>
      <c r="J1328" s="27" t="n"/>
      <c r="K1328" t="inlineStr">
        <is>
          <t>Boleto Bancário</t>
        </is>
      </c>
      <c r="L1328" t="inlineStr">
        <is>
          <t>Serviços de Terceiros</t>
        </is>
      </c>
      <c r="M1328" t="inlineStr">
        <is>
          <t>Assessoria em Geral</t>
        </is>
      </c>
      <c r="N1328" t="inlineStr">
        <is>
          <t>280</t>
        </is>
      </c>
      <c r="O1328" t="inlineStr">
        <is>
          <t>Documentação Aprovada</t>
        </is>
      </c>
      <c r="P1328" t="inlineStr">
        <is>
          <t>Aprovado Diretoria</t>
        </is>
      </c>
      <c r="Q1328" t="inlineStr">
        <is>
          <t>Aprovado Caixa</t>
        </is>
      </c>
      <c r="R1328" t="inlineStr">
        <is>
          <t>Pago</t>
        </is>
      </c>
      <c r="S1328" t="n">
        <v>182</v>
      </c>
      <c r="T1328" t="inlineStr">
        <is>
          <t>Love - Shibari - Kamino</t>
        </is>
      </c>
    </row>
    <row r="1329">
      <c r="A1329" t="n">
        <v>97204</v>
      </c>
      <c r="B1329" t="n">
        <v>128</v>
      </c>
      <c r="C1329" t="inlineStr">
        <is>
          <t>Love Cabaret</t>
        </is>
      </c>
      <c r="D1329" t="inlineStr">
        <is>
          <t>ESTAFF SOLUCOES TECNOLOGICAS DE AGENCIAMENTO LTDA</t>
        </is>
      </c>
      <c r="E1329" t="n">
        <v>10207.75</v>
      </c>
      <c r="F1329" s="27" t="n">
        <v>45875</v>
      </c>
      <c r="G1329" s="27" t="n">
        <v>45875</v>
      </c>
      <c r="H1329" s="27" t="n">
        <v>45875</v>
      </c>
      <c r="I1329" s="27" t="n">
        <v>45870</v>
      </c>
      <c r="J1329" s="27" t="n"/>
      <c r="K1329" t="inlineStr">
        <is>
          <t>Boleto Bancário</t>
        </is>
      </c>
      <c r="L1329" t="inlineStr">
        <is>
          <t>Mão de Obra - Extra</t>
        </is>
      </c>
      <c r="M1329" t="inlineStr">
        <is>
          <t>Mão de Obra Extra</t>
        </is>
      </c>
      <c r="N1329" t="inlineStr">
        <is>
          <t>609755306</t>
        </is>
      </c>
      <c r="O1329" t="inlineStr">
        <is>
          <t>Documentação Aprovada</t>
        </is>
      </c>
      <c r="P1329" t="inlineStr">
        <is>
          <t>Aprovado Diretoria</t>
        </is>
      </c>
      <c r="Q1329" t="inlineStr">
        <is>
          <t>Aprovado Caixa</t>
        </is>
      </c>
      <c r="R1329" t="inlineStr">
        <is>
          <t>Pago</t>
        </is>
      </c>
      <c r="S1329" t="n">
        <v>182</v>
      </c>
      <c r="T1329" t="inlineStr">
        <is>
          <t>Love - Shibari - Kamino</t>
        </is>
      </c>
    </row>
    <row r="1330">
      <c r="A1330" t="n">
        <v>102946</v>
      </c>
      <c r="B1330" t="n">
        <v>128</v>
      </c>
      <c r="C1330" t="inlineStr">
        <is>
          <t>Love Cabaret</t>
        </is>
      </c>
      <c r="D1330" t="inlineStr">
        <is>
          <t>SAFE BRAND COMERCIAL- IMPORTACAO- EXPORTACAO E SERVICOS LTDA</t>
        </is>
      </c>
      <c r="E1330" t="n">
        <v>2117.46</v>
      </c>
      <c r="F1330" s="27" t="n">
        <v>45878</v>
      </c>
      <c r="G1330" s="27" t="n">
        <v>45875</v>
      </c>
      <c r="H1330" s="27" t="n">
        <v>45875</v>
      </c>
      <c r="I1330" s="27" t="n">
        <v>45870</v>
      </c>
      <c r="J1330" s="27" t="n"/>
      <c r="K1330" t="inlineStr">
        <is>
          <t>Boleto Bancário</t>
        </is>
      </c>
      <c r="L1330" t="inlineStr">
        <is>
          <t>Locação de Equipamentos</t>
        </is>
      </c>
      <c r="M1330" t="inlineStr">
        <is>
          <t>Locações de Equipamentos - Operacionais</t>
        </is>
      </c>
      <c r="N1330" t="inlineStr">
        <is>
          <t xml:space="preserve">03250226 </t>
        </is>
      </c>
      <c r="O1330" t="inlineStr">
        <is>
          <t>Documentação Aprovada</t>
        </is>
      </c>
      <c r="P1330" t="inlineStr">
        <is>
          <t>Aprovado Diretoria</t>
        </is>
      </c>
      <c r="Q1330" t="inlineStr">
        <is>
          <t>Aprovado Caixa</t>
        </is>
      </c>
      <c r="R1330" t="inlineStr">
        <is>
          <t>Pago</t>
        </is>
      </c>
      <c r="S1330" t="n">
        <v>182</v>
      </c>
      <c r="T1330" t="inlineStr">
        <is>
          <t>Love - Shibari - Kamino</t>
        </is>
      </c>
    </row>
    <row r="1331">
      <c r="A1331" t="n">
        <v>102922</v>
      </c>
      <c r="B1331" t="n">
        <v>128</v>
      </c>
      <c r="C1331" t="inlineStr">
        <is>
          <t>Love Cabaret</t>
        </is>
      </c>
      <c r="D1331" t="inlineStr">
        <is>
          <t>PRESHH ALUGUEL DE MAQUINAS LTDA</t>
        </is>
      </c>
      <c r="E1331" t="n">
        <v>727.2</v>
      </c>
      <c r="F1331" s="27" t="n">
        <v>45879</v>
      </c>
      <c r="G1331" s="27" t="n">
        <v>45875</v>
      </c>
      <c r="H1331" s="27" t="n">
        <v>45875</v>
      </c>
      <c r="I1331" s="27" t="n">
        <v>45869</v>
      </c>
      <c r="J1331" s="27" t="n"/>
      <c r="K1331" t="inlineStr">
        <is>
          <t>Boleto Bancário</t>
        </is>
      </c>
      <c r="L1331" t="inlineStr">
        <is>
          <t>Locação de Equipamentos</t>
        </is>
      </c>
      <c r="M1331" t="inlineStr">
        <is>
          <t>Locações de Equipamentos - Operacionais</t>
        </is>
      </c>
      <c r="N1331" t="inlineStr">
        <is>
          <t xml:space="preserve">591692450 </t>
        </is>
      </c>
      <c r="O1331" t="inlineStr">
        <is>
          <t>Documentação Aprovada</t>
        </is>
      </c>
      <c r="P1331" t="inlineStr">
        <is>
          <t>Aprovado Diretoria</t>
        </is>
      </c>
      <c r="Q1331" t="inlineStr">
        <is>
          <t>Aprovado Caixa</t>
        </is>
      </c>
      <c r="R1331" t="inlineStr">
        <is>
          <t>Pago</t>
        </is>
      </c>
      <c r="S1331" t="n">
        <v>182</v>
      </c>
      <c r="T1331" t="inlineStr">
        <is>
          <t>Love - Shibari - Kamino</t>
        </is>
      </c>
    </row>
    <row r="1332">
      <c r="A1332" t="n">
        <v>102977</v>
      </c>
      <c r="B1332" t="n">
        <v>128</v>
      </c>
      <c r="C1332" t="inlineStr">
        <is>
          <t>Love Cabaret</t>
        </is>
      </c>
      <c r="D1332" t="inlineStr">
        <is>
          <t>STEMME TELECOMUNICACOES DO BRASIL LTDA</t>
        </is>
      </c>
      <c r="E1332" t="n">
        <v>299.99</v>
      </c>
      <c r="F1332" s="27" t="n">
        <v>45879</v>
      </c>
      <c r="G1332" s="27" t="n">
        <v>45875</v>
      </c>
      <c r="H1332" s="27" t="n">
        <v>45875</v>
      </c>
      <c r="I1332" s="27" t="n">
        <v>45869</v>
      </c>
      <c r="J1332" s="27" t="n"/>
      <c r="K1332" t="inlineStr">
        <is>
          <t>Boleto Bancário</t>
        </is>
      </c>
      <c r="L1332" t="inlineStr">
        <is>
          <t>Informática e TI</t>
        </is>
      </c>
      <c r="M1332" t="inlineStr">
        <is>
          <t>Internet</t>
        </is>
      </c>
      <c r="N1332" t="inlineStr">
        <is>
          <t>8247</t>
        </is>
      </c>
      <c r="O1332" t="inlineStr">
        <is>
          <t>Documentação Aprovada</t>
        </is>
      </c>
      <c r="P1332" t="inlineStr">
        <is>
          <t>Aprovado Diretoria</t>
        </is>
      </c>
      <c r="Q1332" t="inlineStr">
        <is>
          <t>Aprovado Caixa</t>
        </is>
      </c>
      <c r="R1332" t="inlineStr">
        <is>
          <t>Pago</t>
        </is>
      </c>
      <c r="S1332" t="n">
        <v>182</v>
      </c>
      <c r="T1332" t="inlineStr">
        <is>
          <t>Love - Shibari - Kamino</t>
        </is>
      </c>
    </row>
    <row r="1333">
      <c r="A1333" t="n">
        <v>103047</v>
      </c>
      <c r="B1333" t="n">
        <v>128</v>
      </c>
      <c r="C1333" t="inlineStr">
        <is>
          <t>Love Cabaret</t>
        </is>
      </c>
      <c r="D1333" t="inlineStr">
        <is>
          <t>VERISURE BRASIL MONITORAMENTO DE ALARMES S.A</t>
        </is>
      </c>
      <c r="E1333" t="n">
        <v>263.78</v>
      </c>
      <c r="F1333" s="27" t="n">
        <v>45874</v>
      </c>
      <c r="G1333" s="27" t="n">
        <v>45875</v>
      </c>
      <c r="H1333" s="27" t="n">
        <v>45874</v>
      </c>
      <c r="I1333" s="27" t="n">
        <v>45853</v>
      </c>
      <c r="J1333" s="27" t="n"/>
      <c r="K1333" t="inlineStr">
        <is>
          <t xml:space="preserve">Debito Automático </t>
        </is>
      </c>
      <c r="L1333" t="inlineStr">
        <is>
          <t>Informática e TI</t>
        </is>
      </c>
      <c r="M1333" t="inlineStr">
        <is>
          <t>Sistemas de Segurança e Alarme</t>
        </is>
      </c>
      <c r="N1333" t="inlineStr">
        <is>
          <t xml:space="preserve">15853215 </t>
        </is>
      </c>
      <c r="O1333" t="inlineStr">
        <is>
          <t>Documentação Aprovada</t>
        </is>
      </c>
      <c r="P1333" t="inlineStr">
        <is>
          <t>Aprovado Diretoria</t>
        </is>
      </c>
      <c r="Q1333" t="inlineStr">
        <is>
          <t>Aprovado Caixa</t>
        </is>
      </c>
      <c r="R1333" t="inlineStr">
        <is>
          <t>Pago</t>
        </is>
      </c>
      <c r="S1333" t="n">
        <v>115</v>
      </c>
      <c r="T1333" t="inlineStr">
        <is>
          <t>Love - Shibari - Bradesco</t>
        </is>
      </c>
    </row>
    <row r="1334">
      <c r="A1334" t="n">
        <v>145950</v>
      </c>
      <c r="B1334" t="n">
        <v>128</v>
      </c>
      <c r="C1334" t="inlineStr">
        <is>
          <t>Love Cabaret</t>
        </is>
      </c>
      <c r="D1334" t="inlineStr">
        <is>
          <t>PETTY CASH</t>
        </is>
      </c>
      <c r="E1334" t="n">
        <v>60</v>
      </c>
      <c r="F1334" s="27" t="n">
        <v>45874</v>
      </c>
      <c r="G1334" s="27" t="n">
        <v>45874</v>
      </c>
      <c r="H1334" s="27" t="n">
        <v>45874</v>
      </c>
      <c r="I1334" s="27" t="n">
        <v>45839</v>
      </c>
      <c r="J1334" s="27" t="n">
        <v>45849</v>
      </c>
      <c r="K1334" t="inlineStr">
        <is>
          <t>Cartão de Crédito</t>
        </is>
      </c>
      <c r="L1334" t="inlineStr">
        <is>
          <t>Utilidades</t>
        </is>
      </c>
      <c r="M1334" t="inlineStr">
        <is>
          <t>Material de Consumo - Gelo/ Gas CO2/ Carvao /Velas</t>
        </is>
      </c>
      <c r="N1334" t="inlineStr">
        <is>
          <t>01PETTY072025</t>
        </is>
      </c>
      <c r="O1334" t="inlineStr">
        <is>
          <t>Documentação Aprovada</t>
        </is>
      </c>
      <c r="P1334" t="inlineStr">
        <is>
          <t>Aprovado Diretoria</t>
        </is>
      </c>
      <c r="Q1334" t="inlineStr">
        <is>
          <t>Aprovado Caixa</t>
        </is>
      </c>
      <c r="R1334" t="inlineStr">
        <is>
          <t>Pago</t>
        </is>
      </c>
      <c r="S1334" t="n">
        <v>182</v>
      </c>
      <c r="T1334" t="inlineStr">
        <is>
          <t>Love - Shibari - Kamino</t>
        </is>
      </c>
    </row>
    <row r="1335">
      <c r="A1335" t="n">
        <v>145954</v>
      </c>
      <c r="B1335" t="n">
        <v>128</v>
      </c>
      <c r="C1335" t="inlineStr">
        <is>
          <t>Love Cabaret</t>
        </is>
      </c>
      <c r="D1335" t="inlineStr">
        <is>
          <t>PETTY CASH</t>
        </is>
      </c>
      <c r="E1335" t="n">
        <v>75.2</v>
      </c>
      <c r="F1335" s="27" t="n">
        <v>45874</v>
      </c>
      <c r="G1335" s="27" t="n">
        <v>45874</v>
      </c>
      <c r="H1335" s="27" t="n">
        <v>45874</v>
      </c>
      <c r="I1335" s="27" t="n">
        <v>45839</v>
      </c>
      <c r="J1335" s="27" t="n">
        <v>45849</v>
      </c>
      <c r="K1335" t="inlineStr">
        <is>
          <t>Cartão de Crédito</t>
        </is>
      </c>
      <c r="L1335" t="inlineStr">
        <is>
          <t>Utilidades</t>
        </is>
      </c>
      <c r="M1335" t="inlineStr">
        <is>
          <t>Utensilios</t>
        </is>
      </c>
      <c r="N1335" t="inlineStr">
        <is>
          <t xml:space="preserve">02PETTY072025 </t>
        </is>
      </c>
      <c r="O1335" t="inlineStr">
        <is>
          <t>Documentação Aprovada</t>
        </is>
      </c>
      <c r="P1335" t="inlineStr">
        <is>
          <t>Aprovado Diretoria</t>
        </is>
      </c>
      <c r="Q1335" t="inlineStr">
        <is>
          <t>Aprovado Caixa</t>
        </is>
      </c>
      <c r="R1335" t="inlineStr">
        <is>
          <t>Pago</t>
        </is>
      </c>
      <c r="S1335" t="n">
        <v>182</v>
      </c>
      <c r="T1335" t="inlineStr">
        <is>
          <t>Love - Shibari - Kamino</t>
        </is>
      </c>
    </row>
    <row r="1336">
      <c r="A1336" t="n">
        <v>150082</v>
      </c>
      <c r="B1336" t="n">
        <v>128</v>
      </c>
      <c r="C1336" t="inlineStr">
        <is>
          <t>Love Cabaret</t>
        </is>
      </c>
      <c r="D1336" t="inlineStr">
        <is>
          <t>PETTY CASH</t>
        </is>
      </c>
      <c r="E1336" t="n">
        <v>34.99</v>
      </c>
      <c r="F1336" s="27" t="n">
        <v>45874</v>
      </c>
      <c r="G1336" s="27" t="n">
        <v>45874</v>
      </c>
      <c r="H1336" s="27" t="n">
        <v>45874</v>
      </c>
      <c r="I1336" s="27" t="n">
        <v>45839</v>
      </c>
      <c r="J1336" s="27" t="n">
        <v>45869</v>
      </c>
      <c r="K1336" t="inlineStr">
        <is>
          <t>Cartão de Crédito</t>
        </is>
      </c>
      <c r="L1336" t="inlineStr">
        <is>
          <t>Custo Mercadoria Vendida</t>
        </is>
      </c>
      <c r="M1336" t="inlineStr">
        <is>
          <t>Insumos - Alimentos</t>
        </is>
      </c>
      <c r="N1336" t="inlineStr">
        <is>
          <t xml:space="preserve">21PETTY072025 </t>
        </is>
      </c>
      <c r="O1336" t="inlineStr">
        <is>
          <t>Documentação Aprovada</t>
        </is>
      </c>
      <c r="P1336" t="inlineStr">
        <is>
          <t>Aprovado Diretoria</t>
        </is>
      </c>
      <c r="Q1336" t="inlineStr">
        <is>
          <t>Aprovado Caixa</t>
        </is>
      </c>
      <c r="R1336" t="inlineStr">
        <is>
          <t>Pago</t>
        </is>
      </c>
      <c r="S1336" t="n">
        <v>182</v>
      </c>
      <c r="T1336" t="inlineStr">
        <is>
          <t>Love - Shibari - Kamino</t>
        </is>
      </c>
    </row>
    <row r="1337">
      <c r="A1337" t="n">
        <v>150084</v>
      </c>
      <c r="B1337" t="n">
        <v>128</v>
      </c>
      <c r="C1337" t="inlineStr">
        <is>
          <t>Love Cabaret</t>
        </is>
      </c>
      <c r="D1337" t="inlineStr">
        <is>
          <t>PETTY CASH</t>
        </is>
      </c>
      <c r="E1337" t="n">
        <v>53.52</v>
      </c>
      <c r="F1337" s="27" t="n">
        <v>45874</v>
      </c>
      <c r="G1337" s="27" t="n">
        <v>45874</v>
      </c>
      <c r="H1337" s="27" t="n">
        <v>45874</v>
      </c>
      <c r="I1337" s="27" t="n">
        <v>45839</v>
      </c>
      <c r="J1337" s="27" t="n">
        <v>45869</v>
      </c>
      <c r="K1337" t="inlineStr">
        <is>
          <t>Cartão de Crédito</t>
        </is>
      </c>
      <c r="L1337" t="inlineStr">
        <is>
          <t>Manutenção</t>
        </is>
      </c>
      <c r="M1337" t="inlineStr">
        <is>
          <t>Material de Manutenção</t>
        </is>
      </c>
      <c r="N1337" t="inlineStr">
        <is>
          <t xml:space="preserve">23PETTY072025 </t>
        </is>
      </c>
      <c r="O1337" t="inlineStr">
        <is>
          <t>Documentação Aprovada</t>
        </is>
      </c>
      <c r="P1337" t="inlineStr">
        <is>
          <t>Aprovado Diretoria</t>
        </is>
      </c>
      <c r="Q1337" t="inlineStr">
        <is>
          <t>Aprovado Caixa</t>
        </is>
      </c>
      <c r="R1337" t="inlineStr">
        <is>
          <t>Pago</t>
        </is>
      </c>
      <c r="S1337" t="n">
        <v>182</v>
      </c>
      <c r="T1337" t="inlineStr">
        <is>
          <t>Love - Shibari - Kamino</t>
        </is>
      </c>
    </row>
    <row r="1338">
      <c r="A1338" t="n">
        <v>150083</v>
      </c>
      <c r="B1338" t="n">
        <v>128</v>
      </c>
      <c r="C1338" t="inlineStr">
        <is>
          <t>Love Cabaret</t>
        </is>
      </c>
      <c r="D1338" t="inlineStr">
        <is>
          <t>PETTY CASH</t>
        </is>
      </c>
      <c r="E1338" t="n">
        <v>207</v>
      </c>
      <c r="F1338" s="27" t="n">
        <v>45874</v>
      </c>
      <c r="G1338" s="27" t="n">
        <v>45874</v>
      </c>
      <c r="H1338" s="27" t="n">
        <v>45874</v>
      </c>
      <c r="I1338" s="27" t="n">
        <v>45839</v>
      </c>
      <c r="J1338" s="27" t="n">
        <v>45869</v>
      </c>
      <c r="K1338" t="inlineStr">
        <is>
          <t>Cartão de Crédito</t>
        </is>
      </c>
      <c r="L1338" t="inlineStr">
        <is>
          <t>Manutenção</t>
        </is>
      </c>
      <c r="M1338" t="inlineStr">
        <is>
          <t>Material de Manutenção</t>
        </is>
      </c>
      <c r="N1338" t="inlineStr">
        <is>
          <t xml:space="preserve">22PETTY072025 </t>
        </is>
      </c>
      <c r="O1338" t="inlineStr">
        <is>
          <t>Documentação Aprovada</t>
        </is>
      </c>
      <c r="P1338" t="inlineStr">
        <is>
          <t>Aprovado Diretoria</t>
        </is>
      </c>
      <c r="Q1338" t="inlineStr">
        <is>
          <t>Aprovado Caixa</t>
        </is>
      </c>
      <c r="R1338" t="inlineStr">
        <is>
          <t>Pago</t>
        </is>
      </c>
      <c r="S1338" t="n">
        <v>182</v>
      </c>
      <c r="T1338" t="inlineStr">
        <is>
          <t>Love - Shibari - Kamino</t>
        </is>
      </c>
    </row>
    <row r="1339">
      <c r="A1339" t="n">
        <v>150075</v>
      </c>
      <c r="B1339" t="n">
        <v>128</v>
      </c>
      <c r="C1339" t="inlineStr">
        <is>
          <t>Love Cabaret</t>
        </is>
      </c>
      <c r="D1339" t="inlineStr">
        <is>
          <t>PETTY CASH</t>
        </is>
      </c>
      <c r="E1339" t="n">
        <v>72.65000000000001</v>
      </c>
      <c r="F1339" s="27" t="n">
        <v>45874</v>
      </c>
      <c r="G1339" s="27" t="n">
        <v>45874</v>
      </c>
      <c r="H1339" s="27" t="n">
        <v>45874</v>
      </c>
      <c r="I1339" s="27" t="n">
        <v>45839</v>
      </c>
      <c r="J1339" s="27" t="n">
        <v>45869</v>
      </c>
      <c r="K1339" t="inlineStr">
        <is>
          <t>Cartão de Crédito</t>
        </is>
      </c>
      <c r="L1339" t="inlineStr">
        <is>
          <t>Manutenção</t>
        </is>
      </c>
      <c r="M1339" t="inlineStr">
        <is>
          <t>Material de Manutenção</t>
        </is>
      </c>
      <c r="N1339" t="inlineStr">
        <is>
          <t>13PETTYCASH</t>
        </is>
      </c>
      <c r="O1339" t="inlineStr">
        <is>
          <t>Documentação Aprovada</t>
        </is>
      </c>
      <c r="P1339" t="inlineStr">
        <is>
          <t>Aprovado Diretoria</t>
        </is>
      </c>
      <c r="Q1339" t="inlineStr">
        <is>
          <t>Aprovado Caixa</t>
        </is>
      </c>
      <c r="R1339" t="inlineStr">
        <is>
          <t>Pago</t>
        </is>
      </c>
      <c r="S1339" t="n">
        <v>182</v>
      </c>
      <c r="T1339" t="inlineStr">
        <is>
          <t>Love - Shibari - Kamino</t>
        </is>
      </c>
    </row>
    <row r="1340">
      <c r="A1340" t="n">
        <v>150081</v>
      </c>
      <c r="B1340" t="n">
        <v>128</v>
      </c>
      <c r="C1340" t="inlineStr">
        <is>
          <t>Love Cabaret</t>
        </is>
      </c>
      <c r="D1340" t="inlineStr">
        <is>
          <t>PETTY CASH</t>
        </is>
      </c>
      <c r="E1340" t="n">
        <v>14.9</v>
      </c>
      <c r="F1340" s="27" t="n">
        <v>45874</v>
      </c>
      <c r="G1340" s="27" t="n">
        <v>45874</v>
      </c>
      <c r="H1340" s="27" t="n">
        <v>45874</v>
      </c>
      <c r="I1340" s="27" t="n">
        <v>45839</v>
      </c>
      <c r="J1340" s="27" t="n">
        <v>45869</v>
      </c>
      <c r="K1340" t="inlineStr">
        <is>
          <t>Cartão de Crédito</t>
        </is>
      </c>
      <c r="L1340" t="inlineStr">
        <is>
          <t>Custo Mercadoria Vendida</t>
        </is>
      </c>
      <c r="M1340" t="inlineStr">
        <is>
          <t>Insumos - Alimentos</t>
        </is>
      </c>
      <c r="N1340" t="inlineStr">
        <is>
          <t xml:space="preserve">19PETTY072025 </t>
        </is>
      </c>
      <c r="O1340" t="inlineStr">
        <is>
          <t>Documentação Aprovada</t>
        </is>
      </c>
      <c r="P1340" t="inlineStr">
        <is>
          <t>Aprovado Diretoria</t>
        </is>
      </c>
      <c r="Q1340" t="inlineStr">
        <is>
          <t>Aprovado Caixa</t>
        </is>
      </c>
      <c r="R1340" t="inlineStr">
        <is>
          <t>Pago</t>
        </is>
      </c>
      <c r="S1340" t="n">
        <v>182</v>
      </c>
      <c r="T1340" t="inlineStr">
        <is>
          <t>Love - Shibari - Kamino</t>
        </is>
      </c>
    </row>
    <row r="1341">
      <c r="A1341" t="n">
        <v>150080</v>
      </c>
      <c r="B1341" t="n">
        <v>128</v>
      </c>
      <c r="C1341" t="inlineStr">
        <is>
          <t>Love Cabaret</t>
        </is>
      </c>
      <c r="D1341" t="inlineStr">
        <is>
          <t>PETTY CASH</t>
        </is>
      </c>
      <c r="E1341" t="n">
        <v>51.8</v>
      </c>
      <c r="F1341" s="27" t="n">
        <v>45874</v>
      </c>
      <c r="G1341" s="27" t="n">
        <v>45874</v>
      </c>
      <c r="H1341" s="27" t="n">
        <v>45874</v>
      </c>
      <c r="I1341" s="27" t="n">
        <v>45839</v>
      </c>
      <c r="J1341" s="27" t="n">
        <v>45869</v>
      </c>
      <c r="K1341" t="inlineStr">
        <is>
          <t>Cartão de Crédito</t>
        </is>
      </c>
      <c r="L1341" t="inlineStr">
        <is>
          <t>Utilidades</t>
        </is>
      </c>
      <c r="M1341" t="inlineStr">
        <is>
          <t>Material de Escritorio</t>
        </is>
      </c>
      <c r="N1341" t="inlineStr">
        <is>
          <t>18PETTY072025</t>
        </is>
      </c>
      <c r="O1341" t="inlineStr">
        <is>
          <t>Documentação Aprovada</t>
        </is>
      </c>
      <c r="P1341" t="inlineStr">
        <is>
          <t>Aprovado Diretoria</t>
        </is>
      </c>
      <c r="Q1341" t="inlineStr">
        <is>
          <t>Aprovado Caixa</t>
        </is>
      </c>
      <c r="R1341" t="inlineStr">
        <is>
          <t>Pago</t>
        </is>
      </c>
      <c r="S1341" t="n">
        <v>182</v>
      </c>
      <c r="T1341" t="inlineStr">
        <is>
          <t>Love - Shibari - Kamino</t>
        </is>
      </c>
    </row>
    <row r="1342">
      <c r="A1342" t="n">
        <v>150079</v>
      </c>
      <c r="B1342" t="n">
        <v>128</v>
      </c>
      <c r="C1342" t="inlineStr">
        <is>
          <t>Love Cabaret</t>
        </is>
      </c>
      <c r="D1342" t="inlineStr">
        <is>
          <t>PETTY CASH</t>
        </is>
      </c>
      <c r="E1342" t="n">
        <v>40.4</v>
      </c>
      <c r="F1342" s="27" t="n">
        <v>45874</v>
      </c>
      <c r="G1342" s="27" t="n">
        <v>45874</v>
      </c>
      <c r="H1342" s="27" t="n">
        <v>45874</v>
      </c>
      <c r="I1342" s="27" t="n">
        <v>45839</v>
      </c>
      <c r="J1342" s="27" t="n">
        <v>45869</v>
      </c>
      <c r="K1342" t="inlineStr">
        <is>
          <t>Cartão de Crédito</t>
        </is>
      </c>
      <c r="L1342" t="inlineStr">
        <is>
          <t>Manutenção</t>
        </is>
      </c>
      <c r="M1342" t="inlineStr">
        <is>
          <t>Material de Manutenção</t>
        </is>
      </c>
      <c r="N1342" t="inlineStr">
        <is>
          <t xml:space="preserve">20PETTY072025 </t>
        </is>
      </c>
      <c r="O1342" t="inlineStr">
        <is>
          <t>Documentação Aprovada</t>
        </is>
      </c>
      <c r="P1342" t="inlineStr">
        <is>
          <t>Aprovado Diretoria</t>
        </is>
      </c>
      <c r="Q1342" t="inlineStr">
        <is>
          <t>Aprovado Caixa</t>
        </is>
      </c>
      <c r="R1342" t="inlineStr">
        <is>
          <t>Pago</t>
        </is>
      </c>
      <c r="S1342" t="n">
        <v>182</v>
      </c>
      <c r="T1342" t="inlineStr">
        <is>
          <t>Love - Shibari - Kamino</t>
        </is>
      </c>
    </row>
    <row r="1343">
      <c r="A1343" t="n">
        <v>150078</v>
      </c>
      <c r="B1343" t="n">
        <v>128</v>
      </c>
      <c r="C1343" t="inlineStr">
        <is>
          <t>Love Cabaret</t>
        </is>
      </c>
      <c r="D1343" t="inlineStr">
        <is>
          <t>PETTY CASH</t>
        </is>
      </c>
      <c r="E1343" t="n">
        <v>22.98</v>
      </c>
      <c r="F1343" s="27" t="n">
        <v>45874</v>
      </c>
      <c r="G1343" s="27" t="n">
        <v>45874</v>
      </c>
      <c r="H1343" s="27" t="n">
        <v>45874</v>
      </c>
      <c r="I1343" s="27" t="n">
        <v>45839</v>
      </c>
      <c r="J1343" s="27" t="n">
        <v>45869</v>
      </c>
      <c r="K1343" t="inlineStr">
        <is>
          <t>Cartão de Crédito</t>
        </is>
      </c>
      <c r="L1343" t="inlineStr">
        <is>
          <t>Mão de Obra - Benefícios</t>
        </is>
      </c>
      <c r="M1343" t="inlineStr">
        <is>
          <t xml:space="preserve">  -  Alimentação Funcionário</t>
        </is>
      </c>
      <c r="N1343" t="inlineStr">
        <is>
          <t>16PETTYCASH</t>
        </is>
      </c>
      <c r="O1343" t="inlineStr">
        <is>
          <t>Documentação Aprovada</t>
        </is>
      </c>
      <c r="P1343" t="inlineStr">
        <is>
          <t>Aprovado Diretoria</t>
        </is>
      </c>
      <c r="Q1343" t="inlineStr">
        <is>
          <t>Aprovado Caixa</t>
        </is>
      </c>
      <c r="R1343" t="inlineStr">
        <is>
          <t>Pago</t>
        </is>
      </c>
      <c r="S1343" t="n">
        <v>182</v>
      </c>
      <c r="T1343" t="inlineStr">
        <is>
          <t>Love - Shibari - Kamino</t>
        </is>
      </c>
    </row>
    <row r="1344">
      <c r="A1344" t="n">
        <v>150077</v>
      </c>
      <c r="B1344" t="n">
        <v>128</v>
      </c>
      <c r="C1344" t="inlineStr">
        <is>
          <t>Love Cabaret</t>
        </is>
      </c>
      <c r="D1344" t="inlineStr">
        <is>
          <t>PETTY CASH</t>
        </is>
      </c>
      <c r="E1344" t="n">
        <v>13.5</v>
      </c>
      <c r="F1344" s="27" t="n">
        <v>45874</v>
      </c>
      <c r="G1344" s="27" t="n">
        <v>45874</v>
      </c>
      <c r="H1344" s="27" t="n">
        <v>45874</v>
      </c>
      <c r="I1344" s="27" t="n">
        <v>45839</v>
      </c>
      <c r="J1344" s="27" t="n">
        <v>45869</v>
      </c>
      <c r="K1344" t="inlineStr">
        <is>
          <t>Cartão de Crédito</t>
        </is>
      </c>
      <c r="L1344" t="inlineStr">
        <is>
          <t>Custo Mercadoria Vendida</t>
        </is>
      </c>
      <c r="M1344" t="inlineStr">
        <is>
          <t>Insumos - Alimentos</t>
        </is>
      </c>
      <c r="N1344" t="inlineStr">
        <is>
          <t>15PETTYCASH</t>
        </is>
      </c>
      <c r="O1344" t="inlineStr">
        <is>
          <t>Documentação Aprovada</t>
        </is>
      </c>
      <c r="P1344" t="inlineStr">
        <is>
          <t>Aprovado Diretoria</t>
        </is>
      </c>
      <c r="Q1344" t="inlineStr">
        <is>
          <t>Aprovado Caixa</t>
        </is>
      </c>
      <c r="R1344" t="inlineStr">
        <is>
          <t>Pago</t>
        </is>
      </c>
      <c r="S1344" t="n">
        <v>182</v>
      </c>
      <c r="T1344" t="inlineStr">
        <is>
          <t>Love - Shibari - Kamino</t>
        </is>
      </c>
    </row>
    <row r="1345">
      <c r="A1345" t="n">
        <v>150076</v>
      </c>
      <c r="B1345" t="n">
        <v>128</v>
      </c>
      <c r="C1345" t="inlineStr">
        <is>
          <t>Love Cabaret</t>
        </is>
      </c>
      <c r="D1345" t="inlineStr">
        <is>
          <t>PETTY CASH</t>
        </is>
      </c>
      <c r="E1345" t="n">
        <v>30</v>
      </c>
      <c r="F1345" s="27" t="n">
        <v>45874</v>
      </c>
      <c r="G1345" s="27" t="n">
        <v>45874</v>
      </c>
      <c r="H1345" s="27" t="n">
        <v>45874</v>
      </c>
      <c r="I1345" s="27" t="n">
        <v>45839</v>
      </c>
      <c r="J1345" s="27" t="n">
        <v>45869</v>
      </c>
      <c r="K1345" t="inlineStr">
        <is>
          <t>Cartão de Crédito</t>
        </is>
      </c>
      <c r="L1345" t="inlineStr">
        <is>
          <t>Utilidades</t>
        </is>
      </c>
      <c r="M1345" t="inlineStr">
        <is>
          <t>Higiene e Limpeza</t>
        </is>
      </c>
      <c r="N1345" t="inlineStr">
        <is>
          <t>14PETTYCASH</t>
        </is>
      </c>
      <c r="O1345" t="inlineStr">
        <is>
          <t>Documentação Aprovada</t>
        </is>
      </c>
      <c r="P1345" t="inlineStr">
        <is>
          <t>Aprovado Diretoria</t>
        </is>
      </c>
      <c r="Q1345" t="inlineStr">
        <is>
          <t>Aprovado Caixa</t>
        </is>
      </c>
      <c r="R1345" t="inlineStr">
        <is>
          <t>Pago</t>
        </is>
      </c>
      <c r="S1345" t="n">
        <v>182</v>
      </c>
      <c r="T1345" t="inlineStr">
        <is>
          <t>Love - Shibari - Kamino</t>
        </is>
      </c>
    </row>
    <row r="1346">
      <c r="A1346" t="n">
        <v>150065</v>
      </c>
      <c r="B1346" t="n">
        <v>128</v>
      </c>
      <c r="C1346" t="inlineStr">
        <is>
          <t>Love Cabaret</t>
        </is>
      </c>
      <c r="D1346" t="inlineStr">
        <is>
          <t>PETTY CASH</t>
        </is>
      </c>
      <c r="E1346" t="n">
        <v>55.96</v>
      </c>
      <c r="F1346" s="27" t="n">
        <v>45874</v>
      </c>
      <c r="G1346" s="27" t="n">
        <v>45874</v>
      </c>
      <c r="H1346" s="27" t="n">
        <v>45874</v>
      </c>
      <c r="I1346" s="27" t="n">
        <v>45839</v>
      </c>
      <c r="J1346" s="27" t="n">
        <v>45869</v>
      </c>
      <c r="K1346" t="inlineStr">
        <is>
          <t>Cartão de Crédito</t>
        </is>
      </c>
      <c r="L1346" t="inlineStr">
        <is>
          <t>Custo Mercadoria Vendida</t>
        </is>
      </c>
      <c r="M1346" t="inlineStr">
        <is>
          <t>Insumos - Alimentos</t>
        </is>
      </c>
      <c r="N1346" t="inlineStr">
        <is>
          <t>07PETTYCASH</t>
        </is>
      </c>
      <c r="O1346" t="inlineStr">
        <is>
          <t>Documentação Aprovada</t>
        </is>
      </c>
      <c r="P1346" t="inlineStr">
        <is>
          <t>Aprovado Diretoria</t>
        </is>
      </c>
      <c r="Q1346" t="inlineStr">
        <is>
          <t>Aprovado Caixa</t>
        </is>
      </c>
      <c r="R1346" t="inlineStr">
        <is>
          <t>Pago</t>
        </is>
      </c>
      <c r="S1346" t="n">
        <v>182</v>
      </c>
      <c r="T1346" t="inlineStr">
        <is>
          <t>Love - Shibari - Kamino</t>
        </is>
      </c>
    </row>
    <row r="1347">
      <c r="A1347" t="n">
        <v>150073</v>
      </c>
      <c r="B1347" t="n">
        <v>128</v>
      </c>
      <c r="C1347" t="inlineStr">
        <is>
          <t>Love Cabaret</t>
        </is>
      </c>
      <c r="D1347" t="inlineStr">
        <is>
          <t>PETTY CASH</t>
        </is>
      </c>
      <c r="E1347" t="n">
        <v>135</v>
      </c>
      <c r="F1347" s="27" t="n">
        <v>45874</v>
      </c>
      <c r="G1347" s="27" t="n">
        <v>45874</v>
      </c>
      <c r="H1347" s="27" t="n">
        <v>45874</v>
      </c>
      <c r="I1347" s="27" t="n">
        <v>45839</v>
      </c>
      <c r="J1347" s="27" t="n">
        <v>45869</v>
      </c>
      <c r="K1347" t="inlineStr">
        <is>
          <t>Cartão de Crédito</t>
        </is>
      </c>
      <c r="L1347" t="inlineStr">
        <is>
          <t>Manutenção</t>
        </is>
      </c>
      <c r="M1347" t="inlineStr">
        <is>
          <t>Material de Manutenção</t>
        </is>
      </c>
      <c r="N1347" t="inlineStr">
        <is>
          <t>11PETTYCASH</t>
        </is>
      </c>
      <c r="O1347" t="inlineStr">
        <is>
          <t>Documentação Aprovada</t>
        </is>
      </c>
      <c r="P1347" t="inlineStr">
        <is>
          <t>Aprovado Diretoria</t>
        </is>
      </c>
      <c r="Q1347" t="inlineStr">
        <is>
          <t>Aprovado Caixa</t>
        </is>
      </c>
      <c r="R1347" t="inlineStr">
        <is>
          <t>Pago</t>
        </is>
      </c>
      <c r="S1347" t="n">
        <v>182</v>
      </c>
      <c r="T1347" t="inlineStr">
        <is>
          <t>Love - Shibari - Kamino</t>
        </is>
      </c>
    </row>
    <row r="1348">
      <c r="A1348" t="n">
        <v>150074</v>
      </c>
      <c r="B1348" t="n">
        <v>128</v>
      </c>
      <c r="C1348" t="inlineStr">
        <is>
          <t>Love Cabaret</t>
        </is>
      </c>
      <c r="D1348" t="inlineStr">
        <is>
          <t>PETTY CASH</t>
        </is>
      </c>
      <c r="E1348" t="n">
        <v>197.92</v>
      </c>
      <c r="F1348" s="27" t="n">
        <v>45874</v>
      </c>
      <c r="G1348" s="27" t="n">
        <v>45874</v>
      </c>
      <c r="H1348" s="27" t="n">
        <v>45874</v>
      </c>
      <c r="I1348" s="27" t="n">
        <v>45839</v>
      </c>
      <c r="J1348" s="27" t="n">
        <v>45869</v>
      </c>
      <c r="K1348" t="inlineStr">
        <is>
          <t>Cartão de Crédito</t>
        </is>
      </c>
      <c r="L1348" t="inlineStr">
        <is>
          <t>Manutenção</t>
        </is>
      </c>
      <c r="M1348" t="inlineStr">
        <is>
          <t>Material de Manutenção</t>
        </is>
      </c>
      <c r="N1348" t="inlineStr">
        <is>
          <t>27PETTY072025</t>
        </is>
      </c>
      <c r="O1348" t="inlineStr">
        <is>
          <t>Documentação Aprovada</t>
        </is>
      </c>
      <c r="P1348" t="inlineStr">
        <is>
          <t>Aprovado Diretoria</t>
        </is>
      </c>
      <c r="Q1348" t="inlineStr">
        <is>
          <t>Aprovado Caixa</t>
        </is>
      </c>
      <c r="R1348" t="inlineStr">
        <is>
          <t>Pago</t>
        </is>
      </c>
      <c r="S1348" t="n">
        <v>182</v>
      </c>
      <c r="T1348" t="inlineStr">
        <is>
          <t>Love - Shibari - Kamino</t>
        </is>
      </c>
    </row>
    <row r="1349">
      <c r="A1349" t="n">
        <v>150072</v>
      </c>
      <c r="B1349" t="n">
        <v>128</v>
      </c>
      <c r="C1349" t="inlineStr">
        <is>
          <t>Love Cabaret</t>
        </is>
      </c>
      <c r="D1349" t="inlineStr">
        <is>
          <t>PETTY CASH</t>
        </is>
      </c>
      <c r="E1349" t="n">
        <v>174.7</v>
      </c>
      <c r="F1349" s="27" t="n">
        <v>45874</v>
      </c>
      <c r="G1349" s="27" t="n">
        <v>45874</v>
      </c>
      <c r="H1349" s="27" t="n">
        <v>45874</v>
      </c>
      <c r="I1349" s="27" t="n">
        <v>45839</v>
      </c>
      <c r="J1349" s="27" t="n">
        <v>45869</v>
      </c>
      <c r="K1349" t="inlineStr">
        <is>
          <t>Cartão de Crédito</t>
        </is>
      </c>
      <c r="L1349" t="inlineStr">
        <is>
          <t>Manutenção</t>
        </is>
      </c>
      <c r="M1349" t="inlineStr">
        <is>
          <t>Material de Manutenção</t>
        </is>
      </c>
      <c r="N1349" t="inlineStr">
        <is>
          <t>12PETTYCASH</t>
        </is>
      </c>
      <c r="O1349" t="inlineStr">
        <is>
          <t>Documentação Aprovada</t>
        </is>
      </c>
      <c r="P1349" t="inlineStr">
        <is>
          <t>Aprovado Diretoria</t>
        </is>
      </c>
      <c r="Q1349" t="inlineStr">
        <is>
          <t>Aprovado Caixa</t>
        </is>
      </c>
      <c r="R1349" t="inlineStr">
        <is>
          <t>Pago</t>
        </is>
      </c>
      <c r="S1349" t="n">
        <v>182</v>
      </c>
      <c r="T1349" t="inlineStr">
        <is>
          <t>Love - Shibari - Kamino</t>
        </is>
      </c>
    </row>
    <row r="1350">
      <c r="A1350" t="n">
        <v>150066</v>
      </c>
      <c r="B1350" t="n">
        <v>128</v>
      </c>
      <c r="C1350" t="inlineStr">
        <is>
          <t>Love Cabaret</t>
        </is>
      </c>
      <c r="D1350" t="inlineStr">
        <is>
          <t>PETTY CASH</t>
        </is>
      </c>
      <c r="E1350" t="n">
        <v>64.58</v>
      </c>
      <c r="F1350" s="27" t="n">
        <v>45874</v>
      </c>
      <c r="G1350" s="27" t="n">
        <v>45874</v>
      </c>
      <c r="H1350" s="27" t="n">
        <v>45874</v>
      </c>
      <c r="I1350" s="27" t="n">
        <v>45839</v>
      </c>
      <c r="J1350" s="27" t="n">
        <v>45869</v>
      </c>
      <c r="K1350" t="inlineStr">
        <is>
          <t>Cartão de Crédito</t>
        </is>
      </c>
      <c r="L1350" t="inlineStr">
        <is>
          <t>Utilidades</t>
        </is>
      </c>
      <c r="M1350" t="inlineStr">
        <is>
          <t>Material de Escritorio</t>
        </is>
      </c>
      <c r="N1350" t="inlineStr">
        <is>
          <t>08PETTYCASH</t>
        </is>
      </c>
      <c r="O1350" t="inlineStr">
        <is>
          <t>Documentação Aprovada</t>
        </is>
      </c>
      <c r="P1350" t="inlineStr">
        <is>
          <t>Aprovado Diretoria</t>
        </is>
      </c>
      <c r="Q1350" t="inlineStr">
        <is>
          <t>Aprovado Caixa</t>
        </is>
      </c>
      <c r="R1350" t="inlineStr">
        <is>
          <t>Pago</t>
        </is>
      </c>
      <c r="S1350" t="n">
        <v>182</v>
      </c>
      <c r="T1350" t="inlineStr">
        <is>
          <t>Love - Shibari - Kamino</t>
        </is>
      </c>
    </row>
    <row r="1351">
      <c r="A1351" t="n">
        <v>150067</v>
      </c>
      <c r="B1351" t="n">
        <v>128</v>
      </c>
      <c r="C1351" t="inlineStr">
        <is>
          <t>Love Cabaret</t>
        </is>
      </c>
      <c r="D1351" t="inlineStr">
        <is>
          <t>PETTY CASH</t>
        </is>
      </c>
      <c r="E1351" t="n">
        <v>15.9</v>
      </c>
      <c r="F1351" s="27" t="n">
        <v>45874</v>
      </c>
      <c r="G1351" s="27" t="n">
        <v>45874</v>
      </c>
      <c r="H1351" s="27" t="n">
        <v>45874</v>
      </c>
      <c r="I1351" s="27" t="n">
        <v>45839</v>
      </c>
      <c r="J1351" s="27" t="n">
        <v>45869</v>
      </c>
      <c r="K1351" t="inlineStr">
        <is>
          <t>Cartão de Crédito</t>
        </is>
      </c>
      <c r="L1351" t="inlineStr">
        <is>
          <t>Custo Mercadoria Vendida</t>
        </is>
      </c>
      <c r="M1351" t="inlineStr">
        <is>
          <t>Insumos - Alimentos</t>
        </is>
      </c>
      <c r="N1351" t="inlineStr">
        <is>
          <t>09PETTYCASH</t>
        </is>
      </c>
      <c r="O1351" t="inlineStr">
        <is>
          <t>Documentação Aprovada</t>
        </is>
      </c>
      <c r="P1351" t="inlineStr">
        <is>
          <t>Aprovado Diretoria</t>
        </is>
      </c>
      <c r="Q1351" t="inlineStr">
        <is>
          <t>Aprovado Caixa</t>
        </is>
      </c>
      <c r="R1351" t="inlineStr">
        <is>
          <t>Pago</t>
        </is>
      </c>
      <c r="S1351" t="n">
        <v>182</v>
      </c>
      <c r="T1351" t="inlineStr">
        <is>
          <t>Love - Shibari - Kamino</t>
        </is>
      </c>
    </row>
    <row r="1352">
      <c r="A1352" t="n">
        <v>150070</v>
      </c>
      <c r="B1352" t="n">
        <v>128</v>
      </c>
      <c r="C1352" t="inlineStr">
        <is>
          <t>Love Cabaret</t>
        </is>
      </c>
      <c r="D1352" t="inlineStr">
        <is>
          <t>PETTY CASH</t>
        </is>
      </c>
      <c r="E1352" t="n">
        <v>37.33</v>
      </c>
      <c r="F1352" s="27" t="n">
        <v>45874</v>
      </c>
      <c r="G1352" s="27" t="n">
        <v>45874</v>
      </c>
      <c r="H1352" s="27" t="n">
        <v>45874</v>
      </c>
      <c r="I1352" s="27" t="n">
        <v>45839</v>
      </c>
      <c r="J1352" s="27" t="n">
        <v>45869</v>
      </c>
      <c r="K1352" t="inlineStr">
        <is>
          <t>Cartão de Crédito</t>
        </is>
      </c>
      <c r="L1352" t="inlineStr">
        <is>
          <t>Custo Mercadoria Vendida</t>
        </is>
      </c>
      <c r="M1352" t="inlineStr">
        <is>
          <t>Insumos - Alimentos</t>
        </is>
      </c>
      <c r="N1352" t="inlineStr">
        <is>
          <t>10PETTYCASH</t>
        </is>
      </c>
      <c r="O1352" t="inlineStr">
        <is>
          <t>Documentação Aprovada</t>
        </is>
      </c>
      <c r="P1352" t="inlineStr">
        <is>
          <t>Aprovado Diretoria</t>
        </is>
      </c>
      <c r="Q1352" t="inlineStr">
        <is>
          <t>Aprovado Caixa</t>
        </is>
      </c>
      <c r="R1352" t="inlineStr">
        <is>
          <t>Pago</t>
        </is>
      </c>
      <c r="S1352" t="n">
        <v>182</v>
      </c>
      <c r="T1352" t="inlineStr">
        <is>
          <t>Love - Shibari - Kamino</t>
        </is>
      </c>
    </row>
    <row r="1353">
      <c r="A1353" t="n">
        <v>150061</v>
      </c>
      <c r="B1353" t="n">
        <v>128</v>
      </c>
      <c r="C1353" t="inlineStr">
        <is>
          <t>Love Cabaret</t>
        </is>
      </c>
      <c r="D1353" t="inlineStr">
        <is>
          <t>PETTY CASH</t>
        </is>
      </c>
      <c r="E1353" t="n">
        <v>24.09</v>
      </c>
      <c r="F1353" s="27" t="n">
        <v>45874</v>
      </c>
      <c r="G1353" s="27" t="n">
        <v>45874</v>
      </c>
      <c r="H1353" s="27" t="n">
        <v>45874</v>
      </c>
      <c r="I1353" s="27" t="n">
        <v>45839</v>
      </c>
      <c r="J1353" s="27" t="n">
        <v>45869</v>
      </c>
      <c r="K1353" t="inlineStr">
        <is>
          <t>Cartão de Crédito</t>
        </is>
      </c>
      <c r="L1353" t="inlineStr">
        <is>
          <t>Custo Mercadoria Vendida</t>
        </is>
      </c>
      <c r="M1353" t="inlineStr">
        <is>
          <t>Insumos - Alimentos</t>
        </is>
      </c>
      <c r="N1353" t="inlineStr">
        <is>
          <t>03PETTY</t>
        </is>
      </c>
      <c r="O1353" t="inlineStr">
        <is>
          <t>Documentação Aprovada</t>
        </is>
      </c>
      <c r="P1353" t="inlineStr">
        <is>
          <t>Aprovado Diretoria</t>
        </is>
      </c>
      <c r="Q1353" t="inlineStr">
        <is>
          <t>Aprovado Caixa</t>
        </is>
      </c>
      <c r="R1353" t="inlineStr">
        <is>
          <t>Pago</t>
        </is>
      </c>
      <c r="S1353" t="n">
        <v>182</v>
      </c>
      <c r="T1353" t="inlineStr">
        <is>
          <t>Love - Shibari - Kamino</t>
        </is>
      </c>
    </row>
    <row r="1354">
      <c r="A1354" t="n">
        <v>150064</v>
      </c>
      <c r="B1354" t="n">
        <v>128</v>
      </c>
      <c r="C1354" t="inlineStr">
        <is>
          <t>Love Cabaret</t>
        </is>
      </c>
      <c r="D1354" t="inlineStr">
        <is>
          <t>PETTY CASH</t>
        </is>
      </c>
      <c r="E1354" t="n">
        <v>41.62</v>
      </c>
      <c r="F1354" s="27" t="n">
        <v>45874</v>
      </c>
      <c r="G1354" s="27" t="n">
        <v>45874</v>
      </c>
      <c r="H1354" s="27" t="n">
        <v>45874</v>
      </c>
      <c r="I1354" s="27" t="n">
        <v>45839</v>
      </c>
      <c r="J1354" s="27" t="n">
        <v>45869</v>
      </c>
      <c r="K1354" t="inlineStr">
        <is>
          <t>Cartão de Crédito</t>
        </is>
      </c>
      <c r="L1354" t="inlineStr">
        <is>
          <t>Utilidades</t>
        </is>
      </c>
      <c r="M1354" t="inlineStr">
        <is>
          <t>Utensilios</t>
        </is>
      </c>
      <c r="N1354" t="inlineStr">
        <is>
          <t>06PETTYCASH</t>
        </is>
      </c>
      <c r="O1354" t="inlineStr">
        <is>
          <t>Documentação Aprovada</t>
        </is>
      </c>
      <c r="P1354" t="inlineStr">
        <is>
          <t>Aprovado Diretoria</t>
        </is>
      </c>
      <c r="Q1354" t="inlineStr">
        <is>
          <t>Aprovado Caixa</t>
        </is>
      </c>
      <c r="R1354" t="inlineStr">
        <is>
          <t>Pago</t>
        </is>
      </c>
      <c r="S1354" t="n">
        <v>182</v>
      </c>
      <c r="T1354" t="inlineStr">
        <is>
          <t>Love - Shibari - Kamino</t>
        </is>
      </c>
    </row>
    <row r="1355">
      <c r="A1355" t="n">
        <v>150086</v>
      </c>
      <c r="B1355" t="n">
        <v>128</v>
      </c>
      <c r="C1355" t="inlineStr">
        <is>
          <t>Love Cabaret</t>
        </is>
      </c>
      <c r="D1355" t="inlineStr">
        <is>
          <t>PETTY CASH</t>
        </is>
      </c>
      <c r="E1355" t="n">
        <v>393.4</v>
      </c>
      <c r="F1355" s="27" t="n">
        <v>45874</v>
      </c>
      <c r="G1355" s="27" t="n">
        <v>45874</v>
      </c>
      <c r="H1355" s="27" t="n">
        <v>45874</v>
      </c>
      <c r="I1355" s="27" t="n">
        <v>45839</v>
      </c>
      <c r="J1355" s="27" t="n">
        <v>45869</v>
      </c>
      <c r="K1355" t="inlineStr">
        <is>
          <t>Cartão de Crédito</t>
        </is>
      </c>
      <c r="L1355" t="inlineStr">
        <is>
          <t>Manutenção</t>
        </is>
      </c>
      <c r="M1355" t="inlineStr">
        <is>
          <t>Material de Manutenção</t>
        </is>
      </c>
      <c r="N1355" t="inlineStr">
        <is>
          <t xml:space="preserve">24PETTY072025 </t>
        </is>
      </c>
      <c r="O1355" t="inlineStr">
        <is>
          <t>Documentação Aprovada</t>
        </is>
      </c>
      <c r="P1355" t="inlineStr">
        <is>
          <t>Aprovado Diretoria</t>
        </is>
      </c>
      <c r="Q1355" t="inlineStr">
        <is>
          <t>Aprovado Caixa</t>
        </is>
      </c>
      <c r="R1355" t="inlineStr">
        <is>
          <t>Pago</t>
        </is>
      </c>
      <c r="S1355" t="n">
        <v>182</v>
      </c>
      <c r="T1355" t="inlineStr">
        <is>
          <t>Love - Shibari - Kamino</t>
        </is>
      </c>
    </row>
    <row r="1356">
      <c r="A1356" t="n">
        <v>150063</v>
      </c>
      <c r="B1356" t="n">
        <v>128</v>
      </c>
      <c r="C1356" t="inlineStr">
        <is>
          <t>Love Cabaret</t>
        </is>
      </c>
      <c r="D1356" t="inlineStr">
        <is>
          <t>PETTY CASH</t>
        </is>
      </c>
      <c r="E1356" t="n">
        <v>92.90000000000001</v>
      </c>
      <c r="F1356" s="27" t="n">
        <v>45874</v>
      </c>
      <c r="G1356" s="27" t="n">
        <v>45874</v>
      </c>
      <c r="H1356" s="27" t="n">
        <v>45874</v>
      </c>
      <c r="I1356" s="27" t="n">
        <v>45839</v>
      </c>
      <c r="J1356" s="27" t="n">
        <v>45869</v>
      </c>
      <c r="K1356" t="inlineStr">
        <is>
          <t>Cartão de Crédito</t>
        </is>
      </c>
      <c r="L1356" t="inlineStr">
        <is>
          <t>Manutenção</t>
        </is>
      </c>
      <c r="M1356" t="inlineStr">
        <is>
          <t>Material de Manutenção</t>
        </is>
      </c>
      <c r="N1356" t="inlineStr">
        <is>
          <t>05PETTYCASH</t>
        </is>
      </c>
      <c r="O1356" t="inlineStr">
        <is>
          <t>Documentação Aprovada</t>
        </is>
      </c>
      <c r="P1356" t="inlineStr">
        <is>
          <t>Aprovado Diretoria</t>
        </is>
      </c>
      <c r="Q1356" t="inlineStr">
        <is>
          <t>Aprovado Caixa</t>
        </is>
      </c>
      <c r="R1356" t="inlineStr">
        <is>
          <t>Pago</t>
        </is>
      </c>
      <c r="S1356" t="n">
        <v>182</v>
      </c>
      <c r="T1356" t="inlineStr">
        <is>
          <t>Love - Shibari - Kamino</t>
        </is>
      </c>
    </row>
    <row r="1357">
      <c r="A1357" t="n">
        <v>150062</v>
      </c>
      <c r="B1357" t="n">
        <v>128</v>
      </c>
      <c r="C1357" t="inlineStr">
        <is>
          <t>Love Cabaret</t>
        </is>
      </c>
      <c r="D1357" t="inlineStr">
        <is>
          <t>PETTY CASH</t>
        </is>
      </c>
      <c r="E1357" t="n">
        <v>17.98</v>
      </c>
      <c r="F1357" s="27" t="n">
        <v>45874</v>
      </c>
      <c r="G1357" s="27" t="n">
        <v>45874</v>
      </c>
      <c r="H1357" s="27" t="n">
        <v>45874</v>
      </c>
      <c r="I1357" s="27" t="n">
        <v>45839</v>
      </c>
      <c r="J1357" s="27" t="n">
        <v>45869</v>
      </c>
      <c r="K1357" t="inlineStr">
        <is>
          <t>Cartão de Crédito</t>
        </is>
      </c>
      <c r="L1357" t="inlineStr">
        <is>
          <t>Mão de Obra - Benefícios</t>
        </is>
      </c>
      <c r="M1357" t="inlineStr">
        <is>
          <t xml:space="preserve">  -  Alimentação Funcionário</t>
        </is>
      </c>
      <c r="N1357" t="inlineStr">
        <is>
          <t>04PETTYCASH</t>
        </is>
      </c>
      <c r="O1357" t="inlineStr">
        <is>
          <t>Documentação Aprovada</t>
        </is>
      </c>
      <c r="P1357" t="inlineStr">
        <is>
          <t>Aprovado Diretoria</t>
        </is>
      </c>
      <c r="Q1357" t="inlineStr">
        <is>
          <t>Aprovado Caixa</t>
        </is>
      </c>
      <c r="R1357" t="inlineStr">
        <is>
          <t>Pago</t>
        </is>
      </c>
      <c r="S1357" t="n">
        <v>182</v>
      </c>
      <c r="T1357" t="inlineStr">
        <is>
          <t>Love - Shibari - Kamino</t>
        </is>
      </c>
    </row>
    <row r="1358">
      <c r="A1358" t="n">
        <v>150085</v>
      </c>
      <c r="B1358" t="n">
        <v>128</v>
      </c>
      <c r="C1358" t="inlineStr">
        <is>
          <t>Love Cabaret</t>
        </is>
      </c>
      <c r="D1358" t="inlineStr">
        <is>
          <t>PETTY CASH</t>
        </is>
      </c>
      <c r="E1358" t="n">
        <v>100</v>
      </c>
      <c r="F1358" s="27" t="n">
        <v>45874</v>
      </c>
      <c r="G1358" s="27" t="n">
        <v>45874</v>
      </c>
      <c r="H1358" s="27" t="n">
        <v>45874</v>
      </c>
      <c r="I1358" s="27" t="n">
        <v>45839</v>
      </c>
      <c r="J1358" s="27" t="n">
        <v>45869</v>
      </c>
      <c r="K1358" t="inlineStr">
        <is>
          <t>Cartão de Crédito</t>
        </is>
      </c>
      <c r="L1358" t="inlineStr">
        <is>
          <t>Manutenção</t>
        </is>
      </c>
      <c r="M1358" t="inlineStr">
        <is>
          <t>Material de Manutenção</t>
        </is>
      </c>
      <c r="N1358" t="inlineStr">
        <is>
          <t xml:space="preserve">25PETTY072025 </t>
        </is>
      </c>
      <c r="O1358" t="inlineStr">
        <is>
          <t>Documentação Aprovada</t>
        </is>
      </c>
      <c r="P1358" t="inlineStr">
        <is>
          <t>Aprovado Diretoria</t>
        </is>
      </c>
      <c r="Q1358" t="inlineStr">
        <is>
          <t>Aprovado Caixa</t>
        </is>
      </c>
      <c r="R1358" t="inlineStr">
        <is>
          <t>Pago</t>
        </is>
      </c>
      <c r="S1358" t="n">
        <v>182</v>
      </c>
      <c r="T1358" t="inlineStr">
        <is>
          <t>Love - Shibari - Kamino</t>
        </is>
      </c>
    </row>
    <row r="1359">
      <c r="A1359" t="n">
        <v>151148</v>
      </c>
      <c r="B1359" t="n">
        <v>128</v>
      </c>
      <c r="C1359" t="inlineStr">
        <is>
          <t>Love Cabaret</t>
        </is>
      </c>
      <c r="D1359" t="inlineStr">
        <is>
          <t>CAROLINE FERREIRA DA SILVA</t>
        </is>
      </c>
      <c r="E1359" t="n">
        <v>2652.98</v>
      </c>
      <c r="F1359" s="27" t="n">
        <v>45875</v>
      </c>
      <c r="G1359" s="27" t="n">
        <v>45874</v>
      </c>
      <c r="H1359" s="27" t="n">
        <v>45874</v>
      </c>
      <c r="I1359" s="27" t="n">
        <v>45868</v>
      </c>
      <c r="J1359" s="27" t="n"/>
      <c r="K1359" t="inlineStr">
        <is>
          <t>Transferência Bancária ou Pix</t>
        </is>
      </c>
      <c r="L1359" t="inlineStr">
        <is>
          <t>Mão de Obra - Salários</t>
        </is>
      </c>
      <c r="M1359" t="inlineStr">
        <is>
          <t>MDO CLT - Salário</t>
        </is>
      </c>
      <c r="N1359" t="inlineStr">
        <is>
          <t>072025</t>
        </is>
      </c>
      <c r="O1359" t="inlineStr">
        <is>
          <t>Documentação Aprovada</t>
        </is>
      </c>
      <c r="P1359" t="inlineStr">
        <is>
          <t>Aprovado Diretoria</t>
        </is>
      </c>
      <c r="Q1359" t="inlineStr">
        <is>
          <t>Aprovado Caixa</t>
        </is>
      </c>
      <c r="R1359" t="inlineStr">
        <is>
          <t>Pago</t>
        </is>
      </c>
      <c r="S1359" t="n">
        <v>115</v>
      </c>
      <c r="T1359" t="inlineStr">
        <is>
          <t>Love - Shibari - Bradesco</t>
        </is>
      </c>
    </row>
    <row r="1360">
      <c r="A1360" t="n">
        <v>142661</v>
      </c>
      <c r="B1360" t="n">
        <v>128</v>
      </c>
      <c r="C1360" t="inlineStr">
        <is>
          <t>Love Cabaret</t>
        </is>
      </c>
      <c r="D1360" t="inlineStr">
        <is>
          <t>PETTY CASH</t>
        </is>
      </c>
      <c r="E1360" t="n">
        <v>9</v>
      </c>
      <c r="F1360" s="27" t="n">
        <v>45874</v>
      </c>
      <c r="G1360" s="27" t="n">
        <v>45874</v>
      </c>
      <c r="H1360" s="27" t="n">
        <v>45874</v>
      </c>
      <c r="I1360" s="27" t="n">
        <v>45809</v>
      </c>
      <c r="J1360" s="27" t="n">
        <v>45839</v>
      </c>
      <c r="K1360" t="inlineStr">
        <is>
          <t>Cartão de Crédito</t>
        </is>
      </c>
      <c r="L1360" t="inlineStr">
        <is>
          <t>Utilidades</t>
        </is>
      </c>
      <c r="M1360" t="inlineStr">
        <is>
          <t>Material de Consumo - Gelo/ Gas CO2/ Carvao /Velas</t>
        </is>
      </c>
      <c r="N1360" t="inlineStr">
        <is>
          <t>25PETTY062025</t>
        </is>
      </c>
      <c r="O1360" t="inlineStr">
        <is>
          <t>Documentação Aprovada</t>
        </is>
      </c>
      <c r="P1360" t="inlineStr">
        <is>
          <t>Aprovado Diretoria</t>
        </is>
      </c>
      <c r="Q1360" t="inlineStr">
        <is>
          <t>Aprovado Caixa</t>
        </is>
      </c>
      <c r="R1360" t="inlineStr">
        <is>
          <t>Pago</t>
        </is>
      </c>
      <c r="S1360" t="n">
        <v>182</v>
      </c>
      <c r="T1360" t="inlineStr">
        <is>
          <t>Love - Shibari - Kamino</t>
        </is>
      </c>
    </row>
    <row r="1361">
      <c r="A1361" t="n">
        <v>142660</v>
      </c>
      <c r="B1361" t="n">
        <v>128</v>
      </c>
      <c r="C1361" t="inlineStr">
        <is>
          <t>Love Cabaret</t>
        </is>
      </c>
      <c r="D1361" t="inlineStr">
        <is>
          <t>PETTY CASH</t>
        </is>
      </c>
      <c r="E1361" t="n">
        <v>32.29</v>
      </c>
      <c r="F1361" s="27" t="n">
        <v>45874</v>
      </c>
      <c r="G1361" s="27" t="n">
        <v>45874</v>
      </c>
      <c r="H1361" s="27" t="n">
        <v>45874</v>
      </c>
      <c r="I1361" s="27" t="n">
        <v>45809</v>
      </c>
      <c r="J1361" s="27" t="n">
        <v>45839</v>
      </c>
      <c r="K1361" t="inlineStr">
        <is>
          <t>Cartão de Crédito</t>
        </is>
      </c>
      <c r="L1361" t="inlineStr">
        <is>
          <t>Utilidades</t>
        </is>
      </c>
      <c r="M1361" t="inlineStr">
        <is>
          <t>Material de Escritorio</t>
        </is>
      </c>
      <c r="N1361" t="inlineStr">
        <is>
          <t>24PETTY062025</t>
        </is>
      </c>
      <c r="O1361" t="inlineStr">
        <is>
          <t>Documentação Aprovada</t>
        </is>
      </c>
      <c r="P1361" t="inlineStr">
        <is>
          <t>Aprovado Diretoria</t>
        </is>
      </c>
      <c r="Q1361" t="inlineStr">
        <is>
          <t>Aprovado Caixa</t>
        </is>
      </c>
      <c r="R1361" t="inlineStr">
        <is>
          <t>Pago</t>
        </is>
      </c>
      <c r="S1361" t="n">
        <v>182</v>
      </c>
      <c r="T1361" t="inlineStr">
        <is>
          <t>Love - Shibari - Kamino</t>
        </is>
      </c>
    </row>
    <row r="1362">
      <c r="A1362" t="n">
        <v>142659</v>
      </c>
      <c r="B1362" t="n">
        <v>128</v>
      </c>
      <c r="C1362" t="inlineStr">
        <is>
          <t>Love Cabaret</t>
        </is>
      </c>
      <c r="D1362" t="inlineStr">
        <is>
          <t>PETTY CASH</t>
        </is>
      </c>
      <c r="E1362" t="n">
        <v>33.87</v>
      </c>
      <c r="F1362" s="27" t="n">
        <v>45874</v>
      </c>
      <c r="G1362" s="27" t="n">
        <v>45874</v>
      </c>
      <c r="H1362" s="27" t="n">
        <v>45874</v>
      </c>
      <c r="I1362" s="27" t="n">
        <v>45809</v>
      </c>
      <c r="J1362" s="27" t="n">
        <v>45839</v>
      </c>
      <c r="K1362" t="inlineStr">
        <is>
          <t>Cartão de Crédito</t>
        </is>
      </c>
      <c r="L1362" t="inlineStr">
        <is>
          <t>Utilidades</t>
        </is>
      </c>
      <c r="M1362" t="inlineStr">
        <is>
          <t>Higiene e Limpeza</t>
        </is>
      </c>
      <c r="N1362" t="inlineStr">
        <is>
          <t>23PETTY06202523PETTY062025</t>
        </is>
      </c>
      <c r="O1362" t="inlineStr">
        <is>
          <t>Documentação Aprovada</t>
        </is>
      </c>
      <c r="P1362" t="inlineStr">
        <is>
          <t>Aprovado Diretoria</t>
        </is>
      </c>
      <c r="Q1362" t="inlineStr">
        <is>
          <t>Aprovado Caixa</t>
        </is>
      </c>
      <c r="R1362" t="inlineStr">
        <is>
          <t>Pago</t>
        </is>
      </c>
      <c r="S1362" t="n">
        <v>182</v>
      </c>
      <c r="T1362" t="inlineStr">
        <is>
          <t>Love - Shibari - Kamino</t>
        </is>
      </c>
    </row>
    <row r="1363">
      <c r="A1363" t="n">
        <v>145917</v>
      </c>
      <c r="B1363" t="n">
        <v>128</v>
      </c>
      <c r="C1363" t="inlineStr">
        <is>
          <t>Love Cabaret</t>
        </is>
      </c>
      <c r="D1363" t="inlineStr">
        <is>
          <t>HORTICLEAN DISTRIBUIDORA DE HORTIFRUTI LTDA</t>
        </is>
      </c>
      <c r="E1363" t="n">
        <v>142.34</v>
      </c>
      <c r="F1363" s="27" t="n">
        <v>45874</v>
      </c>
      <c r="G1363" s="27" t="n">
        <v>45873</v>
      </c>
      <c r="H1363" s="27" t="n">
        <v>45873</v>
      </c>
      <c r="I1363" s="27" t="n">
        <v>45845</v>
      </c>
      <c r="J1363" s="27" t="n">
        <v>45849</v>
      </c>
      <c r="K1363" t="inlineStr">
        <is>
          <t>Boleto Bancário</t>
        </is>
      </c>
      <c r="L1363" t="inlineStr">
        <is>
          <t>Custo Mercadoria Vendida</t>
        </is>
      </c>
      <c r="M1363" t="inlineStr">
        <is>
          <t>Insumos - Alimentos</t>
        </is>
      </c>
      <c r="N1363" t="inlineStr">
        <is>
          <t>27222</t>
        </is>
      </c>
      <c r="O1363" t="inlineStr">
        <is>
          <t>Documentação Aprovada</t>
        </is>
      </c>
      <c r="P1363" t="inlineStr">
        <is>
          <t>Aprovado Diretoria</t>
        </is>
      </c>
      <c r="Q1363" t="inlineStr">
        <is>
          <t>Aprovado Caixa</t>
        </is>
      </c>
      <c r="R1363" t="inlineStr">
        <is>
          <t>Pago</t>
        </is>
      </c>
      <c r="S1363" t="n">
        <v>182</v>
      </c>
      <c r="T1363" t="inlineStr">
        <is>
          <t>Love - Shibari - Kamino</t>
        </is>
      </c>
    </row>
    <row r="1364">
      <c r="A1364" t="n">
        <v>148722</v>
      </c>
      <c r="B1364" t="n">
        <v>128</v>
      </c>
      <c r="C1364" t="inlineStr">
        <is>
          <t>Love Cabaret</t>
        </is>
      </c>
      <c r="D1364" t="inlineStr">
        <is>
          <t>CEM ENGENHARIA DA MANUTENCAO LTDA</t>
        </is>
      </c>
      <c r="E1364" t="n">
        <v>950</v>
      </c>
      <c r="F1364" s="27" t="n">
        <v>45875</v>
      </c>
      <c r="G1364" s="27" t="n">
        <v>45873</v>
      </c>
      <c r="H1364" s="27" t="n">
        <v>45873</v>
      </c>
      <c r="I1364" s="27" t="n">
        <v>45861</v>
      </c>
      <c r="J1364" s="27" t="n">
        <v>45862</v>
      </c>
      <c r="K1364" t="inlineStr">
        <is>
          <t>Boleto Bancário</t>
        </is>
      </c>
      <c r="L1364" t="inlineStr">
        <is>
          <t>Manutenção</t>
        </is>
      </c>
      <c r="M1364" t="inlineStr">
        <is>
          <t>Manutenção de Equipamentos</t>
        </is>
      </c>
      <c r="N1364" t="inlineStr">
        <is>
          <t>2559</t>
        </is>
      </c>
      <c r="O1364" t="inlineStr">
        <is>
          <t>Documentação Aprovada</t>
        </is>
      </c>
      <c r="P1364" t="inlineStr">
        <is>
          <t>Aprovado Diretoria</t>
        </is>
      </c>
      <c r="Q1364" t="inlineStr">
        <is>
          <t>Aprovado Caixa</t>
        </is>
      </c>
      <c r="R1364" t="inlineStr">
        <is>
          <t>Pago</t>
        </is>
      </c>
      <c r="S1364" t="n">
        <v>182</v>
      </c>
      <c r="T1364" t="inlineStr">
        <is>
          <t>Love - Shibari - Kamino</t>
        </is>
      </c>
    </row>
    <row r="1365">
      <c r="A1365" t="n">
        <v>143801</v>
      </c>
      <c r="B1365" t="n">
        <v>128</v>
      </c>
      <c r="C1365" t="inlineStr">
        <is>
          <t>Love Cabaret</t>
        </is>
      </c>
      <c r="D1365" t="inlineStr">
        <is>
          <t>LALAMOVE TECNOLOGIA (BRASIL) LTDA</t>
        </is>
      </c>
      <c r="E1365" t="n">
        <v>185.9</v>
      </c>
      <c r="F1365" s="27" t="n">
        <v>45873</v>
      </c>
      <c r="G1365" s="27" t="n">
        <v>45873</v>
      </c>
      <c r="H1365" s="27" t="n">
        <v>45873</v>
      </c>
      <c r="I1365" s="27" t="n">
        <v>45838</v>
      </c>
      <c r="J1365" s="27" t="n">
        <v>45841</v>
      </c>
      <c r="K1365" t="inlineStr">
        <is>
          <t>Transferência Bancária ou Pix</t>
        </is>
      </c>
      <c r="L1365" t="inlineStr">
        <is>
          <t>Despesas com Transporte / Hospedagem</t>
        </is>
      </c>
      <c r="M1365" t="inlineStr">
        <is>
          <t>Fretes e Carretos</t>
        </is>
      </c>
      <c r="N1365" t="inlineStr">
        <is>
          <t>382025</t>
        </is>
      </c>
      <c r="O1365" t="inlineStr">
        <is>
          <t>Documentação Aprovada</t>
        </is>
      </c>
      <c r="P1365" t="inlineStr">
        <is>
          <t>Aprovado Diretoria</t>
        </is>
      </c>
      <c r="Q1365" t="inlineStr">
        <is>
          <t>Aprovado Caixa</t>
        </is>
      </c>
      <c r="R1365" t="inlineStr">
        <is>
          <t>Pago</t>
        </is>
      </c>
      <c r="S1365" t="n">
        <v>182</v>
      </c>
      <c r="T1365" t="inlineStr">
        <is>
          <t>Love - Shibari - Kamino</t>
        </is>
      </c>
    </row>
    <row r="1366">
      <c r="A1366" t="n">
        <v>148174</v>
      </c>
      <c r="B1366" t="n">
        <v>128</v>
      </c>
      <c r="C1366" t="inlineStr">
        <is>
          <t>Love Cabaret</t>
        </is>
      </c>
      <c r="D1366" t="inlineStr">
        <is>
          <t>CG FOOD´S DISTRIBUIDORA DE ALIMENTOS LTDA</t>
        </is>
      </c>
      <c r="E1366" t="n">
        <v>83.47</v>
      </c>
      <c r="F1366" s="27" t="n">
        <v>45875</v>
      </c>
      <c r="G1366" s="27" t="n">
        <v>45873</v>
      </c>
      <c r="H1366" s="27" t="n">
        <v>45873</v>
      </c>
      <c r="I1366" s="27" t="n">
        <v>45854</v>
      </c>
      <c r="J1366" s="27" t="n">
        <v>45859</v>
      </c>
      <c r="K1366" t="inlineStr">
        <is>
          <t>Boleto Bancário</t>
        </is>
      </c>
      <c r="L1366" t="inlineStr">
        <is>
          <t>Custo Mercadoria Vendida</t>
        </is>
      </c>
      <c r="M1366" t="inlineStr">
        <is>
          <t>Insumos - Alimentos</t>
        </is>
      </c>
      <c r="N1366" t="inlineStr">
        <is>
          <t>157760</t>
        </is>
      </c>
      <c r="O1366" t="inlineStr">
        <is>
          <t>Documentação Aprovada</t>
        </is>
      </c>
      <c r="P1366" t="inlineStr">
        <is>
          <t>Aprovado Diretoria</t>
        </is>
      </c>
      <c r="Q1366" t="inlineStr">
        <is>
          <t>Aprovado Caixa</t>
        </is>
      </c>
      <c r="R1366" t="inlineStr">
        <is>
          <t>Pago</t>
        </is>
      </c>
      <c r="S1366" t="n">
        <v>182</v>
      </c>
      <c r="T1366" t="inlineStr">
        <is>
          <t>Love - Shibari - Kamino</t>
        </is>
      </c>
    </row>
    <row r="1367">
      <c r="A1367" t="n">
        <v>147685</v>
      </c>
      <c r="B1367" t="n">
        <v>128</v>
      </c>
      <c r="C1367" t="inlineStr">
        <is>
          <t>Love Cabaret</t>
        </is>
      </c>
      <c r="D1367" t="inlineStr">
        <is>
          <t>CG FOOD´S DISTRIBUIDORA DE ALIMENTOS LTDA</t>
        </is>
      </c>
      <c r="E1367" t="n">
        <v>238</v>
      </c>
      <c r="F1367" s="27" t="n">
        <v>45874</v>
      </c>
      <c r="G1367" s="27" t="n">
        <v>45873</v>
      </c>
      <c r="H1367" s="27" t="n">
        <v>45873</v>
      </c>
      <c r="I1367" s="27" t="n">
        <v>45853</v>
      </c>
      <c r="J1367" s="27" t="n">
        <v>45855</v>
      </c>
      <c r="K1367" t="inlineStr">
        <is>
          <t>Boleto Bancário</t>
        </is>
      </c>
      <c r="L1367" t="inlineStr">
        <is>
          <t>Custo Mercadoria Vendida</t>
        </is>
      </c>
      <c r="M1367" t="inlineStr">
        <is>
          <t>Insumos - Alimentos</t>
        </is>
      </c>
      <c r="N1367" t="inlineStr">
        <is>
          <t>157604</t>
        </is>
      </c>
      <c r="O1367" t="inlineStr">
        <is>
          <t>Documentação Aprovada</t>
        </is>
      </c>
      <c r="P1367" t="inlineStr">
        <is>
          <t>Aprovado Diretoria</t>
        </is>
      </c>
      <c r="Q1367" t="inlineStr">
        <is>
          <t>Aprovado Caixa</t>
        </is>
      </c>
      <c r="R1367" t="inlineStr">
        <is>
          <t>Pago</t>
        </is>
      </c>
      <c r="S1367" t="n">
        <v>182</v>
      </c>
      <c r="T1367" t="inlineStr">
        <is>
          <t>Love - Shibari - Kamino</t>
        </is>
      </c>
    </row>
    <row r="1368">
      <c r="A1368" t="n">
        <v>147692</v>
      </c>
      <c r="B1368" t="n">
        <v>128</v>
      </c>
      <c r="C1368" t="inlineStr">
        <is>
          <t>Love Cabaret</t>
        </is>
      </c>
      <c r="D1368" t="inlineStr">
        <is>
          <t>DTK COMERCIO DE ALIMENTOS LTDA</t>
        </is>
      </c>
      <c r="E1368" t="n">
        <v>407.94</v>
      </c>
      <c r="F1368" s="27" t="n">
        <v>45873</v>
      </c>
      <c r="G1368" s="27" t="n">
        <v>45873</v>
      </c>
      <c r="H1368" s="27" t="n">
        <v>45873</v>
      </c>
      <c r="I1368" s="27" t="n">
        <v>45852</v>
      </c>
      <c r="J1368" s="27" t="n">
        <v>45855</v>
      </c>
      <c r="K1368" t="inlineStr">
        <is>
          <t>Boleto Bancário</t>
        </is>
      </c>
      <c r="L1368" t="inlineStr">
        <is>
          <t>Custo Mercadoria Vendida</t>
        </is>
      </c>
      <c r="M1368" t="inlineStr">
        <is>
          <t>Insumos - Alimentos</t>
        </is>
      </c>
      <c r="N1368" t="inlineStr">
        <is>
          <t>36259</t>
        </is>
      </c>
      <c r="O1368" t="inlineStr">
        <is>
          <t>Documentação Aprovada</t>
        </is>
      </c>
      <c r="P1368" t="inlineStr">
        <is>
          <t>Aprovado Diretoria</t>
        </is>
      </c>
      <c r="Q1368" t="inlineStr">
        <is>
          <t>Aprovado Caixa</t>
        </is>
      </c>
      <c r="R1368" t="inlineStr">
        <is>
          <t>Pago</t>
        </is>
      </c>
      <c r="S1368" t="n">
        <v>182</v>
      </c>
      <c r="T1368" t="inlineStr">
        <is>
          <t>Love - Shibari - Kamino</t>
        </is>
      </c>
    </row>
    <row r="1369">
      <c r="A1369" t="n">
        <v>148179</v>
      </c>
      <c r="B1369" t="n">
        <v>128</v>
      </c>
      <c r="C1369" t="inlineStr">
        <is>
          <t>Love Cabaret</t>
        </is>
      </c>
      <c r="D1369" t="inlineStr">
        <is>
          <t xml:space="preserve">MATEUS SILVEIRA CEZAR </t>
        </is>
      </c>
      <c r="E1369" t="n">
        <v>1800</v>
      </c>
      <c r="F1369" s="27" t="n">
        <v>45874</v>
      </c>
      <c r="G1369" s="27" t="n">
        <v>45873</v>
      </c>
      <c r="H1369" s="27" t="n">
        <v>45873</v>
      </c>
      <c r="I1369" s="27" t="n">
        <v>45859</v>
      </c>
      <c r="J1369" s="27" t="n">
        <v>45859</v>
      </c>
      <c r="K1369" t="inlineStr">
        <is>
          <t>Transferência Bancária ou Pix</t>
        </is>
      </c>
      <c r="L1369" t="inlineStr">
        <is>
          <t>Marketing</t>
        </is>
      </c>
      <c r="M1369" t="inlineStr">
        <is>
          <t>Produção Gráfica e Material Institucional</t>
        </is>
      </c>
      <c r="N1369" t="inlineStr">
        <is>
          <t>22</t>
        </is>
      </c>
      <c r="O1369" t="inlineStr">
        <is>
          <t>Documentação Aprovada</t>
        </is>
      </c>
      <c r="P1369" t="inlineStr">
        <is>
          <t>Aprovado Diretoria</t>
        </is>
      </c>
      <c r="Q1369" t="inlineStr">
        <is>
          <t>Aprovado Caixa</t>
        </is>
      </c>
      <c r="R1369" t="inlineStr">
        <is>
          <t>Pago</t>
        </is>
      </c>
      <c r="S1369" t="n">
        <v>182</v>
      </c>
      <c r="T1369" t="inlineStr">
        <is>
          <t>Love - Shibari - Kamino</t>
        </is>
      </c>
    </row>
    <row r="1370">
      <c r="A1370" t="n">
        <v>150115</v>
      </c>
      <c r="B1370" t="n">
        <v>128</v>
      </c>
      <c r="C1370" t="inlineStr">
        <is>
          <t>Love Cabaret</t>
        </is>
      </c>
      <c r="D1370" t="inlineStr">
        <is>
          <t>WPP COMERCIO DE CARNES LTDA</t>
        </is>
      </c>
      <c r="E1370" t="n">
        <v>1691.78</v>
      </c>
      <c r="F1370" s="27" t="n">
        <v>45874</v>
      </c>
      <c r="G1370" s="27" t="n">
        <v>45873</v>
      </c>
      <c r="H1370" s="27" t="n">
        <v>45873</v>
      </c>
      <c r="I1370" s="27" t="n">
        <v>45860</v>
      </c>
      <c r="J1370" s="27" t="n">
        <v>45869</v>
      </c>
      <c r="K1370" t="inlineStr">
        <is>
          <t>Boleto Bancário</t>
        </is>
      </c>
      <c r="L1370" t="inlineStr">
        <is>
          <t>Custo Mercadoria Vendida</t>
        </is>
      </c>
      <c r="M1370" t="inlineStr">
        <is>
          <t>Insumos - Alimentos</t>
        </is>
      </c>
      <c r="N1370" t="inlineStr">
        <is>
          <t>73562</t>
        </is>
      </c>
      <c r="O1370" t="inlineStr">
        <is>
          <t>Documentação Aprovada</t>
        </is>
      </c>
      <c r="P1370" t="inlineStr">
        <is>
          <t>Aprovado Diretoria</t>
        </is>
      </c>
      <c r="Q1370" t="inlineStr">
        <is>
          <t>Aprovado Caixa</t>
        </is>
      </c>
      <c r="R1370" t="inlineStr">
        <is>
          <t>Pago</t>
        </is>
      </c>
      <c r="S1370" t="n">
        <v>182</v>
      </c>
      <c r="T1370" t="inlineStr">
        <is>
          <t>Love - Shibari - Kamino</t>
        </is>
      </c>
    </row>
    <row r="1371">
      <c r="A1371" t="n">
        <v>150109</v>
      </c>
      <c r="B1371" t="n">
        <v>128</v>
      </c>
      <c r="C1371" t="inlineStr">
        <is>
          <t>Love Cabaret</t>
        </is>
      </c>
      <c r="D1371" t="inlineStr">
        <is>
          <t>CECILIA TSUYACO ARAKI SILVA LTDA</t>
        </is>
      </c>
      <c r="E1371" t="n">
        <v>309.75</v>
      </c>
      <c r="F1371" s="27" t="n">
        <v>45873</v>
      </c>
      <c r="G1371" s="27" t="n">
        <v>45873</v>
      </c>
      <c r="H1371" s="27" t="n">
        <v>45873</v>
      </c>
      <c r="I1371" s="27" t="n">
        <v>45859</v>
      </c>
      <c r="J1371" s="27" t="n">
        <v>45869</v>
      </c>
      <c r="K1371" t="inlineStr">
        <is>
          <t>Boleto Bancário</t>
        </is>
      </c>
      <c r="L1371" t="inlineStr">
        <is>
          <t>Custo Mercadoria Vendida</t>
        </is>
      </c>
      <c r="M1371" t="inlineStr">
        <is>
          <t>Insumos - Alimentos</t>
        </is>
      </c>
      <c r="N1371" t="inlineStr">
        <is>
          <t>374804</t>
        </is>
      </c>
      <c r="O1371" t="inlineStr">
        <is>
          <t>Documentação Aprovada</t>
        </is>
      </c>
      <c r="P1371" t="inlineStr">
        <is>
          <t>Aprovado Diretoria</t>
        </is>
      </c>
      <c r="Q1371" t="inlineStr">
        <is>
          <t>Aprovado Caixa</t>
        </is>
      </c>
      <c r="R1371" t="inlineStr">
        <is>
          <t>Pago</t>
        </is>
      </c>
      <c r="S1371" t="n">
        <v>182</v>
      </c>
      <c r="T1371" t="inlineStr">
        <is>
          <t>Love - Shibari - Kamino</t>
        </is>
      </c>
    </row>
    <row r="1372">
      <c r="A1372" t="n">
        <v>150106</v>
      </c>
      <c r="B1372" t="n">
        <v>128</v>
      </c>
      <c r="C1372" t="inlineStr">
        <is>
          <t>Love Cabaret</t>
        </is>
      </c>
      <c r="D1372" t="inlineStr">
        <is>
          <t>CEPEL COMERCIO DE PAPEIS E EMBALAGENS EIRELI</t>
        </is>
      </c>
      <c r="E1372" t="n">
        <v>1339.78</v>
      </c>
      <c r="F1372" s="27" t="n">
        <v>45873</v>
      </c>
      <c r="G1372" s="27" t="n">
        <v>45873</v>
      </c>
      <c r="H1372" s="27" t="n">
        <v>45873</v>
      </c>
      <c r="I1372" s="27" t="n">
        <v>45859</v>
      </c>
      <c r="J1372" s="27" t="n">
        <v>45869</v>
      </c>
      <c r="K1372" t="inlineStr">
        <is>
          <t>Boleto Bancário</t>
        </is>
      </c>
      <c r="L1372" t="inlineStr">
        <is>
          <t>Utilidades</t>
        </is>
      </c>
      <c r="M1372" t="inlineStr">
        <is>
          <t>Higiene e Limpeza</t>
        </is>
      </c>
      <c r="N1372" t="inlineStr">
        <is>
          <t>244777</t>
        </is>
      </c>
      <c r="O1372" t="inlineStr">
        <is>
          <t>Documentação Aprovada</t>
        </is>
      </c>
      <c r="P1372" t="inlineStr">
        <is>
          <t>Aprovado Diretoria</t>
        </is>
      </c>
      <c r="Q1372" t="inlineStr">
        <is>
          <t>Aprovado Caixa</t>
        </is>
      </c>
      <c r="R1372" t="inlineStr">
        <is>
          <t>Pago</t>
        </is>
      </c>
      <c r="S1372" t="n">
        <v>182</v>
      </c>
      <c r="T1372" t="inlineStr">
        <is>
          <t>Love - Shibari - Kamino</t>
        </is>
      </c>
    </row>
    <row r="1373">
      <c r="A1373" t="n">
        <v>150100</v>
      </c>
      <c r="B1373" t="n">
        <v>128</v>
      </c>
      <c r="C1373" t="inlineStr">
        <is>
          <t>Love Cabaret</t>
        </is>
      </c>
      <c r="D1373" t="inlineStr">
        <is>
          <t xml:space="preserve">LEBANON MARKET CENTER LTDA </t>
        </is>
      </c>
      <c r="E1373" t="n">
        <v>506.83</v>
      </c>
      <c r="F1373" s="27" t="n">
        <v>45874</v>
      </c>
      <c r="G1373" s="27" t="n">
        <v>45873</v>
      </c>
      <c r="H1373" s="27" t="n">
        <v>45873</v>
      </c>
      <c r="I1373" s="27" t="n">
        <v>45859</v>
      </c>
      <c r="J1373" s="27" t="n">
        <v>45869</v>
      </c>
      <c r="K1373" t="inlineStr">
        <is>
          <t>Boleto Bancário</t>
        </is>
      </c>
      <c r="L1373" t="inlineStr">
        <is>
          <t>Custo Mercadoria Vendida</t>
        </is>
      </c>
      <c r="M1373" t="inlineStr">
        <is>
          <t>Insumos - Alimentos</t>
        </is>
      </c>
      <c r="N1373" t="inlineStr">
        <is>
          <t>138084</t>
        </is>
      </c>
      <c r="O1373" t="inlineStr">
        <is>
          <t>Documentação Aprovada</t>
        </is>
      </c>
      <c r="P1373" t="inlineStr">
        <is>
          <t>Aprovado Diretoria</t>
        </is>
      </c>
      <c r="Q1373" t="inlineStr">
        <is>
          <t>Aprovado Caixa</t>
        </is>
      </c>
      <c r="R1373" t="inlineStr">
        <is>
          <t>Pago</t>
        </is>
      </c>
      <c r="S1373" t="n">
        <v>182</v>
      </c>
      <c r="T1373" t="inlineStr">
        <is>
          <t>Love - Shibari - Kamino</t>
        </is>
      </c>
    </row>
    <row r="1374">
      <c r="A1374" t="n">
        <v>102892</v>
      </c>
      <c r="B1374" t="n">
        <v>128</v>
      </c>
      <c r="C1374" t="inlineStr">
        <is>
          <t>Love Cabaret</t>
        </is>
      </c>
      <c r="D1374" t="inlineStr">
        <is>
          <t>MACHINE SEGURANCA PATRIMONIAL LTDA</t>
        </is>
      </c>
      <c r="E1374" t="n">
        <v>4560</v>
      </c>
      <c r="F1374" s="27" t="n">
        <v>45858</v>
      </c>
      <c r="G1374" s="27" t="n">
        <v>45873</v>
      </c>
      <c r="H1374" s="27" t="n">
        <v>45873</v>
      </c>
      <c r="I1374" s="27" t="n">
        <v>45839</v>
      </c>
      <c r="J1374" s="27" t="n"/>
      <c r="K1374" t="inlineStr">
        <is>
          <t>Transferência Bancária ou Pix</t>
        </is>
      </c>
      <c r="L1374" t="inlineStr">
        <is>
          <t>Serviços de Terceiros</t>
        </is>
      </c>
      <c r="M1374" t="inlineStr">
        <is>
          <t>Serviços de Segurança</t>
        </is>
      </c>
      <c r="N1374" t="inlineStr">
        <is>
          <t>496</t>
        </is>
      </c>
      <c r="O1374" t="inlineStr">
        <is>
          <t>Documentação Aprovada</t>
        </is>
      </c>
      <c r="P1374" t="inlineStr">
        <is>
          <t>Aprovado Diretoria</t>
        </is>
      </c>
      <c r="Q1374" t="inlineStr">
        <is>
          <t>Aprovado Caixa</t>
        </is>
      </c>
      <c r="R1374" t="inlineStr">
        <is>
          <t>Pago</t>
        </is>
      </c>
      <c r="S1374" t="n">
        <v>182</v>
      </c>
      <c r="T1374" t="inlineStr">
        <is>
          <t>Love - Shibari - Kamino</t>
        </is>
      </c>
    </row>
    <row r="1375">
      <c r="A1375" t="n">
        <v>97395</v>
      </c>
      <c r="B1375" t="n">
        <v>128</v>
      </c>
      <c r="C1375" t="inlineStr">
        <is>
          <t>Love Cabaret</t>
        </is>
      </c>
      <c r="D1375" t="inlineStr">
        <is>
          <t>EASY ICE SOLUTION LTDA-ME LOCAÇÃO</t>
        </is>
      </c>
      <c r="E1375" t="n">
        <v>1600</v>
      </c>
      <c r="F1375" s="27" t="n">
        <v>45874</v>
      </c>
      <c r="G1375" s="27" t="n">
        <v>45873</v>
      </c>
      <c r="H1375" s="27" t="n">
        <v>45873</v>
      </c>
      <c r="I1375" s="27" t="n">
        <v>45863</v>
      </c>
      <c r="J1375" s="27" t="n"/>
      <c r="K1375" t="inlineStr">
        <is>
          <t>Boleto Bancário</t>
        </is>
      </c>
      <c r="L1375" t="inlineStr">
        <is>
          <t>Locação de Equipamentos</t>
        </is>
      </c>
      <c r="M1375" t="inlineStr">
        <is>
          <t>Locações de Equipamentos - Operacionais</t>
        </is>
      </c>
      <c r="N1375" t="inlineStr">
        <is>
          <t>8767</t>
        </is>
      </c>
      <c r="O1375" t="inlineStr">
        <is>
          <t>Documentação Aprovada</t>
        </is>
      </c>
      <c r="P1375" t="inlineStr">
        <is>
          <t>Aprovado Diretoria</t>
        </is>
      </c>
      <c r="Q1375" t="inlineStr">
        <is>
          <t>Aprovado Caixa</t>
        </is>
      </c>
      <c r="R1375" t="inlineStr">
        <is>
          <t>Pago</t>
        </is>
      </c>
      <c r="S1375" t="n">
        <v>182</v>
      </c>
      <c r="T1375" t="inlineStr">
        <is>
          <t>Love - Shibari - Kamino</t>
        </is>
      </c>
    </row>
    <row r="1376">
      <c r="A1376" t="n">
        <v>97317</v>
      </c>
      <c r="B1376" t="n">
        <v>128</v>
      </c>
      <c r="C1376" t="inlineStr">
        <is>
          <t>Love Cabaret</t>
        </is>
      </c>
      <c r="D1376" t="inlineStr">
        <is>
          <t>ESCRITORIO CENTRAL DE ARRECADACAO E DISTRIBUICAO ECAD</t>
        </is>
      </c>
      <c r="E1376" t="n">
        <v>802.5</v>
      </c>
      <c r="F1376" s="27" t="n">
        <v>45874</v>
      </c>
      <c r="G1376" s="27" t="n">
        <v>45873</v>
      </c>
      <c r="H1376" s="27" t="n">
        <v>45873</v>
      </c>
      <c r="I1376" s="27" t="n">
        <v>45857</v>
      </c>
      <c r="J1376" s="27" t="n"/>
      <c r="K1376" t="inlineStr">
        <is>
          <t>Boleto Bancário</t>
        </is>
      </c>
      <c r="L1376" t="inlineStr">
        <is>
          <t>Custos Artístico Geral</t>
        </is>
      </c>
      <c r="M1376" t="inlineStr">
        <is>
          <t>Taxas e Licenças - Artístico</t>
        </is>
      </c>
      <c r="N1376" t="inlineStr">
        <is>
          <t>9022276133</t>
        </is>
      </c>
      <c r="O1376" t="inlineStr">
        <is>
          <t>Documentação Aprovada</t>
        </is>
      </c>
      <c r="P1376" t="inlineStr">
        <is>
          <t>Aprovado Diretoria</t>
        </is>
      </c>
      <c r="Q1376" t="inlineStr">
        <is>
          <t>Aprovado Caixa</t>
        </is>
      </c>
      <c r="R1376" t="inlineStr">
        <is>
          <t>Pago</t>
        </is>
      </c>
      <c r="S1376" t="n">
        <v>182</v>
      </c>
      <c r="T1376" t="inlineStr">
        <is>
          <t>Love - Shibari - Kamino</t>
        </is>
      </c>
    </row>
    <row r="1377">
      <c r="A1377" t="n">
        <v>97341</v>
      </c>
      <c r="B1377" t="n">
        <v>128</v>
      </c>
      <c r="C1377" t="inlineStr">
        <is>
          <t>Love Cabaret</t>
        </is>
      </c>
      <c r="D1377" t="inlineStr">
        <is>
          <t>ELETROPAULO METROPOLITANA ELETRICIDADE DE SAO PAULO SA</t>
        </is>
      </c>
      <c r="E1377" t="n">
        <v>96.72</v>
      </c>
      <c r="F1377" s="27" t="n">
        <v>45873</v>
      </c>
      <c r="G1377" s="27" t="n">
        <v>45873</v>
      </c>
      <c r="H1377" s="27" t="n">
        <v>45873</v>
      </c>
      <c r="I1377" s="27" t="n">
        <v>45853</v>
      </c>
      <c r="J1377" s="27" t="n"/>
      <c r="K1377" t="inlineStr">
        <is>
          <t>Boleto Bancário</t>
        </is>
      </c>
      <c r="L1377" t="inlineStr">
        <is>
          <t>Utilidades</t>
        </is>
      </c>
      <c r="M1377" t="inlineStr">
        <is>
          <t>Energia Eletrica</t>
        </is>
      </c>
      <c r="N1377" t="inlineStr">
        <is>
          <t>729605765</t>
        </is>
      </c>
      <c r="O1377" t="inlineStr">
        <is>
          <t>Documentação Aprovada</t>
        </is>
      </c>
      <c r="P1377" t="inlineStr">
        <is>
          <t>Aprovado Diretoria</t>
        </is>
      </c>
      <c r="Q1377" t="inlineStr">
        <is>
          <t>Aprovado Caixa</t>
        </is>
      </c>
      <c r="R1377" t="inlineStr">
        <is>
          <t>Pago</t>
        </is>
      </c>
      <c r="S1377" t="n">
        <v>182</v>
      </c>
      <c r="T1377" t="inlineStr">
        <is>
          <t>Love - Shibari - Kamino</t>
        </is>
      </c>
    </row>
    <row r="1378">
      <c r="A1378" t="n">
        <v>97329</v>
      </c>
      <c r="B1378" t="n">
        <v>128</v>
      </c>
      <c r="C1378" t="inlineStr">
        <is>
          <t>Love Cabaret</t>
        </is>
      </c>
      <c r="D1378" t="inlineStr">
        <is>
          <t>ELETROPAULO METROPOLITANA ELETRICIDADE DE SAO PAULO SA</t>
        </is>
      </c>
      <c r="E1378" t="n">
        <v>15630.34</v>
      </c>
      <c r="F1378" s="27" t="n">
        <v>45873</v>
      </c>
      <c r="G1378" s="27" t="n">
        <v>45873</v>
      </c>
      <c r="H1378" s="27" t="n">
        <v>45873</v>
      </c>
      <c r="I1378" s="27" t="n">
        <v>45853</v>
      </c>
      <c r="J1378" s="27" t="n"/>
      <c r="K1378" t="inlineStr">
        <is>
          <t>Boleto Bancário</t>
        </is>
      </c>
      <c r="L1378" t="inlineStr">
        <is>
          <t>Utilidades</t>
        </is>
      </c>
      <c r="M1378" t="inlineStr">
        <is>
          <t>Energia Eletrica</t>
        </is>
      </c>
      <c r="N1378" t="inlineStr">
        <is>
          <t>729217105</t>
        </is>
      </c>
      <c r="O1378" t="inlineStr">
        <is>
          <t>Documentação Aprovada</t>
        </is>
      </c>
      <c r="P1378" t="inlineStr">
        <is>
          <t>Aprovado Diretoria</t>
        </is>
      </c>
      <c r="Q1378" t="inlineStr">
        <is>
          <t>Aprovado Caixa</t>
        </is>
      </c>
      <c r="R1378" t="inlineStr">
        <is>
          <t>Pago</t>
        </is>
      </c>
      <c r="S1378" t="n">
        <v>182</v>
      </c>
      <c r="T1378" t="inlineStr">
        <is>
          <t>Love - Shibari - Kamino</t>
        </is>
      </c>
    </row>
    <row r="1379">
      <c r="A1379" t="n">
        <v>106693</v>
      </c>
      <c r="B1379" t="n">
        <v>128</v>
      </c>
      <c r="C1379" t="inlineStr">
        <is>
          <t>Love Cabaret</t>
        </is>
      </c>
      <c r="D1379" t="inlineStr">
        <is>
          <t>AURORA ALVORADA ESTACIONAMENTO E LANCHONETE LTDA</t>
        </is>
      </c>
      <c r="E1379" t="n">
        <v>217.09</v>
      </c>
      <c r="F1379" s="27" t="n">
        <v>45873</v>
      </c>
      <c r="G1379" s="27" t="n">
        <v>45873</v>
      </c>
      <c r="H1379" s="27" t="n">
        <v>45873</v>
      </c>
      <c r="I1379" s="27" t="n">
        <v>45866</v>
      </c>
      <c r="J1379" s="27" t="n"/>
      <c r="K1379" t="inlineStr">
        <is>
          <t>Boleto Bancário</t>
        </is>
      </c>
      <c r="L1379" t="inlineStr">
        <is>
          <t>Custo Mercadoria Vendida</t>
        </is>
      </c>
      <c r="M1379" t="inlineStr">
        <is>
          <t>Insumos - Alimentos</t>
        </is>
      </c>
      <c r="N1379" t="inlineStr">
        <is>
          <t>10803</t>
        </is>
      </c>
      <c r="O1379" t="inlineStr">
        <is>
          <t>Documentação Aprovada</t>
        </is>
      </c>
      <c r="P1379" t="inlineStr">
        <is>
          <t>Aprovado Diretoria</t>
        </is>
      </c>
      <c r="Q1379" t="inlineStr">
        <is>
          <t>Aprovado Caixa</t>
        </is>
      </c>
      <c r="R1379" t="inlineStr">
        <is>
          <t>Pago</t>
        </is>
      </c>
      <c r="S1379" t="n">
        <v>182</v>
      </c>
      <c r="T1379" t="inlineStr">
        <is>
          <t>Love - Shibari - Kamino</t>
        </is>
      </c>
    </row>
    <row r="1380">
      <c r="A1380" t="n">
        <v>150696</v>
      </c>
      <c r="B1380" t="n">
        <v>128</v>
      </c>
      <c r="C1380" t="inlineStr">
        <is>
          <t>Love Cabaret</t>
        </is>
      </c>
      <c r="D1380" t="inlineStr">
        <is>
          <t>ZIGPAY LTDAS -ME</t>
        </is>
      </c>
      <c r="E1380" t="n">
        <v>0</v>
      </c>
      <c r="F1380" s="27" t="n">
        <v>45869</v>
      </c>
      <c r="G1380" s="27" t="n"/>
      <c r="H1380" s="27" t="n">
        <v>45869</v>
      </c>
      <c r="I1380" s="27" t="n">
        <v>45869</v>
      </c>
      <c r="J1380" s="27" t="n"/>
      <c r="K1380" t="inlineStr">
        <is>
          <t>Encontro de Contas</t>
        </is>
      </c>
      <c r="L1380" t="inlineStr">
        <is>
          <t>Deduções sobre Venda</t>
        </is>
      </c>
      <c r="M1380" t="inlineStr">
        <is>
          <t>Meios de pagamento</t>
        </is>
      </c>
      <c r="N1380" t="inlineStr">
        <is>
          <t>072025</t>
        </is>
      </c>
      <c r="P1380" t="inlineStr">
        <is>
          <t>Aprovado Diretoria</t>
        </is>
      </c>
      <c r="R1380" t="inlineStr">
        <is>
          <t>Pago</t>
        </is>
      </c>
    </row>
    <row r="1381">
      <c r="A1381" t="n">
        <v>48390</v>
      </c>
      <c r="B1381" t="n">
        <v>128</v>
      </c>
      <c r="C1381" t="inlineStr">
        <is>
          <t>Love Cabaret</t>
        </is>
      </c>
      <c r="D1381" t="inlineStr">
        <is>
          <t xml:space="preserve">MINISTERIO DA FAZENDA </t>
        </is>
      </c>
      <c r="E1381" t="n">
        <v>20467.56</v>
      </c>
      <c r="F1381" s="27" t="n">
        <v>45866</v>
      </c>
      <c r="G1381" s="27" t="n">
        <v>45873</v>
      </c>
      <c r="H1381" s="27" t="n">
        <v>45869</v>
      </c>
      <c r="I1381" s="27" t="n">
        <v>45366</v>
      </c>
      <c r="J1381" s="27" t="n"/>
      <c r="K1381" t="inlineStr">
        <is>
          <t xml:space="preserve">Debito Automático </t>
        </is>
      </c>
      <c r="L1381" t="inlineStr">
        <is>
          <t>Endividamento</t>
        </is>
      </c>
      <c r="M1381" t="inlineStr">
        <is>
          <t>Endividamento Geral</t>
        </is>
      </c>
      <c r="N1381" t="inlineStr">
        <is>
          <t>17/60</t>
        </is>
      </c>
      <c r="O1381" t="inlineStr">
        <is>
          <t>Documentação Aprovada</t>
        </is>
      </c>
      <c r="P1381" t="inlineStr">
        <is>
          <t>Aprovado Diretoria</t>
        </is>
      </c>
      <c r="Q1381" t="inlineStr">
        <is>
          <t>Aprovado Caixa</t>
        </is>
      </c>
      <c r="R1381" t="inlineStr">
        <is>
          <t>Pago</t>
        </is>
      </c>
      <c r="S1381" t="n">
        <v>115</v>
      </c>
      <c r="T1381" t="inlineStr">
        <is>
          <t>Love - Shibari - Bradesco</t>
        </is>
      </c>
    </row>
    <row r="1382">
      <c r="A1382" t="n">
        <v>106692</v>
      </c>
      <c r="B1382" t="n">
        <v>128</v>
      </c>
      <c r="C1382" t="inlineStr">
        <is>
          <t>Love Cabaret</t>
        </is>
      </c>
      <c r="D1382" t="inlineStr">
        <is>
          <t>AURORA ALVORADA ESTACIONAMENTO E LANCHONETE LTDA</t>
        </is>
      </c>
      <c r="E1382" t="n">
        <v>230.85</v>
      </c>
      <c r="F1382" s="27" t="n">
        <v>45866</v>
      </c>
      <c r="G1382" s="27" t="n">
        <v>45868</v>
      </c>
      <c r="H1382" s="27" t="n">
        <v>45868</v>
      </c>
      <c r="I1382" s="27" t="n">
        <v>45859</v>
      </c>
      <c r="J1382" s="27" t="n"/>
      <c r="K1382" t="inlineStr">
        <is>
          <t>Boleto Bancário</t>
        </is>
      </c>
      <c r="L1382" t="inlineStr">
        <is>
          <t>Custo Mercadoria Vendida</t>
        </is>
      </c>
      <c r="M1382" t="inlineStr">
        <is>
          <t>Insumos - Alimentos</t>
        </is>
      </c>
      <c r="N1382" t="inlineStr">
        <is>
          <t>10794</t>
        </is>
      </c>
      <c r="O1382" t="inlineStr">
        <is>
          <t>Documentação Aprovada</t>
        </is>
      </c>
      <c r="P1382" t="inlineStr">
        <is>
          <t>Aprovado Diretoria</t>
        </is>
      </c>
      <c r="Q1382" t="inlineStr">
        <is>
          <t>Aprovado Caixa</t>
        </is>
      </c>
      <c r="R1382" t="inlineStr">
        <is>
          <t>Pago</t>
        </is>
      </c>
      <c r="S1382" t="n">
        <v>182</v>
      </c>
      <c r="T1382" t="inlineStr">
        <is>
          <t>Love - Shibari - Kamino</t>
        </is>
      </c>
    </row>
    <row r="1383">
      <c r="A1383" t="n">
        <v>108216</v>
      </c>
      <c r="B1383" t="n">
        <v>128</v>
      </c>
      <c r="C1383" t="inlineStr">
        <is>
          <t>Love Cabaret</t>
        </is>
      </c>
      <c r="D1383" t="inlineStr">
        <is>
          <t>DLOCAL BRASIL PAGAMENTOS LTDA  - DMK</t>
        </is>
      </c>
      <c r="E1383" t="n">
        <v>5000</v>
      </c>
      <c r="F1383" s="27" t="n">
        <v>45863</v>
      </c>
      <c r="G1383" s="27" t="n">
        <v>45868</v>
      </c>
      <c r="H1383" s="27" t="n">
        <v>45868</v>
      </c>
      <c r="I1383" s="27" t="n">
        <v>45870</v>
      </c>
      <c r="J1383" s="27" t="n"/>
      <c r="K1383" t="inlineStr">
        <is>
          <t>Boleto Bancário</t>
        </is>
      </c>
      <c r="L1383" t="inlineStr">
        <is>
          <t>Marketing</t>
        </is>
      </c>
      <c r="M1383" t="inlineStr">
        <is>
          <t>Publicidade e Propaganda</t>
        </is>
      </c>
      <c r="N1383" t="inlineStr">
        <is>
          <t xml:space="preserve">313103585043379  </t>
        </is>
      </c>
      <c r="O1383" t="inlineStr">
        <is>
          <t>Documentação Aprovada</t>
        </is>
      </c>
      <c r="P1383" t="inlineStr">
        <is>
          <t>Aprovado Diretoria</t>
        </is>
      </c>
      <c r="Q1383" t="inlineStr">
        <is>
          <t>Aprovado Caixa</t>
        </is>
      </c>
      <c r="R1383" t="inlineStr">
        <is>
          <t>Pago</t>
        </is>
      </c>
      <c r="S1383" t="n">
        <v>182</v>
      </c>
      <c r="T1383" t="inlineStr">
        <is>
          <t>Love - Shibari - Kamino</t>
        </is>
      </c>
    </row>
    <row r="1384">
      <c r="A1384" t="n">
        <v>97111</v>
      </c>
      <c r="B1384" t="n">
        <v>128</v>
      </c>
      <c r="C1384" t="inlineStr">
        <is>
          <t>Love Cabaret</t>
        </is>
      </c>
      <c r="D1384" t="inlineStr">
        <is>
          <t>ESTAFF SOLUCOES TECNOLOGICAS DE AGENCIAMENTO LTDA</t>
        </is>
      </c>
      <c r="E1384" t="n">
        <v>15383.5</v>
      </c>
      <c r="F1384" s="27" t="n">
        <v>45868</v>
      </c>
      <c r="G1384" s="27" t="n">
        <v>45868</v>
      </c>
      <c r="H1384" s="27" t="n">
        <v>45868</v>
      </c>
      <c r="I1384" s="27" t="n">
        <v>45859</v>
      </c>
      <c r="J1384" s="27" t="n"/>
      <c r="K1384" t="inlineStr">
        <is>
          <t>Boleto Bancário</t>
        </is>
      </c>
      <c r="L1384" t="inlineStr">
        <is>
          <t>Mão de Obra - Extra</t>
        </is>
      </c>
      <c r="M1384" t="inlineStr">
        <is>
          <t>Mão de Obra Extra</t>
        </is>
      </c>
      <c r="N1384" t="inlineStr">
        <is>
          <t>605222453</t>
        </is>
      </c>
      <c r="O1384" t="inlineStr">
        <is>
          <t>Documentação Aprovada</t>
        </is>
      </c>
      <c r="P1384" t="inlineStr">
        <is>
          <t>Aprovado Diretoria</t>
        </is>
      </c>
      <c r="Q1384" t="inlineStr">
        <is>
          <t>Aprovado Caixa</t>
        </is>
      </c>
      <c r="R1384" t="inlineStr">
        <is>
          <t>Pago</t>
        </is>
      </c>
      <c r="S1384" t="n">
        <v>182</v>
      </c>
      <c r="T1384" t="inlineStr">
        <is>
          <t>Love - Shibari - Kamino</t>
        </is>
      </c>
    </row>
    <row r="1385">
      <c r="A1385" t="n">
        <v>96054</v>
      </c>
      <c r="B1385" t="n">
        <v>128</v>
      </c>
      <c r="C1385" t="inlineStr">
        <is>
          <t>Love Cabaret</t>
        </is>
      </c>
      <c r="D1385" t="inlineStr">
        <is>
          <t>ISS</t>
        </is>
      </c>
      <c r="E1385" t="n">
        <v>1939.56</v>
      </c>
      <c r="F1385" s="27" t="n">
        <v>45869</v>
      </c>
      <c r="G1385" s="27" t="n">
        <v>45868</v>
      </c>
      <c r="H1385" s="27" t="n">
        <v>45868</v>
      </c>
      <c r="I1385" s="27" t="n">
        <v>45838</v>
      </c>
      <c r="J1385" s="27" t="n"/>
      <c r="K1385" t="inlineStr">
        <is>
          <t>Boleto Bancário</t>
        </is>
      </c>
      <c r="L1385" t="inlineStr">
        <is>
          <t>Endividamento</t>
        </is>
      </c>
      <c r="M1385" t="inlineStr">
        <is>
          <t>Endividamento Geral</t>
        </is>
      </c>
      <c r="N1385" t="inlineStr">
        <is>
          <t>7/60</t>
        </is>
      </c>
      <c r="O1385" t="inlineStr">
        <is>
          <t>Documentação Aprovada</t>
        </is>
      </c>
      <c r="P1385" t="inlineStr">
        <is>
          <t>Aprovado Diretoria</t>
        </is>
      </c>
      <c r="Q1385" t="inlineStr">
        <is>
          <t>Aprovado Caixa</t>
        </is>
      </c>
      <c r="R1385" t="inlineStr">
        <is>
          <t>Pago</t>
        </is>
      </c>
      <c r="S1385" t="n">
        <v>182</v>
      </c>
      <c r="T1385" t="inlineStr">
        <is>
          <t>Love - Shibari - Kamino</t>
        </is>
      </c>
    </row>
    <row r="1386">
      <c r="A1386" t="n">
        <v>97354</v>
      </c>
      <c r="B1386" t="n">
        <v>128</v>
      </c>
      <c r="C1386" t="inlineStr">
        <is>
          <t>Love Cabaret</t>
        </is>
      </c>
      <c r="D1386" t="inlineStr">
        <is>
          <t>EDJANE DANTAS DE ALMEIDA SOUSA  - DESENTUPIDORA</t>
        </is>
      </c>
      <c r="E1386" t="n">
        <v>1200</v>
      </c>
      <c r="F1386" s="27" t="n">
        <v>45869</v>
      </c>
      <c r="G1386" s="27" t="n">
        <v>45868</v>
      </c>
      <c r="H1386" s="27" t="n">
        <v>45868</v>
      </c>
      <c r="I1386" s="27" t="n">
        <v>45855</v>
      </c>
      <c r="J1386" s="27" t="n"/>
      <c r="K1386" t="inlineStr">
        <is>
          <t>Transferência Bancária ou Pix</t>
        </is>
      </c>
      <c r="L1386" t="inlineStr">
        <is>
          <t>Utilidades</t>
        </is>
      </c>
      <c r="M1386" t="inlineStr">
        <is>
          <t>Serviços de Limpeza</t>
        </is>
      </c>
      <c r="N1386" t="inlineStr">
        <is>
          <t>101</t>
        </is>
      </c>
      <c r="O1386" t="inlineStr">
        <is>
          <t>Documentação Aprovada</t>
        </is>
      </c>
      <c r="P1386" t="inlineStr">
        <is>
          <t>Aprovado Diretoria</t>
        </is>
      </c>
      <c r="Q1386" t="inlineStr">
        <is>
          <t>Aprovado Caixa</t>
        </is>
      </c>
      <c r="R1386" t="inlineStr">
        <is>
          <t>Pago</t>
        </is>
      </c>
      <c r="S1386" t="n">
        <v>182</v>
      </c>
      <c r="T1386" t="inlineStr">
        <is>
          <t>Love - Shibari - Kamino</t>
        </is>
      </c>
    </row>
    <row r="1387">
      <c r="A1387" t="n">
        <v>150177</v>
      </c>
      <c r="B1387" t="n">
        <v>128</v>
      </c>
      <c r="C1387" t="inlineStr">
        <is>
          <t>Love Cabaret</t>
        </is>
      </c>
      <c r="D1387" t="inlineStr">
        <is>
          <t>BRADESCO SA</t>
        </is>
      </c>
      <c r="E1387" t="n">
        <v>9.800000000000001</v>
      </c>
      <c r="F1387" s="27" t="n">
        <v>45868</v>
      </c>
      <c r="G1387" s="27" t="n"/>
      <c r="H1387" s="27" t="n">
        <v>45868</v>
      </c>
      <c r="I1387" s="27" t="n">
        <v>45868</v>
      </c>
      <c r="J1387" s="27" t="n">
        <v>45869</v>
      </c>
      <c r="K1387" t="inlineStr">
        <is>
          <t>Encontro de Contas</t>
        </is>
      </c>
      <c r="L1387" t="inlineStr">
        <is>
          <t>Despesas Financeiras</t>
        </is>
      </c>
      <c r="M1387" t="inlineStr">
        <is>
          <t>Tarifas Bancárias</t>
        </is>
      </c>
      <c r="N1387" t="inlineStr">
        <is>
          <t>072025</t>
        </is>
      </c>
      <c r="P1387" t="inlineStr">
        <is>
          <t>Aprovado Diretoria</t>
        </is>
      </c>
      <c r="R1387" t="inlineStr">
        <is>
          <t>Pago</t>
        </is>
      </c>
    </row>
    <row r="1388">
      <c r="A1388" t="n">
        <v>150205</v>
      </c>
      <c r="B1388" t="n">
        <v>128</v>
      </c>
      <c r="C1388" t="inlineStr">
        <is>
          <t>Love Cabaret</t>
        </is>
      </c>
      <c r="D1388" t="inlineStr">
        <is>
          <t xml:space="preserve">KAMINO INSTITUICAO DE PAGAMENTO LTDA </t>
        </is>
      </c>
      <c r="E1388" t="n">
        <v>0.5</v>
      </c>
      <c r="F1388" s="27" t="n">
        <v>45868</v>
      </c>
      <c r="G1388" s="27" t="n"/>
      <c r="H1388" s="27" t="n">
        <v>45868</v>
      </c>
      <c r="I1388" s="27" t="n">
        <v>45868</v>
      </c>
      <c r="J1388" s="27" t="n">
        <v>45869</v>
      </c>
      <c r="K1388" t="inlineStr">
        <is>
          <t>Encontro de Contas</t>
        </is>
      </c>
      <c r="L1388" t="inlineStr">
        <is>
          <t>Despesas Financeiras</t>
        </is>
      </c>
      <c r="M1388" t="inlineStr">
        <is>
          <t>Tarifas Bancárias</t>
        </is>
      </c>
      <c r="N1388" t="inlineStr">
        <is>
          <t>072025</t>
        </is>
      </c>
      <c r="P1388" t="inlineStr">
        <is>
          <t>Aprovado Diretoria</t>
        </is>
      </c>
      <c r="R1388" t="inlineStr">
        <is>
          <t>Pago</t>
        </is>
      </c>
    </row>
    <row r="1389">
      <c r="A1389" t="n">
        <v>148177</v>
      </c>
      <c r="B1389" t="n">
        <v>128</v>
      </c>
      <c r="C1389" t="inlineStr">
        <is>
          <t>Love Cabaret</t>
        </is>
      </c>
      <c r="D1389" t="inlineStr">
        <is>
          <t>BATALHA FABRICA DE PAES LTDA</t>
        </is>
      </c>
      <c r="E1389" t="n">
        <v>374.56</v>
      </c>
      <c r="F1389" s="27" t="n">
        <v>45870</v>
      </c>
      <c r="G1389" s="27" t="n">
        <v>45868</v>
      </c>
      <c r="H1389" s="27" t="n">
        <v>45868</v>
      </c>
      <c r="I1389" s="27" t="n">
        <v>45853</v>
      </c>
      <c r="J1389" s="27" t="n">
        <v>45859</v>
      </c>
      <c r="K1389" t="inlineStr">
        <is>
          <t>Boleto Bancário</t>
        </is>
      </c>
      <c r="L1389" t="inlineStr">
        <is>
          <t>Custo Mercadoria Vendida</t>
        </is>
      </c>
      <c r="M1389" t="inlineStr">
        <is>
          <t>Insumos - Alimentos</t>
        </is>
      </c>
      <c r="N1389" t="inlineStr">
        <is>
          <t>45841</t>
        </is>
      </c>
      <c r="O1389" t="inlineStr">
        <is>
          <t>Documentação Aprovada</t>
        </is>
      </c>
      <c r="P1389" t="inlineStr">
        <is>
          <t>Aprovado Diretoria</t>
        </is>
      </c>
      <c r="Q1389" t="inlineStr">
        <is>
          <t>Aprovado Caixa</t>
        </is>
      </c>
      <c r="R1389" t="inlineStr">
        <is>
          <t>Pago</t>
        </is>
      </c>
      <c r="S1389" t="n">
        <v>182</v>
      </c>
      <c r="T1389" t="inlineStr">
        <is>
          <t>Love - Shibari - Kamino</t>
        </is>
      </c>
    </row>
    <row r="1390">
      <c r="A1390" t="n">
        <v>148176</v>
      </c>
      <c r="B1390" t="n">
        <v>128</v>
      </c>
      <c r="C1390" t="inlineStr">
        <is>
          <t>Love Cabaret</t>
        </is>
      </c>
      <c r="D1390" t="inlineStr">
        <is>
          <t>CIUFFI HORTIFRUTI EIRELI</t>
        </is>
      </c>
      <c r="E1390" t="n">
        <v>338.6</v>
      </c>
      <c r="F1390" s="27" t="n">
        <v>45870</v>
      </c>
      <c r="G1390" s="27" t="n">
        <v>45868</v>
      </c>
      <c r="H1390" s="27" t="n">
        <v>45868</v>
      </c>
      <c r="I1390" s="27" t="n">
        <v>45856</v>
      </c>
      <c r="J1390" s="27" t="n">
        <v>45859</v>
      </c>
      <c r="K1390" t="inlineStr">
        <is>
          <t>Boleto Bancário</t>
        </is>
      </c>
      <c r="L1390" t="inlineStr">
        <is>
          <t>Custo Mercadoria Vendida</t>
        </is>
      </c>
      <c r="M1390" t="inlineStr">
        <is>
          <t>Insumos - Alimentos</t>
        </is>
      </c>
      <c r="N1390" t="inlineStr">
        <is>
          <t>25232</t>
        </is>
      </c>
      <c r="O1390" t="inlineStr">
        <is>
          <t>Documentação Aprovada</t>
        </is>
      </c>
      <c r="P1390" t="inlineStr">
        <is>
          <t>Aprovado Diretoria</t>
        </is>
      </c>
      <c r="Q1390" t="inlineStr">
        <is>
          <t>Aprovado Caixa</t>
        </is>
      </c>
      <c r="R1390" t="inlineStr">
        <is>
          <t>Pago</t>
        </is>
      </c>
      <c r="S1390" t="n">
        <v>182</v>
      </c>
      <c r="T1390" t="inlineStr">
        <is>
          <t>Love - Shibari - Kamino</t>
        </is>
      </c>
    </row>
    <row r="1391">
      <c r="A1391" t="n">
        <v>148178</v>
      </c>
      <c r="B1391" t="n">
        <v>128</v>
      </c>
      <c r="C1391" t="inlineStr">
        <is>
          <t>Love Cabaret</t>
        </is>
      </c>
      <c r="D1391" t="inlineStr">
        <is>
          <t>CECILIA TSUYACO ARAKI SILVA LTDA</t>
        </is>
      </c>
      <c r="E1391" t="n">
        <v>189.33</v>
      </c>
      <c r="F1391" s="27" t="n">
        <v>45869</v>
      </c>
      <c r="G1391" s="27" t="n">
        <v>45868</v>
      </c>
      <c r="H1391" s="27" t="n">
        <v>45868</v>
      </c>
      <c r="I1391" s="27" t="n">
        <v>45855</v>
      </c>
      <c r="J1391" s="27" t="n">
        <v>45859</v>
      </c>
      <c r="K1391" t="inlineStr">
        <is>
          <t>Boleto Bancário</t>
        </is>
      </c>
      <c r="L1391" t="inlineStr">
        <is>
          <t>Custo Mercadoria Vendida</t>
        </is>
      </c>
      <c r="M1391" t="inlineStr">
        <is>
          <t>Insumos - Alimentos</t>
        </is>
      </c>
      <c r="N1391" t="inlineStr">
        <is>
          <t>374653</t>
        </is>
      </c>
      <c r="O1391" t="inlineStr">
        <is>
          <t>Documentação Aprovada</t>
        </is>
      </c>
      <c r="P1391" t="inlineStr">
        <is>
          <t>Aprovado Diretoria</t>
        </is>
      </c>
      <c r="Q1391" t="inlineStr">
        <is>
          <t>Aprovado Caixa</t>
        </is>
      </c>
      <c r="R1391" t="inlineStr">
        <is>
          <t>Pago</t>
        </is>
      </c>
      <c r="S1391" t="n">
        <v>182</v>
      </c>
      <c r="T1391" t="inlineStr">
        <is>
          <t>Love - Shibari - Kamino</t>
        </is>
      </c>
    </row>
    <row r="1392">
      <c r="A1392" t="n">
        <v>147804</v>
      </c>
      <c r="B1392" t="n">
        <v>128</v>
      </c>
      <c r="C1392" t="inlineStr">
        <is>
          <t>Love Cabaret</t>
        </is>
      </c>
      <c r="D1392" t="inlineStr">
        <is>
          <t>FLAVIO RODRIGUES DE MOURA</t>
        </is>
      </c>
      <c r="E1392" t="n">
        <v>1000</v>
      </c>
      <c r="F1392" s="27" t="n">
        <v>45870</v>
      </c>
      <c r="G1392" s="27" t="n">
        <v>45868</v>
      </c>
      <c r="H1392" s="27" t="n">
        <v>45868</v>
      </c>
      <c r="I1392" s="27" t="n">
        <v>45855</v>
      </c>
      <c r="J1392" s="27" t="n">
        <v>45856</v>
      </c>
      <c r="K1392" t="inlineStr">
        <is>
          <t>Transferência Bancária ou Pix</t>
        </is>
      </c>
      <c r="L1392" t="inlineStr">
        <is>
          <t>Custos Artístico Geral</t>
        </is>
      </c>
      <c r="M1392" t="inlineStr">
        <is>
          <t>Cachê de Músicos e Artistas</t>
        </is>
      </c>
      <c r="N1392" t="inlineStr">
        <is>
          <t>1000072025</t>
        </is>
      </c>
      <c r="O1392" t="inlineStr">
        <is>
          <t>Documentação Aprovada</t>
        </is>
      </c>
      <c r="P1392" t="inlineStr">
        <is>
          <t>Aprovado Diretoria</t>
        </is>
      </c>
      <c r="Q1392" t="inlineStr">
        <is>
          <t>Aprovado Caixa</t>
        </is>
      </c>
      <c r="R1392" t="inlineStr">
        <is>
          <t>Pago</t>
        </is>
      </c>
      <c r="S1392" t="n">
        <v>182</v>
      </c>
      <c r="T1392" t="inlineStr">
        <is>
          <t>Love - Shibari - Kamino</t>
        </is>
      </c>
    </row>
    <row r="1393">
      <c r="A1393" t="n">
        <v>147913</v>
      </c>
      <c r="B1393" t="n">
        <v>128</v>
      </c>
      <c r="C1393" t="inlineStr">
        <is>
          <t>Love Cabaret</t>
        </is>
      </c>
      <c r="D1393" t="inlineStr">
        <is>
          <t>AGENC PUBLICIDADE LTD</t>
        </is>
      </c>
      <c r="E1393" t="n">
        <v>500</v>
      </c>
      <c r="F1393" s="27" t="n">
        <v>45869</v>
      </c>
      <c r="G1393" s="27" t="n">
        <v>45868</v>
      </c>
      <c r="H1393" s="27" t="n">
        <v>45868</v>
      </c>
      <c r="I1393" s="27" t="n">
        <v>45856</v>
      </c>
      <c r="J1393" s="27" t="n">
        <v>45856</v>
      </c>
      <c r="K1393" t="inlineStr">
        <is>
          <t>Transferência Bancária ou Pix</t>
        </is>
      </c>
      <c r="L1393" t="inlineStr">
        <is>
          <t>Custos Artístico Geral</t>
        </is>
      </c>
      <c r="M1393" t="inlineStr">
        <is>
          <t>MDO Terceirizada - Artístico</t>
        </is>
      </c>
      <c r="N1393" t="inlineStr">
        <is>
          <t>119</t>
        </is>
      </c>
      <c r="O1393" t="inlineStr">
        <is>
          <t>Documentação Aprovada</t>
        </is>
      </c>
      <c r="P1393" t="inlineStr">
        <is>
          <t>Aprovado Diretoria</t>
        </is>
      </c>
      <c r="Q1393" t="inlineStr">
        <is>
          <t>Aprovado Caixa</t>
        </is>
      </c>
      <c r="R1393" t="inlineStr">
        <is>
          <t>Pago</t>
        </is>
      </c>
      <c r="S1393" t="n">
        <v>182</v>
      </c>
      <c r="T1393" t="inlineStr">
        <is>
          <t>Love - Shibari - Kamino</t>
        </is>
      </c>
    </row>
    <row r="1394">
      <c r="A1394" t="n">
        <v>145548</v>
      </c>
      <c r="B1394" t="n">
        <v>128</v>
      </c>
      <c r="C1394" t="inlineStr">
        <is>
          <t>Love Cabaret</t>
        </is>
      </c>
      <c r="D1394" t="inlineStr">
        <is>
          <t>LUIZ ROBERTO DA SILVA JUNIOR</t>
        </is>
      </c>
      <c r="E1394" t="n">
        <v>1000</v>
      </c>
      <c r="F1394" s="27" t="n">
        <v>45870</v>
      </c>
      <c r="G1394" s="27" t="n">
        <v>45868</v>
      </c>
      <c r="H1394" s="27" t="n">
        <v>45868</v>
      </c>
      <c r="I1394" s="27" t="n">
        <v>45855</v>
      </c>
      <c r="J1394" s="27" t="n">
        <v>45847</v>
      </c>
      <c r="K1394" t="inlineStr">
        <is>
          <t>Transferência Bancária ou Pix</t>
        </is>
      </c>
      <c r="L1394" t="inlineStr">
        <is>
          <t>Custos Artístico Geral</t>
        </is>
      </c>
      <c r="M1394" t="inlineStr">
        <is>
          <t>Locação de Equipamentos Fixo</t>
        </is>
      </c>
      <c r="N1394" t="inlineStr">
        <is>
          <t>662025</t>
        </is>
      </c>
      <c r="O1394" t="inlineStr">
        <is>
          <t>Documentação Aprovada</t>
        </is>
      </c>
      <c r="P1394" t="inlineStr">
        <is>
          <t>Aprovado Diretoria</t>
        </is>
      </c>
      <c r="Q1394" t="inlineStr">
        <is>
          <t>Aprovado Caixa</t>
        </is>
      </c>
      <c r="R1394" t="inlineStr">
        <is>
          <t>Pago</t>
        </is>
      </c>
      <c r="S1394" t="n">
        <v>182</v>
      </c>
      <c r="T1394" t="inlineStr">
        <is>
          <t>Love - Shibari - Kamino</t>
        </is>
      </c>
    </row>
    <row r="1395">
      <c r="A1395" t="n">
        <v>144089</v>
      </c>
      <c r="B1395" t="n">
        <v>128</v>
      </c>
      <c r="C1395" t="inlineStr">
        <is>
          <t>Love Cabaret</t>
        </is>
      </c>
      <c r="D1395" t="inlineStr">
        <is>
          <t>HORTICLEAN DISTRIBUIDORA DE HORTIFRUTI LTDA</t>
        </is>
      </c>
      <c r="E1395" t="n">
        <v>350.26</v>
      </c>
      <c r="F1395" s="27" t="n">
        <v>45870</v>
      </c>
      <c r="G1395" s="27" t="n">
        <v>45868</v>
      </c>
      <c r="H1395" s="27" t="n">
        <v>45868</v>
      </c>
      <c r="I1395" s="27" t="n">
        <v>45842</v>
      </c>
      <c r="J1395" s="27" t="n">
        <v>45842</v>
      </c>
      <c r="K1395" t="inlineStr">
        <is>
          <t>Boleto Bancário</t>
        </is>
      </c>
      <c r="L1395" t="inlineStr">
        <is>
          <t>Custo Mercadoria Vendida</t>
        </is>
      </c>
      <c r="M1395" t="inlineStr">
        <is>
          <t>Insumos - Alimentos</t>
        </is>
      </c>
      <c r="N1395" t="inlineStr">
        <is>
          <t>27186</t>
        </is>
      </c>
      <c r="O1395" t="inlineStr">
        <is>
          <t>Documentação Aprovada</t>
        </is>
      </c>
      <c r="P1395" t="inlineStr">
        <is>
          <t>Aprovado Diretoria</t>
        </is>
      </c>
      <c r="Q1395" t="inlineStr">
        <is>
          <t>Aprovado Caixa</t>
        </is>
      </c>
      <c r="R1395" t="inlineStr">
        <is>
          <t>Pago</t>
        </is>
      </c>
      <c r="S1395" t="n">
        <v>182</v>
      </c>
      <c r="T1395" t="inlineStr">
        <is>
          <t>Love - Shibari - Kamino</t>
        </is>
      </c>
    </row>
    <row r="1396">
      <c r="A1396" t="n">
        <v>144078</v>
      </c>
      <c r="B1396" t="n">
        <v>128</v>
      </c>
      <c r="C1396" t="inlineStr">
        <is>
          <t>Love Cabaret</t>
        </is>
      </c>
      <c r="D1396" t="inlineStr">
        <is>
          <t xml:space="preserve">EMPORIO MEL </t>
        </is>
      </c>
      <c r="E1396" t="n">
        <v>672.47</v>
      </c>
      <c r="F1396" s="27" t="n">
        <v>45869</v>
      </c>
      <c r="G1396" s="27" t="n">
        <v>45868</v>
      </c>
      <c r="H1396" s="27" t="n">
        <v>45868</v>
      </c>
      <c r="I1396" s="27" t="n">
        <v>45838</v>
      </c>
      <c r="J1396" s="27" t="n">
        <v>45842</v>
      </c>
      <c r="K1396" t="inlineStr">
        <is>
          <t>Boleto Bancário</t>
        </is>
      </c>
      <c r="L1396" t="inlineStr">
        <is>
          <t>Custo Mercadoria Vendida</t>
        </is>
      </c>
      <c r="M1396" t="inlineStr">
        <is>
          <t>Insumos - Alimentos</t>
        </is>
      </c>
      <c r="N1396" t="inlineStr">
        <is>
          <t>458817</t>
        </is>
      </c>
      <c r="O1396" t="inlineStr">
        <is>
          <t>Documentação Aprovada</t>
        </is>
      </c>
      <c r="P1396" t="inlineStr">
        <is>
          <t>Aprovado Diretoria</t>
        </is>
      </c>
      <c r="Q1396" t="inlineStr">
        <is>
          <t>Aprovado Caixa</t>
        </is>
      </c>
      <c r="R1396" t="inlineStr">
        <is>
          <t>Pago</t>
        </is>
      </c>
      <c r="S1396" t="n">
        <v>182</v>
      </c>
      <c r="T1396" t="inlineStr">
        <is>
          <t>Love - Shibari - Kamino</t>
        </is>
      </c>
    </row>
    <row r="1397">
      <c r="A1397" t="n">
        <v>144077</v>
      </c>
      <c r="B1397" t="n">
        <v>128</v>
      </c>
      <c r="C1397" t="inlineStr">
        <is>
          <t>Love Cabaret</t>
        </is>
      </c>
      <c r="D1397" t="inlineStr">
        <is>
          <t xml:space="preserve">EMPORIO MEL </t>
        </is>
      </c>
      <c r="E1397" t="n">
        <v>1577.34</v>
      </c>
      <c r="F1397" s="27" t="n">
        <v>45869</v>
      </c>
      <c r="G1397" s="27" t="n">
        <v>45868</v>
      </c>
      <c r="H1397" s="27" t="n">
        <v>45868</v>
      </c>
      <c r="I1397" s="27" t="n">
        <v>45838</v>
      </c>
      <c r="J1397" s="27" t="n">
        <v>45842</v>
      </c>
      <c r="K1397" t="inlineStr">
        <is>
          <t>Boleto Bancário</t>
        </is>
      </c>
      <c r="L1397" t="inlineStr">
        <is>
          <t>Custo Mercadoria Vendida</t>
        </is>
      </c>
      <c r="M1397" t="inlineStr">
        <is>
          <t>Insumos - Bebidas</t>
        </is>
      </c>
      <c r="N1397" t="inlineStr">
        <is>
          <t>458771</t>
        </is>
      </c>
      <c r="O1397" t="inlineStr">
        <is>
          <t>Documentação Aprovada</t>
        </is>
      </c>
      <c r="P1397" t="inlineStr">
        <is>
          <t>Aprovado Diretoria</t>
        </is>
      </c>
      <c r="Q1397" t="inlineStr">
        <is>
          <t>Aprovado Caixa</t>
        </is>
      </c>
      <c r="R1397" t="inlineStr">
        <is>
          <t>Pago</t>
        </is>
      </c>
      <c r="S1397" t="n">
        <v>182</v>
      </c>
      <c r="T1397" t="inlineStr">
        <is>
          <t>Love - Shibari - Kamino</t>
        </is>
      </c>
    </row>
    <row r="1398">
      <c r="A1398" t="n">
        <v>146240</v>
      </c>
      <c r="B1398" t="n">
        <v>128</v>
      </c>
      <c r="C1398" t="inlineStr">
        <is>
          <t>Love Cabaret</t>
        </is>
      </c>
      <c r="D1398" t="inlineStr">
        <is>
          <t>VALE TRANSPORTE</t>
        </is>
      </c>
      <c r="E1398" t="n">
        <v>461.07</v>
      </c>
      <c r="F1398" s="27" t="n">
        <v>45869</v>
      </c>
      <c r="G1398" s="27" t="n">
        <v>45868</v>
      </c>
      <c r="H1398" s="27" t="n">
        <v>45868</v>
      </c>
      <c r="I1398" s="27" t="n">
        <v>45839</v>
      </c>
      <c r="J1398" s="27" t="n">
        <v>45852</v>
      </c>
      <c r="K1398" t="inlineStr">
        <is>
          <t>Boleto Bancário</t>
        </is>
      </c>
      <c r="L1398" t="inlineStr">
        <is>
          <t>Mão de Obra - Benefícios</t>
        </is>
      </c>
      <c r="M1398" t="inlineStr">
        <is>
          <t xml:space="preserve">  -  Vale-transporte</t>
        </is>
      </c>
      <c r="N1398" t="inlineStr">
        <is>
          <t>236125826</t>
        </is>
      </c>
      <c r="O1398" t="inlineStr">
        <is>
          <t>Documentação Aprovada</t>
        </is>
      </c>
      <c r="P1398" t="inlineStr">
        <is>
          <t>Aprovado Diretoria</t>
        </is>
      </c>
      <c r="Q1398" t="inlineStr">
        <is>
          <t>Aprovado Caixa</t>
        </is>
      </c>
      <c r="R1398" t="inlineStr">
        <is>
          <t>Pago</t>
        </is>
      </c>
      <c r="S1398" t="n">
        <v>182</v>
      </c>
      <c r="T1398" t="inlineStr">
        <is>
          <t>Love - Shibari - Kamino</t>
        </is>
      </c>
    </row>
    <row r="1399">
      <c r="A1399" t="n">
        <v>146127</v>
      </c>
      <c r="B1399" t="n">
        <v>128</v>
      </c>
      <c r="C1399" t="inlineStr">
        <is>
          <t>Love Cabaret</t>
        </is>
      </c>
      <c r="D1399" t="inlineStr">
        <is>
          <t>ROBERTA MARIA SANTANA</t>
        </is>
      </c>
      <c r="E1399" t="n">
        <v>7466.66</v>
      </c>
      <c r="F1399" s="27" t="n">
        <v>45869</v>
      </c>
      <c r="G1399" s="27" t="n">
        <v>45868</v>
      </c>
      <c r="H1399" s="27" t="n">
        <v>45868</v>
      </c>
      <c r="I1399" s="27" t="n">
        <v>45839</v>
      </c>
      <c r="J1399" s="27" t="n">
        <v>45852</v>
      </c>
      <c r="K1399" t="inlineStr">
        <is>
          <t>Transferência Bancária ou Pix</t>
        </is>
      </c>
      <c r="L1399" t="inlineStr">
        <is>
          <t>Mão de Obra - PJ</t>
        </is>
      </c>
      <c r="M1399" t="inlineStr">
        <is>
          <t>MDO PJ Fixo</t>
        </is>
      </c>
      <c r="N1399" t="inlineStr">
        <is>
          <t>16</t>
        </is>
      </c>
      <c r="O1399" t="inlineStr">
        <is>
          <t>Documentação Aprovada</t>
        </is>
      </c>
      <c r="P1399" t="inlineStr">
        <is>
          <t>Aprovado Diretoria</t>
        </is>
      </c>
      <c r="Q1399" t="inlineStr">
        <is>
          <t>Aprovado Caixa</t>
        </is>
      </c>
      <c r="R1399" t="inlineStr">
        <is>
          <t>Pago</t>
        </is>
      </c>
      <c r="S1399" t="n">
        <v>182</v>
      </c>
      <c r="T1399" t="inlineStr">
        <is>
          <t>Love - Shibari - Kamino</t>
        </is>
      </c>
    </row>
    <row r="1400">
      <c r="A1400" t="n">
        <v>145918</v>
      </c>
      <c r="B1400" t="n">
        <v>128</v>
      </c>
      <c r="C1400" t="inlineStr">
        <is>
          <t>Love Cabaret</t>
        </is>
      </c>
      <c r="D1400" t="inlineStr">
        <is>
          <t xml:space="preserve">EMPORIO MEL </t>
        </is>
      </c>
      <c r="E1400" t="n">
        <v>1179.76</v>
      </c>
      <c r="F1400" s="27" t="n">
        <v>45869</v>
      </c>
      <c r="G1400" s="27" t="n">
        <v>45868</v>
      </c>
      <c r="H1400" s="27" t="n">
        <v>45868</v>
      </c>
      <c r="I1400" s="27" t="n">
        <v>45845</v>
      </c>
      <c r="J1400" s="27" t="n">
        <v>45849</v>
      </c>
      <c r="K1400" t="inlineStr">
        <is>
          <t>Boleto Bancário</t>
        </is>
      </c>
      <c r="L1400" t="inlineStr">
        <is>
          <t>Custo Mercadoria Vendida</t>
        </is>
      </c>
      <c r="M1400" t="inlineStr">
        <is>
          <t>Insumos - Alimentos</t>
        </is>
      </c>
      <c r="N1400" t="inlineStr">
        <is>
          <t>460086</t>
        </is>
      </c>
      <c r="O1400" t="inlineStr">
        <is>
          <t>Documentação Aprovada</t>
        </is>
      </c>
      <c r="P1400" t="inlineStr">
        <is>
          <t>Aprovado Diretoria</t>
        </is>
      </c>
      <c r="Q1400" t="inlineStr">
        <is>
          <t>Aprovado Caixa</t>
        </is>
      </c>
      <c r="R1400" t="inlineStr">
        <is>
          <t>Pago</t>
        </is>
      </c>
      <c r="S1400" t="n">
        <v>182</v>
      </c>
      <c r="T1400" t="inlineStr">
        <is>
          <t>Love - Shibari - Kamino</t>
        </is>
      </c>
    </row>
    <row r="1401">
      <c r="A1401" t="n">
        <v>188460</v>
      </c>
      <c r="B1401" t="n">
        <v>128</v>
      </c>
      <c r="C1401" t="inlineStr">
        <is>
          <t>Love Cabaret</t>
        </is>
      </c>
      <c r="D1401" t="inlineStr">
        <is>
          <t>MERCADO PAGO.COM REPRESENTACOES LTDA</t>
        </is>
      </c>
      <c r="E1401" t="n">
        <v>41.6</v>
      </c>
      <c r="F1401" s="27" t="n">
        <v>45867</v>
      </c>
      <c r="G1401" s="27" t="n"/>
      <c r="H1401" s="27" t="n">
        <v>45867</v>
      </c>
      <c r="I1401" s="27" t="n">
        <v>45867</v>
      </c>
      <c r="J1401" s="27" t="n">
        <v>46026</v>
      </c>
      <c r="K1401" t="inlineStr">
        <is>
          <t>Transferência Bancária ou Pix</t>
        </is>
      </c>
      <c r="L1401" t="inlineStr">
        <is>
          <t>Utilidades</t>
        </is>
      </c>
      <c r="M1401" t="inlineStr">
        <is>
          <t>Utensilios</t>
        </is>
      </c>
      <c r="N1401" t="inlineStr">
        <is>
          <t>A VISTA 29072025</t>
        </is>
      </c>
      <c r="R1401" t="inlineStr">
        <is>
          <t>Pago</t>
        </is>
      </c>
      <c r="S1401" t="n">
        <v>182</v>
      </c>
      <c r="T1401" t="inlineStr">
        <is>
          <t>Love - Shibari - Kamino</t>
        </is>
      </c>
    </row>
    <row r="1402">
      <c r="A1402" t="n">
        <v>97486</v>
      </c>
      <c r="B1402" t="n">
        <v>128</v>
      </c>
      <c r="C1402" t="inlineStr">
        <is>
          <t>Love Cabaret</t>
        </is>
      </c>
      <c r="D1402" t="inlineStr">
        <is>
          <t>IRRF</t>
        </is>
      </c>
      <c r="E1402" t="n">
        <v>111.43</v>
      </c>
      <c r="F1402" s="27" t="n">
        <v>45858</v>
      </c>
      <c r="G1402" s="27" t="n">
        <v>45868</v>
      </c>
      <c r="H1402" s="27" t="n">
        <v>45867</v>
      </c>
      <c r="I1402" s="27" t="n">
        <v>45838</v>
      </c>
      <c r="J1402" s="27" t="n"/>
      <c r="K1402" t="inlineStr">
        <is>
          <t>Boleto Bancário</t>
        </is>
      </c>
      <c r="L1402" t="inlineStr">
        <is>
          <t>Serviços de Terceiros</t>
        </is>
      </c>
      <c r="M1402" t="inlineStr">
        <is>
          <t>Serviços de Segurança</t>
        </is>
      </c>
      <c r="N1402" t="inlineStr">
        <is>
          <t>062025</t>
        </is>
      </c>
      <c r="O1402" t="inlineStr">
        <is>
          <t>Documentação Aprovada</t>
        </is>
      </c>
      <c r="P1402" t="inlineStr">
        <is>
          <t>Aprovado Diretoria</t>
        </is>
      </c>
      <c r="Q1402" t="inlineStr">
        <is>
          <t>Aprovado Caixa</t>
        </is>
      </c>
      <c r="R1402" t="inlineStr">
        <is>
          <t>Pago</t>
        </is>
      </c>
      <c r="S1402" t="n">
        <v>182</v>
      </c>
      <c r="T1402" t="inlineStr">
        <is>
          <t>Love - Shibari - Kamino</t>
        </is>
      </c>
    </row>
    <row r="1403">
      <c r="A1403" t="n">
        <v>97441</v>
      </c>
      <c r="B1403" t="n">
        <v>128</v>
      </c>
      <c r="C1403" t="inlineStr">
        <is>
          <t>Love Cabaret</t>
        </is>
      </c>
      <c r="D1403" t="inlineStr">
        <is>
          <t xml:space="preserve">MINISTERIO DA FAZENDA </t>
        </is>
      </c>
      <c r="E1403" t="n">
        <v>163.47</v>
      </c>
      <c r="F1403" s="27" t="n">
        <v>45858</v>
      </c>
      <c r="G1403" s="27" t="n">
        <v>45868</v>
      </c>
      <c r="H1403" s="27" t="n">
        <v>45867</v>
      </c>
      <c r="I1403" s="27" t="n">
        <v>45838</v>
      </c>
      <c r="J1403" s="27" t="n"/>
      <c r="K1403" t="inlineStr">
        <is>
          <t>Boleto Bancário</t>
        </is>
      </c>
      <c r="L1403" t="inlineStr">
        <is>
          <t>Serviços de Terceiros</t>
        </is>
      </c>
      <c r="M1403" t="inlineStr">
        <is>
          <t>Serviços de Segurança</t>
        </is>
      </c>
      <c r="N1403" t="inlineStr">
        <is>
          <t>062025</t>
        </is>
      </c>
      <c r="O1403" t="inlineStr">
        <is>
          <t>Documentação Aprovada</t>
        </is>
      </c>
      <c r="P1403" t="inlineStr">
        <is>
          <t>Aprovado Diretoria</t>
        </is>
      </c>
      <c r="Q1403" t="inlineStr">
        <is>
          <t>Aprovado Caixa</t>
        </is>
      </c>
      <c r="R1403" t="inlineStr">
        <is>
          <t>Pago</t>
        </is>
      </c>
      <c r="S1403" t="n">
        <v>182</v>
      </c>
      <c r="T1403" t="inlineStr">
        <is>
          <t>Love - Shibari - Kamino</t>
        </is>
      </c>
    </row>
    <row r="1404">
      <c r="A1404" t="n">
        <v>97458</v>
      </c>
      <c r="B1404" t="n">
        <v>128</v>
      </c>
      <c r="C1404" t="inlineStr">
        <is>
          <t>Love Cabaret</t>
        </is>
      </c>
      <c r="D1404" t="inlineStr">
        <is>
          <t>INSS</t>
        </is>
      </c>
      <c r="E1404" t="n">
        <v>705.65</v>
      </c>
      <c r="F1404" s="27" t="n">
        <v>45858</v>
      </c>
      <c r="G1404" s="27" t="n">
        <v>45868</v>
      </c>
      <c r="H1404" s="27" t="n">
        <v>45867</v>
      </c>
      <c r="I1404" s="27" t="n">
        <v>45827</v>
      </c>
      <c r="J1404" s="27" t="n"/>
      <c r="K1404" t="inlineStr">
        <is>
          <t>Boleto Bancário</t>
        </is>
      </c>
      <c r="L1404" t="inlineStr">
        <is>
          <t>Serviços de Terceiros</t>
        </is>
      </c>
      <c r="M1404" t="inlineStr">
        <is>
          <t>Serviços de Segurança</t>
        </is>
      </c>
      <c r="N1404" t="inlineStr">
        <is>
          <t>062025</t>
        </is>
      </c>
      <c r="O1404" t="inlineStr">
        <is>
          <t>Documentação Aprovada</t>
        </is>
      </c>
      <c r="P1404" t="inlineStr">
        <is>
          <t>Aprovado Diretoria</t>
        </is>
      </c>
      <c r="Q1404" t="inlineStr">
        <is>
          <t>Aprovado Caixa</t>
        </is>
      </c>
      <c r="R1404" t="inlineStr">
        <is>
          <t>Pago</t>
        </is>
      </c>
      <c r="S1404" t="n">
        <v>182</v>
      </c>
      <c r="T1404" t="inlineStr">
        <is>
          <t>Love - Shibari - Kamino</t>
        </is>
      </c>
    </row>
    <row r="1405">
      <c r="A1405" t="n">
        <v>97366</v>
      </c>
      <c r="B1405" t="n">
        <v>128</v>
      </c>
      <c r="C1405" t="inlineStr">
        <is>
          <t>Love Cabaret</t>
        </is>
      </c>
      <c r="D1405" t="inlineStr">
        <is>
          <t xml:space="preserve">EDIMAR MOURA TARTAGLIONI SERVICOES DE DEDETIZACAO </t>
        </is>
      </c>
      <c r="E1405" t="n">
        <v>630</v>
      </c>
      <c r="F1405" s="27" t="n">
        <v>45868</v>
      </c>
      <c r="G1405" s="27" t="n">
        <v>45866</v>
      </c>
      <c r="H1405" s="27" t="n">
        <v>45866</v>
      </c>
      <c r="I1405" s="27" t="n">
        <v>45843</v>
      </c>
      <c r="J1405" s="27" t="n"/>
      <c r="K1405" t="inlineStr">
        <is>
          <t>Transferência Bancária ou Pix</t>
        </is>
      </c>
      <c r="L1405" t="inlineStr">
        <is>
          <t>Utilidades</t>
        </is>
      </c>
      <c r="M1405" t="inlineStr">
        <is>
          <t>Controle de Pragas</t>
        </is>
      </c>
      <c r="N1405" t="inlineStr">
        <is>
          <t>558</t>
        </is>
      </c>
      <c r="O1405" t="inlineStr">
        <is>
          <t>Documentação Aprovada</t>
        </is>
      </c>
      <c r="P1405" t="inlineStr">
        <is>
          <t>Aprovado Diretoria</t>
        </is>
      </c>
      <c r="Q1405" t="inlineStr">
        <is>
          <t>Aprovado Caixa</t>
        </is>
      </c>
      <c r="R1405" t="inlineStr">
        <is>
          <t>Pago</t>
        </is>
      </c>
      <c r="S1405" t="n">
        <v>182</v>
      </c>
      <c r="T1405" t="inlineStr">
        <is>
          <t>Love - Shibari - Kamino</t>
        </is>
      </c>
    </row>
    <row r="1406">
      <c r="A1406" t="n">
        <v>97380</v>
      </c>
      <c r="B1406" t="n">
        <v>128</v>
      </c>
      <c r="C1406" t="inlineStr">
        <is>
          <t>Love Cabaret</t>
        </is>
      </c>
      <c r="D1406" t="inlineStr">
        <is>
          <t>EBM ADVOGADOS - MATECKI SOCIEDADE INDIVIDUAL DE ADVOCACIA</t>
        </is>
      </c>
      <c r="E1406" t="n">
        <v>3200</v>
      </c>
      <c r="F1406" s="27" t="n">
        <v>45868</v>
      </c>
      <c r="G1406" s="27" t="n">
        <v>45866</v>
      </c>
      <c r="H1406" s="27" t="n">
        <v>45866</v>
      </c>
      <c r="I1406" s="27" t="n">
        <v>45853</v>
      </c>
      <c r="J1406" s="27" t="n"/>
      <c r="K1406" t="inlineStr">
        <is>
          <t>Transferência Bancária ou Pix</t>
        </is>
      </c>
      <c r="L1406" t="inlineStr">
        <is>
          <t>Serviços de Terceiros</t>
        </is>
      </c>
      <c r="M1406" t="inlineStr">
        <is>
          <t>Assessoria Jurídica</t>
        </is>
      </c>
      <c r="N1406" t="inlineStr">
        <is>
          <t>692025</t>
        </is>
      </c>
      <c r="O1406" t="inlineStr">
        <is>
          <t>Documentação Aprovada</t>
        </is>
      </c>
      <c r="P1406" t="inlineStr">
        <is>
          <t>Aprovado Diretoria</t>
        </is>
      </c>
      <c r="Q1406" t="inlineStr">
        <is>
          <t>Aprovado Caixa</t>
        </is>
      </c>
      <c r="R1406" t="inlineStr">
        <is>
          <t>Pago</t>
        </is>
      </c>
      <c r="S1406" t="n">
        <v>182</v>
      </c>
      <c r="T1406" t="inlineStr">
        <is>
          <t>Love - Shibari - Kamino</t>
        </is>
      </c>
    </row>
    <row r="1407">
      <c r="A1407" t="n">
        <v>102964</v>
      </c>
      <c r="B1407" t="n">
        <v>128</v>
      </c>
      <c r="C1407" t="inlineStr">
        <is>
          <t>Love Cabaret</t>
        </is>
      </c>
      <c r="D1407" t="inlineStr">
        <is>
          <t>STAR COPIAS COMERCIO E SERVICOS LTDA</t>
        </is>
      </c>
      <c r="E1407" t="n">
        <v>220</v>
      </c>
      <c r="F1407" s="27" t="n">
        <v>45866</v>
      </c>
      <c r="G1407" s="27" t="n">
        <v>45866</v>
      </c>
      <c r="H1407" s="27" t="n">
        <v>45866</v>
      </c>
      <c r="I1407" s="27" t="n">
        <v>45858</v>
      </c>
      <c r="J1407" s="27" t="n"/>
      <c r="K1407" t="inlineStr">
        <is>
          <t>Boleto Bancário</t>
        </is>
      </c>
      <c r="L1407" t="inlineStr">
        <is>
          <t>Locação de Equipamentos</t>
        </is>
      </c>
      <c r="M1407" t="inlineStr">
        <is>
          <t>Locação de Equipamentos - Informatica e TI</t>
        </is>
      </c>
      <c r="N1407" t="inlineStr">
        <is>
          <t>4284</t>
        </is>
      </c>
      <c r="O1407" t="inlineStr">
        <is>
          <t>Documentação Aprovada</t>
        </is>
      </c>
      <c r="P1407" t="inlineStr">
        <is>
          <t>Aprovado Diretoria</t>
        </is>
      </c>
      <c r="Q1407" t="inlineStr">
        <is>
          <t>Aprovado Caixa</t>
        </is>
      </c>
      <c r="R1407" t="inlineStr">
        <is>
          <t>Pago</t>
        </is>
      </c>
      <c r="S1407" t="n">
        <v>182</v>
      </c>
      <c r="T1407" t="inlineStr">
        <is>
          <t>Love - Shibari - Kamino</t>
        </is>
      </c>
    </row>
    <row r="1408">
      <c r="A1408" t="n">
        <v>102809</v>
      </c>
      <c r="B1408" t="n">
        <v>128</v>
      </c>
      <c r="C1408" t="inlineStr">
        <is>
          <t>Love Cabaret</t>
        </is>
      </c>
      <c r="D1408" t="inlineStr">
        <is>
          <t>FREE SOM - LOCACAO DE SOM E  LUZ LTDA - TUKASON</t>
        </is>
      </c>
      <c r="E1408" t="n">
        <v>6000</v>
      </c>
      <c r="F1408" s="27" t="n">
        <v>45868</v>
      </c>
      <c r="G1408" s="27" t="n">
        <v>45866</v>
      </c>
      <c r="H1408" s="27" t="n">
        <v>45866</v>
      </c>
      <c r="I1408" s="27" t="n">
        <v>45851</v>
      </c>
      <c r="J1408" s="27" t="n"/>
      <c r="K1408" t="inlineStr">
        <is>
          <t>Boleto Bancário</t>
        </is>
      </c>
      <c r="L1408" t="inlineStr">
        <is>
          <t>Custos Artístico Geral</t>
        </is>
      </c>
      <c r="M1408" t="inlineStr">
        <is>
          <t>Locação de Equipamentos Fixo</t>
        </is>
      </c>
      <c r="N1408" t="inlineStr">
        <is>
          <t>0513</t>
        </is>
      </c>
      <c r="O1408" t="inlineStr">
        <is>
          <t>Documentação Aprovada</t>
        </is>
      </c>
      <c r="P1408" t="inlineStr">
        <is>
          <t>Aprovado Diretoria</t>
        </is>
      </c>
      <c r="Q1408" t="inlineStr">
        <is>
          <t>Aprovado Caixa</t>
        </is>
      </c>
      <c r="R1408" t="inlineStr">
        <is>
          <t>Pago</t>
        </is>
      </c>
      <c r="S1408" t="n">
        <v>182</v>
      </c>
      <c r="T1408" t="inlineStr">
        <is>
          <t>Love - Shibari - Kamino</t>
        </is>
      </c>
    </row>
    <row r="1409">
      <c r="A1409" t="n">
        <v>84046</v>
      </c>
      <c r="B1409" t="n">
        <v>128</v>
      </c>
      <c r="C1409" t="inlineStr">
        <is>
          <t>Love Cabaret</t>
        </is>
      </c>
      <c r="D1409" t="inlineStr">
        <is>
          <t>CSLL</t>
        </is>
      </c>
      <c r="E1409" t="n">
        <v>998.5700000000001</v>
      </c>
      <c r="F1409" s="27" t="n">
        <v>45868</v>
      </c>
      <c r="G1409" s="27" t="n">
        <v>45866</v>
      </c>
      <c r="H1409" s="27" t="n">
        <v>45866</v>
      </c>
      <c r="I1409" s="27" t="n">
        <v>45599</v>
      </c>
      <c r="J1409" s="27" t="n"/>
      <c r="K1409" t="inlineStr">
        <is>
          <t>Boleto Bancário</t>
        </is>
      </c>
      <c r="L1409" t="inlineStr">
        <is>
          <t>Endividamento</t>
        </is>
      </c>
      <c r="M1409" t="inlineStr">
        <is>
          <t>Endividamento Geral</t>
        </is>
      </c>
      <c r="N1409" t="inlineStr">
        <is>
          <t>10/120</t>
        </is>
      </c>
      <c r="O1409" t="inlineStr">
        <is>
          <t>Documentação Aprovada</t>
        </is>
      </c>
      <c r="P1409" t="inlineStr">
        <is>
          <t>Aprovado Diretoria</t>
        </is>
      </c>
      <c r="Q1409" t="inlineStr">
        <is>
          <t>Aprovado Caixa</t>
        </is>
      </c>
      <c r="R1409" t="inlineStr">
        <is>
          <t>Pago</t>
        </is>
      </c>
      <c r="S1409" t="n">
        <v>182</v>
      </c>
      <c r="T1409" t="inlineStr">
        <is>
          <t>Love - Shibari - Kamino</t>
        </is>
      </c>
    </row>
    <row r="1410">
      <c r="A1410" t="n">
        <v>116086</v>
      </c>
      <c r="B1410" t="n">
        <v>128</v>
      </c>
      <c r="C1410" t="inlineStr">
        <is>
          <t>Love Cabaret</t>
        </is>
      </c>
      <c r="D1410" t="inlineStr">
        <is>
          <t xml:space="preserve">MINISTERIO DA FAZENDA </t>
        </is>
      </c>
      <c r="E1410" t="n">
        <v>20773.01</v>
      </c>
      <c r="F1410" s="27" t="n">
        <v>45868</v>
      </c>
      <c r="G1410" s="27" t="n">
        <v>45866</v>
      </c>
      <c r="H1410" s="27" t="n">
        <v>45866</v>
      </c>
      <c r="I1410" s="27" t="n">
        <v>45722</v>
      </c>
      <c r="J1410" s="27" t="n"/>
      <c r="K1410" t="inlineStr">
        <is>
          <t>Boleto Bancário</t>
        </is>
      </c>
      <c r="L1410" t="inlineStr">
        <is>
          <t>Endividamento</t>
        </is>
      </c>
      <c r="M1410" t="inlineStr">
        <is>
          <t>Endividamento Geral</t>
        </is>
      </c>
      <c r="N1410" t="inlineStr">
        <is>
          <t>5/60</t>
        </is>
      </c>
      <c r="O1410" t="inlineStr">
        <is>
          <t>Documentação Aprovada</t>
        </is>
      </c>
      <c r="P1410" t="inlineStr">
        <is>
          <t>Aprovado Diretoria</t>
        </is>
      </c>
      <c r="Q1410" t="inlineStr">
        <is>
          <t>Aprovado Caixa</t>
        </is>
      </c>
      <c r="R1410" t="inlineStr">
        <is>
          <t>Pago</t>
        </is>
      </c>
      <c r="S1410" t="n">
        <v>182</v>
      </c>
      <c r="T1410" t="inlineStr">
        <is>
          <t>Love - Shibari - Kamino</t>
        </is>
      </c>
    </row>
    <row r="1411">
      <c r="A1411" t="n">
        <v>48389</v>
      </c>
      <c r="B1411" t="n">
        <v>128</v>
      </c>
      <c r="C1411" t="inlineStr">
        <is>
          <t>Love Cabaret</t>
        </is>
      </c>
      <c r="D1411" t="inlineStr">
        <is>
          <t>ICMS</t>
        </is>
      </c>
      <c r="E1411" t="n">
        <v>797.59</v>
      </c>
      <c r="F1411" s="27" t="n">
        <v>45866</v>
      </c>
      <c r="G1411" s="27" t="n">
        <v>45866</v>
      </c>
      <c r="H1411" s="27" t="n">
        <v>45866</v>
      </c>
      <c r="I1411" s="27" t="n">
        <v>45366</v>
      </c>
      <c r="J1411" s="27" t="n"/>
      <c r="K1411" t="inlineStr">
        <is>
          <t>Boleto Bancário</t>
        </is>
      </c>
      <c r="L1411" t="inlineStr">
        <is>
          <t>Endividamento</t>
        </is>
      </c>
      <c r="M1411" t="inlineStr">
        <is>
          <t>Endividamento Geral</t>
        </is>
      </c>
      <c r="N1411" t="inlineStr">
        <is>
          <t>16/60</t>
        </is>
      </c>
      <c r="O1411" t="inlineStr">
        <is>
          <t>Documentação Aprovada</t>
        </is>
      </c>
      <c r="P1411" t="inlineStr">
        <is>
          <t>Aprovado Diretoria</t>
        </is>
      </c>
      <c r="Q1411" t="inlineStr">
        <is>
          <t>Aprovado Caixa</t>
        </is>
      </c>
      <c r="R1411" t="inlineStr">
        <is>
          <t>Pago</t>
        </is>
      </c>
      <c r="S1411" t="n">
        <v>182</v>
      </c>
      <c r="T1411" t="inlineStr">
        <is>
          <t>Love - Shibari - Kamino</t>
        </is>
      </c>
    </row>
    <row r="1412">
      <c r="A1412" t="n">
        <v>48363</v>
      </c>
      <c r="B1412" t="n">
        <v>128</v>
      </c>
      <c r="C1412" t="inlineStr">
        <is>
          <t>Love Cabaret</t>
        </is>
      </c>
      <c r="D1412" t="inlineStr">
        <is>
          <t xml:space="preserve">MINISTERIO DA FAZENDA </t>
        </is>
      </c>
      <c r="E1412" t="n">
        <v>585.9400000000001</v>
      </c>
      <c r="F1412" s="27" t="n">
        <v>45866</v>
      </c>
      <c r="G1412" s="27" t="n">
        <v>45866</v>
      </c>
      <c r="H1412" s="27" t="n">
        <v>45866</v>
      </c>
      <c r="I1412" s="27" t="n">
        <v>45366</v>
      </c>
      <c r="J1412" s="27" t="n"/>
      <c r="K1412" t="inlineStr">
        <is>
          <t>Boleto Bancário</t>
        </is>
      </c>
      <c r="L1412" t="inlineStr">
        <is>
          <t>Endividamento</t>
        </is>
      </c>
      <c r="M1412" t="inlineStr">
        <is>
          <t>Endividamento Geral</t>
        </is>
      </c>
      <c r="N1412" t="inlineStr">
        <is>
          <t>17/45</t>
        </is>
      </c>
      <c r="O1412" t="inlineStr">
        <is>
          <t>Documentação Aprovada</t>
        </is>
      </c>
      <c r="P1412" t="inlineStr">
        <is>
          <t>Aprovado Diretoria</t>
        </is>
      </c>
      <c r="Q1412" t="inlineStr">
        <is>
          <t>Aprovado Caixa</t>
        </is>
      </c>
      <c r="R1412" t="inlineStr">
        <is>
          <t>Pago</t>
        </is>
      </c>
      <c r="S1412" t="n">
        <v>182</v>
      </c>
      <c r="T1412" t="inlineStr">
        <is>
          <t>Love - Shibari - Kamino</t>
        </is>
      </c>
    </row>
    <row r="1413">
      <c r="A1413" t="n">
        <v>145924</v>
      </c>
      <c r="B1413" t="n">
        <v>128</v>
      </c>
      <c r="C1413" t="inlineStr">
        <is>
          <t>Love Cabaret</t>
        </is>
      </c>
      <c r="D1413" t="inlineStr">
        <is>
          <t>DTK COMERCIO DE ALIMENTOS LTDA</t>
        </is>
      </c>
      <c r="E1413" t="n">
        <v>619.4299999999999</v>
      </c>
      <c r="F1413" s="27" t="n">
        <v>45866</v>
      </c>
      <c r="G1413" s="27" t="n">
        <v>45866</v>
      </c>
      <c r="H1413" s="27" t="n">
        <v>45866</v>
      </c>
      <c r="I1413" s="27" t="n">
        <v>45845</v>
      </c>
      <c r="J1413" s="27" t="n">
        <v>45849</v>
      </c>
      <c r="K1413" t="inlineStr">
        <is>
          <t>Boleto Bancário</t>
        </is>
      </c>
      <c r="L1413" t="inlineStr">
        <is>
          <t>Custo Mercadoria Vendida</t>
        </is>
      </c>
      <c r="M1413" t="inlineStr">
        <is>
          <t>Insumos - Alimentos</t>
        </is>
      </c>
      <c r="N1413" t="inlineStr">
        <is>
          <t>35691</t>
        </is>
      </c>
      <c r="O1413" t="inlineStr">
        <is>
          <t>Documentação Aprovada</t>
        </is>
      </c>
      <c r="P1413" t="inlineStr">
        <is>
          <t>Aprovado Diretoria</t>
        </is>
      </c>
      <c r="Q1413" t="inlineStr">
        <is>
          <t>Aprovado Caixa</t>
        </is>
      </c>
      <c r="R1413" t="inlineStr">
        <is>
          <t>Pago</t>
        </is>
      </c>
      <c r="S1413" t="n">
        <v>182</v>
      </c>
      <c r="T1413" t="inlineStr">
        <is>
          <t>Love - Shibari - Kamino</t>
        </is>
      </c>
    </row>
    <row r="1414">
      <c r="A1414" t="n">
        <v>144079</v>
      </c>
      <c r="B1414" t="n">
        <v>128</v>
      </c>
      <c r="C1414" t="inlineStr">
        <is>
          <t>Love Cabaret</t>
        </is>
      </c>
      <c r="D1414" t="inlineStr">
        <is>
          <t>KING COMERCIO E IMPORTACAO DE BEBIDAS LTDA</t>
        </is>
      </c>
      <c r="E1414" t="n">
        <v>605.3099999999999</v>
      </c>
      <c r="F1414" s="27" t="n">
        <v>45866</v>
      </c>
      <c r="G1414" s="27" t="n">
        <v>45866</v>
      </c>
      <c r="H1414" s="27" t="n">
        <v>45866</v>
      </c>
      <c r="I1414" s="27" t="n">
        <v>45838</v>
      </c>
      <c r="J1414" s="27" t="n">
        <v>45842</v>
      </c>
      <c r="K1414" t="inlineStr">
        <is>
          <t>Boleto Bancário</t>
        </is>
      </c>
      <c r="L1414" t="inlineStr">
        <is>
          <t>Custo Mercadoria Vendida</t>
        </is>
      </c>
      <c r="M1414" t="inlineStr">
        <is>
          <t>Insumos - Bebidas</t>
        </is>
      </c>
      <c r="N1414" t="inlineStr">
        <is>
          <t>119083</t>
        </is>
      </c>
      <c r="O1414" t="inlineStr">
        <is>
          <t>Documentação Aprovada</t>
        </is>
      </c>
      <c r="P1414" t="inlineStr">
        <is>
          <t>Aprovado Diretoria</t>
        </is>
      </c>
      <c r="Q1414" t="inlineStr">
        <is>
          <t>Aprovado Caixa</t>
        </is>
      </c>
      <c r="R1414" t="inlineStr">
        <is>
          <t>Pago</t>
        </is>
      </c>
      <c r="S1414" t="n">
        <v>182</v>
      </c>
      <c r="T1414" t="inlineStr">
        <is>
          <t>Love - Shibari - Kamino</t>
        </is>
      </c>
    </row>
    <row r="1415">
      <c r="A1415" t="n">
        <v>145552</v>
      </c>
      <c r="B1415" t="n">
        <v>128</v>
      </c>
      <c r="C1415" t="inlineStr">
        <is>
          <t>Love Cabaret</t>
        </is>
      </c>
      <c r="D1415" t="inlineStr">
        <is>
          <t>MN INSTALACOES E REPARACOES INDUSTRIAIS LTDA</t>
        </is>
      </c>
      <c r="E1415" t="n">
        <v>4200</v>
      </c>
      <c r="F1415" s="27" t="n">
        <v>45866</v>
      </c>
      <c r="G1415" s="27" t="n">
        <v>45866</v>
      </c>
      <c r="H1415" s="27" t="n">
        <v>45866</v>
      </c>
      <c r="I1415" s="27" t="n">
        <v>45845</v>
      </c>
      <c r="J1415" s="27" t="n">
        <v>45847</v>
      </c>
      <c r="K1415" t="inlineStr">
        <is>
          <t>Boleto Bancário</t>
        </is>
      </c>
      <c r="L1415" t="inlineStr">
        <is>
          <t>Utilidades</t>
        </is>
      </c>
      <c r="M1415" t="inlineStr">
        <is>
          <t>Serviços de Limpeza</t>
        </is>
      </c>
      <c r="N1415" t="inlineStr">
        <is>
          <t>430</t>
        </is>
      </c>
      <c r="O1415" t="inlineStr">
        <is>
          <t>Documentação Aprovada</t>
        </is>
      </c>
      <c r="P1415" t="inlineStr">
        <is>
          <t>Aprovado Diretoria</t>
        </is>
      </c>
      <c r="Q1415" t="inlineStr">
        <is>
          <t>Aprovado Caixa</t>
        </is>
      </c>
      <c r="R1415" t="inlineStr">
        <is>
          <t>Pago</t>
        </is>
      </c>
      <c r="S1415" t="n">
        <v>182</v>
      </c>
      <c r="T1415" t="inlineStr">
        <is>
          <t>Love - Shibari - Kamino</t>
        </is>
      </c>
    </row>
    <row r="1416">
      <c r="A1416" t="n">
        <v>144071</v>
      </c>
      <c r="B1416" t="n">
        <v>128</v>
      </c>
      <c r="C1416" t="inlineStr">
        <is>
          <t>Love Cabaret</t>
        </is>
      </c>
      <c r="D1416" t="inlineStr">
        <is>
          <t>HORTICLEAN DISTRIBUIDORA DE HORTIFRUTI LTDA</t>
        </is>
      </c>
      <c r="E1416" t="n">
        <v>160.41</v>
      </c>
      <c r="F1416" s="27" t="n">
        <v>45867</v>
      </c>
      <c r="G1416" s="27" t="n">
        <v>45866</v>
      </c>
      <c r="H1416" s="27" t="n">
        <v>45866</v>
      </c>
      <c r="I1416" s="27" t="n">
        <v>45838</v>
      </c>
      <c r="J1416" s="27" t="n">
        <v>45842</v>
      </c>
      <c r="K1416" t="inlineStr">
        <is>
          <t>Boleto Bancário</t>
        </is>
      </c>
      <c r="L1416" t="inlineStr">
        <is>
          <t>Custo Mercadoria Vendida</t>
        </is>
      </c>
      <c r="M1416" t="inlineStr">
        <is>
          <t>Insumos - Alimentos</t>
        </is>
      </c>
      <c r="N1416" t="inlineStr">
        <is>
          <t>27157</t>
        </is>
      </c>
      <c r="O1416" t="inlineStr">
        <is>
          <t>Documentação Aprovada</t>
        </is>
      </c>
      <c r="P1416" t="inlineStr">
        <is>
          <t>Aprovado Diretoria</t>
        </is>
      </c>
      <c r="Q1416" t="inlineStr">
        <is>
          <t>Aprovado Caixa</t>
        </is>
      </c>
      <c r="R1416" t="inlineStr">
        <is>
          <t>Pago</t>
        </is>
      </c>
      <c r="S1416" t="n">
        <v>182</v>
      </c>
      <c r="T1416" t="inlineStr">
        <is>
          <t>Love - Shibari - Kamino</t>
        </is>
      </c>
    </row>
    <row r="1417">
      <c r="A1417" t="n">
        <v>144085</v>
      </c>
      <c r="B1417" t="n">
        <v>128</v>
      </c>
      <c r="C1417" t="inlineStr">
        <is>
          <t>Love Cabaret</t>
        </is>
      </c>
      <c r="D1417" t="inlineStr">
        <is>
          <t>PROAUTO INDUSTRIA QUIMICA EIRELI</t>
        </is>
      </c>
      <c r="E1417" t="n">
        <v>817.8099999999999</v>
      </c>
      <c r="F1417" s="27" t="n">
        <v>45866</v>
      </c>
      <c r="G1417" s="27" t="n">
        <v>45866</v>
      </c>
      <c r="H1417" s="27" t="n">
        <v>45866</v>
      </c>
      <c r="I1417" s="27" t="n">
        <v>45866</v>
      </c>
      <c r="J1417" s="27" t="n">
        <v>45842</v>
      </c>
      <c r="K1417" t="inlineStr">
        <is>
          <t>Boleto Bancário</t>
        </is>
      </c>
      <c r="L1417" t="inlineStr">
        <is>
          <t>Utilidades</t>
        </is>
      </c>
      <c r="M1417" t="inlineStr">
        <is>
          <t>Higiene e Limpeza</t>
        </is>
      </c>
      <c r="N1417" t="inlineStr">
        <is>
          <t>140356</t>
        </is>
      </c>
      <c r="O1417" t="inlineStr">
        <is>
          <t>Documentação Aprovada</t>
        </is>
      </c>
      <c r="P1417" t="inlineStr">
        <is>
          <t>Aprovado Diretoria</t>
        </is>
      </c>
      <c r="Q1417" t="inlineStr">
        <is>
          <t>Aprovado Caixa</t>
        </is>
      </c>
      <c r="R1417" t="inlineStr">
        <is>
          <t>Pago</t>
        </is>
      </c>
      <c r="S1417" t="n">
        <v>182</v>
      </c>
      <c r="T1417" t="inlineStr">
        <is>
          <t>Love - Shibari - Kamino</t>
        </is>
      </c>
    </row>
    <row r="1418">
      <c r="A1418" t="n">
        <v>147703</v>
      </c>
      <c r="B1418" t="n">
        <v>128</v>
      </c>
      <c r="C1418" t="inlineStr">
        <is>
          <t>Love Cabaret</t>
        </is>
      </c>
      <c r="D1418" t="inlineStr">
        <is>
          <t>HNK BR IND DE BEBIDAS</t>
        </is>
      </c>
      <c r="E1418" t="n">
        <v>2354.93</v>
      </c>
      <c r="F1418" s="27" t="n">
        <v>45868</v>
      </c>
      <c r="G1418" s="27" t="n">
        <v>45866</v>
      </c>
      <c r="H1418" s="27" t="n">
        <v>45866</v>
      </c>
      <c r="I1418" s="27" t="n">
        <v>45853</v>
      </c>
      <c r="J1418" s="27" t="n">
        <v>45855</v>
      </c>
      <c r="K1418" t="inlineStr">
        <is>
          <t>Boleto Bancário</t>
        </is>
      </c>
      <c r="L1418" t="inlineStr">
        <is>
          <t>Custo Mercadoria Vendida</t>
        </is>
      </c>
      <c r="M1418" t="inlineStr">
        <is>
          <t>Insumos - Bebidas</t>
        </is>
      </c>
      <c r="N1418" t="inlineStr">
        <is>
          <t>21445</t>
        </is>
      </c>
      <c r="O1418" t="inlineStr">
        <is>
          <t>Documentação Aprovada</t>
        </is>
      </c>
      <c r="P1418" t="inlineStr">
        <is>
          <t>Aprovado Diretoria</t>
        </is>
      </c>
      <c r="Q1418" t="inlineStr">
        <is>
          <t>Aprovado Caixa</t>
        </is>
      </c>
      <c r="R1418" t="inlineStr">
        <is>
          <t>Pago</t>
        </is>
      </c>
      <c r="S1418" t="n">
        <v>182</v>
      </c>
      <c r="T1418" t="inlineStr">
        <is>
          <t>Love - Shibari - Kamino</t>
        </is>
      </c>
    </row>
    <row r="1419">
      <c r="A1419" t="n">
        <v>147696</v>
      </c>
      <c r="B1419" t="n">
        <v>128</v>
      </c>
      <c r="C1419" t="inlineStr">
        <is>
          <t>Love Cabaret</t>
        </is>
      </c>
      <c r="D1419" t="inlineStr">
        <is>
          <t>ZAHIL IMPORTADORA LTDA</t>
        </is>
      </c>
      <c r="E1419" t="n">
        <v>880.54</v>
      </c>
      <c r="F1419" s="27" t="n">
        <v>45866</v>
      </c>
      <c r="G1419" s="27" t="n">
        <v>45866</v>
      </c>
      <c r="H1419" s="27" t="n">
        <v>45866</v>
      </c>
      <c r="I1419" s="27" t="n">
        <v>45849</v>
      </c>
      <c r="J1419" s="27" t="n">
        <v>45855</v>
      </c>
      <c r="K1419" t="inlineStr">
        <is>
          <t>Boleto Bancário</t>
        </is>
      </c>
      <c r="L1419" t="inlineStr">
        <is>
          <t>Custo Mercadoria Vendida</t>
        </is>
      </c>
      <c r="M1419" t="inlineStr">
        <is>
          <t>Insumos - Bebidas</t>
        </is>
      </c>
      <c r="N1419" t="inlineStr">
        <is>
          <t>251632</t>
        </is>
      </c>
      <c r="O1419" t="inlineStr">
        <is>
          <t>Documentação Aprovada</t>
        </is>
      </c>
      <c r="P1419" t="inlineStr">
        <is>
          <t>Aprovado Diretoria</t>
        </is>
      </c>
      <c r="Q1419" t="inlineStr">
        <is>
          <t>Aprovado Caixa</t>
        </is>
      </c>
      <c r="R1419" t="inlineStr">
        <is>
          <t>Pago</t>
        </is>
      </c>
      <c r="S1419" t="n">
        <v>182</v>
      </c>
      <c r="T1419" t="inlineStr">
        <is>
          <t>Love - Shibari - Kamino</t>
        </is>
      </c>
    </row>
    <row r="1420">
      <c r="A1420" t="n">
        <v>147698</v>
      </c>
      <c r="B1420" t="n">
        <v>128</v>
      </c>
      <c r="C1420" t="inlineStr">
        <is>
          <t>Love Cabaret</t>
        </is>
      </c>
      <c r="D1420" t="inlineStr">
        <is>
          <t>WPP COMERCIO DE CARNES LTDA</t>
        </is>
      </c>
      <c r="E1420" t="n">
        <v>813.53</v>
      </c>
      <c r="F1420" s="27" t="n">
        <v>45867</v>
      </c>
      <c r="G1420" s="27" t="n">
        <v>45866</v>
      </c>
      <c r="H1420" s="27" t="n">
        <v>45866</v>
      </c>
      <c r="I1420" s="27" t="n">
        <v>45853</v>
      </c>
      <c r="J1420" s="27" t="n">
        <v>45855</v>
      </c>
      <c r="K1420" t="inlineStr">
        <is>
          <t>Boleto Bancário</t>
        </is>
      </c>
      <c r="L1420" t="inlineStr">
        <is>
          <t>Custo Mercadoria Vendida</t>
        </is>
      </c>
      <c r="M1420" t="inlineStr">
        <is>
          <t>Insumos - Alimentos</t>
        </is>
      </c>
      <c r="N1420" t="inlineStr">
        <is>
          <t>73438</t>
        </is>
      </c>
      <c r="O1420" t="inlineStr">
        <is>
          <t>Documentação Aprovada</t>
        </is>
      </c>
      <c r="P1420" t="inlineStr">
        <is>
          <t>Aprovado Diretoria</t>
        </is>
      </c>
      <c r="Q1420" t="inlineStr">
        <is>
          <t>Aprovado Caixa</t>
        </is>
      </c>
      <c r="R1420" t="inlineStr">
        <is>
          <t>Pago</t>
        </is>
      </c>
      <c r="S1420" t="n">
        <v>182</v>
      </c>
      <c r="T1420" t="inlineStr">
        <is>
          <t>Love - Shibari - Kamino</t>
        </is>
      </c>
    </row>
    <row r="1421">
      <c r="A1421" t="n">
        <v>147677</v>
      </c>
      <c r="B1421" t="n">
        <v>128</v>
      </c>
      <c r="C1421" t="inlineStr">
        <is>
          <t>Love Cabaret</t>
        </is>
      </c>
      <c r="D1421" t="inlineStr">
        <is>
          <t>PROAUTO INDUSTRIA QUIMICA EIRELI</t>
        </is>
      </c>
      <c r="E1421" t="n">
        <v>2581.67</v>
      </c>
      <c r="F1421" s="27" t="n">
        <v>45868</v>
      </c>
      <c r="G1421" s="27" t="n">
        <v>45866</v>
      </c>
      <c r="H1421" s="27" t="n">
        <v>45866</v>
      </c>
      <c r="I1421" s="27" t="n">
        <v>45840</v>
      </c>
      <c r="J1421" s="27" t="n">
        <v>45855</v>
      </c>
      <c r="K1421" t="inlineStr">
        <is>
          <t>Boleto Bancário</t>
        </is>
      </c>
      <c r="L1421" t="inlineStr">
        <is>
          <t>Utilidades</t>
        </is>
      </c>
      <c r="M1421" t="inlineStr">
        <is>
          <t>Higiene e Limpeza</t>
        </is>
      </c>
      <c r="N1421" t="inlineStr">
        <is>
          <t>140458</t>
        </is>
      </c>
      <c r="O1421" t="inlineStr">
        <is>
          <t>Documentação Aprovada</t>
        </is>
      </c>
      <c r="P1421" t="inlineStr">
        <is>
          <t>Aprovado Diretoria</t>
        </is>
      </c>
      <c r="Q1421" t="inlineStr">
        <is>
          <t>Aprovado Caixa</t>
        </is>
      </c>
      <c r="R1421" t="inlineStr">
        <is>
          <t>Pago</t>
        </is>
      </c>
      <c r="S1421" t="n">
        <v>182</v>
      </c>
      <c r="T1421" t="inlineStr">
        <is>
          <t>Love - Shibari - Kamino</t>
        </is>
      </c>
    </row>
    <row r="1422">
      <c r="A1422" t="n">
        <v>147680</v>
      </c>
      <c r="B1422" t="n">
        <v>128</v>
      </c>
      <c r="C1422" t="inlineStr">
        <is>
          <t>Love Cabaret</t>
        </is>
      </c>
      <c r="D1422" t="inlineStr">
        <is>
          <t>ASSAZ ORGANICA INDUSTRIA E COMERCIO DE ALIMENTOS LTDA</t>
        </is>
      </c>
      <c r="E1422" t="n">
        <v>38.25</v>
      </c>
      <c r="F1422" s="27" t="n">
        <v>45868</v>
      </c>
      <c r="G1422" s="27" t="n">
        <v>45866</v>
      </c>
      <c r="H1422" s="27" t="n">
        <v>45866</v>
      </c>
      <c r="I1422" s="27" t="n">
        <v>45853</v>
      </c>
      <c r="J1422" s="27" t="n">
        <v>45855</v>
      </c>
      <c r="K1422" t="inlineStr">
        <is>
          <t>Boleto Bancário</t>
        </is>
      </c>
      <c r="L1422" t="inlineStr">
        <is>
          <t>Custo Mercadoria Vendida</t>
        </is>
      </c>
      <c r="M1422" t="inlineStr">
        <is>
          <t>Insumos - Alimentos</t>
        </is>
      </c>
      <c r="N1422" t="inlineStr">
        <is>
          <t>21846</t>
        </is>
      </c>
      <c r="O1422" t="inlineStr">
        <is>
          <t>Documentação Aprovada</t>
        </is>
      </c>
      <c r="P1422" t="inlineStr">
        <is>
          <t>Aprovado Diretoria</t>
        </is>
      </c>
      <c r="Q1422" t="inlineStr">
        <is>
          <t>Aprovado Caixa</t>
        </is>
      </c>
      <c r="R1422" t="inlineStr">
        <is>
          <t>Pago</t>
        </is>
      </c>
      <c r="S1422" t="n">
        <v>182</v>
      </c>
      <c r="T1422" t="inlineStr">
        <is>
          <t>Love - Shibari - Kamino</t>
        </is>
      </c>
    </row>
    <row r="1423">
      <c r="A1423" t="n">
        <v>147681</v>
      </c>
      <c r="B1423" t="n">
        <v>128</v>
      </c>
      <c r="C1423" t="inlineStr">
        <is>
          <t>Love Cabaret</t>
        </is>
      </c>
      <c r="D1423" t="inlineStr">
        <is>
          <t xml:space="preserve">FORTE ALIMENTOS COM. IMPORTAÇÃO LTDA </t>
        </is>
      </c>
      <c r="E1423" t="n">
        <v>589.5700000000001</v>
      </c>
      <c r="F1423" s="27" t="n">
        <v>45867</v>
      </c>
      <c r="G1423" s="27" t="n">
        <v>45866</v>
      </c>
      <c r="H1423" s="27" t="n">
        <v>45866</v>
      </c>
      <c r="I1423" s="27" t="n">
        <v>45852</v>
      </c>
      <c r="J1423" s="27" t="n">
        <v>45855</v>
      </c>
      <c r="K1423" t="inlineStr">
        <is>
          <t>Boleto Bancário</t>
        </is>
      </c>
      <c r="L1423" t="inlineStr">
        <is>
          <t>Custo Mercadoria Vendida</t>
        </is>
      </c>
      <c r="M1423" t="inlineStr">
        <is>
          <t>Insumos - Alimentos</t>
        </is>
      </c>
      <c r="N1423" t="inlineStr">
        <is>
          <t>321804</t>
        </is>
      </c>
      <c r="O1423" t="inlineStr">
        <is>
          <t>Documentação Aprovada</t>
        </is>
      </c>
      <c r="P1423" t="inlineStr">
        <is>
          <t>Aprovado Diretoria</t>
        </is>
      </c>
      <c r="Q1423" t="inlineStr">
        <is>
          <t>Aprovado Caixa</t>
        </is>
      </c>
      <c r="R1423" t="inlineStr">
        <is>
          <t>Pago</t>
        </is>
      </c>
      <c r="S1423" t="n">
        <v>182</v>
      </c>
      <c r="T1423" t="inlineStr">
        <is>
          <t>Love - Shibari - Kamino</t>
        </is>
      </c>
    </row>
    <row r="1424">
      <c r="A1424" t="n">
        <v>147683</v>
      </c>
      <c r="B1424" t="n">
        <v>128</v>
      </c>
      <c r="C1424" t="inlineStr">
        <is>
          <t>Love Cabaret</t>
        </is>
      </c>
      <c r="D1424" t="inlineStr">
        <is>
          <t>NOVA COMERCIAL DO PEIXE LTDA</t>
        </is>
      </c>
      <c r="E1424" t="n">
        <v>588</v>
      </c>
      <c r="F1424" s="27" t="n">
        <v>45866</v>
      </c>
      <c r="G1424" s="27" t="n">
        <v>45866</v>
      </c>
      <c r="H1424" s="27" t="n">
        <v>45866</v>
      </c>
      <c r="I1424" s="27" t="n">
        <v>45852</v>
      </c>
      <c r="J1424" s="27" t="n">
        <v>45855</v>
      </c>
      <c r="K1424" t="inlineStr">
        <is>
          <t>Boleto Bancário</t>
        </is>
      </c>
      <c r="L1424" t="inlineStr">
        <is>
          <t>Custo Mercadoria Vendida</t>
        </is>
      </c>
      <c r="M1424" t="inlineStr">
        <is>
          <t>Insumos - Alimentos</t>
        </is>
      </c>
      <c r="N1424" t="inlineStr">
        <is>
          <t>26272</t>
        </is>
      </c>
      <c r="O1424" t="inlineStr">
        <is>
          <t>Documentação Aprovada</t>
        </is>
      </c>
      <c r="P1424" t="inlineStr">
        <is>
          <t>Aprovado Diretoria</t>
        </is>
      </c>
      <c r="Q1424" t="inlineStr">
        <is>
          <t>Aprovado Caixa</t>
        </is>
      </c>
      <c r="R1424" t="inlineStr">
        <is>
          <t>Pago</t>
        </is>
      </c>
      <c r="S1424" t="n">
        <v>182</v>
      </c>
      <c r="T1424" t="inlineStr">
        <is>
          <t>Love - Shibari - Kamino</t>
        </is>
      </c>
    </row>
    <row r="1425">
      <c r="A1425" t="n">
        <v>147789</v>
      </c>
      <c r="B1425" t="n">
        <v>128</v>
      </c>
      <c r="C1425" t="inlineStr">
        <is>
          <t>Love Cabaret</t>
        </is>
      </c>
      <c r="D1425" t="inlineStr">
        <is>
          <t xml:space="preserve">FABRICIO LUMINATO ADRIANO </t>
        </is>
      </c>
      <c r="E1425" t="n">
        <v>387</v>
      </c>
      <c r="F1425" s="27" t="n">
        <v>45866</v>
      </c>
      <c r="G1425" s="27" t="n">
        <v>45866</v>
      </c>
      <c r="H1425" s="27" t="n">
        <v>45866</v>
      </c>
      <c r="I1425" s="27" t="n">
        <v>45859</v>
      </c>
      <c r="J1425" s="27" t="n">
        <v>45856</v>
      </c>
      <c r="K1425" t="inlineStr">
        <is>
          <t>Boleto Bancário</t>
        </is>
      </c>
      <c r="L1425" t="inlineStr">
        <is>
          <t>Custo Mercadoria Vendida</t>
        </is>
      </c>
      <c r="M1425" t="inlineStr">
        <is>
          <t>Insumos - Alimentos</t>
        </is>
      </c>
      <c r="N1425" t="inlineStr">
        <is>
          <t>18</t>
        </is>
      </c>
      <c r="O1425" t="inlineStr">
        <is>
          <t>Documentação Aprovada</t>
        </is>
      </c>
      <c r="P1425" t="inlineStr">
        <is>
          <t>Aprovado Diretoria</t>
        </is>
      </c>
      <c r="Q1425" t="inlineStr">
        <is>
          <t>Aprovado Caixa</t>
        </is>
      </c>
      <c r="R1425" t="inlineStr">
        <is>
          <t>Pago</t>
        </is>
      </c>
      <c r="S1425" t="n">
        <v>182</v>
      </c>
      <c r="T1425" t="inlineStr">
        <is>
          <t>Love - Shibari - Kamino</t>
        </is>
      </c>
    </row>
    <row r="1426">
      <c r="A1426" t="n">
        <v>147690</v>
      </c>
      <c r="B1426" t="n">
        <v>128</v>
      </c>
      <c r="C1426" t="inlineStr">
        <is>
          <t>Love Cabaret</t>
        </is>
      </c>
      <c r="D1426" t="inlineStr">
        <is>
          <t>CECILIA TSUYACO ARAKI SILVA LTDA</t>
        </is>
      </c>
      <c r="E1426" t="n">
        <v>372.1</v>
      </c>
      <c r="F1426" s="27" t="n">
        <v>45866</v>
      </c>
      <c r="G1426" s="27" t="n">
        <v>45866</v>
      </c>
      <c r="H1426" s="27" t="n">
        <v>45866</v>
      </c>
      <c r="I1426" s="27" t="n">
        <v>45852</v>
      </c>
      <c r="J1426" s="27" t="n">
        <v>45855</v>
      </c>
      <c r="K1426" t="inlineStr">
        <is>
          <t>Boleto Bancário</t>
        </is>
      </c>
      <c r="L1426" t="inlineStr">
        <is>
          <t>Custo Mercadoria Vendida</t>
        </is>
      </c>
      <c r="M1426" t="inlineStr">
        <is>
          <t>Insumos - Alimentos</t>
        </is>
      </c>
      <c r="N1426" t="inlineStr">
        <is>
          <t>374431</t>
        </is>
      </c>
      <c r="O1426" t="inlineStr">
        <is>
          <t>Documentação Aprovada</t>
        </is>
      </c>
      <c r="P1426" t="inlineStr">
        <is>
          <t>Aprovado Diretoria</t>
        </is>
      </c>
      <c r="Q1426" t="inlineStr">
        <is>
          <t>Aprovado Caixa</t>
        </is>
      </c>
      <c r="R1426" t="inlineStr">
        <is>
          <t>Pago</t>
        </is>
      </c>
      <c r="S1426" t="n">
        <v>182</v>
      </c>
      <c r="T1426" t="inlineStr">
        <is>
          <t>Love - Shibari - Kamino</t>
        </is>
      </c>
    </row>
    <row r="1427">
      <c r="A1427" t="n">
        <v>147808</v>
      </c>
      <c r="B1427" t="n">
        <v>128</v>
      </c>
      <c r="C1427" t="inlineStr">
        <is>
          <t>Love Cabaret</t>
        </is>
      </c>
      <c r="D1427" t="inlineStr">
        <is>
          <t>CEM ENGENHARIA DA MANUTENCAO LTDA</t>
        </is>
      </c>
      <c r="E1427" t="n">
        <v>638.73</v>
      </c>
      <c r="F1427" s="27" t="n">
        <v>45868</v>
      </c>
      <c r="G1427" s="27" t="n">
        <v>45866</v>
      </c>
      <c r="H1427" s="27" t="n">
        <v>45866</v>
      </c>
      <c r="I1427" s="27" t="n">
        <v>45854</v>
      </c>
      <c r="J1427" s="27" t="n">
        <v>45856</v>
      </c>
      <c r="K1427" t="inlineStr">
        <is>
          <t>Boleto Bancário</t>
        </is>
      </c>
      <c r="L1427" t="inlineStr">
        <is>
          <t>Manutenção</t>
        </is>
      </c>
      <c r="M1427" t="inlineStr">
        <is>
          <t>Material de Manutenção</t>
        </is>
      </c>
      <c r="N1427" t="inlineStr">
        <is>
          <t>2527</t>
        </is>
      </c>
      <c r="O1427" t="inlineStr">
        <is>
          <t>Documentação Aprovada</t>
        </is>
      </c>
      <c r="P1427" t="inlineStr">
        <is>
          <t>Aprovado Diretoria</t>
        </is>
      </c>
      <c r="Q1427" t="inlineStr">
        <is>
          <t>Aprovado Caixa</t>
        </is>
      </c>
      <c r="R1427" t="inlineStr">
        <is>
          <t>Pago</t>
        </is>
      </c>
      <c r="S1427" t="n">
        <v>182</v>
      </c>
      <c r="T1427" t="inlineStr">
        <is>
          <t>Love - Shibari - Kamino</t>
        </is>
      </c>
    </row>
    <row r="1428">
      <c r="A1428" t="n">
        <v>147691</v>
      </c>
      <c r="B1428" t="n">
        <v>128</v>
      </c>
      <c r="C1428" t="inlineStr">
        <is>
          <t>Love Cabaret</t>
        </is>
      </c>
      <c r="D1428" t="inlineStr">
        <is>
          <t xml:space="preserve">LATICINIOS FIOR DITALIA LTDA </t>
        </is>
      </c>
      <c r="E1428" t="n">
        <v>326.75</v>
      </c>
      <c r="F1428" s="27" t="n">
        <v>45868</v>
      </c>
      <c r="G1428" s="27" t="n">
        <v>45866</v>
      </c>
      <c r="H1428" s="27" t="n">
        <v>45866</v>
      </c>
      <c r="I1428" s="27" t="n">
        <v>45852</v>
      </c>
      <c r="J1428" s="27" t="n">
        <v>45855</v>
      </c>
      <c r="K1428" t="inlineStr">
        <is>
          <t>Boleto Bancário</t>
        </is>
      </c>
      <c r="L1428" t="inlineStr">
        <is>
          <t>Custo Mercadoria Vendida</t>
        </is>
      </c>
      <c r="M1428" t="inlineStr">
        <is>
          <t>Insumos - Alimentos</t>
        </is>
      </c>
      <c r="N1428" t="inlineStr">
        <is>
          <t>37591</t>
        </is>
      </c>
      <c r="O1428" t="inlineStr">
        <is>
          <t>Documentação Aprovada</t>
        </is>
      </c>
      <c r="P1428" t="inlineStr">
        <is>
          <t>Aprovado Diretoria</t>
        </is>
      </c>
      <c r="Q1428" t="inlineStr">
        <is>
          <t>Aprovado Caixa</t>
        </is>
      </c>
      <c r="R1428" t="inlineStr">
        <is>
          <t>Pago</t>
        </is>
      </c>
      <c r="S1428" t="n">
        <v>182</v>
      </c>
      <c r="T1428" t="inlineStr">
        <is>
          <t>Love - Shibari - Kamino</t>
        </is>
      </c>
    </row>
    <row r="1429">
      <c r="A1429" t="n">
        <v>147705</v>
      </c>
      <c r="B1429" t="n">
        <v>128</v>
      </c>
      <c r="C1429" t="inlineStr">
        <is>
          <t>Love Cabaret</t>
        </is>
      </c>
      <c r="D1429" t="inlineStr">
        <is>
          <t>PSSS LTDA</t>
        </is>
      </c>
      <c r="E1429" t="n">
        <v>228</v>
      </c>
      <c r="F1429" s="27" t="n">
        <v>45868</v>
      </c>
      <c r="G1429" s="27" t="n">
        <v>45866</v>
      </c>
      <c r="H1429" s="27" t="n">
        <v>45866</v>
      </c>
      <c r="I1429" s="27" t="n">
        <v>45854</v>
      </c>
      <c r="J1429" s="27" t="n">
        <v>45855</v>
      </c>
      <c r="K1429" t="inlineStr">
        <is>
          <t>Boleto Bancário</t>
        </is>
      </c>
      <c r="L1429" t="inlineStr">
        <is>
          <t>Utilidades</t>
        </is>
      </c>
      <c r="M1429" t="inlineStr">
        <is>
          <t>Higiene e Limpeza</t>
        </is>
      </c>
      <c r="N1429" t="inlineStr">
        <is>
          <t>1952</t>
        </is>
      </c>
      <c r="O1429" t="inlineStr">
        <is>
          <t>Documentação Aprovada</t>
        </is>
      </c>
      <c r="P1429" t="inlineStr">
        <is>
          <t>Aprovado Diretoria</t>
        </is>
      </c>
      <c r="Q1429" t="inlineStr">
        <is>
          <t>Aprovado Caixa</t>
        </is>
      </c>
      <c r="R1429" t="inlineStr">
        <is>
          <t>Pago</t>
        </is>
      </c>
      <c r="S1429" t="n">
        <v>182</v>
      </c>
      <c r="T1429" t="inlineStr">
        <is>
          <t>Love - Shibari - Kamino</t>
        </is>
      </c>
    </row>
    <row r="1430">
      <c r="A1430" t="n">
        <v>149432</v>
      </c>
      <c r="B1430" t="n">
        <v>128</v>
      </c>
      <c r="C1430" t="inlineStr">
        <is>
          <t>Love Cabaret</t>
        </is>
      </c>
      <c r="D1430" t="inlineStr">
        <is>
          <t xml:space="preserve">KAMINO INSTITUICAO DE PAGAMENTO LTDA </t>
        </is>
      </c>
      <c r="E1430" t="n">
        <v>2</v>
      </c>
      <c r="F1430" s="27" t="n">
        <v>45866</v>
      </c>
      <c r="G1430" s="27" t="n"/>
      <c r="H1430" s="27" t="n">
        <v>45866</v>
      </c>
      <c r="I1430" s="27" t="n">
        <v>45866</v>
      </c>
      <c r="J1430" s="27" t="n">
        <v>45867</v>
      </c>
      <c r="K1430" t="inlineStr">
        <is>
          <t>Encontro de Contas</t>
        </is>
      </c>
      <c r="L1430" t="inlineStr">
        <is>
          <t>Despesas Financeiras</t>
        </is>
      </c>
      <c r="M1430" t="inlineStr">
        <is>
          <t>Tarifas Bancárias</t>
        </is>
      </c>
      <c r="N1430" t="inlineStr">
        <is>
          <t>072025</t>
        </is>
      </c>
      <c r="P1430" t="inlineStr">
        <is>
          <t>Aprovado Diretoria</t>
        </is>
      </c>
      <c r="R1430" t="inlineStr">
        <is>
          <t>Pago</t>
        </is>
      </c>
    </row>
    <row r="1431">
      <c r="A1431" t="n">
        <v>142768</v>
      </c>
      <c r="B1431" t="n">
        <v>128</v>
      </c>
      <c r="C1431" t="inlineStr">
        <is>
          <t>Love Cabaret</t>
        </is>
      </c>
      <c r="D1431" t="inlineStr">
        <is>
          <t>PJ 00192022 - FELIPE FERREIRA FRANCA</t>
        </is>
      </c>
      <c r="E1431" t="n">
        <v>115</v>
      </c>
      <c r="F1431" s="27" t="n">
        <v>45866</v>
      </c>
      <c r="G1431" s="27" t="n">
        <v>45866</v>
      </c>
      <c r="H1431" s="27" t="n">
        <v>45866</v>
      </c>
      <c r="I1431" s="27" t="n">
        <v>45838</v>
      </c>
      <c r="J1431" s="27" t="n">
        <v>45839</v>
      </c>
      <c r="K1431" t="inlineStr">
        <is>
          <t>Transferência Bancária ou Pix</t>
        </is>
      </c>
      <c r="L1431" t="inlineStr">
        <is>
          <t>Utilidades</t>
        </is>
      </c>
      <c r="M1431" t="inlineStr">
        <is>
          <t>Material de Escritorio</t>
        </is>
      </c>
      <c r="N1431" t="inlineStr">
        <is>
          <t>582025</t>
        </is>
      </c>
      <c r="O1431" t="inlineStr">
        <is>
          <t>Documentação Aprovada</t>
        </is>
      </c>
      <c r="P1431" t="inlineStr">
        <is>
          <t>Aprovado Diretoria</t>
        </is>
      </c>
      <c r="Q1431" t="inlineStr">
        <is>
          <t>Aprovado Caixa</t>
        </is>
      </c>
      <c r="R1431" t="inlineStr">
        <is>
          <t>Pago</t>
        </is>
      </c>
      <c r="S1431" t="n">
        <v>182</v>
      </c>
      <c r="T1431" t="inlineStr">
        <is>
          <t>Love - Shibari - Kamino</t>
        </is>
      </c>
    </row>
    <row r="1432">
      <c r="A1432" t="n">
        <v>142766</v>
      </c>
      <c r="B1432" t="n">
        <v>128</v>
      </c>
      <c r="C1432" t="inlineStr">
        <is>
          <t>Love Cabaret</t>
        </is>
      </c>
      <c r="D1432" t="inlineStr">
        <is>
          <t xml:space="preserve">PJ 00452023 LAISA ROCHA LARANGEIRA </t>
        </is>
      </c>
      <c r="E1432" t="n">
        <v>56.96</v>
      </c>
      <c r="F1432" s="27" t="n">
        <v>45866</v>
      </c>
      <c r="G1432" s="27" t="n">
        <v>45866</v>
      </c>
      <c r="H1432" s="27" t="n">
        <v>45866</v>
      </c>
      <c r="I1432" s="27" t="n">
        <v>45838</v>
      </c>
      <c r="J1432" s="27" t="n">
        <v>45839</v>
      </c>
      <c r="K1432" t="inlineStr">
        <is>
          <t>Transferência Bancária ou Pix</t>
        </is>
      </c>
      <c r="L1432" t="inlineStr">
        <is>
          <t>Despesas com Transporte / Hospedagem</t>
        </is>
      </c>
      <c r="M1432" t="inlineStr">
        <is>
          <t>Conduções/Taxi/Uber</t>
        </is>
      </c>
      <c r="N1432" t="inlineStr">
        <is>
          <t>592025</t>
        </is>
      </c>
      <c r="O1432" t="inlineStr">
        <is>
          <t>Documentação Aprovada</t>
        </is>
      </c>
      <c r="P1432" t="inlineStr">
        <is>
          <t>Aprovado Diretoria</t>
        </is>
      </c>
      <c r="Q1432" t="inlineStr">
        <is>
          <t>Aprovado Caixa</t>
        </is>
      </c>
      <c r="R1432" t="inlineStr">
        <is>
          <t>Pago</t>
        </is>
      </c>
      <c r="S1432" t="n">
        <v>182</v>
      </c>
      <c r="T1432" t="inlineStr">
        <is>
          <t>Love - Shibari - Kamino</t>
        </is>
      </c>
    </row>
    <row r="1433">
      <c r="A1433" t="n">
        <v>149381</v>
      </c>
      <c r="B1433" t="n">
        <v>128</v>
      </c>
      <c r="C1433" t="inlineStr">
        <is>
          <t>Love Cabaret</t>
        </is>
      </c>
      <c r="D1433" t="inlineStr">
        <is>
          <t>BRADESCO SA</t>
        </is>
      </c>
      <c r="E1433" t="n">
        <v>9.800000000000001</v>
      </c>
      <c r="F1433" s="27" t="n">
        <v>45863</v>
      </c>
      <c r="G1433" s="27" t="n"/>
      <c r="H1433" s="27" t="n">
        <v>45863</v>
      </c>
      <c r="I1433" s="27" t="n">
        <v>45863</v>
      </c>
      <c r="J1433" s="27" t="n">
        <v>45867</v>
      </c>
      <c r="K1433" t="inlineStr">
        <is>
          <t>Encontro de Contas</t>
        </is>
      </c>
      <c r="L1433" t="inlineStr">
        <is>
          <t>Despesas Financeiras</t>
        </is>
      </c>
      <c r="M1433" t="inlineStr">
        <is>
          <t>Tarifas Bancárias</t>
        </is>
      </c>
      <c r="N1433" t="inlineStr">
        <is>
          <t>072025</t>
        </is>
      </c>
      <c r="P1433" t="inlineStr">
        <is>
          <t>Aprovado Diretoria</t>
        </is>
      </c>
      <c r="R1433" t="inlineStr">
        <is>
          <t>Pago</t>
        </is>
      </c>
    </row>
    <row r="1434">
      <c r="A1434" t="n">
        <v>145547</v>
      </c>
      <c r="B1434" t="n">
        <v>128</v>
      </c>
      <c r="C1434" t="inlineStr">
        <is>
          <t>Love Cabaret</t>
        </is>
      </c>
      <c r="D1434" t="inlineStr">
        <is>
          <t>LUIZ ROBERTO DA SILVA JUNIOR</t>
        </is>
      </c>
      <c r="E1434" t="n">
        <v>1000</v>
      </c>
      <c r="F1434" s="27" t="n">
        <v>45863</v>
      </c>
      <c r="G1434" s="27" t="n">
        <v>45861</v>
      </c>
      <c r="H1434" s="27" t="n">
        <v>45861</v>
      </c>
      <c r="I1434" s="27" t="n">
        <v>45848</v>
      </c>
      <c r="J1434" s="27" t="n">
        <v>45847</v>
      </c>
      <c r="K1434" t="inlineStr">
        <is>
          <t>Transferência Bancária ou Pix</t>
        </is>
      </c>
      <c r="L1434" t="inlineStr">
        <is>
          <t>Custos Artístico Geral</t>
        </is>
      </c>
      <c r="M1434" t="inlineStr">
        <is>
          <t>Locação de Equipamentos Fixo</t>
        </is>
      </c>
      <c r="N1434" t="inlineStr">
        <is>
          <t>652025</t>
        </is>
      </c>
      <c r="O1434" t="inlineStr">
        <is>
          <t>Documentação Aprovada</t>
        </is>
      </c>
      <c r="P1434" t="inlineStr">
        <is>
          <t>Aprovado Diretoria</t>
        </is>
      </c>
      <c r="Q1434" t="inlineStr">
        <is>
          <t>Aprovado Caixa</t>
        </is>
      </c>
      <c r="R1434" t="inlineStr">
        <is>
          <t>Pago</t>
        </is>
      </c>
      <c r="S1434" t="n">
        <v>182</v>
      </c>
      <c r="T1434" t="inlineStr">
        <is>
          <t>Love - Shibari - Kamino</t>
        </is>
      </c>
    </row>
    <row r="1435">
      <c r="A1435" t="n">
        <v>145554</v>
      </c>
      <c r="B1435" t="n">
        <v>128</v>
      </c>
      <c r="C1435" t="inlineStr">
        <is>
          <t>Love Cabaret</t>
        </is>
      </c>
      <c r="D1435" t="inlineStr">
        <is>
          <t xml:space="preserve">MATEUS SILVEIRA CEZAR </t>
        </is>
      </c>
      <c r="E1435" t="n">
        <v>500</v>
      </c>
      <c r="F1435" s="27" t="n">
        <v>45861</v>
      </c>
      <c r="G1435" s="27" t="n">
        <v>45861</v>
      </c>
      <c r="H1435" s="27" t="n">
        <v>45861</v>
      </c>
      <c r="I1435" s="27" t="n">
        <v>45846</v>
      </c>
      <c r="J1435" s="27" t="n">
        <v>45847</v>
      </c>
      <c r="K1435" t="inlineStr">
        <is>
          <t>Transferência Bancária ou Pix</t>
        </is>
      </c>
      <c r="L1435" t="inlineStr">
        <is>
          <t>Marketing</t>
        </is>
      </c>
      <c r="M1435" t="inlineStr">
        <is>
          <t>Sessão de Fotos/Captação de Vídeo</t>
        </is>
      </c>
      <c r="N1435" t="inlineStr">
        <is>
          <t>15</t>
        </is>
      </c>
      <c r="O1435" t="inlineStr">
        <is>
          <t>Documentação Aprovada</t>
        </is>
      </c>
      <c r="P1435" t="inlineStr">
        <is>
          <t>Aprovado Diretoria</t>
        </is>
      </c>
      <c r="Q1435" t="inlineStr">
        <is>
          <t>Aprovado Caixa</t>
        </is>
      </c>
      <c r="R1435" t="inlineStr">
        <is>
          <t>Pago</t>
        </is>
      </c>
      <c r="S1435" t="n">
        <v>182</v>
      </c>
      <c r="T1435" t="inlineStr">
        <is>
          <t>Love - Shibari - Kamino</t>
        </is>
      </c>
    </row>
    <row r="1436">
      <c r="A1436" t="n">
        <v>148882</v>
      </c>
      <c r="B1436" t="n">
        <v>128</v>
      </c>
      <c r="C1436" t="inlineStr">
        <is>
          <t>Love Cabaret</t>
        </is>
      </c>
      <c r="D1436" t="inlineStr">
        <is>
          <t>BRADESCO SA</t>
        </is>
      </c>
      <c r="E1436" t="n">
        <v>9.800000000000001</v>
      </c>
      <c r="F1436" s="27" t="n">
        <v>45861</v>
      </c>
      <c r="G1436" s="27" t="n"/>
      <c r="H1436" s="27" t="n">
        <v>45861</v>
      </c>
      <c r="I1436" s="27" t="n">
        <v>45861</v>
      </c>
      <c r="J1436" s="27" t="n">
        <v>45862</v>
      </c>
      <c r="K1436" t="inlineStr">
        <is>
          <t>Encontro de Contas</t>
        </is>
      </c>
      <c r="L1436" t="inlineStr">
        <is>
          <t>Despesas Financeiras</t>
        </is>
      </c>
      <c r="M1436" t="inlineStr">
        <is>
          <t>Tarifas Bancárias</t>
        </is>
      </c>
      <c r="N1436" t="inlineStr">
        <is>
          <t>072025</t>
        </is>
      </c>
      <c r="P1436" t="inlineStr">
        <is>
          <t>Aprovado Diretoria</t>
        </is>
      </c>
      <c r="R1436" t="inlineStr">
        <is>
          <t>Pago</t>
        </is>
      </c>
    </row>
    <row r="1437">
      <c r="A1437" t="n">
        <v>147198</v>
      </c>
      <c r="B1437" t="n">
        <v>128</v>
      </c>
      <c r="C1437" t="inlineStr">
        <is>
          <t>Love Cabaret</t>
        </is>
      </c>
      <c r="D1437" t="inlineStr">
        <is>
          <t>ICE4PROS FABRICA DE GELO LTDA</t>
        </is>
      </c>
      <c r="E1437" t="n">
        <v>563.5</v>
      </c>
      <c r="F1437" s="27" t="n">
        <v>45863</v>
      </c>
      <c r="G1437" s="27" t="n">
        <v>45861</v>
      </c>
      <c r="H1437" s="27" t="n">
        <v>45861</v>
      </c>
      <c r="I1437" s="27" t="n">
        <v>45853</v>
      </c>
      <c r="J1437" s="27" t="n">
        <v>45854</v>
      </c>
      <c r="K1437" t="inlineStr">
        <is>
          <t>Boleto Bancário</t>
        </is>
      </c>
      <c r="L1437" t="inlineStr">
        <is>
          <t>Custo Mercadoria Vendida</t>
        </is>
      </c>
      <c r="M1437" t="inlineStr">
        <is>
          <t>Insumos - Bebidas</t>
        </is>
      </c>
      <c r="N1437" t="inlineStr">
        <is>
          <t>82530</t>
        </is>
      </c>
      <c r="O1437" t="inlineStr">
        <is>
          <t>Documentação Aprovada</t>
        </is>
      </c>
      <c r="P1437" t="inlineStr">
        <is>
          <t>Aprovado Diretoria</t>
        </is>
      </c>
      <c r="Q1437" t="inlineStr">
        <is>
          <t>Aprovado Caixa</t>
        </is>
      </c>
      <c r="R1437" t="inlineStr">
        <is>
          <t>Pago</t>
        </is>
      </c>
      <c r="S1437" t="n">
        <v>182</v>
      </c>
      <c r="T1437" t="inlineStr">
        <is>
          <t>Love - Shibari - Kamino</t>
        </is>
      </c>
    </row>
    <row r="1438">
      <c r="A1438" t="n">
        <v>142648</v>
      </c>
      <c r="B1438" t="n">
        <v>128</v>
      </c>
      <c r="C1438" t="inlineStr">
        <is>
          <t>Love Cabaret</t>
        </is>
      </c>
      <c r="D1438" t="inlineStr">
        <is>
          <t xml:space="preserve">DESTEC SOLUCOES LTDA </t>
        </is>
      </c>
      <c r="E1438" t="n">
        <v>812.7</v>
      </c>
      <c r="F1438" s="27" t="n">
        <v>45862</v>
      </c>
      <c r="G1438" s="27" t="n">
        <v>45861</v>
      </c>
      <c r="H1438" s="27" t="n">
        <v>45861</v>
      </c>
      <c r="I1438" s="27" t="n">
        <v>45838</v>
      </c>
      <c r="J1438" s="27" t="n"/>
      <c r="K1438" t="inlineStr">
        <is>
          <t>Boleto Bancário</t>
        </is>
      </c>
      <c r="L1438" t="inlineStr">
        <is>
          <t>Locação de Equipamentos</t>
        </is>
      </c>
      <c r="M1438" t="inlineStr">
        <is>
          <t>Locações de Equipamentos - Operacionais</t>
        </is>
      </c>
      <c r="N1438" t="inlineStr">
        <is>
          <t xml:space="preserve">20250917 </t>
        </is>
      </c>
      <c r="O1438" t="inlineStr">
        <is>
          <t>Documentação Aprovada</t>
        </is>
      </c>
      <c r="P1438" t="inlineStr">
        <is>
          <t>Aprovado Diretoria</t>
        </is>
      </c>
      <c r="Q1438" t="inlineStr">
        <is>
          <t>Aprovado Caixa</t>
        </is>
      </c>
      <c r="R1438" t="inlineStr">
        <is>
          <t>Pago</t>
        </is>
      </c>
      <c r="S1438" t="n">
        <v>182</v>
      </c>
      <c r="T1438" t="inlineStr">
        <is>
          <t>Love - Shibari - Kamino</t>
        </is>
      </c>
    </row>
    <row r="1439">
      <c r="A1439" t="n">
        <v>141666</v>
      </c>
      <c r="B1439" t="n">
        <v>128</v>
      </c>
      <c r="C1439" t="inlineStr">
        <is>
          <t>Love Cabaret</t>
        </is>
      </c>
      <c r="D1439" t="inlineStr">
        <is>
          <t xml:space="preserve">EMPORIO MEL </t>
        </is>
      </c>
      <c r="E1439" t="n">
        <v>1205.5</v>
      </c>
      <c r="F1439" s="27" t="n">
        <v>45862</v>
      </c>
      <c r="G1439" s="27" t="n">
        <v>45861</v>
      </c>
      <c r="H1439" s="27" t="n">
        <v>45861</v>
      </c>
      <c r="I1439" s="27" t="n">
        <v>45832</v>
      </c>
      <c r="J1439" s="27" t="n">
        <v>45833</v>
      </c>
      <c r="K1439" t="inlineStr">
        <is>
          <t>Boleto Bancário</t>
        </is>
      </c>
      <c r="L1439" t="inlineStr">
        <is>
          <t>Custo Mercadoria Vendida</t>
        </is>
      </c>
      <c r="M1439" t="inlineStr">
        <is>
          <t>Insumos - Bebidas</t>
        </is>
      </c>
      <c r="N1439" t="inlineStr">
        <is>
          <t>458073</t>
        </is>
      </c>
      <c r="O1439" t="inlineStr">
        <is>
          <t>Documentação Aprovada</t>
        </is>
      </c>
      <c r="P1439" t="inlineStr">
        <is>
          <t>Aprovado Diretoria</t>
        </is>
      </c>
      <c r="Q1439" t="inlineStr">
        <is>
          <t>Aprovado Caixa</t>
        </is>
      </c>
      <c r="R1439" t="inlineStr">
        <is>
          <t>Pago</t>
        </is>
      </c>
      <c r="S1439" t="n">
        <v>182</v>
      </c>
      <c r="T1439" t="inlineStr">
        <is>
          <t>Love - Shibari - Kamino</t>
        </is>
      </c>
    </row>
    <row r="1440">
      <c r="A1440" t="n">
        <v>141645</v>
      </c>
      <c r="B1440" t="n">
        <v>128</v>
      </c>
      <c r="C1440" t="inlineStr">
        <is>
          <t>Love Cabaret</t>
        </is>
      </c>
      <c r="D1440" t="inlineStr">
        <is>
          <t xml:space="preserve">EMPORIO MEL </t>
        </is>
      </c>
      <c r="E1440" t="n">
        <v>763.45</v>
      </c>
      <c r="F1440" s="27" t="n">
        <v>45862</v>
      </c>
      <c r="G1440" s="27" t="n">
        <v>45861</v>
      </c>
      <c r="H1440" s="27" t="n">
        <v>45861</v>
      </c>
      <c r="I1440" s="27" t="n">
        <v>45831</v>
      </c>
      <c r="J1440" s="27" t="n">
        <v>45833</v>
      </c>
      <c r="K1440" t="inlineStr">
        <is>
          <t>Boleto Bancário</t>
        </is>
      </c>
      <c r="L1440" t="inlineStr">
        <is>
          <t>Custo Mercadoria Vendida</t>
        </is>
      </c>
      <c r="M1440" t="inlineStr">
        <is>
          <t>Insumos - Alimentos</t>
        </is>
      </c>
      <c r="N1440" t="inlineStr">
        <is>
          <t>457734</t>
        </is>
      </c>
      <c r="O1440" t="inlineStr">
        <is>
          <t>Documentação Aprovada</t>
        </is>
      </c>
      <c r="P1440" t="inlineStr">
        <is>
          <t>Aprovado Diretoria</t>
        </is>
      </c>
      <c r="Q1440" t="inlineStr">
        <is>
          <t>Aprovado Caixa</t>
        </is>
      </c>
      <c r="R1440" t="inlineStr">
        <is>
          <t>Pago</t>
        </is>
      </c>
      <c r="S1440" t="n">
        <v>182</v>
      </c>
      <c r="T1440" t="inlineStr">
        <is>
          <t>Love - Shibari - Kamino</t>
        </is>
      </c>
    </row>
    <row r="1441">
      <c r="A1441" t="n">
        <v>103011</v>
      </c>
      <c r="B1441" t="n">
        <v>128</v>
      </c>
      <c r="C1441" t="inlineStr">
        <is>
          <t>Love Cabaret</t>
        </is>
      </c>
      <c r="D1441" t="inlineStr">
        <is>
          <t>TELEFONICA BRASIL S/A</t>
        </is>
      </c>
      <c r="E1441" t="n">
        <v>21.71</v>
      </c>
      <c r="F1441" s="27" t="n">
        <v>45865</v>
      </c>
      <c r="G1441" s="27" t="n">
        <v>45861</v>
      </c>
      <c r="H1441" s="27" t="n">
        <v>45861</v>
      </c>
      <c r="I1441" s="27" t="n">
        <v>45855</v>
      </c>
      <c r="J1441" s="27" t="n"/>
      <c r="K1441" t="inlineStr">
        <is>
          <t>Boleto Bancário</t>
        </is>
      </c>
      <c r="L1441" t="inlineStr">
        <is>
          <t>Informática e TI</t>
        </is>
      </c>
      <c r="M1441" t="inlineStr">
        <is>
          <t>Internet</t>
        </is>
      </c>
      <c r="N1441" t="inlineStr">
        <is>
          <t>0443836731</t>
        </is>
      </c>
      <c r="O1441" t="inlineStr">
        <is>
          <t>Documentação Aprovada</t>
        </is>
      </c>
      <c r="P1441" t="inlineStr">
        <is>
          <t>Aprovado Diretoria</t>
        </is>
      </c>
      <c r="Q1441" t="inlineStr">
        <is>
          <t>Aprovado Caixa</t>
        </is>
      </c>
      <c r="R1441" t="inlineStr">
        <is>
          <t>Pago</t>
        </is>
      </c>
      <c r="S1441" t="n">
        <v>182</v>
      </c>
      <c r="T1441" t="inlineStr">
        <is>
          <t>Love - Shibari - Kamino</t>
        </is>
      </c>
    </row>
    <row r="1442">
      <c r="A1442" t="n">
        <v>102998</v>
      </c>
      <c r="B1442" t="n">
        <v>128</v>
      </c>
      <c r="C1442" t="inlineStr">
        <is>
          <t>Love Cabaret</t>
        </is>
      </c>
      <c r="D1442" t="inlineStr">
        <is>
          <t>TELEFONICA BRASIL S/A</t>
        </is>
      </c>
      <c r="E1442" t="n">
        <v>487.66</v>
      </c>
      <c r="F1442" s="27" t="n">
        <v>45865</v>
      </c>
      <c r="G1442" s="27" t="n">
        <v>45861</v>
      </c>
      <c r="H1442" s="27" t="n">
        <v>45861</v>
      </c>
      <c r="I1442" s="27" t="n">
        <v>45855</v>
      </c>
      <c r="J1442" s="27" t="n"/>
      <c r="K1442" t="inlineStr">
        <is>
          <t>Boleto Bancário</t>
        </is>
      </c>
      <c r="L1442" t="inlineStr">
        <is>
          <t>Informática e TI</t>
        </is>
      </c>
      <c r="M1442" t="inlineStr">
        <is>
          <t>Internet</t>
        </is>
      </c>
      <c r="N1442" t="inlineStr">
        <is>
          <t>0443318083</t>
        </is>
      </c>
      <c r="O1442" t="inlineStr">
        <is>
          <t>Documentação Aprovada</t>
        </is>
      </c>
      <c r="P1442" t="inlineStr">
        <is>
          <t>Aprovado Diretoria</t>
        </is>
      </c>
      <c r="Q1442" t="inlineStr">
        <is>
          <t>Aprovado Caixa</t>
        </is>
      </c>
      <c r="R1442" t="inlineStr">
        <is>
          <t>Pago</t>
        </is>
      </c>
      <c r="S1442" t="n">
        <v>182</v>
      </c>
      <c r="T1442" t="inlineStr">
        <is>
          <t>Love - Shibari - Kamino</t>
        </is>
      </c>
    </row>
    <row r="1443">
      <c r="A1443" t="n">
        <v>102796</v>
      </c>
      <c r="B1443" t="n">
        <v>128</v>
      </c>
      <c r="C1443" t="inlineStr">
        <is>
          <t>Love Cabaret</t>
        </is>
      </c>
      <c r="D1443" t="inlineStr">
        <is>
          <t>FABRICA DE BARES PARTICIPACOES LTDA</t>
        </is>
      </c>
      <c r="E1443" t="n">
        <v>100</v>
      </c>
      <c r="F1443" s="27" t="n">
        <v>45858</v>
      </c>
      <c r="G1443" s="27" t="n">
        <v>45861</v>
      </c>
      <c r="H1443" s="27" t="n">
        <v>45861</v>
      </c>
      <c r="I1443" s="27" t="n">
        <v>45809</v>
      </c>
      <c r="J1443" s="27" t="n"/>
      <c r="K1443" t="inlineStr">
        <is>
          <t>Transferência Bancária ou Pix</t>
        </is>
      </c>
      <c r="L1443" t="inlineStr">
        <is>
          <t>Serviços de Terceiros</t>
        </is>
      </c>
      <c r="M1443" t="inlineStr">
        <is>
          <t>Assessoria RH</t>
        </is>
      </c>
      <c r="N1443" t="inlineStr">
        <is>
          <t>062025</t>
        </is>
      </c>
      <c r="O1443" t="inlineStr">
        <is>
          <t>Documentação Aprovada</t>
        </is>
      </c>
      <c r="P1443" t="inlineStr">
        <is>
          <t>Aprovado Diretoria</t>
        </is>
      </c>
      <c r="Q1443" t="inlineStr">
        <is>
          <t>Aprovado Caixa</t>
        </is>
      </c>
      <c r="R1443" t="inlineStr">
        <is>
          <t>Pago</t>
        </is>
      </c>
      <c r="S1443" t="n">
        <v>182</v>
      </c>
      <c r="T1443" t="inlineStr">
        <is>
          <t>Love - Shibari - Kamino</t>
        </is>
      </c>
    </row>
    <row r="1444">
      <c r="A1444" t="n">
        <v>102842</v>
      </c>
      <c r="B1444" t="n">
        <v>128</v>
      </c>
      <c r="C1444" t="inlineStr">
        <is>
          <t>Love Cabaret</t>
        </is>
      </c>
      <c r="D1444" t="inlineStr">
        <is>
          <t>INVYE CAPITAL LTDA</t>
        </is>
      </c>
      <c r="E1444" t="n">
        <v>1260</v>
      </c>
      <c r="F1444" s="27" t="n">
        <v>45863</v>
      </c>
      <c r="G1444" s="27" t="n">
        <v>45861</v>
      </c>
      <c r="H1444" s="27" t="n">
        <v>45861</v>
      </c>
      <c r="I1444" s="27" t="n">
        <v>45847</v>
      </c>
      <c r="J1444" s="27" t="n"/>
      <c r="K1444" t="inlineStr">
        <is>
          <t>Boleto Bancário</t>
        </is>
      </c>
      <c r="L1444" t="inlineStr">
        <is>
          <t>Serviços de Terceiros</t>
        </is>
      </c>
      <c r="M1444" t="inlineStr">
        <is>
          <t>Assessoria em Geral</t>
        </is>
      </c>
      <c r="N1444" t="inlineStr">
        <is>
          <t>2741</t>
        </is>
      </c>
      <c r="O1444" t="inlineStr">
        <is>
          <t>Documentação Aprovada</t>
        </is>
      </c>
      <c r="P1444" t="inlineStr">
        <is>
          <t>Aprovado Diretoria</t>
        </is>
      </c>
      <c r="Q1444" t="inlineStr">
        <is>
          <t>Aprovado Caixa</t>
        </is>
      </c>
      <c r="R1444" t="inlineStr">
        <is>
          <t>Pago</t>
        </is>
      </c>
      <c r="S1444" t="n">
        <v>182</v>
      </c>
      <c r="T1444" t="inlineStr">
        <is>
          <t>Love - Shibari - Kamino</t>
        </is>
      </c>
    </row>
    <row r="1445">
      <c r="A1445" t="n">
        <v>103035</v>
      </c>
      <c r="B1445" t="n">
        <v>128</v>
      </c>
      <c r="C1445" t="inlineStr">
        <is>
          <t>Love Cabaret</t>
        </is>
      </c>
      <c r="D1445" t="inlineStr">
        <is>
          <t>TELEFONICA BRASIL S/A</t>
        </is>
      </c>
      <c r="E1445" t="n">
        <v>327.09</v>
      </c>
      <c r="F1445" s="27" t="n">
        <v>45863</v>
      </c>
      <c r="G1445" s="27" t="n">
        <v>45861</v>
      </c>
      <c r="H1445" s="27" t="n">
        <v>45861</v>
      </c>
      <c r="I1445" s="27" t="n">
        <v>45855</v>
      </c>
      <c r="J1445" s="27" t="n"/>
      <c r="K1445" t="inlineStr">
        <is>
          <t>Boleto Bancário</t>
        </is>
      </c>
      <c r="L1445" t="inlineStr">
        <is>
          <t>Informática e TI</t>
        </is>
      </c>
      <c r="M1445" t="inlineStr">
        <is>
          <t>Internet</t>
        </is>
      </c>
      <c r="N1445" t="inlineStr">
        <is>
          <t>0455530810</t>
        </is>
      </c>
      <c r="O1445" t="inlineStr">
        <is>
          <t>Documentação Aprovada</t>
        </is>
      </c>
      <c r="P1445" t="inlineStr">
        <is>
          <t>Aprovado Diretoria</t>
        </is>
      </c>
      <c r="Q1445" t="inlineStr">
        <is>
          <t>Aprovado Caixa</t>
        </is>
      </c>
      <c r="R1445" t="inlineStr">
        <is>
          <t>Pago</t>
        </is>
      </c>
      <c r="S1445" t="n">
        <v>182</v>
      </c>
      <c r="T1445" t="inlineStr">
        <is>
          <t>Love - Shibari - Kamino</t>
        </is>
      </c>
    </row>
    <row r="1446">
      <c r="A1446" t="n">
        <v>103023</v>
      </c>
      <c r="B1446" t="n">
        <v>128</v>
      </c>
      <c r="C1446" t="inlineStr">
        <is>
          <t>Love Cabaret</t>
        </is>
      </c>
      <c r="D1446" t="inlineStr">
        <is>
          <t>TELEFONICA BRASIL S/A</t>
        </is>
      </c>
      <c r="E1446" t="n">
        <v>93.7</v>
      </c>
      <c r="F1446" s="27" t="n">
        <v>45863</v>
      </c>
      <c r="G1446" s="27" t="n">
        <v>45861</v>
      </c>
      <c r="H1446" s="27" t="n">
        <v>45861</v>
      </c>
      <c r="I1446" s="27" t="n">
        <v>45842</v>
      </c>
      <c r="J1446" s="27" t="n"/>
      <c r="K1446" t="inlineStr">
        <is>
          <t>Boleto Bancário</t>
        </is>
      </c>
      <c r="L1446" t="inlineStr">
        <is>
          <t>Informática e TI</t>
        </is>
      </c>
      <c r="M1446" t="inlineStr">
        <is>
          <t>Telefone</t>
        </is>
      </c>
      <c r="N1446" t="inlineStr">
        <is>
          <t>0434906426</t>
        </is>
      </c>
      <c r="O1446" t="inlineStr">
        <is>
          <t>Documentação Aprovada</t>
        </is>
      </c>
      <c r="P1446" t="inlineStr">
        <is>
          <t>Aprovado Diretoria</t>
        </is>
      </c>
      <c r="Q1446" t="inlineStr">
        <is>
          <t>Aprovado Caixa</t>
        </is>
      </c>
      <c r="R1446" t="inlineStr">
        <is>
          <t>Pago</t>
        </is>
      </c>
      <c r="S1446" t="n">
        <v>182</v>
      </c>
      <c r="T1446" t="inlineStr">
        <is>
          <t>Love - Shibari - Kamino</t>
        </is>
      </c>
    </row>
    <row r="1447">
      <c r="A1447" t="n">
        <v>97545</v>
      </c>
      <c r="B1447" t="n">
        <v>128</v>
      </c>
      <c r="C1447" t="inlineStr">
        <is>
          <t>Love Cabaret</t>
        </is>
      </c>
      <c r="D1447" t="inlineStr">
        <is>
          <t>PIS</t>
        </is>
      </c>
      <c r="E1447" t="n">
        <v>2426.62</v>
      </c>
      <c r="F1447" s="27" t="n">
        <v>45863</v>
      </c>
      <c r="G1447" s="27" t="n">
        <v>45861</v>
      </c>
      <c r="H1447" s="27" t="n">
        <v>45861</v>
      </c>
      <c r="I1447" s="27" t="n">
        <v>45838</v>
      </c>
      <c r="J1447" s="27" t="n"/>
      <c r="K1447" t="inlineStr">
        <is>
          <t>Boleto Bancário</t>
        </is>
      </c>
      <c r="L1447" t="inlineStr">
        <is>
          <t>Impostos sobre Venda</t>
        </is>
      </c>
      <c r="M1447" t="inlineStr">
        <is>
          <t>PIS S/ SERVICO</t>
        </is>
      </c>
      <c r="N1447" t="inlineStr">
        <is>
          <t>062025</t>
        </is>
      </c>
      <c r="O1447" t="inlineStr">
        <is>
          <t>Documentação Aprovada</t>
        </is>
      </c>
      <c r="P1447" t="inlineStr">
        <is>
          <t>Aprovado Diretoria</t>
        </is>
      </c>
      <c r="Q1447" t="inlineStr">
        <is>
          <t>Aprovado Caixa</t>
        </is>
      </c>
      <c r="R1447" t="inlineStr">
        <is>
          <t>Pago</t>
        </is>
      </c>
      <c r="S1447" t="n">
        <v>182</v>
      </c>
      <c r="T1447" t="inlineStr">
        <is>
          <t>Love - Shibari - Kamino</t>
        </is>
      </c>
    </row>
    <row r="1448">
      <c r="A1448" t="n">
        <v>108204</v>
      </c>
      <c r="B1448" t="n">
        <v>128</v>
      </c>
      <c r="C1448" t="inlineStr">
        <is>
          <t>Love Cabaret</t>
        </is>
      </c>
      <c r="D1448" t="inlineStr">
        <is>
          <t xml:space="preserve">GOOGLE BRASIL INTERNET LTDA </t>
        </is>
      </c>
      <c r="E1448" t="n">
        <v>1000</v>
      </c>
      <c r="F1448" s="27" t="n">
        <v>45861</v>
      </c>
      <c r="G1448" s="27" t="n">
        <v>45861</v>
      </c>
      <c r="H1448" s="27" t="n">
        <v>45861</v>
      </c>
      <c r="I1448" s="27" t="n">
        <v>45859</v>
      </c>
      <c r="J1448" s="27" t="n"/>
      <c r="K1448" t="inlineStr">
        <is>
          <t>Boleto Bancário</t>
        </is>
      </c>
      <c r="L1448" t="inlineStr">
        <is>
          <t>Marketing</t>
        </is>
      </c>
      <c r="M1448" t="inlineStr">
        <is>
          <t>Publicidade e Propaganda</t>
        </is>
      </c>
      <c r="N1448" t="inlineStr">
        <is>
          <t>702025</t>
        </is>
      </c>
      <c r="O1448" t="inlineStr">
        <is>
          <t>Documentação Aprovada</t>
        </is>
      </c>
      <c r="P1448" t="inlineStr">
        <is>
          <t>Aprovado Diretoria</t>
        </is>
      </c>
      <c r="Q1448" t="inlineStr">
        <is>
          <t>Aprovado Caixa</t>
        </is>
      </c>
      <c r="R1448" t="inlineStr">
        <is>
          <t>Pago</t>
        </is>
      </c>
      <c r="S1448" t="n">
        <v>182</v>
      </c>
      <c r="T1448" t="inlineStr">
        <is>
          <t>Love - Shibari - Kamino</t>
        </is>
      </c>
    </row>
    <row r="1449">
      <c r="A1449" t="n">
        <v>96900</v>
      </c>
      <c r="B1449" t="n">
        <v>128</v>
      </c>
      <c r="C1449" t="inlineStr">
        <is>
          <t>Love Cabaret</t>
        </is>
      </c>
      <c r="D1449" t="inlineStr">
        <is>
          <t>COMPANHIA DE GAS DE SAO PAULO</t>
        </is>
      </c>
      <c r="E1449" t="n">
        <v>1800.11</v>
      </c>
      <c r="F1449" s="27" t="n">
        <v>45865</v>
      </c>
      <c r="G1449" s="27" t="n">
        <v>45861</v>
      </c>
      <c r="H1449" s="27" t="n">
        <v>45861</v>
      </c>
      <c r="I1449" s="27" t="n">
        <v>45848</v>
      </c>
      <c r="J1449" s="27" t="n"/>
      <c r="K1449" t="inlineStr">
        <is>
          <t>Boleto Bancário</t>
        </is>
      </c>
      <c r="L1449" t="inlineStr">
        <is>
          <t>Utilidades</t>
        </is>
      </c>
      <c r="M1449" t="inlineStr">
        <is>
          <t>Gas de Cozinha</t>
        </is>
      </c>
      <c r="N1449" t="inlineStr">
        <is>
          <t xml:space="preserve">127978460   </t>
        </is>
      </c>
      <c r="O1449" t="inlineStr">
        <is>
          <t>Documentação Aprovada</t>
        </is>
      </c>
      <c r="P1449" t="inlineStr">
        <is>
          <t>Aprovado Diretoria</t>
        </is>
      </c>
      <c r="Q1449" t="inlineStr">
        <is>
          <t>Aprovado Caixa</t>
        </is>
      </c>
      <c r="R1449" t="inlineStr">
        <is>
          <t>Pago</t>
        </is>
      </c>
      <c r="S1449" t="n">
        <v>182</v>
      </c>
      <c r="T1449" t="inlineStr">
        <is>
          <t>Love - Shibari - Kamino</t>
        </is>
      </c>
    </row>
    <row r="1450">
      <c r="A1450" t="n">
        <v>96913</v>
      </c>
      <c r="B1450" t="n">
        <v>128</v>
      </c>
      <c r="C1450" t="inlineStr">
        <is>
          <t>Love Cabaret</t>
        </is>
      </c>
      <c r="D1450" t="inlineStr">
        <is>
          <t>COFINS</t>
        </is>
      </c>
      <c r="E1450" t="n">
        <v>11199.77</v>
      </c>
      <c r="F1450" s="27" t="n">
        <v>45863</v>
      </c>
      <c r="G1450" s="27" t="n">
        <v>45861</v>
      </c>
      <c r="H1450" s="27" t="n">
        <v>45861</v>
      </c>
      <c r="I1450" s="27" t="n">
        <v>45838</v>
      </c>
      <c r="J1450" s="27" t="n"/>
      <c r="K1450" t="inlineStr">
        <is>
          <t>Boleto Bancário</t>
        </is>
      </c>
      <c r="L1450" t="inlineStr">
        <is>
          <t>Impostos sobre Venda</t>
        </is>
      </c>
      <c r="M1450" t="inlineStr">
        <is>
          <t>PIS / COFINS</t>
        </is>
      </c>
      <c r="N1450" t="inlineStr">
        <is>
          <t>062025</t>
        </is>
      </c>
      <c r="O1450" t="inlineStr">
        <is>
          <t>Documentação Aprovada</t>
        </is>
      </c>
      <c r="P1450" t="inlineStr">
        <is>
          <t>Aprovado Diretoria</t>
        </is>
      </c>
      <c r="Q1450" t="inlineStr">
        <is>
          <t>Aprovado Caixa</t>
        </is>
      </c>
      <c r="R1450" t="inlineStr">
        <is>
          <t>Pago</t>
        </is>
      </c>
      <c r="S1450" t="n">
        <v>182</v>
      </c>
      <c r="T1450" t="inlineStr">
        <is>
          <t>Love - Shibari - Kamino</t>
        </is>
      </c>
    </row>
    <row r="1451">
      <c r="A1451" t="n">
        <v>97110</v>
      </c>
      <c r="B1451" t="n">
        <v>128</v>
      </c>
      <c r="C1451" t="inlineStr">
        <is>
          <t>Love Cabaret</t>
        </is>
      </c>
      <c r="D1451" t="inlineStr">
        <is>
          <t>ESTAFF SOLUCOES TECNOLOGICAS DE AGENCIAMENTO LTDA</t>
        </is>
      </c>
      <c r="E1451" t="n">
        <v>14789.5</v>
      </c>
      <c r="F1451" s="27" t="n">
        <v>45861</v>
      </c>
      <c r="G1451" s="27" t="n">
        <v>45861</v>
      </c>
      <c r="H1451" s="27" t="n">
        <v>45861</v>
      </c>
      <c r="I1451" s="27" t="n">
        <v>45852</v>
      </c>
      <c r="J1451" s="27" t="n"/>
      <c r="K1451" t="inlineStr">
        <is>
          <t>Boleto Bancário</t>
        </is>
      </c>
      <c r="L1451" t="inlineStr">
        <is>
          <t>Mão de Obra - Extra</t>
        </is>
      </c>
      <c r="M1451" t="inlineStr">
        <is>
          <t>Mão de Obra Extra</t>
        </is>
      </c>
      <c r="N1451" t="inlineStr">
        <is>
          <t>601672971</t>
        </is>
      </c>
      <c r="O1451" t="inlineStr">
        <is>
          <t>Documentação Aprovada</t>
        </is>
      </c>
      <c r="P1451" t="inlineStr">
        <is>
          <t>Aprovado Diretoria</t>
        </is>
      </c>
      <c r="Q1451" t="inlineStr">
        <is>
          <t>Aprovado Caixa</t>
        </is>
      </c>
      <c r="R1451" t="inlineStr">
        <is>
          <t>Pago</t>
        </is>
      </c>
      <c r="S1451" t="n">
        <v>182</v>
      </c>
      <c r="T1451" t="inlineStr">
        <is>
          <t>Love - Shibari - Kamino</t>
        </is>
      </c>
    </row>
    <row r="1452">
      <c r="A1452" t="n">
        <v>51177</v>
      </c>
      <c r="B1452" t="n">
        <v>128</v>
      </c>
      <c r="C1452" t="inlineStr">
        <is>
          <t>Love Cabaret</t>
        </is>
      </c>
      <c r="D1452" t="inlineStr">
        <is>
          <t>ICMS</t>
        </is>
      </c>
      <c r="E1452" t="n">
        <v>608.98</v>
      </c>
      <c r="F1452" s="27" t="n">
        <v>45865</v>
      </c>
      <c r="G1452" s="27" t="n">
        <v>45861</v>
      </c>
      <c r="H1452" s="27" t="n">
        <v>45861</v>
      </c>
      <c r="I1452" s="27" t="n">
        <v>45406</v>
      </c>
      <c r="J1452" s="27" t="n"/>
      <c r="K1452" t="inlineStr">
        <is>
          <t>Boleto Bancário</t>
        </is>
      </c>
      <c r="L1452" t="inlineStr">
        <is>
          <t>Impostos sobre Venda</t>
        </is>
      </c>
      <c r="M1452" t="inlineStr">
        <is>
          <t>ICMS</t>
        </is>
      </c>
      <c r="N1452" t="inlineStr">
        <is>
          <t>15/36</t>
        </is>
      </c>
      <c r="O1452" t="inlineStr">
        <is>
          <t>Documentação Aprovada</t>
        </is>
      </c>
      <c r="P1452" t="inlineStr">
        <is>
          <t>Aprovado Diretoria</t>
        </is>
      </c>
      <c r="Q1452" t="inlineStr">
        <is>
          <t>Aprovado Caixa</t>
        </is>
      </c>
      <c r="R1452" t="inlineStr">
        <is>
          <t>Pago</t>
        </is>
      </c>
      <c r="S1452" t="n">
        <v>182</v>
      </c>
      <c r="T1452" t="inlineStr">
        <is>
          <t>Love - Shibari - Kamino</t>
        </is>
      </c>
    </row>
    <row r="1453">
      <c r="A1453" t="n">
        <v>188459</v>
      </c>
      <c r="B1453" t="n">
        <v>128</v>
      </c>
      <c r="C1453" t="inlineStr">
        <is>
          <t>Love Cabaret</t>
        </is>
      </c>
      <c r="D1453" t="inlineStr">
        <is>
          <t>MERCADO PAGO.COM REPRESENTACOES LTDA</t>
        </is>
      </c>
      <c r="E1453" t="n">
        <v>116.69</v>
      </c>
      <c r="F1453" s="27" t="n">
        <v>45860</v>
      </c>
      <c r="G1453" s="27" t="n"/>
      <c r="H1453" s="27" t="n">
        <v>45860</v>
      </c>
      <c r="I1453" s="27" t="n">
        <v>45860</v>
      </c>
      <c r="J1453" s="27" t="n">
        <v>46026</v>
      </c>
      <c r="K1453" t="inlineStr">
        <is>
          <t>Transferência Bancária ou Pix</t>
        </is>
      </c>
      <c r="L1453" t="inlineStr">
        <is>
          <t>Custo Mercadoria Vendida</t>
        </is>
      </c>
      <c r="M1453" t="inlineStr">
        <is>
          <t>Insumos - Bebidas</t>
        </is>
      </c>
      <c r="N1453" t="inlineStr">
        <is>
          <t>A VISTA 22072025</t>
        </is>
      </c>
      <c r="R1453" t="inlineStr">
        <is>
          <t>Pago</t>
        </is>
      </c>
      <c r="S1453" t="n">
        <v>182</v>
      </c>
      <c r="T1453" t="inlineStr">
        <is>
          <t>Love - Shibari - Kamino</t>
        </is>
      </c>
    </row>
    <row r="1454">
      <c r="A1454" t="n">
        <v>141660</v>
      </c>
      <c r="B1454" t="n">
        <v>128</v>
      </c>
      <c r="C1454" t="inlineStr">
        <is>
          <t>Love Cabaret</t>
        </is>
      </c>
      <c r="D1454" t="inlineStr">
        <is>
          <t>PROAUTO INDUSTRIA QUIMICA EIRELI</t>
        </is>
      </c>
      <c r="E1454" t="n">
        <v>1137.38</v>
      </c>
      <c r="F1454" s="27" t="n">
        <v>45859</v>
      </c>
      <c r="G1454" s="27" t="n">
        <v>45859</v>
      </c>
      <c r="H1454" s="27" t="n">
        <v>45859</v>
      </c>
      <c r="I1454" s="27" t="n">
        <v>45831</v>
      </c>
      <c r="J1454" s="27" t="n">
        <v>45833</v>
      </c>
      <c r="K1454" t="inlineStr">
        <is>
          <t>Boleto Bancário</t>
        </is>
      </c>
      <c r="L1454" t="inlineStr">
        <is>
          <t>Utilidades</t>
        </is>
      </c>
      <c r="M1454" t="inlineStr">
        <is>
          <t>Higiene e Limpeza</t>
        </is>
      </c>
      <c r="N1454" t="inlineStr">
        <is>
          <t>139963</t>
        </is>
      </c>
      <c r="O1454" t="inlineStr">
        <is>
          <t>Documentação Aprovada</t>
        </is>
      </c>
      <c r="P1454" t="inlineStr">
        <is>
          <t>Aprovado Diretoria</t>
        </is>
      </c>
      <c r="Q1454" t="inlineStr">
        <is>
          <t>Aprovado Caixa</t>
        </is>
      </c>
      <c r="R1454" t="inlineStr">
        <is>
          <t>Pago</t>
        </is>
      </c>
      <c r="S1454" t="n">
        <v>182</v>
      </c>
      <c r="T1454" t="inlineStr">
        <is>
          <t>Love - Shibari - Kamino</t>
        </is>
      </c>
    </row>
    <row r="1455">
      <c r="A1455" t="n">
        <v>141655</v>
      </c>
      <c r="B1455" t="n">
        <v>128</v>
      </c>
      <c r="C1455" t="inlineStr">
        <is>
          <t>Love Cabaret</t>
        </is>
      </c>
      <c r="D1455" t="inlineStr">
        <is>
          <t>HORTICLEAN DISTRIBUIDORA DE HORTIFRUTI LTDA</t>
        </is>
      </c>
      <c r="E1455" t="n">
        <v>172.7</v>
      </c>
      <c r="F1455" s="27" t="n">
        <v>45860</v>
      </c>
      <c r="G1455" s="27" t="n">
        <v>45859</v>
      </c>
      <c r="H1455" s="27" t="n">
        <v>45859</v>
      </c>
      <c r="I1455" s="27" t="n">
        <v>45831</v>
      </c>
      <c r="J1455" s="27" t="n">
        <v>45833</v>
      </c>
      <c r="K1455" t="inlineStr">
        <is>
          <t>Boleto Bancário</t>
        </is>
      </c>
      <c r="L1455" t="inlineStr">
        <is>
          <t>Custo Mercadoria Vendida</t>
        </is>
      </c>
      <c r="M1455" t="inlineStr">
        <is>
          <t>Insumos - Alimentos</t>
        </is>
      </c>
      <c r="N1455" t="inlineStr">
        <is>
          <t>27093</t>
        </is>
      </c>
      <c r="O1455" t="inlineStr">
        <is>
          <t>Documentação Aprovada</t>
        </is>
      </c>
      <c r="P1455" t="inlineStr">
        <is>
          <t>Aprovado Diretoria</t>
        </is>
      </c>
      <c r="Q1455" t="inlineStr">
        <is>
          <t>Aprovado Caixa</t>
        </is>
      </c>
      <c r="R1455" t="inlineStr">
        <is>
          <t>Pago</t>
        </is>
      </c>
      <c r="S1455" t="n">
        <v>182</v>
      </c>
      <c r="T1455" t="inlineStr">
        <is>
          <t>Love - Shibari - Kamino</t>
        </is>
      </c>
    </row>
    <row r="1456">
      <c r="A1456" t="n">
        <v>141668</v>
      </c>
      <c r="B1456" t="n">
        <v>128</v>
      </c>
      <c r="C1456" t="inlineStr">
        <is>
          <t>Love Cabaret</t>
        </is>
      </c>
      <c r="D1456" t="inlineStr">
        <is>
          <t>ANDREIA SANTOS FREITAS DUARTE</t>
        </is>
      </c>
      <c r="E1456" t="n">
        <v>533.91</v>
      </c>
      <c r="F1456" s="27" t="n">
        <v>45859</v>
      </c>
      <c r="G1456" s="27" t="n">
        <v>45859</v>
      </c>
      <c r="H1456" s="27" t="n">
        <v>45859</v>
      </c>
      <c r="I1456" s="27" t="n">
        <v>45832</v>
      </c>
      <c r="J1456" s="27" t="n">
        <v>45833</v>
      </c>
      <c r="K1456" t="inlineStr">
        <is>
          <t>Boleto Bancário</t>
        </is>
      </c>
      <c r="L1456" t="inlineStr">
        <is>
          <t>Custo Mercadoria Vendida</t>
        </is>
      </c>
      <c r="M1456" t="inlineStr">
        <is>
          <t>Insumos - Alimentos</t>
        </is>
      </c>
      <c r="N1456" t="inlineStr">
        <is>
          <t>2072</t>
        </is>
      </c>
      <c r="O1456" t="inlineStr">
        <is>
          <t>Documentação Aprovada</t>
        </is>
      </c>
      <c r="P1456" t="inlineStr">
        <is>
          <t>Aprovado Diretoria</t>
        </is>
      </c>
      <c r="Q1456" t="inlineStr">
        <is>
          <t>Aprovado Caixa</t>
        </is>
      </c>
      <c r="R1456" t="inlineStr">
        <is>
          <t>Pago</t>
        </is>
      </c>
      <c r="S1456" t="n">
        <v>182</v>
      </c>
      <c r="T1456" t="inlineStr">
        <is>
          <t>Love - Shibari - Kamino</t>
        </is>
      </c>
    </row>
    <row r="1457">
      <c r="A1457" t="n">
        <v>142730</v>
      </c>
      <c r="B1457" t="n">
        <v>128</v>
      </c>
      <c r="C1457" t="inlineStr">
        <is>
          <t>Love Cabaret</t>
        </is>
      </c>
      <c r="D1457" t="inlineStr">
        <is>
          <t>FOUR COPIAS LTDA</t>
        </is>
      </c>
      <c r="E1457" t="n">
        <v>54.9</v>
      </c>
      <c r="F1457" s="27" t="n">
        <v>45859</v>
      </c>
      <c r="G1457" s="27" t="n">
        <v>45859</v>
      </c>
      <c r="H1457" s="27" t="n">
        <v>45859</v>
      </c>
      <c r="I1457" s="27" t="n">
        <v>45838</v>
      </c>
      <c r="J1457" s="27" t="n">
        <v>45839</v>
      </c>
      <c r="K1457" t="inlineStr">
        <is>
          <t>Transferência Bancária ou Pix</t>
        </is>
      </c>
      <c r="L1457" t="inlineStr">
        <is>
          <t>Manutenção</t>
        </is>
      </c>
      <c r="M1457" t="inlineStr">
        <is>
          <t>Manutenção Predial</t>
        </is>
      </c>
      <c r="N1457" t="inlineStr">
        <is>
          <t>985</t>
        </is>
      </c>
      <c r="O1457" t="inlineStr">
        <is>
          <t>Documentação Aprovada</t>
        </is>
      </c>
      <c r="P1457" t="inlineStr">
        <is>
          <t>Aprovado Diretoria</t>
        </is>
      </c>
      <c r="Q1457" t="inlineStr">
        <is>
          <t>Aprovado Caixa</t>
        </is>
      </c>
      <c r="R1457" t="inlineStr">
        <is>
          <t>Pago</t>
        </is>
      </c>
      <c r="S1457" t="n">
        <v>182</v>
      </c>
      <c r="T1457" t="inlineStr">
        <is>
          <t>Love - Shibari - Kamino</t>
        </is>
      </c>
    </row>
    <row r="1458">
      <c r="A1458" t="n">
        <v>144075</v>
      </c>
      <c r="B1458" t="n">
        <v>128</v>
      </c>
      <c r="C1458" t="inlineStr">
        <is>
          <t>Love Cabaret</t>
        </is>
      </c>
      <c r="D1458" t="inlineStr">
        <is>
          <t>DTK COMERCIO DE ALIMENTOS LTDA</t>
        </is>
      </c>
      <c r="E1458" t="n">
        <v>622.15</v>
      </c>
      <c r="F1458" s="27" t="n">
        <v>45859</v>
      </c>
      <c r="G1458" s="27" t="n">
        <v>45859</v>
      </c>
      <c r="H1458" s="27" t="n">
        <v>45859</v>
      </c>
      <c r="I1458" s="27" t="n">
        <v>45838</v>
      </c>
      <c r="J1458" s="27" t="n">
        <v>45842</v>
      </c>
      <c r="K1458" t="inlineStr">
        <is>
          <t>Boleto Bancário</t>
        </is>
      </c>
      <c r="L1458" t="inlineStr">
        <is>
          <t>Custo Mercadoria Vendida</t>
        </is>
      </c>
      <c r="M1458" t="inlineStr">
        <is>
          <t>Insumos - Alimentos</t>
        </is>
      </c>
      <c r="N1458" t="inlineStr">
        <is>
          <t>34978</t>
        </is>
      </c>
      <c r="O1458" t="inlineStr">
        <is>
          <t>Documentação Aprovada</t>
        </is>
      </c>
      <c r="P1458" t="inlineStr">
        <is>
          <t>Aprovado Diretoria</t>
        </is>
      </c>
      <c r="Q1458" t="inlineStr">
        <is>
          <t>Aprovado Caixa</t>
        </is>
      </c>
      <c r="R1458" t="inlineStr">
        <is>
          <t>Pago</t>
        </is>
      </c>
      <c r="S1458" t="n">
        <v>182</v>
      </c>
      <c r="T1458" t="inlineStr">
        <is>
          <t>Love - Shibari - Kamino</t>
        </is>
      </c>
    </row>
    <row r="1459">
      <c r="A1459" t="n">
        <v>145546</v>
      </c>
      <c r="B1459" t="n">
        <v>128</v>
      </c>
      <c r="C1459" t="inlineStr">
        <is>
          <t>Love Cabaret</t>
        </is>
      </c>
      <c r="D1459" t="inlineStr">
        <is>
          <t>LUIZ ROBERTO DA SILVA JUNIOR</t>
        </is>
      </c>
      <c r="E1459" t="n">
        <v>1000</v>
      </c>
      <c r="F1459" s="27" t="n">
        <v>45859</v>
      </c>
      <c r="G1459" s="27" t="n">
        <v>45859</v>
      </c>
      <c r="H1459" s="27" t="n">
        <v>45859</v>
      </c>
      <c r="I1459" s="27" t="n">
        <v>45842</v>
      </c>
      <c r="J1459" s="27" t="n">
        <v>45847</v>
      </c>
      <c r="K1459" t="inlineStr">
        <is>
          <t>Transferência Bancária ou Pix</t>
        </is>
      </c>
      <c r="L1459" t="inlineStr">
        <is>
          <t>Custos Artístico Geral</t>
        </is>
      </c>
      <c r="M1459" t="inlineStr">
        <is>
          <t>Locação de Equipamentos Fixo</t>
        </is>
      </c>
      <c r="N1459" t="inlineStr">
        <is>
          <t>642025</t>
        </is>
      </c>
      <c r="O1459" t="inlineStr">
        <is>
          <t>Documentação Aprovada</t>
        </is>
      </c>
      <c r="P1459" t="inlineStr">
        <is>
          <t>Aprovado Diretoria</t>
        </is>
      </c>
      <c r="Q1459" t="inlineStr">
        <is>
          <t>Aprovado Caixa</t>
        </is>
      </c>
      <c r="R1459" t="inlineStr">
        <is>
          <t>Pago</t>
        </is>
      </c>
      <c r="S1459" t="n">
        <v>182</v>
      </c>
      <c r="T1459" t="inlineStr">
        <is>
          <t>Love - Shibari - Kamino</t>
        </is>
      </c>
    </row>
    <row r="1460">
      <c r="A1460" t="n">
        <v>144059</v>
      </c>
      <c r="B1460" t="n">
        <v>128</v>
      </c>
      <c r="C1460" t="inlineStr">
        <is>
          <t>Love Cabaret</t>
        </is>
      </c>
      <c r="D1460" t="inlineStr">
        <is>
          <t>CG FOOD´S DISTRIBUIDORA DE ALIMENTOS LTDA</t>
        </is>
      </c>
      <c r="E1460" t="n">
        <v>345.55</v>
      </c>
      <c r="F1460" s="27" t="n">
        <v>45860</v>
      </c>
      <c r="G1460" s="27" t="n">
        <v>45859</v>
      </c>
      <c r="H1460" s="27" t="n">
        <v>45859</v>
      </c>
      <c r="I1460" s="27" t="n">
        <v>45839</v>
      </c>
      <c r="J1460" s="27" t="n">
        <v>45842</v>
      </c>
      <c r="K1460" t="inlineStr">
        <is>
          <t>Boleto Bancário</t>
        </is>
      </c>
      <c r="L1460" t="inlineStr">
        <is>
          <t>Custo Mercadoria Vendida</t>
        </is>
      </c>
      <c r="M1460" t="inlineStr">
        <is>
          <t>Insumos - Alimentos</t>
        </is>
      </c>
      <c r="N1460" t="inlineStr">
        <is>
          <t>156288</t>
        </is>
      </c>
      <c r="O1460" t="inlineStr">
        <is>
          <t>Documentação Aprovada</t>
        </is>
      </c>
      <c r="P1460" t="inlineStr">
        <is>
          <t>Aprovado Diretoria</t>
        </is>
      </c>
      <c r="Q1460" t="inlineStr">
        <is>
          <t>Aprovado Caixa</t>
        </is>
      </c>
      <c r="R1460" t="inlineStr">
        <is>
          <t>Pago</t>
        </is>
      </c>
      <c r="S1460" t="n">
        <v>182</v>
      </c>
      <c r="T1460" t="inlineStr">
        <is>
          <t>Love - Shibari - Kamino</t>
        </is>
      </c>
    </row>
    <row r="1461">
      <c r="A1461" t="n">
        <v>145776</v>
      </c>
      <c r="B1461" t="n">
        <v>128</v>
      </c>
      <c r="C1461" t="inlineStr">
        <is>
          <t>Love Cabaret</t>
        </is>
      </c>
      <c r="D1461" t="inlineStr">
        <is>
          <t>ZAHIL IMPORTADORA LTDA</t>
        </is>
      </c>
      <c r="E1461" t="n">
        <v>1972.92</v>
      </c>
      <c r="F1461" s="27" t="n">
        <v>45859</v>
      </c>
      <c r="G1461" s="27" t="n">
        <v>45859</v>
      </c>
      <c r="H1461" s="27" t="n">
        <v>45859</v>
      </c>
      <c r="I1461" s="27" t="n">
        <v>45842</v>
      </c>
      <c r="J1461" s="27" t="n">
        <v>45848</v>
      </c>
      <c r="K1461" t="inlineStr">
        <is>
          <t>Boleto Bancário</t>
        </is>
      </c>
      <c r="L1461" t="inlineStr">
        <is>
          <t>Custo Mercadoria Vendida</t>
        </is>
      </c>
      <c r="M1461" t="inlineStr">
        <is>
          <t>Insumos - Bebidas</t>
        </is>
      </c>
      <c r="N1461" t="inlineStr">
        <is>
          <t>251234</t>
        </is>
      </c>
      <c r="O1461" t="inlineStr">
        <is>
          <t>Documentação Aprovada</t>
        </is>
      </c>
      <c r="P1461" t="inlineStr">
        <is>
          <t>Aprovado Diretoria</t>
        </is>
      </c>
      <c r="Q1461" t="inlineStr">
        <is>
          <t>Aprovado Caixa</t>
        </is>
      </c>
      <c r="R1461" t="inlineStr">
        <is>
          <t>Pago</t>
        </is>
      </c>
      <c r="S1461" t="n">
        <v>182</v>
      </c>
      <c r="T1461" t="inlineStr">
        <is>
          <t>Love - Shibari - Kamino</t>
        </is>
      </c>
    </row>
    <row r="1462">
      <c r="A1462" t="n">
        <v>145934</v>
      </c>
      <c r="B1462" t="n">
        <v>128</v>
      </c>
      <c r="C1462" t="inlineStr">
        <is>
          <t>Love Cabaret</t>
        </is>
      </c>
      <c r="D1462" t="inlineStr">
        <is>
          <t>PSSS LTDA</t>
        </is>
      </c>
      <c r="E1462" t="n">
        <v>365.96</v>
      </c>
      <c r="F1462" s="27" t="n">
        <v>45861</v>
      </c>
      <c r="G1462" s="27" t="n">
        <v>45859</v>
      </c>
      <c r="H1462" s="27" t="n">
        <v>45859</v>
      </c>
      <c r="I1462" s="27" t="n">
        <v>45847</v>
      </c>
      <c r="J1462" s="27" t="n">
        <v>45849</v>
      </c>
      <c r="K1462" t="inlineStr">
        <is>
          <t>Boleto Bancário</t>
        </is>
      </c>
      <c r="L1462" t="inlineStr">
        <is>
          <t>Utilidades</t>
        </is>
      </c>
      <c r="M1462" t="inlineStr">
        <is>
          <t>Higiene e Limpeza</t>
        </is>
      </c>
      <c r="N1462" t="inlineStr">
        <is>
          <t>1829</t>
        </is>
      </c>
      <c r="O1462" t="inlineStr">
        <is>
          <t>Documentação Aprovada</t>
        </is>
      </c>
      <c r="P1462" t="inlineStr">
        <is>
          <t>Aprovado Diretoria</t>
        </is>
      </c>
      <c r="Q1462" t="inlineStr">
        <is>
          <t>Aprovado Caixa</t>
        </is>
      </c>
      <c r="R1462" t="inlineStr">
        <is>
          <t>Pago</t>
        </is>
      </c>
      <c r="S1462" t="n">
        <v>182</v>
      </c>
      <c r="T1462" t="inlineStr">
        <is>
          <t>Love - Shibari - Kamino</t>
        </is>
      </c>
    </row>
    <row r="1463">
      <c r="A1463" t="n">
        <v>145932</v>
      </c>
      <c r="B1463" t="n">
        <v>128</v>
      </c>
      <c r="C1463" t="inlineStr">
        <is>
          <t>Love Cabaret</t>
        </is>
      </c>
      <c r="D1463" t="inlineStr">
        <is>
          <t>WPP COMERCIO DE CARNES LTDA</t>
        </is>
      </c>
      <c r="E1463" t="n">
        <v>1064.28</v>
      </c>
      <c r="F1463" s="27" t="n">
        <v>45860</v>
      </c>
      <c r="G1463" s="27" t="n">
        <v>45859</v>
      </c>
      <c r="H1463" s="27" t="n">
        <v>45859</v>
      </c>
      <c r="I1463" s="27" t="n">
        <v>45846</v>
      </c>
      <c r="J1463" s="27" t="n">
        <v>45849</v>
      </c>
      <c r="K1463" t="inlineStr">
        <is>
          <t>Boleto Bancário</t>
        </is>
      </c>
      <c r="L1463" t="inlineStr">
        <is>
          <t>Custo Mercadoria Vendida</t>
        </is>
      </c>
      <c r="M1463" t="inlineStr">
        <is>
          <t>Insumos - Alimentos</t>
        </is>
      </c>
      <c r="N1463" t="inlineStr">
        <is>
          <t>73363</t>
        </is>
      </c>
      <c r="O1463" t="inlineStr">
        <is>
          <t>Documentação Aprovada</t>
        </is>
      </c>
      <c r="P1463" t="inlineStr">
        <is>
          <t>Aprovado Diretoria</t>
        </is>
      </c>
      <c r="Q1463" t="inlineStr">
        <is>
          <t>Aprovado Caixa</t>
        </is>
      </c>
      <c r="R1463" t="inlineStr">
        <is>
          <t>Pago</t>
        </is>
      </c>
      <c r="S1463" t="n">
        <v>182</v>
      </c>
      <c r="T1463" t="inlineStr">
        <is>
          <t>Love - Shibari - Kamino</t>
        </is>
      </c>
    </row>
    <row r="1464">
      <c r="A1464" t="n">
        <v>145931</v>
      </c>
      <c r="B1464" t="n">
        <v>128</v>
      </c>
      <c r="C1464" t="inlineStr">
        <is>
          <t>Love Cabaret</t>
        </is>
      </c>
      <c r="D1464" t="inlineStr">
        <is>
          <t>GOMES D ELIA EQUIP. HIGIENE LTDA - WESCO</t>
        </is>
      </c>
      <c r="E1464" t="n">
        <v>389.5</v>
      </c>
      <c r="F1464" s="27" t="n">
        <v>45860</v>
      </c>
      <c r="G1464" s="27" t="n">
        <v>45859</v>
      </c>
      <c r="H1464" s="27" t="n">
        <v>45859</v>
      </c>
      <c r="I1464" s="27" t="n">
        <v>45845</v>
      </c>
      <c r="J1464" s="27" t="n">
        <v>45849</v>
      </c>
      <c r="K1464" t="inlineStr">
        <is>
          <t>Boleto Bancário</t>
        </is>
      </c>
      <c r="L1464" t="inlineStr">
        <is>
          <t>Utilidades</t>
        </is>
      </c>
      <c r="M1464" t="inlineStr">
        <is>
          <t>Higiene e Limpeza</t>
        </is>
      </c>
      <c r="N1464" t="inlineStr">
        <is>
          <t>224750</t>
        </is>
      </c>
      <c r="O1464" t="inlineStr">
        <is>
          <t>Documentação Aprovada</t>
        </is>
      </c>
      <c r="P1464" t="inlineStr">
        <is>
          <t>Aprovado Diretoria</t>
        </is>
      </c>
      <c r="Q1464" t="inlineStr">
        <is>
          <t>Aprovado Caixa</t>
        </is>
      </c>
      <c r="R1464" t="inlineStr">
        <is>
          <t>Pago</t>
        </is>
      </c>
      <c r="S1464" t="n">
        <v>182</v>
      </c>
      <c r="T1464" t="inlineStr">
        <is>
          <t>Love - Shibari - Kamino</t>
        </is>
      </c>
    </row>
    <row r="1465">
      <c r="A1465" t="n">
        <v>145930</v>
      </c>
      <c r="B1465" t="n">
        <v>128</v>
      </c>
      <c r="C1465" t="inlineStr">
        <is>
          <t>Love Cabaret</t>
        </is>
      </c>
      <c r="D1465" t="inlineStr">
        <is>
          <t>PARAMU COMERCIO E REPRESENTACAO DE PRODUTOS ALIMENTICIOS</t>
        </is>
      </c>
      <c r="E1465" t="n">
        <v>981.9</v>
      </c>
      <c r="F1465" s="27" t="n">
        <v>45859</v>
      </c>
      <c r="G1465" s="27" t="n">
        <v>45859</v>
      </c>
      <c r="H1465" s="27" t="n">
        <v>45859</v>
      </c>
      <c r="I1465" s="27" t="n">
        <v>45845</v>
      </c>
      <c r="J1465" s="27" t="n">
        <v>45849</v>
      </c>
      <c r="K1465" t="inlineStr">
        <is>
          <t>Boleto Bancário</t>
        </is>
      </c>
      <c r="L1465" t="inlineStr">
        <is>
          <t>Custo Mercadoria Vendida</t>
        </is>
      </c>
      <c r="M1465" t="inlineStr">
        <is>
          <t>Insumos - Alimentos</t>
        </is>
      </c>
      <c r="N1465" t="inlineStr">
        <is>
          <t>14564</t>
        </is>
      </c>
      <c r="O1465" t="inlineStr">
        <is>
          <t>Documentação Aprovada</t>
        </is>
      </c>
      <c r="P1465" t="inlineStr">
        <is>
          <t>Aprovado Diretoria</t>
        </is>
      </c>
      <c r="Q1465" t="inlineStr">
        <is>
          <t>Aprovado Caixa</t>
        </is>
      </c>
      <c r="R1465" t="inlineStr">
        <is>
          <t>Pago</t>
        </is>
      </c>
      <c r="S1465" t="n">
        <v>182</v>
      </c>
      <c r="T1465" t="inlineStr">
        <is>
          <t>Love - Shibari - Kamino</t>
        </is>
      </c>
    </row>
    <row r="1466">
      <c r="A1466" t="n">
        <v>145915</v>
      </c>
      <c r="B1466" t="n">
        <v>128</v>
      </c>
      <c r="C1466" t="inlineStr">
        <is>
          <t>Love Cabaret</t>
        </is>
      </c>
      <c r="D1466" t="inlineStr">
        <is>
          <t xml:space="preserve">SKY COMERCIO DE PRODUTOS ALIMENTICIOS LTDA </t>
        </is>
      </c>
      <c r="E1466" t="n">
        <v>480</v>
      </c>
      <c r="F1466" s="27" t="n">
        <v>45860</v>
      </c>
      <c r="G1466" s="27" t="n">
        <v>45859</v>
      </c>
      <c r="H1466" s="27" t="n">
        <v>45859</v>
      </c>
      <c r="I1466" s="27" t="n">
        <v>45846</v>
      </c>
      <c r="J1466" s="27" t="n">
        <v>45849</v>
      </c>
      <c r="K1466" t="inlineStr">
        <is>
          <t>Boleto Bancário</t>
        </is>
      </c>
      <c r="L1466" t="inlineStr">
        <is>
          <t>Custo Mercadoria Vendida</t>
        </is>
      </c>
      <c r="M1466" t="inlineStr">
        <is>
          <t>Insumos - Bebidas</t>
        </is>
      </c>
      <c r="N1466" t="inlineStr">
        <is>
          <t>31743</t>
        </is>
      </c>
      <c r="O1466" t="inlineStr">
        <is>
          <t>Documentação Aprovada</t>
        </is>
      </c>
      <c r="P1466" t="inlineStr">
        <is>
          <t>Aprovado Diretoria</t>
        </is>
      </c>
      <c r="Q1466" t="inlineStr">
        <is>
          <t>Aprovado Caixa</t>
        </is>
      </c>
      <c r="R1466" t="inlineStr">
        <is>
          <t>Pago</t>
        </is>
      </c>
      <c r="S1466" t="n">
        <v>182</v>
      </c>
      <c r="T1466" t="inlineStr">
        <is>
          <t>Love - Shibari - Kamino</t>
        </is>
      </c>
    </row>
    <row r="1467">
      <c r="A1467" t="n">
        <v>145922</v>
      </c>
      <c r="B1467" t="n">
        <v>128</v>
      </c>
      <c r="C1467" t="inlineStr">
        <is>
          <t>Love Cabaret</t>
        </is>
      </c>
      <c r="D1467" t="inlineStr">
        <is>
          <t>CECILIA TSUYACO ARAKI SILVA LTDA</t>
        </is>
      </c>
      <c r="E1467" t="n">
        <v>242.45</v>
      </c>
      <c r="F1467" s="27" t="n">
        <v>45859</v>
      </c>
      <c r="G1467" s="27" t="n">
        <v>45859</v>
      </c>
      <c r="H1467" s="27" t="n">
        <v>45859</v>
      </c>
      <c r="I1467" s="27" t="n">
        <v>45845</v>
      </c>
      <c r="J1467" s="27" t="n">
        <v>45849</v>
      </c>
      <c r="K1467" t="inlineStr">
        <is>
          <t>Boleto Bancário</t>
        </is>
      </c>
      <c r="L1467" t="inlineStr">
        <is>
          <t>Custo Mercadoria Vendida</t>
        </is>
      </c>
      <c r="M1467" t="inlineStr">
        <is>
          <t>Insumos - Alimentos</t>
        </is>
      </c>
      <c r="N1467" t="inlineStr">
        <is>
          <t>374092</t>
        </is>
      </c>
      <c r="O1467" t="inlineStr">
        <is>
          <t>Documentação Aprovada</t>
        </is>
      </c>
      <c r="P1467" t="inlineStr">
        <is>
          <t>Aprovado Diretoria</t>
        </is>
      </c>
      <c r="Q1467" t="inlineStr">
        <is>
          <t>Aprovado Caixa</t>
        </is>
      </c>
      <c r="R1467" t="inlineStr">
        <is>
          <t>Pago</t>
        </is>
      </c>
      <c r="S1467" t="n">
        <v>182</v>
      </c>
      <c r="T1467" t="inlineStr">
        <is>
          <t>Love - Shibari - Kamino</t>
        </is>
      </c>
    </row>
    <row r="1468">
      <c r="A1468" t="n">
        <v>148313</v>
      </c>
      <c r="B1468" t="n">
        <v>128</v>
      </c>
      <c r="C1468" t="inlineStr">
        <is>
          <t>Love Cabaret</t>
        </is>
      </c>
      <c r="D1468" t="inlineStr">
        <is>
          <t>BRADESCO SA</t>
        </is>
      </c>
      <c r="E1468" t="n">
        <v>7.25</v>
      </c>
      <c r="F1468" s="27" t="n">
        <v>45859</v>
      </c>
      <c r="G1468" s="27" t="n"/>
      <c r="H1468" s="27" t="n">
        <v>45859</v>
      </c>
      <c r="I1468" s="27" t="n">
        <v>45859</v>
      </c>
      <c r="J1468" s="27" t="n">
        <v>45860</v>
      </c>
      <c r="K1468" t="inlineStr">
        <is>
          <t>Encontro de Contas</t>
        </is>
      </c>
      <c r="L1468" t="inlineStr">
        <is>
          <t>Despesas Financeiras</t>
        </is>
      </c>
      <c r="M1468" t="inlineStr">
        <is>
          <t>Tarifas Bancárias</t>
        </is>
      </c>
      <c r="N1468" t="inlineStr">
        <is>
          <t>072025</t>
        </is>
      </c>
      <c r="P1468" t="inlineStr">
        <is>
          <t>Aprovado Diretoria</t>
        </is>
      </c>
      <c r="R1468" t="inlineStr">
        <is>
          <t>Pago</t>
        </is>
      </c>
    </row>
    <row r="1469">
      <c r="A1469" t="n">
        <v>96938</v>
      </c>
      <c r="B1469" t="n">
        <v>128</v>
      </c>
      <c r="C1469" t="inlineStr">
        <is>
          <t>Love Cabaret</t>
        </is>
      </c>
      <c r="D1469" t="inlineStr">
        <is>
          <t>CIA DE SANEAMENTO BASICO DO ESTADO DE SAO PAULO SABESP</t>
        </is>
      </c>
      <c r="E1469" t="n">
        <v>153.96</v>
      </c>
      <c r="F1469" s="27" t="n">
        <v>45858</v>
      </c>
      <c r="G1469" s="27" t="n">
        <v>45859</v>
      </c>
      <c r="H1469" s="27" t="n">
        <v>45859</v>
      </c>
      <c r="I1469" s="27" t="n">
        <v>45821</v>
      </c>
      <c r="J1469" s="27" t="n"/>
      <c r="K1469" t="inlineStr">
        <is>
          <t>Boleto Bancário</t>
        </is>
      </c>
      <c r="L1469" t="inlineStr">
        <is>
          <t>Utilidades</t>
        </is>
      </c>
      <c r="M1469" t="inlineStr">
        <is>
          <t>Agua/Esgoto</t>
        </is>
      </c>
      <c r="N1469" t="inlineStr">
        <is>
          <t xml:space="preserve">202560294973 </t>
        </is>
      </c>
      <c r="O1469" t="inlineStr">
        <is>
          <t>Documentação Aprovada</t>
        </is>
      </c>
      <c r="P1469" t="inlineStr">
        <is>
          <t>Aprovado Diretoria</t>
        </is>
      </c>
      <c r="Q1469" t="inlineStr">
        <is>
          <t>Aprovado Caixa</t>
        </is>
      </c>
      <c r="R1469" t="inlineStr">
        <is>
          <t>Pago</t>
        </is>
      </c>
      <c r="S1469" t="n">
        <v>182</v>
      </c>
      <c r="T1469" t="inlineStr">
        <is>
          <t>Love - Shibari - Kamino</t>
        </is>
      </c>
    </row>
    <row r="1470">
      <c r="A1470" t="n">
        <v>96885</v>
      </c>
      <c r="B1470" t="n">
        <v>128</v>
      </c>
      <c r="C1470" t="inlineStr">
        <is>
          <t>Love Cabaret</t>
        </is>
      </c>
      <c r="D1470" t="inlineStr">
        <is>
          <t>ALPHALIX AMBIENTEAL LOC/ DE EQUIPAMENTOS EIRELI</t>
        </is>
      </c>
      <c r="E1470" t="n">
        <v>1343.39</v>
      </c>
      <c r="F1470" s="27" t="n">
        <v>45860</v>
      </c>
      <c r="G1470" s="27" t="n">
        <v>45859</v>
      </c>
      <c r="H1470" s="27" t="n">
        <v>45859</v>
      </c>
      <c r="I1470" s="27" t="n">
        <v>45838</v>
      </c>
      <c r="J1470" s="27" t="n"/>
      <c r="K1470" t="inlineStr">
        <is>
          <t>Boleto Bancário</t>
        </is>
      </c>
      <c r="L1470" t="inlineStr">
        <is>
          <t>Utilidades</t>
        </is>
      </c>
      <c r="M1470" t="inlineStr">
        <is>
          <t>Coleta de lixo</t>
        </is>
      </c>
      <c r="N1470" t="inlineStr">
        <is>
          <t xml:space="preserve">46949 </t>
        </is>
      </c>
      <c r="O1470" t="inlineStr">
        <is>
          <t>Documentação Aprovada</t>
        </is>
      </c>
      <c r="P1470" t="inlineStr">
        <is>
          <t>Aprovado Diretoria</t>
        </is>
      </c>
      <c r="Q1470" t="inlineStr">
        <is>
          <t>Aprovado Caixa</t>
        </is>
      </c>
      <c r="R1470" t="inlineStr">
        <is>
          <t>Pago</t>
        </is>
      </c>
      <c r="S1470" t="n">
        <v>182</v>
      </c>
      <c r="T1470" t="inlineStr">
        <is>
          <t>Love - Shibari - Kamino</t>
        </is>
      </c>
    </row>
    <row r="1471">
      <c r="A1471" t="n">
        <v>97470</v>
      </c>
      <c r="B1471" t="n">
        <v>128</v>
      </c>
      <c r="C1471" t="inlineStr">
        <is>
          <t>Love Cabaret</t>
        </is>
      </c>
      <c r="D1471" t="inlineStr">
        <is>
          <t>ICMS</t>
        </is>
      </c>
      <c r="E1471" t="n">
        <v>11150.31</v>
      </c>
      <c r="F1471" s="27" t="n">
        <v>45858</v>
      </c>
      <c r="G1471" s="27" t="n">
        <v>45859</v>
      </c>
      <c r="H1471" s="27" t="n">
        <v>45859</v>
      </c>
      <c r="I1471" s="27" t="n">
        <v>45838</v>
      </c>
      <c r="J1471" s="27" t="n"/>
      <c r="K1471" t="inlineStr">
        <is>
          <t>Boleto Bancário</t>
        </is>
      </c>
      <c r="L1471" t="inlineStr">
        <is>
          <t>Impostos sobre Venda</t>
        </is>
      </c>
      <c r="M1471" t="inlineStr">
        <is>
          <t>ICMS</t>
        </is>
      </c>
      <c r="N1471" t="inlineStr">
        <is>
          <t>0001150</t>
        </is>
      </c>
      <c r="O1471" t="inlineStr">
        <is>
          <t>Documentação Aprovada</t>
        </is>
      </c>
      <c r="P1471" t="inlineStr">
        <is>
          <t>Aprovado Diretoria</t>
        </is>
      </c>
      <c r="Q1471" t="inlineStr">
        <is>
          <t>Aprovado Caixa</t>
        </is>
      </c>
      <c r="R1471" t="inlineStr">
        <is>
          <t>Pago</t>
        </is>
      </c>
      <c r="S1471" t="n">
        <v>182</v>
      </c>
      <c r="T1471" t="inlineStr">
        <is>
          <t>Love - Shibari - Kamino</t>
        </is>
      </c>
    </row>
    <row r="1472">
      <c r="A1472" t="n">
        <v>102819</v>
      </c>
      <c r="B1472" t="n">
        <v>128</v>
      </c>
      <c r="C1472" t="inlineStr">
        <is>
          <t>Love Cabaret</t>
        </is>
      </c>
      <c r="D1472" t="inlineStr">
        <is>
          <t>GOMES D ELIA EQUIP. HIGIENE LTDA - WESCO</t>
        </is>
      </c>
      <c r="E1472" t="n">
        <v>551.15</v>
      </c>
      <c r="F1472" s="27" t="n">
        <v>45858</v>
      </c>
      <c r="G1472" s="27" t="n">
        <v>45859</v>
      </c>
      <c r="H1472" s="27" t="n">
        <v>45859</v>
      </c>
      <c r="I1472" s="27" t="n">
        <v>45839</v>
      </c>
      <c r="J1472" s="27" t="n"/>
      <c r="K1472" t="inlineStr">
        <is>
          <t>Boleto Bancário</t>
        </is>
      </c>
      <c r="L1472" t="inlineStr">
        <is>
          <t>Utilidades</t>
        </is>
      </c>
      <c r="M1472" t="inlineStr">
        <is>
          <t>Higiene e Limpeza</t>
        </is>
      </c>
      <c r="N1472" t="inlineStr">
        <is>
          <t>179675</t>
        </is>
      </c>
      <c r="O1472" t="inlineStr">
        <is>
          <t>Documentação Aprovada</t>
        </is>
      </c>
      <c r="P1472" t="inlineStr">
        <is>
          <t>Aprovado Diretoria</t>
        </is>
      </c>
      <c r="Q1472" t="inlineStr">
        <is>
          <t>Aprovado Caixa</t>
        </is>
      </c>
      <c r="R1472" t="inlineStr">
        <is>
          <t>Pago</t>
        </is>
      </c>
      <c r="S1472" t="n">
        <v>182</v>
      </c>
      <c r="T1472" t="inlineStr">
        <is>
          <t>Love - Shibari - Kamino</t>
        </is>
      </c>
    </row>
    <row r="1473">
      <c r="A1473" t="n">
        <v>106691</v>
      </c>
      <c r="B1473" t="n">
        <v>128</v>
      </c>
      <c r="C1473" t="inlineStr">
        <is>
          <t>Love Cabaret</t>
        </is>
      </c>
      <c r="D1473" t="inlineStr">
        <is>
          <t>AURORA ALVORADA ESTACIONAMENTO E LANCHONETE LTDA</t>
        </is>
      </c>
      <c r="E1473" t="n">
        <v>217.39</v>
      </c>
      <c r="F1473" s="27" t="n">
        <v>45859</v>
      </c>
      <c r="G1473" s="27" t="n">
        <v>45859</v>
      </c>
      <c r="H1473" s="27" t="n">
        <v>45859</v>
      </c>
      <c r="I1473" s="27" t="n">
        <v>45852</v>
      </c>
      <c r="J1473" s="27" t="n"/>
      <c r="K1473" t="inlineStr">
        <is>
          <t>Boleto Bancário</t>
        </is>
      </c>
      <c r="L1473" t="inlineStr">
        <is>
          <t>Custo Mercadoria Vendida</t>
        </is>
      </c>
      <c r="M1473" t="inlineStr">
        <is>
          <t>Insumos - Alimentos</t>
        </is>
      </c>
      <c r="N1473" t="inlineStr">
        <is>
          <t>10764</t>
        </is>
      </c>
      <c r="O1473" t="inlineStr">
        <is>
          <t>Documentação Aprovada</t>
        </is>
      </c>
      <c r="P1473" t="inlineStr">
        <is>
          <t>Aprovado Diretoria</t>
        </is>
      </c>
      <c r="Q1473" t="inlineStr">
        <is>
          <t>Aprovado Caixa</t>
        </is>
      </c>
      <c r="R1473" t="inlineStr">
        <is>
          <t>Pago</t>
        </is>
      </c>
      <c r="S1473" t="n">
        <v>182</v>
      </c>
      <c r="T1473" t="inlineStr">
        <is>
          <t>Love - Shibari - Kamino</t>
        </is>
      </c>
    </row>
    <row r="1474">
      <c r="A1474" t="n">
        <v>97015</v>
      </c>
      <c r="B1474" t="n">
        <v>128</v>
      </c>
      <c r="C1474" t="inlineStr">
        <is>
          <t>Love Cabaret</t>
        </is>
      </c>
      <c r="D1474" t="inlineStr">
        <is>
          <t>ESHOWS PROMOCOES ARTISTICAS LTDA</t>
        </is>
      </c>
      <c r="E1474" t="n">
        <v>16495</v>
      </c>
      <c r="F1474" s="27" t="n">
        <v>45856</v>
      </c>
      <c r="G1474" s="27" t="n">
        <v>45856</v>
      </c>
      <c r="H1474" s="27" t="n">
        <v>45856</v>
      </c>
      <c r="I1474" s="27" t="n">
        <v>45839</v>
      </c>
      <c r="J1474" s="27" t="n"/>
      <c r="K1474" t="inlineStr">
        <is>
          <t>Boleto Bancário</t>
        </is>
      </c>
      <c r="L1474" t="inlineStr">
        <is>
          <t>Custos Artístico Geral</t>
        </is>
      </c>
      <c r="M1474" t="inlineStr">
        <is>
          <t>Cachê de Músicos e Artistas</t>
        </is>
      </c>
      <c r="N1474" t="inlineStr">
        <is>
          <t>600043651</t>
        </is>
      </c>
      <c r="O1474" t="inlineStr">
        <is>
          <t>Documentação Aprovada</t>
        </is>
      </c>
      <c r="P1474" t="inlineStr">
        <is>
          <t>Aprovado Diretoria</t>
        </is>
      </c>
      <c r="Q1474" t="inlineStr">
        <is>
          <t>Aprovado Caixa</t>
        </is>
      </c>
      <c r="R1474" t="inlineStr">
        <is>
          <t>Pago</t>
        </is>
      </c>
      <c r="S1474" t="n">
        <v>115</v>
      </c>
      <c r="T1474" t="inlineStr">
        <is>
          <t>Love - Shibari - Bradesco</t>
        </is>
      </c>
    </row>
    <row r="1475">
      <c r="A1475" t="n">
        <v>149025</v>
      </c>
      <c r="B1475" t="n">
        <v>128</v>
      </c>
      <c r="C1475" t="inlineStr">
        <is>
          <t>Love Cabaret</t>
        </is>
      </c>
      <c r="D1475" t="inlineStr">
        <is>
          <t>BRADESCO SA</t>
        </is>
      </c>
      <c r="E1475" t="n">
        <v>9.800000000000001</v>
      </c>
      <c r="F1475" s="27" t="n">
        <v>45856</v>
      </c>
      <c r="G1475" s="27" t="n"/>
      <c r="H1475" s="27" t="n">
        <v>45856</v>
      </c>
      <c r="I1475" s="27" t="n">
        <v>45856</v>
      </c>
      <c r="J1475" s="27" t="n">
        <v>45863</v>
      </c>
      <c r="K1475" t="inlineStr">
        <is>
          <t>Encontro de Contas</t>
        </is>
      </c>
      <c r="L1475" t="inlineStr">
        <is>
          <t>Despesas Financeiras</t>
        </is>
      </c>
      <c r="M1475" t="inlineStr">
        <is>
          <t>Tarifas Bancárias</t>
        </is>
      </c>
      <c r="N1475" t="inlineStr">
        <is>
          <t>072025</t>
        </is>
      </c>
      <c r="P1475" t="inlineStr">
        <is>
          <t>Aprovado Diretoria</t>
        </is>
      </c>
      <c r="R1475" t="inlineStr">
        <is>
          <t>Pago</t>
        </is>
      </c>
    </row>
    <row r="1476">
      <c r="A1476" t="n">
        <v>129465</v>
      </c>
      <c r="B1476" t="n">
        <v>128</v>
      </c>
      <c r="C1476" t="inlineStr">
        <is>
          <t>Love Cabaret</t>
        </is>
      </c>
      <c r="D1476" t="inlineStr">
        <is>
          <t>OPUS CONSULTORIA E PESQUISA LTDA</t>
        </is>
      </c>
      <c r="E1476" t="n">
        <v>300</v>
      </c>
      <c r="F1476" s="27" t="n">
        <v>45858</v>
      </c>
      <c r="G1476" s="27" t="n">
        <v>45856</v>
      </c>
      <c r="H1476" s="27" t="n">
        <v>45856</v>
      </c>
      <c r="I1476" s="27" t="n">
        <v>45844</v>
      </c>
      <c r="J1476" s="27" t="n"/>
      <c r="K1476" t="inlineStr">
        <is>
          <t>Boleto Bancário</t>
        </is>
      </c>
      <c r="L1476" t="inlineStr">
        <is>
          <t>Serviços de Terceiros</t>
        </is>
      </c>
      <c r="M1476" t="inlineStr">
        <is>
          <t>Assessoria em Geral</t>
        </is>
      </c>
      <c r="N1476" t="inlineStr">
        <is>
          <t>526</t>
        </is>
      </c>
      <c r="O1476" t="inlineStr">
        <is>
          <t>Documentação Aprovada</t>
        </is>
      </c>
      <c r="P1476" t="inlineStr">
        <is>
          <t>Aprovado Diretoria</t>
        </is>
      </c>
      <c r="Q1476" t="inlineStr">
        <is>
          <t>Aprovado Caixa</t>
        </is>
      </c>
      <c r="R1476" t="inlineStr">
        <is>
          <t>Pago</t>
        </is>
      </c>
      <c r="S1476" t="n">
        <v>115</v>
      </c>
      <c r="T1476" t="inlineStr">
        <is>
          <t>Love - Shibari - Bradesco</t>
        </is>
      </c>
    </row>
    <row r="1477">
      <c r="A1477" t="n">
        <v>145771</v>
      </c>
      <c r="B1477" t="n">
        <v>128</v>
      </c>
      <c r="C1477" t="inlineStr">
        <is>
          <t>Love Cabaret</t>
        </is>
      </c>
      <c r="D1477" t="inlineStr">
        <is>
          <t xml:space="preserve">GUILHERME VALE DIAS </t>
        </is>
      </c>
      <c r="E1477" t="n">
        <v>1385</v>
      </c>
      <c r="F1477" s="27" t="n">
        <v>45854</v>
      </c>
      <c r="G1477" s="27" t="n">
        <v>45855</v>
      </c>
      <c r="H1477" s="27" t="n">
        <v>45855</v>
      </c>
      <c r="I1477" s="27" t="n">
        <v>45840</v>
      </c>
      <c r="J1477" s="27" t="n">
        <v>45848</v>
      </c>
      <c r="K1477" t="inlineStr">
        <is>
          <t>Transferência Bancária ou Pix</t>
        </is>
      </c>
      <c r="L1477" t="inlineStr">
        <is>
          <t>Custos Artístico Geral</t>
        </is>
      </c>
      <c r="M1477" t="inlineStr">
        <is>
          <t>Cachê de Músicos e Artistas</t>
        </is>
      </c>
      <c r="N1477" t="inlineStr">
        <is>
          <t>53</t>
        </is>
      </c>
      <c r="O1477" t="inlineStr">
        <is>
          <t>Documentação Aprovada</t>
        </is>
      </c>
      <c r="P1477" t="inlineStr">
        <is>
          <t>Aprovado Diretoria</t>
        </is>
      </c>
      <c r="Q1477" t="inlineStr">
        <is>
          <t>Aprovado Caixa</t>
        </is>
      </c>
      <c r="R1477" t="inlineStr">
        <is>
          <t>Pago</t>
        </is>
      </c>
      <c r="S1477" t="n">
        <v>182</v>
      </c>
      <c r="T1477" t="inlineStr">
        <is>
          <t>Love - Shibari - Kamino</t>
        </is>
      </c>
    </row>
    <row r="1478">
      <c r="A1478" t="n">
        <v>109219</v>
      </c>
      <c r="B1478" t="n">
        <v>128</v>
      </c>
      <c r="C1478" t="inlineStr">
        <is>
          <t>Love Cabaret</t>
        </is>
      </c>
      <c r="D1478" t="inlineStr">
        <is>
          <t xml:space="preserve">KAMINO INSTITUICAO DE PAGAMENTO LTDA </t>
        </is>
      </c>
      <c r="E1478" t="n">
        <v>400</v>
      </c>
      <c r="F1478" s="27" t="n">
        <v>45856</v>
      </c>
      <c r="G1478" s="27" t="n">
        <v>45855</v>
      </c>
      <c r="H1478" s="27" t="n">
        <v>45855</v>
      </c>
      <c r="I1478" s="27" t="n">
        <v>45845</v>
      </c>
      <c r="J1478" s="27" t="n"/>
      <c r="K1478" t="inlineStr">
        <is>
          <t>Boleto Bancário</t>
        </is>
      </c>
      <c r="L1478" t="inlineStr">
        <is>
          <t>Despesas Financeiras</t>
        </is>
      </c>
      <c r="M1478" t="inlineStr">
        <is>
          <t>Tarifas Bancárias</t>
        </is>
      </c>
      <c r="O1478" t="inlineStr">
        <is>
          <t>Documentação Aprovada</t>
        </is>
      </c>
      <c r="P1478" t="inlineStr">
        <is>
          <t>Aprovado Diretoria</t>
        </is>
      </c>
      <c r="Q1478" t="inlineStr">
        <is>
          <t>Aprovado Caixa</t>
        </is>
      </c>
      <c r="R1478" t="inlineStr">
        <is>
          <t>Pago</t>
        </is>
      </c>
      <c r="S1478" t="n">
        <v>182</v>
      </c>
      <c r="T1478" t="inlineStr">
        <is>
          <t>Love - Shibari - Kamino</t>
        </is>
      </c>
    </row>
    <row r="1479">
      <c r="A1479" t="n">
        <v>97109</v>
      </c>
      <c r="B1479" t="n">
        <v>128</v>
      </c>
      <c r="C1479" t="inlineStr">
        <is>
          <t>Love Cabaret</t>
        </is>
      </c>
      <c r="D1479" t="inlineStr">
        <is>
          <t>ESTAFF SOLUCOES TECNOLOGICAS DE AGENCIAMENTO LTDA</t>
        </is>
      </c>
      <c r="E1479" t="n">
        <v>14841.77</v>
      </c>
      <c r="F1479" s="27" t="n">
        <v>45854</v>
      </c>
      <c r="G1479" s="27" t="n">
        <v>45853</v>
      </c>
      <c r="H1479" s="27" t="n">
        <v>45854</v>
      </c>
      <c r="I1479" s="27" t="n">
        <v>45845</v>
      </c>
      <c r="J1479" s="27" t="n"/>
      <c r="K1479" t="inlineStr">
        <is>
          <t>Boleto Bancário</t>
        </is>
      </c>
      <c r="L1479" t="inlineStr">
        <is>
          <t>Mão de Obra - Extra</t>
        </is>
      </c>
      <c r="M1479" t="inlineStr">
        <is>
          <t>Mão de Obra Extra</t>
        </is>
      </c>
      <c r="N1479" t="inlineStr">
        <is>
          <t>598015932</t>
        </is>
      </c>
      <c r="O1479" t="inlineStr">
        <is>
          <t>Documentação Aprovada</t>
        </is>
      </c>
      <c r="P1479" t="inlineStr">
        <is>
          <t>Aprovado Diretoria</t>
        </is>
      </c>
      <c r="Q1479" t="inlineStr">
        <is>
          <t>Aprovado Caixa</t>
        </is>
      </c>
      <c r="R1479" t="inlineStr">
        <is>
          <t>Pago</t>
        </is>
      </c>
      <c r="S1479" t="n">
        <v>182</v>
      </c>
      <c r="T1479" t="inlineStr">
        <is>
          <t>Love - Shibari - Kamino</t>
        </is>
      </c>
    </row>
    <row r="1480">
      <c r="A1480" t="n">
        <v>145334</v>
      </c>
      <c r="B1480" t="n">
        <v>128</v>
      </c>
      <c r="C1480" t="inlineStr">
        <is>
          <t>Love Cabaret</t>
        </is>
      </c>
      <c r="D1480" t="inlineStr">
        <is>
          <t>PORTO SEGURO CIA DE SEGUROS GERAIS</t>
        </is>
      </c>
      <c r="E1480" t="n">
        <v>102.42</v>
      </c>
      <c r="F1480" s="27" t="n">
        <v>45856</v>
      </c>
      <c r="G1480" s="27" t="n">
        <v>45853</v>
      </c>
      <c r="H1480" s="27" t="n">
        <v>45854</v>
      </c>
      <c r="I1480" s="27" t="n">
        <v>45839</v>
      </c>
      <c r="J1480" s="27" t="n">
        <v>45846</v>
      </c>
      <c r="K1480" t="inlineStr">
        <is>
          <t>Boleto Bancário</t>
        </is>
      </c>
      <c r="L1480" t="inlineStr">
        <is>
          <t>Mão de Obra - Benefícios</t>
        </is>
      </c>
      <c r="M1480" t="inlineStr">
        <is>
          <t xml:space="preserve">  -  Seguro de Vida</t>
        </is>
      </c>
      <c r="N1480" t="inlineStr">
        <is>
          <t>6795854608</t>
        </is>
      </c>
      <c r="O1480" t="inlineStr">
        <is>
          <t>Documentação Aprovada</t>
        </is>
      </c>
      <c r="P1480" t="inlineStr">
        <is>
          <t>Aprovado Diretoria</t>
        </is>
      </c>
      <c r="Q1480" t="inlineStr">
        <is>
          <t>Aprovado Caixa</t>
        </is>
      </c>
      <c r="R1480" t="inlineStr">
        <is>
          <t>Pago</t>
        </is>
      </c>
      <c r="S1480" t="n">
        <v>182</v>
      </c>
      <c r="T1480" t="inlineStr">
        <is>
          <t>Love - Shibari - Kamino</t>
        </is>
      </c>
    </row>
    <row r="1481">
      <c r="A1481" t="n">
        <v>149024</v>
      </c>
      <c r="B1481" t="n">
        <v>128</v>
      </c>
      <c r="C1481" t="inlineStr">
        <is>
          <t>Love Cabaret</t>
        </is>
      </c>
      <c r="D1481" t="inlineStr">
        <is>
          <t>BRADESCO SA</t>
        </is>
      </c>
      <c r="E1481" t="n">
        <v>9.800000000000001</v>
      </c>
      <c r="F1481" s="27" t="n">
        <v>45854</v>
      </c>
      <c r="G1481" s="27" t="n"/>
      <c r="H1481" s="27" t="n">
        <v>45854</v>
      </c>
      <c r="I1481" s="27" t="n">
        <v>45854</v>
      </c>
      <c r="J1481" s="27" t="n">
        <v>45863</v>
      </c>
      <c r="K1481" t="inlineStr">
        <is>
          <t>Encontro de Contas</t>
        </is>
      </c>
      <c r="L1481" t="inlineStr">
        <is>
          <t>Despesas Financeiras</t>
        </is>
      </c>
      <c r="M1481" t="inlineStr">
        <is>
          <t>Tarifas Bancárias</t>
        </is>
      </c>
      <c r="N1481" t="inlineStr">
        <is>
          <t>072025</t>
        </is>
      </c>
      <c r="P1481" t="inlineStr">
        <is>
          <t>Aprovado Diretoria</t>
        </is>
      </c>
      <c r="R1481" t="inlineStr">
        <is>
          <t>Pago</t>
        </is>
      </c>
    </row>
    <row r="1482">
      <c r="A1482" t="n">
        <v>146543</v>
      </c>
      <c r="B1482" t="n">
        <v>128</v>
      </c>
      <c r="C1482" t="inlineStr">
        <is>
          <t>Love Cabaret</t>
        </is>
      </c>
      <c r="D1482" t="inlineStr">
        <is>
          <t>CAROLINE FERREIRA DA SILVA</t>
        </is>
      </c>
      <c r="E1482" t="n">
        <v>916.8</v>
      </c>
      <c r="F1482" s="27" t="n">
        <v>45856</v>
      </c>
      <c r="G1482" s="27" t="n">
        <v>45854</v>
      </c>
      <c r="H1482" s="27" t="n">
        <v>45854</v>
      </c>
      <c r="I1482" s="27" t="n">
        <v>45853</v>
      </c>
      <c r="J1482" s="27" t="n"/>
      <c r="L1482" t="inlineStr">
        <is>
          <t>Mão de Obra - Salários</t>
        </is>
      </c>
      <c r="M1482" t="inlineStr">
        <is>
          <t>MDO CLT - Salário</t>
        </is>
      </c>
      <c r="O1482" t="inlineStr">
        <is>
          <t>Documentação Aprovada</t>
        </is>
      </c>
      <c r="P1482" t="inlineStr">
        <is>
          <t>Aprovado Diretoria</t>
        </is>
      </c>
      <c r="Q1482" t="inlineStr">
        <is>
          <t>Aprovado Caixa</t>
        </is>
      </c>
      <c r="R1482" t="inlineStr">
        <is>
          <t>Pago</t>
        </is>
      </c>
      <c r="S1482" t="n">
        <v>115</v>
      </c>
      <c r="T1482" t="inlineStr">
        <is>
          <t>Love - Shibari - Bradesco</t>
        </is>
      </c>
    </row>
    <row r="1483">
      <c r="A1483" t="n">
        <v>149023</v>
      </c>
      <c r="B1483" t="n">
        <v>128</v>
      </c>
      <c r="C1483" t="inlineStr">
        <is>
          <t>Love Cabaret</t>
        </is>
      </c>
      <c r="D1483" t="inlineStr">
        <is>
          <t>BRADESCO SA</t>
        </is>
      </c>
      <c r="E1483" t="n">
        <v>177.05</v>
      </c>
      <c r="F1483" s="27" t="n">
        <v>45853</v>
      </c>
      <c r="G1483" s="27" t="n"/>
      <c r="H1483" s="27" t="n">
        <v>45853</v>
      </c>
      <c r="I1483" s="27" t="n">
        <v>45853</v>
      </c>
      <c r="J1483" s="27" t="n">
        <v>45863</v>
      </c>
      <c r="K1483" t="inlineStr">
        <is>
          <t>Encontro de Contas</t>
        </is>
      </c>
      <c r="L1483" t="inlineStr">
        <is>
          <t>Despesas Financeiras</t>
        </is>
      </c>
      <c r="M1483" t="inlineStr">
        <is>
          <t>Tarifas Bancárias</t>
        </is>
      </c>
      <c r="N1483" t="inlineStr">
        <is>
          <t>072025</t>
        </is>
      </c>
      <c r="P1483" t="inlineStr">
        <is>
          <t>Aprovado Diretoria</t>
        </is>
      </c>
      <c r="R1483" t="inlineStr">
        <is>
          <t>Pago</t>
        </is>
      </c>
    </row>
    <row r="1484">
      <c r="A1484" t="n">
        <v>149021</v>
      </c>
      <c r="B1484" t="n">
        <v>128</v>
      </c>
      <c r="C1484" t="inlineStr">
        <is>
          <t>Love Cabaret</t>
        </is>
      </c>
      <c r="D1484" t="inlineStr">
        <is>
          <t>BRADESCO SA</t>
        </is>
      </c>
      <c r="E1484" t="n">
        <v>9.800000000000001</v>
      </c>
      <c r="F1484" s="27" t="n">
        <v>45852</v>
      </c>
      <c r="G1484" s="27" t="n"/>
      <c r="H1484" s="27" t="n">
        <v>45852</v>
      </c>
      <c r="I1484" s="27" t="n">
        <v>45852</v>
      </c>
      <c r="J1484" s="27" t="n">
        <v>45863</v>
      </c>
      <c r="K1484" t="inlineStr">
        <is>
          <t>Encontro de Contas</t>
        </is>
      </c>
      <c r="L1484" t="inlineStr">
        <is>
          <t>Despesas Financeiras</t>
        </is>
      </c>
      <c r="M1484" t="inlineStr">
        <is>
          <t>Tarifas Bancárias</t>
        </is>
      </c>
      <c r="N1484" t="inlineStr">
        <is>
          <t>072025</t>
        </is>
      </c>
      <c r="P1484" t="inlineStr">
        <is>
          <t>Aprovado Diretoria</t>
        </is>
      </c>
      <c r="R1484" t="inlineStr">
        <is>
          <t>Pago</t>
        </is>
      </c>
    </row>
    <row r="1485">
      <c r="A1485" t="n">
        <v>144086</v>
      </c>
      <c r="B1485" t="n">
        <v>128</v>
      </c>
      <c r="C1485" t="inlineStr">
        <is>
          <t>Love Cabaret</t>
        </is>
      </c>
      <c r="D1485" t="inlineStr">
        <is>
          <t>PSSS LTDA</t>
        </is>
      </c>
      <c r="E1485" t="n">
        <v>322.4</v>
      </c>
      <c r="F1485" s="27" t="n">
        <v>45855</v>
      </c>
      <c r="G1485" s="27" t="n">
        <v>45852</v>
      </c>
      <c r="H1485" s="27" t="n">
        <v>45852</v>
      </c>
      <c r="I1485" s="27" t="n">
        <v>45840</v>
      </c>
      <c r="J1485" s="27" t="n">
        <v>45842</v>
      </c>
      <c r="K1485" t="inlineStr">
        <is>
          <t>Boleto Bancário</t>
        </is>
      </c>
      <c r="L1485" t="inlineStr">
        <is>
          <t>Utilidades</t>
        </is>
      </c>
      <c r="M1485" t="inlineStr">
        <is>
          <t>Higiene e Limpeza</t>
        </is>
      </c>
      <c r="N1485" t="inlineStr">
        <is>
          <t>1871</t>
        </is>
      </c>
      <c r="O1485" t="inlineStr">
        <is>
          <t>Documentação Aprovada</t>
        </is>
      </c>
      <c r="P1485" t="inlineStr">
        <is>
          <t>Aprovado Diretoria</t>
        </is>
      </c>
      <c r="Q1485" t="inlineStr">
        <is>
          <t>Aprovado Caixa</t>
        </is>
      </c>
      <c r="R1485" t="inlineStr">
        <is>
          <t>Pago</t>
        </is>
      </c>
      <c r="S1485" t="n">
        <v>182</v>
      </c>
      <c r="T1485" t="inlineStr">
        <is>
          <t>Love - Shibari - Kamino</t>
        </is>
      </c>
    </row>
    <row r="1486">
      <c r="A1486" t="n">
        <v>144080</v>
      </c>
      <c r="B1486" t="n">
        <v>128</v>
      </c>
      <c r="C1486" t="inlineStr">
        <is>
          <t>Love Cabaret</t>
        </is>
      </c>
      <c r="D1486" t="inlineStr">
        <is>
          <t>CEPEL COMERCIO DE PAPEIS E EMBALAGENS EIRELI</t>
        </is>
      </c>
      <c r="E1486" t="n">
        <v>849.17</v>
      </c>
      <c r="F1486" s="27" t="n">
        <v>45853</v>
      </c>
      <c r="G1486" s="27" t="n">
        <v>45852</v>
      </c>
      <c r="H1486" s="27" t="n">
        <v>45852</v>
      </c>
      <c r="I1486" s="27" t="n">
        <v>45838</v>
      </c>
      <c r="J1486" s="27" t="n">
        <v>45842</v>
      </c>
      <c r="K1486" t="inlineStr">
        <is>
          <t>Boleto Bancário</t>
        </is>
      </c>
      <c r="L1486" t="inlineStr">
        <is>
          <t>Utilidades</t>
        </is>
      </c>
      <c r="M1486" t="inlineStr">
        <is>
          <t>Higiene e Limpeza</t>
        </is>
      </c>
      <c r="N1486" t="inlineStr">
        <is>
          <t>243348</t>
        </is>
      </c>
      <c r="O1486" t="inlineStr">
        <is>
          <t>Documentação Aprovada</t>
        </is>
      </c>
      <c r="P1486" t="inlineStr">
        <is>
          <t>Aprovado Diretoria</t>
        </is>
      </c>
      <c r="Q1486" t="inlineStr">
        <is>
          <t>Aprovado Caixa</t>
        </is>
      </c>
      <c r="R1486" t="inlineStr">
        <is>
          <t>Pago</t>
        </is>
      </c>
      <c r="S1486" t="n">
        <v>182</v>
      </c>
      <c r="T1486" t="inlineStr">
        <is>
          <t>Love - Shibari - Kamino</t>
        </is>
      </c>
    </row>
    <row r="1487">
      <c r="A1487" t="n">
        <v>144036</v>
      </c>
      <c r="B1487" t="n">
        <v>128</v>
      </c>
      <c r="C1487" t="inlineStr">
        <is>
          <t>Love Cabaret</t>
        </is>
      </c>
      <c r="D1487" t="inlineStr">
        <is>
          <t>CEM ENGENHARIA DA MANUTENCAO LTDA</t>
        </is>
      </c>
      <c r="E1487" t="n">
        <v>656.78</v>
      </c>
      <c r="F1487" s="27" t="n">
        <v>45854</v>
      </c>
      <c r="G1487" s="27" t="n">
        <v>45852</v>
      </c>
      <c r="H1487" s="27" t="n">
        <v>45852</v>
      </c>
      <c r="I1487" s="27" t="n">
        <v>45840</v>
      </c>
      <c r="J1487" s="27" t="n">
        <v>45842</v>
      </c>
      <c r="K1487" t="inlineStr">
        <is>
          <t>Boleto Bancário</t>
        </is>
      </c>
      <c r="L1487" t="inlineStr">
        <is>
          <t>Manutenção</t>
        </is>
      </c>
      <c r="M1487" t="inlineStr">
        <is>
          <t>Material de Manutenção</t>
        </is>
      </c>
      <c r="N1487" t="inlineStr">
        <is>
          <t>2476</t>
        </is>
      </c>
      <c r="O1487" t="inlineStr">
        <is>
          <t>Documentação Aprovada</t>
        </is>
      </c>
      <c r="P1487" t="inlineStr">
        <is>
          <t>Aprovado Diretoria</t>
        </is>
      </c>
      <c r="Q1487" t="inlineStr">
        <is>
          <t>Aprovado Caixa</t>
        </is>
      </c>
      <c r="R1487" t="inlineStr">
        <is>
          <t>Pago</t>
        </is>
      </c>
      <c r="S1487" t="n">
        <v>182</v>
      </c>
      <c r="T1487" t="inlineStr">
        <is>
          <t>Love - Shibari - Kamino</t>
        </is>
      </c>
    </row>
    <row r="1488">
      <c r="A1488" t="n">
        <v>144082</v>
      </c>
      <c r="B1488" t="n">
        <v>128</v>
      </c>
      <c r="C1488" t="inlineStr">
        <is>
          <t>Love Cabaret</t>
        </is>
      </c>
      <c r="D1488" t="inlineStr">
        <is>
          <t xml:space="preserve">LATICINIOS FIOR DITALIA LTDA </t>
        </is>
      </c>
      <c r="E1488" t="n">
        <v>326.75</v>
      </c>
      <c r="F1488" s="27" t="n">
        <v>45854</v>
      </c>
      <c r="G1488" s="27" t="n">
        <v>45852</v>
      </c>
      <c r="H1488" s="27" t="n">
        <v>45852</v>
      </c>
      <c r="I1488" s="27" t="n">
        <v>45838</v>
      </c>
      <c r="J1488" s="27" t="n">
        <v>45842</v>
      </c>
      <c r="K1488" t="inlineStr">
        <is>
          <t>Boleto Bancário</t>
        </is>
      </c>
      <c r="L1488" t="inlineStr">
        <is>
          <t>Custo Mercadoria Vendida</t>
        </is>
      </c>
      <c r="M1488" t="inlineStr">
        <is>
          <t>Insumos - Alimentos</t>
        </is>
      </c>
      <c r="N1488" t="inlineStr">
        <is>
          <t>37270</t>
        </is>
      </c>
      <c r="O1488" t="inlineStr">
        <is>
          <t>Documentação Aprovada</t>
        </is>
      </c>
      <c r="P1488" t="inlineStr">
        <is>
          <t>Aprovado Diretoria</t>
        </is>
      </c>
      <c r="Q1488" t="inlineStr">
        <is>
          <t>Aprovado Caixa</t>
        </is>
      </c>
      <c r="R1488" t="inlineStr">
        <is>
          <t>Pago</t>
        </is>
      </c>
      <c r="S1488" t="n">
        <v>182</v>
      </c>
      <c r="T1488" t="inlineStr">
        <is>
          <t>Love - Shibari - Kamino</t>
        </is>
      </c>
    </row>
    <row r="1489">
      <c r="A1489" t="n">
        <v>144083</v>
      </c>
      <c r="B1489" t="n">
        <v>128</v>
      </c>
      <c r="C1489" t="inlineStr">
        <is>
          <t>Love Cabaret</t>
        </is>
      </c>
      <c r="D1489" t="inlineStr">
        <is>
          <t>ANDREIA SANTOS FREITAS DUARTE</t>
        </is>
      </c>
      <c r="E1489" t="n">
        <v>421</v>
      </c>
      <c r="F1489" s="27" t="n">
        <v>45852</v>
      </c>
      <c r="G1489" s="27" t="n">
        <v>45852</v>
      </c>
      <c r="H1489" s="27" t="n">
        <v>45852</v>
      </c>
      <c r="I1489" s="27" t="n">
        <v>45838</v>
      </c>
      <c r="J1489" s="27" t="n">
        <v>45842</v>
      </c>
      <c r="K1489" t="inlineStr">
        <is>
          <t>Boleto Bancário</t>
        </is>
      </c>
      <c r="L1489" t="inlineStr">
        <is>
          <t>Custo Mercadoria Vendida</t>
        </is>
      </c>
      <c r="M1489" t="inlineStr">
        <is>
          <t>Insumos - Alimentos</t>
        </is>
      </c>
      <c r="N1489" t="inlineStr">
        <is>
          <t>2092</t>
        </is>
      </c>
      <c r="O1489" t="inlineStr">
        <is>
          <t>Documentação Aprovada</t>
        </is>
      </c>
      <c r="P1489" t="inlineStr">
        <is>
          <t>Aprovado Diretoria</t>
        </is>
      </c>
      <c r="Q1489" t="inlineStr">
        <is>
          <t>Aprovado Caixa</t>
        </is>
      </c>
      <c r="R1489" t="inlineStr">
        <is>
          <t>Pago</t>
        </is>
      </c>
      <c r="S1489" t="n">
        <v>182</v>
      </c>
      <c r="T1489" t="inlineStr">
        <is>
          <t>Love - Shibari - Kamino</t>
        </is>
      </c>
    </row>
    <row r="1490">
      <c r="A1490" t="n">
        <v>144084</v>
      </c>
      <c r="B1490" t="n">
        <v>128</v>
      </c>
      <c r="C1490" t="inlineStr">
        <is>
          <t>Love Cabaret</t>
        </is>
      </c>
      <c r="D1490" t="inlineStr">
        <is>
          <t>ZAHIL IMPORTADORA LTDA</t>
        </is>
      </c>
      <c r="E1490" t="n">
        <v>1491.11</v>
      </c>
      <c r="F1490" s="27" t="n">
        <v>45853</v>
      </c>
      <c r="G1490" s="27" t="n">
        <v>45852</v>
      </c>
      <c r="H1490" s="27" t="n">
        <v>45852</v>
      </c>
      <c r="I1490" s="27" t="n">
        <v>45838</v>
      </c>
      <c r="J1490" s="27" t="n">
        <v>45842</v>
      </c>
      <c r="K1490" t="inlineStr">
        <is>
          <t>Boleto Bancário</t>
        </is>
      </c>
      <c r="L1490" t="inlineStr">
        <is>
          <t>Custo Mercadoria Vendida</t>
        </is>
      </c>
      <c r="M1490" t="inlineStr">
        <is>
          <t>Insumos - Bebidas</t>
        </is>
      </c>
      <c r="N1490" t="inlineStr">
        <is>
          <t>250827</t>
        </is>
      </c>
      <c r="O1490" t="inlineStr">
        <is>
          <t>Documentação Aprovada</t>
        </is>
      </c>
      <c r="P1490" t="inlineStr">
        <is>
          <t>Aprovado Diretoria</t>
        </is>
      </c>
      <c r="Q1490" t="inlineStr">
        <is>
          <t>Aprovado Caixa</t>
        </is>
      </c>
      <c r="R1490" t="inlineStr">
        <is>
          <t>Pago</t>
        </is>
      </c>
      <c r="S1490" t="n">
        <v>182</v>
      </c>
      <c r="T1490" t="inlineStr">
        <is>
          <t>Love - Shibari - Kamino</t>
        </is>
      </c>
    </row>
    <row r="1491">
      <c r="A1491" t="n">
        <v>144068</v>
      </c>
      <c r="B1491" t="n">
        <v>128</v>
      </c>
      <c r="C1491" t="inlineStr">
        <is>
          <t>Love Cabaret</t>
        </is>
      </c>
      <c r="D1491" t="inlineStr">
        <is>
          <t>PORCO FELIZ COM DE CARNES LTDA</t>
        </is>
      </c>
      <c r="E1491" t="n">
        <v>274.53</v>
      </c>
      <c r="F1491" s="27" t="n">
        <v>45853</v>
      </c>
      <c r="G1491" s="27" t="n">
        <v>45852</v>
      </c>
      <c r="H1491" s="27" t="n">
        <v>45852</v>
      </c>
      <c r="I1491" s="27" t="n">
        <v>45839</v>
      </c>
      <c r="J1491" s="27" t="n">
        <v>45842</v>
      </c>
      <c r="K1491" t="inlineStr">
        <is>
          <t>Boleto Bancário</t>
        </is>
      </c>
      <c r="L1491" t="inlineStr">
        <is>
          <t>Custo Mercadoria Vendida</t>
        </is>
      </c>
      <c r="M1491" t="inlineStr">
        <is>
          <t>Insumos - Alimentos</t>
        </is>
      </c>
      <c r="N1491" t="inlineStr">
        <is>
          <t>582900</t>
        </is>
      </c>
      <c r="O1491" t="inlineStr">
        <is>
          <t>Documentação Aprovada</t>
        </is>
      </c>
      <c r="P1491" t="inlineStr">
        <is>
          <t>Aprovado Diretoria</t>
        </is>
      </c>
      <c r="Q1491" t="inlineStr">
        <is>
          <t>Aprovado Caixa</t>
        </is>
      </c>
      <c r="R1491" t="inlineStr">
        <is>
          <t>Pago</t>
        </is>
      </c>
      <c r="S1491" t="n">
        <v>182</v>
      </c>
      <c r="T1491" t="inlineStr">
        <is>
          <t>Love - Shibari - Kamino</t>
        </is>
      </c>
    </row>
    <row r="1492">
      <c r="A1492" t="n">
        <v>144058</v>
      </c>
      <c r="B1492" t="n">
        <v>128</v>
      </c>
      <c r="C1492" t="inlineStr">
        <is>
          <t>Love Cabaret</t>
        </is>
      </c>
      <c r="D1492" t="inlineStr">
        <is>
          <t>ASSAZ ORGANICA INDUSTRIA E COMERCIO DE ALIMENTOS LTDA</t>
        </is>
      </c>
      <c r="E1492" t="n">
        <v>49.75</v>
      </c>
      <c r="F1492" s="27" t="n">
        <v>45856</v>
      </c>
      <c r="G1492" s="27" t="n">
        <v>45852</v>
      </c>
      <c r="H1492" s="27" t="n">
        <v>45852</v>
      </c>
      <c r="I1492" s="27" t="n">
        <v>45839</v>
      </c>
      <c r="J1492" s="27" t="n">
        <v>45842</v>
      </c>
      <c r="K1492" t="inlineStr">
        <is>
          <t>Boleto Bancário</t>
        </is>
      </c>
      <c r="L1492" t="inlineStr">
        <is>
          <t>Custo Mercadoria Vendida</t>
        </is>
      </c>
      <c r="M1492" t="inlineStr">
        <is>
          <t>Insumos - Alimentos</t>
        </is>
      </c>
      <c r="N1492" t="inlineStr">
        <is>
          <t>21562</t>
        </is>
      </c>
      <c r="O1492" t="inlineStr">
        <is>
          <t>Documentação Aprovada</t>
        </is>
      </c>
      <c r="P1492" t="inlineStr">
        <is>
          <t>Aprovado Diretoria</t>
        </is>
      </c>
      <c r="Q1492" t="inlineStr">
        <is>
          <t>Aprovado Caixa</t>
        </is>
      </c>
      <c r="R1492" t="inlineStr">
        <is>
          <t>Pago</t>
        </is>
      </c>
      <c r="S1492" t="n">
        <v>182</v>
      </c>
      <c r="T1492" t="inlineStr">
        <is>
          <t>Love - Shibari - Kamino</t>
        </is>
      </c>
    </row>
    <row r="1493">
      <c r="A1493" t="n">
        <v>144087</v>
      </c>
      <c r="B1493" t="n">
        <v>128</v>
      </c>
      <c r="C1493" t="inlineStr">
        <is>
          <t>Love Cabaret</t>
        </is>
      </c>
      <c r="D1493" t="inlineStr">
        <is>
          <t>CECILIA TSUYACO ARAKI SILVA LTDA</t>
        </is>
      </c>
      <c r="E1493" t="n">
        <v>185.7</v>
      </c>
      <c r="F1493" s="27" t="n">
        <v>45855</v>
      </c>
      <c r="G1493" s="27" t="n">
        <v>45852</v>
      </c>
      <c r="H1493" s="27" t="n">
        <v>45852</v>
      </c>
      <c r="I1493" s="27" t="n">
        <v>45842</v>
      </c>
      <c r="J1493" s="27" t="n">
        <v>45842</v>
      </c>
      <c r="K1493" t="inlineStr">
        <is>
          <t>Boleto Bancário</t>
        </is>
      </c>
      <c r="L1493" t="inlineStr">
        <is>
          <t>Custo Mercadoria Vendida</t>
        </is>
      </c>
      <c r="M1493" t="inlineStr">
        <is>
          <t>Insumos - Alimentos</t>
        </is>
      </c>
      <c r="N1493" t="inlineStr">
        <is>
          <t>373915</t>
        </is>
      </c>
      <c r="O1493" t="inlineStr">
        <is>
          <t>Documentação Aprovada</t>
        </is>
      </c>
      <c r="P1493" t="inlineStr">
        <is>
          <t>Aprovado Diretoria</t>
        </is>
      </c>
      <c r="Q1493" t="inlineStr">
        <is>
          <t>Aprovado Caixa</t>
        </is>
      </c>
      <c r="R1493" t="inlineStr">
        <is>
          <t>Pago</t>
        </is>
      </c>
      <c r="S1493" t="n">
        <v>182</v>
      </c>
      <c r="T1493" t="inlineStr">
        <is>
          <t>Love - Shibari - Kamino</t>
        </is>
      </c>
    </row>
    <row r="1494">
      <c r="A1494" t="n">
        <v>144066</v>
      </c>
      <c r="B1494" t="n">
        <v>128</v>
      </c>
      <c r="C1494" t="inlineStr">
        <is>
          <t>Love Cabaret</t>
        </is>
      </c>
      <c r="D1494" t="inlineStr">
        <is>
          <t>WPP COMERCIO DE CARNES LTDA</t>
        </is>
      </c>
      <c r="E1494" t="n">
        <v>565.8</v>
      </c>
      <c r="F1494" s="27" t="n">
        <v>45853</v>
      </c>
      <c r="G1494" s="27" t="n">
        <v>45852</v>
      </c>
      <c r="H1494" s="27" t="n">
        <v>45852</v>
      </c>
      <c r="I1494" s="27" t="n">
        <v>45839</v>
      </c>
      <c r="J1494" s="27" t="n">
        <v>45842</v>
      </c>
      <c r="K1494" t="inlineStr">
        <is>
          <t>Boleto Bancário</t>
        </is>
      </c>
      <c r="L1494" t="inlineStr">
        <is>
          <t>Custo Mercadoria Vendida</t>
        </is>
      </c>
      <c r="M1494" t="inlineStr">
        <is>
          <t>Insumos - Alimentos</t>
        </is>
      </c>
      <c r="N1494" t="inlineStr">
        <is>
          <t>73221</t>
        </is>
      </c>
      <c r="O1494" t="inlineStr">
        <is>
          <t>Documentação Aprovada</t>
        </is>
      </c>
      <c r="P1494" t="inlineStr">
        <is>
          <t>Aprovado Diretoria</t>
        </is>
      </c>
      <c r="Q1494" t="inlineStr">
        <is>
          <t>Aprovado Caixa</t>
        </is>
      </c>
      <c r="R1494" t="inlineStr">
        <is>
          <t>Pago</t>
        </is>
      </c>
      <c r="S1494" t="n">
        <v>182</v>
      </c>
      <c r="T1494" t="inlineStr">
        <is>
          <t>Love - Shibari - Kamino</t>
        </is>
      </c>
    </row>
    <row r="1495">
      <c r="A1495" t="n">
        <v>144070</v>
      </c>
      <c r="B1495" t="n">
        <v>128</v>
      </c>
      <c r="C1495" t="inlineStr">
        <is>
          <t>Love Cabaret</t>
        </is>
      </c>
      <c r="D1495" t="inlineStr">
        <is>
          <t>HNK BR IND DE BEBIDAS</t>
        </is>
      </c>
      <c r="E1495" t="n">
        <v>2372.03</v>
      </c>
      <c r="F1495" s="27" t="n">
        <v>45853</v>
      </c>
      <c r="G1495" s="27" t="n">
        <v>45852</v>
      </c>
      <c r="H1495" s="27" t="n">
        <v>45852</v>
      </c>
      <c r="I1495" s="27" t="n">
        <v>45839</v>
      </c>
      <c r="J1495" s="27" t="n">
        <v>45842</v>
      </c>
      <c r="K1495" t="inlineStr">
        <is>
          <t>Boleto Bancário</t>
        </is>
      </c>
      <c r="L1495" t="inlineStr">
        <is>
          <t>Custo Mercadoria Vendida</t>
        </is>
      </c>
      <c r="M1495" t="inlineStr">
        <is>
          <t>Insumos - Bebidas</t>
        </is>
      </c>
      <c r="N1495" t="inlineStr">
        <is>
          <t>14512</t>
        </is>
      </c>
      <c r="O1495" t="inlineStr">
        <is>
          <t>Documentação Aprovada</t>
        </is>
      </c>
      <c r="P1495" t="inlineStr">
        <is>
          <t>Aprovado Diretoria</t>
        </is>
      </c>
      <c r="Q1495" t="inlineStr">
        <is>
          <t>Aprovado Caixa</t>
        </is>
      </c>
      <c r="R1495" t="inlineStr">
        <is>
          <t>Pago</t>
        </is>
      </c>
      <c r="S1495" t="n">
        <v>182</v>
      </c>
      <c r="T1495" t="inlineStr">
        <is>
          <t>Love - Shibari - Kamino</t>
        </is>
      </c>
    </row>
    <row r="1496">
      <c r="A1496" t="n">
        <v>144063</v>
      </c>
      <c r="B1496" t="n">
        <v>128</v>
      </c>
      <c r="C1496" t="inlineStr">
        <is>
          <t>Love Cabaret</t>
        </is>
      </c>
      <c r="D1496" t="inlineStr">
        <is>
          <t>CECILIA TSUYACO ARAKI SILVA LTDA</t>
        </is>
      </c>
      <c r="E1496" t="n">
        <v>293.4</v>
      </c>
      <c r="F1496" s="27" t="n">
        <v>45852</v>
      </c>
      <c r="G1496" s="27" t="n">
        <v>45852</v>
      </c>
      <c r="H1496" s="27" t="n">
        <v>45852</v>
      </c>
      <c r="I1496" s="27" t="n">
        <v>45839</v>
      </c>
      <c r="J1496" s="27" t="n">
        <v>45842</v>
      </c>
      <c r="K1496" t="inlineStr">
        <is>
          <t>Boleto Bancário</t>
        </is>
      </c>
      <c r="L1496" t="inlineStr">
        <is>
          <t>Custo Mercadoria Vendida</t>
        </is>
      </c>
      <c r="M1496" t="inlineStr">
        <is>
          <t>Insumos - Alimentos</t>
        </is>
      </c>
      <c r="N1496" t="inlineStr">
        <is>
          <t>373696</t>
        </is>
      </c>
      <c r="O1496" t="inlineStr">
        <is>
          <t>Documentação Aprovada</t>
        </is>
      </c>
      <c r="P1496" t="inlineStr">
        <is>
          <t>Aprovado Diretoria</t>
        </is>
      </c>
      <c r="Q1496" t="inlineStr">
        <is>
          <t>Aprovado Caixa</t>
        </is>
      </c>
      <c r="R1496" t="inlineStr">
        <is>
          <t>Pago</t>
        </is>
      </c>
      <c r="S1496" t="n">
        <v>182</v>
      </c>
      <c r="T1496" t="inlineStr">
        <is>
          <t>Love - Shibari - Kamino</t>
        </is>
      </c>
    </row>
    <row r="1497">
      <c r="A1497" t="n">
        <v>144062</v>
      </c>
      <c r="B1497" t="n">
        <v>128</v>
      </c>
      <c r="C1497" t="inlineStr">
        <is>
          <t>Love Cabaret</t>
        </is>
      </c>
      <c r="D1497" t="inlineStr">
        <is>
          <t xml:space="preserve">FORTE ALIMENTOS COM. IMPORTAÇÃO LTDA </t>
        </is>
      </c>
      <c r="E1497" t="n">
        <v>512.92</v>
      </c>
      <c r="F1497" s="27" t="n">
        <v>45853</v>
      </c>
      <c r="G1497" s="27" t="n">
        <v>45852</v>
      </c>
      <c r="H1497" s="27" t="n">
        <v>45852</v>
      </c>
      <c r="I1497" s="27" t="n">
        <v>45838</v>
      </c>
      <c r="J1497" s="27" t="n">
        <v>45842</v>
      </c>
      <c r="K1497" t="inlineStr">
        <is>
          <t>Boleto Bancário</t>
        </is>
      </c>
      <c r="L1497" t="inlineStr">
        <is>
          <t>Custo Mercadoria Vendida</t>
        </is>
      </c>
      <c r="M1497" t="inlineStr">
        <is>
          <t>Insumos - Alimentos</t>
        </is>
      </c>
      <c r="N1497" t="inlineStr">
        <is>
          <t>319397</t>
        </is>
      </c>
      <c r="O1497" t="inlineStr">
        <is>
          <t>Documentação Aprovada</t>
        </is>
      </c>
      <c r="P1497" t="inlineStr">
        <is>
          <t>Aprovado Diretoria</t>
        </is>
      </c>
      <c r="Q1497" t="inlineStr">
        <is>
          <t>Aprovado Caixa</t>
        </is>
      </c>
      <c r="R1497" t="inlineStr">
        <is>
          <t>Pago</t>
        </is>
      </c>
      <c r="S1497" t="n">
        <v>182</v>
      </c>
      <c r="T1497" t="inlineStr">
        <is>
          <t>Love - Shibari - Kamino</t>
        </is>
      </c>
    </row>
    <row r="1498">
      <c r="A1498" t="n">
        <v>145551</v>
      </c>
      <c r="B1498" t="n">
        <v>128</v>
      </c>
      <c r="C1498" t="inlineStr">
        <is>
          <t>Love Cabaret</t>
        </is>
      </c>
      <c r="D1498" t="inlineStr">
        <is>
          <t>ICE4PROS FABRICA DE GELO LTDA</t>
        </is>
      </c>
      <c r="E1498" t="n">
        <v>563.5</v>
      </c>
      <c r="F1498" s="27" t="n">
        <v>45856</v>
      </c>
      <c r="G1498" s="27" t="n">
        <v>45852</v>
      </c>
      <c r="H1498" s="27" t="n">
        <v>45852</v>
      </c>
      <c r="I1498" s="27" t="n">
        <v>45846</v>
      </c>
      <c r="J1498" s="27" t="n">
        <v>45847</v>
      </c>
      <c r="K1498" t="inlineStr">
        <is>
          <t>Boleto Bancário</t>
        </is>
      </c>
      <c r="L1498" t="inlineStr">
        <is>
          <t>Custo Mercadoria Vendida</t>
        </is>
      </c>
      <c r="M1498" t="inlineStr">
        <is>
          <t>Insumos - Bebidas</t>
        </is>
      </c>
      <c r="N1498" t="inlineStr">
        <is>
          <t>82166</t>
        </is>
      </c>
      <c r="O1498" t="inlineStr">
        <is>
          <t>Documentação Aprovada</t>
        </is>
      </c>
      <c r="P1498" t="inlineStr">
        <is>
          <t>Aprovado Diretoria</t>
        </is>
      </c>
      <c r="Q1498" t="inlineStr">
        <is>
          <t>Aprovado Caixa</t>
        </is>
      </c>
      <c r="R1498" t="inlineStr">
        <is>
          <t>Pago</t>
        </is>
      </c>
      <c r="S1498" t="n">
        <v>182</v>
      </c>
      <c r="T1498" t="inlineStr">
        <is>
          <t>Love - Shibari - Kamino</t>
        </is>
      </c>
    </row>
    <row r="1499">
      <c r="A1499" t="n">
        <v>145553</v>
      </c>
      <c r="B1499" t="n">
        <v>128</v>
      </c>
      <c r="C1499" t="inlineStr">
        <is>
          <t>Love Cabaret</t>
        </is>
      </c>
      <c r="D1499" t="inlineStr">
        <is>
          <t>PSSS LTDA</t>
        </is>
      </c>
      <c r="E1499" t="n">
        <v>523.5</v>
      </c>
      <c r="F1499" s="27" t="n">
        <v>45855</v>
      </c>
      <c r="G1499" s="27" t="n">
        <v>45852</v>
      </c>
      <c r="H1499" s="27" t="n">
        <v>45852</v>
      </c>
      <c r="I1499" s="27" t="n">
        <v>45841</v>
      </c>
      <c r="J1499" s="27" t="n">
        <v>45847</v>
      </c>
      <c r="K1499" t="inlineStr">
        <is>
          <t>Boleto Bancário</t>
        </is>
      </c>
      <c r="L1499" t="inlineStr">
        <is>
          <t>Utilidades</t>
        </is>
      </c>
      <c r="M1499" t="inlineStr">
        <is>
          <t>Material de Escritorio</t>
        </is>
      </c>
      <c r="N1499" t="inlineStr">
        <is>
          <t>1884</t>
        </is>
      </c>
      <c r="O1499" t="inlineStr">
        <is>
          <t>Documentação Aprovada</t>
        </is>
      </c>
      <c r="P1499" t="inlineStr">
        <is>
          <t>Aprovado Diretoria</t>
        </is>
      </c>
      <c r="Q1499" t="inlineStr">
        <is>
          <t>Aprovado Caixa</t>
        </is>
      </c>
      <c r="R1499" t="inlineStr">
        <is>
          <t>Pago</t>
        </is>
      </c>
      <c r="S1499" t="n">
        <v>182</v>
      </c>
      <c r="T1499" t="inlineStr">
        <is>
          <t>Love - Shibari - Kamino</t>
        </is>
      </c>
    </row>
    <row r="1500">
      <c r="A1500" t="n">
        <v>143481</v>
      </c>
      <c r="B1500" t="n">
        <v>128</v>
      </c>
      <c r="C1500" t="inlineStr">
        <is>
          <t>Love Cabaret</t>
        </is>
      </c>
      <c r="D1500" t="inlineStr">
        <is>
          <t>JOSE CASSIO PREVEDEL SISTEMAS ME</t>
        </is>
      </c>
      <c r="E1500" t="n">
        <v>400</v>
      </c>
      <c r="F1500" s="27" t="n">
        <v>45853</v>
      </c>
      <c r="G1500" s="27" t="n">
        <v>45852</v>
      </c>
      <c r="H1500" s="27" t="n">
        <v>45852</v>
      </c>
      <c r="I1500" s="27" t="n">
        <v>45839</v>
      </c>
      <c r="J1500" s="27" t="n">
        <v>45841</v>
      </c>
      <c r="K1500" t="inlineStr">
        <is>
          <t>Boleto Bancário</t>
        </is>
      </c>
      <c r="L1500" t="inlineStr">
        <is>
          <t>Locação de Equipamentos</t>
        </is>
      </c>
      <c r="M1500" t="inlineStr">
        <is>
          <t>Locações de Equipamentos - Operacionais</t>
        </is>
      </c>
      <c r="N1500" t="inlineStr">
        <is>
          <t>19552</t>
        </is>
      </c>
      <c r="O1500" t="inlineStr">
        <is>
          <t>Documentação Aprovada</t>
        </is>
      </c>
      <c r="P1500" t="inlineStr">
        <is>
          <t>Aprovado Diretoria</t>
        </is>
      </c>
      <c r="Q1500" t="inlineStr">
        <is>
          <t>Aprovado Caixa</t>
        </is>
      </c>
      <c r="R1500" t="inlineStr">
        <is>
          <t>Pago</t>
        </is>
      </c>
      <c r="S1500" t="n">
        <v>182</v>
      </c>
      <c r="T1500" t="inlineStr">
        <is>
          <t>Love - Shibari - Kamino</t>
        </is>
      </c>
    </row>
    <row r="1501">
      <c r="A1501" t="n">
        <v>142441</v>
      </c>
      <c r="B1501" t="n">
        <v>128</v>
      </c>
      <c r="C1501" t="inlineStr">
        <is>
          <t>Love Cabaret</t>
        </is>
      </c>
      <c r="D1501" t="inlineStr">
        <is>
          <t>FABLAB INOVACAO E SOLUCOES</t>
        </is>
      </c>
      <c r="E1501" t="n">
        <v>389</v>
      </c>
      <c r="F1501" s="27" t="n">
        <v>45853</v>
      </c>
      <c r="G1501" s="27" t="n">
        <v>45852</v>
      </c>
      <c r="H1501" s="27" t="n">
        <v>45852</v>
      </c>
      <c r="I1501" s="27" t="n">
        <v>45834</v>
      </c>
      <c r="J1501" s="27" t="n">
        <v>45835</v>
      </c>
      <c r="K1501" t="inlineStr">
        <is>
          <t>Boleto Bancário</t>
        </is>
      </c>
      <c r="L1501" t="inlineStr">
        <is>
          <t>Informática e TI</t>
        </is>
      </c>
      <c r="M1501" t="inlineStr">
        <is>
          <t>Sistemas Gerais - Financeiros</t>
        </is>
      </c>
      <c r="N1501" t="inlineStr">
        <is>
          <t>127</t>
        </is>
      </c>
      <c r="O1501" t="inlineStr">
        <is>
          <t>Documentação Aprovada</t>
        </is>
      </c>
      <c r="P1501" t="inlineStr">
        <is>
          <t>Aprovado Diretoria</t>
        </is>
      </c>
      <c r="Q1501" t="inlineStr">
        <is>
          <t>Aprovado Caixa</t>
        </is>
      </c>
      <c r="R1501" t="inlineStr">
        <is>
          <t>Pago</t>
        </is>
      </c>
      <c r="S1501" t="n">
        <v>182</v>
      </c>
      <c r="T1501" t="inlineStr">
        <is>
          <t>Love - Shibari - Kamino</t>
        </is>
      </c>
    </row>
    <row r="1502">
      <c r="A1502" t="n">
        <v>142876</v>
      </c>
      <c r="B1502" t="n">
        <v>128</v>
      </c>
      <c r="C1502" t="inlineStr">
        <is>
          <t>Love Cabaret</t>
        </is>
      </c>
      <c r="D1502" t="inlineStr">
        <is>
          <t>INSS</t>
        </is>
      </c>
      <c r="E1502" t="n">
        <v>1981.52</v>
      </c>
      <c r="F1502" s="27" t="n">
        <v>45856</v>
      </c>
      <c r="G1502" s="27" t="n">
        <v>45852</v>
      </c>
      <c r="H1502" s="27" t="n">
        <v>45852</v>
      </c>
      <c r="I1502" s="27" t="n">
        <v>45809</v>
      </c>
      <c r="J1502" s="27" t="n">
        <v>45840</v>
      </c>
      <c r="K1502" t="inlineStr">
        <is>
          <t>Boleto Bancário</t>
        </is>
      </c>
      <c r="L1502" t="inlineStr">
        <is>
          <t>Mão de Obra - Encargos e Provisões</t>
        </is>
      </c>
      <c r="M1502" t="inlineStr">
        <is>
          <t xml:space="preserve">  -  INSS Patronal</t>
        </is>
      </c>
      <c r="N1502" t="inlineStr">
        <is>
          <t>198152 062025</t>
        </is>
      </c>
      <c r="O1502" t="inlineStr">
        <is>
          <t>Documentação Aprovada</t>
        </is>
      </c>
      <c r="P1502" t="inlineStr">
        <is>
          <t>Aprovado Diretoria</t>
        </is>
      </c>
      <c r="Q1502" t="inlineStr">
        <is>
          <t>Aprovado Caixa</t>
        </is>
      </c>
      <c r="R1502" t="inlineStr">
        <is>
          <t>Pago</t>
        </is>
      </c>
      <c r="S1502" t="n">
        <v>182</v>
      </c>
      <c r="T1502" t="inlineStr">
        <is>
          <t>Love - Shibari - Kamino</t>
        </is>
      </c>
    </row>
    <row r="1503">
      <c r="A1503" t="n">
        <v>142879</v>
      </c>
      <c r="B1503" t="n">
        <v>128</v>
      </c>
      <c r="C1503" t="inlineStr">
        <is>
          <t>Love Cabaret</t>
        </is>
      </c>
      <c r="D1503" t="inlineStr">
        <is>
          <t>FGTS</t>
        </is>
      </c>
      <c r="E1503" t="n">
        <v>550.42</v>
      </c>
      <c r="F1503" s="27" t="n">
        <v>45856</v>
      </c>
      <c r="G1503" s="27" t="n">
        <v>45852</v>
      </c>
      <c r="H1503" s="27" t="n">
        <v>45852</v>
      </c>
      <c r="I1503" s="27" t="n">
        <v>45809</v>
      </c>
      <c r="J1503" s="27" t="n">
        <v>45840</v>
      </c>
      <c r="K1503" t="inlineStr">
        <is>
          <t>Transferência Bancária ou Pix</t>
        </is>
      </c>
      <c r="L1503" t="inlineStr">
        <is>
          <t>Mão de Obra - Encargos e Provisões</t>
        </is>
      </c>
      <c r="M1503" t="inlineStr">
        <is>
          <t>IRRF - MDO CLT - Salário</t>
        </is>
      </c>
      <c r="N1503" t="inlineStr">
        <is>
          <t>55042 062025</t>
        </is>
      </c>
      <c r="O1503" t="inlineStr">
        <is>
          <t>Documentação Aprovada</t>
        </is>
      </c>
      <c r="P1503" t="inlineStr">
        <is>
          <t>Aprovado Diretoria</t>
        </is>
      </c>
      <c r="Q1503" t="inlineStr">
        <is>
          <t>Aprovado Caixa</t>
        </is>
      </c>
      <c r="R1503" t="inlineStr">
        <is>
          <t>Pago</t>
        </is>
      </c>
      <c r="S1503" t="n">
        <v>182</v>
      </c>
      <c r="T1503" t="inlineStr">
        <is>
          <t>Love - Shibari - Kamino</t>
        </is>
      </c>
    </row>
    <row r="1504">
      <c r="A1504" t="n">
        <v>142877</v>
      </c>
      <c r="B1504" t="n">
        <v>128</v>
      </c>
      <c r="C1504" t="inlineStr">
        <is>
          <t>Love Cabaret</t>
        </is>
      </c>
      <c r="D1504" t="inlineStr">
        <is>
          <t>INSS</t>
        </is>
      </c>
      <c r="E1504" t="n">
        <v>696.24</v>
      </c>
      <c r="F1504" s="27" t="n">
        <v>45856</v>
      </c>
      <c r="G1504" s="27" t="n">
        <v>45852</v>
      </c>
      <c r="H1504" s="27" t="n">
        <v>45852</v>
      </c>
      <c r="I1504" s="27" t="n">
        <v>45809</v>
      </c>
      <c r="J1504" s="27" t="n">
        <v>45840</v>
      </c>
      <c r="K1504" t="inlineStr">
        <is>
          <t>Boleto Bancário</t>
        </is>
      </c>
      <c r="L1504" t="inlineStr">
        <is>
          <t>Mão de Obra - Encargos e Provisões</t>
        </is>
      </c>
      <c r="M1504" t="inlineStr">
        <is>
          <t xml:space="preserve">  -  INSS Segurados</t>
        </is>
      </c>
      <c r="N1504" t="inlineStr">
        <is>
          <t>69624 062025</t>
        </is>
      </c>
      <c r="O1504" t="inlineStr">
        <is>
          <t>Documentação Aprovada</t>
        </is>
      </c>
      <c r="P1504" t="inlineStr">
        <is>
          <t>Aprovado Diretoria</t>
        </is>
      </c>
      <c r="Q1504" t="inlineStr">
        <is>
          <t>Aprovado Caixa</t>
        </is>
      </c>
      <c r="R1504" t="inlineStr">
        <is>
          <t>Pago</t>
        </is>
      </c>
      <c r="S1504" t="n">
        <v>182</v>
      </c>
      <c r="T1504" t="inlineStr">
        <is>
          <t>Love - Shibari - Kamino</t>
        </is>
      </c>
    </row>
    <row r="1505">
      <c r="A1505" t="n">
        <v>142878</v>
      </c>
      <c r="B1505" t="n">
        <v>128</v>
      </c>
      <c r="C1505" t="inlineStr">
        <is>
          <t>Love Cabaret</t>
        </is>
      </c>
      <c r="D1505" t="inlineStr">
        <is>
          <t>IRRF</t>
        </is>
      </c>
      <c r="E1505" t="n">
        <v>313.48</v>
      </c>
      <c r="F1505" s="27" t="n">
        <v>45856</v>
      </c>
      <c r="G1505" s="27" t="n">
        <v>45852</v>
      </c>
      <c r="H1505" s="27" t="n">
        <v>45852</v>
      </c>
      <c r="I1505" s="27" t="n">
        <v>45809</v>
      </c>
      <c r="J1505" s="27" t="n">
        <v>45840</v>
      </c>
      <c r="K1505" t="inlineStr">
        <is>
          <t>Boleto Bancário</t>
        </is>
      </c>
      <c r="L1505" t="inlineStr">
        <is>
          <t>Mão de Obra - Encargos e Provisões</t>
        </is>
      </c>
      <c r="M1505" t="inlineStr">
        <is>
          <t>IRRF - MDO CLT - Salário</t>
        </is>
      </c>
      <c r="N1505" t="inlineStr">
        <is>
          <t>31348 062025</t>
        </is>
      </c>
      <c r="O1505" t="inlineStr">
        <is>
          <t>Documentação Aprovada</t>
        </is>
      </c>
      <c r="P1505" t="inlineStr">
        <is>
          <t>Aprovado Diretoria</t>
        </is>
      </c>
      <c r="Q1505" t="inlineStr">
        <is>
          <t>Aprovado Caixa</t>
        </is>
      </c>
      <c r="R1505" t="inlineStr">
        <is>
          <t>Pago</t>
        </is>
      </c>
      <c r="S1505" t="n">
        <v>182</v>
      </c>
      <c r="T1505" t="inlineStr">
        <is>
          <t>Love - Shibari - Kamino</t>
        </is>
      </c>
    </row>
    <row r="1506">
      <c r="A1506" t="n">
        <v>142692</v>
      </c>
      <c r="B1506" t="n">
        <v>128</v>
      </c>
      <c r="C1506" t="inlineStr">
        <is>
          <t>Love Cabaret</t>
        </is>
      </c>
      <c r="D1506" t="inlineStr">
        <is>
          <t xml:space="preserve">AKIRA NAWA CARVALHO LIMA </t>
        </is>
      </c>
      <c r="E1506" t="n">
        <v>2992.8</v>
      </c>
      <c r="F1506" s="27" t="n">
        <v>45853</v>
      </c>
      <c r="G1506" s="27" t="n">
        <v>45852</v>
      </c>
      <c r="H1506" s="27" t="n">
        <v>45852</v>
      </c>
      <c r="I1506" s="27" t="n">
        <v>45834</v>
      </c>
      <c r="J1506" s="27" t="n">
        <v>45839</v>
      </c>
      <c r="K1506" t="inlineStr">
        <is>
          <t>Transferência Bancária ou Pix</t>
        </is>
      </c>
      <c r="L1506" t="inlineStr">
        <is>
          <t>Custos Artístico Geral</t>
        </is>
      </c>
      <c r="M1506" t="inlineStr">
        <is>
          <t>Cachê de Músicos e Artistas</t>
        </is>
      </c>
      <c r="N1506" t="inlineStr">
        <is>
          <t>63</t>
        </is>
      </c>
      <c r="O1506" t="inlineStr">
        <is>
          <t>Documentação Aprovada</t>
        </is>
      </c>
      <c r="P1506" t="inlineStr">
        <is>
          <t>Aprovado Diretoria</t>
        </is>
      </c>
      <c r="Q1506" t="inlineStr">
        <is>
          <t>Aprovado Caixa</t>
        </is>
      </c>
      <c r="R1506" t="inlineStr">
        <is>
          <t>Pago</t>
        </is>
      </c>
      <c r="S1506" t="n">
        <v>182</v>
      </c>
      <c r="T1506" t="inlineStr">
        <is>
          <t>Love - Shibari - Kamino</t>
        </is>
      </c>
    </row>
    <row r="1507">
      <c r="A1507" t="n">
        <v>141663</v>
      </c>
      <c r="B1507" t="n">
        <v>128</v>
      </c>
      <c r="C1507" t="inlineStr">
        <is>
          <t>Love Cabaret</t>
        </is>
      </c>
      <c r="D1507" t="inlineStr">
        <is>
          <t>FG7 COMERCIO E DISTRIBUICAO DE BEBIDAS LTDA</t>
        </is>
      </c>
      <c r="E1507" t="n">
        <v>2195.88</v>
      </c>
      <c r="F1507" s="27" t="n">
        <v>45854</v>
      </c>
      <c r="G1507" s="27" t="n">
        <v>45852</v>
      </c>
      <c r="H1507" s="27" t="n">
        <v>45852</v>
      </c>
      <c r="I1507" s="27" t="n">
        <v>45832</v>
      </c>
      <c r="J1507" s="27" t="n">
        <v>45833</v>
      </c>
      <c r="K1507" t="inlineStr">
        <is>
          <t>Boleto Bancário</t>
        </is>
      </c>
      <c r="L1507" t="inlineStr">
        <is>
          <t>Custo Mercadoria Vendida</t>
        </is>
      </c>
      <c r="M1507" t="inlineStr">
        <is>
          <t>Insumos - Bebidas</t>
        </is>
      </c>
      <c r="N1507" t="inlineStr">
        <is>
          <t>631537</t>
        </is>
      </c>
      <c r="O1507" t="inlineStr">
        <is>
          <t>Documentação Aprovada</t>
        </is>
      </c>
      <c r="P1507" t="inlineStr">
        <is>
          <t>Aprovado Diretoria</t>
        </is>
      </c>
      <c r="Q1507" t="inlineStr">
        <is>
          <t>Aprovado Caixa</t>
        </is>
      </c>
      <c r="R1507" t="inlineStr">
        <is>
          <t>Pago</t>
        </is>
      </c>
      <c r="S1507" t="n">
        <v>182</v>
      </c>
      <c r="T1507" t="inlineStr">
        <is>
          <t>Love - Shibari - Kamino</t>
        </is>
      </c>
    </row>
    <row r="1508">
      <c r="A1508" t="n">
        <v>141633</v>
      </c>
      <c r="B1508" t="n">
        <v>128</v>
      </c>
      <c r="C1508" t="inlineStr">
        <is>
          <t>Love Cabaret</t>
        </is>
      </c>
      <c r="D1508" t="inlineStr">
        <is>
          <t>DTK COMERCIO DE ALIMENTOS LTDA</t>
        </is>
      </c>
      <c r="E1508" t="n">
        <v>1068.69</v>
      </c>
      <c r="F1508" s="27" t="n">
        <v>45852</v>
      </c>
      <c r="G1508" s="27" t="n">
        <v>45852</v>
      </c>
      <c r="H1508" s="27" t="n">
        <v>45852</v>
      </c>
      <c r="I1508" s="27" t="n">
        <v>45831</v>
      </c>
      <c r="J1508" s="27" t="n">
        <v>45833</v>
      </c>
      <c r="K1508" t="inlineStr">
        <is>
          <t>Boleto Bancário</t>
        </is>
      </c>
      <c r="L1508" t="inlineStr">
        <is>
          <t>Custo Mercadoria Vendida</t>
        </is>
      </c>
      <c r="M1508" t="inlineStr">
        <is>
          <t>Insumos - Alimentos</t>
        </is>
      </c>
      <c r="N1508" t="inlineStr">
        <is>
          <t>34321</t>
        </is>
      </c>
      <c r="O1508" t="inlineStr">
        <is>
          <t>Documentação Aprovada</t>
        </is>
      </c>
      <c r="P1508" t="inlineStr">
        <is>
          <t>Aprovado Diretoria</t>
        </is>
      </c>
      <c r="Q1508" t="inlineStr">
        <is>
          <t>Aprovado Caixa</t>
        </is>
      </c>
      <c r="R1508" t="inlineStr">
        <is>
          <t>Pago</t>
        </is>
      </c>
      <c r="S1508" t="n">
        <v>182</v>
      </c>
      <c r="T1508" t="inlineStr">
        <is>
          <t>Love - Shibari - Kamino</t>
        </is>
      </c>
    </row>
    <row r="1509">
      <c r="A1509" t="n">
        <v>140490</v>
      </c>
      <c r="B1509" t="n">
        <v>128</v>
      </c>
      <c r="C1509" t="inlineStr">
        <is>
          <t>Love Cabaret</t>
        </is>
      </c>
      <c r="D1509" t="inlineStr">
        <is>
          <t xml:space="preserve">EMPORIO MEL </t>
        </is>
      </c>
      <c r="E1509" t="n">
        <v>3536.4</v>
      </c>
      <c r="F1509" s="27" t="n">
        <v>45855</v>
      </c>
      <c r="G1509" s="27" t="n">
        <v>45852</v>
      </c>
      <c r="H1509" s="27" t="n">
        <v>45852</v>
      </c>
      <c r="I1509" s="27" t="n">
        <v>45824</v>
      </c>
      <c r="J1509" s="27" t="n">
        <v>45826</v>
      </c>
      <c r="K1509" t="inlineStr">
        <is>
          <t>Boleto Bancário</t>
        </is>
      </c>
      <c r="L1509" t="inlineStr">
        <is>
          <t>Custo Mercadoria Vendida</t>
        </is>
      </c>
      <c r="M1509" t="inlineStr">
        <is>
          <t>Insumos - Bebidas</t>
        </is>
      </c>
      <c r="N1509" t="inlineStr">
        <is>
          <t>456694</t>
        </is>
      </c>
      <c r="O1509" t="inlineStr">
        <is>
          <t>Documentação Aprovada</t>
        </is>
      </c>
      <c r="P1509" t="inlineStr">
        <is>
          <t>Aprovado Diretoria</t>
        </is>
      </c>
      <c r="Q1509" t="inlineStr">
        <is>
          <t>Aprovado Caixa</t>
        </is>
      </c>
      <c r="R1509" t="inlineStr">
        <is>
          <t>Pago</t>
        </is>
      </c>
      <c r="S1509" t="n">
        <v>182</v>
      </c>
      <c r="T1509" t="inlineStr">
        <is>
          <t>Love - Shibari - Kamino</t>
        </is>
      </c>
    </row>
    <row r="1510">
      <c r="A1510" t="n">
        <v>140499</v>
      </c>
      <c r="B1510" t="n">
        <v>128</v>
      </c>
      <c r="C1510" t="inlineStr">
        <is>
          <t>Love Cabaret</t>
        </is>
      </c>
      <c r="D1510" t="inlineStr">
        <is>
          <t>ANDREIA SANTOS FREITAS DUARTE</t>
        </is>
      </c>
      <c r="E1510" t="n">
        <v>222.5</v>
      </c>
      <c r="F1510" s="27" t="n">
        <v>45852</v>
      </c>
      <c r="G1510" s="27" t="n">
        <v>45852</v>
      </c>
      <c r="H1510" s="27" t="n">
        <v>45852</v>
      </c>
      <c r="I1510" s="27" t="n">
        <v>45824</v>
      </c>
      <c r="J1510" s="27" t="n">
        <v>45826</v>
      </c>
      <c r="K1510" t="inlineStr">
        <is>
          <t>Boleto Bancário</t>
        </is>
      </c>
      <c r="L1510" t="inlineStr">
        <is>
          <t>Custo Mercadoria Vendida</t>
        </is>
      </c>
      <c r="M1510" t="inlineStr">
        <is>
          <t>Insumos - Alimentos</t>
        </is>
      </c>
      <c r="N1510" t="inlineStr">
        <is>
          <t>2023</t>
        </is>
      </c>
      <c r="O1510" t="inlineStr">
        <is>
          <t>Documentação Aprovada</t>
        </is>
      </c>
      <c r="P1510" t="inlineStr">
        <is>
          <t>Aprovado Diretoria</t>
        </is>
      </c>
      <c r="Q1510" t="inlineStr">
        <is>
          <t>Aprovado Caixa</t>
        </is>
      </c>
      <c r="R1510" t="inlineStr">
        <is>
          <t>Pago</t>
        </is>
      </c>
      <c r="S1510" t="n">
        <v>182</v>
      </c>
      <c r="T1510" t="inlineStr">
        <is>
          <t>Love - Shibari - Kamino</t>
        </is>
      </c>
    </row>
    <row r="1511">
      <c r="A1511" t="n">
        <v>140492</v>
      </c>
      <c r="B1511" t="n">
        <v>128</v>
      </c>
      <c r="C1511" t="inlineStr">
        <is>
          <t>Love Cabaret</t>
        </is>
      </c>
      <c r="D1511" t="inlineStr">
        <is>
          <t xml:space="preserve">EMPORIO MEL </t>
        </is>
      </c>
      <c r="E1511" t="n">
        <v>1099.18</v>
      </c>
      <c r="F1511" s="27" t="n">
        <v>45855</v>
      </c>
      <c r="G1511" s="27" t="n">
        <v>45852</v>
      </c>
      <c r="H1511" s="27" t="n">
        <v>45852</v>
      </c>
      <c r="I1511" s="27" t="n">
        <v>45824</v>
      </c>
      <c r="J1511" s="27" t="n">
        <v>45826</v>
      </c>
      <c r="K1511" t="inlineStr">
        <is>
          <t>Boleto Bancário</t>
        </is>
      </c>
      <c r="L1511" t="inlineStr">
        <is>
          <t>Custo Mercadoria Vendida</t>
        </is>
      </c>
      <c r="M1511" t="inlineStr">
        <is>
          <t>Insumos - Alimentos</t>
        </is>
      </c>
      <c r="N1511" t="inlineStr">
        <is>
          <t>456781</t>
        </is>
      </c>
      <c r="O1511" t="inlineStr">
        <is>
          <t>Documentação Aprovada</t>
        </is>
      </c>
      <c r="P1511" t="inlineStr">
        <is>
          <t>Aprovado Diretoria</t>
        </is>
      </c>
      <c r="Q1511" t="inlineStr">
        <is>
          <t>Aprovado Caixa</t>
        </is>
      </c>
      <c r="R1511" t="inlineStr">
        <is>
          <t>Pago</t>
        </is>
      </c>
      <c r="S1511" t="n">
        <v>182</v>
      </c>
      <c r="T1511" t="inlineStr">
        <is>
          <t>Love - Shibari - Kamino</t>
        </is>
      </c>
    </row>
    <row r="1512">
      <c r="A1512" t="n">
        <v>140493</v>
      </c>
      <c r="B1512" t="n">
        <v>128</v>
      </c>
      <c r="C1512" t="inlineStr">
        <is>
          <t>Love Cabaret</t>
        </is>
      </c>
      <c r="D1512" t="inlineStr">
        <is>
          <t xml:space="preserve">EMPORIO MEL </t>
        </is>
      </c>
      <c r="E1512" t="n">
        <v>845.8</v>
      </c>
      <c r="F1512" s="27" t="n">
        <v>45855</v>
      </c>
      <c r="G1512" s="27" t="n">
        <v>45852</v>
      </c>
      <c r="H1512" s="27" t="n">
        <v>45852</v>
      </c>
      <c r="I1512" s="27" t="n">
        <v>45824</v>
      </c>
      <c r="J1512" s="27" t="n">
        <v>45826</v>
      </c>
      <c r="K1512" t="inlineStr">
        <is>
          <t>Boleto Bancário</t>
        </is>
      </c>
      <c r="L1512" t="inlineStr">
        <is>
          <t>Custo Mercadoria Vendida</t>
        </is>
      </c>
      <c r="M1512" t="inlineStr">
        <is>
          <t>Insumos - Alimentos</t>
        </is>
      </c>
      <c r="N1512" t="inlineStr">
        <is>
          <t>456692</t>
        </is>
      </c>
      <c r="O1512" t="inlineStr">
        <is>
          <t>Documentação Aprovada</t>
        </is>
      </c>
      <c r="P1512" t="inlineStr">
        <is>
          <t>Aprovado Diretoria</t>
        </is>
      </c>
      <c r="Q1512" t="inlineStr">
        <is>
          <t>Aprovado Caixa</t>
        </is>
      </c>
      <c r="R1512" t="inlineStr">
        <is>
          <t>Pago</t>
        </is>
      </c>
      <c r="S1512" t="n">
        <v>182</v>
      </c>
      <c r="T1512" t="inlineStr">
        <is>
          <t>Love - Shibari - Kamino</t>
        </is>
      </c>
    </row>
    <row r="1513">
      <c r="A1513" t="n">
        <v>140498</v>
      </c>
      <c r="B1513" t="n">
        <v>128</v>
      </c>
      <c r="C1513" t="inlineStr">
        <is>
          <t>Love Cabaret</t>
        </is>
      </c>
      <c r="D1513" t="inlineStr">
        <is>
          <t>PROAUTO INDUSTRIA QUIMICA EIRELI</t>
        </is>
      </c>
      <c r="E1513" t="n">
        <v>1996.74</v>
      </c>
      <c r="F1513" s="27" t="n">
        <v>45852</v>
      </c>
      <c r="G1513" s="27" t="n">
        <v>45852</v>
      </c>
      <c r="H1513" s="27" t="n">
        <v>45852</v>
      </c>
      <c r="I1513" s="27" t="n">
        <v>45826</v>
      </c>
      <c r="J1513" s="27" t="n">
        <v>45826</v>
      </c>
      <c r="K1513" t="inlineStr">
        <is>
          <t>Boleto Bancário</t>
        </is>
      </c>
      <c r="L1513" t="inlineStr">
        <is>
          <t>Utilidades</t>
        </is>
      </c>
      <c r="M1513" t="inlineStr">
        <is>
          <t>Higiene e Limpeza</t>
        </is>
      </c>
      <c r="N1513" t="inlineStr">
        <is>
          <t>139676</t>
        </is>
      </c>
      <c r="O1513" t="inlineStr">
        <is>
          <t>Documentação Aprovada</t>
        </is>
      </c>
      <c r="P1513" t="inlineStr">
        <is>
          <t>Aprovado Diretoria</t>
        </is>
      </c>
      <c r="Q1513" t="inlineStr">
        <is>
          <t>Aprovado Caixa</t>
        </is>
      </c>
      <c r="R1513" t="inlineStr">
        <is>
          <t>Pago</t>
        </is>
      </c>
      <c r="S1513" t="n">
        <v>182</v>
      </c>
      <c r="T1513" t="inlineStr">
        <is>
          <t>Love - Shibari - Kamino</t>
        </is>
      </c>
    </row>
    <row r="1514">
      <c r="A1514" t="n">
        <v>140501</v>
      </c>
      <c r="B1514" t="n">
        <v>128</v>
      </c>
      <c r="C1514" t="inlineStr">
        <is>
          <t>Love Cabaret</t>
        </is>
      </c>
      <c r="D1514" t="inlineStr">
        <is>
          <t>ANDREIA SANTOS FREITAS DUARTE</t>
        </is>
      </c>
      <c r="E1514" t="n">
        <v>742</v>
      </c>
      <c r="F1514" s="27" t="n">
        <v>45852</v>
      </c>
      <c r="G1514" s="27" t="n">
        <v>45852</v>
      </c>
      <c r="H1514" s="27" t="n">
        <v>45852</v>
      </c>
      <c r="I1514" s="27" t="n">
        <v>45824</v>
      </c>
      <c r="J1514" s="27" t="n">
        <v>45826</v>
      </c>
      <c r="K1514" t="inlineStr">
        <is>
          <t>Boleto Bancário</t>
        </is>
      </c>
      <c r="L1514" t="inlineStr">
        <is>
          <t>Utilidades</t>
        </is>
      </c>
      <c r="M1514" t="inlineStr">
        <is>
          <t>Higiene e Limpeza</t>
        </is>
      </c>
      <c r="N1514" t="inlineStr">
        <is>
          <t>2022</t>
        </is>
      </c>
      <c r="O1514" t="inlineStr">
        <is>
          <t>Documentação Aprovada</t>
        </is>
      </c>
      <c r="P1514" t="inlineStr">
        <is>
          <t>Aprovado Diretoria</t>
        </is>
      </c>
      <c r="Q1514" t="inlineStr">
        <is>
          <t>Aprovado Caixa</t>
        </is>
      </c>
      <c r="R1514" t="inlineStr">
        <is>
          <t>Pago</t>
        </is>
      </c>
      <c r="S1514" t="n">
        <v>182</v>
      </c>
      <c r="T1514" t="inlineStr">
        <is>
          <t>Love - Shibari - Kamino</t>
        </is>
      </c>
    </row>
    <row r="1515">
      <c r="A1515" t="n">
        <v>139836</v>
      </c>
      <c r="B1515" t="n">
        <v>128</v>
      </c>
      <c r="C1515" t="inlineStr">
        <is>
          <t>Love Cabaret</t>
        </is>
      </c>
      <c r="D1515" t="inlineStr">
        <is>
          <t>BRH SAUDE OCUPACIONAL LTDA</t>
        </is>
      </c>
      <c r="E1515" t="n">
        <v>111.58</v>
      </c>
      <c r="F1515" s="27" t="n">
        <v>45854</v>
      </c>
      <c r="G1515" s="27" t="n">
        <v>45852</v>
      </c>
      <c r="H1515" s="27" t="n">
        <v>45852</v>
      </c>
      <c r="I1515" s="27" t="n">
        <v>45809</v>
      </c>
      <c r="J1515" s="27" t="n">
        <v>45824</v>
      </c>
      <c r="K1515" t="inlineStr">
        <is>
          <t>Transferência Bancária ou Pix</t>
        </is>
      </c>
      <c r="L1515" t="inlineStr">
        <is>
          <t>Mão de Obra - Benefícios</t>
        </is>
      </c>
      <c r="M1515" t="inlineStr">
        <is>
          <t xml:space="preserve">  -  Exames Periódicos</t>
        </is>
      </c>
      <c r="N1515" t="inlineStr">
        <is>
          <t>79947</t>
        </is>
      </c>
      <c r="O1515" t="inlineStr">
        <is>
          <t>Documentação Aprovada</t>
        </is>
      </c>
      <c r="P1515" t="inlineStr">
        <is>
          <t>Aprovado Diretoria</t>
        </is>
      </c>
      <c r="Q1515" t="inlineStr">
        <is>
          <t>Aprovado Caixa</t>
        </is>
      </c>
      <c r="R1515" t="inlineStr">
        <is>
          <t>Pago</t>
        </is>
      </c>
      <c r="S1515" t="n">
        <v>182</v>
      </c>
      <c r="T1515" t="inlineStr">
        <is>
          <t>Love - Shibari - Kamino</t>
        </is>
      </c>
    </row>
    <row r="1516">
      <c r="A1516" t="n">
        <v>139893</v>
      </c>
      <c r="B1516" t="n">
        <v>128</v>
      </c>
      <c r="C1516" t="inlineStr">
        <is>
          <t>Love Cabaret</t>
        </is>
      </c>
      <c r="D1516" t="inlineStr">
        <is>
          <t xml:space="preserve">ELETRO TERRIVEL LTDA </t>
        </is>
      </c>
      <c r="E1516" t="n">
        <v>1645</v>
      </c>
      <c r="F1516" s="27" t="n">
        <v>45852</v>
      </c>
      <c r="G1516" s="27" t="n">
        <v>45852</v>
      </c>
      <c r="H1516" s="27" t="n">
        <v>45852</v>
      </c>
      <c r="I1516" s="27" t="n">
        <v>45824</v>
      </c>
      <c r="J1516" s="27" t="n">
        <v>45824</v>
      </c>
      <c r="K1516" t="inlineStr">
        <is>
          <t>Transferência Bancária ou Pix</t>
        </is>
      </c>
      <c r="L1516" t="inlineStr">
        <is>
          <t>Utilidades</t>
        </is>
      </c>
      <c r="M1516" t="inlineStr">
        <is>
          <t>Utensilios</t>
        </is>
      </c>
      <c r="N1516" t="inlineStr">
        <is>
          <t>062025</t>
        </is>
      </c>
      <c r="O1516" t="inlineStr">
        <is>
          <t>Documentação Aprovada</t>
        </is>
      </c>
      <c r="P1516" t="inlineStr">
        <is>
          <t>Aprovado Diretoria</t>
        </is>
      </c>
      <c r="Q1516" t="inlineStr">
        <is>
          <t>Aprovado Caixa</t>
        </is>
      </c>
      <c r="R1516" t="inlineStr">
        <is>
          <t>Pago</t>
        </is>
      </c>
      <c r="S1516" t="n">
        <v>182</v>
      </c>
      <c r="T1516" t="inlineStr">
        <is>
          <t>Love - Shibari - Kamino</t>
        </is>
      </c>
    </row>
    <row r="1517">
      <c r="A1517" t="n">
        <v>141538</v>
      </c>
      <c r="B1517" t="n">
        <v>128</v>
      </c>
      <c r="C1517" t="inlineStr">
        <is>
          <t>Love Cabaret</t>
        </is>
      </c>
      <c r="D1517" t="inlineStr">
        <is>
          <t>HORTICLEAN DISTRIBUIDORA DE HORTIFRUTI LTDA</t>
        </is>
      </c>
      <c r="E1517" t="n">
        <v>574.48</v>
      </c>
      <c r="F1517" s="27" t="n">
        <v>45856</v>
      </c>
      <c r="G1517" s="27" t="n">
        <v>45852</v>
      </c>
      <c r="H1517" s="27" t="n">
        <v>45852</v>
      </c>
      <c r="I1517" s="27" t="n">
        <v>45826</v>
      </c>
      <c r="J1517" s="27" t="n">
        <v>45833</v>
      </c>
      <c r="K1517" t="inlineStr">
        <is>
          <t>Boleto Bancário</t>
        </is>
      </c>
      <c r="L1517" t="inlineStr">
        <is>
          <t>Custo Mercadoria Vendida</t>
        </is>
      </c>
      <c r="M1517" t="inlineStr">
        <is>
          <t>Insumos - Alimentos</t>
        </is>
      </c>
      <c r="N1517" t="inlineStr">
        <is>
          <t>27047</t>
        </is>
      </c>
      <c r="O1517" t="inlineStr">
        <is>
          <t>Documentação Aprovada</t>
        </is>
      </c>
      <c r="P1517" t="inlineStr">
        <is>
          <t>Aprovado Diretoria</t>
        </is>
      </c>
      <c r="Q1517" t="inlineStr">
        <is>
          <t>Aprovado Caixa</t>
        </is>
      </c>
      <c r="R1517" t="inlineStr">
        <is>
          <t>Pago</t>
        </is>
      </c>
      <c r="S1517" t="n">
        <v>182</v>
      </c>
      <c r="T1517" t="inlineStr">
        <is>
          <t>Love - Shibari - Kamino</t>
        </is>
      </c>
    </row>
    <row r="1518">
      <c r="A1518" t="n">
        <v>96951</v>
      </c>
      <c r="B1518" t="n">
        <v>128</v>
      </c>
      <c r="C1518" t="inlineStr">
        <is>
          <t>Love Cabaret</t>
        </is>
      </c>
      <c r="D1518" t="inlineStr">
        <is>
          <t>CEM ENGENHARIA DA MANUTENCAO LTDA</t>
        </is>
      </c>
      <c r="E1518" t="n">
        <v>6585.57</v>
      </c>
      <c r="F1518" s="27" t="n">
        <v>45853</v>
      </c>
      <c r="G1518" s="27" t="n">
        <v>45852</v>
      </c>
      <c r="H1518" s="27" t="n">
        <v>45852</v>
      </c>
      <c r="I1518" s="27" t="n">
        <v>45838</v>
      </c>
      <c r="J1518" s="27" t="n"/>
      <c r="K1518" t="inlineStr">
        <is>
          <t>Boleto Bancário</t>
        </is>
      </c>
      <c r="L1518" t="inlineStr">
        <is>
          <t>Manutenção</t>
        </is>
      </c>
      <c r="M1518" t="inlineStr">
        <is>
          <t>Manutenção Predial</t>
        </is>
      </c>
      <c r="N1518" t="inlineStr">
        <is>
          <t>2783</t>
        </is>
      </c>
      <c r="O1518" t="inlineStr">
        <is>
          <t>Documentação Aprovada</t>
        </is>
      </c>
      <c r="P1518" t="inlineStr">
        <is>
          <t>Aprovado Diretoria</t>
        </is>
      </c>
      <c r="Q1518" t="inlineStr">
        <is>
          <t>Aprovado Caixa</t>
        </is>
      </c>
      <c r="R1518" t="inlineStr">
        <is>
          <t>Pago</t>
        </is>
      </c>
      <c r="S1518" t="n">
        <v>182</v>
      </c>
      <c r="T1518" t="inlineStr">
        <is>
          <t>Love - Shibari - Kamino</t>
        </is>
      </c>
    </row>
    <row r="1519">
      <c r="A1519" t="n">
        <v>96963</v>
      </c>
      <c r="B1519" t="n">
        <v>128</v>
      </c>
      <c r="C1519" t="inlineStr">
        <is>
          <t>Love Cabaret</t>
        </is>
      </c>
      <c r="D1519" t="inlineStr">
        <is>
          <t xml:space="preserve">DUO COMUNICA LTDA </t>
        </is>
      </c>
      <c r="E1519" t="n">
        <v>2000</v>
      </c>
      <c r="F1519" s="27" t="n">
        <v>45852</v>
      </c>
      <c r="G1519" s="27" t="n">
        <v>45852</v>
      </c>
      <c r="H1519" s="27" t="n">
        <v>45852</v>
      </c>
      <c r="I1519" s="27" t="n">
        <v>45826</v>
      </c>
      <c r="J1519" s="27" t="n"/>
      <c r="K1519" t="inlineStr">
        <is>
          <t>Transferência Bancária ou Pix</t>
        </is>
      </c>
      <c r="L1519" t="inlineStr">
        <is>
          <t>Informática e TI</t>
        </is>
      </c>
      <c r="M1519" t="inlineStr">
        <is>
          <t>Sistemas Gerais - Comunicação e Marketing</t>
        </is>
      </c>
      <c r="N1519" t="inlineStr">
        <is>
          <t>543</t>
        </is>
      </c>
      <c r="O1519" t="inlineStr">
        <is>
          <t>Documentação Aprovada</t>
        </is>
      </c>
      <c r="P1519" t="inlineStr">
        <is>
          <t>Aprovado Diretoria</t>
        </is>
      </c>
      <c r="Q1519" t="inlineStr">
        <is>
          <t>Aprovado Caixa</t>
        </is>
      </c>
      <c r="R1519" t="inlineStr">
        <is>
          <t>Pago</t>
        </is>
      </c>
      <c r="S1519" t="n">
        <v>182</v>
      </c>
      <c r="T1519" t="inlineStr">
        <is>
          <t>Love - Shibari - Kamino</t>
        </is>
      </c>
    </row>
    <row r="1520">
      <c r="A1520" t="n">
        <v>106690</v>
      </c>
      <c r="B1520" t="n">
        <v>128</v>
      </c>
      <c r="C1520" t="inlineStr">
        <is>
          <t>Love Cabaret</t>
        </is>
      </c>
      <c r="D1520" t="inlineStr">
        <is>
          <t>AURORA ALVORADA ESTACIONAMENTO E LANCHONETE LTDA</t>
        </is>
      </c>
      <c r="E1520" t="n">
        <v>219.24</v>
      </c>
      <c r="F1520" s="27" t="n">
        <v>45852</v>
      </c>
      <c r="G1520" s="27" t="n">
        <v>45852</v>
      </c>
      <c r="H1520" s="27" t="n">
        <v>45852</v>
      </c>
      <c r="I1520" s="27" t="n">
        <v>45845</v>
      </c>
      <c r="J1520" s="27" t="n"/>
      <c r="K1520" t="inlineStr">
        <is>
          <t>Boleto Bancário</t>
        </is>
      </c>
      <c r="L1520" t="inlineStr">
        <is>
          <t>Custo Mercadoria Vendida</t>
        </is>
      </c>
      <c r="M1520" t="inlineStr">
        <is>
          <t>Insumos - Alimentos</t>
        </is>
      </c>
      <c r="N1520" t="inlineStr">
        <is>
          <t>10749</t>
        </is>
      </c>
      <c r="O1520" t="inlineStr">
        <is>
          <t>Documentação Aprovada</t>
        </is>
      </c>
      <c r="P1520" t="inlineStr">
        <is>
          <t>Aprovado Diretoria</t>
        </is>
      </c>
      <c r="Q1520" t="inlineStr">
        <is>
          <t>Aprovado Caixa</t>
        </is>
      </c>
      <c r="R1520" t="inlineStr">
        <is>
          <t>Pago</t>
        </is>
      </c>
      <c r="S1520" t="n">
        <v>182</v>
      </c>
      <c r="T1520" t="inlineStr">
        <is>
          <t>Love - Shibari - Kamino</t>
        </is>
      </c>
    </row>
    <row r="1521">
      <c r="A1521" t="n">
        <v>102880</v>
      </c>
      <c r="B1521" t="n">
        <v>128</v>
      </c>
      <c r="C1521" t="inlineStr">
        <is>
          <t>Love Cabaret</t>
        </is>
      </c>
      <c r="D1521" t="inlineStr">
        <is>
          <t>MACHINE SEGURANCA PATRIMONIAL LTDA</t>
        </is>
      </c>
      <c r="E1521" t="n">
        <v>4636.95</v>
      </c>
      <c r="F1521" s="27" t="n">
        <v>45853</v>
      </c>
      <c r="G1521" s="27" t="n">
        <v>45852</v>
      </c>
      <c r="H1521" s="27" t="n">
        <v>45852</v>
      </c>
      <c r="I1521" s="27" t="n">
        <v>45838</v>
      </c>
      <c r="J1521" s="27" t="n"/>
      <c r="K1521" t="inlineStr">
        <is>
          <t>Transferência Bancária ou Pix</t>
        </is>
      </c>
      <c r="L1521" t="inlineStr">
        <is>
          <t>Serviços de Terceiros</t>
        </is>
      </c>
      <c r="M1521" t="inlineStr">
        <is>
          <t>Serviços de Segurança</t>
        </is>
      </c>
      <c r="N1521" t="inlineStr">
        <is>
          <t>671</t>
        </is>
      </c>
      <c r="O1521" t="inlineStr">
        <is>
          <t>Documentação Aprovada</t>
        </is>
      </c>
      <c r="P1521" t="inlineStr">
        <is>
          <t>Aprovado Diretoria</t>
        </is>
      </c>
      <c r="Q1521" t="inlineStr">
        <is>
          <t>Aprovado Caixa</t>
        </is>
      </c>
      <c r="R1521" t="inlineStr">
        <is>
          <t>Pago</t>
        </is>
      </c>
      <c r="S1521" t="n">
        <v>182</v>
      </c>
      <c r="T1521" t="inlineStr">
        <is>
          <t>Love - Shibari - Kamino</t>
        </is>
      </c>
    </row>
    <row r="1522">
      <c r="A1522" t="n">
        <v>102905</v>
      </c>
      <c r="B1522" t="n">
        <v>128</v>
      </c>
      <c r="C1522" t="inlineStr">
        <is>
          <t>Love Cabaret</t>
        </is>
      </c>
      <c r="D1522" t="inlineStr">
        <is>
          <t>MACRO CONTABILIDADE E CONSULTORIA LTDA</t>
        </is>
      </c>
      <c r="E1522" t="n">
        <v>3204.47</v>
      </c>
      <c r="F1522" s="27" t="n">
        <v>45853</v>
      </c>
      <c r="G1522" s="27" t="n">
        <v>45852</v>
      </c>
      <c r="H1522" s="27" t="n">
        <v>45852</v>
      </c>
      <c r="I1522" s="27" t="n">
        <v>45841</v>
      </c>
      <c r="J1522" s="27" t="n"/>
      <c r="K1522" t="inlineStr">
        <is>
          <t>Boleto Bancário</t>
        </is>
      </c>
      <c r="L1522" t="inlineStr">
        <is>
          <t>Serviços de Terceiros</t>
        </is>
      </c>
      <c r="M1522" t="inlineStr">
        <is>
          <t>Assessoria Contabil</t>
        </is>
      </c>
      <c r="N1522" t="inlineStr">
        <is>
          <t>8199</t>
        </is>
      </c>
      <c r="O1522" t="inlineStr">
        <is>
          <t>Documentação Aprovada</t>
        </is>
      </c>
      <c r="P1522" t="inlineStr">
        <is>
          <t>Aprovado Diretoria</t>
        </is>
      </c>
      <c r="Q1522" t="inlineStr">
        <is>
          <t>Aprovado Caixa</t>
        </is>
      </c>
      <c r="R1522" t="inlineStr">
        <is>
          <t>Pago</t>
        </is>
      </c>
      <c r="S1522" t="n">
        <v>182</v>
      </c>
      <c r="T1522" t="inlineStr">
        <is>
          <t>Love - Shibari - Kamino</t>
        </is>
      </c>
    </row>
    <row r="1523">
      <c r="A1523" t="n">
        <v>102830</v>
      </c>
      <c r="B1523" t="n">
        <v>128</v>
      </c>
      <c r="C1523" t="inlineStr">
        <is>
          <t>Love Cabaret</t>
        </is>
      </c>
      <c r="D1523" t="inlineStr">
        <is>
          <t>HEADCHEF SEGURANCA DOS ALIM E GARANTIA D</t>
        </is>
      </c>
      <c r="E1523" t="n">
        <v>891.0599999999999</v>
      </c>
      <c r="F1523" s="27" t="n">
        <v>45853</v>
      </c>
      <c r="G1523" s="27" t="n">
        <v>45852</v>
      </c>
      <c r="H1523" s="27" t="n">
        <v>45852</v>
      </c>
      <c r="I1523" s="27" t="n">
        <v>45834</v>
      </c>
      <c r="J1523" s="27" t="n"/>
      <c r="K1523" t="inlineStr">
        <is>
          <t>Boleto Bancário</t>
        </is>
      </c>
      <c r="L1523" t="inlineStr">
        <is>
          <t>Serviços de Terceiros</t>
        </is>
      </c>
      <c r="M1523" t="inlineStr">
        <is>
          <t>Assessoria de Alimentos e Bebidas</t>
        </is>
      </c>
      <c r="N1523" t="inlineStr">
        <is>
          <t>1392</t>
        </is>
      </c>
      <c r="O1523" t="inlineStr">
        <is>
          <t>Documentação Aprovada</t>
        </is>
      </c>
      <c r="P1523" t="inlineStr">
        <is>
          <t>Aprovado Diretoria</t>
        </is>
      </c>
      <c r="Q1523" t="inlineStr">
        <is>
          <t>Aprovado Caixa</t>
        </is>
      </c>
      <c r="R1523" t="inlineStr">
        <is>
          <t>Pago</t>
        </is>
      </c>
      <c r="S1523" t="n">
        <v>182</v>
      </c>
      <c r="T1523" t="inlineStr">
        <is>
          <t>Love - Shibari - Kamino</t>
        </is>
      </c>
    </row>
    <row r="1524">
      <c r="A1524" t="n">
        <v>97530</v>
      </c>
      <c r="B1524" t="n">
        <v>128</v>
      </c>
      <c r="C1524" t="inlineStr">
        <is>
          <t>Love Cabaret</t>
        </is>
      </c>
      <c r="D1524" t="inlineStr">
        <is>
          <t>ISS</t>
        </is>
      </c>
      <c r="E1524" t="n">
        <v>188.89</v>
      </c>
      <c r="F1524" s="27" t="n">
        <v>45848</v>
      </c>
      <c r="G1524" s="27" t="n">
        <v>45848</v>
      </c>
      <c r="H1524" s="27" t="n">
        <v>45848</v>
      </c>
      <c r="I1524" s="27" t="n">
        <v>45838</v>
      </c>
      <c r="J1524" s="27" t="n"/>
      <c r="K1524" t="inlineStr">
        <is>
          <t>Boleto Bancário</t>
        </is>
      </c>
      <c r="L1524" t="inlineStr">
        <is>
          <t>Utilidades</t>
        </is>
      </c>
      <c r="M1524" t="inlineStr">
        <is>
          <t>Coleta de lixo</t>
        </is>
      </c>
      <c r="N1524" t="inlineStr">
        <is>
          <t>09502 09679</t>
        </is>
      </c>
      <c r="O1524" t="inlineStr">
        <is>
          <t>Documentação Aprovada</t>
        </is>
      </c>
      <c r="P1524" t="inlineStr">
        <is>
          <t>Aprovado Diretoria</t>
        </is>
      </c>
      <c r="Q1524" t="inlineStr">
        <is>
          <t>Aprovado Caixa</t>
        </is>
      </c>
      <c r="R1524" t="inlineStr">
        <is>
          <t>Pago</t>
        </is>
      </c>
      <c r="S1524" t="n">
        <v>115</v>
      </c>
      <c r="T1524" t="inlineStr">
        <is>
          <t>Love - Shibari - Bradesco</t>
        </is>
      </c>
    </row>
    <row r="1525">
      <c r="A1525" t="n">
        <v>97108</v>
      </c>
      <c r="B1525" t="n">
        <v>128</v>
      </c>
      <c r="C1525" t="inlineStr">
        <is>
          <t>Love Cabaret</t>
        </is>
      </c>
      <c r="D1525" t="inlineStr">
        <is>
          <t>ESTAFF SOLUCOES TECNOLOGICAS DE AGENCIAMENTO LTDA</t>
        </is>
      </c>
      <c r="E1525" t="n">
        <v>14124</v>
      </c>
      <c r="F1525" s="27" t="n">
        <v>45847</v>
      </c>
      <c r="G1525" s="27" t="n">
        <v>45848</v>
      </c>
      <c r="H1525" s="27" t="n">
        <v>45848</v>
      </c>
      <c r="I1525" s="27" t="n">
        <v>45839</v>
      </c>
      <c r="J1525" s="27" t="n"/>
      <c r="K1525" t="inlineStr">
        <is>
          <t>Boleto Bancário</t>
        </is>
      </c>
      <c r="L1525" t="inlineStr">
        <is>
          <t>Mão de Obra - Extra</t>
        </is>
      </c>
      <c r="M1525" t="inlineStr">
        <is>
          <t>Mão de Obra Extra</t>
        </is>
      </c>
      <c r="N1525" t="inlineStr">
        <is>
          <t>594075846</t>
        </is>
      </c>
      <c r="O1525" t="inlineStr">
        <is>
          <t>Documentação Aprovada</t>
        </is>
      </c>
      <c r="P1525" t="inlineStr">
        <is>
          <t>Aprovado Diretoria</t>
        </is>
      </c>
      <c r="Q1525" t="inlineStr">
        <is>
          <t>Aprovado Caixa</t>
        </is>
      </c>
      <c r="R1525" t="inlineStr">
        <is>
          <t>Pago</t>
        </is>
      </c>
      <c r="S1525" t="n">
        <v>182</v>
      </c>
      <c r="T1525" t="inlineStr">
        <is>
          <t>Love - Shibari - Kamino</t>
        </is>
      </c>
    </row>
    <row r="1526">
      <c r="A1526" t="n">
        <v>143463</v>
      </c>
      <c r="B1526" t="n">
        <v>128</v>
      </c>
      <c r="C1526" t="inlineStr">
        <is>
          <t>Love Cabaret</t>
        </is>
      </c>
      <c r="D1526" t="inlineStr">
        <is>
          <t>MARIA EDUARDA RAMOS DE SOUSA</t>
        </is>
      </c>
      <c r="E1526" t="n">
        <v>140.05</v>
      </c>
      <c r="F1526" s="27" t="n">
        <v>45848</v>
      </c>
      <c r="G1526" s="27" t="n">
        <v>45848</v>
      </c>
      <c r="H1526" s="27" t="n">
        <v>45848</v>
      </c>
      <c r="I1526" s="27" t="n">
        <v>45809</v>
      </c>
      <c r="J1526" s="27" t="n">
        <v>45841</v>
      </c>
      <c r="K1526" t="inlineStr">
        <is>
          <t>Transferência Bancária ou Pix</t>
        </is>
      </c>
      <c r="L1526" t="inlineStr">
        <is>
          <t>Custos de Eventos</t>
        </is>
      </c>
      <c r="M1526" t="inlineStr">
        <is>
          <t>Comissões de Vendas - Eventos</t>
        </is>
      </c>
      <c r="N1526" t="inlineStr">
        <is>
          <t>52</t>
        </is>
      </c>
      <c r="O1526" t="inlineStr">
        <is>
          <t>Documentação Aprovada</t>
        </is>
      </c>
      <c r="P1526" t="inlineStr">
        <is>
          <t>Aprovado Diretoria</t>
        </is>
      </c>
      <c r="Q1526" t="inlineStr">
        <is>
          <t>Aprovado Caixa</t>
        </is>
      </c>
      <c r="R1526" t="inlineStr">
        <is>
          <t>Pago</t>
        </is>
      </c>
      <c r="S1526" t="n">
        <v>182</v>
      </c>
      <c r="T1526" t="inlineStr">
        <is>
          <t>Love - Shibari - Kamino</t>
        </is>
      </c>
    </row>
    <row r="1527">
      <c r="A1527" t="n">
        <v>149000</v>
      </c>
      <c r="B1527" t="n">
        <v>128</v>
      </c>
      <c r="C1527" t="inlineStr">
        <is>
          <t>Love Cabaret</t>
        </is>
      </c>
      <c r="D1527" t="inlineStr">
        <is>
          <t>BRADESCO SA</t>
        </is>
      </c>
      <c r="E1527" t="n">
        <v>29.4</v>
      </c>
      <c r="F1527" s="27" t="n">
        <v>45848</v>
      </c>
      <c r="G1527" s="27" t="n"/>
      <c r="H1527" s="27" t="n">
        <v>45848</v>
      </c>
      <c r="I1527" s="27" t="n">
        <v>45848</v>
      </c>
      <c r="J1527" s="27" t="n">
        <v>45863</v>
      </c>
      <c r="K1527" t="inlineStr">
        <is>
          <t>Encontro de Contas</t>
        </is>
      </c>
      <c r="L1527" t="inlineStr">
        <is>
          <t>Despesas Financeiras</t>
        </is>
      </c>
      <c r="M1527" t="inlineStr">
        <is>
          <t>Tarifas Bancárias</t>
        </is>
      </c>
      <c r="N1527" t="inlineStr">
        <is>
          <t>072025</t>
        </is>
      </c>
      <c r="P1527" t="inlineStr">
        <is>
          <t>Aprovado Diretoria</t>
        </is>
      </c>
      <c r="R1527" t="inlineStr">
        <is>
          <t>Pago</t>
        </is>
      </c>
    </row>
    <row r="1528">
      <c r="A1528" t="n">
        <v>135768</v>
      </c>
      <c r="B1528" t="n">
        <v>128</v>
      </c>
      <c r="C1528" t="inlineStr">
        <is>
          <t>Love Cabaret</t>
        </is>
      </c>
      <c r="D1528" t="inlineStr">
        <is>
          <t xml:space="preserve">RD GESTAO E SISTEMAS S.A </t>
        </is>
      </c>
      <c r="E1528" t="n">
        <v>1560</v>
      </c>
      <c r="F1528" s="27" t="n">
        <v>45848</v>
      </c>
      <c r="G1528" s="27" t="n">
        <v>45848</v>
      </c>
      <c r="H1528" s="27" t="n">
        <v>45848</v>
      </c>
      <c r="I1528" s="27" t="n">
        <v>45809</v>
      </c>
      <c r="J1528" s="27" t="n">
        <v>45810</v>
      </c>
      <c r="K1528" t="inlineStr">
        <is>
          <t>Transferência Bancária ou Pix</t>
        </is>
      </c>
      <c r="L1528" t="inlineStr">
        <is>
          <t>Marketing</t>
        </is>
      </c>
      <c r="M1528" t="inlineStr">
        <is>
          <t>Ferramentas de Marketing</t>
        </is>
      </c>
      <c r="N1528" t="inlineStr">
        <is>
          <t>RP050-2025</t>
        </is>
      </c>
      <c r="O1528" t="inlineStr">
        <is>
          <t>Documentação Aprovada</t>
        </is>
      </c>
      <c r="P1528" t="inlineStr">
        <is>
          <t>Aprovado Diretoria</t>
        </is>
      </c>
      <c r="Q1528" t="inlineStr">
        <is>
          <t>Aprovado Caixa</t>
        </is>
      </c>
      <c r="R1528" t="inlineStr">
        <is>
          <t>Pago</t>
        </is>
      </c>
      <c r="S1528" t="n">
        <v>182</v>
      </c>
      <c r="T1528" t="inlineStr">
        <is>
          <t>Love - Shibari - Kamino</t>
        </is>
      </c>
    </row>
    <row r="1529">
      <c r="A1529" t="n">
        <v>135764</v>
      </c>
      <c r="B1529" t="n">
        <v>128</v>
      </c>
      <c r="C1529" t="inlineStr">
        <is>
          <t>Love Cabaret</t>
        </is>
      </c>
      <c r="D1529" t="inlineStr">
        <is>
          <t xml:space="preserve">RD GESTAO E SISTEMAS S.A </t>
        </is>
      </c>
      <c r="E1529" t="n">
        <v>1560</v>
      </c>
      <c r="F1529" s="27" t="n">
        <v>45845</v>
      </c>
      <c r="G1529" s="27" t="n">
        <v>45845</v>
      </c>
      <c r="H1529" s="27" t="n">
        <v>45845</v>
      </c>
      <c r="I1529" s="27" t="n">
        <v>45839</v>
      </c>
      <c r="J1529" s="27" t="n">
        <v>45810</v>
      </c>
      <c r="K1529" t="inlineStr">
        <is>
          <t>Transferência Bancária ou Pix</t>
        </is>
      </c>
      <c r="L1529" t="inlineStr">
        <is>
          <t>Marketing</t>
        </is>
      </c>
      <c r="M1529" t="inlineStr">
        <is>
          <t>Ferramentas de Marketing</t>
        </is>
      </c>
      <c r="N1529" t="inlineStr">
        <is>
          <t>RP050-2025</t>
        </is>
      </c>
      <c r="O1529" t="inlineStr">
        <is>
          <t>Documentação Aprovada</t>
        </is>
      </c>
      <c r="P1529" t="inlineStr">
        <is>
          <t>Aprovado Diretoria</t>
        </is>
      </c>
      <c r="Q1529" t="inlineStr">
        <is>
          <t>Aprovado Caixa</t>
        </is>
      </c>
      <c r="R1529" t="inlineStr">
        <is>
          <t>Pago</t>
        </is>
      </c>
      <c r="S1529" t="n">
        <v>182</v>
      </c>
      <c r="T1529" t="inlineStr">
        <is>
          <t>Love - Shibari - Kamino</t>
        </is>
      </c>
    </row>
    <row r="1530">
      <c r="A1530" t="n">
        <v>135193</v>
      </c>
      <c r="B1530" t="n">
        <v>128</v>
      </c>
      <c r="C1530" t="inlineStr">
        <is>
          <t>Love Cabaret</t>
        </is>
      </c>
      <c r="D1530" t="inlineStr">
        <is>
          <t>PETTY CASH</t>
        </is>
      </c>
      <c r="E1530" t="n">
        <v>37.16</v>
      </c>
      <c r="F1530" s="27" t="n">
        <v>45843</v>
      </c>
      <c r="G1530" s="27" t="n">
        <v>45845</v>
      </c>
      <c r="H1530" s="27" t="n">
        <v>45845</v>
      </c>
      <c r="I1530" s="27" t="n">
        <v>45778</v>
      </c>
      <c r="J1530" s="27" t="n">
        <v>45806</v>
      </c>
      <c r="K1530" t="inlineStr">
        <is>
          <t>Cartão de Crédito</t>
        </is>
      </c>
      <c r="L1530" t="inlineStr">
        <is>
          <t>Utilidades</t>
        </is>
      </c>
      <c r="M1530" t="inlineStr">
        <is>
          <t>Utensilios</t>
        </is>
      </c>
      <c r="N1530" t="inlineStr">
        <is>
          <t>22PETTY052025</t>
        </is>
      </c>
      <c r="O1530" t="inlineStr">
        <is>
          <t>Documentação Aprovada</t>
        </is>
      </c>
      <c r="P1530" t="inlineStr">
        <is>
          <t>Aprovado Diretoria</t>
        </is>
      </c>
      <c r="Q1530" t="inlineStr">
        <is>
          <t>Aprovado Caixa</t>
        </is>
      </c>
      <c r="R1530" t="inlineStr">
        <is>
          <t>Pago</t>
        </is>
      </c>
      <c r="S1530" t="n">
        <v>182</v>
      </c>
      <c r="T1530" t="inlineStr">
        <is>
          <t>Love - Shibari - Kamino</t>
        </is>
      </c>
    </row>
    <row r="1531">
      <c r="A1531" t="n">
        <v>141410</v>
      </c>
      <c r="B1531" t="n">
        <v>128</v>
      </c>
      <c r="C1531" t="inlineStr">
        <is>
          <t>Love Cabaret</t>
        </is>
      </c>
      <c r="D1531" t="inlineStr">
        <is>
          <t>PJ 00042021 - JOAO VICTOR MENDES SALUSTIANO</t>
        </is>
      </c>
      <c r="E1531" t="n">
        <v>5600</v>
      </c>
      <c r="F1531" s="27" t="n">
        <v>45846</v>
      </c>
      <c r="G1531" s="27" t="n">
        <v>45845</v>
      </c>
      <c r="H1531" s="27" t="n">
        <v>45845</v>
      </c>
      <c r="I1531" s="27" t="n">
        <v>45809</v>
      </c>
      <c r="J1531" s="27" t="n">
        <v>45833</v>
      </c>
      <c r="K1531" t="inlineStr">
        <is>
          <t>Transferência Bancária ou Pix</t>
        </is>
      </c>
      <c r="L1531" t="inlineStr">
        <is>
          <t>Mão de Obra - PJ</t>
        </is>
      </c>
      <c r="M1531" t="inlineStr">
        <is>
          <t>MDO PJ Fixo</t>
        </is>
      </c>
      <c r="N1531" t="inlineStr">
        <is>
          <t>160</t>
        </is>
      </c>
      <c r="O1531" t="inlineStr">
        <is>
          <t>Documentação Aprovada</t>
        </is>
      </c>
      <c r="P1531" t="inlineStr">
        <is>
          <t>Aprovado Diretoria</t>
        </is>
      </c>
      <c r="Q1531" t="inlineStr">
        <is>
          <t>Aprovado Caixa</t>
        </is>
      </c>
      <c r="R1531" t="inlineStr">
        <is>
          <t>Pago</t>
        </is>
      </c>
      <c r="S1531" t="n">
        <v>182</v>
      </c>
      <c r="T1531" t="inlineStr">
        <is>
          <t>Love - Shibari - Kamino</t>
        </is>
      </c>
    </row>
    <row r="1532">
      <c r="A1532" t="n">
        <v>140849</v>
      </c>
      <c r="B1532" t="n">
        <v>128</v>
      </c>
      <c r="C1532" t="inlineStr">
        <is>
          <t>Love Cabaret</t>
        </is>
      </c>
      <c r="D1532" t="inlineStr">
        <is>
          <t>PRESHH ALUGUEL DE MAQUINAS LTDA</t>
        </is>
      </c>
      <c r="E1532" t="n">
        <v>198</v>
      </c>
      <c r="F1532" s="27" t="n">
        <v>45846</v>
      </c>
      <c r="G1532" s="27" t="n">
        <v>45845</v>
      </c>
      <c r="H1532" s="27" t="n">
        <v>45845</v>
      </c>
      <c r="I1532" s="27" t="n">
        <v>45826</v>
      </c>
      <c r="J1532" s="27" t="n">
        <v>45828</v>
      </c>
      <c r="K1532" t="inlineStr">
        <is>
          <t>Boleto Bancário</t>
        </is>
      </c>
      <c r="L1532" t="inlineStr">
        <is>
          <t>Utilidades</t>
        </is>
      </c>
      <c r="M1532" t="inlineStr">
        <is>
          <t>Material de Consumo - Gelo/ Gas CO2/ Carvao /Velas</t>
        </is>
      </c>
      <c r="N1532" t="inlineStr">
        <is>
          <t>T-31310</t>
        </is>
      </c>
      <c r="O1532" t="inlineStr">
        <is>
          <t>Documentação Aprovada</t>
        </is>
      </c>
      <c r="P1532" t="inlineStr">
        <is>
          <t>Aprovado Diretoria</t>
        </is>
      </c>
      <c r="Q1532" t="inlineStr">
        <is>
          <t>Aprovado Caixa</t>
        </is>
      </c>
      <c r="R1532" t="inlineStr">
        <is>
          <t>Pago</t>
        </is>
      </c>
      <c r="S1532" t="n">
        <v>182</v>
      </c>
      <c r="T1532" t="inlineStr">
        <is>
          <t>Love - Shibari - Kamino</t>
        </is>
      </c>
    </row>
    <row r="1533">
      <c r="A1533" t="n">
        <v>141638</v>
      </c>
      <c r="B1533" t="n">
        <v>128</v>
      </c>
      <c r="C1533" t="inlineStr">
        <is>
          <t>Love Cabaret</t>
        </is>
      </c>
      <c r="D1533" t="inlineStr">
        <is>
          <t>EDUARDO JOSE DA SILVA DISTRIBUIÇÃO DE PRODUTOS ALIMENTICIOS</t>
        </is>
      </c>
      <c r="E1533" t="n">
        <v>434.26</v>
      </c>
      <c r="F1533" s="27" t="n">
        <v>45846</v>
      </c>
      <c r="G1533" s="27" t="n">
        <v>45845</v>
      </c>
      <c r="H1533" s="27" t="n">
        <v>45845</v>
      </c>
      <c r="I1533" s="27" t="n">
        <v>45831</v>
      </c>
      <c r="J1533" s="27" t="n">
        <v>45833</v>
      </c>
      <c r="K1533" t="inlineStr">
        <is>
          <t>Boleto Bancário</t>
        </is>
      </c>
      <c r="L1533" t="inlineStr">
        <is>
          <t>Custo Mercadoria Vendida</t>
        </is>
      </c>
      <c r="M1533" t="inlineStr">
        <is>
          <t>Insumos - Alimentos</t>
        </is>
      </c>
      <c r="N1533" t="inlineStr">
        <is>
          <t>136751</t>
        </is>
      </c>
      <c r="O1533" t="inlineStr">
        <is>
          <t>Documentação Aprovada</t>
        </is>
      </c>
      <c r="P1533" t="inlineStr">
        <is>
          <t>Aprovado Diretoria</t>
        </is>
      </c>
      <c r="Q1533" t="inlineStr">
        <is>
          <t>Aprovado Caixa</t>
        </is>
      </c>
      <c r="R1533" t="inlineStr">
        <is>
          <t>Pago</t>
        </is>
      </c>
      <c r="S1533" t="n">
        <v>182</v>
      </c>
      <c r="T1533" t="inlineStr">
        <is>
          <t>Love - Shibari - Kamino</t>
        </is>
      </c>
    </row>
    <row r="1534">
      <c r="A1534" t="n">
        <v>142152</v>
      </c>
      <c r="B1534" t="n">
        <v>128</v>
      </c>
      <c r="C1534" t="inlineStr">
        <is>
          <t>Love Cabaret</t>
        </is>
      </c>
      <c r="D1534" t="inlineStr">
        <is>
          <t>PETTY CASH</t>
        </is>
      </c>
      <c r="E1534" t="n">
        <v>6.99</v>
      </c>
      <c r="F1534" s="27" t="n">
        <v>45843</v>
      </c>
      <c r="G1534" s="27" t="n">
        <v>45845</v>
      </c>
      <c r="H1534" s="27" t="n">
        <v>45845</v>
      </c>
      <c r="I1534" s="27" t="n">
        <v>45809</v>
      </c>
      <c r="J1534" s="27" t="n">
        <v>45835</v>
      </c>
      <c r="K1534" t="inlineStr">
        <is>
          <t>Cartão de Crédito</t>
        </is>
      </c>
      <c r="L1534" t="inlineStr">
        <is>
          <t>Custo Mercadoria Vendida</t>
        </is>
      </c>
      <c r="M1534" t="inlineStr">
        <is>
          <t>Insumos - Alimentos</t>
        </is>
      </c>
      <c r="N1534" t="inlineStr">
        <is>
          <t>13PETTY062025</t>
        </is>
      </c>
      <c r="O1534" t="inlineStr">
        <is>
          <t>Documentação Aprovada</t>
        </is>
      </c>
      <c r="P1534" t="inlineStr">
        <is>
          <t>Aprovado Diretoria</t>
        </is>
      </c>
      <c r="Q1534" t="inlineStr">
        <is>
          <t>Aprovado Caixa</t>
        </is>
      </c>
      <c r="R1534" t="inlineStr">
        <is>
          <t>Pago</t>
        </is>
      </c>
      <c r="S1534" t="n">
        <v>182</v>
      </c>
      <c r="T1534" t="inlineStr">
        <is>
          <t>Love - Shibari - Kamino</t>
        </is>
      </c>
    </row>
    <row r="1535">
      <c r="A1535" t="n">
        <v>142150</v>
      </c>
      <c r="B1535" t="n">
        <v>128</v>
      </c>
      <c r="C1535" t="inlineStr">
        <is>
          <t>Love Cabaret</t>
        </is>
      </c>
      <c r="D1535" t="inlineStr">
        <is>
          <t>PETTY CASH</t>
        </is>
      </c>
      <c r="E1535" t="n">
        <v>13.5</v>
      </c>
      <c r="F1535" s="27" t="n">
        <v>45843</v>
      </c>
      <c r="G1535" s="27" t="n">
        <v>45845</v>
      </c>
      <c r="H1535" s="27" t="n">
        <v>45845</v>
      </c>
      <c r="I1535" s="27" t="n">
        <v>45809</v>
      </c>
      <c r="J1535" s="27" t="n">
        <v>45835</v>
      </c>
      <c r="K1535" t="inlineStr">
        <is>
          <t>Cartão de Crédito</t>
        </is>
      </c>
      <c r="L1535" t="inlineStr">
        <is>
          <t>Manutenção</t>
        </is>
      </c>
      <c r="M1535" t="inlineStr">
        <is>
          <t>Material de Manutenção</t>
        </is>
      </c>
      <c r="N1535" t="inlineStr">
        <is>
          <t>12PETTY062025</t>
        </is>
      </c>
      <c r="O1535" t="inlineStr">
        <is>
          <t>Documentação Aprovada</t>
        </is>
      </c>
      <c r="P1535" t="inlineStr">
        <is>
          <t>Aprovado Diretoria</t>
        </is>
      </c>
      <c r="Q1535" t="inlineStr">
        <is>
          <t>Aprovado Caixa</t>
        </is>
      </c>
      <c r="R1535" t="inlineStr">
        <is>
          <t>Pago</t>
        </is>
      </c>
      <c r="S1535" t="n">
        <v>182</v>
      </c>
      <c r="T1535" t="inlineStr">
        <is>
          <t>Love - Shibari - Kamino</t>
        </is>
      </c>
    </row>
    <row r="1536">
      <c r="A1536" t="n">
        <v>142074</v>
      </c>
      <c r="B1536" t="n">
        <v>128</v>
      </c>
      <c r="C1536" t="inlineStr">
        <is>
          <t>Love Cabaret</t>
        </is>
      </c>
      <c r="D1536" t="inlineStr">
        <is>
          <t>PETTY CASH</t>
        </is>
      </c>
      <c r="E1536" t="n">
        <v>15.9</v>
      </c>
      <c r="F1536" s="27" t="n">
        <v>45843</v>
      </c>
      <c r="G1536" s="27" t="n">
        <v>45845</v>
      </c>
      <c r="H1536" s="27" t="n">
        <v>45845</v>
      </c>
      <c r="I1536" s="27" t="n">
        <v>45809</v>
      </c>
      <c r="J1536" s="27" t="n">
        <v>45835</v>
      </c>
      <c r="K1536" t="inlineStr">
        <is>
          <t>Cartão de Crédito</t>
        </is>
      </c>
      <c r="L1536" t="inlineStr">
        <is>
          <t>Custo Mercadoria Vendida</t>
        </is>
      </c>
      <c r="M1536" t="inlineStr">
        <is>
          <t>Insumos - Alimentos</t>
        </is>
      </c>
      <c r="N1536" t="inlineStr">
        <is>
          <t>11PETTY062025</t>
        </is>
      </c>
      <c r="O1536" t="inlineStr">
        <is>
          <t>Documentação Aprovada</t>
        </is>
      </c>
      <c r="P1536" t="inlineStr">
        <is>
          <t>Aprovado Diretoria</t>
        </is>
      </c>
      <c r="Q1536" t="inlineStr">
        <is>
          <t>Aprovado Caixa</t>
        </is>
      </c>
      <c r="R1536" t="inlineStr">
        <is>
          <t>Pago</t>
        </is>
      </c>
      <c r="S1536" t="n">
        <v>182</v>
      </c>
      <c r="T1536" t="inlineStr">
        <is>
          <t>Love - Shibari - Kamino</t>
        </is>
      </c>
    </row>
    <row r="1537">
      <c r="A1537" t="n">
        <v>142072</v>
      </c>
      <c r="B1537" t="n">
        <v>128</v>
      </c>
      <c r="C1537" t="inlineStr">
        <is>
          <t>Love Cabaret</t>
        </is>
      </c>
      <c r="D1537" t="inlineStr">
        <is>
          <t>PETTY CASH</t>
        </is>
      </c>
      <c r="E1537" t="n">
        <v>8.5</v>
      </c>
      <c r="F1537" s="27" t="n">
        <v>45843</v>
      </c>
      <c r="G1537" s="27" t="n">
        <v>45845</v>
      </c>
      <c r="H1537" s="27" t="n">
        <v>45845</v>
      </c>
      <c r="I1537" s="27" t="n">
        <v>45809</v>
      </c>
      <c r="J1537" s="27" t="n">
        <v>45835</v>
      </c>
      <c r="K1537" t="inlineStr">
        <is>
          <t>Cartão de Crédito</t>
        </is>
      </c>
      <c r="L1537" t="inlineStr">
        <is>
          <t>Mão de Obra - Benefícios</t>
        </is>
      </c>
      <c r="M1537" t="inlineStr">
        <is>
          <t xml:space="preserve">  -  Alimentação Funcionário</t>
        </is>
      </c>
      <c r="N1537" t="inlineStr">
        <is>
          <t>LOVE PETTY ALIMENTOS 10PETTY062025-5</t>
        </is>
      </c>
      <c r="O1537" t="inlineStr">
        <is>
          <t>Documentação Aprovada</t>
        </is>
      </c>
      <c r="P1537" t="inlineStr">
        <is>
          <t>Aprovado Diretoria</t>
        </is>
      </c>
      <c r="Q1537" t="inlineStr">
        <is>
          <t>Aprovado Caixa</t>
        </is>
      </c>
      <c r="R1537" t="inlineStr">
        <is>
          <t>Pago</t>
        </is>
      </c>
      <c r="S1537" t="n">
        <v>182</v>
      </c>
      <c r="T1537" t="inlineStr">
        <is>
          <t>Love - Shibari - Kamino</t>
        </is>
      </c>
    </row>
    <row r="1538">
      <c r="A1538" t="n">
        <v>142068</v>
      </c>
      <c r="B1538" t="n">
        <v>128</v>
      </c>
      <c r="C1538" t="inlineStr">
        <is>
          <t>Love Cabaret</t>
        </is>
      </c>
      <c r="D1538" t="inlineStr">
        <is>
          <t>PETTY CASH</t>
        </is>
      </c>
      <c r="E1538" t="n">
        <v>88.7</v>
      </c>
      <c r="F1538" s="27" t="n">
        <v>45843</v>
      </c>
      <c r="G1538" s="27" t="n">
        <v>45845</v>
      </c>
      <c r="H1538" s="27" t="n">
        <v>45845</v>
      </c>
      <c r="I1538" s="27" t="n">
        <v>45809</v>
      </c>
      <c r="J1538" s="27" t="n">
        <v>45835</v>
      </c>
      <c r="K1538" t="inlineStr">
        <is>
          <t>Cartão de Crédito</t>
        </is>
      </c>
      <c r="L1538" t="inlineStr">
        <is>
          <t>Manutenção</t>
        </is>
      </c>
      <c r="M1538" t="inlineStr">
        <is>
          <t>Material de Manutenção</t>
        </is>
      </c>
      <c r="N1538" t="inlineStr">
        <is>
          <t>9PETTY062025</t>
        </is>
      </c>
      <c r="O1538" t="inlineStr">
        <is>
          <t>Documentação Aprovada</t>
        </is>
      </c>
      <c r="P1538" t="inlineStr">
        <is>
          <t>Aprovado Diretoria</t>
        </is>
      </c>
      <c r="Q1538" t="inlineStr">
        <is>
          <t>Aprovado Caixa</t>
        </is>
      </c>
      <c r="R1538" t="inlineStr">
        <is>
          <t>Pago</t>
        </is>
      </c>
      <c r="S1538" t="n">
        <v>182</v>
      </c>
      <c r="T1538" t="inlineStr">
        <is>
          <t>Love - Shibari - Kamino</t>
        </is>
      </c>
    </row>
    <row r="1539">
      <c r="A1539" t="n">
        <v>142066</v>
      </c>
      <c r="B1539" t="n">
        <v>128</v>
      </c>
      <c r="C1539" t="inlineStr">
        <is>
          <t>Love Cabaret</t>
        </is>
      </c>
      <c r="D1539" t="inlineStr">
        <is>
          <t>PETTY CASH</t>
        </is>
      </c>
      <c r="E1539" t="n">
        <v>35.9</v>
      </c>
      <c r="F1539" s="27" t="n">
        <v>45843</v>
      </c>
      <c r="G1539" s="27" t="n">
        <v>45845</v>
      </c>
      <c r="H1539" s="27" t="n">
        <v>45845</v>
      </c>
      <c r="I1539" s="27" t="n">
        <v>45809</v>
      </c>
      <c r="J1539" s="27" t="n">
        <v>45835</v>
      </c>
      <c r="K1539" t="inlineStr">
        <is>
          <t>Cartão de Crédito</t>
        </is>
      </c>
      <c r="L1539" t="inlineStr">
        <is>
          <t>Custo Mercadoria Vendida</t>
        </is>
      </c>
      <c r="M1539" t="inlineStr">
        <is>
          <t>Insumos - Alimentos</t>
        </is>
      </c>
      <c r="N1539" t="inlineStr">
        <is>
          <t>7PETTY062025</t>
        </is>
      </c>
      <c r="O1539" t="inlineStr">
        <is>
          <t>Documentação Aprovada</t>
        </is>
      </c>
      <c r="P1539" t="inlineStr">
        <is>
          <t>Aprovado Diretoria</t>
        </is>
      </c>
      <c r="Q1539" t="inlineStr">
        <is>
          <t>Aprovado Caixa</t>
        </is>
      </c>
      <c r="R1539" t="inlineStr">
        <is>
          <t>Pago</t>
        </is>
      </c>
      <c r="S1539" t="n">
        <v>182</v>
      </c>
      <c r="T1539" t="inlineStr">
        <is>
          <t>Love - Shibari - Kamino</t>
        </is>
      </c>
    </row>
    <row r="1540">
      <c r="A1540" t="n">
        <v>142065</v>
      </c>
      <c r="B1540" t="n">
        <v>128</v>
      </c>
      <c r="C1540" t="inlineStr">
        <is>
          <t>Love Cabaret</t>
        </is>
      </c>
      <c r="D1540" t="inlineStr">
        <is>
          <t>PETTY CASH</t>
        </is>
      </c>
      <c r="E1540" t="n">
        <v>28.7</v>
      </c>
      <c r="F1540" s="27" t="n">
        <v>45843</v>
      </c>
      <c r="G1540" s="27" t="n">
        <v>45845</v>
      </c>
      <c r="H1540" s="27" t="n">
        <v>45845</v>
      </c>
      <c r="I1540" s="27" t="n">
        <v>45809</v>
      </c>
      <c r="J1540" s="27" t="n">
        <v>45835</v>
      </c>
      <c r="K1540" t="inlineStr">
        <is>
          <t>Cartão de Crédito</t>
        </is>
      </c>
      <c r="L1540" t="inlineStr">
        <is>
          <t>Utilidades</t>
        </is>
      </c>
      <c r="M1540" t="inlineStr">
        <is>
          <t>Material de Escritorio</t>
        </is>
      </c>
      <c r="N1540" t="inlineStr">
        <is>
          <t>6PETTY062025</t>
        </is>
      </c>
      <c r="O1540" t="inlineStr">
        <is>
          <t>Documentação Aprovada</t>
        </is>
      </c>
      <c r="P1540" t="inlineStr">
        <is>
          <t>Aprovado Diretoria</t>
        </is>
      </c>
      <c r="Q1540" t="inlineStr">
        <is>
          <t>Aprovado Caixa</t>
        </is>
      </c>
      <c r="R1540" t="inlineStr">
        <is>
          <t>Pago</t>
        </is>
      </c>
      <c r="S1540" t="n">
        <v>182</v>
      </c>
      <c r="T1540" t="inlineStr">
        <is>
          <t>Love - Shibari - Kamino</t>
        </is>
      </c>
    </row>
    <row r="1541">
      <c r="A1541" t="n">
        <v>142062</v>
      </c>
      <c r="B1541" t="n">
        <v>128</v>
      </c>
      <c r="C1541" t="inlineStr">
        <is>
          <t>Love Cabaret</t>
        </is>
      </c>
      <c r="D1541" t="inlineStr">
        <is>
          <t>PETTY CASH</t>
        </is>
      </c>
      <c r="E1541" t="n">
        <v>19.49</v>
      </c>
      <c r="F1541" s="27" t="n">
        <v>45843</v>
      </c>
      <c r="G1541" s="27" t="n">
        <v>45845</v>
      </c>
      <c r="H1541" s="27" t="n">
        <v>45845</v>
      </c>
      <c r="I1541" s="27" t="n">
        <v>45809</v>
      </c>
      <c r="J1541" s="27" t="n">
        <v>45835</v>
      </c>
      <c r="K1541" t="inlineStr">
        <is>
          <t>Cartão de Crédito</t>
        </is>
      </c>
      <c r="L1541" t="inlineStr">
        <is>
          <t>Mão de Obra - Benefícios</t>
        </is>
      </c>
      <c r="M1541" t="inlineStr">
        <is>
          <t xml:space="preserve">  -  Alimentação Funcionário</t>
        </is>
      </c>
      <c r="N1541" t="inlineStr">
        <is>
          <t>5PETTY062025</t>
        </is>
      </c>
      <c r="O1541" t="inlineStr">
        <is>
          <t>Documentação Aprovada</t>
        </is>
      </c>
      <c r="P1541" t="inlineStr">
        <is>
          <t>Aprovado Diretoria</t>
        </is>
      </c>
      <c r="Q1541" t="inlineStr">
        <is>
          <t>Aprovado Caixa</t>
        </is>
      </c>
      <c r="R1541" t="inlineStr">
        <is>
          <t>Pago</t>
        </is>
      </c>
      <c r="S1541" t="n">
        <v>182</v>
      </c>
      <c r="T1541" t="inlineStr">
        <is>
          <t>Love - Shibari - Kamino</t>
        </is>
      </c>
    </row>
    <row r="1542">
      <c r="A1542" t="n">
        <v>142061</v>
      </c>
      <c r="B1542" t="n">
        <v>128</v>
      </c>
      <c r="C1542" t="inlineStr">
        <is>
          <t>Love Cabaret</t>
        </is>
      </c>
      <c r="D1542" t="inlineStr">
        <is>
          <t>PETTY CASH</t>
        </is>
      </c>
      <c r="E1542" t="n">
        <v>61.2</v>
      </c>
      <c r="F1542" s="27" t="n">
        <v>45843</v>
      </c>
      <c r="G1542" s="27" t="n">
        <v>45845</v>
      </c>
      <c r="H1542" s="27" t="n">
        <v>45845</v>
      </c>
      <c r="I1542" s="27" t="n">
        <v>45809</v>
      </c>
      <c r="J1542" s="27" t="n">
        <v>45835</v>
      </c>
      <c r="K1542" t="inlineStr">
        <is>
          <t>Cartão de Crédito</t>
        </is>
      </c>
      <c r="L1542" t="inlineStr">
        <is>
          <t>Utilidades</t>
        </is>
      </c>
      <c r="M1542" t="inlineStr">
        <is>
          <t>Material de Escritorio</t>
        </is>
      </c>
      <c r="N1542" t="inlineStr">
        <is>
          <t>4PETTY062025</t>
        </is>
      </c>
      <c r="O1542" t="inlineStr">
        <is>
          <t>Documentação Aprovada</t>
        </is>
      </c>
      <c r="P1542" t="inlineStr">
        <is>
          <t>Aprovado Diretoria</t>
        </is>
      </c>
      <c r="Q1542" t="inlineStr">
        <is>
          <t>Aprovado Caixa</t>
        </is>
      </c>
      <c r="R1542" t="inlineStr">
        <is>
          <t>Pago</t>
        </is>
      </c>
      <c r="S1542" t="n">
        <v>182</v>
      </c>
      <c r="T1542" t="inlineStr">
        <is>
          <t>Love - Shibari - Kamino</t>
        </is>
      </c>
    </row>
    <row r="1543">
      <c r="A1543" t="n">
        <v>142060</v>
      </c>
      <c r="B1543" t="n">
        <v>128</v>
      </c>
      <c r="C1543" t="inlineStr">
        <is>
          <t>Love Cabaret</t>
        </is>
      </c>
      <c r="D1543" t="inlineStr">
        <is>
          <t>PETTY CASH</t>
        </is>
      </c>
      <c r="E1543" t="n">
        <v>137.2</v>
      </c>
      <c r="F1543" s="27" t="n">
        <v>45843</v>
      </c>
      <c r="G1543" s="27" t="n">
        <v>45845</v>
      </c>
      <c r="H1543" s="27" t="n">
        <v>45845</v>
      </c>
      <c r="I1543" s="27" t="n">
        <v>45809</v>
      </c>
      <c r="J1543" s="27" t="n">
        <v>45835</v>
      </c>
      <c r="K1543" t="inlineStr">
        <is>
          <t>Cartão de Crédito</t>
        </is>
      </c>
      <c r="L1543" t="inlineStr">
        <is>
          <t>Manutenção</t>
        </is>
      </c>
      <c r="M1543" t="inlineStr">
        <is>
          <t>Material de Manutenção</t>
        </is>
      </c>
      <c r="N1543" t="inlineStr">
        <is>
          <t>3PETTY062025</t>
        </is>
      </c>
      <c r="O1543" t="inlineStr">
        <is>
          <t>Documentação Aprovada</t>
        </is>
      </c>
      <c r="P1543" t="inlineStr">
        <is>
          <t>Aprovado Diretoria</t>
        </is>
      </c>
      <c r="Q1543" t="inlineStr">
        <is>
          <t>Aprovado Caixa</t>
        </is>
      </c>
      <c r="R1543" t="inlineStr">
        <is>
          <t>Pago</t>
        </is>
      </c>
      <c r="S1543" t="n">
        <v>182</v>
      </c>
      <c r="T1543" t="inlineStr">
        <is>
          <t>Love - Shibari - Kamino</t>
        </is>
      </c>
    </row>
    <row r="1544">
      <c r="A1544" t="n">
        <v>142057</v>
      </c>
      <c r="B1544" t="n">
        <v>128</v>
      </c>
      <c r="C1544" t="inlineStr">
        <is>
          <t>Love Cabaret</t>
        </is>
      </c>
      <c r="D1544" t="inlineStr">
        <is>
          <t>PETTY CASH</t>
        </is>
      </c>
      <c r="E1544" t="n">
        <v>11.79</v>
      </c>
      <c r="F1544" s="27" t="n">
        <v>45843</v>
      </c>
      <c r="G1544" s="27" t="n">
        <v>45845</v>
      </c>
      <c r="H1544" s="27" t="n">
        <v>45845</v>
      </c>
      <c r="I1544" s="27" t="n">
        <v>45809</v>
      </c>
      <c r="J1544" s="27" t="n">
        <v>45835</v>
      </c>
      <c r="K1544" t="inlineStr">
        <is>
          <t>Cartão de Crédito</t>
        </is>
      </c>
      <c r="L1544" t="inlineStr">
        <is>
          <t>Custo Mercadoria Vendida</t>
        </is>
      </c>
      <c r="M1544" t="inlineStr">
        <is>
          <t>Insumos - Alimentos</t>
        </is>
      </c>
      <c r="N1544" t="inlineStr">
        <is>
          <t>2PETTY062025</t>
        </is>
      </c>
      <c r="O1544" t="inlineStr">
        <is>
          <t>Documentação Aprovada</t>
        </is>
      </c>
      <c r="P1544" t="inlineStr">
        <is>
          <t>Aprovado Diretoria</t>
        </is>
      </c>
      <c r="Q1544" t="inlineStr">
        <is>
          <t>Aprovado Caixa</t>
        </is>
      </c>
      <c r="R1544" t="inlineStr">
        <is>
          <t>Pago</t>
        </is>
      </c>
      <c r="S1544" t="n">
        <v>182</v>
      </c>
      <c r="T1544" t="inlineStr">
        <is>
          <t>Love - Shibari - Kamino</t>
        </is>
      </c>
    </row>
    <row r="1545">
      <c r="A1545" t="n">
        <v>142067</v>
      </c>
      <c r="B1545" t="n">
        <v>128</v>
      </c>
      <c r="C1545" t="inlineStr">
        <is>
          <t>Love Cabaret</t>
        </is>
      </c>
      <c r="D1545" t="inlineStr">
        <is>
          <t>PETTY CASH</t>
        </is>
      </c>
      <c r="E1545" t="n">
        <v>33.9</v>
      </c>
      <c r="F1545" s="27" t="n">
        <v>45843</v>
      </c>
      <c r="G1545" s="27" t="n">
        <v>45845</v>
      </c>
      <c r="H1545" s="27" t="n">
        <v>45845</v>
      </c>
      <c r="I1545" s="27" t="n">
        <v>45809</v>
      </c>
      <c r="J1545" s="27" t="n">
        <v>45835</v>
      </c>
      <c r="K1545" t="inlineStr">
        <is>
          <t>Cartão de Crédito</t>
        </is>
      </c>
      <c r="L1545" t="inlineStr">
        <is>
          <t>Custo Mercadoria Vendida</t>
        </is>
      </c>
      <c r="M1545" t="inlineStr">
        <is>
          <t>Insumos - Alimentos</t>
        </is>
      </c>
      <c r="N1545" t="inlineStr">
        <is>
          <t>8PETTY062025</t>
        </is>
      </c>
      <c r="O1545" t="inlineStr">
        <is>
          <t>Documentação Aprovada</t>
        </is>
      </c>
      <c r="P1545" t="inlineStr">
        <is>
          <t>Aprovado Diretoria</t>
        </is>
      </c>
      <c r="Q1545" t="inlineStr">
        <is>
          <t>Aprovado Caixa</t>
        </is>
      </c>
      <c r="R1545" t="inlineStr">
        <is>
          <t>Pago</t>
        </is>
      </c>
      <c r="S1545" t="n">
        <v>182</v>
      </c>
      <c r="T1545" t="inlineStr">
        <is>
          <t>Love - Shibari - Kamino</t>
        </is>
      </c>
    </row>
    <row r="1546">
      <c r="A1546" t="n">
        <v>142054</v>
      </c>
      <c r="B1546" t="n">
        <v>128</v>
      </c>
      <c r="C1546" t="inlineStr">
        <is>
          <t>Love Cabaret</t>
        </is>
      </c>
      <c r="D1546" t="inlineStr">
        <is>
          <t>PETTY CASH</t>
        </is>
      </c>
      <c r="E1546" t="n">
        <v>164.8</v>
      </c>
      <c r="F1546" s="27" t="n">
        <v>45843</v>
      </c>
      <c r="G1546" s="27" t="n">
        <v>45845</v>
      </c>
      <c r="H1546" s="27" t="n">
        <v>45845</v>
      </c>
      <c r="I1546" s="27" t="n">
        <v>45809</v>
      </c>
      <c r="J1546" s="27" t="n">
        <v>45835</v>
      </c>
      <c r="K1546" t="inlineStr">
        <is>
          <t>Cartão de Crédito</t>
        </is>
      </c>
      <c r="L1546" t="inlineStr">
        <is>
          <t>Utilidades</t>
        </is>
      </c>
      <c r="M1546" t="inlineStr">
        <is>
          <t>Material de Escritorio</t>
        </is>
      </c>
      <c r="N1546" t="inlineStr">
        <is>
          <t>1PETTY062025</t>
        </is>
      </c>
      <c r="O1546" t="inlineStr">
        <is>
          <t>Documentação Aprovada</t>
        </is>
      </c>
      <c r="P1546" t="inlineStr">
        <is>
          <t>Aprovado Diretoria</t>
        </is>
      </c>
      <c r="Q1546" t="inlineStr">
        <is>
          <t>Aprovado Caixa</t>
        </is>
      </c>
      <c r="R1546" t="inlineStr">
        <is>
          <t>Pago</t>
        </is>
      </c>
      <c r="S1546" t="n">
        <v>182</v>
      </c>
      <c r="T1546" t="inlineStr">
        <is>
          <t>Love - Shibari - Kamino</t>
        </is>
      </c>
    </row>
    <row r="1547">
      <c r="A1547" t="n">
        <v>141647</v>
      </c>
      <c r="B1547" t="n">
        <v>128</v>
      </c>
      <c r="C1547" t="inlineStr">
        <is>
          <t>Love Cabaret</t>
        </is>
      </c>
      <c r="D1547" t="inlineStr">
        <is>
          <t>NOVA COMERCIAL DO PEIXE LTDA</t>
        </is>
      </c>
      <c r="E1547" t="n">
        <v>588</v>
      </c>
      <c r="F1547" s="27" t="n">
        <v>45845</v>
      </c>
      <c r="G1547" s="27" t="n">
        <v>45845</v>
      </c>
      <c r="H1547" s="27" t="n">
        <v>45845</v>
      </c>
      <c r="I1547" s="27" t="n">
        <v>45831</v>
      </c>
      <c r="J1547" s="27" t="n">
        <v>45833</v>
      </c>
      <c r="K1547" t="inlineStr">
        <is>
          <t>Boleto Bancário</t>
        </is>
      </c>
      <c r="L1547" t="inlineStr">
        <is>
          <t>Custo Mercadoria Vendida</t>
        </is>
      </c>
      <c r="M1547" t="inlineStr">
        <is>
          <t>Insumos - Alimentos</t>
        </is>
      </c>
      <c r="N1547" t="inlineStr">
        <is>
          <t>25759</t>
        </is>
      </c>
      <c r="O1547" t="inlineStr">
        <is>
          <t>Documentação Aprovada</t>
        </is>
      </c>
      <c r="P1547" t="inlineStr">
        <is>
          <t>Aprovado Diretoria</t>
        </is>
      </c>
      <c r="Q1547" t="inlineStr">
        <is>
          <t>Aprovado Caixa</t>
        </is>
      </c>
      <c r="R1547" t="inlineStr">
        <is>
          <t>Pago</t>
        </is>
      </c>
      <c r="S1547" t="n">
        <v>182</v>
      </c>
      <c r="T1547" t="inlineStr">
        <is>
          <t>Love - Shibari - Kamino</t>
        </is>
      </c>
    </row>
    <row r="1548">
      <c r="A1548" t="n">
        <v>141654</v>
      </c>
      <c r="B1548" t="n">
        <v>128</v>
      </c>
      <c r="C1548" t="inlineStr">
        <is>
          <t>Love Cabaret</t>
        </is>
      </c>
      <c r="D1548" t="inlineStr">
        <is>
          <t xml:space="preserve">FORTE ALIMENTOS COM. IMPORTAÇÃO LTDA </t>
        </is>
      </c>
      <c r="E1548" t="n">
        <v>623.5</v>
      </c>
      <c r="F1548" s="27" t="n">
        <v>45846</v>
      </c>
      <c r="G1548" s="27" t="n">
        <v>45845</v>
      </c>
      <c r="H1548" s="27" t="n">
        <v>45845</v>
      </c>
      <c r="I1548" s="27" t="n">
        <v>45831</v>
      </c>
      <c r="J1548" s="27" t="n">
        <v>45833</v>
      </c>
      <c r="K1548" t="inlineStr">
        <is>
          <t>Boleto Bancário</t>
        </is>
      </c>
      <c r="L1548" t="inlineStr">
        <is>
          <t>Custo Mercadoria Vendida</t>
        </is>
      </c>
      <c r="M1548" t="inlineStr">
        <is>
          <t>Insumos - Alimentos</t>
        </is>
      </c>
      <c r="N1548" t="inlineStr">
        <is>
          <t>318291</t>
        </is>
      </c>
      <c r="O1548" t="inlineStr">
        <is>
          <t>Documentação Aprovada</t>
        </is>
      </c>
      <c r="P1548" t="inlineStr">
        <is>
          <t>Aprovado Diretoria</t>
        </is>
      </c>
      <c r="Q1548" t="inlineStr">
        <is>
          <t>Aprovado Caixa</t>
        </is>
      </c>
      <c r="R1548" t="inlineStr">
        <is>
          <t>Pago</t>
        </is>
      </c>
      <c r="S1548" t="n">
        <v>182</v>
      </c>
      <c r="T1548" t="inlineStr">
        <is>
          <t>Love - Shibari - Kamino</t>
        </is>
      </c>
    </row>
    <row r="1549">
      <c r="A1549" t="n">
        <v>141658</v>
      </c>
      <c r="B1549" t="n">
        <v>128</v>
      </c>
      <c r="C1549" t="inlineStr">
        <is>
          <t>Love Cabaret</t>
        </is>
      </c>
      <c r="D1549" t="inlineStr">
        <is>
          <t>PARAMU COMERCIO E REPRESENTACAO DE PRODUTOS ALIMENTICIOS</t>
        </is>
      </c>
      <c r="E1549" t="n">
        <v>962.3</v>
      </c>
      <c r="F1549" s="27" t="n">
        <v>45845</v>
      </c>
      <c r="G1549" s="27" t="n">
        <v>45845</v>
      </c>
      <c r="H1549" s="27" t="n">
        <v>45845</v>
      </c>
      <c r="I1549" s="27" t="n">
        <v>45831</v>
      </c>
      <c r="J1549" s="27" t="n">
        <v>45833</v>
      </c>
      <c r="K1549" t="inlineStr">
        <is>
          <t>Boleto Bancário</t>
        </is>
      </c>
      <c r="L1549" t="inlineStr">
        <is>
          <t>Custo Mercadoria Vendida</t>
        </is>
      </c>
      <c r="M1549" t="inlineStr">
        <is>
          <t>Insumos - Alimentos</t>
        </is>
      </c>
      <c r="N1549" t="inlineStr">
        <is>
          <t>14376</t>
        </is>
      </c>
      <c r="O1549" t="inlineStr">
        <is>
          <t>Documentação Aprovada</t>
        </is>
      </c>
      <c r="P1549" t="inlineStr">
        <is>
          <t>Aprovado Diretoria</t>
        </is>
      </c>
      <c r="Q1549" t="inlineStr">
        <is>
          <t>Aprovado Caixa</t>
        </is>
      </c>
      <c r="R1549" t="inlineStr">
        <is>
          <t>Pago</t>
        </is>
      </c>
      <c r="S1549" t="n">
        <v>182</v>
      </c>
      <c r="T1549" t="inlineStr">
        <is>
          <t>Love - Shibari - Kamino</t>
        </is>
      </c>
    </row>
    <row r="1550">
      <c r="A1550" t="n">
        <v>142163</v>
      </c>
      <c r="B1550" t="n">
        <v>128</v>
      </c>
      <c r="C1550" t="inlineStr">
        <is>
          <t>Love Cabaret</t>
        </is>
      </c>
      <c r="D1550" t="inlineStr">
        <is>
          <t>PETTY CASH</t>
        </is>
      </c>
      <c r="E1550" t="n">
        <v>499.4</v>
      </c>
      <c r="F1550" s="27" t="n">
        <v>45843</v>
      </c>
      <c r="G1550" s="27" t="n">
        <v>45845</v>
      </c>
      <c r="H1550" s="27" t="n">
        <v>45845</v>
      </c>
      <c r="I1550" s="27" t="n">
        <v>45809</v>
      </c>
      <c r="J1550" s="27" t="n">
        <v>45835</v>
      </c>
      <c r="K1550" t="inlineStr">
        <is>
          <t>Cartão de Crédito</t>
        </is>
      </c>
      <c r="L1550" t="inlineStr">
        <is>
          <t>Utilidades</t>
        </is>
      </c>
      <c r="M1550" t="inlineStr">
        <is>
          <t>Serviços Graficos</t>
        </is>
      </c>
      <c r="N1550" t="inlineStr">
        <is>
          <t>17PETTY062025</t>
        </is>
      </c>
      <c r="O1550" t="inlineStr">
        <is>
          <t>Documentação Aprovada</t>
        </is>
      </c>
      <c r="P1550" t="inlineStr">
        <is>
          <t>Aprovado Diretoria</t>
        </is>
      </c>
      <c r="Q1550" t="inlineStr">
        <is>
          <t>Aprovado Caixa</t>
        </is>
      </c>
      <c r="R1550" t="inlineStr">
        <is>
          <t>Pago</t>
        </is>
      </c>
      <c r="S1550" t="n">
        <v>182</v>
      </c>
      <c r="T1550" t="inlineStr">
        <is>
          <t>Love - Shibari - Kamino</t>
        </is>
      </c>
    </row>
    <row r="1551">
      <c r="A1551" t="n">
        <v>142172</v>
      </c>
      <c r="B1551" t="n">
        <v>128</v>
      </c>
      <c r="C1551" t="inlineStr">
        <is>
          <t>Love Cabaret</t>
        </is>
      </c>
      <c r="D1551" t="inlineStr">
        <is>
          <t>PETTY CASH</t>
        </is>
      </c>
      <c r="E1551" t="n">
        <v>18.9</v>
      </c>
      <c r="F1551" s="27" t="n">
        <v>45843</v>
      </c>
      <c r="G1551" s="27" t="n">
        <v>45845</v>
      </c>
      <c r="H1551" s="27" t="n">
        <v>45845</v>
      </c>
      <c r="I1551" s="27" t="n">
        <v>45809</v>
      </c>
      <c r="J1551" s="27" t="n">
        <v>45835</v>
      </c>
      <c r="K1551" t="inlineStr">
        <is>
          <t>Cartão de Crédito</t>
        </is>
      </c>
      <c r="L1551" t="inlineStr">
        <is>
          <t>Manutenção</t>
        </is>
      </c>
      <c r="M1551" t="inlineStr">
        <is>
          <t>Material de Manutenção</t>
        </is>
      </c>
      <c r="N1551" t="inlineStr">
        <is>
          <t>19PETTY062025</t>
        </is>
      </c>
      <c r="O1551" t="inlineStr">
        <is>
          <t>Documentação Aprovada</t>
        </is>
      </c>
      <c r="P1551" t="inlineStr">
        <is>
          <t>Aprovado Diretoria</t>
        </is>
      </c>
      <c r="Q1551" t="inlineStr">
        <is>
          <t>Aprovado Caixa</t>
        </is>
      </c>
      <c r="R1551" t="inlineStr">
        <is>
          <t>Pago</t>
        </is>
      </c>
      <c r="S1551" t="n">
        <v>182</v>
      </c>
      <c r="T1551" t="inlineStr">
        <is>
          <t>Love - Shibari - Kamino</t>
        </is>
      </c>
    </row>
    <row r="1552">
      <c r="A1552" t="n">
        <v>142169</v>
      </c>
      <c r="B1552" t="n">
        <v>128</v>
      </c>
      <c r="C1552" t="inlineStr">
        <is>
          <t>Love Cabaret</t>
        </is>
      </c>
      <c r="D1552" t="inlineStr">
        <is>
          <t>PETTY CASH</t>
        </is>
      </c>
      <c r="E1552" t="n">
        <v>20.09</v>
      </c>
      <c r="F1552" s="27" t="n">
        <v>45843</v>
      </c>
      <c r="G1552" s="27" t="n">
        <v>45845</v>
      </c>
      <c r="H1552" s="27" t="n">
        <v>45845</v>
      </c>
      <c r="I1552" s="27" t="n">
        <v>45809</v>
      </c>
      <c r="J1552" s="27" t="n">
        <v>45835</v>
      </c>
      <c r="K1552" t="inlineStr">
        <is>
          <t>Cartão de Crédito</t>
        </is>
      </c>
      <c r="L1552" t="inlineStr">
        <is>
          <t>Mão de Obra - Benefícios</t>
        </is>
      </c>
      <c r="M1552" t="inlineStr">
        <is>
          <t xml:space="preserve">  -  Alimentação Funcionário</t>
        </is>
      </c>
      <c r="N1552" t="inlineStr">
        <is>
          <t>18PETTY062025</t>
        </is>
      </c>
      <c r="O1552" t="inlineStr">
        <is>
          <t>Documentação Aprovada</t>
        </is>
      </c>
      <c r="P1552" t="inlineStr">
        <is>
          <t>Aprovado Diretoria</t>
        </is>
      </c>
      <c r="Q1552" t="inlineStr">
        <is>
          <t>Aprovado Caixa</t>
        </is>
      </c>
      <c r="R1552" t="inlineStr">
        <is>
          <t>Pago</t>
        </is>
      </c>
      <c r="S1552" t="n">
        <v>182</v>
      </c>
      <c r="T1552" t="inlineStr">
        <is>
          <t>Love - Shibari - Kamino</t>
        </is>
      </c>
    </row>
    <row r="1553">
      <c r="A1553" t="n">
        <v>142178</v>
      </c>
      <c r="B1553" t="n">
        <v>128</v>
      </c>
      <c r="C1553" t="inlineStr">
        <is>
          <t>Love Cabaret</t>
        </is>
      </c>
      <c r="D1553" t="inlineStr">
        <is>
          <t>PETTY CASH</t>
        </is>
      </c>
      <c r="E1553" t="n">
        <v>82.8</v>
      </c>
      <c r="F1553" s="27" t="n">
        <v>45843</v>
      </c>
      <c r="G1553" s="27" t="n">
        <v>45845</v>
      </c>
      <c r="H1553" s="27" t="n">
        <v>45845</v>
      </c>
      <c r="I1553" s="27" t="n">
        <v>45809</v>
      </c>
      <c r="J1553" s="27" t="n">
        <v>45835</v>
      </c>
      <c r="K1553" t="inlineStr">
        <is>
          <t>Cartão de Crédito</t>
        </is>
      </c>
      <c r="L1553" t="inlineStr">
        <is>
          <t>Utilidades</t>
        </is>
      </c>
      <c r="M1553" t="inlineStr">
        <is>
          <t>Material de Escritorio</t>
        </is>
      </c>
      <c r="N1553" t="inlineStr">
        <is>
          <t>20PETTY062025</t>
        </is>
      </c>
      <c r="O1553" t="inlineStr">
        <is>
          <t>Documentação Aprovada</t>
        </is>
      </c>
      <c r="P1553" t="inlineStr">
        <is>
          <t>Aprovado Diretoria</t>
        </is>
      </c>
      <c r="Q1553" t="inlineStr">
        <is>
          <t>Aprovado Caixa</t>
        </is>
      </c>
      <c r="R1553" t="inlineStr">
        <is>
          <t>Pago</t>
        </is>
      </c>
      <c r="S1553" t="n">
        <v>182</v>
      </c>
      <c r="T1553" t="inlineStr">
        <is>
          <t>Love - Shibari - Kamino</t>
        </is>
      </c>
    </row>
    <row r="1554">
      <c r="A1554" t="n">
        <v>142180</v>
      </c>
      <c r="B1554" t="n">
        <v>128</v>
      </c>
      <c r="C1554" t="inlineStr">
        <is>
          <t>Love Cabaret</t>
        </is>
      </c>
      <c r="D1554" t="inlineStr">
        <is>
          <t>PETTY CASH</t>
        </is>
      </c>
      <c r="E1554" t="n">
        <v>23.67</v>
      </c>
      <c r="F1554" s="27" t="n">
        <v>45843</v>
      </c>
      <c r="G1554" s="27" t="n">
        <v>45845</v>
      </c>
      <c r="H1554" s="27" t="n">
        <v>45845</v>
      </c>
      <c r="I1554" s="27" t="n">
        <v>45809</v>
      </c>
      <c r="J1554" s="27" t="n">
        <v>45835</v>
      </c>
      <c r="K1554" t="inlineStr">
        <is>
          <t>Cartão de Crédito</t>
        </is>
      </c>
      <c r="L1554" t="inlineStr">
        <is>
          <t>Mão de Obra - Benefícios</t>
        </is>
      </c>
      <c r="M1554" t="inlineStr">
        <is>
          <t xml:space="preserve">  -  Alimentação Funcionário</t>
        </is>
      </c>
      <c r="N1554" t="inlineStr">
        <is>
          <t>21PETTY062025</t>
        </is>
      </c>
      <c r="O1554" t="inlineStr">
        <is>
          <t>Documentação Aprovada</t>
        </is>
      </c>
      <c r="P1554" t="inlineStr">
        <is>
          <t>Aprovado Diretoria</t>
        </is>
      </c>
      <c r="Q1554" t="inlineStr">
        <is>
          <t>Aprovado Caixa</t>
        </is>
      </c>
      <c r="R1554" t="inlineStr">
        <is>
          <t>Pago</t>
        </is>
      </c>
      <c r="S1554" t="n">
        <v>182</v>
      </c>
      <c r="T1554" t="inlineStr">
        <is>
          <t>Love - Shibari - Kamino</t>
        </is>
      </c>
    </row>
    <row r="1555">
      <c r="A1555" t="n">
        <v>142161</v>
      </c>
      <c r="B1555" t="n">
        <v>128</v>
      </c>
      <c r="C1555" t="inlineStr">
        <is>
          <t>Love Cabaret</t>
        </is>
      </c>
      <c r="D1555" t="inlineStr">
        <is>
          <t>PETTY CASH</t>
        </is>
      </c>
      <c r="E1555" t="n">
        <v>11.97</v>
      </c>
      <c r="F1555" s="27" t="n">
        <v>45843</v>
      </c>
      <c r="G1555" s="27" t="n">
        <v>45845</v>
      </c>
      <c r="H1555" s="27" t="n">
        <v>45845</v>
      </c>
      <c r="I1555" s="27" t="n">
        <v>45809</v>
      </c>
      <c r="J1555" s="27" t="n">
        <v>45835</v>
      </c>
      <c r="K1555" t="inlineStr">
        <is>
          <t>Cartão de Crédito</t>
        </is>
      </c>
      <c r="L1555" t="inlineStr">
        <is>
          <t>Custo Mercadoria Vendida</t>
        </is>
      </c>
      <c r="M1555" t="inlineStr">
        <is>
          <t>Insumos - Alimentos</t>
        </is>
      </c>
      <c r="N1555" t="inlineStr">
        <is>
          <t>16PETTY062025</t>
        </is>
      </c>
      <c r="O1555" t="inlineStr">
        <is>
          <t>Documentação Aprovada</t>
        </is>
      </c>
      <c r="P1555" t="inlineStr">
        <is>
          <t>Aprovado Diretoria</t>
        </is>
      </c>
      <c r="Q1555" t="inlineStr">
        <is>
          <t>Aprovado Caixa</t>
        </is>
      </c>
      <c r="R1555" t="inlineStr">
        <is>
          <t>Pago</t>
        </is>
      </c>
      <c r="S1555" t="n">
        <v>182</v>
      </c>
      <c r="T1555" t="inlineStr">
        <is>
          <t>Love - Shibari - Kamino</t>
        </is>
      </c>
    </row>
    <row r="1556">
      <c r="A1556" t="n">
        <v>142157</v>
      </c>
      <c r="B1556" t="n">
        <v>128</v>
      </c>
      <c r="C1556" t="inlineStr">
        <is>
          <t>Love Cabaret</t>
        </is>
      </c>
      <c r="D1556" t="inlineStr">
        <is>
          <t>PETTY CASH</t>
        </is>
      </c>
      <c r="E1556" t="n">
        <v>95</v>
      </c>
      <c r="F1556" s="27" t="n">
        <v>45843</v>
      </c>
      <c r="G1556" s="27" t="n">
        <v>45845</v>
      </c>
      <c r="H1556" s="27" t="n">
        <v>45845</v>
      </c>
      <c r="I1556" s="27" t="n">
        <v>45809</v>
      </c>
      <c r="J1556" s="27" t="n">
        <v>45835</v>
      </c>
      <c r="K1556" t="inlineStr">
        <is>
          <t>Cartão de Crédito</t>
        </is>
      </c>
      <c r="L1556" t="inlineStr">
        <is>
          <t>Utilidades</t>
        </is>
      </c>
      <c r="M1556" t="inlineStr">
        <is>
          <t>Serviço de Lavanderia</t>
        </is>
      </c>
      <c r="N1556" t="inlineStr">
        <is>
          <t>LOVE PETTY LAVANDERIA 22PETTY062025</t>
        </is>
      </c>
      <c r="O1556" t="inlineStr">
        <is>
          <t>Documentação Aprovada</t>
        </is>
      </c>
      <c r="P1556" t="inlineStr">
        <is>
          <t>Aprovado Diretoria</t>
        </is>
      </c>
      <c r="Q1556" t="inlineStr">
        <is>
          <t>Aprovado Caixa</t>
        </is>
      </c>
      <c r="R1556" t="inlineStr">
        <is>
          <t>Pago</t>
        </is>
      </c>
      <c r="S1556" t="n">
        <v>182</v>
      </c>
      <c r="T1556" t="inlineStr">
        <is>
          <t>Love - Shibari - Kamino</t>
        </is>
      </c>
    </row>
    <row r="1557">
      <c r="A1557" t="n">
        <v>142153</v>
      </c>
      <c r="B1557" t="n">
        <v>128</v>
      </c>
      <c r="C1557" t="inlineStr">
        <is>
          <t>Love Cabaret</t>
        </is>
      </c>
      <c r="D1557" t="inlineStr">
        <is>
          <t>PETTY CASH</t>
        </is>
      </c>
      <c r="E1557" t="n">
        <v>76.8</v>
      </c>
      <c r="F1557" s="27" t="n">
        <v>45843</v>
      </c>
      <c r="G1557" s="27" t="n">
        <v>45845</v>
      </c>
      <c r="H1557" s="27" t="n">
        <v>45845</v>
      </c>
      <c r="I1557" s="27" t="n">
        <v>45809</v>
      </c>
      <c r="J1557" s="27" t="n">
        <v>45835</v>
      </c>
      <c r="K1557" t="inlineStr">
        <is>
          <t>Cartão de Crédito</t>
        </is>
      </c>
      <c r="L1557" t="inlineStr">
        <is>
          <t>Utilidades</t>
        </is>
      </c>
      <c r="M1557" t="inlineStr">
        <is>
          <t>Serviços Graficos</t>
        </is>
      </c>
      <c r="N1557" t="inlineStr">
        <is>
          <t>14PETTY062025</t>
        </is>
      </c>
      <c r="O1557" t="inlineStr">
        <is>
          <t>Documentação Aprovada</t>
        </is>
      </c>
      <c r="P1557" t="inlineStr">
        <is>
          <t>Aprovado Diretoria</t>
        </is>
      </c>
      <c r="Q1557" t="inlineStr">
        <is>
          <t>Aprovado Caixa</t>
        </is>
      </c>
      <c r="R1557" t="inlineStr">
        <is>
          <t>Pago</t>
        </is>
      </c>
      <c r="S1557" t="n">
        <v>182</v>
      </c>
      <c r="T1557" t="inlineStr">
        <is>
          <t>Love - Shibari - Kamino</t>
        </is>
      </c>
    </row>
    <row r="1558">
      <c r="A1558" t="n">
        <v>142155</v>
      </c>
      <c r="B1558" t="n">
        <v>128</v>
      </c>
      <c r="C1558" t="inlineStr">
        <is>
          <t>Love Cabaret</t>
        </is>
      </c>
      <c r="D1558" t="inlineStr">
        <is>
          <t>PETTY CASH</t>
        </is>
      </c>
      <c r="E1558" t="n">
        <v>36.28</v>
      </c>
      <c r="F1558" s="27" t="n">
        <v>45843</v>
      </c>
      <c r="G1558" s="27" t="n">
        <v>45845</v>
      </c>
      <c r="H1558" s="27" t="n">
        <v>45845</v>
      </c>
      <c r="I1558" s="27" t="n">
        <v>45809</v>
      </c>
      <c r="J1558" s="27" t="n">
        <v>45835</v>
      </c>
      <c r="K1558" t="inlineStr">
        <is>
          <t>Cartão de Crédito</t>
        </is>
      </c>
      <c r="L1558" t="inlineStr">
        <is>
          <t>Custo Mercadoria Vendida</t>
        </is>
      </c>
      <c r="M1558" t="inlineStr">
        <is>
          <t>Insumos - Alimentos</t>
        </is>
      </c>
      <c r="N1558" t="inlineStr">
        <is>
          <t>15PETTY062025</t>
        </is>
      </c>
      <c r="O1558" t="inlineStr">
        <is>
          <t>Documentação Aprovada</t>
        </is>
      </c>
      <c r="P1558" t="inlineStr">
        <is>
          <t>Aprovado Diretoria</t>
        </is>
      </c>
      <c r="Q1558" t="inlineStr">
        <is>
          <t>Aprovado Caixa</t>
        </is>
      </c>
      <c r="R1558" t="inlineStr">
        <is>
          <t>Pago</t>
        </is>
      </c>
      <c r="S1558" t="n">
        <v>182</v>
      </c>
      <c r="T1558" t="inlineStr">
        <is>
          <t>Love - Shibari - Kamino</t>
        </is>
      </c>
    </row>
    <row r="1559">
      <c r="A1559" t="n">
        <v>143119</v>
      </c>
      <c r="B1559" t="n">
        <v>128</v>
      </c>
      <c r="C1559" t="inlineStr">
        <is>
          <t>Love Cabaret</t>
        </is>
      </c>
      <c r="D1559" t="inlineStr">
        <is>
          <t>CECILIA TSUYACO ARAKI SILVA LTDA</t>
        </is>
      </c>
      <c r="E1559" t="n">
        <v>220.1</v>
      </c>
      <c r="F1559" s="27" t="n">
        <v>45848</v>
      </c>
      <c r="G1559" s="27" t="n">
        <v>45845</v>
      </c>
      <c r="H1559" s="27" t="n">
        <v>45845</v>
      </c>
      <c r="I1559" s="27" t="n">
        <v>45834</v>
      </c>
      <c r="J1559" s="27" t="n">
        <v>45840</v>
      </c>
      <c r="K1559" t="inlineStr">
        <is>
          <t>Boleto Bancário</t>
        </is>
      </c>
      <c r="L1559" t="inlineStr">
        <is>
          <t>Custo Mercadoria Vendida</t>
        </is>
      </c>
      <c r="M1559" t="inlineStr">
        <is>
          <t>Insumos - Alimentos</t>
        </is>
      </c>
      <c r="N1559" t="inlineStr">
        <is>
          <t>373567</t>
        </is>
      </c>
      <c r="O1559" t="inlineStr">
        <is>
          <t>Documentação Aprovada</t>
        </is>
      </c>
      <c r="P1559" t="inlineStr">
        <is>
          <t>Aprovado Diretoria</t>
        </is>
      </c>
      <c r="Q1559" t="inlineStr">
        <is>
          <t>Aprovado Caixa</t>
        </is>
      </c>
      <c r="R1559" t="inlineStr">
        <is>
          <t>Pago</t>
        </is>
      </c>
      <c r="S1559" t="n">
        <v>182</v>
      </c>
      <c r="T1559" t="inlineStr">
        <is>
          <t>Love - Shibari - Kamino</t>
        </is>
      </c>
    </row>
    <row r="1560">
      <c r="A1560" t="n">
        <v>143118</v>
      </c>
      <c r="B1560" t="n">
        <v>128</v>
      </c>
      <c r="C1560" t="inlineStr">
        <is>
          <t>Love Cabaret</t>
        </is>
      </c>
      <c r="D1560" t="inlineStr">
        <is>
          <t>HORTIFRUTIGRANJEIRO RODRIGUES LTDA</t>
        </is>
      </c>
      <c r="E1560" t="n">
        <v>393.6</v>
      </c>
      <c r="F1560" s="27" t="n">
        <v>45850</v>
      </c>
      <c r="G1560" s="27" t="n">
        <v>45845</v>
      </c>
      <c r="H1560" s="27" t="n">
        <v>45845</v>
      </c>
      <c r="I1560" s="27" t="n">
        <v>45834</v>
      </c>
      <c r="J1560" s="27" t="n">
        <v>45840</v>
      </c>
      <c r="K1560" t="inlineStr">
        <is>
          <t>Boleto Bancário</t>
        </is>
      </c>
      <c r="L1560" t="inlineStr">
        <is>
          <t>Custo Mercadoria Vendida</t>
        </is>
      </c>
      <c r="M1560" t="inlineStr">
        <is>
          <t>Insumos - Alimentos</t>
        </is>
      </c>
      <c r="N1560" t="inlineStr">
        <is>
          <t>11252</t>
        </is>
      </c>
      <c r="O1560" t="inlineStr">
        <is>
          <t>Documentação Aprovada</t>
        </is>
      </c>
      <c r="P1560" t="inlineStr">
        <is>
          <t>Aprovado Diretoria</t>
        </is>
      </c>
      <c r="Q1560" t="inlineStr">
        <is>
          <t>Aprovado Caixa</t>
        </is>
      </c>
      <c r="R1560" t="inlineStr">
        <is>
          <t>Pago</t>
        </is>
      </c>
      <c r="S1560" t="n">
        <v>182</v>
      </c>
      <c r="T1560" t="inlineStr">
        <is>
          <t>Love - Shibari - Kamino</t>
        </is>
      </c>
    </row>
    <row r="1561">
      <c r="A1561" t="n">
        <v>142881</v>
      </c>
      <c r="B1561" t="n">
        <v>128</v>
      </c>
      <c r="C1561" t="inlineStr">
        <is>
          <t>Love Cabaret</t>
        </is>
      </c>
      <c r="D1561" t="inlineStr">
        <is>
          <t>EMPRESA BRASILEIRA DE CORREIOS E TELEGRAFOS.</t>
        </is>
      </c>
      <c r="E1561" t="n">
        <v>42.43</v>
      </c>
      <c r="F1561" s="27" t="n">
        <v>45840</v>
      </c>
      <c r="G1561" s="27" t="n">
        <v>45845</v>
      </c>
      <c r="H1561" s="27" t="n">
        <v>45845</v>
      </c>
      <c r="I1561" s="27" t="n">
        <v>45839</v>
      </c>
      <c r="J1561" s="27" t="n">
        <v>45840</v>
      </c>
      <c r="K1561" t="inlineStr">
        <is>
          <t>Dinheiro em Espécie</t>
        </is>
      </c>
      <c r="L1561" t="inlineStr">
        <is>
          <t>Utilidades</t>
        </is>
      </c>
      <c r="M1561" t="inlineStr">
        <is>
          <t>Custas Cartório / Operação</t>
        </is>
      </c>
      <c r="N1561" t="inlineStr">
        <is>
          <t>4243072025</t>
        </is>
      </c>
      <c r="O1561" t="inlineStr">
        <is>
          <t>Documentação Aprovada</t>
        </is>
      </c>
      <c r="P1561" t="inlineStr">
        <is>
          <t>Aprovado Diretoria</t>
        </is>
      </c>
      <c r="Q1561" t="inlineStr">
        <is>
          <t>Aprovado Caixa</t>
        </is>
      </c>
      <c r="R1561" t="inlineStr">
        <is>
          <t>Pago</t>
        </is>
      </c>
      <c r="S1561" t="n">
        <v>143</v>
      </c>
      <c r="T1561" t="inlineStr">
        <is>
          <t>Tesouraria</t>
        </is>
      </c>
    </row>
    <row r="1562">
      <c r="A1562" t="n">
        <v>143120</v>
      </c>
      <c r="B1562" t="n">
        <v>128</v>
      </c>
      <c r="C1562" t="inlineStr">
        <is>
          <t>Love Cabaret</t>
        </is>
      </c>
      <c r="D1562" t="inlineStr">
        <is>
          <t xml:space="preserve">ARENA VIP DISTRIBUIDORA DE BEBIDAS LTDA </t>
        </is>
      </c>
      <c r="E1562" t="n">
        <v>1092</v>
      </c>
      <c r="F1562" s="27" t="n">
        <v>45849</v>
      </c>
      <c r="G1562" s="27" t="n">
        <v>45845</v>
      </c>
      <c r="H1562" s="27" t="n">
        <v>45845</v>
      </c>
      <c r="I1562" s="27" t="n">
        <v>45835</v>
      </c>
      <c r="J1562" s="27" t="n">
        <v>45840</v>
      </c>
      <c r="K1562" t="inlineStr">
        <is>
          <t>Boleto Bancário</t>
        </is>
      </c>
      <c r="L1562" t="inlineStr">
        <is>
          <t>Custo Mercadoria Vendida</t>
        </is>
      </c>
      <c r="M1562" t="inlineStr">
        <is>
          <t>Insumos - Bebidas</t>
        </is>
      </c>
      <c r="N1562" t="inlineStr">
        <is>
          <t>6136</t>
        </is>
      </c>
      <c r="O1562" t="inlineStr">
        <is>
          <t>Documentação Aprovada</t>
        </is>
      </c>
      <c r="P1562" t="inlineStr">
        <is>
          <t>Aprovado Diretoria</t>
        </is>
      </c>
      <c r="Q1562" t="inlineStr">
        <is>
          <t>Aprovado Caixa</t>
        </is>
      </c>
      <c r="R1562" t="inlineStr">
        <is>
          <t>Pago</t>
        </is>
      </c>
      <c r="S1562" t="n">
        <v>182</v>
      </c>
      <c r="T1562" t="inlineStr">
        <is>
          <t>Love - Shibari - Kamino</t>
        </is>
      </c>
    </row>
    <row r="1563">
      <c r="A1563" t="n">
        <v>143117</v>
      </c>
      <c r="B1563" t="n">
        <v>128</v>
      </c>
      <c r="C1563" t="inlineStr">
        <is>
          <t>Love Cabaret</t>
        </is>
      </c>
      <c r="D1563" t="inlineStr">
        <is>
          <t>HNK BR IND DE BEBIDAS</t>
        </is>
      </c>
      <c r="E1563" t="n">
        <v>1562.52</v>
      </c>
      <c r="F1563" s="27" t="n">
        <v>45847</v>
      </c>
      <c r="G1563" s="27" t="n">
        <v>45845</v>
      </c>
      <c r="H1563" s="27" t="n">
        <v>45845</v>
      </c>
      <c r="I1563" s="27" t="n">
        <v>45833</v>
      </c>
      <c r="J1563" s="27" t="n">
        <v>45840</v>
      </c>
      <c r="K1563" t="inlineStr">
        <is>
          <t>Boleto Bancário</t>
        </is>
      </c>
      <c r="L1563" t="inlineStr">
        <is>
          <t>Custo Mercadoria Vendida</t>
        </is>
      </c>
      <c r="M1563" t="inlineStr">
        <is>
          <t>Insumos - Bebidas</t>
        </is>
      </c>
      <c r="N1563" t="inlineStr">
        <is>
          <t>11152</t>
        </is>
      </c>
      <c r="O1563" t="inlineStr">
        <is>
          <t>Documentação Aprovada</t>
        </is>
      </c>
      <c r="P1563" t="inlineStr">
        <is>
          <t>Aprovado Diretoria</t>
        </is>
      </c>
      <c r="Q1563" t="inlineStr">
        <is>
          <t>Aprovado Caixa</t>
        </is>
      </c>
      <c r="R1563" t="inlineStr">
        <is>
          <t>Pago</t>
        </is>
      </c>
      <c r="S1563" t="n">
        <v>182</v>
      </c>
      <c r="T1563" t="inlineStr">
        <is>
          <t>Love - Shibari - Kamino</t>
        </is>
      </c>
    </row>
    <row r="1564">
      <c r="A1564" t="n">
        <v>143121</v>
      </c>
      <c r="B1564" t="n">
        <v>128</v>
      </c>
      <c r="C1564" t="inlineStr">
        <is>
          <t>Love Cabaret</t>
        </is>
      </c>
      <c r="D1564" t="inlineStr">
        <is>
          <t>CEPEL COMERCIO DE PAPEIS E EMBALAGENS LTDA</t>
        </is>
      </c>
      <c r="E1564" t="n">
        <v>2049.6</v>
      </c>
      <c r="F1564" s="27" t="n">
        <v>45850</v>
      </c>
      <c r="G1564" s="27" t="n">
        <v>45845</v>
      </c>
      <c r="H1564" s="27" t="n">
        <v>45845</v>
      </c>
      <c r="I1564" s="27" t="n">
        <v>45835</v>
      </c>
      <c r="J1564" s="27" t="n">
        <v>45840</v>
      </c>
      <c r="K1564" t="inlineStr">
        <is>
          <t>Boleto Bancário</t>
        </is>
      </c>
      <c r="L1564" t="inlineStr">
        <is>
          <t>Utilidades</t>
        </is>
      </c>
      <c r="M1564" t="inlineStr">
        <is>
          <t>Descartaveis</t>
        </is>
      </c>
      <c r="N1564" t="inlineStr">
        <is>
          <t>243345</t>
        </is>
      </c>
      <c r="O1564" t="inlineStr">
        <is>
          <t>Documentação Aprovada</t>
        </is>
      </c>
      <c r="P1564" t="inlineStr">
        <is>
          <t>Aprovado Diretoria</t>
        </is>
      </c>
      <c r="Q1564" t="inlineStr">
        <is>
          <t>Aprovado Caixa</t>
        </is>
      </c>
      <c r="R1564" t="inlineStr">
        <is>
          <t>Pago</t>
        </is>
      </c>
      <c r="S1564" t="n">
        <v>182</v>
      </c>
      <c r="T1564" t="inlineStr">
        <is>
          <t>Love - Shibari - Kamino</t>
        </is>
      </c>
    </row>
    <row r="1565">
      <c r="A1565" t="n">
        <v>143116</v>
      </c>
      <c r="B1565" t="n">
        <v>128</v>
      </c>
      <c r="C1565" t="inlineStr">
        <is>
          <t>Love Cabaret</t>
        </is>
      </c>
      <c r="D1565" t="inlineStr">
        <is>
          <t>CEPEL COMERCIO DE PAPEIS E EMBALAGENS EIRELI</t>
        </is>
      </c>
      <c r="E1565" t="n">
        <v>659</v>
      </c>
      <c r="F1565" s="27" t="n">
        <v>45846</v>
      </c>
      <c r="G1565" s="27" t="n">
        <v>45845</v>
      </c>
      <c r="H1565" s="27" t="n">
        <v>45845</v>
      </c>
      <c r="I1565" s="27" t="n">
        <v>45831</v>
      </c>
      <c r="J1565" s="27" t="n">
        <v>45840</v>
      </c>
      <c r="K1565" t="inlineStr">
        <is>
          <t>Boleto Bancário</t>
        </is>
      </c>
      <c r="L1565" t="inlineStr">
        <is>
          <t>Utilidades</t>
        </is>
      </c>
      <c r="M1565" t="inlineStr">
        <is>
          <t>Higiene e Limpeza</t>
        </is>
      </c>
      <c r="N1565" t="inlineStr">
        <is>
          <t>242925</t>
        </is>
      </c>
      <c r="O1565" t="inlineStr">
        <is>
          <t>Documentação Aprovada</t>
        </is>
      </c>
      <c r="P1565" t="inlineStr">
        <is>
          <t>Aprovado Diretoria</t>
        </is>
      </c>
      <c r="Q1565" t="inlineStr">
        <is>
          <t>Aprovado Caixa</t>
        </is>
      </c>
      <c r="R1565" t="inlineStr">
        <is>
          <t>Pago</t>
        </is>
      </c>
      <c r="S1565" t="n">
        <v>182</v>
      </c>
      <c r="T1565" t="inlineStr">
        <is>
          <t>Love - Shibari - Kamino</t>
        </is>
      </c>
    </row>
    <row r="1566">
      <c r="A1566" t="n">
        <v>143147</v>
      </c>
      <c r="B1566" t="n">
        <v>128</v>
      </c>
      <c r="C1566" t="inlineStr">
        <is>
          <t>Love Cabaret</t>
        </is>
      </c>
      <c r="D1566" t="inlineStr">
        <is>
          <t>ROBERTA MARIA SANTANA</t>
        </is>
      </c>
      <c r="E1566" t="n">
        <v>2910</v>
      </c>
      <c r="F1566" s="27" t="n">
        <v>45848</v>
      </c>
      <c r="G1566" s="27" t="n">
        <v>45845</v>
      </c>
      <c r="H1566" s="27" t="n">
        <v>45845</v>
      </c>
      <c r="I1566" s="27" t="n">
        <v>45809</v>
      </c>
      <c r="J1566" s="27" t="n">
        <v>45840</v>
      </c>
      <c r="K1566" t="inlineStr">
        <is>
          <t>Transferência Bancária ou Pix</t>
        </is>
      </c>
      <c r="L1566" t="inlineStr">
        <is>
          <t>Gorjeta</t>
        </is>
      </c>
      <c r="M1566" t="inlineStr">
        <is>
          <t xml:space="preserve">  -  Comissões e Gorjeta</t>
        </is>
      </c>
      <c r="N1566" t="inlineStr">
        <is>
          <t>15</t>
        </is>
      </c>
      <c r="O1566" t="inlineStr">
        <is>
          <t>Documentação Aprovada</t>
        </is>
      </c>
      <c r="P1566" t="inlineStr">
        <is>
          <t>Aprovado Diretoria</t>
        </is>
      </c>
      <c r="Q1566" t="inlineStr">
        <is>
          <t>Aprovado Caixa</t>
        </is>
      </c>
      <c r="R1566" t="inlineStr">
        <is>
          <t>Pago</t>
        </is>
      </c>
      <c r="S1566" t="n">
        <v>182</v>
      </c>
      <c r="T1566" t="inlineStr">
        <is>
          <t>Love - Shibari - Kamino</t>
        </is>
      </c>
    </row>
    <row r="1567">
      <c r="A1567" t="n">
        <v>143103</v>
      </c>
      <c r="B1567" t="n">
        <v>128</v>
      </c>
      <c r="C1567" t="inlineStr">
        <is>
          <t>Love Cabaret</t>
        </is>
      </c>
      <c r="D1567" t="inlineStr">
        <is>
          <t>ICE4PROS FABRICA DE GELO LTDA</t>
        </is>
      </c>
      <c r="E1567" t="n">
        <v>563.5</v>
      </c>
      <c r="F1567" s="27" t="n">
        <v>45845</v>
      </c>
      <c r="G1567" s="27" t="n">
        <v>45845</v>
      </c>
      <c r="H1567" s="27" t="n">
        <v>45845</v>
      </c>
      <c r="I1567" s="27" t="n">
        <v>45834</v>
      </c>
      <c r="J1567" s="27" t="n">
        <v>45840</v>
      </c>
      <c r="K1567" t="inlineStr">
        <is>
          <t>Boleto Bancário</t>
        </is>
      </c>
      <c r="L1567" t="inlineStr">
        <is>
          <t>Custo Mercadoria Vendida</t>
        </is>
      </c>
      <c r="M1567" t="inlineStr">
        <is>
          <t>Insumos - Bebidas</t>
        </is>
      </c>
      <c r="N1567" t="inlineStr">
        <is>
          <t>81615</t>
        </is>
      </c>
      <c r="O1567" t="inlineStr">
        <is>
          <t>Documentação Aprovada</t>
        </is>
      </c>
      <c r="P1567" t="inlineStr">
        <is>
          <t>Aprovado Diretoria</t>
        </is>
      </c>
      <c r="Q1567" t="inlineStr">
        <is>
          <t>Aprovado Caixa</t>
        </is>
      </c>
      <c r="R1567" t="inlineStr">
        <is>
          <t>Pago</t>
        </is>
      </c>
      <c r="S1567" t="n">
        <v>182</v>
      </c>
      <c r="T1567" t="inlineStr">
        <is>
          <t>Love - Shibari - Kamino</t>
        </is>
      </c>
    </row>
    <row r="1568">
      <c r="A1568" t="n">
        <v>143144</v>
      </c>
      <c r="B1568" t="n">
        <v>128</v>
      </c>
      <c r="C1568" t="inlineStr">
        <is>
          <t>Love Cabaret</t>
        </is>
      </c>
      <c r="D1568" t="inlineStr">
        <is>
          <t>WAGNER DA SILVA FRANCA</t>
        </is>
      </c>
      <c r="E1568" t="n">
        <v>2910</v>
      </c>
      <c r="F1568" s="27" t="n">
        <v>45848</v>
      </c>
      <c r="G1568" s="27" t="n">
        <v>45845</v>
      </c>
      <c r="H1568" s="27" t="n">
        <v>45845</v>
      </c>
      <c r="I1568" s="27" t="n">
        <v>45809</v>
      </c>
      <c r="J1568" s="27" t="n">
        <v>45840</v>
      </c>
      <c r="K1568" t="inlineStr">
        <is>
          <t>Transferência Bancária ou Pix</t>
        </is>
      </c>
      <c r="L1568" t="inlineStr">
        <is>
          <t>Gorjeta</t>
        </is>
      </c>
      <c r="M1568" t="inlineStr">
        <is>
          <t xml:space="preserve">  -  Comissões e Gorjeta</t>
        </is>
      </c>
      <c r="N1568" t="inlineStr">
        <is>
          <t>39</t>
        </is>
      </c>
      <c r="O1568" t="inlineStr">
        <is>
          <t>Documentação Aprovada</t>
        </is>
      </c>
      <c r="P1568" t="inlineStr">
        <is>
          <t>Aprovado Diretoria</t>
        </is>
      </c>
      <c r="Q1568" t="inlineStr">
        <is>
          <t>Aprovado Caixa</t>
        </is>
      </c>
      <c r="R1568" t="inlineStr">
        <is>
          <t>Pago</t>
        </is>
      </c>
      <c r="S1568" t="n">
        <v>182</v>
      </c>
      <c r="T1568" t="inlineStr">
        <is>
          <t>Love - Shibari - Kamino</t>
        </is>
      </c>
    </row>
    <row r="1569">
      <c r="A1569" t="n">
        <v>143146</v>
      </c>
      <c r="B1569" t="n">
        <v>128</v>
      </c>
      <c r="C1569" t="inlineStr">
        <is>
          <t>Love Cabaret</t>
        </is>
      </c>
      <c r="D1569" t="inlineStr">
        <is>
          <t xml:space="preserve">DOUGLAS FELIPE DOMINGUES GONCALVES </t>
        </is>
      </c>
      <c r="E1569" t="n">
        <v>2640</v>
      </c>
      <c r="F1569" s="27" t="n">
        <v>45848</v>
      </c>
      <c r="G1569" s="27" t="n">
        <v>45845</v>
      </c>
      <c r="H1569" s="27" t="n">
        <v>45845</v>
      </c>
      <c r="I1569" s="27" t="n">
        <v>45809</v>
      </c>
      <c r="J1569" s="27" t="n">
        <v>45840</v>
      </c>
      <c r="K1569" t="inlineStr">
        <is>
          <t>Transferência Bancária ou Pix</t>
        </is>
      </c>
      <c r="L1569" t="inlineStr">
        <is>
          <t>Gorjeta</t>
        </is>
      </c>
      <c r="M1569" t="inlineStr">
        <is>
          <t xml:space="preserve">  -  Comissões e Gorjeta</t>
        </is>
      </c>
      <c r="N1569" t="inlineStr">
        <is>
          <t>45</t>
        </is>
      </c>
      <c r="O1569" t="inlineStr">
        <is>
          <t>Documentação Aprovada</t>
        </is>
      </c>
      <c r="P1569" t="inlineStr">
        <is>
          <t>Aprovado Diretoria</t>
        </is>
      </c>
      <c r="Q1569" t="inlineStr">
        <is>
          <t>Aprovado Caixa</t>
        </is>
      </c>
      <c r="R1569" t="inlineStr">
        <is>
          <t>Pago</t>
        </is>
      </c>
      <c r="S1569" t="n">
        <v>182</v>
      </c>
      <c r="T1569" t="inlineStr">
        <is>
          <t>Love - Shibari - Kamino</t>
        </is>
      </c>
    </row>
    <row r="1570">
      <c r="A1570" t="n">
        <v>143106</v>
      </c>
      <c r="B1570" t="n">
        <v>128</v>
      </c>
      <c r="C1570" t="inlineStr">
        <is>
          <t>Love Cabaret</t>
        </is>
      </c>
      <c r="D1570" t="inlineStr">
        <is>
          <t>PSSS LTDA</t>
        </is>
      </c>
      <c r="E1570" t="n">
        <v>279.8</v>
      </c>
      <c r="F1570" s="27" t="n">
        <v>45846</v>
      </c>
      <c r="G1570" s="27" t="n">
        <v>45845</v>
      </c>
      <c r="H1570" s="27" t="n">
        <v>45845</v>
      </c>
      <c r="I1570" s="27" t="n">
        <v>45833</v>
      </c>
      <c r="J1570" s="27" t="n">
        <v>45840</v>
      </c>
      <c r="K1570" t="inlineStr">
        <is>
          <t>Boleto Bancário</t>
        </is>
      </c>
      <c r="L1570" t="inlineStr">
        <is>
          <t>Utilidades</t>
        </is>
      </c>
      <c r="M1570" t="inlineStr">
        <is>
          <t>Higiene e Limpeza</t>
        </is>
      </c>
      <c r="N1570" t="inlineStr">
        <is>
          <t>1832</t>
        </is>
      </c>
      <c r="O1570" t="inlineStr">
        <is>
          <t>Documentação Aprovada</t>
        </is>
      </c>
      <c r="P1570" t="inlineStr">
        <is>
          <t>Aprovado Diretoria</t>
        </is>
      </c>
      <c r="Q1570" t="inlineStr">
        <is>
          <t>Aprovado Caixa</t>
        </is>
      </c>
      <c r="R1570" t="inlineStr">
        <is>
          <t>Pago</t>
        </is>
      </c>
      <c r="S1570" t="n">
        <v>182</v>
      </c>
      <c r="T1570" t="inlineStr">
        <is>
          <t>Love - Shibari - Kamino</t>
        </is>
      </c>
    </row>
    <row r="1571">
      <c r="A1571" t="n">
        <v>143143</v>
      </c>
      <c r="B1571" t="n">
        <v>128</v>
      </c>
      <c r="C1571" t="inlineStr">
        <is>
          <t>Love Cabaret</t>
        </is>
      </c>
      <c r="D1571" t="inlineStr">
        <is>
          <t>PJ23824129000110 - FELIPE DA COSTA SANTOS</t>
        </is>
      </c>
      <c r="E1571" t="n">
        <v>3170</v>
      </c>
      <c r="F1571" s="27" t="n">
        <v>45848</v>
      </c>
      <c r="G1571" s="27" t="n">
        <v>45845</v>
      </c>
      <c r="H1571" s="27" t="n">
        <v>45845</v>
      </c>
      <c r="I1571" s="27" t="n">
        <v>45809</v>
      </c>
      <c r="J1571" s="27" t="n">
        <v>45840</v>
      </c>
      <c r="K1571" t="inlineStr">
        <is>
          <t>Transferência Bancária ou Pix</t>
        </is>
      </c>
      <c r="L1571" t="inlineStr">
        <is>
          <t>Gorjeta</t>
        </is>
      </c>
      <c r="M1571" t="inlineStr">
        <is>
          <t xml:space="preserve">  -  Comissões e Gorjeta</t>
        </is>
      </c>
      <c r="N1571" t="inlineStr">
        <is>
          <t>52</t>
        </is>
      </c>
      <c r="O1571" t="inlineStr">
        <is>
          <t>Documentação Aprovada</t>
        </is>
      </c>
      <c r="P1571" t="inlineStr">
        <is>
          <t>Aprovado Diretoria</t>
        </is>
      </c>
      <c r="Q1571" t="inlineStr">
        <is>
          <t>Aprovado Caixa</t>
        </is>
      </c>
      <c r="R1571" t="inlineStr">
        <is>
          <t>Pago</t>
        </is>
      </c>
      <c r="S1571" t="n">
        <v>182</v>
      </c>
      <c r="T1571" t="inlineStr">
        <is>
          <t>Love - Shibari - Kamino</t>
        </is>
      </c>
    </row>
    <row r="1572">
      <c r="A1572" t="n">
        <v>138732</v>
      </c>
      <c r="B1572" t="n">
        <v>128</v>
      </c>
      <c r="C1572" t="inlineStr">
        <is>
          <t>Love Cabaret</t>
        </is>
      </c>
      <c r="D1572" t="inlineStr">
        <is>
          <t xml:space="preserve">MARCOS AURELIO DO NASCIMENTO </t>
        </is>
      </c>
      <c r="E1572" t="n">
        <v>555</v>
      </c>
      <c r="F1572" s="27" t="n">
        <v>45846</v>
      </c>
      <c r="G1572" s="27" t="n">
        <v>45845</v>
      </c>
      <c r="H1572" s="27" t="n">
        <v>45845</v>
      </c>
      <c r="I1572" s="27" t="n">
        <v>45818</v>
      </c>
      <c r="J1572" s="27" t="n">
        <v>45818</v>
      </c>
      <c r="K1572" t="inlineStr">
        <is>
          <t>Transferência Bancária ou Pix</t>
        </is>
      </c>
      <c r="L1572" t="inlineStr">
        <is>
          <t>Despesas com Transporte / Hospedagem</t>
        </is>
      </c>
      <c r="M1572" t="inlineStr">
        <is>
          <t>Fretes e Carretos</t>
        </is>
      </c>
      <c r="N1572" t="inlineStr">
        <is>
          <t>288</t>
        </is>
      </c>
      <c r="O1572" t="inlineStr">
        <is>
          <t>Documentação Aprovada</t>
        </is>
      </c>
      <c r="P1572" t="inlineStr">
        <is>
          <t>Aprovado Diretoria</t>
        </is>
      </c>
      <c r="Q1572" t="inlineStr">
        <is>
          <t>Aprovado Caixa</t>
        </is>
      </c>
      <c r="R1572" t="inlineStr">
        <is>
          <t>Pago</t>
        </is>
      </c>
      <c r="S1572" t="n">
        <v>182</v>
      </c>
      <c r="T1572" t="inlineStr">
        <is>
          <t>Love - Shibari - Kamino</t>
        </is>
      </c>
    </row>
    <row r="1573">
      <c r="A1573" t="n">
        <v>139431</v>
      </c>
      <c r="B1573" t="n">
        <v>128</v>
      </c>
      <c r="C1573" t="inlineStr">
        <is>
          <t>Love Cabaret</t>
        </is>
      </c>
      <c r="D1573" t="inlineStr">
        <is>
          <t>HORTICLEAN DISTRIBUIDORA DE HORTIFRUTI LTDA</t>
        </is>
      </c>
      <c r="E1573" t="n">
        <v>362.25</v>
      </c>
      <c r="F1573" s="27" t="n">
        <v>45846</v>
      </c>
      <c r="G1573" s="27" t="n">
        <v>45845</v>
      </c>
      <c r="H1573" s="27" t="n">
        <v>45845</v>
      </c>
      <c r="I1573" s="27" t="n">
        <v>45817</v>
      </c>
      <c r="J1573" s="27" t="n">
        <v>45821</v>
      </c>
      <c r="K1573" t="inlineStr">
        <is>
          <t>Boleto Bancário</t>
        </is>
      </c>
      <c r="L1573" t="inlineStr">
        <is>
          <t>Custo Mercadoria Vendida</t>
        </is>
      </c>
      <c r="M1573" t="inlineStr">
        <is>
          <t>Insumos - Alimentos</t>
        </is>
      </c>
      <c r="N1573" t="inlineStr">
        <is>
          <t>25956</t>
        </is>
      </c>
      <c r="O1573" t="inlineStr">
        <is>
          <t>Documentação Aprovada</t>
        </is>
      </c>
      <c r="P1573" t="inlineStr">
        <is>
          <t>Aprovado Diretoria</t>
        </is>
      </c>
      <c r="Q1573" t="inlineStr">
        <is>
          <t>Aprovado Caixa</t>
        </is>
      </c>
      <c r="R1573" t="inlineStr">
        <is>
          <t>Pago</t>
        </is>
      </c>
      <c r="S1573" t="n">
        <v>182</v>
      </c>
      <c r="T1573" t="inlineStr">
        <is>
          <t>Love - Shibari - Kamino</t>
        </is>
      </c>
    </row>
    <row r="1574">
      <c r="A1574" t="n">
        <v>139802</v>
      </c>
      <c r="B1574" t="n">
        <v>128</v>
      </c>
      <c r="C1574" t="inlineStr">
        <is>
          <t>Love Cabaret</t>
        </is>
      </c>
      <c r="D1574" t="inlineStr">
        <is>
          <t>PROAUTO INDUSTRIA QUIMICA EIRELI</t>
        </is>
      </c>
      <c r="E1574" t="n">
        <v>866.42</v>
      </c>
      <c r="F1574" s="27" t="n">
        <v>45845</v>
      </c>
      <c r="G1574" s="27" t="n">
        <v>45845</v>
      </c>
      <c r="H1574" s="27" t="n">
        <v>45845</v>
      </c>
      <c r="I1574" s="27" t="n">
        <v>45817</v>
      </c>
      <c r="J1574" s="27" t="n">
        <v>45821</v>
      </c>
      <c r="K1574" t="inlineStr">
        <is>
          <t>Boleto Bancário</t>
        </is>
      </c>
      <c r="L1574" t="inlineStr">
        <is>
          <t>Utilidades</t>
        </is>
      </c>
      <c r="M1574" t="inlineStr">
        <is>
          <t>Higiene e Limpeza</t>
        </is>
      </c>
      <c r="N1574" t="inlineStr">
        <is>
          <t>139381</t>
        </is>
      </c>
      <c r="O1574" t="inlineStr">
        <is>
          <t>Documentação Aprovada</t>
        </is>
      </c>
      <c r="P1574" t="inlineStr">
        <is>
          <t>Aprovado Diretoria</t>
        </is>
      </c>
      <c r="Q1574" t="inlineStr">
        <is>
          <t>Aprovado Caixa</t>
        </is>
      </c>
      <c r="R1574" t="inlineStr">
        <is>
          <t>Pago</t>
        </is>
      </c>
      <c r="S1574" t="n">
        <v>182</v>
      </c>
      <c r="T1574" t="inlineStr">
        <is>
          <t>Love - Shibari - Kamino</t>
        </is>
      </c>
    </row>
    <row r="1575">
      <c r="A1575" t="n">
        <v>139796</v>
      </c>
      <c r="B1575" t="n">
        <v>128</v>
      </c>
      <c r="C1575" t="inlineStr">
        <is>
          <t>Love Cabaret</t>
        </is>
      </c>
      <c r="D1575" t="inlineStr">
        <is>
          <t xml:space="preserve">EMPORIO MEL </t>
        </is>
      </c>
      <c r="E1575" t="n">
        <v>1749.08</v>
      </c>
      <c r="F1575" s="27" t="n">
        <v>45848</v>
      </c>
      <c r="G1575" s="27" t="n">
        <v>45845</v>
      </c>
      <c r="H1575" s="27" t="n">
        <v>45845</v>
      </c>
      <c r="I1575" s="27" t="n">
        <v>45817</v>
      </c>
      <c r="J1575" s="27" t="n">
        <v>45821</v>
      </c>
      <c r="K1575" t="inlineStr">
        <is>
          <t>Boleto Bancário</t>
        </is>
      </c>
      <c r="L1575" t="inlineStr">
        <is>
          <t>Custo Mercadoria Vendida</t>
        </is>
      </c>
      <c r="M1575" t="inlineStr">
        <is>
          <t>Insumos - Alimentos</t>
        </is>
      </c>
      <c r="N1575" t="inlineStr">
        <is>
          <t>455624</t>
        </is>
      </c>
      <c r="O1575" t="inlineStr">
        <is>
          <t>Documentação Aprovada</t>
        </is>
      </c>
      <c r="P1575" t="inlineStr">
        <is>
          <t>Aprovado Diretoria</t>
        </is>
      </c>
      <c r="Q1575" t="inlineStr">
        <is>
          <t>Aprovado Caixa</t>
        </is>
      </c>
      <c r="R1575" t="inlineStr">
        <is>
          <t>Pago</t>
        </is>
      </c>
      <c r="S1575" t="n">
        <v>182</v>
      </c>
      <c r="T1575" t="inlineStr">
        <is>
          <t>Love - Shibari - Kamino</t>
        </is>
      </c>
    </row>
    <row r="1576">
      <c r="A1576" t="n">
        <v>139795</v>
      </c>
      <c r="B1576" t="n">
        <v>128</v>
      </c>
      <c r="C1576" t="inlineStr">
        <is>
          <t>Love Cabaret</t>
        </is>
      </c>
      <c r="D1576" t="inlineStr">
        <is>
          <t xml:space="preserve">EMPORIO MEL </t>
        </is>
      </c>
      <c r="E1576" t="n">
        <v>2261.34</v>
      </c>
      <c r="F1576" s="27" t="n">
        <v>45848</v>
      </c>
      <c r="G1576" s="27" t="n">
        <v>45845</v>
      </c>
      <c r="H1576" s="27" t="n">
        <v>45845</v>
      </c>
      <c r="I1576" s="27" t="n">
        <v>45817</v>
      </c>
      <c r="J1576" s="27" t="n">
        <v>45821</v>
      </c>
      <c r="K1576" t="inlineStr">
        <is>
          <t>Boleto Bancário</t>
        </is>
      </c>
      <c r="L1576" t="inlineStr">
        <is>
          <t>Custo Mercadoria Vendida</t>
        </is>
      </c>
      <c r="M1576" t="inlineStr">
        <is>
          <t>Insumos - Bebidas</t>
        </is>
      </c>
      <c r="N1576" t="inlineStr">
        <is>
          <t>455548</t>
        </is>
      </c>
      <c r="O1576" t="inlineStr">
        <is>
          <t>Documentação Aprovada</t>
        </is>
      </c>
      <c r="P1576" t="inlineStr">
        <is>
          <t>Aprovado Diretoria</t>
        </is>
      </c>
      <c r="Q1576" t="inlineStr">
        <is>
          <t>Aprovado Caixa</t>
        </is>
      </c>
      <c r="R1576" t="inlineStr">
        <is>
          <t>Pago</t>
        </is>
      </c>
      <c r="S1576" t="n">
        <v>182</v>
      </c>
      <c r="T1576" t="inlineStr">
        <is>
          <t>Love - Shibari - Kamino</t>
        </is>
      </c>
    </row>
    <row r="1577">
      <c r="A1577" t="n">
        <v>138241</v>
      </c>
      <c r="B1577" t="n">
        <v>128</v>
      </c>
      <c r="C1577" t="inlineStr">
        <is>
          <t>Love Cabaret</t>
        </is>
      </c>
      <c r="D1577" t="inlineStr">
        <is>
          <t>TAMARA SANTOS RIBEIRO</t>
        </is>
      </c>
      <c r="E1577" t="n">
        <v>3500</v>
      </c>
      <c r="F1577" s="27" t="n">
        <v>45848</v>
      </c>
      <c r="G1577" s="27" t="n">
        <v>45845</v>
      </c>
      <c r="H1577" s="27" t="n">
        <v>45845</v>
      </c>
      <c r="I1577" s="27" t="n">
        <v>45809</v>
      </c>
      <c r="J1577" s="27" t="n">
        <v>45814</v>
      </c>
      <c r="K1577" t="inlineStr">
        <is>
          <t>Transferência Bancária ou Pix</t>
        </is>
      </c>
      <c r="L1577" t="inlineStr">
        <is>
          <t>Mão de Obra - PJ</t>
        </is>
      </c>
      <c r="M1577" t="inlineStr">
        <is>
          <t>MDO PJ Fixo</t>
        </is>
      </c>
      <c r="N1577" t="inlineStr">
        <is>
          <t>24</t>
        </is>
      </c>
      <c r="O1577" t="inlineStr">
        <is>
          <t>Documentação Aprovada</t>
        </is>
      </c>
      <c r="P1577" t="inlineStr">
        <is>
          <t>Aprovado Diretoria</t>
        </is>
      </c>
      <c r="Q1577" t="inlineStr">
        <is>
          <t>Aprovado Caixa</t>
        </is>
      </c>
      <c r="R1577" t="inlineStr">
        <is>
          <t>Pago</t>
        </is>
      </c>
      <c r="S1577" t="n">
        <v>182</v>
      </c>
      <c r="T1577" t="inlineStr">
        <is>
          <t>Love - Shibari - Kamino</t>
        </is>
      </c>
    </row>
    <row r="1578">
      <c r="A1578" t="n">
        <v>138222</v>
      </c>
      <c r="B1578" t="n">
        <v>128</v>
      </c>
      <c r="C1578" t="inlineStr">
        <is>
          <t>Love Cabaret</t>
        </is>
      </c>
      <c r="D1578" t="inlineStr">
        <is>
          <t xml:space="preserve">AGNES RODRIGUES DE OLIVEIRA </t>
        </is>
      </c>
      <c r="E1578" t="n">
        <v>5000</v>
      </c>
      <c r="F1578" s="27" t="n">
        <v>45848</v>
      </c>
      <c r="G1578" s="27" t="n">
        <v>45845</v>
      </c>
      <c r="H1578" s="27" t="n">
        <v>45845</v>
      </c>
      <c r="I1578" s="27" t="n">
        <v>45809</v>
      </c>
      <c r="J1578" s="27" t="n">
        <v>45814</v>
      </c>
      <c r="K1578" t="inlineStr">
        <is>
          <t>Transferência Bancária ou Pix</t>
        </is>
      </c>
      <c r="L1578" t="inlineStr">
        <is>
          <t>Custos Artístico Geral</t>
        </is>
      </c>
      <c r="M1578" t="inlineStr">
        <is>
          <t>Técnico de Som / Luz</t>
        </is>
      </c>
      <c r="N1578" t="inlineStr">
        <is>
          <t>33</t>
        </is>
      </c>
      <c r="O1578" t="inlineStr">
        <is>
          <t>Documentação Aprovada</t>
        </is>
      </c>
      <c r="P1578" t="inlineStr">
        <is>
          <t>Aprovado Diretoria</t>
        </is>
      </c>
      <c r="Q1578" t="inlineStr">
        <is>
          <t>Aprovado Caixa</t>
        </is>
      </c>
      <c r="R1578" t="inlineStr">
        <is>
          <t>Pago</t>
        </is>
      </c>
      <c r="S1578" t="n">
        <v>182</v>
      </c>
      <c r="T1578" t="inlineStr">
        <is>
          <t>Love - Shibari - Kamino</t>
        </is>
      </c>
    </row>
    <row r="1579">
      <c r="A1579" t="n">
        <v>138245</v>
      </c>
      <c r="B1579" t="n">
        <v>128</v>
      </c>
      <c r="C1579" t="inlineStr">
        <is>
          <t>Love Cabaret</t>
        </is>
      </c>
      <c r="D1579" t="inlineStr">
        <is>
          <t>WAGNER DA SILVA FRANCA</t>
        </is>
      </c>
      <c r="E1579" t="n">
        <v>4000</v>
      </c>
      <c r="F1579" s="27" t="n">
        <v>45848</v>
      </c>
      <c r="G1579" s="27" t="n">
        <v>45845</v>
      </c>
      <c r="H1579" s="27" t="n">
        <v>45845</v>
      </c>
      <c r="I1579" s="27" t="n">
        <v>45809</v>
      </c>
      <c r="J1579" s="27" t="n">
        <v>45814</v>
      </c>
      <c r="K1579" t="inlineStr">
        <is>
          <t>Transferência Bancária ou Pix</t>
        </is>
      </c>
      <c r="L1579" t="inlineStr">
        <is>
          <t>Mão de Obra - PJ</t>
        </is>
      </c>
      <c r="M1579" t="inlineStr">
        <is>
          <t>MDO PJ Fixo</t>
        </is>
      </c>
      <c r="N1579" t="inlineStr">
        <is>
          <t>36</t>
        </is>
      </c>
      <c r="O1579" t="inlineStr">
        <is>
          <t>Documentação Aprovada</t>
        </is>
      </c>
      <c r="P1579" t="inlineStr">
        <is>
          <t>Aprovado Diretoria</t>
        </is>
      </c>
      <c r="Q1579" t="inlineStr">
        <is>
          <t>Aprovado Caixa</t>
        </is>
      </c>
      <c r="R1579" t="inlineStr">
        <is>
          <t>Pago</t>
        </is>
      </c>
      <c r="S1579" t="n">
        <v>182</v>
      </c>
      <c r="T1579" t="inlineStr">
        <is>
          <t>Love - Shibari - Kamino</t>
        </is>
      </c>
    </row>
    <row r="1580">
      <c r="A1580" t="n">
        <v>138224</v>
      </c>
      <c r="B1580" t="n">
        <v>128</v>
      </c>
      <c r="C1580" t="inlineStr">
        <is>
          <t>Love Cabaret</t>
        </is>
      </c>
      <c r="D1580" t="inlineStr">
        <is>
          <t>ANDRE RODRIGUES AZEVEDO</t>
        </is>
      </c>
      <c r="E1580" t="n">
        <v>7420</v>
      </c>
      <c r="F1580" s="27" t="n">
        <v>45848</v>
      </c>
      <c r="G1580" s="27" t="n">
        <v>45845</v>
      </c>
      <c r="H1580" s="27" t="n">
        <v>45845</v>
      </c>
      <c r="I1580" s="27" t="n">
        <v>45809</v>
      </c>
      <c r="J1580" s="27" t="n">
        <v>45814</v>
      </c>
      <c r="K1580" t="inlineStr">
        <is>
          <t>Transferência Bancária ou Pix</t>
        </is>
      </c>
      <c r="L1580" t="inlineStr">
        <is>
          <t>Custos Artístico Geral</t>
        </is>
      </c>
      <c r="M1580" t="inlineStr">
        <is>
          <t>Técnico de Som / Luz</t>
        </is>
      </c>
      <c r="N1580" t="inlineStr">
        <is>
          <t>60</t>
        </is>
      </c>
      <c r="O1580" t="inlineStr">
        <is>
          <t>Documentação Aprovada</t>
        </is>
      </c>
      <c r="P1580" t="inlineStr">
        <is>
          <t>Aprovado Diretoria</t>
        </is>
      </c>
      <c r="Q1580" t="inlineStr">
        <is>
          <t>Aprovado Caixa</t>
        </is>
      </c>
      <c r="R1580" t="inlineStr">
        <is>
          <t>Pago</t>
        </is>
      </c>
      <c r="S1580" t="n">
        <v>182</v>
      </c>
      <c r="T1580" t="inlineStr">
        <is>
          <t>Love - Shibari - Kamino</t>
        </is>
      </c>
    </row>
    <row r="1581">
      <c r="A1581" t="n">
        <v>138243</v>
      </c>
      <c r="B1581" t="n">
        <v>128</v>
      </c>
      <c r="C1581" t="inlineStr">
        <is>
          <t>Love Cabaret</t>
        </is>
      </c>
      <c r="D1581" t="inlineStr">
        <is>
          <t>PJ 00092021 - VANESSA FERREIRA DEL SANTO</t>
        </is>
      </c>
      <c r="E1581" t="n">
        <v>3000</v>
      </c>
      <c r="F1581" s="27" t="n">
        <v>45848</v>
      </c>
      <c r="G1581" s="27" t="n">
        <v>45845</v>
      </c>
      <c r="H1581" s="27" t="n">
        <v>45845</v>
      </c>
      <c r="I1581" s="27" t="n">
        <v>45809</v>
      </c>
      <c r="J1581" s="27" t="n">
        <v>45814</v>
      </c>
      <c r="K1581" t="inlineStr">
        <is>
          <t>Transferência Bancária ou Pix</t>
        </is>
      </c>
      <c r="L1581" t="inlineStr">
        <is>
          <t>Mão de Obra - PJ</t>
        </is>
      </c>
      <c r="M1581" t="inlineStr">
        <is>
          <t>MDO PJ Fixo</t>
        </is>
      </c>
      <c r="N1581" t="inlineStr">
        <is>
          <t>271</t>
        </is>
      </c>
      <c r="O1581" t="inlineStr">
        <is>
          <t>Documentação Aprovada</t>
        </is>
      </c>
      <c r="P1581" t="inlineStr">
        <is>
          <t>Aprovado Diretoria</t>
        </is>
      </c>
      <c r="Q1581" t="inlineStr">
        <is>
          <t>Aprovado Caixa</t>
        </is>
      </c>
      <c r="R1581" t="inlineStr">
        <is>
          <t>Pago</t>
        </is>
      </c>
      <c r="S1581" t="n">
        <v>182</v>
      </c>
      <c r="T1581" t="inlineStr">
        <is>
          <t>Love - Shibari - Kamino</t>
        </is>
      </c>
    </row>
    <row r="1582">
      <c r="A1582" t="n">
        <v>138225</v>
      </c>
      <c r="B1582" t="n">
        <v>128</v>
      </c>
      <c r="C1582" t="inlineStr">
        <is>
          <t>Love Cabaret</t>
        </is>
      </c>
      <c r="D1582" t="inlineStr">
        <is>
          <t xml:space="preserve">DOUGLAS FELIPE DOMINGUES GONCALVES </t>
        </is>
      </c>
      <c r="E1582" t="n">
        <v>4100</v>
      </c>
      <c r="F1582" s="27" t="n">
        <v>45848</v>
      </c>
      <c r="G1582" s="27" t="n">
        <v>45845</v>
      </c>
      <c r="H1582" s="27" t="n">
        <v>45845</v>
      </c>
      <c r="I1582" s="27" t="n">
        <v>45809</v>
      </c>
      <c r="J1582" s="27" t="n">
        <v>45814</v>
      </c>
      <c r="K1582" t="inlineStr">
        <is>
          <t>Transferência Bancária ou Pix</t>
        </is>
      </c>
      <c r="L1582" t="inlineStr">
        <is>
          <t>Custos Artístico Geral</t>
        </is>
      </c>
      <c r="M1582" t="inlineStr">
        <is>
          <t>Técnico de Som / Luz</t>
        </is>
      </c>
      <c r="N1582" t="inlineStr">
        <is>
          <t>44</t>
        </is>
      </c>
      <c r="O1582" t="inlineStr">
        <is>
          <t>Documentação Aprovada</t>
        </is>
      </c>
      <c r="P1582" t="inlineStr">
        <is>
          <t>Aprovado Diretoria</t>
        </is>
      </c>
      <c r="Q1582" t="inlineStr">
        <is>
          <t>Aprovado Caixa</t>
        </is>
      </c>
      <c r="R1582" t="inlineStr">
        <is>
          <t>Pago</t>
        </is>
      </c>
      <c r="S1582" t="n">
        <v>182</v>
      </c>
      <c r="T1582" t="inlineStr">
        <is>
          <t>Love - Shibari - Kamino</t>
        </is>
      </c>
    </row>
    <row r="1583">
      <c r="A1583" t="n">
        <v>138228</v>
      </c>
      <c r="B1583" t="n">
        <v>128</v>
      </c>
      <c r="C1583" t="inlineStr">
        <is>
          <t>Love Cabaret</t>
        </is>
      </c>
      <c r="D1583" t="inlineStr">
        <is>
          <t>PJ23824129000110 - FELIPE DA COSTA SANTOS</t>
        </is>
      </c>
      <c r="E1583" t="n">
        <v>5100</v>
      </c>
      <c r="F1583" s="27" t="n">
        <v>45848</v>
      </c>
      <c r="G1583" s="27" t="n">
        <v>45845</v>
      </c>
      <c r="H1583" s="27" t="n">
        <v>45845</v>
      </c>
      <c r="I1583" s="27" t="n">
        <v>45809</v>
      </c>
      <c r="J1583" s="27" t="n">
        <v>45814</v>
      </c>
      <c r="K1583" t="inlineStr">
        <is>
          <t>Transferência Bancária ou Pix</t>
        </is>
      </c>
      <c r="L1583" t="inlineStr">
        <is>
          <t>Mão de Obra - PJ</t>
        </is>
      </c>
      <c r="M1583" t="inlineStr">
        <is>
          <t>MDO PJ Fixo</t>
        </is>
      </c>
      <c r="N1583" t="inlineStr">
        <is>
          <t>51</t>
        </is>
      </c>
      <c r="O1583" t="inlineStr">
        <is>
          <t>Documentação Aprovada</t>
        </is>
      </c>
      <c r="P1583" t="inlineStr">
        <is>
          <t>Aprovado Diretoria</t>
        </is>
      </c>
      <c r="Q1583" t="inlineStr">
        <is>
          <t>Aprovado Caixa</t>
        </is>
      </c>
      <c r="R1583" t="inlineStr">
        <is>
          <t>Pago</t>
        </is>
      </c>
      <c r="S1583" t="n">
        <v>182</v>
      </c>
      <c r="T1583" t="inlineStr">
        <is>
          <t>Love - Shibari - Kamino</t>
        </is>
      </c>
    </row>
    <row r="1584">
      <c r="A1584" t="n">
        <v>138229</v>
      </c>
      <c r="B1584" t="n">
        <v>128</v>
      </c>
      <c r="C1584" t="inlineStr">
        <is>
          <t>Love Cabaret</t>
        </is>
      </c>
      <c r="D1584" t="inlineStr">
        <is>
          <t>PJ 00192022 - FELIPE FERREIRA FRANCA</t>
        </is>
      </c>
      <c r="E1584" t="n">
        <v>3250</v>
      </c>
      <c r="F1584" s="27" t="n">
        <v>45848</v>
      </c>
      <c r="G1584" s="27" t="n">
        <v>45845</v>
      </c>
      <c r="H1584" s="27" t="n">
        <v>45845</v>
      </c>
      <c r="I1584" s="27" t="n">
        <v>45809</v>
      </c>
      <c r="J1584" s="27" t="n">
        <v>45814</v>
      </c>
      <c r="K1584" t="inlineStr">
        <is>
          <t>Transferência Bancária ou Pix</t>
        </is>
      </c>
      <c r="L1584" t="inlineStr">
        <is>
          <t>Mão de Obra - PJ</t>
        </is>
      </c>
      <c r="M1584" t="inlineStr">
        <is>
          <t>MDO PJ Fixo</t>
        </is>
      </c>
      <c r="N1584" t="inlineStr">
        <is>
          <t>59</t>
        </is>
      </c>
      <c r="O1584" t="inlineStr">
        <is>
          <t>Documentação Aprovada</t>
        </is>
      </c>
      <c r="P1584" t="inlineStr">
        <is>
          <t>Aprovado Diretoria</t>
        </is>
      </c>
      <c r="Q1584" t="inlineStr">
        <is>
          <t>Aprovado Caixa</t>
        </is>
      </c>
      <c r="R1584" t="inlineStr">
        <is>
          <t>Pago</t>
        </is>
      </c>
      <c r="S1584" t="n">
        <v>182</v>
      </c>
      <c r="T1584" t="inlineStr">
        <is>
          <t>Love - Shibari - Kamino</t>
        </is>
      </c>
    </row>
    <row r="1585">
      <c r="A1585" t="n">
        <v>138231</v>
      </c>
      <c r="B1585" t="n">
        <v>128</v>
      </c>
      <c r="C1585" t="inlineStr">
        <is>
          <t>Love Cabaret</t>
        </is>
      </c>
      <c r="D1585" t="inlineStr">
        <is>
          <t>PUXURI CONSULTORIA LTDA</t>
        </is>
      </c>
      <c r="E1585" t="n">
        <v>4000</v>
      </c>
      <c r="F1585" s="27" t="n">
        <v>45848</v>
      </c>
      <c r="G1585" s="27" t="n">
        <v>45845</v>
      </c>
      <c r="H1585" s="27" t="n">
        <v>45845</v>
      </c>
      <c r="I1585" s="27" t="n">
        <v>45809</v>
      </c>
      <c r="J1585" s="27" t="n">
        <v>45814</v>
      </c>
      <c r="K1585" t="inlineStr">
        <is>
          <t>Transferência Bancária ou Pix</t>
        </is>
      </c>
      <c r="L1585" t="inlineStr">
        <is>
          <t>Mão de Obra - PJ</t>
        </is>
      </c>
      <c r="M1585" t="inlineStr">
        <is>
          <t>MDO PJ Fixo</t>
        </is>
      </c>
      <c r="N1585" t="inlineStr">
        <is>
          <t>113</t>
        </is>
      </c>
      <c r="O1585" t="inlineStr">
        <is>
          <t>Documentação Aprovada</t>
        </is>
      </c>
      <c r="P1585" t="inlineStr">
        <is>
          <t>Aprovado Diretoria</t>
        </is>
      </c>
      <c r="Q1585" t="inlineStr">
        <is>
          <t>Aprovado Caixa</t>
        </is>
      </c>
      <c r="R1585" t="inlineStr">
        <is>
          <t>Pago</t>
        </is>
      </c>
      <c r="S1585" t="n">
        <v>182</v>
      </c>
      <c r="T1585" t="inlineStr">
        <is>
          <t>Love - Shibari - Kamino</t>
        </is>
      </c>
    </row>
    <row r="1586">
      <c r="A1586" t="n">
        <v>138232</v>
      </c>
      <c r="B1586" t="n">
        <v>128</v>
      </c>
      <c r="C1586" t="inlineStr">
        <is>
          <t>Love Cabaret</t>
        </is>
      </c>
      <c r="D1586" t="inlineStr">
        <is>
          <t>PJ 00492024 - ISABELLA FERNANDES GOMES</t>
        </is>
      </c>
      <c r="E1586" t="n">
        <v>1200</v>
      </c>
      <c r="F1586" s="27" t="n">
        <v>45848</v>
      </c>
      <c r="G1586" s="27" t="n">
        <v>45845</v>
      </c>
      <c r="H1586" s="27" t="n">
        <v>45845</v>
      </c>
      <c r="I1586" s="27" t="n">
        <v>45809</v>
      </c>
      <c r="J1586" s="27" t="n">
        <v>45814</v>
      </c>
      <c r="K1586" t="inlineStr">
        <is>
          <t>Transferência Bancária ou Pix</t>
        </is>
      </c>
      <c r="L1586" t="inlineStr">
        <is>
          <t>Mão de Obra - PJ</t>
        </is>
      </c>
      <c r="M1586" t="inlineStr">
        <is>
          <t>MDO PJ Fixo</t>
        </is>
      </c>
      <c r="N1586" t="inlineStr">
        <is>
          <t>53</t>
        </is>
      </c>
      <c r="O1586" t="inlineStr">
        <is>
          <t>Documentação Aprovada</t>
        </is>
      </c>
      <c r="P1586" t="inlineStr">
        <is>
          <t>Aprovado Diretoria</t>
        </is>
      </c>
      <c r="Q1586" t="inlineStr">
        <is>
          <t>Aprovado Caixa</t>
        </is>
      </c>
      <c r="R1586" t="inlineStr">
        <is>
          <t>Pago</t>
        </is>
      </c>
      <c r="S1586" t="n">
        <v>182</v>
      </c>
      <c r="T1586" t="inlineStr">
        <is>
          <t>Love - Shibari - Kamino</t>
        </is>
      </c>
    </row>
    <row r="1587">
      <c r="A1587" t="n">
        <v>138233</v>
      </c>
      <c r="B1587" t="n">
        <v>128</v>
      </c>
      <c r="C1587" t="inlineStr">
        <is>
          <t>Love Cabaret</t>
        </is>
      </c>
      <c r="D1587" t="inlineStr">
        <is>
          <t>PJ 00352023 - JESSICA IZABEL DE SOUZA</t>
        </is>
      </c>
      <c r="E1587" t="n">
        <v>1250</v>
      </c>
      <c r="F1587" s="27" t="n">
        <v>45848</v>
      </c>
      <c r="G1587" s="27" t="n">
        <v>45845</v>
      </c>
      <c r="H1587" s="27" t="n">
        <v>45845</v>
      </c>
      <c r="I1587" s="27" t="n">
        <v>45809</v>
      </c>
      <c r="J1587" s="27" t="n">
        <v>45814</v>
      </c>
      <c r="K1587" t="inlineStr">
        <is>
          <t>Transferência Bancária ou Pix</t>
        </is>
      </c>
      <c r="L1587" t="inlineStr">
        <is>
          <t>Mão de Obra - PJ</t>
        </is>
      </c>
      <c r="M1587" t="inlineStr">
        <is>
          <t>MDO PJ Fixo</t>
        </is>
      </c>
      <c r="N1587" t="inlineStr">
        <is>
          <t>80</t>
        </is>
      </c>
      <c r="O1587" t="inlineStr">
        <is>
          <t>Documentação Aprovada</t>
        </is>
      </c>
      <c r="P1587" t="inlineStr">
        <is>
          <t>Aprovado Diretoria</t>
        </is>
      </c>
      <c r="Q1587" t="inlineStr">
        <is>
          <t>Aprovado Caixa</t>
        </is>
      </c>
      <c r="R1587" t="inlineStr">
        <is>
          <t>Pago</t>
        </is>
      </c>
      <c r="S1587" t="n">
        <v>182</v>
      </c>
      <c r="T1587" t="inlineStr">
        <is>
          <t>Love - Shibari - Kamino</t>
        </is>
      </c>
    </row>
    <row r="1588">
      <c r="A1588" t="n">
        <v>138234</v>
      </c>
      <c r="B1588" t="n">
        <v>128</v>
      </c>
      <c r="C1588" t="inlineStr">
        <is>
          <t>Love Cabaret</t>
        </is>
      </c>
      <c r="D1588" t="inlineStr">
        <is>
          <t>JULIA BAISCH FRANZ 02463978023</t>
        </is>
      </c>
      <c r="E1588" t="n">
        <v>8500</v>
      </c>
      <c r="F1588" s="27" t="n">
        <v>45848</v>
      </c>
      <c r="G1588" s="27" t="n">
        <v>45845</v>
      </c>
      <c r="H1588" s="27" t="n">
        <v>45845</v>
      </c>
      <c r="I1588" s="27" t="n">
        <v>45809</v>
      </c>
      <c r="J1588" s="27" t="n">
        <v>45814</v>
      </c>
      <c r="K1588" t="inlineStr">
        <is>
          <t>Transferência Bancária ou Pix</t>
        </is>
      </c>
      <c r="L1588" t="inlineStr">
        <is>
          <t>Custos Artístico Geral</t>
        </is>
      </c>
      <c r="M1588" t="inlineStr">
        <is>
          <t>Técnico de Som / Luz</t>
        </is>
      </c>
      <c r="N1588" t="inlineStr">
        <is>
          <t>13</t>
        </is>
      </c>
      <c r="O1588" t="inlineStr">
        <is>
          <t>Documentação Aprovada</t>
        </is>
      </c>
      <c r="P1588" t="inlineStr">
        <is>
          <t>Aprovado Diretoria</t>
        </is>
      </c>
      <c r="Q1588" t="inlineStr">
        <is>
          <t>Aprovado Caixa</t>
        </is>
      </c>
      <c r="R1588" t="inlineStr">
        <is>
          <t>Pago</t>
        </is>
      </c>
      <c r="S1588" t="n">
        <v>182</v>
      </c>
      <c r="T1588" t="inlineStr">
        <is>
          <t>Love - Shibari - Kamino</t>
        </is>
      </c>
    </row>
    <row r="1589">
      <c r="A1589" t="n">
        <v>138236</v>
      </c>
      <c r="B1589" t="n">
        <v>128</v>
      </c>
      <c r="C1589" t="inlineStr">
        <is>
          <t>Love Cabaret</t>
        </is>
      </c>
      <c r="D1589" t="inlineStr">
        <is>
          <t xml:space="preserve">PJ 00452023 LAISA ROCHA LARANGEIRA </t>
        </is>
      </c>
      <c r="E1589" t="n">
        <v>1600</v>
      </c>
      <c r="F1589" s="27" t="n">
        <v>45848</v>
      </c>
      <c r="G1589" s="27" t="n">
        <v>45845</v>
      </c>
      <c r="H1589" s="27" t="n">
        <v>45845</v>
      </c>
      <c r="I1589" s="27" t="n">
        <v>45809</v>
      </c>
      <c r="J1589" s="27" t="n">
        <v>45814</v>
      </c>
      <c r="K1589" t="inlineStr">
        <is>
          <t>Transferência Bancária ou Pix</t>
        </is>
      </c>
      <c r="L1589" t="inlineStr">
        <is>
          <t>Mão de Obra - PJ</t>
        </is>
      </c>
      <c r="M1589" t="inlineStr">
        <is>
          <t>MDO PJ Fixo</t>
        </is>
      </c>
      <c r="N1589" t="inlineStr">
        <is>
          <t>75</t>
        </is>
      </c>
      <c r="O1589" t="inlineStr">
        <is>
          <t>Documentação Aprovada</t>
        </is>
      </c>
      <c r="P1589" t="inlineStr">
        <is>
          <t>Aprovado Diretoria</t>
        </is>
      </c>
      <c r="Q1589" t="inlineStr">
        <is>
          <t>Aprovado Caixa</t>
        </is>
      </c>
      <c r="R1589" t="inlineStr">
        <is>
          <t>Pago</t>
        </is>
      </c>
      <c r="S1589" t="n">
        <v>182</v>
      </c>
      <c r="T1589" t="inlineStr">
        <is>
          <t>Love - Shibari - Kamino</t>
        </is>
      </c>
    </row>
    <row r="1590">
      <c r="A1590" t="n">
        <v>138242</v>
      </c>
      <c r="B1590" t="n">
        <v>128</v>
      </c>
      <c r="C1590" t="inlineStr">
        <is>
          <t>Love Cabaret</t>
        </is>
      </c>
      <c r="D1590" t="inlineStr">
        <is>
          <t>PJ 00502024 THIAGO PINHEIRO DA SILVA</t>
        </is>
      </c>
      <c r="E1590" t="n">
        <v>1125</v>
      </c>
      <c r="F1590" s="27" t="n">
        <v>45848</v>
      </c>
      <c r="G1590" s="27" t="n">
        <v>45845</v>
      </c>
      <c r="H1590" s="27" t="n">
        <v>45845</v>
      </c>
      <c r="I1590" s="27" t="n">
        <v>45809</v>
      </c>
      <c r="J1590" s="27" t="n">
        <v>45814</v>
      </c>
      <c r="K1590" t="inlineStr">
        <is>
          <t>Transferência Bancária ou Pix</t>
        </is>
      </c>
      <c r="L1590" t="inlineStr">
        <is>
          <t>Mão de Obra - PJ</t>
        </is>
      </c>
      <c r="M1590" t="inlineStr">
        <is>
          <t>MDO PJ Fixo</t>
        </is>
      </c>
      <c r="N1590" t="inlineStr">
        <is>
          <t>52</t>
        </is>
      </c>
      <c r="O1590" t="inlineStr">
        <is>
          <t>Documentação Aprovada</t>
        </is>
      </c>
      <c r="P1590" t="inlineStr">
        <is>
          <t>Aprovado Diretoria</t>
        </is>
      </c>
      <c r="Q1590" t="inlineStr">
        <is>
          <t>Aprovado Caixa</t>
        </is>
      </c>
      <c r="R1590" t="inlineStr">
        <is>
          <t>Pago</t>
        </is>
      </c>
      <c r="S1590" t="n">
        <v>182</v>
      </c>
      <c r="T1590" t="inlineStr">
        <is>
          <t>Love - Shibari - Kamino</t>
        </is>
      </c>
    </row>
    <row r="1591">
      <c r="A1591" t="n">
        <v>138238</v>
      </c>
      <c r="B1591" t="n">
        <v>128</v>
      </c>
      <c r="C1591" t="inlineStr">
        <is>
          <t>Love Cabaret</t>
        </is>
      </c>
      <c r="D1591" t="inlineStr">
        <is>
          <t>MARIA EDUARDA RAMOS DE SOUSA</t>
        </is>
      </c>
      <c r="E1591" t="n">
        <v>1600</v>
      </c>
      <c r="F1591" s="27" t="n">
        <v>45848</v>
      </c>
      <c r="G1591" s="27" t="n">
        <v>45845</v>
      </c>
      <c r="H1591" s="27" t="n">
        <v>45845</v>
      </c>
      <c r="I1591" s="27" t="n">
        <v>45809</v>
      </c>
      <c r="J1591" s="27" t="n">
        <v>45814</v>
      </c>
      <c r="K1591" t="inlineStr">
        <is>
          <t>Transferência Bancária ou Pix</t>
        </is>
      </c>
      <c r="L1591" t="inlineStr">
        <is>
          <t>Mão de Obra - PJ</t>
        </is>
      </c>
      <c r="M1591" t="inlineStr">
        <is>
          <t>MDO PJ Fixo</t>
        </is>
      </c>
      <c r="N1591" t="inlineStr">
        <is>
          <t>46</t>
        </is>
      </c>
      <c r="O1591" t="inlineStr">
        <is>
          <t>Documentação Aprovada</t>
        </is>
      </c>
      <c r="P1591" t="inlineStr">
        <is>
          <t>Aprovado Diretoria</t>
        </is>
      </c>
      <c r="Q1591" t="inlineStr">
        <is>
          <t>Aprovado Caixa</t>
        </is>
      </c>
      <c r="R1591" t="inlineStr">
        <is>
          <t>Pago</t>
        </is>
      </c>
      <c r="S1591" t="n">
        <v>182</v>
      </c>
      <c r="T1591" t="inlineStr">
        <is>
          <t>Love - Shibari - Kamino</t>
        </is>
      </c>
    </row>
    <row r="1592">
      <c r="A1592" t="n">
        <v>138240</v>
      </c>
      <c r="B1592" t="n">
        <v>128</v>
      </c>
      <c r="C1592" t="inlineStr">
        <is>
          <t>Love Cabaret</t>
        </is>
      </c>
      <c r="D1592" t="inlineStr">
        <is>
          <t>ROBERTA MARIA SANTANA</t>
        </is>
      </c>
      <c r="E1592" t="n">
        <v>4000</v>
      </c>
      <c r="F1592" s="27" t="n">
        <v>45848</v>
      </c>
      <c r="G1592" s="27" t="n">
        <v>45845</v>
      </c>
      <c r="H1592" s="27" t="n">
        <v>45845</v>
      </c>
      <c r="I1592" s="27" t="n">
        <v>45809</v>
      </c>
      <c r="J1592" s="27" t="n">
        <v>45814</v>
      </c>
      <c r="K1592" t="inlineStr">
        <is>
          <t>Transferência Bancária ou Pix</t>
        </is>
      </c>
      <c r="L1592" t="inlineStr">
        <is>
          <t>Mão de Obra - PJ</t>
        </is>
      </c>
      <c r="M1592" t="inlineStr">
        <is>
          <t>MDO PJ Fixo</t>
        </is>
      </c>
      <c r="N1592" t="inlineStr">
        <is>
          <t>13</t>
        </is>
      </c>
      <c r="O1592" t="inlineStr">
        <is>
          <t>Documentação Aprovada</t>
        </is>
      </c>
      <c r="P1592" t="inlineStr">
        <is>
          <t>Aprovado Diretoria</t>
        </is>
      </c>
      <c r="Q1592" t="inlineStr">
        <is>
          <t>Aprovado Caixa</t>
        </is>
      </c>
      <c r="R1592" t="inlineStr">
        <is>
          <t>Pago</t>
        </is>
      </c>
      <c r="S1592" t="n">
        <v>182</v>
      </c>
      <c r="T1592" t="inlineStr">
        <is>
          <t>Love - Shibari - Kamino</t>
        </is>
      </c>
    </row>
    <row r="1593">
      <c r="A1593" t="n">
        <v>140085</v>
      </c>
      <c r="B1593" t="n">
        <v>128</v>
      </c>
      <c r="C1593" t="inlineStr">
        <is>
          <t>Love Cabaret</t>
        </is>
      </c>
      <c r="D1593" t="inlineStr">
        <is>
          <t>ANDREIA SANTOS FREITAS DUARTE</t>
        </is>
      </c>
      <c r="E1593" t="n">
        <v>274.3</v>
      </c>
      <c r="F1593" s="27" t="n">
        <v>45845</v>
      </c>
      <c r="G1593" s="27" t="n">
        <v>45845</v>
      </c>
      <c r="H1593" s="27" t="n">
        <v>45845</v>
      </c>
      <c r="I1593" s="27" t="n">
        <v>45817</v>
      </c>
      <c r="J1593" s="27" t="n">
        <v>45825</v>
      </c>
      <c r="K1593" t="inlineStr">
        <is>
          <t>Boleto Bancário</t>
        </is>
      </c>
      <c r="L1593" t="inlineStr">
        <is>
          <t>Custo Mercadoria Vendida</t>
        </is>
      </c>
      <c r="M1593" t="inlineStr">
        <is>
          <t>Insumos - Alimentos</t>
        </is>
      </c>
      <c r="N1593" t="inlineStr">
        <is>
          <t>1989</t>
        </is>
      </c>
      <c r="O1593" t="inlineStr">
        <is>
          <t>Documentação Aprovada</t>
        </is>
      </c>
      <c r="P1593" t="inlineStr">
        <is>
          <t>Aprovado Diretoria</t>
        </is>
      </c>
      <c r="Q1593" t="inlineStr">
        <is>
          <t>Aprovado Caixa</t>
        </is>
      </c>
      <c r="R1593" t="inlineStr">
        <is>
          <t>Pago</t>
        </is>
      </c>
      <c r="S1593" t="n">
        <v>182</v>
      </c>
      <c r="T1593" t="inlineStr">
        <is>
          <t>Love - Shibari - Kamino</t>
        </is>
      </c>
    </row>
    <row r="1594">
      <c r="A1594" t="n">
        <v>140123</v>
      </c>
      <c r="B1594" t="n">
        <v>128</v>
      </c>
      <c r="C1594" t="inlineStr">
        <is>
          <t>Love Cabaret</t>
        </is>
      </c>
      <c r="D1594" t="inlineStr">
        <is>
          <t>HORTICLEAN DISTRIBUIDORA DE HORTIFRUTI LTDA</t>
        </is>
      </c>
      <c r="E1594" t="n">
        <v>187.1</v>
      </c>
      <c r="F1594" s="27" t="n">
        <v>45847</v>
      </c>
      <c r="G1594" s="27" t="n">
        <v>45845</v>
      </c>
      <c r="H1594" s="27" t="n">
        <v>45845</v>
      </c>
      <c r="I1594" s="27" t="n">
        <v>45818</v>
      </c>
      <c r="J1594" s="27" t="n">
        <v>45825</v>
      </c>
      <c r="K1594" t="inlineStr">
        <is>
          <t>Boleto Bancário</t>
        </is>
      </c>
      <c r="L1594" t="inlineStr">
        <is>
          <t>Custo Mercadoria Vendida</t>
        </is>
      </c>
      <c r="M1594" t="inlineStr">
        <is>
          <t>Insumos - Alimentos</t>
        </is>
      </c>
      <c r="N1594" t="inlineStr">
        <is>
          <t>26969</t>
        </is>
      </c>
      <c r="O1594" t="inlineStr">
        <is>
          <t>Documentação Aprovada</t>
        </is>
      </c>
      <c r="P1594" t="inlineStr">
        <is>
          <t>Aprovado Diretoria</t>
        </is>
      </c>
      <c r="Q1594" t="inlineStr">
        <is>
          <t>Aprovado Caixa</t>
        </is>
      </c>
      <c r="R1594" t="inlineStr">
        <is>
          <t>Pago</t>
        </is>
      </c>
      <c r="S1594" t="n">
        <v>182</v>
      </c>
      <c r="T1594" t="inlineStr">
        <is>
          <t>Love - Shibari - Kamino</t>
        </is>
      </c>
    </row>
    <row r="1595">
      <c r="A1595" t="n">
        <v>140483</v>
      </c>
      <c r="B1595" t="n">
        <v>128</v>
      </c>
      <c r="C1595" t="inlineStr">
        <is>
          <t>Love Cabaret</t>
        </is>
      </c>
      <c r="D1595" t="inlineStr">
        <is>
          <t>HORTICLEAN DISTRIBUIDORA DE HORTIFRUTI LTDA</t>
        </is>
      </c>
      <c r="E1595" t="n">
        <v>636.71</v>
      </c>
      <c r="F1595" s="27" t="n">
        <v>45849</v>
      </c>
      <c r="G1595" s="27" t="n">
        <v>45845</v>
      </c>
      <c r="H1595" s="27" t="n">
        <v>45845</v>
      </c>
      <c r="I1595" s="27" t="n">
        <v>45820</v>
      </c>
      <c r="J1595" s="27" t="n">
        <v>45826</v>
      </c>
      <c r="K1595" t="inlineStr">
        <is>
          <t>Boleto Bancário</t>
        </is>
      </c>
      <c r="L1595" t="inlineStr">
        <is>
          <t>Custo Mercadoria Vendida</t>
        </is>
      </c>
      <c r="M1595" t="inlineStr">
        <is>
          <t>Insumos - Alimentos</t>
        </is>
      </c>
      <c r="N1595" t="inlineStr">
        <is>
          <t>27002</t>
        </is>
      </c>
      <c r="O1595" t="inlineStr">
        <is>
          <t>Documentação Aprovada</t>
        </is>
      </c>
      <c r="P1595" t="inlineStr">
        <is>
          <t>Aprovado Diretoria</t>
        </is>
      </c>
      <c r="Q1595" t="inlineStr">
        <is>
          <t>Aprovado Caixa</t>
        </is>
      </c>
      <c r="R1595" t="inlineStr">
        <is>
          <t>Pago</t>
        </is>
      </c>
      <c r="S1595" t="n">
        <v>182</v>
      </c>
      <c r="T1595" t="inlineStr">
        <is>
          <t>Love - Shibari - Kamino</t>
        </is>
      </c>
    </row>
    <row r="1596">
      <c r="A1596" t="n">
        <v>140502</v>
      </c>
      <c r="B1596" t="n">
        <v>128</v>
      </c>
      <c r="C1596" t="inlineStr">
        <is>
          <t>Love Cabaret</t>
        </is>
      </c>
      <c r="D1596" t="inlineStr">
        <is>
          <t>FG7 COMERCIO E DISTRIBUICAO DE BEBIDAS LTDA</t>
        </is>
      </c>
      <c r="E1596" t="n">
        <v>3058.18</v>
      </c>
      <c r="F1596" s="27" t="n">
        <v>45846</v>
      </c>
      <c r="G1596" s="27" t="n">
        <v>45845</v>
      </c>
      <c r="H1596" s="27" t="n">
        <v>45845</v>
      </c>
      <c r="I1596" s="27" t="n">
        <v>45824</v>
      </c>
      <c r="J1596" s="27" t="n">
        <v>45826</v>
      </c>
      <c r="K1596" t="inlineStr">
        <is>
          <t>Boleto Bancário</t>
        </is>
      </c>
      <c r="L1596" t="inlineStr">
        <is>
          <t>Custo Mercadoria Vendida</t>
        </is>
      </c>
      <c r="M1596" t="inlineStr">
        <is>
          <t>Insumos - Bebidas</t>
        </is>
      </c>
      <c r="N1596" t="inlineStr">
        <is>
          <t>627151</t>
        </is>
      </c>
      <c r="O1596" t="inlineStr">
        <is>
          <t>Documentação Aprovada</t>
        </is>
      </c>
      <c r="P1596" t="inlineStr">
        <is>
          <t>Aprovado Diretoria</t>
        </is>
      </c>
      <c r="Q1596" t="inlineStr">
        <is>
          <t>Aprovado Caixa</t>
        </is>
      </c>
      <c r="R1596" t="inlineStr">
        <is>
          <t>Pago</t>
        </is>
      </c>
      <c r="S1596" t="n">
        <v>182</v>
      </c>
      <c r="T1596" t="inlineStr">
        <is>
          <t>Love - Shibari - Kamino</t>
        </is>
      </c>
    </row>
    <row r="1597">
      <c r="A1597" t="n">
        <v>139997</v>
      </c>
      <c r="B1597" t="n">
        <v>128</v>
      </c>
      <c r="C1597" t="inlineStr">
        <is>
          <t>Love Cabaret</t>
        </is>
      </c>
      <c r="D1597" t="inlineStr">
        <is>
          <t>EMPRESA BRASILEIRA DE CORREIOS E TELEGRAFOS.</t>
        </is>
      </c>
      <c r="E1597" t="n">
        <v>42.43</v>
      </c>
      <c r="F1597" s="27" t="n">
        <v>45825</v>
      </c>
      <c r="G1597" s="27" t="n">
        <v>45845</v>
      </c>
      <c r="H1597" s="27" t="n">
        <v>45845</v>
      </c>
      <c r="I1597" s="27" t="n">
        <v>45809</v>
      </c>
      <c r="J1597" s="27" t="n">
        <v>45824</v>
      </c>
      <c r="K1597" t="inlineStr">
        <is>
          <t>Dinheiro em Espécie</t>
        </is>
      </c>
      <c r="L1597" t="inlineStr">
        <is>
          <t>Utilidades</t>
        </is>
      </c>
      <c r="M1597" t="inlineStr">
        <is>
          <t>Custas Cartório / Operação</t>
        </is>
      </c>
      <c r="N1597" t="inlineStr">
        <is>
          <t>4243062025</t>
        </is>
      </c>
      <c r="O1597" t="inlineStr">
        <is>
          <t>Documentação Aprovada</t>
        </is>
      </c>
      <c r="P1597" t="inlineStr">
        <is>
          <t>Aprovado Diretoria</t>
        </is>
      </c>
      <c r="Q1597" t="inlineStr">
        <is>
          <t>Aprovado Caixa</t>
        </is>
      </c>
      <c r="R1597" t="inlineStr">
        <is>
          <t>Pago</t>
        </is>
      </c>
      <c r="S1597" t="n">
        <v>143</v>
      </c>
      <c r="T1597" t="inlineStr">
        <is>
          <t>Tesouraria</t>
        </is>
      </c>
    </row>
    <row r="1598">
      <c r="A1598" t="n">
        <v>140489</v>
      </c>
      <c r="B1598" t="n">
        <v>128</v>
      </c>
      <c r="C1598" t="inlineStr">
        <is>
          <t>Love Cabaret</t>
        </is>
      </c>
      <c r="D1598" t="inlineStr">
        <is>
          <t>CG FOOD´S DISTRIBUIDORA DE ALIMENTOS LTDA</t>
        </is>
      </c>
      <c r="E1598" t="n">
        <v>578.02</v>
      </c>
      <c r="F1598" s="27" t="n">
        <v>45846</v>
      </c>
      <c r="G1598" s="27" t="n">
        <v>45845</v>
      </c>
      <c r="H1598" s="27" t="n">
        <v>45845</v>
      </c>
      <c r="I1598" s="27" t="n">
        <v>45825</v>
      </c>
      <c r="J1598" s="27" t="n">
        <v>45826</v>
      </c>
      <c r="K1598" t="inlineStr">
        <is>
          <t>Boleto Bancário</t>
        </is>
      </c>
      <c r="L1598" t="inlineStr">
        <is>
          <t>Custo Mercadoria Vendida</t>
        </is>
      </c>
      <c r="M1598" t="inlineStr">
        <is>
          <t>Insumos - Alimentos</t>
        </is>
      </c>
      <c r="N1598" t="inlineStr">
        <is>
          <t>155009</t>
        </is>
      </c>
      <c r="O1598" t="inlineStr">
        <is>
          <t>Documentação Aprovada</t>
        </is>
      </c>
      <c r="P1598" t="inlineStr">
        <is>
          <t>Aprovado Diretoria</t>
        </is>
      </c>
      <c r="Q1598" t="inlineStr">
        <is>
          <t>Aprovado Caixa</t>
        </is>
      </c>
      <c r="R1598" t="inlineStr">
        <is>
          <t>Pago</t>
        </is>
      </c>
      <c r="S1598" t="n">
        <v>182</v>
      </c>
      <c r="T1598" t="inlineStr">
        <is>
          <t>Love - Shibari - Kamino</t>
        </is>
      </c>
    </row>
    <row r="1599">
      <c r="A1599" t="n">
        <v>143595</v>
      </c>
      <c r="B1599" t="n">
        <v>128</v>
      </c>
      <c r="C1599" t="inlineStr">
        <is>
          <t>Love Cabaret</t>
        </is>
      </c>
      <c r="D1599" t="inlineStr">
        <is>
          <t>TAXA DE FISCALIZAÇÃO DE ESTABELECIMENTOS</t>
        </is>
      </c>
      <c r="E1599" t="n">
        <v>226.68</v>
      </c>
      <c r="F1599" s="27" t="n">
        <v>45848</v>
      </c>
      <c r="G1599" s="27" t="n">
        <v>45845</v>
      </c>
      <c r="H1599" s="27" t="n">
        <v>45845</v>
      </c>
      <c r="I1599" s="27" t="n">
        <v>45838</v>
      </c>
      <c r="J1599" s="27" t="n">
        <v>45841</v>
      </c>
      <c r="K1599" t="inlineStr">
        <is>
          <t>Boleto Bancário</t>
        </is>
      </c>
      <c r="L1599" t="inlineStr">
        <is>
          <t>Custo de Ocupação</t>
        </is>
      </c>
      <c r="M1599" t="inlineStr">
        <is>
          <t>Taxas publicas administrativas - Ocupação</t>
        </is>
      </c>
      <c r="N1599" t="inlineStr">
        <is>
          <t>062025</t>
        </is>
      </c>
      <c r="O1599" t="inlineStr">
        <is>
          <t>Documentação Aprovada</t>
        </is>
      </c>
      <c r="P1599" t="inlineStr">
        <is>
          <t>Aprovado Diretoria</t>
        </is>
      </c>
      <c r="Q1599" t="inlineStr">
        <is>
          <t>Aprovado Caixa</t>
        </is>
      </c>
      <c r="R1599" t="inlineStr">
        <is>
          <t>Pago</t>
        </is>
      </c>
      <c r="S1599" t="n">
        <v>182</v>
      </c>
      <c r="T1599" t="inlineStr">
        <is>
          <t>Love - Shibari - Kamino</t>
        </is>
      </c>
    </row>
    <row r="1600">
      <c r="A1600" t="n">
        <v>96925</v>
      </c>
      <c r="B1600" t="n">
        <v>128</v>
      </c>
      <c r="C1600" t="inlineStr">
        <is>
          <t>Love Cabaret</t>
        </is>
      </c>
      <c r="D1600" t="inlineStr">
        <is>
          <t>CICLO PARTICIPACOES LTDA</t>
        </is>
      </c>
      <c r="E1600" t="n">
        <v>31634.64</v>
      </c>
      <c r="F1600" s="27" t="n">
        <v>45848</v>
      </c>
      <c r="G1600" s="27" t="n">
        <v>45845</v>
      </c>
      <c r="H1600" s="27" t="n">
        <v>45845</v>
      </c>
      <c r="I1600" s="27" t="n">
        <v>45828</v>
      </c>
      <c r="J1600" s="27" t="n"/>
      <c r="K1600" t="inlineStr">
        <is>
          <t>Boleto Bancário</t>
        </is>
      </c>
      <c r="L1600" t="inlineStr">
        <is>
          <t>Custo de Ocupação</t>
        </is>
      </c>
      <c r="M1600" t="inlineStr">
        <is>
          <t>Aluguel de Imoveis</t>
        </is>
      </c>
      <c r="N1600" t="inlineStr">
        <is>
          <t>3754092062025</t>
        </is>
      </c>
      <c r="O1600" t="inlineStr">
        <is>
          <t>Documentação Aprovada</t>
        </is>
      </c>
      <c r="P1600" t="inlineStr">
        <is>
          <t>Aprovado Diretoria</t>
        </is>
      </c>
      <c r="Q1600" t="inlineStr">
        <is>
          <t>Aprovado Caixa</t>
        </is>
      </c>
      <c r="R1600" t="inlineStr">
        <is>
          <t>Pago</t>
        </is>
      </c>
      <c r="S1600" t="n">
        <v>182</v>
      </c>
      <c r="T1600" t="inlineStr">
        <is>
          <t>Love - Shibari - Kamino</t>
        </is>
      </c>
    </row>
    <row r="1601">
      <c r="A1601" t="n">
        <v>96975</v>
      </c>
      <c r="B1601" t="n">
        <v>128</v>
      </c>
      <c r="C1601" t="inlineStr">
        <is>
          <t>Love Cabaret</t>
        </is>
      </c>
      <c r="D1601" t="inlineStr">
        <is>
          <t xml:space="preserve">DIVIFY OPERACAO DE PLATAFORMA ELETRONICA LTDA </t>
        </is>
      </c>
      <c r="E1601" t="n">
        <v>1000</v>
      </c>
      <c r="F1601" s="27" t="n">
        <v>45848</v>
      </c>
      <c r="G1601" s="27" t="n">
        <v>45845</v>
      </c>
      <c r="H1601" s="27" t="n">
        <v>45845</v>
      </c>
      <c r="I1601" s="27" t="n">
        <v>45828</v>
      </c>
      <c r="J1601" s="27" t="n"/>
      <c r="K1601" t="inlineStr">
        <is>
          <t>Boleto Bancário</t>
        </is>
      </c>
      <c r="L1601" t="inlineStr">
        <is>
          <t>Serviços de Terceiros</t>
        </is>
      </c>
      <c r="M1601" t="inlineStr">
        <is>
          <t>Assessoria em Geral</t>
        </is>
      </c>
      <c r="N1601" t="inlineStr">
        <is>
          <t>266</t>
        </is>
      </c>
      <c r="O1601" t="inlineStr">
        <is>
          <t>Documentação Aprovada</t>
        </is>
      </c>
      <c r="P1601" t="inlineStr">
        <is>
          <t>Aprovado Diretoria</t>
        </is>
      </c>
      <c r="Q1601" t="inlineStr">
        <is>
          <t>Aprovado Caixa</t>
        </is>
      </c>
      <c r="R1601" t="inlineStr">
        <is>
          <t>Pago</t>
        </is>
      </c>
      <c r="S1601" t="n">
        <v>182</v>
      </c>
      <c r="T1601" t="inlineStr">
        <is>
          <t>Love - Shibari - Kamino</t>
        </is>
      </c>
    </row>
    <row r="1602">
      <c r="A1602" t="n">
        <v>96823</v>
      </c>
      <c r="B1602" t="n">
        <v>128</v>
      </c>
      <c r="C1602" t="inlineStr">
        <is>
          <t>Love Cabaret</t>
        </is>
      </c>
      <c r="D1602" t="inlineStr">
        <is>
          <t xml:space="preserve">ANA CLAUDIA DA COSTA PINTO </t>
        </is>
      </c>
      <c r="E1602" t="n">
        <v>471.7</v>
      </c>
      <c r="F1602" s="27" t="n">
        <v>45847</v>
      </c>
      <c r="G1602" s="27" t="n">
        <v>45845</v>
      </c>
      <c r="H1602" s="27" t="n">
        <v>45845</v>
      </c>
      <c r="I1602" s="27" t="n">
        <v>45828</v>
      </c>
      <c r="J1602" s="27" t="n"/>
      <c r="K1602" t="inlineStr">
        <is>
          <t>Transferência Bancária ou Pix</t>
        </is>
      </c>
      <c r="L1602" t="inlineStr">
        <is>
          <t>Manutenção</t>
        </is>
      </c>
      <c r="M1602" t="inlineStr">
        <is>
          <t>Decoração/Paisagismo e Jardinagem</t>
        </is>
      </c>
      <c r="N1602" t="inlineStr">
        <is>
          <t>2350</t>
        </is>
      </c>
      <c r="O1602" t="inlineStr">
        <is>
          <t>Documentação Aprovada</t>
        </is>
      </c>
      <c r="P1602" t="inlineStr">
        <is>
          <t>Aprovado Diretoria</t>
        </is>
      </c>
      <c r="Q1602" t="inlineStr">
        <is>
          <t>Aprovado Caixa</t>
        </is>
      </c>
      <c r="R1602" t="inlineStr">
        <is>
          <t>Pago</t>
        </is>
      </c>
      <c r="S1602" t="n">
        <v>182</v>
      </c>
      <c r="T1602" t="inlineStr">
        <is>
          <t>Love - Shibari - Kamino</t>
        </is>
      </c>
    </row>
    <row r="1603">
      <c r="A1603" t="n">
        <v>97353</v>
      </c>
      <c r="B1603" t="n">
        <v>128</v>
      </c>
      <c r="C1603" t="inlineStr">
        <is>
          <t>Love Cabaret</t>
        </is>
      </c>
      <c r="D1603" t="inlineStr">
        <is>
          <t>EDJANE DANTAS DE ALMEIDA SOUSA  - DESENTUPIDORA</t>
        </is>
      </c>
      <c r="E1603" t="n">
        <v>1200</v>
      </c>
      <c r="F1603" s="27" t="n">
        <v>45846</v>
      </c>
      <c r="G1603" s="27" t="n">
        <v>45845</v>
      </c>
      <c r="H1603" s="27" t="n">
        <v>45845</v>
      </c>
      <c r="I1603" s="27" t="n">
        <v>45825</v>
      </c>
      <c r="J1603" s="27" t="n"/>
      <c r="K1603" t="inlineStr">
        <is>
          <t>Transferência Bancária ou Pix</t>
        </is>
      </c>
      <c r="L1603" t="inlineStr">
        <is>
          <t>Utilidades</t>
        </is>
      </c>
      <c r="M1603" t="inlineStr">
        <is>
          <t>Serviços de Limpeza</t>
        </is>
      </c>
      <c r="N1603" t="inlineStr">
        <is>
          <t>98</t>
        </is>
      </c>
      <c r="O1603" t="inlineStr">
        <is>
          <t>Documentação Aprovada</t>
        </is>
      </c>
      <c r="P1603" t="inlineStr">
        <is>
          <t>Aprovado Diretoria</t>
        </is>
      </c>
      <c r="Q1603" t="inlineStr">
        <is>
          <t>Aprovado Caixa</t>
        </is>
      </c>
      <c r="R1603" t="inlineStr">
        <is>
          <t>Pago</t>
        </is>
      </c>
      <c r="S1603" t="n">
        <v>182</v>
      </c>
      <c r="T1603" t="inlineStr">
        <is>
          <t>Love - Shibari - Kamino</t>
        </is>
      </c>
    </row>
    <row r="1604">
      <c r="A1604" t="n">
        <v>103046</v>
      </c>
      <c r="B1604" t="n">
        <v>128</v>
      </c>
      <c r="C1604" t="inlineStr">
        <is>
          <t>Love Cabaret</t>
        </is>
      </c>
      <c r="D1604" t="inlineStr">
        <is>
          <t>VERISURE BRASIL MONITORAMENTO DE ALARMES S.A</t>
        </is>
      </c>
      <c r="E1604" t="n">
        <v>263.78</v>
      </c>
      <c r="F1604" s="27" t="n">
        <v>45843</v>
      </c>
      <c r="G1604" s="27" t="n">
        <v>45845</v>
      </c>
      <c r="H1604" s="27" t="n">
        <v>45845</v>
      </c>
      <c r="I1604" s="27" t="n">
        <v>45823</v>
      </c>
      <c r="J1604" s="27" t="n"/>
      <c r="K1604" t="inlineStr">
        <is>
          <t xml:space="preserve">Debito Automático </t>
        </is>
      </c>
      <c r="L1604" t="inlineStr">
        <is>
          <t>Informática e TI</t>
        </is>
      </c>
      <c r="M1604" t="inlineStr">
        <is>
          <t>Sistemas de Segurança e Alarme</t>
        </is>
      </c>
      <c r="N1604" t="inlineStr">
        <is>
          <t xml:space="preserve">15579805 </t>
        </is>
      </c>
      <c r="O1604" t="inlineStr">
        <is>
          <t>Documentação Aprovada</t>
        </is>
      </c>
      <c r="P1604" t="inlineStr">
        <is>
          <t>Aprovado Diretoria</t>
        </is>
      </c>
      <c r="Q1604" t="inlineStr">
        <is>
          <t>Aprovado Caixa</t>
        </is>
      </c>
      <c r="R1604" t="inlineStr">
        <is>
          <t>Pago</t>
        </is>
      </c>
      <c r="S1604" t="n">
        <v>115</v>
      </c>
      <c r="T1604" t="inlineStr">
        <is>
          <t>Love - Shibari - Bradesco</t>
        </is>
      </c>
    </row>
    <row r="1605">
      <c r="A1605" t="n">
        <v>102963</v>
      </c>
      <c r="B1605" t="n">
        <v>128</v>
      </c>
      <c r="C1605" t="inlineStr">
        <is>
          <t>Love Cabaret</t>
        </is>
      </c>
      <c r="D1605" t="inlineStr">
        <is>
          <t>STAR COPIAS COMERCIO E SERVICOS LTDA</t>
        </is>
      </c>
      <c r="E1605" t="n">
        <v>220</v>
      </c>
      <c r="F1605" s="27" t="n">
        <v>45846</v>
      </c>
      <c r="G1605" s="27" t="n">
        <v>45845</v>
      </c>
      <c r="H1605" s="27" t="n">
        <v>45845</v>
      </c>
      <c r="I1605" s="27" t="n">
        <v>45828</v>
      </c>
      <c r="J1605" s="27" t="n"/>
      <c r="K1605" t="inlineStr">
        <is>
          <t>Boleto Bancário</t>
        </is>
      </c>
      <c r="L1605" t="inlineStr">
        <is>
          <t>Locação de Equipamentos</t>
        </is>
      </c>
      <c r="M1605" t="inlineStr">
        <is>
          <t>Locação de Equipamentos - Informatica e TI</t>
        </is>
      </c>
      <c r="N1605" t="inlineStr">
        <is>
          <t>4210</t>
        </is>
      </c>
      <c r="O1605" t="inlineStr">
        <is>
          <t>Documentação Aprovada</t>
        </is>
      </c>
      <c r="P1605" t="inlineStr">
        <is>
          <t>Aprovado Diretoria</t>
        </is>
      </c>
      <c r="Q1605" t="inlineStr">
        <is>
          <t>Aprovado Caixa</t>
        </is>
      </c>
      <c r="R1605" t="inlineStr">
        <is>
          <t>Pago</t>
        </is>
      </c>
      <c r="S1605" t="n">
        <v>182</v>
      </c>
      <c r="T1605" t="inlineStr">
        <is>
          <t>Love - Shibari - Kamino</t>
        </is>
      </c>
    </row>
    <row r="1606">
      <c r="A1606" t="n">
        <v>102854</v>
      </c>
      <c r="B1606" t="n">
        <v>128</v>
      </c>
      <c r="C1606" t="inlineStr">
        <is>
          <t>Love Cabaret</t>
        </is>
      </c>
      <c r="D1606" t="inlineStr">
        <is>
          <t>IRMANDADE DA SANTA CASA DE MISERICORDIA DE SAO PAULO</t>
        </is>
      </c>
      <c r="E1606" t="n">
        <v>31634.64</v>
      </c>
      <c r="F1606" s="27" t="n">
        <v>45848</v>
      </c>
      <c r="G1606" s="27" t="n">
        <v>45845</v>
      </c>
      <c r="H1606" s="27" t="n">
        <v>45845</v>
      </c>
      <c r="I1606" s="27" t="n">
        <v>45828</v>
      </c>
      <c r="J1606" s="27" t="n"/>
      <c r="K1606" t="inlineStr">
        <is>
          <t>Boleto Bancário</t>
        </is>
      </c>
      <c r="L1606" t="inlineStr">
        <is>
          <t>Custo de Ocupação</t>
        </is>
      </c>
      <c r="M1606" t="inlineStr">
        <is>
          <t>Aluguel de Imoveis</t>
        </is>
      </c>
      <c r="N1606" t="inlineStr">
        <is>
          <t>158499</t>
        </is>
      </c>
      <c r="O1606" t="inlineStr">
        <is>
          <t>Documentação Aprovada</t>
        </is>
      </c>
      <c r="P1606" t="inlineStr">
        <is>
          <t>Aprovado Diretoria</t>
        </is>
      </c>
      <c r="Q1606" t="inlineStr">
        <is>
          <t>Aprovado Caixa</t>
        </is>
      </c>
      <c r="R1606" t="inlineStr">
        <is>
          <t>Pago</t>
        </is>
      </c>
      <c r="S1606" t="n">
        <v>182</v>
      </c>
      <c r="T1606" t="inlineStr">
        <is>
          <t>Love - Shibari - Kamino</t>
        </is>
      </c>
    </row>
    <row r="1607">
      <c r="A1607" t="n">
        <v>102921</v>
      </c>
      <c r="B1607" t="n">
        <v>128</v>
      </c>
      <c r="C1607" t="inlineStr">
        <is>
          <t>Love Cabaret</t>
        </is>
      </c>
      <c r="D1607" t="inlineStr">
        <is>
          <t>PRESHH ALUGUEL DE MAQUINAS LTDA</t>
        </is>
      </c>
      <c r="E1607" t="n">
        <v>727.2</v>
      </c>
      <c r="F1607" s="27" t="n">
        <v>45848</v>
      </c>
      <c r="G1607" s="27" t="n">
        <v>45845</v>
      </c>
      <c r="H1607" s="27" t="n">
        <v>45845</v>
      </c>
      <c r="I1607" s="27" t="n">
        <v>45838</v>
      </c>
      <c r="J1607" s="27" t="n"/>
      <c r="K1607" t="inlineStr">
        <is>
          <t>Boleto Bancário</t>
        </is>
      </c>
      <c r="L1607" t="inlineStr">
        <is>
          <t>Locação de Equipamentos</t>
        </is>
      </c>
      <c r="M1607" t="inlineStr">
        <is>
          <t>Locações de Equipamentos - Operacionais</t>
        </is>
      </c>
      <c r="N1607" t="inlineStr">
        <is>
          <t xml:space="preserve">575096812  </t>
        </is>
      </c>
      <c r="O1607" t="inlineStr">
        <is>
          <t>Documentação Aprovada</t>
        </is>
      </c>
      <c r="P1607" t="inlineStr">
        <is>
          <t>Aprovado Diretoria</t>
        </is>
      </c>
      <c r="Q1607" t="inlineStr">
        <is>
          <t>Aprovado Caixa</t>
        </is>
      </c>
      <c r="R1607" t="inlineStr">
        <is>
          <t>Pago</t>
        </is>
      </c>
      <c r="S1607" t="n">
        <v>182</v>
      </c>
      <c r="T1607" t="inlineStr">
        <is>
          <t>Love - Shibari - Kamino</t>
        </is>
      </c>
    </row>
    <row r="1608">
      <c r="A1608" t="n">
        <v>102976</v>
      </c>
      <c r="B1608" t="n">
        <v>128</v>
      </c>
      <c r="C1608" t="inlineStr">
        <is>
          <t>Love Cabaret</t>
        </is>
      </c>
      <c r="D1608" t="inlineStr">
        <is>
          <t>STEMME TELECOMUNICACOES DO BRASIL LTDA</t>
        </is>
      </c>
      <c r="E1608" t="n">
        <v>299.99</v>
      </c>
      <c r="F1608" s="27" t="n">
        <v>45848</v>
      </c>
      <c r="G1608" s="27" t="n">
        <v>45845</v>
      </c>
      <c r="H1608" s="27" t="n">
        <v>45845</v>
      </c>
      <c r="I1608" s="27" t="n">
        <v>45838</v>
      </c>
      <c r="J1608" s="27" t="n"/>
      <c r="K1608" t="inlineStr">
        <is>
          <t>Boleto Bancário</t>
        </is>
      </c>
      <c r="L1608" t="inlineStr">
        <is>
          <t>Informática e TI</t>
        </is>
      </c>
      <c r="M1608" t="inlineStr">
        <is>
          <t>Internet</t>
        </is>
      </c>
      <c r="N1608" t="inlineStr">
        <is>
          <t>8121</t>
        </is>
      </c>
      <c r="O1608" t="inlineStr">
        <is>
          <t>Documentação Aprovada</t>
        </is>
      </c>
      <c r="P1608" t="inlineStr">
        <is>
          <t>Aprovado Diretoria</t>
        </is>
      </c>
      <c r="Q1608" t="inlineStr">
        <is>
          <t>Aprovado Caixa</t>
        </is>
      </c>
      <c r="R1608" t="inlineStr">
        <is>
          <t>Pago</t>
        </is>
      </c>
      <c r="S1608" t="n">
        <v>182</v>
      </c>
      <c r="T1608" t="inlineStr">
        <is>
          <t>Love - Shibari - Kamino</t>
        </is>
      </c>
    </row>
    <row r="1609">
      <c r="A1609" t="n">
        <v>102945</v>
      </c>
      <c r="B1609" t="n">
        <v>128</v>
      </c>
      <c r="C1609" t="inlineStr">
        <is>
          <t>Love Cabaret</t>
        </is>
      </c>
      <c r="D1609" t="inlineStr">
        <is>
          <t>SAFE BRAND COMERCIAL- IMPORTACAO- EXPORTACAO E SERVICOS LTDA</t>
        </is>
      </c>
      <c r="E1609" t="n">
        <v>2117.46</v>
      </c>
      <c r="F1609" s="27" t="n">
        <v>45847</v>
      </c>
      <c r="G1609" s="27" t="n">
        <v>45845</v>
      </c>
      <c r="H1609" s="27" t="n">
        <v>45845</v>
      </c>
      <c r="I1609" s="27" t="n">
        <v>45839</v>
      </c>
      <c r="J1609" s="27" t="n"/>
      <c r="K1609" t="inlineStr">
        <is>
          <t>Boleto Bancário</t>
        </is>
      </c>
      <c r="L1609" t="inlineStr">
        <is>
          <t>Locação de Equipamentos</t>
        </is>
      </c>
      <c r="M1609" t="inlineStr">
        <is>
          <t>Locações de Equipamentos - Operacionais</t>
        </is>
      </c>
      <c r="N1609" t="inlineStr">
        <is>
          <t>03250226</t>
        </is>
      </c>
      <c r="O1609" t="inlineStr">
        <is>
          <t>Documentação Aprovada</t>
        </is>
      </c>
      <c r="P1609" t="inlineStr">
        <is>
          <t>Aprovado Diretoria</t>
        </is>
      </c>
      <c r="Q1609" t="inlineStr">
        <is>
          <t>Aprovado Caixa</t>
        </is>
      </c>
      <c r="R1609" t="inlineStr">
        <is>
          <t>Pago</t>
        </is>
      </c>
      <c r="S1609" t="n">
        <v>182</v>
      </c>
      <c r="T1609" t="inlineStr">
        <is>
          <t>Love - Shibari - Kamino</t>
        </is>
      </c>
    </row>
    <row r="1610">
      <c r="A1610" t="n">
        <v>102868</v>
      </c>
      <c r="B1610" t="n">
        <v>128</v>
      </c>
      <c r="C1610" t="inlineStr">
        <is>
          <t>Love Cabaret</t>
        </is>
      </c>
      <c r="D1610" t="inlineStr">
        <is>
          <t>MACHINE SEGURANCA PATRIMONIAL LTDA</t>
        </is>
      </c>
      <c r="E1610" t="n">
        <v>5320</v>
      </c>
      <c r="F1610" s="27" t="n">
        <v>45843</v>
      </c>
      <c r="G1610" s="27" t="n">
        <v>45845</v>
      </c>
      <c r="H1610" s="27" t="n">
        <v>45845</v>
      </c>
      <c r="I1610" s="27" t="n">
        <v>45838</v>
      </c>
      <c r="J1610" s="27" t="n"/>
      <c r="K1610" t="inlineStr">
        <is>
          <t>Transferência Bancária ou Pix</t>
        </is>
      </c>
      <c r="L1610" t="inlineStr">
        <is>
          <t>Serviços de Terceiros</t>
        </is>
      </c>
      <c r="M1610" t="inlineStr">
        <is>
          <t>Serviços de Segurança</t>
        </is>
      </c>
      <c r="N1610" t="inlineStr">
        <is>
          <t>453</t>
        </is>
      </c>
      <c r="O1610" t="inlineStr">
        <is>
          <t>Documentação Aprovada</t>
        </is>
      </c>
      <c r="P1610" t="inlineStr">
        <is>
          <t>Aprovado Diretoria</t>
        </is>
      </c>
      <c r="Q1610" t="inlineStr">
        <is>
          <t>Aprovado Caixa</t>
        </is>
      </c>
      <c r="R1610" t="inlineStr">
        <is>
          <t>Pago</t>
        </is>
      </c>
      <c r="S1610" t="n">
        <v>182</v>
      </c>
      <c r="T1610" t="inlineStr">
        <is>
          <t>Love - Shibari - Kamino</t>
        </is>
      </c>
    </row>
    <row r="1611">
      <c r="A1611" t="n">
        <v>106689</v>
      </c>
      <c r="B1611" t="n">
        <v>128</v>
      </c>
      <c r="C1611" t="inlineStr">
        <is>
          <t>Love Cabaret</t>
        </is>
      </c>
      <c r="D1611" t="inlineStr">
        <is>
          <t>AURORA ALVORADA ESTACIONAMENTO E LANCHONETE LTDA</t>
        </is>
      </c>
      <c r="E1611" t="n">
        <v>218.73</v>
      </c>
      <c r="F1611" s="27" t="n">
        <v>45845</v>
      </c>
      <c r="G1611" s="27" t="n">
        <v>45845</v>
      </c>
      <c r="H1611" s="27" t="n">
        <v>45845</v>
      </c>
      <c r="I1611" s="27" t="n">
        <v>45838</v>
      </c>
      <c r="J1611" s="27" t="n"/>
      <c r="K1611" t="inlineStr">
        <is>
          <t>Boleto Bancário</t>
        </is>
      </c>
      <c r="L1611" t="inlineStr">
        <is>
          <t>Custo Mercadoria Vendida</t>
        </is>
      </c>
      <c r="M1611" t="inlineStr">
        <is>
          <t>Insumos - Alimentos</t>
        </is>
      </c>
      <c r="N1611" t="inlineStr">
        <is>
          <t>10714</t>
        </is>
      </c>
      <c r="O1611" t="inlineStr">
        <is>
          <t>Documentação Aprovada</t>
        </is>
      </c>
      <c r="P1611" t="inlineStr">
        <is>
          <t>Aprovado Diretoria</t>
        </is>
      </c>
      <c r="Q1611" t="inlineStr">
        <is>
          <t>Aprovado Caixa</t>
        </is>
      </c>
      <c r="R1611" t="inlineStr">
        <is>
          <t>Pago</t>
        </is>
      </c>
      <c r="S1611" t="n">
        <v>182</v>
      </c>
      <c r="T1611" t="inlineStr">
        <is>
          <t>Love - Shibari - Kamino</t>
        </is>
      </c>
    </row>
    <row r="1612">
      <c r="A1612" t="n">
        <v>104323</v>
      </c>
      <c r="B1612" t="n">
        <v>128</v>
      </c>
      <c r="C1612" t="inlineStr">
        <is>
          <t>Love Cabaret</t>
        </is>
      </c>
      <c r="D1612" t="inlineStr">
        <is>
          <t>CICLO PARTICIPACOES LTDA</t>
        </is>
      </c>
      <c r="E1612" t="n">
        <v>5906.28</v>
      </c>
      <c r="F1612" s="27" t="n">
        <v>45848</v>
      </c>
      <c r="G1612" s="27" t="n">
        <v>45845</v>
      </c>
      <c r="H1612" s="27" t="n">
        <v>45845</v>
      </c>
      <c r="I1612" s="27" t="n">
        <v>45823</v>
      </c>
      <c r="J1612" s="27" t="n"/>
      <c r="K1612" t="inlineStr">
        <is>
          <t>Boleto Bancário</t>
        </is>
      </c>
      <c r="L1612" t="inlineStr">
        <is>
          <t>Custo de Ocupação</t>
        </is>
      </c>
      <c r="M1612" t="inlineStr">
        <is>
          <t>IPTU</t>
        </is>
      </c>
      <c r="N1612" t="inlineStr">
        <is>
          <t>590628</t>
        </is>
      </c>
      <c r="O1612" t="inlineStr">
        <is>
          <t>Documentação Aprovada</t>
        </is>
      </c>
      <c r="P1612" t="inlineStr">
        <is>
          <t>Aprovado Diretoria</t>
        </is>
      </c>
      <c r="Q1612" t="inlineStr">
        <is>
          <t>Aprovado Caixa</t>
        </is>
      </c>
      <c r="R1612" t="inlineStr">
        <is>
          <t>Pago</t>
        </is>
      </c>
      <c r="S1612" t="n">
        <v>182</v>
      </c>
      <c r="T1612" t="inlineStr">
        <is>
          <t>Love - Shibari - Kamino</t>
        </is>
      </c>
    </row>
    <row r="1613">
      <c r="A1613" t="n">
        <v>97035</v>
      </c>
      <c r="B1613" t="n">
        <v>128</v>
      </c>
      <c r="C1613" t="inlineStr">
        <is>
          <t>Love Cabaret</t>
        </is>
      </c>
      <c r="D1613" t="inlineStr">
        <is>
          <t>ESHOWS PROMOCOES ARTISTICAS LTDA</t>
        </is>
      </c>
      <c r="E1613" t="n">
        <v>25250</v>
      </c>
      <c r="F1613" s="27" t="n">
        <v>45843</v>
      </c>
      <c r="G1613" s="27" t="n">
        <v>45845</v>
      </c>
      <c r="H1613" s="27" t="n">
        <v>45842</v>
      </c>
      <c r="I1613" s="27" t="n">
        <v>45824</v>
      </c>
      <c r="J1613" s="27" t="n"/>
      <c r="K1613" t="inlineStr">
        <is>
          <t>Boleto Bancário</t>
        </is>
      </c>
      <c r="L1613" t="inlineStr">
        <is>
          <t>Custos Artístico Geral</t>
        </is>
      </c>
      <c r="M1613" t="inlineStr">
        <is>
          <t>Cachê de Músicos e Artistas</t>
        </is>
      </c>
      <c r="N1613" t="inlineStr">
        <is>
          <t>592138298</t>
        </is>
      </c>
      <c r="O1613" t="inlineStr">
        <is>
          <t>Documentação Aprovada</t>
        </is>
      </c>
      <c r="P1613" t="inlineStr">
        <is>
          <t>Aprovado Diretoria</t>
        </is>
      </c>
      <c r="Q1613" t="inlineStr">
        <is>
          <t>Aprovado Caixa</t>
        </is>
      </c>
      <c r="R1613" t="inlineStr">
        <is>
          <t>Pago</t>
        </is>
      </c>
      <c r="S1613" t="n">
        <v>115</v>
      </c>
      <c r="T1613" t="inlineStr">
        <is>
          <t>Love - Shibari - Bradesco</t>
        </is>
      </c>
    </row>
    <row r="1614">
      <c r="A1614" t="n">
        <v>149009</v>
      </c>
      <c r="B1614" t="n">
        <v>128</v>
      </c>
      <c r="C1614" t="inlineStr">
        <is>
          <t>Love Cabaret</t>
        </is>
      </c>
      <c r="D1614" t="inlineStr">
        <is>
          <t>BRADESCO SA</t>
        </is>
      </c>
      <c r="E1614" t="n">
        <v>9.800000000000001</v>
      </c>
      <c r="F1614" s="27" t="n">
        <v>45842</v>
      </c>
      <c r="G1614" s="27" t="n"/>
      <c r="H1614" s="27" t="n">
        <v>45842</v>
      </c>
      <c r="I1614" s="27" t="n">
        <v>45842</v>
      </c>
      <c r="J1614" s="27" t="n">
        <v>45863</v>
      </c>
      <c r="K1614" t="inlineStr">
        <is>
          <t>Encontro de Contas</t>
        </is>
      </c>
      <c r="L1614" t="inlineStr">
        <is>
          <t>Despesas Financeiras</t>
        </is>
      </c>
      <c r="M1614" t="inlineStr">
        <is>
          <t>Tarifas Bancárias</t>
        </is>
      </c>
      <c r="N1614" t="inlineStr">
        <is>
          <t>072025</t>
        </is>
      </c>
      <c r="P1614" t="inlineStr">
        <is>
          <t>Aprovado Diretoria</t>
        </is>
      </c>
      <c r="R1614" t="inlineStr">
        <is>
          <t>Pago</t>
        </is>
      </c>
    </row>
    <row r="1615">
      <c r="A1615" t="n">
        <v>143538</v>
      </c>
      <c r="B1615" t="n">
        <v>128</v>
      </c>
      <c r="C1615" t="inlineStr">
        <is>
          <t>Love Cabaret</t>
        </is>
      </c>
      <c r="D1615" t="inlineStr">
        <is>
          <t>BRADESCO SA</t>
        </is>
      </c>
      <c r="E1615" t="n">
        <v>9.800000000000001</v>
      </c>
      <c r="F1615" s="27" t="n">
        <v>45840</v>
      </c>
      <c r="G1615" s="27" t="n"/>
      <c r="H1615" s="27" t="n">
        <v>45840</v>
      </c>
      <c r="I1615" s="27" t="n">
        <v>45840</v>
      </c>
      <c r="J1615" s="27" t="n">
        <v>45841</v>
      </c>
      <c r="K1615" t="inlineStr">
        <is>
          <t>Encontro de Contas</t>
        </is>
      </c>
      <c r="L1615" t="inlineStr">
        <is>
          <t>Despesas Financeiras</t>
        </is>
      </c>
      <c r="M1615" t="inlineStr">
        <is>
          <t>Tarifas Bancárias</t>
        </is>
      </c>
      <c r="N1615" t="inlineStr">
        <is>
          <t>072025</t>
        </is>
      </c>
      <c r="P1615" t="inlineStr">
        <is>
          <t>Aprovado Diretoria</t>
        </is>
      </c>
      <c r="R1615" t="inlineStr">
        <is>
          <t>Pago</t>
        </is>
      </c>
    </row>
    <row r="1616">
      <c r="A1616" t="n">
        <v>143323</v>
      </c>
      <c r="B1616" t="n">
        <v>128</v>
      </c>
      <c r="C1616" t="inlineStr">
        <is>
          <t>Love Cabaret</t>
        </is>
      </c>
      <c r="D1616" t="inlineStr">
        <is>
          <t>PEDRO THOMAZ RODRIGUES</t>
        </is>
      </c>
      <c r="E1616" t="n">
        <v>1072.9</v>
      </c>
      <c r="F1616" s="27" t="n">
        <v>45842</v>
      </c>
      <c r="G1616" s="27" t="n">
        <v>45841</v>
      </c>
      <c r="H1616" s="27" t="n">
        <v>45840</v>
      </c>
      <c r="I1616" s="27" t="n">
        <v>45838</v>
      </c>
      <c r="J1616" s="27" t="n"/>
      <c r="K1616" t="inlineStr">
        <is>
          <t>Transferência Bancária ou Pix</t>
        </is>
      </c>
      <c r="L1616" t="inlineStr">
        <is>
          <t>Mão de Obra - Salários</t>
        </is>
      </c>
      <c r="M1616" t="inlineStr">
        <is>
          <t>MDO CLT - Salário</t>
        </is>
      </c>
      <c r="N1616" t="inlineStr">
        <is>
          <t>062025</t>
        </is>
      </c>
      <c r="O1616" t="inlineStr">
        <is>
          <t>Documentação Aprovada</t>
        </is>
      </c>
      <c r="P1616" t="inlineStr">
        <is>
          <t>Aprovado Diretoria</t>
        </is>
      </c>
      <c r="Q1616" t="inlineStr">
        <is>
          <t>Aprovado Caixa</t>
        </is>
      </c>
      <c r="R1616" t="inlineStr">
        <is>
          <t>Pago</t>
        </is>
      </c>
      <c r="S1616" t="n">
        <v>115</v>
      </c>
      <c r="T1616" t="inlineStr">
        <is>
          <t>Love - Shibari - Bradesco</t>
        </is>
      </c>
    </row>
    <row r="1617">
      <c r="A1617" t="n">
        <v>143322</v>
      </c>
      <c r="B1617" t="n">
        <v>128</v>
      </c>
      <c r="C1617" t="inlineStr">
        <is>
          <t>Love Cabaret</t>
        </is>
      </c>
      <c r="D1617" t="inlineStr">
        <is>
          <t>CAROLINE FERREIRA DA SILVA</t>
        </is>
      </c>
      <c r="E1617" t="n">
        <v>3836.2</v>
      </c>
      <c r="F1617" s="27" t="n">
        <v>45842</v>
      </c>
      <c r="G1617" s="27" t="n">
        <v>45841</v>
      </c>
      <c r="H1617" s="27" t="n">
        <v>45840</v>
      </c>
      <c r="I1617" s="27" t="n">
        <v>45838</v>
      </c>
      <c r="J1617" s="27" t="n"/>
      <c r="K1617" t="inlineStr">
        <is>
          <t>Transferência Bancária ou Pix</t>
        </is>
      </c>
      <c r="L1617" t="inlineStr">
        <is>
          <t>Mão de Obra - Salários</t>
        </is>
      </c>
      <c r="M1617" t="inlineStr">
        <is>
          <t>MDO CLT - Salário</t>
        </is>
      </c>
      <c r="N1617" t="inlineStr">
        <is>
          <t>062025</t>
        </is>
      </c>
      <c r="O1617" t="inlineStr">
        <is>
          <t>Documentação Aprovada</t>
        </is>
      </c>
      <c r="P1617" t="inlineStr">
        <is>
          <t>Aprovado Diretoria</t>
        </is>
      </c>
      <c r="Q1617" t="inlineStr">
        <is>
          <t>Aprovado Caixa</t>
        </is>
      </c>
      <c r="R1617" t="inlineStr">
        <is>
          <t>Pago</t>
        </is>
      </c>
      <c r="S1617" t="n">
        <v>115</v>
      </c>
      <c r="T1617" t="inlineStr">
        <is>
          <t>Love - Shibari - Bradesco</t>
        </is>
      </c>
    </row>
    <row r="1618">
      <c r="A1618" t="n">
        <v>128190</v>
      </c>
      <c r="B1618" t="n">
        <v>128</v>
      </c>
      <c r="C1618" t="inlineStr">
        <is>
          <t>Love Cabaret</t>
        </is>
      </c>
      <c r="D1618" t="inlineStr">
        <is>
          <t xml:space="preserve">MATEUS SILVEIRA CEZAR </t>
        </is>
      </c>
      <c r="E1618" t="n">
        <v>1800</v>
      </c>
      <c r="F1618" s="27" t="n">
        <v>45843</v>
      </c>
      <c r="G1618" s="27" t="n">
        <v>45840</v>
      </c>
      <c r="H1618" s="27" t="n">
        <v>45840</v>
      </c>
      <c r="I1618" s="27" t="n">
        <v>45828</v>
      </c>
      <c r="J1618" s="27" t="n">
        <v>45777</v>
      </c>
      <c r="K1618" t="inlineStr">
        <is>
          <t>Transferência Bancária ou Pix</t>
        </is>
      </c>
      <c r="L1618" t="inlineStr">
        <is>
          <t>Marketing</t>
        </is>
      </c>
      <c r="M1618" t="inlineStr">
        <is>
          <t>Produção Gráfica e Material Institucional</t>
        </is>
      </c>
      <c r="N1618" t="inlineStr">
        <is>
          <t>18</t>
        </is>
      </c>
      <c r="O1618" t="inlineStr">
        <is>
          <t>Documentação Aprovada</t>
        </is>
      </c>
      <c r="P1618" t="inlineStr">
        <is>
          <t>Aprovado Diretoria</t>
        </is>
      </c>
      <c r="Q1618" t="inlineStr">
        <is>
          <t>Aprovado Caixa</t>
        </is>
      </c>
      <c r="R1618" t="inlineStr">
        <is>
          <t>Pago</t>
        </is>
      </c>
      <c r="S1618" t="n">
        <v>182</v>
      </c>
      <c r="T1618" t="inlineStr">
        <is>
          <t>Love - Shibari - Kamino</t>
        </is>
      </c>
    </row>
    <row r="1619">
      <c r="A1619" t="n">
        <v>140119</v>
      </c>
      <c r="B1619" t="n">
        <v>128</v>
      </c>
      <c r="C1619" t="inlineStr">
        <is>
          <t>Love Cabaret</t>
        </is>
      </c>
      <c r="D1619" t="inlineStr">
        <is>
          <t>VITRUS IMPORT LTDA</t>
        </is>
      </c>
      <c r="E1619" t="n">
        <v>1074.06</v>
      </c>
      <c r="F1619" s="27" t="n">
        <v>45842</v>
      </c>
      <c r="G1619" s="27" t="n">
        <v>45840</v>
      </c>
      <c r="H1619" s="27" t="n">
        <v>45840</v>
      </c>
      <c r="I1619" s="27" t="n">
        <v>45814</v>
      </c>
      <c r="J1619" s="27" t="n">
        <v>45825</v>
      </c>
      <c r="K1619" t="inlineStr">
        <is>
          <t>Boleto Bancário</t>
        </is>
      </c>
      <c r="L1619" t="inlineStr">
        <is>
          <t>Utilidades</t>
        </is>
      </c>
      <c r="M1619" t="inlineStr">
        <is>
          <t>Utensilios</t>
        </is>
      </c>
      <c r="N1619" t="inlineStr">
        <is>
          <t>12537</t>
        </is>
      </c>
      <c r="O1619" t="inlineStr">
        <is>
          <t>Documentação Aprovada</t>
        </is>
      </c>
      <c r="P1619" t="inlineStr">
        <is>
          <t>Aprovado Diretoria</t>
        </is>
      </c>
      <c r="Q1619" t="inlineStr">
        <is>
          <t>Aprovado Caixa</t>
        </is>
      </c>
      <c r="R1619" t="inlineStr">
        <is>
          <t>Pago</t>
        </is>
      </c>
      <c r="S1619" t="n">
        <v>182</v>
      </c>
      <c r="T1619" t="inlineStr">
        <is>
          <t>Love - Shibari - Kamino</t>
        </is>
      </c>
    </row>
    <row r="1620">
      <c r="A1620" t="n">
        <v>141540</v>
      </c>
      <c r="B1620" t="n">
        <v>128</v>
      </c>
      <c r="C1620" t="inlineStr">
        <is>
          <t>Love Cabaret</t>
        </is>
      </c>
      <c r="D1620" t="inlineStr">
        <is>
          <t>PIRAMIDES COMERCIO DE AGUAS MINEIRAIS E BEBIDAS EM GERAL LTDA</t>
        </is>
      </c>
      <c r="E1620" t="n">
        <v>187.45</v>
      </c>
      <c r="F1620" s="27" t="n">
        <v>45841</v>
      </c>
      <c r="G1620" s="27" t="n">
        <v>45840</v>
      </c>
      <c r="H1620" s="27" t="n">
        <v>45840</v>
      </c>
      <c r="I1620" s="27" t="n">
        <v>45826</v>
      </c>
      <c r="J1620" s="27" t="n">
        <v>45833</v>
      </c>
      <c r="K1620" t="inlineStr">
        <is>
          <t>Boleto Bancário</t>
        </is>
      </c>
      <c r="L1620" t="inlineStr">
        <is>
          <t>Custo Mercadoria Vendida</t>
        </is>
      </c>
      <c r="M1620" t="inlineStr">
        <is>
          <t>Insumos - Bebidas</t>
        </is>
      </c>
      <c r="N1620" t="inlineStr">
        <is>
          <t>104259</t>
        </is>
      </c>
      <c r="O1620" t="inlineStr">
        <is>
          <t>Documentação Aprovada</t>
        </is>
      </c>
      <c r="P1620" t="inlineStr">
        <is>
          <t>Aprovado Diretoria</t>
        </is>
      </c>
      <c r="Q1620" t="inlineStr">
        <is>
          <t>Aprovado Caixa</t>
        </is>
      </c>
      <c r="R1620" t="inlineStr">
        <is>
          <t>Pago</t>
        </is>
      </c>
      <c r="S1620" t="n">
        <v>182</v>
      </c>
      <c r="T1620" t="inlineStr">
        <is>
          <t>Love - Shibari - Kamino</t>
        </is>
      </c>
    </row>
    <row r="1621">
      <c r="A1621" t="n">
        <v>141650</v>
      </c>
      <c r="B1621" t="n">
        <v>128</v>
      </c>
      <c r="C1621" t="inlineStr">
        <is>
          <t>Love Cabaret</t>
        </is>
      </c>
      <c r="D1621" t="inlineStr">
        <is>
          <t>CECILIA TSUYACO ARAKI SILVA LTDA</t>
        </is>
      </c>
      <c r="E1621" t="n">
        <v>239.8</v>
      </c>
      <c r="F1621" s="27" t="n">
        <v>45843</v>
      </c>
      <c r="G1621" s="27" t="n">
        <v>45840</v>
      </c>
      <c r="H1621" s="27" t="n">
        <v>45840</v>
      </c>
      <c r="I1621" s="27" t="n">
        <v>45831</v>
      </c>
      <c r="J1621" s="27" t="n">
        <v>45833</v>
      </c>
      <c r="K1621" t="inlineStr">
        <is>
          <t>Boleto Bancário</t>
        </is>
      </c>
      <c r="L1621" t="inlineStr">
        <is>
          <t>Custo Mercadoria Vendida</t>
        </is>
      </c>
      <c r="M1621" t="inlineStr">
        <is>
          <t>Insumos - Alimentos</t>
        </is>
      </c>
      <c r="N1621" t="inlineStr">
        <is>
          <t>373304</t>
        </is>
      </c>
      <c r="O1621" t="inlineStr">
        <is>
          <t>Documentação Aprovada</t>
        </is>
      </c>
      <c r="P1621" t="inlineStr">
        <is>
          <t>Aprovado Diretoria</t>
        </is>
      </c>
      <c r="Q1621" t="inlineStr">
        <is>
          <t>Aprovado Caixa</t>
        </is>
      </c>
      <c r="R1621" t="inlineStr">
        <is>
          <t>Pago</t>
        </is>
      </c>
      <c r="S1621" t="n">
        <v>182</v>
      </c>
      <c r="T1621" t="inlineStr">
        <is>
          <t>Love - Shibari - Kamino</t>
        </is>
      </c>
    </row>
    <row r="1622">
      <c r="A1622" t="n">
        <v>141661</v>
      </c>
      <c r="B1622" t="n">
        <v>128</v>
      </c>
      <c r="C1622" t="inlineStr">
        <is>
          <t>Love Cabaret</t>
        </is>
      </c>
      <c r="D1622" t="inlineStr">
        <is>
          <t>CHOPP FAST DISTRIBUIDORA DE BEBIDAS LTDA</t>
        </is>
      </c>
      <c r="E1622" t="n">
        <v>597.6</v>
      </c>
      <c r="F1622" s="27" t="n">
        <v>45842</v>
      </c>
      <c r="G1622" s="27" t="n">
        <v>45840</v>
      </c>
      <c r="H1622" s="27" t="n">
        <v>45840</v>
      </c>
      <c r="I1622" s="27" t="n">
        <v>45828</v>
      </c>
      <c r="J1622" s="27" t="n">
        <v>45833</v>
      </c>
      <c r="K1622" t="inlineStr">
        <is>
          <t>Boleto Bancário</t>
        </is>
      </c>
      <c r="L1622" t="inlineStr">
        <is>
          <t>Custo Mercadoria Vendida</t>
        </is>
      </c>
      <c r="M1622" t="inlineStr">
        <is>
          <t>Insumos - Bebidas</t>
        </is>
      </c>
      <c r="N1622" t="inlineStr">
        <is>
          <t>20700</t>
        </is>
      </c>
      <c r="O1622" t="inlineStr">
        <is>
          <t>Documentação Aprovada</t>
        </is>
      </c>
      <c r="P1622" t="inlineStr">
        <is>
          <t>Aprovado Diretoria</t>
        </is>
      </c>
      <c r="Q1622" t="inlineStr">
        <is>
          <t>Aprovado Caixa</t>
        </is>
      </c>
      <c r="R1622" t="inlineStr">
        <is>
          <t>Pago</t>
        </is>
      </c>
      <c r="S1622" t="n">
        <v>182</v>
      </c>
      <c r="T1622" t="inlineStr">
        <is>
          <t>Love - Shibari - Kamino</t>
        </is>
      </c>
    </row>
    <row r="1623">
      <c r="A1623" t="n">
        <v>138017</v>
      </c>
      <c r="B1623" t="n">
        <v>128</v>
      </c>
      <c r="C1623" t="inlineStr">
        <is>
          <t>Love Cabaret</t>
        </is>
      </c>
      <c r="D1623" t="inlineStr">
        <is>
          <t xml:space="preserve">EMPORIO MEL </t>
        </is>
      </c>
      <c r="E1623" t="n">
        <v>943.24</v>
      </c>
      <c r="F1623" s="27" t="n">
        <v>45841</v>
      </c>
      <c r="G1623" s="27" t="n">
        <v>45840</v>
      </c>
      <c r="H1623" s="27" t="n">
        <v>45840</v>
      </c>
      <c r="I1623" s="27" t="n">
        <v>45810</v>
      </c>
      <c r="J1623" s="27" t="n">
        <v>45813</v>
      </c>
      <c r="K1623" t="inlineStr">
        <is>
          <t>Boleto Bancário</t>
        </is>
      </c>
      <c r="L1623" t="inlineStr">
        <is>
          <t>Custo Mercadoria Vendida</t>
        </is>
      </c>
      <c r="M1623" t="inlineStr">
        <is>
          <t>Insumos - Alimentos</t>
        </is>
      </c>
      <c r="N1623" t="inlineStr">
        <is>
          <t>454372</t>
        </is>
      </c>
      <c r="O1623" t="inlineStr">
        <is>
          <t>Documentação Aprovada</t>
        </is>
      </c>
      <c r="P1623" t="inlineStr">
        <is>
          <t>Aprovado Diretoria</t>
        </is>
      </c>
      <c r="Q1623" t="inlineStr">
        <is>
          <t>Aprovado Caixa</t>
        </is>
      </c>
      <c r="R1623" t="inlineStr">
        <is>
          <t>Pago</t>
        </is>
      </c>
      <c r="S1623" t="n">
        <v>182</v>
      </c>
      <c r="T1623" t="inlineStr">
        <is>
          <t>Love - Shibari - Kamino</t>
        </is>
      </c>
    </row>
    <row r="1624">
      <c r="A1624" t="n">
        <v>139430</v>
      </c>
      <c r="B1624" t="n">
        <v>128</v>
      </c>
      <c r="C1624" t="inlineStr">
        <is>
          <t>Love Cabaret</t>
        </is>
      </c>
      <c r="D1624" t="inlineStr">
        <is>
          <t>FAST KITCHEN COZINHAS PROFISSIONAIS EIRE</t>
        </is>
      </c>
      <c r="E1624" t="n">
        <v>1850</v>
      </c>
      <c r="F1624" s="27" t="n">
        <v>45842</v>
      </c>
      <c r="G1624" s="27" t="n">
        <v>45840</v>
      </c>
      <c r="H1624" s="27" t="n">
        <v>45840</v>
      </c>
      <c r="I1624" s="27" t="n">
        <v>45814</v>
      </c>
      <c r="J1624" s="27" t="n">
        <v>45821</v>
      </c>
      <c r="K1624" t="inlineStr">
        <is>
          <t>Boleto Bancário</t>
        </is>
      </c>
      <c r="L1624" t="inlineStr">
        <is>
          <t>Utilidades</t>
        </is>
      </c>
      <c r="M1624" t="inlineStr">
        <is>
          <t>Higiene e Limpeza</t>
        </is>
      </c>
      <c r="N1624" t="inlineStr">
        <is>
          <t>4602</t>
        </is>
      </c>
      <c r="O1624" t="inlineStr">
        <is>
          <t>Documentação Aprovada</t>
        </is>
      </c>
      <c r="P1624" t="inlineStr">
        <is>
          <t>Aprovado Diretoria</t>
        </is>
      </c>
      <c r="Q1624" t="inlineStr">
        <is>
          <t>Aprovado Caixa</t>
        </is>
      </c>
      <c r="R1624" t="inlineStr">
        <is>
          <t>Pago</t>
        </is>
      </c>
      <c r="S1624" t="n">
        <v>182</v>
      </c>
      <c r="T1624" t="inlineStr">
        <is>
          <t>Love - Shibari - Kamino</t>
        </is>
      </c>
    </row>
    <row r="1625">
      <c r="A1625" t="n">
        <v>97107</v>
      </c>
      <c r="B1625" t="n">
        <v>128</v>
      </c>
      <c r="C1625" t="inlineStr">
        <is>
          <t>Love Cabaret</t>
        </is>
      </c>
      <c r="D1625" t="inlineStr">
        <is>
          <t>ESTAFF SOLUCOES TECNOLOGICAS DE AGENCIAMENTO LTDA</t>
        </is>
      </c>
      <c r="E1625" t="n">
        <v>13216.8</v>
      </c>
      <c r="F1625" s="27" t="n">
        <v>45840</v>
      </c>
      <c r="G1625" s="27" t="n">
        <v>45840</v>
      </c>
      <c r="H1625" s="27" t="n">
        <v>45840</v>
      </c>
      <c r="I1625" s="27" t="n">
        <v>45831</v>
      </c>
      <c r="J1625" s="27" t="n"/>
      <c r="K1625" t="inlineStr">
        <is>
          <t>Boleto Bancário</t>
        </is>
      </c>
      <c r="L1625" t="inlineStr">
        <is>
          <t>Mão de Obra - Extra</t>
        </is>
      </c>
      <c r="M1625" t="inlineStr">
        <is>
          <t>Mão de Obra Extra</t>
        </is>
      </c>
      <c r="N1625" t="inlineStr">
        <is>
          <t>589599038</t>
        </is>
      </c>
      <c r="O1625" t="inlineStr">
        <is>
          <t>Documentação Aprovada</t>
        </is>
      </c>
      <c r="P1625" t="inlineStr">
        <is>
          <t>Aprovado Diretoria</t>
        </is>
      </c>
      <c r="Q1625" t="inlineStr">
        <is>
          <t>Aprovado Caixa</t>
        </is>
      </c>
      <c r="R1625" t="inlineStr">
        <is>
          <t>Pago</t>
        </is>
      </c>
      <c r="S1625" t="n">
        <v>182</v>
      </c>
      <c r="T1625" t="inlineStr">
        <is>
          <t>Love - Shibari - Kamino</t>
        </is>
      </c>
    </row>
    <row r="1626">
      <c r="A1626" t="n">
        <v>96860</v>
      </c>
      <c r="B1626" t="n">
        <v>128</v>
      </c>
      <c r="C1626" t="inlineStr">
        <is>
          <t>Love Cabaret</t>
        </is>
      </c>
      <c r="D1626" t="inlineStr">
        <is>
          <t>AGENCIA BIOMA PUBLICIDADE E EVENTOS LTDA - FACUNDO</t>
        </is>
      </c>
      <c r="E1626" t="n">
        <v>7000</v>
      </c>
      <c r="F1626" s="27" t="n">
        <v>45843</v>
      </c>
      <c r="G1626" s="27" t="n">
        <v>45840</v>
      </c>
      <c r="H1626" s="27" t="n">
        <v>45840</v>
      </c>
      <c r="I1626" s="27" t="n">
        <v>45828</v>
      </c>
      <c r="J1626" s="27" t="n"/>
      <c r="K1626" t="inlineStr">
        <is>
          <t>Transferência Bancária ou Pix</t>
        </is>
      </c>
      <c r="L1626" t="inlineStr">
        <is>
          <t>Marketing</t>
        </is>
      </c>
      <c r="M1626" t="inlineStr">
        <is>
          <t>Agência de Propaganda</t>
        </is>
      </c>
      <c r="N1626" t="inlineStr">
        <is>
          <t>314</t>
        </is>
      </c>
      <c r="O1626" t="inlineStr">
        <is>
          <t>Documentação Aprovada</t>
        </is>
      </c>
      <c r="P1626" t="inlineStr">
        <is>
          <t>Aprovado Diretoria</t>
        </is>
      </c>
      <c r="Q1626" t="inlineStr">
        <is>
          <t>Aprovado Caixa</t>
        </is>
      </c>
      <c r="R1626" t="inlineStr">
        <is>
          <t>Pago</t>
        </is>
      </c>
      <c r="S1626" t="n">
        <v>182</v>
      </c>
      <c r="T1626" t="inlineStr">
        <is>
          <t>Love - Shibari - Kamino</t>
        </is>
      </c>
    </row>
    <row r="1627">
      <c r="A1627" t="n">
        <v>108215</v>
      </c>
      <c r="B1627" t="n">
        <v>128</v>
      </c>
      <c r="C1627" t="inlineStr">
        <is>
          <t>Love Cabaret</t>
        </is>
      </c>
      <c r="D1627" t="inlineStr">
        <is>
          <t>DLOCAL BRASIL PAGAMENTOS LTDA  - DMK</t>
        </is>
      </c>
      <c r="E1627" t="n">
        <v>5000</v>
      </c>
      <c r="F1627" s="27" t="n">
        <v>45842</v>
      </c>
      <c r="G1627" s="27" t="n">
        <v>45840</v>
      </c>
      <c r="H1627" s="27" t="n">
        <v>45840</v>
      </c>
      <c r="I1627" s="27" t="n">
        <v>45839</v>
      </c>
      <c r="J1627" s="27" t="n"/>
      <c r="K1627" t="inlineStr">
        <is>
          <t>Boleto Bancário</t>
        </is>
      </c>
      <c r="L1627" t="inlineStr">
        <is>
          <t>Marketing</t>
        </is>
      </c>
      <c r="M1627" t="inlineStr">
        <is>
          <t>Publicidade e Propaganda</t>
        </is>
      </c>
      <c r="N1627" t="inlineStr">
        <is>
          <t xml:space="preserve">050763001277448 </t>
        </is>
      </c>
      <c r="O1627" t="inlineStr">
        <is>
          <t>Documentação Aprovada</t>
        </is>
      </c>
      <c r="P1627" t="inlineStr">
        <is>
          <t>Aprovado Diretoria</t>
        </is>
      </c>
      <c r="Q1627" t="inlineStr">
        <is>
          <t>Aprovado Caixa</t>
        </is>
      </c>
      <c r="R1627" t="inlineStr">
        <is>
          <t>Pago</t>
        </is>
      </c>
      <c r="S1627" t="n">
        <v>182</v>
      </c>
      <c r="T1627" t="inlineStr">
        <is>
          <t>Love - Shibari - Kamino</t>
        </is>
      </c>
    </row>
    <row r="1628">
      <c r="A1628" t="n">
        <v>97340</v>
      </c>
      <c r="B1628" t="n">
        <v>128</v>
      </c>
      <c r="C1628" t="inlineStr">
        <is>
          <t>Love Cabaret</t>
        </is>
      </c>
      <c r="D1628" t="inlineStr">
        <is>
          <t>ELETROPAULO METROPOLITANA ELETRICIDADE DE SAO PAULO SA</t>
        </is>
      </c>
      <c r="E1628" t="n">
        <v>90.47</v>
      </c>
      <c r="F1628" s="27" t="n">
        <v>45842</v>
      </c>
      <c r="G1628" s="27" t="n">
        <v>45840</v>
      </c>
      <c r="H1628" s="27" t="n">
        <v>45840</v>
      </c>
      <c r="I1628" s="27" t="n">
        <v>45823</v>
      </c>
      <c r="J1628" s="27" t="n"/>
      <c r="K1628" t="inlineStr">
        <is>
          <t>Boleto Bancário</t>
        </is>
      </c>
      <c r="L1628" t="inlineStr">
        <is>
          <t>Utilidades</t>
        </is>
      </c>
      <c r="M1628" t="inlineStr">
        <is>
          <t>Energia Eletrica</t>
        </is>
      </c>
      <c r="N1628" t="inlineStr">
        <is>
          <t>721056260</t>
        </is>
      </c>
      <c r="O1628" t="inlineStr">
        <is>
          <t>Documentação Aprovada</t>
        </is>
      </c>
      <c r="P1628" t="inlineStr">
        <is>
          <t>Aprovado Diretoria</t>
        </is>
      </c>
      <c r="Q1628" t="inlineStr">
        <is>
          <t>Aprovado Caixa</t>
        </is>
      </c>
      <c r="R1628" t="inlineStr">
        <is>
          <t>Pago</t>
        </is>
      </c>
      <c r="S1628" t="n">
        <v>182</v>
      </c>
      <c r="T1628" t="inlineStr">
        <is>
          <t>Love - Shibari - Kamino</t>
        </is>
      </c>
    </row>
    <row r="1629">
      <c r="A1629" t="n">
        <v>97316</v>
      </c>
      <c r="B1629" t="n">
        <v>128</v>
      </c>
      <c r="C1629" t="inlineStr">
        <is>
          <t>Love Cabaret</t>
        </is>
      </c>
      <c r="D1629" t="inlineStr">
        <is>
          <t>ESCRITORIO CENTRAL DE ARRECADACAO E DISTRIBUICAO ECAD</t>
        </is>
      </c>
      <c r="E1629" t="n">
        <v>802.5</v>
      </c>
      <c r="F1629" s="27" t="n">
        <v>45843</v>
      </c>
      <c r="G1629" s="27" t="n">
        <v>45840</v>
      </c>
      <c r="H1629" s="27" t="n">
        <v>45840</v>
      </c>
      <c r="I1629" s="27" t="n">
        <v>45827</v>
      </c>
      <c r="J1629" s="27" t="n"/>
      <c r="K1629" t="inlineStr">
        <is>
          <t>Boleto Bancário</t>
        </is>
      </c>
      <c r="L1629" t="inlineStr">
        <is>
          <t>Custos Artístico Geral</t>
        </is>
      </c>
      <c r="M1629" t="inlineStr">
        <is>
          <t>Taxas e Licenças - Artístico</t>
        </is>
      </c>
      <c r="N1629" t="inlineStr">
        <is>
          <t>9022184446</t>
        </is>
      </c>
      <c r="O1629" t="inlineStr">
        <is>
          <t>Documentação Aprovada</t>
        </is>
      </c>
      <c r="P1629" t="inlineStr">
        <is>
          <t>Aprovado Diretoria</t>
        </is>
      </c>
      <c r="Q1629" t="inlineStr">
        <is>
          <t>Aprovado Caixa</t>
        </is>
      </c>
      <c r="R1629" t="inlineStr">
        <is>
          <t>Pago</t>
        </is>
      </c>
      <c r="S1629" t="n">
        <v>182</v>
      </c>
      <c r="T1629" t="inlineStr">
        <is>
          <t>Love - Shibari - Kamino</t>
        </is>
      </c>
    </row>
    <row r="1630">
      <c r="A1630" t="n">
        <v>97394</v>
      </c>
      <c r="B1630" t="n">
        <v>128</v>
      </c>
      <c r="C1630" t="inlineStr">
        <is>
          <t>Love Cabaret</t>
        </is>
      </c>
      <c r="D1630" t="inlineStr">
        <is>
          <t>EASY ICE SOLUTION LTDA-ME LOCAÇÃO</t>
        </is>
      </c>
      <c r="E1630" t="n">
        <v>1600</v>
      </c>
      <c r="F1630" s="27" t="n">
        <v>45843</v>
      </c>
      <c r="G1630" s="27" t="n">
        <v>45840</v>
      </c>
      <c r="H1630" s="27" t="n">
        <v>45840</v>
      </c>
      <c r="I1630" s="27" t="n">
        <v>45833</v>
      </c>
      <c r="J1630" s="27" t="n"/>
      <c r="K1630" t="inlineStr">
        <is>
          <t>Boleto Bancário</t>
        </is>
      </c>
      <c r="L1630" t="inlineStr">
        <is>
          <t>Locação de Equipamentos</t>
        </is>
      </c>
      <c r="M1630" t="inlineStr">
        <is>
          <t>Locações de Equipamentos - Operacionais</t>
        </is>
      </c>
      <c r="N1630" t="inlineStr">
        <is>
          <t>8586</t>
        </is>
      </c>
      <c r="O1630" t="inlineStr">
        <is>
          <t>Documentação Aprovada</t>
        </is>
      </c>
      <c r="P1630" t="inlineStr">
        <is>
          <t>Aprovado Diretoria</t>
        </is>
      </c>
      <c r="Q1630" t="inlineStr">
        <is>
          <t>Aprovado Caixa</t>
        </is>
      </c>
      <c r="R1630" t="inlineStr">
        <is>
          <t>Pago</t>
        </is>
      </c>
      <c r="S1630" t="n">
        <v>182</v>
      </c>
      <c r="T1630" t="inlineStr">
        <is>
          <t>Love - Shibari - Kamino</t>
        </is>
      </c>
    </row>
    <row r="1631">
      <c r="A1631" t="n">
        <v>97328</v>
      </c>
      <c r="B1631" t="n">
        <v>128</v>
      </c>
      <c r="C1631" t="inlineStr">
        <is>
          <t>Love Cabaret</t>
        </is>
      </c>
      <c r="D1631" t="inlineStr">
        <is>
          <t>ELETROPAULO METROPOLITANA ELETRICIDADE DE SAO PAULO SA</t>
        </is>
      </c>
      <c r="E1631" t="n">
        <v>2927.27</v>
      </c>
      <c r="F1631" s="27" t="n">
        <v>45842</v>
      </c>
      <c r="G1631" s="27" t="n">
        <v>45840</v>
      </c>
      <c r="H1631" s="27" t="n">
        <v>45840</v>
      </c>
      <c r="I1631" s="27" t="n">
        <v>45823</v>
      </c>
      <c r="J1631" s="27" t="n"/>
      <c r="K1631" t="inlineStr">
        <is>
          <t>Boleto Bancário</t>
        </is>
      </c>
      <c r="L1631" t="inlineStr">
        <is>
          <t>Utilidades</t>
        </is>
      </c>
      <c r="M1631" t="inlineStr">
        <is>
          <t>Energia Eletrica</t>
        </is>
      </c>
      <c r="N1631" t="inlineStr">
        <is>
          <t>720779442</t>
        </is>
      </c>
      <c r="O1631" t="inlineStr">
        <is>
          <t>Documentação Aprovada</t>
        </is>
      </c>
      <c r="P1631" t="inlineStr">
        <is>
          <t>Aprovado Diretoria</t>
        </is>
      </c>
      <c r="Q1631" t="inlineStr">
        <is>
          <t>Aprovado Caixa</t>
        </is>
      </c>
      <c r="R1631" t="inlineStr">
        <is>
          <t>Pago</t>
        </is>
      </c>
      <c r="S1631" t="n">
        <v>182</v>
      </c>
      <c r="T1631" t="inlineStr">
        <is>
          <t>Love - Shibari - Kamino</t>
        </is>
      </c>
    </row>
    <row r="1632">
      <c r="A1632" t="n">
        <v>97379</v>
      </c>
      <c r="B1632" t="n">
        <v>128</v>
      </c>
      <c r="C1632" t="inlineStr">
        <is>
          <t>Love Cabaret</t>
        </is>
      </c>
      <c r="D1632" t="inlineStr">
        <is>
          <t>EBM ADVOGADOS - MATECKI SOCIEDADE INDIVIDUAL DE ADVOCACIA</t>
        </is>
      </c>
      <c r="E1632" t="n">
        <v>3200</v>
      </c>
      <c r="F1632" s="27" t="n">
        <v>45838</v>
      </c>
      <c r="G1632" s="27" t="n">
        <v>45838</v>
      </c>
      <c r="H1632" s="27" t="n">
        <v>45838</v>
      </c>
      <c r="I1632" s="27" t="n">
        <v>45823</v>
      </c>
      <c r="J1632" s="27" t="n"/>
      <c r="K1632" t="inlineStr">
        <is>
          <t>Transferência Bancária ou Pix</t>
        </is>
      </c>
      <c r="L1632" t="inlineStr">
        <is>
          <t>Serviços de Terceiros</t>
        </is>
      </c>
      <c r="M1632" t="inlineStr">
        <is>
          <t>Assessoria Jurídica</t>
        </is>
      </c>
      <c r="N1632" t="inlineStr">
        <is>
          <t>532025</t>
        </is>
      </c>
      <c r="O1632" t="inlineStr">
        <is>
          <t>Documentação Aprovada</t>
        </is>
      </c>
      <c r="P1632" t="inlineStr">
        <is>
          <t>Aprovado Diretoria</t>
        </is>
      </c>
      <c r="Q1632" t="inlineStr">
        <is>
          <t>Aprovado Caixa</t>
        </is>
      </c>
      <c r="R1632" t="inlineStr">
        <is>
          <t>Pago</t>
        </is>
      </c>
      <c r="S1632" t="n">
        <v>182</v>
      </c>
      <c r="T1632" t="inlineStr">
        <is>
          <t>Love - Shibari - Kamino</t>
        </is>
      </c>
    </row>
    <row r="1633">
      <c r="A1633" t="n">
        <v>102776</v>
      </c>
      <c r="B1633" t="n">
        <v>128</v>
      </c>
      <c r="C1633" t="inlineStr">
        <is>
          <t>Love Cabaret</t>
        </is>
      </c>
      <c r="D1633" t="inlineStr">
        <is>
          <t>FABRICA DE BARES PARTICIPACOES LTDA</t>
        </is>
      </c>
      <c r="E1633" t="n">
        <v>9026.9</v>
      </c>
      <c r="F1633" s="27" t="n">
        <v>45838</v>
      </c>
      <c r="G1633" s="27" t="n">
        <v>45838</v>
      </c>
      <c r="H1633" s="27" t="n">
        <v>45838</v>
      </c>
      <c r="I1633" s="27" t="n">
        <v>45807</v>
      </c>
      <c r="J1633" s="27" t="n"/>
      <c r="K1633" t="inlineStr">
        <is>
          <t>Transferência Bancária ou Pix</t>
        </is>
      </c>
      <c r="L1633" t="inlineStr">
        <is>
          <t>Mão de Obra - Benefícios</t>
        </is>
      </c>
      <c r="M1633" t="inlineStr">
        <is>
          <t xml:space="preserve">  -  Alimentação Funcionário</t>
        </is>
      </c>
      <c r="N1633" t="inlineStr">
        <is>
          <t>322025</t>
        </is>
      </c>
      <c r="O1633" t="inlineStr">
        <is>
          <t>Documentação Aprovada</t>
        </is>
      </c>
      <c r="P1633" t="inlineStr">
        <is>
          <t>Aprovado Diretoria</t>
        </is>
      </c>
      <c r="Q1633" t="inlineStr">
        <is>
          <t>Aprovado Caixa</t>
        </is>
      </c>
      <c r="R1633" t="inlineStr">
        <is>
          <t>Pago</t>
        </is>
      </c>
      <c r="S1633" t="n">
        <v>182</v>
      </c>
      <c r="T1633" t="inlineStr">
        <is>
          <t>Love - Shibari - Kamino</t>
        </is>
      </c>
    </row>
    <row r="1634">
      <c r="A1634" t="n">
        <v>102808</v>
      </c>
      <c r="B1634" t="n">
        <v>128</v>
      </c>
      <c r="C1634" t="inlineStr">
        <is>
          <t>Love Cabaret</t>
        </is>
      </c>
      <c r="D1634" t="inlineStr">
        <is>
          <t>FREE SOM - LOCACAO DE SOM E  LUZ LTDA - TUKASON</t>
        </is>
      </c>
      <c r="E1634" t="n">
        <v>6000</v>
      </c>
      <c r="F1634" s="27" t="n">
        <v>45838</v>
      </c>
      <c r="G1634" s="27" t="n">
        <v>45838</v>
      </c>
      <c r="H1634" s="27" t="n">
        <v>45838</v>
      </c>
      <c r="I1634" s="27" t="n">
        <v>45821</v>
      </c>
      <c r="J1634" s="27" t="n"/>
      <c r="K1634" t="inlineStr">
        <is>
          <t>Boleto Bancário</t>
        </is>
      </c>
      <c r="L1634" t="inlineStr">
        <is>
          <t>Custos Artístico Geral</t>
        </is>
      </c>
      <c r="M1634" t="inlineStr">
        <is>
          <t>Locação de Equipamentos Fixo</t>
        </is>
      </c>
      <c r="N1634" t="inlineStr">
        <is>
          <t>507</t>
        </is>
      </c>
      <c r="O1634" t="inlineStr">
        <is>
          <t>Documentação Aprovada</t>
        </is>
      </c>
      <c r="P1634" t="inlineStr">
        <is>
          <t>Aprovado Diretoria</t>
        </is>
      </c>
      <c r="Q1634" t="inlineStr">
        <is>
          <t>Aprovado Caixa</t>
        </is>
      </c>
      <c r="R1634" t="inlineStr">
        <is>
          <t>Pago</t>
        </is>
      </c>
      <c r="S1634" t="n">
        <v>182</v>
      </c>
      <c r="T1634" t="inlineStr">
        <is>
          <t>Love - Shibari - Kamino</t>
        </is>
      </c>
    </row>
    <row r="1635">
      <c r="A1635" t="n">
        <v>96053</v>
      </c>
      <c r="B1635" t="n">
        <v>128</v>
      </c>
      <c r="C1635" t="inlineStr">
        <is>
          <t>Love Cabaret</t>
        </is>
      </c>
      <c r="D1635" t="inlineStr">
        <is>
          <t>ISS</t>
        </is>
      </c>
      <c r="E1635" t="n">
        <v>1918.51</v>
      </c>
      <c r="F1635" s="27" t="n">
        <v>45838</v>
      </c>
      <c r="G1635" s="27" t="n">
        <v>45838</v>
      </c>
      <c r="H1635" s="27" t="n">
        <v>45838</v>
      </c>
      <c r="I1635" s="27" t="n">
        <v>45808</v>
      </c>
      <c r="J1635" s="27" t="n"/>
      <c r="K1635" t="inlineStr">
        <is>
          <t>Boleto Bancário</t>
        </is>
      </c>
      <c r="L1635" t="inlineStr">
        <is>
          <t>Endividamento</t>
        </is>
      </c>
      <c r="M1635" t="inlineStr">
        <is>
          <t>Endividamento Geral</t>
        </is>
      </c>
      <c r="N1635" t="inlineStr">
        <is>
          <t>6/60</t>
        </is>
      </c>
      <c r="O1635" t="inlineStr">
        <is>
          <t>Documentação Aprovada</t>
        </is>
      </c>
      <c r="P1635" t="inlineStr">
        <is>
          <t>Aprovado Diretoria</t>
        </is>
      </c>
      <c r="Q1635" t="inlineStr">
        <is>
          <t>Aprovado Caixa</t>
        </is>
      </c>
      <c r="R1635" t="inlineStr">
        <is>
          <t>Pago</t>
        </is>
      </c>
      <c r="S1635" t="n">
        <v>182</v>
      </c>
      <c r="T1635" t="inlineStr">
        <is>
          <t>Love - Shibari - Kamino</t>
        </is>
      </c>
    </row>
    <row r="1636">
      <c r="A1636" t="n">
        <v>116085</v>
      </c>
      <c r="B1636" t="n">
        <v>128</v>
      </c>
      <c r="C1636" t="inlineStr">
        <is>
          <t>Love Cabaret</t>
        </is>
      </c>
      <c r="D1636" t="inlineStr">
        <is>
          <t xml:space="preserve">MINISTERIO DA FAZENDA </t>
        </is>
      </c>
      <c r="E1636" t="n">
        <v>20553.93</v>
      </c>
      <c r="F1636" s="27" t="n">
        <v>45838</v>
      </c>
      <c r="G1636" s="27" t="n">
        <v>45838</v>
      </c>
      <c r="H1636" s="27" t="n">
        <v>45838</v>
      </c>
      <c r="I1636" s="27" t="n">
        <v>45722</v>
      </c>
      <c r="J1636" s="27" t="n"/>
      <c r="K1636" t="inlineStr">
        <is>
          <t>Boleto Bancário</t>
        </is>
      </c>
      <c r="L1636" t="inlineStr">
        <is>
          <t>Endividamento</t>
        </is>
      </c>
      <c r="M1636" t="inlineStr">
        <is>
          <t>Endividamento Geral</t>
        </is>
      </c>
      <c r="N1636" t="inlineStr">
        <is>
          <t>4/60</t>
        </is>
      </c>
      <c r="O1636" t="inlineStr">
        <is>
          <t>Documentação Aprovada</t>
        </is>
      </c>
      <c r="P1636" t="inlineStr">
        <is>
          <t>Aprovado Diretoria</t>
        </is>
      </c>
      <c r="Q1636" t="inlineStr">
        <is>
          <t>Aprovado Caixa</t>
        </is>
      </c>
      <c r="R1636" t="inlineStr">
        <is>
          <t>Pago</t>
        </is>
      </c>
      <c r="S1636" t="n">
        <v>182</v>
      </c>
      <c r="T1636" t="inlineStr">
        <is>
          <t>Love - Shibari - Kamino</t>
        </is>
      </c>
    </row>
    <row r="1637">
      <c r="A1637" t="n">
        <v>106688</v>
      </c>
      <c r="B1637" t="n">
        <v>128</v>
      </c>
      <c r="C1637" t="inlineStr">
        <is>
          <t>Love Cabaret</t>
        </is>
      </c>
      <c r="D1637" t="inlineStr">
        <is>
          <t>AURORA ALVORADA ESTACIONAMENTO E LANCHONETE LTDA</t>
        </is>
      </c>
      <c r="E1637" t="n">
        <v>216.65</v>
      </c>
      <c r="F1637" s="27" t="n">
        <v>45838</v>
      </c>
      <c r="G1637" s="27" t="n">
        <v>45838</v>
      </c>
      <c r="H1637" s="27" t="n">
        <v>45838</v>
      </c>
      <c r="I1637" s="27" t="n">
        <v>45831</v>
      </c>
      <c r="J1637" s="27" t="n"/>
      <c r="K1637" t="inlineStr">
        <is>
          <t>Boleto Bancário</t>
        </is>
      </c>
      <c r="L1637" t="inlineStr">
        <is>
          <t>Custo Mercadoria Vendida</t>
        </is>
      </c>
      <c r="M1637" t="inlineStr">
        <is>
          <t>Insumos - Alimentos</t>
        </is>
      </c>
      <c r="N1637" t="inlineStr">
        <is>
          <t>10699</t>
        </is>
      </c>
      <c r="O1637" t="inlineStr">
        <is>
          <t>Documentação Aprovada</t>
        </is>
      </c>
      <c r="P1637" t="inlineStr">
        <is>
          <t>Aprovado Diretoria</t>
        </is>
      </c>
      <c r="Q1637" t="inlineStr">
        <is>
          <t>Aprovado Caixa</t>
        </is>
      </c>
      <c r="R1637" t="inlineStr">
        <is>
          <t>Pago</t>
        </is>
      </c>
      <c r="S1637" t="n">
        <v>182</v>
      </c>
      <c r="T1637" t="inlineStr">
        <is>
          <t>Love - Shibari - Kamino</t>
        </is>
      </c>
    </row>
    <row r="1638">
      <c r="A1638" t="n">
        <v>84045</v>
      </c>
      <c r="B1638" t="n">
        <v>128</v>
      </c>
      <c r="C1638" t="inlineStr">
        <is>
          <t>Love Cabaret</t>
        </is>
      </c>
      <c r="D1638" t="inlineStr">
        <is>
          <t>CSLL</t>
        </is>
      </c>
      <c r="E1638" t="n">
        <v>988.49</v>
      </c>
      <c r="F1638" s="27" t="n">
        <v>45838</v>
      </c>
      <c r="G1638" s="27" t="n">
        <v>45838</v>
      </c>
      <c r="H1638" s="27" t="n">
        <v>45838</v>
      </c>
      <c r="I1638" s="27" t="n">
        <v>45599</v>
      </c>
      <c r="J1638" s="27" t="n"/>
      <c r="K1638" t="inlineStr">
        <is>
          <t>Boleto Bancário</t>
        </is>
      </c>
      <c r="L1638" t="inlineStr">
        <is>
          <t>Impostos sobre Venda</t>
        </is>
      </c>
      <c r="M1638" t="inlineStr">
        <is>
          <t>ICMS</t>
        </is>
      </c>
      <c r="N1638" t="inlineStr">
        <is>
          <t>9/120</t>
        </is>
      </c>
      <c r="O1638" t="inlineStr">
        <is>
          <t>Documentação Aprovada</t>
        </is>
      </c>
      <c r="P1638" t="inlineStr">
        <is>
          <t>Aprovado Diretoria</t>
        </is>
      </c>
      <c r="Q1638" t="inlineStr">
        <is>
          <t>Aprovado Caixa</t>
        </is>
      </c>
      <c r="R1638" t="inlineStr">
        <is>
          <t>Pago</t>
        </is>
      </c>
      <c r="S1638" t="n">
        <v>182</v>
      </c>
      <c r="T1638" t="inlineStr">
        <is>
          <t>Love - Shibari - Kamino</t>
        </is>
      </c>
    </row>
    <row r="1639">
      <c r="A1639" t="n">
        <v>51169</v>
      </c>
      <c r="B1639" t="n">
        <v>128</v>
      </c>
      <c r="C1639" t="inlineStr">
        <is>
          <t>Love Cabaret</t>
        </is>
      </c>
      <c r="D1639" t="inlineStr">
        <is>
          <t>ICMS</t>
        </is>
      </c>
      <c r="E1639" t="n">
        <v>602.15</v>
      </c>
      <c r="F1639" s="27" t="n">
        <v>45835</v>
      </c>
      <c r="G1639" s="27" t="n">
        <v>45838</v>
      </c>
      <c r="H1639" s="27" t="n">
        <v>45838</v>
      </c>
      <c r="I1639" s="27" t="n">
        <v>45406</v>
      </c>
      <c r="J1639" s="27" t="n"/>
      <c r="K1639" t="inlineStr">
        <is>
          <t>Boleto Bancário</t>
        </is>
      </c>
      <c r="L1639" t="inlineStr">
        <is>
          <t>Impostos sobre Venda</t>
        </is>
      </c>
      <c r="M1639" t="inlineStr">
        <is>
          <t>ICMS</t>
        </is>
      </c>
      <c r="N1639" t="inlineStr">
        <is>
          <t>14/36</t>
        </is>
      </c>
      <c r="O1639" t="inlineStr">
        <is>
          <t>Documentação Aprovada</t>
        </is>
      </c>
      <c r="P1639" t="inlineStr">
        <is>
          <t>Aprovado Diretoria</t>
        </is>
      </c>
      <c r="Q1639" t="inlineStr">
        <is>
          <t>Aprovado Caixa</t>
        </is>
      </c>
      <c r="R1639" t="inlineStr">
        <is>
          <t>Pago</t>
        </is>
      </c>
      <c r="S1639" t="n">
        <v>182</v>
      </c>
      <c r="T1639" t="inlineStr">
        <is>
          <t>Love - Shibari - Kamino</t>
        </is>
      </c>
    </row>
    <row r="1640">
      <c r="A1640" t="n">
        <v>48516</v>
      </c>
      <c r="B1640" t="n">
        <v>128</v>
      </c>
      <c r="C1640" t="inlineStr">
        <is>
          <t>Love Cabaret</t>
        </is>
      </c>
      <c r="D1640" t="inlineStr">
        <is>
          <t>ICMS</t>
        </is>
      </c>
      <c r="E1640" t="n">
        <v>788.72</v>
      </c>
      <c r="F1640" s="27" t="n">
        <v>45836</v>
      </c>
      <c r="G1640" s="27" t="n">
        <v>45838</v>
      </c>
      <c r="H1640" s="27" t="n">
        <v>45838</v>
      </c>
      <c r="I1640" s="27" t="n">
        <v>45366</v>
      </c>
      <c r="J1640" s="27" t="n"/>
      <c r="K1640" t="inlineStr">
        <is>
          <t>Boleto Bancário</t>
        </is>
      </c>
      <c r="L1640" t="inlineStr">
        <is>
          <t>Impostos sobre Venda</t>
        </is>
      </c>
      <c r="M1640" t="inlineStr">
        <is>
          <t>ICMS</t>
        </is>
      </c>
      <c r="N1640" t="inlineStr">
        <is>
          <t>15/60</t>
        </is>
      </c>
      <c r="O1640" t="inlineStr">
        <is>
          <t>Documentação Aprovada</t>
        </is>
      </c>
      <c r="P1640" t="inlineStr">
        <is>
          <t>Aprovado Diretoria</t>
        </is>
      </c>
      <c r="Q1640" t="inlineStr">
        <is>
          <t>Aprovado Caixa</t>
        </is>
      </c>
      <c r="R1640" t="inlineStr">
        <is>
          <t>Pago</t>
        </is>
      </c>
      <c r="S1640" t="n">
        <v>182</v>
      </c>
      <c r="T1640" t="inlineStr">
        <is>
          <t>Love - Shibari - Kamino</t>
        </is>
      </c>
    </row>
    <row r="1641">
      <c r="A1641" t="n">
        <v>48405</v>
      </c>
      <c r="B1641" t="n">
        <v>128</v>
      </c>
      <c r="C1641" t="inlineStr">
        <is>
          <t>Love Cabaret</t>
        </is>
      </c>
      <c r="D1641" t="inlineStr">
        <is>
          <t xml:space="preserve">MINISTERIO DA FAZENDA </t>
        </is>
      </c>
      <c r="E1641" t="n">
        <v>20271.85</v>
      </c>
      <c r="F1641" s="27" t="n">
        <v>45836</v>
      </c>
      <c r="G1641" s="27" t="n">
        <v>45840</v>
      </c>
      <c r="H1641" s="27" t="n">
        <v>45838</v>
      </c>
      <c r="I1641" s="27" t="n">
        <v>45366</v>
      </c>
      <c r="J1641" s="27" t="n"/>
      <c r="K1641" t="inlineStr">
        <is>
          <t>Boleto Bancário</t>
        </is>
      </c>
      <c r="L1641" t="inlineStr">
        <is>
          <t>Endividamento</t>
        </is>
      </c>
      <c r="M1641" t="inlineStr">
        <is>
          <t>Endividamento Geral</t>
        </is>
      </c>
      <c r="N1641" t="inlineStr">
        <is>
          <t>16/60</t>
        </is>
      </c>
      <c r="O1641" t="inlineStr">
        <is>
          <t>Documentação Aprovada</t>
        </is>
      </c>
      <c r="P1641" t="inlineStr">
        <is>
          <t>Aprovado Diretoria</t>
        </is>
      </c>
      <c r="Q1641" t="inlineStr">
        <is>
          <t>Aprovado Caixa</t>
        </is>
      </c>
      <c r="R1641" t="inlineStr">
        <is>
          <t>Pago</t>
        </is>
      </c>
      <c r="S1641" t="n">
        <v>115</v>
      </c>
      <c r="T1641" t="inlineStr">
        <is>
          <t>Love - Shibari - Bradesco</t>
        </is>
      </c>
    </row>
    <row r="1642">
      <c r="A1642" t="n">
        <v>48499</v>
      </c>
      <c r="B1642" t="n">
        <v>128</v>
      </c>
      <c r="C1642" t="inlineStr">
        <is>
          <t>Love Cabaret</t>
        </is>
      </c>
      <c r="D1642" t="inlineStr">
        <is>
          <t xml:space="preserve">MINISTERIO DA FAZENDA </t>
        </is>
      </c>
      <c r="E1642" t="n">
        <v>580.34</v>
      </c>
      <c r="F1642" s="27" t="n">
        <v>45836</v>
      </c>
      <c r="G1642" s="27" t="n">
        <v>45838</v>
      </c>
      <c r="H1642" s="27" t="n">
        <v>45838</v>
      </c>
      <c r="I1642" s="27" t="n">
        <v>45366</v>
      </c>
      <c r="J1642" s="27" t="n"/>
      <c r="K1642" t="inlineStr">
        <is>
          <t>Boleto Bancário</t>
        </is>
      </c>
      <c r="L1642" t="inlineStr">
        <is>
          <t>Endividamento</t>
        </is>
      </c>
      <c r="M1642" t="inlineStr">
        <is>
          <t>Endividamento Geral</t>
        </is>
      </c>
      <c r="N1642" t="inlineStr">
        <is>
          <t>16/45</t>
        </is>
      </c>
      <c r="O1642" t="inlineStr">
        <is>
          <t>Documentação Aprovada</t>
        </is>
      </c>
      <c r="P1642" t="inlineStr">
        <is>
          <t>Aprovado Diretoria</t>
        </is>
      </c>
      <c r="Q1642" t="inlineStr">
        <is>
          <t>Aprovado Caixa</t>
        </is>
      </c>
      <c r="R1642" t="inlineStr">
        <is>
          <t>Pago</t>
        </is>
      </c>
      <c r="S1642" t="n">
        <v>182</v>
      </c>
      <c r="T1642" t="inlineStr">
        <is>
          <t>Love - Shibari - Kamino</t>
        </is>
      </c>
    </row>
    <row r="1643">
      <c r="A1643" t="n">
        <v>139432</v>
      </c>
      <c r="B1643" t="n">
        <v>128</v>
      </c>
      <c r="C1643" t="inlineStr">
        <is>
          <t>Love Cabaret</t>
        </is>
      </c>
      <c r="D1643" t="inlineStr">
        <is>
          <t>WIDE STOCK COMERCIO E DISTRIBUICAO LTDA</t>
        </is>
      </c>
      <c r="E1643" t="n">
        <v>368.8</v>
      </c>
      <c r="F1643" s="27" t="n">
        <v>45838</v>
      </c>
      <c r="G1643" s="27" t="n">
        <v>45838</v>
      </c>
      <c r="H1643" s="27" t="n">
        <v>45838</v>
      </c>
      <c r="I1643" s="27" t="n">
        <v>45817</v>
      </c>
      <c r="J1643" s="27" t="n">
        <v>45821</v>
      </c>
      <c r="K1643" t="inlineStr">
        <is>
          <t>Boleto Bancário</t>
        </is>
      </c>
      <c r="L1643" t="inlineStr">
        <is>
          <t>Utilidades</t>
        </is>
      </c>
      <c r="M1643" t="inlineStr">
        <is>
          <t>Higiene e Limpeza</t>
        </is>
      </c>
      <c r="N1643" t="inlineStr">
        <is>
          <t>405433</t>
        </is>
      </c>
      <c r="O1643" t="inlineStr">
        <is>
          <t>Documentação Aprovada</t>
        </is>
      </c>
      <c r="P1643" t="inlineStr">
        <is>
          <t>Aprovado Diretoria</t>
        </is>
      </c>
      <c r="Q1643" t="inlineStr">
        <is>
          <t>Aprovado Caixa</t>
        </is>
      </c>
      <c r="R1643" t="inlineStr">
        <is>
          <t>Pago</t>
        </is>
      </c>
      <c r="S1643" t="n">
        <v>182</v>
      </c>
      <c r="T1643" t="inlineStr">
        <is>
          <t>Love - Shibari - Kamino</t>
        </is>
      </c>
    </row>
    <row r="1644">
      <c r="A1644" t="n">
        <v>139446</v>
      </c>
      <c r="B1644" t="n">
        <v>128</v>
      </c>
      <c r="C1644" t="inlineStr">
        <is>
          <t>Love Cabaret</t>
        </is>
      </c>
      <c r="D1644" t="inlineStr">
        <is>
          <t>FG7 COMERCIO E DISTRIBUICAO DE BEBIDAS LTDA</t>
        </is>
      </c>
      <c r="E1644" t="n">
        <v>457.4</v>
      </c>
      <c r="F1644" s="27" t="n">
        <v>45839</v>
      </c>
      <c r="G1644" s="27" t="n">
        <v>45838</v>
      </c>
      <c r="H1644" s="27" t="n">
        <v>45838</v>
      </c>
      <c r="I1644" s="27" t="n">
        <v>45817</v>
      </c>
      <c r="J1644" s="27" t="n">
        <v>45821</v>
      </c>
      <c r="K1644" t="inlineStr">
        <is>
          <t>Boleto Bancário</t>
        </is>
      </c>
      <c r="L1644" t="inlineStr">
        <is>
          <t>Custo Mercadoria Vendida</t>
        </is>
      </c>
      <c r="M1644" t="inlineStr">
        <is>
          <t>Insumos - Bebidas</t>
        </is>
      </c>
      <c r="N1644" t="inlineStr">
        <is>
          <t>623978</t>
        </is>
      </c>
      <c r="O1644" t="inlineStr">
        <is>
          <t>Documentação Aprovada</t>
        </is>
      </c>
      <c r="P1644" t="inlineStr">
        <is>
          <t>Aprovado Diretoria</t>
        </is>
      </c>
      <c r="Q1644" t="inlineStr">
        <is>
          <t>Aprovado Caixa</t>
        </is>
      </c>
      <c r="R1644" t="inlineStr">
        <is>
          <t>Pago</t>
        </is>
      </c>
      <c r="S1644" t="n">
        <v>182</v>
      </c>
      <c r="T1644" t="inlineStr">
        <is>
          <t>Love - Shibari - Kamino</t>
        </is>
      </c>
    </row>
    <row r="1645">
      <c r="A1645" t="n">
        <v>139410</v>
      </c>
      <c r="B1645" t="n">
        <v>128</v>
      </c>
      <c r="C1645" t="inlineStr">
        <is>
          <t>Love Cabaret</t>
        </is>
      </c>
      <c r="D1645" t="inlineStr">
        <is>
          <t>CG FOOD´S DISTRIBUIDORA DE ALIMENTOS LTDA</t>
        </is>
      </c>
      <c r="E1645" t="n">
        <v>471</v>
      </c>
      <c r="F1645" s="27" t="n">
        <v>45838</v>
      </c>
      <c r="G1645" s="27" t="n">
        <v>45838</v>
      </c>
      <c r="H1645" s="27" t="n">
        <v>45838</v>
      </c>
      <c r="I1645" s="27" t="n">
        <v>45817</v>
      </c>
      <c r="J1645" s="27" t="n">
        <v>45821</v>
      </c>
      <c r="K1645" t="inlineStr">
        <is>
          <t>Boleto Bancário</t>
        </is>
      </c>
      <c r="L1645" t="inlineStr">
        <is>
          <t>Custo Mercadoria Vendida</t>
        </is>
      </c>
      <c r="M1645" t="inlineStr">
        <is>
          <t>Insumos - Alimentos</t>
        </is>
      </c>
      <c r="N1645" t="inlineStr">
        <is>
          <t>154139</t>
        </is>
      </c>
      <c r="O1645" t="inlineStr">
        <is>
          <t>Documentação Aprovada</t>
        </is>
      </c>
      <c r="P1645" t="inlineStr">
        <is>
          <t>Aprovado Diretoria</t>
        </is>
      </c>
      <c r="Q1645" t="inlineStr">
        <is>
          <t>Aprovado Caixa</t>
        </is>
      </c>
      <c r="R1645" t="inlineStr">
        <is>
          <t>Pago</t>
        </is>
      </c>
      <c r="S1645" t="n">
        <v>182</v>
      </c>
      <c r="T1645" t="inlineStr">
        <is>
          <t>Love - Shibari - Kamino</t>
        </is>
      </c>
    </row>
    <row r="1646">
      <c r="A1646" t="n">
        <v>139417</v>
      </c>
      <c r="B1646" t="n">
        <v>128</v>
      </c>
      <c r="C1646" t="inlineStr">
        <is>
          <t>Love Cabaret</t>
        </is>
      </c>
      <c r="D1646" t="inlineStr">
        <is>
          <t>DTK COMERCIO DE ALIMENTOS LTDA</t>
        </is>
      </c>
      <c r="E1646" t="n">
        <v>1230.59</v>
      </c>
      <c r="F1646" s="27" t="n">
        <v>45839</v>
      </c>
      <c r="G1646" s="27" t="n">
        <v>45838</v>
      </c>
      <c r="H1646" s="27" t="n">
        <v>45838</v>
      </c>
      <c r="I1646" s="27" t="n">
        <v>45818</v>
      </c>
      <c r="J1646" s="27" t="n">
        <v>45821</v>
      </c>
      <c r="K1646" t="inlineStr">
        <is>
          <t>Boleto Bancário</t>
        </is>
      </c>
      <c r="L1646" t="inlineStr">
        <is>
          <t>Custo Mercadoria Vendida</t>
        </is>
      </c>
      <c r="M1646" t="inlineStr">
        <is>
          <t>Insumos - Alimentos</t>
        </is>
      </c>
      <c r="N1646" t="inlineStr">
        <is>
          <t>33280</t>
        </is>
      </c>
      <c r="O1646" t="inlineStr">
        <is>
          <t>Documentação Aprovada</t>
        </is>
      </c>
      <c r="P1646" t="inlineStr">
        <is>
          <t>Aprovado Diretoria</t>
        </is>
      </c>
      <c r="Q1646" t="inlineStr">
        <is>
          <t>Aprovado Caixa</t>
        </is>
      </c>
      <c r="R1646" t="inlineStr">
        <is>
          <t>Pago</t>
        </is>
      </c>
      <c r="S1646" t="n">
        <v>182</v>
      </c>
      <c r="T1646" t="inlineStr">
        <is>
          <t>Love - Shibari - Kamino</t>
        </is>
      </c>
    </row>
    <row r="1647">
      <c r="A1647" t="n">
        <v>139920</v>
      </c>
      <c r="B1647" t="n">
        <v>128</v>
      </c>
      <c r="C1647" t="inlineStr">
        <is>
          <t>Love Cabaret</t>
        </is>
      </c>
      <c r="D1647" t="inlineStr">
        <is>
          <t>VALE TRANSPORTE</t>
        </is>
      </c>
      <c r="E1647" t="n">
        <v>504.98</v>
      </c>
      <c r="F1647" s="27" t="n">
        <v>45838</v>
      </c>
      <c r="G1647" s="27" t="n">
        <v>45838</v>
      </c>
      <c r="H1647" s="27" t="n">
        <v>45838</v>
      </c>
      <c r="I1647" s="27" t="n">
        <v>45809</v>
      </c>
      <c r="J1647" s="27" t="n">
        <v>45824</v>
      </c>
      <c r="K1647" t="inlineStr">
        <is>
          <t>Boleto Bancário</t>
        </is>
      </c>
      <c r="L1647" t="inlineStr">
        <is>
          <t>Mão de Obra - Benefícios</t>
        </is>
      </c>
      <c r="M1647" t="inlineStr">
        <is>
          <t xml:space="preserve">  -  Vale-transporte</t>
        </is>
      </c>
      <c r="N1647" t="inlineStr">
        <is>
          <t>231014357</t>
        </is>
      </c>
      <c r="O1647" t="inlineStr">
        <is>
          <t>Documentação Aprovada</t>
        </is>
      </c>
      <c r="P1647" t="inlineStr">
        <is>
          <t>Aprovado Diretoria</t>
        </is>
      </c>
      <c r="Q1647" t="inlineStr">
        <is>
          <t>Aprovado Caixa</t>
        </is>
      </c>
      <c r="R1647" t="inlineStr">
        <is>
          <t>Pago</t>
        </is>
      </c>
      <c r="S1647" t="n">
        <v>182</v>
      </c>
      <c r="T1647" t="inlineStr">
        <is>
          <t>Love - Shibari - Kamino</t>
        </is>
      </c>
    </row>
    <row r="1648">
      <c r="A1648" t="n">
        <v>141531</v>
      </c>
      <c r="B1648" t="n">
        <v>128</v>
      </c>
      <c r="C1648" t="inlineStr">
        <is>
          <t>Love Cabaret</t>
        </is>
      </c>
      <c r="D1648" t="inlineStr">
        <is>
          <t>PSSS LTDA</t>
        </is>
      </c>
      <c r="E1648" t="n">
        <v>336.56</v>
      </c>
      <c r="F1648" s="27" t="n">
        <v>45838</v>
      </c>
      <c r="G1648" s="27" t="n">
        <v>45838</v>
      </c>
      <c r="H1648" s="27" t="n">
        <v>45838</v>
      </c>
      <c r="I1648" s="27" t="n">
        <v>45826</v>
      </c>
      <c r="J1648" s="27" t="n">
        <v>45833</v>
      </c>
      <c r="K1648" t="inlineStr">
        <is>
          <t>Boleto Bancário</t>
        </is>
      </c>
      <c r="L1648" t="inlineStr">
        <is>
          <t>Utilidades</t>
        </is>
      </c>
      <c r="M1648" t="inlineStr">
        <is>
          <t>Higiene e Limpeza</t>
        </is>
      </c>
      <c r="N1648" t="inlineStr">
        <is>
          <t>1780</t>
        </is>
      </c>
      <c r="O1648" t="inlineStr">
        <is>
          <t>Documentação Aprovada</t>
        </is>
      </c>
      <c r="P1648" t="inlineStr">
        <is>
          <t>Aprovado Diretoria</t>
        </is>
      </c>
      <c r="Q1648" t="inlineStr">
        <is>
          <t>Aprovado Caixa</t>
        </is>
      </c>
      <c r="R1648" t="inlineStr">
        <is>
          <t>Pago</t>
        </is>
      </c>
      <c r="S1648" t="n">
        <v>182</v>
      </c>
      <c r="T1648" t="inlineStr">
        <is>
          <t>Love - Shibari - Kamino</t>
        </is>
      </c>
    </row>
    <row r="1649">
      <c r="A1649" t="n">
        <v>141526</v>
      </c>
      <c r="B1649" t="n">
        <v>128</v>
      </c>
      <c r="C1649" t="inlineStr">
        <is>
          <t>Love Cabaret</t>
        </is>
      </c>
      <c r="D1649" t="inlineStr">
        <is>
          <t xml:space="preserve"> FAMIGERADA COMERCIO E EXPORTACAO DE BEBIDAS LTDA</t>
        </is>
      </c>
      <c r="E1649" t="n">
        <v>165</v>
      </c>
      <c r="F1649" s="27" t="n">
        <v>45839</v>
      </c>
      <c r="G1649" s="27" t="n">
        <v>45838</v>
      </c>
      <c r="H1649" s="27" t="n">
        <v>45838</v>
      </c>
      <c r="I1649" s="27" t="n">
        <v>45825</v>
      </c>
      <c r="J1649" s="27" t="n">
        <v>45833</v>
      </c>
      <c r="K1649" t="inlineStr">
        <is>
          <t>Boleto Bancário</t>
        </is>
      </c>
      <c r="L1649" t="inlineStr">
        <is>
          <t>Custo Mercadoria Vendida</t>
        </is>
      </c>
      <c r="M1649" t="inlineStr">
        <is>
          <t>Insumos - Bebidas</t>
        </is>
      </c>
      <c r="N1649" t="inlineStr">
        <is>
          <t>1636</t>
        </is>
      </c>
      <c r="O1649" t="inlineStr">
        <is>
          <t>Documentação Aprovada</t>
        </is>
      </c>
      <c r="P1649" t="inlineStr">
        <is>
          <t>Aprovado Diretoria</t>
        </is>
      </c>
      <c r="Q1649" t="inlineStr">
        <is>
          <t>Aprovado Caixa</t>
        </is>
      </c>
      <c r="R1649" t="inlineStr">
        <is>
          <t>Pago</t>
        </is>
      </c>
      <c r="S1649" t="n">
        <v>182</v>
      </c>
      <c r="T1649" t="inlineStr">
        <is>
          <t>Love - Shibari - Kamino</t>
        </is>
      </c>
    </row>
    <row r="1650">
      <c r="A1650" t="n">
        <v>142865</v>
      </c>
      <c r="B1650" t="n">
        <v>128</v>
      </c>
      <c r="C1650" t="inlineStr">
        <is>
          <t>Love Cabaret</t>
        </is>
      </c>
      <c r="D1650" t="inlineStr">
        <is>
          <t xml:space="preserve">KAMINO INSTITUICAO DE PAGAMENTO LTDA </t>
        </is>
      </c>
      <c r="E1650" t="n">
        <v>2</v>
      </c>
      <c r="F1650" s="27" t="n">
        <v>45838</v>
      </c>
      <c r="G1650" s="27" t="n"/>
      <c r="H1650" s="27" t="n">
        <v>45838</v>
      </c>
      <c r="I1650" s="27" t="n">
        <v>45838</v>
      </c>
      <c r="J1650" s="27" t="n">
        <v>45840</v>
      </c>
      <c r="K1650" t="inlineStr">
        <is>
          <t>Encontro de Contas</t>
        </is>
      </c>
      <c r="L1650" t="inlineStr">
        <is>
          <t>Despesas Financeiras</t>
        </is>
      </c>
      <c r="M1650" t="inlineStr">
        <is>
          <t>Tarifas Bancárias</t>
        </is>
      </c>
      <c r="N1650" t="inlineStr">
        <is>
          <t>062025</t>
        </is>
      </c>
      <c r="P1650" t="inlineStr">
        <is>
          <t>Aprovado Diretoria</t>
        </is>
      </c>
      <c r="R1650" t="inlineStr">
        <is>
          <t>Pago</t>
        </is>
      </c>
    </row>
    <row r="1651">
      <c r="A1651" t="n">
        <v>142889</v>
      </c>
      <c r="B1651" t="n">
        <v>128</v>
      </c>
      <c r="C1651" t="inlineStr">
        <is>
          <t>Love Cabaret</t>
        </is>
      </c>
      <c r="D1651" t="inlineStr">
        <is>
          <t>ZIGPAY LTDAS -ME</t>
        </is>
      </c>
      <c r="E1651" t="n">
        <v>0</v>
      </c>
      <c r="F1651" s="27" t="n">
        <v>45838</v>
      </c>
      <c r="G1651" s="27" t="n"/>
      <c r="H1651" s="27" t="n">
        <v>45838</v>
      </c>
      <c r="I1651" s="27" t="n">
        <v>45838</v>
      </c>
      <c r="J1651" s="27" t="n"/>
      <c r="K1651" t="inlineStr">
        <is>
          <t>Encontro de Contas</t>
        </is>
      </c>
      <c r="L1651" t="inlineStr">
        <is>
          <t>Deduções sobre Venda</t>
        </is>
      </c>
      <c r="M1651" t="inlineStr">
        <is>
          <t>Meios de pagamento</t>
        </is>
      </c>
      <c r="N1651" t="inlineStr">
        <is>
          <t>062025</t>
        </is>
      </c>
      <c r="P1651" t="inlineStr">
        <is>
          <t>Aprovado Diretoria</t>
        </is>
      </c>
      <c r="R1651" t="inlineStr">
        <is>
          <t>Pago</t>
        </is>
      </c>
    </row>
    <row r="1652">
      <c r="A1652" t="n">
        <v>140504</v>
      </c>
      <c r="B1652" t="n">
        <v>128</v>
      </c>
      <c r="C1652" t="inlineStr">
        <is>
          <t>Love Cabaret</t>
        </is>
      </c>
      <c r="D1652" t="inlineStr">
        <is>
          <t xml:space="preserve">LATICINIOS FIOR DITALIA LTDA </t>
        </is>
      </c>
      <c r="E1652" t="n">
        <v>326.75</v>
      </c>
      <c r="F1652" s="27" t="n">
        <v>45840</v>
      </c>
      <c r="G1652" s="27" t="n">
        <v>45838</v>
      </c>
      <c r="H1652" s="27" t="n">
        <v>45838</v>
      </c>
      <c r="I1652" s="27" t="n">
        <v>45824</v>
      </c>
      <c r="J1652" s="27" t="n">
        <v>45826</v>
      </c>
      <c r="K1652" t="inlineStr">
        <is>
          <t>Boleto Bancário</t>
        </is>
      </c>
      <c r="L1652" t="inlineStr">
        <is>
          <t>Custo Mercadoria Vendida</t>
        </is>
      </c>
      <c r="M1652" t="inlineStr">
        <is>
          <t>Insumos - Alimentos</t>
        </is>
      </c>
      <c r="N1652" t="inlineStr">
        <is>
          <t>36962</t>
        </is>
      </c>
      <c r="O1652" t="inlineStr">
        <is>
          <t>Documentação Aprovada</t>
        </is>
      </c>
      <c r="P1652" t="inlineStr">
        <is>
          <t>Aprovado Diretoria</t>
        </is>
      </c>
      <c r="Q1652" t="inlineStr">
        <is>
          <t>Aprovado Caixa</t>
        </is>
      </c>
      <c r="R1652" t="inlineStr">
        <is>
          <t>Pago</t>
        </is>
      </c>
      <c r="S1652" t="n">
        <v>182</v>
      </c>
      <c r="T1652" t="inlineStr">
        <is>
          <t>Love - Shibari - Kamino</t>
        </is>
      </c>
    </row>
    <row r="1653">
      <c r="A1653" t="n">
        <v>140507</v>
      </c>
      <c r="B1653" t="n">
        <v>128</v>
      </c>
      <c r="C1653" t="inlineStr">
        <is>
          <t>Love Cabaret</t>
        </is>
      </c>
      <c r="D1653" t="inlineStr">
        <is>
          <t xml:space="preserve">SKY COMERCIO DE PRODUTOS ALIMENTICIOS LTDA </t>
        </is>
      </c>
      <c r="E1653" t="n">
        <v>687</v>
      </c>
      <c r="F1653" s="27" t="n">
        <v>45838</v>
      </c>
      <c r="G1653" s="27" t="n">
        <v>45838</v>
      </c>
      <c r="H1653" s="27" t="n">
        <v>45838</v>
      </c>
      <c r="I1653" s="27" t="n">
        <v>45826</v>
      </c>
      <c r="J1653" s="27" t="n">
        <v>45826</v>
      </c>
      <c r="K1653" t="inlineStr">
        <is>
          <t>Boleto Bancário</t>
        </is>
      </c>
      <c r="L1653" t="inlineStr">
        <is>
          <t>Custo Mercadoria Vendida</t>
        </is>
      </c>
      <c r="M1653" t="inlineStr">
        <is>
          <t>Insumos - Bebidas</t>
        </is>
      </c>
      <c r="N1653" t="inlineStr">
        <is>
          <t>30765</t>
        </is>
      </c>
      <c r="O1653" t="inlineStr">
        <is>
          <t>Documentação Aprovada</t>
        </is>
      </c>
      <c r="P1653" t="inlineStr">
        <is>
          <t>Aprovado Diretoria</t>
        </is>
      </c>
      <c r="Q1653" t="inlineStr">
        <is>
          <t>Aprovado Caixa</t>
        </is>
      </c>
      <c r="R1653" t="inlineStr">
        <is>
          <t>Pago</t>
        </is>
      </c>
      <c r="S1653" t="n">
        <v>182</v>
      </c>
      <c r="T1653" t="inlineStr">
        <is>
          <t>Love - Shibari - Kamino</t>
        </is>
      </c>
    </row>
    <row r="1654">
      <c r="A1654" t="n">
        <v>140484</v>
      </c>
      <c r="B1654" t="n">
        <v>128</v>
      </c>
      <c r="C1654" t="inlineStr">
        <is>
          <t>Love Cabaret</t>
        </is>
      </c>
      <c r="D1654" t="inlineStr">
        <is>
          <t>CECILIA TSUYACO ARAKI SILVA LTDA</t>
        </is>
      </c>
      <c r="E1654" t="n">
        <v>110.4</v>
      </c>
      <c r="F1654" s="27" t="n">
        <v>45838</v>
      </c>
      <c r="G1654" s="27" t="n">
        <v>45838</v>
      </c>
      <c r="H1654" s="27" t="n">
        <v>45838</v>
      </c>
      <c r="I1654" s="27" t="n">
        <v>45824</v>
      </c>
      <c r="J1654" s="27" t="n">
        <v>45826</v>
      </c>
      <c r="K1654" t="inlineStr">
        <is>
          <t>Boleto Bancário</t>
        </is>
      </c>
      <c r="L1654" t="inlineStr">
        <is>
          <t>Custo Mercadoria Vendida</t>
        </is>
      </c>
      <c r="M1654" t="inlineStr">
        <is>
          <t>Insumos - Alimentos</t>
        </is>
      </c>
      <c r="N1654" t="inlineStr">
        <is>
          <t>372930</t>
        </is>
      </c>
      <c r="O1654" t="inlineStr">
        <is>
          <t>Documentação Aprovada</t>
        </is>
      </c>
      <c r="P1654" t="inlineStr">
        <is>
          <t>Aprovado Diretoria</t>
        </is>
      </c>
      <c r="Q1654" t="inlineStr">
        <is>
          <t>Aprovado Caixa</t>
        </is>
      </c>
      <c r="R1654" t="inlineStr">
        <is>
          <t>Pago</t>
        </is>
      </c>
      <c r="S1654" t="n">
        <v>182</v>
      </c>
      <c r="T1654" t="inlineStr">
        <is>
          <t>Love - Shibari - Kamino</t>
        </is>
      </c>
    </row>
    <row r="1655">
      <c r="A1655" t="n">
        <v>140485</v>
      </c>
      <c r="B1655" t="n">
        <v>128</v>
      </c>
      <c r="C1655" t="inlineStr">
        <is>
          <t>Love Cabaret</t>
        </is>
      </c>
      <c r="D1655" t="inlineStr">
        <is>
          <t>PARAMU COMERCIO E REPRESENTACAO DE PRODUTOS ALIMENTICIOS</t>
        </is>
      </c>
      <c r="E1655" t="n">
        <v>630.12</v>
      </c>
      <c r="F1655" s="27" t="n">
        <v>45838</v>
      </c>
      <c r="G1655" s="27" t="n">
        <v>45838</v>
      </c>
      <c r="H1655" s="27" t="n">
        <v>45838</v>
      </c>
      <c r="I1655" s="27" t="n">
        <v>45824</v>
      </c>
      <c r="J1655" s="27" t="n">
        <v>45826</v>
      </c>
      <c r="K1655" t="inlineStr">
        <is>
          <t>Boleto Bancário</t>
        </is>
      </c>
      <c r="L1655" t="inlineStr">
        <is>
          <t>Custo Mercadoria Vendida</t>
        </is>
      </c>
      <c r="M1655" t="inlineStr">
        <is>
          <t>Insumos - Alimentos</t>
        </is>
      </c>
      <c r="N1655" t="inlineStr">
        <is>
          <t>14320</t>
        </is>
      </c>
      <c r="O1655" t="inlineStr">
        <is>
          <t>Documentação Aprovada</t>
        </is>
      </c>
      <c r="P1655" t="inlineStr">
        <is>
          <t>Aprovado Diretoria</t>
        </is>
      </c>
      <c r="Q1655" t="inlineStr">
        <is>
          <t>Aprovado Caixa</t>
        </is>
      </c>
      <c r="R1655" t="inlineStr">
        <is>
          <t>Pago</t>
        </is>
      </c>
      <c r="S1655" t="n">
        <v>182</v>
      </c>
      <c r="T1655" t="inlineStr">
        <is>
          <t>Love - Shibari - Kamino</t>
        </is>
      </c>
    </row>
    <row r="1656">
      <c r="A1656" t="n">
        <v>140505</v>
      </c>
      <c r="B1656" t="n">
        <v>128</v>
      </c>
      <c r="C1656" t="inlineStr">
        <is>
          <t>Love Cabaret</t>
        </is>
      </c>
      <c r="D1656" t="inlineStr">
        <is>
          <t>ZAHIL IMPORTADORA LTDA</t>
        </is>
      </c>
      <c r="E1656" t="n">
        <v>1447</v>
      </c>
      <c r="F1656" s="27" t="n">
        <v>45839</v>
      </c>
      <c r="G1656" s="27" t="n">
        <v>45838</v>
      </c>
      <c r="H1656" s="27" t="n">
        <v>45838</v>
      </c>
      <c r="I1656" s="27" t="n">
        <v>45824</v>
      </c>
      <c r="J1656" s="27" t="n">
        <v>45826</v>
      </c>
      <c r="K1656" t="inlineStr">
        <is>
          <t>Boleto Bancário</t>
        </is>
      </c>
      <c r="L1656" t="inlineStr">
        <is>
          <t>Custo Mercadoria Vendida</t>
        </is>
      </c>
      <c r="M1656" t="inlineStr">
        <is>
          <t>Insumos - Bebidas</t>
        </is>
      </c>
      <c r="N1656" t="inlineStr">
        <is>
          <t>249774</t>
        </is>
      </c>
      <c r="O1656" t="inlineStr">
        <is>
          <t>Documentação Aprovada</t>
        </is>
      </c>
      <c r="P1656" t="inlineStr">
        <is>
          <t>Aprovado Diretoria</t>
        </is>
      </c>
      <c r="Q1656" t="inlineStr">
        <is>
          <t>Aprovado Caixa</t>
        </is>
      </c>
      <c r="R1656" t="inlineStr">
        <is>
          <t>Pago</t>
        </is>
      </c>
      <c r="S1656" t="n">
        <v>182</v>
      </c>
      <c r="T1656" t="inlineStr">
        <is>
          <t>Love - Shibari - Kamino</t>
        </is>
      </c>
    </row>
    <row r="1657">
      <c r="A1657" t="n">
        <v>140487</v>
      </c>
      <c r="B1657" t="n">
        <v>128</v>
      </c>
      <c r="C1657" t="inlineStr">
        <is>
          <t>Love Cabaret</t>
        </is>
      </c>
      <c r="D1657" t="inlineStr">
        <is>
          <t>CIUFFI HORTIFRUTI EIRELI</t>
        </is>
      </c>
      <c r="E1657" t="n">
        <v>337.43</v>
      </c>
      <c r="F1657" s="27" t="n">
        <v>45839</v>
      </c>
      <c r="G1657" s="27" t="n">
        <v>45838</v>
      </c>
      <c r="H1657" s="27" t="n">
        <v>45838</v>
      </c>
      <c r="I1657" s="27" t="n">
        <v>45825</v>
      </c>
      <c r="J1657" s="27" t="n">
        <v>45826</v>
      </c>
      <c r="K1657" t="inlineStr">
        <is>
          <t>Boleto Bancário</t>
        </is>
      </c>
      <c r="L1657" t="inlineStr">
        <is>
          <t>Custo Mercadoria Vendida</t>
        </is>
      </c>
      <c r="M1657" t="inlineStr">
        <is>
          <t>Insumos - Alimentos</t>
        </is>
      </c>
      <c r="N1657" t="inlineStr">
        <is>
          <t>24281</t>
        </is>
      </c>
      <c r="O1657" t="inlineStr">
        <is>
          <t>Documentação Aprovada</t>
        </is>
      </c>
      <c r="P1657" t="inlineStr">
        <is>
          <t>Aprovado Diretoria</t>
        </is>
      </c>
      <c r="Q1657" t="inlineStr">
        <is>
          <t>Aprovado Caixa</t>
        </is>
      </c>
      <c r="R1657" t="inlineStr">
        <is>
          <t>Pago</t>
        </is>
      </c>
      <c r="S1657" t="n">
        <v>182</v>
      </c>
      <c r="T1657" t="inlineStr">
        <is>
          <t>Love - Shibari - Kamino</t>
        </is>
      </c>
    </row>
    <row r="1658">
      <c r="A1658" t="n">
        <v>140494</v>
      </c>
      <c r="B1658" t="n">
        <v>128</v>
      </c>
      <c r="C1658" t="inlineStr">
        <is>
          <t>Love Cabaret</t>
        </is>
      </c>
      <c r="D1658" t="inlineStr">
        <is>
          <t>CEPEL COMERCIO DE PAPEIS E EMBALAGENS EIRELI</t>
        </is>
      </c>
      <c r="E1658" t="n">
        <v>659</v>
      </c>
      <c r="F1658" s="27" t="n">
        <v>45839</v>
      </c>
      <c r="G1658" s="27" t="n">
        <v>45838</v>
      </c>
      <c r="H1658" s="27" t="n">
        <v>45838</v>
      </c>
      <c r="I1658" s="27" t="n">
        <v>45824</v>
      </c>
      <c r="J1658" s="27" t="n">
        <v>45826</v>
      </c>
      <c r="K1658" t="inlineStr">
        <is>
          <t>Boleto Bancário</t>
        </is>
      </c>
      <c r="L1658" t="inlineStr">
        <is>
          <t>Utilidades</t>
        </is>
      </c>
      <c r="M1658" t="inlineStr">
        <is>
          <t>Higiene e Limpeza</t>
        </is>
      </c>
      <c r="N1658" t="inlineStr">
        <is>
          <t>242553</t>
        </is>
      </c>
      <c r="O1658" t="inlineStr">
        <is>
          <t>Documentação Aprovada</t>
        </is>
      </c>
      <c r="P1658" t="inlineStr">
        <is>
          <t>Aprovado Diretoria</t>
        </is>
      </c>
      <c r="Q1658" t="inlineStr">
        <is>
          <t>Aprovado Caixa</t>
        </is>
      </c>
      <c r="R1658" t="inlineStr">
        <is>
          <t>Pago</t>
        </is>
      </c>
      <c r="S1658" t="n">
        <v>182</v>
      </c>
      <c r="T1658" t="inlineStr">
        <is>
          <t>Love - Shibari - Kamino</t>
        </is>
      </c>
    </row>
    <row r="1659">
      <c r="A1659" t="n">
        <v>139966</v>
      </c>
      <c r="B1659" t="n">
        <v>128</v>
      </c>
      <c r="C1659" t="inlineStr">
        <is>
          <t>Love Cabaret</t>
        </is>
      </c>
      <c r="D1659" t="inlineStr">
        <is>
          <t>ANDRE MEDEIROS MARTINS DE OLIVEIRA</t>
        </is>
      </c>
      <c r="E1659" t="n">
        <v>500</v>
      </c>
      <c r="F1659" s="27" t="n">
        <v>45838</v>
      </c>
      <c r="G1659" s="27" t="n">
        <v>45838</v>
      </c>
      <c r="H1659" s="27" t="n">
        <v>45838</v>
      </c>
      <c r="I1659" s="27" t="n">
        <v>45819</v>
      </c>
      <c r="J1659" s="27" t="n">
        <v>45824</v>
      </c>
      <c r="K1659" t="inlineStr">
        <is>
          <t>Transferência Bancária ou Pix</t>
        </is>
      </c>
      <c r="L1659" t="inlineStr">
        <is>
          <t>Utilidades</t>
        </is>
      </c>
      <c r="M1659" t="inlineStr">
        <is>
          <t>Serviços Graficos</t>
        </is>
      </c>
      <c r="N1659" t="inlineStr">
        <is>
          <t>225</t>
        </is>
      </c>
      <c r="O1659" t="inlineStr">
        <is>
          <t>Documentação Aprovada</t>
        </is>
      </c>
      <c r="P1659" t="inlineStr">
        <is>
          <t>Aprovado Diretoria</t>
        </is>
      </c>
      <c r="Q1659" t="inlineStr">
        <is>
          <t>Aprovado Caixa</t>
        </is>
      </c>
      <c r="R1659" t="inlineStr">
        <is>
          <t>Pago</t>
        </is>
      </c>
      <c r="S1659" t="n">
        <v>182</v>
      </c>
      <c r="T1659" t="inlineStr">
        <is>
          <t>Love - Shibari - Kamino</t>
        </is>
      </c>
    </row>
    <row r="1660">
      <c r="A1660" t="n">
        <v>140495</v>
      </c>
      <c r="B1660" t="n">
        <v>128</v>
      </c>
      <c r="C1660" t="inlineStr">
        <is>
          <t>Love Cabaret</t>
        </is>
      </c>
      <c r="D1660" t="inlineStr">
        <is>
          <t>WPP COMERCIO DE CARNES LTDA</t>
        </is>
      </c>
      <c r="E1660" t="n">
        <v>1527.38</v>
      </c>
      <c r="F1660" s="27" t="n">
        <v>45839</v>
      </c>
      <c r="G1660" s="27" t="n">
        <v>45838</v>
      </c>
      <c r="H1660" s="27" t="n">
        <v>45838</v>
      </c>
      <c r="I1660" s="27" t="n">
        <v>45825</v>
      </c>
      <c r="J1660" s="27" t="n">
        <v>45826</v>
      </c>
      <c r="K1660" t="inlineStr">
        <is>
          <t>Boleto Bancário</t>
        </is>
      </c>
      <c r="L1660" t="inlineStr">
        <is>
          <t>Custo Mercadoria Vendida</t>
        </is>
      </c>
      <c r="M1660" t="inlineStr">
        <is>
          <t>Insumos - Alimentos</t>
        </is>
      </c>
      <c r="N1660" t="inlineStr">
        <is>
          <t>73047</t>
        </is>
      </c>
      <c r="O1660" t="inlineStr">
        <is>
          <t>Documentação Aprovada</t>
        </is>
      </c>
      <c r="P1660" t="inlineStr">
        <is>
          <t>Aprovado Diretoria</t>
        </is>
      </c>
      <c r="Q1660" t="inlineStr">
        <is>
          <t>Aprovado Caixa</t>
        </is>
      </c>
      <c r="R1660" t="inlineStr">
        <is>
          <t>Pago</t>
        </is>
      </c>
      <c r="S1660" t="n">
        <v>182</v>
      </c>
      <c r="T1660" t="inlineStr">
        <is>
          <t>Love - Shibari - Kamino</t>
        </is>
      </c>
    </row>
    <row r="1661">
      <c r="A1661" t="n">
        <v>140496</v>
      </c>
      <c r="B1661" t="n">
        <v>128</v>
      </c>
      <c r="C1661" t="inlineStr">
        <is>
          <t>Love Cabaret</t>
        </is>
      </c>
      <c r="D1661" t="inlineStr">
        <is>
          <t>ASSAZ ORGANICA INDUSTRIA E COMERCIO DE ALIMENTOS LTDA</t>
        </is>
      </c>
      <c r="E1661" t="n">
        <v>31.5</v>
      </c>
      <c r="F1661" s="27" t="n">
        <v>45840</v>
      </c>
      <c r="G1661" s="27" t="n">
        <v>45838</v>
      </c>
      <c r="H1661" s="27" t="n">
        <v>45838</v>
      </c>
      <c r="I1661" s="27" t="n">
        <v>45825</v>
      </c>
      <c r="J1661" s="27" t="n">
        <v>45826</v>
      </c>
      <c r="K1661" t="inlineStr">
        <is>
          <t>Boleto Bancário</t>
        </is>
      </c>
      <c r="L1661" t="inlineStr">
        <is>
          <t>Custo Mercadoria Vendida</t>
        </is>
      </c>
      <c r="M1661" t="inlineStr">
        <is>
          <t>Insumos - Alimentos</t>
        </is>
      </c>
      <c r="N1661" t="inlineStr">
        <is>
          <t>21284</t>
        </is>
      </c>
      <c r="O1661" t="inlineStr">
        <is>
          <t>Documentação Aprovada</t>
        </is>
      </c>
      <c r="P1661" t="inlineStr">
        <is>
          <t>Aprovado Diretoria</t>
        </is>
      </c>
      <c r="Q1661" t="inlineStr">
        <is>
          <t>Aprovado Caixa</t>
        </is>
      </c>
      <c r="R1661" t="inlineStr">
        <is>
          <t>Pago</t>
        </is>
      </c>
      <c r="S1661" t="n">
        <v>182</v>
      </c>
      <c r="T1661" t="inlineStr">
        <is>
          <t>Love - Shibari - Kamino</t>
        </is>
      </c>
    </row>
    <row r="1662">
      <c r="A1662" t="n">
        <v>140086</v>
      </c>
      <c r="B1662" t="n">
        <v>128</v>
      </c>
      <c r="C1662" t="inlineStr">
        <is>
          <t>Love Cabaret</t>
        </is>
      </c>
      <c r="D1662" t="inlineStr">
        <is>
          <t>HORTICLEAN DISTRIBUIDORA DE HORTIFRUTI LTDA</t>
        </is>
      </c>
      <c r="E1662" t="n">
        <v>344</v>
      </c>
      <c r="F1662" s="27" t="n">
        <v>45840</v>
      </c>
      <c r="G1662" s="27" t="n">
        <v>45838</v>
      </c>
      <c r="H1662" s="27" t="n">
        <v>45838</v>
      </c>
      <c r="I1662" s="27" t="n">
        <v>45811</v>
      </c>
      <c r="J1662" s="27" t="n">
        <v>45825</v>
      </c>
      <c r="K1662" t="inlineStr">
        <is>
          <t>Boleto Bancário</t>
        </is>
      </c>
      <c r="L1662" t="inlineStr">
        <is>
          <t>Custo Mercadoria Vendida</t>
        </is>
      </c>
      <c r="M1662" t="inlineStr">
        <is>
          <t>Insumos - Alimentos</t>
        </is>
      </c>
      <c r="N1662" t="inlineStr">
        <is>
          <t>26901</t>
        </is>
      </c>
      <c r="O1662" t="inlineStr">
        <is>
          <t>Documentação Aprovada</t>
        </is>
      </c>
      <c r="P1662" t="inlineStr">
        <is>
          <t>Aprovado Diretoria</t>
        </is>
      </c>
      <c r="Q1662" t="inlineStr">
        <is>
          <t>Aprovado Caixa</t>
        </is>
      </c>
      <c r="R1662" t="inlineStr">
        <is>
          <t>Pago</t>
        </is>
      </c>
      <c r="S1662" t="n">
        <v>182</v>
      </c>
      <c r="T1662" t="inlineStr">
        <is>
          <t>Love - Shibari - Kamino</t>
        </is>
      </c>
    </row>
    <row r="1663">
      <c r="A1663" t="n">
        <v>138065</v>
      </c>
      <c r="B1663" t="n">
        <v>128</v>
      </c>
      <c r="C1663" t="inlineStr">
        <is>
          <t>Love Cabaret</t>
        </is>
      </c>
      <c r="D1663" t="inlineStr">
        <is>
          <t>HORTICLEAN DISTRIBUIDORA DE HORTIFRUTI LTDA</t>
        </is>
      </c>
      <c r="E1663" t="n">
        <v>445.95</v>
      </c>
      <c r="F1663" s="27" t="n">
        <v>45839</v>
      </c>
      <c r="G1663" s="27" t="n">
        <v>45838</v>
      </c>
      <c r="H1663" s="27" t="n">
        <v>45838</v>
      </c>
      <c r="I1663" s="27" t="n">
        <v>45810</v>
      </c>
      <c r="J1663" s="27" t="n">
        <v>45813</v>
      </c>
      <c r="K1663" t="inlineStr">
        <is>
          <t>Boleto Bancário</t>
        </is>
      </c>
      <c r="L1663" t="inlineStr">
        <is>
          <t>Custo Mercadoria Vendida</t>
        </is>
      </c>
      <c r="M1663" t="inlineStr">
        <is>
          <t>Insumos - Alimentos</t>
        </is>
      </c>
      <c r="N1663" t="inlineStr">
        <is>
          <t>26889</t>
        </is>
      </c>
      <c r="O1663" t="inlineStr">
        <is>
          <t>Documentação Aprovada</t>
        </is>
      </c>
      <c r="P1663" t="inlineStr">
        <is>
          <t>Aprovado Diretoria</t>
        </is>
      </c>
      <c r="Q1663" t="inlineStr">
        <is>
          <t>Aprovado Caixa</t>
        </is>
      </c>
      <c r="R1663" t="inlineStr">
        <is>
          <t>Pago</t>
        </is>
      </c>
      <c r="S1663" t="n">
        <v>182</v>
      </c>
      <c r="T1663" t="inlineStr">
        <is>
          <t>Love - Shibari - Kamino</t>
        </is>
      </c>
    </row>
    <row r="1664">
      <c r="A1664" t="n">
        <v>138064</v>
      </c>
      <c r="B1664" t="n">
        <v>128</v>
      </c>
      <c r="C1664" t="inlineStr">
        <is>
          <t>Love Cabaret</t>
        </is>
      </c>
      <c r="D1664" t="inlineStr">
        <is>
          <t>B.B DISTRIBUIDORA DE CARNES LTDA</t>
        </is>
      </c>
      <c r="E1664" t="n">
        <v>486</v>
      </c>
      <c r="F1664" s="27" t="n">
        <v>45838</v>
      </c>
      <c r="G1664" s="27" t="n">
        <v>45838</v>
      </c>
      <c r="H1664" s="27" t="n">
        <v>45838</v>
      </c>
      <c r="I1664" s="27" t="n">
        <v>45810</v>
      </c>
      <c r="J1664" s="27" t="n">
        <v>45813</v>
      </c>
      <c r="K1664" t="inlineStr">
        <is>
          <t>Boleto Bancário</t>
        </is>
      </c>
      <c r="L1664" t="inlineStr">
        <is>
          <t>Custo Mercadoria Vendida</t>
        </is>
      </c>
      <c r="M1664" t="inlineStr">
        <is>
          <t>Insumos - Alimentos</t>
        </is>
      </c>
      <c r="N1664" t="inlineStr">
        <is>
          <t>394446</t>
        </is>
      </c>
      <c r="O1664" t="inlineStr">
        <is>
          <t>Documentação Aprovada</t>
        </is>
      </c>
      <c r="P1664" t="inlineStr">
        <is>
          <t>Aprovado Diretoria</t>
        </is>
      </c>
      <c r="Q1664" t="inlineStr">
        <is>
          <t>Aprovado Caixa</t>
        </is>
      </c>
      <c r="R1664" t="inlineStr">
        <is>
          <t>Pago</t>
        </is>
      </c>
      <c r="S1664" t="n">
        <v>182</v>
      </c>
      <c r="T1664" t="inlineStr">
        <is>
          <t>Love - Shibari - Kamino</t>
        </is>
      </c>
    </row>
    <row r="1665">
      <c r="A1665" t="n">
        <v>142544</v>
      </c>
      <c r="B1665" t="n">
        <v>128</v>
      </c>
      <c r="C1665" t="inlineStr">
        <is>
          <t>Love Cabaret</t>
        </is>
      </c>
      <c r="D1665" t="inlineStr">
        <is>
          <t>BRADESCO SA</t>
        </is>
      </c>
      <c r="E1665" t="n">
        <v>19.6</v>
      </c>
      <c r="F1665" s="27" t="n">
        <v>45835</v>
      </c>
      <c r="G1665" s="27" t="n"/>
      <c r="H1665" s="27" t="n">
        <v>45835</v>
      </c>
      <c r="I1665" s="27" t="n">
        <v>45835</v>
      </c>
      <c r="J1665" s="27" t="n">
        <v>45838</v>
      </c>
      <c r="K1665" t="inlineStr">
        <is>
          <t>Encontro de Contas</t>
        </is>
      </c>
      <c r="L1665" t="inlineStr">
        <is>
          <t>Despesas Financeiras</t>
        </is>
      </c>
      <c r="M1665" t="inlineStr">
        <is>
          <t>Tarifas Bancárias</t>
        </is>
      </c>
      <c r="N1665" t="inlineStr">
        <is>
          <t>062025</t>
        </is>
      </c>
      <c r="P1665" t="inlineStr">
        <is>
          <t>Aprovado Diretoria</t>
        </is>
      </c>
      <c r="R1665" t="inlineStr">
        <is>
          <t>Pago</t>
        </is>
      </c>
    </row>
    <row r="1666">
      <c r="A1666" t="n">
        <v>137989</v>
      </c>
      <c r="B1666" t="n">
        <v>128</v>
      </c>
      <c r="C1666" t="inlineStr">
        <is>
          <t>Love Cabaret</t>
        </is>
      </c>
      <c r="D1666" t="inlineStr">
        <is>
          <t>HORTICLEAN DISTRIBUIDORA DE HORTIFRUTI LTDA</t>
        </is>
      </c>
      <c r="E1666" t="n">
        <v>148.52</v>
      </c>
      <c r="F1666" s="27" t="n">
        <v>45835</v>
      </c>
      <c r="G1666" s="27" t="n">
        <v>45833</v>
      </c>
      <c r="H1666" s="27" t="n">
        <v>45833</v>
      </c>
      <c r="I1666" s="27" t="n">
        <v>45806</v>
      </c>
      <c r="J1666" s="27" t="n">
        <v>45813</v>
      </c>
      <c r="K1666" t="inlineStr">
        <is>
          <t>Boleto Bancário</t>
        </is>
      </c>
      <c r="L1666" t="inlineStr">
        <is>
          <t>Custo Mercadoria Vendida</t>
        </is>
      </c>
      <c r="M1666" t="inlineStr">
        <is>
          <t>Insumos - Alimentos</t>
        </is>
      </c>
      <c r="N1666" t="inlineStr">
        <is>
          <t>26871</t>
        </is>
      </c>
      <c r="O1666" t="inlineStr">
        <is>
          <t>Documentação Aprovada</t>
        </is>
      </c>
      <c r="P1666" t="inlineStr">
        <is>
          <t>Aprovado Diretoria</t>
        </is>
      </c>
      <c r="Q1666" t="inlineStr">
        <is>
          <t>Aprovado Caixa</t>
        </is>
      </c>
      <c r="R1666" t="inlineStr">
        <is>
          <t>Pago</t>
        </is>
      </c>
      <c r="S1666" t="n">
        <v>182</v>
      </c>
      <c r="T1666" t="inlineStr">
        <is>
          <t>Love - Shibari - Kamino</t>
        </is>
      </c>
    </row>
    <row r="1667">
      <c r="A1667" t="n">
        <v>139742</v>
      </c>
      <c r="B1667" t="n">
        <v>128</v>
      </c>
      <c r="C1667" t="inlineStr">
        <is>
          <t>Love Cabaret</t>
        </is>
      </c>
      <c r="D1667" t="inlineStr">
        <is>
          <t xml:space="preserve">SKY COMERCIO DE PRODUTOS ALIMENTICIOS LTDA </t>
        </is>
      </c>
      <c r="E1667" t="n">
        <v>2520.77</v>
      </c>
      <c r="F1667" s="27" t="n">
        <v>45835</v>
      </c>
      <c r="G1667" s="27" t="n">
        <v>45833</v>
      </c>
      <c r="H1667" s="27" t="n">
        <v>45833</v>
      </c>
      <c r="I1667" s="27" t="n">
        <v>45818</v>
      </c>
      <c r="J1667" s="27" t="n">
        <v>45821</v>
      </c>
      <c r="K1667" t="inlineStr">
        <is>
          <t>Boleto Bancário</t>
        </is>
      </c>
      <c r="L1667" t="inlineStr">
        <is>
          <t>Custo Mercadoria Vendida</t>
        </is>
      </c>
      <c r="M1667" t="inlineStr">
        <is>
          <t>Insumos - Bebidas</t>
        </is>
      </c>
      <c r="N1667" t="inlineStr">
        <is>
          <t>30329</t>
        </is>
      </c>
      <c r="O1667" t="inlineStr">
        <is>
          <t>Documentação Aprovada</t>
        </is>
      </c>
      <c r="P1667" t="inlineStr">
        <is>
          <t>Aprovado Diretoria</t>
        </is>
      </c>
      <c r="Q1667" t="inlineStr">
        <is>
          <t>Aprovado Caixa</t>
        </is>
      </c>
      <c r="R1667" t="inlineStr">
        <is>
          <t>Pago</t>
        </is>
      </c>
      <c r="S1667" t="n">
        <v>182</v>
      </c>
      <c r="T1667" t="inlineStr">
        <is>
          <t>Love - Shibari - Kamino</t>
        </is>
      </c>
    </row>
    <row r="1668">
      <c r="A1668" t="n">
        <v>139792</v>
      </c>
      <c r="B1668" t="n">
        <v>128</v>
      </c>
      <c r="C1668" t="inlineStr">
        <is>
          <t>Love Cabaret</t>
        </is>
      </c>
      <c r="D1668" t="inlineStr">
        <is>
          <t>BATARD PADARIA ARTESANAL LTDA</t>
        </is>
      </c>
      <c r="E1668" t="n">
        <v>168</v>
      </c>
      <c r="F1668" s="27" t="n">
        <v>45834</v>
      </c>
      <c r="G1668" s="27" t="n">
        <v>45833</v>
      </c>
      <c r="H1668" s="27" t="n">
        <v>45833</v>
      </c>
      <c r="I1668" s="27" t="n">
        <v>45818</v>
      </c>
      <c r="J1668" s="27" t="n">
        <v>45821</v>
      </c>
      <c r="K1668" t="inlineStr">
        <is>
          <t>Boleto Bancário</t>
        </is>
      </c>
      <c r="L1668" t="inlineStr">
        <is>
          <t>Custo Mercadoria Vendida</t>
        </is>
      </c>
      <c r="M1668" t="inlineStr">
        <is>
          <t>Insumos - Alimentos</t>
        </is>
      </c>
      <c r="N1668" t="inlineStr">
        <is>
          <t>11068</t>
        </is>
      </c>
      <c r="O1668" t="inlineStr">
        <is>
          <t>Documentação Aprovada</t>
        </is>
      </c>
      <c r="P1668" t="inlineStr">
        <is>
          <t>Aprovado Diretoria</t>
        </is>
      </c>
      <c r="Q1668" t="inlineStr">
        <is>
          <t>Aprovado Caixa</t>
        </is>
      </c>
      <c r="R1668" t="inlineStr">
        <is>
          <t>Pago</t>
        </is>
      </c>
      <c r="S1668" t="n">
        <v>182</v>
      </c>
      <c r="T1668" t="inlineStr">
        <is>
          <t>Love - Shibari - Kamino</t>
        </is>
      </c>
    </row>
    <row r="1669">
      <c r="A1669" t="n">
        <v>139906</v>
      </c>
      <c r="B1669" t="n">
        <v>128</v>
      </c>
      <c r="C1669" t="inlineStr">
        <is>
          <t>Love Cabaret</t>
        </is>
      </c>
      <c r="D1669" t="inlineStr">
        <is>
          <t>RONIVALDO SANTOS CONCEICAO JUNIOR</t>
        </is>
      </c>
      <c r="E1669" t="n">
        <v>450</v>
      </c>
      <c r="F1669" s="27" t="n">
        <v>45835</v>
      </c>
      <c r="G1669" s="27" t="n">
        <v>45833</v>
      </c>
      <c r="H1669" s="27" t="n">
        <v>45833</v>
      </c>
      <c r="I1669" s="27" t="n">
        <v>45820</v>
      </c>
      <c r="J1669" s="27" t="n">
        <v>45824</v>
      </c>
      <c r="K1669" t="inlineStr">
        <is>
          <t>Transferência Bancária ou Pix</t>
        </is>
      </c>
      <c r="L1669" t="inlineStr">
        <is>
          <t>Marketing</t>
        </is>
      </c>
      <c r="M1669" t="inlineStr">
        <is>
          <t>Sessão de Fotos/Captação de Vídeo</t>
        </is>
      </c>
      <c r="N1669" t="inlineStr">
        <is>
          <t>36</t>
        </is>
      </c>
      <c r="O1669" t="inlineStr">
        <is>
          <t>Documentação Aprovada</t>
        </is>
      </c>
      <c r="P1669" t="inlineStr">
        <is>
          <t>Aprovado Diretoria</t>
        </is>
      </c>
      <c r="Q1669" t="inlineStr">
        <is>
          <t>Aprovado Caixa</t>
        </is>
      </c>
      <c r="R1669" t="inlineStr">
        <is>
          <t>Pago</t>
        </is>
      </c>
      <c r="S1669" t="n">
        <v>182</v>
      </c>
      <c r="T1669" t="inlineStr">
        <is>
          <t>Love - Shibari - Kamino</t>
        </is>
      </c>
    </row>
    <row r="1670">
      <c r="A1670" t="n">
        <v>141523</v>
      </c>
      <c r="B1670" t="n">
        <v>128</v>
      </c>
      <c r="C1670" t="inlineStr">
        <is>
          <t>Love Cabaret</t>
        </is>
      </c>
      <c r="D1670" t="inlineStr">
        <is>
          <t>PARAMU COMERCIO E REPRESENTACAO DE PRODUTOS ALIMENTICIOS</t>
        </is>
      </c>
      <c r="E1670" t="n">
        <v>620.1</v>
      </c>
      <c r="F1670" s="27" t="n">
        <v>45834</v>
      </c>
      <c r="G1670" s="27" t="n">
        <v>45838</v>
      </c>
      <c r="H1670" s="27" t="n">
        <v>45833</v>
      </c>
      <c r="I1670" s="27" t="n">
        <v>45822</v>
      </c>
      <c r="J1670" s="27" t="n">
        <v>45833</v>
      </c>
      <c r="K1670" t="inlineStr">
        <is>
          <t>Boleto Bancário</t>
        </is>
      </c>
      <c r="L1670" t="inlineStr">
        <is>
          <t>Custo Mercadoria Vendida</t>
        </is>
      </c>
      <c r="M1670" t="inlineStr">
        <is>
          <t>Insumos - Alimentos</t>
        </is>
      </c>
      <c r="N1670" t="inlineStr">
        <is>
          <t>14293</t>
        </is>
      </c>
      <c r="O1670" t="inlineStr">
        <is>
          <t>Documentação Aprovada</t>
        </is>
      </c>
      <c r="P1670" t="inlineStr">
        <is>
          <t>Aprovado Diretoria</t>
        </is>
      </c>
      <c r="Q1670" t="inlineStr">
        <is>
          <t>Aprovado Caixa</t>
        </is>
      </c>
      <c r="R1670" t="inlineStr">
        <is>
          <t>Pago</t>
        </is>
      </c>
      <c r="S1670" t="n">
        <v>182</v>
      </c>
      <c r="T1670" t="inlineStr">
        <is>
          <t>Love - Shibari - Kamino</t>
        </is>
      </c>
    </row>
    <row r="1671">
      <c r="A1671" t="n">
        <v>140437</v>
      </c>
      <c r="B1671" t="n">
        <v>128</v>
      </c>
      <c r="C1671" t="inlineStr">
        <is>
          <t>Love Cabaret</t>
        </is>
      </c>
      <c r="D1671" t="inlineStr">
        <is>
          <t>ICE4PROS FABRICA DE GELO LTDA</t>
        </is>
      </c>
      <c r="E1671" t="n">
        <v>563.5</v>
      </c>
      <c r="F1671" s="27" t="n">
        <v>45834</v>
      </c>
      <c r="G1671" s="27" t="n">
        <v>45833</v>
      </c>
      <c r="H1671" s="27" t="n">
        <v>45833</v>
      </c>
      <c r="I1671" s="27" t="n">
        <v>45824</v>
      </c>
      <c r="J1671" s="27" t="n">
        <v>45826</v>
      </c>
      <c r="K1671" t="inlineStr">
        <is>
          <t>Boleto Bancário</t>
        </is>
      </c>
      <c r="L1671" t="inlineStr">
        <is>
          <t>Custo Mercadoria Vendida</t>
        </is>
      </c>
      <c r="M1671" t="inlineStr">
        <is>
          <t>Insumos - Bebidas</t>
        </is>
      </c>
      <c r="N1671" t="inlineStr">
        <is>
          <t>81075</t>
        </is>
      </c>
      <c r="O1671" t="inlineStr">
        <is>
          <t>Documentação Aprovada</t>
        </is>
      </c>
      <c r="P1671" t="inlineStr">
        <is>
          <t>Aprovado Diretoria</t>
        </is>
      </c>
      <c r="Q1671" t="inlineStr">
        <is>
          <t>Aprovado Caixa</t>
        </is>
      </c>
      <c r="R1671" t="inlineStr">
        <is>
          <t>Pago</t>
        </is>
      </c>
      <c r="S1671" t="n">
        <v>182</v>
      </c>
      <c r="T1671" t="inlineStr">
        <is>
          <t>Love - Shibari - Kamino</t>
        </is>
      </c>
    </row>
    <row r="1672">
      <c r="A1672" t="n">
        <v>140435</v>
      </c>
      <c r="B1672" t="n">
        <v>128</v>
      </c>
      <c r="C1672" t="inlineStr">
        <is>
          <t>Love Cabaret</t>
        </is>
      </c>
      <c r="D1672" t="inlineStr">
        <is>
          <t>CECILIA TSUYACO ARAKI SILVA LTDA</t>
        </is>
      </c>
      <c r="E1672" t="n">
        <v>235.1</v>
      </c>
      <c r="F1672" s="27" t="n">
        <v>45834</v>
      </c>
      <c r="G1672" s="27" t="n">
        <v>45833</v>
      </c>
      <c r="H1672" s="27" t="n">
        <v>45833</v>
      </c>
      <c r="I1672" s="27" t="n">
        <v>45820</v>
      </c>
      <c r="J1672" s="27" t="n">
        <v>45826</v>
      </c>
      <c r="K1672" t="inlineStr">
        <is>
          <t>Boleto Bancário</t>
        </is>
      </c>
      <c r="L1672" t="inlineStr">
        <is>
          <t>Custo Mercadoria Vendida</t>
        </is>
      </c>
      <c r="M1672" t="inlineStr">
        <is>
          <t>Insumos - Alimentos</t>
        </is>
      </c>
      <c r="N1672" t="inlineStr">
        <is>
          <t>372805</t>
        </is>
      </c>
      <c r="O1672" t="inlineStr">
        <is>
          <t>Documentação Aprovada</t>
        </is>
      </c>
      <c r="P1672" t="inlineStr">
        <is>
          <t>Aprovado Diretoria</t>
        </is>
      </c>
      <c r="Q1672" t="inlineStr">
        <is>
          <t>Aprovado Caixa</t>
        </is>
      </c>
      <c r="R1672" t="inlineStr">
        <is>
          <t>Pago</t>
        </is>
      </c>
      <c r="S1672" t="n">
        <v>182</v>
      </c>
      <c r="T1672" t="inlineStr">
        <is>
          <t>Love - Shibari - Kamino</t>
        </is>
      </c>
    </row>
    <row r="1673">
      <c r="A1673" t="n">
        <v>140133</v>
      </c>
      <c r="B1673" t="n">
        <v>128</v>
      </c>
      <c r="C1673" t="inlineStr">
        <is>
          <t>Love Cabaret</t>
        </is>
      </c>
      <c r="D1673" t="inlineStr">
        <is>
          <t xml:space="preserve">EMPORIO MEL </t>
        </is>
      </c>
      <c r="E1673" t="n">
        <v>151.6</v>
      </c>
      <c r="F1673" s="27" t="n">
        <v>45834</v>
      </c>
      <c r="G1673" s="27" t="n">
        <v>45833</v>
      </c>
      <c r="H1673" s="27" t="n">
        <v>45833</v>
      </c>
      <c r="I1673" s="27" t="n">
        <v>45818</v>
      </c>
      <c r="J1673" s="27" t="n">
        <v>45825</v>
      </c>
      <c r="K1673" t="inlineStr">
        <is>
          <t>Boleto Bancário</t>
        </is>
      </c>
      <c r="L1673" t="inlineStr">
        <is>
          <t>Custo Mercadoria Vendida</t>
        </is>
      </c>
      <c r="M1673" t="inlineStr">
        <is>
          <t>Insumos - Alimentos</t>
        </is>
      </c>
      <c r="N1673" t="inlineStr">
        <is>
          <t>455947</t>
        </is>
      </c>
      <c r="O1673" t="inlineStr">
        <is>
          <t>Documentação Aprovada</t>
        </is>
      </c>
      <c r="P1673" t="inlineStr">
        <is>
          <t>Aprovado Diretoria</t>
        </is>
      </c>
      <c r="Q1673" t="inlineStr">
        <is>
          <t>Aprovado Caixa</t>
        </is>
      </c>
      <c r="R1673" t="inlineStr">
        <is>
          <t>Pago</t>
        </is>
      </c>
      <c r="S1673" t="n">
        <v>182</v>
      </c>
      <c r="T1673" t="inlineStr">
        <is>
          <t>Love - Shibari - Kamino</t>
        </is>
      </c>
    </row>
    <row r="1674">
      <c r="A1674" t="n">
        <v>140436</v>
      </c>
      <c r="B1674" t="n">
        <v>128</v>
      </c>
      <c r="C1674" t="inlineStr">
        <is>
          <t>Love Cabaret</t>
        </is>
      </c>
      <c r="D1674" t="inlineStr">
        <is>
          <t xml:space="preserve">ARENA VIP DISTRIBUIDORA DE BEBIDAS LTDA </t>
        </is>
      </c>
      <c r="E1674" t="n">
        <v>1550.4</v>
      </c>
      <c r="F1674" s="27" t="n">
        <v>45835</v>
      </c>
      <c r="G1674" s="27" t="n">
        <v>45833</v>
      </c>
      <c r="H1674" s="27" t="n">
        <v>45833</v>
      </c>
      <c r="I1674" s="27" t="n">
        <v>45821</v>
      </c>
      <c r="J1674" s="27" t="n">
        <v>45826</v>
      </c>
      <c r="K1674" t="inlineStr">
        <is>
          <t>Boleto Bancário</t>
        </is>
      </c>
      <c r="L1674" t="inlineStr">
        <is>
          <t>Custo Mercadoria Vendida</t>
        </is>
      </c>
      <c r="M1674" t="inlineStr">
        <is>
          <t>Insumos - Bebidas</t>
        </is>
      </c>
      <c r="N1674" t="inlineStr">
        <is>
          <t>5259</t>
        </is>
      </c>
      <c r="O1674" t="inlineStr">
        <is>
          <t>Documentação Aprovada</t>
        </is>
      </c>
      <c r="P1674" t="inlineStr">
        <is>
          <t>Aprovado Diretoria</t>
        </is>
      </c>
      <c r="Q1674" t="inlineStr">
        <is>
          <t>Aprovado Caixa</t>
        </is>
      </c>
      <c r="R1674" t="inlineStr">
        <is>
          <t>Pago</t>
        </is>
      </c>
      <c r="S1674" t="n">
        <v>182</v>
      </c>
      <c r="T1674" t="inlineStr">
        <is>
          <t>Love - Shibari - Kamino</t>
        </is>
      </c>
    </row>
    <row r="1675">
      <c r="A1675" t="n">
        <v>139028</v>
      </c>
      <c r="B1675" t="n">
        <v>128</v>
      </c>
      <c r="C1675" t="inlineStr">
        <is>
          <t>Love Cabaret</t>
        </is>
      </c>
      <c r="D1675" t="inlineStr">
        <is>
          <t xml:space="preserve">FABRICIO LUMINATO ADRIANO </t>
        </is>
      </c>
      <c r="E1675" t="n">
        <v>381.01</v>
      </c>
      <c r="F1675" s="27" t="n">
        <v>45831</v>
      </c>
      <c r="G1675" s="27" t="n">
        <v>45833</v>
      </c>
      <c r="H1675" s="27" t="n">
        <v>45833</v>
      </c>
      <c r="I1675" s="27" t="n">
        <v>45819</v>
      </c>
      <c r="J1675" s="27" t="n">
        <v>45819</v>
      </c>
      <c r="K1675" t="inlineStr">
        <is>
          <t>Boleto Bancário</t>
        </is>
      </c>
      <c r="L1675" t="inlineStr">
        <is>
          <t>Custo Mercadoria Vendida</t>
        </is>
      </c>
      <c r="M1675" t="inlineStr">
        <is>
          <t>Insumos - Alimentos</t>
        </is>
      </c>
      <c r="N1675" t="inlineStr">
        <is>
          <t>9</t>
        </is>
      </c>
      <c r="O1675" t="inlineStr">
        <is>
          <t>Documentação Aprovada</t>
        </is>
      </c>
      <c r="P1675" t="inlineStr">
        <is>
          <t>Aprovado Diretoria</t>
        </is>
      </c>
      <c r="Q1675" t="inlineStr">
        <is>
          <t>Aprovado Caixa</t>
        </is>
      </c>
      <c r="R1675" t="inlineStr">
        <is>
          <t>Pago</t>
        </is>
      </c>
      <c r="S1675" t="n">
        <v>182</v>
      </c>
      <c r="T1675" t="inlineStr">
        <is>
          <t>Love - Shibari - Kamino</t>
        </is>
      </c>
    </row>
    <row r="1676">
      <c r="A1676" t="n">
        <v>138939</v>
      </c>
      <c r="B1676" t="n">
        <v>128</v>
      </c>
      <c r="C1676" t="inlineStr">
        <is>
          <t>Love Cabaret</t>
        </is>
      </c>
      <c r="D1676" t="inlineStr">
        <is>
          <t>RENATO DE SOUZA SANTANA</t>
        </is>
      </c>
      <c r="E1676" t="n">
        <v>4700</v>
      </c>
      <c r="F1676" s="27" t="n">
        <v>45833</v>
      </c>
      <c r="G1676" s="27" t="n">
        <v>45832</v>
      </c>
      <c r="H1676" s="27" t="n">
        <v>45833</v>
      </c>
      <c r="I1676" s="27" t="n">
        <v>45818</v>
      </c>
      <c r="J1676" s="27" t="n">
        <v>45819</v>
      </c>
      <c r="K1676" t="inlineStr">
        <is>
          <t>Transferência Bancária ou Pix</t>
        </is>
      </c>
      <c r="L1676" t="inlineStr">
        <is>
          <t>Custos de Eventos</t>
        </is>
      </c>
      <c r="M1676" t="inlineStr">
        <is>
          <t>Locação de Equipamentos - Eventos</t>
        </is>
      </c>
      <c r="N1676" t="inlineStr">
        <is>
          <t>062025</t>
        </is>
      </c>
      <c r="O1676" t="inlineStr">
        <is>
          <t>Documentação Aprovada</t>
        </is>
      </c>
      <c r="P1676" t="inlineStr">
        <is>
          <t>Aprovado Diretoria</t>
        </is>
      </c>
      <c r="Q1676" t="inlineStr">
        <is>
          <t>Aprovado Caixa</t>
        </is>
      </c>
      <c r="R1676" t="inlineStr">
        <is>
          <t>Pago</t>
        </is>
      </c>
      <c r="S1676" t="n">
        <v>115</v>
      </c>
      <c r="T1676" t="inlineStr">
        <is>
          <t>Love - Shibari - Bradesco</t>
        </is>
      </c>
    </row>
    <row r="1677">
      <c r="A1677" t="n">
        <v>141756</v>
      </c>
      <c r="B1677" t="n">
        <v>128</v>
      </c>
      <c r="C1677" t="inlineStr">
        <is>
          <t>Love Cabaret</t>
        </is>
      </c>
      <c r="D1677" t="inlineStr">
        <is>
          <t>BRADESCO SA</t>
        </is>
      </c>
      <c r="E1677" t="n">
        <v>19.6</v>
      </c>
      <c r="F1677" s="27" t="n">
        <v>45833</v>
      </c>
      <c r="G1677" s="27" t="n"/>
      <c r="H1677" s="27" t="n">
        <v>45833</v>
      </c>
      <c r="I1677" s="27" t="n">
        <v>45833</v>
      </c>
      <c r="J1677" s="27" t="n">
        <v>45834</v>
      </c>
      <c r="K1677" t="inlineStr">
        <is>
          <t>Encontro de Contas</t>
        </is>
      </c>
      <c r="L1677" t="inlineStr">
        <is>
          <t>Despesas Financeiras</t>
        </is>
      </c>
      <c r="M1677" t="inlineStr">
        <is>
          <t>Tarifas Bancárias</t>
        </is>
      </c>
      <c r="N1677" t="inlineStr">
        <is>
          <t>062025</t>
        </is>
      </c>
      <c r="P1677" t="inlineStr">
        <is>
          <t>Aprovado Diretoria</t>
        </is>
      </c>
      <c r="R1677" t="inlineStr">
        <is>
          <t>Pago</t>
        </is>
      </c>
    </row>
    <row r="1678">
      <c r="A1678" t="n">
        <v>135474</v>
      </c>
      <c r="B1678" t="n">
        <v>128</v>
      </c>
      <c r="C1678" t="inlineStr">
        <is>
          <t>Love Cabaret</t>
        </is>
      </c>
      <c r="D1678" t="inlineStr">
        <is>
          <t xml:space="preserve">EMPORIO MEL </t>
        </is>
      </c>
      <c r="E1678" t="n">
        <v>604.45</v>
      </c>
      <c r="F1678" s="27" t="n">
        <v>45834</v>
      </c>
      <c r="G1678" s="27" t="n">
        <v>45833</v>
      </c>
      <c r="H1678" s="27" t="n">
        <v>45833</v>
      </c>
      <c r="I1678" s="27" t="n">
        <v>45803</v>
      </c>
      <c r="J1678" s="27" t="n">
        <v>45807</v>
      </c>
      <c r="K1678" t="inlineStr">
        <is>
          <t>Boleto Bancário</t>
        </is>
      </c>
      <c r="L1678" t="inlineStr">
        <is>
          <t>Custo Mercadoria Vendida</t>
        </is>
      </c>
      <c r="M1678" t="inlineStr">
        <is>
          <t>Insumos - Alimentos</t>
        </is>
      </c>
      <c r="N1678" t="inlineStr">
        <is>
          <t>453410</t>
        </is>
      </c>
      <c r="O1678" t="inlineStr">
        <is>
          <t>Documentação Aprovada</t>
        </is>
      </c>
      <c r="P1678" t="inlineStr">
        <is>
          <t>Aprovado Diretoria</t>
        </is>
      </c>
      <c r="Q1678" t="inlineStr">
        <is>
          <t>Aprovado Caixa</t>
        </is>
      </c>
      <c r="R1678" t="inlineStr">
        <is>
          <t>Pago</t>
        </is>
      </c>
      <c r="S1678" t="n">
        <v>182</v>
      </c>
      <c r="T1678" t="inlineStr">
        <is>
          <t>Love - Shibari - Kamino</t>
        </is>
      </c>
    </row>
    <row r="1679">
      <c r="A1679" t="n">
        <v>134549</v>
      </c>
      <c r="B1679" t="n">
        <v>128</v>
      </c>
      <c r="C1679" t="inlineStr">
        <is>
          <t>Love Cabaret</t>
        </is>
      </c>
      <c r="D1679" t="inlineStr">
        <is>
          <t>PJ23824129000110 - FELIPE DA COSTA SANTOS</t>
        </is>
      </c>
      <c r="E1679" t="n">
        <v>96.3</v>
      </c>
      <c r="F1679" s="27" t="n">
        <v>45835</v>
      </c>
      <c r="G1679" s="27" t="n">
        <v>45833</v>
      </c>
      <c r="H1679" s="27" t="n">
        <v>45833</v>
      </c>
      <c r="I1679" s="27" t="n">
        <v>45807</v>
      </c>
      <c r="J1679" s="27" t="n">
        <v>45804</v>
      </c>
      <c r="K1679" t="inlineStr">
        <is>
          <t>Cartão de Crédito</t>
        </is>
      </c>
      <c r="L1679" t="inlineStr">
        <is>
          <t>Utilidades</t>
        </is>
      </c>
      <c r="M1679" t="inlineStr">
        <is>
          <t>Utensilios</t>
        </is>
      </c>
      <c r="N1679" t="inlineStr">
        <is>
          <t>8PETTY052025</t>
        </is>
      </c>
      <c r="O1679" t="inlineStr">
        <is>
          <t>Documentação Aprovada</t>
        </is>
      </c>
      <c r="P1679" t="inlineStr">
        <is>
          <t>Aprovado Diretoria</t>
        </is>
      </c>
      <c r="Q1679" t="inlineStr">
        <is>
          <t>Aprovado Caixa</t>
        </is>
      </c>
      <c r="R1679" t="inlineStr">
        <is>
          <t>Pago</t>
        </is>
      </c>
      <c r="S1679" t="n">
        <v>182</v>
      </c>
      <c r="T1679" t="inlineStr">
        <is>
          <t>Love - Shibari - Kamino</t>
        </is>
      </c>
    </row>
    <row r="1680">
      <c r="A1680" t="n">
        <v>96912</v>
      </c>
      <c r="B1680" t="n">
        <v>128</v>
      </c>
      <c r="C1680" t="inlineStr">
        <is>
          <t>Love Cabaret</t>
        </is>
      </c>
      <c r="D1680" t="inlineStr">
        <is>
          <t>COFINS</t>
        </is>
      </c>
      <c r="E1680" t="n">
        <v>8966.01</v>
      </c>
      <c r="F1680" s="27" t="n">
        <v>45833</v>
      </c>
      <c r="G1680" s="27" t="n">
        <v>45832</v>
      </c>
      <c r="H1680" s="27" t="n">
        <v>45833</v>
      </c>
      <c r="I1680" s="27" t="n">
        <v>45807</v>
      </c>
      <c r="J1680" s="27" t="n"/>
      <c r="K1680" t="inlineStr">
        <is>
          <t>Boleto Bancário</t>
        </is>
      </c>
      <c r="L1680" t="inlineStr">
        <is>
          <t>Impostos sobre Venda</t>
        </is>
      </c>
      <c r="M1680" t="inlineStr">
        <is>
          <t>PIS / COFINS</t>
        </is>
      </c>
      <c r="N1680" t="inlineStr">
        <is>
          <t>052025</t>
        </is>
      </c>
      <c r="O1680" t="inlineStr">
        <is>
          <t>Documentação Aprovada</t>
        </is>
      </c>
      <c r="P1680" t="inlineStr">
        <is>
          <t>Aprovado Diretoria</t>
        </is>
      </c>
      <c r="Q1680" t="inlineStr">
        <is>
          <t>Aprovado Caixa</t>
        </is>
      </c>
      <c r="R1680" t="inlineStr">
        <is>
          <t>Pago</t>
        </is>
      </c>
      <c r="S1680" t="n">
        <v>182</v>
      </c>
      <c r="T1680" t="inlineStr">
        <is>
          <t>Love - Shibari - Kamino</t>
        </is>
      </c>
    </row>
    <row r="1681">
      <c r="A1681" t="n">
        <v>97106</v>
      </c>
      <c r="B1681" t="n">
        <v>128</v>
      </c>
      <c r="C1681" t="inlineStr">
        <is>
          <t>Love Cabaret</t>
        </is>
      </c>
      <c r="D1681" t="inlineStr">
        <is>
          <t>ESTAFF SOLUCOES TECNOLOGICAS DE AGENCIAMENTO LTDA</t>
        </is>
      </c>
      <c r="E1681" t="n">
        <v>16436.76</v>
      </c>
      <c r="F1681" s="27" t="n">
        <v>45833</v>
      </c>
      <c r="G1681" s="27" t="n">
        <v>45832</v>
      </c>
      <c r="H1681" s="27" t="n">
        <v>45833</v>
      </c>
      <c r="I1681" s="27" t="n">
        <v>45824</v>
      </c>
      <c r="J1681" s="27" t="n"/>
      <c r="K1681" t="inlineStr">
        <is>
          <t>Boleto Bancário</t>
        </is>
      </c>
      <c r="L1681" t="inlineStr">
        <is>
          <t>Mão de Obra - Extra</t>
        </is>
      </c>
      <c r="M1681" t="inlineStr">
        <is>
          <t>Mão de Obra Extra</t>
        </is>
      </c>
      <c r="N1681" t="inlineStr">
        <is>
          <t>586059365</t>
        </is>
      </c>
      <c r="O1681" t="inlineStr">
        <is>
          <t>Documentação Aprovada</t>
        </is>
      </c>
      <c r="P1681" t="inlineStr">
        <is>
          <t>Aprovado Diretoria</t>
        </is>
      </c>
      <c r="Q1681" t="inlineStr">
        <is>
          <t>Aprovado Caixa</t>
        </is>
      </c>
      <c r="R1681" t="inlineStr">
        <is>
          <t>Pago</t>
        </is>
      </c>
      <c r="S1681" t="n">
        <v>182</v>
      </c>
      <c r="T1681" t="inlineStr">
        <is>
          <t>Love - Shibari - Kamino</t>
        </is>
      </c>
    </row>
    <row r="1682">
      <c r="A1682" t="n">
        <v>103010</v>
      </c>
      <c r="B1682" t="n">
        <v>128</v>
      </c>
      <c r="C1682" t="inlineStr">
        <is>
          <t>Love Cabaret</t>
        </is>
      </c>
      <c r="D1682" t="inlineStr">
        <is>
          <t>TELEFONICA BRASIL S/A</t>
        </is>
      </c>
      <c r="E1682" t="n">
        <v>21.71</v>
      </c>
      <c r="F1682" s="27" t="n">
        <v>45835</v>
      </c>
      <c r="G1682" s="27" t="n">
        <v>45833</v>
      </c>
      <c r="H1682" s="27" t="n">
        <v>45833</v>
      </c>
      <c r="I1682" s="27" t="n">
        <v>45794</v>
      </c>
      <c r="J1682" s="27" t="n"/>
      <c r="K1682" t="inlineStr">
        <is>
          <t>Boleto Bancário</t>
        </is>
      </c>
      <c r="L1682" t="inlineStr">
        <is>
          <t>Informática e TI</t>
        </is>
      </c>
      <c r="M1682" t="inlineStr">
        <is>
          <t>Internet</t>
        </is>
      </c>
      <c r="N1682" t="inlineStr">
        <is>
          <t>0443836731</t>
        </is>
      </c>
      <c r="O1682" t="inlineStr">
        <is>
          <t>Documentação Aprovada</t>
        </is>
      </c>
      <c r="P1682" t="inlineStr">
        <is>
          <t>Aprovado Diretoria</t>
        </is>
      </c>
      <c r="Q1682" t="inlineStr">
        <is>
          <t>Aprovado Caixa</t>
        </is>
      </c>
      <c r="R1682" t="inlineStr">
        <is>
          <t>Pago</t>
        </is>
      </c>
      <c r="S1682" t="n">
        <v>182</v>
      </c>
      <c r="T1682" t="inlineStr">
        <is>
          <t>Love - Shibari - Kamino</t>
        </is>
      </c>
    </row>
    <row r="1683">
      <c r="A1683" t="n">
        <v>103022</v>
      </c>
      <c r="B1683" t="n">
        <v>128</v>
      </c>
      <c r="C1683" t="inlineStr">
        <is>
          <t>Love Cabaret</t>
        </is>
      </c>
      <c r="D1683" t="inlineStr">
        <is>
          <t>TELEFONICA BRASIL S/A</t>
        </is>
      </c>
      <c r="E1683" t="n">
        <v>93.7</v>
      </c>
      <c r="F1683" s="27" t="n">
        <v>45833</v>
      </c>
      <c r="G1683" s="27" t="n">
        <v>45832</v>
      </c>
      <c r="H1683" s="27" t="n">
        <v>45833</v>
      </c>
      <c r="I1683" s="27" t="n">
        <v>45812</v>
      </c>
      <c r="J1683" s="27" t="n"/>
      <c r="K1683" t="inlineStr">
        <is>
          <t>Boleto Bancário</t>
        </is>
      </c>
      <c r="L1683" t="inlineStr">
        <is>
          <t>Informática e TI</t>
        </is>
      </c>
      <c r="M1683" t="inlineStr">
        <is>
          <t>Telefone</t>
        </is>
      </c>
      <c r="N1683" t="inlineStr">
        <is>
          <t>0434906426</t>
        </is>
      </c>
      <c r="O1683" t="inlineStr">
        <is>
          <t>Documentação Aprovada</t>
        </is>
      </c>
      <c r="P1683" t="inlineStr">
        <is>
          <t>Aprovado Diretoria</t>
        </is>
      </c>
      <c r="Q1683" t="inlineStr">
        <is>
          <t>Aprovado Caixa</t>
        </is>
      </c>
      <c r="R1683" t="inlineStr">
        <is>
          <t>Pago</t>
        </is>
      </c>
      <c r="S1683" t="n">
        <v>182</v>
      </c>
      <c r="T1683" t="inlineStr">
        <is>
          <t>Love - Shibari - Kamino</t>
        </is>
      </c>
    </row>
    <row r="1684">
      <c r="A1684" t="n">
        <v>102997</v>
      </c>
      <c r="B1684" t="n">
        <v>128</v>
      </c>
      <c r="C1684" t="inlineStr">
        <is>
          <t>Love Cabaret</t>
        </is>
      </c>
      <c r="D1684" t="inlineStr">
        <is>
          <t>TELEFONICA BRASIL S/A</t>
        </is>
      </c>
      <c r="E1684" t="n">
        <v>487.66</v>
      </c>
      <c r="F1684" s="27" t="n">
        <v>45835</v>
      </c>
      <c r="G1684" s="27" t="n">
        <v>45833</v>
      </c>
      <c r="H1684" s="27" t="n">
        <v>45833</v>
      </c>
      <c r="I1684" s="27" t="n">
        <v>45825</v>
      </c>
      <c r="J1684" s="27" t="n"/>
      <c r="K1684" t="inlineStr">
        <is>
          <t>Boleto Bancário</t>
        </is>
      </c>
      <c r="L1684" t="inlineStr">
        <is>
          <t>Informática e TI</t>
        </is>
      </c>
      <c r="M1684" t="inlineStr">
        <is>
          <t>Internet</t>
        </is>
      </c>
      <c r="N1684" t="inlineStr">
        <is>
          <t>0443318083</t>
        </is>
      </c>
      <c r="O1684" t="inlineStr">
        <is>
          <t>Documentação Aprovada</t>
        </is>
      </c>
      <c r="P1684" t="inlineStr">
        <is>
          <t>Aprovado Diretoria</t>
        </is>
      </c>
      <c r="Q1684" t="inlineStr">
        <is>
          <t>Aprovado Caixa</t>
        </is>
      </c>
      <c r="R1684" t="inlineStr">
        <is>
          <t>Pago</t>
        </is>
      </c>
      <c r="S1684" t="n">
        <v>182</v>
      </c>
      <c r="T1684" t="inlineStr">
        <is>
          <t>Love - Shibari - Kamino</t>
        </is>
      </c>
    </row>
    <row r="1685">
      <c r="A1685" t="n">
        <v>103034</v>
      </c>
      <c r="B1685" t="n">
        <v>128</v>
      </c>
      <c r="C1685" t="inlineStr">
        <is>
          <t>Love Cabaret</t>
        </is>
      </c>
      <c r="D1685" t="inlineStr">
        <is>
          <t>TELEFONICA BRASIL S/A</t>
        </is>
      </c>
      <c r="E1685" t="n">
        <v>327.09</v>
      </c>
      <c r="F1685" s="27" t="n">
        <v>45833</v>
      </c>
      <c r="G1685" s="27" t="n">
        <v>45832</v>
      </c>
      <c r="H1685" s="27" t="n">
        <v>45833</v>
      </c>
      <c r="I1685" s="27" t="n">
        <v>45812</v>
      </c>
      <c r="J1685" s="27" t="n"/>
      <c r="K1685" t="inlineStr">
        <is>
          <t>Boleto Bancário</t>
        </is>
      </c>
      <c r="L1685" t="inlineStr">
        <is>
          <t>Informática e TI</t>
        </is>
      </c>
      <c r="M1685" t="inlineStr">
        <is>
          <t>Internet</t>
        </is>
      </c>
      <c r="N1685" t="inlineStr">
        <is>
          <t>0455530810</t>
        </is>
      </c>
      <c r="O1685" t="inlineStr">
        <is>
          <t>Documentação Aprovada</t>
        </is>
      </c>
      <c r="P1685" t="inlineStr">
        <is>
          <t>Aprovado Diretoria</t>
        </is>
      </c>
      <c r="Q1685" t="inlineStr">
        <is>
          <t>Aprovado Caixa</t>
        </is>
      </c>
      <c r="R1685" t="inlineStr">
        <is>
          <t>Pago</t>
        </is>
      </c>
      <c r="S1685" t="n">
        <v>182</v>
      </c>
      <c r="T1685" t="inlineStr">
        <is>
          <t>Love - Shibari - Kamino</t>
        </is>
      </c>
    </row>
    <row r="1686">
      <c r="A1686" t="n">
        <v>97544</v>
      </c>
      <c r="B1686" t="n">
        <v>128</v>
      </c>
      <c r="C1686" t="inlineStr">
        <is>
          <t>Love Cabaret</t>
        </is>
      </c>
      <c r="D1686" t="inlineStr">
        <is>
          <t>PIS</t>
        </is>
      </c>
      <c r="E1686" t="n">
        <v>1942.64</v>
      </c>
      <c r="F1686" s="27" t="n">
        <v>45833</v>
      </c>
      <c r="G1686" s="27" t="n">
        <v>45832</v>
      </c>
      <c r="H1686" s="27" t="n">
        <v>45833</v>
      </c>
      <c r="I1686" s="27" t="n">
        <v>45808</v>
      </c>
      <c r="J1686" s="27" t="n"/>
      <c r="K1686" t="inlineStr">
        <is>
          <t>Boleto Bancário</t>
        </is>
      </c>
      <c r="L1686" t="inlineStr">
        <is>
          <t>Impostos sobre Venda</t>
        </is>
      </c>
      <c r="M1686" t="inlineStr">
        <is>
          <t>PIS S/ SERVICO</t>
        </is>
      </c>
      <c r="N1686" t="inlineStr">
        <is>
          <t>052025</t>
        </is>
      </c>
      <c r="O1686" t="inlineStr">
        <is>
          <t>Documentação Aprovada</t>
        </is>
      </c>
      <c r="P1686" t="inlineStr">
        <is>
          <t>Aprovado Diretoria</t>
        </is>
      </c>
      <c r="Q1686" t="inlineStr">
        <is>
          <t>Aprovado Caixa</t>
        </is>
      </c>
      <c r="R1686" t="inlineStr">
        <is>
          <t>Pago</t>
        </is>
      </c>
      <c r="S1686" t="n">
        <v>182</v>
      </c>
      <c r="T1686" t="inlineStr">
        <is>
          <t>Love - Shibari - Kamino</t>
        </is>
      </c>
    </row>
    <row r="1687">
      <c r="A1687" t="n">
        <v>97365</v>
      </c>
      <c r="B1687" t="n">
        <v>128</v>
      </c>
      <c r="C1687" t="inlineStr">
        <is>
          <t>Love Cabaret</t>
        </is>
      </c>
      <c r="D1687" t="inlineStr">
        <is>
          <t xml:space="preserve">EDIMAR MOURA TARTAGLIONI SERVICOES DE DEDETIZACAO </t>
        </is>
      </c>
      <c r="E1687" t="n">
        <v>630</v>
      </c>
      <c r="F1687" s="27" t="n">
        <v>45838</v>
      </c>
      <c r="G1687" s="27" t="n">
        <v>45832</v>
      </c>
      <c r="H1687" s="27" t="n">
        <v>45833</v>
      </c>
      <c r="I1687" s="27" t="n">
        <v>45813</v>
      </c>
      <c r="J1687" s="27" t="n"/>
      <c r="K1687" t="inlineStr">
        <is>
          <t>Transferência Bancária ou Pix</t>
        </is>
      </c>
      <c r="L1687" t="inlineStr">
        <is>
          <t>Utilidades</t>
        </is>
      </c>
      <c r="M1687" t="inlineStr">
        <is>
          <t>Controle de Pragas</t>
        </is>
      </c>
      <c r="N1687" t="inlineStr">
        <is>
          <t>545</t>
        </is>
      </c>
      <c r="O1687" t="inlineStr">
        <is>
          <t>Documentação Aprovada</t>
        </is>
      </c>
      <c r="P1687" t="inlineStr">
        <is>
          <t>Aprovado Diretoria</t>
        </is>
      </c>
      <c r="Q1687" t="inlineStr">
        <is>
          <t>Aprovado Caixa</t>
        </is>
      </c>
      <c r="R1687" t="inlineStr">
        <is>
          <t>Pago</t>
        </is>
      </c>
      <c r="S1687" t="n">
        <v>182</v>
      </c>
      <c r="T1687" t="inlineStr">
        <is>
          <t>Love - Shibari - Kamino</t>
        </is>
      </c>
    </row>
    <row r="1688">
      <c r="A1688" t="n">
        <v>108225</v>
      </c>
      <c r="B1688" t="n">
        <v>128</v>
      </c>
      <c r="C1688" t="inlineStr">
        <is>
          <t>Love Cabaret</t>
        </is>
      </c>
      <c r="D1688" t="inlineStr">
        <is>
          <t>DLOCAL BRASIL PAGAMENTOS LTDA  - DMK</t>
        </is>
      </c>
      <c r="E1688" t="n">
        <v>5000</v>
      </c>
      <c r="F1688" s="27" t="n">
        <v>45835</v>
      </c>
      <c r="G1688" s="27" t="n">
        <v>45833</v>
      </c>
      <c r="H1688" s="27" t="n">
        <v>45833</v>
      </c>
      <c r="I1688" s="27" t="n">
        <v>45828</v>
      </c>
      <c r="J1688" s="27" t="n"/>
      <c r="K1688" t="inlineStr">
        <is>
          <t>Boleto Bancário</t>
        </is>
      </c>
      <c r="L1688" t="inlineStr">
        <is>
          <t>Marketing</t>
        </is>
      </c>
      <c r="M1688" t="inlineStr">
        <is>
          <t>Publicidade e Propaganda</t>
        </is>
      </c>
      <c r="N1688" t="inlineStr">
        <is>
          <t xml:space="preserve">043983589048618 </t>
        </is>
      </c>
      <c r="O1688" t="inlineStr">
        <is>
          <t>Documentação Aprovada</t>
        </is>
      </c>
      <c r="P1688" t="inlineStr">
        <is>
          <t>Aprovado Diretoria</t>
        </is>
      </c>
      <c r="Q1688" t="inlineStr">
        <is>
          <t>Aprovado Caixa</t>
        </is>
      </c>
      <c r="R1688" t="inlineStr">
        <is>
          <t>Pago</t>
        </is>
      </c>
      <c r="S1688" t="n">
        <v>182</v>
      </c>
      <c r="T1688" t="inlineStr">
        <is>
          <t>Love - Shibari - Kamino</t>
        </is>
      </c>
    </row>
    <row r="1689">
      <c r="A1689" t="n">
        <v>108203</v>
      </c>
      <c r="B1689" t="n">
        <v>128</v>
      </c>
      <c r="C1689" t="inlineStr">
        <is>
          <t>Love Cabaret</t>
        </is>
      </c>
      <c r="D1689" t="inlineStr">
        <is>
          <t xml:space="preserve">GOOGLE BRASIL INTERNET LTDA </t>
        </is>
      </c>
      <c r="E1689" t="n">
        <v>1000</v>
      </c>
      <c r="F1689" s="27" t="n">
        <v>45836</v>
      </c>
      <c r="G1689" s="27" t="n">
        <v>45833</v>
      </c>
      <c r="H1689" s="27" t="n">
        <v>45831</v>
      </c>
      <c r="I1689" s="27" t="n">
        <v>45836</v>
      </c>
      <c r="J1689" s="27" t="n"/>
      <c r="K1689" t="inlineStr">
        <is>
          <t>Boleto Bancário</t>
        </is>
      </c>
      <c r="L1689" t="inlineStr">
        <is>
          <t>Marketing</t>
        </is>
      </c>
      <c r="M1689" t="inlineStr">
        <is>
          <t>Publicidade e Propaganda</t>
        </is>
      </c>
      <c r="N1689" t="inlineStr">
        <is>
          <t>062025</t>
        </is>
      </c>
      <c r="O1689" t="inlineStr">
        <is>
          <t>Documentação Aprovada</t>
        </is>
      </c>
      <c r="P1689" t="inlineStr">
        <is>
          <t>Aprovado Diretoria</t>
        </is>
      </c>
      <c r="Q1689" t="inlineStr">
        <is>
          <t>Aprovado Caixa</t>
        </is>
      </c>
      <c r="R1689" t="inlineStr">
        <is>
          <t>Pago</t>
        </is>
      </c>
      <c r="S1689" t="n">
        <v>182</v>
      </c>
      <c r="T1689" t="inlineStr">
        <is>
          <t>Love - Shibari - Kamino</t>
        </is>
      </c>
    </row>
    <row r="1690">
      <c r="A1690" t="n">
        <v>106687</v>
      </c>
      <c r="B1690" t="n">
        <v>128</v>
      </c>
      <c r="C1690" t="inlineStr">
        <is>
          <t>Love Cabaret</t>
        </is>
      </c>
      <c r="D1690" t="inlineStr">
        <is>
          <t>AURORA ALVORADA ESTACIONAMENTO E LANCHONETE LTDA</t>
        </is>
      </c>
      <c r="E1690" t="n">
        <v>223.34</v>
      </c>
      <c r="F1690" s="27" t="n">
        <v>45832</v>
      </c>
      <c r="G1690" s="27" t="n">
        <v>45831</v>
      </c>
      <c r="H1690" s="27" t="n">
        <v>45831</v>
      </c>
      <c r="I1690" s="27" t="n">
        <v>45824</v>
      </c>
      <c r="J1690" s="27" t="n"/>
      <c r="K1690" t="inlineStr">
        <is>
          <t>Boleto Bancário</t>
        </is>
      </c>
      <c r="L1690" t="inlineStr">
        <is>
          <t>Custo Mercadoria Vendida</t>
        </is>
      </c>
      <c r="M1690" t="inlineStr">
        <is>
          <t>Insumos - Alimentos</t>
        </is>
      </c>
      <c r="N1690" t="inlineStr">
        <is>
          <t>10681</t>
        </is>
      </c>
      <c r="O1690" t="inlineStr">
        <is>
          <t>Documentação Aprovada</t>
        </is>
      </c>
      <c r="P1690" t="inlineStr">
        <is>
          <t>Aprovado Diretoria</t>
        </is>
      </c>
      <c r="Q1690" t="inlineStr">
        <is>
          <t>Aprovado Caixa</t>
        </is>
      </c>
      <c r="R1690" t="inlineStr">
        <is>
          <t>Pago</t>
        </is>
      </c>
      <c r="S1690" t="n">
        <v>182</v>
      </c>
      <c r="T1690" t="inlineStr">
        <is>
          <t>Love - Shibari - Kamino</t>
        </is>
      </c>
    </row>
    <row r="1691">
      <c r="A1691" t="n">
        <v>96899</v>
      </c>
      <c r="B1691" t="n">
        <v>128</v>
      </c>
      <c r="C1691" t="inlineStr">
        <is>
          <t>Love Cabaret</t>
        </is>
      </c>
      <c r="D1691" t="inlineStr">
        <is>
          <t>COMPANHIA DE GAS DE SAO PAULO</t>
        </is>
      </c>
      <c r="E1691" t="n">
        <v>1556.52</v>
      </c>
      <c r="F1691" s="27" t="n">
        <v>45832</v>
      </c>
      <c r="G1691" s="27" t="n">
        <v>45831</v>
      </c>
      <c r="H1691" s="27" t="n">
        <v>45831</v>
      </c>
      <c r="I1691" s="27" t="n">
        <v>45818</v>
      </c>
      <c r="J1691" s="27" t="n"/>
      <c r="K1691" t="inlineStr">
        <is>
          <t>Boleto Bancário</t>
        </is>
      </c>
      <c r="L1691" t="inlineStr">
        <is>
          <t>Utilidades</t>
        </is>
      </c>
      <c r="M1691" t="inlineStr">
        <is>
          <t>Gas de Cozinha</t>
        </is>
      </c>
      <c r="N1691" t="inlineStr">
        <is>
          <t>126.283.793</t>
        </is>
      </c>
      <c r="O1691" t="inlineStr">
        <is>
          <t>Documentação Aprovada</t>
        </is>
      </c>
      <c r="P1691" t="inlineStr">
        <is>
          <t>Aprovado Diretoria</t>
        </is>
      </c>
      <c r="Q1691" t="inlineStr">
        <is>
          <t>Aprovado Caixa</t>
        </is>
      </c>
      <c r="R1691" t="inlineStr">
        <is>
          <t>Pago</t>
        </is>
      </c>
      <c r="S1691" t="n">
        <v>182</v>
      </c>
      <c r="T1691" t="inlineStr">
        <is>
          <t>Love - Shibari - Kamino</t>
        </is>
      </c>
    </row>
    <row r="1692">
      <c r="A1692" t="n">
        <v>96884</v>
      </c>
      <c r="B1692" t="n">
        <v>128</v>
      </c>
      <c r="C1692" t="inlineStr">
        <is>
          <t>Love Cabaret</t>
        </is>
      </c>
      <c r="D1692" t="inlineStr">
        <is>
          <t>ALPHALIX AMBIENTEAL LOC/ DE EQUIPAMENTOS EIRELI</t>
        </is>
      </c>
      <c r="E1692" t="n">
        <v>1335.89</v>
      </c>
      <c r="F1692" s="27" t="n">
        <v>45832</v>
      </c>
      <c r="G1692" s="27" t="n">
        <v>45831</v>
      </c>
      <c r="H1692" s="27" t="n">
        <v>45831</v>
      </c>
      <c r="I1692" s="27" t="n">
        <v>45807</v>
      </c>
      <c r="J1692" s="27" t="n"/>
      <c r="K1692" t="inlineStr">
        <is>
          <t>Boleto Bancário</t>
        </is>
      </c>
      <c r="L1692" t="inlineStr">
        <is>
          <t>Utilidades</t>
        </is>
      </c>
      <c r="M1692" t="inlineStr">
        <is>
          <t>Coleta de lixo</t>
        </is>
      </c>
      <c r="N1692" t="inlineStr">
        <is>
          <t>45934</t>
        </is>
      </c>
      <c r="O1692" t="inlineStr">
        <is>
          <t>Documentação Aprovada</t>
        </is>
      </c>
      <c r="P1692" t="inlineStr">
        <is>
          <t>Aprovado Diretoria</t>
        </is>
      </c>
      <c r="Q1692" t="inlineStr">
        <is>
          <t>Aprovado Caixa</t>
        </is>
      </c>
      <c r="R1692" t="inlineStr">
        <is>
          <t>Pago</t>
        </is>
      </c>
      <c r="S1692" t="n">
        <v>182</v>
      </c>
      <c r="T1692" t="inlineStr">
        <is>
          <t>Love - Shibari - Kamino</t>
        </is>
      </c>
    </row>
    <row r="1693">
      <c r="A1693" t="n">
        <v>102841</v>
      </c>
      <c r="B1693" t="n">
        <v>128</v>
      </c>
      <c r="C1693" t="inlineStr">
        <is>
          <t>Love Cabaret</t>
        </is>
      </c>
      <c r="D1693" t="inlineStr">
        <is>
          <t>INVYE CAPITAL LTDA</t>
        </is>
      </c>
      <c r="E1693" t="n">
        <v>1200</v>
      </c>
      <c r="F1693" s="27" t="n">
        <v>45833</v>
      </c>
      <c r="G1693" s="27" t="n">
        <v>45831</v>
      </c>
      <c r="H1693" s="27" t="n">
        <v>45831</v>
      </c>
      <c r="I1693" s="27" t="n">
        <v>45817</v>
      </c>
      <c r="J1693" s="27" t="n"/>
      <c r="K1693" t="inlineStr">
        <is>
          <t>Boleto Bancário</t>
        </is>
      </c>
      <c r="L1693" t="inlineStr">
        <is>
          <t>Serviços de Terceiros</t>
        </is>
      </c>
      <c r="M1693" t="inlineStr">
        <is>
          <t>Assessoria em Geral</t>
        </is>
      </c>
      <c r="N1693" t="inlineStr">
        <is>
          <t>2604</t>
        </is>
      </c>
      <c r="O1693" t="inlineStr">
        <is>
          <t>Documentação Aprovada</t>
        </is>
      </c>
      <c r="P1693" t="inlineStr">
        <is>
          <t>Aprovado Diretoria</t>
        </is>
      </c>
      <c r="Q1693" t="inlineStr">
        <is>
          <t>Aprovado Caixa</t>
        </is>
      </c>
      <c r="R1693" t="inlineStr">
        <is>
          <t>Pago</t>
        </is>
      </c>
      <c r="S1693" t="n">
        <v>182</v>
      </c>
      <c r="T1693" t="inlineStr">
        <is>
          <t>Love - Shibari - Kamino</t>
        </is>
      </c>
    </row>
    <row r="1694">
      <c r="A1694" t="n">
        <v>135452</v>
      </c>
      <c r="B1694" t="n">
        <v>128</v>
      </c>
      <c r="C1694" t="inlineStr">
        <is>
          <t>Love Cabaret</t>
        </is>
      </c>
      <c r="D1694" t="inlineStr">
        <is>
          <t>HORTICLEAN DISTRIBUIDORA DE HORTIFRUTI LTDA</t>
        </is>
      </c>
      <c r="E1694" t="n">
        <v>181.19</v>
      </c>
      <c r="F1694" s="27" t="n">
        <v>45832</v>
      </c>
      <c r="G1694" s="27" t="n">
        <v>45831</v>
      </c>
      <c r="H1694" s="27" t="n">
        <v>45831</v>
      </c>
      <c r="I1694" s="27" t="n">
        <v>45803</v>
      </c>
      <c r="J1694" s="27" t="n">
        <v>45807</v>
      </c>
      <c r="K1694" t="inlineStr">
        <is>
          <t>Boleto Bancário</t>
        </is>
      </c>
      <c r="L1694" t="inlineStr">
        <is>
          <t>Custo Mercadoria Vendida</t>
        </is>
      </c>
      <c r="M1694" t="inlineStr">
        <is>
          <t>Insumos - Alimentos</t>
        </is>
      </c>
      <c r="N1694" t="inlineStr">
        <is>
          <t>26837</t>
        </is>
      </c>
      <c r="O1694" t="inlineStr">
        <is>
          <t>Documentação Aprovada</t>
        </is>
      </c>
      <c r="P1694" t="inlineStr">
        <is>
          <t>Aprovado Diretoria</t>
        </is>
      </c>
      <c r="Q1694" t="inlineStr">
        <is>
          <t>Aprovado Caixa</t>
        </is>
      </c>
      <c r="R1694" t="inlineStr">
        <is>
          <t>Pago</t>
        </is>
      </c>
      <c r="S1694" t="n">
        <v>182</v>
      </c>
      <c r="T1694" t="inlineStr">
        <is>
          <t>Love - Shibari - Kamino</t>
        </is>
      </c>
    </row>
    <row r="1695">
      <c r="A1695" t="n">
        <v>135489</v>
      </c>
      <c r="B1695" t="n">
        <v>128</v>
      </c>
      <c r="C1695" t="inlineStr">
        <is>
          <t>Love Cabaret</t>
        </is>
      </c>
      <c r="D1695" t="inlineStr">
        <is>
          <t xml:space="preserve">MANIOCA COMERCIO DE ALIMENTOS DA AMAZONIZA LTDA </t>
        </is>
      </c>
      <c r="E1695" t="n">
        <v>785</v>
      </c>
      <c r="F1695" s="27" t="n">
        <v>45831</v>
      </c>
      <c r="G1695" s="27" t="n">
        <v>45831</v>
      </c>
      <c r="H1695" s="27" t="n">
        <v>45831</v>
      </c>
      <c r="I1695" s="27" t="n">
        <v>45800</v>
      </c>
      <c r="J1695" s="27" t="n">
        <v>45807</v>
      </c>
      <c r="K1695" t="inlineStr">
        <is>
          <t>Boleto Bancário</t>
        </is>
      </c>
      <c r="L1695" t="inlineStr">
        <is>
          <t>Custo Mercadoria Vendida</t>
        </is>
      </c>
      <c r="M1695" t="inlineStr">
        <is>
          <t>Insumos - Alimentos</t>
        </is>
      </c>
      <c r="N1695" t="inlineStr">
        <is>
          <t>13888</t>
        </is>
      </c>
      <c r="O1695" t="inlineStr">
        <is>
          <t>Documentação Aprovada</t>
        </is>
      </c>
      <c r="P1695" t="inlineStr">
        <is>
          <t>Aprovado Diretoria</t>
        </is>
      </c>
      <c r="Q1695" t="inlineStr">
        <is>
          <t>Aprovado Caixa</t>
        </is>
      </c>
      <c r="R1695" t="inlineStr">
        <is>
          <t>Pago</t>
        </is>
      </c>
      <c r="S1695" t="n">
        <v>182</v>
      </c>
      <c r="T1695" t="inlineStr">
        <is>
          <t>Love - Shibari - Kamino</t>
        </is>
      </c>
    </row>
    <row r="1696">
      <c r="A1696" t="n">
        <v>135339</v>
      </c>
      <c r="B1696" t="n">
        <v>128</v>
      </c>
      <c r="C1696" t="inlineStr">
        <is>
          <t>Love Cabaret</t>
        </is>
      </c>
      <c r="D1696" t="inlineStr">
        <is>
          <t>DTK COMERCIO DE ALIMENTOS LTDA</t>
        </is>
      </c>
      <c r="E1696" t="n">
        <v>862.3099999999999</v>
      </c>
      <c r="F1696" s="27" t="n">
        <v>45831</v>
      </c>
      <c r="G1696" s="27" t="n">
        <v>45831</v>
      </c>
      <c r="H1696" s="27" t="n">
        <v>45831</v>
      </c>
      <c r="I1696" s="27" t="n">
        <v>45803</v>
      </c>
      <c r="J1696" s="27" t="n">
        <v>45806</v>
      </c>
      <c r="K1696" t="inlineStr">
        <is>
          <t>Boleto Bancário</t>
        </is>
      </c>
      <c r="L1696" t="inlineStr">
        <is>
          <t>Custo Mercadoria Vendida</t>
        </is>
      </c>
      <c r="M1696" t="inlineStr">
        <is>
          <t>Insumos - Alimentos</t>
        </is>
      </c>
      <c r="N1696" t="inlineStr">
        <is>
          <t>31837</t>
        </is>
      </c>
      <c r="O1696" t="inlineStr">
        <is>
          <t>Documentação Aprovada</t>
        </is>
      </c>
      <c r="P1696" t="inlineStr">
        <is>
          <t>Aprovado Diretoria</t>
        </is>
      </c>
      <c r="Q1696" t="inlineStr">
        <is>
          <t>Aprovado Caixa</t>
        </is>
      </c>
      <c r="R1696" t="inlineStr">
        <is>
          <t>Pago</t>
        </is>
      </c>
      <c r="S1696" t="n">
        <v>182</v>
      </c>
      <c r="T1696" t="inlineStr">
        <is>
          <t>Love - Shibari - Kamino</t>
        </is>
      </c>
    </row>
    <row r="1697">
      <c r="A1697" t="n">
        <v>135777</v>
      </c>
      <c r="B1697" t="n">
        <v>128</v>
      </c>
      <c r="C1697" t="inlineStr">
        <is>
          <t>Love Cabaret</t>
        </is>
      </c>
      <c r="D1697" t="inlineStr">
        <is>
          <t xml:space="preserve">DESTEC SOLUCOES LTDA </t>
        </is>
      </c>
      <c r="E1697" t="n">
        <v>812.7</v>
      </c>
      <c r="F1697" s="27" t="n">
        <v>45832</v>
      </c>
      <c r="G1697" s="27" t="n">
        <v>45831</v>
      </c>
      <c r="H1697" s="27" t="n">
        <v>45831</v>
      </c>
      <c r="I1697" s="27" t="n">
        <v>45808</v>
      </c>
      <c r="J1697" s="27" t="n">
        <v>45810</v>
      </c>
      <c r="K1697" t="inlineStr">
        <is>
          <t>Boleto Bancário</t>
        </is>
      </c>
      <c r="L1697" t="inlineStr">
        <is>
          <t>Locação de Equipamentos</t>
        </is>
      </c>
      <c r="M1697" t="inlineStr">
        <is>
          <t>Locações de Equipamentos - Operacionais</t>
        </is>
      </c>
      <c r="N1697" t="inlineStr">
        <is>
          <t>2025807</t>
        </is>
      </c>
      <c r="O1697" t="inlineStr">
        <is>
          <t>Documentação Aprovada</t>
        </is>
      </c>
      <c r="P1697" t="inlineStr">
        <is>
          <t>Aprovado Diretoria</t>
        </is>
      </c>
      <c r="Q1697" t="inlineStr">
        <is>
          <t>Aprovado Caixa</t>
        </is>
      </c>
      <c r="R1697" t="inlineStr">
        <is>
          <t>Pago</t>
        </is>
      </c>
      <c r="S1697" t="n">
        <v>182</v>
      </c>
      <c r="T1697" t="inlineStr">
        <is>
          <t>Love - Shibari - Kamino</t>
        </is>
      </c>
    </row>
    <row r="1698">
      <c r="A1698" t="n">
        <v>139756</v>
      </c>
      <c r="B1698" t="n">
        <v>128</v>
      </c>
      <c r="C1698" t="inlineStr">
        <is>
          <t>Love Cabaret</t>
        </is>
      </c>
      <c r="D1698" t="inlineStr">
        <is>
          <t>PARAMU COMERCIO E REPRESENTACAO DE PRODUTOS ALIMENTICIOS</t>
        </is>
      </c>
      <c r="E1698" t="n">
        <v>1760.9</v>
      </c>
      <c r="F1698" s="27" t="n">
        <v>45831</v>
      </c>
      <c r="G1698" s="27" t="n">
        <v>45831</v>
      </c>
      <c r="H1698" s="27" t="n">
        <v>45831</v>
      </c>
      <c r="I1698" s="27" t="n">
        <v>45817</v>
      </c>
      <c r="J1698" s="27" t="n">
        <v>45821</v>
      </c>
      <c r="K1698" t="inlineStr">
        <is>
          <t>Boleto Bancário</t>
        </is>
      </c>
      <c r="L1698" t="inlineStr">
        <is>
          <t>Custo Mercadoria Vendida</t>
        </is>
      </c>
      <c r="M1698" t="inlineStr">
        <is>
          <t>Insumos - Alimentos</t>
        </is>
      </c>
      <c r="N1698" t="inlineStr">
        <is>
          <t>14240</t>
        </is>
      </c>
      <c r="O1698" t="inlineStr">
        <is>
          <t>Documentação Aprovada</t>
        </is>
      </c>
      <c r="P1698" t="inlineStr">
        <is>
          <t>Aprovado Diretoria</t>
        </is>
      </c>
      <c r="Q1698" t="inlineStr">
        <is>
          <t>Aprovado Caixa</t>
        </is>
      </c>
      <c r="R1698" t="inlineStr">
        <is>
          <t>Pago</t>
        </is>
      </c>
      <c r="S1698" t="n">
        <v>182</v>
      </c>
      <c r="T1698" t="inlineStr">
        <is>
          <t>Love - Shibari - Kamino</t>
        </is>
      </c>
    </row>
    <row r="1699">
      <c r="A1699" t="n">
        <v>139889</v>
      </c>
      <c r="B1699" t="n">
        <v>128</v>
      </c>
      <c r="C1699" t="inlineStr">
        <is>
          <t>Love Cabaret</t>
        </is>
      </c>
      <c r="D1699" t="inlineStr">
        <is>
          <t>CVT LOCAÇÕES</t>
        </is>
      </c>
      <c r="E1699" t="n">
        <v>550</v>
      </c>
      <c r="F1699" s="27" t="n">
        <v>45831</v>
      </c>
      <c r="G1699" s="27" t="n">
        <v>45831</v>
      </c>
      <c r="H1699" s="27" t="n">
        <v>45831</v>
      </c>
      <c r="I1699" s="27" t="n">
        <v>45823</v>
      </c>
      <c r="J1699" s="27" t="n">
        <v>45824</v>
      </c>
      <c r="K1699" t="inlineStr">
        <is>
          <t>Boleto Bancário</t>
        </is>
      </c>
      <c r="L1699" t="inlineStr">
        <is>
          <t>Custos de Eventos</t>
        </is>
      </c>
      <c r="M1699" t="inlineStr">
        <is>
          <t>Locação de Equipamentos - Eventos</t>
        </is>
      </c>
      <c r="N1699" t="inlineStr">
        <is>
          <t>134</t>
        </is>
      </c>
      <c r="O1699" t="inlineStr">
        <is>
          <t>Documentação Aprovada</t>
        </is>
      </c>
      <c r="P1699" t="inlineStr">
        <is>
          <t>Aprovado Diretoria</t>
        </is>
      </c>
      <c r="Q1699" t="inlineStr">
        <is>
          <t>Aprovado Caixa</t>
        </is>
      </c>
      <c r="R1699" t="inlineStr">
        <is>
          <t>Pago</t>
        </is>
      </c>
      <c r="S1699" t="n">
        <v>182</v>
      </c>
      <c r="T1699" t="inlineStr">
        <is>
          <t>Love - Shibari - Kamino</t>
        </is>
      </c>
    </row>
    <row r="1700">
      <c r="A1700" t="n">
        <v>139763</v>
      </c>
      <c r="B1700" t="n">
        <v>128</v>
      </c>
      <c r="C1700" t="inlineStr">
        <is>
          <t>Love Cabaret</t>
        </is>
      </c>
      <c r="D1700" t="inlineStr">
        <is>
          <t xml:space="preserve">FORTE ALIMENTOS COM. IMPORTAÇÃO LTDA </t>
        </is>
      </c>
      <c r="E1700" t="n">
        <v>484.9</v>
      </c>
      <c r="F1700" s="27" t="n">
        <v>45832</v>
      </c>
      <c r="G1700" s="27" t="n">
        <v>45831</v>
      </c>
      <c r="H1700" s="27" t="n">
        <v>45831</v>
      </c>
      <c r="I1700" s="27" t="n">
        <v>45817</v>
      </c>
      <c r="J1700" s="27" t="n">
        <v>45821</v>
      </c>
      <c r="K1700" t="inlineStr">
        <is>
          <t>Boleto Bancário</t>
        </is>
      </c>
      <c r="L1700" t="inlineStr">
        <is>
          <t>Custo Mercadoria Vendida</t>
        </is>
      </c>
      <c r="M1700" t="inlineStr">
        <is>
          <t>Insumos - Alimentos</t>
        </is>
      </c>
      <c r="N1700" t="inlineStr">
        <is>
          <t>316009</t>
        </is>
      </c>
      <c r="O1700" t="inlineStr">
        <is>
          <t>Documentação Aprovada</t>
        </is>
      </c>
      <c r="P1700" t="inlineStr">
        <is>
          <t>Aprovado Diretoria</t>
        </is>
      </c>
      <c r="Q1700" t="inlineStr">
        <is>
          <t>Aprovado Caixa</t>
        </is>
      </c>
      <c r="R1700" t="inlineStr">
        <is>
          <t>Pago</t>
        </is>
      </c>
      <c r="S1700" t="n">
        <v>182</v>
      </c>
      <c r="T1700" t="inlineStr">
        <is>
          <t>Love - Shibari - Kamino</t>
        </is>
      </c>
    </row>
    <row r="1701">
      <c r="A1701" t="n">
        <v>139804</v>
      </c>
      <c r="B1701" t="n">
        <v>128</v>
      </c>
      <c r="C1701" t="inlineStr">
        <is>
          <t>Love Cabaret</t>
        </is>
      </c>
      <c r="D1701" t="inlineStr">
        <is>
          <t>CEPEL COMERCIO DE PAPEIS E EMBALAGENS EIRELI</t>
        </is>
      </c>
      <c r="E1701" t="n">
        <v>910</v>
      </c>
      <c r="F1701" s="27" t="n">
        <v>45832</v>
      </c>
      <c r="G1701" s="27" t="n">
        <v>45831</v>
      </c>
      <c r="H1701" s="27" t="n">
        <v>45831</v>
      </c>
      <c r="I1701" s="27" t="n">
        <v>45817</v>
      </c>
      <c r="J1701" s="27" t="n">
        <v>45821</v>
      </c>
      <c r="K1701" t="inlineStr">
        <is>
          <t>Boleto Bancário</t>
        </is>
      </c>
      <c r="L1701" t="inlineStr">
        <is>
          <t>Utilidades</t>
        </is>
      </c>
      <c r="M1701" t="inlineStr">
        <is>
          <t>Higiene e Limpeza</t>
        </is>
      </c>
      <c r="N1701" t="inlineStr">
        <is>
          <t>242057</t>
        </is>
      </c>
      <c r="O1701" t="inlineStr">
        <is>
          <t>Documentação Aprovada</t>
        </is>
      </c>
      <c r="P1701" t="inlineStr">
        <is>
          <t>Aprovado Diretoria</t>
        </is>
      </c>
      <c r="Q1701" t="inlineStr">
        <is>
          <t>Aprovado Caixa</t>
        </is>
      </c>
      <c r="R1701" t="inlineStr">
        <is>
          <t>Pago</t>
        </is>
      </c>
      <c r="S1701" t="n">
        <v>182</v>
      </c>
      <c r="T1701" t="inlineStr">
        <is>
          <t>Love - Shibari - Kamino</t>
        </is>
      </c>
    </row>
    <row r="1702">
      <c r="A1702" t="n">
        <v>139409</v>
      </c>
      <c r="B1702" t="n">
        <v>128</v>
      </c>
      <c r="C1702" t="inlineStr">
        <is>
          <t>Love Cabaret</t>
        </is>
      </c>
      <c r="D1702" t="inlineStr">
        <is>
          <t>CECILIA TSUYACO ARAKI SILVA LTDA</t>
        </is>
      </c>
      <c r="E1702" t="n">
        <v>438.9</v>
      </c>
      <c r="F1702" s="27" t="n">
        <v>45831</v>
      </c>
      <c r="G1702" s="27" t="n">
        <v>45831</v>
      </c>
      <c r="H1702" s="27" t="n">
        <v>45831</v>
      </c>
      <c r="I1702" s="27" t="n">
        <v>45817</v>
      </c>
      <c r="J1702" s="27" t="n">
        <v>45821</v>
      </c>
      <c r="K1702" t="inlineStr">
        <is>
          <t>Boleto Bancário</t>
        </is>
      </c>
      <c r="L1702" t="inlineStr">
        <is>
          <t>Custo Mercadoria Vendida</t>
        </is>
      </c>
      <c r="M1702" t="inlineStr">
        <is>
          <t>Insumos - Alimentos</t>
        </is>
      </c>
      <c r="N1702" t="inlineStr">
        <is>
          <t>372529</t>
        </is>
      </c>
      <c r="O1702" t="inlineStr">
        <is>
          <t>Documentação Aprovada</t>
        </is>
      </c>
      <c r="P1702" t="inlineStr">
        <is>
          <t>Aprovado Diretoria</t>
        </is>
      </c>
      <c r="Q1702" t="inlineStr">
        <is>
          <t>Aprovado Caixa</t>
        </is>
      </c>
      <c r="R1702" t="inlineStr">
        <is>
          <t>Pago</t>
        </is>
      </c>
      <c r="S1702" t="n">
        <v>182</v>
      </c>
      <c r="T1702" t="inlineStr">
        <is>
          <t>Love - Shibari - Kamino</t>
        </is>
      </c>
    </row>
    <row r="1703">
      <c r="A1703" t="n">
        <v>139784</v>
      </c>
      <c r="B1703" t="n">
        <v>128</v>
      </c>
      <c r="C1703" t="inlineStr">
        <is>
          <t>Love Cabaret</t>
        </is>
      </c>
      <c r="D1703" t="inlineStr">
        <is>
          <t xml:space="preserve">DISTRIBUIDORA DE CARNES CANTAREIRA </t>
        </is>
      </c>
      <c r="E1703" t="n">
        <v>208</v>
      </c>
      <c r="F1703" s="27" t="n">
        <v>45831</v>
      </c>
      <c r="G1703" s="27" t="n">
        <v>45831</v>
      </c>
      <c r="H1703" s="27" t="n">
        <v>45831</v>
      </c>
      <c r="I1703" s="27" t="n">
        <v>45818</v>
      </c>
      <c r="J1703" s="27" t="n">
        <v>45821</v>
      </c>
      <c r="K1703" t="inlineStr">
        <is>
          <t>Boleto Bancário</t>
        </is>
      </c>
      <c r="L1703" t="inlineStr">
        <is>
          <t>Custo Mercadoria Vendida</t>
        </is>
      </c>
      <c r="M1703" t="inlineStr">
        <is>
          <t>Insumos - Alimentos</t>
        </is>
      </c>
      <c r="N1703" t="inlineStr">
        <is>
          <t>42238</t>
        </is>
      </c>
      <c r="O1703" t="inlineStr">
        <is>
          <t>Documentação Aprovada</t>
        </is>
      </c>
      <c r="P1703" t="inlineStr">
        <is>
          <t>Aprovado Diretoria</t>
        </is>
      </c>
      <c r="Q1703" t="inlineStr">
        <is>
          <t>Aprovado Caixa</t>
        </is>
      </c>
      <c r="R1703" t="inlineStr">
        <is>
          <t>Pago</t>
        </is>
      </c>
      <c r="S1703" t="n">
        <v>182</v>
      </c>
      <c r="T1703" t="inlineStr">
        <is>
          <t>Love - Shibari - Kamino</t>
        </is>
      </c>
    </row>
    <row r="1704">
      <c r="A1704" t="n">
        <v>137988</v>
      </c>
      <c r="B1704" t="n">
        <v>128</v>
      </c>
      <c r="C1704" t="inlineStr">
        <is>
          <t>Love Cabaret</t>
        </is>
      </c>
      <c r="D1704" t="inlineStr">
        <is>
          <t>DTK COMERCIO DE ALIMENTOS LTDA</t>
        </is>
      </c>
      <c r="E1704" t="n">
        <v>253.61</v>
      </c>
      <c r="F1704" s="27" t="n">
        <v>45831</v>
      </c>
      <c r="G1704" s="27" t="n">
        <v>45831</v>
      </c>
      <c r="H1704" s="27" t="n">
        <v>45831</v>
      </c>
      <c r="I1704" s="27" t="n">
        <v>45810</v>
      </c>
      <c r="J1704" s="27" t="n">
        <v>45813</v>
      </c>
      <c r="K1704" t="inlineStr">
        <is>
          <t>Boleto Bancário</t>
        </is>
      </c>
      <c r="L1704" t="inlineStr">
        <is>
          <t>Custo Mercadoria Vendida</t>
        </is>
      </c>
      <c r="M1704" t="inlineStr">
        <is>
          <t>Insumos - Alimentos</t>
        </is>
      </c>
      <c r="N1704" t="inlineStr">
        <is>
          <t>32474</t>
        </is>
      </c>
      <c r="O1704" t="inlineStr">
        <is>
          <t>Documentação Aprovada</t>
        </is>
      </c>
      <c r="P1704" t="inlineStr">
        <is>
          <t>Aprovado Diretoria</t>
        </is>
      </c>
      <c r="Q1704" t="inlineStr">
        <is>
          <t>Aprovado Caixa</t>
        </is>
      </c>
      <c r="R1704" t="inlineStr">
        <is>
          <t>Pago</t>
        </is>
      </c>
      <c r="S1704" t="n">
        <v>182</v>
      </c>
      <c r="T1704" t="inlineStr">
        <is>
          <t>Love - Shibari - Kamino</t>
        </is>
      </c>
    </row>
    <row r="1705">
      <c r="A1705" t="n">
        <v>138764</v>
      </c>
      <c r="B1705" t="n">
        <v>128</v>
      </c>
      <c r="C1705" t="inlineStr">
        <is>
          <t>Love Cabaret</t>
        </is>
      </c>
      <c r="D1705" t="inlineStr">
        <is>
          <t>LUIZ ROBERTO DA SILVA JUNIOR</t>
        </is>
      </c>
      <c r="E1705" t="n">
        <v>1000</v>
      </c>
      <c r="F1705" s="27" t="n">
        <v>45833</v>
      </c>
      <c r="G1705" s="27" t="n">
        <v>45831</v>
      </c>
      <c r="H1705" s="27" t="n">
        <v>45831</v>
      </c>
      <c r="I1705" s="27" t="n">
        <v>45818</v>
      </c>
      <c r="J1705" s="27" t="n">
        <v>45818</v>
      </c>
      <c r="K1705" t="inlineStr">
        <is>
          <t>Transferência Bancária ou Pix</t>
        </is>
      </c>
      <c r="L1705" t="inlineStr">
        <is>
          <t>Custos Artístico Geral</t>
        </is>
      </c>
      <c r="M1705" t="inlineStr">
        <is>
          <t>Locação de Equipamentos Variável</t>
        </is>
      </c>
      <c r="N1705" t="inlineStr">
        <is>
          <t>522025</t>
        </is>
      </c>
      <c r="O1705" t="inlineStr">
        <is>
          <t>Documentação Aprovada</t>
        </is>
      </c>
      <c r="P1705" t="inlineStr">
        <is>
          <t>Aprovado Diretoria</t>
        </is>
      </c>
      <c r="Q1705" t="inlineStr">
        <is>
          <t>Aprovado Caixa</t>
        </is>
      </c>
      <c r="R1705" t="inlineStr">
        <is>
          <t>Pago</t>
        </is>
      </c>
      <c r="S1705" t="n">
        <v>182</v>
      </c>
      <c r="T1705" t="inlineStr">
        <is>
          <t>Love - Shibari - Kamino</t>
        </is>
      </c>
    </row>
    <row r="1706">
      <c r="A1706" t="n">
        <v>138591</v>
      </c>
      <c r="B1706" t="n">
        <v>128</v>
      </c>
      <c r="C1706" t="inlineStr">
        <is>
          <t>Love Cabaret</t>
        </is>
      </c>
      <c r="D1706" t="inlineStr">
        <is>
          <t>NINO PONTES BRASILEIRO E SILVA</t>
        </is>
      </c>
      <c r="E1706" t="n">
        <v>1500</v>
      </c>
      <c r="F1706" s="27" t="n">
        <v>45831</v>
      </c>
      <c r="G1706" s="27" t="n">
        <v>45831</v>
      </c>
      <c r="H1706" s="27" t="n">
        <v>45831</v>
      </c>
      <c r="I1706" s="27" t="n">
        <v>45817</v>
      </c>
      <c r="J1706" s="27" t="n">
        <v>45817</v>
      </c>
      <c r="K1706" t="inlineStr">
        <is>
          <t>Transferência Bancária ou Pix</t>
        </is>
      </c>
      <c r="L1706" t="inlineStr">
        <is>
          <t>Custos Artístico Geral</t>
        </is>
      </c>
      <c r="M1706" t="inlineStr">
        <is>
          <t>Técnico de Som / Luz</t>
        </is>
      </c>
      <c r="N1706" t="inlineStr">
        <is>
          <t>23</t>
        </is>
      </c>
      <c r="O1706" t="inlineStr">
        <is>
          <t>Documentação Aprovada</t>
        </is>
      </c>
      <c r="P1706" t="inlineStr">
        <is>
          <t>Aprovado Diretoria</t>
        </is>
      </c>
      <c r="Q1706" t="inlineStr">
        <is>
          <t>Aprovado Caixa</t>
        </is>
      </c>
      <c r="R1706" t="inlineStr">
        <is>
          <t>Pago</t>
        </is>
      </c>
      <c r="S1706" t="n">
        <v>115</v>
      </c>
      <c r="T1706" t="inlineStr">
        <is>
          <t>Love - Shibari - Bradesco</t>
        </is>
      </c>
    </row>
    <row r="1707">
      <c r="A1707" t="n">
        <v>141546</v>
      </c>
      <c r="B1707" t="n">
        <v>128</v>
      </c>
      <c r="C1707" t="inlineStr">
        <is>
          <t>Love Cabaret</t>
        </is>
      </c>
      <c r="D1707" t="inlineStr">
        <is>
          <t>BRADESCO SA</t>
        </is>
      </c>
      <c r="E1707" t="n">
        <v>9.800000000000001</v>
      </c>
      <c r="F1707" s="27" t="n">
        <v>45831</v>
      </c>
      <c r="G1707" s="27" t="n"/>
      <c r="H1707" s="27" t="n">
        <v>45831</v>
      </c>
      <c r="I1707" s="27" t="n">
        <v>45831</v>
      </c>
      <c r="J1707" s="27" t="n">
        <v>45833</v>
      </c>
      <c r="K1707" t="inlineStr">
        <is>
          <t>Encontro de Contas</t>
        </is>
      </c>
      <c r="L1707" t="inlineStr">
        <is>
          <t>Despesas Financeiras</t>
        </is>
      </c>
      <c r="M1707" t="inlineStr">
        <is>
          <t>Tarifas Bancárias</t>
        </is>
      </c>
      <c r="N1707" t="inlineStr">
        <is>
          <t>062025</t>
        </is>
      </c>
      <c r="P1707" t="inlineStr">
        <is>
          <t>Aprovado Diretoria</t>
        </is>
      </c>
      <c r="R1707" t="inlineStr">
        <is>
          <t>Pago</t>
        </is>
      </c>
    </row>
    <row r="1708">
      <c r="A1708" t="n">
        <v>140084</v>
      </c>
      <c r="B1708" t="n">
        <v>128</v>
      </c>
      <c r="C1708" t="inlineStr">
        <is>
          <t>Love Cabaret</t>
        </is>
      </c>
      <c r="D1708" t="inlineStr">
        <is>
          <t>HNK BR IND DE BEBIDAS</t>
        </is>
      </c>
      <c r="E1708" t="n">
        <v>2181.72</v>
      </c>
      <c r="F1708" s="27" t="n">
        <v>45833</v>
      </c>
      <c r="G1708" s="27" t="n">
        <v>45831</v>
      </c>
      <c r="H1708" s="27" t="n">
        <v>45831</v>
      </c>
      <c r="I1708" s="27" t="n">
        <v>45818</v>
      </c>
      <c r="J1708" s="27" t="n">
        <v>45825</v>
      </c>
      <c r="K1708" t="inlineStr">
        <is>
          <t>Boleto Bancário</t>
        </is>
      </c>
      <c r="L1708" t="inlineStr">
        <is>
          <t>Custo Mercadoria Vendida</t>
        </is>
      </c>
      <c r="M1708" t="inlineStr">
        <is>
          <t>Insumos - Bebidas</t>
        </is>
      </c>
      <c r="N1708" t="inlineStr">
        <is>
          <t>3398</t>
        </is>
      </c>
      <c r="O1708" t="inlineStr">
        <is>
          <t>Documentação Aprovada</t>
        </is>
      </c>
      <c r="P1708" t="inlineStr">
        <is>
          <t>Aprovado Diretoria</t>
        </is>
      </c>
      <c r="Q1708" t="inlineStr">
        <is>
          <t>Aprovado Caixa</t>
        </is>
      </c>
      <c r="R1708" t="inlineStr">
        <is>
          <t>Pago</t>
        </is>
      </c>
      <c r="S1708" t="n">
        <v>182</v>
      </c>
      <c r="T1708" t="inlineStr">
        <is>
          <t>Love - Shibari - Kamino</t>
        </is>
      </c>
    </row>
    <row r="1709">
      <c r="A1709" t="n">
        <v>140434</v>
      </c>
      <c r="B1709" t="n">
        <v>128</v>
      </c>
      <c r="C1709" t="inlineStr">
        <is>
          <t>Love Cabaret</t>
        </is>
      </c>
      <c r="D1709" t="inlineStr">
        <is>
          <t xml:space="preserve"> FAMIGERADA COMERCIO E EXPORTACAO DE BEBIDAS LTDA</t>
        </is>
      </c>
      <c r="E1709" t="n">
        <v>165</v>
      </c>
      <c r="F1709" s="27" t="n">
        <v>45832</v>
      </c>
      <c r="G1709" s="27" t="n">
        <v>45831</v>
      </c>
      <c r="H1709" s="27" t="n">
        <v>45831</v>
      </c>
      <c r="I1709" s="27" t="n">
        <v>45818</v>
      </c>
      <c r="J1709" s="27" t="n">
        <v>45826</v>
      </c>
      <c r="K1709" t="inlineStr">
        <is>
          <t>Boleto Bancário</t>
        </is>
      </c>
      <c r="L1709" t="inlineStr">
        <is>
          <t>Custo Mercadoria Vendida</t>
        </is>
      </c>
      <c r="M1709" t="inlineStr">
        <is>
          <t>Insumos - Bebidas</t>
        </is>
      </c>
      <c r="N1709" t="inlineStr">
        <is>
          <t>1628</t>
        </is>
      </c>
      <c r="O1709" t="inlineStr">
        <is>
          <t>Documentação Aprovada</t>
        </is>
      </c>
      <c r="P1709" t="inlineStr">
        <is>
          <t>Aprovado Diretoria</t>
        </is>
      </c>
      <c r="Q1709" t="inlineStr">
        <is>
          <t>Aprovado Caixa</t>
        </is>
      </c>
      <c r="R1709" t="inlineStr">
        <is>
          <t>Pago</t>
        </is>
      </c>
      <c r="S1709" t="n">
        <v>182</v>
      </c>
      <c r="T1709" t="inlineStr">
        <is>
          <t>Love - Shibari - Kamino</t>
        </is>
      </c>
    </row>
    <row r="1710">
      <c r="A1710" t="n">
        <v>140433</v>
      </c>
      <c r="B1710" t="n">
        <v>128</v>
      </c>
      <c r="C1710" t="inlineStr">
        <is>
          <t>Love Cabaret</t>
        </is>
      </c>
      <c r="D1710" t="inlineStr">
        <is>
          <t>HNK BR IND DE BEBIDAS</t>
        </is>
      </c>
      <c r="E1710" t="n">
        <v>295.4</v>
      </c>
      <c r="F1710" s="27" t="n">
        <v>45833</v>
      </c>
      <c r="G1710" s="27" t="n">
        <v>45831</v>
      </c>
      <c r="H1710" s="27" t="n">
        <v>45831</v>
      </c>
      <c r="I1710" s="27" t="n">
        <v>45818</v>
      </c>
      <c r="J1710" s="27" t="n">
        <v>45826</v>
      </c>
      <c r="K1710" t="inlineStr">
        <is>
          <t>Boleto Bancário</t>
        </is>
      </c>
      <c r="L1710" t="inlineStr">
        <is>
          <t>Custo Mercadoria Vendida</t>
        </is>
      </c>
      <c r="M1710" t="inlineStr">
        <is>
          <t>Insumos - Bebidas</t>
        </is>
      </c>
      <c r="N1710" t="inlineStr">
        <is>
          <t>3399</t>
        </is>
      </c>
      <c r="O1710" t="inlineStr">
        <is>
          <t>Documentação Aprovada</t>
        </is>
      </c>
      <c r="P1710" t="inlineStr">
        <is>
          <t>Aprovado Diretoria</t>
        </is>
      </c>
      <c r="Q1710" t="inlineStr">
        <is>
          <t>Aprovado Caixa</t>
        </is>
      </c>
      <c r="R1710" t="inlineStr">
        <is>
          <t>Pago</t>
        </is>
      </c>
      <c r="S1710" t="n">
        <v>182</v>
      </c>
      <c r="T1710" t="inlineStr">
        <is>
          <t>Love - Shibari - Kamino</t>
        </is>
      </c>
    </row>
    <row r="1711">
      <c r="A1711" t="n">
        <v>140090</v>
      </c>
      <c r="B1711" t="n">
        <v>128</v>
      </c>
      <c r="C1711" t="inlineStr">
        <is>
          <t>Love Cabaret</t>
        </is>
      </c>
      <c r="D1711" t="inlineStr">
        <is>
          <t>BATALHA FABRICA DE PAES LTDA</t>
        </is>
      </c>
      <c r="E1711" t="n">
        <v>561.84</v>
      </c>
      <c r="F1711" s="27" t="n">
        <v>45831</v>
      </c>
      <c r="G1711" s="27" t="n">
        <v>45831</v>
      </c>
      <c r="H1711" s="27" t="n">
        <v>45831</v>
      </c>
      <c r="I1711" s="27" t="n">
        <v>45818</v>
      </c>
      <c r="J1711" s="27" t="n">
        <v>45825</v>
      </c>
      <c r="K1711" t="inlineStr">
        <is>
          <t>Boleto Bancário</t>
        </is>
      </c>
      <c r="L1711" t="inlineStr">
        <is>
          <t>Custo Mercadoria Vendida</t>
        </is>
      </c>
      <c r="M1711" t="inlineStr">
        <is>
          <t>Insumos - Alimentos</t>
        </is>
      </c>
      <c r="N1711" t="inlineStr">
        <is>
          <t>42321</t>
        </is>
      </c>
      <c r="O1711" t="inlineStr">
        <is>
          <t>Documentação Aprovada</t>
        </is>
      </c>
      <c r="P1711" t="inlineStr">
        <is>
          <t>Aprovado Diretoria</t>
        </is>
      </c>
      <c r="Q1711" t="inlineStr">
        <is>
          <t>Aprovado Caixa</t>
        </is>
      </c>
      <c r="R1711" t="inlineStr">
        <is>
          <t>Pago</t>
        </is>
      </c>
      <c r="S1711" t="n">
        <v>182</v>
      </c>
      <c r="T1711" t="inlineStr">
        <is>
          <t>Love - Shibari - Kamino</t>
        </is>
      </c>
    </row>
    <row r="1712">
      <c r="A1712" t="n">
        <v>140083</v>
      </c>
      <c r="B1712" t="n">
        <v>128</v>
      </c>
      <c r="C1712" t="inlineStr">
        <is>
          <t>Love Cabaret</t>
        </is>
      </c>
      <c r="D1712" t="inlineStr">
        <is>
          <t>ASSAZ ORGANICA INDUSTRIA E COMERCIO DE ALIMENTOS LTDA</t>
        </is>
      </c>
      <c r="E1712" t="n">
        <v>49.25</v>
      </c>
      <c r="F1712" s="27" t="n">
        <v>45833</v>
      </c>
      <c r="G1712" s="27" t="n">
        <v>45831</v>
      </c>
      <c r="H1712" s="27" t="n">
        <v>45831</v>
      </c>
      <c r="I1712" s="27" t="n">
        <v>45818</v>
      </c>
      <c r="J1712" s="27" t="n">
        <v>45825</v>
      </c>
      <c r="K1712" t="inlineStr">
        <is>
          <t>Boleto Bancário</t>
        </is>
      </c>
      <c r="L1712" t="inlineStr">
        <is>
          <t>Custo Mercadoria Vendida</t>
        </is>
      </c>
      <c r="M1712" t="inlineStr">
        <is>
          <t>Insumos - Alimentos</t>
        </is>
      </c>
      <c r="N1712" t="inlineStr">
        <is>
          <t>21138</t>
        </is>
      </c>
      <c r="O1712" t="inlineStr">
        <is>
          <t>Documentação Aprovada</t>
        </is>
      </c>
      <c r="P1712" t="inlineStr">
        <is>
          <t>Aprovado Diretoria</t>
        </is>
      </c>
      <c r="Q1712" t="inlineStr">
        <is>
          <t>Aprovado Caixa</t>
        </is>
      </c>
      <c r="R1712" t="inlineStr">
        <is>
          <t>Pago</t>
        </is>
      </c>
      <c r="S1712" t="n">
        <v>182</v>
      </c>
      <c r="T1712" t="inlineStr">
        <is>
          <t>Love - Shibari - Kamino</t>
        </is>
      </c>
    </row>
    <row r="1713">
      <c r="A1713" t="n">
        <v>140128</v>
      </c>
      <c r="B1713" t="n">
        <v>128</v>
      </c>
      <c r="C1713" t="inlineStr">
        <is>
          <t>Love Cabaret</t>
        </is>
      </c>
      <c r="D1713" t="inlineStr">
        <is>
          <t>PARAMU COMERCIO E REPRESENTACAO DE PRODUTOS ALIMENTICIOS</t>
        </is>
      </c>
      <c r="E1713" t="n">
        <v>905.34</v>
      </c>
      <c r="F1713" s="27" t="n">
        <v>45832</v>
      </c>
      <c r="G1713" s="27" t="n">
        <v>45831</v>
      </c>
      <c r="H1713" s="27" t="n">
        <v>45831</v>
      </c>
      <c r="I1713" s="27" t="n">
        <v>45818</v>
      </c>
      <c r="J1713" s="27" t="n">
        <v>45825</v>
      </c>
      <c r="K1713" t="inlineStr">
        <is>
          <t>Boleto Bancário</t>
        </is>
      </c>
      <c r="L1713" t="inlineStr">
        <is>
          <t>Custo Mercadoria Vendida</t>
        </is>
      </c>
      <c r="M1713" t="inlineStr">
        <is>
          <t>Insumos - Alimentos</t>
        </is>
      </c>
      <c r="N1713" t="inlineStr">
        <is>
          <t>14266</t>
        </is>
      </c>
      <c r="O1713" t="inlineStr">
        <is>
          <t>Documentação Aprovada</t>
        </is>
      </c>
      <c r="P1713" t="inlineStr">
        <is>
          <t>Aprovado Diretoria</t>
        </is>
      </c>
      <c r="Q1713" t="inlineStr">
        <is>
          <t>Aprovado Caixa</t>
        </is>
      </c>
      <c r="R1713" t="inlineStr">
        <is>
          <t>Pago</t>
        </is>
      </c>
      <c r="S1713" t="n">
        <v>182</v>
      </c>
      <c r="T1713" t="inlineStr">
        <is>
          <t>Love - Shibari - Kamino</t>
        </is>
      </c>
    </row>
    <row r="1714">
      <c r="A1714" t="n">
        <v>140698</v>
      </c>
      <c r="B1714" t="n">
        <v>128</v>
      </c>
      <c r="C1714" t="inlineStr">
        <is>
          <t>Love Cabaret</t>
        </is>
      </c>
      <c r="D1714" t="inlineStr">
        <is>
          <t>BRADESCO SA</t>
        </is>
      </c>
      <c r="E1714" t="n">
        <v>9.800000000000001</v>
      </c>
      <c r="F1714" s="27" t="n">
        <v>45826</v>
      </c>
      <c r="G1714" s="27" t="n"/>
      <c r="H1714" s="27" t="n">
        <v>45826</v>
      </c>
      <c r="I1714" s="27" t="n">
        <v>45826</v>
      </c>
      <c r="J1714" s="27" t="n">
        <v>45827</v>
      </c>
      <c r="K1714" t="inlineStr">
        <is>
          <t>Encontro de Contas</t>
        </is>
      </c>
      <c r="L1714" t="inlineStr">
        <is>
          <t>Despesas Financeiras</t>
        </is>
      </c>
      <c r="M1714" t="inlineStr">
        <is>
          <t>Tarifas Bancárias</t>
        </is>
      </c>
      <c r="N1714" t="inlineStr">
        <is>
          <t>062025</t>
        </is>
      </c>
      <c r="P1714" t="inlineStr">
        <is>
          <t>Aprovado Diretoria</t>
        </is>
      </c>
      <c r="R1714" t="inlineStr">
        <is>
          <t>Pago</t>
        </is>
      </c>
    </row>
    <row r="1715">
      <c r="A1715" t="n">
        <v>140116</v>
      </c>
      <c r="B1715" t="n">
        <v>128</v>
      </c>
      <c r="C1715" t="inlineStr">
        <is>
          <t>Love Cabaret</t>
        </is>
      </c>
      <c r="D1715" t="inlineStr">
        <is>
          <t>PARAMU COMERCIO E REPRESENTACAO DE PRODUTOS ALIMENTICIOS</t>
        </is>
      </c>
      <c r="E1715" t="n">
        <v>294.3</v>
      </c>
      <c r="F1715" s="27" t="n">
        <v>45827</v>
      </c>
      <c r="G1715" s="27" t="n"/>
      <c r="H1715" s="27" t="n">
        <v>45826</v>
      </c>
      <c r="I1715" s="27" t="n">
        <v>45813</v>
      </c>
      <c r="J1715" s="27" t="n">
        <v>45825</v>
      </c>
      <c r="K1715" t="inlineStr">
        <is>
          <t>Boleto Bancário</t>
        </is>
      </c>
      <c r="L1715" t="inlineStr">
        <is>
          <t>Custo Mercadoria Vendida</t>
        </is>
      </c>
      <c r="M1715" t="inlineStr">
        <is>
          <t>Insumos - Alimentos</t>
        </is>
      </c>
      <c r="N1715" t="inlineStr">
        <is>
          <t>14205</t>
        </is>
      </c>
      <c r="O1715" t="inlineStr">
        <is>
          <t>Documentação Aprovada</t>
        </is>
      </c>
      <c r="P1715" t="inlineStr">
        <is>
          <t>Aprovado Diretoria</t>
        </is>
      </c>
      <c r="Q1715" t="inlineStr">
        <is>
          <t>Aprovado Caixa</t>
        </is>
      </c>
      <c r="R1715" t="inlineStr">
        <is>
          <t>Pago</t>
        </is>
      </c>
      <c r="S1715" t="n">
        <v>182</v>
      </c>
      <c r="T1715" t="inlineStr">
        <is>
          <t>Love - Shibari - Kamino</t>
        </is>
      </c>
    </row>
    <row r="1716">
      <c r="A1716" t="n">
        <v>139625</v>
      </c>
      <c r="B1716" t="n">
        <v>128</v>
      </c>
      <c r="C1716" t="inlineStr">
        <is>
          <t>Love Cabaret</t>
        </is>
      </c>
      <c r="D1716" t="inlineStr">
        <is>
          <t>CAROLINE FERREIRA DA SILVA</t>
        </is>
      </c>
      <c r="E1716" t="n">
        <v>914.26</v>
      </c>
      <c r="F1716" s="27" t="n">
        <v>45828</v>
      </c>
      <c r="G1716" s="27" t="n">
        <v>45826</v>
      </c>
      <c r="H1716" s="27" t="n">
        <v>45826</v>
      </c>
      <c r="I1716" s="27" t="n">
        <v>45823</v>
      </c>
      <c r="J1716" s="27" t="n"/>
      <c r="K1716" t="inlineStr">
        <is>
          <t>Transferência Bancária ou Pix</t>
        </is>
      </c>
      <c r="L1716" t="inlineStr">
        <is>
          <t>Mão de Obra - Salários</t>
        </is>
      </c>
      <c r="M1716" t="inlineStr">
        <is>
          <t>MDO CLT - Salário</t>
        </is>
      </c>
      <c r="N1716" t="inlineStr">
        <is>
          <t>062025</t>
        </is>
      </c>
      <c r="O1716" t="inlineStr">
        <is>
          <t>Documentação Aprovada</t>
        </is>
      </c>
      <c r="P1716" t="inlineStr">
        <is>
          <t>Aprovado Diretoria</t>
        </is>
      </c>
      <c r="Q1716" t="inlineStr">
        <is>
          <t>Aprovado Caixa</t>
        </is>
      </c>
      <c r="R1716" t="inlineStr">
        <is>
          <t>Pago</t>
        </is>
      </c>
      <c r="S1716" t="n">
        <v>115</v>
      </c>
      <c r="T1716" t="inlineStr">
        <is>
          <t>Love - Shibari - Bradesco</t>
        </is>
      </c>
    </row>
    <row r="1717">
      <c r="A1717" t="n">
        <v>137742</v>
      </c>
      <c r="B1717" t="n">
        <v>128</v>
      </c>
      <c r="C1717" t="inlineStr">
        <is>
          <t>Love Cabaret</t>
        </is>
      </c>
      <c r="D1717" t="inlineStr">
        <is>
          <t>BLUEME</t>
        </is>
      </c>
      <c r="E1717" t="n">
        <v>389</v>
      </c>
      <c r="F1717" s="27" t="n">
        <v>45828</v>
      </c>
      <c r="G1717" s="27" t="n">
        <v>45826</v>
      </c>
      <c r="H1717" s="27" t="n">
        <v>45826</v>
      </c>
      <c r="I1717" s="27" t="n">
        <v>45807</v>
      </c>
      <c r="J1717" s="27" t="n">
        <v>45812</v>
      </c>
      <c r="K1717" t="inlineStr">
        <is>
          <t>Boleto Bancário</t>
        </is>
      </c>
      <c r="L1717" t="inlineStr">
        <is>
          <t>Informática e TI</t>
        </is>
      </c>
      <c r="M1717" t="inlineStr">
        <is>
          <t>Sistemas Gerais - Financeiros</t>
        </is>
      </c>
      <c r="N1717" t="inlineStr">
        <is>
          <t>113</t>
        </is>
      </c>
      <c r="O1717" t="inlineStr">
        <is>
          <t>Documentação Aprovada</t>
        </is>
      </c>
      <c r="P1717" t="inlineStr">
        <is>
          <t>Aprovado Diretoria</t>
        </is>
      </c>
      <c r="Q1717" t="inlineStr">
        <is>
          <t>Aprovado Caixa</t>
        </is>
      </c>
      <c r="R1717" t="inlineStr">
        <is>
          <t>Pago</t>
        </is>
      </c>
      <c r="S1717" t="n">
        <v>182</v>
      </c>
      <c r="T1717" t="inlineStr">
        <is>
          <t>Love - Shibari - Kamino</t>
        </is>
      </c>
    </row>
    <row r="1718">
      <c r="A1718" t="n">
        <v>139027</v>
      </c>
      <c r="B1718" t="n">
        <v>128</v>
      </c>
      <c r="C1718" t="inlineStr">
        <is>
          <t>Love Cabaret</t>
        </is>
      </c>
      <c r="D1718" t="inlineStr">
        <is>
          <t>ICE4PROS FABRICA DE GELO LTDA</t>
        </is>
      </c>
      <c r="E1718" t="n">
        <v>834.75</v>
      </c>
      <c r="F1718" s="27" t="n">
        <v>45827</v>
      </c>
      <c r="G1718" s="27" t="n">
        <v>45826</v>
      </c>
      <c r="H1718" s="27" t="n">
        <v>45826</v>
      </c>
      <c r="I1718" s="27" t="n">
        <v>45817</v>
      </c>
      <c r="J1718" s="27" t="n">
        <v>45819</v>
      </c>
      <c r="K1718" t="inlineStr">
        <is>
          <t>Boleto Bancário</t>
        </is>
      </c>
      <c r="L1718" t="inlineStr">
        <is>
          <t>Custo Mercadoria Vendida</t>
        </is>
      </c>
      <c r="M1718" t="inlineStr">
        <is>
          <t>Insumos - Bebidas</t>
        </is>
      </c>
      <c r="N1718" t="inlineStr">
        <is>
          <t>80710</t>
        </is>
      </c>
      <c r="O1718" t="inlineStr">
        <is>
          <t>Documentação Aprovada</t>
        </is>
      </c>
      <c r="P1718" t="inlineStr">
        <is>
          <t>Aprovado Diretoria</t>
        </is>
      </c>
      <c r="Q1718" t="inlineStr">
        <is>
          <t>Aprovado Caixa</t>
        </is>
      </c>
      <c r="R1718" t="inlineStr">
        <is>
          <t>Pago</t>
        </is>
      </c>
      <c r="S1718" t="n">
        <v>182</v>
      </c>
      <c r="T1718" t="inlineStr">
        <is>
          <t>Love - Shibari - Kamino</t>
        </is>
      </c>
    </row>
    <row r="1719">
      <c r="A1719" t="n">
        <v>139026</v>
      </c>
      <c r="B1719" t="n">
        <v>128</v>
      </c>
      <c r="C1719" t="inlineStr">
        <is>
          <t>Love Cabaret</t>
        </is>
      </c>
      <c r="D1719" t="inlineStr">
        <is>
          <t xml:space="preserve">ARENA VIP DISTRIBUIDORA DE BEBIDAS LTDA </t>
        </is>
      </c>
      <c r="E1719" t="n">
        <v>870</v>
      </c>
      <c r="F1719" s="27" t="n">
        <v>45828</v>
      </c>
      <c r="G1719" s="27" t="n">
        <v>45826</v>
      </c>
      <c r="H1719" s="27" t="n">
        <v>45826</v>
      </c>
      <c r="I1719" s="27" t="n">
        <v>45817</v>
      </c>
      <c r="J1719" s="27" t="n">
        <v>45819</v>
      </c>
      <c r="K1719" t="inlineStr">
        <is>
          <t>Boleto Bancário</t>
        </is>
      </c>
      <c r="L1719" t="inlineStr">
        <is>
          <t>Custo Mercadoria Vendida</t>
        </is>
      </c>
      <c r="M1719" t="inlineStr">
        <is>
          <t>Insumos - Bebidas</t>
        </is>
      </c>
      <c r="N1719" t="inlineStr">
        <is>
          <t>4907</t>
        </is>
      </c>
      <c r="O1719" t="inlineStr">
        <is>
          <t>Documentação Aprovada</t>
        </is>
      </c>
      <c r="P1719" t="inlineStr">
        <is>
          <t>Aprovado Diretoria</t>
        </is>
      </c>
      <c r="Q1719" t="inlineStr">
        <is>
          <t>Aprovado Caixa</t>
        </is>
      </c>
      <c r="R1719" t="inlineStr">
        <is>
          <t>Pago</t>
        </is>
      </c>
      <c r="S1719" t="n">
        <v>182</v>
      </c>
      <c r="T1719" t="inlineStr">
        <is>
          <t>Love - Shibari - Kamino</t>
        </is>
      </c>
    </row>
    <row r="1720">
      <c r="A1720" t="n">
        <v>139025</v>
      </c>
      <c r="B1720" t="n">
        <v>128</v>
      </c>
      <c r="C1720" t="inlineStr">
        <is>
          <t>Love Cabaret</t>
        </is>
      </c>
      <c r="D1720" t="inlineStr">
        <is>
          <t>HORTIFRUTIGRANJEIRO RODRIGUES LTDA</t>
        </is>
      </c>
      <c r="E1720" t="n">
        <v>593.3</v>
      </c>
      <c r="F1720" s="27" t="n">
        <v>45829</v>
      </c>
      <c r="G1720" s="27" t="n">
        <v>45826</v>
      </c>
      <c r="H1720" s="27" t="n">
        <v>45826</v>
      </c>
      <c r="I1720" s="27" t="n">
        <v>45814</v>
      </c>
      <c r="J1720" s="27" t="n">
        <v>45819</v>
      </c>
      <c r="K1720" t="inlineStr">
        <is>
          <t>Boleto Bancário</t>
        </is>
      </c>
      <c r="L1720" t="inlineStr">
        <is>
          <t>Custo Mercadoria Vendida</t>
        </is>
      </c>
      <c r="M1720" t="inlineStr">
        <is>
          <t>Insumos - Alimentos</t>
        </is>
      </c>
      <c r="N1720" t="inlineStr">
        <is>
          <t>10855</t>
        </is>
      </c>
      <c r="O1720" t="inlineStr">
        <is>
          <t>Documentação Aprovada</t>
        </is>
      </c>
      <c r="P1720" t="inlineStr">
        <is>
          <t>Aprovado Diretoria</t>
        </is>
      </c>
      <c r="Q1720" t="inlineStr">
        <is>
          <t>Aprovado Caixa</t>
        </is>
      </c>
      <c r="R1720" t="inlineStr">
        <is>
          <t>Pago</t>
        </is>
      </c>
      <c r="S1720" t="n">
        <v>182</v>
      </c>
      <c r="T1720" t="inlineStr">
        <is>
          <t>Love - Shibari - Kamino</t>
        </is>
      </c>
    </row>
    <row r="1721">
      <c r="A1721" t="n">
        <v>139024</v>
      </c>
      <c r="B1721" t="n">
        <v>128</v>
      </c>
      <c r="C1721" t="inlineStr">
        <is>
          <t>Love Cabaret</t>
        </is>
      </c>
      <c r="D1721" t="inlineStr">
        <is>
          <t>PSSS LTDA</t>
        </is>
      </c>
      <c r="E1721" t="n">
        <v>453.04</v>
      </c>
      <c r="F1721" s="27" t="n">
        <v>45828</v>
      </c>
      <c r="G1721" s="27" t="n">
        <v>45826</v>
      </c>
      <c r="H1721" s="27" t="n">
        <v>45826</v>
      </c>
      <c r="I1721" s="27" t="n">
        <v>45810</v>
      </c>
      <c r="J1721" s="27" t="n">
        <v>45819</v>
      </c>
      <c r="K1721" t="inlineStr">
        <is>
          <t>Boleto Bancário</t>
        </is>
      </c>
      <c r="L1721" t="inlineStr">
        <is>
          <t>Utilidades</t>
        </is>
      </c>
      <c r="M1721" t="inlineStr">
        <is>
          <t>Higiene e Limpeza</t>
        </is>
      </c>
      <c r="N1721" t="inlineStr">
        <is>
          <t>1685</t>
        </is>
      </c>
      <c r="O1721" t="inlineStr">
        <is>
          <t>Documentação Aprovada</t>
        </is>
      </c>
      <c r="P1721" t="inlineStr">
        <is>
          <t>Aprovado Diretoria</t>
        </is>
      </c>
      <c r="Q1721" t="inlineStr">
        <is>
          <t>Aprovado Caixa</t>
        </is>
      </c>
      <c r="R1721" t="inlineStr">
        <is>
          <t>Pago</t>
        </is>
      </c>
      <c r="S1721" t="n">
        <v>182</v>
      </c>
      <c r="T1721" t="inlineStr">
        <is>
          <t>Love - Shibari - Kamino</t>
        </is>
      </c>
    </row>
    <row r="1722">
      <c r="A1722" t="n">
        <v>139023</v>
      </c>
      <c r="B1722" t="n">
        <v>128</v>
      </c>
      <c r="C1722" t="inlineStr">
        <is>
          <t>Love Cabaret</t>
        </is>
      </c>
      <c r="D1722" t="inlineStr">
        <is>
          <t>NOVA COMERCIAL DO PEIXE LTDA</t>
        </is>
      </c>
      <c r="E1722" t="n">
        <v>588</v>
      </c>
      <c r="F1722" s="27" t="n">
        <v>45828</v>
      </c>
      <c r="G1722" s="27" t="n">
        <v>45826</v>
      </c>
      <c r="H1722" s="27" t="n">
        <v>45826</v>
      </c>
      <c r="I1722" s="27" t="n">
        <v>45814</v>
      </c>
      <c r="J1722" s="27" t="n">
        <v>45819</v>
      </c>
      <c r="K1722" t="inlineStr">
        <is>
          <t>Boleto Bancário</t>
        </is>
      </c>
      <c r="L1722" t="inlineStr">
        <is>
          <t>Custo Mercadoria Vendida</t>
        </is>
      </c>
      <c r="M1722" t="inlineStr">
        <is>
          <t>Insumos - Alimentos</t>
        </is>
      </c>
      <c r="N1722" t="inlineStr">
        <is>
          <t>25432</t>
        </is>
      </c>
      <c r="O1722" t="inlineStr">
        <is>
          <t>Documentação Aprovada</t>
        </is>
      </c>
      <c r="P1722" t="inlineStr">
        <is>
          <t>Aprovado Diretoria</t>
        </is>
      </c>
      <c r="Q1722" t="inlineStr">
        <is>
          <t>Aprovado Caixa</t>
        </is>
      </c>
      <c r="R1722" t="inlineStr">
        <is>
          <t>Pago</t>
        </is>
      </c>
      <c r="S1722" t="n">
        <v>182</v>
      </c>
      <c r="T1722" t="inlineStr">
        <is>
          <t>Love - Shibari - Kamino</t>
        </is>
      </c>
    </row>
    <row r="1723">
      <c r="A1723" t="n">
        <v>135883</v>
      </c>
      <c r="B1723" t="n">
        <v>128</v>
      </c>
      <c r="C1723" t="inlineStr">
        <is>
          <t>Love Cabaret</t>
        </is>
      </c>
      <c r="D1723" t="inlineStr">
        <is>
          <t>INSS</t>
        </is>
      </c>
      <c r="E1723" t="n">
        <v>596.73</v>
      </c>
      <c r="F1723" s="27" t="n">
        <v>45828</v>
      </c>
      <c r="G1723" s="27" t="n">
        <v>45826</v>
      </c>
      <c r="H1723" s="27" t="n">
        <v>45826</v>
      </c>
      <c r="I1723" s="27" t="n">
        <v>45778</v>
      </c>
      <c r="J1723" s="27" t="n">
        <v>45811</v>
      </c>
      <c r="K1723" t="inlineStr">
        <is>
          <t>Boleto Bancário</t>
        </is>
      </c>
      <c r="L1723" t="inlineStr">
        <is>
          <t>Mão de Obra - Encargos e Provisões</t>
        </is>
      </c>
      <c r="M1723" t="inlineStr">
        <is>
          <t xml:space="preserve">  -  INSS Segurados</t>
        </is>
      </c>
      <c r="N1723" t="inlineStr">
        <is>
          <t>59673 052025</t>
        </is>
      </c>
      <c r="O1723" t="inlineStr">
        <is>
          <t>Documentação Aprovada</t>
        </is>
      </c>
      <c r="P1723" t="inlineStr">
        <is>
          <t>Aprovado Diretoria</t>
        </is>
      </c>
      <c r="Q1723" t="inlineStr">
        <is>
          <t>Aprovado Caixa</t>
        </is>
      </c>
      <c r="R1723" t="inlineStr">
        <is>
          <t>Pago</t>
        </is>
      </c>
      <c r="S1723" t="n">
        <v>182</v>
      </c>
      <c r="T1723" t="inlineStr">
        <is>
          <t>Love - Shibari - Kamino</t>
        </is>
      </c>
    </row>
    <row r="1724">
      <c r="A1724" t="n">
        <v>135881</v>
      </c>
      <c r="B1724" t="n">
        <v>128</v>
      </c>
      <c r="C1724" t="inlineStr">
        <is>
          <t>Love Cabaret</t>
        </is>
      </c>
      <c r="D1724" t="inlineStr">
        <is>
          <t>INSS</t>
        </is>
      </c>
      <c r="E1724" t="n">
        <v>1943.79</v>
      </c>
      <c r="F1724" s="27" t="n">
        <v>45828</v>
      </c>
      <c r="G1724" s="27" t="n">
        <v>45826</v>
      </c>
      <c r="H1724" s="27" t="n">
        <v>45826</v>
      </c>
      <c r="I1724" s="27" t="n">
        <v>45778</v>
      </c>
      <c r="J1724" s="27" t="n">
        <v>45811</v>
      </c>
      <c r="K1724" t="inlineStr">
        <is>
          <t>Boleto Bancário</t>
        </is>
      </c>
      <c r="L1724" t="inlineStr">
        <is>
          <t>Mão de Obra - Encargos e Provisões</t>
        </is>
      </c>
      <c r="M1724" t="inlineStr">
        <is>
          <t xml:space="preserve">  -  INSS Patronal</t>
        </is>
      </c>
      <c r="N1724" t="inlineStr">
        <is>
          <t>194379 052025</t>
        </is>
      </c>
      <c r="O1724" t="inlineStr">
        <is>
          <t>Documentação Aprovada</t>
        </is>
      </c>
      <c r="P1724" t="inlineStr">
        <is>
          <t>Aprovado Diretoria</t>
        </is>
      </c>
      <c r="Q1724" t="inlineStr">
        <is>
          <t>Aprovado Caixa</t>
        </is>
      </c>
      <c r="R1724" t="inlineStr">
        <is>
          <t>Pago</t>
        </is>
      </c>
      <c r="S1724" t="n">
        <v>182</v>
      </c>
      <c r="T1724" t="inlineStr">
        <is>
          <t>Love - Shibari - Kamino</t>
        </is>
      </c>
    </row>
    <row r="1725">
      <c r="A1725" t="n">
        <v>135887</v>
      </c>
      <c r="B1725" t="n">
        <v>128</v>
      </c>
      <c r="C1725" t="inlineStr">
        <is>
          <t>Love Cabaret</t>
        </is>
      </c>
      <c r="D1725" t="inlineStr">
        <is>
          <t>FGTS</t>
        </is>
      </c>
      <c r="E1725" t="n">
        <v>539.9400000000001</v>
      </c>
      <c r="F1725" s="27" t="n">
        <v>45828</v>
      </c>
      <c r="G1725" s="27" t="n">
        <v>45826</v>
      </c>
      <c r="H1725" s="27" t="n">
        <v>45826</v>
      </c>
      <c r="I1725" s="27" t="n">
        <v>45778</v>
      </c>
      <c r="J1725" s="27" t="n">
        <v>45811</v>
      </c>
      <c r="K1725" t="inlineStr">
        <is>
          <t>Transferência Bancária ou Pix</t>
        </is>
      </c>
      <c r="L1725" t="inlineStr">
        <is>
          <t>Mão de Obra - Encargos e Provisões</t>
        </is>
      </c>
      <c r="M1725" t="inlineStr">
        <is>
          <t xml:space="preserve">  -  FGTS</t>
        </is>
      </c>
      <c r="N1725" t="inlineStr">
        <is>
          <t>53994 052025</t>
        </is>
      </c>
      <c r="O1725" t="inlineStr">
        <is>
          <t>Documentação Aprovada</t>
        </is>
      </c>
      <c r="P1725" t="inlineStr">
        <is>
          <t>Aprovado Diretoria</t>
        </is>
      </c>
      <c r="Q1725" t="inlineStr">
        <is>
          <t>Aprovado Caixa</t>
        </is>
      </c>
      <c r="R1725" t="inlineStr">
        <is>
          <t>Pago</t>
        </is>
      </c>
      <c r="S1725" t="n">
        <v>182</v>
      </c>
      <c r="T1725" t="inlineStr">
        <is>
          <t>Love - Shibari - Kamino</t>
        </is>
      </c>
    </row>
    <row r="1726">
      <c r="A1726" t="n">
        <v>135886</v>
      </c>
      <c r="B1726" t="n">
        <v>128</v>
      </c>
      <c r="C1726" t="inlineStr">
        <is>
          <t>Love Cabaret</t>
        </is>
      </c>
      <c r="D1726" t="inlineStr">
        <is>
          <t>IRRF</t>
        </is>
      </c>
      <c r="E1726" t="n">
        <v>161.89</v>
      </c>
      <c r="F1726" s="27" t="n">
        <v>45828</v>
      </c>
      <c r="G1726" s="27" t="n">
        <v>45826</v>
      </c>
      <c r="H1726" s="27" t="n">
        <v>45826</v>
      </c>
      <c r="I1726" s="27" t="n">
        <v>45778</v>
      </c>
      <c r="J1726" s="27" t="n">
        <v>45811</v>
      </c>
      <c r="K1726" t="inlineStr">
        <is>
          <t>Boleto Bancário</t>
        </is>
      </c>
      <c r="L1726" t="inlineStr">
        <is>
          <t>Mão de Obra - Encargos e Provisões</t>
        </is>
      </c>
      <c r="M1726" t="inlineStr">
        <is>
          <t>IRRF - MDO CLT - Salário</t>
        </is>
      </c>
      <c r="N1726" t="inlineStr">
        <is>
          <t>16189 052025</t>
        </is>
      </c>
      <c r="O1726" t="inlineStr">
        <is>
          <t>Documentação Aprovada</t>
        </is>
      </c>
      <c r="P1726" t="inlineStr">
        <is>
          <t>Aprovado Diretoria</t>
        </is>
      </c>
      <c r="Q1726" t="inlineStr">
        <is>
          <t>Aprovado Caixa</t>
        </is>
      </c>
      <c r="R1726" t="inlineStr">
        <is>
          <t>Pago</t>
        </is>
      </c>
      <c r="S1726" t="n">
        <v>182</v>
      </c>
      <c r="T1726" t="inlineStr">
        <is>
          <t>Love - Shibari - Kamino</t>
        </is>
      </c>
    </row>
    <row r="1727">
      <c r="A1727" t="n">
        <v>134098</v>
      </c>
      <c r="B1727" t="n">
        <v>128</v>
      </c>
      <c r="C1727" t="inlineStr">
        <is>
          <t>Love Cabaret</t>
        </is>
      </c>
      <c r="D1727" t="inlineStr">
        <is>
          <t xml:space="preserve">EMPORIO MEL </t>
        </is>
      </c>
      <c r="E1727" t="n">
        <v>466.8</v>
      </c>
      <c r="F1727" s="27" t="n">
        <v>45827</v>
      </c>
      <c r="G1727" s="27" t="n">
        <v>45826</v>
      </c>
      <c r="H1727" s="27" t="n">
        <v>45826</v>
      </c>
      <c r="I1727" s="27" t="n">
        <v>45797</v>
      </c>
      <c r="J1727" s="27" t="n">
        <v>45800</v>
      </c>
      <c r="K1727" t="inlineStr">
        <is>
          <t>Boleto Bancário</t>
        </is>
      </c>
      <c r="L1727" t="inlineStr">
        <is>
          <t>Custo Mercadoria Vendida</t>
        </is>
      </c>
      <c r="M1727" t="inlineStr">
        <is>
          <t>Insumos - Bebidas</t>
        </is>
      </c>
      <c r="N1727" t="inlineStr">
        <is>
          <t>452790</t>
        </is>
      </c>
      <c r="O1727" t="inlineStr">
        <is>
          <t>Documentação Aprovada</t>
        </is>
      </c>
      <c r="P1727" t="inlineStr">
        <is>
          <t>Aprovado Diretoria</t>
        </is>
      </c>
      <c r="Q1727" t="inlineStr">
        <is>
          <t>Aprovado Caixa</t>
        </is>
      </c>
      <c r="R1727" t="inlineStr">
        <is>
          <t>Pago</t>
        </is>
      </c>
      <c r="S1727" t="n">
        <v>182</v>
      </c>
      <c r="T1727" t="inlineStr">
        <is>
          <t>Love - Shibari - Kamino</t>
        </is>
      </c>
    </row>
    <row r="1728">
      <c r="A1728" t="n">
        <v>134091</v>
      </c>
      <c r="B1728" t="n">
        <v>128</v>
      </c>
      <c r="C1728" t="inlineStr">
        <is>
          <t>Love Cabaret</t>
        </is>
      </c>
      <c r="D1728" t="inlineStr">
        <is>
          <t xml:space="preserve">EMPORIO MEL </t>
        </is>
      </c>
      <c r="E1728" t="n">
        <v>197.4</v>
      </c>
      <c r="F1728" s="27" t="n">
        <v>45827</v>
      </c>
      <c r="G1728" s="27" t="n">
        <v>45826</v>
      </c>
      <c r="H1728" s="27" t="n">
        <v>45826</v>
      </c>
      <c r="I1728" s="27" t="n">
        <v>45796</v>
      </c>
      <c r="J1728" s="27" t="n">
        <v>45800</v>
      </c>
      <c r="K1728" t="inlineStr">
        <is>
          <t>Boleto Bancário</t>
        </is>
      </c>
      <c r="L1728" t="inlineStr">
        <is>
          <t>Custo Mercadoria Vendida</t>
        </is>
      </c>
      <c r="M1728" t="inlineStr">
        <is>
          <t>Insumos - Alimentos</t>
        </is>
      </c>
      <c r="N1728" t="inlineStr">
        <is>
          <t>452484</t>
        </is>
      </c>
      <c r="O1728" t="inlineStr">
        <is>
          <t>Documentação Aprovada</t>
        </is>
      </c>
      <c r="P1728" t="inlineStr">
        <is>
          <t>Aprovado Diretoria</t>
        </is>
      </c>
      <c r="Q1728" t="inlineStr">
        <is>
          <t>Aprovado Caixa</t>
        </is>
      </c>
      <c r="R1728" t="inlineStr">
        <is>
          <t>Pago</t>
        </is>
      </c>
      <c r="S1728" t="n">
        <v>182</v>
      </c>
      <c r="T1728" t="inlineStr">
        <is>
          <t>Love - Shibari - Kamino</t>
        </is>
      </c>
    </row>
    <row r="1729">
      <c r="A1729" t="n">
        <v>135487</v>
      </c>
      <c r="B1729" t="n">
        <v>128</v>
      </c>
      <c r="C1729" t="inlineStr">
        <is>
          <t>Love Cabaret</t>
        </is>
      </c>
      <c r="D1729" t="inlineStr">
        <is>
          <t>ANDREIA SANTOS FREITAS DUARTE</t>
        </is>
      </c>
      <c r="E1729" t="n">
        <v>367.2</v>
      </c>
      <c r="F1729" s="27" t="n">
        <v>45828</v>
      </c>
      <c r="G1729" s="27" t="n">
        <v>45826</v>
      </c>
      <c r="H1729" s="27" t="n">
        <v>45826</v>
      </c>
      <c r="I1729" s="27" t="n">
        <v>45803</v>
      </c>
      <c r="J1729" s="27" t="n">
        <v>45807</v>
      </c>
      <c r="K1729" t="inlineStr">
        <is>
          <t>Boleto Bancário</t>
        </is>
      </c>
      <c r="L1729" t="inlineStr">
        <is>
          <t>Utilidades</t>
        </is>
      </c>
      <c r="M1729" t="inlineStr">
        <is>
          <t>Higiene e Limpeza</t>
        </is>
      </c>
      <c r="N1729" t="inlineStr">
        <is>
          <t>1924</t>
        </is>
      </c>
      <c r="O1729" t="inlineStr">
        <is>
          <t>Documentação Aprovada</t>
        </is>
      </c>
      <c r="P1729" t="inlineStr">
        <is>
          <t>Aprovado Diretoria</t>
        </is>
      </c>
      <c r="Q1729" t="inlineStr">
        <is>
          <t>Aprovado Caixa</t>
        </is>
      </c>
      <c r="R1729" t="inlineStr">
        <is>
          <t>Pago</t>
        </is>
      </c>
      <c r="S1729" t="n">
        <v>182</v>
      </c>
      <c r="T1729" t="inlineStr">
        <is>
          <t>Love - Shibari - Kamino</t>
        </is>
      </c>
    </row>
    <row r="1730">
      <c r="A1730" t="n">
        <v>135335</v>
      </c>
      <c r="B1730" t="n">
        <v>128</v>
      </c>
      <c r="C1730" t="inlineStr">
        <is>
          <t>Love Cabaret</t>
        </is>
      </c>
      <c r="D1730" t="inlineStr">
        <is>
          <t>HORTICLEAN DISTRIBUIDORA DE HORTIFRUTI LTDA</t>
        </is>
      </c>
      <c r="E1730" t="n">
        <v>104.7</v>
      </c>
      <c r="F1730" s="27" t="n">
        <v>45828</v>
      </c>
      <c r="G1730" s="27" t="n">
        <v>45826</v>
      </c>
      <c r="H1730" s="27" t="n">
        <v>45826</v>
      </c>
      <c r="I1730" s="27" t="n">
        <v>45800</v>
      </c>
      <c r="J1730" s="27" t="n">
        <v>45806</v>
      </c>
      <c r="K1730" t="inlineStr">
        <is>
          <t>Boleto Bancário</t>
        </is>
      </c>
      <c r="L1730" t="inlineStr">
        <is>
          <t>Custo Mercadoria Vendida</t>
        </is>
      </c>
      <c r="M1730" t="inlineStr">
        <is>
          <t>Insumos - Alimentos</t>
        </is>
      </c>
      <c r="N1730" t="inlineStr">
        <is>
          <t>26807</t>
        </is>
      </c>
      <c r="O1730" t="inlineStr">
        <is>
          <t>Documentação Aprovada</t>
        </is>
      </c>
      <c r="P1730" t="inlineStr">
        <is>
          <t>Aprovado Diretoria</t>
        </is>
      </c>
      <c r="Q1730" t="inlineStr">
        <is>
          <t>Aprovado Caixa</t>
        </is>
      </c>
      <c r="R1730" t="inlineStr">
        <is>
          <t>Pago</t>
        </is>
      </c>
      <c r="S1730" t="n">
        <v>182</v>
      </c>
      <c r="T1730" t="inlineStr">
        <is>
          <t>Love - Shibari - Kamino</t>
        </is>
      </c>
    </row>
    <row r="1731">
      <c r="A1731" t="n">
        <v>135488</v>
      </c>
      <c r="B1731" t="n">
        <v>128</v>
      </c>
      <c r="C1731" t="inlineStr">
        <is>
          <t>Love Cabaret</t>
        </is>
      </c>
      <c r="D1731" t="inlineStr">
        <is>
          <t xml:space="preserve">EMPORIO MEL </t>
        </is>
      </c>
      <c r="E1731" t="n">
        <v>476.2</v>
      </c>
      <c r="F1731" s="27" t="n">
        <v>45827</v>
      </c>
      <c r="G1731" s="27" t="n">
        <v>45826</v>
      </c>
      <c r="H1731" s="27" t="n">
        <v>45826</v>
      </c>
      <c r="I1731" s="27" t="n">
        <v>45799</v>
      </c>
      <c r="J1731" s="27" t="n">
        <v>45807</v>
      </c>
      <c r="K1731" t="inlineStr">
        <is>
          <t>Boleto Bancário</t>
        </is>
      </c>
      <c r="L1731" t="inlineStr">
        <is>
          <t>Custo Mercadoria Vendida</t>
        </is>
      </c>
      <c r="M1731" t="inlineStr">
        <is>
          <t>Insumos - Alimentos</t>
        </is>
      </c>
      <c r="N1731" t="inlineStr">
        <is>
          <t>453194</t>
        </is>
      </c>
      <c r="O1731" t="inlineStr">
        <is>
          <t>Documentação Aprovada</t>
        </is>
      </c>
      <c r="P1731" t="inlineStr">
        <is>
          <t>Aprovado Diretoria</t>
        </is>
      </c>
      <c r="Q1731" t="inlineStr">
        <is>
          <t>Aprovado Caixa</t>
        </is>
      </c>
      <c r="R1731" t="inlineStr">
        <is>
          <t>Pago</t>
        </is>
      </c>
      <c r="S1731" t="n">
        <v>182</v>
      </c>
      <c r="T1731" t="inlineStr">
        <is>
          <t>Love - Shibari - Kamino</t>
        </is>
      </c>
    </row>
    <row r="1732">
      <c r="A1732" t="n">
        <v>133800</v>
      </c>
      <c r="B1732" t="n">
        <v>128</v>
      </c>
      <c r="C1732" t="inlineStr">
        <is>
          <t>Love Cabaret</t>
        </is>
      </c>
      <c r="D1732" t="inlineStr">
        <is>
          <t>BRH SAUDE OCUPACIONAL LTDA</t>
        </is>
      </c>
      <c r="E1732" t="n">
        <v>303.64</v>
      </c>
      <c r="F1732" s="27" t="n">
        <v>45828</v>
      </c>
      <c r="G1732" s="27" t="n">
        <v>45826</v>
      </c>
      <c r="H1732" s="27" t="n">
        <v>45826</v>
      </c>
      <c r="I1732" s="27" t="n">
        <v>45778</v>
      </c>
      <c r="J1732" s="27" t="n">
        <v>45799</v>
      </c>
      <c r="K1732" t="inlineStr">
        <is>
          <t>Transferência Bancária ou Pix</t>
        </is>
      </c>
      <c r="L1732" t="inlineStr">
        <is>
          <t>Mão de Obra - Benefícios</t>
        </is>
      </c>
      <c r="M1732" t="inlineStr">
        <is>
          <t xml:space="preserve">  -  Exames Periódicos</t>
        </is>
      </c>
      <c r="N1732" t="inlineStr">
        <is>
          <t>79057</t>
        </is>
      </c>
      <c r="O1732" t="inlineStr">
        <is>
          <t>Documentação Aprovada</t>
        </is>
      </c>
      <c r="P1732" t="inlineStr">
        <is>
          <t>Aprovado Diretoria</t>
        </is>
      </c>
      <c r="Q1732" t="inlineStr">
        <is>
          <t>Aprovado Caixa</t>
        </is>
      </c>
      <c r="R1732" t="inlineStr">
        <is>
          <t>Pago</t>
        </is>
      </c>
      <c r="S1732" t="n">
        <v>182</v>
      </c>
      <c r="T1732" t="inlineStr">
        <is>
          <t>Love - Shibari - Kamino</t>
        </is>
      </c>
    </row>
    <row r="1733">
      <c r="A1733" t="n">
        <v>129464</v>
      </c>
      <c r="B1733" t="n">
        <v>128</v>
      </c>
      <c r="C1733" t="inlineStr">
        <is>
          <t>Love Cabaret</t>
        </is>
      </c>
      <c r="D1733" t="inlineStr">
        <is>
          <t>OPUS CONSULTORIA E PESQUISA LTDA</t>
        </is>
      </c>
      <c r="E1733" t="n">
        <v>300</v>
      </c>
      <c r="F1733" s="27" t="n">
        <v>45828</v>
      </c>
      <c r="G1733" s="27" t="n">
        <v>45826</v>
      </c>
      <c r="H1733" s="27" t="n">
        <v>45826</v>
      </c>
      <c r="I1733" s="27" t="n">
        <v>45814</v>
      </c>
      <c r="J1733" s="27" t="n"/>
      <c r="K1733" t="inlineStr">
        <is>
          <t>Boleto Bancário</t>
        </is>
      </c>
      <c r="L1733" t="inlineStr">
        <is>
          <t>Serviços de Terceiros</t>
        </is>
      </c>
      <c r="M1733" t="inlineStr">
        <is>
          <t>Assessoria em Geral</t>
        </is>
      </c>
      <c r="N1733" t="inlineStr">
        <is>
          <t>500</t>
        </is>
      </c>
      <c r="O1733" t="inlineStr">
        <is>
          <t>Documentação Aprovada</t>
        </is>
      </c>
      <c r="P1733" t="inlineStr">
        <is>
          <t>Aprovado Diretoria</t>
        </is>
      </c>
      <c r="Q1733" t="inlineStr">
        <is>
          <t>Aprovado Caixa</t>
        </is>
      </c>
      <c r="R1733" t="inlineStr">
        <is>
          <t>Pago</t>
        </is>
      </c>
      <c r="S1733" t="n">
        <v>182</v>
      </c>
      <c r="T1733" t="inlineStr">
        <is>
          <t>Love - Shibari - Kamino</t>
        </is>
      </c>
    </row>
    <row r="1734">
      <c r="A1734" t="n">
        <v>102795</v>
      </c>
      <c r="B1734" t="n">
        <v>128</v>
      </c>
      <c r="C1734" t="inlineStr">
        <is>
          <t>Love Cabaret</t>
        </is>
      </c>
      <c r="D1734" t="inlineStr">
        <is>
          <t>FABRICA DE BARES PARTICIPACOES LTDA</t>
        </is>
      </c>
      <c r="E1734" t="n">
        <v>100</v>
      </c>
      <c r="F1734" s="27" t="n">
        <v>45828</v>
      </c>
      <c r="G1734" s="27" t="n">
        <v>45826</v>
      </c>
      <c r="H1734" s="27" t="n">
        <v>45826</v>
      </c>
      <c r="I1734" s="27" t="n">
        <v>45778</v>
      </c>
      <c r="J1734" s="27" t="n"/>
      <c r="K1734" t="inlineStr">
        <is>
          <t>Transferência Bancária ou Pix</t>
        </is>
      </c>
      <c r="L1734" t="inlineStr">
        <is>
          <t>Serviços de Terceiros</t>
        </is>
      </c>
      <c r="M1734" t="inlineStr">
        <is>
          <t>Assessoria RH</t>
        </is>
      </c>
      <c r="N1734" t="inlineStr">
        <is>
          <t>RP055-2025</t>
        </is>
      </c>
      <c r="O1734" t="inlineStr">
        <is>
          <t>Documentação Aprovada</t>
        </is>
      </c>
      <c r="P1734" t="inlineStr">
        <is>
          <t>Aprovado Diretoria</t>
        </is>
      </c>
      <c r="Q1734" t="inlineStr">
        <is>
          <t>Aprovado Caixa</t>
        </is>
      </c>
      <c r="R1734" t="inlineStr">
        <is>
          <t>Pago</t>
        </is>
      </c>
      <c r="S1734" t="n">
        <v>182</v>
      </c>
      <c r="T1734" t="inlineStr">
        <is>
          <t>Love - Shibari - Kamino</t>
        </is>
      </c>
    </row>
    <row r="1735">
      <c r="A1735" t="n">
        <v>102818</v>
      </c>
      <c r="B1735" t="n">
        <v>128</v>
      </c>
      <c r="C1735" t="inlineStr">
        <is>
          <t>Love Cabaret</t>
        </is>
      </c>
      <c r="D1735" t="inlineStr">
        <is>
          <t>GOMES D ELIA EQUIP. HIGIENE LTDA - WESCO</t>
        </is>
      </c>
      <c r="E1735" t="n">
        <v>515</v>
      </c>
      <c r="F1735" s="27" t="n">
        <v>45828</v>
      </c>
      <c r="G1735" s="27" t="n">
        <v>45826</v>
      </c>
      <c r="H1735" s="27" t="n">
        <v>45826</v>
      </c>
      <c r="I1735" s="27" t="n">
        <v>45809</v>
      </c>
      <c r="J1735" s="27" t="n"/>
      <c r="K1735" t="inlineStr">
        <is>
          <t>Boleto Bancário</t>
        </is>
      </c>
      <c r="L1735" t="inlineStr">
        <is>
          <t>Utilidades</t>
        </is>
      </c>
      <c r="M1735" t="inlineStr">
        <is>
          <t>Higiene e Limpeza</t>
        </is>
      </c>
      <c r="N1735" t="inlineStr">
        <is>
          <t>178573</t>
        </is>
      </c>
      <c r="O1735" t="inlineStr">
        <is>
          <t>Documentação Aprovada</t>
        </is>
      </c>
      <c r="P1735" t="inlineStr">
        <is>
          <t>Aprovado Diretoria</t>
        </is>
      </c>
      <c r="Q1735" t="inlineStr">
        <is>
          <t>Aprovado Caixa</t>
        </is>
      </c>
      <c r="R1735" t="inlineStr">
        <is>
          <t>Pago</t>
        </is>
      </c>
      <c r="S1735" t="n">
        <v>182</v>
      </c>
      <c r="T1735" t="inlineStr">
        <is>
          <t>Love - Shibari - Kamino</t>
        </is>
      </c>
    </row>
    <row r="1736">
      <c r="A1736" t="n">
        <v>102891</v>
      </c>
      <c r="B1736" t="n">
        <v>128</v>
      </c>
      <c r="C1736" t="inlineStr">
        <is>
          <t>Love Cabaret</t>
        </is>
      </c>
      <c r="D1736" t="inlineStr">
        <is>
          <t>MACHINE SEGURANCA PATRIMONIAL LTDA</t>
        </is>
      </c>
      <c r="E1736" t="n">
        <v>5700</v>
      </c>
      <c r="F1736" s="27" t="n">
        <v>45828</v>
      </c>
      <c r="G1736" s="27" t="n">
        <v>45826</v>
      </c>
      <c r="H1736" s="27" t="n">
        <v>45826</v>
      </c>
      <c r="I1736" s="27" t="n">
        <v>45809</v>
      </c>
      <c r="J1736" s="27" t="n"/>
      <c r="K1736" t="inlineStr">
        <is>
          <t>Transferência Bancária ou Pix</t>
        </is>
      </c>
      <c r="L1736" t="inlineStr">
        <is>
          <t>Serviços de Terceiros</t>
        </is>
      </c>
      <c r="M1736" t="inlineStr">
        <is>
          <t>Serviços de Segurança</t>
        </is>
      </c>
      <c r="N1736" t="inlineStr">
        <is>
          <t>401</t>
        </is>
      </c>
      <c r="O1736" t="inlineStr">
        <is>
          <t>Documentação Aprovada</t>
        </is>
      </c>
      <c r="P1736" t="inlineStr">
        <is>
          <t>Aprovado Diretoria</t>
        </is>
      </c>
      <c r="Q1736" t="inlineStr">
        <is>
          <t>Aprovado Caixa</t>
        </is>
      </c>
      <c r="R1736" t="inlineStr">
        <is>
          <t>Pago</t>
        </is>
      </c>
      <c r="S1736" t="n">
        <v>182</v>
      </c>
      <c r="T1736" t="inlineStr">
        <is>
          <t>Love - Shibari - Kamino</t>
        </is>
      </c>
    </row>
    <row r="1737">
      <c r="A1737" t="n">
        <v>97457</v>
      </c>
      <c r="B1737" t="n">
        <v>128</v>
      </c>
      <c r="C1737" t="inlineStr">
        <is>
          <t>Love Cabaret</t>
        </is>
      </c>
      <c r="D1737" t="inlineStr">
        <is>
          <t>INSS</t>
        </is>
      </c>
      <c r="E1737" t="n">
        <v>685.3</v>
      </c>
      <c r="F1737" s="27" t="n">
        <v>45828</v>
      </c>
      <c r="G1737" s="27" t="n">
        <v>45826</v>
      </c>
      <c r="H1737" s="27" t="n">
        <v>45826</v>
      </c>
      <c r="I1737" s="27" t="n">
        <v>45796</v>
      </c>
      <c r="J1737" s="27" t="n"/>
      <c r="K1737" t="inlineStr">
        <is>
          <t>Boleto Bancário</t>
        </is>
      </c>
      <c r="L1737" t="inlineStr">
        <is>
          <t>Serviços de Terceiros</t>
        </is>
      </c>
      <c r="M1737" t="inlineStr">
        <is>
          <t>Serviços de Segurança</t>
        </is>
      </c>
      <c r="N1737" t="inlineStr">
        <is>
          <t>052025</t>
        </is>
      </c>
      <c r="O1737" t="inlineStr">
        <is>
          <t>Documentação Aprovada</t>
        </is>
      </c>
      <c r="P1737" t="inlineStr">
        <is>
          <t>Aprovado Diretoria</t>
        </is>
      </c>
      <c r="Q1737" t="inlineStr">
        <is>
          <t>Aprovado Caixa</t>
        </is>
      </c>
      <c r="R1737" t="inlineStr">
        <is>
          <t>Pago</t>
        </is>
      </c>
      <c r="S1737" t="n">
        <v>182</v>
      </c>
      <c r="T1737" t="inlineStr">
        <is>
          <t>Love - Shibari - Kamino</t>
        </is>
      </c>
    </row>
    <row r="1738">
      <c r="A1738" t="n">
        <v>97469</v>
      </c>
      <c r="B1738" t="n">
        <v>128</v>
      </c>
      <c r="C1738" t="inlineStr">
        <is>
          <t>Love Cabaret</t>
        </is>
      </c>
      <c r="D1738" t="inlineStr">
        <is>
          <t>ICMS</t>
        </is>
      </c>
      <c r="E1738" t="n">
        <v>9725.66</v>
      </c>
      <c r="F1738" s="27" t="n">
        <v>45828</v>
      </c>
      <c r="G1738" s="27" t="n">
        <v>45826</v>
      </c>
      <c r="H1738" s="27" t="n">
        <v>45826</v>
      </c>
      <c r="I1738" s="27" t="n">
        <v>45808</v>
      </c>
      <c r="J1738" s="27" t="n"/>
      <c r="K1738" t="inlineStr">
        <is>
          <t>Boleto Bancário</t>
        </is>
      </c>
      <c r="L1738" t="inlineStr">
        <is>
          <t>Impostos sobre Venda</t>
        </is>
      </c>
      <c r="M1738" t="inlineStr">
        <is>
          <t>ICMS</t>
        </is>
      </c>
      <c r="N1738" t="inlineStr">
        <is>
          <t>052025</t>
        </is>
      </c>
      <c r="O1738" t="inlineStr">
        <is>
          <t>Documentação Aprovada</t>
        </is>
      </c>
      <c r="P1738" t="inlineStr">
        <is>
          <t>Aprovado Diretoria</t>
        </is>
      </c>
      <c r="Q1738" t="inlineStr">
        <is>
          <t>Aprovado Caixa</t>
        </is>
      </c>
      <c r="R1738" t="inlineStr">
        <is>
          <t>Pago</t>
        </is>
      </c>
      <c r="S1738" t="n">
        <v>182</v>
      </c>
      <c r="T1738" t="inlineStr">
        <is>
          <t>Love - Shibari - Kamino</t>
        </is>
      </c>
    </row>
    <row r="1739">
      <c r="A1739" t="n">
        <v>97485</v>
      </c>
      <c r="B1739" t="n">
        <v>128</v>
      </c>
      <c r="C1739" t="inlineStr">
        <is>
          <t>Love Cabaret</t>
        </is>
      </c>
      <c r="D1739" t="inlineStr">
        <is>
          <t>IRRF</t>
        </is>
      </c>
      <c r="E1739" t="n">
        <v>108.22</v>
      </c>
      <c r="F1739" s="27" t="n">
        <v>45828</v>
      </c>
      <c r="G1739" s="27" t="n">
        <v>45826</v>
      </c>
      <c r="H1739" s="27" t="n">
        <v>45826</v>
      </c>
      <c r="I1739" s="27" t="n">
        <v>45808</v>
      </c>
      <c r="J1739" s="27" t="n"/>
      <c r="K1739" t="inlineStr">
        <is>
          <t>Boleto Bancário</t>
        </is>
      </c>
      <c r="L1739" t="inlineStr">
        <is>
          <t>Serviços de Terceiros</t>
        </is>
      </c>
      <c r="M1739" t="inlineStr">
        <is>
          <t>Serviços de Segurança</t>
        </is>
      </c>
      <c r="N1739" t="inlineStr">
        <is>
          <t>052025</t>
        </is>
      </c>
      <c r="O1739" t="inlineStr">
        <is>
          <t>Documentação Aprovada</t>
        </is>
      </c>
      <c r="P1739" t="inlineStr">
        <is>
          <t>Aprovado Diretoria</t>
        </is>
      </c>
      <c r="Q1739" t="inlineStr">
        <is>
          <t>Aprovado Caixa</t>
        </is>
      </c>
      <c r="R1739" t="inlineStr">
        <is>
          <t>Pago</t>
        </is>
      </c>
      <c r="S1739" t="n">
        <v>182</v>
      </c>
      <c r="T1739" t="inlineStr">
        <is>
          <t>Love - Shibari - Kamino</t>
        </is>
      </c>
    </row>
    <row r="1740">
      <c r="A1740" t="n">
        <v>97440</v>
      </c>
      <c r="B1740" t="n">
        <v>128</v>
      </c>
      <c r="C1740" t="inlineStr">
        <is>
          <t>Love Cabaret</t>
        </is>
      </c>
      <c r="D1740" t="inlineStr">
        <is>
          <t xml:space="preserve">MINISTERIO DA FAZENDA </t>
        </is>
      </c>
      <c r="E1740" t="n">
        <v>434.46</v>
      </c>
      <c r="F1740" s="27" t="n">
        <v>45828</v>
      </c>
      <c r="G1740" s="27" t="n">
        <v>45826</v>
      </c>
      <c r="H1740" s="27" t="n">
        <v>45826</v>
      </c>
      <c r="I1740" s="27" t="n">
        <v>45808</v>
      </c>
      <c r="J1740" s="27" t="n"/>
      <c r="K1740" t="inlineStr">
        <is>
          <t>Boleto Bancário</t>
        </is>
      </c>
      <c r="L1740" t="inlineStr">
        <is>
          <t>Serviços de Terceiros</t>
        </is>
      </c>
      <c r="M1740" t="inlineStr">
        <is>
          <t>Serviços de Segurança</t>
        </is>
      </c>
      <c r="N1740" t="inlineStr">
        <is>
          <t>052025</t>
        </is>
      </c>
      <c r="O1740" t="inlineStr">
        <is>
          <t>Documentação Aprovada</t>
        </is>
      </c>
      <c r="P1740" t="inlineStr">
        <is>
          <t>Aprovado Diretoria</t>
        </is>
      </c>
      <c r="Q1740" t="inlineStr">
        <is>
          <t>Aprovado Caixa</t>
        </is>
      </c>
      <c r="R1740" t="inlineStr">
        <is>
          <t>Pago</t>
        </is>
      </c>
      <c r="S1740" t="n">
        <v>182</v>
      </c>
      <c r="T1740" t="inlineStr">
        <is>
          <t>Love - Shibari - Kamino</t>
        </is>
      </c>
    </row>
    <row r="1741">
      <c r="A1741" t="n">
        <v>97105</v>
      </c>
      <c r="B1741" t="n">
        <v>128</v>
      </c>
      <c r="C1741" t="inlineStr">
        <is>
          <t>Love Cabaret</t>
        </is>
      </c>
      <c r="D1741" t="inlineStr">
        <is>
          <t>ESTAFF SOLUCOES TECNOLOGICAS DE AGENCIAMENTO LTDA</t>
        </is>
      </c>
      <c r="E1741" t="n">
        <v>14239.5</v>
      </c>
      <c r="F1741" s="27" t="n">
        <v>45826</v>
      </c>
      <c r="G1741" s="27" t="n">
        <v>45824</v>
      </c>
      <c r="H1741" s="27" t="n">
        <v>45826</v>
      </c>
      <c r="I1741" s="27" t="n">
        <v>45817</v>
      </c>
      <c r="J1741" s="27" t="n"/>
      <c r="K1741" t="inlineStr">
        <is>
          <t>Boleto Bancário</t>
        </is>
      </c>
      <c r="L1741" t="inlineStr">
        <is>
          <t>Mão de Obra - Extra</t>
        </is>
      </c>
      <c r="M1741" t="inlineStr">
        <is>
          <t>Mão de Obra Extra</t>
        </is>
      </c>
      <c r="N1741" t="inlineStr">
        <is>
          <t>582964191</t>
        </is>
      </c>
      <c r="O1741" t="inlineStr">
        <is>
          <t>Documentação Aprovada</t>
        </is>
      </c>
      <c r="P1741" t="inlineStr">
        <is>
          <t>Aprovado Diretoria</t>
        </is>
      </c>
      <c r="Q1741" t="inlineStr">
        <is>
          <t>Aprovado Caixa</t>
        </is>
      </c>
      <c r="R1741" t="inlineStr">
        <is>
          <t>Pago</t>
        </is>
      </c>
      <c r="S1741" t="n">
        <v>182</v>
      </c>
      <c r="T1741" t="inlineStr">
        <is>
          <t>Love - Shibari - Kamino</t>
        </is>
      </c>
    </row>
    <row r="1742">
      <c r="A1742" t="n">
        <v>96937</v>
      </c>
      <c r="B1742" t="n">
        <v>128</v>
      </c>
      <c r="C1742" t="inlineStr">
        <is>
          <t>Love Cabaret</t>
        </is>
      </c>
      <c r="D1742" t="inlineStr">
        <is>
          <t>CIA DE SANEAMENTO BASICO DO ESTADO DE SAO PAULO SABESP</t>
        </is>
      </c>
      <c r="E1742" t="n">
        <v>153.96</v>
      </c>
      <c r="F1742" s="27" t="n">
        <v>45828</v>
      </c>
      <c r="G1742" s="27" t="n">
        <v>45826</v>
      </c>
      <c r="H1742" s="27" t="n">
        <v>45826</v>
      </c>
      <c r="I1742" s="27" t="n">
        <v>45792</v>
      </c>
      <c r="J1742" s="27" t="n"/>
      <c r="K1742" t="inlineStr">
        <is>
          <t>Boleto Bancário</t>
        </is>
      </c>
      <c r="L1742" t="inlineStr">
        <is>
          <t>Utilidades</t>
        </is>
      </c>
      <c r="M1742" t="inlineStr">
        <is>
          <t>Agua/Esgoto</t>
        </is>
      </c>
      <c r="N1742" t="inlineStr">
        <is>
          <t xml:space="preserve">202547893849 </t>
        </is>
      </c>
      <c r="O1742" t="inlineStr">
        <is>
          <t>Documentação Aprovada</t>
        </is>
      </c>
      <c r="P1742" t="inlineStr">
        <is>
          <t>Aprovado Diretoria</t>
        </is>
      </c>
      <c r="Q1742" t="inlineStr">
        <is>
          <t>Aprovado Caixa</t>
        </is>
      </c>
      <c r="R1742" t="inlineStr">
        <is>
          <t>Pago</t>
        </is>
      </c>
      <c r="S1742" t="n">
        <v>182</v>
      </c>
      <c r="T1742" t="inlineStr">
        <is>
          <t>Love - Shibari - Kamino</t>
        </is>
      </c>
    </row>
    <row r="1743">
      <c r="A1743" t="n">
        <v>97014</v>
      </c>
      <c r="B1743" t="n">
        <v>128</v>
      </c>
      <c r="C1743" t="inlineStr">
        <is>
          <t>Love Cabaret</t>
        </is>
      </c>
      <c r="D1743" t="inlineStr">
        <is>
          <t>ESHOWS PROMOCOES ARTISTICAS LTDA</t>
        </is>
      </c>
      <c r="E1743" t="n">
        <v>22860</v>
      </c>
      <c r="F1743" s="27" t="n">
        <v>45826</v>
      </c>
      <c r="G1743" s="27" t="n">
        <v>45826</v>
      </c>
      <c r="H1743" s="27" t="n">
        <v>45826</v>
      </c>
      <c r="I1743" s="27" t="n">
        <v>45809</v>
      </c>
      <c r="J1743" s="27" t="n"/>
      <c r="K1743" t="inlineStr">
        <is>
          <t>Boleto Bancário</t>
        </is>
      </c>
      <c r="L1743" t="inlineStr">
        <is>
          <t>Custos Artístico Geral</t>
        </is>
      </c>
      <c r="M1743" t="inlineStr">
        <is>
          <t>Cachê de Músicos e Artistas</t>
        </is>
      </c>
      <c r="N1743" t="inlineStr">
        <is>
          <t>583734627</t>
        </is>
      </c>
      <c r="O1743" t="inlineStr">
        <is>
          <t>Documentação Aprovada</t>
        </is>
      </c>
      <c r="P1743" t="inlineStr">
        <is>
          <t>Aprovado Diretoria</t>
        </is>
      </c>
      <c r="Q1743" t="inlineStr">
        <is>
          <t>Aprovado Caixa</t>
        </is>
      </c>
      <c r="R1743" t="inlineStr">
        <is>
          <t>Pago</t>
        </is>
      </c>
      <c r="S1743" t="n">
        <v>182</v>
      </c>
      <c r="T1743" t="inlineStr">
        <is>
          <t>Love - Shibari - Kamino</t>
        </is>
      </c>
    </row>
    <row r="1744">
      <c r="A1744" t="n">
        <v>106686</v>
      </c>
      <c r="B1744" t="n">
        <v>128</v>
      </c>
      <c r="C1744" t="inlineStr">
        <is>
          <t>Love Cabaret</t>
        </is>
      </c>
      <c r="D1744" t="inlineStr">
        <is>
          <t>AURORA ALVORADA ESTACIONAMENTO E LANCHONETE LTDA</t>
        </is>
      </c>
      <c r="E1744" t="n">
        <v>220.75</v>
      </c>
      <c r="F1744" s="27" t="n">
        <v>45824</v>
      </c>
      <c r="G1744" s="27" t="n">
        <v>45824</v>
      </c>
      <c r="H1744" s="27" t="n">
        <v>45824</v>
      </c>
      <c r="I1744" s="27" t="n">
        <v>45817</v>
      </c>
      <c r="J1744" s="27" t="n"/>
      <c r="K1744" t="inlineStr">
        <is>
          <t>Boleto Bancário</t>
        </is>
      </c>
      <c r="L1744" t="inlineStr">
        <is>
          <t>Custo Mercadoria Vendida</t>
        </is>
      </c>
      <c r="M1744" t="inlineStr">
        <is>
          <t>Insumos - Alimentos</t>
        </is>
      </c>
      <c r="N1744" t="inlineStr">
        <is>
          <t>10650</t>
        </is>
      </c>
      <c r="O1744" t="inlineStr">
        <is>
          <t>Documentação Aprovada</t>
        </is>
      </c>
      <c r="P1744" t="inlineStr">
        <is>
          <t>Aprovado Diretoria</t>
        </is>
      </c>
      <c r="Q1744" t="inlineStr">
        <is>
          <t>Aprovado Caixa</t>
        </is>
      </c>
      <c r="R1744" t="inlineStr">
        <is>
          <t>Pago</t>
        </is>
      </c>
      <c r="S1744" t="n">
        <v>182</v>
      </c>
      <c r="T1744" t="inlineStr">
        <is>
          <t>Love - Shibari - Kamino</t>
        </is>
      </c>
    </row>
    <row r="1745">
      <c r="A1745" t="n">
        <v>109218</v>
      </c>
      <c r="B1745" t="n">
        <v>128</v>
      </c>
      <c r="C1745" t="inlineStr">
        <is>
          <t>Love Cabaret</t>
        </is>
      </c>
      <c r="D1745" t="inlineStr">
        <is>
          <t xml:space="preserve">KAMINO INSTITUICAO DE PAGAMENTO LTDA </t>
        </is>
      </c>
      <c r="E1745" t="n">
        <v>700</v>
      </c>
      <c r="F1745" s="27" t="n">
        <v>45826</v>
      </c>
      <c r="G1745" s="27" t="n">
        <v>45824</v>
      </c>
      <c r="H1745" s="27" t="n">
        <v>45824</v>
      </c>
      <c r="I1745" s="27" t="n">
        <v>45815</v>
      </c>
      <c r="J1745" s="27" t="n"/>
      <c r="K1745" t="inlineStr">
        <is>
          <t>Boleto Bancário</t>
        </is>
      </c>
      <c r="L1745" t="inlineStr">
        <is>
          <t>Despesas Financeiras</t>
        </is>
      </c>
      <c r="M1745" t="inlineStr">
        <is>
          <t>Tarifas Bancárias</t>
        </is>
      </c>
      <c r="N1745" t="inlineStr">
        <is>
          <t>0006395728</t>
        </is>
      </c>
      <c r="O1745" t="inlineStr">
        <is>
          <t>Documentação Aprovada</t>
        </is>
      </c>
      <c r="P1745" t="inlineStr">
        <is>
          <t>Aprovado Diretoria</t>
        </is>
      </c>
      <c r="Q1745" t="inlineStr">
        <is>
          <t>Aprovado Caixa</t>
        </is>
      </c>
      <c r="R1745" t="inlineStr">
        <is>
          <t>Pago</t>
        </is>
      </c>
      <c r="S1745" t="n">
        <v>182</v>
      </c>
      <c r="T1745" t="inlineStr">
        <is>
          <t>Love - Shibari - Kamino</t>
        </is>
      </c>
    </row>
    <row r="1746">
      <c r="A1746" t="n">
        <v>102879</v>
      </c>
      <c r="B1746" t="n">
        <v>128</v>
      </c>
      <c r="C1746" t="inlineStr">
        <is>
          <t>Love Cabaret</t>
        </is>
      </c>
      <c r="D1746" t="inlineStr">
        <is>
          <t>MACHINE SEGURANCA PATRIMONIAL LTDA</t>
        </is>
      </c>
      <c r="E1746" t="n">
        <v>4636.95</v>
      </c>
      <c r="F1746" s="27" t="n">
        <v>45824</v>
      </c>
      <c r="G1746" s="27" t="n">
        <v>45824</v>
      </c>
      <c r="H1746" s="27" t="n">
        <v>45824</v>
      </c>
      <c r="I1746" s="27" t="n">
        <v>45808</v>
      </c>
      <c r="J1746" s="27" t="n"/>
      <c r="K1746" t="inlineStr">
        <is>
          <t>Transferência Bancária ou Pix</t>
        </is>
      </c>
      <c r="L1746" t="inlineStr">
        <is>
          <t>Serviços de Terceiros</t>
        </is>
      </c>
      <c r="M1746" t="inlineStr">
        <is>
          <t>Serviços de Segurança</t>
        </is>
      </c>
      <c r="N1746" t="inlineStr">
        <is>
          <t>644</t>
        </is>
      </c>
      <c r="O1746" t="inlineStr">
        <is>
          <t>Documentação Aprovada</t>
        </is>
      </c>
      <c r="P1746" t="inlineStr">
        <is>
          <t>Aprovado Diretoria</t>
        </is>
      </c>
      <c r="Q1746" t="inlineStr">
        <is>
          <t>Aprovado Caixa</t>
        </is>
      </c>
      <c r="R1746" t="inlineStr">
        <is>
          <t>Pago</t>
        </is>
      </c>
      <c r="S1746" t="n">
        <v>182</v>
      </c>
      <c r="T1746" t="inlineStr">
        <is>
          <t>Love - Shibari - Kamino</t>
        </is>
      </c>
    </row>
    <row r="1747">
      <c r="A1747" t="n">
        <v>139022</v>
      </c>
      <c r="B1747" t="n">
        <v>128</v>
      </c>
      <c r="C1747" t="inlineStr">
        <is>
          <t>Love Cabaret</t>
        </is>
      </c>
      <c r="D1747" t="inlineStr">
        <is>
          <t>DTK COMERCIO DE ALIMENTOS LTDA</t>
        </is>
      </c>
      <c r="E1747" t="n">
        <v>218</v>
      </c>
      <c r="F1747" s="27" t="n">
        <v>45824</v>
      </c>
      <c r="G1747" s="27" t="n">
        <v>45824</v>
      </c>
      <c r="H1747" s="27" t="n">
        <v>45824</v>
      </c>
      <c r="I1747" s="27" t="n">
        <v>45805</v>
      </c>
      <c r="J1747" s="27" t="n">
        <v>45819</v>
      </c>
      <c r="K1747" t="inlineStr">
        <is>
          <t>Boleto Bancário</t>
        </is>
      </c>
      <c r="L1747" t="inlineStr">
        <is>
          <t>Custo Mercadoria Vendida</t>
        </is>
      </c>
      <c r="M1747" t="inlineStr">
        <is>
          <t>Insumos - Alimentos</t>
        </is>
      </c>
      <c r="N1747" t="inlineStr">
        <is>
          <t>32256</t>
        </is>
      </c>
      <c r="O1747" t="inlineStr">
        <is>
          <t>Documentação Aprovada</t>
        </is>
      </c>
      <c r="P1747" t="inlineStr">
        <is>
          <t>Aprovado Diretoria</t>
        </is>
      </c>
      <c r="Q1747" t="inlineStr">
        <is>
          <t>Aprovado Caixa</t>
        </is>
      </c>
      <c r="R1747" t="inlineStr">
        <is>
          <t>Pago</t>
        </is>
      </c>
      <c r="S1747" t="n">
        <v>182</v>
      </c>
      <c r="T1747" t="inlineStr">
        <is>
          <t>Love - Shibari - Kamino</t>
        </is>
      </c>
    </row>
    <row r="1748">
      <c r="A1748" t="n">
        <v>139021</v>
      </c>
      <c r="B1748" t="n">
        <v>128</v>
      </c>
      <c r="C1748" t="inlineStr">
        <is>
          <t>Love Cabaret</t>
        </is>
      </c>
      <c r="D1748" t="inlineStr">
        <is>
          <t>ZAHIL IMPORTADORA LTDA</t>
        </is>
      </c>
      <c r="E1748" t="n">
        <v>2894</v>
      </c>
      <c r="F1748" s="27" t="n">
        <v>45825</v>
      </c>
      <c r="G1748" s="27" t="n">
        <v>45824</v>
      </c>
      <c r="H1748" s="27" t="n">
        <v>45824</v>
      </c>
      <c r="I1748" s="27" t="n">
        <v>45810</v>
      </c>
      <c r="J1748" s="27" t="n">
        <v>45819</v>
      </c>
      <c r="K1748" t="inlineStr">
        <is>
          <t>Boleto Bancário</t>
        </is>
      </c>
      <c r="L1748" t="inlineStr">
        <is>
          <t>Custo Mercadoria Vendida</t>
        </is>
      </c>
      <c r="M1748" t="inlineStr">
        <is>
          <t>Insumos - Bebidas</t>
        </is>
      </c>
      <c r="N1748" t="inlineStr">
        <is>
          <t>248737</t>
        </is>
      </c>
      <c r="O1748" t="inlineStr">
        <is>
          <t>Documentação Aprovada</t>
        </is>
      </c>
      <c r="P1748" t="inlineStr">
        <is>
          <t>Aprovado Diretoria</t>
        </is>
      </c>
      <c r="Q1748" t="inlineStr">
        <is>
          <t>Aprovado Caixa</t>
        </is>
      </c>
      <c r="R1748" t="inlineStr">
        <is>
          <t>Pago</t>
        </is>
      </c>
      <c r="S1748" t="n">
        <v>182</v>
      </c>
      <c r="T1748" t="inlineStr">
        <is>
          <t>Love - Shibari - Kamino</t>
        </is>
      </c>
    </row>
    <row r="1749">
      <c r="A1749" t="n">
        <v>138493</v>
      </c>
      <c r="B1749" t="n">
        <v>128</v>
      </c>
      <c r="C1749" t="inlineStr">
        <is>
          <t>Love Cabaret</t>
        </is>
      </c>
      <c r="D1749" t="inlineStr">
        <is>
          <t>JOSE CASSIO PREVEDEL SISTEMAS ME</t>
        </is>
      </c>
      <c r="E1749" t="n">
        <v>400</v>
      </c>
      <c r="F1749" s="27" t="n">
        <v>45823</v>
      </c>
      <c r="G1749" s="27" t="n">
        <v>45824</v>
      </c>
      <c r="H1749" s="27" t="n">
        <v>45824</v>
      </c>
      <c r="I1749" s="27" t="n">
        <v>45809</v>
      </c>
      <c r="J1749" s="27" t="n">
        <v>45817</v>
      </c>
      <c r="K1749" t="inlineStr">
        <is>
          <t>Boleto Bancário</t>
        </is>
      </c>
      <c r="L1749" t="inlineStr">
        <is>
          <t>Locação de Equipamentos</t>
        </is>
      </c>
      <c r="M1749" t="inlineStr">
        <is>
          <t>Locações de Equipamentos - Operacionais</t>
        </is>
      </c>
      <c r="N1749" t="inlineStr">
        <is>
          <t>19264</t>
        </is>
      </c>
      <c r="O1749" t="inlineStr">
        <is>
          <t>Documentação Aprovada</t>
        </is>
      </c>
      <c r="P1749" t="inlineStr">
        <is>
          <t>Aprovado Diretoria</t>
        </is>
      </c>
      <c r="Q1749" t="inlineStr">
        <is>
          <t>Aprovado Caixa</t>
        </is>
      </c>
      <c r="R1749" t="inlineStr">
        <is>
          <t>Pago</t>
        </is>
      </c>
      <c r="S1749" t="n">
        <v>182</v>
      </c>
      <c r="T1749" t="inlineStr">
        <is>
          <t>Love - Shibari - Kamino</t>
        </is>
      </c>
    </row>
    <row r="1750">
      <c r="A1750" t="n">
        <v>137608</v>
      </c>
      <c r="B1750" t="n">
        <v>128</v>
      </c>
      <c r="C1750" t="inlineStr">
        <is>
          <t>Love Cabaret</t>
        </is>
      </c>
      <c r="D1750" t="inlineStr">
        <is>
          <t>LALAMOVE TECNOLOGIA (BRASIL) LTDA</t>
        </is>
      </c>
      <c r="E1750" t="n">
        <v>76.86</v>
      </c>
      <c r="F1750" s="27" t="n">
        <v>45826</v>
      </c>
      <c r="G1750" s="27" t="n">
        <v>45824</v>
      </c>
      <c r="H1750" s="27" t="n">
        <v>45824</v>
      </c>
      <c r="I1750" s="27" t="n">
        <v>45808</v>
      </c>
      <c r="J1750" s="27" t="n">
        <v>45812</v>
      </c>
      <c r="K1750" t="inlineStr">
        <is>
          <t>Transferência Bancária ou Pix</t>
        </is>
      </c>
      <c r="L1750" t="inlineStr">
        <is>
          <t>Despesas com Transporte / Hospedagem</t>
        </is>
      </c>
      <c r="M1750" t="inlineStr">
        <is>
          <t>Fretes e Carretos</t>
        </is>
      </c>
      <c r="N1750" t="inlineStr">
        <is>
          <t>332025</t>
        </is>
      </c>
      <c r="O1750" t="inlineStr">
        <is>
          <t>Documentação Aprovada</t>
        </is>
      </c>
      <c r="P1750" t="inlineStr">
        <is>
          <t>Aprovado Diretoria</t>
        </is>
      </c>
      <c r="Q1750" t="inlineStr">
        <is>
          <t>Aprovado Caixa</t>
        </is>
      </c>
      <c r="R1750" t="inlineStr">
        <is>
          <t>Pago</t>
        </is>
      </c>
      <c r="S1750" t="n">
        <v>182</v>
      </c>
      <c r="T1750" t="inlineStr">
        <is>
          <t>Love - Shibari - Kamino</t>
        </is>
      </c>
    </row>
    <row r="1751">
      <c r="A1751" t="n">
        <v>138071</v>
      </c>
      <c r="B1751" t="n">
        <v>128</v>
      </c>
      <c r="C1751" t="inlineStr">
        <is>
          <t>Love Cabaret</t>
        </is>
      </c>
      <c r="D1751" t="inlineStr">
        <is>
          <t>HNK BR IND DE BEBIDAS</t>
        </is>
      </c>
      <c r="E1751" t="n">
        <v>1821.02</v>
      </c>
      <c r="F1751" s="27" t="n">
        <v>45826</v>
      </c>
      <c r="G1751" s="27" t="n">
        <v>45824</v>
      </c>
      <c r="H1751" s="27" t="n">
        <v>45824</v>
      </c>
      <c r="I1751" s="27" t="n">
        <v>45811</v>
      </c>
      <c r="J1751" s="27" t="n">
        <v>45813</v>
      </c>
      <c r="K1751" t="inlineStr">
        <is>
          <t>Boleto Bancário</t>
        </is>
      </c>
      <c r="L1751" t="inlineStr">
        <is>
          <t>Custo Mercadoria Vendida</t>
        </is>
      </c>
      <c r="M1751" t="inlineStr">
        <is>
          <t>Insumos - Bebidas</t>
        </is>
      </c>
      <c r="N1751" t="inlineStr">
        <is>
          <t>258</t>
        </is>
      </c>
      <c r="O1751" t="inlineStr">
        <is>
          <t>Documentação Aprovada</t>
        </is>
      </c>
      <c r="P1751" t="inlineStr">
        <is>
          <t>Aprovado Diretoria</t>
        </is>
      </c>
      <c r="Q1751" t="inlineStr">
        <is>
          <t>Aprovado Caixa</t>
        </is>
      </c>
      <c r="R1751" t="inlineStr">
        <is>
          <t>Pago</t>
        </is>
      </c>
      <c r="S1751" t="n">
        <v>182</v>
      </c>
      <c r="T1751" t="inlineStr">
        <is>
          <t>Love - Shibari - Kamino</t>
        </is>
      </c>
    </row>
    <row r="1752">
      <c r="A1752" t="n">
        <v>138070</v>
      </c>
      <c r="B1752" t="n">
        <v>128</v>
      </c>
      <c r="C1752" t="inlineStr">
        <is>
          <t>Love Cabaret</t>
        </is>
      </c>
      <c r="D1752" t="inlineStr">
        <is>
          <t>ANDREIA SANTOS FREITAS DUARTE</t>
        </is>
      </c>
      <c r="E1752" t="n">
        <v>248.76</v>
      </c>
      <c r="F1752" s="27" t="n">
        <v>45825</v>
      </c>
      <c r="G1752" s="27" t="n">
        <v>45824</v>
      </c>
      <c r="H1752" s="27" t="n">
        <v>45824</v>
      </c>
      <c r="I1752" s="27" t="n">
        <v>45811</v>
      </c>
      <c r="J1752" s="27" t="n">
        <v>45813</v>
      </c>
      <c r="K1752" t="inlineStr">
        <is>
          <t>Boleto Bancário</t>
        </is>
      </c>
      <c r="L1752" t="inlineStr">
        <is>
          <t>Custo Mercadoria Vendida</t>
        </is>
      </c>
      <c r="M1752" t="inlineStr">
        <is>
          <t>Insumos - Alimentos</t>
        </is>
      </c>
      <c r="N1752" t="inlineStr">
        <is>
          <t>1967</t>
        </is>
      </c>
      <c r="O1752" t="inlineStr">
        <is>
          <t>Documentação Aprovada</t>
        </is>
      </c>
      <c r="P1752" t="inlineStr">
        <is>
          <t>Aprovado Diretoria</t>
        </is>
      </c>
      <c r="Q1752" t="inlineStr">
        <is>
          <t>Aprovado Caixa</t>
        </is>
      </c>
      <c r="R1752" t="inlineStr">
        <is>
          <t>Pago</t>
        </is>
      </c>
      <c r="S1752" t="n">
        <v>182</v>
      </c>
      <c r="T1752" t="inlineStr">
        <is>
          <t>Love - Shibari - Kamino</t>
        </is>
      </c>
    </row>
    <row r="1753">
      <c r="A1753" t="n">
        <v>138068</v>
      </c>
      <c r="B1753" t="n">
        <v>128</v>
      </c>
      <c r="C1753" t="inlineStr">
        <is>
          <t>Love Cabaret</t>
        </is>
      </c>
      <c r="D1753" t="inlineStr">
        <is>
          <t xml:space="preserve">LATICINIOS FIOR DITALIA LTDA </t>
        </is>
      </c>
      <c r="E1753" t="n">
        <v>326.75</v>
      </c>
      <c r="F1753" s="27" t="n">
        <v>45826</v>
      </c>
      <c r="G1753" s="27" t="n">
        <v>45824</v>
      </c>
      <c r="H1753" s="27" t="n">
        <v>45824</v>
      </c>
      <c r="I1753" s="27" t="n">
        <v>45810</v>
      </c>
      <c r="J1753" s="27" t="n">
        <v>45813</v>
      </c>
      <c r="K1753" t="inlineStr">
        <is>
          <t>Boleto Bancário</t>
        </is>
      </c>
      <c r="L1753" t="inlineStr">
        <is>
          <t>Custo Mercadoria Vendida</t>
        </is>
      </c>
      <c r="M1753" t="inlineStr">
        <is>
          <t>Insumos - Alimentos</t>
        </is>
      </c>
      <c r="N1753" t="inlineStr">
        <is>
          <t>36636</t>
        </is>
      </c>
      <c r="O1753" t="inlineStr">
        <is>
          <t>Documentação Aprovada</t>
        </is>
      </c>
      <c r="P1753" t="inlineStr">
        <is>
          <t>Aprovado Diretoria</t>
        </is>
      </c>
      <c r="Q1753" t="inlineStr">
        <is>
          <t>Aprovado Caixa</t>
        </is>
      </c>
      <c r="R1753" t="inlineStr">
        <is>
          <t>Pago</t>
        </is>
      </c>
      <c r="S1753" t="n">
        <v>182</v>
      </c>
      <c r="T1753" t="inlineStr">
        <is>
          <t>Love - Shibari - Kamino</t>
        </is>
      </c>
    </row>
    <row r="1754">
      <c r="A1754" t="n">
        <v>138066</v>
      </c>
      <c r="B1754" t="n">
        <v>128</v>
      </c>
      <c r="C1754" t="inlineStr">
        <is>
          <t>Love Cabaret</t>
        </is>
      </c>
      <c r="D1754" t="inlineStr">
        <is>
          <t>CEPEL COMERCIO DE PAPEIS E EMBALAGENS EIRELI</t>
        </is>
      </c>
      <c r="E1754" t="n">
        <v>803.2</v>
      </c>
      <c r="F1754" s="27" t="n">
        <v>45825</v>
      </c>
      <c r="G1754" s="27" t="n">
        <v>45824</v>
      </c>
      <c r="H1754" s="27" t="n">
        <v>45824</v>
      </c>
      <c r="I1754" s="27" t="n">
        <v>45810</v>
      </c>
      <c r="J1754" s="27" t="n">
        <v>45813</v>
      </c>
      <c r="K1754" t="inlineStr">
        <is>
          <t>Boleto Bancário</t>
        </is>
      </c>
      <c r="L1754" t="inlineStr">
        <is>
          <t>Utilidades</t>
        </is>
      </c>
      <c r="M1754" t="inlineStr">
        <is>
          <t>Higiene e Limpeza</t>
        </is>
      </c>
      <c r="N1754" t="inlineStr">
        <is>
          <t>241522</t>
        </is>
      </c>
      <c r="O1754" t="inlineStr">
        <is>
          <t>Documentação Aprovada</t>
        </is>
      </c>
      <c r="P1754" t="inlineStr">
        <is>
          <t>Aprovado Diretoria</t>
        </is>
      </c>
      <c r="Q1754" t="inlineStr">
        <is>
          <t>Aprovado Caixa</t>
        </is>
      </c>
      <c r="R1754" t="inlineStr">
        <is>
          <t>Pago</t>
        </is>
      </c>
      <c r="S1754" t="n">
        <v>182</v>
      </c>
      <c r="T1754" t="inlineStr">
        <is>
          <t>Love - Shibari - Kamino</t>
        </is>
      </c>
    </row>
    <row r="1755">
      <c r="A1755" t="n">
        <v>138060</v>
      </c>
      <c r="B1755" t="n">
        <v>128</v>
      </c>
      <c r="C1755" t="inlineStr">
        <is>
          <t>Love Cabaret</t>
        </is>
      </c>
      <c r="D1755" t="inlineStr">
        <is>
          <t>CECILIA TSUYACO ARAKI SILVA LTDA</t>
        </is>
      </c>
      <c r="E1755" t="n">
        <v>229.5</v>
      </c>
      <c r="F1755" s="27" t="n">
        <v>45824</v>
      </c>
      <c r="G1755" s="27" t="n">
        <v>45824</v>
      </c>
      <c r="H1755" s="27" t="n">
        <v>45824</v>
      </c>
      <c r="I1755" s="27" t="n">
        <v>45810</v>
      </c>
      <c r="J1755" s="27" t="n">
        <v>45813</v>
      </c>
      <c r="K1755" t="inlineStr">
        <is>
          <t>Boleto Bancário</t>
        </is>
      </c>
      <c r="L1755" t="inlineStr">
        <is>
          <t>Custo Mercadoria Vendida</t>
        </is>
      </c>
      <c r="M1755" t="inlineStr">
        <is>
          <t>Insumos - Alimentos</t>
        </is>
      </c>
      <c r="N1755" t="inlineStr">
        <is>
          <t>372099</t>
        </is>
      </c>
      <c r="O1755" t="inlineStr">
        <is>
          <t>Documentação Aprovada</t>
        </is>
      </c>
      <c r="P1755" t="inlineStr">
        <is>
          <t>Aprovado Diretoria</t>
        </is>
      </c>
      <c r="Q1755" t="inlineStr">
        <is>
          <t>Aprovado Caixa</t>
        </is>
      </c>
      <c r="R1755" t="inlineStr">
        <is>
          <t>Pago</t>
        </is>
      </c>
      <c r="S1755" t="n">
        <v>182</v>
      </c>
      <c r="T1755" t="inlineStr">
        <is>
          <t>Love - Shibari - Kamino</t>
        </is>
      </c>
    </row>
    <row r="1756">
      <c r="A1756" t="n">
        <v>138004</v>
      </c>
      <c r="B1756" t="n">
        <v>128</v>
      </c>
      <c r="C1756" t="inlineStr">
        <is>
          <t>Love Cabaret</t>
        </is>
      </c>
      <c r="D1756" t="inlineStr">
        <is>
          <t>PARAMU COMERCIO E REPRESENTACAO DE PRODUTOS ALIMENTICIOS</t>
        </is>
      </c>
      <c r="E1756" t="n">
        <v>592.15</v>
      </c>
      <c r="F1756" s="27" t="n">
        <v>45824</v>
      </c>
      <c r="G1756" s="27" t="n">
        <v>45824</v>
      </c>
      <c r="H1756" s="27" t="n">
        <v>45824</v>
      </c>
      <c r="I1756" s="27" t="n">
        <v>45810</v>
      </c>
      <c r="J1756" s="27" t="n">
        <v>45813</v>
      </c>
      <c r="K1756" t="inlineStr">
        <is>
          <t>Boleto Bancário</t>
        </is>
      </c>
      <c r="L1756" t="inlineStr">
        <is>
          <t>Custo Mercadoria Vendida</t>
        </is>
      </c>
      <c r="M1756" t="inlineStr">
        <is>
          <t>Insumos - Alimentos</t>
        </is>
      </c>
      <c r="N1756" t="inlineStr">
        <is>
          <t>14153</t>
        </is>
      </c>
      <c r="O1756" t="inlineStr">
        <is>
          <t>Documentação Aprovada</t>
        </is>
      </c>
      <c r="P1756" t="inlineStr">
        <is>
          <t>Aprovado Diretoria</t>
        </is>
      </c>
      <c r="Q1756" t="inlineStr">
        <is>
          <t>Aprovado Caixa</t>
        </is>
      </c>
      <c r="R1756" t="inlineStr">
        <is>
          <t>Pago</t>
        </is>
      </c>
      <c r="S1756" t="n">
        <v>182</v>
      </c>
      <c r="T1756" t="inlineStr">
        <is>
          <t>Love - Shibari - Kamino</t>
        </is>
      </c>
    </row>
    <row r="1757">
      <c r="A1757" t="n">
        <v>138042</v>
      </c>
      <c r="B1757" t="n">
        <v>128</v>
      </c>
      <c r="C1757" t="inlineStr">
        <is>
          <t>Love Cabaret</t>
        </is>
      </c>
      <c r="D1757" t="inlineStr">
        <is>
          <t>ASSAZ ORGANICA INDUSTRIA E COMERCIO DE ALIMENTOS LTDA</t>
        </is>
      </c>
      <c r="E1757" t="n">
        <v>49.75</v>
      </c>
      <c r="F1757" s="27" t="n">
        <v>45826</v>
      </c>
      <c r="G1757" s="27" t="n">
        <v>45824</v>
      </c>
      <c r="H1757" s="27" t="n">
        <v>45824</v>
      </c>
      <c r="I1757" s="27" t="n">
        <v>45811</v>
      </c>
      <c r="J1757" s="27" t="n">
        <v>45813</v>
      </c>
      <c r="K1757" t="inlineStr">
        <is>
          <t>Boleto Bancário</t>
        </is>
      </c>
      <c r="L1757" t="inlineStr">
        <is>
          <t>Custo Mercadoria Vendida</t>
        </is>
      </c>
      <c r="M1757" t="inlineStr">
        <is>
          <t>Insumos - Alimentos</t>
        </is>
      </c>
      <c r="N1757" t="inlineStr">
        <is>
          <t>21001</t>
        </is>
      </c>
      <c r="O1757" t="inlineStr">
        <is>
          <t>Documentação Aprovada</t>
        </is>
      </c>
      <c r="P1757" t="inlineStr">
        <is>
          <t>Aprovado Diretoria</t>
        </is>
      </c>
      <c r="Q1757" t="inlineStr">
        <is>
          <t>Aprovado Caixa</t>
        </is>
      </c>
      <c r="R1757" t="inlineStr">
        <is>
          <t>Pago</t>
        </is>
      </c>
      <c r="S1757" t="n">
        <v>182</v>
      </c>
      <c r="T1757" t="inlineStr">
        <is>
          <t>Love - Shibari - Kamino</t>
        </is>
      </c>
    </row>
    <row r="1758">
      <c r="A1758" t="n">
        <v>138027</v>
      </c>
      <c r="B1758" t="n">
        <v>128</v>
      </c>
      <c r="C1758" t="inlineStr">
        <is>
          <t>Love Cabaret</t>
        </is>
      </c>
      <c r="D1758" t="inlineStr">
        <is>
          <t xml:space="preserve">DISTRIBUIDORA DE CARNES CANTAREIRA </t>
        </is>
      </c>
      <c r="E1758" t="n">
        <v>238.76</v>
      </c>
      <c r="F1758" s="27" t="n">
        <v>45824</v>
      </c>
      <c r="G1758" s="27" t="n">
        <v>45824</v>
      </c>
      <c r="H1758" s="27" t="n">
        <v>45824</v>
      </c>
      <c r="I1758" s="27" t="n">
        <v>45811</v>
      </c>
      <c r="J1758" s="27" t="n">
        <v>45813</v>
      </c>
      <c r="K1758" t="inlineStr">
        <is>
          <t>Boleto Bancário</t>
        </is>
      </c>
      <c r="L1758" t="inlineStr">
        <is>
          <t>Custo Mercadoria Vendida</t>
        </is>
      </c>
      <c r="M1758" t="inlineStr">
        <is>
          <t>Insumos - Alimentos</t>
        </is>
      </c>
      <c r="N1758" t="inlineStr">
        <is>
          <t>42017</t>
        </is>
      </c>
      <c r="O1758" t="inlineStr">
        <is>
          <t>Documentação Aprovada</t>
        </is>
      </c>
      <c r="P1758" t="inlineStr">
        <is>
          <t>Aprovado Diretoria</t>
        </is>
      </c>
      <c r="Q1758" t="inlineStr">
        <is>
          <t>Aprovado Caixa</t>
        </is>
      </c>
      <c r="R1758" t="inlineStr">
        <is>
          <t>Pago</t>
        </is>
      </c>
      <c r="S1758" t="n">
        <v>182</v>
      </c>
      <c r="T1758" t="inlineStr">
        <is>
          <t>Love - Shibari - Kamino</t>
        </is>
      </c>
    </row>
    <row r="1759">
      <c r="A1759" t="n">
        <v>138024</v>
      </c>
      <c r="B1759" t="n">
        <v>128</v>
      </c>
      <c r="C1759" t="inlineStr">
        <is>
          <t>Love Cabaret</t>
        </is>
      </c>
      <c r="D1759" t="inlineStr">
        <is>
          <t xml:space="preserve">LEBANON MARKET CENTER LTDA </t>
        </is>
      </c>
      <c r="E1759" t="n">
        <v>380.12</v>
      </c>
      <c r="F1759" s="27" t="n">
        <v>45825</v>
      </c>
      <c r="G1759" s="27" t="n">
        <v>45824</v>
      </c>
      <c r="H1759" s="27" t="n">
        <v>45824</v>
      </c>
      <c r="I1759" s="27" t="n">
        <v>45810</v>
      </c>
      <c r="J1759" s="27" t="n">
        <v>45813</v>
      </c>
      <c r="K1759" t="inlineStr">
        <is>
          <t>Boleto Bancário</t>
        </is>
      </c>
      <c r="L1759" t="inlineStr">
        <is>
          <t>Custo Mercadoria Vendida</t>
        </is>
      </c>
      <c r="M1759" t="inlineStr">
        <is>
          <t>Insumos - Alimentos</t>
        </is>
      </c>
      <c r="N1759" t="inlineStr">
        <is>
          <t>135480</t>
        </is>
      </c>
      <c r="O1759" t="inlineStr">
        <is>
          <t>Documentação Aprovada</t>
        </is>
      </c>
      <c r="P1759" t="inlineStr">
        <is>
          <t>Aprovado Diretoria</t>
        </is>
      </c>
      <c r="Q1759" t="inlineStr">
        <is>
          <t>Aprovado Caixa</t>
        </is>
      </c>
      <c r="R1759" t="inlineStr">
        <is>
          <t>Pago</t>
        </is>
      </c>
      <c r="S1759" t="n">
        <v>182</v>
      </c>
      <c r="T1759" t="inlineStr">
        <is>
          <t>Love - Shibari - Kamino</t>
        </is>
      </c>
    </row>
    <row r="1760">
      <c r="A1760" t="n">
        <v>133965</v>
      </c>
      <c r="B1760" t="n">
        <v>128</v>
      </c>
      <c r="C1760" t="inlineStr">
        <is>
          <t>Love Cabaret</t>
        </is>
      </c>
      <c r="D1760" t="inlineStr">
        <is>
          <t>DTK COMERCIO DE ALIMENTOS LTDA</t>
        </is>
      </c>
      <c r="E1760" t="n">
        <v>493.28</v>
      </c>
      <c r="F1760" s="27" t="n">
        <v>45825</v>
      </c>
      <c r="G1760" s="27" t="n">
        <v>45824</v>
      </c>
      <c r="H1760" s="27" t="n">
        <v>45824</v>
      </c>
      <c r="I1760" s="27" t="n">
        <v>45797</v>
      </c>
      <c r="J1760" s="27" t="n">
        <v>45800</v>
      </c>
      <c r="K1760" t="inlineStr">
        <is>
          <t>Boleto Bancário</t>
        </is>
      </c>
      <c r="L1760" t="inlineStr">
        <is>
          <t>Custo Mercadoria Vendida</t>
        </is>
      </c>
      <c r="M1760" t="inlineStr">
        <is>
          <t>Insumos - Alimentos</t>
        </is>
      </c>
      <c r="N1760" t="inlineStr">
        <is>
          <t>31354</t>
        </is>
      </c>
      <c r="O1760" t="inlineStr">
        <is>
          <t>Documentação Aprovada</t>
        </is>
      </c>
      <c r="P1760" t="inlineStr">
        <is>
          <t>Aprovado Diretoria</t>
        </is>
      </c>
      <c r="Q1760" t="inlineStr">
        <is>
          <t>Aprovado Caixa</t>
        </is>
      </c>
      <c r="R1760" t="inlineStr">
        <is>
          <t>Pago</t>
        </is>
      </c>
      <c r="S1760" t="n">
        <v>182</v>
      </c>
      <c r="T1760" t="inlineStr">
        <is>
          <t>Love - Shibari - Kamino</t>
        </is>
      </c>
    </row>
    <row r="1761">
      <c r="A1761" t="n">
        <v>133319</v>
      </c>
      <c r="B1761" t="n">
        <v>128</v>
      </c>
      <c r="C1761" t="inlineStr">
        <is>
          <t>Love Cabaret</t>
        </is>
      </c>
      <c r="D1761" t="inlineStr">
        <is>
          <t xml:space="preserve">ELETRO TERRIVEL LTDA </t>
        </is>
      </c>
      <c r="E1761" t="n">
        <v>933</v>
      </c>
      <c r="F1761" s="27" t="n">
        <v>45825</v>
      </c>
      <c r="G1761" s="27" t="n">
        <v>45824</v>
      </c>
      <c r="H1761" s="27" t="n">
        <v>45824</v>
      </c>
      <c r="I1761" s="27" t="n">
        <v>45797</v>
      </c>
      <c r="J1761" s="27" t="n">
        <v>45797</v>
      </c>
      <c r="K1761" t="inlineStr">
        <is>
          <t>Transferência Bancária ou Pix</t>
        </is>
      </c>
      <c r="L1761" t="inlineStr">
        <is>
          <t>Utilidades</t>
        </is>
      </c>
      <c r="M1761" t="inlineStr">
        <is>
          <t>Utensilios</t>
        </is>
      </c>
      <c r="N1761" t="inlineStr">
        <is>
          <t>144611</t>
        </is>
      </c>
      <c r="O1761" t="inlineStr">
        <is>
          <t>Documentação Aprovada</t>
        </is>
      </c>
      <c r="P1761" t="inlineStr">
        <is>
          <t>Aprovado Diretoria</t>
        </is>
      </c>
      <c r="Q1761" t="inlineStr">
        <is>
          <t>Aprovado Caixa</t>
        </is>
      </c>
      <c r="R1761" t="inlineStr">
        <is>
          <t>Pago</t>
        </is>
      </c>
      <c r="S1761" t="n">
        <v>182</v>
      </c>
      <c r="T1761" t="inlineStr">
        <is>
          <t>Love - Shibari - Kamino</t>
        </is>
      </c>
    </row>
    <row r="1762">
      <c r="A1762" t="n">
        <v>135776</v>
      </c>
      <c r="B1762" t="n">
        <v>128</v>
      </c>
      <c r="C1762" t="inlineStr">
        <is>
          <t>Love Cabaret</t>
        </is>
      </c>
      <c r="D1762" t="inlineStr">
        <is>
          <t xml:space="preserve">KATLEGO / NEUMARA SOLIDADE DE JESUS </t>
        </is>
      </c>
      <c r="E1762" t="n">
        <v>425</v>
      </c>
      <c r="F1762" s="27" t="n">
        <v>45824</v>
      </c>
      <c r="G1762" s="27" t="n">
        <v>45824</v>
      </c>
      <c r="H1762" s="27" t="n">
        <v>45824</v>
      </c>
      <c r="I1762" s="27" t="n">
        <v>45808</v>
      </c>
      <c r="J1762" s="27" t="n">
        <v>45810</v>
      </c>
      <c r="K1762" t="inlineStr">
        <is>
          <t>Transferência Bancária ou Pix</t>
        </is>
      </c>
      <c r="L1762" t="inlineStr">
        <is>
          <t>Custos Artístico Geral</t>
        </is>
      </c>
      <c r="M1762" t="inlineStr">
        <is>
          <t>Cachê de Músicos e Artistas</t>
        </is>
      </c>
      <c r="N1762" t="inlineStr">
        <is>
          <t>425052025</t>
        </is>
      </c>
      <c r="O1762" t="inlineStr">
        <is>
          <t>Documentação Aprovada</t>
        </is>
      </c>
      <c r="P1762" t="inlineStr">
        <is>
          <t>Aprovado Diretoria</t>
        </is>
      </c>
      <c r="Q1762" t="inlineStr">
        <is>
          <t>Aprovado Caixa</t>
        </is>
      </c>
      <c r="R1762" t="inlineStr">
        <is>
          <t>Pago</t>
        </is>
      </c>
      <c r="S1762" t="n">
        <v>182</v>
      </c>
      <c r="T1762" t="inlineStr">
        <is>
          <t>Love - Shibari - Kamino</t>
        </is>
      </c>
    </row>
    <row r="1763">
      <c r="A1763" t="n">
        <v>135470</v>
      </c>
      <c r="B1763" t="n">
        <v>128</v>
      </c>
      <c r="C1763" t="inlineStr">
        <is>
          <t>Love Cabaret</t>
        </is>
      </c>
      <c r="D1763" t="inlineStr">
        <is>
          <t>FG7 COMERCIO E DISTRIBUICAO DE BEBIDAS LTDA</t>
        </is>
      </c>
      <c r="E1763" t="n">
        <v>2787.78</v>
      </c>
      <c r="F1763" s="27" t="n">
        <v>45825</v>
      </c>
      <c r="G1763" s="27" t="n">
        <v>45824</v>
      </c>
      <c r="H1763" s="27" t="n">
        <v>45824</v>
      </c>
      <c r="I1763" s="27" t="n">
        <v>45800</v>
      </c>
      <c r="J1763" s="27" t="n">
        <v>45807</v>
      </c>
      <c r="K1763" t="inlineStr">
        <is>
          <t>Boleto Bancário</t>
        </is>
      </c>
      <c r="L1763" t="inlineStr">
        <is>
          <t>Custo Mercadoria Vendida</t>
        </is>
      </c>
      <c r="M1763" t="inlineStr">
        <is>
          <t>Insumos - Bebidas</t>
        </is>
      </c>
      <c r="N1763" t="inlineStr">
        <is>
          <t>616848</t>
        </is>
      </c>
      <c r="O1763" t="inlineStr">
        <is>
          <t>Documentação Aprovada</t>
        </is>
      </c>
      <c r="P1763" t="inlineStr">
        <is>
          <t>Aprovado Diretoria</t>
        </is>
      </c>
      <c r="Q1763" t="inlineStr">
        <is>
          <t>Aprovado Caixa</t>
        </is>
      </c>
      <c r="R1763" t="inlineStr">
        <is>
          <t>Pago</t>
        </is>
      </c>
      <c r="S1763" t="n">
        <v>182</v>
      </c>
      <c r="T1763" t="inlineStr">
        <is>
          <t>Love - Shibari - Kamino</t>
        </is>
      </c>
    </row>
    <row r="1764">
      <c r="A1764" t="n">
        <v>135450</v>
      </c>
      <c r="B1764" t="n">
        <v>128</v>
      </c>
      <c r="C1764" t="inlineStr">
        <is>
          <t>Love Cabaret</t>
        </is>
      </c>
      <c r="D1764" t="inlineStr">
        <is>
          <t>CG FOOD´S DISTRIBUIDORA DE ALIMENTOS LTDA</t>
        </is>
      </c>
      <c r="E1764" t="n">
        <v>339.5</v>
      </c>
      <c r="F1764" s="27" t="n">
        <v>45825</v>
      </c>
      <c r="G1764" s="27" t="n">
        <v>45824</v>
      </c>
      <c r="H1764" s="27" t="n">
        <v>45824</v>
      </c>
      <c r="I1764" s="27" t="n">
        <v>45804</v>
      </c>
      <c r="J1764" s="27" t="n">
        <v>45807</v>
      </c>
      <c r="K1764" t="inlineStr">
        <is>
          <t>Boleto Bancário</t>
        </is>
      </c>
      <c r="L1764" t="inlineStr">
        <is>
          <t>Custo Mercadoria Vendida</t>
        </is>
      </c>
      <c r="M1764" t="inlineStr">
        <is>
          <t>Insumos - Alimentos</t>
        </is>
      </c>
      <c r="N1764" t="inlineStr">
        <is>
          <t>152702</t>
        </is>
      </c>
      <c r="O1764" t="inlineStr">
        <is>
          <t>Documentação Aprovada</t>
        </is>
      </c>
      <c r="P1764" t="inlineStr">
        <is>
          <t>Aprovado Diretoria</t>
        </is>
      </c>
      <c r="Q1764" t="inlineStr">
        <is>
          <t>Aprovado Caixa</t>
        </is>
      </c>
      <c r="R1764" t="inlineStr">
        <is>
          <t>Pago</t>
        </is>
      </c>
      <c r="S1764" t="n">
        <v>182</v>
      </c>
      <c r="T1764" t="inlineStr">
        <is>
          <t>Love - Shibari - Kamino</t>
        </is>
      </c>
    </row>
    <row r="1765">
      <c r="A1765" t="n">
        <v>135485</v>
      </c>
      <c r="B1765" t="n">
        <v>128</v>
      </c>
      <c r="C1765" t="inlineStr">
        <is>
          <t>Love Cabaret</t>
        </is>
      </c>
      <c r="D1765" t="inlineStr">
        <is>
          <t>WIDE STOCK COMERCIO E DISTRIBUICAO LTDA</t>
        </is>
      </c>
      <c r="E1765" t="n">
        <v>158.2</v>
      </c>
      <c r="F1765" s="27" t="n">
        <v>45824</v>
      </c>
      <c r="G1765" s="27" t="n">
        <v>45824</v>
      </c>
      <c r="H1765" s="27" t="n">
        <v>45824</v>
      </c>
      <c r="I1765" s="27" t="n">
        <v>45803</v>
      </c>
      <c r="J1765" s="27" t="n">
        <v>45807</v>
      </c>
      <c r="K1765" t="inlineStr">
        <is>
          <t>Boleto Bancário</t>
        </is>
      </c>
      <c r="L1765" t="inlineStr">
        <is>
          <t>Utilidades</t>
        </is>
      </c>
      <c r="M1765" t="inlineStr">
        <is>
          <t>Higiene e Limpeza</t>
        </is>
      </c>
      <c r="N1765" t="inlineStr">
        <is>
          <t>404113</t>
        </is>
      </c>
      <c r="O1765" t="inlineStr">
        <is>
          <t>Documentação Aprovada</t>
        </is>
      </c>
      <c r="P1765" t="inlineStr">
        <is>
          <t>Aprovado Diretoria</t>
        </is>
      </c>
      <c r="Q1765" t="inlineStr">
        <is>
          <t>Aprovado Caixa</t>
        </is>
      </c>
      <c r="R1765" t="inlineStr">
        <is>
          <t>Pago</t>
        </is>
      </c>
      <c r="S1765" t="n">
        <v>182</v>
      </c>
      <c r="T1765" t="inlineStr">
        <is>
          <t>Love - Shibari - Kamino</t>
        </is>
      </c>
    </row>
    <row r="1766">
      <c r="A1766" t="n">
        <v>134199</v>
      </c>
      <c r="B1766" t="n">
        <v>128</v>
      </c>
      <c r="C1766" t="inlineStr">
        <is>
          <t>Love Cabaret</t>
        </is>
      </c>
      <c r="D1766" t="inlineStr">
        <is>
          <t>INTERFOOD IMPORTACAO LTDA</t>
        </is>
      </c>
      <c r="E1766" t="n">
        <v>1112.83</v>
      </c>
      <c r="F1766" s="27" t="n">
        <v>45825</v>
      </c>
      <c r="G1766" s="27" t="n">
        <v>45824</v>
      </c>
      <c r="H1766" s="27" t="n">
        <v>45824</v>
      </c>
      <c r="I1766" s="27" t="n">
        <v>45798</v>
      </c>
      <c r="J1766" s="27" t="n">
        <v>45800</v>
      </c>
      <c r="K1766" t="inlineStr">
        <is>
          <t>Boleto Bancário</t>
        </is>
      </c>
      <c r="L1766" t="inlineStr">
        <is>
          <t>Custo Mercadoria Vendida</t>
        </is>
      </c>
      <c r="M1766" t="inlineStr">
        <is>
          <t>Insumos - Bebidas</t>
        </is>
      </c>
      <c r="N1766" t="inlineStr">
        <is>
          <t>402697</t>
        </is>
      </c>
      <c r="O1766" t="inlineStr">
        <is>
          <t>Documentação Aprovada</t>
        </is>
      </c>
      <c r="P1766" t="inlineStr">
        <is>
          <t>Aprovado Diretoria</t>
        </is>
      </c>
      <c r="Q1766" t="inlineStr">
        <is>
          <t>Aprovado Caixa</t>
        </is>
      </c>
      <c r="R1766" t="inlineStr">
        <is>
          <t>Pago</t>
        </is>
      </c>
      <c r="S1766" t="n">
        <v>182</v>
      </c>
      <c r="T1766" t="inlineStr">
        <is>
          <t>Love - Shibari - Kamino</t>
        </is>
      </c>
    </row>
    <row r="1767">
      <c r="A1767" t="n">
        <v>131645</v>
      </c>
      <c r="B1767" t="n">
        <v>128</v>
      </c>
      <c r="C1767" t="inlineStr">
        <is>
          <t>Love Cabaret</t>
        </is>
      </c>
      <c r="D1767" t="inlineStr">
        <is>
          <t>PORTO SEGURO CIA DE SEGUROS GERAIS</t>
        </is>
      </c>
      <c r="E1767" t="n">
        <v>102.42</v>
      </c>
      <c r="F1767" s="27" t="n">
        <v>45826</v>
      </c>
      <c r="G1767" s="27" t="n">
        <v>45824</v>
      </c>
      <c r="H1767" s="27" t="n">
        <v>45824</v>
      </c>
      <c r="I1767" s="27" t="n">
        <v>45778</v>
      </c>
      <c r="J1767" s="27" t="n">
        <v>45790</v>
      </c>
      <c r="K1767" t="inlineStr">
        <is>
          <t>Boleto Bancário</t>
        </is>
      </c>
      <c r="L1767" t="inlineStr">
        <is>
          <t>Mão de Obra - Benefícios</t>
        </is>
      </c>
      <c r="M1767" t="inlineStr">
        <is>
          <t xml:space="preserve">  -  Seguro de Vida</t>
        </is>
      </c>
      <c r="N1767" t="inlineStr">
        <is>
          <t>052025</t>
        </is>
      </c>
      <c r="O1767" t="inlineStr">
        <is>
          <t>Documentação Aprovada</t>
        </is>
      </c>
      <c r="P1767" t="inlineStr">
        <is>
          <t>Aprovado Diretoria</t>
        </is>
      </c>
      <c r="Q1767" t="inlineStr">
        <is>
          <t>Aprovado Caixa</t>
        </is>
      </c>
      <c r="R1767" t="inlineStr">
        <is>
          <t>Pago</t>
        </is>
      </c>
      <c r="S1767" t="n">
        <v>182</v>
      </c>
      <c r="T1767" t="inlineStr">
        <is>
          <t>Love - Shibari - Kamino</t>
        </is>
      </c>
    </row>
    <row r="1768">
      <c r="A1768" t="n">
        <v>139878</v>
      </c>
      <c r="B1768" t="n">
        <v>128</v>
      </c>
      <c r="C1768" t="inlineStr">
        <is>
          <t>Love Cabaret</t>
        </is>
      </c>
      <c r="D1768" t="inlineStr">
        <is>
          <t>BRADESCO SA</t>
        </is>
      </c>
      <c r="E1768" t="n">
        <v>186.85</v>
      </c>
      <c r="F1768" s="27" t="n">
        <v>45821</v>
      </c>
      <c r="G1768" s="27" t="n"/>
      <c r="H1768" s="27" t="n">
        <v>45821</v>
      </c>
      <c r="I1768" s="27" t="n">
        <v>45821</v>
      </c>
      <c r="J1768" s="27" t="n">
        <v>45824</v>
      </c>
      <c r="K1768" t="inlineStr">
        <is>
          <t>Encontro de Contas</t>
        </is>
      </c>
      <c r="L1768" t="inlineStr">
        <is>
          <t>Despesas Financeiras</t>
        </is>
      </c>
      <c r="M1768" t="inlineStr">
        <is>
          <t>Tarifas Bancárias</t>
        </is>
      </c>
      <c r="N1768" t="inlineStr">
        <is>
          <t>062025</t>
        </is>
      </c>
      <c r="P1768" t="inlineStr">
        <is>
          <t>Aprovado Diretoria</t>
        </is>
      </c>
      <c r="R1768" t="inlineStr">
        <is>
          <t>Pago</t>
        </is>
      </c>
    </row>
    <row r="1769">
      <c r="A1769" t="n">
        <v>137962</v>
      </c>
      <c r="B1769" t="n">
        <v>128</v>
      </c>
      <c r="C1769" t="inlineStr">
        <is>
          <t>Love Cabaret</t>
        </is>
      </c>
      <c r="D1769" t="inlineStr">
        <is>
          <t>MARIA EDUARDA RAMOS DE SOUSA</t>
        </is>
      </c>
      <c r="E1769" t="n">
        <v>57.05</v>
      </c>
      <c r="F1769" s="27" t="n">
        <v>45818</v>
      </c>
      <c r="G1769" s="27" t="n">
        <v>45819</v>
      </c>
      <c r="H1769" s="27" t="n">
        <v>45819</v>
      </c>
      <c r="I1769" s="27" t="n">
        <v>45778</v>
      </c>
      <c r="J1769" s="27" t="n">
        <v>45813</v>
      </c>
      <c r="K1769" t="inlineStr">
        <is>
          <t>Transferência Bancária ou Pix</t>
        </is>
      </c>
      <c r="L1769" t="inlineStr">
        <is>
          <t>Custos de Eventos</t>
        </is>
      </c>
      <c r="M1769" t="inlineStr">
        <is>
          <t>Comissões de Vendas - Eventos</t>
        </is>
      </c>
      <c r="N1769" t="inlineStr">
        <is>
          <t>47</t>
        </is>
      </c>
      <c r="O1769" t="inlineStr">
        <is>
          <t>Documentação Aprovada</t>
        </is>
      </c>
      <c r="P1769" t="inlineStr">
        <is>
          <t>Aprovado Diretoria</t>
        </is>
      </c>
      <c r="Q1769" t="inlineStr">
        <is>
          <t>Aprovado Caixa</t>
        </is>
      </c>
      <c r="R1769" t="inlineStr">
        <is>
          <t>Pago</t>
        </is>
      </c>
      <c r="S1769" t="n">
        <v>182</v>
      </c>
      <c r="T1769" t="inlineStr">
        <is>
          <t>Love - Shibari - Kamino</t>
        </is>
      </c>
    </row>
    <row r="1770">
      <c r="A1770" t="n">
        <v>139095</v>
      </c>
      <c r="B1770" t="n">
        <v>128</v>
      </c>
      <c r="C1770" t="inlineStr">
        <is>
          <t>Love Cabaret</t>
        </is>
      </c>
      <c r="D1770" t="inlineStr">
        <is>
          <t>BRADESCO SA</t>
        </is>
      </c>
      <c r="E1770" t="n">
        <v>9.800000000000001</v>
      </c>
      <c r="F1770" s="27" t="n">
        <v>45819</v>
      </c>
      <c r="G1770" s="27" t="n"/>
      <c r="H1770" s="27" t="n">
        <v>45819</v>
      </c>
      <c r="I1770" s="27" t="n">
        <v>45819</v>
      </c>
      <c r="J1770" s="27" t="n">
        <v>45820</v>
      </c>
      <c r="K1770" t="inlineStr">
        <is>
          <t>Encontro de Contas</t>
        </is>
      </c>
      <c r="L1770" t="inlineStr">
        <is>
          <t>Despesas Financeiras</t>
        </is>
      </c>
      <c r="M1770" t="inlineStr">
        <is>
          <t>Tarifas Bancárias</t>
        </is>
      </c>
      <c r="N1770" t="inlineStr">
        <is>
          <t>062025</t>
        </is>
      </c>
      <c r="P1770" t="inlineStr">
        <is>
          <t>Aprovado Diretoria</t>
        </is>
      </c>
      <c r="R1770" t="inlineStr">
        <is>
          <t>Pago</t>
        </is>
      </c>
    </row>
    <row r="1771">
      <c r="A1771" t="n">
        <v>138947</v>
      </c>
      <c r="B1771" t="n">
        <v>128</v>
      </c>
      <c r="C1771" t="inlineStr">
        <is>
          <t>Love Cabaret</t>
        </is>
      </c>
      <c r="D1771" t="inlineStr">
        <is>
          <t>INSTITUTO DE ESTUDOS DE PROTESTO DE TITULOS DO BRASIL - SECAO SAO PAULO - IEPTB - SP</t>
        </is>
      </c>
      <c r="E1771" t="n">
        <v>18.62</v>
      </c>
      <c r="F1771" s="27" t="n">
        <v>45819</v>
      </c>
      <c r="G1771" s="27" t="n">
        <v>45819</v>
      </c>
      <c r="H1771" s="27" t="n">
        <v>45819</v>
      </c>
      <c r="I1771" s="27" t="n">
        <v>45819</v>
      </c>
      <c r="J1771" s="27" t="n"/>
      <c r="K1771" t="inlineStr">
        <is>
          <t>Boleto Bancário</t>
        </is>
      </c>
      <c r="L1771" t="inlineStr">
        <is>
          <t>Despesas Financeiras</t>
        </is>
      </c>
      <c r="M1771" t="inlineStr">
        <is>
          <t>Custas Cartórios / Protestos</t>
        </is>
      </c>
      <c r="N1771" t="inlineStr">
        <is>
          <t>03136211</t>
        </is>
      </c>
      <c r="O1771" t="inlineStr">
        <is>
          <t>Documentação Aprovada</t>
        </is>
      </c>
      <c r="P1771" t="inlineStr">
        <is>
          <t>Aprovado Diretoria</t>
        </is>
      </c>
      <c r="Q1771" t="inlineStr">
        <is>
          <t>Aprovado Caixa</t>
        </is>
      </c>
      <c r="R1771" t="inlineStr">
        <is>
          <t>Pago</t>
        </is>
      </c>
      <c r="S1771" t="n">
        <v>182</v>
      </c>
      <c r="T1771" t="inlineStr">
        <is>
          <t>Love - Shibari - Kamino</t>
        </is>
      </c>
    </row>
    <row r="1772">
      <c r="A1772" t="n">
        <v>133879</v>
      </c>
      <c r="B1772" t="n">
        <v>128</v>
      </c>
      <c r="C1772" t="inlineStr">
        <is>
          <t>Love Cabaret</t>
        </is>
      </c>
      <c r="D1772" t="inlineStr">
        <is>
          <t xml:space="preserve">EMPORIO MEL </t>
        </is>
      </c>
      <c r="E1772" t="n">
        <v>635.6</v>
      </c>
      <c r="F1772" s="27" t="n">
        <v>45820</v>
      </c>
      <c r="G1772" s="27" t="n">
        <v>45819</v>
      </c>
      <c r="H1772" s="27" t="n">
        <v>45819</v>
      </c>
      <c r="I1772" s="27" t="n">
        <v>45789</v>
      </c>
      <c r="J1772" s="27" t="n">
        <v>45799</v>
      </c>
      <c r="K1772" t="inlineStr">
        <is>
          <t>Boleto Bancário</t>
        </is>
      </c>
      <c r="L1772" t="inlineStr">
        <is>
          <t>Custo Mercadoria Vendida</t>
        </is>
      </c>
      <c r="M1772" t="inlineStr">
        <is>
          <t>Insumos - Bebidas</t>
        </is>
      </c>
      <c r="N1772" t="inlineStr">
        <is>
          <t>451521</t>
        </is>
      </c>
      <c r="O1772" t="inlineStr">
        <is>
          <t>Documentação Aprovada</t>
        </is>
      </c>
      <c r="P1772" t="inlineStr">
        <is>
          <t>Aprovado Diretoria</t>
        </is>
      </c>
      <c r="Q1772" t="inlineStr">
        <is>
          <t>Aprovado Caixa</t>
        </is>
      </c>
      <c r="R1772" t="inlineStr">
        <is>
          <t>Pago</t>
        </is>
      </c>
      <c r="S1772" t="n">
        <v>182</v>
      </c>
      <c r="T1772" t="inlineStr">
        <is>
          <t>Love - Shibari - Kamino</t>
        </is>
      </c>
    </row>
    <row r="1773">
      <c r="A1773" t="n">
        <v>133871</v>
      </c>
      <c r="B1773" t="n">
        <v>128</v>
      </c>
      <c r="C1773" t="inlineStr">
        <is>
          <t>Love Cabaret</t>
        </is>
      </c>
      <c r="D1773" t="inlineStr">
        <is>
          <t xml:space="preserve">EMPORIO MEL </t>
        </is>
      </c>
      <c r="E1773" t="n">
        <v>1743.98</v>
      </c>
      <c r="F1773" s="27" t="n">
        <v>45820</v>
      </c>
      <c r="G1773" s="27" t="n">
        <v>45819</v>
      </c>
      <c r="H1773" s="27" t="n">
        <v>45819</v>
      </c>
      <c r="I1773" s="27" t="n">
        <v>45789</v>
      </c>
      <c r="J1773" s="27" t="n">
        <v>45799</v>
      </c>
      <c r="K1773" t="inlineStr">
        <is>
          <t>Boleto Bancário</t>
        </is>
      </c>
      <c r="L1773" t="inlineStr">
        <is>
          <t>Custo Mercadoria Vendida</t>
        </is>
      </c>
      <c r="M1773" t="inlineStr">
        <is>
          <t>Insumos - Alimentos</t>
        </is>
      </c>
      <c r="N1773" t="inlineStr">
        <is>
          <t>451517</t>
        </is>
      </c>
      <c r="O1773" t="inlineStr">
        <is>
          <t>Documentação Aprovada</t>
        </is>
      </c>
      <c r="P1773" t="inlineStr">
        <is>
          <t>Aprovado Diretoria</t>
        </is>
      </c>
      <c r="Q1773" t="inlineStr">
        <is>
          <t>Aprovado Caixa</t>
        </is>
      </c>
      <c r="R1773" t="inlineStr">
        <is>
          <t>Pago</t>
        </is>
      </c>
      <c r="S1773" t="n">
        <v>182</v>
      </c>
      <c r="T1773" t="inlineStr">
        <is>
          <t>Love - Shibari - Kamino</t>
        </is>
      </c>
    </row>
    <row r="1774">
      <c r="A1774" t="n">
        <v>134833</v>
      </c>
      <c r="B1774" t="n">
        <v>128</v>
      </c>
      <c r="C1774" t="inlineStr">
        <is>
          <t>Love Cabaret</t>
        </is>
      </c>
      <c r="D1774" t="inlineStr">
        <is>
          <t xml:space="preserve">ALEXANDRE SANTOS DA CRUZ </t>
        </is>
      </c>
      <c r="E1774" t="n">
        <v>3992.8</v>
      </c>
      <c r="F1774" s="27" t="n">
        <v>45820</v>
      </c>
      <c r="G1774" s="27" t="n">
        <v>45819</v>
      </c>
      <c r="H1774" s="27" t="n">
        <v>45819</v>
      </c>
      <c r="I1774" s="27" t="n">
        <v>45805</v>
      </c>
      <c r="J1774" s="27" t="n">
        <v>45805</v>
      </c>
      <c r="K1774" t="inlineStr">
        <is>
          <t>Transferência Bancária ou Pix</t>
        </is>
      </c>
      <c r="L1774" t="inlineStr">
        <is>
          <t>Custos Artístico Geral</t>
        </is>
      </c>
      <c r="M1774" t="inlineStr">
        <is>
          <t>Cachê de Músicos e Artistas</t>
        </is>
      </c>
      <c r="N1774" t="inlineStr">
        <is>
          <t>134</t>
        </is>
      </c>
      <c r="O1774" t="inlineStr">
        <is>
          <t>Documentação Aprovada</t>
        </is>
      </c>
      <c r="P1774" t="inlineStr">
        <is>
          <t>Aprovado Diretoria</t>
        </is>
      </c>
      <c r="Q1774" t="inlineStr">
        <is>
          <t>Aprovado Caixa</t>
        </is>
      </c>
      <c r="R1774" t="inlineStr">
        <is>
          <t>Pago</t>
        </is>
      </c>
      <c r="S1774" t="n">
        <v>182</v>
      </c>
      <c r="T1774" t="inlineStr">
        <is>
          <t>Love - Shibari - Kamino</t>
        </is>
      </c>
    </row>
    <row r="1775">
      <c r="A1775" t="n">
        <v>134826</v>
      </c>
      <c r="B1775" t="n">
        <v>128</v>
      </c>
      <c r="C1775" t="inlineStr">
        <is>
          <t>Love Cabaret</t>
        </is>
      </c>
      <c r="D1775" t="inlineStr">
        <is>
          <t>LUIZ ROBERTO DA SILVA JUNIOR</t>
        </is>
      </c>
      <c r="E1775" t="n">
        <v>1800</v>
      </c>
      <c r="F1775" s="27" t="n">
        <v>45820</v>
      </c>
      <c r="G1775" s="27" t="n">
        <v>45819</v>
      </c>
      <c r="H1775" s="27" t="n">
        <v>45819</v>
      </c>
      <c r="I1775" s="27" t="n">
        <v>45805</v>
      </c>
      <c r="J1775" s="27" t="n">
        <v>45805</v>
      </c>
      <c r="K1775" t="inlineStr">
        <is>
          <t>Transferência Bancária ou Pix</t>
        </is>
      </c>
      <c r="L1775" t="inlineStr">
        <is>
          <t>Custos de Eventos</t>
        </is>
      </c>
      <c r="M1775" t="inlineStr">
        <is>
          <t>Locação de Equipamentos - Eventos</t>
        </is>
      </c>
      <c r="N1775" t="inlineStr">
        <is>
          <t>492025</t>
        </is>
      </c>
      <c r="O1775" t="inlineStr">
        <is>
          <t>Documentação Aprovada</t>
        </is>
      </c>
      <c r="P1775" t="inlineStr">
        <is>
          <t>Aprovado Diretoria</t>
        </is>
      </c>
      <c r="Q1775" t="inlineStr">
        <is>
          <t>Aprovado Caixa</t>
        </is>
      </c>
      <c r="R1775" t="inlineStr">
        <is>
          <t>Pago</t>
        </is>
      </c>
      <c r="S1775" t="n">
        <v>182</v>
      </c>
      <c r="T1775" t="inlineStr">
        <is>
          <t>Love - Shibari - Kamino</t>
        </is>
      </c>
    </row>
    <row r="1776">
      <c r="A1776" t="n">
        <v>102829</v>
      </c>
      <c r="B1776" t="n">
        <v>128</v>
      </c>
      <c r="C1776" t="inlineStr">
        <is>
          <t>Love Cabaret</t>
        </is>
      </c>
      <c r="D1776" t="inlineStr">
        <is>
          <t>HEADCHEF SEGURANCA DOS ALIM E GARANTIA D</t>
        </is>
      </c>
      <c r="E1776" t="n">
        <v>1266.06</v>
      </c>
      <c r="F1776" s="27" t="n">
        <v>45823</v>
      </c>
      <c r="G1776" s="27" t="n">
        <v>45819</v>
      </c>
      <c r="H1776" s="27" t="n">
        <v>45819</v>
      </c>
      <c r="I1776" s="27" t="n">
        <v>45803</v>
      </c>
      <c r="J1776" s="27" t="n"/>
      <c r="K1776" t="inlineStr">
        <is>
          <t>Boleto Bancário</t>
        </is>
      </c>
      <c r="L1776" t="inlineStr">
        <is>
          <t>Serviços de Terceiros</t>
        </is>
      </c>
      <c r="M1776" t="inlineStr">
        <is>
          <t>Assessoria de Alimentos e Bebidas</t>
        </is>
      </c>
      <c r="N1776" t="inlineStr">
        <is>
          <t>1266</t>
        </is>
      </c>
      <c r="O1776" t="inlineStr">
        <is>
          <t>Documentação Aprovada</t>
        </is>
      </c>
      <c r="P1776" t="inlineStr">
        <is>
          <t>Aprovado Diretoria</t>
        </is>
      </c>
      <c r="Q1776" t="inlineStr">
        <is>
          <t>Aprovado Caixa</t>
        </is>
      </c>
      <c r="R1776" t="inlineStr">
        <is>
          <t>Pago</t>
        </is>
      </c>
      <c r="S1776" t="n">
        <v>182</v>
      </c>
      <c r="T1776" t="inlineStr">
        <is>
          <t>Love - Shibari - Kamino</t>
        </is>
      </c>
    </row>
    <row r="1777">
      <c r="A1777" t="n">
        <v>102904</v>
      </c>
      <c r="B1777" t="n">
        <v>128</v>
      </c>
      <c r="C1777" t="inlineStr">
        <is>
          <t>Love Cabaret</t>
        </is>
      </c>
      <c r="D1777" t="inlineStr">
        <is>
          <t>MACRO CONTABILIDADE E CONSULTORIA LTDA</t>
        </is>
      </c>
      <c r="E1777" t="n">
        <v>3204.47</v>
      </c>
      <c r="F1777" s="27" t="n">
        <v>45823</v>
      </c>
      <c r="G1777" s="27" t="n">
        <v>45819</v>
      </c>
      <c r="H1777" s="27" t="n">
        <v>45819</v>
      </c>
      <c r="I1777" s="27" t="n">
        <v>45811</v>
      </c>
      <c r="J1777" s="27" t="n"/>
      <c r="K1777" t="inlineStr">
        <is>
          <t>Boleto Bancário</t>
        </is>
      </c>
      <c r="L1777" t="inlineStr">
        <is>
          <t>Serviços de Terceiros</t>
        </is>
      </c>
      <c r="M1777" t="inlineStr">
        <is>
          <t>Assessoria Contabil</t>
        </is>
      </c>
      <c r="N1777" t="inlineStr">
        <is>
          <t>7975</t>
        </is>
      </c>
      <c r="O1777" t="inlineStr">
        <is>
          <t>Documentação Aprovada</t>
        </is>
      </c>
      <c r="P1777" t="inlineStr">
        <is>
          <t>Aprovado Diretoria</t>
        </is>
      </c>
      <c r="Q1777" t="inlineStr">
        <is>
          <t>Aprovado Caixa</t>
        </is>
      </c>
      <c r="R1777" t="inlineStr">
        <is>
          <t>Pago</t>
        </is>
      </c>
      <c r="S1777" t="n">
        <v>182</v>
      </c>
      <c r="T1777" t="inlineStr">
        <is>
          <t>Love - Shibari - Kamino</t>
        </is>
      </c>
    </row>
    <row r="1778">
      <c r="A1778" t="n">
        <v>96962</v>
      </c>
      <c r="B1778" t="n">
        <v>128</v>
      </c>
      <c r="C1778" t="inlineStr">
        <is>
          <t>Love Cabaret</t>
        </is>
      </c>
      <c r="D1778" t="inlineStr">
        <is>
          <t xml:space="preserve">DUO COMUNICA LTDA </t>
        </is>
      </c>
      <c r="E1778" t="n">
        <v>2000</v>
      </c>
      <c r="F1778" s="27" t="n">
        <v>45822</v>
      </c>
      <c r="G1778" s="27" t="n">
        <v>45819</v>
      </c>
      <c r="H1778" s="27" t="n">
        <v>45819</v>
      </c>
      <c r="I1778" s="27" t="n">
        <v>45795</v>
      </c>
      <c r="J1778" s="27" t="n"/>
      <c r="K1778" t="inlineStr">
        <is>
          <t>Transferência Bancária ou Pix</t>
        </is>
      </c>
      <c r="L1778" t="inlineStr">
        <is>
          <t>Informática e TI</t>
        </is>
      </c>
      <c r="M1778" t="inlineStr">
        <is>
          <t>Sistemas Gerais - Comunicação e Marketing</t>
        </is>
      </c>
      <c r="N1778" t="inlineStr">
        <is>
          <t>526</t>
        </is>
      </c>
      <c r="O1778" t="inlineStr">
        <is>
          <t>Documentação Aprovada</t>
        </is>
      </c>
      <c r="P1778" t="inlineStr">
        <is>
          <t>Aprovado Diretoria</t>
        </is>
      </c>
      <c r="Q1778" t="inlineStr">
        <is>
          <t>Aprovado Caixa</t>
        </is>
      </c>
      <c r="R1778" t="inlineStr">
        <is>
          <t>Pago</t>
        </is>
      </c>
      <c r="S1778" t="n">
        <v>182</v>
      </c>
      <c r="T1778" t="inlineStr">
        <is>
          <t>Love - Shibari - Kamino</t>
        </is>
      </c>
    </row>
    <row r="1779">
      <c r="A1779" t="n">
        <v>97104</v>
      </c>
      <c r="B1779" t="n">
        <v>128</v>
      </c>
      <c r="C1779" t="inlineStr">
        <is>
          <t>Love Cabaret</t>
        </is>
      </c>
      <c r="D1779" t="inlineStr">
        <is>
          <t>ESTAFF SOLUCOES TECNOLOGICAS DE AGENCIAMENTO LTDA</t>
        </is>
      </c>
      <c r="E1779" t="n">
        <v>14668.5</v>
      </c>
      <c r="F1779" s="27" t="n">
        <v>45819</v>
      </c>
      <c r="G1779" s="27" t="n">
        <v>45819</v>
      </c>
      <c r="H1779" s="27" t="n">
        <v>45819</v>
      </c>
      <c r="I1779" s="27" t="n">
        <v>45810</v>
      </c>
      <c r="J1779" s="27" t="n"/>
      <c r="K1779" t="inlineStr">
        <is>
          <t>Boleto Bancário</t>
        </is>
      </c>
      <c r="L1779" t="inlineStr">
        <is>
          <t>Mão de Obra - Extra</t>
        </is>
      </c>
      <c r="M1779" t="inlineStr">
        <is>
          <t>Mão de Obra Extra</t>
        </is>
      </c>
      <c r="N1779" t="inlineStr">
        <is>
          <t>579129189</t>
        </is>
      </c>
      <c r="O1779" t="inlineStr">
        <is>
          <t>Documentação Aprovada</t>
        </is>
      </c>
      <c r="P1779" t="inlineStr">
        <is>
          <t>Aprovado Diretoria</t>
        </is>
      </c>
      <c r="Q1779" t="inlineStr">
        <is>
          <t>Aprovado Caixa</t>
        </is>
      </c>
      <c r="R1779" t="inlineStr">
        <is>
          <t>Pago</t>
        </is>
      </c>
      <c r="S1779" t="n">
        <v>182</v>
      </c>
      <c r="T1779" t="inlineStr">
        <is>
          <t>Love - Shibari - Kamino</t>
        </is>
      </c>
    </row>
    <row r="1780">
      <c r="A1780" t="n">
        <v>96950</v>
      </c>
      <c r="B1780" t="n">
        <v>128</v>
      </c>
      <c r="C1780" t="inlineStr">
        <is>
          <t>Love Cabaret</t>
        </is>
      </c>
      <c r="D1780" t="inlineStr">
        <is>
          <t>CEM ENGENHARIA DA MANUTENCAO LTDA</t>
        </is>
      </c>
      <c r="E1780" t="n">
        <v>6252.94</v>
      </c>
      <c r="F1780" s="27" t="n">
        <v>45823</v>
      </c>
      <c r="G1780" s="27" t="n">
        <v>45819</v>
      </c>
      <c r="H1780" s="27" t="n">
        <v>45819</v>
      </c>
      <c r="I1780" s="27" t="n">
        <v>45807</v>
      </c>
      <c r="J1780" s="27" t="n"/>
      <c r="K1780" t="inlineStr">
        <is>
          <t>Boleto Bancário</t>
        </is>
      </c>
      <c r="L1780" t="inlineStr">
        <is>
          <t>Manutenção</t>
        </is>
      </c>
      <c r="M1780" t="inlineStr">
        <is>
          <t>Manutenção Predial</t>
        </is>
      </c>
      <c r="N1780" t="inlineStr">
        <is>
          <t>2666</t>
        </is>
      </c>
      <c r="O1780" t="inlineStr">
        <is>
          <t>Documentação Aprovada</t>
        </is>
      </c>
      <c r="P1780" t="inlineStr">
        <is>
          <t>Aprovado Diretoria</t>
        </is>
      </c>
      <c r="Q1780" t="inlineStr">
        <is>
          <t>Aprovado Caixa</t>
        </is>
      </c>
      <c r="R1780" t="inlineStr">
        <is>
          <t>Pago</t>
        </is>
      </c>
      <c r="S1780" t="n">
        <v>182</v>
      </c>
      <c r="T1780" t="inlineStr">
        <is>
          <t>Love - Shibari - Kamino</t>
        </is>
      </c>
    </row>
    <row r="1781">
      <c r="A1781" t="n">
        <v>96822</v>
      </c>
      <c r="B1781" t="n">
        <v>128</v>
      </c>
      <c r="C1781" t="inlineStr">
        <is>
          <t>Love Cabaret</t>
        </is>
      </c>
      <c r="D1781" t="inlineStr">
        <is>
          <t xml:space="preserve">ANA CLAUDIA DA COSTA PINTO </t>
        </is>
      </c>
      <c r="E1781" t="n">
        <v>471.7</v>
      </c>
      <c r="F1781" s="27" t="n">
        <v>45817</v>
      </c>
      <c r="G1781" s="27" t="n">
        <v>45817</v>
      </c>
      <c r="H1781" s="27" t="n">
        <v>45817</v>
      </c>
      <c r="I1781" s="27" t="n">
        <v>45797</v>
      </c>
      <c r="J1781" s="27" t="n"/>
      <c r="K1781" t="inlineStr">
        <is>
          <t>Transferência Bancária ou Pix</t>
        </is>
      </c>
      <c r="L1781" t="inlineStr">
        <is>
          <t>Manutenção</t>
        </is>
      </c>
      <c r="M1781" t="inlineStr">
        <is>
          <t>Decoração/Paisagismo e Jardinagem</t>
        </is>
      </c>
      <c r="N1781" t="inlineStr">
        <is>
          <t>2330</t>
        </is>
      </c>
      <c r="O1781" t="inlineStr">
        <is>
          <t>Documentação Aprovada</t>
        </is>
      </c>
      <c r="P1781" t="inlineStr">
        <is>
          <t>Aprovado Diretoria</t>
        </is>
      </c>
      <c r="Q1781" t="inlineStr">
        <is>
          <t>Aprovado Caixa</t>
        </is>
      </c>
      <c r="R1781" t="inlineStr">
        <is>
          <t>Pago</t>
        </is>
      </c>
      <c r="S1781" t="n">
        <v>182</v>
      </c>
      <c r="T1781" t="inlineStr">
        <is>
          <t>Love - Shibari - Kamino</t>
        </is>
      </c>
    </row>
    <row r="1782">
      <c r="A1782" t="n">
        <v>96924</v>
      </c>
      <c r="B1782" t="n">
        <v>128</v>
      </c>
      <c r="C1782" t="inlineStr">
        <is>
          <t>Love Cabaret</t>
        </is>
      </c>
      <c r="D1782" t="inlineStr">
        <is>
          <t>CICLO PARTICIPACOES LTDA</t>
        </is>
      </c>
      <c r="E1782" t="n">
        <v>31634.64</v>
      </c>
      <c r="F1782" s="27" t="n">
        <v>45818</v>
      </c>
      <c r="G1782" s="27" t="n">
        <v>45817</v>
      </c>
      <c r="H1782" s="27" t="n">
        <v>45817</v>
      </c>
      <c r="I1782" s="27" t="n">
        <v>45797</v>
      </c>
      <c r="J1782" s="27" t="n"/>
      <c r="K1782" t="inlineStr">
        <is>
          <t>Boleto Bancário</t>
        </is>
      </c>
      <c r="L1782" t="inlineStr">
        <is>
          <t>Custo de Ocupação</t>
        </is>
      </c>
      <c r="M1782" t="inlineStr">
        <is>
          <t>Aluguel de Imoveis</t>
        </is>
      </c>
      <c r="N1782" t="inlineStr">
        <is>
          <t>3754092052025</t>
        </is>
      </c>
      <c r="O1782" t="inlineStr">
        <is>
          <t>Documentação Aprovada</t>
        </is>
      </c>
      <c r="P1782" t="inlineStr">
        <is>
          <t>Aprovado Diretoria</t>
        </is>
      </c>
      <c r="Q1782" t="inlineStr">
        <is>
          <t>Aprovado Caixa</t>
        </is>
      </c>
      <c r="R1782" t="inlineStr">
        <is>
          <t>Pago</t>
        </is>
      </c>
      <c r="S1782" t="n">
        <v>182</v>
      </c>
      <c r="T1782" t="inlineStr">
        <is>
          <t>Love - Shibari - Kamino</t>
        </is>
      </c>
    </row>
    <row r="1783">
      <c r="A1783" t="n">
        <v>96974</v>
      </c>
      <c r="B1783" t="n">
        <v>128</v>
      </c>
      <c r="C1783" t="inlineStr">
        <is>
          <t>Love Cabaret</t>
        </is>
      </c>
      <c r="D1783" t="inlineStr">
        <is>
          <t xml:space="preserve">DIVIFY OPERACAO DE PLATAFORMA ELETRONICA LTDA </t>
        </is>
      </c>
      <c r="E1783" t="n">
        <v>1000</v>
      </c>
      <c r="F1783" s="27" t="n">
        <v>45818</v>
      </c>
      <c r="G1783" s="27" t="n">
        <v>45817</v>
      </c>
      <c r="H1783" s="27" t="n">
        <v>45817</v>
      </c>
      <c r="I1783" s="27" t="n">
        <v>45797</v>
      </c>
      <c r="J1783" s="27" t="n"/>
      <c r="K1783" t="inlineStr">
        <is>
          <t>Boleto Bancário</t>
        </is>
      </c>
      <c r="L1783" t="inlineStr">
        <is>
          <t>Serviços de Terceiros</t>
        </is>
      </c>
      <c r="M1783" t="inlineStr">
        <is>
          <t>Assessoria em Geral</t>
        </is>
      </c>
      <c r="N1783" t="inlineStr">
        <is>
          <t>254</t>
        </is>
      </c>
      <c r="O1783" t="inlineStr">
        <is>
          <t>Documentação Aprovada</t>
        </is>
      </c>
      <c r="P1783" t="inlineStr">
        <is>
          <t>Aprovado Diretoria</t>
        </is>
      </c>
      <c r="Q1783" t="inlineStr">
        <is>
          <t>Aprovado Caixa</t>
        </is>
      </c>
      <c r="R1783" t="inlineStr">
        <is>
          <t>Pago</t>
        </is>
      </c>
      <c r="S1783" t="n">
        <v>182</v>
      </c>
      <c r="T1783" t="inlineStr">
        <is>
          <t>Love - Shibari - Kamino</t>
        </is>
      </c>
    </row>
    <row r="1784">
      <c r="A1784" t="n">
        <v>102853</v>
      </c>
      <c r="B1784" t="n">
        <v>128</v>
      </c>
      <c r="C1784" t="inlineStr">
        <is>
          <t>Love Cabaret</t>
        </is>
      </c>
      <c r="D1784" t="inlineStr">
        <is>
          <t>IRMANDADE DA SANTA CASA DE MISERICORDIA DE SAO PAULO</t>
        </is>
      </c>
      <c r="E1784" t="n">
        <v>31634.64</v>
      </c>
      <c r="F1784" s="27" t="n">
        <v>45818</v>
      </c>
      <c r="G1784" s="27" t="n">
        <v>45817</v>
      </c>
      <c r="H1784" s="27" t="n">
        <v>45817</v>
      </c>
      <c r="I1784" s="27" t="n">
        <v>45797</v>
      </c>
      <c r="J1784" s="27" t="n"/>
      <c r="K1784" t="inlineStr">
        <is>
          <t>Boleto Bancário</t>
        </is>
      </c>
      <c r="L1784" t="inlineStr">
        <is>
          <t>Custo de Ocupação</t>
        </is>
      </c>
      <c r="M1784" t="inlineStr">
        <is>
          <t>Aluguel de Imoveis</t>
        </is>
      </c>
      <c r="N1784" t="inlineStr">
        <is>
          <t>158270</t>
        </is>
      </c>
      <c r="O1784" t="inlineStr">
        <is>
          <t>Documentação Aprovada</t>
        </is>
      </c>
      <c r="P1784" t="inlineStr">
        <is>
          <t>Aprovado Diretoria</t>
        </is>
      </c>
      <c r="Q1784" t="inlineStr">
        <is>
          <t>Aprovado Caixa</t>
        </is>
      </c>
      <c r="R1784" t="inlineStr">
        <is>
          <t>Pago</t>
        </is>
      </c>
      <c r="S1784" t="n">
        <v>182</v>
      </c>
      <c r="T1784" t="inlineStr">
        <is>
          <t>Love - Shibari - Kamino</t>
        </is>
      </c>
    </row>
    <row r="1785">
      <c r="A1785" t="n">
        <v>102975</v>
      </c>
      <c r="B1785" t="n">
        <v>128</v>
      </c>
      <c r="C1785" t="inlineStr">
        <is>
          <t>Love Cabaret</t>
        </is>
      </c>
      <c r="D1785" t="inlineStr">
        <is>
          <t>STEMME TELECOMUNICACOES DO BRASIL LTDA</t>
        </is>
      </c>
      <c r="E1785" t="n">
        <v>299.99</v>
      </c>
      <c r="F1785" s="27" t="n">
        <v>45818</v>
      </c>
      <c r="G1785" s="27" t="n">
        <v>45817</v>
      </c>
      <c r="H1785" s="27" t="n">
        <v>45817</v>
      </c>
      <c r="I1785" s="27" t="n">
        <v>45808</v>
      </c>
      <c r="J1785" s="27" t="n"/>
      <c r="K1785" t="inlineStr">
        <is>
          <t>Boleto Bancário</t>
        </is>
      </c>
      <c r="L1785" t="inlineStr">
        <is>
          <t>Informática e TI</t>
        </is>
      </c>
      <c r="M1785" t="inlineStr">
        <is>
          <t>Internet</t>
        </is>
      </c>
      <c r="N1785" t="inlineStr">
        <is>
          <t>7986</t>
        </is>
      </c>
      <c r="O1785" t="inlineStr">
        <is>
          <t>Documentação Aprovada</t>
        </is>
      </c>
      <c r="P1785" t="inlineStr">
        <is>
          <t>Aprovado Diretoria</t>
        </is>
      </c>
      <c r="Q1785" t="inlineStr">
        <is>
          <t>Aprovado Caixa</t>
        </is>
      </c>
      <c r="R1785" t="inlineStr">
        <is>
          <t>Pago</t>
        </is>
      </c>
      <c r="S1785" t="n">
        <v>182</v>
      </c>
      <c r="T1785" t="inlineStr">
        <is>
          <t>Love - Shibari - Kamino</t>
        </is>
      </c>
    </row>
    <row r="1786">
      <c r="A1786" t="n">
        <v>102944</v>
      </c>
      <c r="B1786" t="n">
        <v>128</v>
      </c>
      <c r="C1786" t="inlineStr">
        <is>
          <t>Love Cabaret</t>
        </is>
      </c>
      <c r="D1786" t="inlineStr">
        <is>
          <t>SAFE BRAND COMERCIAL- IMPORTACAO- EXPORTACAO E SERVICOS LTDA</t>
        </is>
      </c>
      <c r="E1786" t="n">
        <v>2117.46</v>
      </c>
      <c r="F1786" s="27" t="n">
        <v>45817</v>
      </c>
      <c r="G1786" s="27" t="n">
        <v>45817</v>
      </c>
      <c r="H1786" s="27" t="n">
        <v>45817</v>
      </c>
      <c r="I1786" s="27" t="n">
        <v>45809</v>
      </c>
      <c r="J1786" s="27" t="n"/>
      <c r="K1786" t="inlineStr">
        <is>
          <t>Boleto Bancário</t>
        </is>
      </c>
      <c r="L1786" t="inlineStr">
        <is>
          <t>Locação de Equipamentos</t>
        </is>
      </c>
      <c r="M1786" t="inlineStr">
        <is>
          <t>Locações de Equipamentos - Operacionais</t>
        </is>
      </c>
      <c r="N1786" t="inlineStr">
        <is>
          <t>03250226</t>
        </is>
      </c>
      <c r="O1786" t="inlineStr">
        <is>
          <t>Documentação Aprovada</t>
        </is>
      </c>
      <c r="P1786" t="inlineStr">
        <is>
          <t>Aprovado Diretoria</t>
        </is>
      </c>
      <c r="Q1786" t="inlineStr">
        <is>
          <t>Aprovado Caixa</t>
        </is>
      </c>
      <c r="R1786" t="inlineStr">
        <is>
          <t>Pago</t>
        </is>
      </c>
      <c r="S1786" t="n">
        <v>182</v>
      </c>
      <c r="T1786" t="inlineStr">
        <is>
          <t>Love - Shibari - Kamino</t>
        </is>
      </c>
    </row>
    <row r="1787">
      <c r="A1787" t="n">
        <v>102920</v>
      </c>
      <c r="B1787" t="n">
        <v>128</v>
      </c>
      <c r="C1787" t="inlineStr">
        <is>
          <t>Love Cabaret</t>
        </is>
      </c>
      <c r="D1787" t="inlineStr">
        <is>
          <t>PRESHH ALUGUEL DE MAQUINAS LTDA</t>
        </is>
      </c>
      <c r="E1787" t="n">
        <v>808</v>
      </c>
      <c r="F1787" s="27" t="n">
        <v>45818</v>
      </c>
      <c r="G1787" s="27" t="n">
        <v>45817</v>
      </c>
      <c r="H1787" s="27" t="n">
        <v>45817</v>
      </c>
      <c r="I1787" s="27" t="n">
        <v>45802</v>
      </c>
      <c r="J1787" s="27" t="n"/>
      <c r="K1787" t="inlineStr">
        <is>
          <t>Boleto Bancário</t>
        </is>
      </c>
      <c r="L1787" t="inlineStr">
        <is>
          <t>Locação de Equipamentos</t>
        </is>
      </c>
      <c r="M1787" t="inlineStr">
        <is>
          <t>Locações de Equipamentos - Operacionais</t>
        </is>
      </c>
      <c r="N1787" t="inlineStr">
        <is>
          <t xml:space="preserve">559025797 </t>
        </is>
      </c>
      <c r="O1787" t="inlineStr">
        <is>
          <t>Documentação Aprovada</t>
        </is>
      </c>
      <c r="P1787" t="inlineStr">
        <is>
          <t>Aprovado Diretoria</t>
        </is>
      </c>
      <c r="Q1787" t="inlineStr">
        <is>
          <t>Aprovado Caixa</t>
        </is>
      </c>
      <c r="R1787" t="inlineStr">
        <is>
          <t>Pago</t>
        </is>
      </c>
      <c r="S1787" t="n">
        <v>182</v>
      </c>
      <c r="T1787" t="inlineStr">
        <is>
          <t>Love - Shibari - Kamino</t>
        </is>
      </c>
    </row>
    <row r="1788">
      <c r="A1788" t="n">
        <v>102962</v>
      </c>
      <c r="B1788" t="n">
        <v>128</v>
      </c>
      <c r="C1788" t="inlineStr">
        <is>
          <t>Love Cabaret</t>
        </is>
      </c>
      <c r="D1788" t="inlineStr">
        <is>
          <t>STAR COPIAS COMERCIO E SERVICOS LTDA</t>
        </is>
      </c>
      <c r="E1788" t="n">
        <v>220</v>
      </c>
      <c r="F1788" s="27" t="n">
        <v>45817</v>
      </c>
      <c r="G1788" s="27" t="n">
        <v>45817</v>
      </c>
      <c r="H1788" s="27" t="n">
        <v>45817</v>
      </c>
      <c r="I1788" s="27" t="n">
        <v>45797</v>
      </c>
      <c r="J1788" s="27" t="n"/>
      <c r="K1788" t="inlineStr">
        <is>
          <t>Boleto Bancário</t>
        </is>
      </c>
      <c r="L1788" t="inlineStr">
        <is>
          <t>Locação de Equipamentos</t>
        </is>
      </c>
      <c r="M1788" t="inlineStr">
        <is>
          <t>Locação de Equipamentos - Informatica e TI</t>
        </is>
      </c>
      <c r="N1788" t="inlineStr">
        <is>
          <t>4093</t>
        </is>
      </c>
      <c r="O1788" t="inlineStr">
        <is>
          <t>Documentação Aprovada</t>
        </is>
      </c>
      <c r="P1788" t="inlineStr">
        <is>
          <t>Aprovado Diretoria</t>
        </is>
      </c>
      <c r="Q1788" t="inlineStr">
        <is>
          <t>Aprovado Caixa</t>
        </is>
      </c>
      <c r="R1788" t="inlineStr">
        <is>
          <t>Pago</t>
        </is>
      </c>
      <c r="S1788" t="n">
        <v>182</v>
      </c>
      <c r="T1788" t="inlineStr">
        <is>
          <t>Love - Shibari - Kamino</t>
        </is>
      </c>
    </row>
    <row r="1789">
      <c r="A1789" t="n">
        <v>97516</v>
      </c>
      <c r="B1789" t="n">
        <v>128</v>
      </c>
      <c r="C1789" t="inlineStr">
        <is>
          <t>Love Cabaret</t>
        </is>
      </c>
      <c r="D1789" t="inlineStr">
        <is>
          <t>ISS</t>
        </is>
      </c>
      <c r="E1789" t="n">
        <v>1110</v>
      </c>
      <c r="F1789" s="27" t="n">
        <v>45818</v>
      </c>
      <c r="G1789" s="27" t="n">
        <v>45817</v>
      </c>
      <c r="H1789" s="27" t="n">
        <v>45817</v>
      </c>
      <c r="I1789" s="27" t="n">
        <v>45808</v>
      </c>
      <c r="J1789" s="27" t="n"/>
      <c r="K1789" t="inlineStr">
        <is>
          <t>Boleto Bancário</t>
        </is>
      </c>
      <c r="L1789" t="inlineStr">
        <is>
          <t>Impostos sobre Venda</t>
        </is>
      </c>
      <c r="M1789" t="inlineStr">
        <is>
          <t>ISS</t>
        </is>
      </c>
      <c r="N1789" t="inlineStr">
        <is>
          <t>052025</t>
        </is>
      </c>
      <c r="O1789" t="inlineStr">
        <is>
          <t>Documentação Aprovada</t>
        </is>
      </c>
      <c r="P1789" t="inlineStr">
        <is>
          <t>Aprovado Diretoria</t>
        </is>
      </c>
      <c r="Q1789" t="inlineStr">
        <is>
          <t>Aprovado Caixa</t>
        </is>
      </c>
      <c r="R1789" t="inlineStr">
        <is>
          <t>Pago</t>
        </is>
      </c>
      <c r="S1789" t="n">
        <v>182</v>
      </c>
      <c r="T1789" t="inlineStr">
        <is>
          <t>Love - Shibari - Kamino</t>
        </is>
      </c>
    </row>
    <row r="1790">
      <c r="A1790" t="n">
        <v>97529</v>
      </c>
      <c r="B1790" t="n">
        <v>128</v>
      </c>
      <c r="C1790" t="inlineStr">
        <is>
          <t>Love Cabaret</t>
        </is>
      </c>
      <c r="D1790" t="inlineStr">
        <is>
          <t>ISS</t>
        </is>
      </c>
      <c r="E1790" t="n">
        <v>118.58</v>
      </c>
      <c r="F1790" s="27" t="n">
        <v>45818</v>
      </c>
      <c r="G1790" s="27" t="n">
        <v>45817</v>
      </c>
      <c r="H1790" s="27" t="n">
        <v>45817</v>
      </c>
      <c r="I1790" s="27" t="n">
        <v>45808</v>
      </c>
      <c r="J1790" s="27" t="n"/>
      <c r="K1790" t="inlineStr">
        <is>
          <t>Boleto Bancário</t>
        </is>
      </c>
      <c r="L1790" t="inlineStr">
        <is>
          <t>Utilidades</t>
        </is>
      </c>
      <c r="M1790" t="inlineStr">
        <is>
          <t>Coleta de lixo</t>
        </is>
      </c>
      <c r="N1790" t="inlineStr">
        <is>
          <t>052025</t>
        </is>
      </c>
      <c r="O1790" t="inlineStr">
        <is>
          <t>Documentação Aprovada</t>
        </is>
      </c>
      <c r="P1790" t="inlineStr">
        <is>
          <t>Aprovado Diretoria</t>
        </is>
      </c>
      <c r="Q1790" t="inlineStr">
        <is>
          <t>Aprovado Caixa</t>
        </is>
      </c>
      <c r="R1790" t="inlineStr">
        <is>
          <t>Pago</t>
        </is>
      </c>
      <c r="S1790" t="n">
        <v>182</v>
      </c>
      <c r="T1790" t="inlineStr">
        <is>
          <t>Love - Shibari - Kamino</t>
        </is>
      </c>
    </row>
    <row r="1791">
      <c r="A1791" t="n">
        <v>106685</v>
      </c>
      <c r="B1791" t="n">
        <v>128</v>
      </c>
      <c r="C1791" t="inlineStr">
        <is>
          <t>Love Cabaret</t>
        </is>
      </c>
      <c r="D1791" t="inlineStr">
        <is>
          <t>AURORA ALVORADA ESTACIONAMENTO E LANCHONETE LTDA</t>
        </is>
      </c>
      <c r="E1791" t="n">
        <v>225.18</v>
      </c>
      <c r="F1791" s="27" t="n">
        <v>45818</v>
      </c>
      <c r="G1791" s="27" t="n">
        <v>45817</v>
      </c>
      <c r="H1791" s="27" t="n">
        <v>45817</v>
      </c>
      <c r="I1791" s="27" t="n">
        <v>45810</v>
      </c>
      <c r="J1791" s="27" t="n"/>
      <c r="K1791" t="inlineStr">
        <is>
          <t>Boleto Bancário</t>
        </is>
      </c>
      <c r="L1791" t="inlineStr">
        <is>
          <t>Custo Mercadoria Vendida</t>
        </is>
      </c>
      <c r="M1791" t="inlineStr">
        <is>
          <t>Insumos - Alimentos</t>
        </is>
      </c>
      <c r="N1791" t="inlineStr">
        <is>
          <t>10635</t>
        </is>
      </c>
      <c r="O1791" t="inlineStr">
        <is>
          <t>Documentação Aprovada</t>
        </is>
      </c>
      <c r="P1791" t="inlineStr">
        <is>
          <t>Aprovado Diretoria</t>
        </is>
      </c>
      <c r="Q1791" t="inlineStr">
        <is>
          <t>Aprovado Caixa</t>
        </is>
      </c>
      <c r="R1791" t="inlineStr">
        <is>
          <t>Pago</t>
        </is>
      </c>
      <c r="S1791" t="n">
        <v>182</v>
      </c>
      <c r="T1791" t="inlineStr">
        <is>
          <t>Love - Shibari - Kamino</t>
        </is>
      </c>
    </row>
    <row r="1792">
      <c r="A1792" t="n">
        <v>104322</v>
      </c>
      <c r="B1792" t="n">
        <v>128</v>
      </c>
      <c r="C1792" t="inlineStr">
        <is>
          <t>Love Cabaret</t>
        </is>
      </c>
      <c r="D1792" t="inlineStr">
        <is>
          <t>CICLO PARTICIPACOES LTDA</t>
        </is>
      </c>
      <c r="E1792" t="n">
        <v>5906.28</v>
      </c>
      <c r="F1792" s="27" t="n">
        <v>45828</v>
      </c>
      <c r="G1792" s="27" t="n">
        <v>45819</v>
      </c>
      <c r="H1792" s="27" t="n">
        <v>45817</v>
      </c>
      <c r="I1792" s="27" t="n">
        <v>45792</v>
      </c>
      <c r="J1792" s="27" t="n"/>
      <c r="K1792" t="inlineStr">
        <is>
          <t>Boleto Bancário</t>
        </is>
      </c>
      <c r="L1792" t="inlineStr">
        <is>
          <t>Custo de Ocupação</t>
        </is>
      </c>
      <c r="M1792" t="inlineStr">
        <is>
          <t>IPTU</t>
        </is>
      </c>
      <c r="N1792" t="inlineStr">
        <is>
          <t>052025</t>
        </is>
      </c>
      <c r="O1792" t="inlineStr">
        <is>
          <t>Documentação Aprovada</t>
        </is>
      </c>
      <c r="P1792" t="inlineStr">
        <is>
          <t>Aprovado Diretoria</t>
        </is>
      </c>
      <c r="Q1792" t="inlineStr">
        <is>
          <t>Aprovado Caixa</t>
        </is>
      </c>
      <c r="R1792" t="inlineStr">
        <is>
          <t>Pago</t>
        </is>
      </c>
      <c r="S1792" t="n">
        <v>182</v>
      </c>
      <c r="T1792" t="inlineStr">
        <is>
          <t>Love - Shibari - Kamino</t>
        </is>
      </c>
    </row>
    <row r="1793">
      <c r="A1793" t="n">
        <v>134378</v>
      </c>
      <c r="B1793" t="n">
        <v>128</v>
      </c>
      <c r="C1793" t="inlineStr">
        <is>
          <t>Love Cabaret</t>
        </is>
      </c>
      <c r="D1793" t="inlineStr">
        <is>
          <t>TNTINFO COMERCIO DE MATERIAIS DE INFORMATICA LTDA</t>
        </is>
      </c>
      <c r="E1793" t="n">
        <v>2762.61</v>
      </c>
      <c r="F1793" s="27" t="n">
        <v>45819</v>
      </c>
      <c r="G1793" s="27" t="n">
        <v>45817</v>
      </c>
      <c r="H1793" s="27" t="n">
        <v>45817</v>
      </c>
      <c r="I1793" s="27" t="n">
        <v>45804</v>
      </c>
      <c r="J1793" s="27" t="n">
        <v>45804</v>
      </c>
      <c r="K1793" t="inlineStr">
        <is>
          <t>Boleto Bancário</t>
        </is>
      </c>
      <c r="L1793" t="inlineStr">
        <is>
          <t>Informática e TI</t>
        </is>
      </c>
      <c r="M1793" t="inlineStr">
        <is>
          <t>Sistemas Gerais - Operacionais</t>
        </is>
      </c>
      <c r="N1793" t="inlineStr">
        <is>
          <t xml:space="preserve">267890052025 </t>
        </is>
      </c>
      <c r="O1793" t="inlineStr">
        <is>
          <t>Documentação Aprovada</t>
        </is>
      </c>
      <c r="P1793" t="inlineStr">
        <is>
          <t>Aprovado Diretoria</t>
        </is>
      </c>
      <c r="Q1793" t="inlineStr">
        <is>
          <t>Aprovado Caixa</t>
        </is>
      </c>
      <c r="R1793" t="inlineStr">
        <is>
          <t>Pago</t>
        </is>
      </c>
      <c r="S1793" t="n">
        <v>182</v>
      </c>
      <c r="T1793" t="inlineStr">
        <is>
          <t>Love - Shibari - Kamino</t>
        </is>
      </c>
    </row>
    <row r="1794">
      <c r="A1794" t="n">
        <v>134102</v>
      </c>
      <c r="B1794" t="n">
        <v>128</v>
      </c>
      <c r="C1794" t="inlineStr">
        <is>
          <t>Love Cabaret</t>
        </is>
      </c>
      <c r="D1794" t="inlineStr">
        <is>
          <t>FG7 COMERCIO E DISTRIBUICAO DE BEBIDAS LTDA</t>
        </is>
      </c>
      <c r="E1794" t="n">
        <v>483.45</v>
      </c>
      <c r="F1794" s="27" t="n">
        <v>45819</v>
      </c>
      <c r="G1794" s="27" t="n">
        <v>45817</v>
      </c>
      <c r="H1794" s="27" t="n">
        <v>45817</v>
      </c>
      <c r="I1794" s="27" t="n">
        <v>45797</v>
      </c>
      <c r="J1794" s="27" t="n">
        <v>45800</v>
      </c>
      <c r="K1794" t="inlineStr">
        <is>
          <t>Boleto Bancário</t>
        </is>
      </c>
      <c r="L1794" t="inlineStr">
        <is>
          <t>Custo Mercadoria Vendida</t>
        </is>
      </c>
      <c r="M1794" t="inlineStr">
        <is>
          <t>Insumos - Bebidas</t>
        </is>
      </c>
      <c r="N1794" t="inlineStr">
        <is>
          <t>614946</t>
        </is>
      </c>
      <c r="O1794" t="inlineStr">
        <is>
          <t>Documentação Aprovada</t>
        </is>
      </c>
      <c r="P1794" t="inlineStr">
        <is>
          <t>Aprovado Diretoria</t>
        </is>
      </c>
      <c r="Q1794" t="inlineStr">
        <is>
          <t>Aprovado Caixa</t>
        </is>
      </c>
      <c r="R1794" t="inlineStr">
        <is>
          <t>Pago</t>
        </is>
      </c>
      <c r="S1794" t="n">
        <v>182</v>
      </c>
      <c r="T1794" t="inlineStr">
        <is>
          <t>Love - Shibari - Kamino</t>
        </is>
      </c>
    </row>
    <row r="1795">
      <c r="A1795" t="n">
        <v>134095</v>
      </c>
      <c r="B1795" t="n">
        <v>128</v>
      </c>
      <c r="C1795" t="inlineStr">
        <is>
          <t>Love Cabaret</t>
        </is>
      </c>
      <c r="D1795" t="inlineStr">
        <is>
          <t>PROAUTO INDUSTRIA QUIMICA EIRELI</t>
        </is>
      </c>
      <c r="E1795" t="n">
        <v>1140.98</v>
      </c>
      <c r="F1795" s="27" t="n">
        <v>45817</v>
      </c>
      <c r="G1795" s="27" t="n">
        <v>45817</v>
      </c>
      <c r="H1795" s="27" t="n">
        <v>45817</v>
      </c>
      <c r="I1795" s="27" t="n">
        <v>45789</v>
      </c>
      <c r="J1795" s="27" t="n">
        <v>45800</v>
      </c>
      <c r="K1795" t="inlineStr">
        <is>
          <t>Boleto Bancário</t>
        </is>
      </c>
      <c r="L1795" t="inlineStr">
        <is>
          <t>Utilidades</t>
        </is>
      </c>
      <c r="M1795" t="inlineStr">
        <is>
          <t>Higiene e Limpeza</t>
        </is>
      </c>
      <c r="N1795" t="inlineStr">
        <is>
          <t>137944</t>
        </is>
      </c>
      <c r="O1795" t="inlineStr">
        <is>
          <t>Documentação Aprovada</t>
        </is>
      </c>
      <c r="P1795" t="inlineStr">
        <is>
          <t>Aprovado Diretoria</t>
        </is>
      </c>
      <c r="Q1795" t="inlineStr">
        <is>
          <t>Aprovado Caixa</t>
        </is>
      </c>
      <c r="R1795" t="inlineStr">
        <is>
          <t>Pago</t>
        </is>
      </c>
      <c r="S1795" t="n">
        <v>182</v>
      </c>
      <c r="T1795" t="inlineStr">
        <is>
          <t>Love - Shibari - Kamino</t>
        </is>
      </c>
    </row>
    <row r="1796">
      <c r="A1796" t="n">
        <v>131912</v>
      </c>
      <c r="B1796" t="n">
        <v>128</v>
      </c>
      <c r="C1796" t="inlineStr">
        <is>
          <t>Love Cabaret</t>
        </is>
      </c>
      <c r="D1796" t="inlineStr">
        <is>
          <t xml:space="preserve">DOUGLAS FELIPE DOMINGUES GONCALVES </t>
        </is>
      </c>
      <c r="E1796" t="n">
        <v>4100</v>
      </c>
      <c r="F1796" s="27" t="n">
        <v>45818</v>
      </c>
      <c r="G1796" s="27" t="n">
        <v>45817</v>
      </c>
      <c r="H1796" s="27" t="n">
        <v>45817</v>
      </c>
      <c r="I1796" s="27" t="n">
        <v>45778</v>
      </c>
      <c r="J1796" s="27" t="n">
        <v>45790</v>
      </c>
      <c r="K1796" t="inlineStr">
        <is>
          <t>Transferência Bancária ou Pix</t>
        </is>
      </c>
      <c r="L1796" t="inlineStr">
        <is>
          <t>Custos Artístico Geral</t>
        </is>
      </c>
      <c r="M1796" t="inlineStr">
        <is>
          <t>Técnico de Som / Luz</t>
        </is>
      </c>
      <c r="N1796" t="inlineStr">
        <is>
          <t>41</t>
        </is>
      </c>
      <c r="O1796" t="inlineStr">
        <is>
          <t>Documentação Aprovada</t>
        </is>
      </c>
      <c r="P1796" t="inlineStr">
        <is>
          <t>Aprovado Diretoria</t>
        </is>
      </c>
      <c r="Q1796" t="inlineStr">
        <is>
          <t>Aprovado Caixa</t>
        </is>
      </c>
      <c r="R1796" t="inlineStr">
        <is>
          <t>Pago</t>
        </is>
      </c>
      <c r="S1796" t="n">
        <v>182</v>
      </c>
      <c r="T1796" t="inlineStr">
        <is>
          <t>Love - Shibari - Kamino</t>
        </is>
      </c>
    </row>
    <row r="1797">
      <c r="A1797" t="n">
        <v>131921</v>
      </c>
      <c r="B1797" t="n">
        <v>128</v>
      </c>
      <c r="C1797" t="inlineStr">
        <is>
          <t>Love Cabaret</t>
        </is>
      </c>
      <c r="D1797" t="inlineStr">
        <is>
          <t>TAMARA SANTOS RIBEIRO</t>
        </is>
      </c>
      <c r="E1797" t="n">
        <v>3500</v>
      </c>
      <c r="F1797" s="27" t="n">
        <v>45818</v>
      </c>
      <c r="G1797" s="27" t="n">
        <v>45817</v>
      </c>
      <c r="H1797" s="27" t="n">
        <v>45817</v>
      </c>
      <c r="I1797" s="27" t="n">
        <v>45778</v>
      </c>
      <c r="J1797" s="27" t="n">
        <v>45790</v>
      </c>
      <c r="K1797" t="inlineStr">
        <is>
          <t>Transferência Bancária ou Pix</t>
        </is>
      </c>
      <c r="L1797" t="inlineStr">
        <is>
          <t>Mão de Obra - PJ</t>
        </is>
      </c>
      <c r="M1797" t="inlineStr">
        <is>
          <t>MDO PJ Fixo</t>
        </is>
      </c>
      <c r="N1797" t="inlineStr">
        <is>
          <t>23</t>
        </is>
      </c>
      <c r="O1797" t="inlineStr">
        <is>
          <t>Documentação Aprovada</t>
        </is>
      </c>
      <c r="P1797" t="inlineStr">
        <is>
          <t>Aprovado Diretoria</t>
        </is>
      </c>
      <c r="Q1797" t="inlineStr">
        <is>
          <t>Aprovado Caixa</t>
        </is>
      </c>
      <c r="R1797" t="inlineStr">
        <is>
          <t>Pago</t>
        </is>
      </c>
      <c r="S1797" t="n">
        <v>182</v>
      </c>
      <c r="T1797" t="inlineStr">
        <is>
          <t>Love - Shibari - Kamino</t>
        </is>
      </c>
    </row>
    <row r="1798">
      <c r="A1798" t="n">
        <v>131922</v>
      </c>
      <c r="B1798" t="n">
        <v>128</v>
      </c>
      <c r="C1798" t="inlineStr">
        <is>
          <t>Love Cabaret</t>
        </is>
      </c>
      <c r="D1798" t="inlineStr">
        <is>
          <t>PJ 00502024 THIAGO PINHEIRO DA SILVA</t>
        </is>
      </c>
      <c r="E1798" t="n">
        <v>1125</v>
      </c>
      <c r="F1798" s="27" t="n">
        <v>45818</v>
      </c>
      <c r="G1798" s="27" t="n">
        <v>45817</v>
      </c>
      <c r="H1798" s="27" t="n">
        <v>45817</v>
      </c>
      <c r="I1798" s="27" t="n">
        <v>45778</v>
      </c>
      <c r="J1798" s="27" t="n">
        <v>45790</v>
      </c>
      <c r="K1798" t="inlineStr">
        <is>
          <t>Transferência Bancária ou Pix</t>
        </is>
      </c>
      <c r="L1798" t="inlineStr">
        <is>
          <t>Mão de Obra - PJ</t>
        </is>
      </c>
      <c r="M1798" t="inlineStr">
        <is>
          <t>MDO PJ Fixo</t>
        </is>
      </c>
      <c r="N1798" t="inlineStr">
        <is>
          <t>48</t>
        </is>
      </c>
      <c r="O1798" t="inlineStr">
        <is>
          <t>Documentação Aprovada</t>
        </is>
      </c>
      <c r="P1798" t="inlineStr">
        <is>
          <t>Aprovado Diretoria</t>
        </is>
      </c>
      <c r="Q1798" t="inlineStr">
        <is>
          <t>Aprovado Caixa</t>
        </is>
      </c>
      <c r="R1798" t="inlineStr">
        <is>
          <t>Pago</t>
        </is>
      </c>
      <c r="S1798" t="n">
        <v>182</v>
      </c>
      <c r="T1798" t="inlineStr">
        <is>
          <t>Love - Shibari - Kamino</t>
        </is>
      </c>
    </row>
    <row r="1799">
      <c r="A1799" t="n">
        <v>131924</v>
      </c>
      <c r="B1799" t="n">
        <v>128</v>
      </c>
      <c r="C1799" t="inlineStr">
        <is>
          <t>Love Cabaret</t>
        </is>
      </c>
      <c r="D1799" t="inlineStr">
        <is>
          <t>PJ 00092021 - VANESSA FERREIRA DEL SANTO</t>
        </is>
      </c>
      <c r="E1799" t="n">
        <v>3000</v>
      </c>
      <c r="F1799" s="27" t="n">
        <v>45818</v>
      </c>
      <c r="G1799" s="27" t="n">
        <v>45817</v>
      </c>
      <c r="H1799" s="27" t="n">
        <v>45817</v>
      </c>
      <c r="I1799" s="27" t="n">
        <v>45778</v>
      </c>
      <c r="J1799" s="27" t="n">
        <v>45790</v>
      </c>
      <c r="K1799" t="inlineStr">
        <is>
          <t>Transferência Bancária ou Pix</t>
        </is>
      </c>
      <c r="L1799" t="inlineStr">
        <is>
          <t>Mão de Obra - PJ</t>
        </is>
      </c>
      <c r="M1799" t="inlineStr">
        <is>
          <t>MDO PJ Fixo</t>
        </is>
      </c>
      <c r="N1799" t="inlineStr">
        <is>
          <t>266</t>
        </is>
      </c>
      <c r="O1799" t="inlineStr">
        <is>
          <t>Documentação Aprovada</t>
        </is>
      </c>
      <c r="P1799" t="inlineStr">
        <is>
          <t>Aprovado Diretoria</t>
        </is>
      </c>
      <c r="Q1799" t="inlineStr">
        <is>
          <t>Aprovado Caixa</t>
        </is>
      </c>
      <c r="R1799" t="inlineStr">
        <is>
          <t>Pago</t>
        </is>
      </c>
      <c r="S1799" t="n">
        <v>182</v>
      </c>
      <c r="T1799" t="inlineStr">
        <is>
          <t>Love - Shibari - Kamino</t>
        </is>
      </c>
    </row>
    <row r="1800">
      <c r="A1800" t="n">
        <v>131925</v>
      </c>
      <c r="B1800" t="n">
        <v>128</v>
      </c>
      <c r="C1800" t="inlineStr">
        <is>
          <t>Love Cabaret</t>
        </is>
      </c>
      <c r="D1800" t="inlineStr">
        <is>
          <t>WAGNER DA SILVA FRANCA</t>
        </is>
      </c>
      <c r="E1800" t="n">
        <v>4000</v>
      </c>
      <c r="F1800" s="27" t="n">
        <v>45818</v>
      </c>
      <c r="G1800" s="27" t="n">
        <v>45817</v>
      </c>
      <c r="H1800" s="27" t="n">
        <v>45817</v>
      </c>
      <c r="I1800" s="27" t="n">
        <v>45778</v>
      </c>
      <c r="J1800" s="27" t="n">
        <v>45790</v>
      </c>
      <c r="K1800" t="inlineStr">
        <is>
          <t>Transferência Bancária ou Pix</t>
        </is>
      </c>
      <c r="L1800" t="inlineStr">
        <is>
          <t>Mão de Obra - PJ</t>
        </is>
      </c>
      <c r="M1800" t="inlineStr">
        <is>
          <t>MDO PJ Fixo</t>
        </is>
      </c>
      <c r="N1800" t="inlineStr">
        <is>
          <t>35</t>
        </is>
      </c>
      <c r="O1800" t="inlineStr">
        <is>
          <t>Documentação Aprovada</t>
        </is>
      </c>
      <c r="P1800" t="inlineStr">
        <is>
          <t>Aprovado Diretoria</t>
        </is>
      </c>
      <c r="Q1800" t="inlineStr">
        <is>
          <t>Aprovado Caixa</t>
        </is>
      </c>
      <c r="R1800" t="inlineStr">
        <is>
          <t>Pago</t>
        </is>
      </c>
      <c r="S1800" t="n">
        <v>182</v>
      </c>
      <c r="T1800" t="inlineStr">
        <is>
          <t>Love - Shibari - Kamino</t>
        </is>
      </c>
    </row>
    <row r="1801">
      <c r="A1801" t="n">
        <v>131926</v>
      </c>
      <c r="B1801" t="n">
        <v>128</v>
      </c>
      <c r="C1801" t="inlineStr">
        <is>
          <t>Love Cabaret</t>
        </is>
      </c>
      <c r="D1801" t="inlineStr">
        <is>
          <t>MARIA EDUARDA RAMOS DE SOUSA</t>
        </is>
      </c>
      <c r="E1801" t="n">
        <v>1600</v>
      </c>
      <c r="F1801" s="27" t="n">
        <v>45818</v>
      </c>
      <c r="G1801" s="27" t="n">
        <v>45817</v>
      </c>
      <c r="H1801" s="27" t="n">
        <v>45817</v>
      </c>
      <c r="I1801" s="27" t="n">
        <v>45778</v>
      </c>
      <c r="J1801" s="27" t="n">
        <v>45790</v>
      </c>
      <c r="K1801" t="inlineStr">
        <is>
          <t>Transferência Bancária ou Pix</t>
        </is>
      </c>
      <c r="L1801" t="inlineStr">
        <is>
          <t>Mão de Obra - PJ</t>
        </is>
      </c>
      <c r="M1801" t="inlineStr">
        <is>
          <t>MDO PJ Fixo</t>
        </is>
      </c>
      <c r="N1801" t="inlineStr">
        <is>
          <t>39</t>
        </is>
      </c>
      <c r="O1801" t="inlineStr">
        <is>
          <t>Documentação Aprovada</t>
        </is>
      </c>
      <c r="P1801" t="inlineStr">
        <is>
          <t>Aprovado Diretoria</t>
        </is>
      </c>
      <c r="Q1801" t="inlineStr">
        <is>
          <t>Aprovado Caixa</t>
        </is>
      </c>
      <c r="R1801" t="inlineStr">
        <is>
          <t>Pago</t>
        </is>
      </c>
      <c r="S1801" t="n">
        <v>182</v>
      </c>
      <c r="T1801" t="inlineStr">
        <is>
          <t>Love - Shibari - Kamino</t>
        </is>
      </c>
    </row>
    <row r="1802">
      <c r="A1802" t="n">
        <v>131916</v>
      </c>
      <c r="B1802" t="n">
        <v>128</v>
      </c>
      <c r="C1802" t="inlineStr">
        <is>
          <t>Love Cabaret</t>
        </is>
      </c>
      <c r="D1802" t="inlineStr">
        <is>
          <t>PJ 00352023 - JESSICA IZABEL DE SOUZA</t>
        </is>
      </c>
      <c r="E1802" t="n">
        <v>1250</v>
      </c>
      <c r="F1802" s="27" t="n">
        <v>45818</v>
      </c>
      <c r="G1802" s="27" t="n">
        <v>45817</v>
      </c>
      <c r="H1802" s="27" t="n">
        <v>45817</v>
      </c>
      <c r="I1802" s="27" t="n">
        <v>45778</v>
      </c>
      <c r="J1802" s="27" t="n">
        <v>45790</v>
      </c>
      <c r="K1802" t="inlineStr">
        <is>
          <t>Transferência Bancária ou Pix</t>
        </is>
      </c>
      <c r="L1802" t="inlineStr">
        <is>
          <t>Mão de Obra - PJ</t>
        </is>
      </c>
      <c r="M1802" t="inlineStr">
        <is>
          <t>MDO PJ Fixo</t>
        </is>
      </c>
      <c r="N1802" t="inlineStr">
        <is>
          <t>76</t>
        </is>
      </c>
      <c r="O1802" t="inlineStr">
        <is>
          <t>Documentação Aprovada</t>
        </is>
      </c>
      <c r="P1802" t="inlineStr">
        <is>
          <t>Aprovado Diretoria</t>
        </is>
      </c>
      <c r="Q1802" t="inlineStr">
        <is>
          <t>Aprovado Caixa</t>
        </is>
      </c>
      <c r="R1802" t="inlineStr">
        <is>
          <t>Pago</t>
        </is>
      </c>
      <c r="S1802" t="n">
        <v>182</v>
      </c>
      <c r="T1802" t="inlineStr">
        <is>
          <t>Love - Shibari - Kamino</t>
        </is>
      </c>
    </row>
    <row r="1803">
      <c r="A1803" t="n">
        <v>131915</v>
      </c>
      <c r="B1803" t="n">
        <v>128</v>
      </c>
      <c r="C1803" t="inlineStr">
        <is>
          <t>Love Cabaret</t>
        </is>
      </c>
      <c r="D1803" t="inlineStr">
        <is>
          <t>PJ 00492024 - ISABELLA FERNANDES GOMES</t>
        </is>
      </c>
      <c r="E1803" t="n">
        <v>1200</v>
      </c>
      <c r="F1803" s="27" t="n">
        <v>45818</v>
      </c>
      <c r="G1803" s="27" t="n">
        <v>45817</v>
      </c>
      <c r="H1803" s="27" t="n">
        <v>45817</v>
      </c>
      <c r="I1803" s="27" t="n">
        <v>45778</v>
      </c>
      <c r="J1803" s="27" t="n">
        <v>45790</v>
      </c>
      <c r="K1803" t="inlineStr">
        <is>
          <t>Transferência Bancária ou Pix</t>
        </is>
      </c>
      <c r="L1803" t="inlineStr">
        <is>
          <t>Mão de Obra - PJ</t>
        </is>
      </c>
      <c r="M1803" t="inlineStr">
        <is>
          <t>MDO PJ Fixo</t>
        </is>
      </c>
      <c r="N1803" t="inlineStr">
        <is>
          <t>49</t>
        </is>
      </c>
      <c r="O1803" t="inlineStr">
        <is>
          <t>Documentação Aprovada</t>
        </is>
      </c>
      <c r="P1803" t="inlineStr">
        <is>
          <t>Aprovado Diretoria</t>
        </is>
      </c>
      <c r="Q1803" t="inlineStr">
        <is>
          <t>Aprovado Caixa</t>
        </is>
      </c>
      <c r="R1803" t="inlineStr">
        <is>
          <t>Pago</t>
        </is>
      </c>
      <c r="S1803" t="n">
        <v>182</v>
      </c>
      <c r="T1803" t="inlineStr">
        <is>
          <t>Love - Shibari - Kamino</t>
        </is>
      </c>
    </row>
    <row r="1804">
      <c r="A1804" t="n">
        <v>131914</v>
      </c>
      <c r="B1804" t="n">
        <v>128</v>
      </c>
      <c r="C1804" t="inlineStr">
        <is>
          <t>Love Cabaret</t>
        </is>
      </c>
      <c r="D1804" t="inlineStr">
        <is>
          <t>PUXURI CONSULTORIA LTDA</t>
        </is>
      </c>
      <c r="E1804" t="n">
        <v>4000</v>
      </c>
      <c r="F1804" s="27" t="n">
        <v>45818</v>
      </c>
      <c r="G1804" s="27" t="n">
        <v>45817</v>
      </c>
      <c r="H1804" s="27" t="n">
        <v>45817</v>
      </c>
      <c r="I1804" s="27" t="n">
        <v>45778</v>
      </c>
      <c r="J1804" s="27" t="n">
        <v>45790</v>
      </c>
      <c r="K1804" t="inlineStr">
        <is>
          <t>Transferência Bancária ou Pix</t>
        </is>
      </c>
      <c r="L1804" t="inlineStr">
        <is>
          <t>Mão de Obra - PJ</t>
        </is>
      </c>
      <c r="M1804" t="inlineStr">
        <is>
          <t>MDO PJ Fixo</t>
        </is>
      </c>
      <c r="N1804" t="inlineStr">
        <is>
          <t>110</t>
        </is>
      </c>
      <c r="O1804" t="inlineStr">
        <is>
          <t>Documentação Aprovada</t>
        </is>
      </c>
      <c r="P1804" t="inlineStr">
        <is>
          <t>Aprovado Diretoria</t>
        </is>
      </c>
      <c r="Q1804" t="inlineStr">
        <is>
          <t>Aprovado Caixa</t>
        </is>
      </c>
      <c r="R1804" t="inlineStr">
        <is>
          <t>Pago</t>
        </is>
      </c>
      <c r="S1804" t="n">
        <v>182</v>
      </c>
      <c r="T1804" t="inlineStr">
        <is>
          <t>Love - Shibari - Kamino</t>
        </is>
      </c>
    </row>
    <row r="1805">
      <c r="A1805" t="n">
        <v>131913</v>
      </c>
      <c r="B1805" t="n">
        <v>128</v>
      </c>
      <c r="C1805" t="inlineStr">
        <is>
          <t>Love Cabaret</t>
        </is>
      </c>
      <c r="D1805" t="inlineStr">
        <is>
          <t>PJ23824129000110 - FELIPE DA COSTA SANTOS</t>
        </is>
      </c>
      <c r="E1805" t="n">
        <v>5100</v>
      </c>
      <c r="F1805" s="27" t="n">
        <v>45818</v>
      </c>
      <c r="G1805" s="27" t="n">
        <v>45817</v>
      </c>
      <c r="H1805" s="27" t="n">
        <v>45817</v>
      </c>
      <c r="I1805" s="27" t="n">
        <v>45778</v>
      </c>
      <c r="J1805" s="27" t="n">
        <v>45790</v>
      </c>
      <c r="K1805" t="inlineStr">
        <is>
          <t>Transferência Bancária ou Pix</t>
        </is>
      </c>
      <c r="L1805" t="inlineStr">
        <is>
          <t>Mão de Obra - PJ</t>
        </is>
      </c>
      <c r="M1805" t="inlineStr">
        <is>
          <t>MDO PJ Fixo</t>
        </is>
      </c>
      <c r="N1805" t="inlineStr">
        <is>
          <t>49</t>
        </is>
      </c>
      <c r="O1805" t="inlineStr">
        <is>
          <t>Documentação Aprovada</t>
        </is>
      </c>
      <c r="P1805" t="inlineStr">
        <is>
          <t>Aprovado Diretoria</t>
        </is>
      </c>
      <c r="Q1805" t="inlineStr">
        <is>
          <t>Aprovado Caixa</t>
        </is>
      </c>
      <c r="R1805" t="inlineStr">
        <is>
          <t>Pago</t>
        </is>
      </c>
      <c r="S1805" t="n">
        <v>182</v>
      </c>
      <c r="T1805" t="inlineStr">
        <is>
          <t>Love - Shibari - Kamino</t>
        </is>
      </c>
    </row>
    <row r="1806">
      <c r="A1806" t="n">
        <v>131920</v>
      </c>
      <c r="B1806" t="n">
        <v>128</v>
      </c>
      <c r="C1806" t="inlineStr">
        <is>
          <t>Love Cabaret</t>
        </is>
      </c>
      <c r="D1806" t="inlineStr">
        <is>
          <t>ROBERTA MARIA SANTANA</t>
        </is>
      </c>
      <c r="E1806" t="n">
        <v>4000</v>
      </c>
      <c r="F1806" s="27" t="n">
        <v>45818</v>
      </c>
      <c r="G1806" s="27" t="n">
        <v>45817</v>
      </c>
      <c r="H1806" s="27" t="n">
        <v>45817</v>
      </c>
      <c r="I1806" s="27" t="n">
        <v>45778</v>
      </c>
      <c r="J1806" s="27" t="n">
        <v>45790</v>
      </c>
      <c r="K1806" t="inlineStr">
        <is>
          <t>Transferência Bancária ou Pix</t>
        </is>
      </c>
      <c r="L1806" t="inlineStr">
        <is>
          <t>Mão de Obra - PJ</t>
        </is>
      </c>
      <c r="M1806" t="inlineStr">
        <is>
          <t>MDO PJ Fixo</t>
        </is>
      </c>
      <c r="N1806" t="inlineStr">
        <is>
          <t>11</t>
        </is>
      </c>
      <c r="O1806" t="inlineStr">
        <is>
          <t>Documentação Aprovada</t>
        </is>
      </c>
      <c r="P1806" t="inlineStr">
        <is>
          <t>Aprovado Diretoria</t>
        </is>
      </c>
      <c r="Q1806" t="inlineStr">
        <is>
          <t>Aprovado Caixa</t>
        </is>
      </c>
      <c r="R1806" t="inlineStr">
        <is>
          <t>Pago</t>
        </is>
      </c>
      <c r="S1806" t="n">
        <v>182</v>
      </c>
      <c r="T1806" t="inlineStr">
        <is>
          <t>Love - Shibari - Kamino</t>
        </is>
      </c>
    </row>
    <row r="1807">
      <c r="A1807" t="n">
        <v>131919</v>
      </c>
      <c r="B1807" t="n">
        <v>128</v>
      </c>
      <c r="C1807" t="inlineStr">
        <is>
          <t>Love Cabaret</t>
        </is>
      </c>
      <c r="D1807" t="inlineStr">
        <is>
          <t xml:space="preserve">PJ 00452023 LAISA ROCHA LARANGEIRA </t>
        </is>
      </c>
      <c r="E1807" t="n">
        <v>1600</v>
      </c>
      <c r="F1807" s="27" t="n">
        <v>45818</v>
      </c>
      <c r="G1807" s="27" t="n">
        <v>45817</v>
      </c>
      <c r="H1807" s="27" t="n">
        <v>45817</v>
      </c>
      <c r="I1807" s="27" t="n">
        <v>45778</v>
      </c>
      <c r="J1807" s="27" t="n">
        <v>45790</v>
      </c>
      <c r="K1807" t="inlineStr">
        <is>
          <t>Transferência Bancária ou Pix</t>
        </is>
      </c>
      <c r="L1807" t="inlineStr">
        <is>
          <t>Mão de Obra - PJ</t>
        </is>
      </c>
      <c r="M1807" t="inlineStr">
        <is>
          <t>MDO PJ Fixo</t>
        </is>
      </c>
      <c r="N1807" t="inlineStr">
        <is>
          <t>70</t>
        </is>
      </c>
      <c r="O1807" t="inlineStr">
        <is>
          <t>Documentação Aprovada</t>
        </is>
      </c>
      <c r="P1807" t="inlineStr">
        <is>
          <t>Aprovado Diretoria</t>
        </is>
      </c>
      <c r="Q1807" t="inlineStr">
        <is>
          <t>Aprovado Caixa</t>
        </is>
      </c>
      <c r="R1807" t="inlineStr">
        <is>
          <t>Pago</t>
        </is>
      </c>
      <c r="S1807" t="n">
        <v>182</v>
      </c>
      <c r="T1807" t="inlineStr">
        <is>
          <t>Love - Shibari - Kamino</t>
        </is>
      </c>
    </row>
    <row r="1808">
      <c r="A1808" t="n">
        <v>131910</v>
      </c>
      <c r="B1808" t="n">
        <v>128</v>
      </c>
      <c r="C1808" t="inlineStr">
        <is>
          <t>Love Cabaret</t>
        </is>
      </c>
      <c r="D1808" t="inlineStr">
        <is>
          <t>ANDRE RODRIGUES AZEVEDO</t>
        </is>
      </c>
      <c r="E1808" t="n">
        <v>7420</v>
      </c>
      <c r="F1808" s="27" t="n">
        <v>45818</v>
      </c>
      <c r="G1808" s="27" t="n">
        <v>45817</v>
      </c>
      <c r="H1808" s="27" t="n">
        <v>45817</v>
      </c>
      <c r="I1808" s="27" t="n">
        <v>45778</v>
      </c>
      <c r="J1808" s="27" t="n">
        <v>45790</v>
      </c>
      <c r="K1808" t="inlineStr">
        <is>
          <t>Transferência Bancária ou Pix</t>
        </is>
      </c>
      <c r="L1808" t="inlineStr">
        <is>
          <t>Custos Artístico Geral</t>
        </is>
      </c>
      <c r="M1808" t="inlineStr">
        <is>
          <t>Técnico de Som / Luz</t>
        </is>
      </c>
      <c r="N1808" t="inlineStr">
        <is>
          <t>59</t>
        </is>
      </c>
      <c r="O1808" t="inlineStr">
        <is>
          <t>Documentação Aprovada</t>
        </is>
      </c>
      <c r="P1808" t="inlineStr">
        <is>
          <t>Aprovado Diretoria</t>
        </is>
      </c>
      <c r="Q1808" t="inlineStr">
        <is>
          <t>Aprovado Caixa</t>
        </is>
      </c>
      <c r="R1808" t="inlineStr">
        <is>
          <t>Pago</t>
        </is>
      </c>
      <c r="S1808" t="n">
        <v>182</v>
      </c>
      <c r="T1808" t="inlineStr">
        <is>
          <t>Love - Shibari - Kamino</t>
        </is>
      </c>
    </row>
    <row r="1809">
      <c r="A1809" t="n">
        <v>131909</v>
      </c>
      <c r="B1809" t="n">
        <v>128</v>
      </c>
      <c r="C1809" t="inlineStr">
        <is>
          <t>Love Cabaret</t>
        </is>
      </c>
      <c r="D1809" t="inlineStr">
        <is>
          <t xml:space="preserve">AGNES RODRIGUES DE OLIVEIRA </t>
        </is>
      </c>
      <c r="E1809" t="n">
        <v>5000</v>
      </c>
      <c r="F1809" s="27" t="n">
        <v>45818</v>
      </c>
      <c r="G1809" s="27" t="n">
        <v>45817</v>
      </c>
      <c r="H1809" s="27" t="n">
        <v>45817</v>
      </c>
      <c r="I1809" s="27" t="n">
        <v>45778</v>
      </c>
      <c r="J1809" s="27" t="n">
        <v>45790</v>
      </c>
      <c r="K1809" t="inlineStr">
        <is>
          <t>Transferência Bancária ou Pix</t>
        </is>
      </c>
      <c r="L1809" t="inlineStr">
        <is>
          <t>Custos Artístico Geral</t>
        </is>
      </c>
      <c r="M1809" t="inlineStr">
        <is>
          <t>Técnico de Som / Luz</t>
        </is>
      </c>
      <c r="N1809" t="inlineStr">
        <is>
          <t>31</t>
        </is>
      </c>
      <c r="O1809" t="inlineStr">
        <is>
          <t>Documentação Aprovada</t>
        </is>
      </c>
      <c r="P1809" t="inlineStr">
        <is>
          <t>Aprovado Diretoria</t>
        </is>
      </c>
      <c r="Q1809" t="inlineStr">
        <is>
          <t>Aprovado Caixa</t>
        </is>
      </c>
      <c r="R1809" t="inlineStr">
        <is>
          <t>Pago</t>
        </is>
      </c>
      <c r="S1809" t="n">
        <v>182</v>
      </c>
      <c r="T1809" t="inlineStr">
        <is>
          <t>Love - Shibari - Kamino</t>
        </is>
      </c>
    </row>
    <row r="1810">
      <c r="A1810" t="n">
        <v>131918</v>
      </c>
      <c r="B1810" t="n">
        <v>128</v>
      </c>
      <c r="C1810" t="inlineStr">
        <is>
          <t>Love Cabaret</t>
        </is>
      </c>
      <c r="D1810" t="inlineStr">
        <is>
          <t>JULIA BAISCH FRANZ 02463978023</t>
        </is>
      </c>
      <c r="E1810" t="n">
        <v>8500</v>
      </c>
      <c r="F1810" s="27" t="n">
        <v>45818</v>
      </c>
      <c r="G1810" s="27" t="n">
        <v>45817</v>
      </c>
      <c r="H1810" s="27" t="n">
        <v>45817</v>
      </c>
      <c r="I1810" s="27" t="n">
        <v>45778</v>
      </c>
      <c r="J1810" s="27" t="n">
        <v>45790</v>
      </c>
      <c r="K1810" t="inlineStr">
        <is>
          <t>Transferência Bancária ou Pix</t>
        </is>
      </c>
      <c r="L1810" t="inlineStr">
        <is>
          <t>Custos Artístico Geral</t>
        </is>
      </c>
      <c r="M1810" t="inlineStr">
        <is>
          <t>Técnico de Som / Luz</t>
        </is>
      </c>
      <c r="N1810" t="inlineStr">
        <is>
          <t>6</t>
        </is>
      </c>
      <c r="O1810" t="inlineStr">
        <is>
          <t>Documentação Aprovada</t>
        </is>
      </c>
      <c r="P1810" t="inlineStr">
        <is>
          <t>Aprovado Diretoria</t>
        </is>
      </c>
      <c r="Q1810" t="inlineStr">
        <is>
          <t>Aprovado Caixa</t>
        </is>
      </c>
      <c r="R1810" t="inlineStr">
        <is>
          <t>Pago</t>
        </is>
      </c>
      <c r="S1810" t="n">
        <v>182</v>
      </c>
      <c r="T1810" t="inlineStr">
        <is>
          <t>Love - Shibari - Kamino</t>
        </is>
      </c>
    </row>
    <row r="1811">
      <c r="A1811" t="n">
        <v>131917</v>
      </c>
      <c r="B1811" t="n">
        <v>128</v>
      </c>
      <c r="C1811" t="inlineStr">
        <is>
          <t>Love Cabaret</t>
        </is>
      </c>
      <c r="D1811" t="inlineStr">
        <is>
          <t>PJ 00042021 - JOAO VICTOR MENDES SALUSTIANO</t>
        </is>
      </c>
      <c r="E1811" t="n">
        <v>2880</v>
      </c>
      <c r="F1811" s="27" t="n">
        <v>45818</v>
      </c>
      <c r="G1811" s="27" t="n">
        <v>45817</v>
      </c>
      <c r="H1811" s="27" t="n">
        <v>45817</v>
      </c>
      <c r="I1811" s="27" t="n">
        <v>45778</v>
      </c>
      <c r="J1811" s="27" t="n">
        <v>45790</v>
      </c>
      <c r="K1811" t="inlineStr">
        <is>
          <t>Transferência Bancária ou Pix</t>
        </is>
      </c>
      <c r="L1811" t="inlineStr">
        <is>
          <t>Mão de Obra - PJ</t>
        </is>
      </c>
      <c r="M1811" t="inlineStr">
        <is>
          <t>MDO PJ Fixo</t>
        </is>
      </c>
      <c r="N1811" t="inlineStr">
        <is>
          <t>151</t>
        </is>
      </c>
      <c r="O1811" t="inlineStr">
        <is>
          <t>Documentação Aprovada</t>
        </is>
      </c>
      <c r="P1811" t="inlineStr">
        <is>
          <t>Aprovado Diretoria</t>
        </is>
      </c>
      <c r="Q1811" t="inlineStr">
        <is>
          <t>Aprovado Caixa</t>
        </is>
      </c>
      <c r="R1811" t="inlineStr">
        <is>
          <t>Pago</t>
        </is>
      </c>
      <c r="S1811" t="n">
        <v>182</v>
      </c>
      <c r="T1811" t="inlineStr">
        <is>
          <t>Love - Shibari - Kamino</t>
        </is>
      </c>
    </row>
    <row r="1812">
      <c r="A1812" t="n">
        <v>133185</v>
      </c>
      <c r="B1812" t="n">
        <v>128</v>
      </c>
      <c r="C1812" t="inlineStr">
        <is>
          <t>Love Cabaret</t>
        </is>
      </c>
      <c r="D1812" t="inlineStr">
        <is>
          <t>PJ 00192022 - FELIPE FERREIRA FRANCA</t>
        </is>
      </c>
      <c r="E1812" t="n">
        <v>1300</v>
      </c>
      <c r="F1812" s="27" t="n">
        <v>45818</v>
      </c>
      <c r="G1812" s="27" t="n">
        <v>45817</v>
      </c>
      <c r="H1812" s="27" t="n">
        <v>45817</v>
      </c>
      <c r="I1812" s="27" t="n">
        <v>45778</v>
      </c>
      <c r="J1812" s="27" t="n">
        <v>45797</v>
      </c>
      <c r="K1812" t="inlineStr">
        <is>
          <t>Transferência Bancária ou Pix</t>
        </is>
      </c>
      <c r="L1812" t="inlineStr">
        <is>
          <t>Mão de Obra - PJ</t>
        </is>
      </c>
      <c r="M1812" t="inlineStr">
        <is>
          <t>MDO PJ Fixo</t>
        </is>
      </c>
      <c r="N1812" t="inlineStr">
        <is>
          <t>57</t>
        </is>
      </c>
      <c r="O1812" t="inlineStr">
        <is>
          <t>Documentação Aprovada</t>
        </is>
      </c>
      <c r="P1812" t="inlineStr">
        <is>
          <t>Aprovado Diretoria</t>
        </is>
      </c>
      <c r="Q1812" t="inlineStr">
        <is>
          <t>Aprovado Caixa</t>
        </is>
      </c>
      <c r="R1812" t="inlineStr">
        <is>
          <t>Pago</t>
        </is>
      </c>
      <c r="S1812" t="n">
        <v>182</v>
      </c>
      <c r="T1812" t="inlineStr">
        <is>
          <t>Love - Shibari - Kamino</t>
        </is>
      </c>
    </row>
    <row r="1813">
      <c r="A1813" t="n">
        <v>133872</v>
      </c>
      <c r="B1813" t="n">
        <v>128</v>
      </c>
      <c r="C1813" t="inlineStr">
        <is>
          <t>Love Cabaret</t>
        </is>
      </c>
      <c r="D1813" t="inlineStr">
        <is>
          <t>B.B DISTRIBUIDORA DE CARNES LTDA</t>
        </is>
      </c>
      <c r="E1813" t="n">
        <v>1118.48</v>
      </c>
      <c r="F1813" s="27" t="n">
        <v>45817</v>
      </c>
      <c r="G1813" s="27" t="n">
        <v>45817</v>
      </c>
      <c r="H1813" s="27" t="n">
        <v>45817</v>
      </c>
      <c r="I1813" s="27" t="n">
        <v>45789</v>
      </c>
      <c r="J1813" s="27" t="n">
        <v>45799</v>
      </c>
      <c r="K1813" t="inlineStr">
        <is>
          <t>Boleto Bancário</t>
        </is>
      </c>
      <c r="L1813" t="inlineStr">
        <is>
          <t>Custo Mercadoria Vendida</t>
        </is>
      </c>
      <c r="M1813" t="inlineStr">
        <is>
          <t>Insumos - Alimentos</t>
        </is>
      </c>
      <c r="N1813" t="inlineStr">
        <is>
          <t>392853</t>
        </is>
      </c>
      <c r="O1813" t="inlineStr">
        <is>
          <t>Documentação Aprovada</t>
        </is>
      </c>
      <c r="P1813" t="inlineStr">
        <is>
          <t>Aprovado Diretoria</t>
        </is>
      </c>
      <c r="Q1813" t="inlineStr">
        <is>
          <t>Aprovado Caixa</t>
        </is>
      </c>
      <c r="R1813" t="inlineStr">
        <is>
          <t>Pago</t>
        </is>
      </c>
      <c r="S1813" t="n">
        <v>182</v>
      </c>
      <c r="T1813" t="inlineStr">
        <is>
          <t>Love - Shibari - Kamino</t>
        </is>
      </c>
    </row>
    <row r="1814">
      <c r="A1814" t="n">
        <v>133876</v>
      </c>
      <c r="B1814" t="n">
        <v>128</v>
      </c>
      <c r="C1814" t="inlineStr">
        <is>
          <t>Love Cabaret</t>
        </is>
      </c>
      <c r="D1814" t="inlineStr">
        <is>
          <t>HORTICLEAN DISTRIBUIDORA DE HORTIFRUTI LTDA</t>
        </is>
      </c>
      <c r="E1814" t="n">
        <v>134.35</v>
      </c>
      <c r="F1814" s="27" t="n">
        <v>45818</v>
      </c>
      <c r="G1814" s="27" t="n">
        <v>45817</v>
      </c>
      <c r="H1814" s="27" t="n">
        <v>45817</v>
      </c>
      <c r="I1814" s="27" t="n">
        <v>45789</v>
      </c>
      <c r="J1814" s="27" t="n">
        <v>45799</v>
      </c>
      <c r="K1814" t="inlineStr">
        <is>
          <t>Boleto Bancário</t>
        </is>
      </c>
      <c r="L1814" t="inlineStr">
        <is>
          <t>Custo Mercadoria Vendida</t>
        </is>
      </c>
      <c r="M1814" t="inlineStr">
        <is>
          <t>Insumos - Alimentos</t>
        </is>
      </c>
      <c r="N1814" t="inlineStr">
        <is>
          <t>26697</t>
        </is>
      </c>
      <c r="O1814" t="inlineStr">
        <is>
          <t>Documentação Aprovada</t>
        </is>
      </c>
      <c r="P1814" t="inlineStr">
        <is>
          <t>Aprovado Diretoria</t>
        </is>
      </c>
      <c r="Q1814" t="inlineStr">
        <is>
          <t>Aprovado Caixa</t>
        </is>
      </c>
      <c r="R1814" t="inlineStr">
        <is>
          <t>Pago</t>
        </is>
      </c>
      <c r="S1814" t="n">
        <v>182</v>
      </c>
      <c r="T1814" t="inlineStr">
        <is>
          <t>Love - Shibari - Kamino</t>
        </is>
      </c>
    </row>
    <row r="1815">
      <c r="A1815" t="n">
        <v>133877</v>
      </c>
      <c r="B1815" t="n">
        <v>128</v>
      </c>
      <c r="C1815" t="inlineStr">
        <is>
          <t>Love Cabaret</t>
        </is>
      </c>
      <c r="D1815" t="inlineStr">
        <is>
          <t>ALLIMENTARI COMERCIO DE PRODUTOS ALIMENTICIOS E SERVICOS LTDA</t>
        </is>
      </c>
      <c r="E1815" t="n">
        <v>98</v>
      </c>
      <c r="F1815" s="27" t="n">
        <v>45817</v>
      </c>
      <c r="G1815" s="27" t="n">
        <v>45817</v>
      </c>
      <c r="H1815" s="27" t="n">
        <v>45817</v>
      </c>
      <c r="I1815" s="27" t="n">
        <v>45789</v>
      </c>
      <c r="J1815" s="27" t="n">
        <v>45799</v>
      </c>
      <c r="K1815" t="inlineStr">
        <is>
          <t>Boleto Bancário</t>
        </is>
      </c>
      <c r="L1815" t="inlineStr">
        <is>
          <t>Custo Mercadoria Vendida</t>
        </is>
      </c>
      <c r="M1815" t="inlineStr">
        <is>
          <t>Insumos - Alimentos</t>
        </is>
      </c>
      <c r="N1815" t="inlineStr">
        <is>
          <t>22329</t>
        </is>
      </c>
      <c r="O1815" t="inlineStr">
        <is>
          <t>Documentação Aprovada</t>
        </is>
      </c>
      <c r="P1815" t="inlineStr">
        <is>
          <t>Aprovado Diretoria</t>
        </is>
      </c>
      <c r="Q1815" t="inlineStr">
        <is>
          <t>Aprovado Caixa</t>
        </is>
      </c>
      <c r="R1815" t="inlineStr">
        <is>
          <t>Pago</t>
        </is>
      </c>
      <c r="S1815" t="n">
        <v>182</v>
      </c>
      <c r="T1815" t="inlineStr">
        <is>
          <t>Love - Shibari - Kamino</t>
        </is>
      </c>
    </row>
    <row r="1816">
      <c r="A1816" t="n">
        <v>133881</v>
      </c>
      <c r="B1816" t="n">
        <v>128</v>
      </c>
      <c r="C1816" t="inlineStr">
        <is>
          <t>Love Cabaret</t>
        </is>
      </c>
      <c r="D1816" t="inlineStr">
        <is>
          <t>CG FOOD´S DISTRIBUIDORA DE ALIMENTOS LTDA</t>
        </is>
      </c>
      <c r="E1816" t="n">
        <v>662.27</v>
      </c>
      <c r="F1816" s="27" t="n">
        <v>45817</v>
      </c>
      <c r="G1816" s="27" t="n">
        <v>45817</v>
      </c>
      <c r="H1816" s="27" t="n">
        <v>45817</v>
      </c>
      <c r="I1816" s="27" t="n">
        <v>45790</v>
      </c>
      <c r="J1816" s="27" t="n">
        <v>45799</v>
      </c>
      <c r="K1816" t="inlineStr">
        <is>
          <t>Boleto Bancário</t>
        </is>
      </c>
      <c r="L1816" t="inlineStr">
        <is>
          <t>Custo Mercadoria Vendida</t>
        </is>
      </c>
      <c r="M1816" t="inlineStr">
        <is>
          <t>Insumos - Alimentos</t>
        </is>
      </c>
      <c r="N1816" t="inlineStr">
        <is>
          <t>151243</t>
        </is>
      </c>
      <c r="O1816" t="inlineStr">
        <is>
          <t>Documentação Aprovada</t>
        </is>
      </c>
      <c r="P1816" t="inlineStr">
        <is>
          <t>Aprovado Diretoria</t>
        </is>
      </c>
      <c r="Q1816" t="inlineStr">
        <is>
          <t>Aprovado Caixa</t>
        </is>
      </c>
      <c r="R1816" t="inlineStr">
        <is>
          <t>Pago</t>
        </is>
      </c>
      <c r="S1816" t="n">
        <v>182</v>
      </c>
      <c r="T1816" t="inlineStr">
        <is>
          <t>Love - Shibari - Kamino</t>
        </is>
      </c>
    </row>
    <row r="1817">
      <c r="A1817" t="n">
        <v>135979</v>
      </c>
      <c r="B1817" t="n">
        <v>128</v>
      </c>
      <c r="C1817" t="inlineStr">
        <is>
          <t>Love Cabaret</t>
        </is>
      </c>
      <c r="D1817" t="inlineStr">
        <is>
          <t xml:space="preserve">DOUGLAS FELIPE DOMINGUES GONCALVES </t>
        </is>
      </c>
      <c r="E1817" t="n">
        <v>1310</v>
      </c>
      <c r="F1817" s="27" t="n">
        <v>45818</v>
      </c>
      <c r="G1817" s="27" t="n">
        <v>45817</v>
      </c>
      <c r="H1817" s="27" t="n">
        <v>45817</v>
      </c>
      <c r="I1817" s="27" t="n">
        <v>45778</v>
      </c>
      <c r="J1817" s="27" t="n">
        <v>45811</v>
      </c>
      <c r="K1817" t="inlineStr">
        <is>
          <t>Transferência Bancária ou Pix</t>
        </is>
      </c>
      <c r="L1817" t="inlineStr">
        <is>
          <t>Gorjeta</t>
        </is>
      </c>
      <c r="M1817" t="inlineStr">
        <is>
          <t xml:space="preserve">  -  Comissões e Gorjeta</t>
        </is>
      </c>
      <c r="N1817" t="inlineStr">
        <is>
          <t>42</t>
        </is>
      </c>
      <c r="O1817" t="inlineStr">
        <is>
          <t>Documentação Aprovada</t>
        </is>
      </c>
      <c r="P1817" t="inlineStr">
        <is>
          <t>Aprovado Diretoria</t>
        </is>
      </c>
      <c r="Q1817" t="inlineStr">
        <is>
          <t>Aprovado Caixa</t>
        </is>
      </c>
      <c r="R1817" t="inlineStr">
        <is>
          <t>Pago</t>
        </is>
      </c>
      <c r="S1817" t="n">
        <v>182</v>
      </c>
      <c r="T1817" t="inlineStr">
        <is>
          <t>Love - Shibari - Kamino</t>
        </is>
      </c>
    </row>
    <row r="1818">
      <c r="A1818" t="n">
        <v>135984</v>
      </c>
      <c r="B1818" t="n">
        <v>128</v>
      </c>
      <c r="C1818" t="inlineStr">
        <is>
          <t>Love Cabaret</t>
        </is>
      </c>
      <c r="D1818" t="inlineStr">
        <is>
          <t>TELES DE ALMEIDA PINTO</t>
        </is>
      </c>
      <c r="E1818" t="n">
        <v>130</v>
      </c>
      <c r="F1818" s="27" t="n">
        <v>45818</v>
      </c>
      <c r="G1818" s="27" t="n">
        <v>45817</v>
      </c>
      <c r="H1818" s="27" t="n">
        <v>45817</v>
      </c>
      <c r="I1818" s="27" t="n">
        <v>45778</v>
      </c>
      <c r="J1818" s="27" t="n">
        <v>45811</v>
      </c>
      <c r="K1818" t="inlineStr">
        <is>
          <t>Transferência Bancária ou Pix</t>
        </is>
      </c>
      <c r="L1818" t="inlineStr">
        <is>
          <t>Gorjeta</t>
        </is>
      </c>
      <c r="M1818" t="inlineStr">
        <is>
          <t xml:space="preserve">  -  Comissões e Gorjeta</t>
        </is>
      </c>
      <c r="N1818" t="inlineStr">
        <is>
          <t>21</t>
        </is>
      </c>
      <c r="O1818" t="inlineStr">
        <is>
          <t>Documentação Aprovada</t>
        </is>
      </c>
      <c r="P1818" t="inlineStr">
        <is>
          <t>Aprovado Diretoria</t>
        </is>
      </c>
      <c r="Q1818" t="inlineStr">
        <is>
          <t>Aprovado Caixa</t>
        </is>
      </c>
      <c r="R1818" t="inlineStr">
        <is>
          <t>Pago</t>
        </is>
      </c>
      <c r="S1818" t="n">
        <v>182</v>
      </c>
      <c r="T1818" t="inlineStr">
        <is>
          <t>Love - Shibari - Kamino</t>
        </is>
      </c>
    </row>
    <row r="1819">
      <c r="A1819" t="n">
        <v>135982</v>
      </c>
      <c r="B1819" t="n">
        <v>128</v>
      </c>
      <c r="C1819" t="inlineStr">
        <is>
          <t>Love Cabaret</t>
        </is>
      </c>
      <c r="D1819" t="inlineStr">
        <is>
          <t>ROBERTA MARIA SANTANA</t>
        </is>
      </c>
      <c r="E1819" t="n">
        <v>1440</v>
      </c>
      <c r="F1819" s="27" t="n">
        <v>45818</v>
      </c>
      <c r="G1819" s="27" t="n">
        <v>45817</v>
      </c>
      <c r="H1819" s="27" t="n">
        <v>45817</v>
      </c>
      <c r="I1819" s="27" t="n">
        <v>45778</v>
      </c>
      <c r="J1819" s="27" t="n">
        <v>45811</v>
      </c>
      <c r="K1819" t="inlineStr">
        <is>
          <t>Transferência Bancária ou Pix</t>
        </is>
      </c>
      <c r="L1819" t="inlineStr">
        <is>
          <t>Gorjeta</t>
        </is>
      </c>
      <c r="M1819" t="inlineStr">
        <is>
          <t xml:space="preserve">  -  Comissões e Gorjeta</t>
        </is>
      </c>
      <c r="N1819" t="inlineStr">
        <is>
          <t>12</t>
        </is>
      </c>
      <c r="O1819" t="inlineStr">
        <is>
          <t>Documentação Aprovada</t>
        </is>
      </c>
      <c r="P1819" t="inlineStr">
        <is>
          <t>Aprovado Diretoria</t>
        </is>
      </c>
      <c r="Q1819" t="inlineStr">
        <is>
          <t>Aprovado Caixa</t>
        </is>
      </c>
      <c r="R1819" t="inlineStr">
        <is>
          <t>Pago</t>
        </is>
      </c>
      <c r="S1819" t="n">
        <v>182</v>
      </c>
      <c r="T1819" t="inlineStr">
        <is>
          <t>Love - Shibari - Kamino</t>
        </is>
      </c>
    </row>
    <row r="1820">
      <c r="A1820" t="n">
        <v>135977</v>
      </c>
      <c r="B1820" t="n">
        <v>128</v>
      </c>
      <c r="C1820" t="inlineStr">
        <is>
          <t>Love Cabaret</t>
        </is>
      </c>
      <c r="D1820" t="inlineStr">
        <is>
          <t>WAGNER DA SILVA FRANCA</t>
        </is>
      </c>
      <c r="E1820" t="n">
        <v>1440</v>
      </c>
      <c r="F1820" s="27" t="n">
        <v>45818</v>
      </c>
      <c r="G1820" s="27" t="n">
        <v>45817</v>
      </c>
      <c r="H1820" s="27" t="n">
        <v>45817</v>
      </c>
      <c r="I1820" s="27" t="n">
        <v>45778</v>
      </c>
      <c r="J1820" s="27" t="n">
        <v>45811</v>
      </c>
      <c r="K1820" t="inlineStr">
        <is>
          <t>Transferência Bancária ou Pix</t>
        </is>
      </c>
      <c r="L1820" t="inlineStr">
        <is>
          <t>Gorjeta</t>
        </is>
      </c>
      <c r="M1820" t="inlineStr">
        <is>
          <t xml:space="preserve">  -  Comissões e Gorjeta</t>
        </is>
      </c>
      <c r="N1820" t="inlineStr">
        <is>
          <t>37</t>
        </is>
      </c>
      <c r="O1820" t="inlineStr">
        <is>
          <t>Documentação Aprovada</t>
        </is>
      </c>
      <c r="P1820" t="inlineStr">
        <is>
          <t>Aprovado Diretoria</t>
        </is>
      </c>
      <c r="Q1820" t="inlineStr">
        <is>
          <t>Aprovado Caixa</t>
        </is>
      </c>
      <c r="R1820" t="inlineStr">
        <is>
          <t>Pago</t>
        </is>
      </c>
      <c r="S1820" t="n">
        <v>182</v>
      </c>
      <c r="T1820" t="inlineStr">
        <is>
          <t>Love - Shibari - Kamino</t>
        </is>
      </c>
    </row>
    <row r="1821">
      <c r="A1821" t="n">
        <v>135976</v>
      </c>
      <c r="B1821" t="n">
        <v>128</v>
      </c>
      <c r="C1821" t="inlineStr">
        <is>
          <t>Love Cabaret</t>
        </is>
      </c>
      <c r="D1821" t="inlineStr">
        <is>
          <t>PJ23824129000110 - FELIPE DA COSTA SANTOS</t>
        </is>
      </c>
      <c r="E1821" t="n">
        <v>1560</v>
      </c>
      <c r="F1821" s="27" t="n">
        <v>45818</v>
      </c>
      <c r="G1821" s="27" t="n">
        <v>45817</v>
      </c>
      <c r="H1821" s="27" t="n">
        <v>45817</v>
      </c>
      <c r="I1821" s="27" t="n">
        <v>45778</v>
      </c>
      <c r="J1821" s="27" t="n">
        <v>45811</v>
      </c>
      <c r="K1821" t="inlineStr">
        <is>
          <t>Transferência Bancária ou Pix</t>
        </is>
      </c>
      <c r="L1821" t="inlineStr">
        <is>
          <t>Gorjeta</t>
        </is>
      </c>
      <c r="M1821" t="inlineStr">
        <is>
          <t xml:space="preserve">  -  Comissões e Gorjeta</t>
        </is>
      </c>
      <c r="N1821" t="inlineStr">
        <is>
          <t>50</t>
        </is>
      </c>
      <c r="O1821" t="inlineStr">
        <is>
          <t>Documentação Aprovada</t>
        </is>
      </c>
      <c r="P1821" t="inlineStr">
        <is>
          <t>Aprovado Diretoria</t>
        </is>
      </c>
      <c r="Q1821" t="inlineStr">
        <is>
          <t>Aprovado Caixa</t>
        </is>
      </c>
      <c r="R1821" t="inlineStr">
        <is>
          <t>Pago</t>
        </is>
      </c>
      <c r="S1821" t="n">
        <v>182</v>
      </c>
      <c r="T1821" t="inlineStr">
        <is>
          <t>Love - Shibari - Kamino</t>
        </is>
      </c>
    </row>
    <row r="1822">
      <c r="A1822" t="n">
        <v>135763</v>
      </c>
      <c r="B1822" t="n">
        <v>128</v>
      </c>
      <c r="C1822" t="inlineStr">
        <is>
          <t>Love Cabaret</t>
        </is>
      </c>
      <c r="D1822" t="inlineStr">
        <is>
          <t xml:space="preserve">RD GESTAO E SISTEMAS S.A </t>
        </is>
      </c>
      <c r="E1822" t="n">
        <v>1560</v>
      </c>
      <c r="F1822" s="27" t="n">
        <v>45817</v>
      </c>
      <c r="G1822" s="27" t="n">
        <v>45817</v>
      </c>
      <c r="H1822" s="27" t="n">
        <v>45817</v>
      </c>
      <c r="I1822" s="27" t="n">
        <v>45809</v>
      </c>
      <c r="J1822" s="27" t="n">
        <v>45810</v>
      </c>
      <c r="K1822" t="inlineStr">
        <is>
          <t>Transferência Bancária ou Pix</t>
        </is>
      </c>
      <c r="L1822" t="inlineStr">
        <is>
          <t>Marketing</t>
        </is>
      </c>
      <c r="M1822" t="inlineStr">
        <is>
          <t>Ferramentas de Marketing</t>
        </is>
      </c>
      <c r="N1822" t="inlineStr">
        <is>
          <t>RP050-2025</t>
        </is>
      </c>
      <c r="O1822" t="inlineStr">
        <is>
          <t>Documentação Aprovada</t>
        </is>
      </c>
      <c r="P1822" t="inlineStr">
        <is>
          <t>Aprovado Diretoria</t>
        </is>
      </c>
      <c r="Q1822" t="inlineStr">
        <is>
          <t>Aprovado Caixa</t>
        </is>
      </c>
      <c r="R1822" t="inlineStr">
        <is>
          <t>Pago</t>
        </is>
      </c>
      <c r="S1822" t="n">
        <v>182</v>
      </c>
      <c r="T1822" t="inlineStr">
        <is>
          <t>Love - Shibari - Kamino</t>
        </is>
      </c>
    </row>
    <row r="1823">
      <c r="A1823" t="n">
        <v>135755</v>
      </c>
      <c r="B1823" t="n">
        <v>128</v>
      </c>
      <c r="C1823" t="inlineStr">
        <is>
          <t>Love Cabaret</t>
        </is>
      </c>
      <c r="D1823" t="inlineStr">
        <is>
          <t>PRINT MAXX ARTES GRAFICAS LTDA</t>
        </is>
      </c>
      <c r="E1823" t="n">
        <v>216</v>
      </c>
      <c r="F1823" s="27" t="n">
        <v>45817</v>
      </c>
      <c r="G1823" s="27" t="n">
        <v>45817</v>
      </c>
      <c r="H1823" s="27" t="n">
        <v>45817</v>
      </c>
      <c r="I1823" s="27" t="n">
        <v>45810</v>
      </c>
      <c r="J1823" s="27" t="n">
        <v>45810</v>
      </c>
      <c r="K1823" t="inlineStr">
        <is>
          <t>Boleto Bancário</t>
        </is>
      </c>
      <c r="L1823" t="inlineStr">
        <is>
          <t>Utilidades</t>
        </is>
      </c>
      <c r="M1823" t="inlineStr">
        <is>
          <t>Serviços Graficos</t>
        </is>
      </c>
      <c r="N1823" t="inlineStr">
        <is>
          <t>22575</t>
        </is>
      </c>
      <c r="O1823" t="inlineStr">
        <is>
          <t>Documentação Aprovada</t>
        </is>
      </c>
      <c r="P1823" t="inlineStr">
        <is>
          <t>Aprovado Diretoria</t>
        </is>
      </c>
      <c r="Q1823" t="inlineStr">
        <is>
          <t>Aprovado Caixa</t>
        </is>
      </c>
      <c r="R1823" t="inlineStr">
        <is>
          <t>Pago</t>
        </is>
      </c>
      <c r="S1823" t="n">
        <v>182</v>
      </c>
      <c r="T1823" t="inlineStr">
        <is>
          <t>Love - Shibari - Kamino</t>
        </is>
      </c>
    </row>
    <row r="1824">
      <c r="A1824" t="n">
        <v>135467</v>
      </c>
      <c r="B1824" t="n">
        <v>128</v>
      </c>
      <c r="C1824" t="inlineStr">
        <is>
          <t>Love Cabaret</t>
        </is>
      </c>
      <c r="D1824" t="inlineStr">
        <is>
          <t xml:space="preserve">DISTRIBUIDORA DE CARNES CANTAREIRA </t>
        </is>
      </c>
      <c r="E1824" t="n">
        <v>368</v>
      </c>
      <c r="F1824" s="27" t="n">
        <v>45817</v>
      </c>
      <c r="G1824" s="27" t="n">
        <v>45817</v>
      </c>
      <c r="H1824" s="27" t="n">
        <v>45817</v>
      </c>
      <c r="I1824" s="27" t="n">
        <v>45804</v>
      </c>
      <c r="J1824" s="27" t="n">
        <v>45807</v>
      </c>
      <c r="K1824" t="inlineStr">
        <is>
          <t>Boleto Bancário</t>
        </is>
      </c>
      <c r="L1824" t="inlineStr">
        <is>
          <t>Custo Mercadoria Vendida</t>
        </is>
      </c>
      <c r="M1824" t="inlineStr">
        <is>
          <t>Insumos - Alimentos</t>
        </is>
      </c>
      <c r="N1824" t="inlineStr">
        <is>
          <t>41804</t>
        </is>
      </c>
      <c r="O1824" t="inlineStr">
        <is>
          <t>Documentação Aprovada</t>
        </is>
      </c>
      <c r="P1824" t="inlineStr">
        <is>
          <t>Aprovado Diretoria</t>
        </is>
      </c>
      <c r="Q1824" t="inlineStr">
        <is>
          <t>Aprovado Caixa</t>
        </is>
      </c>
      <c r="R1824" t="inlineStr">
        <is>
          <t>Pago</t>
        </is>
      </c>
      <c r="S1824" t="n">
        <v>182</v>
      </c>
      <c r="T1824" t="inlineStr">
        <is>
          <t>Love - Shibari - Kamino</t>
        </is>
      </c>
    </row>
    <row r="1825">
      <c r="A1825" t="n">
        <v>135336</v>
      </c>
      <c r="B1825" t="n">
        <v>128</v>
      </c>
      <c r="C1825" t="inlineStr">
        <is>
          <t>Love Cabaret</t>
        </is>
      </c>
      <c r="D1825" t="inlineStr">
        <is>
          <t>GOMES D ELIA EQUIP. HIGIENE LTDA - WESCO</t>
        </is>
      </c>
      <c r="E1825" t="n">
        <v>365</v>
      </c>
      <c r="F1825" s="27" t="n">
        <v>45818</v>
      </c>
      <c r="G1825" s="27" t="n">
        <v>45817</v>
      </c>
      <c r="H1825" s="27" t="n">
        <v>45817</v>
      </c>
      <c r="I1825" s="27" t="n">
        <v>45803</v>
      </c>
      <c r="J1825" s="27" t="n">
        <v>45806</v>
      </c>
      <c r="K1825" t="inlineStr">
        <is>
          <t>Boleto Bancário</t>
        </is>
      </c>
      <c r="L1825" t="inlineStr">
        <is>
          <t>Utilidades</t>
        </is>
      </c>
      <c r="M1825" t="inlineStr">
        <is>
          <t>Higiene e Limpeza</t>
        </is>
      </c>
      <c r="N1825" t="inlineStr">
        <is>
          <t>222224</t>
        </is>
      </c>
      <c r="O1825" t="inlineStr">
        <is>
          <t>Documentação Aprovada</t>
        </is>
      </c>
      <c r="P1825" t="inlineStr">
        <is>
          <t>Aprovado Diretoria</t>
        </is>
      </c>
      <c r="Q1825" t="inlineStr">
        <is>
          <t>Aprovado Caixa</t>
        </is>
      </c>
      <c r="R1825" t="inlineStr">
        <is>
          <t>Pago</t>
        </is>
      </c>
      <c r="S1825" t="n">
        <v>182</v>
      </c>
      <c r="T1825" t="inlineStr">
        <is>
          <t>Love - Shibari - Kamino</t>
        </is>
      </c>
    </row>
    <row r="1826">
      <c r="A1826" t="n">
        <v>135490</v>
      </c>
      <c r="B1826" t="n">
        <v>128</v>
      </c>
      <c r="C1826" t="inlineStr">
        <is>
          <t>Love Cabaret</t>
        </is>
      </c>
      <c r="D1826" t="inlineStr">
        <is>
          <t>PARAMU COMERCIO E REPRESENTACAO DE PRODUTOS ALIMENTICIOS</t>
        </is>
      </c>
      <c r="E1826" t="n">
        <v>1341.93</v>
      </c>
      <c r="F1826" s="27" t="n">
        <v>45817</v>
      </c>
      <c r="G1826" s="27" t="n">
        <v>45817</v>
      </c>
      <c r="H1826" s="27" t="n">
        <v>45817</v>
      </c>
      <c r="I1826" s="27" t="n">
        <v>45803</v>
      </c>
      <c r="J1826" s="27" t="n">
        <v>45807</v>
      </c>
      <c r="K1826" t="inlineStr">
        <is>
          <t>Boleto Bancário</t>
        </is>
      </c>
      <c r="L1826" t="inlineStr">
        <is>
          <t>Custo Mercadoria Vendida</t>
        </is>
      </c>
      <c r="M1826" t="inlineStr">
        <is>
          <t>Insumos - Alimentos</t>
        </is>
      </c>
      <c r="N1826" t="inlineStr">
        <is>
          <t>14068</t>
        </is>
      </c>
      <c r="O1826" t="inlineStr">
        <is>
          <t>Documentação Aprovada</t>
        </is>
      </c>
      <c r="P1826" t="inlineStr">
        <is>
          <t>Aprovado Diretoria</t>
        </is>
      </c>
      <c r="Q1826" t="inlineStr">
        <is>
          <t>Aprovado Caixa</t>
        </is>
      </c>
      <c r="R1826" t="inlineStr">
        <is>
          <t>Pago</t>
        </is>
      </c>
      <c r="S1826" t="n">
        <v>182</v>
      </c>
      <c r="T1826" t="inlineStr">
        <is>
          <t>Love - Shibari - Kamino</t>
        </is>
      </c>
    </row>
    <row r="1827">
      <c r="A1827" t="n">
        <v>135337</v>
      </c>
      <c r="B1827" t="n">
        <v>128</v>
      </c>
      <c r="C1827" t="inlineStr">
        <is>
          <t>Love Cabaret</t>
        </is>
      </c>
      <c r="D1827" t="inlineStr">
        <is>
          <t>HNK BR IND DE BEBIDAS</t>
        </is>
      </c>
      <c r="E1827" t="n">
        <v>308.08</v>
      </c>
      <c r="F1827" s="27" t="n">
        <v>45819</v>
      </c>
      <c r="G1827" s="27" t="n">
        <v>45817</v>
      </c>
      <c r="H1827" s="27" t="n">
        <v>45817</v>
      </c>
      <c r="I1827" s="27" t="n">
        <v>45804</v>
      </c>
      <c r="J1827" s="27" t="n">
        <v>45806</v>
      </c>
      <c r="K1827" t="inlineStr">
        <is>
          <t>Boleto Bancário</t>
        </is>
      </c>
      <c r="L1827" t="inlineStr">
        <is>
          <t>Custo Mercadoria Vendida</t>
        </is>
      </c>
      <c r="M1827" t="inlineStr">
        <is>
          <t>Insumos - Bebidas</t>
        </is>
      </c>
      <c r="N1827" t="inlineStr">
        <is>
          <t>257893</t>
        </is>
      </c>
      <c r="O1827" t="inlineStr">
        <is>
          <t>Documentação Aprovada</t>
        </is>
      </c>
      <c r="P1827" t="inlineStr">
        <is>
          <t>Aprovado Diretoria</t>
        </is>
      </c>
      <c r="Q1827" t="inlineStr">
        <is>
          <t>Aprovado Caixa</t>
        </is>
      </c>
      <c r="R1827" t="inlineStr">
        <is>
          <t>Pago</t>
        </is>
      </c>
      <c r="S1827" t="n">
        <v>182</v>
      </c>
      <c r="T1827" t="inlineStr">
        <is>
          <t>Love - Shibari - Kamino</t>
        </is>
      </c>
    </row>
    <row r="1828">
      <c r="A1828" t="n">
        <v>135343</v>
      </c>
      <c r="B1828" t="n">
        <v>128</v>
      </c>
      <c r="C1828" t="inlineStr">
        <is>
          <t>Love Cabaret</t>
        </is>
      </c>
      <c r="D1828" t="inlineStr">
        <is>
          <t>PORCO FELIZ COM DE CARNES LTDA</t>
        </is>
      </c>
      <c r="E1828" t="n">
        <v>185.13</v>
      </c>
      <c r="F1828" s="27" t="n">
        <v>45818</v>
      </c>
      <c r="G1828" s="27" t="n">
        <v>45817</v>
      </c>
      <c r="H1828" s="27" t="n">
        <v>45817</v>
      </c>
      <c r="I1828" s="27" t="n">
        <v>45804</v>
      </c>
      <c r="J1828" s="27" t="n">
        <v>45806</v>
      </c>
      <c r="K1828" t="inlineStr">
        <is>
          <t>Boleto Bancário</t>
        </is>
      </c>
      <c r="L1828" t="inlineStr">
        <is>
          <t>Custo Mercadoria Vendida</t>
        </is>
      </c>
      <c r="M1828" t="inlineStr">
        <is>
          <t>Insumos - Alimentos</t>
        </is>
      </c>
      <c r="N1828" t="inlineStr">
        <is>
          <t>578858</t>
        </is>
      </c>
      <c r="O1828" t="inlineStr">
        <is>
          <t>Documentação Aprovada</t>
        </is>
      </c>
      <c r="P1828" t="inlineStr">
        <is>
          <t>Aprovado Diretoria</t>
        </is>
      </c>
      <c r="Q1828" t="inlineStr">
        <is>
          <t>Aprovado Caixa</t>
        </is>
      </c>
      <c r="R1828" t="inlineStr">
        <is>
          <t>Pago</t>
        </is>
      </c>
      <c r="S1828" t="n">
        <v>182</v>
      </c>
      <c r="T1828" t="inlineStr">
        <is>
          <t>Love - Shibari - Kamino</t>
        </is>
      </c>
    </row>
    <row r="1829">
      <c r="A1829" t="n">
        <v>135443</v>
      </c>
      <c r="B1829" t="n">
        <v>128</v>
      </c>
      <c r="C1829" t="inlineStr">
        <is>
          <t>Love Cabaret</t>
        </is>
      </c>
      <c r="D1829" t="inlineStr">
        <is>
          <t xml:space="preserve">FORTE ALIMENTOS COM. IMPORTAÇÃO LTDA </t>
        </is>
      </c>
      <c r="E1829" t="n">
        <v>568.29</v>
      </c>
      <c r="F1829" s="27" t="n">
        <v>45818</v>
      </c>
      <c r="G1829" s="27" t="n">
        <v>45817</v>
      </c>
      <c r="H1829" s="27" t="n">
        <v>45817</v>
      </c>
      <c r="I1829" s="27" t="n">
        <v>45803</v>
      </c>
      <c r="J1829" s="27" t="n">
        <v>45807</v>
      </c>
      <c r="K1829" t="inlineStr">
        <is>
          <t>Boleto Bancário</t>
        </is>
      </c>
      <c r="L1829" t="inlineStr">
        <is>
          <t>Custo Mercadoria Vendida</t>
        </is>
      </c>
      <c r="M1829" t="inlineStr">
        <is>
          <t>Insumos - Alimentos</t>
        </is>
      </c>
      <c r="N1829" t="inlineStr">
        <is>
          <t>313860</t>
        </is>
      </c>
      <c r="O1829" t="inlineStr">
        <is>
          <t>Documentação Aprovada</t>
        </is>
      </c>
      <c r="P1829" t="inlineStr">
        <is>
          <t>Aprovado Diretoria</t>
        </is>
      </c>
      <c r="Q1829" t="inlineStr">
        <is>
          <t>Aprovado Caixa</t>
        </is>
      </c>
      <c r="R1829" t="inlineStr">
        <is>
          <t>Pago</t>
        </is>
      </c>
      <c r="S1829" t="n">
        <v>182</v>
      </c>
      <c r="T1829" t="inlineStr">
        <is>
          <t>Love - Shibari - Kamino</t>
        </is>
      </c>
    </row>
    <row r="1830">
      <c r="A1830" t="n">
        <v>135455</v>
      </c>
      <c r="B1830" t="n">
        <v>128</v>
      </c>
      <c r="C1830" t="inlineStr">
        <is>
          <t>Love Cabaret</t>
        </is>
      </c>
      <c r="D1830" t="inlineStr">
        <is>
          <t>ASSAZ ORGANICA INDUSTRIA E COMERCIO DE ALIMENTOS LTDA</t>
        </is>
      </c>
      <c r="E1830" t="n">
        <v>32</v>
      </c>
      <c r="F1830" s="27" t="n">
        <v>45819</v>
      </c>
      <c r="G1830" s="27" t="n">
        <v>45817</v>
      </c>
      <c r="H1830" s="27" t="n">
        <v>45817</v>
      </c>
      <c r="I1830" s="27" t="n">
        <v>45804</v>
      </c>
      <c r="J1830" s="27" t="n">
        <v>45807</v>
      </c>
      <c r="K1830" t="inlineStr">
        <is>
          <t>Boleto Bancário</t>
        </is>
      </c>
      <c r="L1830" t="inlineStr">
        <is>
          <t>Custo Mercadoria Vendida</t>
        </is>
      </c>
      <c r="M1830" t="inlineStr">
        <is>
          <t>Insumos - Alimentos</t>
        </is>
      </c>
      <c r="N1830" t="inlineStr">
        <is>
          <t>20841</t>
        </is>
      </c>
      <c r="O1830" t="inlineStr">
        <is>
          <t>Documentação Aprovada</t>
        </is>
      </c>
      <c r="P1830" t="inlineStr">
        <is>
          <t>Aprovado Diretoria</t>
        </is>
      </c>
      <c r="Q1830" t="inlineStr">
        <is>
          <t>Aprovado Caixa</t>
        </is>
      </c>
      <c r="R1830" t="inlineStr">
        <is>
          <t>Pago</t>
        </is>
      </c>
      <c r="S1830" t="n">
        <v>182</v>
      </c>
      <c r="T1830" t="inlineStr">
        <is>
          <t>Love - Shibari - Kamino</t>
        </is>
      </c>
    </row>
    <row r="1831">
      <c r="A1831" t="n">
        <v>138637</v>
      </c>
      <c r="B1831" t="n">
        <v>128</v>
      </c>
      <c r="C1831" t="inlineStr">
        <is>
          <t>Love Cabaret</t>
        </is>
      </c>
      <c r="D1831" t="inlineStr">
        <is>
          <t>BRADESCO SA</t>
        </is>
      </c>
      <c r="E1831" t="n">
        <v>9.800000000000001</v>
      </c>
      <c r="F1831" s="27" t="n">
        <v>45814</v>
      </c>
      <c r="G1831" s="27" t="n"/>
      <c r="H1831" s="27" t="n">
        <v>45814</v>
      </c>
      <c r="I1831" s="27" t="n">
        <v>45814</v>
      </c>
      <c r="J1831" s="27" t="n">
        <v>45818</v>
      </c>
      <c r="K1831" t="inlineStr">
        <is>
          <t>Encontro de Contas</t>
        </is>
      </c>
      <c r="L1831" t="inlineStr">
        <is>
          <t>Despesas Financeiras</t>
        </is>
      </c>
      <c r="M1831" t="inlineStr">
        <is>
          <t>Tarifas Bancárias</t>
        </is>
      </c>
      <c r="N1831" t="inlineStr">
        <is>
          <t>062025</t>
        </is>
      </c>
      <c r="P1831" t="inlineStr">
        <is>
          <t>Aprovado Diretoria</t>
        </is>
      </c>
      <c r="R1831" t="inlineStr">
        <is>
          <t>Pago</t>
        </is>
      </c>
    </row>
    <row r="1832">
      <c r="A1832" t="n">
        <v>97034</v>
      </c>
      <c r="B1832" t="n">
        <v>128</v>
      </c>
      <c r="C1832" t="inlineStr">
        <is>
          <t>Love Cabaret</t>
        </is>
      </c>
      <c r="D1832" t="inlineStr">
        <is>
          <t>ESHOWS PROMOCOES ARTISTICAS LTDA</t>
        </is>
      </c>
      <c r="E1832" t="n">
        <v>19855</v>
      </c>
      <c r="F1832" s="27" t="n">
        <v>45820</v>
      </c>
      <c r="G1832" s="27" t="n">
        <v>45814</v>
      </c>
      <c r="H1832" s="27" t="n">
        <v>45814</v>
      </c>
      <c r="I1832" s="27" t="n">
        <v>45793</v>
      </c>
      <c r="J1832" s="27" t="n"/>
      <c r="K1832" t="inlineStr">
        <is>
          <t>Boleto Bancário</t>
        </is>
      </c>
      <c r="L1832" t="inlineStr">
        <is>
          <t>Custos Artístico Geral</t>
        </is>
      </c>
      <c r="M1832" t="inlineStr">
        <is>
          <t>Cachê de Músicos e Artistas</t>
        </is>
      </c>
      <c r="N1832" t="inlineStr">
        <is>
          <t>576153385</t>
        </is>
      </c>
      <c r="O1832" t="inlineStr">
        <is>
          <t>Documentação Aprovada</t>
        </is>
      </c>
      <c r="P1832" t="inlineStr">
        <is>
          <t>Aprovado Diretoria</t>
        </is>
      </c>
      <c r="Q1832" t="inlineStr">
        <is>
          <t>Aprovado Caixa</t>
        </is>
      </c>
      <c r="R1832" t="inlineStr">
        <is>
          <t>Pago</t>
        </is>
      </c>
      <c r="S1832" t="n">
        <v>115</v>
      </c>
      <c r="T1832" t="inlineStr">
        <is>
          <t>Love - Shibari - Bradesco</t>
        </is>
      </c>
    </row>
    <row r="1833">
      <c r="A1833" t="n">
        <v>103045</v>
      </c>
      <c r="B1833" t="n">
        <v>128</v>
      </c>
      <c r="C1833" t="inlineStr">
        <is>
          <t>Love Cabaret</t>
        </is>
      </c>
      <c r="D1833" t="inlineStr">
        <is>
          <t>VERISURE BRASIL MONITORAMENTO DE ALARMES S.A</t>
        </is>
      </c>
      <c r="E1833" t="n">
        <v>263.78</v>
      </c>
      <c r="F1833" s="27" t="n">
        <v>45813</v>
      </c>
      <c r="G1833" s="27" t="n">
        <v>45819</v>
      </c>
      <c r="H1833" s="27" t="n">
        <v>45813</v>
      </c>
      <c r="I1833" s="27" t="n">
        <v>45792</v>
      </c>
      <c r="J1833" s="27" t="n"/>
      <c r="K1833" t="inlineStr">
        <is>
          <t xml:space="preserve">Debito Automático </t>
        </is>
      </c>
      <c r="L1833" t="inlineStr">
        <is>
          <t>Informática e TI</t>
        </is>
      </c>
      <c r="M1833" t="inlineStr">
        <is>
          <t>Sistemas de Segurança e Alarme</t>
        </is>
      </c>
      <c r="N1833" t="inlineStr">
        <is>
          <t xml:space="preserve">15308995 </t>
        </is>
      </c>
      <c r="O1833" t="inlineStr">
        <is>
          <t>Documentação Aprovada</t>
        </is>
      </c>
      <c r="P1833" t="inlineStr">
        <is>
          <t>Aprovado Diretoria</t>
        </is>
      </c>
      <c r="Q1833" t="inlineStr">
        <is>
          <t>Aprovado Caixa</t>
        </is>
      </c>
      <c r="R1833" t="inlineStr">
        <is>
          <t>Pago</t>
        </is>
      </c>
      <c r="S1833" t="n">
        <v>115</v>
      </c>
      <c r="T1833" t="inlineStr">
        <is>
          <t>Love - Shibari - Bradesco</t>
        </is>
      </c>
    </row>
    <row r="1834">
      <c r="A1834" t="n">
        <v>138611</v>
      </c>
      <c r="B1834" t="n">
        <v>128</v>
      </c>
      <c r="C1834" t="inlineStr">
        <is>
          <t>Love Cabaret</t>
        </is>
      </c>
      <c r="D1834" t="inlineStr">
        <is>
          <t>BRADESCO SA</t>
        </is>
      </c>
      <c r="E1834" t="n">
        <v>14.67</v>
      </c>
      <c r="F1834" s="27" t="n">
        <v>45813</v>
      </c>
      <c r="G1834" s="27" t="n"/>
      <c r="H1834" s="27" t="n">
        <v>45813</v>
      </c>
      <c r="I1834" s="27" t="n">
        <v>45813</v>
      </c>
      <c r="J1834" s="27" t="n">
        <v>45818</v>
      </c>
      <c r="K1834" t="inlineStr">
        <is>
          <t>Encontro de Contas</t>
        </is>
      </c>
      <c r="L1834" t="inlineStr">
        <is>
          <t>Despesas Financeiras</t>
        </is>
      </c>
      <c r="M1834" t="inlineStr">
        <is>
          <t>Tarifas Bancárias</t>
        </is>
      </c>
      <c r="N1834" t="inlineStr">
        <is>
          <t>062025</t>
        </is>
      </c>
      <c r="P1834" t="inlineStr">
        <is>
          <t>Aprovado Diretoria</t>
        </is>
      </c>
      <c r="R1834" t="inlineStr">
        <is>
          <t>Pago</t>
        </is>
      </c>
    </row>
    <row r="1835">
      <c r="A1835" t="n">
        <v>137625</v>
      </c>
      <c r="B1835" t="n">
        <v>128</v>
      </c>
      <c r="C1835" t="inlineStr">
        <is>
          <t>Love Cabaret</t>
        </is>
      </c>
      <c r="D1835" t="inlineStr">
        <is>
          <t>PETTY CASH</t>
        </is>
      </c>
      <c r="E1835" t="n">
        <v>8.49</v>
      </c>
      <c r="F1835" s="27" t="n">
        <v>45813</v>
      </c>
      <c r="G1835" s="27" t="n">
        <v>45813</v>
      </c>
      <c r="H1835" s="27" t="n">
        <v>45812</v>
      </c>
      <c r="I1835" s="27" t="n">
        <v>45778</v>
      </c>
      <c r="J1835" s="27" t="n">
        <v>45812</v>
      </c>
      <c r="K1835" t="inlineStr">
        <is>
          <t>Cartão de Crédito</t>
        </is>
      </c>
      <c r="L1835" t="inlineStr">
        <is>
          <t>Mão de Obra - Benefícios</t>
        </is>
      </c>
      <c r="M1835" t="inlineStr">
        <is>
          <t xml:space="preserve">  -  Alimentação Funcionário</t>
        </is>
      </c>
      <c r="N1835" t="inlineStr">
        <is>
          <t>22PETTY052025</t>
        </is>
      </c>
      <c r="O1835" t="inlineStr">
        <is>
          <t>Documentação Aprovada</t>
        </is>
      </c>
      <c r="P1835" t="inlineStr">
        <is>
          <t>Aprovado Diretoria</t>
        </is>
      </c>
      <c r="Q1835" t="inlineStr">
        <is>
          <t>Aprovado Caixa</t>
        </is>
      </c>
      <c r="R1835" t="inlineStr">
        <is>
          <t>Pago</t>
        </is>
      </c>
      <c r="S1835" t="n">
        <v>182</v>
      </c>
      <c r="T1835" t="inlineStr">
        <is>
          <t>Love - Shibari - Kamino</t>
        </is>
      </c>
    </row>
    <row r="1836">
      <c r="A1836" t="n">
        <v>137922</v>
      </c>
      <c r="B1836" t="n">
        <v>128</v>
      </c>
      <c r="C1836" t="inlineStr">
        <is>
          <t>Love Cabaret</t>
        </is>
      </c>
      <c r="D1836" t="inlineStr">
        <is>
          <t>BRADESCO SA</t>
        </is>
      </c>
      <c r="E1836" t="n">
        <v>9.800000000000001</v>
      </c>
      <c r="F1836" s="27" t="n">
        <v>45812</v>
      </c>
      <c r="G1836" s="27" t="n"/>
      <c r="H1836" s="27" t="n">
        <v>45812</v>
      </c>
      <c r="I1836" s="27" t="n">
        <v>45812</v>
      </c>
      <c r="J1836" s="27" t="n">
        <v>45813</v>
      </c>
      <c r="K1836" t="inlineStr">
        <is>
          <t>Encontro de Contas</t>
        </is>
      </c>
      <c r="L1836" t="inlineStr">
        <is>
          <t>Despesas Financeiras</t>
        </is>
      </c>
      <c r="M1836" t="inlineStr">
        <is>
          <t>Tarifas Bancárias</t>
        </is>
      </c>
      <c r="N1836" t="inlineStr">
        <is>
          <t>062025</t>
        </is>
      </c>
      <c r="P1836" t="inlineStr">
        <is>
          <t>Aprovado Diretoria</t>
        </is>
      </c>
      <c r="R1836" t="inlineStr">
        <is>
          <t>Pago</t>
        </is>
      </c>
    </row>
    <row r="1837">
      <c r="A1837" t="n">
        <v>128131</v>
      </c>
      <c r="B1837" t="n">
        <v>128</v>
      </c>
      <c r="C1837" t="inlineStr">
        <is>
          <t>Love Cabaret</t>
        </is>
      </c>
      <c r="D1837" t="inlineStr">
        <is>
          <t>PETTY CASH</t>
        </is>
      </c>
      <c r="E1837" t="n">
        <v>10.1</v>
      </c>
      <c r="F1837" s="27" t="n">
        <v>45813</v>
      </c>
      <c r="G1837" s="27" t="n">
        <v>45812</v>
      </c>
      <c r="H1837" s="27" t="n">
        <v>45812</v>
      </c>
      <c r="I1837" s="27" t="n">
        <v>45748</v>
      </c>
      <c r="J1837" s="27" t="n">
        <v>45777</v>
      </c>
      <c r="K1837" t="inlineStr">
        <is>
          <t>Cartão de Crédito</t>
        </is>
      </c>
      <c r="L1837" t="inlineStr">
        <is>
          <t>Mão de Obra - Benefícios</t>
        </is>
      </c>
      <c r="M1837" t="inlineStr">
        <is>
          <t xml:space="preserve">  -  Alimentação Funcionário</t>
        </is>
      </c>
      <c r="N1837" t="inlineStr">
        <is>
          <t>15PETTY042025</t>
        </is>
      </c>
      <c r="O1837" t="inlineStr">
        <is>
          <t>Documentação Aprovada</t>
        </is>
      </c>
      <c r="P1837" t="inlineStr">
        <is>
          <t>Aprovado Diretoria</t>
        </is>
      </c>
      <c r="Q1837" t="inlineStr">
        <is>
          <t>Aprovado Caixa</t>
        </is>
      </c>
      <c r="R1837" t="inlineStr">
        <is>
          <t>Pago</t>
        </is>
      </c>
      <c r="S1837" t="n">
        <v>182</v>
      </c>
      <c r="T1837" t="inlineStr">
        <is>
          <t>Love - Shibari - Kamino</t>
        </is>
      </c>
    </row>
    <row r="1838">
      <c r="A1838" t="n">
        <v>128189</v>
      </c>
      <c r="B1838" t="n">
        <v>128</v>
      </c>
      <c r="C1838" t="inlineStr">
        <is>
          <t>Love Cabaret</t>
        </is>
      </c>
      <c r="D1838" t="inlineStr">
        <is>
          <t>ARTE DO CLICK PRODUÇÃO FOTOGRAFICA E CINEMATOGRAFICA LTDA</t>
        </is>
      </c>
      <c r="E1838" t="n">
        <v>1400</v>
      </c>
      <c r="F1838" s="27" t="n">
        <v>45813</v>
      </c>
      <c r="G1838" s="27" t="n">
        <v>45812</v>
      </c>
      <c r="H1838" s="27" t="n">
        <v>45812</v>
      </c>
      <c r="I1838" s="27" t="n">
        <v>45797</v>
      </c>
      <c r="J1838" s="27" t="n">
        <v>45777</v>
      </c>
      <c r="K1838" t="inlineStr">
        <is>
          <t>Transferência Bancária ou Pix</t>
        </is>
      </c>
      <c r="L1838" t="inlineStr">
        <is>
          <t>Marketing</t>
        </is>
      </c>
      <c r="M1838" t="inlineStr">
        <is>
          <t>Produção Gráfica e Material Institucional</t>
        </is>
      </c>
      <c r="N1838" t="inlineStr">
        <is>
          <t>20250000000058</t>
        </is>
      </c>
      <c r="O1838" t="inlineStr">
        <is>
          <t>Documentação Aprovada</t>
        </is>
      </c>
      <c r="P1838" t="inlineStr">
        <is>
          <t>Aprovado Diretoria</t>
        </is>
      </c>
      <c r="Q1838" t="inlineStr">
        <is>
          <t>Aprovado Caixa</t>
        </is>
      </c>
      <c r="R1838" t="inlineStr">
        <is>
          <t>Pago</t>
        </is>
      </c>
      <c r="S1838" t="n">
        <v>182</v>
      </c>
      <c r="T1838" t="inlineStr">
        <is>
          <t>Love - Shibari - Kamino</t>
        </is>
      </c>
    </row>
    <row r="1839">
      <c r="A1839" t="n">
        <v>135155</v>
      </c>
      <c r="B1839" t="n">
        <v>128</v>
      </c>
      <c r="C1839" t="inlineStr">
        <is>
          <t>Love Cabaret</t>
        </is>
      </c>
      <c r="D1839" t="inlineStr">
        <is>
          <t>CECILIA TSUYACO ARAKI SILVA LTDA</t>
        </is>
      </c>
      <c r="E1839" t="n">
        <v>248.05</v>
      </c>
      <c r="F1839" s="27" t="n">
        <v>45814</v>
      </c>
      <c r="G1839" s="27" t="n">
        <v>45812</v>
      </c>
      <c r="H1839" s="27" t="n">
        <v>45812</v>
      </c>
      <c r="I1839" s="27" t="n">
        <v>45803</v>
      </c>
      <c r="J1839" s="27" t="n">
        <v>45806</v>
      </c>
      <c r="K1839" t="inlineStr">
        <is>
          <t>Boleto Bancário</t>
        </is>
      </c>
      <c r="L1839" t="inlineStr">
        <is>
          <t>Custo Mercadoria Vendida</t>
        </is>
      </c>
      <c r="M1839" t="inlineStr">
        <is>
          <t>Insumos - Alimentos</t>
        </is>
      </c>
      <c r="N1839" t="inlineStr">
        <is>
          <t>371695</t>
        </is>
      </c>
      <c r="O1839" t="inlineStr">
        <is>
          <t>Documentação Aprovada</t>
        </is>
      </c>
      <c r="P1839" t="inlineStr">
        <is>
          <t>Aprovado Diretoria</t>
        </is>
      </c>
      <c r="Q1839" t="inlineStr">
        <is>
          <t>Aprovado Caixa</t>
        </is>
      </c>
      <c r="R1839" t="inlineStr">
        <is>
          <t>Pago</t>
        </is>
      </c>
      <c r="S1839" t="n">
        <v>182</v>
      </c>
      <c r="T1839" t="inlineStr">
        <is>
          <t>Love - Shibari - Kamino</t>
        </is>
      </c>
    </row>
    <row r="1840">
      <c r="A1840" t="n">
        <v>135034</v>
      </c>
      <c r="B1840" t="n">
        <v>128</v>
      </c>
      <c r="C1840" t="inlineStr">
        <is>
          <t>Love Cabaret</t>
        </is>
      </c>
      <c r="D1840" t="inlineStr">
        <is>
          <t>PETTY CASH</t>
        </is>
      </c>
      <c r="E1840" t="n">
        <v>16.9</v>
      </c>
      <c r="F1840" s="27" t="n">
        <v>45813</v>
      </c>
      <c r="G1840" s="27" t="n">
        <v>45812</v>
      </c>
      <c r="H1840" s="27" t="n">
        <v>45812</v>
      </c>
      <c r="I1840" s="27" t="n">
        <v>45778</v>
      </c>
      <c r="J1840" s="27" t="n">
        <v>45805</v>
      </c>
      <c r="K1840" t="inlineStr">
        <is>
          <t>Cartão de Crédito</t>
        </is>
      </c>
      <c r="L1840" t="inlineStr">
        <is>
          <t>Custo Mercadoria Vendida</t>
        </is>
      </c>
      <c r="M1840" t="inlineStr">
        <is>
          <t>Insumos - Alimentos</t>
        </is>
      </c>
      <c r="N1840" t="inlineStr">
        <is>
          <t>18PETTY052025</t>
        </is>
      </c>
      <c r="O1840" t="inlineStr">
        <is>
          <t>Documentação Aprovada</t>
        </is>
      </c>
      <c r="P1840" t="inlineStr">
        <is>
          <t>Aprovado Diretoria</t>
        </is>
      </c>
      <c r="Q1840" t="inlineStr">
        <is>
          <t>Aprovado Caixa</t>
        </is>
      </c>
      <c r="R1840" t="inlineStr">
        <is>
          <t>Pago</t>
        </is>
      </c>
      <c r="S1840" t="n">
        <v>182</v>
      </c>
      <c r="T1840" t="inlineStr">
        <is>
          <t>Love - Shibari - Kamino</t>
        </is>
      </c>
    </row>
    <row r="1841">
      <c r="A1841" t="n">
        <v>135221</v>
      </c>
      <c r="B1841" t="n">
        <v>128</v>
      </c>
      <c r="C1841" t="inlineStr">
        <is>
          <t>Love Cabaret</t>
        </is>
      </c>
      <c r="D1841" t="inlineStr">
        <is>
          <t>PARAMU COMERCIO E REPRESENTACAO DE PRODUTOS ALIMENTICIOS</t>
        </is>
      </c>
      <c r="E1841" t="n">
        <v>467.4</v>
      </c>
      <c r="F1841" s="27" t="n">
        <v>45813</v>
      </c>
      <c r="G1841" s="27" t="n">
        <v>45812</v>
      </c>
      <c r="H1841" s="27" t="n">
        <v>45812</v>
      </c>
      <c r="I1841" s="27" t="n">
        <v>45799</v>
      </c>
      <c r="J1841" s="27" t="n">
        <v>45806</v>
      </c>
      <c r="K1841" t="inlineStr">
        <is>
          <t>Boleto Bancário</t>
        </is>
      </c>
      <c r="L1841" t="inlineStr">
        <is>
          <t>Custo Mercadoria Vendida</t>
        </is>
      </c>
      <c r="M1841" t="inlineStr">
        <is>
          <t>Insumos - Alimentos</t>
        </is>
      </c>
      <c r="N1841" t="inlineStr">
        <is>
          <t>14040</t>
        </is>
      </c>
      <c r="O1841" t="inlineStr">
        <is>
          <t>Documentação Aprovada</t>
        </is>
      </c>
      <c r="P1841" t="inlineStr">
        <is>
          <t>Aprovado Diretoria</t>
        </is>
      </c>
      <c r="Q1841" t="inlineStr">
        <is>
          <t>Aprovado Caixa</t>
        </is>
      </c>
      <c r="R1841" t="inlineStr">
        <is>
          <t>Pago</t>
        </is>
      </c>
      <c r="S1841" t="n">
        <v>182</v>
      </c>
      <c r="T1841" t="inlineStr">
        <is>
          <t>Love - Shibari - Kamino</t>
        </is>
      </c>
    </row>
    <row r="1842">
      <c r="A1842" t="n">
        <v>135158</v>
      </c>
      <c r="B1842" t="n">
        <v>128</v>
      </c>
      <c r="C1842" t="inlineStr">
        <is>
          <t>Love Cabaret</t>
        </is>
      </c>
      <c r="D1842" t="inlineStr">
        <is>
          <t xml:space="preserve">COMERCIAL IMPORTADORA E EXPORTADORA METAPUNTO LTDA </t>
        </is>
      </c>
      <c r="E1842" t="n">
        <v>332.9</v>
      </c>
      <c r="F1842" s="27" t="n">
        <v>45814</v>
      </c>
      <c r="G1842" s="27" t="n">
        <v>45812</v>
      </c>
      <c r="H1842" s="27" t="n">
        <v>45812</v>
      </c>
      <c r="I1842" s="27" t="n">
        <v>45804</v>
      </c>
      <c r="J1842" s="27" t="n">
        <v>45806</v>
      </c>
      <c r="K1842" t="inlineStr">
        <is>
          <t>Boleto Bancário</t>
        </is>
      </c>
      <c r="L1842" t="inlineStr">
        <is>
          <t>Custo Mercadoria Vendida</t>
        </is>
      </c>
      <c r="M1842" t="inlineStr">
        <is>
          <t>Insumos - Alimentos</t>
        </is>
      </c>
      <c r="N1842" t="inlineStr">
        <is>
          <t>36479</t>
        </is>
      </c>
      <c r="O1842" t="inlineStr">
        <is>
          <t>Documentação Aprovada</t>
        </is>
      </c>
      <c r="P1842" t="inlineStr">
        <is>
          <t>Aprovado Diretoria</t>
        </is>
      </c>
      <c r="Q1842" t="inlineStr">
        <is>
          <t>Aprovado Caixa</t>
        </is>
      </c>
      <c r="R1842" t="inlineStr">
        <is>
          <t>Pago</t>
        </is>
      </c>
      <c r="S1842" t="n">
        <v>182</v>
      </c>
      <c r="T1842" t="inlineStr">
        <is>
          <t>Love - Shibari - Kamino</t>
        </is>
      </c>
    </row>
    <row r="1843">
      <c r="A1843" t="n">
        <v>135185</v>
      </c>
      <c r="B1843" t="n">
        <v>128</v>
      </c>
      <c r="C1843" t="inlineStr">
        <is>
          <t>Love Cabaret</t>
        </is>
      </c>
      <c r="D1843" t="inlineStr">
        <is>
          <t xml:space="preserve">ARENA VIP DISTRIBUIDORA DE BEBIDAS LTDA </t>
        </is>
      </c>
      <c r="E1843" t="n">
        <v>3747</v>
      </c>
      <c r="F1843" s="27" t="n">
        <v>45814</v>
      </c>
      <c r="G1843" s="27" t="n">
        <v>45812</v>
      </c>
      <c r="H1843" s="27" t="n">
        <v>45812</v>
      </c>
      <c r="I1843" s="27" t="n">
        <v>45800</v>
      </c>
      <c r="J1843" s="27" t="n">
        <v>45806</v>
      </c>
      <c r="K1843" t="inlineStr">
        <is>
          <t>Boleto Bancário</t>
        </is>
      </c>
      <c r="L1843" t="inlineStr">
        <is>
          <t>Custo Mercadoria Vendida</t>
        </is>
      </c>
      <c r="M1843" t="inlineStr">
        <is>
          <t>Insumos - Bebidas</t>
        </is>
      </c>
      <c r="N1843" t="inlineStr">
        <is>
          <t>3948</t>
        </is>
      </c>
      <c r="O1843" t="inlineStr">
        <is>
          <t>Documentação Aprovada</t>
        </is>
      </c>
      <c r="P1843" t="inlineStr">
        <is>
          <t>Aprovado Diretoria</t>
        </is>
      </c>
      <c r="Q1843" t="inlineStr">
        <is>
          <t>Aprovado Caixa</t>
        </is>
      </c>
      <c r="R1843" t="inlineStr">
        <is>
          <t>Pago</t>
        </is>
      </c>
      <c r="S1843" t="n">
        <v>182</v>
      </c>
      <c r="T1843" t="inlineStr">
        <is>
          <t>Love - Shibari - Kamino</t>
        </is>
      </c>
    </row>
    <row r="1844">
      <c r="A1844" t="n">
        <v>135152</v>
      </c>
      <c r="B1844" t="n">
        <v>128</v>
      </c>
      <c r="C1844" t="inlineStr">
        <is>
          <t>Love Cabaret</t>
        </is>
      </c>
      <c r="D1844" t="inlineStr">
        <is>
          <t>CEPEL COMERCIO DE PAPEIS E EMBALAGENS EIRELI</t>
        </is>
      </c>
      <c r="E1844" t="n">
        <v>1025.5</v>
      </c>
      <c r="F1844" s="27" t="n">
        <v>45815</v>
      </c>
      <c r="G1844" s="27" t="n">
        <v>45812</v>
      </c>
      <c r="H1844" s="27" t="n">
        <v>45812</v>
      </c>
      <c r="I1844" s="27" t="n">
        <v>45800</v>
      </c>
      <c r="J1844" s="27" t="n">
        <v>45806</v>
      </c>
      <c r="K1844" t="inlineStr">
        <is>
          <t>Boleto Bancário</t>
        </is>
      </c>
      <c r="L1844" t="inlineStr">
        <is>
          <t>Utilidades</t>
        </is>
      </c>
      <c r="M1844" t="inlineStr">
        <is>
          <t>Higiene e Limpeza</t>
        </is>
      </c>
      <c r="N1844" t="inlineStr">
        <is>
          <t>241079</t>
        </is>
      </c>
      <c r="O1844" t="inlineStr">
        <is>
          <t>Documentação Aprovada</t>
        </is>
      </c>
      <c r="P1844" t="inlineStr">
        <is>
          <t>Aprovado Diretoria</t>
        </is>
      </c>
      <c r="Q1844" t="inlineStr">
        <is>
          <t>Aprovado Caixa</t>
        </is>
      </c>
      <c r="R1844" t="inlineStr">
        <is>
          <t>Pago</t>
        </is>
      </c>
      <c r="S1844" t="n">
        <v>182</v>
      </c>
      <c r="T1844" t="inlineStr">
        <is>
          <t>Love - Shibari - Kamino</t>
        </is>
      </c>
    </row>
    <row r="1845">
      <c r="A1845" t="n">
        <v>135043</v>
      </c>
      <c r="B1845" t="n">
        <v>128</v>
      </c>
      <c r="C1845" t="inlineStr">
        <is>
          <t>Love Cabaret</t>
        </is>
      </c>
      <c r="D1845" t="inlineStr">
        <is>
          <t>PETTY CASH</t>
        </is>
      </c>
      <c r="E1845" t="n">
        <v>88.05</v>
      </c>
      <c r="F1845" s="27" t="n">
        <v>45813</v>
      </c>
      <c r="G1845" s="27" t="n">
        <v>45812</v>
      </c>
      <c r="H1845" s="27" t="n">
        <v>45812</v>
      </c>
      <c r="I1845" s="27" t="n">
        <v>45778</v>
      </c>
      <c r="J1845" s="27" t="n">
        <v>45805</v>
      </c>
      <c r="K1845" t="inlineStr">
        <is>
          <t>Cartão de Crédito</t>
        </is>
      </c>
      <c r="L1845" t="inlineStr">
        <is>
          <t>Utilidades</t>
        </is>
      </c>
      <c r="M1845" t="inlineStr">
        <is>
          <t>Utensilios</t>
        </is>
      </c>
      <c r="N1845" t="inlineStr">
        <is>
          <t>21PETTY052025</t>
        </is>
      </c>
      <c r="O1845" t="inlineStr">
        <is>
          <t>Documentação Aprovada</t>
        </is>
      </c>
      <c r="P1845" t="inlineStr">
        <is>
          <t>Aprovado Diretoria</t>
        </is>
      </c>
      <c r="Q1845" t="inlineStr">
        <is>
          <t>Aprovado Caixa</t>
        </is>
      </c>
      <c r="R1845" t="inlineStr">
        <is>
          <t>Pago</t>
        </is>
      </c>
      <c r="S1845" t="n">
        <v>182</v>
      </c>
      <c r="T1845" t="inlineStr">
        <is>
          <t>Love - Shibari - Kamino</t>
        </is>
      </c>
    </row>
    <row r="1846">
      <c r="A1846" t="n">
        <v>135037</v>
      </c>
      <c r="B1846" t="n">
        <v>128</v>
      </c>
      <c r="C1846" t="inlineStr">
        <is>
          <t>Love Cabaret</t>
        </is>
      </c>
      <c r="D1846" t="inlineStr">
        <is>
          <t>PETTY CASH</t>
        </is>
      </c>
      <c r="E1846" t="n">
        <v>27.4</v>
      </c>
      <c r="F1846" s="27" t="n">
        <v>45813</v>
      </c>
      <c r="G1846" s="27" t="n">
        <v>45812</v>
      </c>
      <c r="H1846" s="27" t="n">
        <v>45812</v>
      </c>
      <c r="I1846" s="27" t="n">
        <v>45778</v>
      </c>
      <c r="J1846" s="27" t="n">
        <v>45805</v>
      </c>
      <c r="K1846" t="inlineStr">
        <is>
          <t>Cartão de Crédito</t>
        </is>
      </c>
      <c r="L1846" t="inlineStr">
        <is>
          <t>Manutenção</t>
        </is>
      </c>
      <c r="M1846" t="inlineStr">
        <is>
          <t>Material de Manutenção</t>
        </is>
      </c>
      <c r="N1846" t="inlineStr">
        <is>
          <t>19PETTY052025</t>
        </is>
      </c>
      <c r="O1846" t="inlineStr">
        <is>
          <t>Documentação Aprovada</t>
        </is>
      </c>
      <c r="P1846" t="inlineStr">
        <is>
          <t>Aprovado Diretoria</t>
        </is>
      </c>
      <c r="Q1846" t="inlineStr">
        <is>
          <t>Aprovado Caixa</t>
        </is>
      </c>
      <c r="R1846" t="inlineStr">
        <is>
          <t>Pago</t>
        </is>
      </c>
      <c r="S1846" t="n">
        <v>182</v>
      </c>
      <c r="T1846" t="inlineStr">
        <is>
          <t>Love - Shibari - Kamino</t>
        </is>
      </c>
    </row>
    <row r="1847">
      <c r="A1847" t="n">
        <v>135039</v>
      </c>
      <c r="B1847" t="n">
        <v>128</v>
      </c>
      <c r="C1847" t="inlineStr">
        <is>
          <t>Love Cabaret</t>
        </is>
      </c>
      <c r="D1847" t="inlineStr">
        <is>
          <t>PETTY CASH</t>
        </is>
      </c>
      <c r="E1847" t="n">
        <v>24.5</v>
      </c>
      <c r="F1847" s="27" t="n">
        <v>45813</v>
      </c>
      <c r="G1847" s="27" t="n">
        <v>45812</v>
      </c>
      <c r="H1847" s="27" t="n">
        <v>45812</v>
      </c>
      <c r="I1847" s="27" t="n">
        <v>45778</v>
      </c>
      <c r="J1847" s="27" t="n">
        <v>45805</v>
      </c>
      <c r="K1847" t="inlineStr">
        <is>
          <t>Cartão de Crédito</t>
        </is>
      </c>
      <c r="L1847" t="inlineStr">
        <is>
          <t>Manutenção</t>
        </is>
      </c>
      <c r="M1847" t="inlineStr">
        <is>
          <t>Material de Manutenção</t>
        </is>
      </c>
      <c r="N1847" t="inlineStr">
        <is>
          <t>20PETTY052025</t>
        </is>
      </c>
      <c r="O1847" t="inlineStr">
        <is>
          <t>Documentação Aprovada</t>
        </is>
      </c>
      <c r="P1847" t="inlineStr">
        <is>
          <t>Aprovado Diretoria</t>
        </is>
      </c>
      <c r="Q1847" t="inlineStr">
        <is>
          <t>Aprovado Caixa</t>
        </is>
      </c>
      <c r="R1847" t="inlineStr">
        <is>
          <t>Pago</t>
        </is>
      </c>
      <c r="S1847" t="n">
        <v>182</v>
      </c>
      <c r="T1847" t="inlineStr">
        <is>
          <t>Love - Shibari - Kamino</t>
        </is>
      </c>
    </row>
    <row r="1848">
      <c r="A1848" t="n">
        <v>135183</v>
      </c>
      <c r="B1848" t="n">
        <v>128</v>
      </c>
      <c r="C1848" t="inlineStr">
        <is>
          <t>Love Cabaret</t>
        </is>
      </c>
      <c r="D1848" t="inlineStr">
        <is>
          <t>ICE4PROS FABRICA DE GELO LTDA</t>
        </is>
      </c>
      <c r="E1848" t="n">
        <v>496</v>
      </c>
      <c r="F1848" s="27" t="n">
        <v>45813</v>
      </c>
      <c r="G1848" s="27" t="n">
        <v>45812</v>
      </c>
      <c r="H1848" s="27" t="n">
        <v>45812</v>
      </c>
      <c r="I1848" s="27" t="n">
        <v>45803</v>
      </c>
      <c r="J1848" s="27" t="n">
        <v>45806</v>
      </c>
      <c r="K1848" t="inlineStr">
        <is>
          <t>Boleto Bancário</t>
        </is>
      </c>
      <c r="L1848" t="inlineStr">
        <is>
          <t>Custo Mercadoria Vendida</t>
        </is>
      </c>
      <c r="M1848" t="inlineStr">
        <is>
          <t>Insumos - Bebidas</t>
        </is>
      </c>
      <c r="N1848" t="inlineStr">
        <is>
          <t>79910</t>
        </is>
      </c>
      <c r="O1848" t="inlineStr">
        <is>
          <t>Documentação Aprovada</t>
        </is>
      </c>
      <c r="P1848" t="inlineStr">
        <is>
          <t>Aprovado Diretoria</t>
        </is>
      </c>
      <c r="Q1848" t="inlineStr">
        <is>
          <t>Aprovado Caixa</t>
        </is>
      </c>
      <c r="R1848" t="inlineStr">
        <is>
          <t>Pago</t>
        </is>
      </c>
      <c r="S1848" t="n">
        <v>182</v>
      </c>
      <c r="T1848" t="inlineStr">
        <is>
          <t>Love - Shibari - Kamino</t>
        </is>
      </c>
    </row>
    <row r="1849">
      <c r="A1849" t="n">
        <v>134658</v>
      </c>
      <c r="B1849" t="n">
        <v>128</v>
      </c>
      <c r="C1849" t="inlineStr">
        <is>
          <t>Love Cabaret</t>
        </is>
      </c>
      <c r="D1849" t="inlineStr">
        <is>
          <t>PETTY CASH</t>
        </is>
      </c>
      <c r="E1849" t="n">
        <v>42.9</v>
      </c>
      <c r="F1849" s="27" t="n">
        <v>45813</v>
      </c>
      <c r="G1849" s="27" t="n">
        <v>45812</v>
      </c>
      <c r="H1849" s="27" t="n">
        <v>45812</v>
      </c>
      <c r="I1849" s="27" t="n">
        <v>45778</v>
      </c>
      <c r="J1849" s="27" t="n">
        <v>45804</v>
      </c>
      <c r="K1849" t="inlineStr">
        <is>
          <t>Cartão de Crédito</t>
        </is>
      </c>
      <c r="L1849" t="inlineStr">
        <is>
          <t>Utilidades</t>
        </is>
      </c>
      <c r="M1849" t="inlineStr">
        <is>
          <t>Material de Escritorio</t>
        </is>
      </c>
      <c r="N1849" t="inlineStr">
        <is>
          <t>17PETTY052025</t>
        </is>
      </c>
      <c r="O1849" t="inlineStr">
        <is>
          <t>Documentação Aprovada</t>
        </is>
      </c>
      <c r="P1849" t="inlineStr">
        <is>
          <t>Aprovado Diretoria</t>
        </is>
      </c>
      <c r="Q1849" t="inlineStr">
        <is>
          <t>Aprovado Caixa</t>
        </is>
      </c>
      <c r="R1849" t="inlineStr">
        <is>
          <t>Pago</t>
        </is>
      </c>
      <c r="S1849" t="n">
        <v>182</v>
      </c>
      <c r="T1849" t="inlineStr">
        <is>
          <t>Love - Shibari - Kamino</t>
        </is>
      </c>
    </row>
    <row r="1850">
      <c r="A1850" t="n">
        <v>134614</v>
      </c>
      <c r="B1850" t="n">
        <v>128</v>
      </c>
      <c r="C1850" t="inlineStr">
        <is>
          <t>Love Cabaret</t>
        </is>
      </c>
      <c r="D1850" t="inlineStr">
        <is>
          <t>PETTY CASH</t>
        </is>
      </c>
      <c r="E1850" t="n">
        <v>13.98</v>
      </c>
      <c r="F1850" s="27" t="n">
        <v>45813</v>
      </c>
      <c r="G1850" s="27" t="n">
        <v>45812</v>
      </c>
      <c r="H1850" s="27" t="n">
        <v>45812</v>
      </c>
      <c r="I1850" s="27" t="n">
        <v>45778</v>
      </c>
      <c r="J1850" s="27" t="n">
        <v>45804</v>
      </c>
      <c r="K1850" t="inlineStr">
        <is>
          <t>Cartão de Crédito</t>
        </is>
      </c>
      <c r="L1850" t="inlineStr">
        <is>
          <t>Custo Mercadoria Vendida</t>
        </is>
      </c>
      <c r="M1850" t="inlineStr">
        <is>
          <t>Insumos - Alimentos</t>
        </is>
      </c>
      <c r="N1850" t="inlineStr">
        <is>
          <t>14PETTY052025</t>
        </is>
      </c>
      <c r="O1850" t="inlineStr">
        <is>
          <t>Documentação Aprovada</t>
        </is>
      </c>
      <c r="P1850" t="inlineStr">
        <is>
          <t>Aprovado Diretoria</t>
        </is>
      </c>
      <c r="Q1850" t="inlineStr">
        <is>
          <t>Aprovado Caixa</t>
        </is>
      </c>
      <c r="R1850" t="inlineStr">
        <is>
          <t>Pago</t>
        </is>
      </c>
      <c r="S1850" t="n">
        <v>182</v>
      </c>
      <c r="T1850" t="inlineStr">
        <is>
          <t>Love - Shibari - Kamino</t>
        </is>
      </c>
    </row>
    <row r="1851">
      <c r="A1851" t="n">
        <v>134539</v>
      </c>
      <c r="B1851" t="n">
        <v>128</v>
      </c>
      <c r="C1851" t="inlineStr">
        <is>
          <t>Love Cabaret</t>
        </is>
      </c>
      <c r="D1851" t="inlineStr">
        <is>
          <t>PETTY CASH</t>
        </is>
      </c>
      <c r="E1851" t="n">
        <v>16.3</v>
      </c>
      <c r="F1851" s="27" t="n">
        <v>45813</v>
      </c>
      <c r="G1851" s="27" t="n">
        <v>45812</v>
      </c>
      <c r="H1851" s="27" t="n">
        <v>45812</v>
      </c>
      <c r="I1851" s="27" t="n">
        <v>45778</v>
      </c>
      <c r="J1851" s="27" t="n">
        <v>45804</v>
      </c>
      <c r="K1851" t="inlineStr">
        <is>
          <t>Cartão de Crédito</t>
        </is>
      </c>
      <c r="L1851" t="inlineStr">
        <is>
          <t>Utilidades</t>
        </is>
      </c>
      <c r="M1851" t="inlineStr">
        <is>
          <t>Material de Escritorio</t>
        </is>
      </c>
      <c r="N1851" t="inlineStr">
        <is>
          <t>7PETTY052025</t>
        </is>
      </c>
      <c r="O1851" t="inlineStr">
        <is>
          <t>Documentação Aprovada</t>
        </is>
      </c>
      <c r="P1851" t="inlineStr">
        <is>
          <t>Aprovado Diretoria</t>
        </is>
      </c>
      <c r="Q1851" t="inlineStr">
        <is>
          <t>Aprovado Caixa</t>
        </is>
      </c>
      <c r="R1851" t="inlineStr">
        <is>
          <t>Pago</t>
        </is>
      </c>
      <c r="S1851" t="n">
        <v>182</v>
      </c>
      <c r="T1851" t="inlineStr">
        <is>
          <t>Love - Shibari - Kamino</t>
        </is>
      </c>
    </row>
    <row r="1852">
      <c r="A1852" t="n">
        <v>134536</v>
      </c>
      <c r="B1852" t="n">
        <v>128</v>
      </c>
      <c r="C1852" t="inlineStr">
        <is>
          <t>Love Cabaret</t>
        </is>
      </c>
      <c r="D1852" t="inlineStr">
        <is>
          <t>PETTY CASH</t>
        </is>
      </c>
      <c r="E1852" t="n">
        <v>7.39</v>
      </c>
      <c r="F1852" s="27" t="n">
        <v>45813</v>
      </c>
      <c r="G1852" s="27" t="n">
        <v>45812</v>
      </c>
      <c r="H1852" s="27" t="n">
        <v>45812</v>
      </c>
      <c r="I1852" s="27" t="n">
        <v>45778</v>
      </c>
      <c r="J1852" s="27" t="n">
        <v>45804</v>
      </c>
      <c r="K1852" t="inlineStr">
        <is>
          <t>Cartão de Crédito</t>
        </is>
      </c>
      <c r="L1852" t="inlineStr">
        <is>
          <t>Custo Mercadoria Vendida</t>
        </is>
      </c>
      <c r="M1852" t="inlineStr">
        <is>
          <t>Insumos - Alimentos</t>
        </is>
      </c>
      <c r="N1852" t="inlineStr">
        <is>
          <t>6PETTY052025</t>
        </is>
      </c>
      <c r="O1852" t="inlineStr">
        <is>
          <t>Documentação Aprovada</t>
        </is>
      </c>
      <c r="P1852" t="inlineStr">
        <is>
          <t>Aprovado Diretoria</t>
        </is>
      </c>
      <c r="Q1852" t="inlineStr">
        <is>
          <t>Aprovado Caixa</t>
        </is>
      </c>
      <c r="R1852" t="inlineStr">
        <is>
          <t>Pago</t>
        </is>
      </c>
      <c r="S1852" t="n">
        <v>182</v>
      </c>
      <c r="T1852" t="inlineStr">
        <is>
          <t>Love - Shibari - Kamino</t>
        </is>
      </c>
    </row>
    <row r="1853">
      <c r="A1853" t="n">
        <v>134599</v>
      </c>
      <c r="B1853" t="n">
        <v>128</v>
      </c>
      <c r="C1853" t="inlineStr">
        <is>
          <t>Love Cabaret</t>
        </is>
      </c>
      <c r="D1853" t="inlineStr">
        <is>
          <t>PETTY CASH</t>
        </is>
      </c>
      <c r="E1853" t="n">
        <v>14.95</v>
      </c>
      <c r="F1853" s="27" t="n">
        <v>45813</v>
      </c>
      <c r="G1853" s="27" t="n">
        <v>45812</v>
      </c>
      <c r="H1853" s="27" t="n">
        <v>45812</v>
      </c>
      <c r="I1853" s="27" t="n">
        <v>45778</v>
      </c>
      <c r="J1853" s="27" t="n">
        <v>45804</v>
      </c>
      <c r="K1853" t="inlineStr">
        <is>
          <t>Cartão de Crédito</t>
        </is>
      </c>
      <c r="L1853" t="inlineStr">
        <is>
          <t>Custo Mercadoria Vendida</t>
        </is>
      </c>
      <c r="M1853" t="inlineStr">
        <is>
          <t>Insumos - Alimentos</t>
        </is>
      </c>
      <c r="N1853" t="inlineStr">
        <is>
          <t>13PETTY052025</t>
        </is>
      </c>
      <c r="O1853" t="inlineStr">
        <is>
          <t>Documentação Aprovada</t>
        </is>
      </c>
      <c r="P1853" t="inlineStr">
        <is>
          <t>Aprovado Diretoria</t>
        </is>
      </c>
      <c r="Q1853" t="inlineStr">
        <is>
          <t>Aprovado Caixa</t>
        </is>
      </c>
      <c r="R1853" t="inlineStr">
        <is>
          <t>Pago</t>
        </is>
      </c>
      <c r="S1853" t="n">
        <v>182</v>
      </c>
      <c r="T1853" t="inlineStr">
        <is>
          <t>Love - Shibari - Kamino</t>
        </is>
      </c>
    </row>
    <row r="1854">
      <c r="A1854" t="n">
        <v>134533</v>
      </c>
      <c r="B1854" t="n">
        <v>128</v>
      </c>
      <c r="C1854" t="inlineStr">
        <is>
          <t>Love Cabaret</t>
        </is>
      </c>
      <c r="D1854" t="inlineStr">
        <is>
          <t>PETTY CASH</t>
        </is>
      </c>
      <c r="E1854" t="n">
        <v>184.26</v>
      </c>
      <c r="F1854" s="27" t="n">
        <v>45813</v>
      </c>
      <c r="G1854" s="27" t="n">
        <v>45812</v>
      </c>
      <c r="H1854" s="27" t="n">
        <v>45812</v>
      </c>
      <c r="I1854" s="27" t="n">
        <v>45778</v>
      </c>
      <c r="J1854" s="27" t="n">
        <v>45804</v>
      </c>
      <c r="K1854" t="inlineStr">
        <is>
          <t>Cartão de Crédito</t>
        </is>
      </c>
      <c r="L1854" t="inlineStr">
        <is>
          <t>Manutenção</t>
        </is>
      </c>
      <c r="M1854" t="inlineStr">
        <is>
          <t>Material de Manutenção</t>
        </is>
      </c>
      <c r="N1854" t="inlineStr">
        <is>
          <t>5PETTY052025</t>
        </is>
      </c>
      <c r="O1854" t="inlineStr">
        <is>
          <t>Documentação Aprovada</t>
        </is>
      </c>
      <c r="P1854" t="inlineStr">
        <is>
          <t>Aprovado Diretoria</t>
        </is>
      </c>
      <c r="Q1854" t="inlineStr">
        <is>
          <t>Aprovado Caixa</t>
        </is>
      </c>
      <c r="R1854" t="inlineStr">
        <is>
          <t>Pago</t>
        </is>
      </c>
      <c r="S1854" t="n">
        <v>182</v>
      </c>
      <c r="T1854" t="inlineStr">
        <is>
          <t>Love - Shibari - Kamino</t>
        </is>
      </c>
    </row>
    <row r="1855">
      <c r="A1855" t="n">
        <v>134531</v>
      </c>
      <c r="B1855" t="n">
        <v>128</v>
      </c>
      <c r="C1855" t="inlineStr">
        <is>
          <t>Love Cabaret</t>
        </is>
      </c>
      <c r="D1855" t="inlineStr">
        <is>
          <t>PETTY CASH</t>
        </is>
      </c>
      <c r="E1855" t="n">
        <v>30.09</v>
      </c>
      <c r="F1855" s="27" t="n">
        <v>45813</v>
      </c>
      <c r="G1855" s="27" t="n">
        <v>45812</v>
      </c>
      <c r="H1855" s="27" t="n">
        <v>45812</v>
      </c>
      <c r="I1855" s="27" t="n">
        <v>45778</v>
      </c>
      <c r="J1855" s="27" t="n">
        <v>45804</v>
      </c>
      <c r="K1855" t="inlineStr">
        <is>
          <t>Cartão de Crédito</t>
        </is>
      </c>
      <c r="L1855" t="inlineStr">
        <is>
          <t>Custo Mercadoria Vendida</t>
        </is>
      </c>
      <c r="M1855" t="inlineStr">
        <is>
          <t>Insumos - Alimentos</t>
        </is>
      </c>
      <c r="N1855" t="inlineStr">
        <is>
          <t>4PETTY052025</t>
        </is>
      </c>
      <c r="O1855" t="inlineStr">
        <is>
          <t>Documentação Aprovada</t>
        </is>
      </c>
      <c r="P1855" t="inlineStr">
        <is>
          <t>Aprovado Diretoria</t>
        </is>
      </c>
      <c r="Q1855" t="inlineStr">
        <is>
          <t>Aprovado Caixa</t>
        </is>
      </c>
      <c r="R1855" t="inlineStr">
        <is>
          <t>Pago</t>
        </is>
      </c>
      <c r="S1855" t="n">
        <v>182</v>
      </c>
      <c r="T1855" t="inlineStr">
        <is>
          <t>Love - Shibari - Kamino</t>
        </is>
      </c>
    </row>
    <row r="1856">
      <c r="A1856" t="n">
        <v>134591</v>
      </c>
      <c r="B1856" t="n">
        <v>128</v>
      </c>
      <c r="C1856" t="inlineStr">
        <is>
          <t>Love Cabaret</t>
        </is>
      </c>
      <c r="D1856" t="inlineStr">
        <is>
          <t>PETTY CASH</t>
        </is>
      </c>
      <c r="E1856" t="n">
        <v>9.9</v>
      </c>
      <c r="F1856" s="27" t="n">
        <v>45813</v>
      </c>
      <c r="G1856" s="27" t="n">
        <v>45812</v>
      </c>
      <c r="H1856" s="27" t="n">
        <v>45812</v>
      </c>
      <c r="I1856" s="27" t="n">
        <v>45778</v>
      </c>
      <c r="J1856" s="27" t="n">
        <v>45804</v>
      </c>
      <c r="K1856" t="inlineStr">
        <is>
          <t>Cartão de Crédito</t>
        </is>
      </c>
      <c r="L1856" t="inlineStr">
        <is>
          <t>Manutenção</t>
        </is>
      </c>
      <c r="M1856" t="inlineStr">
        <is>
          <t>Material de Manutenção</t>
        </is>
      </c>
      <c r="N1856" t="inlineStr">
        <is>
          <t>12PETTY052025</t>
        </is>
      </c>
      <c r="O1856" t="inlineStr">
        <is>
          <t>Documentação Aprovada</t>
        </is>
      </c>
      <c r="P1856" t="inlineStr">
        <is>
          <t>Aprovado Diretoria</t>
        </is>
      </c>
      <c r="Q1856" t="inlineStr">
        <is>
          <t>Aprovado Caixa</t>
        </is>
      </c>
      <c r="R1856" t="inlineStr">
        <is>
          <t>Pago</t>
        </is>
      </c>
      <c r="S1856" t="n">
        <v>182</v>
      </c>
      <c r="T1856" t="inlineStr">
        <is>
          <t>Love - Shibari - Kamino</t>
        </is>
      </c>
    </row>
    <row r="1857">
      <c r="A1857" t="n">
        <v>134556</v>
      </c>
      <c r="B1857" t="n">
        <v>128</v>
      </c>
      <c r="C1857" t="inlineStr">
        <is>
          <t>Love Cabaret</t>
        </is>
      </c>
      <c r="D1857" t="inlineStr">
        <is>
          <t>PETTY CASH</t>
        </is>
      </c>
      <c r="E1857" t="n">
        <v>10.49</v>
      </c>
      <c r="F1857" s="27" t="n">
        <v>45813</v>
      </c>
      <c r="G1857" s="27" t="n">
        <v>45812</v>
      </c>
      <c r="H1857" s="27" t="n">
        <v>45812</v>
      </c>
      <c r="I1857" s="27" t="n">
        <v>45778</v>
      </c>
      <c r="J1857" s="27" t="n">
        <v>45804</v>
      </c>
      <c r="K1857" t="inlineStr">
        <is>
          <t>Cartão de Crédito</t>
        </is>
      </c>
      <c r="L1857" t="inlineStr">
        <is>
          <t>Custo Mercadoria Vendida</t>
        </is>
      </c>
      <c r="M1857" t="inlineStr">
        <is>
          <t>Insumos - Alimentos</t>
        </is>
      </c>
      <c r="N1857" t="inlineStr">
        <is>
          <t>9PETTY052025</t>
        </is>
      </c>
      <c r="O1857" t="inlineStr">
        <is>
          <t>Documentação Aprovada</t>
        </is>
      </c>
      <c r="P1857" t="inlineStr">
        <is>
          <t>Aprovado Diretoria</t>
        </is>
      </c>
      <c r="Q1857" t="inlineStr">
        <is>
          <t>Aprovado Caixa</t>
        </is>
      </c>
      <c r="R1857" t="inlineStr">
        <is>
          <t>Pago</t>
        </is>
      </c>
      <c r="S1857" t="n">
        <v>182</v>
      </c>
      <c r="T1857" t="inlineStr">
        <is>
          <t>Love - Shibari - Kamino</t>
        </is>
      </c>
    </row>
    <row r="1858">
      <c r="A1858" t="n">
        <v>134589</v>
      </c>
      <c r="B1858" t="n">
        <v>128</v>
      </c>
      <c r="C1858" t="inlineStr">
        <is>
          <t>Love Cabaret</t>
        </is>
      </c>
      <c r="D1858" t="inlineStr">
        <is>
          <t>PETTY CASH</t>
        </is>
      </c>
      <c r="E1858" t="n">
        <v>32</v>
      </c>
      <c r="F1858" s="27" t="n">
        <v>45813</v>
      </c>
      <c r="G1858" s="27" t="n">
        <v>45812</v>
      </c>
      <c r="H1858" s="27" t="n">
        <v>45812</v>
      </c>
      <c r="I1858" s="27" t="n">
        <v>45778</v>
      </c>
      <c r="J1858" s="27" t="n">
        <v>45804</v>
      </c>
      <c r="K1858" t="inlineStr">
        <is>
          <t>Cartão de Crédito</t>
        </is>
      </c>
      <c r="L1858" t="inlineStr">
        <is>
          <t>Manutenção</t>
        </is>
      </c>
      <c r="M1858" t="inlineStr">
        <is>
          <t>Material de Manutenção</t>
        </is>
      </c>
      <c r="N1858" t="inlineStr">
        <is>
          <t>11PETTY052025</t>
        </is>
      </c>
      <c r="O1858" t="inlineStr">
        <is>
          <t>Documentação Aprovada</t>
        </is>
      </c>
      <c r="P1858" t="inlineStr">
        <is>
          <t>Aprovado Diretoria</t>
        </is>
      </c>
      <c r="Q1858" t="inlineStr">
        <is>
          <t>Aprovado Caixa</t>
        </is>
      </c>
      <c r="R1858" t="inlineStr">
        <is>
          <t>Pago</t>
        </is>
      </c>
      <c r="S1858" t="n">
        <v>182</v>
      </c>
      <c r="T1858" t="inlineStr">
        <is>
          <t>Love - Shibari - Kamino</t>
        </is>
      </c>
    </row>
    <row r="1859">
      <c r="A1859" t="n">
        <v>134557</v>
      </c>
      <c r="B1859" t="n">
        <v>128</v>
      </c>
      <c r="C1859" t="inlineStr">
        <is>
          <t>Love Cabaret</t>
        </is>
      </c>
      <c r="D1859" t="inlineStr">
        <is>
          <t>PETTY CASH</t>
        </is>
      </c>
      <c r="E1859" t="n">
        <v>12.3</v>
      </c>
      <c r="F1859" s="27" t="n">
        <v>45813</v>
      </c>
      <c r="G1859" s="27" t="n">
        <v>45812</v>
      </c>
      <c r="H1859" s="27" t="n">
        <v>45812</v>
      </c>
      <c r="I1859" s="27" t="n">
        <v>45778</v>
      </c>
      <c r="J1859" s="27" t="n">
        <v>45804</v>
      </c>
      <c r="K1859" t="inlineStr">
        <is>
          <t>Cartão de Crédito</t>
        </is>
      </c>
      <c r="L1859" t="inlineStr">
        <is>
          <t>Utilidades</t>
        </is>
      </c>
      <c r="M1859" t="inlineStr">
        <is>
          <t>Serviços Graficos</t>
        </is>
      </c>
      <c r="N1859" t="inlineStr">
        <is>
          <t>10PETTY052025</t>
        </is>
      </c>
      <c r="O1859" t="inlineStr">
        <is>
          <t>Documentação Aprovada</t>
        </is>
      </c>
      <c r="P1859" t="inlineStr">
        <is>
          <t>Aprovado Diretoria</t>
        </is>
      </c>
      <c r="Q1859" t="inlineStr">
        <is>
          <t>Aprovado Caixa</t>
        </is>
      </c>
      <c r="R1859" t="inlineStr">
        <is>
          <t>Pago</t>
        </is>
      </c>
      <c r="S1859" t="n">
        <v>182</v>
      </c>
      <c r="T1859" t="inlineStr">
        <is>
          <t>Love - Shibari - Kamino</t>
        </is>
      </c>
    </row>
    <row r="1860">
      <c r="A1860" t="n">
        <v>134581</v>
      </c>
      <c r="B1860" t="n">
        <v>128</v>
      </c>
      <c r="C1860" t="inlineStr">
        <is>
          <t>Love Cabaret</t>
        </is>
      </c>
      <c r="D1860" t="inlineStr">
        <is>
          <t>PETTY CASH</t>
        </is>
      </c>
      <c r="E1860" t="n">
        <v>54.1</v>
      </c>
      <c r="F1860" s="27" t="n">
        <v>45813</v>
      </c>
      <c r="G1860" s="27" t="n">
        <v>45812</v>
      </c>
      <c r="H1860" s="27" t="n">
        <v>45812</v>
      </c>
      <c r="I1860" s="27" t="n">
        <v>45778</v>
      </c>
      <c r="J1860" s="27" t="n">
        <v>45804</v>
      </c>
      <c r="K1860" t="inlineStr">
        <is>
          <t>Cartão de Crédito</t>
        </is>
      </c>
      <c r="L1860" t="inlineStr">
        <is>
          <t>Manutenção</t>
        </is>
      </c>
      <c r="M1860" t="inlineStr">
        <is>
          <t>Material de Manutenção</t>
        </is>
      </c>
      <c r="N1860" t="inlineStr">
        <is>
          <t>8PETTY052025</t>
        </is>
      </c>
      <c r="O1860" t="inlineStr">
        <is>
          <t>Documentação Aprovada</t>
        </is>
      </c>
      <c r="P1860" t="inlineStr">
        <is>
          <t>Aprovado Diretoria</t>
        </is>
      </c>
      <c r="Q1860" t="inlineStr">
        <is>
          <t>Aprovado Caixa</t>
        </is>
      </c>
      <c r="R1860" t="inlineStr">
        <is>
          <t>Pago</t>
        </is>
      </c>
      <c r="S1860" t="n">
        <v>182</v>
      </c>
      <c r="T1860" t="inlineStr">
        <is>
          <t>Love - Shibari - Kamino</t>
        </is>
      </c>
    </row>
    <row r="1861">
      <c r="A1861" t="n">
        <v>134524</v>
      </c>
      <c r="B1861" t="n">
        <v>128</v>
      </c>
      <c r="C1861" t="inlineStr">
        <is>
          <t>Love Cabaret</t>
        </is>
      </c>
      <c r="D1861" t="inlineStr">
        <is>
          <t>PETTY CASH</t>
        </is>
      </c>
      <c r="E1861" t="n">
        <v>77.5</v>
      </c>
      <c r="F1861" s="27" t="n">
        <v>45813</v>
      </c>
      <c r="G1861" s="27" t="n">
        <v>45812</v>
      </c>
      <c r="H1861" s="27" t="n">
        <v>45812</v>
      </c>
      <c r="I1861" s="27" t="n">
        <v>45778</v>
      </c>
      <c r="J1861" s="27" t="n">
        <v>45804</v>
      </c>
      <c r="K1861" t="inlineStr">
        <is>
          <t>Cartão de Crédito</t>
        </is>
      </c>
      <c r="L1861" t="inlineStr">
        <is>
          <t>Utilidades</t>
        </is>
      </c>
      <c r="M1861" t="inlineStr">
        <is>
          <t>Higiene e Limpeza</t>
        </is>
      </c>
      <c r="N1861" t="inlineStr">
        <is>
          <t>3PETTY052025</t>
        </is>
      </c>
      <c r="O1861" t="inlineStr">
        <is>
          <t>Documentação Aprovada</t>
        </is>
      </c>
      <c r="P1861" t="inlineStr">
        <is>
          <t>Aprovado Diretoria</t>
        </is>
      </c>
      <c r="Q1861" t="inlineStr">
        <is>
          <t>Aprovado Caixa</t>
        </is>
      </c>
      <c r="R1861" t="inlineStr">
        <is>
          <t>Pago</t>
        </is>
      </c>
      <c r="S1861" t="n">
        <v>182</v>
      </c>
      <c r="T1861" t="inlineStr">
        <is>
          <t>Love - Shibari - Kamino</t>
        </is>
      </c>
    </row>
    <row r="1862">
      <c r="A1862" t="n">
        <v>134631</v>
      </c>
      <c r="B1862" t="n">
        <v>128</v>
      </c>
      <c r="C1862" t="inlineStr">
        <is>
          <t>Love Cabaret</t>
        </is>
      </c>
      <c r="D1862" t="inlineStr">
        <is>
          <t>PETTY CASH</t>
        </is>
      </c>
      <c r="E1862" t="n">
        <v>112</v>
      </c>
      <c r="F1862" s="27" t="n">
        <v>45813</v>
      </c>
      <c r="G1862" s="27" t="n">
        <v>45812</v>
      </c>
      <c r="H1862" s="27" t="n">
        <v>45812</v>
      </c>
      <c r="I1862" s="27" t="n">
        <v>45778</v>
      </c>
      <c r="J1862" s="27" t="n">
        <v>45804</v>
      </c>
      <c r="K1862" t="inlineStr">
        <is>
          <t>Cartão de Crédito</t>
        </is>
      </c>
      <c r="L1862" t="inlineStr">
        <is>
          <t>Manutenção</t>
        </is>
      </c>
      <c r="M1862" t="inlineStr">
        <is>
          <t>Material de Manutenção</t>
        </is>
      </c>
      <c r="N1862" t="inlineStr">
        <is>
          <t>15PETTY052025</t>
        </is>
      </c>
      <c r="O1862" t="inlineStr">
        <is>
          <t>Documentação Aprovada</t>
        </is>
      </c>
      <c r="P1862" t="inlineStr">
        <is>
          <t>Aprovado Diretoria</t>
        </is>
      </c>
      <c r="Q1862" t="inlineStr">
        <is>
          <t>Aprovado Caixa</t>
        </is>
      </c>
      <c r="R1862" t="inlineStr">
        <is>
          <t>Pago</t>
        </is>
      </c>
      <c r="S1862" t="n">
        <v>182</v>
      </c>
      <c r="T1862" t="inlineStr">
        <is>
          <t>Love - Shibari - Kamino</t>
        </is>
      </c>
    </row>
    <row r="1863">
      <c r="A1863" t="n">
        <v>134634</v>
      </c>
      <c r="B1863" t="n">
        <v>128</v>
      </c>
      <c r="C1863" t="inlineStr">
        <is>
          <t>Love Cabaret</t>
        </is>
      </c>
      <c r="D1863" t="inlineStr">
        <is>
          <t>PETTY CASH</t>
        </is>
      </c>
      <c r="E1863" t="n">
        <v>194.96</v>
      </c>
      <c r="F1863" s="27" t="n">
        <v>45813</v>
      </c>
      <c r="G1863" s="27" t="n">
        <v>45812</v>
      </c>
      <c r="H1863" s="27" t="n">
        <v>45812</v>
      </c>
      <c r="I1863" s="27" t="n">
        <v>45778</v>
      </c>
      <c r="J1863" s="27" t="n">
        <v>45804</v>
      </c>
      <c r="K1863" t="inlineStr">
        <is>
          <t>Cartão de Crédito</t>
        </is>
      </c>
      <c r="L1863" t="inlineStr">
        <is>
          <t>Utilidades</t>
        </is>
      </c>
      <c r="M1863" t="inlineStr">
        <is>
          <t>Utensilios</t>
        </is>
      </c>
      <c r="N1863" t="inlineStr">
        <is>
          <t>16PETTY052025</t>
        </is>
      </c>
      <c r="O1863" t="inlineStr">
        <is>
          <t>Documentação Aprovada</t>
        </is>
      </c>
      <c r="P1863" t="inlineStr">
        <is>
          <t>Aprovado Diretoria</t>
        </is>
      </c>
      <c r="Q1863" t="inlineStr">
        <is>
          <t>Aprovado Caixa</t>
        </is>
      </c>
      <c r="R1863" t="inlineStr">
        <is>
          <t>Pago</t>
        </is>
      </c>
      <c r="S1863" t="n">
        <v>182</v>
      </c>
      <c r="T1863" t="inlineStr">
        <is>
          <t>Love - Shibari - Kamino</t>
        </is>
      </c>
    </row>
    <row r="1864">
      <c r="A1864" t="n">
        <v>134650</v>
      </c>
      <c r="B1864" t="n">
        <v>128</v>
      </c>
      <c r="C1864" t="inlineStr">
        <is>
          <t>Love Cabaret</t>
        </is>
      </c>
      <c r="D1864" t="inlineStr">
        <is>
          <t>PETTY CASH</t>
        </is>
      </c>
      <c r="E1864" t="n">
        <v>87.98</v>
      </c>
      <c r="F1864" s="27" t="n">
        <v>45813</v>
      </c>
      <c r="G1864" s="27" t="n">
        <v>45812</v>
      </c>
      <c r="H1864" s="27" t="n">
        <v>45812</v>
      </c>
      <c r="I1864" s="27" t="n">
        <v>45778</v>
      </c>
      <c r="J1864" s="27" t="n">
        <v>45804</v>
      </c>
      <c r="K1864" t="inlineStr">
        <is>
          <t>Cartão de Crédito</t>
        </is>
      </c>
      <c r="L1864" t="inlineStr">
        <is>
          <t>Utilidades</t>
        </is>
      </c>
      <c r="M1864" t="inlineStr">
        <is>
          <t>Serviços Graficos</t>
        </is>
      </c>
      <c r="N1864" t="inlineStr">
        <is>
          <t>16PETTY052025</t>
        </is>
      </c>
      <c r="O1864" t="inlineStr">
        <is>
          <t>Documentação Aprovada</t>
        </is>
      </c>
      <c r="P1864" t="inlineStr">
        <is>
          <t>Aprovado Diretoria</t>
        </is>
      </c>
      <c r="Q1864" t="inlineStr">
        <is>
          <t>Aprovado Caixa</t>
        </is>
      </c>
      <c r="R1864" t="inlineStr">
        <is>
          <t>Pago</t>
        </is>
      </c>
      <c r="S1864" t="n">
        <v>182</v>
      </c>
      <c r="T1864" t="inlineStr">
        <is>
          <t>Love - Shibari - Kamino</t>
        </is>
      </c>
    </row>
    <row r="1865">
      <c r="A1865" t="n">
        <v>134522</v>
      </c>
      <c r="B1865" t="n">
        <v>128</v>
      </c>
      <c r="C1865" t="inlineStr">
        <is>
          <t>Love Cabaret</t>
        </is>
      </c>
      <c r="D1865" t="inlineStr">
        <is>
          <t>PETTY CASH</t>
        </is>
      </c>
      <c r="E1865" t="n">
        <v>41</v>
      </c>
      <c r="F1865" s="27" t="n">
        <v>45813</v>
      </c>
      <c r="G1865" s="27" t="n">
        <v>45812</v>
      </c>
      <c r="H1865" s="27" t="n">
        <v>45812</v>
      </c>
      <c r="I1865" s="27" t="n">
        <v>45778</v>
      </c>
      <c r="J1865" s="27" t="n">
        <v>45804</v>
      </c>
      <c r="K1865" t="inlineStr">
        <is>
          <t>Cartão de Crédito</t>
        </is>
      </c>
      <c r="L1865" t="inlineStr">
        <is>
          <t>Utilidades</t>
        </is>
      </c>
      <c r="M1865" t="inlineStr">
        <is>
          <t>Utensilios</t>
        </is>
      </c>
      <c r="N1865" t="inlineStr">
        <is>
          <t>2PETTY052025</t>
        </is>
      </c>
      <c r="O1865" t="inlineStr">
        <is>
          <t>Documentação Aprovada</t>
        </is>
      </c>
      <c r="P1865" t="inlineStr">
        <is>
          <t>Aprovado Diretoria</t>
        </is>
      </c>
      <c r="Q1865" t="inlineStr">
        <is>
          <t>Aprovado Caixa</t>
        </is>
      </c>
      <c r="R1865" t="inlineStr">
        <is>
          <t>Pago</t>
        </is>
      </c>
      <c r="S1865" t="n">
        <v>182</v>
      </c>
      <c r="T1865" t="inlineStr">
        <is>
          <t>Love - Shibari - Kamino</t>
        </is>
      </c>
    </row>
    <row r="1866">
      <c r="A1866" t="n">
        <v>134520</v>
      </c>
      <c r="B1866" t="n">
        <v>128</v>
      </c>
      <c r="C1866" t="inlineStr">
        <is>
          <t>Love Cabaret</t>
        </is>
      </c>
      <c r="D1866" t="inlineStr">
        <is>
          <t>PETTY CASH</t>
        </is>
      </c>
      <c r="E1866" t="n">
        <v>25</v>
      </c>
      <c r="F1866" s="27" t="n">
        <v>45813</v>
      </c>
      <c r="G1866" s="27" t="n">
        <v>45812</v>
      </c>
      <c r="H1866" s="27" t="n">
        <v>45812</v>
      </c>
      <c r="I1866" s="27" t="n">
        <v>45778</v>
      </c>
      <c r="J1866" s="27" t="n">
        <v>45804</v>
      </c>
      <c r="K1866" t="inlineStr">
        <is>
          <t>Cartão de Crédito</t>
        </is>
      </c>
      <c r="L1866" t="inlineStr">
        <is>
          <t>Manutenção</t>
        </is>
      </c>
      <c r="M1866" t="inlineStr">
        <is>
          <t>Material de Manutenção</t>
        </is>
      </c>
      <c r="N1866" t="inlineStr">
        <is>
          <t>1PETTY052025</t>
        </is>
      </c>
      <c r="O1866" t="inlineStr">
        <is>
          <t>Documentação Aprovada</t>
        </is>
      </c>
      <c r="P1866" t="inlineStr">
        <is>
          <t>Aprovado Diretoria</t>
        </is>
      </c>
      <c r="Q1866" t="inlineStr">
        <is>
          <t>Aprovado Caixa</t>
        </is>
      </c>
      <c r="R1866" t="inlineStr">
        <is>
          <t>Pago</t>
        </is>
      </c>
      <c r="S1866" t="n">
        <v>182</v>
      </c>
      <c r="T1866" t="inlineStr">
        <is>
          <t>Love - Shibari - Kamino</t>
        </is>
      </c>
    </row>
    <row r="1867">
      <c r="A1867" t="n">
        <v>131036</v>
      </c>
      <c r="B1867" t="n">
        <v>128</v>
      </c>
      <c r="C1867" t="inlineStr">
        <is>
          <t>Love Cabaret</t>
        </is>
      </c>
      <c r="D1867" t="inlineStr">
        <is>
          <t xml:space="preserve">EMPORIO MEL </t>
        </is>
      </c>
      <c r="E1867" t="n">
        <v>338.4</v>
      </c>
      <c r="F1867" s="27" t="n">
        <v>45813</v>
      </c>
      <c r="G1867" s="27" t="n">
        <v>45812</v>
      </c>
      <c r="H1867" s="27" t="n">
        <v>45812</v>
      </c>
      <c r="I1867" s="27" t="n">
        <v>45782</v>
      </c>
      <c r="J1867" s="27" t="n">
        <v>45785</v>
      </c>
      <c r="K1867" t="inlineStr">
        <is>
          <t>Boleto Bancário</t>
        </is>
      </c>
      <c r="L1867" t="inlineStr">
        <is>
          <t>Custo Mercadoria Vendida</t>
        </is>
      </c>
      <c r="M1867" t="inlineStr">
        <is>
          <t>Insumos - Alimentos</t>
        </is>
      </c>
      <c r="N1867" t="inlineStr">
        <is>
          <t>450531</t>
        </is>
      </c>
      <c r="O1867" t="inlineStr">
        <is>
          <t>Documentação Aprovada</t>
        </is>
      </c>
      <c r="P1867" t="inlineStr">
        <is>
          <t>Aprovado Diretoria</t>
        </is>
      </c>
      <c r="Q1867" t="inlineStr">
        <is>
          <t>Aprovado Caixa</t>
        </is>
      </c>
      <c r="R1867" t="inlineStr">
        <is>
          <t>Pago</t>
        </is>
      </c>
      <c r="S1867" t="n">
        <v>182</v>
      </c>
      <c r="T1867" t="inlineStr">
        <is>
          <t>Love - Shibari - Kamino</t>
        </is>
      </c>
    </row>
    <row r="1868">
      <c r="A1868" t="n">
        <v>131427</v>
      </c>
      <c r="B1868" t="n">
        <v>128</v>
      </c>
      <c r="C1868" t="inlineStr">
        <is>
          <t>Love Cabaret</t>
        </is>
      </c>
      <c r="D1868" t="inlineStr">
        <is>
          <t xml:space="preserve">EMPORIO MEL </t>
        </is>
      </c>
      <c r="E1868" t="n">
        <v>574.5</v>
      </c>
      <c r="F1868" s="27" t="n">
        <v>45813</v>
      </c>
      <c r="G1868" s="27" t="n">
        <v>45812</v>
      </c>
      <c r="H1868" s="27" t="n">
        <v>45812</v>
      </c>
      <c r="I1868" s="27" t="n">
        <v>45785</v>
      </c>
      <c r="J1868" s="27" t="n">
        <v>45786</v>
      </c>
      <c r="K1868" t="inlineStr">
        <is>
          <t>Boleto Bancário</t>
        </is>
      </c>
      <c r="L1868" t="inlineStr">
        <is>
          <t>Custo Mercadoria Vendida</t>
        </is>
      </c>
      <c r="M1868" t="inlineStr">
        <is>
          <t>Insumos - Alimentos</t>
        </is>
      </c>
      <c r="N1868" t="inlineStr">
        <is>
          <t>451209</t>
        </is>
      </c>
      <c r="O1868" t="inlineStr">
        <is>
          <t>Documentação Aprovada</t>
        </is>
      </c>
      <c r="P1868" t="inlineStr">
        <is>
          <t>Aprovado Diretoria</t>
        </is>
      </c>
      <c r="Q1868" t="inlineStr">
        <is>
          <t>Aprovado Caixa</t>
        </is>
      </c>
      <c r="R1868" t="inlineStr">
        <is>
          <t>Pago</t>
        </is>
      </c>
      <c r="S1868" t="n">
        <v>182</v>
      </c>
      <c r="T1868" t="inlineStr">
        <is>
          <t>Love - Shibari - Kamino</t>
        </is>
      </c>
    </row>
    <row r="1869">
      <c r="A1869" t="n">
        <v>131424</v>
      </c>
      <c r="B1869" t="n">
        <v>128</v>
      </c>
      <c r="C1869" t="inlineStr">
        <is>
          <t>Love Cabaret</t>
        </is>
      </c>
      <c r="D1869" t="inlineStr">
        <is>
          <t>ANDREIA SANTOS FREITAS DUARTE</t>
        </is>
      </c>
      <c r="E1869" t="n">
        <v>409.1</v>
      </c>
      <c r="F1869" s="27" t="n">
        <v>45813</v>
      </c>
      <c r="G1869" s="27" t="n">
        <v>45812</v>
      </c>
      <c r="H1869" s="27" t="n">
        <v>45812</v>
      </c>
      <c r="I1869" s="27" t="n">
        <v>45786</v>
      </c>
      <c r="J1869" s="27" t="n">
        <v>45786</v>
      </c>
      <c r="K1869" t="inlineStr">
        <is>
          <t>Boleto Bancário</t>
        </is>
      </c>
      <c r="L1869" t="inlineStr">
        <is>
          <t>Custo Mercadoria Vendida</t>
        </is>
      </c>
      <c r="M1869" t="inlineStr">
        <is>
          <t>Insumos - Alimentos</t>
        </is>
      </c>
      <c r="N1869" t="inlineStr">
        <is>
          <t>1832</t>
        </is>
      </c>
      <c r="O1869" t="inlineStr">
        <is>
          <t>Documentação Aprovada</t>
        </is>
      </c>
      <c r="P1869" t="inlineStr">
        <is>
          <t>Aprovado Diretoria</t>
        </is>
      </c>
      <c r="Q1869" t="inlineStr">
        <is>
          <t>Aprovado Caixa</t>
        </is>
      </c>
      <c r="R1869" t="inlineStr">
        <is>
          <t>Pago</t>
        </is>
      </c>
      <c r="S1869" t="n">
        <v>182</v>
      </c>
      <c r="T1869" t="inlineStr">
        <is>
          <t>Love - Shibari - Kamino</t>
        </is>
      </c>
    </row>
    <row r="1870">
      <c r="A1870" t="n">
        <v>136139</v>
      </c>
      <c r="B1870" t="n">
        <v>128</v>
      </c>
      <c r="C1870" t="inlineStr">
        <is>
          <t>Love Cabaret</t>
        </is>
      </c>
      <c r="D1870" t="inlineStr">
        <is>
          <t>CAROLINE FERREIRA DA SILVA</t>
        </is>
      </c>
      <c r="E1870" t="n">
        <v>2313.34</v>
      </c>
      <c r="F1870" s="27" t="n">
        <v>45814</v>
      </c>
      <c r="G1870" s="27" t="n">
        <v>45812</v>
      </c>
      <c r="H1870" s="27" t="n">
        <v>45812</v>
      </c>
      <c r="I1870" s="27" t="n">
        <v>45807</v>
      </c>
      <c r="J1870" s="27" t="n"/>
      <c r="K1870" t="inlineStr">
        <is>
          <t>Transferência Bancária ou Pix</t>
        </is>
      </c>
      <c r="L1870" t="inlineStr">
        <is>
          <t>Mão de Obra - Salários</t>
        </is>
      </c>
      <c r="M1870" t="inlineStr">
        <is>
          <t>MDO CLT - Salário</t>
        </is>
      </c>
      <c r="N1870" t="inlineStr">
        <is>
          <t>052025</t>
        </is>
      </c>
      <c r="O1870" t="inlineStr">
        <is>
          <t>Documentação Aprovada</t>
        </is>
      </c>
      <c r="P1870" t="inlineStr">
        <is>
          <t>Aprovado Diretoria</t>
        </is>
      </c>
      <c r="Q1870" t="inlineStr">
        <is>
          <t>Aprovado Caixa</t>
        </is>
      </c>
      <c r="R1870" t="inlineStr">
        <is>
          <t>Pago</t>
        </is>
      </c>
      <c r="S1870" t="n">
        <v>115</v>
      </c>
      <c r="T1870" t="inlineStr">
        <is>
          <t>Love - Shibari - Bradesco</t>
        </is>
      </c>
    </row>
    <row r="1871">
      <c r="A1871" t="n">
        <v>136140</v>
      </c>
      <c r="B1871" t="n">
        <v>128</v>
      </c>
      <c r="C1871" t="inlineStr">
        <is>
          <t>Love Cabaret</t>
        </is>
      </c>
      <c r="D1871" t="inlineStr">
        <is>
          <t>PEDRO THOMAZ RODRIGUES</t>
        </is>
      </c>
      <c r="E1871" t="n">
        <v>1948.76</v>
      </c>
      <c r="F1871" s="27" t="n">
        <v>45814</v>
      </c>
      <c r="G1871" s="27" t="n">
        <v>45812</v>
      </c>
      <c r="H1871" s="27" t="n">
        <v>45812</v>
      </c>
      <c r="I1871" s="27" t="n">
        <v>45807</v>
      </c>
      <c r="J1871" s="27" t="n"/>
      <c r="K1871" t="inlineStr">
        <is>
          <t>Transferência Bancária ou Pix</t>
        </is>
      </c>
      <c r="L1871" t="inlineStr">
        <is>
          <t>Mão de Obra - Salários</t>
        </is>
      </c>
      <c r="M1871" t="inlineStr">
        <is>
          <t>MDO CLT - Salário</t>
        </is>
      </c>
      <c r="N1871" t="inlineStr">
        <is>
          <t>052025</t>
        </is>
      </c>
      <c r="O1871" t="inlineStr">
        <is>
          <t>Documentação Aprovada</t>
        </is>
      </c>
      <c r="P1871" t="inlineStr">
        <is>
          <t>Aprovado Diretoria</t>
        </is>
      </c>
      <c r="Q1871" t="inlineStr">
        <is>
          <t>Aprovado Caixa</t>
        </is>
      </c>
      <c r="R1871" t="inlineStr">
        <is>
          <t>Pago</t>
        </is>
      </c>
      <c r="S1871" t="n">
        <v>115</v>
      </c>
      <c r="T1871" t="inlineStr">
        <is>
          <t>Love - Shibari - Bradesco</t>
        </is>
      </c>
    </row>
    <row r="1872">
      <c r="A1872" t="n">
        <v>133885</v>
      </c>
      <c r="B1872" t="n">
        <v>128</v>
      </c>
      <c r="C1872" t="inlineStr">
        <is>
          <t>Love Cabaret</t>
        </is>
      </c>
      <c r="D1872" t="inlineStr">
        <is>
          <t>HORTIFRUTIGRANJEIRO RODRIGUES LTDA</t>
        </is>
      </c>
      <c r="E1872" t="n">
        <v>177.55</v>
      </c>
      <c r="F1872" s="27" t="n">
        <v>45813</v>
      </c>
      <c r="G1872" s="27" t="n">
        <v>45812</v>
      </c>
      <c r="H1872" s="27" t="n">
        <v>45812</v>
      </c>
      <c r="I1872" s="27" t="n">
        <v>45796</v>
      </c>
      <c r="J1872" s="27" t="n">
        <v>45799</v>
      </c>
      <c r="K1872" t="inlineStr">
        <is>
          <t>Boleto Bancário</t>
        </is>
      </c>
      <c r="L1872" t="inlineStr">
        <is>
          <t>Custo Mercadoria Vendida</t>
        </is>
      </c>
      <c r="M1872" t="inlineStr">
        <is>
          <t>Insumos - Alimentos</t>
        </is>
      </c>
      <c r="N1872" t="inlineStr">
        <is>
          <t>10462</t>
        </is>
      </c>
      <c r="O1872" t="inlineStr">
        <is>
          <t>Documentação Aprovada</t>
        </is>
      </c>
      <c r="P1872" t="inlineStr">
        <is>
          <t>Aprovado Diretoria</t>
        </is>
      </c>
      <c r="Q1872" t="inlineStr">
        <is>
          <t>Aprovado Caixa</t>
        </is>
      </c>
      <c r="R1872" t="inlineStr">
        <is>
          <t>Pago</t>
        </is>
      </c>
      <c r="S1872" t="n">
        <v>182</v>
      </c>
      <c r="T1872" t="inlineStr">
        <is>
          <t>Love - Shibari - Kamino</t>
        </is>
      </c>
    </row>
    <row r="1873">
      <c r="A1873" t="n">
        <v>102867</v>
      </c>
      <c r="B1873" t="n">
        <v>128</v>
      </c>
      <c r="C1873" t="inlineStr">
        <is>
          <t>Love Cabaret</t>
        </is>
      </c>
      <c r="D1873" t="inlineStr">
        <is>
          <t>MACHINE SEGURANCA PATRIMONIAL LTDA</t>
        </is>
      </c>
      <c r="E1873" t="n">
        <v>8170</v>
      </c>
      <c r="F1873" s="27" t="n">
        <v>45814</v>
      </c>
      <c r="G1873" s="27" t="n">
        <v>45812</v>
      </c>
      <c r="H1873" s="27" t="n">
        <v>45812</v>
      </c>
      <c r="I1873" s="27" t="n">
        <v>45808</v>
      </c>
      <c r="J1873" s="27" t="n"/>
      <c r="K1873" t="inlineStr">
        <is>
          <t>Transferência Bancária ou Pix</t>
        </is>
      </c>
      <c r="L1873" t="inlineStr">
        <is>
          <t>Serviços de Terceiros</t>
        </is>
      </c>
      <c r="M1873" t="inlineStr">
        <is>
          <t>Serviços de Segurança</t>
        </is>
      </c>
      <c r="N1873" t="inlineStr">
        <is>
          <t>368</t>
        </is>
      </c>
      <c r="O1873" t="inlineStr">
        <is>
          <t>Documentação Aprovada</t>
        </is>
      </c>
      <c r="P1873" t="inlineStr">
        <is>
          <t>Aprovado Diretoria</t>
        </is>
      </c>
      <c r="Q1873" t="inlineStr">
        <is>
          <t>Aprovado Caixa</t>
        </is>
      </c>
      <c r="R1873" t="inlineStr">
        <is>
          <t>Pago</t>
        </is>
      </c>
      <c r="S1873" t="n">
        <v>182</v>
      </c>
      <c r="T1873" t="inlineStr">
        <is>
          <t>Love - Shibari - Kamino</t>
        </is>
      </c>
    </row>
    <row r="1874">
      <c r="A1874" t="n">
        <v>97364</v>
      </c>
      <c r="B1874" t="n">
        <v>128</v>
      </c>
      <c r="C1874" t="inlineStr">
        <is>
          <t>Love Cabaret</t>
        </is>
      </c>
      <c r="D1874" t="inlineStr">
        <is>
          <t xml:space="preserve">EDIMAR MOURA TARTAGLIONI SERVICOES DE DEDETIZACAO </t>
        </is>
      </c>
      <c r="E1874" t="n">
        <v>630</v>
      </c>
      <c r="F1874" s="27" t="n">
        <v>45813</v>
      </c>
      <c r="G1874" s="27" t="n">
        <v>45812</v>
      </c>
      <c r="H1874" s="27" t="n">
        <v>45812</v>
      </c>
      <c r="I1874" s="27" t="n">
        <v>45782</v>
      </c>
      <c r="J1874" s="27" t="n"/>
      <c r="K1874" t="inlineStr">
        <is>
          <t>Transferência Bancária ou Pix</t>
        </is>
      </c>
      <c r="L1874" t="inlineStr">
        <is>
          <t>Utilidades</t>
        </is>
      </c>
      <c r="M1874" t="inlineStr">
        <is>
          <t>Controle de Pragas</t>
        </is>
      </c>
      <c r="N1874" t="inlineStr">
        <is>
          <t>532</t>
        </is>
      </c>
      <c r="O1874" t="inlineStr">
        <is>
          <t>Documentação Aprovada</t>
        </is>
      </c>
      <c r="P1874" t="inlineStr">
        <is>
          <t>Aprovado Diretoria</t>
        </is>
      </c>
      <c r="Q1874" t="inlineStr">
        <is>
          <t>Aprovado Caixa</t>
        </is>
      </c>
      <c r="R1874" t="inlineStr">
        <is>
          <t>Pago</t>
        </is>
      </c>
      <c r="S1874" t="n">
        <v>182</v>
      </c>
      <c r="T1874" t="inlineStr">
        <is>
          <t>Love - Shibari - Kamino</t>
        </is>
      </c>
    </row>
    <row r="1875">
      <c r="A1875" t="n">
        <v>97393</v>
      </c>
      <c r="B1875" t="n">
        <v>128</v>
      </c>
      <c r="C1875" t="inlineStr">
        <is>
          <t>Love Cabaret</t>
        </is>
      </c>
      <c r="D1875" t="inlineStr">
        <is>
          <t>EASY ICE SOLUTION LTDA-ME LOCAÇÃO</t>
        </is>
      </c>
      <c r="E1875" t="n">
        <v>1600</v>
      </c>
      <c r="F1875" s="27" t="n">
        <v>45813</v>
      </c>
      <c r="G1875" s="27" t="n">
        <v>45812</v>
      </c>
      <c r="H1875" s="27" t="n">
        <v>45812</v>
      </c>
      <c r="I1875" s="27" t="n">
        <v>45802</v>
      </c>
      <c r="J1875" s="27" t="n"/>
      <c r="K1875" t="inlineStr">
        <is>
          <t>Boleto Bancário</t>
        </is>
      </c>
      <c r="L1875" t="inlineStr">
        <is>
          <t>Locação de Equipamentos</t>
        </is>
      </c>
      <c r="M1875" t="inlineStr">
        <is>
          <t>Locações de Equipamentos - Operacionais</t>
        </is>
      </c>
      <c r="N1875" t="inlineStr">
        <is>
          <t>8404</t>
        </is>
      </c>
      <c r="O1875" t="inlineStr">
        <is>
          <t>Documentação Aprovada</t>
        </is>
      </c>
      <c r="P1875" t="inlineStr">
        <is>
          <t>Aprovado Diretoria</t>
        </is>
      </c>
      <c r="Q1875" t="inlineStr">
        <is>
          <t>Aprovado Caixa</t>
        </is>
      </c>
      <c r="R1875" t="inlineStr">
        <is>
          <t>Pago</t>
        </is>
      </c>
      <c r="S1875" t="n">
        <v>182</v>
      </c>
      <c r="T1875" t="inlineStr">
        <is>
          <t>Love - Shibari - Kamino</t>
        </is>
      </c>
    </row>
    <row r="1876">
      <c r="A1876" t="n">
        <v>97315</v>
      </c>
      <c r="B1876" t="n">
        <v>128</v>
      </c>
      <c r="C1876" t="inlineStr">
        <is>
          <t>Love Cabaret</t>
        </is>
      </c>
      <c r="D1876" t="inlineStr">
        <is>
          <t>ESCRITORIO CENTRAL DE ARRECADACAO E DISTRIBUICAO ECAD</t>
        </is>
      </c>
      <c r="E1876" t="n">
        <v>802.5</v>
      </c>
      <c r="F1876" s="27" t="n">
        <v>45813</v>
      </c>
      <c r="G1876" s="27" t="n">
        <v>45812</v>
      </c>
      <c r="H1876" s="27" t="n">
        <v>45812</v>
      </c>
      <c r="I1876" s="27" t="n">
        <v>45796</v>
      </c>
      <c r="J1876" s="27" t="n"/>
      <c r="K1876" t="inlineStr">
        <is>
          <t>Boleto Bancário</t>
        </is>
      </c>
      <c r="L1876" t="inlineStr">
        <is>
          <t>Custos Artístico Geral</t>
        </is>
      </c>
      <c r="M1876" t="inlineStr">
        <is>
          <t>Taxas e Licenças - Artístico</t>
        </is>
      </c>
      <c r="N1876" t="inlineStr">
        <is>
          <t xml:space="preserve">9022095652 </t>
        </is>
      </c>
      <c r="O1876" t="inlineStr">
        <is>
          <t>Documentação Aprovada</t>
        </is>
      </c>
      <c r="P1876" t="inlineStr">
        <is>
          <t>Aprovado Diretoria</t>
        </is>
      </c>
      <c r="Q1876" t="inlineStr">
        <is>
          <t>Aprovado Caixa</t>
        </is>
      </c>
      <c r="R1876" t="inlineStr">
        <is>
          <t>Pago</t>
        </is>
      </c>
      <c r="S1876" t="n">
        <v>182</v>
      </c>
      <c r="T1876" t="inlineStr">
        <is>
          <t>Love - Shibari - Kamino</t>
        </is>
      </c>
    </row>
    <row r="1877">
      <c r="A1877" t="n">
        <v>96859</v>
      </c>
      <c r="B1877" t="n">
        <v>128</v>
      </c>
      <c r="C1877" t="inlineStr">
        <is>
          <t>Love Cabaret</t>
        </is>
      </c>
      <c r="D1877" t="inlineStr">
        <is>
          <t>AGENCIA BIOMA PUBLICIDADE E EVENTOS LTDA - FACUNDO</t>
        </is>
      </c>
      <c r="E1877" t="n">
        <v>7000</v>
      </c>
      <c r="F1877" s="27" t="n">
        <v>45813</v>
      </c>
      <c r="G1877" s="27" t="n">
        <v>45812</v>
      </c>
      <c r="H1877" s="27" t="n">
        <v>45812</v>
      </c>
      <c r="I1877" s="27" t="n">
        <v>45797</v>
      </c>
      <c r="J1877" s="27" t="n"/>
      <c r="K1877" t="inlineStr">
        <is>
          <t>Transferência Bancária ou Pix</t>
        </is>
      </c>
      <c r="L1877" t="inlineStr">
        <is>
          <t>Marketing</t>
        </is>
      </c>
      <c r="M1877" t="inlineStr">
        <is>
          <t>Agência de Propaganda</t>
        </is>
      </c>
      <c r="N1877" t="inlineStr">
        <is>
          <t>308</t>
        </is>
      </c>
      <c r="O1877" t="inlineStr">
        <is>
          <t>Documentação Aprovada</t>
        </is>
      </c>
      <c r="P1877" t="inlineStr">
        <is>
          <t>Aprovado Diretoria</t>
        </is>
      </c>
      <c r="Q1877" t="inlineStr">
        <is>
          <t>Aprovado Caixa</t>
        </is>
      </c>
      <c r="R1877" t="inlineStr">
        <is>
          <t>Pago</t>
        </is>
      </c>
      <c r="S1877" t="n">
        <v>182</v>
      </c>
      <c r="T1877" t="inlineStr">
        <is>
          <t>Love - Shibari - Kamino</t>
        </is>
      </c>
    </row>
    <row r="1878">
      <c r="A1878" t="n">
        <v>97103</v>
      </c>
      <c r="B1878" t="n">
        <v>128</v>
      </c>
      <c r="C1878" t="inlineStr">
        <is>
          <t>Love Cabaret</t>
        </is>
      </c>
      <c r="D1878" t="inlineStr">
        <is>
          <t>ESTAFF SOLUCOES TECNOLOGICAS DE AGENCIAMENTO LTDA</t>
        </is>
      </c>
      <c r="E1878" t="n">
        <v>13068</v>
      </c>
      <c r="F1878" s="27" t="n">
        <v>45812</v>
      </c>
      <c r="G1878" s="27" t="n">
        <v>45812</v>
      </c>
      <c r="H1878" s="27" t="n">
        <v>45812</v>
      </c>
      <c r="I1878" s="27" t="n">
        <v>45803</v>
      </c>
      <c r="J1878" s="27" t="n"/>
      <c r="K1878" t="inlineStr">
        <is>
          <t>Boleto Bancário</t>
        </is>
      </c>
      <c r="L1878" t="inlineStr">
        <is>
          <t>Mão de Obra - Extra</t>
        </is>
      </c>
      <c r="M1878" t="inlineStr">
        <is>
          <t>Mão de Obra Extra</t>
        </is>
      </c>
      <c r="N1878" t="inlineStr">
        <is>
          <t>574680022</t>
        </is>
      </c>
      <c r="O1878" t="inlineStr">
        <is>
          <t>Documentação Aprovada</t>
        </is>
      </c>
      <c r="P1878" t="inlineStr">
        <is>
          <t>Aprovado Diretoria</t>
        </is>
      </c>
      <c r="Q1878" t="inlineStr">
        <is>
          <t>Aprovado Caixa</t>
        </is>
      </c>
      <c r="R1878" t="inlineStr">
        <is>
          <t>Pago</t>
        </is>
      </c>
      <c r="S1878" t="n">
        <v>182</v>
      </c>
      <c r="T1878" t="inlineStr">
        <is>
          <t>Love - Shibari - Kamino</t>
        </is>
      </c>
    </row>
    <row r="1879">
      <c r="A1879" t="n">
        <v>136425</v>
      </c>
      <c r="B1879" t="n">
        <v>128</v>
      </c>
      <c r="C1879" t="inlineStr">
        <is>
          <t>Love Cabaret</t>
        </is>
      </c>
      <c r="D1879" t="inlineStr">
        <is>
          <t xml:space="preserve">TIAGO FRANCO RAMOS </t>
        </is>
      </c>
      <c r="E1879" t="n">
        <v>711</v>
      </c>
      <c r="F1879" s="27" t="n">
        <v>45811</v>
      </c>
      <c r="G1879" s="27" t="n">
        <v>45812</v>
      </c>
      <c r="H1879" s="27" t="n">
        <v>45811</v>
      </c>
      <c r="I1879" s="27" t="n">
        <v>45803</v>
      </c>
      <c r="J1879" s="27" t="n">
        <v>45811</v>
      </c>
      <c r="K1879" t="inlineStr">
        <is>
          <t>Transferência Bancária ou Pix</t>
        </is>
      </c>
      <c r="L1879" t="inlineStr">
        <is>
          <t>Custos Artístico Geral</t>
        </is>
      </c>
      <c r="M1879" t="inlineStr">
        <is>
          <t>Cachê de Músicos e Artistas</t>
        </is>
      </c>
      <c r="N1879" t="inlineStr">
        <is>
          <t>3</t>
        </is>
      </c>
      <c r="O1879" t="inlineStr">
        <is>
          <t>Documentação Aprovada</t>
        </is>
      </c>
      <c r="P1879" t="inlineStr">
        <is>
          <t>Aprovado Diretoria</t>
        </is>
      </c>
      <c r="Q1879" t="inlineStr">
        <is>
          <t>Aprovado Caixa</t>
        </is>
      </c>
      <c r="R1879" t="inlineStr">
        <is>
          <t>Pago</t>
        </is>
      </c>
      <c r="S1879" t="n">
        <v>115</v>
      </c>
      <c r="T1879" t="inlineStr">
        <is>
          <t>Love - Shibari - Bradesco</t>
        </is>
      </c>
    </row>
    <row r="1880">
      <c r="A1880" t="n">
        <v>140409</v>
      </c>
      <c r="B1880" t="n">
        <v>128</v>
      </c>
      <c r="C1880" t="inlineStr">
        <is>
          <t>Love Cabaret</t>
        </is>
      </c>
      <c r="D1880" t="inlineStr">
        <is>
          <t>ESPACIAL SUPR. DE ESCRITORIO E INF. LTDA</t>
        </is>
      </c>
      <c r="E1880" t="n">
        <v>336.39</v>
      </c>
      <c r="F1880" s="27" t="n">
        <v>45820</v>
      </c>
      <c r="G1880" s="27" t="n">
        <v>45845</v>
      </c>
      <c r="H1880" s="27" t="n">
        <v>45811</v>
      </c>
      <c r="I1880" s="27" t="n">
        <v>45820</v>
      </c>
      <c r="J1880" s="27" t="n">
        <v>45826</v>
      </c>
      <c r="K1880" t="inlineStr">
        <is>
          <t>Transferência Bancária ou Pix</t>
        </is>
      </c>
      <c r="L1880" t="inlineStr">
        <is>
          <t>Utilidades</t>
        </is>
      </c>
      <c r="M1880" t="inlineStr">
        <is>
          <t>Utensilios</t>
        </is>
      </c>
      <c r="N1880" t="inlineStr">
        <is>
          <t>1033103</t>
        </is>
      </c>
      <c r="O1880" t="inlineStr">
        <is>
          <t>Documentação Aprovada</t>
        </is>
      </c>
      <c r="P1880" t="inlineStr">
        <is>
          <t>Aprovado Diretoria</t>
        </is>
      </c>
      <c r="Q1880" t="inlineStr">
        <is>
          <t>Aprovado Caixa</t>
        </is>
      </c>
      <c r="R1880" t="inlineStr">
        <is>
          <t>Pago</t>
        </is>
      </c>
      <c r="S1880" t="n">
        <v>115</v>
      </c>
      <c r="T1880" t="inlineStr">
        <is>
          <t>Love - Shibari - Bradesco</t>
        </is>
      </c>
    </row>
    <row r="1881">
      <c r="A1881" t="n">
        <v>134097</v>
      </c>
      <c r="B1881" t="n">
        <v>128</v>
      </c>
      <c r="C1881" t="inlineStr">
        <is>
          <t>Love Cabaret</t>
        </is>
      </c>
      <c r="D1881" t="inlineStr">
        <is>
          <t>HNK BR IND DE BEBIDAS</t>
        </is>
      </c>
      <c r="E1881" t="n">
        <v>10446.1</v>
      </c>
      <c r="F1881" s="27" t="n">
        <v>45812</v>
      </c>
      <c r="G1881" s="27" t="n">
        <v>45810</v>
      </c>
      <c r="H1881" s="27" t="n">
        <v>45810</v>
      </c>
      <c r="I1881" s="27" t="n">
        <v>45797</v>
      </c>
      <c r="J1881" s="27" t="n">
        <v>45800</v>
      </c>
      <c r="K1881" t="inlineStr">
        <is>
          <t>Boleto Bancário</t>
        </is>
      </c>
      <c r="L1881" t="inlineStr">
        <is>
          <t>Custo Mercadoria Vendida</t>
        </is>
      </c>
      <c r="M1881" t="inlineStr">
        <is>
          <t>Insumos - Bebidas</t>
        </is>
      </c>
      <c r="N1881" t="inlineStr">
        <is>
          <t>253712</t>
        </is>
      </c>
      <c r="O1881" t="inlineStr">
        <is>
          <t>Documentação Aprovada</t>
        </is>
      </c>
      <c r="P1881" t="inlineStr">
        <is>
          <t>Aprovado Diretoria</t>
        </is>
      </c>
      <c r="Q1881" t="inlineStr">
        <is>
          <t>Aprovado Caixa</t>
        </is>
      </c>
      <c r="R1881" t="inlineStr">
        <is>
          <t>Pago</t>
        </is>
      </c>
      <c r="S1881" t="n">
        <v>182</v>
      </c>
      <c r="T1881" t="inlineStr">
        <is>
          <t>Love - Shibari - Kamino</t>
        </is>
      </c>
    </row>
    <row r="1882">
      <c r="A1882" t="n">
        <v>134093</v>
      </c>
      <c r="B1882" t="n">
        <v>128</v>
      </c>
      <c r="C1882" t="inlineStr">
        <is>
          <t>Love Cabaret</t>
        </is>
      </c>
      <c r="D1882" t="inlineStr">
        <is>
          <t xml:space="preserve">FORTE ALIMENTOS COM. IMPORTAÇÃO LTDA </t>
        </is>
      </c>
      <c r="E1882" t="n">
        <v>552.78</v>
      </c>
      <c r="F1882" s="27" t="n">
        <v>45811</v>
      </c>
      <c r="G1882" s="27" t="n">
        <v>45810</v>
      </c>
      <c r="H1882" s="27" t="n">
        <v>45810</v>
      </c>
      <c r="I1882" s="27" t="n">
        <v>45796</v>
      </c>
      <c r="J1882" s="27" t="n">
        <v>45800</v>
      </c>
      <c r="K1882" t="inlineStr">
        <is>
          <t>Boleto Bancário</t>
        </is>
      </c>
      <c r="L1882" t="inlineStr">
        <is>
          <t>Custo Mercadoria Vendida</t>
        </is>
      </c>
      <c r="M1882" t="inlineStr">
        <is>
          <t>Insumos - Alimentos</t>
        </is>
      </c>
      <c r="N1882" t="inlineStr">
        <is>
          <t>312772</t>
        </is>
      </c>
      <c r="O1882" t="inlineStr">
        <is>
          <t>Documentação Aprovada</t>
        </is>
      </c>
      <c r="P1882" t="inlineStr">
        <is>
          <t>Aprovado Diretoria</t>
        </is>
      </c>
      <c r="Q1882" t="inlineStr">
        <is>
          <t>Aprovado Caixa</t>
        </is>
      </c>
      <c r="R1882" t="inlineStr">
        <is>
          <t>Pago</t>
        </is>
      </c>
      <c r="S1882" t="n">
        <v>182</v>
      </c>
      <c r="T1882" t="inlineStr">
        <is>
          <t>Love - Shibari - Kamino</t>
        </is>
      </c>
    </row>
    <row r="1883">
      <c r="A1883" t="n">
        <v>134099</v>
      </c>
      <c r="B1883" t="n">
        <v>128</v>
      </c>
      <c r="C1883" t="inlineStr">
        <is>
          <t>Love Cabaret</t>
        </is>
      </c>
      <c r="D1883" t="inlineStr">
        <is>
          <t xml:space="preserve"> FAMIGERADA COMERCIO E EXPORTACAO DE BEBIDAS LTDA</t>
        </is>
      </c>
      <c r="E1883" t="n">
        <v>192.5</v>
      </c>
      <c r="F1883" s="27" t="n">
        <v>45811</v>
      </c>
      <c r="G1883" s="27" t="n">
        <v>45810</v>
      </c>
      <c r="H1883" s="27" t="n">
        <v>45810</v>
      </c>
      <c r="I1883" s="27" t="n">
        <v>45797</v>
      </c>
      <c r="J1883" s="27" t="n">
        <v>45800</v>
      </c>
      <c r="K1883" t="inlineStr">
        <is>
          <t>Boleto Bancário</t>
        </is>
      </c>
      <c r="L1883" t="inlineStr">
        <is>
          <t>Custo Mercadoria Vendida</t>
        </is>
      </c>
      <c r="M1883" t="inlineStr">
        <is>
          <t>Insumos - Bebidas</t>
        </is>
      </c>
      <c r="N1883" t="inlineStr">
        <is>
          <t>1592</t>
        </is>
      </c>
      <c r="O1883" t="inlineStr">
        <is>
          <t>Documentação Aprovada</t>
        </is>
      </c>
      <c r="P1883" t="inlineStr">
        <is>
          <t>Aprovado Diretoria</t>
        </is>
      </c>
      <c r="Q1883" t="inlineStr">
        <is>
          <t>Aprovado Caixa</t>
        </is>
      </c>
      <c r="R1883" t="inlineStr">
        <is>
          <t>Pago</t>
        </is>
      </c>
      <c r="S1883" t="n">
        <v>182</v>
      </c>
      <c r="T1883" t="inlineStr">
        <is>
          <t>Love - Shibari - Kamino</t>
        </is>
      </c>
    </row>
    <row r="1884">
      <c r="A1884" t="n">
        <v>134090</v>
      </c>
      <c r="B1884" t="n">
        <v>128</v>
      </c>
      <c r="C1884" t="inlineStr">
        <is>
          <t>Love Cabaret</t>
        </is>
      </c>
      <c r="D1884" t="inlineStr">
        <is>
          <t>ASSAZ ORGANICA INDUSTRIA E COMERCIO DE ALIMENTOS LTDA</t>
        </is>
      </c>
      <c r="E1884" t="n">
        <v>39</v>
      </c>
      <c r="F1884" s="27" t="n">
        <v>45812</v>
      </c>
      <c r="G1884" s="27" t="n">
        <v>45810</v>
      </c>
      <c r="H1884" s="27" t="n">
        <v>45810</v>
      </c>
      <c r="I1884" s="27" t="n">
        <v>45797</v>
      </c>
      <c r="J1884" s="27" t="n">
        <v>45800</v>
      </c>
      <c r="K1884" t="inlineStr">
        <is>
          <t>Boleto Bancário</t>
        </is>
      </c>
      <c r="L1884" t="inlineStr">
        <is>
          <t>Custo Mercadoria Vendida</t>
        </is>
      </c>
      <c r="M1884" t="inlineStr">
        <is>
          <t>Insumos - Alimentos</t>
        </is>
      </c>
      <c r="N1884" t="inlineStr">
        <is>
          <t>20694</t>
        </is>
      </c>
      <c r="O1884" t="inlineStr">
        <is>
          <t>Documentação Aprovada</t>
        </is>
      </c>
      <c r="P1884" t="inlineStr">
        <is>
          <t>Aprovado Diretoria</t>
        </is>
      </c>
      <c r="Q1884" t="inlineStr">
        <is>
          <t>Aprovado Caixa</t>
        </is>
      </c>
      <c r="R1884" t="inlineStr">
        <is>
          <t>Pago</t>
        </is>
      </c>
      <c r="S1884" t="n">
        <v>182</v>
      </c>
      <c r="T1884" t="inlineStr">
        <is>
          <t>Love - Shibari - Kamino</t>
        </is>
      </c>
    </row>
    <row r="1885">
      <c r="A1885" t="n">
        <v>134105</v>
      </c>
      <c r="B1885" t="n">
        <v>128</v>
      </c>
      <c r="C1885" t="inlineStr">
        <is>
          <t>Love Cabaret</t>
        </is>
      </c>
      <c r="D1885" t="inlineStr">
        <is>
          <t xml:space="preserve">ARENA VIP DISTRIBUIDORA DE BEBIDAS LTDA </t>
        </is>
      </c>
      <c r="E1885" t="n">
        <v>352.8</v>
      </c>
      <c r="F1885" s="27" t="n">
        <v>45811</v>
      </c>
      <c r="G1885" s="27" t="n">
        <v>45810</v>
      </c>
      <c r="H1885" s="27" t="n">
        <v>45810</v>
      </c>
      <c r="I1885" s="27" t="n">
        <v>45797</v>
      </c>
      <c r="J1885" s="27" t="n">
        <v>45800</v>
      </c>
      <c r="K1885" t="inlineStr">
        <is>
          <t>Boleto Bancário</t>
        </is>
      </c>
      <c r="L1885" t="inlineStr">
        <is>
          <t>Custo Mercadoria Vendida</t>
        </is>
      </c>
      <c r="M1885" t="inlineStr">
        <is>
          <t>Insumos - Bebidas</t>
        </is>
      </c>
      <c r="N1885" t="inlineStr">
        <is>
          <t>3742</t>
        </is>
      </c>
      <c r="O1885" t="inlineStr">
        <is>
          <t>Documentação Aprovada</t>
        </is>
      </c>
      <c r="P1885" t="inlineStr">
        <is>
          <t>Aprovado Diretoria</t>
        </is>
      </c>
      <c r="Q1885" t="inlineStr">
        <is>
          <t>Aprovado Caixa</t>
        </is>
      </c>
      <c r="R1885" t="inlineStr">
        <is>
          <t>Pago</t>
        </is>
      </c>
      <c r="S1885" t="n">
        <v>182</v>
      </c>
      <c r="T1885" t="inlineStr">
        <is>
          <t>Love - Shibari - Kamino</t>
        </is>
      </c>
    </row>
    <row r="1886">
      <c r="A1886" t="n">
        <v>135138</v>
      </c>
      <c r="B1886" t="n">
        <v>128</v>
      </c>
      <c r="C1886" t="inlineStr">
        <is>
          <t>Love Cabaret</t>
        </is>
      </c>
      <c r="D1886" t="inlineStr">
        <is>
          <t>HNK BR IND DE BEBIDAS</t>
        </is>
      </c>
      <c r="E1886" t="n">
        <v>724.38</v>
      </c>
      <c r="F1886" s="27" t="n">
        <v>45812</v>
      </c>
      <c r="G1886" s="27" t="n">
        <v>45810</v>
      </c>
      <c r="H1886" s="27" t="n">
        <v>45810</v>
      </c>
      <c r="I1886" s="27" t="n">
        <v>45797</v>
      </c>
      <c r="J1886" s="27" t="n">
        <v>45806</v>
      </c>
      <c r="K1886" t="inlineStr">
        <is>
          <t>Boleto Bancário</t>
        </is>
      </c>
      <c r="L1886" t="inlineStr">
        <is>
          <t>Custo Mercadoria Vendida</t>
        </is>
      </c>
      <c r="M1886" t="inlineStr">
        <is>
          <t>Insumos - Bebidas</t>
        </is>
      </c>
      <c r="N1886" t="inlineStr">
        <is>
          <t>253713</t>
        </is>
      </c>
      <c r="O1886" t="inlineStr">
        <is>
          <t>Documentação Aprovada</t>
        </is>
      </c>
      <c r="P1886" t="inlineStr">
        <is>
          <t>Aprovado Diretoria</t>
        </is>
      </c>
      <c r="Q1886" t="inlineStr">
        <is>
          <t>Aprovado Caixa</t>
        </is>
      </c>
      <c r="R1886" t="inlineStr">
        <is>
          <t>Pago</t>
        </is>
      </c>
      <c r="S1886" t="n">
        <v>182</v>
      </c>
      <c r="T1886" t="inlineStr">
        <is>
          <t>Love - Shibari - Kamino</t>
        </is>
      </c>
    </row>
    <row r="1887">
      <c r="A1887" t="n">
        <v>135150</v>
      </c>
      <c r="B1887" t="n">
        <v>128</v>
      </c>
      <c r="C1887" t="inlineStr">
        <is>
          <t>Love Cabaret</t>
        </is>
      </c>
      <c r="D1887" t="inlineStr">
        <is>
          <t xml:space="preserve">ARENA VIP DISTRIBUIDORA DE BEBIDAS LTDA </t>
        </is>
      </c>
      <c r="E1887" t="n">
        <v>2255.76</v>
      </c>
      <c r="F1887" s="27" t="n">
        <v>45811</v>
      </c>
      <c r="G1887" s="27" t="n">
        <v>45810</v>
      </c>
      <c r="H1887" s="27" t="n">
        <v>45810</v>
      </c>
      <c r="I1887" s="27" t="n">
        <v>45790</v>
      </c>
      <c r="J1887" s="27" t="n">
        <v>45806</v>
      </c>
      <c r="K1887" t="inlineStr">
        <is>
          <t>Boleto Bancário</t>
        </is>
      </c>
      <c r="L1887" t="inlineStr">
        <is>
          <t>Custo Mercadoria Vendida</t>
        </is>
      </c>
      <c r="M1887" t="inlineStr">
        <is>
          <t>Insumos - Bebidas</t>
        </is>
      </c>
      <c r="N1887" t="inlineStr">
        <is>
          <t>3302</t>
        </is>
      </c>
      <c r="O1887" t="inlineStr">
        <is>
          <t>Documentação Aprovada</t>
        </is>
      </c>
      <c r="P1887" t="inlineStr">
        <is>
          <t>Aprovado Diretoria</t>
        </is>
      </c>
      <c r="Q1887" t="inlineStr">
        <is>
          <t>Aprovado Caixa</t>
        </is>
      </c>
      <c r="R1887" t="inlineStr">
        <is>
          <t>Pago</t>
        </is>
      </c>
      <c r="S1887" t="n">
        <v>182</v>
      </c>
      <c r="T1887" t="inlineStr">
        <is>
          <t>Love - Shibari - Kamino</t>
        </is>
      </c>
    </row>
    <row r="1888">
      <c r="A1888" t="n">
        <v>133870</v>
      </c>
      <c r="B1888" t="n">
        <v>128</v>
      </c>
      <c r="C1888" t="inlineStr">
        <is>
          <t>Love Cabaret</t>
        </is>
      </c>
      <c r="D1888" t="inlineStr">
        <is>
          <t>EDUARDO JOSE DA SILVA DISTRIBUIÇÃO DE PRODUTOS ALIMENTICIOS</t>
        </is>
      </c>
      <c r="E1888" t="n">
        <v>403.6</v>
      </c>
      <c r="F1888" s="27" t="n">
        <v>45810</v>
      </c>
      <c r="G1888" s="27" t="n">
        <v>45810</v>
      </c>
      <c r="H1888" s="27" t="n">
        <v>45810</v>
      </c>
      <c r="I1888" s="27" t="n">
        <v>45789</v>
      </c>
      <c r="J1888" s="27" t="n">
        <v>45799</v>
      </c>
      <c r="K1888" t="inlineStr">
        <is>
          <t>Boleto Bancário</t>
        </is>
      </c>
      <c r="L1888" t="inlineStr">
        <is>
          <t>Custo Mercadoria Vendida</t>
        </is>
      </c>
      <c r="M1888" t="inlineStr">
        <is>
          <t>Insumos - Alimentos</t>
        </is>
      </c>
      <c r="N1888" t="inlineStr">
        <is>
          <t>135510</t>
        </is>
      </c>
      <c r="O1888" t="inlineStr">
        <is>
          <t>Documentação Aprovada</t>
        </is>
      </c>
      <c r="P1888" t="inlineStr">
        <is>
          <t>Aprovado Diretoria</t>
        </is>
      </c>
      <c r="Q1888" t="inlineStr">
        <is>
          <t>Aprovado Caixa</t>
        </is>
      </c>
      <c r="R1888" t="inlineStr">
        <is>
          <t>Pago</t>
        </is>
      </c>
      <c r="S1888" t="n">
        <v>182</v>
      </c>
      <c r="T1888" t="inlineStr">
        <is>
          <t>Love - Shibari - Kamino</t>
        </is>
      </c>
    </row>
    <row r="1889">
      <c r="A1889" t="n">
        <v>133882</v>
      </c>
      <c r="B1889" t="n">
        <v>128</v>
      </c>
      <c r="C1889" t="inlineStr">
        <is>
          <t>Love Cabaret</t>
        </is>
      </c>
      <c r="D1889" t="inlineStr">
        <is>
          <t>CECILIA TSUYACO ARAKI SILVA LTDA</t>
        </is>
      </c>
      <c r="E1889" t="n">
        <v>151.68</v>
      </c>
      <c r="F1889" s="27" t="n">
        <v>45810</v>
      </c>
      <c r="G1889" s="27" t="n">
        <v>45810</v>
      </c>
      <c r="H1889" s="27" t="n">
        <v>45810</v>
      </c>
      <c r="I1889" s="27" t="n">
        <v>45796</v>
      </c>
      <c r="J1889" s="27" t="n">
        <v>45799</v>
      </c>
      <c r="K1889" t="inlineStr">
        <is>
          <t>Boleto Bancário</t>
        </is>
      </c>
      <c r="L1889" t="inlineStr">
        <is>
          <t>Custo Mercadoria Vendida</t>
        </is>
      </c>
      <c r="M1889" t="inlineStr">
        <is>
          <t>Insumos - Alimentos</t>
        </is>
      </c>
      <c r="N1889" t="inlineStr">
        <is>
          <t>371293</t>
        </is>
      </c>
      <c r="O1889" t="inlineStr">
        <is>
          <t>Documentação Aprovada</t>
        </is>
      </c>
      <c r="P1889" t="inlineStr">
        <is>
          <t>Aprovado Diretoria</t>
        </is>
      </c>
      <c r="Q1889" t="inlineStr">
        <is>
          <t>Aprovado Caixa</t>
        </is>
      </c>
      <c r="R1889" t="inlineStr">
        <is>
          <t>Pago</t>
        </is>
      </c>
      <c r="S1889" t="n">
        <v>182</v>
      </c>
      <c r="T1889" t="inlineStr">
        <is>
          <t>Love - Shibari - Kamino</t>
        </is>
      </c>
    </row>
    <row r="1890">
      <c r="A1890" t="n">
        <v>133964</v>
      </c>
      <c r="B1890" t="n">
        <v>128</v>
      </c>
      <c r="C1890" t="inlineStr">
        <is>
          <t>Love Cabaret</t>
        </is>
      </c>
      <c r="D1890" t="inlineStr">
        <is>
          <t>NOVA COMERCIAL DO PEIXE LTDA</t>
        </is>
      </c>
      <c r="E1890" t="n">
        <v>588</v>
      </c>
      <c r="F1890" s="27" t="n">
        <v>45810</v>
      </c>
      <c r="G1890" s="27" t="n">
        <v>45810</v>
      </c>
      <c r="H1890" s="27" t="n">
        <v>45810</v>
      </c>
      <c r="I1890" s="27" t="n">
        <v>45796</v>
      </c>
      <c r="J1890" s="27" t="n">
        <v>45800</v>
      </c>
      <c r="K1890" t="inlineStr">
        <is>
          <t>Boleto Bancário</t>
        </is>
      </c>
      <c r="L1890" t="inlineStr">
        <is>
          <t>Custo Mercadoria Vendida</t>
        </is>
      </c>
      <c r="M1890" t="inlineStr">
        <is>
          <t>Insumos - Alimentos</t>
        </is>
      </c>
      <c r="N1890" t="inlineStr">
        <is>
          <t>24917</t>
        </is>
      </c>
      <c r="O1890" t="inlineStr">
        <is>
          <t>Documentação Aprovada</t>
        </is>
      </c>
      <c r="P1890" t="inlineStr">
        <is>
          <t>Aprovado Diretoria</t>
        </is>
      </c>
      <c r="Q1890" t="inlineStr">
        <is>
          <t>Aprovado Caixa</t>
        </is>
      </c>
      <c r="R1890" t="inlineStr">
        <is>
          <t>Pago</t>
        </is>
      </c>
      <c r="S1890" t="n">
        <v>182</v>
      </c>
      <c r="T1890" t="inlineStr">
        <is>
          <t>Love - Shibari - Kamino</t>
        </is>
      </c>
    </row>
    <row r="1891">
      <c r="A1891" t="n">
        <v>133886</v>
      </c>
      <c r="B1891" t="n">
        <v>128</v>
      </c>
      <c r="C1891" t="inlineStr">
        <is>
          <t>Love Cabaret</t>
        </is>
      </c>
      <c r="D1891" t="inlineStr">
        <is>
          <t>PARAMU COMERCIO E REPRESENTACAO DE PRODUTOS ALIMENTICIOS</t>
        </is>
      </c>
      <c r="E1891" t="n">
        <v>1104.44</v>
      </c>
      <c r="F1891" s="27" t="n">
        <v>45810</v>
      </c>
      <c r="G1891" s="27" t="n">
        <v>45810</v>
      </c>
      <c r="H1891" s="27" t="n">
        <v>45810</v>
      </c>
      <c r="I1891" s="27" t="n">
        <v>45796</v>
      </c>
      <c r="J1891" s="27" t="n">
        <v>45799</v>
      </c>
      <c r="K1891" t="inlineStr">
        <is>
          <t>Boleto Bancário</t>
        </is>
      </c>
      <c r="L1891" t="inlineStr">
        <is>
          <t>Custo Mercadoria Vendida</t>
        </is>
      </c>
      <c r="M1891" t="inlineStr">
        <is>
          <t>Insumos - Alimentos</t>
        </is>
      </c>
      <c r="N1891" t="inlineStr">
        <is>
          <t>13986</t>
        </is>
      </c>
      <c r="O1891" t="inlineStr">
        <is>
          <t>Documentação Aprovada</t>
        </is>
      </c>
      <c r="P1891" t="inlineStr">
        <is>
          <t>Aprovado Diretoria</t>
        </is>
      </c>
      <c r="Q1891" t="inlineStr">
        <is>
          <t>Aprovado Caixa</t>
        </is>
      </c>
      <c r="R1891" t="inlineStr">
        <is>
          <t>Pago</t>
        </is>
      </c>
      <c r="S1891" t="n">
        <v>182</v>
      </c>
      <c r="T1891" t="inlineStr">
        <is>
          <t>Love - Shibari - Kamino</t>
        </is>
      </c>
    </row>
    <row r="1892">
      <c r="A1892" t="n">
        <v>133888</v>
      </c>
      <c r="B1892" t="n">
        <v>128</v>
      </c>
      <c r="C1892" t="inlineStr">
        <is>
          <t>Love Cabaret</t>
        </is>
      </c>
      <c r="D1892" t="inlineStr">
        <is>
          <t xml:space="preserve">LATICINIOS FIOR DITALIA LTDA </t>
        </is>
      </c>
      <c r="E1892" t="n">
        <v>326.75</v>
      </c>
      <c r="F1892" s="27" t="n">
        <v>45812</v>
      </c>
      <c r="G1892" s="27" t="n">
        <v>45810</v>
      </c>
      <c r="H1892" s="27" t="n">
        <v>45810</v>
      </c>
      <c r="I1892" s="27" t="n">
        <v>45796</v>
      </c>
      <c r="J1892" s="27" t="n">
        <v>45799</v>
      </c>
      <c r="K1892" t="inlineStr">
        <is>
          <t>Boleto Bancário</t>
        </is>
      </c>
      <c r="L1892" t="inlineStr">
        <is>
          <t>Custo Mercadoria Vendida</t>
        </is>
      </c>
      <c r="M1892" t="inlineStr">
        <is>
          <t>Insumos - Alimentos</t>
        </is>
      </c>
      <c r="N1892" t="inlineStr">
        <is>
          <t>36325</t>
        </is>
      </c>
      <c r="O1892" t="inlineStr">
        <is>
          <t>Documentação Aprovada</t>
        </is>
      </c>
      <c r="P1892" t="inlineStr">
        <is>
          <t>Aprovado Diretoria</t>
        </is>
      </c>
      <c r="Q1892" t="inlineStr">
        <is>
          <t>Aprovado Caixa</t>
        </is>
      </c>
      <c r="R1892" t="inlineStr">
        <is>
          <t>Pago</t>
        </is>
      </c>
      <c r="S1892" t="n">
        <v>182</v>
      </c>
      <c r="T1892" t="inlineStr">
        <is>
          <t>Love - Shibari - Kamino</t>
        </is>
      </c>
    </row>
    <row r="1893">
      <c r="A1893" t="n">
        <v>133269</v>
      </c>
      <c r="B1893" t="n">
        <v>128</v>
      </c>
      <c r="C1893" t="inlineStr">
        <is>
          <t>Love Cabaret</t>
        </is>
      </c>
      <c r="D1893" t="inlineStr">
        <is>
          <t>LUIZ ROBERTO DA SILVA JUNIOR</t>
        </is>
      </c>
      <c r="E1893" t="n">
        <v>1000</v>
      </c>
      <c r="F1893" s="27" t="n">
        <v>45812</v>
      </c>
      <c r="G1893" s="27" t="n">
        <v>45810</v>
      </c>
      <c r="H1893" s="27" t="n">
        <v>45810</v>
      </c>
      <c r="I1893" s="27" t="n">
        <v>45797</v>
      </c>
      <c r="J1893" s="27" t="n">
        <v>45797</v>
      </c>
      <c r="K1893" t="inlineStr">
        <is>
          <t>Transferência Bancária ou Pix</t>
        </is>
      </c>
      <c r="L1893" t="inlineStr">
        <is>
          <t>Custos de Eventos</t>
        </is>
      </c>
      <c r="M1893" t="inlineStr">
        <is>
          <t>Locação de Equipamentos - Eventos</t>
        </is>
      </c>
      <c r="N1893" t="inlineStr">
        <is>
          <t>472025</t>
        </is>
      </c>
      <c r="O1893" t="inlineStr">
        <is>
          <t>Documentação Aprovada</t>
        </is>
      </c>
      <c r="P1893" t="inlineStr">
        <is>
          <t>Aprovado Diretoria</t>
        </is>
      </c>
      <c r="Q1893" t="inlineStr">
        <is>
          <t>Aprovado Caixa</t>
        </is>
      </c>
      <c r="R1893" t="inlineStr">
        <is>
          <t>Pago</t>
        </is>
      </c>
      <c r="S1893" t="n">
        <v>182</v>
      </c>
      <c r="T1893" t="inlineStr">
        <is>
          <t>Love - Shibari - Kamino</t>
        </is>
      </c>
    </row>
    <row r="1894">
      <c r="A1894" t="n">
        <v>131034</v>
      </c>
      <c r="B1894" t="n">
        <v>128</v>
      </c>
      <c r="C1894" t="inlineStr">
        <is>
          <t>Love Cabaret</t>
        </is>
      </c>
      <c r="D1894" t="inlineStr">
        <is>
          <t>PROAUTO INDUSTRIA QUIMICA EIRELI</t>
        </is>
      </c>
      <c r="E1894" t="n">
        <v>484.47</v>
      </c>
      <c r="F1894" s="27" t="n">
        <v>45810</v>
      </c>
      <c r="G1894" s="27" t="n">
        <v>45810</v>
      </c>
      <c r="H1894" s="27" t="n">
        <v>45810</v>
      </c>
      <c r="I1894" s="27" t="n">
        <v>45693</v>
      </c>
      <c r="J1894" s="27" t="n">
        <v>45785</v>
      </c>
      <c r="K1894" t="inlineStr">
        <is>
          <t>Boleto Bancário</t>
        </is>
      </c>
      <c r="L1894" t="inlineStr">
        <is>
          <t>Utilidades</t>
        </is>
      </c>
      <c r="M1894" t="inlineStr">
        <is>
          <t>Higiene e Limpeza</t>
        </is>
      </c>
      <c r="N1894" t="inlineStr">
        <is>
          <t>137532</t>
        </is>
      </c>
      <c r="O1894" t="inlineStr">
        <is>
          <t>Documentação Aprovada</t>
        </is>
      </c>
      <c r="P1894" t="inlineStr">
        <is>
          <t>Aprovado Diretoria</t>
        </is>
      </c>
      <c r="Q1894" t="inlineStr">
        <is>
          <t>Aprovado Caixa</t>
        </is>
      </c>
      <c r="R1894" t="inlineStr">
        <is>
          <t>Pago</t>
        </is>
      </c>
      <c r="S1894" t="n">
        <v>182</v>
      </c>
      <c r="T1894" t="inlineStr">
        <is>
          <t>Love - Shibari - Kamino</t>
        </is>
      </c>
    </row>
    <row r="1895">
      <c r="A1895" t="n">
        <v>131014</v>
      </c>
      <c r="B1895" t="n">
        <v>128</v>
      </c>
      <c r="C1895" t="inlineStr">
        <is>
          <t>Love Cabaret</t>
        </is>
      </c>
      <c r="D1895" t="inlineStr">
        <is>
          <t>B.B DISTRIBUIDORA DE CARNES LTDA</t>
        </is>
      </c>
      <c r="E1895" t="n">
        <v>368.74</v>
      </c>
      <c r="F1895" s="27" t="n">
        <v>45810</v>
      </c>
      <c r="G1895" s="27" t="n">
        <v>45810</v>
      </c>
      <c r="H1895" s="27" t="n">
        <v>45810</v>
      </c>
      <c r="I1895" s="27" t="n">
        <v>45782</v>
      </c>
      <c r="J1895" s="27" t="n">
        <v>45785</v>
      </c>
      <c r="K1895" t="inlineStr">
        <is>
          <t>Boleto Bancário</t>
        </is>
      </c>
      <c r="L1895" t="inlineStr">
        <is>
          <t>Custo Mercadoria Vendida</t>
        </is>
      </c>
      <c r="M1895" t="inlineStr">
        <is>
          <t>Insumos - Alimentos</t>
        </is>
      </c>
      <c r="N1895" t="inlineStr">
        <is>
          <t>392301</t>
        </is>
      </c>
      <c r="O1895" t="inlineStr">
        <is>
          <t>Documentação Aprovada</t>
        </is>
      </c>
      <c r="P1895" t="inlineStr">
        <is>
          <t>Aprovado Diretoria</t>
        </is>
      </c>
      <c r="Q1895" t="inlineStr">
        <is>
          <t>Aprovado Caixa</t>
        </is>
      </c>
      <c r="R1895" t="inlineStr">
        <is>
          <t>Pago</t>
        </is>
      </c>
      <c r="S1895" t="n">
        <v>182</v>
      </c>
      <c r="T1895" t="inlineStr">
        <is>
          <t>Love - Shibari - Kamino</t>
        </is>
      </c>
    </row>
    <row r="1896">
      <c r="A1896" t="n">
        <v>131426</v>
      </c>
      <c r="B1896" t="n">
        <v>128</v>
      </c>
      <c r="C1896" t="inlineStr">
        <is>
          <t>Love Cabaret</t>
        </is>
      </c>
      <c r="D1896" t="inlineStr">
        <is>
          <t>DTK COMERCIO DE ALIMENTOS LTDA</t>
        </is>
      </c>
      <c r="E1896" t="n">
        <v>116.38</v>
      </c>
      <c r="F1896" s="27" t="n">
        <v>45810</v>
      </c>
      <c r="G1896" s="27" t="n">
        <v>45810</v>
      </c>
      <c r="H1896" s="27" t="n">
        <v>45810</v>
      </c>
      <c r="I1896" s="27" t="n">
        <v>45785</v>
      </c>
      <c r="J1896" s="27" t="n">
        <v>45786</v>
      </c>
      <c r="K1896" t="inlineStr">
        <is>
          <t>Boleto Bancário</t>
        </is>
      </c>
      <c r="L1896" t="inlineStr">
        <is>
          <t>Custo Mercadoria Vendida</t>
        </is>
      </c>
      <c r="M1896" t="inlineStr">
        <is>
          <t>Insumos - Alimentos</t>
        </is>
      </c>
      <c r="N1896" t="inlineStr">
        <is>
          <t>30456</t>
        </is>
      </c>
      <c r="O1896" t="inlineStr">
        <is>
          <t>Documentação Aprovada</t>
        </is>
      </c>
      <c r="P1896" t="inlineStr">
        <is>
          <t>Aprovado Diretoria</t>
        </is>
      </c>
      <c r="Q1896" t="inlineStr">
        <is>
          <t>Aprovado Caixa</t>
        </is>
      </c>
      <c r="R1896" t="inlineStr">
        <is>
          <t>Pago</t>
        </is>
      </c>
      <c r="S1896" t="n">
        <v>182</v>
      </c>
      <c r="T1896" t="inlineStr">
        <is>
          <t>Love - Shibari - Kamino</t>
        </is>
      </c>
    </row>
    <row r="1897">
      <c r="A1897" t="n">
        <v>130841</v>
      </c>
      <c r="B1897" t="n">
        <v>128</v>
      </c>
      <c r="C1897" t="inlineStr">
        <is>
          <t>Love Cabaret</t>
        </is>
      </c>
      <c r="D1897" t="inlineStr">
        <is>
          <t>RENATO RICCI PAULINO</t>
        </is>
      </c>
      <c r="E1897" t="n">
        <v>1380.4</v>
      </c>
      <c r="F1897" s="27" t="n">
        <v>45810</v>
      </c>
      <c r="G1897" s="27" t="n">
        <v>45810</v>
      </c>
      <c r="H1897" s="27" t="n">
        <v>45810</v>
      </c>
      <c r="I1897" s="27" t="n">
        <v>45777</v>
      </c>
      <c r="J1897" s="27" t="n">
        <v>45785</v>
      </c>
      <c r="K1897" t="inlineStr">
        <is>
          <t>Transferência Bancária ou Pix</t>
        </is>
      </c>
      <c r="L1897" t="inlineStr">
        <is>
          <t>Custos Artístico Geral</t>
        </is>
      </c>
      <c r="M1897" t="inlineStr">
        <is>
          <t>Cachê de Músicos e Artistas</t>
        </is>
      </c>
      <c r="N1897" t="inlineStr">
        <is>
          <t>800042025</t>
        </is>
      </c>
      <c r="O1897" t="inlineStr">
        <is>
          <t>Documentação Aprovada</t>
        </is>
      </c>
      <c r="P1897" t="inlineStr">
        <is>
          <t>Aprovado Diretoria</t>
        </is>
      </c>
      <c r="Q1897" t="inlineStr">
        <is>
          <t>Aprovado Caixa</t>
        </is>
      </c>
      <c r="R1897" t="inlineStr">
        <is>
          <t>Pago</t>
        </is>
      </c>
      <c r="S1897" t="n">
        <v>182</v>
      </c>
      <c r="T1897" t="inlineStr">
        <is>
          <t>Love - Shibari - Kamino</t>
        </is>
      </c>
    </row>
    <row r="1898">
      <c r="A1898" t="n">
        <v>106684</v>
      </c>
      <c r="B1898" t="n">
        <v>128</v>
      </c>
      <c r="C1898" t="inlineStr">
        <is>
          <t>Love Cabaret</t>
        </is>
      </c>
      <c r="D1898" t="inlineStr">
        <is>
          <t>AURORA ALVORADA ESTACIONAMENTO E LANCHONETE LTDA</t>
        </is>
      </c>
      <c r="E1898" t="n">
        <v>219.81</v>
      </c>
      <c r="F1898" s="27" t="n">
        <v>45810</v>
      </c>
      <c r="G1898" s="27" t="n">
        <v>45810</v>
      </c>
      <c r="H1898" s="27" t="n">
        <v>45810</v>
      </c>
      <c r="I1898" s="27" t="n">
        <v>45803</v>
      </c>
      <c r="J1898" s="27" t="n"/>
      <c r="K1898" t="inlineStr">
        <is>
          <t>Boleto Bancário</t>
        </is>
      </c>
      <c r="L1898" t="inlineStr">
        <is>
          <t>Custo Mercadoria Vendida</t>
        </is>
      </c>
      <c r="M1898" t="inlineStr">
        <is>
          <t>Insumos - Alimentos</t>
        </is>
      </c>
      <c r="N1898" t="inlineStr">
        <is>
          <t>10608</t>
        </is>
      </c>
      <c r="O1898" t="inlineStr">
        <is>
          <t>Documentação Aprovada</t>
        </is>
      </c>
      <c r="P1898" t="inlineStr">
        <is>
          <t>Aprovado Diretoria</t>
        </is>
      </c>
      <c r="Q1898" t="inlineStr">
        <is>
          <t>Aprovado Caixa</t>
        </is>
      </c>
      <c r="R1898" t="inlineStr">
        <is>
          <t>Pago</t>
        </is>
      </c>
      <c r="S1898" t="n">
        <v>182</v>
      </c>
      <c r="T1898" t="inlineStr">
        <is>
          <t>Love - Shibari - Kamino</t>
        </is>
      </c>
    </row>
    <row r="1899">
      <c r="A1899" t="n">
        <v>97327</v>
      </c>
      <c r="B1899" t="n">
        <v>128</v>
      </c>
      <c r="C1899" t="inlineStr">
        <is>
          <t>Love Cabaret</t>
        </is>
      </c>
      <c r="D1899" t="inlineStr">
        <is>
          <t>ELETROPAULO METROPOLITANA ELETRICIDADE DE SAO PAULO SA</t>
        </is>
      </c>
      <c r="E1899" t="n">
        <v>11975.18</v>
      </c>
      <c r="F1899" s="27" t="n">
        <v>45812</v>
      </c>
      <c r="G1899" s="27" t="n">
        <v>45810</v>
      </c>
      <c r="H1899" s="27" t="n">
        <v>45810</v>
      </c>
      <c r="I1899" s="27" t="n">
        <v>45792</v>
      </c>
      <c r="J1899" s="27" t="n"/>
      <c r="K1899" t="inlineStr">
        <is>
          <t>Boleto Bancário</t>
        </is>
      </c>
      <c r="L1899" t="inlineStr">
        <is>
          <t>Utilidades</t>
        </is>
      </c>
      <c r="M1899" t="inlineStr">
        <is>
          <t>Energia Eletrica</t>
        </is>
      </c>
      <c r="N1899" t="inlineStr">
        <is>
          <t>712205852</t>
        </is>
      </c>
      <c r="O1899" t="inlineStr">
        <is>
          <t>Documentação Aprovada</t>
        </is>
      </c>
      <c r="P1899" t="inlineStr">
        <is>
          <t>Aprovado Diretoria</t>
        </is>
      </c>
      <c r="Q1899" t="inlineStr">
        <is>
          <t>Aprovado Caixa</t>
        </is>
      </c>
      <c r="R1899" t="inlineStr">
        <is>
          <t>Pago</t>
        </is>
      </c>
      <c r="S1899" t="n">
        <v>182</v>
      </c>
      <c r="T1899" t="inlineStr">
        <is>
          <t>Love - Shibari - Kamino</t>
        </is>
      </c>
    </row>
    <row r="1900">
      <c r="A1900" t="n">
        <v>97352</v>
      </c>
      <c r="B1900" t="n">
        <v>128</v>
      </c>
      <c r="C1900" t="inlineStr">
        <is>
          <t>Love Cabaret</t>
        </is>
      </c>
      <c r="D1900" t="inlineStr">
        <is>
          <t>EDJANE DANTAS DE ALMEIDA SOUSA  - DESENTUPIDORA</t>
        </is>
      </c>
      <c r="E1900" t="n">
        <v>1200</v>
      </c>
      <c r="F1900" s="27" t="n">
        <v>45812</v>
      </c>
      <c r="G1900" s="27" t="n">
        <v>45810</v>
      </c>
      <c r="H1900" s="27" t="n">
        <v>45810</v>
      </c>
      <c r="I1900" s="27" t="n">
        <v>45794</v>
      </c>
      <c r="J1900" s="27" t="n"/>
      <c r="K1900" t="inlineStr">
        <is>
          <t>Transferência Bancária ou Pix</t>
        </is>
      </c>
      <c r="L1900" t="inlineStr">
        <is>
          <t>Utilidades</t>
        </is>
      </c>
      <c r="M1900" t="inlineStr">
        <is>
          <t>Serviços de Limpeza</t>
        </is>
      </c>
      <c r="N1900" t="inlineStr">
        <is>
          <t>91</t>
        </is>
      </c>
      <c r="O1900" t="inlineStr">
        <is>
          <t>Documentação Aprovada</t>
        </is>
      </c>
      <c r="P1900" t="inlineStr">
        <is>
          <t>Aprovado Diretoria</t>
        </is>
      </c>
      <c r="Q1900" t="inlineStr">
        <is>
          <t>Aprovado Caixa</t>
        </is>
      </c>
      <c r="R1900" t="inlineStr">
        <is>
          <t>Pago</t>
        </is>
      </c>
      <c r="S1900" t="n">
        <v>182</v>
      </c>
      <c r="T1900" t="inlineStr">
        <is>
          <t>Love - Shibari - Kamino</t>
        </is>
      </c>
    </row>
    <row r="1901">
      <c r="A1901" t="n">
        <v>97339</v>
      </c>
      <c r="B1901" t="n">
        <v>128</v>
      </c>
      <c r="C1901" t="inlineStr">
        <is>
          <t>Love Cabaret</t>
        </is>
      </c>
      <c r="D1901" t="inlineStr">
        <is>
          <t>ELETROPAULO METROPOLITANA ELETRICIDADE DE SAO PAULO SA</t>
        </is>
      </c>
      <c r="E1901" t="n">
        <v>88.04000000000001</v>
      </c>
      <c r="F1901" s="27" t="n">
        <v>45812</v>
      </c>
      <c r="G1901" s="27" t="n">
        <v>45810</v>
      </c>
      <c r="H1901" s="27" t="n">
        <v>45810</v>
      </c>
      <c r="I1901" s="27" t="n">
        <v>45792</v>
      </c>
      <c r="J1901" s="27" t="n"/>
      <c r="K1901" t="inlineStr">
        <is>
          <t>Boleto Bancário</t>
        </is>
      </c>
      <c r="L1901" t="inlineStr">
        <is>
          <t>Utilidades</t>
        </is>
      </c>
      <c r="M1901" t="inlineStr">
        <is>
          <t>Energia Eletrica</t>
        </is>
      </c>
      <c r="N1901" t="inlineStr">
        <is>
          <t>712748493</t>
        </is>
      </c>
      <c r="O1901" t="inlineStr">
        <is>
          <t>Documentação Aprovada</t>
        </is>
      </c>
      <c r="P1901" t="inlineStr">
        <is>
          <t>Aprovado Diretoria</t>
        </is>
      </c>
      <c r="Q1901" t="inlineStr">
        <is>
          <t>Aprovado Caixa</t>
        </is>
      </c>
      <c r="R1901" t="inlineStr">
        <is>
          <t>Pago</t>
        </is>
      </c>
      <c r="S1901" t="n">
        <v>182</v>
      </c>
      <c r="T1901" t="inlineStr">
        <is>
          <t>Love - Shibari - Kamino</t>
        </is>
      </c>
    </row>
    <row r="1902">
      <c r="A1902" t="n">
        <v>135667</v>
      </c>
      <c r="B1902" t="n">
        <v>128</v>
      </c>
      <c r="C1902" t="inlineStr">
        <is>
          <t>Love Cabaret</t>
        </is>
      </c>
      <c r="D1902" t="inlineStr">
        <is>
          <t>ZIGPAY LTDAS -ME</t>
        </is>
      </c>
      <c r="E1902" t="n">
        <v>0</v>
      </c>
      <c r="F1902" s="27" t="n">
        <v>45808</v>
      </c>
      <c r="G1902" s="27" t="n"/>
      <c r="H1902" s="27" t="n">
        <v>45808</v>
      </c>
      <c r="I1902" s="27" t="n">
        <v>45808</v>
      </c>
      <c r="J1902" s="27" t="n"/>
      <c r="K1902" t="inlineStr">
        <is>
          <t>Encontro de Contas</t>
        </is>
      </c>
      <c r="L1902" t="inlineStr">
        <is>
          <t>Deduções sobre Venda</t>
        </is>
      </c>
      <c r="M1902" t="inlineStr">
        <is>
          <t>Meios de pagamento</t>
        </is>
      </c>
      <c r="N1902" t="inlineStr">
        <is>
          <t>052025</t>
        </is>
      </c>
      <c r="P1902" t="inlineStr">
        <is>
          <t>Aprovado Diretoria</t>
        </is>
      </c>
      <c r="R1902" t="inlineStr">
        <is>
          <t>Pago</t>
        </is>
      </c>
    </row>
    <row r="1903">
      <c r="A1903" t="n">
        <v>135703</v>
      </c>
      <c r="B1903" t="n">
        <v>128</v>
      </c>
      <c r="C1903" t="inlineStr">
        <is>
          <t>Love Cabaret</t>
        </is>
      </c>
      <c r="D1903" t="inlineStr">
        <is>
          <t>BRADESCO SA</t>
        </is>
      </c>
      <c r="E1903" t="n">
        <v>9.800000000000001</v>
      </c>
      <c r="F1903" s="27" t="n">
        <v>45807</v>
      </c>
      <c r="G1903" s="27" t="n"/>
      <c r="H1903" s="27" t="n">
        <v>45807</v>
      </c>
      <c r="I1903" s="27" t="n">
        <v>45807</v>
      </c>
      <c r="J1903" s="27" t="n">
        <v>45810</v>
      </c>
      <c r="K1903" t="inlineStr">
        <is>
          <t>Encontro de Contas</t>
        </is>
      </c>
      <c r="L1903" t="inlineStr">
        <is>
          <t>Despesas Financeiras</t>
        </is>
      </c>
      <c r="M1903" t="inlineStr">
        <is>
          <t>Tarifas Bancárias</t>
        </is>
      </c>
      <c r="N1903" t="inlineStr">
        <is>
          <t>052025</t>
        </is>
      </c>
      <c r="P1903" t="inlineStr">
        <is>
          <t>Aprovado Diretoria</t>
        </is>
      </c>
      <c r="R1903" t="inlineStr">
        <is>
          <t>Pago</t>
        </is>
      </c>
    </row>
    <row r="1904">
      <c r="A1904" t="n">
        <v>131184</v>
      </c>
      <c r="B1904" t="n">
        <v>128</v>
      </c>
      <c r="C1904" t="inlineStr">
        <is>
          <t>Love Cabaret</t>
        </is>
      </c>
      <c r="D1904" t="inlineStr">
        <is>
          <t>CSLL</t>
        </is>
      </c>
      <c r="E1904" t="n">
        <v>89.45</v>
      </c>
      <c r="F1904" s="27" t="n">
        <v>45789</v>
      </c>
      <c r="G1904" s="27" t="n">
        <v>45807</v>
      </c>
      <c r="H1904" s="27" t="n">
        <v>45807</v>
      </c>
      <c r="I1904" s="27" t="n">
        <v>45777</v>
      </c>
      <c r="J1904" s="27" t="n">
        <v>45786</v>
      </c>
      <c r="K1904" t="inlineStr">
        <is>
          <t>Boleto Bancário</t>
        </is>
      </c>
      <c r="L1904" t="inlineStr">
        <is>
          <t>Imposto de Renda</t>
        </is>
      </c>
      <c r="M1904" t="inlineStr">
        <is>
          <t>CSLL</t>
        </is>
      </c>
      <c r="N1904" t="inlineStr">
        <is>
          <t>042025</t>
        </is>
      </c>
      <c r="O1904" t="inlineStr">
        <is>
          <t>Documentação Aprovada</t>
        </is>
      </c>
      <c r="P1904" t="inlineStr">
        <is>
          <t>Aprovado Diretoria</t>
        </is>
      </c>
      <c r="Q1904" t="inlineStr">
        <is>
          <t>Aprovado Caixa</t>
        </is>
      </c>
      <c r="R1904" t="inlineStr">
        <is>
          <t>Pago</t>
        </is>
      </c>
      <c r="S1904" t="n">
        <v>115</v>
      </c>
      <c r="T1904" t="inlineStr">
        <is>
          <t>Love - Shibari - Bradesco</t>
        </is>
      </c>
    </row>
    <row r="1905">
      <c r="A1905" t="n">
        <v>131182</v>
      </c>
      <c r="B1905" t="n">
        <v>128</v>
      </c>
      <c r="C1905" t="inlineStr">
        <is>
          <t>Love Cabaret</t>
        </is>
      </c>
      <c r="D1905" t="inlineStr">
        <is>
          <t>IRPJ - IMPOSTO SOBRE A RENDA DAS PESSOAS JURIDICAS</t>
        </is>
      </c>
      <c r="E1905" t="n">
        <v>25.05</v>
      </c>
      <c r="F1905" s="27" t="n">
        <v>45789</v>
      </c>
      <c r="G1905" s="27" t="n">
        <v>45807</v>
      </c>
      <c r="H1905" s="27" t="n">
        <v>45807</v>
      </c>
      <c r="I1905" s="27" t="n">
        <v>45777</v>
      </c>
      <c r="J1905" s="27" t="n">
        <v>45786</v>
      </c>
      <c r="K1905" t="inlineStr">
        <is>
          <t>Boleto Bancário</t>
        </is>
      </c>
      <c r="L1905" t="inlineStr">
        <is>
          <t>Imposto de Renda</t>
        </is>
      </c>
      <c r="M1905" t="inlineStr">
        <is>
          <t>IRPJ</t>
        </is>
      </c>
      <c r="N1905" t="inlineStr">
        <is>
          <t>042025</t>
        </is>
      </c>
      <c r="O1905" t="inlineStr">
        <is>
          <t>Documentação Aprovada</t>
        </is>
      </c>
      <c r="P1905" t="inlineStr">
        <is>
          <t>Aprovado Diretoria</t>
        </is>
      </c>
      <c r="Q1905" t="inlineStr">
        <is>
          <t>Aprovado Caixa</t>
        </is>
      </c>
      <c r="R1905" t="inlineStr">
        <is>
          <t>Pago</t>
        </is>
      </c>
      <c r="S1905" t="n">
        <v>115</v>
      </c>
      <c r="T1905" t="inlineStr">
        <is>
          <t>Love - Shibari - Bradesco</t>
        </is>
      </c>
    </row>
    <row r="1906">
      <c r="A1906" t="n">
        <v>108224</v>
      </c>
      <c r="B1906" t="n">
        <v>128</v>
      </c>
      <c r="C1906" t="inlineStr">
        <is>
          <t>Love Cabaret</t>
        </is>
      </c>
      <c r="D1906" t="inlineStr">
        <is>
          <t>DLOCAL BRASIL PAGAMENTOS LTDA  - DMK</t>
        </is>
      </c>
      <c r="E1906" t="n">
        <v>8000</v>
      </c>
      <c r="F1906" s="27" t="n">
        <v>45805</v>
      </c>
      <c r="G1906" s="27" t="n">
        <v>45807</v>
      </c>
      <c r="H1906" s="27" t="n">
        <v>45807</v>
      </c>
      <c r="I1906" s="27" t="n">
        <v>45805</v>
      </c>
      <c r="J1906" s="27" t="n"/>
      <c r="K1906" t="inlineStr">
        <is>
          <t>Boleto Bancário</t>
        </is>
      </c>
      <c r="L1906" t="inlineStr">
        <is>
          <t>Marketing</t>
        </is>
      </c>
      <c r="M1906" t="inlineStr">
        <is>
          <t>Publicidade e Propaganda</t>
        </is>
      </c>
      <c r="N1906" t="inlineStr">
        <is>
          <t xml:space="preserve">014275425352771 </t>
        </is>
      </c>
      <c r="O1906" t="inlineStr">
        <is>
          <t>Documentação Aprovada</t>
        </is>
      </c>
      <c r="P1906" t="inlineStr">
        <is>
          <t>Aprovado Diretoria</t>
        </is>
      </c>
      <c r="Q1906" t="inlineStr">
        <is>
          <t>Aprovado Caixa</t>
        </is>
      </c>
      <c r="R1906" t="inlineStr">
        <is>
          <t>Pago</t>
        </is>
      </c>
      <c r="S1906" t="n">
        <v>115</v>
      </c>
      <c r="T1906" t="inlineStr">
        <is>
          <t>Love - Shibari - Bradesco</t>
        </is>
      </c>
    </row>
    <row r="1907">
      <c r="A1907" t="n">
        <v>108202</v>
      </c>
      <c r="B1907" t="n">
        <v>128</v>
      </c>
      <c r="C1907" t="inlineStr">
        <is>
          <t>Love Cabaret</t>
        </is>
      </c>
      <c r="D1907" t="inlineStr">
        <is>
          <t xml:space="preserve">GOOGLE BRASIL INTERNET LTDA </t>
        </is>
      </c>
      <c r="E1907" t="n">
        <v>1000</v>
      </c>
      <c r="F1907" s="27" t="n">
        <v>45805</v>
      </c>
      <c r="G1907" s="27" t="n">
        <v>45805</v>
      </c>
      <c r="H1907" s="27" t="n">
        <v>45805</v>
      </c>
      <c r="I1907" s="27" t="n">
        <v>45805</v>
      </c>
      <c r="J1907" s="27" t="n"/>
      <c r="K1907" t="inlineStr">
        <is>
          <t>Boleto Bancário</t>
        </is>
      </c>
      <c r="L1907" t="inlineStr">
        <is>
          <t>Marketing</t>
        </is>
      </c>
      <c r="M1907" t="inlineStr">
        <is>
          <t>Publicidade e Propaganda</t>
        </is>
      </c>
      <c r="N1907" t="inlineStr">
        <is>
          <t>20</t>
        </is>
      </c>
      <c r="O1907" t="inlineStr">
        <is>
          <t>Documentação Aprovada</t>
        </is>
      </c>
      <c r="P1907" t="inlineStr">
        <is>
          <t>Aprovado Diretoria</t>
        </is>
      </c>
      <c r="Q1907" t="inlineStr">
        <is>
          <t>Aprovado Caixa</t>
        </is>
      </c>
      <c r="R1907" t="inlineStr">
        <is>
          <t>Pago</t>
        </is>
      </c>
      <c r="S1907" t="n">
        <v>182</v>
      </c>
      <c r="T1907" t="inlineStr">
        <is>
          <t>Love - Shibari - Kamino</t>
        </is>
      </c>
    </row>
    <row r="1908">
      <c r="A1908" t="n">
        <v>97102</v>
      </c>
      <c r="B1908" t="n">
        <v>128</v>
      </c>
      <c r="C1908" t="inlineStr">
        <is>
          <t>Love Cabaret</t>
        </is>
      </c>
      <c r="D1908" t="inlineStr">
        <is>
          <t>ESTAFF SOLUCOES TECNOLOGICAS DE AGENCIAMENTO LTDA</t>
        </is>
      </c>
      <c r="E1908" t="n">
        <v>13101.79</v>
      </c>
      <c r="F1908" s="27" t="n">
        <v>45805</v>
      </c>
      <c r="G1908" s="27" t="n">
        <v>45805</v>
      </c>
      <c r="H1908" s="27" t="n">
        <v>45805</v>
      </c>
      <c r="I1908" s="27" t="n">
        <v>45796</v>
      </c>
      <c r="J1908" s="27" t="n"/>
      <c r="K1908" t="inlineStr">
        <is>
          <t>Boleto Bancário</t>
        </is>
      </c>
      <c r="L1908" t="inlineStr">
        <is>
          <t>Mão de Obra - Extra</t>
        </is>
      </c>
      <c r="M1908" t="inlineStr">
        <is>
          <t>Mão de Obra Extra</t>
        </is>
      </c>
      <c r="N1908" t="inlineStr">
        <is>
          <t>570671836</t>
        </is>
      </c>
      <c r="O1908" t="inlineStr">
        <is>
          <t>Documentação Aprovada</t>
        </is>
      </c>
      <c r="P1908" t="inlineStr">
        <is>
          <t>Aprovado Diretoria</t>
        </is>
      </c>
      <c r="Q1908" t="inlineStr">
        <is>
          <t>Aprovado Caixa</t>
        </is>
      </c>
      <c r="R1908" t="inlineStr">
        <is>
          <t>Pago</t>
        </is>
      </c>
      <c r="S1908" t="n">
        <v>182</v>
      </c>
      <c r="T1908" t="inlineStr">
        <is>
          <t>Love - Shibari - Kamino</t>
        </is>
      </c>
    </row>
    <row r="1909">
      <c r="A1909" t="n">
        <v>96052</v>
      </c>
      <c r="B1909" t="n">
        <v>128</v>
      </c>
      <c r="C1909" t="inlineStr">
        <is>
          <t>Love Cabaret</t>
        </is>
      </c>
      <c r="D1909" t="inlineStr">
        <is>
          <t>ISS</t>
        </is>
      </c>
      <c r="E1909" t="n">
        <v>1896.91</v>
      </c>
      <c r="F1909" s="27" t="n">
        <v>45808</v>
      </c>
      <c r="G1909" s="27" t="n">
        <v>45805</v>
      </c>
      <c r="H1909" s="27" t="n">
        <v>45805</v>
      </c>
      <c r="I1909" s="27" t="n">
        <v>45777</v>
      </c>
      <c r="J1909" s="27" t="n"/>
      <c r="K1909" t="inlineStr">
        <is>
          <t>Boleto Bancário</t>
        </is>
      </c>
      <c r="L1909" t="inlineStr">
        <is>
          <t>Endividamento</t>
        </is>
      </c>
      <c r="M1909" t="inlineStr">
        <is>
          <t>Endividamento Geral</t>
        </is>
      </c>
      <c r="N1909" t="inlineStr">
        <is>
          <t>5/60</t>
        </is>
      </c>
      <c r="O1909" t="inlineStr">
        <is>
          <t>Documentação Aprovada</t>
        </is>
      </c>
      <c r="P1909" t="inlineStr">
        <is>
          <t>Aprovado Diretoria</t>
        </is>
      </c>
      <c r="Q1909" t="inlineStr">
        <is>
          <t>Aprovado Caixa</t>
        </is>
      </c>
      <c r="R1909" t="inlineStr">
        <is>
          <t>Pago</t>
        </is>
      </c>
      <c r="S1909" t="n">
        <v>182</v>
      </c>
      <c r="T1909" t="inlineStr">
        <is>
          <t>Love - Shibari - Kamino</t>
        </is>
      </c>
    </row>
    <row r="1910">
      <c r="A1910" t="n">
        <v>84044</v>
      </c>
      <c r="B1910" t="n">
        <v>128</v>
      </c>
      <c r="C1910" t="inlineStr">
        <is>
          <t>Love Cabaret</t>
        </is>
      </c>
      <c r="D1910" t="inlineStr">
        <is>
          <t>CSLL</t>
        </is>
      </c>
      <c r="E1910" t="n">
        <v>978.04</v>
      </c>
      <c r="F1910" s="27" t="n">
        <v>45807</v>
      </c>
      <c r="G1910" s="27" t="n">
        <v>45805</v>
      </c>
      <c r="H1910" s="27" t="n">
        <v>45805</v>
      </c>
      <c r="I1910" s="27" t="n">
        <v>45599</v>
      </c>
      <c r="J1910" s="27" t="n"/>
      <c r="K1910" t="inlineStr">
        <is>
          <t>Boleto Bancário</t>
        </is>
      </c>
      <c r="L1910" t="inlineStr">
        <is>
          <t>Endividamento</t>
        </is>
      </c>
      <c r="M1910" t="inlineStr">
        <is>
          <t>Endividamento Geral</t>
        </is>
      </c>
      <c r="N1910" t="inlineStr">
        <is>
          <t>8/120</t>
        </is>
      </c>
      <c r="O1910" t="inlineStr">
        <is>
          <t>Documentação Aprovada</t>
        </is>
      </c>
      <c r="P1910" t="inlineStr">
        <is>
          <t>Aprovado Diretoria</t>
        </is>
      </c>
      <c r="Q1910" t="inlineStr">
        <is>
          <t>Aprovado Caixa</t>
        </is>
      </c>
      <c r="R1910" t="inlineStr">
        <is>
          <t>Pago</t>
        </is>
      </c>
      <c r="S1910" t="n">
        <v>182</v>
      </c>
      <c r="T1910" t="inlineStr">
        <is>
          <t>Love - Shibari - Kamino</t>
        </is>
      </c>
    </row>
    <row r="1911">
      <c r="A1911" t="n">
        <v>97378</v>
      </c>
      <c r="B1911" t="n">
        <v>128</v>
      </c>
      <c r="C1911" t="inlineStr">
        <is>
          <t>Love Cabaret</t>
        </is>
      </c>
      <c r="D1911" t="inlineStr">
        <is>
          <t>EBM ADVOGADOS - MATECKI SOCIEDADE INDIVIDUAL DE ADVOCACIA</t>
        </is>
      </c>
      <c r="E1911" t="n">
        <v>3200</v>
      </c>
      <c r="F1911" s="27" t="n">
        <v>45807</v>
      </c>
      <c r="G1911" s="27" t="n">
        <v>45805</v>
      </c>
      <c r="H1911" s="27" t="n">
        <v>45805</v>
      </c>
      <c r="I1911" s="27" t="n">
        <v>45792</v>
      </c>
      <c r="J1911" s="27" t="n"/>
      <c r="K1911" t="inlineStr">
        <is>
          <t>Transferência Bancária ou Pix</t>
        </is>
      </c>
      <c r="L1911" t="inlineStr">
        <is>
          <t>Serviços de Terceiros</t>
        </is>
      </c>
      <c r="M1911" t="inlineStr">
        <is>
          <t>Assessoria Jurídica</t>
        </is>
      </c>
      <c r="N1911" t="inlineStr">
        <is>
          <t>462025</t>
        </is>
      </c>
      <c r="O1911" t="inlineStr">
        <is>
          <t>Documentação Aprovada</t>
        </is>
      </c>
      <c r="P1911" t="inlineStr">
        <is>
          <t>Aprovado Diretoria</t>
        </is>
      </c>
      <c r="Q1911" t="inlineStr">
        <is>
          <t>Aprovado Caixa</t>
        </is>
      </c>
      <c r="R1911" t="inlineStr">
        <is>
          <t>Pago</t>
        </is>
      </c>
      <c r="S1911" t="n">
        <v>182</v>
      </c>
      <c r="T1911" t="inlineStr">
        <is>
          <t>Love - Shibari - Kamino</t>
        </is>
      </c>
    </row>
    <row r="1912">
      <c r="A1912" t="n">
        <v>102807</v>
      </c>
      <c r="B1912" t="n">
        <v>128</v>
      </c>
      <c r="C1912" t="inlineStr">
        <is>
          <t>Love Cabaret</t>
        </is>
      </c>
      <c r="D1912" t="inlineStr">
        <is>
          <t>FREE SOM - LOCACAO DE SOM E  LUZ LTDA - TUKASON</t>
        </is>
      </c>
      <c r="E1912" t="n">
        <v>6000</v>
      </c>
      <c r="F1912" s="27" t="n">
        <v>45807</v>
      </c>
      <c r="G1912" s="27" t="n">
        <v>45805</v>
      </c>
      <c r="H1912" s="27" t="n">
        <v>45805</v>
      </c>
      <c r="I1912" s="27" t="n">
        <v>45790</v>
      </c>
      <c r="J1912" s="27" t="n"/>
      <c r="K1912" t="inlineStr">
        <is>
          <t>Boleto Bancário</t>
        </is>
      </c>
      <c r="L1912" t="inlineStr">
        <is>
          <t>Custos Artístico Geral</t>
        </is>
      </c>
      <c r="M1912" t="inlineStr">
        <is>
          <t>Locação de Equipamentos Fixo</t>
        </is>
      </c>
      <c r="N1912" t="inlineStr">
        <is>
          <t>500</t>
        </is>
      </c>
      <c r="O1912" t="inlineStr">
        <is>
          <t>Documentação Aprovada</t>
        </is>
      </c>
      <c r="P1912" t="inlineStr">
        <is>
          <t>Aprovado Diretoria</t>
        </is>
      </c>
      <c r="Q1912" t="inlineStr">
        <is>
          <t>Aprovado Caixa</t>
        </is>
      </c>
      <c r="R1912" t="inlineStr">
        <is>
          <t>Pago</t>
        </is>
      </c>
      <c r="S1912" t="n">
        <v>182</v>
      </c>
      <c r="T1912" t="inlineStr">
        <is>
          <t>Love - Shibari - Kamino</t>
        </is>
      </c>
    </row>
    <row r="1913">
      <c r="A1913" t="n">
        <v>116084</v>
      </c>
      <c r="B1913" t="n">
        <v>128</v>
      </c>
      <c r="C1913" t="inlineStr">
        <is>
          <t>Love Cabaret</t>
        </is>
      </c>
      <c r="D1913" t="inlineStr">
        <is>
          <t xml:space="preserve">MINISTERIO DA FAZENDA </t>
        </is>
      </c>
      <c r="E1913" t="n">
        <v>20326.88</v>
      </c>
      <c r="F1913" s="27" t="n">
        <v>45807</v>
      </c>
      <c r="G1913" s="27" t="n">
        <v>45805</v>
      </c>
      <c r="H1913" s="27" t="n">
        <v>45805</v>
      </c>
      <c r="I1913" s="27" t="n">
        <v>45722</v>
      </c>
      <c r="J1913" s="27" t="n"/>
      <c r="K1913" t="inlineStr">
        <is>
          <t>Boleto Bancário</t>
        </is>
      </c>
      <c r="L1913" t="inlineStr">
        <is>
          <t>Endividamento</t>
        </is>
      </c>
      <c r="M1913" t="inlineStr">
        <is>
          <t>Endividamento Geral</t>
        </is>
      </c>
      <c r="N1913" t="inlineStr">
        <is>
          <t>3/60</t>
        </is>
      </c>
      <c r="O1913" t="inlineStr">
        <is>
          <t>Documentação Aprovada</t>
        </is>
      </c>
      <c r="P1913" t="inlineStr">
        <is>
          <t>Aprovado Diretoria</t>
        </is>
      </c>
      <c r="Q1913" t="inlineStr">
        <is>
          <t>Aprovado Caixa</t>
        </is>
      </c>
      <c r="R1913" t="inlineStr">
        <is>
          <t>Pago</t>
        </is>
      </c>
      <c r="S1913" t="n">
        <v>182</v>
      </c>
      <c r="T1913" t="inlineStr">
        <is>
          <t>Love - Shibari - Kamino</t>
        </is>
      </c>
    </row>
    <row r="1914">
      <c r="A1914" t="n">
        <v>131428</v>
      </c>
      <c r="B1914" t="n">
        <v>128</v>
      </c>
      <c r="C1914" t="inlineStr">
        <is>
          <t>Love Cabaret</t>
        </is>
      </c>
      <c r="D1914" t="inlineStr">
        <is>
          <t>WIDE STOCK COMERCIO E DISTRIBUICAO LTDA</t>
        </is>
      </c>
      <c r="E1914" t="n">
        <v>690.48</v>
      </c>
      <c r="F1914" s="27" t="n">
        <v>45806</v>
      </c>
      <c r="G1914" s="27" t="n">
        <v>45805</v>
      </c>
      <c r="H1914" s="27" t="n">
        <v>45805</v>
      </c>
      <c r="I1914" s="27" t="n">
        <v>45785</v>
      </c>
      <c r="J1914" s="27" t="n">
        <v>45786</v>
      </c>
      <c r="K1914" t="inlineStr">
        <is>
          <t>Boleto Bancário</t>
        </is>
      </c>
      <c r="L1914" t="inlineStr">
        <is>
          <t>Utilidades</t>
        </is>
      </c>
      <c r="M1914" t="inlineStr">
        <is>
          <t>Higiene e Limpeza</t>
        </is>
      </c>
      <c r="N1914" t="inlineStr">
        <is>
          <t>402678</t>
        </is>
      </c>
      <c r="O1914" t="inlineStr">
        <is>
          <t>Documentação Aprovada</t>
        </is>
      </c>
      <c r="P1914" t="inlineStr">
        <is>
          <t>Aprovado Diretoria</t>
        </is>
      </c>
      <c r="Q1914" t="inlineStr">
        <is>
          <t>Aprovado Caixa</t>
        </is>
      </c>
      <c r="R1914" t="inlineStr">
        <is>
          <t>Pago</t>
        </is>
      </c>
      <c r="S1914" t="n">
        <v>182</v>
      </c>
      <c r="T1914" t="inlineStr">
        <is>
          <t>Love - Shibari - Kamino</t>
        </is>
      </c>
    </row>
    <row r="1915">
      <c r="A1915" t="n">
        <v>131289</v>
      </c>
      <c r="B1915" t="n">
        <v>128</v>
      </c>
      <c r="C1915" t="inlineStr">
        <is>
          <t>Love Cabaret</t>
        </is>
      </c>
      <c r="D1915" t="inlineStr">
        <is>
          <t>ANDREIA SANTOS FREITAS DUARTE</t>
        </is>
      </c>
      <c r="E1915" t="n">
        <v>112</v>
      </c>
      <c r="F1915" s="27" t="n">
        <v>45806</v>
      </c>
      <c r="G1915" s="27" t="n">
        <v>45805</v>
      </c>
      <c r="H1915" s="27" t="n">
        <v>45805</v>
      </c>
      <c r="I1915" s="27" t="n">
        <v>45780</v>
      </c>
      <c r="J1915" s="27" t="n">
        <v>45786</v>
      </c>
      <c r="K1915" t="inlineStr">
        <is>
          <t>Boleto Bancário</t>
        </is>
      </c>
      <c r="L1915" t="inlineStr">
        <is>
          <t>Custo Mercadoria Vendida</t>
        </is>
      </c>
      <c r="M1915" t="inlineStr">
        <is>
          <t>Insumos - Alimentos</t>
        </is>
      </c>
      <c r="N1915" t="inlineStr">
        <is>
          <t>1789</t>
        </is>
      </c>
      <c r="O1915" t="inlineStr">
        <is>
          <t>Documentação Aprovada</t>
        </is>
      </c>
      <c r="P1915" t="inlineStr">
        <is>
          <t>Aprovado Diretoria</t>
        </is>
      </c>
      <c r="Q1915" t="inlineStr">
        <is>
          <t>Aprovado Caixa</t>
        </is>
      </c>
      <c r="R1915" t="inlineStr">
        <is>
          <t>Pago</t>
        </is>
      </c>
      <c r="S1915" t="n">
        <v>182</v>
      </c>
      <c r="T1915" t="inlineStr">
        <is>
          <t>Love - Shibari - Kamino</t>
        </is>
      </c>
    </row>
    <row r="1916">
      <c r="A1916" t="n">
        <v>131288</v>
      </c>
      <c r="B1916" t="n">
        <v>128</v>
      </c>
      <c r="C1916" t="inlineStr">
        <is>
          <t>Love Cabaret</t>
        </is>
      </c>
      <c r="D1916" t="inlineStr">
        <is>
          <t>ANDREIA SANTOS FREITAS DUARTE</t>
        </is>
      </c>
      <c r="E1916" t="n">
        <v>523.4</v>
      </c>
      <c r="F1916" s="27" t="n">
        <v>45806</v>
      </c>
      <c r="G1916" s="27" t="n">
        <v>45805</v>
      </c>
      <c r="H1916" s="27" t="n">
        <v>45805</v>
      </c>
      <c r="I1916" s="27" t="n">
        <v>45780</v>
      </c>
      <c r="J1916" s="27" t="n">
        <v>45786</v>
      </c>
      <c r="K1916" t="inlineStr">
        <is>
          <t>Boleto Bancário</t>
        </is>
      </c>
      <c r="L1916" t="inlineStr">
        <is>
          <t>Utilidades</t>
        </is>
      </c>
      <c r="M1916" t="inlineStr">
        <is>
          <t>Higiene e Limpeza</t>
        </is>
      </c>
      <c r="N1916" t="inlineStr">
        <is>
          <t>1788</t>
        </is>
      </c>
      <c r="O1916" t="inlineStr">
        <is>
          <t>Documentação Aprovada</t>
        </is>
      </c>
      <c r="P1916" t="inlineStr">
        <is>
          <t>Aprovado Diretoria</t>
        </is>
      </c>
      <c r="Q1916" t="inlineStr">
        <is>
          <t>Aprovado Caixa</t>
        </is>
      </c>
      <c r="R1916" t="inlineStr">
        <is>
          <t>Pago</t>
        </is>
      </c>
      <c r="S1916" t="n">
        <v>182</v>
      </c>
      <c r="T1916" t="inlineStr">
        <is>
          <t>Love - Shibari - Kamino</t>
        </is>
      </c>
    </row>
    <row r="1917">
      <c r="A1917" t="n">
        <v>133661</v>
      </c>
      <c r="B1917" t="n">
        <v>128</v>
      </c>
      <c r="C1917" t="inlineStr">
        <is>
          <t>Love Cabaret</t>
        </is>
      </c>
      <c r="D1917" t="inlineStr">
        <is>
          <t>PROAUTO INDUSTRIA QUIMICA EIRELI</t>
        </is>
      </c>
      <c r="E1917" t="n">
        <v>2406.81</v>
      </c>
      <c r="F1917" s="27" t="n">
        <v>45807</v>
      </c>
      <c r="G1917" s="27" t="n">
        <v>45805</v>
      </c>
      <c r="H1917" s="27" t="n">
        <v>45805</v>
      </c>
      <c r="I1917" s="27" t="n">
        <v>45789</v>
      </c>
      <c r="J1917" s="27" t="n">
        <v>45798</v>
      </c>
      <c r="K1917" t="inlineStr">
        <is>
          <t>Boleto Bancário</t>
        </is>
      </c>
      <c r="L1917" t="inlineStr">
        <is>
          <t>Utilidades</t>
        </is>
      </c>
      <c r="M1917" t="inlineStr">
        <is>
          <t>Higiene e Limpeza</t>
        </is>
      </c>
      <c r="N1917" t="inlineStr">
        <is>
          <t>137978</t>
        </is>
      </c>
      <c r="O1917" t="inlineStr">
        <is>
          <t>Documentação Aprovada</t>
        </is>
      </c>
      <c r="P1917" t="inlineStr">
        <is>
          <t>Aprovado Diretoria</t>
        </is>
      </c>
      <c r="Q1917" t="inlineStr">
        <is>
          <t>Aprovado Caixa</t>
        </is>
      </c>
      <c r="R1917" t="inlineStr">
        <is>
          <t>Pago</t>
        </is>
      </c>
      <c r="S1917" t="n">
        <v>182</v>
      </c>
      <c r="T1917" t="inlineStr">
        <is>
          <t>Love - Shibari - Kamino</t>
        </is>
      </c>
    </row>
    <row r="1918">
      <c r="A1918" t="n">
        <v>133360</v>
      </c>
      <c r="B1918" t="n">
        <v>128</v>
      </c>
      <c r="C1918" t="inlineStr">
        <is>
          <t>Love Cabaret</t>
        </is>
      </c>
      <c r="D1918" t="inlineStr">
        <is>
          <t>FLAVIO RODRIGUES DE MOURA</t>
        </is>
      </c>
      <c r="E1918" t="n">
        <v>1500</v>
      </c>
      <c r="F1918" s="27" t="n">
        <v>45808</v>
      </c>
      <c r="G1918" s="27" t="n">
        <v>45805</v>
      </c>
      <c r="H1918" s="27" t="n">
        <v>45805</v>
      </c>
      <c r="I1918" s="27" t="n">
        <v>45793</v>
      </c>
      <c r="J1918" s="27" t="n">
        <v>45797</v>
      </c>
      <c r="K1918" t="inlineStr">
        <is>
          <t>Transferência Bancária ou Pix</t>
        </is>
      </c>
      <c r="L1918" t="inlineStr">
        <is>
          <t>Custos Artístico Geral</t>
        </is>
      </c>
      <c r="M1918" t="inlineStr">
        <is>
          <t>Cachê de Músicos e Artistas</t>
        </is>
      </c>
      <c r="N1918" t="inlineStr">
        <is>
          <t>15000052025</t>
        </is>
      </c>
      <c r="O1918" t="inlineStr">
        <is>
          <t>Documentação Aprovada</t>
        </is>
      </c>
      <c r="P1918" t="inlineStr">
        <is>
          <t>Aprovado Diretoria</t>
        </is>
      </c>
      <c r="Q1918" t="inlineStr">
        <is>
          <t>Aprovado Caixa</t>
        </is>
      </c>
      <c r="R1918" t="inlineStr">
        <is>
          <t>Pago</t>
        </is>
      </c>
      <c r="S1918" t="n">
        <v>182</v>
      </c>
      <c r="T1918" t="inlineStr">
        <is>
          <t>Love - Shibari - Kamino</t>
        </is>
      </c>
    </row>
    <row r="1919">
      <c r="A1919" t="n">
        <v>133811</v>
      </c>
      <c r="B1919" t="n">
        <v>128</v>
      </c>
      <c r="C1919" t="inlineStr">
        <is>
          <t>Love Cabaret</t>
        </is>
      </c>
      <c r="D1919" t="inlineStr">
        <is>
          <t>CIUFFI HORTIFRUTI EIRELI</t>
        </is>
      </c>
      <c r="E1919" t="n">
        <v>295.75</v>
      </c>
      <c r="F1919" s="27" t="n">
        <v>45807</v>
      </c>
      <c r="G1919" s="27" t="n">
        <v>45805</v>
      </c>
      <c r="H1919" s="27" t="n">
        <v>45805</v>
      </c>
      <c r="I1919" s="27" t="n">
        <v>45793</v>
      </c>
      <c r="J1919" s="27" t="n">
        <v>45799</v>
      </c>
      <c r="K1919" t="inlineStr">
        <is>
          <t>Boleto Bancário</t>
        </is>
      </c>
      <c r="L1919" t="inlineStr">
        <is>
          <t>Custo Mercadoria Vendida</t>
        </is>
      </c>
      <c r="M1919" t="inlineStr">
        <is>
          <t>Insumos - Alimentos</t>
        </is>
      </c>
      <c r="N1919" t="inlineStr">
        <is>
          <t>23176</t>
        </is>
      </c>
      <c r="O1919" t="inlineStr">
        <is>
          <t>Documentação Aprovada</t>
        </is>
      </c>
      <c r="P1919" t="inlineStr">
        <is>
          <t>Aprovado Diretoria</t>
        </is>
      </c>
      <c r="Q1919" t="inlineStr">
        <is>
          <t>Aprovado Caixa</t>
        </is>
      </c>
      <c r="R1919" t="inlineStr">
        <is>
          <t>Pago</t>
        </is>
      </c>
      <c r="S1919" t="n">
        <v>182</v>
      </c>
      <c r="T1919" t="inlineStr">
        <is>
          <t>Love - Shibari - Kamino</t>
        </is>
      </c>
    </row>
    <row r="1920">
      <c r="A1920" t="n">
        <v>133810</v>
      </c>
      <c r="B1920" t="n">
        <v>128</v>
      </c>
      <c r="C1920" t="inlineStr">
        <is>
          <t>Love Cabaret</t>
        </is>
      </c>
      <c r="D1920" t="inlineStr">
        <is>
          <t>CECILIA TSUYACO ARAKI SILVA LTDA</t>
        </is>
      </c>
      <c r="E1920" t="n">
        <v>171.15</v>
      </c>
      <c r="F1920" s="27" t="n">
        <v>45806</v>
      </c>
      <c r="G1920" s="27" t="n">
        <v>45805</v>
      </c>
      <c r="H1920" s="27" t="n">
        <v>45805</v>
      </c>
      <c r="I1920" s="27" t="n">
        <v>45793</v>
      </c>
      <c r="J1920" s="27" t="n">
        <v>45799</v>
      </c>
      <c r="K1920" t="inlineStr">
        <is>
          <t>Boleto Bancário</t>
        </is>
      </c>
      <c r="L1920" t="inlineStr">
        <is>
          <t>Custo Mercadoria Vendida</t>
        </is>
      </c>
      <c r="M1920" t="inlineStr">
        <is>
          <t>Insumos - Alimentos</t>
        </is>
      </c>
      <c r="N1920" t="inlineStr">
        <is>
          <t>371172</t>
        </is>
      </c>
      <c r="O1920" t="inlineStr">
        <is>
          <t>Documentação Aprovada</t>
        </is>
      </c>
      <c r="P1920" t="inlineStr">
        <is>
          <t>Aprovado Diretoria</t>
        </is>
      </c>
      <c r="Q1920" t="inlineStr">
        <is>
          <t>Aprovado Caixa</t>
        </is>
      </c>
      <c r="R1920" t="inlineStr">
        <is>
          <t>Pago</t>
        </is>
      </c>
      <c r="S1920" t="n">
        <v>182</v>
      </c>
      <c r="T1920" t="inlineStr">
        <is>
          <t>Love - Shibari - Kamino</t>
        </is>
      </c>
    </row>
    <row r="1921">
      <c r="A1921" t="n">
        <v>133623</v>
      </c>
      <c r="B1921" t="n">
        <v>128</v>
      </c>
      <c r="C1921" t="inlineStr">
        <is>
          <t>Love Cabaret</t>
        </is>
      </c>
      <c r="D1921" t="inlineStr">
        <is>
          <t>VALE TRANSPORTE</t>
        </is>
      </c>
      <c r="E1921" t="n">
        <v>771.21</v>
      </c>
      <c r="F1921" s="27" t="n">
        <v>45806</v>
      </c>
      <c r="G1921" s="27" t="n">
        <v>45805</v>
      </c>
      <c r="H1921" s="27" t="n">
        <v>45805</v>
      </c>
      <c r="I1921" s="27" t="n">
        <v>45778</v>
      </c>
      <c r="J1921" s="27" t="n">
        <v>45798</v>
      </c>
      <c r="K1921" t="inlineStr">
        <is>
          <t>Boleto Bancário</t>
        </is>
      </c>
      <c r="L1921" t="inlineStr">
        <is>
          <t>Mão de Obra - Benefícios</t>
        </is>
      </c>
      <c r="M1921" t="inlineStr">
        <is>
          <t xml:space="preserve">  -  Vale-transporte</t>
        </is>
      </c>
      <c r="N1921" t="inlineStr">
        <is>
          <t>224828225</t>
        </is>
      </c>
      <c r="O1921" t="inlineStr">
        <is>
          <t>Documentação Aprovada</t>
        </is>
      </c>
      <c r="P1921" t="inlineStr">
        <is>
          <t>Aprovado Diretoria</t>
        </is>
      </c>
      <c r="Q1921" t="inlineStr">
        <is>
          <t>Aprovado Caixa</t>
        </is>
      </c>
      <c r="R1921" t="inlineStr">
        <is>
          <t>Pago</t>
        </is>
      </c>
      <c r="S1921" t="n">
        <v>182</v>
      </c>
      <c r="T1921" t="inlineStr">
        <is>
          <t>Love - Shibari - Kamino</t>
        </is>
      </c>
    </row>
    <row r="1922">
      <c r="A1922" t="n">
        <v>133807</v>
      </c>
      <c r="B1922" t="n">
        <v>128</v>
      </c>
      <c r="C1922" t="inlineStr">
        <is>
          <t>Love Cabaret</t>
        </is>
      </c>
      <c r="D1922" t="inlineStr">
        <is>
          <t>HORTIFRUTIGRANJEIRO RODRIGUES LTDA</t>
        </is>
      </c>
      <c r="E1922" t="n">
        <v>135</v>
      </c>
      <c r="F1922" s="27" t="n">
        <v>45806</v>
      </c>
      <c r="G1922" s="27" t="n">
        <v>45805</v>
      </c>
      <c r="H1922" s="27" t="n">
        <v>45805</v>
      </c>
      <c r="I1922" s="27" t="n">
        <v>45791</v>
      </c>
      <c r="J1922" s="27" t="n">
        <v>45799</v>
      </c>
      <c r="K1922" t="inlineStr">
        <is>
          <t>Boleto Bancário</t>
        </is>
      </c>
      <c r="L1922" t="inlineStr">
        <is>
          <t>Custo Mercadoria Vendida</t>
        </is>
      </c>
      <c r="M1922" t="inlineStr">
        <is>
          <t>Insumos - Alimentos</t>
        </is>
      </c>
      <c r="N1922" t="inlineStr">
        <is>
          <t>10366</t>
        </is>
      </c>
      <c r="O1922" t="inlineStr">
        <is>
          <t>Documentação Aprovada</t>
        </is>
      </c>
      <c r="P1922" t="inlineStr">
        <is>
          <t>Aprovado Diretoria</t>
        </is>
      </c>
      <c r="Q1922" t="inlineStr">
        <is>
          <t>Aprovado Caixa</t>
        </is>
      </c>
      <c r="R1922" t="inlineStr">
        <is>
          <t>Pago</t>
        </is>
      </c>
      <c r="S1922" t="n">
        <v>182</v>
      </c>
      <c r="T1922" t="inlineStr">
        <is>
          <t>Love - Shibari - Kamino</t>
        </is>
      </c>
    </row>
    <row r="1923">
      <c r="A1923" t="n">
        <v>133809</v>
      </c>
      <c r="B1923" t="n">
        <v>128</v>
      </c>
      <c r="C1923" t="inlineStr">
        <is>
          <t>Love Cabaret</t>
        </is>
      </c>
      <c r="D1923" t="inlineStr">
        <is>
          <t>BATALHA FABRICA DE PAES LTDA</t>
        </is>
      </c>
      <c r="E1923" t="n">
        <v>561.84</v>
      </c>
      <c r="F1923" s="27" t="n">
        <v>45807</v>
      </c>
      <c r="G1923" s="27" t="n">
        <v>45805</v>
      </c>
      <c r="H1923" s="27" t="n">
        <v>45805</v>
      </c>
      <c r="I1923" s="27" t="n">
        <v>45790</v>
      </c>
      <c r="J1923" s="27" t="n">
        <v>45799</v>
      </c>
      <c r="K1923" t="inlineStr">
        <is>
          <t>Boleto Bancário</t>
        </is>
      </c>
      <c r="L1923" t="inlineStr">
        <is>
          <t>Custo Mercadoria Vendida</t>
        </is>
      </c>
      <c r="M1923" t="inlineStr">
        <is>
          <t>Insumos - Alimentos</t>
        </is>
      </c>
      <c r="N1923" t="inlineStr">
        <is>
          <t>39393</t>
        </is>
      </c>
      <c r="O1923" t="inlineStr">
        <is>
          <t>Documentação Aprovada</t>
        </is>
      </c>
      <c r="P1923" t="inlineStr">
        <is>
          <t>Aprovado Diretoria</t>
        </is>
      </c>
      <c r="Q1923" t="inlineStr">
        <is>
          <t>Aprovado Caixa</t>
        </is>
      </c>
      <c r="R1923" t="inlineStr">
        <is>
          <t>Pago</t>
        </is>
      </c>
      <c r="S1923" t="n">
        <v>182</v>
      </c>
      <c r="T1923" t="inlineStr">
        <is>
          <t>Love - Shibari - Kamino</t>
        </is>
      </c>
    </row>
    <row r="1924">
      <c r="A1924" t="n">
        <v>133668</v>
      </c>
      <c r="B1924" t="n">
        <v>128</v>
      </c>
      <c r="C1924" t="inlineStr">
        <is>
          <t>Love Cabaret</t>
        </is>
      </c>
      <c r="D1924" t="inlineStr">
        <is>
          <t xml:space="preserve">ARENA VIP DISTRIBUIDORA DE BEBIDAS LTDA </t>
        </is>
      </c>
      <c r="E1924" t="n">
        <v>2940</v>
      </c>
      <c r="F1924" s="27" t="n">
        <v>45807</v>
      </c>
      <c r="G1924" s="27" t="n">
        <v>45805</v>
      </c>
      <c r="H1924" s="27" t="n">
        <v>45805</v>
      </c>
      <c r="I1924" s="27" t="n">
        <v>45786</v>
      </c>
      <c r="J1924" s="27" t="n">
        <v>45798</v>
      </c>
      <c r="K1924" t="inlineStr">
        <is>
          <t>Boleto Bancário</t>
        </is>
      </c>
      <c r="L1924" t="inlineStr">
        <is>
          <t>Custo Mercadoria Vendida</t>
        </is>
      </c>
      <c r="M1924" t="inlineStr">
        <is>
          <t>Insumos - Bebidas</t>
        </is>
      </c>
      <c r="N1924" t="inlineStr">
        <is>
          <t>3132</t>
        </is>
      </c>
      <c r="O1924" t="inlineStr">
        <is>
          <t>Documentação Aprovada</t>
        </is>
      </c>
      <c r="P1924" t="inlineStr">
        <is>
          <t>Aprovado Diretoria</t>
        </is>
      </c>
      <c r="Q1924" t="inlineStr">
        <is>
          <t>Aprovado Caixa</t>
        </is>
      </c>
      <c r="R1924" t="inlineStr">
        <is>
          <t>Pago</t>
        </is>
      </c>
      <c r="S1924" t="n">
        <v>182</v>
      </c>
      <c r="T1924" t="inlineStr">
        <is>
          <t>Love - Shibari - Kamino</t>
        </is>
      </c>
    </row>
    <row r="1925">
      <c r="A1925" t="n">
        <v>133361</v>
      </c>
      <c r="B1925" t="n">
        <v>128</v>
      </c>
      <c r="C1925" t="inlineStr">
        <is>
          <t>Love Cabaret</t>
        </is>
      </c>
      <c r="D1925" t="inlineStr">
        <is>
          <t xml:space="preserve">KATLEGO / NEUMARA SOLIDADE DE JESUS </t>
        </is>
      </c>
      <c r="E1925" t="n">
        <v>425</v>
      </c>
      <c r="F1925" s="27" t="n">
        <v>45808</v>
      </c>
      <c r="G1925" s="27" t="n">
        <v>45805</v>
      </c>
      <c r="H1925" s="27" t="n">
        <v>45805</v>
      </c>
      <c r="I1925" s="27" t="n">
        <v>45793</v>
      </c>
      <c r="J1925" s="27" t="n">
        <v>45797</v>
      </c>
      <c r="K1925" t="inlineStr">
        <is>
          <t>Transferência Bancária ou Pix</t>
        </is>
      </c>
      <c r="L1925" t="inlineStr">
        <is>
          <t>Custos Artístico Geral</t>
        </is>
      </c>
      <c r="M1925" t="inlineStr">
        <is>
          <t>Cachê de Músicos e Artistas</t>
        </is>
      </c>
      <c r="N1925" t="inlineStr">
        <is>
          <t>425052025</t>
        </is>
      </c>
      <c r="O1925" t="inlineStr">
        <is>
          <t>Documentação Aprovada</t>
        </is>
      </c>
      <c r="P1925" t="inlineStr">
        <is>
          <t>Aprovado Diretoria</t>
        </is>
      </c>
      <c r="Q1925" t="inlineStr">
        <is>
          <t>Aprovado Caixa</t>
        </is>
      </c>
      <c r="R1925" t="inlineStr">
        <is>
          <t>Pago</t>
        </is>
      </c>
      <c r="S1925" t="n">
        <v>182</v>
      </c>
      <c r="T1925" t="inlineStr">
        <is>
          <t>Love - Shibari - Kamino</t>
        </is>
      </c>
    </row>
    <row r="1926">
      <c r="A1926" t="n">
        <v>135208</v>
      </c>
      <c r="B1926" t="n">
        <v>128</v>
      </c>
      <c r="C1926" t="inlineStr">
        <is>
          <t>Love Cabaret</t>
        </is>
      </c>
      <c r="D1926" t="inlineStr">
        <is>
          <t>BRADESCO SA</t>
        </is>
      </c>
      <c r="E1926" t="n">
        <v>9.800000000000001</v>
      </c>
      <c r="F1926" s="27" t="n">
        <v>45805</v>
      </c>
      <c r="G1926" s="27" t="n"/>
      <c r="H1926" s="27" t="n">
        <v>45805</v>
      </c>
      <c r="I1926" s="27" t="n">
        <v>45805</v>
      </c>
      <c r="J1926" s="27" t="n">
        <v>45806</v>
      </c>
      <c r="K1926" t="inlineStr">
        <is>
          <t>Encontro de Contas</t>
        </is>
      </c>
      <c r="L1926" t="inlineStr">
        <is>
          <t>Despesas Financeiras</t>
        </is>
      </c>
      <c r="M1926" t="inlineStr">
        <is>
          <t>Tarifas Bancárias</t>
        </is>
      </c>
      <c r="N1926" t="inlineStr">
        <is>
          <t>052025</t>
        </is>
      </c>
      <c r="P1926" t="inlineStr">
        <is>
          <t>Aprovado Diretoria</t>
        </is>
      </c>
      <c r="R1926" t="inlineStr">
        <is>
          <t>Pago</t>
        </is>
      </c>
    </row>
    <row r="1927">
      <c r="A1927" t="n">
        <v>138075</v>
      </c>
      <c r="B1927" t="n">
        <v>128</v>
      </c>
      <c r="C1927" t="inlineStr">
        <is>
          <t>Love Cabaret</t>
        </is>
      </c>
      <c r="D1927" t="inlineStr">
        <is>
          <t xml:space="preserve">KAMINO INSTITUICAO DE PAGAMENTO LTDA </t>
        </is>
      </c>
      <c r="E1927" t="n">
        <v>2</v>
      </c>
      <c r="F1927" s="27" t="n">
        <v>45805</v>
      </c>
      <c r="G1927" s="27" t="n"/>
      <c r="H1927" s="27" t="n">
        <v>45805</v>
      </c>
      <c r="I1927" s="27" t="n">
        <v>45805</v>
      </c>
      <c r="J1927" s="27" t="n">
        <v>45813</v>
      </c>
      <c r="K1927" t="inlineStr">
        <is>
          <t>Encontro de Contas</t>
        </is>
      </c>
      <c r="L1927" t="inlineStr">
        <is>
          <t>Despesas Financeiras</t>
        </is>
      </c>
      <c r="M1927" t="inlineStr">
        <is>
          <t>Tarifas Bancárias</t>
        </is>
      </c>
      <c r="N1927" t="inlineStr">
        <is>
          <t>052025</t>
        </is>
      </c>
      <c r="P1927" t="inlineStr">
        <is>
          <t>Aprovado Diretoria</t>
        </is>
      </c>
      <c r="R1927" t="inlineStr">
        <is>
          <t>Pago</t>
        </is>
      </c>
    </row>
    <row r="1928">
      <c r="A1928" t="n">
        <v>128271</v>
      </c>
      <c r="B1928" t="n">
        <v>128</v>
      </c>
      <c r="C1928" t="inlineStr">
        <is>
          <t>Love Cabaret</t>
        </is>
      </c>
      <c r="D1928" t="inlineStr">
        <is>
          <t xml:space="preserve">EMPORIO MEL </t>
        </is>
      </c>
      <c r="E1928" t="n">
        <v>1201.83</v>
      </c>
      <c r="F1928" s="27" t="n">
        <v>45806</v>
      </c>
      <c r="G1928" s="27" t="n">
        <v>45805</v>
      </c>
      <c r="H1928" s="27" t="n">
        <v>45805</v>
      </c>
      <c r="I1928" s="27" t="n">
        <v>45775</v>
      </c>
      <c r="J1928" s="27" t="n">
        <v>45777</v>
      </c>
      <c r="K1928" t="inlineStr">
        <is>
          <t>Boleto Bancário</t>
        </is>
      </c>
      <c r="L1928" t="inlineStr">
        <is>
          <t>Custo Mercadoria Vendida</t>
        </is>
      </c>
      <c r="M1928" t="inlineStr">
        <is>
          <t>Insumos - Alimentos</t>
        </is>
      </c>
      <c r="N1928" t="inlineStr">
        <is>
          <t>449750</t>
        </is>
      </c>
      <c r="O1928" t="inlineStr">
        <is>
          <t>Documentação Aprovada</t>
        </is>
      </c>
      <c r="P1928" t="inlineStr">
        <is>
          <t>Aprovado Diretoria</t>
        </is>
      </c>
      <c r="Q1928" t="inlineStr">
        <is>
          <t>Aprovado Caixa</t>
        </is>
      </c>
      <c r="R1928" t="inlineStr">
        <is>
          <t>Pago</t>
        </is>
      </c>
      <c r="S1928" t="n">
        <v>182</v>
      </c>
      <c r="T1928" t="inlineStr">
        <is>
          <t>Love - Shibari - Kamino</t>
        </is>
      </c>
    </row>
    <row r="1929">
      <c r="A1929" t="n">
        <v>128191</v>
      </c>
      <c r="B1929" t="n">
        <v>128</v>
      </c>
      <c r="C1929" t="inlineStr">
        <is>
          <t>Love Cabaret</t>
        </is>
      </c>
      <c r="D1929" t="inlineStr">
        <is>
          <t>CEM ENGENHARIA DA MANUTENCAO LTDA</t>
        </is>
      </c>
      <c r="E1929" t="n">
        <v>8500</v>
      </c>
      <c r="F1929" s="27" t="n">
        <v>45806</v>
      </c>
      <c r="G1929" s="27" t="n">
        <v>45805</v>
      </c>
      <c r="H1929" s="27" t="n">
        <v>45805</v>
      </c>
      <c r="I1929" s="27" t="n">
        <v>45776</v>
      </c>
      <c r="J1929" s="27" t="n">
        <v>45777</v>
      </c>
      <c r="K1929" t="inlineStr">
        <is>
          <t>Boleto Bancário</t>
        </is>
      </c>
      <c r="L1929" t="inlineStr">
        <is>
          <t>Manutenção</t>
        </is>
      </c>
      <c r="M1929" t="inlineStr">
        <is>
          <t>Manutenção Predial</t>
        </is>
      </c>
      <c r="N1929" t="inlineStr">
        <is>
          <t>2536</t>
        </is>
      </c>
      <c r="O1929" t="inlineStr">
        <is>
          <t>Documentação Aprovada</t>
        </is>
      </c>
      <c r="P1929" t="inlineStr">
        <is>
          <t>Aprovado Diretoria</t>
        </is>
      </c>
      <c r="Q1929" t="inlineStr">
        <is>
          <t>Aprovado Caixa</t>
        </is>
      </c>
      <c r="R1929" t="inlineStr">
        <is>
          <t>Pago</t>
        </is>
      </c>
      <c r="S1929" t="n">
        <v>182</v>
      </c>
      <c r="T1929" t="inlineStr">
        <is>
          <t>Love - Shibari - Kamino</t>
        </is>
      </c>
    </row>
    <row r="1930">
      <c r="A1930" t="n">
        <v>128208</v>
      </c>
      <c r="B1930" t="n">
        <v>128</v>
      </c>
      <c r="C1930" t="inlineStr">
        <is>
          <t>Love Cabaret</t>
        </is>
      </c>
      <c r="D1930" t="inlineStr">
        <is>
          <t>PJ23824129000110 - FELIPE DA COSTA SANTOS</t>
        </is>
      </c>
      <c r="E1930" t="n">
        <v>35.58</v>
      </c>
      <c r="F1930" s="27" t="n">
        <v>45805</v>
      </c>
      <c r="G1930" s="27" t="n">
        <v>45803</v>
      </c>
      <c r="H1930" s="27" t="n">
        <v>45803</v>
      </c>
      <c r="I1930" s="27" t="n">
        <v>45777</v>
      </c>
      <c r="J1930" s="27" t="n">
        <v>45777</v>
      </c>
      <c r="K1930" t="inlineStr">
        <is>
          <t>Transferência Bancária ou Pix</t>
        </is>
      </c>
      <c r="L1930" t="inlineStr">
        <is>
          <t>Custo Mercadoria Vendida</t>
        </is>
      </c>
      <c r="M1930" t="inlineStr">
        <is>
          <t>Insumos - Alimentos</t>
        </is>
      </c>
      <c r="N1930" t="inlineStr">
        <is>
          <t>412025</t>
        </is>
      </c>
      <c r="O1930" t="inlineStr">
        <is>
          <t>Documentação Aprovada</t>
        </is>
      </c>
      <c r="P1930" t="inlineStr">
        <is>
          <t>Aprovado Diretoria</t>
        </is>
      </c>
      <c r="Q1930" t="inlineStr">
        <is>
          <t>Aprovado Caixa</t>
        </is>
      </c>
      <c r="R1930" t="inlineStr">
        <is>
          <t>Pago</t>
        </is>
      </c>
      <c r="S1930" t="n">
        <v>182</v>
      </c>
      <c r="T1930" t="inlineStr">
        <is>
          <t>Love - Shibari - Kamino</t>
        </is>
      </c>
    </row>
    <row r="1931">
      <c r="A1931" t="n">
        <v>128212</v>
      </c>
      <c r="B1931" t="n">
        <v>128</v>
      </c>
      <c r="C1931" t="inlineStr">
        <is>
          <t>Love Cabaret</t>
        </is>
      </c>
      <c r="D1931" t="inlineStr">
        <is>
          <t>ROBERTA MARIA SANTANA</t>
        </is>
      </c>
      <c r="E1931" t="n">
        <v>47.76</v>
      </c>
      <c r="F1931" s="27" t="n">
        <v>45805</v>
      </c>
      <c r="G1931" s="27" t="n">
        <v>45803</v>
      </c>
      <c r="H1931" s="27" t="n">
        <v>45803</v>
      </c>
      <c r="I1931" s="27" t="n">
        <v>45777</v>
      </c>
      <c r="J1931" s="27" t="n">
        <v>45777</v>
      </c>
      <c r="K1931" t="inlineStr">
        <is>
          <t>Transferência Bancária ou Pix</t>
        </is>
      </c>
      <c r="L1931" t="inlineStr">
        <is>
          <t>Custo Mercadoria Vendida</t>
        </is>
      </c>
      <c r="M1931" t="inlineStr">
        <is>
          <t>Insumos - Alimentos</t>
        </is>
      </c>
      <c r="N1931" t="inlineStr">
        <is>
          <t>422025</t>
        </is>
      </c>
      <c r="O1931" t="inlineStr">
        <is>
          <t>Documentação Aprovada</t>
        </is>
      </c>
      <c r="P1931" t="inlineStr">
        <is>
          <t>Aprovado Diretoria</t>
        </is>
      </c>
      <c r="Q1931" t="inlineStr">
        <is>
          <t>Aprovado Caixa</t>
        </is>
      </c>
      <c r="R1931" t="inlineStr">
        <is>
          <t>Pago</t>
        </is>
      </c>
      <c r="S1931" t="n">
        <v>182</v>
      </c>
      <c r="T1931" t="inlineStr">
        <is>
          <t>Love - Shibari - Kamino</t>
        </is>
      </c>
    </row>
    <row r="1932">
      <c r="A1932" t="n">
        <v>128219</v>
      </c>
      <c r="B1932" t="n">
        <v>128</v>
      </c>
      <c r="C1932" t="inlineStr">
        <is>
          <t>Love Cabaret</t>
        </is>
      </c>
      <c r="D1932" t="inlineStr">
        <is>
          <t>WAGNER DA SILVA FRANCA</t>
        </is>
      </c>
      <c r="E1932" t="n">
        <v>41.09</v>
      </c>
      <c r="F1932" s="27" t="n">
        <v>45805</v>
      </c>
      <c r="G1932" s="27" t="n">
        <v>45803</v>
      </c>
      <c r="H1932" s="27" t="n">
        <v>45803</v>
      </c>
      <c r="I1932" s="27" t="n">
        <v>45777</v>
      </c>
      <c r="J1932" s="27" t="n">
        <v>45777</v>
      </c>
      <c r="K1932" t="inlineStr">
        <is>
          <t>Transferência Bancária ou Pix</t>
        </is>
      </c>
      <c r="L1932" t="inlineStr">
        <is>
          <t>Custo Mercadoria Vendida</t>
        </is>
      </c>
      <c r="M1932" t="inlineStr">
        <is>
          <t>Insumos - Bebidas</t>
        </is>
      </c>
      <c r="N1932" t="inlineStr">
        <is>
          <t>432025</t>
        </is>
      </c>
      <c r="O1932" t="inlineStr">
        <is>
          <t>Documentação Aprovada</t>
        </is>
      </c>
      <c r="P1932" t="inlineStr">
        <is>
          <t>Aprovado Diretoria</t>
        </is>
      </c>
      <c r="Q1932" t="inlineStr">
        <is>
          <t>Aprovado Caixa</t>
        </is>
      </c>
      <c r="R1932" t="inlineStr">
        <is>
          <t>Pago</t>
        </is>
      </c>
      <c r="S1932" t="n">
        <v>182</v>
      </c>
      <c r="T1932" t="inlineStr">
        <is>
          <t>Love - Shibari - Kamino</t>
        </is>
      </c>
    </row>
    <row r="1933">
      <c r="A1933" t="n">
        <v>128255</v>
      </c>
      <c r="B1933" t="n">
        <v>128</v>
      </c>
      <c r="C1933" t="inlineStr">
        <is>
          <t>Love Cabaret</t>
        </is>
      </c>
      <c r="D1933" t="inlineStr">
        <is>
          <t>HORTICLEAN DISTRIBUIDORA DE HORTIFRUTI LTDA</t>
        </is>
      </c>
      <c r="E1933" t="n">
        <v>99.93000000000001</v>
      </c>
      <c r="F1933" s="27" t="n">
        <v>45804</v>
      </c>
      <c r="G1933" s="27" t="n">
        <v>45803</v>
      </c>
      <c r="H1933" s="27" t="n">
        <v>45803</v>
      </c>
      <c r="I1933" s="27" t="n">
        <v>45775</v>
      </c>
      <c r="J1933" s="27" t="n">
        <v>45777</v>
      </c>
      <c r="K1933" t="inlineStr">
        <is>
          <t>Boleto Bancário</t>
        </is>
      </c>
      <c r="L1933" t="inlineStr">
        <is>
          <t>Custo Mercadoria Vendida</t>
        </is>
      </c>
      <c r="M1933" t="inlineStr">
        <is>
          <t>Insumos - Alimentos</t>
        </is>
      </c>
      <c r="N1933" t="inlineStr">
        <is>
          <t>26579</t>
        </is>
      </c>
      <c r="O1933" t="inlineStr">
        <is>
          <t>Documentação Aprovada</t>
        </is>
      </c>
      <c r="P1933" t="inlineStr">
        <is>
          <t>Aprovado Diretoria</t>
        </is>
      </c>
      <c r="Q1933" t="inlineStr">
        <is>
          <t>Aprovado Caixa</t>
        </is>
      </c>
      <c r="R1933" t="inlineStr">
        <is>
          <t>Pago</t>
        </is>
      </c>
      <c r="S1933" t="n">
        <v>182</v>
      </c>
      <c r="T1933" t="inlineStr">
        <is>
          <t>Love - Shibari - Kamino</t>
        </is>
      </c>
    </row>
    <row r="1934">
      <c r="A1934" t="n">
        <v>128222</v>
      </c>
      <c r="B1934" t="n">
        <v>128</v>
      </c>
      <c r="C1934" t="inlineStr">
        <is>
          <t>Love Cabaret</t>
        </is>
      </c>
      <c r="D1934" t="inlineStr">
        <is>
          <t>WAGNER DA SILVA FRANCA</t>
        </is>
      </c>
      <c r="E1934" t="n">
        <v>11.29</v>
      </c>
      <c r="F1934" s="27" t="n">
        <v>45805</v>
      </c>
      <c r="G1934" s="27" t="n">
        <v>45803</v>
      </c>
      <c r="H1934" s="27" t="n">
        <v>45803</v>
      </c>
      <c r="I1934" s="27" t="n">
        <v>45777</v>
      </c>
      <c r="J1934" s="27" t="n">
        <v>45777</v>
      </c>
      <c r="K1934" t="inlineStr">
        <is>
          <t>Transferência Bancária ou Pix</t>
        </is>
      </c>
      <c r="L1934" t="inlineStr">
        <is>
          <t>Utilidades</t>
        </is>
      </c>
      <c r="M1934" t="inlineStr">
        <is>
          <t>Higiene e Limpeza</t>
        </is>
      </c>
      <c r="N1934" t="inlineStr">
        <is>
          <t>432025</t>
        </is>
      </c>
      <c r="O1934" t="inlineStr">
        <is>
          <t>Documentação Aprovada</t>
        </is>
      </c>
      <c r="P1934" t="inlineStr">
        <is>
          <t>Aprovado Diretoria</t>
        </is>
      </c>
      <c r="Q1934" t="inlineStr">
        <is>
          <t>Aprovado Caixa</t>
        </is>
      </c>
      <c r="R1934" t="inlineStr">
        <is>
          <t>Pago</t>
        </is>
      </c>
      <c r="S1934" t="n">
        <v>182</v>
      </c>
      <c r="T1934" t="inlineStr">
        <is>
          <t>Love - Shibari - Kamino</t>
        </is>
      </c>
    </row>
    <row r="1935">
      <c r="A1935" t="n">
        <v>128280</v>
      </c>
      <c r="B1935" t="n">
        <v>128</v>
      </c>
      <c r="C1935" t="inlineStr">
        <is>
          <t>Love Cabaret</t>
        </is>
      </c>
      <c r="D1935" t="inlineStr">
        <is>
          <t>PROAUTO INDUSTRIA QUIMICA EIRELI</t>
        </is>
      </c>
      <c r="E1935" t="n">
        <v>927.9</v>
      </c>
      <c r="F1935" s="27" t="n">
        <v>45803</v>
      </c>
      <c r="G1935" s="27" t="n">
        <v>45803</v>
      </c>
      <c r="H1935" s="27" t="n">
        <v>45803</v>
      </c>
      <c r="I1935" s="27" t="n">
        <v>45775</v>
      </c>
      <c r="J1935" s="27" t="n">
        <v>45777</v>
      </c>
      <c r="K1935" t="inlineStr">
        <is>
          <t>Boleto Bancário</t>
        </is>
      </c>
      <c r="L1935" t="inlineStr">
        <is>
          <t>Utilidades</t>
        </is>
      </c>
      <c r="M1935" t="inlineStr">
        <is>
          <t>Higiene e Limpeza</t>
        </is>
      </c>
      <c r="N1935" t="inlineStr">
        <is>
          <t>137236</t>
        </is>
      </c>
      <c r="O1935" t="inlineStr">
        <is>
          <t>Documentação Aprovada</t>
        </is>
      </c>
      <c r="P1935" t="inlineStr">
        <is>
          <t>Aprovado Diretoria</t>
        </is>
      </c>
      <c r="Q1935" t="inlineStr">
        <is>
          <t>Aprovado Caixa</t>
        </is>
      </c>
      <c r="R1935" t="inlineStr">
        <is>
          <t>Pago</t>
        </is>
      </c>
      <c r="S1935" t="n">
        <v>182</v>
      </c>
      <c r="T1935" t="inlineStr">
        <is>
          <t>Love - Shibari - Kamino</t>
        </is>
      </c>
    </row>
    <row r="1936">
      <c r="A1936" t="n">
        <v>128206</v>
      </c>
      <c r="B1936" t="n">
        <v>128</v>
      </c>
      <c r="C1936" t="inlineStr">
        <is>
          <t>Love Cabaret</t>
        </is>
      </c>
      <c r="D1936" t="inlineStr">
        <is>
          <t>PJ 00042021 - JOAO VICTOR MENDES SALUSTIANO</t>
        </is>
      </c>
      <c r="E1936" t="n">
        <v>136.1</v>
      </c>
      <c r="F1936" s="27" t="n">
        <v>45805</v>
      </c>
      <c r="G1936" s="27" t="n">
        <v>45803</v>
      </c>
      <c r="H1936" s="27" t="n">
        <v>45803</v>
      </c>
      <c r="I1936" s="27" t="n">
        <v>45777</v>
      </c>
      <c r="J1936" s="27" t="n">
        <v>45777</v>
      </c>
      <c r="K1936" t="inlineStr">
        <is>
          <t>Transferência Bancária ou Pix</t>
        </is>
      </c>
      <c r="L1936" t="inlineStr">
        <is>
          <t>Utilidades</t>
        </is>
      </c>
      <c r="M1936" t="inlineStr">
        <is>
          <t>Utensilios</t>
        </is>
      </c>
      <c r="N1936" t="inlineStr">
        <is>
          <t>402025</t>
        </is>
      </c>
      <c r="O1936" t="inlineStr">
        <is>
          <t>Documentação Aprovada</t>
        </is>
      </c>
      <c r="P1936" t="inlineStr">
        <is>
          <t>Aprovado Diretoria</t>
        </is>
      </c>
      <c r="Q1936" t="inlineStr">
        <is>
          <t>Aprovado Caixa</t>
        </is>
      </c>
      <c r="R1936" t="inlineStr">
        <is>
          <t>Pago</t>
        </is>
      </c>
      <c r="S1936" t="n">
        <v>182</v>
      </c>
      <c r="T1936" t="inlineStr">
        <is>
          <t>Love - Shibari - Kamino</t>
        </is>
      </c>
    </row>
    <row r="1937">
      <c r="A1937" t="n">
        <v>128261</v>
      </c>
      <c r="B1937" t="n">
        <v>128</v>
      </c>
      <c r="C1937" t="inlineStr">
        <is>
          <t>Love Cabaret</t>
        </is>
      </c>
      <c r="D1937" t="inlineStr">
        <is>
          <t>B.B DISTRIBUIDORA DE CARNES LTDA</t>
        </is>
      </c>
      <c r="E1937" t="n">
        <v>807.36</v>
      </c>
      <c r="F1937" s="27" t="n">
        <v>45803</v>
      </c>
      <c r="G1937" s="27" t="n">
        <v>45803</v>
      </c>
      <c r="H1937" s="27" t="n">
        <v>45803</v>
      </c>
      <c r="I1937" s="27" t="n">
        <v>45775</v>
      </c>
      <c r="J1937" s="27" t="n">
        <v>45777</v>
      </c>
      <c r="K1937" t="inlineStr">
        <is>
          <t>Boleto Bancário</t>
        </is>
      </c>
      <c r="L1937" t="inlineStr">
        <is>
          <t>Custo Mercadoria Vendida</t>
        </is>
      </c>
      <c r="M1937" t="inlineStr">
        <is>
          <t>Insumos - Alimentos</t>
        </is>
      </c>
      <c r="N1937" t="inlineStr">
        <is>
          <t>391765</t>
        </is>
      </c>
      <c r="O1937" t="inlineStr">
        <is>
          <t>Documentação Aprovada</t>
        </is>
      </c>
      <c r="P1937" t="inlineStr">
        <is>
          <t>Aprovado Diretoria</t>
        </is>
      </c>
      <c r="Q1937" t="inlineStr">
        <is>
          <t>Aprovado Caixa</t>
        </is>
      </c>
      <c r="R1937" t="inlineStr">
        <is>
          <t>Pago</t>
        </is>
      </c>
      <c r="S1937" t="n">
        <v>182</v>
      </c>
      <c r="T1937" t="inlineStr">
        <is>
          <t>Love - Shibari - Kamino</t>
        </is>
      </c>
    </row>
    <row r="1938">
      <c r="A1938" t="n">
        <v>128257</v>
      </c>
      <c r="B1938" t="n">
        <v>128</v>
      </c>
      <c r="C1938" t="inlineStr">
        <is>
          <t>Love Cabaret</t>
        </is>
      </c>
      <c r="D1938" t="inlineStr">
        <is>
          <t xml:space="preserve">COMERCIAL IMPORTADORA E EXPORTADORA METAPUNTO LTDA </t>
        </is>
      </c>
      <c r="E1938" t="n">
        <v>659</v>
      </c>
      <c r="F1938" s="27" t="n">
        <v>45804</v>
      </c>
      <c r="G1938" s="27" t="n">
        <v>45803</v>
      </c>
      <c r="H1938" s="27" t="n">
        <v>45803</v>
      </c>
      <c r="I1938" s="27" t="n">
        <v>45776</v>
      </c>
      <c r="J1938" s="27" t="n">
        <v>45777</v>
      </c>
      <c r="K1938" t="inlineStr">
        <is>
          <t>Boleto Bancário</t>
        </is>
      </c>
      <c r="L1938" t="inlineStr">
        <is>
          <t>Custo Mercadoria Vendida</t>
        </is>
      </c>
      <c r="M1938" t="inlineStr">
        <is>
          <t>Insumos - Alimentos</t>
        </is>
      </c>
      <c r="N1938" t="inlineStr">
        <is>
          <t>35758</t>
        </is>
      </c>
      <c r="O1938" t="inlineStr">
        <is>
          <t>Documentação Aprovada</t>
        </is>
      </c>
      <c r="P1938" t="inlineStr">
        <is>
          <t>Aprovado Diretoria</t>
        </is>
      </c>
      <c r="Q1938" t="inlineStr">
        <is>
          <t>Aprovado Caixa</t>
        </is>
      </c>
      <c r="R1938" t="inlineStr">
        <is>
          <t>Pago</t>
        </is>
      </c>
      <c r="S1938" t="n">
        <v>182</v>
      </c>
      <c r="T1938" t="inlineStr">
        <is>
          <t>Love - Shibari - Kamino</t>
        </is>
      </c>
    </row>
    <row r="1939">
      <c r="A1939" t="n">
        <v>130651</v>
      </c>
      <c r="B1939" t="n">
        <v>128</v>
      </c>
      <c r="C1939" t="inlineStr">
        <is>
          <t>Love Cabaret</t>
        </is>
      </c>
      <c r="D1939" t="inlineStr">
        <is>
          <t>PRESHH ALUGUEL DE MAQUINAS LTDA</t>
        </is>
      </c>
      <c r="E1939" t="n">
        <v>198</v>
      </c>
      <c r="F1939" s="27" t="n">
        <v>45804</v>
      </c>
      <c r="G1939" s="27" t="n">
        <v>45803</v>
      </c>
      <c r="H1939" s="27" t="n">
        <v>45803</v>
      </c>
      <c r="I1939" s="27" t="n">
        <v>45784</v>
      </c>
      <c r="J1939" s="27" t="n">
        <v>45784</v>
      </c>
      <c r="K1939" t="inlineStr">
        <is>
          <t>Boleto Bancário</t>
        </is>
      </c>
      <c r="L1939" t="inlineStr">
        <is>
          <t>Utilidades</t>
        </is>
      </c>
      <c r="M1939" t="inlineStr">
        <is>
          <t>Material de Consumo - Gelo/ Gas CO2/ Carvao /Velas</t>
        </is>
      </c>
      <c r="N1939" t="inlineStr">
        <is>
          <t>T29820</t>
        </is>
      </c>
      <c r="O1939" t="inlineStr">
        <is>
          <t>Documentação Aprovada</t>
        </is>
      </c>
      <c r="P1939" t="inlineStr">
        <is>
          <t>Aprovado Diretoria</t>
        </is>
      </c>
      <c r="Q1939" t="inlineStr">
        <is>
          <t>Aprovado Caixa</t>
        </is>
      </c>
      <c r="R1939" t="inlineStr">
        <is>
          <t>Pago</t>
        </is>
      </c>
      <c r="S1939" t="n">
        <v>182</v>
      </c>
      <c r="T1939" t="inlineStr">
        <is>
          <t>Love - Shibari - Kamino</t>
        </is>
      </c>
    </row>
    <row r="1940">
      <c r="A1940" t="n">
        <v>133814</v>
      </c>
      <c r="B1940" t="n">
        <v>128</v>
      </c>
      <c r="C1940" t="inlineStr">
        <is>
          <t>Love Cabaret</t>
        </is>
      </c>
      <c r="D1940" t="inlineStr">
        <is>
          <t>PSSS LTDA</t>
        </is>
      </c>
      <c r="E1940" t="n">
        <v>536.9</v>
      </c>
      <c r="F1940" s="27" t="n">
        <v>45805</v>
      </c>
      <c r="G1940" s="27" t="n">
        <v>45803</v>
      </c>
      <c r="H1940" s="27" t="n">
        <v>45803</v>
      </c>
      <c r="I1940" s="27" t="n">
        <v>45791</v>
      </c>
      <c r="J1940" s="27" t="n">
        <v>45799</v>
      </c>
      <c r="K1940" t="inlineStr">
        <is>
          <t>Boleto Bancário</t>
        </is>
      </c>
      <c r="L1940" t="inlineStr">
        <is>
          <t>Utilidades</t>
        </is>
      </c>
      <c r="M1940" t="inlineStr">
        <is>
          <t>Higiene e Limpeza</t>
        </is>
      </c>
      <c r="N1940" t="inlineStr">
        <is>
          <t>1590</t>
        </is>
      </c>
      <c r="O1940" t="inlineStr">
        <is>
          <t>Documentação Aprovada</t>
        </is>
      </c>
      <c r="P1940" t="inlineStr">
        <is>
          <t>Aprovado Diretoria</t>
        </is>
      </c>
      <c r="Q1940" t="inlineStr">
        <is>
          <t>Aprovado Caixa</t>
        </is>
      </c>
      <c r="R1940" t="inlineStr">
        <is>
          <t>Pago</t>
        </is>
      </c>
      <c r="S1940" t="n">
        <v>182</v>
      </c>
      <c r="T1940" t="inlineStr">
        <is>
          <t>Love - Shibari - Kamino</t>
        </is>
      </c>
    </row>
    <row r="1941">
      <c r="A1941" t="n">
        <v>133815</v>
      </c>
      <c r="B1941" t="n">
        <v>128</v>
      </c>
      <c r="C1941" t="inlineStr">
        <is>
          <t>Love Cabaret</t>
        </is>
      </c>
      <c r="D1941" t="inlineStr">
        <is>
          <t>ZAHIL IMPORTADORA LTDA</t>
        </is>
      </c>
      <c r="E1941" t="n">
        <v>1761.08</v>
      </c>
      <c r="F1941" s="27" t="n">
        <v>45803</v>
      </c>
      <c r="G1941" s="27" t="n">
        <v>45803</v>
      </c>
      <c r="H1941" s="27" t="n">
        <v>45803</v>
      </c>
      <c r="I1941" s="27" t="n">
        <v>45786</v>
      </c>
      <c r="J1941" s="27" t="n">
        <v>45799</v>
      </c>
      <c r="K1941" t="inlineStr">
        <is>
          <t>Boleto Bancário</t>
        </is>
      </c>
      <c r="L1941" t="inlineStr">
        <is>
          <t>Custo Mercadoria Vendida</t>
        </is>
      </c>
      <c r="M1941" t="inlineStr">
        <is>
          <t>Insumos - Bebidas</t>
        </is>
      </c>
      <c r="N1941" t="inlineStr">
        <is>
          <t>247295</t>
        </is>
      </c>
      <c r="O1941" t="inlineStr">
        <is>
          <t>Documentação Aprovada</t>
        </is>
      </c>
      <c r="P1941" t="inlineStr">
        <is>
          <t>Aprovado Diretoria</t>
        </is>
      </c>
      <c r="Q1941" t="inlineStr">
        <is>
          <t>Aprovado Caixa</t>
        </is>
      </c>
      <c r="R1941" t="inlineStr">
        <is>
          <t>Pago</t>
        </is>
      </c>
      <c r="S1941" t="n">
        <v>182</v>
      </c>
      <c r="T1941" t="inlineStr">
        <is>
          <t>Love - Shibari - Kamino</t>
        </is>
      </c>
    </row>
    <row r="1942">
      <c r="A1942" t="n">
        <v>133979</v>
      </c>
      <c r="B1942" t="n">
        <v>128</v>
      </c>
      <c r="C1942" t="inlineStr">
        <is>
          <t>Love Cabaret</t>
        </is>
      </c>
      <c r="D1942" t="inlineStr">
        <is>
          <t>CVT LOCAÇÕES</t>
        </is>
      </c>
      <c r="E1942" t="n">
        <v>550</v>
      </c>
      <c r="F1942" s="27" t="n">
        <v>45803</v>
      </c>
      <c r="G1942" s="27" t="n">
        <v>45803</v>
      </c>
      <c r="H1942" s="27" t="n">
        <v>45803</v>
      </c>
      <c r="I1942" s="27" t="n">
        <v>45800</v>
      </c>
      <c r="J1942" s="27" t="n">
        <v>45800</v>
      </c>
      <c r="K1942" t="inlineStr">
        <is>
          <t>Boleto Bancário</t>
        </is>
      </c>
      <c r="L1942" t="inlineStr">
        <is>
          <t>Custos de Eventos</t>
        </is>
      </c>
      <c r="M1942" t="inlineStr">
        <is>
          <t>Locação de Equipamentos - Eventos</t>
        </is>
      </c>
      <c r="N1942" t="inlineStr">
        <is>
          <t>132</t>
        </is>
      </c>
      <c r="O1942" t="inlineStr">
        <is>
          <t>Documentação Aprovada</t>
        </is>
      </c>
      <c r="P1942" t="inlineStr">
        <is>
          <t>Aprovado Diretoria</t>
        </is>
      </c>
      <c r="Q1942" t="inlineStr">
        <is>
          <t>Aprovado Caixa</t>
        </is>
      </c>
      <c r="R1942" t="inlineStr">
        <is>
          <t>Pago</t>
        </is>
      </c>
      <c r="S1942" t="n">
        <v>182</v>
      </c>
      <c r="T1942" t="inlineStr">
        <is>
          <t>Love - Shibari - Kamino</t>
        </is>
      </c>
    </row>
    <row r="1943">
      <c r="A1943" t="n">
        <v>133686</v>
      </c>
      <c r="B1943" t="n">
        <v>128</v>
      </c>
      <c r="C1943" t="inlineStr">
        <is>
          <t>Love Cabaret</t>
        </is>
      </c>
      <c r="D1943" t="inlineStr">
        <is>
          <t>HNK BR IND DE BEBIDAS</t>
        </is>
      </c>
      <c r="E1943" t="n">
        <v>2215.53</v>
      </c>
      <c r="F1943" s="27" t="n">
        <v>45805</v>
      </c>
      <c r="G1943" s="27" t="n">
        <v>45803</v>
      </c>
      <c r="H1943" s="27" t="n">
        <v>45803</v>
      </c>
      <c r="I1943" s="27" t="n">
        <v>45791</v>
      </c>
      <c r="J1943" s="27" t="n">
        <v>45798</v>
      </c>
      <c r="K1943" t="inlineStr">
        <is>
          <t>Boleto Bancário</t>
        </is>
      </c>
      <c r="L1943" t="inlineStr">
        <is>
          <t>Custo Mercadoria Vendida</t>
        </is>
      </c>
      <c r="M1943" t="inlineStr">
        <is>
          <t>Insumos - Bebidas</t>
        </is>
      </c>
      <c r="N1943" t="inlineStr">
        <is>
          <t>249677</t>
        </is>
      </c>
      <c r="O1943" t="inlineStr">
        <is>
          <t>Documentação Aprovada</t>
        </is>
      </c>
      <c r="P1943" t="inlineStr">
        <is>
          <t>Aprovado Diretoria</t>
        </is>
      </c>
      <c r="Q1943" t="inlineStr">
        <is>
          <t>Aprovado Caixa</t>
        </is>
      </c>
      <c r="R1943" t="inlineStr">
        <is>
          <t>Pago</t>
        </is>
      </c>
      <c r="S1943" t="n">
        <v>182</v>
      </c>
      <c r="T1943" t="inlineStr">
        <is>
          <t>Love - Shibari - Kamino</t>
        </is>
      </c>
    </row>
    <row r="1944">
      <c r="A1944" t="n">
        <v>133808</v>
      </c>
      <c r="B1944" t="n">
        <v>128</v>
      </c>
      <c r="C1944" t="inlineStr">
        <is>
          <t>Love Cabaret</t>
        </is>
      </c>
      <c r="D1944" t="inlineStr">
        <is>
          <t>BRUNO MERCEARIA LTDA ME</t>
        </is>
      </c>
      <c r="E1944" t="n">
        <v>996</v>
      </c>
      <c r="F1944" s="27" t="n">
        <v>45803</v>
      </c>
      <c r="G1944" s="27" t="n">
        <v>45803</v>
      </c>
      <c r="H1944" s="27" t="n">
        <v>45803</v>
      </c>
      <c r="I1944" s="27" t="n">
        <v>45786</v>
      </c>
      <c r="J1944" s="27" t="n">
        <v>45799</v>
      </c>
      <c r="K1944" t="inlineStr">
        <is>
          <t>Boleto Bancário</t>
        </is>
      </c>
      <c r="L1944" t="inlineStr">
        <is>
          <t>Custo Mercadoria Vendida</t>
        </is>
      </c>
      <c r="M1944" t="inlineStr">
        <is>
          <t>Insumos - Bebidas</t>
        </is>
      </c>
      <c r="N1944" t="inlineStr">
        <is>
          <t>5596</t>
        </is>
      </c>
      <c r="O1944" t="inlineStr">
        <is>
          <t>Documentação Aprovada</t>
        </is>
      </c>
      <c r="P1944" t="inlineStr">
        <is>
          <t>Aprovado Diretoria</t>
        </is>
      </c>
      <c r="Q1944" t="inlineStr">
        <is>
          <t>Aprovado Caixa</t>
        </is>
      </c>
      <c r="R1944" t="inlineStr">
        <is>
          <t>Pago</t>
        </is>
      </c>
      <c r="S1944" t="n">
        <v>182</v>
      </c>
      <c r="T1944" t="inlineStr">
        <is>
          <t>Love - Shibari - Kamino</t>
        </is>
      </c>
    </row>
    <row r="1945">
      <c r="A1945" t="n">
        <v>133806</v>
      </c>
      <c r="B1945" t="n">
        <v>128</v>
      </c>
      <c r="C1945" t="inlineStr">
        <is>
          <t>Love Cabaret</t>
        </is>
      </c>
      <c r="D1945" t="inlineStr">
        <is>
          <t xml:space="preserve">RD GESTAO E SISTEMAS S.A </t>
        </is>
      </c>
      <c r="E1945" t="n">
        <v>1792</v>
      </c>
      <c r="F1945" s="27" t="n">
        <v>45803</v>
      </c>
      <c r="G1945" s="27" t="n">
        <v>45803</v>
      </c>
      <c r="H1945" s="27" t="n">
        <v>45803</v>
      </c>
      <c r="I1945" s="27" t="n">
        <v>45799</v>
      </c>
      <c r="J1945" s="27" t="n">
        <v>45799</v>
      </c>
      <c r="K1945" t="inlineStr">
        <is>
          <t>Transferência Bancária ou Pix</t>
        </is>
      </c>
      <c r="L1945" t="inlineStr">
        <is>
          <t>Marketing</t>
        </is>
      </c>
      <c r="M1945" t="inlineStr">
        <is>
          <t>Ferramentas de Marketing</t>
        </is>
      </c>
      <c r="N1945" t="inlineStr">
        <is>
          <t>02/2025</t>
        </is>
      </c>
      <c r="O1945" t="inlineStr">
        <is>
          <t>Documentação Aprovada</t>
        </is>
      </c>
      <c r="P1945" t="inlineStr">
        <is>
          <t>Aprovado Diretoria</t>
        </is>
      </c>
      <c r="Q1945" t="inlineStr">
        <is>
          <t>Aprovado Caixa</t>
        </is>
      </c>
      <c r="R1945" t="inlineStr">
        <is>
          <t>Pago</t>
        </is>
      </c>
      <c r="S1945" t="n">
        <v>182</v>
      </c>
      <c r="T1945" t="inlineStr">
        <is>
          <t>Love - Shibari - Kamino</t>
        </is>
      </c>
    </row>
    <row r="1946">
      <c r="A1946" t="n">
        <v>133671</v>
      </c>
      <c r="B1946" t="n">
        <v>128</v>
      </c>
      <c r="C1946" t="inlineStr">
        <is>
          <t>Love Cabaret</t>
        </is>
      </c>
      <c r="D1946" t="inlineStr">
        <is>
          <t>CEPEL COMERCIO DE PAPEIS E EMBALAGENS EIRELI</t>
        </is>
      </c>
      <c r="E1946" t="n">
        <v>649.46</v>
      </c>
      <c r="F1946" s="27" t="n">
        <v>45803</v>
      </c>
      <c r="G1946" s="27" t="n">
        <v>45803</v>
      </c>
      <c r="H1946" s="27" t="n">
        <v>45803</v>
      </c>
      <c r="I1946" s="27" t="n">
        <v>45786</v>
      </c>
      <c r="J1946" s="27" t="n">
        <v>45798</v>
      </c>
      <c r="K1946" t="inlineStr">
        <is>
          <t>Boleto Bancário</t>
        </is>
      </c>
      <c r="L1946" t="inlineStr">
        <is>
          <t>Utilidades</t>
        </is>
      </c>
      <c r="M1946" t="inlineStr">
        <is>
          <t>Higiene e Limpeza</t>
        </is>
      </c>
      <c r="N1946" t="inlineStr">
        <is>
          <t>240159</t>
        </is>
      </c>
      <c r="O1946" t="inlineStr">
        <is>
          <t>Documentação Aprovada</t>
        </is>
      </c>
      <c r="P1946" t="inlineStr">
        <is>
          <t>Aprovado Diretoria</t>
        </is>
      </c>
      <c r="Q1946" t="inlineStr">
        <is>
          <t>Aprovado Caixa</t>
        </is>
      </c>
      <c r="R1946" t="inlineStr">
        <is>
          <t>Pago</t>
        </is>
      </c>
      <c r="S1946" t="n">
        <v>182</v>
      </c>
      <c r="T1946" t="inlineStr">
        <is>
          <t>Love - Shibari - Kamino</t>
        </is>
      </c>
    </row>
    <row r="1947">
      <c r="A1947" t="n">
        <v>133656</v>
      </c>
      <c r="B1947" t="n">
        <v>128</v>
      </c>
      <c r="C1947" t="inlineStr">
        <is>
          <t>Love Cabaret</t>
        </is>
      </c>
      <c r="D1947" t="inlineStr">
        <is>
          <t>PARAMU COMERCIO E REPRESENTACAO DE PRODUTOS ALIMENTICIOS</t>
        </is>
      </c>
      <c r="E1947" t="n">
        <v>1103.36</v>
      </c>
      <c r="F1947" s="27" t="n">
        <v>45803</v>
      </c>
      <c r="G1947" s="27" t="n">
        <v>45803</v>
      </c>
      <c r="H1947" s="27" t="n">
        <v>45803</v>
      </c>
      <c r="I1947" s="27" t="n">
        <v>45789</v>
      </c>
      <c r="J1947" s="27" t="n">
        <v>45798</v>
      </c>
      <c r="K1947" t="inlineStr">
        <is>
          <t>Boleto Bancário</t>
        </is>
      </c>
      <c r="L1947" t="inlineStr">
        <is>
          <t>Custo Mercadoria Vendida</t>
        </is>
      </c>
      <c r="M1947" t="inlineStr">
        <is>
          <t>Insumos - Alimentos</t>
        </is>
      </c>
      <c r="N1947" t="inlineStr">
        <is>
          <t>13875</t>
        </is>
      </c>
      <c r="O1947" t="inlineStr">
        <is>
          <t>Documentação Aprovada</t>
        </is>
      </c>
      <c r="P1947" t="inlineStr">
        <is>
          <t>Aprovado Diretoria</t>
        </is>
      </c>
      <c r="Q1947" t="inlineStr">
        <is>
          <t>Aprovado Caixa</t>
        </is>
      </c>
      <c r="R1947" t="inlineStr">
        <is>
          <t>Pago</t>
        </is>
      </c>
      <c r="S1947" t="n">
        <v>182</v>
      </c>
      <c r="T1947" t="inlineStr">
        <is>
          <t>Love - Shibari - Kamino</t>
        </is>
      </c>
    </row>
    <row r="1948">
      <c r="A1948" t="n">
        <v>133657</v>
      </c>
      <c r="B1948" t="n">
        <v>128</v>
      </c>
      <c r="C1948" t="inlineStr">
        <is>
          <t>Love Cabaret</t>
        </is>
      </c>
      <c r="D1948" t="inlineStr">
        <is>
          <t>ASSAZ ORGANICA INDUSTRIA E COMERCIO DE ALIMENTOS LTDA</t>
        </is>
      </c>
      <c r="E1948" t="n">
        <v>29.5</v>
      </c>
      <c r="F1948" s="27" t="n">
        <v>45805</v>
      </c>
      <c r="G1948" s="27" t="n">
        <v>45803</v>
      </c>
      <c r="H1948" s="27" t="n">
        <v>45803</v>
      </c>
      <c r="I1948" s="27" t="n">
        <v>45790</v>
      </c>
      <c r="J1948" s="27" t="n">
        <v>45798</v>
      </c>
      <c r="K1948" t="inlineStr">
        <is>
          <t>Boleto Bancário</t>
        </is>
      </c>
      <c r="L1948" t="inlineStr">
        <is>
          <t>Custo Mercadoria Vendida</t>
        </is>
      </c>
      <c r="M1948" t="inlineStr">
        <is>
          <t>Insumos - Alimentos</t>
        </is>
      </c>
      <c r="N1948" t="inlineStr">
        <is>
          <t>20537</t>
        </is>
      </c>
      <c r="O1948" t="inlineStr">
        <is>
          <t>Documentação Aprovada</t>
        </is>
      </c>
      <c r="P1948" t="inlineStr">
        <is>
          <t>Aprovado Diretoria</t>
        </is>
      </c>
      <c r="Q1948" t="inlineStr">
        <is>
          <t>Aprovado Caixa</t>
        </is>
      </c>
      <c r="R1948" t="inlineStr">
        <is>
          <t>Pago</t>
        </is>
      </c>
      <c r="S1948" t="n">
        <v>182</v>
      </c>
      <c r="T1948" t="inlineStr">
        <is>
          <t>Love - Shibari - Kamino</t>
        </is>
      </c>
    </row>
    <row r="1949">
      <c r="A1949" t="n">
        <v>133674</v>
      </c>
      <c r="B1949" t="n">
        <v>128</v>
      </c>
      <c r="C1949" t="inlineStr">
        <is>
          <t>Love Cabaret</t>
        </is>
      </c>
      <c r="D1949" t="inlineStr">
        <is>
          <t>ANDREIA SANTOS FREITAS DUARTE</t>
        </is>
      </c>
      <c r="E1949" t="n">
        <v>197.67</v>
      </c>
      <c r="F1949" s="27" t="n">
        <v>45803</v>
      </c>
      <c r="G1949" s="27" t="n">
        <v>45803</v>
      </c>
      <c r="H1949" s="27" t="n">
        <v>45803</v>
      </c>
      <c r="I1949" s="27" t="n">
        <v>45786</v>
      </c>
      <c r="J1949" s="27" t="n">
        <v>45798</v>
      </c>
      <c r="K1949" t="inlineStr">
        <is>
          <t>Boleto Bancário</t>
        </is>
      </c>
      <c r="L1949" t="inlineStr">
        <is>
          <t>Utilidades</t>
        </is>
      </c>
      <c r="M1949" t="inlineStr">
        <is>
          <t>Higiene e Limpeza</t>
        </is>
      </c>
      <c r="N1949" t="inlineStr">
        <is>
          <t>1837</t>
        </is>
      </c>
      <c r="O1949" t="inlineStr">
        <is>
          <t>Documentação Aprovada</t>
        </is>
      </c>
      <c r="P1949" t="inlineStr">
        <is>
          <t>Aprovado Diretoria</t>
        </is>
      </c>
      <c r="Q1949" t="inlineStr">
        <is>
          <t>Aprovado Caixa</t>
        </is>
      </c>
      <c r="R1949" t="inlineStr">
        <is>
          <t>Pago</t>
        </is>
      </c>
      <c r="S1949" t="n">
        <v>182</v>
      </c>
      <c r="T1949" t="inlineStr">
        <is>
          <t>Love - Shibari - Kamino</t>
        </is>
      </c>
    </row>
    <row r="1950">
      <c r="A1950" t="n">
        <v>133677</v>
      </c>
      <c r="B1950" t="n">
        <v>128</v>
      </c>
      <c r="C1950" t="inlineStr">
        <is>
          <t>Love Cabaret</t>
        </is>
      </c>
      <c r="D1950" t="inlineStr">
        <is>
          <t xml:space="preserve">FORTE ALIMENTOS COM. IMPORTAÇÃO LTDA </t>
        </is>
      </c>
      <c r="E1950" t="n">
        <v>286.16</v>
      </c>
      <c r="F1950" s="27" t="n">
        <v>45805</v>
      </c>
      <c r="G1950" s="27" t="n">
        <v>45803</v>
      </c>
      <c r="H1950" s="27" t="n">
        <v>45803</v>
      </c>
      <c r="I1950" s="27" t="n">
        <v>45790</v>
      </c>
      <c r="J1950" s="27" t="n">
        <v>45798</v>
      </c>
      <c r="K1950" t="inlineStr">
        <is>
          <t>Boleto Bancário</t>
        </is>
      </c>
      <c r="L1950" t="inlineStr">
        <is>
          <t>Custo Mercadoria Vendida</t>
        </is>
      </c>
      <c r="M1950" t="inlineStr">
        <is>
          <t>Insumos - Alimentos</t>
        </is>
      </c>
      <c r="N1950" t="inlineStr">
        <is>
          <t>311852</t>
        </is>
      </c>
      <c r="O1950" t="inlineStr">
        <is>
          <t>Documentação Aprovada</t>
        </is>
      </c>
      <c r="P1950" t="inlineStr">
        <is>
          <t>Aprovado Diretoria</t>
        </is>
      </c>
      <c r="Q1950" t="inlineStr">
        <is>
          <t>Aprovado Caixa</t>
        </is>
      </c>
      <c r="R1950" t="inlineStr">
        <is>
          <t>Pago</t>
        </is>
      </c>
      <c r="S1950" t="n">
        <v>182</v>
      </c>
      <c r="T1950" t="inlineStr">
        <is>
          <t>Love - Shibari - Kamino</t>
        </is>
      </c>
    </row>
    <row r="1951">
      <c r="A1951" t="n">
        <v>133663</v>
      </c>
      <c r="B1951" t="n">
        <v>128</v>
      </c>
      <c r="C1951" t="inlineStr">
        <is>
          <t>Love Cabaret</t>
        </is>
      </c>
      <c r="D1951" t="inlineStr">
        <is>
          <t>CECILIA TSUYACO ARAKI SILVA LTDA</t>
        </is>
      </c>
      <c r="E1951" t="n">
        <v>137.6</v>
      </c>
      <c r="F1951" s="27" t="n">
        <v>45803</v>
      </c>
      <c r="G1951" s="27" t="n">
        <v>45803</v>
      </c>
      <c r="H1951" s="27" t="n">
        <v>45803</v>
      </c>
      <c r="I1951" s="27" t="n">
        <v>45789</v>
      </c>
      <c r="J1951" s="27" t="n">
        <v>45798</v>
      </c>
      <c r="K1951" t="inlineStr">
        <is>
          <t>Boleto Bancário</t>
        </is>
      </c>
      <c r="L1951" t="inlineStr">
        <is>
          <t>Custo Mercadoria Vendida</t>
        </is>
      </c>
      <c r="M1951" t="inlineStr">
        <is>
          <t>Insumos - Alimentos</t>
        </is>
      </c>
      <c r="N1951" t="inlineStr">
        <is>
          <t>370866</t>
        </is>
      </c>
      <c r="O1951" t="inlineStr">
        <is>
          <t>Documentação Aprovada</t>
        </is>
      </c>
      <c r="P1951" t="inlineStr">
        <is>
          <t>Aprovado Diretoria</t>
        </is>
      </c>
      <c r="Q1951" t="inlineStr">
        <is>
          <t>Aprovado Caixa</t>
        </is>
      </c>
      <c r="R1951" t="inlineStr">
        <is>
          <t>Pago</t>
        </is>
      </c>
      <c r="S1951" t="n">
        <v>182</v>
      </c>
      <c r="T1951" t="inlineStr">
        <is>
          <t>Love - Shibari - Kamino</t>
        </is>
      </c>
    </row>
    <row r="1952">
      <c r="A1952" t="n">
        <v>133665</v>
      </c>
      <c r="B1952" t="n">
        <v>128</v>
      </c>
      <c r="C1952" t="inlineStr">
        <is>
          <t>Love Cabaret</t>
        </is>
      </c>
      <c r="D1952" t="inlineStr">
        <is>
          <t>FG7 COMERCIO E DISTRIBUICAO DE BEBIDAS LTDA</t>
        </is>
      </c>
      <c r="E1952" t="n">
        <v>965.85</v>
      </c>
      <c r="F1952" s="27" t="n">
        <v>45803</v>
      </c>
      <c r="G1952" s="27" t="n">
        <v>45803</v>
      </c>
      <c r="H1952" s="27" t="n">
        <v>45803</v>
      </c>
      <c r="I1952" s="27" t="n">
        <v>45786</v>
      </c>
      <c r="J1952" s="27" t="n">
        <v>45798</v>
      </c>
      <c r="K1952" t="inlineStr">
        <is>
          <t>Boleto Bancário</t>
        </is>
      </c>
      <c r="L1952" t="inlineStr">
        <is>
          <t>Custo Mercadoria Vendida</t>
        </is>
      </c>
      <c r="M1952" t="inlineStr">
        <is>
          <t>Insumos - Bebidas</t>
        </is>
      </c>
      <c r="N1952" t="inlineStr">
        <is>
          <t>610468</t>
        </is>
      </c>
      <c r="O1952" t="inlineStr">
        <is>
          <t>Documentação Aprovada</t>
        </is>
      </c>
      <c r="P1952" t="inlineStr">
        <is>
          <t>Aprovado Diretoria</t>
        </is>
      </c>
      <c r="Q1952" t="inlineStr">
        <is>
          <t>Aprovado Caixa</t>
        </is>
      </c>
      <c r="R1952" t="inlineStr">
        <is>
          <t>Pago</t>
        </is>
      </c>
      <c r="S1952" t="n">
        <v>182</v>
      </c>
      <c r="T1952" t="inlineStr">
        <is>
          <t>Love - Shibari - Kamino</t>
        </is>
      </c>
    </row>
    <row r="1953">
      <c r="A1953" t="n">
        <v>131293</v>
      </c>
      <c r="B1953" t="n">
        <v>128</v>
      </c>
      <c r="C1953" t="inlineStr">
        <is>
          <t>Love Cabaret</t>
        </is>
      </c>
      <c r="D1953" t="inlineStr">
        <is>
          <t>WIDE STOCK COMERCIO E DISTRIBUICAO LTDA</t>
        </is>
      </c>
      <c r="E1953" t="n">
        <v>911.1</v>
      </c>
      <c r="F1953" s="27" t="n">
        <v>45803</v>
      </c>
      <c r="G1953" s="27" t="n">
        <v>45803</v>
      </c>
      <c r="H1953" s="27" t="n">
        <v>45803</v>
      </c>
      <c r="I1953" s="27" t="n">
        <v>45782</v>
      </c>
      <c r="J1953" s="27" t="n">
        <v>45786</v>
      </c>
      <c r="K1953" t="inlineStr">
        <is>
          <t>Boleto Bancário</t>
        </is>
      </c>
      <c r="L1953" t="inlineStr">
        <is>
          <t>Utilidades</t>
        </is>
      </c>
      <c r="M1953" t="inlineStr">
        <is>
          <t>Higiene e Limpeza</t>
        </is>
      </c>
      <c r="N1953" t="inlineStr">
        <is>
          <t>402188</t>
        </is>
      </c>
      <c r="O1953" t="inlineStr">
        <is>
          <t>Documentação Aprovada</t>
        </is>
      </c>
      <c r="P1953" t="inlineStr">
        <is>
          <t>Aprovado Diretoria</t>
        </is>
      </c>
      <c r="Q1953" t="inlineStr">
        <is>
          <t>Aprovado Caixa</t>
        </is>
      </c>
      <c r="R1953" t="inlineStr">
        <is>
          <t>Pago</t>
        </is>
      </c>
      <c r="S1953" t="n">
        <v>182</v>
      </c>
      <c r="T1953" t="inlineStr">
        <is>
          <t>Love - Shibari - Kamino</t>
        </is>
      </c>
    </row>
    <row r="1954">
      <c r="A1954" t="n">
        <v>131291</v>
      </c>
      <c r="B1954" t="n">
        <v>128</v>
      </c>
      <c r="C1954" t="inlineStr">
        <is>
          <t>Love Cabaret</t>
        </is>
      </c>
      <c r="D1954" t="inlineStr">
        <is>
          <t>DTK COMERCIO DE ALIMENTOS LTDA</t>
        </is>
      </c>
      <c r="E1954" t="n">
        <v>905.39</v>
      </c>
      <c r="F1954" s="27" t="n">
        <v>45803</v>
      </c>
      <c r="G1954" s="27" t="n">
        <v>45803</v>
      </c>
      <c r="H1954" s="27" t="n">
        <v>45803</v>
      </c>
      <c r="I1954" s="27" t="n">
        <v>45782</v>
      </c>
      <c r="J1954" s="27" t="n">
        <v>45786</v>
      </c>
      <c r="K1954" t="inlineStr">
        <is>
          <t>Boleto Bancário</t>
        </is>
      </c>
      <c r="L1954" t="inlineStr">
        <is>
          <t>Custo Mercadoria Vendida</t>
        </is>
      </c>
      <c r="M1954" t="inlineStr">
        <is>
          <t>Insumos - Alimentos</t>
        </is>
      </c>
      <c r="N1954" t="inlineStr">
        <is>
          <t>29929</t>
        </is>
      </c>
      <c r="O1954" t="inlineStr">
        <is>
          <t>Documentação Aprovada</t>
        </is>
      </c>
      <c r="P1954" t="inlineStr">
        <is>
          <t>Aprovado Diretoria</t>
        </is>
      </c>
      <c r="Q1954" t="inlineStr">
        <is>
          <t>Aprovado Caixa</t>
        </is>
      </c>
      <c r="R1954" t="inlineStr">
        <is>
          <t>Pago</t>
        </is>
      </c>
      <c r="S1954" t="n">
        <v>182</v>
      </c>
      <c r="T1954" t="inlineStr">
        <is>
          <t>Love - Shibari - Kamino</t>
        </is>
      </c>
    </row>
    <row r="1955">
      <c r="A1955" t="n">
        <v>131027</v>
      </c>
      <c r="B1955" t="n">
        <v>128</v>
      </c>
      <c r="C1955" t="inlineStr">
        <is>
          <t>Love Cabaret</t>
        </is>
      </c>
      <c r="D1955" t="inlineStr">
        <is>
          <t>CG FOOD´S DISTRIBUIDORA DE ALIMENTOS LTDA</t>
        </is>
      </c>
      <c r="E1955" t="n">
        <v>296.9</v>
      </c>
      <c r="F1955" s="27" t="n">
        <v>45803</v>
      </c>
      <c r="G1955" s="27" t="n">
        <v>45803</v>
      </c>
      <c r="H1955" s="27" t="n">
        <v>45803</v>
      </c>
      <c r="I1955" s="27" t="n">
        <v>45782</v>
      </c>
      <c r="J1955" s="27" t="n">
        <v>45785</v>
      </c>
      <c r="K1955" t="inlineStr">
        <is>
          <t>Boleto Bancário</t>
        </is>
      </c>
      <c r="L1955" t="inlineStr">
        <is>
          <t>Custo Mercadoria Vendida</t>
        </is>
      </c>
      <c r="M1955" t="inlineStr">
        <is>
          <t>Insumos - Alimentos</t>
        </is>
      </c>
      <c r="N1955" t="inlineStr">
        <is>
          <t>150256</t>
        </is>
      </c>
      <c r="O1955" t="inlineStr">
        <is>
          <t>Documentação Aprovada</t>
        </is>
      </c>
      <c r="P1955" t="inlineStr">
        <is>
          <t>Aprovado Diretoria</t>
        </is>
      </c>
      <c r="Q1955" t="inlineStr">
        <is>
          <t>Aprovado Caixa</t>
        </is>
      </c>
      <c r="R1955" t="inlineStr">
        <is>
          <t>Pago</t>
        </is>
      </c>
      <c r="S1955" t="n">
        <v>182</v>
      </c>
      <c r="T1955" t="inlineStr">
        <is>
          <t>Love - Shibari - Kamino</t>
        </is>
      </c>
    </row>
    <row r="1956">
      <c r="A1956" t="n">
        <v>96898</v>
      </c>
      <c r="B1956" t="n">
        <v>128</v>
      </c>
      <c r="C1956" t="inlineStr">
        <is>
          <t>Love Cabaret</t>
        </is>
      </c>
      <c r="D1956" t="inlineStr">
        <is>
          <t>COMPANHIA DE GAS DE SAO PAULO</t>
        </is>
      </c>
      <c r="E1956" t="n">
        <v>1819.31</v>
      </c>
      <c r="F1956" s="27" t="n">
        <v>45804</v>
      </c>
      <c r="G1956" s="27" t="n">
        <v>45803</v>
      </c>
      <c r="H1956" s="27" t="n">
        <v>45803</v>
      </c>
      <c r="I1956" s="27" t="n">
        <v>45787</v>
      </c>
      <c r="J1956" s="27" t="n"/>
      <c r="K1956" t="inlineStr">
        <is>
          <t>Boleto Bancário</t>
        </is>
      </c>
      <c r="L1956" t="inlineStr">
        <is>
          <t>Utilidades</t>
        </is>
      </c>
      <c r="M1956" t="inlineStr">
        <is>
          <t>Gas de Cozinha</t>
        </is>
      </c>
      <c r="N1956" t="inlineStr">
        <is>
          <t>124652437</t>
        </is>
      </c>
      <c r="O1956" t="inlineStr">
        <is>
          <t>Documentação Aprovada</t>
        </is>
      </c>
      <c r="P1956" t="inlineStr">
        <is>
          <t>Aprovado Diretoria</t>
        </is>
      </c>
      <c r="Q1956" t="inlineStr">
        <is>
          <t>Aprovado Caixa</t>
        </is>
      </c>
      <c r="R1956" t="inlineStr">
        <is>
          <t>Pago</t>
        </is>
      </c>
      <c r="S1956" t="n">
        <v>182</v>
      </c>
      <c r="T1956" t="inlineStr">
        <is>
          <t>Love - Shibari - Kamino</t>
        </is>
      </c>
    </row>
    <row r="1957">
      <c r="A1957" t="n">
        <v>106682</v>
      </c>
      <c r="B1957" t="n">
        <v>128</v>
      </c>
      <c r="C1957" t="inlineStr">
        <is>
          <t>Love Cabaret</t>
        </is>
      </c>
      <c r="D1957" t="inlineStr">
        <is>
          <t>AURORA ALVORADA ESTACIONAMENTO E LANCHONETE LTDA</t>
        </is>
      </c>
      <c r="E1957" t="n">
        <v>209.36</v>
      </c>
      <c r="F1957" s="27" t="n">
        <v>45803</v>
      </c>
      <c r="G1957" s="27" t="n">
        <v>45803</v>
      </c>
      <c r="H1957" s="27" t="n">
        <v>45803</v>
      </c>
      <c r="I1957" s="27" t="n">
        <v>45789</v>
      </c>
      <c r="J1957" s="27" t="n"/>
      <c r="K1957" t="inlineStr">
        <is>
          <t>Boleto Bancário</t>
        </is>
      </c>
      <c r="L1957" t="inlineStr">
        <is>
          <t>Custo Mercadoria Vendida</t>
        </is>
      </c>
      <c r="M1957" t="inlineStr">
        <is>
          <t>Insumos - Alimentos</t>
        </is>
      </c>
      <c r="N1957" t="inlineStr">
        <is>
          <t>10565</t>
        </is>
      </c>
      <c r="O1957" t="inlineStr">
        <is>
          <t>Documentação Aprovada</t>
        </is>
      </c>
      <c r="P1957" t="inlineStr">
        <is>
          <t>Aprovado Diretoria</t>
        </is>
      </c>
      <c r="Q1957" t="inlineStr">
        <is>
          <t>Aprovado Caixa</t>
        </is>
      </c>
      <c r="R1957" t="inlineStr">
        <is>
          <t>Pago</t>
        </is>
      </c>
      <c r="S1957" t="n">
        <v>182</v>
      </c>
      <c r="T1957" t="inlineStr">
        <is>
          <t>Love - Shibari - Kamino</t>
        </is>
      </c>
    </row>
    <row r="1958">
      <c r="A1958" t="n">
        <v>106683</v>
      </c>
      <c r="B1958" t="n">
        <v>128</v>
      </c>
      <c r="C1958" t="inlineStr">
        <is>
          <t>Love Cabaret</t>
        </is>
      </c>
      <c r="D1958" t="inlineStr">
        <is>
          <t>AURORA ALVORADA ESTACIONAMENTO E LANCHONETE LTDA</t>
        </is>
      </c>
      <c r="E1958" t="n">
        <v>201.5</v>
      </c>
      <c r="F1958" s="27" t="n">
        <v>45803</v>
      </c>
      <c r="G1958" s="27" t="n">
        <v>45803</v>
      </c>
      <c r="H1958" s="27" t="n">
        <v>45803</v>
      </c>
      <c r="I1958" s="27" t="n">
        <v>45796</v>
      </c>
      <c r="J1958" s="27" t="n"/>
      <c r="K1958" t="inlineStr">
        <is>
          <t>Boleto Bancário</t>
        </is>
      </c>
      <c r="L1958" t="inlineStr">
        <is>
          <t>Custo Mercadoria Vendida</t>
        </is>
      </c>
      <c r="M1958" t="inlineStr">
        <is>
          <t>Insumos - Alimentos</t>
        </is>
      </c>
      <c r="N1958" t="inlineStr">
        <is>
          <t>10591</t>
        </is>
      </c>
      <c r="O1958" t="inlineStr">
        <is>
          <t>Documentação Aprovada</t>
        </is>
      </c>
      <c r="P1958" t="inlineStr">
        <is>
          <t>Aprovado Diretoria</t>
        </is>
      </c>
      <c r="Q1958" t="inlineStr">
        <is>
          <t>Aprovado Caixa</t>
        </is>
      </c>
      <c r="R1958" t="inlineStr">
        <is>
          <t>Pago</t>
        </is>
      </c>
      <c r="S1958" t="n">
        <v>182</v>
      </c>
      <c r="T1958" t="inlineStr">
        <is>
          <t>Love - Shibari - Kamino</t>
        </is>
      </c>
    </row>
    <row r="1959">
      <c r="A1959" t="n">
        <v>102996</v>
      </c>
      <c r="B1959" t="n">
        <v>128</v>
      </c>
      <c r="C1959" t="inlineStr">
        <is>
          <t>Love Cabaret</t>
        </is>
      </c>
      <c r="D1959" t="inlineStr">
        <is>
          <t>TELEFONICA BRASIL S/A</t>
        </is>
      </c>
      <c r="E1959" t="n">
        <v>487.66</v>
      </c>
      <c r="F1959" s="27" t="n">
        <v>45804</v>
      </c>
      <c r="G1959" s="27" t="n">
        <v>45803</v>
      </c>
      <c r="H1959" s="27" t="n">
        <v>45803</v>
      </c>
      <c r="I1959" s="27" t="n">
        <v>45794</v>
      </c>
      <c r="J1959" s="27" t="n"/>
      <c r="K1959" t="inlineStr">
        <is>
          <t>Boleto Bancário</t>
        </is>
      </c>
      <c r="L1959" t="inlineStr">
        <is>
          <t>Informática e TI</t>
        </is>
      </c>
      <c r="M1959" t="inlineStr">
        <is>
          <t>Internet</t>
        </is>
      </c>
      <c r="N1959" t="inlineStr">
        <is>
          <t>443318083</t>
        </is>
      </c>
      <c r="O1959" t="inlineStr">
        <is>
          <t>Documentação Aprovada</t>
        </is>
      </c>
      <c r="P1959" t="inlineStr">
        <is>
          <t>Aprovado Diretoria</t>
        </is>
      </c>
      <c r="Q1959" t="inlineStr">
        <is>
          <t>Aprovado Caixa</t>
        </is>
      </c>
      <c r="R1959" t="inlineStr">
        <is>
          <t>Pago</t>
        </is>
      </c>
      <c r="S1959" t="n">
        <v>182</v>
      </c>
      <c r="T1959" t="inlineStr">
        <is>
          <t>Love - Shibari - Kamino</t>
        </is>
      </c>
    </row>
    <row r="1960">
      <c r="A1960" t="n">
        <v>103009</v>
      </c>
      <c r="B1960" t="n">
        <v>128</v>
      </c>
      <c r="C1960" t="inlineStr">
        <is>
          <t>Love Cabaret</t>
        </is>
      </c>
      <c r="D1960" t="inlineStr">
        <is>
          <t>TELEFONICA BRASIL S/A</t>
        </is>
      </c>
      <c r="E1960" t="n">
        <v>21.71</v>
      </c>
      <c r="F1960" s="27" t="n">
        <v>45804</v>
      </c>
      <c r="G1960" s="27" t="n">
        <v>45803</v>
      </c>
      <c r="H1960" s="27" t="n">
        <v>45803</v>
      </c>
      <c r="I1960" s="27" t="n">
        <v>45764</v>
      </c>
      <c r="J1960" s="27" t="n"/>
      <c r="K1960" t="inlineStr">
        <is>
          <t>Boleto Bancário</t>
        </is>
      </c>
      <c r="L1960" t="inlineStr">
        <is>
          <t>Informática e TI</t>
        </is>
      </c>
      <c r="M1960" t="inlineStr">
        <is>
          <t>Internet</t>
        </is>
      </c>
      <c r="N1960" t="inlineStr">
        <is>
          <t>0443836731</t>
        </is>
      </c>
      <c r="O1960" t="inlineStr">
        <is>
          <t>Documentação Aprovada</t>
        </is>
      </c>
      <c r="P1960" t="inlineStr">
        <is>
          <t>Aprovado Diretoria</t>
        </is>
      </c>
      <c r="Q1960" t="inlineStr">
        <is>
          <t>Aprovado Caixa</t>
        </is>
      </c>
      <c r="R1960" t="inlineStr">
        <is>
          <t>Pago</t>
        </is>
      </c>
      <c r="S1960" t="n">
        <v>182</v>
      </c>
      <c r="T1960" t="inlineStr">
        <is>
          <t>Love - Shibari - Kamino</t>
        </is>
      </c>
    </row>
    <row r="1961">
      <c r="A1961" t="n">
        <v>102840</v>
      </c>
      <c r="B1961" t="n">
        <v>128</v>
      </c>
      <c r="C1961" t="inlineStr">
        <is>
          <t>Love Cabaret</t>
        </is>
      </c>
      <c r="D1961" t="inlineStr">
        <is>
          <t>INVYE CAPITAL LTDA</t>
        </is>
      </c>
      <c r="E1961" t="n">
        <v>1200</v>
      </c>
      <c r="F1961" s="27" t="n">
        <v>45803</v>
      </c>
      <c r="G1961" s="27" t="n">
        <v>45803</v>
      </c>
      <c r="H1961" s="27" t="n">
        <v>45803</v>
      </c>
      <c r="I1961" s="27" t="n">
        <v>45785</v>
      </c>
      <c r="J1961" s="27" t="n"/>
      <c r="K1961" t="inlineStr">
        <is>
          <t>Boleto Bancário</t>
        </is>
      </c>
      <c r="L1961" t="inlineStr">
        <is>
          <t>Serviços de Terceiros</t>
        </is>
      </c>
      <c r="M1961" t="inlineStr">
        <is>
          <t>Assessoria em Geral</t>
        </is>
      </c>
      <c r="N1961" t="inlineStr">
        <is>
          <t>2513</t>
        </is>
      </c>
      <c r="O1961" t="inlineStr">
        <is>
          <t>Documentação Aprovada</t>
        </is>
      </c>
      <c r="P1961" t="inlineStr">
        <is>
          <t>Aprovado Diretoria</t>
        </is>
      </c>
      <c r="Q1961" t="inlineStr">
        <is>
          <t>Aprovado Caixa</t>
        </is>
      </c>
      <c r="R1961" t="inlineStr">
        <is>
          <t>Pago</t>
        </is>
      </c>
      <c r="S1961" t="n">
        <v>182</v>
      </c>
      <c r="T1961" t="inlineStr">
        <is>
          <t>Love - Shibari - Kamino</t>
        </is>
      </c>
    </row>
    <row r="1962">
      <c r="A1962" t="n">
        <v>48439</v>
      </c>
      <c r="B1962" t="n">
        <v>128</v>
      </c>
      <c r="C1962" t="inlineStr">
        <is>
          <t>Love Cabaret</t>
        </is>
      </c>
      <c r="D1962" t="inlineStr">
        <is>
          <t xml:space="preserve">MINISTERIO DA FAZENDA </t>
        </is>
      </c>
      <c r="E1962" t="n">
        <v>574.53</v>
      </c>
      <c r="F1962" s="27" t="n">
        <v>45805</v>
      </c>
      <c r="G1962" s="27" t="n">
        <v>45803</v>
      </c>
      <c r="H1962" s="27" t="n">
        <v>45803</v>
      </c>
      <c r="I1962" s="27" t="n">
        <v>45366</v>
      </c>
      <c r="J1962" s="27" t="n"/>
      <c r="K1962" t="inlineStr">
        <is>
          <t>Boleto Bancário</t>
        </is>
      </c>
      <c r="L1962" t="inlineStr">
        <is>
          <t>Endividamento</t>
        </is>
      </c>
      <c r="M1962" t="inlineStr">
        <is>
          <t>Endividamento Geral</t>
        </is>
      </c>
      <c r="N1962" t="inlineStr">
        <is>
          <t>15/45</t>
        </is>
      </c>
      <c r="O1962" t="inlineStr">
        <is>
          <t>Documentação Aprovada</t>
        </is>
      </c>
      <c r="P1962" t="inlineStr">
        <is>
          <t>Aprovado Diretoria</t>
        </is>
      </c>
      <c r="Q1962" t="inlineStr">
        <is>
          <t>Aprovado Caixa</t>
        </is>
      </c>
      <c r="R1962" t="inlineStr">
        <is>
          <t>Pago</t>
        </is>
      </c>
      <c r="S1962" t="n">
        <v>182</v>
      </c>
      <c r="T1962" t="inlineStr">
        <is>
          <t>Love - Shibari - Kamino</t>
        </is>
      </c>
    </row>
    <row r="1963">
      <c r="A1963" t="n">
        <v>48383</v>
      </c>
      <c r="B1963" t="n">
        <v>128</v>
      </c>
      <c r="C1963" t="inlineStr">
        <is>
          <t>Love Cabaret</t>
        </is>
      </c>
      <c r="D1963" t="inlineStr">
        <is>
          <t>ICMS</t>
        </is>
      </c>
      <c r="E1963" t="n">
        <v>782.0700000000001</v>
      </c>
      <c r="F1963" s="27" t="n">
        <v>45805</v>
      </c>
      <c r="G1963" s="27" t="n">
        <v>45803</v>
      </c>
      <c r="H1963" s="27" t="n">
        <v>45803</v>
      </c>
      <c r="I1963" s="27" t="n">
        <v>45366</v>
      </c>
      <c r="J1963" s="27" t="n"/>
      <c r="K1963" t="inlineStr">
        <is>
          <t>Boleto Bancário</t>
        </is>
      </c>
      <c r="L1963" t="inlineStr">
        <is>
          <t>Endividamento</t>
        </is>
      </c>
      <c r="M1963" t="inlineStr">
        <is>
          <t>Endividamento Geral</t>
        </is>
      </c>
      <c r="N1963" t="inlineStr">
        <is>
          <t>14/60</t>
        </is>
      </c>
      <c r="O1963" t="inlineStr">
        <is>
          <t>Documentação Aprovada</t>
        </is>
      </c>
      <c r="P1963" t="inlineStr">
        <is>
          <t>Aprovado Diretoria</t>
        </is>
      </c>
      <c r="Q1963" t="inlineStr">
        <is>
          <t>Aprovado Caixa</t>
        </is>
      </c>
      <c r="R1963" t="inlineStr">
        <is>
          <t>Pago</t>
        </is>
      </c>
      <c r="S1963" t="n">
        <v>182</v>
      </c>
      <c r="T1963" t="inlineStr">
        <is>
          <t>Love - Shibari - Kamino</t>
        </is>
      </c>
    </row>
    <row r="1964">
      <c r="A1964" t="n">
        <v>51171</v>
      </c>
      <c r="B1964" t="n">
        <v>128</v>
      </c>
      <c r="C1964" t="inlineStr">
        <is>
          <t>Love Cabaret</t>
        </is>
      </c>
      <c r="D1964" t="inlineStr">
        <is>
          <t>ICMS</t>
        </is>
      </c>
      <c r="E1964" t="n">
        <v>597.03</v>
      </c>
      <c r="F1964" s="27" t="n">
        <v>45804</v>
      </c>
      <c r="G1964" s="27" t="n">
        <v>45803</v>
      </c>
      <c r="H1964" s="27" t="n">
        <v>45803</v>
      </c>
      <c r="I1964" s="27" t="n">
        <v>45406</v>
      </c>
      <c r="J1964" s="27" t="n"/>
      <c r="K1964" t="inlineStr">
        <is>
          <t>Boleto Bancário</t>
        </is>
      </c>
      <c r="L1964" t="inlineStr">
        <is>
          <t>Endividamento</t>
        </is>
      </c>
      <c r="M1964" t="inlineStr">
        <is>
          <t>Endividamento Geral</t>
        </is>
      </c>
      <c r="N1964" t="inlineStr">
        <is>
          <t>13/36</t>
        </is>
      </c>
      <c r="O1964" t="inlineStr">
        <is>
          <t>Documentação Aprovada</t>
        </is>
      </c>
      <c r="P1964" t="inlineStr">
        <is>
          <t>Aprovado Diretoria</t>
        </is>
      </c>
      <c r="Q1964" t="inlineStr">
        <is>
          <t>Aprovado Caixa</t>
        </is>
      </c>
      <c r="R1964" t="inlineStr">
        <is>
          <t>Pago</t>
        </is>
      </c>
      <c r="S1964" t="n">
        <v>182</v>
      </c>
      <c r="T1964" t="inlineStr">
        <is>
          <t>Love - Shibari - Kamino</t>
        </is>
      </c>
    </row>
    <row r="1965">
      <c r="A1965" t="n">
        <v>134294</v>
      </c>
      <c r="B1965" t="n">
        <v>128</v>
      </c>
      <c r="C1965" t="inlineStr">
        <is>
          <t>Love Cabaret</t>
        </is>
      </c>
      <c r="D1965" t="inlineStr">
        <is>
          <t>BRADESCO SA</t>
        </is>
      </c>
      <c r="E1965" t="n">
        <v>9.800000000000001</v>
      </c>
      <c r="F1965" s="27" t="n">
        <v>45800</v>
      </c>
      <c r="G1965" s="27" t="n"/>
      <c r="H1965" s="27" t="n">
        <v>45800</v>
      </c>
      <c r="I1965" s="27" t="n">
        <v>45800</v>
      </c>
      <c r="J1965" s="27" t="n">
        <v>45803</v>
      </c>
      <c r="K1965" t="inlineStr">
        <is>
          <t>Encontro de Contas</t>
        </is>
      </c>
      <c r="L1965" t="inlineStr">
        <is>
          <t>Despesas Financeiras</t>
        </is>
      </c>
      <c r="M1965" t="inlineStr">
        <is>
          <t>Tarifas Bancárias</t>
        </is>
      </c>
      <c r="N1965" t="inlineStr">
        <is>
          <t>052025</t>
        </is>
      </c>
      <c r="P1965" t="inlineStr">
        <is>
          <t>Aprovado Diretoria</t>
        </is>
      </c>
      <c r="R1965" t="inlineStr">
        <is>
          <t>Pago</t>
        </is>
      </c>
    </row>
    <row r="1966">
      <c r="A1966" t="n">
        <v>97543</v>
      </c>
      <c r="B1966" t="n">
        <v>128</v>
      </c>
      <c r="C1966" t="inlineStr">
        <is>
          <t>Love Cabaret</t>
        </is>
      </c>
      <c r="D1966" t="inlineStr">
        <is>
          <t>PIS</t>
        </is>
      </c>
      <c r="E1966" t="n">
        <v>2487.82</v>
      </c>
      <c r="F1966" s="27" t="n">
        <v>45800</v>
      </c>
      <c r="G1966" s="27" t="n">
        <v>45800</v>
      </c>
      <c r="H1966" s="27" t="n">
        <v>45800</v>
      </c>
      <c r="I1966" s="27" t="n">
        <v>45777</v>
      </c>
      <c r="J1966" s="27" t="n"/>
      <c r="K1966" t="inlineStr">
        <is>
          <t>Boleto Bancário</t>
        </is>
      </c>
      <c r="L1966" t="inlineStr">
        <is>
          <t>Impostos sobre Venda</t>
        </is>
      </c>
      <c r="M1966" t="inlineStr">
        <is>
          <t>PIS S/ SERVICO</t>
        </is>
      </c>
      <c r="N1966" t="inlineStr">
        <is>
          <t>042025</t>
        </is>
      </c>
      <c r="O1966" t="inlineStr">
        <is>
          <t>Documentação Aprovada</t>
        </is>
      </c>
      <c r="P1966" t="inlineStr">
        <is>
          <t>Aprovado Diretoria</t>
        </is>
      </c>
      <c r="Q1966" t="inlineStr">
        <is>
          <t>Aprovado Caixa</t>
        </is>
      </c>
      <c r="R1966" t="inlineStr">
        <is>
          <t>Pago</t>
        </is>
      </c>
      <c r="S1966" t="n">
        <v>115</v>
      </c>
      <c r="T1966" t="inlineStr">
        <is>
          <t>Love - Shibari - Bradesco</t>
        </is>
      </c>
    </row>
    <row r="1967">
      <c r="A1967" t="n">
        <v>96911</v>
      </c>
      <c r="B1967" t="n">
        <v>128</v>
      </c>
      <c r="C1967" t="inlineStr">
        <is>
          <t>Love Cabaret</t>
        </is>
      </c>
      <c r="D1967" t="inlineStr">
        <is>
          <t>COFINS</t>
        </is>
      </c>
      <c r="E1967" t="n">
        <v>11482.26</v>
      </c>
      <c r="F1967" s="27" t="n">
        <v>45800</v>
      </c>
      <c r="G1967" s="27" t="n">
        <v>45800</v>
      </c>
      <c r="H1967" s="27" t="n">
        <v>45800</v>
      </c>
      <c r="I1967" s="27" t="n">
        <v>45777</v>
      </c>
      <c r="J1967" s="27" t="n"/>
      <c r="K1967" t="inlineStr">
        <is>
          <t>Boleto Bancário</t>
        </is>
      </c>
      <c r="L1967" t="inlineStr">
        <is>
          <t>Impostos sobre Venda</t>
        </is>
      </c>
      <c r="M1967" t="inlineStr">
        <is>
          <t>PIS / COFINS</t>
        </is>
      </c>
      <c r="N1967" t="inlineStr">
        <is>
          <t>042025</t>
        </is>
      </c>
      <c r="O1967" t="inlineStr">
        <is>
          <t>Documentação Aprovada</t>
        </is>
      </c>
      <c r="P1967" t="inlineStr">
        <is>
          <t>Aprovado Diretoria</t>
        </is>
      </c>
      <c r="Q1967" t="inlineStr">
        <is>
          <t>Aprovado Caixa</t>
        </is>
      </c>
      <c r="R1967" t="inlineStr">
        <is>
          <t>Pago</t>
        </is>
      </c>
      <c r="S1967" t="n">
        <v>115</v>
      </c>
      <c r="T1967" t="inlineStr">
        <is>
          <t>Love - Shibari - Bradesco</t>
        </is>
      </c>
    </row>
    <row r="1968">
      <c r="A1968" t="n">
        <v>97013</v>
      </c>
      <c r="B1968" t="n">
        <v>128</v>
      </c>
      <c r="C1968" t="inlineStr">
        <is>
          <t>Love Cabaret</t>
        </is>
      </c>
      <c r="D1968" t="inlineStr">
        <is>
          <t>ESHOWS PROMOCOES ARTISTICAS LTDA</t>
        </is>
      </c>
      <c r="E1968" t="n">
        <v>20310</v>
      </c>
      <c r="F1968" s="27" t="n">
        <v>45803</v>
      </c>
      <c r="G1968" s="27" t="n">
        <v>45799</v>
      </c>
      <c r="H1968" s="27" t="n">
        <v>45799</v>
      </c>
      <c r="I1968" s="27" t="n">
        <v>45778</v>
      </c>
      <c r="J1968" s="27" t="n"/>
      <c r="K1968" t="inlineStr">
        <is>
          <t>Boleto Bancário</t>
        </is>
      </c>
      <c r="L1968" t="inlineStr">
        <is>
          <t>Custos Artístico Geral</t>
        </is>
      </c>
      <c r="M1968" t="inlineStr">
        <is>
          <t>Cachê de Músicos e Artistas</t>
        </is>
      </c>
      <c r="N1968" t="inlineStr">
        <is>
          <t>568279806</t>
        </is>
      </c>
      <c r="O1968" t="inlineStr">
        <is>
          <t>Documentação Aprovada</t>
        </is>
      </c>
      <c r="P1968" t="inlineStr">
        <is>
          <t>Aprovado Diretoria</t>
        </is>
      </c>
      <c r="Q1968" t="inlineStr">
        <is>
          <t>Aprovado Caixa</t>
        </is>
      </c>
      <c r="R1968" t="inlineStr">
        <is>
          <t>Pago</t>
        </is>
      </c>
      <c r="S1968" t="n">
        <v>115</v>
      </c>
      <c r="T1968" t="inlineStr">
        <is>
          <t>Love - Shibari - Bradesco</t>
        </is>
      </c>
    </row>
    <row r="1969">
      <c r="A1969" t="n">
        <v>96883</v>
      </c>
      <c r="B1969" t="n">
        <v>128</v>
      </c>
      <c r="C1969" t="inlineStr">
        <is>
          <t>Love Cabaret</t>
        </is>
      </c>
      <c r="D1969" t="inlineStr">
        <is>
          <t>ALPHALIX AMBIENTEAL LOC/ DE EQUIPAMENTOS EIRELI</t>
        </is>
      </c>
      <c r="E1969" t="n">
        <v>1448.46</v>
      </c>
      <c r="F1969" s="27" t="n">
        <v>45805</v>
      </c>
      <c r="G1969" s="27" t="n">
        <v>45798</v>
      </c>
      <c r="H1969" s="27" t="n">
        <v>45798</v>
      </c>
      <c r="I1969" s="27" t="n">
        <v>45777</v>
      </c>
      <c r="J1969" s="27" t="n"/>
      <c r="K1969" t="inlineStr">
        <is>
          <t>Boleto Bancário</t>
        </is>
      </c>
      <c r="L1969" t="inlineStr">
        <is>
          <t>Utilidades</t>
        </is>
      </c>
      <c r="M1969" t="inlineStr">
        <is>
          <t>Coleta de lixo</t>
        </is>
      </c>
      <c r="N1969" t="inlineStr">
        <is>
          <t>44878</t>
        </is>
      </c>
      <c r="O1969" t="inlineStr">
        <is>
          <t>Documentação Aprovada</t>
        </is>
      </c>
      <c r="P1969" t="inlineStr">
        <is>
          <t>Aprovado Diretoria</t>
        </is>
      </c>
      <c r="Q1969" t="inlineStr">
        <is>
          <t>Aprovado Caixa</t>
        </is>
      </c>
      <c r="R1969" t="inlineStr">
        <is>
          <t>Pago</t>
        </is>
      </c>
      <c r="S1969" t="n">
        <v>115</v>
      </c>
      <c r="T1969" t="inlineStr">
        <is>
          <t>Love - Shibari - Bradesco</t>
        </is>
      </c>
    </row>
    <row r="1970">
      <c r="A1970" t="n">
        <v>97101</v>
      </c>
      <c r="B1970" t="n">
        <v>128</v>
      </c>
      <c r="C1970" t="inlineStr">
        <is>
          <t>Love Cabaret</t>
        </is>
      </c>
      <c r="D1970" t="inlineStr">
        <is>
          <t>ESTAFF SOLUCOES TECNOLOGICAS DE AGENCIAMENTO LTDA</t>
        </is>
      </c>
      <c r="E1970" t="n">
        <v>13937</v>
      </c>
      <c r="F1970" s="27" t="n">
        <v>45798</v>
      </c>
      <c r="G1970" s="27" t="n">
        <v>45798</v>
      </c>
      <c r="H1970" s="27" t="n">
        <v>45798</v>
      </c>
      <c r="I1970" s="27" t="n">
        <v>45789</v>
      </c>
      <c r="J1970" s="27" t="n"/>
      <c r="K1970" t="inlineStr">
        <is>
          <t>Boleto Bancário</t>
        </is>
      </c>
      <c r="L1970" t="inlineStr">
        <is>
          <t>Mão de Obra - Extra</t>
        </is>
      </c>
      <c r="M1970" t="inlineStr">
        <is>
          <t>Mão de Obra Extra</t>
        </is>
      </c>
      <c r="N1970" t="inlineStr">
        <is>
          <t>567217119</t>
        </is>
      </c>
      <c r="O1970" t="inlineStr">
        <is>
          <t>Documentação Aprovada</t>
        </is>
      </c>
      <c r="P1970" t="inlineStr">
        <is>
          <t>Aprovado Diretoria</t>
        </is>
      </c>
      <c r="Q1970" t="inlineStr">
        <is>
          <t>Aprovado Caixa</t>
        </is>
      </c>
      <c r="R1970" t="inlineStr">
        <is>
          <t>Pago</t>
        </is>
      </c>
      <c r="S1970" t="n">
        <v>115</v>
      </c>
      <c r="T1970" t="inlineStr">
        <is>
          <t>Love - Shibari - Bradesco</t>
        </is>
      </c>
    </row>
    <row r="1971">
      <c r="A1971" t="n">
        <v>103033</v>
      </c>
      <c r="B1971" t="n">
        <v>128</v>
      </c>
      <c r="C1971" t="inlineStr">
        <is>
          <t>Love Cabaret</t>
        </is>
      </c>
      <c r="D1971" t="inlineStr">
        <is>
          <t>TELEFONICA BRASIL S/A</t>
        </is>
      </c>
      <c r="E1971" t="n">
        <v>333.93</v>
      </c>
      <c r="F1971" s="27" t="n">
        <v>45802</v>
      </c>
      <c r="G1971" s="27" t="n">
        <v>45798</v>
      </c>
      <c r="H1971" s="27" t="n">
        <v>45798</v>
      </c>
      <c r="I1971" s="27" t="n">
        <v>45794</v>
      </c>
      <c r="J1971" s="27" t="n"/>
      <c r="K1971" t="inlineStr">
        <is>
          <t>Boleto Bancário</t>
        </is>
      </c>
      <c r="L1971" t="inlineStr">
        <is>
          <t>Informática e TI</t>
        </is>
      </c>
      <c r="M1971" t="inlineStr">
        <is>
          <t>Internet</t>
        </is>
      </c>
      <c r="N1971" t="inlineStr">
        <is>
          <t>455530810</t>
        </is>
      </c>
      <c r="O1971" t="inlineStr">
        <is>
          <t>Documentação Aprovada</t>
        </is>
      </c>
      <c r="P1971" t="inlineStr">
        <is>
          <t>Aprovado Diretoria</t>
        </is>
      </c>
      <c r="Q1971" t="inlineStr">
        <is>
          <t>Aprovado Caixa</t>
        </is>
      </c>
      <c r="R1971" t="inlineStr">
        <is>
          <t>Pago</t>
        </is>
      </c>
      <c r="S1971" t="n">
        <v>115</v>
      </c>
      <c r="T1971" t="inlineStr">
        <is>
          <t>Love - Shibari - Bradesco</t>
        </is>
      </c>
    </row>
    <row r="1972">
      <c r="A1972" t="n">
        <v>103021</v>
      </c>
      <c r="B1972" t="n">
        <v>128</v>
      </c>
      <c r="C1972" t="inlineStr">
        <is>
          <t>Love Cabaret</t>
        </is>
      </c>
      <c r="D1972" t="inlineStr">
        <is>
          <t>TELEFONICA BRASIL S/A</t>
        </is>
      </c>
      <c r="E1972" t="n">
        <v>95.65000000000001</v>
      </c>
      <c r="F1972" s="27" t="n">
        <v>45802</v>
      </c>
      <c r="G1972" s="27" t="n">
        <v>45798</v>
      </c>
      <c r="H1972" s="27" t="n">
        <v>45798</v>
      </c>
      <c r="I1972" s="27" t="n">
        <v>45781</v>
      </c>
      <c r="J1972" s="27" t="n"/>
      <c r="K1972" t="inlineStr">
        <is>
          <t>Boleto Bancário</t>
        </is>
      </c>
      <c r="L1972" t="inlineStr">
        <is>
          <t>Informática e TI</t>
        </is>
      </c>
      <c r="M1972" t="inlineStr">
        <is>
          <t>Telefone</t>
        </is>
      </c>
      <c r="N1972" t="inlineStr">
        <is>
          <t>434906426</t>
        </is>
      </c>
      <c r="O1972" t="inlineStr">
        <is>
          <t>Documentação Aprovada</t>
        </is>
      </c>
      <c r="P1972" t="inlineStr">
        <is>
          <t>Aprovado Diretoria</t>
        </is>
      </c>
      <c r="Q1972" t="inlineStr">
        <is>
          <t>Aprovado Caixa</t>
        </is>
      </c>
      <c r="R1972" t="inlineStr">
        <is>
          <t>Pago</t>
        </is>
      </c>
      <c r="S1972" t="n">
        <v>115</v>
      </c>
      <c r="T1972" t="inlineStr">
        <is>
          <t>Love - Shibari - Bradesco</t>
        </is>
      </c>
    </row>
    <row r="1973">
      <c r="A1973" t="n">
        <v>102890</v>
      </c>
      <c r="B1973" t="n">
        <v>128</v>
      </c>
      <c r="C1973" t="inlineStr">
        <is>
          <t>Love Cabaret</t>
        </is>
      </c>
      <c r="D1973" t="inlineStr">
        <is>
          <t>MACHINE SEGURANCA PATRIMONIAL LTDA</t>
        </is>
      </c>
      <c r="E1973" t="n">
        <v>6650</v>
      </c>
      <c r="F1973" s="27" t="n">
        <v>45797</v>
      </c>
      <c r="G1973" s="27" t="n">
        <v>45798</v>
      </c>
      <c r="H1973" s="27" t="n">
        <v>45798</v>
      </c>
      <c r="I1973" s="27" t="n">
        <v>45778</v>
      </c>
      <c r="J1973" s="27" t="n"/>
      <c r="K1973" t="inlineStr">
        <is>
          <t>Transferência Bancária ou Pix</t>
        </is>
      </c>
      <c r="L1973" t="inlineStr">
        <is>
          <t>Serviços de Terceiros</t>
        </is>
      </c>
      <c r="M1973" t="inlineStr">
        <is>
          <t>Serviços de Segurança</t>
        </is>
      </c>
      <c r="N1973" t="inlineStr">
        <is>
          <t>322</t>
        </is>
      </c>
      <c r="O1973" t="inlineStr">
        <is>
          <t>Documentação Aprovada</t>
        </is>
      </c>
      <c r="P1973" t="inlineStr">
        <is>
          <t>Aprovado Diretoria</t>
        </is>
      </c>
      <c r="Q1973" t="inlineStr">
        <is>
          <t>Aprovado Caixa</t>
        </is>
      </c>
      <c r="R1973" t="inlineStr">
        <is>
          <t>Pago</t>
        </is>
      </c>
      <c r="S1973" t="n">
        <v>115</v>
      </c>
      <c r="T1973" t="inlineStr">
        <is>
          <t>Love - Shibari - Bradesco</t>
        </is>
      </c>
    </row>
    <row r="1974">
      <c r="A1974" t="n">
        <v>131420</v>
      </c>
      <c r="B1974" t="n">
        <v>128</v>
      </c>
      <c r="C1974" t="inlineStr">
        <is>
          <t>Love Cabaret</t>
        </is>
      </c>
      <c r="D1974" t="inlineStr">
        <is>
          <t>CIUFFI HORTIFRUTI EIRELI</t>
        </is>
      </c>
      <c r="E1974" t="n">
        <v>143.4</v>
      </c>
      <c r="F1974" s="27" t="n">
        <v>45800</v>
      </c>
      <c r="G1974" s="27" t="n">
        <v>45798</v>
      </c>
      <c r="H1974" s="27" t="n">
        <v>45798</v>
      </c>
      <c r="I1974" s="27" t="n">
        <v>45785</v>
      </c>
      <c r="J1974" s="27" t="n">
        <v>45786</v>
      </c>
      <c r="K1974" t="inlineStr">
        <is>
          <t>Boleto Bancário</t>
        </is>
      </c>
      <c r="L1974" t="inlineStr">
        <is>
          <t>Custo Mercadoria Vendida</t>
        </is>
      </c>
      <c r="M1974" t="inlineStr">
        <is>
          <t>Insumos - Alimentos</t>
        </is>
      </c>
      <c r="N1974" t="inlineStr">
        <is>
          <t>22952</t>
        </is>
      </c>
      <c r="O1974" t="inlineStr">
        <is>
          <t>Documentação Aprovada</t>
        </is>
      </c>
      <c r="P1974" t="inlineStr">
        <is>
          <t>Aprovado Diretoria</t>
        </is>
      </c>
      <c r="Q1974" t="inlineStr">
        <is>
          <t>Aprovado Caixa</t>
        </is>
      </c>
      <c r="R1974" t="inlineStr">
        <is>
          <t>Pago</t>
        </is>
      </c>
      <c r="S1974" t="n">
        <v>115</v>
      </c>
      <c r="T1974" t="inlineStr">
        <is>
          <t>Love - Shibari - Bradesco</t>
        </is>
      </c>
    </row>
    <row r="1975">
      <c r="A1975" t="n">
        <v>131419</v>
      </c>
      <c r="B1975" t="n">
        <v>128</v>
      </c>
      <c r="C1975" t="inlineStr">
        <is>
          <t>Love Cabaret</t>
        </is>
      </c>
      <c r="D1975" t="inlineStr">
        <is>
          <t>HORTIFRUTIGRANJEIRO RODRIGUES LTDA</t>
        </is>
      </c>
      <c r="E1975" t="n">
        <v>118.6</v>
      </c>
      <c r="F1975" s="27" t="n">
        <v>45801</v>
      </c>
      <c r="G1975" s="27" t="n">
        <v>45798</v>
      </c>
      <c r="H1975" s="27" t="n">
        <v>45798</v>
      </c>
      <c r="I1975" s="27" t="n">
        <v>45785</v>
      </c>
      <c r="J1975" s="27" t="n">
        <v>45786</v>
      </c>
      <c r="K1975" t="inlineStr">
        <is>
          <t>Boleto Bancário</t>
        </is>
      </c>
      <c r="L1975" t="inlineStr">
        <is>
          <t>Custo Mercadoria Vendida</t>
        </is>
      </c>
      <c r="M1975" t="inlineStr">
        <is>
          <t>Insumos - Alimentos</t>
        </is>
      </c>
      <c r="N1975" t="inlineStr">
        <is>
          <t>10251</t>
        </is>
      </c>
      <c r="O1975" t="inlineStr">
        <is>
          <t>Documentação Aprovada</t>
        </is>
      </c>
      <c r="P1975" t="inlineStr">
        <is>
          <t>Aprovado Diretoria</t>
        </is>
      </c>
      <c r="Q1975" t="inlineStr">
        <is>
          <t>Aprovado Caixa</t>
        </is>
      </c>
      <c r="R1975" t="inlineStr">
        <is>
          <t>Pago</t>
        </is>
      </c>
      <c r="S1975" t="n">
        <v>115</v>
      </c>
      <c r="T1975" t="inlineStr">
        <is>
          <t>Love - Shibari - Bradesco</t>
        </is>
      </c>
    </row>
    <row r="1976">
      <c r="A1976" t="n">
        <v>131417</v>
      </c>
      <c r="B1976" t="n">
        <v>128</v>
      </c>
      <c r="C1976" t="inlineStr">
        <is>
          <t>Love Cabaret</t>
        </is>
      </c>
      <c r="D1976" t="inlineStr">
        <is>
          <t>CECILIA TSUYACO ARAKI SILVA LTDA</t>
        </is>
      </c>
      <c r="E1976" t="n">
        <v>51.6</v>
      </c>
      <c r="F1976" s="27" t="n">
        <v>45799</v>
      </c>
      <c r="G1976" s="27" t="n">
        <v>45798</v>
      </c>
      <c r="H1976" s="27" t="n">
        <v>45798</v>
      </c>
      <c r="I1976" s="27" t="n">
        <v>45785</v>
      </c>
      <c r="J1976" s="27" t="n">
        <v>45786</v>
      </c>
      <c r="K1976" t="inlineStr">
        <is>
          <t>Boleto Bancário</t>
        </is>
      </c>
      <c r="L1976" t="inlineStr">
        <is>
          <t>Custo Mercadoria Vendida</t>
        </is>
      </c>
      <c r="M1976" t="inlineStr">
        <is>
          <t>Insumos - Alimentos</t>
        </is>
      </c>
      <c r="N1976" t="inlineStr">
        <is>
          <t>370712</t>
        </is>
      </c>
      <c r="O1976" t="inlineStr">
        <is>
          <t>Documentação Aprovada</t>
        </is>
      </c>
      <c r="P1976" t="inlineStr">
        <is>
          <t>Aprovado Diretoria</t>
        </is>
      </c>
      <c r="Q1976" t="inlineStr">
        <is>
          <t>Aprovado Caixa</t>
        </is>
      </c>
      <c r="R1976" t="inlineStr">
        <is>
          <t>Pago</t>
        </is>
      </c>
      <c r="S1976" t="n">
        <v>115</v>
      </c>
      <c r="T1976" t="inlineStr">
        <is>
          <t>Love - Shibari - Bradesco</t>
        </is>
      </c>
    </row>
    <row r="1977">
      <c r="A1977" t="n">
        <v>131042</v>
      </c>
      <c r="B1977" t="n">
        <v>128</v>
      </c>
      <c r="C1977" t="inlineStr">
        <is>
          <t>Love Cabaret</t>
        </is>
      </c>
      <c r="D1977" t="inlineStr">
        <is>
          <t>BATARD PADARIA ARTESANAL LTDA</t>
        </is>
      </c>
      <c r="E1977" t="n">
        <v>168</v>
      </c>
      <c r="F1977" s="27" t="n">
        <v>45799</v>
      </c>
      <c r="G1977" s="27" t="n">
        <v>45798</v>
      </c>
      <c r="H1977" s="27" t="n">
        <v>45798</v>
      </c>
      <c r="I1977" s="27" t="n">
        <v>45783</v>
      </c>
      <c r="J1977" s="27" t="n">
        <v>45785</v>
      </c>
      <c r="K1977" t="inlineStr">
        <is>
          <t>Boleto Bancário</t>
        </is>
      </c>
      <c r="L1977" t="inlineStr">
        <is>
          <t>Custo Mercadoria Vendida</t>
        </is>
      </c>
      <c r="M1977" t="inlineStr">
        <is>
          <t>Insumos - Alimentos</t>
        </is>
      </c>
      <c r="N1977" t="inlineStr">
        <is>
          <t>10737</t>
        </is>
      </c>
      <c r="O1977" t="inlineStr">
        <is>
          <t>Documentação Aprovada</t>
        </is>
      </c>
      <c r="P1977" t="inlineStr">
        <is>
          <t>Aprovado Diretoria</t>
        </is>
      </c>
      <c r="Q1977" t="inlineStr">
        <is>
          <t>Aprovado Caixa</t>
        </is>
      </c>
      <c r="R1977" t="inlineStr">
        <is>
          <t>Pago</t>
        </is>
      </c>
      <c r="S1977" t="n">
        <v>115</v>
      </c>
      <c r="T1977" t="inlineStr">
        <is>
          <t>Love - Shibari - Bradesco</t>
        </is>
      </c>
    </row>
    <row r="1978">
      <c r="A1978" t="n">
        <v>133920</v>
      </c>
      <c r="B1978" t="n">
        <v>128</v>
      </c>
      <c r="C1978" t="inlineStr">
        <is>
          <t>Love Cabaret</t>
        </is>
      </c>
      <c r="D1978" t="inlineStr">
        <is>
          <t>BRADESCO SA</t>
        </is>
      </c>
      <c r="E1978" t="n">
        <v>21.56</v>
      </c>
      <c r="F1978" s="27" t="n">
        <v>45798</v>
      </c>
      <c r="G1978" s="27" t="n"/>
      <c r="H1978" s="27" t="n">
        <v>45798</v>
      </c>
      <c r="I1978" s="27" t="n">
        <v>45798</v>
      </c>
      <c r="J1978" s="27" t="n">
        <v>45799</v>
      </c>
      <c r="K1978" t="inlineStr">
        <is>
          <t>Encontro de Contas</t>
        </is>
      </c>
      <c r="L1978" t="inlineStr">
        <is>
          <t>Despesas Financeiras</t>
        </is>
      </c>
      <c r="M1978" t="inlineStr">
        <is>
          <t>Tarifas Bancárias</t>
        </is>
      </c>
      <c r="N1978" t="inlineStr">
        <is>
          <t>052025</t>
        </is>
      </c>
      <c r="P1978" t="inlineStr">
        <is>
          <t>Aprovado Diretoria</t>
        </is>
      </c>
      <c r="R1978" t="inlineStr">
        <is>
          <t>Pago</t>
        </is>
      </c>
    </row>
    <row r="1979">
      <c r="A1979" t="n">
        <v>128268</v>
      </c>
      <c r="B1979" t="n">
        <v>128</v>
      </c>
      <c r="C1979" t="inlineStr">
        <is>
          <t>Love Cabaret</t>
        </is>
      </c>
      <c r="D1979" t="inlineStr">
        <is>
          <t xml:space="preserve">EMPORIO MEL </t>
        </is>
      </c>
      <c r="E1979" t="n">
        <v>229.9</v>
      </c>
      <c r="F1979" s="27" t="n">
        <v>45799</v>
      </c>
      <c r="G1979" s="27" t="n">
        <v>45798</v>
      </c>
      <c r="H1979" s="27" t="n">
        <v>45798</v>
      </c>
      <c r="I1979" s="27" t="n">
        <v>45771</v>
      </c>
      <c r="J1979" s="27" t="n">
        <v>45777</v>
      </c>
      <c r="K1979" t="inlineStr">
        <is>
          <t>Boleto Bancário</t>
        </is>
      </c>
      <c r="L1979" t="inlineStr">
        <is>
          <t>Custo Mercadoria Vendida</t>
        </is>
      </c>
      <c r="M1979" t="inlineStr">
        <is>
          <t>Insumos - Alimentos</t>
        </is>
      </c>
      <c r="N1979" t="inlineStr">
        <is>
          <t>449363</t>
        </is>
      </c>
      <c r="O1979" t="inlineStr">
        <is>
          <t>Documentação Aprovada</t>
        </is>
      </c>
      <c r="P1979" t="inlineStr">
        <is>
          <t>Aprovado Diretoria</t>
        </is>
      </c>
      <c r="Q1979" t="inlineStr">
        <is>
          <t>Aprovado Caixa</t>
        </is>
      </c>
      <c r="R1979" t="inlineStr">
        <is>
          <t>Pago</t>
        </is>
      </c>
      <c r="S1979" t="n">
        <v>115</v>
      </c>
      <c r="T1979" t="inlineStr">
        <is>
          <t>Love - Shibari - Bradesco</t>
        </is>
      </c>
    </row>
    <row r="1980">
      <c r="A1980" t="n">
        <v>127679</v>
      </c>
      <c r="B1980" t="n">
        <v>128</v>
      </c>
      <c r="C1980" t="inlineStr">
        <is>
          <t>Love Cabaret</t>
        </is>
      </c>
      <c r="D1980" t="inlineStr">
        <is>
          <t xml:space="preserve">EMPORIO MEL </t>
        </is>
      </c>
      <c r="E1980" t="n">
        <v>492.7</v>
      </c>
      <c r="F1980" s="27" t="n">
        <v>45799</v>
      </c>
      <c r="G1980" s="27" t="n">
        <v>45798</v>
      </c>
      <c r="H1980" s="27" t="n">
        <v>45798</v>
      </c>
      <c r="I1980" s="27" t="n">
        <v>45770</v>
      </c>
      <c r="J1980" s="27" t="n">
        <v>45775</v>
      </c>
      <c r="K1980" t="inlineStr">
        <is>
          <t>Boleto Bancário</t>
        </is>
      </c>
      <c r="L1980" t="inlineStr">
        <is>
          <t>Custo Mercadoria Vendida</t>
        </is>
      </c>
      <c r="M1980" t="inlineStr">
        <is>
          <t>Insumos - Alimentos</t>
        </is>
      </c>
      <c r="N1980" t="inlineStr">
        <is>
          <t>449196</t>
        </is>
      </c>
      <c r="O1980" t="inlineStr">
        <is>
          <t>Documentação Aprovada</t>
        </is>
      </c>
      <c r="P1980" t="inlineStr">
        <is>
          <t>Aprovado Diretoria</t>
        </is>
      </c>
      <c r="Q1980" t="inlineStr">
        <is>
          <t>Aprovado Caixa</t>
        </is>
      </c>
      <c r="R1980" t="inlineStr">
        <is>
          <t>Pago</t>
        </is>
      </c>
      <c r="S1980" t="n">
        <v>115</v>
      </c>
      <c r="T1980" t="inlineStr">
        <is>
          <t>Love - Shibari - Bradesco</t>
        </is>
      </c>
    </row>
    <row r="1981">
      <c r="A1981" t="n">
        <v>127752</v>
      </c>
      <c r="B1981" t="n">
        <v>128</v>
      </c>
      <c r="C1981" t="inlineStr">
        <is>
          <t>Love Cabaret</t>
        </is>
      </c>
      <c r="D1981" t="inlineStr">
        <is>
          <t>HORTICLEAN DISTRIBUIDORA DE HORTIFRUTI LTDA</t>
        </is>
      </c>
      <c r="E1981" t="n">
        <v>337.5</v>
      </c>
      <c r="F1981" s="27" t="n">
        <v>45800</v>
      </c>
      <c r="G1981" s="27" t="n">
        <v>45798</v>
      </c>
      <c r="H1981" s="27" t="n">
        <v>45798</v>
      </c>
      <c r="I1981" s="27" t="n">
        <v>45771</v>
      </c>
      <c r="J1981" s="27" t="n">
        <v>45776</v>
      </c>
      <c r="K1981" t="inlineStr">
        <is>
          <t>Boleto Bancário</t>
        </is>
      </c>
      <c r="L1981" t="inlineStr">
        <is>
          <t>Custo Mercadoria Vendida</t>
        </is>
      </c>
      <c r="M1981" t="inlineStr">
        <is>
          <t>Insumos - Alimentos</t>
        </is>
      </c>
      <c r="N1981" t="inlineStr">
        <is>
          <t>26557</t>
        </is>
      </c>
      <c r="O1981" t="inlineStr">
        <is>
          <t>Documentação Aprovada</t>
        </is>
      </c>
      <c r="P1981" t="inlineStr">
        <is>
          <t>Aprovado Diretoria</t>
        </is>
      </c>
      <c r="Q1981" t="inlineStr">
        <is>
          <t>Aprovado Caixa</t>
        </is>
      </c>
      <c r="R1981" t="inlineStr">
        <is>
          <t>Pago</t>
        </is>
      </c>
      <c r="S1981" t="n">
        <v>115</v>
      </c>
      <c r="T1981" t="inlineStr">
        <is>
          <t>Love - Shibari - Bradesco</t>
        </is>
      </c>
    </row>
    <row r="1982">
      <c r="A1982" t="n">
        <v>127686</v>
      </c>
      <c r="B1982" t="n">
        <v>128</v>
      </c>
      <c r="C1982" t="inlineStr">
        <is>
          <t>Love Cabaret</t>
        </is>
      </c>
      <c r="D1982" t="inlineStr">
        <is>
          <t>ZAHIL IMPORTADORA LTDA</t>
        </is>
      </c>
      <c r="E1982" t="n">
        <v>880.54</v>
      </c>
      <c r="F1982" s="27" t="n">
        <v>45800</v>
      </c>
      <c r="G1982" s="27" t="n">
        <v>45798</v>
      </c>
      <c r="H1982" s="27" t="n">
        <v>45798</v>
      </c>
      <c r="I1982" s="27" t="n">
        <v>45770</v>
      </c>
      <c r="J1982" s="27" t="n">
        <v>45775</v>
      </c>
      <c r="K1982" t="inlineStr">
        <is>
          <t>Boleto Bancário</t>
        </is>
      </c>
      <c r="L1982" t="inlineStr">
        <is>
          <t>Custo Mercadoria Vendida</t>
        </is>
      </c>
      <c r="M1982" t="inlineStr">
        <is>
          <t>Insumos - Bebidas</t>
        </is>
      </c>
      <c r="N1982" t="inlineStr">
        <is>
          <t>246145</t>
        </is>
      </c>
      <c r="O1982" t="inlineStr">
        <is>
          <t>Documentação Aprovada</t>
        </is>
      </c>
      <c r="P1982" t="inlineStr">
        <is>
          <t>Aprovado Diretoria</t>
        </is>
      </c>
      <c r="Q1982" t="inlineStr">
        <is>
          <t>Aprovado Caixa</t>
        </is>
      </c>
      <c r="R1982" t="inlineStr">
        <is>
          <t>Pago</t>
        </is>
      </c>
      <c r="S1982" t="n">
        <v>115</v>
      </c>
      <c r="T1982" t="inlineStr">
        <is>
          <t>Love - Shibari - Bradesco</t>
        </is>
      </c>
    </row>
    <row r="1983">
      <c r="A1983" t="n">
        <v>127683</v>
      </c>
      <c r="B1983" t="n">
        <v>128</v>
      </c>
      <c r="C1983" t="inlineStr">
        <is>
          <t>Love Cabaret</t>
        </is>
      </c>
      <c r="D1983" t="inlineStr">
        <is>
          <t>PROAUTO INDUSTRIA QUIMICA EIRELI</t>
        </is>
      </c>
      <c r="E1983" t="n">
        <v>927.9</v>
      </c>
      <c r="F1983" s="27" t="n">
        <v>45799</v>
      </c>
      <c r="G1983" s="27" t="n">
        <v>45798</v>
      </c>
      <c r="H1983" s="27" t="n">
        <v>45798</v>
      </c>
      <c r="I1983" s="27" t="n">
        <v>45771</v>
      </c>
      <c r="J1983" s="27" t="n">
        <v>45775</v>
      </c>
      <c r="K1983" t="inlineStr">
        <is>
          <t>Boleto Bancário</t>
        </is>
      </c>
      <c r="L1983" t="inlineStr">
        <is>
          <t>Utilidades</t>
        </is>
      </c>
      <c r="M1983" t="inlineStr">
        <is>
          <t>Higiene e Limpeza</t>
        </is>
      </c>
      <c r="N1983" t="inlineStr">
        <is>
          <t>137126</t>
        </is>
      </c>
      <c r="O1983" t="inlineStr">
        <is>
          <t>Documentação Aprovada</t>
        </is>
      </c>
      <c r="P1983" t="inlineStr">
        <is>
          <t>Aprovado Diretoria</t>
        </is>
      </c>
      <c r="Q1983" t="inlineStr">
        <is>
          <t>Aprovado Caixa</t>
        </is>
      </c>
      <c r="R1983" t="inlineStr">
        <is>
          <t>Pago</t>
        </is>
      </c>
      <c r="S1983" t="n">
        <v>115</v>
      </c>
      <c r="T1983" t="inlineStr">
        <is>
          <t>Love - Shibari - Bradesco</t>
        </is>
      </c>
    </row>
    <row r="1984">
      <c r="A1984" t="n">
        <v>127680</v>
      </c>
      <c r="B1984" t="n">
        <v>128</v>
      </c>
      <c r="C1984" t="inlineStr">
        <is>
          <t>Love Cabaret</t>
        </is>
      </c>
      <c r="D1984" t="inlineStr">
        <is>
          <t xml:space="preserve">ARENA VIP DISTRIBUIDORA DE BEBIDAS LTDA </t>
        </is>
      </c>
      <c r="E1984" t="n">
        <v>349.18</v>
      </c>
      <c r="F1984" s="27" t="n">
        <v>45798</v>
      </c>
      <c r="G1984" s="27" t="n">
        <v>45796</v>
      </c>
      <c r="H1984" s="27" t="n">
        <v>45796</v>
      </c>
      <c r="I1984" s="27" t="n">
        <v>45770</v>
      </c>
      <c r="J1984" s="27" t="n">
        <v>45775</v>
      </c>
      <c r="K1984" t="inlineStr">
        <is>
          <t>Boleto Bancário</t>
        </is>
      </c>
      <c r="L1984" t="inlineStr">
        <is>
          <t>Custo Mercadoria Vendida</t>
        </is>
      </c>
      <c r="M1984" t="inlineStr">
        <is>
          <t>Insumos - Bebidas</t>
        </is>
      </c>
      <c r="N1984" t="inlineStr">
        <is>
          <t>2348</t>
        </is>
      </c>
      <c r="O1984" t="inlineStr">
        <is>
          <t>Documentação Aprovada</t>
        </is>
      </c>
      <c r="P1984" t="inlineStr">
        <is>
          <t>Aprovado Diretoria</t>
        </is>
      </c>
      <c r="Q1984" t="inlineStr">
        <is>
          <t>Aprovado Caixa</t>
        </is>
      </c>
      <c r="R1984" t="inlineStr">
        <is>
          <t>Pago</t>
        </is>
      </c>
      <c r="S1984" t="n">
        <v>115</v>
      </c>
      <c r="T1984" t="inlineStr">
        <is>
          <t>Love - Shibari - Bradesco</t>
        </is>
      </c>
    </row>
    <row r="1985">
      <c r="A1985" t="n">
        <v>127681</v>
      </c>
      <c r="B1985" t="n">
        <v>128</v>
      </c>
      <c r="C1985" t="inlineStr">
        <is>
          <t>Love Cabaret</t>
        </is>
      </c>
      <c r="D1985" t="inlineStr">
        <is>
          <t>INTERFOOD IMPORTACAO LTDA</t>
        </is>
      </c>
      <c r="E1985" t="n">
        <v>741.89</v>
      </c>
      <c r="F1985" s="27" t="n">
        <v>45797</v>
      </c>
      <c r="G1985" s="27" t="n">
        <v>45796</v>
      </c>
      <c r="H1985" s="27" t="n">
        <v>45796</v>
      </c>
      <c r="I1985" s="27" t="n">
        <v>45770</v>
      </c>
      <c r="J1985" s="27" t="n">
        <v>45775</v>
      </c>
      <c r="K1985" t="inlineStr">
        <is>
          <t>Boleto Bancário</t>
        </is>
      </c>
      <c r="L1985" t="inlineStr">
        <is>
          <t>Custo Mercadoria Vendida</t>
        </is>
      </c>
      <c r="M1985" t="inlineStr">
        <is>
          <t>Insumos - Bebidas</t>
        </is>
      </c>
      <c r="N1985" t="inlineStr">
        <is>
          <t>399284</t>
        </is>
      </c>
      <c r="O1985" t="inlineStr">
        <is>
          <t>Documentação Aprovada</t>
        </is>
      </c>
      <c r="P1985" t="inlineStr">
        <is>
          <t>Aprovado Diretoria</t>
        </is>
      </c>
      <c r="Q1985" t="inlineStr">
        <is>
          <t>Aprovado Caixa</t>
        </is>
      </c>
      <c r="R1985" t="inlineStr">
        <is>
          <t>Pago</t>
        </is>
      </c>
      <c r="S1985" t="n">
        <v>115</v>
      </c>
      <c r="T1985" t="inlineStr">
        <is>
          <t>Love - Shibari - Bradesco</t>
        </is>
      </c>
    </row>
    <row r="1986">
      <c r="A1986" t="n">
        <v>127756</v>
      </c>
      <c r="B1986" t="n">
        <v>128</v>
      </c>
      <c r="C1986" t="inlineStr">
        <is>
          <t>Love Cabaret</t>
        </is>
      </c>
      <c r="D1986" t="inlineStr">
        <is>
          <t>HORTICLEAN DISTRIBUIDORA DE HORTIFRUTI LTDA</t>
        </is>
      </c>
      <c r="E1986" t="n">
        <v>110.63</v>
      </c>
      <c r="F1986" s="27" t="n">
        <v>45797</v>
      </c>
      <c r="G1986" s="27" t="n">
        <v>45796</v>
      </c>
      <c r="H1986" s="27" t="n">
        <v>45796</v>
      </c>
      <c r="I1986" s="27" t="n">
        <v>45768</v>
      </c>
      <c r="J1986" s="27" t="n">
        <v>45776</v>
      </c>
      <c r="K1986" t="inlineStr">
        <is>
          <t>Boleto Bancário</t>
        </is>
      </c>
      <c r="L1986" t="inlineStr">
        <is>
          <t>Custo Mercadoria Vendida</t>
        </is>
      </c>
      <c r="M1986" t="inlineStr">
        <is>
          <t>Insumos - Alimentos</t>
        </is>
      </c>
      <c r="N1986" t="inlineStr">
        <is>
          <t>26495</t>
        </is>
      </c>
      <c r="O1986" t="inlineStr">
        <is>
          <t>Documentação Aprovada</t>
        </is>
      </c>
      <c r="P1986" t="inlineStr">
        <is>
          <t>Aprovado Diretoria</t>
        </is>
      </c>
      <c r="Q1986" t="inlineStr">
        <is>
          <t>Aprovado Caixa</t>
        </is>
      </c>
      <c r="R1986" t="inlineStr">
        <is>
          <t>Pago</t>
        </is>
      </c>
      <c r="S1986" t="n">
        <v>115</v>
      </c>
      <c r="T1986" t="inlineStr">
        <is>
          <t>Love - Shibari - Bradesco</t>
        </is>
      </c>
    </row>
    <row r="1987">
      <c r="A1987" t="n">
        <v>129323</v>
      </c>
      <c r="B1987" t="n">
        <v>128</v>
      </c>
      <c r="C1987" t="inlineStr">
        <is>
          <t>Love Cabaret</t>
        </is>
      </c>
      <c r="D1987" t="inlineStr">
        <is>
          <t>IRRF</t>
        </is>
      </c>
      <c r="E1987" t="n">
        <v>42.23</v>
      </c>
      <c r="F1987" s="27" t="n">
        <v>45797</v>
      </c>
      <c r="G1987" s="27" t="n">
        <v>45796</v>
      </c>
      <c r="H1987" s="27" t="n">
        <v>45796</v>
      </c>
      <c r="I1987" s="27" t="n">
        <v>45748</v>
      </c>
      <c r="J1987" s="27" t="n">
        <v>45783</v>
      </c>
      <c r="K1987" t="inlineStr">
        <is>
          <t>Boleto Bancário</t>
        </is>
      </c>
      <c r="L1987" t="inlineStr">
        <is>
          <t>Mão de Obra - Encargos e Provisões</t>
        </is>
      </c>
      <c r="M1987" t="inlineStr">
        <is>
          <t>IRRF - MDO CLT - Salário</t>
        </is>
      </c>
      <c r="N1987" t="inlineStr">
        <is>
          <t>4223 042025</t>
        </is>
      </c>
      <c r="O1987" t="inlineStr">
        <is>
          <t>Documentação Aprovada</t>
        </is>
      </c>
      <c r="P1987" t="inlineStr">
        <is>
          <t>Aprovado Diretoria</t>
        </is>
      </c>
      <c r="Q1987" t="inlineStr">
        <is>
          <t>Aprovado Caixa</t>
        </is>
      </c>
      <c r="R1987" t="inlineStr">
        <is>
          <t>Pago</t>
        </is>
      </c>
      <c r="S1987" t="n">
        <v>115</v>
      </c>
      <c r="T1987" t="inlineStr">
        <is>
          <t>Love - Shibari - Bradesco</t>
        </is>
      </c>
    </row>
    <row r="1988">
      <c r="A1988" t="n">
        <v>129463</v>
      </c>
      <c r="B1988" t="n">
        <v>128</v>
      </c>
      <c r="C1988" t="inlineStr">
        <is>
          <t>Love Cabaret</t>
        </is>
      </c>
      <c r="D1988" t="inlineStr">
        <is>
          <t>OPUS CONSULTORIA E PESQUISA LTDA</t>
        </is>
      </c>
      <c r="E1988" t="n">
        <v>300</v>
      </c>
      <c r="F1988" s="27" t="n">
        <v>45797</v>
      </c>
      <c r="G1988" s="27" t="n">
        <v>45796</v>
      </c>
      <c r="H1988" s="27" t="n">
        <v>45796</v>
      </c>
      <c r="I1988" s="27" t="n">
        <v>45783</v>
      </c>
      <c r="J1988" s="27" t="n"/>
      <c r="K1988" t="inlineStr">
        <is>
          <t>Boleto Bancário</t>
        </is>
      </c>
      <c r="L1988" t="inlineStr">
        <is>
          <t>Serviços de Terceiros</t>
        </is>
      </c>
      <c r="M1988" t="inlineStr">
        <is>
          <t>Assessoria em Geral</t>
        </is>
      </c>
      <c r="N1988" t="inlineStr">
        <is>
          <t>482</t>
        </is>
      </c>
      <c r="O1988" t="inlineStr">
        <is>
          <t>Documentação Aprovada</t>
        </is>
      </c>
      <c r="P1988" t="inlineStr">
        <is>
          <t>Aprovado Diretoria</t>
        </is>
      </c>
      <c r="Q1988" t="inlineStr">
        <is>
          <t>Aprovado Caixa</t>
        </is>
      </c>
      <c r="R1988" t="inlineStr">
        <is>
          <t>Pago</t>
        </is>
      </c>
      <c r="S1988" t="n">
        <v>115</v>
      </c>
      <c r="T1988" t="inlineStr">
        <is>
          <t>Love - Shibari - Bradesco</t>
        </is>
      </c>
    </row>
    <row r="1989">
      <c r="A1989" t="n">
        <v>128942</v>
      </c>
      <c r="B1989" t="n">
        <v>128</v>
      </c>
      <c r="C1989" t="inlineStr">
        <is>
          <t>Love Cabaret</t>
        </is>
      </c>
      <c r="D1989" t="inlineStr">
        <is>
          <t>BLUEME</t>
        </is>
      </c>
      <c r="E1989" t="n">
        <v>360</v>
      </c>
      <c r="F1989" s="27" t="n">
        <v>45796</v>
      </c>
      <c r="G1989" s="27" t="n">
        <v>45796</v>
      </c>
      <c r="H1989" s="27" t="n">
        <v>45796</v>
      </c>
      <c r="I1989" s="27" t="n">
        <v>45777</v>
      </c>
      <c r="J1989" s="27" t="n">
        <v>45782</v>
      </c>
      <c r="K1989" t="inlineStr">
        <is>
          <t>Boleto Bancário</t>
        </is>
      </c>
      <c r="L1989" t="inlineStr">
        <is>
          <t>Informática e TI</t>
        </is>
      </c>
      <c r="M1989" t="inlineStr">
        <is>
          <t>Sistemas Gerais - Financeiros</t>
        </is>
      </c>
      <c r="N1989" t="inlineStr">
        <is>
          <t>98</t>
        </is>
      </c>
      <c r="O1989" t="inlineStr">
        <is>
          <t>Documentação Aprovada</t>
        </is>
      </c>
      <c r="P1989" t="inlineStr">
        <is>
          <t>Aprovado Diretoria</t>
        </is>
      </c>
      <c r="Q1989" t="inlineStr">
        <is>
          <t>Aprovado Caixa</t>
        </is>
      </c>
      <c r="R1989" t="inlineStr">
        <is>
          <t>Pago</t>
        </is>
      </c>
      <c r="S1989" t="n">
        <v>115</v>
      </c>
      <c r="T1989" t="inlineStr">
        <is>
          <t>Love - Shibari - Bradesco</t>
        </is>
      </c>
    </row>
    <row r="1990">
      <c r="A1990" t="n">
        <v>129319</v>
      </c>
      <c r="B1990" t="n">
        <v>128</v>
      </c>
      <c r="C1990" t="inlineStr">
        <is>
          <t>Love Cabaret</t>
        </is>
      </c>
      <c r="D1990" t="inlineStr">
        <is>
          <t>INSS</t>
        </is>
      </c>
      <c r="E1990" t="n">
        <v>2214.22</v>
      </c>
      <c r="F1990" s="27" t="n">
        <v>45797</v>
      </c>
      <c r="G1990" s="27" t="n">
        <v>45796</v>
      </c>
      <c r="H1990" s="27" t="n">
        <v>45796</v>
      </c>
      <c r="I1990" s="27" t="n">
        <v>45748</v>
      </c>
      <c r="J1990" s="27" t="n">
        <v>45783</v>
      </c>
      <c r="K1990" t="inlineStr">
        <is>
          <t>Boleto Bancário</t>
        </is>
      </c>
      <c r="L1990" t="inlineStr">
        <is>
          <t>Mão de Obra - Encargos e Provisões</t>
        </is>
      </c>
      <c r="M1990" t="inlineStr">
        <is>
          <t xml:space="preserve">  -  INSS Patronal</t>
        </is>
      </c>
      <c r="N1990" t="inlineStr">
        <is>
          <t>221422 042025</t>
        </is>
      </c>
      <c r="O1990" t="inlineStr">
        <is>
          <t>Documentação Aprovada</t>
        </is>
      </c>
      <c r="P1990" t="inlineStr">
        <is>
          <t>Aprovado Diretoria</t>
        </is>
      </c>
      <c r="Q1990" t="inlineStr">
        <is>
          <t>Aprovado Caixa</t>
        </is>
      </c>
      <c r="R1990" t="inlineStr">
        <is>
          <t>Pago</t>
        </is>
      </c>
      <c r="S1990" t="n">
        <v>115</v>
      </c>
      <c r="T1990" t="inlineStr">
        <is>
          <t>Love - Shibari - Bradesco</t>
        </is>
      </c>
    </row>
    <row r="1991">
      <c r="A1991" t="n">
        <v>129320</v>
      </c>
      <c r="B1991" t="n">
        <v>128</v>
      </c>
      <c r="C1991" t="inlineStr">
        <is>
          <t>Love Cabaret</t>
        </is>
      </c>
      <c r="D1991" t="inlineStr">
        <is>
          <t>INSS</t>
        </is>
      </c>
      <c r="E1991" t="n">
        <v>712.86</v>
      </c>
      <c r="F1991" s="27" t="n">
        <v>45797</v>
      </c>
      <c r="G1991" s="27" t="n">
        <v>45796</v>
      </c>
      <c r="H1991" s="27" t="n">
        <v>45796</v>
      </c>
      <c r="I1991" s="27" t="n">
        <v>45748</v>
      </c>
      <c r="J1991" s="27" t="n">
        <v>45783</v>
      </c>
      <c r="K1991" t="inlineStr">
        <is>
          <t>Boleto Bancário</t>
        </is>
      </c>
      <c r="L1991" t="inlineStr">
        <is>
          <t>Mão de Obra - Encargos e Provisões</t>
        </is>
      </c>
      <c r="M1991" t="inlineStr">
        <is>
          <t xml:space="preserve">  -  INSS Segurados</t>
        </is>
      </c>
      <c r="N1991" t="inlineStr">
        <is>
          <t>71386 02025</t>
        </is>
      </c>
      <c r="O1991" t="inlineStr">
        <is>
          <t>Documentação Aprovada</t>
        </is>
      </c>
      <c r="P1991" t="inlineStr">
        <is>
          <t>Aprovado Diretoria</t>
        </is>
      </c>
      <c r="Q1991" t="inlineStr">
        <is>
          <t>Aprovado Caixa</t>
        </is>
      </c>
      <c r="R1991" t="inlineStr">
        <is>
          <t>Pago</t>
        </is>
      </c>
      <c r="S1991" t="n">
        <v>115</v>
      </c>
      <c r="T1991" t="inlineStr">
        <is>
          <t>Love - Shibari - Bradesco</t>
        </is>
      </c>
    </row>
    <row r="1992">
      <c r="A1992" t="n">
        <v>129322</v>
      </c>
      <c r="B1992" t="n">
        <v>128</v>
      </c>
      <c r="C1992" t="inlineStr">
        <is>
          <t>Love Cabaret</t>
        </is>
      </c>
      <c r="D1992" t="inlineStr">
        <is>
          <t>FGTS</t>
        </is>
      </c>
      <c r="E1992" t="n">
        <v>615.0599999999999</v>
      </c>
      <c r="F1992" s="27" t="n">
        <v>45797</v>
      </c>
      <c r="G1992" s="27" t="n">
        <v>45796</v>
      </c>
      <c r="H1992" s="27" t="n">
        <v>45796</v>
      </c>
      <c r="I1992" s="27" t="n">
        <v>45748</v>
      </c>
      <c r="J1992" s="27" t="n">
        <v>45783</v>
      </c>
      <c r="K1992" t="inlineStr">
        <is>
          <t>Transferência Bancária ou Pix</t>
        </is>
      </c>
      <c r="L1992" t="inlineStr">
        <is>
          <t>Mão de Obra - Encargos e Provisões</t>
        </is>
      </c>
      <c r="M1992" t="inlineStr">
        <is>
          <t xml:space="preserve">  -  FGTS</t>
        </is>
      </c>
      <c r="N1992" t="inlineStr">
        <is>
          <t>61506 042025</t>
        </is>
      </c>
      <c r="O1992" t="inlineStr">
        <is>
          <t>Documentação Aprovada</t>
        </is>
      </c>
      <c r="P1992" t="inlineStr">
        <is>
          <t>Aprovado Diretoria</t>
        </is>
      </c>
      <c r="Q1992" t="inlineStr">
        <is>
          <t>Aprovado Caixa</t>
        </is>
      </c>
      <c r="R1992" t="inlineStr">
        <is>
          <t>Pago</t>
        </is>
      </c>
      <c r="S1992" t="n">
        <v>115</v>
      </c>
      <c r="T1992" t="inlineStr">
        <is>
          <t>Love - Shibari - Bradesco</t>
        </is>
      </c>
    </row>
    <row r="1993">
      <c r="A1993" t="n">
        <v>130660</v>
      </c>
      <c r="B1993" t="n">
        <v>128</v>
      </c>
      <c r="C1993" t="inlineStr">
        <is>
          <t>Love Cabaret</t>
        </is>
      </c>
      <c r="D1993" t="inlineStr">
        <is>
          <t>LALAMOVE TECNOLOGIA (BRASIL) LTDA</t>
        </is>
      </c>
      <c r="E1993" t="n">
        <v>102.23</v>
      </c>
      <c r="F1993" s="27" t="n">
        <v>45797</v>
      </c>
      <c r="G1993" s="27" t="n">
        <v>45796</v>
      </c>
      <c r="H1993" s="27" t="n">
        <v>45796</v>
      </c>
      <c r="I1993" s="27" t="n">
        <v>45752</v>
      </c>
      <c r="J1993" s="27" t="n">
        <v>45784</v>
      </c>
      <c r="K1993" t="inlineStr">
        <is>
          <t>Transferência Bancária ou Pix</t>
        </is>
      </c>
      <c r="L1993" t="inlineStr">
        <is>
          <t>Despesas com Transporte / Hospedagem</t>
        </is>
      </c>
      <c r="M1993" t="inlineStr">
        <is>
          <t>Fretes e Carretos</t>
        </is>
      </c>
      <c r="N1993" t="inlineStr">
        <is>
          <t>452025</t>
        </is>
      </c>
      <c r="O1993" t="inlineStr">
        <is>
          <t>Documentação Aprovada</t>
        </is>
      </c>
      <c r="P1993" t="inlineStr">
        <is>
          <t>Aprovado Diretoria</t>
        </is>
      </c>
      <c r="Q1993" t="inlineStr">
        <is>
          <t>Aprovado Caixa</t>
        </is>
      </c>
      <c r="R1993" t="inlineStr">
        <is>
          <t>Pago</t>
        </is>
      </c>
      <c r="S1993" t="n">
        <v>115</v>
      </c>
      <c r="T1993" t="inlineStr">
        <is>
          <t>Love - Shibari - Bradesco</t>
        </is>
      </c>
    </row>
    <row r="1994">
      <c r="A1994" t="n">
        <v>126844</v>
      </c>
      <c r="B1994" t="n">
        <v>128</v>
      </c>
      <c r="C1994" t="inlineStr">
        <is>
          <t>Love Cabaret</t>
        </is>
      </c>
      <c r="D1994" t="inlineStr">
        <is>
          <t>FGE COMUNICACAO VISUAL</t>
        </is>
      </c>
      <c r="E1994" t="n">
        <v>570</v>
      </c>
      <c r="F1994" s="27" t="n">
        <v>45797</v>
      </c>
      <c r="G1994" s="27" t="n">
        <v>45796</v>
      </c>
      <c r="H1994" s="27" t="n">
        <v>45796</v>
      </c>
      <c r="I1994" s="27" t="n">
        <v>45769</v>
      </c>
      <c r="J1994" s="27" t="n">
        <v>45770</v>
      </c>
      <c r="K1994" t="inlineStr">
        <is>
          <t>Transferência Bancária ou Pix</t>
        </is>
      </c>
      <c r="L1994" t="inlineStr">
        <is>
          <t>Manutenção</t>
        </is>
      </c>
      <c r="M1994" t="inlineStr">
        <is>
          <t>Manutenção de Equipamentos</t>
        </is>
      </c>
      <c r="N1994" t="inlineStr">
        <is>
          <t>647</t>
        </is>
      </c>
      <c r="O1994" t="inlineStr">
        <is>
          <t>Documentação Aprovada</t>
        </is>
      </c>
      <c r="P1994" t="inlineStr">
        <is>
          <t>Aprovado Diretoria</t>
        </is>
      </c>
      <c r="Q1994" t="inlineStr">
        <is>
          <t>Aprovado Caixa</t>
        </is>
      </c>
      <c r="R1994" t="inlineStr">
        <is>
          <t>Pago</t>
        </is>
      </c>
      <c r="S1994" t="n">
        <v>115</v>
      </c>
      <c r="T1994" t="inlineStr">
        <is>
          <t>Love - Shibari - Bradesco</t>
        </is>
      </c>
    </row>
    <row r="1995">
      <c r="A1995" t="n">
        <v>128264</v>
      </c>
      <c r="B1995" t="n">
        <v>128</v>
      </c>
      <c r="C1995" t="inlineStr">
        <is>
          <t>Love Cabaret</t>
        </is>
      </c>
      <c r="D1995" t="inlineStr">
        <is>
          <t>DTK COMERCIO DE ALIMENTOS LTDA</t>
        </is>
      </c>
      <c r="E1995" t="n">
        <v>511.51</v>
      </c>
      <c r="F1995" s="27" t="n">
        <v>45796</v>
      </c>
      <c r="G1995" s="27" t="n">
        <v>45796</v>
      </c>
      <c r="H1995" s="27" t="n">
        <v>45796</v>
      </c>
      <c r="I1995" s="27" t="n">
        <v>45775</v>
      </c>
      <c r="J1995" s="27" t="n">
        <v>45777</v>
      </c>
      <c r="K1995" t="inlineStr">
        <is>
          <t>Boleto Bancário</t>
        </is>
      </c>
      <c r="L1995" t="inlineStr">
        <is>
          <t>Custo Mercadoria Vendida</t>
        </is>
      </c>
      <c r="M1995" t="inlineStr">
        <is>
          <t>Insumos - Alimentos</t>
        </is>
      </c>
      <c r="N1995" t="inlineStr">
        <is>
          <t>29336</t>
        </is>
      </c>
      <c r="O1995" t="inlineStr">
        <is>
          <t>Documentação Aprovada</t>
        </is>
      </c>
      <c r="P1995" t="inlineStr">
        <is>
          <t>Aprovado Diretoria</t>
        </is>
      </c>
      <c r="Q1995" t="inlineStr">
        <is>
          <t>Aprovado Caixa</t>
        </is>
      </c>
      <c r="R1995" t="inlineStr">
        <is>
          <t>Pago</t>
        </is>
      </c>
      <c r="S1995" t="n">
        <v>115</v>
      </c>
      <c r="T1995" t="inlineStr">
        <is>
          <t>Love - Shibari - Bradesco</t>
        </is>
      </c>
    </row>
    <row r="1996">
      <c r="A1996" t="n">
        <v>128274</v>
      </c>
      <c r="B1996" t="n">
        <v>128</v>
      </c>
      <c r="C1996" t="inlineStr">
        <is>
          <t>Love Cabaret</t>
        </is>
      </c>
      <c r="D1996" t="inlineStr">
        <is>
          <t>CG FOOD´S DISTRIBUIDORA DE ALIMENTOS LTDA</t>
        </is>
      </c>
      <c r="E1996" t="n">
        <v>383.95</v>
      </c>
      <c r="F1996" s="27" t="n">
        <v>45797</v>
      </c>
      <c r="G1996" s="27" t="n">
        <v>45796</v>
      </c>
      <c r="H1996" s="27" t="n">
        <v>45796</v>
      </c>
      <c r="I1996" s="27" t="n">
        <v>45776</v>
      </c>
      <c r="J1996" s="27" t="n">
        <v>45777</v>
      </c>
      <c r="K1996" t="inlineStr">
        <is>
          <t>Boleto Bancário</t>
        </is>
      </c>
      <c r="L1996" t="inlineStr">
        <is>
          <t>Custo Mercadoria Vendida</t>
        </is>
      </c>
      <c r="M1996" t="inlineStr">
        <is>
          <t>Insumos - Alimentos</t>
        </is>
      </c>
      <c r="N1996" t="inlineStr">
        <is>
          <t>149726</t>
        </is>
      </c>
      <c r="O1996" t="inlineStr">
        <is>
          <t>Documentação Aprovada</t>
        </is>
      </c>
      <c r="P1996" t="inlineStr">
        <is>
          <t>Aprovado Diretoria</t>
        </is>
      </c>
      <c r="Q1996" t="inlineStr">
        <is>
          <t>Aprovado Caixa</t>
        </is>
      </c>
      <c r="R1996" t="inlineStr">
        <is>
          <t>Pago</t>
        </is>
      </c>
      <c r="S1996" t="n">
        <v>115</v>
      </c>
      <c r="T1996" t="inlineStr">
        <is>
          <t>Love - Shibari - Bradesco</t>
        </is>
      </c>
    </row>
    <row r="1997">
      <c r="A1997" t="n">
        <v>128259</v>
      </c>
      <c r="B1997" t="n">
        <v>128</v>
      </c>
      <c r="C1997" t="inlineStr">
        <is>
          <t>Love Cabaret</t>
        </is>
      </c>
      <c r="D1997" t="inlineStr">
        <is>
          <t>WIDE STOCK COMERCIO E DISTRIBUICAO LTDA</t>
        </is>
      </c>
      <c r="E1997" t="n">
        <v>263.7</v>
      </c>
      <c r="F1997" s="27" t="n">
        <v>45796</v>
      </c>
      <c r="G1997" s="27" t="n">
        <v>45796</v>
      </c>
      <c r="H1997" s="27" t="n">
        <v>45796</v>
      </c>
      <c r="I1997" s="27" t="n">
        <v>45775</v>
      </c>
      <c r="J1997" s="27" t="n">
        <v>45777</v>
      </c>
      <c r="K1997" t="inlineStr">
        <is>
          <t>Boleto Bancário</t>
        </is>
      </c>
      <c r="L1997" t="inlineStr">
        <is>
          <t>Utilidades</t>
        </is>
      </c>
      <c r="M1997" t="inlineStr">
        <is>
          <t>Utensilios</t>
        </is>
      </c>
      <c r="N1997" t="inlineStr">
        <is>
          <t>401675</t>
        </is>
      </c>
      <c r="O1997" t="inlineStr">
        <is>
          <t>Documentação Aprovada</t>
        </is>
      </c>
      <c r="P1997" t="inlineStr">
        <is>
          <t>Aprovado Diretoria</t>
        </is>
      </c>
      <c r="Q1997" t="inlineStr">
        <is>
          <t>Aprovado Caixa</t>
        </is>
      </c>
      <c r="R1997" t="inlineStr">
        <is>
          <t>Pago</t>
        </is>
      </c>
      <c r="S1997" t="n">
        <v>115</v>
      </c>
      <c r="T1997" t="inlineStr">
        <is>
          <t>Love - Shibari - Bradesco</t>
        </is>
      </c>
    </row>
    <row r="1998">
      <c r="A1998" t="n">
        <v>131577</v>
      </c>
      <c r="B1998" t="n">
        <v>128</v>
      </c>
      <c r="C1998" t="inlineStr">
        <is>
          <t>Love Cabaret</t>
        </is>
      </c>
      <c r="D1998" t="inlineStr">
        <is>
          <t>BRH SAUDE OCUPACIONAL LTDA</t>
        </is>
      </c>
      <c r="E1998" t="n">
        <v>28.92</v>
      </c>
      <c r="F1998" s="27" t="n">
        <v>45796</v>
      </c>
      <c r="G1998" s="27" t="n">
        <v>45796</v>
      </c>
      <c r="H1998" s="27" t="n">
        <v>45796</v>
      </c>
      <c r="I1998" s="27" t="n">
        <v>45748</v>
      </c>
      <c r="J1998" s="27" t="n">
        <v>45789</v>
      </c>
      <c r="K1998" t="inlineStr">
        <is>
          <t>Boleto Bancário</t>
        </is>
      </c>
      <c r="L1998" t="inlineStr">
        <is>
          <t>Mão de Obra - Benefícios</t>
        </is>
      </c>
      <c r="M1998" t="inlineStr">
        <is>
          <t xml:space="preserve">  -  Exames Periódicos</t>
        </is>
      </c>
      <c r="N1998" t="inlineStr">
        <is>
          <t>77488</t>
        </is>
      </c>
      <c r="O1998" t="inlineStr">
        <is>
          <t>Documentação Aprovada</t>
        </is>
      </c>
      <c r="P1998" t="inlineStr">
        <is>
          <t>Aprovado Diretoria</t>
        </is>
      </c>
      <c r="Q1998" t="inlineStr">
        <is>
          <t>Aprovado Caixa</t>
        </is>
      </c>
      <c r="R1998" t="inlineStr">
        <is>
          <t>Pago</t>
        </is>
      </c>
      <c r="S1998" t="n">
        <v>115</v>
      </c>
      <c r="T1998" t="inlineStr">
        <is>
          <t>Love - Shibari - Bradesco</t>
        </is>
      </c>
    </row>
    <row r="1999">
      <c r="A1999" t="n">
        <v>131030</v>
      </c>
      <c r="B1999" t="n">
        <v>128</v>
      </c>
      <c r="C1999" t="inlineStr">
        <is>
          <t>Love Cabaret</t>
        </is>
      </c>
      <c r="D1999" t="inlineStr">
        <is>
          <t>PIRAMIDES COMERCIO DE AGUAS MINEIRAIS E BEBIDAS EM GERAL LTDA</t>
        </is>
      </c>
      <c r="E1999" t="n">
        <v>352.24</v>
      </c>
      <c r="F1999" s="27" t="n">
        <v>45796</v>
      </c>
      <c r="G1999" s="27" t="n">
        <v>45796</v>
      </c>
      <c r="H1999" s="27" t="n">
        <v>45796</v>
      </c>
      <c r="I1999" s="27" t="n">
        <v>45782</v>
      </c>
      <c r="J1999" s="27" t="n">
        <v>45785</v>
      </c>
      <c r="K1999" t="inlineStr">
        <is>
          <t>Boleto Bancário</t>
        </is>
      </c>
      <c r="L1999" t="inlineStr">
        <is>
          <t>Custo Mercadoria Vendida</t>
        </is>
      </c>
      <c r="M1999" t="inlineStr">
        <is>
          <t>Insumos - Bebidas</t>
        </is>
      </c>
      <c r="N1999" t="inlineStr">
        <is>
          <t>96248</t>
        </is>
      </c>
      <c r="O1999" t="inlineStr">
        <is>
          <t>Documentação Aprovada</t>
        </is>
      </c>
      <c r="P1999" t="inlineStr">
        <is>
          <t>Aprovado Diretoria</t>
        </is>
      </c>
      <c r="Q1999" t="inlineStr">
        <is>
          <t>Aprovado Caixa</t>
        </is>
      </c>
      <c r="R1999" t="inlineStr">
        <is>
          <t>Pago</t>
        </is>
      </c>
      <c r="S1999" t="n">
        <v>115</v>
      </c>
      <c r="T1999" t="inlineStr">
        <is>
          <t>Love - Shibari - Bradesco</t>
        </is>
      </c>
    </row>
    <row r="2000">
      <c r="A2000" t="n">
        <v>131019</v>
      </c>
      <c r="B2000" t="n">
        <v>128</v>
      </c>
      <c r="C2000" t="inlineStr">
        <is>
          <t>Love Cabaret</t>
        </is>
      </c>
      <c r="D2000" t="inlineStr">
        <is>
          <t>HORTIFRUTIGRANJEIRO RODRIGUES LTDA</t>
        </is>
      </c>
      <c r="E2000" t="n">
        <v>229.2</v>
      </c>
      <c r="F2000" s="27" t="n">
        <v>45798</v>
      </c>
      <c r="G2000" s="27" t="n">
        <v>45796</v>
      </c>
      <c r="H2000" s="27" t="n">
        <v>45796</v>
      </c>
      <c r="I2000" s="27" t="n">
        <v>45782</v>
      </c>
      <c r="J2000" s="27" t="n">
        <v>45785</v>
      </c>
      <c r="K2000" t="inlineStr">
        <is>
          <t>Boleto Bancário</t>
        </is>
      </c>
      <c r="L2000" t="inlineStr">
        <is>
          <t>Custo Mercadoria Vendida</t>
        </is>
      </c>
      <c r="M2000" t="inlineStr">
        <is>
          <t>Insumos - Alimentos</t>
        </is>
      </c>
      <c r="N2000" t="inlineStr">
        <is>
          <t>10143</t>
        </is>
      </c>
      <c r="O2000" t="inlineStr">
        <is>
          <t>Documentação Aprovada</t>
        </is>
      </c>
      <c r="P2000" t="inlineStr">
        <is>
          <t>Aprovado Diretoria</t>
        </is>
      </c>
      <c r="Q2000" t="inlineStr">
        <is>
          <t>Aprovado Caixa</t>
        </is>
      </c>
      <c r="R2000" t="inlineStr">
        <is>
          <t>Pago</t>
        </is>
      </c>
      <c r="S2000" t="n">
        <v>115</v>
      </c>
      <c r="T2000" t="inlineStr">
        <is>
          <t>Love - Shibari - Bradesco</t>
        </is>
      </c>
    </row>
    <row r="2001">
      <c r="A2001" t="n">
        <v>131021</v>
      </c>
      <c r="B2001" t="n">
        <v>128</v>
      </c>
      <c r="C2001" t="inlineStr">
        <is>
          <t>Love Cabaret</t>
        </is>
      </c>
      <c r="D2001" t="inlineStr">
        <is>
          <t>CECILIA TSUYACO ARAKI SILVA LTDA</t>
        </is>
      </c>
      <c r="E2001" t="n">
        <v>182.3</v>
      </c>
      <c r="F2001" s="27" t="n">
        <v>45796</v>
      </c>
      <c r="G2001" s="27" t="n">
        <v>45796</v>
      </c>
      <c r="H2001" s="27" t="n">
        <v>45796</v>
      </c>
      <c r="I2001" s="27" t="n">
        <v>45782</v>
      </c>
      <c r="J2001" s="27" t="n">
        <v>45785</v>
      </c>
      <c r="K2001" t="inlineStr">
        <is>
          <t>Boleto Bancário</t>
        </is>
      </c>
      <c r="L2001" t="inlineStr">
        <is>
          <t>Custo Mercadoria Vendida</t>
        </is>
      </c>
      <c r="M2001" t="inlineStr">
        <is>
          <t>Insumos - Alimentos</t>
        </is>
      </c>
      <c r="N2001" t="inlineStr">
        <is>
          <t>370438</t>
        </is>
      </c>
      <c r="O2001" t="inlineStr">
        <is>
          <t>Documentação Aprovada</t>
        </is>
      </c>
      <c r="P2001" t="inlineStr">
        <is>
          <t>Aprovado Diretoria</t>
        </is>
      </c>
      <c r="Q2001" t="inlineStr">
        <is>
          <t>Aprovado Caixa</t>
        </is>
      </c>
      <c r="R2001" t="inlineStr">
        <is>
          <t>Pago</t>
        </is>
      </c>
      <c r="S2001" t="n">
        <v>115</v>
      </c>
      <c r="T2001" t="inlineStr">
        <is>
          <t>Love - Shibari - Bradesco</t>
        </is>
      </c>
    </row>
    <row r="2002">
      <c r="A2002" t="n">
        <v>131026</v>
      </c>
      <c r="B2002" t="n">
        <v>128</v>
      </c>
      <c r="C2002" t="inlineStr">
        <is>
          <t>Love Cabaret</t>
        </is>
      </c>
      <c r="D2002" t="inlineStr">
        <is>
          <t xml:space="preserve">LATICINIOS FIOR DITALIA LTDA </t>
        </is>
      </c>
      <c r="E2002" t="n">
        <v>326.75</v>
      </c>
      <c r="F2002" s="27" t="n">
        <v>45798</v>
      </c>
      <c r="G2002" s="27" t="n">
        <v>45796</v>
      </c>
      <c r="H2002" s="27" t="n">
        <v>45796</v>
      </c>
      <c r="I2002" s="27" t="n">
        <v>45782</v>
      </c>
      <c r="J2002" s="27" t="n">
        <v>45785</v>
      </c>
      <c r="K2002" t="inlineStr">
        <is>
          <t>Boleto Bancário</t>
        </is>
      </c>
      <c r="L2002" t="inlineStr">
        <is>
          <t>Custo Mercadoria Vendida</t>
        </is>
      </c>
      <c r="M2002" t="inlineStr">
        <is>
          <t>Insumos - Alimentos</t>
        </is>
      </c>
      <c r="N2002" t="inlineStr">
        <is>
          <t>36014</t>
        </is>
      </c>
      <c r="O2002" t="inlineStr">
        <is>
          <t>Documentação Aprovada</t>
        </is>
      </c>
      <c r="P2002" t="inlineStr">
        <is>
          <t>Aprovado Diretoria</t>
        </is>
      </c>
      <c r="Q2002" t="inlineStr">
        <is>
          <t>Aprovado Caixa</t>
        </is>
      </c>
      <c r="R2002" t="inlineStr">
        <is>
          <t>Pago</t>
        </is>
      </c>
      <c r="S2002" t="n">
        <v>115</v>
      </c>
      <c r="T2002" t="inlineStr">
        <is>
          <t>Love - Shibari - Bradesco</t>
        </is>
      </c>
    </row>
    <row r="2003">
      <c r="A2003" t="n">
        <v>131017</v>
      </c>
      <c r="B2003" t="n">
        <v>128</v>
      </c>
      <c r="C2003" t="inlineStr">
        <is>
          <t>Love Cabaret</t>
        </is>
      </c>
      <c r="D2003" t="inlineStr">
        <is>
          <t>GOMES D ELIA EQUIP. HIGIENE LTDA - WESCO</t>
        </is>
      </c>
      <c r="E2003" t="n">
        <v>355.5</v>
      </c>
      <c r="F2003" s="27" t="n">
        <v>45797</v>
      </c>
      <c r="G2003" s="27" t="n">
        <v>45796</v>
      </c>
      <c r="H2003" s="27" t="n">
        <v>45796</v>
      </c>
      <c r="I2003" s="27" t="n">
        <v>45782</v>
      </c>
      <c r="J2003" s="27" t="n">
        <v>45785</v>
      </c>
      <c r="K2003" t="inlineStr">
        <is>
          <t>Boleto Bancário</t>
        </is>
      </c>
      <c r="L2003" t="inlineStr">
        <is>
          <t>Utilidades</t>
        </is>
      </c>
      <c r="M2003" t="inlineStr">
        <is>
          <t>Higiene e Limpeza</t>
        </is>
      </c>
      <c r="N2003" t="inlineStr">
        <is>
          <t>220935</t>
        </is>
      </c>
      <c r="O2003" t="inlineStr">
        <is>
          <t>Documentação Aprovada</t>
        </is>
      </c>
      <c r="P2003" t="inlineStr">
        <is>
          <t>Aprovado Diretoria</t>
        </is>
      </c>
      <c r="Q2003" t="inlineStr">
        <is>
          <t>Aprovado Caixa</t>
        </is>
      </c>
      <c r="R2003" t="inlineStr">
        <is>
          <t>Pago</t>
        </is>
      </c>
      <c r="S2003" t="n">
        <v>115</v>
      </c>
      <c r="T2003" t="inlineStr">
        <is>
          <t>Love - Shibari - Bradesco</t>
        </is>
      </c>
    </row>
    <row r="2004">
      <c r="A2004" t="n">
        <v>131422</v>
      </c>
      <c r="B2004" t="n">
        <v>128</v>
      </c>
      <c r="C2004" t="inlineStr">
        <is>
          <t>Love Cabaret</t>
        </is>
      </c>
      <c r="D2004" t="inlineStr">
        <is>
          <t>HNK BR IND DE BEBIDAS</t>
        </is>
      </c>
      <c r="E2004" t="n">
        <v>965.85</v>
      </c>
      <c r="F2004" s="27" t="n">
        <v>45798</v>
      </c>
      <c r="G2004" s="27" t="n">
        <v>45796</v>
      </c>
      <c r="H2004" s="27" t="n">
        <v>45796</v>
      </c>
      <c r="I2004" s="27" t="n">
        <v>45783</v>
      </c>
      <c r="J2004" s="27" t="n">
        <v>45786</v>
      </c>
      <c r="K2004" t="inlineStr">
        <is>
          <t>Boleto Bancário</t>
        </is>
      </c>
      <c r="L2004" t="inlineStr">
        <is>
          <t>Custo Mercadoria Vendida</t>
        </is>
      </c>
      <c r="M2004" t="inlineStr">
        <is>
          <t>Insumos - Bebidas</t>
        </is>
      </c>
      <c r="N2004" t="inlineStr">
        <is>
          <t>244646</t>
        </is>
      </c>
      <c r="O2004" t="inlineStr">
        <is>
          <t>Documentação Aprovada</t>
        </is>
      </c>
      <c r="P2004" t="inlineStr">
        <is>
          <t>Aprovado Diretoria</t>
        </is>
      </c>
      <c r="Q2004" t="inlineStr">
        <is>
          <t>Aprovado Caixa</t>
        </is>
      </c>
      <c r="R2004" t="inlineStr">
        <is>
          <t>Pago</t>
        </is>
      </c>
      <c r="S2004" t="n">
        <v>115</v>
      </c>
      <c r="T2004" t="inlineStr">
        <is>
          <t>Love - Shibari - Bradesco</t>
        </is>
      </c>
    </row>
    <row r="2005">
      <c r="A2005" t="n">
        <v>131023</v>
      </c>
      <c r="B2005" t="n">
        <v>128</v>
      </c>
      <c r="C2005" t="inlineStr">
        <is>
          <t>Love Cabaret</t>
        </is>
      </c>
      <c r="D2005" t="inlineStr">
        <is>
          <t xml:space="preserve">FORTE ALIMENTOS COM. IMPORTAÇÃO LTDA </t>
        </is>
      </c>
      <c r="E2005" t="n">
        <v>534.5</v>
      </c>
      <c r="F2005" s="27" t="n">
        <v>45797</v>
      </c>
      <c r="G2005" s="27" t="n">
        <v>45796</v>
      </c>
      <c r="H2005" s="27" t="n">
        <v>45796</v>
      </c>
      <c r="I2005" s="27" t="n">
        <v>45782</v>
      </c>
      <c r="J2005" s="27" t="n">
        <v>45785</v>
      </c>
      <c r="K2005" t="inlineStr">
        <is>
          <t>Boleto Bancário</t>
        </is>
      </c>
      <c r="L2005" t="inlineStr">
        <is>
          <t>Custo Mercadoria Vendida</t>
        </is>
      </c>
      <c r="M2005" t="inlineStr">
        <is>
          <t>Insumos - Alimentos</t>
        </is>
      </c>
      <c r="N2005" t="inlineStr">
        <is>
          <t>310380</t>
        </is>
      </c>
      <c r="O2005" t="inlineStr">
        <is>
          <t>Documentação Aprovada</t>
        </is>
      </c>
      <c r="P2005" t="inlineStr">
        <is>
          <t>Aprovado Diretoria</t>
        </is>
      </c>
      <c r="Q2005" t="inlineStr">
        <is>
          <t>Aprovado Caixa</t>
        </is>
      </c>
      <c r="R2005" t="inlineStr">
        <is>
          <t>Pago</t>
        </is>
      </c>
      <c r="S2005" t="n">
        <v>115</v>
      </c>
      <c r="T2005" t="inlineStr">
        <is>
          <t>Love - Shibari - Bradesco</t>
        </is>
      </c>
    </row>
    <row r="2006">
      <c r="A2006" t="n">
        <v>131031</v>
      </c>
      <c r="B2006" t="n">
        <v>128</v>
      </c>
      <c r="C2006" t="inlineStr">
        <is>
          <t>Love Cabaret</t>
        </is>
      </c>
      <c r="D2006" t="inlineStr">
        <is>
          <t>PORCO FELIZ COM DE CARNES LTDA</t>
        </is>
      </c>
      <c r="E2006" t="n">
        <v>185.92</v>
      </c>
      <c r="F2006" s="27" t="n">
        <v>45797</v>
      </c>
      <c r="G2006" s="27" t="n">
        <v>45796</v>
      </c>
      <c r="H2006" s="27" t="n">
        <v>45796</v>
      </c>
      <c r="I2006" s="27" t="n">
        <v>45783</v>
      </c>
      <c r="J2006" s="27" t="n">
        <v>45785</v>
      </c>
      <c r="K2006" t="inlineStr">
        <is>
          <t>Boleto Bancário</t>
        </is>
      </c>
      <c r="L2006" t="inlineStr">
        <is>
          <t>Custo Mercadoria Vendida</t>
        </is>
      </c>
      <c r="M2006" t="inlineStr">
        <is>
          <t>Insumos - Alimentos</t>
        </is>
      </c>
      <c r="N2006" t="inlineStr">
        <is>
          <t>576296</t>
        </is>
      </c>
      <c r="O2006" t="inlineStr">
        <is>
          <t>Documentação Aprovada</t>
        </is>
      </c>
      <c r="P2006" t="inlineStr">
        <is>
          <t>Aprovado Diretoria</t>
        </is>
      </c>
      <c r="Q2006" t="inlineStr">
        <is>
          <t>Aprovado Caixa</t>
        </is>
      </c>
      <c r="R2006" t="inlineStr">
        <is>
          <t>Pago</t>
        </is>
      </c>
      <c r="S2006" t="n">
        <v>115</v>
      </c>
      <c r="T2006" t="inlineStr">
        <is>
          <t>Love - Shibari - Bradesco</t>
        </is>
      </c>
    </row>
    <row r="2007">
      <c r="A2007" t="n">
        <v>131287</v>
      </c>
      <c r="B2007" t="n">
        <v>128</v>
      </c>
      <c r="C2007" t="inlineStr">
        <is>
          <t>Love Cabaret</t>
        </is>
      </c>
      <c r="D2007" t="inlineStr">
        <is>
          <t>CEPEL COMERCIO DE PAPEIS E EMBALAGENS EIRELI</t>
        </is>
      </c>
      <c r="E2007" t="n">
        <v>296.25</v>
      </c>
      <c r="F2007" s="27" t="n">
        <v>45797</v>
      </c>
      <c r="G2007" s="27" t="n">
        <v>45796</v>
      </c>
      <c r="H2007" s="27" t="n">
        <v>45796</v>
      </c>
      <c r="I2007" s="27" t="n">
        <v>45782</v>
      </c>
      <c r="J2007" s="27" t="n">
        <v>45786</v>
      </c>
      <c r="K2007" t="inlineStr">
        <is>
          <t>Boleto Bancário</t>
        </is>
      </c>
      <c r="L2007" t="inlineStr">
        <is>
          <t>Utilidades</t>
        </is>
      </c>
      <c r="M2007" t="inlineStr">
        <is>
          <t>Higiene e Limpeza</t>
        </is>
      </c>
      <c r="N2007" t="inlineStr">
        <is>
          <t>239669</t>
        </is>
      </c>
      <c r="O2007" t="inlineStr">
        <is>
          <t>Documentação Aprovada</t>
        </is>
      </c>
      <c r="P2007" t="inlineStr">
        <is>
          <t>Aprovado Diretoria</t>
        </is>
      </c>
      <c r="Q2007" t="inlineStr">
        <is>
          <t>Aprovado Caixa</t>
        </is>
      </c>
      <c r="R2007" t="inlineStr">
        <is>
          <t>Pago</t>
        </is>
      </c>
      <c r="S2007" t="n">
        <v>115</v>
      </c>
      <c r="T2007" t="inlineStr">
        <is>
          <t>Love - Shibari - Bradesco</t>
        </is>
      </c>
    </row>
    <row r="2008">
      <c r="A2008" t="n">
        <v>131290</v>
      </c>
      <c r="B2008" t="n">
        <v>128</v>
      </c>
      <c r="C2008" t="inlineStr">
        <is>
          <t>Love Cabaret</t>
        </is>
      </c>
      <c r="D2008" t="inlineStr">
        <is>
          <t>HNK BR IND DE BEBIDAS</t>
        </is>
      </c>
      <c r="E2008" t="n">
        <v>1626.84</v>
      </c>
      <c r="F2008" s="27" t="n">
        <v>45798</v>
      </c>
      <c r="G2008" s="27" t="n">
        <v>45796</v>
      </c>
      <c r="H2008" s="27" t="n">
        <v>45796</v>
      </c>
      <c r="I2008" s="27" t="n">
        <v>45783</v>
      </c>
      <c r="J2008" s="27" t="n">
        <v>45786</v>
      </c>
      <c r="K2008" t="inlineStr">
        <is>
          <t>Boleto Bancário</t>
        </is>
      </c>
      <c r="L2008" t="inlineStr">
        <is>
          <t>Custo Mercadoria Vendida</t>
        </is>
      </c>
      <c r="M2008" t="inlineStr">
        <is>
          <t>Insumos - Bebidas</t>
        </is>
      </c>
      <c r="N2008" t="inlineStr">
        <is>
          <t>244647</t>
        </is>
      </c>
      <c r="O2008" t="inlineStr">
        <is>
          <t>Documentação Aprovada</t>
        </is>
      </c>
      <c r="P2008" t="inlineStr">
        <is>
          <t>Aprovado Diretoria</t>
        </is>
      </c>
      <c r="Q2008" t="inlineStr">
        <is>
          <t>Aprovado Caixa</t>
        </is>
      </c>
      <c r="R2008" t="inlineStr">
        <is>
          <t>Pago</t>
        </is>
      </c>
      <c r="S2008" t="n">
        <v>115</v>
      </c>
      <c r="T2008" t="inlineStr">
        <is>
          <t>Love - Shibari - Bradesco</t>
        </is>
      </c>
    </row>
    <row r="2009">
      <c r="A2009" t="n">
        <v>131040</v>
      </c>
      <c r="B2009" t="n">
        <v>128</v>
      </c>
      <c r="C2009" t="inlineStr">
        <is>
          <t>Love Cabaret</t>
        </is>
      </c>
      <c r="D2009" t="inlineStr">
        <is>
          <t>PARAMU COMERCIO E REPRESENTACAO DE PRODUTOS ALIMENTICIOS</t>
        </is>
      </c>
      <c r="E2009" t="n">
        <v>962.3099999999999</v>
      </c>
      <c r="F2009" s="27" t="n">
        <v>45796</v>
      </c>
      <c r="G2009" s="27" t="n">
        <v>45796</v>
      </c>
      <c r="H2009" s="27" t="n">
        <v>45796</v>
      </c>
      <c r="I2009" s="27" t="n">
        <v>45782</v>
      </c>
      <c r="J2009" s="27" t="n">
        <v>45785</v>
      </c>
      <c r="K2009" t="inlineStr">
        <is>
          <t>Boleto Bancário</t>
        </is>
      </c>
      <c r="L2009" t="inlineStr">
        <is>
          <t>Custo Mercadoria Vendida</t>
        </is>
      </c>
      <c r="M2009" t="inlineStr">
        <is>
          <t>Insumos - Alimentos</t>
        </is>
      </c>
      <c r="N2009" t="inlineStr">
        <is>
          <t>13765</t>
        </is>
      </c>
      <c r="O2009" t="inlineStr">
        <is>
          <t>Documentação Aprovada</t>
        </is>
      </c>
      <c r="P2009" t="inlineStr">
        <is>
          <t>Aprovado Diretoria</t>
        </is>
      </c>
      <c r="Q2009" t="inlineStr">
        <is>
          <t>Aprovado Caixa</t>
        </is>
      </c>
      <c r="R2009" t="inlineStr">
        <is>
          <t>Pago</t>
        </is>
      </c>
      <c r="S2009" t="n">
        <v>115</v>
      </c>
      <c r="T2009" t="inlineStr">
        <is>
          <t>Love - Shibari - Bradesco</t>
        </is>
      </c>
    </row>
    <row r="2010">
      <c r="A2010" t="n">
        <v>132922</v>
      </c>
      <c r="B2010" t="n">
        <v>128</v>
      </c>
      <c r="C2010" t="inlineStr">
        <is>
          <t>Love Cabaret</t>
        </is>
      </c>
      <c r="D2010" t="inlineStr">
        <is>
          <t>CAROLINE FERREIRA DA SILVA</t>
        </is>
      </c>
      <c r="E2010" t="n">
        <v>839.76</v>
      </c>
      <c r="F2010" s="27" t="n">
        <v>45797</v>
      </c>
      <c r="G2010" s="27" t="n">
        <v>45796</v>
      </c>
      <c r="H2010" s="27" t="n">
        <v>45796</v>
      </c>
      <c r="I2010" s="27" t="n">
        <v>45792</v>
      </c>
      <c r="J2010" s="27" t="n"/>
      <c r="L2010" t="inlineStr">
        <is>
          <t>Mão de Obra - Salários</t>
        </is>
      </c>
      <c r="M2010" t="inlineStr">
        <is>
          <t>MDO CLT - Salário</t>
        </is>
      </c>
      <c r="O2010" t="inlineStr">
        <is>
          <t>Documentação Aprovada</t>
        </is>
      </c>
      <c r="P2010" t="inlineStr">
        <is>
          <t>Aprovado Diretoria</t>
        </is>
      </c>
      <c r="Q2010" t="inlineStr">
        <is>
          <t>Aprovado Caixa</t>
        </is>
      </c>
      <c r="R2010" t="inlineStr">
        <is>
          <t>Pago</t>
        </is>
      </c>
      <c r="S2010" t="n">
        <v>115</v>
      </c>
      <c r="T2010" t="inlineStr">
        <is>
          <t>Love - Shibari - Bradesco</t>
        </is>
      </c>
    </row>
    <row r="2011">
      <c r="A2011" t="n">
        <v>132923</v>
      </c>
      <c r="B2011" t="n">
        <v>128</v>
      </c>
      <c r="C2011" t="inlineStr">
        <is>
          <t>Love Cabaret</t>
        </is>
      </c>
      <c r="D2011" t="inlineStr">
        <is>
          <t>PEDRO THOMAZ RODRIGUES</t>
        </is>
      </c>
      <c r="E2011" t="n">
        <v>863.83</v>
      </c>
      <c r="F2011" s="27" t="n">
        <v>45797</v>
      </c>
      <c r="G2011" s="27" t="n">
        <v>45796</v>
      </c>
      <c r="H2011" s="27" t="n">
        <v>45796</v>
      </c>
      <c r="I2011" s="27" t="n">
        <v>45792</v>
      </c>
      <c r="J2011" s="27" t="n"/>
      <c r="L2011" t="inlineStr">
        <is>
          <t>Mão de Obra - Salários</t>
        </is>
      </c>
      <c r="M2011" t="inlineStr">
        <is>
          <t>MDO CLT - Salário</t>
        </is>
      </c>
      <c r="O2011" t="inlineStr">
        <is>
          <t>Documentação Aprovada</t>
        </is>
      </c>
      <c r="P2011" t="inlineStr">
        <is>
          <t>Aprovado Diretoria</t>
        </is>
      </c>
      <c r="Q2011" t="inlineStr">
        <is>
          <t>Aprovado Caixa</t>
        </is>
      </c>
      <c r="R2011" t="inlineStr">
        <is>
          <t>Pago</t>
        </is>
      </c>
      <c r="S2011" t="n">
        <v>115</v>
      </c>
      <c r="T2011" t="inlineStr">
        <is>
          <t>Love - Shibari - Bradesco</t>
        </is>
      </c>
    </row>
    <row r="2012">
      <c r="A2012" t="n">
        <v>102794</v>
      </c>
      <c r="B2012" t="n">
        <v>128</v>
      </c>
      <c r="C2012" t="inlineStr">
        <is>
          <t>Love Cabaret</t>
        </is>
      </c>
      <c r="D2012" t="inlineStr">
        <is>
          <t>FABRICA DE BARES PARTICIPACOES LTDA</t>
        </is>
      </c>
      <c r="E2012" t="n">
        <v>100</v>
      </c>
      <c r="F2012" s="27" t="n">
        <v>45797</v>
      </c>
      <c r="G2012" s="27" t="n">
        <v>45796</v>
      </c>
      <c r="H2012" s="27" t="n">
        <v>45796</v>
      </c>
      <c r="I2012" s="27" t="n">
        <v>45748</v>
      </c>
      <c r="J2012" s="27" t="n"/>
      <c r="K2012" t="inlineStr">
        <is>
          <t>Transferência Bancária ou Pix</t>
        </is>
      </c>
      <c r="L2012" t="inlineStr">
        <is>
          <t>Serviços de Terceiros</t>
        </is>
      </c>
      <c r="M2012" t="inlineStr">
        <is>
          <t>Assessoria RH</t>
        </is>
      </c>
      <c r="N2012" t="inlineStr">
        <is>
          <t>RP045-2025</t>
        </is>
      </c>
      <c r="O2012" t="inlineStr">
        <is>
          <t>Documentação Aprovada</t>
        </is>
      </c>
      <c r="P2012" t="inlineStr">
        <is>
          <t>Aprovado Diretoria</t>
        </is>
      </c>
      <c r="Q2012" t="inlineStr">
        <is>
          <t>Aprovado Caixa</t>
        </is>
      </c>
      <c r="R2012" t="inlineStr">
        <is>
          <t>Pago</t>
        </is>
      </c>
      <c r="S2012" t="n">
        <v>115</v>
      </c>
      <c r="T2012" t="inlineStr">
        <is>
          <t>Love - Shibari - Bradesco</t>
        </is>
      </c>
    </row>
    <row r="2013">
      <c r="A2013" t="n">
        <v>102817</v>
      </c>
      <c r="B2013" t="n">
        <v>128</v>
      </c>
      <c r="C2013" t="inlineStr">
        <is>
          <t>Love Cabaret</t>
        </is>
      </c>
      <c r="D2013" t="inlineStr">
        <is>
          <t>GOMES D ELIA EQUIP. HIGIENE LTDA - WESCO</t>
        </is>
      </c>
      <c r="E2013" t="n">
        <v>515</v>
      </c>
      <c r="F2013" s="27" t="n">
        <v>45797</v>
      </c>
      <c r="G2013" s="27" t="n">
        <v>45796</v>
      </c>
      <c r="H2013" s="27" t="n">
        <v>45796</v>
      </c>
      <c r="I2013" s="27" t="n">
        <v>45778</v>
      </c>
      <c r="J2013" s="27" t="n"/>
      <c r="K2013" t="inlineStr">
        <is>
          <t>Boleto Bancário</t>
        </is>
      </c>
      <c r="L2013" t="inlineStr">
        <is>
          <t>Utilidades</t>
        </is>
      </c>
      <c r="M2013" t="inlineStr">
        <is>
          <t>Higiene e Limpeza</t>
        </is>
      </c>
      <c r="N2013" t="inlineStr">
        <is>
          <t>177382</t>
        </is>
      </c>
      <c r="O2013" t="inlineStr">
        <is>
          <t>Documentação Aprovada</t>
        </is>
      </c>
      <c r="P2013" t="inlineStr">
        <is>
          <t>Aprovado Diretoria</t>
        </is>
      </c>
      <c r="Q2013" t="inlineStr">
        <is>
          <t>Aprovado Caixa</t>
        </is>
      </c>
      <c r="R2013" t="inlineStr">
        <is>
          <t>Pago</t>
        </is>
      </c>
      <c r="S2013" t="n">
        <v>115</v>
      </c>
      <c r="T2013" t="inlineStr">
        <is>
          <t>Love - Shibari - Bradesco</t>
        </is>
      </c>
    </row>
    <row r="2014">
      <c r="A2014" t="n">
        <v>102775</v>
      </c>
      <c r="B2014" t="n">
        <v>128</v>
      </c>
      <c r="C2014" t="inlineStr">
        <is>
          <t>Love Cabaret</t>
        </is>
      </c>
      <c r="D2014" t="inlineStr">
        <is>
          <t>FABRICA DE BARES PARTICIPACOES LTDA</t>
        </is>
      </c>
      <c r="E2014" t="n">
        <v>7169.59</v>
      </c>
      <c r="F2014" s="27" t="n">
        <v>45797</v>
      </c>
      <c r="G2014" s="27" t="n">
        <v>45796</v>
      </c>
      <c r="H2014" s="27" t="n">
        <v>45796</v>
      </c>
      <c r="I2014" s="27" t="n">
        <v>45777</v>
      </c>
      <c r="J2014" s="27" t="n"/>
      <c r="K2014" t="inlineStr">
        <is>
          <t>Transferência Bancária ou Pix</t>
        </is>
      </c>
      <c r="L2014" t="inlineStr">
        <is>
          <t>Mão de Obra - Benefícios</t>
        </is>
      </c>
      <c r="M2014" t="inlineStr">
        <is>
          <t xml:space="preserve">  -  Alimentação Funcionário</t>
        </is>
      </c>
      <c r="N2014" t="inlineStr">
        <is>
          <t>24</t>
        </is>
      </c>
      <c r="O2014" t="inlineStr">
        <is>
          <t>Documentação Aprovada</t>
        </is>
      </c>
      <c r="P2014" t="inlineStr">
        <is>
          <t>Aprovado Diretoria</t>
        </is>
      </c>
      <c r="Q2014" t="inlineStr">
        <is>
          <t>Aprovado Caixa</t>
        </is>
      </c>
      <c r="R2014" t="inlineStr">
        <is>
          <t>Pago</t>
        </is>
      </c>
      <c r="S2014" t="n">
        <v>115</v>
      </c>
      <c r="T2014" t="inlineStr">
        <is>
          <t>Love - Shibari - Bradesco</t>
        </is>
      </c>
    </row>
    <row r="2015">
      <c r="A2015" t="n">
        <v>97484</v>
      </c>
      <c r="B2015" t="n">
        <v>128</v>
      </c>
      <c r="C2015" t="inlineStr">
        <is>
          <t>Love Cabaret</t>
        </is>
      </c>
      <c r="D2015" t="inlineStr">
        <is>
          <t>IRRF</t>
        </is>
      </c>
      <c r="E2015" t="n">
        <v>165.22</v>
      </c>
      <c r="F2015" s="27" t="n">
        <v>45797</v>
      </c>
      <c r="G2015" s="27" t="n">
        <v>45796</v>
      </c>
      <c r="H2015" s="27" t="n">
        <v>45796</v>
      </c>
      <c r="I2015" s="27" t="n">
        <v>45777</v>
      </c>
      <c r="J2015" s="27" t="n"/>
      <c r="K2015" t="inlineStr">
        <is>
          <t>Boleto Bancário</t>
        </is>
      </c>
      <c r="L2015" t="inlineStr">
        <is>
          <t>Serviços de Terceiros</t>
        </is>
      </c>
      <c r="M2015" t="inlineStr">
        <is>
          <t>Serviços de Segurança</t>
        </is>
      </c>
      <c r="N2015" t="inlineStr">
        <is>
          <t>042025</t>
        </is>
      </c>
      <c r="O2015" t="inlineStr">
        <is>
          <t>Documentação Aprovada</t>
        </is>
      </c>
      <c r="P2015" t="inlineStr">
        <is>
          <t>Aprovado Diretoria</t>
        </is>
      </c>
      <c r="Q2015" t="inlineStr">
        <is>
          <t>Aprovado Caixa</t>
        </is>
      </c>
      <c r="R2015" t="inlineStr">
        <is>
          <t>Pago</t>
        </is>
      </c>
      <c r="S2015" t="n">
        <v>115</v>
      </c>
      <c r="T2015" t="inlineStr">
        <is>
          <t>Love - Shibari - Bradesco</t>
        </is>
      </c>
    </row>
    <row r="2016">
      <c r="A2016" t="n">
        <v>97468</v>
      </c>
      <c r="B2016" t="n">
        <v>128</v>
      </c>
      <c r="C2016" t="inlineStr">
        <is>
          <t>Love Cabaret</t>
        </is>
      </c>
      <c r="D2016" t="inlineStr">
        <is>
          <t>ICMS</t>
        </is>
      </c>
      <c r="E2016" t="n">
        <v>10342.14</v>
      </c>
      <c r="F2016" s="27" t="n">
        <v>45797</v>
      </c>
      <c r="G2016" s="27" t="n">
        <v>45796</v>
      </c>
      <c r="H2016" s="27" t="n">
        <v>45796</v>
      </c>
      <c r="I2016" s="27" t="n">
        <v>45777</v>
      </c>
      <c r="J2016" s="27" t="n"/>
      <c r="K2016" t="inlineStr">
        <is>
          <t>Boleto Bancário</t>
        </is>
      </c>
      <c r="L2016" t="inlineStr">
        <is>
          <t>Impostos sobre Venda</t>
        </is>
      </c>
      <c r="M2016" t="inlineStr">
        <is>
          <t>ICMS</t>
        </is>
      </c>
      <c r="N2016" t="inlineStr">
        <is>
          <t>042025</t>
        </is>
      </c>
      <c r="O2016" t="inlineStr">
        <is>
          <t>Documentação Aprovada</t>
        </is>
      </c>
      <c r="P2016" t="inlineStr">
        <is>
          <t>Aprovado Diretoria</t>
        </is>
      </c>
      <c r="Q2016" t="inlineStr">
        <is>
          <t>Aprovado Caixa</t>
        </is>
      </c>
      <c r="R2016" t="inlineStr">
        <is>
          <t>Pago</t>
        </is>
      </c>
      <c r="S2016" t="n">
        <v>115</v>
      </c>
      <c r="T2016" t="inlineStr">
        <is>
          <t>Love - Shibari - Bradesco</t>
        </is>
      </c>
    </row>
    <row r="2017">
      <c r="A2017" t="n">
        <v>97439</v>
      </c>
      <c r="B2017" t="n">
        <v>128</v>
      </c>
      <c r="C2017" t="inlineStr">
        <is>
          <t>Love Cabaret</t>
        </is>
      </c>
      <c r="D2017" t="inlineStr">
        <is>
          <t xml:space="preserve">MINISTERIO DA FAZENDA </t>
        </is>
      </c>
      <c r="E2017" t="n">
        <v>699.51</v>
      </c>
      <c r="F2017" s="27" t="n">
        <v>45797</v>
      </c>
      <c r="G2017" s="27" t="n">
        <v>45796</v>
      </c>
      <c r="H2017" s="27" t="n">
        <v>45796</v>
      </c>
      <c r="I2017" s="27" t="n">
        <v>45777</v>
      </c>
      <c r="J2017" s="27" t="n"/>
      <c r="K2017" t="inlineStr">
        <is>
          <t>Boleto Bancário</t>
        </is>
      </c>
      <c r="L2017" t="inlineStr">
        <is>
          <t>Serviços de Terceiros</t>
        </is>
      </c>
      <c r="M2017" t="inlineStr">
        <is>
          <t>Serviços de Segurança</t>
        </is>
      </c>
      <c r="N2017" t="inlineStr">
        <is>
          <t>042025</t>
        </is>
      </c>
      <c r="O2017" t="inlineStr">
        <is>
          <t>Documentação Aprovada</t>
        </is>
      </c>
      <c r="P2017" t="inlineStr">
        <is>
          <t>Aprovado Diretoria</t>
        </is>
      </c>
      <c r="Q2017" t="inlineStr">
        <is>
          <t>Aprovado Caixa</t>
        </is>
      </c>
      <c r="R2017" t="inlineStr">
        <is>
          <t>Pago</t>
        </is>
      </c>
      <c r="S2017" t="n">
        <v>115</v>
      </c>
      <c r="T2017" t="inlineStr">
        <is>
          <t>Love - Shibari - Bradesco</t>
        </is>
      </c>
    </row>
    <row r="2018">
      <c r="A2018" t="n">
        <v>97456</v>
      </c>
      <c r="B2018" t="n">
        <v>128</v>
      </c>
      <c r="C2018" t="inlineStr">
        <is>
          <t>Love Cabaret</t>
        </is>
      </c>
      <c r="D2018" t="inlineStr">
        <is>
          <t>INSS</t>
        </is>
      </c>
      <c r="E2018" t="n">
        <v>1309</v>
      </c>
      <c r="F2018" s="27" t="n">
        <v>45797</v>
      </c>
      <c r="G2018" s="27" t="n">
        <v>45796</v>
      </c>
      <c r="H2018" s="27" t="n">
        <v>45796</v>
      </c>
      <c r="I2018" s="27" t="n">
        <v>45766</v>
      </c>
      <c r="J2018" s="27" t="n"/>
      <c r="K2018" t="inlineStr">
        <is>
          <t>Boleto Bancário</t>
        </is>
      </c>
      <c r="L2018" t="inlineStr">
        <is>
          <t>Serviços de Terceiros</t>
        </is>
      </c>
      <c r="M2018" t="inlineStr">
        <is>
          <t>Serviços de Segurança</t>
        </is>
      </c>
      <c r="N2018" t="inlineStr">
        <is>
          <t>042025</t>
        </is>
      </c>
      <c r="O2018" t="inlineStr">
        <is>
          <t>Documentação Aprovada</t>
        </is>
      </c>
      <c r="P2018" t="inlineStr">
        <is>
          <t>Aprovado Diretoria</t>
        </is>
      </c>
      <c r="Q2018" t="inlineStr">
        <is>
          <t>Aprovado Caixa</t>
        </is>
      </c>
      <c r="R2018" t="inlineStr">
        <is>
          <t>Pago</t>
        </is>
      </c>
      <c r="S2018" t="n">
        <v>115</v>
      </c>
      <c r="T2018" t="inlineStr">
        <is>
          <t>Love - Shibari - Bradesco</t>
        </is>
      </c>
    </row>
    <row r="2019">
      <c r="A2019" t="n">
        <v>96936</v>
      </c>
      <c r="B2019" t="n">
        <v>128</v>
      </c>
      <c r="C2019" t="inlineStr">
        <is>
          <t>Love Cabaret</t>
        </is>
      </c>
      <c r="D2019" t="inlineStr">
        <is>
          <t>CIA DE SANEAMENTO BASICO DO ESTADO DE SAO PAULO SABESP</t>
        </is>
      </c>
      <c r="E2019" t="n">
        <v>153.96</v>
      </c>
      <c r="F2019" s="27" t="n">
        <v>45797</v>
      </c>
      <c r="G2019" s="27" t="n">
        <v>45796</v>
      </c>
      <c r="H2019" s="27" t="n">
        <v>45796</v>
      </c>
      <c r="I2019" s="27" t="n">
        <v>45760</v>
      </c>
      <c r="J2019" s="27" t="n"/>
      <c r="K2019" t="inlineStr">
        <is>
          <t>Boleto Bancário</t>
        </is>
      </c>
      <c r="L2019" t="inlineStr">
        <is>
          <t>Utilidades</t>
        </is>
      </c>
      <c r="M2019" t="inlineStr">
        <is>
          <t>Agua/Esgoto</t>
        </is>
      </c>
      <c r="N2019" t="inlineStr">
        <is>
          <t xml:space="preserve">202538386427 </t>
        </is>
      </c>
      <c r="O2019" t="inlineStr">
        <is>
          <t>Documentação Aprovada</t>
        </is>
      </c>
      <c r="P2019" t="inlineStr">
        <is>
          <t>Aprovado Diretoria</t>
        </is>
      </c>
      <c r="Q2019" t="inlineStr">
        <is>
          <t>Aprovado Caixa</t>
        </is>
      </c>
      <c r="R2019" t="inlineStr">
        <is>
          <t>Pago</t>
        </is>
      </c>
      <c r="S2019" t="n">
        <v>115</v>
      </c>
      <c r="T2019" t="inlineStr">
        <is>
          <t>Love - Shibari - Bradesco</t>
        </is>
      </c>
    </row>
    <row r="2020">
      <c r="A2020" t="n">
        <v>133141</v>
      </c>
      <c r="B2020" t="n">
        <v>128</v>
      </c>
      <c r="C2020" t="inlineStr">
        <is>
          <t>Love Cabaret</t>
        </is>
      </c>
      <c r="D2020" t="inlineStr">
        <is>
          <t>BRADESCO SA</t>
        </is>
      </c>
      <c r="E2020" t="n">
        <v>19.6</v>
      </c>
      <c r="F2020" s="27" t="n">
        <v>45793</v>
      </c>
      <c r="G2020" s="27" t="n"/>
      <c r="H2020" s="27" t="n">
        <v>45793</v>
      </c>
      <c r="I2020" s="27" t="n">
        <v>45793</v>
      </c>
      <c r="J2020" s="27" t="n">
        <v>45796</v>
      </c>
      <c r="K2020" t="inlineStr">
        <is>
          <t>Encontro de Contas</t>
        </is>
      </c>
      <c r="L2020" t="inlineStr">
        <is>
          <t>Despesas Financeiras</t>
        </is>
      </c>
      <c r="M2020" t="inlineStr">
        <is>
          <t>Tarifas Bancárias</t>
        </is>
      </c>
      <c r="N2020" t="inlineStr">
        <is>
          <t>052025</t>
        </is>
      </c>
      <c r="P2020" t="inlineStr">
        <is>
          <t>Aprovado Diretoria</t>
        </is>
      </c>
      <c r="R2020" t="inlineStr">
        <is>
          <t>Pago</t>
        </is>
      </c>
    </row>
    <row r="2021">
      <c r="A2021" t="n">
        <v>132623</v>
      </c>
      <c r="B2021" t="n">
        <v>128</v>
      </c>
      <c r="C2021" t="inlineStr">
        <is>
          <t>Love Cabaret</t>
        </is>
      </c>
      <c r="D2021" t="inlineStr">
        <is>
          <t>BRADESCO SA</t>
        </is>
      </c>
      <c r="E2021" t="n">
        <v>174.52</v>
      </c>
      <c r="F2021" s="27" t="n">
        <v>45792</v>
      </c>
      <c r="G2021" s="27" t="n"/>
      <c r="H2021" s="27" t="n">
        <v>45792</v>
      </c>
      <c r="I2021" s="27" t="n">
        <v>45792</v>
      </c>
      <c r="J2021" s="27" t="n">
        <v>45793</v>
      </c>
      <c r="K2021" t="inlineStr">
        <is>
          <t>Encontro de Contas</t>
        </is>
      </c>
      <c r="L2021" t="inlineStr">
        <is>
          <t>Despesas Financeiras</t>
        </is>
      </c>
      <c r="M2021" t="inlineStr">
        <is>
          <t>Tarifas Bancárias</t>
        </is>
      </c>
      <c r="N2021" t="inlineStr">
        <is>
          <t>052025</t>
        </is>
      </c>
      <c r="P2021" t="inlineStr">
        <is>
          <t>Aprovado Diretoria</t>
        </is>
      </c>
      <c r="R2021" t="inlineStr">
        <is>
          <t>Pago</t>
        </is>
      </c>
    </row>
    <row r="2022">
      <c r="A2022" t="n">
        <v>130685</v>
      </c>
      <c r="B2022" t="n">
        <v>128</v>
      </c>
      <c r="C2022" t="inlineStr">
        <is>
          <t>Love Cabaret</t>
        </is>
      </c>
      <c r="D2022" t="inlineStr">
        <is>
          <t>CIUFFI HORTIFRUTI EIRELI</t>
        </is>
      </c>
      <c r="E2022" t="n">
        <v>609.33</v>
      </c>
      <c r="F2022" s="27" t="n">
        <v>45793</v>
      </c>
      <c r="G2022" s="27" t="n">
        <v>45791</v>
      </c>
      <c r="H2022" s="27" t="n">
        <v>45791</v>
      </c>
      <c r="I2022" s="27" t="n">
        <v>45779</v>
      </c>
      <c r="J2022" s="27" t="n">
        <v>45784</v>
      </c>
      <c r="K2022" t="inlineStr">
        <is>
          <t>Boleto Bancário</t>
        </is>
      </c>
      <c r="L2022" t="inlineStr">
        <is>
          <t>Custo Mercadoria Vendida</t>
        </is>
      </c>
      <c r="M2022" t="inlineStr">
        <is>
          <t>Insumos - Alimentos</t>
        </is>
      </c>
      <c r="N2022" t="inlineStr">
        <is>
          <t>22700</t>
        </is>
      </c>
      <c r="O2022" t="inlineStr">
        <is>
          <t>Documentação Aprovada</t>
        </is>
      </c>
      <c r="P2022" t="inlineStr">
        <is>
          <t>Aprovado Diretoria</t>
        </is>
      </c>
      <c r="Q2022" t="inlineStr">
        <is>
          <t>Aprovado Caixa</t>
        </is>
      </c>
      <c r="R2022" t="inlineStr">
        <is>
          <t>Pago</t>
        </is>
      </c>
      <c r="S2022" t="n">
        <v>115</v>
      </c>
      <c r="T2022" t="inlineStr">
        <is>
          <t>Love - Shibari - Bradesco</t>
        </is>
      </c>
    </row>
    <row r="2023">
      <c r="A2023" t="n">
        <v>131421</v>
      </c>
      <c r="B2023" t="n">
        <v>128</v>
      </c>
      <c r="C2023" t="inlineStr">
        <is>
          <t>Love Cabaret</t>
        </is>
      </c>
      <c r="D2023" t="inlineStr">
        <is>
          <t>CHOOP FAST DISTRIBUIDORA DE BEBIDAS LTDA</t>
        </is>
      </c>
      <c r="E2023" t="n">
        <v>955.2</v>
      </c>
      <c r="F2023" s="27" t="n">
        <v>45795</v>
      </c>
      <c r="G2023" s="27" t="n">
        <v>45791</v>
      </c>
      <c r="H2023" s="27" t="n">
        <v>45791</v>
      </c>
      <c r="I2023" s="27" t="n">
        <v>45779</v>
      </c>
      <c r="J2023" s="27" t="n">
        <v>45786</v>
      </c>
      <c r="K2023" t="inlineStr">
        <is>
          <t>Boleto Bancário</t>
        </is>
      </c>
      <c r="L2023" t="inlineStr">
        <is>
          <t>Custo Mercadoria Vendida</t>
        </is>
      </c>
      <c r="M2023" t="inlineStr">
        <is>
          <t>Insumos - Bebidas</t>
        </is>
      </c>
      <c r="N2023" t="inlineStr">
        <is>
          <t>19557</t>
        </is>
      </c>
      <c r="O2023" t="inlineStr">
        <is>
          <t>Documentação Aprovada</t>
        </is>
      </c>
      <c r="P2023" t="inlineStr">
        <is>
          <t>Aprovado Diretoria</t>
        </is>
      </c>
      <c r="Q2023" t="inlineStr">
        <is>
          <t>Aprovado Caixa</t>
        </is>
      </c>
      <c r="R2023" t="inlineStr">
        <is>
          <t>Pago</t>
        </is>
      </c>
      <c r="S2023" t="n">
        <v>115</v>
      </c>
      <c r="T2023" t="inlineStr">
        <is>
          <t>Love - Shibari - Bradesco</t>
        </is>
      </c>
    </row>
    <row r="2024">
      <c r="A2024" t="n">
        <v>130688</v>
      </c>
      <c r="B2024" t="n">
        <v>128</v>
      </c>
      <c r="C2024" t="inlineStr">
        <is>
          <t>Love Cabaret</t>
        </is>
      </c>
      <c r="D2024" t="inlineStr">
        <is>
          <t>HORTIFRUTIGRANJEIRO RODRIGUES LTDA</t>
        </is>
      </c>
      <c r="E2024" t="n">
        <v>333.2</v>
      </c>
      <c r="F2024" s="27" t="n">
        <v>45794</v>
      </c>
      <c r="G2024" s="27" t="n">
        <v>45791</v>
      </c>
      <c r="H2024" s="27" t="n">
        <v>45791</v>
      </c>
      <c r="I2024" s="27" t="n">
        <v>45779</v>
      </c>
      <c r="J2024" s="27" t="n">
        <v>45784</v>
      </c>
      <c r="K2024" t="inlineStr">
        <is>
          <t>Boleto Bancário</t>
        </is>
      </c>
      <c r="L2024" t="inlineStr">
        <is>
          <t>Custo Mercadoria Vendida</t>
        </is>
      </c>
      <c r="M2024" t="inlineStr">
        <is>
          <t>Insumos - Alimentos</t>
        </is>
      </c>
      <c r="N2024" t="inlineStr">
        <is>
          <t>10094</t>
        </is>
      </c>
      <c r="O2024" t="inlineStr">
        <is>
          <t>Documentação Aprovada</t>
        </is>
      </c>
      <c r="P2024" t="inlineStr">
        <is>
          <t>Aprovado Diretoria</t>
        </is>
      </c>
      <c r="Q2024" t="inlineStr">
        <is>
          <t>Aprovado Caixa</t>
        </is>
      </c>
      <c r="R2024" t="inlineStr">
        <is>
          <t>Pago</t>
        </is>
      </c>
      <c r="S2024" t="n">
        <v>115</v>
      </c>
      <c r="T2024" t="inlineStr">
        <is>
          <t>Love - Shibari - Bradesco</t>
        </is>
      </c>
    </row>
    <row r="2025">
      <c r="A2025" t="n">
        <v>130693</v>
      </c>
      <c r="B2025" t="n">
        <v>128</v>
      </c>
      <c r="C2025" t="inlineStr">
        <is>
          <t>Love Cabaret</t>
        </is>
      </c>
      <c r="D2025" t="inlineStr">
        <is>
          <t>ICE4PROS FABRICA DE GELO LTDA</t>
        </is>
      </c>
      <c r="E2025" t="n">
        <v>494</v>
      </c>
      <c r="F2025" s="27" t="n">
        <v>45792</v>
      </c>
      <c r="G2025" s="27" t="n">
        <v>45791</v>
      </c>
      <c r="H2025" s="27" t="n">
        <v>45791</v>
      </c>
      <c r="I2025" s="27" t="n">
        <v>45782</v>
      </c>
      <c r="J2025" s="27" t="n">
        <v>45784</v>
      </c>
      <c r="K2025" t="inlineStr">
        <is>
          <t>Boleto Bancário</t>
        </is>
      </c>
      <c r="L2025" t="inlineStr">
        <is>
          <t>Custo Mercadoria Vendida</t>
        </is>
      </c>
      <c r="M2025" t="inlineStr">
        <is>
          <t>Insumos - Bebidas</t>
        </is>
      </c>
      <c r="N2025" t="inlineStr">
        <is>
          <t>78788</t>
        </is>
      </c>
      <c r="O2025" t="inlineStr">
        <is>
          <t>Documentação Aprovada</t>
        </is>
      </c>
      <c r="P2025" t="inlineStr">
        <is>
          <t>Aprovado Diretoria</t>
        </is>
      </c>
      <c r="Q2025" t="inlineStr">
        <is>
          <t>Aprovado Caixa</t>
        </is>
      </c>
      <c r="R2025" t="inlineStr">
        <is>
          <t>Pago</t>
        </is>
      </c>
      <c r="S2025" t="n">
        <v>115</v>
      </c>
      <c r="T2025" t="inlineStr">
        <is>
          <t>Love - Shibari - Bradesco</t>
        </is>
      </c>
    </row>
    <row r="2026">
      <c r="A2026" t="n">
        <v>132313</v>
      </c>
      <c r="B2026" t="n">
        <v>128</v>
      </c>
      <c r="C2026" t="inlineStr">
        <is>
          <t>Love Cabaret</t>
        </is>
      </c>
      <c r="D2026" t="inlineStr">
        <is>
          <t>BRADESCO SA</t>
        </is>
      </c>
      <c r="E2026" t="n">
        <v>32.63</v>
      </c>
      <c r="F2026" s="27" t="n">
        <v>45791</v>
      </c>
      <c r="G2026" s="27" t="n"/>
      <c r="H2026" s="27" t="n">
        <v>45791</v>
      </c>
      <c r="I2026" s="27" t="n">
        <v>45791</v>
      </c>
      <c r="J2026" s="27" t="n">
        <v>45792</v>
      </c>
      <c r="K2026" t="inlineStr">
        <is>
          <t>Encontro de Contas</t>
        </is>
      </c>
      <c r="L2026" t="inlineStr">
        <is>
          <t>Despesas Financeiras</t>
        </is>
      </c>
      <c r="M2026" t="inlineStr">
        <is>
          <t>Tarifas Bancárias</t>
        </is>
      </c>
      <c r="N2026" t="inlineStr">
        <is>
          <t>052025</t>
        </is>
      </c>
      <c r="P2026" t="inlineStr">
        <is>
          <t>Aprovado Diretoria</t>
        </is>
      </c>
      <c r="R2026" t="inlineStr">
        <is>
          <t>Pago</t>
        </is>
      </c>
    </row>
    <row r="2027">
      <c r="A2027" t="n">
        <v>128277</v>
      </c>
      <c r="B2027" t="n">
        <v>128</v>
      </c>
      <c r="C2027" t="inlineStr">
        <is>
          <t>Love Cabaret</t>
        </is>
      </c>
      <c r="D2027" t="inlineStr">
        <is>
          <t xml:space="preserve">SKY COMERCIO DE PRODUTOS ALIMENTICIOS LTDA </t>
        </is>
      </c>
      <c r="E2027" t="n">
        <v>4359.71</v>
      </c>
      <c r="F2027" s="27" t="n">
        <v>45792</v>
      </c>
      <c r="G2027" s="27" t="n">
        <v>45791</v>
      </c>
      <c r="H2027" s="27" t="n">
        <v>45791</v>
      </c>
      <c r="I2027" s="27" t="n">
        <v>45775</v>
      </c>
      <c r="J2027" s="27" t="n">
        <v>45777</v>
      </c>
      <c r="K2027" t="inlineStr">
        <is>
          <t>Boleto Bancário</t>
        </is>
      </c>
      <c r="L2027" t="inlineStr">
        <is>
          <t>Custo Mercadoria Vendida</t>
        </is>
      </c>
      <c r="M2027" t="inlineStr">
        <is>
          <t>Insumos - Bebidas</t>
        </is>
      </c>
      <c r="N2027" t="inlineStr">
        <is>
          <t>28657</t>
        </is>
      </c>
      <c r="O2027" t="inlineStr">
        <is>
          <t>Documentação Aprovada</t>
        </is>
      </c>
      <c r="P2027" t="inlineStr">
        <is>
          <t>Aprovado Diretoria</t>
        </is>
      </c>
      <c r="Q2027" t="inlineStr">
        <is>
          <t>Aprovado Caixa</t>
        </is>
      </c>
      <c r="R2027" t="inlineStr">
        <is>
          <t>Pago</t>
        </is>
      </c>
      <c r="S2027" t="n">
        <v>115</v>
      </c>
      <c r="T2027" t="inlineStr">
        <is>
          <t>Love - Shibari - Bradesco</t>
        </is>
      </c>
    </row>
    <row r="2028">
      <c r="A2028" t="n">
        <v>129373</v>
      </c>
      <c r="B2028" t="n">
        <v>128</v>
      </c>
      <c r="C2028" t="inlineStr">
        <is>
          <t>Love Cabaret</t>
        </is>
      </c>
      <c r="D2028" t="inlineStr">
        <is>
          <t xml:space="preserve">AKIRA NAWA CARVALHO LIMA </t>
        </is>
      </c>
      <c r="E2028" t="n">
        <v>4084</v>
      </c>
      <c r="F2028" s="27" t="n">
        <v>45794</v>
      </c>
      <c r="G2028" s="27" t="n">
        <v>45791</v>
      </c>
      <c r="H2028" s="27" t="n">
        <v>45791</v>
      </c>
      <c r="I2028" s="27" t="n">
        <v>45782</v>
      </c>
      <c r="J2028" s="27" t="n"/>
      <c r="K2028" t="inlineStr">
        <is>
          <t>Transferência Bancária ou Pix</t>
        </is>
      </c>
      <c r="L2028" t="inlineStr">
        <is>
          <t>Custos Artístico Geral</t>
        </is>
      </c>
      <c r="M2028" t="inlineStr">
        <is>
          <t>Cachê de Músicos e Artistas</t>
        </is>
      </c>
      <c r="N2028" t="inlineStr">
        <is>
          <t>052025</t>
        </is>
      </c>
      <c r="O2028" t="inlineStr">
        <is>
          <t>Documentação Aprovada</t>
        </is>
      </c>
      <c r="P2028" t="inlineStr">
        <is>
          <t>Aprovado Diretoria</t>
        </is>
      </c>
      <c r="Q2028" t="inlineStr">
        <is>
          <t>Aprovado Caixa</t>
        </is>
      </c>
      <c r="R2028" t="inlineStr">
        <is>
          <t>Pago</t>
        </is>
      </c>
      <c r="S2028" t="n">
        <v>115</v>
      </c>
      <c r="T2028" t="inlineStr">
        <is>
          <t>Love - Shibari - Bradesco</t>
        </is>
      </c>
    </row>
    <row r="2029">
      <c r="A2029" t="n">
        <v>129408</v>
      </c>
      <c r="B2029" t="n">
        <v>128</v>
      </c>
      <c r="C2029" t="inlineStr">
        <is>
          <t>Love Cabaret</t>
        </is>
      </c>
      <c r="D2029" t="inlineStr">
        <is>
          <t>JOSE CASSIO PREVEDEL SISTEMAS ME</t>
        </is>
      </c>
      <c r="E2029" t="n">
        <v>400</v>
      </c>
      <c r="F2029" s="27" t="n">
        <v>45792</v>
      </c>
      <c r="G2029" s="27" t="n">
        <v>45791</v>
      </c>
      <c r="H2029" s="27" t="n">
        <v>45791</v>
      </c>
      <c r="I2029" s="27" t="n">
        <v>45778</v>
      </c>
      <c r="J2029" s="27" t="n">
        <v>45783</v>
      </c>
      <c r="K2029" t="inlineStr">
        <is>
          <t>Boleto Bancário</t>
        </is>
      </c>
      <c r="L2029" t="inlineStr">
        <is>
          <t>Locação de Equipamentos</t>
        </is>
      </c>
      <c r="M2029" t="inlineStr">
        <is>
          <t>Locações de Equipamentos - Operacionais</t>
        </is>
      </c>
      <c r="N2029" t="inlineStr">
        <is>
          <t>18906</t>
        </is>
      </c>
      <c r="O2029" t="inlineStr">
        <is>
          <t>Documentação Aprovada</t>
        </is>
      </c>
      <c r="P2029" t="inlineStr">
        <is>
          <t>Aprovado Diretoria</t>
        </is>
      </c>
      <c r="Q2029" t="inlineStr">
        <is>
          <t>Aprovado Caixa</t>
        </is>
      </c>
      <c r="R2029" t="inlineStr">
        <is>
          <t>Pago</t>
        </is>
      </c>
      <c r="S2029" t="n">
        <v>115</v>
      </c>
      <c r="T2029" t="inlineStr">
        <is>
          <t>Love - Shibari - Bradesco</t>
        </is>
      </c>
    </row>
    <row r="2030">
      <c r="A2030" t="n">
        <v>127746</v>
      </c>
      <c r="B2030" t="n">
        <v>128</v>
      </c>
      <c r="C2030" t="inlineStr">
        <is>
          <t>Love Cabaret</t>
        </is>
      </c>
      <c r="D2030" t="inlineStr">
        <is>
          <t>HORTICLEAN DISTRIBUIDORA DE HORTIFRUTI LTDA</t>
        </is>
      </c>
      <c r="E2030" t="n">
        <v>475.45</v>
      </c>
      <c r="F2030" s="27" t="n">
        <v>45792</v>
      </c>
      <c r="G2030" s="27" t="n">
        <v>45791</v>
      </c>
      <c r="H2030" s="27" t="n">
        <v>45791</v>
      </c>
      <c r="I2030" s="27" t="n">
        <v>45763</v>
      </c>
      <c r="J2030" s="27" t="n">
        <v>45776</v>
      </c>
      <c r="K2030" t="inlineStr">
        <is>
          <t>Boleto Bancário</t>
        </is>
      </c>
      <c r="L2030" t="inlineStr">
        <is>
          <t>Custo Mercadoria Vendida</t>
        </is>
      </c>
      <c r="M2030" t="inlineStr">
        <is>
          <t>Insumos - Alimentos</t>
        </is>
      </c>
      <c r="N2030" t="inlineStr">
        <is>
          <t>26457</t>
        </is>
      </c>
      <c r="O2030" t="inlineStr">
        <is>
          <t>Documentação Aprovada</t>
        </is>
      </c>
      <c r="P2030" t="inlineStr">
        <is>
          <t>Aprovado Diretoria</t>
        </is>
      </c>
      <c r="Q2030" t="inlineStr">
        <is>
          <t>Aprovado Caixa</t>
        </is>
      </c>
      <c r="R2030" t="inlineStr">
        <is>
          <t>Pago</t>
        </is>
      </c>
      <c r="S2030" t="n">
        <v>115</v>
      </c>
      <c r="T2030" t="inlineStr">
        <is>
          <t>Love - Shibari - Bradesco</t>
        </is>
      </c>
    </row>
    <row r="2031">
      <c r="A2031" t="n">
        <v>127673</v>
      </c>
      <c r="B2031" t="n">
        <v>128</v>
      </c>
      <c r="C2031" t="inlineStr">
        <is>
          <t>Love Cabaret</t>
        </is>
      </c>
      <c r="D2031" t="inlineStr">
        <is>
          <t>WINES4U COMÉRCIO, IMPORTAÇÃO E EXPORTAÇÃO DE VINHOS LTDA</t>
        </is>
      </c>
      <c r="E2031" t="n">
        <v>1822.5</v>
      </c>
      <c r="F2031" s="27" t="n">
        <v>45793</v>
      </c>
      <c r="G2031" s="27" t="n">
        <v>45791</v>
      </c>
      <c r="H2031" s="27" t="n">
        <v>45791</v>
      </c>
      <c r="I2031" s="27" t="n">
        <v>45763</v>
      </c>
      <c r="J2031" s="27" t="n">
        <v>45775</v>
      </c>
      <c r="K2031" t="inlineStr">
        <is>
          <t>Boleto Bancário</t>
        </is>
      </c>
      <c r="L2031" t="inlineStr">
        <is>
          <t>Custo Mercadoria Vendida</t>
        </is>
      </c>
      <c r="M2031" t="inlineStr">
        <is>
          <t>Insumos - Bebidas</t>
        </is>
      </c>
      <c r="N2031" t="inlineStr">
        <is>
          <t>13531</t>
        </is>
      </c>
      <c r="O2031" t="inlineStr">
        <is>
          <t>Documentação Aprovada</t>
        </is>
      </c>
      <c r="P2031" t="inlineStr">
        <is>
          <t>Aprovado Diretoria</t>
        </is>
      </c>
      <c r="Q2031" t="inlineStr">
        <is>
          <t>Aprovado Caixa</t>
        </is>
      </c>
      <c r="R2031" t="inlineStr">
        <is>
          <t>Pago</t>
        </is>
      </c>
      <c r="S2031" t="n">
        <v>115</v>
      </c>
      <c r="T2031" t="inlineStr">
        <is>
          <t>Love - Shibari - Bradesco</t>
        </is>
      </c>
    </row>
    <row r="2032">
      <c r="A2032" t="n">
        <v>127678</v>
      </c>
      <c r="B2032" t="n">
        <v>128</v>
      </c>
      <c r="C2032" t="inlineStr">
        <is>
          <t>Love Cabaret</t>
        </is>
      </c>
      <c r="D2032" t="inlineStr">
        <is>
          <t xml:space="preserve">EMPORIO MEL </t>
        </is>
      </c>
      <c r="E2032" t="n">
        <v>1101</v>
      </c>
      <c r="F2032" s="27" t="n">
        <v>45792</v>
      </c>
      <c r="G2032" s="27" t="n">
        <v>45791</v>
      </c>
      <c r="H2032" s="27" t="n">
        <v>45791</v>
      </c>
      <c r="I2032" s="27" t="n">
        <v>45770</v>
      </c>
      <c r="J2032" s="27" t="n">
        <v>45775</v>
      </c>
      <c r="K2032" t="inlineStr">
        <is>
          <t>Boleto Bancário</t>
        </is>
      </c>
      <c r="L2032" t="inlineStr">
        <is>
          <t>Custo Mercadoria Vendida</t>
        </is>
      </c>
      <c r="M2032" t="inlineStr">
        <is>
          <t>Insumos - Bebidas</t>
        </is>
      </c>
      <c r="N2032" t="inlineStr">
        <is>
          <t>449220</t>
        </is>
      </c>
      <c r="O2032" t="inlineStr">
        <is>
          <t>Documentação Aprovada</t>
        </is>
      </c>
      <c r="P2032" t="inlineStr">
        <is>
          <t>Aprovado Diretoria</t>
        </is>
      </c>
      <c r="Q2032" t="inlineStr">
        <is>
          <t>Aprovado Caixa</t>
        </is>
      </c>
      <c r="R2032" t="inlineStr">
        <is>
          <t>Pago</t>
        </is>
      </c>
      <c r="S2032" t="n">
        <v>115</v>
      </c>
      <c r="T2032" t="inlineStr">
        <is>
          <t>Love - Shibari - Bradesco</t>
        </is>
      </c>
    </row>
    <row r="2033">
      <c r="A2033" t="n">
        <v>127677</v>
      </c>
      <c r="B2033" t="n">
        <v>128</v>
      </c>
      <c r="C2033" t="inlineStr">
        <is>
          <t>Love Cabaret</t>
        </is>
      </c>
      <c r="D2033" t="inlineStr">
        <is>
          <t>FG7 COMERCIO E DISTRIBUICAO DE BEBIDAS LTDA</t>
        </is>
      </c>
      <c r="E2033" t="n">
        <v>481.8</v>
      </c>
      <c r="F2033" s="27" t="n">
        <v>45792</v>
      </c>
      <c r="G2033" s="27" t="n">
        <v>45791</v>
      </c>
      <c r="H2033" s="27" t="n">
        <v>45791</v>
      </c>
      <c r="I2033" s="27" t="n">
        <v>45770</v>
      </c>
      <c r="J2033" s="27" t="n">
        <v>45775</v>
      </c>
      <c r="K2033" t="inlineStr">
        <is>
          <t>Boleto Bancário</t>
        </is>
      </c>
      <c r="L2033" t="inlineStr">
        <is>
          <t>Custo Mercadoria Vendida</t>
        </is>
      </c>
      <c r="M2033" t="inlineStr">
        <is>
          <t>Insumos - Bebidas</t>
        </is>
      </c>
      <c r="N2033" t="inlineStr">
        <is>
          <t>602253</t>
        </is>
      </c>
      <c r="O2033" t="inlineStr">
        <is>
          <t>Documentação Aprovada</t>
        </is>
      </c>
      <c r="P2033" t="inlineStr">
        <is>
          <t>Aprovado Diretoria</t>
        </is>
      </c>
      <c r="Q2033" t="inlineStr">
        <is>
          <t>Aprovado Caixa</t>
        </is>
      </c>
      <c r="R2033" t="inlineStr">
        <is>
          <t>Pago</t>
        </is>
      </c>
      <c r="S2033" t="n">
        <v>115</v>
      </c>
      <c r="T2033" t="inlineStr">
        <is>
          <t>Love - Shibari - Bradesco</t>
        </is>
      </c>
    </row>
    <row r="2034">
      <c r="A2034" t="n">
        <v>127682</v>
      </c>
      <c r="B2034" t="n">
        <v>128</v>
      </c>
      <c r="C2034" t="inlineStr">
        <is>
          <t>Love Cabaret</t>
        </is>
      </c>
      <c r="D2034" t="inlineStr">
        <is>
          <t>WIDE STOCK COMERCIO E DISTRIBUICAO LTDA</t>
        </is>
      </c>
      <c r="E2034" t="n">
        <v>290.3</v>
      </c>
      <c r="F2034" s="27" t="n">
        <v>45792</v>
      </c>
      <c r="G2034" s="27" t="n">
        <v>45791</v>
      </c>
      <c r="H2034" s="27" t="n">
        <v>45791</v>
      </c>
      <c r="I2034" s="27" t="n">
        <v>45771</v>
      </c>
      <c r="J2034" s="27" t="n">
        <v>45775</v>
      </c>
      <c r="K2034" t="inlineStr">
        <is>
          <t>Boleto Bancário</t>
        </is>
      </c>
      <c r="L2034" t="inlineStr">
        <is>
          <t>Utilidades</t>
        </is>
      </c>
      <c r="M2034" t="inlineStr">
        <is>
          <t>Higiene e Limpeza</t>
        </is>
      </c>
      <c r="N2034" t="inlineStr">
        <is>
          <t>401504</t>
        </is>
      </c>
      <c r="O2034" t="inlineStr">
        <is>
          <t>Documentação Aprovada</t>
        </is>
      </c>
      <c r="P2034" t="inlineStr">
        <is>
          <t>Aprovado Diretoria</t>
        </is>
      </c>
      <c r="Q2034" t="inlineStr">
        <is>
          <t>Aprovado Caixa</t>
        </is>
      </c>
      <c r="R2034" t="inlineStr">
        <is>
          <t>Pago</t>
        </is>
      </c>
      <c r="S2034" t="n">
        <v>115</v>
      </c>
      <c r="T2034" t="inlineStr">
        <is>
          <t>Love - Shibari - Bradesco</t>
        </is>
      </c>
    </row>
    <row r="2035">
      <c r="A2035" t="n">
        <v>125982</v>
      </c>
      <c r="B2035" t="n">
        <v>128</v>
      </c>
      <c r="C2035" t="inlineStr">
        <is>
          <t>Love Cabaret</t>
        </is>
      </c>
      <c r="D2035" t="inlineStr">
        <is>
          <t xml:space="preserve">EMPORIO MEL </t>
        </is>
      </c>
      <c r="E2035" t="n">
        <v>1176.16</v>
      </c>
      <c r="F2035" s="27" t="n">
        <v>45792</v>
      </c>
      <c r="G2035" s="27" t="n">
        <v>45791</v>
      </c>
      <c r="H2035" s="27" t="n">
        <v>45791</v>
      </c>
      <c r="I2035" s="27" t="n">
        <v>45761</v>
      </c>
      <c r="J2035" s="27" t="n">
        <v>45763</v>
      </c>
      <c r="K2035" t="inlineStr">
        <is>
          <t>Boleto Bancário</t>
        </is>
      </c>
      <c r="L2035" t="inlineStr">
        <is>
          <t>Custo Mercadoria Vendida</t>
        </is>
      </c>
      <c r="M2035" t="inlineStr">
        <is>
          <t>Insumos - Alimentos</t>
        </is>
      </c>
      <c r="N2035" t="inlineStr">
        <is>
          <t>448088</t>
        </is>
      </c>
      <c r="O2035" t="inlineStr">
        <is>
          <t>Documentação Aprovada</t>
        </is>
      </c>
      <c r="P2035" t="inlineStr">
        <is>
          <t>Aprovado Diretoria</t>
        </is>
      </c>
      <c r="Q2035" t="inlineStr">
        <is>
          <t>Aprovado Caixa</t>
        </is>
      </c>
      <c r="R2035" t="inlineStr">
        <is>
          <t>Pago</t>
        </is>
      </c>
      <c r="S2035" t="n">
        <v>115</v>
      </c>
      <c r="T2035" t="inlineStr">
        <is>
          <t>Love - Shibari - Bradesco</t>
        </is>
      </c>
    </row>
    <row r="2036">
      <c r="A2036" t="n">
        <v>97100</v>
      </c>
      <c r="B2036" t="n">
        <v>128</v>
      </c>
      <c r="C2036" t="inlineStr">
        <is>
          <t>Love Cabaret</t>
        </is>
      </c>
      <c r="D2036" t="inlineStr">
        <is>
          <t>ESTAFF SOLUCOES TECNOLOGICAS DE AGENCIAMENTO LTDA</t>
        </is>
      </c>
      <c r="E2036" t="n">
        <v>13898.5</v>
      </c>
      <c r="F2036" s="27" t="n">
        <v>45791</v>
      </c>
      <c r="G2036" s="27" t="n">
        <v>45791</v>
      </c>
      <c r="H2036" s="27" t="n">
        <v>45791</v>
      </c>
      <c r="I2036" s="27" t="n">
        <v>45782</v>
      </c>
      <c r="J2036" s="27" t="n"/>
      <c r="K2036" t="inlineStr">
        <is>
          <t>Boleto Bancário</t>
        </is>
      </c>
      <c r="L2036" t="inlineStr">
        <is>
          <t>Mão de Obra - Extra</t>
        </is>
      </c>
      <c r="M2036" t="inlineStr">
        <is>
          <t>Mão de Obra Extra</t>
        </is>
      </c>
      <c r="N2036" t="inlineStr">
        <is>
          <t>563782021</t>
        </is>
      </c>
      <c r="O2036" t="inlineStr">
        <is>
          <t>Documentação Aprovada</t>
        </is>
      </c>
      <c r="P2036" t="inlineStr">
        <is>
          <t>Aprovado Diretoria</t>
        </is>
      </c>
      <c r="Q2036" t="inlineStr">
        <is>
          <t>Aprovado Caixa</t>
        </is>
      </c>
      <c r="R2036" t="inlineStr">
        <is>
          <t>Pago</t>
        </is>
      </c>
      <c r="S2036" t="n">
        <v>115</v>
      </c>
      <c r="T2036" t="inlineStr">
        <is>
          <t>Love - Shibari - Bradesco</t>
        </is>
      </c>
    </row>
    <row r="2037">
      <c r="A2037" t="n">
        <v>96949</v>
      </c>
      <c r="B2037" t="n">
        <v>128</v>
      </c>
      <c r="C2037" t="inlineStr">
        <is>
          <t>Love Cabaret</t>
        </is>
      </c>
      <c r="D2037" t="inlineStr">
        <is>
          <t>CEM ENGENHARIA DA MANUTENCAO LTDA</t>
        </is>
      </c>
      <c r="E2037" t="n">
        <v>6252.94</v>
      </c>
      <c r="F2037" s="27" t="n">
        <v>45792</v>
      </c>
      <c r="G2037" s="27" t="n">
        <v>45791</v>
      </c>
      <c r="H2037" s="27" t="n">
        <v>45791</v>
      </c>
      <c r="I2037" s="27" t="n">
        <v>45777</v>
      </c>
      <c r="J2037" s="27" t="n"/>
      <c r="K2037" t="inlineStr">
        <is>
          <t>Boleto Bancário</t>
        </is>
      </c>
      <c r="L2037" t="inlineStr">
        <is>
          <t>Manutenção</t>
        </is>
      </c>
      <c r="M2037" t="inlineStr">
        <is>
          <t>Manutenção Predial</t>
        </is>
      </c>
      <c r="N2037" t="inlineStr">
        <is>
          <t>2554</t>
        </is>
      </c>
      <c r="O2037" t="inlineStr">
        <is>
          <t>Documentação Aprovada</t>
        </is>
      </c>
      <c r="P2037" t="inlineStr">
        <is>
          <t>Aprovado Diretoria</t>
        </is>
      </c>
      <c r="Q2037" t="inlineStr">
        <is>
          <t>Aprovado Caixa</t>
        </is>
      </c>
      <c r="R2037" t="inlineStr">
        <is>
          <t>Pago</t>
        </is>
      </c>
      <c r="S2037" t="n">
        <v>115</v>
      </c>
      <c r="T2037" t="inlineStr">
        <is>
          <t>Love - Shibari - Bradesco</t>
        </is>
      </c>
    </row>
    <row r="2038">
      <c r="A2038" t="n">
        <v>102828</v>
      </c>
      <c r="B2038" t="n">
        <v>128</v>
      </c>
      <c r="C2038" t="inlineStr">
        <is>
          <t>Love Cabaret</t>
        </is>
      </c>
      <c r="D2038" t="inlineStr">
        <is>
          <t>HEADCHEF SEGURANCA DOS ALIM E GARANTIA D</t>
        </is>
      </c>
      <c r="E2038" t="n">
        <v>891.0599999999999</v>
      </c>
      <c r="F2038" s="27" t="n">
        <v>45792</v>
      </c>
      <c r="G2038" s="27" t="n">
        <v>45791</v>
      </c>
      <c r="H2038" s="27" t="n">
        <v>45791</v>
      </c>
      <c r="I2038" s="27" t="n">
        <v>45773</v>
      </c>
      <c r="J2038" s="27" t="n"/>
      <c r="K2038" t="inlineStr">
        <is>
          <t>Boleto Bancário</t>
        </is>
      </c>
      <c r="L2038" t="inlineStr">
        <is>
          <t>Serviços de Terceiros</t>
        </is>
      </c>
      <c r="M2038" t="inlineStr">
        <is>
          <t>Assessoria de Alimentos e Bebidas</t>
        </is>
      </c>
      <c r="N2038" t="inlineStr">
        <is>
          <t>1361</t>
        </is>
      </c>
      <c r="O2038" t="inlineStr">
        <is>
          <t>Documentação Aprovada</t>
        </is>
      </c>
      <c r="P2038" t="inlineStr">
        <is>
          <t>Aprovado Diretoria</t>
        </is>
      </c>
      <c r="Q2038" t="inlineStr">
        <is>
          <t>Aprovado Caixa</t>
        </is>
      </c>
      <c r="R2038" t="inlineStr">
        <is>
          <t>Pago</t>
        </is>
      </c>
      <c r="S2038" t="n">
        <v>115</v>
      </c>
      <c r="T2038" t="inlineStr">
        <is>
          <t>Love - Shibari - Bradesco</t>
        </is>
      </c>
    </row>
    <row r="2039">
      <c r="A2039" t="n">
        <v>102878</v>
      </c>
      <c r="B2039" t="n">
        <v>128</v>
      </c>
      <c r="C2039" t="inlineStr">
        <is>
          <t>Love Cabaret</t>
        </is>
      </c>
      <c r="D2039" t="inlineStr">
        <is>
          <t>MACHINE SEGURANCA PATRIMONIAL LTDA</t>
        </is>
      </c>
      <c r="E2039" t="n">
        <v>4636.95</v>
      </c>
      <c r="F2039" s="27" t="n">
        <v>45792</v>
      </c>
      <c r="G2039" s="27" t="n">
        <v>45791</v>
      </c>
      <c r="H2039" s="27" t="n">
        <v>45791</v>
      </c>
      <c r="I2039" s="27" t="n">
        <v>45777</v>
      </c>
      <c r="J2039" s="27" t="n"/>
      <c r="K2039" t="inlineStr">
        <is>
          <t>Transferência Bancária ou Pix</t>
        </is>
      </c>
      <c r="L2039" t="inlineStr">
        <is>
          <t>Serviços de Terceiros</t>
        </is>
      </c>
      <c r="M2039" t="inlineStr">
        <is>
          <t>Serviços de Segurança</t>
        </is>
      </c>
      <c r="N2039" t="inlineStr">
        <is>
          <t>624</t>
        </is>
      </c>
      <c r="O2039" t="inlineStr">
        <is>
          <t>Documentação Aprovada</t>
        </is>
      </c>
      <c r="P2039" t="inlineStr">
        <is>
          <t>Aprovado Diretoria</t>
        </is>
      </c>
      <c r="Q2039" t="inlineStr">
        <is>
          <t>Aprovado Caixa</t>
        </is>
      </c>
      <c r="R2039" t="inlineStr">
        <is>
          <t>Pago</t>
        </is>
      </c>
      <c r="S2039" t="n">
        <v>115</v>
      </c>
      <c r="T2039" t="inlineStr">
        <is>
          <t>Love - Shibari - Bradesco</t>
        </is>
      </c>
    </row>
    <row r="2040">
      <c r="A2040" t="n">
        <v>102903</v>
      </c>
      <c r="B2040" t="n">
        <v>128</v>
      </c>
      <c r="C2040" t="inlineStr">
        <is>
          <t>Love Cabaret</t>
        </is>
      </c>
      <c r="D2040" t="inlineStr">
        <is>
          <t>MACRO CONTABILIDADE E CONSULTORIA LTDA</t>
        </is>
      </c>
      <c r="E2040" t="n">
        <v>3204.47</v>
      </c>
      <c r="F2040" s="27" t="n">
        <v>45792</v>
      </c>
      <c r="G2040" s="27" t="n">
        <v>45791</v>
      </c>
      <c r="H2040" s="27" t="n">
        <v>45791</v>
      </c>
      <c r="I2040" s="27" t="n">
        <v>45780</v>
      </c>
      <c r="J2040" s="27" t="n"/>
      <c r="K2040" t="inlineStr">
        <is>
          <t>Boleto Bancário</t>
        </is>
      </c>
      <c r="L2040" t="inlineStr">
        <is>
          <t>Serviços de Terceiros</t>
        </is>
      </c>
      <c r="M2040" t="inlineStr">
        <is>
          <t>Assessoria Contabil</t>
        </is>
      </c>
      <c r="N2040" t="inlineStr">
        <is>
          <t>7769</t>
        </is>
      </c>
      <c r="O2040" t="inlineStr">
        <is>
          <t>Documentação Aprovada</t>
        </is>
      </c>
      <c r="P2040" t="inlineStr">
        <is>
          <t>Aprovado Diretoria</t>
        </is>
      </c>
      <c r="Q2040" t="inlineStr">
        <is>
          <t>Aprovado Caixa</t>
        </is>
      </c>
      <c r="R2040" t="inlineStr">
        <is>
          <t>Pago</t>
        </is>
      </c>
      <c r="S2040" t="n">
        <v>115</v>
      </c>
      <c r="T2040" t="inlineStr">
        <is>
          <t>Love - Shibari - Bradesco</t>
        </is>
      </c>
    </row>
    <row r="2041">
      <c r="A2041" t="n">
        <v>109217</v>
      </c>
      <c r="B2041" t="n">
        <v>128</v>
      </c>
      <c r="C2041" t="inlineStr">
        <is>
          <t>Love Cabaret</t>
        </is>
      </c>
      <c r="D2041" t="inlineStr">
        <is>
          <t xml:space="preserve">KAMINO INSTITUICAO DE PAGAMENTO LTDA </t>
        </is>
      </c>
      <c r="E2041" t="n">
        <v>700</v>
      </c>
      <c r="F2041" s="27" t="n">
        <v>45795</v>
      </c>
      <c r="G2041" s="27" t="n">
        <v>45791</v>
      </c>
      <c r="H2041" s="27" t="n">
        <v>45791</v>
      </c>
      <c r="I2041" s="27" t="n">
        <v>45784</v>
      </c>
      <c r="J2041" s="27" t="n"/>
      <c r="K2041" t="inlineStr">
        <is>
          <t>Boleto Bancário</t>
        </is>
      </c>
      <c r="L2041" t="inlineStr">
        <is>
          <t>Despesas Financeiras</t>
        </is>
      </c>
      <c r="M2041" t="inlineStr">
        <is>
          <t>Tarifas Bancárias</t>
        </is>
      </c>
      <c r="N2041" t="inlineStr">
        <is>
          <t>4381</t>
        </is>
      </c>
      <c r="O2041" t="inlineStr">
        <is>
          <t>Documentação Aprovada</t>
        </is>
      </c>
      <c r="P2041" t="inlineStr">
        <is>
          <t>Aprovado Diretoria</t>
        </is>
      </c>
      <c r="Q2041" t="inlineStr">
        <is>
          <t>Aprovado Caixa</t>
        </is>
      </c>
      <c r="R2041" t="inlineStr">
        <is>
          <t>Pago</t>
        </is>
      </c>
      <c r="S2041" t="n">
        <v>115</v>
      </c>
      <c r="T2041" t="inlineStr">
        <is>
          <t>Love - Shibari - Bradesco</t>
        </is>
      </c>
    </row>
    <row r="2042">
      <c r="A2042" t="n">
        <v>132310</v>
      </c>
      <c r="B2042" t="n">
        <v>128</v>
      </c>
      <c r="C2042" t="inlineStr">
        <is>
          <t>Love Cabaret</t>
        </is>
      </c>
      <c r="D2042" t="inlineStr">
        <is>
          <t>BRADESCO SA</t>
        </is>
      </c>
      <c r="E2042" t="n">
        <v>9.800000000000001</v>
      </c>
      <c r="F2042" s="27" t="n">
        <v>45790</v>
      </c>
      <c r="G2042" s="27" t="n"/>
      <c r="H2042" s="27" t="n">
        <v>45790</v>
      </c>
      <c r="I2042" s="27" t="n">
        <v>45790</v>
      </c>
      <c r="J2042" s="27" t="n">
        <v>45792</v>
      </c>
      <c r="K2042" t="inlineStr">
        <is>
          <t>Encontro de Contas</t>
        </is>
      </c>
      <c r="L2042" t="inlineStr">
        <is>
          <t>Despesas Financeiras</t>
        </is>
      </c>
      <c r="M2042" t="inlineStr">
        <is>
          <t>Tarifas Bancárias</t>
        </is>
      </c>
      <c r="N2042" t="inlineStr">
        <is>
          <t>052025</t>
        </is>
      </c>
      <c r="P2042" t="inlineStr">
        <is>
          <t>Aprovado Diretoria</t>
        </is>
      </c>
      <c r="R2042" t="inlineStr">
        <is>
          <t>Pago</t>
        </is>
      </c>
    </row>
    <row r="2043">
      <c r="A2043" t="n">
        <v>134107</v>
      </c>
      <c r="B2043" t="n">
        <v>128</v>
      </c>
      <c r="C2043" t="inlineStr">
        <is>
          <t>Love Cabaret</t>
        </is>
      </c>
      <c r="D2043" t="inlineStr">
        <is>
          <t>HNK BR IND DE BEBIDAS</t>
        </is>
      </c>
      <c r="E2043" t="n">
        <v>0</v>
      </c>
      <c r="F2043" s="27" t="n">
        <v>45790</v>
      </c>
      <c r="G2043" s="27" t="n">
        <v>45819</v>
      </c>
      <c r="H2043" s="27" t="n">
        <v>45790</v>
      </c>
      <c r="I2043" s="27" t="n">
        <v>45790</v>
      </c>
      <c r="J2043" s="27" t="n">
        <v>45800</v>
      </c>
      <c r="K2043" t="inlineStr">
        <is>
          <t xml:space="preserve">Nota Bonificada </t>
        </is>
      </c>
      <c r="L2043" t="inlineStr">
        <is>
          <t>Custo Mercadoria Vendida</t>
        </is>
      </c>
      <c r="M2043" t="inlineStr">
        <is>
          <t>Insumos - Bebidas</t>
        </is>
      </c>
      <c r="N2043" t="inlineStr">
        <is>
          <t>BONIFICADA249679</t>
        </is>
      </c>
      <c r="O2043" t="inlineStr">
        <is>
          <t>Documentação Aprovada</t>
        </is>
      </c>
      <c r="P2043" t="inlineStr">
        <is>
          <t>Aprovado Diretoria</t>
        </is>
      </c>
      <c r="Q2043" t="inlineStr">
        <is>
          <t>Aprovado Caixa</t>
        </is>
      </c>
      <c r="R2043" t="inlineStr">
        <is>
          <t>Pago</t>
        </is>
      </c>
      <c r="S2043" t="n">
        <v>182</v>
      </c>
      <c r="T2043" t="inlineStr">
        <is>
          <t>Love - Shibari - Kamino</t>
        </is>
      </c>
    </row>
    <row r="2044">
      <c r="A2044" t="n">
        <v>135491</v>
      </c>
      <c r="B2044" t="n">
        <v>128</v>
      </c>
      <c r="C2044" t="inlineStr">
        <is>
          <t>Love Cabaret</t>
        </is>
      </c>
      <c r="D2044" t="inlineStr">
        <is>
          <t>FUNCHAL INDUSTRIA E COMERCIO DE PAPEIS</t>
        </is>
      </c>
      <c r="E2044" t="n">
        <v>194.99</v>
      </c>
      <c r="F2044" s="27" t="n">
        <v>45790</v>
      </c>
      <c r="G2044" s="27" t="n">
        <v>45845</v>
      </c>
      <c r="H2044" s="27" t="n">
        <v>45790</v>
      </c>
      <c r="I2044" s="27" t="n">
        <v>45790</v>
      </c>
      <c r="J2044" s="27" t="n">
        <v>45807</v>
      </c>
      <c r="K2044" t="inlineStr">
        <is>
          <t>Transferência Bancária ou Pix</t>
        </is>
      </c>
      <c r="L2044" t="inlineStr">
        <is>
          <t>Custo Mercadoria Vendida</t>
        </is>
      </c>
      <c r="M2044" t="inlineStr">
        <is>
          <t>Insumos - Alimentos</t>
        </is>
      </c>
      <c r="N2044" t="inlineStr">
        <is>
          <t>A VISTA138057</t>
        </is>
      </c>
      <c r="O2044" t="inlineStr">
        <is>
          <t>Documentação Aprovada</t>
        </is>
      </c>
      <c r="P2044" t="inlineStr">
        <is>
          <t>Aprovado Diretoria</t>
        </is>
      </c>
      <c r="Q2044" t="inlineStr">
        <is>
          <t>Aprovado Caixa</t>
        </is>
      </c>
      <c r="R2044" t="inlineStr">
        <is>
          <t>Pago</t>
        </is>
      </c>
      <c r="S2044" t="n">
        <v>115</v>
      </c>
      <c r="T2044" t="inlineStr">
        <is>
          <t>Love - Shibari - Bradesco</t>
        </is>
      </c>
    </row>
    <row r="2045">
      <c r="A2045" t="n">
        <v>131942</v>
      </c>
      <c r="B2045" t="n">
        <v>128</v>
      </c>
      <c r="C2045" t="inlineStr">
        <is>
          <t>Love Cabaret</t>
        </is>
      </c>
      <c r="D2045" t="inlineStr">
        <is>
          <t>BRADESCO SA</t>
        </is>
      </c>
      <c r="E2045" t="n">
        <v>19.6</v>
      </c>
      <c r="F2045" s="27" t="n">
        <v>45789</v>
      </c>
      <c r="G2045" s="27" t="n"/>
      <c r="H2045" s="27" t="n">
        <v>45789</v>
      </c>
      <c r="I2045" s="27" t="n">
        <v>45789</v>
      </c>
      <c r="J2045" s="27" t="n">
        <v>45790</v>
      </c>
      <c r="K2045" t="inlineStr">
        <is>
          <t>Encontro de Contas</t>
        </is>
      </c>
      <c r="L2045" t="inlineStr">
        <is>
          <t>Despesas Financeiras</t>
        </is>
      </c>
      <c r="M2045" t="inlineStr">
        <is>
          <t>Tarifas Bancárias</t>
        </is>
      </c>
      <c r="N2045" t="inlineStr">
        <is>
          <t>052025</t>
        </is>
      </c>
      <c r="P2045" t="inlineStr">
        <is>
          <t>Aprovado Diretoria</t>
        </is>
      </c>
      <c r="R2045" t="inlineStr">
        <is>
          <t>Pago</t>
        </is>
      </c>
    </row>
    <row r="2046">
      <c r="A2046" t="n">
        <v>130695</v>
      </c>
      <c r="B2046" t="n">
        <v>128</v>
      </c>
      <c r="C2046" t="inlineStr">
        <is>
          <t>Love Cabaret</t>
        </is>
      </c>
      <c r="D2046" t="inlineStr">
        <is>
          <t>HNK BR IND DE BEBIDAS</t>
        </is>
      </c>
      <c r="E2046" t="n">
        <v>3692.57</v>
      </c>
      <c r="F2046" s="27" t="n">
        <v>45791</v>
      </c>
      <c r="G2046" s="27" t="n">
        <v>45789</v>
      </c>
      <c r="H2046" s="27" t="n">
        <v>45789</v>
      </c>
      <c r="I2046" s="27" t="n">
        <v>45776</v>
      </c>
      <c r="J2046" s="27" t="n">
        <v>45784</v>
      </c>
      <c r="K2046" t="inlineStr">
        <is>
          <t>Boleto Bancário</t>
        </is>
      </c>
      <c r="L2046" t="inlineStr">
        <is>
          <t>Custo Mercadoria Vendida</t>
        </is>
      </c>
      <c r="M2046" t="inlineStr">
        <is>
          <t>Insumos - Bebidas</t>
        </is>
      </c>
      <c r="N2046" t="inlineStr">
        <is>
          <t>241746</t>
        </is>
      </c>
      <c r="O2046" t="inlineStr">
        <is>
          <t>Documentação Aprovada</t>
        </is>
      </c>
      <c r="P2046" t="inlineStr">
        <is>
          <t>Aprovado Diretoria</t>
        </is>
      </c>
      <c r="Q2046" t="inlineStr">
        <is>
          <t>Aprovado Caixa</t>
        </is>
      </c>
      <c r="R2046" t="inlineStr">
        <is>
          <t>Pago</t>
        </is>
      </c>
      <c r="S2046" t="n">
        <v>115</v>
      </c>
      <c r="T2046" t="inlineStr">
        <is>
          <t>Love - Shibari - Bradesco</t>
        </is>
      </c>
    </row>
    <row r="2047">
      <c r="A2047" t="n">
        <v>131423</v>
      </c>
      <c r="B2047" t="n">
        <v>128</v>
      </c>
      <c r="C2047" t="inlineStr">
        <is>
          <t>Love Cabaret</t>
        </is>
      </c>
      <c r="D2047" t="inlineStr">
        <is>
          <t xml:space="preserve">FABRICIO LUMINATO ADRIANO </t>
        </is>
      </c>
      <c r="E2047" t="n">
        <v>385</v>
      </c>
      <c r="F2047" s="27" t="n">
        <v>45790</v>
      </c>
      <c r="G2047" s="27" t="n">
        <v>45789</v>
      </c>
      <c r="H2047" s="27" t="n">
        <v>45789</v>
      </c>
      <c r="I2047" s="27" t="n">
        <v>45783</v>
      </c>
      <c r="J2047" s="27" t="n">
        <v>45786</v>
      </c>
      <c r="K2047" t="inlineStr">
        <is>
          <t>Boleto Bancário</t>
        </is>
      </c>
      <c r="L2047" t="inlineStr">
        <is>
          <t>Custo Mercadoria Vendida</t>
        </is>
      </c>
      <c r="M2047" t="inlineStr">
        <is>
          <t>Insumos - Alimentos</t>
        </is>
      </c>
      <c r="N2047" t="inlineStr">
        <is>
          <t>40</t>
        </is>
      </c>
      <c r="O2047" t="inlineStr">
        <is>
          <t>Documentação Aprovada</t>
        </is>
      </c>
      <c r="P2047" t="inlineStr">
        <is>
          <t>Aprovado Diretoria</t>
        </is>
      </c>
      <c r="Q2047" t="inlineStr">
        <is>
          <t>Aprovado Caixa</t>
        </is>
      </c>
      <c r="R2047" t="inlineStr">
        <is>
          <t>Pago</t>
        </is>
      </c>
      <c r="S2047" t="n">
        <v>115</v>
      </c>
      <c r="T2047" t="inlineStr">
        <is>
          <t>Love - Shibari - Bradesco</t>
        </is>
      </c>
    </row>
    <row r="2048">
      <c r="A2048" t="n">
        <v>125926</v>
      </c>
      <c r="B2048" t="n">
        <v>128</v>
      </c>
      <c r="C2048" t="inlineStr">
        <is>
          <t>Love Cabaret</t>
        </is>
      </c>
      <c r="D2048" t="inlineStr">
        <is>
          <t>B.B DISTRIBUIDORA DE CARNES LTDA</t>
        </is>
      </c>
      <c r="E2048" t="n">
        <v>775.55</v>
      </c>
      <c r="F2048" s="27" t="n">
        <v>45789</v>
      </c>
      <c r="G2048" s="27" t="n">
        <v>45789</v>
      </c>
      <c r="H2048" s="27" t="n">
        <v>45789</v>
      </c>
      <c r="I2048" s="27" t="n">
        <v>45761</v>
      </c>
      <c r="J2048" s="27" t="n">
        <v>45763</v>
      </c>
      <c r="K2048" t="inlineStr">
        <is>
          <t>Boleto Bancário</t>
        </is>
      </c>
      <c r="L2048" t="inlineStr">
        <is>
          <t>Custo Mercadoria Vendida</t>
        </is>
      </c>
      <c r="M2048" t="inlineStr">
        <is>
          <t>Insumos - Alimentos</t>
        </is>
      </c>
      <c r="N2048" t="inlineStr">
        <is>
          <t>390818</t>
        </is>
      </c>
      <c r="O2048" t="inlineStr">
        <is>
          <t>Documentação Aprovada</t>
        </is>
      </c>
      <c r="P2048" t="inlineStr">
        <is>
          <t>Aprovado Diretoria</t>
        </is>
      </c>
      <c r="Q2048" t="inlineStr">
        <is>
          <t>Aprovado Caixa</t>
        </is>
      </c>
      <c r="R2048" t="inlineStr">
        <is>
          <t>Pago</t>
        </is>
      </c>
      <c r="S2048" t="n">
        <v>115</v>
      </c>
      <c r="T2048" t="inlineStr">
        <is>
          <t>Love - Shibari - Bradesco</t>
        </is>
      </c>
    </row>
    <row r="2049">
      <c r="A2049" t="n">
        <v>125928</v>
      </c>
      <c r="B2049" t="n">
        <v>128</v>
      </c>
      <c r="C2049" t="inlineStr">
        <is>
          <t>Love Cabaret</t>
        </is>
      </c>
      <c r="D2049" t="inlineStr">
        <is>
          <t>PROAUTO INDUSTRIA QUIMICA EIRELI</t>
        </is>
      </c>
      <c r="E2049" t="n">
        <v>382.69</v>
      </c>
      <c r="F2049" s="27" t="n">
        <v>45789</v>
      </c>
      <c r="G2049" s="27" t="n">
        <v>45789</v>
      </c>
      <c r="H2049" s="27" t="n">
        <v>45789</v>
      </c>
      <c r="I2049" s="27" t="n">
        <v>45761</v>
      </c>
      <c r="J2049" s="27" t="n">
        <v>45763</v>
      </c>
      <c r="K2049" t="inlineStr">
        <is>
          <t>Boleto Bancário</t>
        </is>
      </c>
      <c r="L2049" t="inlineStr">
        <is>
          <t>Utilidades</t>
        </is>
      </c>
      <c r="M2049" t="inlineStr">
        <is>
          <t>Higiene e Limpeza</t>
        </is>
      </c>
      <c r="N2049" t="inlineStr">
        <is>
          <t>136636</t>
        </is>
      </c>
      <c r="O2049" t="inlineStr">
        <is>
          <t>Documentação Aprovada</t>
        </is>
      </c>
      <c r="P2049" t="inlineStr">
        <is>
          <t>Aprovado Diretoria</t>
        </is>
      </c>
      <c r="Q2049" t="inlineStr">
        <is>
          <t>Aprovado Caixa</t>
        </is>
      </c>
      <c r="R2049" t="inlineStr">
        <is>
          <t>Pago</t>
        </is>
      </c>
      <c r="S2049" t="n">
        <v>115</v>
      </c>
      <c r="T2049" t="inlineStr">
        <is>
          <t>Love - Shibari - Bradesco</t>
        </is>
      </c>
    </row>
    <row r="2050">
      <c r="A2050" t="n">
        <v>130639</v>
      </c>
      <c r="B2050" t="n">
        <v>128</v>
      </c>
      <c r="C2050" t="inlineStr">
        <is>
          <t>Love Cabaret</t>
        </is>
      </c>
      <c r="D2050" t="inlineStr">
        <is>
          <t>PRINT MAXX ARTES GRAFICAS LTDA</t>
        </is>
      </c>
      <c r="E2050" t="n">
        <v>114.66</v>
      </c>
      <c r="F2050" s="27" t="n">
        <v>45782</v>
      </c>
      <c r="G2050" s="27" t="n">
        <v>45789</v>
      </c>
      <c r="H2050" s="27" t="n">
        <v>45789</v>
      </c>
      <c r="I2050" s="27" t="n">
        <v>45778</v>
      </c>
      <c r="J2050" s="27" t="n">
        <v>45784</v>
      </c>
      <c r="K2050" t="inlineStr">
        <is>
          <t>Boleto Bancário</t>
        </is>
      </c>
      <c r="L2050" t="inlineStr">
        <is>
          <t>Utilidades</t>
        </is>
      </c>
      <c r="M2050" t="inlineStr">
        <is>
          <t>Serviços Graficos</t>
        </is>
      </c>
      <c r="N2050" t="inlineStr">
        <is>
          <t>22388</t>
        </is>
      </c>
      <c r="O2050" t="inlineStr">
        <is>
          <t>Documentação Aprovada</t>
        </is>
      </c>
      <c r="P2050" t="inlineStr">
        <is>
          <t>Aprovado Diretoria</t>
        </is>
      </c>
      <c r="Q2050" t="inlineStr">
        <is>
          <t>Aprovado Caixa</t>
        </is>
      </c>
      <c r="R2050" t="inlineStr">
        <is>
          <t>Pago</t>
        </is>
      </c>
      <c r="S2050" t="n">
        <v>115</v>
      </c>
      <c r="T2050" t="inlineStr">
        <is>
          <t>Love - Shibari - Bradesco</t>
        </is>
      </c>
    </row>
    <row r="2051">
      <c r="A2051" t="n">
        <v>125111</v>
      </c>
      <c r="B2051" t="n">
        <v>128</v>
      </c>
      <c r="C2051" t="inlineStr">
        <is>
          <t>Love Cabaret</t>
        </is>
      </c>
      <c r="D2051" t="inlineStr">
        <is>
          <t xml:space="preserve">LUCAS KENZO YOKOTOBI NAGAO </t>
        </is>
      </c>
      <c r="E2051" t="n">
        <v>275</v>
      </c>
      <c r="F2051" s="27" t="n">
        <v>45789</v>
      </c>
      <c r="G2051" s="27" t="n">
        <v>45789</v>
      </c>
      <c r="H2051" s="27" t="n">
        <v>45789</v>
      </c>
      <c r="I2051" s="27" t="n">
        <v>45761</v>
      </c>
      <c r="J2051" s="27" t="n">
        <v>45761</v>
      </c>
      <c r="K2051" t="inlineStr">
        <is>
          <t>Transferência Bancária ou Pix</t>
        </is>
      </c>
      <c r="L2051" t="inlineStr">
        <is>
          <t>Custos Artístico Geral</t>
        </is>
      </c>
      <c r="M2051" t="inlineStr">
        <is>
          <t>MDO Terceirizada - Artístico</t>
        </is>
      </c>
      <c r="N2051" t="inlineStr">
        <is>
          <t>11</t>
        </is>
      </c>
      <c r="O2051" t="inlineStr">
        <is>
          <t>Documentação Aprovada</t>
        </is>
      </c>
      <c r="P2051" t="inlineStr">
        <is>
          <t>Aprovado Diretoria</t>
        </is>
      </c>
      <c r="Q2051" t="inlineStr">
        <is>
          <t>Aprovado Caixa</t>
        </is>
      </c>
      <c r="R2051" t="inlineStr">
        <is>
          <t>Pago</t>
        </is>
      </c>
      <c r="S2051" t="n">
        <v>115</v>
      </c>
      <c r="T2051" t="inlineStr">
        <is>
          <t>Love - Shibari - Bradesco</t>
        </is>
      </c>
    </row>
    <row r="2052">
      <c r="A2052" t="n">
        <v>128254</v>
      </c>
      <c r="B2052" t="n">
        <v>128</v>
      </c>
      <c r="C2052" t="inlineStr">
        <is>
          <t>Love Cabaret</t>
        </is>
      </c>
      <c r="D2052" t="inlineStr">
        <is>
          <t>HORTIFRUTIGRANJEIRO RODRIGUES LTDA</t>
        </is>
      </c>
      <c r="E2052" t="n">
        <v>243.75</v>
      </c>
      <c r="F2052" s="27" t="n">
        <v>45791</v>
      </c>
      <c r="G2052" s="27" t="n">
        <v>45789</v>
      </c>
      <c r="H2052" s="27" t="n">
        <v>45789</v>
      </c>
      <c r="I2052" s="27" t="n">
        <v>45772</v>
      </c>
      <c r="J2052" s="27" t="n">
        <v>45777</v>
      </c>
      <c r="K2052" t="inlineStr">
        <is>
          <t>Boleto Bancário</t>
        </is>
      </c>
      <c r="L2052" t="inlineStr">
        <is>
          <t>Custo Mercadoria Vendida</t>
        </is>
      </c>
      <c r="M2052" t="inlineStr">
        <is>
          <t>Insumos - Alimentos</t>
        </is>
      </c>
      <c r="N2052" t="inlineStr">
        <is>
          <t>9996</t>
        </is>
      </c>
      <c r="O2052" t="inlineStr">
        <is>
          <t>Documentação Aprovada</t>
        </is>
      </c>
      <c r="P2052" t="inlineStr">
        <is>
          <t>Aprovado Diretoria</t>
        </is>
      </c>
      <c r="Q2052" t="inlineStr">
        <is>
          <t>Aprovado Caixa</t>
        </is>
      </c>
      <c r="R2052" t="inlineStr">
        <is>
          <t>Pago</t>
        </is>
      </c>
      <c r="S2052" t="n">
        <v>115</v>
      </c>
      <c r="T2052" t="inlineStr">
        <is>
          <t>Love - Shibari - Bradesco</t>
        </is>
      </c>
    </row>
    <row r="2053">
      <c r="A2053" t="n">
        <v>128276</v>
      </c>
      <c r="B2053" t="n">
        <v>128</v>
      </c>
      <c r="C2053" t="inlineStr">
        <is>
          <t>Love Cabaret</t>
        </is>
      </c>
      <c r="D2053" t="inlineStr">
        <is>
          <t>ASSAZ ORGANICA INDUSTRIA E COMERCIO DE ALIMENTOS LTDA</t>
        </is>
      </c>
      <c r="E2053" t="n">
        <v>30.5</v>
      </c>
      <c r="F2053" s="27" t="n">
        <v>45791</v>
      </c>
      <c r="G2053" s="27" t="n">
        <v>45789</v>
      </c>
      <c r="H2053" s="27" t="n">
        <v>45789</v>
      </c>
      <c r="I2053" s="27" t="n">
        <v>45776</v>
      </c>
      <c r="J2053" s="27" t="n">
        <v>45777</v>
      </c>
      <c r="K2053" t="inlineStr">
        <is>
          <t>Boleto Bancário</t>
        </is>
      </c>
      <c r="L2053" t="inlineStr">
        <is>
          <t>Custo Mercadoria Vendida</t>
        </is>
      </c>
      <c r="M2053" t="inlineStr">
        <is>
          <t>Insumos - Alimentos</t>
        </is>
      </c>
      <c r="N2053" t="inlineStr">
        <is>
          <t>20231</t>
        </is>
      </c>
      <c r="O2053" t="inlineStr">
        <is>
          <t>Documentação Aprovada</t>
        </is>
      </c>
      <c r="P2053" t="inlineStr">
        <is>
          <t>Aprovado Diretoria</t>
        </is>
      </c>
      <c r="Q2053" t="inlineStr">
        <is>
          <t>Aprovado Caixa</t>
        </is>
      </c>
      <c r="R2053" t="inlineStr">
        <is>
          <t>Pago</t>
        </is>
      </c>
      <c r="S2053" t="n">
        <v>115</v>
      </c>
      <c r="T2053" t="inlineStr">
        <is>
          <t>Love - Shibari - Bradesco</t>
        </is>
      </c>
    </row>
    <row r="2054">
      <c r="A2054" t="n">
        <v>128199</v>
      </c>
      <c r="B2054" t="n">
        <v>128</v>
      </c>
      <c r="C2054" t="inlineStr">
        <is>
          <t>Love Cabaret</t>
        </is>
      </c>
      <c r="D2054" t="inlineStr">
        <is>
          <t>FLAVIO RODRIGUES DE MOURA</t>
        </is>
      </c>
      <c r="E2054" t="n">
        <v>500</v>
      </c>
      <c r="F2054" s="27" t="n">
        <v>45790</v>
      </c>
      <c r="G2054" s="27" t="n">
        <v>45789</v>
      </c>
      <c r="H2054" s="27" t="n">
        <v>45789</v>
      </c>
      <c r="I2054" s="27" t="n">
        <v>45775</v>
      </c>
      <c r="J2054" s="27" t="n">
        <v>45777</v>
      </c>
      <c r="K2054" t="inlineStr">
        <is>
          <t>Transferência Bancária ou Pix</t>
        </is>
      </c>
      <c r="L2054" t="inlineStr">
        <is>
          <t>Custos Artístico Geral</t>
        </is>
      </c>
      <c r="M2054" t="inlineStr">
        <is>
          <t>Cachê de Músicos e Artistas</t>
        </is>
      </c>
      <c r="N2054" t="inlineStr">
        <is>
          <t>500042025</t>
        </is>
      </c>
      <c r="O2054" t="inlineStr">
        <is>
          <t>Documentação Aprovada</t>
        </is>
      </c>
      <c r="P2054" t="inlineStr">
        <is>
          <t>Aprovado Diretoria</t>
        </is>
      </c>
      <c r="Q2054" t="inlineStr">
        <is>
          <t>Aprovado Caixa</t>
        </is>
      </c>
      <c r="R2054" t="inlineStr">
        <is>
          <t>Pago</t>
        </is>
      </c>
      <c r="S2054" t="n">
        <v>115</v>
      </c>
      <c r="T2054" t="inlineStr">
        <is>
          <t>Love - Shibari - Bradesco</t>
        </is>
      </c>
    </row>
    <row r="2055">
      <c r="A2055" t="n">
        <v>128278</v>
      </c>
      <c r="B2055" t="n">
        <v>128</v>
      </c>
      <c r="C2055" t="inlineStr">
        <is>
          <t>Love Cabaret</t>
        </is>
      </c>
      <c r="D2055" t="inlineStr">
        <is>
          <t xml:space="preserve">FORTE ALIMENTOS COM. IMPORTAÇÃO LTDA </t>
        </is>
      </c>
      <c r="E2055" t="n">
        <v>450.45</v>
      </c>
      <c r="F2055" s="27" t="n">
        <v>45790</v>
      </c>
      <c r="G2055" s="27" t="n">
        <v>45789</v>
      </c>
      <c r="H2055" s="27" t="n">
        <v>45789</v>
      </c>
      <c r="I2055" s="27" t="n">
        <v>45775</v>
      </c>
      <c r="J2055" s="27" t="n">
        <v>45777</v>
      </c>
      <c r="K2055" t="inlineStr">
        <is>
          <t>Boleto Bancário</t>
        </is>
      </c>
      <c r="L2055" t="inlineStr">
        <is>
          <t>Custo Mercadoria Vendida</t>
        </is>
      </c>
      <c r="M2055" t="inlineStr">
        <is>
          <t>Insumos - Alimentos</t>
        </is>
      </c>
      <c r="N2055" t="inlineStr">
        <is>
          <t>309155</t>
        </is>
      </c>
      <c r="O2055" t="inlineStr">
        <is>
          <t>Documentação Aprovada</t>
        </is>
      </c>
      <c r="P2055" t="inlineStr">
        <is>
          <t>Aprovado Diretoria</t>
        </is>
      </c>
      <c r="Q2055" t="inlineStr">
        <is>
          <t>Aprovado Caixa</t>
        </is>
      </c>
      <c r="R2055" t="inlineStr">
        <is>
          <t>Pago</t>
        </is>
      </c>
      <c r="S2055" t="n">
        <v>115</v>
      </c>
      <c r="T2055" t="inlineStr">
        <is>
          <t>Love - Shibari - Bradesco</t>
        </is>
      </c>
    </row>
    <row r="2056">
      <c r="A2056" t="n">
        <v>128279</v>
      </c>
      <c r="B2056" t="n">
        <v>128</v>
      </c>
      <c r="C2056" t="inlineStr">
        <is>
          <t>Love Cabaret</t>
        </is>
      </c>
      <c r="D2056" t="inlineStr">
        <is>
          <t xml:space="preserve">FORTE ALIMENTOS COM. IMPORTAÇÃO LTDA </t>
        </is>
      </c>
      <c r="E2056" t="n">
        <v>912.41</v>
      </c>
      <c r="F2056" s="27" t="n">
        <v>45790</v>
      </c>
      <c r="G2056" s="27" t="n">
        <v>45789</v>
      </c>
      <c r="H2056" s="27" t="n">
        <v>45789</v>
      </c>
      <c r="I2056" s="27" t="n">
        <v>45775</v>
      </c>
      <c r="J2056" s="27" t="n">
        <v>45777</v>
      </c>
      <c r="K2056" t="inlineStr">
        <is>
          <t>Boleto Bancário</t>
        </is>
      </c>
      <c r="L2056" t="inlineStr">
        <is>
          <t>Custo Mercadoria Vendida</t>
        </is>
      </c>
      <c r="M2056" t="inlineStr">
        <is>
          <t>Insumos - Alimentos</t>
        </is>
      </c>
      <c r="N2056" t="inlineStr">
        <is>
          <t>309112</t>
        </is>
      </c>
      <c r="O2056" t="inlineStr">
        <is>
          <t>Documentação Aprovada</t>
        </is>
      </c>
      <c r="P2056" t="inlineStr">
        <is>
          <t>Aprovado Diretoria</t>
        </is>
      </c>
      <c r="Q2056" t="inlineStr">
        <is>
          <t>Aprovado Caixa</t>
        </is>
      </c>
      <c r="R2056" t="inlineStr">
        <is>
          <t>Pago</t>
        </is>
      </c>
      <c r="S2056" t="n">
        <v>115</v>
      </c>
      <c r="T2056" t="inlineStr">
        <is>
          <t>Love - Shibari - Bradesco</t>
        </is>
      </c>
    </row>
    <row r="2057">
      <c r="A2057" t="n">
        <v>128231</v>
      </c>
      <c r="B2057" t="n">
        <v>128</v>
      </c>
      <c r="C2057" t="inlineStr">
        <is>
          <t>Love Cabaret</t>
        </is>
      </c>
      <c r="D2057" t="inlineStr">
        <is>
          <t>MARCOS VINICIUS CICONE WERNECK SANTOS</t>
        </is>
      </c>
      <c r="E2057" t="n">
        <v>300</v>
      </c>
      <c r="F2057" s="27" t="n">
        <v>45790</v>
      </c>
      <c r="G2057" s="27" t="n">
        <v>45789</v>
      </c>
      <c r="H2057" s="27" t="n">
        <v>45789</v>
      </c>
      <c r="I2057" s="27" t="n">
        <v>45775</v>
      </c>
      <c r="J2057" s="27" t="n">
        <v>45777</v>
      </c>
      <c r="K2057" t="inlineStr">
        <is>
          <t>Transferência Bancária ou Pix</t>
        </is>
      </c>
      <c r="L2057" t="inlineStr">
        <is>
          <t>Custos Artístico Geral</t>
        </is>
      </c>
      <c r="M2057" t="inlineStr">
        <is>
          <t>Cachê de Músicos e Artistas</t>
        </is>
      </c>
      <c r="N2057" t="inlineStr">
        <is>
          <t>300042025</t>
        </is>
      </c>
      <c r="O2057" t="inlineStr">
        <is>
          <t>Documentação Aprovada</t>
        </is>
      </c>
      <c r="P2057" t="inlineStr">
        <is>
          <t>Aprovado Diretoria</t>
        </is>
      </c>
      <c r="Q2057" t="inlineStr">
        <is>
          <t>Aprovado Caixa</t>
        </is>
      </c>
      <c r="R2057" t="inlineStr">
        <is>
          <t>Pago</t>
        </is>
      </c>
      <c r="S2057" t="n">
        <v>115</v>
      </c>
      <c r="T2057" t="inlineStr">
        <is>
          <t>Love - Shibari - Bradesco</t>
        </is>
      </c>
    </row>
    <row r="2058">
      <c r="A2058" t="n">
        <v>128281</v>
      </c>
      <c r="B2058" t="n">
        <v>128</v>
      </c>
      <c r="C2058" t="inlineStr">
        <is>
          <t>Love Cabaret</t>
        </is>
      </c>
      <c r="D2058" t="inlineStr">
        <is>
          <t>BATALHA FABRICA DE PAES LTDA</t>
        </is>
      </c>
      <c r="E2058" t="n">
        <v>561.84</v>
      </c>
      <c r="F2058" s="27" t="n">
        <v>45791</v>
      </c>
      <c r="G2058" s="27" t="n">
        <v>45789</v>
      </c>
      <c r="H2058" s="27" t="n">
        <v>45789</v>
      </c>
      <c r="I2058" s="27" t="n">
        <v>45772</v>
      </c>
      <c r="J2058" s="27" t="n">
        <v>45777</v>
      </c>
      <c r="K2058" t="inlineStr">
        <is>
          <t>Boleto Bancário</t>
        </is>
      </c>
      <c r="L2058" t="inlineStr">
        <is>
          <t>Custo Mercadoria Vendida</t>
        </is>
      </c>
      <c r="M2058" t="inlineStr">
        <is>
          <t>Insumos - Alimentos</t>
        </is>
      </c>
      <c r="N2058" t="inlineStr">
        <is>
          <t>37775</t>
        </is>
      </c>
      <c r="O2058" t="inlineStr">
        <is>
          <t>Documentação Aprovada</t>
        </is>
      </c>
      <c r="P2058" t="inlineStr">
        <is>
          <t>Aprovado Diretoria</t>
        </is>
      </c>
      <c r="Q2058" t="inlineStr">
        <is>
          <t>Aprovado Caixa</t>
        </is>
      </c>
      <c r="R2058" t="inlineStr">
        <is>
          <t>Pago</t>
        </is>
      </c>
      <c r="S2058" t="n">
        <v>115</v>
      </c>
      <c r="T2058" t="inlineStr">
        <is>
          <t>Love - Shibari - Bradesco</t>
        </is>
      </c>
    </row>
    <row r="2059">
      <c r="A2059" t="n">
        <v>128284</v>
      </c>
      <c r="B2059" t="n">
        <v>128</v>
      </c>
      <c r="C2059" t="inlineStr">
        <is>
          <t>Love Cabaret</t>
        </is>
      </c>
      <c r="D2059" t="inlineStr">
        <is>
          <t>CEPEL COMERCIO DE PAPEIS E EMBALAGENS EIRELI</t>
        </is>
      </c>
      <c r="E2059" t="n">
        <v>1428.42</v>
      </c>
      <c r="F2059" s="27" t="n">
        <v>45790</v>
      </c>
      <c r="G2059" s="27" t="n">
        <v>45789</v>
      </c>
      <c r="H2059" s="27" t="n">
        <v>45789</v>
      </c>
      <c r="I2059" s="27" t="n">
        <v>45775</v>
      </c>
      <c r="J2059" s="27" t="n">
        <v>45777</v>
      </c>
      <c r="K2059" t="inlineStr">
        <is>
          <t>Boleto Bancário</t>
        </is>
      </c>
      <c r="L2059" t="inlineStr">
        <is>
          <t>Utilidades</t>
        </is>
      </c>
      <c r="M2059" t="inlineStr">
        <is>
          <t>Higiene e Limpeza</t>
        </is>
      </c>
      <c r="N2059" t="inlineStr">
        <is>
          <t>239251</t>
        </is>
      </c>
      <c r="O2059" t="inlineStr">
        <is>
          <t>Documentação Aprovada</t>
        </is>
      </c>
      <c r="P2059" t="inlineStr">
        <is>
          <t>Aprovado Diretoria</t>
        </is>
      </c>
      <c r="Q2059" t="inlineStr">
        <is>
          <t>Aprovado Caixa</t>
        </is>
      </c>
      <c r="R2059" t="inlineStr">
        <is>
          <t>Pago</t>
        </is>
      </c>
      <c r="S2059" t="n">
        <v>115</v>
      </c>
      <c r="T2059" t="inlineStr">
        <is>
          <t>Love - Shibari - Bradesco</t>
        </is>
      </c>
    </row>
    <row r="2060">
      <c r="A2060" t="n">
        <v>128234</v>
      </c>
      <c r="B2060" t="n">
        <v>128</v>
      </c>
      <c r="C2060" t="inlineStr">
        <is>
          <t>Love Cabaret</t>
        </is>
      </c>
      <c r="D2060" t="inlineStr">
        <is>
          <t>MATHEUS MOREIRA DE MIRANDA</t>
        </is>
      </c>
      <c r="E2060" t="n">
        <v>500</v>
      </c>
      <c r="F2060" s="27" t="n">
        <v>45790</v>
      </c>
      <c r="G2060" s="27" t="n">
        <v>45789</v>
      </c>
      <c r="H2060" s="27" t="n">
        <v>45789</v>
      </c>
      <c r="I2060" s="27" t="n">
        <v>45775</v>
      </c>
      <c r="J2060" s="27" t="n">
        <v>45777</v>
      </c>
      <c r="K2060" t="inlineStr">
        <is>
          <t>Transferência Bancária ou Pix</t>
        </is>
      </c>
      <c r="L2060" t="inlineStr">
        <is>
          <t>Custos Artístico Geral</t>
        </is>
      </c>
      <c r="M2060" t="inlineStr">
        <is>
          <t>Cachê de Músicos e Artistas</t>
        </is>
      </c>
      <c r="N2060" t="inlineStr">
        <is>
          <t>500042025</t>
        </is>
      </c>
      <c r="O2060" t="inlineStr">
        <is>
          <t>Documentação Aprovada</t>
        </is>
      </c>
      <c r="P2060" t="inlineStr">
        <is>
          <t>Aprovado Diretoria</t>
        </is>
      </c>
      <c r="Q2060" t="inlineStr">
        <is>
          <t>Aprovado Caixa</t>
        </is>
      </c>
      <c r="R2060" t="inlineStr">
        <is>
          <t>Pago</t>
        </is>
      </c>
      <c r="S2060" t="n">
        <v>115</v>
      </c>
      <c r="T2060" t="inlineStr">
        <is>
          <t>Love - Shibari - Bradesco</t>
        </is>
      </c>
    </row>
    <row r="2061">
      <c r="A2061" t="n">
        <v>128286</v>
      </c>
      <c r="B2061" t="n">
        <v>128</v>
      </c>
      <c r="C2061" t="inlineStr">
        <is>
          <t>Love Cabaret</t>
        </is>
      </c>
      <c r="D2061" t="inlineStr">
        <is>
          <t>PORCO FELIZ COM DE CARNES LTDA</t>
        </is>
      </c>
      <c r="E2061" t="n">
        <v>184.63</v>
      </c>
      <c r="F2061" s="27" t="n">
        <v>45790</v>
      </c>
      <c r="G2061" s="27" t="n">
        <v>45789</v>
      </c>
      <c r="H2061" s="27" t="n">
        <v>45789</v>
      </c>
      <c r="I2061" s="27" t="n">
        <v>45776</v>
      </c>
      <c r="J2061" s="27" t="n">
        <v>45777</v>
      </c>
      <c r="K2061" t="inlineStr">
        <is>
          <t>Boleto Bancário</t>
        </is>
      </c>
      <c r="L2061" t="inlineStr">
        <is>
          <t>Custo Mercadoria Vendida</t>
        </is>
      </c>
      <c r="M2061" t="inlineStr">
        <is>
          <t>Insumos - Alimentos</t>
        </is>
      </c>
      <c r="N2061" t="inlineStr">
        <is>
          <t>49866</t>
        </is>
      </c>
      <c r="O2061" t="inlineStr">
        <is>
          <t>Documentação Aprovada</t>
        </is>
      </c>
      <c r="P2061" t="inlineStr">
        <is>
          <t>Aprovado Diretoria</t>
        </is>
      </c>
      <c r="Q2061" t="inlineStr">
        <is>
          <t>Aprovado Caixa</t>
        </is>
      </c>
      <c r="R2061" t="inlineStr">
        <is>
          <t>Pago</t>
        </is>
      </c>
      <c r="S2061" t="n">
        <v>115</v>
      </c>
      <c r="T2061" t="inlineStr">
        <is>
          <t>Love - Shibari - Bradesco</t>
        </is>
      </c>
    </row>
    <row r="2062">
      <c r="A2062" t="n">
        <v>128252</v>
      </c>
      <c r="B2062" t="n">
        <v>128</v>
      </c>
      <c r="C2062" t="inlineStr">
        <is>
          <t>Love Cabaret</t>
        </is>
      </c>
      <c r="D2062" t="inlineStr">
        <is>
          <t>CECILIA TSUYACO ARAKI SILVA LTDA</t>
        </is>
      </c>
      <c r="E2062" t="n">
        <v>76</v>
      </c>
      <c r="F2062" s="27" t="n">
        <v>45789</v>
      </c>
      <c r="G2062" s="27" t="n">
        <v>45789</v>
      </c>
      <c r="H2062" s="27" t="n">
        <v>45789</v>
      </c>
      <c r="I2062" s="27" t="n">
        <v>45776</v>
      </c>
      <c r="J2062" s="27" t="n">
        <v>45777</v>
      </c>
      <c r="K2062" t="inlineStr">
        <is>
          <t>Boleto Bancário</t>
        </is>
      </c>
      <c r="L2062" t="inlineStr">
        <is>
          <t>Custo Mercadoria Vendida</t>
        </is>
      </c>
      <c r="M2062" t="inlineStr">
        <is>
          <t>Insumos - Alimentos</t>
        </is>
      </c>
      <c r="N2062" t="inlineStr">
        <is>
          <t>370047</t>
        </is>
      </c>
      <c r="O2062" t="inlineStr">
        <is>
          <t>Documentação Aprovada</t>
        </is>
      </c>
      <c r="P2062" t="inlineStr">
        <is>
          <t>Aprovado Diretoria</t>
        </is>
      </c>
      <c r="Q2062" t="inlineStr">
        <is>
          <t>Aprovado Caixa</t>
        </is>
      </c>
      <c r="R2062" t="inlineStr">
        <is>
          <t>Pago</t>
        </is>
      </c>
      <c r="S2062" t="n">
        <v>115</v>
      </c>
      <c r="T2062" t="inlineStr">
        <is>
          <t>Love - Shibari - Bradesco</t>
        </is>
      </c>
    </row>
    <row r="2063">
      <c r="A2063" t="n">
        <v>128251</v>
      </c>
      <c r="B2063" t="n">
        <v>128</v>
      </c>
      <c r="C2063" t="inlineStr">
        <is>
          <t>Love Cabaret</t>
        </is>
      </c>
      <c r="D2063" t="inlineStr">
        <is>
          <t>NOVA COMERCIAL DO PEIXE LTDA</t>
        </is>
      </c>
      <c r="E2063" t="n">
        <v>588</v>
      </c>
      <c r="F2063" s="27" t="n">
        <v>45789</v>
      </c>
      <c r="G2063" s="27" t="n">
        <v>45789</v>
      </c>
      <c r="H2063" s="27" t="n">
        <v>45789</v>
      </c>
      <c r="I2063" s="27" t="n">
        <v>45775</v>
      </c>
      <c r="J2063" s="27" t="n">
        <v>45777</v>
      </c>
      <c r="K2063" t="inlineStr">
        <is>
          <t>Boleto Bancário</t>
        </is>
      </c>
      <c r="L2063" t="inlineStr">
        <is>
          <t>Custo Mercadoria Vendida</t>
        </is>
      </c>
      <c r="M2063" t="inlineStr">
        <is>
          <t>Insumos - Alimentos</t>
        </is>
      </c>
      <c r="N2063" t="inlineStr">
        <is>
          <t>24406</t>
        </is>
      </c>
      <c r="O2063" t="inlineStr">
        <is>
          <t>Documentação Aprovada</t>
        </is>
      </c>
      <c r="P2063" t="inlineStr">
        <is>
          <t>Aprovado Diretoria</t>
        </is>
      </c>
      <c r="Q2063" t="inlineStr">
        <is>
          <t>Aprovado Caixa</t>
        </is>
      </c>
      <c r="R2063" t="inlineStr">
        <is>
          <t>Pago</t>
        </is>
      </c>
      <c r="S2063" t="n">
        <v>115</v>
      </c>
      <c r="T2063" t="inlineStr">
        <is>
          <t>Love - Shibari - Bradesco</t>
        </is>
      </c>
    </row>
    <row r="2064">
      <c r="A2064" t="n">
        <v>127675</v>
      </c>
      <c r="B2064" t="n">
        <v>128</v>
      </c>
      <c r="C2064" t="inlineStr">
        <is>
          <t>Love Cabaret</t>
        </is>
      </c>
      <c r="D2064" t="inlineStr">
        <is>
          <t>DTK COMERCIO DE ALIMENTOS LTDA</t>
        </is>
      </c>
      <c r="E2064" t="n">
        <v>879.83</v>
      </c>
      <c r="F2064" s="27" t="n">
        <v>45789</v>
      </c>
      <c r="G2064" s="27" t="n">
        <v>45789</v>
      </c>
      <c r="H2064" s="27" t="n">
        <v>45789</v>
      </c>
      <c r="I2064" s="27" t="n">
        <v>45770</v>
      </c>
      <c r="J2064" s="27" t="n">
        <v>45775</v>
      </c>
      <c r="K2064" t="inlineStr">
        <is>
          <t>Boleto Bancário</t>
        </is>
      </c>
      <c r="L2064" t="inlineStr">
        <is>
          <t>Custo Mercadoria Vendida</t>
        </is>
      </c>
      <c r="M2064" t="inlineStr">
        <is>
          <t>Insumos - Alimentos</t>
        </is>
      </c>
      <c r="N2064" t="inlineStr">
        <is>
          <t>29060</t>
        </is>
      </c>
      <c r="O2064" t="inlineStr">
        <is>
          <t>Documentação Aprovada</t>
        </is>
      </c>
      <c r="P2064" t="inlineStr">
        <is>
          <t>Aprovado Diretoria</t>
        </is>
      </c>
      <c r="Q2064" t="inlineStr">
        <is>
          <t>Aprovado Caixa</t>
        </is>
      </c>
      <c r="R2064" t="inlineStr">
        <is>
          <t>Pago</t>
        </is>
      </c>
      <c r="S2064" t="n">
        <v>115</v>
      </c>
      <c r="T2064" t="inlineStr">
        <is>
          <t>Love - Shibari - Bradesco</t>
        </is>
      </c>
    </row>
    <row r="2065">
      <c r="A2065" t="n">
        <v>127674</v>
      </c>
      <c r="B2065" t="n">
        <v>128</v>
      </c>
      <c r="C2065" t="inlineStr">
        <is>
          <t>Love Cabaret</t>
        </is>
      </c>
      <c r="D2065" t="inlineStr">
        <is>
          <t>CG FOOD´S DISTRIBUIDORA DE ALIMENTOS LTDA</t>
        </is>
      </c>
      <c r="E2065" t="n">
        <v>407.7</v>
      </c>
      <c r="F2065" s="27" t="n">
        <v>45791</v>
      </c>
      <c r="G2065" s="27" t="n">
        <v>45789</v>
      </c>
      <c r="H2065" s="27" t="n">
        <v>45789</v>
      </c>
      <c r="I2065" s="27" t="n">
        <v>45770</v>
      </c>
      <c r="J2065" s="27" t="n">
        <v>45775</v>
      </c>
      <c r="K2065" t="inlineStr">
        <is>
          <t>Boleto Bancário</t>
        </is>
      </c>
      <c r="L2065" t="inlineStr">
        <is>
          <t>Custo Mercadoria Vendida</t>
        </is>
      </c>
      <c r="M2065" t="inlineStr">
        <is>
          <t>Insumos - Alimentos</t>
        </is>
      </c>
      <c r="N2065" t="inlineStr">
        <is>
          <t>149184</t>
        </is>
      </c>
      <c r="O2065" t="inlineStr">
        <is>
          <t>Documentação Aprovada</t>
        </is>
      </c>
      <c r="P2065" t="inlineStr">
        <is>
          <t>Aprovado Diretoria</t>
        </is>
      </c>
      <c r="Q2065" t="inlineStr">
        <is>
          <t>Aprovado Caixa</t>
        </is>
      </c>
      <c r="R2065" t="inlineStr">
        <is>
          <t>Pago</t>
        </is>
      </c>
      <c r="S2065" t="n">
        <v>115</v>
      </c>
      <c r="T2065" t="inlineStr">
        <is>
          <t>Love - Shibari - Bradesco</t>
        </is>
      </c>
    </row>
    <row r="2066">
      <c r="A2066" t="n">
        <v>106681</v>
      </c>
      <c r="B2066" t="n">
        <v>128</v>
      </c>
      <c r="C2066" t="inlineStr">
        <is>
          <t>Love Cabaret</t>
        </is>
      </c>
      <c r="D2066" t="inlineStr">
        <is>
          <t>AURORA ALVORADA ESTACIONAMENTO E LANCHONETE LTDA</t>
        </is>
      </c>
      <c r="E2066" t="n">
        <v>227.96</v>
      </c>
      <c r="F2066" s="27" t="n">
        <v>45789</v>
      </c>
      <c r="G2066" s="27" t="n">
        <v>45789</v>
      </c>
      <c r="H2066" s="27" t="n">
        <v>45789</v>
      </c>
      <c r="I2066" s="27" t="n">
        <v>45782</v>
      </c>
      <c r="J2066" s="27" t="n"/>
      <c r="K2066" t="inlineStr">
        <is>
          <t>Boleto Bancário</t>
        </is>
      </c>
      <c r="L2066" t="inlineStr">
        <is>
          <t>Custo Mercadoria Vendida</t>
        </is>
      </c>
      <c r="M2066" t="inlineStr">
        <is>
          <t>Insumos - Alimentos</t>
        </is>
      </c>
      <c r="N2066" t="inlineStr">
        <is>
          <t>10546</t>
        </is>
      </c>
      <c r="O2066" t="inlineStr">
        <is>
          <t>Documentação Aprovada</t>
        </is>
      </c>
      <c r="P2066" t="inlineStr">
        <is>
          <t>Aprovado Diretoria</t>
        </is>
      </c>
      <c r="Q2066" t="inlineStr">
        <is>
          <t>Aprovado Caixa</t>
        </is>
      </c>
      <c r="R2066" t="inlineStr">
        <is>
          <t>Pago</t>
        </is>
      </c>
      <c r="S2066" t="n">
        <v>115</v>
      </c>
      <c r="T2066" t="inlineStr">
        <is>
          <t>Love - Shibari - Bradesco</t>
        </is>
      </c>
    </row>
    <row r="2067">
      <c r="A2067" t="n">
        <v>104321</v>
      </c>
      <c r="B2067" t="n">
        <v>128</v>
      </c>
      <c r="C2067" t="inlineStr">
        <is>
          <t>Love Cabaret</t>
        </is>
      </c>
      <c r="D2067" t="inlineStr">
        <is>
          <t>CICLO PARTICIPACOES LTDA</t>
        </is>
      </c>
      <c r="E2067" t="n">
        <v>5906.28</v>
      </c>
      <c r="F2067" s="27" t="n">
        <v>45787</v>
      </c>
      <c r="G2067" s="27" t="n">
        <v>45791</v>
      </c>
      <c r="H2067" s="27" t="n">
        <v>45789</v>
      </c>
      <c r="I2067" s="27" t="n">
        <v>45762</v>
      </c>
      <c r="J2067" s="27" t="n"/>
      <c r="K2067" t="inlineStr">
        <is>
          <t>Boleto Bancário</t>
        </is>
      </c>
      <c r="L2067" t="inlineStr">
        <is>
          <t>Custo de Ocupação</t>
        </is>
      </c>
      <c r="M2067" t="inlineStr">
        <is>
          <t>IPTU</t>
        </is>
      </c>
      <c r="N2067" t="inlineStr">
        <is>
          <t>042025</t>
        </is>
      </c>
      <c r="O2067" t="inlineStr">
        <is>
          <t>Documentação Aprovada</t>
        </is>
      </c>
      <c r="P2067" t="inlineStr">
        <is>
          <t>Aprovado Diretoria</t>
        </is>
      </c>
      <c r="Q2067" t="inlineStr">
        <is>
          <t>Aprovado Caixa</t>
        </is>
      </c>
      <c r="R2067" t="inlineStr">
        <is>
          <t>Pago</t>
        </is>
      </c>
      <c r="S2067" t="n">
        <v>115</v>
      </c>
      <c r="T2067" t="inlineStr">
        <is>
          <t>Love - Shibari - Bradesco</t>
        </is>
      </c>
    </row>
    <row r="2068">
      <c r="A2068" t="n">
        <v>96961</v>
      </c>
      <c r="B2068" t="n">
        <v>128</v>
      </c>
      <c r="C2068" t="inlineStr">
        <is>
          <t>Love Cabaret</t>
        </is>
      </c>
      <c r="D2068" t="inlineStr">
        <is>
          <t xml:space="preserve">DUO COMUNICA LTDA </t>
        </is>
      </c>
      <c r="E2068" t="n">
        <v>2000</v>
      </c>
      <c r="F2068" s="27" t="n">
        <v>45791</v>
      </c>
      <c r="G2068" s="27" t="n">
        <v>45789</v>
      </c>
      <c r="H2068" s="27" t="n">
        <v>45789</v>
      </c>
      <c r="I2068" s="27" t="n">
        <v>45765</v>
      </c>
      <c r="J2068" s="27" t="n"/>
      <c r="K2068" t="inlineStr">
        <is>
          <t>Transferência Bancária ou Pix</t>
        </is>
      </c>
      <c r="L2068" t="inlineStr">
        <is>
          <t>Informática e TI</t>
        </is>
      </c>
      <c r="M2068" t="inlineStr">
        <is>
          <t>Sistemas Gerais - Comunicação e Marketing</t>
        </is>
      </c>
      <c r="N2068" t="inlineStr">
        <is>
          <t>505</t>
        </is>
      </c>
      <c r="O2068" t="inlineStr">
        <is>
          <t>Documentação Aprovada</t>
        </is>
      </c>
      <c r="P2068" t="inlineStr">
        <is>
          <t>Aprovado Diretoria</t>
        </is>
      </c>
      <c r="Q2068" t="inlineStr">
        <is>
          <t>Aprovado Caixa</t>
        </is>
      </c>
      <c r="R2068" t="inlineStr">
        <is>
          <t>Pago</t>
        </is>
      </c>
      <c r="S2068" t="n">
        <v>115</v>
      </c>
      <c r="T2068" t="inlineStr">
        <is>
          <t>Love - Shibari - Bradesco</t>
        </is>
      </c>
    </row>
    <row r="2069">
      <c r="A2069" t="n">
        <v>96923</v>
      </c>
      <c r="B2069" t="n">
        <v>128</v>
      </c>
      <c r="C2069" t="inlineStr">
        <is>
          <t>Love Cabaret</t>
        </is>
      </c>
      <c r="D2069" t="inlineStr">
        <is>
          <t>CICLO PARTICIPACOES LTDA</t>
        </is>
      </c>
      <c r="E2069" t="n">
        <v>31634.64</v>
      </c>
      <c r="F2069" s="27" t="n">
        <v>45787</v>
      </c>
      <c r="G2069" s="27" t="n">
        <v>45789</v>
      </c>
      <c r="H2069" s="27" t="n">
        <v>45789</v>
      </c>
      <c r="I2069" s="27" t="n">
        <v>45767</v>
      </c>
      <c r="J2069" s="27" t="n"/>
      <c r="K2069" t="inlineStr">
        <is>
          <t>Boleto Bancário</t>
        </is>
      </c>
      <c r="L2069" t="inlineStr">
        <is>
          <t>Custo de Ocupação</t>
        </is>
      </c>
      <c r="M2069" t="inlineStr">
        <is>
          <t>Aluguel de Imoveis</t>
        </is>
      </c>
      <c r="N2069" t="inlineStr">
        <is>
          <t xml:space="preserve">3754092042025 </t>
        </is>
      </c>
      <c r="O2069" t="inlineStr">
        <is>
          <t>Documentação Aprovada</t>
        </is>
      </c>
      <c r="P2069" t="inlineStr">
        <is>
          <t>Aprovado Diretoria</t>
        </is>
      </c>
      <c r="Q2069" t="inlineStr">
        <is>
          <t>Aprovado Caixa</t>
        </is>
      </c>
      <c r="R2069" t="inlineStr">
        <is>
          <t>Pago</t>
        </is>
      </c>
      <c r="S2069" t="n">
        <v>115</v>
      </c>
      <c r="T2069" t="inlineStr">
        <is>
          <t>Love - Shibari - Bradesco</t>
        </is>
      </c>
    </row>
    <row r="2070">
      <c r="A2070" t="n">
        <v>102919</v>
      </c>
      <c r="B2070" t="n">
        <v>128</v>
      </c>
      <c r="C2070" t="inlineStr">
        <is>
          <t>Love Cabaret</t>
        </is>
      </c>
      <c r="D2070" t="inlineStr">
        <is>
          <t>PRESHH ALUGUEL DE MAQUINAS LTDA</t>
        </is>
      </c>
      <c r="E2070" t="n">
        <v>808</v>
      </c>
      <c r="F2070" s="27" t="n">
        <v>45787</v>
      </c>
      <c r="G2070" s="27" t="n">
        <v>45789</v>
      </c>
      <c r="H2070" s="27" t="n">
        <v>45789</v>
      </c>
      <c r="I2070" s="27" t="n">
        <v>45777</v>
      </c>
      <c r="J2070" s="27" t="n"/>
      <c r="K2070" t="inlineStr">
        <is>
          <t>Boleto Bancário</t>
        </is>
      </c>
      <c r="L2070" t="inlineStr">
        <is>
          <t>Locação de Equipamentos</t>
        </is>
      </c>
      <c r="M2070" t="inlineStr">
        <is>
          <t>Locações de Equipamentos - Operacionais</t>
        </is>
      </c>
      <c r="N2070" t="inlineStr">
        <is>
          <t>543996818</t>
        </is>
      </c>
      <c r="O2070" t="inlineStr">
        <is>
          <t>Documentação Aprovada</t>
        </is>
      </c>
      <c r="P2070" t="inlineStr">
        <is>
          <t>Aprovado Diretoria</t>
        </is>
      </c>
      <c r="Q2070" t="inlineStr">
        <is>
          <t>Aprovado Caixa</t>
        </is>
      </c>
      <c r="R2070" t="inlineStr">
        <is>
          <t>Pago</t>
        </is>
      </c>
      <c r="S2070" t="n">
        <v>115</v>
      </c>
      <c r="T2070" t="inlineStr">
        <is>
          <t>Love - Shibari - Bradesco</t>
        </is>
      </c>
    </row>
    <row r="2071">
      <c r="A2071" t="n">
        <v>102852</v>
      </c>
      <c r="B2071" t="n">
        <v>128</v>
      </c>
      <c r="C2071" t="inlineStr">
        <is>
          <t>Love Cabaret</t>
        </is>
      </c>
      <c r="D2071" t="inlineStr">
        <is>
          <t>IRMANDADE DA SANTA CASA DE MISERICORDIA DE SAO PAULO</t>
        </is>
      </c>
      <c r="E2071" t="n">
        <v>31634.64</v>
      </c>
      <c r="F2071" s="27" t="n">
        <v>45787</v>
      </c>
      <c r="G2071" s="27" t="n">
        <v>45789</v>
      </c>
      <c r="H2071" s="27" t="n">
        <v>45789</v>
      </c>
      <c r="I2071" s="27" t="n">
        <v>45767</v>
      </c>
      <c r="J2071" s="27" t="n"/>
      <c r="K2071" t="inlineStr">
        <is>
          <t>Boleto Bancário</t>
        </is>
      </c>
      <c r="L2071" t="inlineStr">
        <is>
          <t>Custo de Ocupação</t>
        </is>
      </c>
      <c r="M2071" t="inlineStr">
        <is>
          <t>Aluguel de Imoveis</t>
        </is>
      </c>
      <c r="N2071" t="inlineStr">
        <is>
          <t>158025</t>
        </is>
      </c>
      <c r="O2071" t="inlineStr">
        <is>
          <t>Documentação Aprovada</t>
        </is>
      </c>
      <c r="P2071" t="inlineStr">
        <is>
          <t>Aprovado Diretoria</t>
        </is>
      </c>
      <c r="Q2071" t="inlineStr">
        <is>
          <t>Aprovado Caixa</t>
        </is>
      </c>
      <c r="R2071" t="inlineStr">
        <is>
          <t>Pago</t>
        </is>
      </c>
      <c r="S2071" t="n">
        <v>115</v>
      </c>
      <c r="T2071" t="inlineStr">
        <is>
          <t>Love - Shibari - Bradesco</t>
        </is>
      </c>
    </row>
    <row r="2072">
      <c r="A2072" t="n">
        <v>97528</v>
      </c>
      <c r="B2072" t="n">
        <v>128</v>
      </c>
      <c r="C2072" t="inlineStr">
        <is>
          <t>Love Cabaret</t>
        </is>
      </c>
      <c r="D2072" t="inlineStr">
        <is>
          <t>ISS</t>
        </is>
      </c>
      <c r="E2072" t="n">
        <v>232.58</v>
      </c>
      <c r="F2072" s="27" t="n">
        <v>45787</v>
      </c>
      <c r="G2072" s="27" t="n">
        <v>45789</v>
      </c>
      <c r="H2072" s="27" t="n">
        <v>45789</v>
      </c>
      <c r="I2072" s="27" t="n">
        <v>45777</v>
      </c>
      <c r="J2072" s="27" t="n"/>
      <c r="K2072" t="inlineStr">
        <is>
          <t>Boleto Bancário</t>
        </is>
      </c>
      <c r="L2072" t="inlineStr">
        <is>
          <t>Utilidades</t>
        </is>
      </c>
      <c r="M2072" t="inlineStr">
        <is>
          <t>Coleta de lixo</t>
        </is>
      </c>
      <c r="N2072" t="inlineStr">
        <is>
          <t>042025</t>
        </is>
      </c>
      <c r="O2072" t="inlineStr">
        <is>
          <t>Documentação Aprovada</t>
        </is>
      </c>
      <c r="P2072" t="inlineStr">
        <is>
          <t>Aprovado Diretoria</t>
        </is>
      </c>
      <c r="Q2072" t="inlineStr">
        <is>
          <t>Aprovado Caixa</t>
        </is>
      </c>
      <c r="R2072" t="inlineStr">
        <is>
          <t>Pago</t>
        </is>
      </c>
      <c r="S2072" t="n">
        <v>115</v>
      </c>
      <c r="T2072" t="inlineStr">
        <is>
          <t>Love - Shibari - Bradesco</t>
        </is>
      </c>
    </row>
    <row r="2073">
      <c r="A2073" t="n">
        <v>128183</v>
      </c>
      <c r="B2073" t="n">
        <v>128</v>
      </c>
      <c r="C2073" t="inlineStr">
        <is>
          <t>Love Cabaret</t>
        </is>
      </c>
      <c r="D2073" t="inlineStr">
        <is>
          <t>DEBORAH RIZZO SERRADO</t>
        </is>
      </c>
      <c r="E2073" t="n">
        <v>11403</v>
      </c>
      <c r="F2073" s="27" t="n">
        <v>45791</v>
      </c>
      <c r="G2073" s="27" t="n">
        <v>45786</v>
      </c>
      <c r="H2073" s="27" t="n">
        <v>45786</v>
      </c>
      <c r="I2073" s="27" t="n">
        <v>45776</v>
      </c>
      <c r="J2073" s="27" t="n">
        <v>45777</v>
      </c>
      <c r="K2073" t="inlineStr">
        <is>
          <t>Transferência Bancária ou Pix</t>
        </is>
      </c>
      <c r="L2073" t="inlineStr">
        <is>
          <t>Custos Artístico Geral</t>
        </is>
      </c>
      <c r="M2073" t="inlineStr">
        <is>
          <t>MDO Terceirizada - Artístico</t>
        </is>
      </c>
      <c r="N2073" t="inlineStr">
        <is>
          <t>042025</t>
        </is>
      </c>
      <c r="O2073" t="inlineStr">
        <is>
          <t>Documentação Aprovada</t>
        </is>
      </c>
      <c r="P2073" t="inlineStr">
        <is>
          <t>Aprovado Diretoria</t>
        </is>
      </c>
      <c r="Q2073" t="inlineStr">
        <is>
          <t>Aprovado Caixa</t>
        </is>
      </c>
      <c r="R2073" t="inlineStr">
        <is>
          <t>Pago</t>
        </is>
      </c>
      <c r="S2073" t="n">
        <v>115</v>
      </c>
      <c r="T2073" t="inlineStr">
        <is>
          <t>Love - Shibari - Bradesco</t>
        </is>
      </c>
    </row>
    <row r="2074">
      <c r="A2074" t="n">
        <v>131520</v>
      </c>
      <c r="B2074" t="n">
        <v>128</v>
      </c>
      <c r="C2074" t="inlineStr">
        <is>
          <t>Love Cabaret</t>
        </is>
      </c>
      <c r="D2074" t="inlineStr">
        <is>
          <t>BRADESCO SA</t>
        </is>
      </c>
      <c r="E2074" t="n">
        <v>191.84</v>
      </c>
      <c r="F2074" s="27" t="n">
        <v>45786</v>
      </c>
      <c r="G2074" s="27" t="n"/>
      <c r="H2074" s="27" t="n">
        <v>45786</v>
      </c>
      <c r="I2074" s="27" t="n">
        <v>45786</v>
      </c>
      <c r="J2074" s="27" t="n">
        <v>45789</v>
      </c>
      <c r="K2074" t="inlineStr">
        <is>
          <t>Encontro de Contas</t>
        </is>
      </c>
      <c r="L2074" t="inlineStr">
        <is>
          <t>Despesas Financeiras</t>
        </is>
      </c>
      <c r="M2074" t="inlineStr">
        <is>
          <t>Tarifas Bancárias</t>
        </is>
      </c>
      <c r="N2074" t="inlineStr">
        <is>
          <t>052025</t>
        </is>
      </c>
      <c r="P2074" t="inlineStr">
        <is>
          <t>Aprovado Diretoria</t>
        </is>
      </c>
      <c r="R2074" t="inlineStr">
        <is>
          <t>Pago</t>
        </is>
      </c>
    </row>
    <row r="2075">
      <c r="A2075" t="n">
        <v>128433</v>
      </c>
      <c r="B2075" t="n">
        <v>128</v>
      </c>
      <c r="C2075" t="inlineStr">
        <is>
          <t>Love Cabaret</t>
        </is>
      </c>
      <c r="D2075" t="inlineStr">
        <is>
          <t>PJ23824129000110 - FELIPE DA COSTA SANTOS</t>
        </is>
      </c>
      <c r="E2075" t="n">
        <v>2180</v>
      </c>
      <c r="F2075" s="27" t="n">
        <v>45787</v>
      </c>
      <c r="G2075" s="27" t="n">
        <v>45784</v>
      </c>
      <c r="H2075" s="27" t="n">
        <v>45785</v>
      </c>
      <c r="I2075" s="27" t="n">
        <v>45748</v>
      </c>
      <c r="J2075" s="27" t="n">
        <v>45779</v>
      </c>
      <c r="K2075" t="inlineStr">
        <is>
          <t>Transferência Bancária ou Pix</t>
        </is>
      </c>
      <c r="L2075" t="inlineStr">
        <is>
          <t>Gorjeta</t>
        </is>
      </c>
      <c r="M2075" t="inlineStr">
        <is>
          <t xml:space="preserve">  -  Comissões e Gorjeta</t>
        </is>
      </c>
      <c r="N2075" t="inlineStr">
        <is>
          <t>39</t>
        </is>
      </c>
      <c r="O2075" t="inlineStr">
        <is>
          <t>Documentação Aprovada</t>
        </is>
      </c>
      <c r="P2075" t="inlineStr">
        <is>
          <t>Aprovado Diretoria</t>
        </is>
      </c>
      <c r="Q2075" t="inlineStr">
        <is>
          <t>Aprovado Caixa</t>
        </is>
      </c>
      <c r="R2075" t="inlineStr">
        <is>
          <t>Pago</t>
        </is>
      </c>
      <c r="S2075" t="n">
        <v>115</v>
      </c>
      <c r="T2075" t="inlineStr">
        <is>
          <t>Love - Shibari - Bradesco</t>
        </is>
      </c>
    </row>
    <row r="2076">
      <c r="A2076" t="n">
        <v>126349</v>
      </c>
      <c r="B2076" t="n">
        <v>128</v>
      </c>
      <c r="C2076" t="inlineStr">
        <is>
          <t>Love Cabaret</t>
        </is>
      </c>
      <c r="D2076" t="inlineStr">
        <is>
          <t>JULIA BAISCH FRANZ 02463978023</t>
        </is>
      </c>
      <c r="E2076" t="n">
        <v>8500</v>
      </c>
      <c r="F2076" s="27" t="n">
        <v>45787</v>
      </c>
      <c r="G2076" s="27" t="n">
        <v>45784</v>
      </c>
      <c r="H2076" s="27" t="n">
        <v>45785</v>
      </c>
      <c r="I2076" s="27" t="n">
        <v>45748</v>
      </c>
      <c r="J2076" s="27" t="n">
        <v>45764</v>
      </c>
      <c r="K2076" t="inlineStr">
        <is>
          <t>Transferência Bancária ou Pix</t>
        </is>
      </c>
      <c r="L2076" t="inlineStr">
        <is>
          <t>Custos Artístico Geral</t>
        </is>
      </c>
      <c r="M2076" t="inlineStr">
        <is>
          <t>Técnico de Som / Luz</t>
        </is>
      </c>
      <c r="N2076" t="inlineStr">
        <is>
          <t>2</t>
        </is>
      </c>
      <c r="O2076" t="inlineStr">
        <is>
          <t>Documentação Aprovada</t>
        </is>
      </c>
      <c r="P2076" t="inlineStr">
        <is>
          <t>Aprovado Diretoria</t>
        </is>
      </c>
      <c r="Q2076" t="inlineStr">
        <is>
          <t>Aprovado Caixa</t>
        </is>
      </c>
      <c r="R2076" t="inlineStr">
        <is>
          <t>Pago</t>
        </is>
      </c>
      <c r="S2076" t="n">
        <v>115</v>
      </c>
      <c r="T2076" t="inlineStr">
        <is>
          <t>Love - Shibari - Bradesco</t>
        </is>
      </c>
    </row>
    <row r="2077">
      <c r="A2077" t="n">
        <v>126358</v>
      </c>
      <c r="B2077" t="n">
        <v>128</v>
      </c>
      <c r="C2077" t="inlineStr">
        <is>
          <t>Love Cabaret</t>
        </is>
      </c>
      <c r="D2077" t="inlineStr">
        <is>
          <t>PJ 00092021 - VANESSA FERREIRA DEL SANTO</t>
        </is>
      </c>
      <c r="E2077" t="n">
        <v>3000</v>
      </c>
      <c r="F2077" s="27" t="n">
        <v>45787</v>
      </c>
      <c r="G2077" s="27" t="n">
        <v>45784</v>
      </c>
      <c r="H2077" s="27" t="n">
        <v>45784</v>
      </c>
      <c r="I2077" s="27" t="n">
        <v>45748</v>
      </c>
      <c r="J2077" s="27" t="n">
        <v>45764</v>
      </c>
      <c r="K2077" t="inlineStr">
        <is>
          <t>Transferência Bancária ou Pix</t>
        </is>
      </c>
      <c r="L2077" t="inlineStr">
        <is>
          <t>Mão de Obra - PJ</t>
        </is>
      </c>
      <c r="M2077" t="inlineStr">
        <is>
          <t>MDO PJ Fixo</t>
        </is>
      </c>
      <c r="N2077" t="inlineStr">
        <is>
          <t>261</t>
        </is>
      </c>
      <c r="O2077" t="inlineStr">
        <is>
          <t>Documentação Aprovada</t>
        </is>
      </c>
      <c r="P2077" t="inlineStr">
        <is>
          <t>Aprovado Diretoria</t>
        </is>
      </c>
      <c r="Q2077" t="inlineStr">
        <is>
          <t>Aprovado Caixa</t>
        </is>
      </c>
      <c r="R2077" t="inlineStr">
        <is>
          <t>Pago</t>
        </is>
      </c>
      <c r="S2077" t="n">
        <v>115</v>
      </c>
      <c r="T2077" t="inlineStr">
        <is>
          <t>Love - Shibari - Bradesco</t>
        </is>
      </c>
    </row>
    <row r="2078">
      <c r="A2078" t="n">
        <v>126320</v>
      </c>
      <c r="B2078" t="n">
        <v>128</v>
      </c>
      <c r="C2078" t="inlineStr">
        <is>
          <t>Love Cabaret</t>
        </is>
      </c>
      <c r="D2078" t="inlineStr">
        <is>
          <t>53.068.043 ISABELLA FERNANDES GOMES</t>
        </is>
      </c>
      <c r="E2078" t="n">
        <v>1200</v>
      </c>
      <c r="F2078" s="27" t="n">
        <v>45787</v>
      </c>
      <c r="G2078" s="27" t="n">
        <v>45784</v>
      </c>
      <c r="H2078" s="27" t="n">
        <v>45784</v>
      </c>
      <c r="I2078" s="27" t="n">
        <v>45748</v>
      </c>
      <c r="J2078" s="27" t="n">
        <v>45764</v>
      </c>
      <c r="K2078" t="inlineStr">
        <is>
          <t>Transferência Bancária ou Pix</t>
        </is>
      </c>
      <c r="L2078" t="inlineStr">
        <is>
          <t>Mão de Obra - PJ</t>
        </is>
      </c>
      <c r="M2078" t="inlineStr">
        <is>
          <t>MDO PJ Fixo</t>
        </is>
      </c>
      <c r="N2078" t="inlineStr">
        <is>
          <t>46</t>
        </is>
      </c>
      <c r="O2078" t="inlineStr">
        <is>
          <t>Documentação Aprovada</t>
        </is>
      </c>
      <c r="P2078" t="inlineStr">
        <is>
          <t>Aprovado Diretoria</t>
        </is>
      </c>
      <c r="Q2078" t="inlineStr">
        <is>
          <t>Aprovado Caixa</t>
        </is>
      </c>
      <c r="R2078" t="inlineStr">
        <is>
          <t>Pago</t>
        </is>
      </c>
      <c r="S2078" t="n">
        <v>115</v>
      </c>
      <c r="T2078" t="inlineStr">
        <is>
          <t>Love - Shibari - Bradesco</t>
        </is>
      </c>
    </row>
    <row r="2079">
      <c r="A2079" t="n">
        <v>126325</v>
      </c>
      <c r="B2079" t="n">
        <v>128</v>
      </c>
      <c r="C2079" t="inlineStr">
        <is>
          <t>Love Cabaret</t>
        </is>
      </c>
      <c r="D2079" t="inlineStr">
        <is>
          <t>PJ 00352023 - JESSICA IZABEL DE SOUZA</t>
        </is>
      </c>
      <c r="E2079" t="n">
        <v>1250</v>
      </c>
      <c r="F2079" s="27" t="n">
        <v>45787</v>
      </c>
      <c r="G2079" s="27" t="n">
        <v>45784</v>
      </c>
      <c r="H2079" s="27" t="n">
        <v>45784</v>
      </c>
      <c r="I2079" s="27" t="n">
        <v>45748</v>
      </c>
      <c r="J2079" s="27" t="n">
        <v>45764</v>
      </c>
      <c r="K2079" t="inlineStr">
        <is>
          <t>Transferência Bancária ou Pix</t>
        </is>
      </c>
      <c r="L2079" t="inlineStr">
        <is>
          <t>Mão de Obra - PJ</t>
        </is>
      </c>
      <c r="M2079" t="inlineStr">
        <is>
          <t>MDO PJ Fixo</t>
        </is>
      </c>
      <c r="N2079" t="inlineStr">
        <is>
          <t>71</t>
        </is>
      </c>
      <c r="O2079" t="inlineStr">
        <is>
          <t>Documentação Aprovada</t>
        </is>
      </c>
      <c r="P2079" t="inlineStr">
        <is>
          <t>Aprovado Diretoria</t>
        </is>
      </c>
      <c r="Q2079" t="inlineStr">
        <is>
          <t>Aprovado Caixa</t>
        </is>
      </c>
      <c r="R2079" t="inlineStr">
        <is>
          <t>Pago</t>
        </is>
      </c>
      <c r="S2079" t="n">
        <v>115</v>
      </c>
      <c r="T2079" t="inlineStr">
        <is>
          <t>Love - Shibari - Bradesco</t>
        </is>
      </c>
    </row>
    <row r="2080">
      <c r="A2080" t="n">
        <v>126301</v>
      </c>
      <c r="B2080" t="n">
        <v>128</v>
      </c>
      <c r="C2080" t="inlineStr">
        <is>
          <t>Love Cabaret</t>
        </is>
      </c>
      <c r="D2080" t="inlineStr">
        <is>
          <t xml:space="preserve">AGNES RODRIGUES DE OLIVEIRA </t>
        </is>
      </c>
      <c r="E2080" t="n">
        <v>5000</v>
      </c>
      <c r="F2080" s="27" t="n">
        <v>45787</v>
      </c>
      <c r="G2080" s="27" t="n">
        <v>45784</v>
      </c>
      <c r="H2080" s="27" t="n">
        <v>45784</v>
      </c>
      <c r="I2080" s="27" t="n">
        <v>45748</v>
      </c>
      <c r="J2080" s="27" t="n">
        <v>45764</v>
      </c>
      <c r="K2080" t="inlineStr">
        <is>
          <t>Transferência Bancária ou Pix</t>
        </is>
      </c>
      <c r="L2080" t="inlineStr">
        <is>
          <t>Custos Artístico Geral</t>
        </is>
      </c>
      <c r="M2080" t="inlineStr">
        <is>
          <t>Técnico de Som / Luz</t>
        </is>
      </c>
      <c r="N2080" t="inlineStr">
        <is>
          <t>30</t>
        </is>
      </c>
      <c r="O2080" t="inlineStr">
        <is>
          <t>Documentação Aprovada</t>
        </is>
      </c>
      <c r="P2080" t="inlineStr">
        <is>
          <t>Aprovado Diretoria</t>
        </is>
      </c>
      <c r="Q2080" t="inlineStr">
        <is>
          <t>Aprovado Caixa</t>
        </is>
      </c>
      <c r="R2080" t="inlineStr">
        <is>
          <t>Pago</t>
        </is>
      </c>
      <c r="S2080" t="n">
        <v>115</v>
      </c>
      <c r="T2080" t="inlineStr">
        <is>
          <t>Love - Shibari - Bradesco</t>
        </is>
      </c>
    </row>
    <row r="2081">
      <c r="A2081" t="n">
        <v>126309</v>
      </c>
      <c r="B2081" t="n">
        <v>128</v>
      </c>
      <c r="C2081" t="inlineStr">
        <is>
          <t>Love Cabaret</t>
        </is>
      </c>
      <c r="D2081" t="inlineStr">
        <is>
          <t>ANDRE RODRIGUES AZEVEDO</t>
        </is>
      </c>
      <c r="E2081" t="n">
        <v>7420</v>
      </c>
      <c r="F2081" s="27" t="n">
        <v>45787</v>
      </c>
      <c r="G2081" s="27" t="n">
        <v>45784</v>
      </c>
      <c r="H2081" s="27" t="n">
        <v>45784</v>
      </c>
      <c r="I2081" s="27" t="n">
        <v>45748</v>
      </c>
      <c r="J2081" s="27" t="n">
        <v>45764</v>
      </c>
      <c r="K2081" t="inlineStr">
        <is>
          <t>Transferência Bancária ou Pix</t>
        </is>
      </c>
      <c r="L2081" t="inlineStr">
        <is>
          <t>Custos Artístico Geral</t>
        </is>
      </c>
      <c r="M2081" t="inlineStr">
        <is>
          <t>Técnico de Som / Luz</t>
        </is>
      </c>
      <c r="N2081" t="inlineStr">
        <is>
          <t>58</t>
        </is>
      </c>
      <c r="O2081" t="inlineStr">
        <is>
          <t>Documentação Aprovada</t>
        </is>
      </c>
      <c r="P2081" t="inlineStr">
        <is>
          <t>Aprovado Diretoria</t>
        </is>
      </c>
      <c r="Q2081" t="inlineStr">
        <is>
          <t>Aprovado Caixa</t>
        </is>
      </c>
      <c r="R2081" t="inlineStr">
        <is>
          <t>Pago</t>
        </is>
      </c>
      <c r="S2081" t="n">
        <v>115</v>
      </c>
      <c r="T2081" t="inlineStr">
        <is>
          <t>Love - Shibari - Bradesco</t>
        </is>
      </c>
    </row>
    <row r="2082">
      <c r="A2082" t="n">
        <v>126001</v>
      </c>
      <c r="B2082" t="n">
        <v>128</v>
      </c>
      <c r="C2082" t="inlineStr">
        <is>
          <t>Love Cabaret</t>
        </is>
      </c>
      <c r="D2082" t="inlineStr">
        <is>
          <t>DTK COMERCIO DE ALIMENTOS LTDA</t>
        </is>
      </c>
      <c r="E2082" t="n">
        <v>940.8200000000001</v>
      </c>
      <c r="F2082" s="27" t="n">
        <v>45782</v>
      </c>
      <c r="G2082" s="27" t="n">
        <v>45784</v>
      </c>
      <c r="H2082" s="27" t="n">
        <v>45784</v>
      </c>
      <c r="I2082" s="27" t="n">
        <v>45761</v>
      </c>
      <c r="J2082" s="27" t="n">
        <v>45763</v>
      </c>
      <c r="K2082" t="inlineStr">
        <is>
          <t>Boleto Bancário</t>
        </is>
      </c>
      <c r="L2082" t="inlineStr">
        <is>
          <t>Custo Mercadoria Vendida</t>
        </is>
      </c>
      <c r="M2082" t="inlineStr">
        <is>
          <t>Insumos - Alimentos</t>
        </is>
      </c>
      <c r="N2082" t="inlineStr">
        <is>
          <t>28265</t>
        </is>
      </c>
      <c r="O2082" t="inlineStr">
        <is>
          <t>Documentação Aprovada</t>
        </is>
      </c>
      <c r="P2082" t="inlineStr">
        <is>
          <t>Aprovado Diretoria</t>
        </is>
      </c>
      <c r="Q2082" t="inlineStr">
        <is>
          <t>Aprovado Caixa</t>
        </is>
      </c>
      <c r="R2082" t="inlineStr">
        <is>
          <t>Pago</t>
        </is>
      </c>
      <c r="S2082" t="n">
        <v>115</v>
      </c>
      <c r="T2082" t="inlineStr">
        <is>
          <t>Love - Shibari - Bradesco</t>
        </is>
      </c>
    </row>
    <row r="2083">
      <c r="A2083" t="n">
        <v>126339</v>
      </c>
      <c r="B2083" t="n">
        <v>128</v>
      </c>
      <c r="C2083" t="inlineStr">
        <is>
          <t>Love Cabaret</t>
        </is>
      </c>
      <c r="D2083" t="inlineStr">
        <is>
          <t>JOAO VITOR MENDES SALUSTIANO</t>
        </is>
      </c>
      <c r="E2083" t="n">
        <v>4800</v>
      </c>
      <c r="F2083" s="27" t="n">
        <v>45787</v>
      </c>
      <c r="G2083" s="27" t="n">
        <v>45784</v>
      </c>
      <c r="H2083" s="27" t="n">
        <v>45784</v>
      </c>
      <c r="I2083" s="27" t="n">
        <v>45748</v>
      </c>
      <c r="J2083" s="27" t="n">
        <v>45764</v>
      </c>
      <c r="K2083" t="inlineStr">
        <is>
          <t>Transferência Bancária ou Pix</t>
        </is>
      </c>
      <c r="L2083" t="inlineStr">
        <is>
          <t>Mão de Obra - PJ</t>
        </is>
      </c>
      <c r="M2083" t="inlineStr">
        <is>
          <t>MDO PJ Fixo</t>
        </is>
      </c>
      <c r="N2083" t="inlineStr">
        <is>
          <t>145</t>
        </is>
      </c>
      <c r="O2083" t="inlineStr">
        <is>
          <t>Documentação Aprovada</t>
        </is>
      </c>
      <c r="P2083" t="inlineStr">
        <is>
          <t>Aprovado Diretoria</t>
        </is>
      </c>
      <c r="Q2083" t="inlineStr">
        <is>
          <t>Aprovado Caixa</t>
        </is>
      </c>
      <c r="R2083" t="inlineStr">
        <is>
          <t>Pago</t>
        </is>
      </c>
      <c r="S2083" t="n">
        <v>115</v>
      </c>
      <c r="T2083" t="inlineStr">
        <is>
          <t>Love - Shibari - Bradesco</t>
        </is>
      </c>
    </row>
    <row r="2084">
      <c r="A2084" t="n">
        <v>126361</v>
      </c>
      <c r="B2084" t="n">
        <v>128</v>
      </c>
      <c r="C2084" t="inlineStr">
        <is>
          <t>Love Cabaret</t>
        </is>
      </c>
      <c r="D2084" t="inlineStr">
        <is>
          <t>MARIA EDUARDA RAMOS DE SOUSA</t>
        </is>
      </c>
      <c r="E2084" t="n">
        <v>1600</v>
      </c>
      <c r="F2084" s="27" t="n">
        <v>45787</v>
      </c>
      <c r="G2084" s="27" t="n">
        <v>45784</v>
      </c>
      <c r="H2084" s="27" t="n">
        <v>45784</v>
      </c>
      <c r="I2084" s="27" t="n">
        <v>45748</v>
      </c>
      <c r="J2084" s="27" t="n">
        <v>45764</v>
      </c>
      <c r="K2084" t="inlineStr">
        <is>
          <t>Transferência Bancária ou Pix</t>
        </is>
      </c>
      <c r="L2084" t="inlineStr">
        <is>
          <t>Mão de Obra - PJ</t>
        </is>
      </c>
      <c r="M2084" t="inlineStr">
        <is>
          <t>MDO PJ Fixo</t>
        </is>
      </c>
      <c r="N2084" t="inlineStr">
        <is>
          <t>37</t>
        </is>
      </c>
      <c r="O2084" t="inlineStr">
        <is>
          <t>Documentação Aprovada</t>
        </is>
      </c>
      <c r="P2084" t="inlineStr">
        <is>
          <t>Aprovado Diretoria</t>
        </is>
      </c>
      <c r="Q2084" t="inlineStr">
        <is>
          <t>Aprovado Caixa</t>
        </is>
      </c>
      <c r="R2084" t="inlineStr">
        <is>
          <t>Pago</t>
        </is>
      </c>
      <c r="S2084" t="n">
        <v>115</v>
      </c>
      <c r="T2084" t="inlineStr">
        <is>
          <t>Love - Shibari - Bradesco</t>
        </is>
      </c>
    </row>
    <row r="2085">
      <c r="A2085" t="n">
        <v>126360</v>
      </c>
      <c r="B2085" t="n">
        <v>128</v>
      </c>
      <c r="C2085" t="inlineStr">
        <is>
          <t>Love Cabaret</t>
        </is>
      </c>
      <c r="D2085" t="inlineStr">
        <is>
          <t>WAGNER DA SILVA FRANCA</t>
        </is>
      </c>
      <c r="E2085" t="n">
        <v>4000</v>
      </c>
      <c r="F2085" s="27" t="n">
        <v>45787</v>
      </c>
      <c r="G2085" s="27" t="n">
        <v>45784</v>
      </c>
      <c r="H2085" s="27" t="n">
        <v>45784</v>
      </c>
      <c r="I2085" s="27" t="n">
        <v>45748</v>
      </c>
      <c r="J2085" s="27" t="n">
        <v>45764</v>
      </c>
      <c r="K2085" t="inlineStr">
        <is>
          <t>Transferência Bancária ou Pix</t>
        </is>
      </c>
      <c r="L2085" t="inlineStr">
        <is>
          <t>Mão de Obra - PJ</t>
        </is>
      </c>
      <c r="M2085" t="inlineStr">
        <is>
          <t>MDO PJ Fixo</t>
        </is>
      </c>
      <c r="N2085" t="inlineStr">
        <is>
          <t>32</t>
        </is>
      </c>
      <c r="O2085" t="inlineStr">
        <is>
          <t>Documentação Aprovada</t>
        </is>
      </c>
      <c r="P2085" t="inlineStr">
        <is>
          <t>Aprovado Diretoria</t>
        </is>
      </c>
      <c r="Q2085" t="inlineStr">
        <is>
          <t>Aprovado Caixa</t>
        </is>
      </c>
      <c r="R2085" t="inlineStr">
        <is>
          <t>Pago</t>
        </is>
      </c>
      <c r="S2085" t="n">
        <v>115</v>
      </c>
      <c r="T2085" t="inlineStr">
        <is>
          <t>Love - Shibari - Bradesco</t>
        </is>
      </c>
    </row>
    <row r="2086">
      <c r="A2086" t="n">
        <v>126356</v>
      </c>
      <c r="B2086" t="n">
        <v>128</v>
      </c>
      <c r="C2086" t="inlineStr">
        <is>
          <t>Love Cabaret</t>
        </is>
      </c>
      <c r="D2086" t="inlineStr">
        <is>
          <t>PJ 00502024 THIAGO PINHEIRO DA SILVA</t>
        </is>
      </c>
      <c r="E2086" t="n">
        <v>1125</v>
      </c>
      <c r="F2086" s="27" t="n">
        <v>45787</v>
      </c>
      <c r="G2086" s="27" t="n">
        <v>45784</v>
      </c>
      <c r="H2086" s="27" t="n">
        <v>45784</v>
      </c>
      <c r="I2086" s="27" t="n">
        <v>45748</v>
      </c>
      <c r="J2086" s="27" t="n">
        <v>45764</v>
      </c>
      <c r="K2086" t="inlineStr">
        <is>
          <t>Transferência Bancária ou Pix</t>
        </is>
      </c>
      <c r="L2086" t="inlineStr">
        <is>
          <t>Mão de Obra - PJ</t>
        </is>
      </c>
      <c r="M2086" t="inlineStr">
        <is>
          <t>MDO PJ Fixo</t>
        </is>
      </c>
      <c r="N2086" t="inlineStr">
        <is>
          <t>44</t>
        </is>
      </c>
      <c r="O2086" t="inlineStr">
        <is>
          <t>Documentação Aprovada</t>
        </is>
      </c>
      <c r="P2086" t="inlineStr">
        <is>
          <t>Aprovado Diretoria</t>
        </is>
      </c>
      <c r="Q2086" t="inlineStr">
        <is>
          <t>Aprovado Caixa</t>
        </is>
      </c>
      <c r="R2086" t="inlineStr">
        <is>
          <t>Pago</t>
        </is>
      </c>
      <c r="S2086" t="n">
        <v>115</v>
      </c>
      <c r="T2086" t="inlineStr">
        <is>
          <t>Love - Shibari - Bradesco</t>
        </is>
      </c>
    </row>
    <row r="2087">
      <c r="A2087" t="n">
        <v>126355</v>
      </c>
      <c r="B2087" t="n">
        <v>128</v>
      </c>
      <c r="C2087" t="inlineStr">
        <is>
          <t>Love Cabaret</t>
        </is>
      </c>
      <c r="D2087" t="inlineStr">
        <is>
          <t>PJ 00132021 - TELES DE ALMEIDA PINTO</t>
        </is>
      </c>
      <c r="E2087" t="n">
        <v>1600</v>
      </c>
      <c r="F2087" s="27" t="n">
        <v>45787</v>
      </c>
      <c r="G2087" s="27" t="n">
        <v>45784</v>
      </c>
      <c r="H2087" s="27" t="n">
        <v>45784</v>
      </c>
      <c r="I2087" s="27" t="n">
        <v>45748</v>
      </c>
      <c r="J2087" s="27" t="n">
        <v>45764</v>
      </c>
      <c r="K2087" t="inlineStr">
        <is>
          <t>Transferência Bancária ou Pix</t>
        </is>
      </c>
      <c r="L2087" t="inlineStr">
        <is>
          <t>Mão de Obra - PJ</t>
        </is>
      </c>
      <c r="M2087" t="inlineStr">
        <is>
          <t>MDO PJ Fixo</t>
        </is>
      </c>
      <c r="N2087" t="inlineStr">
        <is>
          <t>16</t>
        </is>
      </c>
      <c r="O2087" t="inlineStr">
        <is>
          <t>Documentação Aprovada</t>
        </is>
      </c>
      <c r="P2087" t="inlineStr">
        <is>
          <t>Aprovado Diretoria</t>
        </is>
      </c>
      <c r="Q2087" t="inlineStr">
        <is>
          <t>Aprovado Caixa</t>
        </is>
      </c>
      <c r="R2087" t="inlineStr">
        <is>
          <t>Pago</t>
        </is>
      </c>
      <c r="S2087" t="n">
        <v>115</v>
      </c>
      <c r="T2087" t="inlineStr">
        <is>
          <t>Love - Shibari - Bradesco</t>
        </is>
      </c>
    </row>
    <row r="2088">
      <c r="A2088" t="n">
        <v>126354</v>
      </c>
      <c r="B2088" t="n">
        <v>128</v>
      </c>
      <c r="C2088" t="inlineStr">
        <is>
          <t>Love Cabaret</t>
        </is>
      </c>
      <c r="D2088" t="inlineStr">
        <is>
          <t>TAMARA SANTOS RIBEIRO</t>
        </is>
      </c>
      <c r="E2088" t="n">
        <v>3500</v>
      </c>
      <c r="F2088" s="27" t="n">
        <v>45787</v>
      </c>
      <c r="G2088" s="27" t="n">
        <v>45784</v>
      </c>
      <c r="H2088" s="27" t="n">
        <v>45784</v>
      </c>
      <c r="I2088" s="27" t="n">
        <v>45748</v>
      </c>
      <c r="J2088" s="27" t="n">
        <v>45764</v>
      </c>
      <c r="K2088" t="inlineStr">
        <is>
          <t>Transferência Bancária ou Pix</t>
        </is>
      </c>
      <c r="L2088" t="inlineStr">
        <is>
          <t>Mão de Obra - PJ</t>
        </is>
      </c>
      <c r="M2088" t="inlineStr">
        <is>
          <t>MDO PJ Fixo</t>
        </is>
      </c>
      <c r="N2088" t="inlineStr">
        <is>
          <t>22</t>
        </is>
      </c>
      <c r="O2088" t="inlineStr">
        <is>
          <t>Documentação Aprovada</t>
        </is>
      </c>
      <c r="P2088" t="inlineStr">
        <is>
          <t>Aprovado Diretoria</t>
        </is>
      </c>
      <c r="Q2088" t="inlineStr">
        <is>
          <t>Aprovado Caixa</t>
        </is>
      </c>
      <c r="R2088" t="inlineStr">
        <is>
          <t>Pago</t>
        </is>
      </c>
      <c r="S2088" t="n">
        <v>115</v>
      </c>
      <c r="T2088" t="inlineStr">
        <is>
          <t>Love - Shibari - Bradesco</t>
        </is>
      </c>
    </row>
    <row r="2089">
      <c r="A2089" t="n">
        <v>126310</v>
      </c>
      <c r="B2089" t="n">
        <v>128</v>
      </c>
      <c r="C2089" t="inlineStr">
        <is>
          <t>Love Cabaret</t>
        </is>
      </c>
      <c r="D2089" t="inlineStr">
        <is>
          <t xml:space="preserve">DOUGLAS FELIPE DOMINGUES GONCALVES </t>
        </is>
      </c>
      <c r="E2089" t="n">
        <v>3500</v>
      </c>
      <c r="F2089" s="27" t="n">
        <v>45787</v>
      </c>
      <c r="G2089" s="27" t="n">
        <v>45784</v>
      </c>
      <c r="H2089" s="27" t="n">
        <v>45784</v>
      </c>
      <c r="I2089" s="27" t="n">
        <v>45748</v>
      </c>
      <c r="J2089" s="27" t="n">
        <v>45764</v>
      </c>
      <c r="K2089" t="inlineStr">
        <is>
          <t>Transferência Bancária ou Pix</t>
        </is>
      </c>
      <c r="L2089" t="inlineStr">
        <is>
          <t>Custos Artístico Geral</t>
        </is>
      </c>
      <c r="M2089" t="inlineStr">
        <is>
          <t>Técnico de Som / Luz</t>
        </is>
      </c>
      <c r="N2089" t="inlineStr">
        <is>
          <t>38</t>
        </is>
      </c>
      <c r="O2089" t="inlineStr">
        <is>
          <t>Documentação Aprovada</t>
        </is>
      </c>
      <c r="P2089" t="inlineStr">
        <is>
          <t>Aprovado Diretoria</t>
        </is>
      </c>
      <c r="Q2089" t="inlineStr">
        <is>
          <t>Aprovado Caixa</t>
        </is>
      </c>
      <c r="R2089" t="inlineStr">
        <is>
          <t>Pago</t>
        </is>
      </c>
      <c r="S2089" t="n">
        <v>115</v>
      </c>
      <c r="T2089" t="inlineStr">
        <is>
          <t>Love - Shibari - Bradesco</t>
        </is>
      </c>
    </row>
    <row r="2090">
      <c r="A2090" t="n">
        <v>126353</v>
      </c>
      <c r="B2090" t="n">
        <v>128</v>
      </c>
      <c r="C2090" t="inlineStr">
        <is>
          <t>Love Cabaret</t>
        </is>
      </c>
      <c r="D2090" t="inlineStr">
        <is>
          <t>ROBERTA MARIA SANTANA</t>
        </is>
      </c>
      <c r="E2090" t="n">
        <v>4000</v>
      </c>
      <c r="F2090" s="27" t="n">
        <v>45787</v>
      </c>
      <c r="G2090" s="27" t="n">
        <v>45784</v>
      </c>
      <c r="H2090" s="27" t="n">
        <v>45784</v>
      </c>
      <c r="I2090" s="27" t="n">
        <v>45748</v>
      </c>
      <c r="J2090" s="27" t="n">
        <v>45764</v>
      </c>
      <c r="K2090" t="inlineStr">
        <is>
          <t>Transferência Bancária ou Pix</t>
        </is>
      </c>
      <c r="L2090" t="inlineStr">
        <is>
          <t>Mão de Obra - PJ</t>
        </is>
      </c>
      <c r="M2090" t="inlineStr">
        <is>
          <t>MDO PJ Fixo</t>
        </is>
      </c>
      <c r="N2090" t="inlineStr">
        <is>
          <t>9</t>
        </is>
      </c>
      <c r="O2090" t="inlineStr">
        <is>
          <t>Documentação Aprovada</t>
        </is>
      </c>
      <c r="P2090" t="inlineStr">
        <is>
          <t>Aprovado Diretoria</t>
        </is>
      </c>
      <c r="Q2090" t="inlineStr">
        <is>
          <t>Aprovado Caixa</t>
        </is>
      </c>
      <c r="R2090" t="inlineStr">
        <is>
          <t>Pago</t>
        </is>
      </c>
      <c r="S2090" t="n">
        <v>115</v>
      </c>
      <c r="T2090" t="inlineStr">
        <is>
          <t>Love - Shibari - Bradesco</t>
        </is>
      </c>
    </row>
    <row r="2091">
      <c r="A2091" t="n">
        <v>126314</v>
      </c>
      <c r="B2091" t="n">
        <v>128</v>
      </c>
      <c r="C2091" t="inlineStr">
        <is>
          <t>Love Cabaret</t>
        </is>
      </c>
      <c r="D2091" t="inlineStr">
        <is>
          <t>PJ23824129000110 - FELIPE DA COSTA SANTOS</t>
        </is>
      </c>
      <c r="E2091" t="n">
        <v>5100</v>
      </c>
      <c r="F2091" s="27" t="n">
        <v>45787</v>
      </c>
      <c r="G2091" s="27" t="n">
        <v>45784</v>
      </c>
      <c r="H2091" s="27" t="n">
        <v>45784</v>
      </c>
      <c r="I2091" s="27" t="n">
        <v>45748</v>
      </c>
      <c r="J2091" s="27" t="n">
        <v>45764</v>
      </c>
      <c r="K2091" t="inlineStr">
        <is>
          <t>Transferência Bancária ou Pix</t>
        </is>
      </c>
      <c r="L2091" t="inlineStr">
        <is>
          <t>Mão de Obra - PJ</t>
        </is>
      </c>
      <c r="M2091" t="inlineStr">
        <is>
          <t>MDO PJ Fixo</t>
        </is>
      </c>
      <c r="N2091" t="inlineStr">
        <is>
          <t>47</t>
        </is>
      </c>
      <c r="O2091" t="inlineStr">
        <is>
          <t>Documentação Aprovada</t>
        </is>
      </c>
      <c r="P2091" t="inlineStr">
        <is>
          <t>Aprovado Diretoria</t>
        </is>
      </c>
      <c r="Q2091" t="inlineStr">
        <is>
          <t>Aprovado Caixa</t>
        </is>
      </c>
      <c r="R2091" t="inlineStr">
        <is>
          <t>Pago</t>
        </is>
      </c>
      <c r="S2091" t="n">
        <v>115</v>
      </c>
      <c r="T2091" t="inlineStr">
        <is>
          <t>Love - Shibari - Bradesco</t>
        </is>
      </c>
    </row>
    <row r="2092">
      <c r="A2092" t="n">
        <v>126351</v>
      </c>
      <c r="B2092" t="n">
        <v>128</v>
      </c>
      <c r="C2092" t="inlineStr">
        <is>
          <t>Love Cabaret</t>
        </is>
      </c>
      <c r="D2092" t="inlineStr">
        <is>
          <t xml:space="preserve">PJ 00452023 LAISA ROCHA LARANGEIRA </t>
        </is>
      </c>
      <c r="E2092" t="n">
        <v>1600</v>
      </c>
      <c r="F2092" s="27" t="n">
        <v>45787</v>
      </c>
      <c r="G2092" s="27" t="n">
        <v>45784</v>
      </c>
      <c r="H2092" s="27" t="n">
        <v>45784</v>
      </c>
      <c r="I2092" s="27" t="n">
        <v>45748</v>
      </c>
      <c r="J2092" s="27" t="n">
        <v>45764</v>
      </c>
      <c r="K2092" t="inlineStr">
        <is>
          <t>Transferência Bancária ou Pix</t>
        </is>
      </c>
      <c r="L2092" t="inlineStr">
        <is>
          <t>Mão de Obra - PJ</t>
        </is>
      </c>
      <c r="M2092" t="inlineStr">
        <is>
          <t>MDO PJ Fixo</t>
        </is>
      </c>
      <c r="N2092" t="inlineStr">
        <is>
          <t>68</t>
        </is>
      </c>
      <c r="O2092" t="inlineStr">
        <is>
          <t>Documentação Aprovada</t>
        </is>
      </c>
      <c r="P2092" t="inlineStr">
        <is>
          <t>Aprovado Diretoria</t>
        </is>
      </c>
      <c r="Q2092" t="inlineStr">
        <is>
          <t>Aprovado Caixa</t>
        </is>
      </c>
      <c r="R2092" t="inlineStr">
        <is>
          <t>Pago</t>
        </is>
      </c>
      <c r="S2092" t="n">
        <v>115</v>
      </c>
      <c r="T2092" t="inlineStr">
        <is>
          <t>Love - Shibari - Bradesco</t>
        </is>
      </c>
    </row>
    <row r="2093">
      <c r="A2093" t="n">
        <v>126316</v>
      </c>
      <c r="B2093" t="n">
        <v>128</v>
      </c>
      <c r="C2093" t="inlineStr">
        <is>
          <t>Love Cabaret</t>
        </is>
      </c>
      <c r="D2093" t="inlineStr">
        <is>
          <t>PUXURI CONSULTORIA LTDA</t>
        </is>
      </c>
      <c r="E2093" t="n">
        <v>4000</v>
      </c>
      <c r="F2093" s="27" t="n">
        <v>45787</v>
      </c>
      <c r="G2093" s="27" t="n">
        <v>45784</v>
      </c>
      <c r="H2093" s="27" t="n">
        <v>45784</v>
      </c>
      <c r="I2093" s="27" t="n">
        <v>45748</v>
      </c>
      <c r="J2093" s="27" t="n">
        <v>45764</v>
      </c>
      <c r="K2093" t="inlineStr">
        <is>
          <t>Transferência Bancária ou Pix</t>
        </is>
      </c>
      <c r="L2093" t="inlineStr">
        <is>
          <t>Mão de Obra - PJ</t>
        </is>
      </c>
      <c r="M2093" t="inlineStr">
        <is>
          <t>MDO PJ Fixo</t>
        </is>
      </c>
      <c r="N2093" t="inlineStr">
        <is>
          <t>107</t>
        </is>
      </c>
      <c r="O2093" t="inlineStr">
        <is>
          <t>Documentação Aprovada</t>
        </is>
      </c>
      <c r="P2093" t="inlineStr">
        <is>
          <t>Aprovado Diretoria</t>
        </is>
      </c>
      <c r="Q2093" t="inlineStr">
        <is>
          <t>Aprovado Caixa</t>
        </is>
      </c>
      <c r="R2093" t="inlineStr">
        <is>
          <t>Pago</t>
        </is>
      </c>
      <c r="S2093" t="n">
        <v>115</v>
      </c>
      <c r="T2093" t="inlineStr">
        <is>
          <t>Love - Shibari - Bradesco</t>
        </is>
      </c>
    </row>
    <row r="2094">
      <c r="A2094" t="n">
        <v>125925</v>
      </c>
      <c r="B2094" t="n">
        <v>128</v>
      </c>
      <c r="C2094" t="inlineStr">
        <is>
          <t>Love Cabaret</t>
        </is>
      </c>
      <c r="D2094" t="inlineStr">
        <is>
          <t xml:space="preserve">HORTIFRUTI DO CHEF LTDA </t>
        </is>
      </c>
      <c r="E2094" t="n">
        <v>441.95</v>
      </c>
      <c r="F2094" s="27" t="n">
        <v>45786</v>
      </c>
      <c r="G2094" s="27" t="n">
        <v>45784</v>
      </c>
      <c r="H2094" s="27" t="n">
        <v>45784</v>
      </c>
      <c r="I2094" s="27" t="n">
        <v>45757</v>
      </c>
      <c r="J2094" s="27" t="n">
        <v>45763</v>
      </c>
      <c r="K2094" t="inlineStr">
        <is>
          <t>Boleto Bancário</t>
        </is>
      </c>
      <c r="L2094" t="inlineStr">
        <is>
          <t>Custo Mercadoria Vendida</t>
        </is>
      </c>
      <c r="M2094" t="inlineStr">
        <is>
          <t>Insumos - Alimentos</t>
        </is>
      </c>
      <c r="N2094" t="inlineStr">
        <is>
          <t>26407</t>
        </is>
      </c>
      <c r="O2094" t="inlineStr">
        <is>
          <t>Documentação Aprovada</t>
        </is>
      </c>
      <c r="P2094" t="inlineStr">
        <is>
          <t>Aprovado Diretoria</t>
        </is>
      </c>
      <c r="Q2094" t="inlineStr">
        <is>
          <t>Aprovado Caixa</t>
        </is>
      </c>
      <c r="R2094" t="inlineStr">
        <is>
          <t>Pago</t>
        </is>
      </c>
      <c r="S2094" t="n">
        <v>115</v>
      </c>
      <c r="T2094" t="inlineStr">
        <is>
          <t>Love - Shibari - Bradesco</t>
        </is>
      </c>
    </row>
    <row r="2095">
      <c r="A2095" t="n">
        <v>128408</v>
      </c>
      <c r="B2095" t="n">
        <v>128</v>
      </c>
      <c r="C2095" t="inlineStr">
        <is>
          <t>Love Cabaret</t>
        </is>
      </c>
      <c r="D2095" t="inlineStr">
        <is>
          <t>PARAMU COMERCIO E REPRESENTACAO DE PRODUTOS ALIMENTICIOS</t>
        </is>
      </c>
      <c r="E2095" t="n">
        <v>744.4</v>
      </c>
      <c r="F2095" s="27" t="n">
        <v>45785</v>
      </c>
      <c r="G2095" s="27" t="n">
        <v>45784</v>
      </c>
      <c r="H2095" s="27" t="n">
        <v>45784</v>
      </c>
      <c r="I2095" s="27" t="n">
        <v>45772</v>
      </c>
      <c r="J2095" s="27" t="n">
        <v>45779</v>
      </c>
      <c r="K2095" t="inlineStr">
        <is>
          <t>Boleto Bancário</t>
        </is>
      </c>
      <c r="L2095" t="inlineStr">
        <is>
          <t>Custo Mercadoria Vendida</t>
        </is>
      </c>
      <c r="M2095" t="inlineStr">
        <is>
          <t>Insumos - Alimentos</t>
        </is>
      </c>
      <c r="N2095" t="inlineStr">
        <is>
          <t>13660</t>
        </is>
      </c>
      <c r="O2095" t="inlineStr">
        <is>
          <t>Documentação Aprovada</t>
        </is>
      </c>
      <c r="P2095" t="inlineStr">
        <is>
          <t>Aprovado Diretoria</t>
        </is>
      </c>
      <c r="Q2095" t="inlineStr">
        <is>
          <t>Aprovado Caixa</t>
        </is>
      </c>
      <c r="R2095" t="inlineStr">
        <is>
          <t>Pago</t>
        </is>
      </c>
      <c r="S2095" t="n">
        <v>115</v>
      </c>
      <c r="T2095" t="inlineStr">
        <is>
          <t>Love - Shibari - Bradesco</t>
        </is>
      </c>
    </row>
    <row r="2096">
      <c r="A2096" t="n">
        <v>128432</v>
      </c>
      <c r="B2096" t="n">
        <v>128</v>
      </c>
      <c r="C2096" t="inlineStr">
        <is>
          <t>Love Cabaret</t>
        </is>
      </c>
      <c r="D2096" t="inlineStr">
        <is>
          <t>PJ 43960118000174 - DIEGO OLIVEIRA SANTANA</t>
        </is>
      </c>
      <c r="E2096" t="n">
        <v>620</v>
      </c>
      <c r="F2096" s="27" t="n">
        <v>45787</v>
      </c>
      <c r="G2096" s="27" t="n">
        <v>45784</v>
      </c>
      <c r="H2096" s="27" t="n">
        <v>45784</v>
      </c>
      <c r="I2096" s="27" t="n">
        <v>45748</v>
      </c>
      <c r="J2096" s="27" t="n">
        <v>45779</v>
      </c>
      <c r="K2096" t="inlineStr">
        <is>
          <t>Transferência Bancária ou Pix</t>
        </is>
      </c>
      <c r="L2096" t="inlineStr">
        <is>
          <t>Gorjeta</t>
        </is>
      </c>
      <c r="M2096" t="inlineStr">
        <is>
          <t xml:space="preserve">  -  Comissões e Gorjeta</t>
        </is>
      </c>
      <c r="N2096" t="inlineStr">
        <is>
          <t>66</t>
        </is>
      </c>
      <c r="O2096" t="inlineStr">
        <is>
          <t>Documentação Aprovada</t>
        </is>
      </c>
      <c r="P2096" t="inlineStr">
        <is>
          <t>Aprovado Diretoria</t>
        </is>
      </c>
      <c r="Q2096" t="inlineStr">
        <is>
          <t>Aprovado Caixa</t>
        </is>
      </c>
      <c r="R2096" t="inlineStr">
        <is>
          <t>Pago</t>
        </is>
      </c>
      <c r="S2096" t="n">
        <v>115</v>
      </c>
      <c r="T2096" t="inlineStr">
        <is>
          <t>Love - Shibari - Bradesco</t>
        </is>
      </c>
    </row>
    <row r="2097">
      <c r="A2097" t="n">
        <v>128435</v>
      </c>
      <c r="B2097" t="n">
        <v>128</v>
      </c>
      <c r="C2097" t="inlineStr">
        <is>
          <t>Love Cabaret</t>
        </is>
      </c>
      <c r="D2097" t="inlineStr">
        <is>
          <t>PJ 00132021 - TELES DE ALMEIDA PINTO</t>
        </is>
      </c>
      <c r="E2097" t="n">
        <v>880</v>
      </c>
      <c r="F2097" s="27" t="n">
        <v>45787</v>
      </c>
      <c r="G2097" s="27" t="n">
        <v>45784</v>
      </c>
      <c r="H2097" s="27" t="n">
        <v>45784</v>
      </c>
      <c r="I2097" s="27" t="n">
        <v>45748</v>
      </c>
      <c r="J2097" s="27" t="n">
        <v>45779</v>
      </c>
      <c r="K2097" t="inlineStr">
        <is>
          <t>Transferência Bancária ou Pix</t>
        </is>
      </c>
      <c r="L2097" t="inlineStr">
        <is>
          <t>Gorjeta</t>
        </is>
      </c>
      <c r="M2097" t="inlineStr">
        <is>
          <t xml:space="preserve">  -  Comissões e Gorjeta</t>
        </is>
      </c>
      <c r="N2097" t="inlineStr">
        <is>
          <t>17</t>
        </is>
      </c>
      <c r="O2097" t="inlineStr">
        <is>
          <t>Documentação Aprovada</t>
        </is>
      </c>
      <c r="P2097" t="inlineStr">
        <is>
          <t>Aprovado Diretoria</t>
        </is>
      </c>
      <c r="Q2097" t="inlineStr">
        <is>
          <t>Aprovado Caixa</t>
        </is>
      </c>
      <c r="R2097" t="inlineStr">
        <is>
          <t>Pago</t>
        </is>
      </c>
      <c r="S2097" t="n">
        <v>115</v>
      </c>
      <c r="T2097" t="inlineStr">
        <is>
          <t>Love - Shibari - Bradesco</t>
        </is>
      </c>
    </row>
    <row r="2098">
      <c r="A2098" t="n">
        <v>128438</v>
      </c>
      <c r="B2098" t="n">
        <v>128</v>
      </c>
      <c r="C2098" t="inlineStr">
        <is>
          <t>Love Cabaret</t>
        </is>
      </c>
      <c r="D2098" t="inlineStr">
        <is>
          <t xml:space="preserve">DOUGLAS FELIPE DOMINGUES GONCALVES </t>
        </is>
      </c>
      <c r="E2098" t="n">
        <v>1860</v>
      </c>
      <c r="F2098" s="27" t="n">
        <v>45787</v>
      </c>
      <c r="G2098" s="27" t="n">
        <v>45784</v>
      </c>
      <c r="H2098" s="27" t="n">
        <v>45784</v>
      </c>
      <c r="I2098" s="27" t="n">
        <v>45748</v>
      </c>
      <c r="J2098" s="27" t="n">
        <v>45779</v>
      </c>
      <c r="K2098" t="inlineStr">
        <is>
          <t>Transferência Bancária ou Pix</t>
        </is>
      </c>
      <c r="L2098" t="inlineStr">
        <is>
          <t>Gorjeta</t>
        </is>
      </c>
      <c r="M2098" t="inlineStr">
        <is>
          <t xml:space="preserve">  -  Comissões e Gorjeta</t>
        </is>
      </c>
      <c r="N2098" t="inlineStr">
        <is>
          <t>39</t>
        </is>
      </c>
      <c r="O2098" t="inlineStr">
        <is>
          <t>Documentação Aprovada</t>
        </is>
      </c>
      <c r="P2098" t="inlineStr">
        <is>
          <t>Aprovado Diretoria</t>
        </is>
      </c>
      <c r="Q2098" t="inlineStr">
        <is>
          <t>Aprovado Caixa</t>
        </is>
      </c>
      <c r="R2098" t="inlineStr">
        <is>
          <t>Pago</t>
        </is>
      </c>
      <c r="S2098" t="n">
        <v>115</v>
      </c>
      <c r="T2098" t="inlineStr">
        <is>
          <t>Love - Shibari - Bradesco</t>
        </is>
      </c>
    </row>
    <row r="2099">
      <c r="A2099" t="n">
        <v>128253</v>
      </c>
      <c r="B2099" t="n">
        <v>128</v>
      </c>
      <c r="C2099" t="inlineStr">
        <is>
          <t>Love Cabaret</t>
        </is>
      </c>
      <c r="D2099" t="inlineStr">
        <is>
          <t>ICE4PROS FABRICA DE GELO LTDA</t>
        </is>
      </c>
      <c r="E2099" t="n">
        <v>731.5</v>
      </c>
      <c r="F2099" s="27" t="n">
        <v>45785</v>
      </c>
      <c r="G2099" s="27" t="n">
        <v>45784</v>
      </c>
      <c r="H2099" s="27" t="n">
        <v>45784</v>
      </c>
      <c r="I2099" s="27" t="n">
        <v>45775</v>
      </c>
      <c r="J2099" s="27" t="n">
        <v>45777</v>
      </c>
      <c r="K2099" t="inlineStr">
        <is>
          <t>Boleto Bancário</t>
        </is>
      </c>
      <c r="L2099" t="inlineStr">
        <is>
          <t>Custo Mercadoria Vendida</t>
        </is>
      </c>
      <c r="M2099" t="inlineStr">
        <is>
          <t>Insumos - Bebidas</t>
        </is>
      </c>
      <c r="N2099" t="inlineStr">
        <is>
          <t>78395</t>
        </is>
      </c>
      <c r="O2099" t="inlineStr">
        <is>
          <t>Documentação Aprovada</t>
        </is>
      </c>
      <c r="P2099" t="inlineStr">
        <is>
          <t>Aprovado Diretoria</t>
        </is>
      </c>
      <c r="Q2099" t="inlineStr">
        <is>
          <t>Aprovado Caixa</t>
        </is>
      </c>
      <c r="R2099" t="inlineStr">
        <is>
          <t>Pago</t>
        </is>
      </c>
      <c r="S2099" t="n">
        <v>115</v>
      </c>
      <c r="T2099" t="inlineStr">
        <is>
          <t>Love - Shibari - Bradesco</t>
        </is>
      </c>
    </row>
    <row r="2100">
      <c r="A2100" t="n">
        <v>128437</v>
      </c>
      <c r="B2100" t="n">
        <v>128</v>
      </c>
      <c r="C2100" t="inlineStr">
        <is>
          <t>Love Cabaret</t>
        </is>
      </c>
      <c r="D2100" t="inlineStr">
        <is>
          <t>WAGNER DA SILVA FRANCA</t>
        </is>
      </c>
      <c r="E2100" t="n">
        <v>2020</v>
      </c>
      <c r="F2100" s="27" t="n">
        <v>45787</v>
      </c>
      <c r="G2100" s="27" t="n">
        <v>45784</v>
      </c>
      <c r="H2100" s="27" t="n">
        <v>45784</v>
      </c>
      <c r="I2100" s="27" t="n">
        <v>45748</v>
      </c>
      <c r="J2100" s="27" t="n">
        <v>45779</v>
      </c>
      <c r="K2100" t="inlineStr">
        <is>
          <t>Transferência Bancária ou Pix</t>
        </is>
      </c>
      <c r="L2100" t="inlineStr">
        <is>
          <t>Gorjeta</t>
        </is>
      </c>
      <c r="M2100" t="inlineStr">
        <is>
          <t xml:space="preserve">  -  Comissões e Gorjeta</t>
        </is>
      </c>
      <c r="N2100" t="inlineStr">
        <is>
          <t>34</t>
        </is>
      </c>
      <c r="O2100" t="inlineStr">
        <is>
          <t>Documentação Aprovada</t>
        </is>
      </c>
      <c r="P2100" t="inlineStr">
        <is>
          <t>Aprovado Diretoria</t>
        </is>
      </c>
      <c r="Q2100" t="inlineStr">
        <is>
          <t>Aprovado Caixa</t>
        </is>
      </c>
      <c r="R2100" t="inlineStr">
        <is>
          <t>Pago</t>
        </is>
      </c>
      <c r="S2100" t="n">
        <v>115</v>
      </c>
      <c r="T2100" t="inlineStr">
        <is>
          <t>Love - Shibari - Bradesco</t>
        </is>
      </c>
    </row>
    <row r="2101">
      <c r="A2101" t="n">
        <v>128287</v>
      </c>
      <c r="B2101" t="n">
        <v>128</v>
      </c>
      <c r="C2101" t="inlineStr">
        <is>
          <t>Love Cabaret</t>
        </is>
      </c>
      <c r="D2101" t="inlineStr">
        <is>
          <t xml:space="preserve">LATICINIOS FIOR DITALIA LTDA </t>
        </is>
      </c>
      <c r="E2101" t="n">
        <v>326.75</v>
      </c>
      <c r="F2101" s="27" t="n">
        <v>45787</v>
      </c>
      <c r="G2101" s="27" t="n">
        <v>45784</v>
      </c>
      <c r="H2101" s="27" t="n">
        <v>45784</v>
      </c>
      <c r="I2101" s="27" t="n">
        <v>45771</v>
      </c>
      <c r="J2101" s="27" t="n">
        <v>45777</v>
      </c>
      <c r="K2101" t="inlineStr">
        <is>
          <t>Boleto Bancário</t>
        </is>
      </c>
      <c r="L2101" t="inlineStr">
        <is>
          <t>Custo Mercadoria Vendida</t>
        </is>
      </c>
      <c r="M2101" t="inlineStr">
        <is>
          <t>Insumos - Alimentos</t>
        </is>
      </c>
      <c r="N2101" t="inlineStr">
        <is>
          <t>35814</t>
        </is>
      </c>
      <c r="O2101" t="inlineStr">
        <is>
          <t>Documentação Aprovada</t>
        </is>
      </c>
      <c r="P2101" t="inlineStr">
        <is>
          <t>Aprovado Diretoria</t>
        </is>
      </c>
      <c r="Q2101" t="inlineStr">
        <is>
          <t>Aprovado Caixa</t>
        </is>
      </c>
      <c r="R2101" t="inlineStr">
        <is>
          <t>Pago</t>
        </is>
      </c>
      <c r="S2101" t="n">
        <v>115</v>
      </c>
      <c r="T2101" t="inlineStr">
        <is>
          <t>Love - Shibari - Bradesco</t>
        </is>
      </c>
    </row>
    <row r="2102">
      <c r="A2102" t="n">
        <v>128440</v>
      </c>
      <c r="B2102" t="n">
        <v>128</v>
      </c>
      <c r="C2102" t="inlineStr">
        <is>
          <t>Love Cabaret</t>
        </is>
      </c>
      <c r="D2102" t="inlineStr">
        <is>
          <t>ROBERTA MARIA SANTANA</t>
        </is>
      </c>
      <c r="E2102" t="n">
        <v>2020</v>
      </c>
      <c r="F2102" s="27" t="n">
        <v>45787</v>
      </c>
      <c r="G2102" s="27" t="n">
        <v>45784</v>
      </c>
      <c r="H2102" s="27" t="n">
        <v>45784</v>
      </c>
      <c r="I2102" s="27" t="n">
        <v>45748</v>
      </c>
      <c r="J2102" s="27" t="n">
        <v>45779</v>
      </c>
      <c r="K2102" t="inlineStr">
        <is>
          <t>Transferência Bancária ou Pix</t>
        </is>
      </c>
      <c r="L2102" t="inlineStr">
        <is>
          <t>Gorjeta</t>
        </is>
      </c>
      <c r="M2102" t="inlineStr">
        <is>
          <t xml:space="preserve">  -  Comissões e Gorjeta</t>
        </is>
      </c>
      <c r="N2102" t="inlineStr">
        <is>
          <t>10</t>
        </is>
      </c>
      <c r="O2102" t="inlineStr">
        <is>
          <t>Documentação Aprovada</t>
        </is>
      </c>
      <c r="P2102" t="inlineStr">
        <is>
          <t>Aprovado Diretoria</t>
        </is>
      </c>
      <c r="Q2102" t="inlineStr">
        <is>
          <t>Aprovado Caixa</t>
        </is>
      </c>
      <c r="R2102" t="inlineStr">
        <is>
          <t>Pago</t>
        </is>
      </c>
      <c r="S2102" t="n">
        <v>115</v>
      </c>
      <c r="T2102" t="inlineStr">
        <is>
          <t>Love - Shibari - Bradesco</t>
        </is>
      </c>
    </row>
    <row r="2103">
      <c r="A2103" t="n">
        <v>124944</v>
      </c>
      <c r="B2103" t="n">
        <v>128</v>
      </c>
      <c r="C2103" t="inlineStr">
        <is>
          <t>Love Cabaret</t>
        </is>
      </c>
      <c r="D2103" t="inlineStr">
        <is>
          <t xml:space="preserve">EMPORIO MEL </t>
        </is>
      </c>
      <c r="E2103" t="n">
        <v>431.4</v>
      </c>
      <c r="F2103" s="27" t="n">
        <v>45785</v>
      </c>
      <c r="G2103" s="27" t="n">
        <v>45784</v>
      </c>
      <c r="H2103" s="27" t="n">
        <v>45784</v>
      </c>
      <c r="I2103" s="27" t="n">
        <v>45754</v>
      </c>
      <c r="J2103" s="27" t="n">
        <v>45758</v>
      </c>
      <c r="K2103" t="inlineStr">
        <is>
          <t>Boleto Bancário</t>
        </is>
      </c>
      <c r="L2103" t="inlineStr">
        <is>
          <t>Custo Mercadoria Vendida</t>
        </is>
      </c>
      <c r="M2103" t="inlineStr">
        <is>
          <t>Insumos - Bebidas</t>
        </is>
      </c>
      <c r="N2103" t="inlineStr">
        <is>
          <t>447017</t>
        </is>
      </c>
      <c r="O2103" t="inlineStr">
        <is>
          <t>Documentação Aprovada</t>
        </is>
      </c>
      <c r="P2103" t="inlineStr">
        <is>
          <t>Aprovado Diretoria</t>
        </is>
      </c>
      <c r="Q2103" t="inlineStr">
        <is>
          <t>Aprovado Caixa</t>
        </is>
      </c>
      <c r="R2103" t="inlineStr">
        <is>
          <t>Pago</t>
        </is>
      </c>
      <c r="S2103" t="n">
        <v>115</v>
      </c>
      <c r="T2103" t="inlineStr">
        <is>
          <t>Love - Shibari - Bradesco</t>
        </is>
      </c>
    </row>
    <row r="2104">
      <c r="A2104" t="n">
        <v>124942</v>
      </c>
      <c r="B2104" t="n">
        <v>128</v>
      </c>
      <c r="C2104" t="inlineStr">
        <is>
          <t>Love Cabaret</t>
        </is>
      </c>
      <c r="D2104" t="inlineStr">
        <is>
          <t xml:space="preserve">EMPORIO MEL </t>
        </is>
      </c>
      <c r="E2104" t="n">
        <v>830.35</v>
      </c>
      <c r="F2104" s="27" t="n">
        <v>45785</v>
      </c>
      <c r="G2104" s="27" t="n">
        <v>45784</v>
      </c>
      <c r="H2104" s="27" t="n">
        <v>45784</v>
      </c>
      <c r="I2104" s="27" t="n">
        <v>45754</v>
      </c>
      <c r="J2104" s="27" t="n">
        <v>45758</v>
      </c>
      <c r="K2104" t="inlineStr">
        <is>
          <t>Boleto Bancário</t>
        </is>
      </c>
      <c r="L2104" t="inlineStr">
        <is>
          <t>Custo Mercadoria Vendida</t>
        </is>
      </c>
      <c r="M2104" t="inlineStr">
        <is>
          <t>Insumos - Alimentos</t>
        </is>
      </c>
      <c r="N2104" t="inlineStr">
        <is>
          <t>447024</t>
        </is>
      </c>
      <c r="O2104" t="inlineStr">
        <is>
          <t>Documentação Aprovada</t>
        </is>
      </c>
      <c r="P2104" t="inlineStr">
        <is>
          <t>Aprovado Diretoria</t>
        </is>
      </c>
      <c r="Q2104" t="inlineStr">
        <is>
          <t>Aprovado Caixa</t>
        </is>
      </c>
      <c r="R2104" t="inlineStr">
        <is>
          <t>Pago</t>
        </is>
      </c>
      <c r="S2104" t="n">
        <v>115</v>
      </c>
      <c r="T2104" t="inlineStr">
        <is>
          <t>Love - Shibari - Bradesco</t>
        </is>
      </c>
    </row>
    <row r="2105">
      <c r="A2105" t="n">
        <v>127548</v>
      </c>
      <c r="B2105" t="n">
        <v>128</v>
      </c>
      <c r="C2105" t="inlineStr">
        <is>
          <t>Love Cabaret</t>
        </is>
      </c>
      <c r="D2105" t="inlineStr">
        <is>
          <t>HNK BR IND DE BEBIDAS</t>
        </is>
      </c>
      <c r="E2105" t="n">
        <v>724.39</v>
      </c>
      <c r="F2105" s="27" t="n">
        <v>45785</v>
      </c>
      <c r="G2105" s="27" t="n">
        <v>45784</v>
      </c>
      <c r="H2105" s="27" t="n">
        <v>45784</v>
      </c>
      <c r="I2105" s="27" t="n">
        <v>45770</v>
      </c>
      <c r="J2105" s="27" t="n">
        <v>45772</v>
      </c>
      <c r="K2105" t="inlineStr">
        <is>
          <t>Boleto Bancário</t>
        </is>
      </c>
      <c r="L2105" t="inlineStr">
        <is>
          <t>Custo Mercadoria Vendida</t>
        </is>
      </c>
      <c r="M2105" t="inlineStr">
        <is>
          <t>Insumos - Bebidas</t>
        </is>
      </c>
      <c r="N2105" t="inlineStr">
        <is>
          <t>238232</t>
        </is>
      </c>
      <c r="O2105" t="inlineStr">
        <is>
          <t>Documentação Aprovada</t>
        </is>
      </c>
      <c r="P2105" t="inlineStr">
        <is>
          <t>Aprovado Diretoria</t>
        </is>
      </c>
      <c r="Q2105" t="inlineStr">
        <is>
          <t>Aprovado Caixa</t>
        </is>
      </c>
      <c r="R2105" t="inlineStr">
        <is>
          <t>Pago</t>
        </is>
      </c>
      <c r="S2105" t="n">
        <v>115</v>
      </c>
      <c r="T2105" t="inlineStr">
        <is>
          <t>Love - Shibari - Bradesco</t>
        </is>
      </c>
    </row>
    <row r="2106">
      <c r="A2106" t="n">
        <v>127545</v>
      </c>
      <c r="B2106" t="n">
        <v>128</v>
      </c>
      <c r="C2106" t="inlineStr">
        <is>
          <t>Love Cabaret</t>
        </is>
      </c>
      <c r="D2106" t="inlineStr">
        <is>
          <t xml:space="preserve">FORTE ALIMENTOS COM. IMPORTAÇÃO LTDA </t>
        </is>
      </c>
      <c r="E2106" t="n">
        <v>421.54</v>
      </c>
      <c r="F2106" s="27" t="n">
        <v>45785</v>
      </c>
      <c r="G2106" s="27" t="n">
        <v>45784</v>
      </c>
      <c r="H2106" s="27" t="n">
        <v>45784</v>
      </c>
      <c r="I2106" s="27" t="n">
        <v>45770</v>
      </c>
      <c r="J2106" s="27" t="n">
        <v>45772</v>
      </c>
      <c r="K2106" t="inlineStr">
        <is>
          <t>Boleto Bancário</t>
        </is>
      </c>
      <c r="L2106" t="inlineStr">
        <is>
          <t>Custo Mercadoria Vendida</t>
        </is>
      </c>
      <c r="M2106" t="inlineStr">
        <is>
          <t>Insumos - Alimentos</t>
        </is>
      </c>
      <c r="N2106" t="inlineStr">
        <is>
          <t>308613</t>
        </is>
      </c>
      <c r="O2106" t="inlineStr">
        <is>
          <t>Documentação Aprovada</t>
        </is>
      </c>
      <c r="P2106" t="inlineStr">
        <is>
          <t>Aprovado Diretoria</t>
        </is>
      </c>
      <c r="Q2106" t="inlineStr">
        <is>
          <t>Aprovado Caixa</t>
        </is>
      </c>
      <c r="R2106" t="inlineStr">
        <is>
          <t>Pago</t>
        </is>
      </c>
      <c r="S2106" t="n">
        <v>115</v>
      </c>
      <c r="T2106" t="inlineStr">
        <is>
          <t>Love - Shibari - Bradesco</t>
        </is>
      </c>
    </row>
    <row r="2107">
      <c r="A2107" t="n">
        <v>127544</v>
      </c>
      <c r="B2107" t="n">
        <v>128</v>
      </c>
      <c r="C2107" t="inlineStr">
        <is>
          <t>Love Cabaret</t>
        </is>
      </c>
      <c r="D2107" t="inlineStr">
        <is>
          <t>BATARD PADARIA ARTESANAL LTDA</t>
        </is>
      </c>
      <c r="E2107" t="n">
        <v>168</v>
      </c>
      <c r="F2107" s="27" t="n">
        <v>45787</v>
      </c>
      <c r="G2107" s="27" t="n">
        <v>45784</v>
      </c>
      <c r="H2107" s="27" t="n">
        <v>45784</v>
      </c>
      <c r="I2107" s="27" t="n">
        <v>45770</v>
      </c>
      <c r="J2107" s="27" t="n">
        <v>45772</v>
      </c>
      <c r="K2107" t="inlineStr">
        <is>
          <t>Boleto Bancário</t>
        </is>
      </c>
      <c r="L2107" t="inlineStr">
        <is>
          <t>Custo Mercadoria Vendida</t>
        </is>
      </c>
      <c r="M2107" t="inlineStr">
        <is>
          <t>Insumos - Alimentos</t>
        </is>
      </c>
      <c r="N2107" t="inlineStr">
        <is>
          <t>10606</t>
        </is>
      </c>
      <c r="O2107" t="inlineStr">
        <is>
          <t>Documentação Aprovada</t>
        </is>
      </c>
      <c r="P2107" t="inlineStr">
        <is>
          <t>Aprovado Diretoria</t>
        </is>
      </c>
      <c r="Q2107" t="inlineStr">
        <is>
          <t>Aprovado Caixa</t>
        </is>
      </c>
      <c r="R2107" t="inlineStr">
        <is>
          <t>Pago</t>
        </is>
      </c>
      <c r="S2107" t="n">
        <v>115</v>
      </c>
      <c r="T2107" t="inlineStr">
        <is>
          <t>Love - Shibari - Bradesco</t>
        </is>
      </c>
    </row>
    <row r="2108">
      <c r="A2108" t="n">
        <v>127549</v>
      </c>
      <c r="B2108" t="n">
        <v>128</v>
      </c>
      <c r="C2108" t="inlineStr">
        <is>
          <t>Love Cabaret</t>
        </is>
      </c>
      <c r="D2108" t="inlineStr">
        <is>
          <t>HNK BR IND DE BEBIDAS</t>
        </is>
      </c>
      <c r="E2108" t="n">
        <v>4431.08</v>
      </c>
      <c r="F2108" s="27" t="n">
        <v>45785</v>
      </c>
      <c r="G2108" s="27" t="n">
        <v>45784</v>
      </c>
      <c r="H2108" s="27" t="n">
        <v>45784</v>
      </c>
      <c r="I2108" s="27" t="n">
        <v>45770</v>
      </c>
      <c r="J2108" s="27" t="n">
        <v>45772</v>
      </c>
      <c r="K2108" t="inlineStr">
        <is>
          <t>Boleto Bancário</t>
        </is>
      </c>
      <c r="L2108" t="inlineStr">
        <is>
          <t>Custo Mercadoria Vendida</t>
        </is>
      </c>
      <c r="M2108" t="inlineStr">
        <is>
          <t>Insumos - Bebidas</t>
        </is>
      </c>
      <c r="N2108" t="inlineStr">
        <is>
          <t>238233</t>
        </is>
      </c>
      <c r="O2108" t="inlineStr">
        <is>
          <t>Documentação Aprovada</t>
        </is>
      </c>
      <c r="P2108" t="inlineStr">
        <is>
          <t>Aprovado Diretoria</t>
        </is>
      </c>
      <c r="Q2108" t="inlineStr">
        <is>
          <t>Aprovado Caixa</t>
        </is>
      </c>
      <c r="R2108" t="inlineStr">
        <is>
          <t>Pago</t>
        </is>
      </c>
      <c r="S2108" t="n">
        <v>115</v>
      </c>
      <c r="T2108" t="inlineStr">
        <is>
          <t>Love - Shibari - Bradesco</t>
        </is>
      </c>
    </row>
    <row r="2109">
      <c r="A2109" t="n">
        <v>127553</v>
      </c>
      <c r="B2109" t="n">
        <v>128</v>
      </c>
      <c r="C2109" t="inlineStr">
        <is>
          <t>Love Cabaret</t>
        </is>
      </c>
      <c r="D2109" t="inlineStr">
        <is>
          <t>CEPEL COMERCIO DE PAPEIS E EMBALAGENS EIRELI</t>
        </is>
      </c>
      <c r="E2109" t="n">
        <v>1252.92</v>
      </c>
      <c r="F2109" s="27" t="n">
        <v>45786</v>
      </c>
      <c r="G2109" s="27" t="n">
        <v>45784</v>
      </c>
      <c r="H2109" s="27" t="n">
        <v>45784</v>
      </c>
      <c r="I2109" s="27" t="n">
        <v>45771</v>
      </c>
      <c r="J2109" s="27" t="n">
        <v>45772</v>
      </c>
      <c r="K2109" t="inlineStr">
        <is>
          <t>Boleto Bancário</t>
        </is>
      </c>
      <c r="L2109" t="inlineStr">
        <is>
          <t>Utilidades</t>
        </is>
      </c>
      <c r="M2109" t="inlineStr">
        <is>
          <t>Higiene e Limpeza</t>
        </is>
      </c>
      <c r="N2109" t="inlineStr">
        <is>
          <t>239121</t>
        </is>
      </c>
      <c r="O2109" t="inlineStr">
        <is>
          <t>Documentação Aprovada</t>
        </is>
      </c>
      <c r="P2109" t="inlineStr">
        <is>
          <t>Aprovado Diretoria</t>
        </is>
      </c>
      <c r="Q2109" t="inlineStr">
        <is>
          <t>Aprovado Caixa</t>
        </is>
      </c>
      <c r="R2109" t="inlineStr">
        <is>
          <t>Pago</t>
        </is>
      </c>
      <c r="S2109" t="n">
        <v>115</v>
      </c>
      <c r="T2109" t="inlineStr">
        <is>
          <t>Love - Shibari - Bradesco</t>
        </is>
      </c>
    </row>
    <row r="2110">
      <c r="A2110" t="n">
        <v>130832</v>
      </c>
      <c r="B2110" t="n">
        <v>128</v>
      </c>
      <c r="C2110" t="inlineStr">
        <is>
          <t>Love Cabaret</t>
        </is>
      </c>
      <c r="D2110" t="inlineStr">
        <is>
          <t>BRADESCO SA</t>
        </is>
      </c>
      <c r="E2110" t="n">
        <v>58.8</v>
      </c>
      <c r="F2110" s="27" t="n">
        <v>45784</v>
      </c>
      <c r="G2110" s="27" t="n"/>
      <c r="H2110" s="27" t="n">
        <v>45784</v>
      </c>
      <c r="I2110" s="27" t="n">
        <v>45784</v>
      </c>
      <c r="J2110" s="27" t="n">
        <v>45785</v>
      </c>
      <c r="K2110" t="inlineStr">
        <is>
          <t>Encontro de Contas</t>
        </is>
      </c>
      <c r="L2110" t="inlineStr">
        <is>
          <t>Despesas Financeiras</t>
        </is>
      </c>
      <c r="M2110" t="inlineStr">
        <is>
          <t>Tarifas Bancárias</t>
        </is>
      </c>
      <c r="N2110" t="inlineStr">
        <is>
          <t>052025</t>
        </is>
      </c>
      <c r="P2110" t="inlineStr">
        <is>
          <t>Aprovado Diretoria</t>
        </is>
      </c>
      <c r="R2110" t="inlineStr">
        <is>
          <t>Pago</t>
        </is>
      </c>
    </row>
    <row r="2111">
      <c r="A2111" t="n">
        <v>97351</v>
      </c>
      <c r="B2111" t="n">
        <v>128</v>
      </c>
      <c r="C2111" t="inlineStr">
        <is>
          <t>Love Cabaret</t>
        </is>
      </c>
      <c r="D2111" t="inlineStr">
        <is>
          <t>EDJANE DANTAS DE ALMEIDA SOUSA  - DESENTUPIDORA</t>
        </is>
      </c>
      <c r="E2111" t="n">
        <v>1200</v>
      </c>
      <c r="F2111" s="27" t="n">
        <v>45785</v>
      </c>
      <c r="G2111" s="27" t="n">
        <v>45784</v>
      </c>
      <c r="H2111" s="27" t="n">
        <v>45784</v>
      </c>
      <c r="I2111" s="27" t="n">
        <v>45764</v>
      </c>
      <c r="J2111" s="27" t="n"/>
      <c r="K2111" t="inlineStr">
        <is>
          <t>Transferência Bancária ou Pix</t>
        </is>
      </c>
      <c r="L2111" t="inlineStr">
        <is>
          <t>Utilidades</t>
        </is>
      </c>
      <c r="M2111" t="inlineStr">
        <is>
          <t>Serviços de Limpeza</t>
        </is>
      </c>
      <c r="N2111" t="inlineStr">
        <is>
          <t>90</t>
        </is>
      </c>
      <c r="O2111" t="inlineStr">
        <is>
          <t>Documentação Aprovada</t>
        </is>
      </c>
      <c r="P2111" t="inlineStr">
        <is>
          <t>Aprovado Diretoria</t>
        </is>
      </c>
      <c r="Q2111" t="inlineStr">
        <is>
          <t>Aprovado Caixa</t>
        </is>
      </c>
      <c r="R2111" t="inlineStr">
        <is>
          <t>Pago</t>
        </is>
      </c>
      <c r="S2111" t="n">
        <v>115</v>
      </c>
      <c r="T2111" t="inlineStr">
        <is>
          <t>Love - Shibari - Bradesco</t>
        </is>
      </c>
    </row>
    <row r="2112">
      <c r="A2112" t="n">
        <v>102866</v>
      </c>
      <c r="B2112" t="n">
        <v>128</v>
      </c>
      <c r="C2112" t="inlineStr">
        <is>
          <t>Love Cabaret</t>
        </is>
      </c>
      <c r="D2112" t="inlineStr">
        <is>
          <t>MACHINE SEGURANCA PATRIMONIAL LTDA</t>
        </is>
      </c>
      <c r="E2112" t="n">
        <v>6650</v>
      </c>
      <c r="F2112" s="27" t="n">
        <v>45784</v>
      </c>
      <c r="G2112" s="27" t="n">
        <v>45784</v>
      </c>
      <c r="H2112" s="27" t="n">
        <v>45784</v>
      </c>
      <c r="I2112" s="27" t="n">
        <v>45777</v>
      </c>
      <c r="J2112" s="27" t="n"/>
      <c r="K2112" t="inlineStr">
        <is>
          <t>Transferência Bancária ou Pix</t>
        </is>
      </c>
      <c r="L2112" t="inlineStr">
        <is>
          <t>Serviços de Terceiros</t>
        </is>
      </c>
      <c r="M2112" t="inlineStr">
        <is>
          <t>Serviços de Segurança</t>
        </is>
      </c>
      <c r="N2112" t="inlineStr">
        <is>
          <t>261</t>
        </is>
      </c>
      <c r="O2112" t="inlineStr">
        <is>
          <t>Documentação Aprovada</t>
        </is>
      </c>
      <c r="P2112" t="inlineStr">
        <is>
          <t>Aprovado Diretoria</t>
        </is>
      </c>
      <c r="Q2112" t="inlineStr">
        <is>
          <t>Aprovado Caixa</t>
        </is>
      </c>
      <c r="R2112" t="inlineStr">
        <is>
          <t>Pago</t>
        </is>
      </c>
      <c r="S2112" t="n">
        <v>115</v>
      </c>
      <c r="T2112" t="inlineStr">
        <is>
          <t>Love - Shibari - Bradesco</t>
        </is>
      </c>
    </row>
    <row r="2113">
      <c r="A2113" t="n">
        <v>102974</v>
      </c>
      <c r="B2113" t="n">
        <v>128</v>
      </c>
      <c r="C2113" t="inlineStr">
        <is>
          <t>Love Cabaret</t>
        </is>
      </c>
      <c r="D2113" t="inlineStr">
        <is>
          <t>STEMME TELECOMUNICACOES DO BRASIL LTDA</t>
        </is>
      </c>
      <c r="E2113" t="n">
        <v>299.99</v>
      </c>
      <c r="F2113" s="27" t="n">
        <v>45787</v>
      </c>
      <c r="G2113" s="27" t="n">
        <v>45784</v>
      </c>
      <c r="H2113" s="27" t="n">
        <v>45784</v>
      </c>
      <c r="I2113" s="27" t="n">
        <v>45777</v>
      </c>
      <c r="J2113" s="27" t="n"/>
      <c r="K2113" t="inlineStr">
        <is>
          <t>Boleto Bancário</t>
        </is>
      </c>
      <c r="L2113" t="inlineStr">
        <is>
          <t>Informática e TI</t>
        </is>
      </c>
      <c r="M2113" t="inlineStr">
        <is>
          <t>Internet</t>
        </is>
      </c>
      <c r="N2113" t="inlineStr">
        <is>
          <t xml:space="preserve">7847 </t>
        </is>
      </c>
      <c r="O2113" t="inlineStr">
        <is>
          <t>Documentação Aprovada</t>
        </is>
      </c>
      <c r="P2113" t="inlineStr">
        <is>
          <t>Aprovado Diretoria</t>
        </is>
      </c>
      <c r="Q2113" t="inlineStr">
        <is>
          <t>Aprovado Caixa</t>
        </is>
      </c>
      <c r="R2113" t="inlineStr">
        <is>
          <t>Pago</t>
        </is>
      </c>
      <c r="S2113" t="n">
        <v>115</v>
      </c>
      <c r="T2113" t="inlineStr">
        <is>
          <t>Love - Shibari - Bradesco</t>
        </is>
      </c>
    </row>
    <row r="2114">
      <c r="A2114" t="n">
        <v>102961</v>
      </c>
      <c r="B2114" t="n">
        <v>128</v>
      </c>
      <c r="C2114" t="inlineStr">
        <is>
          <t>Love Cabaret</t>
        </is>
      </c>
      <c r="D2114" t="inlineStr">
        <is>
          <t>STAR COPIAS COMERCIO E SERVICOS LTDA</t>
        </is>
      </c>
      <c r="E2114" t="n">
        <v>220</v>
      </c>
      <c r="F2114" s="27" t="n">
        <v>45786</v>
      </c>
      <c r="G2114" s="27" t="n">
        <v>45784</v>
      </c>
      <c r="H2114" s="27" t="n">
        <v>45784</v>
      </c>
      <c r="I2114" s="27" t="n">
        <v>45767</v>
      </c>
      <c r="J2114" s="27" t="n"/>
      <c r="K2114" t="inlineStr">
        <is>
          <t>Boleto Bancário</t>
        </is>
      </c>
      <c r="L2114" t="inlineStr">
        <is>
          <t>Locação de Equipamentos</t>
        </is>
      </c>
      <c r="M2114" t="inlineStr">
        <is>
          <t>Locação de Equipamentos - Informatica e TI</t>
        </is>
      </c>
      <c r="N2114" t="inlineStr">
        <is>
          <t>3976</t>
        </is>
      </c>
      <c r="O2114" t="inlineStr">
        <is>
          <t>Documentação Aprovada</t>
        </is>
      </c>
      <c r="P2114" t="inlineStr">
        <is>
          <t>Aprovado Diretoria</t>
        </is>
      </c>
      <c r="Q2114" t="inlineStr">
        <is>
          <t>Aprovado Caixa</t>
        </is>
      </c>
      <c r="R2114" t="inlineStr">
        <is>
          <t>Pago</t>
        </is>
      </c>
      <c r="S2114" t="n">
        <v>115</v>
      </c>
      <c r="T2114" t="inlineStr">
        <is>
          <t>Love - Shibari - Bradesco</t>
        </is>
      </c>
    </row>
    <row r="2115">
      <c r="A2115" t="n">
        <v>102943</v>
      </c>
      <c r="B2115" t="n">
        <v>128</v>
      </c>
      <c r="C2115" t="inlineStr">
        <is>
          <t>Love Cabaret</t>
        </is>
      </c>
      <c r="D2115" t="inlineStr">
        <is>
          <t>SAFE BRAND COMERCIAL- IMPORTACAO- EXPORTACAO E SERVICOS LTDA</t>
        </is>
      </c>
      <c r="E2115" t="n">
        <v>2117.46</v>
      </c>
      <c r="F2115" s="27" t="n">
        <v>45786</v>
      </c>
      <c r="G2115" s="27" t="n">
        <v>45784</v>
      </c>
      <c r="H2115" s="27" t="n">
        <v>45784</v>
      </c>
      <c r="I2115" s="27" t="n">
        <v>45778</v>
      </c>
      <c r="J2115" s="27" t="n"/>
      <c r="K2115" t="inlineStr">
        <is>
          <t>Boleto Bancário</t>
        </is>
      </c>
      <c r="L2115" t="inlineStr">
        <is>
          <t>Locação de Equipamentos</t>
        </is>
      </c>
      <c r="M2115" t="inlineStr">
        <is>
          <t>Locações de Equipamentos - Operacionais</t>
        </is>
      </c>
      <c r="N2115" t="inlineStr">
        <is>
          <t>03250226</t>
        </is>
      </c>
      <c r="O2115" t="inlineStr">
        <is>
          <t>Documentação Aprovada</t>
        </is>
      </c>
      <c r="P2115" t="inlineStr">
        <is>
          <t>Aprovado Diretoria</t>
        </is>
      </c>
      <c r="Q2115" t="inlineStr">
        <is>
          <t>Aprovado Caixa</t>
        </is>
      </c>
      <c r="R2115" t="inlineStr">
        <is>
          <t>Pago</t>
        </is>
      </c>
      <c r="S2115" t="n">
        <v>115</v>
      </c>
      <c r="T2115" t="inlineStr">
        <is>
          <t>Love - Shibari - Bradesco</t>
        </is>
      </c>
    </row>
    <row r="2116">
      <c r="A2116" t="n">
        <v>96973</v>
      </c>
      <c r="B2116" t="n">
        <v>128</v>
      </c>
      <c r="C2116" t="inlineStr">
        <is>
          <t>Love Cabaret</t>
        </is>
      </c>
      <c r="D2116" t="inlineStr">
        <is>
          <t xml:space="preserve">DIVIFY OPERACAO DE PLATAFORMA ELETRONICA LTDA </t>
        </is>
      </c>
      <c r="E2116" t="n">
        <v>1000</v>
      </c>
      <c r="F2116" s="27" t="n">
        <v>45787</v>
      </c>
      <c r="G2116" s="27" t="n">
        <v>45784</v>
      </c>
      <c r="H2116" s="27" t="n">
        <v>45784</v>
      </c>
      <c r="I2116" s="27" t="n">
        <v>45767</v>
      </c>
      <c r="J2116" s="27" t="n"/>
      <c r="K2116" t="inlineStr">
        <is>
          <t>Boleto Bancário</t>
        </is>
      </c>
      <c r="L2116" t="inlineStr">
        <is>
          <t>Serviços de Terceiros</t>
        </is>
      </c>
      <c r="M2116" t="inlineStr">
        <is>
          <t>Assessoria em Geral</t>
        </is>
      </c>
      <c r="N2116" t="inlineStr">
        <is>
          <t>240</t>
        </is>
      </c>
      <c r="O2116" t="inlineStr">
        <is>
          <t>Documentação Aprovada</t>
        </is>
      </c>
      <c r="P2116" t="inlineStr">
        <is>
          <t>Aprovado Diretoria</t>
        </is>
      </c>
      <c r="Q2116" t="inlineStr">
        <is>
          <t>Aprovado Caixa</t>
        </is>
      </c>
      <c r="R2116" t="inlineStr">
        <is>
          <t>Pago</t>
        </is>
      </c>
      <c r="S2116" t="n">
        <v>115</v>
      </c>
      <c r="T2116" t="inlineStr">
        <is>
          <t>Love - Shibari - Bradesco</t>
        </is>
      </c>
    </row>
    <row r="2117">
      <c r="A2117" t="n">
        <v>96821</v>
      </c>
      <c r="B2117" t="n">
        <v>128</v>
      </c>
      <c r="C2117" t="inlineStr">
        <is>
          <t>Love Cabaret</t>
        </is>
      </c>
      <c r="D2117" t="inlineStr">
        <is>
          <t xml:space="preserve">ANA CLAUDIA DA COSTA PINTO </t>
        </is>
      </c>
      <c r="E2117" t="n">
        <v>445</v>
      </c>
      <c r="F2117" s="27" t="n">
        <v>45786</v>
      </c>
      <c r="G2117" s="27" t="n">
        <v>45784</v>
      </c>
      <c r="H2117" s="27" t="n">
        <v>45784</v>
      </c>
      <c r="I2117" s="27" t="n">
        <v>45767</v>
      </c>
      <c r="J2117" s="27" t="n"/>
      <c r="K2117" t="inlineStr">
        <is>
          <t>Transferência Bancária ou Pix</t>
        </is>
      </c>
      <c r="L2117" t="inlineStr">
        <is>
          <t>Manutenção</t>
        </is>
      </c>
      <c r="M2117" t="inlineStr">
        <is>
          <t>Decoração/Paisagismo e Jardinagem</t>
        </is>
      </c>
      <c r="N2117" t="inlineStr">
        <is>
          <t>2313</t>
        </is>
      </c>
      <c r="O2117" t="inlineStr">
        <is>
          <t>Documentação Aprovada</t>
        </is>
      </c>
      <c r="P2117" t="inlineStr">
        <is>
          <t>Aprovado Diretoria</t>
        </is>
      </c>
      <c r="Q2117" t="inlineStr">
        <is>
          <t>Aprovado Caixa</t>
        </is>
      </c>
      <c r="R2117" t="inlineStr">
        <is>
          <t>Pago</t>
        </is>
      </c>
      <c r="S2117" t="n">
        <v>115</v>
      </c>
      <c r="T2117" t="inlineStr">
        <is>
          <t>Love - Shibari - Bradesco</t>
        </is>
      </c>
    </row>
    <row r="2118">
      <c r="A2118" t="n">
        <v>97099</v>
      </c>
      <c r="B2118" t="n">
        <v>128</v>
      </c>
      <c r="C2118" t="inlineStr">
        <is>
          <t>Love Cabaret</t>
        </is>
      </c>
      <c r="D2118" t="inlineStr">
        <is>
          <t>ESTAFF SOLUCOES TECNOLOGICAS DE AGENCIAMENTO LTDA</t>
        </is>
      </c>
      <c r="E2118" t="n">
        <v>13750</v>
      </c>
      <c r="F2118" s="27" t="n">
        <v>45784</v>
      </c>
      <c r="G2118" s="27" t="n">
        <v>45784</v>
      </c>
      <c r="H2118" s="27" t="n">
        <v>45784</v>
      </c>
      <c r="I2118" s="27" t="n">
        <v>45778</v>
      </c>
      <c r="J2118" s="27" t="n"/>
      <c r="K2118" t="inlineStr">
        <is>
          <t>Boleto Bancário</t>
        </is>
      </c>
      <c r="L2118" t="inlineStr">
        <is>
          <t>Mão de Obra - Extra</t>
        </is>
      </c>
      <c r="M2118" t="inlineStr">
        <is>
          <t>Mão de Obra Extra</t>
        </is>
      </c>
      <c r="N2118" t="inlineStr">
        <is>
          <t>559944384</t>
        </is>
      </c>
      <c r="O2118" t="inlineStr">
        <is>
          <t>Documentação Aprovada</t>
        </is>
      </c>
      <c r="P2118" t="inlineStr">
        <is>
          <t>Aprovado Diretoria</t>
        </is>
      </c>
      <c r="Q2118" t="inlineStr">
        <is>
          <t>Aprovado Caixa</t>
        </is>
      </c>
      <c r="R2118" t="inlineStr">
        <is>
          <t>Pago</t>
        </is>
      </c>
      <c r="S2118" t="n">
        <v>115</v>
      </c>
      <c r="T2118" t="inlineStr">
        <is>
          <t>Love - Shibari - Bradesco</t>
        </is>
      </c>
    </row>
    <row r="2119">
      <c r="A2119" t="n">
        <v>97033</v>
      </c>
      <c r="B2119" t="n">
        <v>128</v>
      </c>
      <c r="C2119" t="inlineStr">
        <is>
          <t>Love Cabaret</t>
        </is>
      </c>
      <c r="D2119" t="inlineStr">
        <is>
          <t>ESHOWS PROMOCOES ARTISTICAS LTDA</t>
        </is>
      </c>
      <c r="E2119" t="n">
        <v>19125</v>
      </c>
      <c r="F2119" s="27" t="n">
        <v>45789</v>
      </c>
      <c r="G2119" s="27" t="n">
        <v>45784</v>
      </c>
      <c r="H2119" s="27" t="n">
        <v>45784</v>
      </c>
      <c r="I2119" s="27" t="n">
        <v>45763</v>
      </c>
      <c r="J2119" s="27" t="n"/>
      <c r="K2119" t="inlineStr">
        <is>
          <t>Boleto Bancário</t>
        </is>
      </c>
      <c r="L2119" t="inlineStr">
        <is>
          <t>Custos Artístico Geral</t>
        </is>
      </c>
      <c r="M2119" t="inlineStr">
        <is>
          <t>Cachê de Músicos e Artistas</t>
        </is>
      </c>
      <c r="N2119" t="inlineStr">
        <is>
          <t>561024978</t>
        </is>
      </c>
      <c r="O2119" t="inlineStr">
        <is>
          <t>Documentação Aprovada</t>
        </is>
      </c>
      <c r="P2119" t="inlineStr">
        <is>
          <t>Aprovado Diretoria</t>
        </is>
      </c>
      <c r="Q2119" t="inlineStr">
        <is>
          <t>Aprovado Caixa</t>
        </is>
      </c>
      <c r="R2119" t="inlineStr">
        <is>
          <t>Pago</t>
        </is>
      </c>
      <c r="S2119" t="n">
        <v>115</v>
      </c>
      <c r="T2119" t="inlineStr">
        <is>
          <t>Love - Shibari - Bradesco</t>
        </is>
      </c>
    </row>
    <row r="2120">
      <c r="A2120" t="n">
        <v>129244</v>
      </c>
      <c r="B2120" t="n">
        <v>128</v>
      </c>
      <c r="C2120" t="inlineStr">
        <is>
          <t>Love Cabaret</t>
        </is>
      </c>
      <c r="D2120" t="inlineStr">
        <is>
          <t>CAROLINE FERREIRA DA SILVA</t>
        </is>
      </c>
      <c r="E2120" t="n">
        <v>2894.03</v>
      </c>
      <c r="F2120" s="27" t="n">
        <v>45784</v>
      </c>
      <c r="G2120" s="27" t="n">
        <v>45783</v>
      </c>
      <c r="H2120" s="27" t="n">
        <v>45783</v>
      </c>
      <c r="I2120" s="27" t="n">
        <v>45777</v>
      </c>
      <c r="J2120" s="27" t="n"/>
      <c r="L2120" t="inlineStr">
        <is>
          <t>Mão de Obra - Salários</t>
        </is>
      </c>
      <c r="M2120" t="inlineStr">
        <is>
          <t>MDO CLT - Salário</t>
        </is>
      </c>
      <c r="O2120" t="inlineStr">
        <is>
          <t>Documentação Aprovada</t>
        </is>
      </c>
      <c r="P2120" t="inlineStr">
        <is>
          <t>Aprovado Diretoria</t>
        </is>
      </c>
      <c r="Q2120" t="inlineStr">
        <is>
          <t>Aprovado Caixa</t>
        </is>
      </c>
      <c r="R2120" t="inlineStr">
        <is>
          <t>Pago</t>
        </is>
      </c>
      <c r="S2120" t="n">
        <v>115</v>
      </c>
      <c r="T2120" t="inlineStr">
        <is>
          <t>Love - Shibari - Bradesco</t>
        </is>
      </c>
    </row>
    <row r="2121">
      <c r="A2121" t="n">
        <v>129245</v>
      </c>
      <c r="B2121" t="n">
        <v>128</v>
      </c>
      <c r="C2121" t="inlineStr">
        <is>
          <t>Love Cabaret</t>
        </is>
      </c>
      <c r="D2121" t="inlineStr">
        <is>
          <t>PEDRO THOMAZ RODRIGUES</t>
        </is>
      </c>
      <c r="E2121" t="n">
        <v>2126.48</v>
      </c>
      <c r="F2121" s="27" t="n">
        <v>45784</v>
      </c>
      <c r="G2121" s="27" t="n">
        <v>45783</v>
      </c>
      <c r="H2121" s="27" t="n">
        <v>45783</v>
      </c>
      <c r="I2121" s="27" t="n">
        <v>45777</v>
      </c>
      <c r="J2121" s="27" t="n"/>
      <c r="L2121" t="inlineStr">
        <is>
          <t>Mão de Obra - Salários</t>
        </is>
      </c>
      <c r="M2121" t="inlineStr">
        <is>
          <t>MDO CLT - Salário</t>
        </is>
      </c>
      <c r="O2121" t="inlineStr">
        <is>
          <t>Documentação Aprovada</t>
        </is>
      </c>
      <c r="P2121" t="inlineStr">
        <is>
          <t>Aprovado Diretoria</t>
        </is>
      </c>
      <c r="Q2121" t="inlineStr">
        <is>
          <t>Aprovado Caixa</t>
        </is>
      </c>
      <c r="R2121" t="inlineStr">
        <is>
          <t>Pago</t>
        </is>
      </c>
      <c r="S2121" t="n">
        <v>115</v>
      </c>
      <c r="T2121" t="inlineStr">
        <is>
          <t>Love - Shibari - Bradesco</t>
        </is>
      </c>
    </row>
    <row r="2122">
      <c r="A2122" t="n">
        <v>130520</v>
      </c>
      <c r="B2122" t="n">
        <v>128</v>
      </c>
      <c r="C2122" t="inlineStr">
        <is>
          <t>Love Cabaret</t>
        </is>
      </c>
      <c r="D2122" t="inlineStr">
        <is>
          <t>PETTY CASH</t>
        </is>
      </c>
      <c r="E2122" t="n">
        <v>79.95</v>
      </c>
      <c r="F2122" s="27" t="n">
        <v>45782</v>
      </c>
      <c r="G2122" s="27" t="n">
        <v>45791</v>
      </c>
      <c r="H2122" s="27" t="n">
        <v>45782</v>
      </c>
      <c r="I2122" s="27" t="n">
        <v>45748</v>
      </c>
      <c r="J2122" s="27" t="n">
        <v>45784</v>
      </c>
      <c r="K2122" t="inlineStr">
        <is>
          <t>Cartão de Crédito</t>
        </is>
      </c>
      <c r="L2122" t="inlineStr">
        <is>
          <t>Utilidades</t>
        </is>
      </c>
      <c r="M2122" t="inlineStr">
        <is>
          <t>Utensilios</t>
        </is>
      </c>
      <c r="N2122" t="inlineStr">
        <is>
          <t>16PETTY042025</t>
        </is>
      </c>
      <c r="O2122" t="inlineStr">
        <is>
          <t>Documentação Aprovada</t>
        </is>
      </c>
      <c r="P2122" t="inlineStr">
        <is>
          <t>Aprovado Diretoria</t>
        </is>
      </c>
      <c r="Q2122" t="inlineStr">
        <is>
          <t>Aprovado Caixa</t>
        </is>
      </c>
      <c r="R2122" t="inlineStr">
        <is>
          <t>Pago</t>
        </is>
      </c>
      <c r="S2122" t="n">
        <v>182</v>
      </c>
      <c r="T2122" t="inlineStr">
        <is>
          <t>Love - Shibari - Kamino</t>
        </is>
      </c>
    </row>
    <row r="2123">
      <c r="A2123" t="n">
        <v>127422</v>
      </c>
      <c r="B2123" t="n">
        <v>128</v>
      </c>
      <c r="C2123" t="inlineStr">
        <is>
          <t>Love Cabaret</t>
        </is>
      </c>
      <c r="D2123" t="inlineStr">
        <is>
          <t>PJ 50397059000133</t>
        </is>
      </c>
      <c r="E2123" t="n">
        <v>2200</v>
      </c>
      <c r="F2123" s="27" t="n">
        <v>45782</v>
      </c>
      <c r="G2123" s="27" t="n">
        <v>45782</v>
      </c>
      <c r="H2123" s="27" t="n">
        <v>45782</v>
      </c>
      <c r="I2123" s="27" t="n">
        <v>45748</v>
      </c>
      <c r="J2123" s="27" t="n">
        <v>45772</v>
      </c>
      <c r="K2123" t="inlineStr">
        <is>
          <t>Transferência Bancária ou Pix</t>
        </is>
      </c>
      <c r="L2123" t="inlineStr">
        <is>
          <t>Mão de Obra - PJ</t>
        </is>
      </c>
      <c r="M2123" t="inlineStr">
        <is>
          <t>MDO PJ Fixo</t>
        </is>
      </c>
      <c r="N2123" t="inlineStr">
        <is>
          <t>51</t>
        </is>
      </c>
      <c r="O2123" t="inlineStr">
        <is>
          <t>Documentação Aprovada</t>
        </is>
      </c>
      <c r="P2123" t="inlineStr">
        <is>
          <t>Aprovado Diretoria</t>
        </is>
      </c>
      <c r="Q2123" t="inlineStr">
        <is>
          <t>Aprovado Caixa</t>
        </is>
      </c>
      <c r="R2123" t="inlineStr">
        <is>
          <t>Pago</t>
        </is>
      </c>
      <c r="S2123" t="n">
        <v>115</v>
      </c>
      <c r="T2123" t="inlineStr">
        <is>
          <t>Love - Shibari - Bradesco</t>
        </is>
      </c>
    </row>
    <row r="2124">
      <c r="A2124" t="n">
        <v>127547</v>
      </c>
      <c r="B2124" t="n">
        <v>128</v>
      </c>
      <c r="C2124" t="inlineStr">
        <is>
          <t>Love Cabaret</t>
        </is>
      </c>
      <c r="D2124" t="inlineStr">
        <is>
          <t xml:space="preserve">LEBANON MARKET CENTER LTDA </t>
        </is>
      </c>
      <c r="E2124" t="n">
        <v>380.12</v>
      </c>
      <c r="F2124" s="27" t="n">
        <v>45784</v>
      </c>
      <c r="G2124" s="27" t="n">
        <v>45782</v>
      </c>
      <c r="H2124" s="27" t="n">
        <v>45782</v>
      </c>
      <c r="I2124" s="27" t="n">
        <v>45770</v>
      </c>
      <c r="J2124" s="27" t="n">
        <v>45772</v>
      </c>
      <c r="K2124" t="inlineStr">
        <is>
          <t>Boleto Bancário</t>
        </is>
      </c>
      <c r="L2124" t="inlineStr">
        <is>
          <t>Custo Mercadoria Vendida</t>
        </is>
      </c>
      <c r="M2124" t="inlineStr">
        <is>
          <t>Insumos - Alimentos</t>
        </is>
      </c>
      <c r="N2124" t="inlineStr">
        <is>
          <t>133386</t>
        </is>
      </c>
      <c r="O2124" t="inlineStr">
        <is>
          <t>Documentação Aprovada</t>
        </is>
      </c>
      <c r="P2124" t="inlineStr">
        <is>
          <t>Aprovado Diretoria</t>
        </is>
      </c>
      <c r="Q2124" t="inlineStr">
        <is>
          <t>Aprovado Caixa</t>
        </is>
      </c>
      <c r="R2124" t="inlineStr">
        <is>
          <t>Pago</t>
        </is>
      </c>
      <c r="S2124" t="n">
        <v>115</v>
      </c>
      <c r="T2124" t="inlineStr">
        <is>
          <t>Love - Shibari - Bradesco</t>
        </is>
      </c>
    </row>
    <row r="2125">
      <c r="A2125" t="n">
        <v>127546</v>
      </c>
      <c r="B2125" t="n">
        <v>128</v>
      </c>
      <c r="C2125" t="inlineStr">
        <is>
          <t>Love Cabaret</t>
        </is>
      </c>
      <c r="D2125" t="inlineStr">
        <is>
          <t>PARAMU COMERCIO E REPRESENTACAO DE PRODUTOS ALIMENTICIOS</t>
        </is>
      </c>
      <c r="E2125" t="n">
        <v>488.24</v>
      </c>
      <c r="F2125" s="27" t="n">
        <v>45784</v>
      </c>
      <c r="G2125" s="27" t="n">
        <v>45782</v>
      </c>
      <c r="H2125" s="27" t="n">
        <v>45782</v>
      </c>
      <c r="I2125" s="27" t="n">
        <v>45770</v>
      </c>
      <c r="J2125" s="27" t="n">
        <v>45772</v>
      </c>
      <c r="K2125" t="inlineStr">
        <is>
          <t>Boleto Bancário</t>
        </is>
      </c>
      <c r="L2125" t="inlineStr">
        <is>
          <t>Custo Mercadoria Vendida</t>
        </is>
      </c>
      <c r="M2125" t="inlineStr">
        <is>
          <t>Insumos - Alimentos</t>
        </is>
      </c>
      <c r="N2125" t="inlineStr">
        <is>
          <t>13638</t>
        </is>
      </c>
      <c r="O2125" t="inlineStr">
        <is>
          <t>Documentação Aprovada</t>
        </is>
      </c>
      <c r="P2125" t="inlineStr">
        <is>
          <t>Aprovado Diretoria</t>
        </is>
      </c>
      <c r="Q2125" t="inlineStr">
        <is>
          <t>Aprovado Caixa</t>
        </is>
      </c>
      <c r="R2125" t="inlineStr">
        <is>
          <t>Pago</t>
        </is>
      </c>
      <c r="S2125" t="n">
        <v>115</v>
      </c>
      <c r="T2125" t="inlineStr">
        <is>
          <t>Love - Shibari - Bradesco</t>
        </is>
      </c>
    </row>
    <row r="2126">
      <c r="A2126" t="n">
        <v>127543</v>
      </c>
      <c r="B2126" t="n">
        <v>128</v>
      </c>
      <c r="C2126" t="inlineStr">
        <is>
          <t>Love Cabaret</t>
        </is>
      </c>
      <c r="D2126" t="inlineStr">
        <is>
          <t>HORTIFRUTIGRANJEIRO RODRIGUES LTDA</t>
        </is>
      </c>
      <c r="E2126" t="n">
        <v>307.9</v>
      </c>
      <c r="F2126" s="27" t="n">
        <v>45784</v>
      </c>
      <c r="G2126" s="27" t="n">
        <v>45782</v>
      </c>
      <c r="H2126" s="27" t="n">
        <v>45782</v>
      </c>
      <c r="I2126" s="27" t="n">
        <v>45765</v>
      </c>
      <c r="J2126" s="27" t="n">
        <v>45772</v>
      </c>
      <c r="K2126" t="inlineStr">
        <is>
          <t>Boleto Bancário</t>
        </is>
      </c>
      <c r="L2126" t="inlineStr">
        <is>
          <t>Custo Mercadoria Vendida</t>
        </is>
      </c>
      <c r="M2126" t="inlineStr">
        <is>
          <t>Insumos - Alimentos</t>
        </is>
      </c>
      <c r="N2126" t="inlineStr">
        <is>
          <t>9859</t>
        </is>
      </c>
      <c r="O2126" t="inlineStr">
        <is>
          <t>Documentação Aprovada</t>
        </is>
      </c>
      <c r="P2126" t="inlineStr">
        <is>
          <t>Aprovado Diretoria</t>
        </is>
      </c>
      <c r="Q2126" t="inlineStr">
        <is>
          <t>Aprovado Caixa</t>
        </is>
      </c>
      <c r="R2126" t="inlineStr">
        <is>
          <t>Pago</t>
        </is>
      </c>
      <c r="S2126" t="n">
        <v>115</v>
      </c>
      <c r="T2126" t="inlineStr">
        <is>
          <t>Love - Shibari - Bradesco</t>
        </is>
      </c>
    </row>
    <row r="2127">
      <c r="A2127" t="n">
        <v>127550</v>
      </c>
      <c r="B2127" t="n">
        <v>128</v>
      </c>
      <c r="C2127" t="inlineStr">
        <is>
          <t>Love Cabaret</t>
        </is>
      </c>
      <c r="D2127" t="inlineStr">
        <is>
          <t>PORCO FELIZ COM DE CARNES LTDA</t>
        </is>
      </c>
      <c r="E2127" t="n">
        <v>114.72</v>
      </c>
      <c r="F2127" s="27" t="n">
        <v>45784</v>
      </c>
      <c r="G2127" s="27" t="n">
        <v>45782</v>
      </c>
      <c r="H2127" s="27" t="n">
        <v>45782</v>
      </c>
      <c r="I2127" s="27" t="n">
        <v>45770</v>
      </c>
      <c r="J2127" s="27" t="n">
        <v>45772</v>
      </c>
      <c r="K2127" t="inlineStr">
        <is>
          <t>Boleto Bancário</t>
        </is>
      </c>
      <c r="L2127" t="inlineStr">
        <is>
          <t>Custo Mercadoria Vendida</t>
        </is>
      </c>
      <c r="M2127" t="inlineStr">
        <is>
          <t>Insumos - Alimentos</t>
        </is>
      </c>
      <c r="N2127" t="inlineStr">
        <is>
          <t>574861</t>
        </is>
      </c>
      <c r="O2127" t="inlineStr">
        <is>
          <t>Documentação Aprovada</t>
        </is>
      </c>
      <c r="P2127" t="inlineStr">
        <is>
          <t>Aprovado Diretoria</t>
        </is>
      </c>
      <c r="Q2127" t="inlineStr">
        <is>
          <t>Aprovado Caixa</t>
        </is>
      </c>
      <c r="R2127" t="inlineStr">
        <is>
          <t>Pago</t>
        </is>
      </c>
      <c r="S2127" t="n">
        <v>115</v>
      </c>
      <c r="T2127" t="inlineStr">
        <is>
          <t>Love - Shibari - Bradesco</t>
        </is>
      </c>
    </row>
    <row r="2128">
      <c r="A2128" t="n">
        <v>127542</v>
      </c>
      <c r="B2128" t="n">
        <v>128</v>
      </c>
      <c r="C2128" t="inlineStr">
        <is>
          <t>Love Cabaret</t>
        </is>
      </c>
      <c r="D2128" t="inlineStr">
        <is>
          <t>PARAMU COMERCIO E REPRESENTACAO DE PRODUTOS ALIMENTICIOS</t>
        </is>
      </c>
      <c r="E2128" t="n">
        <v>368.35</v>
      </c>
      <c r="F2128" s="27" t="n">
        <v>45783</v>
      </c>
      <c r="G2128" s="27" t="n">
        <v>45782</v>
      </c>
      <c r="H2128" s="27" t="n">
        <v>45782</v>
      </c>
      <c r="I2128" s="27" t="n">
        <v>45769</v>
      </c>
      <c r="J2128" s="27" t="n">
        <v>45772</v>
      </c>
      <c r="K2128" t="inlineStr">
        <is>
          <t>Boleto Bancário</t>
        </is>
      </c>
      <c r="L2128" t="inlineStr">
        <is>
          <t>Custo Mercadoria Vendida</t>
        </is>
      </c>
      <c r="M2128" t="inlineStr">
        <is>
          <t>Insumos - Alimentos</t>
        </is>
      </c>
      <c r="N2128" t="inlineStr">
        <is>
          <t>13596</t>
        </is>
      </c>
      <c r="O2128" t="inlineStr">
        <is>
          <t>Documentação Aprovada</t>
        </is>
      </c>
      <c r="P2128" t="inlineStr">
        <is>
          <t>Aprovado Diretoria</t>
        </is>
      </c>
      <c r="Q2128" t="inlineStr">
        <is>
          <t>Aprovado Caixa</t>
        </is>
      </c>
      <c r="R2128" t="inlineStr">
        <is>
          <t>Pago</t>
        </is>
      </c>
      <c r="S2128" t="n">
        <v>115</v>
      </c>
      <c r="T2128" t="inlineStr">
        <is>
          <t>Love - Shibari - Bradesco</t>
        </is>
      </c>
    </row>
    <row r="2129">
      <c r="A2129" t="n">
        <v>127551</v>
      </c>
      <c r="B2129" t="n">
        <v>128</v>
      </c>
      <c r="C2129" t="inlineStr">
        <is>
          <t>Love Cabaret</t>
        </is>
      </c>
      <c r="D2129" t="inlineStr">
        <is>
          <t xml:space="preserve">SKY COMERCIO DE PRODUTOS ALIMENTICIOS LTDA </t>
        </is>
      </c>
      <c r="E2129" t="n">
        <v>2199.38</v>
      </c>
      <c r="F2129" s="27" t="n">
        <v>45782</v>
      </c>
      <c r="G2129" s="27" t="n">
        <v>45782</v>
      </c>
      <c r="H2129" s="27" t="n">
        <v>45782</v>
      </c>
      <c r="I2129" s="27" t="n">
        <v>45770</v>
      </c>
      <c r="J2129" s="27" t="n">
        <v>45772</v>
      </c>
      <c r="K2129" t="inlineStr">
        <is>
          <t>Boleto Bancário</t>
        </is>
      </c>
      <c r="L2129" t="inlineStr">
        <is>
          <t>Custo Mercadoria Vendida</t>
        </is>
      </c>
      <c r="M2129" t="inlineStr">
        <is>
          <t>Insumos - Bebidas</t>
        </is>
      </c>
      <c r="N2129" t="inlineStr">
        <is>
          <t>28511</t>
        </is>
      </c>
      <c r="O2129" t="inlineStr">
        <is>
          <t>Documentação Aprovada</t>
        </is>
      </c>
      <c r="P2129" t="inlineStr">
        <is>
          <t>Aprovado Diretoria</t>
        </is>
      </c>
      <c r="Q2129" t="inlineStr">
        <is>
          <t>Aprovado Caixa</t>
        </is>
      </c>
      <c r="R2129" t="inlineStr">
        <is>
          <t>Pago</t>
        </is>
      </c>
      <c r="S2129" t="n">
        <v>115</v>
      </c>
      <c r="T2129" t="inlineStr">
        <is>
          <t>Love - Shibari - Bradesco</t>
        </is>
      </c>
    </row>
    <row r="2130">
      <c r="A2130" t="n">
        <v>127552</v>
      </c>
      <c r="B2130" t="n">
        <v>128</v>
      </c>
      <c r="C2130" t="inlineStr">
        <is>
          <t>Love Cabaret</t>
        </is>
      </c>
      <c r="D2130" t="inlineStr">
        <is>
          <t>EDUARDO JOSE DA SILVA DISTRIBUIÇÃO DE PRODUTOS ALIMENTICIOS</t>
        </is>
      </c>
      <c r="E2130" t="n">
        <v>685.76</v>
      </c>
      <c r="F2130" s="27" t="n">
        <v>45784</v>
      </c>
      <c r="G2130" s="27" t="n">
        <v>45782</v>
      </c>
      <c r="H2130" s="27" t="n">
        <v>45782</v>
      </c>
      <c r="I2130" s="27" t="n">
        <v>45770</v>
      </c>
      <c r="J2130" s="27" t="n">
        <v>45772</v>
      </c>
      <c r="K2130" t="inlineStr">
        <is>
          <t>Boleto Bancário</t>
        </is>
      </c>
      <c r="L2130" t="inlineStr">
        <is>
          <t>Custo Mercadoria Vendida</t>
        </is>
      </c>
      <c r="M2130" t="inlineStr">
        <is>
          <t>Insumos - Alimentos</t>
        </is>
      </c>
      <c r="N2130" t="inlineStr">
        <is>
          <t>134996</t>
        </is>
      </c>
      <c r="O2130" t="inlineStr">
        <is>
          <t>Documentação Aprovada</t>
        </is>
      </c>
      <c r="P2130" t="inlineStr">
        <is>
          <t>Aprovado Diretoria</t>
        </is>
      </c>
      <c r="Q2130" t="inlineStr">
        <is>
          <t>Aprovado Caixa</t>
        </is>
      </c>
      <c r="R2130" t="inlineStr">
        <is>
          <t>Pago</t>
        </is>
      </c>
      <c r="S2130" t="n">
        <v>115</v>
      </c>
      <c r="T2130" t="inlineStr">
        <is>
          <t>Love - Shibari - Bradesco</t>
        </is>
      </c>
    </row>
    <row r="2131">
      <c r="A2131" t="n">
        <v>128090</v>
      </c>
      <c r="B2131" t="n">
        <v>128</v>
      </c>
      <c r="C2131" t="inlineStr">
        <is>
          <t>Love Cabaret</t>
        </is>
      </c>
      <c r="D2131" t="inlineStr">
        <is>
          <t>PETTY CASH</t>
        </is>
      </c>
      <c r="E2131" t="n">
        <v>111.98</v>
      </c>
      <c r="F2131" s="27" t="n">
        <v>45782</v>
      </c>
      <c r="G2131" s="27" t="n">
        <v>45783</v>
      </c>
      <c r="H2131" s="27" t="n">
        <v>45782</v>
      </c>
      <c r="I2131" s="27" t="n">
        <v>45748</v>
      </c>
      <c r="J2131" s="27" t="n">
        <v>45777</v>
      </c>
      <c r="K2131" t="inlineStr">
        <is>
          <t>Cartão de Crédito</t>
        </is>
      </c>
      <c r="L2131" t="inlineStr">
        <is>
          <t>Utilidades</t>
        </is>
      </c>
      <c r="M2131" t="inlineStr">
        <is>
          <t>Serviços Graficos</t>
        </is>
      </c>
      <c r="N2131" t="inlineStr">
        <is>
          <t>5PETTY042025</t>
        </is>
      </c>
      <c r="O2131" t="inlineStr">
        <is>
          <t>Documentação Aprovada</t>
        </is>
      </c>
      <c r="P2131" t="inlineStr">
        <is>
          <t>Aprovado Diretoria</t>
        </is>
      </c>
      <c r="Q2131" t="inlineStr">
        <is>
          <t>Aprovado Caixa</t>
        </is>
      </c>
      <c r="R2131" t="inlineStr">
        <is>
          <t>Pago</t>
        </is>
      </c>
      <c r="S2131" t="n">
        <v>120</v>
      </c>
      <c r="T2131" t="inlineStr">
        <is>
          <t>Love - Petty Cash</t>
        </is>
      </c>
    </row>
    <row r="2132">
      <c r="A2132" t="n">
        <v>128102</v>
      </c>
      <c r="B2132" t="n">
        <v>128</v>
      </c>
      <c r="C2132" t="inlineStr">
        <is>
          <t>Love Cabaret</t>
        </is>
      </c>
      <c r="D2132" t="inlineStr">
        <is>
          <t>PETTY CASH</t>
        </is>
      </c>
      <c r="E2132" t="n">
        <v>135</v>
      </c>
      <c r="F2132" s="27" t="n">
        <v>45782</v>
      </c>
      <c r="G2132" s="27" t="n">
        <v>45783</v>
      </c>
      <c r="H2132" s="27" t="n">
        <v>45782</v>
      </c>
      <c r="I2132" s="27" t="n">
        <v>45748</v>
      </c>
      <c r="J2132" s="27" t="n">
        <v>45777</v>
      </c>
      <c r="K2132" t="inlineStr">
        <is>
          <t>Cartão de Crédito</t>
        </is>
      </c>
      <c r="L2132" t="inlineStr">
        <is>
          <t>Manutenção</t>
        </is>
      </c>
      <c r="M2132" t="inlineStr">
        <is>
          <t>Material de Manutenção</t>
        </is>
      </c>
      <c r="N2132" t="inlineStr">
        <is>
          <t>6PETTY042025</t>
        </is>
      </c>
      <c r="O2132" t="inlineStr">
        <is>
          <t>Documentação Aprovada</t>
        </is>
      </c>
      <c r="P2132" t="inlineStr">
        <is>
          <t>Aprovado Diretoria</t>
        </is>
      </c>
      <c r="Q2132" t="inlineStr">
        <is>
          <t>Aprovado Caixa</t>
        </is>
      </c>
      <c r="R2132" t="inlineStr">
        <is>
          <t>Pago</t>
        </is>
      </c>
      <c r="S2132" t="n">
        <v>120</v>
      </c>
      <c r="T2132" t="inlineStr">
        <is>
          <t>Love - Petty Cash</t>
        </is>
      </c>
    </row>
    <row r="2133">
      <c r="A2133" t="n">
        <v>127774</v>
      </c>
      <c r="B2133" t="n">
        <v>128</v>
      </c>
      <c r="C2133" t="inlineStr">
        <is>
          <t>Love Cabaret</t>
        </is>
      </c>
      <c r="D2133" t="inlineStr">
        <is>
          <t>HORTIFRUTIGRANJEIRO RODRIGUES LTDA</t>
        </is>
      </c>
      <c r="E2133" t="n">
        <v>382.25</v>
      </c>
      <c r="F2133" s="27" t="n">
        <v>45784</v>
      </c>
      <c r="G2133" s="27" t="n">
        <v>45782</v>
      </c>
      <c r="H2133" s="27" t="n">
        <v>45782</v>
      </c>
      <c r="I2133" s="27" t="n">
        <v>45771</v>
      </c>
      <c r="J2133" s="27" t="n">
        <v>45776</v>
      </c>
      <c r="K2133" t="inlineStr">
        <is>
          <t>Boleto Bancário</t>
        </is>
      </c>
      <c r="L2133" t="inlineStr">
        <is>
          <t>Custo Mercadoria Vendida</t>
        </is>
      </c>
      <c r="M2133" t="inlineStr">
        <is>
          <t>Insumos - Alimentos</t>
        </is>
      </c>
      <c r="N2133" t="inlineStr">
        <is>
          <t>09971</t>
        </is>
      </c>
      <c r="O2133" t="inlineStr">
        <is>
          <t>Documentação Aprovada</t>
        </is>
      </c>
      <c r="P2133" t="inlineStr">
        <is>
          <t>Aprovado Diretoria</t>
        </is>
      </c>
      <c r="Q2133" t="inlineStr">
        <is>
          <t>Aprovado Caixa</t>
        </is>
      </c>
      <c r="R2133" t="inlineStr">
        <is>
          <t>Pago</t>
        </is>
      </c>
      <c r="S2133" t="n">
        <v>115</v>
      </c>
      <c r="T2133" t="inlineStr">
        <is>
          <t>Love - Shibari - Bradesco</t>
        </is>
      </c>
    </row>
    <row r="2134">
      <c r="A2134" t="n">
        <v>125973</v>
      </c>
      <c r="B2134" t="n">
        <v>128</v>
      </c>
      <c r="C2134" t="inlineStr">
        <is>
          <t>Love Cabaret</t>
        </is>
      </c>
      <c r="D2134" t="inlineStr">
        <is>
          <t>HORTICLEAN DISTRIBUIDORA DE HORTIFRUTI LTDA</t>
        </is>
      </c>
      <c r="E2134" t="n">
        <v>258.78</v>
      </c>
      <c r="F2134" s="27" t="n">
        <v>45784</v>
      </c>
      <c r="G2134" s="27" t="n">
        <v>45782</v>
      </c>
      <c r="H2134" s="27" t="n">
        <v>45782</v>
      </c>
      <c r="I2134" s="27" t="n">
        <v>45756</v>
      </c>
      <c r="J2134" s="27" t="n">
        <v>45763</v>
      </c>
      <c r="K2134" t="inlineStr">
        <is>
          <t>Boleto Bancário</t>
        </is>
      </c>
      <c r="L2134" t="inlineStr">
        <is>
          <t>Custo Mercadoria Vendida</t>
        </is>
      </c>
      <c r="M2134" t="inlineStr">
        <is>
          <t>Insumos - Alimentos</t>
        </is>
      </c>
      <c r="N2134" t="inlineStr">
        <is>
          <t>26376</t>
        </is>
      </c>
      <c r="O2134" t="inlineStr">
        <is>
          <t>Documentação Aprovada</t>
        </is>
      </c>
      <c r="P2134" t="inlineStr">
        <is>
          <t>Aprovado Diretoria</t>
        </is>
      </c>
      <c r="Q2134" t="inlineStr">
        <is>
          <t>Aprovado Caixa</t>
        </is>
      </c>
      <c r="R2134" t="inlineStr">
        <is>
          <t>Pago</t>
        </is>
      </c>
      <c r="S2134" t="n">
        <v>115</v>
      </c>
      <c r="T2134" t="inlineStr">
        <is>
          <t>Love - Shibari - Bradesco</t>
        </is>
      </c>
    </row>
    <row r="2135">
      <c r="A2135" t="n">
        <v>125908</v>
      </c>
      <c r="B2135" t="n">
        <v>128</v>
      </c>
      <c r="C2135" t="inlineStr">
        <is>
          <t>Love Cabaret</t>
        </is>
      </c>
      <c r="D2135" t="inlineStr">
        <is>
          <t>FLAVIO RODRIGUES DE MOURA</t>
        </is>
      </c>
      <c r="E2135" t="n">
        <v>1000</v>
      </c>
      <c r="F2135" s="27" t="n">
        <v>45783</v>
      </c>
      <c r="G2135" s="27" t="n">
        <v>45782</v>
      </c>
      <c r="H2135" s="27" t="n">
        <v>45782</v>
      </c>
      <c r="I2135" s="27" t="n">
        <v>45767</v>
      </c>
      <c r="J2135" s="27" t="n">
        <v>45763</v>
      </c>
      <c r="K2135" t="inlineStr">
        <is>
          <t>Transferência Bancária ou Pix</t>
        </is>
      </c>
      <c r="L2135" t="inlineStr">
        <is>
          <t>Custos Artístico Geral</t>
        </is>
      </c>
      <c r="M2135" t="inlineStr">
        <is>
          <t>Cachê de Músicos e Artistas</t>
        </is>
      </c>
      <c r="N2135" t="inlineStr">
        <is>
          <t>1000052025</t>
        </is>
      </c>
      <c r="O2135" t="inlineStr">
        <is>
          <t>Documentação Aprovada</t>
        </is>
      </c>
      <c r="P2135" t="inlineStr">
        <is>
          <t>Aprovado Diretoria</t>
        </is>
      </c>
      <c r="Q2135" t="inlineStr">
        <is>
          <t>Aprovado Caixa</t>
        </is>
      </c>
      <c r="R2135" t="inlineStr">
        <is>
          <t>Pago</t>
        </is>
      </c>
      <c r="S2135" t="n">
        <v>115</v>
      </c>
      <c r="T2135" t="inlineStr">
        <is>
          <t>Love - Shibari - Bradesco</t>
        </is>
      </c>
    </row>
    <row r="2136">
      <c r="A2136" t="n">
        <v>128107</v>
      </c>
      <c r="B2136" t="n">
        <v>128</v>
      </c>
      <c r="C2136" t="inlineStr">
        <is>
          <t>Love Cabaret</t>
        </is>
      </c>
      <c r="D2136" t="inlineStr">
        <is>
          <t>PETTY CASH</t>
        </is>
      </c>
      <c r="E2136" t="n">
        <v>111.1</v>
      </c>
      <c r="F2136" s="27" t="n">
        <v>45782</v>
      </c>
      <c r="G2136" s="27" t="n">
        <v>45783</v>
      </c>
      <c r="H2136" s="27" t="n">
        <v>45782</v>
      </c>
      <c r="I2136" s="27" t="n">
        <v>45748</v>
      </c>
      <c r="J2136" s="27" t="n">
        <v>45777</v>
      </c>
      <c r="K2136" t="inlineStr">
        <is>
          <t>Cartão de Crédito</t>
        </is>
      </c>
      <c r="L2136" t="inlineStr">
        <is>
          <t>Manutenção</t>
        </is>
      </c>
      <c r="M2136" t="inlineStr">
        <is>
          <t>Material de Manutenção</t>
        </is>
      </c>
      <c r="N2136" t="inlineStr">
        <is>
          <t>7PETTY042025</t>
        </is>
      </c>
      <c r="O2136" t="inlineStr">
        <is>
          <t>Documentação Aprovada</t>
        </is>
      </c>
      <c r="P2136" t="inlineStr">
        <is>
          <t>Aprovado Diretoria</t>
        </is>
      </c>
      <c r="Q2136" t="inlineStr">
        <is>
          <t>Aprovado Caixa</t>
        </is>
      </c>
      <c r="R2136" t="inlineStr">
        <is>
          <t>Pago</t>
        </is>
      </c>
      <c r="S2136" t="n">
        <v>120</v>
      </c>
      <c r="T2136" t="inlineStr">
        <is>
          <t>Love - Petty Cash</t>
        </is>
      </c>
    </row>
    <row r="2137">
      <c r="A2137" t="n">
        <v>128121</v>
      </c>
      <c r="B2137" t="n">
        <v>128</v>
      </c>
      <c r="C2137" t="inlineStr">
        <is>
          <t>Love Cabaret</t>
        </is>
      </c>
      <c r="D2137" t="inlineStr">
        <is>
          <t>PETTY CASH</t>
        </is>
      </c>
      <c r="E2137" t="n">
        <v>77.16</v>
      </c>
      <c r="F2137" s="27" t="n">
        <v>45782</v>
      </c>
      <c r="G2137" s="27" t="n">
        <v>45783</v>
      </c>
      <c r="H2137" s="27" t="n">
        <v>45782</v>
      </c>
      <c r="I2137" s="27" t="n">
        <v>45748</v>
      </c>
      <c r="J2137" s="27" t="n">
        <v>45777</v>
      </c>
      <c r="K2137" t="inlineStr">
        <is>
          <t>Cartão de Crédito</t>
        </is>
      </c>
      <c r="L2137" t="inlineStr">
        <is>
          <t>Utilidades</t>
        </is>
      </c>
      <c r="M2137" t="inlineStr">
        <is>
          <t>Serviços Graficos</t>
        </is>
      </c>
      <c r="N2137" t="inlineStr">
        <is>
          <t>14PETTY042025</t>
        </is>
      </c>
      <c r="O2137" t="inlineStr">
        <is>
          <t>Documentação Aprovada</t>
        </is>
      </c>
      <c r="P2137" t="inlineStr">
        <is>
          <t>Aprovado Diretoria</t>
        </is>
      </c>
      <c r="Q2137" t="inlineStr">
        <is>
          <t>Aprovado Caixa</t>
        </is>
      </c>
      <c r="R2137" t="inlineStr">
        <is>
          <t>Pago</t>
        </is>
      </c>
      <c r="S2137" t="n">
        <v>120</v>
      </c>
      <c r="T2137" t="inlineStr">
        <is>
          <t>Love - Petty Cash</t>
        </is>
      </c>
    </row>
    <row r="2138">
      <c r="A2138" t="n">
        <v>128110</v>
      </c>
      <c r="B2138" t="n">
        <v>128</v>
      </c>
      <c r="C2138" t="inlineStr">
        <is>
          <t>Love Cabaret</t>
        </is>
      </c>
      <c r="D2138" t="inlineStr">
        <is>
          <t>PETTY CASH</t>
        </is>
      </c>
      <c r="E2138" t="n">
        <v>54</v>
      </c>
      <c r="F2138" s="27" t="n">
        <v>45782</v>
      </c>
      <c r="G2138" s="27" t="n">
        <v>45783</v>
      </c>
      <c r="H2138" s="27" t="n">
        <v>45782</v>
      </c>
      <c r="I2138" s="27" t="n">
        <v>45748</v>
      </c>
      <c r="J2138" s="27" t="n">
        <v>45777</v>
      </c>
      <c r="K2138" t="inlineStr">
        <is>
          <t>Cartão de Crédito</t>
        </is>
      </c>
      <c r="L2138" t="inlineStr">
        <is>
          <t>Utilidades</t>
        </is>
      </c>
      <c r="M2138" t="inlineStr">
        <is>
          <t>Material de Escritorio</t>
        </is>
      </c>
      <c r="N2138" t="inlineStr">
        <is>
          <t>8PETTY042025</t>
        </is>
      </c>
      <c r="O2138" t="inlineStr">
        <is>
          <t>Documentação Aprovada</t>
        </is>
      </c>
      <c r="P2138" t="inlineStr">
        <is>
          <t>Aprovado Diretoria</t>
        </is>
      </c>
      <c r="Q2138" t="inlineStr">
        <is>
          <t>Aprovado Caixa</t>
        </is>
      </c>
      <c r="R2138" t="inlineStr">
        <is>
          <t>Pago</t>
        </is>
      </c>
      <c r="S2138" t="n">
        <v>120</v>
      </c>
      <c r="T2138" t="inlineStr">
        <is>
          <t>Love - Petty Cash</t>
        </is>
      </c>
    </row>
    <row r="2139">
      <c r="A2139" t="n">
        <v>128111</v>
      </c>
      <c r="B2139" t="n">
        <v>128</v>
      </c>
      <c r="C2139" t="inlineStr">
        <is>
          <t>Love Cabaret</t>
        </is>
      </c>
      <c r="D2139" t="inlineStr">
        <is>
          <t>PETTY CASH</t>
        </is>
      </c>
      <c r="E2139" t="n">
        <v>20.28</v>
      </c>
      <c r="F2139" s="27" t="n">
        <v>45782</v>
      </c>
      <c r="G2139" s="27" t="n">
        <v>45783</v>
      </c>
      <c r="H2139" s="27" t="n">
        <v>45782</v>
      </c>
      <c r="I2139" s="27" t="n">
        <v>45748</v>
      </c>
      <c r="J2139" s="27" t="n">
        <v>45777</v>
      </c>
      <c r="K2139" t="inlineStr">
        <is>
          <t>Cartão de Crédito</t>
        </is>
      </c>
      <c r="L2139" t="inlineStr">
        <is>
          <t>Custo Mercadoria Vendida</t>
        </is>
      </c>
      <c r="M2139" t="inlineStr">
        <is>
          <t>Insumos - Alimentos</t>
        </is>
      </c>
      <c r="N2139" t="inlineStr">
        <is>
          <t>9PETTY042025</t>
        </is>
      </c>
      <c r="O2139" t="inlineStr">
        <is>
          <t>Documentação Aprovada</t>
        </is>
      </c>
      <c r="P2139" t="inlineStr">
        <is>
          <t>Aprovado Diretoria</t>
        </is>
      </c>
      <c r="Q2139" t="inlineStr">
        <is>
          <t>Aprovado Caixa</t>
        </is>
      </c>
      <c r="R2139" t="inlineStr">
        <is>
          <t>Pago</t>
        </is>
      </c>
      <c r="S2139" t="n">
        <v>120</v>
      </c>
      <c r="T2139" t="inlineStr">
        <is>
          <t>Love - Petty Cash</t>
        </is>
      </c>
    </row>
    <row r="2140">
      <c r="A2140" t="n">
        <v>128113</v>
      </c>
      <c r="B2140" t="n">
        <v>128</v>
      </c>
      <c r="C2140" t="inlineStr">
        <is>
          <t>Love Cabaret</t>
        </is>
      </c>
      <c r="D2140" t="inlineStr">
        <is>
          <t>PETTY CASH</t>
        </is>
      </c>
      <c r="E2140" t="n">
        <v>177.52</v>
      </c>
      <c r="F2140" s="27" t="n">
        <v>45782</v>
      </c>
      <c r="G2140" s="27" t="n">
        <v>45783</v>
      </c>
      <c r="H2140" s="27" t="n">
        <v>45782</v>
      </c>
      <c r="I2140" s="27" t="n">
        <v>45748</v>
      </c>
      <c r="J2140" s="27" t="n">
        <v>45777</v>
      </c>
      <c r="K2140" t="inlineStr">
        <is>
          <t>Cartão de Crédito</t>
        </is>
      </c>
      <c r="L2140" t="inlineStr">
        <is>
          <t>Utilidades</t>
        </is>
      </c>
      <c r="M2140" t="inlineStr">
        <is>
          <t>Serviços Graficos</t>
        </is>
      </c>
      <c r="N2140" t="inlineStr">
        <is>
          <t>10PETTY042025</t>
        </is>
      </c>
      <c r="O2140" t="inlineStr">
        <is>
          <t>Documentação Aprovada</t>
        </is>
      </c>
      <c r="P2140" t="inlineStr">
        <is>
          <t>Aprovado Diretoria</t>
        </is>
      </c>
      <c r="Q2140" t="inlineStr">
        <is>
          <t>Aprovado Caixa</t>
        </is>
      </c>
      <c r="R2140" t="inlineStr">
        <is>
          <t>Pago</t>
        </is>
      </c>
      <c r="S2140" t="n">
        <v>120</v>
      </c>
      <c r="T2140" t="inlineStr">
        <is>
          <t>Love - Petty Cash</t>
        </is>
      </c>
    </row>
    <row r="2141">
      <c r="A2141" t="n">
        <v>128114</v>
      </c>
      <c r="B2141" t="n">
        <v>128</v>
      </c>
      <c r="C2141" t="inlineStr">
        <is>
          <t>Love Cabaret</t>
        </is>
      </c>
      <c r="D2141" t="inlineStr">
        <is>
          <t>PETTY CASH</t>
        </is>
      </c>
      <c r="E2141" t="n">
        <v>329.8</v>
      </c>
      <c r="F2141" s="27" t="n">
        <v>45782</v>
      </c>
      <c r="G2141" s="27" t="n">
        <v>45783</v>
      </c>
      <c r="H2141" s="27" t="n">
        <v>45782</v>
      </c>
      <c r="I2141" s="27" t="n">
        <v>45748</v>
      </c>
      <c r="J2141" s="27" t="n">
        <v>45777</v>
      </c>
      <c r="K2141" t="inlineStr">
        <is>
          <t>Cartão de Crédito</t>
        </is>
      </c>
      <c r="L2141" t="inlineStr">
        <is>
          <t>Manutenção</t>
        </is>
      </c>
      <c r="M2141" t="inlineStr">
        <is>
          <t>Material de Manutenção</t>
        </is>
      </c>
      <c r="N2141" t="inlineStr">
        <is>
          <t>11PETTY042025</t>
        </is>
      </c>
      <c r="O2141" t="inlineStr">
        <is>
          <t>Documentação Aprovada</t>
        </is>
      </c>
      <c r="P2141" t="inlineStr">
        <is>
          <t>Aprovado Diretoria</t>
        </is>
      </c>
      <c r="Q2141" t="inlineStr">
        <is>
          <t>Aprovado Caixa</t>
        </is>
      </c>
      <c r="R2141" t="inlineStr">
        <is>
          <t>Pago</t>
        </is>
      </c>
      <c r="S2141" t="n">
        <v>120</v>
      </c>
      <c r="T2141" t="inlineStr">
        <is>
          <t>Love - Petty Cash</t>
        </is>
      </c>
    </row>
    <row r="2142">
      <c r="A2142" t="n">
        <v>128188</v>
      </c>
      <c r="B2142" t="n">
        <v>128</v>
      </c>
      <c r="C2142" t="inlineStr">
        <is>
          <t>Love Cabaret</t>
        </is>
      </c>
      <c r="D2142" t="inlineStr">
        <is>
          <t>ARTE DO CLICK PRODUÇÃO FOTOGRAFICA E CINEMATOGRAFICA LTDA</t>
        </is>
      </c>
      <c r="E2142" t="n">
        <v>1900</v>
      </c>
      <c r="F2142" s="27" t="n">
        <v>45782</v>
      </c>
      <c r="G2142" s="27" t="n">
        <v>45782</v>
      </c>
      <c r="H2142" s="27" t="n">
        <v>45782</v>
      </c>
      <c r="I2142" s="27" t="n">
        <v>45767</v>
      </c>
      <c r="J2142" s="27" t="n">
        <v>45777</v>
      </c>
      <c r="K2142" t="inlineStr">
        <is>
          <t>Transferência Bancária ou Pix</t>
        </is>
      </c>
      <c r="L2142" t="inlineStr">
        <is>
          <t>Marketing</t>
        </is>
      </c>
      <c r="M2142" t="inlineStr">
        <is>
          <t>Produção Gráfica e Material Institucional</t>
        </is>
      </c>
      <c r="N2142" t="inlineStr">
        <is>
          <t>1900042025</t>
        </is>
      </c>
      <c r="O2142" t="inlineStr">
        <is>
          <t>Documentação Aprovada</t>
        </is>
      </c>
      <c r="P2142" t="inlineStr">
        <is>
          <t>Aprovado Diretoria</t>
        </is>
      </c>
      <c r="Q2142" t="inlineStr">
        <is>
          <t>Aprovado Caixa</t>
        </is>
      </c>
      <c r="R2142" t="inlineStr">
        <is>
          <t>Pago</t>
        </is>
      </c>
      <c r="S2142" t="n">
        <v>115</v>
      </c>
      <c r="T2142" t="inlineStr">
        <is>
          <t>Love - Shibari - Bradesco</t>
        </is>
      </c>
    </row>
    <row r="2143">
      <c r="A2143" t="n">
        <v>128249</v>
      </c>
      <c r="B2143" t="n">
        <v>128</v>
      </c>
      <c r="C2143" t="inlineStr">
        <is>
          <t>Love Cabaret</t>
        </is>
      </c>
      <c r="D2143" t="inlineStr">
        <is>
          <t>CG FOOD´S DISTRIBUIDORA DE ALIMENTOS LTDA</t>
        </is>
      </c>
      <c r="E2143" t="n">
        <v>375</v>
      </c>
      <c r="F2143" s="27" t="n">
        <v>45782</v>
      </c>
      <c r="G2143" s="27" t="n">
        <v>45782</v>
      </c>
      <c r="H2143" s="27" t="n">
        <v>45782</v>
      </c>
      <c r="I2143" s="27" t="n">
        <v>45748</v>
      </c>
      <c r="J2143" s="27" t="n">
        <v>45777</v>
      </c>
      <c r="K2143" t="inlineStr">
        <is>
          <t>Boleto Bancário</t>
        </is>
      </c>
      <c r="L2143" t="inlineStr">
        <is>
          <t>Custo Mercadoria Vendida</t>
        </is>
      </c>
      <c r="M2143" t="inlineStr">
        <is>
          <t>Insumos - Alimentos</t>
        </is>
      </c>
      <c r="N2143" t="inlineStr">
        <is>
          <t>146382</t>
        </is>
      </c>
      <c r="O2143" t="inlineStr">
        <is>
          <t>Documentação Aprovada</t>
        </is>
      </c>
      <c r="P2143" t="inlineStr">
        <is>
          <t>Aprovado Diretoria</t>
        </is>
      </c>
      <c r="Q2143" t="inlineStr">
        <is>
          <t>Aprovado Caixa</t>
        </is>
      </c>
      <c r="R2143" t="inlineStr">
        <is>
          <t>Pago</t>
        </is>
      </c>
      <c r="S2143" t="n">
        <v>115</v>
      </c>
      <c r="T2143" t="inlineStr">
        <is>
          <t>Love - Shibari - Bradesco</t>
        </is>
      </c>
    </row>
    <row r="2144">
      <c r="A2144" t="n">
        <v>128116</v>
      </c>
      <c r="B2144" t="n">
        <v>128</v>
      </c>
      <c r="C2144" t="inlineStr">
        <is>
          <t>Love Cabaret</t>
        </is>
      </c>
      <c r="D2144" t="inlineStr">
        <is>
          <t>PETTY CASH</t>
        </is>
      </c>
      <c r="E2144" t="n">
        <v>26.8</v>
      </c>
      <c r="F2144" s="27" t="n">
        <v>45782</v>
      </c>
      <c r="G2144" s="27" t="n">
        <v>45783</v>
      </c>
      <c r="H2144" s="27" t="n">
        <v>45782</v>
      </c>
      <c r="I2144" s="27" t="n">
        <v>45748</v>
      </c>
      <c r="J2144" s="27" t="n">
        <v>45777</v>
      </c>
      <c r="K2144" t="inlineStr">
        <is>
          <t>Cartão de Crédito</t>
        </is>
      </c>
      <c r="L2144" t="inlineStr">
        <is>
          <t>Manutenção</t>
        </is>
      </c>
      <c r="M2144" t="inlineStr">
        <is>
          <t>Material de Manutenção</t>
        </is>
      </c>
      <c r="N2144" t="inlineStr">
        <is>
          <t>12PETTY042025</t>
        </is>
      </c>
      <c r="O2144" t="inlineStr">
        <is>
          <t>Documentação Aprovada</t>
        </is>
      </c>
      <c r="P2144" t="inlineStr">
        <is>
          <t>Aprovado Diretoria</t>
        </is>
      </c>
      <c r="Q2144" t="inlineStr">
        <is>
          <t>Aprovado Caixa</t>
        </is>
      </c>
      <c r="R2144" t="inlineStr">
        <is>
          <t>Pago</t>
        </is>
      </c>
      <c r="S2144" t="n">
        <v>120</v>
      </c>
      <c r="T2144" t="inlineStr">
        <is>
          <t>Love - Petty Cash</t>
        </is>
      </c>
    </row>
    <row r="2145">
      <c r="A2145" t="n">
        <v>128118</v>
      </c>
      <c r="B2145" t="n">
        <v>128</v>
      </c>
      <c r="C2145" t="inlineStr">
        <is>
          <t>Love Cabaret</t>
        </is>
      </c>
      <c r="D2145" t="inlineStr">
        <is>
          <t>PETTY CASH</t>
        </is>
      </c>
      <c r="E2145" t="n">
        <v>33.87</v>
      </c>
      <c r="F2145" s="27" t="n">
        <v>45782</v>
      </c>
      <c r="G2145" s="27" t="n">
        <v>45783</v>
      </c>
      <c r="H2145" s="27" t="n">
        <v>45782</v>
      </c>
      <c r="I2145" s="27" t="n">
        <v>45748</v>
      </c>
      <c r="J2145" s="27" t="n">
        <v>45777</v>
      </c>
      <c r="K2145" t="inlineStr">
        <is>
          <t>Cartão de Crédito</t>
        </is>
      </c>
      <c r="L2145" t="inlineStr">
        <is>
          <t>Utilidades</t>
        </is>
      </c>
      <c r="M2145" t="inlineStr">
        <is>
          <t>Higiene e Limpeza</t>
        </is>
      </c>
      <c r="N2145" t="inlineStr">
        <is>
          <t>13PETTY042025</t>
        </is>
      </c>
      <c r="O2145" t="inlineStr">
        <is>
          <t>Documentação Aprovada</t>
        </is>
      </c>
      <c r="P2145" t="inlineStr">
        <is>
          <t>Aprovado Diretoria</t>
        </is>
      </c>
      <c r="Q2145" t="inlineStr">
        <is>
          <t>Aprovado Caixa</t>
        </is>
      </c>
      <c r="R2145" t="inlineStr">
        <is>
          <t>Pago</t>
        </is>
      </c>
      <c r="S2145" t="n">
        <v>120</v>
      </c>
      <c r="T2145" t="inlineStr">
        <is>
          <t>Love - Petty Cash</t>
        </is>
      </c>
    </row>
    <row r="2146">
      <c r="A2146" t="n">
        <v>126846</v>
      </c>
      <c r="B2146" t="n">
        <v>128</v>
      </c>
      <c r="C2146" t="inlineStr">
        <is>
          <t>Love Cabaret</t>
        </is>
      </c>
      <c r="D2146" t="inlineStr">
        <is>
          <t xml:space="preserve">ALEXANDRE SANTOS DA CRUZ </t>
        </is>
      </c>
      <c r="E2146" t="n">
        <v>4837.28</v>
      </c>
      <c r="F2146" s="27" t="n">
        <v>45784</v>
      </c>
      <c r="G2146" s="27" t="n">
        <v>45782</v>
      </c>
      <c r="H2146" s="27" t="n">
        <v>45782</v>
      </c>
      <c r="I2146" s="27" t="n">
        <v>45770</v>
      </c>
      <c r="J2146" s="27" t="n">
        <v>45770</v>
      </c>
      <c r="K2146" t="inlineStr">
        <is>
          <t>Transferência Bancária ou Pix</t>
        </is>
      </c>
      <c r="L2146" t="inlineStr">
        <is>
          <t>Custos Artístico Geral</t>
        </is>
      </c>
      <c r="M2146" t="inlineStr">
        <is>
          <t>Cachê de Músicos e Artistas</t>
        </is>
      </c>
      <c r="N2146" t="inlineStr">
        <is>
          <t>130</t>
        </is>
      </c>
      <c r="O2146" t="inlineStr">
        <is>
          <t>Documentação Aprovada</t>
        </is>
      </c>
      <c r="P2146" t="inlineStr">
        <is>
          <t>Aprovado Diretoria</t>
        </is>
      </c>
      <c r="Q2146" t="inlineStr">
        <is>
          <t>Aprovado Caixa</t>
        </is>
      </c>
      <c r="R2146" t="inlineStr">
        <is>
          <t>Pago</t>
        </is>
      </c>
      <c r="S2146" t="n">
        <v>115</v>
      </c>
      <c r="T2146" t="inlineStr">
        <is>
          <t>Love - Shibari - Bradesco</t>
        </is>
      </c>
    </row>
    <row r="2147">
      <c r="A2147" t="n">
        <v>126688</v>
      </c>
      <c r="B2147" t="n">
        <v>128</v>
      </c>
      <c r="C2147" t="inlineStr">
        <is>
          <t>Love Cabaret</t>
        </is>
      </c>
      <c r="D2147" t="inlineStr">
        <is>
          <t>MN INSTALACOES E REPARACOES INDUSTRIAIS LTDA</t>
        </is>
      </c>
      <c r="E2147" t="n">
        <v>4200</v>
      </c>
      <c r="F2147" s="27" t="n">
        <v>45782</v>
      </c>
      <c r="G2147" s="27" t="n">
        <v>45782</v>
      </c>
      <c r="H2147" s="27" t="n">
        <v>45782</v>
      </c>
      <c r="I2147" s="27" t="n">
        <v>45761</v>
      </c>
      <c r="J2147" s="27" t="n">
        <v>45769</v>
      </c>
      <c r="K2147" t="inlineStr">
        <is>
          <t>Boleto Bancário</t>
        </is>
      </c>
      <c r="L2147" t="inlineStr">
        <is>
          <t>Utilidades</t>
        </is>
      </c>
      <c r="M2147" t="inlineStr">
        <is>
          <t>Serviços de Limpeza</t>
        </is>
      </c>
      <c r="N2147" t="inlineStr">
        <is>
          <t>62</t>
        </is>
      </c>
      <c r="O2147" t="inlineStr">
        <is>
          <t>Documentação Aprovada</t>
        </is>
      </c>
      <c r="P2147" t="inlineStr">
        <is>
          <t>Aprovado Diretoria</t>
        </is>
      </c>
      <c r="Q2147" t="inlineStr">
        <is>
          <t>Aprovado Caixa</t>
        </is>
      </c>
      <c r="R2147" t="inlineStr">
        <is>
          <t>Pago</t>
        </is>
      </c>
      <c r="S2147" t="n">
        <v>115</v>
      </c>
      <c r="T2147" t="inlineStr">
        <is>
          <t>Love - Shibari - Bradesco</t>
        </is>
      </c>
    </row>
    <row r="2148">
      <c r="A2148" t="n">
        <v>96858</v>
      </c>
      <c r="B2148" t="n">
        <v>128</v>
      </c>
      <c r="C2148" t="inlineStr">
        <is>
          <t>Love Cabaret</t>
        </is>
      </c>
      <c r="D2148" t="inlineStr">
        <is>
          <t>AGENCIA BIOMA PUBLICIDADE E EVENTOS LTDA - FACUNDO</t>
        </is>
      </c>
      <c r="E2148" t="n">
        <v>7000</v>
      </c>
      <c r="F2148" s="27" t="n">
        <v>45782</v>
      </c>
      <c r="G2148" s="27" t="n">
        <v>45782</v>
      </c>
      <c r="H2148" s="27" t="n">
        <v>45782</v>
      </c>
      <c r="I2148" s="27" t="n">
        <v>45767</v>
      </c>
      <c r="J2148" s="27" t="n"/>
      <c r="K2148" t="inlineStr">
        <is>
          <t>Transferência Bancária ou Pix</t>
        </is>
      </c>
      <c r="L2148" t="inlineStr">
        <is>
          <t>Marketing</t>
        </is>
      </c>
      <c r="M2148" t="inlineStr">
        <is>
          <t>Agência de Propaganda</t>
        </is>
      </c>
      <c r="N2148" t="inlineStr">
        <is>
          <t>303</t>
        </is>
      </c>
      <c r="O2148" t="inlineStr">
        <is>
          <t>Documentação Aprovada</t>
        </is>
      </c>
      <c r="P2148" t="inlineStr">
        <is>
          <t>Aprovado Diretoria</t>
        </is>
      </c>
      <c r="Q2148" t="inlineStr">
        <is>
          <t>Aprovado Caixa</t>
        </is>
      </c>
      <c r="R2148" t="inlineStr">
        <is>
          <t>Pago</t>
        </is>
      </c>
      <c r="S2148" t="n">
        <v>115</v>
      </c>
      <c r="T2148" t="inlineStr">
        <is>
          <t>Love - Shibari - Bradesco</t>
        </is>
      </c>
    </row>
    <row r="2149">
      <c r="A2149" t="n">
        <v>106680</v>
      </c>
      <c r="B2149" t="n">
        <v>128</v>
      </c>
      <c r="C2149" t="inlineStr">
        <is>
          <t>Love Cabaret</t>
        </is>
      </c>
      <c r="D2149" t="inlineStr">
        <is>
          <t>AURORA ALVORADA ESTACIONAMENTO E LANCHONETE LTDA</t>
        </is>
      </c>
      <c r="E2149" t="n">
        <v>280.22</v>
      </c>
      <c r="F2149" s="27" t="n">
        <v>45784</v>
      </c>
      <c r="G2149" s="27" t="n">
        <v>45782</v>
      </c>
      <c r="H2149" s="27" t="n">
        <v>45782</v>
      </c>
      <c r="I2149" s="27" t="n">
        <v>45775</v>
      </c>
      <c r="J2149" s="27" t="n"/>
      <c r="K2149" t="inlineStr">
        <is>
          <t>Boleto Bancário</t>
        </is>
      </c>
      <c r="L2149" t="inlineStr">
        <is>
          <t>Custo Mercadoria Vendida</t>
        </is>
      </c>
      <c r="M2149" t="inlineStr">
        <is>
          <t>Insumos - Alimentos</t>
        </is>
      </c>
      <c r="N2149" t="inlineStr">
        <is>
          <t>10522</t>
        </is>
      </c>
      <c r="O2149" t="inlineStr">
        <is>
          <t>Documentação Aprovada</t>
        </is>
      </c>
      <c r="P2149" t="inlineStr">
        <is>
          <t>Aprovado Diretoria</t>
        </is>
      </c>
      <c r="Q2149" t="inlineStr">
        <is>
          <t>Aprovado Caixa</t>
        </is>
      </c>
      <c r="R2149" t="inlineStr">
        <is>
          <t>Pago</t>
        </is>
      </c>
      <c r="S2149" t="n">
        <v>115</v>
      </c>
      <c r="T2149" t="inlineStr">
        <is>
          <t>Love - Shibari - Bradesco</t>
        </is>
      </c>
    </row>
    <row r="2150">
      <c r="A2150" t="n">
        <v>103044</v>
      </c>
      <c r="B2150" t="n">
        <v>128</v>
      </c>
      <c r="C2150" t="inlineStr">
        <is>
          <t>Love Cabaret</t>
        </is>
      </c>
      <c r="D2150" t="inlineStr">
        <is>
          <t>VERISURE BRASIL MONITORAMENTO DE ALARMES S.A</t>
        </is>
      </c>
      <c r="E2150" t="n">
        <v>263.78</v>
      </c>
      <c r="F2150" s="27" t="n">
        <v>45782</v>
      </c>
      <c r="G2150" s="27" t="n">
        <v>45783</v>
      </c>
      <c r="H2150" s="27" t="n">
        <v>45782</v>
      </c>
      <c r="I2150" s="27" t="n">
        <v>45762</v>
      </c>
      <c r="J2150" s="27" t="n"/>
      <c r="K2150" t="inlineStr">
        <is>
          <t xml:space="preserve">Debito Automático </t>
        </is>
      </c>
      <c r="L2150" t="inlineStr">
        <is>
          <t>Informática e TI</t>
        </is>
      </c>
      <c r="M2150" t="inlineStr">
        <is>
          <t>Sistemas de Segurança e Alarme</t>
        </is>
      </c>
      <c r="N2150" t="inlineStr">
        <is>
          <t xml:space="preserve">15034486 </t>
        </is>
      </c>
      <c r="O2150" t="inlineStr">
        <is>
          <t>Documentação Aprovada</t>
        </is>
      </c>
      <c r="P2150" t="inlineStr">
        <is>
          <t>Aprovado Diretoria</t>
        </is>
      </c>
      <c r="Q2150" t="inlineStr">
        <is>
          <t>Aprovado Caixa</t>
        </is>
      </c>
      <c r="R2150" t="inlineStr">
        <is>
          <t>Pago</t>
        </is>
      </c>
      <c r="S2150" t="n">
        <v>115</v>
      </c>
      <c r="T2150" t="inlineStr">
        <is>
          <t>Love - Shibari - Bradesco</t>
        </is>
      </c>
    </row>
    <row r="2151">
      <c r="A2151" t="n">
        <v>97314</v>
      </c>
      <c r="B2151" t="n">
        <v>128</v>
      </c>
      <c r="C2151" t="inlineStr">
        <is>
          <t>Love Cabaret</t>
        </is>
      </c>
      <c r="D2151" t="inlineStr">
        <is>
          <t>ESCRITORIO CENTRAL DE ARRECADACAO E DISTRIBUICAO ECAD</t>
        </is>
      </c>
      <c r="E2151" t="n">
        <v>802.5</v>
      </c>
      <c r="F2151" s="27" t="n">
        <v>45782</v>
      </c>
      <c r="G2151" s="27" t="n">
        <v>45782</v>
      </c>
      <c r="H2151" s="27" t="n">
        <v>45782</v>
      </c>
      <c r="I2151" s="27" t="n">
        <v>45766</v>
      </c>
      <c r="J2151" s="27" t="n"/>
      <c r="K2151" t="inlineStr">
        <is>
          <t>Boleto Bancário</t>
        </is>
      </c>
      <c r="L2151" t="inlineStr">
        <is>
          <t>Custos Artístico Geral</t>
        </is>
      </c>
      <c r="M2151" t="inlineStr">
        <is>
          <t>Taxas e Licenças - Artístico</t>
        </is>
      </c>
      <c r="N2151" t="inlineStr">
        <is>
          <t xml:space="preserve">9922013813 </t>
        </is>
      </c>
      <c r="O2151" t="inlineStr">
        <is>
          <t>Documentação Aprovada</t>
        </is>
      </c>
      <c r="P2151" t="inlineStr">
        <is>
          <t>Aprovado Diretoria</t>
        </is>
      </c>
      <c r="Q2151" t="inlineStr">
        <is>
          <t>Aprovado Caixa</t>
        </is>
      </c>
      <c r="R2151" t="inlineStr">
        <is>
          <t>Pago</t>
        </is>
      </c>
      <c r="S2151" t="n">
        <v>115</v>
      </c>
      <c r="T2151" t="inlineStr">
        <is>
          <t>Love - Shibari - Bradesco</t>
        </is>
      </c>
    </row>
    <row r="2152">
      <c r="A2152" t="n">
        <v>97338</v>
      </c>
      <c r="B2152" t="n">
        <v>128</v>
      </c>
      <c r="C2152" t="inlineStr">
        <is>
          <t>Love Cabaret</t>
        </is>
      </c>
      <c r="D2152" t="inlineStr">
        <is>
          <t>ELETROPAULO METROPOLITANA ELETRICIDADE DE SAO PAULO SA</t>
        </is>
      </c>
      <c r="E2152" t="n">
        <v>87.67</v>
      </c>
      <c r="F2152" s="27" t="n">
        <v>45782</v>
      </c>
      <c r="G2152" s="27" t="n">
        <v>45782</v>
      </c>
      <c r="H2152" s="27" t="n">
        <v>45782</v>
      </c>
      <c r="I2152" s="27" t="n">
        <v>45762</v>
      </c>
      <c r="J2152" s="27" t="n"/>
      <c r="K2152" t="inlineStr">
        <is>
          <t>Boleto Bancário</t>
        </is>
      </c>
      <c r="L2152" t="inlineStr">
        <is>
          <t>Utilidades</t>
        </is>
      </c>
      <c r="M2152" t="inlineStr">
        <is>
          <t>Energia Eletrica</t>
        </is>
      </c>
      <c r="N2152" t="inlineStr">
        <is>
          <t>704172013</t>
        </is>
      </c>
      <c r="O2152" t="inlineStr">
        <is>
          <t>Documentação Aprovada</t>
        </is>
      </c>
      <c r="P2152" t="inlineStr">
        <is>
          <t>Aprovado Diretoria</t>
        </is>
      </c>
      <c r="Q2152" t="inlineStr">
        <is>
          <t>Aprovado Caixa</t>
        </is>
      </c>
      <c r="R2152" t="inlineStr">
        <is>
          <t>Pago</t>
        </is>
      </c>
      <c r="S2152" t="n">
        <v>115</v>
      </c>
      <c r="T2152" t="inlineStr">
        <is>
          <t>Love - Shibari - Bradesco</t>
        </is>
      </c>
    </row>
    <row r="2153">
      <c r="A2153" t="n">
        <v>97326</v>
      </c>
      <c r="B2153" t="n">
        <v>128</v>
      </c>
      <c r="C2153" t="inlineStr">
        <is>
          <t>Love Cabaret</t>
        </is>
      </c>
      <c r="D2153" t="inlineStr">
        <is>
          <t>ELETROPAULO METROPOLITANA ELETRICIDADE DE SAO PAULO SA</t>
        </is>
      </c>
      <c r="E2153" t="n">
        <v>13227.33</v>
      </c>
      <c r="F2153" s="27" t="n">
        <v>45782</v>
      </c>
      <c r="G2153" s="27" t="n">
        <v>45782</v>
      </c>
      <c r="H2153" s="27" t="n">
        <v>45782</v>
      </c>
      <c r="I2153" s="27" t="n">
        <v>45762</v>
      </c>
      <c r="J2153" s="27" t="n"/>
      <c r="K2153" t="inlineStr">
        <is>
          <t>Boleto Bancário</t>
        </is>
      </c>
      <c r="L2153" t="inlineStr">
        <is>
          <t>Utilidades</t>
        </is>
      </c>
      <c r="M2153" t="inlineStr">
        <is>
          <t>Energia Eletrica</t>
        </is>
      </c>
      <c r="N2153" t="inlineStr">
        <is>
          <t>703741740</t>
        </is>
      </c>
      <c r="O2153" t="inlineStr">
        <is>
          <t>Documentação Aprovada</t>
        </is>
      </c>
      <c r="P2153" t="inlineStr">
        <is>
          <t>Aprovado Diretoria</t>
        </is>
      </c>
      <c r="Q2153" t="inlineStr">
        <is>
          <t>Aprovado Caixa</t>
        </is>
      </c>
      <c r="R2153" t="inlineStr">
        <is>
          <t>Pago</t>
        </is>
      </c>
      <c r="S2153" t="n">
        <v>115</v>
      </c>
      <c r="T2153" t="inlineStr">
        <is>
          <t>Love - Shibari - Bradesco</t>
        </is>
      </c>
    </row>
    <row r="2154">
      <c r="A2154" t="n">
        <v>97392</v>
      </c>
      <c r="B2154" t="n">
        <v>128</v>
      </c>
      <c r="C2154" t="inlineStr">
        <is>
          <t>Love Cabaret</t>
        </is>
      </c>
      <c r="D2154" t="inlineStr">
        <is>
          <t>EASY ICE SOLUTION LTDA-ME LOCAÇÃO</t>
        </is>
      </c>
      <c r="E2154" t="n">
        <v>1600</v>
      </c>
      <c r="F2154" s="27" t="n">
        <v>45782</v>
      </c>
      <c r="G2154" s="27" t="n">
        <v>45782</v>
      </c>
      <c r="H2154" s="27" t="n">
        <v>45782</v>
      </c>
      <c r="I2154" s="27" t="n">
        <v>45772</v>
      </c>
      <c r="J2154" s="27" t="n"/>
      <c r="K2154" t="inlineStr">
        <is>
          <t>Boleto Bancário</t>
        </is>
      </c>
      <c r="L2154" t="inlineStr">
        <is>
          <t>Locação de Equipamentos</t>
        </is>
      </c>
      <c r="M2154" t="inlineStr">
        <is>
          <t>Locações de Equipamentos - Operacionais</t>
        </is>
      </c>
      <c r="N2154" t="inlineStr">
        <is>
          <t>8223</t>
        </is>
      </c>
      <c r="O2154" t="inlineStr">
        <is>
          <t>Documentação Aprovada</t>
        </is>
      </c>
      <c r="P2154" t="inlineStr">
        <is>
          <t>Aprovado Diretoria</t>
        </is>
      </c>
      <c r="Q2154" t="inlineStr">
        <is>
          <t>Aprovado Caixa</t>
        </is>
      </c>
      <c r="R2154" t="inlineStr">
        <is>
          <t>Pago</t>
        </is>
      </c>
      <c r="S2154" t="n">
        <v>115</v>
      </c>
      <c r="T2154" t="inlineStr">
        <is>
          <t>Love - Shibari - Bradesco</t>
        </is>
      </c>
    </row>
    <row r="2155">
      <c r="A2155" t="n">
        <v>120292</v>
      </c>
      <c r="B2155" t="n">
        <v>128</v>
      </c>
      <c r="C2155" t="inlineStr">
        <is>
          <t>Love Cabaret</t>
        </is>
      </c>
      <c r="D2155" t="inlineStr">
        <is>
          <t>JND SOLUCOES TECNICAS EIRELI</t>
        </is>
      </c>
      <c r="E2155" t="n">
        <v>238.41</v>
      </c>
      <c r="F2155" s="27" t="n">
        <v>45783</v>
      </c>
      <c r="G2155" s="27" t="n">
        <v>45782</v>
      </c>
      <c r="H2155" s="27" t="n">
        <v>45782</v>
      </c>
      <c r="I2155" s="27" t="n">
        <v>45740</v>
      </c>
      <c r="J2155" s="27" t="n">
        <v>45740</v>
      </c>
      <c r="K2155" t="inlineStr">
        <is>
          <t>Boleto Bancário</t>
        </is>
      </c>
      <c r="L2155" t="inlineStr">
        <is>
          <t>Utilidades</t>
        </is>
      </c>
      <c r="M2155" t="inlineStr">
        <is>
          <t>Serviços de Limpeza</t>
        </is>
      </c>
      <c r="N2155" t="inlineStr">
        <is>
          <t>032025</t>
        </is>
      </c>
      <c r="O2155" t="inlineStr">
        <is>
          <t>Documentação Aprovada</t>
        </is>
      </c>
      <c r="P2155" t="inlineStr">
        <is>
          <t>Aprovado Diretoria</t>
        </is>
      </c>
      <c r="Q2155" t="inlineStr">
        <is>
          <t>Aprovado Caixa</t>
        </is>
      </c>
      <c r="R2155" t="inlineStr">
        <is>
          <t>Pago</t>
        </is>
      </c>
      <c r="S2155" t="n">
        <v>115</v>
      </c>
      <c r="T2155" t="inlineStr">
        <is>
          <t>Love - Shibari - Bradesco</t>
        </is>
      </c>
    </row>
    <row r="2156">
      <c r="A2156" t="n">
        <v>123944</v>
      </c>
      <c r="B2156" t="n">
        <v>128</v>
      </c>
      <c r="C2156" t="inlineStr">
        <is>
          <t>Love Cabaret</t>
        </is>
      </c>
      <c r="D2156" t="inlineStr">
        <is>
          <t>PETTY CASH</t>
        </is>
      </c>
      <c r="E2156" t="n">
        <v>150</v>
      </c>
      <c r="F2156" s="27" t="n">
        <v>45782</v>
      </c>
      <c r="G2156" s="27" t="n">
        <v>45783</v>
      </c>
      <c r="H2156" s="27" t="n">
        <v>45782</v>
      </c>
      <c r="I2156" s="27" t="n">
        <v>45748</v>
      </c>
      <c r="J2156" s="27" t="n">
        <v>45754</v>
      </c>
      <c r="K2156" t="inlineStr">
        <is>
          <t>Cartão de Crédito</t>
        </is>
      </c>
      <c r="L2156" t="inlineStr">
        <is>
          <t>Utilidades</t>
        </is>
      </c>
      <c r="M2156" t="inlineStr">
        <is>
          <t>Serviços Graficos</t>
        </is>
      </c>
      <c r="N2156" t="inlineStr">
        <is>
          <t>3PETTY042025</t>
        </is>
      </c>
      <c r="O2156" t="inlineStr">
        <is>
          <t>Documentação Aprovada</t>
        </is>
      </c>
      <c r="P2156" t="inlineStr">
        <is>
          <t>Aprovado Diretoria</t>
        </is>
      </c>
      <c r="Q2156" t="inlineStr">
        <is>
          <t>Aprovado Caixa</t>
        </is>
      </c>
      <c r="R2156" t="inlineStr">
        <is>
          <t>Pago</t>
        </is>
      </c>
      <c r="S2156" t="n">
        <v>120</v>
      </c>
      <c r="T2156" t="inlineStr">
        <is>
          <t>Love - Petty Cash</t>
        </is>
      </c>
    </row>
    <row r="2157">
      <c r="A2157" t="n">
        <v>123942</v>
      </c>
      <c r="B2157" t="n">
        <v>128</v>
      </c>
      <c r="C2157" t="inlineStr">
        <is>
          <t>Love Cabaret</t>
        </is>
      </c>
      <c r="D2157" t="inlineStr">
        <is>
          <t>PETTY CASH</t>
        </is>
      </c>
      <c r="E2157" t="n">
        <v>7.38</v>
      </c>
      <c r="F2157" s="27" t="n">
        <v>45777</v>
      </c>
      <c r="G2157" s="27" t="n">
        <v>45786</v>
      </c>
      <c r="H2157" s="27" t="n">
        <v>45777</v>
      </c>
      <c r="I2157" s="27" t="n">
        <v>45748</v>
      </c>
      <c r="J2157" s="27" t="n">
        <v>45754</v>
      </c>
      <c r="K2157" t="inlineStr">
        <is>
          <t>Dinheiro em Espécie</t>
        </is>
      </c>
      <c r="L2157" t="inlineStr">
        <is>
          <t>Mão de Obra - Benefícios</t>
        </is>
      </c>
      <c r="M2157" t="inlineStr">
        <is>
          <t xml:space="preserve">  -  Alimentação Funcionário</t>
        </is>
      </c>
      <c r="N2157" t="inlineStr">
        <is>
          <t>1PETTY042025</t>
        </is>
      </c>
      <c r="O2157" t="inlineStr">
        <is>
          <t>Documentação Aprovada</t>
        </is>
      </c>
      <c r="P2157" t="inlineStr">
        <is>
          <t>Aprovado Diretoria</t>
        </is>
      </c>
      <c r="Q2157" t="inlineStr">
        <is>
          <t>Aprovado Caixa</t>
        </is>
      </c>
      <c r="R2157" t="inlineStr">
        <is>
          <t>Pago</t>
        </is>
      </c>
      <c r="S2157" t="n">
        <v>120</v>
      </c>
      <c r="T2157" t="inlineStr">
        <is>
          <t>Love - Petty Cash</t>
        </is>
      </c>
    </row>
    <row r="2158">
      <c r="A2158" t="n">
        <v>123943</v>
      </c>
      <c r="B2158" t="n">
        <v>128</v>
      </c>
      <c r="C2158" t="inlineStr">
        <is>
          <t>Love Cabaret</t>
        </is>
      </c>
      <c r="D2158" t="inlineStr">
        <is>
          <t>PETTY CASH</t>
        </is>
      </c>
      <c r="E2158" t="n">
        <v>32.6</v>
      </c>
      <c r="F2158" s="27" t="n">
        <v>45777</v>
      </c>
      <c r="G2158" s="27" t="n">
        <v>45786</v>
      </c>
      <c r="H2158" s="27" t="n">
        <v>45777</v>
      </c>
      <c r="I2158" s="27" t="n">
        <v>45748</v>
      </c>
      <c r="J2158" s="27" t="n">
        <v>45754</v>
      </c>
      <c r="K2158" t="inlineStr">
        <is>
          <t>Dinheiro em Espécie</t>
        </is>
      </c>
      <c r="L2158" t="inlineStr">
        <is>
          <t>Manutenção</t>
        </is>
      </c>
      <c r="M2158" t="inlineStr">
        <is>
          <t>Material de Manutenção</t>
        </is>
      </c>
      <c r="N2158" t="inlineStr">
        <is>
          <t>2PETTY042025</t>
        </is>
      </c>
      <c r="O2158" t="inlineStr">
        <is>
          <t>Documentação Aprovada</t>
        </is>
      </c>
      <c r="P2158" t="inlineStr">
        <is>
          <t>Aprovado Diretoria</t>
        </is>
      </c>
      <c r="Q2158" t="inlineStr">
        <is>
          <t>Aprovado Caixa</t>
        </is>
      </c>
      <c r="R2158" t="inlineStr">
        <is>
          <t>Pago</t>
        </is>
      </c>
      <c r="S2158" t="n">
        <v>120</v>
      </c>
      <c r="T2158" t="inlineStr">
        <is>
          <t>Love - Petty Cash</t>
        </is>
      </c>
    </row>
    <row r="2159">
      <c r="A2159" t="n">
        <v>121924</v>
      </c>
      <c r="B2159" t="n">
        <v>128</v>
      </c>
      <c r="C2159" t="inlineStr">
        <is>
          <t>Love Cabaret</t>
        </is>
      </c>
      <c r="D2159" t="inlineStr">
        <is>
          <t xml:space="preserve">EMPORIO MEL </t>
        </is>
      </c>
      <c r="E2159" t="n">
        <v>1138.6</v>
      </c>
      <c r="F2159" s="27" t="n">
        <v>45778</v>
      </c>
      <c r="G2159" s="27" t="n">
        <v>45777</v>
      </c>
      <c r="H2159" s="27" t="n">
        <v>45777</v>
      </c>
      <c r="I2159" s="27" t="n">
        <v>45747</v>
      </c>
      <c r="J2159" s="27" t="n">
        <v>45749</v>
      </c>
      <c r="K2159" t="inlineStr">
        <is>
          <t>Boleto Bancário</t>
        </is>
      </c>
      <c r="L2159" t="inlineStr">
        <is>
          <t>Custo Mercadoria Vendida</t>
        </is>
      </c>
      <c r="M2159" t="inlineStr">
        <is>
          <t>Insumos - Alimentos</t>
        </is>
      </c>
      <c r="N2159" t="inlineStr">
        <is>
          <t>446090</t>
        </is>
      </c>
      <c r="O2159" t="inlineStr">
        <is>
          <t>Documentação Aprovada</t>
        </is>
      </c>
      <c r="P2159" t="inlineStr">
        <is>
          <t>Aprovado Diretoria</t>
        </is>
      </c>
      <c r="Q2159" t="inlineStr">
        <is>
          <t>Aprovado Caixa</t>
        </is>
      </c>
      <c r="R2159" t="inlineStr">
        <is>
          <t>Pago</t>
        </is>
      </c>
      <c r="S2159" t="n">
        <v>115</v>
      </c>
      <c r="T2159" t="inlineStr">
        <is>
          <t>Love - Shibari - Bradesco</t>
        </is>
      </c>
    </row>
    <row r="2160">
      <c r="A2160" t="n">
        <v>97098</v>
      </c>
      <c r="B2160" t="n">
        <v>128</v>
      </c>
      <c r="C2160" t="inlineStr">
        <is>
          <t>Love Cabaret</t>
        </is>
      </c>
      <c r="D2160" t="inlineStr">
        <is>
          <t>ESTAFF SOLUCOES TECNOLOGICAS DE AGENCIAMENTO LTDA</t>
        </is>
      </c>
      <c r="E2160" t="n">
        <v>18216</v>
      </c>
      <c r="F2160" s="27" t="n">
        <v>45777</v>
      </c>
      <c r="G2160" s="27" t="n">
        <v>45777</v>
      </c>
      <c r="H2160" s="27" t="n">
        <v>45777</v>
      </c>
      <c r="I2160" s="27" t="n">
        <v>45768</v>
      </c>
      <c r="J2160" s="27" t="n"/>
      <c r="K2160" t="inlineStr">
        <is>
          <t>Boleto Bancário</t>
        </is>
      </c>
      <c r="L2160" t="inlineStr">
        <is>
          <t>Mão de Obra - Extra</t>
        </is>
      </c>
      <c r="M2160" t="inlineStr">
        <is>
          <t>Mão de Obra Extra</t>
        </is>
      </c>
      <c r="N2160" t="inlineStr">
        <is>
          <t>556008156</t>
        </is>
      </c>
      <c r="O2160" t="inlineStr">
        <is>
          <t>Documentação Aprovada</t>
        </is>
      </c>
      <c r="P2160" t="inlineStr">
        <is>
          <t>Aprovado Diretoria</t>
        </is>
      </c>
      <c r="Q2160" t="inlineStr">
        <is>
          <t>Aprovado Caixa</t>
        </is>
      </c>
      <c r="R2160" t="inlineStr">
        <is>
          <t>Pago</t>
        </is>
      </c>
      <c r="S2160" t="n">
        <v>115</v>
      </c>
      <c r="T2160" t="inlineStr">
        <is>
          <t>Love - Shibari - Bradesco</t>
        </is>
      </c>
    </row>
    <row r="2161">
      <c r="A2161" t="n">
        <v>96051</v>
      </c>
      <c r="B2161" t="n">
        <v>128</v>
      </c>
      <c r="C2161" t="inlineStr">
        <is>
          <t>Love Cabaret</t>
        </is>
      </c>
      <c r="D2161" t="inlineStr">
        <is>
          <t>ISS</t>
        </is>
      </c>
      <c r="E2161" t="n">
        <v>1877.09</v>
      </c>
      <c r="F2161" s="27" t="n">
        <v>45777</v>
      </c>
      <c r="G2161" s="27" t="n">
        <v>45777</v>
      </c>
      <c r="H2161" s="27" t="n">
        <v>45777</v>
      </c>
      <c r="I2161" s="27" t="n">
        <v>45747</v>
      </c>
      <c r="J2161" s="27" t="n"/>
      <c r="K2161" t="inlineStr">
        <is>
          <t>Boleto Bancário</t>
        </is>
      </c>
      <c r="L2161" t="inlineStr">
        <is>
          <t>Endividamento</t>
        </is>
      </c>
      <c r="M2161" t="inlineStr">
        <is>
          <t>Endividamento Geral</t>
        </is>
      </c>
      <c r="N2161" t="inlineStr">
        <is>
          <t>4/60</t>
        </is>
      </c>
      <c r="O2161" t="inlineStr">
        <is>
          <t>Documentação Aprovada</t>
        </is>
      </c>
      <c r="P2161" t="inlineStr">
        <is>
          <t>Aprovado Diretoria</t>
        </is>
      </c>
      <c r="Q2161" t="inlineStr">
        <is>
          <t>Aprovado Caixa</t>
        </is>
      </c>
      <c r="R2161" t="inlineStr">
        <is>
          <t>Pago</t>
        </is>
      </c>
      <c r="S2161" t="n">
        <v>115</v>
      </c>
      <c r="T2161" t="inlineStr">
        <is>
          <t>Love - Shibari - Bradesco</t>
        </is>
      </c>
    </row>
    <row r="2162">
      <c r="A2162" t="n">
        <v>116083</v>
      </c>
      <c r="B2162" t="n">
        <v>128</v>
      </c>
      <c r="C2162" t="inlineStr">
        <is>
          <t>Love Cabaret</t>
        </is>
      </c>
      <c r="D2162" t="inlineStr">
        <is>
          <t xml:space="preserve">MINISTERIO DA FAZENDA </t>
        </is>
      </c>
      <c r="E2162" t="n">
        <v>20115.76</v>
      </c>
      <c r="F2162" s="27" t="n">
        <v>45777</v>
      </c>
      <c r="G2162" s="27" t="n">
        <v>45777</v>
      </c>
      <c r="H2162" s="27" t="n">
        <v>45777</v>
      </c>
      <c r="I2162" s="27" t="n">
        <v>45722</v>
      </c>
      <c r="J2162" s="27" t="n"/>
      <c r="K2162" t="inlineStr">
        <is>
          <t>Boleto Bancário</t>
        </is>
      </c>
      <c r="L2162" t="inlineStr">
        <is>
          <t>Endividamento</t>
        </is>
      </c>
      <c r="M2162" t="inlineStr">
        <is>
          <t>Endividamento Geral</t>
        </is>
      </c>
      <c r="N2162" t="inlineStr">
        <is>
          <t>2/60</t>
        </is>
      </c>
      <c r="O2162" t="inlineStr">
        <is>
          <t>Documentação Aprovada</t>
        </is>
      </c>
      <c r="P2162" t="inlineStr">
        <is>
          <t>Aprovado Diretoria</t>
        </is>
      </c>
      <c r="Q2162" t="inlineStr">
        <is>
          <t>Aprovado Caixa</t>
        </is>
      </c>
      <c r="R2162" t="inlineStr">
        <is>
          <t>Pago</t>
        </is>
      </c>
      <c r="S2162" t="n">
        <v>115</v>
      </c>
      <c r="T2162" t="inlineStr">
        <is>
          <t>Love - Shibari - Bradesco</t>
        </is>
      </c>
    </row>
    <row r="2163">
      <c r="A2163" t="n">
        <v>84043</v>
      </c>
      <c r="B2163" t="n">
        <v>128</v>
      </c>
      <c r="C2163" t="inlineStr">
        <is>
          <t>Love Cabaret</t>
        </is>
      </c>
      <c r="D2163" t="inlineStr">
        <is>
          <t>CSLL</t>
        </is>
      </c>
      <c r="E2163" t="n">
        <v>968.33</v>
      </c>
      <c r="F2163" s="27" t="n">
        <v>45777</v>
      </c>
      <c r="G2163" s="27" t="n">
        <v>45777</v>
      </c>
      <c r="H2163" s="27" t="n">
        <v>45777</v>
      </c>
      <c r="I2163" s="27" t="n">
        <v>45599</v>
      </c>
      <c r="J2163" s="27" t="n"/>
      <c r="K2163" t="inlineStr">
        <is>
          <t>Boleto Bancário</t>
        </is>
      </c>
      <c r="L2163" t="inlineStr">
        <is>
          <t>Endividamento</t>
        </is>
      </c>
      <c r="M2163" t="inlineStr">
        <is>
          <t>Endividamento Geral</t>
        </is>
      </c>
      <c r="N2163" t="inlineStr">
        <is>
          <t>7/120</t>
        </is>
      </c>
      <c r="O2163" t="inlineStr">
        <is>
          <t>Documentação Aprovada</t>
        </is>
      </c>
      <c r="P2163" t="inlineStr">
        <is>
          <t>Aprovado Diretoria</t>
        </is>
      </c>
      <c r="Q2163" t="inlineStr">
        <is>
          <t>Aprovado Caixa</t>
        </is>
      </c>
      <c r="R2163" t="inlineStr">
        <is>
          <t>Pago</t>
        </is>
      </c>
      <c r="S2163" t="n">
        <v>115</v>
      </c>
      <c r="T2163" t="inlineStr">
        <is>
          <t>Love - Shibari - Bradesco</t>
        </is>
      </c>
    </row>
    <row r="2164">
      <c r="A2164" t="n">
        <v>51178</v>
      </c>
      <c r="B2164" t="n">
        <v>128</v>
      </c>
      <c r="C2164" t="inlineStr">
        <is>
          <t>Love Cabaret</t>
        </is>
      </c>
      <c r="D2164" t="inlineStr">
        <is>
          <t>ICMS</t>
        </is>
      </c>
      <c r="E2164" t="n">
        <v>591.37</v>
      </c>
      <c r="F2164" s="27" t="n">
        <v>45774</v>
      </c>
      <c r="G2164" s="27" t="n">
        <v>45777</v>
      </c>
      <c r="H2164" s="27" t="n">
        <v>45777</v>
      </c>
      <c r="I2164" s="27" t="n">
        <v>45406</v>
      </c>
      <c r="J2164" s="27" t="n"/>
      <c r="K2164" t="inlineStr">
        <is>
          <t>Boleto Bancário</t>
        </is>
      </c>
      <c r="L2164" t="inlineStr">
        <is>
          <t>Endividamento</t>
        </is>
      </c>
      <c r="M2164" t="inlineStr">
        <is>
          <t>Endividamento Geral</t>
        </is>
      </c>
      <c r="N2164" t="inlineStr">
        <is>
          <t>12/36</t>
        </is>
      </c>
      <c r="O2164" t="inlineStr">
        <is>
          <t>Documentação Aprovada</t>
        </is>
      </c>
      <c r="P2164" t="inlineStr">
        <is>
          <t>Aprovado Diretoria</t>
        </is>
      </c>
      <c r="Q2164" t="inlineStr">
        <is>
          <t>Aprovado Caixa</t>
        </is>
      </c>
      <c r="R2164" t="inlineStr">
        <is>
          <t>Pago</t>
        </is>
      </c>
      <c r="S2164" t="n">
        <v>115</v>
      </c>
      <c r="T2164" t="inlineStr">
        <is>
          <t>Love - Shibari - Bradesco</t>
        </is>
      </c>
    </row>
    <row r="2165">
      <c r="A2165" t="n">
        <v>48365</v>
      </c>
      <c r="B2165" t="n">
        <v>128</v>
      </c>
      <c r="C2165" t="inlineStr">
        <is>
          <t>Love Cabaret</t>
        </is>
      </c>
      <c r="D2165" t="inlineStr">
        <is>
          <t xml:space="preserve">MINISTERIO DA FAZENDA </t>
        </is>
      </c>
      <c r="E2165" t="n">
        <v>19880.43</v>
      </c>
      <c r="F2165" s="27" t="n">
        <v>45775</v>
      </c>
      <c r="G2165" s="27" t="n">
        <v>45777</v>
      </c>
      <c r="H2165" s="27" t="n">
        <v>45777</v>
      </c>
      <c r="I2165" s="27" t="n">
        <v>45366</v>
      </c>
      <c r="J2165" s="27" t="n"/>
      <c r="K2165" t="inlineStr">
        <is>
          <t xml:space="preserve">Debito Automático </t>
        </is>
      </c>
      <c r="L2165" t="inlineStr">
        <is>
          <t>Endividamento</t>
        </is>
      </c>
      <c r="M2165" t="inlineStr">
        <is>
          <t>Endividamento Geral</t>
        </is>
      </c>
      <c r="N2165" t="inlineStr">
        <is>
          <t>14/60</t>
        </is>
      </c>
      <c r="O2165" t="inlineStr">
        <is>
          <t>Documentação Aprovada</t>
        </is>
      </c>
      <c r="P2165" t="inlineStr">
        <is>
          <t>Aprovado Diretoria</t>
        </is>
      </c>
      <c r="Q2165" t="inlineStr">
        <is>
          <t>Aprovado Caixa</t>
        </is>
      </c>
      <c r="R2165" t="inlineStr">
        <is>
          <t>Pago</t>
        </is>
      </c>
      <c r="S2165" t="n">
        <v>115</v>
      </c>
      <c r="T2165" t="inlineStr">
        <is>
          <t>Love - Shibari - Bradesco</t>
        </is>
      </c>
    </row>
    <row r="2166">
      <c r="A2166" t="n">
        <v>48482</v>
      </c>
      <c r="B2166" t="n">
        <v>128</v>
      </c>
      <c r="C2166" t="inlineStr">
        <is>
          <t>Love Cabaret</t>
        </is>
      </c>
      <c r="D2166" t="inlineStr">
        <is>
          <t xml:space="preserve">MINISTERIO DA FAZENDA </t>
        </is>
      </c>
      <c r="E2166" t="n">
        <v>569.13</v>
      </c>
      <c r="F2166" s="27" t="n">
        <v>45775</v>
      </c>
      <c r="G2166" s="27" t="n">
        <v>45777</v>
      </c>
      <c r="H2166" s="27" t="n">
        <v>45777</v>
      </c>
      <c r="I2166" s="27" t="n">
        <v>45366</v>
      </c>
      <c r="J2166" s="27" t="n"/>
      <c r="K2166" t="inlineStr">
        <is>
          <t>Boleto Bancário</t>
        </is>
      </c>
      <c r="L2166" t="inlineStr">
        <is>
          <t>Endividamento</t>
        </is>
      </c>
      <c r="M2166" t="inlineStr">
        <is>
          <t>Endividamento Geral</t>
        </is>
      </c>
      <c r="N2166" t="inlineStr">
        <is>
          <t>14/45</t>
        </is>
      </c>
      <c r="O2166" t="inlineStr">
        <is>
          <t>Documentação Aprovada</t>
        </is>
      </c>
      <c r="P2166" t="inlineStr">
        <is>
          <t>Aprovado Diretoria</t>
        </is>
      </c>
      <c r="Q2166" t="inlineStr">
        <is>
          <t>Aprovado Caixa</t>
        </is>
      </c>
      <c r="R2166" t="inlineStr">
        <is>
          <t>Pago</t>
        </is>
      </c>
      <c r="S2166" t="n">
        <v>115</v>
      </c>
      <c r="T2166" t="inlineStr">
        <is>
          <t>Love - Shibari - Bradesco</t>
        </is>
      </c>
    </row>
    <row r="2167">
      <c r="A2167" t="n">
        <v>48364</v>
      </c>
      <c r="B2167" t="n">
        <v>128</v>
      </c>
      <c r="C2167" t="inlineStr">
        <is>
          <t>Love Cabaret</t>
        </is>
      </c>
      <c r="D2167" t="inlineStr">
        <is>
          <t xml:space="preserve">MINISTERIO DA FAZENDA </t>
        </is>
      </c>
      <c r="E2167" t="n">
        <v>19880.43</v>
      </c>
      <c r="F2167" s="27" t="n">
        <v>45805</v>
      </c>
      <c r="G2167" s="27" t="n">
        <v>45810</v>
      </c>
      <c r="H2167" s="27" t="n">
        <v>45777</v>
      </c>
      <c r="I2167" s="27" t="n">
        <v>45366</v>
      </c>
      <c r="J2167" s="27" t="n"/>
      <c r="K2167" t="inlineStr">
        <is>
          <t xml:space="preserve">Debito Automático </t>
        </is>
      </c>
      <c r="L2167" t="inlineStr">
        <is>
          <t>Endividamento</t>
        </is>
      </c>
      <c r="M2167" t="inlineStr">
        <is>
          <t>Endividamento Geral</t>
        </is>
      </c>
      <c r="N2167" t="inlineStr">
        <is>
          <t>15/60</t>
        </is>
      </c>
      <c r="O2167" t="inlineStr">
        <is>
          <t>Documentação Aprovada</t>
        </is>
      </c>
      <c r="P2167" t="inlineStr">
        <is>
          <t>Aprovado Diretoria</t>
        </is>
      </c>
      <c r="Q2167" t="inlineStr">
        <is>
          <t>Aprovado Caixa</t>
        </is>
      </c>
      <c r="R2167" t="inlineStr">
        <is>
          <t>Pago</t>
        </is>
      </c>
      <c r="S2167" t="n">
        <v>115</v>
      </c>
      <c r="T2167" t="inlineStr">
        <is>
          <t>Love - Shibari - Bradesco</t>
        </is>
      </c>
    </row>
    <row r="2168">
      <c r="A2168" t="n">
        <v>48418</v>
      </c>
      <c r="B2168" t="n">
        <v>128</v>
      </c>
      <c r="C2168" t="inlineStr">
        <is>
          <t>Love Cabaret</t>
        </is>
      </c>
      <c r="D2168" t="inlineStr">
        <is>
          <t>ICMS</t>
        </is>
      </c>
      <c r="E2168" t="n">
        <v>774.72</v>
      </c>
      <c r="F2168" s="27" t="n">
        <v>45775</v>
      </c>
      <c r="G2168" s="27" t="n">
        <v>45777</v>
      </c>
      <c r="H2168" s="27" t="n">
        <v>45777</v>
      </c>
      <c r="I2168" s="27" t="n">
        <v>45366</v>
      </c>
      <c r="J2168" s="27" t="n"/>
      <c r="K2168" t="inlineStr">
        <is>
          <t>Boleto Bancário</t>
        </is>
      </c>
      <c r="L2168" t="inlineStr">
        <is>
          <t>Endividamento</t>
        </is>
      </c>
      <c r="M2168" t="inlineStr">
        <is>
          <t>Endividamento Geral</t>
        </is>
      </c>
      <c r="N2168" t="inlineStr">
        <is>
          <t>13/60</t>
        </is>
      </c>
      <c r="O2168" t="inlineStr">
        <is>
          <t>Documentação Aprovada</t>
        </is>
      </c>
      <c r="P2168" t="inlineStr">
        <is>
          <t>Aprovado Diretoria</t>
        </is>
      </c>
      <c r="Q2168" t="inlineStr">
        <is>
          <t>Aprovado Caixa</t>
        </is>
      </c>
      <c r="R2168" t="inlineStr">
        <is>
          <t>Pago</t>
        </is>
      </c>
      <c r="S2168" t="n">
        <v>115</v>
      </c>
      <c r="T2168" t="inlineStr">
        <is>
          <t>Love - Shibari - Bradesco</t>
        </is>
      </c>
    </row>
    <row r="2169">
      <c r="A2169" t="n">
        <v>126998</v>
      </c>
      <c r="B2169" t="n">
        <v>128</v>
      </c>
      <c r="C2169" t="inlineStr">
        <is>
          <t>Love Cabaret</t>
        </is>
      </c>
      <c r="D2169" t="inlineStr">
        <is>
          <t>IRPJ - IMPOSTO SOBRE A RENDA DAS PESSOAS JURIDICAS</t>
        </is>
      </c>
      <c r="E2169" t="n">
        <v>29851.86</v>
      </c>
      <c r="F2169" s="27" t="n">
        <v>45777</v>
      </c>
      <c r="G2169" s="27" t="n">
        <v>45777</v>
      </c>
      <c r="H2169" s="27" t="n">
        <v>45777</v>
      </c>
      <c r="I2169" s="27" t="n">
        <v>45748</v>
      </c>
      <c r="J2169" s="27" t="n">
        <v>45771</v>
      </c>
      <c r="K2169" t="inlineStr">
        <is>
          <t>Boleto Bancário</t>
        </is>
      </c>
      <c r="L2169" t="inlineStr">
        <is>
          <t>Imposto de Renda</t>
        </is>
      </c>
      <c r="M2169" t="inlineStr">
        <is>
          <t>IRPJ</t>
        </is>
      </c>
      <c r="N2169" t="inlineStr">
        <is>
          <t>IRPJ 032025</t>
        </is>
      </c>
      <c r="O2169" t="inlineStr">
        <is>
          <t>Documentação Aprovada</t>
        </is>
      </c>
      <c r="P2169" t="inlineStr">
        <is>
          <t>Aprovado Diretoria</t>
        </is>
      </c>
      <c r="Q2169" t="inlineStr">
        <is>
          <t>Aprovado Caixa</t>
        </is>
      </c>
      <c r="R2169" t="inlineStr">
        <is>
          <t>Pago</t>
        </is>
      </c>
      <c r="S2169" t="n">
        <v>115</v>
      </c>
      <c r="T2169" t="inlineStr">
        <is>
          <t>Love - Shibari - Bradesco</t>
        </is>
      </c>
    </row>
    <row r="2170">
      <c r="A2170" t="n">
        <v>127541</v>
      </c>
      <c r="B2170" t="n">
        <v>128</v>
      </c>
      <c r="C2170" t="inlineStr">
        <is>
          <t>Love Cabaret</t>
        </is>
      </c>
      <c r="D2170" t="inlineStr">
        <is>
          <t>CSLL</t>
        </is>
      </c>
      <c r="E2170" t="n">
        <v>15286.03</v>
      </c>
      <c r="F2170" s="27" t="n">
        <v>45777</v>
      </c>
      <c r="G2170" s="27" t="n">
        <v>45777</v>
      </c>
      <c r="H2170" s="27" t="n">
        <v>45777</v>
      </c>
      <c r="I2170" s="27" t="n">
        <v>45717</v>
      </c>
      <c r="J2170" s="27" t="n"/>
      <c r="K2170" t="inlineStr">
        <is>
          <t>Boleto Bancário</t>
        </is>
      </c>
      <c r="L2170" t="inlineStr">
        <is>
          <t>Imposto de Renda</t>
        </is>
      </c>
      <c r="M2170" t="inlineStr">
        <is>
          <t>CSLL</t>
        </is>
      </c>
      <c r="N2170" t="inlineStr">
        <is>
          <t>CSLL 03/2025</t>
        </is>
      </c>
      <c r="O2170" t="inlineStr">
        <is>
          <t>Documentação Aprovada</t>
        </is>
      </c>
      <c r="P2170" t="inlineStr">
        <is>
          <t>Aprovado Diretoria</t>
        </is>
      </c>
      <c r="Q2170" t="inlineStr">
        <is>
          <t>Aprovado Caixa</t>
        </is>
      </c>
      <c r="R2170" t="inlineStr">
        <is>
          <t>Pago</t>
        </is>
      </c>
      <c r="S2170" t="n">
        <v>115</v>
      </c>
      <c r="T2170" t="inlineStr">
        <is>
          <t>Love - Shibari - Bradesco</t>
        </is>
      </c>
    </row>
    <row r="2171">
      <c r="A2171" t="n">
        <v>124427</v>
      </c>
      <c r="B2171" t="n">
        <v>128</v>
      </c>
      <c r="C2171" t="inlineStr">
        <is>
          <t>Love Cabaret</t>
        </is>
      </c>
      <c r="D2171" t="inlineStr">
        <is>
          <t>D FILIPA - LOCACAO DE MAT. FESTAS E EVEN</t>
        </is>
      </c>
      <c r="E2171" t="n">
        <v>805.08</v>
      </c>
      <c r="F2171" s="27" t="n">
        <v>45776</v>
      </c>
      <c r="G2171" s="27" t="n">
        <v>45777</v>
      </c>
      <c r="H2171" s="27" t="n">
        <v>45777</v>
      </c>
      <c r="I2171" s="27" t="n">
        <v>45756</v>
      </c>
      <c r="J2171" s="27" t="n">
        <v>45756</v>
      </c>
      <c r="K2171" t="inlineStr">
        <is>
          <t>Boleto Bancário</t>
        </is>
      </c>
      <c r="L2171" t="inlineStr">
        <is>
          <t>Custos de Eventos</t>
        </is>
      </c>
      <c r="M2171" t="inlineStr">
        <is>
          <t>Locação de Utensílios - Eventos</t>
        </is>
      </c>
      <c r="N2171" t="inlineStr">
        <is>
          <t>2206</t>
        </is>
      </c>
      <c r="O2171" t="inlineStr">
        <is>
          <t>Documentação Aprovada</t>
        </is>
      </c>
      <c r="P2171" t="inlineStr">
        <is>
          <t>Aprovado Diretoria</t>
        </is>
      </c>
      <c r="Q2171" t="inlineStr">
        <is>
          <t>Aprovado Caixa</t>
        </is>
      </c>
      <c r="R2171" t="inlineStr">
        <is>
          <t>Pago</t>
        </is>
      </c>
      <c r="S2171" t="n">
        <v>115</v>
      </c>
      <c r="T2171" t="inlineStr">
        <is>
          <t>Love - Shibari - Bradesco</t>
        </is>
      </c>
    </row>
    <row r="2172">
      <c r="A2172" t="n">
        <v>132200</v>
      </c>
      <c r="B2172" t="n">
        <v>128</v>
      </c>
      <c r="C2172" t="inlineStr">
        <is>
          <t>Love Cabaret</t>
        </is>
      </c>
      <c r="D2172" t="inlineStr">
        <is>
          <t>BRADESCO SA</t>
        </is>
      </c>
      <c r="E2172" t="n">
        <v>36</v>
      </c>
      <c r="F2172" s="27" t="n">
        <v>45777</v>
      </c>
      <c r="G2172" s="27" t="n"/>
      <c r="H2172" s="27" t="n">
        <v>45777</v>
      </c>
      <c r="I2172" s="27" t="n">
        <v>45777</v>
      </c>
      <c r="J2172" s="27" t="n">
        <v>45791</v>
      </c>
      <c r="K2172" t="inlineStr">
        <is>
          <t>Encontro de Contas</t>
        </is>
      </c>
      <c r="L2172" t="inlineStr">
        <is>
          <t>Despesas Financeiras</t>
        </is>
      </c>
      <c r="M2172" t="inlineStr">
        <is>
          <t>Tarifas Bancárias</t>
        </is>
      </c>
      <c r="N2172" t="inlineStr">
        <is>
          <t>042025</t>
        </is>
      </c>
      <c r="P2172" t="inlineStr">
        <is>
          <t>Aprovado Diretoria</t>
        </is>
      </c>
      <c r="R2172" t="inlineStr">
        <is>
          <t>Pago</t>
        </is>
      </c>
    </row>
    <row r="2173">
      <c r="A2173" t="n">
        <v>124063</v>
      </c>
      <c r="B2173" t="n">
        <v>128</v>
      </c>
      <c r="C2173" t="inlineStr">
        <is>
          <t>Love Cabaret</t>
        </is>
      </c>
      <c r="D2173" t="inlineStr">
        <is>
          <t>VALE TRANSPORTE</t>
        </is>
      </c>
      <c r="E2173" t="n">
        <v>886.89</v>
      </c>
      <c r="F2173" s="27" t="n">
        <v>45777</v>
      </c>
      <c r="G2173" s="27" t="n">
        <v>45775</v>
      </c>
      <c r="H2173" s="27" t="n">
        <v>45775</v>
      </c>
      <c r="I2173" s="27" t="n">
        <v>45748</v>
      </c>
      <c r="J2173" s="27" t="n">
        <v>45754</v>
      </c>
      <c r="K2173" t="inlineStr">
        <is>
          <t>Boleto Bancário</t>
        </is>
      </c>
      <c r="L2173" t="inlineStr">
        <is>
          <t>Mão de Obra - Benefícios</t>
        </is>
      </c>
      <c r="M2173" t="inlineStr">
        <is>
          <t xml:space="preserve">  -  Vale-transporte</t>
        </is>
      </c>
      <c r="N2173" t="inlineStr">
        <is>
          <t>220731079</t>
        </is>
      </c>
      <c r="O2173" t="inlineStr">
        <is>
          <t>Documentação Aprovada</t>
        </is>
      </c>
      <c r="P2173" t="inlineStr">
        <is>
          <t>Aprovado Diretoria</t>
        </is>
      </c>
      <c r="Q2173" t="inlineStr">
        <is>
          <t>Aprovado Caixa</t>
        </is>
      </c>
      <c r="R2173" t="inlineStr">
        <is>
          <t>Pago</t>
        </is>
      </c>
      <c r="S2173" t="n">
        <v>115</v>
      </c>
      <c r="T2173" t="inlineStr">
        <is>
          <t>Love - Shibari - Bradesco</t>
        </is>
      </c>
    </row>
    <row r="2174">
      <c r="A2174" t="n">
        <v>127057</v>
      </c>
      <c r="B2174" t="n">
        <v>128</v>
      </c>
      <c r="C2174" t="inlineStr">
        <is>
          <t>Love Cabaret</t>
        </is>
      </c>
      <c r="D2174" t="inlineStr">
        <is>
          <t>PARAMU COMERCIO E REPRESENTACAO DE PRODUTOS ALIMENTICIOS</t>
        </is>
      </c>
      <c r="E2174" t="n">
        <v>417.15</v>
      </c>
      <c r="F2174" s="27" t="n">
        <v>45777</v>
      </c>
      <c r="G2174" s="27" t="n">
        <v>45775</v>
      </c>
      <c r="H2174" s="27" t="n">
        <v>45775</v>
      </c>
      <c r="I2174" s="27" t="n">
        <v>45763</v>
      </c>
      <c r="J2174" s="27" t="n">
        <v>45771</v>
      </c>
      <c r="K2174" t="inlineStr">
        <is>
          <t>Boleto Bancário</t>
        </is>
      </c>
      <c r="L2174" t="inlineStr">
        <is>
          <t>Custo Mercadoria Vendida</t>
        </is>
      </c>
      <c r="M2174" t="inlineStr">
        <is>
          <t>Insumos - Alimentos</t>
        </is>
      </c>
      <c r="N2174" t="inlineStr">
        <is>
          <t>13563</t>
        </is>
      </c>
      <c r="O2174" t="inlineStr">
        <is>
          <t>Documentação Aprovada</t>
        </is>
      </c>
      <c r="P2174" t="inlineStr">
        <is>
          <t>Aprovado Diretoria</t>
        </is>
      </c>
      <c r="Q2174" t="inlineStr">
        <is>
          <t>Aprovado Caixa</t>
        </is>
      </c>
      <c r="R2174" t="inlineStr">
        <is>
          <t>Pago</t>
        </is>
      </c>
      <c r="S2174" t="n">
        <v>115</v>
      </c>
      <c r="T2174" t="inlineStr">
        <is>
          <t>Love - Shibari - Bradesco</t>
        </is>
      </c>
    </row>
    <row r="2175">
      <c r="A2175" t="n">
        <v>127054</v>
      </c>
      <c r="B2175" t="n">
        <v>128</v>
      </c>
      <c r="C2175" t="inlineStr">
        <is>
          <t>Love Cabaret</t>
        </is>
      </c>
      <c r="D2175" t="inlineStr">
        <is>
          <t>PSSS LTDA</t>
        </is>
      </c>
      <c r="E2175" t="n">
        <v>176</v>
      </c>
      <c r="F2175" s="27" t="n">
        <v>45776</v>
      </c>
      <c r="G2175" s="27" t="n">
        <v>45775</v>
      </c>
      <c r="H2175" s="27" t="n">
        <v>45775</v>
      </c>
      <c r="I2175" s="27" t="n">
        <v>45762</v>
      </c>
      <c r="J2175" s="27" t="n">
        <v>45771</v>
      </c>
      <c r="K2175" t="inlineStr">
        <is>
          <t>Boleto Bancário</t>
        </is>
      </c>
      <c r="L2175" t="inlineStr">
        <is>
          <t>Custo Mercadoria Vendida</t>
        </is>
      </c>
      <c r="M2175" t="inlineStr">
        <is>
          <t>Insumos - Alimentos</t>
        </is>
      </c>
      <c r="N2175" t="inlineStr">
        <is>
          <t>1433</t>
        </is>
      </c>
      <c r="O2175" t="inlineStr">
        <is>
          <t>Documentação Aprovada</t>
        </is>
      </c>
      <c r="P2175" t="inlineStr">
        <is>
          <t>Aprovado Diretoria</t>
        </is>
      </c>
      <c r="Q2175" t="inlineStr">
        <is>
          <t>Aprovado Caixa</t>
        </is>
      </c>
      <c r="R2175" t="inlineStr">
        <is>
          <t>Pago</t>
        </is>
      </c>
      <c r="S2175" t="n">
        <v>115</v>
      </c>
      <c r="T2175" t="inlineStr">
        <is>
          <t>Love - Shibari - Bradesco</t>
        </is>
      </c>
    </row>
    <row r="2176">
      <c r="A2176" t="n">
        <v>127061</v>
      </c>
      <c r="B2176" t="n">
        <v>128</v>
      </c>
      <c r="C2176" t="inlineStr">
        <is>
          <t>Love Cabaret</t>
        </is>
      </c>
      <c r="D2176" t="inlineStr">
        <is>
          <t xml:space="preserve">LATICINIOS FIOR DITALIA LTDA </t>
        </is>
      </c>
      <c r="E2176" t="n">
        <v>326.75</v>
      </c>
      <c r="F2176" s="27" t="n">
        <v>45777</v>
      </c>
      <c r="G2176" s="27" t="n">
        <v>45775</v>
      </c>
      <c r="H2176" s="27" t="n">
        <v>45775</v>
      </c>
      <c r="I2176" s="27" t="n">
        <v>45757</v>
      </c>
      <c r="J2176" s="27" t="n">
        <v>45771</v>
      </c>
      <c r="K2176" t="inlineStr">
        <is>
          <t>Boleto Bancário</t>
        </is>
      </c>
      <c r="L2176" t="inlineStr">
        <is>
          <t>Custo Mercadoria Vendida</t>
        </is>
      </c>
      <c r="M2176" t="inlineStr">
        <is>
          <t>Insumos - Alimentos</t>
        </is>
      </c>
      <c r="N2176" t="inlineStr">
        <is>
          <t>35519</t>
        </is>
      </c>
      <c r="O2176" t="inlineStr">
        <is>
          <t>Documentação Aprovada</t>
        </is>
      </c>
      <c r="P2176" t="inlineStr">
        <is>
          <t>Aprovado Diretoria</t>
        </is>
      </c>
      <c r="Q2176" t="inlineStr">
        <is>
          <t>Aprovado Caixa</t>
        </is>
      </c>
      <c r="R2176" t="inlineStr">
        <is>
          <t>Pago</t>
        </is>
      </c>
      <c r="S2176" t="n">
        <v>115</v>
      </c>
      <c r="T2176" t="inlineStr">
        <is>
          <t>Love - Shibari - Bradesco</t>
        </is>
      </c>
    </row>
    <row r="2177">
      <c r="A2177" t="n">
        <v>125994</v>
      </c>
      <c r="B2177" t="n">
        <v>128</v>
      </c>
      <c r="C2177" t="inlineStr">
        <is>
          <t>Love Cabaret</t>
        </is>
      </c>
      <c r="D2177" t="inlineStr">
        <is>
          <t>PARAMU COMERCIO E REPRESENTACAO DE PRODUTOS ALIMENTICIOS</t>
        </is>
      </c>
      <c r="E2177" t="n">
        <v>676.3</v>
      </c>
      <c r="F2177" s="27" t="n">
        <v>45775</v>
      </c>
      <c r="G2177" s="27" t="n">
        <v>45775</v>
      </c>
      <c r="H2177" s="27" t="n">
        <v>45775</v>
      </c>
      <c r="I2177" s="27" t="n">
        <v>45761</v>
      </c>
      <c r="J2177" s="27" t="n">
        <v>45763</v>
      </c>
      <c r="K2177" t="inlineStr">
        <is>
          <t>Boleto Bancário</t>
        </is>
      </c>
      <c r="L2177" t="inlineStr">
        <is>
          <t>Custo Mercadoria Vendida</t>
        </is>
      </c>
      <c r="M2177" t="inlineStr">
        <is>
          <t>Insumos - Alimentos</t>
        </is>
      </c>
      <c r="N2177" t="inlineStr">
        <is>
          <t>13524</t>
        </is>
      </c>
      <c r="O2177" t="inlineStr">
        <is>
          <t>Documentação Aprovada</t>
        </is>
      </c>
      <c r="P2177" t="inlineStr">
        <is>
          <t>Aprovado Diretoria</t>
        </is>
      </c>
      <c r="Q2177" t="inlineStr">
        <is>
          <t>Aprovado Caixa</t>
        </is>
      </c>
      <c r="R2177" t="inlineStr">
        <is>
          <t>Pago</t>
        </is>
      </c>
      <c r="S2177" t="n">
        <v>115</v>
      </c>
      <c r="T2177" t="inlineStr">
        <is>
          <t>Love - Shibari - Bradesco</t>
        </is>
      </c>
    </row>
    <row r="2178">
      <c r="A2178" t="n">
        <v>125986</v>
      </c>
      <c r="B2178" t="n">
        <v>128</v>
      </c>
      <c r="C2178" t="inlineStr">
        <is>
          <t>Love Cabaret</t>
        </is>
      </c>
      <c r="D2178" t="inlineStr">
        <is>
          <t>HNK BR IND DE BEBIDAS</t>
        </is>
      </c>
      <c r="E2178" t="n">
        <v>1064.16</v>
      </c>
      <c r="F2178" s="27" t="n">
        <v>45777</v>
      </c>
      <c r="G2178" s="27" t="n">
        <v>45775</v>
      </c>
      <c r="H2178" s="27" t="n">
        <v>45775</v>
      </c>
      <c r="I2178" s="27" t="n">
        <v>45762</v>
      </c>
      <c r="J2178" s="27" t="n">
        <v>45763</v>
      </c>
      <c r="K2178" t="inlineStr">
        <is>
          <t>Boleto Bancário</t>
        </is>
      </c>
      <c r="L2178" t="inlineStr">
        <is>
          <t>Custo Mercadoria Vendida</t>
        </is>
      </c>
      <c r="M2178" t="inlineStr">
        <is>
          <t>Insumos - Bebidas</t>
        </is>
      </c>
      <c r="N2178" t="inlineStr">
        <is>
          <t>235106</t>
        </is>
      </c>
      <c r="O2178" t="inlineStr">
        <is>
          <t>Documentação Aprovada</t>
        </is>
      </c>
      <c r="P2178" t="inlineStr">
        <is>
          <t>Aprovado Diretoria</t>
        </is>
      </c>
      <c r="Q2178" t="inlineStr">
        <is>
          <t>Aprovado Caixa</t>
        </is>
      </c>
      <c r="R2178" t="inlineStr">
        <is>
          <t>Pago</t>
        </is>
      </c>
      <c r="S2178" t="n">
        <v>115</v>
      </c>
      <c r="T2178" t="inlineStr">
        <is>
          <t>Love - Shibari - Bradesco</t>
        </is>
      </c>
    </row>
    <row r="2179">
      <c r="A2179" t="n">
        <v>125997</v>
      </c>
      <c r="B2179" t="n">
        <v>128</v>
      </c>
      <c r="C2179" t="inlineStr">
        <is>
          <t>Love Cabaret</t>
        </is>
      </c>
      <c r="D2179" t="inlineStr">
        <is>
          <t xml:space="preserve">FORTE ALIMENTOS COM. IMPORTAÇÃO LTDA </t>
        </is>
      </c>
      <c r="E2179" t="n">
        <v>523.05</v>
      </c>
      <c r="F2179" s="27" t="n">
        <v>45776</v>
      </c>
      <c r="G2179" s="27" t="n">
        <v>45775</v>
      </c>
      <c r="H2179" s="27" t="n">
        <v>45775</v>
      </c>
      <c r="I2179" s="27" t="n">
        <v>45761</v>
      </c>
      <c r="J2179" s="27" t="n">
        <v>45763</v>
      </c>
      <c r="K2179" t="inlineStr">
        <is>
          <t>Boleto Bancário</t>
        </is>
      </c>
      <c r="L2179" t="inlineStr">
        <is>
          <t>Custo Mercadoria Vendida</t>
        </is>
      </c>
      <c r="M2179" t="inlineStr">
        <is>
          <t>Insumos - Alimentos</t>
        </is>
      </c>
      <c r="N2179" t="inlineStr">
        <is>
          <t>306973</t>
        </is>
      </c>
      <c r="O2179" t="inlineStr">
        <is>
          <t>Documentação Aprovada</t>
        </is>
      </c>
      <c r="P2179" t="inlineStr">
        <is>
          <t>Aprovado Diretoria</t>
        </is>
      </c>
      <c r="Q2179" t="inlineStr">
        <is>
          <t>Aprovado Caixa</t>
        </is>
      </c>
      <c r="R2179" t="inlineStr">
        <is>
          <t>Pago</t>
        </is>
      </c>
      <c r="S2179" t="n">
        <v>115</v>
      </c>
      <c r="T2179" t="inlineStr">
        <is>
          <t>Love - Shibari - Bradesco</t>
        </is>
      </c>
    </row>
    <row r="2180">
      <c r="A2180" t="n">
        <v>125952</v>
      </c>
      <c r="B2180" t="n">
        <v>128</v>
      </c>
      <c r="C2180" t="inlineStr">
        <is>
          <t>Love Cabaret</t>
        </is>
      </c>
      <c r="D2180" t="inlineStr">
        <is>
          <t>A.W.C COMERCIO ATACADISTA E DISTRIBUIDORA LTDA.</t>
        </is>
      </c>
      <c r="E2180" t="n">
        <v>1350.8</v>
      </c>
      <c r="F2180" s="27" t="n">
        <v>45776</v>
      </c>
      <c r="G2180" s="27" t="n">
        <v>45775</v>
      </c>
      <c r="H2180" s="27" t="n">
        <v>45775</v>
      </c>
      <c r="I2180" s="27" t="n">
        <v>45762</v>
      </c>
      <c r="J2180" s="27" t="n">
        <v>45763</v>
      </c>
      <c r="K2180" t="inlineStr">
        <is>
          <t>Boleto Bancário</t>
        </is>
      </c>
      <c r="L2180" t="inlineStr">
        <is>
          <t>Custo Mercadoria Vendida</t>
        </is>
      </c>
      <c r="M2180" t="inlineStr">
        <is>
          <t>Insumos - Bebidas</t>
        </is>
      </c>
      <c r="N2180" t="inlineStr">
        <is>
          <t>14614</t>
        </is>
      </c>
      <c r="O2180" t="inlineStr">
        <is>
          <t>Documentação Aprovada</t>
        </is>
      </c>
      <c r="P2180" t="inlineStr">
        <is>
          <t>Aprovado Diretoria</t>
        </is>
      </c>
      <c r="Q2180" t="inlineStr">
        <is>
          <t>Aprovado Caixa</t>
        </is>
      </c>
      <c r="R2180" t="inlineStr">
        <is>
          <t>Pago</t>
        </is>
      </c>
      <c r="S2180" t="n">
        <v>115</v>
      </c>
      <c r="T2180" t="inlineStr">
        <is>
          <t>Love - Shibari - Bradesco</t>
        </is>
      </c>
    </row>
    <row r="2181">
      <c r="A2181" t="n">
        <v>125938</v>
      </c>
      <c r="B2181" t="n">
        <v>128</v>
      </c>
      <c r="C2181" t="inlineStr">
        <is>
          <t>Love Cabaret</t>
        </is>
      </c>
      <c r="D2181" t="inlineStr">
        <is>
          <t>J A DOS SANTOS HORTIFRUTI</t>
        </is>
      </c>
      <c r="E2181" t="n">
        <v>147</v>
      </c>
      <c r="F2181" s="27" t="n">
        <v>45776</v>
      </c>
      <c r="G2181" s="27" t="n">
        <v>45775</v>
      </c>
      <c r="H2181" s="27" t="n">
        <v>45775</v>
      </c>
      <c r="I2181" s="27" t="n">
        <v>45761</v>
      </c>
      <c r="J2181" s="27" t="n">
        <v>45763</v>
      </c>
      <c r="K2181" t="inlineStr">
        <is>
          <t>Boleto Bancário</t>
        </is>
      </c>
      <c r="L2181" t="inlineStr">
        <is>
          <t>Custo Mercadoria Vendida</t>
        </is>
      </c>
      <c r="M2181" t="inlineStr">
        <is>
          <t>Insumos - Alimentos</t>
        </is>
      </c>
      <c r="N2181" t="inlineStr">
        <is>
          <t>36832</t>
        </is>
      </c>
      <c r="O2181" t="inlineStr">
        <is>
          <t>Documentação Aprovada</t>
        </is>
      </c>
      <c r="P2181" t="inlineStr">
        <is>
          <t>Aprovado Diretoria</t>
        </is>
      </c>
      <c r="Q2181" t="inlineStr">
        <is>
          <t>Aprovado Caixa</t>
        </is>
      </c>
      <c r="R2181" t="inlineStr">
        <is>
          <t>Pago</t>
        </is>
      </c>
      <c r="S2181" t="n">
        <v>115</v>
      </c>
      <c r="T2181" t="inlineStr">
        <is>
          <t>Love - Shibari - Bradesco</t>
        </is>
      </c>
    </row>
    <row r="2182">
      <c r="A2182" t="n">
        <v>125962</v>
      </c>
      <c r="B2182" t="n">
        <v>128</v>
      </c>
      <c r="C2182" t="inlineStr">
        <is>
          <t>Love Cabaret</t>
        </is>
      </c>
      <c r="D2182" t="inlineStr">
        <is>
          <t xml:space="preserve">SKY COMERCIO DE PRODUTOS ALIMENTICIOS LTDA </t>
        </is>
      </c>
      <c r="E2182" t="n">
        <v>2003.12</v>
      </c>
      <c r="F2182" s="27" t="n">
        <v>45775</v>
      </c>
      <c r="G2182" s="27" t="n">
        <v>45775</v>
      </c>
      <c r="H2182" s="27" t="n">
        <v>45775</v>
      </c>
      <c r="I2182" s="27" t="n">
        <v>45761</v>
      </c>
      <c r="J2182" s="27" t="n">
        <v>45763</v>
      </c>
      <c r="K2182" t="inlineStr">
        <is>
          <t>Boleto Bancário</t>
        </is>
      </c>
      <c r="L2182" t="inlineStr">
        <is>
          <t>Custo Mercadoria Vendida</t>
        </is>
      </c>
      <c r="M2182" t="inlineStr">
        <is>
          <t>Insumos - Bebidas</t>
        </is>
      </c>
      <c r="N2182" t="inlineStr">
        <is>
          <t>28089</t>
        </is>
      </c>
      <c r="O2182" t="inlineStr">
        <is>
          <t>Documentação Aprovada</t>
        </is>
      </c>
      <c r="P2182" t="inlineStr">
        <is>
          <t>Aprovado Diretoria</t>
        </is>
      </c>
      <c r="Q2182" t="inlineStr">
        <is>
          <t>Aprovado Caixa</t>
        </is>
      </c>
      <c r="R2182" t="inlineStr">
        <is>
          <t>Pago</t>
        </is>
      </c>
      <c r="S2182" t="n">
        <v>115</v>
      </c>
      <c r="T2182" t="inlineStr">
        <is>
          <t>Love - Shibari - Bradesco</t>
        </is>
      </c>
    </row>
    <row r="2183">
      <c r="A2183" t="n">
        <v>125992</v>
      </c>
      <c r="B2183" t="n">
        <v>128</v>
      </c>
      <c r="C2183" t="inlineStr">
        <is>
          <t>Love Cabaret</t>
        </is>
      </c>
      <c r="D2183" t="inlineStr">
        <is>
          <t>ASSAZ ORGANICA INDUSTRIA E COMERCIO DE ALIMENTOS LTDA</t>
        </is>
      </c>
      <c r="E2183" t="n">
        <v>28.25</v>
      </c>
      <c r="F2183" s="27" t="n">
        <v>45777</v>
      </c>
      <c r="G2183" s="27" t="n">
        <v>45775</v>
      </c>
      <c r="H2183" s="27" t="n">
        <v>45775</v>
      </c>
      <c r="I2183" s="27" t="n">
        <v>45762</v>
      </c>
      <c r="J2183" s="27" t="n">
        <v>45763</v>
      </c>
      <c r="K2183" t="inlineStr">
        <is>
          <t>Boleto Bancário</t>
        </is>
      </c>
      <c r="L2183" t="inlineStr">
        <is>
          <t>Custo Mercadoria Vendida</t>
        </is>
      </c>
      <c r="M2183" t="inlineStr">
        <is>
          <t>Insumos - Alimentos</t>
        </is>
      </c>
      <c r="N2183" t="inlineStr">
        <is>
          <t>19941</t>
        </is>
      </c>
      <c r="O2183" t="inlineStr">
        <is>
          <t>Documentação Aprovada</t>
        </is>
      </c>
      <c r="P2183" t="inlineStr">
        <is>
          <t>Aprovado Diretoria</t>
        </is>
      </c>
      <c r="Q2183" t="inlineStr">
        <is>
          <t>Aprovado Caixa</t>
        </is>
      </c>
      <c r="R2183" t="inlineStr">
        <is>
          <t>Pago</t>
        </is>
      </c>
      <c r="S2183" t="n">
        <v>115</v>
      </c>
      <c r="T2183" t="inlineStr">
        <is>
          <t>Love - Shibari - Bradesco</t>
        </is>
      </c>
    </row>
    <row r="2184">
      <c r="A2184" t="n">
        <v>125937</v>
      </c>
      <c r="B2184" t="n">
        <v>128</v>
      </c>
      <c r="C2184" t="inlineStr">
        <is>
          <t>Love Cabaret</t>
        </is>
      </c>
      <c r="D2184" t="inlineStr">
        <is>
          <t>PORCO FELIZ COM DE CARNES LTDA</t>
        </is>
      </c>
      <c r="E2184" t="n">
        <v>216.6</v>
      </c>
      <c r="F2184" s="27" t="n">
        <v>45775</v>
      </c>
      <c r="G2184" s="27" t="n">
        <v>45775</v>
      </c>
      <c r="H2184" s="27" t="n">
        <v>45775</v>
      </c>
      <c r="I2184" s="27" t="n">
        <v>45761</v>
      </c>
      <c r="J2184" s="27" t="n">
        <v>45763</v>
      </c>
      <c r="K2184" t="inlineStr">
        <is>
          <t>Boleto Bancário</t>
        </is>
      </c>
      <c r="L2184" t="inlineStr">
        <is>
          <t>Custo Mercadoria Vendida</t>
        </is>
      </c>
      <c r="M2184" t="inlineStr">
        <is>
          <t>Insumos - Alimentos</t>
        </is>
      </c>
      <c r="N2184" t="inlineStr">
        <is>
          <t>573830</t>
        </is>
      </c>
      <c r="O2184" t="inlineStr">
        <is>
          <t>Documentação Aprovada</t>
        </is>
      </c>
      <c r="P2184" t="inlineStr">
        <is>
          <t>Aprovado Diretoria</t>
        </is>
      </c>
      <c r="Q2184" t="inlineStr">
        <is>
          <t>Aprovado Caixa</t>
        </is>
      </c>
      <c r="R2184" t="inlineStr">
        <is>
          <t>Pago</t>
        </is>
      </c>
      <c r="S2184" t="n">
        <v>115</v>
      </c>
      <c r="T2184" t="inlineStr">
        <is>
          <t>Love - Shibari - Bradesco</t>
        </is>
      </c>
    </row>
    <row r="2185">
      <c r="A2185" t="n">
        <v>125932</v>
      </c>
      <c r="B2185" t="n">
        <v>128</v>
      </c>
      <c r="C2185" t="inlineStr">
        <is>
          <t>Love Cabaret</t>
        </is>
      </c>
      <c r="D2185" t="inlineStr">
        <is>
          <t>CECILIA TSUYACO ARAKI SILVA LTDA</t>
        </is>
      </c>
      <c r="E2185" t="n">
        <v>157.95</v>
      </c>
      <c r="F2185" s="27" t="n">
        <v>45775</v>
      </c>
      <c r="G2185" s="27" t="n">
        <v>45775</v>
      </c>
      <c r="H2185" s="27" t="n">
        <v>45775</v>
      </c>
      <c r="I2185" s="27" t="n">
        <v>45762</v>
      </c>
      <c r="J2185" s="27" t="n">
        <v>45763</v>
      </c>
      <c r="K2185" t="inlineStr">
        <is>
          <t>Boleto Bancário</t>
        </is>
      </c>
      <c r="L2185" t="inlineStr">
        <is>
          <t>Custo Mercadoria Vendida</t>
        </is>
      </c>
      <c r="M2185" t="inlineStr">
        <is>
          <t>Insumos - Alimentos</t>
        </is>
      </c>
      <c r="N2185" t="inlineStr">
        <is>
          <t>369286</t>
        </is>
      </c>
      <c r="O2185" t="inlineStr">
        <is>
          <t>Documentação Aprovada</t>
        </is>
      </c>
      <c r="P2185" t="inlineStr">
        <is>
          <t>Aprovado Diretoria</t>
        </is>
      </c>
      <c r="Q2185" t="inlineStr">
        <is>
          <t>Aprovado Caixa</t>
        </is>
      </c>
      <c r="R2185" t="inlineStr">
        <is>
          <t>Pago</t>
        </is>
      </c>
      <c r="S2185" t="n">
        <v>115</v>
      </c>
      <c r="T2185" t="inlineStr">
        <is>
          <t>Love - Shibari - Bradesco</t>
        </is>
      </c>
    </row>
    <row r="2186">
      <c r="A2186" t="n">
        <v>124930</v>
      </c>
      <c r="B2186" t="n">
        <v>128</v>
      </c>
      <c r="C2186" t="inlineStr">
        <is>
          <t>Love Cabaret</t>
        </is>
      </c>
      <c r="D2186" t="inlineStr">
        <is>
          <t>CG FOOD´S DISTRIBUIDORA DE ALIMENTOS LTDA</t>
        </is>
      </c>
      <c r="E2186" t="n">
        <v>301.6</v>
      </c>
      <c r="F2186" s="27" t="n">
        <v>45775</v>
      </c>
      <c r="G2186" s="27" t="n">
        <v>45775</v>
      </c>
      <c r="H2186" s="27" t="n">
        <v>45775</v>
      </c>
      <c r="I2186" s="27" t="n">
        <v>45754</v>
      </c>
      <c r="J2186" s="27" t="n">
        <v>45758</v>
      </c>
      <c r="K2186" t="inlineStr">
        <is>
          <t>Boleto Bancário</t>
        </is>
      </c>
      <c r="L2186" t="inlineStr">
        <is>
          <t>Custo Mercadoria Vendida</t>
        </is>
      </c>
      <c r="M2186" t="inlineStr">
        <is>
          <t>Insumos - Alimentos</t>
        </is>
      </c>
      <c r="N2186" t="inlineStr">
        <is>
          <t>147509</t>
        </is>
      </c>
      <c r="O2186" t="inlineStr">
        <is>
          <t>Documentação Aprovada</t>
        </is>
      </c>
      <c r="P2186" t="inlineStr">
        <is>
          <t>Aprovado Diretoria</t>
        </is>
      </c>
      <c r="Q2186" t="inlineStr">
        <is>
          <t>Aprovado Caixa</t>
        </is>
      </c>
      <c r="R2186" t="inlineStr">
        <is>
          <t>Pago</t>
        </is>
      </c>
      <c r="S2186" t="n">
        <v>115</v>
      </c>
      <c r="T2186" t="inlineStr">
        <is>
          <t>Love - Shibari - Bradesco</t>
        </is>
      </c>
    </row>
    <row r="2187">
      <c r="A2187" t="n">
        <v>125530</v>
      </c>
      <c r="B2187" t="n">
        <v>128</v>
      </c>
      <c r="C2187" t="inlineStr">
        <is>
          <t>Love Cabaret</t>
        </is>
      </c>
      <c r="D2187" t="inlineStr">
        <is>
          <t xml:space="preserve">ALEXANDRE SANTOS DA CRUZ </t>
        </is>
      </c>
      <c r="E2187" t="n">
        <v>4908</v>
      </c>
      <c r="F2187" s="27" t="n">
        <v>45777</v>
      </c>
      <c r="G2187" s="27" t="n">
        <v>45775</v>
      </c>
      <c r="H2187" s="27" t="n">
        <v>45775</v>
      </c>
      <c r="I2187" s="27" t="n">
        <v>45762</v>
      </c>
      <c r="J2187" s="27" t="n">
        <v>45762</v>
      </c>
      <c r="K2187" t="inlineStr">
        <is>
          <t>Transferência Bancária ou Pix</t>
        </is>
      </c>
      <c r="L2187" t="inlineStr">
        <is>
          <t>Custos Artístico Geral</t>
        </is>
      </c>
      <c r="M2187" t="inlineStr">
        <is>
          <t>Cachê de Músicos e Artistas</t>
        </is>
      </c>
      <c r="N2187" t="inlineStr">
        <is>
          <t>127</t>
        </is>
      </c>
      <c r="O2187" t="inlineStr">
        <is>
          <t>Documentação Aprovada</t>
        </is>
      </c>
      <c r="P2187" t="inlineStr">
        <is>
          <t>Aprovado Diretoria</t>
        </is>
      </c>
      <c r="Q2187" t="inlineStr">
        <is>
          <t>Aprovado Caixa</t>
        </is>
      </c>
      <c r="R2187" t="inlineStr">
        <is>
          <t>Pago</t>
        </is>
      </c>
      <c r="S2187" t="n">
        <v>115</v>
      </c>
      <c r="T2187" t="inlineStr">
        <is>
          <t>Love - Shibari - Bradesco</t>
        </is>
      </c>
    </row>
    <row r="2188">
      <c r="A2188" t="n">
        <v>124939</v>
      </c>
      <c r="B2188" t="n">
        <v>128</v>
      </c>
      <c r="C2188" t="inlineStr">
        <is>
          <t>Love Cabaret</t>
        </is>
      </c>
      <c r="D2188" t="inlineStr">
        <is>
          <t>FG7 COMERCIO E DISTRIBUICAO DE BEBIDAS LTDA</t>
        </is>
      </c>
      <c r="E2188" t="n">
        <v>621.04</v>
      </c>
      <c r="F2188" s="27" t="n">
        <v>45776</v>
      </c>
      <c r="G2188" s="27" t="n">
        <v>45775</v>
      </c>
      <c r="H2188" s="27" t="n">
        <v>45775</v>
      </c>
      <c r="I2188" s="27" t="n">
        <v>45751</v>
      </c>
      <c r="J2188" s="27" t="n">
        <v>45758</v>
      </c>
      <c r="K2188" t="inlineStr">
        <is>
          <t>Boleto Bancário</t>
        </is>
      </c>
      <c r="L2188" t="inlineStr">
        <is>
          <t>Custo Mercadoria Vendida</t>
        </is>
      </c>
      <c r="M2188" t="inlineStr">
        <is>
          <t>Insumos - Bebidas</t>
        </is>
      </c>
      <c r="N2188" t="inlineStr">
        <is>
          <t>594082</t>
        </is>
      </c>
      <c r="O2188" t="inlineStr">
        <is>
          <t>Documentação Aprovada</t>
        </is>
      </c>
      <c r="P2188" t="inlineStr">
        <is>
          <t>Aprovado Diretoria</t>
        </is>
      </c>
      <c r="Q2188" t="inlineStr">
        <is>
          <t>Aprovado Caixa</t>
        </is>
      </c>
      <c r="R2188" t="inlineStr">
        <is>
          <t>Pago</t>
        </is>
      </c>
      <c r="S2188" t="n">
        <v>115</v>
      </c>
      <c r="T2188" t="inlineStr">
        <is>
          <t>Love - Shibari - Bradesco</t>
        </is>
      </c>
    </row>
    <row r="2189">
      <c r="A2189" t="n">
        <v>125012</v>
      </c>
      <c r="B2189" t="n">
        <v>128</v>
      </c>
      <c r="C2189" t="inlineStr">
        <is>
          <t>Love Cabaret</t>
        </is>
      </c>
      <c r="D2189" t="inlineStr">
        <is>
          <t>WIDE STOCK COMERCIO E DISTRIBUICAO LTDA</t>
        </is>
      </c>
      <c r="E2189" t="n">
        <v>358</v>
      </c>
      <c r="F2189" s="27" t="n">
        <v>45777</v>
      </c>
      <c r="G2189" s="27" t="n">
        <v>45775</v>
      </c>
      <c r="H2189" s="27" t="n">
        <v>45775</v>
      </c>
      <c r="I2189" s="27" t="n">
        <v>45756</v>
      </c>
      <c r="J2189" s="27" t="n">
        <v>45758</v>
      </c>
      <c r="K2189" t="inlineStr">
        <is>
          <t>Boleto Bancário</t>
        </is>
      </c>
      <c r="L2189" t="inlineStr">
        <is>
          <t>Utilidades</t>
        </is>
      </c>
      <c r="M2189" t="inlineStr">
        <is>
          <t>Higiene e Limpeza</t>
        </is>
      </c>
      <c r="N2189" t="inlineStr">
        <is>
          <t>400215</t>
        </is>
      </c>
      <c r="O2189" t="inlineStr">
        <is>
          <t>Documentação Aprovada</t>
        </is>
      </c>
      <c r="P2189" t="inlineStr">
        <is>
          <t>Aprovado Diretoria</t>
        </is>
      </c>
      <c r="Q2189" t="inlineStr">
        <is>
          <t>Aprovado Caixa</t>
        </is>
      </c>
      <c r="R2189" t="inlineStr">
        <is>
          <t>Pago</t>
        </is>
      </c>
      <c r="S2189" t="n">
        <v>115</v>
      </c>
      <c r="T2189" t="inlineStr">
        <is>
          <t>Love - Shibari - Bradesco</t>
        </is>
      </c>
    </row>
    <row r="2190">
      <c r="A2190" t="n">
        <v>125009</v>
      </c>
      <c r="B2190" t="n">
        <v>128</v>
      </c>
      <c r="C2190" t="inlineStr">
        <is>
          <t>Love Cabaret</t>
        </is>
      </c>
      <c r="D2190" t="inlineStr">
        <is>
          <t>DTK COMERCIO DE ALIMENTOS LTDA</t>
        </is>
      </c>
      <c r="E2190" t="n">
        <v>899.09</v>
      </c>
      <c r="F2190" s="27" t="n">
        <v>45775</v>
      </c>
      <c r="G2190" s="27" t="n">
        <v>45775</v>
      </c>
      <c r="H2190" s="27" t="n">
        <v>45775</v>
      </c>
      <c r="I2190" s="27" t="n">
        <v>45755</v>
      </c>
      <c r="J2190" s="27" t="n">
        <v>45758</v>
      </c>
      <c r="K2190" t="inlineStr">
        <is>
          <t>Boleto Bancário</t>
        </is>
      </c>
      <c r="L2190" t="inlineStr">
        <is>
          <t>Custo Mercadoria Vendida</t>
        </is>
      </c>
      <c r="M2190" t="inlineStr">
        <is>
          <t>Insumos - Alimentos</t>
        </is>
      </c>
      <c r="N2190" t="inlineStr">
        <is>
          <t>27795</t>
        </is>
      </c>
      <c r="O2190" t="inlineStr">
        <is>
          <t>Documentação Aprovada</t>
        </is>
      </c>
      <c r="P2190" t="inlineStr">
        <is>
          <t>Aprovado Diretoria</t>
        </is>
      </c>
      <c r="Q2190" t="inlineStr">
        <is>
          <t>Aprovado Caixa</t>
        </is>
      </c>
      <c r="R2190" t="inlineStr">
        <is>
          <t>Pago</t>
        </is>
      </c>
      <c r="S2190" t="n">
        <v>115</v>
      </c>
      <c r="T2190" t="inlineStr">
        <is>
          <t>Love - Shibari - Bradesco</t>
        </is>
      </c>
    </row>
    <row r="2191">
      <c r="A2191" t="n">
        <v>121934</v>
      </c>
      <c r="B2191" t="n">
        <v>128</v>
      </c>
      <c r="C2191" t="inlineStr">
        <is>
          <t>Love Cabaret</t>
        </is>
      </c>
      <c r="D2191" t="inlineStr">
        <is>
          <t>KING COMERCIO E IMPORTACAO DE BEBIDAS LTDA</t>
        </is>
      </c>
      <c r="E2191" t="n">
        <v>6960.12</v>
      </c>
      <c r="F2191" s="27" t="n">
        <v>45775</v>
      </c>
      <c r="G2191" s="27" t="n">
        <v>45775</v>
      </c>
      <c r="H2191" s="27" t="n">
        <v>45775</v>
      </c>
      <c r="I2191" s="27" t="n">
        <v>45747</v>
      </c>
      <c r="J2191" s="27" t="n">
        <v>45749</v>
      </c>
      <c r="K2191" t="inlineStr">
        <is>
          <t>Boleto Bancário</t>
        </is>
      </c>
      <c r="L2191" t="inlineStr">
        <is>
          <t>Custo Mercadoria Vendida</t>
        </is>
      </c>
      <c r="M2191" t="inlineStr">
        <is>
          <t>Insumos - Bebidas</t>
        </is>
      </c>
      <c r="N2191" t="inlineStr">
        <is>
          <t>116403</t>
        </is>
      </c>
      <c r="O2191" t="inlineStr">
        <is>
          <t>Documentação Aprovada</t>
        </is>
      </c>
      <c r="P2191" t="inlineStr">
        <is>
          <t>Aprovado Diretoria</t>
        </is>
      </c>
      <c r="Q2191" t="inlineStr">
        <is>
          <t>Aprovado Caixa</t>
        </is>
      </c>
      <c r="R2191" t="inlineStr">
        <is>
          <t>Pago</t>
        </is>
      </c>
      <c r="S2191" t="n">
        <v>115</v>
      </c>
      <c r="T2191" t="inlineStr">
        <is>
          <t>Love - Shibari - Bradesco</t>
        </is>
      </c>
    </row>
    <row r="2192">
      <c r="A2192" t="n">
        <v>122230</v>
      </c>
      <c r="B2192" t="n">
        <v>128</v>
      </c>
      <c r="C2192" t="inlineStr">
        <is>
          <t>Love Cabaret</t>
        </is>
      </c>
      <c r="D2192" t="inlineStr">
        <is>
          <t>PROAUTO INDUSTRIA QUIMICA EIRELI</t>
        </is>
      </c>
      <c r="E2192" t="n">
        <v>1256.32</v>
      </c>
      <c r="F2192" s="27" t="n">
        <v>45776</v>
      </c>
      <c r="G2192" s="27" t="n">
        <v>45775</v>
      </c>
      <c r="H2192" s="27" t="n">
        <v>45775</v>
      </c>
      <c r="I2192" s="27" t="n">
        <v>45748</v>
      </c>
      <c r="J2192" s="27" t="n">
        <v>45750</v>
      </c>
      <c r="K2192" t="inlineStr">
        <is>
          <t>Boleto Bancário</t>
        </is>
      </c>
      <c r="L2192" t="inlineStr">
        <is>
          <t>Utilidades</t>
        </is>
      </c>
      <c r="M2192" t="inlineStr">
        <is>
          <t>Higiene e Limpeza</t>
        </is>
      </c>
      <c r="N2192" t="inlineStr">
        <is>
          <t>136032</t>
        </is>
      </c>
      <c r="O2192" t="inlineStr">
        <is>
          <t>Documentação Aprovada</t>
        </is>
      </c>
      <c r="P2192" t="inlineStr">
        <is>
          <t>Aprovado Diretoria</t>
        </is>
      </c>
      <c r="Q2192" t="inlineStr">
        <is>
          <t>Aprovado Caixa</t>
        </is>
      </c>
      <c r="R2192" t="inlineStr">
        <is>
          <t>Pago</t>
        </is>
      </c>
      <c r="S2192" t="n">
        <v>115</v>
      </c>
      <c r="T2192" t="inlineStr">
        <is>
          <t>Love - Shibari - Bradesco</t>
        </is>
      </c>
    </row>
    <row r="2193">
      <c r="A2193" t="n">
        <v>106679</v>
      </c>
      <c r="B2193" t="n">
        <v>128</v>
      </c>
      <c r="C2193" t="inlineStr">
        <is>
          <t>Love Cabaret</t>
        </is>
      </c>
      <c r="D2193" t="inlineStr">
        <is>
          <t>AURORA ALVORADA ESTACIONAMENTO E LANCHONETE LTDA</t>
        </is>
      </c>
      <c r="E2193" t="n">
        <v>211.55</v>
      </c>
      <c r="F2193" s="27" t="n">
        <v>45776</v>
      </c>
      <c r="G2193" s="27" t="n">
        <v>45775</v>
      </c>
      <c r="H2193" s="27" t="n">
        <v>45775</v>
      </c>
      <c r="I2193" s="27" t="n">
        <v>45768</v>
      </c>
      <c r="J2193" s="27" t="n"/>
      <c r="K2193" t="inlineStr">
        <is>
          <t>Boleto Bancário</t>
        </is>
      </c>
      <c r="L2193" t="inlineStr">
        <is>
          <t>Custo Mercadoria Vendida</t>
        </is>
      </c>
      <c r="M2193" t="inlineStr">
        <is>
          <t>Insumos - Alimentos</t>
        </is>
      </c>
      <c r="N2193" t="inlineStr">
        <is>
          <t>10507</t>
        </is>
      </c>
      <c r="O2193" t="inlineStr">
        <is>
          <t>Documentação Aprovada</t>
        </is>
      </c>
      <c r="P2193" t="inlineStr">
        <is>
          <t>Aprovado Diretoria</t>
        </is>
      </c>
      <c r="Q2193" t="inlineStr">
        <is>
          <t>Aprovado Caixa</t>
        </is>
      </c>
      <c r="R2193" t="inlineStr">
        <is>
          <t>Pago</t>
        </is>
      </c>
      <c r="S2193" t="n">
        <v>115</v>
      </c>
      <c r="T2193" t="inlineStr">
        <is>
          <t>Love - Shibari - Bradesco</t>
        </is>
      </c>
    </row>
    <row r="2194">
      <c r="A2194" t="n">
        <v>97377</v>
      </c>
      <c r="B2194" t="n">
        <v>128</v>
      </c>
      <c r="C2194" t="inlineStr">
        <is>
          <t>Love Cabaret</t>
        </is>
      </c>
      <c r="D2194" t="inlineStr">
        <is>
          <t>EBM ADVOGADOS - MATECKI SOCIEDADE INDIVIDUAL DE ADVOCACIA</t>
        </is>
      </c>
      <c r="E2194" t="n">
        <v>3200</v>
      </c>
      <c r="F2194" s="27" t="n">
        <v>45777</v>
      </c>
      <c r="G2194" s="27" t="n">
        <v>45775</v>
      </c>
      <c r="H2194" s="27" t="n">
        <v>45775</v>
      </c>
      <c r="I2194" s="27" t="n">
        <v>45762</v>
      </c>
      <c r="J2194" s="27" t="n"/>
      <c r="K2194" t="inlineStr">
        <is>
          <t>Transferência Bancária ou Pix</t>
        </is>
      </c>
      <c r="L2194" t="inlineStr">
        <is>
          <t>Serviços de Terceiros</t>
        </is>
      </c>
      <c r="M2194" t="inlineStr">
        <is>
          <t>Assessoria Jurídica</t>
        </is>
      </c>
      <c r="N2194" t="inlineStr">
        <is>
          <t>372025</t>
        </is>
      </c>
      <c r="O2194" t="inlineStr">
        <is>
          <t>Documentação Aprovada</t>
        </is>
      </c>
      <c r="P2194" t="inlineStr">
        <is>
          <t>Aprovado Diretoria</t>
        </is>
      </c>
      <c r="Q2194" t="inlineStr">
        <is>
          <t>Aprovado Caixa</t>
        </is>
      </c>
      <c r="R2194" t="inlineStr">
        <is>
          <t>Pago</t>
        </is>
      </c>
      <c r="S2194" t="n">
        <v>115</v>
      </c>
      <c r="T2194" t="inlineStr">
        <is>
          <t>Love - Shibari - Bradesco</t>
        </is>
      </c>
    </row>
    <row r="2195">
      <c r="A2195" t="n">
        <v>102877</v>
      </c>
      <c r="B2195" t="n">
        <v>128</v>
      </c>
      <c r="C2195" t="inlineStr">
        <is>
          <t>Love Cabaret</t>
        </is>
      </c>
      <c r="D2195" t="inlineStr">
        <is>
          <t>MACHINE SEGURANCA PATRIMONIAL LTDA</t>
        </is>
      </c>
      <c r="E2195" t="n">
        <v>5700</v>
      </c>
      <c r="F2195" s="27" t="n">
        <v>45775</v>
      </c>
      <c r="G2195" s="27" t="n">
        <v>45775</v>
      </c>
      <c r="H2195" s="27" t="n">
        <v>45775</v>
      </c>
      <c r="I2195" s="27" t="n">
        <v>45747</v>
      </c>
      <c r="J2195" s="27" t="n"/>
      <c r="K2195" t="inlineStr">
        <is>
          <t>Transferência Bancária ou Pix</t>
        </is>
      </c>
      <c r="L2195" t="inlineStr">
        <is>
          <t>Serviços de Terceiros</t>
        </is>
      </c>
      <c r="M2195" t="inlineStr">
        <is>
          <t>Serviços de Segurança</t>
        </is>
      </c>
      <c r="N2195" t="inlineStr">
        <is>
          <t>623</t>
        </is>
      </c>
      <c r="O2195" t="inlineStr">
        <is>
          <t>Documentação Aprovada</t>
        </is>
      </c>
      <c r="P2195" t="inlineStr">
        <is>
          <t>Aprovado Diretoria</t>
        </is>
      </c>
      <c r="Q2195" t="inlineStr">
        <is>
          <t>Aprovado Caixa</t>
        </is>
      </c>
      <c r="R2195" t="inlineStr">
        <is>
          <t>Pago</t>
        </is>
      </c>
      <c r="S2195" t="n">
        <v>115</v>
      </c>
      <c r="T2195" t="inlineStr">
        <is>
          <t>Love - Shibari - Bradesco</t>
        </is>
      </c>
    </row>
    <row r="2196">
      <c r="A2196" t="n">
        <v>103020</v>
      </c>
      <c r="B2196" t="n">
        <v>128</v>
      </c>
      <c r="C2196" t="inlineStr">
        <is>
          <t>Love Cabaret</t>
        </is>
      </c>
      <c r="D2196" t="inlineStr">
        <is>
          <t>TELEFONICA BRASIL S/A</t>
        </is>
      </c>
      <c r="E2196" t="n">
        <v>93.7</v>
      </c>
      <c r="F2196" s="27" t="n">
        <v>45772</v>
      </c>
      <c r="G2196" s="27" t="n">
        <v>45775</v>
      </c>
      <c r="H2196" s="27" t="n">
        <v>45775</v>
      </c>
      <c r="I2196" s="27" t="n">
        <v>45751</v>
      </c>
      <c r="J2196" s="27" t="n"/>
      <c r="K2196" t="inlineStr">
        <is>
          <t>Boleto Bancário</t>
        </is>
      </c>
      <c r="L2196" t="inlineStr">
        <is>
          <t>Informática e TI</t>
        </is>
      </c>
      <c r="M2196" t="inlineStr">
        <is>
          <t>Telefone</t>
        </is>
      </c>
      <c r="N2196" t="inlineStr">
        <is>
          <t>434906426</t>
        </is>
      </c>
      <c r="O2196" t="inlineStr">
        <is>
          <t>Documentação Aprovada</t>
        </is>
      </c>
      <c r="P2196" t="inlineStr">
        <is>
          <t>Aprovado Diretoria</t>
        </is>
      </c>
      <c r="Q2196" t="inlineStr">
        <is>
          <t>Aprovado Caixa</t>
        </is>
      </c>
      <c r="R2196" t="inlineStr">
        <is>
          <t>Pago</t>
        </is>
      </c>
      <c r="S2196" t="n">
        <v>115</v>
      </c>
      <c r="T2196" t="inlineStr">
        <is>
          <t>Love - Shibari - Bradesco</t>
        </is>
      </c>
    </row>
    <row r="2197">
      <c r="A2197" t="n">
        <v>103032</v>
      </c>
      <c r="B2197" t="n">
        <v>128</v>
      </c>
      <c r="C2197" t="inlineStr">
        <is>
          <t>Love Cabaret</t>
        </is>
      </c>
      <c r="D2197" t="inlineStr">
        <is>
          <t>TELEFONICA BRASIL S/A</t>
        </is>
      </c>
      <c r="E2197" t="n">
        <v>327.09</v>
      </c>
      <c r="F2197" s="27" t="n">
        <v>45772</v>
      </c>
      <c r="G2197" s="27" t="n">
        <v>45775</v>
      </c>
      <c r="H2197" s="27" t="n">
        <v>45775</v>
      </c>
      <c r="I2197" s="27" t="n">
        <v>45764</v>
      </c>
      <c r="J2197" s="27" t="n"/>
      <c r="K2197" t="inlineStr">
        <is>
          <t>Boleto Bancário</t>
        </is>
      </c>
      <c r="L2197" t="inlineStr">
        <is>
          <t>Informática e TI</t>
        </is>
      </c>
      <c r="M2197" t="inlineStr">
        <is>
          <t>Internet</t>
        </is>
      </c>
      <c r="N2197" t="inlineStr">
        <is>
          <t>455530810</t>
        </is>
      </c>
      <c r="O2197" t="inlineStr">
        <is>
          <t>Documentação Aprovada</t>
        </is>
      </c>
      <c r="P2197" t="inlineStr">
        <is>
          <t>Aprovado Diretoria</t>
        </is>
      </c>
      <c r="Q2197" t="inlineStr">
        <is>
          <t>Aprovado Caixa</t>
        </is>
      </c>
      <c r="R2197" t="inlineStr">
        <is>
          <t>Pago</t>
        </is>
      </c>
      <c r="S2197" t="n">
        <v>115</v>
      </c>
      <c r="T2197" t="inlineStr">
        <is>
          <t>Love - Shibari - Bradesco</t>
        </is>
      </c>
    </row>
    <row r="2198">
      <c r="A2198" t="n">
        <v>102995</v>
      </c>
      <c r="B2198" t="n">
        <v>128</v>
      </c>
      <c r="C2198" t="inlineStr">
        <is>
          <t>Love Cabaret</t>
        </is>
      </c>
      <c r="D2198" t="inlineStr">
        <is>
          <t>TELEFONICA BRASIL S/A</t>
        </is>
      </c>
      <c r="E2198" t="n">
        <v>487.66</v>
      </c>
      <c r="F2198" s="27" t="n">
        <v>45774</v>
      </c>
      <c r="G2198" s="27" t="n">
        <v>45775</v>
      </c>
      <c r="H2198" s="27" t="n">
        <v>45775</v>
      </c>
      <c r="I2198" s="27" t="n">
        <v>45764</v>
      </c>
      <c r="J2198" s="27" t="n"/>
      <c r="K2198" t="inlineStr">
        <is>
          <t>Boleto Bancário</t>
        </is>
      </c>
      <c r="L2198" t="inlineStr">
        <is>
          <t>Informática e TI</t>
        </is>
      </c>
      <c r="M2198" t="inlineStr">
        <is>
          <t>Internet</t>
        </is>
      </c>
      <c r="N2198" t="inlineStr">
        <is>
          <t>443318083</t>
        </is>
      </c>
      <c r="O2198" t="inlineStr">
        <is>
          <t>Documentação Aprovada</t>
        </is>
      </c>
      <c r="P2198" t="inlineStr">
        <is>
          <t>Aprovado Diretoria</t>
        </is>
      </c>
      <c r="Q2198" t="inlineStr">
        <is>
          <t>Aprovado Caixa</t>
        </is>
      </c>
      <c r="R2198" t="inlineStr">
        <is>
          <t>Pago</t>
        </is>
      </c>
      <c r="S2198" t="n">
        <v>115</v>
      </c>
      <c r="T2198" t="inlineStr">
        <is>
          <t>Love - Shibari - Bradesco</t>
        </is>
      </c>
    </row>
    <row r="2199">
      <c r="A2199" t="n">
        <v>102806</v>
      </c>
      <c r="B2199" t="n">
        <v>128</v>
      </c>
      <c r="C2199" t="inlineStr">
        <is>
          <t>Love Cabaret</t>
        </is>
      </c>
      <c r="D2199" t="inlineStr">
        <is>
          <t>FREE SOM - LOCACAO DE SOM E  LUZ LTDA - TUKASON</t>
        </is>
      </c>
      <c r="E2199" t="n">
        <v>6000</v>
      </c>
      <c r="F2199" s="27" t="n">
        <v>45777</v>
      </c>
      <c r="G2199" s="27" t="n">
        <v>45775</v>
      </c>
      <c r="H2199" s="27" t="n">
        <v>45775</v>
      </c>
      <c r="I2199" s="27" t="n">
        <v>45750</v>
      </c>
      <c r="J2199" s="27" t="n"/>
      <c r="K2199" t="inlineStr">
        <is>
          <t>Boleto Bancário</t>
        </is>
      </c>
      <c r="L2199" t="inlineStr">
        <is>
          <t>Custos Artístico Geral</t>
        </is>
      </c>
      <c r="M2199" t="inlineStr">
        <is>
          <t>Locação de Equipamentos Fixo</t>
        </is>
      </c>
      <c r="N2199" t="inlineStr">
        <is>
          <t>494</t>
        </is>
      </c>
      <c r="O2199" t="inlineStr">
        <is>
          <t>Documentação Aprovada</t>
        </is>
      </c>
      <c r="P2199" t="inlineStr">
        <is>
          <t>Aprovado Diretoria</t>
        </is>
      </c>
      <c r="Q2199" t="inlineStr">
        <is>
          <t>Aprovado Caixa</t>
        </is>
      </c>
      <c r="R2199" t="inlineStr">
        <is>
          <t>Pago</t>
        </is>
      </c>
      <c r="S2199" t="n">
        <v>115</v>
      </c>
      <c r="T2199" t="inlineStr">
        <is>
          <t>Love - Shibari - Bradesco</t>
        </is>
      </c>
    </row>
    <row r="2200">
      <c r="A2200" t="n">
        <v>103008</v>
      </c>
      <c r="B2200" t="n">
        <v>128</v>
      </c>
      <c r="C2200" t="inlineStr">
        <is>
          <t>Love Cabaret</t>
        </is>
      </c>
      <c r="D2200" t="inlineStr">
        <is>
          <t>TELEFONICA BRASIL S/A</t>
        </is>
      </c>
      <c r="E2200" t="n">
        <v>21.71</v>
      </c>
      <c r="F2200" s="27" t="n">
        <v>45774</v>
      </c>
      <c r="G2200" s="27" t="n">
        <v>45775</v>
      </c>
      <c r="H2200" s="27" t="n">
        <v>45775</v>
      </c>
      <c r="I2200" s="27" t="n">
        <v>45733</v>
      </c>
      <c r="J2200" s="27" t="n"/>
      <c r="K2200" t="inlineStr">
        <is>
          <t>Boleto Bancário</t>
        </is>
      </c>
      <c r="L2200" t="inlineStr">
        <is>
          <t>Informática e TI</t>
        </is>
      </c>
      <c r="M2200" t="inlineStr">
        <is>
          <t>Internet</t>
        </is>
      </c>
      <c r="N2200" t="inlineStr">
        <is>
          <t>443836731</t>
        </is>
      </c>
      <c r="O2200" t="inlineStr">
        <is>
          <t>Documentação Aprovada</t>
        </is>
      </c>
      <c r="P2200" t="inlineStr">
        <is>
          <t>Aprovado Diretoria</t>
        </is>
      </c>
      <c r="Q2200" t="inlineStr">
        <is>
          <t>Aprovado Caixa</t>
        </is>
      </c>
      <c r="R2200" t="inlineStr">
        <is>
          <t>Pago</t>
        </is>
      </c>
      <c r="S2200" t="n">
        <v>115</v>
      </c>
      <c r="T2200" t="inlineStr">
        <is>
          <t>Love - Shibari - Bradesco</t>
        </is>
      </c>
    </row>
    <row r="2201">
      <c r="A2201" t="n">
        <v>97542</v>
      </c>
      <c r="B2201" t="n">
        <v>128</v>
      </c>
      <c r="C2201" t="inlineStr">
        <is>
          <t>Love Cabaret</t>
        </is>
      </c>
      <c r="D2201" t="inlineStr">
        <is>
          <t>PIS</t>
        </is>
      </c>
      <c r="E2201" t="n">
        <v>1659.64</v>
      </c>
      <c r="F2201" s="27" t="n">
        <v>45772</v>
      </c>
      <c r="G2201" s="27" t="n">
        <v>45772</v>
      </c>
      <c r="H2201" s="27" t="n">
        <v>45772</v>
      </c>
      <c r="I2201" s="27" t="n">
        <v>45747</v>
      </c>
      <c r="J2201" s="27" t="n"/>
      <c r="K2201" t="inlineStr">
        <is>
          <t>Boleto Bancário</t>
        </is>
      </c>
      <c r="L2201" t="inlineStr">
        <is>
          <t>Impostos sobre Venda</t>
        </is>
      </c>
      <c r="M2201" t="inlineStr">
        <is>
          <t>PIS S/ SERVICO</t>
        </is>
      </c>
      <c r="N2201" t="inlineStr">
        <is>
          <t>165964 032025</t>
        </is>
      </c>
      <c r="O2201" t="inlineStr">
        <is>
          <t>Documentação Aprovada</t>
        </is>
      </c>
      <c r="P2201" t="inlineStr">
        <is>
          <t>Aprovado Diretoria</t>
        </is>
      </c>
      <c r="Q2201" t="inlineStr">
        <is>
          <t>Aprovado Caixa</t>
        </is>
      </c>
      <c r="R2201" t="inlineStr">
        <is>
          <t>Pago</t>
        </is>
      </c>
      <c r="S2201" t="n">
        <v>115</v>
      </c>
      <c r="T2201" t="inlineStr">
        <is>
          <t>Love - Shibari - Bradesco</t>
        </is>
      </c>
    </row>
    <row r="2202">
      <c r="A2202" t="n">
        <v>96910</v>
      </c>
      <c r="B2202" t="n">
        <v>128</v>
      </c>
      <c r="C2202" t="inlineStr">
        <is>
          <t>Love Cabaret</t>
        </is>
      </c>
      <c r="D2202" t="inlineStr">
        <is>
          <t>COFINS</t>
        </is>
      </c>
      <c r="E2202" t="n">
        <v>7659.86</v>
      </c>
      <c r="F2202" s="27" t="n">
        <v>45772</v>
      </c>
      <c r="G2202" s="27" t="n">
        <v>45772</v>
      </c>
      <c r="H2202" s="27" t="n">
        <v>45772</v>
      </c>
      <c r="I2202" s="27" t="n">
        <v>45746</v>
      </c>
      <c r="J2202" s="27" t="n"/>
      <c r="K2202" t="inlineStr">
        <is>
          <t>Boleto Bancário</t>
        </is>
      </c>
      <c r="L2202" t="inlineStr">
        <is>
          <t>Impostos sobre Venda</t>
        </is>
      </c>
      <c r="M2202" t="inlineStr">
        <is>
          <t>PIS / COFINS</t>
        </is>
      </c>
      <c r="N2202" t="inlineStr">
        <is>
          <t>765986 032025</t>
        </is>
      </c>
      <c r="O2202" t="inlineStr">
        <is>
          <t>Documentação Aprovada</t>
        </is>
      </c>
      <c r="P2202" t="inlineStr">
        <is>
          <t>Aprovado Diretoria</t>
        </is>
      </c>
      <c r="Q2202" t="inlineStr">
        <is>
          <t>Aprovado Caixa</t>
        </is>
      </c>
      <c r="R2202" t="inlineStr">
        <is>
          <t>Pago</t>
        </is>
      </c>
      <c r="S2202" t="n">
        <v>115</v>
      </c>
      <c r="T2202" t="inlineStr">
        <is>
          <t>Love - Shibari - Bradesco</t>
        </is>
      </c>
    </row>
    <row r="2203">
      <c r="A2203" t="n">
        <v>132198</v>
      </c>
      <c r="B2203" t="n">
        <v>128</v>
      </c>
      <c r="C2203" t="inlineStr">
        <is>
          <t>Love Cabaret</t>
        </is>
      </c>
      <c r="D2203" t="inlineStr">
        <is>
          <t>BRADESCO SA</t>
        </is>
      </c>
      <c r="E2203" t="n">
        <v>28.65</v>
      </c>
      <c r="F2203" s="27" t="n">
        <v>45772</v>
      </c>
      <c r="G2203" s="27" t="n"/>
      <c r="H2203" s="27" t="n">
        <v>45772</v>
      </c>
      <c r="I2203" s="27" t="n">
        <v>45772</v>
      </c>
      <c r="J2203" s="27" t="n">
        <v>45791</v>
      </c>
      <c r="K2203" t="inlineStr">
        <is>
          <t>Encontro de Contas</t>
        </is>
      </c>
      <c r="L2203" t="inlineStr">
        <is>
          <t>Despesas Financeiras</t>
        </is>
      </c>
      <c r="M2203" t="inlineStr">
        <is>
          <t>Tarifas Bancárias</t>
        </is>
      </c>
      <c r="N2203" t="inlineStr">
        <is>
          <t>042025</t>
        </is>
      </c>
      <c r="P2203" t="inlineStr">
        <is>
          <t>Aprovado Diretoria</t>
        </is>
      </c>
      <c r="R2203" t="inlineStr">
        <is>
          <t>Pago</t>
        </is>
      </c>
    </row>
    <row r="2204">
      <c r="A2204" t="n">
        <v>130898</v>
      </c>
      <c r="B2204" t="n">
        <v>128</v>
      </c>
      <c r="C2204" t="inlineStr">
        <is>
          <t>Love Cabaret</t>
        </is>
      </c>
      <c r="D2204" t="inlineStr">
        <is>
          <t>SAFE BRAND COMERCIAL- IMPORTACAO- EXPORTACAO E SERVICOS LTDA</t>
        </is>
      </c>
      <c r="E2204" t="n">
        <v>0</v>
      </c>
      <c r="F2204" s="27" t="n">
        <v>45772</v>
      </c>
      <c r="G2204" s="27" t="n">
        <v>45791</v>
      </c>
      <c r="H2204" s="27" t="n">
        <v>45772</v>
      </c>
      <c r="I2204" s="27" t="n">
        <v>45772</v>
      </c>
      <c r="J2204" s="27" t="n">
        <v>45785</v>
      </c>
      <c r="K2204" t="inlineStr">
        <is>
          <t xml:space="preserve">Nota Bonificada </t>
        </is>
      </c>
      <c r="L2204" t="inlineStr">
        <is>
          <t>Utilidades</t>
        </is>
      </c>
      <c r="M2204" t="inlineStr">
        <is>
          <t>Higiene e Limpeza</t>
        </is>
      </c>
      <c r="N2204" t="inlineStr">
        <is>
          <t>3498</t>
        </is>
      </c>
      <c r="O2204" t="inlineStr">
        <is>
          <t>Documentação Aprovada</t>
        </is>
      </c>
      <c r="P2204" t="inlineStr">
        <is>
          <t>Aprovado Diretoria</t>
        </is>
      </c>
      <c r="Q2204" t="inlineStr">
        <is>
          <t>Aprovado Caixa</t>
        </is>
      </c>
      <c r="R2204" t="inlineStr">
        <is>
          <t>Pago</t>
        </is>
      </c>
      <c r="S2204" t="n">
        <v>115</v>
      </c>
      <c r="T2204" t="inlineStr">
        <is>
          <t>Love - Shibari - Bradesco</t>
        </is>
      </c>
    </row>
    <row r="2205">
      <c r="A2205" t="n">
        <v>127505</v>
      </c>
      <c r="B2205" t="n">
        <v>128</v>
      </c>
      <c r="C2205" t="inlineStr">
        <is>
          <t>Love Cabaret</t>
        </is>
      </c>
      <c r="D2205" t="inlineStr">
        <is>
          <t>BRADESCO SA</t>
        </is>
      </c>
      <c r="E2205" t="n">
        <v>10.65</v>
      </c>
      <c r="F2205" s="27" t="n">
        <v>45771</v>
      </c>
      <c r="G2205" s="27" t="n"/>
      <c r="H2205" s="27" t="n">
        <v>45771</v>
      </c>
      <c r="I2205" s="27" t="n">
        <v>45771</v>
      </c>
      <c r="J2205" s="27" t="n">
        <v>45772</v>
      </c>
      <c r="K2205" t="inlineStr">
        <is>
          <t>Encontro de Contas</t>
        </is>
      </c>
      <c r="L2205" t="inlineStr">
        <is>
          <t>Despesas Financeiras</t>
        </is>
      </c>
      <c r="M2205" t="inlineStr">
        <is>
          <t>Tarifas Bancárias</t>
        </is>
      </c>
      <c r="N2205" t="inlineStr">
        <is>
          <t>106542025</t>
        </is>
      </c>
      <c r="P2205" t="inlineStr">
        <is>
          <t>Aprovado Diretoria</t>
        </is>
      </c>
      <c r="R2205" t="inlineStr">
        <is>
          <t>Pago</t>
        </is>
      </c>
    </row>
    <row r="2206">
      <c r="A2206" t="n">
        <v>124428</v>
      </c>
      <c r="B2206" t="n">
        <v>128</v>
      </c>
      <c r="C2206" t="inlineStr">
        <is>
          <t>Love Cabaret</t>
        </is>
      </c>
      <c r="D2206" t="inlineStr">
        <is>
          <t>LUIZ ROBERTO DA SILVA JUNIOR</t>
        </is>
      </c>
      <c r="E2206" t="n">
        <v>800</v>
      </c>
      <c r="F2206" s="27" t="n">
        <v>45771</v>
      </c>
      <c r="G2206" s="27" t="n">
        <v>45770</v>
      </c>
      <c r="H2206" s="27" t="n">
        <v>45770</v>
      </c>
      <c r="I2206" s="27" t="n">
        <v>45756</v>
      </c>
      <c r="J2206" s="27" t="n">
        <v>45756</v>
      </c>
      <c r="K2206" t="inlineStr">
        <is>
          <t>Transferência Bancária ou Pix</t>
        </is>
      </c>
      <c r="L2206" t="inlineStr">
        <is>
          <t>Custos de Eventos</t>
        </is>
      </c>
      <c r="M2206" t="inlineStr">
        <is>
          <t>Locação de Equipamentos - Eventos</t>
        </is>
      </c>
      <c r="N2206" t="inlineStr">
        <is>
          <t>352025</t>
        </is>
      </c>
      <c r="O2206" t="inlineStr">
        <is>
          <t>Documentação Aprovada</t>
        </is>
      </c>
      <c r="P2206" t="inlineStr">
        <is>
          <t>Aprovado Diretoria</t>
        </is>
      </c>
      <c r="Q2206" t="inlineStr">
        <is>
          <t>Aprovado Caixa</t>
        </is>
      </c>
      <c r="R2206" t="inlineStr">
        <is>
          <t>Pago</t>
        </is>
      </c>
      <c r="S2206" t="n">
        <v>115</v>
      </c>
      <c r="T2206" t="inlineStr">
        <is>
          <t>Love - Shibari - Bradesco</t>
        </is>
      </c>
    </row>
    <row r="2207">
      <c r="A2207" t="n">
        <v>124426</v>
      </c>
      <c r="B2207" t="n">
        <v>128</v>
      </c>
      <c r="C2207" t="inlineStr">
        <is>
          <t>Love Cabaret</t>
        </is>
      </c>
      <c r="D2207" t="inlineStr">
        <is>
          <t>DJ RENAN MARTELOZZO</t>
        </is>
      </c>
      <c r="E2207" t="n">
        <v>1300</v>
      </c>
      <c r="F2207" s="27" t="n">
        <v>45771</v>
      </c>
      <c r="G2207" s="27" t="n">
        <v>45770</v>
      </c>
      <c r="H2207" s="27" t="n">
        <v>45770</v>
      </c>
      <c r="I2207" s="27" t="n">
        <v>45756</v>
      </c>
      <c r="J2207" s="27" t="n">
        <v>45756</v>
      </c>
      <c r="K2207" t="inlineStr">
        <is>
          <t>Transferência Bancária ou Pix</t>
        </is>
      </c>
      <c r="L2207" t="inlineStr">
        <is>
          <t>Custos Artístico Geral</t>
        </is>
      </c>
      <c r="M2207" t="inlineStr">
        <is>
          <t>Cachê de Músicos e Artistas</t>
        </is>
      </c>
      <c r="N2207" t="inlineStr">
        <is>
          <t>20</t>
        </is>
      </c>
      <c r="O2207" t="inlineStr">
        <is>
          <t>Documentação Aprovada</t>
        </is>
      </c>
      <c r="P2207" t="inlineStr">
        <is>
          <t>Aprovado Diretoria</t>
        </is>
      </c>
      <c r="Q2207" t="inlineStr">
        <is>
          <t>Aprovado Caixa</t>
        </is>
      </c>
      <c r="R2207" t="inlineStr">
        <is>
          <t>Pago</t>
        </is>
      </c>
      <c r="S2207" t="n">
        <v>115</v>
      </c>
      <c r="T2207" t="inlineStr">
        <is>
          <t>Love - Shibari - Bradesco</t>
        </is>
      </c>
    </row>
    <row r="2208">
      <c r="A2208" t="n">
        <v>124185</v>
      </c>
      <c r="B2208" t="n">
        <v>128</v>
      </c>
      <c r="C2208" t="inlineStr">
        <is>
          <t>Love Cabaret</t>
        </is>
      </c>
      <c r="D2208" t="inlineStr">
        <is>
          <t>BRH SAUDE OCUPACIONAL LTDA</t>
        </is>
      </c>
      <c r="E2208" t="n">
        <v>28.92</v>
      </c>
      <c r="F2208" s="27" t="n">
        <v>45772</v>
      </c>
      <c r="G2208" s="27" t="n">
        <v>45770</v>
      </c>
      <c r="H2208" s="27" t="n">
        <v>45770</v>
      </c>
      <c r="I2208" s="27" t="n">
        <v>45717</v>
      </c>
      <c r="J2208" s="27" t="n">
        <v>45755</v>
      </c>
      <c r="K2208" t="inlineStr">
        <is>
          <t>Boleto Bancário</t>
        </is>
      </c>
      <c r="L2208" t="inlineStr">
        <is>
          <t>Mão de Obra - Benefícios</t>
        </is>
      </c>
      <c r="M2208" t="inlineStr">
        <is>
          <t xml:space="preserve">  -  Exames Periódicos</t>
        </is>
      </c>
      <c r="N2208" t="inlineStr">
        <is>
          <t>77157</t>
        </is>
      </c>
      <c r="O2208" t="inlineStr">
        <is>
          <t>Documentação Aprovada</t>
        </is>
      </c>
      <c r="P2208" t="inlineStr">
        <is>
          <t>Aprovado Diretoria</t>
        </is>
      </c>
      <c r="Q2208" t="inlineStr">
        <is>
          <t>Aprovado Caixa</t>
        </is>
      </c>
      <c r="R2208" t="inlineStr">
        <is>
          <t>Pago</t>
        </is>
      </c>
      <c r="S2208" t="n">
        <v>115</v>
      </c>
      <c r="T2208" t="inlineStr">
        <is>
          <t>Love - Shibari - Bradesco</t>
        </is>
      </c>
    </row>
    <row r="2209">
      <c r="A2209" t="n">
        <v>125016</v>
      </c>
      <c r="B2209" t="n">
        <v>128</v>
      </c>
      <c r="C2209" t="inlineStr">
        <is>
          <t>Love Cabaret</t>
        </is>
      </c>
      <c r="D2209" t="inlineStr">
        <is>
          <t>CEPEL COMERCIO DE PAPEIS E EMBALAGENS EIRELI</t>
        </is>
      </c>
      <c r="E2209" t="n">
        <v>644.26</v>
      </c>
      <c r="F2209" s="27" t="n">
        <v>45768</v>
      </c>
      <c r="G2209" s="27" t="n">
        <v>45770</v>
      </c>
      <c r="H2209" s="27" t="n">
        <v>45770</v>
      </c>
      <c r="I2209" s="27" t="n">
        <v>45756</v>
      </c>
      <c r="J2209" s="27" t="n">
        <v>45758</v>
      </c>
      <c r="K2209" t="inlineStr">
        <is>
          <t>Boleto Bancário</t>
        </is>
      </c>
      <c r="L2209" t="inlineStr">
        <is>
          <t>Utilidades</t>
        </is>
      </c>
      <c r="M2209" t="inlineStr">
        <is>
          <t>Higiene e Limpeza</t>
        </is>
      </c>
      <c r="N2209" t="inlineStr">
        <is>
          <t>238311</t>
        </is>
      </c>
      <c r="O2209" t="inlineStr">
        <is>
          <t>Documentação Aprovada</t>
        </is>
      </c>
      <c r="P2209" t="inlineStr">
        <is>
          <t>Aprovado Diretoria</t>
        </is>
      </c>
      <c r="Q2209" t="inlineStr">
        <is>
          <t>Aprovado Caixa</t>
        </is>
      </c>
      <c r="R2209" t="inlineStr">
        <is>
          <t>Pago</t>
        </is>
      </c>
      <c r="S2209" t="n">
        <v>115</v>
      </c>
      <c r="T2209" t="inlineStr">
        <is>
          <t>Love - Shibari - Bradesco</t>
        </is>
      </c>
    </row>
    <row r="2210">
      <c r="A2210" t="n">
        <v>125017</v>
      </c>
      <c r="B2210" t="n">
        <v>128</v>
      </c>
      <c r="C2210" t="inlineStr">
        <is>
          <t>Love Cabaret</t>
        </is>
      </c>
      <c r="D2210" t="inlineStr">
        <is>
          <t>PSSS LTDA</t>
        </is>
      </c>
      <c r="E2210" t="n">
        <v>680</v>
      </c>
      <c r="F2210" s="27" t="n">
        <v>45771</v>
      </c>
      <c r="G2210" s="27" t="n">
        <v>45770</v>
      </c>
      <c r="H2210" s="27" t="n">
        <v>45770</v>
      </c>
      <c r="I2210" s="27" t="n">
        <v>45757</v>
      </c>
      <c r="J2210" s="27" t="n">
        <v>45758</v>
      </c>
      <c r="K2210" t="inlineStr">
        <is>
          <t>Boleto Bancário</t>
        </is>
      </c>
      <c r="L2210" t="inlineStr">
        <is>
          <t>Utilidades</t>
        </is>
      </c>
      <c r="M2210" t="inlineStr">
        <is>
          <t>Utensilios</t>
        </is>
      </c>
      <c r="N2210" t="inlineStr">
        <is>
          <t>1407</t>
        </is>
      </c>
      <c r="O2210" t="inlineStr">
        <is>
          <t>Documentação Aprovada</t>
        </is>
      </c>
      <c r="P2210" t="inlineStr">
        <is>
          <t>Aprovado Diretoria</t>
        </is>
      </c>
      <c r="Q2210" t="inlineStr">
        <is>
          <t>Aprovado Caixa</t>
        </is>
      </c>
      <c r="R2210" t="inlineStr">
        <is>
          <t>Pago</t>
        </is>
      </c>
      <c r="S2210" t="n">
        <v>115</v>
      </c>
      <c r="T2210" t="inlineStr">
        <is>
          <t>Love - Shibari - Bradesco</t>
        </is>
      </c>
    </row>
    <row r="2211">
      <c r="A2211" t="n">
        <v>124950</v>
      </c>
      <c r="B2211" t="n">
        <v>128</v>
      </c>
      <c r="C2211" t="inlineStr">
        <is>
          <t>Love Cabaret</t>
        </is>
      </c>
      <c r="D2211" t="inlineStr">
        <is>
          <t>ASSAZ ORGANICA INDUSTRIA E COMERCIO DE ALIMENTOS LTDA</t>
        </is>
      </c>
      <c r="E2211" t="n">
        <v>88.25</v>
      </c>
      <c r="F2211" s="27" t="n">
        <v>45771</v>
      </c>
      <c r="G2211" s="27" t="n">
        <v>45770</v>
      </c>
      <c r="H2211" s="27" t="n">
        <v>45770</v>
      </c>
      <c r="I2211" s="27" t="n">
        <v>45756</v>
      </c>
      <c r="J2211" s="27" t="n">
        <v>45758</v>
      </c>
      <c r="K2211" t="inlineStr">
        <is>
          <t>Boleto Bancário</t>
        </is>
      </c>
      <c r="L2211" t="inlineStr">
        <is>
          <t>Custo Mercadoria Vendida</t>
        </is>
      </c>
      <c r="M2211" t="inlineStr">
        <is>
          <t>Insumos - Alimentos</t>
        </is>
      </c>
      <c r="N2211" t="inlineStr">
        <is>
          <t>19802</t>
        </is>
      </c>
      <c r="O2211" t="inlineStr">
        <is>
          <t>Documentação Aprovada</t>
        </is>
      </c>
      <c r="P2211" t="inlineStr">
        <is>
          <t>Aprovado Diretoria</t>
        </is>
      </c>
      <c r="Q2211" t="inlineStr">
        <is>
          <t>Aprovado Caixa</t>
        </is>
      </c>
      <c r="R2211" t="inlineStr">
        <is>
          <t>Pago</t>
        </is>
      </c>
      <c r="S2211" t="n">
        <v>115</v>
      </c>
      <c r="T2211" t="inlineStr">
        <is>
          <t>Love - Shibari - Bradesco</t>
        </is>
      </c>
    </row>
    <row r="2212">
      <c r="A2212" t="n">
        <v>125007</v>
      </c>
      <c r="B2212" t="n">
        <v>128</v>
      </c>
      <c r="C2212" t="inlineStr">
        <is>
          <t>Love Cabaret</t>
        </is>
      </c>
      <c r="D2212" t="inlineStr">
        <is>
          <t>HORTIFRUTIGRANJEIRO RODRIGUES LTDA</t>
        </is>
      </c>
      <c r="E2212" t="n">
        <v>163.7</v>
      </c>
      <c r="F2212" s="27" t="n">
        <v>45771</v>
      </c>
      <c r="G2212" s="27" t="n">
        <v>45770</v>
      </c>
      <c r="H2212" s="27" t="n">
        <v>45770</v>
      </c>
      <c r="I2212" s="27" t="n">
        <v>45756</v>
      </c>
      <c r="J2212" s="27" t="n">
        <v>45758</v>
      </c>
      <c r="K2212" t="inlineStr">
        <is>
          <t>Boleto Bancário</t>
        </is>
      </c>
      <c r="L2212" t="inlineStr">
        <is>
          <t>Custo Mercadoria Vendida</t>
        </is>
      </c>
      <c r="M2212" t="inlineStr">
        <is>
          <t>Insumos - Alimentos</t>
        </is>
      </c>
      <c r="N2212" t="inlineStr">
        <is>
          <t>9653</t>
        </is>
      </c>
      <c r="O2212" t="inlineStr">
        <is>
          <t>Documentação Aprovada</t>
        </is>
      </c>
      <c r="P2212" t="inlineStr">
        <is>
          <t>Aprovado Diretoria</t>
        </is>
      </c>
      <c r="Q2212" t="inlineStr">
        <is>
          <t>Aprovado Caixa</t>
        </is>
      </c>
      <c r="R2212" t="inlineStr">
        <is>
          <t>Pago</t>
        </is>
      </c>
      <c r="S2212" t="n">
        <v>115</v>
      </c>
      <c r="T2212" t="inlineStr">
        <is>
          <t>Love - Shibari - Bradesco</t>
        </is>
      </c>
    </row>
    <row r="2213">
      <c r="A2213" t="n">
        <v>125965</v>
      </c>
      <c r="B2213" t="n">
        <v>128</v>
      </c>
      <c r="C2213" t="inlineStr">
        <is>
          <t>Love Cabaret</t>
        </is>
      </c>
      <c r="D2213" t="inlineStr">
        <is>
          <t xml:space="preserve">ARENA VIP DISTRIBUIDORA DE BEBIDAS LTDA </t>
        </is>
      </c>
      <c r="E2213" t="n">
        <v>1824</v>
      </c>
      <c r="F2213" s="27" t="n">
        <v>45772</v>
      </c>
      <c r="G2213" s="27" t="n">
        <v>45770</v>
      </c>
      <c r="H2213" s="27" t="n">
        <v>45770</v>
      </c>
      <c r="I2213" s="27" t="n">
        <v>45758</v>
      </c>
      <c r="J2213" s="27" t="n">
        <v>45763</v>
      </c>
      <c r="K2213" t="inlineStr">
        <is>
          <t>Boleto Bancário</t>
        </is>
      </c>
      <c r="L2213" t="inlineStr">
        <is>
          <t>Custo Mercadoria Vendida</t>
        </is>
      </c>
      <c r="M2213" t="inlineStr">
        <is>
          <t>Insumos - Bebidas</t>
        </is>
      </c>
      <c r="N2213" t="inlineStr">
        <is>
          <t>2051</t>
        </is>
      </c>
      <c r="O2213" t="inlineStr">
        <is>
          <t>Documentação Aprovada</t>
        </is>
      </c>
      <c r="P2213" t="inlineStr">
        <is>
          <t>Aprovado Diretoria</t>
        </is>
      </c>
      <c r="Q2213" t="inlineStr">
        <is>
          <t>Aprovado Caixa</t>
        </is>
      </c>
      <c r="R2213" t="inlineStr">
        <is>
          <t>Pago</t>
        </is>
      </c>
      <c r="S2213" t="n">
        <v>115</v>
      </c>
      <c r="T2213" t="inlineStr">
        <is>
          <t>Love - Shibari - Bradesco</t>
        </is>
      </c>
    </row>
    <row r="2214">
      <c r="A2214" t="n">
        <v>125958</v>
      </c>
      <c r="B2214" t="n">
        <v>128</v>
      </c>
      <c r="C2214" t="inlineStr">
        <is>
          <t>Love Cabaret</t>
        </is>
      </c>
      <c r="D2214" t="inlineStr">
        <is>
          <t>ICE4PROS FABRICA DE GELO LTDA</t>
        </is>
      </c>
      <c r="E2214" t="n">
        <v>589</v>
      </c>
      <c r="F2214" s="27" t="n">
        <v>45771</v>
      </c>
      <c r="G2214" s="27" t="n">
        <v>45770</v>
      </c>
      <c r="H2214" s="27" t="n">
        <v>45770</v>
      </c>
      <c r="I2214" s="27" t="n">
        <v>45761</v>
      </c>
      <c r="J2214" s="27" t="n">
        <v>45763</v>
      </c>
      <c r="K2214" t="inlineStr">
        <is>
          <t>Boleto Bancário</t>
        </is>
      </c>
      <c r="L2214" t="inlineStr">
        <is>
          <t>Custo Mercadoria Vendida</t>
        </is>
      </c>
      <c r="M2214" t="inlineStr">
        <is>
          <t>Insumos - Bebidas</t>
        </is>
      </c>
      <c r="N2214" t="inlineStr">
        <is>
          <t>77694</t>
        </is>
      </c>
      <c r="O2214" t="inlineStr">
        <is>
          <t>Documentação Aprovada</t>
        </is>
      </c>
      <c r="P2214" t="inlineStr">
        <is>
          <t>Aprovado Diretoria</t>
        </is>
      </c>
      <c r="Q2214" t="inlineStr">
        <is>
          <t>Aprovado Caixa</t>
        </is>
      </c>
      <c r="R2214" t="inlineStr">
        <is>
          <t>Pago</t>
        </is>
      </c>
      <c r="S2214" t="n">
        <v>115</v>
      </c>
      <c r="T2214" t="inlineStr">
        <is>
          <t>Love - Shibari - Bradesco</t>
        </is>
      </c>
    </row>
    <row r="2215">
      <c r="A2215" t="n">
        <v>96897</v>
      </c>
      <c r="B2215" t="n">
        <v>128</v>
      </c>
      <c r="C2215" t="inlineStr">
        <is>
          <t>Love Cabaret</t>
        </is>
      </c>
      <c r="D2215" t="inlineStr">
        <is>
          <t>COMPANHIA DE GAS DE SAO PAULO</t>
        </is>
      </c>
      <c r="E2215" t="n">
        <v>1530.38</v>
      </c>
      <c r="F2215" s="27" t="n">
        <v>45775</v>
      </c>
      <c r="G2215" s="27" t="n">
        <v>45770</v>
      </c>
      <c r="H2215" s="27" t="n">
        <v>45770</v>
      </c>
      <c r="I2215" s="27" t="n">
        <v>45757</v>
      </c>
      <c r="J2215" s="27" t="n"/>
      <c r="K2215" t="inlineStr">
        <is>
          <t>Boleto Bancário</t>
        </is>
      </c>
      <c r="L2215" t="inlineStr">
        <is>
          <t>Utilidades</t>
        </is>
      </c>
      <c r="M2215" t="inlineStr">
        <is>
          <t>Gas de Cozinha</t>
        </is>
      </c>
      <c r="N2215" t="inlineStr">
        <is>
          <t>122934243</t>
        </is>
      </c>
      <c r="O2215" t="inlineStr">
        <is>
          <t>Documentação Aprovada</t>
        </is>
      </c>
      <c r="P2215" t="inlineStr">
        <is>
          <t>Aprovado Diretoria</t>
        </is>
      </c>
      <c r="Q2215" t="inlineStr">
        <is>
          <t>Aprovado Caixa</t>
        </is>
      </c>
      <c r="R2215" t="inlineStr">
        <is>
          <t>Pago</t>
        </is>
      </c>
      <c r="S2215" t="n">
        <v>115</v>
      </c>
      <c r="T2215" t="inlineStr">
        <is>
          <t>Love - Shibari - Bradesco</t>
        </is>
      </c>
    </row>
    <row r="2216">
      <c r="A2216" t="n">
        <v>97097</v>
      </c>
      <c r="B2216" t="n">
        <v>128</v>
      </c>
      <c r="C2216" t="inlineStr">
        <is>
          <t>Love Cabaret</t>
        </is>
      </c>
      <c r="D2216" t="inlineStr">
        <is>
          <t>ESTAFF SOLUCOES TECNOLOGICAS DE AGENCIAMENTO LTDA</t>
        </is>
      </c>
      <c r="E2216" t="n">
        <v>12903</v>
      </c>
      <c r="F2216" s="27" t="n">
        <v>45770</v>
      </c>
      <c r="G2216" s="27" t="n">
        <v>45770</v>
      </c>
      <c r="H2216" s="27" t="n">
        <v>45770</v>
      </c>
      <c r="I2216" s="27" t="n">
        <v>45761</v>
      </c>
      <c r="J2216" s="27" t="n"/>
      <c r="K2216" t="inlineStr">
        <is>
          <t>Boleto Bancário</t>
        </is>
      </c>
      <c r="L2216" t="inlineStr">
        <is>
          <t>Mão de Obra - Extra</t>
        </is>
      </c>
      <c r="M2216" t="inlineStr">
        <is>
          <t>Mão de Obra Extra</t>
        </is>
      </c>
      <c r="N2216" t="inlineStr">
        <is>
          <t>552710651</t>
        </is>
      </c>
      <c r="O2216" t="inlineStr">
        <is>
          <t>Documentação Aprovada</t>
        </is>
      </c>
      <c r="P2216" t="inlineStr">
        <is>
          <t>Aprovado Diretoria</t>
        </is>
      </c>
      <c r="Q2216" t="inlineStr">
        <is>
          <t>Aprovado Caixa</t>
        </is>
      </c>
      <c r="R2216" t="inlineStr">
        <is>
          <t>Pago</t>
        </is>
      </c>
      <c r="S2216" t="n">
        <v>115</v>
      </c>
      <c r="T2216" t="inlineStr">
        <is>
          <t>Love - Shibari - Bradesco</t>
        </is>
      </c>
    </row>
    <row r="2217">
      <c r="A2217" t="n">
        <v>102839</v>
      </c>
      <c r="B2217" t="n">
        <v>128</v>
      </c>
      <c r="C2217" t="inlineStr">
        <is>
          <t>Love Cabaret</t>
        </is>
      </c>
      <c r="D2217" t="inlineStr">
        <is>
          <t>INVYE CAPITAL LTDA</t>
        </is>
      </c>
      <c r="E2217" t="n">
        <v>1200</v>
      </c>
      <c r="F2217" s="27" t="n">
        <v>45772</v>
      </c>
      <c r="G2217" s="27" t="n">
        <v>45770</v>
      </c>
      <c r="H2217" s="27" t="n">
        <v>45770</v>
      </c>
      <c r="I2217" s="27" t="n">
        <v>45756</v>
      </c>
      <c r="J2217" s="27" t="n"/>
      <c r="K2217" t="inlineStr">
        <is>
          <t>Boleto Bancário</t>
        </is>
      </c>
      <c r="L2217" t="inlineStr">
        <is>
          <t>Serviços de Terceiros</t>
        </is>
      </c>
      <c r="M2217" t="inlineStr">
        <is>
          <t>Assessoria em Geral</t>
        </is>
      </c>
      <c r="N2217" t="inlineStr">
        <is>
          <t>2431</t>
        </is>
      </c>
      <c r="O2217" t="inlineStr">
        <is>
          <t>Documentação Aprovada</t>
        </is>
      </c>
      <c r="P2217" t="inlineStr">
        <is>
          <t>Aprovado Diretoria</t>
        </is>
      </c>
      <c r="Q2217" t="inlineStr">
        <is>
          <t>Aprovado Caixa</t>
        </is>
      </c>
      <c r="R2217" t="inlineStr">
        <is>
          <t>Pago</t>
        </is>
      </c>
      <c r="S2217" t="n">
        <v>115</v>
      </c>
      <c r="T2217" t="inlineStr">
        <is>
          <t>Love - Shibari - Bradesco</t>
        </is>
      </c>
    </row>
    <row r="2218">
      <c r="A2218" t="n">
        <v>102793</v>
      </c>
      <c r="B2218" t="n">
        <v>128</v>
      </c>
      <c r="C2218" t="inlineStr">
        <is>
          <t>Love Cabaret</t>
        </is>
      </c>
      <c r="D2218" t="inlineStr">
        <is>
          <t>FABRICA DE BARES PARTICIPACOES LTDA</t>
        </is>
      </c>
      <c r="E2218" t="n">
        <v>100</v>
      </c>
      <c r="F2218" s="27" t="n">
        <v>45767</v>
      </c>
      <c r="G2218" s="27" t="n">
        <v>45770</v>
      </c>
      <c r="H2218" s="27" t="n">
        <v>45770</v>
      </c>
      <c r="I2218" s="27" t="n">
        <v>45717</v>
      </c>
      <c r="J2218" s="27" t="n"/>
      <c r="K2218" t="inlineStr">
        <is>
          <t>Transferência Bancária ou Pix</t>
        </is>
      </c>
      <c r="L2218" t="inlineStr">
        <is>
          <t>Serviços de Terceiros</t>
        </is>
      </c>
      <c r="M2218" t="inlineStr">
        <is>
          <t>Assessoria RH</t>
        </is>
      </c>
      <c r="N2218" t="inlineStr">
        <is>
          <t>RP038-2025</t>
        </is>
      </c>
      <c r="O2218" t="inlineStr">
        <is>
          <t>Documentação Aprovada</t>
        </is>
      </c>
      <c r="P2218" t="inlineStr">
        <is>
          <t>Aprovado Diretoria</t>
        </is>
      </c>
      <c r="Q2218" t="inlineStr">
        <is>
          <t>Aprovado Caixa</t>
        </is>
      </c>
      <c r="R2218" t="inlineStr">
        <is>
          <t>Pago</t>
        </is>
      </c>
      <c r="S2218" t="n">
        <v>115</v>
      </c>
      <c r="T2218" t="inlineStr">
        <is>
          <t>Love - Shibari - Bradesco</t>
        </is>
      </c>
    </row>
    <row r="2219">
      <c r="A2219" t="n">
        <v>102889</v>
      </c>
      <c r="B2219" t="n">
        <v>128</v>
      </c>
      <c r="C2219" t="inlineStr">
        <is>
          <t>Love Cabaret</t>
        </is>
      </c>
      <c r="D2219" t="inlineStr">
        <is>
          <t>MACHINE SEGURANCA PATRIMONIAL LTDA</t>
        </is>
      </c>
      <c r="E2219" t="n">
        <v>5700</v>
      </c>
      <c r="F2219" s="27" t="n">
        <v>45769</v>
      </c>
      <c r="G2219" s="27" t="n">
        <v>45770</v>
      </c>
      <c r="H2219" s="27" t="n">
        <v>45770</v>
      </c>
      <c r="I2219" s="27" t="n">
        <v>45748</v>
      </c>
      <c r="J2219" s="27" t="n"/>
      <c r="K2219" t="inlineStr">
        <is>
          <t>Transferência Bancária ou Pix</t>
        </is>
      </c>
      <c r="L2219" t="inlineStr">
        <is>
          <t>Serviços de Terceiros</t>
        </is>
      </c>
      <c r="M2219" t="inlineStr">
        <is>
          <t>Serviços de Segurança</t>
        </is>
      </c>
      <c r="N2219" t="inlineStr">
        <is>
          <t>228</t>
        </is>
      </c>
      <c r="O2219" t="inlineStr">
        <is>
          <t>Documentação Aprovada</t>
        </is>
      </c>
      <c r="P2219" t="inlineStr">
        <is>
          <t>Aprovado Diretoria</t>
        </is>
      </c>
      <c r="Q2219" t="inlineStr">
        <is>
          <t>Aprovado Caixa</t>
        </is>
      </c>
      <c r="R2219" t="inlineStr">
        <is>
          <t>Pago</t>
        </is>
      </c>
      <c r="S2219" t="n">
        <v>115</v>
      </c>
      <c r="T2219" t="inlineStr">
        <is>
          <t>Love - Shibari - Bradesco</t>
        </is>
      </c>
    </row>
    <row r="2220">
      <c r="A2220" t="n">
        <v>120902</v>
      </c>
      <c r="B2220" t="n">
        <v>128</v>
      </c>
      <c r="C2220" t="inlineStr">
        <is>
          <t>Love Cabaret</t>
        </is>
      </c>
      <c r="D2220" t="inlineStr">
        <is>
          <t xml:space="preserve">EMPORIO MEL </t>
        </is>
      </c>
      <c r="E2220" t="n">
        <v>355.13</v>
      </c>
      <c r="F2220" s="27" t="n">
        <v>45771</v>
      </c>
      <c r="G2220" s="27" t="n">
        <v>45770</v>
      </c>
      <c r="H2220" s="27" t="n">
        <v>45770</v>
      </c>
      <c r="I2220" s="27" t="n">
        <v>45740</v>
      </c>
      <c r="J2220" s="27" t="n">
        <v>45743</v>
      </c>
      <c r="K2220" t="inlineStr">
        <is>
          <t>Boleto Bancário</t>
        </is>
      </c>
      <c r="L2220" t="inlineStr">
        <is>
          <t>Custo Mercadoria Vendida</t>
        </is>
      </c>
      <c r="M2220" t="inlineStr">
        <is>
          <t>Insumos - Alimentos</t>
        </is>
      </c>
      <c r="N2220" t="inlineStr">
        <is>
          <t>445129</t>
        </is>
      </c>
      <c r="O2220" t="inlineStr">
        <is>
          <t>Documentação Aprovada</t>
        </is>
      </c>
      <c r="P2220" t="inlineStr">
        <is>
          <t>Aprovado Diretoria</t>
        </is>
      </c>
      <c r="Q2220" t="inlineStr">
        <is>
          <t>Aprovado Caixa</t>
        </is>
      </c>
      <c r="R2220" t="inlineStr">
        <is>
          <t>Pago</t>
        </is>
      </c>
      <c r="S2220" t="n">
        <v>115</v>
      </c>
      <c r="T2220" t="inlineStr">
        <is>
          <t>Love - Shibari - Bradesco</t>
        </is>
      </c>
    </row>
    <row r="2221">
      <c r="A2221" t="n">
        <v>120905</v>
      </c>
      <c r="B2221" t="n">
        <v>128</v>
      </c>
      <c r="C2221" t="inlineStr">
        <is>
          <t>Love Cabaret</t>
        </is>
      </c>
      <c r="D2221" t="inlineStr">
        <is>
          <t xml:space="preserve">EMPORIO MEL </t>
        </is>
      </c>
      <c r="E2221" t="n">
        <v>439.9</v>
      </c>
      <c r="F2221" s="27" t="n">
        <v>45771</v>
      </c>
      <c r="G2221" s="27" t="n">
        <v>45770</v>
      </c>
      <c r="H2221" s="27" t="n">
        <v>45770</v>
      </c>
      <c r="I2221" s="27" t="n">
        <v>45740</v>
      </c>
      <c r="J2221" s="27" t="n">
        <v>45743</v>
      </c>
      <c r="K2221" t="inlineStr">
        <is>
          <t>Boleto Bancário</t>
        </is>
      </c>
      <c r="L2221" t="inlineStr">
        <is>
          <t>Custo Mercadoria Vendida</t>
        </is>
      </c>
      <c r="M2221" t="inlineStr">
        <is>
          <t>Insumos - Bebidas</t>
        </is>
      </c>
      <c r="N2221" t="inlineStr">
        <is>
          <t>445156</t>
        </is>
      </c>
      <c r="O2221" t="inlineStr">
        <is>
          <t>Documentação Aprovada</t>
        </is>
      </c>
      <c r="P2221" t="inlineStr">
        <is>
          <t>Aprovado Diretoria</t>
        </is>
      </c>
      <c r="Q2221" t="inlineStr">
        <is>
          <t>Aprovado Caixa</t>
        </is>
      </c>
      <c r="R2221" t="inlineStr">
        <is>
          <t>Pago</t>
        </is>
      </c>
      <c r="S2221" t="n">
        <v>115</v>
      </c>
      <c r="T2221" t="inlineStr">
        <is>
          <t>Love - Shibari - Bradesco</t>
        </is>
      </c>
    </row>
    <row r="2222">
      <c r="A2222" t="n">
        <v>121626</v>
      </c>
      <c r="B2222" t="n">
        <v>128</v>
      </c>
      <c r="C2222" t="inlineStr">
        <is>
          <t>Love Cabaret</t>
        </is>
      </c>
      <c r="D2222" t="inlineStr">
        <is>
          <t xml:space="preserve">HORTIFRUTI DO CHEF LTDA </t>
        </is>
      </c>
      <c r="E2222" t="n">
        <v>513.86</v>
      </c>
      <c r="F2222" s="27" t="n">
        <v>45772</v>
      </c>
      <c r="G2222" s="27" t="n">
        <v>45770</v>
      </c>
      <c r="H2222" s="27" t="n">
        <v>45770</v>
      </c>
      <c r="I2222" s="27" t="n">
        <v>45743</v>
      </c>
      <c r="J2222" s="27" t="n">
        <v>45749</v>
      </c>
      <c r="K2222" t="inlineStr">
        <is>
          <t>Boleto Bancário</t>
        </is>
      </c>
      <c r="L2222" t="inlineStr">
        <is>
          <t>Custo Mercadoria Vendida</t>
        </is>
      </c>
      <c r="M2222" t="inlineStr">
        <is>
          <t>Insumos - Alimentos</t>
        </is>
      </c>
      <c r="N2222" t="inlineStr">
        <is>
          <t>26257</t>
        </is>
      </c>
      <c r="O2222" t="inlineStr">
        <is>
          <t>Documentação Aprovada</t>
        </is>
      </c>
      <c r="P2222" t="inlineStr">
        <is>
          <t>Aprovado Diretoria</t>
        </is>
      </c>
      <c r="Q2222" t="inlineStr">
        <is>
          <t>Aprovado Caixa</t>
        </is>
      </c>
      <c r="R2222" t="inlineStr">
        <is>
          <t>Pago</t>
        </is>
      </c>
      <c r="S2222" t="n">
        <v>115</v>
      </c>
      <c r="T2222" t="inlineStr">
        <is>
          <t>Love - Shibari - Bradesco</t>
        </is>
      </c>
    </row>
    <row r="2223">
      <c r="A2223" t="n">
        <v>121928</v>
      </c>
      <c r="B2223" t="n">
        <v>128</v>
      </c>
      <c r="C2223" t="inlineStr">
        <is>
          <t>Love Cabaret</t>
        </is>
      </c>
      <c r="D2223" t="inlineStr">
        <is>
          <t>WIDE STOCK COMERCIO E DISTRIBUICAO LTDA</t>
        </is>
      </c>
      <c r="E2223" t="n">
        <v>544.4</v>
      </c>
      <c r="F2223" s="27" t="n">
        <v>45768</v>
      </c>
      <c r="G2223" s="27" t="n">
        <v>45769</v>
      </c>
      <c r="H2223" s="27" t="n">
        <v>45769</v>
      </c>
      <c r="I2223" s="27" t="n">
        <v>45747</v>
      </c>
      <c r="J2223" s="27" t="n">
        <v>45749</v>
      </c>
      <c r="K2223" t="inlineStr">
        <is>
          <t>Boleto Bancário</t>
        </is>
      </c>
      <c r="L2223" t="inlineStr">
        <is>
          <t>Utilidades</t>
        </is>
      </c>
      <c r="M2223" t="inlineStr">
        <is>
          <t>Higiene e Limpeza</t>
        </is>
      </c>
      <c r="N2223" t="inlineStr">
        <is>
          <t>399312</t>
        </is>
      </c>
      <c r="O2223" t="inlineStr">
        <is>
          <t>Documentação Aprovada</t>
        </is>
      </c>
      <c r="P2223" t="inlineStr">
        <is>
          <t>Aprovado Diretoria</t>
        </is>
      </c>
      <c r="Q2223" t="inlineStr">
        <is>
          <t>Aprovado Caixa</t>
        </is>
      </c>
      <c r="R2223" t="inlineStr">
        <is>
          <t>Pago</t>
        </is>
      </c>
      <c r="S2223" t="n">
        <v>115</v>
      </c>
      <c r="T2223" t="inlineStr">
        <is>
          <t>Love - Shibari - Bradesco</t>
        </is>
      </c>
    </row>
    <row r="2224">
      <c r="A2224" t="n">
        <v>121943</v>
      </c>
      <c r="B2224" t="n">
        <v>128</v>
      </c>
      <c r="C2224" t="inlineStr">
        <is>
          <t>Love Cabaret</t>
        </is>
      </c>
      <c r="D2224" t="inlineStr">
        <is>
          <t>PRESHH ALUGUEL DE MAQUINAS LTDA</t>
        </is>
      </c>
      <c r="E2224" t="n">
        <v>198</v>
      </c>
      <c r="F2224" s="27" t="n">
        <v>45769</v>
      </c>
      <c r="G2224" s="27" t="n">
        <v>45769</v>
      </c>
      <c r="H2224" s="27" t="n">
        <v>45769</v>
      </c>
      <c r="I2224" s="27" t="n">
        <v>45749</v>
      </c>
      <c r="J2224" s="27" t="n">
        <v>45749</v>
      </c>
      <c r="K2224" t="inlineStr">
        <is>
          <t>Boleto Bancário</t>
        </is>
      </c>
      <c r="L2224" t="inlineStr">
        <is>
          <t>Utilidades</t>
        </is>
      </c>
      <c r="M2224" t="inlineStr">
        <is>
          <t>Material de Consumo - Gelo/ Gas CO2/ Carvao /Velas</t>
        </is>
      </c>
      <c r="N2224" t="inlineStr">
        <is>
          <t>T-27843</t>
        </is>
      </c>
      <c r="O2224" t="inlineStr">
        <is>
          <t>Documentação Aprovada</t>
        </is>
      </c>
      <c r="P2224" t="inlineStr">
        <is>
          <t>Aprovado Diretoria</t>
        </is>
      </c>
      <c r="Q2224" t="inlineStr">
        <is>
          <t>Aprovado Caixa</t>
        </is>
      </c>
      <c r="R2224" t="inlineStr">
        <is>
          <t>Pago</t>
        </is>
      </c>
      <c r="S2224" t="n">
        <v>115</v>
      </c>
      <c r="T2224" t="inlineStr">
        <is>
          <t>Love - Shibari - Bradesco</t>
        </is>
      </c>
    </row>
    <row r="2225">
      <c r="A2225" t="n">
        <v>121921</v>
      </c>
      <c r="B2225" t="n">
        <v>128</v>
      </c>
      <c r="C2225" t="inlineStr">
        <is>
          <t>Love Cabaret</t>
        </is>
      </c>
      <c r="D2225" t="inlineStr">
        <is>
          <t>FG7 COMERCIO E DISTRIBUICAO DE BEBIDAS LTDA</t>
        </is>
      </c>
      <c r="E2225" t="n">
        <v>414.03</v>
      </c>
      <c r="F2225" s="27" t="n">
        <v>45769</v>
      </c>
      <c r="G2225" s="27" t="n">
        <v>45769</v>
      </c>
      <c r="H2225" s="27" t="n">
        <v>45769</v>
      </c>
      <c r="I2225" s="27" t="n">
        <v>45747</v>
      </c>
      <c r="J2225" s="27" t="n">
        <v>45749</v>
      </c>
      <c r="K2225" t="inlineStr">
        <is>
          <t>Boleto Bancário</t>
        </is>
      </c>
      <c r="L2225" t="inlineStr">
        <is>
          <t>Custo Mercadoria Vendida</t>
        </is>
      </c>
      <c r="M2225" t="inlineStr">
        <is>
          <t>Insumos - Bebidas</t>
        </is>
      </c>
      <c r="N2225" t="inlineStr">
        <is>
          <t>591182</t>
        </is>
      </c>
      <c r="O2225" t="inlineStr">
        <is>
          <t>Documentação Aprovada</t>
        </is>
      </c>
      <c r="P2225" t="inlineStr">
        <is>
          <t>Aprovado Diretoria</t>
        </is>
      </c>
      <c r="Q2225" t="inlineStr">
        <is>
          <t>Aprovado Caixa</t>
        </is>
      </c>
      <c r="R2225" t="inlineStr">
        <is>
          <t>Pago</t>
        </is>
      </c>
      <c r="S2225" t="n">
        <v>115</v>
      </c>
      <c r="T2225" t="inlineStr">
        <is>
          <t>Love - Shibari - Bradesco</t>
        </is>
      </c>
    </row>
    <row r="2226">
      <c r="A2226" t="n">
        <v>121784</v>
      </c>
      <c r="B2226" t="n">
        <v>128</v>
      </c>
      <c r="C2226" t="inlineStr">
        <is>
          <t>Love Cabaret</t>
        </is>
      </c>
      <c r="D2226" t="inlineStr">
        <is>
          <t>CG FOOD´S DISTRIBUIDORA DE ALIMENTOS LTDA</t>
        </is>
      </c>
      <c r="E2226" t="n">
        <v>316.25</v>
      </c>
      <c r="F2226" s="27" t="n">
        <v>45769</v>
      </c>
      <c r="G2226" s="27" t="n">
        <v>45769</v>
      </c>
      <c r="H2226" s="27" t="n">
        <v>45769</v>
      </c>
      <c r="I2226" s="27" t="n">
        <v>45748</v>
      </c>
      <c r="J2226" s="27" t="n">
        <v>45749</v>
      </c>
      <c r="K2226" t="inlineStr">
        <is>
          <t>Boleto Bancário</t>
        </is>
      </c>
      <c r="L2226" t="inlineStr">
        <is>
          <t>Custo Mercadoria Vendida</t>
        </is>
      </c>
      <c r="M2226" t="inlineStr">
        <is>
          <t>Insumos - Alimentos</t>
        </is>
      </c>
      <c r="N2226" t="inlineStr">
        <is>
          <t>146830</t>
        </is>
      </c>
      <c r="O2226" t="inlineStr">
        <is>
          <t>Documentação Aprovada</t>
        </is>
      </c>
      <c r="P2226" t="inlineStr">
        <is>
          <t>Aprovado Diretoria</t>
        </is>
      </c>
      <c r="Q2226" t="inlineStr">
        <is>
          <t>Aprovado Caixa</t>
        </is>
      </c>
      <c r="R2226" t="inlineStr">
        <is>
          <t>Pago</t>
        </is>
      </c>
      <c r="S2226" t="n">
        <v>115</v>
      </c>
      <c r="T2226" t="inlineStr">
        <is>
          <t>Love - Shibari - Bradesco</t>
        </is>
      </c>
    </row>
    <row r="2227">
      <c r="A2227" t="n">
        <v>122223</v>
      </c>
      <c r="B2227" t="n">
        <v>128</v>
      </c>
      <c r="C2227" t="inlineStr">
        <is>
          <t>Love Cabaret</t>
        </is>
      </c>
      <c r="D2227" t="inlineStr">
        <is>
          <t>DTK COMERCIO DE ALIMENTOS LTDA</t>
        </is>
      </c>
      <c r="E2227" t="n">
        <v>1080.74</v>
      </c>
      <c r="F2227" s="27" t="n">
        <v>45768</v>
      </c>
      <c r="G2227" s="27" t="n">
        <v>45769</v>
      </c>
      <c r="H2227" s="27" t="n">
        <v>45769</v>
      </c>
      <c r="I2227" s="27" t="n">
        <v>45747</v>
      </c>
      <c r="J2227" s="27" t="n">
        <v>45750</v>
      </c>
      <c r="K2227" t="inlineStr">
        <is>
          <t>Boleto Bancário</t>
        </is>
      </c>
      <c r="L2227" t="inlineStr">
        <is>
          <t>Custo Mercadoria Vendida</t>
        </is>
      </c>
      <c r="M2227" t="inlineStr">
        <is>
          <t>Insumos - Alimentos</t>
        </is>
      </c>
      <c r="N2227" t="inlineStr">
        <is>
          <t>26986</t>
        </is>
      </c>
      <c r="O2227" t="inlineStr">
        <is>
          <t>Documentação Aprovada</t>
        </is>
      </c>
      <c r="P2227" t="inlineStr">
        <is>
          <t>Aprovado Diretoria</t>
        </is>
      </c>
      <c r="Q2227" t="inlineStr">
        <is>
          <t>Aprovado Caixa</t>
        </is>
      </c>
      <c r="R2227" t="inlineStr">
        <is>
          <t>Pago</t>
        </is>
      </c>
      <c r="S2227" t="n">
        <v>115</v>
      </c>
      <c r="T2227" t="inlineStr">
        <is>
          <t>Love - Shibari - Bradesco</t>
        </is>
      </c>
    </row>
    <row r="2228">
      <c r="A2228" t="n">
        <v>122607</v>
      </c>
      <c r="B2228" t="n">
        <v>128</v>
      </c>
      <c r="C2228" t="inlineStr">
        <is>
          <t>Love Cabaret</t>
        </is>
      </c>
      <c r="D2228" t="inlineStr">
        <is>
          <t>BLUEME</t>
        </is>
      </c>
      <c r="E2228" t="n">
        <v>360</v>
      </c>
      <c r="F2228" s="27" t="n">
        <v>45768</v>
      </c>
      <c r="G2228" s="27" t="n">
        <v>45769</v>
      </c>
      <c r="H2228" s="27" t="n">
        <v>45769</v>
      </c>
      <c r="I2228" s="27" t="n">
        <v>45747</v>
      </c>
      <c r="J2228" s="27" t="n">
        <v>45751</v>
      </c>
      <c r="K2228" t="inlineStr">
        <is>
          <t>Boleto Bancário</t>
        </is>
      </c>
      <c r="L2228" t="inlineStr">
        <is>
          <t>Informática e TI</t>
        </is>
      </c>
      <c r="M2228" t="inlineStr">
        <is>
          <t>Sistemas Gerais - Financeiros</t>
        </is>
      </c>
      <c r="N2228" t="inlineStr">
        <is>
          <t>84</t>
        </is>
      </c>
      <c r="O2228" t="inlineStr">
        <is>
          <t>Documentação Aprovada</t>
        </is>
      </c>
      <c r="P2228" t="inlineStr">
        <is>
          <t>Aprovado Diretoria</t>
        </is>
      </c>
      <c r="Q2228" t="inlineStr">
        <is>
          <t>Aprovado Caixa</t>
        </is>
      </c>
      <c r="R2228" t="inlineStr">
        <is>
          <t>Pago</t>
        </is>
      </c>
      <c r="S2228" t="n">
        <v>115</v>
      </c>
      <c r="T2228" t="inlineStr">
        <is>
          <t>Love - Shibari - Bradesco</t>
        </is>
      </c>
    </row>
    <row r="2229">
      <c r="A2229" t="n">
        <v>120896</v>
      </c>
      <c r="B2229" t="n">
        <v>128</v>
      </c>
      <c r="C2229" t="inlineStr">
        <is>
          <t>Love Cabaret</t>
        </is>
      </c>
      <c r="D2229" t="inlineStr">
        <is>
          <t>ALLIMENTARI COMERCIO DE PRODUTOS ALIMENTICIOS E SERVICOS LTDA</t>
        </is>
      </c>
      <c r="E2229" t="n">
        <v>147.78</v>
      </c>
      <c r="F2229" s="27" t="n">
        <v>45768</v>
      </c>
      <c r="G2229" s="27" t="n">
        <v>45769</v>
      </c>
      <c r="H2229" s="27" t="n">
        <v>45769</v>
      </c>
      <c r="I2229" s="27" t="n">
        <v>45740</v>
      </c>
      <c r="J2229" s="27" t="n">
        <v>45743</v>
      </c>
      <c r="K2229" t="inlineStr">
        <is>
          <t>Boleto Bancário</t>
        </is>
      </c>
      <c r="L2229" t="inlineStr">
        <is>
          <t>Custo Mercadoria Vendida</t>
        </is>
      </c>
      <c r="M2229" t="inlineStr">
        <is>
          <t>Insumos - Alimentos</t>
        </is>
      </c>
      <c r="N2229" t="inlineStr">
        <is>
          <t>20689</t>
        </is>
      </c>
      <c r="O2229" t="inlineStr">
        <is>
          <t>Documentação Aprovada</t>
        </is>
      </c>
      <c r="P2229" t="inlineStr">
        <is>
          <t>Aprovado Diretoria</t>
        </is>
      </c>
      <c r="Q2229" t="inlineStr">
        <is>
          <t>Aprovado Caixa</t>
        </is>
      </c>
      <c r="R2229" t="inlineStr">
        <is>
          <t>Pago</t>
        </is>
      </c>
      <c r="S2229" t="n">
        <v>115</v>
      </c>
      <c r="T2229" t="inlineStr">
        <is>
          <t>Love - Shibari - Bradesco</t>
        </is>
      </c>
    </row>
    <row r="2230">
      <c r="A2230" t="n">
        <v>120891</v>
      </c>
      <c r="B2230" t="n">
        <v>128</v>
      </c>
      <c r="C2230" t="inlineStr">
        <is>
          <t>Love Cabaret</t>
        </is>
      </c>
      <c r="D2230" t="inlineStr">
        <is>
          <t>KING COMERCIO E IMPORTACAO DE BEBIDAS LTDA</t>
        </is>
      </c>
      <c r="E2230" t="n">
        <v>1255.44</v>
      </c>
      <c r="F2230" s="27" t="n">
        <v>45768</v>
      </c>
      <c r="G2230" s="27" t="n">
        <v>45769</v>
      </c>
      <c r="H2230" s="27" t="n">
        <v>45769</v>
      </c>
      <c r="I2230" s="27" t="n">
        <v>45740</v>
      </c>
      <c r="J2230" s="27" t="n">
        <v>45743</v>
      </c>
      <c r="K2230" t="inlineStr">
        <is>
          <t>Boleto Bancário</t>
        </is>
      </c>
      <c r="L2230" t="inlineStr">
        <is>
          <t>Custo Mercadoria Vendida</t>
        </is>
      </c>
      <c r="M2230" t="inlineStr">
        <is>
          <t>Insumos - Bebidas</t>
        </is>
      </c>
      <c r="N2230" t="inlineStr">
        <is>
          <t>116179</t>
        </is>
      </c>
      <c r="O2230" t="inlineStr">
        <is>
          <t>Documentação Aprovada</t>
        </is>
      </c>
      <c r="P2230" t="inlineStr">
        <is>
          <t>Aprovado Diretoria</t>
        </is>
      </c>
      <c r="Q2230" t="inlineStr">
        <is>
          <t>Aprovado Caixa</t>
        </is>
      </c>
      <c r="R2230" t="inlineStr">
        <is>
          <t>Pago</t>
        </is>
      </c>
      <c r="S2230" t="n">
        <v>115</v>
      </c>
      <c r="T2230" t="inlineStr">
        <is>
          <t>Love - Shibari - Bradesco</t>
        </is>
      </c>
    </row>
    <row r="2231">
      <c r="A2231" t="n">
        <v>120907</v>
      </c>
      <c r="B2231" t="n">
        <v>128</v>
      </c>
      <c r="C2231" t="inlineStr">
        <is>
          <t>Love Cabaret</t>
        </is>
      </c>
      <c r="D2231" t="inlineStr">
        <is>
          <t>ZAHIL IMPORTADORA LTDA</t>
        </is>
      </c>
      <c r="E2231" t="n">
        <v>791.7</v>
      </c>
      <c r="F2231" s="27" t="n">
        <v>45770</v>
      </c>
      <c r="G2231" s="27" t="n">
        <v>45769</v>
      </c>
      <c r="H2231" s="27" t="n">
        <v>45769</v>
      </c>
      <c r="I2231" s="27" t="n">
        <v>45740</v>
      </c>
      <c r="J2231" s="27" t="n">
        <v>45743</v>
      </c>
      <c r="K2231" t="inlineStr">
        <is>
          <t>Boleto Bancário</t>
        </is>
      </c>
      <c r="L2231" t="inlineStr">
        <is>
          <t>Custo Mercadoria Vendida</t>
        </is>
      </c>
      <c r="M2231" t="inlineStr">
        <is>
          <t>Insumos - Bebidas</t>
        </is>
      </c>
      <c r="N2231" t="inlineStr">
        <is>
          <t>244205</t>
        </is>
      </c>
      <c r="O2231" t="inlineStr">
        <is>
          <t>Documentação Aprovada</t>
        </is>
      </c>
      <c r="P2231" t="inlineStr">
        <is>
          <t>Aprovado Diretoria</t>
        </is>
      </c>
      <c r="Q2231" t="inlineStr">
        <is>
          <t>Aprovado Caixa</t>
        </is>
      </c>
      <c r="R2231" t="inlineStr">
        <is>
          <t>Pago</t>
        </is>
      </c>
      <c r="S2231" t="n">
        <v>115</v>
      </c>
      <c r="T2231" t="inlineStr">
        <is>
          <t>Love - Shibari - Bradesco</t>
        </is>
      </c>
    </row>
    <row r="2232">
      <c r="A2232" t="n">
        <v>120869</v>
      </c>
      <c r="B2232" t="n">
        <v>128</v>
      </c>
      <c r="C2232" t="inlineStr">
        <is>
          <t>Love Cabaret</t>
        </is>
      </c>
      <c r="D2232" t="inlineStr">
        <is>
          <t xml:space="preserve">HORTIFRUTI DO CHEF LTDA </t>
        </is>
      </c>
      <c r="E2232" t="n">
        <v>161.85</v>
      </c>
      <c r="F2232" s="27" t="n">
        <v>45769</v>
      </c>
      <c r="G2232" s="27" t="n">
        <v>45769</v>
      </c>
      <c r="H2232" s="27" t="n">
        <v>45769</v>
      </c>
      <c r="I2232" s="27" t="n">
        <v>45740</v>
      </c>
      <c r="J2232" s="27" t="n">
        <v>45743</v>
      </c>
      <c r="K2232" t="inlineStr">
        <is>
          <t>Boleto Bancário</t>
        </is>
      </c>
      <c r="L2232" t="inlineStr">
        <is>
          <t>Custo Mercadoria Vendida</t>
        </is>
      </c>
      <c r="M2232" t="inlineStr">
        <is>
          <t>Insumos - Alimentos</t>
        </is>
      </c>
      <c r="N2232" t="inlineStr">
        <is>
          <t>26211</t>
        </is>
      </c>
      <c r="O2232" t="inlineStr">
        <is>
          <t>Documentação Aprovada</t>
        </is>
      </c>
      <c r="P2232" t="inlineStr">
        <is>
          <t>Aprovado Diretoria</t>
        </is>
      </c>
      <c r="Q2232" t="inlineStr">
        <is>
          <t>Aprovado Caixa</t>
        </is>
      </c>
      <c r="R2232" t="inlineStr">
        <is>
          <t>Pago</t>
        </is>
      </c>
      <c r="S2232" t="n">
        <v>115</v>
      </c>
      <c r="T2232" t="inlineStr">
        <is>
          <t>Love - Shibari - Bradesco</t>
        </is>
      </c>
    </row>
    <row r="2233">
      <c r="A2233" t="n">
        <v>120919</v>
      </c>
      <c r="B2233" t="n">
        <v>128</v>
      </c>
      <c r="C2233" t="inlineStr">
        <is>
          <t>Love Cabaret</t>
        </is>
      </c>
      <c r="D2233" t="inlineStr">
        <is>
          <t>PROAUTO INDUSTRIA QUIMICA EIRELI</t>
        </is>
      </c>
      <c r="E2233" t="n">
        <v>574.02</v>
      </c>
      <c r="F2233" s="27" t="n">
        <v>45769</v>
      </c>
      <c r="G2233" s="27" t="n">
        <v>45769</v>
      </c>
      <c r="H2233" s="27" t="n">
        <v>45769</v>
      </c>
      <c r="I2233" s="27" t="n">
        <v>45741</v>
      </c>
      <c r="J2233" s="27" t="n">
        <v>45743</v>
      </c>
      <c r="K2233" t="inlineStr">
        <is>
          <t>Boleto Bancário</t>
        </is>
      </c>
      <c r="L2233" t="inlineStr">
        <is>
          <t>Utilidades</t>
        </is>
      </c>
      <c r="M2233" t="inlineStr">
        <is>
          <t>Higiene e Limpeza</t>
        </is>
      </c>
      <c r="N2233" t="inlineStr">
        <is>
          <t>135718</t>
        </is>
      </c>
      <c r="O2233" t="inlineStr">
        <is>
          <t>Documentação Aprovada</t>
        </is>
      </c>
      <c r="P2233" t="inlineStr">
        <is>
          <t>Aprovado Diretoria</t>
        </is>
      </c>
      <c r="Q2233" t="inlineStr">
        <is>
          <t>Aprovado Caixa</t>
        </is>
      </c>
      <c r="R2233" t="inlineStr">
        <is>
          <t>Pago</t>
        </is>
      </c>
      <c r="S2233" t="n">
        <v>115</v>
      </c>
      <c r="T2233" t="inlineStr">
        <is>
          <t>Love - Shibari - Bradesco</t>
        </is>
      </c>
    </row>
    <row r="2234">
      <c r="A2234" t="n">
        <v>96882</v>
      </c>
      <c r="B2234" t="n">
        <v>128</v>
      </c>
      <c r="C2234" t="inlineStr">
        <is>
          <t>Love Cabaret</t>
        </is>
      </c>
      <c r="D2234" t="inlineStr">
        <is>
          <t>ALPHALIX AMBIENTEAL LOC/ DE EQUIPAMENTOS EIRELI</t>
        </is>
      </c>
      <c r="E2234" t="n">
        <v>1013.17</v>
      </c>
      <c r="F2234" s="27" t="n">
        <v>45770</v>
      </c>
      <c r="G2234" s="27" t="n">
        <v>45769</v>
      </c>
      <c r="H2234" s="27" t="n">
        <v>45769</v>
      </c>
      <c r="I2234" s="27" t="n">
        <v>45746</v>
      </c>
      <c r="J2234" s="27" t="n"/>
      <c r="K2234" t="inlineStr">
        <is>
          <t>Boleto Bancário</t>
        </is>
      </c>
      <c r="L2234" t="inlineStr">
        <is>
          <t>Utilidades</t>
        </is>
      </c>
      <c r="M2234" t="inlineStr">
        <is>
          <t>Coleta de lixo</t>
        </is>
      </c>
      <c r="N2234" t="inlineStr">
        <is>
          <t>43899</t>
        </is>
      </c>
      <c r="O2234" t="inlineStr">
        <is>
          <t>Documentação Aprovada</t>
        </is>
      </c>
      <c r="P2234" t="inlineStr">
        <is>
          <t>Aprovado Diretoria</t>
        </is>
      </c>
      <c r="Q2234" t="inlineStr">
        <is>
          <t>Aprovado Caixa</t>
        </is>
      </c>
      <c r="R2234" t="inlineStr">
        <is>
          <t>Pago</t>
        </is>
      </c>
      <c r="S2234" t="n">
        <v>115</v>
      </c>
      <c r="T2234" t="inlineStr">
        <is>
          <t>Love - Shibari - Bradesco</t>
        </is>
      </c>
    </row>
    <row r="2235">
      <c r="A2235" t="n">
        <v>106678</v>
      </c>
      <c r="B2235" t="n">
        <v>128</v>
      </c>
      <c r="C2235" t="inlineStr">
        <is>
          <t>Love Cabaret</t>
        </is>
      </c>
      <c r="D2235" t="inlineStr">
        <is>
          <t>AURORA ALVORADA ESTACIONAMENTO E LANCHONETE LTDA</t>
        </is>
      </c>
      <c r="E2235" t="n">
        <v>274.08</v>
      </c>
      <c r="F2235" s="27" t="n">
        <v>45768</v>
      </c>
      <c r="G2235" s="27" t="n">
        <v>45769</v>
      </c>
      <c r="H2235" s="27" t="n">
        <v>45769</v>
      </c>
      <c r="I2235" s="27" t="n">
        <v>45761</v>
      </c>
      <c r="J2235" s="27" t="n"/>
      <c r="K2235" t="inlineStr">
        <is>
          <t>Boleto Bancário</t>
        </is>
      </c>
      <c r="L2235" t="inlineStr">
        <is>
          <t>Custo Mercadoria Vendida</t>
        </is>
      </c>
      <c r="M2235" t="inlineStr">
        <is>
          <t>Insumos - Alimentos</t>
        </is>
      </c>
      <c r="N2235" t="inlineStr">
        <is>
          <t>104752</t>
        </is>
      </c>
      <c r="O2235" t="inlineStr">
        <is>
          <t>Documentação Aprovada</t>
        </is>
      </c>
      <c r="P2235" t="inlineStr">
        <is>
          <t>Aprovado Diretoria</t>
        </is>
      </c>
      <c r="Q2235" t="inlineStr">
        <is>
          <t>Aprovado Caixa</t>
        </is>
      </c>
      <c r="R2235" t="inlineStr">
        <is>
          <t>Pago</t>
        </is>
      </c>
      <c r="S2235" t="n">
        <v>115</v>
      </c>
      <c r="T2235" t="inlineStr">
        <is>
          <t>Love - Shibari - Bradesco</t>
        </is>
      </c>
    </row>
    <row r="2236">
      <c r="A2236" t="n">
        <v>125980</v>
      </c>
      <c r="B2236" t="n">
        <v>128</v>
      </c>
      <c r="C2236" t="inlineStr">
        <is>
          <t>Love Cabaret</t>
        </is>
      </c>
      <c r="D2236" t="inlineStr">
        <is>
          <t>PORCO FELIZ COM DE CARNES LTDA</t>
        </is>
      </c>
      <c r="E2236" t="n">
        <v>163.15</v>
      </c>
      <c r="F2236" s="27" t="n">
        <v>45770</v>
      </c>
      <c r="G2236" s="27" t="n">
        <v>45769</v>
      </c>
      <c r="H2236" s="27" t="n">
        <v>45769</v>
      </c>
      <c r="I2236" s="27" t="n">
        <v>45756</v>
      </c>
      <c r="J2236" s="27" t="n">
        <v>45763</v>
      </c>
      <c r="K2236" t="inlineStr">
        <is>
          <t>Boleto Bancário</t>
        </is>
      </c>
      <c r="L2236" t="inlineStr">
        <is>
          <t>Custo Mercadoria Vendida</t>
        </is>
      </c>
      <c r="M2236" t="inlineStr">
        <is>
          <t>Insumos - Alimentos</t>
        </is>
      </c>
      <c r="N2236" t="inlineStr">
        <is>
          <t>573311</t>
        </is>
      </c>
      <c r="O2236" t="inlineStr">
        <is>
          <t>Documentação Aprovada</t>
        </is>
      </c>
      <c r="P2236" t="inlineStr">
        <is>
          <t>Aprovado Diretoria</t>
        </is>
      </c>
      <c r="Q2236" t="inlineStr">
        <is>
          <t>Aprovado Caixa</t>
        </is>
      </c>
      <c r="R2236" t="inlineStr">
        <is>
          <t>Pago</t>
        </is>
      </c>
      <c r="S2236" t="n">
        <v>115</v>
      </c>
      <c r="T2236" t="inlineStr">
        <is>
          <t>Love - Shibari - Bradesco</t>
        </is>
      </c>
    </row>
    <row r="2237">
      <c r="A2237" t="n">
        <v>125969</v>
      </c>
      <c r="B2237" t="n">
        <v>128</v>
      </c>
      <c r="C2237" t="inlineStr">
        <is>
          <t>Love Cabaret</t>
        </is>
      </c>
      <c r="D2237" t="inlineStr">
        <is>
          <t xml:space="preserve">ARENA VIP DISTRIBUIDORA DE BEBIDAS LTDA </t>
        </is>
      </c>
      <c r="E2237" t="n">
        <v>1092</v>
      </c>
      <c r="F2237" s="27" t="n">
        <v>45769</v>
      </c>
      <c r="G2237" s="27" t="n">
        <v>45769</v>
      </c>
      <c r="H2237" s="27" t="n">
        <v>45769</v>
      </c>
      <c r="I2237" s="27" t="n">
        <v>45755</v>
      </c>
      <c r="J2237" s="27" t="n">
        <v>45763</v>
      </c>
      <c r="K2237" t="inlineStr">
        <is>
          <t>Boleto Bancário</t>
        </is>
      </c>
      <c r="L2237" t="inlineStr">
        <is>
          <t>Custo Mercadoria Vendida</t>
        </is>
      </c>
      <c r="M2237" t="inlineStr">
        <is>
          <t>Insumos - Bebidas</t>
        </is>
      </c>
      <c r="N2237" t="inlineStr">
        <is>
          <t>1965</t>
        </is>
      </c>
      <c r="O2237" t="inlineStr">
        <is>
          <t>Documentação Aprovada</t>
        </is>
      </c>
      <c r="P2237" t="inlineStr">
        <is>
          <t>Aprovado Diretoria</t>
        </is>
      </c>
      <c r="Q2237" t="inlineStr">
        <is>
          <t>Aprovado Caixa</t>
        </is>
      </c>
      <c r="R2237" t="inlineStr">
        <is>
          <t>Pago</t>
        </is>
      </c>
      <c r="S2237" t="n">
        <v>115</v>
      </c>
      <c r="T2237" t="inlineStr">
        <is>
          <t>Love - Shibari - Bradesco</t>
        </is>
      </c>
    </row>
    <row r="2238">
      <c r="A2238" t="n">
        <v>125008</v>
      </c>
      <c r="B2238" t="n">
        <v>128</v>
      </c>
      <c r="C2238" t="inlineStr">
        <is>
          <t>Love Cabaret</t>
        </is>
      </c>
      <c r="D2238" t="inlineStr">
        <is>
          <t>HNK BR IND DE BEBIDAS</t>
        </is>
      </c>
      <c r="E2238" t="n">
        <v>213.82</v>
      </c>
      <c r="F2238" s="27" t="n">
        <v>45770</v>
      </c>
      <c r="G2238" s="27" t="n">
        <v>45769</v>
      </c>
      <c r="H2238" s="27" t="n">
        <v>45769</v>
      </c>
      <c r="I2238" s="27" t="n">
        <v>45755</v>
      </c>
      <c r="J2238" s="27" t="n">
        <v>45758</v>
      </c>
      <c r="K2238" t="inlineStr">
        <is>
          <t>Boleto Bancário</t>
        </is>
      </c>
      <c r="L2238" t="inlineStr">
        <is>
          <t>Custo Mercadoria Vendida</t>
        </is>
      </c>
      <c r="M2238" t="inlineStr">
        <is>
          <t>Insumos - Bebidas</t>
        </is>
      </c>
      <c r="N2238" t="inlineStr">
        <is>
          <t>230990</t>
        </is>
      </c>
      <c r="O2238" t="inlineStr">
        <is>
          <t>Documentação Aprovada</t>
        </is>
      </c>
      <c r="P2238" t="inlineStr">
        <is>
          <t>Aprovado Diretoria</t>
        </is>
      </c>
      <c r="Q2238" t="inlineStr">
        <is>
          <t>Aprovado Caixa</t>
        </is>
      </c>
      <c r="R2238" t="inlineStr">
        <is>
          <t>Pago</t>
        </is>
      </c>
      <c r="S2238" t="n">
        <v>115</v>
      </c>
      <c r="T2238" t="inlineStr">
        <is>
          <t>Love - Shibari - Bradesco</t>
        </is>
      </c>
    </row>
    <row r="2239">
      <c r="A2239" t="n">
        <v>124936</v>
      </c>
      <c r="B2239" t="n">
        <v>128</v>
      </c>
      <c r="C2239" t="inlineStr">
        <is>
          <t>Love Cabaret</t>
        </is>
      </c>
      <c r="D2239" t="inlineStr">
        <is>
          <t>PARAMU COMERCIO E REPRESENTACAO DE PRODUTOS ALIMENTICIOS</t>
        </is>
      </c>
      <c r="E2239" t="n">
        <v>1389.4</v>
      </c>
      <c r="F2239" s="27" t="n">
        <v>45768</v>
      </c>
      <c r="G2239" s="27" t="n">
        <v>45769</v>
      </c>
      <c r="H2239" s="27" t="n">
        <v>45769</v>
      </c>
      <c r="I2239" s="27" t="n">
        <v>45754</v>
      </c>
      <c r="J2239" s="27" t="n">
        <v>45758</v>
      </c>
      <c r="K2239" t="inlineStr">
        <is>
          <t>Boleto Bancário</t>
        </is>
      </c>
      <c r="L2239" t="inlineStr">
        <is>
          <t>Custo Mercadoria Vendida</t>
        </is>
      </c>
      <c r="M2239" t="inlineStr">
        <is>
          <t>Insumos - Alimentos</t>
        </is>
      </c>
      <c r="N2239" t="inlineStr">
        <is>
          <t>13450</t>
        </is>
      </c>
      <c r="O2239" t="inlineStr">
        <is>
          <t>Documentação Aprovada</t>
        </is>
      </c>
      <c r="P2239" t="inlineStr">
        <is>
          <t>Aprovado Diretoria</t>
        </is>
      </c>
      <c r="Q2239" t="inlineStr">
        <is>
          <t>Aprovado Caixa</t>
        </is>
      </c>
      <c r="R2239" t="inlineStr">
        <is>
          <t>Pago</t>
        </is>
      </c>
      <c r="S2239" t="n">
        <v>115</v>
      </c>
      <c r="T2239" t="inlineStr">
        <is>
          <t>Love - Shibari - Bradesco</t>
        </is>
      </c>
    </row>
    <row r="2240">
      <c r="A2240" t="n">
        <v>125127</v>
      </c>
      <c r="B2240" t="n">
        <v>128</v>
      </c>
      <c r="C2240" t="inlineStr">
        <is>
          <t>Love Cabaret</t>
        </is>
      </c>
      <c r="D2240" t="inlineStr">
        <is>
          <t xml:space="preserve">MAILCHIMP ORDER </t>
        </is>
      </c>
      <c r="E2240" t="n">
        <v>2000</v>
      </c>
      <c r="F2240" s="27" t="n">
        <v>45768</v>
      </c>
      <c r="G2240" s="27" t="n">
        <v>45769</v>
      </c>
      <c r="H2240" s="27" t="n">
        <v>45769</v>
      </c>
      <c r="I2240" s="27" t="n">
        <v>45751</v>
      </c>
      <c r="J2240" s="27" t="n">
        <v>45761</v>
      </c>
      <c r="K2240" t="inlineStr">
        <is>
          <t>Transferência Bancária ou Pix</t>
        </is>
      </c>
      <c r="L2240" t="inlineStr">
        <is>
          <t>Marketing</t>
        </is>
      </c>
      <c r="M2240" t="inlineStr">
        <is>
          <t>Ferramentas de Marketing</t>
        </is>
      </c>
      <c r="N2240" t="inlineStr">
        <is>
          <t>042025</t>
        </is>
      </c>
      <c r="O2240" t="inlineStr">
        <is>
          <t>Documentação Aprovada</t>
        </is>
      </c>
      <c r="P2240" t="inlineStr">
        <is>
          <t>Aprovado Diretoria</t>
        </is>
      </c>
      <c r="Q2240" t="inlineStr">
        <is>
          <t>Aprovado Caixa</t>
        </is>
      </c>
      <c r="R2240" t="inlineStr">
        <is>
          <t>Pago</t>
        </is>
      </c>
      <c r="S2240" t="n">
        <v>115</v>
      </c>
      <c r="T2240" t="inlineStr">
        <is>
          <t>Love - Shibari - Bradesco</t>
        </is>
      </c>
    </row>
    <row r="2241">
      <c r="A2241" t="n">
        <v>124947</v>
      </c>
      <c r="B2241" t="n">
        <v>128</v>
      </c>
      <c r="C2241" t="inlineStr">
        <is>
          <t>Love Cabaret</t>
        </is>
      </c>
      <c r="D2241" t="inlineStr">
        <is>
          <t>A.W.C COMERCIO ATACADISTA E DISTRIBUIDORA LTDA.</t>
        </is>
      </c>
      <c r="E2241" t="n">
        <v>1078.8</v>
      </c>
      <c r="F2241" s="27" t="n">
        <v>45769</v>
      </c>
      <c r="G2241" s="27" t="n">
        <v>45769</v>
      </c>
      <c r="H2241" s="27" t="n">
        <v>45769</v>
      </c>
      <c r="I2241" s="27" t="n">
        <v>45754</v>
      </c>
      <c r="J2241" s="27" t="n">
        <v>45758</v>
      </c>
      <c r="K2241" t="inlineStr">
        <is>
          <t>Boleto Bancário</t>
        </is>
      </c>
      <c r="L2241" t="inlineStr">
        <is>
          <t>Custo Mercadoria Vendida</t>
        </is>
      </c>
      <c r="M2241" t="inlineStr">
        <is>
          <t>Insumos - Bebidas</t>
        </is>
      </c>
      <c r="N2241" t="inlineStr">
        <is>
          <t>13910</t>
        </is>
      </c>
      <c r="O2241" t="inlineStr">
        <is>
          <t>Documentação Aprovada</t>
        </is>
      </c>
      <c r="P2241" t="inlineStr">
        <is>
          <t>Aprovado Diretoria</t>
        </is>
      </c>
      <c r="Q2241" t="inlineStr">
        <is>
          <t>Aprovado Caixa</t>
        </is>
      </c>
      <c r="R2241" t="inlineStr">
        <is>
          <t>Pago</t>
        </is>
      </c>
      <c r="S2241" t="n">
        <v>115</v>
      </c>
      <c r="T2241" t="inlineStr">
        <is>
          <t>Love - Shibari - Bradesco</t>
        </is>
      </c>
    </row>
    <row r="2242">
      <c r="A2242" t="n">
        <v>124949</v>
      </c>
      <c r="B2242" t="n">
        <v>128</v>
      </c>
      <c r="C2242" t="inlineStr">
        <is>
          <t>Love Cabaret</t>
        </is>
      </c>
      <c r="D2242" t="inlineStr">
        <is>
          <t xml:space="preserve">SKY COMERCIO DE PRODUTOS ALIMENTICIOS LTDA </t>
        </is>
      </c>
      <c r="E2242" t="n">
        <v>1862.84</v>
      </c>
      <c r="F2242" s="27" t="n">
        <v>45768</v>
      </c>
      <c r="G2242" s="27" t="n">
        <v>45769</v>
      </c>
      <c r="H2242" s="27" t="n">
        <v>45769</v>
      </c>
      <c r="I2242" s="27" t="n">
        <v>45754</v>
      </c>
      <c r="J2242" s="27" t="n">
        <v>45758</v>
      </c>
      <c r="K2242" t="inlineStr">
        <is>
          <t>Boleto Bancário</t>
        </is>
      </c>
      <c r="L2242" t="inlineStr">
        <is>
          <t>Custo Mercadoria Vendida</t>
        </is>
      </c>
      <c r="M2242" t="inlineStr">
        <is>
          <t>Insumos - Bebidas</t>
        </is>
      </c>
      <c r="N2242" t="inlineStr">
        <is>
          <t>27643</t>
        </is>
      </c>
      <c r="O2242" t="inlineStr">
        <is>
          <t>Documentação Aprovada</t>
        </is>
      </c>
      <c r="P2242" t="inlineStr">
        <is>
          <t>Aprovado Diretoria</t>
        </is>
      </c>
      <c r="Q2242" t="inlineStr">
        <is>
          <t>Aprovado Caixa</t>
        </is>
      </c>
      <c r="R2242" t="inlineStr">
        <is>
          <t>Pago</t>
        </is>
      </c>
      <c r="S2242" t="n">
        <v>115</v>
      </c>
      <c r="T2242" t="inlineStr">
        <is>
          <t>Love - Shibari - Bradesco</t>
        </is>
      </c>
    </row>
    <row r="2243">
      <c r="A2243" t="n">
        <v>124953</v>
      </c>
      <c r="B2243" t="n">
        <v>128</v>
      </c>
      <c r="C2243" t="inlineStr">
        <is>
          <t>Love Cabaret</t>
        </is>
      </c>
      <c r="D2243" t="inlineStr">
        <is>
          <t>ASSAZ ORGANICA INDUSTRIA E COMERCIO DE ALIMENTOS LTDA</t>
        </is>
      </c>
      <c r="E2243" t="n">
        <v>30.25</v>
      </c>
      <c r="F2243" s="27" t="n">
        <v>45770</v>
      </c>
      <c r="G2243" s="27" t="n">
        <v>45769</v>
      </c>
      <c r="H2243" s="27" t="n">
        <v>45769</v>
      </c>
      <c r="I2243" s="27" t="n">
        <v>45755</v>
      </c>
      <c r="J2243" s="27" t="n">
        <v>45758</v>
      </c>
      <c r="K2243" t="inlineStr">
        <is>
          <t>Boleto Bancário</t>
        </is>
      </c>
      <c r="L2243" t="inlineStr">
        <is>
          <t>Custo Mercadoria Vendida</t>
        </is>
      </c>
      <c r="M2243" t="inlineStr">
        <is>
          <t>Insumos - Alimentos</t>
        </is>
      </c>
      <c r="N2243" t="inlineStr">
        <is>
          <t>19770</t>
        </is>
      </c>
      <c r="O2243" t="inlineStr">
        <is>
          <t>Documentação Aprovada</t>
        </is>
      </c>
      <c r="P2243" t="inlineStr">
        <is>
          <t>Aprovado Diretoria</t>
        </is>
      </c>
      <c r="Q2243" t="inlineStr">
        <is>
          <t>Aprovado Caixa</t>
        </is>
      </c>
      <c r="R2243" t="inlineStr">
        <is>
          <t>Pago</t>
        </is>
      </c>
      <c r="S2243" t="n">
        <v>115</v>
      </c>
      <c r="T2243" t="inlineStr">
        <is>
          <t>Love - Shibari - Bradesco</t>
        </is>
      </c>
    </row>
    <row r="2244">
      <c r="A2244" t="n">
        <v>124934</v>
      </c>
      <c r="B2244" t="n">
        <v>128</v>
      </c>
      <c r="C2244" t="inlineStr">
        <is>
          <t>Love Cabaret</t>
        </is>
      </c>
      <c r="D2244" t="inlineStr">
        <is>
          <t>NOVA COMERCIAL DO PEIXE LTDA</t>
        </is>
      </c>
      <c r="E2244" t="n">
        <v>588</v>
      </c>
      <c r="F2244" s="27" t="n">
        <v>45768</v>
      </c>
      <c r="G2244" s="27" t="n">
        <v>45769</v>
      </c>
      <c r="H2244" s="27" t="n">
        <v>45769</v>
      </c>
      <c r="I2244" s="27" t="n">
        <v>45754</v>
      </c>
      <c r="J2244" s="27" t="n">
        <v>45758</v>
      </c>
      <c r="K2244" t="inlineStr">
        <is>
          <t>Boleto Bancário</t>
        </is>
      </c>
      <c r="L2244" t="inlineStr">
        <is>
          <t>Custo Mercadoria Vendida</t>
        </is>
      </c>
      <c r="M2244" t="inlineStr">
        <is>
          <t>Insumos - Alimentos</t>
        </is>
      </c>
      <c r="N2244" t="inlineStr">
        <is>
          <t>23846</t>
        </is>
      </c>
      <c r="O2244" t="inlineStr">
        <is>
          <t>Documentação Aprovada</t>
        </is>
      </c>
      <c r="P2244" t="inlineStr">
        <is>
          <t>Aprovado Diretoria</t>
        </is>
      </c>
      <c r="Q2244" t="inlineStr">
        <is>
          <t>Aprovado Caixa</t>
        </is>
      </c>
      <c r="R2244" t="inlineStr">
        <is>
          <t>Pago</t>
        </is>
      </c>
      <c r="S2244" t="n">
        <v>115</v>
      </c>
      <c r="T2244" t="inlineStr">
        <is>
          <t>Love - Shibari - Bradesco</t>
        </is>
      </c>
    </row>
    <row r="2245">
      <c r="A2245" t="n">
        <v>125010</v>
      </c>
      <c r="B2245" t="n">
        <v>128</v>
      </c>
      <c r="C2245" t="inlineStr">
        <is>
          <t>Love Cabaret</t>
        </is>
      </c>
      <c r="D2245" t="inlineStr">
        <is>
          <t xml:space="preserve"> FAMIGERADA COMERCIO E EXPORTACAO DE BEBIDAS LTDA</t>
        </is>
      </c>
      <c r="E2245" t="n">
        <v>195</v>
      </c>
      <c r="F2245" s="27" t="n">
        <v>45768</v>
      </c>
      <c r="G2245" s="27" t="n">
        <v>45769</v>
      </c>
      <c r="H2245" s="27" t="n">
        <v>45769</v>
      </c>
      <c r="I2245" s="27" t="n">
        <v>45754</v>
      </c>
      <c r="J2245" s="27" t="n">
        <v>45758</v>
      </c>
      <c r="K2245" t="inlineStr">
        <is>
          <t>Boleto Bancário</t>
        </is>
      </c>
      <c r="L2245" t="inlineStr">
        <is>
          <t>Custo Mercadoria Vendida</t>
        </is>
      </c>
      <c r="M2245" t="inlineStr">
        <is>
          <t>Insumos - Bebidas</t>
        </is>
      </c>
      <c r="N2245" t="inlineStr">
        <is>
          <t>1509</t>
        </is>
      </c>
      <c r="O2245" t="inlineStr">
        <is>
          <t>Documentação Aprovada</t>
        </is>
      </c>
      <c r="P2245" t="inlineStr">
        <is>
          <t>Aprovado Diretoria</t>
        </is>
      </c>
      <c r="Q2245" t="inlineStr">
        <is>
          <t>Aprovado Caixa</t>
        </is>
      </c>
      <c r="R2245" t="inlineStr">
        <is>
          <t>Pago</t>
        </is>
      </c>
      <c r="S2245" t="n">
        <v>115</v>
      </c>
      <c r="T2245" t="inlineStr">
        <is>
          <t>Love - Shibari - Bradesco</t>
        </is>
      </c>
    </row>
    <row r="2246">
      <c r="A2246" t="n">
        <v>124933</v>
      </c>
      <c r="B2246" t="n">
        <v>128</v>
      </c>
      <c r="C2246" t="inlineStr">
        <is>
          <t>Love Cabaret</t>
        </is>
      </c>
      <c r="D2246" t="inlineStr">
        <is>
          <t>CECILIA TSUYACO ARAKI SILVA LTDA</t>
        </is>
      </c>
      <c r="E2246" t="n">
        <v>266.9</v>
      </c>
      <c r="F2246" s="27" t="n">
        <v>45768</v>
      </c>
      <c r="G2246" s="27" t="n">
        <v>45769</v>
      </c>
      <c r="H2246" s="27" t="n">
        <v>45769</v>
      </c>
      <c r="I2246" s="27" t="n">
        <v>45754</v>
      </c>
      <c r="J2246" s="27" t="n">
        <v>45758</v>
      </c>
      <c r="K2246" t="inlineStr">
        <is>
          <t>Boleto Bancário</t>
        </is>
      </c>
      <c r="L2246" t="inlineStr">
        <is>
          <t>Custo Mercadoria Vendida</t>
        </is>
      </c>
      <c r="M2246" t="inlineStr">
        <is>
          <t>Insumos - Alimentos</t>
        </is>
      </c>
      <c r="N2246" t="inlineStr">
        <is>
          <t>368823</t>
        </is>
      </c>
      <c r="O2246" t="inlineStr">
        <is>
          <t>Documentação Aprovada</t>
        </is>
      </c>
      <c r="P2246" t="inlineStr">
        <is>
          <t>Aprovado Diretoria</t>
        </is>
      </c>
      <c r="Q2246" t="inlineStr">
        <is>
          <t>Aprovado Caixa</t>
        </is>
      </c>
      <c r="R2246" t="inlineStr">
        <is>
          <t>Pago</t>
        </is>
      </c>
      <c r="S2246" t="n">
        <v>115</v>
      </c>
      <c r="T2246" t="inlineStr">
        <is>
          <t>Love - Shibari - Bradesco</t>
        </is>
      </c>
    </row>
    <row r="2247">
      <c r="A2247" t="n">
        <v>125015</v>
      </c>
      <c r="B2247" t="n">
        <v>128</v>
      </c>
      <c r="C2247" t="inlineStr">
        <is>
          <t>Love Cabaret</t>
        </is>
      </c>
      <c r="D2247" t="inlineStr">
        <is>
          <t>PIRAMIDES COMERCIO DE AGUAS MINEIRAIS E BEBIDAS EM GERAL LTDA</t>
        </is>
      </c>
      <c r="E2247" t="n">
        <v>299.92</v>
      </c>
      <c r="F2247" s="27" t="n">
        <v>45770</v>
      </c>
      <c r="G2247" s="27" t="n">
        <v>45769</v>
      </c>
      <c r="H2247" s="27" t="n">
        <v>45769</v>
      </c>
      <c r="I2247" s="27" t="n">
        <v>45756</v>
      </c>
      <c r="J2247" s="27" t="n">
        <v>45758</v>
      </c>
      <c r="K2247" t="inlineStr">
        <is>
          <t>Boleto Bancário</t>
        </is>
      </c>
      <c r="L2247" t="inlineStr">
        <is>
          <t>Custo Mercadoria Vendida</t>
        </is>
      </c>
      <c r="M2247" t="inlineStr">
        <is>
          <t>Insumos - Bebidas</t>
        </is>
      </c>
      <c r="N2247" t="inlineStr">
        <is>
          <t>92386</t>
        </is>
      </c>
      <c r="O2247" t="inlineStr">
        <is>
          <t>Documentação Aprovada</t>
        </is>
      </c>
      <c r="P2247" t="inlineStr">
        <is>
          <t>Aprovado Diretoria</t>
        </is>
      </c>
      <c r="Q2247" t="inlineStr">
        <is>
          <t>Aprovado Caixa</t>
        </is>
      </c>
      <c r="R2247" t="inlineStr">
        <is>
          <t>Pago</t>
        </is>
      </c>
      <c r="S2247" t="n">
        <v>115</v>
      </c>
      <c r="T2247" t="inlineStr">
        <is>
          <t>Love - Shibari - Bradesco</t>
        </is>
      </c>
    </row>
    <row r="2248">
      <c r="A2248" t="n">
        <v>125014</v>
      </c>
      <c r="B2248" t="n">
        <v>128</v>
      </c>
      <c r="C2248" t="inlineStr">
        <is>
          <t>Love Cabaret</t>
        </is>
      </c>
      <c r="D2248" t="inlineStr">
        <is>
          <t>PIRAMIDES COMERCIO DE AGUAS MINEIRAIS E BEBIDAS EM GERAL LTDA</t>
        </is>
      </c>
      <c r="E2248" t="n">
        <v>407.04</v>
      </c>
      <c r="F2248" s="27" t="n">
        <v>45768</v>
      </c>
      <c r="G2248" s="27" t="n">
        <v>45769</v>
      </c>
      <c r="H2248" s="27" t="n">
        <v>45769</v>
      </c>
      <c r="I2248" s="27" t="n">
        <v>45754</v>
      </c>
      <c r="J2248" s="27" t="n">
        <v>45758</v>
      </c>
      <c r="K2248" t="inlineStr">
        <is>
          <t>Boleto Bancário</t>
        </is>
      </c>
      <c r="L2248" t="inlineStr">
        <is>
          <t>Custo Mercadoria Vendida</t>
        </is>
      </c>
      <c r="M2248" t="inlineStr">
        <is>
          <t>Insumos - Bebidas</t>
        </is>
      </c>
      <c r="N2248" t="inlineStr">
        <is>
          <t>91890</t>
        </is>
      </c>
      <c r="O2248" t="inlineStr">
        <is>
          <t>Documentação Aprovada</t>
        </is>
      </c>
      <c r="P2248" t="inlineStr">
        <is>
          <t>Aprovado Diretoria</t>
        </is>
      </c>
      <c r="Q2248" t="inlineStr">
        <is>
          <t>Aprovado Caixa</t>
        </is>
      </c>
      <c r="R2248" t="inlineStr">
        <is>
          <t>Pago</t>
        </is>
      </c>
      <c r="S2248" t="n">
        <v>115</v>
      </c>
      <c r="T2248" t="inlineStr">
        <is>
          <t>Love - Shibari - Bradesco</t>
        </is>
      </c>
    </row>
    <row r="2249">
      <c r="A2249" t="n">
        <v>125013</v>
      </c>
      <c r="B2249" t="n">
        <v>128</v>
      </c>
      <c r="C2249" t="inlineStr">
        <is>
          <t>Love Cabaret</t>
        </is>
      </c>
      <c r="D2249" t="inlineStr">
        <is>
          <t xml:space="preserve">FORTE ALIMENTOS COM. IMPORTAÇÃO LTDA </t>
        </is>
      </c>
      <c r="E2249" t="n">
        <v>482.55</v>
      </c>
      <c r="F2249" s="27" t="n">
        <v>45770</v>
      </c>
      <c r="G2249" s="27" t="n">
        <v>45769</v>
      </c>
      <c r="H2249" s="27" t="n">
        <v>45769</v>
      </c>
      <c r="I2249" s="27" t="n">
        <v>45755</v>
      </c>
      <c r="J2249" s="27" t="n">
        <v>45758</v>
      </c>
      <c r="K2249" t="inlineStr">
        <is>
          <t>Boleto Bancário</t>
        </is>
      </c>
      <c r="L2249" t="inlineStr">
        <is>
          <t>Custo Mercadoria Vendida</t>
        </is>
      </c>
      <c r="M2249" t="inlineStr">
        <is>
          <t>Insumos - Alimentos</t>
        </is>
      </c>
      <c r="N2249" t="inlineStr">
        <is>
          <t>306200</t>
        </is>
      </c>
      <c r="O2249" t="inlineStr">
        <is>
          <t>Documentação Aprovada</t>
        </is>
      </c>
      <c r="P2249" t="inlineStr">
        <is>
          <t>Aprovado Diretoria</t>
        </is>
      </c>
      <c r="Q2249" t="inlineStr">
        <is>
          <t>Aprovado Caixa</t>
        </is>
      </c>
      <c r="R2249" t="inlineStr">
        <is>
          <t>Pago</t>
        </is>
      </c>
      <c r="S2249" t="n">
        <v>115</v>
      </c>
      <c r="T2249" t="inlineStr">
        <is>
          <t>Love - Shibari - Bradesco</t>
        </is>
      </c>
    </row>
    <row r="2250">
      <c r="A2250" t="n">
        <v>128607</v>
      </c>
      <c r="B2250" t="n">
        <v>128</v>
      </c>
      <c r="C2250" t="inlineStr">
        <is>
          <t>Love Cabaret</t>
        </is>
      </c>
      <c r="D2250" t="inlineStr">
        <is>
          <t>BRADESCO SA</t>
        </is>
      </c>
      <c r="E2250" t="n">
        <v>31.61</v>
      </c>
      <c r="F2250" s="27" t="n">
        <v>45769</v>
      </c>
      <c r="G2250" s="27" t="n"/>
      <c r="H2250" s="27" t="n">
        <v>45769</v>
      </c>
      <c r="I2250" s="27" t="n">
        <v>45769</v>
      </c>
      <c r="J2250" s="27" t="n">
        <v>45781</v>
      </c>
      <c r="K2250" t="inlineStr">
        <is>
          <t>Encontro de Contas</t>
        </is>
      </c>
      <c r="L2250" t="inlineStr">
        <is>
          <t>Despesas Financeiras</t>
        </is>
      </c>
      <c r="M2250" t="inlineStr">
        <is>
          <t>Tarifas Bancárias</t>
        </is>
      </c>
      <c r="N2250" t="inlineStr">
        <is>
          <t>316142025</t>
        </is>
      </c>
      <c r="P2250" t="inlineStr">
        <is>
          <t>Aprovado Diretoria</t>
        </is>
      </c>
      <c r="R2250" t="inlineStr">
        <is>
          <t>Pago</t>
        </is>
      </c>
    </row>
    <row r="2251">
      <c r="A2251" t="n">
        <v>124429</v>
      </c>
      <c r="B2251" t="n">
        <v>128</v>
      </c>
      <c r="C2251" t="inlineStr">
        <is>
          <t>Love Cabaret</t>
        </is>
      </c>
      <c r="D2251" t="inlineStr">
        <is>
          <t>OPUS CONSULTORIA E PESQUISA LTDA</t>
        </is>
      </c>
      <c r="E2251" t="n">
        <v>300</v>
      </c>
      <c r="F2251" s="27" t="n">
        <v>45768</v>
      </c>
      <c r="G2251" s="27" t="n">
        <v>45769</v>
      </c>
      <c r="H2251" s="27" t="n">
        <v>45769</v>
      </c>
      <c r="I2251" s="27" t="n">
        <v>45749</v>
      </c>
      <c r="J2251" s="27" t="n">
        <v>45756</v>
      </c>
      <c r="K2251" t="inlineStr">
        <is>
          <t>Boleto Bancário</t>
        </is>
      </c>
      <c r="L2251" t="inlineStr">
        <is>
          <t>Serviços de Terceiros</t>
        </is>
      </c>
      <c r="M2251" t="inlineStr">
        <is>
          <t>Assessoria em Geral</t>
        </is>
      </c>
      <c r="N2251" t="inlineStr">
        <is>
          <t>44</t>
        </is>
      </c>
      <c r="O2251" t="inlineStr">
        <is>
          <t>Documentação Aprovada</t>
        </is>
      </c>
      <c r="P2251" t="inlineStr">
        <is>
          <t>Aprovado Diretoria</t>
        </is>
      </c>
      <c r="Q2251" t="inlineStr">
        <is>
          <t>Aprovado Caixa</t>
        </is>
      </c>
      <c r="R2251" t="inlineStr">
        <is>
          <t>Pago</t>
        </is>
      </c>
      <c r="S2251" t="n">
        <v>115</v>
      </c>
      <c r="T2251" t="inlineStr">
        <is>
          <t>Love - Shibari - Bradesco</t>
        </is>
      </c>
    </row>
    <row r="2252">
      <c r="A2252" t="n">
        <v>124083</v>
      </c>
      <c r="B2252" t="n">
        <v>128</v>
      </c>
      <c r="C2252" t="inlineStr">
        <is>
          <t>Love Cabaret</t>
        </is>
      </c>
      <c r="D2252" t="inlineStr">
        <is>
          <t>LALAMOVE TECNOLOGIA (BRASIL) LTDA</t>
        </is>
      </c>
      <c r="E2252" t="n">
        <v>15.19</v>
      </c>
      <c r="F2252" s="27" t="n">
        <v>45768</v>
      </c>
      <c r="G2252" s="27" t="n">
        <v>45769</v>
      </c>
      <c r="H2252" s="27" t="n">
        <v>45769</v>
      </c>
      <c r="I2252" s="27" t="n">
        <v>45723</v>
      </c>
      <c r="J2252" s="27" t="n">
        <v>45754</v>
      </c>
      <c r="K2252" t="inlineStr">
        <is>
          <t>Transferência Bancária ou Pix</t>
        </is>
      </c>
      <c r="L2252" t="inlineStr">
        <is>
          <t>Despesas com Transporte / Hospedagem</t>
        </is>
      </c>
      <c r="M2252" t="inlineStr">
        <is>
          <t>Fretes e Carretos</t>
        </is>
      </c>
      <c r="N2252" t="inlineStr">
        <is>
          <t>222025</t>
        </is>
      </c>
      <c r="O2252" t="inlineStr">
        <is>
          <t>Documentação Aprovada</t>
        </is>
      </c>
      <c r="P2252" t="inlineStr">
        <is>
          <t>Aprovado Diretoria</t>
        </is>
      </c>
      <c r="Q2252" t="inlineStr">
        <is>
          <t>Aprovado Caixa</t>
        </is>
      </c>
      <c r="R2252" t="inlineStr">
        <is>
          <t>Pago</t>
        </is>
      </c>
      <c r="S2252" t="n">
        <v>115</v>
      </c>
      <c r="T2252" t="inlineStr">
        <is>
          <t>Love - Shibari - Bradesco</t>
        </is>
      </c>
    </row>
    <row r="2253">
      <c r="A2253" t="n">
        <v>97012</v>
      </c>
      <c r="B2253" t="n">
        <v>128</v>
      </c>
      <c r="C2253" t="inlineStr">
        <is>
          <t>Love Cabaret</t>
        </is>
      </c>
      <c r="D2253" t="inlineStr">
        <is>
          <t>ESHOWS PROMOCOES ARTISTICAS LTDA</t>
        </is>
      </c>
      <c r="E2253" t="n">
        <v>17010</v>
      </c>
      <c r="F2253" s="27" t="n">
        <v>45767</v>
      </c>
      <c r="G2253" s="27" t="n">
        <v>45764</v>
      </c>
      <c r="H2253" s="27" t="n">
        <v>45764</v>
      </c>
      <c r="I2253" s="27" t="n">
        <v>45717</v>
      </c>
      <c r="J2253" s="27" t="n"/>
      <c r="K2253" t="inlineStr">
        <is>
          <t>Boleto Bancário</t>
        </is>
      </c>
      <c r="L2253" t="inlineStr">
        <is>
          <t>Custos Artístico Geral</t>
        </is>
      </c>
      <c r="M2253" t="inlineStr">
        <is>
          <t>Cachê de Músicos e Artistas</t>
        </is>
      </c>
      <c r="N2253" t="inlineStr">
        <is>
          <t>551677179</t>
        </is>
      </c>
      <c r="O2253" t="inlineStr">
        <is>
          <t>Documentação Aprovada</t>
        </is>
      </c>
      <c r="P2253" t="inlineStr">
        <is>
          <t>Aprovado Diretoria</t>
        </is>
      </c>
      <c r="Q2253" t="inlineStr">
        <is>
          <t>Aprovado Caixa</t>
        </is>
      </c>
      <c r="R2253" t="inlineStr">
        <is>
          <t>Pago</t>
        </is>
      </c>
      <c r="S2253" t="n">
        <v>115</v>
      </c>
      <c r="T2253" t="inlineStr">
        <is>
          <t>Love - Shibari - Bradesco</t>
        </is>
      </c>
    </row>
    <row r="2254">
      <c r="A2254" t="n">
        <v>97096</v>
      </c>
      <c r="B2254" t="n">
        <v>128</v>
      </c>
      <c r="C2254" t="inlineStr">
        <is>
          <t>Love Cabaret</t>
        </is>
      </c>
      <c r="D2254" t="inlineStr">
        <is>
          <t>ESTAFF SOLUCOES TECNOLOGICAS DE AGENCIAMENTO LTDA</t>
        </is>
      </c>
      <c r="E2254" t="n">
        <v>16494.5</v>
      </c>
      <c r="F2254" s="27" t="n">
        <v>45763</v>
      </c>
      <c r="G2254" s="27" t="n">
        <v>45763</v>
      </c>
      <c r="H2254" s="27" t="n">
        <v>45763</v>
      </c>
      <c r="I2254" s="27" t="n">
        <v>45754</v>
      </c>
      <c r="J2254" s="27" t="n"/>
      <c r="K2254" t="inlineStr">
        <is>
          <t>Boleto Bancário</t>
        </is>
      </c>
      <c r="L2254" t="inlineStr">
        <is>
          <t>Mão de Obra - Extra</t>
        </is>
      </c>
      <c r="M2254" t="inlineStr">
        <is>
          <t>Mão de Obra Extra</t>
        </is>
      </c>
      <c r="N2254" t="inlineStr">
        <is>
          <t>549905229</t>
        </is>
      </c>
      <c r="O2254" t="inlineStr">
        <is>
          <t>Documentação Aprovada</t>
        </is>
      </c>
      <c r="P2254" t="inlineStr">
        <is>
          <t>Aprovado Diretoria</t>
        </is>
      </c>
      <c r="Q2254" t="inlineStr">
        <is>
          <t>Aprovado Caixa</t>
        </is>
      </c>
      <c r="R2254" t="inlineStr">
        <is>
          <t>Pago</t>
        </is>
      </c>
      <c r="S2254" t="n">
        <v>115</v>
      </c>
      <c r="T2254" t="inlineStr">
        <is>
          <t>Love - Shibari - Bradesco</t>
        </is>
      </c>
    </row>
    <row r="2255">
      <c r="A2255" t="n">
        <v>96935</v>
      </c>
      <c r="B2255" t="n">
        <v>128</v>
      </c>
      <c r="C2255" t="inlineStr">
        <is>
          <t>Love Cabaret</t>
        </is>
      </c>
      <c r="D2255" t="inlineStr">
        <is>
          <t>CIA DE SANEAMENTO BASICO DO ESTADO DE SAO PAULO SABESP</t>
        </is>
      </c>
      <c r="E2255" t="n">
        <v>153.96</v>
      </c>
      <c r="F2255" s="27" t="n">
        <v>45767</v>
      </c>
      <c r="G2255" s="27" t="n">
        <v>45763</v>
      </c>
      <c r="H2255" s="27" t="n">
        <v>45763</v>
      </c>
      <c r="I2255" s="27" t="n">
        <v>45729</v>
      </c>
      <c r="J2255" s="27" t="n"/>
      <c r="K2255" t="inlineStr">
        <is>
          <t>Boleto Bancário</t>
        </is>
      </c>
      <c r="L2255" t="inlineStr">
        <is>
          <t>Utilidades</t>
        </is>
      </c>
      <c r="M2255" t="inlineStr">
        <is>
          <t>Agua/Esgoto</t>
        </is>
      </c>
      <c r="N2255" t="inlineStr">
        <is>
          <t>202527014876</t>
        </is>
      </c>
      <c r="O2255" t="inlineStr">
        <is>
          <t>Documentação Aprovada</t>
        </is>
      </c>
      <c r="P2255" t="inlineStr">
        <is>
          <t>Aprovado Diretoria</t>
        </is>
      </c>
      <c r="Q2255" t="inlineStr">
        <is>
          <t>Aprovado Caixa</t>
        </is>
      </c>
      <c r="R2255" t="inlineStr">
        <is>
          <t>Pago</t>
        </is>
      </c>
      <c r="S2255" t="n">
        <v>115</v>
      </c>
      <c r="T2255" t="inlineStr">
        <is>
          <t>Love - Shibari - Bradesco</t>
        </is>
      </c>
    </row>
    <row r="2256">
      <c r="A2256" t="n">
        <v>121628</v>
      </c>
      <c r="B2256" t="n">
        <v>128</v>
      </c>
      <c r="C2256" t="inlineStr">
        <is>
          <t>Love Cabaret</t>
        </is>
      </c>
      <c r="D2256" t="inlineStr">
        <is>
          <t>WIDE STOCK COMERCIO E DISTRIBUICAO LTDA</t>
        </is>
      </c>
      <c r="E2256" t="n">
        <v>280.9</v>
      </c>
      <c r="F2256" s="27" t="n">
        <v>45764</v>
      </c>
      <c r="G2256" s="27" t="n">
        <v>45763</v>
      </c>
      <c r="H2256" s="27" t="n">
        <v>45763</v>
      </c>
      <c r="I2256" s="27" t="n">
        <v>45743</v>
      </c>
      <c r="J2256" s="27" t="n">
        <v>45749</v>
      </c>
      <c r="K2256" t="inlineStr">
        <is>
          <t>Boleto Bancário</t>
        </is>
      </c>
      <c r="L2256" t="inlineStr">
        <is>
          <t>Utilidades</t>
        </is>
      </c>
      <c r="M2256" t="inlineStr">
        <is>
          <t>Higiene e Limpeza</t>
        </is>
      </c>
      <c r="N2256" t="inlineStr">
        <is>
          <t>399051</t>
        </is>
      </c>
      <c r="O2256" t="inlineStr">
        <is>
          <t>Documentação Aprovada</t>
        </is>
      </c>
      <c r="P2256" t="inlineStr">
        <is>
          <t>Aprovado Diretoria</t>
        </is>
      </c>
      <c r="Q2256" t="inlineStr">
        <is>
          <t>Aprovado Caixa</t>
        </is>
      </c>
      <c r="R2256" t="inlineStr">
        <is>
          <t>Pago</t>
        </is>
      </c>
      <c r="S2256" t="n">
        <v>115</v>
      </c>
      <c r="T2256" t="inlineStr">
        <is>
          <t>Love - Shibari - Bradesco</t>
        </is>
      </c>
    </row>
    <row r="2257">
      <c r="A2257" t="n">
        <v>122275</v>
      </c>
      <c r="B2257" t="n">
        <v>128</v>
      </c>
      <c r="C2257" t="inlineStr">
        <is>
          <t>Love Cabaret</t>
        </is>
      </c>
      <c r="D2257" t="inlineStr">
        <is>
          <t>IRRF</t>
        </is>
      </c>
      <c r="E2257" t="n">
        <v>122.23</v>
      </c>
      <c r="F2257" s="27" t="n">
        <v>45764</v>
      </c>
      <c r="G2257" s="27" t="n">
        <v>45763</v>
      </c>
      <c r="H2257" s="27" t="n">
        <v>45763</v>
      </c>
      <c r="I2257" s="27" t="n">
        <v>45747</v>
      </c>
      <c r="J2257" s="27" t="n">
        <v>45750</v>
      </c>
      <c r="K2257" t="inlineStr">
        <is>
          <t>Transferência Bancária ou Pix</t>
        </is>
      </c>
      <c r="L2257" t="inlineStr">
        <is>
          <t>Mão de Obra - Encargos e Provisões</t>
        </is>
      </c>
      <c r="M2257" t="inlineStr">
        <is>
          <t>IRRF - MDO CLT - Salário</t>
        </is>
      </c>
      <c r="N2257" t="inlineStr">
        <is>
          <t>12223 032025</t>
        </is>
      </c>
      <c r="O2257" t="inlineStr">
        <is>
          <t>Documentação Aprovada</t>
        </is>
      </c>
      <c r="P2257" t="inlineStr">
        <is>
          <t>Aprovado Diretoria</t>
        </is>
      </c>
      <c r="Q2257" t="inlineStr">
        <is>
          <t>Aprovado Caixa</t>
        </is>
      </c>
      <c r="R2257" t="inlineStr">
        <is>
          <t>Pago</t>
        </is>
      </c>
      <c r="S2257" t="n">
        <v>115</v>
      </c>
      <c r="T2257" t="inlineStr">
        <is>
          <t>Love - Shibari - Bradesco</t>
        </is>
      </c>
    </row>
    <row r="2258">
      <c r="A2258" t="n">
        <v>122274</v>
      </c>
      <c r="B2258" t="n">
        <v>128</v>
      </c>
      <c r="C2258" t="inlineStr">
        <is>
          <t>Love Cabaret</t>
        </is>
      </c>
      <c r="D2258" t="inlineStr">
        <is>
          <t>FGTS</t>
        </is>
      </c>
      <c r="E2258" t="n">
        <v>596.23</v>
      </c>
      <c r="F2258" s="27" t="n">
        <v>45764</v>
      </c>
      <c r="G2258" s="27" t="n">
        <v>45763</v>
      </c>
      <c r="H2258" s="27" t="n">
        <v>45763</v>
      </c>
      <c r="I2258" s="27" t="n">
        <v>45747</v>
      </c>
      <c r="J2258" s="27" t="n">
        <v>45750</v>
      </c>
      <c r="K2258" t="inlineStr">
        <is>
          <t>Transferência Bancária ou Pix</t>
        </is>
      </c>
      <c r="L2258" t="inlineStr">
        <is>
          <t>Mão de Obra - Encargos e Provisões</t>
        </is>
      </c>
      <c r="M2258" t="inlineStr">
        <is>
          <t xml:space="preserve">  -  FGTS</t>
        </is>
      </c>
      <c r="N2258" t="inlineStr">
        <is>
          <t>59623 032025</t>
        </is>
      </c>
      <c r="O2258" t="inlineStr">
        <is>
          <t>Documentação Aprovada</t>
        </is>
      </c>
      <c r="P2258" t="inlineStr">
        <is>
          <t>Aprovado Diretoria</t>
        </is>
      </c>
      <c r="Q2258" t="inlineStr">
        <is>
          <t>Aprovado Caixa</t>
        </is>
      </c>
      <c r="R2258" t="inlineStr">
        <is>
          <t>Pago</t>
        </is>
      </c>
      <c r="S2258" t="n">
        <v>115</v>
      </c>
      <c r="T2258" t="inlineStr">
        <is>
          <t>Love - Shibari - Bradesco</t>
        </is>
      </c>
    </row>
    <row r="2259">
      <c r="A2259" t="n">
        <v>122273</v>
      </c>
      <c r="B2259" t="n">
        <v>128</v>
      </c>
      <c r="C2259" t="inlineStr">
        <is>
          <t>Love Cabaret</t>
        </is>
      </c>
      <c r="D2259" t="inlineStr">
        <is>
          <t>INSS</t>
        </is>
      </c>
      <c r="E2259" t="n">
        <v>1714.19</v>
      </c>
      <c r="F2259" s="27" t="n">
        <v>45764</v>
      </c>
      <c r="G2259" s="27" t="n">
        <v>45763</v>
      </c>
      <c r="H2259" s="27" t="n">
        <v>45763</v>
      </c>
      <c r="I2259" s="27" t="n">
        <v>45747</v>
      </c>
      <c r="J2259" s="27" t="n">
        <v>45750</v>
      </c>
      <c r="K2259" t="inlineStr">
        <is>
          <t>Boleto Bancário</t>
        </is>
      </c>
      <c r="L2259" t="inlineStr">
        <is>
          <t>Mão de Obra - Encargos e Provisões</t>
        </is>
      </c>
      <c r="M2259" t="inlineStr">
        <is>
          <t xml:space="preserve">  -  INSS Patronal</t>
        </is>
      </c>
      <c r="N2259" t="inlineStr">
        <is>
          <t>171419 032025</t>
        </is>
      </c>
      <c r="O2259" t="inlineStr">
        <is>
          <t>Documentação Aprovada</t>
        </is>
      </c>
      <c r="P2259" t="inlineStr">
        <is>
          <t>Aprovado Diretoria</t>
        </is>
      </c>
      <c r="Q2259" t="inlineStr">
        <is>
          <t>Aprovado Caixa</t>
        </is>
      </c>
      <c r="R2259" t="inlineStr">
        <is>
          <t>Pago</t>
        </is>
      </c>
      <c r="S2259" t="n">
        <v>115</v>
      </c>
      <c r="T2259" t="inlineStr">
        <is>
          <t>Love - Shibari - Bradesco</t>
        </is>
      </c>
    </row>
    <row r="2260">
      <c r="A2260" t="n">
        <v>122272</v>
      </c>
      <c r="B2260" t="n">
        <v>128</v>
      </c>
      <c r="C2260" t="inlineStr">
        <is>
          <t>Love Cabaret</t>
        </is>
      </c>
      <c r="D2260" t="inlineStr">
        <is>
          <t>INSS</t>
        </is>
      </c>
      <c r="E2260" t="n">
        <v>681.51</v>
      </c>
      <c r="F2260" s="27" t="n">
        <v>45764</v>
      </c>
      <c r="G2260" s="27" t="n">
        <v>45763</v>
      </c>
      <c r="H2260" s="27" t="n">
        <v>45763</v>
      </c>
      <c r="I2260" s="27" t="n">
        <v>45747</v>
      </c>
      <c r="J2260" s="27" t="n">
        <v>45750</v>
      </c>
      <c r="K2260" t="inlineStr">
        <is>
          <t>Boleto Bancário</t>
        </is>
      </c>
      <c r="L2260" t="inlineStr">
        <is>
          <t>Mão de Obra - Encargos e Provisões</t>
        </is>
      </c>
      <c r="M2260" t="inlineStr">
        <is>
          <t xml:space="preserve">  -  INSS Segurados</t>
        </is>
      </c>
      <c r="N2260" t="inlineStr">
        <is>
          <t>68151 032025</t>
        </is>
      </c>
      <c r="O2260" t="inlineStr">
        <is>
          <t>Documentação Aprovada</t>
        </is>
      </c>
      <c r="P2260" t="inlineStr">
        <is>
          <t>Aprovado Diretoria</t>
        </is>
      </c>
      <c r="Q2260" t="inlineStr">
        <is>
          <t>Aprovado Caixa</t>
        </is>
      </c>
      <c r="R2260" t="inlineStr">
        <is>
          <t>Pago</t>
        </is>
      </c>
      <c r="S2260" t="n">
        <v>115</v>
      </c>
      <c r="T2260" t="inlineStr">
        <is>
          <t>Love - Shibari - Bradesco</t>
        </is>
      </c>
    </row>
    <row r="2261">
      <c r="A2261" t="n">
        <v>119881</v>
      </c>
      <c r="B2261" t="n">
        <v>128</v>
      </c>
      <c r="C2261" t="inlineStr">
        <is>
          <t>Love Cabaret</t>
        </is>
      </c>
      <c r="D2261" t="inlineStr">
        <is>
          <t>WINES4U COMÉRCIO, IMPORTAÇÃO E EXPORTAÇÃO DE VINHOS LTDA</t>
        </is>
      </c>
      <c r="E2261" t="n">
        <v>1215</v>
      </c>
      <c r="F2261" s="27" t="n">
        <v>45764</v>
      </c>
      <c r="G2261" s="27" t="n">
        <v>45763</v>
      </c>
      <c r="H2261" s="27" t="n">
        <v>45763</v>
      </c>
      <c r="I2261" s="27" t="n">
        <v>45734</v>
      </c>
      <c r="J2261" s="27" t="n">
        <v>45736</v>
      </c>
      <c r="K2261" t="inlineStr">
        <is>
          <t>Boleto Bancário</t>
        </is>
      </c>
      <c r="L2261" t="inlineStr">
        <is>
          <t>Custo Mercadoria Vendida</t>
        </is>
      </c>
      <c r="M2261" t="inlineStr">
        <is>
          <t>Insumos - Bebidas</t>
        </is>
      </c>
      <c r="N2261" t="inlineStr">
        <is>
          <t>13349</t>
        </is>
      </c>
      <c r="O2261" t="inlineStr">
        <is>
          <t>Documentação Aprovada</t>
        </is>
      </c>
      <c r="P2261" t="inlineStr">
        <is>
          <t>Aprovado Diretoria</t>
        </is>
      </c>
      <c r="Q2261" t="inlineStr">
        <is>
          <t>Aprovado Caixa</t>
        </is>
      </c>
      <c r="R2261" t="inlineStr">
        <is>
          <t>Pago</t>
        </is>
      </c>
      <c r="S2261" t="n">
        <v>115</v>
      </c>
      <c r="T2261" t="inlineStr">
        <is>
          <t>Love - Shibari - Bradesco</t>
        </is>
      </c>
    </row>
    <row r="2262">
      <c r="A2262" t="n">
        <v>119873</v>
      </c>
      <c r="B2262" t="n">
        <v>128</v>
      </c>
      <c r="C2262" t="inlineStr">
        <is>
          <t>Love Cabaret</t>
        </is>
      </c>
      <c r="D2262" t="inlineStr">
        <is>
          <t xml:space="preserve">EMPORIO MEL </t>
        </is>
      </c>
      <c r="E2262" t="n">
        <v>1393.14</v>
      </c>
      <c r="F2262" s="27" t="n">
        <v>45764</v>
      </c>
      <c r="G2262" s="27" t="n">
        <v>45763</v>
      </c>
      <c r="H2262" s="27" t="n">
        <v>45763</v>
      </c>
      <c r="I2262" s="27" t="n">
        <v>45733</v>
      </c>
      <c r="J2262" s="27" t="n">
        <v>45736</v>
      </c>
      <c r="K2262" t="inlineStr">
        <is>
          <t>Boleto Bancário</t>
        </is>
      </c>
      <c r="L2262" t="inlineStr">
        <is>
          <t>Custo Mercadoria Vendida</t>
        </is>
      </c>
      <c r="M2262" t="inlineStr">
        <is>
          <t>Insumos - Alimentos</t>
        </is>
      </c>
      <c r="N2262" t="inlineStr">
        <is>
          <t>444276</t>
        </is>
      </c>
      <c r="O2262" t="inlineStr">
        <is>
          <t>Documentação Aprovada</t>
        </is>
      </c>
      <c r="P2262" t="inlineStr">
        <is>
          <t>Aprovado Diretoria</t>
        </is>
      </c>
      <c r="Q2262" t="inlineStr">
        <is>
          <t>Aprovado Caixa</t>
        </is>
      </c>
      <c r="R2262" t="inlineStr">
        <is>
          <t>Pago</t>
        </is>
      </c>
      <c r="S2262" t="n">
        <v>115</v>
      </c>
      <c r="T2262" t="inlineStr">
        <is>
          <t>Love - Shibari - Bradesco</t>
        </is>
      </c>
    </row>
    <row r="2263">
      <c r="A2263" t="n">
        <v>108189</v>
      </c>
      <c r="B2263" t="n">
        <v>128</v>
      </c>
      <c r="C2263" t="inlineStr">
        <is>
          <t>Love Cabaret</t>
        </is>
      </c>
      <c r="D2263" t="inlineStr">
        <is>
          <t xml:space="preserve">GOOGLE BRASIL INTERNET LTDA </t>
        </is>
      </c>
      <c r="E2263" t="n">
        <v>500</v>
      </c>
      <c r="F2263" s="27" t="n">
        <v>45763</v>
      </c>
      <c r="G2263" s="27" t="n">
        <v>45763</v>
      </c>
      <c r="H2263" s="27" t="n">
        <v>45763</v>
      </c>
      <c r="I2263" s="27" t="n">
        <v>45762</v>
      </c>
      <c r="J2263" s="27" t="n"/>
      <c r="K2263" t="inlineStr">
        <is>
          <t>Boleto Bancário</t>
        </is>
      </c>
      <c r="L2263" t="inlineStr">
        <is>
          <t>Marketing</t>
        </is>
      </c>
      <c r="M2263" t="inlineStr">
        <is>
          <t>Publicidade e Propaganda</t>
        </is>
      </c>
      <c r="N2263" t="inlineStr">
        <is>
          <t>500042025</t>
        </is>
      </c>
      <c r="O2263" t="inlineStr">
        <is>
          <t>Documentação Aprovada</t>
        </is>
      </c>
      <c r="P2263" t="inlineStr">
        <is>
          <t>Aprovado Diretoria</t>
        </is>
      </c>
      <c r="Q2263" t="inlineStr">
        <is>
          <t>Aprovado Caixa</t>
        </is>
      </c>
      <c r="R2263" t="inlineStr">
        <is>
          <t>Pago</t>
        </is>
      </c>
      <c r="S2263" t="n">
        <v>115</v>
      </c>
      <c r="T2263" t="inlineStr">
        <is>
          <t>Love - Shibari - Bradesco</t>
        </is>
      </c>
    </row>
    <row r="2264">
      <c r="A2264" t="n">
        <v>109216</v>
      </c>
      <c r="B2264" t="n">
        <v>128</v>
      </c>
      <c r="C2264" t="inlineStr">
        <is>
          <t>Love Cabaret</t>
        </is>
      </c>
      <c r="D2264" t="inlineStr">
        <is>
          <t xml:space="preserve">KAMINO INSTITUICAO DE PAGAMENTO LTDA </t>
        </is>
      </c>
      <c r="E2264" t="n">
        <v>700</v>
      </c>
      <c r="F2264" s="27" t="n">
        <v>45765</v>
      </c>
      <c r="G2264" s="27" t="n">
        <v>45763</v>
      </c>
      <c r="H2264" s="27" t="n">
        <v>45763</v>
      </c>
      <c r="I2264" s="27" t="n">
        <v>45754</v>
      </c>
      <c r="J2264" s="27" t="n"/>
      <c r="K2264" t="inlineStr">
        <is>
          <t>Boleto Bancário</t>
        </is>
      </c>
      <c r="L2264" t="inlineStr">
        <is>
          <t>Despesas Financeiras</t>
        </is>
      </c>
      <c r="M2264" t="inlineStr">
        <is>
          <t>Tarifas Bancárias</t>
        </is>
      </c>
      <c r="N2264" t="inlineStr">
        <is>
          <t>6320263</t>
        </is>
      </c>
      <c r="O2264" t="inlineStr">
        <is>
          <t>Documentação Aprovada</t>
        </is>
      </c>
      <c r="P2264" t="inlineStr">
        <is>
          <t>Aprovado Diretoria</t>
        </is>
      </c>
      <c r="Q2264" t="inlineStr">
        <is>
          <t>Aprovado Caixa</t>
        </is>
      </c>
      <c r="R2264" t="inlineStr">
        <is>
          <t>Pago</t>
        </is>
      </c>
      <c r="S2264" t="n">
        <v>115</v>
      </c>
      <c r="T2264" t="inlineStr">
        <is>
          <t>Love - Shibari - Bradesco</t>
        </is>
      </c>
    </row>
    <row r="2265">
      <c r="A2265" t="n">
        <v>102816</v>
      </c>
      <c r="B2265" t="n">
        <v>128</v>
      </c>
      <c r="C2265" t="inlineStr">
        <is>
          <t>Love Cabaret</t>
        </is>
      </c>
      <c r="D2265" t="inlineStr">
        <is>
          <t>GOMES D ELIA EQUIP. HIGIENE LTDA - WESCO</t>
        </is>
      </c>
      <c r="E2265" t="n">
        <v>515</v>
      </c>
      <c r="F2265" s="27" t="n">
        <v>45767</v>
      </c>
      <c r="G2265" s="27" t="n">
        <v>45763</v>
      </c>
      <c r="H2265" s="27" t="n">
        <v>45763</v>
      </c>
      <c r="I2265" s="27" t="n">
        <v>45748</v>
      </c>
      <c r="J2265" s="27" t="n"/>
      <c r="K2265" t="inlineStr">
        <is>
          <t>Boleto Bancário</t>
        </is>
      </c>
      <c r="L2265" t="inlineStr">
        <is>
          <t>Utilidades</t>
        </is>
      </c>
      <c r="M2265" t="inlineStr">
        <is>
          <t>Higiene e Limpeza</t>
        </is>
      </c>
      <c r="N2265" t="inlineStr">
        <is>
          <t>176243</t>
        </is>
      </c>
      <c r="O2265" t="inlineStr">
        <is>
          <t>Documentação Aprovada</t>
        </is>
      </c>
      <c r="P2265" t="inlineStr">
        <is>
          <t>Aprovado Diretoria</t>
        </is>
      </c>
      <c r="Q2265" t="inlineStr">
        <is>
          <t>Aprovado Caixa</t>
        </is>
      </c>
      <c r="R2265" t="inlineStr">
        <is>
          <t>Pago</t>
        </is>
      </c>
      <c r="S2265" t="n">
        <v>115</v>
      </c>
      <c r="T2265" t="inlineStr">
        <is>
          <t>Love - Shibari - Bradesco</t>
        </is>
      </c>
    </row>
    <row r="2266">
      <c r="A2266" t="n">
        <v>102774</v>
      </c>
      <c r="B2266" t="n">
        <v>128</v>
      </c>
      <c r="C2266" t="inlineStr">
        <is>
          <t>Love Cabaret</t>
        </is>
      </c>
      <c r="D2266" t="inlineStr">
        <is>
          <t>FABRICA DE BARES PARTICIPACOES LTDA</t>
        </is>
      </c>
      <c r="E2266" t="n">
        <v>5755.03</v>
      </c>
      <c r="F2266" s="27" t="n">
        <v>45777</v>
      </c>
      <c r="G2266" s="27" t="n">
        <v>45763</v>
      </c>
      <c r="H2266" s="27" t="n">
        <v>45763</v>
      </c>
      <c r="I2266" s="27" t="n">
        <v>45746</v>
      </c>
      <c r="J2266" s="27" t="n"/>
      <c r="K2266" t="inlineStr">
        <is>
          <t>Transferência Bancária ou Pix</t>
        </is>
      </c>
      <c r="L2266" t="inlineStr">
        <is>
          <t>Mão de Obra - Benefícios</t>
        </is>
      </c>
      <c r="M2266" t="inlineStr">
        <is>
          <t xml:space="preserve">  -  Alimentação Funcionário</t>
        </is>
      </c>
      <c r="N2266" t="inlineStr">
        <is>
          <t>162025</t>
        </is>
      </c>
      <c r="O2266" t="inlineStr">
        <is>
          <t>Documentação Aprovada</t>
        </is>
      </c>
      <c r="P2266" t="inlineStr">
        <is>
          <t>Aprovado Diretoria</t>
        </is>
      </c>
      <c r="Q2266" t="inlineStr">
        <is>
          <t>Aprovado Caixa</t>
        </is>
      </c>
      <c r="R2266" t="inlineStr">
        <is>
          <t>Pago</t>
        </is>
      </c>
      <c r="S2266" t="n">
        <v>115</v>
      </c>
      <c r="T2266" t="inlineStr">
        <is>
          <t>Love - Shibari - Bradesco</t>
        </is>
      </c>
    </row>
    <row r="2267">
      <c r="A2267" t="n">
        <v>97363</v>
      </c>
      <c r="B2267" t="n">
        <v>128</v>
      </c>
      <c r="C2267" t="inlineStr">
        <is>
          <t>Love Cabaret</t>
        </is>
      </c>
      <c r="D2267" t="inlineStr">
        <is>
          <t xml:space="preserve">EDIMAR MOURA TARTAGLIONI SERVICOES DE DEDETIZACAO </t>
        </is>
      </c>
      <c r="E2267" t="n">
        <v>630</v>
      </c>
      <c r="F2267" s="27" t="n">
        <v>45770</v>
      </c>
      <c r="G2267" s="27" t="n">
        <v>45763</v>
      </c>
      <c r="H2267" s="27" t="n">
        <v>45763</v>
      </c>
      <c r="I2267" s="27" t="n">
        <v>45752</v>
      </c>
      <c r="J2267" s="27" t="n"/>
      <c r="K2267" t="inlineStr">
        <is>
          <t>Transferência Bancária ou Pix</t>
        </is>
      </c>
      <c r="L2267" t="inlineStr">
        <is>
          <t>Utilidades</t>
        </is>
      </c>
      <c r="M2267" t="inlineStr">
        <is>
          <t>Controle de Pragas</t>
        </is>
      </c>
      <c r="N2267" t="inlineStr">
        <is>
          <t>514</t>
        </is>
      </c>
      <c r="O2267" t="inlineStr">
        <is>
          <t>Documentação Aprovada</t>
        </is>
      </c>
      <c r="P2267" t="inlineStr">
        <is>
          <t>Aprovado Diretoria</t>
        </is>
      </c>
      <c r="Q2267" t="inlineStr">
        <is>
          <t>Aprovado Caixa</t>
        </is>
      </c>
      <c r="R2267" t="inlineStr">
        <is>
          <t>Pago</t>
        </is>
      </c>
      <c r="S2267" t="n">
        <v>115</v>
      </c>
      <c r="T2267" t="inlineStr">
        <is>
          <t>Love - Shibari - Bradesco</t>
        </is>
      </c>
    </row>
    <row r="2268">
      <c r="A2268" t="n">
        <v>97467</v>
      </c>
      <c r="B2268" t="n">
        <v>128</v>
      </c>
      <c r="C2268" t="inlineStr">
        <is>
          <t>Love Cabaret</t>
        </is>
      </c>
      <c r="D2268" t="inlineStr">
        <is>
          <t>ICMS</t>
        </is>
      </c>
      <c r="E2268" t="n">
        <v>8049.38</v>
      </c>
      <c r="F2268" s="27" t="n">
        <v>45767</v>
      </c>
      <c r="G2268" s="27" t="n">
        <v>45763</v>
      </c>
      <c r="H2268" s="27" t="n">
        <v>45763</v>
      </c>
      <c r="I2268" s="27" t="n">
        <v>45747</v>
      </c>
      <c r="J2268" s="27" t="n"/>
      <c r="K2268" t="inlineStr">
        <is>
          <t>Boleto Bancário</t>
        </is>
      </c>
      <c r="L2268" t="inlineStr">
        <is>
          <t>Impostos sobre Venda</t>
        </is>
      </c>
      <c r="M2268" t="inlineStr">
        <is>
          <t>ICMS</t>
        </is>
      </c>
      <c r="N2268" t="inlineStr">
        <is>
          <t>804938 032025</t>
        </is>
      </c>
      <c r="O2268" t="inlineStr">
        <is>
          <t>Documentação Aprovada</t>
        </is>
      </c>
      <c r="P2268" t="inlineStr">
        <is>
          <t>Aprovado Diretoria</t>
        </is>
      </c>
      <c r="Q2268" t="inlineStr">
        <is>
          <t>Aprovado Caixa</t>
        </is>
      </c>
      <c r="R2268" t="inlineStr">
        <is>
          <t>Pago</t>
        </is>
      </c>
      <c r="S2268" t="n">
        <v>115</v>
      </c>
      <c r="T2268" t="inlineStr">
        <is>
          <t>Love - Shibari - Bradesco</t>
        </is>
      </c>
    </row>
    <row r="2269">
      <c r="A2269" t="n">
        <v>97438</v>
      </c>
      <c r="B2269" t="n">
        <v>128</v>
      </c>
      <c r="C2269" t="inlineStr">
        <is>
          <t>Love Cabaret</t>
        </is>
      </c>
      <c r="D2269" t="inlineStr">
        <is>
          <t xml:space="preserve">MINISTERIO DA FAZENDA </t>
        </is>
      </c>
      <c r="E2269" t="n">
        <v>428.79</v>
      </c>
      <c r="F2269" s="27" t="n">
        <v>45767</v>
      </c>
      <c r="G2269" s="27" t="n">
        <v>45763</v>
      </c>
      <c r="H2269" s="27" t="n">
        <v>45763</v>
      </c>
      <c r="I2269" s="27" t="n">
        <v>45747</v>
      </c>
      <c r="J2269" s="27" t="n"/>
      <c r="K2269" t="inlineStr">
        <is>
          <t>Boleto Bancário</t>
        </is>
      </c>
      <c r="L2269" t="inlineStr">
        <is>
          <t>Serviços de Terceiros</t>
        </is>
      </c>
      <c r="M2269" t="inlineStr">
        <is>
          <t>Serviços de Segurança</t>
        </is>
      </c>
      <c r="N2269" t="inlineStr">
        <is>
          <t>032025 42879</t>
        </is>
      </c>
      <c r="O2269" t="inlineStr">
        <is>
          <t>Documentação Aprovada</t>
        </is>
      </c>
      <c r="P2269" t="inlineStr">
        <is>
          <t>Aprovado Diretoria</t>
        </is>
      </c>
      <c r="Q2269" t="inlineStr">
        <is>
          <t>Aprovado Caixa</t>
        </is>
      </c>
      <c r="R2269" t="inlineStr">
        <is>
          <t>Pago</t>
        </is>
      </c>
      <c r="S2269" t="n">
        <v>115</v>
      </c>
      <c r="T2269" t="inlineStr">
        <is>
          <t>Love - Shibari - Bradesco</t>
        </is>
      </c>
    </row>
    <row r="2270">
      <c r="A2270" t="n">
        <v>97483</v>
      </c>
      <c r="B2270" t="n">
        <v>128</v>
      </c>
      <c r="C2270" t="inlineStr">
        <is>
          <t>Love Cabaret</t>
        </is>
      </c>
      <c r="D2270" t="inlineStr">
        <is>
          <t>IRRF</t>
        </is>
      </c>
      <c r="E2270" t="n">
        <v>106.38</v>
      </c>
      <c r="F2270" s="27" t="n">
        <v>45767</v>
      </c>
      <c r="G2270" s="27" t="n">
        <v>45763</v>
      </c>
      <c r="H2270" s="27" t="n">
        <v>45763</v>
      </c>
      <c r="I2270" s="27" t="n">
        <v>45747</v>
      </c>
      <c r="J2270" s="27" t="n"/>
      <c r="K2270" t="inlineStr">
        <is>
          <t>Boleto Bancário</t>
        </is>
      </c>
      <c r="L2270" t="inlineStr">
        <is>
          <t>Serviços de Terceiros</t>
        </is>
      </c>
      <c r="M2270" t="inlineStr">
        <is>
          <t>Serviços de Segurança</t>
        </is>
      </c>
      <c r="N2270" t="inlineStr">
        <is>
          <t>10638 032025</t>
        </is>
      </c>
      <c r="O2270" t="inlineStr">
        <is>
          <t>Documentação Aprovada</t>
        </is>
      </c>
      <c r="P2270" t="inlineStr">
        <is>
          <t>Aprovado Diretoria</t>
        </is>
      </c>
      <c r="Q2270" t="inlineStr">
        <is>
          <t>Aprovado Caixa</t>
        </is>
      </c>
      <c r="R2270" t="inlineStr">
        <is>
          <t>Pago</t>
        </is>
      </c>
      <c r="S2270" t="n">
        <v>115</v>
      </c>
      <c r="T2270" t="inlineStr">
        <is>
          <t>Love - Shibari - Bradesco</t>
        </is>
      </c>
    </row>
    <row r="2271">
      <c r="A2271" t="n">
        <v>97455</v>
      </c>
      <c r="B2271" t="n">
        <v>128</v>
      </c>
      <c r="C2271" t="inlineStr">
        <is>
          <t>Love Cabaret</t>
        </is>
      </c>
      <c r="D2271" t="inlineStr">
        <is>
          <t>INSS</t>
        </is>
      </c>
      <c r="E2271" t="n">
        <v>682</v>
      </c>
      <c r="F2271" s="27" t="n">
        <v>45767</v>
      </c>
      <c r="G2271" s="27" t="n">
        <v>45763</v>
      </c>
      <c r="H2271" s="27" t="n">
        <v>45763</v>
      </c>
      <c r="I2271" s="27" t="n">
        <v>45735</v>
      </c>
      <c r="J2271" s="27" t="n"/>
      <c r="K2271" t="inlineStr">
        <is>
          <t>Boleto Bancário</t>
        </is>
      </c>
      <c r="L2271" t="inlineStr">
        <is>
          <t>Serviços de Terceiros</t>
        </is>
      </c>
      <c r="M2271" t="inlineStr">
        <is>
          <t>Serviços de Segurança</t>
        </is>
      </c>
      <c r="N2271" t="inlineStr">
        <is>
          <t>682 032025</t>
        </is>
      </c>
      <c r="O2271" t="inlineStr">
        <is>
          <t>Documentação Aprovada</t>
        </is>
      </c>
      <c r="P2271" t="inlineStr">
        <is>
          <t>Aprovado Diretoria</t>
        </is>
      </c>
      <c r="Q2271" t="inlineStr">
        <is>
          <t>Aprovado Caixa</t>
        </is>
      </c>
      <c r="R2271" t="inlineStr">
        <is>
          <t>Pago</t>
        </is>
      </c>
      <c r="S2271" t="n">
        <v>115</v>
      </c>
      <c r="T2271" t="inlineStr">
        <is>
          <t>Love - Shibari - Bradesco</t>
        </is>
      </c>
    </row>
    <row r="2272">
      <c r="A2272" t="n">
        <v>124430</v>
      </c>
      <c r="B2272" t="n">
        <v>128</v>
      </c>
      <c r="C2272" t="inlineStr">
        <is>
          <t>Love Cabaret</t>
        </is>
      </c>
      <c r="D2272" t="inlineStr">
        <is>
          <t>ASSAZ ORGANICA INDUSTRIA E COMERCIO DE ALIMENTOS LTDA</t>
        </is>
      </c>
      <c r="E2272" t="n">
        <v>29.75</v>
      </c>
      <c r="F2272" s="27" t="n">
        <v>45765</v>
      </c>
      <c r="G2272" s="27" t="n">
        <v>45763</v>
      </c>
      <c r="H2272" s="27" t="n">
        <v>45763</v>
      </c>
      <c r="I2272" s="27" t="n">
        <v>45750</v>
      </c>
      <c r="J2272" s="27" t="n">
        <v>45756</v>
      </c>
      <c r="K2272" t="inlineStr">
        <is>
          <t>Boleto Bancário</t>
        </is>
      </c>
      <c r="L2272" t="inlineStr">
        <is>
          <t>Custo Mercadoria Vendida</t>
        </is>
      </c>
      <c r="M2272" t="inlineStr">
        <is>
          <t>Insumos - Alimentos</t>
        </is>
      </c>
      <c r="N2272" t="inlineStr">
        <is>
          <t>19662</t>
        </is>
      </c>
      <c r="O2272" t="inlineStr">
        <is>
          <t>Documentação Aprovada</t>
        </is>
      </c>
      <c r="P2272" t="inlineStr">
        <is>
          <t>Aprovado Diretoria</t>
        </is>
      </c>
      <c r="Q2272" t="inlineStr">
        <is>
          <t>Aprovado Caixa</t>
        </is>
      </c>
      <c r="R2272" t="inlineStr">
        <is>
          <t>Pago</t>
        </is>
      </c>
      <c r="S2272" t="n">
        <v>115</v>
      </c>
      <c r="T2272" t="inlineStr">
        <is>
          <t>Love - Shibari - Bradesco</t>
        </is>
      </c>
    </row>
    <row r="2273">
      <c r="A2273" t="n">
        <v>124431</v>
      </c>
      <c r="B2273" t="n">
        <v>128</v>
      </c>
      <c r="C2273" t="inlineStr">
        <is>
          <t>Love Cabaret</t>
        </is>
      </c>
      <c r="D2273" t="inlineStr">
        <is>
          <t>BATARD PADARIA ARTESANAL LTDA</t>
        </is>
      </c>
      <c r="E2273" t="n">
        <v>127</v>
      </c>
      <c r="F2273" s="27" t="n">
        <v>45767</v>
      </c>
      <c r="G2273" s="27" t="n">
        <v>45763</v>
      </c>
      <c r="H2273" s="27" t="n">
        <v>45763</v>
      </c>
      <c r="I2273" s="27" t="n">
        <v>45750</v>
      </c>
      <c r="J2273" s="27" t="n">
        <v>45756</v>
      </c>
      <c r="K2273" t="inlineStr">
        <is>
          <t>Boleto Bancário</t>
        </is>
      </c>
      <c r="L2273" t="inlineStr">
        <is>
          <t>Custo Mercadoria Vendida</t>
        </is>
      </c>
      <c r="M2273" t="inlineStr">
        <is>
          <t>Insumos - Alimentos</t>
        </is>
      </c>
      <c r="N2273" t="inlineStr">
        <is>
          <t>10427</t>
        </is>
      </c>
      <c r="O2273" t="inlineStr">
        <is>
          <t>Documentação Aprovada</t>
        </is>
      </c>
      <c r="P2273" t="inlineStr">
        <is>
          <t>Aprovado Diretoria</t>
        </is>
      </c>
      <c r="Q2273" t="inlineStr">
        <is>
          <t>Aprovado Caixa</t>
        </is>
      </c>
      <c r="R2273" t="inlineStr">
        <is>
          <t>Pago</t>
        </is>
      </c>
      <c r="S2273" t="n">
        <v>115</v>
      </c>
      <c r="T2273" t="inlineStr">
        <is>
          <t>Love - Shibari - Bradesco</t>
        </is>
      </c>
    </row>
    <row r="2274">
      <c r="A2274" t="n">
        <v>124432</v>
      </c>
      <c r="B2274" t="n">
        <v>128</v>
      </c>
      <c r="C2274" t="inlineStr">
        <is>
          <t>Love Cabaret</t>
        </is>
      </c>
      <c r="D2274" t="inlineStr">
        <is>
          <t>HORTIFRUTIGRANJEIRO RODRIGUES LTDA</t>
        </is>
      </c>
      <c r="E2274" t="n">
        <v>177.9</v>
      </c>
      <c r="F2274" s="27" t="n">
        <v>45766</v>
      </c>
      <c r="G2274" s="27" t="n">
        <v>45763</v>
      </c>
      <c r="H2274" s="27" t="n">
        <v>45763</v>
      </c>
      <c r="I2274" s="27" t="n">
        <v>45751</v>
      </c>
      <c r="J2274" s="27" t="n">
        <v>45756</v>
      </c>
      <c r="K2274" t="inlineStr">
        <is>
          <t>Boleto Bancário</t>
        </is>
      </c>
      <c r="L2274" t="inlineStr">
        <is>
          <t>Custo Mercadoria Vendida</t>
        </is>
      </c>
      <c r="M2274" t="inlineStr">
        <is>
          <t>Insumos - Alimentos</t>
        </is>
      </c>
      <c r="N2274" t="inlineStr">
        <is>
          <t>9546</t>
        </is>
      </c>
      <c r="O2274" t="inlineStr">
        <is>
          <t>Documentação Aprovada</t>
        </is>
      </c>
      <c r="P2274" t="inlineStr">
        <is>
          <t>Aprovado Diretoria</t>
        </is>
      </c>
      <c r="Q2274" t="inlineStr">
        <is>
          <t>Aprovado Caixa</t>
        </is>
      </c>
      <c r="R2274" t="inlineStr">
        <is>
          <t>Pago</t>
        </is>
      </c>
      <c r="S2274" t="n">
        <v>115</v>
      </c>
      <c r="T2274" t="inlineStr">
        <is>
          <t>Love - Shibari - Bradesco</t>
        </is>
      </c>
    </row>
    <row r="2275">
      <c r="A2275" t="n">
        <v>124433</v>
      </c>
      <c r="B2275" t="n">
        <v>128</v>
      </c>
      <c r="C2275" t="inlineStr">
        <is>
          <t>Love Cabaret</t>
        </is>
      </c>
      <c r="D2275" t="inlineStr">
        <is>
          <t xml:space="preserve">ARENA VIP DISTRIBUIDORA DE BEBIDAS LTDA </t>
        </is>
      </c>
      <c r="E2275" t="n">
        <v>916</v>
      </c>
      <c r="F2275" s="27" t="n">
        <v>45765</v>
      </c>
      <c r="G2275" s="27" t="n">
        <v>45763</v>
      </c>
      <c r="H2275" s="27" t="n">
        <v>45763</v>
      </c>
      <c r="I2275" s="27" t="n">
        <v>45751</v>
      </c>
      <c r="J2275" s="27" t="n">
        <v>45756</v>
      </c>
      <c r="K2275" t="inlineStr">
        <is>
          <t>Boleto Bancário</t>
        </is>
      </c>
      <c r="L2275" t="inlineStr">
        <is>
          <t>Custo Mercadoria Vendida</t>
        </is>
      </c>
      <c r="M2275" t="inlineStr">
        <is>
          <t>Insumos - Bebidas</t>
        </is>
      </c>
      <c r="N2275" t="inlineStr">
        <is>
          <t>1852</t>
        </is>
      </c>
      <c r="O2275" t="inlineStr">
        <is>
          <t>Documentação Aprovada</t>
        </is>
      </c>
      <c r="P2275" t="inlineStr">
        <is>
          <t>Aprovado Diretoria</t>
        </is>
      </c>
      <c r="Q2275" t="inlineStr">
        <is>
          <t>Aprovado Caixa</t>
        </is>
      </c>
      <c r="R2275" t="inlineStr">
        <is>
          <t>Pago</t>
        </is>
      </c>
      <c r="S2275" t="n">
        <v>115</v>
      </c>
      <c r="T2275" t="inlineStr">
        <is>
          <t>Love - Shibari - Bradesco</t>
        </is>
      </c>
    </row>
    <row r="2276">
      <c r="A2276" t="n">
        <v>124052</v>
      </c>
      <c r="B2276" t="n">
        <v>128</v>
      </c>
      <c r="C2276" t="inlineStr">
        <is>
          <t>Love Cabaret</t>
        </is>
      </c>
      <c r="D2276" t="inlineStr">
        <is>
          <t xml:space="preserve">KATLEGO / NEUMARA SOLIDADE DE JESUS </t>
        </is>
      </c>
      <c r="E2276" t="n">
        <v>425</v>
      </c>
      <c r="F2276" s="27" t="n">
        <v>45767</v>
      </c>
      <c r="G2276" s="27" t="n">
        <v>45763</v>
      </c>
      <c r="H2276" s="27" t="n">
        <v>45763</v>
      </c>
      <c r="I2276" s="27" t="n">
        <v>45752</v>
      </c>
      <c r="J2276" s="27" t="n">
        <v>45754</v>
      </c>
      <c r="K2276" t="inlineStr">
        <is>
          <t>Transferência Bancária ou Pix</t>
        </is>
      </c>
      <c r="L2276" t="inlineStr">
        <is>
          <t>Custos Artístico Geral</t>
        </is>
      </c>
      <c r="M2276" t="inlineStr">
        <is>
          <t>Cachê de Músicos e Artistas</t>
        </is>
      </c>
      <c r="N2276" t="inlineStr">
        <is>
          <t>425042025</t>
        </is>
      </c>
      <c r="O2276" t="inlineStr">
        <is>
          <t>Documentação Aprovada</t>
        </is>
      </c>
      <c r="P2276" t="inlineStr">
        <is>
          <t>Aprovado Diretoria</t>
        </is>
      </c>
      <c r="Q2276" t="inlineStr">
        <is>
          <t>Aprovado Caixa</t>
        </is>
      </c>
      <c r="R2276" t="inlineStr">
        <is>
          <t>Pago</t>
        </is>
      </c>
      <c r="S2276" t="n">
        <v>115</v>
      </c>
      <c r="T2276" t="inlineStr">
        <is>
          <t>Love - Shibari - Bradesco</t>
        </is>
      </c>
    </row>
    <row r="2277">
      <c r="A2277" t="n">
        <v>124532</v>
      </c>
      <c r="B2277" t="n">
        <v>128</v>
      </c>
      <c r="C2277" t="inlineStr">
        <is>
          <t>Love Cabaret</t>
        </is>
      </c>
      <c r="D2277" t="inlineStr">
        <is>
          <t xml:space="preserve">FABRICIO LUMINATO ADRIANO </t>
        </is>
      </c>
      <c r="E2277" t="n">
        <v>387.25</v>
      </c>
      <c r="F2277" s="27" t="n">
        <v>45761</v>
      </c>
      <c r="G2277" s="27" t="n">
        <v>45763</v>
      </c>
      <c r="H2277" s="27" t="n">
        <v>45763</v>
      </c>
      <c r="I2277" s="27" t="n">
        <v>45757</v>
      </c>
      <c r="J2277" s="27" t="n">
        <v>45757</v>
      </c>
      <c r="K2277" t="inlineStr">
        <is>
          <t>Boleto Bancário</t>
        </is>
      </c>
      <c r="L2277" t="inlineStr">
        <is>
          <t>Custo Mercadoria Vendida</t>
        </is>
      </c>
      <c r="M2277" t="inlineStr">
        <is>
          <t>Insumos - Alimentos</t>
        </is>
      </c>
      <c r="N2277" t="inlineStr">
        <is>
          <t>36</t>
        </is>
      </c>
      <c r="O2277" t="inlineStr">
        <is>
          <t>Documentação Aprovada</t>
        </is>
      </c>
      <c r="P2277" t="inlineStr">
        <is>
          <t>Aprovado Diretoria</t>
        </is>
      </c>
      <c r="Q2277" t="inlineStr">
        <is>
          <t>Aprovado Caixa</t>
        </is>
      </c>
      <c r="R2277" t="inlineStr">
        <is>
          <t>Pago</t>
        </is>
      </c>
      <c r="S2277" t="n">
        <v>115</v>
      </c>
      <c r="T2277" t="inlineStr">
        <is>
          <t>Love - Shibari - Bradesco</t>
        </is>
      </c>
    </row>
    <row r="2278">
      <c r="A2278" t="n">
        <v>124086</v>
      </c>
      <c r="B2278" t="n">
        <v>128</v>
      </c>
      <c r="C2278" t="inlineStr">
        <is>
          <t>Love Cabaret</t>
        </is>
      </c>
      <c r="D2278" t="inlineStr">
        <is>
          <t>PJ 43960118000174 - DIEGO OLIVEIRA SANTANA</t>
        </is>
      </c>
      <c r="E2278" t="n">
        <v>560</v>
      </c>
      <c r="F2278" s="27" t="n">
        <v>45764</v>
      </c>
      <c r="G2278" s="27" t="n">
        <v>45763</v>
      </c>
      <c r="H2278" s="27" t="n">
        <v>45763</v>
      </c>
      <c r="I2278" s="27" t="n">
        <v>45748</v>
      </c>
      <c r="J2278" s="27" t="n">
        <v>45755</v>
      </c>
      <c r="K2278" t="inlineStr">
        <is>
          <t>Transferência Bancária ou Pix</t>
        </is>
      </c>
      <c r="L2278" t="inlineStr">
        <is>
          <t>Mão de Obra - PJ</t>
        </is>
      </c>
      <c r="M2278" t="inlineStr">
        <is>
          <t>MDO PJ Fixo</t>
        </is>
      </c>
      <c r="N2278" t="inlineStr">
        <is>
          <t>65</t>
        </is>
      </c>
      <c r="O2278" t="inlineStr">
        <is>
          <t>Documentação Aprovada</t>
        </is>
      </c>
      <c r="P2278" t="inlineStr">
        <is>
          <t>Aprovado Diretoria</t>
        </is>
      </c>
      <c r="Q2278" t="inlineStr">
        <is>
          <t>Aprovado Caixa</t>
        </is>
      </c>
      <c r="R2278" t="inlineStr">
        <is>
          <t>Pago</t>
        </is>
      </c>
      <c r="S2278" t="n">
        <v>115</v>
      </c>
      <c r="T2278" t="inlineStr">
        <is>
          <t>Love - Shibari - Bradesco</t>
        </is>
      </c>
    </row>
    <row r="2279">
      <c r="A2279" t="n">
        <v>125711</v>
      </c>
      <c r="B2279" t="n">
        <v>128</v>
      </c>
      <c r="C2279" t="inlineStr">
        <is>
          <t>Love Cabaret</t>
        </is>
      </c>
      <c r="D2279" t="inlineStr">
        <is>
          <t>PEDRO THOMAZ RODRIGUES</t>
        </is>
      </c>
      <c r="E2279" t="n">
        <v>888.65</v>
      </c>
      <c r="F2279" s="27" t="n">
        <v>45764</v>
      </c>
      <c r="G2279" s="27" t="n">
        <v>45763</v>
      </c>
      <c r="H2279" s="27" t="n">
        <v>45763</v>
      </c>
      <c r="I2279" s="27" t="n">
        <v>45762</v>
      </c>
      <c r="J2279" s="27" t="n"/>
      <c r="L2279" t="inlineStr">
        <is>
          <t>Mão de Obra - Salários</t>
        </is>
      </c>
      <c r="M2279" t="inlineStr">
        <is>
          <t>MDO CLT - Salário</t>
        </is>
      </c>
      <c r="O2279" t="inlineStr">
        <is>
          <t>Documentação Aprovada</t>
        </is>
      </c>
      <c r="P2279" t="inlineStr">
        <is>
          <t>Aprovado Diretoria</t>
        </is>
      </c>
      <c r="Q2279" t="inlineStr">
        <is>
          <t>Aprovado Caixa</t>
        </is>
      </c>
      <c r="R2279" t="inlineStr">
        <is>
          <t>Pago</t>
        </is>
      </c>
      <c r="S2279" t="n">
        <v>115</v>
      </c>
      <c r="T2279" t="inlineStr">
        <is>
          <t>Love - Shibari - Bradesco</t>
        </is>
      </c>
    </row>
    <row r="2280">
      <c r="A2280" t="n">
        <v>125710</v>
      </c>
      <c r="B2280" t="n">
        <v>128</v>
      </c>
      <c r="C2280" t="inlineStr">
        <is>
          <t>Love Cabaret</t>
        </is>
      </c>
      <c r="D2280" t="inlineStr">
        <is>
          <t>CAROLINE FERREIRA DA SILVA</t>
        </is>
      </c>
      <c r="E2280" t="n">
        <v>976.83</v>
      </c>
      <c r="F2280" s="27" t="n">
        <v>45764</v>
      </c>
      <c r="G2280" s="27" t="n">
        <v>45763</v>
      </c>
      <c r="H2280" s="27" t="n">
        <v>45763</v>
      </c>
      <c r="I2280" s="27" t="n">
        <v>45762</v>
      </c>
      <c r="J2280" s="27" t="n"/>
      <c r="L2280" t="inlineStr">
        <is>
          <t>Mão de Obra - Salários</t>
        </is>
      </c>
      <c r="M2280" t="inlineStr">
        <is>
          <t>MDO CLT - Salário</t>
        </is>
      </c>
      <c r="O2280" t="inlineStr">
        <is>
          <t>Documentação Aprovada</t>
        </is>
      </c>
      <c r="P2280" t="inlineStr">
        <is>
          <t>Aprovado Diretoria</t>
        </is>
      </c>
      <c r="Q2280" t="inlineStr">
        <is>
          <t>Aprovado Caixa</t>
        </is>
      </c>
      <c r="R2280" t="inlineStr">
        <is>
          <t>Pago</t>
        </is>
      </c>
      <c r="S2280" t="n">
        <v>115</v>
      </c>
      <c r="T2280" t="inlineStr">
        <is>
          <t>Love - Shibari - Bradesco</t>
        </is>
      </c>
    </row>
    <row r="2281">
      <c r="A2281" t="n">
        <v>132181</v>
      </c>
      <c r="B2281" t="n">
        <v>128</v>
      </c>
      <c r="C2281" t="inlineStr">
        <is>
          <t>Love Cabaret</t>
        </is>
      </c>
      <c r="D2281" t="inlineStr">
        <is>
          <t>BRADESCO SA</t>
        </is>
      </c>
      <c r="E2281" t="n">
        <v>34</v>
      </c>
      <c r="F2281" s="27" t="n">
        <v>45763</v>
      </c>
      <c r="G2281" s="27" t="n"/>
      <c r="H2281" s="27" t="n">
        <v>45763</v>
      </c>
      <c r="I2281" s="27" t="n">
        <v>45763</v>
      </c>
      <c r="J2281" s="27" t="n">
        <v>45791</v>
      </c>
      <c r="K2281" t="inlineStr">
        <is>
          <t>Encontro de Contas</t>
        </is>
      </c>
      <c r="L2281" t="inlineStr">
        <is>
          <t>Despesas Financeiras</t>
        </is>
      </c>
      <c r="M2281" t="inlineStr">
        <is>
          <t>Tarifas Bancárias</t>
        </is>
      </c>
      <c r="N2281" t="inlineStr">
        <is>
          <t>042025</t>
        </is>
      </c>
      <c r="P2281" t="inlineStr">
        <is>
          <t>Aprovado Diretoria</t>
        </is>
      </c>
      <c r="R2281" t="inlineStr">
        <is>
          <t>Pago</t>
        </is>
      </c>
    </row>
    <row r="2282">
      <c r="A2282" t="n">
        <v>126002</v>
      </c>
      <c r="B2282" t="n">
        <v>128</v>
      </c>
      <c r="C2282" t="inlineStr">
        <is>
          <t>Love Cabaret</t>
        </is>
      </c>
      <c r="D2282" t="inlineStr">
        <is>
          <t>BRADESCO SA</t>
        </is>
      </c>
      <c r="E2282" t="n">
        <v>171.7</v>
      </c>
      <c r="F2282" s="27" t="n">
        <v>45762</v>
      </c>
      <c r="G2282" s="27" t="n"/>
      <c r="H2282" s="27" t="n">
        <v>45762</v>
      </c>
      <c r="I2282" s="27" t="n">
        <v>45762</v>
      </c>
      <c r="J2282" s="27" t="n">
        <v>45763</v>
      </c>
      <c r="K2282" t="inlineStr">
        <is>
          <t>Encontro de Contas</t>
        </is>
      </c>
      <c r="L2282" t="inlineStr">
        <is>
          <t>Despesas Financeiras</t>
        </is>
      </c>
      <c r="M2282" t="inlineStr">
        <is>
          <t>Tarifas Bancárias</t>
        </is>
      </c>
      <c r="N2282" t="inlineStr">
        <is>
          <t>1717042025</t>
        </is>
      </c>
      <c r="P2282" t="inlineStr">
        <is>
          <t>Aprovado Diretoria</t>
        </is>
      </c>
      <c r="R2282" t="inlineStr">
        <is>
          <t>Pago</t>
        </is>
      </c>
    </row>
    <row r="2283">
      <c r="A2283" t="n">
        <v>126596</v>
      </c>
      <c r="B2283" t="n">
        <v>128</v>
      </c>
      <c r="C2283" t="inlineStr">
        <is>
          <t>Love Cabaret</t>
        </is>
      </c>
      <c r="D2283" t="inlineStr">
        <is>
          <t>JOAO VITOR MENDES SALUSTIANO</t>
        </is>
      </c>
      <c r="E2283" t="n">
        <v>4800</v>
      </c>
      <c r="F2283" s="27" t="n">
        <v>45757</v>
      </c>
      <c r="G2283" s="27" t="n">
        <v>45776</v>
      </c>
      <c r="H2283" s="27" t="n">
        <v>45761</v>
      </c>
      <c r="I2283" s="27" t="n">
        <v>45747</v>
      </c>
      <c r="J2283" s="27" t="n">
        <v>45764</v>
      </c>
      <c r="K2283" t="inlineStr">
        <is>
          <t>Transferência Bancária ou Pix</t>
        </is>
      </c>
      <c r="L2283" t="inlineStr">
        <is>
          <t>Mão de Obra - PJ</t>
        </is>
      </c>
      <c r="M2283" t="inlineStr">
        <is>
          <t>MDO PJ Fixo</t>
        </is>
      </c>
      <c r="N2283" t="inlineStr">
        <is>
          <t>48000032025</t>
        </is>
      </c>
      <c r="O2283" t="inlineStr">
        <is>
          <t>Documentação Aprovada</t>
        </is>
      </c>
      <c r="P2283" t="inlineStr">
        <is>
          <t>Aprovado Diretoria</t>
        </is>
      </c>
      <c r="Q2283" t="inlineStr">
        <is>
          <t>Aprovado Caixa</t>
        </is>
      </c>
      <c r="R2283" t="inlineStr">
        <is>
          <t>Pago</t>
        </is>
      </c>
      <c r="S2283" t="n">
        <v>115</v>
      </c>
      <c r="T2283" t="inlineStr">
        <is>
          <t>Love - Shibari - Bradesco</t>
        </is>
      </c>
    </row>
    <row r="2284">
      <c r="A2284" t="n">
        <v>124379</v>
      </c>
      <c r="B2284" t="n">
        <v>128</v>
      </c>
      <c r="C2284" t="inlineStr">
        <is>
          <t>Love Cabaret</t>
        </is>
      </c>
      <c r="D2284" t="inlineStr">
        <is>
          <t>PREFEITURA DE SÃO PAULO</t>
        </is>
      </c>
      <c r="E2284" t="n">
        <v>314</v>
      </c>
      <c r="F2284" s="27" t="n">
        <v>45761</v>
      </c>
      <c r="G2284" s="27" t="n">
        <v>45761</v>
      </c>
      <c r="H2284" s="27" t="n">
        <v>45761</v>
      </c>
      <c r="I2284" s="27" t="n">
        <v>45756</v>
      </c>
      <c r="J2284" s="27" t="n">
        <v>45756</v>
      </c>
      <c r="K2284" t="inlineStr">
        <is>
          <t>Boleto Bancário</t>
        </is>
      </c>
      <c r="L2284" t="inlineStr">
        <is>
          <t>Utilidades</t>
        </is>
      </c>
      <c r="M2284" t="inlineStr">
        <is>
          <t>Coleta de lixo</t>
        </is>
      </c>
      <c r="N2284" t="inlineStr">
        <is>
          <t>.</t>
        </is>
      </c>
      <c r="O2284" t="inlineStr">
        <is>
          <t>Documentação Aprovada</t>
        </is>
      </c>
      <c r="P2284" t="inlineStr">
        <is>
          <t>Aprovado Diretoria</t>
        </is>
      </c>
      <c r="Q2284" t="inlineStr">
        <is>
          <t>Aprovado Caixa</t>
        </is>
      </c>
      <c r="R2284" t="inlineStr">
        <is>
          <t>Pago</t>
        </is>
      </c>
      <c r="S2284" t="n">
        <v>115</v>
      </c>
      <c r="T2284" t="inlineStr">
        <is>
          <t>Love - Shibari - Bradesco</t>
        </is>
      </c>
    </row>
    <row r="2285">
      <c r="A2285" t="n">
        <v>125449</v>
      </c>
      <c r="B2285" t="n">
        <v>128</v>
      </c>
      <c r="C2285" t="inlineStr">
        <is>
          <t>Love Cabaret</t>
        </is>
      </c>
      <c r="D2285" t="inlineStr">
        <is>
          <t>BRADESCO SA</t>
        </is>
      </c>
      <c r="E2285" t="n">
        <v>14.78</v>
      </c>
      <c r="F2285" s="27" t="n">
        <v>45761</v>
      </c>
      <c r="G2285" s="27" t="n"/>
      <c r="H2285" s="27" t="n">
        <v>45761</v>
      </c>
      <c r="I2285" s="27" t="n">
        <v>45761</v>
      </c>
      <c r="J2285" s="27" t="n">
        <v>45762</v>
      </c>
      <c r="K2285" t="inlineStr">
        <is>
          <t>Encontro de Contas</t>
        </is>
      </c>
      <c r="L2285" t="inlineStr">
        <is>
          <t>Despesas Financeiras</t>
        </is>
      </c>
      <c r="M2285" t="inlineStr">
        <is>
          <t>Tarifas Bancárias</t>
        </is>
      </c>
      <c r="N2285" t="inlineStr">
        <is>
          <t>1864842025</t>
        </is>
      </c>
      <c r="P2285" t="inlineStr">
        <is>
          <t>Aprovado Diretoria</t>
        </is>
      </c>
      <c r="R2285" t="inlineStr">
        <is>
          <t>Pago</t>
        </is>
      </c>
    </row>
    <row r="2286">
      <c r="A2286" t="n">
        <v>102902</v>
      </c>
      <c r="B2286" t="n">
        <v>128</v>
      </c>
      <c r="C2286" t="inlineStr">
        <is>
          <t>Love Cabaret</t>
        </is>
      </c>
      <c r="D2286" t="inlineStr">
        <is>
          <t>MACRO CONTABILIDADE E CONSULTORIA LTDA</t>
        </is>
      </c>
      <c r="E2286" t="n">
        <v>3204.47</v>
      </c>
      <c r="F2286" s="27" t="n">
        <v>45762</v>
      </c>
      <c r="G2286" s="27" t="n">
        <v>45761</v>
      </c>
      <c r="H2286" s="27" t="n">
        <v>45761</v>
      </c>
      <c r="I2286" s="27" t="n">
        <v>45750</v>
      </c>
      <c r="J2286" s="27" t="n"/>
      <c r="K2286" t="inlineStr">
        <is>
          <t>Boleto Bancário</t>
        </is>
      </c>
      <c r="L2286" t="inlineStr">
        <is>
          <t>Serviços de Terceiros</t>
        </is>
      </c>
      <c r="M2286" t="inlineStr">
        <is>
          <t>Assessoria Contabil</t>
        </is>
      </c>
      <c r="N2286" t="inlineStr">
        <is>
          <t>7580</t>
        </is>
      </c>
      <c r="O2286" t="inlineStr">
        <is>
          <t>Documentação Aprovada</t>
        </is>
      </c>
      <c r="P2286" t="inlineStr">
        <is>
          <t>Aprovado Diretoria</t>
        </is>
      </c>
      <c r="Q2286" t="inlineStr">
        <is>
          <t>Aprovado Caixa</t>
        </is>
      </c>
      <c r="R2286" t="inlineStr">
        <is>
          <t>Pago</t>
        </is>
      </c>
      <c r="S2286" t="n">
        <v>115</v>
      </c>
      <c r="T2286" t="inlineStr">
        <is>
          <t>Love - Shibari - Bradesco</t>
        </is>
      </c>
    </row>
    <row r="2287">
      <c r="A2287" t="n">
        <v>102827</v>
      </c>
      <c r="B2287" t="n">
        <v>128</v>
      </c>
      <c r="C2287" t="inlineStr">
        <is>
          <t>Love Cabaret</t>
        </is>
      </c>
      <c r="D2287" t="inlineStr">
        <is>
          <t>HEADCHEF SEGURANCA DOS ALIM E GARANTIA D</t>
        </is>
      </c>
      <c r="E2287" t="n">
        <v>891.0599999999999</v>
      </c>
      <c r="F2287" s="27" t="n">
        <v>45762</v>
      </c>
      <c r="G2287" s="27" t="n">
        <v>45761</v>
      </c>
      <c r="H2287" s="27" t="n">
        <v>45761</v>
      </c>
      <c r="I2287" s="27" t="n">
        <v>45742</v>
      </c>
      <c r="J2287" s="27" t="n"/>
      <c r="K2287" t="inlineStr">
        <is>
          <t>Boleto Bancário</t>
        </is>
      </c>
      <c r="L2287" t="inlineStr">
        <is>
          <t>Serviços de Terceiros</t>
        </is>
      </c>
      <c r="M2287" t="inlineStr">
        <is>
          <t>Assessoria de Alimentos e Bebidas</t>
        </is>
      </c>
      <c r="N2287" t="inlineStr">
        <is>
          <t>1183</t>
        </is>
      </c>
      <c r="O2287" t="inlineStr">
        <is>
          <t>Documentação Aprovada</t>
        </is>
      </c>
      <c r="P2287" t="inlineStr">
        <is>
          <t>Aprovado Diretoria</t>
        </is>
      </c>
      <c r="Q2287" t="inlineStr">
        <is>
          <t>Aprovado Caixa</t>
        </is>
      </c>
      <c r="R2287" t="inlineStr">
        <is>
          <t>Pago</t>
        </is>
      </c>
      <c r="S2287" t="n">
        <v>115</v>
      </c>
      <c r="T2287" t="inlineStr">
        <is>
          <t>Love - Shibari - Bradesco</t>
        </is>
      </c>
    </row>
    <row r="2288">
      <c r="A2288" t="n">
        <v>96948</v>
      </c>
      <c r="B2288" t="n">
        <v>128</v>
      </c>
      <c r="C2288" t="inlineStr">
        <is>
          <t>Love Cabaret</t>
        </is>
      </c>
      <c r="D2288" t="inlineStr">
        <is>
          <t>CEM ENGENHARIA DA MANUTENCAO LTDA</t>
        </is>
      </c>
      <c r="E2288" t="n">
        <v>6252.94</v>
      </c>
      <c r="F2288" s="27" t="n">
        <v>45762</v>
      </c>
      <c r="G2288" s="27" t="n">
        <v>45761</v>
      </c>
      <c r="H2288" s="27" t="n">
        <v>45761</v>
      </c>
      <c r="I2288" s="27" t="n">
        <v>45746</v>
      </c>
      <c r="J2288" s="27" t="n"/>
      <c r="K2288" t="inlineStr">
        <is>
          <t>Boleto Bancário</t>
        </is>
      </c>
      <c r="L2288" t="inlineStr">
        <is>
          <t>Manutenção</t>
        </is>
      </c>
      <c r="M2288" t="inlineStr">
        <is>
          <t>Manutenção Predial</t>
        </is>
      </c>
      <c r="N2288" t="inlineStr">
        <is>
          <t>2459</t>
        </is>
      </c>
      <c r="O2288" t="inlineStr">
        <is>
          <t>Documentação Aprovada</t>
        </is>
      </c>
      <c r="P2288" t="inlineStr">
        <is>
          <t>Aprovado Diretoria</t>
        </is>
      </c>
      <c r="Q2288" t="inlineStr">
        <is>
          <t>Aprovado Caixa</t>
        </is>
      </c>
      <c r="R2288" t="inlineStr">
        <is>
          <t>Pago</t>
        </is>
      </c>
      <c r="S2288" t="n">
        <v>115</v>
      </c>
      <c r="T2288" t="inlineStr">
        <is>
          <t>Love - Shibari - Bradesco</t>
        </is>
      </c>
    </row>
    <row r="2289">
      <c r="A2289" t="n">
        <v>96960</v>
      </c>
      <c r="B2289" t="n">
        <v>128</v>
      </c>
      <c r="C2289" t="inlineStr">
        <is>
          <t>Love Cabaret</t>
        </is>
      </c>
      <c r="D2289" t="inlineStr">
        <is>
          <t xml:space="preserve">DUO COMUNICA LTDA </t>
        </is>
      </c>
      <c r="E2289" t="n">
        <v>2000</v>
      </c>
      <c r="F2289" s="27" t="n">
        <v>45761</v>
      </c>
      <c r="G2289" s="27" t="n">
        <v>45761</v>
      </c>
      <c r="H2289" s="27" t="n">
        <v>45761</v>
      </c>
      <c r="I2289" s="27" t="n">
        <v>45734</v>
      </c>
      <c r="J2289" s="27" t="n"/>
      <c r="K2289" t="inlineStr">
        <is>
          <t>Transferência Bancária ou Pix</t>
        </is>
      </c>
      <c r="L2289" t="inlineStr">
        <is>
          <t>Informática e TI</t>
        </is>
      </c>
      <c r="M2289" t="inlineStr">
        <is>
          <t>Sistemas Gerais - Comunicação e Marketing</t>
        </is>
      </c>
      <c r="N2289" t="inlineStr">
        <is>
          <t>480</t>
        </is>
      </c>
      <c r="O2289" t="inlineStr">
        <is>
          <t>Documentação Aprovada</t>
        </is>
      </c>
      <c r="P2289" t="inlineStr">
        <is>
          <t>Aprovado Diretoria</t>
        </is>
      </c>
      <c r="Q2289" t="inlineStr">
        <is>
          <t>Aprovado Caixa</t>
        </is>
      </c>
      <c r="R2289" t="inlineStr">
        <is>
          <t>Pago</t>
        </is>
      </c>
      <c r="S2289" t="n">
        <v>115</v>
      </c>
      <c r="T2289" t="inlineStr">
        <is>
          <t>Love - Shibari - Bradesco</t>
        </is>
      </c>
    </row>
    <row r="2290">
      <c r="A2290" t="n">
        <v>106677</v>
      </c>
      <c r="B2290" t="n">
        <v>128</v>
      </c>
      <c r="C2290" t="inlineStr">
        <is>
          <t>Love Cabaret</t>
        </is>
      </c>
      <c r="D2290" t="inlineStr">
        <is>
          <t>AURORA ALVORADA ESTACIONAMENTO E LANCHONETE LTDA</t>
        </is>
      </c>
      <c r="E2290" t="n">
        <v>212.77</v>
      </c>
      <c r="F2290" s="27" t="n">
        <v>45763</v>
      </c>
      <c r="G2290" s="27" t="n">
        <v>45761</v>
      </c>
      <c r="H2290" s="27" t="n">
        <v>45761</v>
      </c>
      <c r="I2290" s="27" t="n">
        <v>45754</v>
      </c>
      <c r="J2290" s="27" t="n"/>
      <c r="K2290" t="inlineStr">
        <is>
          <t>Boleto Bancário</t>
        </is>
      </c>
      <c r="L2290" t="inlineStr">
        <is>
          <t>Custo Mercadoria Vendida</t>
        </is>
      </c>
      <c r="M2290" t="inlineStr">
        <is>
          <t>Insumos - Alimentos</t>
        </is>
      </c>
      <c r="N2290" t="inlineStr">
        <is>
          <t>10455</t>
        </is>
      </c>
      <c r="O2290" t="inlineStr">
        <is>
          <t>Documentação Aprovada</t>
        </is>
      </c>
      <c r="P2290" t="inlineStr">
        <is>
          <t>Aprovado Diretoria</t>
        </is>
      </c>
      <c r="Q2290" t="inlineStr">
        <is>
          <t>Aprovado Caixa</t>
        </is>
      </c>
      <c r="R2290" t="inlineStr">
        <is>
          <t>Pago</t>
        </is>
      </c>
      <c r="S2290" t="n">
        <v>115</v>
      </c>
      <c r="T2290" t="inlineStr">
        <is>
          <t>Love - Shibari - Bradesco</t>
        </is>
      </c>
    </row>
    <row r="2291">
      <c r="A2291" t="n">
        <v>119883</v>
      </c>
      <c r="B2291" t="n">
        <v>128</v>
      </c>
      <c r="C2291" t="inlineStr">
        <is>
          <t>Love Cabaret</t>
        </is>
      </c>
      <c r="D2291" t="inlineStr">
        <is>
          <t>KING COMERCIO E IMPORTACAO DE BEBIDAS LTDA</t>
        </is>
      </c>
      <c r="E2291" t="n">
        <v>4528.9</v>
      </c>
      <c r="F2291" s="27" t="n">
        <v>45761</v>
      </c>
      <c r="G2291" s="27" t="n">
        <v>45761</v>
      </c>
      <c r="H2291" s="27" t="n">
        <v>45761</v>
      </c>
      <c r="I2291" s="27" t="n">
        <v>45733</v>
      </c>
      <c r="J2291" s="27" t="n">
        <v>45736</v>
      </c>
      <c r="K2291" t="inlineStr">
        <is>
          <t>Boleto Bancário</t>
        </is>
      </c>
      <c r="L2291" t="inlineStr">
        <is>
          <t>Custo Mercadoria Vendida</t>
        </is>
      </c>
      <c r="M2291" t="inlineStr">
        <is>
          <t>Insumos - Bebidas</t>
        </is>
      </c>
      <c r="N2291" t="inlineStr">
        <is>
          <t>115988</t>
        </is>
      </c>
      <c r="O2291" t="inlineStr">
        <is>
          <t>Documentação Aprovada</t>
        </is>
      </c>
      <c r="P2291" t="inlineStr">
        <is>
          <t>Aprovado Diretoria</t>
        </is>
      </c>
      <c r="Q2291" t="inlineStr">
        <is>
          <t>Aprovado Caixa</t>
        </is>
      </c>
      <c r="R2291" t="inlineStr">
        <is>
          <t>Pago</t>
        </is>
      </c>
      <c r="S2291" t="n">
        <v>115</v>
      </c>
      <c r="T2291" t="inlineStr">
        <is>
          <t>Love - Shibari - Bradesco</t>
        </is>
      </c>
    </row>
    <row r="2292">
      <c r="A2292" t="n">
        <v>119824</v>
      </c>
      <c r="B2292" t="n">
        <v>128</v>
      </c>
      <c r="C2292" t="inlineStr">
        <is>
          <t>Love Cabaret</t>
        </is>
      </c>
      <c r="D2292" t="inlineStr">
        <is>
          <t xml:space="preserve">HORTIFRUTI DO CHEF LTDA </t>
        </is>
      </c>
      <c r="E2292" t="n">
        <v>466.55</v>
      </c>
      <c r="F2292" s="27" t="n">
        <v>45762</v>
      </c>
      <c r="G2292" s="27" t="n">
        <v>45761</v>
      </c>
      <c r="H2292" s="27" t="n">
        <v>45761</v>
      </c>
      <c r="I2292" s="27" t="n">
        <v>45733</v>
      </c>
      <c r="J2292" s="27" t="n">
        <v>45736</v>
      </c>
      <c r="K2292" t="inlineStr">
        <is>
          <t>Boleto Bancário</t>
        </is>
      </c>
      <c r="L2292" t="inlineStr">
        <is>
          <t>Custo Mercadoria Vendida</t>
        </is>
      </c>
      <c r="M2292" t="inlineStr">
        <is>
          <t>Insumos - Alimentos</t>
        </is>
      </c>
      <c r="N2292" t="inlineStr">
        <is>
          <t>26144</t>
        </is>
      </c>
      <c r="O2292" t="inlineStr">
        <is>
          <t>Documentação Aprovada</t>
        </is>
      </c>
      <c r="P2292" t="inlineStr">
        <is>
          <t>Aprovado Diretoria</t>
        </is>
      </c>
      <c r="Q2292" t="inlineStr">
        <is>
          <t>Aprovado Caixa</t>
        </is>
      </c>
      <c r="R2292" t="inlineStr">
        <is>
          <t>Pago</t>
        </is>
      </c>
      <c r="S2292" t="n">
        <v>115</v>
      </c>
      <c r="T2292" t="inlineStr">
        <is>
          <t>Love - Shibari - Bradesco</t>
        </is>
      </c>
    </row>
    <row r="2293">
      <c r="A2293" t="n">
        <v>121317</v>
      </c>
      <c r="B2293" t="n">
        <v>128</v>
      </c>
      <c r="C2293" t="inlineStr">
        <is>
          <t>Love Cabaret</t>
        </is>
      </c>
      <c r="D2293" t="inlineStr">
        <is>
          <t>FLAVIO RODRIGUES DE MOURA</t>
        </is>
      </c>
      <c r="E2293" t="n">
        <v>500</v>
      </c>
      <c r="F2293" s="27" t="n">
        <v>45761</v>
      </c>
      <c r="G2293" s="27" t="n">
        <v>45761</v>
      </c>
      <c r="H2293" s="27" t="n">
        <v>45761</v>
      </c>
      <c r="I2293" s="27" t="n">
        <v>45746</v>
      </c>
      <c r="J2293" s="27" t="n">
        <v>45747</v>
      </c>
      <c r="K2293" t="inlineStr">
        <is>
          <t>Transferência Bancária ou Pix</t>
        </is>
      </c>
      <c r="L2293" t="inlineStr">
        <is>
          <t>Custos Artístico Geral</t>
        </is>
      </c>
      <c r="M2293" t="inlineStr">
        <is>
          <t>Cachê de Músicos e Artistas</t>
        </is>
      </c>
      <c r="N2293" t="inlineStr">
        <is>
          <t>500032025</t>
        </is>
      </c>
      <c r="O2293" t="inlineStr">
        <is>
          <t>Documentação Aprovada</t>
        </is>
      </c>
      <c r="P2293" t="inlineStr">
        <is>
          <t>Aprovado Diretoria</t>
        </is>
      </c>
      <c r="Q2293" t="inlineStr">
        <is>
          <t>Aprovado Caixa</t>
        </is>
      </c>
      <c r="R2293" t="inlineStr">
        <is>
          <t>Pago</t>
        </is>
      </c>
      <c r="S2293" t="n">
        <v>115</v>
      </c>
      <c r="T2293" t="inlineStr">
        <is>
          <t>Love - Shibari - Bradesco</t>
        </is>
      </c>
    </row>
    <row r="2294">
      <c r="A2294" t="n">
        <v>120871</v>
      </c>
      <c r="B2294" t="n">
        <v>128</v>
      </c>
      <c r="C2294" t="inlineStr">
        <is>
          <t>Love Cabaret</t>
        </is>
      </c>
      <c r="D2294" t="inlineStr">
        <is>
          <t>KING COMERCIO E IMPORTACAO DE BEBIDAS LTDA</t>
        </is>
      </c>
      <c r="E2294" t="n">
        <v>1381.13</v>
      </c>
      <c r="F2294" s="27" t="n">
        <v>45763</v>
      </c>
      <c r="G2294" s="27" t="n">
        <v>45761</v>
      </c>
      <c r="H2294" s="27" t="n">
        <v>45761</v>
      </c>
      <c r="I2294" s="27" t="n">
        <v>45735</v>
      </c>
      <c r="J2294" s="27" t="n">
        <v>45743</v>
      </c>
      <c r="K2294" t="inlineStr">
        <is>
          <t>Boleto Bancário</t>
        </is>
      </c>
      <c r="L2294" t="inlineStr">
        <is>
          <t>Custo Mercadoria Vendida</t>
        </is>
      </c>
      <c r="M2294" t="inlineStr">
        <is>
          <t>Insumos - Bebidas</t>
        </is>
      </c>
      <c r="N2294" t="inlineStr">
        <is>
          <t>116074</t>
        </is>
      </c>
      <c r="O2294" t="inlineStr">
        <is>
          <t>Documentação Aprovada</t>
        </is>
      </c>
      <c r="P2294" t="inlineStr">
        <is>
          <t>Aprovado Diretoria</t>
        </is>
      </c>
      <c r="Q2294" t="inlineStr">
        <is>
          <t>Aprovado Caixa</t>
        </is>
      </c>
      <c r="R2294" t="inlineStr">
        <is>
          <t>Pago</t>
        </is>
      </c>
      <c r="S2294" t="n">
        <v>115</v>
      </c>
      <c r="T2294" t="inlineStr">
        <is>
          <t>Love - Shibari - Bradesco</t>
        </is>
      </c>
    </row>
    <row r="2295">
      <c r="A2295" t="n">
        <v>120894</v>
      </c>
      <c r="B2295" t="n">
        <v>128</v>
      </c>
      <c r="C2295" t="inlineStr">
        <is>
          <t>Love Cabaret</t>
        </is>
      </c>
      <c r="D2295" t="inlineStr">
        <is>
          <t>DTK COMERCIO DE ALIMENTOS LTDA</t>
        </is>
      </c>
      <c r="E2295" t="n">
        <v>148.56</v>
      </c>
      <c r="F2295" s="27" t="n">
        <v>45762</v>
      </c>
      <c r="G2295" s="27" t="n">
        <v>45761</v>
      </c>
      <c r="H2295" s="27" t="n">
        <v>45761</v>
      </c>
      <c r="I2295" s="27" t="n">
        <v>45741</v>
      </c>
      <c r="J2295" s="27" t="n">
        <v>45743</v>
      </c>
      <c r="K2295" t="inlineStr">
        <is>
          <t>Boleto Bancário</t>
        </is>
      </c>
      <c r="L2295" t="inlineStr">
        <is>
          <t>Custo Mercadoria Vendida</t>
        </is>
      </c>
      <c r="M2295" t="inlineStr">
        <is>
          <t>Insumos - Alimentos</t>
        </is>
      </c>
      <c r="N2295" t="inlineStr">
        <is>
          <t>26595</t>
        </is>
      </c>
      <c r="O2295" t="inlineStr">
        <is>
          <t>Documentação Aprovada</t>
        </is>
      </c>
      <c r="P2295" t="inlineStr">
        <is>
          <t>Aprovado Diretoria</t>
        </is>
      </c>
      <c r="Q2295" t="inlineStr">
        <is>
          <t>Aprovado Caixa</t>
        </is>
      </c>
      <c r="R2295" t="inlineStr">
        <is>
          <t>Pago</t>
        </is>
      </c>
      <c r="S2295" t="n">
        <v>115</v>
      </c>
      <c r="T2295" t="inlineStr">
        <is>
          <t>Love - Shibari - Bradesco</t>
        </is>
      </c>
    </row>
    <row r="2296">
      <c r="A2296" t="n">
        <v>120884</v>
      </c>
      <c r="B2296" t="n">
        <v>128</v>
      </c>
      <c r="C2296" t="inlineStr">
        <is>
          <t>Love Cabaret</t>
        </is>
      </c>
      <c r="D2296" t="inlineStr">
        <is>
          <t>FG7 COMERCIO E DISTRIBUICAO DE BEBIDAS LTDA</t>
        </is>
      </c>
      <c r="E2296" t="n">
        <v>1006.87</v>
      </c>
      <c r="F2296" s="27" t="n">
        <v>45762</v>
      </c>
      <c r="G2296" s="27" t="n">
        <v>45761</v>
      </c>
      <c r="H2296" s="27" t="n">
        <v>45761</v>
      </c>
      <c r="I2296" s="27" t="n">
        <v>45741</v>
      </c>
      <c r="J2296" s="27" t="n">
        <v>45743</v>
      </c>
      <c r="K2296" t="inlineStr">
        <is>
          <t>Boleto Bancário</t>
        </is>
      </c>
      <c r="L2296" t="inlineStr">
        <is>
          <t>Custo Mercadoria Vendida</t>
        </is>
      </c>
      <c r="M2296" t="inlineStr">
        <is>
          <t>Insumos - Bebidas</t>
        </is>
      </c>
      <c r="N2296" t="inlineStr">
        <is>
          <t>587987</t>
        </is>
      </c>
      <c r="O2296" t="inlineStr">
        <is>
          <t>Documentação Aprovada</t>
        </is>
      </c>
      <c r="P2296" t="inlineStr">
        <is>
          <t>Aprovado Diretoria</t>
        </is>
      </c>
      <c r="Q2296" t="inlineStr">
        <is>
          <t>Aprovado Caixa</t>
        </is>
      </c>
      <c r="R2296" t="inlineStr">
        <is>
          <t>Pago</t>
        </is>
      </c>
      <c r="S2296" t="n">
        <v>115</v>
      </c>
      <c r="T2296" t="inlineStr">
        <is>
          <t>Love - Shibari - Bradesco</t>
        </is>
      </c>
    </row>
    <row r="2297">
      <c r="A2297" t="n">
        <v>122549</v>
      </c>
      <c r="B2297" t="n">
        <v>128</v>
      </c>
      <c r="C2297" t="inlineStr">
        <is>
          <t>Love Cabaret</t>
        </is>
      </c>
      <c r="D2297" t="inlineStr">
        <is>
          <t>JOSE CASSIO PREVEDEL SISTEMAS ME</t>
        </is>
      </c>
      <c r="E2297" t="n">
        <v>400</v>
      </c>
      <c r="F2297" s="27" t="n">
        <v>45762</v>
      </c>
      <c r="G2297" s="27" t="n">
        <v>45761</v>
      </c>
      <c r="H2297" s="27" t="n">
        <v>45761</v>
      </c>
      <c r="I2297" s="27" t="n">
        <v>45748</v>
      </c>
      <c r="J2297" s="27" t="n">
        <v>45751</v>
      </c>
      <c r="K2297" t="inlineStr">
        <is>
          <t>Boleto Bancário</t>
        </is>
      </c>
      <c r="L2297" t="inlineStr">
        <is>
          <t>Locação de Equipamentos</t>
        </is>
      </c>
      <c r="M2297" t="inlineStr">
        <is>
          <t>Locações de Equipamentos - Operacionais</t>
        </is>
      </c>
      <c r="N2297" t="inlineStr">
        <is>
          <t>18618</t>
        </is>
      </c>
      <c r="O2297" t="inlineStr">
        <is>
          <t>Documentação Aprovada</t>
        </is>
      </c>
      <c r="P2297" t="inlineStr">
        <is>
          <t>Aprovado Diretoria</t>
        </is>
      </c>
      <c r="Q2297" t="inlineStr">
        <is>
          <t>Aprovado Caixa</t>
        </is>
      </c>
      <c r="R2297" t="inlineStr">
        <is>
          <t>Pago</t>
        </is>
      </c>
      <c r="S2297" t="n">
        <v>115</v>
      </c>
      <c r="T2297" t="inlineStr">
        <is>
          <t>Love - Shibari - Bradesco</t>
        </is>
      </c>
    </row>
    <row r="2298">
      <c r="A2298" t="n">
        <v>122226</v>
      </c>
      <c r="B2298" t="n">
        <v>128</v>
      </c>
      <c r="C2298" t="inlineStr">
        <is>
          <t>Love Cabaret</t>
        </is>
      </c>
      <c r="D2298" t="inlineStr">
        <is>
          <t>CEPEL COMERCIO DE PAPEIS E EMBALAGENS EIRELI</t>
        </is>
      </c>
      <c r="E2298" t="n">
        <v>1202.92</v>
      </c>
      <c r="F2298" s="27" t="n">
        <v>45762</v>
      </c>
      <c r="G2298" s="27" t="n">
        <v>45761</v>
      </c>
      <c r="H2298" s="27" t="n">
        <v>45761</v>
      </c>
      <c r="I2298" s="27" t="n">
        <v>45747</v>
      </c>
      <c r="J2298" s="27" t="n">
        <v>45750</v>
      </c>
      <c r="K2298" t="inlineStr">
        <is>
          <t>Boleto Bancário</t>
        </is>
      </c>
      <c r="L2298" t="inlineStr">
        <is>
          <t>Utilidades</t>
        </is>
      </c>
      <c r="M2298" t="inlineStr">
        <is>
          <t>Higiene e Limpeza</t>
        </is>
      </c>
      <c r="N2298" t="inlineStr">
        <is>
          <t>237535</t>
        </is>
      </c>
      <c r="O2298" t="inlineStr">
        <is>
          <t>Documentação Aprovada</t>
        </is>
      </c>
      <c r="P2298" t="inlineStr">
        <is>
          <t>Aprovado Diretoria</t>
        </is>
      </c>
      <c r="Q2298" t="inlineStr">
        <is>
          <t>Aprovado Caixa</t>
        </is>
      </c>
      <c r="R2298" t="inlineStr">
        <is>
          <t>Pago</t>
        </is>
      </c>
      <c r="S2298" t="n">
        <v>115</v>
      </c>
      <c r="T2298" t="inlineStr">
        <is>
          <t>Love - Shibari - Bradesco</t>
        </is>
      </c>
    </row>
    <row r="2299">
      <c r="A2299" t="n">
        <v>121926</v>
      </c>
      <c r="B2299" t="n">
        <v>128</v>
      </c>
      <c r="C2299" t="inlineStr">
        <is>
          <t>Love Cabaret</t>
        </is>
      </c>
      <c r="D2299" t="inlineStr">
        <is>
          <t>HORTIFRUTIGRANJEIRO RODRIGUES LTDA</t>
        </is>
      </c>
      <c r="E2299" t="n">
        <v>152</v>
      </c>
      <c r="F2299" s="27" t="n">
        <v>45763</v>
      </c>
      <c r="G2299" s="27" t="n">
        <v>45761</v>
      </c>
      <c r="H2299" s="27" t="n">
        <v>45761</v>
      </c>
      <c r="I2299" s="27" t="n">
        <v>45747</v>
      </c>
      <c r="J2299" s="27" t="n">
        <v>45749</v>
      </c>
      <c r="K2299" t="inlineStr">
        <is>
          <t>Boleto Bancário</t>
        </is>
      </c>
      <c r="L2299" t="inlineStr">
        <is>
          <t>Custo Mercadoria Vendida</t>
        </is>
      </c>
      <c r="M2299" t="inlineStr">
        <is>
          <t>Insumos - Alimentos</t>
        </is>
      </c>
      <c r="N2299" t="inlineStr">
        <is>
          <t>9449</t>
        </is>
      </c>
      <c r="O2299" t="inlineStr">
        <is>
          <t>Documentação Aprovada</t>
        </is>
      </c>
      <c r="P2299" t="inlineStr">
        <is>
          <t>Aprovado Diretoria</t>
        </is>
      </c>
      <c r="Q2299" t="inlineStr">
        <is>
          <t>Aprovado Caixa</t>
        </is>
      </c>
      <c r="R2299" t="inlineStr">
        <is>
          <t>Pago</t>
        </is>
      </c>
      <c r="S2299" t="n">
        <v>115</v>
      </c>
      <c r="T2299" t="inlineStr">
        <is>
          <t>Love - Shibari - Bradesco</t>
        </is>
      </c>
    </row>
    <row r="2300">
      <c r="A2300" t="n">
        <v>121940</v>
      </c>
      <c r="B2300" t="n">
        <v>128</v>
      </c>
      <c r="C2300" t="inlineStr">
        <is>
          <t>Love Cabaret</t>
        </is>
      </c>
      <c r="D2300" t="inlineStr">
        <is>
          <t>STUDIO METROPOLE LTDA - ME</t>
        </is>
      </c>
      <c r="E2300" t="n">
        <v>2703.52</v>
      </c>
      <c r="F2300" s="27" t="n">
        <v>45762</v>
      </c>
      <c r="G2300" s="27" t="n">
        <v>45761</v>
      </c>
      <c r="H2300" s="27" t="n">
        <v>45761</v>
      </c>
      <c r="I2300" s="27" t="n">
        <v>45747</v>
      </c>
      <c r="J2300" s="27" t="n">
        <v>45749</v>
      </c>
      <c r="K2300" t="inlineStr">
        <is>
          <t>Transferência Bancária ou Pix</t>
        </is>
      </c>
      <c r="L2300" t="inlineStr">
        <is>
          <t>Custos Artístico Geral</t>
        </is>
      </c>
      <c r="M2300" t="inlineStr">
        <is>
          <t>Cachê de Músicos e Artistas</t>
        </is>
      </c>
      <c r="N2300" t="inlineStr">
        <is>
          <t>1286</t>
        </is>
      </c>
      <c r="O2300" t="inlineStr">
        <is>
          <t>Documentação Aprovada</t>
        </is>
      </c>
      <c r="P2300" t="inlineStr">
        <is>
          <t>Aprovado Diretoria</t>
        </is>
      </c>
      <c r="Q2300" t="inlineStr">
        <is>
          <t>Aprovado Caixa</t>
        </is>
      </c>
      <c r="R2300" t="inlineStr">
        <is>
          <t>Pago</t>
        </is>
      </c>
      <c r="S2300" t="n">
        <v>115</v>
      </c>
      <c r="T2300" t="inlineStr">
        <is>
          <t>Love - Shibari - Bradesco</t>
        </is>
      </c>
    </row>
    <row r="2301">
      <c r="A2301" t="n">
        <v>121624</v>
      </c>
      <c r="B2301" t="n">
        <v>128</v>
      </c>
      <c r="C2301" t="inlineStr">
        <is>
          <t>Love Cabaret</t>
        </is>
      </c>
      <c r="D2301" t="inlineStr">
        <is>
          <t xml:space="preserve">HORTIFRUTI DO CHEF LTDA </t>
        </is>
      </c>
      <c r="E2301" t="n">
        <v>153</v>
      </c>
      <c r="F2301" s="27" t="n">
        <v>45763</v>
      </c>
      <c r="G2301" s="27" t="n">
        <v>45761</v>
      </c>
      <c r="H2301" s="27" t="n">
        <v>45761</v>
      </c>
      <c r="I2301" s="27" t="n">
        <v>45734</v>
      </c>
      <c r="J2301" s="27" t="n">
        <v>45749</v>
      </c>
      <c r="K2301" t="inlineStr">
        <is>
          <t>Boleto Bancário</t>
        </is>
      </c>
      <c r="L2301" t="inlineStr">
        <is>
          <t>Custo Mercadoria Vendida</t>
        </is>
      </c>
      <c r="M2301" t="inlineStr">
        <is>
          <t>Insumos - Alimentos</t>
        </is>
      </c>
      <c r="N2301" t="inlineStr">
        <is>
          <t>26165</t>
        </is>
      </c>
      <c r="O2301" t="inlineStr">
        <is>
          <t>Documentação Aprovada</t>
        </is>
      </c>
      <c r="P2301" t="inlineStr">
        <is>
          <t>Aprovado Diretoria</t>
        </is>
      </c>
      <c r="Q2301" t="inlineStr">
        <is>
          <t>Aprovado Caixa</t>
        </is>
      </c>
      <c r="R2301" t="inlineStr">
        <is>
          <t>Pago</t>
        </is>
      </c>
      <c r="S2301" t="n">
        <v>115</v>
      </c>
      <c r="T2301" t="inlineStr">
        <is>
          <t>Love - Shibari - Bradesco</t>
        </is>
      </c>
    </row>
    <row r="2302">
      <c r="A2302" t="n">
        <v>121938</v>
      </c>
      <c r="B2302" t="n">
        <v>128</v>
      </c>
      <c r="C2302" t="inlineStr">
        <is>
          <t>Love Cabaret</t>
        </is>
      </c>
      <c r="D2302" t="inlineStr">
        <is>
          <t>HNK BR IND DE BEBIDAS</t>
        </is>
      </c>
      <c r="E2302" t="n">
        <v>3409.82</v>
      </c>
      <c r="F2302" s="27" t="n">
        <v>45762</v>
      </c>
      <c r="G2302" s="27" t="n">
        <v>45761</v>
      </c>
      <c r="H2302" s="27" t="n">
        <v>45761</v>
      </c>
      <c r="I2302" s="27" t="n">
        <v>45747</v>
      </c>
      <c r="J2302" s="27" t="n">
        <v>45749</v>
      </c>
      <c r="K2302" t="inlineStr">
        <is>
          <t>Boleto Bancário</t>
        </is>
      </c>
      <c r="L2302" t="inlineStr">
        <is>
          <t>Custo Mercadoria Vendida</t>
        </is>
      </c>
      <c r="M2302" t="inlineStr">
        <is>
          <t>Insumos - Bebidas</t>
        </is>
      </c>
      <c r="N2302" t="inlineStr">
        <is>
          <t>225364</t>
        </is>
      </c>
      <c r="O2302" t="inlineStr">
        <is>
          <t>Documentação Aprovada</t>
        </is>
      </c>
      <c r="P2302" t="inlineStr">
        <is>
          <t>Aprovado Diretoria</t>
        </is>
      </c>
      <c r="Q2302" t="inlineStr">
        <is>
          <t>Aprovado Caixa</t>
        </is>
      </c>
      <c r="R2302" t="inlineStr">
        <is>
          <t>Pago</t>
        </is>
      </c>
      <c r="S2302" t="n">
        <v>115</v>
      </c>
      <c r="T2302" t="inlineStr">
        <is>
          <t>Love - Shibari - Bradesco</t>
        </is>
      </c>
    </row>
    <row r="2303">
      <c r="A2303" t="n">
        <v>121931</v>
      </c>
      <c r="B2303" t="n">
        <v>128</v>
      </c>
      <c r="C2303" t="inlineStr">
        <is>
          <t>Love Cabaret</t>
        </is>
      </c>
      <c r="D2303" t="inlineStr">
        <is>
          <t>J A DOS SANTOS HORTIFRUTI</t>
        </is>
      </c>
      <c r="E2303" t="n">
        <v>210.5</v>
      </c>
      <c r="F2303" s="27" t="n">
        <v>45762</v>
      </c>
      <c r="G2303" s="27" t="n">
        <v>45761</v>
      </c>
      <c r="H2303" s="27" t="n">
        <v>45761</v>
      </c>
      <c r="I2303" s="27" t="n">
        <v>45747</v>
      </c>
      <c r="J2303" s="27" t="n">
        <v>45749</v>
      </c>
      <c r="K2303" t="inlineStr">
        <is>
          <t>Boleto Bancário</t>
        </is>
      </c>
      <c r="L2303" t="inlineStr">
        <is>
          <t>Custo Mercadoria Vendida</t>
        </is>
      </c>
      <c r="M2303" t="inlineStr">
        <is>
          <t>Insumos - Alimentos</t>
        </is>
      </c>
      <c r="N2303" t="inlineStr">
        <is>
          <t>36691</t>
        </is>
      </c>
      <c r="O2303" t="inlineStr">
        <is>
          <t>Documentação Aprovada</t>
        </is>
      </c>
      <c r="P2303" t="inlineStr">
        <is>
          <t>Aprovado Diretoria</t>
        </is>
      </c>
      <c r="Q2303" t="inlineStr">
        <is>
          <t>Aprovado Caixa</t>
        </is>
      </c>
      <c r="R2303" t="inlineStr">
        <is>
          <t>Pago</t>
        </is>
      </c>
      <c r="S2303" t="n">
        <v>115</v>
      </c>
      <c r="T2303" t="inlineStr">
        <is>
          <t>Love - Shibari - Bradesco</t>
        </is>
      </c>
    </row>
    <row r="2304">
      <c r="A2304" t="n">
        <v>121933</v>
      </c>
      <c r="B2304" t="n">
        <v>128</v>
      </c>
      <c r="C2304" t="inlineStr">
        <is>
          <t>Love Cabaret</t>
        </is>
      </c>
      <c r="D2304" t="inlineStr">
        <is>
          <t>PARAMU COMERCIO E REPRESENTACAO DE PRODUTOS ALIMENTICIOS</t>
        </is>
      </c>
      <c r="E2304" t="n">
        <v>1575.57</v>
      </c>
      <c r="F2304" s="27" t="n">
        <v>45761</v>
      </c>
      <c r="G2304" s="27" t="n">
        <v>45761</v>
      </c>
      <c r="H2304" s="27" t="n">
        <v>45761</v>
      </c>
      <c r="I2304" s="27" t="n">
        <v>45747</v>
      </c>
      <c r="J2304" s="27" t="n">
        <v>45749</v>
      </c>
      <c r="K2304" t="inlineStr">
        <is>
          <t>Boleto Bancário</t>
        </is>
      </c>
      <c r="L2304" t="inlineStr">
        <is>
          <t>Custo Mercadoria Vendida</t>
        </is>
      </c>
      <c r="M2304" t="inlineStr">
        <is>
          <t>Insumos - Alimentos</t>
        </is>
      </c>
      <c r="N2304" t="inlineStr">
        <is>
          <t>13357</t>
        </is>
      </c>
      <c r="O2304" t="inlineStr">
        <is>
          <t>Documentação Aprovada</t>
        </is>
      </c>
      <c r="P2304" t="inlineStr">
        <is>
          <t>Aprovado Diretoria</t>
        </is>
      </c>
      <c r="Q2304" t="inlineStr">
        <is>
          <t>Aprovado Caixa</t>
        </is>
      </c>
      <c r="R2304" t="inlineStr">
        <is>
          <t>Pago</t>
        </is>
      </c>
      <c r="S2304" t="n">
        <v>115</v>
      </c>
      <c r="T2304" t="inlineStr">
        <is>
          <t>Love - Shibari - Bradesco</t>
        </is>
      </c>
    </row>
    <row r="2305">
      <c r="A2305" t="n">
        <v>121935</v>
      </c>
      <c r="B2305" t="n">
        <v>128</v>
      </c>
      <c r="C2305" t="inlineStr">
        <is>
          <t>Love Cabaret</t>
        </is>
      </c>
      <c r="D2305" t="inlineStr">
        <is>
          <t>HNK BR IND DE BEBIDAS</t>
        </is>
      </c>
      <c r="E2305" t="n">
        <v>1207.31</v>
      </c>
      <c r="F2305" s="27" t="n">
        <v>45762</v>
      </c>
      <c r="G2305" s="27" t="n">
        <v>45761</v>
      </c>
      <c r="H2305" s="27" t="n">
        <v>45761</v>
      </c>
      <c r="I2305" s="27" t="n">
        <v>45747</v>
      </c>
      <c r="J2305" s="27" t="n">
        <v>45749</v>
      </c>
      <c r="K2305" t="inlineStr">
        <is>
          <t>Boleto Bancário</t>
        </is>
      </c>
      <c r="L2305" t="inlineStr">
        <is>
          <t>Custo Mercadoria Vendida</t>
        </is>
      </c>
      <c r="M2305" t="inlineStr">
        <is>
          <t>Insumos - Bebidas</t>
        </is>
      </c>
      <c r="N2305" t="inlineStr">
        <is>
          <t>225365</t>
        </is>
      </c>
      <c r="O2305" t="inlineStr">
        <is>
          <t>Documentação Aprovada</t>
        </is>
      </c>
      <c r="P2305" t="inlineStr">
        <is>
          <t>Aprovado Diretoria</t>
        </is>
      </c>
      <c r="Q2305" t="inlineStr">
        <is>
          <t>Aprovado Caixa</t>
        </is>
      </c>
      <c r="R2305" t="inlineStr">
        <is>
          <t>Pago</t>
        </is>
      </c>
      <c r="S2305" t="n">
        <v>115</v>
      </c>
      <c r="T2305" t="inlineStr">
        <is>
          <t>Love - Shibari - Bradesco</t>
        </is>
      </c>
    </row>
    <row r="2306">
      <c r="A2306" t="n">
        <v>121900</v>
      </c>
      <c r="B2306" t="n">
        <v>128</v>
      </c>
      <c r="C2306" t="inlineStr">
        <is>
          <t>Love Cabaret</t>
        </is>
      </c>
      <c r="D2306" t="inlineStr">
        <is>
          <t>CECILIA TSUYACO ARAKI SILVA LTDA</t>
        </is>
      </c>
      <c r="E2306" t="n">
        <v>104.4</v>
      </c>
      <c r="F2306" s="27" t="n">
        <v>45761</v>
      </c>
      <c r="G2306" s="27" t="n">
        <v>45761</v>
      </c>
      <c r="H2306" s="27" t="n">
        <v>45761</v>
      </c>
      <c r="I2306" s="27" t="n">
        <v>45747</v>
      </c>
      <c r="J2306" s="27" t="n">
        <v>45749</v>
      </c>
      <c r="K2306" t="inlineStr">
        <is>
          <t>Boleto Bancário</t>
        </is>
      </c>
      <c r="L2306" t="inlineStr">
        <is>
          <t>Custo Mercadoria Vendida</t>
        </is>
      </c>
      <c r="M2306" t="inlineStr">
        <is>
          <t>Insumos - Alimentos</t>
        </is>
      </c>
      <c r="N2306" t="inlineStr">
        <is>
          <t>368362</t>
        </is>
      </c>
      <c r="O2306" t="inlineStr">
        <is>
          <t>Documentação Aprovada</t>
        </is>
      </c>
      <c r="P2306" t="inlineStr">
        <is>
          <t>Aprovado Diretoria</t>
        </is>
      </c>
      <c r="Q2306" t="inlineStr">
        <is>
          <t>Aprovado Caixa</t>
        </is>
      </c>
      <c r="R2306" t="inlineStr">
        <is>
          <t>Pago</t>
        </is>
      </c>
      <c r="S2306" t="n">
        <v>115</v>
      </c>
      <c r="T2306" t="inlineStr">
        <is>
          <t>Love - Shibari - Bradesco</t>
        </is>
      </c>
    </row>
    <row r="2307">
      <c r="A2307" t="n">
        <v>121629</v>
      </c>
      <c r="B2307" t="n">
        <v>128</v>
      </c>
      <c r="C2307" t="inlineStr">
        <is>
          <t>Love Cabaret</t>
        </is>
      </c>
      <c r="D2307" t="inlineStr">
        <is>
          <t xml:space="preserve">FORTE ALIMENTOS COM. IMPORTAÇÃO LTDA </t>
        </is>
      </c>
      <c r="E2307" t="n">
        <v>470.42</v>
      </c>
      <c r="F2307" s="27" t="n">
        <v>45762</v>
      </c>
      <c r="G2307" s="27" t="n">
        <v>45761</v>
      </c>
      <c r="H2307" s="27" t="n">
        <v>45761</v>
      </c>
      <c r="I2307" s="27" t="n">
        <v>45747</v>
      </c>
      <c r="J2307" s="27" t="n">
        <v>45749</v>
      </c>
      <c r="K2307" t="inlineStr">
        <is>
          <t>Boleto Bancário</t>
        </is>
      </c>
      <c r="L2307" t="inlineStr">
        <is>
          <t>Custo Mercadoria Vendida</t>
        </is>
      </c>
      <c r="M2307" t="inlineStr">
        <is>
          <t>Insumos - Alimentos</t>
        </is>
      </c>
      <c r="N2307" t="inlineStr">
        <is>
          <t>304785</t>
        </is>
      </c>
      <c r="O2307" t="inlineStr">
        <is>
          <t>Documentação Aprovada</t>
        </is>
      </c>
      <c r="P2307" t="inlineStr">
        <is>
          <t>Aprovado Diretoria</t>
        </is>
      </c>
      <c r="Q2307" t="inlineStr">
        <is>
          <t>Aprovado Caixa</t>
        </is>
      </c>
      <c r="R2307" t="inlineStr">
        <is>
          <t>Pago</t>
        </is>
      </c>
      <c r="S2307" t="n">
        <v>115</v>
      </c>
      <c r="T2307" t="inlineStr">
        <is>
          <t>Love - Shibari - Bradesco</t>
        </is>
      </c>
    </row>
    <row r="2308">
      <c r="A2308" t="n">
        <v>127504</v>
      </c>
      <c r="B2308" t="n">
        <v>128</v>
      </c>
      <c r="C2308" t="inlineStr">
        <is>
          <t>Love Cabaret</t>
        </is>
      </c>
      <c r="D2308" t="inlineStr">
        <is>
          <t>BRADESCO SA</t>
        </is>
      </c>
      <c r="E2308" t="n">
        <v>162</v>
      </c>
      <c r="F2308" s="27" t="n">
        <v>45758</v>
      </c>
      <c r="G2308" s="27" t="n"/>
      <c r="H2308" s="27" t="n">
        <v>45758</v>
      </c>
      <c r="I2308" s="27" t="n">
        <v>45758</v>
      </c>
      <c r="J2308" s="27" t="n">
        <v>45772</v>
      </c>
      <c r="K2308" t="inlineStr">
        <is>
          <t>Encontro de Contas</t>
        </is>
      </c>
      <c r="L2308" t="inlineStr">
        <is>
          <t>Despesas Financeiras</t>
        </is>
      </c>
      <c r="M2308" t="inlineStr">
        <is>
          <t>Tarifas Bancárias</t>
        </is>
      </c>
      <c r="N2308" t="inlineStr">
        <is>
          <t>042025</t>
        </is>
      </c>
      <c r="P2308" t="inlineStr">
        <is>
          <t>Aprovado Diretoria</t>
        </is>
      </c>
      <c r="R2308" t="inlineStr">
        <is>
          <t>Pago</t>
        </is>
      </c>
    </row>
    <row r="2309">
      <c r="A2309" t="n">
        <v>120309</v>
      </c>
      <c r="B2309" t="n">
        <v>128</v>
      </c>
      <c r="C2309" t="inlineStr">
        <is>
          <t>Love Cabaret</t>
        </is>
      </c>
      <c r="D2309" t="inlineStr">
        <is>
          <t>MARIA EDUARDA RAMOS DE SOUSA</t>
        </is>
      </c>
      <c r="E2309" t="n">
        <v>412.9</v>
      </c>
      <c r="F2309" s="27" t="n">
        <v>45757</v>
      </c>
      <c r="G2309" s="27" t="n">
        <v>45757</v>
      </c>
      <c r="H2309" s="27" t="n">
        <v>45757</v>
      </c>
      <c r="I2309" s="27" t="n">
        <v>45717</v>
      </c>
      <c r="J2309" s="27" t="n">
        <v>45740</v>
      </c>
      <c r="K2309" t="inlineStr">
        <is>
          <t>Transferência Bancária ou Pix</t>
        </is>
      </c>
      <c r="L2309" t="inlineStr">
        <is>
          <t>Mão de Obra - PJ</t>
        </is>
      </c>
      <c r="M2309" t="inlineStr">
        <is>
          <t>MDO PJ Fixo</t>
        </is>
      </c>
      <c r="N2309" t="inlineStr">
        <is>
          <t>35</t>
        </is>
      </c>
      <c r="O2309" t="inlineStr">
        <is>
          <t>Documentação Aprovada</t>
        </is>
      </c>
      <c r="P2309" t="inlineStr">
        <is>
          <t>Aprovado Diretoria</t>
        </is>
      </c>
      <c r="Q2309" t="inlineStr">
        <is>
          <t>Aprovado Caixa</t>
        </is>
      </c>
      <c r="R2309" t="inlineStr">
        <is>
          <t>Pago</t>
        </is>
      </c>
      <c r="S2309" t="n">
        <v>115</v>
      </c>
      <c r="T2309" t="inlineStr">
        <is>
          <t>Love - Shibari - Bradesco</t>
        </is>
      </c>
    </row>
    <row r="2310">
      <c r="A2310" t="n">
        <v>119492</v>
      </c>
      <c r="B2310" t="n">
        <v>128</v>
      </c>
      <c r="C2310" t="inlineStr">
        <is>
          <t>Love Cabaret</t>
        </is>
      </c>
      <c r="D2310" t="inlineStr">
        <is>
          <t>JOAO VITOR MENDES SALUSTIANO</t>
        </is>
      </c>
      <c r="E2310" t="n">
        <v>4800</v>
      </c>
      <c r="F2310" s="27" t="n">
        <v>45762</v>
      </c>
      <c r="G2310" s="27" t="n">
        <v>45761</v>
      </c>
      <c r="H2310" s="27" t="n">
        <v>45757</v>
      </c>
      <c r="I2310" s="27" t="n">
        <v>45717</v>
      </c>
      <c r="J2310" s="27" t="n">
        <v>45735</v>
      </c>
      <c r="K2310" t="inlineStr">
        <is>
          <t>Transferência Bancária ou Pix</t>
        </is>
      </c>
      <c r="L2310" t="inlineStr">
        <is>
          <t>Mão de Obra - PJ</t>
        </is>
      </c>
      <c r="M2310" t="inlineStr">
        <is>
          <t>MDO PJ Fixo</t>
        </is>
      </c>
      <c r="N2310" t="inlineStr">
        <is>
          <t>141</t>
        </is>
      </c>
      <c r="O2310" t="inlineStr">
        <is>
          <t>Documentação Aprovada</t>
        </is>
      </c>
      <c r="P2310" t="inlineStr">
        <is>
          <t>Aprovado Diretoria</t>
        </is>
      </c>
      <c r="Q2310" t="inlineStr">
        <is>
          <t>Aprovado Caixa</t>
        </is>
      </c>
      <c r="R2310" t="inlineStr">
        <is>
          <t>Pago</t>
        </is>
      </c>
      <c r="S2310" t="n">
        <v>115</v>
      </c>
      <c r="T2310" t="inlineStr">
        <is>
          <t>Love - Shibari - Bradesco</t>
        </is>
      </c>
    </row>
    <row r="2311">
      <c r="A2311" t="n">
        <v>119516</v>
      </c>
      <c r="B2311" t="n">
        <v>128</v>
      </c>
      <c r="C2311" t="inlineStr">
        <is>
          <t>Love Cabaret</t>
        </is>
      </c>
      <c r="D2311" t="inlineStr">
        <is>
          <t>WAGNER DA SILVA FRANCA</t>
        </is>
      </c>
      <c r="E2311" t="n">
        <v>4000</v>
      </c>
      <c r="F2311" s="27" t="n">
        <v>45757</v>
      </c>
      <c r="G2311" s="27" t="n">
        <v>45756</v>
      </c>
      <c r="H2311" s="27" t="n">
        <v>45756</v>
      </c>
      <c r="I2311" s="27" t="n">
        <v>45717</v>
      </c>
      <c r="J2311" s="27" t="n">
        <v>45735</v>
      </c>
      <c r="K2311" t="inlineStr">
        <is>
          <t>Transferência Bancária ou Pix</t>
        </is>
      </c>
      <c r="L2311" t="inlineStr">
        <is>
          <t>Mão de Obra - PJ</t>
        </is>
      </c>
      <c r="M2311" t="inlineStr">
        <is>
          <t>MDO PJ Fixo</t>
        </is>
      </c>
      <c r="N2311" t="inlineStr">
        <is>
          <t>29</t>
        </is>
      </c>
      <c r="O2311" t="inlineStr">
        <is>
          <t>Documentação Aprovada</t>
        </is>
      </c>
      <c r="P2311" t="inlineStr">
        <is>
          <t>Aprovado Diretoria</t>
        </is>
      </c>
      <c r="Q2311" t="inlineStr">
        <is>
          <t>Aprovado Caixa</t>
        </is>
      </c>
      <c r="R2311" t="inlineStr">
        <is>
          <t>Pago</t>
        </is>
      </c>
      <c r="S2311" t="n">
        <v>115</v>
      </c>
      <c r="T2311" t="inlineStr">
        <is>
          <t>Love - Shibari - Bradesco</t>
        </is>
      </c>
    </row>
    <row r="2312">
      <c r="A2312" t="n">
        <v>119487</v>
      </c>
      <c r="B2312" t="n">
        <v>128</v>
      </c>
      <c r="C2312" t="inlineStr">
        <is>
          <t>Love Cabaret</t>
        </is>
      </c>
      <c r="D2312" t="inlineStr">
        <is>
          <t xml:space="preserve">DOUGLAS FELIPE DOMINGUES GONCALVES </t>
        </is>
      </c>
      <c r="E2312" t="n">
        <v>3500</v>
      </c>
      <c r="F2312" s="27" t="n">
        <v>45757</v>
      </c>
      <c r="G2312" s="27" t="n">
        <v>45756</v>
      </c>
      <c r="H2312" s="27" t="n">
        <v>45756</v>
      </c>
      <c r="I2312" s="27" t="n">
        <v>45717</v>
      </c>
      <c r="J2312" s="27" t="n">
        <v>45735</v>
      </c>
      <c r="K2312" t="inlineStr">
        <is>
          <t>Transferência Bancária ou Pix</t>
        </is>
      </c>
      <c r="L2312" t="inlineStr">
        <is>
          <t>Custos Artístico Geral</t>
        </is>
      </c>
      <c r="M2312" t="inlineStr">
        <is>
          <t>Técnico de Som / Luz</t>
        </is>
      </c>
      <c r="N2312" t="inlineStr">
        <is>
          <t>32</t>
        </is>
      </c>
      <c r="O2312" t="inlineStr">
        <is>
          <t>Documentação Aprovada</t>
        </is>
      </c>
      <c r="P2312" t="inlineStr">
        <is>
          <t>Aprovado Diretoria</t>
        </is>
      </c>
      <c r="Q2312" t="inlineStr">
        <is>
          <t>Aprovado Caixa</t>
        </is>
      </c>
      <c r="R2312" t="inlineStr">
        <is>
          <t>Pago</t>
        </is>
      </c>
      <c r="S2312" t="n">
        <v>115</v>
      </c>
      <c r="T2312" t="inlineStr">
        <is>
          <t>Love - Shibari - Bradesco</t>
        </is>
      </c>
    </row>
    <row r="2313">
      <c r="A2313" t="n">
        <v>119484</v>
      </c>
      <c r="B2313" t="n">
        <v>128</v>
      </c>
      <c r="C2313" t="inlineStr">
        <is>
          <t>Love Cabaret</t>
        </is>
      </c>
      <c r="D2313" t="inlineStr">
        <is>
          <t>ANDRE RODRIGUES AZEVEDO</t>
        </is>
      </c>
      <c r="E2313" t="n">
        <v>7420</v>
      </c>
      <c r="F2313" s="27" t="n">
        <v>45757</v>
      </c>
      <c r="G2313" s="27" t="n">
        <v>45756</v>
      </c>
      <c r="H2313" s="27" t="n">
        <v>45756</v>
      </c>
      <c r="I2313" s="27" t="n">
        <v>45717</v>
      </c>
      <c r="J2313" s="27" t="n">
        <v>45735</v>
      </c>
      <c r="K2313" t="inlineStr">
        <is>
          <t>Transferência Bancária ou Pix</t>
        </is>
      </c>
      <c r="L2313" t="inlineStr">
        <is>
          <t>Custos Artístico Geral</t>
        </is>
      </c>
      <c r="M2313" t="inlineStr">
        <is>
          <t>Técnico de Som / Luz</t>
        </is>
      </c>
      <c r="N2313" t="inlineStr">
        <is>
          <t>57</t>
        </is>
      </c>
      <c r="O2313" t="inlineStr">
        <is>
          <t>Documentação Aprovada</t>
        </is>
      </c>
      <c r="P2313" t="inlineStr">
        <is>
          <t>Aprovado Diretoria</t>
        </is>
      </c>
      <c r="Q2313" t="inlineStr">
        <is>
          <t>Aprovado Caixa</t>
        </is>
      </c>
      <c r="R2313" t="inlineStr">
        <is>
          <t>Pago</t>
        </is>
      </c>
      <c r="S2313" t="n">
        <v>115</v>
      </c>
      <c r="T2313" t="inlineStr">
        <is>
          <t>Love - Shibari - Bradesco</t>
        </is>
      </c>
    </row>
    <row r="2314">
      <c r="A2314" t="n">
        <v>119493</v>
      </c>
      <c r="B2314" t="n">
        <v>128</v>
      </c>
      <c r="C2314" t="inlineStr">
        <is>
          <t>Love Cabaret</t>
        </is>
      </c>
      <c r="D2314" t="inlineStr">
        <is>
          <t>JULIA BAISCH FRANZ 02463978023</t>
        </is>
      </c>
      <c r="E2314" t="n">
        <v>8500</v>
      </c>
      <c r="F2314" s="27" t="n">
        <v>45757</v>
      </c>
      <c r="G2314" s="27" t="n">
        <v>45756</v>
      </c>
      <c r="H2314" s="27" t="n">
        <v>45756</v>
      </c>
      <c r="I2314" s="27" t="n">
        <v>45717</v>
      </c>
      <c r="J2314" s="27" t="n">
        <v>45735</v>
      </c>
      <c r="K2314" t="inlineStr">
        <is>
          <t>Transferência Bancária ou Pix</t>
        </is>
      </c>
      <c r="L2314" t="inlineStr">
        <is>
          <t>Custos Artístico Geral</t>
        </is>
      </c>
      <c r="M2314" t="inlineStr">
        <is>
          <t>Técnico de Som / Luz</t>
        </is>
      </c>
      <c r="N2314" t="inlineStr">
        <is>
          <t>1</t>
        </is>
      </c>
      <c r="O2314" t="inlineStr">
        <is>
          <t>Documentação Aprovada</t>
        </is>
      </c>
      <c r="P2314" t="inlineStr">
        <is>
          <t>Aprovado Diretoria</t>
        </is>
      </c>
      <c r="Q2314" t="inlineStr">
        <is>
          <t>Aprovado Caixa</t>
        </is>
      </c>
      <c r="R2314" t="inlineStr">
        <is>
          <t>Pago</t>
        </is>
      </c>
      <c r="S2314" t="n">
        <v>115</v>
      </c>
      <c r="T2314" t="inlineStr">
        <is>
          <t>Love - Shibari - Bradesco</t>
        </is>
      </c>
    </row>
    <row r="2315">
      <c r="A2315" t="n">
        <v>119494</v>
      </c>
      <c r="B2315" t="n">
        <v>128</v>
      </c>
      <c r="C2315" t="inlineStr">
        <is>
          <t>Love Cabaret</t>
        </is>
      </c>
      <c r="D2315" t="inlineStr">
        <is>
          <t>PJ 50397059000133</t>
        </is>
      </c>
      <c r="E2315" t="n">
        <v>3000</v>
      </c>
      <c r="F2315" s="27" t="n">
        <v>45757</v>
      </c>
      <c r="G2315" s="27" t="n">
        <v>45756</v>
      </c>
      <c r="H2315" s="27" t="n">
        <v>45756</v>
      </c>
      <c r="I2315" s="27" t="n">
        <v>45717</v>
      </c>
      <c r="J2315" s="27" t="n">
        <v>45735</v>
      </c>
      <c r="K2315" t="inlineStr">
        <is>
          <t>Transferência Bancária ou Pix</t>
        </is>
      </c>
      <c r="L2315" t="inlineStr">
        <is>
          <t>Mão de Obra - PJ</t>
        </is>
      </c>
      <c r="M2315" t="inlineStr">
        <is>
          <t>MDO PJ Fixo</t>
        </is>
      </c>
      <c r="N2315" t="inlineStr">
        <is>
          <t>47</t>
        </is>
      </c>
      <c r="O2315" t="inlineStr">
        <is>
          <t>Documentação Aprovada</t>
        </is>
      </c>
      <c r="P2315" t="inlineStr">
        <is>
          <t>Aprovado Diretoria</t>
        </is>
      </c>
      <c r="Q2315" t="inlineStr">
        <is>
          <t>Aprovado Caixa</t>
        </is>
      </c>
      <c r="R2315" t="inlineStr">
        <is>
          <t>Pago</t>
        </is>
      </c>
      <c r="S2315" t="n">
        <v>115</v>
      </c>
      <c r="T2315" t="inlineStr">
        <is>
          <t>Love - Shibari - Bradesco</t>
        </is>
      </c>
    </row>
    <row r="2316">
      <c r="A2316" t="n">
        <v>119495</v>
      </c>
      <c r="B2316" t="n">
        <v>128</v>
      </c>
      <c r="C2316" t="inlineStr">
        <is>
          <t>Love Cabaret</t>
        </is>
      </c>
      <c r="D2316" t="inlineStr">
        <is>
          <t xml:space="preserve">PJ 00452023 LAISA ROCHA LARANGEIRA </t>
        </is>
      </c>
      <c r="E2316" t="n">
        <v>1600</v>
      </c>
      <c r="F2316" s="27" t="n">
        <v>45757</v>
      </c>
      <c r="G2316" s="27" t="n">
        <v>45756</v>
      </c>
      <c r="H2316" s="27" t="n">
        <v>45756</v>
      </c>
      <c r="I2316" s="27" t="n">
        <v>45717</v>
      </c>
      <c r="J2316" s="27" t="n">
        <v>45735</v>
      </c>
      <c r="K2316" t="inlineStr">
        <is>
          <t>Transferência Bancária ou Pix</t>
        </is>
      </c>
      <c r="L2316" t="inlineStr">
        <is>
          <t>Mão de Obra - PJ</t>
        </is>
      </c>
      <c r="M2316" t="inlineStr">
        <is>
          <t>MDO PJ Fixo</t>
        </is>
      </c>
      <c r="N2316" t="inlineStr">
        <is>
          <t>61</t>
        </is>
      </c>
      <c r="O2316" t="inlineStr">
        <is>
          <t>Documentação Aprovada</t>
        </is>
      </c>
      <c r="P2316" t="inlineStr">
        <is>
          <t>Aprovado Diretoria</t>
        </is>
      </c>
      <c r="Q2316" t="inlineStr">
        <is>
          <t>Aprovado Caixa</t>
        </is>
      </c>
      <c r="R2316" t="inlineStr">
        <is>
          <t>Pago</t>
        </is>
      </c>
      <c r="S2316" t="n">
        <v>115</v>
      </c>
      <c r="T2316" t="inlineStr">
        <is>
          <t>Love - Shibari - Bradesco</t>
        </is>
      </c>
    </row>
    <row r="2317">
      <c r="A2317" t="n">
        <v>119491</v>
      </c>
      <c r="B2317" t="n">
        <v>128</v>
      </c>
      <c r="C2317" t="inlineStr">
        <is>
          <t>Love Cabaret</t>
        </is>
      </c>
      <c r="D2317" t="inlineStr">
        <is>
          <t>PJ 00352023 - JESSICA IZABEL DE SOUZA</t>
        </is>
      </c>
      <c r="E2317" t="n">
        <v>1250</v>
      </c>
      <c r="F2317" s="27" t="n">
        <v>45757</v>
      </c>
      <c r="G2317" s="27" t="n">
        <v>45756</v>
      </c>
      <c r="H2317" s="27" t="n">
        <v>45756</v>
      </c>
      <c r="I2317" s="27" t="n">
        <v>45717</v>
      </c>
      <c r="J2317" s="27" t="n">
        <v>45735</v>
      </c>
      <c r="K2317" t="inlineStr">
        <is>
          <t>Transferência Bancária ou Pix</t>
        </is>
      </c>
      <c r="L2317" t="inlineStr">
        <is>
          <t>Mão de Obra - PJ</t>
        </is>
      </c>
      <c r="M2317" t="inlineStr">
        <is>
          <t>MDO PJ Fixo</t>
        </is>
      </c>
      <c r="N2317" t="inlineStr">
        <is>
          <t>66</t>
        </is>
      </c>
      <c r="O2317" t="inlineStr">
        <is>
          <t>Documentação Aprovada</t>
        </is>
      </c>
      <c r="P2317" t="inlineStr">
        <is>
          <t>Aprovado Diretoria</t>
        </is>
      </c>
      <c r="Q2317" t="inlineStr">
        <is>
          <t>Aprovado Caixa</t>
        </is>
      </c>
      <c r="R2317" t="inlineStr">
        <is>
          <t>Pago</t>
        </is>
      </c>
      <c r="S2317" t="n">
        <v>115</v>
      </c>
      <c r="T2317" t="inlineStr">
        <is>
          <t>Love - Shibari - Bradesco</t>
        </is>
      </c>
    </row>
    <row r="2318">
      <c r="A2318" t="n">
        <v>119499</v>
      </c>
      <c r="B2318" t="n">
        <v>128</v>
      </c>
      <c r="C2318" t="inlineStr">
        <is>
          <t>Love Cabaret</t>
        </is>
      </c>
      <c r="D2318" t="inlineStr">
        <is>
          <t>ROBERTA MARIA SANTANA</t>
        </is>
      </c>
      <c r="E2318" t="n">
        <v>4000</v>
      </c>
      <c r="F2318" s="27" t="n">
        <v>45757</v>
      </c>
      <c r="G2318" s="27" t="n">
        <v>45756</v>
      </c>
      <c r="H2318" s="27" t="n">
        <v>45756</v>
      </c>
      <c r="I2318" s="27" t="n">
        <v>45717</v>
      </c>
      <c r="J2318" s="27" t="n">
        <v>45735</v>
      </c>
      <c r="K2318" t="inlineStr">
        <is>
          <t>Transferência Bancária ou Pix</t>
        </is>
      </c>
      <c r="L2318" t="inlineStr">
        <is>
          <t>Mão de Obra - PJ</t>
        </is>
      </c>
      <c r="M2318" t="inlineStr">
        <is>
          <t>MDO PJ Fixo</t>
        </is>
      </c>
      <c r="N2318" t="inlineStr">
        <is>
          <t>5</t>
        </is>
      </c>
      <c r="O2318" t="inlineStr">
        <is>
          <t>Documentação Aprovada</t>
        </is>
      </c>
      <c r="P2318" t="inlineStr">
        <is>
          <t>Aprovado Diretoria</t>
        </is>
      </c>
      <c r="Q2318" t="inlineStr">
        <is>
          <t>Aprovado Caixa</t>
        </is>
      </c>
      <c r="R2318" t="inlineStr">
        <is>
          <t>Pago</t>
        </is>
      </c>
      <c r="S2318" t="n">
        <v>115</v>
      </c>
      <c r="T2318" t="inlineStr">
        <is>
          <t>Love - Shibari - Bradesco</t>
        </is>
      </c>
    </row>
    <row r="2319">
      <c r="A2319" t="n">
        <v>119505</v>
      </c>
      <c r="B2319" t="n">
        <v>128</v>
      </c>
      <c r="C2319" t="inlineStr">
        <is>
          <t>Love Cabaret</t>
        </is>
      </c>
      <c r="D2319" t="inlineStr">
        <is>
          <t>TAMARA SANTOS RIBEIRO</t>
        </is>
      </c>
      <c r="E2319" t="n">
        <v>3500</v>
      </c>
      <c r="F2319" s="27" t="n">
        <v>45757</v>
      </c>
      <c r="G2319" s="27" t="n">
        <v>45756</v>
      </c>
      <c r="H2319" s="27" t="n">
        <v>45756</v>
      </c>
      <c r="I2319" s="27" t="n">
        <v>45717</v>
      </c>
      <c r="J2319" s="27" t="n">
        <v>45735</v>
      </c>
      <c r="K2319" t="inlineStr">
        <is>
          <t>Transferência Bancária ou Pix</t>
        </is>
      </c>
      <c r="L2319" t="inlineStr">
        <is>
          <t>Mão de Obra - PJ</t>
        </is>
      </c>
      <c r="M2319" t="inlineStr">
        <is>
          <t>MDO PJ Fixo</t>
        </is>
      </c>
      <c r="N2319" t="inlineStr">
        <is>
          <t>21</t>
        </is>
      </c>
      <c r="O2319" t="inlineStr">
        <is>
          <t>Documentação Aprovada</t>
        </is>
      </c>
      <c r="P2319" t="inlineStr">
        <is>
          <t>Aprovado Diretoria</t>
        </is>
      </c>
      <c r="Q2319" t="inlineStr">
        <is>
          <t>Aprovado Caixa</t>
        </is>
      </c>
      <c r="R2319" t="inlineStr">
        <is>
          <t>Pago</t>
        </is>
      </c>
      <c r="S2319" t="n">
        <v>115</v>
      </c>
      <c r="T2319" t="inlineStr">
        <is>
          <t>Love - Shibari - Bradesco</t>
        </is>
      </c>
    </row>
    <row r="2320">
      <c r="A2320" t="n">
        <v>119486</v>
      </c>
      <c r="B2320" t="n">
        <v>128</v>
      </c>
      <c r="C2320" t="inlineStr">
        <is>
          <t>Love Cabaret</t>
        </is>
      </c>
      <c r="D2320" t="inlineStr">
        <is>
          <t>PJ 43960118000174 - DIEGO OLIVEIRA SANTANA</t>
        </is>
      </c>
      <c r="E2320" t="n">
        <v>4200</v>
      </c>
      <c r="F2320" s="27" t="n">
        <v>45757</v>
      </c>
      <c r="G2320" s="27" t="n">
        <v>45756</v>
      </c>
      <c r="H2320" s="27" t="n">
        <v>45756</v>
      </c>
      <c r="I2320" s="27" t="n">
        <v>45717</v>
      </c>
      <c r="J2320" s="27" t="n">
        <v>45735</v>
      </c>
      <c r="K2320" t="inlineStr">
        <is>
          <t>Transferência Bancária ou Pix</t>
        </is>
      </c>
      <c r="L2320" t="inlineStr">
        <is>
          <t>Mão de Obra - PJ</t>
        </is>
      </c>
      <c r="M2320" t="inlineStr">
        <is>
          <t>MDO PJ Fixo</t>
        </is>
      </c>
      <c r="N2320" t="inlineStr">
        <is>
          <t>58</t>
        </is>
      </c>
      <c r="O2320" t="inlineStr">
        <is>
          <t>Documentação Aprovada</t>
        </is>
      </c>
      <c r="P2320" t="inlineStr">
        <is>
          <t>Aprovado Diretoria</t>
        </is>
      </c>
      <c r="Q2320" t="inlineStr">
        <is>
          <t>Aprovado Caixa</t>
        </is>
      </c>
      <c r="R2320" t="inlineStr">
        <is>
          <t>Pago</t>
        </is>
      </c>
      <c r="S2320" t="n">
        <v>115</v>
      </c>
      <c r="T2320" t="inlineStr">
        <is>
          <t>Love - Shibari - Bradesco</t>
        </is>
      </c>
    </row>
    <row r="2321">
      <c r="A2321" t="n">
        <v>119508</v>
      </c>
      <c r="B2321" t="n">
        <v>128</v>
      </c>
      <c r="C2321" t="inlineStr">
        <is>
          <t>Love Cabaret</t>
        </is>
      </c>
      <c r="D2321" t="inlineStr">
        <is>
          <t>PJ 00132021 - TELES DE ALMEIDA PINTO</t>
        </is>
      </c>
      <c r="E2321" t="n">
        <v>1600</v>
      </c>
      <c r="F2321" s="27" t="n">
        <v>45757</v>
      </c>
      <c r="G2321" s="27" t="n">
        <v>45756</v>
      </c>
      <c r="H2321" s="27" t="n">
        <v>45756</v>
      </c>
      <c r="I2321" s="27" t="n">
        <v>45717</v>
      </c>
      <c r="J2321" s="27" t="n">
        <v>45735</v>
      </c>
      <c r="K2321" t="inlineStr">
        <is>
          <t>Transferência Bancária ou Pix</t>
        </is>
      </c>
      <c r="L2321" t="inlineStr">
        <is>
          <t>Mão de Obra - PJ</t>
        </is>
      </c>
      <c r="M2321" t="inlineStr">
        <is>
          <t>MDO PJ Fixo</t>
        </is>
      </c>
      <c r="N2321" t="inlineStr">
        <is>
          <t>10</t>
        </is>
      </c>
      <c r="O2321" t="inlineStr">
        <is>
          <t>Documentação Aprovada</t>
        </is>
      </c>
      <c r="P2321" t="inlineStr">
        <is>
          <t>Aprovado Diretoria</t>
        </is>
      </c>
      <c r="Q2321" t="inlineStr">
        <is>
          <t>Aprovado Caixa</t>
        </is>
      </c>
      <c r="R2321" t="inlineStr">
        <is>
          <t>Pago</t>
        </is>
      </c>
      <c r="S2321" t="n">
        <v>115</v>
      </c>
      <c r="T2321" t="inlineStr">
        <is>
          <t>Love - Shibari - Bradesco</t>
        </is>
      </c>
    </row>
    <row r="2322">
      <c r="A2322" t="n">
        <v>119510</v>
      </c>
      <c r="B2322" t="n">
        <v>128</v>
      </c>
      <c r="C2322" t="inlineStr">
        <is>
          <t>Love Cabaret</t>
        </is>
      </c>
      <c r="D2322" t="inlineStr">
        <is>
          <t>PJ 00502024 THIAGO PINHEIRO DA SILVA</t>
        </is>
      </c>
      <c r="E2322" t="n">
        <v>1125</v>
      </c>
      <c r="F2322" s="27" t="n">
        <v>45757</v>
      </c>
      <c r="G2322" s="27" t="n">
        <v>45756</v>
      </c>
      <c r="H2322" s="27" t="n">
        <v>45756</v>
      </c>
      <c r="I2322" s="27" t="n">
        <v>45717</v>
      </c>
      <c r="J2322" s="27" t="n">
        <v>45735</v>
      </c>
      <c r="K2322" t="inlineStr">
        <is>
          <t>Transferência Bancária ou Pix</t>
        </is>
      </c>
      <c r="L2322" t="inlineStr">
        <is>
          <t>Mão de Obra - PJ</t>
        </is>
      </c>
      <c r="M2322" t="inlineStr">
        <is>
          <t>MDO PJ Fixo</t>
        </is>
      </c>
      <c r="N2322" t="inlineStr">
        <is>
          <t>39</t>
        </is>
      </c>
      <c r="O2322" t="inlineStr">
        <is>
          <t>Documentação Aprovada</t>
        </is>
      </c>
      <c r="P2322" t="inlineStr">
        <is>
          <t>Aprovado Diretoria</t>
        </is>
      </c>
      <c r="Q2322" t="inlineStr">
        <is>
          <t>Aprovado Caixa</t>
        </is>
      </c>
      <c r="R2322" t="inlineStr">
        <is>
          <t>Pago</t>
        </is>
      </c>
      <c r="S2322" t="n">
        <v>115</v>
      </c>
      <c r="T2322" t="inlineStr">
        <is>
          <t>Love - Shibari - Bradesco</t>
        </is>
      </c>
    </row>
    <row r="2323">
      <c r="A2323" t="n">
        <v>119490</v>
      </c>
      <c r="B2323" t="n">
        <v>128</v>
      </c>
      <c r="C2323" t="inlineStr">
        <is>
          <t>Love Cabaret</t>
        </is>
      </c>
      <c r="D2323" t="inlineStr">
        <is>
          <t>PJ 00492024 - ISABELLA FERNANDES GOMES</t>
        </is>
      </c>
      <c r="E2323" t="n">
        <v>1200</v>
      </c>
      <c r="F2323" s="27" t="n">
        <v>45757</v>
      </c>
      <c r="G2323" s="27" t="n">
        <v>45756</v>
      </c>
      <c r="H2323" s="27" t="n">
        <v>45756</v>
      </c>
      <c r="I2323" s="27" t="n">
        <v>45717</v>
      </c>
      <c r="J2323" s="27" t="n">
        <v>45735</v>
      </c>
      <c r="K2323" t="inlineStr">
        <is>
          <t>Transferência Bancária ou Pix</t>
        </is>
      </c>
      <c r="L2323" t="inlineStr">
        <is>
          <t>Mão de Obra - PJ</t>
        </is>
      </c>
      <c r="M2323" t="inlineStr">
        <is>
          <t>MDO PJ Fixo</t>
        </is>
      </c>
      <c r="N2323" t="inlineStr">
        <is>
          <t>42</t>
        </is>
      </c>
      <c r="O2323" t="inlineStr">
        <is>
          <t>Documentação Aprovada</t>
        </is>
      </c>
      <c r="P2323" t="inlineStr">
        <is>
          <t>Aprovado Diretoria</t>
        </is>
      </c>
      <c r="Q2323" t="inlineStr">
        <is>
          <t>Aprovado Caixa</t>
        </is>
      </c>
      <c r="R2323" t="inlineStr">
        <is>
          <t>Pago</t>
        </is>
      </c>
      <c r="S2323" t="n">
        <v>115</v>
      </c>
      <c r="T2323" t="inlineStr">
        <is>
          <t>Love - Shibari - Bradesco</t>
        </is>
      </c>
    </row>
    <row r="2324">
      <c r="A2324" t="n">
        <v>119489</v>
      </c>
      <c r="B2324" t="n">
        <v>128</v>
      </c>
      <c r="C2324" t="inlineStr">
        <is>
          <t>Love Cabaret</t>
        </is>
      </c>
      <c r="D2324" t="inlineStr">
        <is>
          <t>PUXURI CONSULTORIA LTDA</t>
        </is>
      </c>
      <c r="E2324" t="n">
        <v>4000</v>
      </c>
      <c r="F2324" s="27" t="n">
        <v>45757</v>
      </c>
      <c r="G2324" s="27" t="n">
        <v>45756</v>
      </c>
      <c r="H2324" s="27" t="n">
        <v>45756</v>
      </c>
      <c r="I2324" s="27" t="n">
        <v>45717</v>
      </c>
      <c r="J2324" s="27" t="n">
        <v>45735</v>
      </c>
      <c r="K2324" t="inlineStr">
        <is>
          <t>Transferência Bancária ou Pix</t>
        </is>
      </c>
      <c r="L2324" t="inlineStr">
        <is>
          <t>Mão de Obra - PJ</t>
        </is>
      </c>
      <c r="M2324" t="inlineStr">
        <is>
          <t>MDO PJ Fixo</t>
        </is>
      </c>
      <c r="N2324" t="inlineStr">
        <is>
          <t>100</t>
        </is>
      </c>
      <c r="O2324" t="inlineStr">
        <is>
          <t>Documentação Aprovada</t>
        </is>
      </c>
      <c r="P2324" t="inlineStr">
        <is>
          <t>Aprovado Diretoria</t>
        </is>
      </c>
      <c r="Q2324" t="inlineStr">
        <is>
          <t>Aprovado Caixa</t>
        </is>
      </c>
      <c r="R2324" t="inlineStr">
        <is>
          <t>Pago</t>
        </is>
      </c>
      <c r="S2324" t="n">
        <v>115</v>
      </c>
      <c r="T2324" t="inlineStr">
        <is>
          <t>Love - Shibari - Bradesco</t>
        </is>
      </c>
    </row>
    <row r="2325">
      <c r="A2325" t="n">
        <v>119488</v>
      </c>
      <c r="B2325" t="n">
        <v>128</v>
      </c>
      <c r="C2325" t="inlineStr">
        <is>
          <t>Love Cabaret</t>
        </is>
      </c>
      <c r="D2325" t="inlineStr">
        <is>
          <t>PJ23824129000110 - FELIPE DA COSTA SANTOS</t>
        </is>
      </c>
      <c r="E2325" t="n">
        <v>5100</v>
      </c>
      <c r="F2325" s="27" t="n">
        <v>45757</v>
      </c>
      <c r="G2325" s="27" t="n">
        <v>45756</v>
      </c>
      <c r="H2325" s="27" t="n">
        <v>45756</v>
      </c>
      <c r="I2325" s="27" t="n">
        <v>45717</v>
      </c>
      <c r="J2325" s="27" t="n">
        <v>45735</v>
      </c>
      <c r="K2325" t="inlineStr">
        <is>
          <t>Transferência Bancária ou Pix</t>
        </is>
      </c>
      <c r="L2325" t="inlineStr">
        <is>
          <t>Mão de Obra - PJ</t>
        </is>
      </c>
      <c r="M2325" t="inlineStr">
        <is>
          <t>MDO PJ Fixo</t>
        </is>
      </c>
      <c r="N2325" t="inlineStr">
        <is>
          <t>45</t>
        </is>
      </c>
      <c r="O2325" t="inlineStr">
        <is>
          <t>Documentação Aprovada</t>
        </is>
      </c>
      <c r="P2325" t="inlineStr">
        <is>
          <t>Aprovado Diretoria</t>
        </is>
      </c>
      <c r="Q2325" t="inlineStr">
        <is>
          <t>Aprovado Caixa</t>
        </is>
      </c>
      <c r="R2325" t="inlineStr">
        <is>
          <t>Pago</t>
        </is>
      </c>
      <c r="S2325" t="n">
        <v>115</v>
      </c>
      <c r="T2325" t="inlineStr">
        <is>
          <t>Love - Shibari - Bradesco</t>
        </is>
      </c>
    </row>
    <row r="2326">
      <c r="A2326" t="n">
        <v>119482</v>
      </c>
      <c r="B2326" t="n">
        <v>128</v>
      </c>
      <c r="C2326" t="inlineStr">
        <is>
          <t>Love Cabaret</t>
        </is>
      </c>
      <c r="D2326" t="inlineStr">
        <is>
          <t xml:space="preserve">AGNES RODRIGUES DE OLIVEIRA </t>
        </is>
      </c>
      <c r="E2326" t="n">
        <v>5000</v>
      </c>
      <c r="F2326" s="27" t="n">
        <v>45757</v>
      </c>
      <c r="G2326" s="27" t="n">
        <v>45756</v>
      </c>
      <c r="H2326" s="27" t="n">
        <v>45756</v>
      </c>
      <c r="I2326" s="27" t="n">
        <v>45717</v>
      </c>
      <c r="J2326" s="27" t="n">
        <v>45735</v>
      </c>
      <c r="K2326" t="inlineStr">
        <is>
          <t>Transferência Bancária ou Pix</t>
        </is>
      </c>
      <c r="L2326" t="inlineStr">
        <is>
          <t>Custos Artístico Geral</t>
        </is>
      </c>
      <c r="M2326" t="inlineStr">
        <is>
          <t>Técnico de Som / Luz</t>
        </is>
      </c>
      <c r="N2326" t="inlineStr">
        <is>
          <t>29</t>
        </is>
      </c>
      <c r="O2326" t="inlineStr">
        <is>
          <t>Documentação Aprovada</t>
        </is>
      </c>
      <c r="P2326" t="inlineStr">
        <is>
          <t>Aprovado Diretoria</t>
        </is>
      </c>
      <c r="Q2326" t="inlineStr">
        <is>
          <t>Aprovado Caixa</t>
        </is>
      </c>
      <c r="R2326" t="inlineStr">
        <is>
          <t>Pago</t>
        </is>
      </c>
      <c r="S2326" t="n">
        <v>115</v>
      </c>
      <c r="T2326" t="inlineStr">
        <is>
          <t>Love - Shibari - Bradesco</t>
        </is>
      </c>
    </row>
    <row r="2327">
      <c r="A2327" t="n">
        <v>119512</v>
      </c>
      <c r="B2327" t="n">
        <v>128</v>
      </c>
      <c r="C2327" t="inlineStr">
        <is>
          <t>Love Cabaret</t>
        </is>
      </c>
      <c r="D2327" t="inlineStr">
        <is>
          <t>VANESSA DEL SANTOS DE FREITAS CONSULTORIA - PJ 00092021</t>
        </is>
      </c>
      <c r="E2327" t="n">
        <v>3000</v>
      </c>
      <c r="F2327" s="27" t="n">
        <v>45757</v>
      </c>
      <c r="G2327" s="27" t="n">
        <v>45756</v>
      </c>
      <c r="H2327" s="27" t="n">
        <v>45756</v>
      </c>
      <c r="I2327" s="27" t="n">
        <v>45717</v>
      </c>
      <c r="J2327" s="27" t="n">
        <v>45735</v>
      </c>
      <c r="K2327" t="inlineStr">
        <is>
          <t>Transferência Bancária ou Pix</t>
        </is>
      </c>
      <c r="L2327" t="inlineStr">
        <is>
          <t>Mão de Obra - PJ</t>
        </is>
      </c>
      <c r="M2327" t="inlineStr">
        <is>
          <t>MDO PJ Fixo</t>
        </is>
      </c>
      <c r="N2327" t="inlineStr">
        <is>
          <t>258</t>
        </is>
      </c>
      <c r="O2327" t="inlineStr">
        <is>
          <t>Documentação Aprovada</t>
        </is>
      </c>
      <c r="P2327" t="inlineStr">
        <is>
          <t>Aprovado Diretoria</t>
        </is>
      </c>
      <c r="Q2327" t="inlineStr">
        <is>
          <t>Aprovado Caixa</t>
        </is>
      </c>
      <c r="R2327" t="inlineStr">
        <is>
          <t>Pago</t>
        </is>
      </c>
      <c r="S2327" t="n">
        <v>115</v>
      </c>
      <c r="T2327" t="inlineStr">
        <is>
          <t>Love - Shibari - Bradesco</t>
        </is>
      </c>
    </row>
    <row r="2328">
      <c r="A2328" t="n">
        <v>121622</v>
      </c>
      <c r="B2328" t="n">
        <v>128</v>
      </c>
      <c r="C2328" t="inlineStr">
        <is>
          <t>Love Cabaret</t>
        </is>
      </c>
      <c r="D2328" t="inlineStr">
        <is>
          <t>ICE4PROS FABRICA DE GELO LTDA</t>
        </is>
      </c>
      <c r="E2328" t="n">
        <v>494</v>
      </c>
      <c r="F2328" s="27" t="n">
        <v>45757</v>
      </c>
      <c r="G2328" s="27" t="n">
        <v>45756</v>
      </c>
      <c r="H2328" s="27" t="n">
        <v>45756</v>
      </c>
      <c r="I2328" s="27" t="n">
        <v>45747</v>
      </c>
      <c r="J2328" s="27" t="n">
        <v>45749</v>
      </c>
      <c r="K2328" t="inlineStr">
        <is>
          <t>Boleto Bancário</t>
        </is>
      </c>
      <c r="L2328" t="inlineStr">
        <is>
          <t>Custo Mercadoria Vendida</t>
        </is>
      </c>
      <c r="M2328" t="inlineStr">
        <is>
          <t>Insumos - Bebidas</t>
        </is>
      </c>
      <c r="N2328" t="inlineStr">
        <is>
          <t>76852</t>
        </is>
      </c>
      <c r="O2328" t="inlineStr">
        <is>
          <t>Documentação Aprovada</t>
        </is>
      </c>
      <c r="P2328" t="inlineStr">
        <is>
          <t>Aprovado Diretoria</t>
        </is>
      </c>
      <c r="Q2328" t="inlineStr">
        <is>
          <t>Aprovado Caixa</t>
        </is>
      </c>
      <c r="R2328" t="inlineStr">
        <is>
          <t>Pago</t>
        </is>
      </c>
      <c r="S2328" t="n">
        <v>115</v>
      </c>
      <c r="T2328" t="inlineStr">
        <is>
          <t>Love - Shibari - Bradesco</t>
        </is>
      </c>
    </row>
    <row r="2329">
      <c r="A2329" t="n">
        <v>121621</v>
      </c>
      <c r="B2329" t="n">
        <v>128</v>
      </c>
      <c r="C2329" t="inlineStr">
        <is>
          <t>Love Cabaret</t>
        </is>
      </c>
      <c r="D2329" t="inlineStr">
        <is>
          <t>BATALHA FABRICA DE PAES LTDA</t>
        </is>
      </c>
      <c r="E2329" t="n">
        <v>561.84</v>
      </c>
      <c r="F2329" s="27" t="n">
        <v>45758</v>
      </c>
      <c r="G2329" s="27" t="n">
        <v>45756</v>
      </c>
      <c r="H2329" s="27" t="n">
        <v>45756</v>
      </c>
      <c r="I2329" s="27" t="n">
        <v>45741</v>
      </c>
      <c r="J2329" s="27" t="n">
        <v>45749</v>
      </c>
      <c r="K2329" t="inlineStr">
        <is>
          <t>Boleto Bancário</t>
        </is>
      </c>
      <c r="L2329" t="inlineStr">
        <is>
          <t>Custo Mercadoria Vendida</t>
        </is>
      </c>
      <c r="M2329" t="inlineStr">
        <is>
          <t>Insumos - Alimentos</t>
        </is>
      </c>
      <c r="N2329" t="inlineStr">
        <is>
          <t>34350</t>
        </is>
      </c>
      <c r="O2329" t="inlineStr">
        <is>
          <t>Documentação Aprovada</t>
        </is>
      </c>
      <c r="P2329" t="inlineStr">
        <is>
          <t>Aprovado Diretoria</t>
        </is>
      </c>
      <c r="Q2329" t="inlineStr">
        <is>
          <t>Aprovado Caixa</t>
        </is>
      </c>
      <c r="R2329" t="inlineStr">
        <is>
          <t>Pago</t>
        </is>
      </c>
      <c r="S2329" t="n">
        <v>115</v>
      </c>
      <c r="T2329" t="inlineStr">
        <is>
          <t>Love - Shibari - Bradesco</t>
        </is>
      </c>
    </row>
    <row r="2330">
      <c r="A2330" t="n">
        <v>118318</v>
      </c>
      <c r="B2330" t="n">
        <v>128</v>
      </c>
      <c r="C2330" t="inlineStr">
        <is>
          <t>Love Cabaret</t>
        </is>
      </c>
      <c r="D2330" t="inlineStr">
        <is>
          <t xml:space="preserve">EMPORIO MEL </t>
        </is>
      </c>
      <c r="E2330" t="n">
        <v>722.13</v>
      </c>
      <c r="F2330" s="27" t="n">
        <v>45757</v>
      </c>
      <c r="G2330" s="27" t="n">
        <v>45756</v>
      </c>
      <c r="H2330" s="27" t="n">
        <v>45756</v>
      </c>
      <c r="I2330" s="27" t="n">
        <v>45726</v>
      </c>
      <c r="J2330" s="27" t="n">
        <v>45729</v>
      </c>
      <c r="K2330" t="inlineStr">
        <is>
          <t>Boleto Bancário</t>
        </is>
      </c>
      <c r="L2330" t="inlineStr">
        <is>
          <t>Custo Mercadoria Vendida</t>
        </is>
      </c>
      <c r="M2330" t="inlineStr">
        <is>
          <t>Insumos - Alimentos</t>
        </is>
      </c>
      <c r="N2330" t="inlineStr">
        <is>
          <t>443290</t>
        </is>
      </c>
      <c r="O2330" t="inlineStr">
        <is>
          <t>Documentação Aprovada</t>
        </is>
      </c>
      <c r="P2330" t="inlineStr">
        <is>
          <t>Aprovado Diretoria</t>
        </is>
      </c>
      <c r="Q2330" t="inlineStr">
        <is>
          <t>Aprovado Caixa</t>
        </is>
      </c>
      <c r="R2330" t="inlineStr">
        <is>
          <t>Pago</t>
        </is>
      </c>
      <c r="S2330" t="n">
        <v>115</v>
      </c>
      <c r="T2330" t="inlineStr">
        <is>
          <t>Love - Shibari - Bradesco</t>
        </is>
      </c>
    </row>
    <row r="2331">
      <c r="A2331" t="n">
        <v>122185</v>
      </c>
      <c r="B2331" t="n">
        <v>128</v>
      </c>
      <c r="C2331" t="inlineStr">
        <is>
          <t>Love Cabaret</t>
        </is>
      </c>
      <c r="D2331" t="inlineStr">
        <is>
          <t>PJ 43960118000174 - DIEGO OLIVEIRA SANTANA</t>
        </is>
      </c>
      <c r="E2331" t="n">
        <v>860</v>
      </c>
      <c r="F2331" s="27" t="n">
        <v>45757</v>
      </c>
      <c r="G2331" s="27" t="n">
        <v>45756</v>
      </c>
      <c r="H2331" s="27" t="n">
        <v>45756</v>
      </c>
      <c r="I2331" s="27" t="n">
        <v>45747</v>
      </c>
      <c r="J2331" s="27" t="n">
        <v>45750</v>
      </c>
      <c r="K2331" t="inlineStr">
        <is>
          <t>Transferência Bancária ou Pix</t>
        </is>
      </c>
      <c r="L2331" t="inlineStr">
        <is>
          <t>Gorjeta</t>
        </is>
      </c>
      <c r="M2331" t="inlineStr">
        <is>
          <t xml:space="preserve">  -  Comissões e Gorjeta</t>
        </is>
      </c>
      <c r="N2331" t="inlineStr">
        <is>
          <t>63</t>
        </is>
      </c>
      <c r="O2331" t="inlineStr">
        <is>
          <t>Documentação Aprovada</t>
        </is>
      </c>
      <c r="P2331" t="inlineStr">
        <is>
          <t>Aprovado Diretoria</t>
        </is>
      </c>
      <c r="Q2331" t="inlineStr">
        <is>
          <t>Aprovado Caixa</t>
        </is>
      </c>
      <c r="R2331" t="inlineStr">
        <is>
          <t>Pago</t>
        </is>
      </c>
      <c r="S2331" t="n">
        <v>115</v>
      </c>
      <c r="T2331" t="inlineStr">
        <is>
          <t>Love - Shibari - Bradesco</t>
        </is>
      </c>
    </row>
    <row r="2332">
      <c r="A2332" t="n">
        <v>122186</v>
      </c>
      <c r="B2332" t="n">
        <v>128</v>
      </c>
      <c r="C2332" t="inlineStr">
        <is>
          <t>Love Cabaret</t>
        </is>
      </c>
      <c r="D2332" t="inlineStr">
        <is>
          <t>PJ23824129000110 - FELIPE DA COSTA SANTOS</t>
        </is>
      </c>
      <c r="E2332" t="n">
        <v>930</v>
      </c>
      <c r="F2332" s="27" t="n">
        <v>45757</v>
      </c>
      <c r="G2332" s="27" t="n">
        <v>45756</v>
      </c>
      <c r="H2332" s="27" t="n">
        <v>45756</v>
      </c>
      <c r="I2332" s="27" t="n">
        <v>45747</v>
      </c>
      <c r="J2332" s="27" t="n">
        <v>45750</v>
      </c>
      <c r="K2332" t="inlineStr">
        <is>
          <t>Transferência Bancária ou Pix</t>
        </is>
      </c>
      <c r="L2332" t="inlineStr">
        <is>
          <t>Gorjeta</t>
        </is>
      </c>
      <c r="M2332" t="inlineStr">
        <is>
          <t xml:space="preserve">  -  Comissões e Gorjeta</t>
        </is>
      </c>
      <c r="N2332" t="inlineStr">
        <is>
          <t>47</t>
        </is>
      </c>
      <c r="O2332" t="inlineStr">
        <is>
          <t>Documentação Aprovada</t>
        </is>
      </c>
      <c r="P2332" t="inlineStr">
        <is>
          <t>Aprovado Diretoria</t>
        </is>
      </c>
      <c r="Q2332" t="inlineStr">
        <is>
          <t>Aprovado Caixa</t>
        </is>
      </c>
      <c r="R2332" t="inlineStr">
        <is>
          <t>Pago</t>
        </is>
      </c>
      <c r="S2332" t="n">
        <v>115</v>
      </c>
      <c r="T2332" t="inlineStr">
        <is>
          <t>Love - Shibari - Bradesco</t>
        </is>
      </c>
    </row>
    <row r="2333">
      <c r="A2333" t="n">
        <v>122188</v>
      </c>
      <c r="B2333" t="n">
        <v>128</v>
      </c>
      <c r="C2333" t="inlineStr">
        <is>
          <t>Love Cabaret</t>
        </is>
      </c>
      <c r="D2333" t="inlineStr">
        <is>
          <t>WAGNER DA SILVA FRANCA</t>
        </is>
      </c>
      <c r="E2333" t="n">
        <v>860</v>
      </c>
      <c r="F2333" s="27" t="n">
        <v>45757</v>
      </c>
      <c r="G2333" s="27" t="n">
        <v>45756</v>
      </c>
      <c r="H2333" s="27" t="n">
        <v>45756</v>
      </c>
      <c r="I2333" s="27" t="n">
        <v>45747</v>
      </c>
      <c r="J2333" s="27" t="n">
        <v>45750</v>
      </c>
      <c r="K2333" t="inlineStr">
        <is>
          <t>Transferência Bancária ou Pix</t>
        </is>
      </c>
      <c r="L2333" t="inlineStr">
        <is>
          <t>Gorjeta</t>
        </is>
      </c>
      <c r="M2333" t="inlineStr">
        <is>
          <t xml:space="preserve">  -  Comissões e Gorjeta</t>
        </is>
      </c>
      <c r="N2333" t="inlineStr">
        <is>
          <t>33</t>
        </is>
      </c>
      <c r="O2333" t="inlineStr">
        <is>
          <t>Documentação Aprovada</t>
        </is>
      </c>
      <c r="P2333" t="inlineStr">
        <is>
          <t>Aprovado Diretoria</t>
        </is>
      </c>
      <c r="Q2333" t="inlineStr">
        <is>
          <t>Aprovado Caixa</t>
        </is>
      </c>
      <c r="R2333" t="inlineStr">
        <is>
          <t>Pago</t>
        </is>
      </c>
      <c r="S2333" t="n">
        <v>115</v>
      </c>
      <c r="T2333" t="inlineStr">
        <is>
          <t>Love - Shibari - Bradesco</t>
        </is>
      </c>
    </row>
    <row r="2334">
      <c r="A2334" t="n">
        <v>122190</v>
      </c>
      <c r="B2334" t="n">
        <v>128</v>
      </c>
      <c r="C2334" t="inlineStr">
        <is>
          <t>Love Cabaret</t>
        </is>
      </c>
      <c r="D2334" t="inlineStr">
        <is>
          <t>ROBERTA MARIA SANTANA</t>
        </is>
      </c>
      <c r="E2334" t="n">
        <v>860</v>
      </c>
      <c r="F2334" s="27" t="n">
        <v>45757</v>
      </c>
      <c r="G2334" s="27" t="n">
        <v>45756</v>
      </c>
      <c r="H2334" s="27" t="n">
        <v>45756</v>
      </c>
      <c r="I2334" s="27" t="n">
        <v>45747</v>
      </c>
      <c r="J2334" s="27" t="n">
        <v>45750</v>
      </c>
      <c r="K2334" t="inlineStr">
        <is>
          <t>Transferência Bancária ou Pix</t>
        </is>
      </c>
      <c r="L2334" t="inlineStr">
        <is>
          <t>Gorjeta</t>
        </is>
      </c>
      <c r="M2334" t="inlineStr">
        <is>
          <t xml:space="preserve">  -  Comissões e Gorjeta</t>
        </is>
      </c>
      <c r="N2334" t="inlineStr">
        <is>
          <t>8</t>
        </is>
      </c>
      <c r="O2334" t="inlineStr">
        <is>
          <t>Documentação Aprovada</t>
        </is>
      </c>
      <c r="P2334" t="inlineStr">
        <is>
          <t>Aprovado Diretoria</t>
        </is>
      </c>
      <c r="Q2334" t="inlineStr">
        <is>
          <t>Aprovado Caixa</t>
        </is>
      </c>
      <c r="R2334" t="inlineStr">
        <is>
          <t>Pago</t>
        </is>
      </c>
      <c r="S2334" t="n">
        <v>115</v>
      </c>
      <c r="T2334" t="inlineStr">
        <is>
          <t>Love - Shibari - Bradesco</t>
        </is>
      </c>
    </row>
    <row r="2335">
      <c r="A2335" t="n">
        <v>122189</v>
      </c>
      <c r="B2335" t="n">
        <v>128</v>
      </c>
      <c r="C2335" t="inlineStr">
        <is>
          <t>Love Cabaret</t>
        </is>
      </c>
      <c r="D2335" t="inlineStr">
        <is>
          <t xml:space="preserve">DOUGLAS FELIPE DOMINGUES GONCALVES </t>
        </is>
      </c>
      <c r="E2335" t="n">
        <v>470</v>
      </c>
      <c r="F2335" s="27" t="n">
        <v>45757</v>
      </c>
      <c r="G2335" s="27" t="n">
        <v>45756</v>
      </c>
      <c r="H2335" s="27" t="n">
        <v>45756</v>
      </c>
      <c r="I2335" s="27" t="n">
        <v>45747</v>
      </c>
      <c r="J2335" s="27" t="n">
        <v>45750</v>
      </c>
      <c r="K2335" t="inlineStr">
        <is>
          <t>Transferência Bancária ou Pix</t>
        </is>
      </c>
      <c r="L2335" t="inlineStr">
        <is>
          <t>Gorjeta</t>
        </is>
      </c>
      <c r="M2335" t="inlineStr">
        <is>
          <t xml:space="preserve">  -  Comissões e Gorjeta</t>
        </is>
      </c>
      <c r="N2335" t="inlineStr">
        <is>
          <t>32</t>
        </is>
      </c>
      <c r="O2335" t="inlineStr">
        <is>
          <t>Documentação Aprovada</t>
        </is>
      </c>
      <c r="P2335" t="inlineStr">
        <is>
          <t>Aprovado Diretoria</t>
        </is>
      </c>
      <c r="Q2335" t="inlineStr">
        <is>
          <t>Aprovado Caixa</t>
        </is>
      </c>
      <c r="R2335" t="inlineStr">
        <is>
          <t>Pago</t>
        </is>
      </c>
      <c r="S2335" t="n">
        <v>115</v>
      </c>
      <c r="T2335" t="inlineStr">
        <is>
          <t>Love - Shibari - Bradesco</t>
        </is>
      </c>
    </row>
    <row r="2336">
      <c r="A2336" t="n">
        <v>122293</v>
      </c>
      <c r="B2336" t="n">
        <v>128</v>
      </c>
      <c r="C2336" t="inlineStr">
        <is>
          <t>Love Cabaret</t>
        </is>
      </c>
      <c r="D2336" t="inlineStr">
        <is>
          <t>PJ 01837596131 ANNA LOUISE ESTEFANO WOORTMANN</t>
        </is>
      </c>
      <c r="E2336" t="n">
        <v>3600</v>
      </c>
      <c r="F2336" s="27" t="n">
        <v>45757</v>
      </c>
      <c r="G2336" s="27" t="n">
        <v>45756</v>
      </c>
      <c r="H2336" s="27" t="n">
        <v>45756</v>
      </c>
      <c r="I2336" s="27" t="n">
        <v>45717</v>
      </c>
      <c r="J2336" s="27" t="n">
        <v>45750</v>
      </c>
      <c r="K2336" t="inlineStr">
        <is>
          <t>Transferência Bancária ou Pix</t>
        </is>
      </c>
      <c r="L2336" t="inlineStr">
        <is>
          <t>Mão de Obra - PJ</t>
        </is>
      </c>
      <c r="M2336" t="inlineStr">
        <is>
          <t>MDO PJ Fixo</t>
        </is>
      </c>
      <c r="N2336" t="inlineStr">
        <is>
          <t>98</t>
        </is>
      </c>
      <c r="O2336" t="inlineStr">
        <is>
          <t>Documentação Aprovada</t>
        </is>
      </c>
      <c r="P2336" t="inlineStr">
        <is>
          <t>Aprovado Diretoria</t>
        </is>
      </c>
      <c r="Q2336" t="inlineStr">
        <is>
          <t>Aprovado Caixa</t>
        </is>
      </c>
      <c r="R2336" t="inlineStr">
        <is>
          <t>Pago</t>
        </is>
      </c>
      <c r="S2336" t="n">
        <v>115</v>
      </c>
      <c r="T2336" t="inlineStr">
        <is>
          <t>Love - Shibari - Bradesco</t>
        </is>
      </c>
    </row>
    <row r="2337">
      <c r="A2337" t="n">
        <v>122187</v>
      </c>
      <c r="B2337" t="n">
        <v>128</v>
      </c>
      <c r="C2337" t="inlineStr">
        <is>
          <t>Love Cabaret</t>
        </is>
      </c>
      <c r="D2337" t="inlineStr">
        <is>
          <t>PJ 00132021 - TELES DE ALMEIDA PINTO</t>
        </is>
      </c>
      <c r="E2337" t="n">
        <v>310</v>
      </c>
      <c r="F2337" s="27" t="n">
        <v>45757</v>
      </c>
      <c r="G2337" s="27" t="n">
        <v>45756</v>
      </c>
      <c r="H2337" s="27" t="n">
        <v>45756</v>
      </c>
      <c r="I2337" s="27" t="n">
        <v>45747</v>
      </c>
      <c r="J2337" s="27" t="n">
        <v>45750</v>
      </c>
      <c r="K2337" t="inlineStr">
        <is>
          <t>Transferência Bancária ou Pix</t>
        </is>
      </c>
      <c r="L2337" t="inlineStr">
        <is>
          <t>Gorjeta</t>
        </is>
      </c>
      <c r="M2337" t="inlineStr">
        <is>
          <t xml:space="preserve">  -  Comissões e Gorjeta</t>
        </is>
      </c>
      <c r="N2337" t="inlineStr">
        <is>
          <t>13</t>
        </is>
      </c>
      <c r="O2337" t="inlineStr">
        <is>
          <t>Documentação Aprovada</t>
        </is>
      </c>
      <c r="P2337" t="inlineStr">
        <is>
          <t>Aprovado Diretoria</t>
        </is>
      </c>
      <c r="Q2337" t="inlineStr">
        <is>
          <t>Aprovado Caixa</t>
        </is>
      </c>
      <c r="R2337" t="inlineStr">
        <is>
          <t>Pago</t>
        </is>
      </c>
      <c r="S2337" t="n">
        <v>115</v>
      </c>
      <c r="T2337" t="inlineStr">
        <is>
          <t>Love - Shibari - Bradesco</t>
        </is>
      </c>
    </row>
    <row r="2338">
      <c r="A2338" t="n">
        <v>120868</v>
      </c>
      <c r="B2338" t="n">
        <v>128</v>
      </c>
      <c r="C2338" t="inlineStr">
        <is>
          <t>Love Cabaret</t>
        </is>
      </c>
      <c r="D2338" t="inlineStr">
        <is>
          <t xml:space="preserve">HORTIFRUTI DO CHEF LTDA </t>
        </is>
      </c>
      <c r="E2338" t="n">
        <v>91.33</v>
      </c>
      <c r="F2338" s="27" t="n">
        <v>45758</v>
      </c>
      <c r="G2338" s="27" t="n">
        <v>45756</v>
      </c>
      <c r="H2338" s="27" t="n">
        <v>45756</v>
      </c>
      <c r="I2338" s="27" t="n">
        <v>45729</v>
      </c>
      <c r="J2338" s="27" t="n">
        <v>45743</v>
      </c>
      <c r="K2338" t="inlineStr">
        <is>
          <t>Boleto Bancário</t>
        </is>
      </c>
      <c r="L2338" t="inlineStr">
        <is>
          <t>Custo Mercadoria Vendida</t>
        </is>
      </c>
      <c r="M2338" t="inlineStr">
        <is>
          <t>Insumos - Alimentos</t>
        </is>
      </c>
      <c r="N2338" t="inlineStr">
        <is>
          <t>26097</t>
        </is>
      </c>
      <c r="O2338" t="inlineStr">
        <is>
          <t>Documentação Aprovada</t>
        </is>
      </c>
      <c r="P2338" t="inlineStr">
        <is>
          <t>Aprovado Diretoria</t>
        </is>
      </c>
      <c r="Q2338" t="inlineStr">
        <is>
          <t>Aprovado Caixa</t>
        </is>
      </c>
      <c r="R2338" t="inlineStr">
        <is>
          <t>Pago</t>
        </is>
      </c>
      <c r="S2338" t="n">
        <v>115</v>
      </c>
      <c r="T2338" t="inlineStr">
        <is>
          <t>Love - Shibari - Bradesco</t>
        </is>
      </c>
    </row>
    <row r="2339">
      <c r="A2339" t="n">
        <v>102973</v>
      </c>
      <c r="B2339" t="n">
        <v>128</v>
      </c>
      <c r="C2339" t="inlineStr">
        <is>
          <t>Love Cabaret</t>
        </is>
      </c>
      <c r="D2339" t="inlineStr">
        <is>
          <t>STEMME TELECOMUNICACOES DO BRASIL LTDA</t>
        </is>
      </c>
      <c r="E2339" t="n">
        <v>299.99</v>
      </c>
      <c r="F2339" s="27" t="n">
        <v>45757</v>
      </c>
      <c r="G2339" s="27" t="n">
        <v>45756</v>
      </c>
      <c r="H2339" s="27" t="n">
        <v>45756</v>
      </c>
      <c r="I2339" s="27" t="n">
        <v>45747</v>
      </c>
      <c r="J2339" s="27" t="n"/>
      <c r="K2339" t="inlineStr">
        <is>
          <t>Boleto Bancário</t>
        </is>
      </c>
      <c r="L2339" t="inlineStr">
        <is>
          <t>Informática e TI</t>
        </is>
      </c>
      <c r="M2339" t="inlineStr">
        <is>
          <t>Internet</t>
        </is>
      </c>
      <c r="N2339" t="inlineStr">
        <is>
          <t>7684</t>
        </is>
      </c>
      <c r="O2339" t="inlineStr">
        <is>
          <t>Documentação Aprovada</t>
        </is>
      </c>
      <c r="P2339" t="inlineStr">
        <is>
          <t>Aprovado Diretoria</t>
        </is>
      </c>
      <c r="Q2339" t="inlineStr">
        <is>
          <t>Aprovado Caixa</t>
        </is>
      </c>
      <c r="R2339" t="inlineStr">
        <is>
          <t>Pago</t>
        </is>
      </c>
      <c r="S2339" t="n">
        <v>115</v>
      </c>
      <c r="T2339" t="inlineStr">
        <is>
          <t>Love - Shibari - Bradesco</t>
        </is>
      </c>
    </row>
    <row r="2340">
      <c r="A2340" t="n">
        <v>102851</v>
      </c>
      <c r="B2340" t="n">
        <v>128</v>
      </c>
      <c r="C2340" t="inlineStr">
        <is>
          <t>Love Cabaret</t>
        </is>
      </c>
      <c r="D2340" t="inlineStr">
        <is>
          <t>IRMANDADE DA SANTA CASA DE MISERICORDIA DE SAO PAULO</t>
        </is>
      </c>
      <c r="E2340" t="n">
        <v>31634.64</v>
      </c>
      <c r="F2340" s="27" t="n">
        <v>45757</v>
      </c>
      <c r="G2340" s="27" t="n">
        <v>45756</v>
      </c>
      <c r="H2340" s="27" t="n">
        <v>45756</v>
      </c>
      <c r="I2340" s="27" t="n">
        <v>45736</v>
      </c>
      <c r="J2340" s="27" t="n"/>
      <c r="K2340" t="inlineStr">
        <is>
          <t>Boleto Bancário</t>
        </is>
      </c>
      <c r="L2340" t="inlineStr">
        <is>
          <t>Custo de Ocupação</t>
        </is>
      </c>
      <c r="M2340" t="inlineStr">
        <is>
          <t>Aluguel de Imoveis</t>
        </is>
      </c>
      <c r="N2340" t="inlineStr">
        <is>
          <t>157798</t>
        </is>
      </c>
      <c r="O2340" t="inlineStr">
        <is>
          <t>Documentação Aprovada</t>
        </is>
      </c>
      <c r="P2340" t="inlineStr">
        <is>
          <t>Aprovado Diretoria</t>
        </is>
      </c>
      <c r="Q2340" t="inlineStr">
        <is>
          <t>Aprovado Caixa</t>
        </is>
      </c>
      <c r="R2340" t="inlineStr">
        <is>
          <t>Pago</t>
        </is>
      </c>
      <c r="S2340" t="n">
        <v>115</v>
      </c>
      <c r="T2340" t="inlineStr">
        <is>
          <t>Love - Shibari - Bradesco</t>
        </is>
      </c>
    </row>
    <row r="2341">
      <c r="A2341" t="n">
        <v>102918</v>
      </c>
      <c r="B2341" t="n">
        <v>128</v>
      </c>
      <c r="C2341" t="inlineStr">
        <is>
          <t>Love Cabaret</t>
        </is>
      </c>
      <c r="D2341" t="inlineStr">
        <is>
          <t>PRESHH ALUGUEL DE MAQUINAS LTDA</t>
        </is>
      </c>
      <c r="E2341" t="n">
        <v>708</v>
      </c>
      <c r="F2341" s="27" t="n">
        <v>45757</v>
      </c>
      <c r="G2341" s="27" t="n">
        <v>45756</v>
      </c>
      <c r="H2341" s="27" t="n">
        <v>45756</v>
      </c>
      <c r="I2341" s="27" t="n">
        <v>45747</v>
      </c>
      <c r="J2341" s="27" t="n"/>
      <c r="K2341" t="inlineStr">
        <is>
          <t>Boleto Bancário</t>
        </is>
      </c>
      <c r="L2341" t="inlineStr">
        <is>
          <t>Locação de Equipamentos</t>
        </is>
      </c>
      <c r="M2341" t="inlineStr">
        <is>
          <t>Locações de Equipamentos - Operacionais</t>
        </is>
      </c>
      <c r="N2341" t="inlineStr">
        <is>
          <t xml:space="preserve">515637399 </t>
        </is>
      </c>
      <c r="O2341" t="inlineStr">
        <is>
          <t>Documentação Aprovada</t>
        </is>
      </c>
      <c r="P2341" t="inlineStr">
        <is>
          <t>Aprovado Diretoria</t>
        </is>
      </c>
      <c r="Q2341" t="inlineStr">
        <is>
          <t>Aprovado Caixa</t>
        </is>
      </c>
      <c r="R2341" t="inlineStr">
        <is>
          <t>Pago</t>
        </is>
      </c>
      <c r="S2341" t="n">
        <v>115</v>
      </c>
      <c r="T2341" t="inlineStr">
        <is>
          <t>Love - Shibari - Bradesco</t>
        </is>
      </c>
    </row>
    <row r="2342">
      <c r="A2342" t="n">
        <v>97527</v>
      </c>
      <c r="B2342" t="n">
        <v>128</v>
      </c>
      <c r="C2342" t="inlineStr">
        <is>
          <t>Love Cabaret</t>
        </is>
      </c>
      <c r="D2342" t="inlineStr">
        <is>
          <t>ISS</t>
        </is>
      </c>
      <c r="E2342" t="n">
        <v>118.58</v>
      </c>
      <c r="F2342" s="27" t="n">
        <v>45757</v>
      </c>
      <c r="G2342" s="27" t="n">
        <v>45756</v>
      </c>
      <c r="H2342" s="27" t="n">
        <v>45756</v>
      </c>
      <c r="I2342" s="27" t="n">
        <v>45747</v>
      </c>
      <c r="J2342" s="27" t="n"/>
      <c r="K2342" t="inlineStr">
        <is>
          <t>Boleto Bancário</t>
        </is>
      </c>
      <c r="L2342" t="inlineStr">
        <is>
          <t>Serviços de Terceiros</t>
        </is>
      </c>
      <c r="M2342" t="inlineStr">
        <is>
          <t>Serviços de Segurança</t>
        </is>
      </c>
      <c r="N2342" t="inlineStr">
        <is>
          <t>11858 032025</t>
        </is>
      </c>
      <c r="O2342" t="inlineStr">
        <is>
          <t>Documentação Aprovada</t>
        </is>
      </c>
      <c r="P2342" t="inlineStr">
        <is>
          <t>Aprovado Diretoria</t>
        </is>
      </c>
      <c r="Q2342" t="inlineStr">
        <is>
          <t>Aprovado Caixa</t>
        </is>
      </c>
      <c r="R2342" t="inlineStr">
        <is>
          <t>Pago</t>
        </is>
      </c>
      <c r="S2342" t="n">
        <v>115</v>
      </c>
      <c r="T2342" t="inlineStr">
        <is>
          <t>Love - Shibari - Bradesco</t>
        </is>
      </c>
    </row>
    <row r="2343">
      <c r="A2343" t="n">
        <v>104320</v>
      </c>
      <c r="B2343" t="n">
        <v>128</v>
      </c>
      <c r="C2343" t="inlineStr">
        <is>
          <t>Love Cabaret</t>
        </is>
      </c>
      <c r="D2343" t="inlineStr">
        <is>
          <t>CICLO PARTICIPACOES LTDA</t>
        </is>
      </c>
      <c r="E2343" t="n">
        <v>5906.28</v>
      </c>
      <c r="F2343" s="27" t="n">
        <v>45767</v>
      </c>
      <c r="G2343" s="27" t="n">
        <v>45763</v>
      </c>
      <c r="H2343" s="27" t="n">
        <v>45756</v>
      </c>
      <c r="I2343" s="27" t="n">
        <v>45731</v>
      </c>
      <c r="J2343" s="27" t="n"/>
      <c r="K2343" t="inlineStr">
        <is>
          <t>Boleto Bancário</t>
        </is>
      </c>
      <c r="L2343" t="inlineStr">
        <is>
          <t>Custo de Ocupação</t>
        </is>
      </c>
      <c r="M2343" t="inlineStr">
        <is>
          <t>IPTU</t>
        </is>
      </c>
      <c r="N2343" t="inlineStr">
        <is>
          <t>032025</t>
        </is>
      </c>
      <c r="O2343" t="inlineStr">
        <is>
          <t>Documentação Aprovada</t>
        </is>
      </c>
      <c r="P2343" t="inlineStr">
        <is>
          <t>Aprovado Diretoria</t>
        </is>
      </c>
      <c r="Q2343" t="inlineStr">
        <is>
          <t>Aprovado Caixa</t>
        </is>
      </c>
      <c r="R2343" t="inlineStr">
        <is>
          <t>Pago</t>
        </is>
      </c>
      <c r="S2343" t="n">
        <v>115</v>
      </c>
      <c r="T2343" t="inlineStr">
        <is>
          <t>Love - Shibari - Bradesco</t>
        </is>
      </c>
    </row>
    <row r="2344">
      <c r="A2344" t="n">
        <v>96972</v>
      </c>
      <c r="B2344" t="n">
        <v>128</v>
      </c>
      <c r="C2344" t="inlineStr">
        <is>
          <t>Love Cabaret</t>
        </is>
      </c>
      <c r="D2344" t="inlineStr">
        <is>
          <t xml:space="preserve">DIVIFY OPERACAO DE PLATAFORMA ELETRONICA LTDA </t>
        </is>
      </c>
      <c r="E2344" t="n">
        <v>1000</v>
      </c>
      <c r="F2344" s="27" t="n">
        <v>45757</v>
      </c>
      <c r="G2344" s="27" t="n">
        <v>45756</v>
      </c>
      <c r="H2344" s="27" t="n">
        <v>45756</v>
      </c>
      <c r="I2344" s="27" t="n">
        <v>45736</v>
      </c>
      <c r="J2344" s="27" t="n"/>
      <c r="K2344" t="inlineStr">
        <is>
          <t>Boleto Bancário</t>
        </is>
      </c>
      <c r="L2344" t="inlineStr">
        <is>
          <t>Serviços de Terceiros</t>
        </is>
      </c>
      <c r="M2344" t="inlineStr">
        <is>
          <t>Assessoria em Geral</t>
        </is>
      </c>
      <c r="N2344" t="inlineStr">
        <is>
          <t>229</t>
        </is>
      </c>
      <c r="O2344" t="inlineStr">
        <is>
          <t>Documentação Aprovada</t>
        </is>
      </c>
      <c r="P2344" t="inlineStr">
        <is>
          <t>Aprovado Diretoria</t>
        </is>
      </c>
      <c r="Q2344" t="inlineStr">
        <is>
          <t>Aprovado Caixa</t>
        </is>
      </c>
      <c r="R2344" t="inlineStr">
        <is>
          <t>Pago</t>
        </is>
      </c>
      <c r="S2344" t="n">
        <v>115</v>
      </c>
      <c r="T2344" t="inlineStr">
        <is>
          <t>Love - Shibari - Bradesco</t>
        </is>
      </c>
    </row>
    <row r="2345">
      <c r="A2345" t="n">
        <v>97095</v>
      </c>
      <c r="B2345" t="n">
        <v>128</v>
      </c>
      <c r="C2345" t="inlineStr">
        <is>
          <t>Love Cabaret</t>
        </is>
      </c>
      <c r="D2345" t="inlineStr">
        <is>
          <t>ESTAFF SOLUCOES TECNOLOGICAS DE AGENCIAMENTO LTDA</t>
        </is>
      </c>
      <c r="E2345" t="n">
        <v>13561.9</v>
      </c>
      <c r="F2345" s="27" t="n">
        <v>45756</v>
      </c>
      <c r="G2345" s="27" t="n">
        <v>45756</v>
      </c>
      <c r="H2345" s="27" t="n">
        <v>45756</v>
      </c>
      <c r="I2345" s="27" t="n">
        <v>45748</v>
      </c>
      <c r="J2345" s="27" t="n"/>
      <c r="K2345" t="inlineStr">
        <is>
          <t>Boleto Bancário</t>
        </is>
      </c>
      <c r="L2345" t="inlineStr">
        <is>
          <t>Mão de Obra - Extra</t>
        </is>
      </c>
      <c r="M2345" t="inlineStr">
        <is>
          <t>Mão de Obra Extra</t>
        </is>
      </c>
      <c r="N2345" t="inlineStr">
        <is>
          <t>546205088</t>
        </is>
      </c>
      <c r="O2345" t="inlineStr">
        <is>
          <t>Documentação Aprovada</t>
        </is>
      </c>
      <c r="P2345" t="inlineStr">
        <is>
          <t>Aprovado Diretoria</t>
        </is>
      </c>
      <c r="Q2345" t="inlineStr">
        <is>
          <t>Aprovado Caixa</t>
        </is>
      </c>
      <c r="R2345" t="inlineStr">
        <is>
          <t>Pago</t>
        </is>
      </c>
      <c r="S2345" t="n">
        <v>115</v>
      </c>
      <c r="T2345" t="inlineStr">
        <is>
          <t>Love - Shibari - Bradesco</t>
        </is>
      </c>
    </row>
    <row r="2346">
      <c r="A2346" t="n">
        <v>96922</v>
      </c>
      <c r="B2346" t="n">
        <v>128</v>
      </c>
      <c r="C2346" t="inlineStr">
        <is>
          <t>Love Cabaret</t>
        </is>
      </c>
      <c r="D2346" t="inlineStr">
        <is>
          <t>CICLO PARTICIPACOES LTDA</t>
        </is>
      </c>
      <c r="E2346" t="n">
        <v>31634.64</v>
      </c>
      <c r="F2346" s="27" t="n">
        <v>45757</v>
      </c>
      <c r="G2346" s="27" t="n">
        <v>45756</v>
      </c>
      <c r="H2346" s="27" t="n">
        <v>45756</v>
      </c>
      <c r="I2346" s="27" t="n">
        <v>45736</v>
      </c>
      <c r="J2346" s="27" t="n"/>
      <c r="K2346" t="inlineStr">
        <is>
          <t>Boleto Bancário</t>
        </is>
      </c>
      <c r="L2346" t="inlineStr">
        <is>
          <t>Custo de Ocupação</t>
        </is>
      </c>
      <c r="M2346" t="inlineStr">
        <is>
          <t>Aluguel de Imoveis</t>
        </is>
      </c>
      <c r="N2346" t="inlineStr">
        <is>
          <t xml:space="preserve">3163464 032025 </t>
        </is>
      </c>
      <c r="O2346" t="inlineStr">
        <is>
          <t>Documentação Aprovada</t>
        </is>
      </c>
      <c r="P2346" t="inlineStr">
        <is>
          <t>Aprovado Diretoria</t>
        </is>
      </c>
      <c r="Q2346" t="inlineStr">
        <is>
          <t>Aprovado Caixa</t>
        </is>
      </c>
      <c r="R2346" t="inlineStr">
        <is>
          <t>Pago</t>
        </is>
      </c>
      <c r="S2346" t="n">
        <v>115</v>
      </c>
      <c r="T2346" t="inlineStr">
        <is>
          <t>Love - Shibari - Bradesco</t>
        </is>
      </c>
    </row>
    <row r="2347">
      <c r="A2347" t="n">
        <v>125215</v>
      </c>
      <c r="B2347" t="n">
        <v>128</v>
      </c>
      <c r="C2347" t="inlineStr">
        <is>
          <t>Love Cabaret</t>
        </is>
      </c>
      <c r="D2347" t="inlineStr">
        <is>
          <t>W NET LOGISTICA E TRANSPORTES LTDA</t>
        </is>
      </c>
      <c r="E2347" t="n">
        <v>0</v>
      </c>
      <c r="F2347" s="27" t="n">
        <v>45756</v>
      </c>
      <c r="G2347" s="27" t="n">
        <v>45772</v>
      </c>
      <c r="H2347" s="27" t="n">
        <v>45756</v>
      </c>
      <c r="I2347" s="27" t="n">
        <v>45756</v>
      </c>
      <c r="J2347" s="27" t="n">
        <v>45761</v>
      </c>
      <c r="K2347" t="inlineStr">
        <is>
          <t xml:space="preserve">Nota Bonificada </t>
        </is>
      </c>
      <c r="L2347" t="inlineStr">
        <is>
          <t>Custo Mercadoria Vendida</t>
        </is>
      </c>
      <c r="M2347" t="inlineStr">
        <is>
          <t>Insumos - Bebidas</t>
        </is>
      </c>
      <c r="N2347" t="inlineStr">
        <is>
          <t>8589</t>
        </is>
      </c>
      <c r="O2347" t="inlineStr">
        <is>
          <t>Documentação Aprovada</t>
        </is>
      </c>
      <c r="P2347" t="inlineStr">
        <is>
          <t>Aprovado Diretoria</t>
        </is>
      </c>
      <c r="Q2347" t="inlineStr">
        <is>
          <t>Aprovado Caixa</t>
        </is>
      </c>
      <c r="R2347" t="inlineStr">
        <is>
          <t>Pago</t>
        </is>
      </c>
      <c r="S2347" t="n">
        <v>115</v>
      </c>
      <c r="T2347" t="inlineStr">
        <is>
          <t>Love - Shibari - Bradesco</t>
        </is>
      </c>
    </row>
    <row r="2348">
      <c r="A2348" t="n">
        <v>127254</v>
      </c>
      <c r="B2348" t="n">
        <v>128</v>
      </c>
      <c r="C2348" t="inlineStr">
        <is>
          <t>Love Cabaret</t>
        </is>
      </c>
      <c r="D2348" t="inlineStr">
        <is>
          <t>BRADESCO SA</t>
        </is>
      </c>
      <c r="E2348" t="n">
        <v>24.23</v>
      </c>
      <c r="F2348" s="27" t="n">
        <v>45756</v>
      </c>
      <c r="G2348" s="27" t="n"/>
      <c r="H2348" s="27" t="n">
        <v>45756</v>
      </c>
      <c r="I2348" s="27" t="n">
        <v>45756</v>
      </c>
      <c r="J2348" s="27" t="n">
        <v>45771</v>
      </c>
      <c r="K2348" t="inlineStr">
        <is>
          <t xml:space="preserve">Debito Automático </t>
        </is>
      </c>
      <c r="L2348" t="inlineStr">
        <is>
          <t>Despesas Financeiras</t>
        </is>
      </c>
      <c r="M2348" t="inlineStr">
        <is>
          <t>Tarifas Bancárias</t>
        </is>
      </c>
      <c r="N2348" t="inlineStr">
        <is>
          <t>1</t>
        </is>
      </c>
      <c r="P2348" t="inlineStr">
        <is>
          <t>Aprovado Diretoria</t>
        </is>
      </c>
      <c r="R2348" t="inlineStr">
        <is>
          <t>Pago</t>
        </is>
      </c>
    </row>
    <row r="2349">
      <c r="A2349" t="n">
        <v>125221</v>
      </c>
      <c r="B2349" t="n">
        <v>128</v>
      </c>
      <c r="C2349" t="inlineStr">
        <is>
          <t>Love Cabaret</t>
        </is>
      </c>
      <c r="D2349" t="inlineStr">
        <is>
          <t>ECHOPE MOEMA COMERCIO DE BEBIDAS E CONVENIENCIAS LTDA</t>
        </is>
      </c>
      <c r="E2349" t="n">
        <v>0</v>
      </c>
      <c r="F2349" s="27" t="n">
        <v>45755</v>
      </c>
      <c r="G2349" s="27" t="n">
        <v>45772</v>
      </c>
      <c r="H2349" s="27" t="n">
        <v>45755</v>
      </c>
      <c r="I2349" s="27" t="n">
        <v>45755</v>
      </c>
      <c r="J2349" s="27" t="n">
        <v>45761</v>
      </c>
      <c r="K2349" t="inlineStr">
        <is>
          <t xml:space="preserve">Nota Bonificada </t>
        </is>
      </c>
      <c r="L2349" t="inlineStr">
        <is>
          <t>Custo Mercadoria Vendida</t>
        </is>
      </c>
      <c r="M2349" t="inlineStr">
        <is>
          <t>Insumos - Bebidas</t>
        </is>
      </c>
      <c r="N2349" t="inlineStr">
        <is>
          <t>2987</t>
        </is>
      </c>
      <c r="O2349" t="inlineStr">
        <is>
          <t>Documentação Aprovada</t>
        </is>
      </c>
      <c r="P2349" t="inlineStr">
        <is>
          <t>Aprovado Diretoria</t>
        </is>
      </c>
      <c r="Q2349" t="inlineStr">
        <is>
          <t>Aprovado Caixa</t>
        </is>
      </c>
      <c r="R2349" t="inlineStr">
        <is>
          <t>Pago</t>
        </is>
      </c>
      <c r="S2349" t="n">
        <v>115</v>
      </c>
      <c r="T2349" t="inlineStr">
        <is>
          <t>Love - Shibari - Bradesco</t>
        </is>
      </c>
    </row>
    <row r="2350">
      <c r="A2350" t="n">
        <v>97004</v>
      </c>
      <c r="B2350" t="n">
        <v>128</v>
      </c>
      <c r="C2350" t="inlineStr">
        <is>
          <t>Love Cabaret</t>
        </is>
      </c>
      <c r="D2350" t="inlineStr">
        <is>
          <t>ESHOWS PROMOCOES ARTISTICAS LTDA</t>
        </is>
      </c>
      <c r="E2350" t="n">
        <v>19250</v>
      </c>
      <c r="F2350" s="27" t="n">
        <v>45752</v>
      </c>
      <c r="G2350" s="27" t="n">
        <v>45754</v>
      </c>
      <c r="H2350" s="27" t="n">
        <v>45754</v>
      </c>
      <c r="I2350" s="27" t="n">
        <v>45729</v>
      </c>
      <c r="J2350" s="27" t="n"/>
      <c r="K2350" t="inlineStr">
        <is>
          <t>Boleto Bancário</t>
        </is>
      </c>
      <c r="L2350" t="inlineStr">
        <is>
          <t>Custos Artístico Geral</t>
        </is>
      </c>
      <c r="M2350" t="inlineStr">
        <is>
          <t>Cachê de Músicos e Artistas</t>
        </is>
      </c>
      <c r="N2350" t="inlineStr">
        <is>
          <t>544277110</t>
        </is>
      </c>
      <c r="O2350" t="inlineStr">
        <is>
          <t>Documentação Aprovada</t>
        </is>
      </c>
      <c r="P2350" t="inlineStr">
        <is>
          <t>Aprovado Diretoria</t>
        </is>
      </c>
      <c r="Q2350" t="inlineStr">
        <is>
          <t>Aprovado Caixa</t>
        </is>
      </c>
      <c r="R2350" t="inlineStr">
        <is>
          <t>Pago</t>
        </is>
      </c>
      <c r="S2350" t="n">
        <v>115</v>
      </c>
      <c r="T2350" t="inlineStr">
        <is>
          <t>Love - Shibari - Bradesco</t>
        </is>
      </c>
    </row>
    <row r="2351">
      <c r="A2351" t="n">
        <v>96820</v>
      </c>
      <c r="B2351" t="n">
        <v>128</v>
      </c>
      <c r="C2351" t="inlineStr">
        <is>
          <t>Love Cabaret</t>
        </is>
      </c>
      <c r="D2351" t="inlineStr">
        <is>
          <t xml:space="preserve">ANA CLAUDIA DA COSTA PINTO </t>
        </is>
      </c>
      <c r="E2351" t="n">
        <v>445</v>
      </c>
      <c r="F2351" s="27" t="n">
        <v>45756</v>
      </c>
      <c r="G2351" s="27" t="n">
        <v>45754</v>
      </c>
      <c r="H2351" s="27" t="n">
        <v>45754</v>
      </c>
      <c r="I2351" s="27" t="n">
        <v>45736</v>
      </c>
      <c r="J2351" s="27" t="n"/>
      <c r="K2351" t="inlineStr">
        <is>
          <t>Transferência Bancária ou Pix</t>
        </is>
      </c>
      <c r="L2351" t="inlineStr">
        <is>
          <t>Manutenção</t>
        </is>
      </c>
      <c r="M2351" t="inlineStr">
        <is>
          <t>Decoração/Paisagismo e Jardinagem</t>
        </is>
      </c>
      <c r="N2351" t="inlineStr">
        <is>
          <t>2296</t>
        </is>
      </c>
      <c r="O2351" t="inlineStr">
        <is>
          <t>Documentação Aprovada</t>
        </is>
      </c>
      <c r="P2351" t="inlineStr">
        <is>
          <t>Aprovado Diretoria</t>
        </is>
      </c>
      <c r="Q2351" t="inlineStr">
        <is>
          <t>Aprovado Caixa</t>
        </is>
      </c>
      <c r="R2351" t="inlineStr">
        <is>
          <t>Pago</t>
        </is>
      </c>
      <c r="S2351" t="n">
        <v>115</v>
      </c>
      <c r="T2351" t="inlineStr">
        <is>
          <t>Love - Shibari - Bradesco</t>
        </is>
      </c>
    </row>
    <row r="2352">
      <c r="A2352" t="n">
        <v>120887</v>
      </c>
      <c r="B2352" t="n">
        <v>128</v>
      </c>
      <c r="C2352" t="inlineStr">
        <is>
          <t>Love Cabaret</t>
        </is>
      </c>
      <c r="D2352" t="inlineStr">
        <is>
          <t>CEPEL COMERCIO DE PAPEIS E EMBALAGENS EIRELI</t>
        </is>
      </c>
      <c r="E2352" t="n">
        <v>1318</v>
      </c>
      <c r="F2352" s="27" t="n">
        <v>45755</v>
      </c>
      <c r="G2352" s="27" t="n">
        <v>45754</v>
      </c>
      <c r="H2352" s="27" t="n">
        <v>45754</v>
      </c>
      <c r="I2352" s="27" t="n">
        <v>45740</v>
      </c>
      <c r="J2352" s="27" t="n">
        <v>45743</v>
      </c>
      <c r="K2352" t="inlineStr">
        <is>
          <t>Boleto Bancário</t>
        </is>
      </c>
      <c r="L2352" t="inlineStr">
        <is>
          <t>Utilidades</t>
        </is>
      </c>
      <c r="M2352" t="inlineStr">
        <is>
          <t>Higiene e Limpeza</t>
        </is>
      </c>
      <c r="N2352" t="inlineStr">
        <is>
          <t>237075</t>
        </is>
      </c>
      <c r="O2352" t="inlineStr">
        <is>
          <t>Documentação Aprovada</t>
        </is>
      </c>
      <c r="P2352" t="inlineStr">
        <is>
          <t>Aprovado Diretoria</t>
        </is>
      </c>
      <c r="Q2352" t="inlineStr">
        <is>
          <t>Aprovado Caixa</t>
        </is>
      </c>
      <c r="R2352" t="inlineStr">
        <is>
          <t>Pago</t>
        </is>
      </c>
      <c r="S2352" t="n">
        <v>115</v>
      </c>
      <c r="T2352" t="inlineStr">
        <is>
          <t>Love - Shibari - Bradesco</t>
        </is>
      </c>
    </row>
    <row r="2353">
      <c r="A2353" t="n">
        <v>120886</v>
      </c>
      <c r="B2353" t="n">
        <v>128</v>
      </c>
      <c r="C2353" t="inlineStr">
        <is>
          <t>Love Cabaret</t>
        </is>
      </c>
      <c r="D2353" t="inlineStr">
        <is>
          <t>ASSAZ ORGANICA INDUSTRIA E COMERCIO DE ALIMENTOS LTDA</t>
        </is>
      </c>
      <c r="E2353" t="n">
        <v>46.75</v>
      </c>
      <c r="F2353" s="27" t="n">
        <v>45756</v>
      </c>
      <c r="G2353" s="27" t="n">
        <v>45754</v>
      </c>
      <c r="H2353" s="27" t="n">
        <v>45754</v>
      </c>
      <c r="I2353" s="27" t="n">
        <v>45741</v>
      </c>
      <c r="J2353" s="27" t="n">
        <v>45743</v>
      </c>
      <c r="K2353" t="inlineStr">
        <is>
          <t>Boleto Bancário</t>
        </is>
      </c>
      <c r="L2353" t="inlineStr">
        <is>
          <t>Custo Mercadoria Vendida</t>
        </is>
      </c>
      <c r="M2353" t="inlineStr">
        <is>
          <t>Insumos - Alimentos</t>
        </is>
      </c>
      <c r="N2353" t="inlineStr">
        <is>
          <t>19441</t>
        </is>
      </c>
      <c r="O2353" t="inlineStr">
        <is>
          <t>Documentação Aprovada</t>
        </is>
      </c>
      <c r="P2353" t="inlineStr">
        <is>
          <t>Aprovado Diretoria</t>
        </is>
      </c>
      <c r="Q2353" t="inlineStr">
        <is>
          <t>Aprovado Caixa</t>
        </is>
      </c>
      <c r="R2353" t="inlineStr">
        <is>
          <t>Pago</t>
        </is>
      </c>
      <c r="S2353" t="n">
        <v>115</v>
      </c>
      <c r="T2353" t="inlineStr">
        <is>
          <t>Love - Shibari - Bradesco</t>
        </is>
      </c>
    </row>
    <row r="2354">
      <c r="A2354" t="n">
        <v>120873</v>
      </c>
      <c r="B2354" t="n">
        <v>128</v>
      </c>
      <c r="C2354" t="inlineStr">
        <is>
          <t>Love Cabaret</t>
        </is>
      </c>
      <c r="D2354" t="inlineStr">
        <is>
          <t>PARAMU COMERCIO E REPRESENTACAO DE PRODUTOS ALIMENTICIOS</t>
        </is>
      </c>
      <c r="E2354" t="n">
        <v>854.49</v>
      </c>
      <c r="F2354" s="27" t="n">
        <v>45754</v>
      </c>
      <c r="G2354" s="27" t="n">
        <v>45754</v>
      </c>
      <c r="H2354" s="27" t="n">
        <v>45754</v>
      </c>
      <c r="I2354" s="27" t="n">
        <v>45740</v>
      </c>
      <c r="J2354" s="27" t="n">
        <v>45743</v>
      </c>
      <c r="K2354" t="inlineStr">
        <is>
          <t>Boleto Bancário</t>
        </is>
      </c>
      <c r="L2354" t="inlineStr">
        <is>
          <t>Custo Mercadoria Vendida</t>
        </is>
      </c>
      <c r="M2354" t="inlineStr">
        <is>
          <t>Insumos - Alimentos</t>
        </is>
      </c>
      <c r="N2354" t="inlineStr">
        <is>
          <t>13270</t>
        </is>
      </c>
      <c r="O2354" t="inlineStr">
        <is>
          <t>Documentação Aprovada</t>
        </is>
      </c>
      <c r="P2354" t="inlineStr">
        <is>
          <t>Aprovado Diretoria</t>
        </is>
      </c>
      <c r="Q2354" t="inlineStr">
        <is>
          <t>Aprovado Caixa</t>
        </is>
      </c>
      <c r="R2354" t="inlineStr">
        <is>
          <t>Pago</t>
        </is>
      </c>
      <c r="S2354" t="n">
        <v>115</v>
      </c>
      <c r="T2354" t="inlineStr">
        <is>
          <t>Love - Shibari - Bradesco</t>
        </is>
      </c>
    </row>
    <row r="2355">
      <c r="A2355" t="n">
        <v>120890</v>
      </c>
      <c r="B2355" t="n">
        <v>128</v>
      </c>
      <c r="C2355" t="inlineStr">
        <is>
          <t>Love Cabaret</t>
        </is>
      </c>
      <c r="D2355" t="inlineStr">
        <is>
          <t xml:space="preserve">ARENA VIP DISTRIBUIDORA DE BEBIDAS LTDA </t>
        </is>
      </c>
      <c r="E2355" t="n">
        <v>722.59</v>
      </c>
      <c r="F2355" s="27" t="n">
        <v>45754</v>
      </c>
      <c r="G2355" s="27" t="n">
        <v>45754</v>
      </c>
      <c r="H2355" s="27" t="n">
        <v>45754</v>
      </c>
      <c r="I2355" s="27" t="n">
        <v>45740</v>
      </c>
      <c r="J2355" s="27" t="n">
        <v>45743</v>
      </c>
      <c r="K2355" t="inlineStr">
        <is>
          <t>Boleto Bancário</t>
        </is>
      </c>
      <c r="L2355" t="inlineStr">
        <is>
          <t>Custo Mercadoria Vendida</t>
        </is>
      </c>
      <c r="M2355" t="inlineStr">
        <is>
          <t>Insumos - Bebidas</t>
        </is>
      </c>
      <c r="N2355" t="inlineStr">
        <is>
          <t>1374</t>
        </is>
      </c>
      <c r="O2355" t="inlineStr">
        <is>
          <t>Documentação Aprovada</t>
        </is>
      </c>
      <c r="P2355" t="inlineStr">
        <is>
          <t>Aprovado Diretoria</t>
        </is>
      </c>
      <c r="Q2355" t="inlineStr">
        <is>
          <t>Aprovado Caixa</t>
        </is>
      </c>
      <c r="R2355" t="inlineStr">
        <is>
          <t>Pago</t>
        </is>
      </c>
      <c r="S2355" t="n">
        <v>115</v>
      </c>
      <c r="T2355" t="inlineStr">
        <is>
          <t>Love - Shibari - Bradesco</t>
        </is>
      </c>
    </row>
    <row r="2356">
      <c r="A2356" t="n">
        <v>120899</v>
      </c>
      <c r="B2356" t="n">
        <v>128</v>
      </c>
      <c r="C2356" t="inlineStr">
        <is>
          <t>Love Cabaret</t>
        </is>
      </c>
      <c r="D2356" t="inlineStr">
        <is>
          <t>CECILIA TSUYACO ARAKI SILVA LTDA</t>
        </is>
      </c>
      <c r="E2356" t="n">
        <v>534.63</v>
      </c>
      <c r="F2356" s="27" t="n">
        <v>45754</v>
      </c>
      <c r="G2356" s="27" t="n">
        <v>45754</v>
      </c>
      <c r="H2356" s="27" t="n">
        <v>45754</v>
      </c>
      <c r="I2356" s="27" t="n">
        <v>45740</v>
      </c>
      <c r="J2356" s="27" t="n">
        <v>45743</v>
      </c>
      <c r="K2356" t="inlineStr">
        <is>
          <t>Boleto Bancário</t>
        </is>
      </c>
      <c r="L2356" t="inlineStr">
        <is>
          <t>Custo Mercadoria Vendida</t>
        </is>
      </c>
      <c r="M2356" t="inlineStr">
        <is>
          <t>Insumos - Alimentos</t>
        </is>
      </c>
      <c r="N2356" t="inlineStr">
        <is>
          <t>367956</t>
        </is>
      </c>
      <c r="O2356" t="inlineStr">
        <is>
          <t>Documentação Aprovada</t>
        </is>
      </c>
      <c r="P2356" t="inlineStr">
        <is>
          <t>Aprovado Diretoria</t>
        </is>
      </c>
      <c r="Q2356" t="inlineStr">
        <is>
          <t>Aprovado Caixa</t>
        </is>
      </c>
      <c r="R2356" t="inlineStr">
        <is>
          <t>Pago</t>
        </is>
      </c>
      <c r="S2356" t="n">
        <v>115</v>
      </c>
      <c r="T2356" t="inlineStr">
        <is>
          <t>Love - Shibari - Bradesco</t>
        </is>
      </c>
    </row>
    <row r="2357">
      <c r="A2357" t="n">
        <v>120881</v>
      </c>
      <c r="B2357" t="n">
        <v>128</v>
      </c>
      <c r="C2357" t="inlineStr">
        <is>
          <t>Love Cabaret</t>
        </is>
      </c>
      <c r="D2357" t="inlineStr">
        <is>
          <t xml:space="preserve">FORTE ALIMENTOS COM. IMPORTAÇÃO LTDA </t>
        </is>
      </c>
      <c r="E2357" t="n">
        <v>435.51</v>
      </c>
      <c r="F2357" s="27" t="n">
        <v>45755</v>
      </c>
      <c r="G2357" s="27" t="n">
        <v>45754</v>
      </c>
      <c r="H2357" s="27" t="n">
        <v>45754</v>
      </c>
      <c r="I2357" s="27" t="n">
        <v>45740</v>
      </c>
      <c r="J2357" s="27" t="n">
        <v>45743</v>
      </c>
      <c r="K2357" t="inlineStr">
        <is>
          <t>Boleto Bancário</t>
        </is>
      </c>
      <c r="L2357" t="inlineStr">
        <is>
          <t>Custo Mercadoria Vendida</t>
        </is>
      </c>
      <c r="M2357" t="inlineStr">
        <is>
          <t>Insumos - Alimentos</t>
        </is>
      </c>
      <c r="N2357" t="inlineStr">
        <is>
          <t>303669</t>
        </is>
      </c>
      <c r="O2357" t="inlineStr">
        <is>
          <t>Documentação Aprovada</t>
        </is>
      </c>
      <c r="P2357" t="inlineStr">
        <is>
          <t>Aprovado Diretoria</t>
        </is>
      </c>
      <c r="Q2357" t="inlineStr">
        <is>
          <t>Aprovado Caixa</t>
        </is>
      </c>
      <c r="R2357" t="inlineStr">
        <is>
          <t>Pago</t>
        </is>
      </c>
      <c r="S2357" t="n">
        <v>115</v>
      </c>
      <c r="T2357" t="inlineStr">
        <is>
          <t>Love - Shibari - Bradesco</t>
        </is>
      </c>
    </row>
    <row r="2358">
      <c r="A2358" t="n">
        <v>120882</v>
      </c>
      <c r="B2358" t="n">
        <v>128</v>
      </c>
      <c r="C2358" t="inlineStr">
        <is>
          <t>Love Cabaret</t>
        </is>
      </c>
      <c r="D2358" t="inlineStr">
        <is>
          <t>GOMES D ELIA EQUIP. HIGIENE LTDA - WESCO</t>
        </is>
      </c>
      <c r="E2358" t="n">
        <v>327</v>
      </c>
      <c r="F2358" s="27" t="n">
        <v>45755</v>
      </c>
      <c r="G2358" s="27" t="n">
        <v>45754</v>
      </c>
      <c r="H2358" s="27" t="n">
        <v>45754</v>
      </c>
      <c r="I2358" s="27" t="n">
        <v>45740</v>
      </c>
      <c r="J2358" s="27" t="n">
        <v>45743</v>
      </c>
      <c r="K2358" t="inlineStr">
        <is>
          <t>Boleto Bancário</t>
        </is>
      </c>
      <c r="L2358" t="inlineStr">
        <is>
          <t>Utilidades</t>
        </is>
      </c>
      <c r="M2358" t="inlineStr">
        <is>
          <t>Higiene e Limpeza</t>
        </is>
      </c>
      <c r="N2358" t="inlineStr">
        <is>
          <t>218641</t>
        </is>
      </c>
      <c r="O2358" t="inlineStr">
        <is>
          <t>Documentação Aprovada</t>
        </is>
      </c>
      <c r="P2358" t="inlineStr">
        <is>
          <t>Aprovado Diretoria</t>
        </is>
      </c>
      <c r="Q2358" t="inlineStr">
        <is>
          <t>Aprovado Caixa</t>
        </is>
      </c>
      <c r="R2358" t="inlineStr">
        <is>
          <t>Pago</t>
        </is>
      </c>
      <c r="S2358" t="n">
        <v>115</v>
      </c>
      <c r="T2358" t="inlineStr">
        <is>
          <t>Love - Shibari - Bradesco</t>
        </is>
      </c>
    </row>
    <row r="2359">
      <c r="A2359" t="n">
        <v>120893</v>
      </c>
      <c r="B2359" t="n">
        <v>128</v>
      </c>
      <c r="C2359" t="inlineStr">
        <is>
          <t>Love Cabaret</t>
        </is>
      </c>
      <c r="D2359" t="inlineStr">
        <is>
          <t>EDUARDO JOSE DA SILVA DISTRIBUIÇÃO DE PRODUTOS ALIMENTICIOS</t>
        </is>
      </c>
      <c r="E2359" t="n">
        <v>403.14</v>
      </c>
      <c r="F2359" s="27" t="n">
        <v>45754</v>
      </c>
      <c r="G2359" s="27" t="n">
        <v>45754</v>
      </c>
      <c r="H2359" s="27" t="n">
        <v>45754</v>
      </c>
      <c r="I2359" s="27" t="n">
        <v>45740</v>
      </c>
      <c r="J2359" s="27" t="n">
        <v>45743</v>
      </c>
      <c r="K2359" t="inlineStr">
        <is>
          <t>Boleto Bancário</t>
        </is>
      </c>
      <c r="L2359" t="inlineStr">
        <is>
          <t>Custo Mercadoria Vendida</t>
        </is>
      </c>
      <c r="M2359" t="inlineStr">
        <is>
          <t>Insumos - Alimentos</t>
        </is>
      </c>
      <c r="N2359" t="inlineStr">
        <is>
          <t>134106</t>
        </is>
      </c>
      <c r="O2359" t="inlineStr">
        <is>
          <t>Documentação Aprovada</t>
        </is>
      </c>
      <c r="P2359" t="inlineStr">
        <is>
          <t>Aprovado Diretoria</t>
        </is>
      </c>
      <c r="Q2359" t="inlineStr">
        <is>
          <t>Aprovado Caixa</t>
        </is>
      </c>
      <c r="R2359" t="inlineStr">
        <is>
          <t>Pago</t>
        </is>
      </c>
      <c r="S2359" t="n">
        <v>115</v>
      </c>
      <c r="T2359" t="inlineStr">
        <is>
          <t>Love - Shibari - Bradesco</t>
        </is>
      </c>
    </row>
    <row r="2360">
      <c r="A2360" t="n">
        <v>120892</v>
      </c>
      <c r="B2360" t="n">
        <v>128</v>
      </c>
      <c r="C2360" t="inlineStr">
        <is>
          <t>Love Cabaret</t>
        </is>
      </c>
      <c r="D2360" t="inlineStr">
        <is>
          <t xml:space="preserve">LATICINIOS FIOR DITALIA LTDA </t>
        </is>
      </c>
      <c r="E2360" t="n">
        <v>326.75</v>
      </c>
      <c r="F2360" s="27" t="n">
        <v>45756</v>
      </c>
      <c r="G2360" s="27" t="n">
        <v>45754</v>
      </c>
      <c r="H2360" s="27" t="n">
        <v>45754</v>
      </c>
      <c r="I2360" s="27" t="n">
        <v>45740</v>
      </c>
      <c r="J2360" s="27" t="n">
        <v>45743</v>
      </c>
      <c r="K2360" t="inlineStr">
        <is>
          <t>Boleto Bancário</t>
        </is>
      </c>
      <c r="L2360" t="inlineStr">
        <is>
          <t>Custo Mercadoria Vendida</t>
        </is>
      </c>
      <c r="M2360" t="inlineStr">
        <is>
          <t>Insumos - Alimentos</t>
        </is>
      </c>
      <c r="N2360" t="inlineStr">
        <is>
          <t>35113</t>
        </is>
      </c>
      <c r="O2360" t="inlineStr">
        <is>
          <t>Documentação Aprovada</t>
        </is>
      </c>
      <c r="P2360" t="inlineStr">
        <is>
          <t>Aprovado Diretoria</t>
        </is>
      </c>
      <c r="Q2360" t="inlineStr">
        <is>
          <t>Aprovado Caixa</t>
        </is>
      </c>
      <c r="R2360" t="inlineStr">
        <is>
          <t>Pago</t>
        </is>
      </c>
      <c r="S2360" t="n">
        <v>115</v>
      </c>
      <c r="T2360" t="inlineStr">
        <is>
          <t>Love - Shibari - Bradesco</t>
        </is>
      </c>
    </row>
    <row r="2361">
      <c r="A2361" t="n">
        <v>121618</v>
      </c>
      <c r="B2361" t="n">
        <v>128</v>
      </c>
      <c r="C2361" t="inlineStr">
        <is>
          <t>Love Cabaret</t>
        </is>
      </c>
      <c r="D2361" t="inlineStr">
        <is>
          <t>DEOLINDA DOS SANTOS FREITAS</t>
        </is>
      </c>
      <c r="E2361" t="n">
        <v>287.6</v>
      </c>
      <c r="F2361" s="27" t="n">
        <v>45754</v>
      </c>
      <c r="G2361" s="27" t="n">
        <v>45754</v>
      </c>
      <c r="H2361" s="27" t="n">
        <v>45754</v>
      </c>
      <c r="I2361" s="27" t="n">
        <v>45740</v>
      </c>
      <c r="J2361" s="27" t="n">
        <v>45749</v>
      </c>
      <c r="K2361" t="inlineStr">
        <is>
          <t>Boleto Bancário</t>
        </is>
      </c>
      <c r="L2361" t="inlineStr">
        <is>
          <t>Utilidades</t>
        </is>
      </c>
      <c r="M2361" t="inlineStr">
        <is>
          <t>Higiene e Limpeza</t>
        </is>
      </c>
      <c r="N2361" t="inlineStr">
        <is>
          <t>1753</t>
        </is>
      </c>
      <c r="O2361" t="inlineStr">
        <is>
          <t>Documentação Aprovada</t>
        </is>
      </c>
      <c r="P2361" t="inlineStr">
        <is>
          <t>Aprovado Diretoria</t>
        </is>
      </c>
      <c r="Q2361" t="inlineStr">
        <is>
          <t>Aprovado Caixa</t>
        </is>
      </c>
      <c r="R2361" t="inlineStr">
        <is>
          <t>Pago</t>
        </is>
      </c>
      <c r="S2361" t="n">
        <v>115</v>
      </c>
      <c r="T2361" t="inlineStr">
        <is>
          <t>Love - Shibari - Bradesco</t>
        </is>
      </c>
    </row>
    <row r="2362">
      <c r="A2362" t="n">
        <v>119840</v>
      </c>
      <c r="B2362" t="n">
        <v>128</v>
      </c>
      <c r="C2362" t="inlineStr">
        <is>
          <t>Love Cabaret</t>
        </is>
      </c>
      <c r="D2362" t="inlineStr">
        <is>
          <t>WIDE STOCK COMERCIO E DISTRIBUICAO LTDA</t>
        </is>
      </c>
      <c r="E2362" t="n">
        <v>1588.7</v>
      </c>
      <c r="F2362" s="27" t="n">
        <v>45754</v>
      </c>
      <c r="G2362" s="27" t="n">
        <v>45754</v>
      </c>
      <c r="H2362" s="27" t="n">
        <v>45754</v>
      </c>
      <c r="I2362" s="27" t="n">
        <v>45733</v>
      </c>
      <c r="J2362" s="27" t="n">
        <v>45736</v>
      </c>
      <c r="K2362" t="inlineStr">
        <is>
          <t>Boleto Bancário</t>
        </is>
      </c>
      <c r="L2362" t="inlineStr">
        <is>
          <t>Utilidades</t>
        </is>
      </c>
      <c r="M2362" t="inlineStr">
        <is>
          <t>Higiene e Limpeza</t>
        </is>
      </c>
      <c r="N2362" t="inlineStr">
        <is>
          <t>398041</t>
        </is>
      </c>
      <c r="O2362" t="inlineStr">
        <is>
          <t>Documentação Aprovada</t>
        </is>
      </c>
      <c r="P2362" t="inlineStr">
        <is>
          <t>Aprovado Diretoria</t>
        </is>
      </c>
      <c r="Q2362" t="inlineStr">
        <is>
          <t>Aprovado Caixa</t>
        </is>
      </c>
      <c r="R2362" t="inlineStr">
        <is>
          <t>Pago</t>
        </is>
      </c>
      <c r="S2362" t="n">
        <v>115</v>
      </c>
      <c r="T2362" t="inlineStr">
        <is>
          <t>Love - Shibari - Bradesco</t>
        </is>
      </c>
    </row>
    <row r="2363">
      <c r="A2363" t="n">
        <v>119877</v>
      </c>
      <c r="B2363" t="n">
        <v>128</v>
      </c>
      <c r="C2363" t="inlineStr">
        <is>
          <t>Love Cabaret</t>
        </is>
      </c>
      <c r="D2363" t="inlineStr">
        <is>
          <t>FG7 COMERCIO E DISTRIBUICAO DE BEBIDAS LTDA</t>
        </is>
      </c>
      <c r="E2363" t="n">
        <v>621.04</v>
      </c>
      <c r="F2363" s="27" t="n">
        <v>45755</v>
      </c>
      <c r="G2363" s="27" t="n">
        <v>45754</v>
      </c>
      <c r="H2363" s="27" t="n">
        <v>45754</v>
      </c>
      <c r="I2363" s="27" t="n">
        <v>45733</v>
      </c>
      <c r="J2363" s="27" t="n">
        <v>45736</v>
      </c>
      <c r="K2363" t="inlineStr">
        <is>
          <t>Boleto Bancário</t>
        </is>
      </c>
      <c r="L2363" t="inlineStr">
        <is>
          <t>Custo Mercadoria Vendida</t>
        </is>
      </c>
      <c r="M2363" t="inlineStr">
        <is>
          <t>Insumos - Bebidas</t>
        </is>
      </c>
      <c r="N2363" t="inlineStr">
        <is>
          <t>585299</t>
        </is>
      </c>
      <c r="O2363" t="inlineStr">
        <is>
          <t>Documentação Aprovada</t>
        </is>
      </c>
      <c r="P2363" t="inlineStr">
        <is>
          <t>Aprovado Diretoria</t>
        </is>
      </c>
      <c r="Q2363" t="inlineStr">
        <is>
          <t>Aprovado Caixa</t>
        </is>
      </c>
      <c r="R2363" t="inlineStr">
        <is>
          <t>Pago</t>
        </is>
      </c>
      <c r="S2363" t="n">
        <v>115</v>
      </c>
      <c r="T2363" t="inlineStr">
        <is>
          <t>Love - Shibari - Bradesco</t>
        </is>
      </c>
    </row>
    <row r="2364">
      <c r="A2364" t="n">
        <v>118315</v>
      </c>
      <c r="B2364" t="n">
        <v>128</v>
      </c>
      <c r="C2364" t="inlineStr">
        <is>
          <t>Love Cabaret</t>
        </is>
      </c>
      <c r="D2364" t="inlineStr">
        <is>
          <t>PROAUTO INDUSTRIA QUIMICA EIRELI</t>
        </is>
      </c>
      <c r="E2364" t="n">
        <v>2240.49</v>
      </c>
      <c r="F2364" s="27" t="n">
        <v>45754</v>
      </c>
      <c r="G2364" s="27" t="n">
        <v>45754</v>
      </c>
      <c r="H2364" s="27" t="n">
        <v>45754</v>
      </c>
      <c r="I2364" s="27" t="n">
        <v>45726</v>
      </c>
      <c r="J2364" s="27" t="n">
        <v>45729</v>
      </c>
      <c r="K2364" t="inlineStr">
        <is>
          <t>Boleto Bancário</t>
        </is>
      </c>
      <c r="L2364" t="inlineStr">
        <is>
          <t>Utilidades</t>
        </is>
      </c>
      <c r="M2364" t="inlineStr">
        <is>
          <t>Higiene e Limpeza</t>
        </is>
      </c>
      <c r="N2364" t="inlineStr">
        <is>
          <t>134957</t>
        </is>
      </c>
      <c r="O2364" t="inlineStr">
        <is>
          <t>Documentação Aprovada</t>
        </is>
      </c>
      <c r="P2364" t="inlineStr">
        <is>
          <t>Aprovado Diretoria</t>
        </is>
      </c>
      <c r="Q2364" t="inlineStr">
        <is>
          <t>Aprovado Caixa</t>
        </is>
      </c>
      <c r="R2364" t="inlineStr">
        <is>
          <t>Pago</t>
        </is>
      </c>
      <c r="S2364" t="n">
        <v>115</v>
      </c>
      <c r="T2364" t="inlineStr">
        <is>
          <t>Love - Shibari - Bradesco</t>
        </is>
      </c>
    </row>
    <row r="2365">
      <c r="A2365" t="n">
        <v>118307</v>
      </c>
      <c r="B2365" t="n">
        <v>128</v>
      </c>
      <c r="C2365" t="inlineStr">
        <is>
          <t>Love Cabaret</t>
        </is>
      </c>
      <c r="D2365" t="inlineStr">
        <is>
          <t>HORTICLEAN DISTRIBUIDORA DE HORTIFRUTI LTDA</t>
        </is>
      </c>
      <c r="E2365" t="n">
        <v>119.02</v>
      </c>
      <c r="F2365" s="27" t="n">
        <v>45755</v>
      </c>
      <c r="G2365" s="27" t="n">
        <v>45754</v>
      </c>
      <c r="H2365" s="27" t="n">
        <v>45754</v>
      </c>
      <c r="I2365" s="27" t="n">
        <v>45726</v>
      </c>
      <c r="J2365" s="27" t="n">
        <v>45729</v>
      </c>
      <c r="K2365" t="inlineStr">
        <is>
          <t>Boleto Bancário</t>
        </is>
      </c>
      <c r="L2365" t="inlineStr">
        <is>
          <t>Custo Mercadoria Vendida</t>
        </is>
      </c>
      <c r="M2365" t="inlineStr">
        <is>
          <t>Insumos - Alimentos</t>
        </is>
      </c>
      <c r="N2365" t="inlineStr">
        <is>
          <t>26058</t>
        </is>
      </c>
      <c r="O2365" t="inlineStr">
        <is>
          <t>Documentação Aprovada</t>
        </is>
      </c>
      <c r="P2365" t="inlineStr">
        <is>
          <t>Aprovado Diretoria</t>
        </is>
      </c>
      <c r="Q2365" t="inlineStr">
        <is>
          <t>Aprovado Caixa</t>
        </is>
      </c>
      <c r="R2365" t="inlineStr">
        <is>
          <t>Pago</t>
        </is>
      </c>
      <c r="S2365" t="n">
        <v>115</v>
      </c>
      <c r="T2365" t="inlineStr">
        <is>
          <t>Love - Shibari - Bradesco</t>
        </is>
      </c>
    </row>
    <row r="2366">
      <c r="A2366" t="n">
        <v>118613</v>
      </c>
      <c r="B2366" t="n">
        <v>128</v>
      </c>
      <c r="C2366" t="inlineStr">
        <is>
          <t>Love Cabaret</t>
        </is>
      </c>
      <c r="D2366" t="inlineStr">
        <is>
          <t>CN ENGENHARIA - MANUTENCAO LTDA</t>
        </is>
      </c>
      <c r="E2366" t="n">
        <v>9726</v>
      </c>
      <c r="F2366" s="27" t="n">
        <v>45754</v>
      </c>
      <c r="G2366" s="27" t="n">
        <v>45754</v>
      </c>
      <c r="H2366" s="27" t="n">
        <v>45754</v>
      </c>
      <c r="I2366" s="27" t="n">
        <v>45730</v>
      </c>
      <c r="J2366" s="27" t="n">
        <v>45730</v>
      </c>
      <c r="K2366" t="inlineStr">
        <is>
          <t>Boleto Bancário</t>
        </is>
      </c>
      <c r="L2366" t="inlineStr">
        <is>
          <t>Manutenção</t>
        </is>
      </c>
      <c r="M2366" t="inlineStr">
        <is>
          <t>Manutenção Predial</t>
        </is>
      </c>
      <c r="N2366" t="inlineStr">
        <is>
          <t>418</t>
        </is>
      </c>
      <c r="O2366" t="inlineStr">
        <is>
          <t>Documentação Aprovada</t>
        </is>
      </c>
      <c r="P2366" t="inlineStr">
        <is>
          <t>Aprovado Diretoria</t>
        </is>
      </c>
      <c r="Q2366" t="inlineStr">
        <is>
          <t>Aprovado Caixa</t>
        </is>
      </c>
      <c r="R2366" t="inlineStr">
        <is>
          <t>Pago</t>
        </is>
      </c>
      <c r="S2366" t="n">
        <v>115</v>
      </c>
      <c r="T2366" t="inlineStr">
        <is>
          <t>Love - Shibari - Bradesco</t>
        </is>
      </c>
    </row>
    <row r="2367">
      <c r="A2367" t="n">
        <v>106676</v>
      </c>
      <c r="B2367" t="n">
        <v>128</v>
      </c>
      <c r="C2367" t="inlineStr">
        <is>
          <t>Love Cabaret</t>
        </is>
      </c>
      <c r="D2367" t="inlineStr">
        <is>
          <t>AURORA ALVORADA ESTACIONAMENTO E LANCHONETE LTDA</t>
        </is>
      </c>
      <c r="E2367" t="n">
        <v>155.39</v>
      </c>
      <c r="F2367" s="27" t="n">
        <v>45754</v>
      </c>
      <c r="G2367" s="27" t="n">
        <v>45754</v>
      </c>
      <c r="H2367" s="27" t="n">
        <v>45754</v>
      </c>
      <c r="I2367" s="27" t="n">
        <v>45747</v>
      </c>
      <c r="J2367" s="27" t="n"/>
      <c r="K2367" t="inlineStr">
        <is>
          <t>Boleto Bancário</t>
        </is>
      </c>
      <c r="L2367" t="inlineStr">
        <is>
          <t>Custo Mercadoria Vendida</t>
        </is>
      </c>
      <c r="M2367" t="inlineStr">
        <is>
          <t>Insumos - Alimentos</t>
        </is>
      </c>
      <c r="N2367" t="inlineStr">
        <is>
          <t>10426</t>
        </is>
      </c>
      <c r="O2367" t="inlineStr">
        <is>
          <t>Documentação Aprovada</t>
        </is>
      </c>
      <c r="P2367" t="inlineStr">
        <is>
          <t>Aprovado Diretoria</t>
        </is>
      </c>
      <c r="Q2367" t="inlineStr">
        <is>
          <t>Aprovado Caixa</t>
        </is>
      </c>
      <c r="R2367" t="inlineStr">
        <is>
          <t>Pago</t>
        </is>
      </c>
      <c r="S2367" t="n">
        <v>115</v>
      </c>
      <c r="T2367" t="inlineStr">
        <is>
          <t>Love - Shibari - Bradesco</t>
        </is>
      </c>
    </row>
    <row r="2368">
      <c r="A2368" t="n">
        <v>97350</v>
      </c>
      <c r="B2368" t="n">
        <v>128</v>
      </c>
      <c r="C2368" t="inlineStr">
        <is>
          <t>Love Cabaret</t>
        </is>
      </c>
      <c r="D2368" t="inlineStr">
        <is>
          <t>EDJANE DANTAS DE ALMEIDA SOUSA  - DESENTUPIDORA</t>
        </is>
      </c>
      <c r="E2368" t="n">
        <v>1200</v>
      </c>
      <c r="F2368" s="27" t="n">
        <v>45755</v>
      </c>
      <c r="G2368" s="27" t="n">
        <v>45754</v>
      </c>
      <c r="H2368" s="27" t="n">
        <v>45754</v>
      </c>
      <c r="I2368" s="27" t="n">
        <v>45733</v>
      </c>
      <c r="J2368" s="27" t="n"/>
      <c r="K2368" t="inlineStr">
        <is>
          <t>Transferência Bancária ou Pix</t>
        </is>
      </c>
      <c r="L2368" t="inlineStr">
        <is>
          <t>Utilidades</t>
        </is>
      </c>
      <c r="M2368" t="inlineStr">
        <is>
          <t>Serviços de Limpeza</t>
        </is>
      </c>
      <c r="N2368" t="inlineStr">
        <is>
          <t>86</t>
        </is>
      </c>
      <c r="O2368" t="inlineStr">
        <is>
          <t>Documentação Aprovada</t>
        </is>
      </c>
      <c r="P2368" t="inlineStr">
        <is>
          <t>Aprovado Diretoria</t>
        </is>
      </c>
      <c r="Q2368" t="inlineStr">
        <is>
          <t>Aprovado Caixa</t>
        </is>
      </c>
      <c r="R2368" t="inlineStr">
        <is>
          <t>Pago</t>
        </is>
      </c>
      <c r="S2368" t="n">
        <v>115</v>
      </c>
      <c r="T2368" t="inlineStr">
        <is>
          <t>Love - Shibari - Bradesco</t>
        </is>
      </c>
    </row>
    <row r="2369">
      <c r="A2369" t="n">
        <v>103043</v>
      </c>
      <c r="B2369" t="n">
        <v>128</v>
      </c>
      <c r="C2369" t="inlineStr">
        <is>
          <t>Love Cabaret</t>
        </is>
      </c>
      <c r="D2369" t="inlineStr">
        <is>
          <t>VERISURE BRASIL MONITORAMENTO DE ALARMES S.A</t>
        </is>
      </c>
      <c r="E2369" t="n">
        <v>263.78</v>
      </c>
      <c r="F2369" s="27" t="n">
        <v>45752</v>
      </c>
      <c r="G2369" s="27" t="n">
        <v>45749</v>
      </c>
      <c r="H2369" s="27" t="n">
        <v>45754</v>
      </c>
      <c r="I2369" s="27" t="n">
        <v>45731</v>
      </c>
      <c r="J2369" s="27" t="n"/>
      <c r="K2369" t="inlineStr">
        <is>
          <t xml:space="preserve">Debito Automático </t>
        </is>
      </c>
      <c r="L2369" t="inlineStr">
        <is>
          <t>Informática e TI</t>
        </is>
      </c>
      <c r="M2369" t="inlineStr">
        <is>
          <t>Sistemas de Segurança e Alarme</t>
        </is>
      </c>
      <c r="N2369" t="inlineStr">
        <is>
          <t xml:space="preserve">14911723 </t>
        </is>
      </c>
      <c r="O2369" t="inlineStr">
        <is>
          <t>Documentação Aprovada</t>
        </is>
      </c>
      <c r="P2369" t="inlineStr">
        <is>
          <t>Aprovado Diretoria</t>
        </is>
      </c>
      <c r="Q2369" t="inlineStr">
        <is>
          <t>Aprovado Caixa</t>
        </is>
      </c>
      <c r="R2369" t="inlineStr">
        <is>
          <t>Pago</t>
        </is>
      </c>
      <c r="S2369" t="n">
        <v>115</v>
      </c>
      <c r="T2369" t="inlineStr">
        <is>
          <t>Love - Shibari - Bradesco</t>
        </is>
      </c>
    </row>
    <row r="2370">
      <c r="A2370" t="n">
        <v>102865</v>
      </c>
      <c r="B2370" t="n">
        <v>128</v>
      </c>
      <c r="C2370" t="inlineStr">
        <is>
          <t>Love Cabaret</t>
        </is>
      </c>
      <c r="D2370" t="inlineStr">
        <is>
          <t>MACHINE SEGURANCA PATRIMONIAL LTDA</t>
        </is>
      </c>
      <c r="E2370" t="n">
        <v>6270</v>
      </c>
      <c r="F2370" s="27" t="n">
        <v>45752</v>
      </c>
      <c r="G2370" s="27" t="n">
        <v>45754</v>
      </c>
      <c r="H2370" s="27" t="n">
        <v>45754</v>
      </c>
      <c r="I2370" s="27" t="n">
        <v>45747</v>
      </c>
      <c r="J2370" s="27" t="n"/>
      <c r="K2370" t="inlineStr">
        <is>
          <t>Transferência Bancária ou Pix</t>
        </is>
      </c>
      <c r="L2370" t="inlineStr">
        <is>
          <t>Serviços de Terceiros</t>
        </is>
      </c>
      <c r="M2370" t="inlineStr">
        <is>
          <t>Serviços de Segurança</t>
        </is>
      </c>
      <c r="N2370" t="inlineStr">
        <is>
          <t>186</t>
        </is>
      </c>
      <c r="O2370" t="inlineStr">
        <is>
          <t>Documentação Aprovada</t>
        </is>
      </c>
      <c r="P2370" t="inlineStr">
        <is>
          <t>Aprovado Diretoria</t>
        </is>
      </c>
      <c r="Q2370" t="inlineStr">
        <is>
          <t>Aprovado Caixa</t>
        </is>
      </c>
      <c r="R2370" t="inlineStr">
        <is>
          <t>Pago</t>
        </is>
      </c>
      <c r="S2370" t="n">
        <v>115</v>
      </c>
      <c r="T2370" t="inlineStr">
        <is>
          <t>Love - Shibari - Bradesco</t>
        </is>
      </c>
    </row>
    <row r="2371">
      <c r="A2371" t="n">
        <v>102960</v>
      </c>
      <c r="B2371" t="n">
        <v>128</v>
      </c>
      <c r="C2371" t="inlineStr">
        <is>
          <t>Love Cabaret</t>
        </is>
      </c>
      <c r="D2371" t="inlineStr">
        <is>
          <t>STAR COPIAS COMERCIO E SERVICOS LTDA</t>
        </is>
      </c>
      <c r="E2371" t="n">
        <v>220</v>
      </c>
      <c r="F2371" s="27" t="n">
        <v>45755</v>
      </c>
      <c r="G2371" s="27" t="n">
        <v>45754</v>
      </c>
      <c r="H2371" s="27" t="n">
        <v>45754</v>
      </c>
      <c r="I2371" s="27" t="n">
        <v>45736</v>
      </c>
      <c r="J2371" s="27" t="n"/>
      <c r="K2371" t="inlineStr">
        <is>
          <t>Boleto Bancário</t>
        </is>
      </c>
      <c r="L2371" t="inlineStr">
        <is>
          <t>Locação de Equipamentos</t>
        </is>
      </c>
      <c r="M2371" t="inlineStr">
        <is>
          <t>Locação de Equipamentos - Informatica e TI</t>
        </is>
      </c>
      <c r="N2371" t="inlineStr">
        <is>
          <t>3869</t>
        </is>
      </c>
      <c r="O2371" t="inlineStr">
        <is>
          <t>Documentação Aprovada</t>
        </is>
      </c>
      <c r="P2371" t="inlineStr">
        <is>
          <t>Aprovado Diretoria</t>
        </is>
      </c>
      <c r="Q2371" t="inlineStr">
        <is>
          <t>Aprovado Caixa</t>
        </is>
      </c>
      <c r="R2371" t="inlineStr">
        <is>
          <t>Pago</t>
        </is>
      </c>
      <c r="S2371" t="n">
        <v>115</v>
      </c>
      <c r="T2371" t="inlineStr">
        <is>
          <t>Love - Shibari - Bradesco</t>
        </is>
      </c>
    </row>
    <row r="2372">
      <c r="A2372" t="n">
        <v>102942</v>
      </c>
      <c r="B2372" t="n">
        <v>128</v>
      </c>
      <c r="C2372" t="inlineStr">
        <is>
          <t>Love Cabaret</t>
        </is>
      </c>
      <c r="D2372" t="inlineStr">
        <is>
          <t>SAFE BRAND COMERCIAL- IMPORTACAO- EXPORTACAO E SERVICOS LTDA</t>
        </is>
      </c>
      <c r="E2372" t="n">
        <v>2117.46</v>
      </c>
      <c r="F2372" s="27" t="n">
        <v>45756</v>
      </c>
      <c r="G2372" s="27" t="n">
        <v>45754</v>
      </c>
      <c r="H2372" s="27" t="n">
        <v>45754</v>
      </c>
      <c r="I2372" s="27" t="n">
        <v>45748</v>
      </c>
      <c r="J2372" s="27" t="n"/>
      <c r="K2372" t="inlineStr">
        <is>
          <t>Boleto Bancário</t>
        </is>
      </c>
      <c r="L2372" t="inlineStr">
        <is>
          <t>Locação de Equipamentos</t>
        </is>
      </c>
      <c r="M2372" t="inlineStr">
        <is>
          <t>Locações de Equipamentos - Operacionais</t>
        </is>
      </c>
      <c r="N2372" t="inlineStr">
        <is>
          <t>3250226</t>
        </is>
      </c>
      <c r="O2372" t="inlineStr">
        <is>
          <t>Documentação Aprovada</t>
        </is>
      </c>
      <c r="P2372" t="inlineStr">
        <is>
          <t>Aprovado Diretoria</t>
        </is>
      </c>
      <c r="Q2372" t="inlineStr">
        <is>
          <t>Aprovado Caixa</t>
        </is>
      </c>
      <c r="R2372" t="inlineStr">
        <is>
          <t>Pago</t>
        </is>
      </c>
      <c r="S2372" t="n">
        <v>115</v>
      </c>
      <c r="T2372" t="inlineStr">
        <is>
          <t>Love - Shibari - Bradesco</t>
        </is>
      </c>
    </row>
    <row r="2373">
      <c r="A2373" t="n">
        <v>127252</v>
      </c>
      <c r="B2373" t="n">
        <v>128</v>
      </c>
      <c r="C2373" t="inlineStr">
        <is>
          <t>Love Cabaret</t>
        </is>
      </c>
      <c r="D2373" t="inlineStr">
        <is>
          <t>BRADESCO SA</t>
        </is>
      </c>
      <c r="E2373" t="n">
        <v>18</v>
      </c>
      <c r="F2373" s="27" t="n">
        <v>45751</v>
      </c>
      <c r="G2373" s="27" t="n"/>
      <c r="H2373" s="27" t="n">
        <v>45751</v>
      </c>
      <c r="I2373" s="27" t="n">
        <v>45751</v>
      </c>
      <c r="J2373" s="27" t="n">
        <v>45771</v>
      </c>
      <c r="K2373" t="inlineStr">
        <is>
          <t xml:space="preserve">Debito Automático </t>
        </is>
      </c>
      <c r="L2373" t="inlineStr">
        <is>
          <t>Despesas Financeiras</t>
        </is>
      </c>
      <c r="M2373" t="inlineStr">
        <is>
          <t>Tarifas Bancárias</t>
        </is>
      </c>
      <c r="N2373" t="inlineStr">
        <is>
          <t>1</t>
        </is>
      </c>
      <c r="P2373" t="inlineStr">
        <is>
          <t>Aprovado Diretoria</t>
        </is>
      </c>
      <c r="R2373" t="inlineStr">
        <is>
          <t>Pago</t>
        </is>
      </c>
    </row>
    <row r="2374">
      <c r="A2374" t="n">
        <v>124870</v>
      </c>
      <c r="B2374" t="n">
        <v>128</v>
      </c>
      <c r="C2374" t="inlineStr">
        <is>
          <t>Love Cabaret</t>
        </is>
      </c>
      <c r="D2374" t="inlineStr">
        <is>
          <t>BRADESCO SA</t>
        </is>
      </c>
      <c r="E2374" t="n">
        <v>46.63</v>
      </c>
      <c r="F2374" s="27" t="n">
        <v>45749</v>
      </c>
      <c r="G2374" s="27" t="n"/>
      <c r="H2374" s="27" t="n">
        <v>45749</v>
      </c>
      <c r="I2374" s="27" t="n">
        <v>45749</v>
      </c>
      <c r="J2374" s="27" t="n">
        <v>45758</v>
      </c>
      <c r="K2374" t="inlineStr">
        <is>
          <t>Encontro de Contas</t>
        </is>
      </c>
      <c r="L2374" t="inlineStr">
        <is>
          <t>Despesas Financeiras</t>
        </is>
      </c>
      <c r="M2374" t="inlineStr">
        <is>
          <t>Tarifas Bancárias</t>
        </is>
      </c>
      <c r="N2374" t="inlineStr">
        <is>
          <t>466332025</t>
        </is>
      </c>
      <c r="P2374" t="inlineStr">
        <is>
          <t>Aprovado Diretoria</t>
        </is>
      </c>
      <c r="R2374" t="inlineStr">
        <is>
          <t>Pago</t>
        </is>
      </c>
    </row>
    <row r="2375">
      <c r="A2375" t="n">
        <v>97325</v>
      </c>
      <c r="B2375" t="n">
        <v>128</v>
      </c>
      <c r="C2375" t="inlineStr">
        <is>
          <t>Love Cabaret</t>
        </is>
      </c>
      <c r="D2375" t="inlineStr">
        <is>
          <t>ELETROPAULO METROPOLITANA ELETRICIDADE DE SAO PAULO SA</t>
        </is>
      </c>
      <c r="E2375" t="n">
        <v>12830.67</v>
      </c>
      <c r="F2375" s="27" t="n">
        <v>45751</v>
      </c>
      <c r="G2375" s="27" t="n">
        <v>45749</v>
      </c>
      <c r="H2375" s="27" t="n">
        <v>45749</v>
      </c>
      <c r="I2375" s="27" t="n">
        <v>45730</v>
      </c>
      <c r="J2375" s="27" t="n"/>
      <c r="K2375" t="inlineStr">
        <is>
          <t>Boleto Bancário</t>
        </is>
      </c>
      <c r="L2375" t="inlineStr">
        <is>
          <t>Utilidades</t>
        </is>
      </c>
      <c r="M2375" t="inlineStr">
        <is>
          <t>Energia Eletrica</t>
        </is>
      </c>
      <c r="N2375" t="inlineStr">
        <is>
          <t>695364452</t>
        </is>
      </c>
      <c r="O2375" t="inlineStr">
        <is>
          <t>Documentação Aprovada</t>
        </is>
      </c>
      <c r="P2375" t="inlineStr">
        <is>
          <t>Aprovado Diretoria</t>
        </is>
      </c>
      <c r="Q2375" t="inlineStr">
        <is>
          <t>Aprovado Caixa</t>
        </is>
      </c>
      <c r="R2375" t="inlineStr">
        <is>
          <t>Pago</t>
        </is>
      </c>
      <c r="S2375" t="n">
        <v>115</v>
      </c>
      <c r="T2375" t="inlineStr">
        <is>
          <t>Love - Shibari - Bradesco</t>
        </is>
      </c>
    </row>
    <row r="2376">
      <c r="A2376" t="n">
        <v>97391</v>
      </c>
      <c r="B2376" t="n">
        <v>128</v>
      </c>
      <c r="C2376" t="inlineStr">
        <is>
          <t>Love Cabaret</t>
        </is>
      </c>
      <c r="D2376" t="inlineStr">
        <is>
          <t>EASY ICE SOLUTION LTDA-ME LOCAÇÃO</t>
        </is>
      </c>
      <c r="E2376" t="n">
        <v>1600</v>
      </c>
      <c r="F2376" s="27" t="n">
        <v>45752</v>
      </c>
      <c r="G2376" s="27" t="n">
        <v>45749</v>
      </c>
      <c r="H2376" s="27" t="n">
        <v>45749</v>
      </c>
      <c r="I2376" s="27" t="n">
        <v>45741</v>
      </c>
      <c r="J2376" s="27" t="n"/>
      <c r="K2376" t="inlineStr">
        <is>
          <t>Boleto Bancário</t>
        </is>
      </c>
      <c r="L2376" t="inlineStr">
        <is>
          <t>Locação de Equipamentos</t>
        </is>
      </c>
      <c r="M2376" t="inlineStr">
        <is>
          <t>Locações de Equipamentos - Operacionais</t>
        </is>
      </c>
      <c r="N2376" t="inlineStr">
        <is>
          <t>8040</t>
        </is>
      </c>
      <c r="O2376" t="inlineStr">
        <is>
          <t>Documentação Aprovada</t>
        </is>
      </c>
      <c r="P2376" t="inlineStr">
        <is>
          <t>Aprovado Diretoria</t>
        </is>
      </c>
      <c r="Q2376" t="inlineStr">
        <is>
          <t>Aprovado Caixa</t>
        </is>
      </c>
      <c r="R2376" t="inlineStr">
        <is>
          <t>Pago</t>
        </is>
      </c>
      <c r="S2376" t="n">
        <v>115</v>
      </c>
      <c r="T2376" t="inlineStr">
        <is>
          <t>Love - Shibari - Bradesco</t>
        </is>
      </c>
    </row>
    <row r="2377">
      <c r="A2377" t="n">
        <v>97313</v>
      </c>
      <c r="B2377" t="n">
        <v>128</v>
      </c>
      <c r="C2377" t="inlineStr">
        <is>
          <t>Love Cabaret</t>
        </is>
      </c>
      <c r="D2377" t="inlineStr">
        <is>
          <t>ESCRITORIO CENTRAL DE ARRECADACAO E DISTRIBUICAO ECAD</t>
        </is>
      </c>
      <c r="E2377" t="n">
        <v>802.5</v>
      </c>
      <c r="F2377" s="27" t="n">
        <v>45752</v>
      </c>
      <c r="G2377" s="27" t="n">
        <v>45749</v>
      </c>
      <c r="H2377" s="27" t="n">
        <v>45749</v>
      </c>
      <c r="I2377" s="27" t="n">
        <v>45735</v>
      </c>
      <c r="J2377" s="27" t="n"/>
      <c r="K2377" t="inlineStr">
        <is>
          <t>Boleto Bancário</t>
        </is>
      </c>
      <c r="L2377" t="inlineStr">
        <is>
          <t>Custos Artístico Geral</t>
        </is>
      </c>
      <c r="M2377" t="inlineStr">
        <is>
          <t>Taxas e Licenças - Artístico</t>
        </is>
      </c>
      <c r="N2377" t="inlineStr">
        <is>
          <t xml:space="preserve">9021927636 </t>
        </is>
      </c>
      <c r="O2377" t="inlineStr">
        <is>
          <t>Documentação Aprovada</t>
        </is>
      </c>
      <c r="P2377" t="inlineStr">
        <is>
          <t>Aprovado Diretoria</t>
        </is>
      </c>
      <c r="Q2377" t="inlineStr">
        <is>
          <t>Aprovado Caixa</t>
        </is>
      </c>
      <c r="R2377" t="inlineStr">
        <is>
          <t>Pago</t>
        </is>
      </c>
      <c r="S2377" t="n">
        <v>115</v>
      </c>
      <c r="T2377" t="inlineStr">
        <is>
          <t>Love - Shibari - Bradesco</t>
        </is>
      </c>
    </row>
    <row r="2378">
      <c r="A2378" t="n">
        <v>97337</v>
      </c>
      <c r="B2378" t="n">
        <v>128</v>
      </c>
      <c r="C2378" t="inlineStr">
        <is>
          <t>Love Cabaret</t>
        </is>
      </c>
      <c r="D2378" t="inlineStr">
        <is>
          <t>ELETROPAULO METROPOLITANA ELETRICIDADE DE SAO PAULO SA</t>
        </is>
      </c>
      <c r="E2378" t="n">
        <v>88.04000000000001</v>
      </c>
      <c r="F2378" s="27" t="n">
        <v>45751</v>
      </c>
      <c r="G2378" s="27" t="n">
        <v>45749</v>
      </c>
      <c r="H2378" s="27" t="n">
        <v>45749</v>
      </c>
      <c r="I2378" s="27" t="n">
        <v>45731</v>
      </c>
      <c r="J2378" s="27" t="n"/>
      <c r="K2378" t="inlineStr">
        <is>
          <t>Boleto Bancário</t>
        </is>
      </c>
      <c r="L2378" t="inlineStr">
        <is>
          <t>Utilidades</t>
        </is>
      </c>
      <c r="M2378" t="inlineStr">
        <is>
          <t>Energia Eletrica</t>
        </is>
      </c>
      <c r="N2378" t="inlineStr">
        <is>
          <t>695364448</t>
        </is>
      </c>
      <c r="O2378" t="inlineStr">
        <is>
          <t>Documentação Aprovada</t>
        </is>
      </c>
      <c r="P2378" t="inlineStr">
        <is>
          <t>Aprovado Diretoria</t>
        </is>
      </c>
      <c r="Q2378" t="inlineStr">
        <is>
          <t>Aprovado Caixa</t>
        </is>
      </c>
      <c r="R2378" t="inlineStr">
        <is>
          <t>Pago</t>
        </is>
      </c>
      <c r="S2378" t="n">
        <v>115</v>
      </c>
      <c r="T2378" t="inlineStr">
        <is>
          <t>Love - Shibari - Bradesco</t>
        </is>
      </c>
    </row>
    <row r="2379">
      <c r="A2379" t="n">
        <v>97094</v>
      </c>
      <c r="B2379" t="n">
        <v>128</v>
      </c>
      <c r="C2379" t="inlineStr">
        <is>
          <t>Love Cabaret</t>
        </is>
      </c>
      <c r="D2379" t="inlineStr">
        <is>
          <t>ESTAFF SOLUCOES TECNOLOGICAS DE AGENCIAMENTO LTDA</t>
        </is>
      </c>
      <c r="E2379" t="n">
        <v>13431</v>
      </c>
      <c r="F2379" s="27" t="n">
        <v>45749</v>
      </c>
      <c r="G2379" s="27" t="n">
        <v>45749</v>
      </c>
      <c r="H2379" s="27" t="n">
        <v>45749</v>
      </c>
      <c r="I2379" s="27" t="n">
        <v>45740</v>
      </c>
      <c r="J2379" s="27" t="n"/>
      <c r="K2379" t="inlineStr">
        <is>
          <t>Boleto Bancário</t>
        </is>
      </c>
      <c r="L2379" t="inlineStr">
        <is>
          <t>Mão de Obra - Extra</t>
        </is>
      </c>
      <c r="M2379" t="inlineStr">
        <is>
          <t>Mão de Obra Extra</t>
        </is>
      </c>
      <c r="N2379" t="inlineStr">
        <is>
          <t>541941285</t>
        </is>
      </c>
      <c r="O2379" t="inlineStr">
        <is>
          <t>Documentação Aprovada</t>
        </is>
      </c>
      <c r="P2379" t="inlineStr">
        <is>
          <t>Aprovado Diretoria</t>
        </is>
      </c>
      <c r="Q2379" t="inlineStr">
        <is>
          <t>Aprovado Caixa</t>
        </is>
      </c>
      <c r="R2379" t="inlineStr">
        <is>
          <t>Pago</t>
        </is>
      </c>
      <c r="S2379" t="n">
        <v>115</v>
      </c>
      <c r="T2379" t="inlineStr">
        <is>
          <t>Love - Shibari - Bradesco</t>
        </is>
      </c>
    </row>
    <row r="2380">
      <c r="A2380" t="n">
        <v>96857</v>
      </c>
      <c r="B2380" t="n">
        <v>128</v>
      </c>
      <c r="C2380" t="inlineStr">
        <is>
          <t>Love Cabaret</t>
        </is>
      </c>
      <c r="D2380" t="inlineStr">
        <is>
          <t>AGENCIA BIOMA PUBLICIDADE E EVENTOS LTDA - FACUNDO</t>
        </is>
      </c>
      <c r="E2380" t="n">
        <v>7000</v>
      </c>
      <c r="F2380" s="27" t="n">
        <v>45752</v>
      </c>
      <c r="G2380" s="27" t="n">
        <v>45749</v>
      </c>
      <c r="H2380" s="27" t="n">
        <v>45749</v>
      </c>
      <c r="I2380" s="27" t="n">
        <v>45736</v>
      </c>
      <c r="J2380" s="27" t="n"/>
      <c r="K2380" t="inlineStr">
        <is>
          <t>Transferência Bancária ou Pix</t>
        </is>
      </c>
      <c r="L2380" t="inlineStr">
        <is>
          <t>Marketing</t>
        </is>
      </c>
      <c r="M2380" t="inlineStr">
        <is>
          <t>Agência de Propaganda</t>
        </is>
      </c>
      <c r="N2380" t="inlineStr">
        <is>
          <t>297</t>
        </is>
      </c>
      <c r="O2380" t="inlineStr">
        <is>
          <t>Documentação Aprovada</t>
        </is>
      </c>
      <c r="P2380" t="inlineStr">
        <is>
          <t>Aprovado Diretoria</t>
        </is>
      </c>
      <c r="Q2380" t="inlineStr">
        <is>
          <t>Aprovado Caixa</t>
        </is>
      </c>
      <c r="R2380" t="inlineStr">
        <is>
          <t>Pago</t>
        </is>
      </c>
      <c r="S2380" t="n">
        <v>115</v>
      </c>
      <c r="T2380" t="inlineStr">
        <is>
          <t>Love - Shibari - Bradesco</t>
        </is>
      </c>
    </row>
    <row r="2381">
      <c r="A2381" t="n">
        <v>114176</v>
      </c>
      <c r="B2381" t="n">
        <v>128</v>
      </c>
      <c r="C2381" t="inlineStr">
        <is>
          <t>Love Cabaret</t>
        </is>
      </c>
      <c r="D2381" t="inlineStr">
        <is>
          <t xml:space="preserve">MAILCHIMP ORDER </t>
        </is>
      </c>
      <c r="E2381" t="n">
        <v>2000</v>
      </c>
      <c r="F2381" s="27" t="n">
        <v>45719</v>
      </c>
      <c r="G2381" s="27" t="n">
        <v>45749</v>
      </c>
      <c r="H2381" s="27" t="n">
        <v>45749</v>
      </c>
      <c r="I2381" s="27" t="n">
        <v>45690</v>
      </c>
      <c r="J2381" s="27" t="n">
        <v>45714</v>
      </c>
      <c r="K2381" t="inlineStr">
        <is>
          <t>Transferência Bancária ou Pix</t>
        </is>
      </c>
      <c r="L2381" t="inlineStr">
        <is>
          <t>Marketing</t>
        </is>
      </c>
      <c r="M2381" t="inlineStr">
        <is>
          <t>Ferramentas de Marketing</t>
        </is>
      </c>
      <c r="N2381" t="inlineStr">
        <is>
          <t>RP036-2025</t>
        </is>
      </c>
      <c r="O2381" t="inlineStr">
        <is>
          <t>Documentação Aprovada</t>
        </is>
      </c>
      <c r="P2381" t="inlineStr">
        <is>
          <t>Aprovado Diretoria</t>
        </is>
      </c>
      <c r="Q2381" t="inlineStr">
        <is>
          <t>Aprovado Caixa</t>
        </is>
      </c>
      <c r="R2381" t="inlineStr">
        <is>
          <t>Pago</t>
        </is>
      </c>
      <c r="S2381" t="n">
        <v>115</v>
      </c>
      <c r="T2381" t="inlineStr">
        <is>
          <t>Love - Shibari - Bradesco</t>
        </is>
      </c>
    </row>
    <row r="2382">
      <c r="A2382" t="n">
        <v>120673</v>
      </c>
      <c r="B2382" t="n">
        <v>128</v>
      </c>
      <c r="C2382" t="inlineStr">
        <is>
          <t>Love Cabaret</t>
        </is>
      </c>
      <c r="D2382" t="inlineStr">
        <is>
          <t xml:space="preserve">FORTE ALIMENTOS COM. IMPORTAÇÃO LTDA </t>
        </is>
      </c>
      <c r="E2382" t="n">
        <v>589.9299999999999</v>
      </c>
      <c r="F2382" s="27" t="n">
        <v>45750</v>
      </c>
      <c r="G2382" s="27" t="n">
        <v>45749</v>
      </c>
      <c r="H2382" s="27" t="n">
        <v>45749</v>
      </c>
      <c r="I2382" s="27" t="n">
        <v>45736</v>
      </c>
      <c r="J2382" s="27" t="n">
        <v>45742</v>
      </c>
      <c r="K2382" t="inlineStr">
        <is>
          <t>Boleto Bancário</t>
        </is>
      </c>
      <c r="L2382" t="inlineStr">
        <is>
          <t>Custo Mercadoria Vendida</t>
        </is>
      </c>
      <c r="M2382" t="inlineStr">
        <is>
          <t>Insumos - Alimentos</t>
        </is>
      </c>
      <c r="N2382" t="inlineStr">
        <is>
          <t>303227</t>
        </is>
      </c>
      <c r="O2382" t="inlineStr">
        <is>
          <t>Documentação Aprovada</t>
        </is>
      </c>
      <c r="P2382" t="inlineStr">
        <is>
          <t>Aprovado Diretoria</t>
        </is>
      </c>
      <c r="Q2382" t="inlineStr">
        <is>
          <t>Aprovado Caixa</t>
        </is>
      </c>
      <c r="R2382" t="inlineStr">
        <is>
          <t>Pago</t>
        </is>
      </c>
      <c r="S2382" t="n">
        <v>115</v>
      </c>
      <c r="T2382" t="inlineStr">
        <is>
          <t>Love - Shibari - Bradesco</t>
        </is>
      </c>
    </row>
    <row r="2383">
      <c r="A2383" t="n">
        <v>120670</v>
      </c>
      <c r="B2383" t="n">
        <v>128</v>
      </c>
      <c r="C2383" t="inlineStr">
        <is>
          <t>Love Cabaret</t>
        </is>
      </c>
      <c r="D2383" t="inlineStr">
        <is>
          <t>HORTIFRUTIGRANJEIRO RODRIGUES LTDA</t>
        </is>
      </c>
      <c r="E2383" t="n">
        <v>748.3</v>
      </c>
      <c r="F2383" s="27" t="n">
        <v>45752</v>
      </c>
      <c r="G2383" s="27" t="n">
        <v>45749</v>
      </c>
      <c r="H2383" s="27" t="n">
        <v>45749</v>
      </c>
      <c r="I2383" s="27" t="n">
        <v>45737</v>
      </c>
      <c r="J2383" s="27" t="n">
        <v>45742</v>
      </c>
      <c r="K2383" t="inlineStr">
        <is>
          <t>Boleto Bancário</t>
        </is>
      </c>
      <c r="L2383" t="inlineStr">
        <is>
          <t>Custo Mercadoria Vendida</t>
        </is>
      </c>
      <c r="M2383" t="inlineStr">
        <is>
          <t>Insumos - Alimentos</t>
        </is>
      </c>
      <c r="N2383" t="inlineStr">
        <is>
          <t>9272</t>
        </is>
      </c>
      <c r="O2383" t="inlineStr">
        <is>
          <t>Documentação Aprovada</t>
        </is>
      </c>
      <c r="P2383" t="inlineStr">
        <is>
          <t>Aprovado Diretoria</t>
        </is>
      </c>
      <c r="Q2383" t="inlineStr">
        <is>
          <t>Aprovado Caixa</t>
        </is>
      </c>
      <c r="R2383" t="inlineStr">
        <is>
          <t>Pago</t>
        </is>
      </c>
      <c r="S2383" t="n">
        <v>115</v>
      </c>
      <c r="T2383" t="inlineStr">
        <is>
          <t>Love - Shibari - Bradesco</t>
        </is>
      </c>
    </row>
    <row r="2384">
      <c r="A2384" t="n">
        <v>120793</v>
      </c>
      <c r="B2384" t="n">
        <v>128</v>
      </c>
      <c r="C2384" t="inlineStr">
        <is>
          <t>Love Cabaret</t>
        </is>
      </c>
      <c r="D2384" t="inlineStr">
        <is>
          <t xml:space="preserve">SKY COMERCIO DE PRODUTOS ALIMENTICIOS LTDA </t>
        </is>
      </c>
      <c r="E2384" t="n">
        <v>168.84</v>
      </c>
      <c r="F2384" s="27" t="n">
        <v>45750</v>
      </c>
      <c r="G2384" s="27" t="n">
        <v>45749</v>
      </c>
      <c r="H2384" s="27" t="n">
        <v>45749</v>
      </c>
      <c r="I2384" s="27" t="n">
        <v>45740</v>
      </c>
      <c r="J2384" s="27" t="n">
        <v>45742</v>
      </c>
      <c r="K2384" t="inlineStr">
        <is>
          <t>Boleto Bancário</t>
        </is>
      </c>
      <c r="L2384" t="inlineStr">
        <is>
          <t>Custo Mercadoria Vendida</t>
        </is>
      </c>
      <c r="M2384" t="inlineStr">
        <is>
          <t>Insumos - Bebidas</t>
        </is>
      </c>
      <c r="N2384" t="inlineStr">
        <is>
          <t>26853</t>
        </is>
      </c>
      <c r="O2384" t="inlineStr">
        <is>
          <t>Documentação Aprovada</t>
        </is>
      </c>
      <c r="P2384" t="inlineStr">
        <is>
          <t>Aprovado Diretoria</t>
        </is>
      </c>
      <c r="Q2384" t="inlineStr">
        <is>
          <t>Aprovado Caixa</t>
        </is>
      </c>
      <c r="R2384" t="inlineStr">
        <is>
          <t>Pago</t>
        </is>
      </c>
      <c r="S2384" t="n">
        <v>115</v>
      </c>
      <c r="T2384" t="inlineStr">
        <is>
          <t>Love - Shibari - Bradesco</t>
        </is>
      </c>
    </row>
    <row r="2385">
      <c r="A2385" t="n">
        <v>120788</v>
      </c>
      <c r="B2385" t="n">
        <v>128</v>
      </c>
      <c r="C2385" t="inlineStr">
        <is>
          <t>Love Cabaret</t>
        </is>
      </c>
      <c r="D2385" t="inlineStr">
        <is>
          <t>HNK BR IND DE BEBIDAS</t>
        </is>
      </c>
      <c r="E2385" t="n">
        <v>4431.08</v>
      </c>
      <c r="F2385" s="27" t="n">
        <v>45751</v>
      </c>
      <c r="G2385" s="27" t="n">
        <v>45749</v>
      </c>
      <c r="H2385" s="27" t="n">
        <v>45749</v>
      </c>
      <c r="I2385" s="27" t="n">
        <v>45737</v>
      </c>
      <c r="J2385" s="27" t="n">
        <v>45742</v>
      </c>
      <c r="K2385" t="inlineStr">
        <is>
          <t>Boleto Bancário</t>
        </is>
      </c>
      <c r="L2385" t="inlineStr">
        <is>
          <t>Custo Mercadoria Vendida</t>
        </is>
      </c>
      <c r="M2385" t="inlineStr">
        <is>
          <t>Insumos - Bebidas</t>
        </is>
      </c>
      <c r="N2385" t="inlineStr">
        <is>
          <t>218584</t>
        </is>
      </c>
      <c r="O2385" t="inlineStr">
        <is>
          <t>Documentação Aprovada</t>
        </is>
      </c>
      <c r="P2385" t="inlineStr">
        <is>
          <t>Aprovado Diretoria</t>
        </is>
      </c>
      <c r="Q2385" t="inlineStr">
        <is>
          <t>Aprovado Caixa</t>
        </is>
      </c>
      <c r="R2385" t="inlineStr">
        <is>
          <t>Pago</t>
        </is>
      </c>
      <c r="S2385" t="n">
        <v>115</v>
      </c>
      <c r="T2385" t="inlineStr">
        <is>
          <t>Love - Shibari - Bradesco</t>
        </is>
      </c>
    </row>
    <row r="2386">
      <c r="A2386" t="n">
        <v>120781</v>
      </c>
      <c r="B2386" t="n">
        <v>128</v>
      </c>
      <c r="C2386" t="inlineStr">
        <is>
          <t>Love Cabaret</t>
        </is>
      </c>
      <c r="D2386" t="inlineStr">
        <is>
          <t>PSSS LTDA</t>
        </is>
      </c>
      <c r="E2386" t="n">
        <v>503.34</v>
      </c>
      <c r="F2386" s="27" t="n">
        <v>45750</v>
      </c>
      <c r="G2386" s="27" t="n">
        <v>45749</v>
      </c>
      <c r="H2386" s="27" t="n">
        <v>45749</v>
      </c>
      <c r="I2386" s="27" t="n">
        <v>45735</v>
      </c>
      <c r="J2386" s="27" t="n">
        <v>45742</v>
      </c>
      <c r="K2386" t="inlineStr">
        <is>
          <t>Boleto Bancário</t>
        </is>
      </c>
      <c r="L2386" t="inlineStr">
        <is>
          <t>Utilidades</t>
        </is>
      </c>
      <c r="M2386" t="inlineStr">
        <is>
          <t>Higiene e Limpeza</t>
        </is>
      </c>
      <c r="N2386" t="inlineStr">
        <is>
          <t>1314</t>
        </is>
      </c>
      <c r="O2386" t="inlineStr">
        <is>
          <t>Documentação Aprovada</t>
        </is>
      </c>
      <c r="P2386" t="inlineStr">
        <is>
          <t>Aprovado Diretoria</t>
        </is>
      </c>
      <c r="Q2386" t="inlineStr">
        <is>
          <t>Aprovado Caixa</t>
        </is>
      </c>
      <c r="R2386" t="inlineStr">
        <is>
          <t>Pago</t>
        </is>
      </c>
      <c r="S2386" t="n">
        <v>115</v>
      </c>
      <c r="T2386" t="inlineStr">
        <is>
          <t>Love - Shibari - Bradesco</t>
        </is>
      </c>
    </row>
    <row r="2387">
      <c r="A2387" t="n">
        <v>119426</v>
      </c>
      <c r="B2387" t="n">
        <v>128</v>
      </c>
      <c r="C2387" t="inlineStr">
        <is>
          <t>Love Cabaret</t>
        </is>
      </c>
      <c r="D2387" t="inlineStr">
        <is>
          <t>PRESHH ALUGUEL DE MAQUINAS LTDA</t>
        </is>
      </c>
      <c r="E2387" t="n">
        <v>198</v>
      </c>
      <c r="F2387" s="27" t="n">
        <v>45753</v>
      </c>
      <c r="G2387" s="27" t="n">
        <v>45749</v>
      </c>
      <c r="H2387" s="27" t="n">
        <v>45749</v>
      </c>
      <c r="I2387" s="27" t="n">
        <v>45733</v>
      </c>
      <c r="J2387" s="27" t="n">
        <v>45735</v>
      </c>
      <c r="K2387" t="inlineStr">
        <is>
          <t>Boleto Bancário</t>
        </is>
      </c>
      <c r="L2387" t="inlineStr">
        <is>
          <t>Utilidades</t>
        </is>
      </c>
      <c r="M2387" t="inlineStr">
        <is>
          <t>Material de Consumo - Gelo/ Gas CO2/ Carvao /Velas</t>
        </is>
      </c>
      <c r="N2387" t="inlineStr">
        <is>
          <t>T-27139</t>
        </is>
      </c>
      <c r="O2387" t="inlineStr">
        <is>
          <t>Documentação Aprovada</t>
        </is>
      </c>
      <c r="P2387" t="inlineStr">
        <is>
          <t>Aprovado Diretoria</t>
        </is>
      </c>
      <c r="Q2387" t="inlineStr">
        <is>
          <t>Aprovado Caixa</t>
        </is>
      </c>
      <c r="R2387" t="inlineStr">
        <is>
          <t>Pago</t>
        </is>
      </c>
      <c r="S2387" t="n">
        <v>115</v>
      </c>
      <c r="T2387" t="inlineStr">
        <is>
          <t>Love - Shibari - Bradesco</t>
        </is>
      </c>
    </row>
    <row r="2388">
      <c r="A2388" t="n">
        <v>122204</v>
      </c>
      <c r="B2388" t="n">
        <v>128</v>
      </c>
      <c r="C2388" t="inlineStr">
        <is>
          <t>Love Cabaret</t>
        </is>
      </c>
      <c r="D2388" t="inlineStr">
        <is>
          <t>QUATTRO BEBIDAS LTDA</t>
        </is>
      </c>
      <c r="E2388" t="n">
        <v>766.4</v>
      </c>
      <c r="F2388" s="27" t="n">
        <v>45750</v>
      </c>
      <c r="G2388" s="27" t="n">
        <v>45754</v>
      </c>
      <c r="H2388" s="27" t="n">
        <v>45749</v>
      </c>
      <c r="I2388" s="27" t="n">
        <v>45736</v>
      </c>
      <c r="J2388" s="27" t="n">
        <v>45750</v>
      </c>
      <c r="K2388" t="inlineStr">
        <is>
          <t>Boleto Bancário</t>
        </is>
      </c>
      <c r="L2388" t="inlineStr">
        <is>
          <t>Custo Mercadoria Vendida</t>
        </is>
      </c>
      <c r="M2388" t="inlineStr">
        <is>
          <t>Insumos - Bebidas</t>
        </is>
      </c>
      <c r="N2388" t="inlineStr">
        <is>
          <t>5637</t>
        </is>
      </c>
      <c r="O2388" t="inlineStr">
        <is>
          <t>Documentação Aprovada</t>
        </is>
      </c>
      <c r="P2388" t="inlineStr">
        <is>
          <t>Aprovado Diretoria</t>
        </is>
      </c>
      <c r="Q2388" t="inlineStr">
        <is>
          <t>Aprovado Caixa</t>
        </is>
      </c>
      <c r="R2388" t="inlineStr">
        <is>
          <t>Pago</t>
        </is>
      </c>
      <c r="S2388" t="n">
        <v>115</v>
      </c>
      <c r="T2388" t="inlineStr">
        <is>
          <t>Love - Shibari - Bradesco</t>
        </is>
      </c>
    </row>
    <row r="2389">
      <c r="A2389" t="n">
        <v>121616</v>
      </c>
      <c r="B2389" t="n">
        <v>128</v>
      </c>
      <c r="C2389" t="inlineStr">
        <is>
          <t>Love Cabaret</t>
        </is>
      </c>
      <c r="D2389" t="inlineStr">
        <is>
          <t>PARAMU COMERCIO E REPRESENTACAO DE PRODUTOS ALIMENTICIOS</t>
        </is>
      </c>
      <c r="E2389" t="n">
        <v>906.1799999999999</v>
      </c>
      <c r="F2389" s="27" t="n">
        <v>45750</v>
      </c>
      <c r="G2389" s="27" t="n">
        <v>45754</v>
      </c>
      <c r="H2389" s="27" t="n">
        <v>45749</v>
      </c>
      <c r="I2389" s="27" t="n">
        <v>45736</v>
      </c>
      <c r="J2389" s="27" t="n">
        <v>45749</v>
      </c>
      <c r="K2389" t="inlineStr">
        <is>
          <t>Boleto Bancário</t>
        </is>
      </c>
      <c r="L2389" t="inlineStr">
        <is>
          <t>Custo Mercadoria Vendida</t>
        </is>
      </c>
      <c r="M2389" t="inlineStr">
        <is>
          <t>Insumos - Alimentos</t>
        </is>
      </c>
      <c r="N2389" t="inlineStr">
        <is>
          <t>13228</t>
        </is>
      </c>
      <c r="O2389" t="inlineStr">
        <is>
          <t>Documentação Aprovada</t>
        </is>
      </c>
      <c r="P2389" t="inlineStr">
        <is>
          <t>Aprovado Diretoria</t>
        </is>
      </c>
      <c r="Q2389" t="inlineStr">
        <is>
          <t>Aprovado Caixa</t>
        </is>
      </c>
      <c r="R2389" t="inlineStr">
        <is>
          <t>Pago</t>
        </is>
      </c>
      <c r="S2389" t="n">
        <v>115</v>
      </c>
      <c r="T2389" t="inlineStr">
        <is>
          <t>Love - Shibari - Bradesco</t>
        </is>
      </c>
    </row>
    <row r="2390">
      <c r="A2390" t="n">
        <v>121896</v>
      </c>
      <c r="B2390" t="n">
        <v>128</v>
      </c>
      <c r="C2390" t="inlineStr">
        <is>
          <t>Love Cabaret</t>
        </is>
      </c>
      <c r="D2390" t="inlineStr">
        <is>
          <t>CAROLINE FERREIRA DA SILVA</t>
        </is>
      </c>
      <c r="E2390" t="n">
        <v>1248.34</v>
      </c>
      <c r="F2390" s="27" t="n">
        <v>45751</v>
      </c>
      <c r="G2390" s="27" t="n">
        <v>45749</v>
      </c>
      <c r="H2390" s="27" t="n">
        <v>45749</v>
      </c>
      <c r="I2390" s="27" t="n">
        <v>45746</v>
      </c>
      <c r="J2390" s="27" t="n"/>
      <c r="K2390" t="inlineStr">
        <is>
          <t>Transferência Bancária ou Pix</t>
        </is>
      </c>
      <c r="L2390" t="inlineStr">
        <is>
          <t>Mão de Obra - Salários</t>
        </is>
      </c>
      <c r="M2390" t="inlineStr">
        <is>
          <t>MDO CLT - Salário</t>
        </is>
      </c>
      <c r="O2390" t="inlineStr">
        <is>
          <t>Documentação Aprovada</t>
        </is>
      </c>
      <c r="P2390" t="inlineStr">
        <is>
          <t>Aprovado Diretoria</t>
        </is>
      </c>
      <c r="Q2390" t="inlineStr">
        <is>
          <t>Aprovado Caixa</t>
        </is>
      </c>
      <c r="R2390" t="inlineStr">
        <is>
          <t>Pago</t>
        </is>
      </c>
      <c r="S2390" t="n">
        <v>115</v>
      </c>
      <c r="T2390" t="inlineStr">
        <is>
          <t>Love - Shibari - Bradesco</t>
        </is>
      </c>
    </row>
    <row r="2391">
      <c r="A2391" t="n">
        <v>121897</v>
      </c>
      <c r="B2391" t="n">
        <v>128</v>
      </c>
      <c r="C2391" t="inlineStr">
        <is>
          <t>Love Cabaret</t>
        </is>
      </c>
      <c r="D2391" t="inlineStr">
        <is>
          <t>PEDRO THOMAZ RODRIGUES</t>
        </is>
      </c>
      <c r="E2391" t="n">
        <v>696.11</v>
      </c>
      <c r="F2391" s="27" t="n">
        <v>45751</v>
      </c>
      <c r="G2391" s="27" t="n">
        <v>45749</v>
      </c>
      <c r="H2391" s="27" t="n">
        <v>45749</v>
      </c>
      <c r="I2391" s="27" t="n">
        <v>45746</v>
      </c>
      <c r="J2391" s="27" t="n"/>
      <c r="K2391" t="inlineStr">
        <is>
          <t>Transferência Bancária ou Pix</t>
        </is>
      </c>
      <c r="L2391" t="inlineStr">
        <is>
          <t>Mão de Obra - Salários</t>
        </is>
      </c>
      <c r="M2391" t="inlineStr">
        <is>
          <t>MDO CLT - Salário</t>
        </is>
      </c>
      <c r="O2391" t="inlineStr">
        <is>
          <t>Documentação Aprovada</t>
        </is>
      </c>
      <c r="P2391" t="inlineStr">
        <is>
          <t>Aprovado Diretoria</t>
        </is>
      </c>
      <c r="Q2391" t="inlineStr">
        <is>
          <t>Aprovado Caixa</t>
        </is>
      </c>
      <c r="R2391" t="inlineStr">
        <is>
          <t>Pago</t>
        </is>
      </c>
      <c r="S2391" t="n">
        <v>115</v>
      </c>
      <c r="T2391" t="inlineStr">
        <is>
          <t>Love - Shibari - Bradesco</t>
        </is>
      </c>
    </row>
    <row r="2392">
      <c r="A2392" t="n">
        <v>121242</v>
      </c>
      <c r="B2392" t="n">
        <v>128</v>
      </c>
      <c r="C2392" t="inlineStr">
        <is>
          <t>Love Cabaret</t>
        </is>
      </c>
      <c r="D2392" t="inlineStr">
        <is>
          <t>PETTY CASH</t>
        </is>
      </c>
      <c r="E2392" t="n">
        <v>137.79</v>
      </c>
      <c r="F2392" s="27" t="n">
        <v>45747</v>
      </c>
      <c r="G2392" s="27" t="n">
        <v>45751</v>
      </c>
      <c r="H2392" s="27" t="n">
        <v>45747</v>
      </c>
      <c r="I2392" s="27" t="n">
        <v>45717</v>
      </c>
      <c r="J2392" s="27" t="n">
        <v>45747</v>
      </c>
      <c r="K2392" t="inlineStr">
        <is>
          <t>Dinheiro em Espécie</t>
        </is>
      </c>
      <c r="L2392" t="inlineStr">
        <is>
          <t>Custo Mercadoria Vendida</t>
        </is>
      </c>
      <c r="M2392" t="inlineStr">
        <is>
          <t>Insumos - Alimentos</t>
        </is>
      </c>
      <c r="N2392" t="inlineStr">
        <is>
          <t>1PETTY032025</t>
        </is>
      </c>
      <c r="O2392" t="inlineStr">
        <is>
          <t>Documentação Aprovada</t>
        </is>
      </c>
      <c r="P2392" t="inlineStr">
        <is>
          <t>Aprovado Diretoria</t>
        </is>
      </c>
      <c r="Q2392" t="inlineStr">
        <is>
          <t>Aprovado Caixa</t>
        </is>
      </c>
      <c r="R2392" t="inlineStr">
        <is>
          <t>Pago</t>
        </is>
      </c>
      <c r="S2392" t="n">
        <v>120</v>
      </c>
      <c r="T2392" t="inlineStr">
        <is>
          <t>Love - Petty Cash</t>
        </is>
      </c>
    </row>
    <row r="2393">
      <c r="A2393" t="n">
        <v>121245</v>
      </c>
      <c r="B2393" t="n">
        <v>128</v>
      </c>
      <c r="C2393" t="inlineStr">
        <is>
          <t>Love Cabaret</t>
        </is>
      </c>
      <c r="D2393" t="inlineStr">
        <is>
          <t>PETTY CASH</t>
        </is>
      </c>
      <c r="E2393" t="n">
        <v>153.8</v>
      </c>
      <c r="F2393" s="27" t="n">
        <v>45747</v>
      </c>
      <c r="G2393" s="27" t="n">
        <v>45751</v>
      </c>
      <c r="H2393" s="27" t="n">
        <v>45747</v>
      </c>
      <c r="I2393" s="27" t="n">
        <v>45717</v>
      </c>
      <c r="J2393" s="27" t="n">
        <v>45747</v>
      </c>
      <c r="K2393" t="inlineStr">
        <is>
          <t>Dinheiro em Espécie</t>
        </is>
      </c>
      <c r="L2393" t="inlineStr">
        <is>
          <t>Custo Mercadoria Vendida</t>
        </is>
      </c>
      <c r="M2393" t="inlineStr">
        <is>
          <t>Insumos - Bebidas</t>
        </is>
      </c>
      <c r="N2393" t="inlineStr">
        <is>
          <t>2PETTY032025</t>
        </is>
      </c>
      <c r="O2393" t="inlineStr">
        <is>
          <t>Documentação Aprovada</t>
        </is>
      </c>
      <c r="P2393" t="inlineStr">
        <is>
          <t>Aprovado Diretoria</t>
        </is>
      </c>
      <c r="Q2393" t="inlineStr">
        <is>
          <t>Aprovado Caixa</t>
        </is>
      </c>
      <c r="R2393" t="inlineStr">
        <is>
          <t>Pago</t>
        </is>
      </c>
      <c r="S2393" t="n">
        <v>120</v>
      </c>
      <c r="T2393" t="inlineStr">
        <is>
          <t>Love - Petty Cash</t>
        </is>
      </c>
    </row>
    <row r="2394">
      <c r="A2394" t="n">
        <v>121250</v>
      </c>
      <c r="B2394" t="n">
        <v>128</v>
      </c>
      <c r="C2394" t="inlineStr">
        <is>
          <t>Love Cabaret</t>
        </is>
      </c>
      <c r="D2394" t="inlineStr">
        <is>
          <t>PETTY CASH</t>
        </is>
      </c>
      <c r="E2394" t="n">
        <v>233.7</v>
      </c>
      <c r="F2394" s="27" t="n">
        <v>45747</v>
      </c>
      <c r="G2394" s="27" t="n">
        <v>45751</v>
      </c>
      <c r="H2394" s="27" t="n">
        <v>45747</v>
      </c>
      <c r="I2394" s="27" t="n">
        <v>45717</v>
      </c>
      <c r="J2394" s="27" t="n">
        <v>45747</v>
      </c>
      <c r="K2394" t="inlineStr">
        <is>
          <t>Dinheiro em Espécie</t>
        </is>
      </c>
      <c r="L2394" t="inlineStr">
        <is>
          <t>Utilidades</t>
        </is>
      </c>
      <c r="M2394" t="inlineStr">
        <is>
          <t>Serviços Graficos</t>
        </is>
      </c>
      <c r="N2394" t="inlineStr">
        <is>
          <t>5PETTY2025</t>
        </is>
      </c>
      <c r="O2394" t="inlineStr">
        <is>
          <t>Documentação Aprovada</t>
        </is>
      </c>
      <c r="P2394" t="inlineStr">
        <is>
          <t>Aprovado Diretoria</t>
        </is>
      </c>
      <c r="Q2394" t="inlineStr">
        <is>
          <t>Aprovado Caixa</t>
        </is>
      </c>
      <c r="R2394" t="inlineStr">
        <is>
          <t>Pago</t>
        </is>
      </c>
      <c r="S2394" t="n">
        <v>120</v>
      </c>
      <c r="T2394" t="inlineStr">
        <is>
          <t>Love - Petty Cash</t>
        </is>
      </c>
    </row>
    <row r="2395">
      <c r="A2395" t="n">
        <v>121246</v>
      </c>
      <c r="B2395" t="n">
        <v>128</v>
      </c>
      <c r="C2395" t="inlineStr">
        <is>
          <t>Love Cabaret</t>
        </is>
      </c>
      <c r="D2395" t="inlineStr">
        <is>
          <t>PETTY CASH</t>
        </is>
      </c>
      <c r="E2395" t="n">
        <v>38.3</v>
      </c>
      <c r="F2395" s="27" t="n">
        <v>45747</v>
      </c>
      <c r="G2395" s="27" t="n">
        <v>45751</v>
      </c>
      <c r="H2395" s="27" t="n">
        <v>45747</v>
      </c>
      <c r="I2395" s="27" t="n">
        <v>45717</v>
      </c>
      <c r="J2395" s="27" t="n">
        <v>45747</v>
      </c>
      <c r="K2395" t="inlineStr">
        <is>
          <t>Dinheiro em Espécie</t>
        </is>
      </c>
      <c r="L2395" t="inlineStr">
        <is>
          <t>Manutenção</t>
        </is>
      </c>
      <c r="M2395" t="inlineStr">
        <is>
          <t>Material de Manutenção</t>
        </is>
      </c>
      <c r="N2395" t="inlineStr">
        <is>
          <t>3PETTY2025</t>
        </is>
      </c>
      <c r="O2395" t="inlineStr">
        <is>
          <t>Documentação Aprovada</t>
        </is>
      </c>
      <c r="P2395" t="inlineStr">
        <is>
          <t>Aprovado Diretoria</t>
        </is>
      </c>
      <c r="Q2395" t="inlineStr">
        <is>
          <t>Aprovado Caixa</t>
        </is>
      </c>
      <c r="R2395" t="inlineStr">
        <is>
          <t>Pago</t>
        </is>
      </c>
      <c r="S2395" t="n">
        <v>120</v>
      </c>
      <c r="T2395" t="inlineStr">
        <is>
          <t>Love - Petty Cash</t>
        </is>
      </c>
    </row>
    <row r="2396">
      <c r="A2396" t="n">
        <v>121248</v>
      </c>
      <c r="B2396" t="n">
        <v>128</v>
      </c>
      <c r="C2396" t="inlineStr">
        <is>
          <t>Love Cabaret</t>
        </is>
      </c>
      <c r="D2396" t="inlineStr">
        <is>
          <t>PETTY CASH</t>
        </is>
      </c>
      <c r="E2396" t="n">
        <v>49.89</v>
      </c>
      <c r="F2396" s="27" t="n">
        <v>45747</v>
      </c>
      <c r="G2396" s="27" t="n">
        <v>45751</v>
      </c>
      <c r="H2396" s="27" t="n">
        <v>45747</v>
      </c>
      <c r="I2396" s="27" t="n">
        <v>45717</v>
      </c>
      <c r="J2396" s="27" t="n">
        <v>45747</v>
      </c>
      <c r="K2396" t="inlineStr">
        <is>
          <t>Dinheiro em Espécie</t>
        </is>
      </c>
      <c r="L2396" t="inlineStr">
        <is>
          <t>Utilidades</t>
        </is>
      </c>
      <c r="M2396" t="inlineStr">
        <is>
          <t>Material de Escritorio</t>
        </is>
      </c>
      <c r="N2396" t="inlineStr">
        <is>
          <t>4PETTY032025</t>
        </is>
      </c>
      <c r="O2396" t="inlineStr">
        <is>
          <t>Documentação Aprovada</t>
        </is>
      </c>
      <c r="P2396" t="inlineStr">
        <is>
          <t>Aprovado Diretoria</t>
        </is>
      </c>
      <c r="Q2396" t="inlineStr">
        <is>
          <t>Aprovado Caixa</t>
        </is>
      </c>
      <c r="R2396" t="inlineStr">
        <is>
          <t>Pago</t>
        </is>
      </c>
      <c r="S2396" t="n">
        <v>120</v>
      </c>
      <c r="T2396" t="inlineStr">
        <is>
          <t>Love - Petty Cash</t>
        </is>
      </c>
    </row>
    <row r="2397">
      <c r="A2397" t="n">
        <v>121259</v>
      </c>
      <c r="B2397" t="n">
        <v>128</v>
      </c>
      <c r="C2397" t="inlineStr">
        <is>
          <t>Love Cabaret</t>
        </is>
      </c>
      <c r="D2397" t="inlineStr">
        <is>
          <t>PETTY CASH</t>
        </is>
      </c>
      <c r="E2397" t="n">
        <v>188.4</v>
      </c>
      <c r="F2397" s="27" t="n">
        <v>45747</v>
      </c>
      <c r="G2397" s="27" t="n">
        <v>45751</v>
      </c>
      <c r="H2397" s="27" t="n">
        <v>45747</v>
      </c>
      <c r="I2397" s="27" t="n">
        <v>45717</v>
      </c>
      <c r="J2397" s="27" t="n">
        <v>45747</v>
      </c>
      <c r="K2397" t="inlineStr">
        <is>
          <t>Dinheiro em Espécie</t>
        </is>
      </c>
      <c r="L2397" t="inlineStr">
        <is>
          <t>Utilidades</t>
        </is>
      </c>
      <c r="M2397" t="inlineStr">
        <is>
          <t>Utensilios</t>
        </is>
      </c>
      <c r="N2397" t="inlineStr">
        <is>
          <t>6PETTY032025</t>
        </is>
      </c>
      <c r="O2397" t="inlineStr">
        <is>
          <t>Documentação Aprovada</t>
        </is>
      </c>
      <c r="P2397" t="inlineStr">
        <is>
          <t>Aprovado Diretoria</t>
        </is>
      </c>
      <c r="Q2397" t="inlineStr">
        <is>
          <t>Aprovado Caixa</t>
        </is>
      </c>
      <c r="R2397" t="inlineStr">
        <is>
          <t>Pago</t>
        </is>
      </c>
      <c r="S2397" t="n">
        <v>120</v>
      </c>
      <c r="T2397" t="inlineStr">
        <is>
          <t>Love - Petty Cash</t>
        </is>
      </c>
    </row>
    <row r="2398">
      <c r="A2398" t="n">
        <v>118681</v>
      </c>
      <c r="B2398" t="n">
        <v>128</v>
      </c>
      <c r="C2398" t="inlineStr">
        <is>
          <t>Love Cabaret</t>
        </is>
      </c>
      <c r="D2398" t="inlineStr">
        <is>
          <t>FLAVIO RODRIGUES DE MOURA</t>
        </is>
      </c>
      <c r="E2398" t="n">
        <v>500</v>
      </c>
      <c r="F2398" s="27" t="n">
        <v>45748</v>
      </c>
      <c r="G2398" s="27" t="n">
        <v>45747</v>
      </c>
      <c r="H2398" s="27" t="n">
        <v>45747</v>
      </c>
      <c r="I2398" s="27" t="n">
        <v>45733</v>
      </c>
      <c r="J2398" s="27" t="n">
        <v>45733</v>
      </c>
      <c r="K2398" t="inlineStr">
        <is>
          <t>Transferência Bancária ou Pix</t>
        </is>
      </c>
      <c r="L2398" t="inlineStr">
        <is>
          <t>Custos Artístico Geral</t>
        </is>
      </c>
      <c r="M2398" t="inlineStr">
        <is>
          <t>Cachê de Músicos e Artistas</t>
        </is>
      </c>
      <c r="N2398" t="inlineStr">
        <is>
          <t>312025</t>
        </is>
      </c>
      <c r="O2398" t="inlineStr">
        <is>
          <t>Documentação Aprovada</t>
        </is>
      </c>
      <c r="P2398" t="inlineStr">
        <is>
          <t>Aprovado Diretoria</t>
        </is>
      </c>
      <c r="Q2398" t="inlineStr">
        <is>
          <t>Aprovado Caixa</t>
        </is>
      </c>
      <c r="R2398" t="inlineStr">
        <is>
          <t>Pago</t>
        </is>
      </c>
      <c r="S2398" t="n">
        <v>115</v>
      </c>
      <c r="T2398" t="inlineStr">
        <is>
          <t>Love - Shibari - Bradesco</t>
        </is>
      </c>
    </row>
    <row r="2399">
      <c r="A2399" t="n">
        <v>118678</v>
      </c>
      <c r="B2399" t="n">
        <v>128</v>
      </c>
      <c r="C2399" t="inlineStr">
        <is>
          <t>Love Cabaret</t>
        </is>
      </c>
      <c r="D2399" t="inlineStr">
        <is>
          <t xml:space="preserve">AKIRA NAWA CARVALHO LIMA </t>
        </is>
      </c>
      <c r="E2399" t="n">
        <v>3767.2</v>
      </c>
      <c r="F2399" s="27" t="n">
        <v>45748</v>
      </c>
      <c r="G2399" s="27" t="n">
        <v>45747</v>
      </c>
      <c r="H2399" s="27" t="n">
        <v>45747</v>
      </c>
      <c r="I2399" s="27" t="n">
        <v>45733</v>
      </c>
      <c r="J2399" s="27" t="n">
        <v>45733</v>
      </c>
      <c r="K2399" t="inlineStr">
        <is>
          <t>Transferência Bancária ou Pix</t>
        </is>
      </c>
      <c r="L2399" t="inlineStr">
        <is>
          <t>Custos Artístico Geral</t>
        </is>
      </c>
      <c r="M2399" t="inlineStr">
        <is>
          <t>Cachê de Músicos e Artistas</t>
        </is>
      </c>
      <c r="N2399" t="inlineStr">
        <is>
          <t>53</t>
        </is>
      </c>
      <c r="O2399" t="inlineStr">
        <is>
          <t>Documentação Aprovada</t>
        </is>
      </c>
      <c r="P2399" t="inlineStr">
        <is>
          <t>Aprovado Diretoria</t>
        </is>
      </c>
      <c r="Q2399" t="inlineStr">
        <is>
          <t>Aprovado Caixa</t>
        </is>
      </c>
      <c r="R2399" t="inlineStr">
        <is>
          <t>Pago</t>
        </is>
      </c>
      <c r="S2399" t="n">
        <v>115</v>
      </c>
      <c r="T2399" t="inlineStr">
        <is>
          <t>Love - Shibari - Bradesco</t>
        </is>
      </c>
    </row>
    <row r="2400">
      <c r="A2400" t="n">
        <v>118842</v>
      </c>
      <c r="B2400" t="n">
        <v>128</v>
      </c>
      <c r="C2400" t="inlineStr">
        <is>
          <t>Love Cabaret</t>
        </is>
      </c>
      <c r="D2400" t="inlineStr">
        <is>
          <t>VALE TRANSPORTE</t>
        </is>
      </c>
      <c r="E2400" t="n">
        <v>848.33</v>
      </c>
      <c r="F2400" s="27" t="n">
        <v>45747</v>
      </c>
      <c r="G2400" s="27" t="n">
        <v>45747</v>
      </c>
      <c r="H2400" s="27" t="n">
        <v>45747</v>
      </c>
      <c r="I2400" s="27" t="n">
        <v>45717</v>
      </c>
      <c r="J2400" s="27" t="n">
        <v>45733</v>
      </c>
      <c r="K2400" t="inlineStr">
        <is>
          <t>Boleto Bancário</t>
        </is>
      </c>
      <c r="L2400" t="inlineStr">
        <is>
          <t>Mão de Obra - Benefícios</t>
        </is>
      </c>
      <c r="M2400" t="inlineStr">
        <is>
          <t xml:space="preserve">  -  Vale-transporte</t>
        </is>
      </c>
      <c r="N2400" t="inlineStr">
        <is>
          <t>215379517</t>
        </is>
      </c>
      <c r="O2400" t="inlineStr">
        <is>
          <t>Documentação Aprovada</t>
        </is>
      </c>
      <c r="P2400" t="inlineStr">
        <is>
          <t>Aprovado Diretoria</t>
        </is>
      </c>
      <c r="Q2400" t="inlineStr">
        <is>
          <t>Aprovado Caixa</t>
        </is>
      </c>
      <c r="R2400" t="inlineStr">
        <is>
          <t>Pago</t>
        </is>
      </c>
      <c r="S2400" t="n">
        <v>115</v>
      </c>
      <c r="T2400" t="inlineStr">
        <is>
          <t>Love - Shibari - Bradesco</t>
        </is>
      </c>
    </row>
    <row r="2401">
      <c r="A2401" t="n">
        <v>118326</v>
      </c>
      <c r="B2401" t="n">
        <v>128</v>
      </c>
      <c r="C2401" t="inlineStr">
        <is>
          <t>Love Cabaret</t>
        </is>
      </c>
      <c r="D2401" t="inlineStr">
        <is>
          <t>DTK COMERCIO DE ALIMENTOS LTDA</t>
        </is>
      </c>
      <c r="E2401" t="n">
        <v>409.21</v>
      </c>
      <c r="F2401" s="27" t="n">
        <v>45747</v>
      </c>
      <c r="G2401" s="27" t="n">
        <v>45747</v>
      </c>
      <c r="H2401" s="27" t="n">
        <v>45747</v>
      </c>
      <c r="I2401" s="27" t="n">
        <v>45726</v>
      </c>
      <c r="J2401" s="27" t="n">
        <v>45729</v>
      </c>
      <c r="K2401" t="inlineStr">
        <is>
          <t>Boleto Bancário</t>
        </is>
      </c>
      <c r="L2401" t="inlineStr">
        <is>
          <t>Custo Mercadoria Vendida</t>
        </is>
      </c>
      <c r="M2401" t="inlineStr">
        <is>
          <t>Insumos - Alimentos</t>
        </is>
      </c>
      <c r="N2401" t="inlineStr">
        <is>
          <t>25310</t>
        </is>
      </c>
      <c r="O2401" t="inlineStr">
        <is>
          <t>Documentação Aprovada</t>
        </is>
      </c>
      <c r="P2401" t="inlineStr">
        <is>
          <t>Aprovado Diretoria</t>
        </is>
      </c>
      <c r="Q2401" t="inlineStr">
        <is>
          <t>Aprovado Caixa</t>
        </is>
      </c>
      <c r="R2401" t="inlineStr">
        <is>
          <t>Pago</t>
        </is>
      </c>
      <c r="S2401" t="n">
        <v>115</v>
      </c>
      <c r="T2401" t="inlineStr">
        <is>
          <t>Love - Shibari - Bradesco</t>
        </is>
      </c>
    </row>
    <row r="2402">
      <c r="A2402" t="n">
        <v>118330</v>
      </c>
      <c r="B2402" t="n">
        <v>128</v>
      </c>
      <c r="C2402" t="inlineStr">
        <is>
          <t>Love Cabaret</t>
        </is>
      </c>
      <c r="D2402" t="inlineStr">
        <is>
          <t>CG FOOD´S DISTRIBUIDORA DE ALIMENTOS LTDA</t>
        </is>
      </c>
      <c r="E2402" t="n">
        <v>353.2</v>
      </c>
      <c r="F2402" s="27" t="n">
        <v>45747</v>
      </c>
      <c r="G2402" s="27" t="n">
        <v>45747</v>
      </c>
      <c r="H2402" s="27" t="n">
        <v>45747</v>
      </c>
      <c r="I2402" s="27" t="n">
        <v>45726</v>
      </c>
      <c r="J2402" s="27" t="n">
        <v>45729</v>
      </c>
      <c r="K2402" t="inlineStr">
        <is>
          <t>Boleto Bancário</t>
        </is>
      </c>
      <c r="L2402" t="inlineStr">
        <is>
          <t>Custo Mercadoria Vendida</t>
        </is>
      </c>
      <c r="M2402" t="inlineStr">
        <is>
          <t>Insumos - Alimentos</t>
        </is>
      </c>
      <c r="N2402" t="inlineStr">
        <is>
          <t>144460</t>
        </is>
      </c>
      <c r="O2402" t="inlineStr">
        <is>
          <t>Documentação Aprovada</t>
        </is>
      </c>
      <c r="P2402" t="inlineStr">
        <is>
          <t>Aprovado Diretoria</t>
        </is>
      </c>
      <c r="Q2402" t="inlineStr">
        <is>
          <t>Aprovado Caixa</t>
        </is>
      </c>
      <c r="R2402" t="inlineStr">
        <is>
          <t>Pago</t>
        </is>
      </c>
      <c r="S2402" t="n">
        <v>115</v>
      </c>
      <c r="T2402" t="inlineStr">
        <is>
          <t>Love - Shibari - Bradesco</t>
        </is>
      </c>
    </row>
    <row r="2403">
      <c r="A2403" t="n">
        <v>116647</v>
      </c>
      <c r="B2403" t="n">
        <v>128</v>
      </c>
      <c r="C2403" t="inlineStr">
        <is>
          <t>Love Cabaret</t>
        </is>
      </c>
      <c r="D2403" t="inlineStr">
        <is>
          <t xml:space="preserve">LUCAS KENZO YOKOTOBI NAGAO </t>
        </is>
      </c>
      <c r="E2403" t="n">
        <v>525</v>
      </c>
      <c r="F2403" s="27" t="n">
        <v>45747</v>
      </c>
      <c r="G2403" s="27" t="n">
        <v>45747</v>
      </c>
      <c r="H2403" s="27" t="n">
        <v>45747</v>
      </c>
      <c r="I2403" s="27" t="n">
        <v>45716</v>
      </c>
      <c r="J2403" s="27" t="n">
        <v>45725</v>
      </c>
      <c r="K2403" t="inlineStr">
        <is>
          <t>Transferência Bancária ou Pix</t>
        </is>
      </c>
      <c r="L2403" t="inlineStr">
        <is>
          <t>Custos Artístico Geral</t>
        </is>
      </c>
      <c r="M2403" t="inlineStr">
        <is>
          <t>Técnico de Som / Luz</t>
        </is>
      </c>
      <c r="N2403" t="inlineStr">
        <is>
          <t>10</t>
        </is>
      </c>
      <c r="O2403" t="inlineStr">
        <is>
          <t>Documentação Aprovada</t>
        </is>
      </c>
      <c r="P2403" t="inlineStr">
        <is>
          <t>Aprovado Diretoria</t>
        </is>
      </c>
      <c r="Q2403" t="inlineStr">
        <is>
          <t>Aprovado Caixa</t>
        </is>
      </c>
      <c r="R2403" t="inlineStr">
        <is>
          <t>Pago</t>
        </is>
      </c>
      <c r="S2403" t="n">
        <v>115</v>
      </c>
      <c r="T2403" t="inlineStr">
        <is>
          <t>Love - Shibari - Bradesco</t>
        </is>
      </c>
    </row>
    <row r="2404">
      <c r="A2404" t="n">
        <v>119869</v>
      </c>
      <c r="B2404" t="n">
        <v>128</v>
      </c>
      <c r="C2404" t="inlineStr">
        <is>
          <t>Love Cabaret</t>
        </is>
      </c>
      <c r="D2404" t="inlineStr">
        <is>
          <t>NOVA COMERCIAL DO PEIXE LTDA</t>
        </is>
      </c>
      <c r="E2404" t="n">
        <v>588</v>
      </c>
      <c r="F2404" s="27" t="n">
        <v>45747</v>
      </c>
      <c r="G2404" s="27" t="n">
        <v>45747</v>
      </c>
      <c r="H2404" s="27" t="n">
        <v>45747</v>
      </c>
      <c r="I2404" s="27" t="n">
        <v>45733</v>
      </c>
      <c r="J2404" s="27" t="n">
        <v>45736</v>
      </c>
      <c r="K2404" t="inlineStr">
        <is>
          <t>Boleto Bancário</t>
        </is>
      </c>
      <c r="L2404" t="inlineStr">
        <is>
          <t>Custo Mercadoria Vendida</t>
        </is>
      </c>
      <c r="M2404" t="inlineStr">
        <is>
          <t>Insumos - Alimentos</t>
        </is>
      </c>
      <c r="N2404" t="inlineStr">
        <is>
          <t>23318</t>
        </is>
      </c>
      <c r="O2404" t="inlineStr">
        <is>
          <t>Documentação Aprovada</t>
        </is>
      </c>
      <c r="P2404" t="inlineStr">
        <is>
          <t>Aprovado Diretoria</t>
        </is>
      </c>
      <c r="Q2404" t="inlineStr">
        <is>
          <t>Aprovado Caixa</t>
        </is>
      </c>
      <c r="R2404" t="inlineStr">
        <is>
          <t>Pago</t>
        </is>
      </c>
      <c r="S2404" t="n">
        <v>115</v>
      </c>
      <c r="T2404" t="inlineStr">
        <is>
          <t>Love - Shibari - Bradesco</t>
        </is>
      </c>
    </row>
    <row r="2405">
      <c r="A2405" t="n">
        <v>120208</v>
      </c>
      <c r="B2405" t="n">
        <v>128</v>
      </c>
      <c r="C2405" t="inlineStr">
        <is>
          <t>Love Cabaret</t>
        </is>
      </c>
      <c r="D2405" t="inlineStr">
        <is>
          <t>LEANDRO DE OLIVEIRA MADEIRO</t>
        </is>
      </c>
      <c r="E2405" t="n">
        <v>377.42</v>
      </c>
      <c r="F2405" s="27" t="n">
        <v>45747</v>
      </c>
      <c r="G2405" s="27" t="n">
        <v>45747</v>
      </c>
      <c r="H2405" s="27" t="n">
        <v>45747</v>
      </c>
      <c r="I2405" s="27" t="n">
        <v>45737</v>
      </c>
      <c r="J2405" s="27" t="n">
        <v>45737</v>
      </c>
      <c r="K2405" t="inlineStr">
        <is>
          <t>Transferência Bancária ou Pix</t>
        </is>
      </c>
      <c r="L2405" t="inlineStr">
        <is>
          <t>Deduções sobre Venda</t>
        </is>
      </c>
      <c r="M2405" t="inlineStr">
        <is>
          <t>Outros D</t>
        </is>
      </c>
      <c r="N2405" t="inlineStr">
        <is>
          <t>332025</t>
        </is>
      </c>
      <c r="O2405" t="inlineStr">
        <is>
          <t>Documentação Aprovada</t>
        </is>
      </c>
      <c r="P2405" t="inlineStr">
        <is>
          <t>Aprovado Diretoria</t>
        </is>
      </c>
      <c r="Q2405" t="inlineStr">
        <is>
          <t>Aprovado Caixa</t>
        </is>
      </c>
      <c r="R2405" t="inlineStr">
        <is>
          <t>Pago</t>
        </is>
      </c>
      <c r="S2405" t="n">
        <v>115</v>
      </c>
      <c r="T2405" t="inlineStr">
        <is>
          <t>Love - Shibari - Bradesco</t>
        </is>
      </c>
    </row>
    <row r="2406">
      <c r="A2406" t="n">
        <v>119868</v>
      </c>
      <c r="B2406" t="n">
        <v>128</v>
      </c>
      <c r="C2406" t="inlineStr">
        <is>
          <t>Love Cabaret</t>
        </is>
      </c>
      <c r="D2406" t="inlineStr">
        <is>
          <t>PIRAMIDES COMERCIO DE AGUAS MINEIRAIS E BEBIDAS EM GERAL LTDA</t>
        </is>
      </c>
      <c r="E2406" t="n">
        <v>438.34</v>
      </c>
      <c r="F2406" s="27" t="n">
        <v>45747</v>
      </c>
      <c r="G2406" s="27" t="n">
        <v>45747</v>
      </c>
      <c r="H2406" s="27" t="n">
        <v>45747</v>
      </c>
      <c r="I2406" s="27" t="n">
        <v>45733</v>
      </c>
      <c r="J2406" s="27" t="n">
        <v>45736</v>
      </c>
      <c r="K2406" t="inlineStr">
        <is>
          <t>Boleto Bancário</t>
        </is>
      </c>
      <c r="L2406" t="inlineStr">
        <is>
          <t>Custo Mercadoria Vendida</t>
        </is>
      </c>
      <c r="M2406" t="inlineStr">
        <is>
          <t>Insumos - Bebidas</t>
        </is>
      </c>
      <c r="N2406" t="inlineStr">
        <is>
          <t>88084</t>
        </is>
      </c>
      <c r="O2406" t="inlineStr">
        <is>
          <t>Documentação Aprovada</t>
        </is>
      </c>
      <c r="P2406" t="inlineStr">
        <is>
          <t>Aprovado Diretoria</t>
        </is>
      </c>
      <c r="Q2406" t="inlineStr">
        <is>
          <t>Aprovado Caixa</t>
        </is>
      </c>
      <c r="R2406" t="inlineStr">
        <is>
          <t>Pago</t>
        </is>
      </c>
      <c r="S2406" t="n">
        <v>115</v>
      </c>
      <c r="T2406" t="inlineStr">
        <is>
          <t>Love - Shibari - Bradesco</t>
        </is>
      </c>
    </row>
    <row r="2407">
      <c r="A2407" t="n">
        <v>119815</v>
      </c>
      <c r="B2407" t="n">
        <v>128</v>
      </c>
      <c r="C2407" t="inlineStr">
        <is>
          <t>Love Cabaret</t>
        </is>
      </c>
      <c r="D2407" t="inlineStr">
        <is>
          <t>HORTIFRUTIGRANJEIRO RODRIGUES LTDA</t>
        </is>
      </c>
      <c r="E2407" t="n">
        <v>367.28</v>
      </c>
      <c r="F2407" s="27" t="n">
        <v>45749</v>
      </c>
      <c r="G2407" s="27" t="n">
        <v>45747</v>
      </c>
      <c r="H2407" s="27" t="n">
        <v>45747</v>
      </c>
      <c r="I2407" s="27" t="n">
        <v>45734</v>
      </c>
      <c r="J2407" s="27" t="n">
        <v>45736</v>
      </c>
      <c r="K2407" t="inlineStr">
        <is>
          <t>Boleto Bancário</t>
        </is>
      </c>
      <c r="L2407" t="inlineStr">
        <is>
          <t>Custo Mercadoria Vendida</t>
        </is>
      </c>
      <c r="M2407" t="inlineStr">
        <is>
          <t>Insumos - Alimentos</t>
        </is>
      </c>
      <c r="N2407" t="inlineStr">
        <is>
          <t>9181</t>
        </is>
      </c>
      <c r="O2407" t="inlineStr">
        <is>
          <t>Documentação Aprovada</t>
        </is>
      </c>
      <c r="P2407" t="inlineStr">
        <is>
          <t>Aprovado Diretoria</t>
        </is>
      </c>
      <c r="Q2407" t="inlineStr">
        <is>
          <t>Aprovado Caixa</t>
        </is>
      </c>
      <c r="R2407" t="inlineStr">
        <is>
          <t>Pago</t>
        </is>
      </c>
      <c r="S2407" t="n">
        <v>115</v>
      </c>
      <c r="T2407" t="inlineStr">
        <is>
          <t>Love - Shibari - Bradesco</t>
        </is>
      </c>
    </row>
    <row r="2408">
      <c r="A2408" t="n">
        <v>119875</v>
      </c>
      <c r="B2408" t="n">
        <v>128</v>
      </c>
      <c r="C2408" t="inlineStr">
        <is>
          <t>Love Cabaret</t>
        </is>
      </c>
      <c r="D2408" t="inlineStr">
        <is>
          <t xml:space="preserve">FORTE ALIMENTOS COM. IMPORTAÇÃO LTDA </t>
        </is>
      </c>
      <c r="E2408" t="n">
        <v>459.08</v>
      </c>
      <c r="F2408" s="27" t="n">
        <v>45748</v>
      </c>
      <c r="G2408" s="27" t="n">
        <v>45747</v>
      </c>
      <c r="H2408" s="27" t="n">
        <v>45747</v>
      </c>
      <c r="I2408" s="27" t="n">
        <v>45733</v>
      </c>
      <c r="J2408" s="27" t="n">
        <v>45736</v>
      </c>
      <c r="K2408" t="inlineStr">
        <is>
          <t>Boleto Bancário</t>
        </is>
      </c>
      <c r="L2408" t="inlineStr">
        <is>
          <t>Custo Mercadoria Vendida</t>
        </is>
      </c>
      <c r="M2408" t="inlineStr">
        <is>
          <t>Insumos - Alimentos</t>
        </is>
      </c>
      <c r="N2408" t="inlineStr">
        <is>
          <t>302595</t>
        </is>
      </c>
      <c r="O2408" t="inlineStr">
        <is>
          <t>Documentação Aprovada</t>
        </is>
      </c>
      <c r="P2408" t="inlineStr">
        <is>
          <t>Aprovado Diretoria</t>
        </is>
      </c>
      <c r="Q2408" t="inlineStr">
        <is>
          <t>Aprovado Caixa</t>
        </is>
      </c>
      <c r="R2408" t="inlineStr">
        <is>
          <t>Pago</t>
        </is>
      </c>
      <c r="S2408" t="n">
        <v>115</v>
      </c>
      <c r="T2408" t="inlineStr">
        <is>
          <t>Love - Shibari - Bradesco</t>
        </is>
      </c>
    </row>
    <row r="2409">
      <c r="A2409" t="n">
        <v>119882</v>
      </c>
      <c r="B2409" t="n">
        <v>128</v>
      </c>
      <c r="C2409" t="inlineStr">
        <is>
          <t>Love Cabaret</t>
        </is>
      </c>
      <c r="D2409" t="inlineStr">
        <is>
          <t>DTK COMERCIO DE ALIMENTOS LTDA</t>
        </is>
      </c>
      <c r="E2409" t="n">
        <v>288.25</v>
      </c>
      <c r="F2409" s="27" t="n">
        <v>45748</v>
      </c>
      <c r="G2409" s="27" t="n">
        <v>45747</v>
      </c>
      <c r="H2409" s="27" t="n">
        <v>45747</v>
      </c>
      <c r="I2409" s="27" t="n">
        <v>45734</v>
      </c>
      <c r="J2409" s="27" t="n">
        <v>45736</v>
      </c>
      <c r="K2409" t="inlineStr">
        <is>
          <t>Boleto Bancário</t>
        </is>
      </c>
      <c r="L2409" t="inlineStr">
        <is>
          <t>Custo Mercadoria Vendida</t>
        </is>
      </c>
      <c r="M2409" t="inlineStr">
        <is>
          <t>Insumos - Alimentos</t>
        </is>
      </c>
      <c r="N2409" t="inlineStr">
        <is>
          <t>25908</t>
        </is>
      </c>
      <c r="O2409" t="inlineStr">
        <is>
          <t>Documentação Aprovada</t>
        </is>
      </c>
      <c r="P2409" t="inlineStr">
        <is>
          <t>Aprovado Diretoria</t>
        </is>
      </c>
      <c r="Q2409" t="inlineStr">
        <is>
          <t>Aprovado Caixa</t>
        </is>
      </c>
      <c r="R2409" t="inlineStr">
        <is>
          <t>Pago</t>
        </is>
      </c>
      <c r="S2409" t="n">
        <v>115</v>
      </c>
      <c r="T2409" t="inlineStr">
        <is>
          <t>Love - Shibari - Bradesco</t>
        </is>
      </c>
    </row>
    <row r="2410">
      <c r="A2410" t="n">
        <v>119879</v>
      </c>
      <c r="B2410" t="n">
        <v>128</v>
      </c>
      <c r="C2410" t="inlineStr">
        <is>
          <t>Love Cabaret</t>
        </is>
      </c>
      <c r="D2410" t="inlineStr">
        <is>
          <t>EDUARDO JOSE DA SILVA DISTRIBUIÇÃO DE PRODUTOS ALIMENTICIOS</t>
        </is>
      </c>
      <c r="E2410" t="n">
        <v>415.95</v>
      </c>
      <c r="F2410" s="27" t="n">
        <v>45747</v>
      </c>
      <c r="G2410" s="27" t="n">
        <v>45747</v>
      </c>
      <c r="H2410" s="27" t="n">
        <v>45747</v>
      </c>
      <c r="I2410" s="27" t="n">
        <v>45733</v>
      </c>
      <c r="J2410" s="27" t="n">
        <v>45736</v>
      </c>
      <c r="K2410" t="inlineStr">
        <is>
          <t>Boleto Bancário</t>
        </is>
      </c>
      <c r="L2410" t="inlineStr">
        <is>
          <t>Custo Mercadoria Vendida</t>
        </is>
      </c>
      <c r="M2410" t="inlineStr">
        <is>
          <t>Insumos - Alimentos</t>
        </is>
      </c>
      <c r="N2410" t="inlineStr">
        <is>
          <t>133910</t>
        </is>
      </c>
      <c r="O2410" t="inlineStr">
        <is>
          <t>Documentação Aprovada</t>
        </is>
      </c>
      <c r="P2410" t="inlineStr">
        <is>
          <t>Aprovado Diretoria</t>
        </is>
      </c>
      <c r="Q2410" t="inlineStr">
        <is>
          <t>Aprovado Caixa</t>
        </is>
      </c>
      <c r="R2410" t="inlineStr">
        <is>
          <t>Pago</t>
        </is>
      </c>
      <c r="S2410" t="n">
        <v>115</v>
      </c>
      <c r="T2410" t="inlineStr">
        <is>
          <t>Love - Shibari - Bradesco</t>
        </is>
      </c>
    </row>
    <row r="2411">
      <c r="A2411" t="n">
        <v>119880</v>
      </c>
      <c r="B2411" t="n">
        <v>128</v>
      </c>
      <c r="C2411" t="inlineStr">
        <is>
          <t>Love Cabaret</t>
        </is>
      </c>
      <c r="D2411" t="inlineStr">
        <is>
          <t>PARAMU COMERCIO E REPRESENTACAO DE PRODUTOS ALIMENTICIOS</t>
        </is>
      </c>
      <c r="E2411" t="n">
        <v>768.87</v>
      </c>
      <c r="F2411" s="27" t="n">
        <v>45747</v>
      </c>
      <c r="G2411" s="27" t="n">
        <v>45747</v>
      </c>
      <c r="H2411" s="27" t="n">
        <v>45747</v>
      </c>
      <c r="I2411" s="27" t="n">
        <v>45733</v>
      </c>
      <c r="J2411" s="27" t="n">
        <v>45736</v>
      </c>
      <c r="K2411" t="inlineStr">
        <is>
          <t>Boleto Bancário</t>
        </is>
      </c>
      <c r="L2411" t="inlineStr">
        <is>
          <t>Custo Mercadoria Vendida</t>
        </is>
      </c>
      <c r="M2411" t="inlineStr">
        <is>
          <t>Insumos - Alimentos</t>
        </is>
      </c>
      <c r="N2411" t="inlineStr">
        <is>
          <t>13171</t>
        </is>
      </c>
      <c r="O2411" t="inlineStr">
        <is>
          <t>Documentação Aprovada</t>
        </is>
      </c>
      <c r="P2411" t="inlineStr">
        <is>
          <t>Aprovado Diretoria</t>
        </is>
      </c>
      <c r="Q2411" t="inlineStr">
        <is>
          <t>Aprovado Caixa</t>
        </is>
      </c>
      <c r="R2411" t="inlineStr">
        <is>
          <t>Pago</t>
        </is>
      </c>
      <c r="S2411" t="n">
        <v>115</v>
      </c>
      <c r="T2411" t="inlineStr">
        <is>
          <t>Love - Shibari - Bradesco</t>
        </is>
      </c>
    </row>
    <row r="2412">
      <c r="A2412" t="n">
        <v>119828</v>
      </c>
      <c r="B2412" t="n">
        <v>128</v>
      </c>
      <c r="C2412" t="inlineStr">
        <is>
          <t>Love Cabaret</t>
        </is>
      </c>
      <c r="D2412" t="inlineStr">
        <is>
          <t>J A DOS SANTOS HORTIFRUTI</t>
        </is>
      </c>
      <c r="E2412" t="n">
        <v>153</v>
      </c>
      <c r="F2412" s="27" t="n">
        <v>45748</v>
      </c>
      <c r="G2412" s="27" t="n">
        <v>45747</v>
      </c>
      <c r="H2412" s="27" t="n">
        <v>45747</v>
      </c>
      <c r="I2412" s="27" t="n">
        <v>45733</v>
      </c>
      <c r="J2412" s="27" t="n">
        <v>45736</v>
      </c>
      <c r="K2412" t="inlineStr">
        <is>
          <t>Boleto Bancário</t>
        </is>
      </c>
      <c r="L2412" t="inlineStr">
        <is>
          <t>Custo Mercadoria Vendida</t>
        </is>
      </c>
      <c r="M2412" t="inlineStr">
        <is>
          <t>Insumos - Alimentos</t>
        </is>
      </c>
      <c r="N2412" t="inlineStr">
        <is>
          <t>36555</t>
        </is>
      </c>
      <c r="O2412" t="inlineStr">
        <is>
          <t>Documentação Aprovada</t>
        </is>
      </c>
      <c r="P2412" t="inlineStr">
        <is>
          <t>Aprovado Diretoria</t>
        </is>
      </c>
      <c r="Q2412" t="inlineStr">
        <is>
          <t>Aprovado Caixa</t>
        </is>
      </c>
      <c r="R2412" t="inlineStr">
        <is>
          <t>Pago</t>
        </is>
      </c>
      <c r="S2412" t="n">
        <v>115</v>
      </c>
      <c r="T2412" t="inlineStr">
        <is>
          <t>Love - Shibari - Bradesco</t>
        </is>
      </c>
    </row>
    <row r="2413">
      <c r="A2413" t="n">
        <v>97376</v>
      </c>
      <c r="B2413" t="n">
        <v>128</v>
      </c>
      <c r="C2413" t="inlineStr">
        <is>
          <t>Love Cabaret</t>
        </is>
      </c>
      <c r="D2413" t="inlineStr">
        <is>
          <t>EBM ADVOGADOS - MATECKI SOCIEDADE INDIVIDUAL DE ADVOCACIA</t>
        </is>
      </c>
      <c r="E2413" t="n">
        <v>2500</v>
      </c>
      <c r="F2413" s="27" t="n">
        <v>45747</v>
      </c>
      <c r="G2413" s="27" t="n">
        <v>45747</v>
      </c>
      <c r="H2413" s="27" t="n">
        <v>45747</v>
      </c>
      <c r="I2413" s="27" t="n">
        <v>45731</v>
      </c>
      <c r="J2413" s="27" t="n"/>
      <c r="K2413" t="inlineStr">
        <is>
          <t>Transferência Bancária ou Pix</t>
        </is>
      </c>
      <c r="L2413" t="inlineStr">
        <is>
          <t>Serviços de Terceiros</t>
        </is>
      </c>
      <c r="M2413" t="inlineStr">
        <is>
          <t>Assessoria Jurídica</t>
        </is>
      </c>
      <c r="N2413" t="inlineStr">
        <is>
          <t>302025</t>
        </is>
      </c>
      <c r="O2413" t="inlineStr">
        <is>
          <t>Documentação Aprovada</t>
        </is>
      </c>
      <c r="P2413" t="inlineStr">
        <is>
          <t>Aprovado Diretoria</t>
        </is>
      </c>
      <c r="Q2413" t="inlineStr">
        <is>
          <t>Aprovado Caixa</t>
        </is>
      </c>
      <c r="R2413" t="inlineStr">
        <is>
          <t>Pago</t>
        </is>
      </c>
      <c r="S2413" t="n">
        <v>115</v>
      </c>
      <c r="T2413" t="inlineStr">
        <is>
          <t>Love - Shibari - Bradesco</t>
        </is>
      </c>
    </row>
    <row r="2414">
      <c r="A2414" t="n">
        <v>102805</v>
      </c>
      <c r="B2414" t="n">
        <v>128</v>
      </c>
      <c r="C2414" t="inlineStr">
        <is>
          <t>Love Cabaret</t>
        </is>
      </c>
      <c r="D2414" t="inlineStr">
        <is>
          <t>FREE SOM - LOCACAO DE SOM E  LUZ LTDA - TUKASON</t>
        </is>
      </c>
      <c r="E2414" t="n">
        <v>6000</v>
      </c>
      <c r="F2414" s="27" t="n">
        <v>45747</v>
      </c>
      <c r="G2414" s="27" t="n">
        <v>45747</v>
      </c>
      <c r="H2414" s="27" t="n">
        <v>45747</v>
      </c>
      <c r="I2414" s="27" t="n">
        <v>45729</v>
      </c>
      <c r="J2414" s="27" t="n"/>
      <c r="K2414" t="inlineStr">
        <is>
          <t>Boleto Bancário</t>
        </is>
      </c>
      <c r="L2414" t="inlineStr">
        <is>
          <t>Custos Artístico Geral</t>
        </is>
      </c>
      <c r="M2414" t="inlineStr">
        <is>
          <t>Locação de Equipamentos Fixo</t>
        </is>
      </c>
      <c r="N2414" t="inlineStr">
        <is>
          <t>492</t>
        </is>
      </c>
      <c r="O2414" t="inlineStr">
        <is>
          <t>Documentação Aprovada</t>
        </is>
      </c>
      <c r="P2414" t="inlineStr">
        <is>
          <t>Aprovado Diretoria</t>
        </is>
      </c>
      <c r="Q2414" t="inlineStr">
        <is>
          <t>Aprovado Caixa</t>
        </is>
      </c>
      <c r="R2414" t="inlineStr">
        <is>
          <t>Pago</t>
        </is>
      </c>
      <c r="S2414" t="n">
        <v>115</v>
      </c>
      <c r="T2414" t="inlineStr">
        <is>
          <t>Love - Shibari - Bradesco</t>
        </is>
      </c>
    </row>
    <row r="2415">
      <c r="A2415" t="n">
        <v>106675</v>
      </c>
      <c r="B2415" t="n">
        <v>128</v>
      </c>
      <c r="C2415" t="inlineStr">
        <is>
          <t>Love Cabaret</t>
        </is>
      </c>
      <c r="D2415" t="inlineStr">
        <is>
          <t>AURORA ALVORADA ESTACIONAMENTO E LANCHONETE LTDA</t>
        </is>
      </c>
      <c r="E2415" t="n">
        <v>226.21</v>
      </c>
      <c r="F2415" s="27" t="n">
        <v>45747</v>
      </c>
      <c r="G2415" s="27" t="n">
        <v>45747</v>
      </c>
      <c r="H2415" s="27" t="n">
        <v>45747</v>
      </c>
      <c r="I2415" s="27" t="n">
        <v>45740</v>
      </c>
      <c r="J2415" s="27" t="n"/>
      <c r="K2415" t="inlineStr">
        <is>
          <t>Boleto Bancário</t>
        </is>
      </c>
      <c r="L2415" t="inlineStr">
        <is>
          <t>Custo Mercadoria Vendida</t>
        </is>
      </c>
      <c r="M2415" t="inlineStr">
        <is>
          <t>Insumos - Alimentos</t>
        </is>
      </c>
      <c r="N2415" t="inlineStr">
        <is>
          <t>10411</t>
        </is>
      </c>
      <c r="O2415" t="inlineStr">
        <is>
          <t>Documentação Aprovada</t>
        </is>
      </c>
      <c r="P2415" t="inlineStr">
        <is>
          <t>Aprovado Diretoria</t>
        </is>
      </c>
      <c r="Q2415" t="inlineStr">
        <is>
          <t>Aprovado Caixa</t>
        </is>
      </c>
      <c r="R2415" t="inlineStr">
        <is>
          <t>Pago</t>
        </is>
      </c>
      <c r="S2415" t="n">
        <v>115</v>
      </c>
      <c r="T2415" t="inlineStr">
        <is>
          <t>Love - Shibari - Bradesco</t>
        </is>
      </c>
    </row>
    <row r="2416">
      <c r="A2416" t="n">
        <v>96050</v>
      </c>
      <c r="B2416" t="n">
        <v>128</v>
      </c>
      <c r="C2416" t="inlineStr">
        <is>
          <t>Love Cabaret</t>
        </is>
      </c>
      <c r="D2416" t="inlineStr">
        <is>
          <t>ISS</t>
        </is>
      </c>
      <c r="E2416" t="n">
        <v>1859.17</v>
      </c>
      <c r="F2416" s="27" t="n">
        <v>45747</v>
      </c>
      <c r="G2416" s="27" t="n">
        <v>45747</v>
      </c>
      <c r="H2416" s="27" t="n">
        <v>45747</v>
      </c>
      <c r="I2416" s="27" t="n">
        <v>45716</v>
      </c>
      <c r="J2416" s="27" t="n"/>
      <c r="K2416" t="inlineStr">
        <is>
          <t>Boleto Bancário</t>
        </is>
      </c>
      <c r="L2416" t="inlineStr">
        <is>
          <t>Endividamento</t>
        </is>
      </c>
      <c r="M2416" t="inlineStr">
        <is>
          <t>Endividamento Geral</t>
        </is>
      </c>
      <c r="N2416" t="inlineStr">
        <is>
          <t>3/60</t>
        </is>
      </c>
      <c r="O2416" t="inlineStr">
        <is>
          <t>Documentação Aprovada</t>
        </is>
      </c>
      <c r="P2416" t="inlineStr">
        <is>
          <t>Aprovado Diretoria</t>
        </is>
      </c>
      <c r="Q2416" t="inlineStr">
        <is>
          <t>Aprovado Caixa</t>
        </is>
      </c>
      <c r="R2416" t="inlineStr">
        <is>
          <t>Pago</t>
        </is>
      </c>
      <c r="S2416" t="n">
        <v>115</v>
      </c>
      <c r="T2416" t="inlineStr">
        <is>
          <t>Love - Shibari - Bradesco</t>
        </is>
      </c>
    </row>
    <row r="2417">
      <c r="A2417" t="n">
        <v>124607</v>
      </c>
      <c r="B2417" t="n">
        <v>128</v>
      </c>
      <c r="C2417" t="inlineStr">
        <is>
          <t>Love Cabaret</t>
        </is>
      </c>
      <c r="D2417" t="inlineStr">
        <is>
          <t>ZIGPAY LTDAS -ME</t>
        </is>
      </c>
      <c r="E2417" t="n">
        <v>0</v>
      </c>
      <c r="F2417" s="27" t="n">
        <v>45747</v>
      </c>
      <c r="G2417" s="27" t="n">
        <v>45772</v>
      </c>
      <c r="H2417" s="27" t="n">
        <v>45747</v>
      </c>
      <c r="I2417" s="27" t="n">
        <v>45747</v>
      </c>
      <c r="J2417" s="27" t="n"/>
      <c r="K2417" t="inlineStr">
        <is>
          <t>Encontro de Contas</t>
        </is>
      </c>
      <c r="L2417" t="inlineStr">
        <is>
          <t>Deduções sobre Venda</t>
        </is>
      </c>
      <c r="M2417" t="inlineStr">
        <is>
          <t>Meios de pagamento</t>
        </is>
      </c>
      <c r="N2417" t="inlineStr">
        <is>
          <t>032025</t>
        </is>
      </c>
      <c r="P2417" t="inlineStr">
        <is>
          <t>Aprovado Diretoria</t>
        </is>
      </c>
      <c r="R2417" t="inlineStr">
        <is>
          <t>Pago</t>
        </is>
      </c>
    </row>
    <row r="2418">
      <c r="A2418" t="n">
        <v>48350</v>
      </c>
      <c r="B2418" t="n">
        <v>128</v>
      </c>
      <c r="C2418" t="inlineStr">
        <is>
          <t>Love Cabaret</t>
        </is>
      </c>
      <c r="D2418" t="inlineStr">
        <is>
          <t xml:space="preserve">MINISTERIO DA FAZENDA </t>
        </is>
      </c>
      <c r="E2418" t="n">
        <v>19709.63</v>
      </c>
      <c r="F2418" s="27" t="n">
        <v>45744</v>
      </c>
      <c r="G2418" s="27" t="n">
        <v>45749</v>
      </c>
      <c r="H2418" s="27" t="n">
        <v>45747</v>
      </c>
      <c r="I2418" s="27" t="n">
        <v>45366</v>
      </c>
      <c r="J2418" s="27" t="n"/>
      <c r="K2418" t="inlineStr">
        <is>
          <t xml:space="preserve">Debito Automático </t>
        </is>
      </c>
      <c r="L2418" t="inlineStr">
        <is>
          <t>Endividamento</t>
        </is>
      </c>
      <c r="M2418" t="inlineStr">
        <is>
          <t>Endividamento Geral</t>
        </is>
      </c>
      <c r="N2418" t="inlineStr">
        <is>
          <t>13/60</t>
        </is>
      </c>
      <c r="O2418" t="inlineStr">
        <is>
          <t>Documentação Aprovada</t>
        </is>
      </c>
      <c r="P2418" t="inlineStr">
        <is>
          <t>Aprovado Diretoria</t>
        </is>
      </c>
      <c r="Q2418" t="inlineStr">
        <is>
          <t>Aprovado Caixa</t>
        </is>
      </c>
      <c r="R2418" t="inlineStr">
        <is>
          <t>Pago</t>
        </is>
      </c>
      <c r="S2418" t="n">
        <v>115</v>
      </c>
      <c r="T2418" t="inlineStr">
        <is>
          <t>Love - Shibari - Bradesco</t>
        </is>
      </c>
    </row>
    <row r="2419">
      <c r="A2419" t="n">
        <v>48375</v>
      </c>
      <c r="B2419" t="n">
        <v>128</v>
      </c>
      <c r="C2419" t="inlineStr">
        <is>
          <t>Love Cabaret</t>
        </is>
      </c>
      <c r="D2419" t="inlineStr">
        <is>
          <t>ICMS</t>
        </is>
      </c>
      <c r="E2419" t="n">
        <v>768.0599999999999</v>
      </c>
      <c r="F2419" s="27" t="n">
        <v>45744</v>
      </c>
      <c r="G2419" s="27" t="n">
        <v>45742</v>
      </c>
      <c r="H2419" s="27" t="n">
        <v>45742</v>
      </c>
      <c r="I2419" s="27" t="n">
        <v>45366</v>
      </c>
      <c r="J2419" s="27" t="n"/>
      <c r="K2419" t="inlineStr">
        <is>
          <t>Boleto Bancário</t>
        </is>
      </c>
      <c r="L2419" t="inlineStr">
        <is>
          <t>Endividamento</t>
        </is>
      </c>
      <c r="M2419" t="inlineStr">
        <is>
          <t>Endividamento Geral</t>
        </is>
      </c>
      <c r="N2419" t="inlineStr">
        <is>
          <t>12/60</t>
        </is>
      </c>
      <c r="O2419" t="inlineStr">
        <is>
          <t>Documentação Aprovada</t>
        </is>
      </c>
      <c r="P2419" t="inlineStr">
        <is>
          <t>Aprovado Diretoria</t>
        </is>
      </c>
      <c r="Q2419" t="inlineStr">
        <is>
          <t>Aprovado Caixa</t>
        </is>
      </c>
      <c r="R2419" t="inlineStr">
        <is>
          <t>Pago</t>
        </is>
      </c>
      <c r="S2419" t="n">
        <v>115</v>
      </c>
      <c r="T2419" t="inlineStr">
        <is>
          <t>Love - Shibari - Bradesco</t>
        </is>
      </c>
    </row>
    <row r="2420">
      <c r="A2420" t="n">
        <v>48376</v>
      </c>
      <c r="B2420" t="n">
        <v>128</v>
      </c>
      <c r="C2420" t="inlineStr">
        <is>
          <t>Love Cabaret</t>
        </is>
      </c>
      <c r="D2420" t="inlineStr">
        <is>
          <t xml:space="preserve">MINISTERIO DA FAZENDA </t>
        </is>
      </c>
      <c r="E2420" t="n">
        <v>564.24</v>
      </c>
      <c r="F2420" s="27" t="n">
        <v>45744</v>
      </c>
      <c r="G2420" s="27" t="n">
        <v>45742</v>
      </c>
      <c r="H2420" s="27" t="n">
        <v>45742</v>
      </c>
      <c r="I2420" s="27" t="n">
        <v>45366</v>
      </c>
      <c r="J2420" s="27" t="n"/>
      <c r="K2420" t="inlineStr">
        <is>
          <t>Boleto Bancário</t>
        </is>
      </c>
      <c r="L2420" t="inlineStr">
        <is>
          <t>Endividamento</t>
        </is>
      </c>
      <c r="M2420" t="inlineStr">
        <is>
          <t>Endividamento Geral</t>
        </is>
      </c>
      <c r="N2420" t="inlineStr">
        <is>
          <t>13/45</t>
        </is>
      </c>
      <c r="O2420" t="inlineStr">
        <is>
          <t>Documentação Aprovada</t>
        </is>
      </c>
      <c r="P2420" t="inlineStr">
        <is>
          <t>Aprovado Diretoria</t>
        </is>
      </c>
      <c r="Q2420" t="inlineStr">
        <is>
          <t>Aprovado Caixa</t>
        </is>
      </c>
      <c r="R2420" t="inlineStr">
        <is>
          <t>Pago</t>
        </is>
      </c>
      <c r="S2420" t="n">
        <v>115</v>
      </c>
      <c r="T2420" t="inlineStr">
        <is>
          <t>Love - Shibari - Bradesco</t>
        </is>
      </c>
    </row>
    <row r="2421">
      <c r="A2421" t="n">
        <v>51159</v>
      </c>
      <c r="B2421" t="n">
        <v>128</v>
      </c>
      <c r="C2421" t="inlineStr">
        <is>
          <t>Love Cabaret</t>
        </is>
      </c>
      <c r="D2421" t="inlineStr">
        <is>
          <t>ICMS</t>
        </is>
      </c>
      <c r="E2421" t="n">
        <v>586.25</v>
      </c>
      <c r="F2421" s="27" t="n">
        <v>45743</v>
      </c>
      <c r="G2421" s="27" t="n">
        <v>45742</v>
      </c>
      <c r="H2421" s="27" t="n">
        <v>45742</v>
      </c>
      <c r="I2421" s="27" t="n">
        <v>45406</v>
      </c>
      <c r="J2421" s="27" t="n"/>
      <c r="K2421" t="inlineStr">
        <is>
          <t>Boleto Bancário</t>
        </is>
      </c>
      <c r="L2421" t="inlineStr">
        <is>
          <t>Endividamento</t>
        </is>
      </c>
      <c r="M2421" t="inlineStr">
        <is>
          <t>Endividamento Geral</t>
        </is>
      </c>
      <c r="N2421" t="inlineStr">
        <is>
          <t>11/36</t>
        </is>
      </c>
      <c r="O2421" t="inlineStr">
        <is>
          <t>Documentação Aprovada</t>
        </is>
      </c>
      <c r="P2421" t="inlineStr">
        <is>
          <t>Aprovado Diretoria</t>
        </is>
      </c>
      <c r="Q2421" t="inlineStr">
        <is>
          <t>Aprovado Caixa</t>
        </is>
      </c>
      <c r="R2421" t="inlineStr">
        <is>
          <t>Pago</t>
        </is>
      </c>
      <c r="S2421" t="n">
        <v>115</v>
      </c>
      <c r="T2421" t="inlineStr">
        <is>
          <t>Love - Shibari - Bradesco</t>
        </is>
      </c>
    </row>
    <row r="2422">
      <c r="A2422" t="n">
        <v>97093</v>
      </c>
      <c r="B2422" t="n">
        <v>128</v>
      </c>
      <c r="C2422" t="inlineStr">
        <is>
          <t>Love Cabaret</t>
        </is>
      </c>
      <c r="D2422" t="inlineStr">
        <is>
          <t>ESTAFF SOLUCOES TECNOLOGICAS DE AGENCIAMENTO LTDA</t>
        </is>
      </c>
      <c r="E2422" t="n">
        <v>13106.5</v>
      </c>
      <c r="F2422" s="27" t="n">
        <v>45742</v>
      </c>
      <c r="G2422" s="27" t="n">
        <v>45749</v>
      </c>
      <c r="H2422" s="27" t="n">
        <v>45742</v>
      </c>
      <c r="I2422" s="27" t="n">
        <v>45733</v>
      </c>
      <c r="J2422" s="27" t="n"/>
      <c r="K2422" t="inlineStr">
        <is>
          <t>Boleto Bancário</t>
        </is>
      </c>
      <c r="L2422" t="inlineStr">
        <is>
          <t>Mão de Obra - Extra</t>
        </is>
      </c>
      <c r="M2422" t="inlineStr">
        <is>
          <t>Mão de Obra Extra</t>
        </is>
      </c>
      <c r="N2422" t="inlineStr">
        <is>
          <t>538518470</t>
        </is>
      </c>
      <c r="O2422" t="inlineStr">
        <is>
          <t>Documentação Aprovada</t>
        </is>
      </c>
      <c r="P2422" t="inlineStr">
        <is>
          <t>Aprovado Diretoria</t>
        </is>
      </c>
      <c r="Q2422" t="inlineStr">
        <is>
          <t>Aprovado Caixa</t>
        </is>
      </c>
      <c r="R2422" t="inlineStr">
        <is>
          <t>Pago</t>
        </is>
      </c>
      <c r="S2422" t="n">
        <v>115</v>
      </c>
      <c r="T2422" t="inlineStr">
        <is>
          <t>Love - Shibari - Bradesco</t>
        </is>
      </c>
    </row>
    <row r="2423">
      <c r="A2423" t="n">
        <v>96896</v>
      </c>
      <c r="B2423" t="n">
        <v>128</v>
      </c>
      <c r="C2423" t="inlineStr">
        <is>
          <t>Love Cabaret</t>
        </is>
      </c>
      <c r="D2423" t="inlineStr">
        <is>
          <t>COMPANHIA DE GAS DE SAO PAULO</t>
        </is>
      </c>
      <c r="E2423" t="n">
        <v>1380.14</v>
      </c>
      <c r="F2423" s="27" t="n">
        <v>45743</v>
      </c>
      <c r="G2423" s="27" t="n">
        <v>45742</v>
      </c>
      <c r="H2423" s="27" t="n">
        <v>45742</v>
      </c>
      <c r="I2423" s="27" t="n">
        <v>45726</v>
      </c>
      <c r="J2423" s="27" t="n"/>
      <c r="K2423" t="inlineStr">
        <is>
          <t>Boleto Bancário</t>
        </is>
      </c>
      <c r="L2423" t="inlineStr">
        <is>
          <t>Utilidades</t>
        </is>
      </c>
      <c r="M2423" t="inlineStr">
        <is>
          <t>Gas de Cozinha</t>
        </is>
      </c>
      <c r="N2423" t="inlineStr">
        <is>
          <t>121.341.119</t>
        </is>
      </c>
      <c r="O2423" t="inlineStr">
        <is>
          <t>Documentação Aprovada</t>
        </is>
      </c>
      <c r="P2423" t="inlineStr">
        <is>
          <t>Aprovado Diretoria</t>
        </is>
      </c>
      <c r="Q2423" t="inlineStr">
        <is>
          <t>Aprovado Caixa</t>
        </is>
      </c>
      <c r="R2423" t="inlineStr">
        <is>
          <t>Pago</t>
        </is>
      </c>
      <c r="S2423" t="n">
        <v>115</v>
      </c>
      <c r="T2423" t="inlineStr">
        <is>
          <t>Love - Shibari - Bradesco</t>
        </is>
      </c>
    </row>
    <row r="2424">
      <c r="A2424" t="n">
        <v>118336</v>
      </c>
      <c r="B2424" t="n">
        <v>128</v>
      </c>
      <c r="C2424" t="inlineStr">
        <is>
          <t>Love Cabaret</t>
        </is>
      </c>
      <c r="D2424" t="inlineStr">
        <is>
          <t>HORTIFRUTIGRANJEIRO RODRIGUES LTDA</t>
        </is>
      </c>
      <c r="E2424" t="n">
        <v>244.3</v>
      </c>
      <c r="F2424" s="27" t="n">
        <v>45743</v>
      </c>
      <c r="G2424" s="27" t="n">
        <v>45742</v>
      </c>
      <c r="H2424" s="27" t="n">
        <v>45742</v>
      </c>
      <c r="I2424" s="27" t="n">
        <v>45728</v>
      </c>
      <c r="J2424" s="27" t="n">
        <v>45729</v>
      </c>
      <c r="K2424" t="inlineStr">
        <is>
          <t>Boleto Bancário</t>
        </is>
      </c>
      <c r="L2424" t="inlineStr">
        <is>
          <t>Custo Mercadoria Vendida</t>
        </is>
      </c>
      <c r="M2424" t="inlineStr">
        <is>
          <t>Insumos - Alimentos</t>
        </is>
      </c>
      <c r="N2424" t="inlineStr">
        <is>
          <t>9095</t>
        </is>
      </c>
      <c r="O2424" t="inlineStr">
        <is>
          <t>Documentação Aprovada</t>
        </is>
      </c>
      <c r="P2424" t="inlineStr">
        <is>
          <t>Aprovado Diretoria</t>
        </is>
      </c>
      <c r="Q2424" t="inlineStr">
        <is>
          <t>Aprovado Caixa</t>
        </is>
      </c>
      <c r="R2424" t="inlineStr">
        <is>
          <t>Pago</t>
        </is>
      </c>
      <c r="S2424" t="n">
        <v>115</v>
      </c>
      <c r="T2424" t="inlineStr">
        <is>
          <t>Love - Shibari - Bradesco</t>
        </is>
      </c>
    </row>
    <row r="2425">
      <c r="A2425" t="n">
        <v>118331</v>
      </c>
      <c r="B2425" t="n">
        <v>128</v>
      </c>
      <c r="C2425" t="inlineStr">
        <is>
          <t>Love Cabaret</t>
        </is>
      </c>
      <c r="D2425" t="inlineStr">
        <is>
          <t>ASSAZ ORGANICA INDUSTRIA E COMERCIO DE ALIMENTOS LTDA</t>
        </is>
      </c>
      <c r="E2425" t="n">
        <v>50.5</v>
      </c>
      <c r="F2425" s="27" t="n">
        <v>45743</v>
      </c>
      <c r="G2425" s="27" t="n">
        <v>45742</v>
      </c>
      <c r="H2425" s="27" t="n">
        <v>45742</v>
      </c>
      <c r="I2425" s="27" t="n">
        <v>45728</v>
      </c>
      <c r="J2425" s="27" t="n">
        <v>45729</v>
      </c>
      <c r="K2425" t="inlineStr">
        <is>
          <t>Boleto Bancário</t>
        </is>
      </c>
      <c r="L2425" t="inlineStr">
        <is>
          <t>Custo Mercadoria Vendida</t>
        </is>
      </c>
      <c r="M2425" t="inlineStr">
        <is>
          <t>Insumos - Alimentos</t>
        </is>
      </c>
      <c r="N2425" t="inlineStr">
        <is>
          <t>19127</t>
        </is>
      </c>
      <c r="O2425" t="inlineStr">
        <is>
          <t>Documentação Aprovada</t>
        </is>
      </c>
      <c r="P2425" t="inlineStr">
        <is>
          <t>Aprovado Diretoria</t>
        </is>
      </c>
      <c r="Q2425" t="inlineStr">
        <is>
          <t>Aprovado Caixa</t>
        </is>
      </c>
      <c r="R2425" t="inlineStr">
        <is>
          <t>Pago</t>
        </is>
      </c>
      <c r="S2425" t="n">
        <v>115</v>
      </c>
      <c r="T2425" t="inlineStr">
        <is>
          <t>Love - Shibari - Bradesco</t>
        </is>
      </c>
    </row>
    <row r="2426">
      <c r="A2426" t="n">
        <v>120932</v>
      </c>
      <c r="B2426" t="n">
        <v>128</v>
      </c>
      <c r="C2426" t="inlineStr">
        <is>
          <t>Love Cabaret</t>
        </is>
      </c>
      <c r="D2426" t="inlineStr">
        <is>
          <t>BRADESCO SA</t>
        </is>
      </c>
      <c r="E2426" t="n">
        <v>36.65</v>
      </c>
      <c r="F2426" s="27" t="n">
        <v>45742</v>
      </c>
      <c r="G2426" s="27" t="n"/>
      <c r="H2426" s="27" t="n">
        <v>45742</v>
      </c>
      <c r="I2426" s="27" t="n">
        <v>45742</v>
      </c>
      <c r="J2426" s="27" t="n">
        <v>45743</v>
      </c>
      <c r="K2426" t="inlineStr">
        <is>
          <t>Encontro de Contas</t>
        </is>
      </c>
      <c r="L2426" t="inlineStr">
        <is>
          <t>Despesas Financeiras</t>
        </is>
      </c>
      <c r="M2426" t="inlineStr">
        <is>
          <t>Tarifas Bancárias</t>
        </is>
      </c>
      <c r="N2426" t="inlineStr">
        <is>
          <t>366532025</t>
        </is>
      </c>
      <c r="P2426" t="inlineStr">
        <is>
          <t>Aprovado Diretoria</t>
        </is>
      </c>
      <c r="R2426" t="inlineStr">
        <is>
          <t>Pago</t>
        </is>
      </c>
    </row>
    <row r="2427">
      <c r="A2427" t="n">
        <v>119562</v>
      </c>
      <c r="B2427" t="n">
        <v>128</v>
      </c>
      <c r="C2427" t="inlineStr">
        <is>
          <t>Love Cabaret</t>
        </is>
      </c>
      <c r="D2427" t="inlineStr">
        <is>
          <t>PSSS LTDA</t>
        </is>
      </c>
      <c r="E2427" t="n">
        <v>223</v>
      </c>
      <c r="F2427" s="27" t="n">
        <v>45744</v>
      </c>
      <c r="G2427" s="27" t="n">
        <v>45742</v>
      </c>
      <c r="H2427" s="27" t="n">
        <v>45742</v>
      </c>
      <c r="I2427" s="27" t="n">
        <v>45731</v>
      </c>
      <c r="J2427" s="27" t="n">
        <v>45735</v>
      </c>
      <c r="K2427" t="inlineStr">
        <is>
          <t>Boleto Bancário</t>
        </is>
      </c>
      <c r="L2427" t="inlineStr">
        <is>
          <t>Custo Mercadoria Vendida</t>
        </is>
      </c>
      <c r="M2427" t="inlineStr">
        <is>
          <t>Insumos - Alimentos</t>
        </is>
      </c>
      <c r="N2427" t="inlineStr">
        <is>
          <t>1283</t>
        </is>
      </c>
      <c r="O2427" t="inlineStr">
        <is>
          <t>Documentação Aprovada</t>
        </is>
      </c>
      <c r="P2427" t="inlineStr">
        <is>
          <t>Aprovado Diretoria</t>
        </is>
      </c>
      <c r="Q2427" t="inlineStr">
        <is>
          <t>Aprovado Caixa</t>
        </is>
      </c>
      <c r="R2427" t="inlineStr">
        <is>
          <t>Pago</t>
        </is>
      </c>
      <c r="S2427" t="n">
        <v>115</v>
      </c>
      <c r="T2427" t="inlineStr">
        <is>
          <t>Love - Shibari - Bradesco</t>
        </is>
      </c>
    </row>
    <row r="2428">
      <c r="A2428" t="n">
        <v>119566</v>
      </c>
      <c r="B2428" t="n">
        <v>128</v>
      </c>
      <c r="C2428" t="inlineStr">
        <is>
          <t>Love Cabaret</t>
        </is>
      </c>
      <c r="D2428" t="inlineStr">
        <is>
          <t>ICE4PROS FABRICA DE GELO LTDA</t>
        </is>
      </c>
      <c r="E2428" t="n">
        <v>494</v>
      </c>
      <c r="F2428" s="27" t="n">
        <v>45744</v>
      </c>
      <c r="G2428" s="27" t="n">
        <v>45742</v>
      </c>
      <c r="H2428" s="27" t="n">
        <v>45742</v>
      </c>
      <c r="I2428" s="27" t="n">
        <v>45734</v>
      </c>
      <c r="J2428" s="27" t="n">
        <v>45735</v>
      </c>
      <c r="K2428" t="inlineStr">
        <is>
          <t>Boleto Bancário</t>
        </is>
      </c>
      <c r="L2428" t="inlineStr">
        <is>
          <t>Custo Mercadoria Vendida</t>
        </is>
      </c>
      <c r="M2428" t="inlineStr">
        <is>
          <t>Insumos - Bebidas</t>
        </is>
      </c>
      <c r="N2428" t="inlineStr">
        <is>
          <t>76076</t>
        </is>
      </c>
      <c r="O2428" t="inlineStr">
        <is>
          <t>Documentação Aprovada</t>
        </is>
      </c>
      <c r="P2428" t="inlineStr">
        <is>
          <t>Aprovado Diretoria</t>
        </is>
      </c>
      <c r="Q2428" t="inlineStr">
        <is>
          <t>Aprovado Caixa</t>
        </is>
      </c>
      <c r="R2428" t="inlineStr">
        <is>
          <t>Pago</t>
        </is>
      </c>
      <c r="S2428" t="n">
        <v>115</v>
      </c>
      <c r="T2428" t="inlineStr">
        <is>
          <t>Love - Shibari - Bradesco</t>
        </is>
      </c>
    </row>
    <row r="2429">
      <c r="A2429" t="n">
        <v>84042</v>
      </c>
      <c r="B2429" t="n">
        <v>128</v>
      </c>
      <c r="C2429" t="inlineStr">
        <is>
          <t>Love Cabaret</t>
        </is>
      </c>
      <c r="D2429" t="inlineStr">
        <is>
          <t>CSLL</t>
        </is>
      </c>
      <c r="E2429" t="n">
        <v>1601.6</v>
      </c>
      <c r="F2429" s="27" t="n">
        <v>45746</v>
      </c>
      <c r="G2429" s="27" t="n">
        <v>45742</v>
      </c>
      <c r="H2429" s="27" t="n">
        <v>45742</v>
      </c>
      <c r="I2429" s="27" t="n">
        <v>45599</v>
      </c>
      <c r="J2429" s="27" t="n"/>
      <c r="K2429" t="inlineStr">
        <is>
          <t>Boleto Bancário</t>
        </is>
      </c>
      <c r="L2429" t="inlineStr">
        <is>
          <t>Endividamento</t>
        </is>
      </c>
      <c r="M2429" t="inlineStr">
        <is>
          <t>Endividamento Geral</t>
        </is>
      </c>
      <c r="N2429" t="inlineStr">
        <is>
          <t>6/120</t>
        </is>
      </c>
      <c r="O2429" t="inlineStr">
        <is>
          <t>Documentação Aprovada</t>
        </is>
      </c>
      <c r="P2429" t="inlineStr">
        <is>
          <t>Aprovado Diretoria</t>
        </is>
      </c>
      <c r="Q2429" t="inlineStr">
        <is>
          <t>Aprovado Caixa</t>
        </is>
      </c>
      <c r="R2429" t="inlineStr">
        <is>
          <t>Pago</t>
        </is>
      </c>
      <c r="S2429" t="n">
        <v>115</v>
      </c>
      <c r="T2429" t="inlineStr">
        <is>
          <t>Love - Shibari - Bradesco</t>
        </is>
      </c>
    </row>
    <row r="2430">
      <c r="A2430" t="n">
        <v>115128</v>
      </c>
      <c r="B2430" t="n">
        <v>128</v>
      </c>
      <c r="C2430" t="inlineStr">
        <is>
          <t>Love Cabaret</t>
        </is>
      </c>
      <c r="D2430" t="inlineStr">
        <is>
          <t xml:space="preserve">EMPORIO MEL </t>
        </is>
      </c>
      <c r="E2430" t="n">
        <v>1020</v>
      </c>
      <c r="F2430" s="27" t="n">
        <v>45743</v>
      </c>
      <c r="G2430" s="27" t="n">
        <v>45742</v>
      </c>
      <c r="H2430" s="27" t="n">
        <v>45742</v>
      </c>
      <c r="I2430" s="27" t="n">
        <v>45712</v>
      </c>
      <c r="J2430" s="27" t="n">
        <v>45718</v>
      </c>
      <c r="K2430" t="inlineStr">
        <is>
          <t>Boleto Bancário</t>
        </is>
      </c>
      <c r="L2430" t="inlineStr">
        <is>
          <t>Custo Mercadoria Vendida</t>
        </is>
      </c>
      <c r="M2430" t="inlineStr">
        <is>
          <t>Insumos - Bebidas</t>
        </is>
      </c>
      <c r="N2430" t="inlineStr">
        <is>
          <t>441808</t>
        </is>
      </c>
      <c r="O2430" t="inlineStr">
        <is>
          <t>Documentação Aprovada</t>
        </is>
      </c>
      <c r="P2430" t="inlineStr">
        <is>
          <t>Aprovado Diretoria</t>
        </is>
      </c>
      <c r="Q2430" t="inlineStr">
        <is>
          <t>Aprovado Caixa</t>
        </is>
      </c>
      <c r="R2430" t="inlineStr">
        <is>
          <t>Pago</t>
        </is>
      </c>
      <c r="S2430" t="n">
        <v>115</v>
      </c>
      <c r="T2430" t="inlineStr">
        <is>
          <t>Love - Shibari - Bradesco</t>
        </is>
      </c>
    </row>
    <row r="2431">
      <c r="A2431" t="n">
        <v>115125</v>
      </c>
      <c r="B2431" t="n">
        <v>128</v>
      </c>
      <c r="C2431" t="inlineStr">
        <is>
          <t>Love Cabaret</t>
        </is>
      </c>
      <c r="D2431" t="inlineStr">
        <is>
          <t xml:space="preserve">EMPORIO MEL </t>
        </is>
      </c>
      <c r="E2431" t="n">
        <v>1061.46</v>
      </c>
      <c r="F2431" s="27" t="n">
        <v>45743</v>
      </c>
      <c r="G2431" s="27" t="n">
        <v>45742</v>
      </c>
      <c r="H2431" s="27" t="n">
        <v>45742</v>
      </c>
      <c r="I2431" s="27" t="n">
        <v>45712</v>
      </c>
      <c r="J2431" s="27" t="n">
        <v>45718</v>
      </c>
      <c r="K2431" t="inlineStr">
        <is>
          <t>Boleto Bancário</t>
        </is>
      </c>
      <c r="L2431" t="inlineStr">
        <is>
          <t>Custo Mercadoria Vendida</t>
        </is>
      </c>
      <c r="M2431" t="inlineStr">
        <is>
          <t>Insumos - Alimentos</t>
        </is>
      </c>
      <c r="N2431" t="inlineStr">
        <is>
          <t>441756</t>
        </is>
      </c>
      <c r="O2431" t="inlineStr">
        <is>
          <t>Documentação Aprovada</t>
        </is>
      </c>
      <c r="P2431" t="inlineStr">
        <is>
          <t>Aprovado Diretoria</t>
        </is>
      </c>
      <c r="Q2431" t="inlineStr">
        <is>
          <t>Aprovado Caixa</t>
        </is>
      </c>
      <c r="R2431" t="inlineStr">
        <is>
          <t>Pago</t>
        </is>
      </c>
      <c r="S2431" t="n">
        <v>115</v>
      </c>
      <c r="T2431" t="inlineStr">
        <is>
          <t>Love - Shibari - Bradesco</t>
        </is>
      </c>
    </row>
    <row r="2432">
      <c r="A2432" t="n">
        <v>115133</v>
      </c>
      <c r="B2432" t="n">
        <v>128</v>
      </c>
      <c r="C2432" t="inlineStr">
        <is>
          <t>Love Cabaret</t>
        </is>
      </c>
      <c r="D2432" t="inlineStr">
        <is>
          <t xml:space="preserve">HORTIFRUTI DO CHEF LTDA </t>
        </is>
      </c>
      <c r="E2432" t="n">
        <v>373.53</v>
      </c>
      <c r="F2432" s="27" t="n">
        <v>45744</v>
      </c>
      <c r="G2432" s="27" t="n">
        <v>45742</v>
      </c>
      <c r="H2432" s="27" t="n">
        <v>45742</v>
      </c>
      <c r="I2432" s="27" t="n">
        <v>45716</v>
      </c>
      <c r="J2432" s="27" t="n">
        <v>45718</v>
      </c>
      <c r="K2432" t="inlineStr">
        <is>
          <t>Boleto Bancário</t>
        </is>
      </c>
      <c r="L2432" t="inlineStr">
        <is>
          <t>Custo Mercadoria Vendida</t>
        </is>
      </c>
      <c r="M2432" t="inlineStr">
        <is>
          <t>Insumos - Alimentos</t>
        </is>
      </c>
      <c r="N2432" t="inlineStr">
        <is>
          <t>25973</t>
        </is>
      </c>
      <c r="O2432" t="inlineStr">
        <is>
          <t>Documentação Aprovada</t>
        </is>
      </c>
      <c r="P2432" t="inlineStr">
        <is>
          <t>Aprovado Diretoria</t>
        </is>
      </c>
      <c r="Q2432" t="inlineStr">
        <is>
          <t>Aprovado Caixa</t>
        </is>
      </c>
      <c r="R2432" t="inlineStr">
        <is>
          <t>Pago</t>
        </is>
      </c>
      <c r="S2432" t="n">
        <v>115</v>
      </c>
      <c r="T2432" t="inlineStr">
        <is>
          <t>Love - Shibari - Bradesco</t>
        </is>
      </c>
    </row>
    <row r="2433">
      <c r="A2433" t="n">
        <v>103007</v>
      </c>
      <c r="B2433" t="n">
        <v>128</v>
      </c>
      <c r="C2433" t="inlineStr">
        <is>
          <t>Love Cabaret</t>
        </is>
      </c>
      <c r="D2433" t="inlineStr">
        <is>
          <t>TELEFONICA BRASIL S/A</t>
        </is>
      </c>
      <c r="E2433" t="n">
        <v>20</v>
      </c>
      <c r="F2433" s="27" t="n">
        <v>45743</v>
      </c>
      <c r="G2433" s="27" t="n">
        <v>45742</v>
      </c>
      <c r="H2433" s="27" t="n">
        <v>45742</v>
      </c>
      <c r="I2433" s="27" t="n">
        <v>45705</v>
      </c>
      <c r="J2433" s="27" t="n"/>
      <c r="K2433" t="inlineStr">
        <is>
          <t>Boleto Bancário</t>
        </is>
      </c>
      <c r="L2433" t="inlineStr">
        <is>
          <t>Informática e TI</t>
        </is>
      </c>
      <c r="M2433" t="inlineStr">
        <is>
          <t>Internet</t>
        </is>
      </c>
      <c r="N2433" t="inlineStr">
        <is>
          <t>0443836731</t>
        </is>
      </c>
      <c r="O2433" t="inlineStr">
        <is>
          <t>Documentação Aprovada</t>
        </is>
      </c>
      <c r="P2433" t="inlineStr">
        <is>
          <t>Aprovado Diretoria</t>
        </is>
      </c>
      <c r="Q2433" t="inlineStr">
        <is>
          <t>Aprovado Caixa</t>
        </is>
      </c>
      <c r="R2433" t="inlineStr">
        <is>
          <t>Pago</t>
        </is>
      </c>
      <c r="S2433" t="n">
        <v>115</v>
      </c>
      <c r="T2433" t="inlineStr">
        <is>
          <t>Love - Shibari - Bradesco</t>
        </is>
      </c>
    </row>
    <row r="2434">
      <c r="A2434" t="n">
        <v>102994</v>
      </c>
      <c r="B2434" t="n">
        <v>128</v>
      </c>
      <c r="C2434" t="inlineStr">
        <is>
          <t>Love Cabaret</t>
        </is>
      </c>
      <c r="D2434" t="inlineStr">
        <is>
          <t>TELEFONICA BRASIL S/A</t>
        </is>
      </c>
      <c r="E2434" t="n">
        <v>449.21</v>
      </c>
      <c r="F2434" s="27" t="n">
        <v>45743</v>
      </c>
      <c r="G2434" s="27" t="n">
        <v>45742</v>
      </c>
      <c r="H2434" s="27" t="n">
        <v>45742</v>
      </c>
      <c r="I2434" s="27" t="n">
        <v>45733</v>
      </c>
      <c r="J2434" s="27" t="n"/>
      <c r="K2434" t="inlineStr">
        <is>
          <t>Boleto Bancário</t>
        </is>
      </c>
      <c r="L2434" t="inlineStr">
        <is>
          <t>Informática e TI</t>
        </is>
      </c>
      <c r="M2434" t="inlineStr">
        <is>
          <t>Internet</t>
        </is>
      </c>
      <c r="N2434" t="inlineStr">
        <is>
          <t>0443318083</t>
        </is>
      </c>
      <c r="O2434" t="inlineStr">
        <is>
          <t>Documentação Aprovada</t>
        </is>
      </c>
      <c r="P2434" t="inlineStr">
        <is>
          <t>Aprovado Diretoria</t>
        </is>
      </c>
      <c r="Q2434" t="inlineStr">
        <is>
          <t>Aprovado Caixa</t>
        </is>
      </c>
      <c r="R2434" t="inlineStr">
        <is>
          <t>Pago</t>
        </is>
      </c>
      <c r="S2434" t="n">
        <v>115</v>
      </c>
      <c r="T2434" t="inlineStr">
        <is>
          <t>Love - Shibari - Bradesco</t>
        </is>
      </c>
    </row>
    <row r="2435">
      <c r="A2435" t="n">
        <v>102838</v>
      </c>
      <c r="B2435" t="n">
        <v>128</v>
      </c>
      <c r="C2435" t="inlineStr">
        <is>
          <t>Love Cabaret</t>
        </is>
      </c>
      <c r="D2435" t="inlineStr">
        <is>
          <t>INVYE CAPITAL LTDA</t>
        </is>
      </c>
      <c r="E2435" t="n">
        <v>1200</v>
      </c>
      <c r="F2435" s="27" t="n">
        <v>45741</v>
      </c>
      <c r="G2435" s="27" t="n">
        <v>45740</v>
      </c>
      <c r="H2435" s="27" t="n">
        <v>45740</v>
      </c>
      <c r="I2435" s="27" t="n">
        <v>45725</v>
      </c>
      <c r="J2435" s="27" t="n"/>
      <c r="K2435" t="inlineStr">
        <is>
          <t>Boleto Bancário</t>
        </is>
      </c>
      <c r="L2435" t="inlineStr">
        <is>
          <t>Serviços de Terceiros</t>
        </is>
      </c>
      <c r="M2435" t="inlineStr">
        <is>
          <t>Assessoria em Geral</t>
        </is>
      </c>
      <c r="N2435" t="inlineStr">
        <is>
          <t>2359</t>
        </is>
      </c>
      <c r="O2435" t="inlineStr">
        <is>
          <t>Documentação Aprovada</t>
        </is>
      </c>
      <c r="P2435" t="inlineStr">
        <is>
          <t>Aprovado Diretoria</t>
        </is>
      </c>
      <c r="Q2435" t="inlineStr">
        <is>
          <t>Aprovado Caixa</t>
        </is>
      </c>
      <c r="R2435" t="inlineStr">
        <is>
          <t>Pago</t>
        </is>
      </c>
      <c r="S2435" t="n">
        <v>115</v>
      </c>
      <c r="T2435" t="inlineStr">
        <is>
          <t>Love - Shibari - Bradesco</t>
        </is>
      </c>
    </row>
    <row r="2436">
      <c r="A2436" t="n">
        <v>103031</v>
      </c>
      <c r="B2436" t="n">
        <v>128</v>
      </c>
      <c r="C2436" t="inlineStr">
        <is>
          <t>Love Cabaret</t>
        </is>
      </c>
      <c r="D2436" t="inlineStr">
        <is>
          <t>TELEFONICA BRASIL S/A</t>
        </is>
      </c>
      <c r="E2436" t="n">
        <v>327.09</v>
      </c>
      <c r="F2436" s="27" t="n">
        <v>45741</v>
      </c>
      <c r="G2436" s="27" t="n">
        <v>45740</v>
      </c>
      <c r="H2436" s="27" t="n">
        <v>45740</v>
      </c>
      <c r="I2436" s="27" t="n">
        <v>45733</v>
      </c>
      <c r="J2436" s="27" t="n"/>
      <c r="K2436" t="inlineStr">
        <is>
          <t>Boleto Bancário</t>
        </is>
      </c>
      <c r="L2436" t="inlineStr">
        <is>
          <t>Informática e TI</t>
        </is>
      </c>
      <c r="M2436" t="inlineStr">
        <is>
          <t>Internet</t>
        </is>
      </c>
      <c r="N2436" t="inlineStr">
        <is>
          <t>0455530810</t>
        </is>
      </c>
      <c r="O2436" t="inlineStr">
        <is>
          <t>Documentação Aprovada</t>
        </is>
      </c>
      <c r="P2436" t="inlineStr">
        <is>
          <t>Aprovado Diretoria</t>
        </is>
      </c>
      <c r="Q2436" t="inlineStr">
        <is>
          <t>Aprovado Caixa</t>
        </is>
      </c>
      <c r="R2436" t="inlineStr">
        <is>
          <t>Pago</t>
        </is>
      </c>
      <c r="S2436" t="n">
        <v>115</v>
      </c>
      <c r="T2436" t="inlineStr">
        <is>
          <t>Love - Shibari - Bradesco</t>
        </is>
      </c>
    </row>
    <row r="2437">
      <c r="A2437" t="n">
        <v>103019</v>
      </c>
      <c r="B2437" t="n">
        <v>128</v>
      </c>
      <c r="C2437" t="inlineStr">
        <is>
          <t>Love Cabaret</t>
        </is>
      </c>
      <c r="D2437" t="inlineStr">
        <is>
          <t>TELEFONICA BRASIL S/A</t>
        </is>
      </c>
      <c r="E2437" t="n">
        <v>93.7</v>
      </c>
      <c r="F2437" s="27" t="n">
        <v>45741</v>
      </c>
      <c r="G2437" s="27" t="n">
        <v>45740</v>
      </c>
      <c r="H2437" s="27" t="n">
        <v>45740</v>
      </c>
      <c r="I2437" s="27" t="n">
        <v>45720</v>
      </c>
      <c r="J2437" s="27" t="n"/>
      <c r="K2437" t="inlineStr">
        <is>
          <t>Boleto Bancário</t>
        </is>
      </c>
      <c r="L2437" t="inlineStr">
        <is>
          <t>Informática e TI</t>
        </is>
      </c>
      <c r="M2437" t="inlineStr">
        <is>
          <t>Telefone</t>
        </is>
      </c>
      <c r="N2437" t="inlineStr">
        <is>
          <t>0434906426</t>
        </is>
      </c>
      <c r="O2437" t="inlineStr">
        <is>
          <t>Documentação Aprovada</t>
        </is>
      </c>
      <c r="P2437" t="inlineStr">
        <is>
          <t>Aprovado Diretoria</t>
        </is>
      </c>
      <c r="Q2437" t="inlineStr">
        <is>
          <t>Aprovado Caixa</t>
        </is>
      </c>
      <c r="R2437" t="inlineStr">
        <is>
          <t>Pago</t>
        </is>
      </c>
      <c r="S2437" t="n">
        <v>115</v>
      </c>
      <c r="T2437" t="inlineStr">
        <is>
          <t>Love - Shibari - Bradesco</t>
        </is>
      </c>
    </row>
    <row r="2438">
      <c r="A2438" t="n">
        <v>97541</v>
      </c>
      <c r="B2438" t="n">
        <v>128</v>
      </c>
      <c r="C2438" t="inlineStr">
        <is>
          <t>Love Cabaret</t>
        </is>
      </c>
      <c r="D2438" t="inlineStr">
        <is>
          <t>PIS</t>
        </is>
      </c>
      <c r="E2438" t="n">
        <v>1727.77</v>
      </c>
      <c r="F2438" s="27" t="n">
        <v>45741</v>
      </c>
      <c r="G2438" s="27" t="n">
        <v>45740</v>
      </c>
      <c r="H2438" s="27" t="n">
        <v>45740</v>
      </c>
      <c r="I2438" s="27" t="n">
        <v>45716</v>
      </c>
      <c r="J2438" s="27" t="n"/>
      <c r="K2438" t="inlineStr">
        <is>
          <t>Boleto Bancário</t>
        </is>
      </c>
      <c r="L2438" t="inlineStr">
        <is>
          <t>Impostos sobre Venda</t>
        </is>
      </c>
      <c r="M2438" t="inlineStr">
        <is>
          <t>PIS S/ SERVICO</t>
        </is>
      </c>
      <c r="N2438" t="inlineStr">
        <is>
          <t>172777 022025</t>
        </is>
      </c>
      <c r="O2438" t="inlineStr">
        <is>
          <t>Documentação Aprovada</t>
        </is>
      </c>
      <c r="P2438" t="inlineStr">
        <is>
          <t>Aprovado Diretoria</t>
        </is>
      </c>
      <c r="Q2438" t="inlineStr">
        <is>
          <t>Aprovado Caixa</t>
        </is>
      </c>
      <c r="R2438" t="inlineStr">
        <is>
          <t>Pago</t>
        </is>
      </c>
      <c r="S2438" t="n">
        <v>115</v>
      </c>
      <c r="T2438" t="inlineStr">
        <is>
          <t>Love - Shibari - Bradesco</t>
        </is>
      </c>
    </row>
    <row r="2439">
      <c r="A2439" t="n">
        <v>119563</v>
      </c>
      <c r="B2439" t="n">
        <v>128</v>
      </c>
      <c r="C2439" t="inlineStr">
        <is>
          <t>Love Cabaret</t>
        </is>
      </c>
      <c r="D2439" t="inlineStr">
        <is>
          <t>ICE4PROS FABRICA DE GELO LTDA</t>
        </is>
      </c>
      <c r="E2439" t="n">
        <v>494</v>
      </c>
      <c r="F2439" s="27" t="n">
        <v>45740</v>
      </c>
      <c r="G2439" s="27" t="n">
        <v>45740</v>
      </c>
      <c r="H2439" s="27" t="n">
        <v>45740</v>
      </c>
      <c r="I2439" s="27" t="n">
        <v>45730</v>
      </c>
      <c r="J2439" s="27" t="n">
        <v>45735</v>
      </c>
      <c r="K2439" t="inlineStr">
        <is>
          <t>Boleto Bancário</t>
        </is>
      </c>
      <c r="L2439" t="inlineStr">
        <is>
          <t>Custo Mercadoria Vendida</t>
        </is>
      </c>
      <c r="M2439" t="inlineStr">
        <is>
          <t>Insumos - Bebidas</t>
        </is>
      </c>
      <c r="N2439" t="inlineStr">
        <is>
          <t>75938</t>
        </is>
      </c>
      <c r="O2439" t="inlineStr">
        <is>
          <t>Documentação Aprovada</t>
        </is>
      </c>
      <c r="P2439" t="inlineStr">
        <is>
          <t>Aprovado Diretoria</t>
        </is>
      </c>
      <c r="Q2439" t="inlineStr">
        <is>
          <t>Aprovado Caixa</t>
        </is>
      </c>
      <c r="R2439" t="inlineStr">
        <is>
          <t>Pago</t>
        </is>
      </c>
      <c r="S2439" t="n">
        <v>115</v>
      </c>
      <c r="T2439" t="inlineStr">
        <is>
          <t>Love - Shibari - Bradesco</t>
        </is>
      </c>
    </row>
    <row r="2440">
      <c r="A2440" t="n">
        <v>118302</v>
      </c>
      <c r="B2440" t="n">
        <v>128</v>
      </c>
      <c r="C2440" t="inlineStr">
        <is>
          <t>Love Cabaret</t>
        </is>
      </c>
      <c r="D2440" t="inlineStr">
        <is>
          <t>PORCO FELIZ COM DE CARNES LTDA</t>
        </is>
      </c>
      <c r="E2440" t="n">
        <v>277.48</v>
      </c>
      <c r="F2440" s="27" t="n">
        <v>45740</v>
      </c>
      <c r="G2440" s="27" t="n">
        <v>45740</v>
      </c>
      <c r="H2440" s="27" t="n">
        <v>45740</v>
      </c>
      <c r="I2440" s="27" t="n">
        <v>45726</v>
      </c>
      <c r="J2440" s="27" t="n">
        <v>45729</v>
      </c>
      <c r="K2440" t="inlineStr">
        <is>
          <t>Boleto Bancário</t>
        </is>
      </c>
      <c r="L2440" t="inlineStr">
        <is>
          <t>Custo Mercadoria Vendida</t>
        </is>
      </c>
      <c r="M2440" t="inlineStr">
        <is>
          <t>Insumos - Alimentos</t>
        </is>
      </c>
      <c r="N2440" t="inlineStr">
        <is>
          <t>569583</t>
        </is>
      </c>
      <c r="O2440" t="inlineStr">
        <is>
          <t>Documentação Aprovada</t>
        </is>
      </c>
      <c r="P2440" t="inlineStr">
        <is>
          <t>Aprovado Diretoria</t>
        </is>
      </c>
      <c r="Q2440" t="inlineStr">
        <is>
          <t>Aprovado Caixa</t>
        </is>
      </c>
      <c r="R2440" t="inlineStr">
        <is>
          <t>Pago</t>
        </is>
      </c>
      <c r="S2440" t="n">
        <v>115</v>
      </c>
      <c r="T2440" t="inlineStr">
        <is>
          <t>Love - Shibari - Bradesco</t>
        </is>
      </c>
    </row>
    <row r="2441">
      <c r="A2441" t="n">
        <v>118311</v>
      </c>
      <c r="B2441" t="n">
        <v>128</v>
      </c>
      <c r="C2441" t="inlineStr">
        <is>
          <t>Love Cabaret</t>
        </is>
      </c>
      <c r="D2441" t="inlineStr">
        <is>
          <t xml:space="preserve">LATICINIOS FIOR DITALIA LTDA </t>
        </is>
      </c>
      <c r="E2441" t="n">
        <v>326.75</v>
      </c>
      <c r="F2441" s="27" t="n">
        <v>45742</v>
      </c>
      <c r="G2441" s="27" t="n">
        <v>45740</v>
      </c>
      <c r="H2441" s="27" t="n">
        <v>45740</v>
      </c>
      <c r="I2441" s="27" t="n">
        <v>45726</v>
      </c>
      <c r="J2441" s="27" t="n">
        <v>45729</v>
      </c>
      <c r="K2441" t="inlineStr">
        <is>
          <t>Boleto Bancário</t>
        </is>
      </c>
      <c r="L2441" t="inlineStr">
        <is>
          <t>Custo Mercadoria Vendida</t>
        </is>
      </c>
      <c r="M2441" t="inlineStr">
        <is>
          <t>Insumos - Alimentos</t>
        </is>
      </c>
      <c r="N2441" t="inlineStr">
        <is>
          <t>34807</t>
        </is>
      </c>
      <c r="O2441" t="inlineStr">
        <is>
          <t>Documentação Aprovada</t>
        </is>
      </c>
      <c r="P2441" t="inlineStr">
        <is>
          <t>Aprovado Diretoria</t>
        </is>
      </c>
      <c r="Q2441" t="inlineStr">
        <is>
          <t>Aprovado Caixa</t>
        </is>
      </c>
      <c r="R2441" t="inlineStr">
        <is>
          <t>Pago</t>
        </is>
      </c>
      <c r="S2441" t="n">
        <v>115</v>
      </c>
      <c r="T2441" t="inlineStr">
        <is>
          <t>Love - Shibari - Bradesco</t>
        </is>
      </c>
    </row>
    <row r="2442">
      <c r="A2442" t="n">
        <v>118321</v>
      </c>
      <c r="B2442" t="n">
        <v>128</v>
      </c>
      <c r="C2442" t="inlineStr">
        <is>
          <t>Love Cabaret</t>
        </is>
      </c>
      <c r="D2442" t="inlineStr">
        <is>
          <t>PARAMU COMERCIO E REPRESENTACAO DE PRODUTOS ALIMENTICIOS</t>
        </is>
      </c>
      <c r="E2442" t="n">
        <v>710.29</v>
      </c>
      <c r="F2442" s="27" t="n">
        <v>45741</v>
      </c>
      <c r="G2442" s="27" t="n">
        <v>45740</v>
      </c>
      <c r="H2442" s="27" t="n">
        <v>45740</v>
      </c>
      <c r="I2442" s="27" t="n">
        <v>45727</v>
      </c>
      <c r="J2442" s="27" t="n">
        <v>45729</v>
      </c>
      <c r="K2442" t="inlineStr">
        <is>
          <t>Boleto Bancário</t>
        </is>
      </c>
      <c r="L2442" t="inlineStr">
        <is>
          <t>Custo Mercadoria Vendida</t>
        </is>
      </c>
      <c r="M2442" t="inlineStr">
        <is>
          <t>Insumos - Alimentos</t>
        </is>
      </c>
      <c r="N2442" t="inlineStr">
        <is>
          <t>13068</t>
        </is>
      </c>
      <c r="O2442" t="inlineStr">
        <is>
          <t>Documentação Aprovada</t>
        </is>
      </c>
      <c r="P2442" t="inlineStr">
        <is>
          <t>Aprovado Diretoria</t>
        </is>
      </c>
      <c r="Q2442" t="inlineStr">
        <is>
          <t>Aprovado Caixa</t>
        </is>
      </c>
      <c r="R2442" t="inlineStr">
        <is>
          <t>Pago</t>
        </is>
      </c>
      <c r="S2442" t="n">
        <v>115</v>
      </c>
      <c r="T2442" t="inlineStr">
        <is>
          <t>Love - Shibari - Bradesco</t>
        </is>
      </c>
    </row>
    <row r="2443">
      <c r="A2443" t="n">
        <v>118672</v>
      </c>
      <c r="B2443" t="n">
        <v>128</v>
      </c>
      <c r="C2443" t="inlineStr">
        <is>
          <t>Love Cabaret</t>
        </is>
      </c>
      <c r="D2443" t="inlineStr">
        <is>
          <t>PJ 43960118000174 - DIEGO OLIVEIRA SANTANA</t>
        </is>
      </c>
      <c r="E2443" t="n">
        <v>500</v>
      </c>
      <c r="F2443" s="27" t="n">
        <v>45740</v>
      </c>
      <c r="G2443" s="27" t="n">
        <v>45740</v>
      </c>
      <c r="H2443" s="27" t="n">
        <v>45740</v>
      </c>
      <c r="I2443" s="27" t="n">
        <v>45720</v>
      </c>
      <c r="J2443" s="27" t="n">
        <v>45733</v>
      </c>
      <c r="K2443" t="inlineStr">
        <is>
          <t>Transferência Bancária ou Pix</t>
        </is>
      </c>
      <c r="L2443" t="inlineStr">
        <is>
          <t>Custos Artístico Geral</t>
        </is>
      </c>
      <c r="M2443" t="inlineStr">
        <is>
          <t>MDO Terceirizada - Artístico</t>
        </is>
      </c>
      <c r="N2443" t="inlineStr">
        <is>
          <t>60</t>
        </is>
      </c>
      <c r="O2443" t="inlineStr">
        <is>
          <t>Documentação Aprovada</t>
        </is>
      </c>
      <c r="P2443" t="inlineStr">
        <is>
          <t>Aprovado Diretoria</t>
        </is>
      </c>
      <c r="Q2443" t="inlineStr">
        <is>
          <t>Aprovado Caixa</t>
        </is>
      </c>
      <c r="R2443" t="inlineStr">
        <is>
          <t>Pago</t>
        </is>
      </c>
      <c r="S2443" t="n">
        <v>115</v>
      </c>
      <c r="T2443" t="inlineStr">
        <is>
          <t>Love - Shibari - Bradesco</t>
        </is>
      </c>
    </row>
    <row r="2444">
      <c r="A2444" t="n">
        <v>118673</v>
      </c>
      <c r="B2444" t="n">
        <v>128</v>
      </c>
      <c r="C2444" t="inlineStr">
        <is>
          <t>Love Cabaret</t>
        </is>
      </c>
      <c r="D2444" t="inlineStr">
        <is>
          <t>WAGNER DA SILVA FRANCA</t>
        </is>
      </c>
      <c r="E2444" t="n">
        <v>500</v>
      </c>
      <c r="F2444" s="27" t="n">
        <v>45740</v>
      </c>
      <c r="G2444" s="27" t="n">
        <v>45740</v>
      </c>
      <c r="H2444" s="27" t="n">
        <v>45740</v>
      </c>
      <c r="I2444" s="27" t="n">
        <v>45720</v>
      </c>
      <c r="J2444" s="27" t="n">
        <v>45733</v>
      </c>
      <c r="K2444" t="inlineStr">
        <is>
          <t>Transferência Bancária ou Pix</t>
        </is>
      </c>
      <c r="L2444" t="inlineStr">
        <is>
          <t>Custos Artístico Geral</t>
        </is>
      </c>
      <c r="M2444" t="inlineStr">
        <is>
          <t>MDO Terceirizada - Artístico</t>
        </is>
      </c>
      <c r="N2444" t="inlineStr">
        <is>
          <t>032025</t>
        </is>
      </c>
      <c r="O2444" t="inlineStr">
        <is>
          <t>Documentação Aprovada</t>
        </is>
      </c>
      <c r="P2444" t="inlineStr">
        <is>
          <t>Aprovado Diretoria</t>
        </is>
      </c>
      <c r="Q2444" t="inlineStr">
        <is>
          <t>Aprovado Caixa</t>
        </is>
      </c>
      <c r="R2444" t="inlineStr">
        <is>
          <t>Pago</t>
        </is>
      </c>
      <c r="S2444" t="n">
        <v>115</v>
      </c>
      <c r="T2444" t="inlineStr">
        <is>
          <t>Love - Shibari - Bradesco</t>
        </is>
      </c>
    </row>
    <row r="2445">
      <c r="A2445" t="n">
        <v>118537</v>
      </c>
      <c r="B2445" t="n">
        <v>128</v>
      </c>
      <c r="C2445" t="inlineStr">
        <is>
          <t>Love Cabaret</t>
        </is>
      </c>
      <c r="D2445" t="inlineStr">
        <is>
          <t>CEM ENGENHARIA DA MANUTENCAO LTDA</t>
        </is>
      </c>
      <c r="E2445" t="n">
        <v>1446.95</v>
      </c>
      <c r="F2445" s="27" t="n">
        <v>45742</v>
      </c>
      <c r="G2445" s="27" t="n">
        <v>45740</v>
      </c>
      <c r="H2445" s="27" t="n">
        <v>45740</v>
      </c>
      <c r="I2445" s="27" t="n">
        <v>45728</v>
      </c>
      <c r="J2445" s="27" t="n">
        <v>45730</v>
      </c>
      <c r="K2445" t="inlineStr">
        <is>
          <t>Boleto Bancário</t>
        </is>
      </c>
      <c r="L2445" t="inlineStr">
        <is>
          <t>Manutenção</t>
        </is>
      </c>
      <c r="M2445" t="inlineStr">
        <is>
          <t>Manutenção Predial</t>
        </is>
      </c>
      <c r="N2445" t="inlineStr">
        <is>
          <t>2302</t>
        </is>
      </c>
      <c r="O2445" t="inlineStr">
        <is>
          <t>Documentação Aprovada</t>
        </is>
      </c>
      <c r="P2445" t="inlineStr">
        <is>
          <t>Aprovado Diretoria</t>
        </is>
      </c>
      <c r="Q2445" t="inlineStr">
        <is>
          <t>Aprovado Caixa</t>
        </is>
      </c>
      <c r="R2445" t="inlineStr">
        <is>
          <t>Pago</t>
        </is>
      </c>
      <c r="S2445" t="n">
        <v>115</v>
      </c>
      <c r="T2445" t="inlineStr">
        <is>
          <t>Love - Shibari - Bradesco</t>
        </is>
      </c>
    </row>
    <row r="2446">
      <c r="A2446" t="n">
        <v>118338</v>
      </c>
      <c r="B2446" t="n">
        <v>128</v>
      </c>
      <c r="C2446" t="inlineStr">
        <is>
          <t>Love Cabaret</t>
        </is>
      </c>
      <c r="D2446" t="inlineStr">
        <is>
          <t>CEPEL COMERCIO DE PAPEIS E EMBALAGENS EIRELI</t>
        </is>
      </c>
      <c r="E2446" t="n">
        <v>417.4</v>
      </c>
      <c r="F2446" s="27" t="n">
        <v>45742</v>
      </c>
      <c r="G2446" s="27" t="n">
        <v>45740</v>
      </c>
      <c r="H2446" s="27" t="n">
        <v>45740</v>
      </c>
      <c r="I2446" s="27" t="n">
        <v>45727</v>
      </c>
      <c r="J2446" s="27" t="n">
        <v>45729</v>
      </c>
      <c r="K2446" t="inlineStr">
        <is>
          <t>Boleto Bancário</t>
        </is>
      </c>
      <c r="L2446" t="inlineStr">
        <is>
          <t>Utilidades</t>
        </is>
      </c>
      <c r="M2446" t="inlineStr">
        <is>
          <t>Higiene e Limpeza</t>
        </is>
      </c>
      <c r="N2446" t="inlineStr">
        <is>
          <t>236261</t>
        </is>
      </c>
      <c r="O2446" t="inlineStr">
        <is>
          <t>Documentação Aprovada</t>
        </is>
      </c>
      <c r="P2446" t="inlineStr">
        <is>
          <t>Aprovado Diretoria</t>
        </is>
      </c>
      <c r="Q2446" t="inlineStr">
        <is>
          <t>Aprovado Caixa</t>
        </is>
      </c>
      <c r="R2446" t="inlineStr">
        <is>
          <t>Pago</t>
        </is>
      </c>
      <c r="S2446" t="n">
        <v>115</v>
      </c>
      <c r="T2446" t="inlineStr">
        <is>
          <t>Love - Shibari - Bradesco</t>
        </is>
      </c>
    </row>
    <row r="2447">
      <c r="A2447" t="n">
        <v>118669</v>
      </c>
      <c r="B2447" t="n">
        <v>128</v>
      </c>
      <c r="C2447" t="inlineStr">
        <is>
          <t>Love Cabaret</t>
        </is>
      </c>
      <c r="D2447" t="inlineStr">
        <is>
          <t xml:space="preserve">DOUGLAS FELIPE DOMINGUES GONCALVES </t>
        </is>
      </c>
      <c r="E2447" t="n">
        <v>500</v>
      </c>
      <c r="F2447" s="27" t="n">
        <v>45740</v>
      </c>
      <c r="G2447" s="27" t="n">
        <v>45740</v>
      </c>
      <c r="H2447" s="27" t="n">
        <v>45740</v>
      </c>
      <c r="I2447" s="27" t="n">
        <v>45720</v>
      </c>
      <c r="J2447" s="27" t="n">
        <v>45733</v>
      </c>
      <c r="K2447" t="inlineStr">
        <is>
          <t>Transferência Bancária ou Pix</t>
        </is>
      </c>
      <c r="L2447" t="inlineStr">
        <is>
          <t>Custos Artístico Geral</t>
        </is>
      </c>
      <c r="M2447" t="inlineStr">
        <is>
          <t>MDO Terceirizada - Artístico</t>
        </is>
      </c>
      <c r="N2447" t="inlineStr">
        <is>
          <t>34</t>
        </is>
      </c>
      <c r="O2447" t="inlineStr">
        <is>
          <t>Documentação Aprovada</t>
        </is>
      </c>
      <c r="P2447" t="inlineStr">
        <is>
          <t>Aprovado Diretoria</t>
        </is>
      </c>
      <c r="Q2447" t="inlineStr">
        <is>
          <t>Aprovado Caixa</t>
        </is>
      </c>
      <c r="R2447" t="inlineStr">
        <is>
          <t>Pago</t>
        </is>
      </c>
      <c r="S2447" t="n">
        <v>115</v>
      </c>
      <c r="T2447" t="inlineStr">
        <is>
          <t>Love - Shibari - Bradesco</t>
        </is>
      </c>
    </row>
    <row r="2448">
      <c r="A2448" t="n">
        <v>118670</v>
      </c>
      <c r="B2448" t="n">
        <v>128</v>
      </c>
      <c r="C2448" t="inlineStr">
        <is>
          <t>Love Cabaret</t>
        </is>
      </c>
      <c r="D2448" t="inlineStr">
        <is>
          <t>ROBERTA MARIA SANTANA</t>
        </is>
      </c>
      <c r="E2448" t="n">
        <v>500</v>
      </c>
      <c r="F2448" s="27" t="n">
        <v>45740</v>
      </c>
      <c r="G2448" s="27" t="n">
        <v>45740</v>
      </c>
      <c r="H2448" s="27" t="n">
        <v>45740</v>
      </c>
      <c r="I2448" s="27" t="n">
        <v>45720</v>
      </c>
      <c r="J2448" s="27" t="n">
        <v>45733</v>
      </c>
      <c r="K2448" t="inlineStr">
        <is>
          <t>Transferência Bancária ou Pix</t>
        </is>
      </c>
      <c r="L2448" t="inlineStr">
        <is>
          <t>Custos Artístico Geral</t>
        </is>
      </c>
      <c r="M2448" t="inlineStr">
        <is>
          <t>MDO Terceirizada - Artístico</t>
        </is>
      </c>
      <c r="N2448" t="inlineStr">
        <is>
          <t>7</t>
        </is>
      </c>
      <c r="O2448" t="inlineStr">
        <is>
          <t>Documentação Aprovada</t>
        </is>
      </c>
      <c r="P2448" t="inlineStr">
        <is>
          <t>Aprovado Diretoria</t>
        </is>
      </c>
      <c r="Q2448" t="inlineStr">
        <is>
          <t>Aprovado Caixa</t>
        </is>
      </c>
      <c r="R2448" t="inlineStr">
        <is>
          <t>Pago</t>
        </is>
      </c>
      <c r="S2448" t="n">
        <v>115</v>
      </c>
      <c r="T2448" t="inlineStr">
        <is>
          <t>Love - Shibari - Bradesco</t>
        </is>
      </c>
    </row>
    <row r="2449">
      <c r="A2449" t="n">
        <v>118671</v>
      </c>
      <c r="B2449" t="n">
        <v>128</v>
      </c>
      <c r="C2449" t="inlineStr">
        <is>
          <t>Love Cabaret</t>
        </is>
      </c>
      <c r="D2449" t="inlineStr">
        <is>
          <t>PUXURI CONSULTORIA LTDA</t>
        </is>
      </c>
      <c r="E2449" t="n">
        <v>500</v>
      </c>
      <c r="F2449" s="27" t="n">
        <v>45740</v>
      </c>
      <c r="G2449" s="27" t="n">
        <v>45740</v>
      </c>
      <c r="H2449" s="27" t="n">
        <v>45740</v>
      </c>
      <c r="I2449" s="27" t="n">
        <v>45720</v>
      </c>
      <c r="J2449" s="27" t="n">
        <v>45733</v>
      </c>
      <c r="K2449" t="inlineStr">
        <is>
          <t>Transferência Bancária ou Pix</t>
        </is>
      </c>
      <c r="L2449" t="inlineStr">
        <is>
          <t>Custos Artístico Geral</t>
        </is>
      </c>
      <c r="M2449" t="inlineStr">
        <is>
          <t>MDO Terceirizada - Artístico</t>
        </is>
      </c>
      <c r="N2449" t="inlineStr">
        <is>
          <t>101</t>
        </is>
      </c>
      <c r="O2449" t="inlineStr">
        <is>
          <t>Documentação Aprovada</t>
        </is>
      </c>
      <c r="P2449" t="inlineStr">
        <is>
          <t>Aprovado Diretoria</t>
        </is>
      </c>
      <c r="Q2449" t="inlineStr">
        <is>
          <t>Aprovado Caixa</t>
        </is>
      </c>
      <c r="R2449" t="inlineStr">
        <is>
          <t>Pago</t>
        </is>
      </c>
      <c r="S2449" t="n">
        <v>115</v>
      </c>
      <c r="T2449" t="inlineStr">
        <is>
          <t>Love - Shibari - Bradesco</t>
        </is>
      </c>
    </row>
    <row r="2450">
      <c r="A2450" t="n">
        <v>116648</v>
      </c>
      <c r="B2450" t="n">
        <v>128</v>
      </c>
      <c r="C2450" t="inlineStr">
        <is>
          <t>Love Cabaret</t>
        </is>
      </c>
      <c r="D2450" t="inlineStr">
        <is>
          <t>LALAMOVE TECNOLOGIA (BRASIL) LTDA</t>
        </is>
      </c>
      <c r="E2450" t="n">
        <v>15.74</v>
      </c>
      <c r="F2450" s="27" t="n">
        <v>45740</v>
      </c>
      <c r="G2450" s="27" t="n">
        <v>45740</v>
      </c>
      <c r="H2450" s="27" t="n">
        <v>45740</v>
      </c>
      <c r="I2450" s="27" t="n">
        <v>45716</v>
      </c>
      <c r="J2450" s="27" t="n">
        <v>45726</v>
      </c>
      <c r="K2450" t="inlineStr">
        <is>
          <t>Transferência Bancária ou Pix</t>
        </is>
      </c>
      <c r="L2450" t="inlineStr">
        <is>
          <t>Despesas com Transporte / Hospedagem</t>
        </is>
      </c>
      <c r="M2450" t="inlineStr">
        <is>
          <t>Fretes e Carretos</t>
        </is>
      </c>
      <c r="N2450" t="inlineStr">
        <is>
          <t>0172025</t>
        </is>
      </c>
      <c r="O2450" t="inlineStr">
        <is>
          <t>Documentação Aprovada</t>
        </is>
      </c>
      <c r="P2450" t="inlineStr">
        <is>
          <t>Aprovado Diretoria</t>
        </is>
      </c>
      <c r="Q2450" t="inlineStr">
        <is>
          <t>Aprovado Caixa</t>
        </is>
      </c>
      <c r="R2450" t="inlineStr">
        <is>
          <t>Pago</t>
        </is>
      </c>
      <c r="S2450" t="n">
        <v>115</v>
      </c>
      <c r="T2450" t="inlineStr">
        <is>
          <t>Love - Shibari - Bradesco</t>
        </is>
      </c>
    </row>
    <row r="2451">
      <c r="A2451" t="n">
        <v>118002</v>
      </c>
      <c r="B2451" t="n">
        <v>128</v>
      </c>
      <c r="C2451" t="inlineStr">
        <is>
          <t>Love Cabaret</t>
        </is>
      </c>
      <c r="D2451" t="inlineStr">
        <is>
          <t>CLOROART SERVICOS E COMERCIO LTDA-ME</t>
        </is>
      </c>
      <c r="E2451" t="n">
        <v>2450</v>
      </c>
      <c r="F2451" s="27" t="n">
        <v>45740</v>
      </c>
      <c r="G2451" s="27" t="n">
        <v>45740</v>
      </c>
      <c r="H2451" s="27" t="n">
        <v>45740</v>
      </c>
      <c r="I2451" s="27" t="n">
        <v>45726</v>
      </c>
      <c r="J2451" s="27" t="n">
        <v>45728</v>
      </c>
      <c r="K2451" t="inlineStr">
        <is>
          <t>Transferência Bancária ou Pix</t>
        </is>
      </c>
      <c r="L2451" t="inlineStr">
        <is>
          <t>Utilidades</t>
        </is>
      </c>
      <c r="M2451" t="inlineStr">
        <is>
          <t>Serviços de Limpeza</t>
        </is>
      </c>
      <c r="N2451" t="inlineStr">
        <is>
          <t>2739</t>
        </is>
      </c>
      <c r="O2451" t="inlineStr">
        <is>
          <t>Documentação Aprovada</t>
        </is>
      </c>
      <c r="P2451" t="inlineStr">
        <is>
          <t>Aprovado Diretoria</t>
        </is>
      </c>
      <c r="Q2451" t="inlineStr">
        <is>
          <t>Aprovado Caixa</t>
        </is>
      </c>
      <c r="R2451" t="inlineStr">
        <is>
          <t>Pago</t>
        </is>
      </c>
      <c r="S2451" t="n">
        <v>115</v>
      </c>
      <c r="T2451" t="inlineStr">
        <is>
          <t>Love - Shibari - Bradesco</t>
        </is>
      </c>
    </row>
    <row r="2452">
      <c r="A2452" t="n">
        <v>97011</v>
      </c>
      <c r="B2452" t="n">
        <v>128</v>
      </c>
      <c r="C2452" t="inlineStr">
        <is>
          <t>Love Cabaret</t>
        </is>
      </c>
      <c r="D2452" t="inlineStr">
        <is>
          <t>ESHOWS PROMOCOES ARTISTICAS LTDA</t>
        </is>
      </c>
      <c r="E2452" t="n">
        <v>6765</v>
      </c>
      <c r="F2452" s="27" t="n">
        <v>45743</v>
      </c>
      <c r="G2452" s="27" t="n">
        <v>45740</v>
      </c>
      <c r="H2452" s="27" t="n">
        <v>45740</v>
      </c>
      <c r="I2452" s="27" t="n">
        <v>45717</v>
      </c>
      <c r="J2452" s="27" t="n"/>
      <c r="K2452" t="inlineStr">
        <is>
          <t>Boleto Bancário</t>
        </is>
      </c>
      <c r="L2452" t="inlineStr">
        <is>
          <t>Custos Artístico Geral</t>
        </is>
      </c>
      <c r="M2452" t="inlineStr">
        <is>
          <t>Cachê de Músicos e Artistas</t>
        </is>
      </c>
      <c r="N2452" t="inlineStr">
        <is>
          <t>536499321</t>
        </is>
      </c>
      <c r="O2452" t="inlineStr">
        <is>
          <t>Documentação Aprovada</t>
        </is>
      </c>
      <c r="P2452" t="inlineStr">
        <is>
          <t>Aprovado Diretoria</t>
        </is>
      </c>
      <c r="Q2452" t="inlineStr">
        <is>
          <t>Aprovado Caixa</t>
        </is>
      </c>
      <c r="R2452" t="inlineStr">
        <is>
          <t>Pago</t>
        </is>
      </c>
      <c r="S2452" t="n">
        <v>115</v>
      </c>
      <c r="T2452" t="inlineStr">
        <is>
          <t>Love - Shibari - Bradesco</t>
        </is>
      </c>
    </row>
    <row r="2453">
      <c r="A2453" t="n">
        <v>96881</v>
      </c>
      <c r="B2453" t="n">
        <v>128</v>
      </c>
      <c r="C2453" t="inlineStr">
        <is>
          <t>Love Cabaret</t>
        </is>
      </c>
      <c r="D2453" t="inlineStr">
        <is>
          <t>ALPHALIX AMBIENTEAL LOC/ DE EQUIPAMENTOS EIRELI</t>
        </is>
      </c>
      <c r="E2453" t="n">
        <v>1170.78</v>
      </c>
      <c r="F2453" s="27" t="n">
        <v>45741</v>
      </c>
      <c r="G2453" s="27" t="n">
        <v>45740</v>
      </c>
      <c r="H2453" s="27" t="n">
        <v>45740</v>
      </c>
      <c r="I2453" s="27" t="n">
        <v>45716</v>
      </c>
      <c r="J2453" s="27" t="n"/>
      <c r="K2453" t="inlineStr">
        <is>
          <t>Boleto Bancário</t>
        </is>
      </c>
      <c r="L2453" t="inlineStr">
        <is>
          <t>Utilidades</t>
        </is>
      </c>
      <c r="M2453" t="inlineStr">
        <is>
          <t>Coleta de lixo</t>
        </is>
      </c>
      <c r="N2453" t="inlineStr">
        <is>
          <t>42914</t>
        </is>
      </c>
      <c r="O2453" t="inlineStr">
        <is>
          <t>Documentação Aprovada</t>
        </is>
      </c>
      <c r="P2453" t="inlineStr">
        <is>
          <t>Aprovado Diretoria</t>
        </is>
      </c>
      <c r="Q2453" t="inlineStr">
        <is>
          <t>Aprovado Caixa</t>
        </is>
      </c>
      <c r="R2453" t="inlineStr">
        <is>
          <t>Pago</t>
        </is>
      </c>
      <c r="S2453" t="n">
        <v>115</v>
      </c>
      <c r="T2453" t="inlineStr">
        <is>
          <t>Love - Shibari - Bradesco</t>
        </is>
      </c>
    </row>
    <row r="2454">
      <c r="A2454" t="n">
        <v>96909</v>
      </c>
      <c r="B2454" t="n">
        <v>128</v>
      </c>
      <c r="C2454" t="inlineStr">
        <is>
          <t>Love Cabaret</t>
        </is>
      </c>
      <c r="D2454" t="inlineStr">
        <is>
          <t>COFINS</t>
        </is>
      </c>
      <c r="E2454" t="n">
        <v>7974.31</v>
      </c>
      <c r="F2454" s="27" t="n">
        <v>45741</v>
      </c>
      <c r="G2454" s="27" t="n">
        <v>45740</v>
      </c>
      <c r="H2454" s="27" t="n">
        <v>45740</v>
      </c>
      <c r="I2454" s="27" t="n">
        <v>45716</v>
      </c>
      <c r="J2454" s="27" t="n"/>
      <c r="K2454" t="inlineStr">
        <is>
          <t>Boleto Bancário</t>
        </is>
      </c>
      <c r="L2454" t="inlineStr">
        <is>
          <t>Impostos sobre Venda</t>
        </is>
      </c>
      <c r="M2454" t="inlineStr">
        <is>
          <t>PIS / COFINS</t>
        </is>
      </c>
      <c r="N2454" t="inlineStr">
        <is>
          <t>797431 022025</t>
        </is>
      </c>
      <c r="O2454" t="inlineStr">
        <is>
          <t>Documentação Aprovada</t>
        </is>
      </c>
      <c r="P2454" t="inlineStr">
        <is>
          <t>Aprovado Diretoria</t>
        </is>
      </c>
      <c r="Q2454" t="inlineStr">
        <is>
          <t>Aprovado Caixa</t>
        </is>
      </c>
      <c r="R2454" t="inlineStr">
        <is>
          <t>Pago</t>
        </is>
      </c>
      <c r="S2454" t="n">
        <v>115</v>
      </c>
      <c r="T2454" t="inlineStr">
        <is>
          <t>Love - Shibari - Bradesco</t>
        </is>
      </c>
    </row>
    <row r="2455">
      <c r="A2455" t="n">
        <v>115124</v>
      </c>
      <c r="B2455" t="n">
        <v>128</v>
      </c>
      <c r="C2455" t="inlineStr">
        <is>
          <t>Love Cabaret</t>
        </is>
      </c>
      <c r="D2455" t="inlineStr">
        <is>
          <t>KING COMERCIO E IMPORTACAO DE BEBIDAS LTDA</t>
        </is>
      </c>
      <c r="E2455" t="n">
        <v>2418.42</v>
      </c>
      <c r="F2455" s="27" t="n">
        <v>45740</v>
      </c>
      <c r="G2455" s="27" t="n">
        <v>45740</v>
      </c>
      <c r="H2455" s="27" t="n">
        <v>45740</v>
      </c>
      <c r="I2455" s="27" t="n">
        <v>45712</v>
      </c>
      <c r="J2455" s="27" t="n">
        <v>45718</v>
      </c>
      <c r="K2455" t="inlineStr">
        <is>
          <t>Boleto Bancário</t>
        </is>
      </c>
      <c r="L2455" t="inlineStr">
        <is>
          <t>Custo Mercadoria Vendida</t>
        </is>
      </c>
      <c r="M2455" t="inlineStr">
        <is>
          <t>Insumos - Bebidas</t>
        </is>
      </c>
      <c r="N2455" t="inlineStr">
        <is>
          <t>115417</t>
        </is>
      </c>
      <c r="O2455" t="inlineStr">
        <is>
          <t>Documentação Aprovada</t>
        </is>
      </c>
      <c r="P2455" t="inlineStr">
        <is>
          <t>Aprovado Diretoria</t>
        </is>
      </c>
      <c r="Q2455" t="inlineStr">
        <is>
          <t>Aprovado Caixa</t>
        </is>
      </c>
      <c r="R2455" t="inlineStr">
        <is>
          <t>Pago</t>
        </is>
      </c>
      <c r="S2455" t="n">
        <v>115</v>
      </c>
      <c r="T2455" t="inlineStr">
        <is>
          <t>Love - Shibari - Bradesco</t>
        </is>
      </c>
    </row>
    <row r="2456">
      <c r="A2456" t="n">
        <v>115132</v>
      </c>
      <c r="B2456" t="n">
        <v>128</v>
      </c>
      <c r="C2456" t="inlineStr">
        <is>
          <t>Love Cabaret</t>
        </is>
      </c>
      <c r="D2456" t="inlineStr">
        <is>
          <t>MURILLO S DUARTE COMERCIAL LTDA</t>
        </is>
      </c>
      <c r="E2456" t="n">
        <v>202</v>
      </c>
      <c r="F2456" s="27" t="n">
        <v>45740</v>
      </c>
      <c r="G2456" s="27" t="n">
        <v>45740</v>
      </c>
      <c r="H2456" s="27" t="n">
        <v>45740</v>
      </c>
      <c r="I2456" s="27" t="n">
        <v>45713</v>
      </c>
      <c r="J2456" s="27" t="n">
        <v>45718</v>
      </c>
      <c r="K2456" t="inlineStr">
        <is>
          <t>Boleto Bancário</t>
        </is>
      </c>
      <c r="L2456" t="inlineStr">
        <is>
          <t>Custo Mercadoria Vendida</t>
        </is>
      </c>
      <c r="M2456" t="inlineStr">
        <is>
          <t>Insumos - Alimentos</t>
        </is>
      </c>
      <c r="N2456" t="inlineStr">
        <is>
          <t>1864</t>
        </is>
      </c>
      <c r="O2456" t="inlineStr">
        <is>
          <t>Documentação Aprovada</t>
        </is>
      </c>
      <c r="P2456" t="inlineStr">
        <is>
          <t>Aprovado Diretoria</t>
        </is>
      </c>
      <c r="Q2456" t="inlineStr">
        <is>
          <t>Aprovado Caixa</t>
        </is>
      </c>
      <c r="R2456" t="inlineStr">
        <is>
          <t>Pago</t>
        </is>
      </c>
      <c r="S2456" t="n">
        <v>115</v>
      </c>
      <c r="T2456" t="inlineStr">
        <is>
          <t>Love - Shibari - Bradesco</t>
        </is>
      </c>
    </row>
    <row r="2457">
      <c r="A2457" t="n">
        <v>114579</v>
      </c>
      <c r="B2457" t="n">
        <v>128</v>
      </c>
      <c r="C2457" t="inlineStr">
        <is>
          <t>Love Cabaret</t>
        </is>
      </c>
      <c r="D2457" t="inlineStr">
        <is>
          <t>HORTICLEAN DISTRIBUIDORA DE HORTIFRUTI LTDA</t>
        </is>
      </c>
      <c r="E2457" t="n">
        <v>233.96</v>
      </c>
      <c r="F2457" s="27" t="n">
        <v>45741</v>
      </c>
      <c r="G2457" s="27" t="n">
        <v>45740</v>
      </c>
      <c r="H2457" s="27" t="n">
        <v>45740</v>
      </c>
      <c r="I2457" s="27" t="n">
        <v>45713</v>
      </c>
      <c r="J2457" s="27" t="n">
        <v>45715</v>
      </c>
      <c r="K2457" t="inlineStr">
        <is>
          <t>Boleto Bancário</t>
        </is>
      </c>
      <c r="L2457" t="inlineStr">
        <is>
          <t>Custo Mercadoria Vendida</t>
        </is>
      </c>
      <c r="M2457" t="inlineStr">
        <is>
          <t>Insumos - Alimentos</t>
        </is>
      </c>
      <c r="N2457" t="inlineStr">
        <is>
          <t>25927</t>
        </is>
      </c>
      <c r="O2457" t="inlineStr">
        <is>
          <t>Documentação Aprovada</t>
        </is>
      </c>
      <c r="P2457" t="inlineStr">
        <is>
          <t>Aprovado Diretoria</t>
        </is>
      </c>
      <c r="Q2457" t="inlineStr">
        <is>
          <t>Aprovado Caixa</t>
        </is>
      </c>
      <c r="R2457" t="inlineStr">
        <is>
          <t>Pago</t>
        </is>
      </c>
      <c r="S2457" t="n">
        <v>115</v>
      </c>
      <c r="T2457" t="inlineStr">
        <is>
          <t>Love - Shibari - Bradesco</t>
        </is>
      </c>
    </row>
    <row r="2458">
      <c r="A2458" t="n">
        <v>114576</v>
      </c>
      <c r="B2458" t="n">
        <v>128</v>
      </c>
      <c r="C2458" t="inlineStr">
        <is>
          <t>Love Cabaret</t>
        </is>
      </c>
      <c r="D2458" t="inlineStr">
        <is>
          <t>CECILIA TSUYACO ARAKI SILVA LTDA</t>
        </is>
      </c>
      <c r="E2458" t="n">
        <v>216.15</v>
      </c>
      <c r="F2458" s="27" t="n">
        <v>45740</v>
      </c>
      <c r="G2458" s="27" t="n">
        <v>45740</v>
      </c>
      <c r="H2458" s="27" t="n">
        <v>45740</v>
      </c>
      <c r="I2458" s="27" t="n">
        <v>45712</v>
      </c>
      <c r="J2458" s="27" t="n">
        <v>45715</v>
      </c>
      <c r="K2458" t="inlineStr">
        <is>
          <t>Boleto Bancário</t>
        </is>
      </c>
      <c r="L2458" t="inlineStr">
        <is>
          <t>Custo Mercadoria Vendida</t>
        </is>
      </c>
      <c r="M2458" t="inlineStr">
        <is>
          <t>Insumos - Alimentos</t>
        </is>
      </c>
      <c r="N2458" t="inlineStr">
        <is>
          <t>366388</t>
        </is>
      </c>
      <c r="O2458" t="inlineStr">
        <is>
          <t>Documentação Aprovada</t>
        </is>
      </c>
      <c r="P2458" t="inlineStr">
        <is>
          <t>Aprovado Diretoria</t>
        </is>
      </c>
      <c r="Q2458" t="inlineStr">
        <is>
          <t>Aprovado Caixa</t>
        </is>
      </c>
      <c r="R2458" t="inlineStr">
        <is>
          <t>Pago</t>
        </is>
      </c>
      <c r="S2458" t="n">
        <v>115</v>
      </c>
      <c r="T2458" t="inlineStr">
        <is>
          <t>Love - Shibari - Bradesco</t>
        </is>
      </c>
    </row>
    <row r="2459">
      <c r="A2459" t="n">
        <v>106674</v>
      </c>
      <c r="B2459" t="n">
        <v>128</v>
      </c>
      <c r="C2459" t="inlineStr">
        <is>
          <t>Love Cabaret</t>
        </is>
      </c>
      <c r="D2459" t="inlineStr">
        <is>
          <t>AURORA ALVORADA ESTACIONAMENTO E LANCHONETE LTDA</t>
        </is>
      </c>
      <c r="E2459" t="n">
        <v>234</v>
      </c>
      <c r="F2459" s="27" t="n">
        <v>45741</v>
      </c>
      <c r="G2459" s="27" t="n">
        <v>45740</v>
      </c>
      <c r="H2459" s="27" t="n">
        <v>45740</v>
      </c>
      <c r="I2459" s="27" t="n">
        <v>45733</v>
      </c>
      <c r="J2459" s="27" t="n"/>
      <c r="K2459" t="inlineStr">
        <is>
          <t>Boleto Bancário</t>
        </is>
      </c>
      <c r="L2459" t="inlineStr">
        <is>
          <t>Custo Mercadoria Vendida</t>
        </is>
      </c>
      <c r="M2459" t="inlineStr">
        <is>
          <t>Insumos - Alimentos</t>
        </is>
      </c>
      <c r="N2459" t="inlineStr">
        <is>
          <t>10388</t>
        </is>
      </c>
      <c r="O2459" t="inlineStr">
        <is>
          <t>Documentação Aprovada</t>
        </is>
      </c>
      <c r="P2459" t="inlineStr">
        <is>
          <t>Aprovado Diretoria</t>
        </is>
      </c>
      <c r="Q2459" t="inlineStr">
        <is>
          <t>Aprovado Caixa</t>
        </is>
      </c>
      <c r="R2459" t="inlineStr">
        <is>
          <t>Pago</t>
        </is>
      </c>
      <c r="S2459" t="n">
        <v>115</v>
      </c>
      <c r="T2459" t="inlineStr">
        <is>
          <t>Love - Shibari - Bradesco</t>
        </is>
      </c>
    </row>
    <row r="2460">
      <c r="A2460" t="n">
        <v>120257</v>
      </c>
      <c r="B2460" t="n">
        <v>128</v>
      </c>
      <c r="C2460" t="inlineStr">
        <is>
          <t>Love Cabaret</t>
        </is>
      </c>
      <c r="D2460" t="inlineStr">
        <is>
          <t>BRADESCO SA</t>
        </is>
      </c>
      <c r="E2460" t="n">
        <v>19.65</v>
      </c>
      <c r="F2460" s="27" t="n">
        <v>45737</v>
      </c>
      <c r="G2460" s="27" t="n"/>
      <c r="H2460" s="27" t="n">
        <v>45737</v>
      </c>
      <c r="I2460" s="27" t="n">
        <v>45737</v>
      </c>
      <c r="J2460" s="27" t="n">
        <v>45740</v>
      </c>
      <c r="K2460" t="inlineStr">
        <is>
          <t>Encontro de Contas</t>
        </is>
      </c>
      <c r="L2460" t="inlineStr">
        <is>
          <t>Despesas Financeiras</t>
        </is>
      </c>
      <c r="M2460" t="inlineStr">
        <is>
          <t>Tarifas Bancárias</t>
        </is>
      </c>
      <c r="N2460" t="inlineStr">
        <is>
          <t>032025</t>
        </is>
      </c>
      <c r="P2460" t="inlineStr">
        <is>
          <t>Aprovado Diretoria</t>
        </is>
      </c>
      <c r="R2460" t="inlineStr">
        <is>
          <t>Pago</t>
        </is>
      </c>
    </row>
    <row r="2461">
      <c r="A2461" t="n">
        <v>117996</v>
      </c>
      <c r="B2461" t="n">
        <v>128</v>
      </c>
      <c r="C2461" t="inlineStr">
        <is>
          <t>Love Cabaret</t>
        </is>
      </c>
      <c r="D2461" t="inlineStr">
        <is>
          <t>CN ENGENHARIA - MANUTENCAO LTDA</t>
        </is>
      </c>
      <c r="E2461" t="n">
        <v>9726</v>
      </c>
      <c r="F2461" s="27" t="n">
        <v>45736</v>
      </c>
      <c r="G2461" s="27" t="n">
        <v>45735</v>
      </c>
      <c r="H2461" s="27" t="n">
        <v>45735</v>
      </c>
      <c r="I2461" s="27" t="n">
        <v>45722</v>
      </c>
      <c r="J2461" s="27" t="n">
        <v>45728</v>
      </c>
      <c r="K2461" t="inlineStr">
        <is>
          <t>Boleto Bancário</t>
        </is>
      </c>
      <c r="L2461" t="inlineStr">
        <is>
          <t>Manutenção</t>
        </is>
      </c>
      <c r="M2461" t="inlineStr">
        <is>
          <t>Manutenção Predial</t>
        </is>
      </c>
      <c r="N2461" t="inlineStr">
        <is>
          <t>418</t>
        </is>
      </c>
      <c r="O2461" t="inlineStr">
        <is>
          <t>Documentação Aprovada</t>
        </is>
      </c>
      <c r="P2461" t="inlineStr">
        <is>
          <t>Aprovado Diretoria</t>
        </is>
      </c>
      <c r="Q2461" t="inlineStr">
        <is>
          <t>Aprovado Caixa</t>
        </is>
      </c>
      <c r="R2461" t="inlineStr">
        <is>
          <t>Pago</t>
        </is>
      </c>
      <c r="S2461" t="n">
        <v>115</v>
      </c>
      <c r="T2461" t="inlineStr">
        <is>
          <t>Love - Shibari - Bradesco</t>
        </is>
      </c>
    </row>
    <row r="2462">
      <c r="A2462" t="n">
        <v>116600</v>
      </c>
      <c r="B2462" t="n">
        <v>128</v>
      </c>
      <c r="C2462" t="inlineStr">
        <is>
          <t>Love Cabaret</t>
        </is>
      </c>
      <c r="D2462" t="inlineStr">
        <is>
          <t>INSS</t>
        </is>
      </c>
      <c r="E2462" t="n">
        <v>2202.9</v>
      </c>
      <c r="F2462" s="27" t="n">
        <v>45736</v>
      </c>
      <c r="G2462" s="27" t="n">
        <v>45735</v>
      </c>
      <c r="H2462" s="27" t="n">
        <v>45735</v>
      </c>
      <c r="I2462" s="27" t="n">
        <v>45716</v>
      </c>
      <c r="J2462" s="27" t="n">
        <v>45723</v>
      </c>
      <c r="K2462" t="inlineStr">
        <is>
          <t>Boleto Bancário</t>
        </is>
      </c>
      <c r="L2462" t="inlineStr">
        <is>
          <t>Mão de Obra - Encargos e Provisões</t>
        </is>
      </c>
      <c r="M2462" t="inlineStr">
        <is>
          <t xml:space="preserve">  -  INSS Patronal</t>
        </is>
      </c>
      <c r="N2462" t="inlineStr">
        <is>
          <t>220290 022025</t>
        </is>
      </c>
      <c r="O2462" t="inlineStr">
        <is>
          <t>Documentação Aprovada</t>
        </is>
      </c>
      <c r="P2462" t="inlineStr">
        <is>
          <t>Aprovado Diretoria</t>
        </is>
      </c>
      <c r="Q2462" t="inlineStr">
        <is>
          <t>Aprovado Caixa</t>
        </is>
      </c>
      <c r="R2462" t="inlineStr">
        <is>
          <t>Pago</t>
        </is>
      </c>
      <c r="S2462" t="n">
        <v>115</v>
      </c>
      <c r="T2462" t="inlineStr">
        <is>
          <t>Love - Shibari - Bradesco</t>
        </is>
      </c>
    </row>
    <row r="2463">
      <c r="A2463" t="n">
        <v>116602</v>
      </c>
      <c r="B2463" t="n">
        <v>128</v>
      </c>
      <c r="C2463" t="inlineStr">
        <is>
          <t>Love Cabaret</t>
        </is>
      </c>
      <c r="D2463" t="inlineStr">
        <is>
          <t>INSS</t>
        </is>
      </c>
      <c r="E2463" t="n">
        <v>705.5700000000001</v>
      </c>
      <c r="F2463" s="27" t="n">
        <v>45736</v>
      </c>
      <c r="G2463" s="27" t="n">
        <v>45735</v>
      </c>
      <c r="H2463" s="27" t="n">
        <v>45735</v>
      </c>
      <c r="I2463" s="27" t="n">
        <v>45716</v>
      </c>
      <c r="J2463" s="27" t="n">
        <v>45723</v>
      </c>
      <c r="K2463" t="inlineStr">
        <is>
          <t>Boleto Bancário</t>
        </is>
      </c>
      <c r="L2463" t="inlineStr">
        <is>
          <t>Mão de Obra - Encargos e Provisões</t>
        </is>
      </c>
      <c r="M2463" t="inlineStr">
        <is>
          <t xml:space="preserve">  -  INSS Segurados</t>
        </is>
      </c>
      <c r="N2463" t="inlineStr">
        <is>
          <t>70557 022025</t>
        </is>
      </c>
      <c r="O2463" t="inlineStr">
        <is>
          <t>Documentação Aprovada</t>
        </is>
      </c>
      <c r="P2463" t="inlineStr">
        <is>
          <t>Aprovado Diretoria</t>
        </is>
      </c>
      <c r="Q2463" t="inlineStr">
        <is>
          <t>Aprovado Caixa</t>
        </is>
      </c>
      <c r="R2463" t="inlineStr">
        <is>
          <t>Pago</t>
        </is>
      </c>
      <c r="S2463" t="n">
        <v>115</v>
      </c>
      <c r="T2463" t="inlineStr">
        <is>
          <t>Love - Shibari - Bradesco</t>
        </is>
      </c>
    </row>
    <row r="2464">
      <c r="A2464" t="n">
        <v>116603</v>
      </c>
      <c r="B2464" t="n">
        <v>128</v>
      </c>
      <c r="C2464" t="inlineStr">
        <is>
          <t>Love Cabaret</t>
        </is>
      </c>
      <c r="D2464" t="inlineStr">
        <is>
          <t>FGTS</t>
        </is>
      </c>
      <c r="E2464" t="n">
        <v>611.91</v>
      </c>
      <c r="F2464" s="27" t="n">
        <v>45736</v>
      </c>
      <c r="G2464" s="27" t="n">
        <v>45735</v>
      </c>
      <c r="H2464" s="27" t="n">
        <v>45735</v>
      </c>
      <c r="I2464" s="27" t="n">
        <v>45716</v>
      </c>
      <c r="J2464" s="27" t="n">
        <v>45723</v>
      </c>
      <c r="K2464" t="inlineStr">
        <is>
          <t>Transferência Bancária ou Pix</t>
        </is>
      </c>
      <c r="L2464" t="inlineStr">
        <is>
          <t>Mão de Obra - Encargos e Provisões</t>
        </is>
      </c>
      <c r="M2464" t="inlineStr">
        <is>
          <t xml:space="preserve">  -  FGTS</t>
        </is>
      </c>
      <c r="N2464" t="inlineStr">
        <is>
          <t>61191 022025</t>
        </is>
      </c>
      <c r="O2464" t="inlineStr">
        <is>
          <t>Documentação Aprovada</t>
        </is>
      </c>
      <c r="P2464" t="inlineStr">
        <is>
          <t>Aprovado Diretoria</t>
        </is>
      </c>
      <c r="Q2464" t="inlineStr">
        <is>
          <t>Aprovado Caixa</t>
        </is>
      </c>
      <c r="R2464" t="inlineStr">
        <is>
          <t>Pago</t>
        </is>
      </c>
      <c r="S2464" t="n">
        <v>115</v>
      </c>
      <c r="T2464" t="inlineStr">
        <is>
          <t>Love - Shibari - Bradesco</t>
        </is>
      </c>
    </row>
    <row r="2465">
      <c r="A2465" t="n">
        <v>119185</v>
      </c>
      <c r="B2465" t="n">
        <v>128</v>
      </c>
      <c r="C2465" t="inlineStr">
        <is>
          <t>Love Cabaret</t>
        </is>
      </c>
      <c r="D2465" t="inlineStr">
        <is>
          <t>CAROLINE FERREIRA DA SILVA</t>
        </is>
      </c>
      <c r="E2465" t="n">
        <v>900.52</v>
      </c>
      <c r="F2465" s="27" t="n">
        <v>45736</v>
      </c>
      <c r="G2465" s="27" t="n">
        <v>45735</v>
      </c>
      <c r="H2465" s="27" t="n">
        <v>45735</v>
      </c>
      <c r="I2465" s="27" t="n">
        <v>45731</v>
      </c>
      <c r="J2465" s="27" t="n"/>
      <c r="K2465" t="inlineStr">
        <is>
          <t>Transferência Bancária ou Pix</t>
        </is>
      </c>
      <c r="L2465" t="inlineStr">
        <is>
          <t>Mão de Obra - Salários</t>
        </is>
      </c>
      <c r="M2465" t="inlineStr">
        <is>
          <t>MDO CLT - Salário</t>
        </is>
      </c>
      <c r="N2465" t="inlineStr">
        <is>
          <t>90052 032025</t>
        </is>
      </c>
      <c r="O2465" t="inlineStr">
        <is>
          <t>Documentação Aprovada</t>
        </is>
      </c>
      <c r="P2465" t="inlineStr">
        <is>
          <t>Aprovado Diretoria</t>
        </is>
      </c>
      <c r="Q2465" t="inlineStr">
        <is>
          <t>Aprovado Caixa</t>
        </is>
      </c>
      <c r="R2465" t="inlineStr">
        <is>
          <t>Pago</t>
        </is>
      </c>
      <c r="S2465" t="n">
        <v>115</v>
      </c>
      <c r="T2465" t="inlineStr">
        <is>
          <t>Love - Shibari - Bradesco</t>
        </is>
      </c>
    </row>
    <row r="2466">
      <c r="A2466" t="n">
        <v>119186</v>
      </c>
      <c r="B2466" t="n">
        <v>128</v>
      </c>
      <c r="C2466" t="inlineStr">
        <is>
          <t>Love Cabaret</t>
        </is>
      </c>
      <c r="D2466" t="inlineStr">
        <is>
          <t>PEDRO THOMAZ RODRIGUES</t>
        </is>
      </c>
      <c r="E2466" t="n">
        <v>842.73</v>
      </c>
      <c r="F2466" s="27" t="n">
        <v>45736</v>
      </c>
      <c r="G2466" s="27" t="n">
        <v>45735</v>
      </c>
      <c r="H2466" s="27" t="n">
        <v>45735</v>
      </c>
      <c r="I2466" s="27" t="n">
        <v>45731</v>
      </c>
      <c r="J2466" s="27" t="n"/>
      <c r="K2466" t="inlineStr">
        <is>
          <t>Transferência Bancária ou Pix</t>
        </is>
      </c>
      <c r="L2466" t="inlineStr">
        <is>
          <t>Mão de Obra - Salários</t>
        </is>
      </c>
      <c r="M2466" t="inlineStr">
        <is>
          <t>MDO CLT - Salário</t>
        </is>
      </c>
      <c r="N2466" t="inlineStr">
        <is>
          <t>84273 032025</t>
        </is>
      </c>
      <c r="O2466" t="inlineStr">
        <is>
          <t>Documentação Aprovada</t>
        </is>
      </c>
      <c r="P2466" t="inlineStr">
        <is>
          <t>Aprovado Diretoria</t>
        </is>
      </c>
      <c r="Q2466" t="inlineStr">
        <is>
          <t>Aprovado Caixa</t>
        </is>
      </c>
      <c r="R2466" t="inlineStr">
        <is>
          <t>Pago</t>
        </is>
      </c>
      <c r="S2466" t="n">
        <v>115</v>
      </c>
      <c r="T2466" t="inlineStr">
        <is>
          <t>Love - Shibari - Bradesco</t>
        </is>
      </c>
    </row>
    <row r="2467">
      <c r="A2467" t="n">
        <v>119726</v>
      </c>
      <c r="B2467" t="n">
        <v>128</v>
      </c>
      <c r="C2467" t="inlineStr">
        <is>
          <t>Love Cabaret</t>
        </is>
      </c>
      <c r="D2467" t="inlineStr">
        <is>
          <t>BRADESCO SA</t>
        </is>
      </c>
      <c r="E2467" t="n">
        <v>8.82</v>
      </c>
      <c r="F2467" s="27" t="n">
        <v>45735</v>
      </c>
      <c r="G2467" s="27" t="n"/>
      <c r="H2467" s="27" t="n">
        <v>45735</v>
      </c>
      <c r="I2467" s="27" t="n">
        <v>45735</v>
      </c>
      <c r="J2467" s="27" t="n">
        <v>45736</v>
      </c>
      <c r="K2467" t="inlineStr">
        <is>
          <t>Encontro de Contas</t>
        </is>
      </c>
      <c r="L2467" t="inlineStr">
        <is>
          <t>Despesas Financeiras</t>
        </is>
      </c>
      <c r="M2467" t="inlineStr">
        <is>
          <t>Tarifas Bancárias</t>
        </is>
      </c>
      <c r="N2467" t="inlineStr">
        <is>
          <t>032025</t>
        </is>
      </c>
      <c r="P2467" t="inlineStr">
        <is>
          <t>Aprovado Diretoria</t>
        </is>
      </c>
      <c r="R2467" t="inlineStr">
        <is>
          <t>Pago</t>
        </is>
      </c>
    </row>
    <row r="2468">
      <c r="A2468" t="n">
        <v>118228</v>
      </c>
      <c r="B2468" t="n">
        <v>128</v>
      </c>
      <c r="C2468" t="inlineStr">
        <is>
          <t>Love Cabaret</t>
        </is>
      </c>
      <c r="D2468" t="inlineStr">
        <is>
          <t>CECILIA TSUYACO ARAKI SILVA LTDA</t>
        </is>
      </c>
      <c r="E2468" t="n">
        <v>205</v>
      </c>
      <c r="F2468" s="27" t="n">
        <v>45737</v>
      </c>
      <c r="G2468" s="27" t="n">
        <v>45735</v>
      </c>
      <c r="H2468" s="27" t="n">
        <v>45735</v>
      </c>
      <c r="I2468" s="27" t="n">
        <v>45726</v>
      </c>
      <c r="J2468" s="27" t="n">
        <v>45729</v>
      </c>
      <c r="K2468" t="inlineStr">
        <is>
          <t>Boleto Bancário</t>
        </is>
      </c>
      <c r="L2468" t="inlineStr">
        <is>
          <t>Custo Mercadoria Vendida</t>
        </is>
      </c>
      <c r="M2468" t="inlineStr">
        <is>
          <t>Insumos - Alimentos</t>
        </is>
      </c>
      <c r="N2468" t="inlineStr">
        <is>
          <t>367119</t>
        </is>
      </c>
      <c r="O2468" t="inlineStr">
        <is>
          <t>Documentação Aprovada</t>
        </is>
      </c>
      <c r="P2468" t="inlineStr">
        <is>
          <t>Aprovado Diretoria</t>
        </is>
      </c>
      <c r="Q2468" t="inlineStr">
        <is>
          <t>Aprovado Caixa</t>
        </is>
      </c>
      <c r="R2468" t="inlineStr">
        <is>
          <t>Pago</t>
        </is>
      </c>
      <c r="S2468" t="n">
        <v>115</v>
      </c>
      <c r="T2468" t="inlineStr">
        <is>
          <t>Love - Shibari - Bradesco</t>
        </is>
      </c>
    </row>
    <row r="2469">
      <c r="A2469" t="n">
        <v>97466</v>
      </c>
      <c r="B2469" t="n">
        <v>128</v>
      </c>
      <c r="C2469" t="inlineStr">
        <is>
          <t>Love Cabaret</t>
        </is>
      </c>
      <c r="D2469" t="inlineStr">
        <is>
          <t>ICMS</t>
        </is>
      </c>
      <c r="E2469" t="n">
        <v>7214.69</v>
      </c>
      <c r="F2469" s="27" t="n">
        <v>45736</v>
      </c>
      <c r="G2469" s="27" t="n">
        <v>45735</v>
      </c>
      <c r="H2469" s="27" t="n">
        <v>45735</v>
      </c>
      <c r="I2469" s="27" t="n">
        <v>45716</v>
      </c>
      <c r="J2469" s="27" t="n"/>
      <c r="K2469" t="inlineStr">
        <is>
          <t>Boleto Bancário</t>
        </is>
      </c>
      <c r="L2469" t="inlineStr">
        <is>
          <t>Impostos sobre Venda</t>
        </is>
      </c>
      <c r="M2469" t="inlineStr">
        <is>
          <t>ICMS</t>
        </is>
      </c>
      <c r="N2469" t="inlineStr">
        <is>
          <t>721469 022025</t>
        </is>
      </c>
      <c r="O2469" t="inlineStr">
        <is>
          <t>Documentação Aprovada</t>
        </is>
      </c>
      <c r="P2469" t="inlineStr">
        <is>
          <t>Aprovado Diretoria</t>
        </is>
      </c>
      <c r="Q2469" t="inlineStr">
        <is>
          <t>Aprovado Caixa</t>
        </is>
      </c>
      <c r="R2469" t="inlineStr">
        <is>
          <t>Pago</t>
        </is>
      </c>
      <c r="S2469" t="n">
        <v>115</v>
      </c>
      <c r="T2469" t="inlineStr">
        <is>
          <t>Love - Shibari - Bradesco</t>
        </is>
      </c>
    </row>
    <row r="2470">
      <c r="A2470" t="n">
        <v>97454</v>
      </c>
      <c r="B2470" t="n">
        <v>128</v>
      </c>
      <c r="C2470" t="inlineStr">
        <is>
          <t>Love Cabaret</t>
        </is>
      </c>
      <c r="D2470" t="inlineStr">
        <is>
          <t>INSS</t>
        </is>
      </c>
      <c r="E2470" t="n">
        <v>682</v>
      </c>
      <c r="F2470" s="27" t="n">
        <v>45736</v>
      </c>
      <c r="G2470" s="27" t="n">
        <v>45735</v>
      </c>
      <c r="H2470" s="27" t="n">
        <v>45735</v>
      </c>
      <c r="I2470" s="27" t="n">
        <v>45707</v>
      </c>
      <c r="J2470" s="27" t="n"/>
      <c r="K2470" t="inlineStr">
        <is>
          <t>Boleto Bancário</t>
        </is>
      </c>
      <c r="L2470" t="inlineStr">
        <is>
          <t>Serviços de Terceiros</t>
        </is>
      </c>
      <c r="M2470" t="inlineStr">
        <is>
          <t>Serviços de Segurança</t>
        </is>
      </c>
      <c r="N2470" t="inlineStr">
        <is>
          <t>682 2025</t>
        </is>
      </c>
      <c r="O2470" t="inlineStr">
        <is>
          <t>Documentação Aprovada</t>
        </is>
      </c>
      <c r="P2470" t="inlineStr">
        <is>
          <t>Aprovado Diretoria</t>
        </is>
      </c>
      <c r="Q2470" t="inlineStr">
        <is>
          <t>Aprovado Caixa</t>
        </is>
      </c>
      <c r="R2470" t="inlineStr">
        <is>
          <t>Pago</t>
        </is>
      </c>
      <c r="S2470" t="n">
        <v>115</v>
      </c>
      <c r="T2470" t="inlineStr">
        <is>
          <t>Love - Shibari - Bradesco</t>
        </is>
      </c>
    </row>
    <row r="2471">
      <c r="A2471" t="n">
        <v>97482</v>
      </c>
      <c r="B2471" t="n">
        <v>128</v>
      </c>
      <c r="C2471" t="inlineStr">
        <is>
          <t>Love Cabaret</t>
        </is>
      </c>
      <c r="D2471" t="inlineStr">
        <is>
          <t>IRRF</t>
        </is>
      </c>
      <c r="E2471" t="n">
        <v>108.22</v>
      </c>
      <c r="F2471" s="27" t="n">
        <v>45736</v>
      </c>
      <c r="G2471" s="27" t="n">
        <v>45735</v>
      </c>
      <c r="H2471" s="27" t="n">
        <v>45735</v>
      </c>
      <c r="I2471" s="27" t="n">
        <v>45716</v>
      </c>
      <c r="J2471" s="27" t="n"/>
      <c r="K2471" t="inlineStr">
        <is>
          <t>Boleto Bancário</t>
        </is>
      </c>
      <c r="L2471" t="inlineStr">
        <is>
          <t>Serviços de Terceiros</t>
        </is>
      </c>
      <c r="M2471" t="inlineStr">
        <is>
          <t>Serviços de Segurança</t>
        </is>
      </c>
      <c r="N2471" t="inlineStr">
        <is>
          <t>10822 022025</t>
        </is>
      </c>
      <c r="O2471" t="inlineStr">
        <is>
          <t>Documentação Aprovada</t>
        </is>
      </c>
      <c r="P2471" t="inlineStr">
        <is>
          <t>Aprovado Diretoria</t>
        </is>
      </c>
      <c r="Q2471" t="inlineStr">
        <is>
          <t>Aprovado Caixa</t>
        </is>
      </c>
      <c r="R2471" t="inlineStr">
        <is>
          <t>Pago</t>
        </is>
      </c>
      <c r="S2471" t="n">
        <v>115</v>
      </c>
      <c r="T2471" t="inlineStr">
        <is>
          <t>Love - Shibari - Bradesco</t>
        </is>
      </c>
    </row>
    <row r="2472">
      <c r="A2472" t="n">
        <v>97437</v>
      </c>
      <c r="B2472" t="n">
        <v>128</v>
      </c>
      <c r="C2472" t="inlineStr">
        <is>
          <t>Love Cabaret</t>
        </is>
      </c>
      <c r="D2472" t="inlineStr">
        <is>
          <t xml:space="preserve">MINISTERIO DA FAZENDA </t>
        </is>
      </c>
      <c r="E2472" t="n">
        <v>434.46</v>
      </c>
      <c r="F2472" s="27" t="n">
        <v>45736</v>
      </c>
      <c r="G2472" s="27" t="n">
        <v>45735</v>
      </c>
      <c r="H2472" s="27" t="n">
        <v>45735</v>
      </c>
      <c r="I2472" s="27" t="n">
        <v>45716</v>
      </c>
      <c r="J2472" s="27" t="n"/>
      <c r="K2472" t="inlineStr">
        <is>
          <t>Boleto Bancário</t>
        </is>
      </c>
      <c r="L2472" t="inlineStr">
        <is>
          <t>Serviços de Terceiros</t>
        </is>
      </c>
      <c r="M2472" t="inlineStr">
        <is>
          <t>Serviços de Segurança</t>
        </is>
      </c>
      <c r="N2472" t="inlineStr">
        <is>
          <t>43446 022025</t>
        </is>
      </c>
      <c r="O2472" t="inlineStr">
        <is>
          <t>Documentação Aprovada</t>
        </is>
      </c>
      <c r="P2472" t="inlineStr">
        <is>
          <t>Aprovado Diretoria</t>
        </is>
      </c>
      <c r="Q2472" t="inlineStr">
        <is>
          <t>Aprovado Caixa</t>
        </is>
      </c>
      <c r="R2472" t="inlineStr">
        <is>
          <t>Pago</t>
        </is>
      </c>
      <c r="S2472" t="n">
        <v>115</v>
      </c>
      <c r="T2472" t="inlineStr">
        <is>
          <t>Love - Shibari - Bradesco</t>
        </is>
      </c>
    </row>
    <row r="2473">
      <c r="A2473" t="n">
        <v>102792</v>
      </c>
      <c r="B2473" t="n">
        <v>128</v>
      </c>
      <c r="C2473" t="inlineStr">
        <is>
          <t>Love Cabaret</t>
        </is>
      </c>
      <c r="D2473" t="inlineStr">
        <is>
          <t>FABRICA DE BARES PARTICIPACOES LTDA</t>
        </is>
      </c>
      <c r="E2473" t="n">
        <v>100</v>
      </c>
      <c r="F2473" s="27" t="n">
        <v>45736</v>
      </c>
      <c r="G2473" s="27" t="n">
        <v>45735</v>
      </c>
      <c r="H2473" s="27" t="n">
        <v>45735</v>
      </c>
      <c r="I2473" s="27" t="n">
        <v>45689</v>
      </c>
      <c r="J2473" s="27" t="n"/>
      <c r="K2473" t="inlineStr">
        <is>
          <t>Transferência Bancária ou Pix</t>
        </is>
      </c>
      <c r="L2473" t="inlineStr">
        <is>
          <t>Serviços de Terceiros</t>
        </is>
      </c>
      <c r="M2473" t="inlineStr">
        <is>
          <t>Assessoria RH</t>
        </is>
      </c>
      <c r="N2473" t="inlineStr">
        <is>
          <t>RP032-2025</t>
        </is>
      </c>
      <c r="O2473" t="inlineStr">
        <is>
          <t>Documentação Aprovada</t>
        </is>
      </c>
      <c r="P2473" t="inlineStr">
        <is>
          <t>Aprovado Diretoria</t>
        </is>
      </c>
      <c r="Q2473" t="inlineStr">
        <is>
          <t>Aprovado Caixa</t>
        </is>
      </c>
      <c r="R2473" t="inlineStr">
        <is>
          <t>Pago</t>
        </is>
      </c>
      <c r="S2473" t="n">
        <v>115</v>
      </c>
      <c r="T2473" t="inlineStr">
        <is>
          <t>Love - Shibari - Bradesco</t>
        </is>
      </c>
    </row>
    <row r="2474">
      <c r="A2474" t="n">
        <v>102888</v>
      </c>
      <c r="B2474" t="n">
        <v>128</v>
      </c>
      <c r="C2474" t="inlineStr">
        <is>
          <t>Love Cabaret</t>
        </is>
      </c>
      <c r="D2474" t="inlineStr">
        <is>
          <t>MACHINE SEGURANCA PATRIMONIAL LTDA</t>
        </is>
      </c>
      <c r="E2474" t="n">
        <v>3990</v>
      </c>
      <c r="F2474" s="27" t="n">
        <v>45737</v>
      </c>
      <c r="G2474" s="27" t="n">
        <v>45735</v>
      </c>
      <c r="H2474" s="27" t="n">
        <v>45735</v>
      </c>
      <c r="I2474" s="27" t="n">
        <v>45717</v>
      </c>
      <c r="J2474" s="27" t="n"/>
      <c r="K2474" t="inlineStr">
        <is>
          <t>Transferência Bancária ou Pix</t>
        </is>
      </c>
      <c r="L2474" t="inlineStr">
        <is>
          <t>Serviços de Terceiros</t>
        </is>
      </c>
      <c r="M2474" t="inlineStr">
        <is>
          <t>Serviços de Segurança</t>
        </is>
      </c>
      <c r="N2474" t="inlineStr">
        <is>
          <t>106</t>
        </is>
      </c>
      <c r="O2474" t="inlineStr">
        <is>
          <t>Documentação Aprovada</t>
        </is>
      </c>
      <c r="P2474" t="inlineStr">
        <is>
          <t>Aprovado Diretoria</t>
        </is>
      </c>
      <c r="Q2474" t="inlineStr">
        <is>
          <t>Aprovado Caixa</t>
        </is>
      </c>
      <c r="R2474" t="inlineStr">
        <is>
          <t>Pago</t>
        </is>
      </c>
      <c r="S2474" t="n">
        <v>115</v>
      </c>
      <c r="T2474" t="inlineStr">
        <is>
          <t>Love - Shibari - Bradesco</t>
        </is>
      </c>
    </row>
    <row r="2475">
      <c r="A2475" t="n">
        <v>102773</v>
      </c>
      <c r="B2475" t="n">
        <v>128</v>
      </c>
      <c r="C2475" t="inlineStr">
        <is>
          <t>Love Cabaret</t>
        </is>
      </c>
      <c r="D2475" t="inlineStr">
        <is>
          <t>FABRICA DE BARES PARTICIPACOES LTDA</t>
        </is>
      </c>
      <c r="E2475" t="n">
        <v>6494.9</v>
      </c>
      <c r="F2475" s="27" t="n">
        <v>45747</v>
      </c>
      <c r="G2475" s="27" t="n">
        <v>45735</v>
      </c>
      <c r="H2475" s="27" t="n">
        <v>45735</v>
      </c>
      <c r="I2475" s="27" t="n">
        <v>45716</v>
      </c>
      <c r="J2475" s="27" t="n"/>
      <c r="K2475" t="inlineStr">
        <is>
          <t>Transferência Bancária ou Pix</t>
        </is>
      </c>
      <c r="L2475" t="inlineStr">
        <is>
          <t>Mão de Obra - Benefícios</t>
        </is>
      </c>
      <c r="M2475" t="inlineStr">
        <is>
          <t xml:space="preserve">  -  Alimentação Funcionário</t>
        </is>
      </c>
      <c r="N2475" t="inlineStr">
        <is>
          <t>132025</t>
        </is>
      </c>
      <c r="O2475" t="inlineStr">
        <is>
          <t>Documentação Aprovada</t>
        </is>
      </c>
      <c r="P2475" t="inlineStr">
        <is>
          <t>Aprovado Diretoria</t>
        </is>
      </c>
      <c r="Q2475" t="inlineStr">
        <is>
          <t>Aprovado Caixa</t>
        </is>
      </c>
      <c r="R2475" t="inlineStr">
        <is>
          <t>Pago</t>
        </is>
      </c>
      <c r="S2475" t="n">
        <v>115</v>
      </c>
      <c r="T2475" t="inlineStr">
        <is>
          <t>Love - Shibari - Bradesco</t>
        </is>
      </c>
    </row>
    <row r="2476">
      <c r="A2476" t="n">
        <v>102815</v>
      </c>
      <c r="B2476" t="n">
        <v>128</v>
      </c>
      <c r="C2476" t="inlineStr">
        <is>
          <t>Love Cabaret</t>
        </is>
      </c>
      <c r="D2476" t="inlineStr">
        <is>
          <t>GOMES D ELIA EQUIP. HIGIENE LTDA - WESCO</t>
        </is>
      </c>
      <c r="E2476" t="n">
        <v>515</v>
      </c>
      <c r="F2476" s="27" t="n">
        <v>45736</v>
      </c>
      <c r="G2476" s="27" t="n">
        <v>45735</v>
      </c>
      <c r="H2476" s="27" t="n">
        <v>45735</v>
      </c>
      <c r="I2476" s="27" t="n">
        <v>45717</v>
      </c>
      <c r="J2476" s="27" t="n"/>
      <c r="K2476" t="inlineStr">
        <is>
          <t>Boleto Bancário</t>
        </is>
      </c>
      <c r="L2476" t="inlineStr">
        <is>
          <t>Utilidades</t>
        </is>
      </c>
      <c r="M2476" t="inlineStr">
        <is>
          <t>Higiene e Limpeza</t>
        </is>
      </c>
      <c r="N2476" t="inlineStr">
        <is>
          <t>171606</t>
        </is>
      </c>
      <c r="O2476" t="inlineStr">
        <is>
          <t>Documentação Aprovada</t>
        </is>
      </c>
      <c r="P2476" t="inlineStr">
        <is>
          <t>Aprovado Diretoria</t>
        </is>
      </c>
      <c r="Q2476" t="inlineStr">
        <is>
          <t>Aprovado Caixa</t>
        </is>
      </c>
      <c r="R2476" t="inlineStr">
        <is>
          <t>Pago</t>
        </is>
      </c>
      <c r="S2476" t="n">
        <v>115</v>
      </c>
      <c r="T2476" t="inlineStr">
        <is>
          <t>Love - Shibari - Bradesco</t>
        </is>
      </c>
    </row>
    <row r="2477">
      <c r="A2477" t="n">
        <v>114569</v>
      </c>
      <c r="B2477" t="n">
        <v>128</v>
      </c>
      <c r="C2477" t="inlineStr">
        <is>
          <t>Love Cabaret</t>
        </is>
      </c>
      <c r="D2477" t="inlineStr">
        <is>
          <t>HORTICLEAN DISTRIBUIDORA DE HORTIFRUTI LTDA</t>
        </is>
      </c>
      <c r="E2477" t="n">
        <v>1011.71</v>
      </c>
      <c r="F2477" s="27" t="n">
        <v>45737</v>
      </c>
      <c r="G2477" s="27" t="n">
        <v>45735</v>
      </c>
      <c r="H2477" s="27" t="n">
        <v>45735</v>
      </c>
      <c r="I2477" s="27" t="n">
        <v>45708</v>
      </c>
      <c r="J2477" s="27" t="n">
        <v>45715</v>
      </c>
      <c r="K2477" t="inlineStr">
        <is>
          <t>Boleto Bancário</t>
        </is>
      </c>
      <c r="L2477" t="inlineStr">
        <is>
          <t>Custo Mercadoria Vendida</t>
        </is>
      </c>
      <c r="M2477" t="inlineStr">
        <is>
          <t>Insumos - Alimentos</t>
        </is>
      </c>
      <c r="N2477" t="inlineStr">
        <is>
          <t>25909</t>
        </is>
      </c>
      <c r="O2477" t="inlineStr">
        <is>
          <t>Documentação Aprovada</t>
        </is>
      </c>
      <c r="P2477" t="inlineStr">
        <is>
          <t>Aprovado Diretoria</t>
        </is>
      </c>
      <c r="Q2477" t="inlineStr">
        <is>
          <t>Aprovado Caixa</t>
        </is>
      </c>
      <c r="R2477" t="inlineStr">
        <is>
          <t>Pago</t>
        </is>
      </c>
      <c r="S2477" t="n">
        <v>115</v>
      </c>
      <c r="T2477" t="inlineStr">
        <is>
          <t>Love - Shibari - Bradesco</t>
        </is>
      </c>
    </row>
    <row r="2478">
      <c r="A2478" t="n">
        <v>112049</v>
      </c>
      <c r="B2478" t="n">
        <v>128</v>
      </c>
      <c r="C2478" t="inlineStr">
        <is>
          <t>Love Cabaret</t>
        </is>
      </c>
      <c r="D2478" t="inlineStr">
        <is>
          <t xml:space="preserve">EMPORIO MEL </t>
        </is>
      </c>
      <c r="E2478" t="n">
        <v>283.83</v>
      </c>
      <c r="F2478" s="27" t="n">
        <v>45736</v>
      </c>
      <c r="G2478" s="27" t="n">
        <v>45735</v>
      </c>
      <c r="H2478" s="27" t="n">
        <v>45735</v>
      </c>
      <c r="I2478" s="27" t="n">
        <v>45705</v>
      </c>
      <c r="J2478" s="27" t="n">
        <v>45707</v>
      </c>
      <c r="K2478" t="inlineStr">
        <is>
          <t>Boleto Bancário</t>
        </is>
      </c>
      <c r="L2478" t="inlineStr">
        <is>
          <t>Custo Mercadoria Vendida</t>
        </is>
      </c>
      <c r="M2478" t="inlineStr">
        <is>
          <t>Insumos - Alimentos</t>
        </is>
      </c>
      <c r="N2478" t="inlineStr">
        <is>
          <t>440943</t>
        </is>
      </c>
      <c r="O2478" t="inlineStr">
        <is>
          <t>Documentação Aprovada</t>
        </is>
      </c>
      <c r="P2478" t="inlineStr">
        <is>
          <t>Aprovado Diretoria</t>
        </is>
      </c>
      <c r="Q2478" t="inlineStr">
        <is>
          <t>Aprovado Caixa</t>
        </is>
      </c>
      <c r="R2478" t="inlineStr">
        <is>
          <t>Pago</t>
        </is>
      </c>
      <c r="S2478" t="n">
        <v>115</v>
      </c>
      <c r="T2478" t="inlineStr">
        <is>
          <t>Love - Shibari - Bradesco</t>
        </is>
      </c>
    </row>
    <row r="2479">
      <c r="A2479" t="n">
        <v>116035</v>
      </c>
      <c r="B2479" t="n">
        <v>128</v>
      </c>
      <c r="C2479" t="inlineStr">
        <is>
          <t>Love Cabaret</t>
        </is>
      </c>
      <c r="D2479" t="inlineStr">
        <is>
          <t>BLUEME</t>
        </is>
      </c>
      <c r="E2479" t="n">
        <v>360</v>
      </c>
      <c r="F2479" s="27" t="n">
        <v>45736</v>
      </c>
      <c r="G2479" s="27" t="n">
        <v>45735</v>
      </c>
      <c r="H2479" s="27" t="n">
        <v>45735</v>
      </c>
      <c r="I2479" s="27" t="n">
        <v>45716</v>
      </c>
      <c r="J2479" s="27" t="n">
        <v>45722</v>
      </c>
      <c r="K2479" t="inlineStr">
        <is>
          <t>Boleto Bancário</t>
        </is>
      </c>
      <c r="L2479" t="inlineStr">
        <is>
          <t>Informática e TI</t>
        </is>
      </c>
      <c r="M2479" t="inlineStr">
        <is>
          <t>Sistemas Gerais - Financeiros</t>
        </is>
      </c>
      <c r="N2479" t="inlineStr">
        <is>
          <t>69</t>
        </is>
      </c>
      <c r="O2479" t="inlineStr">
        <is>
          <t>Documentação Aprovada</t>
        </is>
      </c>
      <c r="P2479" t="inlineStr">
        <is>
          <t>Aprovado Diretoria</t>
        </is>
      </c>
      <c r="Q2479" t="inlineStr">
        <is>
          <t>Aprovado Caixa</t>
        </is>
      </c>
      <c r="R2479" t="inlineStr">
        <is>
          <t>Pago</t>
        </is>
      </c>
      <c r="S2479" t="n">
        <v>115</v>
      </c>
      <c r="T2479" t="inlineStr">
        <is>
          <t>Love - Shibari - Bradesco</t>
        </is>
      </c>
    </row>
    <row r="2480">
      <c r="A2480" t="n">
        <v>96934</v>
      </c>
      <c r="B2480" t="n">
        <v>128</v>
      </c>
      <c r="C2480" t="inlineStr">
        <is>
          <t>Love Cabaret</t>
        </is>
      </c>
      <c r="D2480" t="inlineStr">
        <is>
          <t>CIA DE SANEAMENTO BASICO DO ESTADO DE SAO PAULO SABESP</t>
        </is>
      </c>
      <c r="E2480" t="n">
        <v>153.96</v>
      </c>
      <c r="F2480" s="27" t="n">
        <v>45736</v>
      </c>
      <c r="G2480" s="27" t="n">
        <v>45735</v>
      </c>
      <c r="H2480" s="27" t="n">
        <v>45735</v>
      </c>
      <c r="I2480" s="27" t="n">
        <v>45701</v>
      </c>
      <c r="J2480" s="27" t="n"/>
      <c r="K2480" t="inlineStr">
        <is>
          <t>Boleto Bancário</t>
        </is>
      </c>
      <c r="L2480" t="inlineStr">
        <is>
          <t>Utilidades</t>
        </is>
      </c>
      <c r="M2480" t="inlineStr">
        <is>
          <t>Agua/Esgoto</t>
        </is>
      </c>
      <c r="N2480" t="inlineStr">
        <is>
          <t>SOR202516580113</t>
        </is>
      </c>
      <c r="O2480" t="inlineStr">
        <is>
          <t>Documentação Aprovada</t>
        </is>
      </c>
      <c r="P2480" t="inlineStr">
        <is>
          <t>Aprovado Diretoria</t>
        </is>
      </c>
      <c r="Q2480" t="inlineStr">
        <is>
          <t>Aprovado Caixa</t>
        </is>
      </c>
      <c r="R2480" t="inlineStr">
        <is>
          <t>Pago</t>
        </is>
      </c>
      <c r="S2480" t="n">
        <v>115</v>
      </c>
      <c r="T2480" t="inlineStr">
        <is>
          <t>Love - Shibari - Bradesco</t>
        </is>
      </c>
    </row>
    <row r="2481">
      <c r="A2481" t="n">
        <v>97092</v>
      </c>
      <c r="B2481" t="n">
        <v>128</v>
      </c>
      <c r="C2481" t="inlineStr">
        <is>
          <t>Love Cabaret</t>
        </is>
      </c>
      <c r="D2481" t="inlineStr">
        <is>
          <t>ESTAFF SOLUCOES TECNOLOGICAS DE AGENCIAMENTO LTDA</t>
        </is>
      </c>
      <c r="E2481" t="n">
        <v>13662</v>
      </c>
      <c r="F2481" s="27" t="n">
        <v>45735</v>
      </c>
      <c r="G2481" s="27" t="n">
        <v>45735</v>
      </c>
      <c r="H2481" s="27" t="n">
        <v>45735</v>
      </c>
      <c r="I2481" s="27" t="n">
        <v>45726</v>
      </c>
      <c r="J2481" s="27" t="n"/>
      <c r="K2481" t="inlineStr">
        <is>
          <t>Boleto Bancário</t>
        </is>
      </c>
      <c r="L2481" t="inlineStr">
        <is>
          <t>Mão de Obra - Extra</t>
        </is>
      </c>
      <c r="M2481" t="inlineStr">
        <is>
          <t>Mão de Obra Extra</t>
        </is>
      </c>
      <c r="N2481" t="inlineStr">
        <is>
          <t>535350664</t>
        </is>
      </c>
      <c r="O2481" t="inlineStr">
        <is>
          <t>Documentação Aprovada</t>
        </is>
      </c>
      <c r="P2481" t="inlineStr">
        <is>
          <t>Aprovado Diretoria</t>
        </is>
      </c>
      <c r="Q2481" t="inlineStr">
        <is>
          <t>Aprovado Caixa</t>
        </is>
      </c>
      <c r="R2481" t="inlineStr">
        <is>
          <t>Pago</t>
        </is>
      </c>
      <c r="S2481" t="n">
        <v>115</v>
      </c>
      <c r="T2481" t="inlineStr">
        <is>
          <t>Love - Shibari - Bradesco</t>
        </is>
      </c>
    </row>
    <row r="2482">
      <c r="A2482" t="n">
        <v>118226</v>
      </c>
      <c r="B2482" t="n">
        <v>128</v>
      </c>
      <c r="C2482" t="inlineStr">
        <is>
          <t>Love Cabaret</t>
        </is>
      </c>
      <c r="D2482" t="inlineStr">
        <is>
          <t>BATALHA FABRICA DE PAES LTDA</t>
        </is>
      </c>
      <c r="E2482" t="n">
        <v>374.55</v>
      </c>
      <c r="F2482" s="27" t="n">
        <v>45733</v>
      </c>
      <c r="G2482" s="27" t="n">
        <v>45733</v>
      </c>
      <c r="H2482" s="27" t="n">
        <v>45733</v>
      </c>
      <c r="I2482" s="27" t="n">
        <v>45743</v>
      </c>
      <c r="J2482" s="27" t="n">
        <v>45729</v>
      </c>
      <c r="K2482" t="inlineStr">
        <is>
          <t>Boleto Bancário</t>
        </is>
      </c>
      <c r="L2482" t="inlineStr">
        <is>
          <t>Custo Mercadoria Vendida</t>
        </is>
      </c>
      <c r="M2482" t="inlineStr">
        <is>
          <t>Insumos - Alimentos</t>
        </is>
      </c>
      <c r="N2482" t="inlineStr">
        <is>
          <t>31677</t>
        </is>
      </c>
      <c r="O2482" t="inlineStr">
        <is>
          <t>Documentação Aprovada</t>
        </is>
      </c>
      <c r="P2482" t="inlineStr">
        <is>
          <t>Aprovado Diretoria</t>
        </is>
      </c>
      <c r="Q2482" t="inlineStr">
        <is>
          <t>Aprovado Caixa</t>
        </is>
      </c>
      <c r="R2482" t="inlineStr">
        <is>
          <t>Pago</t>
        </is>
      </c>
      <c r="S2482" t="n">
        <v>115</v>
      </c>
      <c r="T2482" t="inlineStr">
        <is>
          <t>Love - Shibari - Bradesco</t>
        </is>
      </c>
    </row>
    <row r="2483">
      <c r="A2483" t="n">
        <v>116706</v>
      </c>
      <c r="B2483" t="n">
        <v>128</v>
      </c>
      <c r="C2483" t="inlineStr">
        <is>
          <t>Love Cabaret</t>
        </is>
      </c>
      <c r="D2483" t="inlineStr">
        <is>
          <t>JOSE CASSIO PREVEDEL SISTEMAS ME</t>
        </is>
      </c>
      <c r="E2483" t="n">
        <v>400</v>
      </c>
      <c r="F2483" s="27" t="n">
        <v>45731</v>
      </c>
      <c r="G2483" s="27" t="n">
        <v>45733</v>
      </c>
      <c r="H2483" s="27" t="n">
        <v>45733</v>
      </c>
      <c r="I2483" s="27" t="n">
        <v>45717</v>
      </c>
      <c r="J2483" s="27" t="n">
        <v>45726</v>
      </c>
      <c r="K2483" t="inlineStr">
        <is>
          <t>Boleto Bancário</t>
        </is>
      </c>
      <c r="L2483" t="inlineStr">
        <is>
          <t>Locação de Equipamentos</t>
        </is>
      </c>
      <c r="M2483" t="inlineStr">
        <is>
          <t>Locações de Equipamentos - Operacionais</t>
        </is>
      </c>
      <c r="N2483" t="inlineStr">
        <is>
          <t>18300</t>
        </is>
      </c>
      <c r="O2483" t="inlineStr">
        <is>
          <t>Documentação Aprovada</t>
        </is>
      </c>
      <c r="P2483" t="inlineStr">
        <is>
          <t>Aprovado Diretoria</t>
        </is>
      </c>
      <c r="Q2483" t="inlineStr">
        <is>
          <t>Aprovado Caixa</t>
        </is>
      </c>
      <c r="R2483" t="inlineStr">
        <is>
          <t>Pago</t>
        </is>
      </c>
      <c r="S2483" t="n">
        <v>115</v>
      </c>
      <c r="T2483" t="inlineStr">
        <is>
          <t>Love - Shibari - Bradesco</t>
        </is>
      </c>
    </row>
    <row r="2484">
      <c r="A2484" t="n">
        <v>106673</v>
      </c>
      <c r="B2484" t="n">
        <v>128</v>
      </c>
      <c r="C2484" t="inlineStr">
        <is>
          <t>Love Cabaret</t>
        </is>
      </c>
      <c r="D2484" t="inlineStr">
        <is>
          <t>AURORA ALVORADA ESTACIONAMENTO E LANCHONETE LTDA</t>
        </is>
      </c>
      <c r="E2484" t="n">
        <v>68.06</v>
      </c>
      <c r="F2484" s="27" t="n">
        <v>45734</v>
      </c>
      <c r="G2484" s="27" t="n">
        <v>45733</v>
      </c>
      <c r="H2484" s="27" t="n">
        <v>45733</v>
      </c>
      <c r="I2484" s="27" t="n">
        <v>45726</v>
      </c>
      <c r="J2484" s="27" t="n"/>
      <c r="K2484" t="inlineStr">
        <is>
          <t>Boleto Bancário</t>
        </is>
      </c>
      <c r="L2484" t="inlineStr">
        <is>
          <t>Custo Mercadoria Vendida</t>
        </is>
      </c>
      <c r="M2484" t="inlineStr">
        <is>
          <t>Insumos - Alimentos</t>
        </is>
      </c>
      <c r="N2484" t="inlineStr">
        <is>
          <t>10361</t>
        </is>
      </c>
      <c r="O2484" t="inlineStr">
        <is>
          <t>Documentação Aprovada</t>
        </is>
      </c>
      <c r="P2484" t="inlineStr">
        <is>
          <t>Aprovado Diretoria</t>
        </is>
      </c>
      <c r="Q2484" t="inlineStr">
        <is>
          <t>Aprovado Caixa</t>
        </is>
      </c>
      <c r="R2484" t="inlineStr">
        <is>
          <t>Pago</t>
        </is>
      </c>
      <c r="S2484" t="n">
        <v>115</v>
      </c>
      <c r="T2484" t="inlineStr">
        <is>
          <t>Love - Shibari - Bradesco</t>
        </is>
      </c>
    </row>
    <row r="2485">
      <c r="A2485" t="n">
        <v>109215</v>
      </c>
      <c r="B2485" t="n">
        <v>128</v>
      </c>
      <c r="C2485" t="inlineStr">
        <is>
          <t>Love Cabaret</t>
        </is>
      </c>
      <c r="D2485" t="inlineStr">
        <is>
          <t xml:space="preserve">KAMINO INSTITUICAO DE PAGAMENTO LTDA </t>
        </is>
      </c>
      <c r="E2485" t="n">
        <v>700</v>
      </c>
      <c r="F2485" s="27" t="n">
        <v>45734</v>
      </c>
      <c r="G2485" s="27" t="n">
        <v>45733</v>
      </c>
      <c r="H2485" s="27" t="n">
        <v>45733</v>
      </c>
      <c r="I2485" s="27" t="n">
        <v>45723</v>
      </c>
      <c r="J2485" s="27" t="n"/>
      <c r="K2485" t="inlineStr">
        <is>
          <t>Boleto Bancário</t>
        </is>
      </c>
      <c r="L2485" t="inlineStr">
        <is>
          <t>Despesas Financeiras</t>
        </is>
      </c>
      <c r="M2485" t="inlineStr">
        <is>
          <t>Tarifas Bancárias</t>
        </is>
      </c>
      <c r="N2485" t="inlineStr">
        <is>
          <t>3689</t>
        </is>
      </c>
      <c r="O2485" t="inlineStr">
        <is>
          <t>Documentação Aprovada</t>
        </is>
      </c>
      <c r="P2485" t="inlineStr">
        <is>
          <t>Aprovado Diretoria</t>
        </is>
      </c>
      <c r="Q2485" t="inlineStr">
        <is>
          <t>Aprovado Caixa</t>
        </is>
      </c>
      <c r="R2485" t="inlineStr">
        <is>
          <t>Pago</t>
        </is>
      </c>
      <c r="S2485" t="n">
        <v>115</v>
      </c>
      <c r="T2485" t="inlineStr">
        <is>
          <t>Love - Shibari - Bradesco</t>
        </is>
      </c>
    </row>
    <row r="2486">
      <c r="A2486" t="n">
        <v>108188</v>
      </c>
      <c r="B2486" t="n">
        <v>128</v>
      </c>
      <c r="C2486" t="inlineStr">
        <is>
          <t>Love Cabaret</t>
        </is>
      </c>
      <c r="D2486" t="inlineStr">
        <is>
          <t xml:space="preserve">GOOGLE BRASIL INTERNET LTDA </t>
        </is>
      </c>
      <c r="E2486" t="n">
        <v>500</v>
      </c>
      <c r="F2486" s="27" t="n">
        <v>45731</v>
      </c>
      <c r="G2486" s="27" t="n">
        <v>45733</v>
      </c>
      <c r="H2486" s="27" t="n">
        <v>45733</v>
      </c>
      <c r="I2486" s="27" t="n">
        <v>45731</v>
      </c>
      <c r="J2486" s="27" t="n"/>
      <c r="K2486" t="inlineStr">
        <is>
          <t>Boleto Bancário</t>
        </is>
      </c>
      <c r="L2486" t="inlineStr">
        <is>
          <t>Marketing</t>
        </is>
      </c>
      <c r="M2486" t="inlineStr">
        <is>
          <t>Publicidade e Propaganda</t>
        </is>
      </c>
      <c r="N2486" t="inlineStr">
        <is>
          <t>20</t>
        </is>
      </c>
      <c r="O2486" t="inlineStr">
        <is>
          <t>Documentação Aprovada</t>
        </is>
      </c>
      <c r="P2486" t="inlineStr">
        <is>
          <t>Aprovado Diretoria</t>
        </is>
      </c>
      <c r="Q2486" t="inlineStr">
        <is>
          <t>Aprovado Caixa</t>
        </is>
      </c>
      <c r="R2486" t="inlineStr">
        <is>
          <t>Pago</t>
        </is>
      </c>
      <c r="S2486" t="n">
        <v>115</v>
      </c>
      <c r="T2486" t="inlineStr">
        <is>
          <t>Love - Shibari - Bradesco</t>
        </is>
      </c>
    </row>
    <row r="2487">
      <c r="A2487" t="n">
        <v>112042</v>
      </c>
      <c r="B2487" t="n">
        <v>128</v>
      </c>
      <c r="C2487" t="inlineStr">
        <is>
          <t>Love Cabaret</t>
        </is>
      </c>
      <c r="D2487" t="inlineStr">
        <is>
          <t>HORTICLEAN DISTRIBUIDORA DE HORTIFRUTI LTDA</t>
        </is>
      </c>
      <c r="E2487" t="n">
        <v>312.12</v>
      </c>
      <c r="F2487" s="27" t="n">
        <v>45734</v>
      </c>
      <c r="G2487" s="27" t="n">
        <v>45733</v>
      </c>
      <c r="H2487" s="27" t="n">
        <v>45733</v>
      </c>
      <c r="I2487" s="27" t="n">
        <v>45705</v>
      </c>
      <c r="J2487" s="27" t="n">
        <v>45707</v>
      </c>
      <c r="K2487" t="inlineStr">
        <is>
          <t>Boleto Bancário</t>
        </is>
      </c>
      <c r="L2487" t="inlineStr">
        <is>
          <t>Custo Mercadoria Vendida</t>
        </is>
      </c>
      <c r="M2487" t="inlineStr">
        <is>
          <t>Insumos - Alimentos</t>
        </is>
      </c>
      <c r="N2487" t="inlineStr">
        <is>
          <t>25874</t>
        </is>
      </c>
      <c r="O2487" t="inlineStr">
        <is>
          <t>Documentação Aprovada</t>
        </is>
      </c>
      <c r="P2487" t="inlineStr">
        <is>
          <t>Aprovado Diretoria</t>
        </is>
      </c>
      <c r="Q2487" t="inlineStr">
        <is>
          <t>Aprovado Caixa</t>
        </is>
      </c>
      <c r="R2487" t="inlineStr">
        <is>
          <t>Pago</t>
        </is>
      </c>
      <c r="S2487" t="n">
        <v>115</v>
      </c>
      <c r="T2487" t="inlineStr">
        <is>
          <t>Love - Shibari - Bradesco</t>
        </is>
      </c>
    </row>
    <row r="2488">
      <c r="A2488" t="n">
        <v>112035</v>
      </c>
      <c r="B2488" t="n">
        <v>128</v>
      </c>
      <c r="C2488" t="inlineStr">
        <is>
          <t>Love Cabaret</t>
        </is>
      </c>
      <c r="D2488" t="inlineStr">
        <is>
          <t>CIUFFI HORTIFRUTI EIRELI</t>
        </is>
      </c>
      <c r="E2488" t="n">
        <v>124.05</v>
      </c>
      <c r="F2488" s="27" t="n">
        <v>45734</v>
      </c>
      <c r="G2488" s="27" t="n">
        <v>45733</v>
      </c>
      <c r="H2488" s="27" t="n">
        <v>45733</v>
      </c>
      <c r="I2488" s="27" t="n">
        <v>45705</v>
      </c>
      <c r="J2488" s="27" t="n">
        <v>45707</v>
      </c>
      <c r="K2488" t="inlineStr">
        <is>
          <t>Boleto Bancário</t>
        </is>
      </c>
      <c r="L2488" t="inlineStr">
        <is>
          <t>Custo Mercadoria Vendida</t>
        </is>
      </c>
      <c r="M2488" t="inlineStr">
        <is>
          <t>Insumos - Alimentos</t>
        </is>
      </c>
      <c r="N2488" t="inlineStr">
        <is>
          <t>20061</t>
        </is>
      </c>
      <c r="O2488" t="inlineStr">
        <is>
          <t>Documentação Aprovada</t>
        </is>
      </c>
      <c r="P2488" t="inlineStr">
        <is>
          <t>Aprovado Diretoria</t>
        </is>
      </c>
      <c r="Q2488" t="inlineStr">
        <is>
          <t>Aprovado Caixa</t>
        </is>
      </c>
      <c r="R2488" t="inlineStr">
        <is>
          <t>Pago</t>
        </is>
      </c>
      <c r="S2488" t="n">
        <v>115</v>
      </c>
      <c r="T2488" t="inlineStr">
        <is>
          <t>Love - Shibari - Bradesco</t>
        </is>
      </c>
    </row>
    <row r="2489">
      <c r="A2489" t="n">
        <v>115127</v>
      </c>
      <c r="B2489" t="n">
        <v>128</v>
      </c>
      <c r="C2489" t="inlineStr">
        <is>
          <t>Love Cabaret</t>
        </is>
      </c>
      <c r="D2489" t="inlineStr">
        <is>
          <t>DTK COMERCIO DE ALIMENTOS LTDA</t>
        </is>
      </c>
      <c r="E2489" t="n">
        <v>1206.43</v>
      </c>
      <c r="F2489" s="27" t="n">
        <v>45733</v>
      </c>
      <c r="G2489" s="27" t="n">
        <v>45733</v>
      </c>
      <c r="H2489" s="27" t="n">
        <v>45733</v>
      </c>
      <c r="I2489" s="27" t="n">
        <v>45712</v>
      </c>
      <c r="J2489" s="27" t="n">
        <v>45718</v>
      </c>
      <c r="K2489" t="inlineStr">
        <is>
          <t>Boleto Bancário</t>
        </is>
      </c>
      <c r="L2489" t="inlineStr">
        <is>
          <t>Custo Mercadoria Vendida</t>
        </is>
      </c>
      <c r="M2489" t="inlineStr">
        <is>
          <t>Insumos - Alimentos</t>
        </is>
      </c>
      <c r="N2489" t="inlineStr">
        <is>
          <t>24228</t>
        </is>
      </c>
      <c r="O2489" t="inlineStr">
        <is>
          <t>Documentação Aprovada</t>
        </is>
      </c>
      <c r="P2489" t="inlineStr">
        <is>
          <t>Aprovado Diretoria</t>
        </is>
      </c>
      <c r="Q2489" t="inlineStr">
        <is>
          <t>Aprovado Caixa</t>
        </is>
      </c>
      <c r="R2489" t="inlineStr">
        <is>
          <t>Pago</t>
        </is>
      </c>
      <c r="S2489" t="n">
        <v>115</v>
      </c>
      <c r="T2489" t="inlineStr">
        <is>
          <t>Love - Shibari - Bradesco</t>
        </is>
      </c>
    </row>
    <row r="2490">
      <c r="A2490" t="n">
        <v>115123</v>
      </c>
      <c r="B2490" t="n">
        <v>128</v>
      </c>
      <c r="C2490" t="inlineStr">
        <is>
          <t>Love Cabaret</t>
        </is>
      </c>
      <c r="D2490" t="inlineStr">
        <is>
          <t>CG FOOD´S DISTRIBUIDORA DE ALIMENTOS LTDA</t>
        </is>
      </c>
      <c r="E2490" t="n">
        <v>456.52</v>
      </c>
      <c r="F2490" s="27" t="n">
        <v>45734</v>
      </c>
      <c r="G2490" s="27" t="n">
        <v>45733</v>
      </c>
      <c r="H2490" s="27" t="n">
        <v>45733</v>
      </c>
      <c r="I2490" s="27" t="n">
        <v>45713</v>
      </c>
      <c r="J2490" s="27" t="n">
        <v>45718</v>
      </c>
      <c r="K2490" t="inlineStr">
        <is>
          <t>Boleto Bancário</t>
        </is>
      </c>
      <c r="L2490" t="inlineStr">
        <is>
          <t>Custo Mercadoria Vendida</t>
        </is>
      </c>
      <c r="M2490" t="inlineStr">
        <is>
          <t>Insumos - Alimentos</t>
        </is>
      </c>
      <c r="N2490" t="inlineStr">
        <is>
          <t>143341</t>
        </is>
      </c>
      <c r="O2490" t="inlineStr">
        <is>
          <t>Documentação Aprovada</t>
        </is>
      </c>
      <c r="P2490" t="inlineStr">
        <is>
          <t>Aprovado Diretoria</t>
        </is>
      </c>
      <c r="Q2490" t="inlineStr">
        <is>
          <t>Aprovado Caixa</t>
        </is>
      </c>
      <c r="R2490" t="inlineStr">
        <is>
          <t>Pago</t>
        </is>
      </c>
      <c r="S2490" t="n">
        <v>115</v>
      </c>
      <c r="T2490" t="inlineStr">
        <is>
          <t>Love - Shibari - Bradesco</t>
        </is>
      </c>
    </row>
    <row r="2491">
      <c r="A2491" t="n">
        <v>115134</v>
      </c>
      <c r="B2491" t="n">
        <v>128</v>
      </c>
      <c r="C2491" t="inlineStr">
        <is>
          <t>Love Cabaret</t>
        </is>
      </c>
      <c r="D2491" t="inlineStr">
        <is>
          <t xml:space="preserve">SKY COMERCIO DE PRODUTOS ALIMENTICIOS LTDA </t>
        </is>
      </c>
      <c r="E2491" t="n">
        <v>578.52</v>
      </c>
      <c r="F2491" s="27" t="n">
        <v>45733</v>
      </c>
      <c r="G2491" s="27" t="n">
        <v>45733</v>
      </c>
      <c r="H2491" s="27" t="n">
        <v>45733</v>
      </c>
      <c r="I2491" s="27" t="n">
        <v>45715</v>
      </c>
      <c r="J2491" s="27" t="n">
        <v>45718</v>
      </c>
      <c r="K2491" t="inlineStr">
        <is>
          <t>Boleto Bancário</t>
        </is>
      </c>
      <c r="L2491" t="inlineStr">
        <is>
          <t>Custo Mercadoria Vendida</t>
        </is>
      </c>
      <c r="M2491" t="inlineStr">
        <is>
          <t>Insumos - Bebidas</t>
        </is>
      </c>
      <c r="N2491" t="inlineStr">
        <is>
          <t>25687</t>
        </is>
      </c>
      <c r="O2491" t="inlineStr">
        <is>
          <t>Documentação Aprovada</t>
        </is>
      </c>
      <c r="P2491" t="inlineStr">
        <is>
          <t>Aprovado Diretoria</t>
        </is>
      </c>
      <c r="Q2491" t="inlineStr">
        <is>
          <t>Aprovado Caixa</t>
        </is>
      </c>
      <c r="R2491" t="inlineStr">
        <is>
          <t>Pago</t>
        </is>
      </c>
      <c r="S2491" t="n">
        <v>115</v>
      </c>
      <c r="T2491" t="inlineStr">
        <is>
          <t>Love - Shibari - Bradesco</t>
        </is>
      </c>
    </row>
    <row r="2492">
      <c r="A2492" t="n">
        <v>114571</v>
      </c>
      <c r="B2492" t="n">
        <v>128</v>
      </c>
      <c r="C2492" t="inlineStr">
        <is>
          <t>Love Cabaret</t>
        </is>
      </c>
      <c r="D2492" t="inlineStr">
        <is>
          <t>FG7 COMERCIO E DISTRIBUICAO DE BEBIDAS LTDA</t>
        </is>
      </c>
      <c r="E2492" t="n">
        <v>205.84</v>
      </c>
      <c r="F2492" s="27" t="n">
        <v>45734</v>
      </c>
      <c r="G2492" s="27" t="n">
        <v>45733</v>
      </c>
      <c r="H2492" s="27" t="n">
        <v>45733</v>
      </c>
      <c r="I2492" s="27" t="n">
        <v>45712</v>
      </c>
      <c r="J2492" s="27" t="n">
        <v>45715</v>
      </c>
      <c r="K2492" t="inlineStr">
        <is>
          <t>Boleto Bancário</t>
        </is>
      </c>
      <c r="L2492" t="inlineStr">
        <is>
          <t>Custo Mercadoria Vendida</t>
        </is>
      </c>
      <c r="M2492" t="inlineStr">
        <is>
          <t>Insumos - Bebidas</t>
        </is>
      </c>
      <c r="N2492" t="inlineStr">
        <is>
          <t>0576129</t>
        </is>
      </c>
      <c r="O2492" t="inlineStr">
        <is>
          <t>Documentação Aprovada</t>
        </is>
      </c>
      <c r="P2492" t="inlineStr">
        <is>
          <t>Aprovado Diretoria</t>
        </is>
      </c>
      <c r="Q2492" t="inlineStr">
        <is>
          <t>Aprovado Caixa</t>
        </is>
      </c>
      <c r="R2492" t="inlineStr">
        <is>
          <t>Pago</t>
        </is>
      </c>
      <c r="S2492" t="n">
        <v>115</v>
      </c>
      <c r="T2492" t="inlineStr">
        <is>
          <t>Love - Shibari - Bradesco</t>
        </is>
      </c>
    </row>
    <row r="2493">
      <c r="A2493" t="n">
        <v>111070</v>
      </c>
      <c r="B2493" t="n">
        <v>128</v>
      </c>
      <c r="C2493" t="inlineStr">
        <is>
          <t>Love Cabaret</t>
        </is>
      </c>
      <c r="D2493" t="inlineStr">
        <is>
          <t>BRH SAUDE OCUPACIONAL LTDA</t>
        </is>
      </c>
      <c r="E2493" t="n">
        <v>87.63</v>
      </c>
      <c r="F2493" s="27" t="n">
        <v>45734</v>
      </c>
      <c r="G2493" s="27" t="n">
        <v>45733</v>
      </c>
      <c r="H2493" s="27" t="n">
        <v>45733</v>
      </c>
      <c r="I2493" s="27" t="n">
        <v>45689</v>
      </c>
      <c r="J2493" s="27" t="n">
        <v>45705</v>
      </c>
      <c r="K2493" t="inlineStr">
        <is>
          <t>Boleto Bancário</t>
        </is>
      </c>
      <c r="L2493" t="inlineStr">
        <is>
          <t>Mão de Obra - Benefícios</t>
        </is>
      </c>
      <c r="M2493" t="inlineStr">
        <is>
          <t xml:space="preserve">  -  Exames Periódicos</t>
        </is>
      </c>
      <c r="N2493" t="inlineStr">
        <is>
          <t>75954</t>
        </is>
      </c>
      <c r="O2493" t="inlineStr">
        <is>
          <t>Documentação Aprovada</t>
        </is>
      </c>
      <c r="P2493" t="inlineStr">
        <is>
          <t>Aprovado Diretoria</t>
        </is>
      </c>
      <c r="Q2493" t="inlineStr">
        <is>
          <t>Aprovado Caixa</t>
        </is>
      </c>
      <c r="R2493" t="inlineStr">
        <is>
          <t>Pago</t>
        </is>
      </c>
      <c r="S2493" t="n">
        <v>115</v>
      </c>
      <c r="T2493" t="inlineStr">
        <is>
          <t>Love - Shibari - Bradesco</t>
        </is>
      </c>
    </row>
    <row r="2494">
      <c r="A2494" t="n">
        <v>97362</v>
      </c>
      <c r="B2494" t="n">
        <v>128</v>
      </c>
      <c r="C2494" t="inlineStr">
        <is>
          <t>Love Cabaret</t>
        </is>
      </c>
      <c r="D2494" t="inlineStr">
        <is>
          <t xml:space="preserve">EDIMAR MOURA TARTAGLIONI SERVICOES DE DEDETIZACAO </t>
        </is>
      </c>
      <c r="E2494" t="n">
        <v>630</v>
      </c>
      <c r="F2494" s="27" t="n">
        <v>45733</v>
      </c>
      <c r="G2494" s="27" t="n">
        <v>45733</v>
      </c>
      <c r="H2494" s="27" t="n">
        <v>45733</v>
      </c>
      <c r="I2494" s="27" t="n">
        <v>45721</v>
      </c>
      <c r="J2494" s="27" t="n"/>
      <c r="K2494" t="inlineStr">
        <is>
          <t>Transferência Bancária ou Pix</t>
        </is>
      </c>
      <c r="L2494" t="inlineStr">
        <is>
          <t>Utilidades</t>
        </is>
      </c>
      <c r="M2494" t="inlineStr">
        <is>
          <t>Controle de Pragas</t>
        </is>
      </c>
      <c r="N2494" t="inlineStr">
        <is>
          <t>497</t>
        </is>
      </c>
      <c r="O2494" t="inlineStr">
        <is>
          <t>Documentação Aprovada</t>
        </is>
      </c>
      <c r="P2494" t="inlineStr">
        <is>
          <t>Aprovado Diretoria</t>
        </is>
      </c>
      <c r="Q2494" t="inlineStr">
        <is>
          <t>Aprovado Caixa</t>
        </is>
      </c>
      <c r="R2494" t="inlineStr">
        <is>
          <t>Pago</t>
        </is>
      </c>
      <c r="S2494" t="n">
        <v>115</v>
      </c>
      <c r="T2494" t="inlineStr">
        <is>
          <t>Love - Shibari - Bradesco</t>
        </is>
      </c>
    </row>
    <row r="2495">
      <c r="A2495" t="n">
        <v>118897</v>
      </c>
      <c r="B2495" t="n">
        <v>128</v>
      </c>
      <c r="C2495" t="inlineStr">
        <is>
          <t>Love Cabaret</t>
        </is>
      </c>
      <c r="D2495" t="inlineStr">
        <is>
          <t>BRADESCO SA</t>
        </is>
      </c>
      <c r="E2495" t="n">
        <v>191.31</v>
      </c>
      <c r="F2495" s="27" t="n">
        <v>45730</v>
      </c>
      <c r="G2495" s="27" t="n"/>
      <c r="H2495" s="27" t="n">
        <v>45730</v>
      </c>
      <c r="I2495" s="27" t="n">
        <v>45730</v>
      </c>
      <c r="J2495" s="27" t="n">
        <v>45734</v>
      </c>
      <c r="K2495" t="inlineStr">
        <is>
          <t>Encontro de Contas</t>
        </is>
      </c>
      <c r="L2495" t="inlineStr">
        <is>
          <t>Despesas Financeiras</t>
        </is>
      </c>
      <c r="M2495" t="inlineStr">
        <is>
          <t>Tarifas Bancárias</t>
        </is>
      </c>
      <c r="N2495" t="inlineStr">
        <is>
          <t>032025</t>
        </is>
      </c>
      <c r="P2495" t="inlineStr">
        <is>
          <t>Aprovado Diretoria</t>
        </is>
      </c>
      <c r="R2495" t="inlineStr">
        <is>
          <t>Pago</t>
        </is>
      </c>
    </row>
    <row r="2496">
      <c r="A2496" t="n">
        <v>118557</v>
      </c>
      <c r="B2496" t="n">
        <v>128</v>
      </c>
      <c r="C2496" t="inlineStr">
        <is>
          <t>Love Cabaret</t>
        </is>
      </c>
      <c r="D2496" t="inlineStr">
        <is>
          <t>BRADESCO SA</t>
        </is>
      </c>
      <c r="E2496" t="n">
        <v>9</v>
      </c>
      <c r="F2496" s="27" t="n">
        <v>45729</v>
      </c>
      <c r="G2496" s="27" t="n"/>
      <c r="H2496" s="27" t="n">
        <v>45729</v>
      </c>
      <c r="I2496" s="27" t="n">
        <v>45729</v>
      </c>
      <c r="J2496" s="27" t="n">
        <v>45730</v>
      </c>
      <c r="K2496" t="inlineStr">
        <is>
          <t>Encontro de Contas</t>
        </is>
      </c>
      <c r="L2496" t="inlineStr">
        <is>
          <t>Despesas Financeiras</t>
        </is>
      </c>
      <c r="M2496" t="inlineStr">
        <is>
          <t>Tarifas Bancárias</t>
        </is>
      </c>
      <c r="N2496" t="inlineStr">
        <is>
          <t>032025</t>
        </is>
      </c>
      <c r="P2496" t="inlineStr">
        <is>
          <t>Aprovado Diretoria</t>
        </is>
      </c>
      <c r="R2496" t="inlineStr">
        <is>
          <t>Pago</t>
        </is>
      </c>
    </row>
    <row r="2497">
      <c r="A2497" t="n">
        <v>118295</v>
      </c>
      <c r="B2497" t="n">
        <v>128</v>
      </c>
      <c r="C2497" t="inlineStr">
        <is>
          <t>Love Cabaret</t>
        </is>
      </c>
      <c r="D2497" t="inlineStr">
        <is>
          <t>BRADESCO SA</t>
        </is>
      </c>
      <c r="E2497" t="n">
        <v>195.67</v>
      </c>
      <c r="F2497" s="27" t="n">
        <v>45728</v>
      </c>
      <c r="G2497" s="27" t="n"/>
      <c r="H2497" s="27" t="n">
        <v>45728</v>
      </c>
      <c r="I2497" s="27" t="n">
        <v>45728</v>
      </c>
      <c r="J2497" s="27" t="n">
        <v>45729</v>
      </c>
      <c r="K2497" t="inlineStr">
        <is>
          <t>Encontro de Contas</t>
        </is>
      </c>
      <c r="L2497" t="inlineStr">
        <is>
          <t>Despesas Financeiras</t>
        </is>
      </c>
      <c r="M2497" t="inlineStr">
        <is>
          <t>Tarifas Bancárias</t>
        </is>
      </c>
      <c r="N2497" t="inlineStr">
        <is>
          <t>032025</t>
        </is>
      </c>
      <c r="P2497" t="inlineStr">
        <is>
          <t>Aprovado Diretoria</t>
        </is>
      </c>
      <c r="R2497" t="inlineStr">
        <is>
          <t>Pago</t>
        </is>
      </c>
    </row>
    <row r="2498">
      <c r="A2498" t="n">
        <v>116789</v>
      </c>
      <c r="B2498" t="n">
        <v>128</v>
      </c>
      <c r="C2498" t="inlineStr">
        <is>
          <t>Love Cabaret</t>
        </is>
      </c>
      <c r="D2498" t="inlineStr">
        <is>
          <t>HNK BR IND DE BEBIDAS</t>
        </is>
      </c>
      <c r="E2498" t="n">
        <v>482.93</v>
      </c>
      <c r="F2498" s="27" t="n">
        <v>45730</v>
      </c>
      <c r="G2498" s="27" t="n">
        <v>45728</v>
      </c>
      <c r="H2498" s="27" t="n">
        <v>45728</v>
      </c>
      <c r="I2498" s="27" t="n">
        <v>45715</v>
      </c>
      <c r="J2498" s="27" t="n">
        <v>45727</v>
      </c>
      <c r="K2498" t="inlineStr">
        <is>
          <t>Boleto Bancário</t>
        </is>
      </c>
      <c r="L2498" t="inlineStr">
        <is>
          <t>Custo Mercadoria Vendida</t>
        </is>
      </c>
      <c r="M2498" t="inlineStr">
        <is>
          <t>Insumos - Bebidas</t>
        </is>
      </c>
      <c r="N2498" t="inlineStr">
        <is>
          <t>205451</t>
        </is>
      </c>
      <c r="O2498" t="inlineStr">
        <is>
          <t>Documentação Aprovada</t>
        </is>
      </c>
      <c r="P2498" t="inlineStr">
        <is>
          <t>Aprovado Diretoria</t>
        </is>
      </c>
      <c r="Q2498" t="inlineStr">
        <is>
          <t>Aprovado Caixa</t>
        </is>
      </c>
      <c r="R2498" t="inlineStr">
        <is>
          <t>Pago</t>
        </is>
      </c>
      <c r="S2498" t="n">
        <v>115</v>
      </c>
      <c r="T2498" t="inlineStr">
        <is>
          <t>Love - Shibari - Bradesco</t>
        </is>
      </c>
    </row>
    <row r="2499">
      <c r="A2499" t="n">
        <v>102901</v>
      </c>
      <c r="B2499" t="n">
        <v>128</v>
      </c>
      <c r="C2499" t="inlineStr">
        <is>
          <t>Love Cabaret</t>
        </is>
      </c>
      <c r="D2499" t="inlineStr">
        <is>
          <t>MACRO CONTABILIDADE E CONSULTORIA LTDA</t>
        </is>
      </c>
      <c r="E2499" t="n">
        <v>3089.81</v>
      </c>
      <c r="F2499" s="27" t="n">
        <v>45731</v>
      </c>
      <c r="G2499" s="27" t="n">
        <v>45728</v>
      </c>
      <c r="H2499" s="27" t="n">
        <v>45728</v>
      </c>
      <c r="I2499" s="27" t="n">
        <v>45719</v>
      </c>
      <c r="J2499" s="27" t="n"/>
      <c r="K2499" t="inlineStr">
        <is>
          <t>Boleto Bancário</t>
        </is>
      </c>
      <c r="L2499" t="inlineStr">
        <is>
          <t>Serviços de Terceiros</t>
        </is>
      </c>
      <c r="M2499" t="inlineStr">
        <is>
          <t>Assessoria Contabil</t>
        </is>
      </c>
      <c r="N2499" t="inlineStr">
        <is>
          <t>7224</t>
        </is>
      </c>
      <c r="O2499" t="inlineStr">
        <is>
          <t>Documentação Aprovada</t>
        </is>
      </c>
      <c r="P2499" t="inlineStr">
        <is>
          <t>Aprovado Diretoria</t>
        </is>
      </c>
      <c r="Q2499" t="inlineStr">
        <is>
          <t>Aprovado Caixa</t>
        </is>
      </c>
      <c r="R2499" t="inlineStr">
        <is>
          <t>Pago</t>
        </is>
      </c>
      <c r="S2499" t="n">
        <v>115</v>
      </c>
      <c r="T2499" t="inlineStr">
        <is>
          <t>Love - Shibari - Bradesco</t>
        </is>
      </c>
    </row>
    <row r="2500">
      <c r="A2500" t="n">
        <v>102876</v>
      </c>
      <c r="B2500" t="n">
        <v>128</v>
      </c>
      <c r="C2500" t="inlineStr">
        <is>
          <t>Love Cabaret</t>
        </is>
      </c>
      <c r="D2500" t="inlineStr">
        <is>
          <t>MACHINE SEGURANCA PATRIMONIAL LTDA</t>
        </is>
      </c>
      <c r="E2500" t="n">
        <v>4636.95</v>
      </c>
      <c r="F2500" s="27" t="n">
        <v>45731</v>
      </c>
      <c r="G2500" s="27" t="n">
        <v>45728</v>
      </c>
      <c r="H2500" s="27" t="n">
        <v>45728</v>
      </c>
      <c r="I2500" s="27" t="n">
        <v>45716</v>
      </c>
      <c r="J2500" s="27" t="n"/>
      <c r="K2500" t="inlineStr">
        <is>
          <t>Transferência Bancária ou Pix</t>
        </is>
      </c>
      <c r="L2500" t="inlineStr">
        <is>
          <t>Serviços de Terceiros</t>
        </is>
      </c>
      <c r="M2500" t="inlineStr">
        <is>
          <t>Serviços de Segurança</t>
        </is>
      </c>
      <c r="N2500" t="inlineStr">
        <is>
          <t>577</t>
        </is>
      </c>
      <c r="O2500" t="inlineStr">
        <is>
          <t>Documentação Aprovada</t>
        </is>
      </c>
      <c r="P2500" t="inlineStr">
        <is>
          <t>Aprovado Diretoria</t>
        </is>
      </c>
      <c r="Q2500" t="inlineStr">
        <is>
          <t>Aprovado Caixa</t>
        </is>
      </c>
      <c r="R2500" t="inlineStr">
        <is>
          <t>Pago</t>
        </is>
      </c>
      <c r="S2500" t="n">
        <v>115</v>
      </c>
      <c r="T2500" t="inlineStr">
        <is>
          <t>Love - Shibari - Bradesco</t>
        </is>
      </c>
    </row>
    <row r="2501">
      <c r="A2501" t="n">
        <v>102826</v>
      </c>
      <c r="B2501" t="n">
        <v>128</v>
      </c>
      <c r="C2501" t="inlineStr">
        <is>
          <t>Love Cabaret</t>
        </is>
      </c>
      <c r="D2501" t="inlineStr">
        <is>
          <t>HEADCHEF SEGURANCA DOS ALIM E GARANTIA D</t>
        </is>
      </c>
      <c r="E2501" t="n">
        <v>891.0599999999999</v>
      </c>
      <c r="F2501" s="27" t="n">
        <v>45731</v>
      </c>
      <c r="G2501" s="27" t="n">
        <v>45728</v>
      </c>
      <c r="H2501" s="27" t="n">
        <v>45728</v>
      </c>
      <c r="I2501" s="27" t="n">
        <v>45714</v>
      </c>
      <c r="J2501" s="27" t="n"/>
      <c r="K2501" t="inlineStr">
        <is>
          <t>Boleto Bancário</t>
        </is>
      </c>
      <c r="L2501" t="inlineStr">
        <is>
          <t>Serviços de Terceiros</t>
        </is>
      </c>
      <c r="M2501" t="inlineStr">
        <is>
          <t>Assessoria de Alimentos e Bebidas</t>
        </is>
      </c>
      <c r="N2501" t="inlineStr">
        <is>
          <t>1129</t>
        </is>
      </c>
      <c r="O2501" t="inlineStr">
        <is>
          <t>Documentação Aprovada</t>
        </is>
      </c>
      <c r="P2501" t="inlineStr">
        <is>
          <t>Aprovado Diretoria</t>
        </is>
      </c>
      <c r="Q2501" t="inlineStr">
        <is>
          <t>Aprovado Caixa</t>
        </is>
      </c>
      <c r="R2501" t="inlineStr">
        <is>
          <t>Pago</t>
        </is>
      </c>
      <c r="S2501" t="n">
        <v>115</v>
      </c>
      <c r="T2501" t="inlineStr">
        <is>
          <t>Love - Shibari - Bradesco</t>
        </is>
      </c>
    </row>
    <row r="2502">
      <c r="A2502" t="n">
        <v>96959</v>
      </c>
      <c r="B2502" t="n">
        <v>128</v>
      </c>
      <c r="C2502" t="inlineStr">
        <is>
          <t>Love Cabaret</t>
        </is>
      </c>
      <c r="D2502" t="inlineStr">
        <is>
          <t xml:space="preserve">DUO COMUNICA LTDA </t>
        </is>
      </c>
      <c r="E2502" t="n">
        <v>333</v>
      </c>
      <c r="F2502" s="27" t="n">
        <v>45730</v>
      </c>
      <c r="G2502" s="27" t="n">
        <v>45728</v>
      </c>
      <c r="H2502" s="27" t="n">
        <v>45728</v>
      </c>
      <c r="I2502" s="27" t="n">
        <v>45706</v>
      </c>
      <c r="J2502" s="27" t="n"/>
      <c r="K2502" t="inlineStr">
        <is>
          <t>Transferência Bancária ou Pix</t>
        </is>
      </c>
      <c r="L2502" t="inlineStr">
        <is>
          <t>Informática e TI</t>
        </is>
      </c>
      <c r="M2502" t="inlineStr">
        <is>
          <t>Sistemas Gerais - Comunicação e Marketing</t>
        </is>
      </c>
      <c r="N2502" t="inlineStr">
        <is>
          <t>464</t>
        </is>
      </c>
      <c r="O2502" t="inlineStr">
        <is>
          <t>Documentação Aprovada</t>
        </is>
      </c>
      <c r="P2502" t="inlineStr">
        <is>
          <t>Aprovado Diretoria</t>
        </is>
      </c>
      <c r="Q2502" t="inlineStr">
        <is>
          <t>Aprovado Caixa</t>
        </is>
      </c>
      <c r="R2502" t="inlineStr">
        <is>
          <t>Pago</t>
        </is>
      </c>
      <c r="S2502" t="n">
        <v>115</v>
      </c>
      <c r="T2502" t="inlineStr">
        <is>
          <t>Love - Shibari - Bradesco</t>
        </is>
      </c>
    </row>
    <row r="2503">
      <c r="A2503" t="n">
        <v>96947</v>
      </c>
      <c r="B2503" t="n">
        <v>128</v>
      </c>
      <c r="C2503" t="inlineStr">
        <is>
          <t>Love Cabaret</t>
        </is>
      </c>
      <c r="D2503" t="inlineStr">
        <is>
          <t>CEM ENGENHARIA DA MANUTENCAO LTDA</t>
        </is>
      </c>
      <c r="E2503" t="n">
        <v>6252.94</v>
      </c>
      <c r="F2503" s="27" t="n">
        <v>45731</v>
      </c>
      <c r="G2503" s="27" t="n">
        <v>45728</v>
      </c>
      <c r="H2503" s="27" t="n">
        <v>45728</v>
      </c>
      <c r="I2503" s="27" t="n">
        <v>45716</v>
      </c>
      <c r="J2503" s="27" t="n"/>
      <c r="K2503" t="inlineStr">
        <is>
          <t>Boleto Bancário</t>
        </is>
      </c>
      <c r="L2503" t="inlineStr">
        <is>
          <t>Manutenção</t>
        </is>
      </c>
      <c r="M2503" t="inlineStr">
        <is>
          <t>Manutenção Predial</t>
        </is>
      </c>
      <c r="N2503" t="inlineStr">
        <is>
          <t>2360</t>
        </is>
      </c>
      <c r="O2503" t="inlineStr">
        <is>
          <t>Documentação Aprovada</t>
        </is>
      </c>
      <c r="P2503" t="inlineStr">
        <is>
          <t>Aprovado Diretoria</t>
        </is>
      </c>
      <c r="Q2503" t="inlineStr">
        <is>
          <t>Aprovado Caixa</t>
        </is>
      </c>
      <c r="R2503" t="inlineStr">
        <is>
          <t>Pago</t>
        </is>
      </c>
      <c r="S2503" t="n">
        <v>115</v>
      </c>
      <c r="T2503" t="inlineStr">
        <is>
          <t>Love - Shibari - Bradesco</t>
        </is>
      </c>
    </row>
    <row r="2504">
      <c r="A2504" t="n">
        <v>97091</v>
      </c>
      <c r="B2504" t="n">
        <v>128</v>
      </c>
      <c r="C2504" t="inlineStr">
        <is>
          <t>Love Cabaret</t>
        </is>
      </c>
      <c r="D2504" t="inlineStr">
        <is>
          <t>ESTAFF SOLUCOES TECNOLOGICAS DE AGENCIAMENTO LTDA</t>
        </is>
      </c>
      <c r="E2504" t="n">
        <v>4268</v>
      </c>
      <c r="F2504" s="27" t="n">
        <v>45728</v>
      </c>
      <c r="G2504" s="27" t="n">
        <v>45728</v>
      </c>
      <c r="H2504" s="27" t="n">
        <v>45728</v>
      </c>
      <c r="I2504" s="27" t="n">
        <v>45719</v>
      </c>
      <c r="J2504" s="27" t="n"/>
      <c r="K2504" t="inlineStr">
        <is>
          <t>Boleto Bancário</t>
        </is>
      </c>
      <c r="L2504" t="inlineStr">
        <is>
          <t>Mão de Obra - Extra</t>
        </is>
      </c>
      <c r="M2504" t="inlineStr">
        <is>
          <t>Mão de Obra Extra</t>
        </is>
      </c>
      <c r="N2504" t="inlineStr">
        <is>
          <t>531901319</t>
        </is>
      </c>
      <c r="O2504" t="inlineStr">
        <is>
          <t>Documentação Aprovada</t>
        </is>
      </c>
      <c r="P2504" t="inlineStr">
        <is>
          <t>Aprovado Diretoria</t>
        </is>
      </c>
      <c r="Q2504" t="inlineStr">
        <is>
          <t>Aprovado Caixa</t>
        </is>
      </c>
      <c r="R2504" t="inlineStr">
        <is>
          <t>Pago</t>
        </is>
      </c>
      <c r="S2504" t="n">
        <v>115</v>
      </c>
      <c r="T2504" t="inlineStr">
        <is>
          <t>Love - Shibari - Bradesco</t>
        </is>
      </c>
    </row>
    <row r="2505">
      <c r="A2505" t="n">
        <v>111142</v>
      </c>
      <c r="B2505" t="n">
        <v>128</v>
      </c>
      <c r="C2505" t="inlineStr">
        <is>
          <t>Love Cabaret</t>
        </is>
      </c>
      <c r="D2505" t="inlineStr">
        <is>
          <t>CIUFFI HORTIFRUTI EIRELI</t>
        </is>
      </c>
      <c r="E2505" t="n">
        <v>170.45</v>
      </c>
      <c r="F2505" s="27" t="n">
        <v>45730</v>
      </c>
      <c r="G2505" s="27" t="n">
        <v>45728</v>
      </c>
      <c r="H2505" s="27" t="n">
        <v>45728</v>
      </c>
      <c r="I2505" s="27" t="n">
        <v>45701</v>
      </c>
      <c r="J2505" s="27" t="n">
        <v>45705</v>
      </c>
      <c r="K2505" t="inlineStr">
        <is>
          <t>Boleto Bancário</t>
        </is>
      </c>
      <c r="L2505" t="inlineStr">
        <is>
          <t>Custo Mercadoria Vendida</t>
        </is>
      </c>
      <c r="M2505" t="inlineStr">
        <is>
          <t>Insumos - Alimentos</t>
        </is>
      </c>
      <c r="N2505" t="inlineStr">
        <is>
          <t>19952</t>
        </is>
      </c>
      <c r="O2505" t="inlineStr">
        <is>
          <t>Documentação Aprovada</t>
        </is>
      </c>
      <c r="P2505" t="inlineStr">
        <is>
          <t>Aprovado Diretoria</t>
        </is>
      </c>
      <c r="Q2505" t="inlineStr">
        <is>
          <t>Aprovado Caixa</t>
        </is>
      </c>
      <c r="R2505" t="inlineStr">
        <is>
          <t>Pago</t>
        </is>
      </c>
      <c r="S2505" t="n">
        <v>115</v>
      </c>
      <c r="T2505" t="inlineStr">
        <is>
          <t>Love - Shibari - Bradesco</t>
        </is>
      </c>
    </row>
    <row r="2506">
      <c r="A2506" t="n">
        <v>115130</v>
      </c>
      <c r="B2506" t="n">
        <v>128</v>
      </c>
      <c r="C2506" t="inlineStr">
        <is>
          <t>Love Cabaret</t>
        </is>
      </c>
      <c r="D2506" t="inlineStr">
        <is>
          <t>HNK BR IND DE BEBIDAS</t>
        </is>
      </c>
      <c r="E2506" t="n">
        <v>7385.13</v>
      </c>
      <c r="F2506" s="27" t="n">
        <v>45730</v>
      </c>
      <c r="G2506" s="27" t="n">
        <v>45728</v>
      </c>
      <c r="H2506" s="27" t="n">
        <v>45728</v>
      </c>
      <c r="I2506" s="27" t="n">
        <v>45716</v>
      </c>
      <c r="J2506" s="27" t="n">
        <v>45718</v>
      </c>
      <c r="K2506" t="inlineStr">
        <is>
          <t>Boleto Bancário</t>
        </is>
      </c>
      <c r="L2506" t="inlineStr">
        <is>
          <t>Custo Mercadoria Vendida</t>
        </is>
      </c>
      <c r="M2506" t="inlineStr">
        <is>
          <t>Insumos - Bebidas</t>
        </is>
      </c>
      <c r="N2506" t="inlineStr">
        <is>
          <t>205452</t>
        </is>
      </c>
      <c r="O2506" t="inlineStr">
        <is>
          <t>Documentação Aprovada</t>
        </is>
      </c>
      <c r="P2506" t="inlineStr">
        <is>
          <t>Aprovado Diretoria</t>
        </is>
      </c>
      <c r="Q2506" t="inlineStr">
        <is>
          <t>Aprovado Caixa</t>
        </is>
      </c>
      <c r="R2506" t="inlineStr">
        <is>
          <t>Pago</t>
        </is>
      </c>
      <c r="S2506" t="n">
        <v>115</v>
      </c>
      <c r="T2506" t="inlineStr">
        <is>
          <t>Love - Shibari - Bradesco</t>
        </is>
      </c>
    </row>
    <row r="2507">
      <c r="A2507" t="n">
        <v>115122</v>
      </c>
      <c r="B2507" t="n">
        <v>128</v>
      </c>
      <c r="C2507" t="inlineStr">
        <is>
          <t>Love Cabaret</t>
        </is>
      </c>
      <c r="D2507" t="inlineStr">
        <is>
          <t>BATARD PADARIA ARTESANAL LTDA</t>
        </is>
      </c>
      <c r="E2507" t="n">
        <v>127</v>
      </c>
      <c r="F2507" s="27" t="n">
        <v>45730</v>
      </c>
      <c r="G2507" s="27" t="n">
        <v>45728</v>
      </c>
      <c r="H2507" s="27" t="n">
        <v>45728</v>
      </c>
      <c r="I2507" s="27" t="n">
        <v>45713</v>
      </c>
      <c r="J2507" s="27" t="n">
        <v>45718</v>
      </c>
      <c r="K2507" t="inlineStr">
        <is>
          <t>Boleto Bancário</t>
        </is>
      </c>
      <c r="L2507" t="inlineStr">
        <is>
          <t>Custo Mercadoria Vendida</t>
        </is>
      </c>
      <c r="M2507" t="inlineStr">
        <is>
          <t>Insumos - Alimentos</t>
        </is>
      </c>
      <c r="N2507" t="inlineStr">
        <is>
          <t>10055</t>
        </is>
      </c>
      <c r="O2507" t="inlineStr">
        <is>
          <t>Documentação Aprovada</t>
        </is>
      </c>
      <c r="P2507" t="inlineStr">
        <is>
          <t>Aprovado Diretoria</t>
        </is>
      </c>
      <c r="Q2507" t="inlineStr">
        <is>
          <t>Aprovado Caixa</t>
        </is>
      </c>
      <c r="R2507" t="inlineStr">
        <is>
          <t>Pago</t>
        </is>
      </c>
      <c r="S2507" t="n">
        <v>115</v>
      </c>
      <c r="T2507" t="inlineStr">
        <is>
          <t>Love - Shibari - Bradesco</t>
        </is>
      </c>
    </row>
    <row r="2508">
      <c r="A2508" t="n">
        <v>115135</v>
      </c>
      <c r="B2508" t="n">
        <v>128</v>
      </c>
      <c r="C2508" t="inlineStr">
        <is>
          <t>Love Cabaret</t>
        </is>
      </c>
      <c r="D2508" t="inlineStr">
        <is>
          <t>PARAMU COMERCIO E REPRESENTACAO DE PRODUTOS ALIMENTICIOS</t>
        </is>
      </c>
      <c r="E2508" t="n">
        <v>312.09</v>
      </c>
      <c r="F2508" s="27" t="n">
        <v>45729</v>
      </c>
      <c r="G2508" s="27" t="n">
        <v>45728</v>
      </c>
      <c r="H2508" s="27" t="n">
        <v>45728</v>
      </c>
      <c r="I2508" s="27" t="n">
        <v>45715</v>
      </c>
      <c r="J2508" s="27" t="n">
        <v>45718</v>
      </c>
      <c r="K2508" t="inlineStr">
        <is>
          <t>Boleto Bancário</t>
        </is>
      </c>
      <c r="L2508" t="inlineStr">
        <is>
          <t>Custo Mercadoria Vendida</t>
        </is>
      </c>
      <c r="M2508" t="inlineStr">
        <is>
          <t>Insumos - Alimentos</t>
        </is>
      </c>
      <c r="N2508" t="inlineStr">
        <is>
          <t>12942</t>
        </is>
      </c>
      <c r="O2508" t="inlineStr">
        <is>
          <t>Documentação Aprovada</t>
        </is>
      </c>
      <c r="P2508" t="inlineStr">
        <is>
          <t>Aprovado Diretoria</t>
        </is>
      </c>
      <c r="Q2508" t="inlineStr">
        <is>
          <t>Aprovado Caixa</t>
        </is>
      </c>
      <c r="R2508" t="inlineStr">
        <is>
          <t>Pago</t>
        </is>
      </c>
      <c r="S2508" t="n">
        <v>115</v>
      </c>
      <c r="T2508" t="inlineStr">
        <is>
          <t>Love - Shibari - Bradesco</t>
        </is>
      </c>
    </row>
    <row r="2509">
      <c r="A2509" t="n">
        <v>114740</v>
      </c>
      <c r="B2509" t="n">
        <v>128</v>
      </c>
      <c r="C2509" t="inlineStr">
        <is>
          <t>Love Cabaret</t>
        </is>
      </c>
      <c r="D2509" t="inlineStr">
        <is>
          <t xml:space="preserve">KATLEGO / NEUMARA SOLIDADE DE JESUS </t>
        </is>
      </c>
      <c r="E2509" t="n">
        <v>425</v>
      </c>
      <c r="F2509" s="27" t="n">
        <v>45730</v>
      </c>
      <c r="G2509" s="27" t="n">
        <v>45728</v>
      </c>
      <c r="H2509" s="27" t="n">
        <v>45728</v>
      </c>
      <c r="I2509" s="27" t="n">
        <v>45715</v>
      </c>
      <c r="J2509" s="27" t="n">
        <v>45716</v>
      </c>
      <c r="K2509" t="inlineStr">
        <is>
          <t>Transferência Bancária ou Pix</t>
        </is>
      </c>
      <c r="L2509" t="inlineStr">
        <is>
          <t>Custos Artístico Geral</t>
        </is>
      </c>
      <c r="M2509" t="inlineStr">
        <is>
          <t>Cachê de Músicos e Artistas</t>
        </is>
      </c>
      <c r="N2509" t="inlineStr">
        <is>
          <t>242025</t>
        </is>
      </c>
      <c r="O2509" t="inlineStr">
        <is>
          <t>Documentação Aprovada</t>
        </is>
      </c>
      <c r="P2509" t="inlineStr">
        <is>
          <t>Aprovado Diretoria</t>
        </is>
      </c>
      <c r="Q2509" t="inlineStr">
        <is>
          <t>Aprovado Caixa</t>
        </is>
      </c>
      <c r="R2509" t="inlineStr">
        <is>
          <t>Pago</t>
        </is>
      </c>
      <c r="S2509" t="n">
        <v>115</v>
      </c>
      <c r="T2509" t="inlineStr">
        <is>
          <t>Love - Shibari - Bradesco</t>
        </is>
      </c>
    </row>
    <row r="2510">
      <c r="A2510" t="n">
        <v>115131</v>
      </c>
      <c r="B2510" t="n">
        <v>128</v>
      </c>
      <c r="C2510" t="inlineStr">
        <is>
          <t>Love Cabaret</t>
        </is>
      </c>
      <c r="D2510" t="inlineStr">
        <is>
          <t>BATALHA FABRICA DE PAES LTDA</t>
        </is>
      </c>
      <c r="E2510" t="n">
        <v>374.55</v>
      </c>
      <c r="F2510" s="27" t="n">
        <v>45730</v>
      </c>
      <c r="G2510" s="27" t="n">
        <v>45728</v>
      </c>
      <c r="H2510" s="27" t="n">
        <v>45728</v>
      </c>
      <c r="I2510" s="27" t="n">
        <v>45713</v>
      </c>
      <c r="J2510" s="27" t="n">
        <v>45718</v>
      </c>
      <c r="K2510" t="inlineStr">
        <is>
          <t>Boleto Bancário</t>
        </is>
      </c>
      <c r="L2510" t="inlineStr">
        <is>
          <t>Custo Mercadoria Vendida</t>
        </is>
      </c>
      <c r="M2510" t="inlineStr">
        <is>
          <t>Insumos - Alimentos</t>
        </is>
      </c>
      <c r="N2510" t="inlineStr">
        <is>
          <t>31295</t>
        </is>
      </c>
      <c r="O2510" t="inlineStr">
        <is>
          <t>Documentação Aprovada</t>
        </is>
      </c>
      <c r="P2510" t="inlineStr">
        <is>
          <t>Aprovado Diretoria</t>
        </is>
      </c>
      <c r="Q2510" t="inlineStr">
        <is>
          <t>Aprovado Caixa</t>
        </is>
      </c>
      <c r="R2510" t="inlineStr">
        <is>
          <t>Pago</t>
        </is>
      </c>
      <c r="S2510" t="n">
        <v>115</v>
      </c>
      <c r="T2510" t="inlineStr">
        <is>
          <t>Love - Shibari - Bradesco</t>
        </is>
      </c>
    </row>
    <row r="2511">
      <c r="A2511" t="n">
        <v>114549</v>
      </c>
      <c r="B2511" t="n">
        <v>128</v>
      </c>
      <c r="C2511" t="inlineStr">
        <is>
          <t>Love Cabaret</t>
        </is>
      </c>
      <c r="D2511" t="inlineStr">
        <is>
          <t>MURILLO S DUARTE COMERCIAL LTDA</t>
        </is>
      </c>
      <c r="E2511" t="n">
        <v>203.5</v>
      </c>
      <c r="F2511" s="27" t="n">
        <v>45730</v>
      </c>
      <c r="G2511" s="27" t="n">
        <v>45728</v>
      </c>
      <c r="H2511" s="27" t="n">
        <v>45728</v>
      </c>
      <c r="I2511" s="27" t="n">
        <v>45706</v>
      </c>
      <c r="J2511" s="27" t="n">
        <v>45715</v>
      </c>
      <c r="K2511" t="inlineStr">
        <is>
          <t>Boleto Bancário</t>
        </is>
      </c>
      <c r="L2511" t="inlineStr">
        <is>
          <t>Custo Mercadoria Vendida</t>
        </is>
      </c>
      <c r="M2511" t="inlineStr">
        <is>
          <t>Insumos - Alimentos</t>
        </is>
      </c>
      <c r="N2511" t="inlineStr">
        <is>
          <t>1841</t>
        </is>
      </c>
      <c r="O2511" t="inlineStr">
        <is>
          <t>Documentação Aprovada</t>
        </is>
      </c>
      <c r="P2511" t="inlineStr">
        <is>
          <t>Aprovado Diretoria</t>
        </is>
      </c>
      <c r="Q2511" t="inlineStr">
        <is>
          <t>Aprovado Caixa</t>
        </is>
      </c>
      <c r="R2511" t="inlineStr">
        <is>
          <t>Pago</t>
        </is>
      </c>
      <c r="S2511" t="n">
        <v>115</v>
      </c>
      <c r="T2511" t="inlineStr">
        <is>
          <t>Love - Shibari - Bradesco</t>
        </is>
      </c>
    </row>
    <row r="2512">
      <c r="A2512" t="n">
        <v>114548</v>
      </c>
      <c r="B2512" t="n">
        <v>128</v>
      </c>
      <c r="C2512" t="inlineStr">
        <is>
          <t>Love Cabaret</t>
        </is>
      </c>
      <c r="D2512" t="inlineStr">
        <is>
          <t>PROAUTO INDUSTRIA QUIMICA EIRELI</t>
        </is>
      </c>
      <c r="E2512" t="n">
        <v>2167.57</v>
      </c>
      <c r="F2512" s="27" t="n">
        <v>45730</v>
      </c>
      <c r="G2512" s="27" t="n">
        <v>45728</v>
      </c>
      <c r="H2512" s="27" t="n">
        <v>45728</v>
      </c>
      <c r="I2512" s="27" t="n">
        <v>45702</v>
      </c>
      <c r="J2512" s="27" t="n">
        <v>45715</v>
      </c>
      <c r="K2512" t="inlineStr">
        <is>
          <t>Boleto Bancário</t>
        </is>
      </c>
      <c r="L2512" t="inlineStr">
        <is>
          <t>Utilidades</t>
        </is>
      </c>
      <c r="M2512" t="inlineStr">
        <is>
          <t>Higiene e Limpeza</t>
        </is>
      </c>
      <c r="N2512" t="inlineStr">
        <is>
          <t>133966</t>
        </is>
      </c>
      <c r="O2512" t="inlineStr">
        <is>
          <t>Documentação Aprovada</t>
        </is>
      </c>
      <c r="P2512" t="inlineStr">
        <is>
          <t>Aprovado Diretoria</t>
        </is>
      </c>
      <c r="Q2512" t="inlineStr">
        <is>
          <t>Aprovado Caixa</t>
        </is>
      </c>
      <c r="R2512" t="inlineStr">
        <is>
          <t>Pago</t>
        </is>
      </c>
      <c r="S2512" t="n">
        <v>115</v>
      </c>
      <c r="T2512" t="inlineStr">
        <is>
          <t>Love - Shibari - Bradesco</t>
        </is>
      </c>
    </row>
    <row r="2513">
      <c r="A2513" t="n">
        <v>110271</v>
      </c>
      <c r="B2513" t="n">
        <v>128</v>
      </c>
      <c r="C2513" t="inlineStr">
        <is>
          <t>Love Cabaret</t>
        </is>
      </c>
      <c r="D2513" t="inlineStr">
        <is>
          <t>VITRUS IMPORT LTDA</t>
        </is>
      </c>
      <c r="E2513" t="n">
        <v>7744.1</v>
      </c>
      <c r="F2513" s="27" t="n">
        <v>45729</v>
      </c>
      <c r="G2513" s="27" t="n">
        <v>45728</v>
      </c>
      <c r="H2513" s="27" t="n">
        <v>45728</v>
      </c>
      <c r="I2513" s="27" t="n">
        <v>45701</v>
      </c>
      <c r="J2513" s="27" t="n">
        <v>45701</v>
      </c>
      <c r="K2513" t="inlineStr">
        <is>
          <t>Boleto Bancário</t>
        </is>
      </c>
      <c r="L2513" t="inlineStr">
        <is>
          <t>Utilidades</t>
        </is>
      </c>
      <c r="M2513" t="inlineStr">
        <is>
          <t>Utensilios</t>
        </is>
      </c>
      <c r="N2513" t="inlineStr">
        <is>
          <t>12089</t>
        </is>
      </c>
      <c r="O2513" t="inlineStr">
        <is>
          <t>Documentação Aprovada</t>
        </is>
      </c>
      <c r="P2513" t="inlineStr">
        <is>
          <t>Aprovado Diretoria</t>
        </is>
      </c>
      <c r="Q2513" t="inlineStr">
        <is>
          <t>Aprovado Caixa</t>
        </is>
      </c>
      <c r="R2513" t="inlineStr">
        <is>
          <t>Pago</t>
        </is>
      </c>
      <c r="S2513" t="n">
        <v>115</v>
      </c>
      <c r="T2513" t="inlineStr">
        <is>
          <t>Love - Shibari - Bradesco</t>
        </is>
      </c>
    </row>
    <row r="2514">
      <c r="A2514" t="n">
        <v>110145</v>
      </c>
      <c r="B2514" t="n">
        <v>128</v>
      </c>
      <c r="C2514" t="inlineStr">
        <is>
          <t>Love Cabaret</t>
        </is>
      </c>
      <c r="D2514" t="inlineStr">
        <is>
          <t xml:space="preserve">EMPORIO MEL </t>
        </is>
      </c>
      <c r="E2514" t="n">
        <v>1567</v>
      </c>
      <c r="F2514" s="27" t="n">
        <v>45729</v>
      </c>
      <c r="G2514" s="27" t="n">
        <v>45728</v>
      </c>
      <c r="H2514" s="27" t="n">
        <v>45728</v>
      </c>
      <c r="I2514" s="27" t="n">
        <v>45698</v>
      </c>
      <c r="J2514" s="27" t="n">
        <v>45701</v>
      </c>
      <c r="K2514" t="inlineStr">
        <is>
          <t>Boleto Bancário</t>
        </is>
      </c>
      <c r="L2514" t="inlineStr">
        <is>
          <t>Custo Mercadoria Vendida</t>
        </is>
      </c>
      <c r="M2514" t="inlineStr">
        <is>
          <t>Insumos - Bebidas</t>
        </is>
      </c>
      <c r="N2514" t="inlineStr">
        <is>
          <t>439662</t>
        </is>
      </c>
      <c r="O2514" t="inlineStr">
        <is>
          <t>Documentação Aprovada</t>
        </is>
      </c>
      <c r="P2514" t="inlineStr">
        <is>
          <t>Aprovado Diretoria</t>
        </is>
      </c>
      <c r="Q2514" t="inlineStr">
        <is>
          <t>Aprovado Caixa</t>
        </is>
      </c>
      <c r="R2514" t="inlineStr">
        <is>
          <t>Pago</t>
        </is>
      </c>
      <c r="S2514" t="n">
        <v>115</v>
      </c>
      <c r="T2514" t="inlineStr">
        <is>
          <t>Love - Shibari - Bradesco</t>
        </is>
      </c>
    </row>
    <row r="2515">
      <c r="A2515" t="n">
        <v>110148</v>
      </c>
      <c r="B2515" t="n">
        <v>128</v>
      </c>
      <c r="C2515" t="inlineStr">
        <is>
          <t>Love Cabaret</t>
        </is>
      </c>
      <c r="D2515" t="inlineStr">
        <is>
          <t xml:space="preserve">EMPORIO MEL </t>
        </is>
      </c>
      <c r="E2515" t="n">
        <v>1081.44</v>
      </c>
      <c r="F2515" s="27" t="n">
        <v>45729</v>
      </c>
      <c r="G2515" s="27" t="n">
        <v>45728</v>
      </c>
      <c r="H2515" s="27" t="n">
        <v>45728</v>
      </c>
      <c r="I2515" s="27" t="n">
        <v>45698</v>
      </c>
      <c r="J2515" s="27" t="n">
        <v>45701</v>
      </c>
      <c r="K2515" t="inlineStr">
        <is>
          <t>Boleto Bancário</t>
        </is>
      </c>
      <c r="L2515" t="inlineStr">
        <is>
          <t>Custo Mercadoria Vendida</t>
        </is>
      </c>
      <c r="M2515" t="inlineStr">
        <is>
          <t>Insumos - Alimentos</t>
        </is>
      </c>
      <c r="N2515" t="inlineStr">
        <is>
          <t>439691</t>
        </is>
      </c>
      <c r="O2515" t="inlineStr">
        <is>
          <t>Documentação Aprovada</t>
        </is>
      </c>
      <c r="P2515" t="inlineStr">
        <is>
          <t>Aprovado Diretoria</t>
        </is>
      </c>
      <c r="Q2515" t="inlineStr">
        <is>
          <t>Aprovado Caixa</t>
        </is>
      </c>
      <c r="R2515" t="inlineStr">
        <is>
          <t>Pago</t>
        </is>
      </c>
      <c r="S2515" t="n">
        <v>115</v>
      </c>
      <c r="T2515" t="inlineStr">
        <is>
          <t>Love - Shibari - Bradesco</t>
        </is>
      </c>
    </row>
    <row r="2516">
      <c r="A2516" t="n">
        <v>115657</v>
      </c>
      <c r="B2516" t="n">
        <v>128</v>
      </c>
      <c r="C2516" t="inlineStr">
        <is>
          <t>Love Cabaret</t>
        </is>
      </c>
      <c r="D2516" t="inlineStr">
        <is>
          <t xml:space="preserve">DOUGLAS FELIPE DOMINGUES GONCALVES </t>
        </is>
      </c>
      <c r="E2516" t="n">
        <v>840</v>
      </c>
      <c r="F2516" s="27" t="n">
        <v>45726</v>
      </c>
      <c r="G2516" s="27" t="n">
        <v>45726</v>
      </c>
      <c r="H2516" s="27" t="n">
        <v>45727</v>
      </c>
      <c r="I2516" s="27" t="n">
        <v>45689</v>
      </c>
      <c r="J2516" s="27" t="n">
        <v>45721</v>
      </c>
      <c r="K2516" t="inlineStr">
        <is>
          <t>Transferência Bancária ou Pix</t>
        </is>
      </c>
      <c r="L2516" t="inlineStr">
        <is>
          <t>Gorjeta</t>
        </is>
      </c>
      <c r="M2516" t="inlineStr">
        <is>
          <t xml:space="preserve">  -  Comissões e Gorjeta</t>
        </is>
      </c>
      <c r="N2516" t="inlineStr">
        <is>
          <t>33</t>
        </is>
      </c>
      <c r="O2516" t="inlineStr">
        <is>
          <t>Documentação Aprovada</t>
        </is>
      </c>
      <c r="P2516" t="inlineStr">
        <is>
          <t>Aprovado Diretoria</t>
        </is>
      </c>
      <c r="Q2516" t="inlineStr">
        <is>
          <t>Aprovado Caixa</t>
        </is>
      </c>
      <c r="R2516" t="inlineStr">
        <is>
          <t>Pago</t>
        </is>
      </c>
      <c r="S2516" t="n">
        <v>115</v>
      </c>
      <c r="T2516" t="inlineStr">
        <is>
          <t>Love - Shibari - Bradesco</t>
        </is>
      </c>
    </row>
    <row r="2517">
      <c r="A2517" t="n">
        <v>112099</v>
      </c>
      <c r="B2517" t="n">
        <v>128</v>
      </c>
      <c r="C2517" t="inlineStr">
        <is>
          <t>Love Cabaret</t>
        </is>
      </c>
      <c r="D2517" t="inlineStr">
        <is>
          <t xml:space="preserve">DOUGLAS FELIPE DOMINGUES GONCALVES </t>
        </is>
      </c>
      <c r="E2517" t="n">
        <v>3500</v>
      </c>
      <c r="F2517" s="27" t="n">
        <v>45726</v>
      </c>
      <c r="G2517" s="27" t="n">
        <v>45726</v>
      </c>
      <c r="H2517" s="27" t="n">
        <v>45727</v>
      </c>
      <c r="I2517" s="27" t="n">
        <v>45689</v>
      </c>
      <c r="J2517" s="27" t="n">
        <v>45707</v>
      </c>
      <c r="K2517" t="inlineStr">
        <is>
          <t>Transferência Bancária ou Pix</t>
        </is>
      </c>
      <c r="L2517" t="inlineStr">
        <is>
          <t>Custos Artístico Geral</t>
        </is>
      </c>
      <c r="M2517" t="inlineStr">
        <is>
          <t>Técnico de Som / Luz</t>
        </is>
      </c>
      <c r="N2517" t="inlineStr">
        <is>
          <t>30</t>
        </is>
      </c>
      <c r="O2517" t="inlineStr">
        <is>
          <t>Documentação Aprovada</t>
        </is>
      </c>
      <c r="P2517" t="inlineStr">
        <is>
          <t>Aprovado Diretoria</t>
        </is>
      </c>
      <c r="Q2517" t="inlineStr">
        <is>
          <t>Aprovado Caixa</t>
        </is>
      </c>
      <c r="R2517" t="inlineStr">
        <is>
          <t>Pago</t>
        </is>
      </c>
      <c r="S2517" t="n">
        <v>115</v>
      </c>
      <c r="T2517" t="inlineStr">
        <is>
          <t>Love - Shibari - Bradesco</t>
        </is>
      </c>
    </row>
    <row r="2518">
      <c r="A2518" t="n">
        <v>102864</v>
      </c>
      <c r="B2518" t="n">
        <v>128</v>
      </c>
      <c r="C2518" t="inlineStr">
        <is>
          <t>Love Cabaret</t>
        </is>
      </c>
      <c r="D2518" t="inlineStr">
        <is>
          <t>MACHINE SEGURANCA PATRIMONIAL LTDA</t>
        </is>
      </c>
      <c r="E2518" t="n">
        <v>4750</v>
      </c>
      <c r="F2518" s="27" t="n">
        <v>45726</v>
      </c>
      <c r="G2518" s="27" t="n">
        <v>45728</v>
      </c>
      <c r="H2518" s="27" t="n">
        <v>45727</v>
      </c>
      <c r="I2518" s="27" t="n">
        <v>45716</v>
      </c>
      <c r="J2518" s="27" t="n"/>
      <c r="K2518" t="inlineStr">
        <is>
          <t>Transferência Bancária ou Pix</t>
        </is>
      </c>
      <c r="L2518" t="inlineStr">
        <is>
          <t>Serviços de Terceiros</t>
        </is>
      </c>
      <c r="M2518" t="inlineStr">
        <is>
          <t>Serviços de Segurança</t>
        </is>
      </c>
      <c r="N2518" t="inlineStr">
        <is>
          <t>83</t>
        </is>
      </c>
      <c r="O2518" t="inlineStr">
        <is>
          <t>Documentação Aprovada</t>
        </is>
      </c>
      <c r="P2518" t="inlineStr">
        <is>
          <t>Aprovado Diretoria</t>
        </is>
      </c>
      <c r="Q2518" t="inlineStr">
        <is>
          <t>Aprovado Caixa</t>
        </is>
      </c>
      <c r="R2518" t="inlineStr">
        <is>
          <t>Pago</t>
        </is>
      </c>
      <c r="S2518" t="n">
        <v>115</v>
      </c>
      <c r="T2518" t="inlineStr">
        <is>
          <t>Love - Shibari - Bradesco</t>
        </is>
      </c>
    </row>
    <row r="2519">
      <c r="A2519" t="n">
        <v>102972</v>
      </c>
      <c r="B2519" t="n">
        <v>128</v>
      </c>
      <c r="C2519" t="inlineStr">
        <is>
          <t>Love Cabaret</t>
        </is>
      </c>
      <c r="D2519" t="inlineStr">
        <is>
          <t>STEMME TELECOMUNICACOES DO BRASIL LTDA</t>
        </is>
      </c>
      <c r="E2519" t="n">
        <v>299.99</v>
      </c>
      <c r="F2519" s="27" t="n">
        <v>45726</v>
      </c>
      <c r="G2519" s="27" t="n">
        <v>45726</v>
      </c>
      <c r="H2519" s="27" t="n">
        <v>45726</v>
      </c>
      <c r="I2519" s="27" t="n">
        <v>45716</v>
      </c>
      <c r="J2519" s="27" t="n"/>
      <c r="K2519" t="inlineStr">
        <is>
          <t>Boleto Bancário</t>
        </is>
      </c>
      <c r="L2519" t="inlineStr">
        <is>
          <t>Informática e TI</t>
        </is>
      </c>
      <c r="M2519" t="inlineStr">
        <is>
          <t>Internet</t>
        </is>
      </c>
      <c r="N2519" t="inlineStr">
        <is>
          <t>7539</t>
        </is>
      </c>
      <c r="O2519" t="inlineStr">
        <is>
          <t>Documentação Aprovada</t>
        </is>
      </c>
      <c r="P2519" t="inlineStr">
        <is>
          <t>Aprovado Diretoria</t>
        </is>
      </c>
      <c r="Q2519" t="inlineStr">
        <is>
          <t>Aprovado Caixa</t>
        </is>
      </c>
      <c r="R2519" t="inlineStr">
        <is>
          <t>Pago</t>
        </is>
      </c>
      <c r="S2519" t="n">
        <v>115</v>
      </c>
      <c r="T2519" t="inlineStr">
        <is>
          <t>Love - Shibari - Bradesco</t>
        </is>
      </c>
    </row>
    <row r="2520">
      <c r="A2520" t="n">
        <v>102850</v>
      </c>
      <c r="B2520" t="n">
        <v>128</v>
      </c>
      <c r="C2520" t="inlineStr">
        <is>
          <t>Love Cabaret</t>
        </is>
      </c>
      <c r="D2520" t="inlineStr">
        <is>
          <t>IRMANDADE DA SANTA CASA DE MISERICORDIA DE SAO PAULO</t>
        </is>
      </c>
      <c r="E2520" t="n">
        <v>31634.64</v>
      </c>
      <c r="F2520" s="27" t="n">
        <v>45726</v>
      </c>
      <c r="G2520" s="27" t="n">
        <v>45726</v>
      </c>
      <c r="H2520" s="27" t="n">
        <v>45726</v>
      </c>
      <c r="I2520" s="27" t="n">
        <v>45708</v>
      </c>
      <c r="J2520" s="27" t="n"/>
      <c r="K2520" t="inlineStr">
        <is>
          <t>Boleto Bancário</t>
        </is>
      </c>
      <c r="L2520" t="inlineStr">
        <is>
          <t>Custo de Ocupação</t>
        </is>
      </c>
      <c r="M2520" t="inlineStr">
        <is>
          <t>Aluguel de Imoveis</t>
        </is>
      </c>
      <c r="N2520" t="inlineStr">
        <is>
          <t>157556P</t>
        </is>
      </c>
      <c r="O2520" t="inlineStr">
        <is>
          <t>Documentação Aprovada</t>
        </is>
      </c>
      <c r="P2520" t="inlineStr">
        <is>
          <t>Aprovado Diretoria</t>
        </is>
      </c>
      <c r="Q2520" t="inlineStr">
        <is>
          <t>Aprovado Caixa</t>
        </is>
      </c>
      <c r="R2520" t="inlineStr">
        <is>
          <t>Pago</t>
        </is>
      </c>
      <c r="S2520" t="n">
        <v>115</v>
      </c>
      <c r="T2520" t="inlineStr">
        <is>
          <t>Love - Shibari - Bradesco</t>
        </is>
      </c>
    </row>
    <row r="2521">
      <c r="A2521" t="n">
        <v>102917</v>
      </c>
      <c r="B2521" t="n">
        <v>128</v>
      </c>
      <c r="C2521" t="inlineStr">
        <is>
          <t>Love Cabaret</t>
        </is>
      </c>
      <c r="D2521" t="inlineStr">
        <is>
          <t>PRESHH ALUGUEL DE MAQUINAS LTDA</t>
        </is>
      </c>
      <c r="E2521" t="n">
        <v>708</v>
      </c>
      <c r="F2521" s="27" t="n">
        <v>45726</v>
      </c>
      <c r="G2521" s="27" t="n">
        <v>45726</v>
      </c>
      <c r="H2521" s="27" t="n">
        <v>45726</v>
      </c>
      <c r="I2521" s="27" t="n">
        <v>45716</v>
      </c>
      <c r="J2521" s="27" t="n"/>
      <c r="K2521" t="inlineStr">
        <is>
          <t>Boleto Bancário</t>
        </is>
      </c>
      <c r="L2521" t="inlineStr">
        <is>
          <t>Locação de Equipamentos</t>
        </is>
      </c>
      <c r="M2521" t="inlineStr">
        <is>
          <t>Locações de Equipamentos - Operacionais</t>
        </is>
      </c>
      <c r="N2521" t="inlineStr">
        <is>
          <t>511734742</t>
        </is>
      </c>
      <c r="O2521" t="inlineStr">
        <is>
          <t>Documentação Aprovada</t>
        </is>
      </c>
      <c r="P2521" t="inlineStr">
        <is>
          <t>Aprovado Diretoria</t>
        </is>
      </c>
      <c r="Q2521" t="inlineStr">
        <is>
          <t>Aprovado Caixa</t>
        </is>
      </c>
      <c r="R2521" t="inlineStr">
        <is>
          <t>Pago</t>
        </is>
      </c>
      <c r="S2521" t="n">
        <v>115</v>
      </c>
      <c r="T2521" t="inlineStr">
        <is>
          <t>Love - Shibari - Bradesco</t>
        </is>
      </c>
    </row>
    <row r="2522">
      <c r="A2522" t="n">
        <v>97526</v>
      </c>
      <c r="B2522" t="n">
        <v>128</v>
      </c>
      <c r="C2522" t="inlineStr">
        <is>
          <t>Love Cabaret</t>
        </is>
      </c>
      <c r="D2522" t="inlineStr">
        <is>
          <t>ISS</t>
        </is>
      </c>
      <c r="E2522" t="n">
        <v>4.58</v>
      </c>
      <c r="F2522" s="27" t="n">
        <v>45726</v>
      </c>
      <c r="G2522" s="27" t="n">
        <v>45726</v>
      </c>
      <c r="H2522" s="27" t="n">
        <v>45726</v>
      </c>
      <c r="I2522" s="27" t="n">
        <v>45716</v>
      </c>
      <c r="J2522" s="27" t="n"/>
      <c r="K2522" t="inlineStr">
        <is>
          <t>Boleto Bancário</t>
        </is>
      </c>
      <c r="L2522" t="inlineStr">
        <is>
          <t>Utilidades</t>
        </is>
      </c>
      <c r="M2522" t="inlineStr">
        <is>
          <t>Coleta de lixo</t>
        </is>
      </c>
      <c r="N2522" t="inlineStr">
        <is>
          <t>022025</t>
        </is>
      </c>
      <c r="O2522" t="inlineStr">
        <is>
          <t>Documentação Aprovada</t>
        </is>
      </c>
      <c r="P2522" t="inlineStr">
        <is>
          <t>Aprovado Diretoria</t>
        </is>
      </c>
      <c r="Q2522" t="inlineStr">
        <is>
          <t>Aprovado Caixa</t>
        </is>
      </c>
      <c r="R2522" t="inlineStr">
        <is>
          <t>Pago</t>
        </is>
      </c>
      <c r="S2522" t="n">
        <v>115</v>
      </c>
      <c r="T2522" t="inlineStr">
        <is>
          <t>Love - Shibari - Bradesco</t>
        </is>
      </c>
    </row>
    <row r="2523">
      <c r="A2523" t="n">
        <v>112062</v>
      </c>
      <c r="B2523" t="n">
        <v>128</v>
      </c>
      <c r="C2523" t="inlineStr">
        <is>
          <t>Love Cabaret</t>
        </is>
      </c>
      <c r="D2523" t="inlineStr">
        <is>
          <t>PJ 01837596131 ANNA LOUISE ESTEFANO WOORTMANN</t>
        </is>
      </c>
      <c r="E2523" t="n">
        <v>3600</v>
      </c>
      <c r="F2523" s="27" t="n">
        <v>45726</v>
      </c>
      <c r="G2523" s="27" t="n">
        <v>45726</v>
      </c>
      <c r="H2523" s="27" t="n">
        <v>45726</v>
      </c>
      <c r="I2523" s="27" t="n">
        <v>45689</v>
      </c>
      <c r="J2523" s="27" t="n">
        <v>45707</v>
      </c>
      <c r="K2523" t="inlineStr">
        <is>
          <t>Transferência Bancária ou Pix</t>
        </is>
      </c>
      <c r="L2523" t="inlineStr">
        <is>
          <t>Mão de Obra - PJ</t>
        </is>
      </c>
      <c r="M2523" t="inlineStr">
        <is>
          <t>MDO PJ Fixo</t>
        </is>
      </c>
      <c r="N2523" t="inlineStr">
        <is>
          <t>95</t>
        </is>
      </c>
      <c r="O2523" t="inlineStr">
        <is>
          <t>Documentação Aprovada</t>
        </is>
      </c>
      <c r="P2523" t="inlineStr">
        <is>
          <t>Aprovado Diretoria</t>
        </is>
      </c>
      <c r="Q2523" t="inlineStr">
        <is>
          <t>Aprovado Caixa</t>
        </is>
      </c>
      <c r="R2523" t="inlineStr">
        <is>
          <t>Pago</t>
        </is>
      </c>
      <c r="S2523" t="n">
        <v>115</v>
      </c>
      <c r="T2523" t="inlineStr">
        <is>
          <t>Love - Shibari - Bradesco</t>
        </is>
      </c>
    </row>
    <row r="2524">
      <c r="A2524" t="n">
        <v>112060</v>
      </c>
      <c r="B2524" t="n">
        <v>128</v>
      </c>
      <c r="C2524" t="inlineStr">
        <is>
          <t>Love Cabaret</t>
        </is>
      </c>
      <c r="D2524" t="inlineStr">
        <is>
          <t>ANDRE RODRIGUES AZEVEDO</t>
        </is>
      </c>
      <c r="E2524" t="n">
        <v>7420</v>
      </c>
      <c r="F2524" s="27" t="n">
        <v>45726</v>
      </c>
      <c r="G2524" s="27" t="n">
        <v>45726</v>
      </c>
      <c r="H2524" s="27" t="n">
        <v>45726</v>
      </c>
      <c r="I2524" s="27" t="n">
        <v>45689</v>
      </c>
      <c r="J2524" s="27" t="n">
        <v>45707</v>
      </c>
      <c r="K2524" t="inlineStr">
        <is>
          <t>Transferência Bancária ou Pix</t>
        </is>
      </c>
      <c r="L2524" t="inlineStr">
        <is>
          <t>Custos Artístico Geral</t>
        </is>
      </c>
      <c r="M2524" t="inlineStr">
        <is>
          <t>Técnico de Som / Luz</t>
        </is>
      </c>
      <c r="N2524" t="inlineStr">
        <is>
          <t>55</t>
        </is>
      </c>
      <c r="O2524" t="inlineStr">
        <is>
          <t>Documentação Aprovada</t>
        </is>
      </c>
      <c r="P2524" t="inlineStr">
        <is>
          <t>Aprovado Diretoria</t>
        </is>
      </c>
      <c r="Q2524" t="inlineStr">
        <is>
          <t>Aprovado Caixa</t>
        </is>
      </c>
      <c r="R2524" t="inlineStr">
        <is>
          <t>Pago</t>
        </is>
      </c>
      <c r="S2524" t="n">
        <v>115</v>
      </c>
      <c r="T2524" t="inlineStr">
        <is>
          <t>Love - Shibari - Bradesco</t>
        </is>
      </c>
    </row>
    <row r="2525">
      <c r="A2525" t="n">
        <v>112058</v>
      </c>
      <c r="B2525" t="n">
        <v>128</v>
      </c>
      <c r="C2525" t="inlineStr">
        <is>
          <t>Love Cabaret</t>
        </is>
      </c>
      <c r="D2525" t="inlineStr">
        <is>
          <t xml:space="preserve">AGNES RODRIGUES DE OLIVEIRA </t>
        </is>
      </c>
      <c r="E2525" t="n">
        <v>5000</v>
      </c>
      <c r="F2525" s="27" t="n">
        <v>45726</v>
      </c>
      <c r="G2525" s="27" t="n">
        <v>45726</v>
      </c>
      <c r="H2525" s="27" t="n">
        <v>45726</v>
      </c>
      <c r="I2525" s="27" t="n">
        <v>45689</v>
      </c>
      <c r="J2525" s="27" t="n">
        <v>45707</v>
      </c>
      <c r="K2525" t="inlineStr">
        <is>
          <t>Transferência Bancária ou Pix</t>
        </is>
      </c>
      <c r="L2525" t="inlineStr">
        <is>
          <t>Custos Artístico Geral</t>
        </is>
      </c>
      <c r="M2525" t="inlineStr">
        <is>
          <t>Técnico de Som / Luz</t>
        </is>
      </c>
      <c r="N2525" t="inlineStr">
        <is>
          <t>28</t>
        </is>
      </c>
      <c r="O2525" t="inlineStr">
        <is>
          <t>Documentação Aprovada</t>
        </is>
      </c>
      <c r="P2525" t="inlineStr">
        <is>
          <t>Aprovado Diretoria</t>
        </is>
      </c>
      <c r="Q2525" t="inlineStr">
        <is>
          <t>Aprovado Caixa</t>
        </is>
      </c>
      <c r="R2525" t="inlineStr">
        <is>
          <t>Pago</t>
        </is>
      </c>
      <c r="S2525" t="n">
        <v>115</v>
      </c>
      <c r="T2525" t="inlineStr">
        <is>
          <t>Love - Shibari - Bradesco</t>
        </is>
      </c>
    </row>
    <row r="2526">
      <c r="A2526" t="n">
        <v>112096</v>
      </c>
      <c r="B2526" t="n">
        <v>128</v>
      </c>
      <c r="C2526" t="inlineStr">
        <is>
          <t>Love Cabaret</t>
        </is>
      </c>
      <c r="D2526" t="inlineStr">
        <is>
          <t>DIEGO OLIVEIRA SANTANA</t>
        </is>
      </c>
      <c r="E2526" t="n">
        <v>4200</v>
      </c>
      <c r="F2526" s="27" t="n">
        <v>45726</v>
      </c>
      <c r="G2526" s="27" t="n">
        <v>45726</v>
      </c>
      <c r="H2526" s="27" t="n">
        <v>45726</v>
      </c>
      <c r="I2526" s="27" t="n">
        <v>45689</v>
      </c>
      <c r="J2526" s="27" t="n">
        <v>45707</v>
      </c>
      <c r="K2526" t="inlineStr">
        <is>
          <t>Transferência Bancária ou Pix</t>
        </is>
      </c>
      <c r="L2526" t="inlineStr">
        <is>
          <t>Mão de Obra - PJ</t>
        </is>
      </c>
      <c r="M2526" t="inlineStr">
        <is>
          <t>MDO PJ Fixo</t>
        </is>
      </c>
      <c r="N2526" t="inlineStr">
        <is>
          <t>52</t>
        </is>
      </c>
      <c r="O2526" t="inlineStr">
        <is>
          <t>Documentação Aprovada</t>
        </is>
      </c>
      <c r="P2526" t="inlineStr">
        <is>
          <t>Aprovado Diretoria</t>
        </is>
      </c>
      <c r="Q2526" t="inlineStr">
        <is>
          <t>Aprovado Caixa</t>
        </is>
      </c>
      <c r="R2526" t="inlineStr">
        <is>
          <t>Pago</t>
        </is>
      </c>
      <c r="S2526" t="n">
        <v>115</v>
      </c>
      <c r="T2526" t="inlineStr">
        <is>
          <t>Love - Shibari - Bradesco</t>
        </is>
      </c>
    </row>
    <row r="2527">
      <c r="A2527" t="n">
        <v>112108</v>
      </c>
      <c r="B2527" t="n">
        <v>128</v>
      </c>
      <c r="C2527" t="inlineStr">
        <is>
          <t>Love Cabaret</t>
        </is>
      </c>
      <c r="D2527" t="inlineStr">
        <is>
          <t xml:space="preserve">PJ 00452023 LAISA ROCHA LARANGEIRA </t>
        </is>
      </c>
      <c r="E2527" t="n">
        <v>1600</v>
      </c>
      <c r="F2527" s="27" t="n">
        <v>45726</v>
      </c>
      <c r="G2527" s="27" t="n">
        <v>45726</v>
      </c>
      <c r="H2527" s="27" t="n">
        <v>45726</v>
      </c>
      <c r="I2527" s="27" t="n">
        <v>45689</v>
      </c>
      <c r="J2527" s="27" t="n">
        <v>45707</v>
      </c>
      <c r="K2527" t="inlineStr">
        <is>
          <t>Transferência Bancária ou Pix</t>
        </is>
      </c>
      <c r="L2527" t="inlineStr">
        <is>
          <t>Mão de Obra - PJ</t>
        </is>
      </c>
      <c r="M2527" t="inlineStr">
        <is>
          <t>MDO PJ Fixo</t>
        </is>
      </c>
      <c r="N2527" t="inlineStr">
        <is>
          <t>56</t>
        </is>
      </c>
      <c r="O2527" t="inlineStr">
        <is>
          <t>Documentação Aprovada</t>
        </is>
      </c>
      <c r="P2527" t="inlineStr">
        <is>
          <t>Aprovado Diretoria</t>
        </is>
      </c>
      <c r="Q2527" t="inlineStr">
        <is>
          <t>Aprovado Caixa</t>
        </is>
      </c>
      <c r="R2527" t="inlineStr">
        <is>
          <t>Pago</t>
        </is>
      </c>
      <c r="S2527" t="n">
        <v>115</v>
      </c>
      <c r="T2527" t="inlineStr">
        <is>
          <t>Love - Shibari - Bradesco</t>
        </is>
      </c>
    </row>
    <row r="2528">
      <c r="A2528" t="n">
        <v>112104</v>
      </c>
      <c r="B2528" t="n">
        <v>128</v>
      </c>
      <c r="C2528" t="inlineStr">
        <is>
          <t>Love Cabaret</t>
        </is>
      </c>
      <c r="D2528" t="inlineStr">
        <is>
          <t>JOAO VITOR MENDES SALUSTIANO</t>
        </is>
      </c>
      <c r="E2528" t="n">
        <v>4800</v>
      </c>
      <c r="F2528" s="27" t="n">
        <v>45726</v>
      </c>
      <c r="G2528" s="27" t="n">
        <v>45726</v>
      </c>
      <c r="H2528" s="27" t="n">
        <v>45726</v>
      </c>
      <c r="I2528" s="27" t="n">
        <v>45689</v>
      </c>
      <c r="J2528" s="27" t="n">
        <v>45707</v>
      </c>
      <c r="K2528" t="inlineStr">
        <is>
          <t>Transferência Bancária ou Pix</t>
        </is>
      </c>
      <c r="L2528" t="inlineStr">
        <is>
          <t>Mão de Obra - PJ</t>
        </is>
      </c>
      <c r="M2528" t="inlineStr">
        <is>
          <t>MDO PJ Fixo</t>
        </is>
      </c>
      <c r="N2528" t="inlineStr">
        <is>
          <t>139</t>
        </is>
      </c>
      <c r="O2528" t="inlineStr">
        <is>
          <t>Documentação Aprovada</t>
        </is>
      </c>
      <c r="P2528" t="inlineStr">
        <is>
          <t>Aprovado Diretoria</t>
        </is>
      </c>
      <c r="Q2528" t="inlineStr">
        <is>
          <t>Aprovado Caixa</t>
        </is>
      </c>
      <c r="R2528" t="inlineStr">
        <is>
          <t>Pago</t>
        </is>
      </c>
      <c r="S2528" t="n">
        <v>115</v>
      </c>
      <c r="T2528" t="inlineStr">
        <is>
          <t>Love - Shibari - Bradesco</t>
        </is>
      </c>
    </row>
    <row r="2529">
      <c r="A2529" t="n">
        <v>112103</v>
      </c>
      <c r="B2529" t="n">
        <v>128</v>
      </c>
      <c r="C2529" t="inlineStr">
        <is>
          <t>Love Cabaret</t>
        </is>
      </c>
      <c r="D2529" t="inlineStr">
        <is>
          <t>PJ 00352023 - JESSICA IZABEL DE SOUZA</t>
        </is>
      </c>
      <c r="E2529" t="n">
        <v>1250</v>
      </c>
      <c r="F2529" s="27" t="n">
        <v>45726</v>
      </c>
      <c r="G2529" s="27" t="n">
        <v>45726</v>
      </c>
      <c r="H2529" s="27" t="n">
        <v>45726</v>
      </c>
      <c r="I2529" s="27" t="n">
        <v>45689</v>
      </c>
      <c r="J2529" s="27" t="n">
        <v>45707</v>
      </c>
      <c r="K2529" t="inlineStr">
        <is>
          <t>Transferência Bancária ou Pix</t>
        </is>
      </c>
      <c r="L2529" t="inlineStr">
        <is>
          <t>Mão de Obra - PJ</t>
        </is>
      </c>
      <c r="M2529" t="inlineStr">
        <is>
          <t>MDO PJ Fixo</t>
        </is>
      </c>
      <c r="N2529" t="inlineStr">
        <is>
          <t>62</t>
        </is>
      </c>
      <c r="O2529" t="inlineStr">
        <is>
          <t>Documentação Aprovada</t>
        </is>
      </c>
      <c r="P2529" t="inlineStr">
        <is>
          <t>Aprovado Diretoria</t>
        </is>
      </c>
      <c r="Q2529" t="inlineStr">
        <is>
          <t>Aprovado Caixa</t>
        </is>
      </c>
      <c r="R2529" t="inlineStr">
        <is>
          <t>Pago</t>
        </is>
      </c>
      <c r="S2529" t="n">
        <v>115</v>
      </c>
      <c r="T2529" t="inlineStr">
        <is>
          <t>Love - Shibari - Bradesco</t>
        </is>
      </c>
    </row>
    <row r="2530">
      <c r="A2530" t="n">
        <v>112401</v>
      </c>
      <c r="B2530" t="n">
        <v>128</v>
      </c>
      <c r="C2530" t="inlineStr">
        <is>
          <t>Love Cabaret</t>
        </is>
      </c>
      <c r="D2530" t="inlineStr">
        <is>
          <t>PRESHH ALUGUEL DE MAQUINAS LTDA</t>
        </is>
      </c>
      <c r="E2530" t="n">
        <v>198</v>
      </c>
      <c r="F2530" s="27" t="n">
        <v>45727</v>
      </c>
      <c r="G2530" s="27" t="n">
        <v>45726</v>
      </c>
      <c r="H2530" s="27" t="n">
        <v>45726</v>
      </c>
      <c r="I2530" s="27" t="n">
        <v>45707</v>
      </c>
      <c r="J2530" s="27" t="n">
        <v>45708</v>
      </c>
      <c r="K2530" t="inlineStr">
        <is>
          <t>Boleto Bancário</t>
        </is>
      </c>
      <c r="L2530" t="inlineStr">
        <is>
          <t>Utilidades</t>
        </is>
      </c>
      <c r="M2530" t="inlineStr">
        <is>
          <t>Material de Consumo - Gelo/ Gas CO2/ Carvao /Velas</t>
        </is>
      </c>
      <c r="N2530" t="inlineStr">
        <is>
          <t>T-25780</t>
        </is>
      </c>
      <c r="O2530" t="inlineStr">
        <is>
          <t>Documentação Aprovada</t>
        </is>
      </c>
      <c r="P2530" t="inlineStr">
        <is>
          <t>Aprovado Diretoria</t>
        </is>
      </c>
      <c r="Q2530" t="inlineStr">
        <is>
          <t>Aprovado Caixa</t>
        </is>
      </c>
      <c r="R2530" t="inlineStr">
        <is>
          <t>Pago</t>
        </is>
      </c>
      <c r="S2530" t="n">
        <v>115</v>
      </c>
      <c r="T2530" t="inlineStr">
        <is>
          <t>Love - Shibari - Bradesco</t>
        </is>
      </c>
    </row>
    <row r="2531">
      <c r="A2531" t="n">
        <v>112106</v>
      </c>
      <c r="B2531" t="n">
        <v>128</v>
      </c>
      <c r="C2531" t="inlineStr">
        <is>
          <t>Love Cabaret</t>
        </is>
      </c>
      <c r="D2531" t="inlineStr">
        <is>
          <t>JULIA BAISCH FRANZ 02463978023</t>
        </is>
      </c>
      <c r="E2531" t="n">
        <v>8500</v>
      </c>
      <c r="F2531" s="27" t="n">
        <v>45726</v>
      </c>
      <c r="G2531" s="27" t="n">
        <v>45726</v>
      </c>
      <c r="H2531" s="27" t="n">
        <v>45726</v>
      </c>
      <c r="I2531" s="27" t="n">
        <v>45689</v>
      </c>
      <c r="J2531" s="27" t="n">
        <v>45707</v>
      </c>
      <c r="K2531" t="inlineStr">
        <is>
          <t>Transferência Bancária ou Pix</t>
        </is>
      </c>
      <c r="L2531" t="inlineStr">
        <is>
          <t>Custos Artístico Geral</t>
        </is>
      </c>
      <c r="M2531" t="inlineStr">
        <is>
          <t>Técnico de Som / Luz</t>
        </is>
      </c>
      <c r="N2531" t="inlineStr">
        <is>
          <t>30</t>
        </is>
      </c>
      <c r="O2531" t="inlineStr">
        <is>
          <t>Documentação Aprovada</t>
        </is>
      </c>
      <c r="P2531" t="inlineStr">
        <is>
          <t>Aprovado Diretoria</t>
        </is>
      </c>
      <c r="Q2531" t="inlineStr">
        <is>
          <t>Aprovado Caixa</t>
        </is>
      </c>
      <c r="R2531" t="inlineStr">
        <is>
          <t>Pago</t>
        </is>
      </c>
      <c r="S2531" t="n">
        <v>115</v>
      </c>
      <c r="T2531" t="inlineStr">
        <is>
          <t>Love - Shibari - Bradesco</t>
        </is>
      </c>
    </row>
    <row r="2532">
      <c r="A2532" t="n">
        <v>112102</v>
      </c>
      <c r="B2532" t="n">
        <v>128</v>
      </c>
      <c r="C2532" t="inlineStr">
        <is>
          <t>Love Cabaret</t>
        </is>
      </c>
      <c r="D2532" t="inlineStr">
        <is>
          <t>PJ 00492024 - ISABELLA FERNANDES GOMES</t>
        </is>
      </c>
      <c r="E2532" t="n">
        <v>1200</v>
      </c>
      <c r="F2532" s="27" t="n">
        <v>45726</v>
      </c>
      <c r="G2532" s="27" t="n">
        <v>45726</v>
      </c>
      <c r="H2532" s="27" t="n">
        <v>45726</v>
      </c>
      <c r="I2532" s="27" t="n">
        <v>45689</v>
      </c>
      <c r="J2532" s="27" t="n">
        <v>45707</v>
      </c>
      <c r="K2532" t="inlineStr">
        <is>
          <t>Transferência Bancária ou Pix</t>
        </is>
      </c>
      <c r="L2532" t="inlineStr">
        <is>
          <t>Mão de Obra - PJ</t>
        </is>
      </c>
      <c r="M2532" t="inlineStr">
        <is>
          <t>MDO PJ Fixo</t>
        </is>
      </c>
      <c r="N2532" t="inlineStr">
        <is>
          <t>38</t>
        </is>
      </c>
      <c r="O2532" t="inlineStr">
        <is>
          <t>Documentação Aprovada</t>
        </is>
      </c>
      <c r="P2532" t="inlineStr">
        <is>
          <t>Aprovado Diretoria</t>
        </is>
      </c>
      <c r="Q2532" t="inlineStr">
        <is>
          <t>Aprovado Caixa</t>
        </is>
      </c>
      <c r="R2532" t="inlineStr">
        <is>
          <t>Pago</t>
        </is>
      </c>
      <c r="S2532" t="n">
        <v>115</v>
      </c>
      <c r="T2532" t="inlineStr">
        <is>
          <t>Love - Shibari - Bradesco</t>
        </is>
      </c>
    </row>
    <row r="2533">
      <c r="A2533" t="n">
        <v>112101</v>
      </c>
      <c r="B2533" t="n">
        <v>128</v>
      </c>
      <c r="C2533" t="inlineStr">
        <is>
          <t>Love Cabaret</t>
        </is>
      </c>
      <c r="D2533" t="inlineStr">
        <is>
          <t>PUXURI CONSULTORIA LTDA</t>
        </is>
      </c>
      <c r="E2533" t="n">
        <v>4000</v>
      </c>
      <c r="F2533" s="27" t="n">
        <v>45726</v>
      </c>
      <c r="G2533" s="27" t="n">
        <v>45726</v>
      </c>
      <c r="H2533" s="27" t="n">
        <v>45726</v>
      </c>
      <c r="I2533" s="27" t="n">
        <v>45689</v>
      </c>
      <c r="J2533" s="27" t="n">
        <v>45707</v>
      </c>
      <c r="K2533" t="inlineStr">
        <is>
          <t>Transferência Bancária ou Pix</t>
        </is>
      </c>
      <c r="L2533" t="inlineStr">
        <is>
          <t>Mão de Obra - PJ</t>
        </is>
      </c>
      <c r="M2533" t="inlineStr">
        <is>
          <t>MDO PJ Fixo</t>
        </is>
      </c>
      <c r="N2533" t="inlineStr">
        <is>
          <t>97</t>
        </is>
      </c>
      <c r="O2533" t="inlineStr">
        <is>
          <t>Documentação Aprovada</t>
        </is>
      </c>
      <c r="P2533" t="inlineStr">
        <is>
          <t>Aprovado Diretoria</t>
        </is>
      </c>
      <c r="Q2533" t="inlineStr">
        <is>
          <t>Aprovado Caixa</t>
        </is>
      </c>
      <c r="R2533" t="inlineStr">
        <is>
          <t>Pago</t>
        </is>
      </c>
      <c r="S2533" t="n">
        <v>115</v>
      </c>
      <c r="T2533" t="inlineStr">
        <is>
          <t>Love - Shibari - Bradesco</t>
        </is>
      </c>
    </row>
    <row r="2534">
      <c r="A2534" t="n">
        <v>112107</v>
      </c>
      <c r="B2534" t="n">
        <v>128</v>
      </c>
      <c r="C2534" t="inlineStr">
        <is>
          <t>Love Cabaret</t>
        </is>
      </c>
      <c r="D2534" t="inlineStr">
        <is>
          <t>PJ 50397059000133</t>
        </is>
      </c>
      <c r="E2534" t="n">
        <v>3000</v>
      </c>
      <c r="F2534" s="27" t="n">
        <v>45726</v>
      </c>
      <c r="G2534" s="27" t="n">
        <v>45726</v>
      </c>
      <c r="H2534" s="27" t="n">
        <v>45726</v>
      </c>
      <c r="I2534" s="27" t="n">
        <v>45689</v>
      </c>
      <c r="J2534" s="27" t="n">
        <v>45707</v>
      </c>
      <c r="K2534" t="inlineStr">
        <is>
          <t>Transferência Bancária ou Pix</t>
        </is>
      </c>
      <c r="L2534" t="inlineStr">
        <is>
          <t>Mão de Obra - PJ</t>
        </is>
      </c>
      <c r="M2534" t="inlineStr">
        <is>
          <t>MDO PJ Fixo</t>
        </is>
      </c>
      <c r="N2534" t="inlineStr">
        <is>
          <t>45</t>
        </is>
      </c>
      <c r="O2534" t="inlineStr">
        <is>
          <t>Documentação Aprovada</t>
        </is>
      </c>
      <c r="P2534" t="inlineStr">
        <is>
          <t>Aprovado Diretoria</t>
        </is>
      </c>
      <c r="Q2534" t="inlineStr">
        <is>
          <t>Aprovado Caixa</t>
        </is>
      </c>
      <c r="R2534" t="inlineStr">
        <is>
          <t>Pago</t>
        </is>
      </c>
      <c r="S2534" t="n">
        <v>115</v>
      </c>
      <c r="T2534" t="inlineStr">
        <is>
          <t>Love - Shibari - Bradesco</t>
        </is>
      </c>
    </row>
    <row r="2535">
      <c r="A2535" t="n">
        <v>112100</v>
      </c>
      <c r="B2535" t="n">
        <v>128</v>
      </c>
      <c r="C2535" t="inlineStr">
        <is>
          <t>Love Cabaret</t>
        </is>
      </c>
      <c r="D2535" t="inlineStr">
        <is>
          <t>PJ23824129000110 - FELIPE DA COSTA SANTOS</t>
        </is>
      </c>
      <c r="E2535" t="n">
        <v>5100</v>
      </c>
      <c r="F2535" s="27" t="n">
        <v>45726</v>
      </c>
      <c r="G2535" s="27" t="n">
        <v>45726</v>
      </c>
      <c r="H2535" s="27" t="n">
        <v>45726</v>
      </c>
      <c r="I2535" s="27" t="n">
        <v>45689</v>
      </c>
      <c r="J2535" s="27" t="n">
        <v>45707</v>
      </c>
      <c r="K2535" t="inlineStr">
        <is>
          <t>Transferência Bancária ou Pix</t>
        </is>
      </c>
      <c r="L2535" t="inlineStr">
        <is>
          <t>Mão de Obra - PJ</t>
        </is>
      </c>
      <c r="M2535" t="inlineStr">
        <is>
          <t>MDO PJ Fixo</t>
        </is>
      </c>
      <c r="N2535" t="inlineStr">
        <is>
          <t>43</t>
        </is>
      </c>
      <c r="O2535" t="inlineStr">
        <is>
          <t>Documentação Aprovada</t>
        </is>
      </c>
      <c r="P2535" t="inlineStr">
        <is>
          <t>Aprovado Diretoria</t>
        </is>
      </c>
      <c r="Q2535" t="inlineStr">
        <is>
          <t>Aprovado Caixa</t>
        </is>
      </c>
      <c r="R2535" t="inlineStr">
        <is>
          <t>Pago</t>
        </is>
      </c>
      <c r="S2535" t="n">
        <v>115</v>
      </c>
      <c r="T2535" t="inlineStr">
        <is>
          <t>Love - Shibari - Bradesco</t>
        </is>
      </c>
    </row>
    <row r="2536">
      <c r="A2536" t="n">
        <v>112031</v>
      </c>
      <c r="B2536" t="n">
        <v>128</v>
      </c>
      <c r="C2536" t="inlineStr">
        <is>
          <t>Love Cabaret</t>
        </is>
      </c>
      <c r="D2536" t="inlineStr">
        <is>
          <t>DTK COMERCIO DE ALIMENTOS LTDA</t>
        </is>
      </c>
      <c r="E2536" t="n">
        <v>456.25</v>
      </c>
      <c r="F2536" s="27" t="n">
        <v>45727</v>
      </c>
      <c r="G2536" s="27" t="n">
        <v>45726</v>
      </c>
      <c r="H2536" s="27" t="n">
        <v>45726</v>
      </c>
      <c r="I2536" s="27" t="n">
        <v>45706</v>
      </c>
      <c r="J2536" s="27" t="n">
        <v>45707</v>
      </c>
      <c r="K2536" t="inlineStr">
        <is>
          <t>Boleto Bancário</t>
        </is>
      </c>
      <c r="L2536" t="inlineStr">
        <is>
          <t>Custo Mercadoria Vendida</t>
        </is>
      </c>
      <c r="M2536" t="inlineStr">
        <is>
          <t>Insumos - Alimentos</t>
        </is>
      </c>
      <c r="N2536" t="inlineStr">
        <is>
          <t>23797</t>
        </is>
      </c>
      <c r="O2536" t="inlineStr">
        <is>
          <t>Documentação Aprovada</t>
        </is>
      </c>
      <c r="P2536" t="inlineStr">
        <is>
          <t>Aprovado Diretoria</t>
        </is>
      </c>
      <c r="Q2536" t="inlineStr">
        <is>
          <t>Aprovado Caixa</t>
        </is>
      </c>
      <c r="R2536" t="inlineStr">
        <is>
          <t>Pago</t>
        </is>
      </c>
      <c r="S2536" t="n">
        <v>115</v>
      </c>
      <c r="T2536" t="inlineStr">
        <is>
          <t>Love - Shibari - Bradesco</t>
        </is>
      </c>
    </row>
    <row r="2537">
      <c r="A2537" t="n">
        <v>112112</v>
      </c>
      <c r="B2537" t="n">
        <v>128</v>
      </c>
      <c r="C2537" t="inlineStr">
        <is>
          <t>Love Cabaret</t>
        </is>
      </c>
      <c r="D2537" t="inlineStr">
        <is>
          <t>ROBERTA MARIA SANTANA</t>
        </is>
      </c>
      <c r="E2537" t="n">
        <v>4000</v>
      </c>
      <c r="F2537" s="27" t="n">
        <v>45726</v>
      </c>
      <c r="G2537" s="27" t="n">
        <v>45726</v>
      </c>
      <c r="H2537" s="27" t="n">
        <v>45726</v>
      </c>
      <c r="I2537" s="27" t="n">
        <v>45689</v>
      </c>
      <c r="J2537" s="27" t="n">
        <v>45707</v>
      </c>
      <c r="K2537" t="inlineStr">
        <is>
          <t>Transferência Bancária ou Pix</t>
        </is>
      </c>
      <c r="L2537" t="inlineStr">
        <is>
          <t>Mão de Obra - PJ</t>
        </is>
      </c>
      <c r="M2537" t="inlineStr">
        <is>
          <t>MDO PJ Fixo</t>
        </is>
      </c>
      <c r="N2537" t="inlineStr">
        <is>
          <t>4</t>
        </is>
      </c>
      <c r="O2537" t="inlineStr">
        <is>
          <t>Documentação Aprovada</t>
        </is>
      </c>
      <c r="P2537" t="inlineStr">
        <is>
          <t>Aprovado Diretoria</t>
        </is>
      </c>
      <c r="Q2537" t="inlineStr">
        <is>
          <t>Aprovado Caixa</t>
        </is>
      </c>
      <c r="R2537" t="inlineStr">
        <is>
          <t>Pago</t>
        </is>
      </c>
      <c r="S2537" t="n">
        <v>115</v>
      </c>
      <c r="T2537" t="inlineStr">
        <is>
          <t>Love - Shibari - Bradesco</t>
        </is>
      </c>
    </row>
    <row r="2538">
      <c r="A2538" t="n">
        <v>112033</v>
      </c>
      <c r="B2538" t="n">
        <v>128</v>
      </c>
      <c r="C2538" t="inlineStr">
        <is>
          <t>Love Cabaret</t>
        </is>
      </c>
      <c r="D2538" t="inlineStr">
        <is>
          <t>CG FOOD´S DISTRIBUIDORA DE ALIMENTOS LTDA</t>
        </is>
      </c>
      <c r="E2538" t="n">
        <v>310.5</v>
      </c>
      <c r="F2538" s="27" t="n">
        <v>45726</v>
      </c>
      <c r="G2538" s="27" t="n">
        <v>45726</v>
      </c>
      <c r="H2538" s="27" t="n">
        <v>45726</v>
      </c>
      <c r="I2538" s="27" t="n">
        <v>45705</v>
      </c>
      <c r="J2538" s="27" t="n">
        <v>45707</v>
      </c>
      <c r="K2538" t="inlineStr">
        <is>
          <t>Boleto Bancário</t>
        </is>
      </c>
      <c r="L2538" t="inlineStr">
        <is>
          <t>Custo Mercadoria Vendida</t>
        </is>
      </c>
      <c r="M2538" t="inlineStr">
        <is>
          <t>Insumos - Alimentos</t>
        </is>
      </c>
      <c r="N2538" t="inlineStr">
        <is>
          <t>142486</t>
        </is>
      </c>
      <c r="O2538" t="inlineStr">
        <is>
          <t>Documentação Aprovada</t>
        </is>
      </c>
      <c r="P2538" t="inlineStr">
        <is>
          <t>Aprovado Diretoria</t>
        </is>
      </c>
      <c r="Q2538" t="inlineStr">
        <is>
          <t>Aprovado Caixa</t>
        </is>
      </c>
      <c r="R2538" t="inlineStr">
        <is>
          <t>Pago</t>
        </is>
      </c>
      <c r="S2538" t="n">
        <v>115</v>
      </c>
      <c r="T2538" t="inlineStr">
        <is>
          <t>Love - Shibari - Bradesco</t>
        </is>
      </c>
    </row>
    <row r="2539">
      <c r="A2539" t="n">
        <v>112114</v>
      </c>
      <c r="B2539" t="n">
        <v>128</v>
      </c>
      <c r="C2539" t="inlineStr">
        <is>
          <t>Love Cabaret</t>
        </is>
      </c>
      <c r="D2539" t="inlineStr">
        <is>
          <t>TAMARA SANTOS RIBEIRO</t>
        </is>
      </c>
      <c r="E2539" t="n">
        <v>3500</v>
      </c>
      <c r="F2539" s="27" t="n">
        <v>45726</v>
      </c>
      <c r="G2539" s="27" t="n">
        <v>45726</v>
      </c>
      <c r="H2539" s="27" t="n">
        <v>45726</v>
      </c>
      <c r="I2539" s="27" t="n">
        <v>45689</v>
      </c>
      <c r="J2539" s="27" t="n">
        <v>45707</v>
      </c>
      <c r="K2539" t="inlineStr">
        <is>
          <t>Transferência Bancária ou Pix</t>
        </is>
      </c>
      <c r="L2539" t="inlineStr">
        <is>
          <t>Mão de Obra - PJ</t>
        </is>
      </c>
      <c r="M2539" t="inlineStr">
        <is>
          <t>MDO PJ Fixo</t>
        </is>
      </c>
      <c r="N2539" t="inlineStr">
        <is>
          <t>20</t>
        </is>
      </c>
      <c r="O2539" t="inlineStr">
        <is>
          <t>Documentação Aprovada</t>
        </is>
      </c>
      <c r="P2539" t="inlineStr">
        <is>
          <t>Aprovado Diretoria</t>
        </is>
      </c>
      <c r="Q2539" t="inlineStr">
        <is>
          <t>Aprovado Caixa</t>
        </is>
      </c>
      <c r="R2539" t="inlineStr">
        <is>
          <t>Pago</t>
        </is>
      </c>
      <c r="S2539" t="n">
        <v>115</v>
      </c>
      <c r="T2539" t="inlineStr">
        <is>
          <t>Love - Shibari - Bradesco</t>
        </is>
      </c>
    </row>
    <row r="2540">
      <c r="A2540" t="n">
        <v>112117</v>
      </c>
      <c r="B2540" t="n">
        <v>128</v>
      </c>
      <c r="C2540" t="inlineStr">
        <is>
          <t>Love Cabaret</t>
        </is>
      </c>
      <c r="D2540" t="inlineStr">
        <is>
          <t>PJ 00132021 - TELES DE ALMEIDA PINTO</t>
        </is>
      </c>
      <c r="E2540" t="n">
        <v>1600</v>
      </c>
      <c r="F2540" s="27" t="n">
        <v>45726</v>
      </c>
      <c r="G2540" s="27" t="n">
        <v>45726</v>
      </c>
      <c r="H2540" s="27" t="n">
        <v>45726</v>
      </c>
      <c r="I2540" s="27" t="n">
        <v>45689</v>
      </c>
      <c r="J2540" s="27" t="n">
        <v>45707</v>
      </c>
      <c r="K2540" t="inlineStr">
        <is>
          <t>Transferência Bancária ou Pix</t>
        </is>
      </c>
      <c r="L2540" t="inlineStr">
        <is>
          <t>Mão de Obra - PJ</t>
        </is>
      </c>
      <c r="M2540" t="inlineStr">
        <is>
          <t>MDO PJ Fixo</t>
        </is>
      </c>
      <c r="N2540" t="inlineStr">
        <is>
          <t>7</t>
        </is>
      </c>
      <c r="O2540" t="inlineStr">
        <is>
          <t>Documentação Aprovada</t>
        </is>
      </c>
      <c r="P2540" t="inlineStr">
        <is>
          <t>Aprovado Diretoria</t>
        </is>
      </c>
      <c r="Q2540" t="inlineStr">
        <is>
          <t>Aprovado Caixa</t>
        </is>
      </c>
      <c r="R2540" t="inlineStr">
        <is>
          <t>Pago</t>
        </is>
      </c>
      <c r="S2540" t="n">
        <v>115</v>
      </c>
      <c r="T2540" t="inlineStr">
        <is>
          <t>Love - Shibari - Bradesco</t>
        </is>
      </c>
    </row>
    <row r="2541">
      <c r="A2541" t="n">
        <v>112118</v>
      </c>
      <c r="B2541" t="n">
        <v>128</v>
      </c>
      <c r="C2541" t="inlineStr">
        <is>
          <t>Love Cabaret</t>
        </is>
      </c>
      <c r="D2541" t="inlineStr">
        <is>
          <t>PJ 00502024 THIAGO PINHEIRO DA SILVA</t>
        </is>
      </c>
      <c r="E2541" t="n">
        <v>1125</v>
      </c>
      <c r="F2541" s="27" t="n">
        <v>45726</v>
      </c>
      <c r="G2541" s="27" t="n">
        <v>45726</v>
      </c>
      <c r="H2541" s="27" t="n">
        <v>45726</v>
      </c>
      <c r="I2541" s="27" t="n">
        <v>45689</v>
      </c>
      <c r="J2541" s="27" t="n">
        <v>45707</v>
      </c>
      <c r="K2541" t="inlineStr">
        <is>
          <t>Transferência Bancária ou Pix</t>
        </is>
      </c>
      <c r="L2541" t="inlineStr">
        <is>
          <t>Mão de Obra - PJ</t>
        </is>
      </c>
      <c r="M2541" t="inlineStr">
        <is>
          <t>MDO PJ Fixo</t>
        </is>
      </c>
      <c r="N2541" t="inlineStr">
        <is>
          <t>35</t>
        </is>
      </c>
      <c r="O2541" t="inlineStr">
        <is>
          <t>Documentação Aprovada</t>
        </is>
      </c>
      <c r="P2541" t="inlineStr">
        <is>
          <t>Aprovado Diretoria</t>
        </is>
      </c>
      <c r="Q2541" t="inlineStr">
        <is>
          <t>Aprovado Caixa</t>
        </is>
      </c>
      <c r="R2541" t="inlineStr">
        <is>
          <t>Pago</t>
        </is>
      </c>
      <c r="S2541" t="n">
        <v>115</v>
      </c>
      <c r="T2541" t="inlineStr">
        <is>
          <t>Love - Shibari - Bradesco</t>
        </is>
      </c>
    </row>
    <row r="2542">
      <c r="A2542" t="n">
        <v>112119</v>
      </c>
      <c r="B2542" t="n">
        <v>128</v>
      </c>
      <c r="C2542" t="inlineStr">
        <is>
          <t>Love Cabaret</t>
        </is>
      </c>
      <c r="D2542" t="inlineStr">
        <is>
          <t>PJ 00092021 - VANESSA FERREIRA DEL SANTO</t>
        </is>
      </c>
      <c r="E2542" t="n">
        <v>3000</v>
      </c>
      <c r="F2542" s="27" t="n">
        <v>45726</v>
      </c>
      <c r="G2542" s="27" t="n">
        <v>45726</v>
      </c>
      <c r="H2542" s="27" t="n">
        <v>45726</v>
      </c>
      <c r="I2542" s="27" t="n">
        <v>45689</v>
      </c>
      <c r="J2542" s="27" t="n">
        <v>45707</v>
      </c>
      <c r="K2542" t="inlineStr">
        <is>
          <t>Transferência Bancária ou Pix</t>
        </is>
      </c>
      <c r="L2542" t="inlineStr">
        <is>
          <t>Mão de Obra - PJ</t>
        </is>
      </c>
      <c r="M2542" t="inlineStr">
        <is>
          <t>MDO PJ Fixo</t>
        </is>
      </c>
      <c r="N2542" t="inlineStr">
        <is>
          <t>250</t>
        </is>
      </c>
      <c r="O2542" t="inlineStr">
        <is>
          <t>Documentação Aprovada</t>
        </is>
      </c>
      <c r="P2542" t="inlineStr">
        <is>
          <t>Aprovado Diretoria</t>
        </is>
      </c>
      <c r="Q2542" t="inlineStr">
        <is>
          <t>Aprovado Caixa</t>
        </is>
      </c>
      <c r="R2542" t="inlineStr">
        <is>
          <t>Pago</t>
        </is>
      </c>
      <c r="S2542" t="n">
        <v>115</v>
      </c>
      <c r="T2542" t="inlineStr">
        <is>
          <t>Love - Shibari - Bradesco</t>
        </is>
      </c>
    </row>
    <row r="2543">
      <c r="A2543" t="n">
        <v>112121</v>
      </c>
      <c r="B2543" t="n">
        <v>128</v>
      </c>
      <c r="C2543" t="inlineStr">
        <is>
          <t>Love Cabaret</t>
        </is>
      </c>
      <c r="D2543" t="inlineStr">
        <is>
          <t>WAGNER DA SILVA FRANCA</t>
        </is>
      </c>
      <c r="E2543" t="n">
        <v>4000</v>
      </c>
      <c r="F2543" s="27" t="n">
        <v>45726</v>
      </c>
      <c r="G2543" s="27" t="n">
        <v>45726</v>
      </c>
      <c r="H2543" s="27" t="n">
        <v>45726</v>
      </c>
      <c r="I2543" s="27" t="n">
        <v>45689</v>
      </c>
      <c r="J2543" s="27" t="n">
        <v>45707</v>
      </c>
      <c r="K2543" t="inlineStr">
        <is>
          <t>Transferência Bancária ou Pix</t>
        </is>
      </c>
      <c r="L2543" t="inlineStr">
        <is>
          <t>Mão de Obra - PJ</t>
        </is>
      </c>
      <c r="M2543" t="inlineStr">
        <is>
          <t>MDO PJ Fixo</t>
        </is>
      </c>
      <c r="N2543" t="inlineStr">
        <is>
          <t>26</t>
        </is>
      </c>
      <c r="O2543" t="inlineStr">
        <is>
          <t>Documentação Aprovada</t>
        </is>
      </c>
      <c r="P2543" t="inlineStr">
        <is>
          <t>Aprovado Diretoria</t>
        </is>
      </c>
      <c r="Q2543" t="inlineStr">
        <is>
          <t>Aprovado Caixa</t>
        </is>
      </c>
      <c r="R2543" t="inlineStr">
        <is>
          <t>Pago</t>
        </is>
      </c>
      <c r="S2543" t="n">
        <v>115</v>
      </c>
      <c r="T2543" t="inlineStr">
        <is>
          <t>Love - Shibari - Bradesco</t>
        </is>
      </c>
    </row>
    <row r="2544">
      <c r="A2544" t="n">
        <v>116297</v>
      </c>
      <c r="B2544" t="n">
        <v>128</v>
      </c>
      <c r="C2544" t="inlineStr">
        <is>
          <t>Love Cabaret</t>
        </is>
      </c>
      <c r="D2544" t="inlineStr">
        <is>
          <t>AURORA ALVORADA ESTACIONAMENTO E LANCHONETE LTDA</t>
        </is>
      </c>
      <c r="E2544" t="n">
        <v>148.63</v>
      </c>
      <c r="F2544" s="27" t="n">
        <v>45728</v>
      </c>
      <c r="G2544" s="27" t="n">
        <v>45726</v>
      </c>
      <c r="H2544" s="27" t="n">
        <v>45726</v>
      </c>
      <c r="I2544" s="27" t="n">
        <v>45721</v>
      </c>
      <c r="J2544" s="27" t="n">
        <v>45722</v>
      </c>
      <c r="K2544" t="inlineStr">
        <is>
          <t>Boleto Bancário</t>
        </is>
      </c>
      <c r="L2544" t="inlineStr">
        <is>
          <t>Custo Mercadoria Vendida</t>
        </is>
      </c>
      <c r="M2544" t="inlineStr">
        <is>
          <t>Insumos - Alimentos</t>
        </is>
      </c>
      <c r="N2544" t="inlineStr">
        <is>
          <t>10351</t>
        </is>
      </c>
      <c r="O2544" t="inlineStr">
        <is>
          <t>Documentação Aprovada</t>
        </is>
      </c>
      <c r="P2544" t="inlineStr">
        <is>
          <t>Aprovado Diretoria</t>
        </is>
      </c>
      <c r="Q2544" t="inlineStr">
        <is>
          <t>Aprovado Caixa</t>
        </is>
      </c>
      <c r="R2544" t="inlineStr">
        <is>
          <t>Pago</t>
        </is>
      </c>
      <c r="S2544" t="n">
        <v>115</v>
      </c>
      <c r="T2544" t="inlineStr">
        <is>
          <t>Love - Shibari - Bradesco</t>
        </is>
      </c>
    </row>
    <row r="2545">
      <c r="A2545" t="n">
        <v>115658</v>
      </c>
      <c r="B2545" t="n">
        <v>128</v>
      </c>
      <c r="C2545" t="inlineStr">
        <is>
          <t>Love Cabaret</t>
        </is>
      </c>
      <c r="D2545" t="inlineStr">
        <is>
          <t>ROBERTA MARIA SANTANA</t>
        </is>
      </c>
      <c r="E2545" t="n">
        <v>1530</v>
      </c>
      <c r="F2545" s="27" t="n">
        <v>45726</v>
      </c>
      <c r="G2545" s="27" t="n">
        <v>45726</v>
      </c>
      <c r="H2545" s="27" t="n">
        <v>45726</v>
      </c>
      <c r="I2545" s="27" t="n">
        <v>45689</v>
      </c>
      <c r="J2545" s="27" t="n">
        <v>45721</v>
      </c>
      <c r="K2545" t="inlineStr">
        <is>
          <t>Transferência Bancária ou Pix</t>
        </is>
      </c>
      <c r="L2545" t="inlineStr">
        <is>
          <t>Gorjeta</t>
        </is>
      </c>
      <c r="M2545" t="inlineStr">
        <is>
          <t xml:space="preserve">  -  Comissões e Gorjeta</t>
        </is>
      </c>
      <c r="N2545" t="inlineStr">
        <is>
          <t>6</t>
        </is>
      </c>
      <c r="O2545" t="inlineStr">
        <is>
          <t>Documentação Aprovada</t>
        </is>
      </c>
      <c r="P2545" t="inlineStr">
        <is>
          <t>Aprovado Diretoria</t>
        </is>
      </c>
      <c r="Q2545" t="inlineStr">
        <is>
          <t>Aprovado Caixa</t>
        </is>
      </c>
      <c r="R2545" t="inlineStr">
        <is>
          <t>Pago</t>
        </is>
      </c>
      <c r="S2545" t="n">
        <v>115</v>
      </c>
      <c r="T2545" t="inlineStr">
        <is>
          <t>Love - Shibari - Bradesco</t>
        </is>
      </c>
    </row>
    <row r="2546">
      <c r="A2546" t="n">
        <v>115656</v>
      </c>
      <c r="B2546" t="n">
        <v>128</v>
      </c>
      <c r="C2546" t="inlineStr">
        <is>
          <t>Love Cabaret</t>
        </is>
      </c>
      <c r="D2546" t="inlineStr">
        <is>
          <t>WAGNER DA SILVA FRANCA</t>
        </is>
      </c>
      <c r="E2546" t="n">
        <v>1530</v>
      </c>
      <c r="F2546" s="27" t="n">
        <v>45726</v>
      </c>
      <c r="G2546" s="27" t="n">
        <v>45726</v>
      </c>
      <c r="H2546" s="27" t="n">
        <v>45726</v>
      </c>
      <c r="I2546" s="27" t="n">
        <v>45689</v>
      </c>
      <c r="J2546" s="27" t="n">
        <v>45721</v>
      </c>
      <c r="K2546" t="inlineStr">
        <is>
          <t>Transferência Bancária ou Pix</t>
        </is>
      </c>
      <c r="L2546" t="inlineStr">
        <is>
          <t>Gorjeta</t>
        </is>
      </c>
      <c r="M2546" t="inlineStr">
        <is>
          <t xml:space="preserve">  -  Comissões e Gorjeta</t>
        </is>
      </c>
      <c r="N2546" t="inlineStr">
        <is>
          <t>28</t>
        </is>
      </c>
      <c r="O2546" t="inlineStr">
        <is>
          <t>Documentação Aprovada</t>
        </is>
      </c>
      <c r="P2546" t="inlineStr">
        <is>
          <t>Aprovado Diretoria</t>
        </is>
      </c>
      <c r="Q2546" t="inlineStr">
        <is>
          <t>Aprovado Caixa</t>
        </is>
      </c>
      <c r="R2546" t="inlineStr">
        <is>
          <t>Pago</t>
        </is>
      </c>
      <c r="S2546" t="n">
        <v>115</v>
      </c>
      <c r="T2546" t="inlineStr">
        <is>
          <t>Love - Shibari - Bradesco</t>
        </is>
      </c>
    </row>
    <row r="2547">
      <c r="A2547" t="n">
        <v>115655</v>
      </c>
      <c r="B2547" t="n">
        <v>128</v>
      </c>
      <c r="C2547" t="inlineStr">
        <is>
          <t>Love Cabaret</t>
        </is>
      </c>
      <c r="D2547" t="inlineStr">
        <is>
          <t>PJ 00132021 - TELES DE ALMEIDA PINTO</t>
        </is>
      </c>
      <c r="E2547" t="n">
        <v>560</v>
      </c>
      <c r="F2547" s="27" t="n">
        <v>45726</v>
      </c>
      <c r="G2547" s="27" t="n">
        <v>45726</v>
      </c>
      <c r="H2547" s="27" t="n">
        <v>45726</v>
      </c>
      <c r="I2547" s="27" t="n">
        <v>45689</v>
      </c>
      <c r="J2547" s="27" t="n">
        <v>45721</v>
      </c>
      <c r="K2547" t="inlineStr">
        <is>
          <t>Transferência Bancária ou Pix</t>
        </is>
      </c>
      <c r="L2547" t="inlineStr">
        <is>
          <t>Gorjeta</t>
        </is>
      </c>
      <c r="M2547" t="inlineStr">
        <is>
          <t xml:space="preserve">  -  Comissões e Gorjeta</t>
        </is>
      </c>
      <c r="N2547" t="inlineStr">
        <is>
          <t>8</t>
        </is>
      </c>
      <c r="O2547" t="inlineStr">
        <is>
          <t>Documentação Aprovada</t>
        </is>
      </c>
      <c r="P2547" t="inlineStr">
        <is>
          <t>Aprovado Diretoria</t>
        </is>
      </c>
      <c r="Q2547" t="inlineStr">
        <is>
          <t>Aprovado Caixa</t>
        </is>
      </c>
      <c r="R2547" t="inlineStr">
        <is>
          <t>Pago</t>
        </is>
      </c>
      <c r="S2547" t="n">
        <v>115</v>
      </c>
      <c r="T2547" t="inlineStr">
        <is>
          <t>Love - Shibari - Bradesco</t>
        </is>
      </c>
    </row>
    <row r="2548">
      <c r="A2548" t="n">
        <v>115654</v>
      </c>
      <c r="B2548" t="n">
        <v>128</v>
      </c>
      <c r="C2548" t="inlineStr">
        <is>
          <t>Love Cabaret</t>
        </is>
      </c>
      <c r="D2548" t="inlineStr">
        <is>
          <t>PJ23824129000110 - FELIPE DA COSTA SANTOS</t>
        </is>
      </c>
      <c r="E2548" t="n">
        <v>1670</v>
      </c>
      <c r="F2548" s="27" t="n">
        <v>45726</v>
      </c>
      <c r="G2548" s="27" t="n">
        <v>45726</v>
      </c>
      <c r="H2548" s="27" t="n">
        <v>45726</v>
      </c>
      <c r="I2548" s="27" t="n">
        <v>45689</v>
      </c>
      <c r="J2548" s="27" t="n">
        <v>45721</v>
      </c>
      <c r="K2548" t="inlineStr">
        <is>
          <t>Transferência Bancária ou Pix</t>
        </is>
      </c>
      <c r="L2548" t="inlineStr">
        <is>
          <t>Gorjeta</t>
        </is>
      </c>
      <c r="M2548" t="inlineStr">
        <is>
          <t xml:space="preserve">  -  Comissões e Gorjeta</t>
        </is>
      </c>
      <c r="N2548" t="inlineStr">
        <is>
          <t>44</t>
        </is>
      </c>
      <c r="O2548" t="inlineStr">
        <is>
          <t>Documentação Aprovada</t>
        </is>
      </c>
      <c r="P2548" t="inlineStr">
        <is>
          <t>Aprovado Diretoria</t>
        </is>
      </c>
      <c r="Q2548" t="inlineStr">
        <is>
          <t>Aprovado Caixa</t>
        </is>
      </c>
      <c r="R2548" t="inlineStr">
        <is>
          <t>Pago</t>
        </is>
      </c>
      <c r="S2548" t="n">
        <v>115</v>
      </c>
      <c r="T2548" t="inlineStr">
        <is>
          <t>Love - Shibari - Bradesco</t>
        </is>
      </c>
    </row>
    <row r="2549">
      <c r="A2549" t="n">
        <v>115653</v>
      </c>
      <c r="B2549" t="n">
        <v>128</v>
      </c>
      <c r="C2549" t="inlineStr">
        <is>
          <t>Love Cabaret</t>
        </is>
      </c>
      <c r="D2549" t="inlineStr">
        <is>
          <t>PJ 43960118000174 - DIEGO OLIVEIRA SANTANA</t>
        </is>
      </c>
      <c r="E2549" t="n">
        <v>1530</v>
      </c>
      <c r="F2549" s="27" t="n">
        <v>45726</v>
      </c>
      <c r="G2549" s="27" t="n">
        <v>45726</v>
      </c>
      <c r="H2549" s="27" t="n">
        <v>45726</v>
      </c>
      <c r="I2549" s="27" t="n">
        <v>45689</v>
      </c>
      <c r="J2549" s="27" t="n">
        <v>45721</v>
      </c>
      <c r="K2549" t="inlineStr">
        <is>
          <t>Transferência Bancária ou Pix</t>
        </is>
      </c>
      <c r="L2549" t="inlineStr">
        <is>
          <t>Gorjeta</t>
        </is>
      </c>
      <c r="M2549" t="inlineStr">
        <is>
          <t xml:space="preserve">  -  Comissões e Gorjeta</t>
        </is>
      </c>
      <c r="N2549" t="inlineStr">
        <is>
          <t>56</t>
        </is>
      </c>
      <c r="O2549" t="inlineStr">
        <is>
          <t>Documentação Aprovada</t>
        </is>
      </c>
      <c r="P2549" t="inlineStr">
        <is>
          <t>Aprovado Diretoria</t>
        </is>
      </c>
      <c r="Q2549" t="inlineStr">
        <is>
          <t>Aprovado Caixa</t>
        </is>
      </c>
      <c r="R2549" t="inlineStr">
        <is>
          <t>Pago</t>
        </is>
      </c>
      <c r="S2549" t="n">
        <v>115</v>
      </c>
      <c r="T2549" t="inlineStr">
        <is>
          <t>Love - Shibari - Bradesco</t>
        </is>
      </c>
    </row>
    <row r="2550">
      <c r="A2550" t="n">
        <v>111140</v>
      </c>
      <c r="B2550" t="n">
        <v>128</v>
      </c>
      <c r="C2550" t="inlineStr">
        <is>
          <t>Love Cabaret</t>
        </is>
      </c>
      <c r="D2550" t="inlineStr">
        <is>
          <t>MURILLO S DUARTE COMERCIAL LTDA</t>
        </is>
      </c>
      <c r="E2550" t="n">
        <v>685</v>
      </c>
      <c r="F2550" s="27" t="n">
        <v>45728</v>
      </c>
      <c r="G2550" s="27" t="n">
        <v>45726</v>
      </c>
      <c r="H2550" s="27" t="n">
        <v>45726</v>
      </c>
      <c r="I2550" s="27" t="n">
        <v>45700</v>
      </c>
      <c r="J2550" s="27" t="n">
        <v>45705</v>
      </c>
      <c r="K2550" t="inlineStr">
        <is>
          <t>Boleto Bancário</t>
        </is>
      </c>
      <c r="L2550" t="inlineStr">
        <is>
          <t>Utilidades</t>
        </is>
      </c>
      <c r="M2550" t="inlineStr">
        <is>
          <t>Higiene e Limpeza</t>
        </is>
      </c>
      <c r="N2550" t="inlineStr">
        <is>
          <t>1806</t>
        </is>
      </c>
      <c r="O2550" t="inlineStr">
        <is>
          <t>Documentação Aprovada</t>
        </is>
      </c>
      <c r="P2550" t="inlineStr">
        <is>
          <t>Aprovado Diretoria</t>
        </is>
      </c>
      <c r="Q2550" t="inlineStr">
        <is>
          <t>Aprovado Caixa</t>
        </is>
      </c>
      <c r="R2550" t="inlineStr">
        <is>
          <t>Pago</t>
        </is>
      </c>
      <c r="S2550" t="n">
        <v>115</v>
      </c>
      <c r="T2550" t="inlineStr">
        <is>
          <t>Love - Shibari - Bradesco</t>
        </is>
      </c>
    </row>
    <row r="2551">
      <c r="A2551" t="n">
        <v>110155</v>
      </c>
      <c r="B2551" t="n">
        <v>128</v>
      </c>
      <c r="C2551" t="inlineStr">
        <is>
          <t>Love Cabaret</t>
        </is>
      </c>
      <c r="D2551" t="inlineStr">
        <is>
          <t>HORTICLEAN DISTRIBUIDORA DE HORTIFRUTI LTDA</t>
        </is>
      </c>
      <c r="E2551" t="n">
        <v>600.64</v>
      </c>
      <c r="F2551" s="27" t="n">
        <v>45727</v>
      </c>
      <c r="G2551" s="27" t="n">
        <v>45726</v>
      </c>
      <c r="H2551" s="27" t="n">
        <v>45726</v>
      </c>
      <c r="I2551" s="27" t="n">
        <v>45698</v>
      </c>
      <c r="J2551" s="27" t="n">
        <v>45701</v>
      </c>
      <c r="K2551" t="inlineStr">
        <is>
          <t>Boleto Bancário</t>
        </is>
      </c>
      <c r="L2551" t="inlineStr">
        <is>
          <t>Custo Mercadoria Vendida</t>
        </is>
      </c>
      <c r="M2551" t="inlineStr">
        <is>
          <t>Insumos - Alimentos</t>
        </is>
      </c>
      <c r="N2551" t="inlineStr">
        <is>
          <t>25794</t>
        </is>
      </c>
      <c r="O2551" t="inlineStr">
        <is>
          <t>Documentação Aprovada</t>
        </is>
      </c>
      <c r="P2551" t="inlineStr">
        <is>
          <t>Aprovado Diretoria</t>
        </is>
      </c>
      <c r="Q2551" t="inlineStr">
        <is>
          <t>Aprovado Caixa</t>
        </is>
      </c>
      <c r="R2551" t="inlineStr">
        <is>
          <t>Pago</t>
        </is>
      </c>
      <c r="S2551" t="n">
        <v>115</v>
      </c>
      <c r="T2551" t="inlineStr">
        <is>
          <t>Love - Shibari - Bradesco</t>
        </is>
      </c>
    </row>
    <row r="2552">
      <c r="A2552" t="n">
        <v>110161</v>
      </c>
      <c r="B2552" t="n">
        <v>128</v>
      </c>
      <c r="C2552" t="inlineStr">
        <is>
          <t>Love Cabaret</t>
        </is>
      </c>
      <c r="D2552" t="inlineStr">
        <is>
          <t>WINES4U COMÉRCIO, IMPORTAÇÃO E EXPORTAÇÃO DE VINHOS LTDA</t>
        </is>
      </c>
      <c r="E2552" t="n">
        <v>607.5</v>
      </c>
      <c r="F2552" s="27" t="n">
        <v>45728</v>
      </c>
      <c r="G2552" s="27" t="n">
        <v>45726</v>
      </c>
      <c r="H2552" s="27" t="n">
        <v>45726</v>
      </c>
      <c r="I2552" s="27" t="n">
        <v>45698</v>
      </c>
      <c r="J2552" s="27" t="n">
        <v>45701</v>
      </c>
      <c r="K2552" t="inlineStr">
        <is>
          <t>Boleto Bancário</t>
        </is>
      </c>
      <c r="L2552" t="inlineStr">
        <is>
          <t>Custo Mercadoria Vendida</t>
        </is>
      </c>
      <c r="M2552" t="inlineStr">
        <is>
          <t>Insumos - Bebidas</t>
        </is>
      </c>
      <c r="N2552" t="inlineStr">
        <is>
          <t>13201</t>
        </is>
      </c>
      <c r="O2552" t="inlineStr">
        <is>
          <t>Documentação Aprovada</t>
        </is>
      </c>
      <c r="P2552" t="inlineStr">
        <is>
          <t>Aprovado Diretoria</t>
        </is>
      </c>
      <c r="Q2552" t="inlineStr">
        <is>
          <t>Aprovado Caixa</t>
        </is>
      </c>
      <c r="R2552" t="inlineStr">
        <is>
          <t>Pago</t>
        </is>
      </c>
      <c r="S2552" t="n">
        <v>115</v>
      </c>
      <c r="T2552" t="inlineStr">
        <is>
          <t>Love - Shibari - Bradesco</t>
        </is>
      </c>
    </row>
    <row r="2553">
      <c r="A2553" t="n">
        <v>114578</v>
      </c>
      <c r="B2553" t="n">
        <v>128</v>
      </c>
      <c r="C2553" t="inlineStr">
        <is>
          <t>Love Cabaret</t>
        </is>
      </c>
      <c r="D2553" t="inlineStr">
        <is>
          <t>PORCO FELIZ COM DE CARNES LTDA</t>
        </is>
      </c>
      <c r="E2553" t="n">
        <v>119.79</v>
      </c>
      <c r="F2553" s="27" t="n">
        <v>45727</v>
      </c>
      <c r="G2553" s="27" t="n">
        <v>45726</v>
      </c>
      <c r="H2553" s="27" t="n">
        <v>45726</v>
      </c>
      <c r="I2553" s="27" t="n">
        <v>45713</v>
      </c>
      <c r="J2553" s="27" t="n">
        <v>45715</v>
      </c>
      <c r="K2553" t="inlineStr">
        <is>
          <t>Boleto Bancário</t>
        </is>
      </c>
      <c r="L2553" t="inlineStr">
        <is>
          <t>Custo Mercadoria Vendida</t>
        </is>
      </c>
      <c r="M2553" t="inlineStr">
        <is>
          <t>Insumos - Alimentos</t>
        </is>
      </c>
      <c r="N2553" t="inlineStr">
        <is>
          <t>568283</t>
        </is>
      </c>
      <c r="O2553" t="inlineStr">
        <is>
          <t>Documentação Aprovada</t>
        </is>
      </c>
      <c r="P2553" t="inlineStr">
        <is>
          <t>Aprovado Diretoria</t>
        </is>
      </c>
      <c r="Q2553" t="inlineStr">
        <is>
          <t>Aprovado Caixa</t>
        </is>
      </c>
      <c r="R2553" t="inlineStr">
        <is>
          <t>Pago</t>
        </is>
      </c>
      <c r="S2553" t="n">
        <v>115</v>
      </c>
      <c r="T2553" t="inlineStr">
        <is>
          <t>Love - Shibari - Bradesco</t>
        </is>
      </c>
    </row>
    <row r="2554">
      <c r="A2554" t="n">
        <v>114173</v>
      </c>
      <c r="B2554" t="n">
        <v>128</v>
      </c>
      <c r="C2554" t="inlineStr">
        <is>
          <t>Love Cabaret</t>
        </is>
      </c>
      <c r="D2554" t="inlineStr">
        <is>
          <t>EDGAR DE OLIVEIRA CARDOSO</t>
        </is>
      </c>
      <c r="E2554" t="n">
        <v>425</v>
      </c>
      <c r="F2554" s="27" t="n">
        <v>45727</v>
      </c>
      <c r="G2554" s="27" t="n">
        <v>45726</v>
      </c>
      <c r="H2554" s="27" t="n">
        <v>45726</v>
      </c>
      <c r="I2554" s="27" t="n">
        <v>45712</v>
      </c>
      <c r="J2554" s="27" t="n">
        <v>45714</v>
      </c>
      <c r="K2554" t="inlineStr">
        <is>
          <t>Transferência Bancária ou Pix</t>
        </is>
      </c>
      <c r="L2554" t="inlineStr">
        <is>
          <t>Custos Artístico Geral</t>
        </is>
      </c>
      <c r="M2554" t="inlineStr">
        <is>
          <t>Cachê de Músicos e Artistas</t>
        </is>
      </c>
      <c r="N2554" t="inlineStr">
        <is>
          <t>252025</t>
        </is>
      </c>
      <c r="O2554" t="inlineStr">
        <is>
          <t>Documentação Aprovada</t>
        </is>
      </c>
      <c r="P2554" t="inlineStr">
        <is>
          <t>Aprovado Diretoria</t>
        </is>
      </c>
      <c r="Q2554" t="inlineStr">
        <is>
          <t>Aprovado Caixa</t>
        </is>
      </c>
      <c r="R2554" t="inlineStr">
        <is>
          <t>Pago</t>
        </is>
      </c>
      <c r="S2554" t="n">
        <v>115</v>
      </c>
      <c r="T2554" t="inlineStr">
        <is>
          <t>Love - Shibari - Bradesco</t>
        </is>
      </c>
    </row>
    <row r="2555">
      <c r="A2555" t="n">
        <v>113822</v>
      </c>
      <c r="B2555" t="n">
        <v>128</v>
      </c>
      <c r="C2555" t="inlineStr">
        <is>
          <t>Love Cabaret</t>
        </is>
      </c>
      <c r="D2555" t="inlineStr">
        <is>
          <t xml:space="preserve">KATLEGO / NEUMARA SOLIDADE DE JESUS </t>
        </is>
      </c>
      <c r="E2555" t="n">
        <v>425</v>
      </c>
      <c r="F2555" s="27" t="n">
        <v>45727</v>
      </c>
      <c r="G2555" s="27" t="n">
        <v>45726</v>
      </c>
      <c r="H2555" s="27" t="n">
        <v>45726</v>
      </c>
      <c r="I2555" s="27" t="n">
        <v>45712</v>
      </c>
      <c r="J2555" s="27" t="n">
        <v>45714</v>
      </c>
      <c r="K2555" t="inlineStr">
        <is>
          <t>Transferência Bancária ou Pix</t>
        </is>
      </c>
      <c r="L2555" t="inlineStr">
        <is>
          <t>Custos Artístico Geral</t>
        </is>
      </c>
      <c r="M2555" t="inlineStr">
        <is>
          <t>Cachê de Músicos e Artistas</t>
        </is>
      </c>
      <c r="N2555" t="inlineStr">
        <is>
          <t>232025</t>
        </is>
      </c>
      <c r="O2555" t="inlineStr">
        <is>
          <t>Documentação Aprovada</t>
        </is>
      </c>
      <c r="P2555" t="inlineStr">
        <is>
          <t>Aprovado Diretoria</t>
        </is>
      </c>
      <c r="Q2555" t="inlineStr">
        <is>
          <t>Aprovado Caixa</t>
        </is>
      </c>
      <c r="R2555" t="inlineStr">
        <is>
          <t>Pago</t>
        </is>
      </c>
      <c r="S2555" t="n">
        <v>115</v>
      </c>
      <c r="T2555" t="inlineStr">
        <is>
          <t>Love - Shibari - Bradesco</t>
        </is>
      </c>
    </row>
    <row r="2556">
      <c r="A2556" t="n">
        <v>113163</v>
      </c>
      <c r="B2556" t="n">
        <v>128</v>
      </c>
      <c r="C2556" t="inlineStr">
        <is>
          <t>Love Cabaret</t>
        </is>
      </c>
      <c r="D2556" t="inlineStr">
        <is>
          <t>LUIZ ROBERTO DA SILVA JUNIOR</t>
        </is>
      </c>
      <c r="E2556" t="n">
        <v>1400</v>
      </c>
      <c r="F2556" s="27" t="n">
        <v>45728</v>
      </c>
      <c r="G2556" s="27" t="n">
        <v>45726</v>
      </c>
      <c r="H2556" s="27" t="n">
        <v>45726</v>
      </c>
      <c r="I2556" s="27" t="n">
        <v>45712</v>
      </c>
      <c r="J2556" s="27" t="n">
        <v>45712</v>
      </c>
      <c r="K2556" t="inlineStr">
        <is>
          <t>Transferência Bancária ou Pix</t>
        </is>
      </c>
      <c r="L2556" t="inlineStr">
        <is>
          <t>Custos de Eventos</t>
        </is>
      </c>
      <c r="M2556" t="inlineStr">
        <is>
          <t>Locação de Equipamentos - Eventos</t>
        </is>
      </c>
      <c r="N2556" t="inlineStr">
        <is>
          <t>272025</t>
        </is>
      </c>
      <c r="O2556" t="inlineStr">
        <is>
          <t>Documentação Aprovada</t>
        </is>
      </c>
      <c r="P2556" t="inlineStr">
        <is>
          <t>Aprovado Diretoria</t>
        </is>
      </c>
      <c r="Q2556" t="inlineStr">
        <is>
          <t>Aprovado Caixa</t>
        </is>
      </c>
      <c r="R2556" t="inlineStr">
        <is>
          <t>Pago</t>
        </is>
      </c>
      <c r="S2556" t="n">
        <v>115</v>
      </c>
      <c r="T2556" t="inlineStr">
        <is>
          <t>Love - Shibari - Bradesco</t>
        </is>
      </c>
    </row>
    <row r="2557">
      <c r="A2557" t="n">
        <v>115136</v>
      </c>
      <c r="B2557" t="n">
        <v>128</v>
      </c>
      <c r="C2557" t="inlineStr">
        <is>
          <t>Love Cabaret</t>
        </is>
      </c>
      <c r="D2557" t="inlineStr">
        <is>
          <t>PJ 00042021 - JOAO VICTOR MENDES SALUSTIANO</t>
        </is>
      </c>
      <c r="E2557" t="n">
        <v>269.9</v>
      </c>
      <c r="F2557" s="27" t="n">
        <v>45726</v>
      </c>
      <c r="G2557" s="27" t="n">
        <v>45726</v>
      </c>
      <c r="H2557" s="27" t="n">
        <v>45726</v>
      </c>
      <c r="I2557" s="27" t="n">
        <v>45716</v>
      </c>
      <c r="J2557" s="27" t="n">
        <v>45718</v>
      </c>
      <c r="K2557" t="inlineStr">
        <is>
          <t>Transferência Bancária ou Pix</t>
        </is>
      </c>
      <c r="L2557" t="inlineStr">
        <is>
          <t>Utilidades</t>
        </is>
      </c>
      <c r="M2557" t="inlineStr">
        <is>
          <t>Utensilios</t>
        </is>
      </c>
      <c r="N2557" t="inlineStr">
        <is>
          <t>282025</t>
        </is>
      </c>
      <c r="O2557" t="inlineStr">
        <is>
          <t>Documentação Aprovada</t>
        </is>
      </c>
      <c r="P2557" t="inlineStr">
        <is>
          <t>Aprovado Diretoria</t>
        </is>
      </c>
      <c r="Q2557" t="inlineStr">
        <is>
          <t>Aprovado Caixa</t>
        </is>
      </c>
      <c r="R2557" t="inlineStr">
        <is>
          <t>Pago</t>
        </is>
      </c>
      <c r="S2557" t="n">
        <v>115</v>
      </c>
      <c r="T2557" t="inlineStr">
        <is>
          <t>Love - Shibari - Bradesco</t>
        </is>
      </c>
    </row>
    <row r="2558">
      <c r="A2558" t="n">
        <v>114793</v>
      </c>
      <c r="B2558" t="n">
        <v>128</v>
      </c>
      <c r="C2558" t="inlineStr">
        <is>
          <t>Love Cabaret</t>
        </is>
      </c>
      <c r="D2558" t="inlineStr">
        <is>
          <t>PARAMU COMERCIO E REPRESENTACAO DE PRODUTOS ALIMENTICIOS</t>
        </is>
      </c>
      <c r="E2558" t="n">
        <v>583.7</v>
      </c>
      <c r="F2558" s="27" t="n">
        <v>45726</v>
      </c>
      <c r="G2558" s="27" t="n">
        <v>45726</v>
      </c>
      <c r="H2558" s="27" t="n">
        <v>45726</v>
      </c>
      <c r="I2558" s="27" t="n">
        <v>45712</v>
      </c>
      <c r="J2558" s="27" t="n">
        <v>45716</v>
      </c>
      <c r="K2558" t="inlineStr">
        <is>
          <t>Boleto Bancário</t>
        </is>
      </c>
      <c r="L2558" t="inlineStr">
        <is>
          <t>Custo Mercadoria Vendida</t>
        </is>
      </c>
      <c r="M2558" t="inlineStr">
        <is>
          <t>Insumos - Alimentos</t>
        </is>
      </c>
      <c r="N2558" t="inlineStr">
        <is>
          <t>12897</t>
        </is>
      </c>
      <c r="O2558" t="inlineStr">
        <is>
          <t>Documentação Aprovada</t>
        </is>
      </c>
      <c r="P2558" t="inlineStr">
        <is>
          <t>Aprovado Diretoria</t>
        </is>
      </c>
      <c r="Q2558" t="inlineStr">
        <is>
          <t>Aprovado Caixa</t>
        </is>
      </c>
      <c r="R2558" t="inlineStr">
        <is>
          <t>Pago</t>
        </is>
      </c>
      <c r="S2558" t="n">
        <v>115</v>
      </c>
      <c r="T2558" t="inlineStr">
        <is>
          <t>Love - Shibari - Bradesco</t>
        </is>
      </c>
    </row>
    <row r="2559">
      <c r="A2559" t="n">
        <v>115129</v>
      </c>
      <c r="B2559" t="n">
        <v>128</v>
      </c>
      <c r="C2559" t="inlineStr">
        <is>
          <t>Love Cabaret</t>
        </is>
      </c>
      <c r="D2559" t="inlineStr">
        <is>
          <t>HNK BR IND DE BEBIDAS</t>
        </is>
      </c>
      <c r="E2559" t="n">
        <v>338.04</v>
      </c>
      <c r="F2559" s="27" t="n">
        <v>45728</v>
      </c>
      <c r="G2559" s="27" t="n">
        <v>45726</v>
      </c>
      <c r="H2559" s="27" t="n">
        <v>45726</v>
      </c>
      <c r="I2559" s="27" t="n">
        <v>45714</v>
      </c>
      <c r="J2559" s="27" t="n">
        <v>45718</v>
      </c>
      <c r="K2559" t="inlineStr">
        <is>
          <t>Boleto Bancário</t>
        </is>
      </c>
      <c r="L2559" t="inlineStr">
        <is>
          <t>Custo Mercadoria Vendida</t>
        </is>
      </c>
      <c r="M2559" t="inlineStr">
        <is>
          <t>Insumos - Bebidas</t>
        </is>
      </c>
      <c r="N2559" t="inlineStr">
        <is>
          <t>203470</t>
        </is>
      </c>
      <c r="O2559" t="inlineStr">
        <is>
          <t>Documentação Aprovada</t>
        </is>
      </c>
      <c r="P2559" t="inlineStr">
        <is>
          <t>Aprovado Diretoria</t>
        </is>
      </c>
      <c r="Q2559" t="inlineStr">
        <is>
          <t>Aprovado Caixa</t>
        </is>
      </c>
      <c r="R2559" t="inlineStr">
        <is>
          <t>Pago</t>
        </is>
      </c>
      <c r="S2559" t="n">
        <v>115</v>
      </c>
      <c r="T2559" t="inlineStr">
        <is>
          <t>Love - Shibari - Bradesco</t>
        </is>
      </c>
    </row>
    <row r="2560">
      <c r="A2560" t="n">
        <v>114780</v>
      </c>
      <c r="B2560" t="n">
        <v>128</v>
      </c>
      <c r="C2560" t="inlineStr">
        <is>
          <t>Love Cabaret</t>
        </is>
      </c>
      <c r="D2560" t="inlineStr">
        <is>
          <t xml:space="preserve">FORTE ALIMENTOS COM. IMPORTAÇÃO LTDA </t>
        </is>
      </c>
      <c r="E2560" t="n">
        <v>96.16</v>
      </c>
      <c r="F2560" s="27" t="n">
        <v>45727</v>
      </c>
      <c r="G2560" s="27" t="n">
        <v>45726</v>
      </c>
      <c r="H2560" s="27" t="n">
        <v>45726</v>
      </c>
      <c r="I2560" s="27" t="n">
        <v>45712</v>
      </c>
      <c r="J2560" s="27" t="n">
        <v>45716</v>
      </c>
      <c r="K2560" t="inlineStr">
        <is>
          <t>Boleto Bancário</t>
        </is>
      </c>
      <c r="L2560" t="inlineStr">
        <is>
          <t>Custo Mercadoria Vendida</t>
        </is>
      </c>
      <c r="M2560" t="inlineStr">
        <is>
          <t>Insumos - Alimentos</t>
        </is>
      </c>
      <c r="N2560" t="inlineStr">
        <is>
          <t>299411</t>
        </is>
      </c>
      <c r="O2560" t="inlineStr">
        <is>
          <t>Documentação Aprovada</t>
        </is>
      </c>
      <c r="P2560" t="inlineStr">
        <is>
          <t>Aprovado Diretoria</t>
        </is>
      </c>
      <c r="Q2560" t="inlineStr">
        <is>
          <t>Aprovado Caixa</t>
        </is>
      </c>
      <c r="R2560" t="inlineStr">
        <is>
          <t>Pago</t>
        </is>
      </c>
      <c r="S2560" t="n">
        <v>115</v>
      </c>
      <c r="T2560" t="inlineStr">
        <is>
          <t>Love - Shibari - Bradesco</t>
        </is>
      </c>
    </row>
    <row r="2561">
      <c r="A2561" t="n">
        <v>115419</v>
      </c>
      <c r="B2561" t="n">
        <v>128</v>
      </c>
      <c r="C2561" t="inlineStr">
        <is>
          <t>Love Cabaret</t>
        </is>
      </c>
      <c r="D2561" t="inlineStr">
        <is>
          <t>PJ 00422023 LARISSA ROSA DE SOUZA</t>
        </is>
      </c>
      <c r="E2561" t="n">
        <v>2412</v>
      </c>
      <c r="F2561" s="27" t="n">
        <v>45728</v>
      </c>
      <c r="G2561" s="27" t="n">
        <v>45726</v>
      </c>
      <c r="H2561" s="27" t="n">
        <v>45726</v>
      </c>
      <c r="I2561" s="27" t="n">
        <v>45689</v>
      </c>
      <c r="J2561" s="27" t="n">
        <v>45721</v>
      </c>
      <c r="K2561" t="inlineStr">
        <is>
          <t>Transferência Bancária ou Pix</t>
        </is>
      </c>
      <c r="L2561" t="inlineStr">
        <is>
          <t>Mão de Obra - PJ</t>
        </is>
      </c>
      <c r="M2561" t="inlineStr">
        <is>
          <t>MDO PJ Fixo</t>
        </is>
      </c>
      <c r="N2561" t="inlineStr">
        <is>
          <t>57</t>
        </is>
      </c>
      <c r="O2561" t="inlineStr">
        <is>
          <t>Documentação Aprovada</t>
        </is>
      </c>
      <c r="P2561" t="inlineStr">
        <is>
          <t>Aprovado Diretoria</t>
        </is>
      </c>
      <c r="Q2561" t="inlineStr">
        <is>
          <t>Aprovado Caixa</t>
        </is>
      </c>
      <c r="R2561" t="inlineStr">
        <is>
          <t>Pago</t>
        </is>
      </c>
      <c r="S2561" t="n">
        <v>115</v>
      </c>
      <c r="T2561" t="inlineStr">
        <is>
          <t>Love - Shibari - Bradesco</t>
        </is>
      </c>
    </row>
    <row r="2562">
      <c r="A2562" t="n">
        <v>115126</v>
      </c>
      <c r="B2562" t="n">
        <v>128</v>
      </c>
      <c r="C2562" t="inlineStr">
        <is>
          <t>Love Cabaret</t>
        </is>
      </c>
      <c r="D2562" t="inlineStr">
        <is>
          <t xml:space="preserve">SKY COMERCIO DE PRODUTOS ALIMENTICIOS LTDA </t>
        </is>
      </c>
      <c r="E2562" t="n">
        <v>1468.08</v>
      </c>
      <c r="F2562" s="27" t="n">
        <v>45726</v>
      </c>
      <c r="G2562" s="27" t="n">
        <v>45726</v>
      </c>
      <c r="H2562" s="27" t="n">
        <v>45726</v>
      </c>
      <c r="I2562" s="27" t="n">
        <v>45712</v>
      </c>
      <c r="J2562" s="27" t="n">
        <v>45718</v>
      </c>
      <c r="K2562" t="inlineStr">
        <is>
          <t>Boleto Bancário</t>
        </is>
      </c>
      <c r="L2562" t="inlineStr">
        <is>
          <t>Custo Mercadoria Vendida</t>
        </is>
      </c>
      <c r="M2562" t="inlineStr">
        <is>
          <t>Insumos - Bebidas</t>
        </is>
      </c>
      <c r="N2562" t="inlineStr">
        <is>
          <t>25279</t>
        </is>
      </c>
      <c r="O2562" t="inlineStr">
        <is>
          <t>Documentação Aprovada</t>
        </is>
      </c>
      <c r="P2562" t="inlineStr">
        <is>
          <t>Aprovado Diretoria</t>
        </is>
      </c>
      <c r="Q2562" t="inlineStr">
        <is>
          <t>Aprovado Caixa</t>
        </is>
      </c>
      <c r="R2562" t="inlineStr">
        <is>
          <t>Pago</t>
        </is>
      </c>
      <c r="S2562" t="n">
        <v>115</v>
      </c>
      <c r="T2562" t="inlineStr">
        <is>
          <t>Love - Shibari - Bradesco</t>
        </is>
      </c>
    </row>
    <row r="2563">
      <c r="A2563" t="n">
        <v>114744</v>
      </c>
      <c r="B2563" t="n">
        <v>128</v>
      </c>
      <c r="C2563" t="inlineStr">
        <is>
          <t>Love Cabaret</t>
        </is>
      </c>
      <c r="D2563" t="inlineStr">
        <is>
          <t xml:space="preserve">FORTE ALIMENTOS COM. IMPORTAÇÃO LTDA </t>
        </is>
      </c>
      <c r="E2563" t="n">
        <v>303.28</v>
      </c>
      <c r="F2563" s="27" t="n">
        <v>45727</v>
      </c>
      <c r="G2563" s="27" t="n">
        <v>45726</v>
      </c>
      <c r="H2563" s="27" t="n">
        <v>45726</v>
      </c>
      <c r="I2563" s="27" t="n">
        <v>45712</v>
      </c>
      <c r="J2563" s="27" t="n">
        <v>45716</v>
      </c>
      <c r="K2563" t="inlineStr">
        <is>
          <t>Boleto Bancário</t>
        </is>
      </c>
      <c r="L2563" t="inlineStr">
        <is>
          <t>Custo Mercadoria Vendida</t>
        </is>
      </c>
      <c r="M2563" t="inlineStr">
        <is>
          <t>Insumos - Alimentos</t>
        </is>
      </c>
      <c r="N2563" t="inlineStr">
        <is>
          <t>299410</t>
        </is>
      </c>
      <c r="O2563" t="inlineStr">
        <is>
          <t>Documentação Aprovada</t>
        </is>
      </c>
      <c r="P2563" t="inlineStr">
        <is>
          <t>Aprovado Diretoria</t>
        </is>
      </c>
      <c r="Q2563" t="inlineStr">
        <is>
          <t>Aprovado Caixa</t>
        </is>
      </c>
      <c r="R2563" t="inlineStr">
        <is>
          <t>Pago</t>
        </is>
      </c>
      <c r="S2563" t="n">
        <v>115</v>
      </c>
      <c r="T2563" t="inlineStr">
        <is>
          <t>Love - Shibari - Bradesco</t>
        </is>
      </c>
    </row>
    <row r="2564">
      <c r="A2564" t="n">
        <v>116788</v>
      </c>
      <c r="B2564" t="n">
        <v>128</v>
      </c>
      <c r="C2564" t="inlineStr">
        <is>
          <t>Love Cabaret</t>
        </is>
      </c>
      <c r="D2564" t="inlineStr">
        <is>
          <t>HNK BR IND DE BEBIDAS</t>
        </is>
      </c>
      <c r="E2564" t="n">
        <v>338.04</v>
      </c>
      <c r="F2564" s="27" t="n">
        <v>45728</v>
      </c>
      <c r="G2564" s="27" t="n">
        <v>45727</v>
      </c>
      <c r="H2564" s="27" t="n">
        <v>45726</v>
      </c>
      <c r="I2564" s="27" t="n">
        <v>45713</v>
      </c>
      <c r="J2564" s="27" t="n">
        <v>45727</v>
      </c>
      <c r="K2564" t="inlineStr">
        <is>
          <t>Boleto Bancário</t>
        </is>
      </c>
      <c r="L2564" t="inlineStr">
        <is>
          <t>Custo Mercadoria Vendida</t>
        </is>
      </c>
      <c r="M2564" t="inlineStr">
        <is>
          <t>Insumos - Bebidas</t>
        </is>
      </c>
      <c r="N2564" t="inlineStr">
        <is>
          <t>203470</t>
        </is>
      </c>
      <c r="O2564" t="inlineStr">
        <is>
          <t>Documentação Aprovada</t>
        </is>
      </c>
      <c r="P2564" t="inlineStr">
        <is>
          <t>Aprovado Diretoria</t>
        </is>
      </c>
      <c r="Q2564" t="inlineStr">
        <is>
          <t>Aprovado Caixa</t>
        </is>
      </c>
      <c r="R2564" t="inlineStr">
        <is>
          <t>Pago</t>
        </is>
      </c>
      <c r="S2564" t="n">
        <v>115</v>
      </c>
      <c r="T2564" t="inlineStr">
        <is>
          <t>Love - Shibari - Bradesco</t>
        </is>
      </c>
    </row>
    <row r="2565">
      <c r="A2565" t="n">
        <v>96921</v>
      </c>
      <c r="B2565" t="n">
        <v>128</v>
      </c>
      <c r="C2565" t="inlineStr">
        <is>
          <t>Love Cabaret</t>
        </is>
      </c>
      <c r="D2565" t="inlineStr">
        <is>
          <t>CICLO PARTICIPACOES LTDA</t>
        </is>
      </c>
      <c r="E2565" t="n">
        <v>31634.64</v>
      </c>
      <c r="F2565" s="27" t="n">
        <v>45726</v>
      </c>
      <c r="G2565" s="27" t="n">
        <v>45726</v>
      </c>
      <c r="H2565" s="27" t="n">
        <v>45726</v>
      </c>
      <c r="I2565" s="27" t="n">
        <v>45708</v>
      </c>
      <c r="J2565" s="27" t="n"/>
      <c r="K2565" t="inlineStr">
        <is>
          <t>Boleto Bancário</t>
        </is>
      </c>
      <c r="L2565" t="inlineStr">
        <is>
          <t>Custo de Ocupação</t>
        </is>
      </c>
      <c r="M2565" t="inlineStr">
        <is>
          <t>Aluguel de Imoveis</t>
        </is>
      </c>
      <c r="N2565" t="inlineStr">
        <is>
          <t>524698284</t>
        </is>
      </c>
      <c r="O2565" t="inlineStr">
        <is>
          <t>Documentação Aprovada</t>
        </is>
      </c>
      <c r="P2565" t="inlineStr">
        <is>
          <t>Aprovado Diretoria</t>
        </is>
      </c>
      <c r="Q2565" t="inlineStr">
        <is>
          <t>Aprovado Caixa</t>
        </is>
      </c>
      <c r="R2565" t="inlineStr">
        <is>
          <t>Pago</t>
        </is>
      </c>
      <c r="S2565" t="n">
        <v>115</v>
      </c>
      <c r="T2565" t="inlineStr">
        <is>
          <t>Love - Shibari - Bradesco</t>
        </is>
      </c>
    </row>
    <row r="2566">
      <c r="A2566" t="n">
        <v>97000</v>
      </c>
      <c r="B2566" t="n">
        <v>128</v>
      </c>
      <c r="C2566" t="inlineStr">
        <is>
          <t>Love Cabaret</t>
        </is>
      </c>
      <c r="D2566" t="inlineStr">
        <is>
          <t>ESHOWS PROMOCOES ARTISTICAS LTDA</t>
        </is>
      </c>
      <c r="E2566" t="n">
        <v>18770</v>
      </c>
      <c r="F2566" s="27" t="n">
        <v>45721</v>
      </c>
      <c r="G2566" s="27" t="n">
        <v>45726</v>
      </c>
      <c r="H2566" s="27" t="n">
        <v>45726</v>
      </c>
      <c r="I2566" s="27" t="n">
        <v>45701</v>
      </c>
      <c r="J2566" s="27" t="n"/>
      <c r="K2566" t="inlineStr">
        <is>
          <t>Boleto Bancário</t>
        </is>
      </c>
      <c r="L2566" t="inlineStr">
        <is>
          <t>Custos Artístico Geral</t>
        </is>
      </c>
      <c r="M2566" t="inlineStr">
        <is>
          <t>Cachê de Músicos e Artistas</t>
        </is>
      </c>
      <c r="N2566" t="inlineStr">
        <is>
          <t>530245568</t>
        </is>
      </c>
      <c r="O2566" t="inlineStr">
        <is>
          <t>Documentação Aprovada</t>
        </is>
      </c>
      <c r="P2566" t="inlineStr">
        <is>
          <t>Aprovado Diretoria</t>
        </is>
      </c>
      <c r="Q2566" t="inlineStr">
        <is>
          <t>Aprovado Caixa</t>
        </is>
      </c>
      <c r="R2566" t="inlineStr">
        <is>
          <t>Pago</t>
        </is>
      </c>
      <c r="S2566" t="n">
        <v>115</v>
      </c>
      <c r="T2566" t="inlineStr">
        <is>
          <t>Love - Shibari - Bradesco</t>
        </is>
      </c>
    </row>
    <row r="2567">
      <c r="A2567" t="n">
        <v>96971</v>
      </c>
      <c r="B2567" t="n">
        <v>128</v>
      </c>
      <c r="C2567" t="inlineStr">
        <is>
          <t>Love Cabaret</t>
        </is>
      </c>
      <c r="D2567" t="inlineStr">
        <is>
          <t xml:space="preserve">DIVIFY OPERACAO DE PLATAFORMA ELETRONICA LTDA </t>
        </is>
      </c>
      <c r="E2567" t="n">
        <v>1000</v>
      </c>
      <c r="F2567" s="27" t="n">
        <v>45726</v>
      </c>
      <c r="G2567" s="27" t="n">
        <v>45726</v>
      </c>
      <c r="H2567" s="27" t="n">
        <v>45726</v>
      </c>
      <c r="I2567" s="27" t="n">
        <v>45708</v>
      </c>
      <c r="J2567" s="27" t="n"/>
      <c r="K2567" t="inlineStr">
        <is>
          <t>Boleto Bancário</t>
        </is>
      </c>
      <c r="L2567" t="inlineStr">
        <is>
          <t>Serviços de Terceiros</t>
        </is>
      </c>
      <c r="M2567" t="inlineStr">
        <is>
          <t>Assessoria em Geral</t>
        </is>
      </c>
      <c r="N2567" t="inlineStr">
        <is>
          <t>221</t>
        </is>
      </c>
      <c r="O2567" t="inlineStr">
        <is>
          <t>Documentação Aprovada</t>
        </is>
      </c>
      <c r="P2567" t="inlineStr">
        <is>
          <t>Aprovado Diretoria</t>
        </is>
      </c>
      <c r="Q2567" t="inlineStr">
        <is>
          <t>Aprovado Caixa</t>
        </is>
      </c>
      <c r="R2567" t="inlineStr">
        <is>
          <t>Pago</t>
        </is>
      </c>
      <c r="S2567" t="n">
        <v>115</v>
      </c>
      <c r="T2567" t="inlineStr">
        <is>
          <t>Love - Shibari - Bradesco</t>
        </is>
      </c>
    </row>
    <row r="2568">
      <c r="A2568" t="n">
        <v>104318</v>
      </c>
      <c r="B2568" t="n">
        <v>128</v>
      </c>
      <c r="C2568" t="inlineStr">
        <is>
          <t>Love Cabaret</t>
        </is>
      </c>
      <c r="D2568" t="inlineStr">
        <is>
          <t>CICLO PARTICIPACOES LTDA</t>
        </is>
      </c>
      <c r="E2568" t="n">
        <v>5906.28</v>
      </c>
      <c r="F2568" s="27" t="n">
        <v>45726</v>
      </c>
      <c r="G2568" s="27" t="n">
        <v>45726</v>
      </c>
      <c r="H2568" s="27" t="n">
        <v>45726</v>
      </c>
      <c r="I2568" s="27" t="n">
        <v>45703</v>
      </c>
      <c r="J2568" s="27" t="n"/>
      <c r="K2568" t="inlineStr">
        <is>
          <t>Boleto Bancário</t>
        </is>
      </c>
      <c r="L2568" t="inlineStr">
        <is>
          <t>Custo de Ocupação</t>
        </is>
      </c>
      <c r="M2568" t="inlineStr">
        <is>
          <t>IPTU</t>
        </is>
      </c>
      <c r="N2568" t="inlineStr">
        <is>
          <t>022025</t>
        </is>
      </c>
      <c r="O2568" t="inlineStr">
        <is>
          <t>Documentação Aprovada</t>
        </is>
      </c>
      <c r="P2568" t="inlineStr">
        <is>
          <t>Aprovado Diretoria</t>
        </is>
      </c>
      <c r="Q2568" t="inlineStr">
        <is>
          <t>Aprovado Caixa</t>
        </is>
      </c>
      <c r="R2568" t="inlineStr">
        <is>
          <t>Pago</t>
        </is>
      </c>
      <c r="S2568" t="n">
        <v>115</v>
      </c>
      <c r="T2568" t="inlineStr">
        <is>
          <t>Love - Shibari - Bradesco</t>
        </is>
      </c>
    </row>
    <row r="2569">
      <c r="A2569" t="n">
        <v>116772</v>
      </c>
      <c r="B2569" t="n">
        <v>128</v>
      </c>
      <c r="C2569" t="inlineStr">
        <is>
          <t>Love Cabaret</t>
        </is>
      </c>
      <c r="D2569" t="inlineStr">
        <is>
          <t>BRADESCO SA</t>
        </is>
      </c>
      <c r="E2569" t="n">
        <v>5.95</v>
      </c>
      <c r="F2569" s="27" t="n">
        <v>45723</v>
      </c>
      <c r="G2569" s="27" t="n"/>
      <c r="H2569" s="27" t="n">
        <v>45723</v>
      </c>
      <c r="I2569" s="27" t="n">
        <v>45723</v>
      </c>
      <c r="J2569" s="27" t="n">
        <v>45727</v>
      </c>
      <c r="K2569" t="inlineStr">
        <is>
          <t>Encontro de Contas</t>
        </is>
      </c>
      <c r="L2569" t="inlineStr">
        <is>
          <t>Despesas Financeiras</t>
        </is>
      </c>
      <c r="M2569" t="inlineStr">
        <is>
          <t>Tarifas Bancárias</t>
        </is>
      </c>
      <c r="N2569" t="inlineStr">
        <is>
          <t>032025</t>
        </is>
      </c>
      <c r="P2569" t="inlineStr">
        <is>
          <t>Aprovado Diretoria</t>
        </is>
      </c>
      <c r="R2569" t="inlineStr">
        <is>
          <t>Pago</t>
        </is>
      </c>
    </row>
    <row r="2570">
      <c r="A2570" t="n">
        <v>116467</v>
      </c>
      <c r="B2570" t="n">
        <v>128</v>
      </c>
      <c r="C2570" t="inlineStr">
        <is>
          <t>Love Cabaret</t>
        </is>
      </c>
      <c r="D2570" t="inlineStr">
        <is>
          <t>BRADESCO SA</t>
        </is>
      </c>
      <c r="E2570" t="n">
        <v>48.18</v>
      </c>
      <c r="F2570" s="27" t="n">
        <v>45722</v>
      </c>
      <c r="G2570" s="27" t="n"/>
      <c r="H2570" s="27" t="n">
        <v>45722</v>
      </c>
      <c r="I2570" s="27" t="n">
        <v>45722</v>
      </c>
      <c r="J2570" s="27" t="n">
        <v>45723</v>
      </c>
      <c r="K2570" t="inlineStr">
        <is>
          <t>Encontro de Contas</t>
        </is>
      </c>
      <c r="L2570" t="inlineStr">
        <is>
          <t>Despesas Financeiras</t>
        </is>
      </c>
      <c r="M2570" t="inlineStr">
        <is>
          <t>Tarifas Bancárias</t>
        </is>
      </c>
      <c r="N2570" t="inlineStr">
        <is>
          <t>032025</t>
        </is>
      </c>
      <c r="P2570" t="inlineStr">
        <is>
          <t>Aprovado Diretoria</t>
        </is>
      </c>
      <c r="R2570" t="inlineStr">
        <is>
          <t>Pago</t>
        </is>
      </c>
    </row>
    <row r="2571">
      <c r="A2571" t="n">
        <v>115962</v>
      </c>
      <c r="B2571" t="n">
        <v>128</v>
      </c>
      <c r="C2571" t="inlineStr">
        <is>
          <t>Love Cabaret</t>
        </is>
      </c>
      <c r="D2571" t="inlineStr">
        <is>
          <t>CAROLINE FERREIRA DA SILVA</t>
        </is>
      </c>
      <c r="E2571" t="n">
        <v>2260.51</v>
      </c>
      <c r="F2571" s="27" t="n">
        <v>45722</v>
      </c>
      <c r="G2571" s="27" t="n">
        <v>45722</v>
      </c>
      <c r="H2571" s="27" t="n">
        <v>45722</v>
      </c>
      <c r="I2571" s="27" t="n">
        <v>45716</v>
      </c>
      <c r="J2571" s="27" t="n"/>
      <c r="K2571" t="inlineStr">
        <is>
          <t>Transferência Bancária ou Pix</t>
        </is>
      </c>
      <c r="L2571" t="inlineStr">
        <is>
          <t>Mão de Obra - Salários</t>
        </is>
      </c>
      <c r="M2571" t="inlineStr">
        <is>
          <t>MDO CLT - Salário</t>
        </is>
      </c>
      <c r="N2571" t="inlineStr">
        <is>
          <t>022025</t>
        </is>
      </c>
      <c r="O2571" t="inlineStr">
        <is>
          <t>Documentação Aprovada</t>
        </is>
      </c>
      <c r="P2571" t="inlineStr">
        <is>
          <t>Aprovado Diretoria</t>
        </is>
      </c>
      <c r="Q2571" t="inlineStr">
        <is>
          <t>Aprovado Caixa</t>
        </is>
      </c>
      <c r="R2571" t="inlineStr">
        <is>
          <t>Pago</t>
        </is>
      </c>
      <c r="S2571" t="n">
        <v>115</v>
      </c>
      <c r="T2571" t="inlineStr">
        <is>
          <t>Love - Shibari - Bradesco</t>
        </is>
      </c>
    </row>
    <row r="2572">
      <c r="A2572" t="n">
        <v>116082</v>
      </c>
      <c r="B2572" t="n">
        <v>128</v>
      </c>
      <c r="C2572" t="inlineStr">
        <is>
          <t>Love Cabaret</t>
        </is>
      </c>
      <c r="D2572" t="inlineStr">
        <is>
          <t xml:space="preserve">MINISTERIO DA FAZENDA </t>
        </is>
      </c>
      <c r="E2572" t="n">
        <v>19916.6</v>
      </c>
      <c r="F2572" s="27" t="n">
        <v>45723</v>
      </c>
      <c r="G2572" s="27" t="n">
        <v>45722</v>
      </c>
      <c r="H2572" s="27" t="n">
        <v>45722</v>
      </c>
      <c r="I2572" s="27" t="n">
        <v>45722</v>
      </c>
      <c r="J2572" s="27" t="n"/>
      <c r="K2572" t="inlineStr">
        <is>
          <t>Boleto Bancário</t>
        </is>
      </c>
      <c r="L2572" t="inlineStr">
        <is>
          <t>Endividamento</t>
        </is>
      </c>
      <c r="M2572" t="inlineStr">
        <is>
          <t>Endividamento Geral</t>
        </is>
      </c>
      <c r="N2572" t="inlineStr">
        <is>
          <t>1/60</t>
        </is>
      </c>
      <c r="O2572" t="inlineStr">
        <is>
          <t>Documentação Aprovada</t>
        </is>
      </c>
      <c r="P2572" t="inlineStr">
        <is>
          <t>Aprovado Diretoria</t>
        </is>
      </c>
      <c r="Q2572" t="inlineStr">
        <is>
          <t>Aprovado Caixa</t>
        </is>
      </c>
      <c r="R2572" t="inlineStr">
        <is>
          <t>Pago</t>
        </is>
      </c>
      <c r="S2572" t="n">
        <v>115</v>
      </c>
      <c r="T2572" t="inlineStr">
        <is>
          <t>Love - Shibari - Bradesco</t>
        </is>
      </c>
    </row>
    <row r="2573">
      <c r="A2573" t="n">
        <v>115963</v>
      </c>
      <c r="B2573" t="n">
        <v>128</v>
      </c>
      <c r="C2573" t="inlineStr">
        <is>
          <t>Love Cabaret</t>
        </is>
      </c>
      <c r="D2573" t="inlineStr">
        <is>
          <t>PEDRO THOMAZ RODRIGUES</t>
        </is>
      </c>
      <c r="E2573" t="n">
        <v>2205.12</v>
      </c>
      <c r="F2573" s="27" t="n">
        <v>45722</v>
      </c>
      <c r="G2573" s="27" t="n">
        <v>45722</v>
      </c>
      <c r="H2573" s="27" t="n">
        <v>45722</v>
      </c>
      <c r="I2573" s="27" t="n">
        <v>45716</v>
      </c>
      <c r="J2573" s="27" t="n"/>
      <c r="K2573" t="inlineStr">
        <is>
          <t>Transferência Bancária ou Pix</t>
        </is>
      </c>
      <c r="L2573" t="inlineStr">
        <is>
          <t>Mão de Obra - Salários</t>
        </is>
      </c>
      <c r="M2573" t="inlineStr">
        <is>
          <t>MDO CLT - Salário</t>
        </is>
      </c>
      <c r="N2573" t="inlineStr">
        <is>
          <t>022025</t>
        </is>
      </c>
      <c r="O2573" t="inlineStr">
        <is>
          <t>Documentação Aprovada</t>
        </is>
      </c>
      <c r="P2573" t="inlineStr">
        <is>
          <t>Aprovado Diretoria</t>
        </is>
      </c>
      <c r="Q2573" t="inlineStr">
        <is>
          <t>Aprovado Caixa</t>
        </is>
      </c>
      <c r="R2573" t="inlineStr">
        <is>
          <t>Pago</t>
        </is>
      </c>
      <c r="S2573" t="n">
        <v>115</v>
      </c>
      <c r="T2573" t="inlineStr">
        <is>
          <t>Love - Shibari - Bradesco</t>
        </is>
      </c>
    </row>
    <row r="2574">
      <c r="A2574" t="n">
        <v>114172</v>
      </c>
      <c r="B2574" t="n">
        <v>128</v>
      </c>
      <c r="C2574" t="inlineStr">
        <is>
          <t>Love Cabaret</t>
        </is>
      </c>
      <c r="D2574" t="inlineStr">
        <is>
          <t>RAIANE NATÁLIA DE SOUZA</t>
        </is>
      </c>
      <c r="E2574" t="n">
        <v>425</v>
      </c>
      <c r="F2574" s="27" t="n">
        <v>45727</v>
      </c>
      <c r="G2574" s="27" t="n">
        <v>45721</v>
      </c>
      <c r="H2574" s="27" t="n">
        <v>45721</v>
      </c>
      <c r="I2574" s="27" t="n">
        <v>45712</v>
      </c>
      <c r="J2574" s="27" t="n">
        <v>45714</v>
      </c>
      <c r="K2574" t="inlineStr">
        <is>
          <t>Transferência Bancária ou Pix</t>
        </is>
      </c>
      <c r="L2574" t="inlineStr">
        <is>
          <t>Custos Artístico Geral</t>
        </is>
      </c>
      <c r="M2574" t="inlineStr">
        <is>
          <t>Cachê de Músicos e Artistas</t>
        </is>
      </c>
      <c r="N2574" t="inlineStr">
        <is>
          <t>262025</t>
        </is>
      </c>
      <c r="O2574" t="inlineStr">
        <is>
          <t>Documentação Aprovada</t>
        </is>
      </c>
      <c r="P2574" t="inlineStr">
        <is>
          <t>Aprovado Diretoria</t>
        </is>
      </c>
      <c r="Q2574" t="inlineStr">
        <is>
          <t>Aprovado Caixa</t>
        </is>
      </c>
      <c r="R2574" t="inlineStr">
        <is>
          <t>Pago</t>
        </is>
      </c>
      <c r="S2574" t="n">
        <v>115</v>
      </c>
      <c r="T2574" t="inlineStr">
        <is>
          <t>Love - Shibari - Bradesco</t>
        </is>
      </c>
    </row>
    <row r="2575">
      <c r="A2575" t="n">
        <v>103042</v>
      </c>
      <c r="B2575" t="n">
        <v>128</v>
      </c>
      <c r="C2575" t="inlineStr">
        <is>
          <t>Love Cabaret</t>
        </is>
      </c>
      <c r="D2575" t="inlineStr">
        <is>
          <t>VERISURE BRASIL MONITORAMENTO DE ALARMES S.A</t>
        </is>
      </c>
      <c r="E2575" t="n">
        <v>263.78</v>
      </c>
      <c r="F2575" s="27" t="n">
        <v>45721</v>
      </c>
      <c r="G2575" s="27" t="n">
        <v>45721</v>
      </c>
      <c r="H2575" s="27" t="n">
        <v>45721</v>
      </c>
      <c r="I2575" s="27" t="n">
        <v>45703</v>
      </c>
      <c r="J2575" s="27" t="n"/>
      <c r="K2575" t="inlineStr">
        <is>
          <t xml:space="preserve">Debito Automático </t>
        </is>
      </c>
      <c r="L2575" t="inlineStr">
        <is>
          <t>Informática e TI</t>
        </is>
      </c>
      <c r="M2575" t="inlineStr">
        <is>
          <t>Sistemas de Segurança e Alarme</t>
        </is>
      </c>
      <c r="N2575" t="inlineStr">
        <is>
          <t>RP029-2025</t>
        </is>
      </c>
      <c r="O2575" t="inlineStr">
        <is>
          <t>Documentação Aprovada</t>
        </is>
      </c>
      <c r="P2575" t="inlineStr">
        <is>
          <t>Aprovado Diretoria</t>
        </is>
      </c>
      <c r="Q2575" t="inlineStr">
        <is>
          <t>Aprovado Caixa</t>
        </is>
      </c>
      <c r="R2575" t="inlineStr">
        <is>
          <t>Pago</t>
        </is>
      </c>
      <c r="S2575" t="n">
        <v>115</v>
      </c>
      <c r="T2575" t="inlineStr">
        <is>
          <t>Love - Shibari - Bradesco</t>
        </is>
      </c>
    </row>
    <row r="2576">
      <c r="A2576" t="n">
        <v>97090</v>
      </c>
      <c r="B2576" t="n">
        <v>128</v>
      </c>
      <c r="C2576" t="inlineStr">
        <is>
          <t>Love Cabaret</t>
        </is>
      </c>
      <c r="D2576" t="inlineStr">
        <is>
          <t>ESTAFF SOLUCOES TECNOLOGICAS DE AGENCIAMENTO LTDA</t>
        </is>
      </c>
      <c r="E2576" t="n">
        <v>6754</v>
      </c>
      <c r="F2576" s="27" t="n">
        <v>45721</v>
      </c>
      <c r="G2576" s="27" t="n">
        <v>45721</v>
      </c>
      <c r="H2576" s="27" t="n">
        <v>45721</v>
      </c>
      <c r="I2576" s="27" t="n">
        <v>45712</v>
      </c>
      <c r="J2576" s="27" t="n"/>
      <c r="K2576" t="inlineStr">
        <is>
          <t>Boleto Bancário</t>
        </is>
      </c>
      <c r="L2576" t="inlineStr">
        <is>
          <t>Mão de Obra - Extra</t>
        </is>
      </c>
      <c r="M2576" t="inlineStr">
        <is>
          <t>Mão de Obra Extra</t>
        </is>
      </c>
      <c r="N2576" t="inlineStr">
        <is>
          <t>528427437</t>
        </is>
      </c>
      <c r="O2576" t="inlineStr">
        <is>
          <t>Documentação Aprovada</t>
        </is>
      </c>
      <c r="P2576" t="inlineStr">
        <is>
          <t>Aprovado Diretoria</t>
        </is>
      </c>
      <c r="Q2576" t="inlineStr">
        <is>
          <t>Aprovado Caixa</t>
        </is>
      </c>
      <c r="R2576" t="inlineStr">
        <is>
          <t>Pago</t>
        </is>
      </c>
      <c r="S2576" t="n">
        <v>115</v>
      </c>
      <c r="T2576" t="inlineStr">
        <is>
          <t>Love - Shibari - Bradesco</t>
        </is>
      </c>
    </row>
    <row r="2577">
      <c r="A2577" t="n">
        <v>96856</v>
      </c>
      <c r="B2577" t="n">
        <v>128</v>
      </c>
      <c r="C2577" t="inlineStr">
        <is>
          <t>Love Cabaret</t>
        </is>
      </c>
      <c r="D2577" t="inlineStr">
        <is>
          <t>AGENCIA BIOMA PUBLICIDADE E EVENTOS LTDA - FACUNDO</t>
        </is>
      </c>
      <c r="E2577" t="n">
        <v>7000</v>
      </c>
      <c r="F2577" s="27" t="n">
        <v>45721</v>
      </c>
      <c r="G2577" s="27" t="n">
        <v>45716</v>
      </c>
      <c r="H2577" s="27" t="n">
        <v>45716</v>
      </c>
      <c r="I2577" s="27" t="n">
        <v>45708</v>
      </c>
      <c r="J2577" s="27" t="n"/>
      <c r="K2577" t="inlineStr">
        <is>
          <t>Transferência Bancária ou Pix</t>
        </is>
      </c>
      <c r="L2577" t="inlineStr">
        <is>
          <t>Marketing</t>
        </is>
      </c>
      <c r="M2577" t="inlineStr">
        <is>
          <t>Agência de Propaganda</t>
        </is>
      </c>
      <c r="N2577" t="inlineStr">
        <is>
          <t>293</t>
        </is>
      </c>
      <c r="O2577" t="inlineStr">
        <is>
          <t>Documentação Aprovada</t>
        </is>
      </c>
      <c r="P2577" t="inlineStr">
        <is>
          <t>Aprovado Diretoria</t>
        </is>
      </c>
      <c r="Q2577" t="inlineStr">
        <is>
          <t>Aprovado Caixa</t>
        </is>
      </c>
      <c r="R2577" t="inlineStr">
        <is>
          <t>Pago</t>
        </is>
      </c>
      <c r="S2577" t="n">
        <v>115</v>
      </c>
      <c r="T2577" t="inlineStr">
        <is>
          <t>Love - Shibari - Bradesco</t>
        </is>
      </c>
    </row>
    <row r="2578">
      <c r="A2578" t="n">
        <v>96819</v>
      </c>
      <c r="B2578" t="n">
        <v>128</v>
      </c>
      <c r="C2578" t="inlineStr">
        <is>
          <t>Love Cabaret</t>
        </is>
      </c>
      <c r="D2578" t="inlineStr">
        <is>
          <t xml:space="preserve">ANA CLAUDIA DA COSTA PINTO </t>
        </is>
      </c>
      <c r="E2578" t="n">
        <v>445</v>
      </c>
      <c r="F2578" s="27" t="n">
        <v>45725</v>
      </c>
      <c r="G2578" s="27" t="n">
        <v>45716</v>
      </c>
      <c r="H2578" s="27" t="n">
        <v>45716</v>
      </c>
      <c r="I2578" s="27" t="n">
        <v>45708</v>
      </c>
      <c r="J2578" s="27" t="n"/>
      <c r="K2578" t="inlineStr">
        <is>
          <t>Transferência Bancária ou Pix</t>
        </is>
      </c>
      <c r="L2578" t="inlineStr">
        <is>
          <t>Manutenção</t>
        </is>
      </c>
      <c r="M2578" t="inlineStr">
        <is>
          <t>Decoração/Paisagismo e Jardinagem</t>
        </is>
      </c>
      <c r="N2578" t="inlineStr">
        <is>
          <t>2280</t>
        </is>
      </c>
      <c r="O2578" t="inlineStr">
        <is>
          <t>Documentação Aprovada</t>
        </is>
      </c>
      <c r="P2578" t="inlineStr">
        <is>
          <t>Aprovado Diretoria</t>
        </is>
      </c>
      <c r="Q2578" t="inlineStr">
        <is>
          <t>Aprovado Caixa</t>
        </is>
      </c>
      <c r="R2578" t="inlineStr">
        <is>
          <t>Pago</t>
        </is>
      </c>
      <c r="S2578" t="n">
        <v>115</v>
      </c>
      <c r="T2578" t="inlineStr">
        <is>
          <t>Love - Shibari - Bradesco</t>
        </is>
      </c>
    </row>
    <row r="2579">
      <c r="A2579" t="n">
        <v>114613</v>
      </c>
      <c r="B2579" t="n">
        <v>128</v>
      </c>
      <c r="C2579" t="inlineStr">
        <is>
          <t>Love Cabaret</t>
        </is>
      </c>
      <c r="D2579" t="inlineStr">
        <is>
          <t>IVI MARGARETE MESQUITA RIDANO</t>
        </is>
      </c>
      <c r="E2579" t="n">
        <v>425</v>
      </c>
      <c r="F2579" s="27" t="n">
        <v>45716</v>
      </c>
      <c r="G2579" s="27" t="n">
        <v>45716</v>
      </c>
      <c r="H2579" s="27" t="n">
        <v>45716</v>
      </c>
      <c r="I2579" s="27" t="n">
        <v>45715</v>
      </c>
      <c r="J2579" s="27" t="n">
        <v>45716</v>
      </c>
      <c r="K2579" t="inlineStr">
        <is>
          <t>Transferência Bancária ou Pix</t>
        </is>
      </c>
      <c r="L2579" t="inlineStr">
        <is>
          <t>Custos Artístico Geral</t>
        </is>
      </c>
      <c r="M2579" t="inlineStr">
        <is>
          <t>Cachê de Músicos e Artistas</t>
        </is>
      </c>
      <c r="N2579" t="inlineStr">
        <is>
          <t>425 022025</t>
        </is>
      </c>
      <c r="O2579" t="inlineStr">
        <is>
          <t>Documentação Aprovada</t>
        </is>
      </c>
      <c r="P2579" t="inlineStr">
        <is>
          <t>Aprovado Diretoria</t>
        </is>
      </c>
      <c r="Q2579" t="inlineStr">
        <is>
          <t>Aprovado Caixa</t>
        </is>
      </c>
      <c r="R2579" t="inlineStr">
        <is>
          <t>Pago</t>
        </is>
      </c>
      <c r="S2579" t="n">
        <v>115</v>
      </c>
      <c r="T2579" t="inlineStr">
        <is>
          <t>Love - Shibari - Bradesco</t>
        </is>
      </c>
    </row>
    <row r="2580">
      <c r="A2580" t="n">
        <v>113821</v>
      </c>
      <c r="B2580" t="n">
        <v>128</v>
      </c>
      <c r="C2580" t="inlineStr">
        <is>
          <t>Love Cabaret</t>
        </is>
      </c>
      <c r="D2580" t="inlineStr">
        <is>
          <t>HNK BR IND DE BEBIDAS</t>
        </is>
      </c>
      <c r="E2580" t="n">
        <v>289.76</v>
      </c>
      <c r="F2580" s="27" t="n">
        <v>45721</v>
      </c>
      <c r="G2580" s="27" t="n">
        <v>45716</v>
      </c>
      <c r="H2580" s="27" t="n">
        <v>45716</v>
      </c>
      <c r="I2580" s="27" t="n">
        <v>45706</v>
      </c>
      <c r="J2580" s="27" t="n">
        <v>45714</v>
      </c>
      <c r="K2580" t="inlineStr">
        <is>
          <t>Boleto Bancário</t>
        </is>
      </c>
      <c r="L2580" t="inlineStr">
        <is>
          <t>Custo Mercadoria Vendida</t>
        </is>
      </c>
      <c r="M2580" t="inlineStr">
        <is>
          <t>Insumos - Bebidas</t>
        </is>
      </c>
      <c r="N2580" t="inlineStr">
        <is>
          <t>198382</t>
        </is>
      </c>
      <c r="O2580" t="inlineStr">
        <is>
          <t>Documentação Aprovada</t>
        </is>
      </c>
      <c r="P2580" t="inlineStr">
        <is>
          <t>Aprovado Diretoria</t>
        </is>
      </c>
      <c r="Q2580" t="inlineStr">
        <is>
          <t>Aprovado Caixa</t>
        </is>
      </c>
      <c r="R2580" t="inlineStr">
        <is>
          <t>Pago</t>
        </is>
      </c>
      <c r="S2580" t="n">
        <v>115</v>
      </c>
      <c r="T2580" t="inlineStr">
        <is>
          <t>Love - Shibari - Bradesco</t>
        </is>
      </c>
    </row>
    <row r="2581">
      <c r="A2581" t="n">
        <v>113820</v>
      </c>
      <c r="B2581" t="n">
        <v>128</v>
      </c>
      <c r="C2581" t="inlineStr">
        <is>
          <t>Love Cabaret</t>
        </is>
      </c>
      <c r="D2581" t="inlineStr">
        <is>
          <t xml:space="preserve">FABRICIO LUMINATO ADRIANO </t>
        </is>
      </c>
      <c r="E2581" t="n">
        <v>387</v>
      </c>
      <c r="F2581" s="27" t="n">
        <v>45719</v>
      </c>
      <c r="G2581" s="27" t="n">
        <v>45716</v>
      </c>
      <c r="H2581" s="27" t="n">
        <v>45716</v>
      </c>
      <c r="I2581" s="27" t="n">
        <v>45709</v>
      </c>
      <c r="J2581" s="27" t="n">
        <v>45714</v>
      </c>
      <c r="K2581" t="inlineStr">
        <is>
          <t>Boleto Bancário</t>
        </is>
      </c>
      <c r="L2581" t="inlineStr">
        <is>
          <t>Custo Mercadoria Vendida</t>
        </is>
      </c>
      <c r="M2581" t="inlineStr">
        <is>
          <t>Insumos - Alimentos</t>
        </is>
      </c>
      <c r="N2581" t="inlineStr">
        <is>
          <t>30</t>
        </is>
      </c>
      <c r="O2581" t="inlineStr">
        <is>
          <t>Documentação Aprovada</t>
        </is>
      </c>
      <c r="P2581" t="inlineStr">
        <is>
          <t>Aprovado Diretoria</t>
        </is>
      </c>
      <c r="Q2581" t="inlineStr">
        <is>
          <t>Aprovado Caixa</t>
        </is>
      </c>
      <c r="R2581" t="inlineStr">
        <is>
          <t>Pago</t>
        </is>
      </c>
      <c r="S2581" t="n">
        <v>115</v>
      </c>
      <c r="T2581" t="inlineStr">
        <is>
          <t>Love - Shibari - Bradesco</t>
        </is>
      </c>
    </row>
    <row r="2582">
      <c r="A2582" t="n">
        <v>114932</v>
      </c>
      <c r="B2582" t="n">
        <v>128</v>
      </c>
      <c r="C2582" t="inlineStr">
        <is>
          <t>Love Cabaret</t>
        </is>
      </c>
      <c r="D2582" t="inlineStr">
        <is>
          <t>PETTY CASH</t>
        </is>
      </c>
      <c r="E2582" t="n">
        <v>61.9</v>
      </c>
      <c r="F2582" s="27" t="n">
        <v>45716</v>
      </c>
      <c r="G2582" s="27" t="n">
        <v>45726</v>
      </c>
      <c r="H2582" s="27" t="n">
        <v>45716</v>
      </c>
      <c r="I2582" s="27" t="n">
        <v>45689</v>
      </c>
      <c r="J2582" s="27" t="n">
        <v>45716</v>
      </c>
      <c r="K2582" t="inlineStr">
        <is>
          <t>Dinheiro em Espécie</t>
        </is>
      </c>
      <c r="L2582" t="inlineStr">
        <is>
          <t>Utilidades</t>
        </is>
      </c>
      <c r="M2582" t="inlineStr">
        <is>
          <t>Utensilios</t>
        </is>
      </c>
      <c r="N2582" t="inlineStr">
        <is>
          <t>8PETTY022025</t>
        </is>
      </c>
      <c r="O2582" t="inlineStr">
        <is>
          <t>Documentação Aprovada</t>
        </is>
      </c>
      <c r="P2582" t="inlineStr">
        <is>
          <t>Aprovado Diretoria</t>
        </is>
      </c>
      <c r="Q2582" t="inlineStr">
        <is>
          <t>Aprovado Caixa</t>
        </is>
      </c>
      <c r="R2582" t="inlineStr">
        <is>
          <t>Pago</t>
        </is>
      </c>
      <c r="S2582" t="n">
        <v>120</v>
      </c>
      <c r="T2582" t="inlineStr">
        <is>
          <t>Love - Petty Cash</t>
        </is>
      </c>
    </row>
    <row r="2583">
      <c r="A2583" t="n">
        <v>115305</v>
      </c>
      <c r="B2583" t="n">
        <v>128</v>
      </c>
      <c r="C2583" t="inlineStr">
        <is>
          <t>Love Cabaret</t>
        </is>
      </c>
      <c r="D2583" t="inlineStr">
        <is>
          <t>BRADESCO SA</t>
        </is>
      </c>
      <c r="E2583" t="n">
        <v>14.1</v>
      </c>
      <c r="F2583" s="27" t="n">
        <v>45716</v>
      </c>
      <c r="G2583" s="27" t="n"/>
      <c r="H2583" s="27" t="n">
        <v>45716</v>
      </c>
      <c r="I2583" s="27" t="n">
        <v>45716</v>
      </c>
      <c r="J2583" s="27" t="n">
        <v>45719</v>
      </c>
      <c r="K2583" t="inlineStr">
        <is>
          <t>Encontro de Contas</t>
        </is>
      </c>
      <c r="L2583" t="inlineStr">
        <is>
          <t>Despesas Financeiras</t>
        </is>
      </c>
      <c r="M2583" t="inlineStr">
        <is>
          <t>Tarifas Bancárias</t>
        </is>
      </c>
      <c r="N2583" t="inlineStr">
        <is>
          <t>022025</t>
        </is>
      </c>
      <c r="P2583" t="inlineStr">
        <is>
          <t>Aprovado Diretoria</t>
        </is>
      </c>
      <c r="R2583" t="inlineStr">
        <is>
          <t>Pago</t>
        </is>
      </c>
    </row>
    <row r="2584">
      <c r="A2584" t="n">
        <v>114931</v>
      </c>
      <c r="B2584" t="n">
        <v>128</v>
      </c>
      <c r="C2584" t="inlineStr">
        <is>
          <t>Love Cabaret</t>
        </is>
      </c>
      <c r="D2584" t="inlineStr">
        <is>
          <t>PETTY CASH</t>
        </is>
      </c>
      <c r="E2584" t="n">
        <v>116.5</v>
      </c>
      <c r="F2584" s="27" t="n">
        <v>45716</v>
      </c>
      <c r="G2584" s="27" t="n">
        <v>45726</v>
      </c>
      <c r="H2584" s="27" t="n">
        <v>45716</v>
      </c>
      <c r="I2584" s="27" t="n">
        <v>45689</v>
      </c>
      <c r="J2584" s="27" t="n">
        <v>45716</v>
      </c>
      <c r="K2584" t="inlineStr">
        <is>
          <t>Dinheiro em Espécie</t>
        </is>
      </c>
      <c r="L2584" t="inlineStr">
        <is>
          <t>Utilidades</t>
        </is>
      </c>
      <c r="M2584" t="inlineStr">
        <is>
          <t>Serviços Graficos</t>
        </is>
      </c>
      <c r="N2584" t="inlineStr">
        <is>
          <t>7PETTY022025</t>
        </is>
      </c>
      <c r="O2584" t="inlineStr">
        <is>
          <t>Documentação Aprovada</t>
        </is>
      </c>
      <c r="P2584" t="inlineStr">
        <is>
          <t>Aprovado Diretoria</t>
        </is>
      </c>
      <c r="Q2584" t="inlineStr">
        <is>
          <t>Aprovado Caixa</t>
        </is>
      </c>
      <c r="R2584" t="inlineStr">
        <is>
          <t>Pago</t>
        </is>
      </c>
      <c r="S2584" t="n">
        <v>120</v>
      </c>
      <c r="T2584" t="inlineStr">
        <is>
          <t>Love - Petty Cash</t>
        </is>
      </c>
    </row>
    <row r="2585">
      <c r="A2585" t="n">
        <v>114930</v>
      </c>
      <c r="B2585" t="n">
        <v>128</v>
      </c>
      <c r="C2585" t="inlineStr">
        <is>
          <t>Love Cabaret</t>
        </is>
      </c>
      <c r="D2585" t="inlineStr">
        <is>
          <t>PETTY CASH</t>
        </is>
      </c>
      <c r="E2585" t="n">
        <v>35</v>
      </c>
      <c r="F2585" s="27" t="n">
        <v>45716</v>
      </c>
      <c r="G2585" s="27" t="n">
        <v>45726</v>
      </c>
      <c r="H2585" s="27" t="n">
        <v>45716</v>
      </c>
      <c r="I2585" s="27" t="n">
        <v>45689</v>
      </c>
      <c r="J2585" s="27" t="n">
        <v>45716</v>
      </c>
      <c r="K2585" t="inlineStr">
        <is>
          <t>Dinheiro em Espécie</t>
        </is>
      </c>
      <c r="L2585" t="inlineStr">
        <is>
          <t>Utilidades</t>
        </is>
      </c>
      <c r="M2585" t="inlineStr">
        <is>
          <t>Serviço de Lavanderia</t>
        </is>
      </c>
      <c r="N2585" t="inlineStr">
        <is>
          <t>6PETTY022025</t>
        </is>
      </c>
      <c r="O2585" t="inlineStr">
        <is>
          <t>Documentação Aprovada</t>
        </is>
      </c>
      <c r="P2585" t="inlineStr">
        <is>
          <t>Aprovado Diretoria</t>
        </is>
      </c>
      <c r="Q2585" t="inlineStr">
        <is>
          <t>Aprovado Caixa</t>
        </is>
      </c>
      <c r="R2585" t="inlineStr">
        <is>
          <t>Pago</t>
        </is>
      </c>
      <c r="S2585" t="n">
        <v>120</v>
      </c>
      <c r="T2585" t="inlineStr">
        <is>
          <t>Love - Petty Cash</t>
        </is>
      </c>
    </row>
    <row r="2586">
      <c r="A2586" t="n">
        <v>114929</v>
      </c>
      <c r="B2586" t="n">
        <v>128</v>
      </c>
      <c r="C2586" t="inlineStr">
        <is>
          <t>Love Cabaret</t>
        </is>
      </c>
      <c r="D2586" t="inlineStr">
        <is>
          <t>PETTY CASH</t>
        </is>
      </c>
      <c r="E2586" t="n">
        <v>50.49</v>
      </c>
      <c r="F2586" s="27" t="n">
        <v>45716</v>
      </c>
      <c r="G2586" s="27" t="n">
        <v>45726</v>
      </c>
      <c r="H2586" s="27" t="n">
        <v>45716</v>
      </c>
      <c r="I2586" s="27" t="n">
        <v>45689</v>
      </c>
      <c r="J2586" s="27" t="n">
        <v>45716</v>
      </c>
      <c r="K2586" t="inlineStr">
        <is>
          <t>Dinheiro em Espécie</t>
        </is>
      </c>
      <c r="L2586" t="inlineStr">
        <is>
          <t>Utilidades</t>
        </is>
      </c>
      <c r="M2586" t="inlineStr">
        <is>
          <t>Higiene e Limpeza</t>
        </is>
      </c>
      <c r="N2586" t="inlineStr">
        <is>
          <t>5PETTY022025</t>
        </is>
      </c>
      <c r="O2586" t="inlineStr">
        <is>
          <t>Documentação Aprovada</t>
        </is>
      </c>
      <c r="P2586" t="inlineStr">
        <is>
          <t>Aprovado Diretoria</t>
        </is>
      </c>
      <c r="Q2586" t="inlineStr">
        <is>
          <t>Aprovado Caixa</t>
        </is>
      </c>
      <c r="R2586" t="inlineStr">
        <is>
          <t>Pago</t>
        </is>
      </c>
      <c r="S2586" t="n">
        <v>120</v>
      </c>
      <c r="T2586" t="inlineStr">
        <is>
          <t>Love - Petty Cash</t>
        </is>
      </c>
    </row>
    <row r="2587">
      <c r="A2587" t="n">
        <v>114928</v>
      </c>
      <c r="B2587" t="n">
        <v>128</v>
      </c>
      <c r="C2587" t="inlineStr">
        <is>
          <t>Love Cabaret</t>
        </is>
      </c>
      <c r="D2587" t="inlineStr">
        <is>
          <t>PETTY CASH</t>
        </is>
      </c>
      <c r="E2587" t="n">
        <v>111.68</v>
      </c>
      <c r="F2587" s="27" t="n">
        <v>45716</v>
      </c>
      <c r="G2587" s="27" t="n">
        <v>45726</v>
      </c>
      <c r="H2587" s="27" t="n">
        <v>45716</v>
      </c>
      <c r="I2587" s="27" t="n">
        <v>45689</v>
      </c>
      <c r="J2587" s="27" t="n">
        <v>45716</v>
      </c>
      <c r="K2587" t="inlineStr">
        <is>
          <t>Dinheiro em Espécie</t>
        </is>
      </c>
      <c r="L2587" t="inlineStr">
        <is>
          <t>Utilidades</t>
        </is>
      </c>
      <c r="M2587" t="inlineStr">
        <is>
          <t>Material de Escritorio</t>
        </is>
      </c>
      <c r="N2587" t="inlineStr">
        <is>
          <t>4PETTY022025</t>
        </is>
      </c>
      <c r="O2587" t="inlineStr">
        <is>
          <t>Documentação Aprovada</t>
        </is>
      </c>
      <c r="P2587" t="inlineStr">
        <is>
          <t>Aprovado Diretoria</t>
        </is>
      </c>
      <c r="Q2587" t="inlineStr">
        <is>
          <t>Aprovado Caixa</t>
        </is>
      </c>
      <c r="R2587" t="inlineStr">
        <is>
          <t>Pago</t>
        </is>
      </c>
      <c r="S2587" t="n">
        <v>120</v>
      </c>
      <c r="T2587" t="inlineStr">
        <is>
          <t>Love - Petty Cash</t>
        </is>
      </c>
    </row>
    <row r="2588">
      <c r="A2588" t="n">
        <v>114927</v>
      </c>
      <c r="B2588" t="n">
        <v>128</v>
      </c>
      <c r="C2588" t="inlineStr">
        <is>
          <t>Love Cabaret</t>
        </is>
      </c>
      <c r="D2588" t="inlineStr">
        <is>
          <t>PETTY CASH</t>
        </is>
      </c>
      <c r="E2588" t="n">
        <v>200</v>
      </c>
      <c r="F2588" s="27" t="n">
        <v>45716</v>
      </c>
      <c r="G2588" s="27" t="n">
        <v>45726</v>
      </c>
      <c r="H2588" s="27" t="n">
        <v>45716</v>
      </c>
      <c r="I2588" s="27" t="n">
        <v>45689</v>
      </c>
      <c r="J2588" s="27" t="n">
        <v>45716</v>
      </c>
      <c r="K2588" t="inlineStr">
        <is>
          <t>Dinheiro em Espécie</t>
        </is>
      </c>
      <c r="L2588" t="inlineStr">
        <is>
          <t>Manutenção</t>
        </is>
      </c>
      <c r="M2588" t="inlineStr">
        <is>
          <t>Manutenção Predial</t>
        </is>
      </c>
      <c r="N2588" t="inlineStr">
        <is>
          <t>3PETTY022025</t>
        </is>
      </c>
      <c r="O2588" t="inlineStr">
        <is>
          <t>Documentação Aprovada</t>
        </is>
      </c>
      <c r="P2588" t="inlineStr">
        <is>
          <t>Aprovado Diretoria</t>
        </is>
      </c>
      <c r="Q2588" t="inlineStr">
        <is>
          <t>Aprovado Caixa</t>
        </is>
      </c>
      <c r="R2588" t="inlineStr">
        <is>
          <t>Pago</t>
        </is>
      </c>
      <c r="S2588" t="n">
        <v>120</v>
      </c>
      <c r="T2588" t="inlineStr">
        <is>
          <t>Love - Petty Cash</t>
        </is>
      </c>
    </row>
    <row r="2589">
      <c r="A2589" t="n">
        <v>114926</v>
      </c>
      <c r="B2589" t="n">
        <v>128</v>
      </c>
      <c r="C2589" t="inlineStr">
        <is>
          <t>Love Cabaret</t>
        </is>
      </c>
      <c r="D2589" t="inlineStr">
        <is>
          <t>PETTY CASH</t>
        </is>
      </c>
      <c r="E2589" t="n">
        <v>67.8</v>
      </c>
      <c r="F2589" s="27" t="n">
        <v>45716</v>
      </c>
      <c r="G2589" s="27" t="n">
        <v>45726</v>
      </c>
      <c r="H2589" s="27" t="n">
        <v>45716</v>
      </c>
      <c r="I2589" s="27" t="n">
        <v>45689</v>
      </c>
      <c r="J2589" s="27" t="n">
        <v>45716</v>
      </c>
      <c r="K2589" t="inlineStr">
        <is>
          <t>Dinheiro em Espécie</t>
        </is>
      </c>
      <c r="L2589" t="inlineStr">
        <is>
          <t>Custo Mercadoria Vendida</t>
        </is>
      </c>
      <c r="M2589" t="inlineStr">
        <is>
          <t>Insumos - Bebidas</t>
        </is>
      </c>
      <c r="N2589" t="inlineStr">
        <is>
          <t>2PETTY022025</t>
        </is>
      </c>
      <c r="O2589" t="inlineStr">
        <is>
          <t>Documentação Aprovada</t>
        </is>
      </c>
      <c r="P2589" t="inlineStr">
        <is>
          <t>Aprovado Diretoria</t>
        </is>
      </c>
      <c r="Q2589" t="inlineStr">
        <is>
          <t>Aprovado Caixa</t>
        </is>
      </c>
      <c r="R2589" t="inlineStr">
        <is>
          <t>Pago</t>
        </is>
      </c>
      <c r="S2589" t="n">
        <v>120</v>
      </c>
      <c r="T2589" t="inlineStr">
        <is>
          <t>Love - Petty Cash</t>
        </is>
      </c>
    </row>
    <row r="2590">
      <c r="A2590" t="n">
        <v>114925</v>
      </c>
      <c r="B2590" t="n">
        <v>128</v>
      </c>
      <c r="C2590" t="inlineStr">
        <is>
          <t>Love Cabaret</t>
        </is>
      </c>
      <c r="D2590" t="inlineStr">
        <is>
          <t>PETTY CASH</t>
        </is>
      </c>
      <c r="E2590" t="n">
        <v>99.76000000000001</v>
      </c>
      <c r="F2590" s="27" t="n">
        <v>45716</v>
      </c>
      <c r="G2590" s="27" t="n">
        <v>45726</v>
      </c>
      <c r="H2590" s="27" t="n">
        <v>45716</v>
      </c>
      <c r="I2590" s="27" t="n">
        <v>45689</v>
      </c>
      <c r="J2590" s="27" t="n">
        <v>45716</v>
      </c>
      <c r="K2590" t="inlineStr">
        <is>
          <t>Dinheiro em Espécie</t>
        </is>
      </c>
      <c r="L2590" t="inlineStr">
        <is>
          <t>Custo Mercadoria Vendida</t>
        </is>
      </c>
      <c r="M2590" t="inlineStr">
        <is>
          <t>Insumos - Alimentos</t>
        </is>
      </c>
      <c r="N2590" t="inlineStr">
        <is>
          <t>1PETTY022025</t>
        </is>
      </c>
      <c r="O2590" t="inlineStr">
        <is>
          <t>Documentação Aprovada</t>
        </is>
      </c>
      <c r="P2590" t="inlineStr">
        <is>
          <t>Aprovado Diretoria</t>
        </is>
      </c>
      <c r="Q2590" t="inlineStr">
        <is>
          <t>Aprovado Caixa</t>
        </is>
      </c>
      <c r="R2590" t="inlineStr">
        <is>
          <t>Pago</t>
        </is>
      </c>
      <c r="S2590" t="n">
        <v>120</v>
      </c>
      <c r="T2590" t="inlineStr">
        <is>
          <t>Love - Petty Cash</t>
        </is>
      </c>
    </row>
    <row r="2591">
      <c r="A2591" t="n">
        <v>112047</v>
      </c>
      <c r="B2591" t="n">
        <v>128</v>
      </c>
      <c r="C2591" t="inlineStr">
        <is>
          <t>Love Cabaret</t>
        </is>
      </c>
      <c r="D2591" t="inlineStr">
        <is>
          <t xml:space="preserve">FORTE ALIMENTOS COM. IMPORTAÇÃO LTDA </t>
        </is>
      </c>
      <c r="E2591" t="n">
        <v>460.31</v>
      </c>
      <c r="F2591" s="27" t="n">
        <v>45720</v>
      </c>
      <c r="G2591" s="27" t="n">
        <v>45716</v>
      </c>
      <c r="H2591" s="27" t="n">
        <v>45716</v>
      </c>
      <c r="I2591" s="27" t="n">
        <v>45705</v>
      </c>
      <c r="J2591" s="27" t="n">
        <v>45707</v>
      </c>
      <c r="K2591" t="inlineStr">
        <is>
          <t>Boleto Bancário</t>
        </is>
      </c>
      <c r="L2591" t="inlineStr">
        <is>
          <t>Custo Mercadoria Vendida</t>
        </is>
      </c>
      <c r="M2591" t="inlineStr">
        <is>
          <t>Insumos - Alimentos</t>
        </is>
      </c>
      <c r="N2591" t="inlineStr">
        <is>
          <t>298346</t>
        </is>
      </c>
      <c r="O2591" t="inlineStr">
        <is>
          <t>Documentação Aprovada</t>
        </is>
      </c>
      <c r="P2591" t="inlineStr">
        <is>
          <t>Aprovado Diretoria</t>
        </is>
      </c>
      <c r="Q2591" t="inlineStr">
        <is>
          <t>Aprovado Caixa</t>
        </is>
      </c>
      <c r="R2591" t="inlineStr">
        <is>
          <t>Pago</t>
        </is>
      </c>
      <c r="S2591" t="n">
        <v>115</v>
      </c>
      <c r="T2591" t="inlineStr">
        <is>
          <t>Love - Shibari - Bradesco</t>
        </is>
      </c>
    </row>
    <row r="2592">
      <c r="A2592" t="n">
        <v>112038</v>
      </c>
      <c r="B2592" t="n">
        <v>128</v>
      </c>
      <c r="C2592" t="inlineStr">
        <is>
          <t>Love Cabaret</t>
        </is>
      </c>
      <c r="D2592" t="inlineStr">
        <is>
          <t>ASSAZ ORGANICA INDUSTRIA E COMERCIO DE ALIMENTOS LTDA</t>
        </is>
      </c>
      <c r="E2592" t="n">
        <v>73.5</v>
      </c>
      <c r="F2592" s="27" t="n">
        <v>45721</v>
      </c>
      <c r="G2592" s="27" t="n">
        <v>45716</v>
      </c>
      <c r="H2592" s="27" t="n">
        <v>45716</v>
      </c>
      <c r="I2592" s="27" t="n">
        <v>45706</v>
      </c>
      <c r="J2592" s="27" t="n">
        <v>45707</v>
      </c>
      <c r="K2592" t="inlineStr">
        <is>
          <t>Boleto Bancário</t>
        </is>
      </c>
      <c r="L2592" t="inlineStr">
        <is>
          <t>Custo Mercadoria Vendida</t>
        </is>
      </c>
      <c r="M2592" t="inlineStr">
        <is>
          <t>Insumos - Alimentos</t>
        </is>
      </c>
      <c r="N2592" t="inlineStr">
        <is>
          <t>18620</t>
        </is>
      </c>
      <c r="O2592" t="inlineStr">
        <is>
          <t>Documentação Aprovada</t>
        </is>
      </c>
      <c r="P2592" t="inlineStr">
        <is>
          <t>Aprovado Diretoria</t>
        </is>
      </c>
      <c r="Q2592" t="inlineStr">
        <is>
          <t>Aprovado Caixa</t>
        </is>
      </c>
      <c r="R2592" t="inlineStr">
        <is>
          <t>Pago</t>
        </is>
      </c>
      <c r="S2592" t="n">
        <v>115</v>
      </c>
      <c r="T2592" t="inlineStr">
        <is>
          <t>Love - Shibari - Bradesco</t>
        </is>
      </c>
    </row>
    <row r="2593">
      <c r="A2593" t="n">
        <v>112654</v>
      </c>
      <c r="B2593" t="n">
        <v>128</v>
      </c>
      <c r="C2593" t="inlineStr">
        <is>
          <t>Love Cabaret</t>
        </is>
      </c>
      <c r="D2593" t="inlineStr">
        <is>
          <t>EDUARDO VASQUES PROPRIEDADE INTELECTUAL EIRELI</t>
        </is>
      </c>
      <c r="E2593" t="n">
        <v>1480</v>
      </c>
      <c r="F2593" s="27" t="n">
        <v>45719</v>
      </c>
      <c r="G2593" s="27" t="n">
        <v>45716</v>
      </c>
      <c r="H2593" s="27" t="n">
        <v>45716</v>
      </c>
      <c r="I2593" s="27" t="n">
        <v>45708</v>
      </c>
      <c r="J2593" s="27" t="n">
        <v>45709</v>
      </c>
      <c r="K2593" t="inlineStr">
        <is>
          <t>Transferência Bancária ou Pix</t>
        </is>
      </c>
      <c r="L2593" t="inlineStr">
        <is>
          <t>Serviços de Terceiros</t>
        </is>
      </c>
      <c r="M2593" t="inlineStr">
        <is>
          <t>Assessoria Jurídica</t>
        </is>
      </c>
      <c r="N2593" t="inlineStr">
        <is>
          <t>563</t>
        </is>
      </c>
      <c r="O2593" t="inlineStr">
        <is>
          <t>Documentação Aprovada</t>
        </is>
      </c>
      <c r="P2593" t="inlineStr">
        <is>
          <t>Aprovado Diretoria</t>
        </is>
      </c>
      <c r="Q2593" t="inlineStr">
        <is>
          <t>Aprovado Caixa</t>
        </is>
      </c>
      <c r="R2593" t="inlineStr">
        <is>
          <t>Pago</t>
        </is>
      </c>
      <c r="S2593" t="n">
        <v>115</v>
      </c>
      <c r="T2593" t="inlineStr">
        <is>
          <t>Love - Shibari - Bradesco</t>
        </is>
      </c>
    </row>
    <row r="2594">
      <c r="A2594" t="n">
        <v>112027</v>
      </c>
      <c r="B2594" t="n">
        <v>128</v>
      </c>
      <c r="C2594" t="inlineStr">
        <is>
          <t>Love Cabaret</t>
        </is>
      </c>
      <c r="D2594" t="inlineStr">
        <is>
          <t xml:space="preserve">FORTE ALIMENTOS COM. IMPORTAÇÃO LTDA </t>
        </is>
      </c>
      <c r="E2594" t="n">
        <v>510.96</v>
      </c>
      <c r="F2594" s="27" t="n">
        <v>45720</v>
      </c>
      <c r="G2594" s="27" t="n">
        <v>45716</v>
      </c>
      <c r="H2594" s="27" t="n">
        <v>45716</v>
      </c>
      <c r="I2594" s="27" t="n">
        <v>45705</v>
      </c>
      <c r="J2594" s="27" t="n">
        <v>45707</v>
      </c>
      <c r="K2594" t="inlineStr">
        <is>
          <t>Boleto Bancário</t>
        </is>
      </c>
      <c r="L2594" t="inlineStr">
        <is>
          <t>Custo Mercadoria Vendida</t>
        </is>
      </c>
      <c r="M2594" t="inlineStr">
        <is>
          <t>Insumos - Alimentos</t>
        </is>
      </c>
      <c r="N2594" t="inlineStr">
        <is>
          <t>298316</t>
        </is>
      </c>
      <c r="O2594" t="inlineStr">
        <is>
          <t>Documentação Aprovada</t>
        </is>
      </c>
      <c r="P2594" t="inlineStr">
        <is>
          <t>Aprovado Diretoria</t>
        </is>
      </c>
      <c r="Q2594" t="inlineStr">
        <is>
          <t>Aprovado Caixa</t>
        </is>
      </c>
      <c r="R2594" t="inlineStr">
        <is>
          <t>Pago</t>
        </is>
      </c>
      <c r="S2594" t="n">
        <v>115</v>
      </c>
      <c r="T2594" t="inlineStr">
        <is>
          <t>Love - Shibari - Bradesco</t>
        </is>
      </c>
    </row>
    <row r="2595">
      <c r="A2595" t="n">
        <v>112046</v>
      </c>
      <c r="B2595" t="n">
        <v>128</v>
      </c>
      <c r="C2595" t="inlineStr">
        <is>
          <t>Love Cabaret</t>
        </is>
      </c>
      <c r="D2595" t="inlineStr">
        <is>
          <t>PARAMU COMERCIO E REPRESENTACAO DE PRODUTOS ALIMENTICIOS</t>
        </is>
      </c>
      <c r="E2595" t="n">
        <v>623.72</v>
      </c>
      <c r="F2595" s="27" t="n">
        <v>45719</v>
      </c>
      <c r="G2595" s="27" t="n">
        <v>45716</v>
      </c>
      <c r="H2595" s="27" t="n">
        <v>45716</v>
      </c>
      <c r="I2595" s="27" t="n">
        <v>45705</v>
      </c>
      <c r="J2595" s="27" t="n">
        <v>45707</v>
      </c>
      <c r="K2595" t="inlineStr">
        <is>
          <t>Boleto Bancário</t>
        </is>
      </c>
      <c r="L2595" t="inlineStr">
        <is>
          <t>Custo Mercadoria Vendida</t>
        </is>
      </c>
      <c r="M2595" t="inlineStr">
        <is>
          <t>Insumos - Alimentos</t>
        </is>
      </c>
      <c r="N2595" t="inlineStr">
        <is>
          <t>12797</t>
        </is>
      </c>
      <c r="O2595" t="inlineStr">
        <is>
          <t>Documentação Aprovada</t>
        </is>
      </c>
      <c r="P2595" t="inlineStr">
        <is>
          <t>Aprovado Diretoria</t>
        </is>
      </c>
      <c r="Q2595" t="inlineStr">
        <is>
          <t>Aprovado Caixa</t>
        </is>
      </c>
      <c r="R2595" t="inlineStr">
        <is>
          <t>Pago</t>
        </is>
      </c>
      <c r="S2595" t="n">
        <v>115</v>
      </c>
      <c r="T2595" t="inlineStr">
        <is>
          <t>Love - Shibari - Bradesco</t>
        </is>
      </c>
    </row>
    <row r="2596">
      <c r="A2596" t="n">
        <v>112542</v>
      </c>
      <c r="B2596" t="n">
        <v>128</v>
      </c>
      <c r="C2596" t="inlineStr">
        <is>
          <t>Love Cabaret</t>
        </is>
      </c>
      <c r="D2596" t="inlineStr">
        <is>
          <t>CEM ENGENHARIA DA MANUTENCAO LTDA</t>
        </is>
      </c>
      <c r="E2596" t="n">
        <v>6500</v>
      </c>
      <c r="F2596" s="27" t="n">
        <v>45721</v>
      </c>
      <c r="G2596" s="27" t="n">
        <v>45716</v>
      </c>
      <c r="H2596" s="27" t="n">
        <v>45716</v>
      </c>
      <c r="I2596" s="27" t="n">
        <v>45707</v>
      </c>
      <c r="J2596" s="27" t="n">
        <v>45709</v>
      </c>
      <c r="K2596" t="inlineStr">
        <is>
          <t>Boleto Bancário</t>
        </is>
      </c>
      <c r="L2596" t="inlineStr">
        <is>
          <t>Manutenção</t>
        </is>
      </c>
      <c r="M2596" t="inlineStr">
        <is>
          <t>Manutenção de Equipamentos</t>
        </is>
      </c>
      <c r="N2596" t="inlineStr">
        <is>
          <t>2332</t>
        </is>
      </c>
      <c r="O2596" t="inlineStr">
        <is>
          <t>Documentação Aprovada</t>
        </is>
      </c>
      <c r="P2596" t="inlineStr">
        <is>
          <t>Aprovado Diretoria</t>
        </is>
      </c>
      <c r="Q2596" t="inlineStr">
        <is>
          <t>Aprovado Caixa</t>
        </is>
      </c>
      <c r="R2596" t="inlineStr">
        <is>
          <t>Pago</t>
        </is>
      </c>
      <c r="S2596" t="n">
        <v>115</v>
      </c>
      <c r="T2596" t="inlineStr">
        <is>
          <t>Love - Shibari - Bradesco</t>
        </is>
      </c>
    </row>
    <row r="2597">
      <c r="A2597" t="n">
        <v>112050</v>
      </c>
      <c r="B2597" t="n">
        <v>128</v>
      </c>
      <c r="C2597" t="inlineStr">
        <is>
          <t>Love Cabaret</t>
        </is>
      </c>
      <c r="D2597" t="inlineStr">
        <is>
          <t>HNK BR IND DE BEBIDAS</t>
        </is>
      </c>
      <c r="E2597" t="n">
        <v>3114.41</v>
      </c>
      <c r="F2597" s="27" t="n">
        <v>45721</v>
      </c>
      <c r="G2597" s="27" t="n">
        <v>45716</v>
      </c>
      <c r="H2597" s="27" t="n">
        <v>45716</v>
      </c>
      <c r="I2597" s="27" t="n">
        <v>45706</v>
      </c>
      <c r="J2597" s="27" t="n">
        <v>45707</v>
      </c>
      <c r="K2597" t="inlineStr">
        <is>
          <t>Boleto Bancário</t>
        </is>
      </c>
      <c r="L2597" t="inlineStr">
        <is>
          <t>Custo Mercadoria Vendida</t>
        </is>
      </c>
      <c r="M2597" t="inlineStr">
        <is>
          <t>Insumos - Bebidas</t>
        </is>
      </c>
      <c r="N2597" t="inlineStr">
        <is>
          <t>198380</t>
        </is>
      </c>
      <c r="O2597" t="inlineStr">
        <is>
          <t>Documentação Aprovada</t>
        </is>
      </c>
      <c r="P2597" t="inlineStr">
        <is>
          <t>Aprovado Diretoria</t>
        </is>
      </c>
      <c r="Q2597" t="inlineStr">
        <is>
          <t>Aprovado Caixa</t>
        </is>
      </c>
      <c r="R2597" t="inlineStr">
        <is>
          <t>Pago</t>
        </is>
      </c>
      <c r="S2597" t="n">
        <v>115</v>
      </c>
      <c r="T2597" t="inlineStr">
        <is>
          <t>Love - Shibari - Bradesco</t>
        </is>
      </c>
    </row>
    <row r="2598">
      <c r="A2598" t="n">
        <v>112051</v>
      </c>
      <c r="B2598" t="n">
        <v>128</v>
      </c>
      <c r="C2598" t="inlineStr">
        <is>
          <t>Love Cabaret</t>
        </is>
      </c>
      <c r="D2598" t="inlineStr">
        <is>
          <t xml:space="preserve">LATICINIOS FIOR DITALIA LTDA </t>
        </is>
      </c>
      <c r="E2598" t="n">
        <v>326.75</v>
      </c>
      <c r="F2598" s="27" t="n">
        <v>45721</v>
      </c>
      <c r="G2598" s="27" t="n">
        <v>45716</v>
      </c>
      <c r="H2598" s="27" t="n">
        <v>45716</v>
      </c>
      <c r="I2598" s="27" t="n">
        <v>45705</v>
      </c>
      <c r="J2598" s="27" t="n">
        <v>45707</v>
      </c>
      <c r="K2598" t="inlineStr">
        <is>
          <t>Boleto Bancário</t>
        </is>
      </c>
      <c r="L2598" t="inlineStr">
        <is>
          <t>Custo Mercadoria Vendida</t>
        </is>
      </c>
      <c r="M2598" t="inlineStr">
        <is>
          <t>Insumos - Alimentos</t>
        </is>
      </c>
      <c r="N2598" t="inlineStr">
        <is>
          <t>34388</t>
        </is>
      </c>
      <c r="O2598" t="inlineStr">
        <is>
          <t>Documentação Aprovada</t>
        </is>
      </c>
      <c r="P2598" t="inlineStr">
        <is>
          <t>Aprovado Diretoria</t>
        </is>
      </c>
      <c r="Q2598" t="inlineStr">
        <is>
          <t>Aprovado Caixa</t>
        </is>
      </c>
      <c r="R2598" t="inlineStr">
        <is>
          <t>Pago</t>
        </is>
      </c>
      <c r="S2598" t="n">
        <v>115</v>
      </c>
      <c r="T2598" t="inlineStr">
        <is>
          <t>Love - Shibari - Bradesco</t>
        </is>
      </c>
    </row>
    <row r="2599">
      <c r="A2599" t="n">
        <v>111134</v>
      </c>
      <c r="B2599" t="n">
        <v>128</v>
      </c>
      <c r="C2599" t="inlineStr">
        <is>
          <t>Love Cabaret</t>
        </is>
      </c>
      <c r="D2599" t="inlineStr">
        <is>
          <t>WIDE STOCK COMERCIO E DISTRIBUICAO LTDA</t>
        </is>
      </c>
      <c r="E2599" t="n">
        <v>313.94</v>
      </c>
      <c r="F2599" s="27" t="n">
        <v>45721</v>
      </c>
      <c r="G2599" s="27" t="n">
        <v>45716</v>
      </c>
      <c r="H2599" s="27" t="n">
        <v>45716</v>
      </c>
      <c r="I2599" s="27" t="n">
        <v>45700</v>
      </c>
      <c r="J2599" s="27" t="n">
        <v>45705</v>
      </c>
      <c r="K2599" t="inlineStr">
        <is>
          <t>Boleto Bancário</t>
        </is>
      </c>
      <c r="L2599" t="inlineStr">
        <is>
          <t>Utilidades</t>
        </is>
      </c>
      <c r="M2599" t="inlineStr">
        <is>
          <t>Higiene e Limpeza</t>
        </is>
      </c>
      <c r="N2599" t="inlineStr">
        <is>
          <t>395458</t>
        </is>
      </c>
      <c r="O2599" t="inlineStr">
        <is>
          <t>Documentação Aprovada</t>
        </is>
      </c>
      <c r="P2599" t="inlineStr">
        <is>
          <t>Aprovado Diretoria</t>
        </is>
      </c>
      <c r="Q2599" t="inlineStr">
        <is>
          <t>Aprovado Caixa</t>
        </is>
      </c>
      <c r="R2599" t="inlineStr">
        <is>
          <t>Pago</t>
        </is>
      </c>
      <c r="S2599" t="n">
        <v>115</v>
      </c>
      <c r="T2599" t="inlineStr">
        <is>
          <t>Love - Shibari - Bradesco</t>
        </is>
      </c>
    </row>
    <row r="2600">
      <c r="A2600" t="n">
        <v>111138</v>
      </c>
      <c r="B2600" t="n">
        <v>128</v>
      </c>
      <c r="C2600" t="inlineStr">
        <is>
          <t>Love Cabaret</t>
        </is>
      </c>
      <c r="D2600" t="inlineStr">
        <is>
          <t>MURILLO S DUARTE COMERCIAL LTDA</t>
        </is>
      </c>
      <c r="E2600" t="n">
        <v>232.2</v>
      </c>
      <c r="F2600" s="27" t="n">
        <v>45723</v>
      </c>
      <c r="G2600" s="27" t="n">
        <v>45716</v>
      </c>
      <c r="H2600" s="27" t="n">
        <v>45716</v>
      </c>
      <c r="I2600" s="27" t="n">
        <v>45700</v>
      </c>
      <c r="J2600" s="27" t="n">
        <v>45705</v>
      </c>
      <c r="K2600" t="inlineStr">
        <is>
          <t>Boleto Bancário</t>
        </is>
      </c>
      <c r="L2600" t="inlineStr">
        <is>
          <t>Custo Mercadoria Vendida</t>
        </is>
      </c>
      <c r="M2600" t="inlineStr">
        <is>
          <t>Insumos - Alimentos</t>
        </is>
      </c>
      <c r="N2600" t="inlineStr">
        <is>
          <t>1804</t>
        </is>
      </c>
      <c r="O2600" t="inlineStr">
        <is>
          <t>Documentação Aprovada</t>
        </is>
      </c>
      <c r="P2600" t="inlineStr">
        <is>
          <t>Aprovado Diretoria</t>
        </is>
      </c>
      <c r="Q2600" t="inlineStr">
        <is>
          <t>Aprovado Caixa</t>
        </is>
      </c>
      <c r="R2600" t="inlineStr">
        <is>
          <t>Pago</t>
        </is>
      </c>
      <c r="S2600" t="n">
        <v>115</v>
      </c>
      <c r="T2600" t="inlineStr">
        <is>
          <t>Love - Shibari - Bradesco</t>
        </is>
      </c>
    </row>
    <row r="2601">
      <c r="A2601" t="n">
        <v>110143</v>
      </c>
      <c r="B2601" t="n">
        <v>128</v>
      </c>
      <c r="C2601" t="inlineStr">
        <is>
          <t>Love Cabaret</t>
        </is>
      </c>
      <c r="D2601" t="inlineStr">
        <is>
          <t>PROAUTO INDUSTRIA QUIMICA EIRELI</t>
        </is>
      </c>
      <c r="E2601" t="n">
        <v>545.21</v>
      </c>
      <c r="F2601" s="27" t="n">
        <v>45721</v>
      </c>
      <c r="G2601" s="27" t="n">
        <v>45716</v>
      </c>
      <c r="H2601" s="27" t="n">
        <v>45716</v>
      </c>
      <c r="I2601" s="27" t="n">
        <v>45693</v>
      </c>
      <c r="J2601" s="27" t="n">
        <v>45701</v>
      </c>
      <c r="K2601" t="inlineStr">
        <is>
          <t>Boleto Bancário</t>
        </is>
      </c>
      <c r="L2601" t="inlineStr">
        <is>
          <t>Utilidades</t>
        </is>
      </c>
      <c r="M2601" t="inlineStr">
        <is>
          <t>Higiene e Limpeza</t>
        </is>
      </c>
      <c r="N2601" t="inlineStr">
        <is>
          <t>133504</t>
        </is>
      </c>
      <c r="O2601" t="inlineStr">
        <is>
          <t>Documentação Aprovada</t>
        </is>
      </c>
      <c r="P2601" t="inlineStr">
        <is>
          <t>Aprovado Diretoria</t>
        </is>
      </c>
      <c r="Q2601" t="inlineStr">
        <is>
          <t>Aprovado Caixa</t>
        </is>
      </c>
      <c r="R2601" t="inlineStr">
        <is>
          <t>Pago</t>
        </is>
      </c>
      <c r="S2601" t="n">
        <v>115</v>
      </c>
      <c r="T2601" t="inlineStr">
        <is>
          <t>Love - Shibari - Bradesco</t>
        </is>
      </c>
    </row>
    <row r="2602">
      <c r="A2602" t="n">
        <v>110168</v>
      </c>
      <c r="B2602" t="n">
        <v>128</v>
      </c>
      <c r="C2602" t="inlineStr">
        <is>
          <t>Love Cabaret</t>
        </is>
      </c>
      <c r="D2602" t="inlineStr">
        <is>
          <t>KING COMERCIO E IMPORTACAO DE BEBIDAS LTDA</t>
        </is>
      </c>
      <c r="E2602" t="n">
        <v>2454.32</v>
      </c>
      <c r="F2602" s="27" t="n">
        <v>45723</v>
      </c>
      <c r="G2602" s="27" t="n">
        <v>45716</v>
      </c>
      <c r="H2602" s="27" t="n">
        <v>45716</v>
      </c>
      <c r="I2602" s="27" t="n">
        <v>45695</v>
      </c>
      <c r="J2602" s="27" t="n">
        <v>45701</v>
      </c>
      <c r="K2602" t="inlineStr">
        <is>
          <t>Boleto Bancário</t>
        </is>
      </c>
      <c r="L2602" t="inlineStr">
        <is>
          <t>Custo Mercadoria Vendida</t>
        </is>
      </c>
      <c r="M2602" t="inlineStr">
        <is>
          <t>Insumos - Bebidas</t>
        </is>
      </c>
      <c r="N2602" t="inlineStr">
        <is>
          <t>115029</t>
        </is>
      </c>
      <c r="O2602" t="inlineStr">
        <is>
          <t>Documentação Aprovada</t>
        </is>
      </c>
      <c r="P2602" t="inlineStr">
        <is>
          <t>Aprovado Diretoria</t>
        </is>
      </c>
      <c r="Q2602" t="inlineStr">
        <is>
          <t>Aprovado Caixa</t>
        </is>
      </c>
      <c r="R2602" t="inlineStr">
        <is>
          <t>Pago</t>
        </is>
      </c>
      <c r="S2602" t="n">
        <v>115</v>
      </c>
      <c r="T2602" t="inlineStr">
        <is>
          <t>Love - Shibari - Bradesco</t>
        </is>
      </c>
    </row>
    <row r="2603">
      <c r="A2603" t="n">
        <v>110167</v>
      </c>
      <c r="B2603" t="n">
        <v>128</v>
      </c>
      <c r="C2603" t="inlineStr">
        <is>
          <t>Love Cabaret</t>
        </is>
      </c>
      <c r="D2603" t="inlineStr">
        <is>
          <t>DTK COMERCIO DE ALIMENTOS LTDA</t>
        </is>
      </c>
      <c r="E2603" t="n">
        <v>889.9400000000001</v>
      </c>
      <c r="F2603" s="27" t="n">
        <v>45719</v>
      </c>
      <c r="G2603" s="27" t="n">
        <v>45716</v>
      </c>
      <c r="H2603" s="27" t="n">
        <v>45716</v>
      </c>
      <c r="I2603" s="27" t="n">
        <v>45698</v>
      </c>
      <c r="J2603" s="27" t="n">
        <v>45701</v>
      </c>
      <c r="K2603" t="inlineStr">
        <is>
          <t>Boleto Bancário</t>
        </is>
      </c>
      <c r="L2603" t="inlineStr">
        <is>
          <t>Custo Mercadoria Vendida</t>
        </is>
      </c>
      <c r="M2603" t="inlineStr">
        <is>
          <t>Insumos - Alimentos</t>
        </is>
      </c>
      <c r="N2603" t="inlineStr">
        <is>
          <t>23106</t>
        </is>
      </c>
      <c r="O2603" t="inlineStr">
        <is>
          <t>Documentação Aprovada</t>
        </is>
      </c>
      <c r="P2603" t="inlineStr">
        <is>
          <t>Aprovado Diretoria</t>
        </is>
      </c>
      <c r="Q2603" t="inlineStr">
        <is>
          <t>Aprovado Caixa</t>
        </is>
      </c>
      <c r="R2603" t="inlineStr">
        <is>
          <t>Pago</t>
        </is>
      </c>
      <c r="S2603" t="n">
        <v>115</v>
      </c>
      <c r="T2603" t="inlineStr">
        <is>
          <t>Love - Shibari - Bradesco</t>
        </is>
      </c>
    </row>
    <row r="2604">
      <c r="A2604" t="n">
        <v>110137</v>
      </c>
      <c r="B2604" t="n">
        <v>128</v>
      </c>
      <c r="C2604" t="inlineStr">
        <is>
          <t>Love Cabaret</t>
        </is>
      </c>
      <c r="D2604" t="inlineStr">
        <is>
          <t>HORTICLEAN DISTRIBUIDORA DE HORTIFRUTI LTDA</t>
        </is>
      </c>
      <c r="E2604" t="n">
        <v>140.99</v>
      </c>
      <c r="F2604" s="27" t="n">
        <v>45723</v>
      </c>
      <c r="G2604" s="27" t="n">
        <v>45716</v>
      </c>
      <c r="H2604" s="27" t="n">
        <v>45716</v>
      </c>
      <c r="I2604" s="27" t="n">
        <v>45694</v>
      </c>
      <c r="J2604" s="27" t="n">
        <v>45701</v>
      </c>
      <c r="K2604" t="inlineStr">
        <is>
          <t>Boleto Bancário</t>
        </is>
      </c>
      <c r="L2604" t="inlineStr">
        <is>
          <t>Custo Mercadoria Vendida</t>
        </is>
      </c>
      <c r="M2604" t="inlineStr">
        <is>
          <t>Insumos - Alimentos</t>
        </is>
      </c>
      <c r="N2604" t="inlineStr">
        <is>
          <t>25767</t>
        </is>
      </c>
      <c r="O2604" t="inlineStr">
        <is>
          <t>Documentação Aprovada</t>
        </is>
      </c>
      <c r="P2604" t="inlineStr">
        <is>
          <t>Aprovado Diretoria</t>
        </is>
      </c>
      <c r="Q2604" t="inlineStr">
        <is>
          <t>Aprovado Caixa</t>
        </is>
      </c>
      <c r="R2604" t="inlineStr">
        <is>
          <t>Pago</t>
        </is>
      </c>
      <c r="S2604" t="n">
        <v>115</v>
      </c>
      <c r="T2604" t="inlineStr">
        <is>
          <t>Love - Shibari - Bradesco</t>
        </is>
      </c>
    </row>
    <row r="2605">
      <c r="A2605" t="n">
        <v>110454</v>
      </c>
      <c r="B2605" t="n">
        <v>128</v>
      </c>
      <c r="C2605" t="inlineStr">
        <is>
          <t>Love Cabaret</t>
        </is>
      </c>
      <c r="D2605" t="inlineStr">
        <is>
          <t xml:space="preserve">FELIPE PAES SEABRA </t>
        </is>
      </c>
      <c r="E2605" t="n">
        <v>800</v>
      </c>
      <c r="F2605" s="27" t="n">
        <v>45719</v>
      </c>
      <c r="G2605" s="27" t="n">
        <v>45716</v>
      </c>
      <c r="H2605" s="27" t="n">
        <v>45716</v>
      </c>
      <c r="I2605" s="27" t="n">
        <v>45691</v>
      </c>
      <c r="J2605" s="27" t="n">
        <v>45702</v>
      </c>
      <c r="K2605" t="inlineStr">
        <is>
          <t>Transferência Bancária ou Pix</t>
        </is>
      </c>
      <c r="L2605" t="inlineStr">
        <is>
          <t>Marketing</t>
        </is>
      </c>
      <c r="M2605" t="inlineStr">
        <is>
          <t>Sessão de Fotos/Captação de Vídeo</t>
        </is>
      </c>
      <c r="N2605" t="inlineStr">
        <is>
          <t>96</t>
        </is>
      </c>
      <c r="O2605" t="inlineStr">
        <is>
          <t>Documentação Aprovada</t>
        </is>
      </c>
      <c r="P2605" t="inlineStr">
        <is>
          <t>Aprovado Diretoria</t>
        </is>
      </c>
      <c r="Q2605" t="inlineStr">
        <is>
          <t>Aprovado Caixa</t>
        </is>
      </c>
      <c r="R2605" t="inlineStr">
        <is>
          <t>Pago</t>
        </is>
      </c>
      <c r="S2605" t="n">
        <v>115</v>
      </c>
      <c r="T2605" t="inlineStr">
        <is>
          <t>Love - Shibari - Bradesco</t>
        </is>
      </c>
    </row>
    <row r="2606">
      <c r="A2606" t="n">
        <v>102959</v>
      </c>
      <c r="B2606" t="n">
        <v>128</v>
      </c>
      <c r="C2606" t="inlineStr">
        <is>
          <t>Love Cabaret</t>
        </is>
      </c>
      <c r="D2606" t="inlineStr">
        <is>
          <t>STAR COPIAS COMERCIO E SERVICOS LTDA</t>
        </is>
      </c>
      <c r="E2606" t="n">
        <v>220</v>
      </c>
      <c r="F2606" s="27" t="n">
        <v>45723</v>
      </c>
      <c r="G2606" s="27" t="n">
        <v>45716</v>
      </c>
      <c r="H2606" s="27" t="n">
        <v>45716</v>
      </c>
      <c r="I2606" s="27" t="n">
        <v>45708</v>
      </c>
      <c r="J2606" s="27" t="n"/>
      <c r="K2606" t="inlineStr">
        <is>
          <t>Boleto Bancário</t>
        </is>
      </c>
      <c r="L2606" t="inlineStr">
        <is>
          <t>Locação de Equipamentos</t>
        </is>
      </c>
      <c r="M2606" t="inlineStr">
        <is>
          <t>Locação de Equipamentos - Informatica e TI</t>
        </is>
      </c>
      <c r="N2606" t="inlineStr">
        <is>
          <t>3767</t>
        </is>
      </c>
      <c r="O2606" t="inlineStr">
        <is>
          <t>Documentação Aprovada</t>
        </is>
      </c>
      <c r="P2606" t="inlineStr">
        <is>
          <t>Aprovado Diretoria</t>
        </is>
      </c>
      <c r="Q2606" t="inlineStr">
        <is>
          <t>Aprovado Caixa</t>
        </is>
      </c>
      <c r="R2606" t="inlineStr">
        <is>
          <t>Pago</t>
        </is>
      </c>
      <c r="S2606" t="n">
        <v>115</v>
      </c>
      <c r="T2606" t="inlineStr">
        <is>
          <t>Love - Shibari - Bradesco</t>
        </is>
      </c>
    </row>
    <row r="2607">
      <c r="A2607" t="n">
        <v>102941</v>
      </c>
      <c r="B2607" t="n">
        <v>128</v>
      </c>
      <c r="C2607" t="inlineStr">
        <is>
          <t>Love Cabaret</t>
        </is>
      </c>
      <c r="D2607" t="inlineStr">
        <is>
          <t>SAFE BRAND COMERCIAL- IMPORTACAO- EXPORTACAO E SERVICOS LTDA</t>
        </is>
      </c>
      <c r="E2607" t="n">
        <v>2117.46</v>
      </c>
      <c r="F2607" s="27" t="n">
        <v>45725</v>
      </c>
      <c r="G2607" s="27" t="n">
        <v>45716</v>
      </c>
      <c r="H2607" s="27" t="n">
        <v>45716</v>
      </c>
      <c r="I2607" s="27" t="n">
        <v>45717</v>
      </c>
      <c r="J2607" s="27" t="n"/>
      <c r="K2607" t="inlineStr">
        <is>
          <t>Boleto Bancário</t>
        </is>
      </c>
      <c r="L2607" t="inlineStr">
        <is>
          <t>Locação de Equipamentos</t>
        </is>
      </c>
      <c r="M2607" t="inlineStr">
        <is>
          <t>Locações de Equipamentos - Operacionais</t>
        </is>
      </c>
      <c r="N2607" t="inlineStr">
        <is>
          <t>3250226</t>
        </is>
      </c>
      <c r="O2607" t="inlineStr">
        <is>
          <t>Documentação Aprovada</t>
        </is>
      </c>
      <c r="P2607" t="inlineStr">
        <is>
          <t>Aprovado Diretoria</t>
        </is>
      </c>
      <c r="Q2607" t="inlineStr">
        <is>
          <t>Aprovado Caixa</t>
        </is>
      </c>
      <c r="R2607" t="inlineStr">
        <is>
          <t>Pago</t>
        </is>
      </c>
      <c r="S2607" t="n">
        <v>115</v>
      </c>
      <c r="T2607" t="inlineStr">
        <is>
          <t>Love - Shibari - Bradesco</t>
        </is>
      </c>
    </row>
    <row r="2608">
      <c r="A2608" t="n">
        <v>97349</v>
      </c>
      <c r="B2608" t="n">
        <v>128</v>
      </c>
      <c r="C2608" t="inlineStr">
        <is>
          <t>Love Cabaret</t>
        </is>
      </c>
      <c r="D2608" t="inlineStr">
        <is>
          <t>EDJANE DANTAS DE ALMEIDA SOUSA  - DESENTUPIDORA</t>
        </is>
      </c>
      <c r="E2608" t="n">
        <v>1200</v>
      </c>
      <c r="F2608" s="27" t="n">
        <v>45722</v>
      </c>
      <c r="G2608" s="27" t="n">
        <v>45716</v>
      </c>
      <c r="H2608" s="27" t="n">
        <v>45716</v>
      </c>
      <c r="I2608" s="27" t="n">
        <v>45705</v>
      </c>
      <c r="J2608" s="27" t="n"/>
      <c r="K2608" t="inlineStr">
        <is>
          <t>Transferência Bancária ou Pix</t>
        </is>
      </c>
      <c r="L2608" t="inlineStr">
        <is>
          <t>Utilidades</t>
        </is>
      </c>
      <c r="M2608" t="inlineStr">
        <is>
          <t>Serviços de Limpeza</t>
        </is>
      </c>
      <c r="N2608" t="inlineStr">
        <is>
          <t>82</t>
        </is>
      </c>
      <c r="O2608" t="inlineStr">
        <is>
          <t>Documentação Aprovada</t>
        </is>
      </c>
      <c r="P2608" t="inlineStr">
        <is>
          <t>Aprovado Diretoria</t>
        </is>
      </c>
      <c r="Q2608" t="inlineStr">
        <is>
          <t>Aprovado Caixa</t>
        </is>
      </c>
      <c r="R2608" t="inlineStr">
        <is>
          <t>Pago</t>
        </is>
      </c>
      <c r="S2608" t="n">
        <v>115</v>
      </c>
      <c r="T2608" t="inlineStr">
        <is>
          <t>Love - Shibari - Bradesco</t>
        </is>
      </c>
    </row>
    <row r="2609">
      <c r="A2609" t="n">
        <v>97312</v>
      </c>
      <c r="B2609" t="n">
        <v>128</v>
      </c>
      <c r="C2609" t="inlineStr">
        <is>
          <t>Love Cabaret</t>
        </is>
      </c>
      <c r="D2609" t="inlineStr">
        <is>
          <t>ESCRITORIO CENTRAL DE ARRECADACAO E DISTRIBUICAO ECAD</t>
        </is>
      </c>
      <c r="E2609" t="n">
        <v>802.5</v>
      </c>
      <c r="F2609" s="27" t="n">
        <v>45721</v>
      </c>
      <c r="G2609" s="27" t="n">
        <v>45716</v>
      </c>
      <c r="H2609" s="27" t="n">
        <v>45716</v>
      </c>
      <c r="I2609" s="27" t="n">
        <v>45707</v>
      </c>
      <c r="J2609" s="27" t="n"/>
      <c r="K2609" t="inlineStr">
        <is>
          <t>Boleto Bancário</t>
        </is>
      </c>
      <c r="L2609" t="inlineStr">
        <is>
          <t>Custos Artístico Geral</t>
        </is>
      </c>
      <c r="M2609" t="inlineStr">
        <is>
          <t>Taxas e Licenças - Artístico</t>
        </is>
      </c>
      <c r="N2609" t="inlineStr">
        <is>
          <t>9021840704</t>
        </is>
      </c>
      <c r="O2609" t="inlineStr">
        <is>
          <t>Documentação Aprovada</t>
        </is>
      </c>
      <c r="P2609" t="inlineStr">
        <is>
          <t>Aprovado Diretoria</t>
        </is>
      </c>
      <c r="Q2609" t="inlineStr">
        <is>
          <t>Aprovado Caixa</t>
        </is>
      </c>
      <c r="R2609" t="inlineStr">
        <is>
          <t>Pago</t>
        </is>
      </c>
      <c r="S2609" t="n">
        <v>115</v>
      </c>
      <c r="T2609" t="inlineStr">
        <is>
          <t>Love - Shibari - Bradesco</t>
        </is>
      </c>
    </row>
    <row r="2610">
      <c r="A2610" t="n">
        <v>97390</v>
      </c>
      <c r="B2610" t="n">
        <v>128</v>
      </c>
      <c r="C2610" t="inlineStr">
        <is>
          <t>Love Cabaret</t>
        </is>
      </c>
      <c r="D2610" t="inlineStr">
        <is>
          <t>EASY ICE SOLUTION LTDA-ME LOCAÇÃO</t>
        </is>
      </c>
      <c r="E2610" t="n">
        <v>1600</v>
      </c>
      <c r="F2610" s="27" t="n">
        <v>45721</v>
      </c>
      <c r="G2610" s="27" t="n">
        <v>45716</v>
      </c>
      <c r="H2610" s="27" t="n">
        <v>45716</v>
      </c>
      <c r="I2610" s="27" t="n">
        <v>45713</v>
      </c>
      <c r="J2610" s="27" t="n"/>
      <c r="K2610" t="inlineStr">
        <is>
          <t>Boleto Bancário</t>
        </is>
      </c>
      <c r="L2610" t="inlineStr">
        <is>
          <t>Locação de Equipamentos</t>
        </is>
      </c>
      <c r="M2610" t="inlineStr">
        <is>
          <t>Locações de Equipamentos - Operacionais</t>
        </is>
      </c>
      <c r="N2610" t="inlineStr">
        <is>
          <t>7852</t>
        </is>
      </c>
      <c r="O2610" t="inlineStr">
        <is>
          <t>Documentação Aprovada</t>
        </is>
      </c>
      <c r="P2610" t="inlineStr">
        <is>
          <t>Aprovado Diretoria</t>
        </is>
      </c>
      <c r="Q2610" t="inlineStr">
        <is>
          <t>Aprovado Caixa</t>
        </is>
      </c>
      <c r="R2610" t="inlineStr">
        <is>
          <t>Pago</t>
        </is>
      </c>
      <c r="S2610" t="n">
        <v>115</v>
      </c>
      <c r="T2610" t="inlineStr">
        <is>
          <t>Love - Shibari - Bradesco</t>
        </is>
      </c>
    </row>
    <row r="2611">
      <c r="A2611" t="n">
        <v>97324</v>
      </c>
      <c r="B2611" t="n">
        <v>128</v>
      </c>
      <c r="C2611" t="inlineStr">
        <is>
          <t>Love Cabaret</t>
        </is>
      </c>
      <c r="D2611" t="inlineStr">
        <is>
          <t>ELETROPAULO METROPOLITANA ELETRICIDADE DE SAO PAULO SA</t>
        </is>
      </c>
      <c r="E2611" t="n">
        <v>13732.67</v>
      </c>
      <c r="F2611" s="27" t="n">
        <v>45721</v>
      </c>
      <c r="G2611" s="27" t="n">
        <v>45716</v>
      </c>
      <c r="H2611" s="27" t="n">
        <v>45716</v>
      </c>
      <c r="I2611" s="27" t="n">
        <v>45703</v>
      </c>
      <c r="J2611" s="27" t="n"/>
      <c r="K2611" t="inlineStr">
        <is>
          <t>Boleto Bancário</t>
        </is>
      </c>
      <c r="L2611" t="inlineStr">
        <is>
          <t>Utilidades</t>
        </is>
      </c>
      <c r="M2611" t="inlineStr">
        <is>
          <t>Energia Eletrica</t>
        </is>
      </c>
      <c r="N2611" t="inlineStr">
        <is>
          <t>686961137</t>
        </is>
      </c>
      <c r="O2611" t="inlineStr">
        <is>
          <t>Documentação Aprovada</t>
        </is>
      </c>
      <c r="P2611" t="inlineStr">
        <is>
          <t>Aprovado Diretoria</t>
        </is>
      </c>
      <c r="Q2611" t="inlineStr">
        <is>
          <t>Aprovado Caixa</t>
        </is>
      </c>
      <c r="R2611" t="inlineStr">
        <is>
          <t>Pago</t>
        </is>
      </c>
      <c r="S2611" t="n">
        <v>115</v>
      </c>
      <c r="T2611" t="inlineStr">
        <is>
          <t>Love - Shibari - Bradesco</t>
        </is>
      </c>
    </row>
    <row r="2612">
      <c r="A2612" t="n">
        <v>97336</v>
      </c>
      <c r="B2612" t="n">
        <v>128</v>
      </c>
      <c r="C2612" t="inlineStr">
        <is>
          <t>Love Cabaret</t>
        </is>
      </c>
      <c r="D2612" t="inlineStr">
        <is>
          <t>ELETROPAULO METROPOLITANA ELETRICIDADE DE SAO PAULO SA</t>
        </is>
      </c>
      <c r="E2612" t="n">
        <v>87.13</v>
      </c>
      <c r="F2612" s="27" t="n">
        <v>45721</v>
      </c>
      <c r="G2612" s="27" t="n">
        <v>45716</v>
      </c>
      <c r="H2612" s="27" t="n">
        <v>45716</v>
      </c>
      <c r="I2612" s="27" t="n">
        <v>45703</v>
      </c>
      <c r="J2612" s="27" t="n"/>
      <c r="K2612" t="inlineStr">
        <is>
          <t>Boleto Bancário</t>
        </is>
      </c>
      <c r="L2612" t="inlineStr">
        <is>
          <t>Utilidades</t>
        </is>
      </c>
      <c r="M2612" t="inlineStr">
        <is>
          <t>Energia Eletrica</t>
        </is>
      </c>
      <c r="N2612" t="inlineStr">
        <is>
          <t>686961133</t>
        </is>
      </c>
      <c r="O2612" t="inlineStr">
        <is>
          <t>Documentação Aprovada</t>
        </is>
      </c>
      <c r="P2612" t="inlineStr">
        <is>
          <t>Aprovado Diretoria</t>
        </is>
      </c>
      <c r="Q2612" t="inlineStr">
        <is>
          <t>Aprovado Caixa</t>
        </is>
      </c>
      <c r="R2612" t="inlineStr">
        <is>
          <t>Pago</t>
        </is>
      </c>
      <c r="S2612" t="n">
        <v>115</v>
      </c>
      <c r="T2612" t="inlineStr">
        <is>
          <t>Love - Shibari - Bradesco</t>
        </is>
      </c>
    </row>
    <row r="2613">
      <c r="A2613" t="n">
        <v>107645</v>
      </c>
      <c r="B2613" t="n">
        <v>128</v>
      </c>
      <c r="C2613" t="inlineStr">
        <is>
          <t>Love Cabaret</t>
        </is>
      </c>
      <c r="D2613" t="inlineStr">
        <is>
          <t>JMF COMERCIO DE ARTIGOS GRAFICOS LTDA</t>
        </is>
      </c>
      <c r="E2613" t="n">
        <v>680</v>
      </c>
      <c r="F2613" s="27" t="n">
        <v>45725</v>
      </c>
      <c r="G2613" s="27" t="n">
        <v>45716</v>
      </c>
      <c r="H2613" s="27" t="n">
        <v>45716</v>
      </c>
      <c r="I2613" s="27" t="n">
        <v>45688</v>
      </c>
      <c r="J2613" s="27" t="n">
        <v>45693</v>
      </c>
      <c r="K2613" t="inlineStr">
        <is>
          <t>Boleto Bancário</t>
        </is>
      </c>
      <c r="L2613" t="inlineStr">
        <is>
          <t>Utilidades</t>
        </is>
      </c>
      <c r="M2613" t="inlineStr">
        <is>
          <t>Serviços Graficos</t>
        </is>
      </c>
      <c r="N2613" t="inlineStr">
        <is>
          <t>118206</t>
        </is>
      </c>
      <c r="O2613" t="inlineStr">
        <is>
          <t>Documentação Aprovada</t>
        </is>
      </c>
      <c r="P2613" t="inlineStr">
        <is>
          <t>Aprovado Diretoria</t>
        </is>
      </c>
      <c r="Q2613" t="inlineStr">
        <is>
          <t>Aprovado Caixa</t>
        </is>
      </c>
      <c r="R2613" t="inlineStr">
        <is>
          <t>Pago</t>
        </is>
      </c>
      <c r="S2613" t="n">
        <v>115</v>
      </c>
      <c r="T2613" t="inlineStr">
        <is>
          <t>Love - Shibari - Bradesco</t>
        </is>
      </c>
    </row>
    <row r="2614">
      <c r="A2614" t="n">
        <v>106671</v>
      </c>
      <c r="B2614" t="n">
        <v>128</v>
      </c>
      <c r="C2614" t="inlineStr">
        <is>
          <t>Love Cabaret</t>
        </is>
      </c>
      <c r="D2614" t="inlineStr">
        <is>
          <t>AURORA ALVORADA ESTACIONAMENTO E LANCHONETE LTDA</t>
        </is>
      </c>
      <c r="E2614" t="n">
        <v>209.91</v>
      </c>
      <c r="F2614" s="27" t="n">
        <v>45719</v>
      </c>
      <c r="G2614" s="27" t="n">
        <v>45716</v>
      </c>
      <c r="H2614" s="27" t="n">
        <v>45716</v>
      </c>
      <c r="I2614" s="27" t="n">
        <v>45712</v>
      </c>
      <c r="J2614" s="27" t="n"/>
      <c r="K2614" t="inlineStr">
        <is>
          <t>Boleto Bancário</t>
        </is>
      </c>
      <c r="L2614" t="inlineStr">
        <is>
          <t>Custo Mercadoria Vendida</t>
        </is>
      </c>
      <c r="M2614" t="inlineStr">
        <is>
          <t>Insumos - Alimentos</t>
        </is>
      </c>
      <c r="N2614" t="inlineStr">
        <is>
          <t>10318</t>
        </is>
      </c>
      <c r="O2614" t="inlineStr">
        <is>
          <t>Documentação Aprovada</t>
        </is>
      </c>
      <c r="P2614" t="inlineStr">
        <is>
          <t>Aprovado Diretoria</t>
        </is>
      </c>
      <c r="Q2614" t="inlineStr">
        <is>
          <t>Aprovado Caixa</t>
        </is>
      </c>
      <c r="R2614" t="inlineStr">
        <is>
          <t>Pago</t>
        </is>
      </c>
      <c r="S2614" t="n">
        <v>115</v>
      </c>
      <c r="T2614" t="inlineStr">
        <is>
          <t>Love - Shibari - Bradesco</t>
        </is>
      </c>
    </row>
    <row r="2615">
      <c r="A2615" t="n">
        <v>109357</v>
      </c>
      <c r="B2615" t="n">
        <v>128</v>
      </c>
      <c r="C2615" t="inlineStr">
        <is>
          <t>Love Cabaret</t>
        </is>
      </c>
      <c r="D2615" t="inlineStr">
        <is>
          <t xml:space="preserve">EMPORIO MEL </t>
        </is>
      </c>
      <c r="E2615" t="n">
        <v>1033.89</v>
      </c>
      <c r="F2615" s="27" t="n">
        <v>45722</v>
      </c>
      <c r="G2615" s="27" t="n">
        <v>45716</v>
      </c>
      <c r="H2615" s="27" t="n">
        <v>45716</v>
      </c>
      <c r="I2615" s="27" t="n">
        <v>45691</v>
      </c>
      <c r="J2615" s="27" t="n">
        <v>45695</v>
      </c>
      <c r="K2615" t="inlineStr">
        <is>
          <t>Boleto Bancário</t>
        </is>
      </c>
      <c r="L2615" t="inlineStr">
        <is>
          <t>Custo Mercadoria Vendida</t>
        </is>
      </c>
      <c r="M2615" t="inlineStr">
        <is>
          <t>Insumos - Alimentos</t>
        </is>
      </c>
      <c r="N2615" t="inlineStr">
        <is>
          <t>438715</t>
        </is>
      </c>
      <c r="O2615" t="inlineStr">
        <is>
          <t>Documentação Aprovada</t>
        </is>
      </c>
      <c r="P2615" t="inlineStr">
        <is>
          <t>Aprovado Diretoria</t>
        </is>
      </c>
      <c r="Q2615" t="inlineStr">
        <is>
          <t>Aprovado Caixa</t>
        </is>
      </c>
      <c r="R2615" t="inlineStr">
        <is>
          <t>Pago</t>
        </is>
      </c>
      <c r="S2615" t="n">
        <v>115</v>
      </c>
      <c r="T2615" t="inlineStr">
        <is>
          <t>Love - Shibari - Bradesco</t>
        </is>
      </c>
    </row>
    <row r="2616">
      <c r="A2616" t="n">
        <v>109338</v>
      </c>
      <c r="B2616" t="n">
        <v>128</v>
      </c>
      <c r="C2616" t="inlineStr">
        <is>
          <t>Love Cabaret</t>
        </is>
      </c>
      <c r="D2616" t="inlineStr">
        <is>
          <t xml:space="preserve">SKY COMERCIO DE PRODUTOS ALIMENTICIOS LTDA </t>
        </is>
      </c>
      <c r="E2616" t="n">
        <v>210.82</v>
      </c>
      <c r="F2616" s="27" t="n">
        <v>45719</v>
      </c>
      <c r="G2616" s="27" t="n">
        <v>45716</v>
      </c>
      <c r="H2616" s="27" t="n">
        <v>45716</v>
      </c>
      <c r="I2616" s="27" t="n">
        <v>45691</v>
      </c>
      <c r="J2616" s="27" t="n">
        <v>45695</v>
      </c>
      <c r="K2616" t="inlineStr">
        <is>
          <t>Boleto Bancário</t>
        </is>
      </c>
      <c r="L2616" t="inlineStr">
        <is>
          <t>Custo Mercadoria Vendida</t>
        </is>
      </c>
      <c r="M2616" t="inlineStr">
        <is>
          <t>Insumos - Bebidas</t>
        </is>
      </c>
      <c r="N2616" t="inlineStr">
        <is>
          <t>23931</t>
        </is>
      </c>
      <c r="O2616" t="inlineStr">
        <is>
          <t>Documentação Aprovada</t>
        </is>
      </c>
      <c r="P2616" t="inlineStr">
        <is>
          <t>Aprovado Diretoria</t>
        </is>
      </c>
      <c r="Q2616" t="inlineStr">
        <is>
          <t>Aprovado Caixa</t>
        </is>
      </c>
      <c r="R2616" t="inlineStr">
        <is>
          <t>Pago</t>
        </is>
      </c>
      <c r="S2616" t="n">
        <v>115</v>
      </c>
      <c r="T2616" t="inlineStr">
        <is>
          <t>Love - Shibari - Bradesco</t>
        </is>
      </c>
    </row>
    <row r="2617">
      <c r="A2617" t="n">
        <v>109340</v>
      </c>
      <c r="B2617" t="n">
        <v>128</v>
      </c>
      <c r="C2617" t="inlineStr">
        <is>
          <t>Love Cabaret</t>
        </is>
      </c>
      <c r="D2617" t="inlineStr">
        <is>
          <t>CIUFFI HORTIFRUTI EIRELI</t>
        </is>
      </c>
      <c r="E2617" t="n">
        <v>400.91</v>
      </c>
      <c r="F2617" s="27" t="n">
        <v>45721</v>
      </c>
      <c r="G2617" s="27" t="n">
        <v>45716</v>
      </c>
      <c r="H2617" s="27" t="n">
        <v>45716</v>
      </c>
      <c r="I2617" s="27" t="n">
        <v>45691</v>
      </c>
      <c r="J2617" s="27" t="n">
        <v>45695</v>
      </c>
      <c r="K2617" t="inlineStr">
        <is>
          <t>Boleto Bancário</t>
        </is>
      </c>
      <c r="L2617" t="inlineStr">
        <is>
          <t>Custo Mercadoria Vendida</t>
        </is>
      </c>
      <c r="M2617" t="inlineStr">
        <is>
          <t>Insumos - Alimentos</t>
        </is>
      </c>
      <c r="N2617" t="inlineStr">
        <is>
          <t>19428</t>
        </is>
      </c>
      <c r="O2617" t="inlineStr">
        <is>
          <t>Documentação Aprovada</t>
        </is>
      </c>
      <c r="P2617" t="inlineStr">
        <is>
          <t>Aprovado Diretoria</t>
        </is>
      </c>
      <c r="Q2617" t="inlineStr">
        <is>
          <t>Aprovado Caixa</t>
        </is>
      </c>
      <c r="R2617" t="inlineStr">
        <is>
          <t>Pago</t>
        </is>
      </c>
      <c r="S2617" t="n">
        <v>115</v>
      </c>
      <c r="T2617" t="inlineStr">
        <is>
          <t>Love - Shibari - Bradesco</t>
        </is>
      </c>
    </row>
    <row r="2618">
      <c r="A2618" t="n">
        <v>109371</v>
      </c>
      <c r="B2618" t="n">
        <v>128</v>
      </c>
      <c r="C2618" t="inlineStr">
        <is>
          <t>Love Cabaret</t>
        </is>
      </c>
      <c r="D2618" t="inlineStr">
        <is>
          <t>KING COMERCIO E IMPORTACAO DE BEBIDAS LTDA</t>
        </is>
      </c>
      <c r="E2618" t="n">
        <v>4753.11</v>
      </c>
      <c r="F2618" s="27" t="n">
        <v>45720</v>
      </c>
      <c r="G2618" s="27" t="n">
        <v>45716</v>
      </c>
      <c r="H2618" s="27" t="n">
        <v>45716</v>
      </c>
      <c r="I2618" s="27" t="n">
        <v>45692</v>
      </c>
      <c r="J2618" s="27" t="n">
        <v>45695</v>
      </c>
      <c r="K2618" t="inlineStr">
        <is>
          <t>Boleto Bancário</t>
        </is>
      </c>
      <c r="L2618" t="inlineStr">
        <is>
          <t>Custo Mercadoria Vendida</t>
        </is>
      </c>
      <c r="M2618" t="inlineStr">
        <is>
          <t>Insumos - Bebidas</t>
        </is>
      </c>
      <c r="N2618" t="inlineStr">
        <is>
          <t>114932</t>
        </is>
      </c>
      <c r="O2618" t="inlineStr">
        <is>
          <t>Documentação Aprovada</t>
        </is>
      </c>
      <c r="P2618" t="inlineStr">
        <is>
          <t>Aprovado Diretoria</t>
        </is>
      </c>
      <c r="Q2618" t="inlineStr">
        <is>
          <t>Aprovado Caixa</t>
        </is>
      </c>
      <c r="R2618" t="inlineStr">
        <is>
          <t>Pago</t>
        </is>
      </c>
      <c r="S2618" t="n">
        <v>115</v>
      </c>
      <c r="T2618" t="inlineStr">
        <is>
          <t>Love - Shibari - Bradesco</t>
        </is>
      </c>
    </row>
    <row r="2619">
      <c r="A2619" t="n">
        <v>109354</v>
      </c>
      <c r="B2619" t="n">
        <v>128</v>
      </c>
      <c r="C2619" t="inlineStr">
        <is>
          <t>Love Cabaret</t>
        </is>
      </c>
      <c r="D2619" t="inlineStr">
        <is>
          <t xml:space="preserve">EMPORIO MEL </t>
        </is>
      </c>
      <c r="E2619" t="n">
        <v>998.6</v>
      </c>
      <c r="F2619" s="27" t="n">
        <v>45722</v>
      </c>
      <c r="G2619" s="27" t="n">
        <v>45716</v>
      </c>
      <c r="H2619" s="27" t="n">
        <v>45716</v>
      </c>
      <c r="I2619" s="27" t="n">
        <v>45691</v>
      </c>
      <c r="J2619" s="27" t="n">
        <v>45695</v>
      </c>
      <c r="K2619" t="inlineStr">
        <is>
          <t>Boleto Bancário</t>
        </is>
      </c>
      <c r="L2619" t="inlineStr">
        <is>
          <t>Custo Mercadoria Vendida</t>
        </is>
      </c>
      <c r="M2619" t="inlineStr">
        <is>
          <t>Insumos - Bebidas</t>
        </is>
      </c>
      <c r="N2619" t="inlineStr">
        <is>
          <t>438657</t>
        </is>
      </c>
      <c r="O2619" t="inlineStr">
        <is>
          <t>Documentação Aprovada</t>
        </is>
      </c>
      <c r="P2619" t="inlineStr">
        <is>
          <t>Aprovado Diretoria</t>
        </is>
      </c>
      <c r="Q2619" t="inlineStr">
        <is>
          <t>Aprovado Caixa</t>
        </is>
      </c>
      <c r="R2619" t="inlineStr">
        <is>
          <t>Pago</t>
        </is>
      </c>
      <c r="S2619" t="n">
        <v>115</v>
      </c>
      <c r="T2619" t="inlineStr">
        <is>
          <t>Love - Shibari - Bradesco</t>
        </is>
      </c>
    </row>
    <row r="2620">
      <c r="A2620" t="n">
        <v>48454</v>
      </c>
      <c r="B2620" t="n">
        <v>128</v>
      </c>
      <c r="C2620" t="inlineStr">
        <is>
          <t>Love Cabaret</t>
        </is>
      </c>
      <c r="D2620" t="inlineStr">
        <is>
          <t xml:space="preserve">MINISTERIO DA FAZENDA </t>
        </is>
      </c>
      <c r="E2620" t="n">
        <v>19533.49</v>
      </c>
      <c r="F2620" s="27" t="n">
        <v>45716</v>
      </c>
      <c r="G2620" s="27" t="n">
        <v>45716</v>
      </c>
      <c r="H2620" s="27" t="n">
        <v>45716</v>
      </c>
      <c r="I2620" s="27" t="n">
        <v>45366</v>
      </c>
      <c r="J2620" s="27" t="n"/>
      <c r="K2620" t="inlineStr">
        <is>
          <t xml:space="preserve">Debito Automático </t>
        </is>
      </c>
      <c r="L2620" t="inlineStr">
        <is>
          <t>Endividamento</t>
        </is>
      </c>
      <c r="M2620" t="inlineStr">
        <is>
          <t>Endividamento Geral</t>
        </is>
      </c>
      <c r="N2620" t="inlineStr">
        <is>
          <t>12/60</t>
        </is>
      </c>
      <c r="O2620" t="inlineStr">
        <is>
          <t>Documentação Aprovada</t>
        </is>
      </c>
      <c r="P2620" t="inlineStr">
        <is>
          <t>Aprovado Diretoria</t>
        </is>
      </c>
      <c r="Q2620" t="inlineStr">
        <is>
          <t>Aprovado Caixa</t>
        </is>
      </c>
      <c r="R2620" t="inlineStr">
        <is>
          <t>Pago</t>
        </is>
      </c>
      <c r="S2620" t="n">
        <v>115</v>
      </c>
      <c r="T2620" t="inlineStr">
        <is>
          <t>Love - Shibari - Bradesco</t>
        </is>
      </c>
    </row>
    <row r="2621">
      <c r="A2621" t="n">
        <v>48406</v>
      </c>
      <c r="B2621" t="n">
        <v>128</v>
      </c>
      <c r="C2621" t="inlineStr">
        <is>
          <t>Love Cabaret</t>
        </is>
      </c>
      <c r="D2621" t="inlineStr">
        <is>
          <t>ICMS</t>
        </is>
      </c>
      <c r="E2621" t="n">
        <v>761.2</v>
      </c>
      <c r="F2621" s="27" t="n">
        <v>45716</v>
      </c>
      <c r="G2621" s="27" t="n">
        <v>45714</v>
      </c>
      <c r="H2621" s="27" t="n">
        <v>45714</v>
      </c>
      <c r="I2621" s="27" t="n">
        <v>45366</v>
      </c>
      <c r="J2621" s="27" t="n"/>
      <c r="K2621" t="inlineStr">
        <is>
          <t>Boleto Bancário</t>
        </is>
      </c>
      <c r="L2621" t="inlineStr">
        <is>
          <t>Endividamento</t>
        </is>
      </c>
      <c r="M2621" t="inlineStr">
        <is>
          <t>Endividamento Geral</t>
        </is>
      </c>
      <c r="N2621" t="inlineStr">
        <is>
          <t>11/60</t>
        </is>
      </c>
      <c r="O2621" t="inlineStr">
        <is>
          <t>Documentação Aprovada</t>
        </is>
      </c>
      <c r="P2621" t="inlineStr">
        <is>
          <t>Aprovado Diretoria</t>
        </is>
      </c>
      <c r="Q2621" t="inlineStr">
        <is>
          <t>Aprovado Caixa</t>
        </is>
      </c>
      <c r="R2621" t="inlineStr">
        <is>
          <t>Pago</t>
        </is>
      </c>
      <c r="S2621" t="n">
        <v>115</v>
      </c>
      <c r="T2621" t="inlineStr">
        <is>
          <t>Love - Shibari - Bradesco</t>
        </is>
      </c>
    </row>
    <row r="2622">
      <c r="A2622" t="n">
        <v>48455</v>
      </c>
      <c r="B2622" t="n">
        <v>128</v>
      </c>
      <c r="C2622" t="inlineStr">
        <is>
          <t>Love Cabaret</t>
        </is>
      </c>
      <c r="D2622" t="inlineStr">
        <is>
          <t xml:space="preserve">MINISTERIO DA FAZENDA </t>
        </is>
      </c>
      <c r="E2622" t="n">
        <v>559.2</v>
      </c>
      <c r="F2622" s="27" t="n">
        <v>45716</v>
      </c>
      <c r="G2622" s="27" t="n">
        <v>45714</v>
      </c>
      <c r="H2622" s="27" t="n">
        <v>45714</v>
      </c>
      <c r="I2622" s="27" t="n">
        <v>45366</v>
      </c>
      <c r="J2622" s="27" t="n"/>
      <c r="K2622" t="inlineStr">
        <is>
          <t>Boleto Bancário</t>
        </is>
      </c>
      <c r="L2622" t="inlineStr">
        <is>
          <t>Endividamento</t>
        </is>
      </c>
      <c r="M2622" t="inlineStr">
        <is>
          <t>Endividamento Geral</t>
        </is>
      </c>
      <c r="N2622" t="inlineStr">
        <is>
          <t>12/45</t>
        </is>
      </c>
      <c r="O2622" t="inlineStr">
        <is>
          <t>Documentação Aprovada</t>
        </is>
      </c>
      <c r="P2622" t="inlineStr">
        <is>
          <t>Aprovado Diretoria</t>
        </is>
      </c>
      <c r="Q2622" t="inlineStr">
        <is>
          <t>Aprovado Caixa</t>
        </is>
      </c>
      <c r="R2622" t="inlineStr">
        <is>
          <t>Pago</t>
        </is>
      </c>
      <c r="S2622" t="n">
        <v>115</v>
      </c>
      <c r="T2622" t="inlineStr">
        <is>
          <t>Love - Shibari - Bradesco</t>
        </is>
      </c>
    </row>
    <row r="2623">
      <c r="A2623" t="n">
        <v>51173</v>
      </c>
      <c r="B2623" t="n">
        <v>128</v>
      </c>
      <c r="C2623" t="inlineStr">
        <is>
          <t>Love Cabaret</t>
        </is>
      </c>
      <c r="D2623" t="inlineStr">
        <is>
          <t>ICMS</t>
        </is>
      </c>
      <c r="E2623" t="n">
        <v>580.97</v>
      </c>
      <c r="F2623" s="27" t="n">
        <v>45715</v>
      </c>
      <c r="G2623" s="27" t="n">
        <v>45714</v>
      </c>
      <c r="H2623" s="27" t="n">
        <v>45714</v>
      </c>
      <c r="I2623" s="27" t="n">
        <v>45406</v>
      </c>
      <c r="J2623" s="27" t="n"/>
      <c r="K2623" t="inlineStr">
        <is>
          <t>Boleto Bancário</t>
        </is>
      </c>
      <c r="L2623" t="inlineStr">
        <is>
          <t>Endividamento</t>
        </is>
      </c>
      <c r="M2623" t="inlineStr">
        <is>
          <t>Endividamento Geral</t>
        </is>
      </c>
      <c r="N2623" t="inlineStr">
        <is>
          <t>10/36</t>
        </is>
      </c>
      <c r="O2623" t="inlineStr">
        <is>
          <t>Documentação Aprovada</t>
        </is>
      </c>
      <c r="P2623" t="inlineStr">
        <is>
          <t>Aprovado Diretoria</t>
        </is>
      </c>
      <c r="Q2623" t="inlineStr">
        <is>
          <t>Aprovado Caixa</t>
        </is>
      </c>
      <c r="R2623" t="inlineStr">
        <is>
          <t>Pago</t>
        </is>
      </c>
      <c r="S2623" t="n">
        <v>115</v>
      </c>
      <c r="T2623" t="inlineStr">
        <is>
          <t>Love - Shibari - Bradesco</t>
        </is>
      </c>
    </row>
    <row r="2624">
      <c r="A2624" t="n">
        <v>109365</v>
      </c>
      <c r="B2624" t="n">
        <v>128</v>
      </c>
      <c r="C2624" t="inlineStr">
        <is>
          <t>Love Cabaret</t>
        </is>
      </c>
      <c r="D2624" t="inlineStr">
        <is>
          <t>CIUFFI HORTIFRUTI EIRELI</t>
        </is>
      </c>
      <c r="E2624" t="n">
        <v>311.5</v>
      </c>
      <c r="F2624" s="27" t="n">
        <v>45716</v>
      </c>
      <c r="G2624" s="27" t="n">
        <v>45714</v>
      </c>
      <c r="H2624" s="27" t="n">
        <v>45714</v>
      </c>
      <c r="I2624" s="27" t="n">
        <v>45687</v>
      </c>
      <c r="J2624" s="27" t="n">
        <v>45695</v>
      </c>
      <c r="K2624" t="inlineStr">
        <is>
          <t>Boleto Bancário</t>
        </is>
      </c>
      <c r="L2624" t="inlineStr">
        <is>
          <t>Custo Mercadoria Vendida</t>
        </is>
      </c>
      <c r="M2624" t="inlineStr">
        <is>
          <t>Insumos - Alimentos</t>
        </is>
      </c>
      <c r="N2624" t="inlineStr">
        <is>
          <t>19316</t>
        </is>
      </c>
      <c r="O2624" t="inlineStr">
        <is>
          <t>Documentação Aprovada</t>
        </is>
      </c>
      <c r="P2624" t="inlineStr">
        <is>
          <t>Aprovado Diretoria</t>
        </is>
      </c>
      <c r="Q2624" t="inlineStr">
        <is>
          <t>Aprovado Caixa</t>
        </is>
      </c>
      <c r="R2624" t="inlineStr">
        <is>
          <t>Pago</t>
        </is>
      </c>
      <c r="S2624" t="n">
        <v>115</v>
      </c>
      <c r="T2624" t="inlineStr">
        <is>
          <t>Love - Shibari - Bradesco</t>
        </is>
      </c>
    </row>
    <row r="2625">
      <c r="A2625" t="n">
        <v>108187</v>
      </c>
      <c r="B2625" t="n">
        <v>128</v>
      </c>
      <c r="C2625" t="inlineStr">
        <is>
          <t>Love Cabaret</t>
        </is>
      </c>
      <c r="D2625" t="inlineStr">
        <is>
          <t xml:space="preserve">GOOGLE BRASIL INTERNET LTDA </t>
        </is>
      </c>
      <c r="E2625" t="n">
        <v>500</v>
      </c>
      <c r="F2625" s="27" t="n">
        <v>45714</v>
      </c>
      <c r="G2625" s="27" t="n">
        <v>45715</v>
      </c>
      <c r="H2625" s="27" t="n">
        <v>45714</v>
      </c>
      <c r="I2625" s="27" t="n">
        <v>45703</v>
      </c>
      <c r="J2625" s="27" t="n"/>
      <c r="K2625" t="inlineStr">
        <is>
          <t>Boleto Bancário</t>
        </is>
      </c>
      <c r="L2625" t="inlineStr">
        <is>
          <t>Marketing</t>
        </is>
      </c>
      <c r="M2625" t="inlineStr">
        <is>
          <t>Publicidade e Propaganda</t>
        </is>
      </c>
      <c r="N2625" t="inlineStr">
        <is>
          <t>20</t>
        </is>
      </c>
      <c r="O2625" t="inlineStr">
        <is>
          <t>Documentação Aprovada</t>
        </is>
      </c>
      <c r="P2625" t="inlineStr">
        <is>
          <t>Aprovado Diretoria</t>
        </is>
      </c>
      <c r="Q2625" t="inlineStr">
        <is>
          <t>Aprovado Caixa</t>
        </is>
      </c>
      <c r="R2625" t="inlineStr">
        <is>
          <t>Pago</t>
        </is>
      </c>
      <c r="S2625" t="n">
        <v>115</v>
      </c>
      <c r="T2625" t="inlineStr">
        <is>
          <t>Love - Shibari - Bradesco</t>
        </is>
      </c>
    </row>
    <row r="2626">
      <c r="A2626" t="n">
        <v>106360</v>
      </c>
      <c r="B2626" t="n">
        <v>128</v>
      </c>
      <c r="C2626" t="inlineStr">
        <is>
          <t>Love Cabaret</t>
        </is>
      </c>
      <c r="D2626" t="inlineStr">
        <is>
          <t xml:space="preserve">EMPORIO MEL </t>
        </is>
      </c>
      <c r="E2626" t="n">
        <v>1997.33</v>
      </c>
      <c r="F2626" s="27" t="n">
        <v>45715</v>
      </c>
      <c r="G2626" s="27" t="n">
        <v>45714</v>
      </c>
      <c r="H2626" s="27" t="n">
        <v>45714</v>
      </c>
      <c r="I2626" s="27" t="n">
        <v>45684</v>
      </c>
      <c r="J2626" s="27" t="n">
        <v>45687</v>
      </c>
      <c r="K2626" t="inlineStr">
        <is>
          <t>Boleto Bancário</t>
        </is>
      </c>
      <c r="L2626" t="inlineStr">
        <is>
          <t>Custo Mercadoria Vendida</t>
        </is>
      </c>
      <c r="M2626" t="inlineStr">
        <is>
          <t>Insumos - Alimentos</t>
        </is>
      </c>
      <c r="N2626" t="inlineStr">
        <is>
          <t>437873</t>
        </is>
      </c>
      <c r="O2626" t="inlineStr">
        <is>
          <t>Documentação Aprovada</t>
        </is>
      </c>
      <c r="P2626" t="inlineStr">
        <is>
          <t>Aprovado Diretoria</t>
        </is>
      </c>
      <c r="Q2626" t="inlineStr">
        <is>
          <t>Aprovado Caixa</t>
        </is>
      </c>
      <c r="R2626" t="inlineStr">
        <is>
          <t>Pago</t>
        </is>
      </c>
      <c r="S2626" t="n">
        <v>115</v>
      </c>
      <c r="T2626" t="inlineStr">
        <is>
          <t>Love - Shibari - Bradesco</t>
        </is>
      </c>
    </row>
    <row r="2627">
      <c r="A2627" t="n">
        <v>96806</v>
      </c>
      <c r="B2627" t="n">
        <v>128</v>
      </c>
      <c r="C2627" t="inlineStr">
        <is>
          <t>Love Cabaret</t>
        </is>
      </c>
      <c r="D2627" t="inlineStr">
        <is>
          <t>ARQUIVEI SERVICOS ON LINE LTDA</t>
        </is>
      </c>
      <c r="E2627" t="n">
        <v>364.83</v>
      </c>
      <c r="F2627" s="27" t="n">
        <v>45715</v>
      </c>
      <c r="G2627" s="27" t="n">
        <v>45714</v>
      </c>
      <c r="H2627" s="27" t="n">
        <v>45714</v>
      </c>
      <c r="I2627" s="27" t="n">
        <v>45700</v>
      </c>
      <c r="J2627" s="27" t="n"/>
      <c r="K2627" t="inlineStr">
        <is>
          <t>Transferência Bancária ou Pix</t>
        </is>
      </c>
      <c r="L2627" t="inlineStr">
        <is>
          <t>Informática e TI</t>
        </is>
      </c>
      <c r="M2627" t="inlineStr">
        <is>
          <t>Sistemas Gerais - Operacionais</t>
        </is>
      </c>
      <c r="N2627" t="inlineStr">
        <is>
          <t>292025</t>
        </is>
      </c>
      <c r="O2627" t="inlineStr">
        <is>
          <t>Documentação Aprovada</t>
        </is>
      </c>
      <c r="P2627" t="inlineStr">
        <is>
          <t>Aprovado Diretoria</t>
        </is>
      </c>
      <c r="Q2627" t="inlineStr">
        <is>
          <t>Aprovado Caixa</t>
        </is>
      </c>
      <c r="R2627" t="inlineStr">
        <is>
          <t>Pago</t>
        </is>
      </c>
      <c r="S2627" t="n">
        <v>115</v>
      </c>
      <c r="T2627" t="inlineStr">
        <is>
          <t>Love - Shibari - Bradesco</t>
        </is>
      </c>
    </row>
    <row r="2628">
      <c r="A2628" t="n">
        <v>97089</v>
      </c>
      <c r="B2628" t="n">
        <v>128</v>
      </c>
      <c r="C2628" t="inlineStr">
        <is>
          <t>Love Cabaret</t>
        </is>
      </c>
      <c r="D2628" t="inlineStr">
        <is>
          <t>ESTAFF SOLUCOES TECNOLOGICAS DE AGENCIAMENTO LTDA</t>
        </is>
      </c>
      <c r="E2628" t="n">
        <v>10945</v>
      </c>
      <c r="F2628" s="27" t="n">
        <v>45714</v>
      </c>
      <c r="G2628" s="27" t="n">
        <v>45714</v>
      </c>
      <c r="H2628" s="27" t="n">
        <v>45714</v>
      </c>
      <c r="I2628" s="27" t="n">
        <v>45705</v>
      </c>
      <c r="J2628" s="27" t="n"/>
      <c r="K2628" t="inlineStr">
        <is>
          <t>Boleto Bancário</t>
        </is>
      </c>
      <c r="L2628" t="inlineStr">
        <is>
          <t>Mão de Obra - Extra</t>
        </is>
      </c>
      <c r="M2628" t="inlineStr">
        <is>
          <t>Mão de Obra Extra</t>
        </is>
      </c>
      <c r="N2628" t="inlineStr">
        <is>
          <t>524698284</t>
        </is>
      </c>
      <c r="O2628" t="inlineStr">
        <is>
          <t>Documentação Aprovada</t>
        </is>
      </c>
      <c r="P2628" t="inlineStr">
        <is>
          <t>Aprovado Diretoria</t>
        </is>
      </c>
      <c r="Q2628" t="inlineStr">
        <is>
          <t>Aprovado Caixa</t>
        </is>
      </c>
      <c r="R2628" t="inlineStr">
        <is>
          <t>Pago</t>
        </is>
      </c>
      <c r="S2628" t="n">
        <v>115</v>
      </c>
      <c r="T2628" t="inlineStr">
        <is>
          <t>Love - Shibari - Bradesco</t>
        </is>
      </c>
    </row>
    <row r="2629">
      <c r="A2629" t="n">
        <v>96049</v>
      </c>
      <c r="B2629" t="n">
        <v>128</v>
      </c>
      <c r="C2629" t="inlineStr">
        <is>
          <t>Love Cabaret</t>
        </is>
      </c>
      <c r="D2629" t="inlineStr">
        <is>
          <t>ISS</t>
        </is>
      </c>
      <c r="E2629" t="n">
        <v>1841.02</v>
      </c>
      <c r="F2629" s="27" t="n">
        <v>45716</v>
      </c>
      <c r="G2629" s="27" t="n">
        <v>45714</v>
      </c>
      <c r="H2629" s="27" t="n">
        <v>45714</v>
      </c>
      <c r="I2629" s="27" t="n">
        <v>45688</v>
      </c>
      <c r="J2629" s="27" t="n"/>
      <c r="K2629" t="inlineStr">
        <is>
          <t>Boleto Bancário</t>
        </is>
      </c>
      <c r="L2629" t="inlineStr">
        <is>
          <t>Endividamento</t>
        </is>
      </c>
      <c r="M2629" t="inlineStr">
        <is>
          <t>Endividamento Geral</t>
        </is>
      </c>
      <c r="N2629" t="inlineStr">
        <is>
          <t>2/60</t>
        </is>
      </c>
      <c r="O2629" t="inlineStr">
        <is>
          <t>Documentação Aprovada</t>
        </is>
      </c>
      <c r="P2629" t="inlineStr">
        <is>
          <t>Aprovado Diretoria</t>
        </is>
      </c>
      <c r="Q2629" t="inlineStr">
        <is>
          <t>Aprovado Caixa</t>
        </is>
      </c>
      <c r="R2629" t="inlineStr">
        <is>
          <t>Pago</t>
        </is>
      </c>
      <c r="S2629" t="n">
        <v>115</v>
      </c>
      <c r="T2629" t="inlineStr">
        <is>
          <t>Love - Shibari - Bradesco</t>
        </is>
      </c>
    </row>
    <row r="2630">
      <c r="A2630" t="n">
        <v>97375</v>
      </c>
      <c r="B2630" t="n">
        <v>128</v>
      </c>
      <c r="C2630" t="inlineStr">
        <is>
          <t>Love Cabaret</t>
        </is>
      </c>
      <c r="D2630" t="inlineStr">
        <is>
          <t>EBM ADVOGADOS - MATECKI SOCIEDADE INDIVIDUAL DE ADVOCACIA</t>
        </is>
      </c>
      <c r="E2630" t="n">
        <v>2500</v>
      </c>
      <c r="F2630" s="27" t="n">
        <v>45717</v>
      </c>
      <c r="G2630" s="27" t="n">
        <v>45714</v>
      </c>
      <c r="H2630" s="27" t="n">
        <v>45714</v>
      </c>
      <c r="I2630" s="27" t="n">
        <v>45703</v>
      </c>
      <c r="J2630" s="27" t="n"/>
      <c r="K2630" t="inlineStr">
        <is>
          <t>Transferência Bancária ou Pix</t>
        </is>
      </c>
      <c r="L2630" t="inlineStr">
        <is>
          <t>Serviços de Terceiros</t>
        </is>
      </c>
      <c r="M2630" t="inlineStr">
        <is>
          <t>Assessoria Jurídica</t>
        </is>
      </c>
      <c r="N2630" t="inlineStr">
        <is>
          <t>192025</t>
        </is>
      </c>
      <c r="O2630" t="inlineStr">
        <is>
          <t>Documentação Aprovada</t>
        </is>
      </c>
      <c r="P2630" t="inlineStr">
        <is>
          <t>Aprovado Diretoria</t>
        </is>
      </c>
      <c r="Q2630" t="inlineStr">
        <is>
          <t>Aprovado Caixa</t>
        </is>
      </c>
      <c r="R2630" t="inlineStr">
        <is>
          <t>Pago</t>
        </is>
      </c>
      <c r="S2630" t="n">
        <v>115</v>
      </c>
      <c r="T2630" t="inlineStr">
        <is>
          <t>Love - Shibari - Bradesco</t>
        </is>
      </c>
    </row>
    <row r="2631">
      <c r="A2631" t="n">
        <v>102772</v>
      </c>
      <c r="B2631" t="n">
        <v>128</v>
      </c>
      <c r="C2631" t="inlineStr">
        <is>
          <t>Love Cabaret</t>
        </is>
      </c>
      <c r="D2631" t="inlineStr">
        <is>
          <t>FABRICA DE BARES PARTICIPACOES LTDA</t>
        </is>
      </c>
      <c r="E2631" t="n">
        <v>5920.79</v>
      </c>
      <c r="F2631" s="27" t="n">
        <v>45708</v>
      </c>
      <c r="G2631" s="27" t="n">
        <v>45714</v>
      </c>
      <c r="H2631" s="27" t="n">
        <v>45714</v>
      </c>
      <c r="I2631" s="27" t="n">
        <v>45687</v>
      </c>
      <c r="J2631" s="27" t="n"/>
      <c r="K2631" t="inlineStr">
        <is>
          <t>Transferência Bancária ou Pix</t>
        </is>
      </c>
      <c r="L2631" t="inlineStr">
        <is>
          <t>Mão de Obra - Benefícios</t>
        </is>
      </c>
      <c r="M2631" t="inlineStr">
        <is>
          <t xml:space="preserve">  -  Alimentação Funcionário</t>
        </is>
      </c>
      <c r="N2631" t="inlineStr">
        <is>
          <t>092025</t>
        </is>
      </c>
      <c r="O2631" t="inlineStr">
        <is>
          <t>Documentação Aprovada</t>
        </is>
      </c>
      <c r="P2631" t="inlineStr">
        <is>
          <t>Aprovado Diretoria</t>
        </is>
      </c>
      <c r="Q2631" t="inlineStr">
        <is>
          <t>Aprovado Caixa</t>
        </is>
      </c>
      <c r="R2631" t="inlineStr">
        <is>
          <t>Pago</t>
        </is>
      </c>
      <c r="S2631" t="n">
        <v>115</v>
      </c>
      <c r="T2631" t="inlineStr">
        <is>
          <t>Love - Shibari - Bradesco</t>
        </is>
      </c>
    </row>
    <row r="2632">
      <c r="A2632" t="n">
        <v>103006</v>
      </c>
      <c r="B2632" t="n">
        <v>128</v>
      </c>
      <c r="C2632" t="inlineStr">
        <is>
          <t>Love Cabaret</t>
        </is>
      </c>
      <c r="D2632" t="inlineStr">
        <is>
          <t>TELEFONICA BRASIL S/A</t>
        </is>
      </c>
      <c r="E2632" t="n">
        <v>20</v>
      </c>
      <c r="F2632" s="27" t="n">
        <v>45715</v>
      </c>
      <c r="G2632" s="27" t="n">
        <v>45714</v>
      </c>
      <c r="H2632" s="27" t="n">
        <v>45714</v>
      </c>
      <c r="I2632" s="27" t="n">
        <v>45674</v>
      </c>
      <c r="J2632" s="27" t="n"/>
      <c r="K2632" t="inlineStr">
        <is>
          <t>Boleto Bancário</t>
        </is>
      </c>
      <c r="L2632" t="inlineStr">
        <is>
          <t>Informática e TI</t>
        </is>
      </c>
      <c r="M2632" t="inlineStr">
        <is>
          <t>Internet</t>
        </is>
      </c>
      <c r="N2632" t="inlineStr">
        <is>
          <t>443836731</t>
        </is>
      </c>
      <c r="O2632" t="inlineStr">
        <is>
          <t>Documentação Aprovada</t>
        </is>
      </c>
      <c r="P2632" t="inlineStr">
        <is>
          <t>Aprovado Diretoria</t>
        </is>
      </c>
      <c r="Q2632" t="inlineStr">
        <is>
          <t>Aprovado Caixa</t>
        </is>
      </c>
      <c r="R2632" t="inlineStr">
        <is>
          <t>Pago</t>
        </is>
      </c>
      <c r="S2632" t="n">
        <v>115</v>
      </c>
      <c r="T2632" t="inlineStr">
        <is>
          <t>Love - Shibari - Bradesco</t>
        </is>
      </c>
    </row>
    <row r="2633">
      <c r="A2633" t="n">
        <v>102993</v>
      </c>
      <c r="B2633" t="n">
        <v>128</v>
      </c>
      <c r="C2633" t="inlineStr">
        <is>
          <t>Love Cabaret</t>
        </is>
      </c>
      <c r="D2633" t="inlineStr">
        <is>
          <t>TELEFONICA BRASIL S/A</t>
        </is>
      </c>
      <c r="E2633" t="n">
        <v>449.21</v>
      </c>
      <c r="F2633" s="27" t="n">
        <v>45715</v>
      </c>
      <c r="G2633" s="27" t="n">
        <v>45714</v>
      </c>
      <c r="H2633" s="27" t="n">
        <v>45714</v>
      </c>
      <c r="I2633" s="27" t="n">
        <v>45705</v>
      </c>
      <c r="J2633" s="27" t="n"/>
      <c r="K2633" t="inlineStr">
        <is>
          <t>Boleto Bancário</t>
        </is>
      </c>
      <c r="L2633" t="inlineStr">
        <is>
          <t>Informática e TI</t>
        </is>
      </c>
      <c r="M2633" t="inlineStr">
        <is>
          <t>Internet</t>
        </is>
      </c>
      <c r="N2633" t="inlineStr">
        <is>
          <t>443318083</t>
        </is>
      </c>
      <c r="O2633" t="inlineStr">
        <is>
          <t>Documentação Aprovada</t>
        </is>
      </c>
      <c r="P2633" t="inlineStr">
        <is>
          <t>Aprovado Diretoria</t>
        </is>
      </c>
      <c r="Q2633" t="inlineStr">
        <is>
          <t>Aprovado Caixa</t>
        </is>
      </c>
      <c r="R2633" t="inlineStr">
        <is>
          <t>Pago</t>
        </is>
      </c>
      <c r="S2633" t="n">
        <v>115</v>
      </c>
      <c r="T2633" t="inlineStr">
        <is>
          <t>Love - Shibari - Bradesco</t>
        </is>
      </c>
    </row>
    <row r="2634">
      <c r="A2634" t="n">
        <v>102804</v>
      </c>
      <c r="B2634" t="n">
        <v>128</v>
      </c>
      <c r="C2634" t="inlineStr">
        <is>
          <t>Love Cabaret</t>
        </is>
      </c>
      <c r="D2634" t="inlineStr">
        <is>
          <t>FREE SOM - LOCACAO DE SOM E  LUZ LTDA - TUKASON</t>
        </is>
      </c>
      <c r="E2634" t="n">
        <v>6000</v>
      </c>
      <c r="F2634" s="27" t="n">
        <v>45716</v>
      </c>
      <c r="G2634" s="27" t="n">
        <v>45714</v>
      </c>
      <c r="H2634" s="27" t="n">
        <v>45714</v>
      </c>
      <c r="I2634" s="27" t="n">
        <v>45701</v>
      </c>
      <c r="J2634" s="27" t="n"/>
      <c r="K2634" t="inlineStr">
        <is>
          <t>Boleto Bancário</t>
        </is>
      </c>
      <c r="L2634" t="inlineStr">
        <is>
          <t>Custos Artístico Geral</t>
        </is>
      </c>
      <c r="M2634" t="inlineStr">
        <is>
          <t>Locação de Equipamentos Fixo</t>
        </is>
      </c>
      <c r="N2634" t="inlineStr">
        <is>
          <t>486</t>
        </is>
      </c>
      <c r="O2634" t="inlineStr">
        <is>
          <t>Documentação Aprovada</t>
        </is>
      </c>
      <c r="P2634" t="inlineStr">
        <is>
          <t>Aprovado Diretoria</t>
        </is>
      </c>
      <c r="Q2634" t="inlineStr">
        <is>
          <t>Aprovado Caixa</t>
        </is>
      </c>
      <c r="R2634" t="inlineStr">
        <is>
          <t>Pago</t>
        </is>
      </c>
      <c r="S2634" t="n">
        <v>115</v>
      </c>
      <c r="T2634" t="inlineStr">
        <is>
          <t>Love - Shibari - Bradesco</t>
        </is>
      </c>
    </row>
    <row r="2635">
      <c r="A2635" t="n">
        <v>110162</v>
      </c>
      <c r="B2635" t="n">
        <v>128</v>
      </c>
      <c r="C2635" t="inlineStr">
        <is>
          <t>Love Cabaret</t>
        </is>
      </c>
      <c r="D2635" t="inlineStr">
        <is>
          <t>PORCO FELIZ COM DE CARNES LTDA</t>
        </is>
      </c>
      <c r="E2635" t="n">
        <v>605.92</v>
      </c>
      <c r="F2635" s="27" t="n">
        <v>45713</v>
      </c>
      <c r="G2635" s="27" t="n">
        <v>45714</v>
      </c>
      <c r="H2635" s="27" t="n">
        <v>45714</v>
      </c>
      <c r="I2635" s="27" t="n">
        <v>45699</v>
      </c>
      <c r="J2635" s="27" t="n">
        <v>45701</v>
      </c>
      <c r="K2635" t="inlineStr">
        <is>
          <t>Boleto Bancário</t>
        </is>
      </c>
      <c r="L2635" t="inlineStr">
        <is>
          <t>Custo Mercadoria Vendida</t>
        </is>
      </c>
      <c r="M2635" t="inlineStr">
        <is>
          <t>Insumos - Alimentos</t>
        </is>
      </c>
      <c r="N2635" t="inlineStr">
        <is>
          <t>566803</t>
        </is>
      </c>
      <c r="O2635" t="inlineStr">
        <is>
          <t>Documentação Aprovada</t>
        </is>
      </c>
      <c r="P2635" t="inlineStr">
        <is>
          <t>Aprovado Diretoria</t>
        </is>
      </c>
      <c r="Q2635" t="inlineStr">
        <is>
          <t>Aprovado Caixa</t>
        </is>
      </c>
      <c r="R2635" t="inlineStr">
        <is>
          <t>Pago</t>
        </is>
      </c>
      <c r="S2635" t="n">
        <v>115</v>
      </c>
      <c r="T2635" t="inlineStr">
        <is>
          <t>Love - Shibari - Bradesco</t>
        </is>
      </c>
    </row>
    <row r="2636">
      <c r="A2636" t="n">
        <v>110278</v>
      </c>
      <c r="B2636" t="n">
        <v>128</v>
      </c>
      <c r="C2636" t="inlineStr">
        <is>
          <t>Love Cabaret</t>
        </is>
      </c>
      <c r="D2636" t="inlineStr">
        <is>
          <t>VALE TRANSPORTE</t>
        </is>
      </c>
      <c r="E2636" t="n">
        <v>556.45</v>
      </c>
      <c r="F2636" s="27" t="n">
        <v>45716</v>
      </c>
      <c r="G2636" s="27" t="n">
        <v>45714</v>
      </c>
      <c r="H2636" s="27" t="n">
        <v>45714</v>
      </c>
      <c r="I2636" s="27" t="n">
        <v>45689</v>
      </c>
      <c r="J2636" s="27" t="n">
        <v>45701</v>
      </c>
      <c r="K2636" t="inlineStr">
        <is>
          <t>Boleto Bancário</t>
        </is>
      </c>
      <c r="L2636" t="inlineStr">
        <is>
          <t>Mão de Obra - Benefícios</t>
        </is>
      </c>
      <c r="M2636" t="inlineStr">
        <is>
          <t xml:space="preserve">  -  Vale-transporte</t>
        </is>
      </c>
      <c r="N2636" t="inlineStr">
        <is>
          <t>210882285</t>
        </is>
      </c>
      <c r="O2636" t="inlineStr">
        <is>
          <t>Documentação Aprovada</t>
        </is>
      </c>
      <c r="P2636" t="inlineStr">
        <is>
          <t>Aprovado Diretoria</t>
        </is>
      </c>
      <c r="Q2636" t="inlineStr">
        <is>
          <t>Aprovado Caixa</t>
        </is>
      </c>
      <c r="R2636" t="inlineStr">
        <is>
          <t>Pago</t>
        </is>
      </c>
      <c r="S2636" t="n">
        <v>115</v>
      </c>
      <c r="T2636" t="inlineStr">
        <is>
          <t>Love - Shibari - Bradesco</t>
        </is>
      </c>
    </row>
    <row r="2637">
      <c r="A2637" t="n">
        <v>111039</v>
      </c>
      <c r="B2637" t="n">
        <v>128</v>
      </c>
      <c r="C2637" t="inlineStr">
        <is>
          <t>Love Cabaret</t>
        </is>
      </c>
      <c r="D2637" t="inlineStr">
        <is>
          <t>PEDRO THOMAZ RODRIGUES</t>
        </is>
      </c>
      <c r="E2637" t="n">
        <v>1374.79</v>
      </c>
      <c r="F2637" s="27" t="n">
        <v>45715</v>
      </c>
      <c r="G2637" s="27" t="n">
        <v>45714</v>
      </c>
      <c r="H2637" s="27" t="n">
        <v>45714</v>
      </c>
      <c r="I2637" s="27" t="n">
        <v>45717</v>
      </c>
      <c r="J2637" s="27" t="n">
        <v>45705</v>
      </c>
      <c r="K2637" t="inlineStr">
        <is>
          <t>Transferência Bancária ou Pix</t>
        </is>
      </c>
      <c r="L2637" t="inlineStr">
        <is>
          <t>Mão de Obra - Encargos e Provisões</t>
        </is>
      </c>
      <c r="M2637" t="inlineStr">
        <is>
          <t xml:space="preserve">  -  Férias</t>
        </is>
      </c>
      <c r="N2637" t="inlineStr">
        <is>
          <t>137479032025</t>
        </is>
      </c>
      <c r="O2637" t="inlineStr">
        <is>
          <t>Documentação Aprovada</t>
        </is>
      </c>
      <c r="P2637" t="inlineStr">
        <is>
          <t>Aprovado Diretoria</t>
        </is>
      </c>
      <c r="Q2637" t="inlineStr">
        <is>
          <t>Aprovado Caixa</t>
        </is>
      </c>
      <c r="R2637" t="inlineStr">
        <is>
          <t>Pago</t>
        </is>
      </c>
      <c r="S2637" t="n">
        <v>115</v>
      </c>
      <c r="T2637" t="inlineStr">
        <is>
          <t>Love - Shibari - Bradesco</t>
        </is>
      </c>
    </row>
    <row r="2638">
      <c r="A2638" t="n">
        <v>114328</v>
      </c>
      <c r="B2638" t="n">
        <v>128</v>
      </c>
      <c r="C2638" t="inlineStr">
        <is>
          <t>Love Cabaret</t>
        </is>
      </c>
      <c r="D2638" t="inlineStr">
        <is>
          <t>BRADESCO SA</t>
        </is>
      </c>
      <c r="E2638" t="n">
        <v>35.82</v>
      </c>
      <c r="F2638" s="27" t="n">
        <v>45714</v>
      </c>
      <c r="G2638" s="27" t="n"/>
      <c r="H2638" s="27" t="n">
        <v>45714</v>
      </c>
      <c r="I2638" s="27" t="n">
        <v>45714</v>
      </c>
      <c r="J2638" s="27" t="n">
        <v>45715</v>
      </c>
      <c r="K2638" t="inlineStr">
        <is>
          <t>Encontro de Contas</t>
        </is>
      </c>
      <c r="L2638" t="inlineStr">
        <is>
          <t>Despesas Financeiras</t>
        </is>
      </c>
      <c r="M2638" t="inlineStr">
        <is>
          <t>Tarifas Bancárias</t>
        </is>
      </c>
      <c r="N2638" t="inlineStr">
        <is>
          <t>022025</t>
        </is>
      </c>
      <c r="P2638" t="inlineStr">
        <is>
          <t>Aprovado Diretoria</t>
        </is>
      </c>
      <c r="R2638" t="inlineStr">
        <is>
          <t>Pago</t>
        </is>
      </c>
    </row>
    <row r="2639">
      <c r="A2639" t="n">
        <v>111080</v>
      </c>
      <c r="B2639" t="n">
        <v>128</v>
      </c>
      <c r="C2639" t="inlineStr">
        <is>
          <t>Love Cabaret</t>
        </is>
      </c>
      <c r="D2639" t="inlineStr">
        <is>
          <t>PORTO SEGURO CIA DE SEGUROS GERAIS</t>
        </is>
      </c>
      <c r="E2639" t="n">
        <v>20.99</v>
      </c>
      <c r="F2639" s="27" t="n">
        <v>45717</v>
      </c>
      <c r="G2639" s="27" t="n">
        <v>45714</v>
      </c>
      <c r="H2639" s="27" t="n">
        <v>45714</v>
      </c>
      <c r="I2639" s="27" t="n">
        <v>45717</v>
      </c>
      <c r="J2639" s="27" t="n">
        <v>45705</v>
      </c>
      <c r="K2639" t="inlineStr">
        <is>
          <t>Boleto Bancário</t>
        </is>
      </c>
      <c r="L2639" t="inlineStr">
        <is>
          <t>Mão de Obra - Benefícios</t>
        </is>
      </c>
      <c r="M2639" t="inlineStr">
        <is>
          <t xml:space="preserve">  -  Seguro de Vida</t>
        </is>
      </c>
      <c r="N2639" t="inlineStr">
        <is>
          <t>2099 032025</t>
        </is>
      </c>
      <c r="O2639" t="inlineStr">
        <is>
          <t>Documentação Aprovada</t>
        </is>
      </c>
      <c r="P2639" t="inlineStr">
        <is>
          <t>Aprovado Diretoria</t>
        </is>
      </c>
      <c r="Q2639" t="inlineStr">
        <is>
          <t>Aprovado Caixa</t>
        </is>
      </c>
      <c r="R2639" t="inlineStr">
        <is>
          <t>Pago</t>
        </is>
      </c>
      <c r="S2639" t="n">
        <v>115</v>
      </c>
      <c r="T2639" t="inlineStr">
        <is>
          <t>Love - Shibari - Bradesco</t>
        </is>
      </c>
    </row>
    <row r="2640">
      <c r="A2640" t="n">
        <v>111143</v>
      </c>
      <c r="B2640" t="n">
        <v>128</v>
      </c>
      <c r="C2640" t="inlineStr">
        <is>
          <t>Love Cabaret</t>
        </is>
      </c>
      <c r="D2640" t="inlineStr">
        <is>
          <t>HORTIFRUTIGRANJEIRO RODRIGUES LTDA</t>
        </is>
      </c>
      <c r="E2640" t="n">
        <v>190</v>
      </c>
      <c r="F2640" s="27" t="n">
        <v>45717</v>
      </c>
      <c r="G2640" s="27" t="n">
        <v>45714</v>
      </c>
      <c r="H2640" s="27" t="n">
        <v>45714</v>
      </c>
      <c r="I2640" s="27" t="n">
        <v>45702</v>
      </c>
      <c r="J2640" s="27" t="n">
        <v>45705</v>
      </c>
      <c r="K2640" t="inlineStr">
        <is>
          <t>Boleto Bancário</t>
        </is>
      </c>
      <c r="L2640" t="inlineStr">
        <is>
          <t>Custo Mercadoria Vendida</t>
        </is>
      </c>
      <c r="M2640" t="inlineStr">
        <is>
          <t>Insumos - Alimentos</t>
        </is>
      </c>
      <c r="N2640" t="inlineStr">
        <is>
          <t>8576</t>
        </is>
      </c>
      <c r="O2640" t="inlineStr">
        <is>
          <t>Documentação Aprovada</t>
        </is>
      </c>
      <c r="P2640" t="inlineStr">
        <is>
          <t>Aprovado Diretoria</t>
        </is>
      </c>
      <c r="Q2640" t="inlineStr">
        <is>
          <t>Aprovado Caixa</t>
        </is>
      </c>
      <c r="R2640" t="inlineStr">
        <is>
          <t>Pago</t>
        </is>
      </c>
      <c r="S2640" t="n">
        <v>115</v>
      </c>
      <c r="T2640" t="inlineStr">
        <is>
          <t>Love - Shibari - Bradesco</t>
        </is>
      </c>
    </row>
    <row r="2641">
      <c r="A2641" t="n">
        <v>111141</v>
      </c>
      <c r="B2641" t="n">
        <v>128</v>
      </c>
      <c r="C2641" t="inlineStr">
        <is>
          <t>Love Cabaret</t>
        </is>
      </c>
      <c r="D2641" t="inlineStr">
        <is>
          <t>CEPEL COMERCIO DE PAPEIS E EMBALAGENS EIRELI</t>
        </is>
      </c>
      <c r="E2641" t="n">
        <v>389.78</v>
      </c>
      <c r="F2641" s="27" t="n">
        <v>45716</v>
      </c>
      <c r="G2641" s="27" t="n">
        <v>45714</v>
      </c>
      <c r="H2641" s="27" t="n">
        <v>45714</v>
      </c>
      <c r="I2641" s="27" t="n">
        <v>45700</v>
      </c>
      <c r="J2641" s="27" t="n">
        <v>45705</v>
      </c>
      <c r="K2641" t="inlineStr">
        <is>
          <t>Boleto Bancário</t>
        </is>
      </c>
      <c r="L2641" t="inlineStr">
        <is>
          <t>Utilidades</t>
        </is>
      </c>
      <c r="M2641" t="inlineStr">
        <is>
          <t>Higiene e Limpeza</t>
        </is>
      </c>
      <c r="N2641" t="inlineStr">
        <is>
          <t>234758</t>
        </is>
      </c>
      <c r="O2641" t="inlineStr">
        <is>
          <t>Documentação Aprovada</t>
        </is>
      </c>
      <c r="P2641" t="inlineStr">
        <is>
          <t>Aprovado Diretoria</t>
        </is>
      </c>
      <c r="Q2641" t="inlineStr">
        <is>
          <t>Aprovado Caixa</t>
        </is>
      </c>
      <c r="R2641" t="inlineStr">
        <is>
          <t>Pago</t>
        </is>
      </c>
      <c r="S2641" t="n">
        <v>115</v>
      </c>
      <c r="T2641" t="inlineStr">
        <is>
          <t>Love - Shibari - Bradesco</t>
        </is>
      </c>
    </row>
    <row r="2642">
      <c r="A2642" t="n">
        <v>111135</v>
      </c>
      <c r="B2642" t="n">
        <v>128</v>
      </c>
      <c r="C2642" t="inlineStr">
        <is>
          <t>Love Cabaret</t>
        </is>
      </c>
      <c r="D2642" t="inlineStr">
        <is>
          <t>GOMES D ELIA EQUIP. HIGIENE LTDA - WESCO</t>
        </is>
      </c>
      <c r="E2642" t="n">
        <v>327</v>
      </c>
      <c r="F2642" s="27" t="n">
        <v>45715</v>
      </c>
      <c r="G2642" s="27" t="n">
        <v>45714</v>
      </c>
      <c r="H2642" s="27" t="n">
        <v>45714</v>
      </c>
      <c r="I2642" s="27" t="n">
        <v>45700</v>
      </c>
      <c r="J2642" s="27" t="n">
        <v>45705</v>
      </c>
      <c r="K2642" t="inlineStr">
        <is>
          <t>Boleto Bancário</t>
        </is>
      </c>
      <c r="L2642" t="inlineStr">
        <is>
          <t>Utilidades</t>
        </is>
      </c>
      <c r="M2642" t="inlineStr">
        <is>
          <t>Higiene e Limpeza</t>
        </is>
      </c>
      <c r="N2642" t="inlineStr">
        <is>
          <t>216483</t>
        </is>
      </c>
      <c r="O2642" t="inlineStr">
        <is>
          <t>Documentação Aprovada</t>
        </is>
      </c>
      <c r="P2642" t="inlineStr">
        <is>
          <t>Aprovado Diretoria</t>
        </is>
      </c>
      <c r="Q2642" t="inlineStr">
        <is>
          <t>Aprovado Caixa</t>
        </is>
      </c>
      <c r="R2642" t="inlineStr">
        <is>
          <t>Pago</t>
        </is>
      </c>
      <c r="S2642" t="n">
        <v>115</v>
      </c>
      <c r="T2642" t="inlineStr">
        <is>
          <t>Love - Shibari - Bradesco</t>
        </is>
      </c>
    </row>
    <row r="2643">
      <c r="A2643" t="n">
        <v>111133</v>
      </c>
      <c r="B2643" t="n">
        <v>128</v>
      </c>
      <c r="C2643" t="inlineStr">
        <is>
          <t>Love Cabaret</t>
        </is>
      </c>
      <c r="D2643" t="inlineStr">
        <is>
          <t>BATALHA FABRICA DE PAES LTDA</t>
        </is>
      </c>
      <c r="E2643" t="n">
        <v>374.55</v>
      </c>
      <c r="F2643" s="27" t="n">
        <v>45716</v>
      </c>
      <c r="G2643" s="27" t="n">
        <v>45714</v>
      </c>
      <c r="H2643" s="27" t="n">
        <v>45714</v>
      </c>
      <c r="I2643" s="27" t="n">
        <v>45699</v>
      </c>
      <c r="J2643" s="27" t="n">
        <v>45705</v>
      </c>
      <c r="K2643" t="inlineStr">
        <is>
          <t>Boleto Bancário</t>
        </is>
      </c>
      <c r="L2643" t="inlineStr">
        <is>
          <t>Custo Mercadoria Vendida</t>
        </is>
      </c>
      <c r="M2643" t="inlineStr">
        <is>
          <t>Insumos - Alimentos</t>
        </is>
      </c>
      <c r="N2643" t="inlineStr">
        <is>
          <t>29800</t>
        </is>
      </c>
      <c r="O2643" t="inlineStr">
        <is>
          <t>Documentação Aprovada</t>
        </is>
      </c>
      <c r="P2643" t="inlineStr">
        <is>
          <t>Aprovado Diretoria</t>
        </is>
      </c>
      <c r="Q2643" t="inlineStr">
        <is>
          <t>Aprovado Caixa</t>
        </is>
      </c>
      <c r="R2643" t="inlineStr">
        <is>
          <t>Pago</t>
        </is>
      </c>
      <c r="S2643" t="n">
        <v>115</v>
      </c>
      <c r="T2643" t="inlineStr">
        <is>
          <t>Love - Shibari - Bradesco</t>
        </is>
      </c>
    </row>
    <row r="2644">
      <c r="A2644" t="n">
        <v>84041</v>
      </c>
      <c r="B2644" t="n">
        <v>128</v>
      </c>
      <c r="C2644" t="inlineStr">
        <is>
          <t>Love Cabaret</t>
        </is>
      </c>
      <c r="D2644" t="inlineStr">
        <is>
          <t>CSLL</t>
        </is>
      </c>
      <c r="E2644" t="n">
        <v>1586.46</v>
      </c>
      <c r="F2644" s="27" t="n">
        <v>45716</v>
      </c>
      <c r="G2644" s="27" t="n">
        <v>45714</v>
      </c>
      <c r="H2644" s="27" t="n">
        <v>45714</v>
      </c>
      <c r="I2644" s="27" t="n">
        <v>45599</v>
      </c>
      <c r="J2644" s="27" t="n"/>
      <c r="K2644" t="inlineStr">
        <is>
          <t>Boleto Bancário</t>
        </is>
      </c>
      <c r="L2644" t="inlineStr">
        <is>
          <t>Endividamento</t>
        </is>
      </c>
      <c r="M2644" t="inlineStr">
        <is>
          <t>Endividamento Geral</t>
        </is>
      </c>
      <c r="N2644" t="inlineStr">
        <is>
          <t>5/120</t>
        </is>
      </c>
      <c r="O2644" t="inlineStr">
        <is>
          <t>Documentação Aprovada</t>
        </is>
      </c>
      <c r="P2644" t="inlineStr">
        <is>
          <t>Aprovado Diretoria</t>
        </is>
      </c>
      <c r="Q2644" t="inlineStr">
        <is>
          <t>Aprovado Caixa</t>
        </is>
      </c>
      <c r="R2644" t="inlineStr">
        <is>
          <t>Pago</t>
        </is>
      </c>
      <c r="S2644" t="n">
        <v>115</v>
      </c>
      <c r="T2644" t="inlineStr">
        <is>
          <t>Love - Shibari - Bradesco</t>
        </is>
      </c>
    </row>
    <row r="2645">
      <c r="A2645" t="n">
        <v>106357</v>
      </c>
      <c r="B2645" t="n">
        <v>128</v>
      </c>
      <c r="C2645" t="inlineStr">
        <is>
          <t>Love Cabaret</t>
        </is>
      </c>
      <c r="D2645" t="inlineStr">
        <is>
          <t>B.B DISTRIBUIDORA DE CARNES LTDA</t>
        </is>
      </c>
      <c r="E2645" t="n">
        <v>348.14</v>
      </c>
      <c r="F2645" s="27" t="n">
        <v>45712</v>
      </c>
      <c r="G2645" s="27" t="n">
        <v>45712</v>
      </c>
      <c r="H2645" s="27" t="n">
        <v>45712</v>
      </c>
      <c r="I2645" s="27" t="n">
        <v>45684</v>
      </c>
      <c r="J2645" s="27" t="n">
        <v>45687</v>
      </c>
      <c r="K2645" t="inlineStr">
        <is>
          <t>Boleto Bancário</t>
        </is>
      </c>
      <c r="L2645" t="inlineStr">
        <is>
          <t>Custo Mercadoria Vendida</t>
        </is>
      </c>
      <c r="M2645" t="inlineStr">
        <is>
          <t>Insumos - Alimentos</t>
        </is>
      </c>
      <c r="N2645" t="inlineStr">
        <is>
          <t>385172</t>
        </is>
      </c>
      <c r="O2645" t="inlineStr">
        <is>
          <t>Documentação Aprovada</t>
        </is>
      </c>
      <c r="P2645" t="inlineStr">
        <is>
          <t>Aprovado Diretoria</t>
        </is>
      </c>
      <c r="Q2645" t="inlineStr">
        <is>
          <t>Aprovado Caixa</t>
        </is>
      </c>
      <c r="R2645" t="inlineStr">
        <is>
          <t>Pago</t>
        </is>
      </c>
      <c r="S2645" t="n">
        <v>115</v>
      </c>
      <c r="T2645" t="inlineStr">
        <is>
          <t>Love - Shibari - Bradesco</t>
        </is>
      </c>
    </row>
    <row r="2646">
      <c r="A2646" t="n">
        <v>106368</v>
      </c>
      <c r="B2646" t="n">
        <v>128</v>
      </c>
      <c r="C2646" t="inlineStr">
        <is>
          <t>Love Cabaret</t>
        </is>
      </c>
      <c r="D2646" t="inlineStr">
        <is>
          <t>HORTICLEAN DISTRIBUIDORA DE HORTIFRUTI LTDA</t>
        </is>
      </c>
      <c r="E2646" t="n">
        <v>306.53</v>
      </c>
      <c r="F2646" s="27" t="n">
        <v>45713</v>
      </c>
      <c r="G2646" s="27" t="n">
        <v>45712</v>
      </c>
      <c r="H2646" s="27" t="n">
        <v>45712</v>
      </c>
      <c r="I2646" s="27" t="n">
        <v>45684</v>
      </c>
      <c r="J2646" s="27" t="n">
        <v>45687</v>
      </c>
      <c r="K2646" t="inlineStr">
        <is>
          <t>Boleto Bancário</t>
        </is>
      </c>
      <c r="L2646" t="inlineStr">
        <is>
          <t>Custo Mercadoria Vendida</t>
        </is>
      </c>
      <c r="M2646" t="inlineStr">
        <is>
          <t>Insumos - Alimentos</t>
        </is>
      </c>
      <c r="N2646" t="inlineStr">
        <is>
          <t>25660</t>
        </is>
      </c>
      <c r="O2646" t="inlineStr">
        <is>
          <t>Documentação Aprovada</t>
        </is>
      </c>
      <c r="P2646" t="inlineStr">
        <is>
          <t>Aprovado Diretoria</t>
        </is>
      </c>
      <c r="Q2646" t="inlineStr">
        <is>
          <t>Aprovado Caixa</t>
        </is>
      </c>
      <c r="R2646" t="inlineStr">
        <is>
          <t>Pago</t>
        </is>
      </c>
      <c r="S2646" t="n">
        <v>115</v>
      </c>
      <c r="T2646" t="inlineStr">
        <is>
          <t>Love - Shibari - Bradesco</t>
        </is>
      </c>
    </row>
    <row r="2647">
      <c r="A2647" t="n">
        <v>106389</v>
      </c>
      <c r="B2647" t="n">
        <v>128</v>
      </c>
      <c r="C2647" t="inlineStr">
        <is>
          <t>Love Cabaret</t>
        </is>
      </c>
      <c r="D2647" t="inlineStr">
        <is>
          <t xml:space="preserve">EMPORIO MEL </t>
        </is>
      </c>
      <c r="E2647" t="n">
        <v>1122.6</v>
      </c>
      <c r="F2647" s="27" t="n">
        <v>45714</v>
      </c>
      <c r="G2647" s="27" t="n">
        <v>45712</v>
      </c>
      <c r="H2647" s="27" t="n">
        <v>45712</v>
      </c>
      <c r="I2647" s="27" t="n">
        <v>45684</v>
      </c>
      <c r="J2647" s="27" t="n">
        <v>45687</v>
      </c>
      <c r="K2647" t="inlineStr">
        <is>
          <t>Boleto Bancário</t>
        </is>
      </c>
      <c r="L2647" t="inlineStr">
        <is>
          <t>Custo Mercadoria Vendida</t>
        </is>
      </c>
      <c r="M2647" t="inlineStr">
        <is>
          <t>Insumos - Bebidas</t>
        </is>
      </c>
      <c r="N2647" t="inlineStr">
        <is>
          <t>437892</t>
        </is>
      </c>
      <c r="O2647" t="inlineStr">
        <is>
          <t>Documentação Aprovada</t>
        </is>
      </c>
      <c r="P2647" t="inlineStr">
        <is>
          <t>Aprovado Diretoria</t>
        </is>
      </c>
      <c r="Q2647" t="inlineStr">
        <is>
          <t>Aprovado Caixa</t>
        </is>
      </c>
      <c r="R2647" t="inlineStr">
        <is>
          <t>Pago</t>
        </is>
      </c>
      <c r="S2647" t="n">
        <v>115</v>
      </c>
      <c r="T2647" t="inlineStr">
        <is>
          <t>Love - Shibari - Bradesco</t>
        </is>
      </c>
    </row>
    <row r="2648">
      <c r="A2648" t="n">
        <v>107644</v>
      </c>
      <c r="B2648" t="n">
        <v>128</v>
      </c>
      <c r="C2648" t="inlineStr">
        <is>
          <t>Love Cabaret</t>
        </is>
      </c>
      <c r="D2648" t="inlineStr">
        <is>
          <t>JMF COMERCIO DE ARTIGOS GRAFICOS LTDA</t>
        </is>
      </c>
      <c r="E2648" t="n">
        <v>680</v>
      </c>
      <c r="F2648" s="27" t="n">
        <v>45714</v>
      </c>
      <c r="G2648" s="27" t="n">
        <v>45712</v>
      </c>
      <c r="H2648" s="27" t="n">
        <v>45712</v>
      </c>
      <c r="I2648" s="27" t="n">
        <v>45688</v>
      </c>
      <c r="J2648" s="27" t="n">
        <v>45693</v>
      </c>
      <c r="K2648" t="inlineStr">
        <is>
          <t>Boleto Bancário</t>
        </is>
      </c>
      <c r="L2648" t="inlineStr">
        <is>
          <t>Utilidades</t>
        </is>
      </c>
      <c r="M2648" t="inlineStr">
        <is>
          <t>Serviços Graficos</t>
        </is>
      </c>
      <c r="N2648" t="inlineStr">
        <is>
          <t>118206</t>
        </is>
      </c>
      <c r="O2648" t="inlineStr">
        <is>
          <t>Documentação Aprovada</t>
        </is>
      </c>
      <c r="P2648" t="inlineStr">
        <is>
          <t>Aprovado Diretoria</t>
        </is>
      </c>
      <c r="Q2648" t="inlineStr">
        <is>
          <t>Aprovado Caixa</t>
        </is>
      </c>
      <c r="R2648" t="inlineStr">
        <is>
          <t>Pago</t>
        </is>
      </c>
      <c r="S2648" t="n">
        <v>115</v>
      </c>
      <c r="T2648" t="inlineStr">
        <is>
          <t>Love - Shibari - Bradesco</t>
        </is>
      </c>
    </row>
    <row r="2649">
      <c r="A2649" t="n">
        <v>109647</v>
      </c>
      <c r="B2649" t="n">
        <v>128</v>
      </c>
      <c r="C2649" t="inlineStr">
        <is>
          <t>Love Cabaret</t>
        </is>
      </c>
      <c r="D2649" t="inlineStr">
        <is>
          <t xml:space="preserve">ALEXANDRE SANTOS DA CRUZ </t>
        </is>
      </c>
      <c r="E2649" t="n">
        <v>9234.799999999999</v>
      </c>
      <c r="F2649" s="27" t="n">
        <v>45713</v>
      </c>
      <c r="G2649" s="27" t="n">
        <v>45712</v>
      </c>
      <c r="H2649" s="27" t="n">
        <v>45712</v>
      </c>
      <c r="I2649" s="27" t="n">
        <v>45698</v>
      </c>
      <c r="J2649" s="27" t="n">
        <v>45699</v>
      </c>
      <c r="K2649" t="inlineStr">
        <is>
          <t>Transferência Bancária ou Pix</t>
        </is>
      </c>
      <c r="L2649" t="inlineStr">
        <is>
          <t>Custos Artístico Geral</t>
        </is>
      </c>
      <c r="M2649" t="inlineStr">
        <is>
          <t>Cachê de Músicos e Artistas</t>
        </is>
      </c>
      <c r="N2649" t="inlineStr">
        <is>
          <t>119</t>
        </is>
      </c>
      <c r="O2649" t="inlineStr">
        <is>
          <t>Documentação Aprovada</t>
        </is>
      </c>
      <c r="P2649" t="inlineStr">
        <is>
          <t>Aprovado Diretoria</t>
        </is>
      </c>
      <c r="Q2649" t="inlineStr">
        <is>
          <t>Aprovado Caixa</t>
        </is>
      </c>
      <c r="R2649" t="inlineStr">
        <is>
          <t>Pago</t>
        </is>
      </c>
      <c r="S2649" t="n">
        <v>115</v>
      </c>
      <c r="T2649" t="inlineStr">
        <is>
          <t>Love - Shibari - Bradesco</t>
        </is>
      </c>
    </row>
    <row r="2650">
      <c r="A2650" t="n">
        <v>109359</v>
      </c>
      <c r="B2650" t="n">
        <v>128</v>
      </c>
      <c r="C2650" t="inlineStr">
        <is>
          <t>Love Cabaret</t>
        </is>
      </c>
      <c r="D2650" t="inlineStr">
        <is>
          <t>DTK COMERCIO DE ALIMENTOS LTDA</t>
        </is>
      </c>
      <c r="E2650" t="n">
        <v>825.64</v>
      </c>
      <c r="F2650" s="27" t="n">
        <v>45712</v>
      </c>
      <c r="G2650" s="27" t="n">
        <v>45712</v>
      </c>
      <c r="H2650" s="27" t="n">
        <v>45712</v>
      </c>
      <c r="I2650" s="27" t="n">
        <v>45691</v>
      </c>
      <c r="J2650" s="27" t="n">
        <v>45695</v>
      </c>
      <c r="K2650" t="inlineStr">
        <is>
          <t>Boleto Bancário</t>
        </is>
      </c>
      <c r="L2650" t="inlineStr">
        <is>
          <t>Custo Mercadoria Vendida</t>
        </is>
      </c>
      <c r="M2650" t="inlineStr">
        <is>
          <t>Insumos - Alimentos</t>
        </is>
      </c>
      <c r="N2650" t="inlineStr">
        <is>
          <t>22551</t>
        </is>
      </c>
      <c r="O2650" t="inlineStr">
        <is>
          <t>Documentação Aprovada</t>
        </is>
      </c>
      <c r="P2650" t="inlineStr">
        <is>
          <t>Aprovado Diretoria</t>
        </is>
      </c>
      <c r="Q2650" t="inlineStr">
        <is>
          <t>Aprovado Caixa</t>
        </is>
      </c>
      <c r="R2650" t="inlineStr">
        <is>
          <t>Pago</t>
        </is>
      </c>
      <c r="S2650" t="n">
        <v>115</v>
      </c>
      <c r="T2650" t="inlineStr">
        <is>
          <t>Love - Shibari - Bradesco</t>
        </is>
      </c>
    </row>
    <row r="2651">
      <c r="A2651" t="n">
        <v>109601</v>
      </c>
      <c r="B2651" t="n">
        <v>128</v>
      </c>
      <c r="C2651" t="inlineStr">
        <is>
          <t>Love Cabaret</t>
        </is>
      </c>
      <c r="D2651" t="inlineStr">
        <is>
          <t>PJ 00042021 - JOAO VICTOR MENDES SALUSTIANO</t>
        </is>
      </c>
      <c r="E2651" t="n">
        <v>830</v>
      </c>
      <c r="F2651" s="27" t="n">
        <v>45713</v>
      </c>
      <c r="G2651" s="27" t="n">
        <v>45712</v>
      </c>
      <c r="H2651" s="27" t="n">
        <v>45712</v>
      </c>
      <c r="I2651" s="27" t="n">
        <v>45693</v>
      </c>
      <c r="J2651" s="27" t="n">
        <v>45698</v>
      </c>
      <c r="K2651" t="inlineStr">
        <is>
          <t>Transferência Bancária ou Pix</t>
        </is>
      </c>
      <c r="L2651" t="inlineStr">
        <is>
          <t>Manutenção</t>
        </is>
      </c>
      <c r="M2651" t="inlineStr">
        <is>
          <t>Material de Manutenção</t>
        </is>
      </c>
      <c r="N2651" t="inlineStr">
        <is>
          <t>022025</t>
        </is>
      </c>
      <c r="O2651" t="inlineStr">
        <is>
          <t>Documentação Aprovada</t>
        </is>
      </c>
      <c r="P2651" t="inlineStr">
        <is>
          <t>Aprovado Diretoria</t>
        </is>
      </c>
      <c r="Q2651" t="inlineStr">
        <is>
          <t>Aprovado Caixa</t>
        </is>
      </c>
      <c r="R2651" t="inlineStr">
        <is>
          <t>Pago</t>
        </is>
      </c>
      <c r="S2651" t="n">
        <v>115</v>
      </c>
      <c r="T2651" t="inlineStr">
        <is>
          <t>Love - Shibari - Bradesco</t>
        </is>
      </c>
    </row>
    <row r="2652">
      <c r="A2652" t="n">
        <v>109345</v>
      </c>
      <c r="B2652" t="n">
        <v>128</v>
      </c>
      <c r="C2652" t="inlineStr">
        <is>
          <t>Love Cabaret</t>
        </is>
      </c>
      <c r="D2652" t="inlineStr">
        <is>
          <t>WIDE STOCK COMERCIO E DISTRIBUICAO LTDA</t>
        </is>
      </c>
      <c r="E2652" t="n">
        <v>281.85</v>
      </c>
      <c r="F2652" s="27" t="n">
        <v>45712</v>
      </c>
      <c r="G2652" s="27" t="n">
        <v>45712</v>
      </c>
      <c r="H2652" s="27" t="n">
        <v>45712</v>
      </c>
      <c r="I2652" s="27" t="n">
        <v>45691</v>
      </c>
      <c r="J2652" s="27" t="n">
        <v>45695</v>
      </c>
      <c r="K2652" t="inlineStr">
        <is>
          <t>Boleto Bancário</t>
        </is>
      </c>
      <c r="L2652" t="inlineStr">
        <is>
          <t>Utilidades</t>
        </is>
      </c>
      <c r="M2652" t="inlineStr">
        <is>
          <t>Higiene e Limpeza</t>
        </is>
      </c>
      <c r="N2652" t="inlineStr">
        <is>
          <t>394542</t>
        </is>
      </c>
      <c r="O2652" t="inlineStr">
        <is>
          <t>Documentação Aprovada</t>
        </is>
      </c>
      <c r="P2652" t="inlineStr">
        <is>
          <t>Aprovado Diretoria</t>
        </is>
      </c>
      <c r="Q2652" t="inlineStr">
        <is>
          <t>Aprovado Caixa</t>
        </is>
      </c>
      <c r="R2652" t="inlineStr">
        <is>
          <t>Pago</t>
        </is>
      </c>
      <c r="S2652" t="n">
        <v>115</v>
      </c>
      <c r="T2652" t="inlineStr">
        <is>
          <t>Love - Shibari - Bradesco</t>
        </is>
      </c>
    </row>
    <row r="2653">
      <c r="A2653" t="n">
        <v>106670</v>
      </c>
      <c r="B2653" t="n">
        <v>128</v>
      </c>
      <c r="C2653" t="inlineStr">
        <is>
          <t>Love Cabaret</t>
        </is>
      </c>
      <c r="D2653" t="inlineStr">
        <is>
          <t>AURORA ALVORADA ESTACIONAMENTO E LANCHONETE LTDA</t>
        </is>
      </c>
      <c r="E2653" t="n">
        <v>230.2</v>
      </c>
      <c r="F2653" s="27" t="n">
        <v>45712</v>
      </c>
      <c r="G2653" s="27" t="n">
        <v>45712</v>
      </c>
      <c r="H2653" s="27" t="n">
        <v>45712</v>
      </c>
      <c r="I2653" s="27" t="n">
        <v>45705</v>
      </c>
      <c r="J2653" s="27" t="n"/>
      <c r="K2653" t="inlineStr">
        <is>
          <t>Boleto Bancário</t>
        </is>
      </c>
      <c r="L2653" t="inlineStr">
        <is>
          <t>Custo Mercadoria Vendida</t>
        </is>
      </c>
      <c r="M2653" t="inlineStr">
        <is>
          <t>Insumos - Alimentos</t>
        </is>
      </c>
      <c r="N2653" t="inlineStr">
        <is>
          <t>10306</t>
        </is>
      </c>
      <c r="O2653" t="inlineStr">
        <is>
          <t>Documentação Aprovada</t>
        </is>
      </c>
      <c r="P2653" t="inlineStr">
        <is>
          <t>Aprovado Diretoria</t>
        </is>
      </c>
      <c r="Q2653" t="inlineStr">
        <is>
          <t>Aprovado Caixa</t>
        </is>
      </c>
      <c r="R2653" t="inlineStr">
        <is>
          <t>Pago</t>
        </is>
      </c>
      <c r="S2653" t="n">
        <v>115</v>
      </c>
      <c r="T2653" t="inlineStr">
        <is>
          <t>Love - Shibari - Bradesco</t>
        </is>
      </c>
    </row>
    <row r="2654">
      <c r="A2654" t="n">
        <v>105834</v>
      </c>
      <c r="B2654" t="n">
        <v>128</v>
      </c>
      <c r="C2654" t="inlineStr">
        <is>
          <t>Love Cabaret</t>
        </is>
      </c>
      <c r="D2654" t="inlineStr">
        <is>
          <t>BRH SAUDE OCUPACIONAL LTDA</t>
        </is>
      </c>
      <c r="E2654" t="n">
        <v>38.56</v>
      </c>
      <c r="F2654" s="27" t="n">
        <v>45714</v>
      </c>
      <c r="G2654" s="27" t="n">
        <v>45712</v>
      </c>
      <c r="H2654" s="27" t="n">
        <v>45712</v>
      </c>
      <c r="I2654" s="27" t="n">
        <v>45658</v>
      </c>
      <c r="J2654" s="27" t="n">
        <v>45685</v>
      </c>
      <c r="K2654" t="inlineStr">
        <is>
          <t>Boleto Bancário</t>
        </is>
      </c>
      <c r="L2654" t="inlineStr">
        <is>
          <t>Mão de Obra - Benefícios</t>
        </is>
      </c>
      <c r="M2654" t="inlineStr">
        <is>
          <t xml:space="preserve">  -  Exames Periódicos</t>
        </is>
      </c>
      <c r="N2654" t="inlineStr">
        <is>
          <t>75319</t>
        </is>
      </c>
      <c r="O2654" t="inlineStr">
        <is>
          <t>Documentação Aprovada</t>
        </is>
      </c>
      <c r="P2654" t="inlineStr">
        <is>
          <t>Aprovado Diretoria</t>
        </is>
      </c>
      <c r="Q2654" t="inlineStr">
        <is>
          <t>Aprovado Caixa</t>
        </is>
      </c>
      <c r="R2654" t="inlineStr">
        <is>
          <t>Pago</t>
        </is>
      </c>
      <c r="S2654" t="n">
        <v>115</v>
      </c>
      <c r="T2654" t="inlineStr">
        <is>
          <t>Love - Shibari - Bradesco</t>
        </is>
      </c>
    </row>
    <row r="2655">
      <c r="A2655" t="n">
        <v>111145</v>
      </c>
      <c r="B2655" t="n">
        <v>128</v>
      </c>
      <c r="C2655" t="inlineStr">
        <is>
          <t>Love Cabaret</t>
        </is>
      </c>
      <c r="D2655" t="inlineStr">
        <is>
          <t xml:space="preserve">ARENA VIP DISTRIBUIDORA DE BEBIDAS LTDA </t>
        </is>
      </c>
      <c r="E2655" t="n">
        <v>952</v>
      </c>
      <c r="F2655" s="27" t="n">
        <v>45712</v>
      </c>
      <c r="G2655" s="27" t="n">
        <v>45712</v>
      </c>
      <c r="H2655" s="27" t="n">
        <v>45712</v>
      </c>
      <c r="I2655" s="27" t="n">
        <v>45698</v>
      </c>
      <c r="J2655" s="27" t="n">
        <v>45705</v>
      </c>
      <c r="K2655" t="inlineStr">
        <is>
          <t>Boleto Bancário</t>
        </is>
      </c>
      <c r="L2655" t="inlineStr">
        <is>
          <t>Custo Mercadoria Vendida</t>
        </is>
      </c>
      <c r="M2655" t="inlineStr">
        <is>
          <t>Insumos - Bebidas</t>
        </is>
      </c>
      <c r="N2655" t="inlineStr">
        <is>
          <t>329</t>
        </is>
      </c>
      <c r="O2655" t="inlineStr">
        <is>
          <t>Documentação Aprovada</t>
        </is>
      </c>
      <c r="P2655" t="inlineStr">
        <is>
          <t>Aprovado Diretoria</t>
        </is>
      </c>
      <c r="Q2655" t="inlineStr">
        <is>
          <t>Aprovado Caixa</t>
        </is>
      </c>
      <c r="R2655" t="inlineStr">
        <is>
          <t>Pago</t>
        </is>
      </c>
      <c r="S2655" t="n">
        <v>115</v>
      </c>
      <c r="T2655" t="inlineStr">
        <is>
          <t>Love - Shibari - Bradesco</t>
        </is>
      </c>
    </row>
    <row r="2656">
      <c r="A2656" t="n">
        <v>111136</v>
      </c>
      <c r="B2656" t="n">
        <v>128</v>
      </c>
      <c r="C2656" t="inlineStr">
        <is>
          <t>Love Cabaret</t>
        </is>
      </c>
      <c r="D2656" t="inlineStr">
        <is>
          <t>PIRAMIDES COMERCIO DE AGUAS MINEIRAIS E BEBIDAS EM GERAL LTDA</t>
        </is>
      </c>
      <c r="E2656" t="n">
        <v>265.6</v>
      </c>
      <c r="F2656" s="27" t="n">
        <v>45714</v>
      </c>
      <c r="G2656" s="27" t="n">
        <v>45712</v>
      </c>
      <c r="H2656" s="27" t="n">
        <v>45712</v>
      </c>
      <c r="I2656" s="27" t="n">
        <v>45700</v>
      </c>
      <c r="J2656" s="27" t="n">
        <v>45705</v>
      </c>
      <c r="K2656" t="inlineStr">
        <is>
          <t>Boleto Bancário</t>
        </is>
      </c>
      <c r="L2656" t="inlineStr">
        <is>
          <t>Custo Mercadoria Vendida</t>
        </is>
      </c>
      <c r="M2656" t="inlineStr">
        <is>
          <t>Insumos - Bebidas</t>
        </is>
      </c>
      <c r="N2656" t="inlineStr">
        <is>
          <t>82538</t>
        </is>
      </c>
      <c r="O2656" t="inlineStr">
        <is>
          <t>Documentação Aprovada</t>
        </is>
      </c>
      <c r="P2656" t="inlineStr">
        <is>
          <t>Aprovado Diretoria</t>
        </is>
      </c>
      <c r="Q2656" t="inlineStr">
        <is>
          <t>Aprovado Caixa</t>
        </is>
      </c>
      <c r="R2656" t="inlineStr">
        <is>
          <t>Pago</t>
        </is>
      </c>
      <c r="S2656" t="n">
        <v>115</v>
      </c>
      <c r="T2656" t="inlineStr">
        <is>
          <t>Love - Shibari - Bradesco</t>
        </is>
      </c>
    </row>
    <row r="2657">
      <c r="A2657" t="n">
        <v>110152</v>
      </c>
      <c r="B2657" t="n">
        <v>128</v>
      </c>
      <c r="C2657" t="inlineStr">
        <is>
          <t>Love Cabaret</t>
        </is>
      </c>
      <c r="D2657" t="inlineStr">
        <is>
          <t>PARAMU COMERCIO E REPRESENTACAO DE PRODUTOS ALIMENTICIOS</t>
        </is>
      </c>
      <c r="E2657" t="n">
        <v>1568.08</v>
      </c>
      <c r="F2657" s="27" t="n">
        <v>45712</v>
      </c>
      <c r="G2657" s="27" t="n">
        <v>45712</v>
      </c>
      <c r="H2657" s="27" t="n">
        <v>45712</v>
      </c>
      <c r="I2657" s="27" t="n">
        <v>45698</v>
      </c>
      <c r="J2657" s="27" t="n">
        <v>45701</v>
      </c>
      <c r="K2657" t="inlineStr">
        <is>
          <t>Boleto Bancário</t>
        </is>
      </c>
      <c r="L2657" t="inlineStr">
        <is>
          <t>Custo Mercadoria Vendida</t>
        </is>
      </c>
      <c r="M2657" t="inlineStr">
        <is>
          <t>Insumos - Alimentos</t>
        </is>
      </c>
      <c r="N2657" t="inlineStr">
        <is>
          <t>12685</t>
        </is>
      </c>
      <c r="O2657" t="inlineStr">
        <is>
          <t>Documentação Aprovada</t>
        </is>
      </c>
      <c r="P2657" t="inlineStr">
        <is>
          <t>Aprovado Diretoria</t>
        </is>
      </c>
      <c r="Q2657" t="inlineStr">
        <is>
          <t>Aprovado Caixa</t>
        </is>
      </c>
      <c r="R2657" t="inlineStr">
        <is>
          <t>Pago</t>
        </is>
      </c>
      <c r="S2657" t="n">
        <v>115</v>
      </c>
      <c r="T2657" t="inlineStr">
        <is>
          <t>Love - Shibari - Bradesco</t>
        </is>
      </c>
    </row>
    <row r="2658">
      <c r="A2658" t="n">
        <v>110170</v>
      </c>
      <c r="B2658" t="n">
        <v>128</v>
      </c>
      <c r="C2658" t="inlineStr">
        <is>
          <t>Love Cabaret</t>
        </is>
      </c>
      <c r="D2658" t="inlineStr">
        <is>
          <t>HNK BR IND DE BEBIDAS</t>
        </is>
      </c>
      <c r="E2658" t="n">
        <v>3221.33</v>
      </c>
      <c r="F2658" s="27" t="n">
        <v>45714</v>
      </c>
      <c r="G2658" s="27" t="n">
        <v>45712</v>
      </c>
      <c r="H2658" s="27" t="n">
        <v>45712</v>
      </c>
      <c r="I2658" s="27" t="n">
        <v>45699</v>
      </c>
      <c r="J2658" s="27" t="n">
        <v>45701</v>
      </c>
      <c r="K2658" t="inlineStr">
        <is>
          <t>Boleto Bancário</t>
        </is>
      </c>
      <c r="L2658" t="inlineStr">
        <is>
          <t>Custo Mercadoria Vendida</t>
        </is>
      </c>
      <c r="M2658" t="inlineStr">
        <is>
          <t>Insumos - Bebidas</t>
        </is>
      </c>
      <c r="N2658" t="inlineStr">
        <is>
          <t>192002</t>
        </is>
      </c>
      <c r="O2658" t="inlineStr">
        <is>
          <t>Documentação Aprovada</t>
        </is>
      </c>
      <c r="P2658" t="inlineStr">
        <is>
          <t>Aprovado Diretoria</t>
        </is>
      </c>
      <c r="Q2658" t="inlineStr">
        <is>
          <t>Aprovado Caixa</t>
        </is>
      </c>
      <c r="R2658" t="inlineStr">
        <is>
          <t>Pago</t>
        </is>
      </c>
      <c r="S2658" t="n">
        <v>115</v>
      </c>
      <c r="T2658" t="inlineStr">
        <is>
          <t>Love - Shibari - Bradesco</t>
        </is>
      </c>
    </row>
    <row r="2659">
      <c r="A2659" t="n">
        <v>110169</v>
      </c>
      <c r="B2659" t="n">
        <v>128</v>
      </c>
      <c r="C2659" t="inlineStr">
        <is>
          <t>Love Cabaret</t>
        </is>
      </c>
      <c r="D2659" t="inlineStr">
        <is>
          <t>ALLIMENTARI COMERCIO DE PRODUTOS ALIMENTICIOS E SERVICOS LTDA</t>
        </is>
      </c>
      <c r="E2659" t="n">
        <v>108.78</v>
      </c>
      <c r="F2659" s="27" t="n">
        <v>45713</v>
      </c>
      <c r="G2659" s="27" t="n">
        <v>45712</v>
      </c>
      <c r="H2659" s="27" t="n">
        <v>45712</v>
      </c>
      <c r="I2659" s="27" t="n">
        <v>45699</v>
      </c>
      <c r="J2659" s="27" t="n">
        <v>45701</v>
      </c>
      <c r="K2659" t="inlineStr">
        <is>
          <t>Boleto Bancário</t>
        </is>
      </c>
      <c r="L2659" t="inlineStr">
        <is>
          <t>Custo Mercadoria Vendida</t>
        </is>
      </c>
      <c r="M2659" t="inlineStr">
        <is>
          <t>Insumos - Alimentos</t>
        </is>
      </c>
      <c r="N2659" t="inlineStr">
        <is>
          <t>19239</t>
        </is>
      </c>
      <c r="O2659" t="inlineStr">
        <is>
          <t>Documentação Aprovada</t>
        </is>
      </c>
      <c r="P2659" t="inlineStr">
        <is>
          <t>Aprovado Diretoria</t>
        </is>
      </c>
      <c r="Q2659" t="inlineStr">
        <is>
          <t>Aprovado Caixa</t>
        </is>
      </c>
      <c r="R2659" t="inlineStr">
        <is>
          <t>Pago</t>
        </is>
      </c>
      <c r="S2659" t="n">
        <v>115</v>
      </c>
      <c r="T2659" t="inlineStr">
        <is>
          <t>Love - Shibari - Bradesco</t>
        </is>
      </c>
    </row>
    <row r="2660">
      <c r="A2660" t="n">
        <v>110926</v>
      </c>
      <c r="B2660" t="n">
        <v>128</v>
      </c>
      <c r="C2660" t="inlineStr">
        <is>
          <t>Love Cabaret</t>
        </is>
      </c>
      <c r="D2660" t="inlineStr">
        <is>
          <t>FLAVIO RODRIGUES DE MOURA</t>
        </is>
      </c>
      <c r="E2660" t="n">
        <v>1500</v>
      </c>
      <c r="F2660" s="27" t="n">
        <v>45714</v>
      </c>
      <c r="G2660" s="27" t="n">
        <v>45712</v>
      </c>
      <c r="H2660" s="27" t="n">
        <v>45712</v>
      </c>
      <c r="I2660" s="27" t="n">
        <v>45702</v>
      </c>
      <c r="J2660" s="27" t="n">
        <v>45702</v>
      </c>
      <c r="K2660" t="inlineStr">
        <is>
          <t>Transferência Bancária ou Pix</t>
        </is>
      </c>
      <c r="L2660" t="inlineStr">
        <is>
          <t>Custos Artístico Geral</t>
        </is>
      </c>
      <c r="M2660" t="inlineStr">
        <is>
          <t>Cachê de Músicos e Artistas</t>
        </is>
      </c>
      <c r="N2660" t="inlineStr">
        <is>
          <t>202025</t>
        </is>
      </c>
      <c r="O2660" t="inlineStr">
        <is>
          <t>Documentação Aprovada</t>
        </is>
      </c>
      <c r="P2660" t="inlineStr">
        <is>
          <t>Aprovado Diretoria</t>
        </is>
      </c>
      <c r="Q2660" t="inlineStr">
        <is>
          <t>Aprovado Caixa</t>
        </is>
      </c>
      <c r="R2660" t="inlineStr">
        <is>
          <t>Pago</t>
        </is>
      </c>
      <c r="S2660" t="n">
        <v>115</v>
      </c>
      <c r="T2660" t="inlineStr">
        <is>
          <t>Love - Shibari - Bradesco</t>
        </is>
      </c>
    </row>
    <row r="2661">
      <c r="A2661" t="n">
        <v>110160</v>
      </c>
      <c r="B2661" t="n">
        <v>128</v>
      </c>
      <c r="C2661" t="inlineStr">
        <is>
          <t>Love Cabaret</t>
        </is>
      </c>
      <c r="D2661" t="inlineStr">
        <is>
          <t>ASSAZ ORGANICA INDUSTRIA E COMERCIO DE ALIMENTOS LTDA</t>
        </is>
      </c>
      <c r="E2661" t="n">
        <v>75.25</v>
      </c>
      <c r="F2661" s="27" t="n">
        <v>45714</v>
      </c>
      <c r="G2661" s="27" t="n">
        <v>45712</v>
      </c>
      <c r="H2661" s="27" t="n">
        <v>45712</v>
      </c>
      <c r="I2661" s="27" t="n">
        <v>45699</v>
      </c>
      <c r="J2661" s="27" t="n">
        <v>45701</v>
      </c>
      <c r="K2661" t="inlineStr">
        <is>
          <t>Boleto Bancário</t>
        </is>
      </c>
      <c r="L2661" t="inlineStr">
        <is>
          <t>Custo Mercadoria Vendida</t>
        </is>
      </c>
      <c r="M2661" t="inlineStr">
        <is>
          <t>Insumos - Alimentos</t>
        </is>
      </c>
      <c r="N2661" t="inlineStr">
        <is>
          <t>18452</t>
        </is>
      </c>
      <c r="O2661" t="inlineStr">
        <is>
          <t>Documentação Aprovada</t>
        </is>
      </c>
      <c r="P2661" t="inlineStr">
        <is>
          <t>Aprovado Diretoria</t>
        </is>
      </c>
      <c r="Q2661" t="inlineStr">
        <is>
          <t>Aprovado Caixa</t>
        </is>
      </c>
      <c r="R2661" t="inlineStr">
        <is>
          <t>Pago</t>
        </is>
      </c>
      <c r="S2661" t="n">
        <v>115</v>
      </c>
      <c r="T2661" t="inlineStr">
        <is>
          <t>Love - Shibari - Bradesco</t>
        </is>
      </c>
    </row>
    <row r="2662">
      <c r="A2662" t="n">
        <v>110165</v>
      </c>
      <c r="B2662" t="n">
        <v>128</v>
      </c>
      <c r="C2662" t="inlineStr">
        <is>
          <t>Love Cabaret</t>
        </is>
      </c>
      <c r="D2662" t="inlineStr">
        <is>
          <t>CASA DE CARNES P.J.J.LTDA</t>
        </is>
      </c>
      <c r="E2662" t="n">
        <v>135.56</v>
      </c>
      <c r="F2662" s="27" t="n">
        <v>45714</v>
      </c>
      <c r="G2662" s="27" t="n">
        <v>45712</v>
      </c>
      <c r="H2662" s="27" t="n">
        <v>45712</v>
      </c>
      <c r="I2662" s="27" t="n">
        <v>45699</v>
      </c>
      <c r="J2662" s="27" t="n">
        <v>45701</v>
      </c>
      <c r="K2662" t="inlineStr">
        <is>
          <t>Boleto Bancário</t>
        </is>
      </c>
      <c r="L2662" t="inlineStr">
        <is>
          <t>Custo Mercadoria Vendida</t>
        </is>
      </c>
      <c r="M2662" t="inlineStr">
        <is>
          <t>Insumos - Alimentos</t>
        </is>
      </c>
      <c r="N2662" t="inlineStr">
        <is>
          <t>42040</t>
        </is>
      </c>
      <c r="O2662" t="inlineStr">
        <is>
          <t>Documentação Aprovada</t>
        </is>
      </c>
      <c r="P2662" t="inlineStr">
        <is>
          <t>Aprovado Diretoria</t>
        </is>
      </c>
      <c r="Q2662" t="inlineStr">
        <is>
          <t>Aprovado Caixa</t>
        </is>
      </c>
      <c r="R2662" t="inlineStr">
        <is>
          <t>Pago</t>
        </is>
      </c>
      <c r="S2662" t="n">
        <v>115</v>
      </c>
      <c r="T2662" t="inlineStr">
        <is>
          <t>Love - Shibari - Bradesco</t>
        </is>
      </c>
    </row>
    <row r="2663">
      <c r="A2663" t="n">
        <v>96908</v>
      </c>
      <c r="B2663" t="n">
        <v>128</v>
      </c>
      <c r="C2663" t="inlineStr">
        <is>
          <t>Love Cabaret</t>
        </is>
      </c>
      <c r="D2663" t="inlineStr">
        <is>
          <t>COFINS</t>
        </is>
      </c>
      <c r="E2663" t="n">
        <v>9049.469999999999</v>
      </c>
      <c r="F2663" s="27" t="n">
        <v>45713</v>
      </c>
      <c r="G2663" s="27" t="n">
        <v>45712</v>
      </c>
      <c r="H2663" s="27" t="n">
        <v>45712</v>
      </c>
      <c r="I2663" s="27" t="n">
        <v>45687</v>
      </c>
      <c r="J2663" s="27" t="n"/>
      <c r="K2663" t="inlineStr">
        <is>
          <t>Boleto Bancário</t>
        </is>
      </c>
      <c r="L2663" t="inlineStr">
        <is>
          <t>Impostos sobre Venda</t>
        </is>
      </c>
      <c r="M2663" t="inlineStr">
        <is>
          <t>PIS / COFINS</t>
        </is>
      </c>
      <c r="N2663" t="inlineStr">
        <is>
          <t>904947 012025</t>
        </is>
      </c>
      <c r="O2663" t="inlineStr">
        <is>
          <t>Documentação Aprovada</t>
        </is>
      </c>
      <c r="P2663" t="inlineStr">
        <is>
          <t>Aprovado Diretoria</t>
        </is>
      </c>
      <c r="Q2663" t="inlineStr">
        <is>
          <t>Aprovado Caixa</t>
        </is>
      </c>
      <c r="R2663" t="inlineStr">
        <is>
          <t>Pago</t>
        </is>
      </c>
      <c r="S2663" t="n">
        <v>115</v>
      </c>
      <c r="T2663" t="inlineStr">
        <is>
          <t>Love - Shibari - Bradesco</t>
        </is>
      </c>
    </row>
    <row r="2664">
      <c r="A2664" t="n">
        <v>103018</v>
      </c>
      <c r="B2664" t="n">
        <v>128</v>
      </c>
      <c r="C2664" t="inlineStr">
        <is>
          <t>Love Cabaret</t>
        </is>
      </c>
      <c r="D2664" t="inlineStr">
        <is>
          <t>TELEFONICA BRASIL S/A</t>
        </is>
      </c>
      <c r="E2664" t="n">
        <v>93.7</v>
      </c>
      <c r="F2664" s="27" t="n">
        <v>45713</v>
      </c>
      <c r="G2664" s="27" t="n">
        <v>45712</v>
      </c>
      <c r="H2664" s="27" t="n">
        <v>45712</v>
      </c>
      <c r="I2664" s="27" t="n">
        <v>45692</v>
      </c>
      <c r="J2664" s="27" t="n"/>
      <c r="K2664" t="inlineStr">
        <is>
          <t>Boleto Bancário</t>
        </is>
      </c>
      <c r="L2664" t="inlineStr">
        <is>
          <t>Informática e TI</t>
        </is>
      </c>
      <c r="M2664" t="inlineStr">
        <is>
          <t>Telefone</t>
        </is>
      </c>
      <c r="N2664" t="inlineStr">
        <is>
          <t>434906426</t>
        </is>
      </c>
      <c r="O2664" t="inlineStr">
        <is>
          <t>Documentação Aprovada</t>
        </is>
      </c>
      <c r="P2664" t="inlineStr">
        <is>
          <t>Aprovado Diretoria</t>
        </is>
      </c>
      <c r="Q2664" t="inlineStr">
        <is>
          <t>Aprovado Caixa</t>
        </is>
      </c>
      <c r="R2664" t="inlineStr">
        <is>
          <t>Pago</t>
        </is>
      </c>
      <c r="S2664" t="n">
        <v>115</v>
      </c>
      <c r="T2664" t="inlineStr">
        <is>
          <t>Love - Shibari - Bradesco</t>
        </is>
      </c>
    </row>
    <row r="2665">
      <c r="A2665" t="n">
        <v>102837</v>
      </c>
      <c r="B2665" t="n">
        <v>128</v>
      </c>
      <c r="C2665" t="inlineStr">
        <is>
          <t>Love Cabaret</t>
        </is>
      </c>
      <c r="D2665" t="inlineStr">
        <is>
          <t>INVYE CAPITAL LTDA</t>
        </is>
      </c>
      <c r="E2665" t="n">
        <v>1200</v>
      </c>
      <c r="F2665" s="27" t="n">
        <v>45713</v>
      </c>
      <c r="G2665" s="27" t="n">
        <v>45712</v>
      </c>
      <c r="H2665" s="27" t="n">
        <v>45712</v>
      </c>
      <c r="I2665" s="27" t="n">
        <v>45697</v>
      </c>
      <c r="J2665" s="27" t="n"/>
      <c r="K2665" t="inlineStr">
        <is>
          <t>Boleto Bancário</t>
        </is>
      </c>
      <c r="L2665" t="inlineStr">
        <is>
          <t>Serviços de Terceiros</t>
        </is>
      </c>
      <c r="M2665" t="inlineStr">
        <is>
          <t>Assessoria em Geral</t>
        </is>
      </c>
      <c r="N2665" t="inlineStr">
        <is>
          <t>2280</t>
        </is>
      </c>
      <c r="O2665" t="inlineStr">
        <is>
          <t>Documentação Aprovada</t>
        </is>
      </c>
      <c r="P2665" t="inlineStr">
        <is>
          <t>Aprovado Diretoria</t>
        </is>
      </c>
      <c r="Q2665" t="inlineStr">
        <is>
          <t>Aprovado Caixa</t>
        </is>
      </c>
      <c r="R2665" t="inlineStr">
        <is>
          <t>Pago</t>
        </is>
      </c>
      <c r="S2665" t="n">
        <v>115</v>
      </c>
      <c r="T2665" t="inlineStr">
        <is>
          <t>Love - Shibari - Bradesco</t>
        </is>
      </c>
    </row>
    <row r="2666">
      <c r="A2666" t="n">
        <v>103030</v>
      </c>
      <c r="B2666" t="n">
        <v>128</v>
      </c>
      <c r="C2666" t="inlineStr">
        <is>
          <t>Love Cabaret</t>
        </is>
      </c>
      <c r="D2666" t="inlineStr">
        <is>
          <t>TELEFONICA BRASIL S/A</t>
        </is>
      </c>
      <c r="E2666" t="n">
        <v>327.09</v>
      </c>
      <c r="F2666" s="27" t="n">
        <v>45713</v>
      </c>
      <c r="G2666" s="27" t="n">
        <v>45712</v>
      </c>
      <c r="H2666" s="27" t="n">
        <v>45712</v>
      </c>
      <c r="I2666" s="27" t="n">
        <v>45705</v>
      </c>
      <c r="J2666" s="27" t="n"/>
      <c r="K2666" t="inlineStr">
        <is>
          <t>Boleto Bancário</t>
        </is>
      </c>
      <c r="L2666" t="inlineStr">
        <is>
          <t>Informática e TI</t>
        </is>
      </c>
      <c r="M2666" t="inlineStr">
        <is>
          <t>Internet</t>
        </is>
      </c>
      <c r="N2666" t="inlineStr">
        <is>
          <t>455530810</t>
        </is>
      </c>
      <c r="O2666" t="inlineStr">
        <is>
          <t>Documentação Aprovada</t>
        </is>
      </c>
      <c r="P2666" t="inlineStr">
        <is>
          <t>Aprovado Diretoria</t>
        </is>
      </c>
      <c r="Q2666" t="inlineStr">
        <is>
          <t>Aprovado Caixa</t>
        </is>
      </c>
      <c r="R2666" t="inlineStr">
        <is>
          <t>Pago</t>
        </is>
      </c>
      <c r="S2666" t="n">
        <v>115</v>
      </c>
      <c r="T2666" t="inlineStr">
        <is>
          <t>Love - Shibari - Bradesco</t>
        </is>
      </c>
    </row>
    <row r="2667">
      <c r="A2667" t="n">
        <v>97361</v>
      </c>
      <c r="B2667" t="n">
        <v>128</v>
      </c>
      <c r="C2667" t="inlineStr">
        <is>
          <t>Love Cabaret</t>
        </is>
      </c>
      <c r="D2667" t="inlineStr">
        <is>
          <t xml:space="preserve">EDIMAR MOURA TARTAGLIONI SERVICOES DE DEDETIZACAO </t>
        </is>
      </c>
      <c r="E2667" t="n">
        <v>630</v>
      </c>
      <c r="F2667" s="27" t="n">
        <v>45714</v>
      </c>
      <c r="G2667" s="27" t="n">
        <v>45712</v>
      </c>
      <c r="H2667" s="27" t="n">
        <v>45712</v>
      </c>
      <c r="I2667" s="27" t="n">
        <v>45693</v>
      </c>
      <c r="J2667" s="27" t="n"/>
      <c r="K2667" t="inlineStr">
        <is>
          <t>Transferência Bancária ou Pix</t>
        </is>
      </c>
      <c r="L2667" t="inlineStr">
        <is>
          <t>Utilidades</t>
        </is>
      </c>
      <c r="M2667" t="inlineStr">
        <is>
          <t>Controle de Pragas</t>
        </is>
      </c>
      <c r="N2667" t="inlineStr">
        <is>
          <t>489</t>
        </is>
      </c>
      <c r="O2667" t="inlineStr">
        <is>
          <t>Documentação Aprovada</t>
        </is>
      </c>
      <c r="P2667" t="inlineStr">
        <is>
          <t>Aprovado Diretoria</t>
        </is>
      </c>
      <c r="Q2667" t="inlineStr">
        <is>
          <t>Aprovado Caixa</t>
        </is>
      </c>
      <c r="R2667" t="inlineStr">
        <is>
          <t>Pago</t>
        </is>
      </c>
      <c r="S2667" t="n">
        <v>115</v>
      </c>
      <c r="T2667" t="inlineStr">
        <is>
          <t>Love - Shibari - Bradesco</t>
        </is>
      </c>
    </row>
    <row r="2668">
      <c r="A2668" t="n">
        <v>97540</v>
      </c>
      <c r="B2668" t="n">
        <v>128</v>
      </c>
      <c r="C2668" t="inlineStr">
        <is>
          <t>Love Cabaret</t>
        </is>
      </c>
      <c r="D2668" t="inlineStr">
        <is>
          <t>PIS</t>
        </is>
      </c>
      <c r="E2668" t="n">
        <v>1960.72</v>
      </c>
      <c r="F2668" s="27" t="n">
        <v>45713</v>
      </c>
      <c r="G2668" s="27" t="n">
        <v>45712</v>
      </c>
      <c r="H2668" s="27" t="n">
        <v>45712</v>
      </c>
      <c r="I2668" s="27" t="n">
        <v>45688</v>
      </c>
      <c r="J2668" s="27" t="n"/>
      <c r="K2668" t="inlineStr">
        <is>
          <t>Boleto Bancário</t>
        </is>
      </c>
      <c r="L2668" t="inlineStr">
        <is>
          <t>Impostos sobre Venda</t>
        </is>
      </c>
      <c r="M2668" t="inlineStr">
        <is>
          <t>PIS S/ SERVICO</t>
        </is>
      </c>
      <c r="N2668" t="inlineStr">
        <is>
          <t>196072 012025</t>
        </is>
      </c>
      <c r="O2668" t="inlineStr">
        <is>
          <t>Documentação Aprovada</t>
        </is>
      </c>
      <c r="P2668" t="inlineStr">
        <is>
          <t>Aprovado Diretoria</t>
        </is>
      </c>
      <c r="Q2668" t="inlineStr">
        <is>
          <t>Aprovado Caixa</t>
        </is>
      </c>
      <c r="R2668" t="inlineStr">
        <is>
          <t>Pago</t>
        </is>
      </c>
      <c r="S2668" t="n">
        <v>115</v>
      </c>
      <c r="T2668" t="inlineStr">
        <is>
          <t>Love - Shibari - Bradesco</t>
        </is>
      </c>
    </row>
    <row r="2669">
      <c r="A2669" t="n">
        <v>112838</v>
      </c>
      <c r="B2669" t="n">
        <v>128</v>
      </c>
      <c r="C2669" t="inlineStr">
        <is>
          <t>Love Cabaret</t>
        </is>
      </c>
      <c r="D2669" t="inlineStr">
        <is>
          <t>BRADESCO SA</t>
        </is>
      </c>
      <c r="E2669" t="n">
        <v>19.05</v>
      </c>
      <c r="F2669" s="27" t="n">
        <v>45709</v>
      </c>
      <c r="G2669" s="27" t="n"/>
      <c r="H2669" s="27" t="n">
        <v>45709</v>
      </c>
      <c r="I2669" s="27" t="n">
        <v>45709</v>
      </c>
      <c r="J2669" s="27" t="n">
        <v>45712</v>
      </c>
      <c r="K2669" t="inlineStr">
        <is>
          <t>Encontro de Contas</t>
        </is>
      </c>
      <c r="L2669" t="inlineStr">
        <is>
          <t>Despesas Financeiras</t>
        </is>
      </c>
      <c r="M2669" t="inlineStr">
        <is>
          <t>Tarifas Bancárias</t>
        </is>
      </c>
      <c r="N2669" t="inlineStr">
        <is>
          <t>022025</t>
        </is>
      </c>
      <c r="P2669" t="inlineStr">
        <is>
          <t>Aprovado Diretoria</t>
        </is>
      </c>
      <c r="R2669" t="inlineStr">
        <is>
          <t>Pago</t>
        </is>
      </c>
    </row>
    <row r="2670">
      <c r="A2670" t="n">
        <v>97010</v>
      </c>
      <c r="B2670" t="n">
        <v>128</v>
      </c>
      <c r="C2670" t="inlineStr">
        <is>
          <t>Love Cabaret</t>
        </is>
      </c>
      <c r="D2670" t="inlineStr">
        <is>
          <t>ESHOWS PROMOCOES ARTISTICAS LTDA</t>
        </is>
      </c>
      <c r="E2670" t="n">
        <v>20190</v>
      </c>
      <c r="F2670" s="27" t="n">
        <v>45723</v>
      </c>
      <c r="G2670" s="27" t="n">
        <v>45709</v>
      </c>
      <c r="H2670" s="27" t="n">
        <v>45708</v>
      </c>
      <c r="I2670" s="27" t="n">
        <v>45689</v>
      </c>
      <c r="J2670" s="27" t="n"/>
      <c r="K2670" t="inlineStr">
        <is>
          <t>Boleto Bancário</t>
        </is>
      </c>
      <c r="L2670" t="inlineStr">
        <is>
          <t>Custos Artístico Geral</t>
        </is>
      </c>
      <c r="M2670" t="inlineStr">
        <is>
          <t>Cachê de Músicos e Artistas</t>
        </is>
      </c>
      <c r="N2670" t="inlineStr">
        <is>
          <t>522670643</t>
        </is>
      </c>
      <c r="O2670" t="inlineStr">
        <is>
          <t>Documentação Aprovada</t>
        </is>
      </c>
      <c r="P2670" t="inlineStr">
        <is>
          <t>Aprovado Diretoria</t>
        </is>
      </c>
      <c r="Q2670" t="inlineStr">
        <is>
          <t>Aprovado Caixa</t>
        </is>
      </c>
      <c r="R2670" t="inlineStr">
        <is>
          <t>Pago</t>
        </is>
      </c>
      <c r="S2670" t="n">
        <v>115</v>
      </c>
      <c r="T2670" t="inlineStr">
        <is>
          <t>Love - Shibari - Bradesco</t>
        </is>
      </c>
    </row>
    <row r="2671">
      <c r="A2671" t="n">
        <v>96933</v>
      </c>
      <c r="B2671" t="n">
        <v>128</v>
      </c>
      <c r="C2671" t="inlineStr">
        <is>
          <t>Love Cabaret</t>
        </is>
      </c>
      <c r="D2671" t="inlineStr">
        <is>
          <t>CIA DE SANEAMENTO BASICO DO ESTADO DE SAO PAULO SABESP</t>
        </is>
      </c>
      <c r="E2671" t="n">
        <v>153.96</v>
      </c>
      <c r="F2671" s="27" t="n">
        <v>45708</v>
      </c>
      <c r="G2671" s="27" t="n">
        <v>45707</v>
      </c>
      <c r="H2671" s="27" t="n">
        <v>45707</v>
      </c>
      <c r="I2671" s="27" t="n">
        <v>45670</v>
      </c>
      <c r="J2671" s="27" t="n"/>
      <c r="K2671" t="inlineStr">
        <is>
          <t>Boleto Bancário</t>
        </is>
      </c>
      <c r="L2671" t="inlineStr">
        <is>
          <t>Utilidades</t>
        </is>
      </c>
      <c r="M2671" t="inlineStr">
        <is>
          <t>Agua/Esgoto</t>
        </is>
      </c>
      <c r="N2671" t="inlineStr">
        <is>
          <t xml:space="preserve">20254971781 </t>
        </is>
      </c>
      <c r="O2671" t="inlineStr">
        <is>
          <t>Documentação Aprovada</t>
        </is>
      </c>
      <c r="P2671" t="inlineStr">
        <is>
          <t>Aprovado Diretoria</t>
        </is>
      </c>
      <c r="Q2671" t="inlineStr">
        <is>
          <t>Aprovado Caixa</t>
        </is>
      </c>
      <c r="R2671" t="inlineStr">
        <is>
          <t>Pago</t>
        </is>
      </c>
      <c r="S2671" t="n">
        <v>115</v>
      </c>
      <c r="T2671" t="inlineStr">
        <is>
          <t>Love - Shibari - Bradesco</t>
        </is>
      </c>
    </row>
    <row r="2672">
      <c r="A2672" t="n">
        <v>97088</v>
      </c>
      <c r="B2672" t="n">
        <v>128</v>
      </c>
      <c r="C2672" t="inlineStr">
        <is>
          <t>Love Cabaret</t>
        </is>
      </c>
      <c r="D2672" t="inlineStr">
        <is>
          <t>ESTAFF SOLUCOES TECNOLOGICAS DE AGENCIAMENTO LTDA</t>
        </is>
      </c>
      <c r="E2672" t="n">
        <v>11363</v>
      </c>
      <c r="F2672" s="27" t="n">
        <v>45707</v>
      </c>
      <c r="G2672" s="27" t="n">
        <v>45707</v>
      </c>
      <c r="H2672" s="27" t="n">
        <v>45707</v>
      </c>
      <c r="I2672" s="27" t="n">
        <v>45698</v>
      </c>
      <c r="J2672" s="27" t="n"/>
      <c r="K2672" t="inlineStr">
        <is>
          <t>Boleto Bancário</t>
        </is>
      </c>
      <c r="L2672" t="inlineStr">
        <is>
          <t>Mão de Obra - Extra</t>
        </is>
      </c>
      <c r="M2672" t="inlineStr">
        <is>
          <t>Mão de Obra Extra</t>
        </is>
      </c>
      <c r="N2672" t="inlineStr">
        <is>
          <t>521202856</t>
        </is>
      </c>
      <c r="O2672" t="inlineStr">
        <is>
          <t>Documentação Aprovada</t>
        </is>
      </c>
      <c r="P2672" t="inlineStr">
        <is>
          <t>Aprovado Diretoria</t>
        </is>
      </c>
      <c r="Q2672" t="inlineStr">
        <is>
          <t>Aprovado Caixa</t>
        </is>
      </c>
      <c r="R2672" t="inlineStr">
        <is>
          <t>Pago</t>
        </is>
      </c>
      <c r="S2672" t="n">
        <v>115</v>
      </c>
      <c r="T2672" t="inlineStr">
        <is>
          <t>Love - Shibari - Bradesco</t>
        </is>
      </c>
    </row>
    <row r="2673">
      <c r="A2673" t="n">
        <v>96895</v>
      </c>
      <c r="B2673" t="n">
        <v>128</v>
      </c>
      <c r="C2673" t="inlineStr">
        <is>
          <t>Love Cabaret</t>
        </is>
      </c>
      <c r="D2673" t="inlineStr">
        <is>
          <t>COMPANHIA DE GAS DE SAO PAULO</t>
        </is>
      </c>
      <c r="E2673" t="n">
        <v>1731.27</v>
      </c>
      <c r="F2673" s="27" t="n">
        <v>45712</v>
      </c>
      <c r="G2673" s="27" t="n">
        <v>45707</v>
      </c>
      <c r="H2673" s="27" t="n">
        <v>45707</v>
      </c>
      <c r="I2673" s="27" t="n">
        <v>45698</v>
      </c>
      <c r="J2673" s="27" t="n"/>
      <c r="K2673" t="inlineStr">
        <is>
          <t>Boleto Bancário</t>
        </is>
      </c>
      <c r="L2673" t="inlineStr">
        <is>
          <t>Utilidades</t>
        </is>
      </c>
      <c r="M2673" t="inlineStr">
        <is>
          <t>Gas de Cozinha</t>
        </is>
      </c>
      <c r="N2673" t="inlineStr">
        <is>
          <t>119525321</t>
        </is>
      </c>
      <c r="O2673" t="inlineStr">
        <is>
          <t>Documentação Aprovada</t>
        </is>
      </c>
      <c r="P2673" t="inlineStr">
        <is>
          <t>Aprovado Diretoria</t>
        </is>
      </c>
      <c r="Q2673" t="inlineStr">
        <is>
          <t>Aprovado Caixa</t>
        </is>
      </c>
      <c r="R2673" t="inlineStr">
        <is>
          <t>Pago</t>
        </is>
      </c>
      <c r="S2673" t="n">
        <v>115</v>
      </c>
      <c r="T2673" t="inlineStr">
        <is>
          <t>Love - Shibari - Bradesco</t>
        </is>
      </c>
    </row>
    <row r="2674">
      <c r="A2674" t="n">
        <v>112454</v>
      </c>
      <c r="B2674" t="n">
        <v>128</v>
      </c>
      <c r="C2674" t="inlineStr">
        <is>
          <t>Love Cabaret</t>
        </is>
      </c>
      <c r="D2674" t="inlineStr">
        <is>
          <t>BRADESCO SA</t>
        </is>
      </c>
      <c r="E2674" t="n">
        <v>1.65</v>
      </c>
      <c r="F2674" s="27" t="n">
        <v>45707</v>
      </c>
      <c r="G2674" s="27" t="n"/>
      <c r="H2674" s="27" t="n">
        <v>45707</v>
      </c>
      <c r="I2674" s="27" t="n">
        <v>45707</v>
      </c>
      <c r="J2674" s="27" t="n">
        <v>45708</v>
      </c>
      <c r="K2674" t="inlineStr">
        <is>
          <t>Encontro de Contas</t>
        </is>
      </c>
      <c r="L2674" t="inlineStr">
        <is>
          <t>Despesas Financeiras</t>
        </is>
      </c>
      <c r="M2674" t="inlineStr">
        <is>
          <t>Tarifas Bancárias</t>
        </is>
      </c>
      <c r="N2674" t="inlineStr">
        <is>
          <t>022025</t>
        </is>
      </c>
      <c r="P2674" t="inlineStr">
        <is>
          <t>Aprovado Diretoria</t>
        </is>
      </c>
      <c r="R2674" t="inlineStr">
        <is>
          <t>Pago</t>
        </is>
      </c>
    </row>
    <row r="2675">
      <c r="A2675" t="n">
        <v>110081</v>
      </c>
      <c r="B2675" t="n">
        <v>128</v>
      </c>
      <c r="C2675" t="inlineStr">
        <is>
          <t>Love Cabaret</t>
        </is>
      </c>
      <c r="D2675" t="inlineStr">
        <is>
          <t>CAROLINE FERREIRA DA SILVA</t>
        </is>
      </c>
      <c r="E2675" t="n">
        <v>2134.28</v>
      </c>
      <c r="F2675" s="27" t="n">
        <v>45709</v>
      </c>
      <c r="G2675" s="27" t="n">
        <v>45707</v>
      </c>
      <c r="H2675" s="27" t="n">
        <v>45707</v>
      </c>
      <c r="I2675" s="27" t="n">
        <v>45689</v>
      </c>
      <c r="J2675" s="27" t="n">
        <v>45700</v>
      </c>
      <c r="K2675" t="inlineStr">
        <is>
          <t>Transferência Bancária ou Pix</t>
        </is>
      </c>
      <c r="L2675" t="inlineStr">
        <is>
          <t>Mão de Obra - Encargos e Provisões</t>
        </is>
      </c>
      <c r="M2675" t="inlineStr">
        <is>
          <t xml:space="preserve">  -  Férias</t>
        </is>
      </c>
      <c r="N2675" t="inlineStr">
        <is>
          <t>199350022025</t>
        </is>
      </c>
      <c r="O2675" t="inlineStr">
        <is>
          <t>Documentação Aprovada</t>
        </is>
      </c>
      <c r="P2675" t="inlineStr">
        <is>
          <t>Aprovado Diretoria</t>
        </is>
      </c>
      <c r="Q2675" t="inlineStr">
        <is>
          <t>Aprovado Caixa</t>
        </is>
      </c>
      <c r="R2675" t="inlineStr">
        <is>
          <t>Pago</t>
        </is>
      </c>
      <c r="S2675" t="n">
        <v>115</v>
      </c>
      <c r="T2675" t="inlineStr">
        <is>
          <t>Love - Shibari - Bradesco</t>
        </is>
      </c>
    </row>
    <row r="2676">
      <c r="A2676" t="n">
        <v>110144</v>
      </c>
      <c r="B2676" t="n">
        <v>128</v>
      </c>
      <c r="C2676" t="inlineStr">
        <is>
          <t>Love Cabaret</t>
        </is>
      </c>
      <c r="D2676" t="inlineStr">
        <is>
          <t>IRRF</t>
        </is>
      </c>
      <c r="E2676" t="n">
        <v>43.11</v>
      </c>
      <c r="F2676" s="27" t="n">
        <v>45708</v>
      </c>
      <c r="G2676" s="27" t="n">
        <v>45707</v>
      </c>
      <c r="H2676" s="27" t="n">
        <v>45707</v>
      </c>
      <c r="I2676" s="27" t="n">
        <v>45688</v>
      </c>
      <c r="J2676" s="27" t="n">
        <v>45701</v>
      </c>
      <c r="K2676" t="inlineStr">
        <is>
          <t>Boleto Bancário</t>
        </is>
      </c>
      <c r="L2676" t="inlineStr">
        <is>
          <t>Informática e TI</t>
        </is>
      </c>
      <c r="M2676" t="inlineStr">
        <is>
          <t>Sistemas Gerais - Operacionais</t>
        </is>
      </c>
      <c r="N2676" t="inlineStr">
        <is>
          <t>012025</t>
        </is>
      </c>
      <c r="O2676" t="inlineStr">
        <is>
          <t>Documentação Aprovada</t>
        </is>
      </c>
      <c r="P2676" t="inlineStr">
        <is>
          <t>Aprovado Diretoria</t>
        </is>
      </c>
      <c r="Q2676" t="inlineStr">
        <is>
          <t>Aprovado Caixa</t>
        </is>
      </c>
      <c r="R2676" t="inlineStr">
        <is>
          <t>Pago</t>
        </is>
      </c>
      <c r="S2676" t="n">
        <v>115</v>
      </c>
      <c r="T2676" t="inlineStr">
        <is>
          <t>Love - Shibari - Bradesco</t>
        </is>
      </c>
    </row>
    <row r="2677">
      <c r="A2677" t="n">
        <v>110113</v>
      </c>
      <c r="B2677" t="n">
        <v>128</v>
      </c>
      <c r="C2677" t="inlineStr">
        <is>
          <t>Love Cabaret</t>
        </is>
      </c>
      <c r="D2677" t="inlineStr">
        <is>
          <t>CECILIA TSUYACO ARAKI SILVA LTDA</t>
        </is>
      </c>
      <c r="E2677" t="n">
        <v>281.35</v>
      </c>
      <c r="F2677" s="27" t="n">
        <v>45709</v>
      </c>
      <c r="G2677" s="27" t="n">
        <v>45707</v>
      </c>
      <c r="H2677" s="27" t="n">
        <v>45707</v>
      </c>
      <c r="I2677" s="27" t="n">
        <v>45698</v>
      </c>
      <c r="J2677" s="27" t="n">
        <v>45701</v>
      </c>
      <c r="K2677" t="inlineStr">
        <is>
          <t>Boleto Bancário</t>
        </is>
      </c>
      <c r="L2677" t="inlineStr">
        <is>
          <t>Custo Mercadoria Vendida</t>
        </is>
      </c>
      <c r="M2677" t="inlineStr">
        <is>
          <t>Insumos - Alimentos</t>
        </is>
      </c>
      <c r="N2677" t="inlineStr">
        <is>
          <t>365531</t>
        </is>
      </c>
      <c r="O2677" t="inlineStr">
        <is>
          <t>Documentação Aprovada</t>
        </is>
      </c>
      <c r="P2677" t="inlineStr">
        <is>
          <t>Aprovado Diretoria</t>
        </is>
      </c>
      <c r="Q2677" t="inlineStr">
        <is>
          <t>Aprovado Caixa</t>
        </is>
      </c>
      <c r="R2677" t="inlineStr">
        <is>
          <t>Pago</t>
        </is>
      </c>
      <c r="S2677" t="n">
        <v>115</v>
      </c>
      <c r="T2677" t="inlineStr">
        <is>
          <t>Love - Shibari - Bradesco</t>
        </is>
      </c>
    </row>
    <row r="2678">
      <c r="A2678" t="n">
        <v>110114</v>
      </c>
      <c r="B2678" t="n">
        <v>128</v>
      </c>
      <c r="C2678" t="inlineStr">
        <is>
          <t>Love Cabaret</t>
        </is>
      </c>
      <c r="D2678" t="inlineStr">
        <is>
          <t xml:space="preserve">ARENA VIP DISTRIBUIDORA DE BEBIDAS LTDA </t>
        </is>
      </c>
      <c r="E2678" t="n">
        <v>471.42</v>
      </c>
      <c r="F2678" s="27" t="n">
        <v>45709</v>
      </c>
      <c r="G2678" s="27" t="n">
        <v>45707</v>
      </c>
      <c r="H2678" s="27" t="n">
        <v>45707</v>
      </c>
      <c r="I2678" s="27" t="n">
        <v>45698</v>
      </c>
      <c r="J2678" s="27" t="n">
        <v>45701</v>
      </c>
      <c r="K2678" t="inlineStr">
        <is>
          <t>Boleto Bancário</t>
        </is>
      </c>
      <c r="L2678" t="inlineStr">
        <is>
          <t>Custo Mercadoria Vendida</t>
        </is>
      </c>
      <c r="M2678" t="inlineStr">
        <is>
          <t>Insumos - Bebidas</t>
        </is>
      </c>
      <c r="N2678" t="inlineStr">
        <is>
          <t>299</t>
        </is>
      </c>
      <c r="O2678" t="inlineStr">
        <is>
          <t>Documentação Aprovada</t>
        </is>
      </c>
      <c r="P2678" t="inlineStr">
        <is>
          <t>Aprovado Diretoria</t>
        </is>
      </c>
      <c r="Q2678" t="inlineStr">
        <is>
          <t>Aprovado Caixa</t>
        </is>
      </c>
      <c r="R2678" t="inlineStr">
        <is>
          <t>Pago</t>
        </is>
      </c>
      <c r="S2678" t="n">
        <v>115</v>
      </c>
      <c r="T2678" t="inlineStr">
        <is>
          <t>Love - Shibari - Bradesco</t>
        </is>
      </c>
    </row>
    <row r="2679">
      <c r="A2679" t="n">
        <v>111526</v>
      </c>
      <c r="B2679" t="n">
        <v>128</v>
      </c>
      <c r="C2679" t="inlineStr">
        <is>
          <t>Love Cabaret</t>
        </is>
      </c>
      <c r="D2679" t="inlineStr">
        <is>
          <t>PEDRO THOMAZ RODRIGUES</t>
        </is>
      </c>
      <c r="E2679" t="n">
        <v>888.65</v>
      </c>
      <c r="F2679" s="27" t="n">
        <v>45708</v>
      </c>
      <c r="G2679" s="27" t="n">
        <v>45707</v>
      </c>
      <c r="H2679" s="27" t="n">
        <v>45707</v>
      </c>
      <c r="I2679" s="27" t="n">
        <v>45703</v>
      </c>
      <c r="J2679" s="27" t="n"/>
      <c r="K2679" t="inlineStr">
        <is>
          <t>Transferência Bancária ou Pix</t>
        </is>
      </c>
      <c r="L2679" t="inlineStr">
        <is>
          <t>Mão de Obra - Salários</t>
        </is>
      </c>
      <c r="M2679" t="inlineStr">
        <is>
          <t>MDO CLT - Salário</t>
        </is>
      </c>
      <c r="N2679" t="inlineStr">
        <is>
          <t>88865 022025</t>
        </is>
      </c>
      <c r="O2679" t="inlineStr">
        <is>
          <t>Documentação Aprovada</t>
        </is>
      </c>
      <c r="P2679" t="inlineStr">
        <is>
          <t>Aprovado Diretoria</t>
        </is>
      </c>
      <c r="Q2679" t="inlineStr">
        <is>
          <t>Aprovado Caixa</t>
        </is>
      </c>
      <c r="R2679" t="inlineStr">
        <is>
          <t>Pago</t>
        </is>
      </c>
      <c r="S2679" t="n">
        <v>115</v>
      </c>
      <c r="T2679" t="inlineStr">
        <is>
          <t>Love - Shibari - Bradesco</t>
        </is>
      </c>
    </row>
    <row r="2680">
      <c r="A2680" t="n">
        <v>111525</v>
      </c>
      <c r="B2680" t="n">
        <v>128</v>
      </c>
      <c r="C2680" t="inlineStr">
        <is>
          <t>Love Cabaret</t>
        </is>
      </c>
      <c r="D2680" t="inlineStr">
        <is>
          <t>CAROLINE FERREIRA DA SILVA</t>
        </is>
      </c>
      <c r="E2680" t="n">
        <v>976.83</v>
      </c>
      <c r="F2680" s="27" t="n">
        <v>45708</v>
      </c>
      <c r="G2680" s="27" t="n">
        <v>45707</v>
      </c>
      <c r="H2680" s="27" t="n">
        <v>45707</v>
      </c>
      <c r="I2680" s="27" t="n">
        <v>45703</v>
      </c>
      <c r="J2680" s="27" t="n"/>
      <c r="K2680" t="inlineStr">
        <is>
          <t>Transferência Bancária ou Pix</t>
        </is>
      </c>
      <c r="L2680" t="inlineStr">
        <is>
          <t>Mão de Obra - Salários</t>
        </is>
      </c>
      <c r="M2680" t="inlineStr">
        <is>
          <t>MDO CLT - Salário</t>
        </is>
      </c>
      <c r="N2680" t="inlineStr">
        <is>
          <t>97683 022025</t>
        </is>
      </c>
      <c r="O2680" t="inlineStr">
        <is>
          <t>Documentação Aprovada</t>
        </is>
      </c>
      <c r="P2680" t="inlineStr">
        <is>
          <t>Aprovado Diretoria</t>
        </is>
      </c>
      <c r="Q2680" t="inlineStr">
        <is>
          <t>Aprovado Caixa</t>
        </is>
      </c>
      <c r="R2680" t="inlineStr">
        <is>
          <t>Pago</t>
        </is>
      </c>
      <c r="S2680" t="n">
        <v>115</v>
      </c>
      <c r="T2680" t="inlineStr">
        <is>
          <t>Love - Shibari - Bradesco</t>
        </is>
      </c>
    </row>
    <row r="2681">
      <c r="A2681" t="n">
        <v>105275</v>
      </c>
      <c r="B2681" t="n">
        <v>128</v>
      </c>
      <c r="C2681" t="inlineStr">
        <is>
          <t>Love Cabaret</t>
        </is>
      </c>
      <c r="D2681" t="inlineStr">
        <is>
          <t xml:space="preserve">EMPORIO MEL </t>
        </is>
      </c>
      <c r="E2681" t="n">
        <v>1318.71</v>
      </c>
      <c r="F2681" s="27" t="n">
        <v>45708</v>
      </c>
      <c r="G2681" s="27" t="n">
        <v>45707</v>
      </c>
      <c r="H2681" s="27" t="n">
        <v>45707</v>
      </c>
      <c r="I2681" s="27" t="n">
        <v>45677</v>
      </c>
      <c r="J2681" s="27" t="n">
        <v>45681</v>
      </c>
      <c r="K2681" t="inlineStr">
        <is>
          <t>Boleto Bancário</t>
        </is>
      </c>
      <c r="L2681" t="inlineStr">
        <is>
          <t>Custo Mercadoria Vendida</t>
        </is>
      </c>
      <c r="M2681" t="inlineStr">
        <is>
          <t>Insumos - Alimentos</t>
        </is>
      </c>
      <c r="N2681" t="inlineStr">
        <is>
          <t>437232</t>
        </is>
      </c>
      <c r="O2681" t="inlineStr">
        <is>
          <t>Documentação Aprovada</t>
        </is>
      </c>
      <c r="P2681" t="inlineStr">
        <is>
          <t>Aprovado Diretoria</t>
        </is>
      </c>
      <c r="Q2681" t="inlineStr">
        <is>
          <t>Aprovado Caixa</t>
        </is>
      </c>
      <c r="R2681" t="inlineStr">
        <is>
          <t>Pago</t>
        </is>
      </c>
      <c r="S2681" t="n">
        <v>115</v>
      </c>
      <c r="T2681" t="inlineStr">
        <is>
          <t>Love - Shibari - Bradesco</t>
        </is>
      </c>
    </row>
    <row r="2682">
      <c r="A2682" t="n">
        <v>107538</v>
      </c>
      <c r="B2682" t="n">
        <v>128</v>
      </c>
      <c r="C2682" t="inlineStr">
        <is>
          <t>Love Cabaret</t>
        </is>
      </c>
      <c r="D2682" t="inlineStr">
        <is>
          <t>BLUEME</t>
        </is>
      </c>
      <c r="E2682" t="n">
        <v>360</v>
      </c>
      <c r="F2682" s="27" t="n">
        <v>45708</v>
      </c>
      <c r="G2682" s="27" t="n">
        <v>45707</v>
      </c>
      <c r="H2682" s="27" t="n">
        <v>45707</v>
      </c>
      <c r="I2682" s="27" t="n">
        <v>45688</v>
      </c>
      <c r="J2682" s="27" t="n">
        <v>45693</v>
      </c>
      <c r="K2682" t="inlineStr">
        <is>
          <t>Boleto Bancário</t>
        </is>
      </c>
      <c r="L2682" t="inlineStr">
        <is>
          <t>Informática e TI</t>
        </is>
      </c>
      <c r="M2682" t="inlineStr">
        <is>
          <t>Sistemas Gerais - Financeiros</t>
        </is>
      </c>
      <c r="N2682" t="inlineStr">
        <is>
          <t>54</t>
        </is>
      </c>
      <c r="O2682" t="inlineStr">
        <is>
          <t>Documentação Aprovada</t>
        </is>
      </c>
      <c r="P2682" t="inlineStr">
        <is>
          <t>Aprovado Diretoria</t>
        </is>
      </c>
      <c r="Q2682" t="inlineStr">
        <is>
          <t>Aprovado Caixa</t>
        </is>
      </c>
      <c r="R2682" t="inlineStr">
        <is>
          <t>Pago</t>
        </is>
      </c>
      <c r="S2682" t="n">
        <v>115</v>
      </c>
      <c r="T2682" t="inlineStr">
        <is>
          <t>Love - Shibari - Bradesco</t>
        </is>
      </c>
    </row>
    <row r="2683">
      <c r="A2683" t="n">
        <v>106347</v>
      </c>
      <c r="B2683" t="n">
        <v>128</v>
      </c>
      <c r="C2683" t="inlineStr">
        <is>
          <t>Love Cabaret</t>
        </is>
      </c>
      <c r="D2683" t="inlineStr">
        <is>
          <t>CIUFFI HORTIFRUTI EIRELI</t>
        </is>
      </c>
      <c r="E2683" t="n">
        <v>539.9</v>
      </c>
      <c r="F2683" s="27" t="n">
        <v>45709</v>
      </c>
      <c r="G2683" s="27" t="n">
        <v>45707</v>
      </c>
      <c r="H2683" s="27" t="n">
        <v>45707</v>
      </c>
      <c r="I2683" s="27" t="n">
        <v>45680</v>
      </c>
      <c r="J2683" s="27" t="n">
        <v>45687</v>
      </c>
      <c r="K2683" t="inlineStr">
        <is>
          <t>Boleto Bancário</t>
        </is>
      </c>
      <c r="L2683" t="inlineStr">
        <is>
          <t>Custo Mercadoria Vendida</t>
        </is>
      </c>
      <c r="M2683" t="inlineStr">
        <is>
          <t>Insumos - Alimentos</t>
        </is>
      </c>
      <c r="N2683" t="inlineStr">
        <is>
          <t>19013</t>
        </is>
      </c>
      <c r="O2683" t="inlineStr">
        <is>
          <t>Documentação Aprovada</t>
        </is>
      </c>
      <c r="P2683" t="inlineStr">
        <is>
          <t>Aprovado Diretoria</t>
        </is>
      </c>
      <c r="Q2683" t="inlineStr">
        <is>
          <t>Aprovado Caixa</t>
        </is>
      </c>
      <c r="R2683" t="inlineStr">
        <is>
          <t>Pago</t>
        </is>
      </c>
      <c r="S2683" t="n">
        <v>115</v>
      </c>
      <c r="T2683" t="inlineStr">
        <is>
          <t>Love - Shibari - Bradesco</t>
        </is>
      </c>
    </row>
    <row r="2684">
      <c r="A2684" t="n">
        <v>106382</v>
      </c>
      <c r="B2684" t="n">
        <v>128</v>
      </c>
      <c r="C2684" t="inlineStr">
        <is>
          <t>Love Cabaret</t>
        </is>
      </c>
      <c r="D2684" t="inlineStr">
        <is>
          <t>KING COMERCIO E IMPORTACAO DE BEBIDAS LTDA</t>
        </is>
      </c>
      <c r="E2684" t="n">
        <v>3726.62</v>
      </c>
      <c r="F2684" s="27" t="n">
        <v>45709</v>
      </c>
      <c r="G2684" s="27" t="n">
        <v>45707</v>
      </c>
      <c r="H2684" s="27" t="n">
        <v>45707</v>
      </c>
      <c r="I2684" s="27" t="n">
        <v>45681</v>
      </c>
      <c r="J2684" s="27" t="n">
        <v>45687</v>
      </c>
      <c r="K2684" t="inlineStr">
        <is>
          <t>Boleto Bancário</t>
        </is>
      </c>
      <c r="L2684" t="inlineStr">
        <is>
          <t>Custo Mercadoria Vendida</t>
        </is>
      </c>
      <c r="M2684" t="inlineStr">
        <is>
          <t>Insumos - Bebidas</t>
        </is>
      </c>
      <c r="N2684" t="inlineStr">
        <is>
          <t>114739</t>
        </is>
      </c>
      <c r="O2684" t="inlineStr">
        <is>
          <t>Documentação Aprovada</t>
        </is>
      </c>
      <c r="P2684" t="inlineStr">
        <is>
          <t>Aprovado Diretoria</t>
        </is>
      </c>
      <c r="Q2684" t="inlineStr">
        <is>
          <t>Aprovado Caixa</t>
        </is>
      </c>
      <c r="R2684" t="inlineStr">
        <is>
          <t>Pago</t>
        </is>
      </c>
      <c r="S2684" t="n">
        <v>115</v>
      </c>
      <c r="T2684" t="inlineStr">
        <is>
          <t>Love - Shibari - Bradesco</t>
        </is>
      </c>
    </row>
    <row r="2685">
      <c r="A2685" t="n">
        <v>107011</v>
      </c>
      <c r="B2685" t="n">
        <v>128</v>
      </c>
      <c r="C2685" t="inlineStr">
        <is>
          <t>Love Cabaret</t>
        </is>
      </c>
      <c r="D2685" t="inlineStr">
        <is>
          <t>FGTS</t>
        </is>
      </c>
      <c r="E2685" t="n">
        <v>584.29</v>
      </c>
      <c r="F2685" s="27" t="n">
        <v>45708</v>
      </c>
      <c r="G2685" s="27" t="n">
        <v>45707</v>
      </c>
      <c r="H2685" s="27" t="n">
        <v>45707</v>
      </c>
      <c r="I2685" s="27" t="n">
        <v>45658</v>
      </c>
      <c r="J2685" s="27" t="n">
        <v>45692</v>
      </c>
      <c r="K2685" t="inlineStr">
        <is>
          <t>Transferência Bancária ou Pix</t>
        </is>
      </c>
      <c r="L2685" t="inlineStr">
        <is>
          <t>Mão de Obra - Encargos e Provisões</t>
        </is>
      </c>
      <c r="M2685" t="inlineStr">
        <is>
          <t xml:space="preserve">  -  FGTS</t>
        </is>
      </c>
      <c r="N2685" t="inlineStr">
        <is>
          <t>58429 012025</t>
        </is>
      </c>
      <c r="O2685" t="inlineStr">
        <is>
          <t>Documentação Aprovada</t>
        </is>
      </c>
      <c r="P2685" t="inlineStr">
        <is>
          <t>Aprovado Diretoria</t>
        </is>
      </c>
      <c r="Q2685" t="inlineStr">
        <is>
          <t>Aprovado Caixa</t>
        </is>
      </c>
      <c r="R2685" t="inlineStr">
        <is>
          <t>Pago</t>
        </is>
      </c>
      <c r="S2685" t="n">
        <v>115</v>
      </c>
      <c r="T2685" t="inlineStr">
        <is>
          <t>Love - Shibari - Bradesco</t>
        </is>
      </c>
    </row>
    <row r="2686">
      <c r="A2686" t="n">
        <v>107010</v>
      </c>
      <c r="B2686" t="n">
        <v>128</v>
      </c>
      <c r="C2686" t="inlineStr">
        <is>
          <t>Love Cabaret</t>
        </is>
      </c>
      <c r="D2686" t="inlineStr">
        <is>
          <t>IRRF</t>
        </is>
      </c>
      <c r="E2686" t="n">
        <v>249.83</v>
      </c>
      <c r="F2686" s="27" t="n">
        <v>45708</v>
      </c>
      <c r="G2686" s="27" t="n">
        <v>45707</v>
      </c>
      <c r="H2686" s="27" t="n">
        <v>45707</v>
      </c>
      <c r="I2686" s="27" t="n">
        <v>45658</v>
      </c>
      <c r="J2686" s="27" t="n">
        <v>45692</v>
      </c>
      <c r="K2686" t="inlineStr">
        <is>
          <t>Boleto Bancário</t>
        </is>
      </c>
      <c r="L2686" t="inlineStr">
        <is>
          <t>Mão de Obra - Encargos e Provisões</t>
        </is>
      </c>
      <c r="M2686" t="inlineStr">
        <is>
          <t>IRRF - MDO CLT - Salário</t>
        </is>
      </c>
      <c r="N2686" t="inlineStr">
        <is>
          <t>24983 012025</t>
        </is>
      </c>
      <c r="O2686" t="inlineStr">
        <is>
          <t>Documentação Aprovada</t>
        </is>
      </c>
      <c r="P2686" t="inlineStr">
        <is>
          <t>Aprovado Diretoria</t>
        </is>
      </c>
      <c r="Q2686" t="inlineStr">
        <is>
          <t>Aprovado Caixa</t>
        </is>
      </c>
      <c r="R2686" t="inlineStr">
        <is>
          <t>Pago</t>
        </is>
      </c>
      <c r="S2686" t="n">
        <v>115</v>
      </c>
      <c r="T2686" t="inlineStr">
        <is>
          <t>Love - Shibari - Bradesco</t>
        </is>
      </c>
    </row>
    <row r="2687">
      <c r="A2687" t="n">
        <v>107009</v>
      </c>
      <c r="B2687" t="n">
        <v>128</v>
      </c>
      <c r="C2687" t="inlineStr">
        <is>
          <t>Love Cabaret</t>
        </is>
      </c>
      <c r="D2687" t="inlineStr">
        <is>
          <t>INSS</t>
        </is>
      </c>
      <c r="E2687" t="n">
        <v>3407.88</v>
      </c>
      <c r="F2687" s="27" t="n">
        <v>45708</v>
      </c>
      <c r="G2687" s="27" t="n">
        <v>45707</v>
      </c>
      <c r="H2687" s="27" t="n">
        <v>45707</v>
      </c>
      <c r="I2687" s="27" t="n">
        <v>45658</v>
      </c>
      <c r="J2687" s="27" t="n">
        <v>45692</v>
      </c>
      <c r="K2687" t="inlineStr">
        <is>
          <t>Boleto Bancário</t>
        </is>
      </c>
      <c r="L2687" t="inlineStr">
        <is>
          <t>Mão de Obra - Encargos e Provisões</t>
        </is>
      </c>
      <c r="M2687" t="inlineStr">
        <is>
          <t xml:space="preserve">  -  INSS Patronal</t>
        </is>
      </c>
      <c r="N2687" t="inlineStr">
        <is>
          <t>340788 012025</t>
        </is>
      </c>
      <c r="O2687" t="inlineStr">
        <is>
          <t>Documentação Aprovada</t>
        </is>
      </c>
      <c r="P2687" t="inlineStr">
        <is>
          <t>Aprovado Diretoria</t>
        </is>
      </c>
      <c r="Q2687" t="inlineStr">
        <is>
          <t>Aprovado Caixa</t>
        </is>
      </c>
      <c r="R2687" t="inlineStr">
        <is>
          <t>Pago</t>
        </is>
      </c>
      <c r="S2687" t="n">
        <v>115</v>
      </c>
      <c r="T2687" t="inlineStr">
        <is>
          <t>Love - Shibari - Bradesco</t>
        </is>
      </c>
    </row>
    <row r="2688">
      <c r="A2688" t="n">
        <v>107008</v>
      </c>
      <c r="B2688" t="n">
        <v>128</v>
      </c>
      <c r="C2688" t="inlineStr">
        <is>
          <t>Love Cabaret</t>
        </is>
      </c>
      <c r="D2688" t="inlineStr">
        <is>
          <t>INSS</t>
        </is>
      </c>
      <c r="E2688" t="n">
        <v>1081.85</v>
      </c>
      <c r="F2688" s="27" t="n">
        <v>45708</v>
      </c>
      <c r="G2688" s="27" t="n">
        <v>45707</v>
      </c>
      <c r="H2688" s="27" t="n">
        <v>45707</v>
      </c>
      <c r="I2688" s="27" t="n">
        <v>45658</v>
      </c>
      <c r="J2688" s="27" t="n">
        <v>45692</v>
      </c>
      <c r="K2688" t="inlineStr">
        <is>
          <t>Boleto Bancário</t>
        </is>
      </c>
      <c r="L2688" t="inlineStr">
        <is>
          <t>Mão de Obra - Encargos e Provisões</t>
        </is>
      </c>
      <c r="M2688" t="inlineStr">
        <is>
          <t xml:space="preserve">  -  INSS Segurados</t>
        </is>
      </c>
      <c r="N2688" t="inlineStr">
        <is>
          <t>108185 012025</t>
        </is>
      </c>
      <c r="O2688" t="inlineStr">
        <is>
          <t>Documentação Aprovada</t>
        </is>
      </c>
      <c r="P2688" t="inlineStr">
        <is>
          <t>Aprovado Diretoria</t>
        </is>
      </c>
      <c r="Q2688" t="inlineStr">
        <is>
          <t>Aprovado Caixa</t>
        </is>
      </c>
      <c r="R2688" t="inlineStr">
        <is>
          <t>Pago</t>
        </is>
      </c>
      <c r="S2688" t="n">
        <v>115</v>
      </c>
      <c r="T2688" t="inlineStr">
        <is>
          <t>Love - Shibari - Bradesco</t>
        </is>
      </c>
    </row>
    <row r="2689">
      <c r="A2689" t="n">
        <v>109297</v>
      </c>
      <c r="B2689" t="n">
        <v>128</v>
      </c>
      <c r="C2689" t="inlineStr">
        <is>
          <t>Love Cabaret</t>
        </is>
      </c>
      <c r="D2689" t="inlineStr">
        <is>
          <t>MARIANA APOSTOLAKIS MALFATTI</t>
        </is>
      </c>
      <c r="E2689" t="n">
        <v>600</v>
      </c>
      <c r="F2689" s="27" t="n">
        <v>45708</v>
      </c>
      <c r="G2689" s="27" t="n">
        <v>45707</v>
      </c>
      <c r="H2689" s="27" t="n">
        <v>45707</v>
      </c>
      <c r="I2689" s="27" t="n">
        <v>45689</v>
      </c>
      <c r="J2689" s="27" t="n">
        <v>45695</v>
      </c>
      <c r="K2689" t="inlineStr">
        <is>
          <t>Transferência Bancária ou Pix</t>
        </is>
      </c>
      <c r="L2689" t="inlineStr">
        <is>
          <t>Custos Artístico Geral</t>
        </is>
      </c>
      <c r="M2689" t="inlineStr">
        <is>
          <t>Cachê de Músicos e Artistas</t>
        </is>
      </c>
      <c r="N2689" t="inlineStr">
        <is>
          <t>RP018-2025</t>
        </is>
      </c>
      <c r="O2689" t="inlineStr">
        <is>
          <t>Documentação Aprovada</t>
        </is>
      </c>
      <c r="P2689" t="inlineStr">
        <is>
          <t>Aprovado Diretoria</t>
        </is>
      </c>
      <c r="Q2689" t="inlineStr">
        <is>
          <t>Aprovado Caixa</t>
        </is>
      </c>
      <c r="R2689" t="inlineStr">
        <is>
          <t>Pago</t>
        </is>
      </c>
      <c r="S2689" t="n">
        <v>115</v>
      </c>
      <c r="T2689" t="inlineStr">
        <is>
          <t>Love - Shibari - Bradesco</t>
        </is>
      </c>
    </row>
    <row r="2690">
      <c r="A2690" t="n">
        <v>109337</v>
      </c>
      <c r="B2690" t="n">
        <v>128</v>
      </c>
      <c r="C2690" t="inlineStr">
        <is>
          <t>Love Cabaret</t>
        </is>
      </c>
      <c r="D2690" t="inlineStr">
        <is>
          <t>WIDE STOCK COMERCIO E DISTRIBUICAO LTDA</t>
        </is>
      </c>
      <c r="E2690" t="n">
        <v>854.1</v>
      </c>
      <c r="F2690" s="27" t="n">
        <v>45708</v>
      </c>
      <c r="G2690" s="27" t="n">
        <v>45707</v>
      </c>
      <c r="H2690" s="27" t="n">
        <v>45707</v>
      </c>
      <c r="I2690" s="27" t="n">
        <v>45687</v>
      </c>
      <c r="J2690" s="27" t="n">
        <v>45695</v>
      </c>
      <c r="K2690" t="inlineStr">
        <is>
          <t>Boleto Bancário</t>
        </is>
      </c>
      <c r="L2690" t="inlineStr">
        <is>
          <t>Utilidades</t>
        </is>
      </c>
      <c r="M2690" t="inlineStr">
        <is>
          <t>Higiene e Limpeza</t>
        </is>
      </c>
      <c r="N2690" t="inlineStr">
        <is>
          <t>394235</t>
        </is>
      </c>
      <c r="O2690" t="inlineStr">
        <is>
          <t>Documentação Aprovada</t>
        </is>
      </c>
      <c r="P2690" t="inlineStr">
        <is>
          <t>Aprovado Diretoria</t>
        </is>
      </c>
      <c r="Q2690" t="inlineStr">
        <is>
          <t>Aprovado Caixa</t>
        </is>
      </c>
      <c r="R2690" t="inlineStr">
        <is>
          <t>Pago</t>
        </is>
      </c>
      <c r="S2690" t="n">
        <v>115</v>
      </c>
      <c r="T2690" t="inlineStr">
        <is>
          <t>Love - Shibari - Bradesco</t>
        </is>
      </c>
    </row>
    <row r="2691">
      <c r="A2691" t="n">
        <v>97436</v>
      </c>
      <c r="B2691" t="n">
        <v>128</v>
      </c>
      <c r="C2691" t="inlineStr">
        <is>
          <t>Love Cabaret</t>
        </is>
      </c>
      <c r="D2691" t="inlineStr">
        <is>
          <t xml:space="preserve">MINISTERIO DA FAZENDA </t>
        </is>
      </c>
      <c r="E2691" t="n">
        <v>434.46</v>
      </c>
      <c r="F2691" s="27" t="n">
        <v>45708</v>
      </c>
      <c r="G2691" s="27" t="n">
        <v>45707</v>
      </c>
      <c r="H2691" s="27" t="n">
        <v>45707</v>
      </c>
      <c r="I2691" s="27" t="n">
        <v>45688</v>
      </c>
      <c r="J2691" s="27" t="n"/>
      <c r="K2691" t="inlineStr">
        <is>
          <t>Boleto Bancário</t>
        </is>
      </c>
      <c r="L2691" t="inlineStr">
        <is>
          <t>Serviços de Terceiros</t>
        </is>
      </c>
      <c r="M2691" t="inlineStr">
        <is>
          <t>Serviços de Segurança</t>
        </is>
      </c>
      <c r="N2691" t="inlineStr">
        <is>
          <t>012025</t>
        </is>
      </c>
      <c r="O2691" t="inlineStr">
        <is>
          <t>Documentação Aprovada</t>
        </is>
      </c>
      <c r="P2691" t="inlineStr">
        <is>
          <t>Aprovado Diretoria</t>
        </is>
      </c>
      <c r="Q2691" t="inlineStr">
        <is>
          <t>Aprovado Caixa</t>
        </is>
      </c>
      <c r="R2691" t="inlineStr">
        <is>
          <t>Pago</t>
        </is>
      </c>
      <c r="S2691" t="n">
        <v>115</v>
      </c>
      <c r="T2691" t="inlineStr">
        <is>
          <t>Love - Shibari - Bradesco</t>
        </is>
      </c>
    </row>
    <row r="2692">
      <c r="A2692" t="n">
        <v>97453</v>
      </c>
      <c r="B2692" t="n">
        <v>128</v>
      </c>
      <c r="C2692" t="inlineStr">
        <is>
          <t>Love Cabaret</t>
        </is>
      </c>
      <c r="D2692" t="inlineStr">
        <is>
          <t>INSS</t>
        </is>
      </c>
      <c r="E2692" t="n">
        <v>55</v>
      </c>
      <c r="F2692" s="27" t="n">
        <v>45708</v>
      </c>
      <c r="G2692" s="27" t="n">
        <v>45707</v>
      </c>
      <c r="H2692" s="27" t="n">
        <v>45707</v>
      </c>
      <c r="I2692" s="27" t="n">
        <v>45676</v>
      </c>
      <c r="J2692" s="27" t="n"/>
      <c r="K2692" t="inlineStr">
        <is>
          <t>Boleto Bancário</t>
        </is>
      </c>
      <c r="L2692" t="inlineStr">
        <is>
          <t>Manutenção</t>
        </is>
      </c>
      <c r="M2692" t="inlineStr">
        <is>
          <t>Decoração/Paisagismo e Jardinagem</t>
        </is>
      </c>
      <c r="N2692" t="inlineStr">
        <is>
          <t>012025</t>
        </is>
      </c>
      <c r="O2692" t="inlineStr">
        <is>
          <t>Documentação Aprovada</t>
        </is>
      </c>
      <c r="P2692" t="inlineStr">
        <is>
          <t>Aprovado Diretoria</t>
        </is>
      </c>
      <c r="Q2692" t="inlineStr">
        <is>
          <t>Aprovado Caixa</t>
        </is>
      </c>
      <c r="R2692" t="inlineStr">
        <is>
          <t>Pago</t>
        </is>
      </c>
      <c r="S2692" t="n">
        <v>115</v>
      </c>
      <c r="T2692" t="inlineStr">
        <is>
          <t>Love - Shibari - Bradesco</t>
        </is>
      </c>
    </row>
    <row r="2693">
      <c r="A2693" t="n">
        <v>97465</v>
      </c>
      <c r="B2693" t="n">
        <v>128</v>
      </c>
      <c r="C2693" t="inlineStr">
        <is>
          <t>Love Cabaret</t>
        </is>
      </c>
      <c r="D2693" t="inlineStr">
        <is>
          <t>ICMS</t>
        </is>
      </c>
      <c r="E2693" t="n">
        <v>7700.16</v>
      </c>
      <c r="F2693" s="27" t="n">
        <v>45708</v>
      </c>
      <c r="G2693" s="27" t="n">
        <v>45707</v>
      </c>
      <c r="H2693" s="27" t="n">
        <v>45707</v>
      </c>
      <c r="I2693" s="27" t="n">
        <v>45688</v>
      </c>
      <c r="J2693" s="27" t="n"/>
      <c r="K2693" t="inlineStr">
        <is>
          <t>Boleto Bancário</t>
        </is>
      </c>
      <c r="L2693" t="inlineStr">
        <is>
          <t>Impostos sobre Venda</t>
        </is>
      </c>
      <c r="M2693" t="inlineStr">
        <is>
          <t>ICMS</t>
        </is>
      </c>
      <c r="N2693" t="inlineStr">
        <is>
          <t>770016 012025</t>
        </is>
      </c>
      <c r="O2693" t="inlineStr">
        <is>
          <t>Documentação Aprovada</t>
        </is>
      </c>
      <c r="P2693" t="inlineStr">
        <is>
          <t>Aprovado Diretoria</t>
        </is>
      </c>
      <c r="Q2693" t="inlineStr">
        <is>
          <t>Aprovado Caixa</t>
        </is>
      </c>
      <c r="R2693" t="inlineStr">
        <is>
          <t>Pago</t>
        </is>
      </c>
      <c r="S2693" t="n">
        <v>115</v>
      </c>
      <c r="T2693" t="inlineStr">
        <is>
          <t>Love - Shibari - Bradesco</t>
        </is>
      </c>
    </row>
    <row r="2694">
      <c r="A2694" t="n">
        <v>97481</v>
      </c>
      <c r="B2694" t="n">
        <v>128</v>
      </c>
      <c r="C2694" t="inlineStr">
        <is>
          <t>Love Cabaret</t>
        </is>
      </c>
      <c r="D2694" t="inlineStr">
        <is>
          <t>IRRF</t>
        </is>
      </c>
      <c r="E2694" t="n">
        <v>51.22</v>
      </c>
      <c r="F2694" s="27" t="n">
        <v>45708</v>
      </c>
      <c r="G2694" s="27" t="n">
        <v>45707</v>
      </c>
      <c r="H2694" s="27" t="n">
        <v>45707</v>
      </c>
      <c r="I2694" s="27" t="n">
        <v>45688</v>
      </c>
      <c r="J2694" s="27" t="n"/>
      <c r="K2694" t="inlineStr">
        <is>
          <t>Boleto Bancário</t>
        </is>
      </c>
      <c r="L2694" t="inlineStr">
        <is>
          <t>Serviços de Terceiros</t>
        </is>
      </c>
      <c r="M2694" t="inlineStr">
        <is>
          <t>Serviços de Segurança</t>
        </is>
      </c>
      <c r="N2694" t="inlineStr">
        <is>
          <t>012025</t>
        </is>
      </c>
      <c r="O2694" t="inlineStr">
        <is>
          <t>Documentação Aprovada</t>
        </is>
      </c>
      <c r="P2694" t="inlineStr">
        <is>
          <t>Aprovado Diretoria</t>
        </is>
      </c>
      <c r="Q2694" t="inlineStr">
        <is>
          <t>Aprovado Caixa</t>
        </is>
      </c>
      <c r="R2694" t="inlineStr">
        <is>
          <t>Pago</t>
        </is>
      </c>
      <c r="S2694" t="n">
        <v>115</v>
      </c>
      <c r="T2694" t="inlineStr">
        <is>
          <t>Love - Shibari - Bradesco</t>
        </is>
      </c>
    </row>
    <row r="2695">
      <c r="A2695" t="n">
        <v>101706</v>
      </c>
      <c r="B2695" t="n">
        <v>128</v>
      </c>
      <c r="C2695" t="inlineStr">
        <is>
          <t>Love Cabaret</t>
        </is>
      </c>
      <c r="D2695" t="inlineStr">
        <is>
          <t>GOMES D ELIA EQUIP. HIGIENE LTDA - WESCO</t>
        </is>
      </c>
      <c r="E2695" t="n">
        <v>515</v>
      </c>
      <c r="F2695" s="27" t="n">
        <v>45708</v>
      </c>
      <c r="G2695" s="27" t="n">
        <v>45707</v>
      </c>
      <c r="H2695" s="27" t="n">
        <v>45707</v>
      </c>
      <c r="I2695" s="27" t="n">
        <v>45689</v>
      </c>
      <c r="J2695" s="27" t="n">
        <v>45667</v>
      </c>
      <c r="K2695" t="inlineStr">
        <is>
          <t>Boleto Bancário</t>
        </is>
      </c>
      <c r="L2695" t="inlineStr">
        <is>
          <t>Utilidades</t>
        </is>
      </c>
      <c r="M2695" t="inlineStr">
        <is>
          <t>Higiene e Limpeza</t>
        </is>
      </c>
      <c r="N2695" t="inlineStr">
        <is>
          <t xml:space="preserve">174856 </t>
        </is>
      </c>
      <c r="O2695" t="inlineStr">
        <is>
          <t>Documentação Aprovada</t>
        </is>
      </c>
      <c r="P2695" t="inlineStr">
        <is>
          <t>Aprovado Diretoria</t>
        </is>
      </c>
      <c r="Q2695" t="inlineStr">
        <is>
          <t>Aprovado Caixa</t>
        </is>
      </c>
      <c r="R2695" t="inlineStr">
        <is>
          <t>Pago</t>
        </is>
      </c>
      <c r="S2695" t="n">
        <v>115</v>
      </c>
      <c r="T2695" t="inlineStr">
        <is>
          <t>Love - Shibari - Bradesco</t>
        </is>
      </c>
    </row>
    <row r="2696">
      <c r="A2696" t="n">
        <v>102887</v>
      </c>
      <c r="B2696" t="n">
        <v>128</v>
      </c>
      <c r="C2696" t="inlineStr">
        <is>
          <t>Love Cabaret</t>
        </is>
      </c>
      <c r="D2696" t="inlineStr">
        <is>
          <t>MACHINE SEGURANCA PATRIMONIAL LTDA</t>
        </is>
      </c>
      <c r="E2696" t="n">
        <v>6460</v>
      </c>
      <c r="F2696" s="27" t="n">
        <v>45708</v>
      </c>
      <c r="G2696" s="27" t="n">
        <v>45707</v>
      </c>
      <c r="H2696" s="27" t="n">
        <v>45707</v>
      </c>
      <c r="I2696" s="27" t="n">
        <v>45689</v>
      </c>
      <c r="J2696" s="27" t="n"/>
      <c r="K2696" t="inlineStr">
        <is>
          <t>Transferência Bancária ou Pix</t>
        </is>
      </c>
      <c r="L2696" t="inlineStr">
        <is>
          <t>Serviços de Terceiros</t>
        </is>
      </c>
      <c r="M2696" t="inlineStr">
        <is>
          <t>Serviços de Segurança</t>
        </is>
      </c>
      <c r="N2696" t="inlineStr">
        <is>
          <t>44</t>
        </is>
      </c>
      <c r="O2696" t="inlineStr">
        <is>
          <t>Documentação Aprovada</t>
        </is>
      </c>
      <c r="P2696" t="inlineStr">
        <is>
          <t>Aprovado Diretoria</t>
        </is>
      </c>
      <c r="Q2696" t="inlineStr">
        <is>
          <t>Aprovado Caixa</t>
        </is>
      </c>
      <c r="R2696" t="inlineStr">
        <is>
          <t>Pago</t>
        </is>
      </c>
      <c r="S2696" t="n">
        <v>115</v>
      </c>
      <c r="T2696" t="inlineStr">
        <is>
          <t>Love - Shibari - Bradesco</t>
        </is>
      </c>
    </row>
    <row r="2697">
      <c r="A2697" t="n">
        <v>102791</v>
      </c>
      <c r="B2697" t="n">
        <v>128</v>
      </c>
      <c r="C2697" t="inlineStr">
        <is>
          <t>Love Cabaret</t>
        </is>
      </c>
      <c r="D2697" t="inlineStr">
        <is>
          <t>FABRICA DE BARES PARTICIPACOES LTDA</t>
        </is>
      </c>
      <c r="E2697" t="n">
        <v>100</v>
      </c>
      <c r="F2697" s="27" t="n">
        <v>45708</v>
      </c>
      <c r="G2697" s="27" t="n">
        <v>45707</v>
      </c>
      <c r="H2697" s="27" t="n">
        <v>45707</v>
      </c>
      <c r="I2697" s="27" t="n">
        <v>45658</v>
      </c>
      <c r="J2697" s="27" t="n"/>
      <c r="K2697" t="inlineStr">
        <is>
          <t>Transferência Bancária ou Pix</t>
        </is>
      </c>
      <c r="L2697" t="inlineStr">
        <is>
          <t>Serviços de Terceiros</t>
        </is>
      </c>
      <c r="M2697" t="inlineStr">
        <is>
          <t>Assessoria RH</t>
        </is>
      </c>
      <c r="N2697" t="inlineStr">
        <is>
          <t>RP021-2025</t>
        </is>
      </c>
      <c r="O2697" t="inlineStr">
        <is>
          <t>Documentação Aprovada</t>
        </is>
      </c>
      <c r="P2697" t="inlineStr">
        <is>
          <t>Aprovado Diretoria</t>
        </is>
      </c>
      <c r="Q2697" t="inlineStr">
        <is>
          <t>Aprovado Caixa</t>
        </is>
      </c>
      <c r="R2697" t="inlineStr">
        <is>
          <t>Pago</t>
        </is>
      </c>
      <c r="S2697" t="n">
        <v>115</v>
      </c>
      <c r="T2697" t="inlineStr">
        <is>
          <t>Love - Shibari - Bradesco</t>
        </is>
      </c>
    </row>
    <row r="2698">
      <c r="A2698" t="n">
        <v>111679</v>
      </c>
      <c r="B2698" t="n">
        <v>128</v>
      </c>
      <c r="C2698" t="inlineStr">
        <is>
          <t>Love Cabaret</t>
        </is>
      </c>
      <c r="D2698" t="inlineStr">
        <is>
          <t>DARE - SP</t>
        </is>
      </c>
      <c r="E2698" t="n">
        <v>122.17</v>
      </c>
      <c r="F2698" s="27" t="n">
        <v>45706</v>
      </c>
      <c r="G2698" s="27" t="n">
        <v>45707</v>
      </c>
      <c r="H2698" s="27" t="n">
        <v>45706</v>
      </c>
      <c r="I2698" s="27" t="n">
        <v>45706</v>
      </c>
      <c r="J2698" s="27" t="n">
        <v>45706</v>
      </c>
      <c r="K2698" t="inlineStr">
        <is>
          <t>Boleto Bancário</t>
        </is>
      </c>
      <c r="L2698" t="inlineStr">
        <is>
          <t>Serviços de Terceiros</t>
        </is>
      </c>
      <c r="M2698" t="inlineStr">
        <is>
          <t>Assessoria Contabil</t>
        </is>
      </c>
      <c r="N2698" t="inlineStr">
        <is>
          <t>250190014204092-0001</t>
        </is>
      </c>
      <c r="O2698" t="inlineStr">
        <is>
          <t>Documentação Aprovada</t>
        </is>
      </c>
      <c r="P2698" t="inlineStr">
        <is>
          <t>Aprovado Diretoria</t>
        </is>
      </c>
      <c r="Q2698" t="inlineStr">
        <is>
          <t>Aprovado Caixa</t>
        </is>
      </c>
      <c r="R2698" t="inlineStr">
        <is>
          <t>Pago</t>
        </is>
      </c>
      <c r="S2698" t="n">
        <v>115</v>
      </c>
      <c r="T2698" t="inlineStr">
        <is>
          <t>Love - Shibari - Bradesco</t>
        </is>
      </c>
    </row>
    <row r="2699">
      <c r="A2699" t="n">
        <v>110112</v>
      </c>
      <c r="B2699" t="n">
        <v>128</v>
      </c>
      <c r="C2699" t="inlineStr">
        <is>
          <t>Love Cabaret</t>
        </is>
      </c>
      <c r="D2699" t="inlineStr">
        <is>
          <t xml:space="preserve">FABRICIO LUMINATO ADRIANO </t>
        </is>
      </c>
      <c r="E2699" t="n">
        <v>173</v>
      </c>
      <c r="F2699" s="27" t="n">
        <v>45705</v>
      </c>
      <c r="G2699" s="27" t="n">
        <v>45705</v>
      </c>
      <c r="H2699" s="27" t="n">
        <v>45705</v>
      </c>
      <c r="I2699" s="27" t="n">
        <v>45699</v>
      </c>
      <c r="J2699" s="27" t="n">
        <v>45701</v>
      </c>
      <c r="K2699" t="inlineStr">
        <is>
          <t>Boleto Bancário</t>
        </is>
      </c>
      <c r="L2699" t="inlineStr">
        <is>
          <t>Custo Mercadoria Vendida</t>
        </is>
      </c>
      <c r="M2699" t="inlineStr">
        <is>
          <t>Insumos - Alimentos</t>
        </is>
      </c>
      <c r="N2699" t="inlineStr">
        <is>
          <t>27</t>
        </is>
      </c>
      <c r="O2699" t="inlineStr">
        <is>
          <t>Documentação Aprovada</t>
        </is>
      </c>
      <c r="P2699" t="inlineStr">
        <is>
          <t>Aprovado Diretoria</t>
        </is>
      </c>
      <c r="Q2699" t="inlineStr">
        <is>
          <t>Aprovado Caixa</t>
        </is>
      </c>
      <c r="R2699" t="inlineStr">
        <is>
          <t>Pago</t>
        </is>
      </c>
      <c r="S2699" t="n">
        <v>115</v>
      </c>
      <c r="T2699" t="inlineStr">
        <is>
          <t>Love - Shibari - Bradesco</t>
        </is>
      </c>
    </row>
    <row r="2700">
      <c r="A2700" t="n">
        <v>96880</v>
      </c>
      <c r="B2700" t="n">
        <v>128</v>
      </c>
      <c r="C2700" t="inlineStr">
        <is>
          <t>Love Cabaret</t>
        </is>
      </c>
      <c r="D2700" t="inlineStr">
        <is>
          <t>ALPHALIX AMBIENTEAL LOC/ DE EQUIPAMENTOS EIRELI</t>
        </is>
      </c>
      <c r="E2700" t="n">
        <v>750.5</v>
      </c>
      <c r="F2700" s="27" t="n">
        <v>45707</v>
      </c>
      <c r="G2700" s="27" t="n">
        <v>45705</v>
      </c>
      <c r="H2700" s="27" t="n">
        <v>45705</v>
      </c>
      <c r="I2700" s="27" t="n">
        <v>45687</v>
      </c>
      <c r="J2700" s="27" t="n"/>
      <c r="K2700" t="inlineStr">
        <is>
          <t>Boleto Bancário</t>
        </is>
      </c>
      <c r="L2700" t="inlineStr">
        <is>
          <t>Utilidades</t>
        </is>
      </c>
      <c r="M2700" t="inlineStr">
        <is>
          <t>Coleta de lixo</t>
        </is>
      </c>
      <c r="N2700" t="inlineStr">
        <is>
          <t>41880</t>
        </is>
      </c>
      <c r="O2700" t="inlineStr">
        <is>
          <t>Documentação Aprovada</t>
        </is>
      </c>
      <c r="P2700" t="inlineStr">
        <is>
          <t>Aprovado Diretoria</t>
        </is>
      </c>
      <c r="Q2700" t="inlineStr">
        <is>
          <t>Aprovado Caixa</t>
        </is>
      </c>
      <c r="R2700" t="inlineStr">
        <is>
          <t>Pago</t>
        </is>
      </c>
      <c r="S2700" t="n">
        <v>115</v>
      </c>
      <c r="T2700" t="inlineStr">
        <is>
          <t>Love - Shibari - Bradesco</t>
        </is>
      </c>
    </row>
    <row r="2701">
      <c r="A2701" t="n">
        <v>109346</v>
      </c>
      <c r="B2701" t="n">
        <v>128</v>
      </c>
      <c r="C2701" t="inlineStr">
        <is>
          <t>Love Cabaret</t>
        </is>
      </c>
      <c r="D2701" t="inlineStr">
        <is>
          <t>ASSAZ ORGANICA INDUSTRIA E COMERCIO DE ALIMENTOS LTDA</t>
        </is>
      </c>
      <c r="E2701" t="n">
        <v>30.5</v>
      </c>
      <c r="F2701" s="27" t="n">
        <v>45707</v>
      </c>
      <c r="G2701" s="27" t="n">
        <v>45705</v>
      </c>
      <c r="H2701" s="27" t="n">
        <v>45705</v>
      </c>
      <c r="I2701" s="27" t="n">
        <v>45692</v>
      </c>
      <c r="J2701" s="27" t="n">
        <v>45695</v>
      </c>
      <c r="K2701" t="inlineStr">
        <is>
          <t>Boleto Bancário</t>
        </is>
      </c>
      <c r="L2701" t="inlineStr">
        <is>
          <t>Custo Mercadoria Vendida</t>
        </is>
      </c>
      <c r="M2701" t="inlineStr">
        <is>
          <t>Insumos - Alimentos</t>
        </is>
      </c>
      <c r="N2701" t="inlineStr">
        <is>
          <t>18262</t>
        </is>
      </c>
      <c r="O2701" t="inlineStr">
        <is>
          <t>Documentação Aprovada</t>
        </is>
      </c>
      <c r="P2701" t="inlineStr">
        <is>
          <t>Aprovado Diretoria</t>
        </is>
      </c>
      <c r="Q2701" t="inlineStr">
        <is>
          <t>Aprovado Caixa</t>
        </is>
      </c>
      <c r="R2701" t="inlineStr">
        <is>
          <t>Pago</t>
        </is>
      </c>
      <c r="S2701" t="n">
        <v>115</v>
      </c>
      <c r="T2701" t="inlineStr">
        <is>
          <t>Love - Shibari - Bradesco</t>
        </is>
      </c>
    </row>
    <row r="2702">
      <c r="A2702" t="n">
        <v>109348</v>
      </c>
      <c r="B2702" t="n">
        <v>128</v>
      </c>
      <c r="C2702" t="inlineStr">
        <is>
          <t>Love Cabaret</t>
        </is>
      </c>
      <c r="D2702" t="inlineStr">
        <is>
          <t>PARAMU COMERCIO E REPRESENTACAO DE PRODUTOS ALIMENTICIOS</t>
        </is>
      </c>
      <c r="E2702" t="n">
        <v>645.65</v>
      </c>
      <c r="F2702" s="27" t="n">
        <v>45705</v>
      </c>
      <c r="G2702" s="27" t="n">
        <v>45705</v>
      </c>
      <c r="H2702" s="27" t="n">
        <v>45705</v>
      </c>
      <c r="I2702" s="27" t="n">
        <v>45691</v>
      </c>
      <c r="J2702" s="27" t="n">
        <v>45695</v>
      </c>
      <c r="K2702" t="inlineStr">
        <is>
          <t>Boleto Bancário</t>
        </is>
      </c>
      <c r="L2702" t="inlineStr">
        <is>
          <t>Custo Mercadoria Vendida</t>
        </is>
      </c>
      <c r="M2702" t="inlineStr">
        <is>
          <t>Insumos - Alimentos</t>
        </is>
      </c>
      <c r="N2702" t="inlineStr">
        <is>
          <t>12576</t>
        </is>
      </c>
      <c r="O2702" t="inlineStr">
        <is>
          <t>Documentação Aprovada</t>
        </is>
      </c>
      <c r="P2702" t="inlineStr">
        <is>
          <t>Aprovado Diretoria</t>
        </is>
      </c>
      <c r="Q2702" t="inlineStr">
        <is>
          <t>Aprovado Caixa</t>
        </is>
      </c>
      <c r="R2702" t="inlineStr">
        <is>
          <t>Pago</t>
        </is>
      </c>
      <c r="S2702" t="n">
        <v>115</v>
      </c>
      <c r="T2702" t="inlineStr">
        <is>
          <t>Love - Shibari - Bradesco</t>
        </is>
      </c>
    </row>
    <row r="2703">
      <c r="A2703" t="n">
        <v>109342</v>
      </c>
      <c r="B2703" t="n">
        <v>128</v>
      </c>
      <c r="C2703" t="inlineStr">
        <is>
          <t>Love Cabaret</t>
        </is>
      </c>
      <c r="D2703" t="inlineStr">
        <is>
          <t xml:space="preserve">FORTE ALIMENTOS COM. IMPORTAÇÃO LTDA </t>
        </is>
      </c>
      <c r="E2703" t="n">
        <v>461.1</v>
      </c>
      <c r="F2703" s="27" t="n">
        <v>45706</v>
      </c>
      <c r="G2703" s="27" t="n">
        <v>45705</v>
      </c>
      <c r="H2703" s="27" t="n">
        <v>45705</v>
      </c>
      <c r="I2703" s="27" t="n">
        <v>45691</v>
      </c>
      <c r="J2703" s="27" t="n">
        <v>45695</v>
      </c>
      <c r="K2703" t="inlineStr">
        <is>
          <t>Boleto Bancário</t>
        </is>
      </c>
      <c r="L2703" t="inlineStr">
        <is>
          <t>Custo Mercadoria Vendida</t>
        </is>
      </c>
      <c r="M2703" t="inlineStr">
        <is>
          <t>Insumos - Alimentos</t>
        </is>
      </c>
      <c r="N2703" t="inlineStr">
        <is>
          <t>296132</t>
        </is>
      </c>
      <c r="O2703" t="inlineStr">
        <is>
          <t>Documentação Aprovada</t>
        </is>
      </c>
      <c r="P2703" t="inlineStr">
        <is>
          <t>Aprovado Diretoria</t>
        </is>
      </c>
      <c r="Q2703" t="inlineStr">
        <is>
          <t>Aprovado Caixa</t>
        </is>
      </c>
      <c r="R2703" t="inlineStr">
        <is>
          <t>Pago</t>
        </is>
      </c>
      <c r="S2703" t="n">
        <v>115</v>
      </c>
      <c r="T2703" t="inlineStr">
        <is>
          <t>Love - Shibari - Bradesco</t>
        </is>
      </c>
    </row>
    <row r="2704">
      <c r="A2704" t="n">
        <v>109368</v>
      </c>
      <c r="B2704" t="n">
        <v>128</v>
      </c>
      <c r="C2704" t="inlineStr">
        <is>
          <t>Love Cabaret</t>
        </is>
      </c>
      <c r="D2704" t="inlineStr">
        <is>
          <t>HNK BR IND DE BEBIDAS</t>
        </is>
      </c>
      <c r="E2704" t="n">
        <v>482.93</v>
      </c>
      <c r="F2704" s="27" t="n">
        <v>45707</v>
      </c>
      <c r="G2704" s="27" t="n">
        <v>45705</v>
      </c>
      <c r="H2704" s="27" t="n">
        <v>45705</v>
      </c>
      <c r="I2704" s="27" t="n">
        <v>45692</v>
      </c>
      <c r="J2704" s="27" t="n">
        <v>45695</v>
      </c>
      <c r="K2704" t="inlineStr">
        <is>
          <t>Boleto Bancário</t>
        </is>
      </c>
      <c r="L2704" t="inlineStr">
        <is>
          <t>Custo Mercadoria Vendida</t>
        </is>
      </c>
      <c r="M2704" t="inlineStr">
        <is>
          <t>Insumos - Bebidas</t>
        </is>
      </c>
      <c r="N2704" t="inlineStr">
        <is>
          <t>187243</t>
        </is>
      </c>
      <c r="O2704" t="inlineStr">
        <is>
          <t>Documentação Aprovada</t>
        </is>
      </c>
      <c r="P2704" t="inlineStr">
        <is>
          <t>Aprovado Diretoria</t>
        </is>
      </c>
      <c r="Q2704" t="inlineStr">
        <is>
          <t>Aprovado Caixa</t>
        </is>
      </c>
      <c r="R2704" t="inlineStr">
        <is>
          <t>Pago</t>
        </is>
      </c>
      <c r="S2704" t="n">
        <v>115</v>
      </c>
      <c r="T2704" t="inlineStr">
        <is>
          <t>Love - Shibari - Bradesco</t>
        </is>
      </c>
    </row>
    <row r="2705">
      <c r="A2705" t="n">
        <v>109366</v>
      </c>
      <c r="B2705" t="n">
        <v>128</v>
      </c>
      <c r="C2705" t="inlineStr">
        <is>
          <t>Love Cabaret</t>
        </is>
      </c>
      <c r="D2705" t="inlineStr">
        <is>
          <t>CEPEL COMERCIO DE PAPEIS E EMBALAGENS EIRELI</t>
        </is>
      </c>
      <c r="E2705" t="n">
        <v>523.3200000000001</v>
      </c>
      <c r="F2705" s="27" t="n">
        <v>45706</v>
      </c>
      <c r="G2705" s="27" t="n">
        <v>45705</v>
      </c>
      <c r="H2705" s="27" t="n">
        <v>45705</v>
      </c>
      <c r="I2705" s="27" t="n">
        <v>45691</v>
      </c>
      <c r="J2705" s="27" t="n">
        <v>45695</v>
      </c>
      <c r="K2705" t="inlineStr">
        <is>
          <t>Boleto Bancário</t>
        </is>
      </c>
      <c r="L2705" t="inlineStr">
        <is>
          <t>Utilidades</t>
        </is>
      </c>
      <c r="M2705" t="inlineStr">
        <is>
          <t>Higiene e Limpeza</t>
        </is>
      </c>
      <c r="N2705" t="inlineStr">
        <is>
          <t>233945</t>
        </is>
      </c>
      <c r="O2705" t="inlineStr">
        <is>
          <t>Documentação Aprovada</t>
        </is>
      </c>
      <c r="P2705" t="inlineStr">
        <is>
          <t>Aprovado Diretoria</t>
        </is>
      </c>
      <c r="Q2705" t="inlineStr">
        <is>
          <t>Aprovado Caixa</t>
        </is>
      </c>
      <c r="R2705" t="inlineStr">
        <is>
          <t>Pago</t>
        </is>
      </c>
      <c r="S2705" t="n">
        <v>115</v>
      </c>
      <c r="T2705" t="inlineStr">
        <is>
          <t>Love - Shibari - Bradesco</t>
        </is>
      </c>
    </row>
    <row r="2706">
      <c r="A2706" t="n">
        <v>109361</v>
      </c>
      <c r="B2706" t="n">
        <v>128</v>
      </c>
      <c r="C2706" t="inlineStr">
        <is>
          <t>Love Cabaret</t>
        </is>
      </c>
      <c r="D2706" t="inlineStr">
        <is>
          <t>NOVA COMERCIAL DO PEIXE LTDA</t>
        </is>
      </c>
      <c r="E2706" t="n">
        <v>588</v>
      </c>
      <c r="F2706" s="27" t="n">
        <v>45705</v>
      </c>
      <c r="G2706" s="27" t="n">
        <v>45705</v>
      </c>
      <c r="H2706" s="27" t="n">
        <v>45705</v>
      </c>
      <c r="I2706" s="27" t="n">
        <v>45691</v>
      </c>
      <c r="J2706" s="27" t="n">
        <v>45695</v>
      </c>
      <c r="K2706" t="inlineStr">
        <is>
          <t>Boleto Bancário</t>
        </is>
      </c>
      <c r="L2706" t="inlineStr">
        <is>
          <t>Custo Mercadoria Vendida</t>
        </is>
      </c>
      <c r="M2706" t="inlineStr">
        <is>
          <t>Insumos - Alimentos</t>
        </is>
      </c>
      <c r="N2706" t="inlineStr">
        <is>
          <t>22253</t>
        </is>
      </c>
      <c r="O2706" t="inlineStr">
        <is>
          <t>Documentação Aprovada</t>
        </is>
      </c>
      <c r="P2706" t="inlineStr">
        <is>
          <t>Aprovado Diretoria</t>
        </is>
      </c>
      <c r="Q2706" t="inlineStr">
        <is>
          <t>Aprovado Caixa</t>
        </is>
      </c>
      <c r="R2706" t="inlineStr">
        <is>
          <t>Pago</t>
        </is>
      </c>
      <c r="S2706" t="n">
        <v>115</v>
      </c>
      <c r="T2706" t="inlineStr">
        <is>
          <t>Love - Shibari - Bradesco</t>
        </is>
      </c>
    </row>
    <row r="2707">
      <c r="A2707" t="n">
        <v>109363</v>
      </c>
      <c r="B2707" t="n">
        <v>128</v>
      </c>
      <c r="C2707" t="inlineStr">
        <is>
          <t>Love Cabaret</t>
        </is>
      </c>
      <c r="D2707" t="inlineStr">
        <is>
          <t xml:space="preserve">LATICINIOS FIOR DITALIA LTDA </t>
        </is>
      </c>
      <c r="E2707" t="n">
        <v>326.75</v>
      </c>
      <c r="F2707" s="27" t="n">
        <v>45707</v>
      </c>
      <c r="G2707" s="27" t="n">
        <v>45705</v>
      </c>
      <c r="H2707" s="27" t="n">
        <v>45705</v>
      </c>
      <c r="I2707" s="27" t="n">
        <v>45691</v>
      </c>
      <c r="J2707" s="27" t="n">
        <v>45695</v>
      </c>
      <c r="K2707" t="inlineStr">
        <is>
          <t>Boleto Bancário</t>
        </is>
      </c>
      <c r="L2707" t="inlineStr">
        <is>
          <t>Custo Mercadoria Vendida</t>
        </is>
      </c>
      <c r="M2707" t="inlineStr">
        <is>
          <t>Insumos - Alimentos</t>
        </is>
      </c>
      <c r="N2707" t="inlineStr">
        <is>
          <t>34096</t>
        </is>
      </c>
      <c r="O2707" t="inlineStr">
        <is>
          <t>Documentação Aprovada</t>
        </is>
      </c>
      <c r="P2707" t="inlineStr">
        <is>
          <t>Aprovado Diretoria</t>
        </is>
      </c>
      <c r="Q2707" t="inlineStr">
        <is>
          <t>Aprovado Caixa</t>
        </is>
      </c>
      <c r="R2707" t="inlineStr">
        <is>
          <t>Pago</t>
        </is>
      </c>
      <c r="S2707" t="n">
        <v>115</v>
      </c>
      <c r="T2707" t="inlineStr">
        <is>
          <t>Love - Shibari - Bradesco</t>
        </is>
      </c>
    </row>
    <row r="2708">
      <c r="A2708" t="n">
        <v>109339</v>
      </c>
      <c r="B2708" t="n">
        <v>128</v>
      </c>
      <c r="C2708" t="inlineStr">
        <is>
          <t>Love Cabaret</t>
        </is>
      </c>
      <c r="D2708" t="inlineStr">
        <is>
          <t>PSSS LTDA</t>
        </is>
      </c>
      <c r="E2708" t="n">
        <v>520.6799999999999</v>
      </c>
      <c r="F2708" s="27" t="n">
        <v>45706</v>
      </c>
      <c r="G2708" s="27" t="n">
        <v>45705</v>
      </c>
      <c r="H2708" s="27" t="n">
        <v>45705</v>
      </c>
      <c r="I2708" s="27" t="n">
        <v>45692</v>
      </c>
      <c r="J2708" s="27" t="n">
        <v>45695</v>
      </c>
      <c r="K2708" t="inlineStr">
        <is>
          <t>Boleto Bancário</t>
        </is>
      </c>
      <c r="L2708" t="inlineStr">
        <is>
          <t>Utilidades</t>
        </is>
      </c>
      <c r="M2708" t="inlineStr">
        <is>
          <t>Higiene e Limpeza</t>
        </is>
      </c>
      <c r="N2708" t="inlineStr">
        <is>
          <t>1075</t>
        </is>
      </c>
      <c r="O2708" t="inlineStr">
        <is>
          <t>Documentação Aprovada</t>
        </is>
      </c>
      <c r="P2708" t="inlineStr">
        <is>
          <t>Aprovado Diretoria</t>
        </is>
      </c>
      <c r="Q2708" t="inlineStr">
        <is>
          <t>Aprovado Caixa</t>
        </is>
      </c>
      <c r="R2708" t="inlineStr">
        <is>
          <t>Pago</t>
        </is>
      </c>
      <c r="S2708" t="n">
        <v>115</v>
      </c>
      <c r="T2708" t="inlineStr">
        <is>
          <t>Love - Shibari - Bradesco</t>
        </is>
      </c>
    </row>
    <row r="2709">
      <c r="A2709" t="n">
        <v>109214</v>
      </c>
      <c r="B2709" t="n">
        <v>128</v>
      </c>
      <c r="C2709" t="inlineStr">
        <is>
          <t>Love Cabaret</t>
        </is>
      </c>
      <c r="D2709" t="inlineStr">
        <is>
          <t xml:space="preserve">KAMINO INSTITUICAO DE PAGAMENTO LTDA </t>
        </is>
      </c>
      <c r="E2709" t="n">
        <v>700</v>
      </c>
      <c r="F2709" s="27" t="n">
        <v>45706</v>
      </c>
      <c r="G2709" s="27" t="n">
        <v>45705</v>
      </c>
      <c r="H2709" s="27" t="n">
        <v>45705</v>
      </c>
      <c r="I2709" s="27" t="n">
        <v>45695</v>
      </c>
      <c r="J2709" s="27" t="n"/>
      <c r="K2709" t="inlineStr">
        <is>
          <t>Boleto Bancário</t>
        </is>
      </c>
      <c r="L2709" t="inlineStr">
        <is>
          <t>Despesas Financeiras</t>
        </is>
      </c>
      <c r="M2709" t="inlineStr">
        <is>
          <t>Tarifas Bancárias</t>
        </is>
      </c>
      <c r="N2709" t="inlineStr">
        <is>
          <t>3392</t>
        </is>
      </c>
      <c r="O2709" t="inlineStr">
        <is>
          <t>Documentação Aprovada</t>
        </is>
      </c>
      <c r="P2709" t="inlineStr">
        <is>
          <t>Aprovado Diretoria</t>
        </is>
      </c>
      <c r="Q2709" t="inlineStr">
        <is>
          <t>Aprovado Caixa</t>
        </is>
      </c>
      <c r="R2709" t="inlineStr">
        <is>
          <t>Pago</t>
        </is>
      </c>
      <c r="S2709" t="n">
        <v>115</v>
      </c>
      <c r="T2709" t="inlineStr">
        <is>
          <t>Love - Shibari - Bradesco</t>
        </is>
      </c>
    </row>
    <row r="2710">
      <c r="A2710" t="n">
        <v>107892</v>
      </c>
      <c r="B2710" t="n">
        <v>128</v>
      </c>
      <c r="C2710" t="inlineStr">
        <is>
          <t>Love Cabaret</t>
        </is>
      </c>
      <c r="D2710" t="inlineStr">
        <is>
          <t>LALAMOVE TECNOLOGIA (BRASIL) LTDA</t>
        </is>
      </c>
      <c r="E2710" t="n">
        <v>25.18</v>
      </c>
      <c r="F2710" s="27" t="n">
        <v>45706</v>
      </c>
      <c r="G2710" s="27" t="n">
        <v>45705</v>
      </c>
      <c r="H2710" s="27" t="n">
        <v>45705</v>
      </c>
      <c r="I2710" s="27" t="n">
        <v>45687</v>
      </c>
      <c r="J2710" s="27" t="n">
        <v>45694</v>
      </c>
      <c r="K2710" t="inlineStr">
        <is>
          <t>Transferência Bancária ou Pix</t>
        </is>
      </c>
      <c r="L2710" t="inlineStr">
        <is>
          <t>Despesas com Transporte / Hospedagem</t>
        </is>
      </c>
      <c r="M2710" t="inlineStr">
        <is>
          <t>Fretes e Carretos</t>
        </is>
      </c>
      <c r="N2710" t="inlineStr">
        <is>
          <t>RP017-2025</t>
        </is>
      </c>
      <c r="O2710" t="inlineStr">
        <is>
          <t>Documentação Aprovada</t>
        </is>
      </c>
      <c r="P2710" t="inlineStr">
        <is>
          <t>Aprovado Diretoria</t>
        </is>
      </c>
      <c r="Q2710" t="inlineStr">
        <is>
          <t>Aprovado Caixa</t>
        </is>
      </c>
      <c r="R2710" t="inlineStr">
        <is>
          <t>Pago</t>
        </is>
      </c>
      <c r="S2710" t="n">
        <v>115</v>
      </c>
      <c r="T2710" t="inlineStr">
        <is>
          <t>Love - Shibari - Bradesco</t>
        </is>
      </c>
    </row>
    <row r="2711">
      <c r="A2711" t="n">
        <v>105270</v>
      </c>
      <c r="B2711" t="n">
        <v>128</v>
      </c>
      <c r="C2711" t="inlineStr">
        <is>
          <t>Love Cabaret</t>
        </is>
      </c>
      <c r="D2711" t="inlineStr">
        <is>
          <t>INTERFOOD IMPORTACAO LTDA</t>
        </is>
      </c>
      <c r="E2711" t="n">
        <v>741.89</v>
      </c>
      <c r="F2711" s="27" t="n">
        <v>45706</v>
      </c>
      <c r="G2711" s="27" t="n">
        <v>45705</v>
      </c>
      <c r="H2711" s="27" t="n">
        <v>45705</v>
      </c>
      <c r="I2711" s="27" t="n">
        <v>45677</v>
      </c>
      <c r="J2711" s="27" t="n">
        <v>45681</v>
      </c>
      <c r="K2711" t="inlineStr">
        <is>
          <t>Boleto Bancário</t>
        </is>
      </c>
      <c r="L2711" t="inlineStr">
        <is>
          <t>Custo Mercadoria Vendida</t>
        </is>
      </c>
      <c r="M2711" t="inlineStr">
        <is>
          <t>Insumos - Bebidas</t>
        </is>
      </c>
      <c r="N2711" t="inlineStr">
        <is>
          <t>389904</t>
        </is>
      </c>
      <c r="O2711" t="inlineStr">
        <is>
          <t>Documentação Aprovada</t>
        </is>
      </c>
      <c r="P2711" t="inlineStr">
        <is>
          <t>Aprovado Diretoria</t>
        </is>
      </c>
      <c r="Q2711" t="inlineStr">
        <is>
          <t>Aprovado Caixa</t>
        </is>
      </c>
      <c r="R2711" t="inlineStr">
        <is>
          <t>Pago</t>
        </is>
      </c>
      <c r="S2711" t="n">
        <v>115</v>
      </c>
      <c r="T2711" t="inlineStr">
        <is>
          <t>Love - Shibari - Bradesco</t>
        </is>
      </c>
    </row>
    <row r="2712">
      <c r="A2712" t="n">
        <v>105318</v>
      </c>
      <c r="B2712" t="n">
        <v>128</v>
      </c>
      <c r="C2712" t="inlineStr">
        <is>
          <t>Love Cabaret</t>
        </is>
      </c>
      <c r="D2712" t="inlineStr">
        <is>
          <t>PROAUTO INDUSTRIA QUIMICA EIRELI</t>
        </is>
      </c>
      <c r="E2712" t="n">
        <v>534.04</v>
      </c>
      <c r="F2712" s="27" t="n">
        <v>45707</v>
      </c>
      <c r="G2712" s="27" t="n">
        <v>45705</v>
      </c>
      <c r="H2712" s="27" t="n">
        <v>45705</v>
      </c>
      <c r="I2712" s="27" t="n">
        <v>45679</v>
      </c>
      <c r="J2712" s="27" t="n">
        <v>45681</v>
      </c>
      <c r="K2712" t="inlineStr">
        <is>
          <t>Boleto Bancário</t>
        </is>
      </c>
      <c r="L2712" t="inlineStr">
        <is>
          <t>Utilidades</t>
        </is>
      </c>
      <c r="M2712" t="inlineStr">
        <is>
          <t>Higiene e Limpeza</t>
        </is>
      </c>
      <c r="N2712" t="inlineStr">
        <is>
          <t>132824</t>
        </is>
      </c>
      <c r="O2712" t="inlineStr">
        <is>
          <t>Documentação Aprovada</t>
        </is>
      </c>
      <c r="P2712" t="inlineStr">
        <is>
          <t>Aprovado Diretoria</t>
        </is>
      </c>
      <c r="Q2712" t="inlineStr">
        <is>
          <t>Aprovado Caixa</t>
        </is>
      </c>
      <c r="R2712" t="inlineStr">
        <is>
          <t>Pago</t>
        </is>
      </c>
      <c r="S2712" t="n">
        <v>115</v>
      </c>
      <c r="T2712" t="inlineStr">
        <is>
          <t>Love - Shibari - Bradesco</t>
        </is>
      </c>
    </row>
    <row r="2713">
      <c r="A2713" t="n">
        <v>106669</v>
      </c>
      <c r="B2713" t="n">
        <v>128</v>
      </c>
      <c r="C2713" t="inlineStr">
        <is>
          <t>Love Cabaret</t>
        </is>
      </c>
      <c r="D2713" t="inlineStr">
        <is>
          <t>AURORA ALVORADA ESTACIONAMENTO E LANCHONETE LTDA</t>
        </is>
      </c>
      <c r="E2713" t="n">
        <v>217.82</v>
      </c>
      <c r="F2713" s="27" t="n">
        <v>45705</v>
      </c>
      <c r="G2713" s="27" t="n">
        <v>45705</v>
      </c>
      <c r="H2713" s="27" t="n">
        <v>45705</v>
      </c>
      <c r="I2713" s="27" t="n">
        <v>45698</v>
      </c>
      <c r="J2713" s="27" t="n"/>
      <c r="K2713" t="inlineStr">
        <is>
          <t>Boleto Bancário</t>
        </is>
      </c>
      <c r="L2713" t="inlineStr">
        <is>
          <t>Custo Mercadoria Vendida</t>
        </is>
      </c>
      <c r="M2713" t="inlineStr">
        <is>
          <t>Insumos - Alimentos</t>
        </is>
      </c>
      <c r="N2713" t="inlineStr">
        <is>
          <t>102706</t>
        </is>
      </c>
      <c r="O2713" t="inlineStr">
        <is>
          <t>Documentação Aprovada</t>
        </is>
      </c>
      <c r="P2713" t="inlineStr">
        <is>
          <t>Aprovado Diretoria</t>
        </is>
      </c>
      <c r="Q2713" t="inlineStr">
        <is>
          <t>Aprovado Caixa</t>
        </is>
      </c>
      <c r="R2713" t="inlineStr">
        <is>
          <t>Pago</t>
        </is>
      </c>
      <c r="S2713" t="n">
        <v>115</v>
      </c>
      <c r="T2713" t="inlineStr">
        <is>
          <t>Love - Shibari - Bradesco</t>
        </is>
      </c>
    </row>
    <row r="2714">
      <c r="A2714" t="n">
        <v>106373</v>
      </c>
      <c r="B2714" t="n">
        <v>128</v>
      </c>
      <c r="C2714" t="inlineStr">
        <is>
          <t>Love Cabaret</t>
        </is>
      </c>
      <c r="D2714" t="inlineStr">
        <is>
          <t>CG FOOD´S DISTRIBUIDORA DE ALIMENTOS LTDA</t>
        </is>
      </c>
      <c r="E2714" t="n">
        <v>324.4</v>
      </c>
      <c r="F2714" s="27" t="n">
        <v>45706</v>
      </c>
      <c r="G2714" s="27" t="n">
        <v>45705</v>
      </c>
      <c r="H2714" s="27" t="n">
        <v>45705</v>
      </c>
      <c r="I2714" s="27" t="n">
        <v>45685</v>
      </c>
      <c r="J2714" s="27" t="n">
        <v>45687</v>
      </c>
      <c r="K2714" t="inlineStr">
        <is>
          <t>Boleto Bancário</t>
        </is>
      </c>
      <c r="L2714" t="inlineStr">
        <is>
          <t>Custo Mercadoria Vendida</t>
        </is>
      </c>
      <c r="M2714" t="inlineStr">
        <is>
          <t>Insumos - Alimentos</t>
        </is>
      </c>
      <c r="N2714" t="inlineStr">
        <is>
          <t>140376</t>
        </is>
      </c>
      <c r="O2714" t="inlineStr">
        <is>
          <t>Documentação Aprovada</t>
        </is>
      </c>
      <c r="P2714" t="inlineStr">
        <is>
          <t>Aprovado Diretoria</t>
        </is>
      </c>
      <c r="Q2714" t="inlineStr">
        <is>
          <t>Aprovado Caixa</t>
        </is>
      </c>
      <c r="R2714" t="inlineStr">
        <is>
          <t>Pago</t>
        </is>
      </c>
      <c r="S2714" t="n">
        <v>115</v>
      </c>
      <c r="T2714" t="inlineStr">
        <is>
          <t>Love - Shibari - Bradesco</t>
        </is>
      </c>
    </row>
    <row r="2715">
      <c r="A2715" t="n">
        <v>106374</v>
      </c>
      <c r="B2715" t="n">
        <v>128</v>
      </c>
      <c r="C2715" t="inlineStr">
        <is>
          <t>Love Cabaret</t>
        </is>
      </c>
      <c r="D2715" t="inlineStr">
        <is>
          <t>DTK COMERCIO DE ALIMENTOS LTDA</t>
        </is>
      </c>
      <c r="E2715" t="n">
        <v>808.55</v>
      </c>
      <c r="F2715" s="27" t="n">
        <v>45705</v>
      </c>
      <c r="G2715" s="27" t="n">
        <v>45705</v>
      </c>
      <c r="H2715" s="27" t="n">
        <v>45705</v>
      </c>
      <c r="I2715" s="27" t="n">
        <v>45684</v>
      </c>
      <c r="J2715" s="27" t="n">
        <v>45687</v>
      </c>
      <c r="K2715" t="inlineStr">
        <is>
          <t>Boleto Bancário</t>
        </is>
      </c>
      <c r="L2715" t="inlineStr">
        <is>
          <t>Custo Mercadoria Vendida</t>
        </is>
      </c>
      <c r="M2715" t="inlineStr">
        <is>
          <t>Insumos - Alimentos</t>
        </is>
      </c>
      <c r="N2715" t="inlineStr">
        <is>
          <t>21879</t>
        </is>
      </c>
      <c r="O2715" t="inlineStr">
        <is>
          <t>Documentação Aprovada</t>
        </is>
      </c>
      <c r="P2715" t="inlineStr">
        <is>
          <t>Aprovado Diretoria</t>
        </is>
      </c>
      <c r="Q2715" t="inlineStr">
        <is>
          <t>Aprovado Caixa</t>
        </is>
      </c>
      <c r="R2715" t="inlineStr">
        <is>
          <t>Pago</t>
        </is>
      </c>
      <c r="S2715" t="n">
        <v>115</v>
      </c>
      <c r="T2715" t="inlineStr">
        <is>
          <t>Love - Shibari - Bradesco</t>
        </is>
      </c>
    </row>
    <row r="2716">
      <c r="A2716" t="n">
        <v>111260</v>
      </c>
      <c r="B2716" t="n">
        <v>128</v>
      </c>
      <c r="C2716" t="inlineStr">
        <is>
          <t>Love Cabaret</t>
        </is>
      </c>
      <c r="D2716" t="inlineStr">
        <is>
          <t>BRADESCO SA</t>
        </is>
      </c>
      <c r="E2716" t="n">
        <v>213.05</v>
      </c>
      <c r="F2716" s="27" t="n">
        <v>45702</v>
      </c>
      <c r="G2716" s="27" t="n"/>
      <c r="H2716" s="27" t="n">
        <v>45702</v>
      </c>
      <c r="I2716" s="27" t="n">
        <v>45702</v>
      </c>
      <c r="J2716" s="27" t="n">
        <v>45706</v>
      </c>
      <c r="K2716" t="inlineStr">
        <is>
          <t>Encontro de Contas</t>
        </is>
      </c>
      <c r="L2716" t="inlineStr">
        <is>
          <t>Despesas Financeiras</t>
        </is>
      </c>
      <c r="M2716" t="inlineStr">
        <is>
          <t>Tarifas Bancárias</t>
        </is>
      </c>
      <c r="N2716" t="inlineStr">
        <is>
          <t>022025</t>
        </is>
      </c>
      <c r="P2716" t="inlineStr">
        <is>
          <t>Aprovado Diretoria</t>
        </is>
      </c>
      <c r="R2716" t="inlineStr">
        <is>
          <t>Pago</t>
        </is>
      </c>
    </row>
    <row r="2717">
      <c r="A2717" t="n">
        <v>107910</v>
      </c>
      <c r="B2717" t="n">
        <v>128</v>
      </c>
      <c r="C2717" t="inlineStr">
        <is>
          <t>Love Cabaret</t>
        </is>
      </c>
      <c r="D2717" t="inlineStr">
        <is>
          <t>DIVI HUB OPERACAO DE PLATAFORMA ELETRONICA</t>
        </is>
      </c>
      <c r="E2717" t="n">
        <v>200000</v>
      </c>
      <c r="F2717" s="27" t="n">
        <v>45700</v>
      </c>
      <c r="G2717" s="27" t="n">
        <v>45700</v>
      </c>
      <c r="H2717" s="27" t="n">
        <v>45701</v>
      </c>
      <c r="I2717" s="27" t="n">
        <v>45694</v>
      </c>
      <c r="J2717" s="27" t="n">
        <v>45694</v>
      </c>
      <c r="K2717" t="inlineStr">
        <is>
          <t>Transferência Bancária ou Pix</t>
        </is>
      </c>
      <c r="L2717" t="inlineStr">
        <is>
          <t>Dividendos e Remunerações Variáveis</t>
        </is>
      </c>
      <c r="M2717" t="inlineStr">
        <is>
          <t>Dividendos</t>
        </is>
      </c>
      <c r="N2717" t="inlineStr">
        <is>
          <t>5412692034060288</t>
        </is>
      </c>
      <c r="O2717" t="inlineStr">
        <is>
          <t>Documentação Aprovada</t>
        </is>
      </c>
      <c r="P2717" t="inlineStr">
        <is>
          <t>Aprovado Diretoria</t>
        </is>
      </c>
      <c r="Q2717" t="inlineStr">
        <is>
          <t>Aprovado Caixa</t>
        </is>
      </c>
      <c r="R2717" t="inlineStr">
        <is>
          <t>Pago</t>
        </is>
      </c>
      <c r="S2717" t="n">
        <v>115</v>
      </c>
      <c r="T2717" t="inlineStr">
        <is>
          <t>Love - Shibari - Bradesco</t>
        </is>
      </c>
    </row>
    <row r="2718">
      <c r="A2718" t="n">
        <v>107564</v>
      </c>
      <c r="B2718" t="n">
        <v>128</v>
      </c>
      <c r="C2718" t="inlineStr">
        <is>
          <t>Love Cabaret</t>
        </is>
      </c>
      <c r="D2718" t="inlineStr">
        <is>
          <t>JOSE CASSIO PREVEDEL SISTEMAS ME</t>
        </is>
      </c>
      <c r="E2718" t="n">
        <v>400</v>
      </c>
      <c r="F2718" s="27" t="n">
        <v>45703</v>
      </c>
      <c r="G2718" s="27" t="n">
        <v>45700</v>
      </c>
      <c r="H2718" s="27" t="n">
        <v>45700</v>
      </c>
      <c r="I2718" s="27" t="n">
        <v>45689</v>
      </c>
      <c r="J2718" s="27" t="n">
        <v>45693</v>
      </c>
      <c r="K2718" t="inlineStr">
        <is>
          <t>Boleto Bancário</t>
        </is>
      </c>
      <c r="L2718" t="inlineStr">
        <is>
          <t>Locação de Equipamentos</t>
        </is>
      </c>
      <c r="M2718" t="inlineStr">
        <is>
          <t>Locações de Equipamentos - Operacionais</t>
        </is>
      </c>
      <c r="N2718" t="inlineStr">
        <is>
          <t>17994</t>
        </is>
      </c>
      <c r="O2718" t="inlineStr">
        <is>
          <t>Documentação Aprovada</t>
        </is>
      </c>
      <c r="P2718" t="inlineStr">
        <is>
          <t>Aprovado Diretoria</t>
        </is>
      </c>
      <c r="Q2718" t="inlineStr">
        <is>
          <t>Aprovado Caixa</t>
        </is>
      </c>
      <c r="R2718" t="inlineStr">
        <is>
          <t>Pago</t>
        </is>
      </c>
      <c r="S2718" t="n">
        <v>115</v>
      </c>
      <c r="T2718" t="inlineStr">
        <is>
          <t>Love - Shibari - Bradesco</t>
        </is>
      </c>
    </row>
    <row r="2719">
      <c r="A2719" t="n">
        <v>107712</v>
      </c>
      <c r="B2719" t="n">
        <v>128</v>
      </c>
      <c r="C2719" t="inlineStr">
        <is>
          <t>Love Cabaret</t>
        </is>
      </c>
      <c r="D2719" t="inlineStr">
        <is>
          <t>WIDE STOCK COMERCIO E DISTRIBUICAO LTDA</t>
        </is>
      </c>
      <c r="E2719" t="n">
        <v>75.64</v>
      </c>
      <c r="F2719" s="27" t="n">
        <v>45701</v>
      </c>
      <c r="G2719" s="27" t="n">
        <v>45700</v>
      </c>
      <c r="H2719" s="27" t="n">
        <v>45700</v>
      </c>
      <c r="I2719" s="27" t="n">
        <v>45680</v>
      </c>
      <c r="J2719" s="27" t="n">
        <v>45693</v>
      </c>
      <c r="K2719" t="inlineStr">
        <is>
          <t>Boleto Bancário</t>
        </is>
      </c>
      <c r="L2719" t="inlineStr">
        <is>
          <t>Utilidades</t>
        </is>
      </c>
      <c r="M2719" t="inlineStr">
        <is>
          <t>Higiene e Limpeza</t>
        </is>
      </c>
      <c r="N2719" t="inlineStr">
        <is>
          <t>393722</t>
        </is>
      </c>
      <c r="O2719" t="inlineStr">
        <is>
          <t>Documentação Aprovada</t>
        </is>
      </c>
      <c r="P2719" t="inlineStr">
        <is>
          <t>Aprovado Diretoria</t>
        </is>
      </c>
      <c r="Q2719" t="inlineStr">
        <is>
          <t>Aprovado Caixa</t>
        </is>
      </c>
      <c r="R2719" t="inlineStr">
        <is>
          <t>Pago</t>
        </is>
      </c>
      <c r="S2719" t="n">
        <v>115</v>
      </c>
      <c r="T2719" t="inlineStr">
        <is>
          <t>Love - Shibari - Bradesco</t>
        </is>
      </c>
    </row>
    <row r="2720">
      <c r="A2720" t="n">
        <v>107713</v>
      </c>
      <c r="B2720" t="n">
        <v>128</v>
      </c>
      <c r="C2720" t="inlineStr">
        <is>
          <t>Love Cabaret</t>
        </is>
      </c>
      <c r="D2720" t="inlineStr">
        <is>
          <t>ICE4PROS FABRICA DE GELO LTDA</t>
        </is>
      </c>
      <c r="E2720" t="n">
        <v>494</v>
      </c>
      <c r="F2720" s="27" t="n">
        <v>45701</v>
      </c>
      <c r="G2720" s="27" t="n">
        <v>45700</v>
      </c>
      <c r="H2720" s="27" t="n">
        <v>45700</v>
      </c>
      <c r="I2720" s="27" t="n">
        <v>45691</v>
      </c>
      <c r="J2720" s="27" t="n">
        <v>45693</v>
      </c>
      <c r="K2720" t="inlineStr">
        <is>
          <t>Boleto Bancário</t>
        </is>
      </c>
      <c r="L2720" t="inlineStr">
        <is>
          <t>Custo Mercadoria Vendida</t>
        </is>
      </c>
      <c r="M2720" t="inlineStr">
        <is>
          <t>Insumos - Bebidas</t>
        </is>
      </c>
      <c r="N2720" t="inlineStr">
        <is>
          <t>73817</t>
        </is>
      </c>
      <c r="O2720" t="inlineStr">
        <is>
          <t>Documentação Aprovada</t>
        </is>
      </c>
      <c r="P2720" t="inlineStr">
        <is>
          <t>Aprovado Diretoria</t>
        </is>
      </c>
      <c r="Q2720" t="inlineStr">
        <is>
          <t>Aprovado Caixa</t>
        </is>
      </c>
      <c r="R2720" t="inlineStr">
        <is>
          <t>Pago</t>
        </is>
      </c>
      <c r="S2720" t="n">
        <v>115</v>
      </c>
      <c r="T2720" t="inlineStr">
        <is>
          <t>Love - Shibari - Bradesco</t>
        </is>
      </c>
    </row>
    <row r="2721">
      <c r="A2721" t="n">
        <v>106433</v>
      </c>
      <c r="B2721" t="n">
        <v>128</v>
      </c>
      <c r="C2721" t="inlineStr">
        <is>
          <t>Love Cabaret</t>
        </is>
      </c>
      <c r="D2721" t="inlineStr">
        <is>
          <t>MAURÍCIO MEDEIROS</t>
        </is>
      </c>
      <c r="E2721" t="n">
        <v>5205</v>
      </c>
      <c r="F2721" s="27" t="n">
        <v>45701</v>
      </c>
      <c r="G2721" s="27" t="n">
        <v>45700</v>
      </c>
      <c r="H2721" s="27" t="n">
        <v>45700</v>
      </c>
      <c r="I2721" s="27" t="n">
        <v>45686</v>
      </c>
      <c r="J2721" s="27" t="n">
        <v>45687</v>
      </c>
      <c r="K2721" t="inlineStr">
        <is>
          <t>Transferência Bancária ou Pix</t>
        </is>
      </c>
      <c r="L2721" t="inlineStr">
        <is>
          <t>Custos de Eventos</t>
        </is>
      </c>
      <c r="M2721" t="inlineStr">
        <is>
          <t>Comissões de Vendas - Eventos</t>
        </is>
      </c>
      <c r="N2721" t="inlineStr">
        <is>
          <t>92025</t>
        </is>
      </c>
      <c r="O2721" t="inlineStr">
        <is>
          <t>Documentação Aprovada</t>
        </is>
      </c>
      <c r="P2721" t="inlineStr">
        <is>
          <t>Aprovado Diretoria</t>
        </is>
      </c>
      <c r="Q2721" t="inlineStr">
        <is>
          <t>Aprovado Caixa</t>
        </is>
      </c>
      <c r="R2721" t="inlineStr">
        <is>
          <t>Pago</t>
        </is>
      </c>
      <c r="S2721" t="n">
        <v>115</v>
      </c>
      <c r="T2721" t="inlineStr">
        <is>
          <t>Love - Shibari - Bradesco</t>
        </is>
      </c>
    </row>
    <row r="2722">
      <c r="A2722" t="n">
        <v>106384</v>
      </c>
      <c r="B2722" t="n">
        <v>128</v>
      </c>
      <c r="C2722" t="inlineStr">
        <is>
          <t>Love Cabaret</t>
        </is>
      </c>
      <c r="D2722" t="inlineStr">
        <is>
          <t xml:space="preserve">SKY COMERCIO DE PRODUTOS ALIMENTICIOS LTDA </t>
        </is>
      </c>
      <c r="E2722" t="n">
        <v>515.46</v>
      </c>
      <c r="F2722" s="27" t="n">
        <v>45701</v>
      </c>
      <c r="G2722" s="27" t="n">
        <v>45700</v>
      </c>
      <c r="H2722" s="27" t="n">
        <v>45700</v>
      </c>
      <c r="I2722" s="27" t="n">
        <v>45684</v>
      </c>
      <c r="J2722" s="27" t="n">
        <v>45687</v>
      </c>
      <c r="K2722" t="inlineStr">
        <is>
          <t>Boleto Bancário</t>
        </is>
      </c>
      <c r="L2722" t="inlineStr">
        <is>
          <t>Custo Mercadoria Vendida</t>
        </is>
      </c>
      <c r="M2722" t="inlineStr">
        <is>
          <t>Insumos - Bebidas</t>
        </is>
      </c>
      <c r="N2722" t="inlineStr">
        <is>
          <t>23522</t>
        </is>
      </c>
      <c r="O2722" t="inlineStr">
        <is>
          <t>Documentação Aprovada</t>
        </is>
      </c>
      <c r="P2722" t="inlineStr">
        <is>
          <t>Aprovado Diretoria</t>
        </is>
      </c>
      <c r="Q2722" t="inlineStr">
        <is>
          <t>Aprovado Caixa</t>
        </is>
      </c>
      <c r="R2722" t="inlineStr">
        <is>
          <t>Pago</t>
        </is>
      </c>
      <c r="S2722" t="n">
        <v>115</v>
      </c>
      <c r="T2722" t="inlineStr">
        <is>
          <t>Love - Shibari - Bradesco</t>
        </is>
      </c>
    </row>
    <row r="2723">
      <c r="A2723" t="n">
        <v>107410</v>
      </c>
      <c r="B2723" t="n">
        <v>128</v>
      </c>
      <c r="C2723" t="inlineStr">
        <is>
          <t>Love Cabaret</t>
        </is>
      </c>
      <c r="D2723" t="inlineStr">
        <is>
          <t>MARIANA APOSTOLAKIS MALFATTI</t>
        </is>
      </c>
      <c r="E2723" t="n">
        <v>3600</v>
      </c>
      <c r="F2723" s="27" t="n">
        <v>45703</v>
      </c>
      <c r="G2723" s="27" t="n">
        <v>45700</v>
      </c>
      <c r="H2723" s="27" t="n">
        <v>45700</v>
      </c>
      <c r="I2723" s="27" t="n">
        <v>45688</v>
      </c>
      <c r="J2723" s="27" t="n">
        <v>45692</v>
      </c>
      <c r="K2723" t="inlineStr">
        <is>
          <t>Transferência Bancária ou Pix</t>
        </is>
      </c>
      <c r="L2723" t="inlineStr">
        <is>
          <t>Custos Artístico Geral</t>
        </is>
      </c>
      <c r="M2723" t="inlineStr">
        <is>
          <t>Cachê de Músicos e Artistas</t>
        </is>
      </c>
      <c r="N2723" t="inlineStr">
        <is>
          <t>152025</t>
        </is>
      </c>
      <c r="O2723" t="inlineStr">
        <is>
          <t>Documentação Aprovada</t>
        </is>
      </c>
      <c r="P2723" t="inlineStr">
        <is>
          <t>Aprovado Diretoria</t>
        </is>
      </c>
      <c r="Q2723" t="inlineStr">
        <is>
          <t>Aprovado Caixa</t>
        </is>
      </c>
      <c r="R2723" t="inlineStr">
        <is>
          <t>Pago</t>
        </is>
      </c>
      <c r="S2723" t="n">
        <v>115</v>
      </c>
      <c r="T2723" t="inlineStr">
        <is>
          <t>Love - Shibari - Bradesco</t>
        </is>
      </c>
    </row>
    <row r="2724">
      <c r="A2724" t="n">
        <v>107408</v>
      </c>
      <c r="B2724" t="n">
        <v>128</v>
      </c>
      <c r="C2724" t="inlineStr">
        <is>
          <t>Love Cabaret</t>
        </is>
      </c>
      <c r="D2724" t="inlineStr">
        <is>
          <t xml:space="preserve">KATLEGO / NEUMARA SOLIDADE DE JESUS </t>
        </is>
      </c>
      <c r="E2724" t="n">
        <v>425</v>
      </c>
      <c r="F2724" s="27" t="n">
        <v>45703</v>
      </c>
      <c r="G2724" s="27" t="n">
        <v>45700</v>
      </c>
      <c r="H2724" s="27" t="n">
        <v>45700</v>
      </c>
      <c r="I2724" s="27" t="n">
        <v>45688</v>
      </c>
      <c r="J2724" s="27" t="n">
        <v>45692</v>
      </c>
      <c r="K2724" t="inlineStr">
        <is>
          <t>Transferência Bancária ou Pix</t>
        </is>
      </c>
      <c r="L2724" t="inlineStr">
        <is>
          <t>Custos Artístico Geral</t>
        </is>
      </c>
      <c r="M2724" t="inlineStr">
        <is>
          <t>Cachê de Músicos e Artistas</t>
        </is>
      </c>
      <c r="N2724" t="inlineStr">
        <is>
          <t>142025</t>
        </is>
      </c>
      <c r="O2724" t="inlineStr">
        <is>
          <t>Documentação Aprovada</t>
        </is>
      </c>
      <c r="P2724" t="inlineStr">
        <is>
          <t>Aprovado Diretoria</t>
        </is>
      </c>
      <c r="Q2724" t="inlineStr">
        <is>
          <t>Aprovado Caixa</t>
        </is>
      </c>
      <c r="R2724" t="inlineStr">
        <is>
          <t>Pago</t>
        </is>
      </c>
      <c r="S2724" t="n">
        <v>115</v>
      </c>
      <c r="T2724" t="inlineStr">
        <is>
          <t>Love - Shibari - Bradesco</t>
        </is>
      </c>
    </row>
    <row r="2725">
      <c r="A2725" t="n">
        <v>105507</v>
      </c>
      <c r="B2725" t="n">
        <v>128</v>
      </c>
      <c r="C2725" t="inlineStr">
        <is>
          <t>Love Cabaret</t>
        </is>
      </c>
      <c r="D2725" t="inlineStr">
        <is>
          <t xml:space="preserve">MATEUS SILVEIRA CEZAR </t>
        </is>
      </c>
      <c r="E2725" t="n">
        <v>600</v>
      </c>
      <c r="F2725" s="27" t="n">
        <v>45702</v>
      </c>
      <c r="G2725" s="27" t="n">
        <v>45700</v>
      </c>
      <c r="H2725" s="27" t="n">
        <v>45700</v>
      </c>
      <c r="I2725" s="27" t="n">
        <v>45681</v>
      </c>
      <c r="J2725" s="27" t="n">
        <v>45681</v>
      </c>
      <c r="K2725" t="inlineStr">
        <is>
          <t>Transferência Bancária ou Pix</t>
        </is>
      </c>
      <c r="L2725" t="inlineStr">
        <is>
          <t>Marketing</t>
        </is>
      </c>
      <c r="M2725" t="inlineStr">
        <is>
          <t>Produção Gráfica e Material Institucional</t>
        </is>
      </c>
      <c r="N2725" t="inlineStr">
        <is>
          <t>06</t>
        </is>
      </c>
      <c r="O2725" t="inlineStr">
        <is>
          <t>Documentação Aprovada</t>
        </is>
      </c>
      <c r="P2725" t="inlineStr">
        <is>
          <t>Aprovado Diretoria</t>
        </is>
      </c>
      <c r="Q2725" t="inlineStr">
        <is>
          <t>Aprovado Caixa</t>
        </is>
      </c>
      <c r="R2725" t="inlineStr">
        <is>
          <t>Pago</t>
        </is>
      </c>
      <c r="S2725" t="n">
        <v>115</v>
      </c>
      <c r="T2725" t="inlineStr">
        <is>
          <t>Love - Shibari - Bradesco</t>
        </is>
      </c>
    </row>
    <row r="2726">
      <c r="A2726" t="n">
        <v>105121</v>
      </c>
      <c r="B2726" t="n">
        <v>128</v>
      </c>
      <c r="C2726" t="inlineStr">
        <is>
          <t>Love Cabaret</t>
        </is>
      </c>
      <c r="D2726" t="inlineStr">
        <is>
          <t>HORTICLEAN DISTRIBUIDORA DE HORTIFRUTI LTDA</t>
        </is>
      </c>
      <c r="E2726" t="n">
        <v>690.4299999999999</v>
      </c>
      <c r="F2726" s="27" t="n">
        <v>45702</v>
      </c>
      <c r="G2726" s="27" t="n">
        <v>45700</v>
      </c>
      <c r="H2726" s="27" t="n">
        <v>45700</v>
      </c>
      <c r="I2726" s="27" t="n">
        <v>45673</v>
      </c>
      <c r="J2726" s="27" t="n">
        <v>45680</v>
      </c>
      <c r="K2726" t="inlineStr">
        <is>
          <t>Boleto Bancário</t>
        </is>
      </c>
      <c r="L2726" t="inlineStr">
        <is>
          <t>Custo Mercadoria Vendida</t>
        </is>
      </c>
      <c r="M2726" t="inlineStr">
        <is>
          <t>Insumos - Alimentos</t>
        </is>
      </c>
      <c r="N2726" t="inlineStr">
        <is>
          <t>25613</t>
        </is>
      </c>
      <c r="O2726" t="inlineStr">
        <is>
          <t>Documentação Aprovada</t>
        </is>
      </c>
      <c r="P2726" t="inlineStr">
        <is>
          <t>Aprovado Diretoria</t>
        </is>
      </c>
      <c r="Q2726" t="inlineStr">
        <is>
          <t>Aprovado Caixa</t>
        </is>
      </c>
      <c r="R2726" t="inlineStr">
        <is>
          <t>Pago</t>
        </is>
      </c>
      <c r="S2726" t="n">
        <v>115</v>
      </c>
      <c r="T2726" t="inlineStr">
        <is>
          <t>Love - Shibari - Bradesco</t>
        </is>
      </c>
    </row>
    <row r="2727">
      <c r="A2727" t="n">
        <v>105325</v>
      </c>
      <c r="B2727" t="n">
        <v>128</v>
      </c>
      <c r="C2727" t="inlineStr">
        <is>
          <t>Love Cabaret</t>
        </is>
      </c>
      <c r="D2727" t="inlineStr">
        <is>
          <t>WIDE STOCK COMERCIO E DISTRIBUICAO LTDA</t>
        </is>
      </c>
      <c r="E2727" t="n">
        <v>731.8</v>
      </c>
      <c r="F2727" s="27" t="n">
        <v>45700</v>
      </c>
      <c r="G2727" s="27" t="n">
        <v>45700</v>
      </c>
      <c r="H2727" s="27" t="n">
        <v>45700</v>
      </c>
      <c r="I2727" s="27" t="n">
        <v>45679</v>
      </c>
      <c r="J2727" s="27" t="n">
        <v>45681</v>
      </c>
      <c r="K2727" t="inlineStr">
        <is>
          <t>Boleto Bancário</t>
        </is>
      </c>
      <c r="L2727" t="inlineStr">
        <is>
          <t>Utilidades</t>
        </is>
      </c>
      <c r="M2727" t="inlineStr">
        <is>
          <t>Higiene e Limpeza</t>
        </is>
      </c>
      <c r="N2727" t="inlineStr">
        <is>
          <t>393670</t>
        </is>
      </c>
      <c r="O2727" t="inlineStr">
        <is>
          <t>Documentação Aprovada</t>
        </is>
      </c>
      <c r="P2727" t="inlineStr">
        <is>
          <t>Aprovado Diretoria</t>
        </is>
      </c>
      <c r="Q2727" t="inlineStr">
        <is>
          <t>Aprovado Caixa</t>
        </is>
      </c>
      <c r="R2727" t="inlineStr">
        <is>
          <t>Pago</t>
        </is>
      </c>
      <c r="S2727" t="n">
        <v>115</v>
      </c>
      <c r="T2727" t="inlineStr">
        <is>
          <t>Love - Shibari - Bradesco</t>
        </is>
      </c>
    </row>
    <row r="2728">
      <c r="A2728" t="n">
        <v>103220</v>
      </c>
      <c r="B2728" t="n">
        <v>128</v>
      </c>
      <c r="C2728" t="inlineStr">
        <is>
          <t>Love Cabaret</t>
        </is>
      </c>
      <c r="D2728" t="inlineStr">
        <is>
          <t xml:space="preserve">EMPORIO MEL </t>
        </is>
      </c>
      <c r="E2728" t="n">
        <v>239.75</v>
      </c>
      <c r="F2728" s="27" t="n">
        <v>45701</v>
      </c>
      <c r="G2728" s="27" t="n">
        <v>45700</v>
      </c>
      <c r="H2728" s="27" t="n">
        <v>45700</v>
      </c>
      <c r="I2728" s="27" t="n">
        <v>45671</v>
      </c>
      <c r="J2728" s="27" t="n">
        <v>45673</v>
      </c>
      <c r="K2728" t="inlineStr">
        <is>
          <t>Boleto Bancário</t>
        </is>
      </c>
      <c r="L2728" t="inlineStr">
        <is>
          <t>Custo Mercadoria Vendida</t>
        </is>
      </c>
      <c r="M2728" t="inlineStr">
        <is>
          <t>Insumos - Alimentos</t>
        </is>
      </c>
      <c r="N2728" t="inlineStr">
        <is>
          <t>436752</t>
        </is>
      </c>
      <c r="O2728" t="inlineStr">
        <is>
          <t>Documentação Aprovada</t>
        </is>
      </c>
      <c r="P2728" t="inlineStr">
        <is>
          <t>Aprovado Diretoria</t>
        </is>
      </c>
      <c r="Q2728" t="inlineStr">
        <is>
          <t>Aprovado Caixa</t>
        </is>
      </c>
      <c r="R2728" t="inlineStr">
        <is>
          <t>Pago</t>
        </is>
      </c>
      <c r="S2728" t="n">
        <v>115</v>
      </c>
      <c r="T2728" t="inlineStr">
        <is>
          <t>Love - Shibari - Bradesco</t>
        </is>
      </c>
    </row>
    <row r="2729">
      <c r="A2729" t="n">
        <v>103215</v>
      </c>
      <c r="B2729" t="n">
        <v>128</v>
      </c>
      <c r="C2729" t="inlineStr">
        <is>
          <t>Love Cabaret</t>
        </is>
      </c>
      <c r="D2729" t="inlineStr">
        <is>
          <t xml:space="preserve">EMPORIO MEL </t>
        </is>
      </c>
      <c r="E2729" t="n">
        <v>963.8</v>
      </c>
      <c r="F2729" s="27" t="n">
        <v>45701</v>
      </c>
      <c r="G2729" s="27" t="n">
        <v>45700</v>
      </c>
      <c r="H2729" s="27" t="n">
        <v>45700</v>
      </c>
      <c r="I2729" s="27" t="n">
        <v>45670</v>
      </c>
      <c r="J2729" s="27" t="n">
        <v>45673</v>
      </c>
      <c r="K2729" t="inlineStr">
        <is>
          <t>Boleto Bancário</t>
        </is>
      </c>
      <c r="L2729" t="inlineStr">
        <is>
          <t>Custo Mercadoria Vendida</t>
        </is>
      </c>
      <c r="M2729" t="inlineStr">
        <is>
          <t>Insumos - Bebidas</t>
        </is>
      </c>
      <c r="N2729" t="inlineStr">
        <is>
          <t>436549</t>
        </is>
      </c>
      <c r="O2729" t="inlineStr">
        <is>
          <t>Documentação Aprovada</t>
        </is>
      </c>
      <c r="P2729" t="inlineStr">
        <is>
          <t>Aprovado Diretoria</t>
        </is>
      </c>
      <c r="Q2729" t="inlineStr">
        <is>
          <t>Aprovado Caixa</t>
        </is>
      </c>
      <c r="R2729" t="inlineStr">
        <is>
          <t>Pago</t>
        </is>
      </c>
      <c r="S2729" t="n">
        <v>115</v>
      </c>
      <c r="T2729" t="inlineStr">
        <is>
          <t>Love - Shibari - Bradesco</t>
        </is>
      </c>
    </row>
    <row r="2730">
      <c r="A2730" t="n">
        <v>110110</v>
      </c>
      <c r="B2730" t="n">
        <v>128</v>
      </c>
      <c r="C2730" t="inlineStr">
        <is>
          <t>Love Cabaret</t>
        </is>
      </c>
      <c r="D2730" t="inlineStr">
        <is>
          <t>BRADESCO SA</t>
        </is>
      </c>
      <c r="E2730" t="n">
        <v>248.46</v>
      </c>
      <c r="F2730" s="27" t="n">
        <v>45700</v>
      </c>
      <c r="G2730" s="27" t="n"/>
      <c r="H2730" s="27" t="n">
        <v>45700</v>
      </c>
      <c r="I2730" s="27" t="n">
        <v>45700</v>
      </c>
      <c r="J2730" s="27" t="n">
        <v>45701</v>
      </c>
      <c r="K2730" t="inlineStr">
        <is>
          <t>Encontro de Contas</t>
        </is>
      </c>
      <c r="L2730" t="inlineStr">
        <is>
          <t>Despesas Financeiras</t>
        </is>
      </c>
      <c r="M2730" t="inlineStr">
        <is>
          <t>Tarifas Bancárias</t>
        </is>
      </c>
      <c r="N2730" t="inlineStr">
        <is>
          <t>022025</t>
        </is>
      </c>
      <c r="P2730" t="inlineStr">
        <is>
          <t>Aprovado Diretoria</t>
        </is>
      </c>
      <c r="R2730" t="inlineStr">
        <is>
          <t>Pago</t>
        </is>
      </c>
    </row>
    <row r="2731">
      <c r="A2731" t="n">
        <v>102825</v>
      </c>
      <c r="B2731" t="n">
        <v>128</v>
      </c>
      <c r="C2731" t="inlineStr">
        <is>
          <t>Love Cabaret</t>
        </is>
      </c>
      <c r="D2731" t="inlineStr">
        <is>
          <t>HEADCHEF SEGURANCA DOS ALIM E GARANTIA D</t>
        </is>
      </c>
      <c r="E2731" t="n">
        <v>891.0599999999999</v>
      </c>
      <c r="F2731" s="27" t="n">
        <v>45703</v>
      </c>
      <c r="G2731" s="27" t="n">
        <v>45700</v>
      </c>
      <c r="H2731" s="27" t="n">
        <v>45700</v>
      </c>
      <c r="I2731" s="27" t="n">
        <v>45683</v>
      </c>
      <c r="J2731" s="27" t="n"/>
      <c r="K2731" t="inlineStr">
        <is>
          <t>Boleto Bancário</t>
        </is>
      </c>
      <c r="L2731" t="inlineStr">
        <is>
          <t>Serviços de Terceiros</t>
        </is>
      </c>
      <c r="M2731" t="inlineStr">
        <is>
          <t>Assessoria de Alimentos e Bebidas</t>
        </is>
      </c>
      <c r="N2731" t="inlineStr">
        <is>
          <t>1099</t>
        </is>
      </c>
      <c r="O2731" t="inlineStr">
        <is>
          <t>Documentação Aprovada</t>
        </is>
      </c>
      <c r="P2731" t="inlineStr">
        <is>
          <t>Aprovado Diretoria</t>
        </is>
      </c>
      <c r="Q2731" t="inlineStr">
        <is>
          <t>Aprovado Caixa</t>
        </is>
      </c>
      <c r="R2731" t="inlineStr">
        <is>
          <t>Pago</t>
        </is>
      </c>
      <c r="S2731" t="n">
        <v>115</v>
      </c>
      <c r="T2731" t="inlineStr">
        <is>
          <t>Love - Shibari - Bradesco</t>
        </is>
      </c>
    </row>
    <row r="2732">
      <c r="A2732" t="n">
        <v>102900</v>
      </c>
      <c r="B2732" t="n">
        <v>128</v>
      </c>
      <c r="C2732" t="inlineStr">
        <is>
          <t>Love Cabaret</t>
        </is>
      </c>
      <c r="D2732" t="inlineStr">
        <is>
          <t>MACRO CONTABILIDADE E CONSULTORIA LTDA</t>
        </is>
      </c>
      <c r="E2732" t="n">
        <v>3204.47</v>
      </c>
      <c r="F2732" s="27" t="n">
        <v>45703</v>
      </c>
      <c r="G2732" s="27" t="n">
        <v>45700</v>
      </c>
      <c r="H2732" s="27" t="n">
        <v>45700</v>
      </c>
      <c r="I2732" s="27" t="n">
        <v>45691</v>
      </c>
      <c r="J2732" s="27" t="n"/>
      <c r="K2732" t="inlineStr">
        <is>
          <t>Boleto Bancário</t>
        </is>
      </c>
      <c r="L2732" t="inlineStr">
        <is>
          <t>Serviços de Terceiros</t>
        </is>
      </c>
      <c r="M2732" t="inlineStr">
        <is>
          <t>Assessoria Contabil</t>
        </is>
      </c>
      <c r="N2732" t="inlineStr">
        <is>
          <t>6879</t>
        </is>
      </c>
      <c r="O2732" t="inlineStr">
        <is>
          <t>Documentação Aprovada</t>
        </is>
      </c>
      <c r="P2732" t="inlineStr">
        <is>
          <t>Aprovado Diretoria</t>
        </is>
      </c>
      <c r="Q2732" t="inlineStr">
        <is>
          <t>Aprovado Caixa</t>
        </is>
      </c>
      <c r="R2732" t="inlineStr">
        <is>
          <t>Pago</t>
        </is>
      </c>
      <c r="S2732" t="n">
        <v>115</v>
      </c>
      <c r="T2732" t="inlineStr">
        <is>
          <t>Love - Shibari - Bradesco</t>
        </is>
      </c>
    </row>
    <row r="2733">
      <c r="A2733" t="n">
        <v>102875</v>
      </c>
      <c r="B2733" t="n">
        <v>128</v>
      </c>
      <c r="C2733" t="inlineStr">
        <is>
          <t>Love Cabaret</t>
        </is>
      </c>
      <c r="D2733" t="inlineStr">
        <is>
          <t>MACHINE SEGURANCA PATRIMONIAL LTDA</t>
        </is>
      </c>
      <c r="E2733" t="n">
        <v>4636.95</v>
      </c>
      <c r="F2733" s="27" t="n">
        <v>45703</v>
      </c>
      <c r="G2733" s="27" t="n">
        <v>45700</v>
      </c>
      <c r="H2733" s="27" t="n">
        <v>45700</v>
      </c>
      <c r="I2733" s="27" t="n">
        <v>45688</v>
      </c>
      <c r="J2733" s="27" t="n"/>
      <c r="K2733" t="inlineStr">
        <is>
          <t>Transferência Bancária ou Pix</t>
        </is>
      </c>
      <c r="L2733" t="inlineStr">
        <is>
          <t>Serviços de Terceiros</t>
        </is>
      </c>
      <c r="M2733" t="inlineStr">
        <is>
          <t>Serviços de Segurança</t>
        </is>
      </c>
      <c r="N2733" t="inlineStr">
        <is>
          <t>526</t>
        </is>
      </c>
      <c r="O2733" t="inlineStr">
        <is>
          <t>Documentação Aprovada</t>
        </is>
      </c>
      <c r="P2733" t="inlineStr">
        <is>
          <t>Aprovado Diretoria</t>
        </is>
      </c>
      <c r="Q2733" t="inlineStr">
        <is>
          <t>Aprovado Caixa</t>
        </is>
      </c>
      <c r="R2733" t="inlineStr">
        <is>
          <t>Pago</t>
        </is>
      </c>
      <c r="S2733" t="n">
        <v>115</v>
      </c>
      <c r="T2733" t="inlineStr">
        <is>
          <t>Love - Shibari - Bradesco</t>
        </is>
      </c>
    </row>
    <row r="2734">
      <c r="A2734" t="n">
        <v>97087</v>
      </c>
      <c r="B2734" t="n">
        <v>128</v>
      </c>
      <c r="C2734" t="inlineStr">
        <is>
          <t>Love Cabaret</t>
        </is>
      </c>
      <c r="D2734" t="inlineStr">
        <is>
          <t>ESTAFF SOLUCOES TECNOLOGICAS DE AGENCIAMENTO LTDA</t>
        </is>
      </c>
      <c r="E2734" t="n">
        <v>13161.5</v>
      </c>
      <c r="F2734" s="27" t="n">
        <v>45700</v>
      </c>
      <c r="G2734" s="27" t="n">
        <v>45700</v>
      </c>
      <c r="H2734" s="27" t="n">
        <v>45700</v>
      </c>
      <c r="I2734" s="27" t="n">
        <v>45691</v>
      </c>
      <c r="J2734" s="27" t="n"/>
      <c r="K2734" t="inlineStr">
        <is>
          <t>Boleto Bancário</t>
        </is>
      </c>
      <c r="L2734" t="inlineStr">
        <is>
          <t>Mão de Obra - Extra</t>
        </is>
      </c>
      <c r="M2734" t="inlineStr">
        <is>
          <t>Mão de Obra Extra</t>
        </is>
      </c>
      <c r="N2734" t="inlineStr">
        <is>
          <t>517739870</t>
        </is>
      </c>
      <c r="O2734" t="inlineStr">
        <is>
          <t>Documentação Aprovada</t>
        </is>
      </c>
      <c r="P2734" t="inlineStr">
        <is>
          <t>Aprovado Diretoria</t>
        </is>
      </c>
      <c r="Q2734" t="inlineStr">
        <is>
          <t>Aprovado Caixa</t>
        </is>
      </c>
      <c r="R2734" t="inlineStr">
        <is>
          <t>Pago</t>
        </is>
      </c>
      <c r="S2734" t="n">
        <v>115</v>
      </c>
      <c r="T2734" t="inlineStr">
        <is>
          <t>Love - Shibari - Bradesco</t>
        </is>
      </c>
    </row>
    <row r="2735">
      <c r="A2735" t="n">
        <v>96946</v>
      </c>
      <c r="B2735" t="n">
        <v>128</v>
      </c>
      <c r="C2735" t="inlineStr">
        <is>
          <t>Love Cabaret</t>
        </is>
      </c>
      <c r="D2735" t="inlineStr">
        <is>
          <t>CEM ENGENHARIA DA MANUTENCAO LTDA</t>
        </is>
      </c>
      <c r="E2735" t="n">
        <v>6252.94</v>
      </c>
      <c r="F2735" s="27" t="n">
        <v>45704</v>
      </c>
      <c r="G2735" s="27" t="n">
        <v>45700</v>
      </c>
      <c r="H2735" s="27" t="n">
        <v>45700</v>
      </c>
      <c r="I2735" s="27" t="n">
        <v>45687</v>
      </c>
      <c r="J2735" s="27" t="n"/>
      <c r="K2735" t="inlineStr">
        <is>
          <t>Boleto Bancário</t>
        </is>
      </c>
      <c r="L2735" t="inlineStr">
        <is>
          <t>Manutenção</t>
        </is>
      </c>
      <c r="M2735" t="inlineStr">
        <is>
          <t>Manutenção Predial</t>
        </is>
      </c>
      <c r="N2735" t="inlineStr">
        <is>
          <t>2300</t>
        </is>
      </c>
      <c r="O2735" t="inlineStr">
        <is>
          <t>Documentação Aprovada</t>
        </is>
      </c>
      <c r="P2735" t="inlineStr">
        <is>
          <t>Aprovado Diretoria</t>
        </is>
      </c>
      <c r="Q2735" t="inlineStr">
        <is>
          <t>Aprovado Caixa</t>
        </is>
      </c>
      <c r="R2735" t="inlineStr">
        <is>
          <t>Pago</t>
        </is>
      </c>
      <c r="S2735" t="n">
        <v>115</v>
      </c>
      <c r="T2735" t="inlineStr">
        <is>
          <t>Love - Shibari - Bradesco</t>
        </is>
      </c>
    </row>
    <row r="2736">
      <c r="A2736" t="n">
        <v>96920</v>
      </c>
      <c r="B2736" t="n">
        <v>128</v>
      </c>
      <c r="C2736" t="inlineStr">
        <is>
          <t>Love Cabaret</t>
        </is>
      </c>
      <c r="D2736" t="inlineStr">
        <is>
          <t>CICLO PARTICIPACOES LTDA</t>
        </is>
      </c>
      <c r="E2736" t="n">
        <v>31634.64</v>
      </c>
      <c r="F2736" s="27" t="n">
        <v>45698</v>
      </c>
      <c r="G2736" s="27" t="n">
        <v>45698</v>
      </c>
      <c r="H2736" s="27" t="n">
        <v>45698</v>
      </c>
      <c r="I2736" s="27" t="n">
        <v>45677</v>
      </c>
      <c r="J2736" s="27" t="n"/>
      <c r="K2736" t="inlineStr">
        <is>
          <t>Boleto Bancário</t>
        </is>
      </c>
      <c r="L2736" t="inlineStr">
        <is>
          <t>Custo de Ocupação</t>
        </is>
      </c>
      <c r="M2736" t="inlineStr">
        <is>
          <t>Aluguel de Imoveis</t>
        </is>
      </c>
      <c r="N2736" t="inlineStr">
        <is>
          <t>012025</t>
        </is>
      </c>
      <c r="O2736" t="inlineStr">
        <is>
          <t>Documentação Aprovada</t>
        </is>
      </c>
      <c r="P2736" t="inlineStr">
        <is>
          <t>Aprovado Diretoria</t>
        </is>
      </c>
      <c r="Q2736" t="inlineStr">
        <is>
          <t>Aprovado Caixa</t>
        </is>
      </c>
      <c r="R2736" t="inlineStr">
        <is>
          <t>Pago</t>
        </is>
      </c>
      <c r="S2736" t="n">
        <v>115</v>
      </c>
      <c r="T2736" t="inlineStr">
        <is>
          <t>Love - Shibari - Bradesco</t>
        </is>
      </c>
    </row>
    <row r="2737">
      <c r="A2737" t="n">
        <v>96970</v>
      </c>
      <c r="B2737" t="n">
        <v>128</v>
      </c>
      <c r="C2737" t="inlineStr">
        <is>
          <t>Love Cabaret</t>
        </is>
      </c>
      <c r="D2737" t="inlineStr">
        <is>
          <t xml:space="preserve">DIVIFY OPERACAO DE PLATAFORMA ELETRONICA LTDA </t>
        </is>
      </c>
      <c r="E2737" t="n">
        <v>1000</v>
      </c>
      <c r="F2737" s="27" t="n">
        <v>45698</v>
      </c>
      <c r="G2737" s="27" t="n">
        <v>45698</v>
      </c>
      <c r="H2737" s="27" t="n">
        <v>45698</v>
      </c>
      <c r="I2737" s="27" t="n">
        <v>45677</v>
      </c>
      <c r="J2737" s="27" t="n"/>
      <c r="K2737" t="inlineStr">
        <is>
          <t>Boleto Bancário</t>
        </is>
      </c>
      <c r="L2737" t="inlineStr">
        <is>
          <t>Serviços de Terceiros</t>
        </is>
      </c>
      <c r="M2737" t="inlineStr">
        <is>
          <t>Assessoria em Geral</t>
        </is>
      </c>
      <c r="N2737" t="inlineStr">
        <is>
          <t>218</t>
        </is>
      </c>
      <c r="O2737" t="inlineStr">
        <is>
          <t>Documentação Aprovada</t>
        </is>
      </c>
      <c r="P2737" t="inlineStr">
        <is>
          <t>Aprovado Diretoria</t>
        </is>
      </c>
      <c r="Q2737" t="inlineStr">
        <is>
          <t>Aprovado Caixa</t>
        </is>
      </c>
      <c r="R2737" t="inlineStr">
        <is>
          <t>Pago</t>
        </is>
      </c>
      <c r="S2737" t="n">
        <v>115</v>
      </c>
      <c r="T2737" t="inlineStr">
        <is>
          <t>Love - Shibari - Bradesco</t>
        </is>
      </c>
    </row>
    <row r="2738">
      <c r="A2738" t="n">
        <v>102863</v>
      </c>
      <c r="B2738" t="n">
        <v>128</v>
      </c>
      <c r="C2738" t="inlineStr">
        <is>
          <t>Love Cabaret</t>
        </is>
      </c>
      <c r="D2738" t="inlineStr">
        <is>
          <t>MACHINE SEGURANCA PATRIMONIAL LTDA</t>
        </is>
      </c>
      <c r="E2738" t="n">
        <v>7790</v>
      </c>
      <c r="F2738" s="27" t="n">
        <v>45693</v>
      </c>
      <c r="G2738" s="27" t="n">
        <v>45698</v>
      </c>
      <c r="H2738" s="27" t="n">
        <v>45698</v>
      </c>
      <c r="I2738" s="27" t="n">
        <v>45688</v>
      </c>
      <c r="J2738" s="27" t="n"/>
      <c r="K2738" t="inlineStr">
        <is>
          <t>Transferência Bancária ou Pix</t>
        </is>
      </c>
      <c r="L2738" t="inlineStr">
        <is>
          <t>Serviços de Terceiros</t>
        </is>
      </c>
      <c r="M2738" t="inlineStr">
        <is>
          <t>Serviços de Segurança</t>
        </is>
      </c>
      <c r="N2738" t="inlineStr">
        <is>
          <t>132025</t>
        </is>
      </c>
      <c r="O2738" t="inlineStr">
        <is>
          <t>Documentação Aprovada</t>
        </is>
      </c>
      <c r="P2738" t="inlineStr">
        <is>
          <t>Aprovado Diretoria</t>
        </is>
      </c>
      <c r="Q2738" t="inlineStr">
        <is>
          <t>Aprovado Caixa</t>
        </is>
      </c>
      <c r="R2738" t="inlineStr">
        <is>
          <t>Pago</t>
        </is>
      </c>
      <c r="S2738" t="n">
        <v>115</v>
      </c>
      <c r="T2738" t="inlineStr">
        <is>
          <t>Love - Shibari - Bradesco</t>
        </is>
      </c>
    </row>
    <row r="2739">
      <c r="A2739" t="n">
        <v>102916</v>
      </c>
      <c r="B2739" t="n">
        <v>128</v>
      </c>
      <c r="C2739" t="inlineStr">
        <is>
          <t>Love Cabaret</t>
        </is>
      </c>
      <c r="D2739" t="inlineStr">
        <is>
          <t>PRESHH ALUGUEL DE MAQUINAS LTDA</t>
        </is>
      </c>
      <c r="E2739" t="n">
        <v>708</v>
      </c>
      <c r="F2739" s="27" t="n">
        <v>45698</v>
      </c>
      <c r="G2739" s="27" t="n">
        <v>45698</v>
      </c>
      <c r="H2739" s="27" t="n">
        <v>45698</v>
      </c>
      <c r="I2739" s="27" t="n">
        <v>45688</v>
      </c>
      <c r="J2739" s="27" t="n"/>
      <c r="K2739" t="inlineStr">
        <is>
          <t>Boleto Bancário</t>
        </is>
      </c>
      <c r="L2739" t="inlineStr">
        <is>
          <t>Locação de Equipamentos</t>
        </is>
      </c>
      <c r="M2739" t="inlineStr">
        <is>
          <t>Locações de Equipamentos - Operacionais</t>
        </is>
      </c>
      <c r="N2739" t="inlineStr">
        <is>
          <t>54677</t>
        </is>
      </c>
      <c r="O2739" t="inlineStr">
        <is>
          <t>Documentação Aprovada</t>
        </is>
      </c>
      <c r="P2739" t="inlineStr">
        <is>
          <t>Aprovado Diretoria</t>
        </is>
      </c>
      <c r="Q2739" t="inlineStr">
        <is>
          <t>Aprovado Caixa</t>
        </is>
      </c>
      <c r="R2739" t="inlineStr">
        <is>
          <t>Pago</t>
        </is>
      </c>
      <c r="S2739" t="n">
        <v>115</v>
      </c>
      <c r="T2739" t="inlineStr">
        <is>
          <t>Love - Shibari - Bradesco</t>
        </is>
      </c>
    </row>
    <row r="2740">
      <c r="A2740" t="n">
        <v>102849</v>
      </c>
      <c r="B2740" t="n">
        <v>128</v>
      </c>
      <c r="C2740" t="inlineStr">
        <is>
          <t>Love Cabaret</t>
        </is>
      </c>
      <c r="D2740" t="inlineStr">
        <is>
          <t>IRMANDADE DA SANTA CASA DE MISERICORDIA DE SAO PAULO</t>
        </is>
      </c>
      <c r="E2740" t="n">
        <v>31634.64</v>
      </c>
      <c r="F2740" s="27" t="n">
        <v>45698</v>
      </c>
      <c r="G2740" s="27" t="n">
        <v>45698</v>
      </c>
      <c r="H2740" s="27" t="n">
        <v>45698</v>
      </c>
      <c r="I2740" s="27" t="n">
        <v>45677</v>
      </c>
      <c r="J2740" s="27" t="n"/>
      <c r="K2740" t="inlineStr">
        <is>
          <t>Boleto Bancário</t>
        </is>
      </c>
      <c r="L2740" t="inlineStr">
        <is>
          <t>Custo de Ocupação</t>
        </is>
      </c>
      <c r="M2740" t="inlineStr">
        <is>
          <t>Aluguel de Imoveis</t>
        </is>
      </c>
      <c r="N2740" t="inlineStr">
        <is>
          <t xml:space="preserve">157320 </t>
        </is>
      </c>
      <c r="O2740" t="inlineStr">
        <is>
          <t>Documentação Aprovada</t>
        </is>
      </c>
      <c r="P2740" t="inlineStr">
        <is>
          <t>Aprovado Diretoria</t>
        </is>
      </c>
      <c r="Q2740" t="inlineStr">
        <is>
          <t>Aprovado Caixa</t>
        </is>
      </c>
      <c r="R2740" t="inlineStr">
        <is>
          <t>Pago</t>
        </is>
      </c>
      <c r="S2740" t="n">
        <v>115</v>
      </c>
      <c r="T2740" t="inlineStr">
        <is>
          <t>Love - Shibari - Bradesco</t>
        </is>
      </c>
    </row>
    <row r="2741">
      <c r="A2741" t="n">
        <v>102971</v>
      </c>
      <c r="B2741" t="n">
        <v>128</v>
      </c>
      <c r="C2741" t="inlineStr">
        <is>
          <t>Love Cabaret</t>
        </is>
      </c>
      <c r="D2741" t="inlineStr">
        <is>
          <t>STEMME TELECOMUNICACOES DO BRASIL LTDA</t>
        </is>
      </c>
      <c r="E2741" t="n">
        <v>299.99</v>
      </c>
      <c r="F2741" s="27" t="n">
        <v>45698</v>
      </c>
      <c r="G2741" s="27" t="n">
        <v>45698</v>
      </c>
      <c r="H2741" s="27" t="n">
        <v>45698</v>
      </c>
      <c r="I2741" s="27" t="n">
        <v>45688</v>
      </c>
      <c r="J2741" s="27" t="n"/>
      <c r="K2741" t="inlineStr">
        <is>
          <t>Boleto Bancário</t>
        </is>
      </c>
      <c r="L2741" t="inlineStr">
        <is>
          <t>Informática e TI</t>
        </is>
      </c>
      <c r="M2741" t="inlineStr">
        <is>
          <t>Internet</t>
        </is>
      </c>
      <c r="N2741" t="inlineStr">
        <is>
          <t>7401</t>
        </is>
      </c>
      <c r="O2741" t="inlineStr">
        <is>
          <t>Documentação Aprovada</t>
        </is>
      </c>
      <c r="P2741" t="inlineStr">
        <is>
          <t>Aprovado Diretoria</t>
        </is>
      </c>
      <c r="Q2741" t="inlineStr">
        <is>
          <t>Aprovado Caixa</t>
        </is>
      </c>
      <c r="R2741" t="inlineStr">
        <is>
          <t>Pago</t>
        </is>
      </c>
      <c r="S2741" t="n">
        <v>115</v>
      </c>
      <c r="T2741" t="inlineStr">
        <is>
          <t>Love - Shibari - Bradesco</t>
        </is>
      </c>
    </row>
    <row r="2742">
      <c r="A2742" t="n">
        <v>97512</v>
      </c>
      <c r="B2742" t="n">
        <v>128</v>
      </c>
      <c r="C2742" t="inlineStr">
        <is>
          <t>Love Cabaret</t>
        </is>
      </c>
      <c r="D2742" t="inlineStr">
        <is>
          <t>ISS</t>
        </is>
      </c>
      <c r="E2742" t="n">
        <v>2605.89</v>
      </c>
      <c r="F2742" s="27" t="n">
        <v>45698</v>
      </c>
      <c r="G2742" s="27" t="n">
        <v>45698</v>
      </c>
      <c r="H2742" s="27" t="n">
        <v>45698</v>
      </c>
      <c r="I2742" s="27" t="n">
        <v>45688</v>
      </c>
      <c r="J2742" s="27" t="n"/>
      <c r="K2742" t="inlineStr">
        <is>
          <t>Boleto Bancário</t>
        </is>
      </c>
      <c r="L2742" t="inlineStr">
        <is>
          <t>Endividamento</t>
        </is>
      </c>
      <c r="M2742" t="inlineStr">
        <is>
          <t>Endividamento Geral</t>
        </is>
      </c>
      <c r="N2742" t="inlineStr">
        <is>
          <t>012025</t>
        </is>
      </c>
      <c r="O2742" t="inlineStr">
        <is>
          <t>Documentação Aprovada</t>
        </is>
      </c>
      <c r="P2742" t="inlineStr">
        <is>
          <t>Aprovado Diretoria</t>
        </is>
      </c>
      <c r="Q2742" t="inlineStr">
        <is>
          <t>Aprovado Caixa</t>
        </is>
      </c>
      <c r="R2742" t="inlineStr">
        <is>
          <t>Pago</t>
        </is>
      </c>
      <c r="S2742" t="n">
        <v>115</v>
      </c>
      <c r="T2742" t="inlineStr">
        <is>
          <t>Love - Shibari - Bradesco</t>
        </is>
      </c>
    </row>
    <row r="2743">
      <c r="A2743" t="n">
        <v>97525</v>
      </c>
      <c r="B2743" t="n">
        <v>128</v>
      </c>
      <c r="C2743" t="inlineStr">
        <is>
          <t>Love Cabaret</t>
        </is>
      </c>
      <c r="D2743" t="inlineStr">
        <is>
          <t>ISS</t>
        </is>
      </c>
      <c r="E2743" t="n">
        <v>4.58</v>
      </c>
      <c r="F2743" s="27" t="n">
        <v>45698</v>
      </c>
      <c r="G2743" s="27" t="n">
        <v>45698</v>
      </c>
      <c r="H2743" s="27" t="n">
        <v>45698</v>
      </c>
      <c r="I2743" s="27" t="n">
        <v>45688</v>
      </c>
      <c r="J2743" s="27" t="n"/>
      <c r="K2743" t="inlineStr">
        <is>
          <t>Boleto Bancário</t>
        </is>
      </c>
      <c r="L2743" t="inlineStr">
        <is>
          <t>Utilidades</t>
        </is>
      </c>
      <c r="M2743" t="inlineStr">
        <is>
          <t>Coleta de lixo</t>
        </is>
      </c>
      <c r="N2743" t="inlineStr">
        <is>
          <t>012025</t>
        </is>
      </c>
      <c r="O2743" t="inlineStr">
        <is>
          <t>Documentação Aprovada</t>
        </is>
      </c>
      <c r="P2743" t="inlineStr">
        <is>
          <t>Aprovado Diretoria</t>
        </is>
      </c>
      <c r="Q2743" t="inlineStr">
        <is>
          <t>Aprovado Caixa</t>
        </is>
      </c>
      <c r="R2743" t="inlineStr">
        <is>
          <t>Pago</t>
        </is>
      </c>
      <c r="S2743" t="n">
        <v>115</v>
      </c>
      <c r="T2743" t="inlineStr">
        <is>
          <t>Love - Shibari - Bradesco</t>
        </is>
      </c>
    </row>
    <row r="2744">
      <c r="A2744" t="n">
        <v>101940</v>
      </c>
      <c r="B2744" t="n">
        <v>128</v>
      </c>
      <c r="C2744" t="inlineStr">
        <is>
          <t>Love Cabaret</t>
        </is>
      </c>
      <c r="D2744" t="inlineStr">
        <is>
          <t>JK COMERCIO DE GENEROS ALIMENTICIOS LTDA</t>
        </is>
      </c>
      <c r="E2744" t="n">
        <v>1494</v>
      </c>
      <c r="F2744" s="27" t="n">
        <v>45698</v>
      </c>
      <c r="G2744" s="27" t="n">
        <v>45698</v>
      </c>
      <c r="H2744" s="27" t="n">
        <v>45698</v>
      </c>
      <c r="I2744" s="27" t="n">
        <v>45670</v>
      </c>
      <c r="J2744" s="27" t="n">
        <v>45670</v>
      </c>
      <c r="K2744" t="inlineStr">
        <is>
          <t>Boleto Bancário</t>
        </is>
      </c>
      <c r="L2744" t="inlineStr">
        <is>
          <t>Custo Mercadoria Vendida</t>
        </is>
      </c>
      <c r="M2744" t="inlineStr">
        <is>
          <t>Insumos - Bebidas</t>
        </is>
      </c>
      <c r="N2744" t="inlineStr">
        <is>
          <t>8176</t>
        </is>
      </c>
      <c r="O2744" t="inlineStr">
        <is>
          <t>Documentação Aprovada</t>
        </is>
      </c>
      <c r="P2744" t="inlineStr">
        <is>
          <t>Aprovado Diretoria</t>
        </is>
      </c>
      <c r="Q2744" t="inlineStr">
        <is>
          <t>Aprovado Caixa</t>
        </is>
      </c>
      <c r="R2744" t="inlineStr">
        <is>
          <t>Pago</t>
        </is>
      </c>
      <c r="S2744" t="n">
        <v>115</v>
      </c>
      <c r="T2744" t="inlineStr">
        <is>
          <t>Love - Shibari - Bradesco</t>
        </is>
      </c>
    </row>
    <row r="2745">
      <c r="A2745" t="n">
        <v>103197</v>
      </c>
      <c r="B2745" t="n">
        <v>128</v>
      </c>
      <c r="C2745" t="inlineStr">
        <is>
          <t>Love Cabaret</t>
        </is>
      </c>
      <c r="D2745" t="inlineStr">
        <is>
          <t xml:space="preserve">SKY COMERCIO DE PRODUTOS ALIMENTICIOS LTDA </t>
        </is>
      </c>
      <c r="E2745" t="n">
        <v>4231.22</v>
      </c>
      <c r="F2745" s="27" t="n">
        <v>45698</v>
      </c>
      <c r="G2745" s="27" t="n">
        <v>45698</v>
      </c>
      <c r="H2745" s="27" t="n">
        <v>45698</v>
      </c>
      <c r="I2745" s="27" t="n">
        <v>45670</v>
      </c>
      <c r="J2745" s="27" t="n">
        <v>45673</v>
      </c>
      <c r="K2745" t="inlineStr">
        <is>
          <t>Boleto Bancário</t>
        </is>
      </c>
      <c r="L2745" t="inlineStr">
        <is>
          <t>Custo Mercadoria Vendida</t>
        </is>
      </c>
      <c r="M2745" t="inlineStr">
        <is>
          <t>Insumos - Bebidas</t>
        </is>
      </c>
      <c r="N2745" t="inlineStr">
        <is>
          <t>22629</t>
        </is>
      </c>
      <c r="O2745" t="inlineStr">
        <is>
          <t>Documentação Aprovada</t>
        </is>
      </c>
      <c r="P2745" t="inlineStr">
        <is>
          <t>Aprovado Diretoria</t>
        </is>
      </c>
      <c r="Q2745" t="inlineStr">
        <is>
          <t>Aprovado Caixa</t>
        </is>
      </c>
      <c r="R2745" t="inlineStr">
        <is>
          <t>Pago</t>
        </is>
      </c>
      <c r="S2745" t="n">
        <v>115</v>
      </c>
      <c r="T2745" t="inlineStr">
        <is>
          <t>Love - Shibari - Bradesco</t>
        </is>
      </c>
    </row>
    <row r="2746">
      <c r="A2746" t="n">
        <v>107968</v>
      </c>
      <c r="B2746" t="n">
        <v>128</v>
      </c>
      <c r="C2746" t="inlineStr">
        <is>
          <t>Love Cabaret</t>
        </is>
      </c>
      <c r="D2746" t="inlineStr">
        <is>
          <t>JULIA BAISCH FRANZ 02463978023</t>
        </is>
      </c>
      <c r="E2746" t="n">
        <v>8500</v>
      </c>
      <c r="F2746" s="27" t="n">
        <v>45698</v>
      </c>
      <c r="G2746" s="27" t="n">
        <v>45698</v>
      </c>
      <c r="H2746" s="27" t="n">
        <v>45698</v>
      </c>
      <c r="I2746" s="27" t="n">
        <v>45658</v>
      </c>
      <c r="J2746" s="27" t="n">
        <v>45694</v>
      </c>
      <c r="K2746" t="inlineStr">
        <is>
          <t>Transferência Bancária ou Pix</t>
        </is>
      </c>
      <c r="L2746" t="inlineStr">
        <is>
          <t>Custos Artístico Geral</t>
        </is>
      </c>
      <c r="M2746" t="inlineStr">
        <is>
          <t>Técnico de Som / Luz</t>
        </is>
      </c>
      <c r="N2746" t="inlineStr">
        <is>
          <t>28</t>
        </is>
      </c>
      <c r="O2746" t="inlineStr">
        <is>
          <t>Documentação Aprovada</t>
        </is>
      </c>
      <c r="P2746" t="inlineStr">
        <is>
          <t>Aprovado Diretoria</t>
        </is>
      </c>
      <c r="Q2746" t="inlineStr">
        <is>
          <t>Aprovado Caixa</t>
        </is>
      </c>
      <c r="R2746" t="inlineStr">
        <is>
          <t>Pago</t>
        </is>
      </c>
      <c r="S2746" t="n">
        <v>115</v>
      </c>
      <c r="T2746" t="inlineStr">
        <is>
          <t>Love - Shibari - Bradesco</t>
        </is>
      </c>
    </row>
    <row r="2747">
      <c r="A2747" t="n">
        <v>108138</v>
      </c>
      <c r="B2747" t="n">
        <v>128</v>
      </c>
      <c r="C2747" t="inlineStr">
        <is>
          <t>Love Cabaret</t>
        </is>
      </c>
      <c r="D2747" t="inlineStr">
        <is>
          <t>ISS</t>
        </is>
      </c>
      <c r="E2747" t="n">
        <v>61.06</v>
      </c>
      <c r="F2747" s="27" t="n">
        <v>45698</v>
      </c>
      <c r="G2747" s="27" t="n">
        <v>45698</v>
      </c>
      <c r="H2747" s="27" t="n">
        <v>45698</v>
      </c>
      <c r="I2747" s="27" t="n">
        <v>45688</v>
      </c>
      <c r="J2747" s="27" t="n">
        <v>45694</v>
      </c>
      <c r="K2747" t="inlineStr">
        <is>
          <t>Boleto Bancário</t>
        </is>
      </c>
      <c r="L2747" t="inlineStr">
        <is>
          <t>Impostos sobre Venda</t>
        </is>
      </c>
      <c r="M2747" t="inlineStr">
        <is>
          <t>ISS</t>
        </is>
      </c>
      <c r="N2747" t="inlineStr">
        <is>
          <t>012025</t>
        </is>
      </c>
      <c r="O2747" t="inlineStr">
        <is>
          <t>Documentação Aprovada</t>
        </is>
      </c>
      <c r="P2747" t="inlineStr">
        <is>
          <t>Aprovado Diretoria</t>
        </is>
      </c>
      <c r="Q2747" t="inlineStr">
        <is>
          <t>Aprovado Caixa</t>
        </is>
      </c>
      <c r="R2747" t="inlineStr">
        <is>
          <t>Pago</t>
        </is>
      </c>
      <c r="S2747" t="n">
        <v>115</v>
      </c>
      <c r="T2747" t="inlineStr">
        <is>
          <t>Love - Shibari - Bradesco</t>
        </is>
      </c>
    </row>
    <row r="2748">
      <c r="A2748" t="n">
        <v>107962</v>
      </c>
      <c r="B2748" t="n">
        <v>128</v>
      </c>
      <c r="C2748" t="inlineStr">
        <is>
          <t>Love Cabaret</t>
        </is>
      </c>
      <c r="D2748" t="inlineStr">
        <is>
          <t xml:space="preserve">AGNES RODRIGUES DE OLIVEIRA </t>
        </is>
      </c>
      <c r="E2748" t="n">
        <v>5000</v>
      </c>
      <c r="F2748" s="27" t="n">
        <v>45698</v>
      </c>
      <c r="G2748" s="27" t="n">
        <v>45698</v>
      </c>
      <c r="H2748" s="27" t="n">
        <v>45698</v>
      </c>
      <c r="I2748" s="27" t="n">
        <v>45658</v>
      </c>
      <c r="J2748" s="27" t="n">
        <v>45694</v>
      </c>
      <c r="K2748" t="inlineStr">
        <is>
          <t>Transferência Bancária ou Pix</t>
        </is>
      </c>
      <c r="L2748" t="inlineStr">
        <is>
          <t>Custos Artístico Geral</t>
        </is>
      </c>
      <c r="M2748" t="inlineStr">
        <is>
          <t>Técnico de Som / Luz</t>
        </is>
      </c>
      <c r="N2748" t="inlineStr">
        <is>
          <t>26</t>
        </is>
      </c>
      <c r="O2748" t="inlineStr">
        <is>
          <t>Documentação Aprovada</t>
        </is>
      </c>
      <c r="P2748" t="inlineStr">
        <is>
          <t>Aprovado Diretoria</t>
        </is>
      </c>
      <c r="Q2748" t="inlineStr">
        <is>
          <t>Aprovado Caixa</t>
        </is>
      </c>
      <c r="R2748" t="inlineStr">
        <is>
          <t>Pago</t>
        </is>
      </c>
      <c r="S2748" t="n">
        <v>115</v>
      </c>
      <c r="T2748" t="inlineStr">
        <is>
          <t>Love - Shibari - Bradesco</t>
        </is>
      </c>
    </row>
    <row r="2749">
      <c r="A2749" t="n">
        <v>107965</v>
      </c>
      <c r="B2749" t="n">
        <v>128</v>
      </c>
      <c r="C2749" t="inlineStr">
        <is>
          <t>Love Cabaret</t>
        </is>
      </c>
      <c r="D2749" t="inlineStr">
        <is>
          <t xml:space="preserve">DOUGLAS FELIPE DOMINGUES GONCALVES </t>
        </is>
      </c>
      <c r="E2749" t="n">
        <v>3500</v>
      </c>
      <c r="F2749" s="27" t="n">
        <v>45698</v>
      </c>
      <c r="G2749" s="27" t="n">
        <v>45698</v>
      </c>
      <c r="H2749" s="27" t="n">
        <v>45698</v>
      </c>
      <c r="I2749" s="27" t="n">
        <v>45658</v>
      </c>
      <c r="J2749" s="27" t="n">
        <v>45694</v>
      </c>
      <c r="K2749" t="inlineStr">
        <is>
          <t>Transferência Bancária ou Pix</t>
        </is>
      </c>
      <c r="L2749" t="inlineStr">
        <is>
          <t>Custos Artístico Geral</t>
        </is>
      </c>
      <c r="M2749" t="inlineStr">
        <is>
          <t>Técnico de Som / Luz</t>
        </is>
      </c>
      <c r="N2749" t="inlineStr">
        <is>
          <t>28</t>
        </is>
      </c>
      <c r="O2749" t="inlineStr">
        <is>
          <t>Documentação Aprovada</t>
        </is>
      </c>
      <c r="P2749" t="inlineStr">
        <is>
          <t>Aprovado Diretoria</t>
        </is>
      </c>
      <c r="Q2749" t="inlineStr">
        <is>
          <t>Aprovado Caixa</t>
        </is>
      </c>
      <c r="R2749" t="inlineStr">
        <is>
          <t>Pago</t>
        </is>
      </c>
      <c r="S2749" t="n">
        <v>115</v>
      </c>
      <c r="T2749" t="inlineStr">
        <is>
          <t>Love - Shibari - Bradesco</t>
        </is>
      </c>
    </row>
    <row r="2750">
      <c r="A2750" t="n">
        <v>107707</v>
      </c>
      <c r="B2750" t="n">
        <v>128</v>
      </c>
      <c r="C2750" t="inlineStr">
        <is>
          <t>Love Cabaret</t>
        </is>
      </c>
      <c r="D2750" t="inlineStr">
        <is>
          <t>HNK BR IND DE BEBIDAS</t>
        </is>
      </c>
      <c r="E2750" t="n">
        <v>482.93</v>
      </c>
      <c r="F2750" s="27" t="n">
        <v>45700</v>
      </c>
      <c r="G2750" s="27" t="n">
        <v>45698</v>
      </c>
      <c r="H2750" s="27" t="n">
        <v>45698</v>
      </c>
      <c r="I2750" s="27" t="n">
        <v>45685</v>
      </c>
      <c r="J2750" s="27" t="n">
        <v>45693</v>
      </c>
      <c r="K2750" t="inlineStr">
        <is>
          <t>Boleto Bancário</t>
        </is>
      </c>
      <c r="L2750" t="inlineStr">
        <is>
          <t>Custo Mercadoria Vendida</t>
        </is>
      </c>
      <c r="M2750" t="inlineStr">
        <is>
          <t>Insumos - Bebidas</t>
        </is>
      </c>
      <c r="N2750" t="inlineStr">
        <is>
          <t>182545</t>
        </is>
      </c>
      <c r="O2750" t="inlineStr">
        <is>
          <t>Documentação Aprovada</t>
        </is>
      </c>
      <c r="P2750" t="inlineStr">
        <is>
          <t>Aprovado Diretoria</t>
        </is>
      </c>
      <c r="Q2750" t="inlineStr">
        <is>
          <t>Aprovado Caixa</t>
        </is>
      </c>
      <c r="R2750" t="inlineStr">
        <is>
          <t>Pago</t>
        </is>
      </c>
      <c r="S2750" t="n">
        <v>115</v>
      </c>
      <c r="T2750" t="inlineStr">
        <is>
          <t>Love - Shibari - Bradesco</t>
        </is>
      </c>
    </row>
    <row r="2751">
      <c r="A2751" t="n">
        <v>107971</v>
      </c>
      <c r="B2751" t="n">
        <v>128</v>
      </c>
      <c r="C2751" t="inlineStr">
        <is>
          <t>Love Cabaret</t>
        </is>
      </c>
      <c r="D2751" t="inlineStr">
        <is>
          <t>MICHELLY ROSSI COUTO</t>
        </is>
      </c>
      <c r="E2751" t="n">
        <v>3000</v>
      </c>
      <c r="F2751" s="27" t="n">
        <v>45698</v>
      </c>
      <c r="G2751" s="27" t="n">
        <v>45698</v>
      </c>
      <c r="H2751" s="27" t="n">
        <v>45698</v>
      </c>
      <c r="I2751" s="27" t="n">
        <v>45658</v>
      </c>
      <c r="J2751" s="27" t="n">
        <v>45694</v>
      </c>
      <c r="K2751" t="inlineStr">
        <is>
          <t>Transferência Bancária ou Pix</t>
        </is>
      </c>
      <c r="L2751" t="inlineStr">
        <is>
          <t>Serviços de Terceiros</t>
        </is>
      </c>
      <c r="M2751" t="inlineStr">
        <is>
          <t>Assessoria de Alimentos e Bebidas</t>
        </is>
      </c>
      <c r="N2751" t="inlineStr">
        <is>
          <t>234</t>
        </is>
      </c>
      <c r="O2751" t="inlineStr">
        <is>
          <t>Documentação Aprovada</t>
        </is>
      </c>
      <c r="P2751" t="inlineStr">
        <is>
          <t>Aprovado Diretoria</t>
        </is>
      </c>
      <c r="Q2751" t="inlineStr">
        <is>
          <t>Aprovado Caixa</t>
        </is>
      </c>
      <c r="R2751" t="inlineStr">
        <is>
          <t>Pago</t>
        </is>
      </c>
      <c r="S2751" t="n">
        <v>115</v>
      </c>
      <c r="T2751" t="inlineStr">
        <is>
          <t>Love - Shibari - Bradesco</t>
        </is>
      </c>
    </row>
    <row r="2752">
      <c r="A2752" t="n">
        <v>107709</v>
      </c>
      <c r="B2752" t="n">
        <v>128</v>
      </c>
      <c r="C2752" t="inlineStr">
        <is>
          <t>Love Cabaret</t>
        </is>
      </c>
      <c r="D2752" t="inlineStr">
        <is>
          <t>HNK BR IND DE BEBIDAS</t>
        </is>
      </c>
      <c r="E2752" t="n">
        <v>2954.05</v>
      </c>
      <c r="F2752" s="27" t="n">
        <v>45700</v>
      </c>
      <c r="G2752" s="27" t="n">
        <v>45698</v>
      </c>
      <c r="H2752" s="27" t="n">
        <v>45698</v>
      </c>
      <c r="I2752" s="27" t="n">
        <v>45685</v>
      </c>
      <c r="J2752" s="27" t="n">
        <v>45693</v>
      </c>
      <c r="K2752" t="inlineStr">
        <is>
          <t>Boleto Bancário</t>
        </is>
      </c>
      <c r="L2752" t="inlineStr">
        <is>
          <t>Custo Mercadoria Vendida</t>
        </is>
      </c>
      <c r="M2752" t="inlineStr">
        <is>
          <t>Insumos - Bebidas</t>
        </is>
      </c>
      <c r="N2752" t="inlineStr">
        <is>
          <t>182537</t>
        </is>
      </c>
      <c r="O2752" t="inlineStr">
        <is>
          <t>Documentação Aprovada</t>
        </is>
      </c>
      <c r="P2752" t="inlineStr">
        <is>
          <t>Aprovado Diretoria</t>
        </is>
      </c>
      <c r="Q2752" t="inlineStr">
        <is>
          <t>Aprovado Caixa</t>
        </is>
      </c>
      <c r="R2752" t="inlineStr">
        <is>
          <t>Pago</t>
        </is>
      </c>
      <c r="S2752" t="n">
        <v>115</v>
      </c>
      <c r="T2752" t="inlineStr">
        <is>
          <t>Love - Shibari - Bradesco</t>
        </is>
      </c>
    </row>
    <row r="2753">
      <c r="A2753" t="n">
        <v>107715</v>
      </c>
      <c r="B2753" t="n">
        <v>128</v>
      </c>
      <c r="C2753" t="inlineStr">
        <is>
          <t>Love Cabaret</t>
        </is>
      </c>
      <c r="D2753" t="inlineStr">
        <is>
          <t xml:space="preserve">DISTRIBUIDORA DE CARNES CANTAREIRA </t>
        </is>
      </c>
      <c r="E2753" t="n">
        <v>241.28</v>
      </c>
      <c r="F2753" s="27" t="n">
        <v>45698</v>
      </c>
      <c r="G2753" s="27" t="n">
        <v>45698</v>
      </c>
      <c r="H2753" s="27" t="n">
        <v>45698</v>
      </c>
      <c r="I2753" s="27" t="n">
        <v>45691</v>
      </c>
      <c r="J2753" s="27" t="n">
        <v>45693</v>
      </c>
      <c r="K2753" t="inlineStr">
        <is>
          <t>Boleto Bancário</t>
        </is>
      </c>
      <c r="L2753" t="inlineStr">
        <is>
          <t>Custo Mercadoria Vendida</t>
        </is>
      </c>
      <c r="M2753" t="inlineStr">
        <is>
          <t>Insumos - Alimentos</t>
        </is>
      </c>
      <c r="N2753" t="inlineStr">
        <is>
          <t>38547</t>
        </is>
      </c>
      <c r="O2753" t="inlineStr">
        <is>
          <t>Documentação Aprovada</t>
        </is>
      </c>
      <c r="P2753" t="inlineStr">
        <is>
          <t>Aprovado Diretoria</t>
        </is>
      </c>
      <c r="Q2753" t="inlineStr">
        <is>
          <t>Aprovado Caixa</t>
        </is>
      </c>
      <c r="R2753" t="inlineStr">
        <is>
          <t>Pago</t>
        </is>
      </c>
      <c r="S2753" t="n">
        <v>115</v>
      </c>
      <c r="T2753" t="inlineStr">
        <is>
          <t>Love - Shibari - Bradesco</t>
        </is>
      </c>
    </row>
    <row r="2754">
      <c r="A2754" t="n">
        <v>109654</v>
      </c>
      <c r="B2754" t="n">
        <v>128</v>
      </c>
      <c r="C2754" t="inlineStr">
        <is>
          <t>Love Cabaret</t>
        </is>
      </c>
      <c r="D2754" t="inlineStr">
        <is>
          <t>BRADESCO SA</t>
        </is>
      </c>
      <c r="E2754" t="n">
        <v>9</v>
      </c>
      <c r="F2754" s="27" t="n">
        <v>45698</v>
      </c>
      <c r="G2754" s="27" t="n"/>
      <c r="H2754" s="27" t="n">
        <v>45698</v>
      </c>
      <c r="I2754" s="27" t="n">
        <v>45698</v>
      </c>
      <c r="J2754" s="27" t="n">
        <v>45699</v>
      </c>
      <c r="K2754" t="inlineStr">
        <is>
          <t>Encontro de Contas</t>
        </is>
      </c>
      <c r="L2754" t="inlineStr">
        <is>
          <t>Despesas Financeiras</t>
        </is>
      </c>
      <c r="M2754" t="inlineStr">
        <is>
          <t>Tarifas Bancárias</t>
        </is>
      </c>
      <c r="N2754" t="inlineStr">
        <is>
          <t>022025</t>
        </is>
      </c>
      <c r="P2754" t="inlineStr">
        <is>
          <t>Aprovado Diretoria</t>
        </is>
      </c>
      <c r="R2754" t="inlineStr">
        <is>
          <t>Pago</t>
        </is>
      </c>
    </row>
    <row r="2755">
      <c r="A2755" t="n">
        <v>109448</v>
      </c>
      <c r="B2755" t="n">
        <v>128</v>
      </c>
      <c r="C2755" t="inlineStr">
        <is>
          <t>Love Cabaret</t>
        </is>
      </c>
      <c r="D2755" t="inlineStr">
        <is>
          <t xml:space="preserve">CLOUDWALK INSTITUICAO DE PAGAMENTO E SERVICOS LTDA </t>
        </is>
      </c>
      <c r="E2755" t="n">
        <v>219</v>
      </c>
      <c r="F2755" s="27" t="n">
        <v>45698</v>
      </c>
      <c r="G2755" s="27" t="n">
        <v>45698</v>
      </c>
      <c r="H2755" s="27" t="n">
        <v>45698</v>
      </c>
      <c r="I2755" s="27" t="n">
        <v>45695</v>
      </c>
      <c r="J2755" s="27" t="n">
        <v>45695</v>
      </c>
      <c r="K2755" t="inlineStr">
        <is>
          <t>Boleto Bancário</t>
        </is>
      </c>
      <c r="L2755" t="inlineStr">
        <is>
          <t>Serviços de Terceiros</t>
        </is>
      </c>
      <c r="M2755" t="inlineStr">
        <is>
          <t>Assessoria Contabil</t>
        </is>
      </c>
      <c r="N2755" t="inlineStr">
        <is>
          <t>022025</t>
        </is>
      </c>
      <c r="O2755" t="inlineStr">
        <is>
          <t>Documentação Aprovada</t>
        </is>
      </c>
      <c r="P2755" t="inlineStr">
        <is>
          <t>Aprovado Diretoria</t>
        </is>
      </c>
      <c r="Q2755" t="inlineStr">
        <is>
          <t>Aprovado Caixa</t>
        </is>
      </c>
      <c r="R2755" t="inlineStr">
        <is>
          <t>Pago</t>
        </is>
      </c>
      <c r="S2755" t="n">
        <v>115</v>
      </c>
      <c r="T2755" t="inlineStr">
        <is>
          <t>Love - Shibari - Bradesco</t>
        </is>
      </c>
    </row>
    <row r="2756">
      <c r="A2756" t="n">
        <v>105302</v>
      </c>
      <c r="B2756" t="n">
        <v>128</v>
      </c>
      <c r="C2756" t="inlineStr">
        <is>
          <t>Love Cabaret</t>
        </is>
      </c>
      <c r="D2756" t="inlineStr">
        <is>
          <t>PJ 00422023 LARISSA ROSA DE SOUZA</t>
        </is>
      </c>
      <c r="E2756" t="n">
        <v>1206</v>
      </c>
      <c r="F2756" s="27" t="n">
        <v>45698</v>
      </c>
      <c r="G2756" s="27" t="n">
        <v>45698</v>
      </c>
      <c r="H2756" s="27" t="n">
        <v>45698</v>
      </c>
      <c r="I2756" s="27" t="n">
        <v>45658</v>
      </c>
      <c r="J2756" s="27" t="n">
        <v>45681</v>
      </c>
      <c r="K2756" t="inlineStr">
        <is>
          <t>Transferência Bancária ou Pix</t>
        </is>
      </c>
      <c r="L2756" t="inlineStr">
        <is>
          <t>Mão de Obra - PJ</t>
        </is>
      </c>
      <c r="M2756" t="inlineStr">
        <is>
          <t>MDO PJ Fixo</t>
        </is>
      </c>
      <c r="N2756" t="inlineStr">
        <is>
          <t>51</t>
        </is>
      </c>
      <c r="O2756" t="inlineStr">
        <is>
          <t>Documentação Aprovada</t>
        </is>
      </c>
      <c r="P2756" t="inlineStr">
        <is>
          <t>Aprovado Diretoria</t>
        </is>
      </c>
      <c r="Q2756" t="inlineStr">
        <is>
          <t>Aprovado Caixa</t>
        </is>
      </c>
      <c r="R2756" t="inlineStr">
        <is>
          <t>Pago</t>
        </is>
      </c>
      <c r="S2756" t="n">
        <v>115</v>
      </c>
      <c r="T2756" t="inlineStr">
        <is>
          <t>Love - Shibari - Bradesco</t>
        </is>
      </c>
    </row>
    <row r="2757">
      <c r="A2757" t="n">
        <v>105787</v>
      </c>
      <c r="B2757" t="n">
        <v>128</v>
      </c>
      <c r="C2757" t="inlineStr">
        <is>
          <t>Love Cabaret</t>
        </is>
      </c>
      <c r="D2757" t="inlineStr">
        <is>
          <t>SANDRA PEREIRA DE SOUZA CESCHINI  - EXTINTORES</t>
        </is>
      </c>
      <c r="E2757" t="n">
        <v>1470</v>
      </c>
      <c r="F2757" s="27" t="n">
        <v>45698</v>
      </c>
      <c r="G2757" s="27" t="n">
        <v>45698</v>
      </c>
      <c r="H2757" s="27" t="n">
        <v>45698</v>
      </c>
      <c r="I2757" s="27" t="n">
        <v>45684</v>
      </c>
      <c r="J2757" s="27" t="n">
        <v>45684</v>
      </c>
      <c r="K2757" t="inlineStr">
        <is>
          <t>Transferência Bancária ou Pix</t>
        </is>
      </c>
      <c r="L2757" t="inlineStr">
        <is>
          <t>Manutenção</t>
        </is>
      </c>
      <c r="M2757" t="inlineStr">
        <is>
          <t>Manutenção de Equipamentos</t>
        </is>
      </c>
      <c r="N2757" t="inlineStr">
        <is>
          <t>4390</t>
        </is>
      </c>
      <c r="O2757" t="inlineStr">
        <is>
          <t>Documentação Aprovada</t>
        </is>
      </c>
      <c r="P2757" t="inlineStr">
        <is>
          <t>Aprovado Diretoria</t>
        </is>
      </c>
      <c r="Q2757" t="inlineStr">
        <is>
          <t>Aprovado Caixa</t>
        </is>
      </c>
      <c r="R2757" t="inlineStr">
        <is>
          <t>Pago</t>
        </is>
      </c>
      <c r="S2757" t="n">
        <v>115</v>
      </c>
      <c r="T2757" t="inlineStr">
        <is>
          <t>Love - Shibari - Bradesco</t>
        </is>
      </c>
    </row>
    <row r="2758">
      <c r="A2758" t="n">
        <v>105654</v>
      </c>
      <c r="B2758" t="n">
        <v>128</v>
      </c>
      <c r="C2758" t="inlineStr">
        <is>
          <t>Love Cabaret</t>
        </is>
      </c>
      <c r="D2758" t="inlineStr">
        <is>
          <t>LUIZ ROBERTO DA SILVA JUNIOR</t>
        </is>
      </c>
      <c r="E2758" t="n">
        <v>2300</v>
      </c>
      <c r="F2758" s="27" t="n">
        <v>45698</v>
      </c>
      <c r="G2758" s="27" t="n">
        <v>45698</v>
      </c>
      <c r="H2758" s="27" t="n">
        <v>45698</v>
      </c>
      <c r="I2758" s="27" t="n">
        <v>45682</v>
      </c>
      <c r="J2758" s="27" t="n">
        <v>45684</v>
      </c>
      <c r="K2758" t="inlineStr">
        <is>
          <t>Transferência Bancária ou Pix</t>
        </is>
      </c>
      <c r="L2758" t="inlineStr">
        <is>
          <t>Custos de Eventos</t>
        </is>
      </c>
      <c r="M2758" t="inlineStr">
        <is>
          <t>Locação de Equipamentos - Eventos</t>
        </is>
      </c>
      <c r="N2758" t="inlineStr">
        <is>
          <t>72025</t>
        </is>
      </c>
      <c r="O2758" t="inlineStr">
        <is>
          <t>Documentação Aprovada</t>
        </is>
      </c>
      <c r="P2758" t="inlineStr">
        <is>
          <t>Aprovado Diretoria</t>
        </is>
      </c>
      <c r="Q2758" t="inlineStr">
        <is>
          <t>Aprovado Caixa</t>
        </is>
      </c>
      <c r="R2758" t="inlineStr">
        <is>
          <t>Pago</t>
        </is>
      </c>
      <c r="S2758" t="n">
        <v>115</v>
      </c>
      <c r="T2758" t="inlineStr">
        <is>
          <t>Love - Shibari - Bradesco</t>
        </is>
      </c>
    </row>
    <row r="2759">
      <c r="A2759" t="n">
        <v>105256</v>
      </c>
      <c r="B2759" t="n">
        <v>128</v>
      </c>
      <c r="C2759" t="inlineStr">
        <is>
          <t>Love Cabaret</t>
        </is>
      </c>
      <c r="D2759" t="inlineStr">
        <is>
          <t>FG7 COMERCIO E DISTRIBUICAO DE BEBIDAS LTDA</t>
        </is>
      </c>
      <c r="E2759" t="n">
        <v>548.49</v>
      </c>
      <c r="F2759" s="27" t="n">
        <v>45699</v>
      </c>
      <c r="G2759" s="27" t="n">
        <v>45698</v>
      </c>
      <c r="H2759" s="27" t="n">
        <v>45698</v>
      </c>
      <c r="I2759" s="27" t="n">
        <v>45677</v>
      </c>
      <c r="J2759" s="27" t="n">
        <v>45681</v>
      </c>
      <c r="K2759" t="inlineStr">
        <is>
          <t>Boleto Bancário</t>
        </is>
      </c>
      <c r="L2759" t="inlineStr">
        <is>
          <t>Custo Mercadoria Vendida</t>
        </is>
      </c>
      <c r="M2759" t="inlineStr">
        <is>
          <t>Insumos - Bebidas</t>
        </is>
      </c>
      <c r="N2759" t="inlineStr">
        <is>
          <t>561596</t>
        </is>
      </c>
      <c r="O2759" t="inlineStr">
        <is>
          <t>Documentação Aprovada</t>
        </is>
      </c>
      <c r="P2759" t="inlineStr">
        <is>
          <t>Aprovado Diretoria</t>
        </is>
      </c>
      <c r="Q2759" t="inlineStr">
        <is>
          <t>Aprovado Caixa</t>
        </is>
      </c>
      <c r="R2759" t="inlineStr">
        <is>
          <t>Pago</t>
        </is>
      </c>
      <c r="S2759" t="n">
        <v>115</v>
      </c>
      <c r="T2759" t="inlineStr">
        <is>
          <t>Love - Shibari - Bradesco</t>
        </is>
      </c>
    </row>
    <row r="2760">
      <c r="A2760" t="n">
        <v>105313</v>
      </c>
      <c r="B2760" t="n">
        <v>128</v>
      </c>
      <c r="C2760" t="inlineStr">
        <is>
          <t>Love Cabaret</t>
        </is>
      </c>
      <c r="D2760" t="inlineStr">
        <is>
          <t>ROBERTA MARIA SANTANA</t>
        </is>
      </c>
      <c r="E2760" t="n">
        <v>3333.33</v>
      </c>
      <c r="F2760" s="27" t="n">
        <v>45698</v>
      </c>
      <c r="G2760" s="27" t="n">
        <v>45698</v>
      </c>
      <c r="H2760" s="27" t="n">
        <v>45698</v>
      </c>
      <c r="I2760" s="27" t="n">
        <v>45658</v>
      </c>
      <c r="J2760" s="27" t="n">
        <v>45681</v>
      </c>
      <c r="K2760" t="inlineStr">
        <is>
          <t>Transferência Bancária ou Pix</t>
        </is>
      </c>
      <c r="L2760" t="inlineStr">
        <is>
          <t>Mão de Obra - PJ</t>
        </is>
      </c>
      <c r="M2760" t="inlineStr">
        <is>
          <t>MDO PJ Fixo</t>
        </is>
      </c>
      <c r="N2760" t="inlineStr">
        <is>
          <t>2</t>
        </is>
      </c>
      <c r="O2760" t="inlineStr">
        <is>
          <t>Documentação Aprovada</t>
        </is>
      </c>
      <c r="P2760" t="inlineStr">
        <is>
          <t>Aprovado Diretoria</t>
        </is>
      </c>
      <c r="Q2760" t="inlineStr">
        <is>
          <t>Aprovado Caixa</t>
        </is>
      </c>
      <c r="R2760" t="inlineStr">
        <is>
          <t>Pago</t>
        </is>
      </c>
      <c r="S2760" t="n">
        <v>115</v>
      </c>
      <c r="T2760" t="inlineStr">
        <is>
          <t>Love - Shibari - Bradesco</t>
        </is>
      </c>
    </row>
    <row r="2761">
      <c r="A2761" t="n">
        <v>105312</v>
      </c>
      <c r="B2761" t="n">
        <v>128</v>
      </c>
      <c r="C2761" t="inlineStr">
        <is>
          <t>Love Cabaret</t>
        </is>
      </c>
      <c r="D2761" t="inlineStr">
        <is>
          <t>PJ 50397059000133</t>
        </is>
      </c>
      <c r="E2761" t="n">
        <v>3000</v>
      </c>
      <c r="F2761" s="27" t="n">
        <v>45698</v>
      </c>
      <c r="G2761" s="27" t="n">
        <v>45698</v>
      </c>
      <c r="H2761" s="27" t="n">
        <v>45698</v>
      </c>
      <c r="I2761" s="27" t="n">
        <v>45658</v>
      </c>
      <c r="J2761" s="27" t="n">
        <v>45681</v>
      </c>
      <c r="K2761" t="inlineStr">
        <is>
          <t>Transferência Bancária ou Pix</t>
        </is>
      </c>
      <c r="L2761" t="inlineStr">
        <is>
          <t>Mão de Obra - PJ</t>
        </is>
      </c>
      <c r="M2761" t="inlineStr">
        <is>
          <t>MDO PJ Fixo</t>
        </is>
      </c>
      <c r="N2761" t="inlineStr">
        <is>
          <t>40</t>
        </is>
      </c>
      <c r="O2761" t="inlineStr">
        <is>
          <t>Documentação Aprovada</t>
        </is>
      </c>
      <c r="P2761" t="inlineStr">
        <is>
          <t>Aprovado Diretoria</t>
        </is>
      </c>
      <c r="Q2761" t="inlineStr">
        <is>
          <t>Aprovado Caixa</t>
        </is>
      </c>
      <c r="R2761" t="inlineStr">
        <is>
          <t>Pago</t>
        </is>
      </c>
      <c r="S2761" t="n">
        <v>115</v>
      </c>
      <c r="T2761" t="inlineStr">
        <is>
          <t>Love - Shibari - Bradesco</t>
        </is>
      </c>
    </row>
    <row r="2762">
      <c r="A2762" t="n">
        <v>105311</v>
      </c>
      <c r="B2762" t="n">
        <v>128</v>
      </c>
      <c r="C2762" t="inlineStr">
        <is>
          <t>Love Cabaret</t>
        </is>
      </c>
      <c r="D2762" t="inlineStr">
        <is>
          <t>ANDRE RODRIGUES AZEVEDO</t>
        </is>
      </c>
      <c r="E2762" t="n">
        <v>7420</v>
      </c>
      <c r="F2762" s="27" t="n">
        <v>45698</v>
      </c>
      <c r="G2762" s="27" t="n">
        <v>45698</v>
      </c>
      <c r="H2762" s="27" t="n">
        <v>45698</v>
      </c>
      <c r="I2762" s="27" t="n">
        <v>45658</v>
      </c>
      <c r="J2762" s="27" t="n">
        <v>45681</v>
      </c>
      <c r="K2762" t="inlineStr">
        <is>
          <t>Transferência Bancária ou Pix</t>
        </is>
      </c>
      <c r="L2762" t="inlineStr">
        <is>
          <t>Custos Artístico Geral</t>
        </is>
      </c>
      <c r="M2762" t="inlineStr">
        <is>
          <t>Técnico de Som / Luz</t>
        </is>
      </c>
      <c r="N2762" t="inlineStr">
        <is>
          <t>53</t>
        </is>
      </c>
      <c r="O2762" t="inlineStr">
        <is>
          <t>Documentação Aprovada</t>
        </is>
      </c>
      <c r="P2762" t="inlineStr">
        <is>
          <t>Aprovado Diretoria</t>
        </is>
      </c>
      <c r="Q2762" t="inlineStr">
        <is>
          <t>Aprovado Caixa</t>
        </is>
      </c>
      <c r="R2762" t="inlineStr">
        <is>
          <t>Pago</t>
        </is>
      </c>
      <c r="S2762" t="n">
        <v>115</v>
      </c>
      <c r="T2762" t="inlineStr">
        <is>
          <t>Love - Shibari - Bradesco</t>
        </is>
      </c>
    </row>
    <row r="2763">
      <c r="A2763" t="n">
        <v>105295</v>
      </c>
      <c r="B2763" t="n">
        <v>128</v>
      </c>
      <c r="C2763" t="inlineStr">
        <is>
          <t>Love Cabaret</t>
        </is>
      </c>
      <c r="D2763" t="inlineStr">
        <is>
          <t>PJ23824129000110 - FELIPE DA COSTA SANTOS</t>
        </is>
      </c>
      <c r="E2763" t="n">
        <v>5100</v>
      </c>
      <c r="F2763" s="27" t="n">
        <v>45698</v>
      </c>
      <c r="G2763" s="27" t="n">
        <v>45698</v>
      </c>
      <c r="H2763" s="27" t="n">
        <v>45698</v>
      </c>
      <c r="I2763" s="27" t="n">
        <v>45658</v>
      </c>
      <c r="J2763" s="27" t="n">
        <v>45681</v>
      </c>
      <c r="K2763" t="inlineStr">
        <is>
          <t>Transferência Bancária ou Pix</t>
        </is>
      </c>
      <c r="L2763" t="inlineStr">
        <is>
          <t>Mão de Obra - PJ</t>
        </is>
      </c>
      <c r="M2763" t="inlineStr">
        <is>
          <t>MDO PJ Fixo</t>
        </is>
      </c>
      <c r="N2763" t="inlineStr">
        <is>
          <t>40</t>
        </is>
      </c>
      <c r="O2763" t="inlineStr">
        <is>
          <t>Documentação Aprovada</t>
        </is>
      </c>
      <c r="P2763" t="inlineStr">
        <is>
          <t>Aprovado Diretoria</t>
        </is>
      </c>
      <c r="Q2763" t="inlineStr">
        <is>
          <t>Aprovado Caixa</t>
        </is>
      </c>
      <c r="R2763" t="inlineStr">
        <is>
          <t>Pago</t>
        </is>
      </c>
      <c r="S2763" t="n">
        <v>115</v>
      </c>
      <c r="T2763" t="inlineStr">
        <is>
          <t>Love - Shibari - Bradesco</t>
        </is>
      </c>
    </row>
    <row r="2764">
      <c r="A2764" t="n">
        <v>105309</v>
      </c>
      <c r="B2764" t="n">
        <v>128</v>
      </c>
      <c r="C2764" t="inlineStr">
        <is>
          <t>Love Cabaret</t>
        </is>
      </c>
      <c r="D2764" t="inlineStr">
        <is>
          <t>PJ 00502024 THIAGO PINHEIRO DA SILVA</t>
        </is>
      </c>
      <c r="E2764" t="n">
        <v>1125</v>
      </c>
      <c r="F2764" s="27" t="n">
        <v>45698</v>
      </c>
      <c r="G2764" s="27" t="n">
        <v>45698</v>
      </c>
      <c r="H2764" s="27" t="n">
        <v>45698</v>
      </c>
      <c r="I2764" s="27" t="n">
        <v>45658</v>
      </c>
      <c r="J2764" s="27" t="n">
        <v>45681</v>
      </c>
      <c r="K2764" t="inlineStr">
        <is>
          <t>Transferência Bancária ou Pix</t>
        </is>
      </c>
      <c r="L2764" t="inlineStr">
        <is>
          <t>Mão de Obra - PJ</t>
        </is>
      </c>
      <c r="M2764" t="inlineStr">
        <is>
          <t>MDO PJ Fixo</t>
        </is>
      </c>
      <c r="N2764" t="inlineStr">
        <is>
          <t>30</t>
        </is>
      </c>
      <c r="O2764" t="inlineStr">
        <is>
          <t>Documentação Aprovada</t>
        </is>
      </c>
      <c r="P2764" t="inlineStr">
        <is>
          <t>Aprovado Diretoria</t>
        </is>
      </c>
      <c r="Q2764" t="inlineStr">
        <is>
          <t>Aprovado Caixa</t>
        </is>
      </c>
      <c r="R2764" t="inlineStr">
        <is>
          <t>Pago</t>
        </is>
      </c>
      <c r="S2764" t="n">
        <v>115</v>
      </c>
      <c r="T2764" t="inlineStr">
        <is>
          <t>Love - Shibari - Bradesco</t>
        </is>
      </c>
    </row>
    <row r="2765">
      <c r="A2765" t="n">
        <v>105307</v>
      </c>
      <c r="B2765" t="n">
        <v>128</v>
      </c>
      <c r="C2765" t="inlineStr">
        <is>
          <t>Love Cabaret</t>
        </is>
      </c>
      <c r="D2765" t="inlineStr">
        <is>
          <t>PJ 00132021 - TELES DE ALMEIDA PINTO</t>
        </is>
      </c>
      <c r="E2765" t="n">
        <v>1600</v>
      </c>
      <c r="F2765" s="27" t="n">
        <v>45698</v>
      </c>
      <c r="G2765" s="27" t="n">
        <v>45698</v>
      </c>
      <c r="H2765" s="27" t="n">
        <v>45698</v>
      </c>
      <c r="I2765" s="27" t="n">
        <v>45658</v>
      </c>
      <c r="J2765" s="27" t="n">
        <v>45681</v>
      </c>
      <c r="K2765" t="inlineStr">
        <is>
          <t>Transferência Bancária ou Pix</t>
        </is>
      </c>
      <c r="L2765" t="inlineStr">
        <is>
          <t>Mão de Obra - PJ</t>
        </is>
      </c>
      <c r="M2765" t="inlineStr">
        <is>
          <t>MDO PJ Fixo</t>
        </is>
      </c>
      <c r="N2765" t="inlineStr">
        <is>
          <t>3</t>
        </is>
      </c>
      <c r="O2765" t="inlineStr">
        <is>
          <t>Documentação Aprovada</t>
        </is>
      </c>
      <c r="P2765" t="inlineStr">
        <is>
          <t>Aprovado Diretoria</t>
        </is>
      </c>
      <c r="Q2765" t="inlineStr">
        <is>
          <t>Aprovado Caixa</t>
        </is>
      </c>
      <c r="R2765" t="inlineStr">
        <is>
          <t>Pago</t>
        </is>
      </c>
      <c r="S2765" t="n">
        <v>115</v>
      </c>
      <c r="T2765" t="inlineStr">
        <is>
          <t>Love - Shibari - Bradesco</t>
        </is>
      </c>
    </row>
    <row r="2766">
      <c r="A2766" t="n">
        <v>105306</v>
      </c>
      <c r="B2766" t="n">
        <v>128</v>
      </c>
      <c r="C2766" t="inlineStr">
        <is>
          <t>Love Cabaret</t>
        </is>
      </c>
      <c r="D2766" t="inlineStr">
        <is>
          <t>WAGNER DA SILVA FRANCA</t>
        </is>
      </c>
      <c r="E2766" t="n">
        <v>4000</v>
      </c>
      <c r="F2766" s="27" t="n">
        <v>45698</v>
      </c>
      <c r="G2766" s="27" t="n">
        <v>45698</v>
      </c>
      <c r="H2766" s="27" t="n">
        <v>45698</v>
      </c>
      <c r="I2766" s="27" t="n">
        <v>45658</v>
      </c>
      <c r="J2766" s="27" t="n">
        <v>45681</v>
      </c>
      <c r="K2766" t="inlineStr">
        <is>
          <t>Transferência Bancária ou Pix</t>
        </is>
      </c>
      <c r="L2766" t="inlineStr">
        <is>
          <t>Mão de Obra - PJ</t>
        </is>
      </c>
      <c r="M2766" t="inlineStr">
        <is>
          <t>MDO PJ Fixo</t>
        </is>
      </c>
      <c r="N2766" t="inlineStr">
        <is>
          <t>23</t>
        </is>
      </c>
      <c r="O2766" t="inlineStr">
        <is>
          <t>Documentação Aprovada</t>
        </is>
      </c>
      <c r="P2766" t="inlineStr">
        <is>
          <t>Aprovado Diretoria</t>
        </is>
      </c>
      <c r="Q2766" t="inlineStr">
        <is>
          <t>Aprovado Caixa</t>
        </is>
      </c>
      <c r="R2766" t="inlineStr">
        <is>
          <t>Pago</t>
        </is>
      </c>
      <c r="S2766" t="n">
        <v>115</v>
      </c>
      <c r="T2766" t="inlineStr">
        <is>
          <t>Love - Shibari - Bradesco</t>
        </is>
      </c>
    </row>
    <row r="2767">
      <c r="A2767" t="n">
        <v>105305</v>
      </c>
      <c r="B2767" t="n">
        <v>128</v>
      </c>
      <c r="C2767" t="inlineStr">
        <is>
          <t>Love Cabaret</t>
        </is>
      </c>
      <c r="D2767" t="inlineStr">
        <is>
          <t>PJ 00092021 - VANESSA FERREIRA DEL SANTO</t>
        </is>
      </c>
      <c r="E2767" t="n">
        <v>2800</v>
      </c>
      <c r="F2767" s="27" t="n">
        <v>45698</v>
      </c>
      <c r="G2767" s="27" t="n">
        <v>45698</v>
      </c>
      <c r="H2767" s="27" t="n">
        <v>45698</v>
      </c>
      <c r="I2767" s="27" t="n">
        <v>45658</v>
      </c>
      <c r="J2767" s="27" t="n">
        <v>45681</v>
      </c>
      <c r="K2767" t="inlineStr">
        <is>
          <t>Transferência Bancária ou Pix</t>
        </is>
      </c>
      <c r="L2767" t="inlineStr">
        <is>
          <t>Mão de Obra - PJ</t>
        </is>
      </c>
      <c r="M2767" t="inlineStr">
        <is>
          <t>MDO PJ Fixo</t>
        </is>
      </c>
      <c r="N2767" t="inlineStr">
        <is>
          <t>245</t>
        </is>
      </c>
      <c r="O2767" t="inlineStr">
        <is>
          <t>Documentação Aprovada</t>
        </is>
      </c>
      <c r="P2767" t="inlineStr">
        <is>
          <t>Aprovado Diretoria</t>
        </is>
      </c>
      <c r="Q2767" t="inlineStr">
        <is>
          <t>Aprovado Caixa</t>
        </is>
      </c>
      <c r="R2767" t="inlineStr">
        <is>
          <t>Pago</t>
        </is>
      </c>
      <c r="S2767" t="n">
        <v>115</v>
      </c>
      <c r="T2767" t="inlineStr">
        <is>
          <t>Love - Shibari - Bradesco</t>
        </is>
      </c>
    </row>
    <row r="2768">
      <c r="A2768" t="n">
        <v>105303</v>
      </c>
      <c r="B2768" t="n">
        <v>128</v>
      </c>
      <c r="C2768" t="inlineStr">
        <is>
          <t>Love Cabaret</t>
        </is>
      </c>
      <c r="D2768" t="inlineStr">
        <is>
          <t>TAMARA SANTOS RIBEIRO</t>
        </is>
      </c>
      <c r="E2768" t="n">
        <v>3500</v>
      </c>
      <c r="F2768" s="27" t="n">
        <v>45698</v>
      </c>
      <c r="G2768" s="27" t="n">
        <v>45698</v>
      </c>
      <c r="H2768" s="27" t="n">
        <v>45698</v>
      </c>
      <c r="I2768" s="27" t="n">
        <v>45658</v>
      </c>
      <c r="J2768" s="27" t="n">
        <v>45681</v>
      </c>
      <c r="K2768" t="inlineStr">
        <is>
          <t>Transferência Bancária ou Pix</t>
        </is>
      </c>
      <c r="L2768" t="inlineStr">
        <is>
          <t>Mão de Obra - PJ</t>
        </is>
      </c>
      <c r="M2768" t="inlineStr">
        <is>
          <t>MDO PJ Fixo</t>
        </is>
      </c>
      <c r="N2768" t="inlineStr">
        <is>
          <t>19</t>
        </is>
      </c>
      <c r="O2768" t="inlineStr">
        <is>
          <t>Documentação Aprovada</t>
        </is>
      </c>
      <c r="P2768" t="inlineStr">
        <is>
          <t>Aprovado Diretoria</t>
        </is>
      </c>
      <c r="Q2768" t="inlineStr">
        <is>
          <t>Aprovado Caixa</t>
        </is>
      </c>
      <c r="R2768" t="inlineStr">
        <is>
          <t>Pago</t>
        </is>
      </c>
      <c r="S2768" t="n">
        <v>115</v>
      </c>
      <c r="T2768" t="inlineStr">
        <is>
          <t>Love - Shibari - Bradesco</t>
        </is>
      </c>
    </row>
    <row r="2769">
      <c r="A2769" t="n">
        <v>105301</v>
      </c>
      <c r="B2769" t="n">
        <v>128</v>
      </c>
      <c r="C2769" t="inlineStr">
        <is>
          <t>Love Cabaret</t>
        </is>
      </c>
      <c r="D2769" t="inlineStr">
        <is>
          <t xml:space="preserve">PJ 00452023 LAISA ROCHA LARANGEIRA </t>
        </is>
      </c>
      <c r="E2769" t="n">
        <v>1600</v>
      </c>
      <c r="F2769" s="27" t="n">
        <v>45698</v>
      </c>
      <c r="G2769" s="27" t="n">
        <v>45698</v>
      </c>
      <c r="H2769" s="27" t="n">
        <v>45698</v>
      </c>
      <c r="I2769" s="27" t="n">
        <v>45658</v>
      </c>
      <c r="J2769" s="27" t="n">
        <v>45681</v>
      </c>
      <c r="K2769" t="inlineStr">
        <is>
          <t>Transferência Bancária ou Pix</t>
        </is>
      </c>
      <c r="L2769" t="inlineStr">
        <is>
          <t>Mão de Obra - PJ</t>
        </is>
      </c>
      <c r="M2769" t="inlineStr">
        <is>
          <t>MDO PJ Fixo</t>
        </is>
      </c>
      <c r="N2769" t="inlineStr">
        <is>
          <t>48</t>
        </is>
      </c>
      <c r="O2769" t="inlineStr">
        <is>
          <t>Documentação Aprovada</t>
        </is>
      </c>
      <c r="P2769" t="inlineStr">
        <is>
          <t>Aprovado Diretoria</t>
        </is>
      </c>
      <c r="Q2769" t="inlineStr">
        <is>
          <t>Aprovado Caixa</t>
        </is>
      </c>
      <c r="R2769" t="inlineStr">
        <is>
          <t>Pago</t>
        </is>
      </c>
      <c r="S2769" t="n">
        <v>115</v>
      </c>
      <c r="T2769" t="inlineStr">
        <is>
          <t>Love - Shibari - Bradesco</t>
        </is>
      </c>
    </row>
    <row r="2770">
      <c r="A2770" t="n">
        <v>105300</v>
      </c>
      <c r="B2770" t="n">
        <v>128</v>
      </c>
      <c r="C2770" t="inlineStr">
        <is>
          <t>Love Cabaret</t>
        </is>
      </c>
      <c r="D2770" t="inlineStr">
        <is>
          <t>JOAO VITOR MENDES SALUSTIANO</t>
        </is>
      </c>
      <c r="E2770" t="n">
        <v>4800</v>
      </c>
      <c r="F2770" s="27" t="n">
        <v>45698</v>
      </c>
      <c r="G2770" s="27" t="n">
        <v>45698</v>
      </c>
      <c r="H2770" s="27" t="n">
        <v>45698</v>
      </c>
      <c r="I2770" s="27" t="n">
        <v>45658</v>
      </c>
      <c r="J2770" s="27" t="n">
        <v>45681</v>
      </c>
      <c r="K2770" t="inlineStr">
        <is>
          <t>Transferência Bancária ou Pix</t>
        </is>
      </c>
      <c r="L2770" t="inlineStr">
        <is>
          <t>Mão de Obra - PJ</t>
        </is>
      </c>
      <c r="M2770" t="inlineStr">
        <is>
          <t>MDO PJ Fixo</t>
        </is>
      </c>
      <c r="N2770" t="inlineStr">
        <is>
          <t>135</t>
        </is>
      </c>
      <c r="O2770" t="inlineStr">
        <is>
          <t>Documentação Aprovada</t>
        </is>
      </c>
      <c r="P2770" t="inlineStr">
        <is>
          <t>Aprovado Diretoria</t>
        </is>
      </c>
      <c r="Q2770" t="inlineStr">
        <is>
          <t>Aprovado Caixa</t>
        </is>
      </c>
      <c r="R2770" t="inlineStr">
        <is>
          <t>Pago</t>
        </is>
      </c>
      <c r="S2770" t="n">
        <v>115</v>
      </c>
      <c r="T2770" t="inlineStr">
        <is>
          <t>Love - Shibari - Bradesco</t>
        </is>
      </c>
    </row>
    <row r="2771">
      <c r="A2771" t="n">
        <v>105299</v>
      </c>
      <c r="B2771" t="n">
        <v>128</v>
      </c>
      <c r="C2771" t="inlineStr">
        <is>
          <t>Love Cabaret</t>
        </is>
      </c>
      <c r="D2771" t="inlineStr">
        <is>
          <t>PJ 00352023 - JESSICA IZABEL DE SOUZA</t>
        </is>
      </c>
      <c r="E2771" t="n">
        <v>1250</v>
      </c>
      <c r="F2771" s="27" t="n">
        <v>45698</v>
      </c>
      <c r="G2771" s="27" t="n">
        <v>45698</v>
      </c>
      <c r="H2771" s="27" t="n">
        <v>45698</v>
      </c>
      <c r="I2771" s="27" t="n">
        <v>45658</v>
      </c>
      <c r="J2771" s="27" t="n">
        <v>45681</v>
      </c>
      <c r="K2771" t="inlineStr">
        <is>
          <t>Transferência Bancária ou Pix</t>
        </is>
      </c>
      <c r="L2771" t="inlineStr">
        <is>
          <t>Mão de Obra - PJ</t>
        </is>
      </c>
      <c r="M2771" t="inlineStr">
        <is>
          <t>MDO PJ Fixo</t>
        </is>
      </c>
      <c r="N2771" t="inlineStr">
        <is>
          <t>58</t>
        </is>
      </c>
      <c r="O2771" t="inlineStr">
        <is>
          <t>Documentação Aprovada</t>
        </is>
      </c>
      <c r="P2771" t="inlineStr">
        <is>
          <t>Aprovado Diretoria</t>
        </is>
      </c>
      <c r="Q2771" t="inlineStr">
        <is>
          <t>Aprovado Caixa</t>
        </is>
      </c>
      <c r="R2771" t="inlineStr">
        <is>
          <t>Pago</t>
        </is>
      </c>
      <c r="S2771" t="n">
        <v>115</v>
      </c>
      <c r="T2771" t="inlineStr">
        <is>
          <t>Love - Shibari - Bradesco</t>
        </is>
      </c>
    </row>
    <row r="2772">
      <c r="A2772" t="n">
        <v>105297</v>
      </c>
      <c r="B2772" t="n">
        <v>128</v>
      </c>
      <c r="C2772" t="inlineStr">
        <is>
          <t>Love Cabaret</t>
        </is>
      </c>
      <c r="D2772" t="inlineStr">
        <is>
          <t>PJ 00492024 - ISABELLA FERNANDES GOMES</t>
        </is>
      </c>
      <c r="E2772" t="n">
        <v>932</v>
      </c>
      <c r="F2772" s="27" t="n">
        <v>45698</v>
      </c>
      <c r="G2772" s="27" t="n">
        <v>45698</v>
      </c>
      <c r="H2772" s="27" t="n">
        <v>45698</v>
      </c>
      <c r="I2772" s="27" t="n">
        <v>45658</v>
      </c>
      <c r="J2772" s="27" t="n">
        <v>45681</v>
      </c>
      <c r="K2772" t="inlineStr">
        <is>
          <t>Transferência Bancária ou Pix</t>
        </is>
      </c>
      <c r="L2772" t="inlineStr">
        <is>
          <t>Mão de Obra - PJ</t>
        </is>
      </c>
      <c r="M2772" t="inlineStr">
        <is>
          <t>MDO PJ Fixo</t>
        </is>
      </c>
      <c r="N2772" t="inlineStr">
        <is>
          <t>35</t>
        </is>
      </c>
      <c r="O2772" t="inlineStr">
        <is>
          <t>Documentação Aprovada</t>
        </is>
      </c>
      <c r="P2772" t="inlineStr">
        <is>
          <t>Aprovado Diretoria</t>
        </is>
      </c>
      <c r="Q2772" t="inlineStr">
        <is>
          <t>Aprovado Caixa</t>
        </is>
      </c>
      <c r="R2772" t="inlineStr">
        <is>
          <t>Pago</t>
        </is>
      </c>
      <c r="S2772" t="n">
        <v>115</v>
      </c>
      <c r="T2772" t="inlineStr">
        <is>
          <t>Love - Shibari - Bradesco</t>
        </is>
      </c>
    </row>
    <row r="2773">
      <c r="A2773" t="n">
        <v>105574</v>
      </c>
      <c r="B2773" t="n">
        <v>128</v>
      </c>
      <c r="C2773" t="inlineStr">
        <is>
          <t>Love Cabaret</t>
        </is>
      </c>
      <c r="D2773" t="inlineStr">
        <is>
          <t xml:space="preserve">AKIRA NAWA CARVALHO LIMA </t>
        </is>
      </c>
      <c r="E2773" t="n">
        <v>5104.8</v>
      </c>
      <c r="F2773" s="27" t="n">
        <v>45699</v>
      </c>
      <c r="G2773" s="27" t="n">
        <v>45698</v>
      </c>
      <c r="H2773" s="27" t="n">
        <v>45698</v>
      </c>
      <c r="I2773" s="27" t="n">
        <v>45681</v>
      </c>
      <c r="J2773" s="27" t="n">
        <v>45684</v>
      </c>
      <c r="K2773" t="inlineStr">
        <is>
          <t>Transferência Bancária ou Pix</t>
        </is>
      </c>
      <c r="L2773" t="inlineStr">
        <is>
          <t>Custos Artístico Geral</t>
        </is>
      </c>
      <c r="M2773" t="inlineStr">
        <is>
          <t>Cachê de Músicos e Artistas</t>
        </is>
      </c>
      <c r="N2773" t="inlineStr">
        <is>
          <t>49</t>
        </is>
      </c>
      <c r="O2773" t="inlineStr">
        <is>
          <t>Documentação Aprovada</t>
        </is>
      </c>
      <c r="P2773" t="inlineStr">
        <is>
          <t>Aprovado Diretoria</t>
        </is>
      </c>
      <c r="Q2773" t="inlineStr">
        <is>
          <t>Aprovado Caixa</t>
        </is>
      </c>
      <c r="R2773" t="inlineStr">
        <is>
          <t>Pago</t>
        </is>
      </c>
      <c r="S2773" t="n">
        <v>115</v>
      </c>
      <c r="T2773" t="inlineStr">
        <is>
          <t>Love - Shibari - Bradesco</t>
        </is>
      </c>
    </row>
    <row r="2774">
      <c r="A2774" t="n">
        <v>105294</v>
      </c>
      <c r="B2774" t="n">
        <v>128</v>
      </c>
      <c r="C2774" t="inlineStr">
        <is>
          <t>Love Cabaret</t>
        </is>
      </c>
      <c r="D2774" t="inlineStr">
        <is>
          <t>PJ 43960118000174 - DIEGO OLIVEIRA SANTANA</t>
        </is>
      </c>
      <c r="E2774" t="n">
        <v>4200</v>
      </c>
      <c r="F2774" s="27" t="n">
        <v>45698</v>
      </c>
      <c r="G2774" s="27" t="n">
        <v>45698</v>
      </c>
      <c r="H2774" s="27" t="n">
        <v>45698</v>
      </c>
      <c r="I2774" s="27" t="n">
        <v>45658</v>
      </c>
      <c r="J2774" s="27" t="n">
        <v>45681</v>
      </c>
      <c r="K2774" t="inlineStr">
        <is>
          <t>Transferência Bancária ou Pix</t>
        </is>
      </c>
      <c r="L2774" t="inlineStr">
        <is>
          <t>Mão de Obra - PJ</t>
        </is>
      </c>
      <c r="M2774" t="inlineStr">
        <is>
          <t>MDO PJ Fixo</t>
        </is>
      </c>
      <c r="N2774" t="inlineStr">
        <is>
          <t>49</t>
        </is>
      </c>
      <c r="O2774" t="inlineStr">
        <is>
          <t>Documentação Aprovada</t>
        </is>
      </c>
      <c r="P2774" t="inlineStr">
        <is>
          <t>Aprovado Diretoria</t>
        </is>
      </c>
      <c r="Q2774" t="inlineStr">
        <is>
          <t>Aprovado Caixa</t>
        </is>
      </c>
      <c r="R2774" t="inlineStr">
        <is>
          <t>Pago</t>
        </is>
      </c>
      <c r="S2774" t="n">
        <v>115</v>
      </c>
      <c r="T2774" t="inlineStr">
        <is>
          <t>Love - Shibari - Bradesco</t>
        </is>
      </c>
    </row>
    <row r="2775">
      <c r="A2775" t="n">
        <v>105293</v>
      </c>
      <c r="B2775" t="n">
        <v>128</v>
      </c>
      <c r="C2775" t="inlineStr">
        <is>
          <t>Love Cabaret</t>
        </is>
      </c>
      <c r="D2775" t="inlineStr">
        <is>
          <t>PJ 01837596131 ANNA LOUISE ESTEFANO WOORTMANN</t>
        </is>
      </c>
      <c r="E2775" t="n">
        <v>3600</v>
      </c>
      <c r="F2775" s="27" t="n">
        <v>45698</v>
      </c>
      <c r="G2775" s="27" t="n">
        <v>45698</v>
      </c>
      <c r="H2775" s="27" t="n">
        <v>45698</v>
      </c>
      <c r="I2775" s="27" t="n">
        <v>45658</v>
      </c>
      <c r="J2775" s="27" t="n">
        <v>45681</v>
      </c>
      <c r="K2775" t="inlineStr">
        <is>
          <t>Transferência Bancária ou Pix</t>
        </is>
      </c>
      <c r="L2775" t="inlineStr">
        <is>
          <t>Mão de Obra - PJ</t>
        </is>
      </c>
      <c r="M2775" t="inlineStr">
        <is>
          <t>MDO PJ Fixo</t>
        </is>
      </c>
      <c r="N2775" t="inlineStr">
        <is>
          <t>94</t>
        </is>
      </c>
      <c r="O2775" t="inlineStr">
        <is>
          <t>Documentação Aprovada</t>
        </is>
      </c>
      <c r="P2775" t="inlineStr">
        <is>
          <t>Aprovado Diretoria</t>
        </is>
      </c>
      <c r="Q2775" t="inlineStr">
        <is>
          <t>Aprovado Caixa</t>
        </is>
      </c>
      <c r="R2775" t="inlineStr">
        <is>
          <t>Pago</t>
        </is>
      </c>
      <c r="S2775" t="n">
        <v>115</v>
      </c>
      <c r="T2775" t="inlineStr">
        <is>
          <t>Love - Shibari - Bradesco</t>
        </is>
      </c>
    </row>
    <row r="2776">
      <c r="A2776" t="n">
        <v>105277</v>
      </c>
      <c r="B2776" t="n">
        <v>128</v>
      </c>
      <c r="C2776" t="inlineStr">
        <is>
          <t>Love Cabaret</t>
        </is>
      </c>
      <c r="D2776" t="inlineStr">
        <is>
          <t>CG FOOD´S DISTRIBUIDORA DE ALIMENTOS LTDA</t>
        </is>
      </c>
      <c r="E2776" t="n">
        <v>329.2</v>
      </c>
      <c r="F2776" s="27" t="n">
        <v>45698</v>
      </c>
      <c r="G2776" s="27" t="n">
        <v>45698</v>
      </c>
      <c r="H2776" s="27" t="n">
        <v>45698</v>
      </c>
      <c r="I2776" s="27" t="n">
        <v>45677</v>
      </c>
      <c r="J2776" s="27" t="n">
        <v>45681</v>
      </c>
      <c r="K2776" t="inlineStr">
        <is>
          <t>Boleto Bancário</t>
        </is>
      </c>
      <c r="L2776" t="inlineStr">
        <is>
          <t>Custo Mercadoria Vendida</t>
        </is>
      </c>
      <c r="M2776" t="inlineStr">
        <is>
          <t>Insumos - Alimentos</t>
        </is>
      </c>
      <c r="N2776" t="inlineStr">
        <is>
          <t>139620</t>
        </is>
      </c>
      <c r="O2776" t="inlineStr">
        <is>
          <t>Documentação Aprovada</t>
        </is>
      </c>
      <c r="P2776" t="inlineStr">
        <is>
          <t>Aprovado Diretoria</t>
        </is>
      </c>
      <c r="Q2776" t="inlineStr">
        <is>
          <t>Aprovado Caixa</t>
        </is>
      </c>
      <c r="R2776" t="inlineStr">
        <is>
          <t>Pago</t>
        </is>
      </c>
      <c r="S2776" t="n">
        <v>115</v>
      </c>
      <c r="T2776" t="inlineStr">
        <is>
          <t>Love - Shibari - Bradesco</t>
        </is>
      </c>
    </row>
    <row r="2777">
      <c r="A2777" t="n">
        <v>105296</v>
      </c>
      <c r="B2777" t="n">
        <v>128</v>
      </c>
      <c r="C2777" t="inlineStr">
        <is>
          <t>Love Cabaret</t>
        </is>
      </c>
      <c r="D2777" t="inlineStr">
        <is>
          <t>PUXURI CONSULTORIA LTDA</t>
        </is>
      </c>
      <c r="E2777" t="n">
        <v>4000</v>
      </c>
      <c r="F2777" s="27" t="n">
        <v>45698</v>
      </c>
      <c r="G2777" s="27" t="n">
        <v>45698</v>
      </c>
      <c r="H2777" s="27" t="n">
        <v>45698</v>
      </c>
      <c r="I2777" s="27" t="n">
        <v>45658</v>
      </c>
      <c r="J2777" s="27" t="n">
        <v>45681</v>
      </c>
      <c r="K2777" t="inlineStr">
        <is>
          <t>Transferência Bancária ou Pix</t>
        </is>
      </c>
      <c r="L2777" t="inlineStr">
        <is>
          <t>Mão de Obra - PJ</t>
        </is>
      </c>
      <c r="M2777" t="inlineStr">
        <is>
          <t>MDO PJ Fixo</t>
        </is>
      </c>
      <c r="N2777" t="inlineStr">
        <is>
          <t>91</t>
        </is>
      </c>
      <c r="O2777" t="inlineStr">
        <is>
          <t>Documentação Aprovada</t>
        </is>
      </c>
      <c r="P2777" t="inlineStr">
        <is>
          <t>Aprovado Diretoria</t>
        </is>
      </c>
      <c r="Q2777" t="inlineStr">
        <is>
          <t>Aprovado Caixa</t>
        </is>
      </c>
      <c r="R2777" t="inlineStr">
        <is>
          <t>Pago</t>
        </is>
      </c>
      <c r="S2777" t="n">
        <v>115</v>
      </c>
      <c r="T2777" t="inlineStr">
        <is>
          <t>Love - Shibari - Bradesco</t>
        </is>
      </c>
    </row>
    <row r="2778">
      <c r="A2778" t="n">
        <v>105271</v>
      </c>
      <c r="B2778" t="n">
        <v>128</v>
      </c>
      <c r="C2778" t="inlineStr">
        <is>
          <t>Love Cabaret</t>
        </is>
      </c>
      <c r="D2778" t="inlineStr">
        <is>
          <t xml:space="preserve">SKY COMERCIO DE PRODUTOS ALIMENTICIOS LTDA </t>
        </is>
      </c>
      <c r="E2778" t="n">
        <v>949.2</v>
      </c>
      <c r="F2778" s="27" t="n">
        <v>45698</v>
      </c>
      <c r="G2778" s="27" t="n">
        <v>45698</v>
      </c>
      <c r="H2778" s="27" t="n">
        <v>45698</v>
      </c>
      <c r="I2778" s="27" t="n">
        <v>45674</v>
      </c>
      <c r="J2778" s="27" t="n">
        <v>45681</v>
      </c>
      <c r="K2778" t="inlineStr">
        <is>
          <t>Boleto Bancário</t>
        </is>
      </c>
      <c r="L2778" t="inlineStr">
        <is>
          <t>Custo Mercadoria Vendida</t>
        </is>
      </c>
      <c r="M2778" t="inlineStr">
        <is>
          <t>Insumos - Bebidas</t>
        </is>
      </c>
      <c r="N2778" t="inlineStr">
        <is>
          <t>23025</t>
        </is>
      </c>
      <c r="O2778" t="inlineStr">
        <is>
          <t>Documentação Aprovada</t>
        </is>
      </c>
      <c r="P2778" t="inlineStr">
        <is>
          <t>Aprovado Diretoria</t>
        </is>
      </c>
      <c r="Q2778" t="inlineStr">
        <is>
          <t>Aprovado Caixa</t>
        </is>
      </c>
      <c r="R2778" t="inlineStr">
        <is>
          <t>Pago</t>
        </is>
      </c>
      <c r="S2778" t="n">
        <v>115</v>
      </c>
      <c r="T2778" t="inlineStr">
        <is>
          <t>Love - Shibari - Bradesco</t>
        </is>
      </c>
    </row>
    <row r="2779">
      <c r="A2779" t="n">
        <v>105274</v>
      </c>
      <c r="B2779" t="n">
        <v>128</v>
      </c>
      <c r="C2779" t="inlineStr">
        <is>
          <t>Love Cabaret</t>
        </is>
      </c>
      <c r="D2779" t="inlineStr">
        <is>
          <t>DTK COMERCIO DE ALIMENTOS LTDA</t>
        </is>
      </c>
      <c r="E2779" t="n">
        <v>791.27</v>
      </c>
      <c r="F2779" s="27" t="n">
        <v>45698</v>
      </c>
      <c r="G2779" s="27" t="n">
        <v>45698</v>
      </c>
      <c r="H2779" s="27" t="n">
        <v>45698</v>
      </c>
      <c r="I2779" s="27" t="n">
        <v>45677</v>
      </c>
      <c r="J2779" s="27" t="n">
        <v>45681</v>
      </c>
      <c r="K2779" t="inlineStr">
        <is>
          <t>Boleto Bancário</t>
        </is>
      </c>
      <c r="L2779" t="inlineStr">
        <is>
          <t>Custo Mercadoria Vendida</t>
        </is>
      </c>
      <c r="M2779" t="inlineStr">
        <is>
          <t>Insumos - Alimentos</t>
        </is>
      </c>
      <c r="N2779" t="inlineStr">
        <is>
          <t>21483</t>
        </is>
      </c>
      <c r="O2779" t="inlineStr">
        <is>
          <t>Documentação Aprovada</t>
        </is>
      </c>
      <c r="P2779" t="inlineStr">
        <is>
          <t>Aprovado Diretoria</t>
        </is>
      </c>
      <c r="Q2779" t="inlineStr">
        <is>
          <t>Aprovado Caixa</t>
        </is>
      </c>
      <c r="R2779" t="inlineStr">
        <is>
          <t>Pago</t>
        </is>
      </c>
      <c r="S2779" t="n">
        <v>115</v>
      </c>
      <c r="T2779" t="inlineStr">
        <is>
          <t>Love - Shibari - Bradesco</t>
        </is>
      </c>
    </row>
    <row r="2780">
      <c r="A2780" t="n">
        <v>106402</v>
      </c>
      <c r="B2780" t="n">
        <v>128</v>
      </c>
      <c r="C2780" t="inlineStr">
        <is>
          <t>Love Cabaret</t>
        </is>
      </c>
      <c r="D2780" t="inlineStr">
        <is>
          <t>HNK BR IND DE BEBIDAS</t>
        </is>
      </c>
      <c r="E2780" t="n">
        <v>380.23</v>
      </c>
      <c r="F2780" s="27" t="n">
        <v>45700</v>
      </c>
      <c r="G2780" s="27" t="n">
        <v>45698</v>
      </c>
      <c r="H2780" s="27" t="n">
        <v>45698</v>
      </c>
      <c r="I2780" s="27" t="n">
        <v>45685</v>
      </c>
      <c r="J2780" s="27" t="n">
        <v>45687</v>
      </c>
      <c r="K2780" t="inlineStr">
        <is>
          <t>Boleto Bancário</t>
        </is>
      </c>
      <c r="L2780" t="inlineStr">
        <is>
          <t>Custo Mercadoria Vendida</t>
        </is>
      </c>
      <c r="M2780" t="inlineStr">
        <is>
          <t>Insumos - Bebidas</t>
        </is>
      </c>
      <c r="N2780" t="inlineStr">
        <is>
          <t>182536</t>
        </is>
      </c>
      <c r="O2780" t="inlineStr">
        <is>
          <t>Documentação Aprovada</t>
        </is>
      </c>
      <c r="P2780" t="inlineStr">
        <is>
          <t>Aprovado Diretoria</t>
        </is>
      </c>
      <c r="Q2780" t="inlineStr">
        <is>
          <t>Aprovado Caixa</t>
        </is>
      </c>
      <c r="R2780" t="inlineStr">
        <is>
          <t>Pago</t>
        </is>
      </c>
      <c r="S2780" t="n">
        <v>115</v>
      </c>
      <c r="T2780" t="inlineStr">
        <is>
          <t>Love - Shibari - Bradesco</t>
        </is>
      </c>
    </row>
    <row r="2781">
      <c r="A2781" t="n">
        <v>106365</v>
      </c>
      <c r="B2781" t="n">
        <v>128</v>
      </c>
      <c r="C2781" t="inlineStr">
        <is>
          <t>Love Cabaret</t>
        </is>
      </c>
      <c r="D2781" t="inlineStr">
        <is>
          <t>PORCO FELIZ COM DE CARNES LTDA</t>
        </is>
      </c>
      <c r="E2781" t="n">
        <v>184.93</v>
      </c>
      <c r="F2781" s="27" t="n">
        <v>45699</v>
      </c>
      <c r="G2781" s="27" t="n">
        <v>45698</v>
      </c>
      <c r="H2781" s="27" t="n">
        <v>45698</v>
      </c>
      <c r="I2781" s="27" t="n">
        <v>45685</v>
      </c>
      <c r="J2781" s="27" t="n">
        <v>45687</v>
      </c>
      <c r="K2781" t="inlineStr">
        <is>
          <t>Boleto Bancário</t>
        </is>
      </c>
      <c r="L2781" t="inlineStr">
        <is>
          <t>Custo Mercadoria Vendida</t>
        </is>
      </c>
      <c r="M2781" t="inlineStr">
        <is>
          <t>Insumos - Alimentos</t>
        </is>
      </c>
      <c r="N2781" t="inlineStr">
        <is>
          <t>565224</t>
        </is>
      </c>
      <c r="O2781" t="inlineStr">
        <is>
          <t>Documentação Aprovada</t>
        </is>
      </c>
      <c r="P2781" t="inlineStr">
        <is>
          <t>Aprovado Diretoria</t>
        </is>
      </c>
      <c r="Q2781" t="inlineStr">
        <is>
          <t>Aprovado Caixa</t>
        </is>
      </c>
      <c r="R2781" t="inlineStr">
        <is>
          <t>Pago</t>
        </is>
      </c>
      <c r="S2781" t="n">
        <v>115</v>
      </c>
      <c r="T2781" t="inlineStr">
        <is>
          <t>Love - Shibari - Bradesco</t>
        </is>
      </c>
    </row>
    <row r="2782">
      <c r="A2782" t="n">
        <v>106366</v>
      </c>
      <c r="B2782" t="n">
        <v>128</v>
      </c>
      <c r="C2782" t="inlineStr">
        <is>
          <t>Love Cabaret</t>
        </is>
      </c>
      <c r="D2782" t="inlineStr">
        <is>
          <t>EDUARDO JOSE DA SILVA DISTRIBUIÇÃO DE PRODUTOS ALIMENTICIOS</t>
        </is>
      </c>
      <c r="E2782" t="n">
        <v>486.28</v>
      </c>
      <c r="F2782" s="27" t="n">
        <v>45699</v>
      </c>
      <c r="G2782" s="27" t="n">
        <v>45698</v>
      </c>
      <c r="H2782" s="27" t="n">
        <v>45698</v>
      </c>
      <c r="I2782" s="27" t="n">
        <v>45684</v>
      </c>
      <c r="J2782" s="27" t="n">
        <v>45687</v>
      </c>
      <c r="K2782" t="inlineStr">
        <is>
          <t>Boleto Bancário</t>
        </is>
      </c>
      <c r="L2782" t="inlineStr">
        <is>
          <t>Custo Mercadoria Vendida</t>
        </is>
      </c>
      <c r="M2782" t="inlineStr">
        <is>
          <t>Insumos - Alimentos</t>
        </is>
      </c>
      <c r="N2782" t="inlineStr">
        <is>
          <t>132385</t>
        </is>
      </c>
      <c r="O2782" t="inlineStr">
        <is>
          <t>Documentação Aprovada</t>
        </is>
      </c>
      <c r="P2782" t="inlineStr">
        <is>
          <t>Aprovado Diretoria</t>
        </is>
      </c>
      <c r="Q2782" t="inlineStr">
        <is>
          <t>Aprovado Caixa</t>
        </is>
      </c>
      <c r="R2782" t="inlineStr">
        <is>
          <t>Pago</t>
        </is>
      </c>
      <c r="S2782" t="n">
        <v>115</v>
      </c>
      <c r="T2782" t="inlineStr">
        <is>
          <t>Love - Shibari - Bradesco</t>
        </is>
      </c>
    </row>
    <row r="2783">
      <c r="A2783" t="n">
        <v>106354</v>
      </c>
      <c r="B2783" t="n">
        <v>128</v>
      </c>
      <c r="C2783" t="inlineStr">
        <is>
          <t>Love Cabaret</t>
        </is>
      </c>
      <c r="D2783" t="inlineStr">
        <is>
          <t>J A DOS SANTOS HORTIFRUTI</t>
        </is>
      </c>
      <c r="E2783" t="n">
        <v>331</v>
      </c>
      <c r="F2783" s="27" t="n">
        <v>45699</v>
      </c>
      <c r="G2783" s="27" t="n">
        <v>45698</v>
      </c>
      <c r="H2783" s="27" t="n">
        <v>45698</v>
      </c>
      <c r="I2783" s="27" t="n">
        <v>45684</v>
      </c>
      <c r="J2783" s="27" t="n">
        <v>45687</v>
      </c>
      <c r="K2783" t="inlineStr">
        <is>
          <t>Boleto Bancário</t>
        </is>
      </c>
      <c r="L2783" t="inlineStr">
        <is>
          <t>Custo Mercadoria Vendida</t>
        </is>
      </c>
      <c r="M2783" t="inlineStr">
        <is>
          <t>Insumos - Alimentos</t>
        </is>
      </c>
      <c r="N2783" t="inlineStr">
        <is>
          <t>36080</t>
        </is>
      </c>
      <c r="O2783" t="inlineStr">
        <is>
          <t>Documentação Aprovada</t>
        </is>
      </c>
      <c r="P2783" t="inlineStr">
        <is>
          <t>Aprovado Diretoria</t>
        </is>
      </c>
      <c r="Q2783" t="inlineStr">
        <is>
          <t>Aprovado Caixa</t>
        </is>
      </c>
      <c r="R2783" t="inlineStr">
        <is>
          <t>Pago</t>
        </is>
      </c>
      <c r="S2783" t="n">
        <v>115</v>
      </c>
      <c r="T2783" t="inlineStr">
        <is>
          <t>Love - Shibari - Bradesco</t>
        </is>
      </c>
    </row>
    <row r="2784">
      <c r="A2784" t="n">
        <v>106392</v>
      </c>
      <c r="B2784" t="n">
        <v>128</v>
      </c>
      <c r="C2784" t="inlineStr">
        <is>
          <t>Love Cabaret</t>
        </is>
      </c>
      <c r="D2784" t="inlineStr">
        <is>
          <t xml:space="preserve">LEBANON MARKET CENTER LTDA </t>
        </is>
      </c>
      <c r="E2784" t="n">
        <v>368.7</v>
      </c>
      <c r="F2784" s="27" t="n">
        <v>45698</v>
      </c>
      <c r="G2784" s="27" t="n">
        <v>45698</v>
      </c>
      <c r="H2784" s="27" t="n">
        <v>45698</v>
      </c>
      <c r="I2784" s="27" t="n">
        <v>45684</v>
      </c>
      <c r="J2784" s="27" t="n">
        <v>45687</v>
      </c>
      <c r="K2784" t="inlineStr">
        <is>
          <t>Boleto Bancário</t>
        </is>
      </c>
      <c r="L2784" t="inlineStr">
        <is>
          <t>Custo Mercadoria Vendida</t>
        </is>
      </c>
      <c r="M2784" t="inlineStr">
        <is>
          <t>Insumos - Alimentos</t>
        </is>
      </c>
      <c r="N2784" t="inlineStr">
        <is>
          <t>128835</t>
        </is>
      </c>
      <c r="O2784" t="inlineStr">
        <is>
          <t>Documentação Aprovada</t>
        </is>
      </c>
      <c r="P2784" t="inlineStr">
        <is>
          <t>Aprovado Diretoria</t>
        </is>
      </c>
      <c r="Q2784" t="inlineStr">
        <is>
          <t>Aprovado Caixa</t>
        </is>
      </c>
      <c r="R2784" t="inlineStr">
        <is>
          <t>Pago</t>
        </is>
      </c>
      <c r="S2784" t="n">
        <v>115</v>
      </c>
      <c r="T2784" t="inlineStr">
        <is>
          <t>Love - Shibari - Bradesco</t>
        </is>
      </c>
    </row>
    <row r="2785">
      <c r="A2785" t="n">
        <v>106396</v>
      </c>
      <c r="B2785" t="n">
        <v>128</v>
      </c>
      <c r="C2785" t="inlineStr">
        <is>
          <t>Love Cabaret</t>
        </is>
      </c>
      <c r="D2785" t="inlineStr">
        <is>
          <t>HNK BR IND DE BEBIDAS</t>
        </is>
      </c>
      <c r="E2785" t="n">
        <v>965.85</v>
      </c>
      <c r="F2785" s="27" t="n">
        <v>45700</v>
      </c>
      <c r="G2785" s="27" t="n">
        <v>45698</v>
      </c>
      <c r="H2785" s="27" t="n">
        <v>45698</v>
      </c>
      <c r="I2785" s="27" t="n">
        <v>45685</v>
      </c>
      <c r="J2785" s="27" t="n">
        <v>45687</v>
      </c>
      <c r="K2785" t="inlineStr">
        <is>
          <t>Boleto Bancário</t>
        </is>
      </c>
      <c r="L2785" t="inlineStr">
        <is>
          <t>Custo Mercadoria Vendida</t>
        </is>
      </c>
      <c r="M2785" t="inlineStr">
        <is>
          <t>Insumos - Bebidas</t>
        </is>
      </c>
      <c r="N2785" t="inlineStr">
        <is>
          <t>182567</t>
        </is>
      </c>
      <c r="O2785" t="inlineStr">
        <is>
          <t>Documentação Aprovada</t>
        </is>
      </c>
      <c r="P2785" t="inlineStr">
        <is>
          <t>Aprovado Diretoria</t>
        </is>
      </c>
      <c r="Q2785" t="inlineStr">
        <is>
          <t>Aprovado Caixa</t>
        </is>
      </c>
      <c r="R2785" t="inlineStr">
        <is>
          <t>Pago</t>
        </is>
      </c>
      <c r="S2785" t="n">
        <v>115</v>
      </c>
      <c r="T2785" t="inlineStr">
        <is>
          <t>Love - Shibari - Bradesco</t>
        </is>
      </c>
    </row>
    <row r="2786">
      <c r="A2786" t="n">
        <v>106371</v>
      </c>
      <c r="B2786" t="n">
        <v>128</v>
      </c>
      <c r="C2786" t="inlineStr">
        <is>
          <t>Love Cabaret</t>
        </is>
      </c>
      <c r="D2786" t="inlineStr">
        <is>
          <t>PARAMU COMERCIO E REPRESENTACAO DE PRODUTOS ALIMENTICIOS</t>
        </is>
      </c>
      <c r="E2786" t="n">
        <v>1347.15</v>
      </c>
      <c r="F2786" s="27" t="n">
        <v>45698</v>
      </c>
      <c r="G2786" s="27" t="n">
        <v>45698</v>
      </c>
      <c r="H2786" s="27" t="n">
        <v>45698</v>
      </c>
      <c r="I2786" s="27" t="n">
        <v>45684</v>
      </c>
      <c r="J2786" s="27" t="n">
        <v>45687</v>
      </c>
      <c r="K2786" t="inlineStr">
        <is>
          <t>Boleto Bancário</t>
        </is>
      </c>
      <c r="L2786" t="inlineStr">
        <is>
          <t>Custo Mercadoria Vendida</t>
        </is>
      </c>
      <c r="M2786" t="inlineStr">
        <is>
          <t>Insumos - Alimentos</t>
        </is>
      </c>
      <c r="N2786" t="inlineStr">
        <is>
          <t>12474</t>
        </is>
      </c>
      <c r="O2786" t="inlineStr">
        <is>
          <t>Documentação Aprovada</t>
        </is>
      </c>
      <c r="P2786" t="inlineStr">
        <is>
          <t>Aprovado Diretoria</t>
        </is>
      </c>
      <c r="Q2786" t="inlineStr">
        <is>
          <t>Aprovado Caixa</t>
        </is>
      </c>
      <c r="R2786" t="inlineStr">
        <is>
          <t>Pago</t>
        </is>
      </c>
      <c r="S2786" t="n">
        <v>115</v>
      </c>
      <c r="T2786" t="inlineStr">
        <is>
          <t>Love - Shibari - Bradesco</t>
        </is>
      </c>
    </row>
    <row r="2787">
      <c r="A2787" t="n">
        <v>107020</v>
      </c>
      <c r="B2787" t="n">
        <v>128</v>
      </c>
      <c r="C2787" t="inlineStr">
        <is>
          <t>Love Cabaret</t>
        </is>
      </c>
      <c r="D2787" t="inlineStr">
        <is>
          <t>PJ 43960118000174 - DIEGO OLIVEIRA SANTANA</t>
        </is>
      </c>
      <c r="E2787" t="n">
        <v>950</v>
      </c>
      <c r="F2787" s="27" t="n">
        <v>45698</v>
      </c>
      <c r="G2787" s="27" t="n">
        <v>45698</v>
      </c>
      <c r="H2787" s="27" t="n">
        <v>45698</v>
      </c>
      <c r="I2787" s="27" t="n">
        <v>45658</v>
      </c>
      <c r="J2787" s="27" t="n">
        <v>45692</v>
      </c>
      <c r="K2787" t="inlineStr">
        <is>
          <t>Transferência Bancária ou Pix</t>
        </is>
      </c>
      <c r="L2787" t="inlineStr">
        <is>
          <t>Gorjeta</t>
        </is>
      </c>
      <c r="M2787" t="inlineStr">
        <is>
          <t xml:space="preserve">  -  Comissões e Gorjeta</t>
        </is>
      </c>
      <c r="N2787" t="inlineStr">
        <is>
          <t>53</t>
        </is>
      </c>
      <c r="O2787" t="inlineStr">
        <is>
          <t>Documentação Aprovada</t>
        </is>
      </c>
      <c r="P2787" t="inlineStr">
        <is>
          <t>Aprovado Diretoria</t>
        </is>
      </c>
      <c r="Q2787" t="inlineStr">
        <is>
          <t>Aprovado Caixa</t>
        </is>
      </c>
      <c r="R2787" t="inlineStr">
        <is>
          <t>Pago</t>
        </is>
      </c>
      <c r="S2787" t="n">
        <v>115</v>
      </c>
      <c r="T2787" t="inlineStr">
        <is>
          <t>Love - Shibari - Bradesco</t>
        </is>
      </c>
    </row>
    <row r="2788">
      <c r="A2788" t="n">
        <v>106668</v>
      </c>
      <c r="B2788" t="n">
        <v>128</v>
      </c>
      <c r="C2788" t="inlineStr">
        <is>
          <t>Love Cabaret</t>
        </is>
      </c>
      <c r="D2788" t="inlineStr">
        <is>
          <t>AURORA ALVORADA ESTACIONAMENTO E LANCHONETE LTDA</t>
        </is>
      </c>
      <c r="E2788" t="n">
        <v>227.43</v>
      </c>
      <c r="F2788" s="27" t="n">
        <v>45698</v>
      </c>
      <c r="G2788" s="27" t="n">
        <v>45698</v>
      </c>
      <c r="H2788" s="27" t="n">
        <v>45698</v>
      </c>
      <c r="I2788" s="27" t="n">
        <v>45692</v>
      </c>
      <c r="J2788" s="27" t="n"/>
      <c r="K2788" t="inlineStr">
        <is>
          <t>Boleto Bancário</t>
        </is>
      </c>
      <c r="L2788" t="inlineStr">
        <is>
          <t>Custo Mercadoria Vendida</t>
        </is>
      </c>
      <c r="M2788" t="inlineStr">
        <is>
          <t>Insumos - Alimentos</t>
        </is>
      </c>
      <c r="N2788" t="inlineStr">
        <is>
          <t>10262</t>
        </is>
      </c>
      <c r="O2788" t="inlineStr">
        <is>
          <t>Documentação Aprovada</t>
        </is>
      </c>
      <c r="P2788" t="inlineStr">
        <is>
          <t>Aprovado Diretoria</t>
        </is>
      </c>
      <c r="Q2788" t="inlineStr">
        <is>
          <t>Aprovado Caixa</t>
        </is>
      </c>
      <c r="R2788" t="inlineStr">
        <is>
          <t>Pago</t>
        </is>
      </c>
      <c r="S2788" t="n">
        <v>115</v>
      </c>
      <c r="T2788" t="inlineStr">
        <is>
          <t>Love - Shibari - Bradesco</t>
        </is>
      </c>
    </row>
    <row r="2789">
      <c r="A2789" t="n">
        <v>106823</v>
      </c>
      <c r="B2789" t="n">
        <v>128</v>
      </c>
      <c r="C2789" t="inlineStr">
        <is>
          <t>Love Cabaret</t>
        </is>
      </c>
      <c r="D2789" t="inlineStr">
        <is>
          <t>JULIA BAISCH FRANZ 02463978023</t>
        </is>
      </c>
      <c r="E2789" t="n">
        <v>140.9</v>
      </c>
      <c r="F2789" s="27" t="n">
        <v>45698</v>
      </c>
      <c r="G2789" s="27" t="n">
        <v>45698</v>
      </c>
      <c r="H2789" s="27" t="n">
        <v>45698</v>
      </c>
      <c r="I2789" s="27" t="n">
        <v>45688</v>
      </c>
      <c r="J2789" s="27" t="n">
        <v>45688</v>
      </c>
      <c r="K2789" t="inlineStr">
        <is>
          <t>Transferência Bancária ou Pix</t>
        </is>
      </c>
      <c r="L2789" t="inlineStr">
        <is>
          <t>Utilidades</t>
        </is>
      </c>
      <c r="M2789" t="inlineStr">
        <is>
          <t>Utensilios</t>
        </is>
      </c>
      <c r="N2789" t="inlineStr">
        <is>
          <t>122025</t>
        </is>
      </c>
      <c r="O2789" t="inlineStr">
        <is>
          <t>Documentação Aprovada</t>
        </is>
      </c>
      <c r="P2789" t="inlineStr">
        <is>
          <t>Aprovado Diretoria</t>
        </is>
      </c>
      <c r="Q2789" t="inlineStr">
        <is>
          <t>Aprovado Caixa</t>
        </is>
      </c>
      <c r="R2789" t="inlineStr">
        <is>
          <t>Pago</t>
        </is>
      </c>
      <c r="S2789" t="n">
        <v>115</v>
      </c>
      <c r="T2789" t="inlineStr">
        <is>
          <t>Love - Shibari - Bradesco</t>
        </is>
      </c>
    </row>
    <row r="2790">
      <c r="A2790" t="n">
        <v>106826</v>
      </c>
      <c r="B2790" t="n">
        <v>128</v>
      </c>
      <c r="C2790" t="inlineStr">
        <is>
          <t>Love Cabaret</t>
        </is>
      </c>
      <c r="D2790" t="inlineStr">
        <is>
          <t>JULIA BAISCH FRANZ 02463978023</t>
        </is>
      </c>
      <c r="E2790" t="n">
        <v>800</v>
      </c>
      <c r="F2790" s="27" t="n">
        <v>45698</v>
      </c>
      <c r="G2790" s="27" t="n">
        <v>45698</v>
      </c>
      <c r="H2790" s="27" t="n">
        <v>45698</v>
      </c>
      <c r="I2790" s="27" t="n">
        <v>45688</v>
      </c>
      <c r="J2790" s="27" t="n">
        <v>45688</v>
      </c>
      <c r="K2790" t="inlineStr">
        <is>
          <t>Transferência Bancária ou Pix</t>
        </is>
      </c>
      <c r="L2790" t="inlineStr">
        <is>
          <t>Custos Artístico Geral</t>
        </is>
      </c>
      <c r="M2790" t="inlineStr">
        <is>
          <t>Cachê de Músicos e Artistas</t>
        </is>
      </c>
      <c r="N2790" t="inlineStr">
        <is>
          <t>RP0122025</t>
        </is>
      </c>
      <c r="O2790" t="inlineStr">
        <is>
          <t>Documentação Aprovada</t>
        </is>
      </c>
      <c r="P2790" t="inlineStr">
        <is>
          <t>Aprovado Diretoria</t>
        </is>
      </c>
      <c r="Q2790" t="inlineStr">
        <is>
          <t>Aprovado Caixa</t>
        </is>
      </c>
      <c r="R2790" t="inlineStr">
        <is>
          <t>Pago</t>
        </is>
      </c>
      <c r="S2790" t="n">
        <v>115</v>
      </c>
      <c r="T2790" t="inlineStr">
        <is>
          <t>Love - Shibari - Bradesco</t>
        </is>
      </c>
    </row>
    <row r="2791">
      <c r="A2791" t="n">
        <v>107022</v>
      </c>
      <c r="B2791" t="n">
        <v>128</v>
      </c>
      <c r="C2791" t="inlineStr">
        <is>
          <t>Love Cabaret</t>
        </is>
      </c>
      <c r="D2791" t="inlineStr">
        <is>
          <t>PJ23824129000110 - FELIPE DA COSTA SANTOS</t>
        </is>
      </c>
      <c r="E2791" t="n">
        <v>1030</v>
      </c>
      <c r="F2791" s="27" t="n">
        <v>45698</v>
      </c>
      <c r="G2791" s="27" t="n">
        <v>45698</v>
      </c>
      <c r="H2791" s="27" t="n">
        <v>45698</v>
      </c>
      <c r="I2791" s="27" t="n">
        <v>45658</v>
      </c>
      <c r="J2791" s="27" t="n">
        <v>45692</v>
      </c>
      <c r="K2791" t="inlineStr">
        <is>
          <t>Transferência Bancária ou Pix</t>
        </is>
      </c>
      <c r="L2791" t="inlineStr">
        <is>
          <t>Gorjeta</t>
        </is>
      </c>
      <c r="M2791" t="inlineStr">
        <is>
          <t xml:space="preserve">  -  Comissões e Gorjeta</t>
        </is>
      </c>
      <c r="N2791" t="inlineStr">
        <is>
          <t>41</t>
        </is>
      </c>
      <c r="O2791" t="inlineStr">
        <is>
          <t>Documentação Aprovada</t>
        </is>
      </c>
      <c r="P2791" t="inlineStr">
        <is>
          <t>Aprovado Diretoria</t>
        </is>
      </c>
      <c r="Q2791" t="inlineStr">
        <is>
          <t>Aprovado Caixa</t>
        </is>
      </c>
      <c r="R2791" t="inlineStr">
        <is>
          <t>Pago</t>
        </is>
      </c>
      <c r="S2791" t="n">
        <v>115</v>
      </c>
      <c r="T2791" t="inlineStr">
        <is>
          <t>Love - Shibari - Bradesco</t>
        </is>
      </c>
    </row>
    <row r="2792">
      <c r="A2792" t="n">
        <v>107023</v>
      </c>
      <c r="B2792" t="n">
        <v>128</v>
      </c>
      <c r="C2792" t="inlineStr">
        <is>
          <t>Love Cabaret</t>
        </is>
      </c>
      <c r="D2792" t="inlineStr">
        <is>
          <t>PJ 00132021 - TELES DE ALMEIDA PINTO</t>
        </is>
      </c>
      <c r="E2792" t="n">
        <v>390</v>
      </c>
      <c r="F2792" s="27" t="n">
        <v>45698</v>
      </c>
      <c r="G2792" s="27" t="n">
        <v>45698</v>
      </c>
      <c r="H2792" s="27" t="n">
        <v>45698</v>
      </c>
      <c r="I2792" s="27" t="n">
        <v>45658</v>
      </c>
      <c r="J2792" s="27" t="n">
        <v>45692</v>
      </c>
      <c r="K2792" t="inlineStr">
        <is>
          <t>Transferência Bancária ou Pix</t>
        </is>
      </c>
      <c r="L2792" t="inlineStr">
        <is>
          <t>Gorjeta</t>
        </is>
      </c>
      <c r="M2792" t="inlineStr">
        <is>
          <t xml:space="preserve">  -  Comissões e Gorjeta</t>
        </is>
      </c>
      <c r="N2792" t="inlineStr">
        <is>
          <t>5</t>
        </is>
      </c>
      <c r="O2792" t="inlineStr">
        <is>
          <t>Documentação Aprovada</t>
        </is>
      </c>
      <c r="P2792" t="inlineStr">
        <is>
          <t>Aprovado Diretoria</t>
        </is>
      </c>
      <c r="Q2792" t="inlineStr">
        <is>
          <t>Aprovado Caixa</t>
        </is>
      </c>
      <c r="R2792" t="inlineStr">
        <is>
          <t>Pago</t>
        </is>
      </c>
      <c r="S2792" t="n">
        <v>115</v>
      </c>
      <c r="T2792" t="inlineStr">
        <is>
          <t>Love - Shibari - Bradesco</t>
        </is>
      </c>
    </row>
    <row r="2793">
      <c r="A2793" t="n">
        <v>107024</v>
      </c>
      <c r="B2793" t="n">
        <v>128</v>
      </c>
      <c r="C2793" t="inlineStr">
        <is>
          <t>Love Cabaret</t>
        </is>
      </c>
      <c r="D2793" t="inlineStr">
        <is>
          <t>WAGNER DA SILVA FRANCA</t>
        </is>
      </c>
      <c r="E2793" t="n">
        <v>950</v>
      </c>
      <c r="F2793" s="27" t="n">
        <v>45698</v>
      </c>
      <c r="G2793" s="27" t="n">
        <v>45698</v>
      </c>
      <c r="H2793" s="27" t="n">
        <v>45698</v>
      </c>
      <c r="I2793" s="27" t="n">
        <v>45658</v>
      </c>
      <c r="J2793" s="27" t="n">
        <v>45692</v>
      </c>
      <c r="K2793" t="inlineStr">
        <is>
          <t>Transferência Bancária ou Pix</t>
        </is>
      </c>
      <c r="L2793" t="inlineStr">
        <is>
          <t>Gorjeta</t>
        </is>
      </c>
      <c r="M2793" t="inlineStr">
        <is>
          <t xml:space="preserve">  -  Comissões e Gorjeta</t>
        </is>
      </c>
      <c r="N2793" t="inlineStr">
        <is>
          <t>25</t>
        </is>
      </c>
      <c r="O2793" t="inlineStr">
        <is>
          <t>Documentação Aprovada</t>
        </is>
      </c>
      <c r="P2793" t="inlineStr">
        <is>
          <t>Aprovado Diretoria</t>
        </is>
      </c>
      <c r="Q2793" t="inlineStr">
        <is>
          <t>Aprovado Caixa</t>
        </is>
      </c>
      <c r="R2793" t="inlineStr">
        <is>
          <t>Pago</t>
        </is>
      </c>
      <c r="S2793" t="n">
        <v>115</v>
      </c>
      <c r="T2793" t="inlineStr">
        <is>
          <t>Love - Shibari - Bradesco</t>
        </is>
      </c>
    </row>
    <row r="2794">
      <c r="A2794" t="n">
        <v>107025</v>
      </c>
      <c r="B2794" t="n">
        <v>128</v>
      </c>
      <c r="C2794" t="inlineStr">
        <is>
          <t>Love Cabaret</t>
        </is>
      </c>
      <c r="D2794" t="inlineStr">
        <is>
          <t xml:space="preserve">DOUGLAS FELIPE DOMINGUES GONCALVES </t>
        </is>
      </c>
      <c r="E2794" t="n">
        <v>550</v>
      </c>
      <c r="F2794" s="27" t="n">
        <v>45698</v>
      </c>
      <c r="G2794" s="27" t="n">
        <v>45698</v>
      </c>
      <c r="H2794" s="27" t="n">
        <v>45698</v>
      </c>
      <c r="I2794" s="27" t="n">
        <v>45658</v>
      </c>
      <c r="J2794" s="27" t="n">
        <v>45692</v>
      </c>
      <c r="K2794" t="inlineStr">
        <is>
          <t>Transferência Bancária ou Pix</t>
        </is>
      </c>
      <c r="L2794" t="inlineStr">
        <is>
          <t>Gorjeta</t>
        </is>
      </c>
      <c r="M2794" t="inlineStr">
        <is>
          <t xml:space="preserve">  -  Comissões e Gorjeta</t>
        </is>
      </c>
      <c r="N2794" t="inlineStr">
        <is>
          <t>29</t>
        </is>
      </c>
      <c r="O2794" t="inlineStr">
        <is>
          <t>Documentação Aprovada</t>
        </is>
      </c>
      <c r="P2794" t="inlineStr">
        <is>
          <t>Aprovado Diretoria</t>
        </is>
      </c>
      <c r="Q2794" t="inlineStr">
        <is>
          <t>Aprovado Caixa</t>
        </is>
      </c>
      <c r="R2794" t="inlineStr">
        <is>
          <t>Pago</t>
        </is>
      </c>
      <c r="S2794" t="n">
        <v>115</v>
      </c>
      <c r="T2794" t="inlineStr">
        <is>
          <t>Love - Shibari - Bradesco</t>
        </is>
      </c>
    </row>
    <row r="2795">
      <c r="A2795" t="n">
        <v>106752</v>
      </c>
      <c r="B2795" t="n">
        <v>128</v>
      </c>
      <c r="C2795" t="inlineStr">
        <is>
          <t>Love Cabaret</t>
        </is>
      </c>
      <c r="D2795" t="inlineStr">
        <is>
          <t>PJ 00042021 - JOAO VICTOR MENDES SALUSTIANO</t>
        </is>
      </c>
      <c r="E2795" t="n">
        <v>908</v>
      </c>
      <c r="F2795" s="27" t="n">
        <v>45698</v>
      </c>
      <c r="G2795" s="27" t="n">
        <v>45698</v>
      </c>
      <c r="H2795" s="27" t="n">
        <v>45698</v>
      </c>
      <c r="I2795" s="27" t="n">
        <v>45688</v>
      </c>
      <c r="J2795" s="27" t="n">
        <v>45688</v>
      </c>
      <c r="K2795" t="inlineStr">
        <is>
          <t>Transferência Bancária ou Pix</t>
        </is>
      </c>
      <c r="L2795" t="inlineStr">
        <is>
          <t>Utilidades</t>
        </is>
      </c>
      <c r="M2795" t="inlineStr">
        <is>
          <t>Utensilios</t>
        </is>
      </c>
      <c r="N2795" t="inlineStr">
        <is>
          <t>112025</t>
        </is>
      </c>
      <c r="O2795" t="inlineStr">
        <is>
          <t>Documentação Aprovada</t>
        </is>
      </c>
      <c r="P2795" t="inlineStr">
        <is>
          <t>Aprovado Diretoria</t>
        </is>
      </c>
      <c r="Q2795" t="inlineStr">
        <is>
          <t>Aprovado Caixa</t>
        </is>
      </c>
      <c r="R2795" t="inlineStr">
        <is>
          <t>Pago</t>
        </is>
      </c>
      <c r="S2795" t="n">
        <v>115</v>
      </c>
      <c r="T2795" t="inlineStr">
        <is>
          <t>Love - Shibari - Bradesco</t>
        </is>
      </c>
    </row>
    <row r="2796">
      <c r="A2796" t="n">
        <v>106751</v>
      </c>
      <c r="B2796" t="n">
        <v>128</v>
      </c>
      <c r="C2796" t="inlineStr">
        <is>
          <t>Love Cabaret</t>
        </is>
      </c>
      <c r="D2796" t="inlineStr">
        <is>
          <t>PJ 00042021 - JOAO VICTOR MENDES SALUSTIANO</t>
        </is>
      </c>
      <c r="E2796" t="n">
        <v>1350</v>
      </c>
      <c r="F2796" s="27" t="n">
        <v>45698</v>
      </c>
      <c r="G2796" s="27" t="n">
        <v>45698</v>
      </c>
      <c r="H2796" s="27" t="n">
        <v>45698</v>
      </c>
      <c r="I2796" s="27" t="n">
        <v>45688</v>
      </c>
      <c r="J2796" s="27" t="n">
        <v>45688</v>
      </c>
      <c r="K2796" t="inlineStr">
        <is>
          <t>Transferência Bancária ou Pix</t>
        </is>
      </c>
      <c r="L2796" t="inlineStr">
        <is>
          <t>Investimento - CAPEX</t>
        </is>
      </c>
      <c r="M2796" t="inlineStr">
        <is>
          <t>Investimento - Equipamentos</t>
        </is>
      </c>
      <c r="N2796" t="inlineStr">
        <is>
          <t>112025</t>
        </is>
      </c>
      <c r="O2796" t="inlineStr">
        <is>
          <t>Documentação Aprovada</t>
        </is>
      </c>
      <c r="P2796" t="inlineStr">
        <is>
          <t>Aprovado Diretoria</t>
        </is>
      </c>
      <c r="Q2796" t="inlineStr">
        <is>
          <t>Aprovado Caixa</t>
        </is>
      </c>
      <c r="R2796" t="inlineStr">
        <is>
          <t>Pago</t>
        </is>
      </c>
      <c r="S2796" t="n">
        <v>115</v>
      </c>
      <c r="T2796" t="inlineStr">
        <is>
          <t>Love - Shibari - Bradesco</t>
        </is>
      </c>
    </row>
    <row r="2797">
      <c r="A2797" t="n">
        <v>106749</v>
      </c>
      <c r="B2797" t="n">
        <v>128</v>
      </c>
      <c r="C2797" t="inlineStr">
        <is>
          <t>Love Cabaret</t>
        </is>
      </c>
      <c r="D2797" t="inlineStr">
        <is>
          <t>PJ23824129000110 - FELIPE DA COSTA SANTOS</t>
        </is>
      </c>
      <c r="E2797" t="n">
        <v>390</v>
      </c>
      <c r="F2797" s="27" t="n">
        <v>45698</v>
      </c>
      <c r="G2797" s="27" t="n">
        <v>45698</v>
      </c>
      <c r="H2797" s="27" t="n">
        <v>45698</v>
      </c>
      <c r="I2797" s="27" t="n">
        <v>45688</v>
      </c>
      <c r="J2797" s="27" t="n">
        <v>45688</v>
      </c>
      <c r="K2797" t="inlineStr">
        <is>
          <t>Transferência Bancária ou Pix</t>
        </is>
      </c>
      <c r="L2797" t="inlineStr">
        <is>
          <t>Utilidades</t>
        </is>
      </c>
      <c r="M2797" t="inlineStr">
        <is>
          <t>Utensilios</t>
        </is>
      </c>
      <c r="N2797" t="inlineStr">
        <is>
          <t>102025</t>
        </is>
      </c>
      <c r="O2797" t="inlineStr">
        <is>
          <t>Documentação Aprovada</t>
        </is>
      </c>
      <c r="P2797" t="inlineStr">
        <is>
          <t>Aprovado Diretoria</t>
        </is>
      </c>
      <c r="Q2797" t="inlineStr">
        <is>
          <t>Aprovado Caixa</t>
        </is>
      </c>
      <c r="R2797" t="inlineStr">
        <is>
          <t>Pago</t>
        </is>
      </c>
      <c r="S2797" t="n">
        <v>115</v>
      </c>
      <c r="T2797" t="inlineStr">
        <is>
          <t>Love - Shibari - Bradesco</t>
        </is>
      </c>
    </row>
    <row r="2798">
      <c r="A2798" t="n">
        <v>107027</v>
      </c>
      <c r="B2798" t="n">
        <v>128</v>
      </c>
      <c r="C2798" t="inlineStr">
        <is>
          <t>Love Cabaret</t>
        </is>
      </c>
      <c r="D2798" t="inlineStr">
        <is>
          <t>ROBERTA MARIA SANTANA</t>
        </is>
      </c>
      <c r="E2798" t="n">
        <v>510</v>
      </c>
      <c r="F2798" s="27" t="n">
        <v>45698</v>
      </c>
      <c r="G2798" s="27" t="n">
        <v>45698</v>
      </c>
      <c r="H2798" s="27" t="n">
        <v>45698</v>
      </c>
      <c r="I2798" s="27" t="n">
        <v>45658</v>
      </c>
      <c r="J2798" s="27" t="n">
        <v>45692</v>
      </c>
      <c r="K2798" t="inlineStr">
        <is>
          <t>Transferência Bancária ou Pix</t>
        </is>
      </c>
      <c r="L2798" t="inlineStr">
        <is>
          <t>Gorjeta</t>
        </is>
      </c>
      <c r="M2798" t="inlineStr">
        <is>
          <t xml:space="preserve">  -  Comissões e Gorjeta</t>
        </is>
      </c>
      <c r="N2798" t="inlineStr">
        <is>
          <t>3</t>
        </is>
      </c>
      <c r="O2798" t="inlineStr">
        <is>
          <t>Documentação Aprovada</t>
        </is>
      </c>
      <c r="P2798" t="inlineStr">
        <is>
          <t>Aprovado Diretoria</t>
        </is>
      </c>
      <c r="Q2798" t="inlineStr">
        <is>
          <t>Aprovado Caixa</t>
        </is>
      </c>
      <c r="R2798" t="inlineStr">
        <is>
          <t>Pago</t>
        </is>
      </c>
      <c r="S2798" t="n">
        <v>115</v>
      </c>
      <c r="T2798" t="inlineStr">
        <is>
          <t>Love - Shibari - Bradesco</t>
        </is>
      </c>
    </row>
    <row r="2799">
      <c r="A2799" t="n">
        <v>107911</v>
      </c>
      <c r="B2799" t="n">
        <v>128</v>
      </c>
      <c r="C2799" t="inlineStr">
        <is>
          <t>Love Cabaret</t>
        </is>
      </c>
      <c r="D2799" t="inlineStr">
        <is>
          <t xml:space="preserve">KAMINO INSTITUICAO DE PAGAMENTO LTDA </t>
        </is>
      </c>
      <c r="E2799" t="n">
        <v>700</v>
      </c>
      <c r="F2799" s="27" t="n">
        <v>45692</v>
      </c>
      <c r="G2799" s="27" t="n">
        <v>45695</v>
      </c>
      <c r="H2799" s="27" t="n">
        <v>45695</v>
      </c>
      <c r="I2799" s="27" t="n">
        <v>45687</v>
      </c>
      <c r="J2799" s="27" t="n">
        <v>45694</v>
      </c>
      <c r="K2799" t="inlineStr">
        <is>
          <t>Boleto Bancário</t>
        </is>
      </c>
      <c r="L2799" t="inlineStr">
        <is>
          <t>Despesas Financeiras</t>
        </is>
      </c>
      <c r="M2799" t="inlineStr">
        <is>
          <t>Tarifas Bancárias</t>
        </is>
      </c>
      <c r="N2799" t="inlineStr">
        <is>
          <t>012025</t>
        </is>
      </c>
      <c r="O2799" t="inlineStr">
        <is>
          <t>Documentação Aprovada</t>
        </is>
      </c>
      <c r="P2799" t="inlineStr">
        <is>
          <t>Aprovado Diretoria</t>
        </is>
      </c>
      <c r="Q2799" t="inlineStr">
        <is>
          <t>Aprovado Caixa</t>
        </is>
      </c>
      <c r="R2799" t="inlineStr">
        <is>
          <t>Pago</t>
        </is>
      </c>
      <c r="S2799" t="n">
        <v>115</v>
      </c>
      <c r="T2799" t="inlineStr">
        <is>
          <t>Love - Shibari - Bradesco</t>
        </is>
      </c>
    </row>
    <row r="2800">
      <c r="A2800" t="n">
        <v>109659</v>
      </c>
      <c r="B2800" t="n">
        <v>128</v>
      </c>
      <c r="C2800" t="inlineStr">
        <is>
          <t>Love Cabaret</t>
        </is>
      </c>
      <c r="D2800" t="inlineStr">
        <is>
          <t>BRADESCO SA</t>
        </is>
      </c>
      <c r="E2800" t="n">
        <v>33.23</v>
      </c>
      <c r="F2800" s="27" t="n">
        <v>45695</v>
      </c>
      <c r="G2800" s="27" t="n"/>
      <c r="H2800" s="27" t="n">
        <v>45695</v>
      </c>
      <c r="I2800" s="27" t="n">
        <v>45695</v>
      </c>
      <c r="J2800" s="27" t="n">
        <v>45699</v>
      </c>
      <c r="K2800" t="inlineStr">
        <is>
          <t>Encontro de Contas</t>
        </is>
      </c>
      <c r="L2800" t="inlineStr">
        <is>
          <t>Despesas Financeiras</t>
        </is>
      </c>
      <c r="M2800" t="inlineStr">
        <is>
          <t>Tarifas Bancárias</t>
        </is>
      </c>
      <c r="N2800" t="inlineStr">
        <is>
          <t>022025</t>
        </is>
      </c>
      <c r="P2800" t="inlineStr">
        <is>
          <t>Aprovado Diretoria</t>
        </is>
      </c>
      <c r="R2800" t="inlineStr">
        <is>
          <t>Pago</t>
        </is>
      </c>
    </row>
    <row r="2801">
      <c r="A2801" t="n">
        <v>96996</v>
      </c>
      <c r="B2801" t="n">
        <v>128</v>
      </c>
      <c r="C2801" t="inlineStr">
        <is>
          <t>Love Cabaret</t>
        </is>
      </c>
      <c r="D2801" t="inlineStr">
        <is>
          <t>ESHOWS PROMOCOES ARTISTICAS LTDA</t>
        </is>
      </c>
      <c r="E2801" t="n">
        <v>23430</v>
      </c>
      <c r="F2801" s="27" t="n">
        <v>45705</v>
      </c>
      <c r="G2801" s="27" t="n">
        <v>45698</v>
      </c>
      <c r="H2801" s="27" t="n">
        <v>45695</v>
      </c>
      <c r="I2801" s="27" t="n">
        <v>45673</v>
      </c>
      <c r="J2801" s="27" t="n"/>
      <c r="K2801" t="inlineStr">
        <is>
          <t>Boleto Bancário</t>
        </is>
      </c>
      <c r="L2801" t="inlineStr">
        <is>
          <t>Custos Artístico Geral</t>
        </is>
      </c>
      <c r="M2801" t="inlineStr">
        <is>
          <t>Cachê de Músicos e Artistas</t>
        </is>
      </c>
      <c r="N2801" t="inlineStr">
        <is>
          <t>515189643</t>
        </is>
      </c>
      <c r="O2801" t="inlineStr">
        <is>
          <t>Documentação Aprovada</t>
        </is>
      </c>
      <c r="P2801" t="inlineStr">
        <is>
          <t>Aprovado Diretoria</t>
        </is>
      </c>
      <c r="Q2801" t="inlineStr">
        <is>
          <t>Aprovado Caixa</t>
        </is>
      </c>
      <c r="R2801" t="inlineStr">
        <is>
          <t>Pago</t>
        </is>
      </c>
      <c r="S2801" t="n">
        <v>115</v>
      </c>
      <c r="T2801" t="inlineStr">
        <is>
          <t>Love - Shibari - Bradesco</t>
        </is>
      </c>
    </row>
    <row r="2802">
      <c r="A2802" t="n">
        <v>109319</v>
      </c>
      <c r="B2802" t="n">
        <v>128</v>
      </c>
      <c r="C2802" t="inlineStr">
        <is>
          <t>Love Cabaret</t>
        </is>
      </c>
      <c r="D2802" t="inlineStr">
        <is>
          <t>BRADESCO SA</t>
        </is>
      </c>
      <c r="E2802" t="n">
        <v>9</v>
      </c>
      <c r="F2802" s="27" t="n">
        <v>45694</v>
      </c>
      <c r="G2802" s="27" t="n"/>
      <c r="H2802" s="27" t="n">
        <v>45694</v>
      </c>
      <c r="I2802" s="27" t="n">
        <v>45694</v>
      </c>
      <c r="J2802" s="27" t="n">
        <v>45695</v>
      </c>
      <c r="K2802" t="inlineStr">
        <is>
          <t>Encontro de Contas</t>
        </is>
      </c>
      <c r="L2802" t="inlineStr">
        <is>
          <t>Despesas Financeiras</t>
        </is>
      </c>
      <c r="M2802" t="inlineStr">
        <is>
          <t>Tarifas Bancárias</t>
        </is>
      </c>
      <c r="N2802" t="inlineStr">
        <is>
          <t>022025</t>
        </is>
      </c>
      <c r="P2802" t="inlineStr">
        <is>
          <t>Aprovado Diretoria</t>
        </is>
      </c>
      <c r="R2802" t="inlineStr">
        <is>
          <t>Pago</t>
        </is>
      </c>
    </row>
    <row r="2803">
      <c r="A2803" t="n">
        <v>101848</v>
      </c>
      <c r="B2803" t="n">
        <v>128</v>
      </c>
      <c r="C2803" t="inlineStr">
        <is>
          <t>Love Cabaret</t>
        </is>
      </c>
      <c r="D2803" t="inlineStr">
        <is>
          <t>WINES4U COMÉRCIO, IMPORTAÇÃO E EXPORTAÇÃO DE VINHOS LTDA</t>
        </is>
      </c>
      <c r="E2803" t="n">
        <v>2047.5</v>
      </c>
      <c r="F2803" s="27" t="n">
        <v>45694</v>
      </c>
      <c r="G2803" s="27" t="n">
        <v>45693</v>
      </c>
      <c r="H2803" s="27" t="n">
        <v>45694</v>
      </c>
      <c r="I2803" s="27" t="n">
        <v>45664</v>
      </c>
      <c r="J2803" s="27" t="n">
        <v>45670</v>
      </c>
      <c r="K2803" t="inlineStr">
        <is>
          <t>Transferência Bancária ou Pix</t>
        </is>
      </c>
      <c r="L2803" t="inlineStr">
        <is>
          <t>Custo Mercadoria Vendida</t>
        </is>
      </c>
      <c r="M2803" t="inlineStr">
        <is>
          <t>Insumos - Bebidas</t>
        </is>
      </c>
      <c r="N2803" t="inlineStr">
        <is>
          <t>13032</t>
        </is>
      </c>
      <c r="O2803" t="inlineStr">
        <is>
          <t>Documentação Aprovada</t>
        </is>
      </c>
      <c r="P2803" t="inlineStr">
        <is>
          <t>Aprovado Diretoria</t>
        </is>
      </c>
      <c r="Q2803" t="inlineStr">
        <is>
          <t>Aprovado Caixa</t>
        </is>
      </c>
      <c r="R2803" t="inlineStr">
        <is>
          <t>Pago</t>
        </is>
      </c>
      <c r="S2803" t="n">
        <v>115</v>
      </c>
      <c r="T2803" t="inlineStr">
        <is>
          <t>Love - Shibari - Bradesco</t>
        </is>
      </c>
    </row>
    <row r="2804">
      <c r="A2804" t="n">
        <v>102018</v>
      </c>
      <c r="B2804" t="n">
        <v>128</v>
      </c>
      <c r="C2804" t="inlineStr">
        <is>
          <t>Love Cabaret</t>
        </is>
      </c>
      <c r="D2804" t="inlineStr">
        <is>
          <t xml:space="preserve">EMPORIO MEL </t>
        </is>
      </c>
      <c r="E2804" t="n">
        <v>369.8</v>
      </c>
      <c r="F2804" s="27" t="n">
        <v>45694</v>
      </c>
      <c r="G2804" s="27" t="n">
        <v>45693</v>
      </c>
      <c r="H2804" s="27" t="n">
        <v>45693</v>
      </c>
      <c r="I2804" s="27" t="n">
        <v>45665</v>
      </c>
      <c r="J2804" s="27" t="n">
        <v>45670</v>
      </c>
      <c r="K2804" t="inlineStr">
        <is>
          <t>Boleto Bancário</t>
        </is>
      </c>
      <c r="L2804" t="inlineStr">
        <is>
          <t>Custo Mercadoria Vendida</t>
        </is>
      </c>
      <c r="M2804" t="inlineStr">
        <is>
          <t>Insumos - Alimentos</t>
        </is>
      </c>
      <c r="N2804" t="inlineStr">
        <is>
          <t>436092</t>
        </is>
      </c>
      <c r="O2804" t="inlineStr">
        <is>
          <t>Documentação Aprovada</t>
        </is>
      </c>
      <c r="P2804" t="inlineStr">
        <is>
          <t>Aprovado Diretoria</t>
        </is>
      </c>
      <c r="Q2804" t="inlineStr">
        <is>
          <t>Aprovado Caixa</t>
        </is>
      </c>
      <c r="R2804" t="inlineStr">
        <is>
          <t>Pago</t>
        </is>
      </c>
      <c r="S2804" t="n">
        <v>115</v>
      </c>
      <c r="T2804" t="inlineStr">
        <is>
          <t>Love - Shibari - Bradesco</t>
        </is>
      </c>
    </row>
    <row r="2805">
      <c r="A2805" t="n">
        <v>101941</v>
      </c>
      <c r="B2805" t="n">
        <v>128</v>
      </c>
      <c r="C2805" t="inlineStr">
        <is>
          <t>Love Cabaret</t>
        </is>
      </c>
      <c r="D2805" t="inlineStr">
        <is>
          <t>HORTICLEAN DISTRIBUIDORA DE HORTIFRUTI LTDA</t>
        </is>
      </c>
      <c r="E2805" t="n">
        <v>646.6</v>
      </c>
      <c r="F2805" s="27" t="n">
        <v>45695</v>
      </c>
      <c r="G2805" s="27" t="n">
        <v>45693</v>
      </c>
      <c r="H2805" s="27" t="n">
        <v>45693</v>
      </c>
      <c r="I2805" s="27" t="n">
        <v>45666</v>
      </c>
      <c r="J2805" s="27" t="n">
        <v>45670</v>
      </c>
      <c r="K2805" t="inlineStr">
        <is>
          <t>Boleto Bancário</t>
        </is>
      </c>
      <c r="L2805" t="inlineStr">
        <is>
          <t>Custo Mercadoria Vendida</t>
        </is>
      </c>
      <c r="M2805" t="inlineStr">
        <is>
          <t>Insumos - Alimentos</t>
        </is>
      </c>
      <c r="N2805" t="inlineStr">
        <is>
          <t>25576</t>
        </is>
      </c>
      <c r="O2805" t="inlineStr">
        <is>
          <t>Documentação Aprovada</t>
        </is>
      </c>
      <c r="P2805" t="inlineStr">
        <is>
          <t>Aprovado Diretoria</t>
        </is>
      </c>
      <c r="Q2805" t="inlineStr">
        <is>
          <t>Aprovado Caixa</t>
        </is>
      </c>
      <c r="R2805" t="inlineStr">
        <is>
          <t>Pago</t>
        </is>
      </c>
      <c r="S2805" t="n">
        <v>115</v>
      </c>
      <c r="T2805" t="inlineStr">
        <is>
          <t>Love - Shibari - Bradesco</t>
        </is>
      </c>
    </row>
    <row r="2806">
      <c r="A2806" t="n">
        <v>101850</v>
      </c>
      <c r="B2806" t="n">
        <v>128</v>
      </c>
      <c r="C2806" t="inlineStr">
        <is>
          <t>Love Cabaret</t>
        </is>
      </c>
      <c r="D2806" t="inlineStr">
        <is>
          <t xml:space="preserve">EMPORIO MEL </t>
        </is>
      </c>
      <c r="E2806" t="n">
        <v>576.39</v>
      </c>
      <c r="F2806" s="27" t="n">
        <v>45694</v>
      </c>
      <c r="G2806" s="27" t="n">
        <v>45693</v>
      </c>
      <c r="H2806" s="27" t="n">
        <v>45693</v>
      </c>
      <c r="I2806" s="27" t="n">
        <v>45664</v>
      </c>
      <c r="J2806" s="27" t="n">
        <v>45670</v>
      </c>
      <c r="K2806" t="inlineStr">
        <is>
          <t>Boleto Bancário</t>
        </is>
      </c>
      <c r="L2806" t="inlineStr">
        <is>
          <t>Custo Mercadoria Vendida</t>
        </is>
      </c>
      <c r="M2806" t="inlineStr">
        <is>
          <t>Insumos - Alimentos</t>
        </is>
      </c>
      <c r="N2806" t="inlineStr">
        <is>
          <t>435937</t>
        </is>
      </c>
      <c r="O2806" t="inlineStr">
        <is>
          <t>Documentação Aprovada</t>
        </is>
      </c>
      <c r="P2806" t="inlineStr">
        <is>
          <t>Aprovado Diretoria</t>
        </is>
      </c>
      <c r="Q2806" t="inlineStr">
        <is>
          <t>Aprovado Caixa</t>
        </is>
      </c>
      <c r="R2806" t="inlineStr">
        <is>
          <t>Pago</t>
        </is>
      </c>
      <c r="S2806" t="n">
        <v>115</v>
      </c>
      <c r="T2806" t="inlineStr">
        <is>
          <t>Love - Shibari - Bradesco</t>
        </is>
      </c>
    </row>
    <row r="2807">
      <c r="A2807" t="n">
        <v>102940</v>
      </c>
      <c r="B2807" t="n">
        <v>128</v>
      </c>
      <c r="C2807" t="inlineStr">
        <is>
          <t>Love Cabaret</t>
        </is>
      </c>
      <c r="D2807" t="inlineStr">
        <is>
          <t>SAFE BRAND COMERCIAL- IMPORTACAO- EXPORTACAO E SERVICOS LTDA</t>
        </is>
      </c>
      <c r="E2807" t="n">
        <v>2019.9</v>
      </c>
      <c r="F2807" s="27" t="n">
        <v>45697</v>
      </c>
      <c r="G2807" s="27" t="n">
        <v>45693</v>
      </c>
      <c r="H2807" s="27" t="n">
        <v>45693</v>
      </c>
      <c r="I2807" s="27" t="n">
        <v>45689</v>
      </c>
      <c r="J2807" s="27" t="n"/>
      <c r="K2807" t="inlineStr">
        <is>
          <t>Boleto Bancário</t>
        </is>
      </c>
      <c r="L2807" t="inlineStr">
        <is>
          <t>Locação de Equipamentos</t>
        </is>
      </c>
      <c r="M2807" t="inlineStr">
        <is>
          <t>Locações de Equipamentos - Operacionais</t>
        </is>
      </c>
      <c r="N2807" t="inlineStr">
        <is>
          <t xml:space="preserve">103240225 </t>
        </is>
      </c>
      <c r="O2807" t="inlineStr">
        <is>
          <t>Documentação Aprovada</t>
        </is>
      </c>
      <c r="P2807" t="inlineStr">
        <is>
          <t>Aprovado Diretoria</t>
        </is>
      </c>
      <c r="Q2807" t="inlineStr">
        <is>
          <t>Aprovado Caixa</t>
        </is>
      </c>
      <c r="R2807" t="inlineStr">
        <is>
          <t>Pago</t>
        </is>
      </c>
      <c r="S2807" t="n">
        <v>115</v>
      </c>
      <c r="T2807" t="inlineStr">
        <is>
          <t>Love - Shibari - Bradesco</t>
        </is>
      </c>
    </row>
    <row r="2808">
      <c r="A2808" t="n">
        <v>103041</v>
      </c>
      <c r="B2808" t="n">
        <v>128</v>
      </c>
      <c r="C2808" t="inlineStr">
        <is>
          <t>Love Cabaret</t>
        </is>
      </c>
      <c r="D2808" t="inlineStr">
        <is>
          <t>VERISURE BRASIL MONITORAMENTO DE ALARMES S.A</t>
        </is>
      </c>
      <c r="E2808" t="n">
        <v>263.78</v>
      </c>
      <c r="F2808" s="27" t="n">
        <v>45693</v>
      </c>
      <c r="G2808" s="27" t="n">
        <v>45693</v>
      </c>
      <c r="H2808" s="27" t="n">
        <v>45693</v>
      </c>
      <c r="I2808" s="27" t="n">
        <v>45672</v>
      </c>
      <c r="J2808" s="27" t="n"/>
      <c r="K2808" t="inlineStr">
        <is>
          <t xml:space="preserve">Debito Automático </t>
        </is>
      </c>
      <c r="L2808" t="inlineStr">
        <is>
          <t>Informática e TI</t>
        </is>
      </c>
      <c r="M2808" t="inlineStr">
        <is>
          <t>Sistemas de Segurança e Alarme</t>
        </is>
      </c>
      <c r="N2808" t="inlineStr">
        <is>
          <t>RP005-2025</t>
        </is>
      </c>
      <c r="O2808" t="inlineStr">
        <is>
          <t>Documentação Aprovada</t>
        </is>
      </c>
      <c r="P2808" t="inlineStr">
        <is>
          <t>Aprovado Diretoria</t>
        </is>
      </c>
      <c r="Q2808" t="inlineStr">
        <is>
          <t>Aprovado Caixa</t>
        </is>
      </c>
      <c r="R2808" t="inlineStr">
        <is>
          <t>Pago</t>
        </is>
      </c>
      <c r="S2808" t="n">
        <v>115</v>
      </c>
      <c r="T2808" t="inlineStr">
        <is>
          <t>Love - Shibari - Bradesco</t>
        </is>
      </c>
    </row>
    <row r="2809">
      <c r="A2809" t="n">
        <v>102958</v>
      </c>
      <c r="B2809" t="n">
        <v>128</v>
      </c>
      <c r="C2809" t="inlineStr">
        <is>
          <t>Love Cabaret</t>
        </is>
      </c>
      <c r="D2809" t="inlineStr">
        <is>
          <t>STAR COPIAS COMERCIO E SERVICOS LTDA</t>
        </is>
      </c>
      <c r="E2809" t="n">
        <v>210</v>
      </c>
      <c r="F2809" s="27" t="n">
        <v>45695</v>
      </c>
      <c r="G2809" s="27" t="n">
        <v>45693</v>
      </c>
      <c r="H2809" s="27" t="n">
        <v>45693</v>
      </c>
      <c r="I2809" s="27" t="n">
        <v>45677</v>
      </c>
      <c r="J2809" s="27" t="n"/>
      <c r="K2809" t="inlineStr">
        <is>
          <t>Boleto Bancário</t>
        </is>
      </c>
      <c r="L2809" t="inlineStr">
        <is>
          <t>Locação de Equipamentos</t>
        </is>
      </c>
      <c r="M2809" t="inlineStr">
        <is>
          <t>Locação de Equipamentos - Informatica e TI</t>
        </is>
      </c>
      <c r="N2809" t="inlineStr">
        <is>
          <t>3638</t>
        </is>
      </c>
      <c r="O2809" t="inlineStr">
        <is>
          <t>Documentação Aprovada</t>
        </is>
      </c>
      <c r="P2809" t="inlineStr">
        <is>
          <t>Aprovado Diretoria</t>
        </is>
      </c>
      <c r="Q2809" t="inlineStr">
        <is>
          <t>Aprovado Caixa</t>
        </is>
      </c>
      <c r="R2809" t="inlineStr">
        <is>
          <t>Pago</t>
        </is>
      </c>
      <c r="S2809" t="n">
        <v>115</v>
      </c>
      <c r="T2809" t="inlineStr">
        <is>
          <t>Love - Shibari - Bradesco</t>
        </is>
      </c>
    </row>
    <row r="2810">
      <c r="A2810" t="n">
        <v>107143</v>
      </c>
      <c r="B2810" t="n">
        <v>128</v>
      </c>
      <c r="C2810" t="inlineStr">
        <is>
          <t>Love Cabaret</t>
        </is>
      </c>
      <c r="D2810" t="inlineStr">
        <is>
          <t>CAROLINE FERREIRA DA SILVA</t>
        </is>
      </c>
      <c r="E2810" t="n">
        <v>1433.38</v>
      </c>
      <c r="F2810" s="27" t="n">
        <v>45694</v>
      </c>
      <c r="G2810" s="27" t="n">
        <v>45693</v>
      </c>
      <c r="H2810" s="27" t="n">
        <v>45693</v>
      </c>
      <c r="I2810" s="27" t="n">
        <v>45687</v>
      </c>
      <c r="J2810" s="27" t="n"/>
      <c r="K2810" t="inlineStr">
        <is>
          <t>Transferência Bancária ou Pix</t>
        </is>
      </c>
      <c r="L2810" t="inlineStr">
        <is>
          <t>Mão de Obra - Salários</t>
        </is>
      </c>
      <c r="M2810" t="inlineStr">
        <is>
          <t>MDO CLT - Salário</t>
        </is>
      </c>
      <c r="N2810" t="inlineStr">
        <is>
          <t>012025</t>
        </is>
      </c>
      <c r="O2810" t="inlineStr">
        <is>
          <t>Documentação Aprovada</t>
        </is>
      </c>
      <c r="P2810" t="inlineStr">
        <is>
          <t>Aprovado Diretoria</t>
        </is>
      </c>
      <c r="Q2810" t="inlineStr">
        <is>
          <t>Aprovado Caixa</t>
        </is>
      </c>
      <c r="R2810" t="inlineStr">
        <is>
          <t>Pago</t>
        </is>
      </c>
      <c r="S2810" t="n">
        <v>115</v>
      </c>
      <c r="T2810" t="inlineStr">
        <is>
          <t>Love - Shibari - Bradesco</t>
        </is>
      </c>
    </row>
    <row r="2811">
      <c r="A2811" t="n">
        <v>107144</v>
      </c>
      <c r="B2811" t="n">
        <v>128</v>
      </c>
      <c r="C2811" t="inlineStr">
        <is>
          <t>Love Cabaret</t>
        </is>
      </c>
      <c r="D2811" t="inlineStr">
        <is>
          <t>PEDRO THOMAZ RODRIGUES</t>
        </is>
      </c>
      <c r="E2811" t="n">
        <v>1353.51</v>
      </c>
      <c r="F2811" s="27" t="n">
        <v>45694</v>
      </c>
      <c r="G2811" s="27" t="n">
        <v>45693</v>
      </c>
      <c r="H2811" s="27" t="n">
        <v>45693</v>
      </c>
      <c r="I2811" s="27" t="n">
        <v>45687</v>
      </c>
      <c r="J2811" s="27" t="n"/>
      <c r="K2811" t="inlineStr">
        <is>
          <t>Transferência Bancária ou Pix</t>
        </is>
      </c>
      <c r="L2811" t="inlineStr">
        <is>
          <t>Mão de Obra - Salários</t>
        </is>
      </c>
      <c r="M2811" t="inlineStr">
        <is>
          <t>MDO CLT - Salário</t>
        </is>
      </c>
      <c r="N2811" t="inlineStr">
        <is>
          <t>012025</t>
        </is>
      </c>
      <c r="O2811" t="inlineStr">
        <is>
          <t>Documentação Aprovada</t>
        </is>
      </c>
      <c r="P2811" t="inlineStr">
        <is>
          <t>Aprovado Diretoria</t>
        </is>
      </c>
      <c r="Q2811" t="inlineStr">
        <is>
          <t>Aprovado Caixa</t>
        </is>
      </c>
      <c r="R2811" t="inlineStr">
        <is>
          <t>Pago</t>
        </is>
      </c>
      <c r="S2811" t="n">
        <v>115</v>
      </c>
      <c r="T2811" t="inlineStr">
        <is>
          <t>Love - Shibari - Bradesco</t>
        </is>
      </c>
    </row>
    <row r="2812">
      <c r="A2812" t="n">
        <v>104346</v>
      </c>
      <c r="B2812" t="n">
        <v>128</v>
      </c>
      <c r="C2812" t="inlineStr">
        <is>
          <t>Love Cabaret</t>
        </is>
      </c>
      <c r="D2812" t="inlineStr">
        <is>
          <t xml:space="preserve">ELETRO TERRIVEL LTDA </t>
        </is>
      </c>
      <c r="E2812" t="n">
        <v>1955</v>
      </c>
      <c r="F2812" s="27" t="n">
        <v>45698</v>
      </c>
      <c r="G2812" s="27" t="n">
        <v>45693</v>
      </c>
      <c r="H2812" s="27" t="n">
        <v>45693</v>
      </c>
      <c r="I2812" s="27" t="n">
        <v>45677</v>
      </c>
      <c r="J2812" s="27" t="n">
        <v>45678</v>
      </c>
      <c r="K2812" t="inlineStr">
        <is>
          <t>Transferência Bancária ou Pix</t>
        </is>
      </c>
      <c r="L2812" t="inlineStr">
        <is>
          <t>Utilidades</t>
        </is>
      </c>
      <c r="M2812" t="inlineStr">
        <is>
          <t>Utensilios</t>
        </is>
      </c>
      <c r="N2812" t="inlineStr">
        <is>
          <t>022025</t>
        </is>
      </c>
      <c r="O2812" t="inlineStr">
        <is>
          <t>Documentação Aprovada</t>
        </is>
      </c>
      <c r="P2812" t="inlineStr">
        <is>
          <t>Aprovado Diretoria</t>
        </is>
      </c>
      <c r="Q2812" t="inlineStr">
        <is>
          <t>Aprovado Caixa</t>
        </is>
      </c>
      <c r="R2812" t="inlineStr">
        <is>
          <t>Pago</t>
        </is>
      </c>
      <c r="S2812" t="n">
        <v>115</v>
      </c>
      <c r="T2812" t="inlineStr">
        <is>
          <t>Love - Shibari - Bradesco</t>
        </is>
      </c>
    </row>
    <row r="2813">
      <c r="A2813" t="n">
        <v>103892</v>
      </c>
      <c r="B2813" t="n">
        <v>128</v>
      </c>
      <c r="C2813" t="inlineStr">
        <is>
          <t>Love Cabaret</t>
        </is>
      </c>
      <c r="D2813" t="inlineStr">
        <is>
          <t>PRESHH ALUGUEL DE MAQUINAS LTDA</t>
        </is>
      </c>
      <c r="E2813" t="n">
        <v>198</v>
      </c>
      <c r="F2813" s="27" t="n">
        <v>45694</v>
      </c>
      <c r="G2813" s="27" t="n">
        <v>45693</v>
      </c>
      <c r="H2813" s="27" t="n">
        <v>45693</v>
      </c>
      <c r="I2813" s="27" t="n">
        <v>45674</v>
      </c>
      <c r="J2813" s="27" t="n">
        <v>45674</v>
      </c>
      <c r="K2813" t="inlineStr">
        <is>
          <t>Boleto Bancário</t>
        </is>
      </c>
      <c r="L2813" t="inlineStr">
        <is>
          <t>Utilidades</t>
        </is>
      </c>
      <c r="M2813" t="inlineStr">
        <is>
          <t>Material de Consumo - Gelo/ Gas CO2/ Carvao /Velas</t>
        </is>
      </c>
      <c r="N2813" t="inlineStr">
        <is>
          <t>T-24032</t>
        </is>
      </c>
      <c r="O2813" t="inlineStr">
        <is>
          <t>Documentação Aprovada</t>
        </is>
      </c>
      <c r="P2813" t="inlineStr">
        <is>
          <t>Aprovado Diretoria</t>
        </is>
      </c>
      <c r="Q2813" t="inlineStr">
        <is>
          <t>Aprovado Caixa</t>
        </is>
      </c>
      <c r="R2813" t="inlineStr">
        <is>
          <t>Pago</t>
        </is>
      </c>
      <c r="S2813" t="n">
        <v>115</v>
      </c>
      <c r="T2813" t="inlineStr">
        <is>
          <t>Love - Shibari - Bradesco</t>
        </is>
      </c>
    </row>
    <row r="2814">
      <c r="A2814" t="n">
        <v>103190</v>
      </c>
      <c r="B2814" t="n">
        <v>128</v>
      </c>
      <c r="C2814" t="inlineStr">
        <is>
          <t>Love Cabaret</t>
        </is>
      </c>
      <c r="D2814" t="inlineStr">
        <is>
          <t>PROAUTO INDUSTRIA QUIMICA EIRELI</t>
        </is>
      </c>
      <c r="E2814" t="n">
        <v>2561.29</v>
      </c>
      <c r="F2814" s="27" t="n">
        <v>45695</v>
      </c>
      <c r="G2814" s="27" t="n">
        <v>45693</v>
      </c>
      <c r="H2814" s="27" t="n">
        <v>45693</v>
      </c>
      <c r="I2814" s="27" t="n">
        <v>45667</v>
      </c>
      <c r="J2814" s="27" t="n">
        <v>45673</v>
      </c>
      <c r="K2814" t="inlineStr">
        <is>
          <t>Boleto Bancário</t>
        </is>
      </c>
      <c r="L2814" t="inlineStr">
        <is>
          <t>Utilidades</t>
        </is>
      </c>
      <c r="M2814" t="inlineStr">
        <is>
          <t>Higiene e Limpeza</t>
        </is>
      </c>
      <c r="N2814" t="inlineStr">
        <is>
          <t>132207</t>
        </is>
      </c>
      <c r="O2814" t="inlineStr">
        <is>
          <t>Documentação Aprovada</t>
        </is>
      </c>
      <c r="P2814" t="inlineStr">
        <is>
          <t>Aprovado Diretoria</t>
        </is>
      </c>
      <c r="Q2814" t="inlineStr">
        <is>
          <t>Aprovado Caixa</t>
        </is>
      </c>
      <c r="R2814" t="inlineStr">
        <is>
          <t>Pago</t>
        </is>
      </c>
      <c r="S2814" t="n">
        <v>115</v>
      </c>
      <c r="T2814" t="inlineStr">
        <is>
          <t>Love - Shibari - Bradesco</t>
        </is>
      </c>
    </row>
    <row r="2815">
      <c r="A2815" t="n">
        <v>106329</v>
      </c>
      <c r="B2815" t="n">
        <v>128</v>
      </c>
      <c r="C2815" t="inlineStr">
        <is>
          <t>Love Cabaret</t>
        </is>
      </c>
      <c r="D2815" t="inlineStr">
        <is>
          <t>CECILIA TSUYACO ARAKI SILVA LTDA</t>
        </is>
      </c>
      <c r="E2815" t="n">
        <v>201.9</v>
      </c>
      <c r="F2815" s="27" t="n">
        <v>45695</v>
      </c>
      <c r="G2815" s="27" t="n">
        <v>45693</v>
      </c>
      <c r="H2815" s="27" t="n">
        <v>45693</v>
      </c>
      <c r="I2815" s="27" t="n">
        <v>45684</v>
      </c>
      <c r="J2815" s="27" t="n">
        <v>45687</v>
      </c>
      <c r="K2815" t="inlineStr">
        <is>
          <t>Boleto Bancário</t>
        </is>
      </c>
      <c r="L2815" t="inlineStr">
        <is>
          <t>Custo Mercadoria Vendida</t>
        </is>
      </c>
      <c r="M2815" t="inlineStr">
        <is>
          <t>Insumos - Alimentos</t>
        </is>
      </c>
      <c r="N2815" t="inlineStr">
        <is>
          <t>364704</t>
        </is>
      </c>
      <c r="O2815" t="inlineStr">
        <is>
          <t>Documentação Aprovada</t>
        </is>
      </c>
      <c r="P2815" t="inlineStr">
        <is>
          <t>Aprovado Diretoria</t>
        </is>
      </c>
      <c r="Q2815" t="inlineStr">
        <is>
          <t>Aprovado Caixa</t>
        </is>
      </c>
      <c r="R2815" t="inlineStr">
        <is>
          <t>Pago</t>
        </is>
      </c>
      <c r="S2815" t="n">
        <v>115</v>
      </c>
      <c r="T2815" t="inlineStr">
        <is>
          <t>Love - Shibari - Bradesco</t>
        </is>
      </c>
    </row>
    <row r="2816">
      <c r="A2816" t="n">
        <v>106328</v>
      </c>
      <c r="B2816" t="n">
        <v>128</v>
      </c>
      <c r="C2816" t="inlineStr">
        <is>
          <t>Love Cabaret</t>
        </is>
      </c>
      <c r="D2816" t="inlineStr">
        <is>
          <t>CEPEL COMERCIO DE PAPEIS E EMBALAGENS EIRELI</t>
        </is>
      </c>
      <c r="E2816" t="n">
        <v>613.48</v>
      </c>
      <c r="F2816" s="27" t="n">
        <v>45694</v>
      </c>
      <c r="G2816" s="27" t="n">
        <v>45693</v>
      </c>
      <c r="H2816" s="27" t="n">
        <v>45693</v>
      </c>
      <c r="I2816" s="27" t="n">
        <v>45679</v>
      </c>
      <c r="J2816" s="27" t="n">
        <v>45687</v>
      </c>
      <c r="K2816" t="inlineStr">
        <is>
          <t>Boleto Bancário</t>
        </is>
      </c>
      <c r="L2816" t="inlineStr">
        <is>
          <t>Utilidades</t>
        </is>
      </c>
      <c r="M2816" t="inlineStr">
        <is>
          <t>Higiene e Limpeza</t>
        </is>
      </c>
      <c r="N2816" t="inlineStr">
        <is>
          <t>233408</t>
        </is>
      </c>
      <c r="O2816" t="inlineStr">
        <is>
          <t>Documentação Aprovada</t>
        </is>
      </c>
      <c r="P2816" t="inlineStr">
        <is>
          <t>Aprovado Diretoria</t>
        </is>
      </c>
      <c r="Q2816" t="inlineStr">
        <is>
          <t>Aprovado Caixa</t>
        </is>
      </c>
      <c r="R2816" t="inlineStr">
        <is>
          <t>Pago</t>
        </is>
      </c>
      <c r="S2816" t="n">
        <v>115</v>
      </c>
      <c r="T2816" t="inlineStr">
        <is>
          <t>Love - Shibari - Bradesco</t>
        </is>
      </c>
    </row>
    <row r="2817">
      <c r="A2817" t="n">
        <v>106332</v>
      </c>
      <c r="B2817" t="n">
        <v>128</v>
      </c>
      <c r="C2817" t="inlineStr">
        <is>
          <t>Love Cabaret</t>
        </is>
      </c>
      <c r="D2817" t="inlineStr">
        <is>
          <t>ICE4PROS FABRICA DE GELO LTDA</t>
        </is>
      </c>
      <c r="E2817" t="n">
        <v>589</v>
      </c>
      <c r="F2817" s="27" t="n">
        <v>45694</v>
      </c>
      <c r="G2817" s="27" t="n">
        <v>45693</v>
      </c>
      <c r="H2817" s="27" t="n">
        <v>45693</v>
      </c>
      <c r="I2817" s="27" t="n">
        <v>45684</v>
      </c>
      <c r="J2817" s="27" t="n">
        <v>45687</v>
      </c>
      <c r="K2817" t="inlineStr">
        <is>
          <t>Boleto Bancário</t>
        </is>
      </c>
      <c r="L2817" t="inlineStr">
        <is>
          <t>Custo Mercadoria Vendida</t>
        </is>
      </c>
      <c r="M2817" t="inlineStr">
        <is>
          <t>Insumos - Bebidas</t>
        </is>
      </c>
      <c r="N2817" t="inlineStr">
        <is>
          <t>73473</t>
        </is>
      </c>
      <c r="O2817" t="inlineStr">
        <is>
          <t>Documentação Aprovada</t>
        </is>
      </c>
      <c r="P2817" t="inlineStr">
        <is>
          <t>Aprovado Diretoria</t>
        </is>
      </c>
      <c r="Q2817" t="inlineStr">
        <is>
          <t>Aprovado Caixa</t>
        </is>
      </c>
      <c r="R2817" t="inlineStr">
        <is>
          <t>Pago</t>
        </is>
      </c>
      <c r="S2817" t="n">
        <v>115</v>
      </c>
      <c r="T2817" t="inlineStr">
        <is>
          <t>Love - Shibari - Bradesco</t>
        </is>
      </c>
    </row>
    <row r="2818">
      <c r="A2818" t="n">
        <v>106331</v>
      </c>
      <c r="B2818" t="n">
        <v>128</v>
      </c>
      <c r="C2818" t="inlineStr">
        <is>
          <t>Love Cabaret</t>
        </is>
      </c>
      <c r="D2818" t="inlineStr">
        <is>
          <t>GOMES D ELIA EQUIP. HIGIENE LTDA - WESCO</t>
        </is>
      </c>
      <c r="E2818" t="n">
        <v>374.5</v>
      </c>
      <c r="F2818" s="27" t="n">
        <v>45696</v>
      </c>
      <c r="G2818" s="27" t="n">
        <v>45693</v>
      </c>
      <c r="H2818" s="27" t="n">
        <v>45693</v>
      </c>
      <c r="I2818" s="27" t="n">
        <v>45681</v>
      </c>
      <c r="J2818" s="27" t="n">
        <v>45687</v>
      </c>
      <c r="K2818" t="inlineStr">
        <is>
          <t>Boleto Bancário</t>
        </is>
      </c>
      <c r="L2818" t="inlineStr">
        <is>
          <t>Utilidades</t>
        </is>
      </c>
      <c r="M2818" t="inlineStr">
        <is>
          <t>Higiene e Limpeza</t>
        </is>
      </c>
      <c r="N2818" t="inlineStr">
        <is>
          <t>215421</t>
        </is>
      </c>
      <c r="O2818" t="inlineStr">
        <is>
          <t>Documentação Aprovada</t>
        </is>
      </c>
      <c r="P2818" t="inlineStr">
        <is>
          <t>Aprovado Diretoria</t>
        </is>
      </c>
      <c r="Q2818" t="inlineStr">
        <is>
          <t>Aprovado Caixa</t>
        </is>
      </c>
      <c r="R2818" t="inlineStr">
        <is>
          <t>Pago</t>
        </is>
      </c>
      <c r="S2818" t="n">
        <v>115</v>
      </c>
      <c r="T2818" t="inlineStr">
        <is>
          <t>Love - Shibari - Bradesco</t>
        </is>
      </c>
    </row>
    <row r="2819">
      <c r="A2819" t="n">
        <v>106330</v>
      </c>
      <c r="B2819" t="n">
        <v>128</v>
      </c>
      <c r="C2819" t="inlineStr">
        <is>
          <t>Love Cabaret</t>
        </is>
      </c>
      <c r="D2819" t="inlineStr">
        <is>
          <t>CECILIA TSUYACO ARAKI SILVA LTDA</t>
        </is>
      </c>
      <c r="E2819" t="n">
        <v>125</v>
      </c>
      <c r="F2819" s="27" t="n">
        <v>45694</v>
      </c>
      <c r="G2819" s="27" t="n">
        <v>45693</v>
      </c>
      <c r="H2819" s="27" t="n">
        <v>45693</v>
      </c>
      <c r="I2819" s="27" t="n">
        <v>45680</v>
      </c>
      <c r="J2819" s="27" t="n">
        <v>45687</v>
      </c>
      <c r="K2819" t="inlineStr">
        <is>
          <t>Boleto Bancário</t>
        </is>
      </c>
      <c r="L2819" t="inlineStr">
        <is>
          <t>Custo Mercadoria Vendida</t>
        </is>
      </c>
      <c r="M2819" t="inlineStr">
        <is>
          <t>Insumos - Alimentos</t>
        </is>
      </c>
      <c r="N2819" t="inlineStr">
        <is>
          <t>364567</t>
        </is>
      </c>
      <c r="O2819" t="inlineStr">
        <is>
          <t>Documentação Aprovada</t>
        </is>
      </c>
      <c r="P2819" t="inlineStr">
        <is>
          <t>Aprovado Diretoria</t>
        </is>
      </c>
      <c r="Q2819" t="inlineStr">
        <is>
          <t>Aprovado Caixa</t>
        </is>
      </c>
      <c r="R2819" t="inlineStr">
        <is>
          <t>Pago</t>
        </is>
      </c>
      <c r="S2819" t="n">
        <v>115</v>
      </c>
      <c r="T2819" t="inlineStr">
        <is>
          <t>Love - Shibari - Bradesco</t>
        </is>
      </c>
    </row>
    <row r="2820">
      <c r="A2820" t="n">
        <v>105113</v>
      </c>
      <c r="B2820" t="n">
        <v>128</v>
      </c>
      <c r="C2820" t="inlineStr">
        <is>
          <t>Love Cabaret</t>
        </is>
      </c>
      <c r="D2820" t="inlineStr">
        <is>
          <t>MURILLO S DUARTE COMERCIAL LTDA</t>
        </is>
      </c>
      <c r="E2820" t="n">
        <v>452.8</v>
      </c>
      <c r="F2820" s="27" t="n">
        <v>45695</v>
      </c>
      <c r="G2820" s="27" t="n">
        <v>45693</v>
      </c>
      <c r="H2820" s="27" t="n">
        <v>45693</v>
      </c>
      <c r="I2820" s="27" t="n">
        <v>45672</v>
      </c>
      <c r="J2820" s="27" t="n">
        <v>45680</v>
      </c>
      <c r="K2820" t="inlineStr">
        <is>
          <t>Boleto Bancário</t>
        </is>
      </c>
      <c r="L2820" t="inlineStr">
        <is>
          <t>Utilidades</t>
        </is>
      </c>
      <c r="M2820" t="inlineStr">
        <is>
          <t>Higiene e Limpeza</t>
        </is>
      </c>
      <c r="N2820" t="inlineStr">
        <is>
          <t>1688</t>
        </is>
      </c>
      <c r="O2820" t="inlineStr">
        <is>
          <t>Documentação Aprovada</t>
        </is>
      </c>
      <c r="P2820" t="inlineStr">
        <is>
          <t>Aprovado Diretoria</t>
        </is>
      </c>
      <c r="Q2820" t="inlineStr">
        <is>
          <t>Aprovado Caixa</t>
        </is>
      </c>
      <c r="R2820" t="inlineStr">
        <is>
          <t>Pago</t>
        </is>
      </c>
      <c r="S2820" t="n">
        <v>115</v>
      </c>
      <c r="T2820" t="inlineStr">
        <is>
          <t>Love - Shibari - Bradesco</t>
        </is>
      </c>
    </row>
    <row r="2821">
      <c r="A2821" t="n">
        <v>105315</v>
      </c>
      <c r="B2821" t="n">
        <v>128</v>
      </c>
      <c r="C2821" t="inlineStr">
        <is>
          <t>Love Cabaret</t>
        </is>
      </c>
      <c r="D2821" t="inlineStr">
        <is>
          <t>PSSS LTDA</t>
        </is>
      </c>
      <c r="E2821" t="n">
        <v>1036.82</v>
      </c>
      <c r="F2821" s="27" t="n">
        <v>45694</v>
      </c>
      <c r="G2821" s="27" t="n">
        <v>45693</v>
      </c>
      <c r="H2821" s="27" t="n">
        <v>45693</v>
      </c>
      <c r="I2821" s="27" t="n">
        <v>45680</v>
      </c>
      <c r="J2821" s="27" t="n">
        <v>45681</v>
      </c>
      <c r="K2821" t="inlineStr">
        <is>
          <t>Boleto Bancário</t>
        </is>
      </c>
      <c r="L2821" t="inlineStr">
        <is>
          <t>Utilidades</t>
        </is>
      </c>
      <c r="M2821" t="inlineStr">
        <is>
          <t>Higiene e Limpeza</t>
        </is>
      </c>
      <c r="N2821" t="inlineStr">
        <is>
          <t>1020</t>
        </is>
      </c>
      <c r="O2821" t="inlineStr">
        <is>
          <t>Documentação Aprovada</t>
        </is>
      </c>
      <c r="P2821" t="inlineStr">
        <is>
          <t>Aprovado Diretoria</t>
        </is>
      </c>
      <c r="Q2821" t="inlineStr">
        <is>
          <t>Aprovado Caixa</t>
        </is>
      </c>
      <c r="R2821" t="inlineStr">
        <is>
          <t>Pago</t>
        </is>
      </c>
      <c r="S2821" t="n">
        <v>115</v>
      </c>
      <c r="T2821" t="inlineStr">
        <is>
          <t>Love - Shibari - Bradesco</t>
        </is>
      </c>
    </row>
    <row r="2822">
      <c r="A2822" t="n">
        <v>105211</v>
      </c>
      <c r="B2822" t="n">
        <v>128</v>
      </c>
      <c r="C2822" t="inlineStr">
        <is>
          <t>Love Cabaret</t>
        </is>
      </c>
      <c r="D2822" t="inlineStr">
        <is>
          <t>STUDIO METROPOLE LTDA - ME</t>
        </is>
      </c>
      <c r="E2822" t="n">
        <v>4120.32</v>
      </c>
      <c r="F2822" s="27" t="n">
        <v>45695</v>
      </c>
      <c r="G2822" s="27" t="n">
        <v>45693</v>
      </c>
      <c r="H2822" s="27" t="n">
        <v>45693</v>
      </c>
      <c r="I2822" s="27" t="n">
        <v>45680</v>
      </c>
      <c r="J2822" s="27" t="n">
        <v>45681</v>
      </c>
      <c r="K2822" t="inlineStr">
        <is>
          <t>Transferência Bancária ou Pix</t>
        </is>
      </c>
      <c r="L2822" t="inlineStr">
        <is>
          <t>Custos Artístico Geral</t>
        </is>
      </c>
      <c r="M2822" t="inlineStr">
        <is>
          <t>Cachê de Músicos e Artistas</t>
        </is>
      </c>
      <c r="N2822" t="inlineStr">
        <is>
          <t>1282</t>
        </is>
      </c>
      <c r="O2822" t="inlineStr">
        <is>
          <t>Documentação Aprovada</t>
        </is>
      </c>
      <c r="P2822" t="inlineStr">
        <is>
          <t>Aprovado Diretoria</t>
        </is>
      </c>
      <c r="Q2822" t="inlineStr">
        <is>
          <t>Aprovado Caixa</t>
        </is>
      </c>
      <c r="R2822" t="inlineStr">
        <is>
          <t>Pago</t>
        </is>
      </c>
      <c r="S2822" t="n">
        <v>115</v>
      </c>
      <c r="T2822" t="inlineStr">
        <is>
          <t>Love - Shibari - Bradesco</t>
        </is>
      </c>
    </row>
    <row r="2823">
      <c r="A2823" t="n">
        <v>97086</v>
      </c>
      <c r="B2823" t="n">
        <v>128</v>
      </c>
      <c r="C2823" t="inlineStr">
        <is>
          <t>Love Cabaret</t>
        </is>
      </c>
      <c r="D2823" t="inlineStr">
        <is>
          <t>ESTAFF SOLUCOES TECNOLOGICAS DE AGENCIAMENTO LTDA</t>
        </is>
      </c>
      <c r="E2823" t="n">
        <v>3557</v>
      </c>
      <c r="F2823" s="27" t="n">
        <v>45693</v>
      </c>
      <c r="G2823" s="27" t="n">
        <v>45693</v>
      </c>
      <c r="H2823" s="27" t="n">
        <v>45693</v>
      </c>
      <c r="I2823" s="27" t="n">
        <v>45684</v>
      </c>
      <c r="J2823" s="27" t="n"/>
      <c r="K2823" t="inlineStr">
        <is>
          <t>Boleto Bancário</t>
        </is>
      </c>
      <c r="L2823" t="inlineStr">
        <is>
          <t>Mão de Obra - Extra</t>
        </is>
      </c>
      <c r="M2823" t="inlineStr">
        <is>
          <t>Mão de Obra Extra</t>
        </is>
      </c>
      <c r="N2823" t="inlineStr">
        <is>
          <t>513564547</t>
        </is>
      </c>
      <c r="O2823" t="inlineStr">
        <is>
          <t>Documentação Aprovada</t>
        </is>
      </c>
      <c r="P2823" t="inlineStr">
        <is>
          <t>Aprovado Diretoria</t>
        </is>
      </c>
      <c r="Q2823" t="inlineStr">
        <is>
          <t>Aprovado Caixa</t>
        </is>
      </c>
      <c r="R2823" t="inlineStr">
        <is>
          <t>Pago</t>
        </is>
      </c>
      <c r="S2823" t="n">
        <v>115</v>
      </c>
      <c r="T2823" t="inlineStr">
        <is>
          <t>Love - Shibari - Bradesco</t>
        </is>
      </c>
    </row>
    <row r="2824">
      <c r="A2824" t="n">
        <v>97198</v>
      </c>
      <c r="B2824" t="n">
        <v>128</v>
      </c>
      <c r="C2824" t="inlineStr">
        <is>
          <t>Love Cabaret</t>
        </is>
      </c>
      <c r="D2824" t="inlineStr">
        <is>
          <t>ESTAFF SOLUCOES TECNOLOGICAS DE AGENCIAMENTO LTDA</t>
        </is>
      </c>
      <c r="E2824" t="n">
        <v>8587</v>
      </c>
      <c r="F2824" s="27" t="n">
        <v>45693</v>
      </c>
      <c r="G2824" s="27" t="n">
        <v>45693</v>
      </c>
      <c r="H2824" s="27" t="n">
        <v>45693</v>
      </c>
      <c r="I2824" s="27" t="n">
        <v>45689</v>
      </c>
      <c r="J2824" s="27" t="n"/>
      <c r="K2824" t="inlineStr">
        <is>
          <t>Boleto Bancário</t>
        </is>
      </c>
      <c r="L2824" t="inlineStr">
        <is>
          <t>Mão de Obra - Extra</t>
        </is>
      </c>
      <c r="M2824" t="inlineStr">
        <is>
          <t>Mão de Obra Extra</t>
        </is>
      </c>
      <c r="N2824" t="inlineStr">
        <is>
          <t>513564547</t>
        </is>
      </c>
      <c r="O2824" t="inlineStr">
        <is>
          <t>Documentação Aprovada</t>
        </is>
      </c>
      <c r="P2824" t="inlineStr">
        <is>
          <t>Aprovado Diretoria</t>
        </is>
      </c>
      <c r="Q2824" t="inlineStr">
        <is>
          <t>Aprovado Caixa</t>
        </is>
      </c>
      <c r="R2824" t="inlineStr">
        <is>
          <t>Pago</t>
        </is>
      </c>
      <c r="S2824" t="n">
        <v>115</v>
      </c>
      <c r="T2824" t="inlineStr">
        <is>
          <t>Love - Shibari - Bradesco</t>
        </is>
      </c>
    </row>
    <row r="2825">
      <c r="A2825" t="n">
        <v>96818</v>
      </c>
      <c r="B2825" t="n">
        <v>128</v>
      </c>
      <c r="C2825" t="inlineStr">
        <is>
          <t>Love Cabaret</t>
        </is>
      </c>
      <c r="D2825" t="inlineStr">
        <is>
          <t xml:space="preserve">ANA CLAUDIA DA COSTA PINTO </t>
        </is>
      </c>
      <c r="E2825" t="n">
        <v>445</v>
      </c>
      <c r="F2825" s="27" t="n">
        <v>45697</v>
      </c>
      <c r="G2825" s="27" t="n">
        <v>45693</v>
      </c>
      <c r="H2825" s="27" t="n">
        <v>45693</v>
      </c>
      <c r="I2825" s="27" t="n">
        <v>45677</v>
      </c>
      <c r="J2825" s="27" t="n"/>
      <c r="K2825" t="inlineStr">
        <is>
          <t>Transferência Bancária ou Pix</t>
        </is>
      </c>
      <c r="L2825" t="inlineStr">
        <is>
          <t>Manutenção</t>
        </is>
      </c>
      <c r="M2825" t="inlineStr">
        <is>
          <t>Decoração/Paisagismo e Jardinagem</t>
        </is>
      </c>
      <c r="N2825" t="inlineStr">
        <is>
          <t>2263</t>
        </is>
      </c>
      <c r="O2825" t="inlineStr">
        <is>
          <t>Documentação Aprovada</t>
        </is>
      </c>
      <c r="P2825" t="inlineStr">
        <is>
          <t>Aprovado Diretoria</t>
        </is>
      </c>
      <c r="Q2825" t="inlineStr">
        <is>
          <t>Aprovado Caixa</t>
        </is>
      </c>
      <c r="R2825" t="inlineStr">
        <is>
          <t>Pago</t>
        </is>
      </c>
      <c r="S2825" t="n">
        <v>115</v>
      </c>
      <c r="T2825" t="inlineStr">
        <is>
          <t>Love - Shibari - Bradesco</t>
        </is>
      </c>
    </row>
    <row r="2826">
      <c r="A2826" t="n">
        <v>54336</v>
      </c>
      <c r="B2826" t="n">
        <v>128</v>
      </c>
      <c r="C2826" t="inlineStr">
        <is>
          <t>Love Cabaret</t>
        </is>
      </c>
      <c r="D2826" t="inlineStr">
        <is>
          <t>ARCOS BAR E RESTAURANTE LTDA</t>
        </is>
      </c>
      <c r="E2826" t="n">
        <v>286617.74</v>
      </c>
      <c r="F2826" s="27" t="n">
        <v>45442</v>
      </c>
      <c r="G2826" s="27" t="n">
        <v>45693</v>
      </c>
      <c r="H2826" s="27" t="n">
        <v>45693</v>
      </c>
      <c r="I2826" s="27" t="n">
        <v>45107</v>
      </c>
      <c r="J2826" s="27" t="n">
        <v>45428</v>
      </c>
      <c r="K2826" t="inlineStr">
        <is>
          <t>Transferência Bancária ou Pix</t>
        </is>
      </c>
      <c r="L2826" t="inlineStr">
        <is>
          <t>Endividamento</t>
        </is>
      </c>
      <c r="M2826" t="inlineStr">
        <is>
          <t>Empréstimos Gerais</t>
        </is>
      </c>
      <c r="N2826" t="inlineStr">
        <is>
          <t>062023</t>
        </is>
      </c>
      <c r="O2826" t="inlineStr">
        <is>
          <t>Documentação Aprovada</t>
        </is>
      </c>
      <c r="P2826" t="inlineStr">
        <is>
          <t>Aprovado Diretoria</t>
        </is>
      </c>
      <c r="Q2826" t="inlineStr">
        <is>
          <t>Aprovado Caixa</t>
        </is>
      </c>
      <c r="R2826" t="inlineStr">
        <is>
          <t>Pago</t>
        </is>
      </c>
      <c r="S2826" t="n">
        <v>115</v>
      </c>
      <c r="T2826" t="inlineStr">
        <is>
          <t>Love - Shibari - Bradesco</t>
        </is>
      </c>
    </row>
    <row r="2827">
      <c r="A2827" t="n">
        <v>96855</v>
      </c>
      <c r="B2827" t="n">
        <v>128</v>
      </c>
      <c r="C2827" t="inlineStr">
        <is>
          <t>Love Cabaret</t>
        </is>
      </c>
      <c r="D2827" t="inlineStr">
        <is>
          <t>AGENCIA BIOMA PUBLICIDADE E EVENTOS LTDA - FACUNDO</t>
        </is>
      </c>
      <c r="E2827" t="n">
        <v>7000</v>
      </c>
      <c r="F2827" s="27" t="n">
        <v>45693</v>
      </c>
      <c r="G2827" s="27" t="n">
        <v>45692</v>
      </c>
      <c r="H2827" s="27" t="n">
        <v>45692</v>
      </c>
      <c r="I2827" s="27" t="n">
        <v>45677</v>
      </c>
      <c r="J2827" s="27" t="n"/>
      <c r="K2827" t="inlineStr">
        <is>
          <t>Transferência Bancária ou Pix</t>
        </is>
      </c>
      <c r="L2827" t="inlineStr">
        <is>
          <t>Marketing</t>
        </is>
      </c>
      <c r="M2827" t="inlineStr">
        <is>
          <t>Agência de Propaganda</t>
        </is>
      </c>
      <c r="N2827" t="inlineStr">
        <is>
          <t>291</t>
        </is>
      </c>
      <c r="O2827" t="inlineStr">
        <is>
          <t>Documentação Aprovada</t>
        </is>
      </c>
      <c r="P2827" t="inlineStr">
        <is>
          <t>Aprovado Diretoria</t>
        </is>
      </c>
      <c r="Q2827" t="inlineStr">
        <is>
          <t>Aprovado Caixa</t>
        </is>
      </c>
      <c r="R2827" t="inlineStr">
        <is>
          <t>Pago</t>
        </is>
      </c>
      <c r="S2827" t="n">
        <v>115</v>
      </c>
      <c r="T2827" t="inlineStr">
        <is>
          <t>Love - Shibari - Bradesco</t>
        </is>
      </c>
    </row>
    <row r="2828">
      <c r="A2828" t="n">
        <v>105215</v>
      </c>
      <c r="B2828" t="n">
        <v>128</v>
      </c>
      <c r="C2828" t="inlineStr">
        <is>
          <t>Love Cabaret</t>
        </is>
      </c>
      <c r="D2828" t="inlineStr">
        <is>
          <t>J A DOS SANTOS HORTIFRUTI</t>
        </is>
      </c>
      <c r="E2828" t="n">
        <v>148.3</v>
      </c>
      <c r="F2828" s="27" t="n">
        <v>45692</v>
      </c>
      <c r="G2828" s="27" t="n">
        <v>45692</v>
      </c>
      <c r="H2828" s="27" t="n">
        <v>45692</v>
      </c>
      <c r="I2828" s="27" t="n">
        <v>45677</v>
      </c>
      <c r="J2828" s="27" t="n">
        <v>45681</v>
      </c>
      <c r="K2828" t="inlineStr">
        <is>
          <t>Boleto Bancário</t>
        </is>
      </c>
      <c r="L2828" t="inlineStr">
        <is>
          <t>Custo Mercadoria Vendida</t>
        </is>
      </c>
      <c r="M2828" t="inlineStr">
        <is>
          <t>Insumos - Alimentos</t>
        </is>
      </c>
      <c r="N2828" t="inlineStr">
        <is>
          <t>36029</t>
        </is>
      </c>
      <c r="O2828" t="inlineStr">
        <is>
          <t>Documentação Aprovada</t>
        </is>
      </c>
      <c r="P2828" t="inlineStr">
        <is>
          <t>Aprovado Diretoria</t>
        </is>
      </c>
      <c r="Q2828" t="inlineStr">
        <is>
          <t>Aprovado Caixa</t>
        </is>
      </c>
      <c r="R2828" t="inlineStr">
        <is>
          <t>Pago</t>
        </is>
      </c>
      <c r="S2828" t="n">
        <v>115</v>
      </c>
      <c r="T2828" t="inlineStr">
        <is>
          <t>Love - Shibari - Bradesco</t>
        </is>
      </c>
    </row>
    <row r="2829">
      <c r="A2829" t="n">
        <v>105269</v>
      </c>
      <c r="B2829" t="n">
        <v>128</v>
      </c>
      <c r="C2829" t="inlineStr">
        <is>
          <t>Love Cabaret</t>
        </is>
      </c>
      <c r="D2829" t="inlineStr">
        <is>
          <t>WIDE STOCK COMERCIO E DISTRIBUICAO LTDA</t>
        </is>
      </c>
      <c r="E2829" t="n">
        <v>210</v>
      </c>
      <c r="F2829" s="27" t="n">
        <v>45692</v>
      </c>
      <c r="G2829" s="27" t="n">
        <v>45692</v>
      </c>
      <c r="H2829" s="27" t="n">
        <v>45692</v>
      </c>
      <c r="I2829" s="27" t="n">
        <v>45671</v>
      </c>
      <c r="J2829" s="27" t="n">
        <v>45681</v>
      </c>
      <c r="K2829" t="inlineStr">
        <is>
          <t>Boleto Bancário</t>
        </is>
      </c>
      <c r="L2829" t="inlineStr">
        <is>
          <t>Utilidades</t>
        </is>
      </c>
      <c r="M2829" t="inlineStr">
        <is>
          <t>Higiene e Limpeza</t>
        </is>
      </c>
      <c r="N2829" t="inlineStr">
        <is>
          <t>392929</t>
        </is>
      </c>
      <c r="O2829" t="inlineStr">
        <is>
          <t>Documentação Aprovada</t>
        </is>
      </c>
      <c r="P2829" t="inlineStr">
        <is>
          <t>Aprovado Diretoria</t>
        </is>
      </c>
      <c r="Q2829" t="inlineStr">
        <is>
          <t>Aprovado Caixa</t>
        </is>
      </c>
      <c r="R2829" t="inlineStr">
        <is>
          <t>Pago</t>
        </is>
      </c>
      <c r="S2829" t="n">
        <v>115</v>
      </c>
      <c r="T2829" t="inlineStr">
        <is>
          <t>Love - Shibari - Bradesco</t>
        </is>
      </c>
    </row>
    <row r="2830">
      <c r="A2830" t="n">
        <v>105214</v>
      </c>
      <c r="B2830" t="n">
        <v>128</v>
      </c>
      <c r="C2830" t="inlineStr">
        <is>
          <t>Love Cabaret</t>
        </is>
      </c>
      <c r="D2830" t="inlineStr">
        <is>
          <t xml:space="preserve">LATICINIOS FIOR DITALIA LTDA </t>
        </is>
      </c>
      <c r="E2830" t="n">
        <v>326.75</v>
      </c>
      <c r="F2830" s="27" t="n">
        <v>45693</v>
      </c>
      <c r="G2830" s="27" t="n">
        <v>45692</v>
      </c>
      <c r="H2830" s="27" t="n">
        <v>45692</v>
      </c>
      <c r="I2830" s="27" t="n">
        <v>45677</v>
      </c>
      <c r="J2830" s="27" t="n">
        <v>45681</v>
      </c>
      <c r="K2830" t="inlineStr">
        <is>
          <t>Boleto Bancário</t>
        </is>
      </c>
      <c r="L2830" t="inlineStr">
        <is>
          <t>Custo Mercadoria Vendida</t>
        </is>
      </c>
      <c r="M2830" t="inlineStr">
        <is>
          <t>Insumos - Alimentos</t>
        </is>
      </c>
      <c r="N2830" t="inlineStr">
        <is>
          <t>33808</t>
        </is>
      </c>
      <c r="O2830" t="inlineStr">
        <is>
          <t>Documentação Aprovada</t>
        </is>
      </c>
      <c r="P2830" t="inlineStr">
        <is>
          <t>Aprovado Diretoria</t>
        </is>
      </c>
      <c r="Q2830" t="inlineStr">
        <is>
          <t>Aprovado Caixa</t>
        </is>
      </c>
      <c r="R2830" t="inlineStr">
        <is>
          <t>Pago</t>
        </is>
      </c>
      <c r="S2830" t="n">
        <v>115</v>
      </c>
      <c r="T2830" t="inlineStr">
        <is>
          <t>Love - Shibari - Bradesco</t>
        </is>
      </c>
    </row>
    <row r="2831">
      <c r="A2831" t="n">
        <v>105278</v>
      </c>
      <c r="B2831" t="n">
        <v>128</v>
      </c>
      <c r="C2831" t="inlineStr">
        <is>
          <t>Love Cabaret</t>
        </is>
      </c>
      <c r="D2831" t="inlineStr">
        <is>
          <t>ASSAZ ORGANICA INDUSTRIA E COMERCIO DE ALIMENTOS LTDA</t>
        </is>
      </c>
      <c r="E2831" t="n">
        <v>37</v>
      </c>
      <c r="F2831" s="27" t="n">
        <v>45693</v>
      </c>
      <c r="G2831" s="27" t="n">
        <v>45692</v>
      </c>
      <c r="H2831" s="27" t="n">
        <v>45692</v>
      </c>
      <c r="I2831" s="27" t="n">
        <v>45678</v>
      </c>
      <c r="J2831" s="27" t="n">
        <v>45681</v>
      </c>
      <c r="K2831" t="inlineStr">
        <is>
          <t>Boleto Bancário</t>
        </is>
      </c>
      <c r="L2831" t="inlineStr">
        <is>
          <t>Custo Mercadoria Vendida</t>
        </is>
      </c>
      <c r="M2831" t="inlineStr">
        <is>
          <t>Insumos - Alimentos</t>
        </is>
      </c>
      <c r="N2831" t="inlineStr">
        <is>
          <t>17896</t>
        </is>
      </c>
      <c r="O2831" t="inlineStr">
        <is>
          <t>Documentação Aprovada</t>
        </is>
      </c>
      <c r="P2831" t="inlineStr">
        <is>
          <t>Aprovado Diretoria</t>
        </is>
      </c>
      <c r="Q2831" t="inlineStr">
        <is>
          <t>Aprovado Caixa</t>
        </is>
      </c>
      <c r="R2831" t="inlineStr">
        <is>
          <t>Pago</t>
        </is>
      </c>
      <c r="S2831" t="n">
        <v>115</v>
      </c>
      <c r="T2831" t="inlineStr">
        <is>
          <t>Love - Shibari - Bradesco</t>
        </is>
      </c>
    </row>
    <row r="2832">
      <c r="A2832" t="n">
        <v>105272</v>
      </c>
      <c r="B2832" t="n">
        <v>128</v>
      </c>
      <c r="C2832" t="inlineStr">
        <is>
          <t>Love Cabaret</t>
        </is>
      </c>
      <c r="D2832" t="inlineStr">
        <is>
          <t xml:space="preserve">FORTE ALIMENTOS COM. IMPORTAÇÃO LTDA </t>
        </is>
      </c>
      <c r="E2832" t="n">
        <v>532.33</v>
      </c>
      <c r="F2832" s="27" t="n">
        <v>45692</v>
      </c>
      <c r="G2832" s="27" t="n">
        <v>45692</v>
      </c>
      <c r="H2832" s="27" t="n">
        <v>45692</v>
      </c>
      <c r="I2832" s="27" t="n">
        <v>45677</v>
      </c>
      <c r="J2832" s="27" t="n">
        <v>45681</v>
      </c>
      <c r="K2832" t="inlineStr">
        <is>
          <t>Boleto Bancário</t>
        </is>
      </c>
      <c r="L2832" t="inlineStr">
        <is>
          <t>Custo Mercadoria Vendida</t>
        </is>
      </c>
      <c r="M2832" t="inlineStr">
        <is>
          <t>Insumos - Alimentos</t>
        </is>
      </c>
      <c r="N2832" t="inlineStr">
        <is>
          <t>234178</t>
        </is>
      </c>
      <c r="O2832" t="inlineStr">
        <is>
          <t>Documentação Aprovada</t>
        </is>
      </c>
      <c r="P2832" t="inlineStr">
        <is>
          <t>Aprovado Diretoria</t>
        </is>
      </c>
      <c r="Q2832" t="inlineStr">
        <is>
          <t>Aprovado Caixa</t>
        </is>
      </c>
      <c r="R2832" t="inlineStr">
        <is>
          <t>Pago</t>
        </is>
      </c>
      <c r="S2832" t="n">
        <v>115</v>
      </c>
      <c r="T2832" t="inlineStr">
        <is>
          <t>Love - Shibari - Bradesco</t>
        </is>
      </c>
    </row>
    <row r="2833">
      <c r="A2833" t="n">
        <v>101858</v>
      </c>
      <c r="B2833" t="n">
        <v>128</v>
      </c>
      <c r="C2833" t="inlineStr">
        <is>
          <t>Love Cabaret</t>
        </is>
      </c>
      <c r="D2833" t="inlineStr">
        <is>
          <t>HORTICLEAN DISTRIBUIDORA DE HORTIFRUTI LTDA</t>
        </is>
      </c>
      <c r="E2833" t="n">
        <v>536.6900000000001</v>
      </c>
      <c r="F2833" s="27" t="n">
        <v>45692</v>
      </c>
      <c r="G2833" s="27" t="n">
        <v>45692</v>
      </c>
      <c r="H2833" s="27" t="n">
        <v>45692</v>
      </c>
      <c r="I2833" s="27" t="n">
        <v>45663</v>
      </c>
      <c r="J2833" s="27" t="n">
        <v>45670</v>
      </c>
      <c r="K2833" t="inlineStr">
        <is>
          <t>Boleto Bancário</t>
        </is>
      </c>
      <c r="L2833" t="inlineStr">
        <is>
          <t>Custo Mercadoria Vendida</t>
        </is>
      </c>
      <c r="M2833" t="inlineStr">
        <is>
          <t>Insumos - Alimentos</t>
        </is>
      </c>
      <c r="N2833" t="inlineStr">
        <is>
          <t>25554</t>
        </is>
      </c>
      <c r="O2833" t="inlineStr">
        <is>
          <t>Documentação Aprovada</t>
        </is>
      </c>
      <c r="P2833" t="inlineStr">
        <is>
          <t>Aprovado Diretoria</t>
        </is>
      </c>
      <c r="Q2833" t="inlineStr">
        <is>
          <t>Aprovado Caixa</t>
        </is>
      </c>
      <c r="R2833" t="inlineStr">
        <is>
          <t>Pago</t>
        </is>
      </c>
      <c r="S2833" t="n">
        <v>115</v>
      </c>
      <c r="T2833" t="inlineStr">
        <is>
          <t>Love - Shibari - Bradesco</t>
        </is>
      </c>
    </row>
    <row r="2834">
      <c r="A2834" t="n">
        <v>101853</v>
      </c>
      <c r="B2834" t="n">
        <v>128</v>
      </c>
      <c r="C2834" t="inlineStr">
        <is>
          <t>Love Cabaret</t>
        </is>
      </c>
      <c r="D2834" t="inlineStr">
        <is>
          <t xml:space="preserve">SKY COMERCIO DE PRODUTOS ALIMENTICIOS LTDA </t>
        </is>
      </c>
      <c r="E2834" t="n">
        <v>242.34</v>
      </c>
      <c r="F2834" s="27" t="n">
        <v>45692</v>
      </c>
      <c r="G2834" s="27" t="n">
        <v>45692</v>
      </c>
      <c r="H2834" s="27" t="n">
        <v>45692</v>
      </c>
      <c r="I2834" s="27" t="n">
        <v>45664</v>
      </c>
      <c r="J2834" s="27" t="n">
        <v>45670</v>
      </c>
      <c r="K2834" t="inlineStr">
        <is>
          <t>Boleto Bancário</t>
        </is>
      </c>
      <c r="L2834" t="inlineStr">
        <is>
          <t>Custo Mercadoria Vendida</t>
        </is>
      </c>
      <c r="M2834" t="inlineStr">
        <is>
          <t>Insumos - Bebidas</t>
        </is>
      </c>
      <c r="N2834" t="inlineStr">
        <is>
          <t>22362</t>
        </is>
      </c>
      <c r="O2834" t="inlineStr">
        <is>
          <t>Documentação Aprovada</t>
        </is>
      </c>
      <c r="P2834" t="inlineStr">
        <is>
          <t>Aprovado Diretoria</t>
        </is>
      </c>
      <c r="Q2834" t="inlineStr">
        <is>
          <t>Aprovado Caixa</t>
        </is>
      </c>
      <c r="R2834" t="inlineStr">
        <is>
          <t>Pago</t>
        </is>
      </c>
      <c r="S2834" t="n">
        <v>115</v>
      </c>
      <c r="T2834" t="inlineStr">
        <is>
          <t>Love - Shibari - Bradesco</t>
        </is>
      </c>
    </row>
    <row r="2835">
      <c r="A2835" t="n">
        <v>101859</v>
      </c>
      <c r="B2835" t="n">
        <v>128</v>
      </c>
      <c r="C2835" t="inlineStr">
        <is>
          <t>Love Cabaret</t>
        </is>
      </c>
      <c r="D2835" t="inlineStr">
        <is>
          <t>KING COMERCIO E IMPORTACAO DE BEBIDAS LTDA</t>
        </is>
      </c>
      <c r="E2835" t="n">
        <v>3596.4</v>
      </c>
      <c r="F2835" s="27" t="n">
        <v>45692</v>
      </c>
      <c r="G2835" s="27" t="n">
        <v>45692</v>
      </c>
      <c r="H2835" s="27" t="n">
        <v>45692</v>
      </c>
      <c r="I2835" s="27" t="n">
        <v>45664</v>
      </c>
      <c r="J2835" s="27" t="n">
        <v>45670</v>
      </c>
      <c r="K2835" t="inlineStr">
        <is>
          <t>Boleto Bancário</t>
        </is>
      </c>
      <c r="L2835" t="inlineStr">
        <is>
          <t>Custo Mercadoria Vendida</t>
        </is>
      </c>
      <c r="M2835" t="inlineStr">
        <is>
          <t>Insumos - Bebidas</t>
        </is>
      </c>
      <c r="N2835" t="inlineStr">
        <is>
          <t>114427</t>
        </is>
      </c>
      <c r="O2835" t="inlineStr">
        <is>
          <t>Documentação Aprovada</t>
        </is>
      </c>
      <c r="P2835" t="inlineStr">
        <is>
          <t>Aprovado Diretoria</t>
        </is>
      </c>
      <c r="Q2835" t="inlineStr">
        <is>
          <t>Aprovado Caixa</t>
        </is>
      </c>
      <c r="R2835" t="inlineStr">
        <is>
          <t>Pago</t>
        </is>
      </c>
      <c r="S2835" t="n">
        <v>115</v>
      </c>
      <c r="T2835" t="inlineStr">
        <is>
          <t>Love - Shibari - Bradesco</t>
        </is>
      </c>
    </row>
    <row r="2836">
      <c r="A2836" t="n">
        <v>97311</v>
      </c>
      <c r="B2836" t="n">
        <v>128</v>
      </c>
      <c r="C2836" t="inlineStr">
        <is>
          <t>Love Cabaret</t>
        </is>
      </c>
      <c r="D2836" t="inlineStr">
        <is>
          <t>ESCRITORIO CENTRAL DE ARRECADACAO E DISTRIBUICAO ECAD</t>
        </is>
      </c>
      <c r="E2836" t="n">
        <v>802.5</v>
      </c>
      <c r="F2836" s="27" t="n">
        <v>45693</v>
      </c>
      <c r="G2836" s="27" t="n">
        <v>45692</v>
      </c>
      <c r="H2836" s="27" t="n">
        <v>45692</v>
      </c>
      <c r="I2836" s="27" t="n">
        <v>45676</v>
      </c>
      <c r="J2836" s="27" t="n"/>
      <c r="K2836" t="inlineStr">
        <is>
          <t>Boleto Bancário</t>
        </is>
      </c>
      <c r="L2836" t="inlineStr">
        <is>
          <t>Custos Artístico Geral</t>
        </is>
      </c>
      <c r="M2836" t="inlineStr">
        <is>
          <t>Taxas e Licenças - Artístico</t>
        </is>
      </c>
      <c r="N2836" t="inlineStr">
        <is>
          <t xml:space="preserve">9021757085 </t>
        </is>
      </c>
      <c r="O2836" t="inlineStr">
        <is>
          <t>Documentação Aprovada</t>
        </is>
      </c>
      <c r="P2836" t="inlineStr">
        <is>
          <t>Aprovado Diretoria</t>
        </is>
      </c>
      <c r="Q2836" t="inlineStr">
        <is>
          <t>Aprovado Caixa</t>
        </is>
      </c>
      <c r="R2836" t="inlineStr">
        <is>
          <t>Pago</t>
        </is>
      </c>
      <c r="S2836" t="n">
        <v>115</v>
      </c>
      <c r="T2836" t="inlineStr">
        <is>
          <t>Love - Shibari - Bradesco</t>
        </is>
      </c>
    </row>
    <row r="2837">
      <c r="A2837" t="n">
        <v>97335</v>
      </c>
      <c r="B2837" t="n">
        <v>128</v>
      </c>
      <c r="C2837" t="inlineStr">
        <is>
          <t>Love Cabaret</t>
        </is>
      </c>
      <c r="D2837" t="inlineStr">
        <is>
          <t>ELETROPAULO METROPOLITANA ELETRICIDADE DE SAO PAULO SA</t>
        </is>
      </c>
      <c r="E2837" t="n">
        <v>87.15000000000001</v>
      </c>
      <c r="F2837" s="27" t="n">
        <v>45692</v>
      </c>
      <c r="G2837" s="27" t="n">
        <v>45692</v>
      </c>
      <c r="H2837" s="27" t="n">
        <v>45692</v>
      </c>
      <c r="I2837" s="27" t="n">
        <v>45672</v>
      </c>
      <c r="J2837" s="27" t="n"/>
      <c r="K2837" t="inlineStr">
        <is>
          <t>Boleto Bancário</t>
        </is>
      </c>
      <c r="L2837" t="inlineStr">
        <is>
          <t>Utilidades</t>
        </is>
      </c>
      <c r="M2837" t="inlineStr">
        <is>
          <t>Energia Eletrica</t>
        </is>
      </c>
      <c r="N2837" t="inlineStr">
        <is>
          <t>678461514</t>
        </is>
      </c>
      <c r="O2837" t="inlineStr">
        <is>
          <t>Documentação Aprovada</t>
        </is>
      </c>
      <c r="P2837" t="inlineStr">
        <is>
          <t>Aprovado Diretoria</t>
        </is>
      </c>
      <c r="Q2837" t="inlineStr">
        <is>
          <t>Aprovado Caixa</t>
        </is>
      </c>
      <c r="R2837" t="inlineStr">
        <is>
          <t>Pago</t>
        </is>
      </c>
      <c r="S2837" t="n">
        <v>115</v>
      </c>
      <c r="T2837" t="inlineStr">
        <is>
          <t>Love - Shibari - Bradesco</t>
        </is>
      </c>
    </row>
    <row r="2838">
      <c r="A2838" t="n">
        <v>97323</v>
      </c>
      <c r="B2838" t="n">
        <v>128</v>
      </c>
      <c r="C2838" t="inlineStr">
        <is>
          <t>Love Cabaret</t>
        </is>
      </c>
      <c r="D2838" t="inlineStr">
        <is>
          <t>ELETROPAULO METROPOLITANA ELETRICIDADE DE SAO PAULO SA</t>
        </is>
      </c>
      <c r="E2838" t="n">
        <v>10149.46</v>
      </c>
      <c r="F2838" s="27" t="n">
        <v>45692</v>
      </c>
      <c r="G2838" s="27" t="n">
        <v>45692</v>
      </c>
      <c r="H2838" s="27" t="n">
        <v>45692</v>
      </c>
      <c r="I2838" s="27" t="n">
        <v>45672</v>
      </c>
      <c r="J2838" s="27" t="n"/>
      <c r="K2838" t="inlineStr">
        <is>
          <t>Boleto Bancário</t>
        </is>
      </c>
      <c r="L2838" t="inlineStr">
        <is>
          <t>Utilidades</t>
        </is>
      </c>
      <c r="M2838" t="inlineStr">
        <is>
          <t>Energia Eletrica</t>
        </is>
      </c>
      <c r="N2838" t="inlineStr">
        <is>
          <t>678461517</t>
        </is>
      </c>
      <c r="O2838" t="inlineStr">
        <is>
          <t>Documentação Aprovada</t>
        </is>
      </c>
      <c r="P2838" t="inlineStr">
        <is>
          <t>Aprovado Diretoria</t>
        </is>
      </c>
      <c r="Q2838" t="inlineStr">
        <is>
          <t>Aprovado Caixa</t>
        </is>
      </c>
      <c r="R2838" t="inlineStr">
        <is>
          <t>Pago</t>
        </is>
      </c>
      <c r="S2838" t="n">
        <v>115</v>
      </c>
      <c r="T2838" t="inlineStr">
        <is>
          <t>Love - Shibari - Bradesco</t>
        </is>
      </c>
    </row>
    <row r="2839">
      <c r="A2839" t="n">
        <v>97389</v>
      </c>
      <c r="B2839" t="n">
        <v>128</v>
      </c>
      <c r="C2839" t="inlineStr">
        <is>
          <t>Love Cabaret</t>
        </is>
      </c>
      <c r="D2839" t="inlineStr">
        <is>
          <t>EASY ICE SOLUTION LTDA-ME LOCAÇÃO</t>
        </is>
      </c>
      <c r="E2839" t="n">
        <v>1600</v>
      </c>
      <c r="F2839" s="27" t="n">
        <v>45693</v>
      </c>
      <c r="G2839" s="27" t="n">
        <v>45692</v>
      </c>
      <c r="H2839" s="27" t="n">
        <v>45692</v>
      </c>
      <c r="I2839" s="27" t="n">
        <v>45682</v>
      </c>
      <c r="J2839" s="27" t="n"/>
      <c r="K2839" t="inlineStr">
        <is>
          <t>Boleto Bancário</t>
        </is>
      </c>
      <c r="L2839" t="inlineStr">
        <is>
          <t>Locação de Equipamentos</t>
        </is>
      </c>
      <c r="M2839" t="inlineStr">
        <is>
          <t>Locações de Equipamentos - Operacionais</t>
        </is>
      </c>
      <c r="N2839" t="inlineStr">
        <is>
          <t>5667</t>
        </is>
      </c>
      <c r="O2839" t="inlineStr">
        <is>
          <t>Documentação Aprovada</t>
        </is>
      </c>
      <c r="P2839" t="inlineStr">
        <is>
          <t>Aprovado Diretoria</t>
        </is>
      </c>
      <c r="Q2839" t="inlineStr">
        <is>
          <t>Aprovado Caixa</t>
        </is>
      </c>
      <c r="R2839" t="inlineStr">
        <is>
          <t>Pago</t>
        </is>
      </c>
      <c r="S2839" t="n">
        <v>115</v>
      </c>
      <c r="T2839" t="inlineStr">
        <is>
          <t>Love - Shibari - Bradesco</t>
        </is>
      </c>
    </row>
    <row r="2840">
      <c r="A2840" t="n">
        <v>102324</v>
      </c>
      <c r="B2840" t="n">
        <v>128</v>
      </c>
      <c r="C2840" t="inlineStr">
        <is>
          <t>Love Cabaret</t>
        </is>
      </c>
      <c r="D2840" t="inlineStr">
        <is>
          <t xml:space="preserve">MVE DELEZARI REP MANUT PREV INCEND </t>
        </is>
      </c>
      <c r="E2840" t="n">
        <v>4200</v>
      </c>
      <c r="F2840" s="27" t="n">
        <v>45691</v>
      </c>
      <c r="G2840" s="27" t="n">
        <v>45691</v>
      </c>
      <c r="H2840" s="27" t="n">
        <v>45688</v>
      </c>
      <c r="I2840" s="27" t="n">
        <v>45669</v>
      </c>
      <c r="J2840" s="27" t="n">
        <v>45671</v>
      </c>
      <c r="K2840" t="inlineStr">
        <is>
          <t>Boleto Bancário</t>
        </is>
      </c>
      <c r="L2840" t="inlineStr">
        <is>
          <t>Manutenção</t>
        </is>
      </c>
      <c r="M2840" t="inlineStr">
        <is>
          <t>Manutenção Predial</t>
        </is>
      </c>
      <c r="N2840" t="inlineStr">
        <is>
          <t>33</t>
        </is>
      </c>
      <c r="O2840" t="inlineStr">
        <is>
          <t>Documentação Aprovada</t>
        </is>
      </c>
      <c r="P2840" t="inlineStr">
        <is>
          <t>Aprovado Diretoria</t>
        </is>
      </c>
      <c r="Q2840" t="inlineStr">
        <is>
          <t>Aprovado Caixa</t>
        </is>
      </c>
      <c r="R2840" t="inlineStr">
        <is>
          <t>Pago</t>
        </is>
      </c>
      <c r="S2840" t="n">
        <v>115</v>
      </c>
      <c r="T2840" t="inlineStr">
        <is>
          <t>Love - Shibari - Bradesco</t>
        </is>
      </c>
    </row>
    <row r="2841">
      <c r="A2841" t="n">
        <v>105267</v>
      </c>
      <c r="B2841" t="n">
        <v>128</v>
      </c>
      <c r="C2841" t="inlineStr">
        <is>
          <t>Love Cabaret</t>
        </is>
      </c>
      <c r="D2841" t="inlineStr">
        <is>
          <t>CECILIA TSUYACO ARAKI SILVA LTDA</t>
        </is>
      </c>
      <c r="E2841" t="n">
        <v>378.5</v>
      </c>
      <c r="F2841" s="27" t="n">
        <v>45691</v>
      </c>
      <c r="G2841" s="27" t="n">
        <v>45688</v>
      </c>
      <c r="H2841" s="27" t="n">
        <v>45688</v>
      </c>
      <c r="I2841" s="27" t="n">
        <v>45677</v>
      </c>
      <c r="J2841" s="27" t="n">
        <v>45681</v>
      </c>
      <c r="K2841" t="inlineStr">
        <is>
          <t>Boleto Bancário</t>
        </is>
      </c>
      <c r="L2841" t="inlineStr">
        <is>
          <t>Custo Mercadoria Vendida</t>
        </is>
      </c>
      <c r="M2841" t="inlineStr">
        <is>
          <t>Insumos - Alimentos</t>
        </is>
      </c>
      <c r="N2841" t="inlineStr">
        <is>
          <t>364284</t>
        </is>
      </c>
      <c r="O2841" t="inlineStr">
        <is>
          <t>Documentação Aprovada</t>
        </is>
      </c>
      <c r="P2841" t="inlineStr">
        <is>
          <t>Aprovado Diretoria</t>
        </is>
      </c>
      <c r="Q2841" t="inlineStr">
        <is>
          <t>Aprovado Caixa</t>
        </is>
      </c>
      <c r="R2841" t="inlineStr">
        <is>
          <t>Pago</t>
        </is>
      </c>
      <c r="S2841" t="n">
        <v>115</v>
      </c>
      <c r="T2841" t="inlineStr">
        <is>
          <t>Love - Shibari - Bradesco</t>
        </is>
      </c>
    </row>
    <row r="2842">
      <c r="A2842" t="n">
        <v>105268</v>
      </c>
      <c r="B2842" t="n">
        <v>128</v>
      </c>
      <c r="C2842" t="inlineStr">
        <is>
          <t>Love Cabaret</t>
        </is>
      </c>
      <c r="D2842" t="inlineStr">
        <is>
          <t>PARAMU COMERCIO E REPRESENTACAO DE PRODUTOS ALIMENTICIOS</t>
        </is>
      </c>
      <c r="E2842" t="n">
        <v>2108.05</v>
      </c>
      <c r="F2842" s="27" t="n">
        <v>45691</v>
      </c>
      <c r="G2842" s="27" t="n">
        <v>45688</v>
      </c>
      <c r="H2842" s="27" t="n">
        <v>45688</v>
      </c>
      <c r="I2842" s="27" t="n">
        <v>45677</v>
      </c>
      <c r="J2842" s="27" t="n">
        <v>45681</v>
      </c>
      <c r="K2842" t="inlineStr">
        <is>
          <t>Boleto Bancário</t>
        </is>
      </c>
      <c r="L2842" t="inlineStr">
        <is>
          <t>Custo Mercadoria Vendida</t>
        </is>
      </c>
      <c r="M2842" t="inlineStr">
        <is>
          <t>Insumos - Alimentos</t>
        </is>
      </c>
      <c r="N2842" t="inlineStr">
        <is>
          <t>12379</t>
        </is>
      </c>
      <c r="O2842" t="inlineStr">
        <is>
          <t>Documentação Aprovada</t>
        </is>
      </c>
      <c r="P2842" t="inlineStr">
        <is>
          <t>Aprovado Diretoria</t>
        </is>
      </c>
      <c r="Q2842" t="inlineStr">
        <is>
          <t>Aprovado Caixa</t>
        </is>
      </c>
      <c r="R2842" t="inlineStr">
        <is>
          <t>Pago</t>
        </is>
      </c>
      <c r="S2842" t="n">
        <v>115</v>
      </c>
      <c r="T2842" t="inlineStr">
        <is>
          <t>Love - Shibari - Bradesco</t>
        </is>
      </c>
    </row>
    <row r="2843">
      <c r="A2843" t="n">
        <v>105273</v>
      </c>
      <c r="B2843" t="n">
        <v>128</v>
      </c>
      <c r="C2843" t="inlineStr">
        <is>
          <t>Love Cabaret</t>
        </is>
      </c>
      <c r="D2843" t="inlineStr">
        <is>
          <t>EDUARDO JOSE DA SILVA DISTRIBUIÇÃO DE PRODUTOS ALIMENTICIOS</t>
        </is>
      </c>
      <c r="E2843" t="n">
        <v>409.5</v>
      </c>
      <c r="F2843" s="27" t="n">
        <v>45691</v>
      </c>
      <c r="G2843" s="27" t="n">
        <v>45688</v>
      </c>
      <c r="H2843" s="27" t="n">
        <v>45688</v>
      </c>
      <c r="I2843" s="27" t="n">
        <v>45677</v>
      </c>
      <c r="J2843" s="27" t="n">
        <v>45681</v>
      </c>
      <c r="K2843" t="inlineStr">
        <is>
          <t>Boleto Bancário</t>
        </is>
      </c>
      <c r="L2843" t="inlineStr">
        <is>
          <t>Custo Mercadoria Vendida</t>
        </is>
      </c>
      <c r="M2843" t="inlineStr">
        <is>
          <t>Insumos - Alimentos</t>
        </is>
      </c>
      <c r="N2843" t="inlineStr">
        <is>
          <t>132192</t>
        </is>
      </c>
      <c r="O2843" t="inlineStr">
        <is>
          <t>Documentação Aprovada</t>
        </is>
      </c>
      <c r="P2843" t="inlineStr">
        <is>
          <t>Aprovado Diretoria</t>
        </is>
      </c>
      <c r="Q2843" t="inlineStr">
        <is>
          <t>Aprovado Caixa</t>
        </is>
      </c>
      <c r="R2843" t="inlineStr">
        <is>
          <t>Pago</t>
        </is>
      </c>
      <c r="S2843" t="n">
        <v>115</v>
      </c>
      <c r="T2843" t="inlineStr">
        <is>
          <t>Love - Shibari - Bradesco</t>
        </is>
      </c>
    </row>
    <row r="2844">
      <c r="A2844" t="n">
        <v>106902</v>
      </c>
      <c r="B2844" t="n">
        <v>128</v>
      </c>
      <c r="C2844" t="inlineStr">
        <is>
          <t>Love Cabaret</t>
        </is>
      </c>
      <c r="D2844" t="inlineStr">
        <is>
          <t>BRADESCO SA</t>
        </is>
      </c>
      <c r="E2844" t="n">
        <v>18</v>
      </c>
      <c r="F2844" s="27" t="n">
        <v>45688</v>
      </c>
      <c r="G2844" s="27" t="n"/>
      <c r="H2844" s="27" t="n">
        <v>45688</v>
      </c>
      <c r="I2844" s="27" t="n">
        <v>45688</v>
      </c>
      <c r="J2844" s="27" t="n">
        <v>45691</v>
      </c>
      <c r="K2844" t="inlineStr">
        <is>
          <t>Encontro de Contas</t>
        </is>
      </c>
      <c r="L2844" t="inlineStr">
        <is>
          <t>Despesas Financeiras</t>
        </is>
      </c>
      <c r="M2844" t="inlineStr">
        <is>
          <t>Tarifas Bancárias</t>
        </is>
      </c>
      <c r="N2844" t="inlineStr">
        <is>
          <t>012025</t>
        </is>
      </c>
      <c r="P2844" t="inlineStr">
        <is>
          <t>Aprovado Diretoria</t>
        </is>
      </c>
      <c r="R2844" t="inlineStr">
        <is>
          <t>Pago</t>
        </is>
      </c>
    </row>
    <row r="2845">
      <c r="A2845" t="n">
        <v>106831</v>
      </c>
      <c r="B2845" t="n">
        <v>128</v>
      </c>
      <c r="C2845" t="inlineStr">
        <is>
          <t>Love Cabaret</t>
        </is>
      </c>
      <c r="D2845" t="inlineStr">
        <is>
          <t>PETTY CASH</t>
        </is>
      </c>
      <c r="E2845" t="n">
        <v>353.76</v>
      </c>
      <c r="F2845" s="27" t="n">
        <v>45688</v>
      </c>
      <c r="G2845" s="27" t="n"/>
      <c r="H2845" s="27" t="n">
        <v>45688</v>
      </c>
      <c r="I2845" s="27" t="n">
        <v>45658</v>
      </c>
      <c r="J2845" s="27" t="n">
        <v>45688</v>
      </c>
      <c r="K2845" t="inlineStr">
        <is>
          <t>Dinheiro em Espécie</t>
        </is>
      </c>
      <c r="L2845" t="inlineStr">
        <is>
          <t>Custo Mercadoria Vendida</t>
        </is>
      </c>
      <c r="M2845" t="inlineStr">
        <is>
          <t>Insumos - Alimentos</t>
        </is>
      </c>
      <c r="N2845" t="inlineStr">
        <is>
          <t>1PETTY012025</t>
        </is>
      </c>
      <c r="O2845" t="inlineStr">
        <is>
          <t>Documentação Aprovada</t>
        </is>
      </c>
      <c r="P2845" t="inlineStr">
        <is>
          <t>Aprovado Diretoria</t>
        </is>
      </c>
      <c r="Q2845" t="inlineStr">
        <is>
          <t>Aprovado Caixa</t>
        </is>
      </c>
      <c r="R2845" t="inlineStr">
        <is>
          <t>Pago</t>
        </is>
      </c>
      <c r="S2845" t="n">
        <v>120</v>
      </c>
      <c r="T2845" t="inlineStr">
        <is>
          <t>Love - Petty Cash</t>
        </is>
      </c>
    </row>
    <row r="2846">
      <c r="A2846" t="n">
        <v>106843</v>
      </c>
      <c r="B2846" t="n">
        <v>128</v>
      </c>
      <c r="C2846" t="inlineStr">
        <is>
          <t>Love Cabaret</t>
        </is>
      </c>
      <c r="D2846" t="inlineStr">
        <is>
          <t>PETTY CASH</t>
        </is>
      </c>
      <c r="E2846" t="n">
        <v>245.15</v>
      </c>
      <c r="F2846" s="27" t="n">
        <v>45688</v>
      </c>
      <c r="G2846" s="27" t="n"/>
      <c r="H2846" s="27" t="n">
        <v>45688</v>
      </c>
      <c r="I2846" s="27" t="n">
        <v>45658</v>
      </c>
      <c r="J2846" s="27" t="n">
        <v>45688</v>
      </c>
      <c r="K2846" t="inlineStr">
        <is>
          <t>Dinheiro em Espécie</t>
        </is>
      </c>
      <c r="L2846" t="inlineStr">
        <is>
          <t>Utilidades</t>
        </is>
      </c>
      <c r="M2846" t="inlineStr">
        <is>
          <t>Utensilios</t>
        </is>
      </c>
      <c r="N2846" t="inlineStr">
        <is>
          <t>7PETTY012025</t>
        </is>
      </c>
      <c r="O2846" t="inlineStr">
        <is>
          <t>Documentação Aprovada</t>
        </is>
      </c>
      <c r="P2846" t="inlineStr">
        <is>
          <t>Aprovado Diretoria</t>
        </is>
      </c>
      <c r="Q2846" t="inlineStr">
        <is>
          <t>Aprovado Caixa</t>
        </is>
      </c>
      <c r="R2846" t="inlineStr">
        <is>
          <t>Pago</t>
        </is>
      </c>
      <c r="S2846" t="n">
        <v>120</v>
      </c>
      <c r="T2846" t="inlineStr">
        <is>
          <t>Love - Petty Cash</t>
        </is>
      </c>
    </row>
    <row r="2847">
      <c r="A2847" t="n">
        <v>106842</v>
      </c>
      <c r="B2847" t="n">
        <v>128</v>
      </c>
      <c r="C2847" t="inlineStr">
        <is>
          <t>Love Cabaret</t>
        </is>
      </c>
      <c r="D2847" t="inlineStr">
        <is>
          <t>PETTY CASH</t>
        </is>
      </c>
      <c r="E2847" t="n">
        <v>405.17</v>
      </c>
      <c r="F2847" s="27" t="n">
        <v>45688</v>
      </c>
      <c r="G2847" s="27" t="n"/>
      <c r="H2847" s="27" t="n">
        <v>45688</v>
      </c>
      <c r="I2847" s="27" t="n">
        <v>45658</v>
      </c>
      <c r="J2847" s="27" t="n">
        <v>45688</v>
      </c>
      <c r="K2847" t="inlineStr">
        <is>
          <t>Dinheiro em Espécie</t>
        </is>
      </c>
      <c r="L2847" t="inlineStr">
        <is>
          <t>Utilidades</t>
        </is>
      </c>
      <c r="M2847" t="inlineStr">
        <is>
          <t>Serviços Graficos</t>
        </is>
      </c>
      <c r="N2847" t="inlineStr">
        <is>
          <t>6PETTY012025</t>
        </is>
      </c>
      <c r="O2847" t="inlineStr">
        <is>
          <t>Documentação Aprovada</t>
        </is>
      </c>
      <c r="P2847" t="inlineStr">
        <is>
          <t>Aprovado Diretoria</t>
        </is>
      </c>
      <c r="Q2847" t="inlineStr">
        <is>
          <t>Aprovado Caixa</t>
        </is>
      </c>
      <c r="R2847" t="inlineStr">
        <is>
          <t>Pago</t>
        </is>
      </c>
      <c r="S2847" t="n">
        <v>120</v>
      </c>
      <c r="T2847" t="inlineStr">
        <is>
          <t>Love - Petty Cash</t>
        </is>
      </c>
    </row>
    <row r="2848">
      <c r="A2848" t="n">
        <v>106838</v>
      </c>
      <c r="B2848" t="n">
        <v>128</v>
      </c>
      <c r="C2848" t="inlineStr">
        <is>
          <t>Love Cabaret</t>
        </is>
      </c>
      <c r="D2848" t="inlineStr">
        <is>
          <t>PETTY CASH</t>
        </is>
      </c>
      <c r="E2848" t="n">
        <v>122.19</v>
      </c>
      <c r="F2848" s="27" t="n">
        <v>45688</v>
      </c>
      <c r="G2848" s="27" t="n"/>
      <c r="H2848" s="27" t="n">
        <v>45688</v>
      </c>
      <c r="I2848" s="27" t="n">
        <v>45658</v>
      </c>
      <c r="J2848" s="27" t="n">
        <v>45688</v>
      </c>
      <c r="K2848" t="inlineStr">
        <is>
          <t>Dinheiro em Espécie</t>
        </is>
      </c>
      <c r="L2848" t="inlineStr">
        <is>
          <t>Utilidades</t>
        </is>
      </c>
      <c r="M2848" t="inlineStr">
        <is>
          <t>Higiene e Limpeza</t>
        </is>
      </c>
      <c r="N2848" t="inlineStr">
        <is>
          <t>5PETTY012025</t>
        </is>
      </c>
      <c r="O2848" t="inlineStr">
        <is>
          <t>Documentação Aprovada</t>
        </is>
      </c>
      <c r="P2848" t="inlineStr">
        <is>
          <t>Aprovado Diretoria</t>
        </is>
      </c>
      <c r="Q2848" t="inlineStr">
        <is>
          <t>Aprovado Caixa</t>
        </is>
      </c>
      <c r="R2848" t="inlineStr">
        <is>
          <t>Pago</t>
        </is>
      </c>
      <c r="S2848" t="n">
        <v>120</v>
      </c>
      <c r="T2848" t="inlineStr">
        <is>
          <t>Love - Petty Cash</t>
        </is>
      </c>
    </row>
    <row r="2849">
      <c r="A2849" t="n">
        <v>106834</v>
      </c>
      <c r="B2849" t="n">
        <v>128</v>
      </c>
      <c r="C2849" t="inlineStr">
        <is>
          <t>Love Cabaret</t>
        </is>
      </c>
      <c r="D2849" t="inlineStr">
        <is>
          <t>PETTY CASH</t>
        </is>
      </c>
      <c r="E2849" t="n">
        <v>73.98</v>
      </c>
      <c r="F2849" s="27" t="n">
        <v>45688</v>
      </c>
      <c r="G2849" s="27" t="n"/>
      <c r="H2849" s="27" t="n">
        <v>45688</v>
      </c>
      <c r="I2849" s="27" t="n">
        <v>45658</v>
      </c>
      <c r="J2849" s="27" t="n">
        <v>45688</v>
      </c>
      <c r="K2849" t="inlineStr">
        <is>
          <t>Dinheiro em Espécie</t>
        </is>
      </c>
      <c r="L2849" t="inlineStr">
        <is>
          <t>Utilidades</t>
        </is>
      </c>
      <c r="M2849" t="inlineStr">
        <is>
          <t>Material de Escritorio</t>
        </is>
      </c>
      <c r="N2849" t="inlineStr">
        <is>
          <t>4PETTY012025</t>
        </is>
      </c>
      <c r="O2849" t="inlineStr">
        <is>
          <t>Documentação Aprovada</t>
        </is>
      </c>
      <c r="P2849" t="inlineStr">
        <is>
          <t>Aprovado Diretoria</t>
        </is>
      </c>
      <c r="Q2849" t="inlineStr">
        <is>
          <t>Aprovado Caixa</t>
        </is>
      </c>
      <c r="R2849" t="inlineStr">
        <is>
          <t>Pago</t>
        </is>
      </c>
      <c r="S2849" t="n">
        <v>120</v>
      </c>
      <c r="T2849" t="inlineStr">
        <is>
          <t>Love - Petty Cash</t>
        </is>
      </c>
    </row>
    <row r="2850">
      <c r="A2850" t="n">
        <v>106833</v>
      </c>
      <c r="B2850" t="n">
        <v>128</v>
      </c>
      <c r="C2850" t="inlineStr">
        <is>
          <t>Love Cabaret</t>
        </is>
      </c>
      <c r="D2850" t="inlineStr">
        <is>
          <t>PETTY CASH</t>
        </is>
      </c>
      <c r="E2850" t="n">
        <v>73.8</v>
      </c>
      <c r="F2850" s="27" t="n">
        <v>45688</v>
      </c>
      <c r="G2850" s="27" t="n"/>
      <c r="H2850" s="27" t="n">
        <v>45688</v>
      </c>
      <c r="I2850" s="27" t="n">
        <v>45658</v>
      </c>
      <c r="J2850" s="27" t="n">
        <v>45688</v>
      </c>
      <c r="K2850" t="inlineStr">
        <is>
          <t>Dinheiro em Espécie</t>
        </is>
      </c>
      <c r="L2850" t="inlineStr">
        <is>
          <t>Manutenção</t>
        </is>
      </c>
      <c r="M2850" t="inlineStr">
        <is>
          <t>Manutenção Predial</t>
        </is>
      </c>
      <c r="N2850" t="inlineStr">
        <is>
          <t>3PETTY012025</t>
        </is>
      </c>
      <c r="O2850" t="inlineStr">
        <is>
          <t>Documentação Aprovada</t>
        </is>
      </c>
      <c r="P2850" t="inlineStr">
        <is>
          <t>Aprovado Diretoria</t>
        </is>
      </c>
      <c r="Q2850" t="inlineStr">
        <is>
          <t>Aprovado Caixa</t>
        </is>
      </c>
      <c r="R2850" t="inlineStr">
        <is>
          <t>Pago</t>
        </is>
      </c>
      <c r="S2850" t="n">
        <v>120</v>
      </c>
      <c r="T2850" t="inlineStr">
        <is>
          <t>Love - Petty Cash</t>
        </is>
      </c>
    </row>
    <row r="2851">
      <c r="A2851" t="n">
        <v>106832</v>
      </c>
      <c r="B2851" t="n">
        <v>128</v>
      </c>
      <c r="C2851" t="inlineStr">
        <is>
          <t>Love Cabaret</t>
        </is>
      </c>
      <c r="D2851" t="inlineStr">
        <is>
          <t>PETTY CASH</t>
        </is>
      </c>
      <c r="E2851" t="n">
        <v>12.78</v>
      </c>
      <c r="F2851" s="27" t="n">
        <v>45688</v>
      </c>
      <c r="G2851" s="27" t="n"/>
      <c r="H2851" s="27" t="n">
        <v>45688</v>
      </c>
      <c r="I2851" s="27" t="n">
        <v>45658</v>
      </c>
      <c r="J2851" s="27" t="n">
        <v>45688</v>
      </c>
      <c r="K2851" t="inlineStr">
        <is>
          <t>Dinheiro em Espécie</t>
        </is>
      </c>
      <c r="L2851" t="inlineStr">
        <is>
          <t>Custo Mercadoria Vendida</t>
        </is>
      </c>
      <c r="M2851" t="inlineStr">
        <is>
          <t>Insumos - Bebidas</t>
        </is>
      </c>
      <c r="N2851" t="inlineStr">
        <is>
          <t>2PETTY012025</t>
        </is>
      </c>
      <c r="O2851" t="inlineStr">
        <is>
          <t>Documentação Aprovada</t>
        </is>
      </c>
      <c r="P2851" t="inlineStr">
        <is>
          <t>Aprovado Diretoria</t>
        </is>
      </c>
      <c r="Q2851" t="inlineStr">
        <is>
          <t>Aprovado Caixa</t>
        </is>
      </c>
      <c r="R2851" t="inlineStr">
        <is>
          <t>Pago</t>
        </is>
      </c>
      <c r="S2851" t="n">
        <v>120</v>
      </c>
      <c r="T2851" t="inlineStr">
        <is>
          <t>Love - Petty Cash</t>
        </is>
      </c>
    </row>
    <row r="2852">
      <c r="A2852" t="n">
        <v>106200</v>
      </c>
      <c r="B2852" t="n">
        <v>128</v>
      </c>
      <c r="C2852" t="inlineStr">
        <is>
          <t>Love Cabaret</t>
        </is>
      </c>
      <c r="D2852" t="inlineStr">
        <is>
          <t>AURORA ALVORADA ESTACIONAMENTO E LANCHONETE LTDA</t>
        </is>
      </c>
      <c r="E2852" t="n">
        <v>207.46</v>
      </c>
      <c r="F2852" s="27" t="n">
        <v>45691</v>
      </c>
      <c r="G2852" s="27" t="n">
        <v>45688</v>
      </c>
      <c r="H2852" s="27" t="n">
        <v>45688</v>
      </c>
      <c r="I2852" s="27" t="n">
        <v>45684</v>
      </c>
      <c r="J2852" s="27" t="n">
        <v>45686</v>
      </c>
      <c r="K2852" t="inlineStr">
        <is>
          <t>Boleto Bancário</t>
        </is>
      </c>
      <c r="L2852" t="inlineStr">
        <is>
          <t>Custo Mercadoria Vendida</t>
        </is>
      </c>
      <c r="M2852" t="inlineStr">
        <is>
          <t>Insumos - Alimentos</t>
        </is>
      </c>
      <c r="N2852" t="inlineStr">
        <is>
          <t>10237</t>
        </is>
      </c>
      <c r="O2852" t="inlineStr">
        <is>
          <t>Documentação Aprovada</t>
        </is>
      </c>
      <c r="P2852" t="inlineStr">
        <is>
          <t>Aprovado Diretoria</t>
        </is>
      </c>
      <c r="Q2852" t="inlineStr">
        <is>
          <t>Aprovado Caixa</t>
        </is>
      </c>
      <c r="R2852" t="inlineStr">
        <is>
          <t>Pago</t>
        </is>
      </c>
      <c r="S2852" t="n">
        <v>115</v>
      </c>
      <c r="T2852" t="inlineStr">
        <is>
          <t>Love - Shibari - Bradesco</t>
        </is>
      </c>
    </row>
    <row r="2853">
      <c r="A2853" t="n">
        <v>103207</v>
      </c>
      <c r="B2853" t="n">
        <v>128</v>
      </c>
      <c r="C2853" t="inlineStr">
        <is>
          <t>Love Cabaret</t>
        </is>
      </c>
      <c r="D2853" t="inlineStr">
        <is>
          <t>WIDE STOCK COMERCIO E DISTRIBUICAO LTDA</t>
        </is>
      </c>
      <c r="E2853" t="n">
        <v>1102.5</v>
      </c>
      <c r="F2853" s="27" t="n">
        <v>45691</v>
      </c>
      <c r="G2853" s="27" t="n">
        <v>45688</v>
      </c>
      <c r="H2853" s="27" t="n">
        <v>45688</v>
      </c>
      <c r="I2853" s="27" t="n">
        <v>45670</v>
      </c>
      <c r="J2853" s="27" t="n">
        <v>45673</v>
      </c>
      <c r="K2853" t="inlineStr">
        <is>
          <t>Boleto Bancário</t>
        </is>
      </c>
      <c r="L2853" t="inlineStr">
        <is>
          <t>Utilidades</t>
        </is>
      </c>
      <c r="M2853" t="inlineStr">
        <is>
          <t>Higiene e Limpeza</t>
        </is>
      </c>
      <c r="N2853" t="inlineStr">
        <is>
          <t>392802</t>
        </is>
      </c>
      <c r="O2853" t="inlineStr">
        <is>
          <t>Documentação Aprovada</t>
        </is>
      </c>
      <c r="P2853" t="inlineStr">
        <is>
          <t>Aprovado Diretoria</t>
        </is>
      </c>
      <c r="Q2853" t="inlineStr">
        <is>
          <t>Aprovado Caixa</t>
        </is>
      </c>
      <c r="R2853" t="inlineStr">
        <is>
          <t>Pago</t>
        </is>
      </c>
      <c r="S2853" t="n">
        <v>115</v>
      </c>
      <c r="T2853" t="inlineStr">
        <is>
          <t>Love - Shibari - Bradesco</t>
        </is>
      </c>
    </row>
    <row r="2854">
      <c r="A2854" t="n">
        <v>103208</v>
      </c>
      <c r="B2854" t="n">
        <v>128</v>
      </c>
      <c r="C2854" t="inlineStr">
        <is>
          <t>Love Cabaret</t>
        </is>
      </c>
      <c r="D2854" t="inlineStr">
        <is>
          <t>DTK COMERCIO DE ALIMENTOS LTDA</t>
        </is>
      </c>
      <c r="E2854" t="n">
        <v>545.46</v>
      </c>
      <c r="F2854" s="27" t="n">
        <v>45691</v>
      </c>
      <c r="G2854" s="27" t="n">
        <v>45688</v>
      </c>
      <c r="H2854" s="27" t="n">
        <v>45688</v>
      </c>
      <c r="I2854" s="27" t="n">
        <v>45670</v>
      </c>
      <c r="J2854" s="27" t="n">
        <v>45673</v>
      </c>
      <c r="K2854" t="inlineStr">
        <is>
          <t>Boleto Bancário</t>
        </is>
      </c>
      <c r="L2854" t="inlineStr">
        <is>
          <t>Custo Mercadoria Vendida</t>
        </is>
      </c>
      <c r="M2854" t="inlineStr">
        <is>
          <t>Insumos - Alimentos</t>
        </is>
      </c>
      <c r="N2854" t="inlineStr">
        <is>
          <t>20909</t>
        </is>
      </c>
      <c r="O2854" t="inlineStr">
        <is>
          <t>Documentação Aprovada</t>
        </is>
      </c>
      <c r="P2854" t="inlineStr">
        <is>
          <t>Aprovado Diretoria</t>
        </is>
      </c>
      <c r="Q2854" t="inlineStr">
        <is>
          <t>Aprovado Caixa</t>
        </is>
      </c>
      <c r="R2854" t="inlineStr">
        <is>
          <t>Pago</t>
        </is>
      </c>
      <c r="S2854" t="n">
        <v>115</v>
      </c>
      <c r="T2854" t="inlineStr">
        <is>
          <t>Love - Shibari - Bradesco</t>
        </is>
      </c>
    </row>
    <row r="2855">
      <c r="A2855" t="n">
        <v>103213</v>
      </c>
      <c r="B2855" t="n">
        <v>128</v>
      </c>
      <c r="C2855" t="inlineStr">
        <is>
          <t>Love Cabaret</t>
        </is>
      </c>
      <c r="D2855" t="inlineStr">
        <is>
          <t xml:space="preserve">EMPORIO MEL </t>
        </is>
      </c>
      <c r="E2855" t="n">
        <v>1820.12</v>
      </c>
      <c r="F2855" s="27" t="n">
        <v>45691</v>
      </c>
      <c r="G2855" s="27" t="n">
        <v>45688</v>
      </c>
      <c r="H2855" s="27" t="n">
        <v>45688</v>
      </c>
      <c r="I2855" s="27" t="n">
        <v>45670</v>
      </c>
      <c r="J2855" s="27" t="n">
        <v>45673</v>
      </c>
      <c r="K2855" t="inlineStr">
        <is>
          <t>Boleto Bancário</t>
        </is>
      </c>
      <c r="L2855" t="inlineStr">
        <is>
          <t>Custo Mercadoria Vendida</t>
        </is>
      </c>
      <c r="M2855" t="inlineStr">
        <is>
          <t>Insumos - Alimentos</t>
        </is>
      </c>
      <c r="N2855" t="inlineStr">
        <is>
          <t>436489</t>
        </is>
      </c>
      <c r="O2855" t="inlineStr">
        <is>
          <t>Documentação Aprovada</t>
        </is>
      </c>
      <c r="P2855" t="inlineStr">
        <is>
          <t>Aprovado Diretoria</t>
        </is>
      </c>
      <c r="Q2855" t="inlineStr">
        <is>
          <t>Aprovado Caixa</t>
        </is>
      </c>
      <c r="R2855" t="inlineStr">
        <is>
          <t>Pago</t>
        </is>
      </c>
      <c r="S2855" t="n">
        <v>115</v>
      </c>
      <c r="T2855" t="inlineStr">
        <is>
          <t>Love - Shibari - Bradesco</t>
        </is>
      </c>
    </row>
    <row r="2856">
      <c r="A2856" t="n">
        <v>51156</v>
      </c>
      <c r="B2856" t="n">
        <v>128</v>
      </c>
      <c r="C2856" t="inlineStr">
        <is>
          <t>Love Cabaret</t>
        </is>
      </c>
      <c r="D2856" t="inlineStr">
        <is>
          <t>ICMS</t>
        </is>
      </c>
      <c r="E2856" t="n">
        <v>575.58</v>
      </c>
      <c r="F2856" s="27" t="n">
        <v>45684</v>
      </c>
      <c r="G2856" s="27" t="n">
        <v>45688</v>
      </c>
      <c r="H2856" s="27" t="n">
        <v>45687</v>
      </c>
      <c r="I2856" s="27" t="n">
        <v>45406</v>
      </c>
      <c r="J2856" s="27" t="n"/>
      <c r="K2856" t="inlineStr">
        <is>
          <t>Boleto Bancário</t>
        </is>
      </c>
      <c r="L2856" t="inlineStr">
        <is>
          <t>Endividamento</t>
        </is>
      </c>
      <c r="M2856" t="inlineStr">
        <is>
          <t>Endividamento Geral</t>
        </is>
      </c>
      <c r="N2856" t="inlineStr">
        <is>
          <t>9/36</t>
        </is>
      </c>
      <c r="O2856" t="inlineStr">
        <is>
          <t>Documentação Aprovada</t>
        </is>
      </c>
      <c r="P2856" t="inlineStr">
        <is>
          <t>Aprovado Diretoria</t>
        </is>
      </c>
      <c r="Q2856" t="inlineStr">
        <is>
          <t>Aprovado Caixa</t>
        </is>
      </c>
      <c r="R2856" t="inlineStr">
        <is>
          <t>Pago</t>
        </is>
      </c>
      <c r="S2856" t="n">
        <v>115</v>
      </c>
      <c r="T2856" t="inlineStr">
        <is>
          <t>Love - Shibari - Bradesco</t>
        </is>
      </c>
    </row>
    <row r="2857">
      <c r="A2857" t="n">
        <v>48506</v>
      </c>
      <c r="B2857" t="n">
        <v>128</v>
      </c>
      <c r="C2857" t="inlineStr">
        <is>
          <t>Love Cabaret</t>
        </is>
      </c>
      <c r="D2857" t="inlineStr">
        <is>
          <t>ICMS</t>
        </is>
      </c>
      <c r="E2857" t="n">
        <v>754.2</v>
      </c>
      <c r="F2857" s="27" t="n">
        <v>45685</v>
      </c>
      <c r="G2857" s="27" t="n">
        <v>45688</v>
      </c>
      <c r="H2857" s="27" t="n">
        <v>45687</v>
      </c>
      <c r="I2857" s="27" t="n">
        <v>45366</v>
      </c>
      <c r="J2857" s="27" t="n"/>
      <c r="K2857" t="inlineStr">
        <is>
          <t>Boleto Bancário</t>
        </is>
      </c>
      <c r="L2857" t="inlineStr">
        <is>
          <t>Endividamento</t>
        </is>
      </c>
      <c r="M2857" t="inlineStr">
        <is>
          <t>Endividamento Geral</t>
        </is>
      </c>
      <c r="N2857" t="inlineStr">
        <is>
          <t>10/60</t>
        </is>
      </c>
      <c r="O2857" t="inlineStr">
        <is>
          <t>Documentação Aprovada</t>
        </is>
      </c>
      <c r="P2857" t="inlineStr">
        <is>
          <t>Aprovado Diretoria</t>
        </is>
      </c>
      <c r="Q2857" t="inlineStr">
        <is>
          <t>Aprovado Caixa</t>
        </is>
      </c>
      <c r="R2857" t="inlineStr">
        <is>
          <t>Pago</t>
        </is>
      </c>
      <c r="S2857" t="n">
        <v>115</v>
      </c>
      <c r="T2857" t="inlineStr">
        <is>
          <t>Love - Shibari - Bradesco</t>
        </is>
      </c>
    </row>
    <row r="2858">
      <c r="A2858" t="n">
        <v>48391</v>
      </c>
      <c r="B2858" t="n">
        <v>128</v>
      </c>
      <c r="C2858" t="inlineStr">
        <is>
          <t>Love Cabaret</t>
        </is>
      </c>
      <c r="D2858" t="inlineStr">
        <is>
          <t xml:space="preserve">MINISTERIO DA FAZENDA </t>
        </is>
      </c>
      <c r="E2858" t="n">
        <v>554.05</v>
      </c>
      <c r="F2858" s="27" t="n">
        <v>45685</v>
      </c>
      <c r="G2858" s="27" t="n">
        <v>45686</v>
      </c>
      <c r="H2858" s="27" t="n">
        <v>45686</v>
      </c>
      <c r="I2858" s="27" t="n">
        <v>45366</v>
      </c>
      <c r="J2858" s="27" t="n"/>
      <c r="K2858" t="inlineStr">
        <is>
          <t>Boleto Bancário</t>
        </is>
      </c>
      <c r="L2858" t="inlineStr">
        <is>
          <t>Endividamento</t>
        </is>
      </c>
      <c r="M2858" t="inlineStr">
        <is>
          <t>Endividamento Geral</t>
        </is>
      </c>
      <c r="N2858" t="inlineStr">
        <is>
          <t>11/45</t>
        </is>
      </c>
      <c r="O2858" t="inlineStr">
        <is>
          <t>Documentação Aprovada</t>
        </is>
      </c>
      <c r="P2858" t="inlineStr">
        <is>
          <t>Aprovado Diretoria</t>
        </is>
      </c>
      <c r="Q2858" t="inlineStr">
        <is>
          <t>Aprovado Caixa</t>
        </is>
      </c>
      <c r="R2858" t="inlineStr">
        <is>
          <t>Pago</t>
        </is>
      </c>
      <c r="S2858" t="n">
        <v>115</v>
      </c>
      <c r="T2858" t="inlineStr">
        <is>
          <t>Love - Shibari - Bradesco</t>
        </is>
      </c>
    </row>
    <row r="2859">
      <c r="A2859" t="n">
        <v>103193</v>
      </c>
      <c r="B2859" t="n">
        <v>128</v>
      </c>
      <c r="C2859" t="inlineStr">
        <is>
          <t>Love Cabaret</t>
        </is>
      </c>
      <c r="D2859" t="inlineStr">
        <is>
          <t>AMOAUDIO LTDA</t>
        </is>
      </c>
      <c r="E2859" t="n">
        <v>2600</v>
      </c>
      <c r="F2859" s="27" t="n">
        <v>45688</v>
      </c>
      <c r="G2859" s="27" t="n">
        <v>45686</v>
      </c>
      <c r="H2859" s="27" t="n">
        <v>45686</v>
      </c>
      <c r="I2859" s="27" t="n">
        <v>45673</v>
      </c>
      <c r="J2859" s="27" t="n">
        <v>45673</v>
      </c>
      <c r="K2859" t="inlineStr">
        <is>
          <t>Boleto Bancário</t>
        </is>
      </c>
      <c r="L2859" t="inlineStr">
        <is>
          <t>Investimento - CAPEX</t>
        </is>
      </c>
      <c r="M2859" t="inlineStr">
        <is>
          <t>Investimento - Equipamentos</t>
        </is>
      </c>
      <c r="N2859" t="inlineStr">
        <is>
          <t>2714</t>
        </is>
      </c>
      <c r="O2859" t="inlineStr">
        <is>
          <t>Documentação Aprovada</t>
        </is>
      </c>
      <c r="P2859" t="inlineStr">
        <is>
          <t>Aprovado Diretoria</t>
        </is>
      </c>
      <c r="Q2859" t="inlineStr">
        <is>
          <t>Aprovado Caixa</t>
        </is>
      </c>
      <c r="R2859" t="inlineStr">
        <is>
          <t>Pago</t>
        </is>
      </c>
      <c r="S2859" t="n">
        <v>115</v>
      </c>
      <c r="T2859" t="inlineStr">
        <is>
          <t>Love - Shibari - Bradesco</t>
        </is>
      </c>
    </row>
    <row r="2860">
      <c r="A2860" t="n">
        <v>105756</v>
      </c>
      <c r="B2860" t="n">
        <v>128</v>
      </c>
      <c r="C2860" t="inlineStr">
        <is>
          <t>Love Cabaret</t>
        </is>
      </c>
      <c r="D2860" t="inlineStr">
        <is>
          <t>DLOCAL BRASIL PAGAMENTOS LTDA  - DMK</t>
        </is>
      </c>
      <c r="E2860" t="n">
        <v>2000</v>
      </c>
      <c r="F2860" s="27" t="n">
        <v>45688</v>
      </c>
      <c r="G2860" s="27" t="n">
        <v>45686</v>
      </c>
      <c r="H2860" s="27" t="n">
        <v>45686</v>
      </c>
      <c r="I2860" s="27" t="n">
        <v>45684</v>
      </c>
      <c r="J2860" s="27" t="n">
        <v>45684</v>
      </c>
      <c r="K2860" t="inlineStr">
        <is>
          <t>Boleto Bancário</t>
        </is>
      </c>
      <c r="L2860" t="inlineStr">
        <is>
          <t>Marketing</t>
        </is>
      </c>
      <c r="M2860" t="inlineStr">
        <is>
          <t>Publicidade e Propaganda</t>
        </is>
      </c>
      <c r="N2860" t="inlineStr">
        <is>
          <t>194303624016626</t>
        </is>
      </c>
      <c r="O2860" t="inlineStr">
        <is>
          <t>Documentação Aprovada</t>
        </is>
      </c>
      <c r="P2860" t="inlineStr">
        <is>
          <t>Aprovado Diretoria</t>
        </is>
      </c>
      <c r="Q2860" t="inlineStr">
        <is>
          <t>Aprovado Caixa</t>
        </is>
      </c>
      <c r="R2860" t="inlineStr">
        <is>
          <t>Pago</t>
        </is>
      </c>
      <c r="S2860" t="n">
        <v>115</v>
      </c>
      <c r="T2860" t="inlineStr">
        <is>
          <t>Love - Shibari - Bradesco</t>
        </is>
      </c>
    </row>
    <row r="2861">
      <c r="A2861" t="n">
        <v>105755</v>
      </c>
      <c r="B2861" t="n">
        <v>128</v>
      </c>
      <c r="C2861" t="inlineStr">
        <is>
          <t>Love Cabaret</t>
        </is>
      </c>
      <c r="D2861" t="inlineStr">
        <is>
          <t xml:space="preserve">GOOGLE BRASIL INTERNET LTDA </t>
        </is>
      </c>
      <c r="E2861" t="n">
        <v>500</v>
      </c>
      <c r="F2861" s="27" t="n">
        <v>45686</v>
      </c>
      <c r="G2861" s="27" t="n">
        <v>45686</v>
      </c>
      <c r="H2861" s="27" t="n">
        <v>45686</v>
      </c>
      <c r="I2861" s="27" t="n">
        <v>45684</v>
      </c>
      <c r="J2861" s="27" t="n">
        <v>45684</v>
      </c>
      <c r="K2861" t="inlineStr">
        <is>
          <t>Boleto Bancário</t>
        </is>
      </c>
      <c r="L2861" t="inlineStr">
        <is>
          <t>Marketing</t>
        </is>
      </c>
      <c r="M2861" t="inlineStr">
        <is>
          <t>Publicidade e Propaganda</t>
        </is>
      </c>
      <c r="N2861" t="inlineStr">
        <is>
          <t>20</t>
        </is>
      </c>
      <c r="O2861" t="inlineStr">
        <is>
          <t>Documentação Aprovada</t>
        </is>
      </c>
      <c r="P2861" t="inlineStr">
        <is>
          <t>Aprovado Diretoria</t>
        </is>
      </c>
      <c r="Q2861" t="inlineStr">
        <is>
          <t>Aprovado Caixa</t>
        </is>
      </c>
      <c r="R2861" t="inlineStr">
        <is>
          <t>Pago</t>
        </is>
      </c>
      <c r="S2861" t="n">
        <v>115</v>
      </c>
      <c r="T2861" t="inlineStr">
        <is>
          <t>Love - Shibari - Bradesco</t>
        </is>
      </c>
    </row>
    <row r="2862">
      <c r="A2862" t="n">
        <v>104598</v>
      </c>
      <c r="B2862" t="n">
        <v>128</v>
      </c>
      <c r="C2862" t="inlineStr">
        <is>
          <t>Love Cabaret</t>
        </is>
      </c>
      <c r="D2862" t="inlineStr">
        <is>
          <t>LEIA DOS SANTOS</t>
        </is>
      </c>
      <c r="E2862" t="n">
        <v>3628.64</v>
      </c>
      <c r="F2862" s="27" t="n">
        <v>45688</v>
      </c>
      <c r="G2862" s="27" t="n">
        <v>45686</v>
      </c>
      <c r="H2862" s="27" t="n">
        <v>45686</v>
      </c>
      <c r="I2862" s="27" t="n">
        <v>45658</v>
      </c>
      <c r="J2862" s="27" t="n">
        <v>45678</v>
      </c>
      <c r="K2862" t="inlineStr">
        <is>
          <t>Transferência Bancária ou Pix</t>
        </is>
      </c>
      <c r="L2862" t="inlineStr">
        <is>
          <t>Mão de Obra - Encargos e Provisões</t>
        </is>
      </c>
      <c r="M2862" t="inlineStr">
        <is>
          <t xml:space="preserve">  -  FGTS</t>
        </is>
      </c>
      <c r="N2862" t="inlineStr">
        <is>
          <t>012025</t>
        </is>
      </c>
      <c r="O2862" t="inlineStr">
        <is>
          <t>Documentação Aprovada</t>
        </is>
      </c>
      <c r="P2862" t="inlineStr">
        <is>
          <t>Aprovado Diretoria</t>
        </is>
      </c>
      <c r="Q2862" t="inlineStr">
        <is>
          <t>Aprovado Caixa</t>
        </is>
      </c>
      <c r="R2862" t="inlineStr">
        <is>
          <t>Pago</t>
        </is>
      </c>
      <c r="S2862" t="n">
        <v>115</v>
      </c>
      <c r="T2862" t="inlineStr">
        <is>
          <t>Love - Shibari - Bradesco</t>
        </is>
      </c>
    </row>
    <row r="2863">
      <c r="A2863" t="n">
        <v>104759</v>
      </c>
      <c r="B2863" t="n">
        <v>128</v>
      </c>
      <c r="C2863" t="inlineStr">
        <is>
          <t>Love Cabaret</t>
        </is>
      </c>
      <c r="D2863" t="inlineStr">
        <is>
          <t>QUATTRO BEBIDAS LTDA</t>
        </is>
      </c>
      <c r="E2863" t="n">
        <v>1149.2</v>
      </c>
      <c r="F2863" s="27" t="n">
        <v>45688</v>
      </c>
      <c r="G2863" s="27" t="n">
        <v>45686</v>
      </c>
      <c r="H2863" s="27" t="n">
        <v>45686</v>
      </c>
      <c r="I2863" s="27" t="n">
        <v>45674</v>
      </c>
      <c r="J2863" s="27" t="n">
        <v>45679</v>
      </c>
      <c r="K2863" t="inlineStr">
        <is>
          <t>Boleto Bancário</t>
        </is>
      </c>
      <c r="L2863" t="inlineStr">
        <is>
          <t>Custo Mercadoria Vendida</t>
        </is>
      </c>
      <c r="M2863" t="inlineStr">
        <is>
          <t>Insumos - Bebidas</t>
        </is>
      </c>
      <c r="N2863" t="inlineStr">
        <is>
          <t>5175</t>
        </is>
      </c>
      <c r="O2863" t="inlineStr">
        <is>
          <t>Documentação Aprovada</t>
        </is>
      </c>
      <c r="P2863" t="inlineStr">
        <is>
          <t>Aprovado Diretoria</t>
        </is>
      </c>
      <c r="Q2863" t="inlineStr">
        <is>
          <t>Aprovado Caixa</t>
        </is>
      </c>
      <c r="R2863" t="inlineStr">
        <is>
          <t>Pago</t>
        </is>
      </c>
      <c r="S2863" t="n">
        <v>115</v>
      </c>
      <c r="T2863" t="inlineStr">
        <is>
          <t>Love - Shibari - Bradesco</t>
        </is>
      </c>
    </row>
    <row r="2864">
      <c r="A2864" t="n">
        <v>104755</v>
      </c>
      <c r="B2864" t="n">
        <v>128</v>
      </c>
      <c r="C2864" t="inlineStr">
        <is>
          <t>Love Cabaret</t>
        </is>
      </c>
      <c r="D2864" t="inlineStr">
        <is>
          <t>ICE4PROS FABRICA DE GELO LTDA</t>
        </is>
      </c>
      <c r="E2864" t="n">
        <v>494</v>
      </c>
      <c r="F2864" s="27" t="n">
        <v>45687</v>
      </c>
      <c r="G2864" s="27" t="n">
        <v>45686</v>
      </c>
      <c r="H2864" s="27" t="n">
        <v>45686</v>
      </c>
      <c r="I2864" s="27" t="n">
        <v>45677</v>
      </c>
      <c r="J2864" s="27" t="n">
        <v>45679</v>
      </c>
      <c r="K2864" t="inlineStr">
        <is>
          <t>Boleto Bancário</t>
        </is>
      </c>
      <c r="L2864" t="inlineStr">
        <is>
          <t>Custo Mercadoria Vendida</t>
        </is>
      </c>
      <c r="M2864" t="inlineStr">
        <is>
          <t>Insumos - Bebidas</t>
        </is>
      </c>
      <c r="N2864" t="inlineStr">
        <is>
          <t>73099</t>
        </is>
      </c>
      <c r="O2864" t="inlineStr">
        <is>
          <t>Documentação Aprovada</t>
        </is>
      </c>
      <c r="P2864" t="inlineStr">
        <is>
          <t>Aprovado Diretoria</t>
        </is>
      </c>
      <c r="Q2864" t="inlineStr">
        <is>
          <t>Aprovado Caixa</t>
        </is>
      </c>
      <c r="R2864" t="inlineStr">
        <is>
          <t>Pago</t>
        </is>
      </c>
      <c r="S2864" t="n">
        <v>115</v>
      </c>
      <c r="T2864" t="inlineStr">
        <is>
          <t>Love - Shibari - Bradesco</t>
        </is>
      </c>
    </row>
    <row r="2865">
      <c r="A2865" t="n">
        <v>104176</v>
      </c>
      <c r="B2865" t="n">
        <v>128</v>
      </c>
      <c r="C2865" t="inlineStr">
        <is>
          <t>Love Cabaret</t>
        </is>
      </c>
      <c r="D2865" t="inlineStr">
        <is>
          <t>VALE TRANSPORTE</t>
        </is>
      </c>
      <c r="E2865" t="n">
        <v>661.4299999999999</v>
      </c>
      <c r="F2865" s="27" t="n">
        <v>45687</v>
      </c>
      <c r="G2865" s="27" t="n">
        <v>45686</v>
      </c>
      <c r="H2865" s="27" t="n">
        <v>45686</v>
      </c>
      <c r="I2865" s="27" t="n">
        <v>45687</v>
      </c>
      <c r="J2865" s="27" t="n">
        <v>45677</v>
      </c>
      <c r="K2865" t="inlineStr">
        <is>
          <t>Boleto Bancário</t>
        </is>
      </c>
      <c r="L2865" t="inlineStr">
        <is>
          <t>Mão de Obra - Benefícios</t>
        </is>
      </c>
      <c r="M2865" t="inlineStr">
        <is>
          <t xml:space="preserve">  -  Vale-transporte</t>
        </is>
      </c>
      <c r="N2865" t="inlineStr">
        <is>
          <t>206380299</t>
        </is>
      </c>
      <c r="O2865" t="inlineStr">
        <is>
          <t>Documentação Aprovada</t>
        </is>
      </c>
      <c r="P2865" t="inlineStr">
        <is>
          <t>Aprovado Diretoria</t>
        </is>
      </c>
      <c r="Q2865" t="inlineStr">
        <is>
          <t>Aprovado Caixa</t>
        </is>
      </c>
      <c r="R2865" t="inlineStr">
        <is>
          <t>Pago</t>
        </is>
      </c>
      <c r="S2865" t="n">
        <v>115</v>
      </c>
      <c r="T2865" t="inlineStr">
        <is>
          <t>Love - Shibari - Bradesco</t>
        </is>
      </c>
    </row>
    <row r="2866">
      <c r="A2866" t="n">
        <v>104597</v>
      </c>
      <c r="B2866" t="n">
        <v>128</v>
      </c>
      <c r="C2866" t="inlineStr">
        <is>
          <t>Love Cabaret</t>
        </is>
      </c>
      <c r="D2866" t="inlineStr">
        <is>
          <t>LEIA DOS SANTOS</t>
        </is>
      </c>
      <c r="E2866" t="n">
        <v>8231.049999999999</v>
      </c>
      <c r="F2866" s="27" t="n">
        <v>45688</v>
      </c>
      <c r="G2866" s="27" t="n">
        <v>45686</v>
      </c>
      <c r="H2866" s="27" t="n">
        <v>45686</v>
      </c>
      <c r="I2866" s="27" t="n">
        <v>45658</v>
      </c>
      <c r="J2866" s="27" t="n">
        <v>45678</v>
      </c>
      <c r="K2866" t="inlineStr">
        <is>
          <t>Transferência Bancária ou Pix</t>
        </is>
      </c>
      <c r="L2866" t="inlineStr">
        <is>
          <t>Mão de Obra - Encargos e Provisões</t>
        </is>
      </c>
      <c r="M2866" t="inlineStr">
        <is>
          <t xml:space="preserve">  -  Rescisão</t>
        </is>
      </c>
      <c r="N2866" t="inlineStr">
        <is>
          <t>012025</t>
        </is>
      </c>
      <c r="O2866" t="inlineStr">
        <is>
          <t>Documentação Aprovada</t>
        </is>
      </c>
      <c r="P2866" t="inlineStr">
        <is>
          <t>Aprovado Diretoria</t>
        </is>
      </c>
      <c r="Q2866" t="inlineStr">
        <is>
          <t>Aprovado Caixa</t>
        </is>
      </c>
      <c r="R2866" t="inlineStr">
        <is>
          <t>Pago</t>
        </is>
      </c>
      <c r="S2866" t="n">
        <v>115</v>
      </c>
      <c r="T2866" t="inlineStr">
        <is>
          <t>Love - Shibari - Bradesco</t>
        </is>
      </c>
    </row>
    <row r="2867">
      <c r="A2867" t="n">
        <v>104754</v>
      </c>
      <c r="B2867" t="n">
        <v>128</v>
      </c>
      <c r="C2867" t="inlineStr">
        <is>
          <t>Love Cabaret</t>
        </is>
      </c>
      <c r="D2867" t="inlineStr">
        <is>
          <t xml:space="preserve">LATICINIOS FIOR DITALIA LTDA </t>
        </is>
      </c>
      <c r="E2867" t="n">
        <v>326.75</v>
      </c>
      <c r="F2867" s="27" t="n">
        <v>45689</v>
      </c>
      <c r="G2867" s="27" t="n">
        <v>45686</v>
      </c>
      <c r="H2867" s="27" t="n">
        <v>45686</v>
      </c>
      <c r="I2867" s="27" t="n">
        <v>45673</v>
      </c>
      <c r="J2867" s="27" t="n">
        <v>45679</v>
      </c>
      <c r="K2867" t="inlineStr">
        <is>
          <t>Boleto Bancário</t>
        </is>
      </c>
      <c r="L2867" t="inlineStr">
        <is>
          <t>Custo Mercadoria Vendida</t>
        </is>
      </c>
      <c r="M2867" t="inlineStr">
        <is>
          <t>Insumos - Alimentos</t>
        </is>
      </c>
      <c r="N2867" t="inlineStr">
        <is>
          <t>33752</t>
        </is>
      </c>
      <c r="O2867" t="inlineStr">
        <is>
          <t>Documentação Aprovada</t>
        </is>
      </c>
      <c r="P2867" t="inlineStr">
        <is>
          <t>Aprovado Diretoria</t>
        </is>
      </c>
      <c r="Q2867" t="inlineStr">
        <is>
          <t>Aprovado Caixa</t>
        </is>
      </c>
      <c r="R2867" t="inlineStr">
        <is>
          <t>Pago</t>
        </is>
      </c>
      <c r="S2867" t="n">
        <v>115</v>
      </c>
      <c r="T2867" t="inlineStr">
        <is>
          <t>Love - Shibari - Bradesco</t>
        </is>
      </c>
    </row>
    <row r="2868">
      <c r="A2868" t="n">
        <v>106326</v>
      </c>
      <c r="B2868" t="n">
        <v>128</v>
      </c>
      <c r="C2868" t="inlineStr">
        <is>
          <t>Love Cabaret</t>
        </is>
      </c>
      <c r="D2868" t="inlineStr">
        <is>
          <t>BRADESCO SA</t>
        </is>
      </c>
      <c r="E2868" t="n">
        <v>23.1</v>
      </c>
      <c r="F2868" s="27" t="n">
        <v>45686</v>
      </c>
      <c r="G2868" s="27" t="n"/>
      <c r="H2868" s="27" t="n">
        <v>45686</v>
      </c>
      <c r="I2868" s="27" t="n">
        <v>45686</v>
      </c>
      <c r="J2868" s="27" t="n">
        <v>45687</v>
      </c>
      <c r="K2868" t="inlineStr">
        <is>
          <t>Encontro de Contas</t>
        </is>
      </c>
      <c r="L2868" t="inlineStr">
        <is>
          <t>Despesas Financeiras</t>
        </is>
      </c>
      <c r="M2868" t="inlineStr">
        <is>
          <t>Tarifas Bancárias</t>
        </is>
      </c>
      <c r="N2868" t="inlineStr">
        <is>
          <t>012025</t>
        </is>
      </c>
      <c r="P2868" t="inlineStr">
        <is>
          <t>Aprovado Diretoria</t>
        </is>
      </c>
      <c r="R2868" t="inlineStr">
        <is>
          <t>Pago</t>
        </is>
      </c>
    </row>
    <row r="2869">
      <c r="A2869" t="n">
        <v>84040</v>
      </c>
      <c r="B2869" t="n">
        <v>128</v>
      </c>
      <c r="C2869" t="inlineStr">
        <is>
          <t>Love Cabaret</t>
        </is>
      </c>
      <c r="D2869" t="inlineStr">
        <is>
          <t>CSLL</t>
        </is>
      </c>
      <c r="E2869" t="n">
        <v>1571.01</v>
      </c>
      <c r="F2869" s="27" t="n">
        <v>45687</v>
      </c>
      <c r="G2869" s="27" t="n">
        <v>45686</v>
      </c>
      <c r="H2869" s="27" t="n">
        <v>45686</v>
      </c>
      <c r="I2869" s="27" t="n">
        <v>45599</v>
      </c>
      <c r="J2869" s="27" t="n"/>
      <c r="L2869" t="inlineStr">
        <is>
          <t>Endividamento</t>
        </is>
      </c>
      <c r="M2869" t="inlineStr">
        <is>
          <t>Endividamento Geral</t>
        </is>
      </c>
      <c r="N2869" t="inlineStr">
        <is>
          <t>4/120</t>
        </is>
      </c>
      <c r="O2869" t="inlineStr">
        <is>
          <t>Documentação Aprovada</t>
        </is>
      </c>
      <c r="P2869" t="inlineStr">
        <is>
          <t>Aprovado Diretoria</t>
        </is>
      </c>
      <c r="Q2869" t="inlineStr">
        <is>
          <t>Aprovado Caixa</t>
        </is>
      </c>
      <c r="R2869" t="inlineStr">
        <is>
          <t>Pago</t>
        </is>
      </c>
      <c r="S2869" t="n">
        <v>115</v>
      </c>
      <c r="T2869" t="inlineStr">
        <is>
          <t>Love - Shibari - Bradesco</t>
        </is>
      </c>
    </row>
    <row r="2870">
      <c r="A2870" t="n">
        <v>102660</v>
      </c>
      <c r="B2870" t="n">
        <v>128</v>
      </c>
      <c r="C2870" t="inlineStr">
        <is>
          <t>Love Cabaret</t>
        </is>
      </c>
      <c r="D2870" t="inlineStr">
        <is>
          <t>FREE SOM - LOCACAO DE SOM E  LUZ LTDA - TUKASON</t>
        </is>
      </c>
      <c r="E2870" t="n">
        <v>6000</v>
      </c>
      <c r="F2870" s="27" t="n">
        <v>45688</v>
      </c>
      <c r="G2870" s="27" t="n">
        <v>45686</v>
      </c>
      <c r="H2870" s="27" t="n">
        <v>45686</v>
      </c>
      <c r="I2870" s="27" t="n">
        <v>45670</v>
      </c>
      <c r="J2870" s="27" t="n">
        <v>45671</v>
      </c>
      <c r="K2870" t="inlineStr">
        <is>
          <t>Boleto Bancário</t>
        </is>
      </c>
      <c r="L2870" t="inlineStr">
        <is>
          <t>Custos Artístico Geral</t>
        </is>
      </c>
      <c r="M2870" t="inlineStr">
        <is>
          <t>Locação de Equipamentos Fixo</t>
        </is>
      </c>
      <c r="N2870" t="inlineStr">
        <is>
          <t>480</t>
        </is>
      </c>
      <c r="O2870" t="inlineStr">
        <is>
          <t>Documentação Aprovada</t>
        </is>
      </c>
      <c r="P2870" t="inlineStr">
        <is>
          <t>Aprovado Diretoria</t>
        </is>
      </c>
      <c r="Q2870" t="inlineStr">
        <is>
          <t>Aprovado Caixa</t>
        </is>
      </c>
      <c r="R2870" t="inlineStr">
        <is>
          <t>Pago</t>
        </is>
      </c>
      <c r="S2870" t="n">
        <v>115</v>
      </c>
      <c r="T2870" t="inlineStr">
        <is>
          <t>Love - Shibari - Bradesco</t>
        </is>
      </c>
    </row>
    <row r="2871">
      <c r="A2871" t="n">
        <v>97348</v>
      </c>
      <c r="B2871" t="n">
        <v>128</v>
      </c>
      <c r="C2871" t="inlineStr">
        <is>
          <t>Love Cabaret</t>
        </is>
      </c>
      <c r="D2871" t="inlineStr">
        <is>
          <t>EDJANE DANTAS DE ALMEIDA SOUSA  - DESENTUPIDORA</t>
        </is>
      </c>
      <c r="E2871" t="n">
        <v>1200</v>
      </c>
      <c r="F2871" s="27" t="n">
        <v>45690</v>
      </c>
      <c r="G2871" s="27" t="n">
        <v>45686</v>
      </c>
      <c r="H2871" s="27" t="n">
        <v>45686</v>
      </c>
      <c r="I2871" s="27" t="n">
        <v>45674</v>
      </c>
      <c r="J2871" s="27" t="n"/>
      <c r="K2871" t="inlineStr">
        <is>
          <t>Transferência Bancária ou Pix</t>
        </is>
      </c>
      <c r="L2871" t="inlineStr">
        <is>
          <t>Utilidades</t>
        </is>
      </c>
      <c r="M2871" t="inlineStr">
        <is>
          <t>Serviços de Limpeza</t>
        </is>
      </c>
      <c r="N2871" t="inlineStr">
        <is>
          <t>76</t>
        </is>
      </c>
      <c r="O2871" t="inlineStr">
        <is>
          <t>Documentação Aprovada</t>
        </is>
      </c>
      <c r="P2871" t="inlineStr">
        <is>
          <t>Aprovado Diretoria</t>
        </is>
      </c>
      <c r="Q2871" t="inlineStr">
        <is>
          <t>Aprovado Caixa</t>
        </is>
      </c>
      <c r="R2871" t="inlineStr">
        <is>
          <t>Pago</t>
        </is>
      </c>
      <c r="S2871" t="n">
        <v>115</v>
      </c>
      <c r="T2871" t="inlineStr">
        <is>
          <t>Love - Shibari - Bradesco</t>
        </is>
      </c>
    </row>
    <row r="2872">
      <c r="A2872" t="n">
        <v>97374</v>
      </c>
      <c r="B2872" t="n">
        <v>128</v>
      </c>
      <c r="C2872" t="inlineStr">
        <is>
          <t>Love Cabaret</t>
        </is>
      </c>
      <c r="D2872" t="inlineStr">
        <is>
          <t>EBM ADVOGADOS - MATECKI SOCIEDADE INDIVIDUAL DE ADVOCACIA</t>
        </is>
      </c>
      <c r="E2872" t="n">
        <v>2500</v>
      </c>
      <c r="F2872" s="27" t="n">
        <v>45688</v>
      </c>
      <c r="G2872" s="27" t="n">
        <v>45686</v>
      </c>
      <c r="H2872" s="27" t="n">
        <v>45686</v>
      </c>
      <c r="I2872" s="27" t="n">
        <v>45672</v>
      </c>
      <c r="J2872" s="27" t="n"/>
      <c r="K2872" t="inlineStr">
        <is>
          <t>Transferência Bancária ou Pix</t>
        </is>
      </c>
      <c r="L2872" t="inlineStr">
        <is>
          <t>Serviços de Terceiros</t>
        </is>
      </c>
      <c r="M2872" t="inlineStr">
        <is>
          <t>Assessoria Jurídica</t>
        </is>
      </c>
      <c r="N2872" t="inlineStr">
        <is>
          <t>22025</t>
        </is>
      </c>
      <c r="O2872" t="inlineStr">
        <is>
          <t>Documentação Aprovada</t>
        </is>
      </c>
      <c r="P2872" t="inlineStr">
        <is>
          <t>Aprovado Diretoria</t>
        </is>
      </c>
      <c r="Q2872" t="inlineStr">
        <is>
          <t>Aprovado Caixa</t>
        </is>
      </c>
      <c r="R2872" t="inlineStr">
        <is>
          <t>Pago</t>
        </is>
      </c>
      <c r="S2872" t="n">
        <v>115</v>
      </c>
      <c r="T2872" t="inlineStr">
        <is>
          <t>Love - Shibari - Bradesco</t>
        </is>
      </c>
    </row>
    <row r="2873">
      <c r="A2873" t="n">
        <v>97085</v>
      </c>
      <c r="B2873" t="n">
        <v>128</v>
      </c>
      <c r="C2873" t="inlineStr">
        <is>
          <t>Love Cabaret</t>
        </is>
      </c>
      <c r="D2873" t="inlineStr">
        <is>
          <t>ESTAFF SOLUCOES TECNOLOGICAS DE AGENCIAMENTO LTDA</t>
        </is>
      </c>
      <c r="E2873" t="n">
        <v>12628</v>
      </c>
      <c r="F2873" s="27" t="n">
        <v>45686</v>
      </c>
      <c r="G2873" s="27" t="n">
        <v>45686</v>
      </c>
      <c r="H2873" s="27" t="n">
        <v>45686</v>
      </c>
      <c r="I2873" s="27" t="n">
        <v>45677</v>
      </c>
      <c r="J2873" s="27" t="n"/>
      <c r="K2873" t="inlineStr">
        <is>
          <t>Boleto Bancário</t>
        </is>
      </c>
      <c r="L2873" t="inlineStr">
        <is>
          <t>Mão de Obra - Extra</t>
        </is>
      </c>
      <c r="M2873" t="inlineStr">
        <is>
          <t>Mão de Obra Extra</t>
        </is>
      </c>
      <c r="N2873" t="inlineStr">
        <is>
          <t>509410883</t>
        </is>
      </c>
      <c r="O2873" t="inlineStr">
        <is>
          <t>Documentação Aprovada</t>
        </is>
      </c>
      <c r="P2873" t="inlineStr">
        <is>
          <t>Aprovado Diretoria</t>
        </is>
      </c>
      <c r="Q2873" t="inlineStr">
        <is>
          <t>Aprovado Caixa</t>
        </is>
      </c>
      <c r="R2873" t="inlineStr">
        <is>
          <t>Pago</t>
        </is>
      </c>
      <c r="S2873" t="n">
        <v>115</v>
      </c>
      <c r="T2873" t="inlineStr">
        <is>
          <t>Love - Shibari - Bradesco</t>
        </is>
      </c>
    </row>
    <row r="2874">
      <c r="A2874" t="n">
        <v>96805</v>
      </c>
      <c r="B2874" t="n">
        <v>128</v>
      </c>
      <c r="C2874" t="inlineStr">
        <is>
          <t>Love Cabaret</t>
        </is>
      </c>
      <c r="D2874" t="inlineStr">
        <is>
          <t>ARQUIVEI SERVICOS ON LINE LTDA</t>
        </is>
      </c>
      <c r="E2874" t="n">
        <v>364.83</v>
      </c>
      <c r="F2874" s="27" t="n">
        <v>45685</v>
      </c>
      <c r="G2874" s="27" t="n">
        <v>45685</v>
      </c>
      <c r="H2874" s="27" t="n">
        <v>45684</v>
      </c>
      <c r="I2874" s="27" t="n">
        <v>45669</v>
      </c>
      <c r="J2874" s="27" t="n"/>
      <c r="K2874" t="inlineStr">
        <is>
          <t>Transferência Bancária ou Pix</t>
        </is>
      </c>
      <c r="L2874" t="inlineStr">
        <is>
          <t>Informática e TI</t>
        </is>
      </c>
      <c r="M2874" t="inlineStr">
        <is>
          <t>Sistemas Gerais - Financeiros</t>
        </is>
      </c>
      <c r="N2874" t="inlineStr">
        <is>
          <t>RP017-2025</t>
        </is>
      </c>
      <c r="O2874" t="inlineStr">
        <is>
          <t>Documentação Aprovada</t>
        </is>
      </c>
      <c r="P2874" t="inlineStr">
        <is>
          <t>Aprovado Diretoria</t>
        </is>
      </c>
      <c r="Q2874" t="inlineStr">
        <is>
          <t>Aprovado Caixa</t>
        </is>
      </c>
      <c r="R2874" t="inlineStr">
        <is>
          <t>Pago</t>
        </is>
      </c>
      <c r="S2874" t="n">
        <v>115</v>
      </c>
      <c r="T2874" t="inlineStr">
        <is>
          <t>Love - Shibari - Bradesco</t>
        </is>
      </c>
    </row>
    <row r="2875">
      <c r="A2875" t="n">
        <v>103202</v>
      </c>
      <c r="B2875" t="n">
        <v>128</v>
      </c>
      <c r="C2875" t="inlineStr">
        <is>
          <t>Love Cabaret</t>
        </is>
      </c>
      <c r="D2875" t="inlineStr">
        <is>
          <t>ASSAZ ORGANICA INDUSTRIA E COMERCIO DE ALIMENTOS LTDA</t>
        </is>
      </c>
      <c r="E2875" t="n">
        <v>47.25</v>
      </c>
      <c r="F2875" s="27" t="n">
        <v>45686</v>
      </c>
      <c r="G2875" s="27" t="n">
        <v>45685</v>
      </c>
      <c r="H2875" s="27" t="n">
        <v>45684</v>
      </c>
      <c r="I2875" s="27" t="n">
        <v>45671</v>
      </c>
      <c r="J2875" s="27" t="n">
        <v>45673</v>
      </c>
      <c r="K2875" t="inlineStr">
        <is>
          <t>Boleto Bancário</t>
        </is>
      </c>
      <c r="L2875" t="inlineStr">
        <is>
          <t>Custo Mercadoria Vendida</t>
        </is>
      </c>
      <c r="M2875" t="inlineStr">
        <is>
          <t>Insumos - Alimentos</t>
        </is>
      </c>
      <c r="N2875" t="inlineStr">
        <is>
          <t>17724</t>
        </is>
      </c>
      <c r="O2875" t="inlineStr">
        <is>
          <t>Documentação Aprovada</t>
        </is>
      </c>
      <c r="P2875" t="inlineStr">
        <is>
          <t>Aprovado Diretoria</t>
        </is>
      </c>
      <c r="Q2875" t="inlineStr">
        <is>
          <t>Aprovado Caixa</t>
        </is>
      </c>
      <c r="R2875" t="inlineStr">
        <is>
          <t>Pago</t>
        </is>
      </c>
      <c r="S2875" t="n">
        <v>115</v>
      </c>
      <c r="T2875" t="inlineStr">
        <is>
          <t>Love - Shibari - Bradesco</t>
        </is>
      </c>
    </row>
    <row r="2876">
      <c r="A2876" t="n">
        <v>103203</v>
      </c>
      <c r="B2876" t="n">
        <v>128</v>
      </c>
      <c r="C2876" t="inlineStr">
        <is>
          <t>Love Cabaret</t>
        </is>
      </c>
      <c r="D2876" t="inlineStr">
        <is>
          <t>PORCO FELIZ COM DE CARNES LTDA</t>
        </is>
      </c>
      <c r="E2876" t="n">
        <v>186.52</v>
      </c>
      <c r="F2876" s="27" t="n">
        <v>45685</v>
      </c>
      <c r="G2876" s="27" t="n">
        <v>45685</v>
      </c>
      <c r="H2876" s="27" t="n">
        <v>45684</v>
      </c>
      <c r="I2876" s="27" t="n">
        <v>45671</v>
      </c>
      <c r="J2876" s="27" t="n">
        <v>45673</v>
      </c>
      <c r="K2876" t="inlineStr">
        <is>
          <t>Boleto Bancário</t>
        </is>
      </c>
      <c r="L2876" t="inlineStr">
        <is>
          <t>Custo Mercadoria Vendida</t>
        </is>
      </c>
      <c r="M2876" t="inlineStr">
        <is>
          <t>Insumos - Alimentos</t>
        </is>
      </c>
      <c r="N2876" t="inlineStr">
        <is>
          <t>563801</t>
        </is>
      </c>
      <c r="O2876" t="inlineStr">
        <is>
          <t>Documentação Aprovada</t>
        </is>
      </c>
      <c r="P2876" t="inlineStr">
        <is>
          <t>Aprovado Diretoria</t>
        </is>
      </c>
      <c r="Q2876" t="inlineStr">
        <is>
          <t>Aprovado Caixa</t>
        </is>
      </c>
      <c r="R2876" t="inlineStr">
        <is>
          <t>Pago</t>
        </is>
      </c>
      <c r="S2876" t="n">
        <v>115</v>
      </c>
      <c r="T2876" t="inlineStr">
        <is>
          <t>Love - Shibari - Bradesco</t>
        </is>
      </c>
    </row>
    <row r="2877">
      <c r="A2877" t="n">
        <v>103204</v>
      </c>
      <c r="B2877" t="n">
        <v>128</v>
      </c>
      <c r="C2877" t="inlineStr">
        <is>
          <t>Love Cabaret</t>
        </is>
      </c>
      <c r="D2877" t="inlineStr">
        <is>
          <t>CECILIA TSUYACO ARAKI SILVA LTDA</t>
        </is>
      </c>
      <c r="E2877" t="n">
        <v>303.7</v>
      </c>
      <c r="F2877" s="27" t="n">
        <v>45684</v>
      </c>
      <c r="G2877" s="27" t="n">
        <v>45685</v>
      </c>
      <c r="H2877" s="27" t="n">
        <v>45684</v>
      </c>
      <c r="I2877" s="27" t="n">
        <v>45670</v>
      </c>
      <c r="J2877" s="27" t="n">
        <v>45673</v>
      </c>
      <c r="K2877" t="inlineStr">
        <is>
          <t>Boleto Bancário</t>
        </is>
      </c>
      <c r="L2877" t="inlineStr">
        <is>
          <t>Custo Mercadoria Vendida</t>
        </is>
      </c>
      <c r="M2877" t="inlineStr">
        <is>
          <t>Insumos - Alimentos</t>
        </is>
      </c>
      <c r="N2877" t="inlineStr">
        <is>
          <t>363961</t>
        </is>
      </c>
      <c r="O2877" t="inlineStr">
        <is>
          <t>Documentação Aprovada</t>
        </is>
      </c>
      <c r="P2877" t="inlineStr">
        <is>
          <t>Aprovado Diretoria</t>
        </is>
      </c>
      <c r="Q2877" t="inlineStr">
        <is>
          <t>Aprovado Caixa</t>
        </is>
      </c>
      <c r="R2877" t="inlineStr">
        <is>
          <t>Pago</t>
        </is>
      </c>
      <c r="S2877" t="n">
        <v>115</v>
      </c>
      <c r="T2877" t="inlineStr">
        <is>
          <t>Love - Shibari - Bradesco</t>
        </is>
      </c>
    </row>
    <row r="2878">
      <c r="A2878" t="n">
        <v>103206</v>
      </c>
      <c r="B2878" t="n">
        <v>128</v>
      </c>
      <c r="C2878" t="inlineStr">
        <is>
          <t>Love Cabaret</t>
        </is>
      </c>
      <c r="D2878" t="inlineStr">
        <is>
          <t>J A DOS SANTOS HORTIFRUTI</t>
        </is>
      </c>
      <c r="E2878" t="n">
        <v>285.4</v>
      </c>
      <c r="F2878" s="27" t="n">
        <v>45685</v>
      </c>
      <c r="G2878" s="27" t="n">
        <v>45685</v>
      </c>
      <c r="H2878" s="27" t="n">
        <v>45684</v>
      </c>
      <c r="I2878" s="27" t="n">
        <v>45670</v>
      </c>
      <c r="J2878" s="27" t="n">
        <v>45673</v>
      </c>
      <c r="K2878" t="inlineStr">
        <is>
          <t>Boleto Bancário</t>
        </is>
      </c>
      <c r="L2878" t="inlineStr">
        <is>
          <t>Custo Mercadoria Vendida</t>
        </is>
      </c>
      <c r="M2878" t="inlineStr">
        <is>
          <t>Insumos - Alimentos</t>
        </is>
      </c>
      <c r="N2878" t="inlineStr">
        <is>
          <t>35978</t>
        </is>
      </c>
      <c r="O2878" t="inlineStr">
        <is>
          <t>Documentação Aprovada</t>
        </is>
      </c>
      <c r="P2878" t="inlineStr">
        <is>
          <t>Aprovado Diretoria</t>
        </is>
      </c>
      <c r="Q2878" t="inlineStr">
        <is>
          <t>Aprovado Caixa</t>
        </is>
      </c>
      <c r="R2878" t="inlineStr">
        <is>
          <t>Pago</t>
        </is>
      </c>
      <c r="S2878" t="n">
        <v>115</v>
      </c>
      <c r="T2878" t="inlineStr">
        <is>
          <t>Love - Shibari - Bradesco</t>
        </is>
      </c>
    </row>
    <row r="2879">
      <c r="A2879" t="n">
        <v>103210</v>
      </c>
      <c r="B2879" t="n">
        <v>128</v>
      </c>
      <c r="C2879" t="inlineStr">
        <is>
          <t>Love Cabaret</t>
        </is>
      </c>
      <c r="D2879" t="inlineStr">
        <is>
          <t>PARAMU COMERCIO E REPRESENTACAO DE PRODUTOS ALIMENTICIOS</t>
        </is>
      </c>
      <c r="E2879" t="n">
        <v>504.8</v>
      </c>
      <c r="F2879" s="27" t="n">
        <v>45684</v>
      </c>
      <c r="G2879" s="27" t="n">
        <v>45685</v>
      </c>
      <c r="H2879" s="27" t="n">
        <v>45684</v>
      </c>
      <c r="I2879" s="27" t="n">
        <v>45670</v>
      </c>
      <c r="J2879" s="27" t="n">
        <v>45673</v>
      </c>
      <c r="K2879" t="inlineStr">
        <is>
          <t>Boleto Bancário</t>
        </is>
      </c>
      <c r="L2879" t="inlineStr">
        <is>
          <t>Custo Mercadoria Vendida</t>
        </is>
      </c>
      <c r="M2879" t="inlineStr">
        <is>
          <t>Insumos - Alimentos</t>
        </is>
      </c>
      <c r="N2879" t="inlineStr">
        <is>
          <t>12258</t>
        </is>
      </c>
      <c r="O2879" t="inlineStr">
        <is>
          <t>Documentação Aprovada</t>
        </is>
      </c>
      <c r="P2879" t="inlineStr">
        <is>
          <t>Aprovado Diretoria</t>
        </is>
      </c>
      <c r="Q2879" t="inlineStr">
        <is>
          <t>Aprovado Caixa</t>
        </is>
      </c>
      <c r="R2879" t="inlineStr">
        <is>
          <t>Pago</t>
        </is>
      </c>
      <c r="S2879" t="n">
        <v>115</v>
      </c>
      <c r="T2879" t="inlineStr">
        <is>
          <t>Love - Shibari - Bradesco</t>
        </is>
      </c>
    </row>
    <row r="2880">
      <c r="A2880" t="n">
        <v>103217</v>
      </c>
      <c r="B2880" t="n">
        <v>128</v>
      </c>
      <c r="C2880" t="inlineStr">
        <is>
          <t>Love Cabaret</t>
        </is>
      </c>
      <c r="D2880" t="inlineStr">
        <is>
          <t>PIRAMIDES COMERCIO DE AGUAS MINEIRAIS E BEBIDAS EM GERAL LTDA</t>
        </is>
      </c>
      <c r="E2880" t="n">
        <v>332</v>
      </c>
      <c r="F2880" s="27" t="n">
        <v>45685</v>
      </c>
      <c r="G2880" s="27" t="n">
        <v>45685</v>
      </c>
      <c r="H2880" s="27" t="n">
        <v>45684</v>
      </c>
      <c r="I2880" s="27" t="n">
        <v>45671</v>
      </c>
      <c r="J2880" s="27" t="n">
        <v>45673</v>
      </c>
      <c r="K2880" t="inlineStr">
        <is>
          <t>Boleto Bancário</t>
        </is>
      </c>
      <c r="L2880" t="inlineStr">
        <is>
          <t>Custo Mercadoria Vendida</t>
        </is>
      </c>
      <c r="M2880" t="inlineStr">
        <is>
          <t>Insumos - Bebidas</t>
        </is>
      </c>
      <c r="N2880" t="inlineStr">
        <is>
          <t>8</t>
        </is>
      </c>
      <c r="O2880" t="inlineStr">
        <is>
          <t>Documentação Aprovada</t>
        </is>
      </c>
      <c r="P2880" t="inlineStr">
        <is>
          <t>Aprovado Diretoria</t>
        </is>
      </c>
      <c r="Q2880" t="inlineStr">
        <is>
          <t>Aprovado Caixa</t>
        </is>
      </c>
      <c r="R2880" t="inlineStr">
        <is>
          <t>Pago</t>
        </is>
      </c>
      <c r="S2880" t="n">
        <v>115</v>
      </c>
      <c r="T2880" t="inlineStr">
        <is>
          <t>Love - Shibari - Bradesco</t>
        </is>
      </c>
    </row>
    <row r="2881">
      <c r="A2881" t="n">
        <v>103222</v>
      </c>
      <c r="B2881" t="n">
        <v>128</v>
      </c>
      <c r="C2881" t="inlineStr">
        <is>
          <t>Love Cabaret</t>
        </is>
      </c>
      <c r="D2881" t="inlineStr">
        <is>
          <t>ICE4PROS FABRICA DE GELO LTDA</t>
        </is>
      </c>
      <c r="E2881" t="n">
        <v>494</v>
      </c>
      <c r="F2881" s="27" t="n">
        <v>45684</v>
      </c>
      <c r="G2881" s="27" t="n">
        <v>45685</v>
      </c>
      <c r="H2881" s="27" t="n">
        <v>45684</v>
      </c>
      <c r="I2881" s="27" t="n">
        <v>45672</v>
      </c>
      <c r="J2881" s="27" t="n">
        <v>45673</v>
      </c>
      <c r="K2881" t="inlineStr">
        <is>
          <t>Boleto Bancário</t>
        </is>
      </c>
      <c r="L2881" t="inlineStr">
        <is>
          <t>Custo Mercadoria Vendida</t>
        </is>
      </c>
      <c r="M2881" t="inlineStr">
        <is>
          <t>Insumos - Bebidas</t>
        </is>
      </c>
      <c r="N2881" t="inlineStr">
        <is>
          <t>72869</t>
        </is>
      </c>
      <c r="O2881" t="inlineStr">
        <is>
          <t>Documentação Aprovada</t>
        </is>
      </c>
      <c r="P2881" t="inlineStr">
        <is>
          <t>Aprovado Diretoria</t>
        </is>
      </c>
      <c r="Q2881" t="inlineStr">
        <is>
          <t>Aprovado Caixa</t>
        </is>
      </c>
      <c r="R2881" t="inlineStr">
        <is>
          <t>Pago</t>
        </is>
      </c>
      <c r="S2881" t="n">
        <v>115</v>
      </c>
      <c r="T2881" t="inlineStr">
        <is>
          <t>Love - Shibari - Bradesco</t>
        </is>
      </c>
    </row>
    <row r="2882">
      <c r="A2882" t="n">
        <v>103226</v>
      </c>
      <c r="B2882" t="n">
        <v>128</v>
      </c>
      <c r="C2882" t="inlineStr">
        <is>
          <t>Love Cabaret</t>
        </is>
      </c>
      <c r="D2882" t="inlineStr">
        <is>
          <t>PSSS LTDA</t>
        </is>
      </c>
      <c r="E2882" t="n">
        <v>198.68</v>
      </c>
      <c r="F2882" s="27" t="n">
        <v>45686</v>
      </c>
      <c r="G2882" s="27" t="n">
        <v>45685</v>
      </c>
      <c r="H2882" s="27" t="n">
        <v>45684</v>
      </c>
      <c r="I2882" s="27" t="n">
        <v>45672</v>
      </c>
      <c r="J2882" s="27" t="n">
        <v>45673</v>
      </c>
      <c r="K2882" t="inlineStr">
        <is>
          <t>Boleto Bancário</t>
        </is>
      </c>
      <c r="L2882" t="inlineStr">
        <is>
          <t>Utilidades</t>
        </is>
      </c>
      <c r="M2882" t="inlineStr">
        <is>
          <t>Higiene e Limpeza</t>
        </is>
      </c>
      <c r="N2882" t="inlineStr">
        <is>
          <t>983</t>
        </is>
      </c>
      <c r="O2882" t="inlineStr">
        <is>
          <t>Documentação Aprovada</t>
        </is>
      </c>
      <c r="P2882" t="inlineStr">
        <is>
          <t>Aprovado Diretoria</t>
        </is>
      </c>
      <c r="Q2882" t="inlineStr">
        <is>
          <t>Aprovado Caixa</t>
        </is>
      </c>
      <c r="R2882" t="inlineStr">
        <is>
          <t>Pago</t>
        </is>
      </c>
      <c r="S2882" t="n">
        <v>115</v>
      </c>
      <c r="T2882" t="inlineStr">
        <is>
          <t>Love - Shibari - Bradesco</t>
        </is>
      </c>
    </row>
    <row r="2883">
      <c r="A2883" t="n">
        <v>104749</v>
      </c>
      <c r="B2883" t="n">
        <v>128</v>
      </c>
      <c r="C2883" t="inlineStr">
        <is>
          <t>Love Cabaret</t>
        </is>
      </c>
      <c r="D2883" t="inlineStr">
        <is>
          <t>ALLIMENTARI COMERCIO DE PRODUTOS ALIMENTICIOS E SERVICOS LTDA</t>
        </is>
      </c>
      <c r="E2883" t="n">
        <v>87.28</v>
      </c>
      <c r="F2883" s="27" t="n">
        <v>45685</v>
      </c>
      <c r="G2883" s="27" t="n">
        <v>45685</v>
      </c>
      <c r="H2883" s="27" t="n">
        <v>45684</v>
      </c>
      <c r="I2883" s="27" t="n">
        <v>45671</v>
      </c>
      <c r="J2883" s="27" t="n">
        <v>45679</v>
      </c>
      <c r="K2883" t="inlineStr">
        <is>
          <t>Boleto Bancário</t>
        </is>
      </c>
      <c r="L2883" t="inlineStr">
        <is>
          <t>Custo Mercadoria Vendida</t>
        </is>
      </c>
      <c r="M2883" t="inlineStr">
        <is>
          <t>Insumos - Alimentos</t>
        </is>
      </c>
      <c r="N2883" t="inlineStr">
        <is>
          <t>18419</t>
        </is>
      </c>
      <c r="O2883" t="inlineStr">
        <is>
          <t>Documentação Aprovada</t>
        </is>
      </c>
      <c r="P2883" t="inlineStr">
        <is>
          <t>Aprovado Diretoria</t>
        </is>
      </c>
      <c r="Q2883" t="inlineStr">
        <is>
          <t>Aprovado Caixa</t>
        </is>
      </c>
      <c r="R2883" t="inlineStr">
        <is>
          <t>Pago</t>
        </is>
      </c>
      <c r="S2883" t="n">
        <v>115</v>
      </c>
      <c r="T2883" t="inlineStr">
        <is>
          <t>Love - Shibari - Bradesco</t>
        </is>
      </c>
    </row>
    <row r="2884">
      <c r="A2884" t="n">
        <v>104746</v>
      </c>
      <c r="B2884" t="n">
        <v>128</v>
      </c>
      <c r="C2884" t="inlineStr">
        <is>
          <t>Love Cabaret</t>
        </is>
      </c>
      <c r="D2884" t="inlineStr">
        <is>
          <t>AURORA ALVORADA ESTACIONAMENTO E LANCHONETE LTDA</t>
        </is>
      </c>
      <c r="E2884" t="n">
        <v>207.97</v>
      </c>
      <c r="F2884" s="27" t="n">
        <v>45685</v>
      </c>
      <c r="G2884" s="27" t="n">
        <v>45685</v>
      </c>
      <c r="H2884" s="27" t="n">
        <v>45684</v>
      </c>
      <c r="I2884" s="27" t="n">
        <v>45677</v>
      </c>
      <c r="J2884" s="27" t="n">
        <v>45679</v>
      </c>
      <c r="K2884" t="inlineStr">
        <is>
          <t>Boleto Bancário</t>
        </is>
      </c>
      <c r="L2884" t="inlineStr">
        <is>
          <t>Custo Mercadoria Vendida</t>
        </is>
      </c>
      <c r="M2884" t="inlineStr">
        <is>
          <t>Insumos - Alimentos</t>
        </is>
      </c>
      <c r="N2884" t="inlineStr">
        <is>
          <t>10224</t>
        </is>
      </c>
      <c r="O2884" t="inlineStr">
        <is>
          <t>Documentação Aprovada</t>
        </is>
      </c>
      <c r="P2884" t="inlineStr">
        <is>
          <t>Aprovado Diretoria</t>
        </is>
      </c>
      <c r="Q2884" t="inlineStr">
        <is>
          <t>Aprovado Caixa</t>
        </is>
      </c>
      <c r="R2884" t="inlineStr">
        <is>
          <t>Pago</t>
        </is>
      </c>
      <c r="S2884" t="n">
        <v>115</v>
      </c>
      <c r="T2884" t="inlineStr">
        <is>
          <t>Love - Shibari - Bradesco</t>
        </is>
      </c>
    </row>
    <row r="2885">
      <c r="A2885" t="n">
        <v>103005</v>
      </c>
      <c r="B2885" t="n">
        <v>128</v>
      </c>
      <c r="C2885" t="inlineStr">
        <is>
          <t>Love Cabaret</t>
        </is>
      </c>
      <c r="D2885" t="inlineStr">
        <is>
          <t>TELEFONICA BRASIL S/A</t>
        </is>
      </c>
      <c r="E2885" t="n">
        <v>20</v>
      </c>
      <c r="F2885" s="27" t="n">
        <v>45684</v>
      </c>
      <c r="G2885" s="27" t="n">
        <v>45685</v>
      </c>
      <c r="H2885" s="27" t="n">
        <v>45684</v>
      </c>
      <c r="I2885" s="27" t="n">
        <v>45643</v>
      </c>
      <c r="J2885" s="27" t="n"/>
      <c r="K2885" t="inlineStr">
        <is>
          <t>Boleto Bancário</t>
        </is>
      </c>
      <c r="L2885" t="inlineStr">
        <is>
          <t>Informática e TI</t>
        </is>
      </c>
      <c r="M2885" t="inlineStr">
        <is>
          <t>Internet</t>
        </is>
      </c>
      <c r="N2885" t="inlineStr">
        <is>
          <t>443836731</t>
        </is>
      </c>
      <c r="O2885" t="inlineStr">
        <is>
          <t>Documentação Aprovada</t>
        </is>
      </c>
      <c r="P2885" t="inlineStr">
        <is>
          <t>Aprovado Diretoria</t>
        </is>
      </c>
      <c r="Q2885" t="inlineStr">
        <is>
          <t>Aprovado Caixa</t>
        </is>
      </c>
      <c r="R2885" t="inlineStr">
        <is>
          <t>Pago</t>
        </is>
      </c>
      <c r="S2885" t="n">
        <v>115</v>
      </c>
      <c r="T2885" t="inlineStr">
        <is>
          <t>Love - Shibari - Bradesco</t>
        </is>
      </c>
    </row>
    <row r="2886">
      <c r="A2886" t="n">
        <v>102992</v>
      </c>
      <c r="B2886" t="n">
        <v>128</v>
      </c>
      <c r="C2886" t="inlineStr">
        <is>
          <t>Love Cabaret</t>
        </is>
      </c>
      <c r="D2886" t="inlineStr">
        <is>
          <t>TELEFONICA BRASIL S/A</t>
        </is>
      </c>
      <c r="E2886" t="n">
        <v>449.21</v>
      </c>
      <c r="F2886" s="27" t="n">
        <v>45684</v>
      </c>
      <c r="G2886" s="27" t="n">
        <v>45685</v>
      </c>
      <c r="H2886" s="27" t="n">
        <v>45684</v>
      </c>
      <c r="I2886" s="27" t="n">
        <v>45674</v>
      </c>
      <c r="J2886" s="27" t="n"/>
      <c r="K2886" t="inlineStr">
        <is>
          <t>Boleto Bancário</t>
        </is>
      </c>
      <c r="L2886" t="inlineStr">
        <is>
          <t>Informática e TI</t>
        </is>
      </c>
      <c r="M2886" t="inlineStr">
        <is>
          <t>Internet</t>
        </is>
      </c>
      <c r="N2886" t="inlineStr">
        <is>
          <t>443318083</t>
        </is>
      </c>
      <c r="O2886" t="inlineStr">
        <is>
          <t>Documentação Aprovada</t>
        </is>
      </c>
      <c r="P2886" t="inlineStr">
        <is>
          <t>Aprovado Diretoria</t>
        </is>
      </c>
      <c r="Q2886" t="inlineStr">
        <is>
          <t>Aprovado Caixa</t>
        </is>
      </c>
      <c r="R2886" t="inlineStr">
        <is>
          <t>Pago</t>
        </is>
      </c>
      <c r="S2886" t="n">
        <v>115</v>
      </c>
      <c r="T2886" t="inlineStr">
        <is>
          <t>Love - Shibari - Bradesco</t>
        </is>
      </c>
    </row>
    <row r="2887">
      <c r="A2887" t="n">
        <v>101855</v>
      </c>
      <c r="B2887" t="n">
        <v>128</v>
      </c>
      <c r="C2887" t="inlineStr">
        <is>
          <t>Love Cabaret</t>
        </is>
      </c>
      <c r="D2887" t="inlineStr">
        <is>
          <t>CG FOOD´S DISTRIBUIDORA DE ALIMENTOS LTDA</t>
        </is>
      </c>
      <c r="E2887" t="n">
        <v>207.6</v>
      </c>
      <c r="F2887" s="27" t="n">
        <v>45686</v>
      </c>
      <c r="G2887" s="27" t="n">
        <v>45685</v>
      </c>
      <c r="H2887" s="27" t="n">
        <v>45684</v>
      </c>
      <c r="I2887" s="27" t="n">
        <v>45665</v>
      </c>
      <c r="J2887" s="27" t="n">
        <v>45670</v>
      </c>
      <c r="K2887" t="inlineStr">
        <is>
          <t>Boleto Bancário</t>
        </is>
      </c>
      <c r="L2887" t="inlineStr">
        <is>
          <t>Custo Mercadoria Vendida</t>
        </is>
      </c>
      <c r="M2887" t="inlineStr">
        <is>
          <t>Insumos - Alimentos</t>
        </is>
      </c>
      <c r="N2887" t="inlineStr">
        <is>
          <t>138637</t>
        </is>
      </c>
      <c r="O2887" t="inlineStr">
        <is>
          <t>Documentação Aprovada</t>
        </is>
      </c>
      <c r="P2887" t="inlineStr">
        <is>
          <t>Aprovado Diretoria</t>
        </is>
      </c>
      <c r="Q2887" t="inlineStr">
        <is>
          <t>Aprovado Caixa</t>
        </is>
      </c>
      <c r="R2887" t="inlineStr">
        <is>
          <t>Pago</t>
        </is>
      </c>
      <c r="S2887" t="n">
        <v>115</v>
      </c>
      <c r="T2887" t="inlineStr">
        <is>
          <t>Love - Shibari - Bradesco</t>
        </is>
      </c>
    </row>
    <row r="2888">
      <c r="A2888" t="n">
        <v>101875</v>
      </c>
      <c r="B2888" t="n">
        <v>128</v>
      </c>
      <c r="C2888" t="inlineStr">
        <is>
          <t>Love Cabaret</t>
        </is>
      </c>
      <c r="D2888" t="inlineStr">
        <is>
          <t>FLAVIO RODRIGUES DE MOURA</t>
        </is>
      </c>
      <c r="E2888" t="n">
        <v>1000</v>
      </c>
      <c r="F2888" s="27" t="n">
        <v>45684</v>
      </c>
      <c r="G2888" s="27" t="n">
        <v>45685</v>
      </c>
      <c r="H2888" s="27" t="n">
        <v>45684</v>
      </c>
      <c r="I2888" s="27" t="n">
        <v>45670</v>
      </c>
      <c r="J2888" s="27" t="n">
        <v>45670</v>
      </c>
      <c r="K2888" t="inlineStr">
        <is>
          <t>Transferência Bancária ou Pix</t>
        </is>
      </c>
      <c r="L2888" t="inlineStr">
        <is>
          <t>Custos Artístico Geral</t>
        </is>
      </c>
      <c r="M2888" t="inlineStr">
        <is>
          <t>Cachê de Músicos e Artistas</t>
        </is>
      </c>
      <c r="N2888" t="inlineStr">
        <is>
          <t>012025</t>
        </is>
      </c>
      <c r="O2888" t="inlineStr">
        <is>
          <t>Documentação Aprovada</t>
        </is>
      </c>
      <c r="P2888" t="inlineStr">
        <is>
          <t>Aprovado Diretoria</t>
        </is>
      </c>
      <c r="Q2888" t="inlineStr">
        <is>
          <t>Aprovado Caixa</t>
        </is>
      </c>
      <c r="R2888" t="inlineStr">
        <is>
          <t>Pago</t>
        </is>
      </c>
      <c r="S2888" t="n">
        <v>115</v>
      </c>
      <c r="T2888" t="inlineStr">
        <is>
          <t>Love - Shibari - Bradesco</t>
        </is>
      </c>
    </row>
    <row r="2889">
      <c r="A2889" t="n">
        <v>101846</v>
      </c>
      <c r="B2889" t="n">
        <v>128</v>
      </c>
      <c r="C2889" t="inlineStr">
        <is>
          <t>Love Cabaret</t>
        </is>
      </c>
      <c r="D2889" t="inlineStr">
        <is>
          <t xml:space="preserve">DISTRIBUIDORA DE CARNES CANTAREIRA </t>
        </is>
      </c>
      <c r="E2889" t="n">
        <v>220.48</v>
      </c>
      <c r="F2889" s="27" t="n">
        <v>45684</v>
      </c>
      <c r="G2889" s="27" t="n">
        <v>45685</v>
      </c>
      <c r="H2889" s="27" t="n">
        <v>45684</v>
      </c>
      <c r="I2889" s="27" t="n">
        <v>45664</v>
      </c>
      <c r="J2889" s="27" t="n">
        <v>45670</v>
      </c>
      <c r="K2889" t="inlineStr">
        <is>
          <t>Boleto Bancário</t>
        </is>
      </c>
      <c r="L2889" t="inlineStr">
        <is>
          <t>Custo Mercadoria Vendida</t>
        </is>
      </c>
      <c r="M2889" t="inlineStr">
        <is>
          <t>Insumos - Alimentos</t>
        </is>
      </c>
      <c r="N2889" t="inlineStr">
        <is>
          <t>37870</t>
        </is>
      </c>
      <c r="O2889" t="inlineStr">
        <is>
          <t>Documentação Aprovada</t>
        </is>
      </c>
      <c r="P2889" t="inlineStr">
        <is>
          <t>Aprovado Diretoria</t>
        </is>
      </c>
      <c r="Q2889" t="inlineStr">
        <is>
          <t>Aprovado Caixa</t>
        </is>
      </c>
      <c r="R2889" t="inlineStr">
        <is>
          <t>Pago</t>
        </is>
      </c>
      <c r="S2889" t="n">
        <v>115</v>
      </c>
      <c r="T2889" t="inlineStr">
        <is>
          <t>Love - Shibari - Bradesco</t>
        </is>
      </c>
    </row>
    <row r="2890">
      <c r="A2890" t="n">
        <v>101849</v>
      </c>
      <c r="B2890" t="n">
        <v>128</v>
      </c>
      <c r="C2890" t="inlineStr">
        <is>
          <t>Love Cabaret</t>
        </is>
      </c>
      <c r="D2890" t="inlineStr">
        <is>
          <t>FG7 COMERCIO E DISTRIBUICAO DE BEBIDAS LTDA</t>
        </is>
      </c>
      <c r="E2890" t="n">
        <v>1537.9</v>
      </c>
      <c r="F2890" s="27" t="n">
        <v>45686</v>
      </c>
      <c r="G2890" s="27" t="n">
        <v>45685</v>
      </c>
      <c r="H2890" s="27" t="n">
        <v>45684</v>
      </c>
      <c r="I2890" s="27" t="n">
        <v>45663</v>
      </c>
      <c r="J2890" s="27" t="n">
        <v>45670</v>
      </c>
      <c r="K2890" t="inlineStr">
        <is>
          <t>Boleto Bancário</t>
        </is>
      </c>
      <c r="L2890" t="inlineStr">
        <is>
          <t>Custo Mercadoria Vendida</t>
        </is>
      </c>
      <c r="M2890" t="inlineStr">
        <is>
          <t>Insumos - Bebidas</t>
        </is>
      </c>
      <c r="N2890" t="inlineStr">
        <is>
          <t>556356</t>
        </is>
      </c>
      <c r="O2890" t="inlineStr">
        <is>
          <t>Documentação Aprovada</t>
        </is>
      </c>
      <c r="P2890" t="inlineStr">
        <is>
          <t>Aprovado Diretoria</t>
        </is>
      </c>
      <c r="Q2890" t="inlineStr">
        <is>
          <t>Aprovado Caixa</t>
        </is>
      </c>
      <c r="R2890" t="inlineStr">
        <is>
          <t>Pago</t>
        </is>
      </c>
      <c r="S2890" t="n">
        <v>115</v>
      </c>
      <c r="T2890" t="inlineStr">
        <is>
          <t>Love - Shibari - Bradesco</t>
        </is>
      </c>
    </row>
    <row r="2891">
      <c r="A2891" t="n">
        <v>59207</v>
      </c>
      <c r="B2891" t="n">
        <v>128</v>
      </c>
      <c r="C2891" t="inlineStr">
        <is>
          <t>Love Cabaret</t>
        </is>
      </c>
      <c r="D2891" t="inlineStr">
        <is>
          <t>FABRICA DE BARES PARTICIPACOES LTDA</t>
        </is>
      </c>
      <c r="E2891" t="n">
        <v>5715.27</v>
      </c>
      <c r="F2891" s="27" t="n">
        <v>45677</v>
      </c>
      <c r="G2891" s="27" t="n">
        <v>45685</v>
      </c>
      <c r="H2891" s="27" t="n">
        <v>45684</v>
      </c>
      <c r="I2891" s="27" t="n">
        <v>45656</v>
      </c>
      <c r="J2891" s="27" t="n"/>
      <c r="K2891" t="inlineStr">
        <is>
          <t>Transferência Bancária ou Pix</t>
        </is>
      </c>
      <c r="L2891" t="inlineStr">
        <is>
          <t>Mão de Obra - Benefícios</t>
        </is>
      </c>
      <c r="M2891" t="inlineStr">
        <is>
          <t xml:space="preserve">  -  Alimentação Funcionário</t>
        </is>
      </c>
      <c r="N2891" t="inlineStr">
        <is>
          <t>RP005-2025</t>
        </is>
      </c>
      <c r="O2891" t="inlineStr">
        <is>
          <t>Documentação Aprovada</t>
        </is>
      </c>
      <c r="P2891" t="inlineStr">
        <is>
          <t>Aprovado Diretoria</t>
        </is>
      </c>
      <c r="Q2891" t="inlineStr">
        <is>
          <t>Aprovado Caixa</t>
        </is>
      </c>
      <c r="R2891" t="inlineStr">
        <is>
          <t>Pago</t>
        </is>
      </c>
      <c r="S2891" t="n">
        <v>115</v>
      </c>
      <c r="T2891" t="inlineStr">
        <is>
          <t>Love - Shibari - Bradesco</t>
        </is>
      </c>
    </row>
    <row r="2892">
      <c r="A2892" t="n">
        <v>105646</v>
      </c>
      <c r="B2892" t="n">
        <v>128</v>
      </c>
      <c r="C2892" t="inlineStr">
        <is>
          <t>Love Cabaret</t>
        </is>
      </c>
      <c r="D2892" t="inlineStr">
        <is>
          <t>BRADESCO SA</t>
        </is>
      </c>
      <c r="E2892" t="n">
        <v>17.82</v>
      </c>
      <c r="F2892" s="27" t="n">
        <v>45681</v>
      </c>
      <c r="G2892" s="27" t="n"/>
      <c r="H2892" s="27" t="n">
        <v>45681</v>
      </c>
      <c r="I2892" s="27" t="n">
        <v>45681</v>
      </c>
      <c r="J2892" s="27" t="n">
        <v>45684</v>
      </c>
      <c r="K2892" t="inlineStr">
        <is>
          <t>Encontro de Contas</t>
        </is>
      </c>
      <c r="L2892" t="inlineStr">
        <is>
          <t>Despesas Financeiras</t>
        </is>
      </c>
      <c r="M2892" t="inlineStr">
        <is>
          <t>Tarifas Bancárias</t>
        </is>
      </c>
      <c r="N2892" t="inlineStr">
        <is>
          <t>012025</t>
        </is>
      </c>
      <c r="P2892" t="inlineStr">
        <is>
          <t>Aprovado Diretoria</t>
        </is>
      </c>
      <c r="R2892" t="inlineStr">
        <is>
          <t>Pago</t>
        </is>
      </c>
    </row>
    <row r="2893">
      <c r="A2893" t="n">
        <v>104865</v>
      </c>
      <c r="B2893" t="n">
        <v>128</v>
      </c>
      <c r="C2893" t="inlineStr">
        <is>
          <t>Love Cabaret</t>
        </is>
      </c>
      <c r="D2893" t="inlineStr">
        <is>
          <t>BRADESCO SA</t>
        </is>
      </c>
      <c r="E2893" t="n">
        <v>29.1</v>
      </c>
      <c r="F2893" s="27" t="n">
        <v>45679</v>
      </c>
      <c r="G2893" s="27" t="n"/>
      <c r="H2893" s="27" t="n">
        <v>45679</v>
      </c>
      <c r="I2893" s="27" t="n">
        <v>45679</v>
      </c>
      <c r="J2893" s="27" t="n">
        <v>45680</v>
      </c>
      <c r="K2893" t="inlineStr">
        <is>
          <t>Encontro de Contas</t>
        </is>
      </c>
      <c r="L2893" t="inlineStr">
        <is>
          <t>Despesas Financeiras</t>
        </is>
      </c>
      <c r="M2893" t="inlineStr">
        <is>
          <t>Tarifas Bancárias</t>
        </is>
      </c>
      <c r="N2893" t="inlineStr">
        <is>
          <t>012025</t>
        </is>
      </c>
      <c r="P2893" t="inlineStr">
        <is>
          <t>Aprovado Diretoria</t>
        </is>
      </c>
      <c r="R2893" t="inlineStr">
        <is>
          <t>Pago</t>
        </is>
      </c>
    </row>
    <row r="2894">
      <c r="A2894" t="n">
        <v>103192</v>
      </c>
      <c r="B2894" t="n">
        <v>128</v>
      </c>
      <c r="C2894" t="inlineStr">
        <is>
          <t>Love Cabaret</t>
        </is>
      </c>
      <c r="D2894" t="inlineStr">
        <is>
          <t xml:space="preserve">FABRICIO LUMINATO ADRIANO </t>
        </is>
      </c>
      <c r="E2894" t="n">
        <v>170</v>
      </c>
      <c r="F2894" s="27" t="n">
        <v>45682</v>
      </c>
      <c r="G2894" s="27" t="n">
        <v>45679</v>
      </c>
      <c r="H2894" s="27" t="n">
        <v>45679</v>
      </c>
      <c r="I2894" s="27" t="n">
        <v>45673</v>
      </c>
      <c r="J2894" s="27" t="n">
        <v>45673</v>
      </c>
      <c r="K2894" t="inlineStr">
        <is>
          <t>Boleto Bancário</t>
        </is>
      </c>
      <c r="L2894" t="inlineStr">
        <is>
          <t>Custo Mercadoria Vendida</t>
        </is>
      </c>
      <c r="M2894" t="inlineStr">
        <is>
          <t>Insumos - Alimentos</t>
        </is>
      </c>
      <c r="N2894" t="inlineStr">
        <is>
          <t>25</t>
        </is>
      </c>
      <c r="O2894" t="inlineStr">
        <is>
          <t>Documentação Aprovada</t>
        </is>
      </c>
      <c r="P2894" t="inlineStr">
        <is>
          <t>Aprovado Diretoria</t>
        </is>
      </c>
      <c r="Q2894" t="inlineStr">
        <is>
          <t>Aprovado Caixa</t>
        </is>
      </c>
      <c r="R2894" t="inlineStr">
        <is>
          <t>Pago</t>
        </is>
      </c>
      <c r="S2894" t="n">
        <v>115</v>
      </c>
      <c r="T2894" t="inlineStr">
        <is>
          <t>Love - Shibari - Bradesco</t>
        </is>
      </c>
    </row>
    <row r="2895">
      <c r="A2895" t="n">
        <v>96894</v>
      </c>
      <c r="B2895" t="n">
        <v>128</v>
      </c>
      <c r="C2895" t="inlineStr">
        <is>
          <t>Love Cabaret</t>
        </is>
      </c>
      <c r="D2895" t="inlineStr">
        <is>
          <t>COMPANHIA DE GAS DE SAO PAULO</t>
        </is>
      </c>
      <c r="E2895" t="n">
        <v>1086.01</v>
      </c>
      <c r="F2895" s="27" t="n">
        <v>45683</v>
      </c>
      <c r="G2895" s="27" t="n">
        <v>45679</v>
      </c>
      <c r="H2895" s="27" t="n">
        <v>45679</v>
      </c>
      <c r="I2895" s="27" t="n">
        <v>45667</v>
      </c>
      <c r="J2895" s="27" t="n"/>
      <c r="K2895" t="inlineStr">
        <is>
          <t>Boleto Bancário</t>
        </is>
      </c>
      <c r="L2895" t="inlineStr">
        <is>
          <t>Utilidades</t>
        </is>
      </c>
      <c r="M2895" t="inlineStr">
        <is>
          <t>Gas de Cozinha</t>
        </is>
      </c>
      <c r="N2895" t="inlineStr">
        <is>
          <t>117.947.847</t>
        </is>
      </c>
      <c r="O2895" t="inlineStr">
        <is>
          <t>Documentação Aprovada</t>
        </is>
      </c>
      <c r="P2895" t="inlineStr">
        <is>
          <t>Aprovado Diretoria</t>
        </is>
      </c>
      <c r="Q2895" t="inlineStr">
        <is>
          <t>Aprovado Caixa</t>
        </is>
      </c>
      <c r="R2895" t="inlineStr">
        <is>
          <t>Pago</t>
        </is>
      </c>
      <c r="S2895" t="n">
        <v>115</v>
      </c>
      <c r="T2895" t="inlineStr">
        <is>
          <t>Love - Shibari - Bradesco</t>
        </is>
      </c>
    </row>
    <row r="2896">
      <c r="A2896" t="n">
        <v>97084</v>
      </c>
      <c r="B2896" t="n">
        <v>128</v>
      </c>
      <c r="C2896" t="inlineStr">
        <is>
          <t>Love Cabaret</t>
        </is>
      </c>
      <c r="D2896" t="inlineStr">
        <is>
          <t>ESTAFF SOLUCOES TECNOLOGICAS DE AGENCIAMENTO LTDA</t>
        </is>
      </c>
      <c r="E2896" t="n">
        <v>12985.5</v>
      </c>
      <c r="F2896" s="27" t="n">
        <v>45679</v>
      </c>
      <c r="G2896" s="27" t="n">
        <v>45679</v>
      </c>
      <c r="H2896" s="27" t="n">
        <v>45679</v>
      </c>
      <c r="I2896" s="27" t="n">
        <v>45670</v>
      </c>
      <c r="J2896" s="27" t="n"/>
      <c r="K2896" t="inlineStr">
        <is>
          <t>Boleto Bancário</t>
        </is>
      </c>
      <c r="L2896" t="inlineStr">
        <is>
          <t>Mão de Obra - Extra</t>
        </is>
      </c>
      <c r="M2896" t="inlineStr">
        <is>
          <t>Mão de Obra Extra</t>
        </is>
      </c>
      <c r="N2896" t="inlineStr">
        <is>
          <t>505621068</t>
        </is>
      </c>
      <c r="O2896" t="inlineStr">
        <is>
          <t>Documentação Aprovada</t>
        </is>
      </c>
      <c r="P2896" t="inlineStr">
        <is>
          <t>Aprovado Diretoria</t>
        </is>
      </c>
      <c r="Q2896" t="inlineStr">
        <is>
          <t>Aprovado Caixa</t>
        </is>
      </c>
      <c r="R2896" t="inlineStr">
        <is>
          <t>Pago</t>
        </is>
      </c>
      <c r="S2896" t="n">
        <v>115</v>
      </c>
      <c r="T2896" t="inlineStr">
        <is>
          <t>Love - Shibari - Bradesco</t>
        </is>
      </c>
    </row>
    <row r="2897">
      <c r="A2897" t="n">
        <v>101705</v>
      </c>
      <c r="B2897" t="n">
        <v>128</v>
      </c>
      <c r="C2897" t="inlineStr">
        <is>
          <t>Love Cabaret</t>
        </is>
      </c>
      <c r="D2897" t="inlineStr">
        <is>
          <t>INVYE CAPITAL LTDA</t>
        </is>
      </c>
      <c r="E2897" t="n">
        <v>1200</v>
      </c>
      <c r="F2897" s="27" t="n">
        <v>45681</v>
      </c>
      <c r="G2897" s="27" t="n">
        <v>45679</v>
      </c>
      <c r="H2897" s="27" t="n">
        <v>45679</v>
      </c>
      <c r="I2897" s="27" t="n">
        <v>45666</v>
      </c>
      <c r="J2897" s="27" t="n">
        <v>45667</v>
      </c>
      <c r="K2897" t="inlineStr">
        <is>
          <t>Boleto Bancário</t>
        </is>
      </c>
      <c r="L2897" t="inlineStr">
        <is>
          <t>Serviços de Terceiros</t>
        </is>
      </c>
      <c r="M2897" t="inlineStr">
        <is>
          <t>Assessoria em Geral</t>
        </is>
      </c>
      <c r="N2897" t="inlineStr">
        <is>
          <t>2208</t>
        </is>
      </c>
      <c r="O2897" t="inlineStr">
        <is>
          <t>Documentação Aprovada</t>
        </is>
      </c>
      <c r="P2897" t="inlineStr">
        <is>
          <t>Aprovado Diretoria</t>
        </is>
      </c>
      <c r="Q2897" t="inlineStr">
        <is>
          <t>Aprovado Caixa</t>
        </is>
      </c>
      <c r="R2897" t="inlineStr">
        <is>
          <t>Pago</t>
        </is>
      </c>
      <c r="S2897" t="n">
        <v>115</v>
      </c>
      <c r="T2897" t="inlineStr">
        <is>
          <t>Love - Shibari - Bradesco</t>
        </is>
      </c>
    </row>
    <row r="2898">
      <c r="A2898" t="n">
        <v>101861</v>
      </c>
      <c r="B2898" t="n">
        <v>128</v>
      </c>
      <c r="C2898" t="inlineStr">
        <is>
          <t>Love Cabaret</t>
        </is>
      </c>
      <c r="D2898" t="inlineStr">
        <is>
          <t>BATALHA FABRICA DE PAES LTDA</t>
        </is>
      </c>
      <c r="E2898" t="n">
        <v>374.55</v>
      </c>
      <c r="F2898" s="27" t="n">
        <v>45681</v>
      </c>
      <c r="G2898" s="27" t="n">
        <v>45679</v>
      </c>
      <c r="H2898" s="27" t="n">
        <v>45679</v>
      </c>
      <c r="I2898" s="27" t="n">
        <v>45664</v>
      </c>
      <c r="J2898" s="27" t="n">
        <v>45670</v>
      </c>
      <c r="K2898" t="inlineStr">
        <is>
          <t>Boleto Bancário</t>
        </is>
      </c>
      <c r="L2898" t="inlineStr">
        <is>
          <t>Custo Mercadoria Vendida</t>
        </is>
      </c>
      <c r="M2898" t="inlineStr">
        <is>
          <t>Insumos - Alimentos</t>
        </is>
      </c>
      <c r="N2898" t="inlineStr">
        <is>
          <t>26155</t>
        </is>
      </c>
      <c r="O2898" t="inlineStr">
        <is>
          <t>Documentação Aprovada</t>
        </is>
      </c>
      <c r="P2898" t="inlineStr">
        <is>
          <t>Aprovado Diretoria</t>
        </is>
      </c>
      <c r="Q2898" t="inlineStr">
        <is>
          <t>Aprovado Caixa</t>
        </is>
      </c>
      <c r="R2898" t="inlineStr">
        <is>
          <t>Pago</t>
        </is>
      </c>
      <c r="S2898" t="n">
        <v>115</v>
      </c>
      <c r="T2898" t="inlineStr">
        <is>
          <t>Love - Shibari - Bradesco</t>
        </is>
      </c>
    </row>
    <row r="2899">
      <c r="A2899" t="n">
        <v>101852</v>
      </c>
      <c r="B2899" t="n">
        <v>128</v>
      </c>
      <c r="C2899" t="inlineStr">
        <is>
          <t>Love Cabaret</t>
        </is>
      </c>
      <c r="D2899" t="inlineStr">
        <is>
          <t>ASSAZ ORGANICA INDUSTRIA E COMERCIO DE ALIMENTOS LTDA</t>
        </is>
      </c>
      <c r="E2899" t="n">
        <v>83.25</v>
      </c>
      <c r="F2899" s="27" t="n">
        <v>45680</v>
      </c>
      <c r="G2899" s="27" t="n">
        <v>45679</v>
      </c>
      <c r="H2899" s="27" t="n">
        <v>45679</v>
      </c>
      <c r="I2899" s="27" t="n">
        <v>45665</v>
      </c>
      <c r="J2899" s="27" t="n">
        <v>45670</v>
      </c>
      <c r="K2899" t="inlineStr">
        <is>
          <t>Boleto Bancário</t>
        </is>
      </c>
      <c r="L2899" t="inlineStr">
        <is>
          <t>Custo Mercadoria Vendida</t>
        </is>
      </c>
      <c r="M2899" t="inlineStr">
        <is>
          <t>Insumos - Alimentos</t>
        </is>
      </c>
      <c r="N2899" t="inlineStr">
        <is>
          <t>17587</t>
        </is>
      </c>
      <c r="O2899" t="inlineStr">
        <is>
          <t>Documentação Aprovada</t>
        </is>
      </c>
      <c r="P2899" t="inlineStr">
        <is>
          <t>Aprovado Diretoria</t>
        </is>
      </c>
      <c r="Q2899" t="inlineStr">
        <is>
          <t>Aprovado Caixa</t>
        </is>
      </c>
      <c r="R2899" t="inlineStr">
        <is>
          <t>Pago</t>
        </is>
      </c>
      <c r="S2899" t="n">
        <v>115</v>
      </c>
      <c r="T2899" t="inlineStr">
        <is>
          <t>Love - Shibari - Bradesco</t>
        </is>
      </c>
    </row>
    <row r="2900">
      <c r="A2900" t="n">
        <v>101939</v>
      </c>
      <c r="B2900" t="n">
        <v>128</v>
      </c>
      <c r="C2900" t="inlineStr">
        <is>
          <t>Love Cabaret</t>
        </is>
      </c>
      <c r="D2900" t="inlineStr">
        <is>
          <t xml:space="preserve">FORTE ALIMENTOS COM. IMPORTAÇÃO LTDA </t>
        </is>
      </c>
      <c r="E2900" t="n">
        <v>457.65</v>
      </c>
      <c r="F2900" s="27" t="n">
        <v>45681</v>
      </c>
      <c r="G2900" s="27" t="n">
        <v>45679</v>
      </c>
      <c r="H2900" s="27" t="n">
        <v>45679</v>
      </c>
      <c r="I2900" s="27" t="n">
        <v>45666</v>
      </c>
      <c r="J2900" s="27" t="n">
        <v>45670</v>
      </c>
      <c r="K2900" t="inlineStr">
        <is>
          <t>Boleto Bancário</t>
        </is>
      </c>
      <c r="L2900" t="inlineStr">
        <is>
          <t>Custo Mercadoria Vendida</t>
        </is>
      </c>
      <c r="M2900" t="inlineStr">
        <is>
          <t>Insumos - Alimentos</t>
        </is>
      </c>
      <c r="N2900" t="inlineStr">
        <is>
          <t>292779</t>
        </is>
      </c>
      <c r="O2900" t="inlineStr">
        <is>
          <t>Documentação Aprovada</t>
        </is>
      </c>
      <c r="P2900" t="inlineStr">
        <is>
          <t>Aprovado Diretoria</t>
        </is>
      </c>
      <c r="Q2900" t="inlineStr">
        <is>
          <t>Aprovado Caixa</t>
        </is>
      </c>
      <c r="R2900" t="inlineStr">
        <is>
          <t>Pago</t>
        </is>
      </c>
      <c r="S2900" t="n">
        <v>115</v>
      </c>
      <c r="T2900" t="inlineStr">
        <is>
          <t>Love - Shibari - Bradesco</t>
        </is>
      </c>
    </row>
    <row r="2901">
      <c r="A2901" t="n">
        <v>97360</v>
      </c>
      <c r="B2901" t="n">
        <v>128</v>
      </c>
      <c r="C2901" t="inlineStr">
        <is>
          <t>Love Cabaret</t>
        </is>
      </c>
      <c r="D2901" t="inlineStr">
        <is>
          <t xml:space="preserve">EDIMAR MOURA TARTAGLIONI SERVICOES DE DEDETIZACAO </t>
        </is>
      </c>
      <c r="E2901" t="n">
        <v>630</v>
      </c>
      <c r="F2901" s="27" t="n">
        <v>45681</v>
      </c>
      <c r="G2901" s="27" t="n">
        <v>45679</v>
      </c>
      <c r="H2901" s="27" t="n">
        <v>45679</v>
      </c>
      <c r="I2901" s="27" t="n">
        <v>45662</v>
      </c>
      <c r="J2901" s="27" t="n"/>
      <c r="K2901" t="inlineStr">
        <is>
          <t>Transferência Bancária ou Pix</t>
        </is>
      </c>
      <c r="L2901" t="inlineStr">
        <is>
          <t>Utilidades</t>
        </is>
      </c>
      <c r="M2901" t="inlineStr">
        <is>
          <t>Controle de Pragas</t>
        </is>
      </c>
      <c r="N2901" t="inlineStr">
        <is>
          <t>473</t>
        </is>
      </c>
      <c r="O2901" t="inlineStr">
        <is>
          <t>Documentação Aprovada</t>
        </is>
      </c>
      <c r="P2901" t="inlineStr">
        <is>
          <t>Aprovado Diretoria</t>
        </is>
      </c>
      <c r="Q2901" t="inlineStr">
        <is>
          <t>Aprovado Caixa</t>
        </is>
      </c>
      <c r="R2901" t="inlineStr">
        <is>
          <t>Pago</t>
        </is>
      </c>
      <c r="S2901" t="n">
        <v>115</v>
      </c>
      <c r="T2901" t="inlineStr">
        <is>
          <t>Love - Shibari - Bradesco</t>
        </is>
      </c>
    </row>
    <row r="2902">
      <c r="A2902" t="n">
        <v>103029</v>
      </c>
      <c r="B2902" t="n">
        <v>128</v>
      </c>
      <c r="C2902" t="inlineStr">
        <is>
          <t>Love Cabaret</t>
        </is>
      </c>
      <c r="D2902" t="inlineStr">
        <is>
          <t>TELEFONICA BRASIL S/A</t>
        </is>
      </c>
      <c r="E2902" t="n">
        <v>327.09</v>
      </c>
      <c r="F2902" s="27" t="n">
        <v>45682</v>
      </c>
      <c r="G2902" s="27" t="n">
        <v>45679</v>
      </c>
      <c r="H2902" s="27" t="n">
        <v>45679</v>
      </c>
      <c r="I2902" s="27" t="n">
        <v>45674</v>
      </c>
      <c r="J2902" s="27" t="n"/>
      <c r="K2902" t="inlineStr">
        <is>
          <t>Boleto Bancário</t>
        </is>
      </c>
      <c r="L2902" t="inlineStr">
        <is>
          <t>Informática e TI</t>
        </is>
      </c>
      <c r="M2902" t="inlineStr">
        <is>
          <t>Internet</t>
        </is>
      </c>
      <c r="N2902" t="inlineStr">
        <is>
          <t xml:space="preserve">455530810 </t>
        </is>
      </c>
      <c r="O2902" t="inlineStr">
        <is>
          <t>Documentação Aprovada</t>
        </is>
      </c>
      <c r="P2902" t="inlineStr">
        <is>
          <t>Aprovado Diretoria</t>
        </is>
      </c>
      <c r="Q2902" t="inlineStr">
        <is>
          <t>Aprovado Caixa</t>
        </is>
      </c>
      <c r="R2902" t="inlineStr">
        <is>
          <t>Pago</t>
        </is>
      </c>
      <c r="S2902" t="n">
        <v>115</v>
      </c>
      <c r="T2902" t="inlineStr">
        <is>
          <t>Love - Shibari - Bradesco</t>
        </is>
      </c>
    </row>
    <row r="2903">
      <c r="A2903" t="n">
        <v>103017</v>
      </c>
      <c r="B2903" t="n">
        <v>128</v>
      </c>
      <c r="C2903" t="inlineStr">
        <is>
          <t>Love Cabaret</t>
        </is>
      </c>
      <c r="D2903" t="inlineStr">
        <is>
          <t>TELEFONICA BRASIL S/A</t>
        </is>
      </c>
      <c r="E2903" t="n">
        <v>93.7</v>
      </c>
      <c r="F2903" s="27" t="n">
        <v>45682</v>
      </c>
      <c r="G2903" s="27" t="n">
        <v>45679</v>
      </c>
      <c r="H2903" s="27" t="n">
        <v>45679</v>
      </c>
      <c r="I2903" s="27" t="n">
        <v>45661</v>
      </c>
      <c r="J2903" s="27" t="n"/>
      <c r="K2903" t="inlineStr">
        <is>
          <t>Boleto Bancário</t>
        </is>
      </c>
      <c r="L2903" t="inlineStr">
        <is>
          <t>Informática e TI</t>
        </is>
      </c>
      <c r="M2903" t="inlineStr">
        <is>
          <t>Telefone</t>
        </is>
      </c>
      <c r="N2903" t="inlineStr">
        <is>
          <t>434906426</t>
        </is>
      </c>
      <c r="O2903" t="inlineStr">
        <is>
          <t>Documentação Aprovada</t>
        </is>
      </c>
      <c r="P2903" t="inlineStr">
        <is>
          <t>Aprovado Diretoria</t>
        </is>
      </c>
      <c r="Q2903" t="inlineStr">
        <is>
          <t>Aprovado Caixa</t>
        </is>
      </c>
      <c r="R2903" t="inlineStr">
        <is>
          <t>Pago</t>
        </is>
      </c>
      <c r="S2903" t="n">
        <v>115</v>
      </c>
      <c r="T2903" t="inlineStr">
        <is>
          <t>Love - Shibari - Bradesco</t>
        </is>
      </c>
    </row>
    <row r="2904">
      <c r="A2904" t="n">
        <v>59948</v>
      </c>
      <c r="B2904" t="n">
        <v>128</v>
      </c>
      <c r="C2904" t="inlineStr">
        <is>
          <t>Love Cabaret</t>
        </is>
      </c>
      <c r="D2904" t="inlineStr">
        <is>
          <t>MACHINE SEGURANCA PATRIMONIAL LTDA</t>
        </is>
      </c>
      <c r="E2904" t="n">
        <v>2850</v>
      </c>
      <c r="F2904" s="27" t="n">
        <v>45679</v>
      </c>
      <c r="G2904" s="27" t="n">
        <v>45679</v>
      </c>
      <c r="H2904" s="27" t="n">
        <v>45679</v>
      </c>
      <c r="I2904" s="27" t="n">
        <v>45672</v>
      </c>
      <c r="J2904" s="27" t="n"/>
      <c r="K2904" t="inlineStr">
        <is>
          <t>Transferência Bancária ou Pix</t>
        </is>
      </c>
      <c r="L2904" t="inlineStr">
        <is>
          <t>Serviços de Terceiros</t>
        </is>
      </c>
      <c r="M2904" t="inlineStr">
        <is>
          <t>Serviços de Segurança</t>
        </is>
      </c>
      <c r="N2904" t="inlineStr">
        <is>
          <t>42025</t>
        </is>
      </c>
      <c r="O2904" t="inlineStr">
        <is>
          <t>Documentação Aprovada</t>
        </is>
      </c>
      <c r="P2904" t="inlineStr">
        <is>
          <t>Aprovado Diretoria</t>
        </is>
      </c>
      <c r="Q2904" t="inlineStr">
        <is>
          <t>Aprovado Caixa</t>
        </is>
      </c>
      <c r="R2904" t="inlineStr">
        <is>
          <t>Pago</t>
        </is>
      </c>
      <c r="S2904" t="n">
        <v>115</v>
      </c>
      <c r="T2904" t="inlineStr">
        <is>
          <t>Love - Shibari - Bradesco</t>
        </is>
      </c>
    </row>
    <row r="2905">
      <c r="A2905" t="n">
        <v>54017</v>
      </c>
      <c r="B2905" t="n">
        <v>128</v>
      </c>
      <c r="C2905" t="inlineStr">
        <is>
          <t>Love Cabaret</t>
        </is>
      </c>
      <c r="D2905" t="inlineStr">
        <is>
          <t>ALPHALIX AMBIENTEAL LOC/ DE EQUIPAMENTOS EIRELI</t>
        </is>
      </c>
      <c r="E2905" t="n">
        <v>1160.23</v>
      </c>
      <c r="F2905" s="27" t="n">
        <v>45681</v>
      </c>
      <c r="G2905" s="27" t="n">
        <v>45679</v>
      </c>
      <c r="H2905" s="27" t="n">
        <v>45679</v>
      </c>
      <c r="I2905" s="27" t="n">
        <v>45656</v>
      </c>
      <c r="J2905" s="27" t="n">
        <v>45427</v>
      </c>
      <c r="K2905" t="inlineStr">
        <is>
          <t>Boleto Bancário</t>
        </is>
      </c>
      <c r="L2905" t="inlineStr">
        <is>
          <t>Utilidades</t>
        </is>
      </c>
      <c r="M2905" t="inlineStr">
        <is>
          <t>Coleta de lixo</t>
        </is>
      </c>
      <c r="N2905" t="inlineStr">
        <is>
          <t>40856</t>
        </is>
      </c>
      <c r="O2905" t="inlineStr">
        <is>
          <t>Documentação Aprovada</t>
        </is>
      </c>
      <c r="P2905" t="inlineStr">
        <is>
          <t>Aprovado Diretoria</t>
        </is>
      </c>
      <c r="Q2905" t="inlineStr">
        <is>
          <t>Aprovado Caixa</t>
        </is>
      </c>
      <c r="R2905" t="inlineStr">
        <is>
          <t>Pago</t>
        </is>
      </c>
      <c r="S2905" t="n">
        <v>115</v>
      </c>
      <c r="T2905" t="inlineStr">
        <is>
          <t>Love - Shibari - Bradesco</t>
        </is>
      </c>
    </row>
    <row r="2906">
      <c r="A2906" t="n">
        <v>59830</v>
      </c>
      <c r="B2906" t="n">
        <v>128</v>
      </c>
      <c r="C2906" t="inlineStr">
        <is>
          <t>Love Cabaret</t>
        </is>
      </c>
      <c r="D2906" t="inlineStr">
        <is>
          <t>ICMS</t>
        </is>
      </c>
      <c r="E2906" t="n">
        <v>5642.48</v>
      </c>
      <c r="F2906" s="27" t="n">
        <v>45677</v>
      </c>
      <c r="G2906" s="27" t="n">
        <v>45677</v>
      </c>
      <c r="H2906" s="27" t="n">
        <v>45677</v>
      </c>
      <c r="I2906" s="27" t="n">
        <v>45656</v>
      </c>
      <c r="J2906" s="27" t="n"/>
      <c r="K2906" t="inlineStr">
        <is>
          <t>Boleto Bancário</t>
        </is>
      </c>
      <c r="L2906" t="inlineStr">
        <is>
          <t>Impostos sobre Venda</t>
        </is>
      </c>
      <c r="M2906" t="inlineStr">
        <is>
          <t>ICMS</t>
        </is>
      </c>
      <c r="N2906" t="inlineStr">
        <is>
          <t>250590006893647</t>
        </is>
      </c>
      <c r="O2906" t="inlineStr">
        <is>
          <t>Documentação Aprovada</t>
        </is>
      </c>
      <c r="P2906" t="inlineStr">
        <is>
          <t>Aprovado Diretoria</t>
        </is>
      </c>
      <c r="Q2906" t="inlineStr">
        <is>
          <t>Aprovado Caixa</t>
        </is>
      </c>
      <c r="R2906" t="inlineStr">
        <is>
          <t>Pago</t>
        </is>
      </c>
      <c r="S2906" t="n">
        <v>115</v>
      </c>
      <c r="T2906" t="inlineStr">
        <is>
          <t>Love - Shibari - Bradesco</t>
        </is>
      </c>
    </row>
    <row r="2907">
      <c r="A2907" t="n">
        <v>60349</v>
      </c>
      <c r="B2907" t="n">
        <v>128</v>
      </c>
      <c r="C2907" t="inlineStr">
        <is>
          <t>Love Cabaret</t>
        </is>
      </c>
      <c r="D2907" t="inlineStr">
        <is>
          <t>FABRICA DE BARES PARTICIPACOES LTDA</t>
        </is>
      </c>
      <c r="E2907" t="n">
        <v>150</v>
      </c>
      <c r="F2907" s="27" t="n">
        <v>45677</v>
      </c>
      <c r="G2907" s="27" t="n">
        <v>45677</v>
      </c>
      <c r="H2907" s="27" t="n">
        <v>45677</v>
      </c>
      <c r="I2907" s="27" t="n">
        <v>45627</v>
      </c>
      <c r="J2907" s="27" t="n"/>
      <c r="K2907" t="inlineStr">
        <is>
          <t>Transferência Bancária ou Pix</t>
        </is>
      </c>
      <c r="L2907" t="inlineStr">
        <is>
          <t>Serviços de Terceiros</t>
        </is>
      </c>
      <c r="M2907" t="inlineStr">
        <is>
          <t>Assessoria RH</t>
        </is>
      </c>
      <c r="N2907" t="inlineStr">
        <is>
          <t>RP003-2025</t>
        </is>
      </c>
      <c r="O2907" t="inlineStr">
        <is>
          <t>Documentação Aprovada</t>
        </is>
      </c>
      <c r="P2907" t="inlineStr">
        <is>
          <t>Aprovado Diretoria</t>
        </is>
      </c>
      <c r="Q2907" t="inlineStr">
        <is>
          <t>Aprovado Caixa</t>
        </is>
      </c>
      <c r="R2907" t="inlineStr">
        <is>
          <t>Pago</t>
        </is>
      </c>
      <c r="S2907" t="n">
        <v>115</v>
      </c>
      <c r="T2907" t="inlineStr">
        <is>
          <t>Love - Shibari - Bradesco</t>
        </is>
      </c>
    </row>
    <row r="2908">
      <c r="A2908" t="n">
        <v>58975</v>
      </c>
      <c r="B2908" t="n">
        <v>128</v>
      </c>
      <c r="C2908" t="inlineStr">
        <is>
          <t>Love Cabaret</t>
        </is>
      </c>
      <c r="D2908" t="inlineStr">
        <is>
          <t>CIA DE SANEAMENTO BASICO DO ESTADO DE SAO PAULO SABESP</t>
        </is>
      </c>
      <c r="E2908" t="n">
        <v>153.96</v>
      </c>
      <c r="F2908" s="27" t="n">
        <v>45677</v>
      </c>
      <c r="G2908" s="27" t="n">
        <v>45677</v>
      </c>
      <c r="H2908" s="27" t="n">
        <v>45677</v>
      </c>
      <c r="I2908" s="27" t="n">
        <v>45639</v>
      </c>
      <c r="J2908" s="27" t="n"/>
      <c r="K2908" t="inlineStr">
        <is>
          <t>Boleto Bancário</t>
        </is>
      </c>
      <c r="L2908" t="inlineStr">
        <is>
          <t>Utilidades</t>
        </is>
      </c>
      <c r="M2908" t="inlineStr">
        <is>
          <t>Agua/Esgoto</t>
        </is>
      </c>
      <c r="N2908" t="inlineStr">
        <is>
          <t>2024121366594</t>
        </is>
      </c>
      <c r="O2908" t="inlineStr">
        <is>
          <t>Documentação Aprovada</t>
        </is>
      </c>
      <c r="P2908" t="inlineStr">
        <is>
          <t>Aprovado Diretoria</t>
        </is>
      </c>
      <c r="Q2908" t="inlineStr">
        <is>
          <t>Aprovado Caixa</t>
        </is>
      </c>
      <c r="R2908" t="inlineStr">
        <is>
          <t>Pago</t>
        </is>
      </c>
      <c r="S2908" t="n">
        <v>115</v>
      </c>
      <c r="T2908" t="inlineStr">
        <is>
          <t>Love - Shibari - Bradesco</t>
        </is>
      </c>
    </row>
    <row r="2909">
      <c r="A2909" t="n">
        <v>102722</v>
      </c>
      <c r="B2909" t="n">
        <v>128</v>
      </c>
      <c r="C2909" t="inlineStr">
        <is>
          <t>Love Cabaret</t>
        </is>
      </c>
      <c r="D2909" t="inlineStr">
        <is>
          <t>AURORA ALVORADA ESTACIONAMENTO E LANCHONETE LTDA</t>
        </is>
      </c>
      <c r="E2909" t="n">
        <v>193.1</v>
      </c>
      <c r="F2909" s="27" t="n">
        <v>45677</v>
      </c>
      <c r="G2909" s="27" t="n">
        <v>45677</v>
      </c>
      <c r="H2909" s="27" t="n">
        <v>45677</v>
      </c>
      <c r="I2909" s="27" t="n">
        <v>45670</v>
      </c>
      <c r="J2909" s="27" t="n">
        <v>45672</v>
      </c>
      <c r="K2909" t="inlineStr">
        <is>
          <t>Boleto Bancário</t>
        </is>
      </c>
      <c r="L2909" t="inlineStr">
        <is>
          <t>Custo Mercadoria Vendida</t>
        </is>
      </c>
      <c r="M2909" t="inlineStr">
        <is>
          <t>Insumos - Alimentos</t>
        </is>
      </c>
      <c r="N2909" t="inlineStr">
        <is>
          <t>10197</t>
        </is>
      </c>
      <c r="O2909" t="inlineStr">
        <is>
          <t>Documentação Aprovada</t>
        </is>
      </c>
      <c r="P2909" t="inlineStr">
        <is>
          <t>Aprovado Diretoria</t>
        </is>
      </c>
      <c r="Q2909" t="inlineStr">
        <is>
          <t>Aprovado Caixa</t>
        </is>
      </c>
      <c r="R2909" t="inlineStr">
        <is>
          <t>Pago</t>
        </is>
      </c>
      <c r="S2909" t="n">
        <v>115</v>
      </c>
      <c r="T2909" t="inlineStr">
        <is>
          <t>Love - Shibari - Bradesco</t>
        </is>
      </c>
    </row>
    <row r="2910">
      <c r="A2910" t="n">
        <v>101851</v>
      </c>
      <c r="B2910" t="n">
        <v>128</v>
      </c>
      <c r="C2910" t="inlineStr">
        <is>
          <t>Love Cabaret</t>
        </is>
      </c>
      <c r="D2910" t="inlineStr">
        <is>
          <t>PARAMU COMERCIO E REPRESENTACAO DE PRODUTOS ALIMENTICIOS</t>
        </is>
      </c>
      <c r="E2910" t="n">
        <v>1599.95</v>
      </c>
      <c r="F2910" s="27" t="n">
        <v>45678</v>
      </c>
      <c r="G2910" s="27" t="n">
        <v>45677</v>
      </c>
      <c r="H2910" s="27" t="n">
        <v>45677</v>
      </c>
      <c r="I2910" s="27" t="n">
        <v>45665</v>
      </c>
      <c r="J2910" s="27" t="n">
        <v>45670</v>
      </c>
      <c r="K2910" t="inlineStr">
        <is>
          <t>Boleto Bancário</t>
        </is>
      </c>
      <c r="L2910" t="inlineStr">
        <is>
          <t>Custo Mercadoria Vendida</t>
        </is>
      </c>
      <c r="M2910" t="inlineStr">
        <is>
          <t>Insumos - Alimentos</t>
        </is>
      </c>
      <c r="N2910" t="inlineStr">
        <is>
          <t>12203</t>
        </is>
      </c>
      <c r="O2910" t="inlineStr">
        <is>
          <t>Documentação Aprovada</t>
        </is>
      </c>
      <c r="P2910" t="inlineStr">
        <is>
          <t>Aprovado Diretoria</t>
        </is>
      </c>
      <c r="Q2910" t="inlineStr">
        <is>
          <t>Aprovado Caixa</t>
        </is>
      </c>
      <c r="R2910" t="inlineStr">
        <is>
          <t>Pago</t>
        </is>
      </c>
      <c r="S2910" t="n">
        <v>115</v>
      </c>
      <c r="T2910" t="inlineStr">
        <is>
          <t>Love - Shibari - Bradesco</t>
        </is>
      </c>
    </row>
    <row r="2911">
      <c r="A2911" t="n">
        <v>101845</v>
      </c>
      <c r="B2911" t="n">
        <v>128</v>
      </c>
      <c r="C2911" t="inlineStr">
        <is>
          <t>Love Cabaret</t>
        </is>
      </c>
      <c r="D2911" t="inlineStr">
        <is>
          <t xml:space="preserve">LATICINIOS FIOR DITALIA LTDA </t>
        </is>
      </c>
      <c r="E2911" t="n">
        <v>326.75</v>
      </c>
      <c r="F2911" s="27" t="n">
        <v>45679</v>
      </c>
      <c r="G2911" s="27" t="n">
        <v>45677</v>
      </c>
      <c r="H2911" s="27" t="n">
        <v>45677</v>
      </c>
      <c r="I2911" s="27" t="n">
        <v>45663</v>
      </c>
      <c r="J2911" s="27" t="n">
        <v>45670</v>
      </c>
      <c r="K2911" t="inlineStr">
        <is>
          <t>Boleto Bancário</t>
        </is>
      </c>
      <c r="L2911" t="inlineStr">
        <is>
          <t>Custo Mercadoria Vendida</t>
        </is>
      </c>
      <c r="M2911" t="inlineStr">
        <is>
          <t>Insumos - Alimentos</t>
        </is>
      </c>
      <c r="N2911" t="inlineStr">
        <is>
          <t>33528</t>
        </is>
      </c>
      <c r="O2911" t="inlineStr">
        <is>
          <t>Documentação Aprovada</t>
        </is>
      </c>
      <c r="P2911" t="inlineStr">
        <is>
          <t>Aprovado Diretoria</t>
        </is>
      </c>
      <c r="Q2911" t="inlineStr">
        <is>
          <t>Aprovado Caixa</t>
        </is>
      </c>
      <c r="R2911" t="inlineStr">
        <is>
          <t>Pago</t>
        </is>
      </c>
      <c r="S2911" t="n">
        <v>115</v>
      </c>
      <c r="T2911" t="inlineStr">
        <is>
          <t>Love - Shibari - Bradesco</t>
        </is>
      </c>
    </row>
    <row r="2912">
      <c r="A2912" t="n">
        <v>101856</v>
      </c>
      <c r="B2912" t="n">
        <v>128</v>
      </c>
      <c r="C2912" t="inlineStr">
        <is>
          <t>Love Cabaret</t>
        </is>
      </c>
      <c r="D2912" t="inlineStr">
        <is>
          <t>J A DOS SANTOS HORTIFRUTI</t>
        </is>
      </c>
      <c r="E2912" t="n">
        <v>501.55</v>
      </c>
      <c r="F2912" s="27" t="n">
        <v>45679</v>
      </c>
      <c r="G2912" s="27" t="n">
        <v>45677</v>
      </c>
      <c r="H2912" s="27" t="n">
        <v>45677</v>
      </c>
      <c r="I2912" s="27" t="n">
        <v>45664</v>
      </c>
      <c r="J2912" s="27" t="n">
        <v>45670</v>
      </c>
      <c r="K2912" t="inlineStr">
        <is>
          <t>Boleto Bancário</t>
        </is>
      </c>
      <c r="L2912" t="inlineStr">
        <is>
          <t>Custo Mercadoria Vendida</t>
        </is>
      </c>
      <c r="M2912" t="inlineStr">
        <is>
          <t>Insumos - Alimentos</t>
        </is>
      </c>
      <c r="N2912" t="inlineStr">
        <is>
          <t>35937</t>
        </is>
      </c>
      <c r="O2912" t="inlineStr">
        <is>
          <t>Documentação Aprovada</t>
        </is>
      </c>
      <c r="P2912" t="inlineStr">
        <is>
          <t>Aprovado Diretoria</t>
        </is>
      </c>
      <c r="Q2912" t="inlineStr">
        <is>
          <t>Aprovado Caixa</t>
        </is>
      </c>
      <c r="R2912" t="inlineStr">
        <is>
          <t>Pago</t>
        </is>
      </c>
      <c r="S2912" t="n">
        <v>115</v>
      </c>
      <c r="T2912" t="inlineStr">
        <is>
          <t>Love - Shibari - Bradesco</t>
        </is>
      </c>
    </row>
    <row r="2913">
      <c r="A2913" t="n">
        <v>101862</v>
      </c>
      <c r="B2913" t="n">
        <v>128</v>
      </c>
      <c r="C2913" t="inlineStr">
        <is>
          <t>Love Cabaret</t>
        </is>
      </c>
      <c r="D2913" t="inlineStr">
        <is>
          <t>ICE4PROS FABRICA DE GELO LTDA</t>
        </is>
      </c>
      <c r="E2913" t="n">
        <v>399</v>
      </c>
      <c r="F2913" s="27" t="n">
        <v>45677</v>
      </c>
      <c r="G2913" s="27" t="n">
        <v>45677</v>
      </c>
      <c r="H2913" s="27" t="n">
        <v>45677</v>
      </c>
      <c r="I2913" s="27" t="n">
        <v>45666</v>
      </c>
      <c r="J2913" s="27" t="n">
        <v>45670</v>
      </c>
      <c r="K2913" t="inlineStr">
        <is>
          <t>Boleto Bancário</t>
        </is>
      </c>
      <c r="L2913" t="inlineStr">
        <is>
          <t>Custo Mercadoria Vendida</t>
        </is>
      </c>
      <c r="M2913" t="inlineStr">
        <is>
          <t>Insumos - Bebidas</t>
        </is>
      </c>
      <c r="N2913" t="inlineStr">
        <is>
          <t>72562</t>
        </is>
      </c>
      <c r="O2913" t="inlineStr">
        <is>
          <t>Documentação Aprovada</t>
        </is>
      </c>
      <c r="P2913" t="inlineStr">
        <is>
          <t>Aprovado Diretoria</t>
        </is>
      </c>
      <c r="Q2913" t="inlineStr">
        <is>
          <t>Aprovado Caixa</t>
        </is>
      </c>
      <c r="R2913" t="inlineStr">
        <is>
          <t>Pago</t>
        </is>
      </c>
      <c r="S2913" t="n">
        <v>115</v>
      </c>
      <c r="T2913" t="inlineStr">
        <is>
          <t>Love - Shibari - Bradesco</t>
        </is>
      </c>
    </row>
    <row r="2914">
      <c r="A2914" t="n">
        <v>101857</v>
      </c>
      <c r="B2914" t="n">
        <v>128</v>
      </c>
      <c r="C2914" t="inlineStr">
        <is>
          <t>Love Cabaret</t>
        </is>
      </c>
      <c r="D2914" t="inlineStr">
        <is>
          <t>CECILIA TSUYACO ARAKI SILVA LTDA</t>
        </is>
      </c>
      <c r="E2914" t="n">
        <v>218.8</v>
      </c>
      <c r="F2914" s="27" t="n">
        <v>45677</v>
      </c>
      <c r="G2914" s="27" t="n">
        <v>45677</v>
      </c>
      <c r="H2914" s="27" t="n">
        <v>45677</v>
      </c>
      <c r="I2914" s="27" t="n">
        <v>45664</v>
      </c>
      <c r="J2914" s="27" t="n">
        <v>45670</v>
      </c>
      <c r="K2914" t="inlineStr">
        <is>
          <t>Boleto Bancário</t>
        </is>
      </c>
      <c r="L2914" t="inlineStr">
        <is>
          <t>Custo Mercadoria Vendida</t>
        </is>
      </c>
      <c r="M2914" t="inlineStr">
        <is>
          <t>Insumos - Alimentos</t>
        </is>
      </c>
      <c r="N2914" t="inlineStr">
        <is>
          <t>363676</t>
        </is>
      </c>
      <c r="O2914" t="inlineStr">
        <is>
          <t>Documentação Aprovada</t>
        </is>
      </c>
      <c r="P2914" t="inlineStr">
        <is>
          <t>Aprovado Diretoria</t>
        </is>
      </c>
      <c r="Q2914" t="inlineStr">
        <is>
          <t>Aprovado Caixa</t>
        </is>
      </c>
      <c r="R2914" t="inlineStr">
        <is>
          <t>Pago</t>
        </is>
      </c>
      <c r="S2914" t="n">
        <v>115</v>
      </c>
      <c r="T2914" t="inlineStr">
        <is>
          <t>Love - Shibari - Bradesco</t>
        </is>
      </c>
    </row>
    <row r="2915">
      <c r="A2915" t="n">
        <v>101854</v>
      </c>
      <c r="B2915" t="n">
        <v>128</v>
      </c>
      <c r="C2915" t="inlineStr">
        <is>
          <t>Love Cabaret</t>
        </is>
      </c>
      <c r="D2915" t="inlineStr">
        <is>
          <t>NOVA COMERCIAL DO PEIXE LTDA</t>
        </is>
      </c>
      <c r="E2915" t="n">
        <v>588</v>
      </c>
      <c r="F2915" s="27" t="n">
        <v>45678</v>
      </c>
      <c r="G2915" s="27" t="n">
        <v>45677</v>
      </c>
      <c r="H2915" s="27" t="n">
        <v>45677</v>
      </c>
      <c r="I2915" s="27" t="n">
        <v>45664</v>
      </c>
      <c r="J2915" s="27" t="n">
        <v>45670</v>
      </c>
      <c r="K2915" t="inlineStr">
        <is>
          <t>Boleto Bancário</t>
        </is>
      </c>
      <c r="L2915" t="inlineStr">
        <is>
          <t>Custo Mercadoria Vendida</t>
        </is>
      </c>
      <c r="M2915" t="inlineStr">
        <is>
          <t>Insumos - Alimentos</t>
        </is>
      </c>
      <c r="N2915" t="inlineStr">
        <is>
          <t>21618</t>
        </is>
      </c>
      <c r="O2915" t="inlineStr">
        <is>
          <t>Documentação Aprovada</t>
        </is>
      </c>
      <c r="P2915" t="inlineStr">
        <is>
          <t>Aprovado Diretoria</t>
        </is>
      </c>
      <c r="Q2915" t="inlineStr">
        <is>
          <t>Aprovado Caixa</t>
        </is>
      </c>
      <c r="R2915" t="inlineStr">
        <is>
          <t>Pago</t>
        </is>
      </c>
      <c r="S2915" t="n">
        <v>115</v>
      </c>
      <c r="T2915" t="inlineStr">
        <is>
          <t>Love - Shibari - Bradesco</t>
        </is>
      </c>
    </row>
    <row r="2916">
      <c r="A2916" t="n">
        <v>100352</v>
      </c>
      <c r="B2916" t="n">
        <v>128</v>
      </c>
      <c r="C2916" t="inlineStr">
        <is>
          <t>Love Cabaret</t>
        </is>
      </c>
      <c r="D2916" t="inlineStr">
        <is>
          <t>AMANDA FUCCIA DE SOUZA</t>
        </is>
      </c>
      <c r="E2916" t="n">
        <v>1350</v>
      </c>
      <c r="F2916" s="27" t="n">
        <v>45678</v>
      </c>
      <c r="G2916" s="27" t="n">
        <v>45677</v>
      </c>
      <c r="H2916" s="27" t="n">
        <v>45677</v>
      </c>
      <c r="I2916" s="27" t="n">
        <v>45664</v>
      </c>
      <c r="J2916" s="27" t="n">
        <v>45664</v>
      </c>
      <c r="K2916" t="inlineStr">
        <is>
          <t>Transferência Bancária ou Pix</t>
        </is>
      </c>
      <c r="L2916" t="inlineStr">
        <is>
          <t>Manutenção</t>
        </is>
      </c>
      <c r="M2916" t="inlineStr">
        <is>
          <t>Decoração/Paisagismo e Jardinagem</t>
        </is>
      </c>
      <c r="N2916" t="inlineStr">
        <is>
          <t>46</t>
        </is>
      </c>
      <c r="O2916" t="inlineStr">
        <is>
          <t>Documentação Aprovada</t>
        </is>
      </c>
      <c r="P2916" t="inlineStr">
        <is>
          <t>Aprovado Diretoria</t>
        </is>
      </c>
      <c r="Q2916" t="inlineStr">
        <is>
          <t>Aprovado Caixa</t>
        </is>
      </c>
      <c r="R2916" t="inlineStr">
        <is>
          <t>Pago</t>
        </is>
      </c>
      <c r="S2916" t="n">
        <v>115</v>
      </c>
      <c r="T2916" t="inlineStr">
        <is>
          <t>Love - Shibari - Bradesco</t>
        </is>
      </c>
    </row>
    <row r="2917">
      <c r="A2917" t="n">
        <v>100391</v>
      </c>
      <c r="B2917" t="n">
        <v>128</v>
      </c>
      <c r="C2917" t="inlineStr">
        <is>
          <t>Love Cabaret</t>
        </is>
      </c>
      <c r="D2917" t="inlineStr">
        <is>
          <t>INSS</t>
        </is>
      </c>
      <c r="E2917" t="n">
        <v>1793.34</v>
      </c>
      <c r="F2917" s="27" t="n">
        <v>45677</v>
      </c>
      <c r="G2917" s="27" t="n">
        <v>45677</v>
      </c>
      <c r="H2917" s="27" t="n">
        <v>45677</v>
      </c>
      <c r="I2917" s="27" t="n">
        <v>45657</v>
      </c>
      <c r="J2917" s="27" t="n">
        <v>45664</v>
      </c>
      <c r="K2917" t="inlineStr">
        <is>
          <t>Boleto Bancário</t>
        </is>
      </c>
      <c r="L2917" t="inlineStr">
        <is>
          <t>Mão de Obra - Encargos e Provisões</t>
        </is>
      </c>
      <c r="M2917" t="inlineStr">
        <is>
          <t xml:space="preserve">  -  INSS Segurados</t>
        </is>
      </c>
      <c r="N2917" t="inlineStr">
        <is>
          <t>122024</t>
        </is>
      </c>
      <c r="O2917" t="inlineStr">
        <is>
          <t>Documentação Aprovada</t>
        </is>
      </c>
      <c r="P2917" t="inlineStr">
        <is>
          <t>Aprovado Diretoria</t>
        </is>
      </c>
      <c r="Q2917" t="inlineStr">
        <is>
          <t>Aprovado Caixa</t>
        </is>
      </c>
      <c r="R2917" t="inlineStr">
        <is>
          <t>Pago</t>
        </is>
      </c>
      <c r="S2917" t="n">
        <v>115</v>
      </c>
      <c r="T2917" t="inlineStr">
        <is>
          <t>Love - Shibari - Bradesco</t>
        </is>
      </c>
    </row>
    <row r="2918">
      <c r="A2918" t="n">
        <v>100398</v>
      </c>
      <c r="B2918" t="n">
        <v>128</v>
      </c>
      <c r="C2918" t="inlineStr">
        <is>
          <t>Love Cabaret</t>
        </is>
      </c>
      <c r="D2918" t="inlineStr">
        <is>
          <t>FGTS</t>
        </is>
      </c>
      <c r="E2918" t="n">
        <v>1335.36</v>
      </c>
      <c r="F2918" s="27" t="n">
        <v>45677</v>
      </c>
      <c r="G2918" s="27" t="n">
        <v>45677</v>
      </c>
      <c r="H2918" s="27" t="n">
        <v>45677</v>
      </c>
      <c r="I2918" s="27" t="n">
        <v>45657</v>
      </c>
      <c r="J2918" s="27" t="n">
        <v>45664</v>
      </c>
      <c r="K2918" t="inlineStr">
        <is>
          <t>Transferência Bancária ou Pix</t>
        </is>
      </c>
      <c r="L2918" t="inlineStr">
        <is>
          <t>Mão de Obra - Encargos e Provisões</t>
        </is>
      </c>
      <c r="M2918" t="inlineStr">
        <is>
          <t xml:space="preserve">  -  FGTS</t>
        </is>
      </c>
      <c r="N2918" t="inlineStr">
        <is>
          <t>122024</t>
        </is>
      </c>
      <c r="O2918" t="inlineStr">
        <is>
          <t>Documentação Aprovada</t>
        </is>
      </c>
      <c r="P2918" t="inlineStr">
        <is>
          <t>Aprovado Diretoria</t>
        </is>
      </c>
      <c r="Q2918" t="inlineStr">
        <is>
          <t>Aprovado Caixa</t>
        </is>
      </c>
      <c r="R2918" t="inlineStr">
        <is>
          <t>Pago</t>
        </is>
      </c>
      <c r="S2918" t="n">
        <v>115</v>
      </c>
      <c r="T2918" t="inlineStr">
        <is>
          <t>Love - Shibari - Bradesco</t>
        </is>
      </c>
    </row>
    <row r="2919">
      <c r="A2919" t="n">
        <v>100393</v>
      </c>
      <c r="B2919" t="n">
        <v>128</v>
      </c>
      <c r="C2919" t="inlineStr">
        <is>
          <t>Love Cabaret</t>
        </is>
      </c>
      <c r="D2919" t="inlineStr">
        <is>
          <t>INSS</t>
        </is>
      </c>
      <c r="E2919" t="n">
        <v>4807.32</v>
      </c>
      <c r="F2919" s="27" t="n">
        <v>45677</v>
      </c>
      <c r="G2919" s="27" t="n">
        <v>45677</v>
      </c>
      <c r="H2919" s="27" t="n">
        <v>45677</v>
      </c>
      <c r="I2919" s="27" t="n">
        <v>45657</v>
      </c>
      <c r="J2919" s="27" t="n">
        <v>45664</v>
      </c>
      <c r="K2919" t="inlineStr">
        <is>
          <t>Boleto Bancário</t>
        </is>
      </c>
      <c r="L2919" t="inlineStr">
        <is>
          <t>Mão de Obra - Encargos e Provisões</t>
        </is>
      </c>
      <c r="M2919" t="inlineStr">
        <is>
          <t xml:space="preserve">  -  INSS Patronal</t>
        </is>
      </c>
      <c r="N2919" t="inlineStr">
        <is>
          <t>122024</t>
        </is>
      </c>
      <c r="O2919" t="inlineStr">
        <is>
          <t>Documentação Aprovada</t>
        </is>
      </c>
      <c r="P2919" t="inlineStr">
        <is>
          <t>Aprovado Diretoria</t>
        </is>
      </c>
      <c r="Q2919" t="inlineStr">
        <is>
          <t>Aprovado Caixa</t>
        </is>
      </c>
      <c r="R2919" t="inlineStr">
        <is>
          <t>Pago</t>
        </is>
      </c>
      <c r="S2919" t="n">
        <v>115</v>
      </c>
      <c r="T2919" t="inlineStr">
        <is>
          <t>Love - Shibari - Bradesco</t>
        </is>
      </c>
    </row>
    <row r="2920">
      <c r="A2920" t="n">
        <v>100395</v>
      </c>
      <c r="B2920" t="n">
        <v>128</v>
      </c>
      <c r="C2920" t="inlineStr">
        <is>
          <t>Love Cabaret</t>
        </is>
      </c>
      <c r="D2920" t="inlineStr">
        <is>
          <t>IRRF</t>
        </is>
      </c>
      <c r="E2920" t="n">
        <v>827.97</v>
      </c>
      <c r="F2920" s="27" t="n">
        <v>45677</v>
      </c>
      <c r="G2920" s="27" t="n">
        <v>45677</v>
      </c>
      <c r="H2920" s="27" t="n">
        <v>45677</v>
      </c>
      <c r="I2920" s="27" t="n">
        <v>45657</v>
      </c>
      <c r="J2920" s="27" t="n">
        <v>45664</v>
      </c>
      <c r="K2920" t="inlineStr">
        <is>
          <t>Boleto Bancário</t>
        </is>
      </c>
      <c r="L2920" t="inlineStr">
        <is>
          <t>Mão de Obra - Encargos e Provisões</t>
        </is>
      </c>
      <c r="M2920" t="inlineStr">
        <is>
          <t>IRRF - MDO CLT - Salário</t>
        </is>
      </c>
      <c r="N2920" t="inlineStr">
        <is>
          <t>122024</t>
        </is>
      </c>
      <c r="O2920" t="inlineStr">
        <is>
          <t>Documentação Aprovada</t>
        </is>
      </c>
      <c r="P2920" t="inlineStr">
        <is>
          <t>Aprovado Diretoria</t>
        </is>
      </c>
      <c r="Q2920" t="inlineStr">
        <is>
          <t>Aprovado Caixa</t>
        </is>
      </c>
      <c r="R2920" t="inlineStr">
        <is>
          <t>Pago</t>
        </is>
      </c>
      <c r="S2920" t="n">
        <v>115</v>
      </c>
      <c r="T2920" t="inlineStr">
        <is>
          <t>Love - Shibari - Bradesco</t>
        </is>
      </c>
    </row>
    <row r="2921">
      <c r="A2921" t="n">
        <v>100396</v>
      </c>
      <c r="B2921" t="n">
        <v>128</v>
      </c>
      <c r="C2921" t="inlineStr">
        <is>
          <t>Love Cabaret</t>
        </is>
      </c>
      <c r="D2921" t="inlineStr">
        <is>
          <t>FGTS</t>
        </is>
      </c>
      <c r="E2921" t="n">
        <v>477.44</v>
      </c>
      <c r="F2921" s="27" t="n">
        <v>45677</v>
      </c>
      <c r="G2921" s="27" t="n">
        <v>45677</v>
      </c>
      <c r="H2921" s="27" t="n">
        <v>45677</v>
      </c>
      <c r="I2921" s="27" t="n">
        <v>45657</v>
      </c>
      <c r="J2921" s="27" t="n">
        <v>45664</v>
      </c>
      <c r="K2921" t="inlineStr">
        <is>
          <t>Transferência Bancária ou Pix</t>
        </is>
      </c>
      <c r="L2921" t="inlineStr">
        <is>
          <t>Mão de Obra - Encargos e Provisões</t>
        </is>
      </c>
      <c r="M2921" t="inlineStr">
        <is>
          <t xml:space="preserve">  -  FGTS</t>
        </is>
      </c>
      <c r="N2921" t="inlineStr">
        <is>
          <t>122024</t>
        </is>
      </c>
      <c r="O2921" t="inlineStr">
        <is>
          <t>Documentação Aprovada</t>
        </is>
      </c>
      <c r="P2921" t="inlineStr">
        <is>
          <t>Aprovado Diretoria</t>
        </is>
      </c>
      <c r="Q2921" t="inlineStr">
        <is>
          <t>Aprovado Caixa</t>
        </is>
      </c>
      <c r="R2921" t="inlineStr">
        <is>
          <t>Pago</t>
        </is>
      </c>
      <c r="S2921" t="n">
        <v>115</v>
      </c>
      <c r="T2921" t="inlineStr">
        <is>
          <t>Love - Shibari - Bradesco</t>
        </is>
      </c>
    </row>
    <row r="2922">
      <c r="A2922" t="n">
        <v>97495</v>
      </c>
      <c r="B2922" t="n">
        <v>128</v>
      </c>
      <c r="C2922" t="inlineStr">
        <is>
          <t>Love Cabaret</t>
        </is>
      </c>
      <c r="D2922" t="inlineStr">
        <is>
          <t>IRRF</t>
        </is>
      </c>
      <c r="E2922" t="n">
        <v>131.06</v>
      </c>
      <c r="F2922" s="27" t="n">
        <v>45677</v>
      </c>
      <c r="G2922" s="27" t="n">
        <v>45677</v>
      </c>
      <c r="H2922" s="27" t="n">
        <v>45677</v>
      </c>
      <c r="I2922" s="27" t="n">
        <v>45657</v>
      </c>
      <c r="J2922" s="27" t="n"/>
      <c r="K2922" t="inlineStr">
        <is>
          <t>Boleto Bancário</t>
        </is>
      </c>
      <c r="L2922" t="inlineStr">
        <is>
          <t>Deduções sobre Venda</t>
        </is>
      </c>
      <c r="M2922" t="inlineStr">
        <is>
          <t>Meios de pagamento</t>
        </is>
      </c>
      <c r="N2922" t="inlineStr">
        <is>
          <t>07162500799665757</t>
        </is>
      </c>
      <c r="O2922" t="inlineStr">
        <is>
          <t>Documentação Aprovada</t>
        </is>
      </c>
      <c r="P2922" t="inlineStr">
        <is>
          <t>Aprovado Diretoria</t>
        </is>
      </c>
      <c r="Q2922" t="inlineStr">
        <is>
          <t>Aprovado Caixa</t>
        </is>
      </c>
      <c r="R2922" t="inlineStr">
        <is>
          <t>Pago</t>
        </is>
      </c>
      <c r="S2922" t="n">
        <v>115</v>
      </c>
      <c r="T2922" t="inlineStr">
        <is>
          <t>Love - Shibari - Bradesco</t>
        </is>
      </c>
    </row>
    <row r="2923">
      <c r="A2923" t="n">
        <v>97435</v>
      </c>
      <c r="B2923" t="n">
        <v>128</v>
      </c>
      <c r="C2923" t="inlineStr">
        <is>
          <t>Love Cabaret</t>
        </is>
      </c>
      <c r="D2923" t="inlineStr">
        <is>
          <t xml:space="preserve">MINISTERIO DA FAZENDA </t>
        </is>
      </c>
      <c r="E2923" t="n">
        <v>509.37</v>
      </c>
      <c r="F2923" s="27" t="n">
        <v>45677</v>
      </c>
      <c r="G2923" s="27" t="n">
        <v>45677</v>
      </c>
      <c r="H2923" s="27" t="n">
        <v>45677</v>
      </c>
      <c r="I2923" s="27" t="n">
        <v>45657</v>
      </c>
      <c r="J2923" s="27" t="n"/>
      <c r="K2923" t="inlineStr">
        <is>
          <t>Boleto Bancário</t>
        </is>
      </c>
      <c r="L2923" t="inlineStr">
        <is>
          <t>Serviços de Terceiros</t>
        </is>
      </c>
      <c r="M2923" t="inlineStr">
        <is>
          <t>Serviços de Segurança</t>
        </is>
      </c>
      <c r="N2923" t="inlineStr">
        <is>
          <t>07162500799643222</t>
        </is>
      </c>
      <c r="O2923" t="inlineStr">
        <is>
          <t>Documentação Aprovada</t>
        </is>
      </c>
      <c r="P2923" t="inlineStr">
        <is>
          <t>Aprovado Diretoria</t>
        </is>
      </c>
      <c r="Q2923" t="inlineStr">
        <is>
          <t>Aprovado Caixa</t>
        </is>
      </c>
      <c r="R2923" t="inlineStr">
        <is>
          <t>Pago</t>
        </is>
      </c>
      <c r="S2923" t="n">
        <v>115</v>
      </c>
      <c r="T2923" t="inlineStr">
        <is>
          <t>Love - Shibari - Bradesco</t>
        </is>
      </c>
    </row>
    <row r="2924">
      <c r="A2924" t="n">
        <v>97452</v>
      </c>
      <c r="B2924" t="n">
        <v>128</v>
      </c>
      <c r="C2924" t="inlineStr">
        <is>
          <t>Love Cabaret</t>
        </is>
      </c>
      <c r="D2924" t="inlineStr">
        <is>
          <t>INSS</t>
        </is>
      </c>
      <c r="E2924" t="n">
        <v>682</v>
      </c>
      <c r="F2924" s="27" t="n">
        <v>45677</v>
      </c>
      <c r="G2924" s="27" t="n">
        <v>45677</v>
      </c>
      <c r="H2924" s="27" t="n">
        <v>45677</v>
      </c>
      <c r="I2924" s="27" t="n">
        <v>45645</v>
      </c>
      <c r="J2924" s="27" t="n"/>
      <c r="K2924" t="inlineStr">
        <is>
          <t>Boleto Bancário</t>
        </is>
      </c>
      <c r="L2924" t="inlineStr">
        <is>
          <t>Serviços de Terceiros</t>
        </is>
      </c>
      <c r="M2924" t="inlineStr">
        <is>
          <t>Serviços de Segurança</t>
        </is>
      </c>
      <c r="N2924" t="inlineStr">
        <is>
          <t>07162500799726152</t>
        </is>
      </c>
      <c r="O2924" t="inlineStr">
        <is>
          <t>Documentação Aprovada</t>
        </is>
      </c>
      <c r="P2924" t="inlineStr">
        <is>
          <t>Aprovado Diretoria</t>
        </is>
      </c>
      <c r="Q2924" t="inlineStr">
        <is>
          <t>Aprovado Caixa</t>
        </is>
      </c>
      <c r="R2924" t="inlineStr">
        <is>
          <t>Pago</t>
        </is>
      </c>
      <c r="S2924" t="n">
        <v>115</v>
      </c>
      <c r="T2924" t="inlineStr">
        <is>
          <t>Love - Shibari - Bradesco</t>
        </is>
      </c>
    </row>
    <row r="2925">
      <c r="A2925" t="n">
        <v>97480</v>
      </c>
      <c r="B2925" t="n">
        <v>128</v>
      </c>
      <c r="C2925" t="inlineStr">
        <is>
          <t>Love Cabaret</t>
        </is>
      </c>
      <c r="D2925" t="inlineStr">
        <is>
          <t>IRRF</t>
        </is>
      </c>
      <c r="E2925" t="n">
        <v>105.75</v>
      </c>
      <c r="F2925" s="27" t="n">
        <v>45677</v>
      </c>
      <c r="G2925" s="27" t="n">
        <v>45677</v>
      </c>
      <c r="H2925" s="27" t="n">
        <v>45677</v>
      </c>
      <c r="I2925" s="27" t="n">
        <v>45657</v>
      </c>
      <c r="J2925" s="27" t="n"/>
      <c r="K2925" t="inlineStr">
        <is>
          <t>Boleto Bancário</t>
        </is>
      </c>
      <c r="L2925" t="inlineStr">
        <is>
          <t>Serviços de Terceiros</t>
        </is>
      </c>
      <c r="M2925" t="inlineStr">
        <is>
          <t>Serviços de Segurança</t>
        </is>
      </c>
      <c r="N2925" t="inlineStr">
        <is>
          <t>07162500799656251</t>
        </is>
      </c>
      <c r="O2925" t="inlineStr">
        <is>
          <t>Documentação Aprovada</t>
        </is>
      </c>
      <c r="P2925" t="inlineStr">
        <is>
          <t>Aprovado Diretoria</t>
        </is>
      </c>
      <c r="Q2925" t="inlineStr">
        <is>
          <t>Aprovado Caixa</t>
        </is>
      </c>
      <c r="R2925" t="inlineStr">
        <is>
          <t>Pago</t>
        </is>
      </c>
      <c r="S2925" t="n">
        <v>115</v>
      </c>
      <c r="T2925" t="inlineStr">
        <is>
          <t>Love - Shibari - Bradesco</t>
        </is>
      </c>
    </row>
    <row r="2926">
      <c r="A2926" t="n">
        <v>100777</v>
      </c>
      <c r="B2926" t="n">
        <v>128</v>
      </c>
      <c r="C2926" t="inlineStr">
        <is>
          <t>Love Cabaret</t>
        </is>
      </c>
      <c r="D2926" t="inlineStr">
        <is>
          <t>STUDIO HIKE PRODUÇÃO AUDIOVISUAL LTDA</t>
        </is>
      </c>
      <c r="E2926" t="n">
        <v>2000</v>
      </c>
      <c r="F2926" s="27" t="n">
        <v>45679</v>
      </c>
      <c r="G2926" s="27" t="n">
        <v>45677</v>
      </c>
      <c r="H2926" s="27" t="n">
        <v>45677</v>
      </c>
      <c r="I2926" s="27" t="n">
        <v>45298</v>
      </c>
      <c r="J2926" s="27" t="n">
        <v>45665</v>
      </c>
      <c r="K2926" t="inlineStr">
        <is>
          <t>Transferência Bancária ou Pix</t>
        </is>
      </c>
      <c r="L2926" t="inlineStr">
        <is>
          <t>Marketing</t>
        </is>
      </c>
      <c r="M2926" t="inlineStr">
        <is>
          <t>Produção Gráfica e Material Institucional</t>
        </is>
      </c>
      <c r="N2926" t="inlineStr">
        <is>
          <t>20252</t>
        </is>
      </c>
      <c r="O2926" t="inlineStr">
        <is>
          <t>Documentação Aprovada</t>
        </is>
      </c>
      <c r="P2926" t="inlineStr">
        <is>
          <t>Aprovado Diretoria</t>
        </is>
      </c>
      <c r="Q2926" t="inlineStr">
        <is>
          <t>Aprovado Caixa</t>
        </is>
      </c>
      <c r="R2926" t="inlineStr">
        <is>
          <t>Pago</t>
        </is>
      </c>
      <c r="S2926" t="n">
        <v>115</v>
      </c>
      <c r="T2926" t="inlineStr">
        <is>
          <t>Love - Shibari - Bradesco</t>
        </is>
      </c>
    </row>
    <row r="2927">
      <c r="A2927" t="n">
        <v>100776</v>
      </c>
      <c r="B2927" t="n">
        <v>128</v>
      </c>
      <c r="C2927" t="inlineStr">
        <is>
          <t>Love Cabaret</t>
        </is>
      </c>
      <c r="D2927" t="inlineStr">
        <is>
          <t>PHELLIP ATILA</t>
        </is>
      </c>
      <c r="E2927" t="n">
        <v>1200</v>
      </c>
      <c r="F2927" s="27" t="n">
        <v>45679</v>
      </c>
      <c r="G2927" s="27" t="n">
        <v>45677</v>
      </c>
      <c r="H2927" s="27" t="n">
        <v>45677</v>
      </c>
      <c r="I2927" s="27" t="n">
        <v>45658</v>
      </c>
      <c r="J2927" s="27" t="n">
        <v>45665</v>
      </c>
      <c r="K2927" t="inlineStr">
        <is>
          <t>Transferência Bancária ou Pix</t>
        </is>
      </c>
      <c r="L2927" t="inlineStr">
        <is>
          <t>Marketing</t>
        </is>
      </c>
      <c r="M2927" t="inlineStr">
        <is>
          <t>Produção Gráfica e Material Institucional</t>
        </is>
      </c>
      <c r="N2927" t="inlineStr">
        <is>
          <t>93</t>
        </is>
      </c>
      <c r="O2927" t="inlineStr">
        <is>
          <t>Documentação Aprovada</t>
        </is>
      </c>
      <c r="P2927" t="inlineStr">
        <is>
          <t>Aprovado Diretoria</t>
        </is>
      </c>
      <c r="Q2927" t="inlineStr">
        <is>
          <t>Aprovado Caixa</t>
        </is>
      </c>
      <c r="R2927" t="inlineStr">
        <is>
          <t>Pago</t>
        </is>
      </c>
      <c r="S2927" t="n">
        <v>115</v>
      </c>
      <c r="T2927" t="inlineStr">
        <is>
          <t>Love - Shibari - Bradesco</t>
        </is>
      </c>
    </row>
    <row r="2928">
      <c r="A2928" t="n">
        <v>103466</v>
      </c>
      <c r="B2928" t="n">
        <v>128</v>
      </c>
      <c r="C2928" t="inlineStr">
        <is>
          <t>Love Cabaret</t>
        </is>
      </c>
      <c r="D2928" t="inlineStr">
        <is>
          <t>PEDRO THOMAZ RODRIGUES</t>
        </is>
      </c>
      <c r="E2928" t="n">
        <v>783.78</v>
      </c>
      <c r="F2928" s="27" t="n">
        <v>45677</v>
      </c>
      <c r="G2928" s="27" t="n">
        <v>45677</v>
      </c>
      <c r="H2928" s="27" t="n">
        <v>45677</v>
      </c>
      <c r="I2928" s="27" t="n">
        <v>45672</v>
      </c>
      <c r="J2928" s="27" t="n"/>
      <c r="K2928" t="inlineStr">
        <is>
          <t>Transferência Bancária ou Pix</t>
        </is>
      </c>
      <c r="L2928" t="inlineStr">
        <is>
          <t>Mão de Obra - Salários</t>
        </is>
      </c>
      <c r="M2928" t="inlineStr">
        <is>
          <t>MDO CLT - Salário</t>
        </is>
      </c>
      <c r="N2928" t="inlineStr">
        <is>
          <t>122024</t>
        </is>
      </c>
      <c r="O2928" t="inlineStr">
        <is>
          <t>Documentação Aprovada</t>
        </is>
      </c>
      <c r="P2928" t="inlineStr">
        <is>
          <t>Aprovado Diretoria</t>
        </is>
      </c>
      <c r="Q2928" t="inlineStr">
        <is>
          <t>Aprovado Caixa</t>
        </is>
      </c>
      <c r="R2928" t="inlineStr">
        <is>
          <t>Pago</t>
        </is>
      </c>
      <c r="S2928" t="n">
        <v>115</v>
      </c>
      <c r="T2928" t="inlineStr">
        <is>
          <t>Love - Shibari - Bradesco</t>
        </is>
      </c>
    </row>
    <row r="2929">
      <c r="A2929" t="n">
        <v>103465</v>
      </c>
      <c r="B2929" t="n">
        <v>128</v>
      </c>
      <c r="C2929" t="inlineStr">
        <is>
          <t>Love Cabaret</t>
        </is>
      </c>
      <c r="D2929" t="inlineStr">
        <is>
          <t>CAROLINE FERREIRA DA SILVA</t>
        </is>
      </c>
      <c r="E2929" t="n">
        <v>831.87</v>
      </c>
      <c r="F2929" s="27" t="n">
        <v>45677</v>
      </c>
      <c r="G2929" s="27" t="n">
        <v>45677</v>
      </c>
      <c r="H2929" s="27" t="n">
        <v>45677</v>
      </c>
      <c r="I2929" s="27" t="n">
        <v>45672</v>
      </c>
      <c r="J2929" s="27" t="n"/>
      <c r="K2929" t="inlineStr">
        <is>
          <t>Transferência Bancária ou Pix</t>
        </is>
      </c>
      <c r="L2929" t="inlineStr">
        <is>
          <t>Mão de Obra - Salários</t>
        </is>
      </c>
      <c r="M2929" t="inlineStr">
        <is>
          <t>MDO CLT - Salário</t>
        </is>
      </c>
      <c r="N2929" t="inlineStr">
        <is>
          <t>012025</t>
        </is>
      </c>
      <c r="O2929" t="inlineStr">
        <is>
          <t>Documentação Aprovada</t>
        </is>
      </c>
      <c r="P2929" t="inlineStr">
        <is>
          <t>Aprovado Diretoria</t>
        </is>
      </c>
      <c r="Q2929" t="inlineStr">
        <is>
          <t>Aprovado Caixa</t>
        </is>
      </c>
      <c r="R2929" t="inlineStr">
        <is>
          <t>Pago</t>
        </is>
      </c>
      <c r="S2929" t="n">
        <v>115</v>
      </c>
      <c r="T2929" t="inlineStr">
        <is>
          <t>Love - Shibari - Bradesco</t>
        </is>
      </c>
    </row>
    <row r="2930">
      <c r="A2930" t="n">
        <v>93769</v>
      </c>
      <c r="B2930" t="n">
        <v>128</v>
      </c>
      <c r="C2930" t="inlineStr">
        <is>
          <t>Love Cabaret</t>
        </is>
      </c>
      <c r="D2930" t="inlineStr">
        <is>
          <t>GOMES D ELIA EQUIP. HIGIENE LTDA - WESCO</t>
        </is>
      </c>
      <c r="E2930" t="n">
        <v>515</v>
      </c>
      <c r="F2930" s="27" t="n">
        <v>45677</v>
      </c>
      <c r="G2930" s="27" t="n">
        <v>45677</v>
      </c>
      <c r="H2930" s="27" t="n">
        <v>45677</v>
      </c>
      <c r="I2930" s="27" t="n">
        <v>45658</v>
      </c>
      <c r="J2930" s="27" t="n">
        <v>45635</v>
      </c>
      <c r="K2930" t="inlineStr">
        <is>
          <t>Boleto Bancário</t>
        </is>
      </c>
      <c r="L2930" t="inlineStr">
        <is>
          <t>Utilidades</t>
        </is>
      </c>
      <c r="M2930" t="inlineStr">
        <is>
          <t>Higiene e Limpeza</t>
        </is>
      </c>
      <c r="N2930" t="inlineStr">
        <is>
          <t>173705</t>
        </is>
      </c>
      <c r="O2930" t="inlineStr">
        <is>
          <t>Documentação Aprovada</t>
        </is>
      </c>
      <c r="P2930" t="inlineStr">
        <is>
          <t>Aprovado Diretoria</t>
        </is>
      </c>
      <c r="Q2930" t="inlineStr">
        <is>
          <t>Aprovado Caixa</t>
        </is>
      </c>
      <c r="R2930" t="inlineStr">
        <is>
          <t>Pago</t>
        </is>
      </c>
      <c r="S2930" t="n">
        <v>115</v>
      </c>
      <c r="T2930" t="inlineStr">
        <is>
          <t>Love - Shibari - Bradesco</t>
        </is>
      </c>
    </row>
    <row r="2931">
      <c r="A2931" t="n">
        <v>97009</v>
      </c>
      <c r="B2931" t="n">
        <v>128</v>
      </c>
      <c r="C2931" t="inlineStr">
        <is>
          <t>Love Cabaret</t>
        </is>
      </c>
      <c r="D2931" t="inlineStr">
        <is>
          <t>ESHOWS PROMOCOES ARTISTICAS LTDA</t>
        </is>
      </c>
      <c r="E2931" t="n">
        <v>8050</v>
      </c>
      <c r="F2931" s="27" t="n">
        <v>45677</v>
      </c>
      <c r="G2931" s="27" t="n">
        <v>45677</v>
      </c>
      <c r="H2931" s="27" t="n">
        <v>45674</v>
      </c>
      <c r="I2931" s="27" t="n">
        <v>45658</v>
      </c>
      <c r="J2931" s="27" t="n"/>
      <c r="K2931" t="inlineStr">
        <is>
          <t>Boleto Bancário</t>
        </is>
      </c>
      <c r="L2931" t="inlineStr">
        <is>
          <t>Custos Artístico Geral</t>
        </is>
      </c>
      <c r="M2931" t="inlineStr">
        <is>
          <t>Cachê de Músicos e Artistas</t>
        </is>
      </c>
      <c r="N2931" t="inlineStr">
        <is>
          <t>504106542</t>
        </is>
      </c>
      <c r="O2931" t="inlineStr">
        <is>
          <t>Documentação Aprovada</t>
        </is>
      </c>
      <c r="P2931" t="inlineStr">
        <is>
          <t>Aprovado Diretoria</t>
        </is>
      </c>
      <c r="Q2931" t="inlineStr">
        <is>
          <t>Aprovado Caixa</t>
        </is>
      </c>
      <c r="R2931" t="inlineStr">
        <is>
          <t>Pago</t>
        </is>
      </c>
      <c r="S2931" t="n">
        <v>115</v>
      </c>
      <c r="T2931" t="inlineStr">
        <is>
          <t>Love - Shibari - Bradesco</t>
        </is>
      </c>
    </row>
    <row r="2932">
      <c r="A2932" t="n">
        <v>104110</v>
      </c>
      <c r="B2932" t="n">
        <v>128</v>
      </c>
      <c r="C2932" t="inlineStr">
        <is>
          <t>Love Cabaret</t>
        </is>
      </c>
      <c r="D2932" t="inlineStr">
        <is>
          <t>BRADESCO SA</t>
        </is>
      </c>
      <c r="E2932" t="n">
        <v>9</v>
      </c>
      <c r="F2932" s="27" t="n">
        <v>45674</v>
      </c>
      <c r="G2932" s="27" t="n"/>
      <c r="H2932" s="27" t="n">
        <v>45674</v>
      </c>
      <c r="I2932" s="27" t="n">
        <v>45674</v>
      </c>
      <c r="J2932" s="27" t="n">
        <v>45677</v>
      </c>
      <c r="K2932" t="inlineStr">
        <is>
          <t>Encontro de Contas</t>
        </is>
      </c>
      <c r="L2932" t="inlineStr">
        <is>
          <t>Despesas Financeiras</t>
        </is>
      </c>
      <c r="M2932" t="inlineStr">
        <is>
          <t>Tarifas Bancárias</t>
        </is>
      </c>
      <c r="N2932" t="inlineStr">
        <is>
          <t>012025</t>
        </is>
      </c>
      <c r="P2932" t="inlineStr">
        <is>
          <t>Aprovado Diretoria</t>
        </is>
      </c>
      <c r="R2932" t="inlineStr">
        <is>
          <t>Pago</t>
        </is>
      </c>
    </row>
    <row r="2933">
      <c r="A2933" t="n">
        <v>103686</v>
      </c>
      <c r="B2933" t="n">
        <v>128</v>
      </c>
      <c r="C2933" t="inlineStr">
        <is>
          <t>Love Cabaret</t>
        </is>
      </c>
      <c r="D2933" t="inlineStr">
        <is>
          <t>BRADESCO SA</t>
        </is>
      </c>
      <c r="E2933" t="n">
        <v>23.3</v>
      </c>
      <c r="F2933" s="27" t="n">
        <v>45673</v>
      </c>
      <c r="G2933" s="27" t="n"/>
      <c r="H2933" s="27" t="n">
        <v>45673</v>
      </c>
      <c r="I2933" s="27" t="n">
        <v>45673</v>
      </c>
      <c r="J2933" s="27" t="n">
        <v>45674</v>
      </c>
      <c r="K2933" t="inlineStr">
        <is>
          <t>Encontro de Contas</t>
        </is>
      </c>
      <c r="L2933" t="inlineStr">
        <is>
          <t>Despesas Financeiras</t>
        </is>
      </c>
      <c r="M2933" t="inlineStr">
        <is>
          <t>Tarifas Bancárias</t>
        </is>
      </c>
      <c r="N2933" t="inlineStr">
        <is>
          <t>012025</t>
        </is>
      </c>
      <c r="P2933" t="inlineStr">
        <is>
          <t>Aprovado Diretoria</t>
        </is>
      </c>
      <c r="R2933" t="inlineStr">
        <is>
          <t>Pago</t>
        </is>
      </c>
    </row>
    <row r="2934">
      <c r="A2934" t="n">
        <v>103178</v>
      </c>
      <c r="B2934" t="n">
        <v>128</v>
      </c>
      <c r="C2934" t="inlineStr">
        <is>
          <t>Love Cabaret</t>
        </is>
      </c>
      <c r="D2934" t="inlineStr">
        <is>
          <t>BRADESCO SA</t>
        </is>
      </c>
      <c r="E2934" t="n">
        <v>171.7</v>
      </c>
      <c r="F2934" s="27" t="n">
        <v>45672</v>
      </c>
      <c r="G2934" s="27" t="n"/>
      <c r="H2934" s="27" t="n">
        <v>45672</v>
      </c>
      <c r="I2934" s="27" t="n">
        <v>45672</v>
      </c>
      <c r="J2934" s="27" t="n">
        <v>45673</v>
      </c>
      <c r="K2934" t="inlineStr">
        <is>
          <t>Encontro de Contas</t>
        </is>
      </c>
      <c r="L2934" t="inlineStr">
        <is>
          <t>Despesas Financeiras</t>
        </is>
      </c>
      <c r="M2934" t="inlineStr">
        <is>
          <t>Tarifas Bancárias</t>
        </is>
      </c>
      <c r="N2934" t="inlineStr">
        <is>
          <t>012025</t>
        </is>
      </c>
      <c r="P2934" t="inlineStr">
        <is>
          <t>Aprovado Diretoria</t>
        </is>
      </c>
      <c r="R2934" t="inlineStr">
        <is>
          <t>Pago</t>
        </is>
      </c>
    </row>
    <row r="2935">
      <c r="A2935" t="n">
        <v>97709</v>
      </c>
      <c r="B2935" t="n">
        <v>128</v>
      </c>
      <c r="C2935" t="inlineStr">
        <is>
          <t>Love Cabaret</t>
        </is>
      </c>
      <c r="D2935" t="inlineStr">
        <is>
          <t xml:space="preserve">EMPORIO MEL </t>
        </is>
      </c>
      <c r="E2935" t="n">
        <v>261.5</v>
      </c>
      <c r="F2935" s="27" t="n">
        <v>45673</v>
      </c>
      <c r="G2935" s="27" t="n">
        <v>45672</v>
      </c>
      <c r="H2935" s="27" t="n">
        <v>45672</v>
      </c>
      <c r="I2935" s="27" t="n">
        <v>45644</v>
      </c>
      <c r="J2935" s="27" t="n">
        <v>45648</v>
      </c>
      <c r="K2935" t="inlineStr">
        <is>
          <t>Boleto Bancário</t>
        </is>
      </c>
      <c r="L2935" t="inlineStr">
        <is>
          <t>Custo Mercadoria Vendida</t>
        </is>
      </c>
      <c r="M2935" t="inlineStr">
        <is>
          <t>Insumos - Alimentos</t>
        </is>
      </c>
      <c r="N2935" t="inlineStr">
        <is>
          <t>434149</t>
        </is>
      </c>
      <c r="O2935" t="inlineStr">
        <is>
          <t>Documentação Aprovada</t>
        </is>
      </c>
      <c r="P2935" t="inlineStr">
        <is>
          <t>Aprovado Diretoria</t>
        </is>
      </c>
      <c r="Q2935" t="inlineStr">
        <is>
          <t>Aprovado Caixa</t>
        </is>
      </c>
      <c r="R2935" t="inlineStr">
        <is>
          <t>Pago</t>
        </is>
      </c>
      <c r="S2935" t="n">
        <v>115</v>
      </c>
      <c r="T2935" t="inlineStr">
        <is>
          <t>Love - Shibari - Bradesco</t>
        </is>
      </c>
    </row>
    <row r="2936">
      <c r="A2936" t="n">
        <v>97593</v>
      </c>
      <c r="B2936" t="n">
        <v>128</v>
      </c>
      <c r="C2936" t="inlineStr">
        <is>
          <t>Love Cabaret</t>
        </is>
      </c>
      <c r="D2936" t="inlineStr">
        <is>
          <t>HORTICLEAN DISTRIBUIDORA DE HORTIFRUTI LTDA</t>
        </is>
      </c>
      <c r="E2936" t="n">
        <v>305.32</v>
      </c>
      <c r="F2936" s="27" t="n">
        <v>45674</v>
      </c>
      <c r="G2936" s="27" t="n">
        <v>45672</v>
      </c>
      <c r="H2936" s="27" t="n">
        <v>45672</v>
      </c>
      <c r="I2936" s="27" t="n">
        <v>45645</v>
      </c>
      <c r="J2936" s="27" t="n">
        <v>45646</v>
      </c>
      <c r="K2936" t="inlineStr">
        <is>
          <t>Boleto Bancário</t>
        </is>
      </c>
      <c r="L2936" t="inlineStr">
        <is>
          <t>Custo Mercadoria Vendida</t>
        </is>
      </c>
      <c r="M2936" t="inlineStr">
        <is>
          <t>Insumos - Alimentos</t>
        </is>
      </c>
      <c r="N2936" t="inlineStr">
        <is>
          <t>25503</t>
        </is>
      </c>
      <c r="O2936" t="inlineStr">
        <is>
          <t>Documentação Aprovada</t>
        </is>
      </c>
      <c r="P2936" t="inlineStr">
        <is>
          <t>Aprovado Diretoria</t>
        </is>
      </c>
      <c r="Q2936" t="inlineStr">
        <is>
          <t>Aprovado Caixa</t>
        </is>
      </c>
      <c r="R2936" t="inlineStr">
        <is>
          <t>Pago</t>
        </is>
      </c>
      <c r="S2936" t="n">
        <v>115</v>
      </c>
      <c r="T2936" t="inlineStr">
        <is>
          <t>Love - Shibari - Bradesco</t>
        </is>
      </c>
    </row>
    <row r="2937">
      <c r="A2937" t="n">
        <v>97083</v>
      </c>
      <c r="B2937" t="n">
        <v>128</v>
      </c>
      <c r="C2937" t="inlineStr">
        <is>
          <t>Love Cabaret</t>
        </is>
      </c>
      <c r="D2937" t="inlineStr">
        <is>
          <t>ESTAFF SOLUCOES TECNOLOGICAS DE AGENCIAMENTO LTDA</t>
        </is>
      </c>
      <c r="E2937" t="n">
        <v>12001</v>
      </c>
      <c r="F2937" s="27" t="n">
        <v>45672</v>
      </c>
      <c r="G2937" s="27" t="n">
        <v>45672</v>
      </c>
      <c r="H2937" s="27" t="n">
        <v>45672</v>
      </c>
      <c r="I2937" s="27" t="n">
        <v>45663</v>
      </c>
      <c r="J2937" s="27" t="n"/>
      <c r="K2937" t="inlineStr">
        <is>
          <t>Boleto Bancário</t>
        </is>
      </c>
      <c r="L2937" t="inlineStr">
        <is>
          <t>Mão de Obra - Extra</t>
        </is>
      </c>
      <c r="M2937" t="inlineStr">
        <is>
          <t>Mão de Obra Extra</t>
        </is>
      </c>
      <c r="N2937" t="inlineStr">
        <is>
          <t>502267672</t>
        </is>
      </c>
      <c r="O2937" t="inlineStr">
        <is>
          <t>Documentação Aprovada</t>
        </is>
      </c>
      <c r="P2937" t="inlineStr">
        <is>
          <t>Aprovado Diretoria</t>
        </is>
      </c>
      <c r="Q2937" t="inlineStr">
        <is>
          <t>Aprovado Caixa</t>
        </is>
      </c>
      <c r="R2937" t="inlineStr">
        <is>
          <t>Pago</t>
        </is>
      </c>
      <c r="S2937" t="n">
        <v>115</v>
      </c>
      <c r="T2937" t="inlineStr">
        <is>
          <t>Love - Shibari - Bradesco</t>
        </is>
      </c>
    </row>
    <row r="2938">
      <c r="A2938" t="n">
        <v>96015</v>
      </c>
      <c r="B2938" t="n">
        <v>128</v>
      </c>
      <c r="C2938" t="inlineStr">
        <is>
          <t>Love Cabaret</t>
        </is>
      </c>
      <c r="D2938" t="inlineStr">
        <is>
          <t xml:space="preserve">ELETRO TERRIVEL LTDA </t>
        </is>
      </c>
      <c r="E2938" t="n">
        <v>923</v>
      </c>
      <c r="F2938" s="27" t="n">
        <v>45672</v>
      </c>
      <c r="G2938" s="27" t="n">
        <v>45672</v>
      </c>
      <c r="H2938" s="27" t="n">
        <v>45672</v>
      </c>
      <c r="I2938" s="27" t="n">
        <v>45642</v>
      </c>
      <c r="J2938" s="27" t="n">
        <v>45643</v>
      </c>
      <c r="K2938" t="inlineStr">
        <is>
          <t>Transferência Bancária ou Pix</t>
        </is>
      </c>
      <c r="L2938" t="inlineStr">
        <is>
          <t>Utilidades</t>
        </is>
      </c>
      <c r="M2938" t="inlineStr">
        <is>
          <t>Utensilios</t>
        </is>
      </c>
      <c r="N2938" t="inlineStr">
        <is>
          <t>12025</t>
        </is>
      </c>
      <c r="O2938" t="inlineStr">
        <is>
          <t>Documentação Aprovada</t>
        </is>
      </c>
      <c r="P2938" t="inlineStr">
        <is>
          <t>Aprovado Diretoria</t>
        </is>
      </c>
      <c r="Q2938" t="inlineStr">
        <is>
          <t>Aprovado Caixa</t>
        </is>
      </c>
      <c r="R2938" t="inlineStr">
        <is>
          <t>Pago</t>
        </is>
      </c>
      <c r="S2938" t="n">
        <v>115</v>
      </c>
      <c r="T2938" t="inlineStr">
        <is>
          <t>Love - Shibari - Bradesco</t>
        </is>
      </c>
    </row>
    <row r="2939">
      <c r="A2939" t="n">
        <v>97680</v>
      </c>
      <c r="B2939" t="n">
        <v>128</v>
      </c>
      <c r="C2939" t="inlineStr">
        <is>
          <t>Love Cabaret</t>
        </is>
      </c>
      <c r="D2939" t="inlineStr">
        <is>
          <t>PJ23824129000110 - FELIPE DA COSTA SANTOS</t>
        </is>
      </c>
      <c r="E2939" t="n">
        <v>239</v>
      </c>
      <c r="F2939" s="27" t="n">
        <v>45667</v>
      </c>
      <c r="G2939" s="27" t="n">
        <v>45672</v>
      </c>
      <c r="H2939" s="27" t="n">
        <v>45671</v>
      </c>
      <c r="I2939" s="27" t="n">
        <v>45646</v>
      </c>
      <c r="J2939" s="27" t="n">
        <v>45648</v>
      </c>
      <c r="K2939" t="inlineStr">
        <is>
          <t>Transferência Bancária ou Pix</t>
        </is>
      </c>
      <c r="L2939" t="inlineStr">
        <is>
          <t>Utilidades</t>
        </is>
      </c>
      <c r="M2939" t="inlineStr">
        <is>
          <t>Utensilios</t>
        </is>
      </c>
      <c r="N2939" t="inlineStr">
        <is>
          <t>122024</t>
        </is>
      </c>
      <c r="O2939" t="inlineStr">
        <is>
          <t>Documentação Aprovada</t>
        </is>
      </c>
      <c r="P2939" t="inlineStr">
        <is>
          <t>Aprovado Diretoria</t>
        </is>
      </c>
      <c r="Q2939" t="inlineStr">
        <is>
          <t>Aprovado Caixa</t>
        </is>
      </c>
      <c r="R2939" t="inlineStr">
        <is>
          <t>Pago</t>
        </is>
      </c>
      <c r="S2939" t="n">
        <v>115</v>
      </c>
      <c r="T2939" t="inlineStr">
        <is>
          <t>Love - Shibari - Bradesco</t>
        </is>
      </c>
    </row>
    <row r="2940">
      <c r="A2940" t="n">
        <v>100501</v>
      </c>
      <c r="B2940" t="n">
        <v>128</v>
      </c>
      <c r="C2940" t="inlineStr">
        <is>
          <t>Love Cabaret</t>
        </is>
      </c>
      <c r="D2940" t="inlineStr">
        <is>
          <t>PJ23824129000110 - FELIPE DA COSTA SANTOS</t>
        </is>
      </c>
      <c r="E2940" t="n">
        <v>140.14</v>
      </c>
      <c r="F2940" s="27" t="n">
        <v>45667</v>
      </c>
      <c r="G2940" s="27" t="n">
        <v>45672</v>
      </c>
      <c r="H2940" s="27" t="n">
        <v>45671</v>
      </c>
      <c r="I2940" s="27" t="n">
        <v>45657</v>
      </c>
      <c r="J2940" s="27" t="n">
        <v>45665</v>
      </c>
      <c r="K2940" t="inlineStr">
        <is>
          <t>Transferência Bancária ou Pix</t>
        </is>
      </c>
      <c r="L2940" t="inlineStr">
        <is>
          <t>INSUMOS</t>
        </is>
      </c>
      <c r="M2940" t="inlineStr">
        <is>
          <t>ALIMENTOS</t>
        </is>
      </c>
      <c r="N2940" t="inlineStr">
        <is>
          <t>1732024</t>
        </is>
      </c>
      <c r="O2940" t="inlineStr">
        <is>
          <t>Documentação Aprovada</t>
        </is>
      </c>
      <c r="P2940" t="inlineStr">
        <is>
          <t>Aprovado Diretoria</t>
        </is>
      </c>
      <c r="Q2940" t="inlineStr">
        <is>
          <t>Aprovado Caixa</t>
        </is>
      </c>
      <c r="R2940" t="inlineStr">
        <is>
          <t>Pago</t>
        </is>
      </c>
      <c r="S2940" t="n">
        <v>115</v>
      </c>
      <c r="T2940" t="inlineStr">
        <is>
          <t>Love - Shibari - Bradesco</t>
        </is>
      </c>
    </row>
    <row r="2941">
      <c r="A2941" t="n">
        <v>100371</v>
      </c>
      <c r="B2941" t="n">
        <v>128</v>
      </c>
      <c r="C2941" t="inlineStr">
        <is>
          <t>Love Cabaret</t>
        </is>
      </c>
      <c r="D2941" t="inlineStr">
        <is>
          <t>AURORA ALVORADA ESTACIONAMENTO E LANCHONETE LTDA</t>
        </is>
      </c>
      <c r="E2941" t="n">
        <v>200.79</v>
      </c>
      <c r="F2941" s="27" t="n">
        <v>45672</v>
      </c>
      <c r="G2941" s="27" t="n">
        <v>45672</v>
      </c>
      <c r="H2941" s="27" t="n">
        <v>45671</v>
      </c>
      <c r="I2941" s="27" t="n">
        <v>45663</v>
      </c>
      <c r="J2941" s="27" t="n">
        <v>45664</v>
      </c>
      <c r="K2941" t="inlineStr">
        <is>
          <t>Boleto Bancário</t>
        </is>
      </c>
      <c r="L2941" t="inlineStr">
        <is>
          <t>Custo Mercadoria Vendida</t>
        </is>
      </c>
      <c r="M2941" t="inlineStr">
        <is>
          <t>Insumos - Alimentos</t>
        </is>
      </c>
      <c r="N2941" t="inlineStr">
        <is>
          <t>10185</t>
        </is>
      </c>
      <c r="O2941" t="inlineStr">
        <is>
          <t>Documentação Aprovada</t>
        </is>
      </c>
      <c r="P2941" t="inlineStr">
        <is>
          <t>Aprovado Diretoria</t>
        </is>
      </c>
      <c r="Q2941" t="inlineStr">
        <is>
          <t>Aprovado Caixa</t>
        </is>
      </c>
      <c r="R2941" t="inlineStr">
        <is>
          <t>Pago</t>
        </is>
      </c>
      <c r="S2941" t="n">
        <v>115</v>
      </c>
      <c r="T2941" t="inlineStr">
        <is>
          <t>Love - Shibari - Bradesco</t>
        </is>
      </c>
    </row>
    <row r="2942">
      <c r="A2942" t="n">
        <v>59345</v>
      </c>
      <c r="B2942" t="n">
        <v>128</v>
      </c>
      <c r="C2942" t="inlineStr">
        <is>
          <t>Love Cabaret</t>
        </is>
      </c>
      <c r="D2942" t="inlineStr">
        <is>
          <t>MACHINE SEGURANCA PATRIMONIAL LTDA</t>
        </is>
      </c>
      <c r="E2942" t="n">
        <v>4636.95</v>
      </c>
      <c r="F2942" s="27" t="n">
        <v>45672</v>
      </c>
      <c r="G2942" s="27" t="n">
        <v>45672</v>
      </c>
      <c r="H2942" s="27" t="n">
        <v>45671</v>
      </c>
      <c r="I2942" s="27" t="n">
        <v>45641</v>
      </c>
      <c r="J2942" s="27" t="n">
        <v>45461</v>
      </c>
      <c r="K2942" t="inlineStr">
        <is>
          <t>Transferência Bancária ou Pix</t>
        </is>
      </c>
      <c r="L2942" t="inlineStr">
        <is>
          <t>Serviços de Terceiros</t>
        </is>
      </c>
      <c r="M2942" t="inlineStr">
        <is>
          <t>Serviços de Segurança</t>
        </is>
      </c>
      <c r="N2942" t="inlineStr">
        <is>
          <t>512</t>
        </is>
      </c>
      <c r="O2942" t="inlineStr">
        <is>
          <t>Documentação Aprovada</t>
        </is>
      </c>
      <c r="P2942" t="inlineStr">
        <is>
          <t>Aprovado Diretoria</t>
        </is>
      </c>
      <c r="Q2942" t="inlineStr">
        <is>
          <t>Aprovado Caixa</t>
        </is>
      </c>
      <c r="R2942" t="inlineStr">
        <is>
          <t>Pago</t>
        </is>
      </c>
      <c r="S2942" t="n">
        <v>115</v>
      </c>
      <c r="T2942" t="inlineStr">
        <is>
          <t>Love - Shibari - Bradesco</t>
        </is>
      </c>
    </row>
    <row r="2943">
      <c r="A2943" t="n">
        <v>61393</v>
      </c>
      <c r="B2943" t="n">
        <v>128</v>
      </c>
      <c r="C2943" t="inlineStr">
        <is>
          <t>Love Cabaret</t>
        </is>
      </c>
      <c r="D2943" t="inlineStr">
        <is>
          <t xml:space="preserve">DUO COMUNICA LTDA </t>
        </is>
      </c>
      <c r="E2943" t="n">
        <v>1200</v>
      </c>
      <c r="F2943" s="27" t="n">
        <v>45671</v>
      </c>
      <c r="G2943" s="27" t="n">
        <v>45672</v>
      </c>
      <c r="H2943" s="27" t="n">
        <v>45671</v>
      </c>
      <c r="I2943" s="27" t="n">
        <v>45644</v>
      </c>
      <c r="J2943" s="27" t="n"/>
      <c r="K2943" t="inlineStr">
        <is>
          <t>Transferência Bancária ou Pix</t>
        </is>
      </c>
      <c r="L2943" t="inlineStr">
        <is>
          <t>Marketing</t>
        </is>
      </c>
      <c r="M2943" t="inlineStr">
        <is>
          <t>Assessoria de Imprensa</t>
        </is>
      </c>
      <c r="N2943" t="inlineStr">
        <is>
          <t>417</t>
        </is>
      </c>
      <c r="O2943" t="inlineStr">
        <is>
          <t>Documentação Aprovada</t>
        </is>
      </c>
      <c r="P2943" t="inlineStr">
        <is>
          <t>Aprovado Diretoria</t>
        </is>
      </c>
      <c r="Q2943" t="inlineStr">
        <is>
          <t>Aprovado Caixa</t>
        </is>
      </c>
      <c r="R2943" t="inlineStr">
        <is>
          <t>Pago</t>
        </is>
      </c>
      <c r="S2943" t="n">
        <v>115</v>
      </c>
      <c r="T2943" t="inlineStr">
        <is>
          <t>Love - Shibari - Bradesco</t>
        </is>
      </c>
    </row>
    <row r="2944">
      <c r="A2944" t="n">
        <v>58969</v>
      </c>
      <c r="B2944" t="n">
        <v>128</v>
      </c>
      <c r="C2944" t="inlineStr">
        <is>
          <t>Love Cabaret</t>
        </is>
      </c>
      <c r="D2944" t="inlineStr">
        <is>
          <t>CEM ENGENHARIA DA MANUTENCAO LTDA</t>
        </is>
      </c>
      <c r="E2944" t="n">
        <v>6252.94</v>
      </c>
      <c r="F2944" s="27" t="n">
        <v>45672</v>
      </c>
      <c r="G2944" s="27" t="n">
        <v>45670</v>
      </c>
      <c r="H2944" s="27" t="n">
        <v>45670</v>
      </c>
      <c r="I2944" s="27" t="n">
        <v>45656</v>
      </c>
      <c r="J2944" s="27" t="n"/>
      <c r="K2944" t="inlineStr">
        <is>
          <t>Boleto Bancário</t>
        </is>
      </c>
      <c r="L2944" t="inlineStr">
        <is>
          <t>Manutenção</t>
        </is>
      </c>
      <c r="M2944" t="inlineStr">
        <is>
          <t>Manutenção Predial</t>
        </is>
      </c>
      <c r="N2944" t="inlineStr">
        <is>
          <t>2208</t>
        </is>
      </c>
      <c r="O2944" t="inlineStr">
        <is>
          <t>Documentação Aprovada</t>
        </is>
      </c>
      <c r="P2944" t="inlineStr">
        <is>
          <t>Aprovado Diretoria</t>
        </is>
      </c>
      <c r="Q2944" t="inlineStr">
        <is>
          <t>Aprovado Caixa</t>
        </is>
      </c>
      <c r="R2944" t="inlineStr">
        <is>
          <t>Pago</t>
        </is>
      </c>
      <c r="S2944" t="n">
        <v>115</v>
      </c>
      <c r="T2944" t="inlineStr">
        <is>
          <t>Love - Shibari - Bradesco</t>
        </is>
      </c>
    </row>
    <row r="2945">
      <c r="A2945" t="n">
        <v>59220</v>
      </c>
      <c r="B2945" t="n">
        <v>128</v>
      </c>
      <c r="C2945" t="inlineStr">
        <is>
          <t>Love Cabaret</t>
        </is>
      </c>
      <c r="D2945" t="inlineStr">
        <is>
          <t>HEADCHEF SEGURANCA DOS ALIM E GARANTIA D</t>
        </is>
      </c>
      <c r="E2945" t="n">
        <v>850</v>
      </c>
      <c r="F2945" s="27" t="n">
        <v>45672</v>
      </c>
      <c r="G2945" s="27" t="n">
        <v>45670</v>
      </c>
      <c r="H2945" s="27" t="n">
        <v>45670</v>
      </c>
      <c r="I2945" s="27" t="n">
        <v>45652</v>
      </c>
      <c r="J2945" s="27" t="n"/>
      <c r="K2945" t="inlineStr">
        <is>
          <t>Boleto Bancário</t>
        </is>
      </c>
      <c r="L2945" t="inlineStr">
        <is>
          <t>Serviços de Terceiros</t>
        </is>
      </c>
      <c r="M2945" t="inlineStr">
        <is>
          <t>Assessoria de Alimentos e Bebidas</t>
        </is>
      </c>
      <c r="N2945" t="inlineStr">
        <is>
          <t>1016</t>
        </is>
      </c>
      <c r="O2945" t="inlineStr">
        <is>
          <t>Documentação Aprovada</t>
        </is>
      </c>
      <c r="P2945" t="inlineStr">
        <is>
          <t>Aprovado Diretoria</t>
        </is>
      </c>
      <c r="Q2945" t="inlineStr">
        <is>
          <t>Aprovado Caixa</t>
        </is>
      </c>
      <c r="R2945" t="inlineStr">
        <is>
          <t>Pago</t>
        </is>
      </c>
      <c r="S2945" t="n">
        <v>115</v>
      </c>
      <c r="T2945" t="inlineStr">
        <is>
          <t>Love - Shibari - Bradesco</t>
        </is>
      </c>
    </row>
    <row r="2946">
      <c r="A2946" t="n">
        <v>100380</v>
      </c>
      <c r="B2946" t="n">
        <v>128</v>
      </c>
      <c r="C2946" t="inlineStr">
        <is>
          <t>Love Cabaret</t>
        </is>
      </c>
      <c r="D2946" t="inlineStr">
        <is>
          <t>JOSE CASSIO PREVEDEL SISTEMAS ME</t>
        </is>
      </c>
      <c r="E2946" t="n">
        <v>400</v>
      </c>
      <c r="F2946" s="27" t="n">
        <v>45672</v>
      </c>
      <c r="G2946" s="27" t="n">
        <v>45670</v>
      </c>
      <c r="H2946" s="27" t="n">
        <v>45670</v>
      </c>
      <c r="I2946" s="27" t="n">
        <v>45658</v>
      </c>
      <c r="J2946" s="27" t="n">
        <v>45664</v>
      </c>
      <c r="K2946" t="inlineStr">
        <is>
          <t>Boleto Bancário</t>
        </is>
      </c>
      <c r="L2946" t="inlineStr">
        <is>
          <t>Locação de Equipamentos</t>
        </is>
      </c>
      <c r="M2946" t="inlineStr">
        <is>
          <t>Locações de Equipamentos - Operacionais</t>
        </is>
      </c>
      <c r="N2946" t="inlineStr">
        <is>
          <t>17680</t>
        </is>
      </c>
      <c r="O2946" t="inlineStr">
        <is>
          <t>Documentação Aprovada</t>
        </is>
      </c>
      <c r="P2946" t="inlineStr">
        <is>
          <t>Aprovado Diretoria</t>
        </is>
      </c>
      <c r="Q2946" t="inlineStr">
        <is>
          <t>Aprovado Caixa</t>
        </is>
      </c>
      <c r="R2946" t="inlineStr">
        <is>
          <t>Pago</t>
        </is>
      </c>
      <c r="S2946" t="n">
        <v>115</v>
      </c>
      <c r="T2946" t="inlineStr">
        <is>
          <t>Love - Shibari - Bradesco</t>
        </is>
      </c>
    </row>
    <row r="2947">
      <c r="A2947" t="n">
        <v>100355</v>
      </c>
      <c r="B2947" t="n">
        <v>128</v>
      </c>
      <c r="C2947" t="inlineStr">
        <is>
          <t>Love Cabaret</t>
        </is>
      </c>
      <c r="D2947" t="inlineStr">
        <is>
          <t>RAIMUNDO ALVES DE OLIVEIRA - GELO RAY</t>
        </is>
      </c>
      <c r="E2947" t="n">
        <v>180</v>
      </c>
      <c r="F2947" s="27" t="n">
        <v>45672</v>
      </c>
      <c r="G2947" s="27" t="n">
        <v>45670</v>
      </c>
      <c r="H2947" s="27" t="n">
        <v>45670</v>
      </c>
      <c r="I2947" s="27" t="n">
        <v>45659</v>
      </c>
      <c r="J2947" s="27" t="n">
        <v>45664</v>
      </c>
      <c r="K2947" t="inlineStr">
        <is>
          <t>Boleto Bancário</t>
        </is>
      </c>
      <c r="L2947" t="inlineStr">
        <is>
          <t>Utilidades</t>
        </is>
      </c>
      <c r="M2947" t="inlineStr">
        <is>
          <t>Material de Consumo - Gelo/ Gas CO2/ Carvao /Velas</t>
        </is>
      </c>
      <c r="N2947" t="inlineStr">
        <is>
          <t>1038</t>
        </is>
      </c>
      <c r="O2947" t="inlineStr">
        <is>
          <t>Documentação Aprovada</t>
        </is>
      </c>
      <c r="P2947" t="inlineStr">
        <is>
          <t>Aprovado Diretoria</t>
        </is>
      </c>
      <c r="Q2947" t="inlineStr">
        <is>
          <t>Aprovado Caixa</t>
        </is>
      </c>
      <c r="R2947" t="inlineStr">
        <is>
          <t>Pago</t>
        </is>
      </c>
      <c r="S2947" t="n">
        <v>115</v>
      </c>
      <c r="T2947" t="inlineStr">
        <is>
          <t>Love - Shibari - Bradesco</t>
        </is>
      </c>
    </row>
    <row r="2948">
      <c r="A2948" t="n">
        <v>99710</v>
      </c>
      <c r="B2948" t="n">
        <v>128</v>
      </c>
      <c r="C2948" t="inlineStr">
        <is>
          <t>Love Cabaret</t>
        </is>
      </c>
      <c r="D2948" t="inlineStr">
        <is>
          <t>MACRO CONTABILIDADE E CONSULTORIA LTDA</t>
        </is>
      </c>
      <c r="E2948" t="n">
        <v>3204.47</v>
      </c>
      <c r="F2948" s="27" t="n">
        <v>45672</v>
      </c>
      <c r="G2948" s="27" t="n">
        <v>45670</v>
      </c>
      <c r="H2948" s="27" t="n">
        <v>45670</v>
      </c>
      <c r="I2948" s="27" t="n">
        <v>45660</v>
      </c>
      <c r="J2948" s="27" t="n">
        <v>45660</v>
      </c>
      <c r="K2948" t="inlineStr">
        <is>
          <t>Boleto Bancário</t>
        </is>
      </c>
      <c r="L2948" t="inlineStr">
        <is>
          <t>Serviços de Terceiros</t>
        </is>
      </c>
      <c r="M2948" t="inlineStr">
        <is>
          <t>Assessoria Contabil</t>
        </is>
      </c>
      <c r="N2948" t="inlineStr">
        <is>
          <t>000006783</t>
        </is>
      </c>
      <c r="O2948" t="inlineStr">
        <is>
          <t>Documentação Aprovada</t>
        </is>
      </c>
      <c r="P2948" t="inlineStr">
        <is>
          <t>Aprovado Diretoria</t>
        </is>
      </c>
      <c r="Q2948" t="inlineStr">
        <is>
          <t>Aprovado Caixa</t>
        </is>
      </c>
      <c r="R2948" t="inlineStr">
        <is>
          <t>Pago</t>
        </is>
      </c>
      <c r="S2948" t="n">
        <v>115</v>
      </c>
      <c r="T2948" t="inlineStr">
        <is>
          <t>Love - Shibari - Bradesco</t>
        </is>
      </c>
    </row>
    <row r="2949">
      <c r="A2949" t="n">
        <v>96279</v>
      </c>
      <c r="B2949" t="n">
        <v>128</v>
      </c>
      <c r="C2949" t="inlineStr">
        <is>
          <t>Love Cabaret</t>
        </is>
      </c>
      <c r="D2949" t="inlineStr">
        <is>
          <t>HORTICLEAN DISTRIBUIDORA DE HORTIFRUTI LTDA</t>
        </is>
      </c>
      <c r="E2949" t="n">
        <v>141.55</v>
      </c>
      <c r="F2949" s="27" t="n">
        <v>45671</v>
      </c>
      <c r="G2949" s="27" t="n">
        <v>45670</v>
      </c>
      <c r="H2949" s="27" t="n">
        <v>45670</v>
      </c>
      <c r="I2949" s="27" t="n">
        <v>45642</v>
      </c>
      <c r="J2949" s="27" t="n">
        <v>45644</v>
      </c>
      <c r="K2949" t="inlineStr">
        <is>
          <t>Boleto Bancário</t>
        </is>
      </c>
      <c r="L2949" t="inlineStr">
        <is>
          <t>Custo Mercadoria Vendida</t>
        </is>
      </c>
      <c r="M2949" t="inlineStr">
        <is>
          <t>Insumos - Alimentos</t>
        </is>
      </c>
      <c r="N2949" t="inlineStr">
        <is>
          <t>25476</t>
        </is>
      </c>
      <c r="O2949" t="inlineStr">
        <is>
          <t>Documentação Aprovada</t>
        </is>
      </c>
      <c r="P2949" t="inlineStr">
        <is>
          <t>Aprovado Diretoria</t>
        </is>
      </c>
      <c r="Q2949" t="inlineStr">
        <is>
          <t>Aprovado Caixa</t>
        </is>
      </c>
      <c r="R2949" t="inlineStr">
        <is>
          <t>Pago</t>
        </is>
      </c>
      <c r="S2949" t="n">
        <v>115</v>
      </c>
      <c r="T2949" t="inlineStr">
        <is>
          <t>Love - Shibari - Bradesco</t>
        </is>
      </c>
    </row>
    <row r="2950">
      <c r="A2950" t="n">
        <v>96284</v>
      </c>
      <c r="B2950" t="n">
        <v>128</v>
      </c>
      <c r="C2950" t="inlineStr">
        <is>
          <t>Love Cabaret</t>
        </is>
      </c>
      <c r="D2950" t="inlineStr">
        <is>
          <t>CIUFFI HORTIFRUTI EIRELI</t>
        </is>
      </c>
      <c r="E2950" t="n">
        <v>379.08</v>
      </c>
      <c r="F2950" s="27" t="n">
        <v>45671</v>
      </c>
      <c r="G2950" s="27" t="n">
        <v>45670</v>
      </c>
      <c r="H2950" s="27" t="n">
        <v>45670</v>
      </c>
      <c r="I2950" s="27" t="n">
        <v>45642</v>
      </c>
      <c r="J2950" s="27" t="n">
        <v>45644</v>
      </c>
      <c r="K2950" t="inlineStr">
        <is>
          <t>Boleto Bancário</t>
        </is>
      </c>
      <c r="L2950" t="inlineStr">
        <is>
          <t>Custo Mercadoria Vendida</t>
        </is>
      </c>
      <c r="M2950" t="inlineStr">
        <is>
          <t>Insumos - Alimentos</t>
        </is>
      </c>
      <c r="N2950" t="inlineStr">
        <is>
          <t>17597</t>
        </is>
      </c>
      <c r="O2950" t="inlineStr">
        <is>
          <t>Documentação Aprovada</t>
        </is>
      </c>
      <c r="P2950" t="inlineStr">
        <is>
          <t>Aprovado Diretoria</t>
        </is>
      </c>
      <c r="Q2950" t="inlineStr">
        <is>
          <t>Aprovado Caixa</t>
        </is>
      </c>
      <c r="R2950" t="inlineStr">
        <is>
          <t>Pago</t>
        </is>
      </c>
      <c r="S2950" t="n">
        <v>115</v>
      </c>
      <c r="T2950" t="inlineStr">
        <is>
          <t>Love - Shibari - Bradesco</t>
        </is>
      </c>
    </row>
    <row r="2951">
      <c r="A2951" t="n">
        <v>96365</v>
      </c>
      <c r="B2951" t="n">
        <v>128</v>
      </c>
      <c r="C2951" t="inlineStr">
        <is>
          <t>Love Cabaret</t>
        </is>
      </c>
      <c r="D2951" t="inlineStr">
        <is>
          <t>KING COMERCIO E IMPORTACAO DE BEBIDAS LTDA</t>
        </is>
      </c>
      <c r="E2951" t="n">
        <v>936.26</v>
      </c>
      <c r="F2951" s="27" t="n">
        <v>45671</v>
      </c>
      <c r="G2951" s="27" t="n">
        <v>45670</v>
      </c>
      <c r="H2951" s="27" t="n">
        <v>45670</v>
      </c>
      <c r="I2951" s="27" t="n">
        <v>45643</v>
      </c>
      <c r="J2951" s="27" t="n">
        <v>45644</v>
      </c>
      <c r="K2951" t="inlineStr">
        <is>
          <t>Boleto Bancário</t>
        </is>
      </c>
      <c r="L2951" t="inlineStr">
        <is>
          <t>Custo Mercadoria Vendida</t>
        </is>
      </c>
      <c r="M2951" t="inlineStr">
        <is>
          <t>Insumos - Bebidas</t>
        </is>
      </c>
      <c r="N2951" t="inlineStr">
        <is>
          <t>114062</t>
        </is>
      </c>
      <c r="O2951" t="inlineStr">
        <is>
          <t>Documentação Aprovada</t>
        </is>
      </c>
      <c r="P2951" t="inlineStr">
        <is>
          <t>Aprovado Diretoria</t>
        </is>
      </c>
      <c r="Q2951" t="inlineStr">
        <is>
          <t>Aprovado Caixa</t>
        </is>
      </c>
      <c r="R2951" t="inlineStr">
        <is>
          <t>Pago</t>
        </is>
      </c>
      <c r="S2951" t="n">
        <v>115</v>
      </c>
      <c r="T2951" t="inlineStr">
        <is>
          <t>Love - Shibari - Bradesco</t>
        </is>
      </c>
    </row>
    <row r="2952">
      <c r="A2952" t="n">
        <v>96364</v>
      </c>
      <c r="B2952" t="n">
        <v>128</v>
      </c>
      <c r="C2952" t="inlineStr">
        <is>
          <t>Love Cabaret</t>
        </is>
      </c>
      <c r="D2952" t="inlineStr">
        <is>
          <t>PROAUTO INDUSTRIA QUIMICA EIRELI</t>
        </is>
      </c>
      <c r="E2952" t="n">
        <v>1389.39</v>
      </c>
      <c r="F2952" s="27" t="n">
        <v>45671</v>
      </c>
      <c r="G2952" s="27" t="n">
        <v>45670</v>
      </c>
      <c r="H2952" s="27" t="n">
        <v>45670</v>
      </c>
      <c r="I2952" s="27" t="n">
        <v>45643</v>
      </c>
      <c r="J2952" s="27" t="n">
        <v>45644</v>
      </c>
      <c r="K2952" t="inlineStr">
        <is>
          <t>Boleto Bancário</t>
        </is>
      </c>
      <c r="L2952" t="inlineStr">
        <is>
          <t>Utilidades</t>
        </is>
      </c>
      <c r="M2952" t="inlineStr">
        <is>
          <t>Higiene e Limpeza</t>
        </is>
      </c>
      <c r="N2952" t="inlineStr">
        <is>
          <t>131482</t>
        </is>
      </c>
      <c r="O2952" t="inlineStr">
        <is>
          <t>Documentação Aprovada</t>
        </is>
      </c>
      <c r="P2952" t="inlineStr">
        <is>
          <t>Aprovado Diretoria</t>
        </is>
      </c>
      <c r="Q2952" t="inlineStr">
        <is>
          <t>Aprovado Caixa</t>
        </is>
      </c>
      <c r="R2952" t="inlineStr">
        <is>
          <t>Pago</t>
        </is>
      </c>
      <c r="S2952" t="n">
        <v>115</v>
      </c>
      <c r="T2952" t="inlineStr">
        <is>
          <t>Love - Shibari - Bradesco</t>
        </is>
      </c>
    </row>
    <row r="2953">
      <c r="A2953" t="n">
        <v>96362</v>
      </c>
      <c r="B2953" t="n">
        <v>128</v>
      </c>
      <c r="C2953" t="inlineStr">
        <is>
          <t>Love Cabaret</t>
        </is>
      </c>
      <c r="D2953" t="inlineStr">
        <is>
          <t>B.B DISTRIBUIDORA DE CARNES LTDA</t>
        </is>
      </c>
      <c r="E2953" t="n">
        <v>1953.9</v>
      </c>
      <c r="F2953" s="27" t="n">
        <v>45671</v>
      </c>
      <c r="G2953" s="27" t="n">
        <v>45670</v>
      </c>
      <c r="H2953" s="27" t="n">
        <v>45670</v>
      </c>
      <c r="I2953" s="27" t="n">
        <v>45643</v>
      </c>
      <c r="J2953" s="27" t="n">
        <v>45644</v>
      </c>
      <c r="K2953" t="inlineStr">
        <is>
          <t>Boleto Bancário</t>
        </is>
      </c>
      <c r="L2953" t="inlineStr">
        <is>
          <t>Custo Mercadoria Vendida</t>
        </is>
      </c>
      <c r="M2953" t="inlineStr">
        <is>
          <t>Insumos - Alimentos</t>
        </is>
      </c>
      <c r="N2953" t="inlineStr">
        <is>
          <t>382820</t>
        </is>
      </c>
      <c r="O2953" t="inlineStr">
        <is>
          <t>Documentação Aprovada</t>
        </is>
      </c>
      <c r="P2953" t="inlineStr">
        <is>
          <t>Aprovado Diretoria</t>
        </is>
      </c>
      <c r="Q2953" t="inlineStr">
        <is>
          <t>Aprovado Caixa</t>
        </is>
      </c>
      <c r="R2953" t="inlineStr">
        <is>
          <t>Pago</t>
        </is>
      </c>
      <c r="S2953" t="n">
        <v>115</v>
      </c>
      <c r="T2953" t="inlineStr">
        <is>
          <t>Love - Shibari - Bradesco</t>
        </is>
      </c>
    </row>
    <row r="2954">
      <c r="A2954" t="n">
        <v>96352</v>
      </c>
      <c r="B2954" t="n">
        <v>128</v>
      </c>
      <c r="C2954" t="inlineStr">
        <is>
          <t>Love Cabaret</t>
        </is>
      </c>
      <c r="D2954" t="inlineStr">
        <is>
          <t>EAU - DISTRIBUIDORA DE AGUA MINERAL LTDA</t>
        </is>
      </c>
      <c r="E2954" t="n">
        <v>182</v>
      </c>
      <c r="F2954" s="27" t="n">
        <v>45671</v>
      </c>
      <c r="G2954" s="27" t="n">
        <v>45670</v>
      </c>
      <c r="H2954" s="27" t="n">
        <v>45670</v>
      </c>
      <c r="I2954" s="27" t="n">
        <v>45642</v>
      </c>
      <c r="J2954" s="27" t="n">
        <v>45644</v>
      </c>
      <c r="K2954" t="inlineStr">
        <is>
          <t>Boleto Bancário</t>
        </is>
      </c>
      <c r="L2954" t="inlineStr">
        <is>
          <t>Custo Mercadoria Vendida</t>
        </is>
      </c>
      <c r="M2954" t="inlineStr">
        <is>
          <t>Insumos - Bebidas</t>
        </is>
      </c>
      <c r="N2954" t="inlineStr">
        <is>
          <t>227458</t>
        </is>
      </c>
      <c r="O2954" t="inlineStr">
        <is>
          <t>Documentação Aprovada</t>
        </is>
      </c>
      <c r="P2954" t="inlineStr">
        <is>
          <t>Aprovado Diretoria</t>
        </is>
      </c>
      <c r="Q2954" t="inlineStr">
        <is>
          <t>Aprovado Caixa</t>
        </is>
      </c>
      <c r="R2954" t="inlineStr">
        <is>
          <t>Pago</t>
        </is>
      </c>
      <c r="S2954" t="n">
        <v>115</v>
      </c>
      <c r="T2954" t="inlineStr">
        <is>
          <t>Love - Shibari - Bradesco</t>
        </is>
      </c>
    </row>
    <row r="2955">
      <c r="A2955" t="n">
        <v>102017</v>
      </c>
      <c r="B2955" t="n">
        <v>128</v>
      </c>
      <c r="C2955" t="inlineStr">
        <is>
          <t>Love Cabaret</t>
        </is>
      </c>
      <c r="D2955" t="inlineStr">
        <is>
          <t>BRADESCO SA</t>
        </is>
      </c>
      <c r="E2955" t="n">
        <v>186.23</v>
      </c>
      <c r="F2955" s="27" t="n">
        <v>45667</v>
      </c>
      <c r="G2955" s="27" t="n"/>
      <c r="H2955" s="27" t="n">
        <v>45667</v>
      </c>
      <c r="I2955" s="27" t="n">
        <v>45667</v>
      </c>
      <c r="J2955" s="27" t="n">
        <v>45670</v>
      </c>
      <c r="K2955" t="inlineStr">
        <is>
          <t>Encontro de Contas</t>
        </is>
      </c>
      <c r="L2955" t="inlineStr">
        <is>
          <t>Despesas Financeiras</t>
        </is>
      </c>
      <c r="M2955" t="inlineStr">
        <is>
          <t>Tarifas Bancárias</t>
        </is>
      </c>
      <c r="N2955" t="inlineStr">
        <is>
          <t>012025</t>
        </is>
      </c>
      <c r="P2955" t="inlineStr">
        <is>
          <t>Aprovado Diretoria</t>
        </is>
      </c>
      <c r="R2955" t="inlineStr">
        <is>
          <t>Pago</t>
        </is>
      </c>
    </row>
    <row r="2956">
      <c r="A2956" t="n">
        <v>101182</v>
      </c>
      <c r="B2956" t="n">
        <v>128</v>
      </c>
      <c r="C2956" t="inlineStr">
        <is>
          <t>Love Cabaret</t>
        </is>
      </c>
      <c r="D2956" t="inlineStr">
        <is>
          <t>BRADESCO SA</t>
        </is>
      </c>
      <c r="E2956" t="n">
        <v>9</v>
      </c>
      <c r="F2956" s="27" t="n">
        <v>45666</v>
      </c>
      <c r="G2956" s="27" t="n"/>
      <c r="H2956" s="27" t="n">
        <v>45666</v>
      </c>
      <c r="I2956" s="27" t="n">
        <v>45666</v>
      </c>
      <c r="J2956" s="27" t="n">
        <v>45667</v>
      </c>
      <c r="K2956" t="inlineStr">
        <is>
          <t>Encontro de Contas</t>
        </is>
      </c>
      <c r="L2956" t="inlineStr">
        <is>
          <t>Despesas Financeiras</t>
        </is>
      </c>
      <c r="M2956" t="inlineStr">
        <is>
          <t>Tarifas Bancárias</t>
        </is>
      </c>
      <c r="N2956" t="inlineStr">
        <is>
          <t>012025</t>
        </is>
      </c>
      <c r="P2956" t="inlineStr">
        <is>
          <t>Aprovado Diretoria</t>
        </is>
      </c>
      <c r="R2956" t="inlineStr">
        <is>
          <t>Pago</t>
        </is>
      </c>
    </row>
    <row r="2957">
      <c r="A2957" t="n">
        <v>100904</v>
      </c>
      <c r="B2957" t="n">
        <v>128</v>
      </c>
      <c r="C2957" t="inlineStr">
        <is>
          <t>Love Cabaret</t>
        </is>
      </c>
      <c r="D2957" t="inlineStr">
        <is>
          <t>BRADESCO SA</t>
        </is>
      </c>
      <c r="E2957" t="n">
        <v>9</v>
      </c>
      <c r="F2957" s="27" t="n">
        <v>45665</v>
      </c>
      <c r="G2957" s="27" t="n"/>
      <c r="H2957" s="27" t="n">
        <v>45665</v>
      </c>
      <c r="I2957" s="27" t="n">
        <v>45665</v>
      </c>
      <c r="J2957" s="27" t="n">
        <v>45666</v>
      </c>
      <c r="K2957" t="inlineStr">
        <is>
          <t>Encontro de Contas</t>
        </is>
      </c>
      <c r="L2957" t="inlineStr">
        <is>
          <t>Despesas Financeiras</t>
        </is>
      </c>
      <c r="M2957" t="inlineStr">
        <is>
          <t>Tarifas Bancárias</t>
        </is>
      </c>
      <c r="N2957" t="inlineStr">
        <is>
          <t>012025</t>
        </is>
      </c>
      <c r="P2957" t="inlineStr">
        <is>
          <t>Aprovado Diretoria</t>
        </is>
      </c>
      <c r="R2957" t="inlineStr">
        <is>
          <t>Pago</t>
        </is>
      </c>
    </row>
    <row r="2958">
      <c r="A2958" t="n">
        <v>99272</v>
      </c>
      <c r="B2958" t="n">
        <v>128</v>
      </c>
      <c r="C2958" t="inlineStr">
        <is>
          <t>Love Cabaret</t>
        </is>
      </c>
      <c r="D2958" t="inlineStr">
        <is>
          <t>PJ 43960118000174 - DIEGO OLIVEIRA SANTANA</t>
        </is>
      </c>
      <c r="E2958" t="n">
        <v>3910</v>
      </c>
      <c r="F2958" s="27" t="n">
        <v>45667</v>
      </c>
      <c r="G2958" s="27" t="n">
        <v>45665</v>
      </c>
      <c r="H2958" s="27" t="n">
        <v>45665</v>
      </c>
      <c r="I2958" s="27" t="n">
        <v>45627</v>
      </c>
      <c r="J2958" s="27" t="n">
        <v>45659</v>
      </c>
      <c r="K2958" t="inlineStr">
        <is>
          <t>Transferência Bancária ou Pix</t>
        </is>
      </c>
      <c r="L2958" t="inlineStr">
        <is>
          <t>Gorjeta</t>
        </is>
      </c>
      <c r="M2958" t="inlineStr">
        <is>
          <t xml:space="preserve">  -  Comissões e Gorjeta</t>
        </is>
      </c>
      <c r="N2958" t="inlineStr">
        <is>
          <t>47</t>
        </is>
      </c>
      <c r="O2958" t="inlineStr">
        <is>
          <t>Documentação Aprovada</t>
        </is>
      </c>
      <c r="P2958" t="inlineStr">
        <is>
          <t>Aprovado Diretoria</t>
        </is>
      </c>
      <c r="Q2958" t="inlineStr">
        <is>
          <t>Aprovado Caixa</t>
        </is>
      </c>
      <c r="R2958" t="inlineStr">
        <is>
          <t>Pago</t>
        </is>
      </c>
      <c r="S2958" t="n">
        <v>115</v>
      </c>
      <c r="T2958" t="inlineStr">
        <is>
          <t>Love - Shibari - Bradesco</t>
        </is>
      </c>
    </row>
    <row r="2959">
      <c r="A2959" t="n">
        <v>99274</v>
      </c>
      <c r="B2959" t="n">
        <v>128</v>
      </c>
      <c r="C2959" t="inlineStr">
        <is>
          <t>Love Cabaret</t>
        </is>
      </c>
      <c r="D2959" t="inlineStr">
        <is>
          <t>PJ23824129000110 - FELIPE DA COSTA SANTOS</t>
        </is>
      </c>
      <c r="E2959" t="n">
        <v>4260</v>
      </c>
      <c r="F2959" s="27" t="n">
        <v>45667</v>
      </c>
      <c r="G2959" s="27" t="n">
        <v>45665</v>
      </c>
      <c r="H2959" s="27" t="n">
        <v>45665</v>
      </c>
      <c r="I2959" s="27" t="n">
        <v>45627</v>
      </c>
      <c r="J2959" s="27" t="n">
        <v>45659</v>
      </c>
      <c r="K2959" t="inlineStr">
        <is>
          <t>Transferência Bancária ou Pix</t>
        </is>
      </c>
      <c r="L2959" t="inlineStr">
        <is>
          <t>Gorjeta</t>
        </is>
      </c>
      <c r="M2959" t="inlineStr">
        <is>
          <t xml:space="preserve">  -  Comissões e Gorjeta</t>
        </is>
      </c>
      <c r="N2959" t="inlineStr">
        <is>
          <t>39</t>
        </is>
      </c>
      <c r="O2959" t="inlineStr">
        <is>
          <t>Documentação Aprovada</t>
        </is>
      </c>
      <c r="P2959" t="inlineStr">
        <is>
          <t>Aprovado Diretoria</t>
        </is>
      </c>
      <c r="Q2959" t="inlineStr">
        <is>
          <t>Aprovado Caixa</t>
        </is>
      </c>
      <c r="R2959" t="inlineStr">
        <is>
          <t>Pago</t>
        </is>
      </c>
      <c r="S2959" t="n">
        <v>115</v>
      </c>
      <c r="T2959" t="inlineStr">
        <is>
          <t>Love - Shibari - Bradesco</t>
        </is>
      </c>
    </row>
    <row r="2960">
      <c r="A2960" t="n">
        <v>99276</v>
      </c>
      <c r="B2960" t="n">
        <v>128</v>
      </c>
      <c r="C2960" t="inlineStr">
        <is>
          <t>Love Cabaret</t>
        </is>
      </c>
      <c r="D2960" t="inlineStr">
        <is>
          <t>PJ 00132021 - TELES DE ALMEIDA PINTO</t>
        </is>
      </c>
      <c r="E2960" t="n">
        <v>1420</v>
      </c>
      <c r="F2960" s="27" t="n">
        <v>45667</v>
      </c>
      <c r="G2960" s="27" t="n">
        <v>45665</v>
      </c>
      <c r="H2960" s="27" t="n">
        <v>45665</v>
      </c>
      <c r="I2960" s="27" t="n">
        <v>45627</v>
      </c>
      <c r="J2960" s="27" t="n">
        <v>45659</v>
      </c>
      <c r="K2960" t="inlineStr">
        <is>
          <t>Transferência Bancária ou Pix</t>
        </is>
      </c>
      <c r="L2960" t="inlineStr">
        <is>
          <t>Gorjeta</t>
        </is>
      </c>
      <c r="M2960" t="inlineStr">
        <is>
          <t xml:space="preserve">  -  Comissões e Gorjeta</t>
        </is>
      </c>
      <c r="N2960" t="inlineStr">
        <is>
          <t>62</t>
        </is>
      </c>
      <c r="O2960" t="inlineStr">
        <is>
          <t>Documentação Aprovada</t>
        </is>
      </c>
      <c r="P2960" t="inlineStr">
        <is>
          <t>Aprovado Diretoria</t>
        </is>
      </c>
      <c r="Q2960" t="inlineStr">
        <is>
          <t>Aprovado Caixa</t>
        </is>
      </c>
      <c r="R2960" t="inlineStr">
        <is>
          <t>Pago</t>
        </is>
      </c>
      <c r="S2960" t="n">
        <v>115</v>
      </c>
      <c r="T2960" t="inlineStr">
        <is>
          <t>Love - Shibari - Bradesco</t>
        </is>
      </c>
    </row>
    <row r="2961">
      <c r="A2961" t="n">
        <v>99278</v>
      </c>
      <c r="B2961" t="n">
        <v>128</v>
      </c>
      <c r="C2961" t="inlineStr">
        <is>
          <t>Love Cabaret</t>
        </is>
      </c>
      <c r="D2961" t="inlineStr">
        <is>
          <t>WAGNER DA SILVA FRANCA</t>
        </is>
      </c>
      <c r="E2961" t="n">
        <v>3910</v>
      </c>
      <c r="F2961" s="27" t="n">
        <v>45667</v>
      </c>
      <c r="G2961" s="27" t="n">
        <v>45665</v>
      </c>
      <c r="H2961" s="27" t="n">
        <v>45665</v>
      </c>
      <c r="I2961" s="27" t="n">
        <v>45627</v>
      </c>
      <c r="J2961" s="27" t="n">
        <v>45659</v>
      </c>
      <c r="K2961" t="inlineStr">
        <is>
          <t>Transferência Bancária ou Pix</t>
        </is>
      </c>
      <c r="L2961" t="inlineStr">
        <is>
          <t>Gorjeta</t>
        </is>
      </c>
      <c r="M2961" t="inlineStr">
        <is>
          <t xml:space="preserve">  -  Comissões e Gorjeta</t>
        </is>
      </c>
      <c r="N2961" t="inlineStr">
        <is>
          <t>24</t>
        </is>
      </c>
      <c r="O2961" t="inlineStr">
        <is>
          <t>Documentação Aprovada</t>
        </is>
      </c>
      <c r="P2961" t="inlineStr">
        <is>
          <t>Aprovado Diretoria</t>
        </is>
      </c>
      <c r="Q2961" t="inlineStr">
        <is>
          <t>Aprovado Caixa</t>
        </is>
      </c>
      <c r="R2961" t="inlineStr">
        <is>
          <t>Pago</t>
        </is>
      </c>
      <c r="S2961" t="n">
        <v>115</v>
      </c>
      <c r="T2961" t="inlineStr">
        <is>
          <t>Love - Shibari - Bradesco</t>
        </is>
      </c>
    </row>
    <row r="2962">
      <c r="A2962" t="n">
        <v>99280</v>
      </c>
      <c r="B2962" t="n">
        <v>128</v>
      </c>
      <c r="C2962" t="inlineStr">
        <is>
          <t>Love Cabaret</t>
        </is>
      </c>
      <c r="D2962" t="inlineStr">
        <is>
          <t xml:space="preserve">DOUGLAS FELIPE DOMINGUES GONCALVES </t>
        </is>
      </c>
      <c r="E2962" t="n">
        <v>2130</v>
      </c>
      <c r="F2962" s="27" t="n">
        <v>45667</v>
      </c>
      <c r="G2962" s="27" t="n">
        <v>45665</v>
      </c>
      <c r="H2962" s="27" t="n">
        <v>45665</v>
      </c>
      <c r="I2962" s="27" t="n">
        <v>45627</v>
      </c>
      <c r="J2962" s="27" t="n">
        <v>45659</v>
      </c>
      <c r="K2962" t="inlineStr">
        <is>
          <t>Transferência Bancária ou Pix</t>
        </is>
      </c>
      <c r="L2962" t="inlineStr">
        <is>
          <t>Gorjeta</t>
        </is>
      </c>
      <c r="M2962" t="inlineStr">
        <is>
          <t xml:space="preserve">  -  Comissões e Gorjeta</t>
        </is>
      </c>
      <c r="N2962" t="inlineStr">
        <is>
          <t>27</t>
        </is>
      </c>
      <c r="O2962" t="inlineStr">
        <is>
          <t>Documentação Aprovada</t>
        </is>
      </c>
      <c r="P2962" t="inlineStr">
        <is>
          <t>Aprovado Diretoria</t>
        </is>
      </c>
      <c r="Q2962" t="inlineStr">
        <is>
          <t>Aprovado Caixa</t>
        </is>
      </c>
      <c r="R2962" t="inlineStr">
        <is>
          <t>Pago</t>
        </is>
      </c>
      <c r="S2962" t="n">
        <v>115</v>
      </c>
      <c r="T2962" t="inlineStr">
        <is>
          <t>Love - Shibari - Bradesco</t>
        </is>
      </c>
    </row>
    <row r="2963">
      <c r="A2963" t="n">
        <v>97706</v>
      </c>
      <c r="B2963" t="n">
        <v>128</v>
      </c>
      <c r="C2963" t="inlineStr">
        <is>
          <t>Love Cabaret</t>
        </is>
      </c>
      <c r="D2963" t="inlineStr">
        <is>
          <t>BATALHA FABRICA DE PAES LTDA</t>
        </is>
      </c>
      <c r="E2963" t="n">
        <v>273.6</v>
      </c>
      <c r="F2963" s="27" t="n">
        <v>45667</v>
      </c>
      <c r="G2963" s="27" t="n">
        <v>45665</v>
      </c>
      <c r="H2963" s="27" t="n">
        <v>45665</v>
      </c>
      <c r="I2963" s="27" t="n">
        <v>45645</v>
      </c>
      <c r="J2963" s="27" t="n">
        <v>45648</v>
      </c>
      <c r="K2963" t="inlineStr">
        <is>
          <t>Boleto Bancário</t>
        </is>
      </c>
      <c r="L2963" t="inlineStr">
        <is>
          <t>Custo Mercadoria Vendida</t>
        </is>
      </c>
      <c r="M2963" t="inlineStr">
        <is>
          <t>Insumos - Alimentos</t>
        </is>
      </c>
      <c r="N2963" t="inlineStr">
        <is>
          <t>24837</t>
        </is>
      </c>
      <c r="O2963" t="inlineStr">
        <is>
          <t>Documentação Aprovada</t>
        </is>
      </c>
      <c r="P2963" t="inlineStr">
        <is>
          <t>Aprovado Diretoria</t>
        </is>
      </c>
      <c r="Q2963" t="inlineStr">
        <is>
          <t>Aprovado Caixa</t>
        </is>
      </c>
      <c r="R2963" t="inlineStr">
        <is>
          <t>Pago</t>
        </is>
      </c>
      <c r="S2963" t="n">
        <v>115</v>
      </c>
      <c r="T2963" t="inlineStr">
        <is>
          <t>Love - Shibari - Bradesco</t>
        </is>
      </c>
    </row>
    <row r="2964">
      <c r="A2964" t="n">
        <v>97511</v>
      </c>
      <c r="B2964" t="n">
        <v>128</v>
      </c>
      <c r="C2964" t="inlineStr">
        <is>
          <t>Love Cabaret</t>
        </is>
      </c>
      <c r="D2964" t="inlineStr">
        <is>
          <t>ISS</t>
        </is>
      </c>
      <c r="E2964" t="n">
        <v>22550</v>
      </c>
      <c r="F2964" s="27" t="n">
        <v>45667</v>
      </c>
      <c r="G2964" s="27" t="n">
        <v>45665</v>
      </c>
      <c r="H2964" s="27" t="n">
        <v>45665</v>
      </c>
      <c r="I2964" s="27" t="n">
        <v>45657</v>
      </c>
      <c r="J2964" s="27" t="n"/>
      <c r="K2964" t="inlineStr">
        <is>
          <t>Boleto Bancário</t>
        </is>
      </c>
      <c r="L2964" t="inlineStr">
        <is>
          <t>Impostos sobre Venda</t>
        </is>
      </c>
      <c r="M2964" t="inlineStr">
        <is>
          <t>ISS</t>
        </is>
      </c>
      <c r="N2964" t="inlineStr">
        <is>
          <t>122024</t>
        </is>
      </c>
      <c r="O2964" t="inlineStr">
        <is>
          <t>Documentação Aprovada</t>
        </is>
      </c>
      <c r="P2964" t="inlineStr">
        <is>
          <t>Aprovado Diretoria</t>
        </is>
      </c>
      <c r="Q2964" t="inlineStr">
        <is>
          <t>Aprovado Caixa</t>
        </is>
      </c>
      <c r="R2964" t="inlineStr">
        <is>
          <t>Pago</t>
        </is>
      </c>
      <c r="S2964" t="n">
        <v>115</v>
      </c>
      <c r="T2964" t="inlineStr">
        <is>
          <t>Love - Shibari - Bradesco</t>
        </is>
      </c>
    </row>
    <row r="2965">
      <c r="A2965" t="n">
        <v>95932</v>
      </c>
      <c r="B2965" t="n">
        <v>128</v>
      </c>
      <c r="C2965" t="inlineStr">
        <is>
          <t>Love Cabaret</t>
        </is>
      </c>
      <c r="D2965" t="inlineStr">
        <is>
          <t>SAFE BRAND COMERCIAL- IMPORTACAO- EXPORTACAO E SERVICOS LTDA</t>
        </is>
      </c>
      <c r="E2965" t="n">
        <v>2019.9</v>
      </c>
      <c r="F2965" s="27" t="n">
        <v>45666</v>
      </c>
      <c r="G2965" s="27" t="n">
        <v>45665</v>
      </c>
      <c r="H2965" s="27" t="n">
        <v>45665</v>
      </c>
      <c r="I2965" s="27" t="n">
        <v>45658</v>
      </c>
      <c r="J2965" s="27" t="n">
        <v>45643</v>
      </c>
      <c r="K2965" t="inlineStr">
        <is>
          <t>Boleto Bancário</t>
        </is>
      </c>
      <c r="L2965" t="inlineStr">
        <is>
          <t>Locação de Equipamentos</t>
        </is>
      </c>
      <c r="M2965" t="inlineStr">
        <is>
          <t>Locações de Equipamentos - Operacionais</t>
        </is>
      </c>
      <c r="N2965" t="inlineStr">
        <is>
          <t xml:space="preserve">103240225 </t>
        </is>
      </c>
      <c r="O2965" t="inlineStr">
        <is>
          <t>Documentação Aprovada</t>
        </is>
      </c>
      <c r="P2965" t="inlineStr">
        <is>
          <t>Aprovado Diretoria</t>
        </is>
      </c>
      <c r="Q2965" t="inlineStr">
        <is>
          <t>Aprovado Caixa</t>
        </is>
      </c>
      <c r="R2965" t="inlineStr">
        <is>
          <t>Pago</t>
        </is>
      </c>
      <c r="S2965" t="n">
        <v>115</v>
      </c>
      <c r="T2965" t="inlineStr">
        <is>
          <t>Love - Shibari - Bradesco</t>
        </is>
      </c>
    </row>
    <row r="2966">
      <c r="A2966" t="n">
        <v>95613</v>
      </c>
      <c r="B2966" t="n">
        <v>128</v>
      </c>
      <c r="C2966" t="inlineStr">
        <is>
          <t>Love Cabaret</t>
        </is>
      </c>
      <c r="D2966" t="inlineStr">
        <is>
          <t>PJ 50397059000133</t>
        </is>
      </c>
      <c r="E2966" t="n">
        <v>3000</v>
      </c>
      <c r="F2966" s="27" t="n">
        <v>45667</v>
      </c>
      <c r="G2966" s="27" t="n">
        <v>45665</v>
      </c>
      <c r="H2966" s="27" t="n">
        <v>45665</v>
      </c>
      <c r="I2966" s="27" t="n">
        <v>45627</v>
      </c>
      <c r="J2966" s="27" t="n">
        <v>45642</v>
      </c>
      <c r="K2966" t="inlineStr">
        <is>
          <t>Transferência Bancária ou Pix</t>
        </is>
      </c>
      <c r="L2966" t="inlineStr">
        <is>
          <t>Mão de Obra - PJ</t>
        </is>
      </c>
      <c r="M2966" t="inlineStr">
        <is>
          <t>MDO PJ Fixo</t>
        </is>
      </c>
      <c r="N2966" t="inlineStr">
        <is>
          <t>33</t>
        </is>
      </c>
      <c r="O2966" t="inlineStr">
        <is>
          <t>Documentação Aprovada</t>
        </is>
      </c>
      <c r="P2966" t="inlineStr">
        <is>
          <t>Aprovado Diretoria</t>
        </is>
      </c>
      <c r="Q2966" t="inlineStr">
        <is>
          <t>Aprovado Caixa</t>
        </is>
      </c>
      <c r="R2966" t="inlineStr">
        <is>
          <t>Pago</t>
        </is>
      </c>
      <c r="S2966" t="n">
        <v>115</v>
      </c>
      <c r="T2966" t="inlineStr">
        <is>
          <t>Love - Shibari - Bradesco</t>
        </is>
      </c>
    </row>
    <row r="2967">
      <c r="A2967" t="n">
        <v>96277</v>
      </c>
      <c r="B2967" t="n">
        <v>128</v>
      </c>
      <c r="C2967" t="inlineStr">
        <is>
          <t>Love Cabaret</t>
        </is>
      </c>
      <c r="D2967" t="inlineStr">
        <is>
          <t>HORTICLEAN DISTRIBUIDORA DE HORTIFRUTI LTDA</t>
        </is>
      </c>
      <c r="E2967" t="n">
        <v>289.01</v>
      </c>
      <c r="F2967" s="27" t="n">
        <v>45667</v>
      </c>
      <c r="G2967" s="27" t="n">
        <v>45665</v>
      </c>
      <c r="H2967" s="27" t="n">
        <v>45665</v>
      </c>
      <c r="I2967" s="27" t="n">
        <v>45638</v>
      </c>
      <c r="J2967" s="27" t="n">
        <v>45644</v>
      </c>
      <c r="K2967" t="inlineStr">
        <is>
          <t>Boleto Bancário</t>
        </is>
      </c>
      <c r="L2967" t="inlineStr">
        <is>
          <t>Custo Mercadoria Vendida</t>
        </is>
      </c>
      <c r="M2967" t="inlineStr">
        <is>
          <t>Insumos - Alimentos</t>
        </is>
      </c>
      <c r="N2967" t="inlineStr">
        <is>
          <t>25457</t>
        </is>
      </c>
      <c r="O2967" t="inlineStr">
        <is>
          <t>Documentação Aprovada</t>
        </is>
      </c>
      <c r="P2967" t="inlineStr">
        <is>
          <t>Aprovado Diretoria</t>
        </is>
      </c>
      <c r="Q2967" t="inlineStr">
        <is>
          <t>Aprovado Caixa</t>
        </is>
      </c>
      <c r="R2967" t="inlineStr">
        <is>
          <t>Pago</t>
        </is>
      </c>
      <c r="S2967" t="n">
        <v>115</v>
      </c>
      <c r="T2967" t="inlineStr">
        <is>
          <t>Love - Shibari - Bradesco</t>
        </is>
      </c>
    </row>
    <row r="2968">
      <c r="A2968" t="n">
        <v>93862</v>
      </c>
      <c r="B2968" t="n">
        <v>128</v>
      </c>
      <c r="C2968" t="inlineStr">
        <is>
          <t>Love Cabaret</t>
        </is>
      </c>
      <c r="D2968" t="inlineStr">
        <is>
          <t>WAGNER DA SILVA FRANCA</t>
        </is>
      </c>
      <c r="E2968" t="n">
        <v>4000</v>
      </c>
      <c r="F2968" s="27" t="n">
        <v>45667</v>
      </c>
      <c r="G2968" s="27" t="n">
        <v>45665</v>
      </c>
      <c r="H2968" s="27" t="n">
        <v>45665</v>
      </c>
      <c r="I2968" s="27" t="n">
        <v>45627</v>
      </c>
      <c r="J2968" s="27" t="n">
        <v>45635</v>
      </c>
      <c r="K2968" t="inlineStr">
        <is>
          <t>Transferência Bancária ou Pix</t>
        </is>
      </c>
      <c r="L2968" t="inlineStr">
        <is>
          <t>Mão de Obra - PJ</t>
        </is>
      </c>
      <c r="M2968" t="inlineStr">
        <is>
          <t>MDO PJ Fixo</t>
        </is>
      </c>
      <c r="N2968" t="inlineStr">
        <is>
          <t>22</t>
        </is>
      </c>
      <c r="O2968" t="inlineStr">
        <is>
          <t>Documentação Aprovada</t>
        </is>
      </c>
      <c r="P2968" t="inlineStr">
        <is>
          <t>Aprovado Diretoria</t>
        </is>
      </c>
      <c r="Q2968" t="inlineStr">
        <is>
          <t>Aprovado Caixa</t>
        </is>
      </c>
      <c r="R2968" t="inlineStr">
        <is>
          <t>Pago</t>
        </is>
      </c>
      <c r="S2968" t="n">
        <v>115</v>
      </c>
      <c r="T2968" t="inlineStr">
        <is>
          <t>Love - Shibari - Bradesco</t>
        </is>
      </c>
    </row>
    <row r="2969">
      <c r="A2969" t="n">
        <v>93855</v>
      </c>
      <c r="B2969" t="n">
        <v>128</v>
      </c>
      <c r="C2969" t="inlineStr">
        <is>
          <t>Love Cabaret</t>
        </is>
      </c>
      <c r="D2969" t="inlineStr">
        <is>
          <t>PJ 00492024 - ISABELLA FERNANDES GOMES</t>
        </is>
      </c>
      <c r="E2969" t="n">
        <v>932</v>
      </c>
      <c r="F2969" s="27" t="n">
        <v>45667</v>
      </c>
      <c r="G2969" s="27" t="n">
        <v>45665</v>
      </c>
      <c r="H2969" s="27" t="n">
        <v>45665</v>
      </c>
      <c r="I2969" s="27" t="n">
        <v>45627</v>
      </c>
      <c r="J2969" s="27" t="n">
        <v>45635</v>
      </c>
      <c r="K2969" t="inlineStr">
        <is>
          <t>Transferência Bancária ou Pix</t>
        </is>
      </c>
      <c r="L2969" t="inlineStr">
        <is>
          <t>Mão de Obra - PJ</t>
        </is>
      </c>
      <c r="M2969" t="inlineStr">
        <is>
          <t>MDO PJ Fixo</t>
        </is>
      </c>
      <c r="N2969" t="inlineStr">
        <is>
          <t>31</t>
        </is>
      </c>
      <c r="O2969" t="inlineStr">
        <is>
          <t>Documentação Aprovada</t>
        </is>
      </c>
      <c r="P2969" t="inlineStr">
        <is>
          <t>Aprovado Diretoria</t>
        </is>
      </c>
      <c r="Q2969" t="inlineStr">
        <is>
          <t>Aprovado Caixa</t>
        </is>
      </c>
      <c r="R2969" t="inlineStr">
        <is>
          <t>Pago</t>
        </is>
      </c>
      <c r="S2969" t="n">
        <v>115</v>
      </c>
      <c r="T2969" t="inlineStr">
        <is>
          <t>Love - Shibari - Bradesco</t>
        </is>
      </c>
    </row>
    <row r="2970">
      <c r="A2970" t="n">
        <v>93863</v>
      </c>
      <c r="B2970" t="n">
        <v>128</v>
      </c>
      <c r="C2970" t="inlineStr">
        <is>
          <t>Love Cabaret</t>
        </is>
      </c>
      <c r="D2970" t="inlineStr">
        <is>
          <t>PJ 00132021 - TELES DE ALMEIDA PINTO</t>
        </is>
      </c>
      <c r="E2970" t="n">
        <v>1600</v>
      </c>
      <c r="F2970" s="27" t="n">
        <v>45667</v>
      </c>
      <c r="G2970" s="27" t="n">
        <v>45665</v>
      </c>
      <c r="H2970" s="27" t="n">
        <v>45665</v>
      </c>
      <c r="I2970" s="27" t="n">
        <v>45627</v>
      </c>
      <c r="J2970" s="27" t="n">
        <v>45635</v>
      </c>
      <c r="K2970" t="inlineStr">
        <is>
          <t>Transferência Bancária ou Pix</t>
        </is>
      </c>
      <c r="L2970" t="inlineStr">
        <is>
          <t>Mão de Obra - PJ</t>
        </is>
      </c>
      <c r="M2970" t="inlineStr">
        <is>
          <t>MDO PJ Fixo</t>
        </is>
      </c>
      <c r="N2970" t="inlineStr">
        <is>
          <t>60</t>
        </is>
      </c>
      <c r="O2970" t="inlineStr">
        <is>
          <t>Documentação Aprovada</t>
        </is>
      </c>
      <c r="P2970" t="inlineStr">
        <is>
          <t>Aprovado Diretoria</t>
        </is>
      </c>
      <c r="Q2970" t="inlineStr">
        <is>
          <t>Aprovado Caixa</t>
        </is>
      </c>
      <c r="R2970" t="inlineStr">
        <is>
          <t>Pago</t>
        </is>
      </c>
      <c r="S2970" t="n">
        <v>115</v>
      </c>
      <c r="T2970" t="inlineStr">
        <is>
          <t>Love - Shibari - Bradesco</t>
        </is>
      </c>
    </row>
    <row r="2971">
      <c r="A2971" t="n">
        <v>93861</v>
      </c>
      <c r="B2971" t="n">
        <v>128</v>
      </c>
      <c r="C2971" t="inlineStr">
        <is>
          <t>Love Cabaret</t>
        </is>
      </c>
      <c r="D2971" t="inlineStr">
        <is>
          <t>PJ 00092021 - VANESSA FERREIRA DEL SANTO</t>
        </is>
      </c>
      <c r="E2971" t="n">
        <v>2800</v>
      </c>
      <c r="F2971" s="27" t="n">
        <v>45667</v>
      </c>
      <c r="G2971" s="27" t="n">
        <v>45665</v>
      </c>
      <c r="H2971" s="27" t="n">
        <v>45665</v>
      </c>
      <c r="I2971" s="27" t="n">
        <v>45627</v>
      </c>
      <c r="J2971" s="27" t="n">
        <v>45635</v>
      </c>
      <c r="K2971" t="inlineStr">
        <is>
          <t>Transferência Bancária ou Pix</t>
        </is>
      </c>
      <c r="L2971" t="inlineStr">
        <is>
          <t>Mão de Obra - PJ</t>
        </is>
      </c>
      <c r="M2971" t="inlineStr">
        <is>
          <t>MDO PJ Fixo</t>
        </is>
      </c>
      <c r="N2971" t="inlineStr">
        <is>
          <t>235</t>
        </is>
      </c>
      <c r="O2971" t="inlineStr">
        <is>
          <t>Documentação Aprovada</t>
        </is>
      </c>
      <c r="P2971" t="inlineStr">
        <is>
          <t>Aprovado Diretoria</t>
        </is>
      </c>
      <c r="Q2971" t="inlineStr">
        <is>
          <t>Aprovado Caixa</t>
        </is>
      </c>
      <c r="R2971" t="inlineStr">
        <is>
          <t>Pago</t>
        </is>
      </c>
      <c r="S2971" t="n">
        <v>115</v>
      </c>
      <c r="T2971" t="inlineStr">
        <is>
          <t>Love - Shibari - Bradesco</t>
        </is>
      </c>
    </row>
    <row r="2972">
      <c r="A2972" t="n">
        <v>93860</v>
      </c>
      <c r="B2972" t="n">
        <v>128</v>
      </c>
      <c r="C2972" t="inlineStr">
        <is>
          <t>Love Cabaret</t>
        </is>
      </c>
      <c r="D2972" t="inlineStr">
        <is>
          <t>TAMARA SANTOS RIBEIRO</t>
        </is>
      </c>
      <c r="E2972" t="n">
        <v>3500</v>
      </c>
      <c r="F2972" s="27" t="n">
        <v>45667</v>
      </c>
      <c r="G2972" s="27" t="n">
        <v>45665</v>
      </c>
      <c r="H2972" s="27" t="n">
        <v>45665</v>
      </c>
      <c r="I2972" s="27" t="n">
        <v>45627</v>
      </c>
      <c r="J2972" s="27" t="n">
        <v>45635</v>
      </c>
      <c r="K2972" t="inlineStr">
        <is>
          <t>Transferência Bancária ou Pix</t>
        </is>
      </c>
      <c r="L2972" t="inlineStr">
        <is>
          <t>Mão de Obra - PJ</t>
        </is>
      </c>
      <c r="M2972" t="inlineStr">
        <is>
          <t>MDO PJ Fixo</t>
        </is>
      </c>
      <c r="N2972" t="inlineStr">
        <is>
          <t>18</t>
        </is>
      </c>
      <c r="O2972" t="inlineStr">
        <is>
          <t>Documentação Aprovada</t>
        </is>
      </c>
      <c r="P2972" t="inlineStr">
        <is>
          <t>Aprovado Diretoria</t>
        </is>
      </c>
      <c r="Q2972" t="inlineStr">
        <is>
          <t>Aprovado Caixa</t>
        </is>
      </c>
      <c r="R2972" t="inlineStr">
        <is>
          <t>Pago</t>
        </is>
      </c>
      <c r="S2972" t="n">
        <v>115</v>
      </c>
      <c r="T2972" t="inlineStr">
        <is>
          <t>Love - Shibari - Bradesco</t>
        </is>
      </c>
    </row>
    <row r="2973">
      <c r="A2973" t="n">
        <v>93859</v>
      </c>
      <c r="B2973" t="n">
        <v>128</v>
      </c>
      <c r="C2973" t="inlineStr">
        <is>
          <t>Love Cabaret</t>
        </is>
      </c>
      <c r="D2973" t="inlineStr">
        <is>
          <t>PJ 00422023 LARISSA ROSA DE SOUZA</t>
        </is>
      </c>
      <c r="E2973" t="n">
        <v>1206</v>
      </c>
      <c r="F2973" s="27" t="n">
        <v>45667</v>
      </c>
      <c r="G2973" s="27" t="n">
        <v>45665</v>
      </c>
      <c r="H2973" s="27" t="n">
        <v>45665</v>
      </c>
      <c r="I2973" s="27" t="n">
        <v>45627</v>
      </c>
      <c r="J2973" s="27" t="n">
        <v>45635</v>
      </c>
      <c r="K2973" t="inlineStr">
        <is>
          <t>Transferência Bancária ou Pix</t>
        </is>
      </c>
      <c r="L2973" t="inlineStr">
        <is>
          <t>Mão de Obra - PJ</t>
        </is>
      </c>
      <c r="M2973" t="inlineStr">
        <is>
          <t>MDO PJ Fixo</t>
        </is>
      </c>
      <c r="N2973" t="inlineStr">
        <is>
          <t>47</t>
        </is>
      </c>
      <c r="O2973" t="inlineStr">
        <is>
          <t>Documentação Aprovada</t>
        </is>
      </c>
      <c r="P2973" t="inlineStr">
        <is>
          <t>Aprovado Diretoria</t>
        </is>
      </c>
      <c r="Q2973" t="inlineStr">
        <is>
          <t>Aprovado Caixa</t>
        </is>
      </c>
      <c r="R2973" t="inlineStr">
        <is>
          <t>Pago</t>
        </is>
      </c>
      <c r="S2973" t="n">
        <v>115</v>
      </c>
      <c r="T2973" t="inlineStr">
        <is>
          <t>Love - Shibari - Bradesco</t>
        </is>
      </c>
    </row>
    <row r="2974">
      <c r="A2974" t="n">
        <v>93858</v>
      </c>
      <c r="B2974" t="n">
        <v>128</v>
      </c>
      <c r="C2974" t="inlineStr">
        <is>
          <t>Love Cabaret</t>
        </is>
      </c>
      <c r="D2974" t="inlineStr">
        <is>
          <t xml:space="preserve">PJ 00452023 LAISA ROCHA LARANGEIRA </t>
        </is>
      </c>
      <c r="E2974" t="n">
        <v>1600</v>
      </c>
      <c r="F2974" s="27" t="n">
        <v>45667</v>
      </c>
      <c r="G2974" s="27" t="n">
        <v>45665</v>
      </c>
      <c r="H2974" s="27" t="n">
        <v>45665</v>
      </c>
      <c r="I2974" s="27" t="n">
        <v>45627</v>
      </c>
      <c r="J2974" s="27" t="n">
        <v>45635</v>
      </c>
      <c r="K2974" t="inlineStr">
        <is>
          <t>Transferência Bancária ou Pix</t>
        </is>
      </c>
      <c r="L2974" t="inlineStr">
        <is>
          <t>Mão de Obra - PJ</t>
        </is>
      </c>
      <c r="M2974" t="inlineStr">
        <is>
          <t>MDO PJ Fixo</t>
        </is>
      </c>
      <c r="N2974" t="inlineStr">
        <is>
          <t>45</t>
        </is>
      </c>
      <c r="O2974" t="inlineStr">
        <is>
          <t>Documentação Aprovada</t>
        </is>
      </c>
      <c r="P2974" t="inlineStr">
        <is>
          <t>Aprovado Diretoria</t>
        </is>
      </c>
      <c r="Q2974" t="inlineStr">
        <is>
          <t>Aprovado Caixa</t>
        </is>
      </c>
      <c r="R2974" t="inlineStr">
        <is>
          <t>Pago</t>
        </is>
      </c>
      <c r="S2974" t="n">
        <v>115</v>
      </c>
      <c r="T2974" t="inlineStr">
        <is>
          <t>Love - Shibari - Bradesco</t>
        </is>
      </c>
    </row>
    <row r="2975">
      <c r="A2975" t="n">
        <v>93857</v>
      </c>
      <c r="B2975" t="n">
        <v>128</v>
      </c>
      <c r="C2975" t="inlineStr">
        <is>
          <t>Love Cabaret</t>
        </is>
      </c>
      <c r="D2975" t="inlineStr">
        <is>
          <t>PJ 00042021 - JOAO VICTOR MENDES SALUSTIANO</t>
        </is>
      </c>
      <c r="E2975" t="n">
        <v>4800</v>
      </c>
      <c r="F2975" s="27" t="n">
        <v>45667</v>
      </c>
      <c r="G2975" s="27" t="n">
        <v>45665</v>
      </c>
      <c r="H2975" s="27" t="n">
        <v>45665</v>
      </c>
      <c r="I2975" s="27" t="n">
        <v>45627</v>
      </c>
      <c r="J2975" s="27" t="n">
        <v>45635</v>
      </c>
      <c r="K2975" t="inlineStr">
        <is>
          <t>Transferência Bancária ou Pix</t>
        </is>
      </c>
      <c r="L2975" t="inlineStr">
        <is>
          <t>Mão de Obra - PJ</t>
        </is>
      </c>
      <c r="M2975" t="inlineStr">
        <is>
          <t>MDO PJ Fixo</t>
        </is>
      </c>
      <c r="N2975" t="inlineStr">
        <is>
          <t>129</t>
        </is>
      </c>
      <c r="O2975" t="inlineStr">
        <is>
          <t>Documentação Aprovada</t>
        </is>
      </c>
      <c r="P2975" t="inlineStr">
        <is>
          <t>Aprovado Diretoria</t>
        </is>
      </c>
      <c r="Q2975" t="inlineStr">
        <is>
          <t>Aprovado Caixa</t>
        </is>
      </c>
      <c r="R2975" t="inlineStr">
        <is>
          <t>Pago</t>
        </is>
      </c>
      <c r="S2975" t="n">
        <v>115</v>
      </c>
      <c r="T2975" t="inlineStr">
        <is>
          <t>Love - Shibari - Bradesco</t>
        </is>
      </c>
    </row>
    <row r="2976">
      <c r="A2976" t="n">
        <v>93864</v>
      </c>
      <c r="B2976" t="n">
        <v>128</v>
      </c>
      <c r="C2976" t="inlineStr">
        <is>
          <t>Love Cabaret</t>
        </is>
      </c>
      <c r="D2976" t="inlineStr">
        <is>
          <t>PJ 00502024 THIAGO PINHEIRO DA SILVA</t>
        </is>
      </c>
      <c r="E2976" t="n">
        <v>1125</v>
      </c>
      <c r="F2976" s="27" t="n">
        <v>45667</v>
      </c>
      <c r="G2976" s="27" t="n">
        <v>45665</v>
      </c>
      <c r="H2976" s="27" t="n">
        <v>45665</v>
      </c>
      <c r="I2976" s="27" t="n">
        <v>45627</v>
      </c>
      <c r="J2976" s="27" t="n">
        <v>45635</v>
      </c>
      <c r="K2976" t="inlineStr">
        <is>
          <t>Transferência Bancária ou Pix</t>
        </is>
      </c>
      <c r="L2976" t="inlineStr">
        <is>
          <t>Mão de Obra - PJ</t>
        </is>
      </c>
      <c r="M2976" t="inlineStr">
        <is>
          <t>MDO PJ Fixo</t>
        </is>
      </c>
      <c r="N2976" t="inlineStr">
        <is>
          <t>25</t>
        </is>
      </c>
      <c r="O2976" t="inlineStr">
        <is>
          <t>Documentação Aprovada</t>
        </is>
      </c>
      <c r="P2976" t="inlineStr">
        <is>
          <t>Aprovado Diretoria</t>
        </is>
      </c>
      <c r="Q2976" t="inlineStr">
        <is>
          <t>Aprovado Caixa</t>
        </is>
      </c>
      <c r="R2976" t="inlineStr">
        <is>
          <t>Pago</t>
        </is>
      </c>
      <c r="S2976" t="n">
        <v>115</v>
      </c>
      <c r="T2976" t="inlineStr">
        <is>
          <t>Love - Shibari - Bradesco</t>
        </is>
      </c>
    </row>
    <row r="2977">
      <c r="A2977" t="n">
        <v>93865</v>
      </c>
      <c r="B2977" t="n">
        <v>128</v>
      </c>
      <c r="C2977" t="inlineStr">
        <is>
          <t>Love Cabaret</t>
        </is>
      </c>
      <c r="D2977" t="inlineStr">
        <is>
          <t>ANDRE RODRIGUES AZEVEDO</t>
        </is>
      </c>
      <c r="E2977" t="n">
        <v>7420</v>
      </c>
      <c r="F2977" s="27" t="n">
        <v>45667</v>
      </c>
      <c r="G2977" s="27" t="n">
        <v>45665</v>
      </c>
      <c r="H2977" s="27" t="n">
        <v>45665</v>
      </c>
      <c r="I2977" s="27" t="n">
        <v>45627</v>
      </c>
      <c r="J2977" s="27" t="n">
        <v>45635</v>
      </c>
      <c r="K2977" t="inlineStr">
        <is>
          <t>Transferência Bancária ou Pix</t>
        </is>
      </c>
      <c r="L2977" t="inlineStr">
        <is>
          <t>Custos Artístico Geral</t>
        </is>
      </c>
      <c r="M2977" t="inlineStr">
        <is>
          <t>Técnico de Som / Luz</t>
        </is>
      </c>
      <c r="N2977" t="inlineStr">
        <is>
          <t>51</t>
        </is>
      </c>
      <c r="O2977" t="inlineStr">
        <is>
          <t>Documentação Aprovada</t>
        </is>
      </c>
      <c r="P2977" t="inlineStr">
        <is>
          <t>Aprovado Diretoria</t>
        </is>
      </c>
      <c r="Q2977" t="inlineStr">
        <is>
          <t>Aprovado Caixa</t>
        </is>
      </c>
      <c r="R2977" t="inlineStr">
        <is>
          <t>Pago</t>
        </is>
      </c>
      <c r="S2977" t="n">
        <v>115</v>
      </c>
      <c r="T2977" t="inlineStr">
        <is>
          <t>Love - Shibari - Bradesco</t>
        </is>
      </c>
    </row>
    <row r="2978">
      <c r="A2978" t="n">
        <v>93856</v>
      </c>
      <c r="B2978" t="n">
        <v>128</v>
      </c>
      <c r="C2978" t="inlineStr">
        <is>
          <t>Love Cabaret</t>
        </is>
      </c>
      <c r="D2978" t="inlineStr">
        <is>
          <t>PJ 00352023 - JESSICA IZABEL DE SOUZA</t>
        </is>
      </c>
      <c r="E2978" t="n">
        <v>1250</v>
      </c>
      <c r="F2978" s="27" t="n">
        <v>45667</v>
      </c>
      <c r="G2978" s="27" t="n">
        <v>45665</v>
      </c>
      <c r="H2978" s="27" t="n">
        <v>45665</v>
      </c>
      <c r="I2978" s="27" t="n">
        <v>45627</v>
      </c>
      <c r="J2978" s="27" t="n">
        <v>45635</v>
      </c>
      <c r="K2978" t="inlineStr">
        <is>
          <t>Transferência Bancária ou Pix</t>
        </is>
      </c>
      <c r="L2978" t="inlineStr">
        <is>
          <t>Mão de Obra - PJ</t>
        </is>
      </c>
      <c r="M2978" t="inlineStr">
        <is>
          <t>MDO PJ Fixo</t>
        </is>
      </c>
      <c r="N2978" t="inlineStr">
        <is>
          <t>54</t>
        </is>
      </c>
      <c r="O2978" t="inlineStr">
        <is>
          <t>Documentação Aprovada</t>
        </is>
      </c>
      <c r="P2978" t="inlineStr">
        <is>
          <t>Aprovado Diretoria</t>
        </is>
      </c>
      <c r="Q2978" t="inlineStr">
        <is>
          <t>Aprovado Caixa</t>
        </is>
      </c>
      <c r="R2978" t="inlineStr">
        <is>
          <t>Pago</t>
        </is>
      </c>
      <c r="S2978" t="n">
        <v>115</v>
      </c>
      <c r="T2978" t="inlineStr">
        <is>
          <t>Love - Shibari - Bradesco</t>
        </is>
      </c>
    </row>
    <row r="2979">
      <c r="A2979" t="n">
        <v>93854</v>
      </c>
      <c r="B2979" t="n">
        <v>128</v>
      </c>
      <c r="C2979" t="inlineStr">
        <is>
          <t>Love Cabaret</t>
        </is>
      </c>
      <c r="D2979" t="inlineStr">
        <is>
          <t>PUXURI CONSULTORIA LTDA</t>
        </is>
      </c>
      <c r="E2979" t="n">
        <v>4000</v>
      </c>
      <c r="F2979" s="27" t="n">
        <v>45667</v>
      </c>
      <c r="G2979" s="27" t="n">
        <v>45665</v>
      </c>
      <c r="H2979" s="27" t="n">
        <v>45665</v>
      </c>
      <c r="I2979" s="27" t="n">
        <v>45627</v>
      </c>
      <c r="J2979" s="27" t="n">
        <v>45635</v>
      </c>
      <c r="K2979" t="inlineStr">
        <is>
          <t>Transferência Bancária ou Pix</t>
        </is>
      </c>
      <c r="L2979" t="inlineStr">
        <is>
          <t>Mão de Obra - PJ</t>
        </is>
      </c>
      <c r="M2979" t="inlineStr">
        <is>
          <t>MDO PJ Fixo</t>
        </is>
      </c>
      <c r="N2979" t="inlineStr">
        <is>
          <t>88</t>
        </is>
      </c>
      <c r="O2979" t="inlineStr">
        <is>
          <t>Documentação Aprovada</t>
        </is>
      </c>
      <c r="P2979" t="inlineStr">
        <is>
          <t>Aprovado Diretoria</t>
        </is>
      </c>
      <c r="Q2979" t="inlineStr">
        <is>
          <t>Aprovado Caixa</t>
        </is>
      </c>
      <c r="R2979" t="inlineStr">
        <is>
          <t>Pago</t>
        </is>
      </c>
      <c r="S2979" t="n">
        <v>115</v>
      </c>
      <c r="T2979" t="inlineStr">
        <is>
          <t>Love - Shibari - Bradesco</t>
        </is>
      </c>
    </row>
    <row r="2980">
      <c r="A2980" t="n">
        <v>93853</v>
      </c>
      <c r="B2980" t="n">
        <v>128</v>
      </c>
      <c r="C2980" t="inlineStr">
        <is>
          <t>Love Cabaret</t>
        </is>
      </c>
      <c r="D2980" t="inlineStr">
        <is>
          <t>PJ23824129000110 - FELIPE DA COSTA SANTOS</t>
        </is>
      </c>
      <c r="E2980" t="n">
        <v>4200</v>
      </c>
      <c r="F2980" s="27" t="n">
        <v>45667</v>
      </c>
      <c r="G2980" s="27" t="n">
        <v>45665</v>
      </c>
      <c r="H2980" s="27" t="n">
        <v>45665</v>
      </c>
      <c r="I2980" s="27" t="n">
        <v>45627</v>
      </c>
      <c r="J2980" s="27" t="n">
        <v>45635</v>
      </c>
      <c r="K2980" t="inlineStr">
        <is>
          <t>Transferência Bancária ou Pix</t>
        </is>
      </c>
      <c r="L2980" t="inlineStr">
        <is>
          <t>Mão de Obra - PJ</t>
        </is>
      </c>
      <c r="M2980" t="inlineStr">
        <is>
          <t>MDO PJ Fixo</t>
        </is>
      </c>
      <c r="N2980" t="inlineStr">
        <is>
          <t>38</t>
        </is>
      </c>
      <c r="O2980" t="inlineStr">
        <is>
          <t>Documentação Aprovada</t>
        </is>
      </c>
      <c r="P2980" t="inlineStr">
        <is>
          <t>Aprovado Diretoria</t>
        </is>
      </c>
      <c r="Q2980" t="inlineStr">
        <is>
          <t>Aprovado Caixa</t>
        </is>
      </c>
      <c r="R2980" t="inlineStr">
        <is>
          <t>Pago</t>
        </is>
      </c>
      <c r="S2980" t="n">
        <v>115</v>
      </c>
      <c r="T2980" t="inlineStr">
        <is>
          <t>Love - Shibari - Bradesco</t>
        </is>
      </c>
    </row>
    <row r="2981">
      <c r="A2981" t="n">
        <v>93852</v>
      </c>
      <c r="B2981" t="n">
        <v>128</v>
      </c>
      <c r="C2981" t="inlineStr">
        <is>
          <t>Love Cabaret</t>
        </is>
      </c>
      <c r="D2981" t="inlineStr">
        <is>
          <t>PJ 43960118000174 - DIEGO OLIVEIRA SANTANA</t>
        </is>
      </c>
      <c r="E2981" t="n">
        <v>4200</v>
      </c>
      <c r="F2981" s="27" t="n">
        <v>45667</v>
      </c>
      <c r="G2981" s="27" t="n">
        <v>45665</v>
      </c>
      <c r="H2981" s="27" t="n">
        <v>45665</v>
      </c>
      <c r="I2981" s="27" t="n">
        <v>45627</v>
      </c>
      <c r="J2981" s="27" t="n">
        <v>45635</v>
      </c>
      <c r="K2981" t="inlineStr">
        <is>
          <t>Transferência Bancária ou Pix</t>
        </is>
      </c>
      <c r="L2981" t="inlineStr">
        <is>
          <t>Mão de Obra - PJ</t>
        </is>
      </c>
      <c r="M2981" t="inlineStr">
        <is>
          <t>MDO PJ Fixo</t>
        </is>
      </c>
      <c r="N2981" t="inlineStr">
        <is>
          <t>46</t>
        </is>
      </c>
      <c r="O2981" t="inlineStr">
        <is>
          <t>Documentação Aprovada</t>
        </is>
      </c>
      <c r="P2981" t="inlineStr">
        <is>
          <t>Aprovado Diretoria</t>
        </is>
      </c>
      <c r="Q2981" t="inlineStr">
        <is>
          <t>Aprovado Caixa</t>
        </is>
      </c>
      <c r="R2981" t="inlineStr">
        <is>
          <t>Pago</t>
        </is>
      </c>
      <c r="S2981" t="n">
        <v>115</v>
      </c>
      <c r="T2981" t="inlineStr">
        <is>
          <t>Love - Shibari - Bradesco</t>
        </is>
      </c>
    </row>
    <row r="2982">
      <c r="A2982" t="n">
        <v>93851</v>
      </c>
      <c r="B2982" t="n">
        <v>128</v>
      </c>
      <c r="C2982" t="inlineStr">
        <is>
          <t>Love Cabaret</t>
        </is>
      </c>
      <c r="D2982" t="inlineStr">
        <is>
          <t>PJ 01837596131 ANNA LOUISE ESTEFANO WOORTMANN</t>
        </is>
      </c>
      <c r="E2982" t="n">
        <v>3600</v>
      </c>
      <c r="F2982" s="27" t="n">
        <v>45667</v>
      </c>
      <c r="G2982" s="27" t="n">
        <v>45665</v>
      </c>
      <c r="H2982" s="27" t="n">
        <v>45665</v>
      </c>
      <c r="I2982" s="27" t="n">
        <v>45627</v>
      </c>
      <c r="J2982" s="27" t="n">
        <v>45635</v>
      </c>
      <c r="K2982" t="inlineStr">
        <is>
          <t>Transferência Bancária ou Pix</t>
        </is>
      </c>
      <c r="L2982" t="inlineStr">
        <is>
          <t>Mão de Obra - PJ</t>
        </is>
      </c>
      <c r="M2982" t="inlineStr">
        <is>
          <t>MDO PJ Fixo</t>
        </is>
      </c>
      <c r="N2982" t="inlineStr">
        <is>
          <t>89</t>
        </is>
      </c>
      <c r="O2982" t="inlineStr">
        <is>
          <t>Documentação Aprovada</t>
        </is>
      </c>
      <c r="P2982" t="inlineStr">
        <is>
          <t>Aprovado Diretoria</t>
        </is>
      </c>
      <c r="Q2982" t="inlineStr">
        <is>
          <t>Aprovado Caixa</t>
        </is>
      </c>
      <c r="R2982" t="inlineStr">
        <is>
          <t>Pago</t>
        </is>
      </c>
      <c r="S2982" t="n">
        <v>115</v>
      </c>
      <c r="T2982" t="inlineStr">
        <is>
          <t>Love - Shibari - Bradesco</t>
        </is>
      </c>
    </row>
    <row r="2983">
      <c r="A2983" t="n">
        <v>90430</v>
      </c>
      <c r="B2983" t="n">
        <v>128</v>
      </c>
      <c r="C2983" t="inlineStr">
        <is>
          <t>Love Cabaret</t>
        </is>
      </c>
      <c r="D2983" t="inlineStr">
        <is>
          <t>PJ 01837596131 ANNA LOUISE ESTEFANO WOORTMANN</t>
        </is>
      </c>
      <c r="E2983" t="n">
        <v>2394.66</v>
      </c>
      <c r="F2983" s="27" t="n">
        <v>45667</v>
      </c>
      <c r="G2983" s="27" t="n">
        <v>45665</v>
      </c>
      <c r="H2983" s="27" t="n">
        <v>45665</v>
      </c>
      <c r="I2983" s="27" t="n">
        <v>45656</v>
      </c>
      <c r="J2983" s="27" t="n">
        <v>45629</v>
      </c>
      <c r="K2983" t="inlineStr">
        <is>
          <t>Transferência Bancária ou Pix</t>
        </is>
      </c>
      <c r="L2983" t="inlineStr">
        <is>
          <t>Gorjeta</t>
        </is>
      </c>
      <c r="M2983" t="inlineStr">
        <is>
          <t xml:space="preserve">  -  Comissões e Gorjeta</t>
        </is>
      </c>
      <c r="N2983" t="inlineStr">
        <is>
          <t>93</t>
        </is>
      </c>
      <c r="O2983" t="inlineStr">
        <is>
          <t>Documentação Aprovada</t>
        </is>
      </c>
      <c r="P2983" t="inlineStr">
        <is>
          <t>Aprovado Diretoria</t>
        </is>
      </c>
      <c r="Q2983" t="inlineStr">
        <is>
          <t>Aprovado Caixa</t>
        </is>
      </c>
      <c r="R2983" t="inlineStr">
        <is>
          <t>Pago</t>
        </is>
      </c>
      <c r="S2983" t="n">
        <v>115</v>
      </c>
      <c r="T2983" t="inlineStr">
        <is>
          <t>Love - Shibari - Bradesco</t>
        </is>
      </c>
    </row>
    <row r="2984">
      <c r="A2984" t="n">
        <v>59009</v>
      </c>
      <c r="B2984" t="n">
        <v>128</v>
      </c>
      <c r="C2984" t="inlineStr">
        <is>
          <t>Love Cabaret</t>
        </is>
      </c>
      <c r="D2984" t="inlineStr">
        <is>
          <t xml:space="preserve">DIVIFY OPERACAO DE PLATAFORMA ELETRONICA LTDA </t>
        </is>
      </c>
      <c r="E2984" t="n">
        <v>1000</v>
      </c>
      <c r="F2984" s="27" t="n">
        <v>45667</v>
      </c>
      <c r="G2984" s="27" t="n">
        <v>45665</v>
      </c>
      <c r="H2984" s="27" t="n">
        <v>45665</v>
      </c>
      <c r="I2984" s="27" t="n">
        <v>45646</v>
      </c>
      <c r="J2984" s="27" t="n"/>
      <c r="K2984" t="inlineStr">
        <is>
          <t>Boleto Bancário</t>
        </is>
      </c>
      <c r="L2984" t="inlineStr">
        <is>
          <t>Serviços de Terceiros</t>
        </is>
      </c>
      <c r="M2984" t="inlineStr">
        <is>
          <t>Assessoria em Geral</t>
        </is>
      </c>
      <c r="N2984" t="inlineStr">
        <is>
          <t>212</t>
        </is>
      </c>
      <c r="O2984" t="inlineStr">
        <is>
          <t>Documentação Aprovada</t>
        </is>
      </c>
      <c r="P2984" t="inlineStr">
        <is>
          <t>Aprovado Diretoria</t>
        </is>
      </c>
      <c r="Q2984" t="inlineStr">
        <is>
          <t>Aprovado Caixa</t>
        </is>
      </c>
      <c r="R2984" t="inlineStr">
        <is>
          <t>Pago</t>
        </is>
      </c>
      <c r="S2984" t="n">
        <v>115</v>
      </c>
      <c r="T2984" t="inlineStr">
        <is>
          <t>Love - Shibari - Bradesco</t>
        </is>
      </c>
    </row>
    <row r="2985">
      <c r="A2985" t="n">
        <v>58982</v>
      </c>
      <c r="B2985" t="n">
        <v>128</v>
      </c>
      <c r="C2985" t="inlineStr">
        <is>
          <t>Love Cabaret</t>
        </is>
      </c>
      <c r="D2985" t="inlineStr">
        <is>
          <t>CICLO PARTICIPACOES LTDA</t>
        </is>
      </c>
      <c r="E2985" t="n">
        <v>31634.64</v>
      </c>
      <c r="F2985" s="27" t="n">
        <v>45667</v>
      </c>
      <c r="G2985" s="27" t="n">
        <v>45665</v>
      </c>
      <c r="H2985" s="27" t="n">
        <v>45665</v>
      </c>
      <c r="I2985" s="27" t="n">
        <v>45646</v>
      </c>
      <c r="J2985" s="27" t="n"/>
      <c r="K2985" t="inlineStr">
        <is>
          <t>Boleto Bancário</t>
        </is>
      </c>
      <c r="L2985" t="inlineStr">
        <is>
          <t>Custo de Ocupação</t>
        </is>
      </c>
      <c r="M2985" t="inlineStr">
        <is>
          <t>Aluguel de Imoveis</t>
        </is>
      </c>
      <c r="N2985" t="inlineStr">
        <is>
          <t>122024</t>
        </is>
      </c>
      <c r="O2985" t="inlineStr">
        <is>
          <t>Documentação Aprovada</t>
        </is>
      </c>
      <c r="P2985" t="inlineStr">
        <is>
          <t>Aprovado Diretoria</t>
        </is>
      </c>
      <c r="Q2985" t="inlineStr">
        <is>
          <t>Aprovado Caixa</t>
        </is>
      </c>
      <c r="R2985" t="inlineStr">
        <is>
          <t>Pago</t>
        </is>
      </c>
      <c r="S2985" t="n">
        <v>115</v>
      </c>
      <c r="T2985" t="inlineStr">
        <is>
          <t>Love - Shibari - Bradesco</t>
        </is>
      </c>
    </row>
    <row r="2986">
      <c r="A2986" t="n">
        <v>58949</v>
      </c>
      <c r="B2986" t="n">
        <v>128</v>
      </c>
      <c r="C2986" t="inlineStr">
        <is>
          <t>Love Cabaret</t>
        </is>
      </c>
      <c r="D2986" t="inlineStr">
        <is>
          <t xml:space="preserve">ANA CLAUDIA DA COSTA PINTO </t>
        </is>
      </c>
      <c r="E2986" t="n">
        <v>445</v>
      </c>
      <c r="F2986" s="27" t="n">
        <v>45666</v>
      </c>
      <c r="G2986" s="27" t="n">
        <v>45665</v>
      </c>
      <c r="H2986" s="27" t="n">
        <v>45665</v>
      </c>
      <c r="I2986" s="27" t="n">
        <v>45646</v>
      </c>
      <c r="J2986" s="27" t="n"/>
      <c r="K2986" t="inlineStr">
        <is>
          <t>Transferência Bancária ou Pix</t>
        </is>
      </c>
      <c r="L2986" t="inlineStr">
        <is>
          <t>Manutenção</t>
        </is>
      </c>
      <c r="M2986" t="inlineStr">
        <is>
          <t>Decoração/Paisagismo e Jardinagem</t>
        </is>
      </c>
      <c r="N2986" t="inlineStr">
        <is>
          <t>2245</t>
        </is>
      </c>
      <c r="O2986" t="inlineStr">
        <is>
          <t>Documentação Aprovada</t>
        </is>
      </c>
      <c r="P2986" t="inlineStr">
        <is>
          <t>Aprovado Diretoria</t>
        </is>
      </c>
      <c r="Q2986" t="inlineStr">
        <is>
          <t>Aprovado Caixa</t>
        </is>
      </c>
      <c r="R2986" t="inlineStr">
        <is>
          <t>Pago</t>
        </is>
      </c>
      <c r="S2986" t="n">
        <v>115</v>
      </c>
      <c r="T2986" t="inlineStr">
        <is>
          <t>Love - Shibari - Bradesco</t>
        </is>
      </c>
    </row>
    <row r="2987">
      <c r="A2987" t="n">
        <v>59028</v>
      </c>
      <c r="B2987" t="n">
        <v>128</v>
      </c>
      <c r="C2987" t="inlineStr">
        <is>
          <t>Love Cabaret</t>
        </is>
      </c>
      <c r="D2987" t="inlineStr">
        <is>
          <t xml:space="preserve">DOUGLAS FELIPE DOMINGUES GONCALVES </t>
        </is>
      </c>
      <c r="E2987" t="n">
        <v>3500</v>
      </c>
      <c r="F2987" s="27" t="n">
        <v>45667</v>
      </c>
      <c r="G2987" s="27" t="n">
        <v>45665</v>
      </c>
      <c r="H2987" s="27" t="n">
        <v>45665</v>
      </c>
      <c r="I2987" s="27" t="n">
        <v>45655</v>
      </c>
      <c r="J2987" s="27" t="n"/>
      <c r="K2987" t="inlineStr">
        <is>
          <t>Transferência Bancária ou Pix</t>
        </is>
      </c>
      <c r="L2987" t="inlineStr">
        <is>
          <t>Custos Artístico Geral</t>
        </is>
      </c>
      <c r="M2987" t="inlineStr">
        <is>
          <t>Técnico de Som / Luz</t>
        </is>
      </c>
      <c r="N2987" t="inlineStr">
        <is>
          <t>26</t>
        </is>
      </c>
      <c r="O2987" t="inlineStr">
        <is>
          <t>Documentação Aprovada</t>
        </is>
      </c>
      <c r="P2987" t="inlineStr">
        <is>
          <t>Aprovado Diretoria</t>
        </is>
      </c>
      <c r="Q2987" t="inlineStr">
        <is>
          <t>Aprovado Caixa</t>
        </is>
      </c>
      <c r="R2987" t="inlineStr">
        <is>
          <t>Pago</t>
        </is>
      </c>
      <c r="S2987" t="n">
        <v>115</v>
      </c>
      <c r="T2987" t="inlineStr">
        <is>
          <t>Love - Shibari - Bradesco</t>
        </is>
      </c>
    </row>
    <row r="2988">
      <c r="A2988" t="n">
        <v>58942</v>
      </c>
      <c r="B2988" t="n">
        <v>128</v>
      </c>
      <c r="C2988" t="inlineStr">
        <is>
          <t>Love Cabaret</t>
        </is>
      </c>
      <c r="D2988" t="inlineStr">
        <is>
          <t xml:space="preserve">AGNES RODRIGUES DE OLIVEIRA </t>
        </is>
      </c>
      <c r="E2988" t="n">
        <v>5000</v>
      </c>
      <c r="F2988" s="27" t="n">
        <v>45667</v>
      </c>
      <c r="G2988" s="27" t="n">
        <v>45665</v>
      </c>
      <c r="H2988" s="27" t="n">
        <v>45665</v>
      </c>
      <c r="I2988" s="27" t="n">
        <v>45656</v>
      </c>
      <c r="J2988" s="27" t="n"/>
      <c r="K2988" t="inlineStr">
        <is>
          <t>Transferência Bancária ou Pix</t>
        </is>
      </c>
      <c r="L2988" t="inlineStr">
        <is>
          <t>Custos Artístico Geral</t>
        </is>
      </c>
      <c r="M2988" t="inlineStr">
        <is>
          <t>Técnico de Som / Luz</t>
        </is>
      </c>
      <c r="N2988" t="inlineStr">
        <is>
          <t>24</t>
        </is>
      </c>
      <c r="O2988" t="inlineStr">
        <is>
          <t>Documentação Aprovada</t>
        </is>
      </c>
      <c r="P2988" t="inlineStr">
        <is>
          <t>Aprovado Diretoria</t>
        </is>
      </c>
      <c r="Q2988" t="inlineStr">
        <is>
          <t>Aprovado Caixa</t>
        </is>
      </c>
      <c r="R2988" t="inlineStr">
        <is>
          <t>Pago</t>
        </is>
      </c>
      <c r="S2988" t="n">
        <v>115</v>
      </c>
      <c r="T2988" t="inlineStr">
        <is>
          <t>Love - Shibari - Bradesco</t>
        </is>
      </c>
    </row>
    <row r="2989">
      <c r="A2989" t="n">
        <v>59911</v>
      </c>
      <c r="B2989" t="n">
        <v>128</v>
      </c>
      <c r="C2989" t="inlineStr">
        <is>
          <t>Love Cabaret</t>
        </is>
      </c>
      <c r="D2989" t="inlineStr">
        <is>
          <t>JULIA BAISCH FRANZ 02463978023</t>
        </is>
      </c>
      <c r="E2989" t="n">
        <v>8500</v>
      </c>
      <c r="F2989" s="27" t="n">
        <v>45667</v>
      </c>
      <c r="G2989" s="27" t="n">
        <v>45665</v>
      </c>
      <c r="H2989" s="27" t="n">
        <v>45665</v>
      </c>
      <c r="I2989" s="27" t="n">
        <v>45656</v>
      </c>
      <c r="J2989" s="27" t="n"/>
      <c r="K2989" t="inlineStr">
        <is>
          <t>Transferência Bancária ou Pix</t>
        </is>
      </c>
      <c r="L2989" t="inlineStr">
        <is>
          <t>Custos Artístico Geral</t>
        </is>
      </c>
      <c r="M2989" t="inlineStr">
        <is>
          <t>Técnico de Som / Luz</t>
        </is>
      </c>
      <c r="N2989" t="inlineStr">
        <is>
          <t>27</t>
        </is>
      </c>
      <c r="O2989" t="inlineStr">
        <is>
          <t>Documentação Aprovada</t>
        </is>
      </c>
      <c r="P2989" t="inlineStr">
        <is>
          <t>Aprovado Diretoria</t>
        </is>
      </c>
      <c r="Q2989" t="inlineStr">
        <is>
          <t>Aprovado Caixa</t>
        </is>
      </c>
      <c r="R2989" t="inlineStr">
        <is>
          <t>Pago</t>
        </is>
      </c>
      <c r="S2989" t="n">
        <v>115</v>
      </c>
      <c r="T2989" t="inlineStr">
        <is>
          <t>Love - Shibari - Bradesco</t>
        </is>
      </c>
    </row>
    <row r="2990">
      <c r="A2990" t="n">
        <v>59903</v>
      </c>
      <c r="B2990" t="n">
        <v>128</v>
      </c>
      <c r="C2990" t="inlineStr">
        <is>
          <t>Love Cabaret</t>
        </is>
      </c>
      <c r="D2990" t="inlineStr">
        <is>
          <t>ISS</t>
        </is>
      </c>
      <c r="E2990" t="n">
        <v>118.58</v>
      </c>
      <c r="F2990" s="27" t="n">
        <v>45667</v>
      </c>
      <c r="G2990" s="27" t="n">
        <v>45665</v>
      </c>
      <c r="H2990" s="27" t="n">
        <v>45665</v>
      </c>
      <c r="I2990" s="27" t="n">
        <v>45656</v>
      </c>
      <c r="J2990" s="27" t="n"/>
      <c r="K2990" t="inlineStr">
        <is>
          <t>Boleto Bancário</t>
        </is>
      </c>
      <c r="L2990" t="inlineStr">
        <is>
          <t>Serviços de Terceiros</t>
        </is>
      </c>
      <c r="M2990" t="inlineStr">
        <is>
          <t>Serviços de Segurança</t>
        </is>
      </c>
      <c r="N2990" t="inlineStr">
        <is>
          <t>122024</t>
        </is>
      </c>
      <c r="O2990" t="inlineStr">
        <is>
          <t>Documentação Aprovada</t>
        </is>
      </c>
      <c r="P2990" t="inlineStr">
        <is>
          <t>Aprovado Diretoria</t>
        </is>
      </c>
      <c r="Q2990" t="inlineStr">
        <is>
          <t>Aprovado Caixa</t>
        </is>
      </c>
      <c r="R2990" t="inlineStr">
        <is>
          <t>Pago</t>
        </is>
      </c>
      <c r="S2990" t="n">
        <v>115</v>
      </c>
      <c r="T2990" t="inlineStr">
        <is>
          <t>Love - Shibari - Bradesco</t>
        </is>
      </c>
    </row>
    <row r="2991">
      <c r="A2991" t="n">
        <v>60311</v>
      </c>
      <c r="B2991" t="n">
        <v>128</v>
      </c>
      <c r="C2991" t="inlineStr">
        <is>
          <t>Love Cabaret</t>
        </is>
      </c>
      <c r="D2991" t="inlineStr">
        <is>
          <t>STEMME TELECOMUNICACOES DO BRASIL LTDA</t>
        </is>
      </c>
      <c r="E2991" t="n">
        <v>299.99</v>
      </c>
      <c r="F2991" s="27" t="n">
        <v>45667</v>
      </c>
      <c r="G2991" s="27" t="n">
        <v>45665</v>
      </c>
      <c r="H2991" s="27" t="n">
        <v>45665</v>
      </c>
      <c r="I2991" s="27" t="n">
        <v>45656</v>
      </c>
      <c r="J2991" s="27" t="n"/>
      <c r="K2991" t="inlineStr">
        <is>
          <t>Boleto Bancário</t>
        </is>
      </c>
      <c r="L2991" t="inlineStr">
        <is>
          <t>Informática e TI</t>
        </is>
      </c>
      <c r="M2991" t="inlineStr">
        <is>
          <t>Internet</t>
        </is>
      </c>
      <c r="N2991" t="inlineStr">
        <is>
          <t>7258</t>
        </is>
      </c>
      <c r="O2991" t="inlineStr">
        <is>
          <t>Documentação Aprovada</t>
        </is>
      </c>
      <c r="P2991" t="inlineStr">
        <is>
          <t>Aprovado Diretoria</t>
        </is>
      </c>
      <c r="Q2991" t="inlineStr">
        <is>
          <t>Aprovado Caixa</t>
        </is>
      </c>
      <c r="R2991" t="inlineStr">
        <is>
          <t>Pago</t>
        </is>
      </c>
      <c r="S2991" t="n">
        <v>115</v>
      </c>
      <c r="T2991" t="inlineStr">
        <is>
          <t>Love - Shibari - Bradesco</t>
        </is>
      </c>
    </row>
    <row r="2992">
      <c r="A2992" t="n">
        <v>59851</v>
      </c>
      <c r="B2992" t="n">
        <v>128</v>
      </c>
      <c r="C2992" t="inlineStr">
        <is>
          <t>Love Cabaret</t>
        </is>
      </c>
      <c r="D2992" t="inlineStr">
        <is>
          <t>IRMANDADE DA SANTA CASA DE MISERICORDIA DE SAO PAULO</t>
        </is>
      </c>
      <c r="E2992" t="n">
        <v>31634.64</v>
      </c>
      <c r="F2992" s="27" t="n">
        <v>45667</v>
      </c>
      <c r="G2992" s="27" t="n">
        <v>45665</v>
      </c>
      <c r="H2992" s="27" t="n">
        <v>45665</v>
      </c>
      <c r="I2992" s="27" t="n">
        <v>45646</v>
      </c>
      <c r="J2992" s="27" t="n"/>
      <c r="K2992" t="inlineStr">
        <is>
          <t>Boleto Bancário</t>
        </is>
      </c>
      <c r="L2992" t="inlineStr">
        <is>
          <t>Custo de Ocupação</t>
        </is>
      </c>
      <c r="M2992" t="inlineStr">
        <is>
          <t>Aluguel de Imoveis</t>
        </is>
      </c>
      <c r="N2992" t="inlineStr">
        <is>
          <t>157054</t>
        </is>
      </c>
      <c r="O2992" t="inlineStr">
        <is>
          <t>Documentação Aprovada</t>
        </is>
      </c>
      <c r="P2992" t="inlineStr">
        <is>
          <t>Aprovado Diretoria</t>
        </is>
      </c>
      <c r="Q2992" t="inlineStr">
        <is>
          <t>Aprovado Caixa</t>
        </is>
      </c>
      <c r="R2992" t="inlineStr">
        <is>
          <t>Pago</t>
        </is>
      </c>
      <c r="S2992" t="n">
        <v>115</v>
      </c>
      <c r="T2992" t="inlineStr">
        <is>
          <t>Love - Shibari - Bradesco</t>
        </is>
      </c>
    </row>
    <row r="2993">
      <c r="A2993" t="n">
        <v>59973</v>
      </c>
      <c r="B2993" t="n">
        <v>128</v>
      </c>
      <c r="C2993" t="inlineStr">
        <is>
          <t>Love Cabaret</t>
        </is>
      </c>
      <c r="D2993" t="inlineStr">
        <is>
          <t>MICHELLY ROSSI COUTO</t>
        </is>
      </c>
      <c r="E2993" t="n">
        <v>3000</v>
      </c>
      <c r="F2993" s="27" t="n">
        <v>45667</v>
      </c>
      <c r="G2993" s="27" t="n">
        <v>45665</v>
      </c>
      <c r="H2993" s="27" t="n">
        <v>45665</v>
      </c>
      <c r="I2993" s="27" t="n">
        <v>45647</v>
      </c>
      <c r="J2993" s="27" t="n"/>
      <c r="K2993" t="inlineStr">
        <is>
          <t>Transferência Bancária ou Pix</t>
        </is>
      </c>
      <c r="L2993" t="inlineStr">
        <is>
          <t>Serviços de Terceiros</t>
        </is>
      </c>
      <c r="M2993" t="inlineStr">
        <is>
          <t>Assessoria de Alimentos e Bebidas</t>
        </is>
      </c>
      <c r="N2993" t="inlineStr">
        <is>
          <t>229</t>
        </is>
      </c>
      <c r="O2993" t="inlineStr">
        <is>
          <t>Documentação Aprovada</t>
        </is>
      </c>
      <c r="P2993" t="inlineStr">
        <is>
          <t>Aprovado Diretoria</t>
        </is>
      </c>
      <c r="Q2993" t="inlineStr">
        <is>
          <t>Aprovado Caixa</t>
        </is>
      </c>
      <c r="R2993" t="inlineStr">
        <is>
          <t>Pago</t>
        </is>
      </c>
      <c r="S2993" t="n">
        <v>115</v>
      </c>
      <c r="T2993" t="inlineStr">
        <is>
          <t>Love - Shibari - Bradesco</t>
        </is>
      </c>
    </row>
    <row r="2994">
      <c r="A2994" t="n">
        <v>60291</v>
      </c>
      <c r="B2994" t="n">
        <v>128</v>
      </c>
      <c r="C2994" t="inlineStr">
        <is>
          <t>Love Cabaret</t>
        </is>
      </c>
      <c r="D2994" t="inlineStr">
        <is>
          <t>PRESHH ALUGUEL DE MAQUINAS LTDA</t>
        </is>
      </c>
      <c r="E2994" t="n">
        <v>708</v>
      </c>
      <c r="F2994" s="27" t="n">
        <v>45667</v>
      </c>
      <c r="G2994" s="27" t="n">
        <v>45665</v>
      </c>
      <c r="H2994" s="27" t="n">
        <v>45665</v>
      </c>
      <c r="I2994" s="27" t="n">
        <v>45656</v>
      </c>
      <c r="J2994" s="27" t="n"/>
      <c r="K2994" t="inlineStr">
        <is>
          <t>Boleto Bancário</t>
        </is>
      </c>
      <c r="L2994" t="inlineStr">
        <is>
          <t>Locação de Equipamentos</t>
        </is>
      </c>
      <c r="M2994" t="inlineStr">
        <is>
          <t>Locações de Equipamentos - Operacionais</t>
        </is>
      </c>
      <c r="N2994" t="inlineStr">
        <is>
          <t>482634919</t>
        </is>
      </c>
      <c r="O2994" t="inlineStr">
        <is>
          <t>Documentação Aprovada</t>
        </is>
      </c>
      <c r="P2994" t="inlineStr">
        <is>
          <t>Aprovado Diretoria</t>
        </is>
      </c>
      <c r="Q2994" t="inlineStr">
        <is>
          <t>Aprovado Caixa</t>
        </is>
      </c>
      <c r="R2994" t="inlineStr">
        <is>
          <t>Pago</t>
        </is>
      </c>
      <c r="S2994" t="n">
        <v>115</v>
      </c>
      <c r="T2994" t="inlineStr">
        <is>
          <t>Love - Shibari - Bradesco</t>
        </is>
      </c>
    </row>
    <row r="2995">
      <c r="A2995" t="n">
        <v>60036</v>
      </c>
      <c r="B2995" t="n">
        <v>128</v>
      </c>
      <c r="C2995" t="inlineStr">
        <is>
          <t>Love Cabaret</t>
        </is>
      </c>
      <c r="D2995" t="inlineStr">
        <is>
          <t>ESHOWS PROMOCOES ARTISTICAS LTDA</t>
        </is>
      </c>
      <c r="E2995" t="n">
        <v>14290</v>
      </c>
      <c r="F2995" s="27" t="n">
        <v>45673</v>
      </c>
      <c r="G2995" s="27" t="n">
        <v>45665</v>
      </c>
      <c r="H2995" s="27" t="n">
        <v>45665</v>
      </c>
      <c r="I2995" s="27" t="n">
        <v>45642</v>
      </c>
      <c r="J2995" s="27" t="n">
        <v>45464</v>
      </c>
      <c r="K2995" t="inlineStr">
        <is>
          <t>Boleto Bancário</t>
        </is>
      </c>
      <c r="L2995" t="inlineStr">
        <is>
          <t>Custos Artístico Geral</t>
        </is>
      </c>
      <c r="M2995" t="inlineStr">
        <is>
          <t>Cachê de Músicos e Artistas</t>
        </is>
      </c>
      <c r="N2995" t="inlineStr">
        <is>
          <t>498327528</t>
        </is>
      </c>
      <c r="O2995" t="inlineStr">
        <is>
          <t>Documentação Aprovada</t>
        </is>
      </c>
      <c r="P2995" t="inlineStr">
        <is>
          <t>Aprovado Diretoria</t>
        </is>
      </c>
      <c r="Q2995" t="inlineStr">
        <is>
          <t>Aprovado Caixa</t>
        </is>
      </c>
      <c r="R2995" t="inlineStr">
        <is>
          <t>Pago</t>
        </is>
      </c>
      <c r="S2995" t="n">
        <v>115</v>
      </c>
      <c r="T2995" t="inlineStr">
        <is>
          <t>Love - Shibari - Bradesco</t>
        </is>
      </c>
    </row>
    <row r="2996">
      <c r="A2996" t="n">
        <v>55116</v>
      </c>
      <c r="B2996" t="n">
        <v>128</v>
      </c>
      <c r="C2996" t="inlineStr">
        <is>
          <t>Love Cabaret</t>
        </is>
      </c>
      <c r="D2996" t="inlineStr">
        <is>
          <t>FREE SOM - LOCACAO DE SOM E  LUZ LTDA - TUKASON</t>
        </is>
      </c>
      <c r="E2996" t="n">
        <v>6000</v>
      </c>
      <c r="F2996" s="27" t="n">
        <v>45666</v>
      </c>
      <c r="G2996" s="27" t="n">
        <v>45665</v>
      </c>
      <c r="H2996" s="27" t="n">
        <v>45665</v>
      </c>
      <c r="I2996" s="27" t="n">
        <v>45656</v>
      </c>
      <c r="J2996" s="27" t="n"/>
      <c r="K2996" t="inlineStr">
        <is>
          <t>Boleto Bancário</t>
        </is>
      </c>
      <c r="L2996" t="inlineStr">
        <is>
          <t>Custos Artístico Geral</t>
        </is>
      </c>
      <c r="M2996" t="inlineStr">
        <is>
          <t>Locação de Equipamentos Fixo</t>
        </is>
      </c>
      <c r="N2996" t="inlineStr">
        <is>
          <t>476</t>
        </is>
      </c>
      <c r="O2996" t="inlineStr">
        <is>
          <t>Documentação Aprovada</t>
        </is>
      </c>
      <c r="P2996" t="inlineStr">
        <is>
          <t>Aprovado Diretoria</t>
        </is>
      </c>
      <c r="Q2996" t="inlineStr">
        <is>
          <t>Aprovado Caixa</t>
        </is>
      </c>
      <c r="R2996" t="inlineStr">
        <is>
          <t>Pago</t>
        </is>
      </c>
      <c r="S2996" t="n">
        <v>115</v>
      </c>
      <c r="T2996" t="inlineStr">
        <is>
          <t>Love - Shibari - Bradesco</t>
        </is>
      </c>
    </row>
    <row r="2997">
      <c r="A2997" t="n">
        <v>100379</v>
      </c>
      <c r="B2997" t="n">
        <v>128</v>
      </c>
      <c r="C2997" t="inlineStr">
        <is>
          <t>Love Cabaret</t>
        </is>
      </c>
      <c r="D2997" t="inlineStr">
        <is>
          <t>Officina Do Vidro Arte E Artesanato Ltda</t>
        </is>
      </c>
      <c r="E2997" t="n">
        <v>780</v>
      </c>
      <c r="F2997" s="27" t="n">
        <v>45660</v>
      </c>
      <c r="G2997" s="27" t="n">
        <v>45665</v>
      </c>
      <c r="H2997" s="27" t="n">
        <v>45664</v>
      </c>
      <c r="I2997" s="27" t="n">
        <v>45639</v>
      </c>
      <c r="J2997" s="27" t="n">
        <v>45664</v>
      </c>
      <c r="K2997" t="inlineStr">
        <is>
          <t>Transferência Bancária ou Pix</t>
        </is>
      </c>
      <c r="L2997" t="inlineStr">
        <is>
          <t>ADIANTAMENTO A FORNECEDORES</t>
        </is>
      </c>
      <c r="M2997" t="inlineStr">
        <is>
          <t>ADIANTAMENTO A FORNECEDORES</t>
        </is>
      </c>
      <c r="N2997" t="inlineStr">
        <is>
          <t>5833</t>
        </is>
      </c>
      <c r="O2997" t="inlineStr">
        <is>
          <t>Documentação Aprovada</t>
        </is>
      </c>
      <c r="P2997" t="inlineStr">
        <is>
          <t>Aprovado Diretoria</t>
        </is>
      </c>
      <c r="Q2997" t="inlineStr">
        <is>
          <t>Aprovado Caixa</t>
        </is>
      </c>
      <c r="R2997" t="inlineStr">
        <is>
          <t>Pago</t>
        </is>
      </c>
      <c r="S2997" t="n">
        <v>115</v>
      </c>
      <c r="T2997" t="inlineStr">
        <is>
          <t>Love - Shibari - Bradesco</t>
        </is>
      </c>
    </row>
    <row r="2998">
      <c r="A2998" t="n">
        <v>100378</v>
      </c>
      <c r="B2998" t="n">
        <v>128</v>
      </c>
      <c r="C2998" t="inlineStr">
        <is>
          <t>Love Cabaret</t>
        </is>
      </c>
      <c r="D2998" t="inlineStr">
        <is>
          <t>BATALHA FABRICA DE PAES LTDA</t>
        </is>
      </c>
      <c r="E2998" t="n">
        <v>353.34</v>
      </c>
      <c r="F2998" s="27" t="n">
        <v>45665</v>
      </c>
      <c r="G2998" s="27" t="n">
        <v>45665</v>
      </c>
      <c r="H2998" s="27" t="n">
        <v>45664</v>
      </c>
      <c r="I2998" s="27" t="n">
        <v>45643</v>
      </c>
      <c r="J2998" s="27" t="n">
        <v>45664</v>
      </c>
      <c r="K2998" t="inlineStr">
        <is>
          <t>Boleto Bancário</t>
        </is>
      </c>
      <c r="L2998" t="inlineStr">
        <is>
          <t>INSUMOS</t>
        </is>
      </c>
      <c r="M2998" t="inlineStr">
        <is>
          <t>ALIMENTOS</t>
        </is>
      </c>
      <c r="N2998" t="inlineStr">
        <is>
          <t>24302</t>
        </is>
      </c>
      <c r="O2998" t="inlineStr">
        <is>
          <t>Documentação Aprovada</t>
        </is>
      </c>
      <c r="P2998" t="inlineStr">
        <is>
          <t>Aprovado Diretoria</t>
        </is>
      </c>
      <c r="Q2998" t="inlineStr">
        <is>
          <t>Aprovado Caixa</t>
        </is>
      </c>
      <c r="R2998" t="inlineStr">
        <is>
          <t>Pago</t>
        </is>
      </c>
      <c r="S2998" t="n">
        <v>115</v>
      </c>
      <c r="T2998" t="inlineStr">
        <is>
          <t>Love - Shibari - Bradesco</t>
        </is>
      </c>
    </row>
    <row r="2999">
      <c r="A2999" t="n">
        <v>100008</v>
      </c>
      <c r="B2999" t="n">
        <v>128</v>
      </c>
      <c r="C2999" t="inlineStr">
        <is>
          <t>Love Cabaret</t>
        </is>
      </c>
      <c r="D2999" t="inlineStr">
        <is>
          <t>PEDRO THOMAZ RODRIGUES</t>
        </is>
      </c>
      <c r="E2999" t="n">
        <v>2550.13</v>
      </c>
      <c r="F2999" s="27" t="n">
        <v>45664</v>
      </c>
      <c r="G2999" s="27" t="n">
        <v>45663</v>
      </c>
      <c r="H2999" s="27" t="n">
        <v>45663</v>
      </c>
      <c r="I2999" s="27" t="n">
        <v>45656</v>
      </c>
      <c r="J2999" s="27" t="n"/>
      <c r="K2999" t="inlineStr">
        <is>
          <t>Transferência Bancária ou Pix</t>
        </is>
      </c>
      <c r="L2999" t="inlineStr">
        <is>
          <t>Mão de Obra - Salários</t>
        </is>
      </c>
      <c r="M2999" t="inlineStr">
        <is>
          <t>MDO CLT - Salário</t>
        </is>
      </c>
      <c r="N2999" t="inlineStr">
        <is>
          <t>122024</t>
        </is>
      </c>
      <c r="O2999" t="inlineStr">
        <is>
          <t>Documentação Aprovada</t>
        </is>
      </c>
      <c r="P2999" t="inlineStr">
        <is>
          <t>Aprovado Diretoria</t>
        </is>
      </c>
      <c r="Q2999" t="inlineStr">
        <is>
          <t>Aprovado Caixa</t>
        </is>
      </c>
      <c r="R2999" t="inlineStr">
        <is>
          <t>Pago</t>
        </is>
      </c>
      <c r="S2999" t="n">
        <v>115</v>
      </c>
      <c r="T2999" t="inlineStr">
        <is>
          <t>Love - Shibari - Bradesco</t>
        </is>
      </c>
    </row>
    <row r="3000">
      <c r="A3000" t="n">
        <v>100007</v>
      </c>
      <c r="B3000" t="n">
        <v>128</v>
      </c>
      <c r="C3000" t="inlineStr">
        <is>
          <t>Love Cabaret</t>
        </is>
      </c>
      <c r="D3000" t="inlineStr">
        <is>
          <t>LEIA DOS SANTOS</t>
        </is>
      </c>
      <c r="E3000" t="n">
        <v>3016.42</v>
      </c>
      <c r="F3000" s="27" t="n">
        <v>45664</v>
      </c>
      <c r="G3000" s="27" t="n">
        <v>45663</v>
      </c>
      <c r="H3000" s="27" t="n">
        <v>45663</v>
      </c>
      <c r="I3000" s="27" t="n">
        <v>45656</v>
      </c>
      <c r="J3000" s="27" t="n"/>
      <c r="K3000" t="inlineStr">
        <is>
          <t>Transferência Bancária ou Pix</t>
        </is>
      </c>
      <c r="L3000" t="inlineStr">
        <is>
          <t>Mão de Obra - Salários</t>
        </is>
      </c>
      <c r="M3000" t="inlineStr">
        <is>
          <t>MDO CLT - Salário</t>
        </is>
      </c>
      <c r="N3000" t="inlineStr">
        <is>
          <t>122024</t>
        </is>
      </c>
      <c r="O3000" t="inlineStr">
        <is>
          <t>Documentação Aprovada</t>
        </is>
      </c>
      <c r="P3000" t="inlineStr">
        <is>
          <t>Aprovado Diretoria</t>
        </is>
      </c>
      <c r="Q3000" t="inlineStr">
        <is>
          <t>Aprovado Caixa</t>
        </is>
      </c>
      <c r="R3000" t="inlineStr">
        <is>
          <t>Pago</t>
        </is>
      </c>
      <c r="S3000" t="n">
        <v>115</v>
      </c>
      <c r="T3000" t="inlineStr">
        <is>
          <t>Love - Shibari - Bradesco</t>
        </is>
      </c>
    </row>
    <row r="3001">
      <c r="A3001" t="n">
        <v>100006</v>
      </c>
      <c r="B3001" t="n">
        <v>128</v>
      </c>
      <c r="C3001" t="inlineStr">
        <is>
          <t>Love Cabaret</t>
        </is>
      </c>
      <c r="D3001" t="inlineStr">
        <is>
          <t>CAROLINE FERREIRA DA SILVA</t>
        </is>
      </c>
      <c r="E3001" t="n">
        <v>2828.12</v>
      </c>
      <c r="F3001" s="27" t="n">
        <v>45664</v>
      </c>
      <c r="G3001" s="27" t="n">
        <v>45663</v>
      </c>
      <c r="H3001" s="27" t="n">
        <v>45663</v>
      </c>
      <c r="I3001" s="27" t="n">
        <v>45656</v>
      </c>
      <c r="J3001" s="27" t="n"/>
      <c r="K3001" t="inlineStr">
        <is>
          <t>Transferência Bancária ou Pix</t>
        </is>
      </c>
      <c r="L3001" t="inlineStr">
        <is>
          <t>Mão de Obra - Salários</t>
        </is>
      </c>
      <c r="M3001" t="inlineStr">
        <is>
          <t>MDO CLT - Salário</t>
        </is>
      </c>
      <c r="N3001" t="inlineStr">
        <is>
          <t>122024</t>
        </is>
      </c>
      <c r="O3001" t="inlineStr">
        <is>
          <t>Documentação Aprovada</t>
        </is>
      </c>
      <c r="P3001" t="inlineStr">
        <is>
          <t>Aprovado Diretoria</t>
        </is>
      </c>
      <c r="Q3001" t="inlineStr">
        <is>
          <t>Aprovado Caixa</t>
        </is>
      </c>
      <c r="R3001" t="inlineStr">
        <is>
          <t>Pago</t>
        </is>
      </c>
      <c r="S3001" t="n">
        <v>115</v>
      </c>
      <c r="T3001" t="inlineStr">
        <is>
          <t>Love - Shibari - Bradesco</t>
        </is>
      </c>
    </row>
    <row r="3002">
      <c r="A3002" t="n">
        <v>100372</v>
      </c>
      <c r="B3002" t="n">
        <v>128</v>
      </c>
      <c r="C3002" t="inlineStr">
        <is>
          <t>Love Cabaret</t>
        </is>
      </c>
      <c r="D3002" t="inlineStr">
        <is>
          <t>BRADESCO SA</t>
        </is>
      </c>
      <c r="E3002" t="n">
        <v>36</v>
      </c>
      <c r="F3002" s="27" t="n">
        <v>45663</v>
      </c>
      <c r="G3002" s="27" t="n"/>
      <c r="H3002" s="27" t="n">
        <v>45663</v>
      </c>
      <c r="I3002" s="27" t="n">
        <v>45663</v>
      </c>
      <c r="J3002" s="27" t="n">
        <v>45664</v>
      </c>
      <c r="K3002" t="inlineStr">
        <is>
          <t>Encontro de Contas</t>
        </is>
      </c>
      <c r="L3002" t="inlineStr">
        <is>
          <t>Despesas Financeiras</t>
        </is>
      </c>
      <c r="M3002" t="inlineStr">
        <is>
          <t>Tarifas Bancárias</t>
        </is>
      </c>
      <c r="N3002" t="inlineStr">
        <is>
          <t>012025</t>
        </is>
      </c>
      <c r="P3002" t="inlineStr">
        <is>
          <t>Aprovado Diretoria</t>
        </is>
      </c>
      <c r="R3002" t="inlineStr">
        <is>
          <t>Pago</t>
        </is>
      </c>
    </row>
    <row r="3003">
      <c r="A3003" t="n">
        <v>97707</v>
      </c>
      <c r="B3003" t="n">
        <v>128</v>
      </c>
      <c r="C3003" t="inlineStr">
        <is>
          <t>Love Cabaret</t>
        </is>
      </c>
      <c r="D3003" t="inlineStr">
        <is>
          <t>ANDREIA SANTOS FREITAS DUARTE</t>
        </is>
      </c>
      <c r="E3003" t="n">
        <v>331.4</v>
      </c>
      <c r="F3003" s="27" t="n">
        <v>45663</v>
      </c>
      <c r="G3003" s="27" t="n">
        <v>45663</v>
      </c>
      <c r="H3003" s="27" t="n">
        <v>45663</v>
      </c>
      <c r="I3003" s="27" t="n">
        <v>45643</v>
      </c>
      <c r="J3003" s="27" t="n">
        <v>45648</v>
      </c>
      <c r="K3003" t="inlineStr">
        <is>
          <t>Boleto Bancário</t>
        </is>
      </c>
      <c r="L3003" t="inlineStr">
        <is>
          <t>Custo Mercadoria Vendida</t>
        </is>
      </c>
      <c r="M3003" t="inlineStr">
        <is>
          <t>Insumos - Alimentos</t>
        </is>
      </c>
      <c r="N3003" t="inlineStr">
        <is>
          <t>1724</t>
        </is>
      </c>
      <c r="O3003" t="inlineStr">
        <is>
          <t>Documentação Aprovada</t>
        </is>
      </c>
      <c r="P3003" t="inlineStr">
        <is>
          <t>Aprovado Diretoria</t>
        </is>
      </c>
      <c r="Q3003" t="inlineStr">
        <is>
          <t>Aprovado Caixa</t>
        </is>
      </c>
      <c r="R3003" t="inlineStr">
        <is>
          <t>Pago</t>
        </is>
      </c>
      <c r="S3003" t="n">
        <v>115</v>
      </c>
      <c r="T3003" t="inlineStr">
        <is>
          <t>Love - Shibari - Bradesco</t>
        </is>
      </c>
    </row>
    <row r="3004">
      <c r="A3004" t="n">
        <v>96316</v>
      </c>
      <c r="B3004" t="n">
        <v>128</v>
      </c>
      <c r="C3004" t="inlineStr">
        <is>
          <t>Love Cabaret</t>
        </is>
      </c>
      <c r="D3004" t="inlineStr">
        <is>
          <t>DTK COMERCIO DE ALIMENTOS LTDA</t>
        </is>
      </c>
      <c r="E3004" t="n">
        <v>913.73</v>
      </c>
      <c r="F3004" s="27" t="n">
        <v>45664</v>
      </c>
      <c r="G3004" s="27" t="n">
        <v>45663</v>
      </c>
      <c r="H3004" s="27" t="n">
        <v>45663</v>
      </c>
      <c r="I3004" s="27" t="n">
        <v>45643</v>
      </c>
      <c r="J3004" s="27" t="n">
        <v>45644</v>
      </c>
      <c r="K3004" t="inlineStr">
        <is>
          <t>Boleto Bancário</t>
        </is>
      </c>
      <c r="L3004" t="inlineStr">
        <is>
          <t>Custo Mercadoria Vendida</t>
        </is>
      </c>
      <c r="M3004" t="inlineStr">
        <is>
          <t>Insumos - Alimentos</t>
        </is>
      </c>
      <c r="N3004" t="inlineStr">
        <is>
          <t>19664</t>
        </is>
      </c>
      <c r="O3004" t="inlineStr">
        <is>
          <t>Documentação Aprovada</t>
        </is>
      </c>
      <c r="P3004" t="inlineStr">
        <is>
          <t>Aprovado Diretoria</t>
        </is>
      </c>
      <c r="Q3004" t="inlineStr">
        <is>
          <t>Aprovado Caixa</t>
        </is>
      </c>
      <c r="R3004" t="inlineStr">
        <is>
          <t>Pago</t>
        </is>
      </c>
      <c r="S3004" t="n">
        <v>115</v>
      </c>
      <c r="T3004" t="inlineStr">
        <is>
          <t>Love - Shibari - Bradesco</t>
        </is>
      </c>
    </row>
    <row r="3005">
      <c r="A3005" t="n">
        <v>96383</v>
      </c>
      <c r="B3005" t="n">
        <v>128</v>
      </c>
      <c r="C3005" t="inlineStr">
        <is>
          <t>Love Cabaret</t>
        </is>
      </c>
      <c r="D3005" t="inlineStr">
        <is>
          <t>PRESHH ALUGUEL DE MAQUINAS LTDA</t>
        </is>
      </c>
      <c r="E3005" t="n">
        <v>198</v>
      </c>
      <c r="F3005" s="27" t="n">
        <v>45664</v>
      </c>
      <c r="G3005" s="27" t="n">
        <v>45663</v>
      </c>
      <c r="H3005" s="27" t="n">
        <v>45663</v>
      </c>
      <c r="I3005" s="27" t="n">
        <v>45644</v>
      </c>
      <c r="J3005" s="27" t="n">
        <v>45644</v>
      </c>
      <c r="K3005" t="inlineStr">
        <is>
          <t>Boleto Bancário</t>
        </is>
      </c>
      <c r="L3005" t="inlineStr">
        <is>
          <t>Utilidades</t>
        </is>
      </c>
      <c r="M3005" t="inlineStr">
        <is>
          <t>Material de Consumo - Gelo/ Gas CO2/ Carvao /Velas</t>
        </is>
      </c>
      <c r="N3005" t="inlineStr">
        <is>
          <t>T-22480</t>
        </is>
      </c>
      <c r="O3005" t="inlineStr">
        <is>
          <t>Documentação Aprovada</t>
        </is>
      </c>
      <c r="P3005" t="inlineStr">
        <is>
          <t>Aprovado Diretoria</t>
        </is>
      </c>
      <c r="Q3005" t="inlineStr">
        <is>
          <t>Aprovado Caixa</t>
        </is>
      </c>
      <c r="R3005" t="inlineStr">
        <is>
          <t>Pago</t>
        </is>
      </c>
      <c r="S3005" t="n">
        <v>115</v>
      </c>
      <c r="T3005" t="inlineStr">
        <is>
          <t>Love - Shibari - Bradesco</t>
        </is>
      </c>
    </row>
    <row r="3006">
      <c r="A3006" t="n">
        <v>96314</v>
      </c>
      <c r="B3006" t="n">
        <v>128</v>
      </c>
      <c r="C3006" t="inlineStr">
        <is>
          <t>Love Cabaret</t>
        </is>
      </c>
      <c r="D3006" t="inlineStr">
        <is>
          <t xml:space="preserve">EMPORIO MEL </t>
        </is>
      </c>
      <c r="E3006" t="n">
        <v>1105.19</v>
      </c>
      <c r="F3006" s="27" t="n">
        <v>45664</v>
      </c>
      <c r="G3006" s="27" t="n">
        <v>45663</v>
      </c>
      <c r="H3006" s="27" t="n">
        <v>45663</v>
      </c>
      <c r="I3006" s="27" t="n">
        <v>45642</v>
      </c>
      <c r="J3006" s="27" t="n">
        <v>45644</v>
      </c>
      <c r="K3006" t="inlineStr">
        <is>
          <t>Boleto Bancário</t>
        </is>
      </c>
      <c r="L3006" t="inlineStr">
        <is>
          <t>Custo Mercadoria Vendida</t>
        </is>
      </c>
      <c r="M3006" t="inlineStr">
        <is>
          <t>Insumos - Alimentos</t>
        </is>
      </c>
      <c r="N3006" t="inlineStr">
        <is>
          <t>433538</t>
        </is>
      </c>
      <c r="O3006" t="inlineStr">
        <is>
          <t>Documentação Aprovada</t>
        </is>
      </c>
      <c r="P3006" t="inlineStr">
        <is>
          <t>Aprovado Diretoria</t>
        </is>
      </c>
      <c r="Q3006" t="inlineStr">
        <is>
          <t>Aprovado Caixa</t>
        </is>
      </c>
      <c r="R3006" t="inlineStr">
        <is>
          <t>Pago</t>
        </is>
      </c>
      <c r="S3006" t="n">
        <v>115</v>
      </c>
      <c r="T3006" t="inlineStr">
        <is>
          <t>Love - Shibari - Bradesco</t>
        </is>
      </c>
    </row>
    <row r="3007">
      <c r="A3007" t="n">
        <v>96309</v>
      </c>
      <c r="B3007" t="n">
        <v>128</v>
      </c>
      <c r="C3007" t="inlineStr">
        <is>
          <t>Love Cabaret</t>
        </is>
      </c>
      <c r="D3007" t="inlineStr">
        <is>
          <t>WIDE STOCK COMERCIO E DISTRIBUICAO LTDA</t>
        </is>
      </c>
      <c r="E3007" t="n">
        <v>1322</v>
      </c>
      <c r="F3007" s="27" t="n">
        <v>45663</v>
      </c>
      <c r="G3007" s="27" t="n">
        <v>45663</v>
      </c>
      <c r="H3007" s="27" t="n">
        <v>45663</v>
      </c>
      <c r="I3007" s="27" t="n">
        <v>45642</v>
      </c>
      <c r="J3007" s="27" t="n">
        <v>45644</v>
      </c>
      <c r="K3007" t="inlineStr">
        <is>
          <t>Boleto Bancário</t>
        </is>
      </c>
      <c r="L3007" t="inlineStr">
        <is>
          <t>Utilidades</t>
        </is>
      </c>
      <c r="M3007" t="inlineStr">
        <is>
          <t>Higiene e Limpeza</t>
        </is>
      </c>
      <c r="N3007" t="inlineStr">
        <is>
          <t>350917</t>
        </is>
      </c>
      <c r="O3007" t="inlineStr">
        <is>
          <t>Documentação Aprovada</t>
        </is>
      </c>
      <c r="P3007" t="inlineStr">
        <is>
          <t>Aprovado Diretoria</t>
        </is>
      </c>
      <c r="Q3007" t="inlineStr">
        <is>
          <t>Aprovado Caixa</t>
        </is>
      </c>
      <c r="R3007" t="inlineStr">
        <is>
          <t>Pago</t>
        </is>
      </c>
      <c r="S3007" t="n">
        <v>115</v>
      </c>
      <c r="T3007" t="inlineStr">
        <is>
          <t>Love - Shibari - Bradesco</t>
        </is>
      </c>
    </row>
    <row r="3008">
      <c r="A3008" t="n">
        <v>91747</v>
      </c>
      <c r="B3008" t="n">
        <v>128</v>
      </c>
      <c r="C3008" t="inlineStr">
        <is>
          <t>Love Cabaret</t>
        </is>
      </c>
      <c r="D3008" t="inlineStr">
        <is>
          <t>BRH SAUDE OCUPACIONAL LTDA</t>
        </is>
      </c>
      <c r="E3008" t="n">
        <v>106.54</v>
      </c>
      <c r="F3008" s="27" t="n">
        <v>45663</v>
      </c>
      <c r="G3008" s="27" t="n">
        <v>45663</v>
      </c>
      <c r="H3008" s="27" t="n">
        <v>45663</v>
      </c>
      <c r="I3008" s="27" t="n">
        <v>45627</v>
      </c>
      <c r="J3008" s="27" t="n">
        <v>45632</v>
      </c>
      <c r="K3008" t="inlineStr">
        <is>
          <t>Boleto Bancário</t>
        </is>
      </c>
      <c r="L3008" t="inlineStr">
        <is>
          <t>Mão de Obra - Benefícios</t>
        </is>
      </c>
      <c r="M3008" t="inlineStr">
        <is>
          <t xml:space="preserve">  -  Exames Periódicos</t>
        </is>
      </c>
      <c r="N3008" t="inlineStr">
        <is>
          <t>73777</t>
        </is>
      </c>
      <c r="O3008" t="inlineStr">
        <is>
          <t>Documentação Aprovada</t>
        </is>
      </c>
      <c r="P3008" t="inlineStr">
        <is>
          <t>Aprovado Diretoria</t>
        </is>
      </c>
      <c r="Q3008" t="inlineStr">
        <is>
          <t>Aprovado Caixa</t>
        </is>
      </c>
      <c r="R3008" t="inlineStr">
        <is>
          <t>Pago</t>
        </is>
      </c>
      <c r="S3008" t="n">
        <v>115</v>
      </c>
      <c r="T3008" t="inlineStr">
        <is>
          <t>Love - Shibari - Bradesco</t>
        </is>
      </c>
    </row>
    <row r="3009">
      <c r="A3009" t="n">
        <v>94264</v>
      </c>
      <c r="B3009" t="n">
        <v>128</v>
      </c>
      <c r="C3009" t="inlineStr">
        <is>
          <t>Love Cabaret</t>
        </is>
      </c>
      <c r="D3009" t="inlineStr">
        <is>
          <t>B.B DISTRIBUIDORA DE CARNES LTDA</t>
        </is>
      </c>
      <c r="E3009" t="n">
        <v>974.83</v>
      </c>
      <c r="F3009" s="27" t="n">
        <v>45663</v>
      </c>
      <c r="G3009" s="27" t="n">
        <v>45663</v>
      </c>
      <c r="H3009" s="27" t="n">
        <v>45663</v>
      </c>
      <c r="I3009" s="27" t="n">
        <v>45635</v>
      </c>
      <c r="J3009" s="27" t="n">
        <v>45637</v>
      </c>
      <c r="K3009" t="inlineStr">
        <is>
          <t>Boleto Bancário</t>
        </is>
      </c>
      <c r="L3009" t="inlineStr">
        <is>
          <t>Custo Mercadoria Vendida</t>
        </is>
      </c>
      <c r="M3009" t="inlineStr">
        <is>
          <t>Insumos - Alimentos</t>
        </is>
      </c>
      <c r="N3009" t="inlineStr">
        <is>
          <t>382175</t>
        </is>
      </c>
      <c r="O3009" t="inlineStr">
        <is>
          <t>Documentação Aprovada</t>
        </is>
      </c>
      <c r="P3009" t="inlineStr">
        <is>
          <t>Aprovado Diretoria</t>
        </is>
      </c>
      <c r="Q3009" t="inlineStr">
        <is>
          <t>Aprovado Caixa</t>
        </is>
      </c>
      <c r="R3009" t="inlineStr">
        <is>
          <t>Pago</t>
        </is>
      </c>
      <c r="S3009" t="n">
        <v>115</v>
      </c>
      <c r="T3009" t="inlineStr">
        <is>
          <t>Love - Shibari - Bradesco</t>
        </is>
      </c>
    </row>
    <row r="3010">
      <c r="A3010" t="n">
        <v>94273</v>
      </c>
      <c r="B3010" t="n">
        <v>128</v>
      </c>
      <c r="C3010" t="inlineStr">
        <is>
          <t>Love Cabaret</t>
        </is>
      </c>
      <c r="D3010" t="inlineStr">
        <is>
          <t>CIUFFI HORTIFRUTI EIRELI</t>
        </is>
      </c>
      <c r="E3010" t="n">
        <v>518.3</v>
      </c>
      <c r="F3010" s="27" t="n">
        <v>45664</v>
      </c>
      <c r="G3010" s="27" t="n">
        <v>45663</v>
      </c>
      <c r="H3010" s="27" t="n">
        <v>45663</v>
      </c>
      <c r="I3010" s="27" t="n">
        <v>45635</v>
      </c>
      <c r="J3010" s="27" t="n">
        <v>45637</v>
      </c>
      <c r="K3010" t="inlineStr">
        <is>
          <t>Boleto Bancário</t>
        </is>
      </c>
      <c r="L3010" t="inlineStr">
        <is>
          <t>Custo Mercadoria Vendida</t>
        </is>
      </c>
      <c r="M3010" t="inlineStr">
        <is>
          <t>Insumos - Alimentos</t>
        </is>
      </c>
      <c r="N3010" t="inlineStr">
        <is>
          <t>17246</t>
        </is>
      </c>
      <c r="O3010" t="inlineStr">
        <is>
          <t>Documentação Aprovada</t>
        </is>
      </c>
      <c r="P3010" t="inlineStr">
        <is>
          <t>Aprovado Diretoria</t>
        </is>
      </c>
      <c r="Q3010" t="inlineStr">
        <is>
          <t>Aprovado Caixa</t>
        </is>
      </c>
      <c r="R3010" t="inlineStr">
        <is>
          <t>Pago</t>
        </is>
      </c>
      <c r="S3010" t="n">
        <v>115</v>
      </c>
      <c r="T3010" t="inlineStr">
        <is>
          <t>Love - Shibari - Bradesco</t>
        </is>
      </c>
    </row>
    <row r="3011">
      <c r="A3011" t="n">
        <v>93795</v>
      </c>
      <c r="B3011" t="n">
        <v>128</v>
      </c>
      <c r="C3011" t="inlineStr">
        <is>
          <t>Love Cabaret</t>
        </is>
      </c>
      <c r="D3011" t="inlineStr">
        <is>
          <t>LEIA DOS SANTOS</t>
        </is>
      </c>
      <c r="E3011" t="n">
        <v>2348.5</v>
      </c>
      <c r="F3011" s="27" t="n">
        <v>45663</v>
      </c>
      <c r="G3011" s="27" t="n">
        <v>45663</v>
      </c>
      <c r="H3011" s="27" t="n">
        <v>45663</v>
      </c>
      <c r="I3011" s="27" t="n">
        <v>45658</v>
      </c>
      <c r="J3011" s="27" t="n">
        <v>45635</v>
      </c>
      <c r="K3011" t="inlineStr">
        <is>
          <t>Transferência Bancária ou Pix</t>
        </is>
      </c>
      <c r="L3011" t="inlineStr">
        <is>
          <t>Mão de Obra - Encargos e Provisões</t>
        </is>
      </c>
      <c r="M3011" t="inlineStr">
        <is>
          <t xml:space="preserve">  -  Férias</t>
        </is>
      </c>
      <c r="N3011" t="inlineStr">
        <is>
          <t>0</t>
        </is>
      </c>
      <c r="O3011" t="inlineStr">
        <is>
          <t>Documentação Aprovada</t>
        </is>
      </c>
      <c r="P3011" t="inlineStr">
        <is>
          <t>Aprovado Diretoria</t>
        </is>
      </c>
      <c r="Q3011" t="inlineStr">
        <is>
          <t>Aprovado Caixa</t>
        </is>
      </c>
      <c r="R3011" t="inlineStr">
        <is>
          <t>Pago</t>
        </is>
      </c>
      <c r="S3011" t="n">
        <v>115</v>
      </c>
      <c r="T3011" t="inlineStr">
        <is>
          <t>Love - Shibari - Bradesco</t>
        </is>
      </c>
    </row>
    <row r="3012">
      <c r="A3012" t="n">
        <v>96281</v>
      </c>
      <c r="B3012" t="n">
        <v>128</v>
      </c>
      <c r="C3012" t="inlineStr">
        <is>
          <t>Love Cabaret</t>
        </is>
      </c>
      <c r="D3012" t="inlineStr">
        <is>
          <t xml:space="preserve">EMPORIO MEL </t>
        </is>
      </c>
      <c r="E3012" t="n">
        <v>1520.3</v>
      </c>
      <c r="F3012" s="27" t="n">
        <v>45664</v>
      </c>
      <c r="G3012" s="27" t="n">
        <v>45663</v>
      </c>
      <c r="H3012" s="27" t="n">
        <v>45663</v>
      </c>
      <c r="I3012" s="27" t="n">
        <v>45642</v>
      </c>
      <c r="J3012" s="27" t="n">
        <v>45644</v>
      </c>
      <c r="K3012" t="inlineStr">
        <is>
          <t>Boleto Bancário</t>
        </is>
      </c>
      <c r="L3012" t="inlineStr">
        <is>
          <t>Custo Mercadoria Vendida</t>
        </is>
      </c>
      <c r="M3012" t="inlineStr">
        <is>
          <t>Insumos - Bebidas</t>
        </is>
      </c>
      <c r="N3012" t="inlineStr">
        <is>
          <t>433610</t>
        </is>
      </c>
      <c r="O3012" t="inlineStr">
        <is>
          <t>Documentação Aprovada</t>
        </is>
      </c>
      <c r="P3012" t="inlineStr">
        <is>
          <t>Aprovado Diretoria</t>
        </is>
      </c>
      <c r="Q3012" t="inlineStr">
        <is>
          <t>Aprovado Caixa</t>
        </is>
      </c>
      <c r="R3012" t="inlineStr">
        <is>
          <t>Pago</t>
        </is>
      </c>
      <c r="S3012" t="n">
        <v>115</v>
      </c>
      <c r="T3012" t="inlineStr">
        <is>
          <t>Love - Shibari - Bradesco</t>
        </is>
      </c>
    </row>
    <row r="3013">
      <c r="A3013" t="n">
        <v>94865</v>
      </c>
      <c r="B3013" t="n">
        <v>128</v>
      </c>
      <c r="C3013" t="inlineStr">
        <is>
          <t>Love Cabaret</t>
        </is>
      </c>
      <c r="D3013" t="inlineStr">
        <is>
          <t xml:space="preserve">ART LINHO TAPECARIA LTDA </t>
        </is>
      </c>
      <c r="E3013" t="n">
        <v>1200</v>
      </c>
      <c r="F3013" s="27" t="n">
        <v>45663</v>
      </c>
      <c r="G3013" s="27" t="n">
        <v>45663</v>
      </c>
      <c r="H3013" s="27" t="n">
        <v>45663</v>
      </c>
      <c r="I3013" s="27" t="n">
        <v>45636</v>
      </c>
      <c r="J3013" s="27" t="n">
        <v>45638</v>
      </c>
      <c r="K3013" t="inlineStr">
        <is>
          <t>Transferência Bancária ou Pix</t>
        </is>
      </c>
      <c r="L3013" t="inlineStr">
        <is>
          <t>Manutenção</t>
        </is>
      </c>
      <c r="M3013" t="inlineStr">
        <is>
          <t>Manutenção Predial</t>
        </is>
      </c>
      <c r="N3013" t="inlineStr">
        <is>
          <t>431</t>
        </is>
      </c>
      <c r="O3013" t="inlineStr">
        <is>
          <t>Documentação Aprovada</t>
        </is>
      </c>
      <c r="P3013" t="inlineStr">
        <is>
          <t>Aprovado Diretoria</t>
        </is>
      </c>
      <c r="Q3013" t="inlineStr">
        <is>
          <t>Aprovado Caixa</t>
        </is>
      </c>
      <c r="R3013" t="inlineStr">
        <is>
          <t>Pago</t>
        </is>
      </c>
      <c r="S3013" t="n">
        <v>115</v>
      </c>
      <c r="T3013" t="inlineStr">
        <is>
          <t>Love - Shibari - Bradesco</t>
        </is>
      </c>
    </row>
    <row r="3014">
      <c r="A3014" t="n">
        <v>67632</v>
      </c>
      <c r="B3014" t="n">
        <v>128</v>
      </c>
      <c r="C3014" t="inlineStr">
        <is>
          <t>Love Cabaret</t>
        </is>
      </c>
      <c r="D3014" t="inlineStr">
        <is>
          <t>VERISURE BRASIL MONITORAMENTO DE ALARMES S.A</t>
        </is>
      </c>
      <c r="E3014" t="n">
        <v>263.78</v>
      </c>
      <c r="F3014" s="27" t="n">
        <v>45663</v>
      </c>
      <c r="G3014" s="27" t="n">
        <v>45663</v>
      </c>
      <c r="H3014" s="27" t="n">
        <v>45663</v>
      </c>
      <c r="I3014" s="27" t="n">
        <v>45641</v>
      </c>
      <c r="J3014" s="27" t="n"/>
      <c r="K3014" t="inlineStr">
        <is>
          <t xml:space="preserve">Debito Automático </t>
        </is>
      </c>
      <c r="L3014" t="inlineStr">
        <is>
          <t>Informática e TI</t>
        </is>
      </c>
      <c r="M3014" t="inlineStr">
        <is>
          <t>Sistemas de Segurança e Alarme</t>
        </is>
      </c>
      <c r="N3014" t="inlineStr">
        <is>
          <t xml:space="preserve">13999566 </t>
        </is>
      </c>
      <c r="O3014" t="inlineStr">
        <is>
          <t>Documentação Aprovada</t>
        </is>
      </c>
      <c r="P3014" t="inlineStr">
        <is>
          <t>Aprovado Diretoria</t>
        </is>
      </c>
      <c r="Q3014" t="inlineStr">
        <is>
          <t>Aprovado Caixa</t>
        </is>
      </c>
      <c r="R3014" t="inlineStr">
        <is>
          <t>Pago</t>
        </is>
      </c>
    </row>
    <row r="3015">
      <c r="A3015" t="n">
        <v>59160</v>
      </c>
      <c r="B3015" t="n">
        <v>128</v>
      </c>
      <c r="C3015" t="inlineStr">
        <is>
          <t>Love Cabaret</t>
        </is>
      </c>
      <c r="D3015" t="inlineStr">
        <is>
          <t>ELETROPAULO METROPOLITANA ELETRICIDADE DE SAO PAULO SA</t>
        </is>
      </c>
      <c r="E3015" t="n">
        <v>87.25</v>
      </c>
      <c r="F3015" s="27" t="n">
        <v>45663</v>
      </c>
      <c r="G3015" s="27" t="n">
        <v>45663</v>
      </c>
      <c r="H3015" s="27" t="n">
        <v>45663</v>
      </c>
      <c r="I3015" s="27" t="n">
        <v>45641</v>
      </c>
      <c r="J3015" s="27" t="n"/>
      <c r="K3015" t="inlineStr">
        <is>
          <t>Boleto Bancário</t>
        </is>
      </c>
      <c r="L3015" t="inlineStr">
        <is>
          <t>Utilidades</t>
        </is>
      </c>
      <c r="M3015" t="inlineStr">
        <is>
          <t>Energia Eletrica</t>
        </is>
      </c>
      <c r="N3015" t="inlineStr">
        <is>
          <t>670117914</t>
        </is>
      </c>
      <c r="O3015" t="inlineStr">
        <is>
          <t>Documentação Aprovada</t>
        </is>
      </c>
      <c r="P3015" t="inlineStr">
        <is>
          <t>Aprovado Diretoria</t>
        </is>
      </c>
      <c r="Q3015" t="inlineStr">
        <is>
          <t>Aprovado Caixa</t>
        </is>
      </c>
      <c r="R3015" t="inlineStr">
        <is>
          <t>Pago</t>
        </is>
      </c>
      <c r="S3015" t="n">
        <v>115</v>
      </c>
      <c r="T3015" t="inlineStr">
        <is>
          <t>Love - Shibari - Bradesco</t>
        </is>
      </c>
    </row>
    <row r="3016">
      <c r="A3016" t="n">
        <v>59167</v>
      </c>
      <c r="B3016" t="n">
        <v>128</v>
      </c>
      <c r="C3016" t="inlineStr">
        <is>
          <t>Love Cabaret</t>
        </is>
      </c>
      <c r="D3016" t="inlineStr">
        <is>
          <t>ELETROPAULO METROPOLITANA ELETRICIDADE DE SAO PAULO SA</t>
        </is>
      </c>
      <c r="E3016" t="n">
        <v>13361.21</v>
      </c>
      <c r="F3016" s="27" t="n">
        <v>45663</v>
      </c>
      <c r="G3016" s="27" t="n">
        <v>45663</v>
      </c>
      <c r="H3016" s="27" t="n">
        <v>45663</v>
      </c>
      <c r="I3016" s="27" t="n">
        <v>45641</v>
      </c>
      <c r="J3016" s="27" t="n"/>
      <c r="K3016" t="inlineStr">
        <is>
          <t>Boleto Bancário</t>
        </is>
      </c>
      <c r="L3016" t="inlineStr">
        <is>
          <t>Utilidades</t>
        </is>
      </c>
      <c r="M3016" t="inlineStr">
        <is>
          <t>Energia Eletrica</t>
        </is>
      </c>
      <c r="N3016" t="inlineStr">
        <is>
          <t>670117918</t>
        </is>
      </c>
      <c r="O3016" t="inlineStr">
        <is>
          <t>Documentação Aprovada</t>
        </is>
      </c>
      <c r="P3016" t="inlineStr">
        <is>
          <t>Aprovado Diretoria</t>
        </is>
      </c>
      <c r="Q3016" t="inlineStr">
        <is>
          <t>Aprovado Caixa</t>
        </is>
      </c>
      <c r="R3016" t="inlineStr">
        <is>
          <t>Pago</t>
        </is>
      </c>
      <c r="S3016" t="n">
        <v>115</v>
      </c>
      <c r="T3016" t="inlineStr">
        <is>
          <t>Love - Shibari - Bradesco</t>
        </is>
      </c>
    </row>
    <row r="3017">
      <c r="A3017" t="n">
        <v>59174</v>
      </c>
      <c r="B3017" t="n">
        <v>128</v>
      </c>
      <c r="C3017" t="inlineStr">
        <is>
          <t>Love Cabaret</t>
        </is>
      </c>
      <c r="D3017" t="inlineStr">
        <is>
          <t>ESCRITORIO CENTRAL DE ARRECADACAO E DISTRIBUICAO ECAD</t>
        </is>
      </c>
      <c r="E3017" t="n">
        <v>802.5</v>
      </c>
      <c r="F3017" s="27" t="n">
        <v>45662</v>
      </c>
      <c r="G3017" s="27" t="n">
        <v>45659</v>
      </c>
      <c r="H3017" s="27" t="n">
        <v>45659</v>
      </c>
      <c r="I3017" s="27" t="n">
        <v>45645</v>
      </c>
      <c r="J3017" s="27" t="n"/>
      <c r="K3017" t="inlineStr">
        <is>
          <t>Boleto Bancário</t>
        </is>
      </c>
      <c r="L3017" t="inlineStr">
        <is>
          <t>Custos Artístico Geral</t>
        </is>
      </c>
      <c r="M3017" t="inlineStr">
        <is>
          <t>Taxas e Licenças - Artístico</t>
        </is>
      </c>
      <c r="N3017" t="inlineStr">
        <is>
          <t>9021674038</t>
        </is>
      </c>
      <c r="O3017" t="inlineStr">
        <is>
          <t>Documentação Aprovada</t>
        </is>
      </c>
      <c r="P3017" t="inlineStr">
        <is>
          <t>Aprovado Diretoria</t>
        </is>
      </c>
      <c r="Q3017" t="inlineStr">
        <is>
          <t>Aprovado Caixa</t>
        </is>
      </c>
      <c r="R3017" t="inlineStr">
        <is>
          <t>Pago</t>
        </is>
      </c>
      <c r="S3017" t="n">
        <v>115</v>
      </c>
      <c r="T3017" t="inlineStr">
        <is>
          <t>Love - Shibari - Bradesco</t>
        </is>
      </c>
    </row>
    <row r="3018">
      <c r="A3018" t="n">
        <v>58935</v>
      </c>
      <c r="B3018" t="n">
        <v>128</v>
      </c>
      <c r="C3018" t="inlineStr">
        <is>
          <t>Love Cabaret</t>
        </is>
      </c>
      <c r="D3018" t="inlineStr">
        <is>
          <t>AGENCIA BIOMA PUBLICIDADE E EVENTOS LTDA - FACUNDO</t>
        </is>
      </c>
      <c r="E3018" t="n">
        <v>7000</v>
      </c>
      <c r="F3018" s="27" t="n">
        <v>45662</v>
      </c>
      <c r="G3018" s="27" t="n">
        <v>45659</v>
      </c>
      <c r="H3018" s="27" t="n">
        <v>45659</v>
      </c>
      <c r="I3018" s="27" t="n">
        <v>45646</v>
      </c>
      <c r="J3018" s="27" t="n"/>
      <c r="K3018" t="inlineStr">
        <is>
          <t>Transferência Bancária ou Pix</t>
        </is>
      </c>
      <c r="L3018" t="inlineStr">
        <is>
          <t>Marketing</t>
        </is>
      </c>
      <c r="M3018" t="inlineStr">
        <is>
          <t>Agência de Propaganda</t>
        </is>
      </c>
      <c r="N3018" t="inlineStr">
        <is>
          <t>286</t>
        </is>
      </c>
      <c r="O3018" t="inlineStr">
        <is>
          <t>Documentação Aprovada</t>
        </is>
      </c>
      <c r="P3018" t="inlineStr">
        <is>
          <t>Aprovado Diretoria</t>
        </is>
      </c>
      <c r="Q3018" t="inlineStr">
        <is>
          <t>Aprovado Caixa</t>
        </is>
      </c>
      <c r="R3018" t="inlineStr">
        <is>
          <t>Pago</t>
        </is>
      </c>
      <c r="S3018" t="n">
        <v>115</v>
      </c>
      <c r="T3018" t="inlineStr">
        <is>
          <t>Love - Shibari - Bradesco</t>
        </is>
      </c>
    </row>
    <row r="3019">
      <c r="A3019" t="n">
        <v>59152</v>
      </c>
      <c r="B3019" t="n">
        <v>128</v>
      </c>
      <c r="C3019" t="inlineStr">
        <is>
          <t>Love Cabaret</t>
        </is>
      </c>
      <c r="D3019" t="inlineStr">
        <is>
          <t>EDJANE DANTAS DE ALMEIDA SOUSA  - DESENTUPIDORA</t>
        </is>
      </c>
      <c r="E3019" t="n">
        <v>1200</v>
      </c>
      <c r="F3019" s="27" t="n">
        <v>45659</v>
      </c>
      <c r="G3019" s="27" t="n">
        <v>45659</v>
      </c>
      <c r="H3019" s="27" t="n">
        <v>45659</v>
      </c>
      <c r="I3019" s="27" t="n">
        <v>45643</v>
      </c>
      <c r="J3019" s="27" t="n"/>
      <c r="K3019" t="inlineStr">
        <is>
          <t>Transferência Bancária ou Pix</t>
        </is>
      </c>
      <c r="L3019" t="inlineStr">
        <is>
          <t>Utilidades</t>
        </is>
      </c>
      <c r="M3019" t="inlineStr">
        <is>
          <t>Serviços de Limpeza</t>
        </is>
      </c>
      <c r="N3019" t="inlineStr">
        <is>
          <t>73</t>
        </is>
      </c>
      <c r="O3019" t="inlineStr">
        <is>
          <t>Documentação Aprovada</t>
        </is>
      </c>
      <c r="P3019" t="inlineStr">
        <is>
          <t>Aprovado Diretoria</t>
        </is>
      </c>
      <c r="Q3019" t="inlineStr">
        <is>
          <t>Aprovado Caixa</t>
        </is>
      </c>
      <c r="R3019" t="inlineStr">
        <is>
          <t>Pago</t>
        </is>
      </c>
      <c r="S3019" t="n">
        <v>115</v>
      </c>
      <c r="T3019" t="inlineStr">
        <is>
          <t>Love - Shibari - Bradesco</t>
        </is>
      </c>
    </row>
    <row r="3020">
      <c r="A3020" t="n">
        <v>59035</v>
      </c>
      <c r="B3020" t="n">
        <v>128</v>
      </c>
      <c r="C3020" t="inlineStr">
        <is>
          <t>Love Cabaret</t>
        </is>
      </c>
      <c r="D3020" t="inlineStr">
        <is>
          <t>EASY ICE SOLUTION LTDA-ME LOCAÇÃO</t>
        </is>
      </c>
      <c r="E3020" t="n">
        <v>1600</v>
      </c>
      <c r="F3020" s="27" t="n">
        <v>45662</v>
      </c>
      <c r="G3020" s="27" t="n">
        <v>45659</v>
      </c>
      <c r="H3020" s="27" t="n">
        <v>45659</v>
      </c>
      <c r="I3020" s="27" t="n">
        <v>45651</v>
      </c>
      <c r="J3020" s="27" t="n"/>
      <c r="K3020" t="inlineStr">
        <is>
          <t>Boleto Bancário</t>
        </is>
      </c>
      <c r="L3020" t="inlineStr">
        <is>
          <t>Locação de Equipamentos</t>
        </is>
      </c>
      <c r="M3020" t="inlineStr">
        <is>
          <t>Locações de Equipamentos - Operacionais</t>
        </is>
      </c>
      <c r="N3020" t="inlineStr">
        <is>
          <t>7478</t>
        </is>
      </c>
      <c r="O3020" t="inlineStr">
        <is>
          <t>Documentação Aprovada</t>
        </is>
      </c>
      <c r="P3020" t="inlineStr">
        <is>
          <t>Aprovado Diretoria</t>
        </is>
      </c>
      <c r="Q3020" t="inlineStr">
        <is>
          <t>Aprovado Caixa</t>
        </is>
      </c>
      <c r="R3020" t="inlineStr">
        <is>
          <t>Pago</t>
        </is>
      </c>
      <c r="S3020" t="n">
        <v>115</v>
      </c>
      <c r="T3020" t="inlineStr">
        <is>
          <t>Love - Shibari - Bradesco</t>
        </is>
      </c>
    </row>
    <row r="3021">
      <c r="A3021" t="n">
        <v>59942</v>
      </c>
      <c r="B3021" t="n">
        <v>128</v>
      </c>
      <c r="C3021" t="inlineStr">
        <is>
          <t>Love Cabaret</t>
        </is>
      </c>
      <c r="D3021" t="inlineStr">
        <is>
          <t>MACHINE SEGURANCA PATRIMONIAL LTDA</t>
        </is>
      </c>
      <c r="E3021" t="n">
        <v>4940</v>
      </c>
      <c r="F3021" s="27" t="n">
        <v>45662</v>
      </c>
      <c r="G3021" s="27" t="n">
        <v>45659</v>
      </c>
      <c r="H3021" s="27" t="n">
        <v>45659</v>
      </c>
      <c r="I3021" s="27" t="n">
        <v>45656</v>
      </c>
      <c r="J3021" s="27" t="n"/>
      <c r="K3021" t="inlineStr">
        <is>
          <t>Transferência Bancária ou Pix</t>
        </is>
      </c>
      <c r="L3021" t="inlineStr">
        <is>
          <t>Serviços de Terceiros</t>
        </is>
      </c>
      <c r="M3021" t="inlineStr">
        <is>
          <t>Serviços de Segurança</t>
        </is>
      </c>
      <c r="N3021" t="inlineStr">
        <is>
          <t>1722024</t>
        </is>
      </c>
      <c r="O3021" t="inlineStr">
        <is>
          <t>Documentação Aprovada</t>
        </is>
      </c>
      <c r="P3021" t="inlineStr">
        <is>
          <t>Aprovado Diretoria</t>
        </is>
      </c>
      <c r="Q3021" t="inlineStr">
        <is>
          <t>Aprovado Caixa</t>
        </is>
      </c>
      <c r="R3021" t="inlineStr">
        <is>
          <t>Pago</t>
        </is>
      </c>
      <c r="S3021" t="n">
        <v>115</v>
      </c>
      <c r="T3021" t="inlineStr">
        <is>
          <t>Love - Shibari - Bradesco</t>
        </is>
      </c>
    </row>
    <row r="3022">
      <c r="A3022" t="n">
        <v>96318</v>
      </c>
      <c r="B3022" t="n">
        <v>128</v>
      </c>
      <c r="C3022" t="inlineStr">
        <is>
          <t>Love Cabaret</t>
        </is>
      </c>
      <c r="D3022" t="inlineStr">
        <is>
          <t>FG7 COMERCIO E DISTRIBUICAO DE BEBIDAS LTDA</t>
        </is>
      </c>
      <c r="E3022" t="n">
        <v>231.8</v>
      </c>
      <c r="F3022" s="27" t="n">
        <v>45659</v>
      </c>
      <c r="G3022" s="27" t="n">
        <v>45659</v>
      </c>
      <c r="H3022" s="27" t="n">
        <v>45659</v>
      </c>
      <c r="I3022" s="27" t="n">
        <v>45637</v>
      </c>
      <c r="J3022" s="27" t="n">
        <v>45644</v>
      </c>
      <c r="K3022" t="inlineStr">
        <is>
          <t>Boleto Bancário</t>
        </is>
      </c>
      <c r="L3022" t="inlineStr">
        <is>
          <t>Custo Mercadoria Vendida</t>
        </is>
      </c>
      <c r="M3022" t="inlineStr">
        <is>
          <t>Insumos - Bebidas</t>
        </is>
      </c>
      <c r="N3022" t="inlineStr">
        <is>
          <t>546224</t>
        </is>
      </c>
      <c r="O3022" t="inlineStr">
        <is>
          <t>Documentação Aprovada</t>
        </is>
      </c>
      <c r="P3022" t="inlineStr">
        <is>
          <t>Aprovado Diretoria</t>
        </is>
      </c>
      <c r="Q3022" t="inlineStr">
        <is>
          <t>Aprovado Caixa</t>
        </is>
      </c>
      <c r="R3022" t="inlineStr">
        <is>
          <t>Pago</t>
        </is>
      </c>
      <c r="S3022" t="n">
        <v>115</v>
      </c>
      <c r="T3022" t="inlineStr">
        <is>
          <t>Love - Shibari - Bradesco</t>
        </is>
      </c>
    </row>
    <row r="3023">
      <c r="A3023" t="n">
        <v>97196</v>
      </c>
      <c r="B3023" t="n">
        <v>128</v>
      </c>
      <c r="C3023" t="inlineStr">
        <is>
          <t>Love Cabaret</t>
        </is>
      </c>
      <c r="D3023" t="inlineStr">
        <is>
          <t>LUIZ ROBERTO DA SILVA JUNIOR</t>
        </is>
      </c>
      <c r="E3023" t="n">
        <v>2900</v>
      </c>
      <c r="F3023" s="27" t="n">
        <v>45659</v>
      </c>
      <c r="G3023" s="27" t="n">
        <v>45659</v>
      </c>
      <c r="H3023" s="27" t="n">
        <v>45659</v>
      </c>
      <c r="I3023" s="27" t="n">
        <v>45644</v>
      </c>
      <c r="J3023" s="27" t="n">
        <v>45646</v>
      </c>
      <c r="K3023" t="inlineStr">
        <is>
          <t>Transferência Bancária ou Pix</t>
        </is>
      </c>
      <c r="L3023" t="inlineStr">
        <is>
          <t>Custos de Eventos</t>
        </is>
      </c>
      <c r="M3023" t="inlineStr">
        <is>
          <t>Locação de Equipamentos - Eventos</t>
        </is>
      </c>
      <c r="N3023" t="inlineStr">
        <is>
          <t>1702024</t>
        </is>
      </c>
      <c r="O3023" t="inlineStr">
        <is>
          <t>Documentação Aprovada</t>
        </is>
      </c>
      <c r="P3023" t="inlineStr">
        <is>
          <t>Aprovado Diretoria</t>
        </is>
      </c>
      <c r="Q3023" t="inlineStr">
        <is>
          <t>Aprovado Caixa</t>
        </is>
      </c>
      <c r="R3023" t="inlineStr">
        <is>
          <t>Pago</t>
        </is>
      </c>
      <c r="S3023" t="n">
        <v>115</v>
      </c>
      <c r="T3023" t="inlineStr">
        <is>
          <t>Love - Shibari - Bradesco</t>
        </is>
      </c>
    </row>
    <row r="3024">
      <c r="A3024" t="n">
        <v>96273</v>
      </c>
      <c r="B3024" t="n">
        <v>128</v>
      </c>
      <c r="C3024" t="inlineStr">
        <is>
          <t>Love Cabaret</t>
        </is>
      </c>
      <c r="D3024" t="inlineStr">
        <is>
          <t>FG7 COMERCIO E DISTRIBUICAO DE BEBIDAS LTDA</t>
        </is>
      </c>
      <c r="E3024" t="n">
        <v>211.06</v>
      </c>
      <c r="F3024" s="27" t="n">
        <v>45659</v>
      </c>
      <c r="G3024" s="27" t="n">
        <v>45659</v>
      </c>
      <c r="H3024" s="27" t="n">
        <v>45659</v>
      </c>
      <c r="I3024" s="27" t="n">
        <v>45637</v>
      </c>
      <c r="J3024" s="27" t="n">
        <v>45644</v>
      </c>
      <c r="K3024" t="inlineStr">
        <is>
          <t>Boleto Bancário</t>
        </is>
      </c>
      <c r="L3024" t="inlineStr">
        <is>
          <t>Custo Mercadoria Vendida</t>
        </is>
      </c>
      <c r="M3024" t="inlineStr">
        <is>
          <t>Insumos - Bebidas</t>
        </is>
      </c>
      <c r="N3024" t="inlineStr">
        <is>
          <t>546232</t>
        </is>
      </c>
      <c r="O3024" t="inlineStr">
        <is>
          <t>Documentação Aprovada</t>
        </is>
      </c>
      <c r="P3024" t="inlineStr">
        <is>
          <t>Aprovado Diretoria</t>
        </is>
      </c>
      <c r="Q3024" t="inlineStr">
        <is>
          <t>Aprovado Caixa</t>
        </is>
      </c>
      <c r="R3024" t="inlineStr">
        <is>
          <t>Pago</t>
        </is>
      </c>
      <c r="S3024" t="n">
        <v>115</v>
      </c>
      <c r="T3024" t="inlineStr">
        <is>
          <t>Love - Shibari - Bradesco</t>
        </is>
      </c>
    </row>
    <row r="3025">
      <c r="A3025" t="n">
        <v>96261</v>
      </c>
      <c r="B3025" t="n">
        <v>128</v>
      </c>
      <c r="C3025" t="inlineStr">
        <is>
          <t>Love Cabaret</t>
        </is>
      </c>
      <c r="D3025" t="inlineStr">
        <is>
          <t>Officina Do Vidro Arte E Artesanato Ltda</t>
        </is>
      </c>
      <c r="E3025" t="n">
        <v>780</v>
      </c>
      <c r="F3025" s="27" t="n">
        <v>45660</v>
      </c>
      <c r="G3025" s="27" t="n">
        <v>45663</v>
      </c>
      <c r="H3025" s="27" t="n">
        <v>45659</v>
      </c>
      <c r="I3025" s="27" t="n">
        <v>45639</v>
      </c>
      <c r="J3025" s="27" t="n">
        <v>45644</v>
      </c>
      <c r="K3025" t="inlineStr">
        <is>
          <t>Transferência Bancária ou Pix</t>
        </is>
      </c>
      <c r="L3025" t="inlineStr">
        <is>
          <t>Utilidades</t>
        </is>
      </c>
      <c r="M3025" t="inlineStr">
        <is>
          <t>Utensilios</t>
        </is>
      </c>
      <c r="N3025" t="inlineStr">
        <is>
          <t>5833</t>
        </is>
      </c>
      <c r="O3025" t="inlineStr">
        <is>
          <t>Documentação Aprovada</t>
        </is>
      </c>
      <c r="P3025" t="inlineStr">
        <is>
          <t>Aprovado Diretoria</t>
        </is>
      </c>
      <c r="Q3025" t="inlineStr">
        <is>
          <t>Aprovado Caixa</t>
        </is>
      </c>
      <c r="R3025" t="inlineStr">
        <is>
          <t>Pago</t>
        </is>
      </c>
      <c r="S3025" t="n">
        <v>115</v>
      </c>
      <c r="T3025" t="inlineStr">
        <is>
          <t>Love - Shibari - Bradesco</t>
        </is>
      </c>
    </row>
    <row r="3026">
      <c r="A3026" t="n">
        <v>94323</v>
      </c>
      <c r="B3026" t="n">
        <v>128</v>
      </c>
      <c r="C3026" t="inlineStr">
        <is>
          <t>Love Cabaret</t>
        </is>
      </c>
      <c r="D3026" t="inlineStr">
        <is>
          <t>PROAUTO INDUSTRIA QUIMICA EIRELI</t>
        </is>
      </c>
      <c r="E3026" t="n">
        <v>1147.57</v>
      </c>
      <c r="F3026" s="27" t="n">
        <v>45660</v>
      </c>
      <c r="G3026" s="27" t="n">
        <v>45659</v>
      </c>
      <c r="H3026" s="27" t="n">
        <v>45659</v>
      </c>
      <c r="I3026" s="27" t="n">
        <v>45632</v>
      </c>
      <c r="J3026" s="27" t="n">
        <v>45637</v>
      </c>
      <c r="K3026" t="inlineStr">
        <is>
          <t>Boleto Bancário</t>
        </is>
      </c>
      <c r="L3026" t="inlineStr">
        <is>
          <t>Utilidades</t>
        </is>
      </c>
      <c r="M3026" t="inlineStr">
        <is>
          <t>Higiene e Limpeza</t>
        </is>
      </c>
      <c r="N3026" t="inlineStr">
        <is>
          <t>130986</t>
        </is>
      </c>
      <c r="O3026" t="inlineStr">
        <is>
          <t>Documentação Aprovada</t>
        </is>
      </c>
      <c r="P3026" t="inlineStr">
        <is>
          <t>Aprovado Diretoria</t>
        </is>
      </c>
      <c r="Q3026" t="inlineStr">
        <is>
          <t>Aprovado Caixa</t>
        </is>
      </c>
      <c r="R3026" t="inlineStr">
        <is>
          <t>Pago</t>
        </is>
      </c>
      <c r="S3026" t="n">
        <v>115</v>
      </c>
      <c r="T3026" t="inlineStr">
        <is>
          <t>Love - Shibari - Bradesco</t>
        </is>
      </c>
    </row>
    <row r="3027">
      <c r="A3027" t="n">
        <v>93765</v>
      </c>
      <c r="B3027" t="n">
        <v>128</v>
      </c>
      <c r="C3027" t="inlineStr">
        <is>
          <t>Love Cabaret</t>
        </is>
      </c>
      <c r="D3027" t="inlineStr">
        <is>
          <t>HORTICLEAN DISTRIBUIDORA DE HORTIFRUTI LTDA</t>
        </is>
      </c>
      <c r="E3027" t="n">
        <v>384.46</v>
      </c>
      <c r="F3027" s="27" t="n">
        <v>45660</v>
      </c>
      <c r="G3027" s="27" t="n">
        <v>45659</v>
      </c>
      <c r="H3027" s="27" t="n">
        <v>45659</v>
      </c>
      <c r="I3027" s="27" t="n">
        <v>45631</v>
      </c>
      <c r="J3027" s="27" t="n">
        <v>45635</v>
      </c>
      <c r="K3027" t="inlineStr">
        <is>
          <t>Boleto Bancário</t>
        </is>
      </c>
      <c r="L3027" t="inlineStr">
        <is>
          <t>Custo Mercadoria Vendida</t>
        </is>
      </c>
      <c r="M3027" t="inlineStr">
        <is>
          <t>Insumos - Alimentos</t>
        </is>
      </c>
      <c r="N3027" t="inlineStr">
        <is>
          <t>25408</t>
        </is>
      </c>
      <c r="O3027" t="inlineStr">
        <is>
          <t>Documentação Aprovada</t>
        </is>
      </c>
      <c r="P3027" t="inlineStr">
        <is>
          <t>Aprovado Diretoria</t>
        </is>
      </c>
      <c r="Q3027" t="inlineStr">
        <is>
          <t>Aprovado Caixa</t>
        </is>
      </c>
      <c r="R3027" t="inlineStr">
        <is>
          <t>Pago</t>
        </is>
      </c>
      <c r="S3027" t="n">
        <v>115</v>
      </c>
      <c r="T3027" t="inlineStr">
        <is>
          <t>Love - Shibari - Bradesco</t>
        </is>
      </c>
    </row>
    <row r="3028">
      <c r="A3028" t="n">
        <v>97682</v>
      </c>
      <c r="B3028" t="n">
        <v>128</v>
      </c>
      <c r="C3028" t="inlineStr">
        <is>
          <t>Love Cabaret</t>
        </is>
      </c>
      <c r="D3028" t="inlineStr">
        <is>
          <t>PETTY CASH</t>
        </is>
      </c>
      <c r="E3028" t="n">
        <v>0</v>
      </c>
      <c r="F3028" s="27" t="n">
        <v>45657</v>
      </c>
      <c r="G3028" s="27" t="n">
        <v>45656</v>
      </c>
      <c r="H3028" s="27" t="n">
        <v>45659</v>
      </c>
      <c r="I3028" s="27" t="n">
        <v>45627</v>
      </c>
      <c r="J3028" s="27" t="n">
        <v>45648</v>
      </c>
      <c r="K3028" t="inlineStr">
        <is>
          <t>Dinheiro em Espécie</t>
        </is>
      </c>
      <c r="L3028" t="inlineStr">
        <is>
          <t>INSUMOS</t>
        </is>
      </c>
      <c r="M3028" t="inlineStr">
        <is>
          <t>BEBIDAS</t>
        </is>
      </c>
      <c r="N3028" t="inlineStr">
        <is>
          <t>2PETTY122024</t>
        </is>
      </c>
      <c r="O3028" t="inlineStr">
        <is>
          <t>Documentação Aprovada</t>
        </is>
      </c>
      <c r="P3028" t="inlineStr">
        <is>
          <t>Aprovado Diretoria</t>
        </is>
      </c>
      <c r="Q3028" t="inlineStr">
        <is>
          <t>Aprovado Caixa</t>
        </is>
      </c>
      <c r="R3028" t="inlineStr">
        <is>
          <t>Pago</t>
        </is>
      </c>
      <c r="S3028" t="n">
        <v>120</v>
      </c>
      <c r="T3028" t="inlineStr">
        <is>
          <t>Love - Petty Cash</t>
        </is>
      </c>
    </row>
    <row r="3029">
      <c r="A3029" t="n">
        <v>97683</v>
      </c>
      <c r="B3029" t="n">
        <v>128</v>
      </c>
      <c r="C3029" t="inlineStr">
        <is>
          <t>Love Cabaret</t>
        </is>
      </c>
      <c r="D3029" t="inlineStr">
        <is>
          <t>PETTY CASH</t>
        </is>
      </c>
      <c r="E3029" t="n">
        <v>0</v>
      </c>
      <c r="F3029" s="27" t="n">
        <v>45657</v>
      </c>
      <c r="G3029" s="27" t="n">
        <v>45656</v>
      </c>
      <c r="H3029" s="27" t="n">
        <v>45659</v>
      </c>
      <c r="I3029" s="27" t="n">
        <v>45627</v>
      </c>
      <c r="J3029" s="27" t="n">
        <v>45648</v>
      </c>
      <c r="K3029" t="inlineStr">
        <is>
          <t>Dinheiro em Espécie</t>
        </is>
      </c>
      <c r="L3029" t="inlineStr">
        <is>
          <t>UTILIDADES</t>
        </is>
      </c>
      <c r="M3029" t="inlineStr">
        <is>
          <t xml:space="preserve"> CONDUÇÕES/TAXI/UBER</t>
        </is>
      </c>
      <c r="N3029" t="inlineStr">
        <is>
          <t>3PETTY122024</t>
        </is>
      </c>
      <c r="O3029" t="inlineStr">
        <is>
          <t>Documentação Aprovada</t>
        </is>
      </c>
      <c r="P3029" t="inlineStr">
        <is>
          <t>Aprovado Diretoria</t>
        </is>
      </c>
      <c r="Q3029" t="inlineStr">
        <is>
          <t>Aprovado Caixa</t>
        </is>
      </c>
      <c r="R3029" t="inlineStr">
        <is>
          <t>Pago</t>
        </is>
      </c>
      <c r="S3029" t="n">
        <v>120</v>
      </c>
      <c r="T3029" t="inlineStr">
        <is>
          <t>Love - Petty Cash</t>
        </is>
      </c>
    </row>
    <row r="3030">
      <c r="A3030" t="n">
        <v>97684</v>
      </c>
      <c r="B3030" t="n">
        <v>128</v>
      </c>
      <c r="C3030" t="inlineStr">
        <is>
          <t>Love Cabaret</t>
        </is>
      </c>
      <c r="D3030" t="inlineStr">
        <is>
          <t>PETTY CASH</t>
        </is>
      </c>
      <c r="E3030" t="n">
        <v>0</v>
      </c>
      <c r="F3030" s="27" t="n">
        <v>45657</v>
      </c>
      <c r="G3030" s="27" t="n">
        <v>45656</v>
      </c>
      <c r="H3030" s="27" t="n">
        <v>45659</v>
      </c>
      <c r="I3030" s="27" t="n">
        <v>45627</v>
      </c>
      <c r="J3030" s="27" t="n">
        <v>45648</v>
      </c>
      <c r="K3030" t="inlineStr">
        <is>
          <t>Dinheiro em Espécie</t>
        </is>
      </c>
      <c r="L3030" t="inlineStr">
        <is>
          <t>DESPESAS GERAIS</t>
        </is>
      </c>
      <c r="M3030" t="inlineStr">
        <is>
          <t>MANUTENCAO EM GERAL</t>
        </is>
      </c>
      <c r="N3030" t="inlineStr">
        <is>
          <t>4PETTY122024</t>
        </is>
      </c>
      <c r="O3030" t="inlineStr">
        <is>
          <t>Documentação Aprovada</t>
        </is>
      </c>
      <c r="P3030" t="inlineStr">
        <is>
          <t>Aprovado Diretoria</t>
        </is>
      </c>
      <c r="Q3030" t="inlineStr">
        <is>
          <t>Aprovado Caixa</t>
        </is>
      </c>
      <c r="R3030" t="inlineStr">
        <is>
          <t>Pago</t>
        </is>
      </c>
      <c r="S3030" t="n">
        <v>120</v>
      </c>
      <c r="T3030" t="inlineStr">
        <is>
          <t>Love - Petty Cash</t>
        </is>
      </c>
    </row>
    <row r="3031">
      <c r="A3031" t="n">
        <v>97681</v>
      </c>
      <c r="B3031" t="n">
        <v>128</v>
      </c>
      <c r="C3031" t="inlineStr">
        <is>
          <t>Love Cabaret</t>
        </is>
      </c>
      <c r="D3031" t="inlineStr">
        <is>
          <t>PETTY CASH</t>
        </is>
      </c>
      <c r="E3031" t="n">
        <v>0</v>
      </c>
      <c r="F3031" s="27" t="n">
        <v>45657</v>
      </c>
      <c r="G3031" s="27" t="n">
        <v>45656</v>
      </c>
      <c r="H3031" s="27" t="n">
        <v>45659</v>
      </c>
      <c r="I3031" s="27" t="n">
        <v>45627</v>
      </c>
      <c r="J3031" s="27" t="n">
        <v>45648</v>
      </c>
      <c r="K3031" t="inlineStr">
        <is>
          <t>Dinheiro em Espécie</t>
        </is>
      </c>
      <c r="L3031" t="inlineStr">
        <is>
          <t>INSUMOS</t>
        </is>
      </c>
      <c r="M3031" t="inlineStr">
        <is>
          <t>ALIMENTOS</t>
        </is>
      </c>
      <c r="N3031" t="inlineStr">
        <is>
          <t>1PETTY122024</t>
        </is>
      </c>
      <c r="O3031" t="inlineStr">
        <is>
          <t>Documentação Aprovada</t>
        </is>
      </c>
      <c r="P3031" t="inlineStr">
        <is>
          <t>Aprovado Diretoria</t>
        </is>
      </c>
      <c r="Q3031" t="inlineStr">
        <is>
          <t>Aprovado Caixa</t>
        </is>
      </c>
      <c r="R3031" t="inlineStr">
        <is>
          <t>Pago</t>
        </is>
      </c>
      <c r="S3031" t="n">
        <v>120</v>
      </c>
      <c r="T3031" t="inlineStr">
        <is>
          <t>Love - Petty Cash</t>
        </is>
      </c>
    </row>
    <row r="3032">
      <c r="A3032" t="n">
        <v>97688</v>
      </c>
      <c r="B3032" t="n">
        <v>128</v>
      </c>
      <c r="C3032" t="inlineStr">
        <is>
          <t>Love Cabaret</t>
        </is>
      </c>
      <c r="D3032" t="inlineStr">
        <is>
          <t>PETTY CASH</t>
        </is>
      </c>
      <c r="E3032" t="n">
        <v>0</v>
      </c>
      <c r="F3032" s="27" t="n">
        <v>45657</v>
      </c>
      <c r="G3032" s="27" t="n">
        <v>45656</v>
      </c>
      <c r="H3032" s="27" t="n">
        <v>45659</v>
      </c>
      <c r="I3032" s="27" t="n">
        <v>45627</v>
      </c>
      <c r="J3032" s="27" t="n">
        <v>45648</v>
      </c>
      <c r="K3032" t="inlineStr">
        <is>
          <t>Dinheiro em Espécie</t>
        </is>
      </c>
      <c r="L3032" t="inlineStr">
        <is>
          <t>UTILIDADES</t>
        </is>
      </c>
      <c r="M3032" t="inlineStr">
        <is>
          <t>MATERIAL DE ESCRITORIO</t>
        </is>
      </c>
      <c r="N3032" t="inlineStr">
        <is>
          <t>5PETTY122024</t>
        </is>
      </c>
      <c r="O3032" t="inlineStr">
        <is>
          <t>Documentação Aprovada</t>
        </is>
      </c>
      <c r="P3032" t="inlineStr">
        <is>
          <t>Aprovado Diretoria</t>
        </is>
      </c>
      <c r="Q3032" t="inlineStr">
        <is>
          <t>Aprovado Caixa</t>
        </is>
      </c>
      <c r="R3032" t="inlineStr">
        <is>
          <t>Pago</t>
        </is>
      </c>
      <c r="S3032" t="n">
        <v>120</v>
      </c>
      <c r="T3032" t="inlineStr">
        <is>
          <t>Love - Petty Cash</t>
        </is>
      </c>
    </row>
    <row r="3033">
      <c r="A3033" t="n">
        <v>97689</v>
      </c>
      <c r="B3033" t="n">
        <v>128</v>
      </c>
      <c r="C3033" t="inlineStr">
        <is>
          <t>Love Cabaret</t>
        </is>
      </c>
      <c r="D3033" t="inlineStr">
        <is>
          <t>PETTY CASH</t>
        </is>
      </c>
      <c r="E3033" t="n">
        <v>0</v>
      </c>
      <c r="F3033" s="27" t="n">
        <v>45657</v>
      </c>
      <c r="G3033" s="27" t="n">
        <v>45656</v>
      </c>
      <c r="H3033" s="27" t="n">
        <v>45659</v>
      </c>
      <c r="I3033" s="27" t="n">
        <v>45627</v>
      </c>
      <c r="J3033" s="27" t="n">
        <v>45648</v>
      </c>
      <c r="K3033" t="inlineStr">
        <is>
          <t>Dinheiro em Espécie</t>
        </is>
      </c>
      <c r="L3033" t="inlineStr">
        <is>
          <t>UTILIDADES</t>
        </is>
      </c>
      <c r="M3033" t="inlineStr">
        <is>
          <t>HIGIENE E LIMPEZA</t>
        </is>
      </c>
      <c r="N3033" t="inlineStr">
        <is>
          <t>6PETTY122024</t>
        </is>
      </c>
      <c r="O3033" t="inlineStr">
        <is>
          <t>Documentação Aprovada</t>
        </is>
      </c>
      <c r="P3033" t="inlineStr">
        <is>
          <t>Aprovado Diretoria</t>
        </is>
      </c>
      <c r="Q3033" t="inlineStr">
        <is>
          <t>Aprovado Caixa</t>
        </is>
      </c>
      <c r="R3033" t="inlineStr">
        <is>
          <t>Pago</t>
        </is>
      </c>
      <c r="S3033" t="n">
        <v>120</v>
      </c>
      <c r="T3033" t="inlineStr">
        <is>
          <t>Love - Petty Cash</t>
        </is>
      </c>
    </row>
    <row r="3034">
      <c r="A3034" t="n">
        <v>97693</v>
      </c>
      <c r="B3034" t="n">
        <v>128</v>
      </c>
      <c r="C3034" t="inlineStr">
        <is>
          <t>Love Cabaret</t>
        </is>
      </c>
      <c r="D3034" t="inlineStr">
        <is>
          <t>PETTY CASH</t>
        </is>
      </c>
      <c r="E3034" t="n">
        <v>0</v>
      </c>
      <c r="F3034" s="27" t="n">
        <v>45657</v>
      </c>
      <c r="G3034" s="27" t="n">
        <v>45656</v>
      </c>
      <c r="H3034" s="27" t="n">
        <v>45659</v>
      </c>
      <c r="I3034" s="27" t="n">
        <v>45627</v>
      </c>
      <c r="J3034" s="27" t="n">
        <v>45648</v>
      </c>
      <c r="K3034" t="inlineStr">
        <is>
          <t>Dinheiro em Espécie</t>
        </is>
      </c>
      <c r="L3034" t="inlineStr">
        <is>
          <t>UTILIDADES</t>
        </is>
      </c>
      <c r="M3034" t="inlineStr">
        <is>
          <t>UTENSILIOS</t>
        </is>
      </c>
      <c r="N3034" t="inlineStr">
        <is>
          <t>7PETTY122024</t>
        </is>
      </c>
      <c r="O3034" t="inlineStr">
        <is>
          <t>Documentação Aprovada</t>
        </is>
      </c>
      <c r="P3034" t="inlineStr">
        <is>
          <t>Aprovado Diretoria</t>
        </is>
      </c>
      <c r="Q3034" t="inlineStr">
        <is>
          <t>Aprovado Caixa</t>
        </is>
      </c>
      <c r="R3034" t="inlineStr">
        <is>
          <t>Pago</t>
        </is>
      </c>
      <c r="S3034" t="n">
        <v>120</v>
      </c>
      <c r="T3034" t="inlineStr">
        <is>
          <t>Love - Petty Cash</t>
        </is>
      </c>
    </row>
    <row r="3035">
      <c r="A3035" t="n">
        <v>97602</v>
      </c>
      <c r="B3035" t="n">
        <v>128</v>
      </c>
      <c r="C3035" t="inlineStr">
        <is>
          <t>Love Cabaret</t>
        </is>
      </c>
      <c r="D3035" t="inlineStr">
        <is>
          <t>PSSS LTDA</t>
        </is>
      </c>
      <c r="E3035" t="n">
        <v>540</v>
      </c>
      <c r="F3035" s="27" t="n">
        <v>45659</v>
      </c>
      <c r="G3035" s="27" t="n">
        <v>45659</v>
      </c>
      <c r="H3035" s="27" t="n">
        <v>45659</v>
      </c>
      <c r="I3035" s="27" t="n">
        <v>45644</v>
      </c>
      <c r="J3035" s="27" t="n">
        <v>45646</v>
      </c>
      <c r="K3035" t="inlineStr">
        <is>
          <t>Boleto Bancário</t>
        </is>
      </c>
      <c r="L3035" t="inlineStr">
        <is>
          <t>Utilidades</t>
        </is>
      </c>
      <c r="M3035" t="inlineStr">
        <is>
          <t>Higiene e Limpeza</t>
        </is>
      </c>
      <c r="N3035" t="inlineStr">
        <is>
          <t>873</t>
        </is>
      </c>
      <c r="O3035" t="inlineStr">
        <is>
          <t>Documentação Aprovada</t>
        </is>
      </c>
      <c r="P3035" t="inlineStr">
        <is>
          <t>Aprovado Diretoria</t>
        </is>
      </c>
      <c r="Q3035" t="inlineStr">
        <is>
          <t>Aprovado Caixa</t>
        </is>
      </c>
      <c r="R3035" t="inlineStr">
        <is>
          <t>Pago</t>
        </is>
      </c>
      <c r="S3035" t="n">
        <v>115</v>
      </c>
      <c r="T3035" t="inlineStr">
        <is>
          <t>Love - Shibari - Bradesco</t>
        </is>
      </c>
    </row>
    <row r="3036">
      <c r="A3036" t="n">
        <v>97708</v>
      </c>
      <c r="B3036" t="n">
        <v>128</v>
      </c>
      <c r="C3036" t="inlineStr">
        <is>
          <t>Love Cabaret</t>
        </is>
      </c>
      <c r="D3036" t="inlineStr">
        <is>
          <t>HNK BR IND DE BEBIDAS</t>
        </is>
      </c>
      <c r="E3036" t="n">
        <v>213.82</v>
      </c>
      <c r="F3036" s="27" t="n">
        <v>45659</v>
      </c>
      <c r="G3036" s="27" t="n">
        <v>45659</v>
      </c>
      <c r="H3036" s="27" t="n">
        <v>45659</v>
      </c>
      <c r="I3036" s="27" t="n">
        <v>45645</v>
      </c>
      <c r="J3036" s="27" t="n">
        <v>45648</v>
      </c>
      <c r="K3036" t="inlineStr">
        <is>
          <t>Boleto Bancário</t>
        </is>
      </c>
      <c r="L3036" t="inlineStr">
        <is>
          <t>Custo Mercadoria Vendida</t>
        </is>
      </c>
      <c r="M3036" t="inlineStr">
        <is>
          <t>Insumos - Bebidas</t>
        </is>
      </c>
      <c r="N3036" t="inlineStr">
        <is>
          <t>161126</t>
        </is>
      </c>
      <c r="O3036" t="inlineStr">
        <is>
          <t>Documentação Aprovada</t>
        </is>
      </c>
      <c r="P3036" t="inlineStr">
        <is>
          <t>Aprovado Diretoria</t>
        </is>
      </c>
      <c r="Q3036" t="inlineStr">
        <is>
          <t>Aprovado Caixa</t>
        </is>
      </c>
      <c r="R3036" t="inlineStr">
        <is>
          <t>Pago</t>
        </is>
      </c>
      <c r="S3036" t="n">
        <v>115</v>
      </c>
      <c r="T3036" t="inlineStr">
        <is>
          <t>Love - Shibari - Bradesco</t>
        </is>
      </c>
    </row>
    <row r="3037">
      <c r="A3037" t="n">
        <v>99708</v>
      </c>
      <c r="B3037" t="n">
        <v>128</v>
      </c>
      <c r="C3037" t="inlineStr">
        <is>
          <t>Love Cabaret</t>
        </is>
      </c>
      <c r="D3037" t="inlineStr">
        <is>
          <t>BRADESCO SA</t>
        </is>
      </c>
      <c r="E3037" t="n">
        <v>58.5</v>
      </c>
      <c r="F3037" s="27" t="n">
        <v>45659</v>
      </c>
      <c r="G3037" s="27" t="n"/>
      <c r="H3037" s="27" t="n">
        <v>45659</v>
      </c>
      <c r="I3037" s="27" t="n">
        <v>45659</v>
      </c>
      <c r="J3037" s="27" t="n">
        <v>45660</v>
      </c>
      <c r="K3037" t="inlineStr">
        <is>
          <t>Encontro de Contas</t>
        </is>
      </c>
      <c r="L3037" t="inlineStr">
        <is>
          <t>Despesas Financeiras</t>
        </is>
      </c>
      <c r="M3037" t="inlineStr">
        <is>
          <t>Tarifas Bancárias</t>
        </is>
      </c>
      <c r="N3037" t="inlineStr">
        <is>
          <t>012025</t>
        </is>
      </c>
      <c r="P3037" t="inlineStr">
        <is>
          <t>Aprovado Diretoria</t>
        </is>
      </c>
      <c r="R3037" t="inlineStr">
        <is>
          <t>Pago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ID_Parcela</t>
        </is>
      </c>
      <c r="B1" t="inlineStr">
        <is>
          <t>ID_Despesa</t>
        </is>
      </c>
      <c r="C1" t="inlineStr">
        <is>
          <t>Casa</t>
        </is>
      </c>
      <c r="D1" t="inlineStr">
        <is>
          <t>ID_Casa</t>
        </is>
      </c>
      <c r="E1" t="inlineStr">
        <is>
          <t>CNPJ_Loja</t>
        </is>
      </c>
      <c r="F1" t="inlineStr">
        <is>
          <t>Fornecedor</t>
        </is>
      </c>
      <c r="G1" t="inlineStr">
        <is>
          <t>Parcelamento</t>
        </is>
      </c>
      <c r="H1" t="inlineStr">
        <is>
          <t>Qtd_Parcelas</t>
        </is>
      </c>
      <c r="I1" t="inlineStr">
        <is>
          <t>Num_Parcela</t>
        </is>
      </c>
      <c r="J1" t="inlineStr">
        <is>
          <t>Valor_Parcela</t>
        </is>
      </c>
      <c r="K1" t="inlineStr">
        <is>
          <t>Vencimento_Parcela</t>
        </is>
      </c>
      <c r="L1" t="inlineStr">
        <is>
          <t>Previsao_Parcela</t>
        </is>
      </c>
      <c r="M1" t="inlineStr">
        <is>
          <t>Realiz_Parcela</t>
        </is>
      </c>
      <c r="N1" t="inlineStr">
        <is>
          <t>Valor_Original</t>
        </is>
      </c>
      <c r="O1" t="inlineStr">
        <is>
          <t>Valor_Liquido</t>
        </is>
      </c>
      <c r="P1" t="inlineStr">
        <is>
          <t>Data_Lancamento</t>
        </is>
      </c>
      <c r="Q1" t="inlineStr">
        <is>
          <t>Forma_Pagamento</t>
        </is>
      </c>
      <c r="R1" t="inlineStr">
        <is>
          <t>Doc_NF</t>
        </is>
      </c>
      <c r="S1" t="inlineStr">
        <is>
          <t>Class_Cont_1</t>
        </is>
      </c>
      <c r="T1" t="inlineStr">
        <is>
          <t>Class_Cont_2</t>
        </is>
      </c>
      <c r="U1" t="inlineStr">
        <is>
          <t>Status_Conf_Document</t>
        </is>
      </c>
      <c r="V1" t="inlineStr">
        <is>
          <t>Status_Aprov_Diret</t>
        </is>
      </c>
      <c r="W1" t="inlineStr">
        <is>
          <t>Status_Aprov_Caixa</t>
        </is>
      </c>
      <c r="X1" t="inlineStr">
        <is>
          <t>Status_Pgto</t>
        </is>
      </c>
      <c r="Y1" t="inlineStr">
        <is>
          <t>ID_Conta_Bancaria</t>
        </is>
      </c>
      <c r="Z1" t="inlineStr">
        <is>
          <t>Conta_Bancaria</t>
        </is>
      </c>
    </row>
    <row r="2">
      <c r="A2" t="n">
        <v>12271</v>
      </c>
      <c r="B2" t="n">
        <v>180070</v>
      </c>
      <c r="C2" t="inlineStr">
        <is>
          <t>Love Cabaret</t>
        </is>
      </c>
      <c r="D2" t="n">
        <v>128</v>
      </c>
      <c r="F2" t="inlineStr">
        <is>
          <t>ZAHIL IMPORTADORA LTDA</t>
        </is>
      </c>
      <c r="G2" t="inlineStr">
        <is>
          <t>True</t>
        </is>
      </c>
      <c r="H2" t="n">
        <v>2</v>
      </c>
      <c r="I2" t="n">
        <v>2</v>
      </c>
      <c r="J2" t="n">
        <v>1137.02</v>
      </c>
      <c r="K2" s="27" t="n">
        <v>46024</v>
      </c>
      <c r="L2" s="27" t="n">
        <v>46021</v>
      </c>
      <c r="M2" s="27" t="n">
        <v>46021</v>
      </c>
      <c r="N2" t="n">
        <v>2135.25</v>
      </c>
      <c r="O2" t="n">
        <v>2135.25</v>
      </c>
      <c r="P2" s="27" t="n">
        <v>45994</v>
      </c>
      <c r="Q2" t="inlineStr">
        <is>
          <t>Boleto Bancário</t>
        </is>
      </c>
      <c r="R2" t="inlineStr">
        <is>
          <t>260299</t>
        </is>
      </c>
      <c r="S2" t="inlineStr">
        <is>
          <t>Custo Mercadoria Vendida</t>
        </is>
      </c>
      <c r="T2" t="inlineStr">
        <is>
          <t>Insumos - Bebidas</t>
        </is>
      </c>
      <c r="U2" t="inlineStr">
        <is>
          <t>Documentação Aprovada</t>
        </is>
      </c>
      <c r="V2" t="inlineStr">
        <is>
          <t>Aprovado Diretoria</t>
        </is>
      </c>
      <c r="W2" t="inlineStr">
        <is>
          <t>Aprovado Caixa</t>
        </is>
      </c>
      <c r="X2" t="inlineStr">
        <is>
          <t>Parcela_Paga</t>
        </is>
      </c>
      <c r="Y2" t="n">
        <v>182</v>
      </c>
      <c r="Z2" t="inlineStr">
        <is>
          <t>Love - Shibari - Kamino</t>
        </is>
      </c>
    </row>
    <row r="3">
      <c r="A3" t="n">
        <v>12269</v>
      </c>
      <c r="B3" t="n">
        <v>180068</v>
      </c>
      <c r="C3" t="inlineStr">
        <is>
          <t>Love Cabaret</t>
        </is>
      </c>
      <c r="D3" t="n">
        <v>128</v>
      </c>
      <c r="F3" t="inlineStr">
        <is>
          <t>ZAHIL IMPORTADORA LTDA</t>
        </is>
      </c>
      <c r="G3" t="inlineStr">
        <is>
          <t>True</t>
        </is>
      </c>
      <c r="H3" t="n">
        <v>2</v>
      </c>
      <c r="I3" t="n">
        <v>2</v>
      </c>
      <c r="J3" t="n">
        <v>1149.28</v>
      </c>
      <c r="K3" s="27" t="n">
        <v>46020</v>
      </c>
      <c r="L3" s="27" t="n">
        <v>46020</v>
      </c>
      <c r="M3" s="27" t="n">
        <v>46020</v>
      </c>
      <c r="N3" t="n">
        <v>2158.26</v>
      </c>
      <c r="O3" t="n">
        <v>2298.55</v>
      </c>
      <c r="P3" s="27" t="n">
        <v>45994</v>
      </c>
      <c r="Q3" t="inlineStr">
        <is>
          <t>Boleto Bancário</t>
        </is>
      </c>
      <c r="R3" t="inlineStr">
        <is>
          <t>259503</t>
        </is>
      </c>
      <c r="S3" t="inlineStr">
        <is>
          <t>Custo Mercadoria Vendida</t>
        </is>
      </c>
      <c r="T3" t="inlineStr">
        <is>
          <t>Insumos - Bebidas</t>
        </is>
      </c>
      <c r="U3" t="inlineStr">
        <is>
          <t>Documentação Aprovada</t>
        </is>
      </c>
      <c r="V3" t="inlineStr">
        <is>
          <t>Aprovado Diretoria</t>
        </is>
      </c>
      <c r="W3" t="inlineStr">
        <is>
          <t>Aprovado Caixa</t>
        </is>
      </c>
      <c r="X3" t="inlineStr">
        <is>
          <t>Parcela_Paga</t>
        </is>
      </c>
      <c r="Y3" t="n">
        <v>182</v>
      </c>
      <c r="Z3" t="inlineStr">
        <is>
          <t>Love - Shibari - Kamino</t>
        </is>
      </c>
    </row>
    <row r="4">
      <c r="A4" t="n">
        <v>12204</v>
      </c>
      <c r="B4" t="n">
        <v>179138</v>
      </c>
      <c r="C4" t="inlineStr">
        <is>
          <t>Love Cabaret</t>
        </is>
      </c>
      <c r="D4" t="n">
        <v>128</v>
      </c>
      <c r="F4" t="inlineStr">
        <is>
          <t>KING COMERCIO E IMPORTACAO DE BEBIDAS LTDA</t>
        </is>
      </c>
      <c r="G4" t="inlineStr">
        <is>
          <t>True</t>
        </is>
      </c>
      <c r="H4" t="n">
        <v>2</v>
      </c>
      <c r="I4" t="n">
        <v>2</v>
      </c>
      <c r="J4" t="n">
        <v>2895.06</v>
      </c>
      <c r="K4" s="27" t="n">
        <v>46021</v>
      </c>
      <c r="L4" s="27" t="n">
        <v>46020</v>
      </c>
      <c r="M4" s="27" t="n">
        <v>46020</v>
      </c>
      <c r="N4" t="n">
        <v>5790.12</v>
      </c>
      <c r="O4" t="n">
        <v>5790.12</v>
      </c>
      <c r="P4" s="27" t="n">
        <v>45991</v>
      </c>
      <c r="Q4" t="inlineStr">
        <is>
          <t>Boleto Bancário</t>
        </is>
      </c>
      <c r="R4" t="inlineStr">
        <is>
          <t>123371</t>
        </is>
      </c>
      <c r="S4" t="inlineStr">
        <is>
          <t>Custo Mercadoria Vendida</t>
        </is>
      </c>
      <c r="T4" t="inlineStr">
        <is>
          <t>Insumos - Bebidas</t>
        </is>
      </c>
      <c r="U4" t="inlineStr">
        <is>
          <t>Documentação Aprovada</t>
        </is>
      </c>
      <c r="V4" t="inlineStr">
        <is>
          <t>Aprovado Diretoria</t>
        </is>
      </c>
      <c r="W4" t="inlineStr">
        <is>
          <t>Aprovado Caixa</t>
        </is>
      </c>
      <c r="X4" t="inlineStr">
        <is>
          <t>Parcela_Paga</t>
        </is>
      </c>
      <c r="Y4" t="n">
        <v>182</v>
      </c>
      <c r="Z4" t="inlineStr">
        <is>
          <t>Love - Shibari - Kamino</t>
        </is>
      </c>
    </row>
    <row r="5">
      <c r="A5" t="n">
        <v>12201</v>
      </c>
      <c r="B5" t="n">
        <v>179132</v>
      </c>
      <c r="C5" t="inlineStr">
        <is>
          <t>Love Cabaret</t>
        </is>
      </c>
      <c r="D5" t="n">
        <v>128</v>
      </c>
      <c r="F5" t="inlineStr">
        <is>
          <t>ZAHIL IMPORTADORA LTDA</t>
        </is>
      </c>
      <c r="G5" t="inlineStr">
        <is>
          <t>True</t>
        </is>
      </c>
      <c r="H5" t="n">
        <v>2</v>
      </c>
      <c r="I5" t="n">
        <v>1</v>
      </c>
      <c r="J5" t="n">
        <v>1264.33</v>
      </c>
      <c r="K5" s="27" t="n">
        <v>46016</v>
      </c>
      <c r="L5" s="27" t="n">
        <v>46014</v>
      </c>
      <c r="M5" s="27" t="n">
        <v>46014</v>
      </c>
      <c r="N5" t="n">
        <v>2374.32</v>
      </c>
      <c r="O5" t="n">
        <v>2528.65</v>
      </c>
      <c r="P5" s="27" t="n">
        <v>45991</v>
      </c>
      <c r="Q5" t="inlineStr">
        <is>
          <t>Boleto Bancário</t>
        </is>
      </c>
      <c r="R5" t="inlineStr">
        <is>
          <t>260757</t>
        </is>
      </c>
      <c r="S5" t="inlineStr">
        <is>
          <t>Custo Mercadoria Vendida</t>
        </is>
      </c>
      <c r="T5" t="inlineStr">
        <is>
          <t>Insumos - Bebidas</t>
        </is>
      </c>
      <c r="U5" t="inlineStr">
        <is>
          <t>Documentação Aprovada</t>
        </is>
      </c>
      <c r="V5" t="inlineStr">
        <is>
          <t>Aprovado Diretoria</t>
        </is>
      </c>
      <c r="W5" t="inlineStr">
        <is>
          <t>Aprovado Caixa</t>
        </is>
      </c>
      <c r="X5" t="inlineStr">
        <is>
          <t>Parcela_Paga</t>
        </is>
      </c>
      <c r="Y5" t="n">
        <v>182</v>
      </c>
      <c r="Z5" t="inlineStr">
        <is>
          <t>Love - Shibari - Kamino</t>
        </is>
      </c>
    </row>
    <row r="6">
      <c r="A6" t="n">
        <v>12203</v>
      </c>
      <c r="B6" t="n">
        <v>179138</v>
      </c>
      <c r="C6" t="inlineStr">
        <is>
          <t>Love Cabaret</t>
        </is>
      </c>
      <c r="D6" t="n">
        <v>128</v>
      </c>
      <c r="F6" t="inlineStr">
        <is>
          <t>KING COMERCIO E IMPORTACAO DE BEBIDAS LTDA</t>
        </is>
      </c>
      <c r="G6" t="inlineStr">
        <is>
          <t>True</t>
        </is>
      </c>
      <c r="H6" t="n">
        <v>2</v>
      </c>
      <c r="I6" t="n">
        <v>1</v>
      </c>
      <c r="J6" t="n">
        <v>2895.06</v>
      </c>
      <c r="K6" s="27" t="n">
        <v>46014</v>
      </c>
      <c r="L6" s="27" t="n">
        <v>46013</v>
      </c>
      <c r="M6" s="27" t="n">
        <v>46013</v>
      </c>
      <c r="N6" t="n">
        <v>5790.12</v>
      </c>
      <c r="O6" t="n">
        <v>5790.12</v>
      </c>
      <c r="P6" s="27" t="n">
        <v>45991</v>
      </c>
      <c r="Q6" t="inlineStr">
        <is>
          <t>Boleto Bancário</t>
        </is>
      </c>
      <c r="R6" t="inlineStr">
        <is>
          <t>123371</t>
        </is>
      </c>
      <c r="S6" t="inlineStr">
        <is>
          <t>Custo Mercadoria Vendida</t>
        </is>
      </c>
      <c r="T6" t="inlineStr">
        <is>
          <t>Insumos - Bebidas</t>
        </is>
      </c>
      <c r="U6" t="inlineStr">
        <is>
          <t>Documentação Aprovada</t>
        </is>
      </c>
      <c r="V6" t="inlineStr">
        <is>
          <t>Aprovado Diretoria</t>
        </is>
      </c>
      <c r="W6" t="inlineStr">
        <is>
          <t>Aprovado Caixa</t>
        </is>
      </c>
      <c r="X6" t="inlineStr">
        <is>
          <t>Parcela_Paga</t>
        </is>
      </c>
      <c r="Y6" t="n">
        <v>182</v>
      </c>
      <c r="Z6" t="inlineStr">
        <is>
          <t>Love - Shibari - Kamino</t>
        </is>
      </c>
    </row>
    <row r="7">
      <c r="A7" t="n">
        <v>12268</v>
      </c>
      <c r="B7" t="n">
        <v>180068</v>
      </c>
      <c r="C7" t="inlineStr">
        <is>
          <t>Love Cabaret</t>
        </is>
      </c>
      <c r="D7" t="n">
        <v>128</v>
      </c>
      <c r="F7" t="inlineStr">
        <is>
          <t>ZAHIL IMPORTADORA LTDA</t>
        </is>
      </c>
      <c r="G7" t="inlineStr">
        <is>
          <t>True</t>
        </is>
      </c>
      <c r="H7" t="n">
        <v>2</v>
      </c>
      <c r="I7" t="n">
        <v>1</v>
      </c>
      <c r="J7" t="n">
        <v>1149.27</v>
      </c>
      <c r="K7" s="27" t="n">
        <v>46013</v>
      </c>
      <c r="L7" s="27" t="n">
        <v>46013</v>
      </c>
      <c r="M7" s="27" t="n">
        <v>46013</v>
      </c>
      <c r="N7" t="n">
        <v>2158.26</v>
      </c>
      <c r="O7" t="n">
        <v>2298.55</v>
      </c>
      <c r="P7" s="27" t="n">
        <v>45994</v>
      </c>
      <c r="Q7" t="inlineStr">
        <is>
          <t>Boleto Bancário</t>
        </is>
      </c>
      <c r="R7" t="inlineStr">
        <is>
          <t>259503</t>
        </is>
      </c>
      <c r="S7" t="inlineStr">
        <is>
          <t>Custo Mercadoria Vendida</t>
        </is>
      </c>
      <c r="T7" t="inlineStr">
        <is>
          <t>Insumos - Bebidas</t>
        </is>
      </c>
      <c r="U7" t="inlineStr">
        <is>
          <t>Documentação Aprovada</t>
        </is>
      </c>
      <c r="V7" t="inlineStr">
        <is>
          <t>Aprovado Diretoria</t>
        </is>
      </c>
      <c r="W7" t="inlineStr">
        <is>
          <t>Aprovado Caixa</t>
        </is>
      </c>
      <c r="X7" t="inlineStr">
        <is>
          <t>Parcela_Paga</t>
        </is>
      </c>
      <c r="Y7" t="n">
        <v>182</v>
      </c>
      <c r="Z7" t="inlineStr">
        <is>
          <t>Love - Shibari - Kamino</t>
        </is>
      </c>
    </row>
    <row r="8">
      <c r="A8" t="n">
        <v>12270</v>
      </c>
      <c r="B8" t="n">
        <v>180070</v>
      </c>
      <c r="C8" t="inlineStr">
        <is>
          <t>Love Cabaret</t>
        </is>
      </c>
      <c r="D8" t="n">
        <v>128</v>
      </c>
      <c r="F8" t="inlineStr">
        <is>
          <t>ZAHIL IMPORTADORA LTDA</t>
        </is>
      </c>
      <c r="G8" t="inlineStr">
        <is>
          <t>True</t>
        </is>
      </c>
      <c r="H8" t="n">
        <v>2</v>
      </c>
      <c r="I8" t="n">
        <v>1</v>
      </c>
      <c r="J8" t="n">
        <v>1137.02</v>
      </c>
      <c r="K8" s="27" t="n">
        <v>46009</v>
      </c>
      <c r="L8" s="27" t="n">
        <v>46008</v>
      </c>
      <c r="M8" s="27" t="n">
        <v>46008</v>
      </c>
      <c r="N8" t="n">
        <v>2135.25</v>
      </c>
      <c r="O8" t="n">
        <v>2135.25</v>
      </c>
      <c r="P8" s="27" t="n">
        <v>45994</v>
      </c>
      <c r="Q8" t="inlineStr">
        <is>
          <t>Boleto Bancário</t>
        </is>
      </c>
      <c r="R8" t="inlineStr">
        <is>
          <t>260299</t>
        </is>
      </c>
      <c r="S8" t="inlineStr">
        <is>
          <t>Custo Mercadoria Vendida</t>
        </is>
      </c>
      <c r="T8" t="inlineStr">
        <is>
          <t>Insumos - Bebidas</t>
        </is>
      </c>
      <c r="U8" t="inlineStr">
        <is>
          <t>Documentação Aprovada</t>
        </is>
      </c>
      <c r="V8" t="inlineStr">
        <is>
          <t>Aprovado Diretoria</t>
        </is>
      </c>
      <c r="W8" t="inlineStr">
        <is>
          <t>Aprovado Caixa</t>
        </is>
      </c>
      <c r="X8" t="inlineStr">
        <is>
          <t>Parcela_Paga</t>
        </is>
      </c>
      <c r="Y8" t="n">
        <v>182</v>
      </c>
      <c r="Z8" t="inlineStr">
        <is>
          <t>Love - Shibari - Kamino</t>
        </is>
      </c>
    </row>
    <row r="9">
      <c r="A9" t="n">
        <v>11767</v>
      </c>
      <c r="B9" t="n">
        <v>171650</v>
      </c>
      <c r="C9" t="inlineStr">
        <is>
          <t>Love Cabaret</t>
        </is>
      </c>
      <c r="D9" t="n">
        <v>128</v>
      </c>
      <c r="F9" t="inlineStr">
        <is>
          <t>ZAHIL IMPORTADORA LTDA</t>
        </is>
      </c>
      <c r="G9" t="inlineStr">
        <is>
          <t>True</t>
        </is>
      </c>
      <c r="H9" t="n">
        <v>3</v>
      </c>
      <c r="I9" t="n">
        <v>3</v>
      </c>
      <c r="J9" t="n">
        <v>1638.7</v>
      </c>
      <c r="K9" s="27" t="n">
        <v>46010</v>
      </c>
      <c r="L9" s="27" t="n">
        <v>46008</v>
      </c>
      <c r="M9" s="27" t="n">
        <v>46008</v>
      </c>
      <c r="N9" t="n">
        <v>4616.1</v>
      </c>
      <c r="O9" t="n">
        <v>4616.1</v>
      </c>
      <c r="P9" s="27" t="n">
        <v>45961</v>
      </c>
      <c r="Q9" t="inlineStr">
        <is>
          <t>Boleto Bancário</t>
        </is>
      </c>
      <c r="R9" t="inlineStr">
        <is>
          <t>258287</t>
        </is>
      </c>
      <c r="S9" t="inlineStr">
        <is>
          <t>Custo Mercadoria Vendida</t>
        </is>
      </c>
      <c r="T9" t="inlineStr">
        <is>
          <t>Insumos - Bebidas</t>
        </is>
      </c>
      <c r="U9" t="inlineStr">
        <is>
          <t>Documentação Aprovada</t>
        </is>
      </c>
      <c r="V9" t="inlineStr">
        <is>
          <t>Aprovado Diretoria</t>
        </is>
      </c>
      <c r="W9" t="inlineStr">
        <is>
          <t>Aprovado Caixa</t>
        </is>
      </c>
      <c r="X9" t="inlineStr">
        <is>
          <t>Parcela_Paga</t>
        </is>
      </c>
      <c r="Y9" t="n">
        <v>182</v>
      </c>
      <c r="Z9" t="inlineStr">
        <is>
          <t>Love - Shibari - Kamino</t>
        </is>
      </c>
    </row>
    <row r="10">
      <c r="A10" t="n">
        <v>10382</v>
      </c>
      <c r="B10" t="n">
        <v>149665</v>
      </c>
      <c r="C10" t="inlineStr">
        <is>
          <t>Love Cabaret</t>
        </is>
      </c>
      <c r="D10" t="n">
        <v>128</v>
      </c>
      <c r="F10" t="inlineStr">
        <is>
          <t>PEDRO THOMAZ RODRIGUES</t>
        </is>
      </c>
      <c r="G10" t="inlineStr">
        <is>
          <t>True</t>
        </is>
      </c>
      <c r="H10" t="n">
        <v>5</v>
      </c>
      <c r="I10" t="n">
        <v>5</v>
      </c>
      <c r="J10" t="n">
        <v>3000</v>
      </c>
      <c r="K10" s="27" t="n">
        <v>46009</v>
      </c>
      <c r="L10" s="27" t="n">
        <v>46008</v>
      </c>
      <c r="M10" s="27" t="n">
        <v>46008</v>
      </c>
      <c r="N10" t="n">
        <v>15000</v>
      </c>
      <c r="O10" t="n">
        <v>15000</v>
      </c>
      <c r="P10" s="27" t="n">
        <v>45868</v>
      </c>
      <c r="Q10" t="inlineStr">
        <is>
          <t>Transferência Bancária ou Pix</t>
        </is>
      </c>
      <c r="R10" t="inlineStr">
        <is>
          <t>5 PARC-FIM 18/12/2025</t>
        </is>
      </c>
      <c r="S10" t="inlineStr">
        <is>
          <t>Endividamento</t>
        </is>
      </c>
      <c r="T10" t="inlineStr">
        <is>
          <t>Processo Judicial</t>
        </is>
      </c>
      <c r="U10" t="inlineStr">
        <is>
          <t>Documentação Aprovada</t>
        </is>
      </c>
      <c r="V10" t="inlineStr">
        <is>
          <t>Aprovado Diretoria</t>
        </is>
      </c>
      <c r="W10" t="inlineStr">
        <is>
          <t>Aprovado Caixa</t>
        </is>
      </c>
      <c r="X10" t="inlineStr">
        <is>
          <t>Parcela_Paga</t>
        </is>
      </c>
      <c r="Y10" t="n">
        <v>182</v>
      </c>
      <c r="Z10" t="inlineStr">
        <is>
          <t>Love - Shibari - Kamino</t>
        </is>
      </c>
    </row>
    <row r="11">
      <c r="A11" t="n">
        <v>11652</v>
      </c>
      <c r="B11" t="n">
        <v>168590</v>
      </c>
      <c r="C11" t="inlineStr">
        <is>
          <t>Love Cabaret</t>
        </is>
      </c>
      <c r="D11" t="n">
        <v>128</v>
      </c>
      <c r="F11" t="inlineStr">
        <is>
          <t>ZAHIL IMPORTADORA LTDA</t>
        </is>
      </c>
      <c r="G11" t="inlineStr">
        <is>
          <t>True</t>
        </is>
      </c>
      <c r="H11" t="n">
        <v>3</v>
      </c>
      <c r="I11" t="n">
        <v>3</v>
      </c>
      <c r="J11" t="n">
        <v>1638.69</v>
      </c>
      <c r="K11" s="27" t="n">
        <v>46006</v>
      </c>
      <c r="L11" s="27" t="n">
        <v>46006</v>
      </c>
      <c r="M11" s="27" t="n">
        <v>46006</v>
      </c>
      <c r="N11" t="n">
        <v>4616.09</v>
      </c>
      <c r="O11" t="n">
        <v>4616.09</v>
      </c>
      <c r="P11" s="27" t="n">
        <v>45947</v>
      </c>
      <c r="Q11" t="inlineStr">
        <is>
          <t>Boleto Bancário</t>
        </is>
      </c>
      <c r="R11" t="inlineStr">
        <is>
          <t>257928</t>
        </is>
      </c>
      <c r="S11" t="inlineStr">
        <is>
          <t>Custo Mercadoria Vendida</t>
        </is>
      </c>
      <c r="T11" t="inlineStr">
        <is>
          <t>Insumos - Bebidas</t>
        </is>
      </c>
      <c r="U11" t="inlineStr">
        <is>
          <t>Documentação Aprovada</t>
        </is>
      </c>
      <c r="V11" t="inlineStr">
        <is>
          <t>Aprovado Diretoria</t>
        </is>
      </c>
      <c r="W11" t="inlineStr">
        <is>
          <t>Aprovado Caixa</t>
        </is>
      </c>
      <c r="X11" t="inlineStr">
        <is>
          <t>Parcela_Paga</t>
        </is>
      </c>
      <c r="Y11" t="n">
        <v>182</v>
      </c>
      <c r="Z11" t="inlineStr">
        <is>
          <t>Love - Shibari - Kamino</t>
        </is>
      </c>
    </row>
    <row r="12">
      <c r="A12" t="n">
        <v>12030</v>
      </c>
      <c r="B12" t="n">
        <v>174830</v>
      </c>
      <c r="C12" t="inlineStr">
        <is>
          <t>Love Cabaret</t>
        </is>
      </c>
      <c r="D12" t="n">
        <v>128</v>
      </c>
      <c r="F12" t="inlineStr">
        <is>
          <t>KING COMERCIO E IMPORTACAO DE BEBIDAS LTDA</t>
        </is>
      </c>
      <c r="G12" t="inlineStr">
        <is>
          <t>True</t>
        </is>
      </c>
      <c r="H12" t="n">
        <v>5</v>
      </c>
      <c r="I12" t="n">
        <v>4</v>
      </c>
      <c r="J12" t="n">
        <v>4557.22</v>
      </c>
      <c r="K12" s="27" t="n">
        <v>46002</v>
      </c>
      <c r="L12" s="27" t="n">
        <v>46001</v>
      </c>
      <c r="M12" s="27" t="n">
        <v>46001</v>
      </c>
      <c r="N12" t="n">
        <v>22786.08</v>
      </c>
      <c r="O12" t="n">
        <v>22786.08</v>
      </c>
      <c r="P12" s="27" t="n">
        <v>45972</v>
      </c>
      <c r="Q12" t="inlineStr">
        <is>
          <t>Boleto Bancário</t>
        </is>
      </c>
      <c r="R12" t="inlineStr">
        <is>
          <t>122515</t>
        </is>
      </c>
      <c r="S12" t="inlineStr">
        <is>
          <t>Custo Mercadoria Vendida</t>
        </is>
      </c>
      <c r="T12" t="inlineStr">
        <is>
          <t>Insumos - Bebidas</t>
        </is>
      </c>
      <c r="U12" t="inlineStr">
        <is>
          <t>Documentação Aprovada</t>
        </is>
      </c>
      <c r="V12" t="inlineStr">
        <is>
          <t>Aprovado Diretoria</t>
        </is>
      </c>
      <c r="W12" t="inlineStr">
        <is>
          <t>Aprovado Caixa</t>
        </is>
      </c>
      <c r="X12" t="inlineStr">
        <is>
          <t>Parcela_Paga</t>
        </is>
      </c>
      <c r="Y12" t="n">
        <v>182</v>
      </c>
      <c r="Z12" t="inlineStr">
        <is>
          <t>Love - Shibari - Kamino</t>
        </is>
      </c>
    </row>
    <row r="13">
      <c r="A13" t="n">
        <v>12029</v>
      </c>
      <c r="B13" t="n">
        <v>174830</v>
      </c>
      <c r="C13" t="inlineStr">
        <is>
          <t>Love Cabaret</t>
        </is>
      </c>
      <c r="D13" t="n">
        <v>128</v>
      </c>
      <c r="F13" t="inlineStr">
        <is>
          <t>KING COMERCIO E IMPORTACAO DE BEBIDAS LTDA</t>
        </is>
      </c>
      <c r="G13" t="inlineStr">
        <is>
          <t>True</t>
        </is>
      </c>
      <c r="H13" t="n">
        <v>5</v>
      </c>
      <c r="I13" t="n">
        <v>3</v>
      </c>
      <c r="J13" t="n">
        <v>4557.22</v>
      </c>
      <c r="K13" s="27" t="n">
        <v>45995</v>
      </c>
      <c r="L13" s="27" t="n">
        <v>45994</v>
      </c>
      <c r="M13" s="27" t="n">
        <v>45994</v>
      </c>
      <c r="N13" t="n">
        <v>22786.08</v>
      </c>
      <c r="O13" t="n">
        <v>22786.08</v>
      </c>
      <c r="P13" s="27" t="n">
        <v>45972</v>
      </c>
      <c r="Q13" t="inlineStr">
        <is>
          <t>Boleto Bancário</t>
        </is>
      </c>
      <c r="R13" t="inlineStr">
        <is>
          <t>122515</t>
        </is>
      </c>
      <c r="S13" t="inlineStr">
        <is>
          <t>Custo Mercadoria Vendida</t>
        </is>
      </c>
      <c r="T13" t="inlineStr">
        <is>
          <t>Insumos - Bebidas</t>
        </is>
      </c>
      <c r="U13" t="inlineStr">
        <is>
          <t>Documentação Aprovada</t>
        </is>
      </c>
      <c r="V13" t="inlineStr">
        <is>
          <t>Aprovado Diretoria</t>
        </is>
      </c>
      <c r="W13" t="inlineStr">
        <is>
          <t>Aprovado Caixa</t>
        </is>
      </c>
      <c r="X13" t="inlineStr">
        <is>
          <t>Parcela_Paga</t>
        </is>
      </c>
      <c r="Y13" t="n">
        <v>182</v>
      </c>
      <c r="Z13" t="inlineStr">
        <is>
          <t>Love - Shibari - Kamino</t>
        </is>
      </c>
    </row>
    <row r="14">
      <c r="A14" t="n">
        <v>11766</v>
      </c>
      <c r="B14" t="n">
        <v>171650</v>
      </c>
      <c r="C14" t="inlineStr">
        <is>
          <t>Love Cabaret</t>
        </is>
      </c>
      <c r="D14" t="n">
        <v>128</v>
      </c>
      <c r="F14" t="inlineStr">
        <is>
          <t>ZAHIL IMPORTADORA LTDA</t>
        </is>
      </c>
      <c r="G14" t="inlineStr">
        <is>
          <t>True</t>
        </is>
      </c>
      <c r="H14" t="n">
        <v>3</v>
      </c>
      <c r="I14" t="n">
        <v>2</v>
      </c>
      <c r="J14" t="n">
        <v>1638.7</v>
      </c>
      <c r="K14" s="27" t="n">
        <v>45995</v>
      </c>
      <c r="L14" s="27" t="n">
        <v>45994</v>
      </c>
      <c r="M14" s="27" t="n">
        <v>45994</v>
      </c>
      <c r="N14" t="n">
        <v>4616.1</v>
      </c>
      <c r="O14" t="n">
        <v>4616.1</v>
      </c>
      <c r="P14" s="27" t="n">
        <v>45961</v>
      </c>
      <c r="Q14" t="inlineStr">
        <is>
          <t>Boleto Bancário</t>
        </is>
      </c>
      <c r="R14" t="inlineStr">
        <is>
          <t>258287</t>
        </is>
      </c>
      <c r="S14" t="inlineStr">
        <is>
          <t>Custo Mercadoria Vendida</t>
        </is>
      </c>
      <c r="T14" t="inlineStr">
        <is>
          <t>Insumos - Bebidas</t>
        </is>
      </c>
      <c r="U14" t="inlineStr">
        <is>
          <t>Documentação Aprovada</t>
        </is>
      </c>
      <c r="V14" t="inlineStr">
        <is>
          <t>Aprovado Diretoria</t>
        </is>
      </c>
      <c r="W14" t="inlineStr">
        <is>
          <t>Aprovado Caixa</t>
        </is>
      </c>
      <c r="X14" t="inlineStr">
        <is>
          <t>Parcela_Paga</t>
        </is>
      </c>
      <c r="Y14" t="n">
        <v>182</v>
      </c>
      <c r="Z14" t="inlineStr">
        <is>
          <t>Love - Shibari - Kamino</t>
        </is>
      </c>
    </row>
    <row r="15">
      <c r="A15" t="n">
        <v>11653</v>
      </c>
      <c r="B15" t="n">
        <v>168590</v>
      </c>
      <c r="C15" t="inlineStr">
        <is>
          <t>Love Cabaret</t>
        </is>
      </c>
      <c r="D15" t="n">
        <v>128</v>
      </c>
      <c r="F15" t="inlineStr">
        <is>
          <t>ZAHIL IMPORTADORA LTDA</t>
        </is>
      </c>
      <c r="G15" t="inlineStr">
        <is>
          <t>True</t>
        </is>
      </c>
      <c r="H15" t="n">
        <v>3</v>
      </c>
      <c r="I15" t="n">
        <v>2</v>
      </c>
      <c r="J15" t="n">
        <v>1638.7</v>
      </c>
      <c r="K15" s="27" t="n">
        <v>45989</v>
      </c>
      <c r="L15" s="27" t="n">
        <v>45987</v>
      </c>
      <c r="M15" s="27" t="n">
        <v>45987</v>
      </c>
      <c r="N15" t="n">
        <v>4616.09</v>
      </c>
      <c r="O15" t="n">
        <v>4616.09</v>
      </c>
      <c r="P15" s="27" t="n">
        <v>45947</v>
      </c>
      <c r="Q15" t="inlineStr">
        <is>
          <t>Boleto Bancário</t>
        </is>
      </c>
      <c r="R15" t="inlineStr">
        <is>
          <t>257928</t>
        </is>
      </c>
      <c r="S15" t="inlineStr">
        <is>
          <t>Custo Mercadoria Vendida</t>
        </is>
      </c>
      <c r="T15" t="inlineStr">
        <is>
          <t>Insumos - Bebidas</t>
        </is>
      </c>
      <c r="U15" t="inlineStr">
        <is>
          <t>Documentação Aprovada</t>
        </is>
      </c>
      <c r="V15" t="inlineStr">
        <is>
          <t>Aprovado Diretoria</t>
        </is>
      </c>
      <c r="W15" t="inlineStr">
        <is>
          <t>Aprovado Caixa</t>
        </is>
      </c>
      <c r="X15" t="inlineStr">
        <is>
          <t>Parcela_Paga</t>
        </is>
      </c>
      <c r="Y15" t="n">
        <v>182</v>
      </c>
      <c r="Z15" t="inlineStr">
        <is>
          <t>Love - Shibari - Kamino</t>
        </is>
      </c>
    </row>
    <row r="16">
      <c r="A16" t="n">
        <v>12027</v>
      </c>
      <c r="B16" t="n">
        <v>174830</v>
      </c>
      <c r="C16" t="inlineStr">
        <is>
          <t>Love Cabaret</t>
        </is>
      </c>
      <c r="D16" t="n">
        <v>128</v>
      </c>
      <c r="F16" t="inlineStr">
        <is>
          <t>KING COMERCIO E IMPORTACAO DE BEBIDAS LTDA</t>
        </is>
      </c>
      <c r="G16" t="inlineStr">
        <is>
          <t>True</t>
        </is>
      </c>
      <c r="H16" t="n">
        <v>5</v>
      </c>
      <c r="I16" t="n">
        <v>2</v>
      </c>
      <c r="J16" t="n">
        <v>4557.22</v>
      </c>
      <c r="K16" s="27" t="n">
        <v>45988</v>
      </c>
      <c r="L16" s="27" t="n">
        <v>45987</v>
      </c>
      <c r="M16" s="27" t="n">
        <v>45987</v>
      </c>
      <c r="N16" t="n">
        <v>22786.08</v>
      </c>
      <c r="O16" t="n">
        <v>22786.08</v>
      </c>
      <c r="P16" s="27" t="n">
        <v>45972</v>
      </c>
      <c r="Q16" t="inlineStr">
        <is>
          <t>Boleto Bancário</t>
        </is>
      </c>
      <c r="R16" t="inlineStr">
        <is>
          <t>122515</t>
        </is>
      </c>
      <c r="S16" t="inlineStr">
        <is>
          <t>Custo Mercadoria Vendida</t>
        </is>
      </c>
      <c r="T16" t="inlineStr">
        <is>
          <t>Insumos - Bebidas</t>
        </is>
      </c>
      <c r="U16" t="inlineStr">
        <is>
          <t>Documentação Aprovada</t>
        </is>
      </c>
      <c r="V16" t="inlineStr">
        <is>
          <t>Aprovado Diretoria</t>
        </is>
      </c>
      <c r="W16" t="inlineStr">
        <is>
          <t>Aprovado Caixa</t>
        </is>
      </c>
      <c r="X16" t="inlineStr">
        <is>
          <t>Parcela_Paga</t>
        </is>
      </c>
      <c r="Y16" t="n">
        <v>182</v>
      </c>
      <c r="Z16" t="inlineStr">
        <is>
          <t>Love - Shibari - Kamino</t>
        </is>
      </c>
    </row>
    <row r="17">
      <c r="A17" t="n">
        <v>12028</v>
      </c>
      <c r="B17" t="n">
        <v>174830</v>
      </c>
      <c r="C17" t="inlineStr">
        <is>
          <t>Love Cabaret</t>
        </is>
      </c>
      <c r="D17" t="n">
        <v>128</v>
      </c>
      <c r="F17" t="inlineStr">
        <is>
          <t>KING COMERCIO E IMPORTACAO DE BEBIDAS LTDA</t>
        </is>
      </c>
      <c r="G17" t="inlineStr">
        <is>
          <t>True</t>
        </is>
      </c>
      <c r="H17" t="n">
        <v>5</v>
      </c>
      <c r="I17" t="n">
        <v>1</v>
      </c>
      <c r="J17" t="n">
        <v>4557.22</v>
      </c>
      <c r="K17" s="27" t="n">
        <v>45981</v>
      </c>
      <c r="L17" s="27" t="n">
        <v>45980</v>
      </c>
      <c r="M17" s="27" t="n">
        <v>45980</v>
      </c>
      <c r="N17" t="n">
        <v>22786.08</v>
      </c>
      <c r="O17" t="n">
        <v>22786.08</v>
      </c>
      <c r="P17" s="27" t="n">
        <v>45972</v>
      </c>
      <c r="Q17" t="inlineStr">
        <is>
          <t>Boleto Bancário</t>
        </is>
      </c>
      <c r="R17" t="inlineStr">
        <is>
          <t>122515</t>
        </is>
      </c>
      <c r="S17" t="inlineStr">
        <is>
          <t>Custo Mercadoria Vendida</t>
        </is>
      </c>
      <c r="T17" t="inlineStr">
        <is>
          <t>Insumos - Bebidas</t>
        </is>
      </c>
      <c r="U17" t="inlineStr">
        <is>
          <t>Documentação Aprovada</t>
        </is>
      </c>
      <c r="V17" t="inlineStr">
        <is>
          <t>Aprovado Diretoria</t>
        </is>
      </c>
      <c r="W17" t="inlineStr">
        <is>
          <t>Aprovado Caixa</t>
        </is>
      </c>
      <c r="X17" t="inlineStr">
        <is>
          <t>Parcela_Paga</t>
        </is>
      </c>
      <c r="Y17" t="n">
        <v>182</v>
      </c>
      <c r="Z17" t="inlineStr">
        <is>
          <t>Love - Shibari - Kamino</t>
        </is>
      </c>
    </row>
    <row r="18">
      <c r="A18" t="n">
        <v>12031</v>
      </c>
      <c r="B18" t="n">
        <v>174830</v>
      </c>
      <c r="C18" t="inlineStr">
        <is>
          <t>Love Cabaret</t>
        </is>
      </c>
      <c r="D18" t="n">
        <v>128</v>
      </c>
      <c r="F18" t="inlineStr">
        <is>
          <t>KING COMERCIO E IMPORTACAO DE BEBIDAS LTDA</t>
        </is>
      </c>
      <c r="G18" t="inlineStr">
        <is>
          <t>True</t>
        </is>
      </c>
      <c r="H18" t="n">
        <v>5</v>
      </c>
      <c r="I18" t="n">
        <v>5</v>
      </c>
      <c r="J18" t="n">
        <v>4557.2</v>
      </c>
      <c r="K18" s="27" t="n">
        <v>45978</v>
      </c>
      <c r="L18" s="27" t="n">
        <v>45978</v>
      </c>
      <c r="M18" s="27" t="n">
        <v>45978</v>
      </c>
      <c r="N18" t="n">
        <v>22786.08</v>
      </c>
      <c r="O18" t="n">
        <v>22786.08</v>
      </c>
      <c r="P18" s="27" t="n">
        <v>45972</v>
      </c>
      <c r="Q18" t="inlineStr">
        <is>
          <t>Boleto Bancário</t>
        </is>
      </c>
      <c r="R18" t="inlineStr">
        <is>
          <t>122515</t>
        </is>
      </c>
      <c r="S18" t="inlineStr">
        <is>
          <t>Custo Mercadoria Vendida</t>
        </is>
      </c>
      <c r="T18" t="inlineStr">
        <is>
          <t>Insumos - Bebidas</t>
        </is>
      </c>
      <c r="U18" t="inlineStr">
        <is>
          <t>Documentação Aprovada</t>
        </is>
      </c>
      <c r="V18" t="inlineStr">
        <is>
          <t>Aprovado Diretoria</t>
        </is>
      </c>
      <c r="W18" t="inlineStr">
        <is>
          <t>Aprovado Caixa</t>
        </is>
      </c>
      <c r="X18" t="inlineStr">
        <is>
          <t>Parcela_Paga</t>
        </is>
      </c>
      <c r="Y18" t="n">
        <v>182</v>
      </c>
      <c r="Z18" t="inlineStr">
        <is>
          <t>Love - Shibari - Kamino</t>
        </is>
      </c>
    </row>
    <row r="19">
      <c r="A19" t="n">
        <v>11768</v>
      </c>
      <c r="B19" t="n">
        <v>171650</v>
      </c>
      <c r="C19" t="inlineStr">
        <is>
          <t>Love Cabaret</t>
        </is>
      </c>
      <c r="D19" t="n">
        <v>128</v>
      </c>
      <c r="F19" t="inlineStr">
        <is>
          <t>ZAHIL IMPORTADORA LTDA</t>
        </is>
      </c>
      <c r="G19" t="inlineStr">
        <is>
          <t>True</t>
        </is>
      </c>
      <c r="H19" t="n">
        <v>3</v>
      </c>
      <c r="I19" t="n">
        <v>1</v>
      </c>
      <c r="J19" t="n">
        <v>1638.7</v>
      </c>
      <c r="K19" s="27" t="n">
        <v>45980</v>
      </c>
      <c r="L19" s="27" t="n">
        <v>45978</v>
      </c>
      <c r="M19" s="27" t="n">
        <v>45978</v>
      </c>
      <c r="N19" t="n">
        <v>4616.1</v>
      </c>
      <c r="O19" t="n">
        <v>4616.1</v>
      </c>
      <c r="P19" s="27" t="n">
        <v>45961</v>
      </c>
      <c r="Q19" t="inlineStr">
        <is>
          <t>Boleto Bancário</t>
        </is>
      </c>
      <c r="R19" t="inlineStr">
        <is>
          <t>258287</t>
        </is>
      </c>
      <c r="S19" t="inlineStr">
        <is>
          <t>Custo Mercadoria Vendida</t>
        </is>
      </c>
      <c r="T19" t="inlineStr">
        <is>
          <t>Insumos - Bebidas</t>
        </is>
      </c>
      <c r="U19" t="inlineStr">
        <is>
          <t>Documentação Aprovada</t>
        </is>
      </c>
      <c r="V19" t="inlineStr">
        <is>
          <t>Aprovado Diretoria</t>
        </is>
      </c>
      <c r="W19" t="inlineStr">
        <is>
          <t>Aprovado Caixa</t>
        </is>
      </c>
      <c r="X19" t="inlineStr">
        <is>
          <t>Parcela_Paga</t>
        </is>
      </c>
      <c r="Y19" t="n">
        <v>182</v>
      </c>
      <c r="Z19" t="inlineStr">
        <is>
          <t>Love - Shibari - Kamino</t>
        </is>
      </c>
    </row>
    <row r="20">
      <c r="A20" t="n">
        <v>10381</v>
      </c>
      <c r="B20" t="n">
        <v>149665</v>
      </c>
      <c r="C20" t="inlineStr">
        <is>
          <t>Love Cabaret</t>
        </is>
      </c>
      <c r="D20" t="n">
        <v>128</v>
      </c>
      <c r="F20" t="inlineStr">
        <is>
          <t>PEDRO THOMAZ RODRIGUES</t>
        </is>
      </c>
      <c r="G20" t="inlineStr">
        <is>
          <t>True</t>
        </is>
      </c>
      <c r="H20" t="n">
        <v>5</v>
      </c>
      <c r="I20" t="n">
        <v>4</v>
      </c>
      <c r="J20" t="n">
        <v>3000</v>
      </c>
      <c r="K20" s="27" t="n">
        <v>45979</v>
      </c>
      <c r="L20" s="27" t="n">
        <v>45978</v>
      </c>
      <c r="M20" s="27" t="n">
        <v>45978</v>
      </c>
      <c r="N20" t="n">
        <v>15000</v>
      </c>
      <c r="O20" t="n">
        <v>15000</v>
      </c>
      <c r="P20" s="27" t="n">
        <v>45868</v>
      </c>
      <c r="Q20" t="inlineStr">
        <is>
          <t>Transferência Bancária ou Pix</t>
        </is>
      </c>
      <c r="R20" t="inlineStr">
        <is>
          <t>5 PARC-FIM 18/12/2025</t>
        </is>
      </c>
      <c r="S20" t="inlineStr">
        <is>
          <t>Endividamento</t>
        </is>
      </c>
      <c r="T20" t="inlineStr">
        <is>
          <t>Processo Judicial</t>
        </is>
      </c>
      <c r="U20" t="inlineStr">
        <is>
          <t>Documentação Aprovada</t>
        </is>
      </c>
      <c r="V20" t="inlineStr">
        <is>
          <t>Aprovado Diretoria</t>
        </is>
      </c>
      <c r="W20" t="inlineStr">
        <is>
          <t>Aprovado Caixa</t>
        </is>
      </c>
      <c r="X20" t="inlineStr">
        <is>
          <t>Parcela_Paga</t>
        </is>
      </c>
      <c r="Y20" t="n">
        <v>182</v>
      </c>
      <c r="Z20" t="inlineStr">
        <is>
          <t>Love - Shibari - Kamino</t>
        </is>
      </c>
    </row>
    <row r="21">
      <c r="A21" t="n">
        <v>11651</v>
      </c>
      <c r="B21" t="n">
        <v>168590</v>
      </c>
      <c r="C21" t="inlineStr">
        <is>
          <t>Love Cabaret</t>
        </is>
      </c>
      <c r="D21" t="n">
        <v>128</v>
      </c>
      <c r="F21" t="inlineStr">
        <is>
          <t>ZAHIL IMPORTADORA LTDA</t>
        </is>
      </c>
      <c r="G21" t="inlineStr">
        <is>
          <t>True</t>
        </is>
      </c>
      <c r="H21" t="n">
        <v>3</v>
      </c>
      <c r="I21" t="n">
        <v>1</v>
      </c>
      <c r="J21" t="n">
        <v>1638.7</v>
      </c>
      <c r="K21" s="27" t="n">
        <v>45974</v>
      </c>
      <c r="L21" s="27" t="n">
        <v>45973</v>
      </c>
      <c r="M21" s="27" t="n">
        <v>45973</v>
      </c>
      <c r="N21" t="n">
        <v>4616.09</v>
      </c>
      <c r="O21" t="n">
        <v>4616.09</v>
      </c>
      <c r="P21" s="27" t="n">
        <v>45947</v>
      </c>
      <c r="Q21" t="inlineStr">
        <is>
          <t>Boleto Bancário</t>
        </is>
      </c>
      <c r="R21" t="inlineStr">
        <is>
          <t>257928</t>
        </is>
      </c>
      <c r="S21" t="inlineStr">
        <is>
          <t>Custo Mercadoria Vendida</t>
        </is>
      </c>
      <c r="T21" t="inlineStr">
        <is>
          <t>Insumos - Bebidas</t>
        </is>
      </c>
      <c r="U21" t="inlineStr">
        <is>
          <t>Documentação Aprovada</t>
        </is>
      </c>
      <c r="V21" t="inlineStr">
        <is>
          <t>Aprovado Diretoria</t>
        </is>
      </c>
      <c r="W21" t="inlineStr">
        <is>
          <t>Aprovado Caixa</t>
        </is>
      </c>
      <c r="X21" t="inlineStr">
        <is>
          <t>Parcela_Paga</t>
        </is>
      </c>
      <c r="Y21" t="n">
        <v>182</v>
      </c>
      <c r="Z21" t="inlineStr">
        <is>
          <t>Love - Shibari - Kamino</t>
        </is>
      </c>
    </row>
    <row r="22">
      <c r="A22" t="n">
        <v>11270</v>
      </c>
      <c r="B22" t="n">
        <v>163233</v>
      </c>
      <c r="C22" t="inlineStr">
        <is>
          <t>Love Cabaret</t>
        </is>
      </c>
      <c r="D22" t="n">
        <v>128</v>
      </c>
      <c r="F22" t="inlineStr">
        <is>
          <t>ZAHIL IMPORTADORA LTDA</t>
        </is>
      </c>
      <c r="G22" t="inlineStr">
        <is>
          <t>True</t>
        </is>
      </c>
      <c r="H22" t="n">
        <v>2</v>
      </c>
      <c r="I22" t="n">
        <v>2</v>
      </c>
      <c r="J22" t="n">
        <v>1208.67</v>
      </c>
      <c r="K22" s="27" t="n">
        <v>45967</v>
      </c>
      <c r="L22" s="27" t="n">
        <v>45966</v>
      </c>
      <c r="M22" s="27" t="n">
        <v>45966</v>
      </c>
      <c r="N22" t="n">
        <v>2417.34</v>
      </c>
      <c r="O22" t="n">
        <v>2984.79</v>
      </c>
      <c r="P22" s="27" t="n">
        <v>45926</v>
      </c>
      <c r="Q22" t="inlineStr">
        <is>
          <t>Boleto Bancário</t>
        </is>
      </c>
      <c r="R22" t="inlineStr">
        <is>
          <t>256605</t>
        </is>
      </c>
      <c r="S22" t="inlineStr">
        <is>
          <t>Custo Mercadoria Vendida</t>
        </is>
      </c>
      <c r="T22" t="inlineStr">
        <is>
          <t>Insumos - Bebidas</t>
        </is>
      </c>
      <c r="U22" t="inlineStr">
        <is>
          <t>Documentação Aprovada</t>
        </is>
      </c>
      <c r="V22" t="inlineStr">
        <is>
          <t>Aprovado Diretoria</t>
        </is>
      </c>
      <c r="W22" t="inlineStr">
        <is>
          <t>Aprovado Caixa</t>
        </is>
      </c>
      <c r="X22" t="inlineStr">
        <is>
          <t>Parcela_Paga</t>
        </is>
      </c>
      <c r="Y22" t="n">
        <v>182</v>
      </c>
      <c r="Z22" t="inlineStr">
        <is>
          <t>Love - Shibari - Kamino</t>
        </is>
      </c>
    </row>
    <row r="23">
      <c r="A23" t="n">
        <v>11269</v>
      </c>
      <c r="B23" t="n">
        <v>163233</v>
      </c>
      <c r="C23" t="inlineStr">
        <is>
          <t>Love Cabaret</t>
        </is>
      </c>
      <c r="D23" t="n">
        <v>128</v>
      </c>
      <c r="F23" t="inlineStr">
        <is>
          <t>ZAHIL IMPORTADORA LTDA</t>
        </is>
      </c>
      <c r="G23" t="inlineStr">
        <is>
          <t>True</t>
        </is>
      </c>
      <c r="H23" t="n">
        <v>2</v>
      </c>
      <c r="I23" t="n">
        <v>1</v>
      </c>
      <c r="J23" t="n">
        <v>1208.67</v>
      </c>
      <c r="K23" s="27" t="n">
        <v>45952</v>
      </c>
      <c r="L23" s="27" t="n">
        <v>45950</v>
      </c>
      <c r="M23" s="27" t="n">
        <v>45952</v>
      </c>
      <c r="N23" t="n">
        <v>2417.34</v>
      </c>
      <c r="O23" t="n">
        <v>2984.79</v>
      </c>
      <c r="P23" s="27" t="n">
        <v>45926</v>
      </c>
      <c r="Q23" t="inlineStr">
        <is>
          <t>Boleto Bancário</t>
        </is>
      </c>
      <c r="R23" t="inlineStr">
        <is>
          <t>256605</t>
        </is>
      </c>
      <c r="S23" t="inlineStr">
        <is>
          <t>Custo Mercadoria Vendida</t>
        </is>
      </c>
      <c r="T23" t="inlineStr">
        <is>
          <t>Insumos - Bebidas</t>
        </is>
      </c>
      <c r="U23" t="inlineStr">
        <is>
          <t>Documentação Aprovada</t>
        </is>
      </c>
      <c r="V23" t="inlineStr">
        <is>
          <t>Aprovado Diretoria</t>
        </is>
      </c>
      <c r="W23" t="inlineStr">
        <is>
          <t>Aprovado Caixa</t>
        </is>
      </c>
      <c r="X23" t="inlineStr">
        <is>
          <t>Parcela_Paga</t>
        </is>
      </c>
      <c r="Y23" t="n">
        <v>182</v>
      </c>
      <c r="Z23" t="inlineStr">
        <is>
          <t>Love - Shibari - Kamino</t>
        </is>
      </c>
    </row>
    <row r="24">
      <c r="A24" t="n">
        <v>10380</v>
      </c>
      <c r="B24" t="n">
        <v>149665</v>
      </c>
      <c r="C24" t="inlineStr">
        <is>
          <t>Love Cabaret</t>
        </is>
      </c>
      <c r="D24" t="n">
        <v>128</v>
      </c>
      <c r="F24" t="inlineStr">
        <is>
          <t>PEDRO THOMAZ RODRIGUES</t>
        </is>
      </c>
      <c r="G24" t="inlineStr">
        <is>
          <t>True</t>
        </is>
      </c>
      <c r="H24" t="n">
        <v>5</v>
      </c>
      <c r="I24" t="n">
        <v>3</v>
      </c>
      <c r="J24" t="n">
        <v>3000</v>
      </c>
      <c r="K24" s="27" t="n">
        <v>45950</v>
      </c>
      <c r="L24" s="27" t="n">
        <v>45950</v>
      </c>
      <c r="M24" s="27" t="n">
        <v>45950</v>
      </c>
      <c r="N24" t="n">
        <v>15000</v>
      </c>
      <c r="O24" t="n">
        <v>15000</v>
      </c>
      <c r="P24" s="27" t="n">
        <v>45868</v>
      </c>
      <c r="Q24" t="inlineStr">
        <is>
          <t>Transferência Bancária ou Pix</t>
        </is>
      </c>
      <c r="R24" t="inlineStr">
        <is>
          <t>5 PARC-FIM 18/12/2025</t>
        </is>
      </c>
      <c r="S24" t="inlineStr">
        <is>
          <t>Endividamento</t>
        </is>
      </c>
      <c r="T24" t="inlineStr">
        <is>
          <t>Processo Judicial</t>
        </is>
      </c>
      <c r="U24" t="inlineStr">
        <is>
          <t>Documentação Aprovada</t>
        </is>
      </c>
      <c r="V24" t="inlineStr">
        <is>
          <t>Aprovado Diretoria</t>
        </is>
      </c>
      <c r="W24" t="inlineStr">
        <is>
          <t>Aprovado Caixa</t>
        </is>
      </c>
      <c r="X24" t="inlineStr">
        <is>
          <t>Parcela_Paga</t>
        </is>
      </c>
      <c r="Y24" t="n">
        <v>182</v>
      </c>
      <c r="Z24" t="inlineStr">
        <is>
          <t>Love - Shibari - Kamino</t>
        </is>
      </c>
    </row>
    <row r="25">
      <c r="A25" t="n">
        <v>11044</v>
      </c>
      <c r="B25" t="n">
        <v>161028</v>
      </c>
      <c r="C25" t="inlineStr">
        <is>
          <t>Love Cabaret</t>
        </is>
      </c>
      <c r="D25" t="n">
        <v>128</v>
      </c>
      <c r="F25" t="inlineStr">
        <is>
          <t>KING COMERCIO E IMPORTACAO DE BEBIDAS LTDA</t>
        </is>
      </c>
      <c r="G25" t="inlineStr">
        <is>
          <t>True</t>
        </is>
      </c>
      <c r="H25" t="n">
        <v>3</v>
      </c>
      <c r="I25" t="n">
        <v>3</v>
      </c>
      <c r="J25" t="n">
        <v>2034.57</v>
      </c>
      <c r="K25" s="27" t="n">
        <v>45940</v>
      </c>
      <c r="L25" s="27" t="n">
        <v>45938</v>
      </c>
      <c r="M25" s="27" t="n">
        <v>45939</v>
      </c>
      <c r="N25" t="n">
        <v>6151.73</v>
      </c>
      <c r="O25" t="n">
        <v>6151.73</v>
      </c>
      <c r="P25" s="27" t="n">
        <v>45916</v>
      </c>
      <c r="Q25" t="inlineStr">
        <is>
          <t>Boleto Bancário</t>
        </is>
      </c>
      <c r="R25" t="inlineStr">
        <is>
          <t>121145</t>
        </is>
      </c>
      <c r="S25" t="inlineStr">
        <is>
          <t>Custo Mercadoria Vendida</t>
        </is>
      </c>
      <c r="T25" t="inlineStr">
        <is>
          <t>Insumos - Bebidas</t>
        </is>
      </c>
      <c r="U25" t="inlineStr">
        <is>
          <t>Documentação Aprovada</t>
        </is>
      </c>
      <c r="V25" t="inlineStr">
        <is>
          <t>Aprovado Diretoria</t>
        </is>
      </c>
      <c r="W25" t="inlineStr">
        <is>
          <t>Aprovado Caixa</t>
        </is>
      </c>
      <c r="X25" t="inlineStr">
        <is>
          <t>Parcela_Paga</t>
        </is>
      </c>
      <c r="Y25" t="n">
        <v>182</v>
      </c>
      <c r="Z25" t="inlineStr">
        <is>
          <t>Love - Shibari - Kamino</t>
        </is>
      </c>
    </row>
    <row r="26">
      <c r="A26" t="n">
        <v>11043</v>
      </c>
      <c r="B26" t="n">
        <v>161028</v>
      </c>
      <c r="C26" t="inlineStr">
        <is>
          <t>Love Cabaret</t>
        </is>
      </c>
      <c r="D26" t="n">
        <v>128</v>
      </c>
      <c r="F26" t="inlineStr">
        <is>
          <t>KING COMERCIO E IMPORTACAO DE BEBIDAS LTDA</t>
        </is>
      </c>
      <c r="G26" t="inlineStr">
        <is>
          <t>True</t>
        </is>
      </c>
      <c r="H26" t="n">
        <v>3</v>
      </c>
      <c r="I26" t="n">
        <v>2</v>
      </c>
      <c r="J26" t="n">
        <v>2058.58</v>
      </c>
      <c r="K26" s="27" t="n">
        <v>45933</v>
      </c>
      <c r="L26" s="27" t="n">
        <v>45931</v>
      </c>
      <c r="M26" s="27" t="n">
        <v>45931</v>
      </c>
      <c r="N26" t="n">
        <v>6151.73</v>
      </c>
      <c r="O26" t="n">
        <v>6151.73</v>
      </c>
      <c r="P26" s="27" t="n">
        <v>45916</v>
      </c>
      <c r="Q26" t="inlineStr">
        <is>
          <t>Boleto Bancário</t>
        </is>
      </c>
      <c r="R26" t="inlineStr">
        <is>
          <t>121145</t>
        </is>
      </c>
      <c r="S26" t="inlineStr">
        <is>
          <t>Custo Mercadoria Vendida</t>
        </is>
      </c>
      <c r="T26" t="inlineStr">
        <is>
          <t>Insumos - Bebidas</t>
        </is>
      </c>
      <c r="U26" t="inlineStr">
        <is>
          <t>Documentação Aprovada</t>
        </is>
      </c>
      <c r="V26" t="inlineStr">
        <is>
          <t>Aprovado Diretoria</t>
        </is>
      </c>
      <c r="W26" t="inlineStr">
        <is>
          <t>Aprovado Caixa</t>
        </is>
      </c>
      <c r="X26" t="inlineStr">
        <is>
          <t>Parcela_Paga</t>
        </is>
      </c>
      <c r="Y26" t="n">
        <v>182</v>
      </c>
      <c r="Z26" t="inlineStr">
        <is>
          <t>Love - Shibari - Kamino</t>
        </is>
      </c>
    </row>
    <row r="27">
      <c r="A27" t="n">
        <v>11042</v>
      </c>
      <c r="B27" t="n">
        <v>161028</v>
      </c>
      <c r="C27" t="inlineStr">
        <is>
          <t>Love Cabaret</t>
        </is>
      </c>
      <c r="D27" t="n">
        <v>128</v>
      </c>
      <c r="F27" t="inlineStr">
        <is>
          <t>KING COMERCIO E IMPORTACAO DE BEBIDAS LTDA</t>
        </is>
      </c>
      <c r="G27" t="inlineStr">
        <is>
          <t>True</t>
        </is>
      </c>
      <c r="H27" t="n">
        <v>3</v>
      </c>
      <c r="I27" t="n">
        <v>1</v>
      </c>
      <c r="J27" t="n">
        <v>2058.58</v>
      </c>
      <c r="K27" s="27" t="n">
        <v>45926</v>
      </c>
      <c r="L27" s="27" t="n">
        <v>45924</v>
      </c>
      <c r="M27" s="27" t="n">
        <v>45924</v>
      </c>
      <c r="N27" t="n">
        <v>6151.73</v>
      </c>
      <c r="O27" t="n">
        <v>6151.73</v>
      </c>
      <c r="P27" s="27" t="n">
        <v>45916</v>
      </c>
      <c r="Q27" t="inlineStr">
        <is>
          <t>Boleto Bancário</t>
        </is>
      </c>
      <c r="R27" t="inlineStr">
        <is>
          <t>121145</t>
        </is>
      </c>
      <c r="S27" t="inlineStr">
        <is>
          <t>Custo Mercadoria Vendida</t>
        </is>
      </c>
      <c r="T27" t="inlineStr">
        <is>
          <t>Insumos - Bebidas</t>
        </is>
      </c>
      <c r="U27" t="inlineStr">
        <is>
          <t>Documentação Aprovada</t>
        </is>
      </c>
      <c r="V27" t="inlineStr">
        <is>
          <t>Aprovado Diretoria</t>
        </is>
      </c>
      <c r="W27" t="inlineStr">
        <is>
          <t>Aprovado Caixa</t>
        </is>
      </c>
      <c r="X27" t="inlineStr">
        <is>
          <t>Parcela_Paga</t>
        </is>
      </c>
      <c r="Y27" t="n">
        <v>182</v>
      </c>
      <c r="Z27" t="inlineStr">
        <is>
          <t>Love - Shibari - Kamino</t>
        </is>
      </c>
    </row>
    <row r="28">
      <c r="A28" t="n">
        <v>10638</v>
      </c>
      <c r="B28" t="n">
        <v>153646</v>
      </c>
      <c r="C28" t="inlineStr">
        <is>
          <t>Love Cabaret</t>
        </is>
      </c>
      <c r="D28" t="n">
        <v>128</v>
      </c>
      <c r="F28" t="inlineStr">
        <is>
          <t>ZAHIL IMPORTADORA LTDA</t>
        </is>
      </c>
      <c r="G28" t="inlineStr">
        <is>
          <t>True</t>
        </is>
      </c>
      <c r="H28" t="n">
        <v>2</v>
      </c>
      <c r="I28" t="n">
        <v>2</v>
      </c>
      <c r="J28" t="n">
        <v>745.55</v>
      </c>
      <c r="K28" s="27" t="n">
        <v>45918</v>
      </c>
      <c r="L28" s="27" t="n">
        <v>45917</v>
      </c>
      <c r="M28" s="27" t="n">
        <v>45917</v>
      </c>
      <c r="N28" t="n">
        <v>1491.11</v>
      </c>
      <c r="O28" t="n">
        <v>1491.11</v>
      </c>
      <c r="P28" s="27" t="n">
        <v>45877</v>
      </c>
      <c r="Q28" t="inlineStr">
        <is>
          <t>Boleto Bancário</t>
        </is>
      </c>
      <c r="R28" t="inlineStr">
        <is>
          <t>253173</t>
        </is>
      </c>
      <c r="S28" t="inlineStr">
        <is>
          <t>Custo Mercadoria Vendida</t>
        </is>
      </c>
      <c r="T28" t="inlineStr">
        <is>
          <t>Insumos - Bebidas</t>
        </is>
      </c>
      <c r="U28" t="inlineStr">
        <is>
          <t>Documentação Aprovada</t>
        </is>
      </c>
      <c r="V28" t="inlineStr">
        <is>
          <t>Aprovado Diretoria</t>
        </is>
      </c>
      <c r="W28" t="inlineStr">
        <is>
          <t>Aprovado Caixa</t>
        </is>
      </c>
      <c r="X28" t="inlineStr">
        <is>
          <t>Parcela_Paga</t>
        </is>
      </c>
      <c r="Y28" t="n">
        <v>182</v>
      </c>
      <c r="Z28" t="inlineStr">
        <is>
          <t>Love - Shibari - Kamino</t>
        </is>
      </c>
    </row>
    <row r="29">
      <c r="A29" t="n">
        <v>10379</v>
      </c>
      <c r="B29" t="n">
        <v>149665</v>
      </c>
      <c r="C29" t="inlineStr">
        <is>
          <t>Love Cabaret</t>
        </is>
      </c>
      <c r="D29" t="n">
        <v>128</v>
      </c>
      <c r="F29" t="inlineStr">
        <is>
          <t>PEDRO THOMAZ RODRIGUES</t>
        </is>
      </c>
      <c r="G29" t="inlineStr">
        <is>
          <t>True</t>
        </is>
      </c>
      <c r="H29" t="n">
        <v>5</v>
      </c>
      <c r="I29" t="n">
        <v>2</v>
      </c>
      <c r="J29" t="n">
        <v>3000</v>
      </c>
      <c r="K29" s="27" t="n">
        <v>45918</v>
      </c>
      <c r="L29" s="27" t="n">
        <v>45917</v>
      </c>
      <c r="M29" s="27" t="n">
        <v>45917</v>
      </c>
      <c r="N29" t="n">
        <v>15000</v>
      </c>
      <c r="O29" t="n">
        <v>15000</v>
      </c>
      <c r="P29" s="27" t="n">
        <v>45868</v>
      </c>
      <c r="Q29" t="inlineStr">
        <is>
          <t>Transferência Bancária ou Pix</t>
        </is>
      </c>
      <c r="R29" t="inlineStr">
        <is>
          <t>5 PARC-FIM 18/12/2025</t>
        </is>
      </c>
      <c r="S29" t="inlineStr">
        <is>
          <t>Endividamento</t>
        </is>
      </c>
      <c r="T29" t="inlineStr">
        <is>
          <t>Processo Judicial</t>
        </is>
      </c>
      <c r="U29" t="inlineStr">
        <is>
          <t>Documentação Aprovada</t>
        </is>
      </c>
      <c r="V29" t="inlineStr">
        <is>
          <t>Aprovado Diretoria</t>
        </is>
      </c>
      <c r="W29" t="inlineStr">
        <is>
          <t>Aprovado Caixa</t>
        </is>
      </c>
      <c r="X29" t="inlineStr">
        <is>
          <t>Parcela_Paga</t>
        </is>
      </c>
      <c r="Y29" t="n">
        <v>182</v>
      </c>
      <c r="Z29" t="inlineStr">
        <is>
          <t>Love - Shibari - Kamino</t>
        </is>
      </c>
    </row>
    <row r="30">
      <c r="A30" t="n">
        <v>10637</v>
      </c>
      <c r="B30" t="n">
        <v>153646</v>
      </c>
      <c r="C30" t="inlineStr">
        <is>
          <t>Love Cabaret</t>
        </is>
      </c>
      <c r="D30" t="n">
        <v>128</v>
      </c>
      <c r="F30" t="inlineStr">
        <is>
          <t>ZAHIL IMPORTADORA LTDA</t>
        </is>
      </c>
      <c r="G30" t="inlineStr">
        <is>
          <t>True</t>
        </is>
      </c>
      <c r="H30" t="n">
        <v>2</v>
      </c>
      <c r="I30" t="n">
        <v>1</v>
      </c>
      <c r="J30" t="n">
        <v>745.5599999999999</v>
      </c>
      <c r="K30" s="27" t="n">
        <v>45903</v>
      </c>
      <c r="L30" s="27" t="n">
        <v>45901</v>
      </c>
      <c r="M30" s="27" t="n">
        <v>45901</v>
      </c>
      <c r="N30" t="n">
        <v>1491.11</v>
      </c>
      <c r="O30" t="n">
        <v>1491.11</v>
      </c>
      <c r="P30" s="27" t="n">
        <v>45877</v>
      </c>
      <c r="Q30" t="inlineStr">
        <is>
          <t>Boleto Bancário</t>
        </is>
      </c>
      <c r="R30" t="inlineStr">
        <is>
          <t>253173</t>
        </is>
      </c>
      <c r="S30" t="inlineStr">
        <is>
          <t>Custo Mercadoria Vendida</t>
        </is>
      </c>
      <c r="T30" t="inlineStr">
        <is>
          <t>Insumos - Bebidas</t>
        </is>
      </c>
      <c r="U30" t="inlineStr">
        <is>
          <t>Documentação Aprovada</t>
        </is>
      </c>
      <c r="V30" t="inlineStr">
        <is>
          <t>Aprovado Diretoria</t>
        </is>
      </c>
      <c r="W30" t="inlineStr">
        <is>
          <t>Aprovado Caixa</t>
        </is>
      </c>
      <c r="X30" t="inlineStr">
        <is>
          <t>Parcela_Paga</t>
        </is>
      </c>
      <c r="Y30" t="n">
        <v>182</v>
      </c>
      <c r="Z30" t="inlineStr">
        <is>
          <t>Love - Shibari - Kamino</t>
        </is>
      </c>
    </row>
    <row r="31">
      <c r="A31" t="n">
        <v>10378</v>
      </c>
      <c r="B31" t="n">
        <v>149665</v>
      </c>
      <c r="C31" t="inlineStr">
        <is>
          <t>Love Cabaret</t>
        </is>
      </c>
      <c r="D31" t="n">
        <v>128</v>
      </c>
      <c r="F31" t="inlineStr">
        <is>
          <t>PEDRO THOMAZ RODRIGUES</t>
        </is>
      </c>
      <c r="G31" t="inlineStr">
        <is>
          <t>True</t>
        </is>
      </c>
      <c r="H31" t="n">
        <v>5</v>
      </c>
      <c r="I31" t="n">
        <v>1</v>
      </c>
      <c r="J31" t="n">
        <v>3000</v>
      </c>
      <c r="K31" s="27" t="n">
        <v>45887</v>
      </c>
      <c r="L31" s="27" t="n">
        <v>45887</v>
      </c>
      <c r="M31" s="27" t="n">
        <v>45887</v>
      </c>
      <c r="N31" t="n">
        <v>15000</v>
      </c>
      <c r="O31" t="n">
        <v>15000</v>
      </c>
      <c r="P31" s="27" t="n">
        <v>45868</v>
      </c>
      <c r="Q31" t="inlineStr">
        <is>
          <t>Transferência Bancária ou Pix</t>
        </is>
      </c>
      <c r="R31" t="inlineStr">
        <is>
          <t>5 PARC-FIM 18/12/2025</t>
        </is>
      </c>
      <c r="S31" t="inlineStr">
        <is>
          <t>Endividamento</t>
        </is>
      </c>
      <c r="T31" t="inlineStr">
        <is>
          <t>Processo Judicial</t>
        </is>
      </c>
      <c r="U31" t="inlineStr">
        <is>
          <t>Documentação Aprovada</t>
        </is>
      </c>
      <c r="V31" t="inlineStr">
        <is>
          <t>Aprovado Diretoria</t>
        </is>
      </c>
      <c r="W31" t="inlineStr">
        <is>
          <t>Aprovado Caixa</t>
        </is>
      </c>
      <c r="X31" t="inlineStr">
        <is>
          <t>Parcela_Paga</t>
        </is>
      </c>
      <c r="Y31" t="n">
        <v>182</v>
      </c>
      <c r="Z31" t="inlineStr">
        <is>
          <t>Love - Shibari - Kamino</t>
        </is>
      </c>
    </row>
    <row r="32">
      <c r="A32" t="n">
        <v>9990</v>
      </c>
      <c r="B32" t="n">
        <v>144055</v>
      </c>
      <c r="C32" t="inlineStr">
        <is>
          <t>Love Cabaret</t>
        </is>
      </c>
      <c r="D32" t="n">
        <v>128</v>
      </c>
      <c r="F32" t="inlineStr">
        <is>
          <t>ZAHIL IMPORTADORA LTDA</t>
        </is>
      </c>
      <c r="G32" t="inlineStr">
        <is>
          <t>True</t>
        </is>
      </c>
      <c r="H32" t="n">
        <v>2</v>
      </c>
      <c r="I32" t="n">
        <v>2</v>
      </c>
      <c r="J32" t="n">
        <v>1491.11</v>
      </c>
      <c r="K32" s="27" t="n">
        <v>45880</v>
      </c>
      <c r="L32" s="27" t="n">
        <v>45880</v>
      </c>
      <c r="M32" s="27" t="n">
        <v>45880</v>
      </c>
      <c r="N32" t="n">
        <v>2982.12</v>
      </c>
      <c r="O32" t="n">
        <v>2982.12</v>
      </c>
      <c r="P32" s="27" t="n">
        <v>45842</v>
      </c>
      <c r="Q32" t="inlineStr">
        <is>
          <t>Boleto Bancário</t>
        </is>
      </c>
      <c r="R32" t="inlineStr">
        <is>
          <t>250437</t>
        </is>
      </c>
      <c r="S32" t="inlineStr">
        <is>
          <t>Custo Mercadoria Vendida</t>
        </is>
      </c>
      <c r="T32" t="inlineStr">
        <is>
          <t>Insumos - Bebidas</t>
        </is>
      </c>
      <c r="U32" t="inlineStr">
        <is>
          <t>Documentação Aprovada</t>
        </is>
      </c>
      <c r="V32" t="inlineStr">
        <is>
          <t>Aprovado Diretoria</t>
        </is>
      </c>
      <c r="W32" t="inlineStr">
        <is>
          <t>Aprovado Caixa</t>
        </is>
      </c>
      <c r="X32" t="inlineStr">
        <is>
          <t>Parcela_Paga</t>
        </is>
      </c>
      <c r="Y32" t="n">
        <v>182</v>
      </c>
      <c r="Z32" t="inlineStr">
        <is>
          <t>Love - Shibari - Kamino</t>
        </is>
      </c>
    </row>
    <row r="33">
      <c r="A33" t="n">
        <v>10246</v>
      </c>
      <c r="B33" t="n">
        <v>147699</v>
      </c>
      <c r="C33" t="inlineStr">
        <is>
          <t>Love Cabaret</t>
        </is>
      </c>
      <c r="D33" t="n">
        <v>128</v>
      </c>
      <c r="F33" t="inlineStr">
        <is>
          <t>KING COMERCIO E IMPORTACAO DE BEBIDAS LTDA</t>
        </is>
      </c>
      <c r="G33" t="inlineStr">
        <is>
          <t>True</t>
        </is>
      </c>
      <c r="H33" t="n">
        <v>2</v>
      </c>
      <c r="I33" t="n">
        <v>2</v>
      </c>
      <c r="J33" t="n">
        <v>3555.67</v>
      </c>
      <c r="K33" s="27" t="n">
        <v>45877</v>
      </c>
      <c r="L33" s="27" t="n">
        <v>45875</v>
      </c>
      <c r="M33" s="27" t="n">
        <v>45875</v>
      </c>
      <c r="N33" t="n">
        <v>7111.34</v>
      </c>
      <c r="O33" t="n">
        <v>7111.34</v>
      </c>
      <c r="P33" s="27" t="n">
        <v>45855</v>
      </c>
      <c r="Q33" t="inlineStr">
        <is>
          <t>Boleto Bancário</t>
        </is>
      </c>
      <c r="R33" t="inlineStr">
        <is>
          <t>119201</t>
        </is>
      </c>
      <c r="S33" t="inlineStr">
        <is>
          <t>Custo Mercadoria Vendida</t>
        </is>
      </c>
      <c r="T33" t="inlineStr">
        <is>
          <t>Insumos - Bebidas</t>
        </is>
      </c>
      <c r="U33" t="inlineStr">
        <is>
          <t>Documentação Aprovada</t>
        </is>
      </c>
      <c r="V33" t="inlineStr">
        <is>
          <t>Aprovado Diretoria</t>
        </is>
      </c>
      <c r="W33" t="inlineStr">
        <is>
          <t>Aprovado Caixa</t>
        </is>
      </c>
      <c r="X33" t="inlineStr">
        <is>
          <t>Parcela_Paga</t>
        </is>
      </c>
      <c r="Y33" t="n">
        <v>182</v>
      </c>
      <c r="Z33" t="inlineStr">
        <is>
          <t>Love - Shibari - Kamino</t>
        </is>
      </c>
    </row>
    <row r="34">
      <c r="A34" t="n">
        <v>10245</v>
      </c>
      <c r="B34" t="n">
        <v>147699</v>
      </c>
      <c r="C34" t="inlineStr">
        <is>
          <t>Love Cabaret</t>
        </is>
      </c>
      <c r="D34" t="n">
        <v>128</v>
      </c>
      <c r="F34" t="inlineStr">
        <is>
          <t>KING COMERCIO E IMPORTACAO DE BEBIDAS LTDA</t>
        </is>
      </c>
      <c r="G34" t="inlineStr">
        <is>
          <t>True</t>
        </is>
      </c>
      <c r="H34" t="n">
        <v>2</v>
      </c>
      <c r="I34" t="n">
        <v>1</v>
      </c>
      <c r="J34" t="n">
        <v>3555.67</v>
      </c>
      <c r="K34" s="27" t="n">
        <v>45870</v>
      </c>
      <c r="L34" s="27" t="n">
        <v>45868</v>
      </c>
      <c r="M34" s="27" t="n">
        <v>45868</v>
      </c>
      <c r="N34" t="n">
        <v>7111.34</v>
      </c>
      <c r="O34" t="n">
        <v>7111.34</v>
      </c>
      <c r="P34" s="27" t="n">
        <v>45855</v>
      </c>
      <c r="Q34" t="inlineStr">
        <is>
          <t>Boleto Bancário</t>
        </is>
      </c>
      <c r="R34" t="inlineStr">
        <is>
          <t>119201</t>
        </is>
      </c>
      <c r="S34" t="inlineStr">
        <is>
          <t>Custo Mercadoria Vendida</t>
        </is>
      </c>
      <c r="T34" t="inlineStr">
        <is>
          <t>Insumos - Bebidas</t>
        </is>
      </c>
      <c r="U34" t="inlineStr">
        <is>
          <t>Documentação Aprovada</t>
        </is>
      </c>
      <c r="V34" t="inlineStr">
        <is>
          <t>Aprovado Diretoria</t>
        </is>
      </c>
      <c r="W34" t="inlineStr">
        <is>
          <t>Aprovado Caixa</t>
        </is>
      </c>
      <c r="X34" t="inlineStr">
        <is>
          <t>Parcela_Paga</t>
        </is>
      </c>
      <c r="Y34" t="n">
        <v>182</v>
      </c>
      <c r="Z34" t="inlineStr">
        <is>
          <t>Love - Shibari - Kamino</t>
        </is>
      </c>
    </row>
    <row r="35">
      <c r="A35" t="n">
        <v>9989</v>
      </c>
      <c r="B35" t="n">
        <v>144055</v>
      </c>
      <c r="C35" t="inlineStr">
        <is>
          <t>Love Cabaret</t>
        </is>
      </c>
      <c r="D35" t="n">
        <v>128</v>
      </c>
      <c r="F35" t="inlineStr">
        <is>
          <t>ZAHIL IMPORTADORA LTDA</t>
        </is>
      </c>
      <c r="G35" t="inlineStr">
        <is>
          <t>True</t>
        </is>
      </c>
      <c r="H35" t="n">
        <v>2</v>
      </c>
      <c r="I35" t="n">
        <v>1</v>
      </c>
      <c r="J35" t="n">
        <v>1491.11</v>
      </c>
      <c r="K35" s="27" t="n">
        <v>45863</v>
      </c>
      <c r="L35" s="27" t="n">
        <v>45861</v>
      </c>
      <c r="M35" s="27" t="n">
        <v>45861</v>
      </c>
      <c r="N35" t="n">
        <v>2982.12</v>
      </c>
      <c r="O35" t="n">
        <v>2982.12</v>
      </c>
      <c r="P35" s="27" t="n">
        <v>45842</v>
      </c>
      <c r="Q35" t="inlineStr">
        <is>
          <t>Boleto Bancário</t>
        </is>
      </c>
      <c r="R35" t="inlineStr">
        <is>
          <t>250437</t>
        </is>
      </c>
      <c r="S35" t="inlineStr">
        <is>
          <t>Custo Mercadoria Vendida</t>
        </is>
      </c>
      <c r="T35" t="inlineStr">
        <is>
          <t>Insumos - Bebidas</t>
        </is>
      </c>
      <c r="U35" t="inlineStr">
        <is>
          <t>Documentação Aprovada</t>
        </is>
      </c>
      <c r="V35" t="inlineStr">
        <is>
          <t>Aprovado Diretoria</t>
        </is>
      </c>
      <c r="W35" t="inlineStr">
        <is>
          <t>Aprovado Caixa</t>
        </is>
      </c>
      <c r="X35" t="inlineStr">
        <is>
          <t>Parcela_Paga</t>
        </is>
      </c>
      <c r="Y35" t="n">
        <v>182</v>
      </c>
      <c r="Z35" t="inlineStr">
        <is>
          <t>Love - Shibari - Kamino</t>
        </is>
      </c>
    </row>
    <row r="36">
      <c r="A36" t="n">
        <v>9784</v>
      </c>
      <c r="B36" t="n">
        <v>140143</v>
      </c>
      <c r="C36" t="inlineStr">
        <is>
          <t>Love Cabaret</t>
        </is>
      </c>
      <c r="D36" t="n">
        <v>128</v>
      </c>
      <c r="F36" t="inlineStr">
        <is>
          <t>ZAHIL IMPORTADORA LTDA</t>
        </is>
      </c>
      <c r="G36" t="inlineStr">
        <is>
          <t>True</t>
        </is>
      </c>
      <c r="H36" t="n">
        <v>2</v>
      </c>
      <c r="I36" t="n">
        <v>2</v>
      </c>
      <c r="J36" t="n">
        <v>1361.57</v>
      </c>
      <c r="K36" s="27" t="n">
        <v>45863</v>
      </c>
      <c r="L36" s="27" t="n">
        <v>45861</v>
      </c>
      <c r="M36" s="27" t="n">
        <v>45861</v>
      </c>
      <c r="N36" t="n">
        <v>2723.15</v>
      </c>
      <c r="O36" t="n">
        <v>2723.15</v>
      </c>
      <c r="P36" s="27" t="n">
        <v>45825</v>
      </c>
      <c r="Q36" t="inlineStr">
        <is>
          <t>Boleto Bancário</t>
        </is>
      </c>
      <c r="R36" t="inlineStr">
        <is>
          <t>249372</t>
        </is>
      </c>
      <c r="S36" t="inlineStr">
        <is>
          <t>Custo Mercadoria Vendida</t>
        </is>
      </c>
      <c r="T36" t="inlineStr">
        <is>
          <t>Insumos - Bebidas</t>
        </is>
      </c>
      <c r="U36" t="inlineStr">
        <is>
          <t>Documentação Aprovada</t>
        </is>
      </c>
      <c r="V36" t="inlineStr">
        <is>
          <t>Aprovado Diretoria</t>
        </is>
      </c>
      <c r="W36" t="inlineStr">
        <is>
          <t>Aprovado Caixa</t>
        </is>
      </c>
      <c r="X36" t="inlineStr">
        <is>
          <t>Parcela_Paga</t>
        </is>
      </c>
      <c r="Y36" t="n">
        <v>182</v>
      </c>
      <c r="Z36" t="inlineStr">
        <is>
          <t>Love - Shibari - Kamino</t>
        </is>
      </c>
    </row>
    <row r="37">
      <c r="A37" t="n">
        <v>9940</v>
      </c>
      <c r="B37" t="n">
        <v>143113</v>
      </c>
      <c r="C37" t="inlineStr">
        <is>
          <t>Love Cabaret</t>
        </is>
      </c>
      <c r="D37" t="n">
        <v>128</v>
      </c>
      <c r="F37" t="inlineStr">
        <is>
          <t xml:space="preserve">ARENA VIP DISTRIBUIDORA DE BEBIDAS LTDA </t>
        </is>
      </c>
      <c r="G37" t="inlineStr">
        <is>
          <t>True</t>
        </is>
      </c>
      <c r="H37" t="n">
        <v>2</v>
      </c>
      <c r="I37" t="n">
        <v>2</v>
      </c>
      <c r="J37" t="n">
        <v>2403.82</v>
      </c>
      <c r="K37" s="27" t="n">
        <v>45853</v>
      </c>
      <c r="L37" s="27" t="n">
        <v>45852</v>
      </c>
      <c r="M37" s="27" t="n">
        <v>45852</v>
      </c>
      <c r="N37" t="n">
        <v>4807.64</v>
      </c>
      <c r="O37" t="n">
        <v>4807.64</v>
      </c>
      <c r="P37" s="27" t="n">
        <v>45840</v>
      </c>
      <c r="Q37" t="inlineStr">
        <is>
          <t>Boleto Bancário</t>
        </is>
      </c>
      <c r="R37" t="inlineStr">
        <is>
          <t>5921</t>
        </is>
      </c>
      <c r="S37" t="inlineStr">
        <is>
          <t>Custo Mercadoria Vendida</t>
        </is>
      </c>
      <c r="T37" t="inlineStr">
        <is>
          <t>Insumos - Bebidas</t>
        </is>
      </c>
      <c r="U37" t="inlineStr">
        <is>
          <t>Documentação Aprovada</t>
        </is>
      </c>
      <c r="V37" t="inlineStr">
        <is>
          <t>Aprovado Diretoria</t>
        </is>
      </c>
      <c r="W37" t="inlineStr">
        <is>
          <t>Aprovado Caixa</t>
        </is>
      </c>
      <c r="X37" t="inlineStr">
        <is>
          <t>Parcela_Paga</t>
        </is>
      </c>
      <c r="Y37" t="n">
        <v>182</v>
      </c>
      <c r="Z37" t="inlineStr">
        <is>
          <t>Love - Shibari - Kamino</t>
        </is>
      </c>
    </row>
    <row r="38">
      <c r="A38" t="n">
        <v>9939</v>
      </c>
      <c r="B38" t="n">
        <v>143113</v>
      </c>
      <c r="C38" t="inlineStr">
        <is>
          <t>Love Cabaret</t>
        </is>
      </c>
      <c r="D38" t="n">
        <v>128</v>
      </c>
      <c r="F38" t="inlineStr">
        <is>
          <t xml:space="preserve">ARENA VIP DISTRIBUIDORA DE BEBIDAS LTDA </t>
        </is>
      </c>
      <c r="G38" t="inlineStr">
        <is>
          <t>True</t>
        </is>
      </c>
      <c r="H38" t="n">
        <v>2</v>
      </c>
      <c r="I38" t="n">
        <v>1</v>
      </c>
      <c r="J38" t="n">
        <v>2403.82</v>
      </c>
      <c r="K38" s="27" t="n">
        <v>45846</v>
      </c>
      <c r="L38" s="27" t="n">
        <v>45842</v>
      </c>
      <c r="M38" s="27" t="n">
        <v>45845</v>
      </c>
      <c r="N38" t="n">
        <v>4807.64</v>
      </c>
      <c r="O38" t="n">
        <v>4807.64</v>
      </c>
      <c r="P38" s="27" t="n">
        <v>45840</v>
      </c>
      <c r="Q38" t="inlineStr">
        <is>
          <t>Boleto Bancário</t>
        </is>
      </c>
      <c r="R38" t="inlineStr">
        <is>
          <t>5921</t>
        </is>
      </c>
      <c r="S38" t="inlineStr">
        <is>
          <t>Custo Mercadoria Vendida</t>
        </is>
      </c>
      <c r="T38" t="inlineStr">
        <is>
          <t>Insumos - Bebidas</t>
        </is>
      </c>
      <c r="U38" t="inlineStr">
        <is>
          <t>Documentação Aprovada</t>
        </is>
      </c>
      <c r="V38" t="inlineStr">
        <is>
          <t>Aprovado Diretoria</t>
        </is>
      </c>
      <c r="W38" t="inlineStr">
        <is>
          <t>Aprovado Caixa</t>
        </is>
      </c>
      <c r="X38" t="inlineStr">
        <is>
          <t>Parcela_Paga</t>
        </is>
      </c>
      <c r="Y38" t="n">
        <v>182</v>
      </c>
      <c r="Z38" t="inlineStr">
        <is>
          <t>Love - Shibari - Kamino</t>
        </is>
      </c>
    </row>
    <row r="39">
      <c r="A39" t="n">
        <v>9859</v>
      </c>
      <c r="B39" t="n">
        <v>141535</v>
      </c>
      <c r="C39" t="inlineStr">
        <is>
          <t>Love Cabaret</t>
        </is>
      </c>
      <c r="D39" t="n">
        <v>128</v>
      </c>
      <c r="F39" t="inlineStr">
        <is>
          <t xml:space="preserve">ARENA VIP DISTRIBUIDORA DE BEBIDAS LTDA </t>
        </is>
      </c>
      <c r="G39" t="inlineStr">
        <is>
          <t>True</t>
        </is>
      </c>
      <c r="H39" t="n">
        <v>2</v>
      </c>
      <c r="I39" t="n">
        <v>2</v>
      </c>
      <c r="J39" t="n">
        <v>3952.8</v>
      </c>
      <c r="K39" s="27" t="n">
        <v>45847</v>
      </c>
      <c r="L39" s="27" t="n">
        <v>45842</v>
      </c>
      <c r="M39" s="27" t="n">
        <v>45845</v>
      </c>
      <c r="N39" t="n">
        <v>7905.6</v>
      </c>
      <c r="O39" t="n">
        <v>7905.6</v>
      </c>
      <c r="P39" s="27" t="n">
        <v>45833</v>
      </c>
      <c r="Q39" t="inlineStr">
        <is>
          <t>Boleto Bancário</t>
        </is>
      </c>
      <c r="R39" t="inlineStr">
        <is>
          <t>5602</t>
        </is>
      </c>
      <c r="S39" t="inlineStr">
        <is>
          <t>Custo Mercadoria Vendida</t>
        </is>
      </c>
      <c r="T39" t="inlineStr">
        <is>
          <t>Insumos - Bebidas</t>
        </is>
      </c>
      <c r="U39" t="inlineStr">
        <is>
          <t>Documentação Aprovada</t>
        </is>
      </c>
      <c r="V39" t="inlineStr">
        <is>
          <t>Aprovado Diretoria</t>
        </is>
      </c>
      <c r="W39" t="inlineStr">
        <is>
          <t>Aprovado Caixa</t>
        </is>
      </c>
      <c r="X39" t="inlineStr">
        <is>
          <t>Parcela_Paga</t>
        </is>
      </c>
      <c r="Y39" t="n">
        <v>182</v>
      </c>
      <c r="Z39" t="inlineStr">
        <is>
          <t>Love - Shibari - Kamino</t>
        </is>
      </c>
    </row>
    <row r="40">
      <c r="A40" t="n">
        <v>9783</v>
      </c>
      <c r="B40" t="n">
        <v>140143</v>
      </c>
      <c r="C40" t="inlineStr">
        <is>
          <t>Love Cabaret</t>
        </is>
      </c>
      <c r="D40" t="n">
        <v>128</v>
      </c>
      <c r="F40" t="inlineStr">
        <is>
          <t>ZAHIL IMPORTADORA LTDA</t>
        </is>
      </c>
      <c r="G40" t="inlineStr">
        <is>
          <t>True</t>
        </is>
      </c>
      <c r="H40" t="n">
        <v>2</v>
      </c>
      <c r="I40" t="n">
        <v>1</v>
      </c>
      <c r="J40" t="n">
        <v>1361.58</v>
      </c>
      <c r="K40" s="27" t="n">
        <v>45848</v>
      </c>
      <c r="L40" s="27" t="n">
        <v>45842</v>
      </c>
      <c r="M40" s="27" t="n">
        <v>45845</v>
      </c>
      <c r="N40" t="n">
        <v>2723.15</v>
      </c>
      <c r="O40" t="n">
        <v>2723.15</v>
      </c>
      <c r="P40" s="27" t="n">
        <v>45825</v>
      </c>
      <c r="Q40" t="inlineStr">
        <is>
          <t>Boleto Bancário</t>
        </is>
      </c>
      <c r="R40" t="inlineStr">
        <is>
          <t>249372</t>
        </is>
      </c>
      <c r="S40" t="inlineStr">
        <is>
          <t>Custo Mercadoria Vendida</t>
        </is>
      </c>
      <c r="T40" t="inlineStr">
        <is>
          <t>Insumos - Bebidas</t>
        </is>
      </c>
      <c r="U40" t="inlineStr">
        <is>
          <t>Documentação Aprovada</t>
        </is>
      </c>
      <c r="V40" t="inlineStr">
        <is>
          <t>Aprovado Diretoria</t>
        </is>
      </c>
      <c r="W40" t="inlineStr">
        <is>
          <t>Aprovado Caixa</t>
        </is>
      </c>
      <c r="X40" t="inlineStr">
        <is>
          <t>Parcela_Paga</t>
        </is>
      </c>
      <c r="Y40" t="n">
        <v>182</v>
      </c>
      <c r="Z40" t="inlineStr">
        <is>
          <t>Love - Shibari - Kamino</t>
        </is>
      </c>
    </row>
    <row r="41">
      <c r="A41" t="n">
        <v>9858</v>
      </c>
      <c r="B41" t="n">
        <v>141535</v>
      </c>
      <c r="C41" t="inlineStr">
        <is>
          <t>Love Cabaret</t>
        </is>
      </c>
      <c r="D41" t="n">
        <v>128</v>
      </c>
      <c r="F41" t="inlineStr">
        <is>
          <t xml:space="preserve">ARENA VIP DISTRIBUIDORA DE BEBIDAS LTDA </t>
        </is>
      </c>
      <c r="G41" t="inlineStr">
        <is>
          <t>True</t>
        </is>
      </c>
      <c r="H41" t="n">
        <v>2</v>
      </c>
      <c r="I41" t="n">
        <v>1</v>
      </c>
      <c r="J41" t="n">
        <v>3952.8</v>
      </c>
      <c r="K41" s="27" t="n">
        <v>45840</v>
      </c>
      <c r="L41" s="27" t="n"/>
      <c r="M41" s="27" t="n">
        <v>45838</v>
      </c>
      <c r="N41" t="n">
        <v>7905.6</v>
      </c>
      <c r="O41" t="n">
        <v>7905.6</v>
      </c>
      <c r="P41" s="27" t="n">
        <v>45833</v>
      </c>
      <c r="Q41" t="inlineStr">
        <is>
          <t>Boleto Bancário</t>
        </is>
      </c>
      <c r="R41" t="inlineStr">
        <is>
          <t>5602</t>
        </is>
      </c>
      <c r="S41" t="inlineStr">
        <is>
          <t>Custo Mercadoria Vendida</t>
        </is>
      </c>
      <c r="T41" t="inlineStr">
        <is>
          <t>Insumos - Bebidas</t>
        </is>
      </c>
      <c r="U41" t="inlineStr">
        <is>
          <t>Documentação Aprovada</t>
        </is>
      </c>
      <c r="V41" t="inlineStr">
        <is>
          <t>Aprovado Diretoria</t>
        </is>
      </c>
      <c r="W41" t="inlineStr">
        <is>
          <t>Aprovado Caixa</t>
        </is>
      </c>
      <c r="X41" t="inlineStr">
        <is>
          <t>Parcela_Paga</t>
        </is>
      </c>
      <c r="Y41" t="n">
        <v>182</v>
      </c>
      <c r="Z41" t="inlineStr">
        <is>
          <t>Love - Shibari - Kamino</t>
        </is>
      </c>
    </row>
    <row r="42">
      <c r="A42" t="n">
        <v>9068</v>
      </c>
      <c r="B42" t="n">
        <v>131369</v>
      </c>
      <c r="C42" t="inlineStr">
        <is>
          <t>Love Cabaret</t>
        </is>
      </c>
      <c r="D42" t="n">
        <v>128</v>
      </c>
      <c r="F42" t="inlineStr">
        <is>
          <t xml:space="preserve">EMPORIO MEL </t>
        </is>
      </c>
      <c r="G42" t="inlineStr">
        <is>
          <t>True</t>
        </is>
      </c>
      <c r="H42" t="n">
        <v>2</v>
      </c>
      <c r="I42" t="n">
        <v>2</v>
      </c>
      <c r="J42" t="n">
        <v>2623.9</v>
      </c>
      <c r="K42" s="27" t="n">
        <v>45824</v>
      </c>
      <c r="L42" s="27" t="n">
        <v>45826</v>
      </c>
      <c r="M42" s="27" t="n">
        <v>45824</v>
      </c>
      <c r="N42" t="n">
        <v>5247.8</v>
      </c>
      <c r="O42" t="n">
        <v>5247.8</v>
      </c>
      <c r="P42" s="27" t="n">
        <v>45786</v>
      </c>
      <c r="Q42" t="inlineStr">
        <is>
          <t>Boleto Bancário</t>
        </is>
      </c>
      <c r="R42" t="inlineStr">
        <is>
          <t>451154</t>
        </is>
      </c>
      <c r="S42" t="inlineStr">
        <is>
          <t>Custo Mercadoria Vendida</t>
        </is>
      </c>
      <c r="T42" t="inlineStr">
        <is>
          <t>Insumos - Bebidas</t>
        </is>
      </c>
      <c r="U42" t="inlineStr">
        <is>
          <t>Documentação Aprovada</t>
        </is>
      </c>
      <c r="V42" t="inlineStr">
        <is>
          <t>Aprovado Diretoria</t>
        </is>
      </c>
      <c r="W42" t="inlineStr">
        <is>
          <t>Aprovado Caixa</t>
        </is>
      </c>
      <c r="X42" t="inlineStr">
        <is>
          <t>Parcela_Paga</t>
        </is>
      </c>
      <c r="Y42" t="n">
        <v>182</v>
      </c>
      <c r="Z42" t="inlineStr">
        <is>
          <t>Love - Shibari - Kamino</t>
        </is>
      </c>
    </row>
    <row r="43">
      <c r="A43" t="n">
        <v>9067</v>
      </c>
      <c r="B43" t="n">
        <v>131369</v>
      </c>
      <c r="C43" t="inlineStr">
        <is>
          <t>Love Cabaret</t>
        </is>
      </c>
      <c r="D43" t="n">
        <v>128</v>
      </c>
      <c r="F43" t="inlineStr">
        <is>
          <t xml:space="preserve">EMPORIO MEL </t>
        </is>
      </c>
      <c r="G43" t="inlineStr">
        <is>
          <t>True</t>
        </is>
      </c>
      <c r="H43" t="n">
        <v>2</v>
      </c>
      <c r="I43" t="n">
        <v>1</v>
      </c>
      <c r="J43" t="n">
        <v>2623.9</v>
      </c>
      <c r="K43" s="27" t="n">
        <v>45813</v>
      </c>
      <c r="L43" s="27" t="n">
        <v>45812</v>
      </c>
      <c r="M43" s="27" t="n">
        <v>45812</v>
      </c>
      <c r="N43" t="n">
        <v>5247.8</v>
      </c>
      <c r="O43" t="n">
        <v>5247.8</v>
      </c>
      <c r="P43" s="27" t="n">
        <v>45786</v>
      </c>
      <c r="Q43" t="inlineStr">
        <is>
          <t>Boleto Bancário</t>
        </is>
      </c>
      <c r="R43" t="inlineStr">
        <is>
          <t>451154</t>
        </is>
      </c>
      <c r="S43" t="inlineStr">
        <is>
          <t>Custo Mercadoria Vendida</t>
        </is>
      </c>
      <c r="T43" t="inlineStr">
        <is>
          <t>Insumos - Bebidas</t>
        </is>
      </c>
      <c r="U43" t="inlineStr">
        <is>
          <t>Documentação Aprovada</t>
        </is>
      </c>
      <c r="V43" t="inlineStr">
        <is>
          <t>Aprovado Diretoria</t>
        </is>
      </c>
      <c r="W43" t="inlineStr">
        <is>
          <t>Aprovado Caixa</t>
        </is>
      </c>
      <c r="X43" t="inlineStr">
        <is>
          <t>Parcela_Paga</t>
        </is>
      </c>
      <c r="Y43" t="n">
        <v>182</v>
      </c>
      <c r="Z43" t="inlineStr">
        <is>
          <t>Love - Shibari - Kamino</t>
        </is>
      </c>
    </row>
    <row r="44">
      <c r="A44" t="n">
        <v>9050</v>
      </c>
      <c r="B44" t="n">
        <v>131039</v>
      </c>
      <c r="C44" t="inlineStr">
        <is>
          <t>Love Cabaret</t>
        </is>
      </c>
      <c r="D44" t="n">
        <v>128</v>
      </c>
      <c r="F44" t="inlineStr">
        <is>
          <t xml:space="preserve">EMPORIO MEL </t>
        </is>
      </c>
      <c r="G44" t="inlineStr">
        <is>
          <t>True</t>
        </is>
      </c>
      <c r="H44" t="n">
        <v>2</v>
      </c>
      <c r="I44" t="n">
        <v>2</v>
      </c>
      <c r="J44" t="n">
        <v>3145.65</v>
      </c>
      <c r="K44" s="27" t="n">
        <v>45806</v>
      </c>
      <c r="L44" s="27" t="n">
        <v>45805</v>
      </c>
      <c r="M44" s="27" t="n">
        <v>45805</v>
      </c>
      <c r="N44" t="n">
        <v>6291.3</v>
      </c>
      <c r="O44" t="n">
        <v>6291.3</v>
      </c>
      <c r="P44" s="27" t="n">
        <v>45785</v>
      </c>
      <c r="Q44" t="inlineStr">
        <is>
          <t>Boleto Bancário</t>
        </is>
      </c>
      <c r="R44" t="inlineStr">
        <is>
          <t>450570</t>
        </is>
      </c>
      <c r="S44" t="inlineStr">
        <is>
          <t>Custo Mercadoria Vendida</t>
        </is>
      </c>
      <c r="T44" t="inlineStr">
        <is>
          <t>Insumos - Bebidas</t>
        </is>
      </c>
      <c r="U44" t="inlineStr">
        <is>
          <t>Documentação Aprovada</t>
        </is>
      </c>
      <c r="V44" t="inlineStr">
        <is>
          <t>Aprovado Diretoria</t>
        </is>
      </c>
      <c r="W44" t="inlineStr">
        <is>
          <t>Aprovado Caixa</t>
        </is>
      </c>
      <c r="X44" t="inlineStr">
        <is>
          <t>Parcela_Paga</t>
        </is>
      </c>
      <c r="Y44" t="n">
        <v>182</v>
      </c>
      <c r="Z44" t="inlineStr">
        <is>
          <t>Love - Shibari - Kamino</t>
        </is>
      </c>
    </row>
    <row r="45">
      <c r="A45" t="n">
        <v>9049</v>
      </c>
      <c r="B45" t="n">
        <v>131039</v>
      </c>
      <c r="C45" t="inlineStr">
        <is>
          <t>Love Cabaret</t>
        </is>
      </c>
      <c r="D45" t="n">
        <v>128</v>
      </c>
      <c r="F45" t="inlineStr">
        <is>
          <t xml:space="preserve">EMPORIO MEL </t>
        </is>
      </c>
      <c r="G45" t="inlineStr">
        <is>
          <t>True</t>
        </is>
      </c>
      <c r="H45" t="n">
        <v>2</v>
      </c>
      <c r="I45" t="n">
        <v>1</v>
      </c>
      <c r="J45" t="n">
        <v>3145.65</v>
      </c>
      <c r="K45" s="27" t="n">
        <v>45799</v>
      </c>
      <c r="L45" s="27" t="n">
        <v>45798</v>
      </c>
      <c r="M45" s="27" t="n">
        <v>45798</v>
      </c>
      <c r="N45" t="n">
        <v>6291.3</v>
      </c>
      <c r="O45" t="n">
        <v>6291.3</v>
      </c>
      <c r="P45" s="27" t="n">
        <v>45785</v>
      </c>
      <c r="Q45" t="inlineStr">
        <is>
          <t>Boleto Bancário</t>
        </is>
      </c>
      <c r="R45" t="inlineStr">
        <is>
          <t>450570</t>
        </is>
      </c>
      <c r="S45" t="inlineStr">
        <is>
          <t>Custo Mercadoria Vendida</t>
        </is>
      </c>
      <c r="T45" t="inlineStr">
        <is>
          <t>Insumos - Bebidas</t>
        </is>
      </c>
      <c r="U45" t="inlineStr">
        <is>
          <t>Documentação Aprovada</t>
        </is>
      </c>
      <c r="V45" t="inlineStr">
        <is>
          <t>Aprovado Diretoria</t>
        </is>
      </c>
      <c r="W45" t="inlineStr">
        <is>
          <t>Aprovado Caixa</t>
        </is>
      </c>
      <c r="X45" t="inlineStr">
        <is>
          <t>Parcela_Paga</t>
        </is>
      </c>
      <c r="Y45" t="n">
        <v>115</v>
      </c>
      <c r="Z45" t="inlineStr">
        <is>
          <t>Love - Shibari - Bradesco</t>
        </is>
      </c>
    </row>
    <row r="46">
      <c r="A46" t="n">
        <v>8665</v>
      </c>
      <c r="B46" t="n">
        <v>125011</v>
      </c>
      <c r="C46" t="inlineStr">
        <is>
          <t>Love Cabaret</t>
        </is>
      </c>
      <c r="D46" t="n">
        <v>128</v>
      </c>
      <c r="F46" t="inlineStr">
        <is>
          <t>ZAHIL IMPORTADORA LTDA</t>
        </is>
      </c>
      <c r="G46" t="inlineStr">
        <is>
          <t>True</t>
        </is>
      </c>
      <c r="H46" t="n">
        <v>2</v>
      </c>
      <c r="I46" t="n">
        <v>2</v>
      </c>
      <c r="J46" t="n">
        <v>964.4</v>
      </c>
      <c r="K46" s="27" t="n">
        <v>45799</v>
      </c>
      <c r="L46" s="27" t="n">
        <v>45798</v>
      </c>
      <c r="M46" s="27" t="n">
        <v>45798</v>
      </c>
      <c r="N46" t="n">
        <v>1928.81</v>
      </c>
      <c r="O46" t="n">
        <v>1928.81</v>
      </c>
      <c r="P46" s="27" t="n">
        <v>45758</v>
      </c>
      <c r="Q46" t="inlineStr">
        <is>
          <t>Boleto Bancário</t>
        </is>
      </c>
      <c r="R46" t="inlineStr">
        <is>
          <t>245166</t>
        </is>
      </c>
      <c r="S46" t="inlineStr">
        <is>
          <t>Custo Mercadoria Vendida</t>
        </is>
      </c>
      <c r="T46" t="inlineStr">
        <is>
          <t>Insumos - Bebidas</t>
        </is>
      </c>
      <c r="U46" t="inlineStr">
        <is>
          <t>Documentação Aprovada</t>
        </is>
      </c>
      <c r="V46" t="inlineStr">
        <is>
          <t>Aprovado Diretoria</t>
        </is>
      </c>
      <c r="W46" t="inlineStr">
        <is>
          <t>Aprovado Caixa</t>
        </is>
      </c>
      <c r="X46" t="inlineStr">
        <is>
          <t>Parcela_Paga</t>
        </is>
      </c>
      <c r="Y46" t="n">
        <v>115</v>
      </c>
      <c r="Z46" t="inlineStr">
        <is>
          <t>Love - Shibari - Bradesco</t>
        </is>
      </c>
    </row>
    <row r="47">
      <c r="A47" t="n">
        <v>8664</v>
      </c>
      <c r="B47" t="n">
        <v>125011</v>
      </c>
      <c r="C47" t="inlineStr">
        <is>
          <t>Love Cabaret</t>
        </is>
      </c>
      <c r="D47" t="n">
        <v>128</v>
      </c>
      <c r="F47" t="inlineStr">
        <is>
          <t>ZAHIL IMPORTADORA LTDA</t>
        </is>
      </c>
      <c r="G47" t="inlineStr">
        <is>
          <t>True</t>
        </is>
      </c>
      <c r="H47" t="n">
        <v>2</v>
      </c>
      <c r="I47" t="n">
        <v>1</v>
      </c>
      <c r="J47" t="n">
        <v>964.41</v>
      </c>
      <c r="K47" s="27" t="n">
        <v>45784</v>
      </c>
      <c r="L47" s="27" t="n">
        <v>45782</v>
      </c>
      <c r="M47" s="27" t="n">
        <v>45784</v>
      </c>
      <c r="N47" t="n">
        <v>1928.81</v>
      </c>
      <c r="O47" t="n">
        <v>1928.81</v>
      </c>
      <c r="P47" s="27" t="n">
        <v>45758</v>
      </c>
      <c r="Q47" t="inlineStr">
        <is>
          <t>Boleto Bancário</t>
        </is>
      </c>
      <c r="R47" t="inlineStr">
        <is>
          <t>245166</t>
        </is>
      </c>
      <c r="S47" t="inlineStr">
        <is>
          <t>Custo Mercadoria Vendida</t>
        </is>
      </c>
      <c r="T47" t="inlineStr">
        <is>
          <t>Insumos - Bebidas</t>
        </is>
      </c>
      <c r="U47" t="inlineStr">
        <is>
          <t>Documentação Aprovada</t>
        </is>
      </c>
      <c r="V47" t="inlineStr">
        <is>
          <t>Aprovado Diretoria</t>
        </is>
      </c>
      <c r="W47" t="inlineStr">
        <is>
          <t>Aprovado Caixa</t>
        </is>
      </c>
      <c r="X47" t="inlineStr">
        <is>
          <t>Parcela_Paga</t>
        </is>
      </c>
      <c r="Y47" t="n">
        <v>115</v>
      </c>
      <c r="Z47" t="inlineStr">
        <is>
          <t>Love - Shibari - Bradesco</t>
        </is>
      </c>
    </row>
    <row r="48">
      <c r="A48" t="n">
        <v>8404</v>
      </c>
      <c r="B48" t="n">
        <v>119887</v>
      </c>
      <c r="C48" t="inlineStr">
        <is>
          <t>Love Cabaret</t>
        </is>
      </c>
      <c r="D48" t="n">
        <v>128</v>
      </c>
      <c r="F48" t="inlineStr">
        <is>
          <t>ZAHIL IMPORTADORA LTDA</t>
        </is>
      </c>
      <c r="G48" t="inlineStr">
        <is>
          <t>True</t>
        </is>
      </c>
      <c r="H48" t="n">
        <v>2</v>
      </c>
      <c r="I48" t="n">
        <v>2</v>
      </c>
      <c r="J48" t="n">
        <v>1121.44</v>
      </c>
      <c r="K48" s="27" t="n">
        <v>45778</v>
      </c>
      <c r="L48" s="27" t="n">
        <v>45777</v>
      </c>
      <c r="M48" s="27" t="n">
        <v>45777</v>
      </c>
      <c r="N48" t="n">
        <v>2242.89</v>
      </c>
      <c r="O48" t="n">
        <v>2242.89</v>
      </c>
      <c r="P48" s="27" t="n">
        <v>45736</v>
      </c>
      <c r="Q48" t="inlineStr">
        <is>
          <t>Boleto Bancário</t>
        </is>
      </c>
      <c r="R48" t="inlineStr">
        <is>
          <t>243793</t>
        </is>
      </c>
      <c r="S48" t="inlineStr">
        <is>
          <t>Custo Mercadoria Vendida</t>
        </is>
      </c>
      <c r="T48" t="inlineStr">
        <is>
          <t>Insumos - Bebidas</t>
        </is>
      </c>
      <c r="U48" t="inlineStr">
        <is>
          <t>Documentação Aprovada</t>
        </is>
      </c>
      <c r="V48" t="inlineStr">
        <is>
          <t>Aprovado Diretoria</t>
        </is>
      </c>
      <c r="W48" t="inlineStr">
        <is>
          <t>Aprovado Caixa</t>
        </is>
      </c>
      <c r="X48" t="inlineStr">
        <is>
          <t>Parcela_Paga</t>
        </is>
      </c>
      <c r="Y48" t="n">
        <v>115</v>
      </c>
      <c r="Z48" t="inlineStr">
        <is>
          <t>Love - Shibari - Bradesco</t>
        </is>
      </c>
    </row>
    <row r="49">
      <c r="A49" t="n">
        <v>8403</v>
      </c>
      <c r="B49" t="n">
        <v>119887</v>
      </c>
      <c r="C49" t="inlineStr">
        <is>
          <t>Love Cabaret</t>
        </is>
      </c>
      <c r="D49" t="n">
        <v>128</v>
      </c>
      <c r="F49" t="inlineStr">
        <is>
          <t>ZAHIL IMPORTADORA LTDA</t>
        </is>
      </c>
      <c r="G49" t="inlineStr">
        <is>
          <t>True</t>
        </is>
      </c>
      <c r="H49" t="n">
        <v>2</v>
      </c>
      <c r="I49" t="n">
        <v>1</v>
      </c>
      <c r="J49" t="n">
        <v>1121.45</v>
      </c>
      <c r="K49" s="27" t="n">
        <v>45763</v>
      </c>
      <c r="L49" s="27" t="n">
        <v>45761</v>
      </c>
      <c r="M49" s="27" t="n">
        <v>45761</v>
      </c>
      <c r="N49" t="n">
        <v>2242.89</v>
      </c>
      <c r="O49" t="n">
        <v>2242.89</v>
      </c>
      <c r="P49" s="27" t="n">
        <v>45736</v>
      </c>
      <c r="Q49" t="inlineStr">
        <is>
          <t>Boleto Bancário</t>
        </is>
      </c>
      <c r="R49" t="inlineStr">
        <is>
          <t>243793</t>
        </is>
      </c>
      <c r="S49" t="inlineStr">
        <is>
          <t>Custo Mercadoria Vendida</t>
        </is>
      </c>
      <c r="T49" t="inlineStr">
        <is>
          <t>Insumos - Bebidas</t>
        </is>
      </c>
      <c r="U49" t="inlineStr">
        <is>
          <t>Documentação Aprovada</t>
        </is>
      </c>
      <c r="V49" t="inlineStr">
        <is>
          <t>Aprovado Diretoria</t>
        </is>
      </c>
      <c r="W49" t="inlineStr">
        <is>
          <t>Aprovado Caixa</t>
        </is>
      </c>
      <c r="X49" t="inlineStr">
        <is>
          <t>Parcela_Paga</t>
        </is>
      </c>
      <c r="Y49" t="n">
        <v>115</v>
      </c>
      <c r="Z49" t="inlineStr">
        <is>
          <t>Love - Shibari - Bradesco</t>
        </is>
      </c>
    </row>
    <row r="50">
      <c r="A50" t="n">
        <v>7309</v>
      </c>
      <c r="B50" t="n">
        <v>103223</v>
      </c>
      <c r="C50" t="inlineStr">
        <is>
          <t>Love Cabaret</t>
        </is>
      </c>
      <c r="D50" t="n">
        <v>128</v>
      </c>
      <c r="F50" t="inlineStr">
        <is>
          <t>ZAHIL IMPORTADORA LTDA</t>
        </is>
      </c>
      <c r="G50" t="inlineStr">
        <is>
          <t>True</t>
        </is>
      </c>
      <c r="H50" t="n">
        <v>2</v>
      </c>
      <c r="I50" t="n">
        <v>2</v>
      </c>
      <c r="J50" t="n">
        <v>1009.3</v>
      </c>
      <c r="K50" s="27" t="n">
        <v>45716</v>
      </c>
      <c r="L50" s="27" t="n">
        <v>45714</v>
      </c>
      <c r="M50" s="27" t="n">
        <v>45714</v>
      </c>
      <c r="N50" t="n">
        <v>2018.61</v>
      </c>
      <c r="O50" t="n">
        <v>2018.61</v>
      </c>
      <c r="P50" s="27" t="n">
        <v>45673</v>
      </c>
      <c r="Q50" t="inlineStr">
        <is>
          <t>Boleto Bancário</t>
        </is>
      </c>
      <c r="R50" t="inlineStr">
        <is>
          <t>240994</t>
        </is>
      </c>
      <c r="S50" t="inlineStr">
        <is>
          <t>Custo Mercadoria Vendida</t>
        </is>
      </c>
      <c r="T50" t="inlineStr">
        <is>
          <t>Insumos - Bebidas</t>
        </is>
      </c>
      <c r="U50" t="inlineStr">
        <is>
          <t>Documentação Aprovada</t>
        </is>
      </c>
      <c r="V50" t="inlineStr">
        <is>
          <t>Aprovado Diretoria</t>
        </is>
      </c>
      <c r="W50" t="inlineStr">
        <is>
          <t>Aprovado Caixa</t>
        </is>
      </c>
      <c r="X50" t="inlineStr">
        <is>
          <t>Parcela_Paga</t>
        </is>
      </c>
      <c r="Y50" t="n">
        <v>115</v>
      </c>
      <c r="Z50" t="inlineStr">
        <is>
          <t>Love - Shibari - Bradesco</t>
        </is>
      </c>
    </row>
    <row r="51">
      <c r="A51" t="n">
        <v>7443</v>
      </c>
      <c r="B51" t="n">
        <v>105276</v>
      </c>
      <c r="C51" t="inlineStr">
        <is>
          <t>Love Cabaret</t>
        </is>
      </c>
      <c r="D51" t="n">
        <v>128</v>
      </c>
      <c r="F51" t="inlineStr">
        <is>
          <t>KING COMERCIO E IMPORTACAO DE BEBIDAS LTDA</t>
        </is>
      </c>
      <c r="G51" t="inlineStr">
        <is>
          <t>True</t>
        </is>
      </c>
      <c r="H51" t="n">
        <v>2</v>
      </c>
      <c r="I51" t="n">
        <v>2</v>
      </c>
      <c r="J51" t="n">
        <v>3855.44</v>
      </c>
      <c r="K51" s="27" t="n">
        <v>45709</v>
      </c>
      <c r="L51" s="27" t="n">
        <v>45707</v>
      </c>
      <c r="M51" s="27" t="n">
        <v>45707</v>
      </c>
      <c r="N51" t="n">
        <v>7710.87</v>
      </c>
      <c r="O51" t="n">
        <v>7710.87</v>
      </c>
      <c r="P51" s="27" t="n">
        <v>45681</v>
      </c>
      <c r="Q51" t="inlineStr">
        <is>
          <t>Boleto Bancário</t>
        </is>
      </c>
      <c r="R51" t="inlineStr">
        <is>
          <t>114647</t>
        </is>
      </c>
      <c r="S51" t="inlineStr">
        <is>
          <t>Custo Mercadoria Vendida</t>
        </is>
      </c>
      <c r="T51" t="inlineStr">
        <is>
          <t>Insumos - Bebidas</t>
        </is>
      </c>
      <c r="U51" t="inlineStr">
        <is>
          <t>Documentação Aprovada</t>
        </is>
      </c>
      <c r="V51" t="inlineStr">
        <is>
          <t>Aprovado Diretoria</t>
        </is>
      </c>
      <c r="W51" t="inlineStr">
        <is>
          <t>Aprovado Caixa</t>
        </is>
      </c>
      <c r="X51" t="inlineStr">
        <is>
          <t>Parcela_Paga</t>
        </is>
      </c>
      <c r="Y51" t="n">
        <v>115</v>
      </c>
      <c r="Z51" t="inlineStr">
        <is>
          <t>Love - Shibari - Bradesco</t>
        </is>
      </c>
    </row>
    <row r="52">
      <c r="A52" t="n">
        <v>7277</v>
      </c>
      <c r="B52" t="n">
        <v>101843</v>
      </c>
      <c r="C52" t="inlineStr">
        <is>
          <t>Love Cabaret</t>
        </is>
      </c>
      <c r="D52" t="n">
        <v>128</v>
      </c>
      <c r="F52" t="inlineStr">
        <is>
          <t>ZAHIL IMPORTADORA LTDA</t>
        </is>
      </c>
      <c r="G52" t="inlineStr">
        <is>
          <t>True</t>
        </is>
      </c>
      <c r="H52" t="n">
        <v>2</v>
      </c>
      <c r="I52" t="n">
        <v>2</v>
      </c>
      <c r="J52" t="n">
        <v>779.5700000000001</v>
      </c>
      <c r="K52" s="27" t="n">
        <v>45708</v>
      </c>
      <c r="L52" s="27" t="n">
        <v>45707</v>
      </c>
      <c r="M52" s="27" t="n">
        <v>45707</v>
      </c>
      <c r="N52" t="n">
        <v>1559.14</v>
      </c>
      <c r="O52" t="n">
        <v>1559.14</v>
      </c>
      <c r="P52" s="27" t="n">
        <v>45670</v>
      </c>
      <c r="Q52" t="inlineStr">
        <is>
          <t>Boleto Bancário</t>
        </is>
      </c>
      <c r="R52" t="inlineStr">
        <is>
          <t>240650</t>
        </is>
      </c>
      <c r="S52" t="inlineStr">
        <is>
          <t>Custo Mercadoria Vendida</t>
        </is>
      </c>
      <c r="T52" t="inlineStr">
        <is>
          <t>Insumos - Bebidas</t>
        </is>
      </c>
      <c r="U52" t="inlineStr">
        <is>
          <t>Documentação Aprovada</t>
        </is>
      </c>
      <c r="V52" t="inlineStr">
        <is>
          <t>Aprovado Diretoria</t>
        </is>
      </c>
      <c r="W52" t="inlineStr">
        <is>
          <t>Aprovado Caixa</t>
        </is>
      </c>
      <c r="X52" t="inlineStr">
        <is>
          <t>Parcela_Paga</t>
        </is>
      </c>
      <c r="Y52" t="n">
        <v>115</v>
      </c>
      <c r="Z52" t="inlineStr">
        <is>
          <t>Love - Shibari - Bradesco</t>
        </is>
      </c>
    </row>
    <row r="53">
      <c r="A53" t="n">
        <v>7307</v>
      </c>
      <c r="B53" t="n">
        <v>103196</v>
      </c>
      <c r="C53" t="inlineStr">
        <is>
          <t>Love Cabaret</t>
        </is>
      </c>
      <c r="D53" t="n">
        <v>128</v>
      </c>
      <c r="F53" t="inlineStr">
        <is>
          <t>KING COMERCIO E IMPORTACAO DE BEBIDAS LTDA</t>
        </is>
      </c>
      <c r="G53" t="inlineStr">
        <is>
          <t>True</t>
        </is>
      </c>
      <c r="H53" t="n">
        <v>2</v>
      </c>
      <c r="I53" t="n">
        <v>2</v>
      </c>
      <c r="J53" t="n">
        <v>2835.49</v>
      </c>
      <c r="K53" s="27" t="n">
        <v>45705</v>
      </c>
      <c r="L53" s="27" t="n">
        <v>45705</v>
      </c>
      <c r="M53" s="27" t="n">
        <v>45705</v>
      </c>
      <c r="N53" t="n">
        <v>5670.98</v>
      </c>
      <c r="O53" t="n">
        <v>5670.98</v>
      </c>
      <c r="P53" s="27" t="n">
        <v>45673</v>
      </c>
      <c r="Q53" t="inlineStr">
        <is>
          <t>Boleto Bancário</t>
        </is>
      </c>
      <c r="R53" t="inlineStr">
        <is>
          <t>114556</t>
        </is>
      </c>
      <c r="S53" t="inlineStr">
        <is>
          <t>Custo Mercadoria Vendida</t>
        </is>
      </c>
      <c r="T53" t="inlineStr">
        <is>
          <t>Insumos - Bebidas</t>
        </is>
      </c>
      <c r="U53" t="inlineStr">
        <is>
          <t>Documentação Aprovada</t>
        </is>
      </c>
      <c r="V53" t="inlineStr">
        <is>
          <t>Aprovado Diretoria</t>
        </is>
      </c>
      <c r="W53" t="inlineStr">
        <is>
          <t>Aprovado Caixa</t>
        </is>
      </c>
      <c r="X53" t="inlineStr">
        <is>
          <t>Parcela_Paga</t>
        </is>
      </c>
      <c r="Y53" t="n">
        <v>115</v>
      </c>
      <c r="Z53" t="inlineStr">
        <is>
          <t>Love - Shibari - Bradesco</t>
        </is>
      </c>
    </row>
    <row r="54">
      <c r="A54" t="n">
        <v>7442</v>
      </c>
      <c r="B54" t="n">
        <v>105276</v>
      </c>
      <c r="C54" t="inlineStr">
        <is>
          <t>Love Cabaret</t>
        </is>
      </c>
      <c r="D54" t="n">
        <v>128</v>
      </c>
      <c r="F54" t="inlineStr">
        <is>
          <t>KING COMERCIO E IMPORTACAO DE BEBIDAS LTDA</t>
        </is>
      </c>
      <c r="G54" t="inlineStr">
        <is>
          <t>True</t>
        </is>
      </c>
      <c r="H54" t="n">
        <v>2</v>
      </c>
      <c r="I54" t="n">
        <v>1</v>
      </c>
      <c r="J54" t="n">
        <v>3855.43</v>
      </c>
      <c r="K54" s="27" t="n">
        <v>45702</v>
      </c>
      <c r="L54" s="27" t="n">
        <v>45700</v>
      </c>
      <c r="M54" s="27" t="n">
        <v>45700</v>
      </c>
      <c r="N54" t="n">
        <v>7710.87</v>
      </c>
      <c r="O54" t="n">
        <v>7710.87</v>
      </c>
      <c r="P54" s="27" t="n">
        <v>45681</v>
      </c>
      <c r="Q54" t="inlineStr">
        <is>
          <t>Boleto Bancário</t>
        </is>
      </c>
      <c r="R54" t="inlineStr">
        <is>
          <t>114647</t>
        </is>
      </c>
      <c r="S54" t="inlineStr">
        <is>
          <t>Custo Mercadoria Vendida</t>
        </is>
      </c>
      <c r="T54" t="inlineStr">
        <is>
          <t>Insumos - Bebidas</t>
        </is>
      </c>
      <c r="U54" t="inlineStr">
        <is>
          <t>Documentação Aprovada</t>
        </is>
      </c>
      <c r="V54" t="inlineStr">
        <is>
          <t>Aprovado Diretoria</t>
        </is>
      </c>
      <c r="W54" t="inlineStr">
        <is>
          <t>Aprovado Caixa</t>
        </is>
      </c>
      <c r="X54" t="inlineStr">
        <is>
          <t>Parcela_Paga</t>
        </is>
      </c>
      <c r="Y54" t="n">
        <v>115</v>
      </c>
      <c r="Z54" t="inlineStr">
        <is>
          <t>Love - Shibari - Bradesco</t>
        </is>
      </c>
    </row>
    <row r="55">
      <c r="A55" t="n">
        <v>7308</v>
      </c>
      <c r="B55" t="n">
        <v>103223</v>
      </c>
      <c r="C55" t="inlineStr">
        <is>
          <t>Love Cabaret</t>
        </is>
      </c>
      <c r="D55" t="n">
        <v>128</v>
      </c>
      <c r="F55" t="inlineStr">
        <is>
          <t>ZAHIL IMPORTADORA LTDA</t>
        </is>
      </c>
      <c r="G55" t="inlineStr">
        <is>
          <t>True</t>
        </is>
      </c>
      <c r="H55" t="n">
        <v>2</v>
      </c>
      <c r="I55" t="n">
        <v>1</v>
      </c>
      <c r="J55" t="n">
        <v>1009.31</v>
      </c>
      <c r="K55" s="27" t="n">
        <v>45700</v>
      </c>
      <c r="L55" s="27" t="n">
        <v>45698</v>
      </c>
      <c r="M55" s="27" t="n">
        <v>45698</v>
      </c>
      <c r="N55" t="n">
        <v>2018.61</v>
      </c>
      <c r="O55" t="n">
        <v>2018.61</v>
      </c>
      <c r="P55" s="27" t="n">
        <v>45673</v>
      </c>
      <c r="Q55" t="inlineStr">
        <is>
          <t>Boleto Bancário</t>
        </is>
      </c>
      <c r="R55" t="inlineStr">
        <is>
          <t>240994</t>
        </is>
      </c>
      <c r="S55" t="inlineStr">
        <is>
          <t>Custo Mercadoria Vendida</t>
        </is>
      </c>
      <c r="T55" t="inlineStr">
        <is>
          <t>Insumos - Bebidas</t>
        </is>
      </c>
      <c r="U55" t="inlineStr">
        <is>
          <t>Documentação Aprovada</t>
        </is>
      </c>
      <c r="V55" t="inlineStr">
        <is>
          <t>Aprovado Diretoria</t>
        </is>
      </c>
      <c r="W55" t="inlineStr">
        <is>
          <t>Aprovado Caixa</t>
        </is>
      </c>
      <c r="X55" t="inlineStr">
        <is>
          <t>Parcela_Paga</t>
        </is>
      </c>
      <c r="Y55" t="n">
        <v>115</v>
      </c>
      <c r="Z55" t="inlineStr">
        <is>
          <t>Love - Shibari - Bradesco</t>
        </is>
      </c>
    </row>
    <row r="56">
      <c r="A56" t="n">
        <v>7306</v>
      </c>
      <c r="B56" t="n">
        <v>103196</v>
      </c>
      <c r="C56" t="inlineStr">
        <is>
          <t>Love Cabaret</t>
        </is>
      </c>
      <c r="D56" t="n">
        <v>128</v>
      </c>
      <c r="F56" t="inlineStr">
        <is>
          <t>KING COMERCIO E IMPORTACAO DE BEBIDAS LTDA</t>
        </is>
      </c>
      <c r="G56" t="inlineStr">
        <is>
          <t>True</t>
        </is>
      </c>
      <c r="H56" t="n">
        <v>2</v>
      </c>
      <c r="I56" t="n">
        <v>1</v>
      </c>
      <c r="J56" t="n">
        <v>2835.49</v>
      </c>
      <c r="K56" s="27" t="n">
        <v>45698</v>
      </c>
      <c r="L56" s="27" t="n">
        <v>45698</v>
      </c>
      <c r="M56" s="27" t="n">
        <v>45698</v>
      </c>
      <c r="N56" t="n">
        <v>5670.98</v>
      </c>
      <c r="O56" t="n">
        <v>5670.98</v>
      </c>
      <c r="P56" s="27" t="n">
        <v>45673</v>
      </c>
      <c r="Q56" t="inlineStr">
        <is>
          <t>Boleto Bancário</t>
        </is>
      </c>
      <c r="R56" t="inlineStr">
        <is>
          <t>114556</t>
        </is>
      </c>
      <c r="S56" t="inlineStr">
        <is>
          <t>Custo Mercadoria Vendida</t>
        </is>
      </c>
      <c r="T56" t="inlineStr">
        <is>
          <t>Insumos - Bebidas</t>
        </is>
      </c>
      <c r="U56" t="inlineStr">
        <is>
          <t>Documentação Aprovada</t>
        </is>
      </c>
      <c r="V56" t="inlineStr">
        <is>
          <t>Aprovado Diretoria</t>
        </is>
      </c>
      <c r="W56" t="inlineStr">
        <is>
          <t>Aprovado Caixa</t>
        </is>
      </c>
      <c r="X56" t="inlineStr">
        <is>
          <t>Parcela_Paga</t>
        </is>
      </c>
      <c r="Y56" t="n">
        <v>115</v>
      </c>
      <c r="Z56" t="inlineStr">
        <is>
          <t>Love - Shibari - Bradesco</t>
        </is>
      </c>
    </row>
    <row r="57">
      <c r="A57" t="n">
        <v>7276</v>
      </c>
      <c r="B57" t="n">
        <v>101843</v>
      </c>
      <c r="C57" t="inlineStr">
        <is>
          <t>Love Cabaret</t>
        </is>
      </c>
      <c r="D57" t="n">
        <v>128</v>
      </c>
      <c r="F57" t="inlineStr">
        <is>
          <t>ZAHIL IMPORTADORA LTDA</t>
        </is>
      </c>
      <c r="G57" t="inlineStr">
        <is>
          <t>True</t>
        </is>
      </c>
      <c r="H57" t="n">
        <v>2</v>
      </c>
      <c r="I57" t="n">
        <v>1</v>
      </c>
      <c r="J57" t="n">
        <v>779.5700000000001</v>
      </c>
      <c r="K57" s="27" t="n">
        <v>45693</v>
      </c>
      <c r="L57" s="27" t="n">
        <v>45692</v>
      </c>
      <c r="M57" s="27" t="n">
        <v>45692</v>
      </c>
      <c r="N57" t="n">
        <v>1559.14</v>
      </c>
      <c r="O57" t="n">
        <v>1559.14</v>
      </c>
      <c r="P57" s="27" t="n">
        <v>45670</v>
      </c>
      <c r="Q57" t="inlineStr">
        <is>
          <t>Boleto Bancário</t>
        </is>
      </c>
      <c r="R57" t="inlineStr">
        <is>
          <t>240650</t>
        </is>
      </c>
      <c r="S57" t="inlineStr">
        <is>
          <t>Custo Mercadoria Vendida</t>
        </is>
      </c>
      <c r="T57" t="inlineStr">
        <is>
          <t>Insumos - Bebidas</t>
        </is>
      </c>
      <c r="U57" t="inlineStr">
        <is>
          <t>Documentação Aprovada</t>
        </is>
      </c>
      <c r="V57" t="inlineStr">
        <is>
          <t>Aprovado Diretoria</t>
        </is>
      </c>
      <c r="W57" t="inlineStr">
        <is>
          <t>Aprovado Caixa</t>
        </is>
      </c>
      <c r="X57" t="inlineStr">
        <is>
          <t>Parcela_Paga</t>
        </is>
      </c>
      <c r="Y57" t="n">
        <v>115</v>
      </c>
      <c r="Z57" t="inlineStr">
        <is>
          <t>Love - Shibari - Bradesco</t>
        </is>
      </c>
    </row>
    <row r="58">
      <c r="A58" t="n">
        <v>6909</v>
      </c>
      <c r="B58" t="n">
        <v>96312</v>
      </c>
      <c r="C58" t="inlineStr">
        <is>
          <t>Love Cabaret</t>
        </is>
      </c>
      <c r="D58" t="n">
        <v>128</v>
      </c>
      <c r="F58" t="inlineStr">
        <is>
          <t>ZAHIL IMPORTADORA LTDA</t>
        </is>
      </c>
      <c r="G58" t="inlineStr">
        <is>
          <t>True</t>
        </is>
      </c>
      <c r="H58" t="n">
        <v>2</v>
      </c>
      <c r="I58" t="n">
        <v>2</v>
      </c>
      <c r="J58" t="n">
        <v>729.04</v>
      </c>
      <c r="K58" s="27" t="n">
        <v>45687</v>
      </c>
      <c r="L58" s="27" t="n">
        <v>45686</v>
      </c>
      <c r="M58" s="27" t="n">
        <v>45686</v>
      </c>
      <c r="N58" t="n">
        <v>1458.09</v>
      </c>
      <c r="O58" t="n">
        <v>1458.09</v>
      </c>
      <c r="P58" s="27" t="n">
        <v>45644</v>
      </c>
      <c r="Q58" t="inlineStr">
        <is>
          <t>Boleto Bancário</t>
        </is>
      </c>
      <c r="R58" t="inlineStr">
        <is>
          <t>239831</t>
        </is>
      </c>
      <c r="S58" t="inlineStr">
        <is>
          <t>Custo Mercadoria Vendida</t>
        </is>
      </c>
      <c r="T58" t="inlineStr">
        <is>
          <t>Insumos - Bebidas</t>
        </is>
      </c>
      <c r="U58" t="inlineStr">
        <is>
          <t>Documentação Aprovada</t>
        </is>
      </c>
      <c r="V58" t="inlineStr">
        <is>
          <t>Aprovado Diretoria</t>
        </is>
      </c>
      <c r="W58" t="inlineStr">
        <is>
          <t>Aprovado Caixa</t>
        </is>
      </c>
      <c r="X58" t="inlineStr">
        <is>
          <t>Parcela_Paga</t>
        </is>
      </c>
      <c r="Y58" t="n">
        <v>115</v>
      </c>
      <c r="Z58" t="inlineStr">
        <is>
          <t>Love - Shibari - Bradesco</t>
        </is>
      </c>
    </row>
    <row r="59">
      <c r="A59" t="n">
        <v>6908</v>
      </c>
      <c r="B59" t="n">
        <v>96312</v>
      </c>
      <c r="C59" t="inlineStr">
        <is>
          <t>Love Cabaret</t>
        </is>
      </c>
      <c r="D59" t="n">
        <v>128</v>
      </c>
      <c r="F59" t="inlineStr">
        <is>
          <t>ZAHIL IMPORTADORA LTDA</t>
        </is>
      </c>
      <c r="G59" t="inlineStr">
        <is>
          <t>True</t>
        </is>
      </c>
      <c r="H59" t="n">
        <v>2</v>
      </c>
      <c r="I59" t="n">
        <v>1</v>
      </c>
      <c r="J59" t="n">
        <v>729.05</v>
      </c>
      <c r="K59" s="27" t="n">
        <v>45672</v>
      </c>
      <c r="L59" s="27" t="n">
        <v>45670</v>
      </c>
      <c r="M59" s="27" t="n">
        <v>45670</v>
      </c>
      <c r="N59" t="n">
        <v>1458.09</v>
      </c>
      <c r="O59" t="n">
        <v>1458.09</v>
      </c>
      <c r="P59" s="27" t="n">
        <v>45644</v>
      </c>
      <c r="Q59" t="inlineStr">
        <is>
          <t>Boleto Bancário</t>
        </is>
      </c>
      <c r="R59" t="inlineStr">
        <is>
          <t>239831</t>
        </is>
      </c>
      <c r="S59" t="inlineStr">
        <is>
          <t>Custo Mercadoria Vendida</t>
        </is>
      </c>
      <c r="T59" t="inlineStr">
        <is>
          <t>Insumos - Bebidas</t>
        </is>
      </c>
      <c r="U59" t="inlineStr">
        <is>
          <t>Documentação Aprovada</t>
        </is>
      </c>
      <c r="V59" t="inlineStr">
        <is>
          <t>Aprovado Diretoria</t>
        </is>
      </c>
      <c r="W59" t="inlineStr">
        <is>
          <t>Aprovado Caixa</t>
        </is>
      </c>
      <c r="X59" t="inlineStr">
        <is>
          <t>Parcela_Paga</t>
        </is>
      </c>
      <c r="Y59" t="n">
        <v>115</v>
      </c>
      <c r="Z59" t="inlineStr">
        <is>
          <t>Love - Shibari - Bradesco</t>
        </is>
      </c>
    </row>
    <row r="60">
      <c r="A60" t="n">
        <v>6740</v>
      </c>
      <c r="B60" t="n">
        <v>94374</v>
      </c>
      <c r="C60" t="inlineStr">
        <is>
          <t>Love Cabaret</t>
        </is>
      </c>
      <c r="D60" t="n">
        <v>128</v>
      </c>
      <c r="F60" t="inlineStr">
        <is>
          <t>KING COMERCIO E IMPORTACAO DE BEBIDAS LTDA</t>
        </is>
      </c>
      <c r="G60" t="inlineStr">
        <is>
          <t>True</t>
        </is>
      </c>
      <c r="H60" t="n">
        <v>2</v>
      </c>
      <c r="I60" t="n">
        <v>2</v>
      </c>
      <c r="J60" t="n">
        <v>3947.36</v>
      </c>
      <c r="K60" s="27" t="n">
        <v>45667</v>
      </c>
      <c r="L60" s="27" t="n">
        <v>45665</v>
      </c>
      <c r="M60" s="27" t="n">
        <v>45665</v>
      </c>
      <c r="N60" t="n">
        <v>7894.71</v>
      </c>
      <c r="O60" t="n">
        <v>7894.71</v>
      </c>
      <c r="P60" s="27" t="n">
        <v>45637</v>
      </c>
      <c r="Q60" t="inlineStr">
        <is>
          <t>Boleto Bancário</t>
        </is>
      </c>
      <c r="R60" t="inlineStr">
        <is>
          <t>113666</t>
        </is>
      </c>
      <c r="S60" t="inlineStr">
        <is>
          <t>Custo Mercadoria Vendida</t>
        </is>
      </c>
      <c r="T60" t="inlineStr">
        <is>
          <t>Insumos - Bebidas</t>
        </is>
      </c>
      <c r="U60" t="inlineStr">
        <is>
          <t>Documentação Aprovada</t>
        </is>
      </c>
      <c r="V60" t="inlineStr">
        <is>
          <t>Aprovado Diretoria</t>
        </is>
      </c>
      <c r="W60" t="inlineStr">
        <is>
          <t>Aprovado Caixa</t>
        </is>
      </c>
      <c r="X60" t="inlineStr">
        <is>
          <t>Parcela_Paga</t>
        </is>
      </c>
      <c r="Y60" t="n">
        <v>115</v>
      </c>
      <c r="Z60" t="inlineStr">
        <is>
          <t>Love - Shibari - Bradesco</t>
        </is>
      </c>
    </row>
    <row r="61">
      <c r="A61" t="n">
        <v>6425</v>
      </c>
      <c r="B61" t="n">
        <v>91275</v>
      </c>
      <c r="C61" t="inlineStr">
        <is>
          <t>Love Cabaret</t>
        </is>
      </c>
      <c r="D61" t="n">
        <v>128</v>
      </c>
      <c r="F61" t="inlineStr">
        <is>
          <t>KING COMERCIO E IMPORTACAO DE BEBIDAS LTDA</t>
        </is>
      </c>
      <c r="G61" t="inlineStr">
        <is>
          <t>True</t>
        </is>
      </c>
      <c r="H61" t="n">
        <v>3</v>
      </c>
      <c r="I61" t="n">
        <v>3</v>
      </c>
      <c r="J61" t="n">
        <v>6279.85</v>
      </c>
      <c r="K61" s="27" t="n">
        <v>45665</v>
      </c>
      <c r="L61" s="27" t="n">
        <v>45663</v>
      </c>
      <c r="M61" s="27" t="n">
        <v>45663</v>
      </c>
      <c r="N61" t="n">
        <v>18839.56</v>
      </c>
      <c r="O61" t="n">
        <v>18839.56</v>
      </c>
      <c r="P61" s="27" t="n">
        <v>45631</v>
      </c>
      <c r="Q61" t="inlineStr">
        <is>
          <t>Boleto Bancário</t>
        </is>
      </c>
      <c r="R61" t="inlineStr">
        <is>
          <t>113373</t>
        </is>
      </c>
      <c r="S61" t="inlineStr">
        <is>
          <t>ADIANTAMENTO A FORNECEDORES</t>
        </is>
      </c>
      <c r="T61" t="inlineStr">
        <is>
          <t>ADIANTAMENTO A FORNECEDORES</t>
        </is>
      </c>
      <c r="U61" t="inlineStr">
        <is>
          <t>Documentação Aprovada</t>
        </is>
      </c>
      <c r="V61" t="inlineStr">
        <is>
          <t>Aprovado Diretoria</t>
        </is>
      </c>
      <c r="W61" t="inlineStr">
        <is>
          <t>Aprovado Caixa</t>
        </is>
      </c>
      <c r="X61" t="inlineStr">
        <is>
          <t>Parcela_Paga</t>
        </is>
      </c>
      <c r="Y61" t="n">
        <v>115</v>
      </c>
      <c r="Z61" t="inlineStr">
        <is>
          <t>Love - Shibari - Bradesco</t>
        </is>
      </c>
    </row>
    <row r="62">
      <c r="A62" t="n">
        <v>6739</v>
      </c>
      <c r="B62" t="n">
        <v>94374</v>
      </c>
      <c r="C62" t="inlineStr">
        <is>
          <t>Love Cabaret</t>
        </is>
      </c>
      <c r="D62" t="n">
        <v>128</v>
      </c>
      <c r="F62" t="inlineStr">
        <is>
          <t>KING COMERCIO E IMPORTACAO DE BEBIDAS LTDA</t>
        </is>
      </c>
      <c r="G62" t="inlineStr">
        <is>
          <t>True</t>
        </is>
      </c>
      <c r="H62" t="n">
        <v>2</v>
      </c>
      <c r="I62" t="n">
        <v>1</v>
      </c>
      <c r="J62" t="n">
        <v>3947.35</v>
      </c>
      <c r="K62" s="27" t="n">
        <v>45660</v>
      </c>
      <c r="L62" s="27" t="n">
        <v>45659</v>
      </c>
      <c r="M62" s="27" t="n">
        <v>45659</v>
      </c>
      <c r="N62" t="n">
        <v>7894.71</v>
      </c>
      <c r="O62" t="n">
        <v>7894.71</v>
      </c>
      <c r="P62" s="27" t="n">
        <v>45637</v>
      </c>
      <c r="Q62" t="inlineStr">
        <is>
          <t>Boleto Bancário</t>
        </is>
      </c>
      <c r="R62" t="inlineStr">
        <is>
          <t>113666</t>
        </is>
      </c>
      <c r="S62" t="inlineStr">
        <is>
          <t>Custo Mercadoria Vendida</t>
        </is>
      </c>
      <c r="T62" t="inlineStr">
        <is>
          <t>Insumos - Bebidas</t>
        </is>
      </c>
      <c r="U62" t="inlineStr">
        <is>
          <t>Documentação Aprovada</t>
        </is>
      </c>
      <c r="V62" t="inlineStr">
        <is>
          <t>Aprovado Diretoria</t>
        </is>
      </c>
      <c r="W62" t="inlineStr">
        <is>
          <t>Aprovado Caixa</t>
        </is>
      </c>
      <c r="X62" t="inlineStr">
        <is>
          <t>Parcela_Paga</t>
        </is>
      </c>
      <c r="Y62" t="n">
        <v>115</v>
      </c>
      <c r="Z62" t="inlineStr">
        <is>
          <t>Love - Shibari - Bradesco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6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ID_Extrato_Bancario</t>
        </is>
      </c>
      <c r="B1" t="inlineStr">
        <is>
          <t>ID_Conta_Bancaria</t>
        </is>
      </c>
      <c r="C1" t="inlineStr">
        <is>
          <t>Nome_Conta_Bancaria</t>
        </is>
      </c>
      <c r="D1" t="inlineStr">
        <is>
          <t>ID_Casa</t>
        </is>
      </c>
      <c r="E1" t="inlineStr">
        <is>
          <t>Casa</t>
        </is>
      </c>
      <c r="F1" t="inlineStr">
        <is>
          <t>Data_Transacao</t>
        </is>
      </c>
      <c r="G1" t="inlineStr">
        <is>
          <t>Tipo_Credito_Debito</t>
        </is>
      </c>
      <c r="H1" t="inlineStr">
        <is>
          <t>Descricao_Transacao</t>
        </is>
      </c>
      <c r="I1" t="inlineStr">
        <is>
          <t>Valor</t>
        </is>
      </c>
    </row>
    <row r="2">
      <c r="A2" t="n">
        <v>212254</v>
      </c>
      <c r="B2" t="n">
        <v>115</v>
      </c>
      <c r="C2" t="inlineStr">
        <is>
          <t>Love - Shibari - Bradesco</t>
        </is>
      </c>
      <c r="D2" t="n">
        <v>128</v>
      </c>
      <c r="E2" t="inlineStr">
        <is>
          <t>Love Cabaret</t>
        </is>
      </c>
      <c r="F2" s="27" t="n">
        <v>46021.5</v>
      </c>
      <c r="G2" t="inlineStr">
        <is>
          <t>CREDITO</t>
        </is>
      </c>
      <c r="H2" t="inlineStr">
        <is>
          <t>DEP DINHEIRO ATM AG00095MAQ060513SEQ01265</t>
        </is>
      </c>
      <c r="I2" t="n">
        <v>490</v>
      </c>
    </row>
    <row r="3">
      <c r="A3" t="n">
        <v>212253</v>
      </c>
      <c r="B3" t="n">
        <v>115</v>
      </c>
      <c r="C3" t="inlineStr">
        <is>
          <t>Love - Shibari - Bradesco</t>
        </is>
      </c>
      <c r="D3" t="n">
        <v>128</v>
      </c>
      <c r="E3" t="inlineStr">
        <is>
          <t>Love Cabaret</t>
        </is>
      </c>
      <c r="F3" s="27" t="n">
        <v>46021.5</v>
      </c>
      <c r="G3" t="inlineStr">
        <is>
          <t>CREDITO</t>
        </is>
      </c>
      <c r="H3" t="inlineStr">
        <is>
          <t>TED-TRANSF ELET DISPON REMET.Zig Tecnologia S.A.</t>
        </is>
      </c>
      <c r="I3" t="n">
        <v>11875.22</v>
      </c>
    </row>
    <row r="4">
      <c r="A4" t="n">
        <v>212256</v>
      </c>
      <c r="B4" t="n">
        <v>115</v>
      </c>
      <c r="C4" t="inlineStr">
        <is>
          <t>Love - Shibari - Bradesco</t>
        </is>
      </c>
      <c r="D4" t="n">
        <v>128</v>
      </c>
      <c r="E4" t="inlineStr">
        <is>
          <t>Love Cabaret</t>
        </is>
      </c>
      <c r="F4" s="27" t="n">
        <v>46021.5</v>
      </c>
      <c r="G4" t="inlineStr">
        <is>
          <t>DEBITO</t>
        </is>
      </c>
      <c r="H4" t="inlineStr">
        <is>
          <t>PARCELAMENTO DE DARF PARCELAMENTO DE DARF-207024</t>
        </is>
      </c>
      <c r="I4" t="n">
        <v>-21533.28</v>
      </c>
    </row>
    <row r="5">
      <c r="A5" t="n">
        <v>214661</v>
      </c>
      <c r="B5" t="n">
        <v>182</v>
      </c>
      <c r="C5" t="inlineStr">
        <is>
          <t>Love - Shibari - Kamino</t>
        </is>
      </c>
      <c r="D5" t="n">
        <v>128</v>
      </c>
      <c r="E5" t="inlineStr">
        <is>
          <t>Love Cabaret</t>
        </is>
      </c>
      <c r="F5" s="27" t="n">
        <v>46021</v>
      </c>
      <c r="G5" t="inlineStr">
        <is>
          <t>DEBITO</t>
        </is>
      </c>
      <c r="H5" t="inlineStr">
        <is>
          <t>Receita Federal</t>
        </is>
      </c>
      <c r="I5" t="n">
        <v>-2058.51</v>
      </c>
    </row>
    <row r="6">
      <c r="A6" t="n">
        <v>214668</v>
      </c>
      <c r="B6" t="n">
        <v>182</v>
      </c>
      <c r="C6" t="inlineStr">
        <is>
          <t>Love - Shibari - Kamino</t>
        </is>
      </c>
      <c r="D6" t="n">
        <v>128</v>
      </c>
      <c r="E6" t="inlineStr">
        <is>
          <t>Love Cabaret</t>
        </is>
      </c>
      <c r="F6" s="27" t="n">
        <v>46021</v>
      </c>
      <c r="G6" t="inlineStr">
        <is>
          <t>DEBITO</t>
        </is>
      </c>
      <c r="H6" t="inlineStr">
        <is>
          <t>Allimentari com de Produtos Al</t>
        </is>
      </c>
      <c r="I6" t="n">
        <v>-165.29</v>
      </c>
    </row>
    <row r="7">
      <c r="A7" t="n">
        <v>214655</v>
      </c>
      <c r="B7" t="n">
        <v>182</v>
      </c>
      <c r="C7" t="inlineStr">
        <is>
          <t>Love - Shibari - Kamino</t>
        </is>
      </c>
      <c r="D7" t="n">
        <v>128</v>
      </c>
      <c r="E7" t="inlineStr">
        <is>
          <t>Love Cabaret</t>
        </is>
      </c>
      <c r="F7" s="27" t="n">
        <v>46021</v>
      </c>
      <c r="G7" t="inlineStr">
        <is>
          <t>DEBITO</t>
        </is>
      </c>
      <c r="H7" t="inlineStr">
        <is>
          <t>Felipe Ferreira Franca 36496185832</t>
        </is>
      </c>
      <c r="I7" t="n">
        <v>-176.5</v>
      </c>
    </row>
    <row r="8">
      <c r="A8" t="n">
        <v>214656</v>
      </c>
      <c r="B8" t="n">
        <v>182</v>
      </c>
      <c r="C8" t="inlineStr">
        <is>
          <t>Love - Shibari - Kamino</t>
        </is>
      </c>
      <c r="D8" t="n">
        <v>128</v>
      </c>
      <c r="E8" t="inlineStr">
        <is>
          <t>Love Cabaret</t>
        </is>
      </c>
      <c r="F8" s="27" t="n">
        <v>46021</v>
      </c>
      <c r="G8" t="inlineStr">
        <is>
          <t>DEBITO</t>
        </is>
      </c>
      <c r="H8" t="inlineStr">
        <is>
          <t>Tarifa Pix Enviado-PJ</t>
        </is>
      </c>
      <c r="I8" t="n">
        <v>-0.5</v>
      </c>
    </row>
    <row r="9">
      <c r="A9" t="n">
        <v>214657</v>
      </c>
      <c r="B9" t="n">
        <v>182</v>
      </c>
      <c r="C9" t="inlineStr">
        <is>
          <t>Love - Shibari - Kamino</t>
        </is>
      </c>
      <c r="D9" t="n">
        <v>128</v>
      </c>
      <c r="E9" t="inlineStr">
        <is>
          <t>Love Cabaret</t>
        </is>
      </c>
      <c r="F9" s="27" t="n">
        <v>46021</v>
      </c>
      <c r="G9" t="inlineStr">
        <is>
          <t>DEBITO</t>
        </is>
      </c>
      <c r="H9" t="inlineStr">
        <is>
          <t>Edjane Dantas de Almeida Sousa</t>
        </is>
      </c>
      <c r="I9" t="n">
        <v>-1200</v>
      </c>
    </row>
    <row r="10">
      <c r="A10" t="n">
        <v>214658</v>
      </c>
      <c r="B10" t="n">
        <v>182</v>
      </c>
      <c r="C10" t="inlineStr">
        <is>
          <t>Love - Shibari - Kamino</t>
        </is>
      </c>
      <c r="D10" t="n">
        <v>128</v>
      </c>
      <c r="E10" t="inlineStr">
        <is>
          <t>Love Cabaret</t>
        </is>
      </c>
      <c r="F10" s="27" t="n">
        <v>46021</v>
      </c>
      <c r="G10" t="inlineStr">
        <is>
          <t>DEBITO</t>
        </is>
      </c>
      <c r="H10" t="inlineStr">
        <is>
          <t>Tarifa Pix Enviado-PJ</t>
        </is>
      </c>
      <c r="I10" t="n">
        <v>-0.5</v>
      </c>
    </row>
    <row r="11">
      <c r="A11" t="n">
        <v>214659</v>
      </c>
      <c r="B11" t="n">
        <v>182</v>
      </c>
      <c r="C11" t="inlineStr">
        <is>
          <t>Love - Shibari - Kamino</t>
        </is>
      </c>
      <c r="D11" t="n">
        <v>128</v>
      </c>
      <c r="E11" t="inlineStr">
        <is>
          <t>Love Cabaret</t>
        </is>
      </c>
      <c r="F11" s="27" t="n">
        <v>46021</v>
      </c>
      <c r="G11" t="inlineStr">
        <is>
          <t>DEBITO</t>
        </is>
      </c>
      <c r="H11" t="inlineStr">
        <is>
          <t>Cecilia Tsuyaco Araki Silva Ltda</t>
        </is>
      </c>
      <c r="I11" t="n">
        <v>-70.8</v>
      </c>
    </row>
    <row r="12">
      <c r="A12" t="n">
        <v>214660</v>
      </c>
      <c r="B12" t="n">
        <v>182</v>
      </c>
      <c r="C12" t="inlineStr">
        <is>
          <t>Love - Shibari - Kamino</t>
        </is>
      </c>
      <c r="D12" t="n">
        <v>128</v>
      </c>
      <c r="E12" t="inlineStr">
        <is>
          <t>Love Cabaret</t>
        </is>
      </c>
      <c r="F12" s="27" t="n">
        <v>46021</v>
      </c>
      <c r="G12" t="inlineStr">
        <is>
          <t>DEBITO</t>
        </is>
      </c>
      <c r="H12" t="inlineStr">
        <is>
          <t>Nova Comercial do Peixe Eireli</t>
        </is>
      </c>
      <c r="I12" t="n">
        <v>-1176</v>
      </c>
    </row>
    <row r="13">
      <c r="A13" t="n">
        <v>214662</v>
      </c>
      <c r="B13" t="n">
        <v>182</v>
      </c>
      <c r="C13" t="inlineStr">
        <is>
          <t>Love - Shibari - Kamino</t>
        </is>
      </c>
      <c r="D13" t="n">
        <v>128</v>
      </c>
      <c r="E13" t="inlineStr">
        <is>
          <t>Love Cabaret</t>
        </is>
      </c>
      <c r="F13" s="27" t="n">
        <v>46021</v>
      </c>
      <c r="G13" t="inlineStr">
        <is>
          <t>DEBITO</t>
        </is>
      </c>
      <c r="H13" t="inlineStr">
        <is>
          <t>Horta Nova Distribuidora de Hortifruti L</t>
        </is>
      </c>
      <c r="I13" t="n">
        <v>-463.2</v>
      </c>
    </row>
    <row r="14">
      <c r="A14" t="n">
        <v>214663</v>
      </c>
      <c r="B14" t="n">
        <v>182</v>
      </c>
      <c r="C14" t="inlineStr">
        <is>
          <t>Love - Shibari - Kamino</t>
        </is>
      </c>
      <c r="D14" t="n">
        <v>128</v>
      </c>
      <c r="E14" t="inlineStr">
        <is>
          <t>Love Cabaret</t>
        </is>
      </c>
      <c r="F14" s="27" t="n">
        <v>46021</v>
      </c>
      <c r="G14" t="inlineStr">
        <is>
          <t>DEBITO</t>
        </is>
      </c>
      <c r="H14" t="inlineStr">
        <is>
          <t>Cia do Whisky</t>
        </is>
      </c>
      <c r="I14" t="n">
        <v>-1010.68</v>
      </c>
    </row>
    <row r="15">
      <c r="A15" t="n">
        <v>214664</v>
      </c>
      <c r="B15" t="n">
        <v>182</v>
      </c>
      <c r="C15" t="inlineStr">
        <is>
          <t>Love - Shibari - Kamino</t>
        </is>
      </c>
      <c r="D15" t="n">
        <v>128</v>
      </c>
      <c r="E15" t="inlineStr">
        <is>
          <t>Love Cabaret</t>
        </is>
      </c>
      <c r="F15" s="27" t="n">
        <v>46021</v>
      </c>
      <c r="G15" t="inlineStr">
        <is>
          <t>DEBITO</t>
        </is>
      </c>
      <c r="H15" t="inlineStr">
        <is>
          <t>Zahil Importadora Ltda</t>
        </is>
      </c>
      <c r="I15" t="n">
        <v>-1137.02</v>
      </c>
    </row>
    <row r="16">
      <c r="A16" t="n">
        <v>214665</v>
      </c>
      <c r="B16" t="n">
        <v>182</v>
      </c>
      <c r="C16" t="inlineStr">
        <is>
          <t>Love - Shibari - Kamino</t>
        </is>
      </c>
      <c r="D16" t="n">
        <v>128</v>
      </c>
      <c r="E16" t="inlineStr">
        <is>
          <t>Love Cabaret</t>
        </is>
      </c>
      <c r="F16" s="27" t="n">
        <v>46021</v>
      </c>
      <c r="G16" t="inlineStr">
        <is>
          <t>DEBITO</t>
        </is>
      </c>
      <c r="H16" t="inlineStr">
        <is>
          <t>Batard Padaria Artesanal Ltda</t>
        </is>
      </c>
      <c r="I16" t="n">
        <v>-395</v>
      </c>
    </row>
    <row r="17">
      <c r="A17" t="n">
        <v>214666</v>
      </c>
      <c r="B17" t="n">
        <v>182</v>
      </c>
      <c r="C17" t="inlineStr">
        <is>
          <t>Love - Shibari - Kamino</t>
        </is>
      </c>
      <c r="D17" t="n">
        <v>128</v>
      </c>
      <c r="E17" t="inlineStr">
        <is>
          <t>Love Cabaret</t>
        </is>
      </c>
      <c r="F17" s="27" t="n">
        <v>46021</v>
      </c>
      <c r="G17" t="inlineStr">
        <is>
          <t>DEBITO</t>
        </is>
      </c>
      <c r="H17" t="inlineStr">
        <is>
          <t>D Filipa L M P F Eventos Ltda</t>
        </is>
      </c>
      <c r="I17" t="n">
        <v>-3194.2</v>
      </c>
    </row>
    <row r="18">
      <c r="A18" t="n">
        <v>214667</v>
      </c>
      <c r="B18" t="n">
        <v>182</v>
      </c>
      <c r="C18" t="inlineStr">
        <is>
          <t>Love - Shibari - Kamino</t>
        </is>
      </c>
      <c r="D18" t="n">
        <v>128</v>
      </c>
      <c r="E18" t="inlineStr">
        <is>
          <t>Love Cabaret</t>
        </is>
      </c>
      <c r="F18" s="27" t="n">
        <v>46021</v>
      </c>
      <c r="G18" t="inlineStr">
        <is>
          <t>DEBITO</t>
        </is>
      </c>
      <c r="H18" t="inlineStr">
        <is>
          <t>Mario Pedro Feliciano Hortifru</t>
        </is>
      </c>
      <c r="I18" t="n">
        <v>-112.3</v>
      </c>
    </row>
    <row r="19">
      <c r="A19" t="n">
        <v>214669</v>
      </c>
      <c r="B19" t="n">
        <v>182</v>
      </c>
      <c r="C19" t="inlineStr">
        <is>
          <t>Love - Shibari - Kamino</t>
        </is>
      </c>
      <c r="D19" t="n">
        <v>128</v>
      </c>
      <c r="E19" t="inlineStr">
        <is>
          <t>Love Cabaret</t>
        </is>
      </c>
      <c r="F19" s="27" t="n">
        <v>46021</v>
      </c>
      <c r="G19" t="inlineStr">
        <is>
          <t>DEBITO</t>
        </is>
      </c>
      <c r="H19" t="inlineStr">
        <is>
          <t>Cia do Whisky</t>
        </is>
      </c>
      <c r="I19" t="n">
        <v>-935.4</v>
      </c>
    </row>
    <row r="20">
      <c r="A20" t="n">
        <v>214654</v>
      </c>
      <c r="B20" t="n">
        <v>182</v>
      </c>
      <c r="C20" t="inlineStr">
        <is>
          <t>Love - Shibari - Kamino</t>
        </is>
      </c>
      <c r="D20" t="n">
        <v>128</v>
      </c>
      <c r="E20" t="inlineStr">
        <is>
          <t>Love Cabaret</t>
        </is>
      </c>
      <c r="F20" s="27" t="n">
        <v>46021</v>
      </c>
      <c r="G20" t="inlineStr">
        <is>
          <t>DEBITO</t>
        </is>
      </c>
      <c r="H20" t="inlineStr">
        <is>
          <t>Cia do Whisky</t>
        </is>
      </c>
      <c r="I20" t="n">
        <v>-2214.25</v>
      </c>
    </row>
    <row r="21">
      <c r="A21" t="n">
        <v>214653</v>
      </c>
      <c r="B21" t="n">
        <v>182</v>
      </c>
      <c r="C21" t="inlineStr">
        <is>
          <t>Love - Shibari - Kamino</t>
        </is>
      </c>
      <c r="D21" t="n">
        <v>128</v>
      </c>
      <c r="E21" t="inlineStr">
        <is>
          <t>Love Cabaret</t>
        </is>
      </c>
      <c r="F21" s="27" t="n">
        <v>46021</v>
      </c>
      <c r="G21" t="inlineStr">
        <is>
          <t>DEBITO</t>
        </is>
      </c>
      <c r="H21" t="inlineStr">
        <is>
          <t>Arena Bebidas</t>
        </is>
      </c>
      <c r="I21" t="n">
        <v>-211.74</v>
      </c>
    </row>
    <row r="22">
      <c r="A22" t="n">
        <v>212252</v>
      </c>
      <c r="B22" t="n">
        <v>115</v>
      </c>
      <c r="C22" t="inlineStr">
        <is>
          <t>Love - Shibari - Bradesco</t>
        </is>
      </c>
      <c r="D22" t="n">
        <v>128</v>
      </c>
      <c r="E22" t="inlineStr">
        <is>
          <t>Love Cabaret</t>
        </is>
      </c>
      <c r="F22" s="27" t="n">
        <v>46020.5</v>
      </c>
      <c r="G22" t="inlineStr">
        <is>
          <t>CREDITO</t>
        </is>
      </c>
      <c r="H22" t="inlineStr">
        <is>
          <t>TED-TRANSF ELET DISPON REMET.Zig Tecnologia S.A.</t>
        </is>
      </c>
      <c r="I22" t="n">
        <v>22298.81</v>
      </c>
    </row>
    <row r="23">
      <c r="A23" t="n">
        <v>214642</v>
      </c>
      <c r="B23" t="n">
        <v>182</v>
      </c>
      <c r="C23" t="inlineStr">
        <is>
          <t>Love - Shibari - Kamino</t>
        </is>
      </c>
      <c r="D23" t="n">
        <v>128</v>
      </c>
      <c r="E23" t="inlineStr">
        <is>
          <t>Love Cabaret</t>
        </is>
      </c>
      <c r="F23" s="27" t="n">
        <v>46020</v>
      </c>
      <c r="G23" t="inlineStr">
        <is>
          <t>DEBITO</t>
        </is>
      </c>
      <c r="H23" t="inlineStr">
        <is>
          <t>Horta Nova Distribuidora de Hortifruti L</t>
        </is>
      </c>
      <c r="I23" t="n">
        <v>-165</v>
      </c>
    </row>
    <row r="24">
      <c r="A24" t="n">
        <v>214634</v>
      </c>
      <c r="B24" t="n">
        <v>182</v>
      </c>
      <c r="C24" t="inlineStr">
        <is>
          <t>Love - Shibari - Kamino</t>
        </is>
      </c>
      <c r="D24" t="n">
        <v>128</v>
      </c>
      <c r="E24" t="inlineStr">
        <is>
          <t>Love Cabaret</t>
        </is>
      </c>
      <c r="F24" s="27" t="n">
        <v>46020</v>
      </c>
      <c r="G24" t="inlineStr">
        <is>
          <t>DEBITO</t>
        </is>
      </c>
      <c r="H24" t="inlineStr">
        <is>
          <t>Receita Federal</t>
        </is>
      </c>
      <c r="I24" t="n">
        <v>-616.45</v>
      </c>
    </row>
    <row r="25">
      <c r="A25" t="n">
        <v>214635</v>
      </c>
      <c r="B25" t="n">
        <v>182</v>
      </c>
      <c r="C25" t="inlineStr">
        <is>
          <t>Love - Shibari - Kamino</t>
        </is>
      </c>
      <c r="D25" t="n">
        <v>128</v>
      </c>
      <c r="E25" t="inlineStr">
        <is>
          <t>Love Cabaret</t>
        </is>
      </c>
      <c r="F25" s="27" t="n">
        <v>46020</v>
      </c>
      <c r="G25" t="inlineStr">
        <is>
          <t>DEBITO</t>
        </is>
      </c>
      <c r="H25" t="inlineStr">
        <is>
          <t>Dtk Comercio de Alimentos Ltda Epp</t>
        </is>
      </c>
      <c r="I25" t="n">
        <v>-884.5</v>
      </c>
    </row>
    <row r="26">
      <c r="A26" t="n">
        <v>214636</v>
      </c>
      <c r="B26" t="n">
        <v>182</v>
      </c>
      <c r="C26" t="inlineStr">
        <is>
          <t>Love - Shibari - Kamino</t>
        </is>
      </c>
      <c r="D26" t="n">
        <v>128</v>
      </c>
      <c r="E26" t="inlineStr">
        <is>
          <t>Love Cabaret</t>
        </is>
      </c>
      <c r="F26" s="27" t="n">
        <v>46020</v>
      </c>
      <c r="G26" t="inlineStr">
        <is>
          <t>DEBITO</t>
        </is>
      </c>
      <c r="H26" t="inlineStr">
        <is>
          <t>Pss - Central da Limpeza Ltda</t>
        </is>
      </c>
      <c r="I26" t="n">
        <v>-284</v>
      </c>
    </row>
    <row r="27">
      <c r="A27" t="n">
        <v>214637</v>
      </c>
      <c r="B27" t="n">
        <v>182</v>
      </c>
      <c r="C27" t="inlineStr">
        <is>
          <t>Love - Shibari - Kamino</t>
        </is>
      </c>
      <c r="D27" t="n">
        <v>128</v>
      </c>
      <c r="E27" t="inlineStr">
        <is>
          <t>Love Cabaret</t>
        </is>
      </c>
      <c r="F27" s="27" t="n">
        <v>46020</v>
      </c>
      <c r="G27" t="inlineStr">
        <is>
          <t>DEBITO</t>
        </is>
      </c>
      <c r="H27" t="inlineStr">
        <is>
          <t>Telefonica Brasil S.A.</t>
        </is>
      </c>
      <c r="I27" t="n">
        <v>-22.18</v>
      </c>
    </row>
    <row r="28">
      <c r="A28" t="n">
        <v>214638</v>
      </c>
      <c r="B28" t="n">
        <v>182</v>
      </c>
      <c r="C28" t="inlineStr">
        <is>
          <t>Love - Shibari - Kamino</t>
        </is>
      </c>
      <c r="D28" t="n">
        <v>128</v>
      </c>
      <c r="E28" t="inlineStr">
        <is>
          <t>Love Cabaret</t>
        </is>
      </c>
      <c r="F28" s="27" t="n">
        <v>46020</v>
      </c>
      <c r="G28" t="inlineStr">
        <is>
          <t>DEBITO</t>
        </is>
      </c>
      <c r="H28" t="inlineStr">
        <is>
          <t>Eau Distribuidora a M Ltda</t>
        </is>
      </c>
      <c r="I28" t="n">
        <v>-1554.44</v>
      </c>
    </row>
    <row r="29">
      <c r="A29" t="n">
        <v>214639</v>
      </c>
      <c r="B29" t="n">
        <v>182</v>
      </c>
      <c r="C29" t="inlineStr">
        <is>
          <t>Love - Shibari - Kamino</t>
        </is>
      </c>
      <c r="D29" t="n">
        <v>128</v>
      </c>
      <c r="E29" t="inlineStr">
        <is>
          <t>Love Cabaret</t>
        </is>
      </c>
      <c r="F29" s="27" t="n">
        <v>46020</v>
      </c>
      <c r="G29" t="inlineStr">
        <is>
          <t>DEBITO</t>
        </is>
      </c>
      <c r="H29" t="inlineStr">
        <is>
          <t>Zoop Brasil</t>
        </is>
      </c>
      <c r="I29" t="n">
        <v>-331.2</v>
      </c>
    </row>
    <row r="30">
      <c r="A30" t="n">
        <v>214640</v>
      </c>
      <c r="B30" t="n">
        <v>182</v>
      </c>
      <c r="C30" t="inlineStr">
        <is>
          <t>Love - Shibari - Kamino</t>
        </is>
      </c>
      <c r="D30" t="n">
        <v>128</v>
      </c>
      <c r="E30" t="inlineStr">
        <is>
          <t>Love Cabaret</t>
        </is>
      </c>
      <c r="F30" s="27" t="n">
        <v>46020</v>
      </c>
      <c r="G30" t="inlineStr">
        <is>
          <t>DEBITO</t>
        </is>
      </c>
      <c r="H30" t="inlineStr">
        <is>
          <t>Lebanon Market Center Eireli</t>
        </is>
      </c>
      <c r="I30" t="n">
        <v>-380.12</v>
      </c>
    </row>
    <row r="31">
      <c r="A31" t="n">
        <v>214641</v>
      </c>
      <c r="B31" t="n">
        <v>182</v>
      </c>
      <c r="C31" t="inlineStr">
        <is>
          <t>Love - Shibari - Kamino</t>
        </is>
      </c>
      <c r="D31" t="n">
        <v>128</v>
      </c>
      <c r="E31" t="inlineStr">
        <is>
          <t>Love Cabaret</t>
        </is>
      </c>
      <c r="F31" s="27" t="n">
        <v>46020</v>
      </c>
      <c r="G31" t="inlineStr">
        <is>
          <t>DEBITO</t>
        </is>
      </c>
      <c r="H31" t="inlineStr">
        <is>
          <t>Stark Bank S.A.</t>
        </is>
      </c>
      <c r="I31" t="n">
        <v>-60.5</v>
      </c>
    </row>
    <row r="32">
      <c r="A32" t="n">
        <v>214651</v>
      </c>
      <c r="B32" t="n">
        <v>182</v>
      </c>
      <c r="C32" t="inlineStr">
        <is>
          <t>Love - Shibari - Kamino</t>
        </is>
      </c>
      <c r="D32" t="n">
        <v>128</v>
      </c>
      <c r="E32" t="inlineStr">
        <is>
          <t>Love Cabaret</t>
        </is>
      </c>
      <c r="F32" s="27" t="n">
        <v>46020</v>
      </c>
      <c r="G32" t="inlineStr">
        <is>
          <t>DEBITO</t>
        </is>
      </c>
      <c r="H32" t="inlineStr">
        <is>
          <t>W P P C Carnes Eireli Epp</t>
        </is>
      </c>
      <c r="I32" t="n">
        <v>-1056</v>
      </c>
    </row>
    <row r="33">
      <c r="A33" t="n">
        <v>214633</v>
      </c>
      <c r="B33" t="n">
        <v>182</v>
      </c>
      <c r="C33" t="inlineStr">
        <is>
          <t>Love - Shibari - Kamino</t>
        </is>
      </c>
      <c r="D33" t="n">
        <v>128</v>
      </c>
      <c r="E33" t="inlineStr">
        <is>
          <t>Love Cabaret</t>
        </is>
      </c>
      <c r="F33" s="27" t="n">
        <v>46020</v>
      </c>
      <c r="G33" t="inlineStr">
        <is>
          <t>DEBITO</t>
        </is>
      </c>
      <c r="H33" t="inlineStr">
        <is>
          <t>Casa de Carnes P.J.J.Ltda</t>
        </is>
      </c>
      <c r="I33" t="n">
        <v>-419.06</v>
      </c>
    </row>
    <row r="34">
      <c r="A34" t="n">
        <v>214632</v>
      </c>
      <c r="B34" t="n">
        <v>182</v>
      </c>
      <c r="C34" t="inlineStr">
        <is>
          <t>Love - Shibari - Kamino</t>
        </is>
      </c>
      <c r="D34" t="n">
        <v>128</v>
      </c>
      <c r="E34" t="inlineStr">
        <is>
          <t>Love Cabaret</t>
        </is>
      </c>
      <c r="F34" s="27" t="n">
        <v>46020</v>
      </c>
      <c r="G34" t="inlineStr">
        <is>
          <t>DEBITO</t>
        </is>
      </c>
      <c r="H34" t="inlineStr">
        <is>
          <t>Receita Federal</t>
        </is>
      </c>
      <c r="I34" t="n">
        <v>-839.13</v>
      </c>
    </row>
    <row r="35">
      <c r="A35" t="n">
        <v>214631</v>
      </c>
      <c r="B35" t="n">
        <v>182</v>
      </c>
      <c r="C35" t="inlineStr">
        <is>
          <t>Love - Shibari - Kamino</t>
        </is>
      </c>
      <c r="D35" t="n">
        <v>128</v>
      </c>
      <c r="E35" t="inlineStr">
        <is>
          <t>Love Cabaret</t>
        </is>
      </c>
      <c r="F35" s="27" t="n">
        <v>46020</v>
      </c>
      <c r="G35" t="inlineStr">
        <is>
          <t>DEBITO</t>
        </is>
      </c>
      <c r="H35" t="inlineStr">
        <is>
          <t>Cg Food S Distr Alimentos Ltda</t>
        </is>
      </c>
      <c r="I35" t="n">
        <v>-473.8</v>
      </c>
    </row>
    <row r="36">
      <c r="A36" t="n">
        <v>214630</v>
      </c>
      <c r="B36" t="n">
        <v>182</v>
      </c>
      <c r="C36" t="inlineStr">
        <is>
          <t>Love - Shibari - Kamino</t>
        </is>
      </c>
      <c r="D36" t="n">
        <v>128</v>
      </c>
      <c r="E36" t="inlineStr">
        <is>
          <t>Love Cabaret</t>
        </is>
      </c>
      <c r="F36" s="27" t="n">
        <v>46020</v>
      </c>
      <c r="G36" t="inlineStr">
        <is>
          <t>DEBITO</t>
        </is>
      </c>
      <c r="H36" t="inlineStr">
        <is>
          <t>Sorvetes Jundia Ind e com Ltda</t>
        </is>
      </c>
      <c r="I36" t="n">
        <v>-657.28</v>
      </c>
    </row>
    <row r="37">
      <c r="A37" t="n">
        <v>214629</v>
      </c>
      <c r="B37" t="n">
        <v>182</v>
      </c>
      <c r="C37" t="inlineStr">
        <is>
          <t>Love - Shibari - Kamino</t>
        </is>
      </c>
      <c r="D37" t="n">
        <v>128</v>
      </c>
      <c r="E37" t="inlineStr">
        <is>
          <t>Love Cabaret</t>
        </is>
      </c>
      <c r="F37" s="27" t="n">
        <v>46020</v>
      </c>
      <c r="G37" t="inlineStr">
        <is>
          <t>DEBITO</t>
        </is>
      </c>
      <c r="H37" t="inlineStr">
        <is>
          <t>Horta Nova Distribuidora de Hortifruti L</t>
        </is>
      </c>
      <c r="I37" t="n">
        <v>-68.5</v>
      </c>
    </row>
    <row r="38">
      <c r="A38" t="n">
        <v>214628</v>
      </c>
      <c r="B38" t="n">
        <v>182</v>
      </c>
      <c r="C38" t="inlineStr">
        <is>
          <t>Love - Shibari - Kamino</t>
        </is>
      </c>
      <c r="D38" t="n">
        <v>128</v>
      </c>
      <c r="E38" t="inlineStr">
        <is>
          <t>Love Cabaret</t>
        </is>
      </c>
      <c r="F38" s="27" t="n">
        <v>46020</v>
      </c>
      <c r="G38" t="inlineStr">
        <is>
          <t>DEBITO</t>
        </is>
      </c>
      <c r="H38" t="inlineStr">
        <is>
          <t>Mario Pedro Feliciano Hortifru</t>
        </is>
      </c>
      <c r="I38" t="n">
        <v>-9.43</v>
      </c>
    </row>
    <row r="39">
      <c r="A39" t="n">
        <v>214627</v>
      </c>
      <c r="B39" t="n">
        <v>182</v>
      </c>
      <c r="C39" t="inlineStr">
        <is>
          <t>Love - Shibari - Kamino</t>
        </is>
      </c>
      <c r="D39" t="n">
        <v>128</v>
      </c>
      <c r="E39" t="inlineStr">
        <is>
          <t>Love Cabaret</t>
        </is>
      </c>
      <c r="F39" s="27" t="n">
        <v>46020</v>
      </c>
      <c r="G39" t="inlineStr">
        <is>
          <t>DEBITO</t>
        </is>
      </c>
      <c r="H39" t="inlineStr">
        <is>
          <t>Wide Stock com e Rep Ltda</t>
        </is>
      </c>
      <c r="I39" t="n">
        <v>-310.2</v>
      </c>
    </row>
    <row r="40">
      <c r="A40" t="n">
        <v>214626</v>
      </c>
      <c r="B40" t="n">
        <v>182</v>
      </c>
      <c r="C40" t="inlineStr">
        <is>
          <t>Love - Shibari - Kamino</t>
        </is>
      </c>
      <c r="D40" t="n">
        <v>128</v>
      </c>
      <c r="E40" t="inlineStr">
        <is>
          <t>Love Cabaret</t>
        </is>
      </c>
      <c r="F40" s="27" t="n">
        <v>46020</v>
      </c>
      <c r="G40" t="inlineStr">
        <is>
          <t>DEBITO</t>
        </is>
      </c>
      <c r="H40" t="inlineStr">
        <is>
          <t>Fg7 Comercio D B Eireli Epp</t>
        </is>
      </c>
      <c r="I40" t="n">
        <v>-613.62</v>
      </c>
    </row>
    <row r="41">
      <c r="A41" t="n">
        <v>214625</v>
      </c>
      <c r="B41" t="n">
        <v>182</v>
      </c>
      <c r="C41" t="inlineStr">
        <is>
          <t>Love - Shibari - Kamino</t>
        </is>
      </c>
      <c r="D41" t="n">
        <v>128</v>
      </c>
      <c r="E41" t="inlineStr">
        <is>
          <t>Love Cabaret</t>
        </is>
      </c>
      <c r="F41" s="27" t="n">
        <v>46020</v>
      </c>
      <c r="G41" t="inlineStr">
        <is>
          <t>DEBITO</t>
        </is>
      </c>
      <c r="H41" t="inlineStr">
        <is>
          <t>King Comercio de Bebidas Ltda</t>
        </is>
      </c>
      <c r="I41" t="n">
        <v>-2895.06</v>
      </c>
    </row>
    <row r="42">
      <c r="A42" t="n">
        <v>214624</v>
      </c>
      <c r="B42" t="n">
        <v>182</v>
      </c>
      <c r="C42" t="inlineStr">
        <is>
          <t>Love - Shibari - Kamino</t>
        </is>
      </c>
      <c r="D42" t="n">
        <v>128</v>
      </c>
      <c r="E42" t="inlineStr">
        <is>
          <t>Love Cabaret</t>
        </is>
      </c>
      <c r="F42" s="27" t="n">
        <v>46020</v>
      </c>
      <c r="G42" t="inlineStr">
        <is>
          <t>DEBITO</t>
        </is>
      </c>
      <c r="H42" t="inlineStr">
        <is>
          <t>Zahil Importadora Ltda</t>
        </is>
      </c>
      <c r="I42" t="n">
        <v>-1149.28</v>
      </c>
    </row>
    <row r="43">
      <c r="A43" t="n">
        <v>214623</v>
      </c>
      <c r="B43" t="n">
        <v>182</v>
      </c>
      <c r="C43" t="inlineStr">
        <is>
          <t>Love - Shibari - Kamino</t>
        </is>
      </c>
      <c r="D43" t="n">
        <v>128</v>
      </c>
      <c r="E43" t="inlineStr">
        <is>
          <t>Love Cabaret</t>
        </is>
      </c>
      <c r="F43" s="27" t="n">
        <v>46020</v>
      </c>
      <c r="G43" t="inlineStr">
        <is>
          <t>DEBITO</t>
        </is>
      </c>
      <c r="H43" t="inlineStr">
        <is>
          <t>Paulo Cesar Medeiros Eyzano</t>
        </is>
      </c>
      <c r="I43" t="n">
        <v>-3200</v>
      </c>
    </row>
    <row r="44">
      <c r="A44" t="n">
        <v>214644</v>
      </c>
      <c r="B44" t="n">
        <v>182</v>
      </c>
      <c r="C44" t="inlineStr">
        <is>
          <t>Love - Shibari - Kamino</t>
        </is>
      </c>
      <c r="D44" t="n">
        <v>128</v>
      </c>
      <c r="E44" t="inlineStr">
        <is>
          <t>Love Cabaret</t>
        </is>
      </c>
      <c r="F44" s="27" t="n">
        <v>46020</v>
      </c>
      <c r="G44" t="inlineStr">
        <is>
          <t>DEBITO</t>
        </is>
      </c>
      <c r="H44" t="inlineStr">
        <is>
          <t>Estaff Solucoes Tecnologicas de Agenciam</t>
        </is>
      </c>
      <c r="I44" t="n">
        <v>-25526.88</v>
      </c>
    </row>
    <row r="45">
      <c r="A45" t="n">
        <v>214615</v>
      </c>
      <c r="B45" t="n">
        <v>182</v>
      </c>
      <c r="C45" t="inlineStr">
        <is>
          <t>Love - Shibari - Kamino</t>
        </is>
      </c>
      <c r="D45" t="n">
        <v>128</v>
      </c>
      <c r="E45" t="inlineStr">
        <is>
          <t>Love Cabaret</t>
        </is>
      </c>
      <c r="F45" s="27" t="n">
        <v>46020</v>
      </c>
      <c r="G45" t="inlineStr">
        <is>
          <t>DEBITO</t>
        </is>
      </c>
      <c r="H45" t="inlineStr">
        <is>
          <t>Cecilia Tsuyaco Araki Silva Ltda</t>
        </is>
      </c>
      <c r="I45" t="n">
        <v>-180.9</v>
      </c>
    </row>
    <row r="46">
      <c r="A46" t="n">
        <v>214616</v>
      </c>
      <c r="B46" t="n">
        <v>182</v>
      </c>
      <c r="C46" t="inlineStr">
        <is>
          <t>Love - Shibari - Kamino</t>
        </is>
      </c>
      <c r="D46" t="n">
        <v>128</v>
      </c>
      <c r="E46" t="inlineStr">
        <is>
          <t>Love Cabaret</t>
        </is>
      </c>
      <c r="F46" s="27" t="n">
        <v>46020</v>
      </c>
      <c r="G46" t="inlineStr">
        <is>
          <t>DEBITO</t>
        </is>
      </c>
      <c r="H46" t="inlineStr">
        <is>
          <t>Stark Bank S.A.</t>
        </is>
      </c>
      <c r="I46" t="n">
        <v>-65.25</v>
      </c>
    </row>
    <row r="47">
      <c r="A47" t="n">
        <v>214617</v>
      </c>
      <c r="B47" t="n">
        <v>182</v>
      </c>
      <c r="C47" t="inlineStr">
        <is>
          <t>Love - Shibari - Kamino</t>
        </is>
      </c>
      <c r="D47" t="n">
        <v>128</v>
      </c>
      <c r="E47" t="inlineStr">
        <is>
          <t>Love Cabaret</t>
        </is>
      </c>
      <c r="F47" s="27" t="n">
        <v>46020</v>
      </c>
      <c r="G47" t="inlineStr">
        <is>
          <t>DEBITO</t>
        </is>
      </c>
      <c r="H47" t="inlineStr">
        <is>
          <t>Receita Federal</t>
        </is>
      </c>
      <c r="I47" t="n">
        <v>-1053.45</v>
      </c>
    </row>
    <row r="48">
      <c r="A48" t="n">
        <v>214618</v>
      </c>
      <c r="B48" t="n">
        <v>182</v>
      </c>
      <c r="C48" t="inlineStr">
        <is>
          <t>Love - Shibari - Kamino</t>
        </is>
      </c>
      <c r="D48" t="n">
        <v>128</v>
      </c>
      <c r="E48" t="inlineStr">
        <is>
          <t>Love Cabaret</t>
        </is>
      </c>
      <c r="F48" s="27" t="n">
        <v>46020</v>
      </c>
      <c r="G48" t="inlineStr">
        <is>
          <t>DEBITO</t>
        </is>
      </c>
      <c r="H48" t="inlineStr">
        <is>
          <t>Leon Franz</t>
        </is>
      </c>
      <c r="I48" t="n">
        <v>-800</v>
      </c>
    </row>
    <row r="49">
      <c r="A49" t="n">
        <v>214619</v>
      </c>
      <c r="B49" t="n">
        <v>182</v>
      </c>
      <c r="C49" t="inlineStr">
        <is>
          <t>Love - Shibari - Kamino</t>
        </is>
      </c>
      <c r="D49" t="n">
        <v>128</v>
      </c>
      <c r="E49" t="inlineStr">
        <is>
          <t>Love Cabaret</t>
        </is>
      </c>
      <c r="F49" s="27" t="n">
        <v>46020</v>
      </c>
      <c r="G49" t="inlineStr">
        <is>
          <t>DEBITO</t>
        </is>
      </c>
      <c r="H49" t="inlineStr">
        <is>
          <t>Dtk Comercio de Alimentos Ltda Epp</t>
        </is>
      </c>
      <c r="I49" t="n">
        <v>-632.53</v>
      </c>
    </row>
    <row r="50">
      <c r="A50" t="n">
        <v>214620</v>
      </c>
      <c r="B50" t="n">
        <v>182</v>
      </c>
      <c r="C50" t="inlineStr">
        <is>
          <t>Love - Shibari - Kamino</t>
        </is>
      </c>
      <c r="D50" t="n">
        <v>128</v>
      </c>
      <c r="E50" t="inlineStr">
        <is>
          <t>Love Cabaret</t>
        </is>
      </c>
      <c r="F50" s="27" t="n">
        <v>46020</v>
      </c>
      <c r="G50" t="inlineStr">
        <is>
          <t>DEBITO</t>
        </is>
      </c>
      <c r="H50" t="inlineStr">
        <is>
          <t>Tarifa Pix Enviado-PJ</t>
        </is>
      </c>
      <c r="I50" t="n">
        <v>-0.5</v>
      </c>
    </row>
    <row r="51">
      <c r="A51" t="n">
        <v>214621</v>
      </c>
      <c r="B51" t="n">
        <v>182</v>
      </c>
      <c r="C51" t="inlineStr">
        <is>
          <t>Love - Shibari - Kamino</t>
        </is>
      </c>
      <c r="D51" t="n">
        <v>128</v>
      </c>
      <c r="E51" t="inlineStr">
        <is>
          <t>Love Cabaret</t>
        </is>
      </c>
      <c r="F51" s="27" t="n">
        <v>46020</v>
      </c>
      <c r="G51" t="inlineStr">
        <is>
          <t>DEBITO</t>
        </is>
      </c>
      <c r="H51" t="inlineStr">
        <is>
          <t>Tarifa Transf Bancaria Enviada</t>
        </is>
      </c>
      <c r="I51" t="n">
        <v>-2</v>
      </c>
    </row>
    <row r="52">
      <c r="A52" t="n">
        <v>214622</v>
      </c>
      <c r="B52" t="n">
        <v>182</v>
      </c>
      <c r="C52" t="inlineStr">
        <is>
          <t>Love - Shibari - Kamino</t>
        </is>
      </c>
      <c r="D52" t="n">
        <v>128</v>
      </c>
      <c r="E52" t="inlineStr">
        <is>
          <t>Love Cabaret</t>
        </is>
      </c>
      <c r="F52" s="27" t="n">
        <v>46020</v>
      </c>
      <c r="G52" t="inlineStr">
        <is>
          <t>DEBITO</t>
        </is>
      </c>
      <c r="H52" t="inlineStr">
        <is>
          <t>Telefonica Brasil S.A.</t>
        </is>
      </c>
      <c r="I52" t="n">
        <v>-498.38</v>
      </c>
    </row>
    <row r="53">
      <c r="A53" t="n">
        <v>214652</v>
      </c>
      <c r="B53" t="n">
        <v>182</v>
      </c>
      <c r="C53" t="inlineStr">
        <is>
          <t>Love - Shibari - Kamino</t>
        </is>
      </c>
      <c r="D53" t="n">
        <v>128</v>
      </c>
      <c r="E53" t="inlineStr">
        <is>
          <t>Love Cabaret</t>
        </is>
      </c>
      <c r="F53" s="27" t="n">
        <v>46020</v>
      </c>
      <c r="G53" t="inlineStr">
        <is>
          <t>DEBITO</t>
        </is>
      </c>
      <c r="H53" t="inlineStr">
        <is>
          <t>Sao Paulo Transporte Sa</t>
        </is>
      </c>
      <c r="I53" t="n">
        <v>-504.98</v>
      </c>
    </row>
    <row r="54">
      <c r="A54" t="n">
        <v>214650</v>
      </c>
      <c r="B54" t="n">
        <v>182</v>
      </c>
      <c r="C54" t="inlineStr">
        <is>
          <t>Love - Shibari - Kamino</t>
        </is>
      </c>
      <c r="D54" t="n">
        <v>128</v>
      </c>
      <c r="E54" t="inlineStr">
        <is>
          <t>Love Cabaret</t>
        </is>
      </c>
      <c r="F54" s="27" t="n">
        <v>46020</v>
      </c>
      <c r="G54" t="inlineStr">
        <is>
          <t>DEBITO</t>
        </is>
      </c>
      <c r="H54" t="inlineStr">
        <is>
          <t>Receita Federal</t>
        </is>
      </c>
      <c r="I54" t="n">
        <v>-199.2</v>
      </c>
    </row>
    <row r="55">
      <c r="A55" t="n">
        <v>214649</v>
      </c>
      <c r="B55" t="n">
        <v>182</v>
      </c>
      <c r="C55" t="inlineStr">
        <is>
          <t>Love - Shibari - Kamino</t>
        </is>
      </c>
      <c r="D55" t="n">
        <v>128</v>
      </c>
      <c r="E55" t="inlineStr">
        <is>
          <t>Love Cabaret</t>
        </is>
      </c>
      <c r="F55" s="27" t="n">
        <v>46020</v>
      </c>
      <c r="G55" t="inlineStr">
        <is>
          <t>DEBITO</t>
        </is>
      </c>
      <c r="H55" t="inlineStr">
        <is>
          <t>Receita Federal</t>
        </is>
      </c>
      <c r="I55" t="n">
        <v>-4014.56</v>
      </c>
    </row>
    <row r="56">
      <c r="A56" t="n">
        <v>214648</v>
      </c>
      <c r="B56" t="n">
        <v>182</v>
      </c>
      <c r="C56" t="inlineStr">
        <is>
          <t>Love - Shibari - Kamino</t>
        </is>
      </c>
      <c r="D56" t="n">
        <v>128</v>
      </c>
      <c r="E56" t="inlineStr">
        <is>
          <t>Love Cabaret</t>
        </is>
      </c>
      <c r="F56" s="27" t="n">
        <v>46020</v>
      </c>
      <c r="G56" t="inlineStr">
        <is>
          <t>DEBITO</t>
        </is>
      </c>
      <c r="H56" t="inlineStr">
        <is>
          <t>Marcos Silva do Nascimento</t>
        </is>
      </c>
      <c r="I56" t="n">
        <v>-263.87</v>
      </c>
    </row>
    <row r="57">
      <c r="A57" t="n">
        <v>214647</v>
      </c>
      <c r="B57" t="n">
        <v>182</v>
      </c>
      <c r="C57" t="inlineStr">
        <is>
          <t>Love - Shibari - Kamino</t>
        </is>
      </c>
      <c r="D57" t="n">
        <v>128</v>
      </c>
      <c r="E57" t="inlineStr">
        <is>
          <t>Love Cabaret</t>
        </is>
      </c>
      <c r="F57" s="27" t="n">
        <v>46020</v>
      </c>
      <c r="G57" t="inlineStr">
        <is>
          <t>DEBITO</t>
        </is>
      </c>
      <c r="H57" t="inlineStr">
        <is>
          <t>Cecilia Tsuyaco Araki Silva Ltda</t>
        </is>
      </c>
      <c r="I57" t="n">
        <v>-177</v>
      </c>
    </row>
    <row r="58">
      <c r="A58" t="n">
        <v>214646</v>
      </c>
      <c r="B58" t="n">
        <v>182</v>
      </c>
      <c r="C58" t="inlineStr">
        <is>
          <t>Love - Shibari - Kamino</t>
        </is>
      </c>
      <c r="D58" t="n">
        <v>128</v>
      </c>
      <c r="E58" t="inlineStr">
        <is>
          <t>Love Cabaret</t>
        </is>
      </c>
      <c r="F58" s="27" t="n">
        <v>46020</v>
      </c>
      <c r="G58" t="inlineStr">
        <is>
          <t>DEBITO</t>
        </is>
      </c>
      <c r="H58" t="inlineStr">
        <is>
          <t>Receita Federal</t>
        </is>
      </c>
      <c r="I58" t="n">
        <v>-21533.28</v>
      </c>
    </row>
    <row r="59">
      <c r="A59" t="n">
        <v>214645</v>
      </c>
      <c r="B59" t="n">
        <v>182</v>
      </c>
      <c r="C59" t="inlineStr">
        <is>
          <t>Love - Shibari - Kamino</t>
        </is>
      </c>
      <c r="D59" t="n">
        <v>128</v>
      </c>
      <c r="E59" t="inlineStr">
        <is>
          <t>Love Cabaret</t>
        </is>
      </c>
      <c r="F59" s="27" t="n">
        <v>46020</v>
      </c>
      <c r="G59" t="inlineStr">
        <is>
          <t>DEBITO</t>
        </is>
      </c>
      <c r="H59" t="inlineStr">
        <is>
          <t>B. B. Distribuidora de Carnes Ltda</t>
        </is>
      </c>
      <c r="I59" t="n">
        <v>-173.6</v>
      </c>
    </row>
    <row r="60">
      <c r="A60" t="n">
        <v>214643</v>
      </c>
      <c r="B60" t="n">
        <v>182</v>
      </c>
      <c r="C60" t="inlineStr">
        <is>
          <t>Love - Shibari - Kamino</t>
        </is>
      </c>
      <c r="D60" t="n">
        <v>128</v>
      </c>
      <c r="E60" t="inlineStr">
        <is>
          <t>Love Cabaret</t>
        </is>
      </c>
      <c r="F60" s="27" t="n">
        <v>46020</v>
      </c>
      <c r="G60" t="inlineStr">
        <is>
          <t>DEBITO</t>
        </is>
      </c>
      <c r="H60" t="inlineStr">
        <is>
          <t>Receita Federal</t>
        </is>
      </c>
      <c r="I60" t="n">
        <v>-640.9299999999999</v>
      </c>
    </row>
    <row r="61">
      <c r="A61" t="n">
        <v>212251</v>
      </c>
      <c r="B61" t="n">
        <v>115</v>
      </c>
      <c r="C61" t="inlineStr">
        <is>
          <t>Love - Shibari - Bradesco</t>
        </is>
      </c>
      <c r="D61" t="n">
        <v>128</v>
      </c>
      <c r="E61" t="inlineStr">
        <is>
          <t>Love Cabaret</t>
        </is>
      </c>
      <c r="F61" s="27" t="n">
        <v>46017.5</v>
      </c>
      <c r="G61" t="inlineStr">
        <is>
          <t>CREDITO</t>
        </is>
      </c>
      <c r="H61" t="inlineStr">
        <is>
          <t>TED-TRANSF ELET DISPON REMET.DIAGEO BRASIL LTDA</t>
        </is>
      </c>
      <c r="I61" t="n">
        <v>24392.42</v>
      </c>
    </row>
    <row r="62">
      <c r="A62" t="n">
        <v>212250</v>
      </c>
      <c r="B62" t="n">
        <v>115</v>
      </c>
      <c r="C62" t="inlineStr">
        <is>
          <t>Love - Shibari - Bradesco</t>
        </is>
      </c>
      <c r="D62" t="n">
        <v>128</v>
      </c>
      <c r="E62" t="inlineStr">
        <is>
          <t>Love Cabaret</t>
        </is>
      </c>
      <c r="F62" s="27" t="n">
        <v>46017.5</v>
      </c>
      <c r="G62" t="inlineStr">
        <is>
          <t>CREDITO</t>
        </is>
      </c>
      <c r="H62" t="inlineStr">
        <is>
          <t>TED-TRANSF ELET DISPON REMET.SYMPLA INTERNET SOLU</t>
        </is>
      </c>
      <c r="I62" t="n">
        <v>11765</v>
      </c>
    </row>
    <row r="63">
      <c r="A63" t="n">
        <v>212249</v>
      </c>
      <c r="B63" t="n">
        <v>115</v>
      </c>
      <c r="C63" t="inlineStr">
        <is>
          <t>Love - Shibari - Bradesco</t>
        </is>
      </c>
      <c r="D63" t="n">
        <v>128</v>
      </c>
      <c r="E63" t="inlineStr">
        <is>
          <t>Love Cabaret</t>
        </is>
      </c>
      <c r="F63" s="27" t="n">
        <v>46017.5</v>
      </c>
      <c r="G63" t="inlineStr">
        <is>
          <t>CREDITO</t>
        </is>
      </c>
      <c r="H63" t="inlineStr">
        <is>
          <t>TED-TRANSF ELET DISPON REMET.SYMPLA INTERNET SOLU</t>
        </is>
      </c>
      <c r="I63" t="n">
        <v>8235</v>
      </c>
    </row>
    <row r="64">
      <c r="A64" t="n">
        <v>212248</v>
      </c>
      <c r="B64" t="n">
        <v>115</v>
      </c>
      <c r="C64" t="inlineStr">
        <is>
          <t>Love - Shibari - Bradesco</t>
        </is>
      </c>
      <c r="D64" t="n">
        <v>128</v>
      </c>
      <c r="E64" t="inlineStr">
        <is>
          <t>Love Cabaret</t>
        </is>
      </c>
      <c r="F64" s="27" t="n">
        <v>46015.5</v>
      </c>
      <c r="G64" t="inlineStr">
        <is>
          <t>DEBITO</t>
        </is>
      </c>
      <c r="H64" t="inlineStr">
        <is>
          <t>TARIFA BANCARIA TRANSF PGTO PIX</t>
        </is>
      </c>
      <c r="I64" t="n">
        <v>-9.800000000000001</v>
      </c>
    </row>
    <row r="65">
      <c r="A65" t="n">
        <v>212247</v>
      </c>
      <c r="B65" t="n">
        <v>115</v>
      </c>
      <c r="C65" t="inlineStr">
        <is>
          <t>Love - Shibari - Bradesco</t>
        </is>
      </c>
      <c r="D65" t="n">
        <v>128</v>
      </c>
      <c r="E65" t="inlineStr">
        <is>
          <t>Love Cabaret</t>
        </is>
      </c>
      <c r="F65" s="27" t="n">
        <v>46014.5</v>
      </c>
      <c r="G65" t="inlineStr">
        <is>
          <t>CREDITO</t>
        </is>
      </c>
      <c r="H65" t="inlineStr">
        <is>
          <t>TED-TRANSF ELET DISPON REMET.Zig Tecnologia S.A.</t>
        </is>
      </c>
      <c r="I65" t="n">
        <v>15542.38</v>
      </c>
    </row>
    <row r="66">
      <c r="A66" t="n">
        <v>212366</v>
      </c>
      <c r="B66" t="n">
        <v>182</v>
      </c>
      <c r="C66" t="inlineStr">
        <is>
          <t>Love - Shibari - Kamino</t>
        </is>
      </c>
      <c r="D66" t="n">
        <v>128</v>
      </c>
      <c r="E66" t="inlineStr">
        <is>
          <t>Love Cabaret</t>
        </is>
      </c>
      <c r="F66" s="27" t="n">
        <v>46014</v>
      </c>
      <c r="G66" t="inlineStr">
        <is>
          <t>DEBITO</t>
        </is>
      </c>
      <c r="H66" t="inlineStr">
        <is>
          <t>Fablab Inovacao S T Ltda</t>
        </is>
      </c>
      <c r="I66" t="n">
        <v>-389</v>
      </c>
    </row>
    <row r="67">
      <c r="A67" t="n">
        <v>212352</v>
      </c>
      <c r="B67" t="n">
        <v>182</v>
      </c>
      <c r="C67" t="inlineStr">
        <is>
          <t>Love - Shibari - Kamino</t>
        </is>
      </c>
      <c r="D67" t="n">
        <v>128</v>
      </c>
      <c r="E67" t="inlineStr">
        <is>
          <t>Love Cabaret</t>
        </is>
      </c>
      <c r="F67" s="27" t="n">
        <v>46014</v>
      </c>
      <c r="G67" t="inlineStr">
        <is>
          <t>DEBITO</t>
        </is>
      </c>
      <c r="H67" t="inlineStr">
        <is>
          <t>Leon Franz</t>
        </is>
      </c>
      <c r="I67" t="n">
        <v>-1000</v>
      </c>
    </row>
    <row r="68">
      <c r="A68" t="n">
        <v>212353</v>
      </c>
      <c r="B68" t="n">
        <v>182</v>
      </c>
      <c r="C68" t="inlineStr">
        <is>
          <t>Love - Shibari - Kamino</t>
        </is>
      </c>
      <c r="D68" t="n">
        <v>128</v>
      </c>
      <c r="E68" t="inlineStr">
        <is>
          <t>Love Cabaret</t>
        </is>
      </c>
      <c r="F68" s="27" t="n">
        <v>46014</v>
      </c>
      <c r="G68" t="inlineStr">
        <is>
          <t>DEBITO</t>
        </is>
      </c>
      <c r="H68" t="inlineStr">
        <is>
          <t>Cia do Whisky</t>
        </is>
      </c>
      <c r="I68" t="n">
        <v>-67.2</v>
      </c>
    </row>
    <row r="69">
      <c r="A69" t="n">
        <v>212354</v>
      </c>
      <c r="B69" t="n">
        <v>182</v>
      </c>
      <c r="C69" t="inlineStr">
        <is>
          <t>Love - Shibari - Kamino</t>
        </is>
      </c>
      <c r="D69" t="n">
        <v>128</v>
      </c>
      <c r="E69" t="inlineStr">
        <is>
          <t>Love Cabaret</t>
        </is>
      </c>
      <c r="F69" s="27" t="n">
        <v>46014</v>
      </c>
      <c r="G69" t="inlineStr">
        <is>
          <t>DEBITO</t>
        </is>
      </c>
      <c r="H69" t="inlineStr">
        <is>
          <t>Tarifa Pix Enviado-PJ</t>
        </is>
      </c>
      <c r="I69" t="n">
        <v>-0.5</v>
      </c>
    </row>
    <row r="70">
      <c r="A70" t="n">
        <v>212355</v>
      </c>
      <c r="B70" t="n">
        <v>182</v>
      </c>
      <c r="C70" t="inlineStr">
        <is>
          <t>Love - Shibari - Kamino</t>
        </is>
      </c>
      <c r="D70" t="n">
        <v>128</v>
      </c>
      <c r="E70" t="inlineStr">
        <is>
          <t>Love Cabaret</t>
        </is>
      </c>
      <c r="F70" s="27" t="n">
        <v>46014</v>
      </c>
      <c r="G70" t="inlineStr">
        <is>
          <t>DEBITO</t>
        </is>
      </c>
      <c r="H70" t="inlineStr">
        <is>
          <t>Telefonica Brasil S.A.</t>
        </is>
      </c>
      <c r="I70" t="n">
        <v>-98.63</v>
      </c>
    </row>
    <row r="71">
      <c r="A71" t="n">
        <v>212356</v>
      </c>
      <c r="B71" t="n">
        <v>182</v>
      </c>
      <c r="C71" t="inlineStr">
        <is>
          <t>Love - Shibari - Kamino</t>
        </is>
      </c>
      <c r="D71" t="n">
        <v>128</v>
      </c>
      <c r="E71" t="inlineStr">
        <is>
          <t>Love Cabaret</t>
        </is>
      </c>
      <c r="F71" s="27" t="n">
        <v>46014</v>
      </c>
      <c r="G71" t="inlineStr">
        <is>
          <t>DEBITO</t>
        </is>
      </c>
      <c r="H71" t="inlineStr">
        <is>
          <t>Receita Federal</t>
        </is>
      </c>
      <c r="I71" t="n">
        <v>-618.11</v>
      </c>
    </row>
    <row r="72">
      <c r="A72" t="n">
        <v>212358</v>
      </c>
      <c r="B72" t="n">
        <v>182</v>
      </c>
      <c r="C72" t="inlineStr">
        <is>
          <t>Love - Shibari - Kamino</t>
        </is>
      </c>
      <c r="D72" t="n">
        <v>128</v>
      </c>
      <c r="E72" t="inlineStr">
        <is>
          <t>Love Cabaret</t>
        </is>
      </c>
      <c r="F72" s="27" t="n">
        <v>46014</v>
      </c>
      <c r="G72" t="inlineStr">
        <is>
          <t>DEBITO</t>
        </is>
      </c>
      <c r="H72" t="inlineStr">
        <is>
          <t>King Comercio de Bebidas Ltda</t>
        </is>
      </c>
      <c r="I72" t="n">
        <v>-741.22</v>
      </c>
    </row>
    <row r="73">
      <c r="A73" t="n">
        <v>212370</v>
      </c>
      <c r="B73" t="n">
        <v>182</v>
      </c>
      <c r="C73" t="inlineStr">
        <is>
          <t>Love - Shibari - Kamino</t>
        </is>
      </c>
      <c r="D73" t="n">
        <v>128</v>
      </c>
      <c r="E73" t="inlineStr">
        <is>
          <t>Love Cabaret</t>
        </is>
      </c>
      <c r="F73" s="27" t="n">
        <v>46014</v>
      </c>
      <c r="G73" t="inlineStr">
        <is>
          <t>DEBITO</t>
        </is>
      </c>
      <c r="H73" t="inlineStr">
        <is>
          <t>Cia do Whisky</t>
        </is>
      </c>
      <c r="I73" t="n">
        <v>-218.2</v>
      </c>
    </row>
    <row r="74">
      <c r="A74" t="n">
        <v>212369</v>
      </c>
      <c r="B74" t="n">
        <v>182</v>
      </c>
      <c r="C74" t="inlineStr">
        <is>
          <t>Love - Shibari - Kamino</t>
        </is>
      </c>
      <c r="D74" t="n">
        <v>128</v>
      </c>
      <c r="E74" t="inlineStr">
        <is>
          <t>Love Cabaret</t>
        </is>
      </c>
      <c r="F74" s="27" t="n">
        <v>46014</v>
      </c>
      <c r="G74" t="inlineStr">
        <is>
          <t>DEBITO</t>
        </is>
      </c>
      <c r="H74" t="inlineStr">
        <is>
          <t>Mario Pedro Feliciano Hortifru</t>
        </is>
      </c>
      <c r="I74" t="n">
        <v>-85.91</v>
      </c>
    </row>
    <row r="75">
      <c r="A75" t="n">
        <v>212368</v>
      </c>
      <c r="B75" t="n">
        <v>182</v>
      </c>
      <c r="C75" t="inlineStr">
        <is>
          <t>Love - Shibari - Kamino</t>
        </is>
      </c>
      <c r="D75" t="n">
        <v>128</v>
      </c>
      <c r="E75" t="inlineStr">
        <is>
          <t>Love Cabaret</t>
        </is>
      </c>
      <c r="F75" s="27" t="n">
        <v>46014</v>
      </c>
      <c r="G75" t="inlineStr">
        <is>
          <t>DEBITO</t>
        </is>
      </c>
      <c r="H75" t="inlineStr">
        <is>
          <t>Arena Bebidas</t>
        </is>
      </c>
      <c r="I75" t="n">
        <v>-405.94</v>
      </c>
    </row>
    <row r="76">
      <c r="A76" t="n">
        <v>212367</v>
      </c>
      <c r="B76" t="n">
        <v>182</v>
      </c>
      <c r="C76" t="inlineStr">
        <is>
          <t>Love - Shibari - Kamino</t>
        </is>
      </c>
      <c r="D76" t="n">
        <v>128</v>
      </c>
      <c r="E76" t="inlineStr">
        <is>
          <t>Love Cabaret</t>
        </is>
      </c>
      <c r="F76" s="27" t="n">
        <v>46014</v>
      </c>
      <c r="G76" t="inlineStr">
        <is>
          <t>DEBITO</t>
        </is>
      </c>
      <c r="H76" t="inlineStr">
        <is>
          <t>Receita Federal</t>
        </is>
      </c>
      <c r="I76" t="n">
        <v>-1871.27</v>
      </c>
    </row>
    <row r="77">
      <c r="A77" t="n">
        <v>212357</v>
      </c>
      <c r="B77" t="n">
        <v>182</v>
      </c>
      <c r="C77" t="inlineStr">
        <is>
          <t>Love - Shibari - Kamino</t>
        </is>
      </c>
      <c r="D77" t="n">
        <v>128</v>
      </c>
      <c r="E77" t="inlineStr">
        <is>
          <t>Love Cabaret</t>
        </is>
      </c>
      <c r="F77" s="27" t="n">
        <v>46014</v>
      </c>
      <c r="G77" t="inlineStr">
        <is>
          <t>DEBITO</t>
        </is>
      </c>
      <c r="H77" t="inlineStr">
        <is>
          <t>Telefonica Brasil S.A.</t>
        </is>
      </c>
      <c r="I77" t="n">
        <v>-228.87</v>
      </c>
    </row>
    <row r="78">
      <c r="A78" t="n">
        <v>212365</v>
      </c>
      <c r="B78" t="n">
        <v>182</v>
      </c>
      <c r="C78" t="inlineStr">
        <is>
          <t>Love - Shibari - Kamino</t>
        </is>
      </c>
      <c r="D78" t="n">
        <v>128</v>
      </c>
      <c r="E78" t="inlineStr">
        <is>
          <t>Love Cabaret</t>
        </is>
      </c>
      <c r="F78" s="27" t="n">
        <v>46014</v>
      </c>
      <c r="G78" t="inlineStr">
        <is>
          <t>DEBITO</t>
        </is>
      </c>
      <c r="H78" t="inlineStr">
        <is>
          <t>Horta Nova Distribuidora de Hortifruti L</t>
        </is>
      </c>
      <c r="I78" t="n">
        <v>-108.11</v>
      </c>
    </row>
    <row r="79">
      <c r="A79" t="n">
        <v>212364</v>
      </c>
      <c r="B79" t="n">
        <v>182</v>
      </c>
      <c r="C79" t="inlineStr">
        <is>
          <t>Love - Shibari - Kamino</t>
        </is>
      </c>
      <c r="D79" t="n">
        <v>128</v>
      </c>
      <c r="E79" t="inlineStr">
        <is>
          <t>Love Cabaret</t>
        </is>
      </c>
      <c r="F79" s="27" t="n">
        <v>46014</v>
      </c>
      <c r="G79" t="inlineStr">
        <is>
          <t>DEBITO</t>
        </is>
      </c>
      <c r="H79" t="inlineStr">
        <is>
          <t>Horta Nova Distribuidora de Hortifruti L</t>
        </is>
      </c>
      <c r="I79" t="n">
        <v>-395</v>
      </c>
    </row>
    <row r="80">
      <c r="A80" t="n">
        <v>212363</v>
      </c>
      <c r="B80" t="n">
        <v>182</v>
      </c>
      <c r="C80" t="inlineStr">
        <is>
          <t>Love - Shibari - Kamino</t>
        </is>
      </c>
      <c r="D80" t="n">
        <v>128</v>
      </c>
      <c r="E80" t="inlineStr">
        <is>
          <t>Love Cabaret</t>
        </is>
      </c>
      <c r="F80" s="27" t="n">
        <v>46014</v>
      </c>
      <c r="G80" t="inlineStr">
        <is>
          <t>DEBITO</t>
        </is>
      </c>
      <c r="H80" t="inlineStr">
        <is>
          <t>Zahil Importadora Ltda</t>
        </is>
      </c>
      <c r="I80" t="n">
        <v>-1264.33</v>
      </c>
    </row>
    <row r="81">
      <c r="A81" t="n">
        <v>212362</v>
      </c>
      <c r="B81" t="n">
        <v>182</v>
      </c>
      <c r="C81" t="inlineStr">
        <is>
          <t>Love - Shibari - Kamino</t>
        </is>
      </c>
      <c r="D81" t="n">
        <v>128</v>
      </c>
      <c r="E81" t="inlineStr">
        <is>
          <t>Love Cabaret</t>
        </is>
      </c>
      <c r="F81" s="27" t="n">
        <v>46014</v>
      </c>
      <c r="G81" t="inlineStr">
        <is>
          <t>DEBITO</t>
        </is>
      </c>
      <c r="H81" t="inlineStr">
        <is>
          <t>W P P C Carnes Eireli Epp</t>
        </is>
      </c>
      <c r="I81" t="n">
        <v>-422.5</v>
      </c>
    </row>
    <row r="82">
      <c r="A82" t="n">
        <v>212361</v>
      </c>
      <c r="B82" t="n">
        <v>182</v>
      </c>
      <c r="C82" t="inlineStr">
        <is>
          <t>Love - Shibari - Kamino</t>
        </is>
      </c>
      <c r="D82" t="n">
        <v>128</v>
      </c>
      <c r="E82" t="inlineStr">
        <is>
          <t>Love Cabaret</t>
        </is>
      </c>
      <c r="F82" s="27" t="n">
        <v>46014</v>
      </c>
      <c r="G82" t="inlineStr">
        <is>
          <t>DEBITO</t>
        </is>
      </c>
      <c r="H82" t="inlineStr">
        <is>
          <t>Front Bebidas Litda</t>
        </is>
      </c>
      <c r="I82" t="n">
        <v>-1910.12</v>
      </c>
    </row>
    <row r="83">
      <c r="A83" t="n">
        <v>212360</v>
      </c>
      <c r="B83" t="n">
        <v>182</v>
      </c>
      <c r="C83" t="inlineStr">
        <is>
          <t>Love - Shibari - Kamino</t>
        </is>
      </c>
      <c r="D83" t="n">
        <v>128</v>
      </c>
      <c r="E83" t="inlineStr">
        <is>
          <t>Love Cabaret</t>
        </is>
      </c>
      <c r="F83" s="27" t="n">
        <v>46014</v>
      </c>
      <c r="G83" t="inlineStr">
        <is>
          <t>DEBITO</t>
        </is>
      </c>
      <c r="H83" t="inlineStr">
        <is>
          <t>Cecilia Tsuyaco Araki Silva Ltda</t>
        </is>
      </c>
      <c r="I83" t="n">
        <v>-153.3</v>
      </c>
    </row>
    <row r="84">
      <c r="A84" t="n">
        <v>212359</v>
      </c>
      <c r="B84" t="n">
        <v>182</v>
      </c>
      <c r="C84" t="inlineStr">
        <is>
          <t>Love - Shibari - Kamino</t>
        </is>
      </c>
      <c r="D84" t="n">
        <v>128</v>
      </c>
      <c r="E84" t="inlineStr">
        <is>
          <t>Love Cabaret</t>
        </is>
      </c>
      <c r="F84" s="27" t="n">
        <v>46014</v>
      </c>
      <c r="G84" t="inlineStr">
        <is>
          <t>DEBITO</t>
        </is>
      </c>
      <c r="H84" t="inlineStr">
        <is>
          <t>Hnk Br Bebidas Ltda</t>
        </is>
      </c>
      <c r="I84" t="n">
        <v>-4767.97</v>
      </c>
    </row>
    <row r="85">
      <c r="A85" t="n">
        <v>212246</v>
      </c>
      <c r="B85" t="n">
        <v>115</v>
      </c>
      <c r="C85" t="inlineStr">
        <is>
          <t>Love - Shibari - Bradesco</t>
        </is>
      </c>
      <c r="D85" t="n">
        <v>128</v>
      </c>
      <c r="E85" t="inlineStr">
        <is>
          <t>Love Cabaret</t>
        </is>
      </c>
      <c r="F85" s="27" t="n">
        <v>46013.5</v>
      </c>
      <c r="G85" t="inlineStr">
        <is>
          <t>DEBITO</t>
        </is>
      </c>
      <c r="H85" t="inlineStr">
        <is>
          <t>TRANSFERENCIA PIX DES: SHIBARI ART E DIVERSA 22/12</t>
        </is>
      </c>
      <c r="I85" t="n">
        <v>-200000</v>
      </c>
    </row>
    <row r="86">
      <c r="A86" t="n">
        <v>212242</v>
      </c>
      <c r="B86" t="n">
        <v>115</v>
      </c>
      <c r="C86" t="inlineStr">
        <is>
          <t>Love - Shibari - Bradesco</t>
        </is>
      </c>
      <c r="D86" t="n">
        <v>128</v>
      </c>
      <c r="E86" t="inlineStr">
        <is>
          <t>Love Cabaret</t>
        </is>
      </c>
      <c r="F86" s="27" t="n">
        <v>46013.5</v>
      </c>
      <c r="G86" t="inlineStr">
        <is>
          <t>CREDITO</t>
        </is>
      </c>
      <c r="H86" t="inlineStr">
        <is>
          <t>TED-TRANSF ELET DISPON REMET.Zig Tecnologia S.A.</t>
        </is>
      </c>
      <c r="I86" t="n">
        <v>56834.05</v>
      </c>
    </row>
    <row r="87">
      <c r="A87" t="n">
        <v>212322</v>
      </c>
      <c r="B87" t="n">
        <v>182</v>
      </c>
      <c r="C87" t="inlineStr">
        <is>
          <t>Love - Shibari - Kamino</t>
        </is>
      </c>
      <c r="D87" t="n">
        <v>128</v>
      </c>
      <c r="E87" t="inlineStr">
        <is>
          <t>Love Cabaret</t>
        </is>
      </c>
      <c r="F87" s="27" t="n">
        <v>46013</v>
      </c>
      <c r="G87" t="inlineStr">
        <is>
          <t>DEBITO</t>
        </is>
      </c>
      <c r="H87" t="inlineStr">
        <is>
          <t>Aurora Alvorada Estacionamento e Lanchon</t>
        </is>
      </c>
      <c r="I87" t="n">
        <v>-235.34</v>
      </c>
    </row>
    <row r="88">
      <c r="A88" t="n">
        <v>212320</v>
      </c>
      <c r="B88" t="n">
        <v>182</v>
      </c>
      <c r="C88" t="inlineStr">
        <is>
          <t>Love - Shibari - Kamino</t>
        </is>
      </c>
      <c r="D88" t="n">
        <v>128</v>
      </c>
      <c r="E88" t="inlineStr">
        <is>
          <t>Love Cabaret</t>
        </is>
      </c>
      <c r="F88" s="27" t="n">
        <v>46013</v>
      </c>
      <c r="G88" t="inlineStr">
        <is>
          <t>DEBITO</t>
        </is>
      </c>
      <c r="H88" t="inlineStr">
        <is>
          <t>Comercial Dede</t>
        </is>
      </c>
      <c r="I88" t="n">
        <v>-342</v>
      </c>
    </row>
    <row r="89">
      <c r="A89" t="n">
        <v>212319</v>
      </c>
      <c r="B89" t="n">
        <v>182</v>
      </c>
      <c r="C89" t="inlineStr">
        <is>
          <t>Love - Shibari - Kamino</t>
        </is>
      </c>
      <c r="D89" t="n">
        <v>128</v>
      </c>
      <c r="E89" t="inlineStr">
        <is>
          <t>Love Cabaret</t>
        </is>
      </c>
      <c r="F89" s="27" t="n">
        <v>46013</v>
      </c>
      <c r="G89" t="inlineStr">
        <is>
          <t>DEBITO</t>
        </is>
      </c>
      <c r="H89" t="inlineStr">
        <is>
          <t>Cia do Whisky</t>
        </is>
      </c>
      <c r="I89" t="n">
        <v>-1194.68</v>
      </c>
    </row>
    <row r="90">
      <c r="A90" t="n">
        <v>212318</v>
      </c>
      <c r="B90" t="n">
        <v>182</v>
      </c>
      <c r="C90" t="inlineStr">
        <is>
          <t>Love - Shibari - Kamino</t>
        </is>
      </c>
      <c r="D90" t="n">
        <v>128</v>
      </c>
      <c r="E90" t="inlineStr">
        <is>
          <t>Love Cabaret</t>
        </is>
      </c>
      <c r="F90" s="27" t="n">
        <v>46013</v>
      </c>
      <c r="G90" t="inlineStr">
        <is>
          <t>DEBITO</t>
        </is>
      </c>
      <c r="H90" t="inlineStr">
        <is>
          <t>Receita Federal</t>
        </is>
      </c>
      <c r="I90" t="n">
        <v>-10657.25</v>
      </c>
    </row>
    <row r="91">
      <c r="A91" t="n">
        <v>212317</v>
      </c>
      <c r="B91" t="n">
        <v>182</v>
      </c>
      <c r="C91" t="inlineStr">
        <is>
          <t>Love - Shibari - Kamino</t>
        </is>
      </c>
      <c r="D91" t="n">
        <v>128</v>
      </c>
      <c r="E91" t="inlineStr">
        <is>
          <t>Love Cabaret</t>
        </is>
      </c>
      <c r="F91" s="27" t="n">
        <v>46013</v>
      </c>
      <c r="G91" t="inlineStr">
        <is>
          <t>DEBITO</t>
        </is>
      </c>
      <c r="H91" t="inlineStr">
        <is>
          <t>Comercial Dede</t>
        </is>
      </c>
      <c r="I91" t="n">
        <v>-518.0599999999999</v>
      </c>
    </row>
    <row r="92">
      <c r="A92" t="n">
        <v>212316</v>
      </c>
      <c r="B92" t="n">
        <v>182</v>
      </c>
      <c r="C92" t="inlineStr">
        <is>
          <t>Love - Shibari - Kamino</t>
        </is>
      </c>
      <c r="D92" t="n">
        <v>128</v>
      </c>
      <c r="E92" t="inlineStr">
        <is>
          <t>Love Cabaret</t>
        </is>
      </c>
      <c r="F92" s="27" t="n">
        <v>46013</v>
      </c>
      <c r="G92" t="inlineStr">
        <is>
          <t>DEBITO</t>
        </is>
      </c>
      <c r="H92" t="inlineStr">
        <is>
          <t>Invye Capital Ltda</t>
        </is>
      </c>
      <c r="I92" t="n">
        <v>-1260</v>
      </c>
    </row>
    <row r="93">
      <c r="A93" t="n">
        <v>212315</v>
      </c>
      <c r="B93" t="n">
        <v>182</v>
      </c>
      <c r="C93" t="inlineStr">
        <is>
          <t>Love - Shibari - Kamino</t>
        </is>
      </c>
      <c r="D93" t="n">
        <v>128</v>
      </c>
      <c r="E93" t="inlineStr">
        <is>
          <t>Love Cabaret</t>
        </is>
      </c>
      <c r="F93" s="27" t="n">
        <v>46013</v>
      </c>
      <c r="G93" t="inlineStr">
        <is>
          <t>DEBITO</t>
        </is>
      </c>
      <c r="H93" t="inlineStr">
        <is>
          <t>Arena Bebidas</t>
        </is>
      </c>
      <c r="I93" t="n">
        <v>-480.26</v>
      </c>
    </row>
    <row r="94">
      <c r="A94" t="n">
        <v>212314</v>
      </c>
      <c r="B94" t="n">
        <v>182</v>
      </c>
      <c r="C94" t="inlineStr">
        <is>
          <t>Love - Shibari - Kamino</t>
        </is>
      </c>
      <c r="D94" t="n">
        <v>128</v>
      </c>
      <c r="E94" t="inlineStr">
        <is>
          <t>Love Cabaret</t>
        </is>
      </c>
      <c r="F94" s="27" t="n">
        <v>46013</v>
      </c>
      <c r="G94" t="inlineStr">
        <is>
          <t>DEBITO</t>
        </is>
      </c>
      <c r="H94" t="inlineStr">
        <is>
          <t>Pss - Central da Limpeza Ltda</t>
        </is>
      </c>
      <c r="I94" t="n">
        <v>-435</v>
      </c>
    </row>
    <row r="95">
      <c r="A95" t="n">
        <v>212313</v>
      </c>
      <c r="B95" t="n">
        <v>182</v>
      </c>
      <c r="C95" t="inlineStr">
        <is>
          <t>Love - Shibari - Kamino</t>
        </is>
      </c>
      <c r="D95" t="n">
        <v>128</v>
      </c>
      <c r="E95" t="inlineStr">
        <is>
          <t>Love Cabaret</t>
        </is>
      </c>
      <c r="F95" s="27" t="n">
        <v>46013</v>
      </c>
      <c r="G95" t="inlineStr">
        <is>
          <t>DEBITO</t>
        </is>
      </c>
      <c r="H95" t="inlineStr">
        <is>
          <t>Receita Federal</t>
        </is>
      </c>
      <c r="I95" t="n">
        <v>-134.27</v>
      </c>
    </row>
    <row r="96">
      <c r="A96" t="n">
        <v>212312</v>
      </c>
      <c r="B96" t="n">
        <v>182</v>
      </c>
      <c r="C96" t="inlineStr">
        <is>
          <t>Love - Shibari - Kamino</t>
        </is>
      </c>
      <c r="D96" t="n">
        <v>128</v>
      </c>
      <c r="E96" t="inlineStr">
        <is>
          <t>Love Cabaret</t>
        </is>
      </c>
      <c r="F96" s="27" t="n">
        <v>46013</v>
      </c>
      <c r="G96" t="inlineStr">
        <is>
          <t>DEBITO</t>
        </is>
      </c>
      <c r="H96" t="inlineStr">
        <is>
          <t>Pss - Central da Limpeza Ltda</t>
        </is>
      </c>
      <c r="I96" t="n">
        <v>-943</v>
      </c>
    </row>
    <row r="97">
      <c r="A97" t="n">
        <v>212311</v>
      </c>
      <c r="B97" t="n">
        <v>182</v>
      </c>
      <c r="C97" t="inlineStr">
        <is>
          <t>Love - Shibari - Kamino</t>
        </is>
      </c>
      <c r="D97" t="n">
        <v>128</v>
      </c>
      <c r="E97" t="inlineStr">
        <is>
          <t>Love Cabaret</t>
        </is>
      </c>
      <c r="F97" s="27" t="n">
        <v>46013</v>
      </c>
      <c r="G97" t="inlineStr">
        <is>
          <t>DEBITO</t>
        </is>
      </c>
      <c r="H97" t="inlineStr">
        <is>
          <t>Comercial Dede</t>
        </is>
      </c>
      <c r="I97" t="n">
        <v>-47.8</v>
      </c>
    </row>
    <row r="98">
      <c r="A98" t="n">
        <v>212310</v>
      </c>
      <c r="B98" t="n">
        <v>182</v>
      </c>
      <c r="C98" t="inlineStr">
        <is>
          <t>Love - Shibari - Kamino</t>
        </is>
      </c>
      <c r="D98" t="n">
        <v>128</v>
      </c>
      <c r="E98" t="inlineStr">
        <is>
          <t>Love Cabaret</t>
        </is>
      </c>
      <c r="F98" s="27" t="n">
        <v>46013</v>
      </c>
      <c r="G98" t="inlineStr">
        <is>
          <t>DEBITO</t>
        </is>
      </c>
      <c r="H98" t="inlineStr">
        <is>
          <t>Sabesp</t>
        </is>
      </c>
      <c r="I98" t="n">
        <v>-153.96</v>
      </c>
    </row>
    <row r="99">
      <c r="A99" t="n">
        <v>212309</v>
      </c>
      <c r="B99" t="n">
        <v>182</v>
      </c>
      <c r="C99" t="inlineStr">
        <is>
          <t>Love - Shibari - Kamino</t>
        </is>
      </c>
      <c r="D99" t="n">
        <v>128</v>
      </c>
      <c r="E99" t="inlineStr">
        <is>
          <t>Love Cabaret</t>
        </is>
      </c>
      <c r="F99" s="27" t="n">
        <v>46013</v>
      </c>
      <c r="G99" t="inlineStr">
        <is>
          <t>DEBITO</t>
        </is>
      </c>
      <c r="H99" t="inlineStr">
        <is>
          <t>Fabrica de Bares Servicos Ltda</t>
        </is>
      </c>
      <c r="I99" t="n">
        <v>-100</v>
      </c>
    </row>
    <row r="100">
      <c r="A100" t="n">
        <v>212308</v>
      </c>
      <c r="B100" t="n">
        <v>182</v>
      </c>
      <c r="C100" t="inlineStr">
        <is>
          <t>Love - Shibari - Kamino</t>
        </is>
      </c>
      <c r="D100" t="n">
        <v>128</v>
      </c>
      <c r="E100" t="inlineStr">
        <is>
          <t>Love Cabaret</t>
        </is>
      </c>
      <c r="F100" s="27" t="n">
        <v>46013</v>
      </c>
      <c r="G100" t="inlineStr">
        <is>
          <t>DEBITO</t>
        </is>
      </c>
      <c r="H100" t="inlineStr">
        <is>
          <t>Fabrica de Bares Servicos Ltda</t>
        </is>
      </c>
      <c r="I100" t="n">
        <v>-6752.98</v>
      </c>
    </row>
    <row r="101">
      <c r="A101" t="n">
        <v>212307</v>
      </c>
      <c r="B101" t="n">
        <v>182</v>
      </c>
      <c r="C101" t="inlineStr">
        <is>
          <t>Love - Shibari - Kamino</t>
        </is>
      </c>
      <c r="D101" t="n">
        <v>128</v>
      </c>
      <c r="E101" t="inlineStr">
        <is>
          <t>Love Cabaret</t>
        </is>
      </c>
      <c r="F101" s="27" t="n">
        <v>46013</v>
      </c>
      <c r="G101" t="inlineStr">
        <is>
          <t>DEBITO</t>
        </is>
      </c>
      <c r="H101" t="inlineStr">
        <is>
          <t>Machine Seguranca Patrimonial Ltda</t>
        </is>
      </c>
      <c r="I101" t="n">
        <v>-6650</v>
      </c>
    </row>
    <row r="102">
      <c r="A102" t="n">
        <v>212306</v>
      </c>
      <c r="B102" t="n">
        <v>182</v>
      </c>
      <c r="C102" t="inlineStr">
        <is>
          <t>Love - Shibari - Kamino</t>
        </is>
      </c>
      <c r="D102" t="n">
        <v>128</v>
      </c>
      <c r="E102" t="inlineStr">
        <is>
          <t>Love Cabaret</t>
        </is>
      </c>
      <c r="F102" s="27" t="n">
        <v>46013</v>
      </c>
      <c r="G102" t="inlineStr">
        <is>
          <t>CREDITO</t>
        </is>
      </c>
      <c r="H102" t="inlineStr">
        <is>
          <t>SHIBARI ART E DIVERSAO LTDA</t>
        </is>
      </c>
      <c r="I102" t="n">
        <v>200000</v>
      </c>
    </row>
    <row r="103">
      <c r="A103" t="n">
        <v>212305</v>
      </c>
      <c r="B103" t="n">
        <v>182</v>
      </c>
      <c r="C103" t="inlineStr">
        <is>
          <t>Love - Shibari - Kamino</t>
        </is>
      </c>
      <c r="D103" t="n">
        <v>128</v>
      </c>
      <c r="E103" t="inlineStr">
        <is>
          <t>Love Cabaret</t>
        </is>
      </c>
      <c r="F103" s="27" t="n">
        <v>46013</v>
      </c>
      <c r="G103" t="inlineStr">
        <is>
          <t>DEBITO</t>
        </is>
      </c>
      <c r="H103" t="inlineStr">
        <is>
          <t>GOOGLE BRASIL INTERNET LTDA.</t>
        </is>
      </c>
      <c r="I103" t="n">
        <v>-1000</v>
      </c>
    </row>
    <row r="104">
      <c r="A104" t="n">
        <v>212321</v>
      </c>
      <c r="B104" t="n">
        <v>182</v>
      </c>
      <c r="C104" t="inlineStr">
        <is>
          <t>Love - Shibari - Kamino</t>
        </is>
      </c>
      <c r="D104" t="n">
        <v>128</v>
      </c>
      <c r="E104" t="inlineStr">
        <is>
          <t>Love Cabaret</t>
        </is>
      </c>
      <c r="F104" s="27" t="n">
        <v>46013</v>
      </c>
      <c r="G104" t="inlineStr">
        <is>
          <t>CREDITO</t>
        </is>
      </c>
      <c r="H104" t="inlineStr">
        <is>
          <t>Pix Env No Processado</t>
        </is>
      </c>
      <c r="I104" t="n">
        <v>1000</v>
      </c>
    </row>
    <row r="105">
      <c r="A105" t="n">
        <v>212324</v>
      </c>
      <c r="B105" t="n">
        <v>182</v>
      </c>
      <c r="C105" t="inlineStr">
        <is>
          <t>Love - Shibari - Kamino</t>
        </is>
      </c>
      <c r="D105" t="n">
        <v>128</v>
      </c>
      <c r="E105" t="inlineStr">
        <is>
          <t>Love Cabaret</t>
        </is>
      </c>
      <c r="F105" s="27" t="n">
        <v>46013</v>
      </c>
      <c r="G105" t="inlineStr">
        <is>
          <t>DEBITO</t>
        </is>
      </c>
      <c r="H105" t="inlineStr">
        <is>
          <t>Eau Distribuidora a M Ltda</t>
        </is>
      </c>
      <c r="I105" t="n">
        <v>-276</v>
      </c>
    </row>
    <row r="106">
      <c r="A106" t="n">
        <v>212342</v>
      </c>
      <c r="B106" t="n">
        <v>182</v>
      </c>
      <c r="C106" t="inlineStr">
        <is>
          <t>Love - Shibari - Kamino</t>
        </is>
      </c>
      <c r="D106" t="n">
        <v>128</v>
      </c>
      <c r="E106" t="inlineStr">
        <is>
          <t>Love Cabaret</t>
        </is>
      </c>
      <c r="F106" s="27" t="n">
        <v>46013</v>
      </c>
      <c r="G106" t="inlineStr">
        <is>
          <t>DEBITO</t>
        </is>
      </c>
      <c r="H106" t="inlineStr">
        <is>
          <t>Cecilia Tsuyaco Araki Silva Ltda</t>
        </is>
      </c>
      <c r="I106" t="n">
        <v>-209.4</v>
      </c>
    </row>
    <row r="107">
      <c r="A107" t="n">
        <v>212343</v>
      </c>
      <c r="B107" t="n">
        <v>182</v>
      </c>
      <c r="C107" t="inlineStr">
        <is>
          <t>Love - Shibari - Kamino</t>
        </is>
      </c>
      <c r="D107" t="n">
        <v>128</v>
      </c>
      <c r="E107" t="inlineStr">
        <is>
          <t>Love Cabaret</t>
        </is>
      </c>
      <c r="F107" s="27" t="n">
        <v>46013</v>
      </c>
      <c r="G107" t="inlineStr">
        <is>
          <t>DEBITO</t>
        </is>
      </c>
      <c r="H107" t="inlineStr">
        <is>
          <t>Cia do Whisky</t>
        </is>
      </c>
      <c r="I107" t="n">
        <v>-454.8</v>
      </c>
    </row>
    <row r="108">
      <c r="A108" t="n">
        <v>212344</v>
      </c>
      <c r="B108" t="n">
        <v>182</v>
      </c>
      <c r="C108" t="inlineStr">
        <is>
          <t>Love - Shibari - Kamino</t>
        </is>
      </c>
      <c r="D108" t="n">
        <v>128</v>
      </c>
      <c r="E108" t="inlineStr">
        <is>
          <t>Love Cabaret</t>
        </is>
      </c>
      <c r="F108" s="27" t="n">
        <v>46013</v>
      </c>
      <c r="G108" t="inlineStr">
        <is>
          <t>DEBITO</t>
        </is>
      </c>
      <c r="H108" t="inlineStr">
        <is>
          <t>Fabrica de Bares Servicos Ltda</t>
        </is>
      </c>
      <c r="I108" t="n">
        <v>-120.34</v>
      </c>
    </row>
    <row r="109">
      <c r="A109" t="n">
        <v>212345</v>
      </c>
      <c r="B109" t="n">
        <v>182</v>
      </c>
      <c r="C109" t="inlineStr">
        <is>
          <t>Love - Shibari - Kamino</t>
        </is>
      </c>
      <c r="D109" t="n">
        <v>128</v>
      </c>
      <c r="E109" t="inlineStr">
        <is>
          <t>Love Cabaret</t>
        </is>
      </c>
      <c r="F109" s="27" t="n">
        <v>46013</v>
      </c>
      <c r="G109" t="inlineStr">
        <is>
          <t>DEBITO</t>
        </is>
      </c>
      <c r="H109" t="inlineStr">
        <is>
          <t>Jos Roberto do Nascimento Silva</t>
        </is>
      </c>
      <c r="I109" t="n">
        <v>-1000</v>
      </c>
    </row>
    <row r="110">
      <c r="A110" t="n">
        <v>212346</v>
      </c>
      <c r="B110" t="n">
        <v>182</v>
      </c>
      <c r="C110" t="inlineStr">
        <is>
          <t>Love - Shibari - Kamino</t>
        </is>
      </c>
      <c r="D110" t="n">
        <v>128</v>
      </c>
      <c r="E110" t="inlineStr">
        <is>
          <t>Love Cabaret</t>
        </is>
      </c>
      <c r="F110" s="27" t="n">
        <v>46013</v>
      </c>
      <c r="G110" t="inlineStr">
        <is>
          <t>CREDITO</t>
        </is>
      </c>
      <c r="H110" t="inlineStr">
        <is>
          <t>Pix Env No Processado</t>
        </is>
      </c>
      <c r="I110" t="n">
        <v>1000</v>
      </c>
    </row>
    <row r="111">
      <c r="A111" t="n">
        <v>212347</v>
      </c>
      <c r="B111" t="n">
        <v>182</v>
      </c>
      <c r="C111" t="inlineStr">
        <is>
          <t>Love - Shibari - Kamino</t>
        </is>
      </c>
      <c r="D111" t="n">
        <v>128</v>
      </c>
      <c r="E111" t="inlineStr">
        <is>
          <t>Love Cabaret</t>
        </is>
      </c>
      <c r="F111" s="27" t="n">
        <v>46013</v>
      </c>
      <c r="G111" t="inlineStr">
        <is>
          <t>DEBITO</t>
        </is>
      </c>
      <c r="H111" t="inlineStr">
        <is>
          <t>(Leon) Julia Baisch Franz</t>
        </is>
      </c>
      <c r="I111" t="n">
        <v>-1000</v>
      </c>
    </row>
    <row r="112">
      <c r="A112" t="n">
        <v>212348</v>
      </c>
      <c r="B112" t="n">
        <v>182</v>
      </c>
      <c r="C112" t="inlineStr">
        <is>
          <t>Love - Shibari - Kamino</t>
        </is>
      </c>
      <c r="D112" t="n">
        <v>128</v>
      </c>
      <c r="E112" t="inlineStr">
        <is>
          <t>Love Cabaret</t>
        </is>
      </c>
      <c r="F112" s="27" t="n">
        <v>46013</v>
      </c>
      <c r="G112" t="inlineStr">
        <is>
          <t>CREDITO</t>
        </is>
      </c>
      <c r="H112" t="inlineStr">
        <is>
          <t>Pix Env No Processado</t>
        </is>
      </c>
      <c r="I112" t="n">
        <v>1000</v>
      </c>
    </row>
    <row r="113">
      <c r="A113" t="n">
        <v>212349</v>
      </c>
      <c r="B113" t="n">
        <v>182</v>
      </c>
      <c r="C113" t="inlineStr">
        <is>
          <t>Love - Shibari - Kamino</t>
        </is>
      </c>
      <c r="D113" t="n">
        <v>128</v>
      </c>
      <c r="E113" t="inlineStr">
        <is>
          <t>Love Cabaret</t>
        </is>
      </c>
      <c r="F113" s="27" t="n">
        <v>46013</v>
      </c>
      <c r="G113" t="inlineStr">
        <is>
          <t>CREDITO</t>
        </is>
      </c>
      <c r="H113" t="inlineStr">
        <is>
          <t>Pix Env No Processado</t>
        </is>
      </c>
      <c r="I113" t="n">
        <v>1000</v>
      </c>
    </row>
    <row r="114">
      <c r="A114" t="n">
        <v>212350</v>
      </c>
      <c r="B114" t="n">
        <v>182</v>
      </c>
      <c r="C114" t="inlineStr">
        <is>
          <t>Love - Shibari - Kamino</t>
        </is>
      </c>
      <c r="D114" t="n">
        <v>128</v>
      </c>
      <c r="E114" t="inlineStr">
        <is>
          <t>Love Cabaret</t>
        </is>
      </c>
      <c r="F114" s="27" t="n">
        <v>46013</v>
      </c>
      <c r="G114" t="inlineStr">
        <is>
          <t>DEBITO</t>
        </is>
      </c>
      <c r="H114" t="inlineStr">
        <is>
          <t>(Leon) Julia Baisch Franz</t>
        </is>
      </c>
      <c r="I114" t="n">
        <v>-1000</v>
      </c>
    </row>
    <row r="115">
      <c r="A115" t="n">
        <v>212351</v>
      </c>
      <c r="B115" t="n">
        <v>182</v>
      </c>
      <c r="C115" t="inlineStr">
        <is>
          <t>Love - Shibari - Kamino</t>
        </is>
      </c>
      <c r="D115" t="n">
        <v>128</v>
      </c>
      <c r="E115" t="inlineStr">
        <is>
          <t>Love Cabaret</t>
        </is>
      </c>
      <c r="F115" s="27" t="n">
        <v>46013</v>
      </c>
      <c r="G115" t="inlineStr">
        <is>
          <t>DEBITO</t>
        </is>
      </c>
      <c r="H115" t="inlineStr">
        <is>
          <t>Alphalix Ambiental Locacao de Equipament</t>
        </is>
      </c>
      <c r="I115" t="n">
        <v>-1531.02</v>
      </c>
    </row>
    <row r="116">
      <c r="A116" t="n">
        <v>212323</v>
      </c>
      <c r="B116" t="n">
        <v>182</v>
      </c>
      <c r="C116" t="inlineStr">
        <is>
          <t>Love - Shibari - Kamino</t>
        </is>
      </c>
      <c r="D116" t="n">
        <v>128</v>
      </c>
      <c r="E116" t="inlineStr">
        <is>
          <t>Love Cabaret</t>
        </is>
      </c>
      <c r="F116" s="27" t="n">
        <v>46013</v>
      </c>
      <c r="G116" t="inlineStr">
        <is>
          <t>DEBITO</t>
        </is>
      </c>
      <c r="H116" t="inlineStr">
        <is>
          <t>Horta Nova Distribuidora de Hortifruti L</t>
        </is>
      </c>
      <c r="I116" t="n">
        <v>-65.04000000000001</v>
      </c>
    </row>
    <row r="117">
      <c r="A117" t="n">
        <v>212341</v>
      </c>
      <c r="B117" t="n">
        <v>182</v>
      </c>
      <c r="C117" t="inlineStr">
        <is>
          <t>Love - Shibari - Kamino</t>
        </is>
      </c>
      <c r="D117" t="n">
        <v>128</v>
      </c>
      <c r="E117" t="inlineStr">
        <is>
          <t>Love Cabaret</t>
        </is>
      </c>
      <c r="F117" s="27" t="n">
        <v>46013</v>
      </c>
      <c r="G117" t="inlineStr">
        <is>
          <t>DEBITO</t>
        </is>
      </c>
      <c r="H117" t="inlineStr">
        <is>
          <t>Gomes D Elia Equipamentos de H</t>
        </is>
      </c>
      <c r="I117" t="n">
        <v>-551.14</v>
      </c>
    </row>
    <row r="118">
      <c r="A118" t="n">
        <v>212340</v>
      </c>
      <c r="B118" t="n">
        <v>182</v>
      </c>
      <c r="C118" t="inlineStr">
        <is>
          <t>Love - Shibari - Kamino</t>
        </is>
      </c>
      <c r="D118" t="n">
        <v>128</v>
      </c>
      <c r="E118" t="inlineStr">
        <is>
          <t>Love Cabaret</t>
        </is>
      </c>
      <c r="F118" s="27" t="n">
        <v>46013</v>
      </c>
      <c r="G118" t="inlineStr">
        <is>
          <t>DEBITO</t>
        </is>
      </c>
      <c r="H118" t="inlineStr">
        <is>
          <t>King Comercio de Bebidas Ltda</t>
        </is>
      </c>
      <c r="I118" t="n">
        <v>-2895.06</v>
      </c>
    </row>
    <row r="119">
      <c r="A119" t="n">
        <v>212339</v>
      </c>
      <c r="B119" t="n">
        <v>182</v>
      </c>
      <c r="C119" t="inlineStr">
        <is>
          <t>Love - Shibari - Kamino</t>
        </is>
      </c>
      <c r="D119" t="n">
        <v>128</v>
      </c>
      <c r="E119" t="inlineStr">
        <is>
          <t>Love Cabaret</t>
        </is>
      </c>
      <c r="F119" s="27" t="n">
        <v>46013</v>
      </c>
      <c r="G119" t="inlineStr">
        <is>
          <t>DEBITO</t>
        </is>
      </c>
      <c r="H119" t="inlineStr">
        <is>
          <t>Fg7 Comercio D B Eireli Epp</t>
        </is>
      </c>
      <c r="I119" t="n">
        <v>-860.9400000000001</v>
      </c>
    </row>
    <row r="120">
      <c r="A120" t="n">
        <v>212337</v>
      </c>
      <c r="B120" t="n">
        <v>182</v>
      </c>
      <c r="C120" t="inlineStr">
        <is>
          <t>Love - Shibari - Kamino</t>
        </is>
      </c>
      <c r="D120" t="n">
        <v>128</v>
      </c>
      <c r="E120" t="inlineStr">
        <is>
          <t>Love Cabaret</t>
        </is>
      </c>
      <c r="F120" s="27" t="n">
        <v>46013</v>
      </c>
      <c r="G120" t="inlineStr">
        <is>
          <t>DEBITO</t>
        </is>
      </c>
      <c r="H120" t="inlineStr">
        <is>
          <t>Nova Comercial do Peixe Eireli</t>
        </is>
      </c>
      <c r="I120" t="n">
        <v>-588</v>
      </c>
    </row>
    <row r="121">
      <c r="A121" t="n">
        <v>212325</v>
      </c>
      <c r="B121" t="n">
        <v>182</v>
      </c>
      <c r="C121" t="inlineStr">
        <is>
          <t>Love - Shibari - Kamino</t>
        </is>
      </c>
      <c r="D121" t="n">
        <v>128</v>
      </c>
      <c r="E121" t="inlineStr">
        <is>
          <t>Love Cabaret</t>
        </is>
      </c>
      <c r="F121" s="27" t="n">
        <v>46013</v>
      </c>
      <c r="G121" t="inlineStr">
        <is>
          <t>DEBITO</t>
        </is>
      </c>
      <c r="H121" t="inlineStr">
        <is>
          <t>Zahil Importadora Ltda</t>
        </is>
      </c>
      <c r="I121" t="n">
        <v>-1149.27</v>
      </c>
    </row>
    <row r="122">
      <c r="A122" t="n">
        <v>212326</v>
      </c>
      <c r="B122" t="n">
        <v>182</v>
      </c>
      <c r="C122" t="inlineStr">
        <is>
          <t>Love - Shibari - Kamino</t>
        </is>
      </c>
      <c r="D122" t="n">
        <v>128</v>
      </c>
      <c r="E122" t="inlineStr">
        <is>
          <t>Love Cabaret</t>
        </is>
      </c>
      <c r="F122" s="27" t="n">
        <v>46013</v>
      </c>
      <c r="G122" t="inlineStr">
        <is>
          <t>DEBITO</t>
        </is>
      </c>
      <c r="H122" t="inlineStr">
        <is>
          <t>Companhia de Gas de Sp Comgas</t>
        </is>
      </c>
      <c r="I122" t="n">
        <v>-1887.06</v>
      </c>
    </row>
    <row r="123">
      <c r="A123" t="n">
        <v>212327</v>
      </c>
      <c r="B123" t="n">
        <v>182</v>
      </c>
      <c r="C123" t="inlineStr">
        <is>
          <t>Love - Shibari - Kamino</t>
        </is>
      </c>
      <c r="D123" t="n">
        <v>128</v>
      </c>
      <c r="E123" t="inlineStr">
        <is>
          <t>Love Cabaret</t>
        </is>
      </c>
      <c r="F123" s="27" t="n">
        <v>46013</v>
      </c>
      <c r="G123" t="inlineStr">
        <is>
          <t>DEBITO</t>
        </is>
      </c>
      <c r="H123" t="inlineStr">
        <is>
          <t>Hnk Br Bebidas Ltda</t>
        </is>
      </c>
      <c r="I123" t="n">
        <v>-12672.31</v>
      </c>
    </row>
    <row r="124">
      <c r="A124" t="n">
        <v>212328</v>
      </c>
      <c r="B124" t="n">
        <v>182</v>
      </c>
      <c r="C124" t="inlineStr">
        <is>
          <t>Love - Shibari - Kamino</t>
        </is>
      </c>
      <c r="D124" t="n">
        <v>128</v>
      </c>
      <c r="E124" t="inlineStr">
        <is>
          <t>Love Cabaret</t>
        </is>
      </c>
      <c r="F124" s="27" t="n">
        <v>46013</v>
      </c>
      <c r="G124" t="inlineStr">
        <is>
          <t>DEBITO</t>
        </is>
      </c>
      <c r="H124" t="inlineStr">
        <is>
          <t>Dlocal Brasil I de Pagamentos</t>
        </is>
      </c>
      <c r="I124" t="n">
        <v>-5000</v>
      </c>
    </row>
    <row r="125">
      <c r="A125" t="n">
        <v>212329</v>
      </c>
      <c r="B125" t="n">
        <v>182</v>
      </c>
      <c r="C125" t="inlineStr">
        <is>
          <t>Love - Shibari - Kamino</t>
        </is>
      </c>
      <c r="D125" t="n">
        <v>128</v>
      </c>
      <c r="E125" t="inlineStr">
        <is>
          <t>Love Cabaret</t>
        </is>
      </c>
      <c r="F125" s="27" t="n">
        <v>46013</v>
      </c>
      <c r="G125" t="inlineStr">
        <is>
          <t>DEBITO</t>
        </is>
      </c>
      <c r="H125" t="inlineStr">
        <is>
          <t>Estaff Solucoes Tecnologicas de Agenciam</t>
        </is>
      </c>
      <c r="I125" t="n">
        <v>-19173.91</v>
      </c>
    </row>
    <row r="126">
      <c r="A126" t="n">
        <v>212330</v>
      </c>
      <c r="B126" t="n">
        <v>182</v>
      </c>
      <c r="C126" t="inlineStr">
        <is>
          <t>Love - Shibari - Kamino</t>
        </is>
      </c>
      <c r="D126" t="n">
        <v>128</v>
      </c>
      <c r="E126" t="inlineStr">
        <is>
          <t>Love Cabaret</t>
        </is>
      </c>
      <c r="F126" s="27" t="n">
        <v>46013</v>
      </c>
      <c r="G126" t="inlineStr">
        <is>
          <t>DEBITO</t>
        </is>
      </c>
      <c r="H126" t="inlineStr">
        <is>
          <t>Jos Roberto do Nascimento Silva</t>
        </is>
      </c>
      <c r="I126" t="n">
        <v>-1000</v>
      </c>
    </row>
    <row r="127">
      <c r="A127" t="n">
        <v>212331</v>
      </c>
      <c r="B127" t="n">
        <v>182</v>
      </c>
      <c r="C127" t="inlineStr">
        <is>
          <t>Love - Shibari - Kamino</t>
        </is>
      </c>
      <c r="D127" t="n">
        <v>128</v>
      </c>
      <c r="E127" t="inlineStr">
        <is>
          <t>Love Cabaret</t>
        </is>
      </c>
      <c r="F127" s="27" t="n">
        <v>46013</v>
      </c>
      <c r="G127" t="inlineStr">
        <is>
          <t>DEBITO</t>
        </is>
      </c>
      <c r="H127" t="inlineStr">
        <is>
          <t>B. B. Distribuidora de Carnes Ltda</t>
        </is>
      </c>
      <c r="I127" t="n">
        <v>-969.77</v>
      </c>
    </row>
    <row r="128">
      <c r="A128" t="n">
        <v>212332</v>
      </c>
      <c r="B128" t="n">
        <v>182</v>
      </c>
      <c r="C128" t="inlineStr">
        <is>
          <t>Love - Shibari - Kamino</t>
        </is>
      </c>
      <c r="D128" t="n">
        <v>128</v>
      </c>
      <c r="E128" t="inlineStr">
        <is>
          <t>Love Cabaret</t>
        </is>
      </c>
      <c r="F128" s="27" t="n">
        <v>46013</v>
      </c>
      <c r="G128" t="inlineStr">
        <is>
          <t>DEBITO</t>
        </is>
      </c>
      <c r="H128" t="inlineStr">
        <is>
          <t>Opus Consultoria e Pesquisa Ltda</t>
        </is>
      </c>
      <c r="I128" t="n">
        <v>-300</v>
      </c>
    </row>
    <row r="129">
      <c r="A129" t="n">
        <v>212333</v>
      </c>
      <c r="B129" t="n">
        <v>182</v>
      </c>
      <c r="C129" t="inlineStr">
        <is>
          <t>Love - Shibari - Kamino</t>
        </is>
      </c>
      <c r="D129" t="n">
        <v>128</v>
      </c>
      <c r="E129" t="inlineStr">
        <is>
          <t>Love Cabaret</t>
        </is>
      </c>
      <c r="F129" s="27" t="n">
        <v>46013</v>
      </c>
      <c r="G129" t="inlineStr">
        <is>
          <t>DEBITO</t>
        </is>
      </c>
      <c r="H129" t="inlineStr">
        <is>
          <t>Destec Solucoes Ltda</t>
        </is>
      </c>
      <c r="I129" t="n">
        <v>-812.7</v>
      </c>
    </row>
    <row r="130">
      <c r="A130" t="n">
        <v>212334</v>
      </c>
      <c r="B130" t="n">
        <v>182</v>
      </c>
      <c r="C130" t="inlineStr">
        <is>
          <t>Love - Shibari - Kamino</t>
        </is>
      </c>
      <c r="D130" t="n">
        <v>128</v>
      </c>
      <c r="E130" t="inlineStr">
        <is>
          <t>Love Cabaret</t>
        </is>
      </c>
      <c r="F130" s="27" t="n">
        <v>46013</v>
      </c>
      <c r="G130" t="inlineStr">
        <is>
          <t>DEBITO</t>
        </is>
      </c>
      <c r="H130" t="inlineStr">
        <is>
          <t>Cg Food S Distr Alimentos Ltda</t>
        </is>
      </c>
      <c r="I130" t="n">
        <v>-551.5</v>
      </c>
    </row>
    <row r="131">
      <c r="A131" t="n">
        <v>212338</v>
      </c>
      <c r="B131" t="n">
        <v>182</v>
      </c>
      <c r="C131" t="inlineStr">
        <is>
          <t>Love - Shibari - Kamino</t>
        </is>
      </c>
      <c r="D131" t="n">
        <v>128</v>
      </c>
      <c r="E131" t="inlineStr">
        <is>
          <t>Love Cabaret</t>
        </is>
      </c>
      <c r="F131" s="27" t="n">
        <v>46013</v>
      </c>
      <c r="G131" t="inlineStr">
        <is>
          <t>DEBITO</t>
        </is>
      </c>
      <c r="H131" t="inlineStr">
        <is>
          <t>Zahil Importadora Ltda</t>
        </is>
      </c>
      <c r="I131" t="n">
        <v>-899.9299999999999</v>
      </c>
    </row>
    <row r="132">
      <c r="A132" t="n">
        <v>212336</v>
      </c>
      <c r="B132" t="n">
        <v>182</v>
      </c>
      <c r="C132" t="inlineStr">
        <is>
          <t>Love - Shibari - Kamino</t>
        </is>
      </c>
      <c r="D132" t="n">
        <v>128</v>
      </c>
      <c r="E132" t="inlineStr">
        <is>
          <t>Love Cabaret</t>
        </is>
      </c>
      <c r="F132" s="27" t="n">
        <v>46013</v>
      </c>
      <c r="G132" t="inlineStr">
        <is>
          <t>DEBITO</t>
        </is>
      </c>
      <c r="H132" t="inlineStr">
        <is>
          <t>W P P C Carnes Eireli Epp</t>
        </is>
      </c>
      <c r="I132" t="n">
        <v>-881.3</v>
      </c>
    </row>
    <row r="133">
      <c r="A133" t="n">
        <v>212335</v>
      </c>
      <c r="B133" t="n">
        <v>182</v>
      </c>
      <c r="C133" t="inlineStr">
        <is>
          <t>Love - Shibari - Kamino</t>
        </is>
      </c>
      <c r="D133" t="n">
        <v>128</v>
      </c>
      <c r="E133" t="inlineStr">
        <is>
          <t>Love Cabaret</t>
        </is>
      </c>
      <c r="F133" s="27" t="n">
        <v>46013</v>
      </c>
      <c r="G133" t="inlineStr">
        <is>
          <t>DEBITO</t>
        </is>
      </c>
      <c r="H133" t="inlineStr">
        <is>
          <t>Eshows Promocoes Artisticas Ltda</t>
        </is>
      </c>
      <c r="I133" t="n">
        <v>-26810</v>
      </c>
    </row>
    <row r="134">
      <c r="A134" t="n">
        <v>212241</v>
      </c>
      <c r="B134" t="n">
        <v>115</v>
      </c>
      <c r="C134" t="inlineStr">
        <is>
          <t>Love - Shibari - Bradesco</t>
        </is>
      </c>
      <c r="D134" t="n">
        <v>128</v>
      </c>
      <c r="E134" t="inlineStr">
        <is>
          <t>Love Cabaret</t>
        </is>
      </c>
      <c r="F134" s="27" t="n">
        <v>46010.5</v>
      </c>
      <c r="G134" t="inlineStr">
        <is>
          <t>CREDITO</t>
        </is>
      </c>
      <c r="H134" t="inlineStr">
        <is>
          <t>TRANSFERENCIA PIX REM: ANA PAULA GUIMARAES B 19/12</t>
        </is>
      </c>
      <c r="I134" t="n">
        <v>155</v>
      </c>
    </row>
    <row r="135">
      <c r="A135" t="n">
        <v>212239</v>
      </c>
      <c r="B135" t="n">
        <v>115</v>
      </c>
      <c r="C135" t="inlineStr">
        <is>
          <t>Love - Shibari - Bradesco</t>
        </is>
      </c>
      <c r="D135" t="n">
        <v>128</v>
      </c>
      <c r="E135" t="inlineStr">
        <is>
          <t>Love Cabaret</t>
        </is>
      </c>
      <c r="F135" s="27" t="n">
        <v>46009.5</v>
      </c>
      <c r="G135" t="inlineStr">
        <is>
          <t>DEBITO</t>
        </is>
      </c>
      <c r="H135" t="inlineStr">
        <is>
          <t>ADIANT SALARIO VIA NET</t>
        </is>
      </c>
      <c r="I135" t="n">
        <v>-1718.05</v>
      </c>
    </row>
    <row r="136">
      <c r="A136" t="n">
        <v>212240</v>
      </c>
      <c r="B136" t="n">
        <v>115</v>
      </c>
      <c r="C136" t="inlineStr">
        <is>
          <t>Love - Shibari - Bradesco</t>
        </is>
      </c>
      <c r="D136" t="n">
        <v>128</v>
      </c>
      <c r="E136" t="inlineStr">
        <is>
          <t>Love Cabaret</t>
        </is>
      </c>
      <c r="F136" s="27" t="n">
        <v>46009.5</v>
      </c>
      <c r="G136" t="inlineStr">
        <is>
          <t>DEBITO</t>
        </is>
      </c>
      <c r="H136" t="inlineStr">
        <is>
          <t>PAGTO 13 SALARIO VIA NET</t>
        </is>
      </c>
      <c r="I136" t="n">
        <v>-2631.87</v>
      </c>
    </row>
    <row r="137">
      <c r="A137" t="n">
        <v>212300</v>
      </c>
      <c r="B137" t="n">
        <v>182</v>
      </c>
      <c r="C137" t="inlineStr">
        <is>
          <t>Love - Shibari - Kamino</t>
        </is>
      </c>
      <c r="D137" t="n">
        <v>128</v>
      </c>
      <c r="E137" t="inlineStr">
        <is>
          <t>Love Cabaret</t>
        </is>
      </c>
      <c r="F137" s="27" t="n">
        <v>46009</v>
      </c>
      <c r="G137" t="inlineStr">
        <is>
          <t>DEBITO</t>
        </is>
      </c>
      <c r="H137" t="inlineStr">
        <is>
          <t>CAIXA ECONOMICA FEDERAL</t>
        </is>
      </c>
      <c r="I137" t="n">
        <v>-1082.43</v>
      </c>
    </row>
    <row r="138">
      <c r="A138" t="n">
        <v>212301</v>
      </c>
      <c r="B138" t="n">
        <v>182</v>
      </c>
      <c r="C138" t="inlineStr">
        <is>
          <t>Love - Shibari - Kamino</t>
        </is>
      </c>
      <c r="D138" t="n">
        <v>128</v>
      </c>
      <c r="E138" t="inlineStr">
        <is>
          <t>Love Cabaret</t>
        </is>
      </c>
      <c r="F138" s="27" t="n">
        <v>46009</v>
      </c>
      <c r="G138" t="inlineStr">
        <is>
          <t>DEBITO</t>
        </is>
      </c>
      <c r="H138" t="inlineStr">
        <is>
          <t>Receita Federal</t>
        </is>
      </c>
      <c r="I138" t="n">
        <v>-1105.65</v>
      </c>
    </row>
    <row r="139">
      <c r="A139" t="n">
        <v>212302</v>
      </c>
      <c r="B139" t="n">
        <v>182</v>
      </c>
      <c r="C139" t="inlineStr">
        <is>
          <t>Love - Shibari - Kamino</t>
        </is>
      </c>
      <c r="D139" t="n">
        <v>128</v>
      </c>
      <c r="E139" t="inlineStr">
        <is>
          <t>Love Cabaret</t>
        </is>
      </c>
      <c r="F139" s="27" t="n">
        <v>46009</v>
      </c>
      <c r="G139" t="inlineStr">
        <is>
          <t>DEBITO</t>
        </is>
      </c>
      <c r="H139" t="inlineStr">
        <is>
          <t>Pagamento de Contas</t>
        </is>
      </c>
      <c r="I139" t="n">
        <v>-627</v>
      </c>
    </row>
    <row r="140">
      <c r="A140" t="n">
        <v>212303</v>
      </c>
      <c r="B140" t="n">
        <v>182</v>
      </c>
      <c r="C140" t="inlineStr">
        <is>
          <t>Love - Shibari - Kamino</t>
        </is>
      </c>
      <c r="D140" t="n">
        <v>128</v>
      </c>
      <c r="E140" t="inlineStr">
        <is>
          <t>Love Cabaret</t>
        </is>
      </c>
      <c r="F140" s="27" t="n">
        <v>46009</v>
      </c>
      <c r="G140" t="inlineStr">
        <is>
          <t>DEBITO</t>
        </is>
      </c>
      <c r="H140" t="inlineStr">
        <is>
          <t>Receita Federal</t>
        </is>
      </c>
      <c r="I140" t="n">
        <v>-344.44</v>
      </c>
    </row>
    <row r="141">
      <c r="A141" t="n">
        <v>212304</v>
      </c>
      <c r="B141" t="n">
        <v>182</v>
      </c>
      <c r="C141" t="inlineStr">
        <is>
          <t>Love - Shibari - Kamino</t>
        </is>
      </c>
      <c r="D141" t="n">
        <v>128</v>
      </c>
      <c r="E141" t="inlineStr">
        <is>
          <t>Love Cabaret</t>
        </is>
      </c>
      <c r="F141" s="27" t="n">
        <v>46009</v>
      </c>
      <c r="G141" t="inlineStr">
        <is>
          <t>DEBITO</t>
        </is>
      </c>
      <c r="H141" t="inlineStr">
        <is>
          <t>Receita Federal</t>
        </is>
      </c>
      <c r="I141" t="n">
        <v>-3057.88</v>
      </c>
    </row>
    <row r="142">
      <c r="A142" t="n">
        <v>212237</v>
      </c>
      <c r="B142" t="n">
        <v>115</v>
      </c>
      <c r="C142" t="inlineStr">
        <is>
          <t>Love - Shibari - Bradesco</t>
        </is>
      </c>
      <c r="D142" t="n">
        <v>128</v>
      </c>
      <c r="E142" t="inlineStr">
        <is>
          <t>Love Cabaret</t>
        </is>
      </c>
      <c r="F142" s="27" t="n">
        <v>46008.5</v>
      </c>
      <c r="G142" t="inlineStr">
        <is>
          <t>DEBITO</t>
        </is>
      </c>
      <c r="H142" t="inlineStr">
        <is>
          <t>TARIFA BANCARIA TRANSF PGTO PIX</t>
        </is>
      </c>
      <c r="I142" t="n">
        <v>-9.800000000000001</v>
      </c>
    </row>
    <row r="143">
      <c r="A143" t="n">
        <v>212236</v>
      </c>
      <c r="B143" t="n">
        <v>115</v>
      </c>
      <c r="C143" t="inlineStr">
        <is>
          <t>Love - Shibari - Bradesco</t>
        </is>
      </c>
      <c r="D143" t="n">
        <v>128</v>
      </c>
      <c r="E143" t="inlineStr">
        <is>
          <t>Love Cabaret</t>
        </is>
      </c>
      <c r="F143" s="27" t="n">
        <v>46008.5</v>
      </c>
      <c r="G143" t="inlineStr">
        <is>
          <t>CREDITO</t>
        </is>
      </c>
      <c r="H143" t="inlineStr">
        <is>
          <t>DEP DINHEIRO ATM AG00095MAQ060513SEQ02042</t>
        </is>
      </c>
      <c r="I143" t="n">
        <v>380</v>
      </c>
    </row>
    <row r="144">
      <c r="A144" t="n">
        <v>212235</v>
      </c>
      <c r="B144" t="n">
        <v>115</v>
      </c>
      <c r="C144" t="inlineStr">
        <is>
          <t>Love - Shibari - Bradesco</t>
        </is>
      </c>
      <c r="D144" t="n">
        <v>128</v>
      </c>
      <c r="E144" t="inlineStr">
        <is>
          <t>Love Cabaret</t>
        </is>
      </c>
      <c r="F144" s="27" t="n">
        <v>46008.5</v>
      </c>
      <c r="G144" t="inlineStr">
        <is>
          <t>CREDITO</t>
        </is>
      </c>
      <c r="H144" t="inlineStr">
        <is>
          <t>TED-TRANSF ELET DISPON REMET.SYMPLA INTERNET SOLU</t>
        </is>
      </c>
      <c r="I144" t="n">
        <v>9670</v>
      </c>
    </row>
    <row r="145">
      <c r="A145" t="n">
        <v>212234</v>
      </c>
      <c r="B145" t="n">
        <v>115</v>
      </c>
      <c r="C145" t="inlineStr">
        <is>
          <t>Love - Shibari - Bradesco</t>
        </is>
      </c>
      <c r="D145" t="n">
        <v>128</v>
      </c>
      <c r="E145" t="inlineStr">
        <is>
          <t>Love Cabaret</t>
        </is>
      </c>
      <c r="F145" s="27" t="n">
        <v>46008.5</v>
      </c>
      <c r="G145" t="inlineStr">
        <is>
          <t>CREDITO</t>
        </is>
      </c>
      <c r="H145" t="inlineStr">
        <is>
          <t>TED-TRANSF ELET DISPON REMET.SYMPLA INTERNET SOLU</t>
        </is>
      </c>
      <c r="I145" t="n">
        <v>11665</v>
      </c>
    </row>
    <row r="146">
      <c r="A146" t="n">
        <v>212296</v>
      </c>
      <c r="B146" t="n">
        <v>182</v>
      </c>
      <c r="C146" t="inlineStr">
        <is>
          <t>Love - Shibari - Kamino</t>
        </is>
      </c>
      <c r="D146" t="n">
        <v>128</v>
      </c>
      <c r="E146" t="inlineStr">
        <is>
          <t>Love Cabaret</t>
        </is>
      </c>
      <c r="F146" s="27" t="n">
        <v>46008</v>
      </c>
      <c r="G146" t="inlineStr">
        <is>
          <t>DEBITO</t>
        </is>
      </c>
      <c r="H146" t="inlineStr">
        <is>
          <t>Pss - Central da Limpeza Ltda</t>
        </is>
      </c>
      <c r="I146" t="n">
        <v>-798</v>
      </c>
    </row>
    <row r="147">
      <c r="A147" t="n">
        <v>212299</v>
      </c>
      <c r="B147" t="n">
        <v>182</v>
      </c>
      <c r="C147" t="inlineStr">
        <is>
          <t>Love - Shibari - Kamino</t>
        </is>
      </c>
      <c r="D147" t="n">
        <v>128</v>
      </c>
      <c r="E147" t="inlineStr">
        <is>
          <t>Love Cabaret</t>
        </is>
      </c>
      <c r="F147" s="27" t="n">
        <v>46008</v>
      </c>
      <c r="G147" t="inlineStr">
        <is>
          <t>DEBITO</t>
        </is>
      </c>
      <c r="H147" t="inlineStr">
        <is>
          <t>Felipe Ferreira Franca 36496185832</t>
        </is>
      </c>
      <c r="I147" t="n">
        <v>-2400</v>
      </c>
    </row>
    <row r="148">
      <c r="A148" t="n">
        <v>212297</v>
      </c>
      <c r="B148" t="n">
        <v>182</v>
      </c>
      <c r="C148" t="inlineStr">
        <is>
          <t>Love - Shibari - Kamino</t>
        </is>
      </c>
      <c r="D148" t="n">
        <v>128</v>
      </c>
      <c r="E148" t="inlineStr">
        <is>
          <t>Love Cabaret</t>
        </is>
      </c>
      <c r="F148" s="27" t="n">
        <v>46008</v>
      </c>
      <c r="G148" t="inlineStr">
        <is>
          <t>DEBITO</t>
        </is>
      </c>
      <c r="H148" t="inlineStr">
        <is>
          <t>Zahil Importadora Ltda</t>
        </is>
      </c>
      <c r="I148" t="n">
        <v>-1137.02</v>
      </c>
    </row>
    <row r="149">
      <c r="A149" t="n">
        <v>212295</v>
      </c>
      <c r="B149" t="n">
        <v>182</v>
      </c>
      <c r="C149" t="inlineStr">
        <is>
          <t>Love - Shibari - Kamino</t>
        </is>
      </c>
      <c r="D149" t="n">
        <v>128</v>
      </c>
      <c r="E149" t="inlineStr">
        <is>
          <t>Love Cabaret</t>
        </is>
      </c>
      <c r="F149" s="27" t="n">
        <v>46008</v>
      </c>
      <c r="G149" t="inlineStr">
        <is>
          <t>DEBITO</t>
        </is>
      </c>
      <c r="H149" t="inlineStr">
        <is>
          <t>Porto Seguro Cia de Seguros Gerais</t>
        </is>
      </c>
      <c r="I149" t="n">
        <v>-80.40000000000001</v>
      </c>
    </row>
    <row r="150">
      <c r="A150" t="n">
        <v>212298</v>
      </c>
      <c r="B150" t="n">
        <v>182</v>
      </c>
      <c r="C150" t="inlineStr">
        <is>
          <t>Love - Shibari - Kamino</t>
        </is>
      </c>
      <c r="D150" t="n">
        <v>128</v>
      </c>
      <c r="E150" t="inlineStr">
        <is>
          <t>Love Cabaret</t>
        </is>
      </c>
      <c r="F150" s="27" t="n">
        <v>46008</v>
      </c>
      <c r="G150" t="inlineStr">
        <is>
          <t>DEBITO</t>
        </is>
      </c>
      <c r="H150" t="inlineStr">
        <is>
          <t>Cia do Whisky</t>
        </is>
      </c>
      <c r="I150" t="n">
        <v>-951.86</v>
      </c>
    </row>
    <row r="151">
      <c r="A151" t="n">
        <v>212294</v>
      </c>
      <c r="B151" t="n">
        <v>182</v>
      </c>
      <c r="C151" t="inlineStr">
        <is>
          <t>Love - Shibari - Kamino</t>
        </is>
      </c>
      <c r="D151" t="n">
        <v>128</v>
      </c>
      <c r="E151" t="inlineStr">
        <is>
          <t>Love Cabaret</t>
        </is>
      </c>
      <c r="F151" s="27" t="n">
        <v>46008</v>
      </c>
      <c r="G151" t="inlineStr">
        <is>
          <t>DEBITO</t>
        </is>
      </c>
      <c r="H151" t="inlineStr">
        <is>
          <t>Ice4pros Fabrica de Gelo Ltda</t>
        </is>
      </c>
      <c r="I151" t="n">
        <v>-1106</v>
      </c>
    </row>
    <row r="152">
      <c r="A152" t="n">
        <v>212293</v>
      </c>
      <c r="B152" t="n">
        <v>182</v>
      </c>
      <c r="C152" t="inlineStr">
        <is>
          <t>Love - Shibari - Kamino</t>
        </is>
      </c>
      <c r="D152" t="n">
        <v>128</v>
      </c>
      <c r="E152" t="inlineStr">
        <is>
          <t>Love Cabaret</t>
        </is>
      </c>
      <c r="F152" s="27" t="n">
        <v>46008</v>
      </c>
      <c r="G152" t="inlineStr">
        <is>
          <t>DEBITO</t>
        </is>
      </c>
      <c r="H152" t="inlineStr">
        <is>
          <t>Zahil Importadora Ltda</t>
        </is>
      </c>
      <c r="I152" t="n">
        <v>-1638.7</v>
      </c>
    </row>
    <row r="153">
      <c r="A153" t="n">
        <v>212290</v>
      </c>
      <c r="B153" t="n">
        <v>182</v>
      </c>
      <c r="C153" t="inlineStr">
        <is>
          <t>Love - Shibari - Kamino</t>
        </is>
      </c>
      <c r="D153" t="n">
        <v>128</v>
      </c>
      <c r="E153" t="inlineStr">
        <is>
          <t>Love Cabaret</t>
        </is>
      </c>
      <c r="F153" s="27" t="n">
        <v>46008</v>
      </c>
      <c r="G153" t="inlineStr">
        <is>
          <t>DEBITO</t>
        </is>
      </c>
      <c r="H153" t="inlineStr">
        <is>
          <t>Edimar Moura Tartaglioni</t>
        </is>
      </c>
      <c r="I153" t="n">
        <v>-630</v>
      </c>
    </row>
    <row r="154">
      <c r="A154" t="n">
        <v>212291</v>
      </c>
      <c r="B154" t="n">
        <v>182</v>
      </c>
      <c r="C154" t="inlineStr">
        <is>
          <t>Love - Shibari - Kamino</t>
        </is>
      </c>
      <c r="D154" t="n">
        <v>128</v>
      </c>
      <c r="E154" t="inlineStr">
        <is>
          <t>Love Cabaret</t>
        </is>
      </c>
      <c r="F154" s="27" t="n">
        <v>46008</v>
      </c>
      <c r="G154" t="inlineStr">
        <is>
          <t>DEBITO</t>
        </is>
      </c>
      <c r="H154" t="inlineStr">
        <is>
          <t>Renata Homsy Dias Claro</t>
        </is>
      </c>
      <c r="I154" t="n">
        <v>-3000</v>
      </c>
    </row>
    <row r="155">
      <c r="A155" t="n">
        <v>212292</v>
      </c>
      <c r="B155" t="n">
        <v>182</v>
      </c>
      <c r="C155" t="inlineStr">
        <is>
          <t>Love - Shibari - Kamino</t>
        </is>
      </c>
      <c r="D155" t="n">
        <v>128</v>
      </c>
      <c r="E155" t="inlineStr">
        <is>
          <t>Love Cabaret</t>
        </is>
      </c>
      <c r="F155" s="27" t="n">
        <v>46008</v>
      </c>
      <c r="G155" t="inlineStr">
        <is>
          <t>DEBITO</t>
        </is>
      </c>
      <c r="H155" t="inlineStr">
        <is>
          <t>Deborah Rizzo Serrado</t>
        </is>
      </c>
      <c r="I155" t="n">
        <v>-16309.32</v>
      </c>
    </row>
    <row r="156">
      <c r="A156" t="n">
        <v>212232</v>
      </c>
      <c r="B156" t="n">
        <v>115</v>
      </c>
      <c r="C156" t="inlineStr">
        <is>
          <t>Love - Shibari - Bradesco</t>
        </is>
      </c>
      <c r="D156" t="n">
        <v>128</v>
      </c>
      <c r="E156" t="inlineStr">
        <is>
          <t>Love Cabaret</t>
        </is>
      </c>
      <c r="F156" s="27" t="n">
        <v>46007.5</v>
      </c>
      <c r="G156" t="inlineStr">
        <is>
          <t>CREDITO</t>
        </is>
      </c>
      <c r="H156" t="inlineStr">
        <is>
          <t>TED-TRANSF ELET DISPON REMET.BETC HAVAS AGENCIA D</t>
        </is>
      </c>
      <c r="I156" t="n">
        <v>240000</v>
      </c>
    </row>
    <row r="157">
      <c r="A157" t="n">
        <v>212231</v>
      </c>
      <c r="B157" t="n">
        <v>115</v>
      </c>
      <c r="C157" t="inlineStr">
        <is>
          <t>Love - Shibari - Bradesco</t>
        </is>
      </c>
      <c r="D157" t="n">
        <v>128</v>
      </c>
      <c r="E157" t="inlineStr">
        <is>
          <t>Love Cabaret</t>
        </is>
      </c>
      <c r="F157" s="27" t="n">
        <v>46007.5</v>
      </c>
      <c r="G157" t="inlineStr">
        <is>
          <t>CREDITO</t>
        </is>
      </c>
      <c r="H157" t="inlineStr">
        <is>
          <t>TED-TRANSF ELET DISPON REMET.Zig Tecnologia S.A.</t>
        </is>
      </c>
      <c r="I157" t="n">
        <v>17844.78</v>
      </c>
    </row>
    <row r="158">
      <c r="A158" t="n">
        <v>212233</v>
      </c>
      <c r="B158" t="n">
        <v>115</v>
      </c>
      <c r="C158" t="inlineStr">
        <is>
          <t>Love - Shibari - Bradesco</t>
        </is>
      </c>
      <c r="D158" t="n">
        <v>128</v>
      </c>
      <c r="E158" t="inlineStr">
        <is>
          <t>Love Cabaret</t>
        </is>
      </c>
      <c r="F158" s="27" t="n">
        <v>46007.5</v>
      </c>
      <c r="G158" t="inlineStr">
        <is>
          <t>DEBITO</t>
        </is>
      </c>
      <c r="H158" t="inlineStr">
        <is>
          <t>PGTO SALARIO VIA NET EMP</t>
        </is>
      </c>
      <c r="I158" t="n">
        <v>-34.13</v>
      </c>
    </row>
    <row r="159">
      <c r="A159" t="n">
        <v>212289</v>
      </c>
      <c r="B159" t="n">
        <v>182</v>
      </c>
      <c r="C159" t="inlineStr">
        <is>
          <t>Love - Shibari - Kamino</t>
        </is>
      </c>
      <c r="D159" t="n">
        <v>128</v>
      </c>
      <c r="E159" t="inlineStr">
        <is>
          <t>Love Cabaret</t>
        </is>
      </c>
      <c r="F159" s="27" t="n">
        <v>46007</v>
      </c>
      <c r="G159" t="inlineStr">
        <is>
          <t>DEBITO</t>
        </is>
      </c>
      <c r="H159" t="inlineStr">
        <is>
          <t>Kamino Processamento de Dados Ltda</t>
        </is>
      </c>
      <c r="I159" t="n">
        <v>-400</v>
      </c>
    </row>
    <row r="160">
      <c r="A160" t="n">
        <v>212288</v>
      </c>
      <c r="B160" t="n">
        <v>182</v>
      </c>
      <c r="C160" t="inlineStr">
        <is>
          <t>Love - Shibari - Kamino</t>
        </is>
      </c>
      <c r="D160" t="n">
        <v>128</v>
      </c>
      <c r="E160" t="inlineStr">
        <is>
          <t>Love Cabaret</t>
        </is>
      </c>
      <c r="F160" s="27" t="n">
        <v>46007</v>
      </c>
      <c r="G160" t="inlineStr">
        <is>
          <t>DEBITO</t>
        </is>
      </c>
      <c r="H160" t="inlineStr">
        <is>
          <t>Machine Seguranca Patrimonial Ltda</t>
        </is>
      </c>
      <c r="I160" t="n">
        <v>-7790</v>
      </c>
    </row>
    <row r="161">
      <c r="A161" t="n">
        <v>212287</v>
      </c>
      <c r="B161" t="n">
        <v>182</v>
      </c>
      <c r="C161" t="inlineStr">
        <is>
          <t>Love - Shibari - Kamino</t>
        </is>
      </c>
      <c r="D161" t="n">
        <v>128</v>
      </c>
      <c r="E161" t="inlineStr">
        <is>
          <t>Love Cabaret</t>
        </is>
      </c>
      <c r="F161" s="27" t="n">
        <v>46007</v>
      </c>
      <c r="G161" t="inlineStr">
        <is>
          <t>DEBITO</t>
        </is>
      </c>
      <c r="H161" t="inlineStr">
        <is>
          <t>Felipe Ferreira Franca 36496185832</t>
        </is>
      </c>
      <c r="I161" t="n">
        <v>-20.45</v>
      </c>
    </row>
    <row r="162">
      <c r="A162" t="n">
        <v>212229</v>
      </c>
      <c r="B162" t="n">
        <v>115</v>
      </c>
      <c r="C162" t="inlineStr">
        <is>
          <t>Love - Shibari - Bradesco</t>
        </is>
      </c>
      <c r="D162" t="n">
        <v>128</v>
      </c>
      <c r="E162" t="inlineStr">
        <is>
          <t>Love Cabaret</t>
        </is>
      </c>
      <c r="F162" s="27" t="n">
        <v>46006.5</v>
      </c>
      <c r="G162" t="inlineStr">
        <is>
          <t>DEBITO</t>
        </is>
      </c>
      <c r="H162" t="inlineStr">
        <is>
          <t>TARIFA BANCARIA Max Empresarial 1</t>
        </is>
      </c>
      <c r="I162" t="n">
        <v>-177.05</v>
      </c>
    </row>
    <row r="163">
      <c r="A163" t="n">
        <v>212230</v>
      </c>
      <c r="B163" t="n">
        <v>115</v>
      </c>
      <c r="C163" t="inlineStr">
        <is>
          <t>Love - Shibari - Bradesco</t>
        </is>
      </c>
      <c r="D163" t="n">
        <v>128</v>
      </c>
      <c r="E163" t="inlineStr">
        <is>
          <t>Love Cabaret</t>
        </is>
      </c>
      <c r="F163" s="27" t="n">
        <v>46006.5</v>
      </c>
      <c r="G163" t="inlineStr">
        <is>
          <t>DEBITO</t>
        </is>
      </c>
      <c r="H163" t="inlineStr">
        <is>
          <t>TRANSFERENCIA PIX DES: SHIBARI ART E DIVERSA 15/12</t>
        </is>
      </c>
      <c r="I163" t="n">
        <v>-100000</v>
      </c>
    </row>
    <row r="164">
      <c r="A164" t="n">
        <v>212224</v>
      </c>
      <c r="B164" t="n">
        <v>115</v>
      </c>
      <c r="C164" t="inlineStr">
        <is>
          <t>Love - Shibari - Bradesco</t>
        </is>
      </c>
      <c r="D164" t="n">
        <v>128</v>
      </c>
      <c r="E164" t="inlineStr">
        <is>
          <t>Love Cabaret</t>
        </is>
      </c>
      <c r="F164" s="27" t="n">
        <v>46006.5</v>
      </c>
      <c r="G164" t="inlineStr">
        <is>
          <t>CREDITO</t>
        </is>
      </c>
      <c r="H164" t="inlineStr">
        <is>
          <t>TED-TRANSF ELET DISPON REMET.Zig Tecnologia S.A.</t>
        </is>
      </c>
      <c r="I164" t="n">
        <v>35348.67</v>
      </c>
    </row>
    <row r="165">
      <c r="A165" t="n">
        <v>212273</v>
      </c>
      <c r="B165" t="n">
        <v>182</v>
      </c>
      <c r="C165" t="inlineStr">
        <is>
          <t>Love - Shibari - Kamino</t>
        </is>
      </c>
      <c r="D165" t="n">
        <v>128</v>
      </c>
      <c r="E165" t="inlineStr">
        <is>
          <t>Love Cabaret</t>
        </is>
      </c>
      <c r="F165" s="27" t="n">
        <v>46006</v>
      </c>
      <c r="G165" t="inlineStr">
        <is>
          <t>DEBITO</t>
        </is>
      </c>
      <c r="H165" t="inlineStr">
        <is>
          <t>Zahil Importadora Ltda</t>
        </is>
      </c>
      <c r="I165" t="n">
        <v>-1638.69</v>
      </c>
    </row>
    <row r="166">
      <c r="A166" t="n">
        <v>212286</v>
      </c>
      <c r="B166" t="n">
        <v>182</v>
      </c>
      <c r="C166" t="inlineStr">
        <is>
          <t>Love - Shibari - Kamino</t>
        </is>
      </c>
      <c r="D166" t="n">
        <v>128</v>
      </c>
      <c r="E166" t="inlineStr">
        <is>
          <t>Love Cabaret</t>
        </is>
      </c>
      <c r="F166" s="27" t="n">
        <v>46006</v>
      </c>
      <c r="G166" t="inlineStr">
        <is>
          <t>DEBITO</t>
        </is>
      </c>
      <c r="H166" t="inlineStr">
        <is>
          <t>Aurora Alvorada Estacionamento e Lanchon</t>
        </is>
      </c>
      <c r="I166" t="n">
        <v>-309.03</v>
      </c>
    </row>
    <row r="167">
      <c r="A167" t="n">
        <v>212285</v>
      </c>
      <c r="B167" t="n">
        <v>182</v>
      </c>
      <c r="C167" t="inlineStr">
        <is>
          <t>Love - Shibari - Kamino</t>
        </is>
      </c>
      <c r="D167" t="n">
        <v>128</v>
      </c>
      <c r="E167" t="inlineStr">
        <is>
          <t>Love Cabaret</t>
        </is>
      </c>
      <c r="F167" s="27" t="n">
        <v>46006</v>
      </c>
      <c r="G167" t="inlineStr">
        <is>
          <t>DEBITO</t>
        </is>
      </c>
      <c r="H167" t="inlineStr">
        <is>
          <t>Machine Seguranca Patrimonial Ltda</t>
        </is>
      </c>
      <c r="I167" t="n">
        <v>-4636.95</v>
      </c>
    </row>
    <row r="168">
      <c r="A168" t="n">
        <v>212284</v>
      </c>
      <c r="B168" t="n">
        <v>182</v>
      </c>
      <c r="C168" t="inlineStr">
        <is>
          <t>Love - Shibari - Kamino</t>
        </is>
      </c>
      <c r="D168" t="n">
        <v>128</v>
      </c>
      <c r="E168" t="inlineStr">
        <is>
          <t>Love Cabaret</t>
        </is>
      </c>
      <c r="F168" s="27" t="n">
        <v>46006</v>
      </c>
      <c r="G168" t="inlineStr">
        <is>
          <t>DEBITO</t>
        </is>
      </c>
      <c r="H168" t="inlineStr">
        <is>
          <t>Bolinhos Mm Ltda</t>
        </is>
      </c>
      <c r="I168" t="n">
        <v>-3255</v>
      </c>
    </row>
    <row r="169">
      <c r="A169" t="n">
        <v>212283</v>
      </c>
      <c r="B169" t="n">
        <v>182</v>
      </c>
      <c r="C169" t="inlineStr">
        <is>
          <t>Love - Shibari - Kamino</t>
        </is>
      </c>
      <c r="D169" t="n">
        <v>128</v>
      </c>
      <c r="E169" t="inlineStr">
        <is>
          <t>Love Cabaret</t>
        </is>
      </c>
      <c r="F169" s="27" t="n">
        <v>46006</v>
      </c>
      <c r="G169" t="inlineStr">
        <is>
          <t>DEBITO</t>
        </is>
      </c>
      <c r="H169" t="inlineStr">
        <is>
          <t>Aurora Alvorada Estacionamento e Lanchon</t>
        </is>
      </c>
      <c r="I169" t="n">
        <v>-255.81</v>
      </c>
    </row>
    <row r="170">
      <c r="A170" t="n">
        <v>212282</v>
      </c>
      <c r="B170" t="n">
        <v>182</v>
      </c>
      <c r="C170" t="inlineStr">
        <is>
          <t>Love - Shibari - Kamino</t>
        </is>
      </c>
      <c r="D170" t="n">
        <v>128</v>
      </c>
      <c r="E170" t="inlineStr">
        <is>
          <t>Love Cabaret</t>
        </is>
      </c>
      <c r="F170" s="27" t="n">
        <v>46006</v>
      </c>
      <c r="G170" t="inlineStr">
        <is>
          <t>DEBITO</t>
        </is>
      </c>
      <c r="H170" t="inlineStr">
        <is>
          <t>Stark Bank S.A.</t>
        </is>
      </c>
      <c r="I170" t="n">
        <v>-50.75</v>
      </c>
    </row>
    <row r="171">
      <c r="A171" t="n">
        <v>212281</v>
      </c>
      <c r="B171" t="n">
        <v>182</v>
      </c>
      <c r="C171" t="inlineStr">
        <is>
          <t>Love - Shibari - Kamino</t>
        </is>
      </c>
      <c r="D171" t="n">
        <v>128</v>
      </c>
      <c r="E171" t="inlineStr">
        <is>
          <t>Love Cabaret</t>
        </is>
      </c>
      <c r="F171" s="27" t="n">
        <v>46006</v>
      </c>
      <c r="G171" t="inlineStr">
        <is>
          <t>DEBITO</t>
        </is>
      </c>
      <c r="H171" t="inlineStr">
        <is>
          <t>Cecilia Tsuyaco Araki Silva Ltda</t>
        </is>
      </c>
      <c r="I171" t="n">
        <v>-340.9</v>
      </c>
    </row>
    <row r="172">
      <c r="A172" t="n">
        <v>212280</v>
      </c>
      <c r="B172" t="n">
        <v>182</v>
      </c>
      <c r="C172" t="inlineStr">
        <is>
          <t>Love - Shibari - Kamino</t>
        </is>
      </c>
      <c r="D172" t="n">
        <v>128</v>
      </c>
      <c r="E172" t="inlineStr">
        <is>
          <t>Love Cabaret</t>
        </is>
      </c>
      <c r="F172" s="27" t="n">
        <v>46006</v>
      </c>
      <c r="G172" t="inlineStr">
        <is>
          <t>DEBITO</t>
        </is>
      </c>
      <c r="H172" t="inlineStr">
        <is>
          <t>Multifrangos com Alim Ltda Me</t>
        </is>
      </c>
      <c r="I172" t="n">
        <v>-336.87</v>
      </c>
    </row>
    <row r="173">
      <c r="A173" t="n">
        <v>212279</v>
      </c>
      <c r="B173" t="n">
        <v>182</v>
      </c>
      <c r="C173" t="inlineStr">
        <is>
          <t>Love - Shibari - Kamino</t>
        </is>
      </c>
      <c r="D173" t="n">
        <v>128</v>
      </c>
      <c r="E173" t="inlineStr">
        <is>
          <t>Love Cabaret</t>
        </is>
      </c>
      <c r="F173" s="27" t="n">
        <v>46006</v>
      </c>
      <c r="G173" t="inlineStr">
        <is>
          <t>DEBITO</t>
        </is>
      </c>
      <c r="H173" t="inlineStr">
        <is>
          <t>Cepel Comercio de Papeis e Emb</t>
        </is>
      </c>
      <c r="I173" t="n">
        <v>-290</v>
      </c>
    </row>
    <row r="174">
      <c r="A174" t="n">
        <v>212278</v>
      </c>
      <c r="B174" t="n">
        <v>182</v>
      </c>
      <c r="C174" t="inlineStr">
        <is>
          <t>Love - Shibari - Kamino</t>
        </is>
      </c>
      <c r="D174" t="n">
        <v>128</v>
      </c>
      <c r="E174" t="inlineStr">
        <is>
          <t>Love Cabaret</t>
        </is>
      </c>
      <c r="F174" s="27" t="n">
        <v>46006</v>
      </c>
      <c r="G174" t="inlineStr">
        <is>
          <t>DEBITO</t>
        </is>
      </c>
      <c r="H174" t="inlineStr">
        <is>
          <t>Headchef Assessoria de Seguranca dos Ali</t>
        </is>
      </c>
      <c r="I174" t="n">
        <v>-891.0599999999999</v>
      </c>
    </row>
    <row r="175">
      <c r="A175" t="n">
        <v>212277</v>
      </c>
      <c r="B175" t="n">
        <v>182</v>
      </c>
      <c r="C175" t="inlineStr">
        <is>
          <t>Love - Shibari - Kamino</t>
        </is>
      </c>
      <c r="D175" t="n">
        <v>128</v>
      </c>
      <c r="E175" t="inlineStr">
        <is>
          <t>Love Cabaret</t>
        </is>
      </c>
      <c r="F175" s="27" t="n">
        <v>46006</v>
      </c>
      <c r="G175" t="inlineStr">
        <is>
          <t>DEBITO</t>
        </is>
      </c>
      <c r="H175" t="inlineStr">
        <is>
          <t>Hnk Br Bebidas Ltda</t>
        </is>
      </c>
      <c r="I175" t="n">
        <v>-2352.33</v>
      </c>
    </row>
    <row r="176">
      <c r="A176" t="n">
        <v>212276</v>
      </c>
      <c r="B176" t="n">
        <v>182</v>
      </c>
      <c r="C176" t="inlineStr">
        <is>
          <t>Love - Shibari - Kamino</t>
        </is>
      </c>
      <c r="D176" t="n">
        <v>128</v>
      </c>
      <c r="E176" t="inlineStr">
        <is>
          <t>Love Cabaret</t>
        </is>
      </c>
      <c r="F176" s="27" t="n">
        <v>46006</v>
      </c>
      <c r="G176" t="inlineStr">
        <is>
          <t>DEBITO</t>
        </is>
      </c>
      <c r="H176" t="inlineStr">
        <is>
          <t>King Comercio de Bebidas Ltda</t>
        </is>
      </c>
      <c r="I176" t="n">
        <v>-2392.4</v>
      </c>
    </row>
    <row r="177">
      <c r="A177" t="n">
        <v>212275</v>
      </c>
      <c r="B177" t="n">
        <v>182</v>
      </c>
      <c r="C177" t="inlineStr">
        <is>
          <t>Love - Shibari - Kamino</t>
        </is>
      </c>
      <c r="D177" t="n">
        <v>128</v>
      </c>
      <c r="E177" t="inlineStr">
        <is>
          <t>Love Cabaret</t>
        </is>
      </c>
      <c r="F177" s="27" t="n">
        <v>46006</v>
      </c>
      <c r="G177" t="inlineStr">
        <is>
          <t>DEBITO</t>
        </is>
      </c>
      <c r="H177" t="inlineStr">
        <is>
          <t>Cecilia Tsuyaco Araki Silva Ltda</t>
        </is>
      </c>
      <c r="I177" t="n">
        <v>-478.5</v>
      </c>
    </row>
    <row r="178">
      <c r="A178" t="n">
        <v>212274</v>
      </c>
      <c r="B178" t="n">
        <v>182</v>
      </c>
      <c r="C178" t="inlineStr">
        <is>
          <t>Love - Shibari - Kamino</t>
        </is>
      </c>
      <c r="D178" t="n">
        <v>128</v>
      </c>
      <c r="E178" t="inlineStr">
        <is>
          <t>Love Cabaret</t>
        </is>
      </c>
      <c r="F178" s="27" t="n">
        <v>46006</v>
      </c>
      <c r="G178" t="inlineStr">
        <is>
          <t>DEBITO</t>
        </is>
      </c>
      <c r="H178" t="inlineStr">
        <is>
          <t>Mario Pedro Feliciano Hortifru</t>
        </is>
      </c>
      <c r="I178" t="n">
        <v>-131.39</v>
      </c>
    </row>
    <row r="179">
      <c r="A179" t="n">
        <v>212263</v>
      </c>
      <c r="B179" t="n">
        <v>182</v>
      </c>
      <c r="C179" t="inlineStr">
        <is>
          <t>Love - Shibari - Kamino</t>
        </is>
      </c>
      <c r="D179" t="n">
        <v>128</v>
      </c>
      <c r="E179" t="inlineStr">
        <is>
          <t>Love Cabaret</t>
        </is>
      </c>
      <c r="F179" s="27" t="n">
        <v>46006</v>
      </c>
      <c r="G179" t="inlineStr">
        <is>
          <t>DEBITO</t>
        </is>
      </c>
      <c r="H179" t="inlineStr">
        <is>
          <t>Fg7 Comercio D B Eireli Epp</t>
        </is>
      </c>
      <c r="I179" t="n">
        <v>-1454.4</v>
      </c>
    </row>
    <row r="180">
      <c r="A180" t="n">
        <v>212272</v>
      </c>
      <c r="B180" t="n">
        <v>182</v>
      </c>
      <c r="C180" t="inlineStr">
        <is>
          <t>Love - Shibari - Kamino</t>
        </is>
      </c>
      <c r="D180" t="n">
        <v>128</v>
      </c>
      <c r="E180" t="inlineStr">
        <is>
          <t>Love Cabaret</t>
        </is>
      </c>
      <c r="F180" s="27" t="n">
        <v>46006</v>
      </c>
      <c r="G180" t="inlineStr">
        <is>
          <t>DEBITO</t>
        </is>
      </c>
      <c r="H180" t="inlineStr">
        <is>
          <t>Meat Hunter Imp Exp And Dist Ltda</t>
        </is>
      </c>
      <c r="I180" t="n">
        <v>-1272.64</v>
      </c>
    </row>
    <row r="181">
      <c r="A181" t="n">
        <v>212271</v>
      </c>
      <c r="B181" t="n">
        <v>182</v>
      </c>
      <c r="C181" t="inlineStr">
        <is>
          <t>Love - Shibari - Kamino</t>
        </is>
      </c>
      <c r="D181" t="n">
        <v>128</v>
      </c>
      <c r="E181" t="inlineStr">
        <is>
          <t>Love Cabaret</t>
        </is>
      </c>
      <c r="F181" s="27" t="n">
        <v>46006</v>
      </c>
      <c r="G181" t="inlineStr">
        <is>
          <t>DEBITO</t>
        </is>
      </c>
      <c r="H181" t="inlineStr">
        <is>
          <t>Casa de Carnes P.J.J.Ltda</t>
        </is>
      </c>
      <c r="I181" t="n">
        <v>-130.74</v>
      </c>
    </row>
    <row r="182">
      <c r="A182" t="n">
        <v>212270</v>
      </c>
      <c r="B182" t="n">
        <v>182</v>
      </c>
      <c r="C182" t="inlineStr">
        <is>
          <t>Love - Shibari - Kamino</t>
        </is>
      </c>
      <c r="D182" t="n">
        <v>128</v>
      </c>
      <c r="E182" t="inlineStr">
        <is>
          <t>Love Cabaret</t>
        </is>
      </c>
      <c r="F182" s="27" t="n">
        <v>46006</v>
      </c>
      <c r="G182" t="inlineStr">
        <is>
          <t>DEBITO</t>
        </is>
      </c>
      <c r="H182" t="inlineStr">
        <is>
          <t>W P P C Carnes Eireli Epp</t>
        </is>
      </c>
      <c r="I182" t="n">
        <v>-1169.17</v>
      </c>
    </row>
    <row r="183">
      <c r="A183" t="n">
        <v>212269</v>
      </c>
      <c r="B183" t="n">
        <v>182</v>
      </c>
      <c r="C183" t="inlineStr">
        <is>
          <t>Love - Shibari - Kamino</t>
        </is>
      </c>
      <c r="D183" t="n">
        <v>128</v>
      </c>
      <c r="E183" t="inlineStr">
        <is>
          <t>Love Cabaret</t>
        </is>
      </c>
      <c r="F183" s="27" t="n">
        <v>46006</v>
      </c>
      <c r="G183" t="inlineStr">
        <is>
          <t>DEBITO</t>
        </is>
      </c>
      <c r="H183" t="inlineStr">
        <is>
          <t>Cg Food S Distr Alimentos Ltda</t>
        </is>
      </c>
      <c r="I183" t="n">
        <v>-401.45</v>
      </c>
    </row>
    <row r="184">
      <c r="A184" t="n">
        <v>212268</v>
      </c>
      <c r="B184" t="n">
        <v>182</v>
      </c>
      <c r="C184" t="inlineStr">
        <is>
          <t>Love - Shibari - Kamino</t>
        </is>
      </c>
      <c r="D184" t="n">
        <v>128</v>
      </c>
      <c r="E184" t="inlineStr">
        <is>
          <t>Love Cabaret</t>
        </is>
      </c>
      <c r="F184" s="27" t="n">
        <v>46006</v>
      </c>
      <c r="G184" t="inlineStr">
        <is>
          <t>DEBITO</t>
        </is>
      </c>
      <c r="H184" t="inlineStr">
        <is>
          <t>Laticinios Fior D Italia Ltda</t>
        </is>
      </c>
      <c r="I184" t="n">
        <v>-326.75</v>
      </c>
    </row>
    <row r="185">
      <c r="A185" t="n">
        <v>212267</v>
      </c>
      <c r="B185" t="n">
        <v>182</v>
      </c>
      <c r="C185" t="inlineStr">
        <is>
          <t>Love - Shibari - Kamino</t>
        </is>
      </c>
      <c r="D185" t="n">
        <v>128</v>
      </c>
      <c r="E185" t="inlineStr">
        <is>
          <t>Love Cabaret</t>
        </is>
      </c>
      <c r="F185" s="27" t="n">
        <v>46006</v>
      </c>
      <c r="G185" t="inlineStr">
        <is>
          <t>DEBITO</t>
        </is>
      </c>
      <c r="H185" t="inlineStr">
        <is>
          <t>Dtk Comercio de Alimentos Ltda Epp</t>
        </is>
      </c>
      <c r="I185" t="n">
        <v>-289.01</v>
      </c>
    </row>
    <row r="186">
      <c r="A186" t="n">
        <v>212266</v>
      </c>
      <c r="B186" t="n">
        <v>182</v>
      </c>
      <c r="C186" t="inlineStr">
        <is>
          <t>Love - Shibari - Kamino</t>
        </is>
      </c>
      <c r="D186" t="n">
        <v>128</v>
      </c>
      <c r="E186" t="inlineStr">
        <is>
          <t>Love Cabaret</t>
        </is>
      </c>
      <c r="F186" s="27" t="n">
        <v>46006</v>
      </c>
      <c r="G186" t="inlineStr">
        <is>
          <t>DEBITO</t>
        </is>
      </c>
      <c r="H186" t="inlineStr">
        <is>
          <t>Zahil Importadora Ltda</t>
        </is>
      </c>
      <c r="I186" t="n">
        <v>-880.54</v>
      </c>
    </row>
    <row r="187">
      <c r="A187" t="n">
        <v>212265</v>
      </c>
      <c r="B187" t="n">
        <v>182</v>
      </c>
      <c r="C187" t="inlineStr">
        <is>
          <t>Love - Shibari - Kamino</t>
        </is>
      </c>
      <c r="D187" t="n">
        <v>128</v>
      </c>
      <c r="E187" t="inlineStr">
        <is>
          <t>Love Cabaret</t>
        </is>
      </c>
      <c r="F187" s="27" t="n">
        <v>46006</v>
      </c>
      <c r="G187" t="inlineStr">
        <is>
          <t>DEBITO</t>
        </is>
      </c>
      <c r="H187" t="inlineStr">
        <is>
          <t>Paramu Comercio R P a Ltda</t>
        </is>
      </c>
      <c r="I187" t="n">
        <v>-220.58</v>
      </c>
    </row>
    <row r="188">
      <c r="A188" t="n">
        <v>212264</v>
      </c>
      <c r="B188" t="n">
        <v>182</v>
      </c>
      <c r="C188" t="inlineStr">
        <is>
          <t>Love - Shibari - Kamino</t>
        </is>
      </c>
      <c r="D188" t="n">
        <v>128</v>
      </c>
      <c r="E188" t="inlineStr">
        <is>
          <t>Love Cabaret</t>
        </is>
      </c>
      <c r="F188" s="27" t="n">
        <v>46006</v>
      </c>
      <c r="G188" t="inlineStr">
        <is>
          <t>DEBITO</t>
        </is>
      </c>
      <c r="H188" t="inlineStr">
        <is>
          <t>Macro Contabilidade C Ltda</t>
        </is>
      </c>
      <c r="I188" t="n">
        <v>-3204.47</v>
      </c>
    </row>
    <row r="189">
      <c r="A189" t="n">
        <v>212258</v>
      </c>
      <c r="B189" t="n">
        <v>182</v>
      </c>
      <c r="C189" t="inlineStr">
        <is>
          <t>Love - Shibari - Kamino</t>
        </is>
      </c>
      <c r="D189" t="n">
        <v>128</v>
      </c>
      <c r="E189" t="inlineStr">
        <is>
          <t>Love Cabaret</t>
        </is>
      </c>
      <c r="F189" s="27" t="n">
        <v>46006</v>
      </c>
      <c r="G189" t="inlineStr">
        <is>
          <t>CREDITO</t>
        </is>
      </c>
      <c r="H189" t="inlineStr">
        <is>
          <t>SHIBARI ART E DIVERSAO LTDA</t>
        </is>
      </c>
      <c r="I189" t="n">
        <v>100000</v>
      </c>
    </row>
    <row r="190">
      <c r="A190" t="n">
        <v>212259</v>
      </c>
      <c r="B190" t="n">
        <v>182</v>
      </c>
      <c r="C190" t="inlineStr">
        <is>
          <t>Love - Shibari - Kamino</t>
        </is>
      </c>
      <c r="D190" t="n">
        <v>128</v>
      </c>
      <c r="E190" t="inlineStr">
        <is>
          <t>Love Cabaret</t>
        </is>
      </c>
      <c r="F190" s="27" t="n">
        <v>46006</v>
      </c>
      <c r="G190" t="inlineStr">
        <is>
          <t>DEBITO</t>
        </is>
      </c>
      <c r="H190" t="inlineStr">
        <is>
          <t>Larissa Bosco</t>
        </is>
      </c>
      <c r="I190" t="n">
        <v>-2000</v>
      </c>
    </row>
    <row r="191">
      <c r="A191" t="n">
        <v>212260</v>
      </c>
      <c r="B191" t="n">
        <v>182</v>
      </c>
      <c r="C191" t="inlineStr">
        <is>
          <t>Love - Shibari - Kamino</t>
        </is>
      </c>
      <c r="D191" t="n">
        <v>128</v>
      </c>
      <c r="E191" t="inlineStr">
        <is>
          <t>Love Cabaret</t>
        </is>
      </c>
      <c r="F191" s="27" t="n">
        <v>46006</v>
      </c>
      <c r="G191" t="inlineStr">
        <is>
          <t>DEBITO</t>
        </is>
      </c>
      <c r="H191" t="inlineStr">
        <is>
          <t>Luiz Eduardo Cardoso Guerra 48504400883</t>
        </is>
      </c>
      <c r="I191" t="n">
        <v>-650</v>
      </c>
    </row>
    <row r="192">
      <c r="A192" t="n">
        <v>212261</v>
      </c>
      <c r="B192" t="n">
        <v>182</v>
      </c>
      <c r="C192" t="inlineStr">
        <is>
          <t>Love - Shibari - Kamino</t>
        </is>
      </c>
      <c r="D192" t="n">
        <v>128</v>
      </c>
      <c r="E192" t="inlineStr">
        <is>
          <t>Love Cabaret</t>
        </is>
      </c>
      <c r="F192" s="27" t="n">
        <v>46006</v>
      </c>
      <c r="G192" t="inlineStr">
        <is>
          <t>DEBITO</t>
        </is>
      </c>
      <c r="H192" t="inlineStr">
        <is>
          <t>Cem Engenharia da Manutencao L</t>
        </is>
      </c>
      <c r="I192" t="n">
        <v>-6601.38</v>
      </c>
    </row>
    <row r="193">
      <c r="A193" t="n">
        <v>212262</v>
      </c>
      <c r="B193" t="n">
        <v>182</v>
      </c>
      <c r="C193" t="inlineStr">
        <is>
          <t>Love - Shibari - Kamino</t>
        </is>
      </c>
      <c r="D193" t="n">
        <v>128</v>
      </c>
      <c r="E193" t="inlineStr">
        <is>
          <t>Love Cabaret</t>
        </is>
      </c>
      <c r="F193" s="27" t="n">
        <v>46006</v>
      </c>
      <c r="G193" t="inlineStr">
        <is>
          <t>DEBITO</t>
        </is>
      </c>
      <c r="H193" t="inlineStr">
        <is>
          <t>Estaff Solucoes Tecnologicas de Agenciam</t>
        </is>
      </c>
      <c r="I193" t="n">
        <v>-22792</v>
      </c>
    </row>
    <row r="194">
      <c r="A194" t="n">
        <v>199149</v>
      </c>
      <c r="B194" t="n">
        <v>115</v>
      </c>
      <c r="C194" t="inlineStr">
        <is>
          <t>Love - Shibari - Bradesco</t>
        </is>
      </c>
      <c r="D194" t="n">
        <v>128</v>
      </c>
      <c r="E194" t="inlineStr">
        <is>
          <t>Love Cabaret</t>
        </is>
      </c>
      <c r="F194" s="27" t="n">
        <v>46003.5</v>
      </c>
      <c r="G194" t="inlineStr">
        <is>
          <t>CREDITO</t>
        </is>
      </c>
      <c r="H194" t="inlineStr">
        <is>
          <t>TRANSFERENCIA PIX REM: Victoria de Sousa Alb 12/12</t>
        </is>
      </c>
      <c r="I194" t="n">
        <v>232.5</v>
      </c>
    </row>
    <row r="195">
      <c r="A195" t="n">
        <v>199148</v>
      </c>
      <c r="B195" t="n">
        <v>115</v>
      </c>
      <c r="C195" t="inlineStr">
        <is>
          <t>Love - Shibari - Bradesco</t>
        </is>
      </c>
      <c r="D195" t="n">
        <v>128</v>
      </c>
      <c r="E195" t="inlineStr">
        <is>
          <t>Love Cabaret</t>
        </is>
      </c>
      <c r="F195" s="27" t="n">
        <v>46003.5</v>
      </c>
      <c r="G195" t="inlineStr">
        <is>
          <t>CREDITO</t>
        </is>
      </c>
      <c r="H195" t="inlineStr">
        <is>
          <t>TED-TRANSF ELET DISPON REMET.LIRIUM INDUSTRIA E C</t>
        </is>
      </c>
      <c r="I195" t="n">
        <v>162</v>
      </c>
    </row>
    <row r="196">
      <c r="A196" t="n">
        <v>199150</v>
      </c>
      <c r="B196" t="n">
        <v>115</v>
      </c>
      <c r="C196" t="inlineStr">
        <is>
          <t>Love - Shibari - Bradesco</t>
        </is>
      </c>
      <c r="D196" t="n">
        <v>128</v>
      </c>
      <c r="E196" t="inlineStr">
        <is>
          <t>Love Cabaret</t>
        </is>
      </c>
      <c r="F196" s="27" t="n">
        <v>46003.5</v>
      </c>
      <c r="G196" t="inlineStr">
        <is>
          <t>DEBITO</t>
        </is>
      </c>
      <c r="H196" t="inlineStr">
        <is>
          <t>TARIFA BANCARIA TRANSF PGTO PIX</t>
        </is>
      </c>
      <c r="I196" t="n">
        <v>-9.800000000000001</v>
      </c>
    </row>
    <row r="197">
      <c r="A197" t="n">
        <v>199147</v>
      </c>
      <c r="B197" t="n">
        <v>115</v>
      </c>
      <c r="C197" t="inlineStr">
        <is>
          <t>Love - Shibari - Bradesco</t>
        </is>
      </c>
      <c r="D197" t="n">
        <v>128</v>
      </c>
      <c r="E197" t="inlineStr">
        <is>
          <t>Love Cabaret</t>
        </is>
      </c>
      <c r="F197" s="27" t="n">
        <v>46002.5</v>
      </c>
      <c r="G197" t="inlineStr">
        <is>
          <t>CREDITO</t>
        </is>
      </c>
      <c r="H197" t="inlineStr">
        <is>
          <t>DEP DINHEIRO ATM AG00095MAQ060513SEQ06307</t>
        </is>
      </c>
      <c r="I197" t="n">
        <v>1146</v>
      </c>
    </row>
    <row r="198">
      <c r="A198" t="n">
        <v>199146</v>
      </c>
      <c r="B198" t="n">
        <v>115</v>
      </c>
      <c r="C198" t="inlineStr">
        <is>
          <t>Love - Shibari - Bradesco</t>
        </is>
      </c>
      <c r="D198" t="n">
        <v>128</v>
      </c>
      <c r="E198" t="inlineStr">
        <is>
          <t>Love Cabaret</t>
        </is>
      </c>
      <c r="F198" s="27" t="n">
        <v>46002.5</v>
      </c>
      <c r="G198" t="inlineStr">
        <is>
          <t>CREDITO</t>
        </is>
      </c>
      <c r="H198" t="inlineStr">
        <is>
          <t>TED-TRANSF ELET DISPON REMET.SYMPLA INTERNET SOLU</t>
        </is>
      </c>
      <c r="I198" t="n">
        <v>7390</v>
      </c>
    </row>
    <row r="199">
      <c r="A199" t="n">
        <v>199145</v>
      </c>
      <c r="B199" t="n">
        <v>115</v>
      </c>
      <c r="C199" t="inlineStr">
        <is>
          <t>Love - Shibari - Bradesco</t>
        </is>
      </c>
      <c r="D199" t="n">
        <v>128</v>
      </c>
      <c r="E199" t="inlineStr">
        <is>
          <t>Love Cabaret</t>
        </is>
      </c>
      <c r="F199" s="27" t="n">
        <v>46002.5</v>
      </c>
      <c r="G199" t="inlineStr">
        <is>
          <t>CREDITO</t>
        </is>
      </c>
      <c r="H199" t="inlineStr">
        <is>
          <t>TED-TRANSF ELET DISPON REMET.SYMPLA INTERNET SOLU</t>
        </is>
      </c>
      <c r="I199" t="n">
        <v>11845</v>
      </c>
    </row>
    <row r="200">
      <c r="A200" t="n">
        <v>199144</v>
      </c>
      <c r="B200" t="n">
        <v>115</v>
      </c>
      <c r="C200" t="inlineStr">
        <is>
          <t>Love - Shibari - Bradesco</t>
        </is>
      </c>
      <c r="D200" t="n">
        <v>128</v>
      </c>
      <c r="E200" t="inlineStr">
        <is>
          <t>Love Cabaret</t>
        </is>
      </c>
      <c r="F200" s="27" t="n">
        <v>46002.5</v>
      </c>
      <c r="G200" t="inlineStr">
        <is>
          <t>CREDITO</t>
        </is>
      </c>
      <c r="H200" t="inlineStr">
        <is>
          <t>TED-TRANSF ELET DISPON REMET.SYMPLA INTERNET SOLU</t>
        </is>
      </c>
      <c r="I200" t="n">
        <v>14986</v>
      </c>
    </row>
    <row r="201">
      <c r="A201" t="n">
        <v>199499</v>
      </c>
      <c r="B201" t="n">
        <v>182</v>
      </c>
      <c r="C201" t="inlineStr">
        <is>
          <t>Love - Shibari - Kamino</t>
        </is>
      </c>
      <c r="D201" t="n">
        <v>128</v>
      </c>
      <c r="E201" t="inlineStr">
        <is>
          <t>Love Cabaret</t>
        </is>
      </c>
      <c r="F201" s="27" t="n">
        <v>46002</v>
      </c>
      <c r="G201" t="inlineStr">
        <is>
          <t>DEBITO</t>
        </is>
      </c>
      <c r="H201" t="inlineStr">
        <is>
          <t>Stgraf Artes Graficas e Editora Ltda</t>
        </is>
      </c>
      <c r="I201" t="n">
        <v>-990</v>
      </c>
    </row>
    <row r="202">
      <c r="A202" t="n">
        <v>199143</v>
      </c>
      <c r="B202" t="n">
        <v>115</v>
      </c>
      <c r="C202" t="inlineStr">
        <is>
          <t>Love - Shibari - Bradesco</t>
        </is>
      </c>
      <c r="D202" t="n">
        <v>128</v>
      </c>
      <c r="E202" t="inlineStr">
        <is>
          <t>Love Cabaret</t>
        </is>
      </c>
      <c r="F202" s="27" t="n">
        <v>46001.5</v>
      </c>
      <c r="G202" t="inlineStr">
        <is>
          <t>DEBITO</t>
        </is>
      </c>
      <c r="H202" t="inlineStr">
        <is>
          <t>TRANSFERENCIA PIX DES: SHIBARI ART E DIVERSA 10/12</t>
        </is>
      </c>
      <c r="I202" t="n">
        <v>-25000</v>
      </c>
    </row>
    <row r="203">
      <c r="A203" t="n">
        <v>199142</v>
      </c>
      <c r="B203" t="n">
        <v>115</v>
      </c>
      <c r="C203" t="inlineStr">
        <is>
          <t>Love - Shibari - Bradesco</t>
        </is>
      </c>
      <c r="D203" t="n">
        <v>128</v>
      </c>
      <c r="E203" t="inlineStr">
        <is>
          <t>Love Cabaret</t>
        </is>
      </c>
      <c r="F203" s="27" t="n">
        <v>46001.5</v>
      </c>
      <c r="G203" t="inlineStr">
        <is>
          <t>DEBITO</t>
        </is>
      </c>
      <c r="H203" t="inlineStr">
        <is>
          <t>TARIFA BANCARIA TRANSF PGTO PIX</t>
        </is>
      </c>
      <c r="I203" t="n">
        <v>-9.800000000000001</v>
      </c>
    </row>
    <row r="204">
      <c r="A204" t="n">
        <v>199141</v>
      </c>
      <c r="B204" t="n">
        <v>115</v>
      </c>
      <c r="C204" t="inlineStr">
        <is>
          <t>Love - Shibari - Bradesco</t>
        </is>
      </c>
      <c r="D204" t="n">
        <v>128</v>
      </c>
      <c r="E204" t="inlineStr">
        <is>
          <t>Love Cabaret</t>
        </is>
      </c>
      <c r="F204" s="27" t="n">
        <v>46001.5</v>
      </c>
      <c r="G204" t="inlineStr">
        <is>
          <t>CREDITO</t>
        </is>
      </c>
      <c r="H204" t="inlineStr">
        <is>
          <t>TED-TRANSF ELET DISPON REMET.Zig Tecnologia S.A.</t>
        </is>
      </c>
      <c r="I204" t="n">
        <v>14077.47</v>
      </c>
    </row>
    <row r="205">
      <c r="A205" t="n">
        <v>199140</v>
      </c>
      <c r="B205" t="n">
        <v>115</v>
      </c>
      <c r="C205" t="inlineStr">
        <is>
          <t>Love - Shibari - Bradesco</t>
        </is>
      </c>
      <c r="D205" t="n">
        <v>128</v>
      </c>
      <c r="E205" t="inlineStr">
        <is>
          <t>Love Cabaret</t>
        </is>
      </c>
      <c r="F205" s="27" t="n">
        <v>46001.5</v>
      </c>
      <c r="G205" t="inlineStr">
        <is>
          <t>CREDITO</t>
        </is>
      </c>
      <c r="H205" t="inlineStr">
        <is>
          <t>TED-TRANSF ELET DISPON REMET.LOVE SUITES LTDA</t>
        </is>
      </c>
      <c r="I205" t="n">
        <v>2953.14</v>
      </c>
    </row>
    <row r="206">
      <c r="A206" t="n">
        <v>199139</v>
      </c>
      <c r="B206" t="n">
        <v>115</v>
      </c>
      <c r="C206" t="inlineStr">
        <is>
          <t>Love - Shibari - Bradesco</t>
        </is>
      </c>
      <c r="D206" t="n">
        <v>128</v>
      </c>
      <c r="E206" t="inlineStr">
        <is>
          <t>Love Cabaret</t>
        </is>
      </c>
      <c r="F206" s="27" t="n">
        <v>46001.5</v>
      </c>
      <c r="G206" t="inlineStr">
        <is>
          <t>CREDITO</t>
        </is>
      </c>
      <c r="H206" t="inlineStr">
        <is>
          <t>TED-TRANSF ELET DISPON REMET.LOVE SUITES LTDA</t>
        </is>
      </c>
      <c r="I206" t="n">
        <v>32594.19</v>
      </c>
    </row>
    <row r="207">
      <c r="A207" t="n">
        <v>199490</v>
      </c>
      <c r="B207" t="n">
        <v>182</v>
      </c>
      <c r="C207" t="inlineStr">
        <is>
          <t>Love - Shibari - Kamino</t>
        </is>
      </c>
      <c r="D207" t="n">
        <v>128</v>
      </c>
      <c r="E207" t="inlineStr">
        <is>
          <t>Love Cabaret</t>
        </is>
      </c>
      <c r="F207" s="27" t="n">
        <v>46001</v>
      </c>
      <c r="G207" t="inlineStr">
        <is>
          <t>DEBITO</t>
        </is>
      </c>
      <c r="H207" t="inlineStr">
        <is>
          <t>Aurora Alvorada Estacionamento e Lanchon</t>
        </is>
      </c>
      <c r="I207" t="n">
        <v>-329.28</v>
      </c>
    </row>
    <row r="208">
      <c r="A208" t="n">
        <v>199477</v>
      </c>
      <c r="B208" t="n">
        <v>182</v>
      </c>
      <c r="C208" t="inlineStr">
        <is>
          <t>Love - Shibari - Kamino</t>
        </is>
      </c>
      <c r="D208" t="n">
        <v>128</v>
      </c>
      <c r="E208" t="inlineStr">
        <is>
          <t>Love Cabaret</t>
        </is>
      </c>
      <c r="F208" s="27" t="n">
        <v>46001</v>
      </c>
      <c r="G208" t="inlineStr">
        <is>
          <t>DEBITO</t>
        </is>
      </c>
      <c r="H208" t="inlineStr">
        <is>
          <t>Ministerio da Fazenda</t>
        </is>
      </c>
      <c r="I208" t="n">
        <v>-195.34</v>
      </c>
    </row>
    <row r="209">
      <c r="A209" t="n">
        <v>199478</v>
      </c>
      <c r="B209" t="n">
        <v>182</v>
      </c>
      <c r="C209" t="inlineStr">
        <is>
          <t>Love - Shibari - Kamino</t>
        </is>
      </c>
      <c r="D209" t="n">
        <v>128</v>
      </c>
      <c r="E209" t="inlineStr">
        <is>
          <t>Love Cabaret</t>
        </is>
      </c>
      <c r="F209" s="27" t="n">
        <v>46001</v>
      </c>
      <c r="G209" t="inlineStr">
        <is>
          <t>DEBITO</t>
        </is>
      </c>
      <c r="H209" t="inlineStr">
        <is>
          <t>Zoop Brasil</t>
        </is>
      </c>
      <c r="I209" t="n">
        <v>-561.84</v>
      </c>
    </row>
    <row r="210">
      <c r="A210" t="n">
        <v>199479</v>
      </c>
      <c r="B210" t="n">
        <v>182</v>
      </c>
      <c r="C210" t="inlineStr">
        <is>
          <t>Love - Shibari - Kamino</t>
        </is>
      </c>
      <c r="D210" t="n">
        <v>128</v>
      </c>
      <c r="E210" t="inlineStr">
        <is>
          <t>Love Cabaret</t>
        </is>
      </c>
      <c r="F210" s="27" t="n">
        <v>46001</v>
      </c>
      <c r="G210" t="inlineStr">
        <is>
          <t>DEBITO</t>
        </is>
      </c>
      <c r="H210" t="inlineStr">
        <is>
          <t>Cia do Whisky</t>
        </is>
      </c>
      <c r="I210" t="n">
        <v>-563.1</v>
      </c>
    </row>
    <row r="211">
      <c r="A211" t="n">
        <v>199480</v>
      </c>
      <c r="B211" t="n">
        <v>182</v>
      </c>
      <c r="C211" t="inlineStr">
        <is>
          <t>Love - Shibari - Kamino</t>
        </is>
      </c>
      <c r="D211" t="n">
        <v>128</v>
      </c>
      <c r="E211" t="inlineStr">
        <is>
          <t>Love Cabaret</t>
        </is>
      </c>
      <c r="F211" s="27" t="n">
        <v>46001</v>
      </c>
      <c r="G211" t="inlineStr">
        <is>
          <t>DEBITO</t>
        </is>
      </c>
      <c r="H211" t="inlineStr">
        <is>
          <t>Dudom</t>
        </is>
      </c>
      <c r="I211" t="n">
        <v>-2444.44</v>
      </c>
    </row>
    <row r="212">
      <c r="A212" t="n">
        <v>199481</v>
      </c>
      <c r="B212" t="n">
        <v>182</v>
      </c>
      <c r="C212" t="inlineStr">
        <is>
          <t>Love - Shibari - Kamino</t>
        </is>
      </c>
      <c r="D212" t="n">
        <v>128</v>
      </c>
      <c r="E212" t="inlineStr">
        <is>
          <t>Love Cabaret</t>
        </is>
      </c>
      <c r="F212" s="27" t="n">
        <v>46001</v>
      </c>
      <c r="G212" t="inlineStr">
        <is>
          <t>DEBITO</t>
        </is>
      </c>
      <c r="H212" t="inlineStr">
        <is>
          <t>Cem Engenharia da Manutencao L</t>
        </is>
      </c>
      <c r="I212" t="n">
        <v>-1591.46</v>
      </c>
    </row>
    <row r="213">
      <c r="A213" t="n">
        <v>199482</v>
      </c>
      <c r="B213" t="n">
        <v>182</v>
      </c>
      <c r="C213" t="inlineStr">
        <is>
          <t>Love - Shibari - Kamino</t>
        </is>
      </c>
      <c r="D213" t="n">
        <v>128</v>
      </c>
      <c r="E213" t="inlineStr">
        <is>
          <t>Love Cabaret</t>
        </is>
      </c>
      <c r="F213" s="27" t="n">
        <v>46001</v>
      </c>
      <c r="G213" t="inlineStr">
        <is>
          <t>DEBITO</t>
        </is>
      </c>
      <c r="H213" t="inlineStr">
        <is>
          <t>Horta Nova Distribuidora de Hortifruti L</t>
        </is>
      </c>
      <c r="I213" t="n">
        <v>-105.65</v>
      </c>
    </row>
    <row r="214">
      <c r="A214" t="n">
        <v>199483</v>
      </c>
      <c r="B214" t="n">
        <v>182</v>
      </c>
      <c r="C214" t="inlineStr">
        <is>
          <t>Love - Shibari - Kamino</t>
        </is>
      </c>
      <c r="D214" t="n">
        <v>128</v>
      </c>
      <c r="E214" t="inlineStr">
        <is>
          <t>Love Cabaret</t>
        </is>
      </c>
      <c r="F214" s="27" t="n">
        <v>46001</v>
      </c>
      <c r="G214" t="inlineStr">
        <is>
          <t>DEBITO</t>
        </is>
      </c>
      <c r="H214" t="inlineStr">
        <is>
          <t>Pss - Central da Limpeza Ltda</t>
        </is>
      </c>
      <c r="I214" t="n">
        <v>-526</v>
      </c>
    </row>
    <row r="215">
      <c r="A215" t="n">
        <v>199484</v>
      </c>
      <c r="B215" t="n">
        <v>182</v>
      </c>
      <c r="C215" t="inlineStr">
        <is>
          <t>Love - Shibari - Kamino</t>
        </is>
      </c>
      <c r="D215" t="n">
        <v>128</v>
      </c>
      <c r="E215" t="inlineStr">
        <is>
          <t>Love Cabaret</t>
        </is>
      </c>
      <c r="F215" s="27" t="n">
        <v>46001</v>
      </c>
      <c r="G215" t="inlineStr">
        <is>
          <t>DEBITO</t>
        </is>
      </c>
      <c r="H215" t="inlineStr">
        <is>
          <t>Gomes D Elia Equipamentos de H</t>
        </is>
      </c>
      <c r="I215" t="n">
        <v>-342</v>
      </c>
    </row>
    <row r="216">
      <c r="A216" t="n">
        <v>199485</v>
      </c>
      <c r="B216" t="n">
        <v>182</v>
      </c>
      <c r="C216" t="inlineStr">
        <is>
          <t>Love - Shibari - Kamino</t>
        </is>
      </c>
      <c r="D216" t="n">
        <v>128</v>
      </c>
      <c r="E216" t="inlineStr">
        <is>
          <t>Love Cabaret</t>
        </is>
      </c>
      <c r="F216" s="27" t="n">
        <v>46001</v>
      </c>
      <c r="G216" t="inlineStr">
        <is>
          <t>DEBITO</t>
        </is>
      </c>
      <c r="H216" t="inlineStr">
        <is>
          <t>Horta Nova Distribuidora de Hortifruti L</t>
        </is>
      </c>
      <c r="I216" t="n">
        <v>-71.38</v>
      </c>
    </row>
    <row r="217">
      <c r="A217" t="n">
        <v>199486</v>
      </c>
      <c r="B217" t="n">
        <v>182</v>
      </c>
      <c r="C217" t="inlineStr">
        <is>
          <t>Love - Shibari - Kamino</t>
        </is>
      </c>
      <c r="D217" t="n">
        <v>128</v>
      </c>
      <c r="E217" t="inlineStr">
        <is>
          <t>Love Cabaret</t>
        </is>
      </c>
      <c r="F217" s="27" t="n">
        <v>46001</v>
      </c>
      <c r="G217" t="inlineStr">
        <is>
          <t>DEBITO</t>
        </is>
      </c>
      <c r="H217" t="inlineStr">
        <is>
          <t>Mario Pedro Feliciano Hortifru</t>
        </is>
      </c>
      <c r="I217" t="n">
        <v>-45.24</v>
      </c>
    </row>
    <row r="218">
      <c r="A218" t="n">
        <v>199487</v>
      </c>
      <c r="B218" t="n">
        <v>182</v>
      </c>
      <c r="C218" t="inlineStr">
        <is>
          <t>Love - Shibari - Kamino</t>
        </is>
      </c>
      <c r="D218" t="n">
        <v>128</v>
      </c>
      <c r="E218" t="inlineStr">
        <is>
          <t>Love Cabaret</t>
        </is>
      </c>
      <c r="F218" s="27" t="n">
        <v>46001</v>
      </c>
      <c r="G218" t="inlineStr">
        <is>
          <t>DEBITO</t>
        </is>
      </c>
      <c r="H218" t="inlineStr">
        <is>
          <t>Hnk Br Bebidas Ltda</t>
        </is>
      </c>
      <c r="I218" t="n">
        <v>-555.76</v>
      </c>
    </row>
    <row r="219">
      <c r="A219" t="n">
        <v>199489</v>
      </c>
      <c r="B219" t="n">
        <v>182</v>
      </c>
      <c r="C219" t="inlineStr">
        <is>
          <t>Love - Shibari - Kamino</t>
        </is>
      </c>
      <c r="D219" t="n">
        <v>128</v>
      </c>
      <c r="E219" t="inlineStr">
        <is>
          <t>Love Cabaret</t>
        </is>
      </c>
      <c r="F219" s="27" t="n">
        <v>46001</v>
      </c>
      <c r="G219" t="inlineStr">
        <is>
          <t>DEBITO</t>
        </is>
      </c>
      <c r="H219" t="inlineStr">
        <is>
          <t>Comercial Dede</t>
        </is>
      </c>
      <c r="I219" t="n">
        <v>-514.83</v>
      </c>
    </row>
    <row r="220">
      <c r="A220" t="n">
        <v>199488</v>
      </c>
      <c r="B220" t="n">
        <v>182</v>
      </c>
      <c r="C220" t="inlineStr">
        <is>
          <t>Love - Shibari - Kamino</t>
        </is>
      </c>
      <c r="D220" t="n">
        <v>128</v>
      </c>
      <c r="E220" t="inlineStr">
        <is>
          <t>Love Cabaret</t>
        </is>
      </c>
      <c r="F220" s="27" t="n">
        <v>46001</v>
      </c>
      <c r="G220" t="inlineStr">
        <is>
          <t>DEBITO</t>
        </is>
      </c>
      <c r="H220" t="inlineStr">
        <is>
          <t>W P P C Carnes Eireli Epp</t>
        </is>
      </c>
      <c r="I220" t="n">
        <v>-252.81</v>
      </c>
    </row>
    <row r="221">
      <c r="A221" t="n">
        <v>199498</v>
      </c>
      <c r="B221" t="n">
        <v>182</v>
      </c>
      <c r="C221" t="inlineStr">
        <is>
          <t>Love - Shibari - Kamino</t>
        </is>
      </c>
      <c r="D221" t="n">
        <v>128</v>
      </c>
      <c r="E221" t="inlineStr">
        <is>
          <t>Love Cabaret</t>
        </is>
      </c>
      <c r="F221" s="27" t="n">
        <v>46001</v>
      </c>
      <c r="G221" t="inlineStr">
        <is>
          <t>DEBITO</t>
        </is>
      </c>
      <c r="H221" t="inlineStr">
        <is>
          <t>Receita Federal</t>
        </is>
      </c>
      <c r="I221" t="n">
        <v>-2145.71</v>
      </c>
    </row>
    <row r="222">
      <c r="A222" t="n">
        <v>199497</v>
      </c>
      <c r="B222" t="n">
        <v>182</v>
      </c>
      <c r="C222" t="inlineStr">
        <is>
          <t>Love - Shibari - Kamino</t>
        </is>
      </c>
      <c r="D222" t="n">
        <v>128</v>
      </c>
      <c r="E222" t="inlineStr">
        <is>
          <t>Love Cabaret</t>
        </is>
      </c>
      <c r="F222" s="27" t="n">
        <v>46001</v>
      </c>
      <c r="G222" t="inlineStr">
        <is>
          <t>DEBITO</t>
        </is>
      </c>
      <c r="H222" t="inlineStr">
        <is>
          <t>Andres La Rosa</t>
        </is>
      </c>
      <c r="I222" t="n">
        <v>-3710</v>
      </c>
    </row>
    <row r="223">
      <c r="A223" t="n">
        <v>199496</v>
      </c>
      <c r="B223" t="n">
        <v>182</v>
      </c>
      <c r="C223" t="inlineStr">
        <is>
          <t>Love - Shibari - Kamino</t>
        </is>
      </c>
      <c r="D223" t="n">
        <v>128</v>
      </c>
      <c r="E223" t="inlineStr">
        <is>
          <t>Love Cabaret</t>
        </is>
      </c>
      <c r="F223" s="27" t="n">
        <v>46001</v>
      </c>
      <c r="G223" t="inlineStr">
        <is>
          <t>DEBITO</t>
        </is>
      </c>
      <c r="H223" t="inlineStr">
        <is>
          <t>Douglas Felipe Domingues Gonalves</t>
        </is>
      </c>
      <c r="I223" t="n">
        <v>-3120</v>
      </c>
    </row>
    <row r="224">
      <c r="A224" t="n">
        <v>199495</v>
      </c>
      <c r="B224" t="n">
        <v>182</v>
      </c>
      <c r="C224" t="inlineStr">
        <is>
          <t>Love - Shibari - Kamino</t>
        </is>
      </c>
      <c r="D224" t="n">
        <v>128</v>
      </c>
      <c r="E224" t="inlineStr">
        <is>
          <t>Love Cabaret</t>
        </is>
      </c>
      <c r="F224" s="27" t="n">
        <v>46001</v>
      </c>
      <c r="G224" t="inlineStr">
        <is>
          <t>CREDITO</t>
        </is>
      </c>
      <c r="H224" t="inlineStr">
        <is>
          <t>SHIBARI ART E DIVERSAO LTDA</t>
        </is>
      </c>
      <c r="I224" t="n">
        <v>25000</v>
      </c>
    </row>
    <row r="225">
      <c r="A225" t="n">
        <v>199494</v>
      </c>
      <c r="B225" t="n">
        <v>182</v>
      </c>
      <c r="C225" t="inlineStr">
        <is>
          <t>Love - Shibari - Kamino</t>
        </is>
      </c>
      <c r="D225" t="n">
        <v>128</v>
      </c>
      <c r="E225" t="inlineStr">
        <is>
          <t>Love Cabaret</t>
        </is>
      </c>
      <c r="F225" s="27" t="n">
        <v>46001</v>
      </c>
      <c r="G225" t="inlineStr">
        <is>
          <t>DEBITO</t>
        </is>
      </c>
      <c r="H225" t="inlineStr">
        <is>
          <t>Cecilia Tsuyaco Araki Silva Ltda</t>
        </is>
      </c>
      <c r="I225" t="n">
        <v>-82.95</v>
      </c>
    </row>
    <row r="226">
      <c r="A226" t="n">
        <v>199493</v>
      </c>
      <c r="B226" t="n">
        <v>182</v>
      </c>
      <c r="C226" t="inlineStr">
        <is>
          <t>Love - Shibari - Kamino</t>
        </is>
      </c>
      <c r="D226" t="n">
        <v>128</v>
      </c>
      <c r="E226" t="inlineStr">
        <is>
          <t>Love Cabaret</t>
        </is>
      </c>
      <c r="F226" s="27" t="n">
        <v>46001</v>
      </c>
      <c r="G226" t="inlineStr">
        <is>
          <t>DEBITO</t>
        </is>
      </c>
      <c r="H226" t="inlineStr">
        <is>
          <t>King Comercio de Bebidas Ltda</t>
        </is>
      </c>
      <c r="I226" t="n">
        <v>-4557.22</v>
      </c>
    </row>
    <row r="227">
      <c r="A227" t="n">
        <v>199492</v>
      </c>
      <c r="B227" t="n">
        <v>182</v>
      </c>
      <c r="C227" t="inlineStr">
        <is>
          <t>Love - Shibari - Kamino</t>
        </is>
      </c>
      <c r="D227" t="n">
        <v>128</v>
      </c>
      <c r="E227" t="inlineStr">
        <is>
          <t>Love Cabaret</t>
        </is>
      </c>
      <c r="F227" s="27" t="n">
        <v>46001</v>
      </c>
      <c r="G227" t="inlineStr">
        <is>
          <t>DEBITO</t>
        </is>
      </c>
      <c r="H227" t="inlineStr">
        <is>
          <t>Hnk Br Bebidas Ltda</t>
        </is>
      </c>
      <c r="I227" t="n">
        <v>-3779.35</v>
      </c>
    </row>
    <row r="228">
      <c r="A228" t="n">
        <v>199491</v>
      </c>
      <c r="B228" t="n">
        <v>182</v>
      </c>
      <c r="C228" t="inlineStr">
        <is>
          <t>Love - Shibari - Kamino</t>
        </is>
      </c>
      <c r="D228" t="n">
        <v>128</v>
      </c>
      <c r="E228" t="inlineStr">
        <is>
          <t>Love Cabaret</t>
        </is>
      </c>
      <c r="F228" s="27" t="n">
        <v>46001</v>
      </c>
      <c r="G228" t="inlineStr">
        <is>
          <t>DEBITO</t>
        </is>
      </c>
      <c r="H228" t="inlineStr">
        <is>
          <t>Hnk Br Bebidas Ltda</t>
        </is>
      </c>
      <c r="I228" t="n">
        <v>-420.26</v>
      </c>
    </row>
    <row r="229">
      <c r="A229" t="n">
        <v>199132</v>
      </c>
      <c r="B229" t="n">
        <v>115</v>
      </c>
      <c r="C229" t="inlineStr">
        <is>
          <t>Love - Shibari - Bradesco</t>
        </is>
      </c>
      <c r="D229" t="n">
        <v>128</v>
      </c>
      <c r="E229" t="inlineStr">
        <is>
          <t>Love Cabaret</t>
        </is>
      </c>
      <c r="F229" s="27" t="n">
        <v>45999.5</v>
      </c>
      <c r="G229" t="inlineStr">
        <is>
          <t>CREDITO</t>
        </is>
      </c>
      <c r="H229" t="inlineStr">
        <is>
          <t>TED-TRANSF ELET DISPON REMET.Zig Tecnologia S.A.</t>
        </is>
      </c>
      <c r="I229" t="n">
        <v>50554.67</v>
      </c>
    </row>
    <row r="230">
      <c r="A230" t="n">
        <v>199138</v>
      </c>
      <c r="B230" t="n">
        <v>115</v>
      </c>
      <c r="C230" t="inlineStr">
        <is>
          <t>Love - Shibari - Bradesco</t>
        </is>
      </c>
      <c r="D230" t="n">
        <v>128</v>
      </c>
      <c r="E230" t="inlineStr">
        <is>
          <t>Love Cabaret</t>
        </is>
      </c>
      <c r="F230" s="27" t="n">
        <v>45999.5</v>
      </c>
      <c r="G230" t="inlineStr">
        <is>
          <t>DEBITO</t>
        </is>
      </c>
      <c r="H230" t="inlineStr">
        <is>
          <t>TRANSFERENCIA PIX DES: SHIBARI ART E DIVERSA 08/12</t>
        </is>
      </c>
      <c r="I230" t="n">
        <v>-210000</v>
      </c>
    </row>
    <row r="231">
      <c r="A231" t="n">
        <v>199456</v>
      </c>
      <c r="B231" t="n">
        <v>182</v>
      </c>
      <c r="C231" t="inlineStr">
        <is>
          <t>Love - Shibari - Kamino</t>
        </is>
      </c>
      <c r="D231" t="n">
        <v>128</v>
      </c>
      <c r="E231" t="inlineStr">
        <is>
          <t>Love Cabaret</t>
        </is>
      </c>
      <c r="F231" s="27" t="n">
        <v>45999</v>
      </c>
      <c r="G231" t="inlineStr">
        <is>
          <t>DEBITO</t>
        </is>
      </c>
      <c r="H231" t="inlineStr">
        <is>
          <t>Eshows Promocoes Artisticas Ltda</t>
        </is>
      </c>
      <c r="I231" t="n">
        <v>-29865</v>
      </c>
    </row>
    <row r="232">
      <c r="A232" t="n">
        <v>199457</v>
      </c>
      <c r="B232" t="n">
        <v>182</v>
      </c>
      <c r="C232" t="inlineStr">
        <is>
          <t>Love - Shibari - Kamino</t>
        </is>
      </c>
      <c r="D232" t="n">
        <v>128</v>
      </c>
      <c r="E232" t="inlineStr">
        <is>
          <t>Love Cabaret</t>
        </is>
      </c>
      <c r="F232" s="27" t="n">
        <v>45999</v>
      </c>
      <c r="G232" t="inlineStr">
        <is>
          <t>DEBITO</t>
        </is>
      </c>
      <c r="H232" t="inlineStr">
        <is>
          <t>Mordomia da Administracao Imobiliaria</t>
        </is>
      </c>
      <c r="I232" t="n">
        <v>-32594.19</v>
      </c>
    </row>
    <row r="233">
      <c r="A233" t="n">
        <v>199458</v>
      </c>
      <c r="B233" t="n">
        <v>182</v>
      </c>
      <c r="C233" t="inlineStr">
        <is>
          <t>Love - Shibari - Kamino</t>
        </is>
      </c>
      <c r="D233" t="n">
        <v>128</v>
      </c>
      <c r="E233" t="inlineStr">
        <is>
          <t>Love Cabaret</t>
        </is>
      </c>
      <c r="F233" s="27" t="n">
        <v>45999</v>
      </c>
      <c r="G233" t="inlineStr">
        <is>
          <t>DEBITO</t>
        </is>
      </c>
      <c r="H233" t="inlineStr">
        <is>
          <t>Multifrangos com Alim Ltda Me</t>
        </is>
      </c>
      <c r="I233" t="n">
        <v>-329.85</v>
      </c>
    </row>
    <row r="234">
      <c r="A234" t="n">
        <v>199459</v>
      </c>
      <c r="B234" t="n">
        <v>182</v>
      </c>
      <c r="C234" t="inlineStr">
        <is>
          <t>Love - Shibari - Kamino</t>
        </is>
      </c>
      <c r="D234" t="n">
        <v>128</v>
      </c>
      <c r="E234" t="inlineStr">
        <is>
          <t>Love Cabaret</t>
        </is>
      </c>
      <c r="F234" s="27" t="n">
        <v>45999</v>
      </c>
      <c r="G234" t="inlineStr">
        <is>
          <t>DEBITO</t>
        </is>
      </c>
      <c r="H234" t="inlineStr">
        <is>
          <t>Allimentari com de Produtos Al</t>
        </is>
      </c>
      <c r="I234" t="n">
        <v>-231.78</v>
      </c>
    </row>
    <row r="235">
      <c r="A235" t="n">
        <v>199460</v>
      </c>
      <c r="B235" t="n">
        <v>182</v>
      </c>
      <c r="C235" t="inlineStr">
        <is>
          <t>Love - Shibari - Kamino</t>
        </is>
      </c>
      <c r="D235" t="n">
        <v>128</v>
      </c>
      <c r="E235" t="inlineStr">
        <is>
          <t>Love Cabaret</t>
        </is>
      </c>
      <c r="F235" s="27" t="n">
        <v>45999</v>
      </c>
      <c r="G235" t="inlineStr">
        <is>
          <t>DEBITO</t>
        </is>
      </c>
      <c r="H235" t="inlineStr">
        <is>
          <t>Ciclo com e Participacoes Ltda</t>
        </is>
      </c>
      <c r="I235" t="n">
        <v>-38500.47</v>
      </c>
    </row>
    <row r="236">
      <c r="A236" t="n">
        <v>199461</v>
      </c>
      <c r="B236" t="n">
        <v>182</v>
      </c>
      <c r="C236" t="inlineStr">
        <is>
          <t>Love - Shibari - Kamino</t>
        </is>
      </c>
      <c r="D236" t="n">
        <v>128</v>
      </c>
      <c r="E236" t="inlineStr">
        <is>
          <t>Love Cabaret</t>
        </is>
      </c>
      <c r="F236" s="27" t="n">
        <v>45999</v>
      </c>
      <c r="G236" t="inlineStr">
        <is>
          <t>DEBITO</t>
        </is>
      </c>
      <c r="H236" t="inlineStr">
        <is>
          <t>Colibri Distribuidor de Produtos Orientais e Food Servi</t>
        </is>
      </c>
      <c r="I236" t="n">
        <v>-327.6</v>
      </c>
    </row>
    <row r="237">
      <c r="A237" t="n">
        <v>199462</v>
      </c>
      <c r="B237" t="n">
        <v>182</v>
      </c>
      <c r="C237" t="inlineStr">
        <is>
          <t>Love - Shibari - Kamino</t>
        </is>
      </c>
      <c r="D237" t="n">
        <v>128</v>
      </c>
      <c r="E237" t="inlineStr">
        <is>
          <t>Love Cabaret</t>
        </is>
      </c>
      <c r="F237" s="27" t="n">
        <v>45999</v>
      </c>
      <c r="G237" t="inlineStr">
        <is>
          <t>DEBITO</t>
        </is>
      </c>
      <c r="H237" t="inlineStr">
        <is>
          <t>Proauto Industria Q Eireli</t>
        </is>
      </c>
      <c r="I237" t="n">
        <v>-1412.37</v>
      </c>
    </row>
    <row r="238">
      <c r="A238" t="n">
        <v>199463</v>
      </c>
      <c r="B238" t="n">
        <v>182</v>
      </c>
      <c r="C238" t="inlineStr">
        <is>
          <t>Love - Shibari - Kamino</t>
        </is>
      </c>
      <c r="D238" t="n">
        <v>128</v>
      </c>
      <c r="E238" t="inlineStr">
        <is>
          <t>Love Cabaret</t>
        </is>
      </c>
      <c r="F238" s="27" t="n">
        <v>45999</v>
      </c>
      <c r="G238" t="inlineStr">
        <is>
          <t>DEBITO</t>
        </is>
      </c>
      <c r="H238" t="inlineStr">
        <is>
          <t>Cg Food S Distr Alimentos Ltda</t>
        </is>
      </c>
      <c r="I238" t="n">
        <v>-335.55</v>
      </c>
    </row>
    <row r="239">
      <c r="A239" t="n">
        <v>199464</v>
      </c>
      <c r="B239" t="n">
        <v>182</v>
      </c>
      <c r="C239" t="inlineStr">
        <is>
          <t>Love - Shibari - Kamino</t>
        </is>
      </c>
      <c r="D239" t="n">
        <v>128</v>
      </c>
      <c r="E239" t="inlineStr">
        <is>
          <t>Love Cabaret</t>
        </is>
      </c>
      <c r="F239" s="27" t="n">
        <v>45999</v>
      </c>
      <c r="G239" t="inlineStr">
        <is>
          <t>DEBITO</t>
        </is>
      </c>
      <c r="H239" t="inlineStr">
        <is>
          <t>Preshh Bar Ltda</t>
        </is>
      </c>
      <c r="I239" t="n">
        <v>-727.2</v>
      </c>
    </row>
    <row r="240">
      <c r="A240" t="n">
        <v>199465</v>
      </c>
      <c r="B240" t="n">
        <v>182</v>
      </c>
      <c r="C240" t="inlineStr">
        <is>
          <t>Love - Shibari - Kamino</t>
        </is>
      </c>
      <c r="D240" t="n">
        <v>128</v>
      </c>
      <c r="E240" t="inlineStr">
        <is>
          <t>Love Cabaret</t>
        </is>
      </c>
      <c r="F240" s="27" t="n">
        <v>45999</v>
      </c>
      <c r="G240" t="inlineStr">
        <is>
          <t>CREDITO</t>
        </is>
      </c>
      <c r="H240" t="inlineStr">
        <is>
          <t>Pix Env No Processado</t>
        </is>
      </c>
      <c r="I240" t="n">
        <v>200</v>
      </c>
    </row>
    <row r="241">
      <c r="A241" t="n">
        <v>199466</v>
      </c>
      <c r="B241" t="n">
        <v>182</v>
      </c>
      <c r="C241" t="inlineStr">
        <is>
          <t>Love - Shibari - Kamino</t>
        </is>
      </c>
      <c r="D241" t="n">
        <v>128</v>
      </c>
      <c r="E241" t="inlineStr">
        <is>
          <t>Love Cabaret</t>
        </is>
      </c>
      <c r="F241" s="27" t="n">
        <v>45999</v>
      </c>
      <c r="G241" t="inlineStr">
        <is>
          <t>DEBITO</t>
        </is>
      </c>
      <c r="H241" t="inlineStr">
        <is>
          <t>Stark Bank S.A.</t>
        </is>
      </c>
      <c r="I241" t="n">
        <v>-1000</v>
      </c>
    </row>
    <row r="242">
      <c r="A242" t="n">
        <v>199467</v>
      </c>
      <c r="B242" t="n">
        <v>182</v>
      </c>
      <c r="C242" t="inlineStr">
        <is>
          <t>Love - Shibari - Kamino</t>
        </is>
      </c>
      <c r="D242" t="n">
        <v>128</v>
      </c>
      <c r="E242" t="inlineStr">
        <is>
          <t>Love Cabaret</t>
        </is>
      </c>
      <c r="F242" s="27" t="n">
        <v>45999</v>
      </c>
      <c r="G242" t="inlineStr">
        <is>
          <t>DEBITO</t>
        </is>
      </c>
      <c r="H242" t="inlineStr">
        <is>
          <t>Safe Brand com Imp Exp S Ltda</t>
        </is>
      </c>
      <c r="I242" t="n">
        <v>-2117.46</v>
      </c>
    </row>
    <row r="243">
      <c r="A243" t="n">
        <v>199468</v>
      </c>
      <c r="B243" t="n">
        <v>182</v>
      </c>
      <c r="C243" t="inlineStr">
        <is>
          <t>Love - Shibari - Kamino</t>
        </is>
      </c>
      <c r="D243" t="n">
        <v>128</v>
      </c>
      <c r="E243" t="inlineStr">
        <is>
          <t>Love Cabaret</t>
        </is>
      </c>
      <c r="F243" s="27" t="n">
        <v>45999</v>
      </c>
      <c r="G243" t="inlineStr">
        <is>
          <t>DEBITO</t>
        </is>
      </c>
      <c r="H243" t="inlineStr">
        <is>
          <t>Laticinios Fior D Italia Ltda</t>
        </is>
      </c>
      <c r="I243" t="n">
        <v>-326.75</v>
      </c>
    </row>
    <row r="244">
      <c r="A244" t="n">
        <v>199469</v>
      </c>
      <c r="B244" t="n">
        <v>182</v>
      </c>
      <c r="C244" t="inlineStr">
        <is>
          <t>Love - Shibari - Kamino</t>
        </is>
      </c>
      <c r="D244" t="n">
        <v>128</v>
      </c>
      <c r="E244" t="inlineStr">
        <is>
          <t>Love Cabaret</t>
        </is>
      </c>
      <c r="F244" s="27" t="n">
        <v>45999</v>
      </c>
      <c r="G244" t="inlineStr">
        <is>
          <t>DEBITO</t>
        </is>
      </c>
      <c r="H244" t="inlineStr">
        <is>
          <t>Pss - Central da Limpeza Ltda</t>
        </is>
      </c>
      <c r="I244" t="n">
        <v>-678.5</v>
      </c>
    </row>
    <row r="245">
      <c r="A245" t="n">
        <v>199470</v>
      </c>
      <c r="B245" t="n">
        <v>182</v>
      </c>
      <c r="C245" t="inlineStr">
        <is>
          <t>Love - Shibari - Kamino</t>
        </is>
      </c>
      <c r="D245" t="n">
        <v>128</v>
      </c>
      <c r="E245" t="inlineStr">
        <is>
          <t>Love Cabaret</t>
        </is>
      </c>
      <c r="F245" s="27" t="n">
        <v>45999</v>
      </c>
      <c r="G245" t="inlineStr">
        <is>
          <t>DEBITO</t>
        </is>
      </c>
      <c r="H245" t="inlineStr">
        <is>
          <t>49.635.085 Jessica Izabel de Souza</t>
        </is>
      </c>
      <c r="I245" t="n">
        <v>-1250</v>
      </c>
    </row>
    <row r="246">
      <c r="A246" t="n">
        <v>199471</v>
      </c>
      <c r="B246" t="n">
        <v>182</v>
      </c>
      <c r="C246" t="inlineStr">
        <is>
          <t>Love - Shibari - Kamino</t>
        </is>
      </c>
      <c r="D246" t="n">
        <v>128</v>
      </c>
      <c r="E246" t="inlineStr">
        <is>
          <t>Love Cabaret</t>
        </is>
      </c>
      <c r="F246" s="27" t="n">
        <v>45999</v>
      </c>
      <c r="G246" t="inlineStr">
        <is>
          <t>DEBITO</t>
        </is>
      </c>
      <c r="H246" t="inlineStr">
        <is>
          <t>61.841.484 Peterson Patrik Costa Barbosa</t>
        </is>
      </c>
      <c r="I246" t="n">
        <v>-200</v>
      </c>
    </row>
    <row r="247">
      <c r="A247" t="n">
        <v>199472</v>
      </c>
      <c r="B247" t="n">
        <v>182</v>
      </c>
      <c r="C247" t="inlineStr">
        <is>
          <t>Love - Shibari - Kamino</t>
        </is>
      </c>
      <c r="D247" t="n">
        <v>128</v>
      </c>
      <c r="E247" t="inlineStr">
        <is>
          <t>Love Cabaret</t>
        </is>
      </c>
      <c r="F247" s="27" t="n">
        <v>45999</v>
      </c>
      <c r="G247" t="inlineStr">
        <is>
          <t>CREDITO</t>
        </is>
      </c>
      <c r="H247" t="inlineStr">
        <is>
          <t>Pix Env No Processado</t>
        </is>
      </c>
      <c r="I247" t="n">
        <v>200</v>
      </c>
    </row>
    <row r="248">
      <c r="A248" t="n">
        <v>199473</v>
      </c>
      <c r="B248" t="n">
        <v>182</v>
      </c>
      <c r="C248" t="inlineStr">
        <is>
          <t>Love - Shibari - Kamino</t>
        </is>
      </c>
      <c r="D248" t="n">
        <v>128</v>
      </c>
      <c r="E248" t="inlineStr">
        <is>
          <t>Love Cabaret</t>
        </is>
      </c>
      <c r="F248" s="27" t="n">
        <v>45999</v>
      </c>
      <c r="G248" t="inlineStr">
        <is>
          <t>DEBITO</t>
        </is>
      </c>
      <c r="H248" t="inlineStr">
        <is>
          <t>Teles de Almeida Pinto</t>
        </is>
      </c>
      <c r="I248" t="n">
        <v>-2000</v>
      </c>
    </row>
    <row r="249">
      <c r="A249" t="n">
        <v>199474</v>
      </c>
      <c r="B249" t="n">
        <v>182</v>
      </c>
      <c r="C249" t="inlineStr">
        <is>
          <t>Love - Shibari - Kamino</t>
        </is>
      </c>
      <c r="D249" t="n">
        <v>128</v>
      </c>
      <c r="E249" t="inlineStr">
        <is>
          <t>Love Cabaret</t>
        </is>
      </c>
      <c r="F249" s="27" t="n">
        <v>45999</v>
      </c>
      <c r="G249" t="inlineStr">
        <is>
          <t>DEBITO</t>
        </is>
      </c>
      <c r="H249" t="inlineStr">
        <is>
          <t>Leon Franz</t>
        </is>
      </c>
      <c r="I249" t="n">
        <v>-8500</v>
      </c>
    </row>
    <row r="250">
      <c r="A250" t="n">
        <v>199475</v>
      </c>
      <c r="B250" t="n">
        <v>182</v>
      </c>
      <c r="C250" t="inlineStr">
        <is>
          <t>Love - Shibari - Kamino</t>
        </is>
      </c>
      <c r="D250" t="n">
        <v>128</v>
      </c>
      <c r="E250" t="inlineStr">
        <is>
          <t>Love Cabaret</t>
        </is>
      </c>
      <c r="F250" s="27" t="n">
        <v>45999</v>
      </c>
      <c r="G250" t="inlineStr">
        <is>
          <t>DEBITO</t>
        </is>
      </c>
      <c r="H250" t="inlineStr">
        <is>
          <t>Peterson Patrik Costa Barbosa</t>
        </is>
      </c>
      <c r="I250" t="n">
        <v>-200</v>
      </c>
    </row>
    <row r="251">
      <c r="A251" t="n">
        <v>199476</v>
      </c>
      <c r="B251" t="n">
        <v>182</v>
      </c>
      <c r="C251" t="inlineStr">
        <is>
          <t>Love - Shibari - Kamino</t>
        </is>
      </c>
      <c r="D251" t="n">
        <v>128</v>
      </c>
      <c r="E251" t="inlineStr">
        <is>
          <t>Love Cabaret</t>
        </is>
      </c>
      <c r="F251" s="27" t="n">
        <v>45999</v>
      </c>
      <c r="G251" t="inlineStr">
        <is>
          <t>DEBITO</t>
        </is>
      </c>
      <c r="H251" t="inlineStr">
        <is>
          <t>Andres La Rosa</t>
        </is>
      </c>
      <c r="I251" t="n">
        <v>-5200</v>
      </c>
    </row>
    <row r="252">
      <c r="A252" t="n">
        <v>199450</v>
      </c>
      <c r="B252" t="n">
        <v>182</v>
      </c>
      <c r="C252" t="inlineStr">
        <is>
          <t>Love - Shibari - Kamino</t>
        </is>
      </c>
      <c r="D252" t="n">
        <v>128</v>
      </c>
      <c r="E252" t="inlineStr">
        <is>
          <t>Love Cabaret</t>
        </is>
      </c>
      <c r="F252" s="27" t="n">
        <v>45999</v>
      </c>
      <c r="G252" t="inlineStr">
        <is>
          <t>DEBITO</t>
        </is>
      </c>
      <c r="H252" t="inlineStr">
        <is>
          <t>Estaff Solucoes Tecnologicas de Agenciam</t>
        </is>
      </c>
      <c r="I252" t="n">
        <v>-14048.22</v>
      </c>
    </row>
    <row r="253">
      <c r="A253" t="n">
        <v>199454</v>
      </c>
      <c r="B253" t="n">
        <v>182</v>
      </c>
      <c r="C253" t="inlineStr">
        <is>
          <t>Love - Shibari - Kamino</t>
        </is>
      </c>
      <c r="D253" t="n">
        <v>128</v>
      </c>
      <c r="E253" t="inlineStr">
        <is>
          <t>Love Cabaret</t>
        </is>
      </c>
      <c r="F253" s="27" t="n">
        <v>45999</v>
      </c>
      <c r="G253" t="inlineStr">
        <is>
          <t>DEBITO</t>
        </is>
      </c>
      <c r="H253" t="inlineStr">
        <is>
          <t>Star Copias Comercio e Servicos Ltd</t>
        </is>
      </c>
      <c r="I253" t="n">
        <v>-220</v>
      </c>
    </row>
    <row r="254">
      <c r="A254" t="n">
        <v>199425</v>
      </c>
      <c r="B254" t="n">
        <v>182</v>
      </c>
      <c r="C254" t="inlineStr">
        <is>
          <t>Love - Shibari - Kamino</t>
        </is>
      </c>
      <c r="D254" t="n">
        <v>128</v>
      </c>
      <c r="E254" t="inlineStr">
        <is>
          <t>Love Cabaret</t>
        </is>
      </c>
      <c r="F254" s="27" t="n">
        <v>45999</v>
      </c>
      <c r="G254" t="inlineStr">
        <is>
          <t>CREDITO</t>
        </is>
      </c>
      <c r="H254" t="inlineStr">
        <is>
          <t>SHIBARI ART E DIVERSAO LTDA</t>
        </is>
      </c>
      <c r="I254" t="n">
        <v>210000</v>
      </c>
    </row>
    <row r="255">
      <c r="A255" t="n">
        <v>199426</v>
      </c>
      <c r="B255" t="n">
        <v>182</v>
      </c>
      <c r="C255" t="inlineStr">
        <is>
          <t>Love - Shibari - Kamino</t>
        </is>
      </c>
      <c r="D255" t="n">
        <v>128</v>
      </c>
      <c r="E255" t="inlineStr">
        <is>
          <t>Love Cabaret</t>
        </is>
      </c>
      <c r="F255" s="27" t="n">
        <v>45999</v>
      </c>
      <c r="G255" t="inlineStr">
        <is>
          <t>DEBITO</t>
        </is>
      </c>
      <c r="H255" t="inlineStr">
        <is>
          <t>W P P C Carnes Eireli Epp</t>
        </is>
      </c>
      <c r="I255" t="n">
        <v>-390.6</v>
      </c>
    </row>
    <row r="256">
      <c r="A256" t="n">
        <v>199427</v>
      </c>
      <c r="B256" t="n">
        <v>182</v>
      </c>
      <c r="C256" t="inlineStr">
        <is>
          <t>Love - Shibari - Kamino</t>
        </is>
      </c>
      <c r="D256" t="n">
        <v>128</v>
      </c>
      <c r="E256" t="inlineStr">
        <is>
          <t>Love Cabaret</t>
        </is>
      </c>
      <c r="F256" s="27" t="n">
        <v>45999</v>
      </c>
      <c r="G256" t="inlineStr">
        <is>
          <t>DEBITO</t>
        </is>
      </c>
      <c r="H256" t="inlineStr">
        <is>
          <t>Mario Pedro Feliciano Hortifru</t>
        </is>
      </c>
      <c r="I256" t="n">
        <v>-62.07</v>
      </c>
    </row>
    <row r="257">
      <c r="A257" t="n">
        <v>199428</v>
      </c>
      <c r="B257" t="n">
        <v>182</v>
      </c>
      <c r="C257" t="inlineStr">
        <is>
          <t>Love - Shibari - Kamino</t>
        </is>
      </c>
      <c r="D257" t="n">
        <v>128</v>
      </c>
      <c r="E257" t="inlineStr">
        <is>
          <t>Love Cabaret</t>
        </is>
      </c>
      <c r="F257" s="27" t="n">
        <v>45999</v>
      </c>
      <c r="G257" t="inlineStr">
        <is>
          <t>DEBITO</t>
        </is>
      </c>
      <c r="H257" t="inlineStr">
        <is>
          <t>29.004.930 Agnes Rodrigues de Oliveira</t>
        </is>
      </c>
      <c r="I257" t="n">
        <v>-5000</v>
      </c>
    </row>
    <row r="258">
      <c r="A258" t="n">
        <v>199429</v>
      </c>
      <c r="B258" t="n">
        <v>182</v>
      </c>
      <c r="C258" t="inlineStr">
        <is>
          <t>Love - Shibari - Kamino</t>
        </is>
      </c>
      <c r="D258" t="n">
        <v>128</v>
      </c>
      <c r="E258" t="inlineStr">
        <is>
          <t>Love Cabaret</t>
        </is>
      </c>
      <c r="F258" s="27" t="n">
        <v>45999</v>
      </c>
      <c r="G258" t="inlineStr">
        <is>
          <t>DEBITO</t>
        </is>
      </c>
      <c r="H258" t="inlineStr">
        <is>
          <t>Vanessa Del Santos de Freitas Consultoria</t>
        </is>
      </c>
      <c r="I258" t="n">
        <v>-3000</v>
      </c>
    </row>
    <row r="259">
      <c r="A259" t="n">
        <v>199430</v>
      </c>
      <c r="B259" t="n">
        <v>182</v>
      </c>
      <c r="C259" t="inlineStr">
        <is>
          <t>Love - Shibari - Kamino</t>
        </is>
      </c>
      <c r="D259" t="n">
        <v>128</v>
      </c>
      <c r="E259" t="inlineStr">
        <is>
          <t>Love Cabaret</t>
        </is>
      </c>
      <c r="F259" s="27" t="n">
        <v>45999</v>
      </c>
      <c r="G259" t="inlineStr">
        <is>
          <t>DEBITO</t>
        </is>
      </c>
      <c r="H259" t="inlineStr">
        <is>
          <t>Pss - Central da Limpeza Ltda</t>
        </is>
      </c>
      <c r="I259" t="n">
        <v>-160</v>
      </c>
    </row>
    <row r="260">
      <c r="A260" t="n">
        <v>199431</v>
      </c>
      <c r="B260" t="n">
        <v>182</v>
      </c>
      <c r="C260" t="inlineStr">
        <is>
          <t>Love - Shibari - Kamino</t>
        </is>
      </c>
      <c r="D260" t="n">
        <v>128</v>
      </c>
      <c r="E260" t="inlineStr">
        <is>
          <t>Love Cabaret</t>
        </is>
      </c>
      <c r="F260" s="27" t="n">
        <v>45999</v>
      </c>
      <c r="G260" t="inlineStr">
        <is>
          <t>DEBITO</t>
        </is>
      </c>
      <c r="H260" t="inlineStr">
        <is>
          <t>Dudom</t>
        </is>
      </c>
      <c r="I260" t="n">
        <v>-1600</v>
      </c>
    </row>
    <row r="261">
      <c r="A261" t="n">
        <v>199432</v>
      </c>
      <c r="B261" t="n">
        <v>182</v>
      </c>
      <c r="C261" t="inlineStr">
        <is>
          <t>Love - Shibari - Kamino</t>
        </is>
      </c>
      <c r="D261" t="n">
        <v>128</v>
      </c>
      <c r="E261" t="inlineStr">
        <is>
          <t>Love Cabaret</t>
        </is>
      </c>
      <c r="F261" s="27" t="n">
        <v>45999</v>
      </c>
      <c r="G261" t="inlineStr">
        <is>
          <t>DEBITO</t>
        </is>
      </c>
      <c r="H261" t="inlineStr">
        <is>
          <t>Puxuri Consultoria Ltda</t>
        </is>
      </c>
      <c r="I261" t="n">
        <v>-4000</v>
      </c>
    </row>
    <row r="262">
      <c r="A262" t="n">
        <v>199433</v>
      </c>
      <c r="B262" t="n">
        <v>182</v>
      </c>
      <c r="C262" t="inlineStr">
        <is>
          <t>Love - Shibari - Kamino</t>
        </is>
      </c>
      <c r="D262" t="n">
        <v>128</v>
      </c>
      <c r="E262" t="inlineStr">
        <is>
          <t>Love Cabaret</t>
        </is>
      </c>
      <c r="F262" s="27" t="n">
        <v>45999</v>
      </c>
      <c r="G262" t="inlineStr">
        <is>
          <t>DEBITO</t>
        </is>
      </c>
      <c r="H262" t="inlineStr">
        <is>
          <t>Eureka Technology Ltda</t>
        </is>
      </c>
      <c r="I262" t="n">
        <v>-420</v>
      </c>
    </row>
    <row r="263">
      <c r="A263" t="n">
        <v>199434</v>
      </c>
      <c r="B263" t="n">
        <v>182</v>
      </c>
      <c r="C263" t="inlineStr">
        <is>
          <t>Love - Shibari - Kamino</t>
        </is>
      </c>
      <c r="D263" t="n">
        <v>128</v>
      </c>
      <c r="E263" t="inlineStr">
        <is>
          <t>Love Cabaret</t>
        </is>
      </c>
      <c r="F263" s="27" t="n">
        <v>45999</v>
      </c>
      <c r="G263" t="inlineStr">
        <is>
          <t>DEBITO</t>
        </is>
      </c>
      <c r="H263" t="inlineStr">
        <is>
          <t>55.774.785 Thiago Pinheiro da Silva</t>
        </is>
      </c>
      <c r="I263" t="n">
        <v>-1125</v>
      </c>
    </row>
    <row r="264">
      <c r="A264" t="n">
        <v>199435</v>
      </c>
      <c r="B264" t="n">
        <v>182</v>
      </c>
      <c r="C264" t="inlineStr">
        <is>
          <t>Love - Shibari - Kamino</t>
        </is>
      </c>
      <c r="D264" t="n">
        <v>128</v>
      </c>
      <c r="E264" t="inlineStr">
        <is>
          <t>Love Cabaret</t>
        </is>
      </c>
      <c r="F264" s="27" t="n">
        <v>45999</v>
      </c>
      <c r="G264" t="inlineStr">
        <is>
          <t>DEBITO</t>
        </is>
      </c>
      <c r="H264" t="inlineStr">
        <is>
          <t>53.068.043 Isabella Fernandes Gomes</t>
        </is>
      </c>
      <c r="I264" t="n">
        <v>-1200</v>
      </c>
    </row>
    <row r="265">
      <c r="A265" t="n">
        <v>199436</v>
      </c>
      <c r="B265" t="n">
        <v>182</v>
      </c>
      <c r="C265" t="inlineStr">
        <is>
          <t>Love - Shibari - Kamino</t>
        </is>
      </c>
      <c r="D265" t="n">
        <v>128</v>
      </c>
      <c r="E265" t="inlineStr">
        <is>
          <t>Love Cabaret</t>
        </is>
      </c>
      <c r="F265" s="27" t="n">
        <v>45999</v>
      </c>
      <c r="G265" t="inlineStr">
        <is>
          <t>DEBITO</t>
        </is>
      </c>
      <c r="H265" t="inlineStr">
        <is>
          <t>Paramu Comercio R P a Ltda</t>
        </is>
      </c>
      <c r="I265" t="n">
        <v>-168.3</v>
      </c>
    </row>
    <row r="266">
      <c r="A266" t="n">
        <v>199437</v>
      </c>
      <c r="B266" t="n">
        <v>182</v>
      </c>
      <c r="C266" t="inlineStr">
        <is>
          <t>Love - Shibari - Kamino</t>
        </is>
      </c>
      <c r="D266" t="n">
        <v>128</v>
      </c>
      <c r="E266" t="inlineStr">
        <is>
          <t>Love Cabaret</t>
        </is>
      </c>
      <c r="F266" s="27" t="n">
        <v>45999</v>
      </c>
      <c r="G266" t="inlineStr">
        <is>
          <t>DEBITO</t>
        </is>
      </c>
      <c r="H266" t="inlineStr">
        <is>
          <t>Indra Haretrava</t>
        </is>
      </c>
      <c r="I266" t="n">
        <v>-7420</v>
      </c>
    </row>
    <row r="267">
      <c r="A267" t="n">
        <v>199438</v>
      </c>
      <c r="B267" t="n">
        <v>182</v>
      </c>
      <c r="C267" t="inlineStr">
        <is>
          <t>Love - Shibari - Kamino</t>
        </is>
      </c>
      <c r="D267" t="n">
        <v>128</v>
      </c>
      <c r="E267" t="inlineStr">
        <is>
          <t>Love Cabaret</t>
        </is>
      </c>
      <c r="F267" s="27" t="n">
        <v>45999</v>
      </c>
      <c r="G267" t="inlineStr">
        <is>
          <t>DEBITO</t>
        </is>
      </c>
      <c r="H267" t="inlineStr">
        <is>
          <t>61.841.484 Peterson Patrik Costa Barbosa</t>
        </is>
      </c>
      <c r="I267" t="n">
        <v>-200</v>
      </c>
    </row>
    <row r="268">
      <c r="A268" t="n">
        <v>199439</v>
      </c>
      <c r="B268" t="n">
        <v>182</v>
      </c>
      <c r="C268" t="inlineStr">
        <is>
          <t>Love - Shibari - Kamino</t>
        </is>
      </c>
      <c r="D268" t="n">
        <v>128</v>
      </c>
      <c r="E268" t="inlineStr">
        <is>
          <t>Love Cabaret</t>
        </is>
      </c>
      <c r="F268" s="27" t="n">
        <v>45999</v>
      </c>
      <c r="G268" t="inlineStr">
        <is>
          <t>DEBITO</t>
        </is>
      </c>
      <c r="H268" t="inlineStr">
        <is>
          <t>Douglas Felipe Domingues Gonalves</t>
        </is>
      </c>
      <c r="I268" t="n">
        <v>-4100</v>
      </c>
    </row>
    <row r="269">
      <c r="A269" t="n">
        <v>199441</v>
      </c>
      <c r="B269" t="n">
        <v>182</v>
      </c>
      <c r="C269" t="inlineStr">
        <is>
          <t>Love - Shibari - Kamino</t>
        </is>
      </c>
      <c r="D269" t="n">
        <v>128</v>
      </c>
      <c r="E269" t="inlineStr">
        <is>
          <t>Love Cabaret</t>
        </is>
      </c>
      <c r="F269" s="27" t="n">
        <v>45999</v>
      </c>
      <c r="G269" t="inlineStr">
        <is>
          <t>DEBITO</t>
        </is>
      </c>
      <c r="H269" t="inlineStr">
        <is>
          <t>Macro Contabilidade C Ltda</t>
        </is>
      </c>
      <c r="I269" t="n">
        <v>-1602.23</v>
      </c>
    </row>
    <row r="270">
      <c r="A270" t="n">
        <v>199455</v>
      </c>
      <c r="B270" t="n">
        <v>182</v>
      </c>
      <c r="C270" t="inlineStr">
        <is>
          <t>Love - Shibari - Kamino</t>
        </is>
      </c>
      <c r="D270" t="n">
        <v>128</v>
      </c>
      <c r="E270" t="inlineStr">
        <is>
          <t>Love Cabaret</t>
        </is>
      </c>
      <c r="F270" s="27" t="n">
        <v>45999</v>
      </c>
      <c r="G270" t="inlineStr">
        <is>
          <t>DEBITO</t>
        </is>
      </c>
      <c r="H270" t="inlineStr">
        <is>
          <t>Stemme Telecomunicacoes do Brasil Ltda.</t>
        </is>
      </c>
      <c r="I270" t="n">
        <v>-299.99</v>
      </c>
    </row>
    <row r="271">
      <c r="A271" t="n">
        <v>199453</v>
      </c>
      <c r="B271" t="n">
        <v>182</v>
      </c>
      <c r="C271" t="inlineStr">
        <is>
          <t>Love - Shibari - Kamino</t>
        </is>
      </c>
      <c r="D271" t="n">
        <v>128</v>
      </c>
      <c r="E271" t="inlineStr">
        <is>
          <t>Love Cabaret</t>
        </is>
      </c>
      <c r="F271" s="27" t="n">
        <v>45999</v>
      </c>
      <c r="G271" t="inlineStr">
        <is>
          <t>DEBITO</t>
        </is>
      </c>
      <c r="H271" t="inlineStr">
        <is>
          <t>Get In Tecnologia Ltda</t>
        </is>
      </c>
      <c r="I271" t="n">
        <v>-957.6</v>
      </c>
    </row>
    <row r="272">
      <c r="A272" t="n">
        <v>199452</v>
      </c>
      <c r="B272" t="n">
        <v>182</v>
      </c>
      <c r="C272" t="inlineStr">
        <is>
          <t>Love - Shibari - Kamino</t>
        </is>
      </c>
      <c r="D272" t="n">
        <v>128</v>
      </c>
      <c r="E272" t="inlineStr">
        <is>
          <t>Love Cabaret</t>
        </is>
      </c>
      <c r="F272" s="27" t="n">
        <v>45999</v>
      </c>
      <c r="G272" t="inlineStr">
        <is>
          <t>DEBITO</t>
        </is>
      </c>
      <c r="H272" t="inlineStr">
        <is>
          <t>Btard Padaria Artesanal Ltda</t>
        </is>
      </c>
      <c r="I272" t="n">
        <v>-168</v>
      </c>
    </row>
    <row r="273">
      <c r="A273" t="n">
        <v>199451</v>
      </c>
      <c r="B273" t="n">
        <v>182</v>
      </c>
      <c r="C273" t="inlineStr">
        <is>
          <t>Love - Shibari - Kamino</t>
        </is>
      </c>
      <c r="D273" t="n">
        <v>128</v>
      </c>
      <c r="E273" t="inlineStr">
        <is>
          <t>Love Cabaret</t>
        </is>
      </c>
      <c r="F273" s="27" t="n">
        <v>45999</v>
      </c>
      <c r="G273" t="inlineStr">
        <is>
          <t>DEBITO</t>
        </is>
      </c>
      <c r="H273" t="inlineStr">
        <is>
          <t>Brh Saude Ocupacional Ltda Epp</t>
        </is>
      </c>
      <c r="I273" t="n">
        <v>-131.58</v>
      </c>
    </row>
    <row r="274">
      <c r="A274" t="n">
        <v>199440</v>
      </c>
      <c r="B274" t="n">
        <v>182</v>
      </c>
      <c r="C274" t="inlineStr">
        <is>
          <t>Love - Shibari - Kamino</t>
        </is>
      </c>
      <c r="D274" t="n">
        <v>128</v>
      </c>
      <c r="E274" t="inlineStr">
        <is>
          <t>Love Cabaret</t>
        </is>
      </c>
      <c r="F274" s="27" t="n">
        <v>45999</v>
      </c>
      <c r="G274" t="inlineStr">
        <is>
          <t>DEBITO</t>
        </is>
      </c>
      <c r="H274" t="inlineStr">
        <is>
          <t>Tamara Santos Ribeiro</t>
        </is>
      </c>
      <c r="I274" t="n">
        <v>-3500</v>
      </c>
    </row>
    <row r="275">
      <c r="A275" t="n">
        <v>199449</v>
      </c>
      <c r="B275" t="n">
        <v>182</v>
      </c>
      <c r="C275" t="inlineStr">
        <is>
          <t>Love - Shibari - Kamino</t>
        </is>
      </c>
      <c r="D275" t="n">
        <v>128</v>
      </c>
      <c r="E275" t="inlineStr">
        <is>
          <t>Love Cabaret</t>
        </is>
      </c>
      <c r="F275" s="27" t="n">
        <v>45999</v>
      </c>
      <c r="G275" t="inlineStr">
        <is>
          <t>DEBITO</t>
        </is>
      </c>
      <c r="H275" t="inlineStr">
        <is>
          <t>Pss - Central da Limpeza Ltda</t>
        </is>
      </c>
      <c r="I275" t="n">
        <v>-1115.4</v>
      </c>
    </row>
    <row r="276">
      <c r="A276" t="n">
        <v>199448</v>
      </c>
      <c r="B276" t="n">
        <v>182</v>
      </c>
      <c r="C276" t="inlineStr">
        <is>
          <t>Love - Shibari - Kamino</t>
        </is>
      </c>
      <c r="D276" t="n">
        <v>128</v>
      </c>
      <c r="E276" t="inlineStr">
        <is>
          <t>Love Cabaret</t>
        </is>
      </c>
      <c r="F276" s="27" t="n">
        <v>45999</v>
      </c>
      <c r="G276" t="inlineStr">
        <is>
          <t>DEBITO</t>
        </is>
      </c>
      <c r="H276" t="inlineStr">
        <is>
          <t>Fg7 Comercio D B Eireli Epp</t>
        </is>
      </c>
      <c r="I276" t="n">
        <v>-1261.8</v>
      </c>
    </row>
    <row r="277">
      <c r="A277" t="n">
        <v>199447</v>
      </c>
      <c r="B277" t="n">
        <v>182</v>
      </c>
      <c r="C277" t="inlineStr">
        <is>
          <t>Love - Shibari - Kamino</t>
        </is>
      </c>
      <c r="D277" t="n">
        <v>128</v>
      </c>
      <c r="E277" t="inlineStr">
        <is>
          <t>Love Cabaret</t>
        </is>
      </c>
      <c r="F277" s="27" t="n">
        <v>45999</v>
      </c>
      <c r="G277" t="inlineStr">
        <is>
          <t>DEBITO</t>
        </is>
      </c>
      <c r="H277" t="inlineStr">
        <is>
          <t>Estaff Solucoes Tecnologicas de Agenciam</t>
        </is>
      </c>
      <c r="I277" t="n">
        <v>-22269.5</v>
      </c>
    </row>
    <row r="278">
      <c r="A278" t="n">
        <v>199446</v>
      </c>
      <c r="B278" t="n">
        <v>182</v>
      </c>
      <c r="C278" t="inlineStr">
        <is>
          <t>Love - Shibari - Kamino</t>
        </is>
      </c>
      <c r="D278" t="n">
        <v>128</v>
      </c>
      <c r="E278" t="inlineStr">
        <is>
          <t>Love Cabaret</t>
        </is>
      </c>
      <c r="F278" s="27" t="n">
        <v>45999</v>
      </c>
      <c r="G278" t="inlineStr">
        <is>
          <t>DEBITO</t>
        </is>
      </c>
      <c r="H278" t="inlineStr">
        <is>
          <t>Laisa Rocha Lrangeira</t>
        </is>
      </c>
      <c r="I278" t="n">
        <v>-1600</v>
      </c>
    </row>
    <row r="279">
      <c r="A279" t="n">
        <v>199445</v>
      </c>
      <c r="B279" t="n">
        <v>182</v>
      </c>
      <c r="C279" t="inlineStr">
        <is>
          <t>Love - Shibari - Kamino</t>
        </is>
      </c>
      <c r="D279" t="n">
        <v>128</v>
      </c>
      <c r="E279" t="inlineStr">
        <is>
          <t>Love Cabaret</t>
        </is>
      </c>
      <c r="F279" s="27" t="n">
        <v>45999</v>
      </c>
      <c r="G279" t="inlineStr">
        <is>
          <t>DEBITO</t>
        </is>
      </c>
      <c r="H279" t="inlineStr">
        <is>
          <t>Felipe Ferreira Franca 36496185832</t>
        </is>
      </c>
      <c r="I279" t="n">
        <v>-3250</v>
      </c>
    </row>
    <row r="280">
      <c r="A280" t="n">
        <v>199444</v>
      </c>
      <c r="B280" t="n">
        <v>182</v>
      </c>
      <c r="C280" t="inlineStr">
        <is>
          <t>Love - Shibari - Kamino</t>
        </is>
      </c>
      <c r="D280" t="n">
        <v>128</v>
      </c>
      <c r="E280" t="inlineStr">
        <is>
          <t>Love Cabaret</t>
        </is>
      </c>
      <c r="F280" s="27" t="n">
        <v>45999</v>
      </c>
      <c r="G280" t="inlineStr">
        <is>
          <t>DEBITO</t>
        </is>
      </c>
      <c r="H280" t="inlineStr">
        <is>
          <t>Mve Delazari R M S Prevencao</t>
        </is>
      </c>
      <c r="I280" t="n">
        <v>-2205</v>
      </c>
    </row>
    <row r="281">
      <c r="A281" t="n">
        <v>199443</v>
      </c>
      <c r="B281" t="n">
        <v>182</v>
      </c>
      <c r="C281" t="inlineStr">
        <is>
          <t>Love - Shibari - Kamino</t>
        </is>
      </c>
      <c r="D281" t="n">
        <v>128</v>
      </c>
      <c r="E281" t="inlineStr">
        <is>
          <t>Love Cabaret</t>
        </is>
      </c>
      <c r="F281" s="27" t="n">
        <v>45999</v>
      </c>
      <c r="G281" t="inlineStr">
        <is>
          <t>DEBITO</t>
        </is>
      </c>
      <c r="H281" t="inlineStr">
        <is>
          <t>Tempus Fugit Participacoes e Empreendimentos Ltda</t>
        </is>
      </c>
      <c r="I281" t="n">
        <v>-229.26</v>
      </c>
    </row>
    <row r="282">
      <c r="A282" t="n">
        <v>199442</v>
      </c>
      <c r="B282" t="n">
        <v>182</v>
      </c>
      <c r="C282" t="inlineStr">
        <is>
          <t>Love - Shibari - Kamino</t>
        </is>
      </c>
      <c r="D282" t="n">
        <v>128</v>
      </c>
      <c r="E282" t="inlineStr">
        <is>
          <t>Love Cabaret</t>
        </is>
      </c>
      <c r="F282" s="27" t="n">
        <v>45999</v>
      </c>
      <c r="G282" t="inlineStr">
        <is>
          <t>DEBITO</t>
        </is>
      </c>
      <c r="H282" t="inlineStr">
        <is>
          <t>32.669.435 Malka Julieta Bijelli Ferreira</t>
        </is>
      </c>
      <c r="I282" t="n">
        <v>-600</v>
      </c>
    </row>
    <row r="283">
      <c r="A283" t="n">
        <v>199126</v>
      </c>
      <c r="B283" t="n">
        <v>115</v>
      </c>
      <c r="C283" t="inlineStr">
        <is>
          <t>Love - Shibari - Bradesco</t>
        </is>
      </c>
      <c r="D283" t="n">
        <v>128</v>
      </c>
      <c r="E283" t="inlineStr">
        <is>
          <t>Love Cabaret</t>
        </is>
      </c>
      <c r="F283" s="27" t="n">
        <v>45996.5</v>
      </c>
      <c r="G283" t="inlineStr">
        <is>
          <t>CREDITO</t>
        </is>
      </c>
      <c r="H283" t="inlineStr">
        <is>
          <t>TRANSFERENCIA PIX REM: Isadora Perez Alves P 05/12</t>
        </is>
      </c>
      <c r="I283" t="n">
        <v>155</v>
      </c>
    </row>
    <row r="284">
      <c r="A284" t="n">
        <v>199131</v>
      </c>
      <c r="B284" t="n">
        <v>115</v>
      </c>
      <c r="C284" t="inlineStr">
        <is>
          <t>Love - Shibari - Bradesco</t>
        </is>
      </c>
      <c r="D284" t="n">
        <v>128</v>
      </c>
      <c r="E284" t="inlineStr">
        <is>
          <t>Love Cabaret</t>
        </is>
      </c>
      <c r="F284" s="27" t="n">
        <v>45996.5</v>
      </c>
      <c r="G284" t="inlineStr">
        <is>
          <t>DEBITO</t>
        </is>
      </c>
      <c r="H284" t="inlineStr">
        <is>
          <t>PGTO SALARIO VIA NET EMP</t>
        </is>
      </c>
      <c r="I284" t="n">
        <v>-6904.6</v>
      </c>
    </row>
    <row r="285">
      <c r="A285" t="n">
        <v>199130</v>
      </c>
      <c r="B285" t="n">
        <v>115</v>
      </c>
      <c r="C285" t="inlineStr">
        <is>
          <t>Love - Shibari - Bradesco</t>
        </is>
      </c>
      <c r="D285" t="n">
        <v>128</v>
      </c>
      <c r="E285" t="inlineStr">
        <is>
          <t>Love Cabaret</t>
        </is>
      </c>
      <c r="F285" s="27" t="n">
        <v>45996.5</v>
      </c>
      <c r="G285" t="inlineStr">
        <is>
          <t>DEBITO</t>
        </is>
      </c>
      <c r="H285" t="inlineStr">
        <is>
          <t>PAGTO ELETRON  COBRANCA VERISURE BRASIL MONITORAMENTO DE</t>
        </is>
      </c>
      <c r="I285" t="n">
        <v>-270.11</v>
      </c>
    </row>
    <row r="286">
      <c r="A286" t="n">
        <v>199128</v>
      </c>
      <c r="B286" t="n">
        <v>115</v>
      </c>
      <c r="C286" t="inlineStr">
        <is>
          <t>Love - Shibari - Bradesco</t>
        </is>
      </c>
      <c r="D286" t="n">
        <v>128</v>
      </c>
      <c r="E286" t="inlineStr">
        <is>
          <t>Love Cabaret</t>
        </is>
      </c>
      <c r="F286" s="27" t="n">
        <v>45996.5</v>
      </c>
      <c r="G286" t="inlineStr">
        <is>
          <t>CREDITO</t>
        </is>
      </c>
      <c r="H286" t="inlineStr">
        <is>
          <t>TRANSFERENCIA PIX REM: Rafael Pediconi Monta 05/12</t>
        </is>
      </c>
      <c r="I286" t="n">
        <v>620</v>
      </c>
    </row>
    <row r="287">
      <c r="A287" t="n">
        <v>199127</v>
      </c>
      <c r="B287" t="n">
        <v>115</v>
      </c>
      <c r="C287" t="inlineStr">
        <is>
          <t>Love - Shibari - Bradesco</t>
        </is>
      </c>
      <c r="D287" t="n">
        <v>128</v>
      </c>
      <c r="E287" t="inlineStr">
        <is>
          <t>Love Cabaret</t>
        </is>
      </c>
      <c r="F287" s="27" t="n">
        <v>45996.5</v>
      </c>
      <c r="G287" t="inlineStr">
        <is>
          <t>CREDITO</t>
        </is>
      </c>
      <c r="H287" t="inlineStr">
        <is>
          <t>TRANSFERENCIA PIX REM: Mayara Cristina Godin 05/12</t>
        </is>
      </c>
      <c r="I287" t="n">
        <v>540</v>
      </c>
    </row>
    <row r="288">
      <c r="A288" t="n">
        <v>199125</v>
      </c>
      <c r="B288" t="n">
        <v>115</v>
      </c>
      <c r="C288" t="inlineStr">
        <is>
          <t>Love - Shibari - Bradesco</t>
        </is>
      </c>
      <c r="D288" t="n">
        <v>128</v>
      </c>
      <c r="E288" t="inlineStr">
        <is>
          <t>Love Cabaret</t>
        </is>
      </c>
      <c r="F288" s="27" t="n">
        <v>45996.5</v>
      </c>
      <c r="G288" t="inlineStr">
        <is>
          <t>CREDITO</t>
        </is>
      </c>
      <c r="H288" t="inlineStr">
        <is>
          <t>TED-TRANSF ELET DISPON REMET.SYMPLA INTERNET SOLU</t>
        </is>
      </c>
      <c r="I288" t="n">
        <v>4269.53</v>
      </c>
    </row>
    <row r="289">
      <c r="A289" t="n">
        <v>199124</v>
      </c>
      <c r="B289" t="n">
        <v>115</v>
      </c>
      <c r="C289" t="inlineStr">
        <is>
          <t>Love - Shibari - Bradesco</t>
        </is>
      </c>
      <c r="D289" t="n">
        <v>128</v>
      </c>
      <c r="E289" t="inlineStr">
        <is>
          <t>Love Cabaret</t>
        </is>
      </c>
      <c r="F289" s="27" t="n">
        <v>45995.5</v>
      </c>
      <c r="G289" t="inlineStr">
        <is>
          <t>CREDITO</t>
        </is>
      </c>
      <c r="H289" t="inlineStr">
        <is>
          <t>TRANSFERENCIA PIX REM: RAPHAELLA AVENA CARDO 04/12</t>
        </is>
      </c>
      <c r="I289" t="n">
        <v>186</v>
      </c>
    </row>
    <row r="290">
      <c r="A290" t="n">
        <v>199123</v>
      </c>
      <c r="B290" t="n">
        <v>115</v>
      </c>
      <c r="C290" t="inlineStr">
        <is>
          <t>Love - Shibari - Bradesco</t>
        </is>
      </c>
      <c r="D290" t="n">
        <v>128</v>
      </c>
      <c r="E290" t="inlineStr">
        <is>
          <t>Love Cabaret</t>
        </is>
      </c>
      <c r="F290" s="27" t="n">
        <v>45995.5</v>
      </c>
      <c r="G290" t="inlineStr">
        <is>
          <t>CREDITO</t>
        </is>
      </c>
      <c r="H290" t="inlineStr">
        <is>
          <t>TED-TRANSF ELET DISPON REMET.SYMPLA INTERNET SOLU</t>
        </is>
      </c>
      <c r="I290" t="n">
        <v>27020</v>
      </c>
    </row>
    <row r="291">
      <c r="A291" t="n">
        <v>199424</v>
      </c>
      <c r="B291" t="n">
        <v>182</v>
      </c>
      <c r="C291" t="inlineStr">
        <is>
          <t>Love - Shibari - Kamino</t>
        </is>
      </c>
      <c r="D291" t="n">
        <v>128</v>
      </c>
      <c r="E291" t="inlineStr">
        <is>
          <t>Love Cabaret</t>
        </is>
      </c>
      <c r="F291" s="27" t="n">
        <v>45995</v>
      </c>
      <c r="G291" t="inlineStr">
        <is>
          <t>DEBITO</t>
        </is>
      </c>
      <c r="H291" t="inlineStr">
        <is>
          <t>KAMINO INSTITUICAO DE PAGAMENTO LTDA</t>
        </is>
      </c>
      <c r="I291" t="n">
        <v>-2749.56</v>
      </c>
    </row>
    <row r="292">
      <c r="A292" t="n">
        <v>199423</v>
      </c>
      <c r="B292" t="n">
        <v>182</v>
      </c>
      <c r="C292" t="inlineStr">
        <is>
          <t>Love - Shibari - Kamino</t>
        </is>
      </c>
      <c r="D292" t="n">
        <v>128</v>
      </c>
      <c r="E292" t="inlineStr">
        <is>
          <t>Love Cabaret</t>
        </is>
      </c>
      <c r="F292" s="27" t="n">
        <v>45995</v>
      </c>
      <c r="G292" t="inlineStr">
        <is>
          <t>DEBITO</t>
        </is>
      </c>
      <c r="H292" t="inlineStr">
        <is>
          <t>Versa Marketing e Comunicacao Ltda</t>
        </is>
      </c>
      <c r="I292" t="n">
        <v>-8000</v>
      </c>
    </row>
    <row r="293">
      <c r="A293" t="n">
        <v>199422</v>
      </c>
      <c r="B293" t="n">
        <v>182</v>
      </c>
      <c r="C293" t="inlineStr">
        <is>
          <t>Love - Shibari - Kamino</t>
        </is>
      </c>
      <c r="D293" t="n">
        <v>128</v>
      </c>
      <c r="E293" t="inlineStr">
        <is>
          <t>Love Cabaret</t>
        </is>
      </c>
      <c r="F293" s="27" t="n">
        <v>45995</v>
      </c>
      <c r="G293" t="inlineStr">
        <is>
          <t>DEBITO</t>
        </is>
      </c>
      <c r="H293" t="inlineStr">
        <is>
          <t>Estaff Solucoes Tecnologicas de Agenciam</t>
        </is>
      </c>
      <c r="I293" t="n">
        <v>-17831</v>
      </c>
    </row>
    <row r="294">
      <c r="A294" t="n">
        <v>199421</v>
      </c>
      <c r="B294" t="n">
        <v>182</v>
      </c>
      <c r="C294" t="inlineStr">
        <is>
          <t>Love - Shibari - Kamino</t>
        </is>
      </c>
      <c r="D294" t="n">
        <v>128</v>
      </c>
      <c r="E294" t="inlineStr">
        <is>
          <t>Love Cabaret</t>
        </is>
      </c>
      <c r="F294" s="27" t="n">
        <v>45995</v>
      </c>
      <c r="G294" t="inlineStr">
        <is>
          <t>DEBITO</t>
        </is>
      </c>
      <c r="H294" t="inlineStr">
        <is>
          <t>Aurora Alvorada Estacionamento e Lanchon</t>
        </is>
      </c>
      <c r="I294" t="n">
        <v>-256.91</v>
      </c>
    </row>
    <row r="295">
      <c r="A295" t="n">
        <v>199122</v>
      </c>
      <c r="B295" t="n">
        <v>115</v>
      </c>
      <c r="C295" t="inlineStr">
        <is>
          <t>Love - Shibari - Bradesco</t>
        </is>
      </c>
      <c r="D295" t="n">
        <v>128</v>
      </c>
      <c r="E295" t="inlineStr">
        <is>
          <t>Love Cabaret</t>
        </is>
      </c>
      <c r="F295" s="27" t="n">
        <v>45994.5</v>
      </c>
      <c r="G295" t="inlineStr">
        <is>
          <t>DEBITO</t>
        </is>
      </c>
      <c r="H295" t="inlineStr">
        <is>
          <t>TARIFA BANCARIA TRANSF PGTO PIX</t>
        </is>
      </c>
      <c r="I295" t="n">
        <v>-9.800000000000001</v>
      </c>
    </row>
    <row r="296">
      <c r="A296" t="n">
        <v>199121</v>
      </c>
      <c r="B296" t="n">
        <v>115</v>
      </c>
      <c r="C296" t="inlineStr">
        <is>
          <t>Love - Shibari - Bradesco</t>
        </is>
      </c>
      <c r="D296" t="n">
        <v>128</v>
      </c>
      <c r="E296" t="inlineStr">
        <is>
          <t>Love Cabaret</t>
        </is>
      </c>
      <c r="F296" s="27" t="n">
        <v>45994.5</v>
      </c>
      <c r="G296" t="inlineStr">
        <is>
          <t>CREDITO</t>
        </is>
      </c>
      <c r="H296" t="inlineStr">
        <is>
          <t>DEP DINHEIRO ATM AG00095MAQ060513SEQ08227</t>
        </is>
      </c>
      <c r="I296" t="n">
        <v>1100</v>
      </c>
    </row>
    <row r="297">
      <c r="A297" t="n">
        <v>199120</v>
      </c>
      <c r="B297" t="n">
        <v>115</v>
      </c>
      <c r="C297" t="inlineStr">
        <is>
          <t>Love - Shibari - Bradesco</t>
        </is>
      </c>
      <c r="D297" t="n">
        <v>128</v>
      </c>
      <c r="E297" t="inlineStr">
        <is>
          <t>Love Cabaret</t>
        </is>
      </c>
      <c r="F297" s="27" t="n">
        <v>45994.5</v>
      </c>
      <c r="G297" t="inlineStr">
        <is>
          <t>CREDITO</t>
        </is>
      </c>
      <c r="H297" t="inlineStr">
        <is>
          <t>TED-TRANSF ELET DISPON REMET.SYMPLA INTERNET SOLU</t>
        </is>
      </c>
      <c r="I297" t="n">
        <v>12380</v>
      </c>
    </row>
    <row r="298">
      <c r="A298" t="n">
        <v>199119</v>
      </c>
      <c r="B298" t="n">
        <v>115</v>
      </c>
      <c r="C298" t="inlineStr">
        <is>
          <t>Love - Shibari - Bradesco</t>
        </is>
      </c>
      <c r="D298" t="n">
        <v>128</v>
      </c>
      <c r="E298" t="inlineStr">
        <is>
          <t>Love Cabaret</t>
        </is>
      </c>
      <c r="F298" s="27" t="n">
        <v>45994.5</v>
      </c>
      <c r="G298" t="inlineStr">
        <is>
          <t>CREDITO</t>
        </is>
      </c>
      <c r="H298" t="inlineStr">
        <is>
          <t>TED-TRANSF ELET DISPON REMET.SYMPLA INTERNET SOLU</t>
        </is>
      </c>
      <c r="I298" t="n">
        <v>5555</v>
      </c>
    </row>
    <row r="299">
      <c r="A299" t="n">
        <v>199408</v>
      </c>
      <c r="B299" t="n">
        <v>182</v>
      </c>
      <c r="C299" t="inlineStr">
        <is>
          <t>Love - Shibari - Kamino</t>
        </is>
      </c>
      <c r="D299" t="n">
        <v>128</v>
      </c>
      <c r="E299" t="inlineStr">
        <is>
          <t>Love Cabaret</t>
        </is>
      </c>
      <c r="F299" s="27" t="n">
        <v>45994</v>
      </c>
      <c r="G299" t="inlineStr">
        <is>
          <t>DEBITO</t>
        </is>
      </c>
      <c r="H299" t="inlineStr">
        <is>
          <t>Edjane Dantas de Almeida Sousa</t>
        </is>
      </c>
      <c r="I299" t="n">
        <v>-1200</v>
      </c>
    </row>
    <row r="300">
      <c r="A300" t="n">
        <v>199407</v>
      </c>
      <c r="B300" t="n">
        <v>182</v>
      </c>
      <c r="C300" t="inlineStr">
        <is>
          <t>Love - Shibari - Kamino</t>
        </is>
      </c>
      <c r="D300" t="n">
        <v>128</v>
      </c>
      <c r="E300" t="inlineStr">
        <is>
          <t>Love Cabaret</t>
        </is>
      </c>
      <c r="F300" s="27" t="n">
        <v>45994</v>
      </c>
      <c r="G300" t="inlineStr">
        <is>
          <t>DEBITO</t>
        </is>
      </c>
      <c r="H300" t="inlineStr">
        <is>
          <t>55.866.682 Mateus Silveira Cezar</t>
        </is>
      </c>
      <c r="I300" t="n">
        <v>-500</v>
      </c>
    </row>
    <row r="301">
      <c r="A301" t="n">
        <v>199406</v>
      </c>
      <c r="B301" t="n">
        <v>182</v>
      </c>
      <c r="C301" t="inlineStr">
        <is>
          <t>Love - Shibari - Kamino</t>
        </is>
      </c>
      <c r="D301" t="n">
        <v>128</v>
      </c>
      <c r="E301" t="inlineStr">
        <is>
          <t>Love Cabaret</t>
        </is>
      </c>
      <c r="F301" s="27" t="n">
        <v>45994</v>
      </c>
      <c r="G301" t="inlineStr">
        <is>
          <t>DEBITO</t>
        </is>
      </c>
      <c r="H301" t="inlineStr">
        <is>
          <t>Eletropaulo Metropolitana</t>
        </is>
      </c>
      <c r="I301" t="n">
        <v>-11621.5</v>
      </c>
    </row>
    <row r="302">
      <c r="A302" t="n">
        <v>199405</v>
      </c>
      <c r="B302" t="n">
        <v>182</v>
      </c>
      <c r="C302" t="inlineStr">
        <is>
          <t>Love - Shibari - Kamino</t>
        </is>
      </c>
      <c r="D302" t="n">
        <v>128</v>
      </c>
      <c r="E302" t="inlineStr">
        <is>
          <t>Love Cabaret</t>
        </is>
      </c>
      <c r="F302" s="27" t="n">
        <v>45994</v>
      </c>
      <c r="G302" t="inlineStr">
        <is>
          <t>DEBITO</t>
        </is>
      </c>
      <c r="H302" t="inlineStr">
        <is>
          <t>Telefonica Brasil S.A.</t>
        </is>
      </c>
      <c r="I302" t="n">
        <v>-223.82</v>
      </c>
    </row>
    <row r="303">
      <c r="A303" t="n">
        <v>199404</v>
      </c>
      <c r="B303" t="n">
        <v>182</v>
      </c>
      <c r="C303" t="inlineStr">
        <is>
          <t>Love - Shibari - Kamino</t>
        </is>
      </c>
      <c r="D303" t="n">
        <v>128</v>
      </c>
      <c r="E303" t="inlineStr">
        <is>
          <t>Love Cabaret</t>
        </is>
      </c>
      <c r="F303" s="27" t="n">
        <v>45994</v>
      </c>
      <c r="G303" t="inlineStr">
        <is>
          <t>DEBITO</t>
        </is>
      </c>
      <c r="H303" t="inlineStr">
        <is>
          <t>55.866.682 Mateus Silveira Cezar</t>
        </is>
      </c>
      <c r="I303" t="n">
        <v>-1800</v>
      </c>
    </row>
    <row r="304">
      <c r="A304" t="n">
        <v>199403</v>
      </c>
      <c r="B304" t="n">
        <v>182</v>
      </c>
      <c r="C304" t="inlineStr">
        <is>
          <t>Love - Shibari - Kamino</t>
        </is>
      </c>
      <c r="D304" t="n">
        <v>128</v>
      </c>
      <c r="E304" t="inlineStr">
        <is>
          <t>Love Cabaret</t>
        </is>
      </c>
      <c r="F304" s="27" t="n">
        <v>45994</v>
      </c>
      <c r="G304" t="inlineStr">
        <is>
          <t>DEBITO</t>
        </is>
      </c>
      <c r="H304" t="inlineStr">
        <is>
          <t>Telefonica Brasil S.A.</t>
        </is>
      </c>
      <c r="I304" t="n">
        <v>-487.66</v>
      </c>
    </row>
    <row r="305">
      <c r="A305" t="n">
        <v>199409</v>
      </c>
      <c r="B305" t="n">
        <v>182</v>
      </c>
      <c r="C305" t="inlineStr">
        <is>
          <t>Love - Shibari - Kamino</t>
        </is>
      </c>
      <c r="D305" t="n">
        <v>128</v>
      </c>
      <c r="E305" t="inlineStr">
        <is>
          <t>Love Cabaret</t>
        </is>
      </c>
      <c r="F305" s="27" t="n">
        <v>45994</v>
      </c>
      <c r="G305" t="inlineStr">
        <is>
          <t>DEBITO</t>
        </is>
      </c>
      <c r="H305" t="inlineStr">
        <is>
          <t>Eletropaulo Metropolitana</t>
        </is>
      </c>
      <c r="I305" t="n">
        <v>-105.21</v>
      </c>
    </row>
    <row r="306">
      <c r="A306" t="n">
        <v>199410</v>
      </c>
      <c r="B306" t="n">
        <v>182</v>
      </c>
      <c r="C306" t="inlineStr">
        <is>
          <t>Love - Shibari - Kamino</t>
        </is>
      </c>
      <c r="D306" t="n">
        <v>128</v>
      </c>
      <c r="E306" t="inlineStr">
        <is>
          <t>Love Cabaret</t>
        </is>
      </c>
      <c r="F306" s="27" t="n">
        <v>45994</v>
      </c>
      <c r="G306" t="inlineStr">
        <is>
          <t>DEBITO</t>
        </is>
      </c>
      <c r="H306" t="inlineStr">
        <is>
          <t>Easy Ice Solution Ltda Me</t>
        </is>
      </c>
      <c r="I306" t="n">
        <v>-1600</v>
      </c>
    </row>
    <row r="307">
      <c r="A307" t="n">
        <v>199411</v>
      </c>
      <c r="B307" t="n">
        <v>182</v>
      </c>
      <c r="C307" t="inlineStr">
        <is>
          <t>Love - Shibari - Kamino</t>
        </is>
      </c>
      <c r="D307" t="n">
        <v>128</v>
      </c>
      <c r="E307" t="inlineStr">
        <is>
          <t>Love Cabaret</t>
        </is>
      </c>
      <c r="F307" s="27" t="n">
        <v>45994</v>
      </c>
      <c r="G307" t="inlineStr">
        <is>
          <t>DEBITO</t>
        </is>
      </c>
      <c r="H307" t="inlineStr">
        <is>
          <t>Cia do Whisky</t>
        </is>
      </c>
      <c r="I307" t="n">
        <v>-1477.95</v>
      </c>
    </row>
    <row r="308">
      <c r="A308" t="n">
        <v>199419</v>
      </c>
      <c r="B308" t="n">
        <v>182</v>
      </c>
      <c r="C308" t="inlineStr">
        <is>
          <t>Love - Shibari - Kamino</t>
        </is>
      </c>
      <c r="D308" t="n">
        <v>128</v>
      </c>
      <c r="E308" t="inlineStr">
        <is>
          <t>Love Cabaret</t>
        </is>
      </c>
      <c r="F308" s="27" t="n">
        <v>45994</v>
      </c>
      <c r="G308" t="inlineStr">
        <is>
          <t>DEBITO</t>
        </is>
      </c>
      <c r="H308" t="inlineStr">
        <is>
          <t>Eau Distribuidora a M Ltda</t>
        </is>
      </c>
      <c r="I308" t="n">
        <v>-241.5</v>
      </c>
    </row>
    <row r="309">
      <c r="A309" t="n">
        <v>199418</v>
      </c>
      <c r="B309" t="n">
        <v>182</v>
      </c>
      <c r="C309" t="inlineStr">
        <is>
          <t>Love - Shibari - Kamino</t>
        </is>
      </c>
      <c r="D309" t="n">
        <v>128</v>
      </c>
      <c r="E309" t="inlineStr">
        <is>
          <t>Love Cabaret</t>
        </is>
      </c>
      <c r="F309" s="27" t="n">
        <v>45994</v>
      </c>
      <c r="G309" t="inlineStr">
        <is>
          <t>DEBITO</t>
        </is>
      </c>
      <c r="H309" t="inlineStr">
        <is>
          <t>Ecad</t>
        </is>
      </c>
      <c r="I309" t="n">
        <v>-802.5</v>
      </c>
    </row>
    <row r="310">
      <c r="A310" t="n">
        <v>199417</v>
      </c>
      <c r="B310" t="n">
        <v>182</v>
      </c>
      <c r="C310" t="inlineStr">
        <is>
          <t>Love - Shibari - Kamino</t>
        </is>
      </c>
      <c r="D310" t="n">
        <v>128</v>
      </c>
      <c r="E310" t="inlineStr">
        <is>
          <t>Love Cabaret</t>
        </is>
      </c>
      <c r="F310" s="27" t="n">
        <v>45994</v>
      </c>
      <c r="G310" t="inlineStr">
        <is>
          <t>DEBITO</t>
        </is>
      </c>
      <c r="H310" t="inlineStr">
        <is>
          <t>Telefonica Brasil S.A.</t>
        </is>
      </c>
      <c r="I310" t="n">
        <v>-96.45999999999999</v>
      </c>
    </row>
    <row r="311">
      <c r="A311" t="n">
        <v>199416</v>
      </c>
      <c r="B311" t="n">
        <v>182</v>
      </c>
      <c r="C311" t="inlineStr">
        <is>
          <t>Love - Shibari - Kamino</t>
        </is>
      </c>
      <c r="D311" t="n">
        <v>128</v>
      </c>
      <c r="E311" t="inlineStr">
        <is>
          <t>Love Cabaret</t>
        </is>
      </c>
      <c r="F311" s="27" t="n">
        <v>45994</v>
      </c>
      <c r="G311" t="inlineStr">
        <is>
          <t>DEBITO</t>
        </is>
      </c>
      <c r="H311" t="inlineStr">
        <is>
          <t>Ice4pros Fabrica de Gelo Ltda</t>
        </is>
      </c>
      <c r="I311" t="n">
        <v>-834.75</v>
      </c>
    </row>
    <row r="312">
      <c r="A312" t="n">
        <v>199415</v>
      </c>
      <c r="B312" t="n">
        <v>182</v>
      </c>
      <c r="C312" t="inlineStr">
        <is>
          <t>Love - Shibari - Kamino</t>
        </is>
      </c>
      <c r="D312" t="n">
        <v>128</v>
      </c>
      <c r="E312" t="inlineStr">
        <is>
          <t>Love Cabaret</t>
        </is>
      </c>
      <c r="F312" s="27" t="n">
        <v>45994</v>
      </c>
      <c r="G312" t="inlineStr">
        <is>
          <t>DEBITO</t>
        </is>
      </c>
      <c r="H312" t="inlineStr">
        <is>
          <t>Mario Pedro Feliciano Hortifru</t>
        </is>
      </c>
      <c r="I312" t="n">
        <v>-30.4</v>
      </c>
    </row>
    <row r="313">
      <c r="A313" t="n">
        <v>199414</v>
      </c>
      <c r="B313" t="n">
        <v>182</v>
      </c>
      <c r="C313" t="inlineStr">
        <is>
          <t>Love - Shibari - Kamino</t>
        </is>
      </c>
      <c r="D313" t="n">
        <v>128</v>
      </c>
      <c r="E313" t="inlineStr">
        <is>
          <t>Love Cabaret</t>
        </is>
      </c>
      <c r="F313" s="27" t="n">
        <v>45994</v>
      </c>
      <c r="G313" t="inlineStr">
        <is>
          <t>DEBITO</t>
        </is>
      </c>
      <c r="H313" t="inlineStr">
        <is>
          <t>Telefonica Brasil S.A.</t>
        </is>
      </c>
      <c r="I313" t="n">
        <v>-21.71</v>
      </c>
    </row>
    <row r="314">
      <c r="A314" t="n">
        <v>199413</v>
      </c>
      <c r="B314" t="n">
        <v>182</v>
      </c>
      <c r="C314" t="inlineStr">
        <is>
          <t>Love - Shibari - Kamino</t>
        </is>
      </c>
      <c r="D314" t="n">
        <v>128</v>
      </c>
      <c r="E314" t="inlineStr">
        <is>
          <t>Love Cabaret</t>
        </is>
      </c>
      <c r="F314" s="27" t="n">
        <v>45994</v>
      </c>
      <c r="G314" t="inlineStr">
        <is>
          <t>DEBITO</t>
        </is>
      </c>
      <c r="H314" t="inlineStr">
        <is>
          <t>Horta Nova Distribuidora de Hortifruti L</t>
        </is>
      </c>
      <c r="I314" t="n">
        <v>-33.75</v>
      </c>
    </row>
    <row r="315">
      <c r="A315" t="n">
        <v>199412</v>
      </c>
      <c r="B315" t="n">
        <v>182</v>
      </c>
      <c r="C315" t="inlineStr">
        <is>
          <t>Love - Shibari - Kamino</t>
        </is>
      </c>
      <c r="D315" t="n">
        <v>128</v>
      </c>
      <c r="E315" t="inlineStr">
        <is>
          <t>Love Cabaret</t>
        </is>
      </c>
      <c r="F315" s="27" t="n">
        <v>45994</v>
      </c>
      <c r="G315" t="inlineStr">
        <is>
          <t>DEBITO</t>
        </is>
      </c>
      <c r="H315" t="inlineStr">
        <is>
          <t>Zahil Importadora Ltda</t>
        </is>
      </c>
      <c r="I315" t="n">
        <v>-1638.7</v>
      </c>
    </row>
    <row r="316">
      <c r="A316" t="n">
        <v>199420</v>
      </c>
      <c r="B316" t="n">
        <v>182</v>
      </c>
      <c r="C316" t="inlineStr">
        <is>
          <t>Love - Shibari - Kamino</t>
        </is>
      </c>
      <c r="D316" t="n">
        <v>128</v>
      </c>
      <c r="E316" t="inlineStr">
        <is>
          <t>Love Cabaret</t>
        </is>
      </c>
      <c r="F316" s="27" t="n">
        <v>45994</v>
      </c>
      <c r="G316" t="inlineStr">
        <is>
          <t>DEBITO</t>
        </is>
      </c>
      <c r="H316" t="inlineStr">
        <is>
          <t>King Comercio de Bebidas Ltda</t>
        </is>
      </c>
      <c r="I316" t="n">
        <v>-4557.22</v>
      </c>
    </row>
    <row r="317">
      <c r="A317" t="n">
        <v>199118</v>
      </c>
      <c r="B317" t="n">
        <v>115</v>
      </c>
      <c r="C317" t="inlineStr">
        <is>
          <t>Love - Shibari - Bradesco</t>
        </is>
      </c>
      <c r="D317" t="n">
        <v>128</v>
      </c>
      <c r="E317" t="inlineStr">
        <is>
          <t>Love Cabaret</t>
        </is>
      </c>
      <c r="F317" s="27" t="n">
        <v>45993.5</v>
      </c>
      <c r="G317" t="inlineStr">
        <is>
          <t>CREDITO</t>
        </is>
      </c>
      <c r="H317" t="inlineStr">
        <is>
          <t>TRANSFERENCIA PIX REM: Carolina Olivi Barbei 02/12</t>
        </is>
      </c>
      <c r="I317" t="n">
        <v>620</v>
      </c>
    </row>
    <row r="318">
      <c r="A318" t="n">
        <v>199117</v>
      </c>
      <c r="B318" t="n">
        <v>115</v>
      </c>
      <c r="C318" t="inlineStr">
        <is>
          <t>Love - Shibari - Bradesco</t>
        </is>
      </c>
      <c r="D318" t="n">
        <v>128</v>
      </c>
      <c r="E318" t="inlineStr">
        <is>
          <t>Love Cabaret</t>
        </is>
      </c>
      <c r="F318" s="27" t="n">
        <v>45993.5</v>
      </c>
      <c r="G318" t="inlineStr">
        <is>
          <t>CREDITO</t>
        </is>
      </c>
      <c r="H318" t="inlineStr">
        <is>
          <t>TRANSFERENCIA PIX REM: Lais Rocha da Silva   02/12</t>
        </is>
      </c>
      <c r="I318" t="n">
        <v>620</v>
      </c>
    </row>
    <row r="319">
      <c r="A319" t="n">
        <v>199116</v>
      </c>
      <c r="B319" t="n">
        <v>115</v>
      </c>
      <c r="C319" t="inlineStr">
        <is>
          <t>Love - Shibari - Bradesco</t>
        </is>
      </c>
      <c r="D319" t="n">
        <v>128</v>
      </c>
      <c r="E319" t="inlineStr">
        <is>
          <t>Love Cabaret</t>
        </is>
      </c>
      <c r="F319" s="27" t="n">
        <v>45993.5</v>
      </c>
      <c r="G319" t="inlineStr">
        <is>
          <t>CREDITO</t>
        </is>
      </c>
      <c r="H319" t="inlineStr">
        <is>
          <t>TRANSFERENCIA PIX REM: FERNANDA SOUSA BARROS 02/12</t>
        </is>
      </c>
      <c r="I319" t="n">
        <v>620</v>
      </c>
    </row>
    <row r="320">
      <c r="A320" t="n">
        <v>199115</v>
      </c>
      <c r="B320" t="n">
        <v>115</v>
      </c>
      <c r="C320" t="inlineStr">
        <is>
          <t>Love - Shibari - Bradesco</t>
        </is>
      </c>
      <c r="D320" t="n">
        <v>128</v>
      </c>
      <c r="E320" t="inlineStr">
        <is>
          <t>Love Cabaret</t>
        </is>
      </c>
      <c r="F320" s="27" t="n">
        <v>45993.5</v>
      </c>
      <c r="G320" t="inlineStr">
        <is>
          <t>CREDITO</t>
        </is>
      </c>
      <c r="H320" t="inlineStr">
        <is>
          <t>TED-TRANSF ELET DISPON REMET.Zig Tecnologia S.A.</t>
        </is>
      </c>
      <c r="I320" t="n">
        <v>30154.98</v>
      </c>
    </row>
    <row r="321">
      <c r="A321" t="n">
        <v>199114</v>
      </c>
      <c r="B321" t="n">
        <v>115</v>
      </c>
      <c r="C321" t="inlineStr">
        <is>
          <t>Love - Shibari - Bradesco</t>
        </is>
      </c>
      <c r="D321" t="n">
        <v>128</v>
      </c>
      <c r="E321" t="inlineStr">
        <is>
          <t>Love Cabaret</t>
        </is>
      </c>
      <c r="F321" s="27" t="n">
        <v>45992.5</v>
      </c>
      <c r="G321" t="inlineStr">
        <is>
          <t>DEBITO</t>
        </is>
      </c>
      <c r="H321" t="inlineStr">
        <is>
          <t>TRANSFERENCIA PIX DES: SHIBARI ART E DIVERSA 01/12</t>
        </is>
      </c>
      <c r="I321" t="n">
        <v>-120000</v>
      </c>
    </row>
    <row r="322">
      <c r="A322" t="n">
        <v>199112</v>
      </c>
      <c r="B322" t="n">
        <v>115</v>
      </c>
      <c r="C322" t="inlineStr">
        <is>
          <t>Love - Shibari - Bradesco</t>
        </is>
      </c>
      <c r="D322" t="n">
        <v>128</v>
      </c>
      <c r="E322" t="inlineStr">
        <is>
          <t>Love Cabaret</t>
        </is>
      </c>
      <c r="F322" s="27" t="n">
        <v>45992.5</v>
      </c>
      <c r="G322" t="inlineStr">
        <is>
          <t>CREDITO</t>
        </is>
      </c>
      <c r="H322" t="inlineStr">
        <is>
          <t>TRANSFERENCIA PIX REM: LEANDRA RIOS GOMES    01/12</t>
        </is>
      </c>
      <c r="I322" t="n">
        <v>576</v>
      </c>
    </row>
    <row r="323">
      <c r="A323" t="n">
        <v>199111</v>
      </c>
      <c r="B323" t="n">
        <v>115</v>
      </c>
      <c r="C323" t="inlineStr">
        <is>
          <t>Love - Shibari - Bradesco</t>
        </is>
      </c>
      <c r="D323" t="n">
        <v>128</v>
      </c>
      <c r="E323" t="inlineStr">
        <is>
          <t>Love Cabaret</t>
        </is>
      </c>
      <c r="F323" s="27" t="n">
        <v>45992.5</v>
      </c>
      <c r="G323" t="inlineStr">
        <is>
          <t>CREDITO</t>
        </is>
      </c>
      <c r="H323" t="inlineStr">
        <is>
          <t>TRANSFERENCIA PIX REM: Renato Antonio Aleixo 01/12</t>
        </is>
      </c>
      <c r="I323" t="n">
        <v>620</v>
      </c>
    </row>
    <row r="324">
      <c r="A324" t="n">
        <v>199110</v>
      </c>
      <c r="B324" t="n">
        <v>115</v>
      </c>
      <c r="C324" t="inlineStr">
        <is>
          <t>Love - Shibari - Bradesco</t>
        </is>
      </c>
      <c r="D324" t="n">
        <v>128</v>
      </c>
      <c r="E324" t="inlineStr">
        <is>
          <t>Love Cabaret</t>
        </is>
      </c>
      <c r="F324" s="27" t="n">
        <v>45992.5</v>
      </c>
      <c r="G324" t="inlineStr">
        <is>
          <t>CREDITO</t>
        </is>
      </c>
      <c r="H324" t="inlineStr">
        <is>
          <t>TED-TRANSF ELET DISPON REMET.Zig Tecnologia S.A.</t>
        </is>
      </c>
      <c r="I324" t="n">
        <v>62148.42</v>
      </c>
    </row>
    <row r="325">
      <c r="A325" t="n">
        <v>199402</v>
      </c>
      <c r="B325" t="n">
        <v>182</v>
      </c>
      <c r="C325" t="inlineStr">
        <is>
          <t>Love - Shibari - Kamino</t>
        </is>
      </c>
      <c r="D325" t="n">
        <v>128</v>
      </c>
      <c r="E325" t="inlineStr">
        <is>
          <t>Love Cabaret</t>
        </is>
      </c>
      <c r="F325" s="27" t="n">
        <v>45992</v>
      </c>
      <c r="G325" t="inlineStr">
        <is>
          <t>DEBITO</t>
        </is>
      </c>
      <c r="H325" t="inlineStr">
        <is>
          <t>Macro Contabilidade C Ltda</t>
        </is>
      </c>
      <c r="I325" t="n">
        <v>-3204.47</v>
      </c>
    </row>
    <row r="326">
      <c r="A326" t="n">
        <v>199381</v>
      </c>
      <c r="B326" t="n">
        <v>182</v>
      </c>
      <c r="C326" t="inlineStr">
        <is>
          <t>Love - Shibari - Kamino</t>
        </is>
      </c>
      <c r="D326" t="n">
        <v>128</v>
      </c>
      <c r="E326" t="inlineStr">
        <is>
          <t>Love Cabaret</t>
        </is>
      </c>
      <c r="F326" s="27" t="n">
        <v>45992</v>
      </c>
      <c r="G326" t="inlineStr">
        <is>
          <t>CREDITO</t>
        </is>
      </c>
      <c r="H326" t="inlineStr">
        <is>
          <t>SHIBARI ART E DIVERSAO LTDA</t>
        </is>
      </c>
      <c r="I326" t="n">
        <v>120000</v>
      </c>
    </row>
    <row r="327">
      <c r="A327" t="n">
        <v>199382</v>
      </c>
      <c r="B327" t="n">
        <v>182</v>
      </c>
      <c r="C327" t="inlineStr">
        <is>
          <t>Love - Shibari - Kamino</t>
        </is>
      </c>
      <c r="D327" t="n">
        <v>128</v>
      </c>
      <c r="E327" t="inlineStr">
        <is>
          <t>Love Cabaret</t>
        </is>
      </c>
      <c r="F327" s="27" t="n">
        <v>45992</v>
      </c>
      <c r="G327" t="inlineStr">
        <is>
          <t>DEBITO</t>
        </is>
      </c>
      <c r="H327" t="inlineStr">
        <is>
          <t>Machine Seguranca Patrimonial Ltda</t>
        </is>
      </c>
      <c r="I327" t="n">
        <v>-9120</v>
      </c>
    </row>
    <row r="328">
      <c r="A328" t="n">
        <v>199383</v>
      </c>
      <c r="B328" t="n">
        <v>182</v>
      </c>
      <c r="C328" t="inlineStr">
        <is>
          <t>Love - Shibari - Kamino</t>
        </is>
      </c>
      <c r="D328" t="n">
        <v>128</v>
      </c>
      <c r="E328" t="inlineStr">
        <is>
          <t>Love Cabaret</t>
        </is>
      </c>
      <c r="F328" s="27" t="n">
        <v>45992</v>
      </c>
      <c r="G328" t="inlineStr">
        <is>
          <t>DEBITO</t>
        </is>
      </c>
      <c r="H328" t="inlineStr">
        <is>
          <t>Cem Engenharia da Manutencao Ltda</t>
        </is>
      </c>
      <c r="I328" t="n">
        <v>-6601.38</v>
      </c>
    </row>
    <row r="329">
      <c r="A329" t="n">
        <v>199384</v>
      </c>
      <c r="B329" t="n">
        <v>182</v>
      </c>
      <c r="C329" t="inlineStr">
        <is>
          <t>Love - Shibari - Kamino</t>
        </is>
      </c>
      <c r="D329" t="n">
        <v>128</v>
      </c>
      <c r="E329" t="inlineStr">
        <is>
          <t>Love Cabaret</t>
        </is>
      </c>
      <c r="F329" s="27" t="n">
        <v>45992</v>
      </c>
      <c r="G329" t="inlineStr">
        <is>
          <t>DEBITO</t>
        </is>
      </c>
      <c r="H329" t="inlineStr">
        <is>
          <t>Felipe Ferreira Franca 36496185832</t>
        </is>
      </c>
      <c r="I329" t="n">
        <v>-404.9</v>
      </c>
    </row>
    <row r="330">
      <c r="A330" t="n">
        <v>199385</v>
      </c>
      <c r="B330" t="n">
        <v>182</v>
      </c>
      <c r="C330" t="inlineStr">
        <is>
          <t>Love - Shibari - Kamino</t>
        </is>
      </c>
      <c r="D330" t="n">
        <v>128</v>
      </c>
      <c r="E330" t="inlineStr">
        <is>
          <t>Love Cabaret</t>
        </is>
      </c>
      <c r="F330" s="27" t="n">
        <v>45992</v>
      </c>
      <c r="G330" t="inlineStr">
        <is>
          <t>DEBITO</t>
        </is>
      </c>
      <c r="H330" t="inlineStr">
        <is>
          <t>Luiz Roberto da Silva Junior</t>
        </is>
      </c>
      <c r="I330" t="n">
        <v>-1800</v>
      </c>
    </row>
    <row r="331">
      <c r="A331" t="n">
        <v>199386</v>
      </c>
      <c r="B331" t="n">
        <v>182</v>
      </c>
      <c r="C331" t="inlineStr">
        <is>
          <t>Love - Shibari - Kamino</t>
        </is>
      </c>
      <c r="D331" t="n">
        <v>128</v>
      </c>
      <c r="E331" t="inlineStr">
        <is>
          <t>Love Cabaret</t>
        </is>
      </c>
      <c r="F331" s="27" t="n">
        <v>45992</v>
      </c>
      <c r="G331" t="inlineStr">
        <is>
          <t>DEBITO</t>
        </is>
      </c>
      <c r="H331" t="inlineStr">
        <is>
          <t>Dtk Comercio de Alimentos Ltda Epp</t>
        </is>
      </c>
      <c r="I331" t="n">
        <v>-429.74</v>
      </c>
    </row>
    <row r="332">
      <c r="A332" t="n">
        <v>199387</v>
      </c>
      <c r="B332" t="n">
        <v>182</v>
      </c>
      <c r="C332" t="inlineStr">
        <is>
          <t>Love - Shibari - Kamino</t>
        </is>
      </c>
      <c r="D332" t="n">
        <v>128</v>
      </c>
      <c r="E332" t="inlineStr">
        <is>
          <t>Love Cabaret</t>
        </is>
      </c>
      <c r="F332" s="27" t="n">
        <v>45992</v>
      </c>
      <c r="G332" t="inlineStr">
        <is>
          <t>DEBITO</t>
        </is>
      </c>
      <c r="H332" t="inlineStr">
        <is>
          <t>Luiz Roberto da Silva Junior</t>
        </is>
      </c>
      <c r="I332" t="n">
        <v>-1800</v>
      </c>
    </row>
    <row r="333">
      <c r="A333" t="n">
        <v>199389</v>
      </c>
      <c r="B333" t="n">
        <v>182</v>
      </c>
      <c r="C333" t="inlineStr">
        <is>
          <t>Love - Shibari - Kamino</t>
        </is>
      </c>
      <c r="D333" t="n">
        <v>128</v>
      </c>
      <c r="E333" t="inlineStr">
        <is>
          <t>Love Cabaret</t>
        </is>
      </c>
      <c r="F333" s="27" t="n">
        <v>45992</v>
      </c>
      <c r="G333" t="inlineStr">
        <is>
          <t>DEBITO</t>
        </is>
      </c>
      <c r="H333" t="inlineStr">
        <is>
          <t>Invye Capital Ltda</t>
        </is>
      </c>
      <c r="I333" t="n">
        <v>-1287.72</v>
      </c>
    </row>
    <row r="334">
      <c r="A334" t="n">
        <v>199397</v>
      </c>
      <c r="B334" t="n">
        <v>182</v>
      </c>
      <c r="C334" t="inlineStr">
        <is>
          <t>Love - Shibari - Kamino</t>
        </is>
      </c>
      <c r="D334" t="n">
        <v>128</v>
      </c>
      <c r="E334" t="inlineStr">
        <is>
          <t>Love Cabaret</t>
        </is>
      </c>
      <c r="F334" s="27" t="n">
        <v>45992</v>
      </c>
      <c r="G334" t="inlineStr">
        <is>
          <t>DEBITO</t>
        </is>
      </c>
      <c r="H334" t="inlineStr">
        <is>
          <t>Cg Food S Distr Alimentos Ltda</t>
        </is>
      </c>
      <c r="I334" t="n">
        <v>-307.5</v>
      </c>
    </row>
    <row r="335">
      <c r="A335" t="n">
        <v>199398</v>
      </c>
      <c r="B335" t="n">
        <v>182</v>
      </c>
      <c r="C335" t="inlineStr">
        <is>
          <t>Love - Shibari - Kamino</t>
        </is>
      </c>
      <c r="D335" t="n">
        <v>128</v>
      </c>
      <c r="E335" t="inlineStr">
        <is>
          <t>Love Cabaret</t>
        </is>
      </c>
      <c r="F335" s="27" t="n">
        <v>45992</v>
      </c>
      <c r="G335" t="inlineStr">
        <is>
          <t>DEBITO</t>
        </is>
      </c>
      <c r="H335" t="inlineStr">
        <is>
          <t>Stark Bank S.A.</t>
        </is>
      </c>
      <c r="I335" t="n">
        <v>-36.75</v>
      </c>
    </row>
    <row r="336">
      <c r="A336" t="n">
        <v>199399</v>
      </c>
      <c r="B336" t="n">
        <v>182</v>
      </c>
      <c r="C336" t="inlineStr">
        <is>
          <t>Love - Shibari - Kamino</t>
        </is>
      </c>
      <c r="D336" t="n">
        <v>128</v>
      </c>
      <c r="E336" t="inlineStr">
        <is>
          <t>Love Cabaret</t>
        </is>
      </c>
      <c r="F336" s="27" t="n">
        <v>45992</v>
      </c>
      <c r="G336" t="inlineStr">
        <is>
          <t>DEBITO</t>
        </is>
      </c>
      <c r="H336" t="inlineStr">
        <is>
          <t>Lumi Creamy</t>
        </is>
      </c>
      <c r="I336" t="n">
        <v>-385</v>
      </c>
    </row>
    <row r="337">
      <c r="A337" t="n">
        <v>199400</v>
      </c>
      <c r="B337" t="n">
        <v>182</v>
      </c>
      <c r="C337" t="inlineStr">
        <is>
          <t>Love - Shibari - Kamino</t>
        </is>
      </c>
      <c r="D337" t="n">
        <v>128</v>
      </c>
      <c r="E337" t="inlineStr">
        <is>
          <t>Love Cabaret</t>
        </is>
      </c>
      <c r="F337" s="27" t="n">
        <v>45992</v>
      </c>
      <c r="G337" t="inlineStr">
        <is>
          <t>DEBITO</t>
        </is>
      </c>
      <c r="H337" t="inlineStr">
        <is>
          <t>Tarifa Transf Bancaria Enviada</t>
        </is>
      </c>
      <c r="I337" t="n">
        <v>-2</v>
      </c>
    </row>
    <row r="338">
      <c r="A338" t="n">
        <v>199401</v>
      </c>
      <c r="B338" t="n">
        <v>182</v>
      </c>
      <c r="C338" t="inlineStr">
        <is>
          <t>Love - Shibari - Kamino</t>
        </is>
      </c>
      <c r="D338" t="n">
        <v>128</v>
      </c>
      <c r="E338" t="inlineStr">
        <is>
          <t>Love Cabaret</t>
        </is>
      </c>
      <c r="F338" s="27" t="n">
        <v>45992</v>
      </c>
      <c r="G338" t="inlineStr">
        <is>
          <t>DEBITO</t>
        </is>
      </c>
      <c r="H338" t="inlineStr">
        <is>
          <t>Front Bebidas Litda</t>
        </is>
      </c>
      <c r="I338" t="n">
        <v>-1146.46</v>
      </c>
    </row>
    <row r="339">
      <c r="A339" t="n">
        <v>199388</v>
      </c>
      <c r="B339" t="n">
        <v>182</v>
      </c>
      <c r="C339" t="inlineStr">
        <is>
          <t>Love - Shibari - Kamino</t>
        </is>
      </c>
      <c r="D339" t="n">
        <v>128</v>
      </c>
      <c r="E339" t="inlineStr">
        <is>
          <t>Love Cabaret</t>
        </is>
      </c>
      <c r="F339" s="27" t="n">
        <v>45992</v>
      </c>
      <c r="G339" t="inlineStr">
        <is>
          <t>DEBITO</t>
        </is>
      </c>
      <c r="H339" t="inlineStr">
        <is>
          <t>Ms Frangos Ltda</t>
        </is>
      </c>
      <c r="I339" t="n">
        <v>-114.54</v>
      </c>
    </row>
    <row r="340">
      <c r="A340" t="n">
        <v>199396</v>
      </c>
      <c r="B340" t="n">
        <v>182</v>
      </c>
      <c r="C340" t="inlineStr">
        <is>
          <t>Love - Shibari - Kamino</t>
        </is>
      </c>
      <c r="D340" t="n">
        <v>128</v>
      </c>
      <c r="E340" t="inlineStr">
        <is>
          <t>Love Cabaret</t>
        </is>
      </c>
      <c r="F340" s="27" t="n">
        <v>45992</v>
      </c>
      <c r="G340" t="inlineStr">
        <is>
          <t>DEBITO</t>
        </is>
      </c>
      <c r="H340" t="inlineStr">
        <is>
          <t>Chopp Fast D Bebidas Ltda</t>
        </is>
      </c>
      <c r="I340" t="n">
        <v>-1461.6</v>
      </c>
    </row>
    <row r="341">
      <c r="A341" t="n">
        <v>199395</v>
      </c>
      <c r="B341" t="n">
        <v>182</v>
      </c>
      <c r="C341" t="inlineStr">
        <is>
          <t>Love - Shibari - Kamino</t>
        </is>
      </c>
      <c r="D341" t="n">
        <v>128</v>
      </c>
      <c r="E341" t="inlineStr">
        <is>
          <t>Love Cabaret</t>
        </is>
      </c>
      <c r="F341" s="27" t="n">
        <v>45992</v>
      </c>
      <c r="G341" t="inlineStr">
        <is>
          <t>DEBITO</t>
        </is>
      </c>
      <c r="H341" t="inlineStr">
        <is>
          <t>Zahil Importadora Ltda</t>
        </is>
      </c>
      <c r="I341" t="n">
        <v>-692.25</v>
      </c>
    </row>
    <row r="342">
      <c r="A342" t="n">
        <v>199391</v>
      </c>
      <c r="B342" t="n">
        <v>182</v>
      </c>
      <c r="C342" t="inlineStr">
        <is>
          <t>Love - Shibari - Kamino</t>
        </is>
      </c>
      <c r="D342" t="n">
        <v>128</v>
      </c>
      <c r="E342" t="inlineStr">
        <is>
          <t>Love Cabaret</t>
        </is>
      </c>
      <c r="F342" s="27" t="n">
        <v>45992</v>
      </c>
      <c r="G342" t="inlineStr">
        <is>
          <t>DEBITO</t>
        </is>
      </c>
      <c r="H342" t="inlineStr">
        <is>
          <t>Comercial Dede</t>
        </is>
      </c>
      <c r="I342" t="n">
        <v>-201.54</v>
      </c>
    </row>
    <row r="343">
      <c r="A343" t="n">
        <v>199390</v>
      </c>
      <c r="B343" t="n">
        <v>182</v>
      </c>
      <c r="C343" t="inlineStr">
        <is>
          <t>Love - Shibari - Kamino</t>
        </is>
      </c>
      <c r="D343" t="n">
        <v>128</v>
      </c>
      <c r="E343" t="inlineStr">
        <is>
          <t>Love Cabaret</t>
        </is>
      </c>
      <c r="F343" s="27" t="n">
        <v>45992</v>
      </c>
      <c r="G343" t="inlineStr">
        <is>
          <t>DEBITO</t>
        </is>
      </c>
      <c r="H343" t="inlineStr">
        <is>
          <t>Paulo Cesar Medeiros Eyzano</t>
        </is>
      </c>
      <c r="I343" t="n">
        <v>-3200</v>
      </c>
    </row>
    <row r="344">
      <c r="A344" t="n">
        <v>199394</v>
      </c>
      <c r="B344" t="n">
        <v>182</v>
      </c>
      <c r="C344" t="inlineStr">
        <is>
          <t>Love - Shibari - Kamino</t>
        </is>
      </c>
      <c r="D344" t="n">
        <v>128</v>
      </c>
      <c r="E344" t="inlineStr">
        <is>
          <t>Love Cabaret</t>
        </is>
      </c>
      <c r="F344" s="27" t="n">
        <v>45992</v>
      </c>
      <c r="G344" t="inlineStr">
        <is>
          <t>DEBITO</t>
        </is>
      </c>
      <c r="H344" t="inlineStr">
        <is>
          <t>Free Som - Locacao de Som e Luz Ltda</t>
        </is>
      </c>
      <c r="I344" t="n">
        <v>-6000</v>
      </c>
    </row>
    <row r="345">
      <c r="A345" t="n">
        <v>199392</v>
      </c>
      <c r="B345" t="n">
        <v>182</v>
      </c>
      <c r="C345" t="inlineStr">
        <is>
          <t>Love - Shibari - Kamino</t>
        </is>
      </c>
      <c r="D345" t="n">
        <v>128</v>
      </c>
      <c r="E345" t="inlineStr">
        <is>
          <t>Love Cabaret</t>
        </is>
      </c>
      <c r="F345" s="27" t="n">
        <v>45992</v>
      </c>
      <c r="G345" t="inlineStr">
        <is>
          <t>DEBITO</t>
        </is>
      </c>
      <c r="H345" t="inlineStr">
        <is>
          <t>Receita Federal</t>
        </is>
      </c>
      <c r="I345" t="n">
        <v>-8584.49</v>
      </c>
    </row>
    <row r="346">
      <c r="A346" t="n">
        <v>199393</v>
      </c>
      <c r="B346" t="n">
        <v>182</v>
      </c>
      <c r="C346" t="inlineStr">
        <is>
          <t>Love - Shibari - Kamino</t>
        </is>
      </c>
      <c r="D346" t="n">
        <v>128</v>
      </c>
      <c r="E346" t="inlineStr">
        <is>
          <t>Love Cabaret</t>
        </is>
      </c>
      <c r="F346" s="27" t="n">
        <v>45992</v>
      </c>
      <c r="G346" t="inlineStr">
        <is>
          <t>DEBITO</t>
        </is>
      </c>
      <c r="H346" t="inlineStr">
        <is>
          <t>Comercial Dede</t>
        </is>
      </c>
      <c r="I346" t="n">
        <v>-247.94</v>
      </c>
    </row>
    <row r="347">
      <c r="A347" t="n">
        <v>199109</v>
      </c>
      <c r="B347" t="n">
        <v>115</v>
      </c>
      <c r="C347" t="inlineStr">
        <is>
          <t>Love - Shibari - Bradesco</t>
        </is>
      </c>
      <c r="D347" t="n">
        <v>128</v>
      </c>
      <c r="E347" t="inlineStr">
        <is>
          <t>Love Cabaret</t>
        </is>
      </c>
      <c r="F347" s="27" t="n">
        <v>45989.5</v>
      </c>
      <c r="G347" t="inlineStr">
        <is>
          <t>DEBITO</t>
        </is>
      </c>
      <c r="H347" t="inlineStr">
        <is>
          <t>PARCELAMENTO DE DARF PARCELAMENTO DE DARF-207024</t>
        </is>
      </c>
      <c r="I347" t="n">
        <v>-21346.46</v>
      </c>
    </row>
    <row r="348">
      <c r="A348" t="n">
        <v>199108</v>
      </c>
      <c r="B348" t="n">
        <v>115</v>
      </c>
      <c r="C348" t="inlineStr">
        <is>
          <t>Love - Shibari - Bradesco</t>
        </is>
      </c>
      <c r="D348" t="n">
        <v>128</v>
      </c>
      <c r="E348" t="inlineStr">
        <is>
          <t>Love Cabaret</t>
        </is>
      </c>
      <c r="F348" s="27" t="n">
        <v>45989.5</v>
      </c>
      <c r="G348" t="inlineStr">
        <is>
          <t>DEBITO</t>
        </is>
      </c>
      <c r="H348" t="inlineStr">
        <is>
          <t>PAGTO ELETRONICO TRIBUTO INTERNET --RECEITA FEDERAL/SP</t>
        </is>
      </c>
      <c r="I348" t="n">
        <v>-3974.82</v>
      </c>
    </row>
    <row r="349">
      <c r="A349" t="n">
        <v>199107</v>
      </c>
      <c r="B349" t="n">
        <v>115</v>
      </c>
      <c r="C349" t="inlineStr">
        <is>
          <t>Love - Shibari - Bradesco</t>
        </is>
      </c>
      <c r="D349" t="n">
        <v>128</v>
      </c>
      <c r="E349" t="inlineStr">
        <is>
          <t>Love Cabaret</t>
        </is>
      </c>
      <c r="F349" s="27" t="n">
        <v>45989.5</v>
      </c>
      <c r="G349" t="inlineStr">
        <is>
          <t>DEBITO</t>
        </is>
      </c>
      <c r="H349" t="inlineStr">
        <is>
          <t>TARIFA BANCARIA TRANSF PGTO PIX</t>
        </is>
      </c>
      <c r="I349" t="n">
        <v>-9.800000000000001</v>
      </c>
    </row>
    <row r="350">
      <c r="A350" t="n">
        <v>199106</v>
      </c>
      <c r="B350" t="n">
        <v>115</v>
      </c>
      <c r="C350" t="inlineStr">
        <is>
          <t>Love - Shibari - Bradesco</t>
        </is>
      </c>
      <c r="D350" t="n">
        <v>128</v>
      </c>
      <c r="E350" t="inlineStr">
        <is>
          <t>Love Cabaret</t>
        </is>
      </c>
      <c r="F350" s="27" t="n">
        <v>45989.5</v>
      </c>
      <c r="G350" t="inlineStr">
        <is>
          <t>CREDITO</t>
        </is>
      </c>
      <c r="H350" t="inlineStr">
        <is>
          <t>TRANSFERENCIA PIX REM: ANA PAULA GUIMARAES B 28/11</t>
        </is>
      </c>
      <c r="I350" t="n">
        <v>620</v>
      </c>
    </row>
    <row r="351">
      <c r="A351" t="n">
        <v>199105</v>
      </c>
      <c r="B351" t="n">
        <v>115</v>
      </c>
      <c r="C351" t="inlineStr">
        <is>
          <t>Love - Shibari - Bradesco</t>
        </is>
      </c>
      <c r="D351" t="n">
        <v>128</v>
      </c>
      <c r="E351" t="inlineStr">
        <is>
          <t>Love Cabaret</t>
        </is>
      </c>
      <c r="F351" s="27" t="n">
        <v>45989.5</v>
      </c>
      <c r="G351" t="inlineStr">
        <is>
          <t>CREDITO</t>
        </is>
      </c>
      <c r="H351" t="inlineStr">
        <is>
          <t>TRANSFERENCIA PIX REM: Mariana Lima Nunes    28/11</t>
        </is>
      </c>
      <c r="I351" t="n">
        <v>620</v>
      </c>
    </row>
    <row r="352">
      <c r="A352" t="n">
        <v>199104</v>
      </c>
      <c r="B352" t="n">
        <v>115</v>
      </c>
      <c r="C352" t="inlineStr">
        <is>
          <t>Love - Shibari - Bradesco</t>
        </is>
      </c>
      <c r="D352" t="n">
        <v>128</v>
      </c>
      <c r="E352" t="inlineStr">
        <is>
          <t>Love Cabaret</t>
        </is>
      </c>
      <c r="F352" s="27" t="n">
        <v>45989.5</v>
      </c>
      <c r="G352" t="inlineStr">
        <is>
          <t>CREDITO</t>
        </is>
      </c>
      <c r="H352" t="inlineStr">
        <is>
          <t>TRANSFERENCIA PIX REM: PRISCILLA DAHER T CAM 28/11</t>
        </is>
      </c>
      <c r="I352" t="n">
        <v>620</v>
      </c>
    </row>
    <row r="353">
      <c r="A353" t="n">
        <v>199103</v>
      </c>
      <c r="B353" t="n">
        <v>115</v>
      </c>
      <c r="C353" t="inlineStr">
        <is>
          <t>Love - Shibari - Bradesco</t>
        </is>
      </c>
      <c r="D353" t="n">
        <v>128</v>
      </c>
      <c r="E353" t="inlineStr">
        <is>
          <t>Love Cabaret</t>
        </is>
      </c>
      <c r="F353" s="27" t="n">
        <v>45989.5</v>
      </c>
      <c r="G353" t="inlineStr">
        <is>
          <t>CREDITO</t>
        </is>
      </c>
      <c r="H353" t="inlineStr">
        <is>
          <t>TRANSFERENCIA PIX REM: FUTUREBRAND BC&amp;H LTDA 28/11</t>
        </is>
      </c>
      <c r="I353" t="n">
        <v>106000</v>
      </c>
    </row>
    <row r="354">
      <c r="A354" t="n">
        <v>199102</v>
      </c>
      <c r="B354" t="n">
        <v>115</v>
      </c>
      <c r="C354" t="inlineStr">
        <is>
          <t>Love - Shibari - Bradesco</t>
        </is>
      </c>
      <c r="D354" t="n">
        <v>128</v>
      </c>
      <c r="E354" t="inlineStr">
        <is>
          <t>Love Cabaret</t>
        </is>
      </c>
      <c r="F354" s="27" t="n">
        <v>45988.5</v>
      </c>
      <c r="G354" t="inlineStr">
        <is>
          <t>DEBITO</t>
        </is>
      </c>
      <c r="H354" t="inlineStr">
        <is>
          <t>PAGTO 13 SALARIO VIA NET</t>
        </is>
      </c>
      <c r="I354" t="n">
        <v>-2912.92</v>
      </c>
    </row>
    <row r="355">
      <c r="A355" t="n">
        <v>199100</v>
      </c>
      <c r="B355" t="n">
        <v>115</v>
      </c>
      <c r="C355" t="inlineStr">
        <is>
          <t>Love - Shibari - Bradesco</t>
        </is>
      </c>
      <c r="D355" t="n">
        <v>128</v>
      </c>
      <c r="E355" t="inlineStr">
        <is>
          <t>Love Cabaret</t>
        </is>
      </c>
      <c r="F355" s="27" t="n">
        <v>45988.5</v>
      </c>
      <c r="G355" t="inlineStr">
        <is>
          <t>CREDITO</t>
        </is>
      </c>
      <c r="H355" t="inlineStr">
        <is>
          <t>TRANSFERENCIA PIX REM: BRUNA LOPES DA SILVA  27/11</t>
        </is>
      </c>
      <c r="I355" t="n">
        <v>620</v>
      </c>
    </row>
    <row r="356">
      <c r="A356" t="n">
        <v>199099</v>
      </c>
      <c r="B356" t="n">
        <v>115</v>
      </c>
      <c r="C356" t="inlineStr">
        <is>
          <t>Love - Shibari - Bradesco</t>
        </is>
      </c>
      <c r="D356" t="n">
        <v>128</v>
      </c>
      <c r="E356" t="inlineStr">
        <is>
          <t>Love Cabaret</t>
        </is>
      </c>
      <c r="F356" s="27" t="n">
        <v>45987.5</v>
      </c>
      <c r="G356" t="inlineStr">
        <is>
          <t>DEBITO</t>
        </is>
      </c>
      <c r="H356" t="inlineStr">
        <is>
          <t>TRANSFERENCIA PIX DES: SHIBARI ART E DIVERSA 26/11</t>
        </is>
      </c>
      <c r="I356" t="n">
        <v>-5000</v>
      </c>
    </row>
    <row r="357">
      <c r="A357" t="n">
        <v>199098</v>
      </c>
      <c r="B357" t="n">
        <v>115</v>
      </c>
      <c r="C357" t="inlineStr">
        <is>
          <t>Love - Shibari - Bradesco</t>
        </is>
      </c>
      <c r="D357" t="n">
        <v>128</v>
      </c>
      <c r="E357" t="inlineStr">
        <is>
          <t>Love Cabaret</t>
        </is>
      </c>
      <c r="F357" s="27" t="n">
        <v>45987.5</v>
      </c>
      <c r="G357" t="inlineStr">
        <is>
          <t>DEBITO</t>
        </is>
      </c>
      <c r="H357" t="inlineStr">
        <is>
          <t>TARIFA BANCARIA TRANSF PGTO PIX</t>
        </is>
      </c>
      <c r="I357" t="n">
        <v>-9.800000000000001</v>
      </c>
    </row>
    <row r="358">
      <c r="A358" t="n">
        <v>199097</v>
      </c>
      <c r="B358" t="n">
        <v>115</v>
      </c>
      <c r="C358" t="inlineStr">
        <is>
          <t>Love - Shibari - Bradesco</t>
        </is>
      </c>
      <c r="D358" t="n">
        <v>128</v>
      </c>
      <c r="E358" t="inlineStr">
        <is>
          <t>Love Cabaret</t>
        </is>
      </c>
      <c r="F358" s="27" t="n">
        <v>45987.5</v>
      </c>
      <c r="G358" t="inlineStr">
        <is>
          <t>CREDITO</t>
        </is>
      </c>
      <c r="H358" t="inlineStr">
        <is>
          <t>TRANSFERENCIA PIX REM: MAURINEIA CASSIA BARB 26/11</t>
        </is>
      </c>
      <c r="I358" t="n">
        <v>155</v>
      </c>
    </row>
    <row r="359">
      <c r="A359" t="n">
        <v>199096</v>
      </c>
      <c r="B359" t="n">
        <v>115</v>
      </c>
      <c r="C359" t="inlineStr">
        <is>
          <t>Love - Shibari - Bradesco</t>
        </is>
      </c>
      <c r="D359" t="n">
        <v>128</v>
      </c>
      <c r="E359" t="inlineStr">
        <is>
          <t>Love Cabaret</t>
        </is>
      </c>
      <c r="F359" s="27" t="n">
        <v>45987.5</v>
      </c>
      <c r="G359" t="inlineStr">
        <is>
          <t>CREDITO</t>
        </is>
      </c>
      <c r="H359" t="inlineStr">
        <is>
          <t>TRANSFERENCIA PIX REM: EMILY ROVARIS CESARIO 26/11</t>
        </is>
      </c>
      <c r="I359" t="n">
        <v>620</v>
      </c>
    </row>
    <row r="360">
      <c r="A360" t="n">
        <v>199095</v>
      </c>
      <c r="B360" t="n">
        <v>115</v>
      </c>
      <c r="C360" t="inlineStr">
        <is>
          <t>Love - Shibari - Bradesco</t>
        </is>
      </c>
      <c r="D360" t="n">
        <v>128</v>
      </c>
      <c r="E360" t="inlineStr">
        <is>
          <t>Love Cabaret</t>
        </is>
      </c>
      <c r="F360" s="27" t="n">
        <v>45987.5</v>
      </c>
      <c r="G360" t="inlineStr">
        <is>
          <t>CREDITO</t>
        </is>
      </c>
      <c r="H360" t="inlineStr">
        <is>
          <t>TRANSFERENCIA PIX REM: HIGOR ROMILDO VALENTI 26/11</t>
        </is>
      </c>
      <c r="I360" t="n">
        <v>155</v>
      </c>
    </row>
    <row r="361">
      <c r="A361" t="n">
        <v>199094</v>
      </c>
      <c r="B361" t="n">
        <v>115</v>
      </c>
      <c r="C361" t="inlineStr">
        <is>
          <t>Love - Shibari - Bradesco</t>
        </is>
      </c>
      <c r="D361" t="n">
        <v>128</v>
      </c>
      <c r="E361" t="inlineStr">
        <is>
          <t>Love Cabaret</t>
        </is>
      </c>
      <c r="F361" s="27" t="n">
        <v>45987.5</v>
      </c>
      <c r="G361" t="inlineStr">
        <is>
          <t>CREDITO</t>
        </is>
      </c>
      <c r="H361" t="inlineStr">
        <is>
          <t>DEP DINHEIRO ATM AG00117MAQ061059SEQ04257</t>
        </is>
      </c>
      <c r="I361" t="n">
        <v>1016</v>
      </c>
    </row>
    <row r="362">
      <c r="A362" t="n">
        <v>199093</v>
      </c>
      <c r="B362" t="n">
        <v>115</v>
      </c>
      <c r="C362" t="inlineStr">
        <is>
          <t>Love - Shibari - Bradesco</t>
        </is>
      </c>
      <c r="D362" t="n">
        <v>128</v>
      </c>
      <c r="E362" t="inlineStr">
        <is>
          <t>Love Cabaret</t>
        </is>
      </c>
      <c r="F362" s="27" t="n">
        <v>45987.5</v>
      </c>
      <c r="G362" t="inlineStr">
        <is>
          <t>CREDITO</t>
        </is>
      </c>
      <c r="H362" t="inlineStr">
        <is>
          <t>TED-TRANSF ELET DISPON REMET.SYMPLA INTERNET SOLU</t>
        </is>
      </c>
      <c r="I362" t="n">
        <v>11590</v>
      </c>
    </row>
    <row r="363">
      <c r="A363" t="n">
        <v>199092</v>
      </c>
      <c r="B363" t="n">
        <v>115</v>
      </c>
      <c r="C363" t="inlineStr">
        <is>
          <t>Love - Shibari - Bradesco</t>
        </is>
      </c>
      <c r="D363" t="n">
        <v>128</v>
      </c>
      <c r="E363" t="inlineStr">
        <is>
          <t>Love Cabaret</t>
        </is>
      </c>
      <c r="F363" s="27" t="n">
        <v>45987.5</v>
      </c>
      <c r="G363" t="inlineStr">
        <is>
          <t>CREDITO</t>
        </is>
      </c>
      <c r="H363" t="inlineStr">
        <is>
          <t>TED-TRANSF ELET DISPON REMET.SYMPLA INTERNET SOLU</t>
        </is>
      </c>
      <c r="I363" t="n">
        <v>12940</v>
      </c>
    </row>
    <row r="364">
      <c r="A364" t="n">
        <v>199379</v>
      </c>
      <c r="B364" t="n">
        <v>182</v>
      </c>
      <c r="C364" t="inlineStr">
        <is>
          <t>Love - Shibari - Kamino</t>
        </is>
      </c>
      <c r="D364" t="n">
        <v>128</v>
      </c>
      <c r="E364" t="inlineStr">
        <is>
          <t>Love Cabaret</t>
        </is>
      </c>
      <c r="F364" s="27" t="n">
        <v>45987</v>
      </c>
      <c r="G364" t="inlineStr">
        <is>
          <t>DEBITO</t>
        </is>
      </c>
      <c r="H364" t="inlineStr">
        <is>
          <t>Mario Pedro Feliciano Hortifru</t>
        </is>
      </c>
      <c r="I364" t="n">
        <v>-101.9</v>
      </c>
    </row>
    <row r="365">
      <c r="A365" t="n">
        <v>199380</v>
      </c>
      <c r="B365" t="n">
        <v>182</v>
      </c>
      <c r="C365" t="inlineStr">
        <is>
          <t>Love - Shibari - Kamino</t>
        </is>
      </c>
      <c r="D365" t="n">
        <v>128</v>
      </c>
      <c r="E365" t="inlineStr">
        <is>
          <t>Love Cabaret</t>
        </is>
      </c>
      <c r="F365" s="27" t="n">
        <v>45987</v>
      </c>
      <c r="G365" t="inlineStr">
        <is>
          <t>DEBITO</t>
        </is>
      </c>
      <c r="H365" t="inlineStr">
        <is>
          <t>Sao Paulo Transporte Sa</t>
        </is>
      </c>
      <c r="I365" t="n">
        <v>-504.98</v>
      </c>
    </row>
    <row r="366">
      <c r="A366" t="n">
        <v>199378</v>
      </c>
      <c r="B366" t="n">
        <v>182</v>
      </c>
      <c r="C366" t="inlineStr">
        <is>
          <t>Love - Shibari - Kamino</t>
        </is>
      </c>
      <c r="D366" t="n">
        <v>128</v>
      </c>
      <c r="E366" t="inlineStr">
        <is>
          <t>Love Cabaret</t>
        </is>
      </c>
      <c r="F366" s="27" t="n">
        <v>45987</v>
      </c>
      <c r="G366" t="inlineStr">
        <is>
          <t>DEBITO</t>
        </is>
      </c>
      <c r="H366" t="inlineStr">
        <is>
          <t>Marcos Silva do Nascimento</t>
        </is>
      </c>
      <c r="I366" t="n">
        <v>-239.88</v>
      </c>
    </row>
    <row r="367">
      <c r="A367" t="n">
        <v>199364</v>
      </c>
      <c r="B367" t="n">
        <v>182</v>
      </c>
      <c r="C367" t="inlineStr">
        <is>
          <t>Love - Shibari - Kamino</t>
        </is>
      </c>
      <c r="D367" t="n">
        <v>128</v>
      </c>
      <c r="E367" t="inlineStr">
        <is>
          <t>Love Cabaret</t>
        </is>
      </c>
      <c r="F367" s="27" t="n">
        <v>45987</v>
      </c>
      <c r="G367" t="inlineStr">
        <is>
          <t>DEBITO</t>
        </is>
      </c>
      <c r="H367" t="inlineStr">
        <is>
          <t>Hnk Br Bebidas Ltda</t>
        </is>
      </c>
      <c r="I367" t="n">
        <v>-1518.69</v>
      </c>
    </row>
    <row r="368">
      <c r="A368" t="n">
        <v>199377</v>
      </c>
      <c r="B368" t="n">
        <v>182</v>
      </c>
      <c r="C368" t="inlineStr">
        <is>
          <t>Love - Shibari - Kamino</t>
        </is>
      </c>
      <c r="D368" t="n">
        <v>128</v>
      </c>
      <c r="E368" t="inlineStr">
        <is>
          <t>Love Cabaret</t>
        </is>
      </c>
      <c r="F368" s="27" t="n">
        <v>45987</v>
      </c>
      <c r="G368" t="inlineStr">
        <is>
          <t>DEBITO</t>
        </is>
      </c>
      <c r="H368" t="inlineStr">
        <is>
          <t>Cia do Whisky</t>
        </is>
      </c>
      <c r="I368" t="n">
        <v>-1061.34</v>
      </c>
    </row>
    <row r="369">
      <c r="A369" t="n">
        <v>199376</v>
      </c>
      <c r="B369" t="n">
        <v>182</v>
      </c>
      <c r="C369" t="inlineStr">
        <is>
          <t>Love - Shibari - Kamino</t>
        </is>
      </c>
      <c r="D369" t="n">
        <v>128</v>
      </c>
      <c r="E369" t="inlineStr">
        <is>
          <t>Love Cabaret</t>
        </is>
      </c>
      <c r="F369" s="27" t="n">
        <v>45987</v>
      </c>
      <c r="G369" t="inlineStr">
        <is>
          <t>DEBITO</t>
        </is>
      </c>
      <c r="H369" t="inlineStr">
        <is>
          <t>Horta Nova Distribuidora de Hortifruti L</t>
        </is>
      </c>
      <c r="I369" t="n">
        <v>-80.65000000000001</v>
      </c>
    </row>
    <row r="370">
      <c r="A370" t="n">
        <v>199375</v>
      </c>
      <c r="B370" t="n">
        <v>182</v>
      </c>
      <c r="C370" t="inlineStr">
        <is>
          <t>Love - Shibari - Kamino</t>
        </is>
      </c>
      <c r="D370" t="n">
        <v>128</v>
      </c>
      <c r="E370" t="inlineStr">
        <is>
          <t>Love Cabaret</t>
        </is>
      </c>
      <c r="F370" s="27" t="n">
        <v>45987</v>
      </c>
      <c r="G370" t="inlineStr">
        <is>
          <t>DEBITO</t>
        </is>
      </c>
      <c r="H370" t="inlineStr">
        <is>
          <t>Mario Pedro Feliciano Hortifru</t>
        </is>
      </c>
      <c r="I370" t="n">
        <v>-42.52</v>
      </c>
    </row>
    <row r="371">
      <c r="A371" t="n">
        <v>199374</v>
      </c>
      <c r="B371" t="n">
        <v>182</v>
      </c>
      <c r="C371" t="inlineStr">
        <is>
          <t>Love - Shibari - Kamino</t>
        </is>
      </c>
      <c r="D371" t="n">
        <v>128</v>
      </c>
      <c r="E371" t="inlineStr">
        <is>
          <t>Love Cabaret</t>
        </is>
      </c>
      <c r="F371" s="27" t="n">
        <v>45987</v>
      </c>
      <c r="G371" t="inlineStr">
        <is>
          <t>DEBITO</t>
        </is>
      </c>
      <c r="H371" t="inlineStr">
        <is>
          <t>Nova Comercial do Peixe Eireli</t>
        </is>
      </c>
      <c r="I371" t="n">
        <v>-588</v>
      </c>
    </row>
    <row r="372">
      <c r="A372" t="n">
        <v>199373</v>
      </c>
      <c r="B372" t="n">
        <v>182</v>
      </c>
      <c r="C372" t="inlineStr">
        <is>
          <t>Love - Shibari - Kamino</t>
        </is>
      </c>
      <c r="D372" t="n">
        <v>128</v>
      </c>
      <c r="E372" t="inlineStr">
        <is>
          <t>Love Cabaret</t>
        </is>
      </c>
      <c r="F372" s="27" t="n">
        <v>45987</v>
      </c>
      <c r="G372" t="inlineStr">
        <is>
          <t>DEBITO</t>
        </is>
      </c>
      <c r="H372" t="inlineStr">
        <is>
          <t>Fg7 Comercio D B Eireli Epp</t>
        </is>
      </c>
      <c r="I372" t="n">
        <v>-249.55</v>
      </c>
    </row>
    <row r="373">
      <c r="A373" t="n">
        <v>199372</v>
      </c>
      <c r="B373" t="n">
        <v>182</v>
      </c>
      <c r="C373" t="inlineStr">
        <is>
          <t>Love - Shibari - Kamino</t>
        </is>
      </c>
      <c r="D373" t="n">
        <v>128</v>
      </c>
      <c r="E373" t="inlineStr">
        <is>
          <t>Love Cabaret</t>
        </is>
      </c>
      <c r="F373" s="27" t="n">
        <v>45987</v>
      </c>
      <c r="G373" t="inlineStr">
        <is>
          <t>DEBITO</t>
        </is>
      </c>
      <c r="H373" t="inlineStr">
        <is>
          <t>Cia do Whisky</t>
        </is>
      </c>
      <c r="I373" t="n">
        <v>-214.3</v>
      </c>
    </row>
    <row r="374">
      <c r="A374" t="n">
        <v>199371</v>
      </c>
      <c r="B374" t="n">
        <v>182</v>
      </c>
      <c r="C374" t="inlineStr">
        <is>
          <t>Love - Shibari - Kamino</t>
        </is>
      </c>
      <c r="D374" t="n">
        <v>128</v>
      </c>
      <c r="E374" t="inlineStr">
        <is>
          <t>Love Cabaret</t>
        </is>
      </c>
      <c r="F374" s="27" t="n">
        <v>45987</v>
      </c>
      <c r="G374" t="inlineStr">
        <is>
          <t>DEBITO</t>
        </is>
      </c>
      <c r="H374" t="inlineStr">
        <is>
          <t>Receita Federal</t>
        </is>
      </c>
      <c r="I374" t="n">
        <v>-831.84</v>
      </c>
    </row>
    <row r="375">
      <c r="A375" t="n">
        <v>199370</v>
      </c>
      <c r="B375" t="n">
        <v>182</v>
      </c>
      <c r="C375" t="inlineStr">
        <is>
          <t>Love - Shibari - Kamino</t>
        </is>
      </c>
      <c r="D375" t="n">
        <v>128</v>
      </c>
      <c r="E375" t="inlineStr">
        <is>
          <t>Love Cabaret</t>
        </is>
      </c>
      <c r="F375" s="27" t="n">
        <v>45987</v>
      </c>
      <c r="G375" t="inlineStr">
        <is>
          <t>DEBITO</t>
        </is>
      </c>
      <c r="H375" t="inlineStr">
        <is>
          <t>Emporio M&amp;M Ltda</t>
        </is>
      </c>
      <c r="I375" t="n">
        <v>-159</v>
      </c>
    </row>
    <row r="376">
      <c r="A376" t="n">
        <v>199369</v>
      </c>
      <c r="B376" t="n">
        <v>182</v>
      </c>
      <c r="C376" t="inlineStr">
        <is>
          <t>Love - Shibari - Kamino</t>
        </is>
      </c>
      <c r="D376" t="n">
        <v>128</v>
      </c>
      <c r="E376" t="inlineStr">
        <is>
          <t>Love Cabaret</t>
        </is>
      </c>
      <c r="F376" s="27" t="n">
        <v>45987</v>
      </c>
      <c r="G376" t="inlineStr">
        <is>
          <t>DEBITO</t>
        </is>
      </c>
      <c r="H376" t="inlineStr">
        <is>
          <t>Zahil Importadora Ltda</t>
        </is>
      </c>
      <c r="I376" t="n">
        <v>-1638.7</v>
      </c>
    </row>
    <row r="377">
      <c r="A377" t="n">
        <v>199368</v>
      </c>
      <c r="B377" t="n">
        <v>182</v>
      </c>
      <c r="C377" t="inlineStr">
        <is>
          <t>Love - Shibari - Kamino</t>
        </is>
      </c>
      <c r="D377" t="n">
        <v>128</v>
      </c>
      <c r="E377" t="inlineStr">
        <is>
          <t>Love Cabaret</t>
        </is>
      </c>
      <c r="F377" s="27" t="n">
        <v>45987</v>
      </c>
      <c r="G377" t="inlineStr">
        <is>
          <t>DEBITO</t>
        </is>
      </c>
      <c r="H377" t="inlineStr">
        <is>
          <t>Receita Federal</t>
        </is>
      </c>
      <c r="I377" t="n">
        <v>-611.1</v>
      </c>
    </row>
    <row r="378">
      <c r="A378" t="n">
        <v>199367</v>
      </c>
      <c r="B378" t="n">
        <v>182</v>
      </c>
      <c r="C378" t="inlineStr">
        <is>
          <t>Love - Shibari - Kamino</t>
        </is>
      </c>
      <c r="D378" t="n">
        <v>128</v>
      </c>
      <c r="E378" t="inlineStr">
        <is>
          <t>Love Cabaret</t>
        </is>
      </c>
      <c r="F378" s="27" t="n">
        <v>45987</v>
      </c>
      <c r="G378" t="inlineStr">
        <is>
          <t>DEBITO</t>
        </is>
      </c>
      <c r="H378" t="inlineStr">
        <is>
          <t>King Comercio de Bebidas Ltda</t>
        </is>
      </c>
      <c r="I378" t="n">
        <v>-4557.22</v>
      </c>
    </row>
    <row r="379">
      <c r="A379" t="n">
        <v>199366</v>
      </c>
      <c r="B379" t="n">
        <v>182</v>
      </c>
      <c r="C379" t="inlineStr">
        <is>
          <t>Love - Shibari - Kamino</t>
        </is>
      </c>
      <c r="D379" t="n">
        <v>128</v>
      </c>
      <c r="E379" t="inlineStr">
        <is>
          <t>Love Cabaret</t>
        </is>
      </c>
      <c r="F379" s="27" t="n">
        <v>45987</v>
      </c>
      <c r="G379" t="inlineStr">
        <is>
          <t>DEBITO</t>
        </is>
      </c>
      <c r="H379" t="inlineStr">
        <is>
          <t>29.004.930 Agnes Rodrigues de Oliveira</t>
        </is>
      </c>
      <c r="I379" t="n">
        <v>-800</v>
      </c>
    </row>
    <row r="380">
      <c r="A380" t="n">
        <v>199365</v>
      </c>
      <c r="B380" t="n">
        <v>182</v>
      </c>
      <c r="C380" t="inlineStr">
        <is>
          <t>Love - Shibari - Kamino</t>
        </is>
      </c>
      <c r="D380" t="n">
        <v>128</v>
      </c>
      <c r="E380" t="inlineStr">
        <is>
          <t>Love Cabaret</t>
        </is>
      </c>
      <c r="F380" s="27" t="n">
        <v>45987</v>
      </c>
      <c r="G380" t="inlineStr">
        <is>
          <t>DEBITO</t>
        </is>
      </c>
      <c r="H380" t="inlineStr">
        <is>
          <t>26.033.445 Felipe Paes Seabra</t>
        </is>
      </c>
      <c r="I380" t="n">
        <v>-1050</v>
      </c>
    </row>
    <row r="381">
      <c r="A381" t="n">
        <v>199363</v>
      </c>
      <c r="B381" t="n">
        <v>182</v>
      </c>
      <c r="C381" t="inlineStr">
        <is>
          <t>Love - Shibari - Kamino</t>
        </is>
      </c>
      <c r="D381" t="n">
        <v>128</v>
      </c>
      <c r="E381" t="inlineStr">
        <is>
          <t>Love Cabaret</t>
        </is>
      </c>
      <c r="F381" s="27" t="n">
        <v>45987</v>
      </c>
      <c r="G381" t="inlineStr">
        <is>
          <t>DEBITO</t>
        </is>
      </c>
      <c r="H381" t="inlineStr">
        <is>
          <t>Felipe Ferreira Franca 36496185832</t>
        </is>
      </c>
      <c r="I381" t="n">
        <v>-540.04</v>
      </c>
    </row>
    <row r="382">
      <c r="A382" t="n">
        <v>199362</v>
      </c>
      <c r="B382" t="n">
        <v>182</v>
      </c>
      <c r="C382" t="inlineStr">
        <is>
          <t>Love - Shibari - Kamino</t>
        </is>
      </c>
      <c r="D382" t="n">
        <v>128</v>
      </c>
      <c r="E382" t="inlineStr">
        <is>
          <t>Love Cabaret</t>
        </is>
      </c>
      <c r="F382" s="27" t="n">
        <v>45987</v>
      </c>
      <c r="G382" t="inlineStr">
        <is>
          <t>DEBITO</t>
        </is>
      </c>
      <c r="H382" t="inlineStr">
        <is>
          <t>Indra Haretrava</t>
        </is>
      </c>
      <c r="I382" t="n">
        <v>-47.9</v>
      </c>
    </row>
    <row r="383">
      <c r="A383" t="n">
        <v>199361</v>
      </c>
      <c r="B383" t="n">
        <v>182</v>
      </c>
      <c r="C383" t="inlineStr">
        <is>
          <t>Love - Shibari - Kamino</t>
        </is>
      </c>
      <c r="D383" t="n">
        <v>128</v>
      </c>
      <c r="E383" t="inlineStr">
        <is>
          <t>Love Cabaret</t>
        </is>
      </c>
      <c r="F383" s="27" t="n">
        <v>45987</v>
      </c>
      <c r="G383" t="inlineStr">
        <is>
          <t>DEBITO</t>
        </is>
      </c>
      <c r="H383" t="inlineStr">
        <is>
          <t>Edimar Moura Tartaglioni</t>
        </is>
      </c>
      <c r="I383" t="n">
        <v>-630</v>
      </c>
    </row>
    <row r="384">
      <c r="A384" t="n">
        <v>199360</v>
      </c>
      <c r="B384" t="n">
        <v>182</v>
      </c>
      <c r="C384" t="inlineStr">
        <is>
          <t>Love - Shibari - Kamino</t>
        </is>
      </c>
      <c r="D384" t="n">
        <v>128</v>
      </c>
      <c r="E384" t="inlineStr">
        <is>
          <t>Love Cabaret</t>
        </is>
      </c>
      <c r="F384" s="27" t="n">
        <v>45987</v>
      </c>
      <c r="G384" t="inlineStr">
        <is>
          <t>DEBITO</t>
        </is>
      </c>
      <c r="H384" t="inlineStr">
        <is>
          <t>Receita Federal</t>
        </is>
      </c>
      <c r="I384" t="n">
        <v>-635.33</v>
      </c>
    </row>
    <row r="385">
      <c r="A385" t="n">
        <v>199359</v>
      </c>
      <c r="B385" t="n">
        <v>182</v>
      </c>
      <c r="C385" t="inlineStr">
        <is>
          <t>Love - Shibari - Kamino</t>
        </is>
      </c>
      <c r="D385" t="n">
        <v>128</v>
      </c>
      <c r="E385" t="inlineStr">
        <is>
          <t>Love Cabaret</t>
        </is>
      </c>
      <c r="F385" s="27" t="n">
        <v>45987</v>
      </c>
      <c r="G385" t="inlineStr">
        <is>
          <t>DEBITO</t>
        </is>
      </c>
      <c r="H385" t="inlineStr">
        <is>
          <t>Receita Federal</t>
        </is>
      </c>
      <c r="I385" t="n">
        <v>-1043.83</v>
      </c>
    </row>
    <row r="386">
      <c r="A386" t="n">
        <v>199358</v>
      </c>
      <c r="B386" t="n">
        <v>182</v>
      </c>
      <c r="C386" t="inlineStr">
        <is>
          <t>Love - Shibari - Kamino</t>
        </is>
      </c>
      <c r="D386" t="n">
        <v>128</v>
      </c>
      <c r="E386" t="inlineStr">
        <is>
          <t>Love Cabaret</t>
        </is>
      </c>
      <c r="F386" s="27" t="n">
        <v>45987</v>
      </c>
      <c r="G386" t="inlineStr">
        <is>
          <t>DEBITO</t>
        </is>
      </c>
      <c r="H386" t="inlineStr">
        <is>
          <t>Cia do Whisky</t>
        </is>
      </c>
      <c r="I386" t="n">
        <v>-195.8</v>
      </c>
    </row>
    <row r="387">
      <c r="A387" t="n">
        <v>199357</v>
      </c>
      <c r="B387" t="n">
        <v>182</v>
      </c>
      <c r="C387" t="inlineStr">
        <is>
          <t>Love - Shibari - Kamino</t>
        </is>
      </c>
      <c r="D387" t="n">
        <v>128</v>
      </c>
      <c r="E387" t="inlineStr">
        <is>
          <t>Love Cabaret</t>
        </is>
      </c>
      <c r="F387" s="27" t="n">
        <v>45987</v>
      </c>
      <c r="G387" t="inlineStr">
        <is>
          <t>DEBITO</t>
        </is>
      </c>
      <c r="H387" t="inlineStr">
        <is>
          <t>Luiz Roberto da Silva Junior</t>
        </is>
      </c>
      <c r="I387" t="n">
        <v>-2400</v>
      </c>
    </row>
    <row r="388">
      <c r="A388" t="n">
        <v>199356</v>
      </c>
      <c r="B388" t="n">
        <v>182</v>
      </c>
      <c r="C388" t="inlineStr">
        <is>
          <t>Love - Shibari - Kamino</t>
        </is>
      </c>
      <c r="D388" t="n">
        <v>128</v>
      </c>
      <c r="E388" t="inlineStr">
        <is>
          <t>Love Cabaret</t>
        </is>
      </c>
      <c r="F388" s="27" t="n">
        <v>45987</v>
      </c>
      <c r="G388" t="inlineStr">
        <is>
          <t>DEBITO</t>
        </is>
      </c>
      <c r="H388" t="inlineStr">
        <is>
          <t>Felipe Ferreira Franca 36496185832</t>
        </is>
      </c>
      <c r="I388" t="n">
        <v>-1900</v>
      </c>
    </row>
    <row r="389">
      <c r="A389" t="n">
        <v>199355</v>
      </c>
      <c r="B389" t="n">
        <v>182</v>
      </c>
      <c r="C389" t="inlineStr">
        <is>
          <t>Love - Shibari - Kamino</t>
        </is>
      </c>
      <c r="D389" t="n">
        <v>128</v>
      </c>
      <c r="E389" t="inlineStr">
        <is>
          <t>Love Cabaret</t>
        </is>
      </c>
      <c r="F389" s="27" t="n">
        <v>45987</v>
      </c>
      <c r="G389" t="inlineStr">
        <is>
          <t>DEBITO</t>
        </is>
      </c>
      <c r="H389" t="inlineStr">
        <is>
          <t>Felipe Ferreira Franca 36496185832</t>
        </is>
      </c>
      <c r="I389" t="n">
        <v>-800</v>
      </c>
    </row>
    <row r="390">
      <c r="A390" t="n">
        <v>199354</v>
      </c>
      <c r="B390" t="n">
        <v>182</v>
      </c>
      <c r="C390" t="inlineStr">
        <is>
          <t>Love - Shibari - Kamino</t>
        </is>
      </c>
      <c r="D390" t="n">
        <v>128</v>
      </c>
      <c r="E390" t="inlineStr">
        <is>
          <t>Love Cabaret</t>
        </is>
      </c>
      <c r="F390" s="27" t="n">
        <v>45987</v>
      </c>
      <c r="G390" t="inlineStr">
        <is>
          <t>CREDITO</t>
        </is>
      </c>
      <c r="H390" t="inlineStr">
        <is>
          <t>SHIBARI ART E DIVERSAO LTDA</t>
        </is>
      </c>
      <c r="I390" t="n">
        <v>5000</v>
      </c>
    </row>
    <row r="391">
      <c r="A391" t="n">
        <v>199091</v>
      </c>
      <c r="B391" t="n">
        <v>115</v>
      </c>
      <c r="C391" t="inlineStr">
        <is>
          <t>Love - Shibari - Bradesco</t>
        </is>
      </c>
      <c r="D391" t="n">
        <v>128</v>
      </c>
      <c r="E391" t="inlineStr">
        <is>
          <t>Love Cabaret</t>
        </is>
      </c>
      <c r="F391" s="27" t="n">
        <v>45986.5</v>
      </c>
      <c r="G391" t="inlineStr">
        <is>
          <t>CREDITO</t>
        </is>
      </c>
      <c r="H391" t="inlineStr">
        <is>
          <t>TED-TRANSF ELET DISPON REMET.SYMPLA INTERNET SOLU</t>
        </is>
      </c>
      <c r="I391" t="n">
        <v>11270</v>
      </c>
    </row>
    <row r="392">
      <c r="A392" t="n">
        <v>199090</v>
      </c>
      <c r="B392" t="n">
        <v>115</v>
      </c>
      <c r="C392" t="inlineStr">
        <is>
          <t>Love - Shibari - Bradesco</t>
        </is>
      </c>
      <c r="D392" t="n">
        <v>128</v>
      </c>
      <c r="E392" t="inlineStr">
        <is>
          <t>Love Cabaret</t>
        </is>
      </c>
      <c r="F392" s="27" t="n">
        <v>45986.5</v>
      </c>
      <c r="G392" t="inlineStr">
        <is>
          <t>CREDITO</t>
        </is>
      </c>
      <c r="H392" t="inlineStr">
        <is>
          <t>TED-TRANSF ELET DISPON REMET.Zig Tecnologia S.A.</t>
        </is>
      </c>
      <c r="I392" t="n">
        <v>62314.03</v>
      </c>
    </row>
    <row r="393">
      <c r="A393" t="n">
        <v>199353</v>
      </c>
      <c r="B393" t="n">
        <v>182</v>
      </c>
      <c r="C393" t="inlineStr">
        <is>
          <t>Love - Shibari - Kamino</t>
        </is>
      </c>
      <c r="D393" t="n">
        <v>128</v>
      </c>
      <c r="E393" t="inlineStr">
        <is>
          <t>Love Cabaret</t>
        </is>
      </c>
      <c r="F393" s="27" t="n">
        <v>45986</v>
      </c>
      <c r="G393" t="inlineStr">
        <is>
          <t>DEBITO</t>
        </is>
      </c>
      <c r="H393" t="inlineStr">
        <is>
          <t>GOOGLE BRASIL INTERNET LTDA.</t>
        </is>
      </c>
      <c r="I393" t="n">
        <v>-3000</v>
      </c>
    </row>
    <row r="394">
      <c r="A394" t="n">
        <v>199083</v>
      </c>
      <c r="B394" t="n">
        <v>115</v>
      </c>
      <c r="C394" t="inlineStr">
        <is>
          <t>Love - Shibari - Bradesco</t>
        </is>
      </c>
      <c r="D394" t="n">
        <v>128</v>
      </c>
      <c r="E394" t="inlineStr">
        <is>
          <t>Love Cabaret</t>
        </is>
      </c>
      <c r="F394" s="27" t="n">
        <v>45985.5</v>
      </c>
      <c r="G394" t="inlineStr">
        <is>
          <t>CREDITO</t>
        </is>
      </c>
      <c r="H394" t="inlineStr">
        <is>
          <t>RESG/VENCTO CDB</t>
        </is>
      </c>
      <c r="I394" t="n">
        <v>7882.41</v>
      </c>
    </row>
    <row r="395">
      <c r="A395" t="n">
        <v>199089</v>
      </c>
      <c r="B395" t="n">
        <v>115</v>
      </c>
      <c r="C395" t="inlineStr">
        <is>
          <t>Love - Shibari - Bradesco</t>
        </is>
      </c>
      <c r="D395" t="n">
        <v>128</v>
      </c>
      <c r="E395" t="inlineStr">
        <is>
          <t>Love Cabaret</t>
        </is>
      </c>
      <c r="F395" s="27" t="n">
        <v>45985.5</v>
      </c>
      <c r="G395" t="inlineStr">
        <is>
          <t>DEBITO</t>
        </is>
      </c>
      <c r="H395" t="inlineStr">
        <is>
          <t>TRANSFERENCIA PIX DES: SHIBARI ART E DIVERSA 24/11</t>
        </is>
      </c>
      <c r="I395" t="n">
        <v>-70000</v>
      </c>
    </row>
    <row r="396">
      <c r="A396" t="n">
        <v>199088</v>
      </c>
      <c r="B396" t="n">
        <v>115</v>
      </c>
      <c r="C396" t="inlineStr">
        <is>
          <t>Love - Shibari - Bradesco</t>
        </is>
      </c>
      <c r="D396" t="n">
        <v>128</v>
      </c>
      <c r="E396" t="inlineStr">
        <is>
          <t>Love Cabaret</t>
        </is>
      </c>
      <c r="F396" s="27" t="n">
        <v>45985.5</v>
      </c>
      <c r="G396" t="inlineStr">
        <is>
          <t>DEBITO</t>
        </is>
      </c>
      <c r="H396" t="inlineStr">
        <is>
          <t>TARIFA BANCARIA TRANSF PGTO PIX</t>
        </is>
      </c>
      <c r="I396" t="n">
        <v>-9.800000000000001</v>
      </c>
    </row>
    <row r="397">
      <c r="A397" t="n">
        <v>199330</v>
      </c>
      <c r="B397" t="n">
        <v>182</v>
      </c>
      <c r="C397" t="inlineStr">
        <is>
          <t>Love - Shibari - Kamino</t>
        </is>
      </c>
      <c r="D397" t="n">
        <v>128</v>
      </c>
      <c r="E397" t="inlineStr">
        <is>
          <t>Love Cabaret</t>
        </is>
      </c>
      <c r="F397" s="27" t="n">
        <v>45985</v>
      </c>
      <c r="G397" t="inlineStr">
        <is>
          <t>DEBITO</t>
        </is>
      </c>
      <c r="H397" t="inlineStr">
        <is>
          <t>Pagcerto Instituicao de Pagamento L</t>
        </is>
      </c>
      <c r="I397" t="n">
        <v>-220</v>
      </c>
    </row>
    <row r="398">
      <c r="A398" t="n">
        <v>199352</v>
      </c>
      <c r="B398" t="n">
        <v>182</v>
      </c>
      <c r="C398" t="inlineStr">
        <is>
          <t>Love - Shibari - Kamino</t>
        </is>
      </c>
      <c r="D398" t="n">
        <v>128</v>
      </c>
      <c r="E398" t="inlineStr">
        <is>
          <t>Love Cabaret</t>
        </is>
      </c>
      <c r="F398" s="27" t="n">
        <v>45985</v>
      </c>
      <c r="G398" t="inlineStr">
        <is>
          <t>DEBITO</t>
        </is>
      </c>
      <c r="H398" t="inlineStr">
        <is>
          <t>Eshows Promocoes Artisticas Ltda</t>
        </is>
      </c>
      <c r="I398" t="n">
        <v>-33165</v>
      </c>
    </row>
    <row r="399">
      <c r="A399" t="n">
        <v>199351</v>
      </c>
      <c r="B399" t="n">
        <v>182</v>
      </c>
      <c r="C399" t="inlineStr">
        <is>
          <t>Love - Shibari - Kamino</t>
        </is>
      </c>
      <c r="D399" t="n">
        <v>128</v>
      </c>
      <c r="E399" t="inlineStr">
        <is>
          <t>Love Cabaret</t>
        </is>
      </c>
      <c r="F399" s="27" t="n">
        <v>45985</v>
      </c>
      <c r="G399" t="inlineStr">
        <is>
          <t>DEBITO</t>
        </is>
      </c>
      <c r="H399" t="inlineStr">
        <is>
          <t>Pss - Central da Limpeza Ltda</t>
        </is>
      </c>
      <c r="I399" t="n">
        <v>-684.1</v>
      </c>
    </row>
    <row r="400">
      <c r="A400" t="n">
        <v>199350</v>
      </c>
      <c r="B400" t="n">
        <v>182</v>
      </c>
      <c r="C400" t="inlineStr">
        <is>
          <t>Love - Shibari - Kamino</t>
        </is>
      </c>
      <c r="D400" t="n">
        <v>128</v>
      </c>
      <c r="E400" t="inlineStr">
        <is>
          <t>Love Cabaret</t>
        </is>
      </c>
      <c r="F400" s="27" t="n">
        <v>45985</v>
      </c>
      <c r="G400" t="inlineStr">
        <is>
          <t>DEBITO</t>
        </is>
      </c>
      <c r="H400" t="inlineStr">
        <is>
          <t>W P P C Carnes Eireli Epp</t>
        </is>
      </c>
      <c r="I400" t="n">
        <v>-2439.97</v>
      </c>
    </row>
    <row r="401">
      <c r="A401" t="n">
        <v>199349</v>
      </c>
      <c r="B401" t="n">
        <v>182</v>
      </c>
      <c r="C401" t="inlineStr">
        <is>
          <t>Love - Shibari - Kamino</t>
        </is>
      </c>
      <c r="D401" t="n">
        <v>128</v>
      </c>
      <c r="E401" t="inlineStr">
        <is>
          <t>Love Cabaret</t>
        </is>
      </c>
      <c r="F401" s="27" t="n">
        <v>45985</v>
      </c>
      <c r="G401" t="inlineStr">
        <is>
          <t>DEBITO</t>
        </is>
      </c>
      <c r="H401" t="inlineStr">
        <is>
          <t>Cg Food S Distr Alimentos Ltda</t>
        </is>
      </c>
      <c r="I401" t="n">
        <v>-179.2</v>
      </c>
    </row>
    <row r="402">
      <c r="A402" t="n">
        <v>199348</v>
      </c>
      <c r="B402" t="n">
        <v>182</v>
      </c>
      <c r="C402" t="inlineStr">
        <is>
          <t>Love - Shibari - Kamino</t>
        </is>
      </c>
      <c r="D402" t="n">
        <v>128</v>
      </c>
      <c r="E402" t="inlineStr">
        <is>
          <t>Love Cabaret</t>
        </is>
      </c>
      <c r="F402" s="27" t="n">
        <v>45985</v>
      </c>
      <c r="G402" t="inlineStr">
        <is>
          <t>DEBITO</t>
        </is>
      </c>
      <c r="H402" t="inlineStr">
        <is>
          <t>Lebanon Market Center Eireli</t>
        </is>
      </c>
      <c r="I402" t="n">
        <v>-418.13</v>
      </c>
    </row>
    <row r="403">
      <c r="A403" t="n">
        <v>199347</v>
      </c>
      <c r="B403" t="n">
        <v>182</v>
      </c>
      <c r="C403" t="inlineStr">
        <is>
          <t>Love - Shibari - Kamino</t>
        </is>
      </c>
      <c r="D403" t="n">
        <v>128</v>
      </c>
      <c r="E403" t="inlineStr">
        <is>
          <t>Love Cabaret</t>
        </is>
      </c>
      <c r="F403" s="27" t="n">
        <v>45985</v>
      </c>
      <c r="G403" t="inlineStr">
        <is>
          <t>DEBITO</t>
        </is>
      </c>
      <c r="H403" t="inlineStr">
        <is>
          <t>Front Bebidas Litda</t>
        </is>
      </c>
      <c r="I403" t="n">
        <v>-1599.58</v>
      </c>
    </row>
    <row r="404">
      <c r="A404" t="n">
        <v>199346</v>
      </c>
      <c r="B404" t="n">
        <v>182</v>
      </c>
      <c r="C404" t="inlineStr">
        <is>
          <t>Love - Shibari - Kamino</t>
        </is>
      </c>
      <c r="D404" t="n">
        <v>128</v>
      </c>
      <c r="E404" t="inlineStr">
        <is>
          <t>Love Cabaret</t>
        </is>
      </c>
      <c r="F404" s="27" t="n">
        <v>45985</v>
      </c>
      <c r="G404" t="inlineStr">
        <is>
          <t>DEBITO</t>
        </is>
      </c>
      <c r="H404" t="inlineStr">
        <is>
          <t>Dlocal Brasil I de Pagamentos</t>
        </is>
      </c>
      <c r="I404" t="n">
        <v>-9000</v>
      </c>
    </row>
    <row r="405">
      <c r="A405" t="n">
        <v>199345</v>
      </c>
      <c r="B405" t="n">
        <v>182</v>
      </c>
      <c r="C405" t="inlineStr">
        <is>
          <t>Love - Shibari - Kamino</t>
        </is>
      </c>
      <c r="D405" t="n">
        <v>128</v>
      </c>
      <c r="E405" t="inlineStr">
        <is>
          <t>Love Cabaret</t>
        </is>
      </c>
      <c r="F405" s="27" t="n">
        <v>45985</v>
      </c>
      <c r="G405" t="inlineStr">
        <is>
          <t>DEBITO</t>
        </is>
      </c>
      <c r="H405" t="inlineStr">
        <is>
          <t>Proauto Industria Q Eireli</t>
        </is>
      </c>
      <c r="I405" t="n">
        <v>-927.9</v>
      </c>
    </row>
    <row r="406">
      <c r="A406" t="n">
        <v>199344</v>
      </c>
      <c r="B406" t="n">
        <v>182</v>
      </c>
      <c r="C406" t="inlineStr">
        <is>
          <t>Love - Shibari - Kamino</t>
        </is>
      </c>
      <c r="D406" t="n">
        <v>128</v>
      </c>
      <c r="E406" t="inlineStr">
        <is>
          <t>Love Cabaret</t>
        </is>
      </c>
      <c r="F406" s="27" t="n">
        <v>45985</v>
      </c>
      <c r="G406" t="inlineStr">
        <is>
          <t>DEBITO</t>
        </is>
      </c>
      <c r="H406" t="inlineStr">
        <is>
          <t>Arena Bebidas</t>
        </is>
      </c>
      <c r="I406" t="n">
        <v>-1317.15</v>
      </c>
    </row>
    <row r="407">
      <c r="A407" t="n">
        <v>199343</v>
      </c>
      <c r="B407" t="n">
        <v>182</v>
      </c>
      <c r="C407" t="inlineStr">
        <is>
          <t>Love - Shibari - Kamino</t>
        </is>
      </c>
      <c r="D407" t="n">
        <v>128</v>
      </c>
      <c r="E407" t="inlineStr">
        <is>
          <t>Love Cabaret</t>
        </is>
      </c>
      <c r="F407" s="27" t="n">
        <v>45985</v>
      </c>
      <c r="G407" t="inlineStr">
        <is>
          <t>DEBITO</t>
        </is>
      </c>
      <c r="H407" t="inlineStr">
        <is>
          <t>Destec Solucoes Ltda</t>
        </is>
      </c>
      <c r="I407" t="n">
        <v>-812.7</v>
      </c>
    </row>
    <row r="408">
      <c r="A408" t="n">
        <v>199342</v>
      </c>
      <c r="B408" t="n">
        <v>182</v>
      </c>
      <c r="C408" t="inlineStr">
        <is>
          <t>Love - Shibari - Kamino</t>
        </is>
      </c>
      <c r="D408" t="n">
        <v>128</v>
      </c>
      <c r="E408" t="inlineStr">
        <is>
          <t>Love Cabaret</t>
        </is>
      </c>
      <c r="F408" s="27" t="n">
        <v>45985</v>
      </c>
      <c r="G408" t="inlineStr">
        <is>
          <t>DEBITO</t>
        </is>
      </c>
      <c r="H408" t="inlineStr">
        <is>
          <t>Multifrangos com Alim Ltda Me</t>
        </is>
      </c>
      <c r="I408" t="n">
        <v>-1399.98</v>
      </c>
    </row>
    <row r="409">
      <c r="A409" t="n">
        <v>199340</v>
      </c>
      <c r="B409" t="n">
        <v>182</v>
      </c>
      <c r="C409" t="inlineStr">
        <is>
          <t>Love - Shibari - Kamino</t>
        </is>
      </c>
      <c r="D409" t="n">
        <v>128</v>
      </c>
      <c r="E409" t="inlineStr">
        <is>
          <t>Love Cabaret</t>
        </is>
      </c>
      <c r="F409" s="27" t="n">
        <v>45985</v>
      </c>
      <c r="G409" t="inlineStr">
        <is>
          <t>DEBITO</t>
        </is>
      </c>
      <c r="H409" t="inlineStr">
        <is>
          <t>Mario Pedro Feliciano Hortifru</t>
        </is>
      </c>
      <c r="I409" t="n">
        <v>-201.19</v>
      </c>
    </row>
    <row r="410">
      <c r="A410" t="n">
        <v>199341</v>
      </c>
      <c r="B410" t="n">
        <v>182</v>
      </c>
      <c r="C410" t="inlineStr">
        <is>
          <t>Love - Shibari - Kamino</t>
        </is>
      </c>
      <c r="D410" t="n">
        <v>128</v>
      </c>
      <c r="E410" t="inlineStr">
        <is>
          <t>Love Cabaret</t>
        </is>
      </c>
      <c r="F410" s="27" t="n">
        <v>45985</v>
      </c>
      <c r="G410" t="inlineStr">
        <is>
          <t>DEBITO</t>
        </is>
      </c>
      <c r="H410" t="inlineStr">
        <is>
          <t>Dtk Comercio de Alimentos Ltda Epp</t>
        </is>
      </c>
      <c r="I410" t="n">
        <v>-1116.8</v>
      </c>
    </row>
    <row r="411">
      <c r="A411" t="n">
        <v>199329</v>
      </c>
      <c r="B411" t="n">
        <v>182</v>
      </c>
      <c r="C411" t="inlineStr">
        <is>
          <t>Love - Shibari - Kamino</t>
        </is>
      </c>
      <c r="D411" t="n">
        <v>128</v>
      </c>
      <c r="E411" t="inlineStr">
        <is>
          <t>Love Cabaret</t>
        </is>
      </c>
      <c r="F411" s="27" t="n">
        <v>45985</v>
      </c>
      <c r="G411" t="inlineStr">
        <is>
          <t>CREDITO</t>
        </is>
      </c>
      <c r="H411" t="inlineStr">
        <is>
          <t>SHIBARI ART E DIVERSAO LTDA</t>
        </is>
      </c>
      <c r="I411" t="n">
        <v>70000</v>
      </c>
    </row>
    <row r="412">
      <c r="A412" t="n">
        <v>199331</v>
      </c>
      <c r="B412" t="n">
        <v>182</v>
      </c>
      <c r="C412" t="inlineStr">
        <is>
          <t>Love - Shibari - Kamino</t>
        </is>
      </c>
      <c r="D412" t="n">
        <v>128</v>
      </c>
      <c r="E412" t="inlineStr">
        <is>
          <t>Love Cabaret</t>
        </is>
      </c>
      <c r="F412" s="27" t="n">
        <v>45985</v>
      </c>
      <c r="G412" t="inlineStr">
        <is>
          <t>DEBITO</t>
        </is>
      </c>
      <c r="H412" t="inlineStr">
        <is>
          <t>Cia do Whisky</t>
        </is>
      </c>
      <c r="I412" t="n">
        <v>-90</v>
      </c>
    </row>
    <row r="413">
      <c r="A413" t="n">
        <v>199332</v>
      </c>
      <c r="B413" t="n">
        <v>182</v>
      </c>
      <c r="C413" t="inlineStr">
        <is>
          <t>Love - Shibari - Kamino</t>
        </is>
      </c>
      <c r="D413" t="n">
        <v>128</v>
      </c>
      <c r="E413" t="inlineStr">
        <is>
          <t>Love Cabaret</t>
        </is>
      </c>
      <c r="F413" s="27" t="n">
        <v>45985</v>
      </c>
      <c r="G413" t="inlineStr">
        <is>
          <t>DEBITO</t>
        </is>
      </c>
      <c r="H413" t="inlineStr">
        <is>
          <t>Latem Comercio de Materiais para Constru</t>
        </is>
      </c>
      <c r="I413" t="n">
        <v>-289</v>
      </c>
    </row>
    <row r="414">
      <c r="A414" t="n">
        <v>199333</v>
      </c>
      <c r="B414" t="n">
        <v>182</v>
      </c>
      <c r="C414" t="inlineStr">
        <is>
          <t>Love - Shibari - Kamino</t>
        </is>
      </c>
      <c r="D414" t="n">
        <v>128</v>
      </c>
      <c r="E414" t="inlineStr">
        <is>
          <t>Love Cabaret</t>
        </is>
      </c>
      <c r="F414" s="27" t="n">
        <v>45985</v>
      </c>
      <c r="G414" t="inlineStr">
        <is>
          <t>DEBITO</t>
        </is>
      </c>
      <c r="H414" t="inlineStr">
        <is>
          <t>Comercial Dede</t>
        </is>
      </c>
      <c r="I414" t="n">
        <v>-507</v>
      </c>
    </row>
    <row r="415">
      <c r="A415" t="n">
        <v>199334</v>
      </c>
      <c r="B415" t="n">
        <v>182</v>
      </c>
      <c r="C415" t="inlineStr">
        <is>
          <t>Love - Shibari - Kamino</t>
        </is>
      </c>
      <c r="D415" t="n">
        <v>128</v>
      </c>
      <c r="E415" t="inlineStr">
        <is>
          <t>Love Cabaret</t>
        </is>
      </c>
      <c r="F415" s="27" t="n">
        <v>45985</v>
      </c>
      <c r="G415" t="inlineStr">
        <is>
          <t>DEBITO</t>
        </is>
      </c>
      <c r="H415" t="inlineStr">
        <is>
          <t>Companhia de Gas de Sp Comgas</t>
        </is>
      </c>
      <c r="I415" t="n">
        <v>-1482.21</v>
      </c>
    </row>
    <row r="416">
      <c r="A416" t="n">
        <v>199335</v>
      </c>
      <c r="B416" t="n">
        <v>182</v>
      </c>
      <c r="C416" t="inlineStr">
        <is>
          <t>Love - Shibari - Kamino</t>
        </is>
      </c>
      <c r="D416" t="n">
        <v>128</v>
      </c>
      <c r="E416" t="inlineStr">
        <is>
          <t>Love Cabaret</t>
        </is>
      </c>
      <c r="F416" s="27" t="n">
        <v>45985</v>
      </c>
      <c r="G416" t="inlineStr">
        <is>
          <t>DEBITO</t>
        </is>
      </c>
      <c r="H416" t="inlineStr">
        <is>
          <t>Forte Alimentos Comercio e Importacao Lt</t>
        </is>
      </c>
      <c r="I416" t="n">
        <v>-577.5</v>
      </c>
    </row>
    <row r="417">
      <c r="A417" t="n">
        <v>199336</v>
      </c>
      <c r="B417" t="n">
        <v>182</v>
      </c>
      <c r="C417" t="inlineStr">
        <is>
          <t>Love - Shibari - Kamino</t>
        </is>
      </c>
      <c r="D417" t="n">
        <v>128</v>
      </c>
      <c r="E417" t="inlineStr">
        <is>
          <t>Love Cabaret</t>
        </is>
      </c>
      <c r="F417" s="27" t="n">
        <v>45985</v>
      </c>
      <c r="G417" t="inlineStr">
        <is>
          <t>DEBITO</t>
        </is>
      </c>
      <c r="H417" t="inlineStr">
        <is>
          <t>Cia do Whisky</t>
        </is>
      </c>
      <c r="I417" t="n">
        <v>-1858.8</v>
      </c>
    </row>
    <row r="418">
      <c r="A418" t="n">
        <v>199337</v>
      </c>
      <c r="B418" t="n">
        <v>182</v>
      </c>
      <c r="C418" t="inlineStr">
        <is>
          <t>Love - Shibari - Kamino</t>
        </is>
      </c>
      <c r="D418" t="n">
        <v>128</v>
      </c>
      <c r="E418" t="inlineStr">
        <is>
          <t>Love Cabaret</t>
        </is>
      </c>
      <c r="F418" s="27" t="n">
        <v>45985</v>
      </c>
      <c r="G418" t="inlineStr">
        <is>
          <t>DEBITO</t>
        </is>
      </c>
      <c r="H418" t="inlineStr">
        <is>
          <t>Horta Nova Distribuidora de Hortifruti L</t>
        </is>
      </c>
      <c r="I418" t="n">
        <v>-236.3</v>
      </c>
    </row>
    <row r="419">
      <c r="A419" t="n">
        <v>199338</v>
      </c>
      <c r="B419" t="n">
        <v>182</v>
      </c>
      <c r="C419" t="inlineStr">
        <is>
          <t>Love - Shibari - Kamino</t>
        </is>
      </c>
      <c r="D419" t="n">
        <v>128</v>
      </c>
      <c r="E419" t="inlineStr">
        <is>
          <t>Love Cabaret</t>
        </is>
      </c>
      <c r="F419" s="27" t="n">
        <v>45985</v>
      </c>
      <c r="G419" t="inlineStr">
        <is>
          <t>DEBITO</t>
        </is>
      </c>
      <c r="H419" t="inlineStr">
        <is>
          <t>Horta Nova Distribuidora de Hortifruti L</t>
        </is>
      </c>
      <c r="I419" t="n">
        <v>-206.26</v>
      </c>
    </row>
    <row r="420">
      <c r="A420" t="n">
        <v>199339</v>
      </c>
      <c r="B420" t="n">
        <v>182</v>
      </c>
      <c r="C420" t="inlineStr">
        <is>
          <t>Love - Shibari - Kamino</t>
        </is>
      </c>
      <c r="D420" t="n">
        <v>128</v>
      </c>
      <c r="E420" t="inlineStr">
        <is>
          <t>Love Cabaret</t>
        </is>
      </c>
      <c r="F420" s="27" t="n">
        <v>45985</v>
      </c>
      <c r="G420" t="inlineStr">
        <is>
          <t>DEBITO</t>
        </is>
      </c>
      <c r="H420" t="inlineStr">
        <is>
          <t>Cecilia Tsuyaco Araki Silva Ltda</t>
        </is>
      </c>
      <c r="I420" t="n">
        <v>-193.2</v>
      </c>
    </row>
    <row r="421">
      <c r="A421" t="n">
        <v>199082</v>
      </c>
      <c r="B421" t="n">
        <v>115</v>
      </c>
      <c r="C421" t="inlineStr">
        <is>
          <t>Love - Shibari - Bradesco</t>
        </is>
      </c>
      <c r="D421" t="n">
        <v>128</v>
      </c>
      <c r="E421" t="inlineStr">
        <is>
          <t>Love Cabaret</t>
        </is>
      </c>
      <c r="F421" s="27" t="n">
        <v>45982.5</v>
      </c>
      <c r="G421" t="inlineStr">
        <is>
          <t>CREDITO</t>
        </is>
      </c>
      <c r="H421" t="inlineStr">
        <is>
          <t>TRANSFERENCIA PIX REM: PRISCILA APARECIDA PE 21/11</t>
        </is>
      </c>
      <c r="I421" t="n">
        <v>155</v>
      </c>
    </row>
    <row r="422">
      <c r="A422" t="n">
        <v>199081</v>
      </c>
      <c r="B422" t="n">
        <v>115</v>
      </c>
      <c r="C422" t="inlineStr">
        <is>
          <t>Love - Shibari - Bradesco</t>
        </is>
      </c>
      <c r="D422" t="n">
        <v>128</v>
      </c>
      <c r="E422" t="inlineStr">
        <is>
          <t>Love Cabaret</t>
        </is>
      </c>
      <c r="F422" s="27" t="n">
        <v>45982.5</v>
      </c>
      <c r="G422" t="inlineStr">
        <is>
          <t>CREDITO</t>
        </is>
      </c>
      <c r="H422" t="inlineStr">
        <is>
          <t>DEP DINHEIRO ATM AG00117MAQ061059SEQ09990</t>
        </is>
      </c>
      <c r="I422" t="n">
        <v>590</v>
      </c>
    </row>
    <row r="423">
      <c r="A423" t="n">
        <v>199072</v>
      </c>
      <c r="B423" t="n">
        <v>115</v>
      </c>
      <c r="C423" t="inlineStr">
        <is>
          <t>Love - Shibari - Bradesco</t>
        </is>
      </c>
      <c r="D423" t="n">
        <v>128</v>
      </c>
      <c r="E423" t="inlineStr">
        <is>
          <t>Love Cabaret</t>
        </is>
      </c>
      <c r="F423" s="27" t="n">
        <v>45980.5</v>
      </c>
      <c r="G423" t="inlineStr">
        <is>
          <t>CREDITO</t>
        </is>
      </c>
      <c r="H423" t="inlineStr">
        <is>
          <t>TED-TRANSF ELET DISPON REMET.Zig Tecnologia S.A.</t>
        </is>
      </c>
      <c r="I423" t="n">
        <v>31488.51</v>
      </c>
    </row>
    <row r="424">
      <c r="A424" t="n">
        <v>199080</v>
      </c>
      <c r="B424" t="n">
        <v>115</v>
      </c>
      <c r="C424" t="inlineStr">
        <is>
          <t>Love - Shibari - Bradesco</t>
        </is>
      </c>
      <c r="D424" t="n">
        <v>128</v>
      </c>
      <c r="E424" t="inlineStr">
        <is>
          <t>Love Cabaret</t>
        </is>
      </c>
      <c r="F424" s="27" t="n">
        <v>45980.5</v>
      </c>
      <c r="G424" t="inlineStr">
        <is>
          <t>DEBITO</t>
        </is>
      </c>
      <c r="H424" t="inlineStr">
        <is>
          <t>TRANSFERENCIA PIX DES: SHIBARI ART E DIVERSA 19/11</t>
        </is>
      </c>
      <c r="I424" t="n">
        <v>-30000</v>
      </c>
    </row>
    <row r="425">
      <c r="A425" t="n">
        <v>199079</v>
      </c>
      <c r="B425" t="n">
        <v>115</v>
      </c>
      <c r="C425" t="inlineStr">
        <is>
          <t>Love - Shibari - Bradesco</t>
        </is>
      </c>
      <c r="D425" t="n">
        <v>128</v>
      </c>
      <c r="E425" t="inlineStr">
        <is>
          <t>Love Cabaret</t>
        </is>
      </c>
      <c r="F425" s="27" t="n">
        <v>45980.5</v>
      </c>
      <c r="G425" t="inlineStr">
        <is>
          <t>DEBITO</t>
        </is>
      </c>
      <c r="H425" t="inlineStr">
        <is>
          <t>TARIFA BANCARIA TRANSF PGTO PIX</t>
        </is>
      </c>
      <c r="I425" t="n">
        <v>-9.800000000000001</v>
      </c>
    </row>
    <row r="426">
      <c r="A426" t="n">
        <v>199078</v>
      </c>
      <c r="B426" t="n">
        <v>115</v>
      </c>
      <c r="C426" t="inlineStr">
        <is>
          <t>Love - Shibari - Bradesco</t>
        </is>
      </c>
      <c r="D426" t="n">
        <v>128</v>
      </c>
      <c r="E426" t="inlineStr">
        <is>
          <t>Love Cabaret</t>
        </is>
      </c>
      <c r="F426" s="27" t="n">
        <v>45980.5</v>
      </c>
      <c r="G426" t="inlineStr">
        <is>
          <t>CREDITO</t>
        </is>
      </c>
      <c r="H426" t="inlineStr">
        <is>
          <t>TRANSFERENCIA PIX REM: JOAO GUILH CARD CORRE 19/11</t>
        </is>
      </c>
      <c r="I426" t="n">
        <v>5000</v>
      </c>
    </row>
    <row r="427">
      <c r="A427" t="n">
        <v>199077</v>
      </c>
      <c r="B427" t="n">
        <v>115</v>
      </c>
      <c r="C427" t="inlineStr">
        <is>
          <t>Love - Shibari - Bradesco</t>
        </is>
      </c>
      <c r="D427" t="n">
        <v>128</v>
      </c>
      <c r="E427" t="inlineStr">
        <is>
          <t>Love Cabaret</t>
        </is>
      </c>
      <c r="F427" s="27" t="n">
        <v>45980.5</v>
      </c>
      <c r="G427" t="inlineStr">
        <is>
          <t>CREDITO</t>
        </is>
      </c>
      <c r="H427" t="inlineStr">
        <is>
          <t>TRANSFERENCIA PIX REM: PRISCILA APARECIDA PE 19/11</t>
        </is>
      </c>
      <c r="I427" t="n">
        <v>77.5</v>
      </c>
    </row>
    <row r="428">
      <c r="A428" t="n">
        <v>199076</v>
      </c>
      <c r="B428" t="n">
        <v>115</v>
      </c>
      <c r="C428" t="inlineStr">
        <is>
          <t>Love - Shibari - Bradesco</t>
        </is>
      </c>
      <c r="D428" t="n">
        <v>128</v>
      </c>
      <c r="E428" t="inlineStr">
        <is>
          <t>Love Cabaret</t>
        </is>
      </c>
      <c r="F428" s="27" t="n">
        <v>45980.5</v>
      </c>
      <c r="G428" t="inlineStr">
        <is>
          <t>CREDITO</t>
        </is>
      </c>
      <c r="H428" t="inlineStr">
        <is>
          <t>TRANSFERENCIA PIX REM: RAPHAELLA AVENA CARDO 19/11</t>
        </is>
      </c>
      <c r="I428" t="n">
        <v>186</v>
      </c>
    </row>
    <row r="429">
      <c r="A429" t="n">
        <v>199075</v>
      </c>
      <c r="B429" t="n">
        <v>115</v>
      </c>
      <c r="C429" t="inlineStr">
        <is>
          <t>Love - Shibari - Bradesco</t>
        </is>
      </c>
      <c r="D429" t="n">
        <v>128</v>
      </c>
      <c r="E429" t="inlineStr">
        <is>
          <t>Love Cabaret</t>
        </is>
      </c>
      <c r="F429" s="27" t="n">
        <v>45980.5</v>
      </c>
      <c r="G429" t="inlineStr">
        <is>
          <t>CREDITO</t>
        </is>
      </c>
      <c r="H429" t="inlineStr">
        <is>
          <t>TRANSFERENCIA PIX REM: PRISCILA APARECIDA PE 19/11</t>
        </is>
      </c>
      <c r="I429" t="n">
        <v>155</v>
      </c>
    </row>
    <row r="430">
      <c r="A430" t="n">
        <v>199074</v>
      </c>
      <c r="B430" t="n">
        <v>115</v>
      </c>
      <c r="C430" t="inlineStr">
        <is>
          <t>Love - Shibari - Bradesco</t>
        </is>
      </c>
      <c r="D430" t="n">
        <v>128</v>
      </c>
      <c r="E430" t="inlineStr">
        <is>
          <t>Love Cabaret</t>
        </is>
      </c>
      <c r="F430" s="27" t="n">
        <v>45980.5</v>
      </c>
      <c r="G430" t="inlineStr">
        <is>
          <t>CREDITO</t>
        </is>
      </c>
      <c r="H430" t="inlineStr">
        <is>
          <t>TED-TRANSF ELET DISPON REMET.SYMPLA INTERNET SOLU</t>
        </is>
      </c>
      <c r="I430" t="n">
        <v>13600</v>
      </c>
    </row>
    <row r="431">
      <c r="A431" t="n">
        <v>199073</v>
      </c>
      <c r="B431" t="n">
        <v>115</v>
      </c>
      <c r="C431" t="inlineStr">
        <is>
          <t>Love - Shibari - Bradesco</t>
        </is>
      </c>
      <c r="D431" t="n">
        <v>128</v>
      </c>
      <c r="E431" t="inlineStr">
        <is>
          <t>Love Cabaret</t>
        </is>
      </c>
      <c r="F431" s="27" t="n">
        <v>45980.5</v>
      </c>
      <c r="G431" t="inlineStr">
        <is>
          <t>CREDITO</t>
        </is>
      </c>
      <c r="H431" t="inlineStr">
        <is>
          <t>TED-TRANSF ELET DISPON REMET.SYMPLA INTERNET SOLU</t>
        </is>
      </c>
      <c r="I431" t="n">
        <v>11455</v>
      </c>
    </row>
    <row r="432">
      <c r="A432" t="n">
        <v>199323</v>
      </c>
      <c r="B432" t="n">
        <v>182</v>
      </c>
      <c r="C432" t="inlineStr">
        <is>
          <t>Love - Shibari - Kamino</t>
        </is>
      </c>
      <c r="D432" t="n">
        <v>128</v>
      </c>
      <c r="E432" t="inlineStr">
        <is>
          <t>Love Cabaret</t>
        </is>
      </c>
      <c r="F432" s="27" t="n">
        <v>45980</v>
      </c>
      <c r="G432" t="inlineStr">
        <is>
          <t>DEBITO</t>
        </is>
      </c>
      <c r="H432" t="inlineStr">
        <is>
          <t>King Comercio de Bebidas Ltda</t>
        </is>
      </c>
      <c r="I432" t="n">
        <v>-4557.22</v>
      </c>
    </row>
    <row r="433">
      <c r="A433" t="n">
        <v>199311</v>
      </c>
      <c r="B433" t="n">
        <v>182</v>
      </c>
      <c r="C433" t="inlineStr">
        <is>
          <t>Love - Shibari - Kamino</t>
        </is>
      </c>
      <c r="D433" t="n">
        <v>128</v>
      </c>
      <c r="E433" t="inlineStr">
        <is>
          <t>Love Cabaret</t>
        </is>
      </c>
      <c r="F433" s="27" t="n">
        <v>45980</v>
      </c>
      <c r="G433" t="inlineStr">
        <is>
          <t>DEBITO</t>
        </is>
      </c>
      <c r="H433" t="inlineStr">
        <is>
          <t>29.004.930 Agnes Rodrigues de Oliveira</t>
        </is>
      </c>
      <c r="I433" t="n">
        <v>-800</v>
      </c>
    </row>
    <row r="434">
      <c r="A434" t="n">
        <v>199322</v>
      </c>
      <c r="B434" t="n">
        <v>182</v>
      </c>
      <c r="C434" t="inlineStr">
        <is>
          <t>Love - Shibari - Kamino</t>
        </is>
      </c>
      <c r="D434" t="n">
        <v>128</v>
      </c>
      <c r="E434" t="inlineStr">
        <is>
          <t>Love Cabaret</t>
        </is>
      </c>
      <c r="F434" s="27" t="n">
        <v>45980</v>
      </c>
      <c r="G434" t="inlineStr">
        <is>
          <t>DEBITO</t>
        </is>
      </c>
      <c r="H434" t="inlineStr">
        <is>
          <t>Hnk Br Bebidas Ltda</t>
        </is>
      </c>
      <c r="I434" t="n">
        <v>-455.61</v>
      </c>
    </row>
    <row r="435">
      <c r="A435" t="n">
        <v>199321</v>
      </c>
      <c r="B435" t="n">
        <v>182</v>
      </c>
      <c r="C435" t="inlineStr">
        <is>
          <t>Love - Shibari - Kamino</t>
        </is>
      </c>
      <c r="D435" t="n">
        <v>128</v>
      </c>
      <c r="E435" t="inlineStr">
        <is>
          <t>Love Cabaret</t>
        </is>
      </c>
      <c r="F435" s="27" t="n">
        <v>45980</v>
      </c>
      <c r="G435" t="inlineStr">
        <is>
          <t>DEBITO</t>
        </is>
      </c>
      <c r="H435" t="inlineStr">
        <is>
          <t>Receita Federal</t>
        </is>
      </c>
      <c r="I435" t="n">
        <v>-208.83</v>
      </c>
    </row>
    <row r="436">
      <c r="A436" t="n">
        <v>199320</v>
      </c>
      <c r="B436" t="n">
        <v>182</v>
      </c>
      <c r="C436" t="inlineStr">
        <is>
          <t>Love - Shibari - Kamino</t>
        </is>
      </c>
      <c r="D436" t="n">
        <v>128</v>
      </c>
      <c r="E436" t="inlineStr">
        <is>
          <t>Love Cabaret</t>
        </is>
      </c>
      <c r="F436" s="27" t="n">
        <v>45980</v>
      </c>
      <c r="G436" t="inlineStr">
        <is>
          <t>DEBITO</t>
        </is>
      </c>
      <c r="H436" t="inlineStr">
        <is>
          <t>Porto Seguro Cia de Seguros Gerais</t>
        </is>
      </c>
      <c r="I436" t="n">
        <v>-80.40000000000001</v>
      </c>
    </row>
    <row r="437">
      <c r="A437" t="n">
        <v>199319</v>
      </c>
      <c r="B437" t="n">
        <v>182</v>
      </c>
      <c r="C437" t="inlineStr">
        <is>
          <t>Love - Shibari - Kamino</t>
        </is>
      </c>
      <c r="D437" t="n">
        <v>128</v>
      </c>
      <c r="E437" t="inlineStr">
        <is>
          <t>Love Cabaret</t>
        </is>
      </c>
      <c r="F437" s="27" t="n">
        <v>45980</v>
      </c>
      <c r="G437" t="inlineStr">
        <is>
          <t>DEBITO</t>
        </is>
      </c>
      <c r="H437" t="inlineStr">
        <is>
          <t>Cecilia Tsuyaco Araki Silva Ltda</t>
        </is>
      </c>
      <c r="I437" t="n">
        <v>-116</v>
      </c>
    </row>
    <row r="438">
      <c r="A438" t="n">
        <v>199318</v>
      </c>
      <c r="B438" t="n">
        <v>182</v>
      </c>
      <c r="C438" t="inlineStr">
        <is>
          <t>Love - Shibari - Kamino</t>
        </is>
      </c>
      <c r="D438" t="n">
        <v>128</v>
      </c>
      <c r="E438" t="inlineStr">
        <is>
          <t>Love Cabaret</t>
        </is>
      </c>
      <c r="F438" s="27" t="n">
        <v>45980</v>
      </c>
      <c r="G438" t="inlineStr">
        <is>
          <t>DEBITO</t>
        </is>
      </c>
      <c r="H438" t="inlineStr">
        <is>
          <t>Fabrica de Bares Servicos Ltda</t>
        </is>
      </c>
      <c r="I438" t="n">
        <v>-92.45999999999999</v>
      </c>
    </row>
    <row r="439">
      <c r="A439" t="n">
        <v>199317</v>
      </c>
      <c r="B439" t="n">
        <v>182</v>
      </c>
      <c r="C439" t="inlineStr">
        <is>
          <t>Love - Shibari - Kamino</t>
        </is>
      </c>
      <c r="D439" t="n">
        <v>128</v>
      </c>
      <c r="E439" t="inlineStr">
        <is>
          <t>Love Cabaret</t>
        </is>
      </c>
      <c r="F439" s="27" t="n">
        <v>45980</v>
      </c>
      <c r="G439" t="inlineStr">
        <is>
          <t>DEBITO</t>
        </is>
      </c>
      <c r="H439" t="inlineStr">
        <is>
          <t>Proauto Industria Q Eireli</t>
        </is>
      </c>
      <c r="I439" t="n">
        <v>-1654.6</v>
      </c>
    </row>
    <row r="440">
      <c r="A440" t="n">
        <v>199316</v>
      </c>
      <c r="B440" t="n">
        <v>182</v>
      </c>
      <c r="C440" t="inlineStr">
        <is>
          <t>Love - Shibari - Kamino</t>
        </is>
      </c>
      <c r="D440" t="n">
        <v>128</v>
      </c>
      <c r="E440" t="inlineStr">
        <is>
          <t>Love Cabaret</t>
        </is>
      </c>
      <c r="F440" s="27" t="n">
        <v>45980</v>
      </c>
      <c r="G440" t="inlineStr">
        <is>
          <t>DEBITO</t>
        </is>
      </c>
      <c r="H440" t="inlineStr">
        <is>
          <t>Brh Saude Ocupacional Ltda Epp</t>
        </is>
      </c>
      <c r="I440" t="n">
        <v>-43.6</v>
      </c>
    </row>
    <row r="441">
      <c r="A441" t="n">
        <v>199315</v>
      </c>
      <c r="B441" t="n">
        <v>182</v>
      </c>
      <c r="C441" t="inlineStr">
        <is>
          <t>Love - Shibari - Kamino</t>
        </is>
      </c>
      <c r="D441" t="n">
        <v>128</v>
      </c>
      <c r="E441" t="inlineStr">
        <is>
          <t>Love Cabaret</t>
        </is>
      </c>
      <c r="F441" s="27" t="n">
        <v>45980</v>
      </c>
      <c r="G441" t="inlineStr">
        <is>
          <t>DEBITO</t>
        </is>
      </c>
      <c r="H441" t="inlineStr">
        <is>
          <t>Cecilia Tsuyaco Araki Silva Ltda</t>
        </is>
      </c>
      <c r="I441" t="n">
        <v>-143.58</v>
      </c>
    </row>
    <row r="442">
      <c r="A442" t="n">
        <v>199314</v>
      </c>
      <c r="B442" t="n">
        <v>182</v>
      </c>
      <c r="C442" t="inlineStr">
        <is>
          <t>Love - Shibari - Kamino</t>
        </is>
      </c>
      <c r="D442" t="n">
        <v>128</v>
      </c>
      <c r="E442" t="inlineStr">
        <is>
          <t>Love Cabaret</t>
        </is>
      </c>
      <c r="F442" s="27" t="n">
        <v>45980</v>
      </c>
      <c r="G442" t="inlineStr">
        <is>
          <t>DEBITO</t>
        </is>
      </c>
      <c r="H442" t="inlineStr">
        <is>
          <t>Receita Federal</t>
        </is>
      </c>
      <c r="I442" t="n">
        <v>-685.3</v>
      </c>
    </row>
    <row r="443">
      <c r="A443" t="n">
        <v>199313</v>
      </c>
      <c r="B443" t="n">
        <v>182</v>
      </c>
      <c r="C443" t="inlineStr">
        <is>
          <t>Love - Shibari - Kamino</t>
        </is>
      </c>
      <c r="D443" t="n">
        <v>128</v>
      </c>
      <c r="E443" t="inlineStr">
        <is>
          <t>Love Cabaret</t>
        </is>
      </c>
      <c r="F443" s="27" t="n">
        <v>45980</v>
      </c>
      <c r="G443" t="inlineStr">
        <is>
          <t>DEBITO</t>
        </is>
      </c>
      <c r="H443" t="inlineStr">
        <is>
          <t>Sabesp</t>
        </is>
      </c>
      <c r="I443" t="n">
        <v>-153.96</v>
      </c>
    </row>
    <row r="444">
      <c r="A444" t="n">
        <v>199312</v>
      </c>
      <c r="B444" t="n">
        <v>182</v>
      </c>
      <c r="C444" t="inlineStr">
        <is>
          <t>Love - Shibari - Kamino</t>
        </is>
      </c>
      <c r="D444" t="n">
        <v>128</v>
      </c>
      <c r="E444" t="inlineStr">
        <is>
          <t>Love Cabaret</t>
        </is>
      </c>
      <c r="F444" s="27" t="n">
        <v>45980</v>
      </c>
      <c r="G444" t="inlineStr">
        <is>
          <t>DEBITO</t>
        </is>
      </c>
      <c r="H444" t="inlineStr">
        <is>
          <t>Receita Federal</t>
        </is>
      </c>
      <c r="I444" t="n">
        <v>-678.23</v>
      </c>
    </row>
    <row r="445">
      <c r="A445" t="n">
        <v>199310</v>
      </c>
      <c r="B445" t="n">
        <v>182</v>
      </c>
      <c r="C445" t="inlineStr">
        <is>
          <t>Love - Shibari - Kamino</t>
        </is>
      </c>
      <c r="D445" t="n">
        <v>128</v>
      </c>
      <c r="E445" t="inlineStr">
        <is>
          <t>Love Cabaret</t>
        </is>
      </c>
      <c r="F445" s="27" t="n">
        <v>45980</v>
      </c>
      <c r="G445" t="inlineStr">
        <is>
          <t>DEBITO</t>
        </is>
      </c>
      <c r="H445" t="inlineStr">
        <is>
          <t>Marcos Silva do Nascimento</t>
        </is>
      </c>
      <c r="I445" t="n">
        <v>-279.86</v>
      </c>
    </row>
    <row r="446">
      <c r="A446" t="n">
        <v>199309</v>
      </c>
      <c r="B446" t="n">
        <v>182</v>
      </c>
      <c r="C446" t="inlineStr">
        <is>
          <t>Love - Shibari - Kamino</t>
        </is>
      </c>
      <c r="D446" t="n">
        <v>128</v>
      </c>
      <c r="E446" t="inlineStr">
        <is>
          <t>Love Cabaret</t>
        </is>
      </c>
      <c r="F446" s="27" t="n">
        <v>45980</v>
      </c>
      <c r="G446" t="inlineStr">
        <is>
          <t>DEBITO</t>
        </is>
      </c>
      <c r="H446" t="inlineStr">
        <is>
          <t>Wines4u com Imp Exp Vinhos Lt</t>
        </is>
      </c>
      <c r="I446" t="n">
        <v>-1377</v>
      </c>
    </row>
    <row r="447">
      <c r="A447" t="n">
        <v>199308</v>
      </c>
      <c r="B447" t="n">
        <v>182</v>
      </c>
      <c r="C447" t="inlineStr">
        <is>
          <t>Love - Shibari - Kamino</t>
        </is>
      </c>
      <c r="D447" t="n">
        <v>128</v>
      </c>
      <c r="E447" t="inlineStr">
        <is>
          <t>Love Cabaret</t>
        </is>
      </c>
      <c r="F447" s="27" t="n">
        <v>45980</v>
      </c>
      <c r="G447" t="inlineStr">
        <is>
          <t>DEBITO</t>
        </is>
      </c>
      <c r="H447" t="inlineStr">
        <is>
          <t>Alphalix Ambiental Locacao de Equipament</t>
        </is>
      </c>
      <c r="I447" t="n">
        <v>-1455.97</v>
      </c>
    </row>
    <row r="448">
      <c r="A448" t="n">
        <v>199307</v>
      </c>
      <c r="B448" t="n">
        <v>182</v>
      </c>
      <c r="C448" t="inlineStr">
        <is>
          <t>Love - Shibari - Kamino</t>
        </is>
      </c>
      <c r="D448" t="n">
        <v>128</v>
      </c>
      <c r="E448" t="inlineStr">
        <is>
          <t>Love Cabaret</t>
        </is>
      </c>
      <c r="F448" s="27" t="n">
        <v>45980</v>
      </c>
      <c r="G448" t="inlineStr">
        <is>
          <t>DEBITO</t>
        </is>
      </c>
      <c r="H448" t="inlineStr">
        <is>
          <t>Fabrica de Bares Servicos Ltda</t>
        </is>
      </c>
      <c r="I448" t="n">
        <v>-100</v>
      </c>
    </row>
    <row r="449">
      <c r="A449" t="n">
        <v>199306</v>
      </c>
      <c r="B449" t="n">
        <v>182</v>
      </c>
      <c r="C449" t="inlineStr">
        <is>
          <t>Love - Shibari - Kamino</t>
        </is>
      </c>
      <c r="D449" t="n">
        <v>128</v>
      </c>
      <c r="E449" t="inlineStr">
        <is>
          <t>Love Cabaret</t>
        </is>
      </c>
      <c r="F449" s="27" t="n">
        <v>45980</v>
      </c>
      <c r="G449" t="inlineStr">
        <is>
          <t>CREDITO</t>
        </is>
      </c>
      <c r="H449" t="inlineStr">
        <is>
          <t>SHIBARI ART E DIVERSAO LTDA</t>
        </is>
      </c>
      <c r="I449" t="n">
        <v>30000</v>
      </c>
    </row>
    <row r="450">
      <c r="A450" t="n">
        <v>199324</v>
      </c>
      <c r="B450" t="n">
        <v>182</v>
      </c>
      <c r="C450" t="inlineStr">
        <is>
          <t>Love - Shibari - Kamino</t>
        </is>
      </c>
      <c r="D450" t="n">
        <v>128</v>
      </c>
      <c r="E450" t="inlineStr">
        <is>
          <t>Love Cabaret</t>
        </is>
      </c>
      <c r="F450" s="27" t="n">
        <v>45980</v>
      </c>
      <c r="G450" t="inlineStr">
        <is>
          <t>DEBITO</t>
        </is>
      </c>
      <c r="H450" t="inlineStr">
        <is>
          <t>Preshh Bar Ltda</t>
        </is>
      </c>
      <c r="I450" t="n">
        <v>-198</v>
      </c>
    </row>
    <row r="451">
      <c r="A451" t="n">
        <v>199325</v>
      </c>
      <c r="B451" t="n">
        <v>182</v>
      </c>
      <c r="C451" t="inlineStr">
        <is>
          <t>Love - Shibari - Kamino</t>
        </is>
      </c>
      <c r="D451" t="n">
        <v>128</v>
      </c>
      <c r="E451" t="inlineStr">
        <is>
          <t>Love Cabaret</t>
        </is>
      </c>
      <c r="F451" s="27" t="n">
        <v>45980</v>
      </c>
      <c r="G451" t="inlineStr">
        <is>
          <t>DEBITO</t>
        </is>
      </c>
      <c r="H451" t="inlineStr">
        <is>
          <t>Opus Consultoria e Pesquisa Ltda</t>
        </is>
      </c>
      <c r="I451" t="n">
        <v>-300</v>
      </c>
    </row>
    <row r="452">
      <c r="A452" t="n">
        <v>199326</v>
      </c>
      <c r="B452" t="n">
        <v>182</v>
      </c>
      <c r="C452" t="inlineStr">
        <is>
          <t>Love - Shibari - Kamino</t>
        </is>
      </c>
      <c r="D452" t="n">
        <v>128</v>
      </c>
      <c r="E452" t="inlineStr">
        <is>
          <t>Love Cabaret</t>
        </is>
      </c>
      <c r="F452" s="27" t="n">
        <v>45980</v>
      </c>
      <c r="G452" t="inlineStr">
        <is>
          <t>DEBITO</t>
        </is>
      </c>
      <c r="H452" t="inlineStr">
        <is>
          <t>Gomes D Elia Equipamentos de H</t>
        </is>
      </c>
      <c r="I452" t="n">
        <v>-551.14</v>
      </c>
    </row>
    <row r="453">
      <c r="A453" t="n">
        <v>199327</v>
      </c>
      <c r="B453" t="n">
        <v>182</v>
      </c>
      <c r="C453" t="inlineStr">
        <is>
          <t>Love - Shibari - Kamino</t>
        </is>
      </c>
      <c r="D453" t="n">
        <v>128</v>
      </c>
      <c r="E453" t="inlineStr">
        <is>
          <t>Love Cabaret</t>
        </is>
      </c>
      <c r="F453" s="27" t="n">
        <v>45980</v>
      </c>
      <c r="G453" t="inlineStr">
        <is>
          <t>DEBITO</t>
        </is>
      </c>
      <c r="H453" t="inlineStr">
        <is>
          <t>Horta Nova Distribuidora de Hortifruti L</t>
        </is>
      </c>
      <c r="I453" t="n">
        <v>-93.15000000000001</v>
      </c>
    </row>
    <row r="454">
      <c r="A454" t="n">
        <v>199328</v>
      </c>
      <c r="B454" t="n">
        <v>182</v>
      </c>
      <c r="C454" t="inlineStr">
        <is>
          <t>Love - Shibari - Kamino</t>
        </is>
      </c>
      <c r="D454" t="n">
        <v>128</v>
      </c>
      <c r="E454" t="inlineStr">
        <is>
          <t>Love Cabaret</t>
        </is>
      </c>
      <c r="F454" s="27" t="n">
        <v>45980</v>
      </c>
      <c r="G454" t="inlineStr">
        <is>
          <t>DEBITO</t>
        </is>
      </c>
      <c r="H454" t="inlineStr">
        <is>
          <t>Receita Federal</t>
        </is>
      </c>
      <c r="I454" t="n">
        <v>-9415.98</v>
      </c>
    </row>
    <row r="455">
      <c r="A455" t="n">
        <v>199069</v>
      </c>
      <c r="B455" t="n">
        <v>115</v>
      </c>
      <c r="C455" t="inlineStr">
        <is>
          <t>Love - Shibari - Bradesco</t>
        </is>
      </c>
      <c r="D455" t="n">
        <v>128</v>
      </c>
      <c r="E455" t="inlineStr">
        <is>
          <t>Love Cabaret</t>
        </is>
      </c>
      <c r="F455" s="27" t="n">
        <v>45979.5</v>
      </c>
      <c r="G455" t="inlineStr">
        <is>
          <t>CREDITO</t>
        </is>
      </c>
      <c r="H455" t="inlineStr">
        <is>
          <t>TRANSFERENCIA PIX REM: PRISCILA APARECIDA PE 18/11</t>
        </is>
      </c>
      <c r="I455" t="n">
        <v>77.5</v>
      </c>
    </row>
    <row r="456">
      <c r="A456" t="n">
        <v>199068</v>
      </c>
      <c r="B456" t="n">
        <v>115</v>
      </c>
      <c r="C456" t="inlineStr">
        <is>
          <t>Love - Shibari - Bradesco</t>
        </is>
      </c>
      <c r="D456" t="n">
        <v>128</v>
      </c>
      <c r="E456" t="inlineStr">
        <is>
          <t>Love Cabaret</t>
        </is>
      </c>
      <c r="F456" s="27" t="n">
        <v>45979.5</v>
      </c>
      <c r="G456" t="inlineStr">
        <is>
          <t>CREDITO</t>
        </is>
      </c>
      <c r="H456" t="inlineStr">
        <is>
          <t>TRANSFERENCIA PIX REM: RENATO HETESY DA SILV 18/11</t>
        </is>
      </c>
      <c r="I456" t="n">
        <v>620</v>
      </c>
    </row>
    <row r="457">
      <c r="A457" t="n">
        <v>199071</v>
      </c>
      <c r="B457" t="n">
        <v>115</v>
      </c>
      <c r="C457" t="inlineStr">
        <is>
          <t>Love - Shibari - Bradesco</t>
        </is>
      </c>
      <c r="D457" t="n">
        <v>128</v>
      </c>
      <c r="E457" t="inlineStr">
        <is>
          <t>Love Cabaret</t>
        </is>
      </c>
      <c r="F457" s="27" t="n">
        <v>45979.5</v>
      </c>
      <c r="G457" t="inlineStr">
        <is>
          <t>DEBITO</t>
        </is>
      </c>
      <c r="H457" t="inlineStr">
        <is>
          <t>ADIANT SALARIO VIA NET</t>
        </is>
      </c>
      <c r="I457" t="n">
        <v>-1976.74</v>
      </c>
    </row>
    <row r="458">
      <c r="A458" t="n">
        <v>199064</v>
      </c>
      <c r="B458" t="n">
        <v>115</v>
      </c>
      <c r="C458" t="inlineStr">
        <is>
          <t>Love - Shibari - Bradesco</t>
        </is>
      </c>
      <c r="D458" t="n">
        <v>128</v>
      </c>
      <c r="E458" t="inlineStr">
        <is>
          <t>Love Cabaret</t>
        </is>
      </c>
      <c r="F458" s="27" t="n">
        <v>45978.5</v>
      </c>
      <c r="G458" t="inlineStr">
        <is>
          <t>CREDITO</t>
        </is>
      </c>
      <c r="H458" t="inlineStr">
        <is>
          <t>TED-TRANSF ELET DISPON REMET.Zig Tecnologia S.A.</t>
        </is>
      </c>
      <c r="I458" t="n">
        <v>27282.04</v>
      </c>
    </row>
    <row r="459">
      <c r="A459" t="n">
        <v>199065</v>
      </c>
      <c r="B459" t="n">
        <v>115</v>
      </c>
      <c r="C459" t="inlineStr">
        <is>
          <t>Love - Shibari - Bradesco</t>
        </is>
      </c>
      <c r="D459" t="n">
        <v>128</v>
      </c>
      <c r="E459" t="inlineStr">
        <is>
          <t>Love Cabaret</t>
        </is>
      </c>
      <c r="F459" s="27" t="n">
        <v>45978.5</v>
      </c>
      <c r="G459" t="inlineStr">
        <is>
          <t>CREDITO</t>
        </is>
      </c>
      <c r="H459" t="inlineStr">
        <is>
          <t>TRANSFERENCIA PIX REM: MAURINEIA CASSIA BARB 17/11</t>
        </is>
      </c>
      <c r="I459" t="n">
        <v>77.5</v>
      </c>
    </row>
    <row r="460">
      <c r="A460" t="n">
        <v>199067</v>
      </c>
      <c r="B460" t="n">
        <v>115</v>
      </c>
      <c r="C460" t="inlineStr">
        <is>
          <t>Love - Shibari - Bradesco</t>
        </is>
      </c>
      <c r="D460" t="n">
        <v>128</v>
      </c>
      <c r="E460" t="inlineStr">
        <is>
          <t>Love Cabaret</t>
        </is>
      </c>
      <c r="F460" s="27" t="n">
        <v>45978.5</v>
      </c>
      <c r="G460" t="inlineStr">
        <is>
          <t>DEBITO</t>
        </is>
      </c>
      <c r="H460" t="inlineStr">
        <is>
          <t>TRANSFERENCIA PIX DES: SHIBARI ART E DIVERSA 17/11</t>
        </is>
      </c>
      <c r="I460" t="n">
        <v>-30000</v>
      </c>
    </row>
    <row r="461">
      <c r="A461" t="n">
        <v>199295</v>
      </c>
      <c r="B461" t="n">
        <v>182</v>
      </c>
      <c r="C461" t="inlineStr">
        <is>
          <t>Love - Shibari - Kamino</t>
        </is>
      </c>
      <c r="D461" t="n">
        <v>128</v>
      </c>
      <c r="E461" t="inlineStr">
        <is>
          <t>Love Cabaret</t>
        </is>
      </c>
      <c r="F461" s="27" t="n">
        <v>45978</v>
      </c>
      <c r="G461" t="inlineStr">
        <is>
          <t>DEBITO</t>
        </is>
      </c>
      <c r="H461" t="inlineStr">
        <is>
          <t>Aurora Alvorada Estacionamento e Lanchon</t>
        </is>
      </c>
      <c r="I461" t="n">
        <v>-253.23</v>
      </c>
    </row>
    <row r="462">
      <c r="A462" t="n">
        <v>199290</v>
      </c>
      <c r="B462" t="n">
        <v>182</v>
      </c>
      <c r="C462" t="inlineStr">
        <is>
          <t>Love - Shibari - Kamino</t>
        </is>
      </c>
      <c r="D462" t="n">
        <v>128</v>
      </c>
      <c r="E462" t="inlineStr">
        <is>
          <t>Love Cabaret</t>
        </is>
      </c>
      <c r="F462" s="27" t="n">
        <v>45978</v>
      </c>
      <c r="G462" t="inlineStr">
        <is>
          <t>DEBITO</t>
        </is>
      </c>
      <c r="H462" t="inlineStr">
        <is>
          <t>Stark Bank S.A.</t>
        </is>
      </c>
      <c r="I462" t="n">
        <v>-36.5</v>
      </c>
    </row>
    <row r="463">
      <c r="A463" t="n">
        <v>199279</v>
      </c>
      <c r="B463" t="n">
        <v>182</v>
      </c>
      <c r="C463" t="inlineStr">
        <is>
          <t>Love - Shibari - Kamino</t>
        </is>
      </c>
      <c r="D463" t="n">
        <v>128</v>
      </c>
      <c r="E463" t="inlineStr">
        <is>
          <t>Love Cabaret</t>
        </is>
      </c>
      <c r="F463" s="27" t="n">
        <v>45978</v>
      </c>
      <c r="G463" t="inlineStr">
        <is>
          <t>DEBITO</t>
        </is>
      </c>
      <c r="H463" t="inlineStr">
        <is>
          <t>Headchef Assessoria de Seguranca dos Ali</t>
        </is>
      </c>
      <c r="I463" t="n">
        <v>-891.0599999999999</v>
      </c>
    </row>
    <row r="464">
      <c r="A464" t="n">
        <v>199280</v>
      </c>
      <c r="B464" t="n">
        <v>182</v>
      </c>
      <c r="C464" t="inlineStr">
        <is>
          <t>Love - Shibari - Kamino</t>
        </is>
      </c>
      <c r="D464" t="n">
        <v>128</v>
      </c>
      <c r="E464" t="inlineStr">
        <is>
          <t>Love Cabaret</t>
        </is>
      </c>
      <c r="F464" s="27" t="n">
        <v>45978</v>
      </c>
      <c r="G464" t="inlineStr">
        <is>
          <t>DEBITO</t>
        </is>
      </c>
      <c r="H464" t="inlineStr">
        <is>
          <t>Psss Ltda</t>
        </is>
      </c>
      <c r="I464" t="n">
        <v>-62</v>
      </c>
    </row>
    <row r="465">
      <c r="A465" t="n">
        <v>199281</v>
      </c>
      <c r="B465" t="n">
        <v>182</v>
      </c>
      <c r="C465" t="inlineStr">
        <is>
          <t>Love - Shibari - Kamino</t>
        </is>
      </c>
      <c r="D465" t="n">
        <v>128</v>
      </c>
      <c r="E465" t="inlineStr">
        <is>
          <t>Love Cabaret</t>
        </is>
      </c>
      <c r="F465" s="27" t="n">
        <v>45978</v>
      </c>
      <c r="G465" t="inlineStr">
        <is>
          <t>DEBITO</t>
        </is>
      </c>
      <c r="H465" t="inlineStr">
        <is>
          <t>Zoop Brasil</t>
        </is>
      </c>
      <c r="I465" t="n">
        <v>-374.56</v>
      </c>
    </row>
    <row r="466">
      <c r="A466" t="n">
        <v>199282</v>
      </c>
      <c r="B466" t="n">
        <v>182</v>
      </c>
      <c r="C466" t="inlineStr">
        <is>
          <t>Love - Shibari - Kamino</t>
        </is>
      </c>
      <c r="D466" t="n">
        <v>128</v>
      </c>
      <c r="E466" t="inlineStr">
        <is>
          <t>Love Cabaret</t>
        </is>
      </c>
      <c r="F466" s="27" t="n">
        <v>45978</v>
      </c>
      <c r="G466" t="inlineStr">
        <is>
          <t>DEBITO</t>
        </is>
      </c>
      <c r="H466" t="inlineStr">
        <is>
          <t>Receita Federal</t>
        </is>
      </c>
      <c r="I466" t="n">
        <v>-2224.73</v>
      </c>
    </row>
    <row r="467">
      <c r="A467" t="n">
        <v>199283</v>
      </c>
      <c r="B467" t="n">
        <v>182</v>
      </c>
      <c r="C467" t="inlineStr">
        <is>
          <t>Love - Shibari - Kamino</t>
        </is>
      </c>
      <c r="D467" t="n">
        <v>128</v>
      </c>
      <c r="E467" t="inlineStr">
        <is>
          <t>Love Cabaret</t>
        </is>
      </c>
      <c r="F467" s="27" t="n">
        <v>45978</v>
      </c>
      <c r="G467" t="inlineStr">
        <is>
          <t>DEBITO</t>
        </is>
      </c>
      <c r="H467" t="inlineStr">
        <is>
          <t>Multifrangos com Alim Ltda Me</t>
        </is>
      </c>
      <c r="I467" t="n">
        <v>-377.79</v>
      </c>
    </row>
    <row r="468">
      <c r="A468" t="n">
        <v>199284</v>
      </c>
      <c r="B468" t="n">
        <v>182</v>
      </c>
      <c r="C468" t="inlineStr">
        <is>
          <t>Love - Shibari - Kamino</t>
        </is>
      </c>
      <c r="D468" t="n">
        <v>128</v>
      </c>
      <c r="E468" t="inlineStr">
        <is>
          <t>Love Cabaret</t>
        </is>
      </c>
      <c r="F468" s="27" t="n">
        <v>45978</v>
      </c>
      <c r="G468" t="inlineStr">
        <is>
          <t>DEBITO</t>
        </is>
      </c>
      <c r="H468" t="inlineStr">
        <is>
          <t>Receita Federal</t>
        </is>
      </c>
      <c r="I468" t="n">
        <v>-717.89</v>
      </c>
    </row>
    <row r="469">
      <c r="A469" t="n">
        <v>199285</v>
      </c>
      <c r="B469" t="n">
        <v>182</v>
      </c>
      <c r="C469" t="inlineStr">
        <is>
          <t>Love - Shibari - Kamino</t>
        </is>
      </c>
      <c r="D469" t="n">
        <v>128</v>
      </c>
      <c r="E469" t="inlineStr">
        <is>
          <t>Love Cabaret</t>
        </is>
      </c>
      <c r="F469" s="27" t="n">
        <v>45978</v>
      </c>
      <c r="G469" t="inlineStr">
        <is>
          <t>DEBITO</t>
        </is>
      </c>
      <c r="H469" t="inlineStr">
        <is>
          <t>Felipe Ferreira Franca 36496185832</t>
        </is>
      </c>
      <c r="I469" t="n">
        <v>-1600</v>
      </c>
    </row>
    <row r="470">
      <c r="A470" t="n">
        <v>199286</v>
      </c>
      <c r="B470" t="n">
        <v>182</v>
      </c>
      <c r="C470" t="inlineStr">
        <is>
          <t>Love - Shibari - Kamino</t>
        </is>
      </c>
      <c r="D470" t="n">
        <v>128</v>
      </c>
      <c r="E470" t="inlineStr">
        <is>
          <t>Love Cabaret</t>
        </is>
      </c>
      <c r="F470" s="27" t="n">
        <v>45978</v>
      </c>
      <c r="G470" t="inlineStr">
        <is>
          <t>DEBITO</t>
        </is>
      </c>
      <c r="H470" t="inlineStr">
        <is>
          <t>B. B. Distribuidora de Carnes Ltda</t>
        </is>
      </c>
      <c r="I470" t="n">
        <v>-276</v>
      </c>
    </row>
    <row r="471">
      <c r="A471" t="n">
        <v>199287</v>
      </c>
      <c r="B471" t="n">
        <v>182</v>
      </c>
      <c r="C471" t="inlineStr">
        <is>
          <t>Love - Shibari - Kamino</t>
        </is>
      </c>
      <c r="D471" t="n">
        <v>128</v>
      </c>
      <c r="E471" t="inlineStr">
        <is>
          <t>Love Cabaret</t>
        </is>
      </c>
      <c r="F471" s="27" t="n">
        <v>45978</v>
      </c>
      <c r="G471" t="inlineStr">
        <is>
          <t>DEBITO</t>
        </is>
      </c>
      <c r="H471" t="inlineStr">
        <is>
          <t>Casa de Carnes P.J.J.Ltda</t>
        </is>
      </c>
      <c r="I471" t="n">
        <v>-123.8</v>
      </c>
    </row>
    <row r="472">
      <c r="A472" t="n">
        <v>199288</v>
      </c>
      <c r="B472" t="n">
        <v>182</v>
      </c>
      <c r="C472" t="inlineStr">
        <is>
          <t>Love - Shibari - Kamino</t>
        </is>
      </c>
      <c r="D472" t="n">
        <v>128</v>
      </c>
      <c r="E472" t="inlineStr">
        <is>
          <t>Love Cabaret</t>
        </is>
      </c>
      <c r="F472" s="27" t="n">
        <v>45978</v>
      </c>
      <c r="G472" t="inlineStr">
        <is>
          <t>DEBITO</t>
        </is>
      </c>
      <c r="H472" t="inlineStr">
        <is>
          <t>Felipe Ferreira Franca 36496185832</t>
        </is>
      </c>
      <c r="I472" t="n">
        <v>-20.45</v>
      </c>
    </row>
    <row r="473">
      <c r="A473" t="n">
        <v>199289</v>
      </c>
      <c r="B473" t="n">
        <v>182</v>
      </c>
      <c r="C473" t="inlineStr">
        <is>
          <t>Love - Shibari - Kamino</t>
        </is>
      </c>
      <c r="D473" t="n">
        <v>128</v>
      </c>
      <c r="E473" t="inlineStr">
        <is>
          <t>Love Cabaret</t>
        </is>
      </c>
      <c r="F473" s="27" t="n">
        <v>45978</v>
      </c>
      <c r="G473" t="inlineStr">
        <is>
          <t>DEBITO</t>
        </is>
      </c>
      <c r="H473" t="inlineStr">
        <is>
          <t>Receita Federal</t>
        </is>
      </c>
      <c r="I473" t="n">
        <v>-529.84</v>
      </c>
    </row>
    <row r="474">
      <c r="A474" t="n">
        <v>199278</v>
      </c>
      <c r="B474" t="n">
        <v>182</v>
      </c>
      <c r="C474" t="inlineStr">
        <is>
          <t>Love - Shibari - Kamino</t>
        </is>
      </c>
      <c r="D474" t="n">
        <v>128</v>
      </c>
      <c r="E474" t="inlineStr">
        <is>
          <t>Love Cabaret</t>
        </is>
      </c>
      <c r="F474" s="27" t="n">
        <v>45978</v>
      </c>
      <c r="G474" t="inlineStr">
        <is>
          <t>DEBITO</t>
        </is>
      </c>
      <c r="H474" t="inlineStr">
        <is>
          <t>Dudom</t>
        </is>
      </c>
      <c r="I474" t="n">
        <v>-1059.49</v>
      </c>
    </row>
    <row r="475">
      <c r="A475" t="n">
        <v>199291</v>
      </c>
      <c r="B475" t="n">
        <v>182</v>
      </c>
      <c r="C475" t="inlineStr">
        <is>
          <t>Love - Shibari - Kamino</t>
        </is>
      </c>
      <c r="D475" t="n">
        <v>128</v>
      </c>
      <c r="E475" t="inlineStr">
        <is>
          <t>Love Cabaret</t>
        </is>
      </c>
      <c r="F475" s="27" t="n">
        <v>45978</v>
      </c>
      <c r="G475" t="inlineStr">
        <is>
          <t>DEBITO</t>
        </is>
      </c>
      <c r="H475" t="inlineStr">
        <is>
          <t>Zahil Importadora Ltda</t>
        </is>
      </c>
      <c r="I475" t="n">
        <v>-1638.7</v>
      </c>
    </row>
    <row r="476">
      <c r="A476" t="n">
        <v>199292</v>
      </c>
      <c r="B476" t="n">
        <v>182</v>
      </c>
      <c r="C476" t="inlineStr">
        <is>
          <t>Love - Shibari - Kamino</t>
        </is>
      </c>
      <c r="D476" t="n">
        <v>128</v>
      </c>
      <c r="E476" t="inlineStr">
        <is>
          <t>Love Cabaret</t>
        </is>
      </c>
      <c r="F476" s="27" t="n">
        <v>45978</v>
      </c>
      <c r="G476" t="inlineStr">
        <is>
          <t>DEBITO</t>
        </is>
      </c>
      <c r="H476" t="inlineStr">
        <is>
          <t>Renata Homsy Dias Claro</t>
        </is>
      </c>
      <c r="I476" t="n">
        <v>-3000</v>
      </c>
    </row>
    <row r="477">
      <c r="A477" t="n">
        <v>199293</v>
      </c>
      <c r="B477" t="n">
        <v>182</v>
      </c>
      <c r="C477" t="inlineStr">
        <is>
          <t>Love - Shibari - Kamino</t>
        </is>
      </c>
      <c r="D477" t="n">
        <v>128</v>
      </c>
      <c r="E477" t="inlineStr">
        <is>
          <t>Love Cabaret</t>
        </is>
      </c>
      <c r="F477" s="27" t="n">
        <v>45978</v>
      </c>
      <c r="G477" t="inlineStr">
        <is>
          <t>DEBITO</t>
        </is>
      </c>
      <c r="H477" t="inlineStr">
        <is>
          <t>Zahil Importadora Ltda</t>
        </is>
      </c>
      <c r="I477" t="n">
        <v>-578.72</v>
      </c>
    </row>
    <row r="478">
      <c r="A478" t="n">
        <v>199294</v>
      </c>
      <c r="B478" t="n">
        <v>182</v>
      </c>
      <c r="C478" t="inlineStr">
        <is>
          <t>Love - Shibari - Kamino</t>
        </is>
      </c>
      <c r="D478" t="n">
        <v>128</v>
      </c>
      <c r="E478" t="inlineStr">
        <is>
          <t>Love Cabaret</t>
        </is>
      </c>
      <c r="F478" s="27" t="n">
        <v>45978</v>
      </c>
      <c r="G478" t="inlineStr">
        <is>
          <t>DEBITO</t>
        </is>
      </c>
      <c r="H478" t="inlineStr">
        <is>
          <t>Zahil Importadora Ltda</t>
        </is>
      </c>
      <c r="I478" t="n">
        <v>-722.71</v>
      </c>
    </row>
    <row r="479">
      <c r="A479" t="n">
        <v>199302</v>
      </c>
      <c r="B479" t="n">
        <v>182</v>
      </c>
      <c r="C479" t="inlineStr">
        <is>
          <t>Love - Shibari - Kamino</t>
        </is>
      </c>
      <c r="D479" t="n">
        <v>128</v>
      </c>
      <c r="E479" t="inlineStr">
        <is>
          <t>Love Cabaret</t>
        </is>
      </c>
      <c r="F479" s="27" t="n">
        <v>45978</v>
      </c>
      <c r="G479" t="inlineStr">
        <is>
          <t>DEBITO</t>
        </is>
      </c>
      <c r="H479" t="inlineStr">
        <is>
          <t>Dtk Comercio de Alimentos Ltda Epp</t>
        </is>
      </c>
      <c r="I479" t="n">
        <v>-771.33</v>
      </c>
    </row>
    <row r="480">
      <c r="A480" t="n">
        <v>199296</v>
      </c>
      <c r="B480" t="n">
        <v>182</v>
      </c>
      <c r="C480" t="inlineStr">
        <is>
          <t>Love - Shibari - Kamino</t>
        </is>
      </c>
      <c r="D480" t="n">
        <v>128</v>
      </c>
      <c r="E480" t="inlineStr">
        <is>
          <t>Love Cabaret</t>
        </is>
      </c>
      <c r="F480" s="27" t="n">
        <v>45978</v>
      </c>
      <c r="G480" t="inlineStr">
        <is>
          <t>DEBITO</t>
        </is>
      </c>
      <c r="H480" t="inlineStr">
        <is>
          <t>Andres La Rosa</t>
        </is>
      </c>
      <c r="I480" t="n">
        <v>-17.72</v>
      </c>
    </row>
    <row r="481">
      <c r="A481" t="n">
        <v>199297</v>
      </c>
      <c r="B481" t="n">
        <v>182</v>
      </c>
      <c r="C481" t="inlineStr">
        <is>
          <t>Love - Shibari - Kamino</t>
        </is>
      </c>
      <c r="D481" t="n">
        <v>128</v>
      </c>
      <c r="E481" t="inlineStr">
        <is>
          <t>Love Cabaret</t>
        </is>
      </c>
      <c r="F481" s="27" t="n">
        <v>45978</v>
      </c>
      <c r="G481" t="inlineStr">
        <is>
          <t>DEBITO</t>
        </is>
      </c>
      <c r="H481" t="inlineStr">
        <is>
          <t>Cecilia Tsuyaco Araki Silva Ltda</t>
        </is>
      </c>
      <c r="I481" t="n">
        <v>-160.93</v>
      </c>
    </row>
    <row r="482">
      <c r="A482" t="n">
        <v>199298</v>
      </c>
      <c r="B482" t="n">
        <v>182</v>
      </c>
      <c r="C482" t="inlineStr">
        <is>
          <t>Love - Shibari - Kamino</t>
        </is>
      </c>
      <c r="D482" t="n">
        <v>128</v>
      </c>
      <c r="E482" t="inlineStr">
        <is>
          <t>Love Cabaret</t>
        </is>
      </c>
      <c r="F482" s="27" t="n">
        <v>45978</v>
      </c>
      <c r="G482" t="inlineStr">
        <is>
          <t>DEBITO</t>
        </is>
      </c>
      <c r="H482" t="inlineStr">
        <is>
          <t>King Comercio de Bebidas Ltda</t>
        </is>
      </c>
      <c r="I482" t="n">
        <v>-4557.2</v>
      </c>
    </row>
    <row r="483">
      <c r="A483" t="n">
        <v>199299</v>
      </c>
      <c r="B483" t="n">
        <v>182</v>
      </c>
      <c r="C483" t="inlineStr">
        <is>
          <t>Love - Shibari - Kamino</t>
        </is>
      </c>
      <c r="D483" t="n">
        <v>128</v>
      </c>
      <c r="E483" t="inlineStr">
        <is>
          <t>Love Cabaret</t>
        </is>
      </c>
      <c r="F483" s="27" t="n">
        <v>45978</v>
      </c>
      <c r="G483" t="inlineStr">
        <is>
          <t>DEBITO</t>
        </is>
      </c>
      <c r="H483" t="inlineStr">
        <is>
          <t>Paramu Comercio R P a Ltda</t>
        </is>
      </c>
      <c r="I483" t="n">
        <v>-451.7</v>
      </c>
    </row>
    <row r="484">
      <c r="A484" t="n">
        <v>199300</v>
      </c>
      <c r="B484" t="n">
        <v>182</v>
      </c>
      <c r="C484" t="inlineStr">
        <is>
          <t>Love - Shibari - Kamino</t>
        </is>
      </c>
      <c r="D484" t="n">
        <v>128</v>
      </c>
      <c r="E484" t="inlineStr">
        <is>
          <t>Love Cabaret</t>
        </is>
      </c>
      <c r="F484" s="27" t="n">
        <v>45978</v>
      </c>
      <c r="G484" t="inlineStr">
        <is>
          <t>DEBITO</t>
        </is>
      </c>
      <c r="H484" t="inlineStr">
        <is>
          <t>Pagamento de Contas</t>
        </is>
      </c>
      <c r="I484" t="n">
        <v>-128.1</v>
      </c>
    </row>
    <row r="485">
      <c r="A485" t="n">
        <v>199301</v>
      </c>
      <c r="B485" t="n">
        <v>182</v>
      </c>
      <c r="C485" t="inlineStr">
        <is>
          <t>Love - Shibari - Kamino</t>
        </is>
      </c>
      <c r="D485" t="n">
        <v>128</v>
      </c>
      <c r="E485" t="inlineStr">
        <is>
          <t>Love Cabaret</t>
        </is>
      </c>
      <c r="F485" s="27" t="n">
        <v>45978</v>
      </c>
      <c r="G485" t="inlineStr">
        <is>
          <t>DEBITO</t>
        </is>
      </c>
      <c r="H485" t="inlineStr">
        <is>
          <t>Jose Cassio Prevedel Sistemas</t>
        </is>
      </c>
      <c r="I485" t="n">
        <v>-400</v>
      </c>
    </row>
    <row r="486">
      <c r="A486" t="n">
        <v>199277</v>
      </c>
      <c r="B486" t="n">
        <v>182</v>
      </c>
      <c r="C486" t="inlineStr">
        <is>
          <t>Love - Shibari - Kamino</t>
        </is>
      </c>
      <c r="D486" t="n">
        <v>128</v>
      </c>
      <c r="E486" t="inlineStr">
        <is>
          <t>Love Cabaret</t>
        </is>
      </c>
      <c r="F486" s="27" t="n">
        <v>45978</v>
      </c>
      <c r="G486" t="inlineStr">
        <is>
          <t>DEBITO</t>
        </is>
      </c>
      <c r="H486" t="inlineStr">
        <is>
          <t>Comercial Dede</t>
        </is>
      </c>
      <c r="I486" t="n">
        <v>-141.5</v>
      </c>
    </row>
    <row r="487">
      <c r="A487" t="n">
        <v>199305</v>
      </c>
      <c r="B487" t="n">
        <v>182</v>
      </c>
      <c r="C487" t="inlineStr">
        <is>
          <t>Love - Shibari - Kamino</t>
        </is>
      </c>
      <c r="D487" t="n">
        <v>128</v>
      </c>
      <c r="E487" t="inlineStr">
        <is>
          <t>Love Cabaret</t>
        </is>
      </c>
      <c r="F487" s="27" t="n">
        <v>45978</v>
      </c>
      <c r="G487" t="inlineStr">
        <is>
          <t>DEBITO</t>
        </is>
      </c>
      <c r="H487" t="inlineStr">
        <is>
          <t>Kamino Processamento de Dados Ltda</t>
        </is>
      </c>
      <c r="I487" t="n">
        <v>-400</v>
      </c>
    </row>
    <row r="488">
      <c r="A488" t="n">
        <v>199304</v>
      </c>
      <c r="B488" t="n">
        <v>182</v>
      </c>
      <c r="C488" t="inlineStr">
        <is>
          <t>Love - Shibari - Kamino</t>
        </is>
      </c>
      <c r="D488" t="n">
        <v>128</v>
      </c>
      <c r="E488" t="inlineStr">
        <is>
          <t>Love Cabaret</t>
        </is>
      </c>
      <c r="F488" s="27" t="n">
        <v>45978</v>
      </c>
      <c r="G488" t="inlineStr">
        <is>
          <t>DEBITO</t>
        </is>
      </c>
      <c r="H488" t="inlineStr">
        <is>
          <t>Laticinios Fior D Italia Ltda</t>
        </is>
      </c>
      <c r="I488" t="n">
        <v>-326.75</v>
      </c>
    </row>
    <row r="489">
      <c r="A489" t="n">
        <v>199303</v>
      </c>
      <c r="B489" t="n">
        <v>182</v>
      </c>
      <c r="C489" t="inlineStr">
        <is>
          <t>Love - Shibari - Kamino</t>
        </is>
      </c>
      <c r="D489" t="n">
        <v>128</v>
      </c>
      <c r="E489" t="inlineStr">
        <is>
          <t>Love Cabaret</t>
        </is>
      </c>
      <c r="F489" s="27" t="n">
        <v>45978</v>
      </c>
      <c r="G489" t="inlineStr">
        <is>
          <t>DEBITO</t>
        </is>
      </c>
      <c r="H489" t="inlineStr">
        <is>
          <t>Cia do Whisky</t>
        </is>
      </c>
      <c r="I489" t="n">
        <v>-488.46</v>
      </c>
    </row>
    <row r="490">
      <c r="A490" t="n">
        <v>199268</v>
      </c>
      <c r="B490" t="n">
        <v>182</v>
      </c>
      <c r="C490" t="inlineStr">
        <is>
          <t>Love - Shibari - Kamino</t>
        </is>
      </c>
      <c r="D490" t="n">
        <v>128</v>
      </c>
      <c r="E490" t="inlineStr">
        <is>
          <t>Love Cabaret</t>
        </is>
      </c>
      <c r="F490" s="27" t="n">
        <v>45978</v>
      </c>
      <c r="G490" t="inlineStr">
        <is>
          <t>CREDITO</t>
        </is>
      </c>
      <c r="H490" t="inlineStr">
        <is>
          <t>SHIBARI ART E DIVERSAO LTDA</t>
        </is>
      </c>
      <c r="I490" t="n">
        <v>30000</v>
      </c>
    </row>
    <row r="491">
      <c r="A491" t="n">
        <v>199269</v>
      </c>
      <c r="B491" t="n">
        <v>182</v>
      </c>
      <c r="C491" t="inlineStr">
        <is>
          <t>Love - Shibari - Kamino</t>
        </is>
      </c>
      <c r="D491" t="n">
        <v>128</v>
      </c>
      <c r="E491" t="inlineStr">
        <is>
          <t>Love Cabaret</t>
        </is>
      </c>
      <c r="F491" s="27" t="n">
        <v>45978</v>
      </c>
      <c r="G491" t="inlineStr">
        <is>
          <t>DEBITO</t>
        </is>
      </c>
      <c r="H491" t="inlineStr">
        <is>
          <t>Dtk Comercio de Alimentos Ltda Epp</t>
        </is>
      </c>
      <c r="I491" t="n">
        <v>-176.78</v>
      </c>
    </row>
    <row r="492">
      <c r="A492" t="n">
        <v>199270</v>
      </c>
      <c r="B492" t="n">
        <v>182</v>
      </c>
      <c r="C492" t="inlineStr">
        <is>
          <t>Love - Shibari - Kamino</t>
        </is>
      </c>
      <c r="D492" t="n">
        <v>128</v>
      </c>
      <c r="E492" t="inlineStr">
        <is>
          <t>Love Cabaret</t>
        </is>
      </c>
      <c r="F492" s="27" t="n">
        <v>45978</v>
      </c>
      <c r="G492" t="inlineStr">
        <is>
          <t>DEBITO</t>
        </is>
      </c>
      <c r="H492" t="inlineStr">
        <is>
          <t>Cepel Comercio de Papeis e Emb</t>
        </is>
      </c>
      <c r="I492" t="n">
        <v>-450</v>
      </c>
    </row>
    <row r="493">
      <c r="A493" t="n">
        <v>199271</v>
      </c>
      <c r="B493" t="n">
        <v>182</v>
      </c>
      <c r="C493" t="inlineStr">
        <is>
          <t>Love - Shibari - Kamino</t>
        </is>
      </c>
      <c r="D493" t="n">
        <v>128</v>
      </c>
      <c r="E493" t="inlineStr">
        <is>
          <t>Love Cabaret</t>
        </is>
      </c>
      <c r="F493" s="27" t="n">
        <v>45978</v>
      </c>
      <c r="G493" t="inlineStr">
        <is>
          <t>DEBITO</t>
        </is>
      </c>
      <c r="H493" t="inlineStr">
        <is>
          <t>Zahil Importadora Ltda</t>
        </is>
      </c>
      <c r="I493" t="n">
        <v>-1009.3</v>
      </c>
    </row>
    <row r="494">
      <c r="A494" t="n">
        <v>199272</v>
      </c>
      <c r="B494" t="n">
        <v>182</v>
      </c>
      <c r="C494" t="inlineStr">
        <is>
          <t>Love - Shibari - Kamino</t>
        </is>
      </c>
      <c r="D494" t="n">
        <v>128</v>
      </c>
      <c r="E494" t="inlineStr">
        <is>
          <t>Love Cabaret</t>
        </is>
      </c>
      <c r="F494" s="27" t="n">
        <v>45978</v>
      </c>
      <c r="G494" t="inlineStr">
        <is>
          <t>DEBITO</t>
        </is>
      </c>
      <c r="H494" t="inlineStr">
        <is>
          <t>Cg Food S Distr Alimentos Ltda</t>
        </is>
      </c>
      <c r="I494" t="n">
        <v>-387.7</v>
      </c>
    </row>
    <row r="495">
      <c r="A495" t="n">
        <v>199273</v>
      </c>
      <c r="B495" t="n">
        <v>182</v>
      </c>
      <c r="C495" t="inlineStr">
        <is>
          <t>Love - Shibari - Kamino</t>
        </is>
      </c>
      <c r="D495" t="n">
        <v>128</v>
      </c>
      <c r="E495" t="inlineStr">
        <is>
          <t>Love Cabaret</t>
        </is>
      </c>
      <c r="F495" s="27" t="n">
        <v>45978</v>
      </c>
      <c r="G495" t="inlineStr">
        <is>
          <t>DEBITO</t>
        </is>
      </c>
      <c r="H495" t="inlineStr">
        <is>
          <t>Emporio M&amp;M Ltda</t>
        </is>
      </c>
      <c r="I495" t="n">
        <v>-19.9</v>
      </c>
    </row>
    <row r="496">
      <c r="A496" t="n">
        <v>199274</v>
      </c>
      <c r="B496" t="n">
        <v>182</v>
      </c>
      <c r="C496" t="inlineStr">
        <is>
          <t>Love - Shibari - Kamino</t>
        </is>
      </c>
      <c r="D496" t="n">
        <v>128</v>
      </c>
      <c r="E496" t="inlineStr">
        <is>
          <t>Love Cabaret</t>
        </is>
      </c>
      <c r="F496" s="27" t="n">
        <v>45978</v>
      </c>
      <c r="G496" t="inlineStr">
        <is>
          <t>DEBITO</t>
        </is>
      </c>
      <c r="H496" t="inlineStr">
        <is>
          <t>Psss Ltda</t>
        </is>
      </c>
      <c r="I496" t="n">
        <v>-621.75</v>
      </c>
    </row>
    <row r="497">
      <c r="A497" t="n">
        <v>199275</v>
      </c>
      <c r="B497" t="n">
        <v>182</v>
      </c>
      <c r="C497" t="inlineStr">
        <is>
          <t>Love - Shibari - Kamino</t>
        </is>
      </c>
      <c r="D497" t="n">
        <v>128</v>
      </c>
      <c r="E497" t="inlineStr">
        <is>
          <t>Love Cabaret</t>
        </is>
      </c>
      <c r="F497" s="27" t="n">
        <v>45978</v>
      </c>
      <c r="G497" t="inlineStr">
        <is>
          <t>DEBITO</t>
        </is>
      </c>
      <c r="H497" t="inlineStr">
        <is>
          <t>CAIXA ECONOMICA FEDERAL</t>
        </is>
      </c>
      <c r="I497" t="n">
        <v>-617.98</v>
      </c>
    </row>
    <row r="498">
      <c r="A498" t="n">
        <v>199276</v>
      </c>
      <c r="B498" t="n">
        <v>182</v>
      </c>
      <c r="C498" t="inlineStr">
        <is>
          <t>Love - Shibari - Kamino</t>
        </is>
      </c>
      <c r="D498" t="n">
        <v>128</v>
      </c>
      <c r="E498" t="inlineStr">
        <is>
          <t>Love Cabaret</t>
        </is>
      </c>
      <c r="F498" s="27" t="n">
        <v>45978</v>
      </c>
      <c r="G498" t="inlineStr">
        <is>
          <t>DEBITO</t>
        </is>
      </c>
      <c r="H498" t="inlineStr">
        <is>
          <t>Cecilia Tsuyaco Araki Silva Ltda</t>
        </is>
      </c>
      <c r="I498" t="n">
        <v>-191.7</v>
      </c>
    </row>
    <row r="499">
      <c r="A499" t="n">
        <v>199063</v>
      </c>
      <c r="B499" t="n">
        <v>115</v>
      </c>
      <c r="C499" t="inlineStr">
        <is>
          <t>Love - Shibari - Bradesco</t>
        </is>
      </c>
      <c r="D499" t="n">
        <v>128</v>
      </c>
      <c r="E499" t="inlineStr">
        <is>
          <t>Love Cabaret</t>
        </is>
      </c>
      <c r="F499" s="27" t="n">
        <v>45975.5</v>
      </c>
      <c r="G499" t="inlineStr">
        <is>
          <t>DEBITO</t>
        </is>
      </c>
      <c r="H499" t="inlineStr">
        <is>
          <t>TARIFA BANCARIA TRANSF PGTO PIX</t>
        </is>
      </c>
      <c r="I499" t="n">
        <v>-9.800000000000001</v>
      </c>
    </row>
    <row r="500">
      <c r="A500" t="n">
        <v>199062</v>
      </c>
      <c r="B500" t="n">
        <v>115</v>
      </c>
      <c r="C500" t="inlineStr">
        <is>
          <t>Love - Shibari - Bradesco</t>
        </is>
      </c>
      <c r="D500" t="n">
        <v>128</v>
      </c>
      <c r="E500" t="inlineStr">
        <is>
          <t>Love Cabaret</t>
        </is>
      </c>
      <c r="F500" s="27" t="n">
        <v>45975.5</v>
      </c>
      <c r="G500" t="inlineStr">
        <is>
          <t>DEBITO</t>
        </is>
      </c>
      <c r="H500" t="inlineStr">
        <is>
          <t>TARIFA BANCARIA Max Empresarial 1</t>
        </is>
      </c>
      <c r="I500" t="n">
        <v>-177.05</v>
      </c>
    </row>
    <row r="501">
      <c r="A501" t="n">
        <v>199061</v>
      </c>
      <c r="B501" t="n">
        <v>115</v>
      </c>
      <c r="C501" t="inlineStr">
        <is>
          <t>Love - Shibari - Bradesco</t>
        </is>
      </c>
      <c r="D501" t="n">
        <v>128</v>
      </c>
      <c r="E501" t="inlineStr">
        <is>
          <t>Love Cabaret</t>
        </is>
      </c>
      <c r="F501" s="27" t="n">
        <v>45975.5</v>
      </c>
      <c r="G501" t="inlineStr">
        <is>
          <t>CREDITO</t>
        </is>
      </c>
      <c r="H501" t="inlineStr">
        <is>
          <t>TRANSFERENCIA PIX REM: RAPHAELLA AVENA CARDO 14/11</t>
        </is>
      </c>
      <c r="I501" t="n">
        <v>186</v>
      </c>
    </row>
    <row r="502">
      <c r="A502" t="n">
        <v>199060</v>
      </c>
      <c r="B502" t="n">
        <v>115</v>
      </c>
      <c r="C502" t="inlineStr">
        <is>
          <t>Love - Shibari - Bradesco</t>
        </is>
      </c>
      <c r="D502" t="n">
        <v>128</v>
      </c>
      <c r="E502" t="inlineStr">
        <is>
          <t>Love Cabaret</t>
        </is>
      </c>
      <c r="F502" s="27" t="n">
        <v>45973.5</v>
      </c>
      <c r="G502" t="inlineStr">
        <is>
          <t>DEBITO</t>
        </is>
      </c>
      <c r="H502" t="inlineStr">
        <is>
          <t>TRANSFERENCIA PIX DES: SHIBARI ART E DIVERSA 12/11</t>
        </is>
      </c>
      <c r="I502" t="n">
        <v>-17000</v>
      </c>
    </row>
    <row r="503">
      <c r="A503" t="n">
        <v>199059</v>
      </c>
      <c r="B503" t="n">
        <v>115</v>
      </c>
      <c r="C503" t="inlineStr">
        <is>
          <t>Love - Shibari - Bradesco</t>
        </is>
      </c>
      <c r="D503" t="n">
        <v>128</v>
      </c>
      <c r="E503" t="inlineStr">
        <is>
          <t>Love Cabaret</t>
        </is>
      </c>
      <c r="F503" s="27" t="n">
        <v>45973.5</v>
      </c>
      <c r="G503" t="inlineStr">
        <is>
          <t>DEBITO</t>
        </is>
      </c>
      <c r="H503" t="inlineStr">
        <is>
          <t>TARIFA BANCARIA TRANSF PGTO PIX</t>
        </is>
      </c>
      <c r="I503" t="n">
        <v>-9.800000000000001</v>
      </c>
    </row>
    <row r="504">
      <c r="A504" t="n">
        <v>199058</v>
      </c>
      <c r="B504" t="n">
        <v>115</v>
      </c>
      <c r="C504" t="inlineStr">
        <is>
          <t>Love - Shibari - Bradesco</t>
        </is>
      </c>
      <c r="D504" t="n">
        <v>128</v>
      </c>
      <c r="E504" t="inlineStr">
        <is>
          <t>Love Cabaret</t>
        </is>
      </c>
      <c r="F504" s="27" t="n">
        <v>45973.5</v>
      </c>
      <c r="G504" t="inlineStr">
        <is>
          <t>CREDITO</t>
        </is>
      </c>
      <c r="H504" t="inlineStr">
        <is>
          <t>TRANSFERENCIA PIX REM: RAPHAELLA AVENA CARDO 12/11</t>
        </is>
      </c>
      <c r="I504" t="n">
        <v>620</v>
      </c>
    </row>
    <row r="505">
      <c r="A505" t="n">
        <v>199057</v>
      </c>
      <c r="B505" t="n">
        <v>115</v>
      </c>
      <c r="C505" t="inlineStr">
        <is>
          <t>Love - Shibari - Bradesco</t>
        </is>
      </c>
      <c r="D505" t="n">
        <v>128</v>
      </c>
      <c r="E505" t="inlineStr">
        <is>
          <t>Love Cabaret</t>
        </is>
      </c>
      <c r="F505" s="27" t="n">
        <v>45973.5</v>
      </c>
      <c r="G505" t="inlineStr">
        <is>
          <t>CREDITO</t>
        </is>
      </c>
      <c r="H505" t="inlineStr">
        <is>
          <t>TED-TRANSF ELET DISPON REMET.SYMPLA INTERNET SOLU</t>
        </is>
      </c>
      <c r="I505" t="n">
        <v>15950</v>
      </c>
    </row>
    <row r="506">
      <c r="A506" t="n">
        <v>199056</v>
      </c>
      <c r="B506" t="n">
        <v>115</v>
      </c>
      <c r="C506" t="inlineStr">
        <is>
          <t>Love - Shibari - Bradesco</t>
        </is>
      </c>
      <c r="D506" t="n">
        <v>128</v>
      </c>
      <c r="E506" t="inlineStr">
        <is>
          <t>Love Cabaret</t>
        </is>
      </c>
      <c r="F506" s="27" t="n">
        <v>45973.5</v>
      </c>
      <c r="G506" t="inlineStr">
        <is>
          <t>CREDITO</t>
        </is>
      </c>
      <c r="H506" t="inlineStr">
        <is>
          <t>TED-TRANSF ELET DISPON REMET.SYMPLA INTERNET SOLU</t>
        </is>
      </c>
      <c r="I506" t="n">
        <v>11640</v>
      </c>
    </row>
    <row r="507">
      <c r="A507" t="n">
        <v>199055</v>
      </c>
      <c r="B507" t="n">
        <v>115</v>
      </c>
      <c r="C507" t="inlineStr">
        <is>
          <t>Love - Shibari - Bradesco</t>
        </is>
      </c>
      <c r="D507" t="n">
        <v>128</v>
      </c>
      <c r="E507" t="inlineStr">
        <is>
          <t>Love Cabaret</t>
        </is>
      </c>
      <c r="F507" s="27" t="n">
        <v>45973.5</v>
      </c>
      <c r="G507" t="inlineStr">
        <is>
          <t>CREDITO</t>
        </is>
      </c>
      <c r="H507" t="inlineStr">
        <is>
          <t>TED-TRANSF ELET DISPON REMET.LIRIUM INDUSTRIA E C</t>
        </is>
      </c>
      <c r="I507" t="n">
        <v>243</v>
      </c>
    </row>
    <row r="508">
      <c r="A508" t="n">
        <v>199257</v>
      </c>
      <c r="B508" t="n">
        <v>182</v>
      </c>
      <c r="C508" t="inlineStr">
        <is>
          <t>Love - Shibari - Kamino</t>
        </is>
      </c>
      <c r="D508" t="n">
        <v>128</v>
      </c>
      <c r="E508" t="inlineStr">
        <is>
          <t>Love Cabaret</t>
        </is>
      </c>
      <c r="F508" s="27" t="n">
        <v>45973</v>
      </c>
      <c r="G508" t="inlineStr">
        <is>
          <t>DEBITO</t>
        </is>
      </c>
      <c r="H508" t="inlineStr">
        <is>
          <t>Stemme Telecomunicacoes do Brasil Ltda.</t>
        </is>
      </c>
      <c r="I508" t="n">
        <v>-306.18</v>
      </c>
    </row>
    <row r="509">
      <c r="A509" t="n">
        <v>199267</v>
      </c>
      <c r="B509" t="n">
        <v>182</v>
      </c>
      <c r="C509" t="inlineStr">
        <is>
          <t>Love - Shibari - Kamino</t>
        </is>
      </c>
      <c r="D509" t="n">
        <v>128</v>
      </c>
      <c r="E509" t="inlineStr">
        <is>
          <t>Love Cabaret</t>
        </is>
      </c>
      <c r="F509" s="27" t="n">
        <v>45973</v>
      </c>
      <c r="G509" t="inlineStr">
        <is>
          <t>DEBITO</t>
        </is>
      </c>
      <c r="H509" t="inlineStr">
        <is>
          <t>Emporio M&amp;M Ltda</t>
        </is>
      </c>
      <c r="I509" t="n">
        <v>-140</v>
      </c>
    </row>
    <row r="510">
      <c r="A510" t="n">
        <v>199258</v>
      </c>
      <c r="B510" t="n">
        <v>182</v>
      </c>
      <c r="C510" t="inlineStr">
        <is>
          <t>Love - Shibari - Kamino</t>
        </is>
      </c>
      <c r="D510" t="n">
        <v>128</v>
      </c>
      <c r="E510" t="inlineStr">
        <is>
          <t>Love Cabaret</t>
        </is>
      </c>
      <c r="F510" s="27" t="n">
        <v>45973</v>
      </c>
      <c r="G510" t="inlineStr">
        <is>
          <t>DEBITO</t>
        </is>
      </c>
      <c r="H510" t="inlineStr">
        <is>
          <t>Cia do Whisky</t>
        </is>
      </c>
      <c r="I510" t="n">
        <v>-937.22</v>
      </c>
    </row>
    <row r="511">
      <c r="A511" t="n">
        <v>199256</v>
      </c>
      <c r="B511" t="n">
        <v>182</v>
      </c>
      <c r="C511" t="inlineStr">
        <is>
          <t>Love - Shibari - Kamino</t>
        </is>
      </c>
      <c r="D511" t="n">
        <v>128</v>
      </c>
      <c r="E511" t="inlineStr">
        <is>
          <t>Love Cabaret</t>
        </is>
      </c>
      <c r="F511" s="27" t="n">
        <v>45973</v>
      </c>
      <c r="G511" t="inlineStr">
        <is>
          <t>CREDITO</t>
        </is>
      </c>
      <c r="H511" t="inlineStr">
        <is>
          <t>SHIBARI ART E DIVERSAO LTDA</t>
        </is>
      </c>
      <c r="I511" t="n">
        <v>17000</v>
      </c>
    </row>
    <row r="512">
      <c r="A512" t="n">
        <v>199259</v>
      </c>
      <c r="B512" t="n">
        <v>182</v>
      </c>
      <c r="C512" t="inlineStr">
        <is>
          <t>Love - Shibari - Kamino</t>
        </is>
      </c>
      <c r="D512" t="n">
        <v>128</v>
      </c>
      <c r="E512" t="inlineStr">
        <is>
          <t>Love Cabaret</t>
        </is>
      </c>
      <c r="F512" s="27" t="n">
        <v>45973</v>
      </c>
      <c r="G512" t="inlineStr">
        <is>
          <t>DEBITO</t>
        </is>
      </c>
      <c r="H512" t="inlineStr">
        <is>
          <t>Machine Seguranca Patrimonial Ltda</t>
        </is>
      </c>
      <c r="I512" t="n">
        <v>-4636.95</v>
      </c>
    </row>
    <row r="513">
      <c r="A513" t="n">
        <v>199260</v>
      </c>
      <c r="B513" t="n">
        <v>182</v>
      </c>
      <c r="C513" t="inlineStr">
        <is>
          <t>Love - Shibari - Kamino</t>
        </is>
      </c>
      <c r="D513" t="n">
        <v>128</v>
      </c>
      <c r="E513" t="inlineStr">
        <is>
          <t>Love Cabaret</t>
        </is>
      </c>
      <c r="F513" s="27" t="n">
        <v>45973</v>
      </c>
      <c r="G513" t="inlineStr">
        <is>
          <t>DEBITO</t>
        </is>
      </c>
      <c r="H513" t="inlineStr">
        <is>
          <t>Larissa Bosco</t>
        </is>
      </c>
      <c r="I513" t="n">
        <v>-2000</v>
      </c>
    </row>
    <row r="514">
      <c r="A514" t="n">
        <v>199261</v>
      </c>
      <c r="B514" t="n">
        <v>182</v>
      </c>
      <c r="C514" t="inlineStr">
        <is>
          <t>Love - Shibari - Kamino</t>
        </is>
      </c>
      <c r="D514" t="n">
        <v>128</v>
      </c>
      <c r="E514" t="inlineStr">
        <is>
          <t>Love Cabaret</t>
        </is>
      </c>
      <c r="F514" s="27" t="n">
        <v>45973</v>
      </c>
      <c r="G514" t="inlineStr">
        <is>
          <t>DEBITO</t>
        </is>
      </c>
      <c r="H514" t="inlineStr">
        <is>
          <t>Laticinios Fior D Italia Ltda</t>
        </is>
      </c>
      <c r="I514" t="n">
        <v>-326.75</v>
      </c>
    </row>
    <row r="515">
      <c r="A515" t="n">
        <v>199263</v>
      </c>
      <c r="B515" t="n">
        <v>182</v>
      </c>
      <c r="C515" t="inlineStr">
        <is>
          <t>Love - Shibari - Kamino</t>
        </is>
      </c>
      <c r="D515" t="n">
        <v>128</v>
      </c>
      <c r="E515" t="inlineStr">
        <is>
          <t>Love Cabaret</t>
        </is>
      </c>
      <c r="F515" s="27" t="n">
        <v>45973</v>
      </c>
      <c r="G515" t="inlineStr">
        <is>
          <t>DEBITO</t>
        </is>
      </c>
      <c r="H515" t="inlineStr">
        <is>
          <t>Wines4u com Imp Exp Vinhos Lt</t>
        </is>
      </c>
      <c r="I515" t="n">
        <v>-2754</v>
      </c>
    </row>
    <row r="516">
      <c r="A516" t="n">
        <v>199264</v>
      </c>
      <c r="B516" t="n">
        <v>182</v>
      </c>
      <c r="C516" t="inlineStr">
        <is>
          <t>Love - Shibari - Kamino</t>
        </is>
      </c>
      <c r="D516" t="n">
        <v>128</v>
      </c>
      <c r="E516" t="inlineStr">
        <is>
          <t>Love Cabaret</t>
        </is>
      </c>
      <c r="F516" s="27" t="n">
        <v>45973</v>
      </c>
      <c r="G516" t="inlineStr">
        <is>
          <t>DEBITO</t>
        </is>
      </c>
      <c r="H516" t="inlineStr">
        <is>
          <t>Estaff Solucoes Tecnologicas de Agenciam</t>
        </is>
      </c>
      <c r="I516" t="n">
        <v>-15892.26</v>
      </c>
    </row>
    <row r="517">
      <c r="A517" t="n">
        <v>199265</v>
      </c>
      <c r="B517" t="n">
        <v>182</v>
      </c>
      <c r="C517" t="inlineStr">
        <is>
          <t>Love - Shibari - Kamino</t>
        </is>
      </c>
      <c r="D517" t="n">
        <v>128</v>
      </c>
      <c r="E517" t="inlineStr">
        <is>
          <t>Love Cabaret</t>
        </is>
      </c>
      <c r="F517" s="27" t="n">
        <v>45973</v>
      </c>
      <c r="G517" t="inlineStr">
        <is>
          <t>DEBITO</t>
        </is>
      </c>
      <c r="H517" t="inlineStr">
        <is>
          <t>Zahil Importadora Ltda</t>
        </is>
      </c>
      <c r="I517" t="n">
        <v>-1638.7</v>
      </c>
    </row>
    <row r="518">
      <c r="A518" t="n">
        <v>199262</v>
      </c>
      <c r="B518" t="n">
        <v>182</v>
      </c>
      <c r="C518" t="inlineStr">
        <is>
          <t>Love - Shibari - Kamino</t>
        </is>
      </c>
      <c r="D518" t="n">
        <v>128</v>
      </c>
      <c r="E518" t="inlineStr">
        <is>
          <t>Love Cabaret</t>
        </is>
      </c>
      <c r="F518" s="27" t="n">
        <v>45973</v>
      </c>
      <c r="G518" t="inlineStr">
        <is>
          <t>DEBITO</t>
        </is>
      </c>
      <c r="H518" t="inlineStr">
        <is>
          <t>Nc Storino Junior Estudio Foto &amp; Video</t>
        </is>
      </c>
      <c r="I518" t="n">
        <v>-600</v>
      </c>
    </row>
    <row r="519">
      <c r="A519" t="n">
        <v>199266</v>
      </c>
      <c r="B519" t="n">
        <v>182</v>
      </c>
      <c r="C519" t="inlineStr">
        <is>
          <t>Love - Shibari - Kamino</t>
        </is>
      </c>
      <c r="D519" t="n">
        <v>128</v>
      </c>
      <c r="E519" t="inlineStr">
        <is>
          <t>Love Cabaret</t>
        </is>
      </c>
      <c r="F519" s="27" t="n">
        <v>45973</v>
      </c>
      <c r="G519" t="inlineStr">
        <is>
          <t>DEBITO</t>
        </is>
      </c>
      <c r="H519" t="inlineStr">
        <is>
          <t>Ng27 Consultoria e Gestao Empr</t>
        </is>
      </c>
      <c r="I519" t="n">
        <v>-275</v>
      </c>
    </row>
    <row r="520">
      <c r="A520" t="n">
        <v>199052</v>
      </c>
      <c r="B520" t="n">
        <v>115</v>
      </c>
      <c r="C520" t="inlineStr">
        <is>
          <t>Love - Shibari - Bradesco</t>
        </is>
      </c>
      <c r="D520" t="n">
        <v>128</v>
      </c>
      <c r="E520" t="inlineStr">
        <is>
          <t>Love Cabaret</t>
        </is>
      </c>
      <c r="F520" s="27" t="n">
        <v>45972.5</v>
      </c>
      <c r="G520" t="inlineStr">
        <is>
          <t>CREDITO</t>
        </is>
      </c>
      <c r="H520" t="inlineStr">
        <is>
          <t>TED-TRANSF ELET DISPON REMET.Zig Tecnologia S.A.</t>
        </is>
      </c>
      <c r="I520" t="n">
        <v>20538.15</v>
      </c>
    </row>
    <row r="521">
      <c r="A521" t="n">
        <v>199053</v>
      </c>
      <c r="B521" t="n">
        <v>115</v>
      </c>
      <c r="C521" t="inlineStr">
        <is>
          <t>Love - Shibari - Bradesco</t>
        </is>
      </c>
      <c r="D521" t="n">
        <v>128</v>
      </c>
      <c r="E521" t="inlineStr">
        <is>
          <t>Love Cabaret</t>
        </is>
      </c>
      <c r="F521" s="27" t="n">
        <v>45972.5</v>
      </c>
      <c r="G521" t="inlineStr">
        <is>
          <t>CREDITO</t>
        </is>
      </c>
      <c r="H521" t="inlineStr">
        <is>
          <t>DEP DINHEIRO ATM AG00198MAQ001111SEQ07757</t>
        </is>
      </c>
      <c r="I521" t="n">
        <v>747</v>
      </c>
    </row>
    <row r="522">
      <c r="A522" t="n">
        <v>199054</v>
      </c>
      <c r="B522" t="n">
        <v>115</v>
      </c>
      <c r="C522" t="inlineStr">
        <is>
          <t>Love - Shibari - Bradesco</t>
        </is>
      </c>
      <c r="D522" t="n">
        <v>128</v>
      </c>
      <c r="E522" t="inlineStr">
        <is>
          <t>Love Cabaret</t>
        </is>
      </c>
      <c r="F522" s="27" t="n">
        <v>45972.5</v>
      </c>
      <c r="G522" t="inlineStr">
        <is>
          <t>CREDITO</t>
        </is>
      </c>
      <c r="H522" t="inlineStr">
        <is>
          <t>TRANSFERENCIA PIX REM: CHRISTIANE SANTIAGO N 11/11</t>
        </is>
      </c>
      <c r="I522" t="n">
        <v>620</v>
      </c>
    </row>
    <row r="523">
      <c r="A523" t="n">
        <v>199255</v>
      </c>
      <c r="B523" t="n">
        <v>182</v>
      </c>
      <c r="C523" t="inlineStr">
        <is>
          <t>Love - Shibari - Kamino</t>
        </is>
      </c>
      <c r="D523" t="n">
        <v>128</v>
      </c>
      <c r="E523" t="inlineStr">
        <is>
          <t>Love Cabaret</t>
        </is>
      </c>
      <c r="F523" s="27" t="n">
        <v>45972</v>
      </c>
      <c r="G523" t="inlineStr">
        <is>
          <t>DEBITO</t>
        </is>
      </c>
      <c r="H523" t="inlineStr">
        <is>
          <t>Aurora Alvorada Estacionamento e Lanchon</t>
        </is>
      </c>
      <c r="I523" t="n">
        <v>-341.31</v>
      </c>
    </row>
    <row r="524">
      <c r="A524" t="n">
        <v>199051</v>
      </c>
      <c r="B524" t="n">
        <v>115</v>
      </c>
      <c r="C524" t="inlineStr">
        <is>
          <t>Love - Shibari - Bradesco</t>
        </is>
      </c>
      <c r="D524" t="n">
        <v>128</v>
      </c>
      <c r="E524" t="inlineStr">
        <is>
          <t>Love Cabaret</t>
        </is>
      </c>
      <c r="F524" s="27" t="n">
        <v>45971.5</v>
      </c>
      <c r="G524" t="inlineStr">
        <is>
          <t>DEBITO</t>
        </is>
      </c>
      <c r="H524" t="inlineStr">
        <is>
          <t>TRANSFERENCIA PIX DES: SHIBARI ART E DIVERSA 10/11</t>
        </is>
      </c>
      <c r="I524" t="n">
        <v>-200000</v>
      </c>
    </row>
    <row r="525">
      <c r="A525" t="n">
        <v>199044</v>
      </c>
      <c r="B525" t="n">
        <v>115</v>
      </c>
      <c r="C525" t="inlineStr">
        <is>
          <t>Love - Shibari - Bradesco</t>
        </is>
      </c>
      <c r="D525" t="n">
        <v>128</v>
      </c>
      <c r="E525" t="inlineStr">
        <is>
          <t>Love Cabaret</t>
        </is>
      </c>
      <c r="F525" s="27" t="n">
        <v>45971.5</v>
      </c>
      <c r="G525" t="inlineStr">
        <is>
          <t>CREDITO</t>
        </is>
      </c>
      <c r="H525" t="inlineStr">
        <is>
          <t>TRANSFERENCIA PIX REM: JACKELINE SANTOS GOIS 08/11</t>
        </is>
      </c>
      <c r="I525" t="n">
        <v>77.5</v>
      </c>
    </row>
    <row r="526">
      <c r="A526" t="n">
        <v>199043</v>
      </c>
      <c r="B526" t="n">
        <v>115</v>
      </c>
      <c r="C526" t="inlineStr">
        <is>
          <t>Love - Shibari - Bradesco</t>
        </is>
      </c>
      <c r="D526" t="n">
        <v>128</v>
      </c>
      <c r="E526" t="inlineStr">
        <is>
          <t>Love Cabaret</t>
        </is>
      </c>
      <c r="F526" s="27" t="n">
        <v>45971.5</v>
      </c>
      <c r="G526" t="inlineStr">
        <is>
          <t>CREDITO</t>
        </is>
      </c>
      <c r="H526" t="inlineStr">
        <is>
          <t>TRANSFERENCIA PIX REM: GABRIELE KUNDE        10/11</t>
        </is>
      </c>
      <c r="I526" t="n">
        <v>1240</v>
      </c>
    </row>
    <row r="527">
      <c r="A527" t="n">
        <v>199042</v>
      </c>
      <c r="B527" t="n">
        <v>115</v>
      </c>
      <c r="C527" t="inlineStr">
        <is>
          <t>Love - Shibari - Bradesco</t>
        </is>
      </c>
      <c r="D527" t="n">
        <v>128</v>
      </c>
      <c r="E527" t="inlineStr">
        <is>
          <t>Love Cabaret</t>
        </is>
      </c>
      <c r="F527" s="27" t="n">
        <v>45971.5</v>
      </c>
      <c r="G527" t="inlineStr">
        <is>
          <t>CREDITO</t>
        </is>
      </c>
      <c r="H527" t="inlineStr">
        <is>
          <t>RESG/VENCTO CDB</t>
        </is>
      </c>
      <c r="I527" t="n">
        <v>619.41</v>
      </c>
    </row>
    <row r="528">
      <c r="A528" t="n">
        <v>199041</v>
      </c>
      <c r="B528" t="n">
        <v>115</v>
      </c>
      <c r="C528" t="inlineStr">
        <is>
          <t>Love - Shibari - Bradesco</t>
        </is>
      </c>
      <c r="D528" t="n">
        <v>128</v>
      </c>
      <c r="E528" t="inlineStr">
        <is>
          <t>Love Cabaret</t>
        </is>
      </c>
      <c r="F528" s="27" t="n">
        <v>45971.5</v>
      </c>
      <c r="G528" t="inlineStr">
        <is>
          <t>CREDITO</t>
        </is>
      </c>
      <c r="H528" t="inlineStr">
        <is>
          <t>TED-TRANSF ELET DISPON REMET.Zig Tecnologia S.A.</t>
        </is>
      </c>
      <c r="I528" t="n">
        <v>41903.41</v>
      </c>
    </row>
    <row r="529">
      <c r="A529" t="n">
        <v>199040</v>
      </c>
      <c r="B529" t="n">
        <v>115</v>
      </c>
      <c r="C529" t="inlineStr">
        <is>
          <t>Love - Shibari - Bradesco</t>
        </is>
      </c>
      <c r="D529" t="n">
        <v>128</v>
      </c>
      <c r="E529" t="inlineStr">
        <is>
          <t>Love Cabaret</t>
        </is>
      </c>
      <c r="F529" s="27" t="n">
        <v>45971.5</v>
      </c>
      <c r="G529" t="inlineStr">
        <is>
          <t>CREDITO</t>
        </is>
      </c>
      <c r="H529" t="inlineStr">
        <is>
          <t>TED-TRANSF ELET DISPON REMET.LOVE SUITES LTDA</t>
        </is>
      </c>
      <c r="I529" t="n">
        <v>959.55</v>
      </c>
    </row>
    <row r="530">
      <c r="A530" t="n">
        <v>199039</v>
      </c>
      <c r="B530" t="n">
        <v>115</v>
      </c>
      <c r="C530" t="inlineStr">
        <is>
          <t>Love - Shibari - Bradesco</t>
        </is>
      </c>
      <c r="D530" t="n">
        <v>128</v>
      </c>
      <c r="E530" t="inlineStr">
        <is>
          <t>Love Cabaret</t>
        </is>
      </c>
      <c r="F530" s="27" t="n">
        <v>45971.5</v>
      </c>
      <c r="G530" t="inlineStr">
        <is>
          <t>CREDITO</t>
        </is>
      </c>
      <c r="H530" t="inlineStr">
        <is>
          <t>TED-TRANSF ELET DISPON REMET.LOVE SUITES LTDA</t>
        </is>
      </c>
      <c r="I530" t="n">
        <v>32594.19</v>
      </c>
    </row>
    <row r="531">
      <c r="A531" t="n">
        <v>199038</v>
      </c>
      <c r="B531" t="n">
        <v>115</v>
      </c>
      <c r="C531" t="inlineStr">
        <is>
          <t>Love - Shibari - Bradesco</t>
        </is>
      </c>
      <c r="D531" t="n">
        <v>128</v>
      </c>
      <c r="E531" t="inlineStr">
        <is>
          <t>Love Cabaret</t>
        </is>
      </c>
      <c r="F531" s="27" t="n">
        <v>45971.5</v>
      </c>
      <c r="G531" t="inlineStr">
        <is>
          <t>CREDITO</t>
        </is>
      </c>
      <c r="H531" t="inlineStr">
        <is>
          <t>TED-TRANSF ELET DISPON REMET.LOVE SUITES LTDA</t>
        </is>
      </c>
      <c r="I531" t="n">
        <v>2953.14</v>
      </c>
    </row>
    <row r="532">
      <c r="A532" t="n">
        <v>199231</v>
      </c>
      <c r="B532" t="n">
        <v>182</v>
      </c>
      <c r="C532" t="inlineStr">
        <is>
          <t>Love - Shibari - Kamino</t>
        </is>
      </c>
      <c r="D532" t="n">
        <v>128</v>
      </c>
      <c r="E532" t="inlineStr">
        <is>
          <t>Love Cabaret</t>
        </is>
      </c>
      <c r="F532" s="27" t="n">
        <v>45971</v>
      </c>
      <c r="G532" t="inlineStr">
        <is>
          <t>DEBITO</t>
        </is>
      </c>
      <c r="H532" t="inlineStr">
        <is>
          <t>Cia do Whisky</t>
        </is>
      </c>
      <c r="I532" t="n">
        <v>-382.2</v>
      </c>
    </row>
    <row r="533">
      <c r="A533" t="n">
        <v>199206</v>
      </c>
      <c r="B533" t="n">
        <v>182</v>
      </c>
      <c r="C533" t="inlineStr">
        <is>
          <t>Love - Shibari - Kamino</t>
        </is>
      </c>
      <c r="D533" t="n">
        <v>128</v>
      </c>
      <c r="E533" t="inlineStr">
        <is>
          <t>Love Cabaret</t>
        </is>
      </c>
      <c r="F533" s="27" t="n">
        <v>45971</v>
      </c>
      <c r="G533" t="inlineStr">
        <is>
          <t>DEBITO</t>
        </is>
      </c>
      <c r="H533" t="inlineStr">
        <is>
          <t>(Leon) Julia Baisch Franz</t>
        </is>
      </c>
      <c r="I533" t="n">
        <v>-8500</v>
      </c>
    </row>
    <row r="534">
      <c r="A534" t="n">
        <v>199214</v>
      </c>
      <c r="B534" t="n">
        <v>182</v>
      </c>
      <c r="C534" t="inlineStr">
        <is>
          <t>Love - Shibari - Kamino</t>
        </is>
      </c>
      <c r="D534" t="n">
        <v>128</v>
      </c>
      <c r="E534" t="inlineStr">
        <is>
          <t>Love Cabaret</t>
        </is>
      </c>
      <c r="F534" s="27" t="n">
        <v>45971</v>
      </c>
      <c r="G534" t="inlineStr">
        <is>
          <t>DEBITO</t>
        </is>
      </c>
      <c r="H534" t="inlineStr">
        <is>
          <t>Teles de Almeida Pinto</t>
        </is>
      </c>
      <c r="I534" t="n">
        <v>-2000</v>
      </c>
    </row>
    <row r="535">
      <c r="A535" t="n">
        <v>199213</v>
      </c>
      <c r="B535" t="n">
        <v>182</v>
      </c>
      <c r="C535" t="inlineStr">
        <is>
          <t>Love - Shibari - Kamino</t>
        </is>
      </c>
      <c r="D535" t="n">
        <v>128</v>
      </c>
      <c r="E535" t="inlineStr">
        <is>
          <t>Love Cabaret</t>
        </is>
      </c>
      <c r="F535" s="27" t="n">
        <v>45971</v>
      </c>
      <c r="G535" t="inlineStr">
        <is>
          <t>DEBITO</t>
        </is>
      </c>
      <c r="H535" t="inlineStr">
        <is>
          <t>Felipe da Costa Santos</t>
        </is>
      </c>
      <c r="I535" t="n">
        <v>-30</v>
      </c>
    </row>
    <row r="536">
      <c r="A536" t="n">
        <v>199212</v>
      </c>
      <c r="B536" t="n">
        <v>182</v>
      </c>
      <c r="C536" t="inlineStr">
        <is>
          <t>Love - Shibari - Kamino</t>
        </is>
      </c>
      <c r="D536" t="n">
        <v>128</v>
      </c>
      <c r="E536" t="inlineStr">
        <is>
          <t>Love Cabaret</t>
        </is>
      </c>
      <c r="F536" s="27" t="n">
        <v>45971</v>
      </c>
      <c r="G536" t="inlineStr">
        <is>
          <t>DEBITO</t>
        </is>
      </c>
      <c r="H536" t="inlineStr">
        <is>
          <t>Andres La Rosa</t>
        </is>
      </c>
      <c r="I536" t="n">
        <v>-6550</v>
      </c>
    </row>
    <row r="537">
      <c r="A537" t="n">
        <v>199211</v>
      </c>
      <c r="B537" t="n">
        <v>182</v>
      </c>
      <c r="C537" t="inlineStr">
        <is>
          <t>Love - Shibari - Kamino</t>
        </is>
      </c>
      <c r="D537" t="n">
        <v>128</v>
      </c>
      <c r="E537" t="inlineStr">
        <is>
          <t>Love Cabaret</t>
        </is>
      </c>
      <c r="F537" s="27" t="n">
        <v>45971</v>
      </c>
      <c r="G537" t="inlineStr">
        <is>
          <t>DEBITO</t>
        </is>
      </c>
      <c r="H537" t="inlineStr">
        <is>
          <t>Tamara Santos Ribeiro</t>
        </is>
      </c>
      <c r="I537" t="n">
        <v>-3500</v>
      </c>
    </row>
    <row r="538">
      <c r="A538" t="n">
        <v>199210</v>
      </c>
      <c r="B538" t="n">
        <v>182</v>
      </c>
      <c r="C538" t="inlineStr">
        <is>
          <t>Love - Shibari - Kamino</t>
        </is>
      </c>
      <c r="D538" t="n">
        <v>128</v>
      </c>
      <c r="E538" t="inlineStr">
        <is>
          <t>Love Cabaret</t>
        </is>
      </c>
      <c r="F538" s="27" t="n">
        <v>45971</v>
      </c>
      <c r="G538" t="inlineStr">
        <is>
          <t>DEBITO</t>
        </is>
      </c>
      <c r="H538" t="inlineStr">
        <is>
          <t>Felipe Ferreira Franca 36496185832</t>
        </is>
      </c>
      <c r="I538" t="n">
        <v>-3250</v>
      </c>
    </row>
    <row r="539">
      <c r="A539" t="n">
        <v>199209</v>
      </c>
      <c r="B539" t="n">
        <v>182</v>
      </c>
      <c r="C539" t="inlineStr">
        <is>
          <t>Love - Shibari - Kamino</t>
        </is>
      </c>
      <c r="D539" t="n">
        <v>128</v>
      </c>
      <c r="E539" t="inlineStr">
        <is>
          <t>Love Cabaret</t>
        </is>
      </c>
      <c r="F539" s="27" t="n">
        <v>45971</v>
      </c>
      <c r="G539" t="inlineStr">
        <is>
          <t>DEBITO</t>
        </is>
      </c>
      <c r="H539" t="inlineStr">
        <is>
          <t>29.004.930 Agnes Rodrigues de Oliveira</t>
        </is>
      </c>
      <c r="I539" t="n">
        <v>-5000</v>
      </c>
    </row>
    <row r="540">
      <c r="A540" t="n">
        <v>199208</v>
      </c>
      <c r="B540" t="n">
        <v>182</v>
      </c>
      <c r="C540" t="inlineStr">
        <is>
          <t>Love - Shibari - Kamino</t>
        </is>
      </c>
      <c r="D540" t="n">
        <v>128</v>
      </c>
      <c r="E540" t="inlineStr">
        <is>
          <t>Love Cabaret</t>
        </is>
      </c>
      <c r="F540" s="27" t="n">
        <v>45971</v>
      </c>
      <c r="G540" t="inlineStr">
        <is>
          <t>CREDITO</t>
        </is>
      </c>
      <c r="H540" t="inlineStr">
        <is>
          <t>Pix Env No Processado</t>
        </is>
      </c>
      <c r="I540" t="n">
        <v>6550</v>
      </c>
    </row>
    <row r="541">
      <c r="A541" t="n">
        <v>199207</v>
      </c>
      <c r="B541" t="n">
        <v>182</v>
      </c>
      <c r="C541" t="inlineStr">
        <is>
          <t>Love - Shibari - Kamino</t>
        </is>
      </c>
      <c r="D541" t="n">
        <v>128</v>
      </c>
      <c r="E541" t="inlineStr">
        <is>
          <t>Love Cabaret</t>
        </is>
      </c>
      <c r="F541" s="27" t="n">
        <v>45971</v>
      </c>
      <c r="G541" t="inlineStr">
        <is>
          <t>CREDITO</t>
        </is>
      </c>
      <c r="H541" t="inlineStr">
        <is>
          <t>Pix Env No Processado</t>
        </is>
      </c>
      <c r="I541" t="n">
        <v>8500</v>
      </c>
    </row>
    <row r="542">
      <c r="A542" t="n">
        <v>199215</v>
      </c>
      <c r="B542" t="n">
        <v>182</v>
      </c>
      <c r="C542" t="inlineStr">
        <is>
          <t>Love - Shibari - Kamino</t>
        </is>
      </c>
      <c r="D542" t="n">
        <v>128</v>
      </c>
      <c r="E542" t="inlineStr">
        <is>
          <t>Love Cabaret</t>
        </is>
      </c>
      <c r="F542" s="27" t="n">
        <v>45971</v>
      </c>
      <c r="G542" t="inlineStr">
        <is>
          <t>CREDITO</t>
        </is>
      </c>
      <c r="H542" t="inlineStr">
        <is>
          <t>Pix Env No Processado</t>
        </is>
      </c>
      <c r="I542" t="n">
        <v>2000</v>
      </c>
    </row>
    <row r="543">
      <c r="A543" t="n">
        <v>199205</v>
      </c>
      <c r="B543" t="n">
        <v>182</v>
      </c>
      <c r="C543" t="inlineStr">
        <is>
          <t>Love - Shibari - Kamino</t>
        </is>
      </c>
      <c r="D543" t="n">
        <v>128</v>
      </c>
      <c r="E543" t="inlineStr">
        <is>
          <t>Love Cabaret</t>
        </is>
      </c>
      <c r="F543" s="27" t="n">
        <v>45971</v>
      </c>
      <c r="G543" t="inlineStr">
        <is>
          <t>DEBITO</t>
        </is>
      </c>
      <c r="H543" t="inlineStr">
        <is>
          <t>Vanessa Del Santos de Freitas Consultoria</t>
        </is>
      </c>
      <c r="I543" t="n">
        <v>-3000</v>
      </c>
    </row>
    <row r="544">
      <c r="A544" t="n">
        <v>199204</v>
      </c>
      <c r="B544" t="n">
        <v>182</v>
      </c>
      <c r="C544" t="inlineStr">
        <is>
          <t>Love - Shibari - Kamino</t>
        </is>
      </c>
      <c r="D544" t="n">
        <v>128</v>
      </c>
      <c r="E544" t="inlineStr">
        <is>
          <t>Love Cabaret</t>
        </is>
      </c>
      <c r="F544" s="27" t="n">
        <v>45971</v>
      </c>
      <c r="G544" t="inlineStr">
        <is>
          <t>CREDITO</t>
        </is>
      </c>
      <c r="H544" t="inlineStr">
        <is>
          <t>SHIBARI ART E DIVERSAO LTDA</t>
        </is>
      </c>
      <c r="I544" t="n">
        <v>200000</v>
      </c>
    </row>
    <row r="545">
      <c r="A545" t="n">
        <v>199232</v>
      </c>
      <c r="B545" t="n">
        <v>182</v>
      </c>
      <c r="C545" t="inlineStr">
        <is>
          <t>Love - Shibari - Kamino</t>
        </is>
      </c>
      <c r="D545" t="n">
        <v>128</v>
      </c>
      <c r="E545" t="inlineStr">
        <is>
          <t>Love Cabaret</t>
        </is>
      </c>
      <c r="F545" s="27" t="n">
        <v>45971</v>
      </c>
      <c r="G545" t="inlineStr">
        <is>
          <t>DEBITO</t>
        </is>
      </c>
      <c r="H545" t="inlineStr">
        <is>
          <t>Fablab Inovacao S T Ltda</t>
        </is>
      </c>
      <c r="I545" t="n">
        <v>-389</v>
      </c>
    </row>
    <row r="546">
      <c r="A546" t="n">
        <v>199233</v>
      </c>
      <c r="B546" t="n">
        <v>182</v>
      </c>
      <c r="C546" t="inlineStr">
        <is>
          <t>Love - Shibari - Kamino</t>
        </is>
      </c>
      <c r="D546" t="n">
        <v>128</v>
      </c>
      <c r="E546" t="inlineStr">
        <is>
          <t>Love Cabaret</t>
        </is>
      </c>
      <c r="F546" s="27" t="n">
        <v>45971</v>
      </c>
      <c r="G546" t="inlineStr">
        <is>
          <t>DEBITO</t>
        </is>
      </c>
      <c r="H546" t="inlineStr">
        <is>
          <t>Ciclo com e Participacoes Ltda</t>
        </is>
      </c>
      <c r="I546" t="n">
        <v>-38500.47</v>
      </c>
    </row>
    <row r="547">
      <c r="A547" t="n">
        <v>199234</v>
      </c>
      <c r="B547" t="n">
        <v>182</v>
      </c>
      <c r="C547" t="inlineStr">
        <is>
          <t>Love - Shibari - Kamino</t>
        </is>
      </c>
      <c r="D547" t="n">
        <v>128</v>
      </c>
      <c r="E547" t="inlineStr">
        <is>
          <t>Love Cabaret</t>
        </is>
      </c>
      <c r="F547" s="27" t="n">
        <v>45971</v>
      </c>
      <c r="G547" t="inlineStr">
        <is>
          <t>DEBITO</t>
        </is>
      </c>
      <c r="H547" t="inlineStr">
        <is>
          <t>Ng27 Consultoria e Gestao Empr</t>
        </is>
      </c>
      <c r="I547" t="n">
        <v>-167.63</v>
      </c>
    </row>
    <row r="548">
      <c r="A548" t="n">
        <v>199235</v>
      </c>
      <c r="B548" t="n">
        <v>182</v>
      </c>
      <c r="C548" t="inlineStr">
        <is>
          <t>Love - Shibari - Kamino</t>
        </is>
      </c>
      <c r="D548" t="n">
        <v>128</v>
      </c>
      <c r="E548" t="inlineStr">
        <is>
          <t>Love Cabaret</t>
        </is>
      </c>
      <c r="F548" s="27" t="n">
        <v>45971</v>
      </c>
      <c r="G548" t="inlineStr">
        <is>
          <t>DEBITO</t>
        </is>
      </c>
      <c r="H548" t="inlineStr">
        <is>
          <t>Ice4pros Fabrica de Gelo Ltda</t>
        </is>
      </c>
      <c r="I548" t="n">
        <v>-563.5</v>
      </c>
    </row>
    <row r="549">
      <c r="A549" t="n">
        <v>199236</v>
      </c>
      <c r="B549" t="n">
        <v>182</v>
      </c>
      <c r="C549" t="inlineStr">
        <is>
          <t>Love - Shibari - Kamino</t>
        </is>
      </c>
      <c r="D549" t="n">
        <v>128</v>
      </c>
      <c r="E549" t="inlineStr">
        <is>
          <t>Love Cabaret</t>
        </is>
      </c>
      <c r="F549" s="27" t="n">
        <v>45971</v>
      </c>
      <c r="G549" t="inlineStr">
        <is>
          <t>DEBITO</t>
        </is>
      </c>
      <c r="H549" t="inlineStr">
        <is>
          <t>Mario Pedro Feliciano Hortifru</t>
        </is>
      </c>
      <c r="I549" t="n">
        <v>-112.28</v>
      </c>
    </row>
    <row r="550">
      <c r="A550" t="n">
        <v>199237</v>
      </c>
      <c r="B550" t="n">
        <v>182</v>
      </c>
      <c r="C550" t="inlineStr">
        <is>
          <t>Love - Shibari - Kamino</t>
        </is>
      </c>
      <c r="D550" t="n">
        <v>128</v>
      </c>
      <c r="E550" t="inlineStr">
        <is>
          <t>Love Cabaret</t>
        </is>
      </c>
      <c r="F550" s="27" t="n">
        <v>45971</v>
      </c>
      <c r="G550" t="inlineStr">
        <is>
          <t>DEBITO</t>
        </is>
      </c>
      <c r="H550" t="inlineStr">
        <is>
          <t>Forte Alimentos Comercio e Importacao Lt</t>
        </is>
      </c>
      <c r="I550" t="n">
        <v>-441.38</v>
      </c>
    </row>
    <row r="551">
      <c r="A551" t="n">
        <v>199216</v>
      </c>
      <c r="B551" t="n">
        <v>182</v>
      </c>
      <c r="C551" t="inlineStr">
        <is>
          <t>Love - Shibari - Kamino</t>
        </is>
      </c>
      <c r="D551" t="n">
        <v>128</v>
      </c>
      <c r="E551" t="inlineStr">
        <is>
          <t>Love Cabaret</t>
        </is>
      </c>
      <c r="F551" s="27" t="n">
        <v>45971</v>
      </c>
      <c r="G551" t="inlineStr">
        <is>
          <t>DEBITO</t>
        </is>
      </c>
      <c r="H551" t="inlineStr">
        <is>
          <t>53.068.043 Isabella Fernandes Gomes</t>
        </is>
      </c>
      <c r="I551" t="n">
        <v>-1200</v>
      </c>
    </row>
    <row r="552">
      <c r="A552" t="n">
        <v>199217</v>
      </c>
      <c r="B552" t="n">
        <v>182</v>
      </c>
      <c r="C552" t="inlineStr">
        <is>
          <t>Love - Shibari - Kamino</t>
        </is>
      </c>
      <c r="D552" t="n">
        <v>128</v>
      </c>
      <c r="E552" t="inlineStr">
        <is>
          <t>Love Cabaret</t>
        </is>
      </c>
      <c r="F552" s="27" t="n">
        <v>45971</v>
      </c>
      <c r="G552" t="inlineStr">
        <is>
          <t>DEBITO</t>
        </is>
      </c>
      <c r="H552" t="inlineStr">
        <is>
          <t>Indra Haretrava</t>
        </is>
      </c>
      <c r="I552" t="n">
        <v>-7420</v>
      </c>
    </row>
    <row r="553">
      <c r="A553" t="n">
        <v>199218</v>
      </c>
      <c r="B553" t="n">
        <v>182</v>
      </c>
      <c r="C553" t="inlineStr">
        <is>
          <t>Love - Shibari - Kamino</t>
        </is>
      </c>
      <c r="D553" t="n">
        <v>128</v>
      </c>
      <c r="E553" t="inlineStr">
        <is>
          <t>Love Cabaret</t>
        </is>
      </c>
      <c r="F553" s="27" t="n">
        <v>45971</v>
      </c>
      <c r="G553" t="inlineStr">
        <is>
          <t>DEBITO</t>
        </is>
      </c>
      <c r="H553" t="inlineStr">
        <is>
          <t>49.635.085 Jessica Izabel de Souza</t>
        </is>
      </c>
      <c r="I553" t="n">
        <v>-1250</v>
      </c>
    </row>
    <row r="554">
      <c r="A554" t="n">
        <v>199219</v>
      </c>
      <c r="B554" t="n">
        <v>182</v>
      </c>
      <c r="C554" t="inlineStr">
        <is>
          <t>Love - Shibari - Kamino</t>
        </is>
      </c>
      <c r="D554" t="n">
        <v>128</v>
      </c>
      <c r="E554" t="inlineStr">
        <is>
          <t>Love Cabaret</t>
        </is>
      </c>
      <c r="F554" s="27" t="n">
        <v>45971</v>
      </c>
      <c r="G554" t="inlineStr">
        <is>
          <t>DEBITO</t>
        </is>
      </c>
      <c r="H554" t="inlineStr">
        <is>
          <t>Dudom</t>
        </is>
      </c>
      <c r="I554" t="n">
        <v>-1600</v>
      </c>
    </row>
    <row r="555">
      <c r="A555" t="n">
        <v>199220</v>
      </c>
      <c r="B555" t="n">
        <v>182</v>
      </c>
      <c r="C555" t="inlineStr">
        <is>
          <t>Love - Shibari - Kamino</t>
        </is>
      </c>
      <c r="D555" t="n">
        <v>128</v>
      </c>
      <c r="E555" t="inlineStr">
        <is>
          <t>Love Cabaret</t>
        </is>
      </c>
      <c r="F555" s="27" t="n">
        <v>45971</v>
      </c>
      <c r="G555" t="inlineStr">
        <is>
          <t>DEBITO</t>
        </is>
      </c>
      <c r="H555" t="inlineStr">
        <is>
          <t>Douglas Felipe Domingues Gonalves</t>
        </is>
      </c>
      <c r="I555" t="n">
        <v>-5230</v>
      </c>
    </row>
    <row r="556">
      <c r="A556" t="n">
        <v>199221</v>
      </c>
      <c r="B556" t="n">
        <v>182</v>
      </c>
      <c r="C556" t="inlineStr">
        <is>
          <t>Love - Shibari - Kamino</t>
        </is>
      </c>
      <c r="D556" t="n">
        <v>128</v>
      </c>
      <c r="E556" t="inlineStr">
        <is>
          <t>Love Cabaret</t>
        </is>
      </c>
      <c r="F556" s="27" t="n">
        <v>45971</v>
      </c>
      <c r="G556" t="inlineStr">
        <is>
          <t>DEBITO</t>
        </is>
      </c>
      <c r="H556" t="inlineStr">
        <is>
          <t>Puxuri Consultoria Ltda</t>
        </is>
      </c>
      <c r="I556" t="n">
        <v>-4000</v>
      </c>
    </row>
    <row r="557">
      <c r="A557" t="n">
        <v>199222</v>
      </c>
      <c r="B557" t="n">
        <v>182</v>
      </c>
      <c r="C557" t="inlineStr">
        <is>
          <t>Love - Shibari - Kamino</t>
        </is>
      </c>
      <c r="D557" t="n">
        <v>128</v>
      </c>
      <c r="E557" t="inlineStr">
        <is>
          <t>Love Cabaret</t>
        </is>
      </c>
      <c r="F557" s="27" t="n">
        <v>45971</v>
      </c>
      <c r="G557" t="inlineStr">
        <is>
          <t>DEBITO</t>
        </is>
      </c>
      <c r="H557" t="inlineStr">
        <is>
          <t>Laisa Rocha Lrangeira</t>
        </is>
      </c>
      <c r="I557" t="n">
        <v>-1600</v>
      </c>
    </row>
    <row r="558">
      <c r="A558" t="n">
        <v>199223</v>
      </c>
      <c r="B558" t="n">
        <v>182</v>
      </c>
      <c r="C558" t="inlineStr">
        <is>
          <t>Love - Shibari - Kamino</t>
        </is>
      </c>
      <c r="D558" t="n">
        <v>128</v>
      </c>
      <c r="E558" t="inlineStr">
        <is>
          <t>Love Cabaret</t>
        </is>
      </c>
      <c r="F558" s="27" t="n">
        <v>45971</v>
      </c>
      <c r="G558" t="inlineStr">
        <is>
          <t>DEBITO</t>
        </is>
      </c>
      <c r="H558" t="inlineStr">
        <is>
          <t>55.774.785 Thiago Pinheiro da Silva</t>
        </is>
      </c>
      <c r="I558" t="n">
        <v>-1125</v>
      </c>
    </row>
    <row r="559">
      <c r="A559" t="n">
        <v>199224</v>
      </c>
      <c r="B559" t="n">
        <v>182</v>
      </c>
      <c r="C559" t="inlineStr">
        <is>
          <t>Love - Shibari - Kamino</t>
        </is>
      </c>
      <c r="D559" t="n">
        <v>128</v>
      </c>
      <c r="E559" t="inlineStr">
        <is>
          <t>Love Cabaret</t>
        </is>
      </c>
      <c r="F559" s="27" t="n">
        <v>45971</v>
      </c>
      <c r="G559" t="inlineStr">
        <is>
          <t>DEBITO</t>
        </is>
      </c>
      <c r="H559" t="inlineStr">
        <is>
          <t>Leon Franz</t>
        </is>
      </c>
      <c r="I559" t="n">
        <v>-8500</v>
      </c>
    </row>
    <row r="560">
      <c r="A560" t="n">
        <v>199225</v>
      </c>
      <c r="B560" t="n">
        <v>182</v>
      </c>
      <c r="C560" t="inlineStr">
        <is>
          <t>Love - Shibari - Kamino</t>
        </is>
      </c>
      <c r="D560" t="n">
        <v>128</v>
      </c>
      <c r="E560" t="inlineStr">
        <is>
          <t>Love Cabaret</t>
        </is>
      </c>
      <c r="F560" s="27" t="n">
        <v>45971</v>
      </c>
      <c r="G560" t="inlineStr">
        <is>
          <t>DEBITO</t>
        </is>
      </c>
      <c r="H560" t="inlineStr">
        <is>
          <t>Teles de Almeida Pinto</t>
        </is>
      </c>
      <c r="I560" t="n">
        <v>-2000</v>
      </c>
    </row>
    <row r="561">
      <c r="A561" t="n">
        <v>199226</v>
      </c>
      <c r="B561" t="n">
        <v>182</v>
      </c>
      <c r="C561" t="inlineStr">
        <is>
          <t>Love - Shibari - Kamino</t>
        </is>
      </c>
      <c r="D561" t="n">
        <v>128</v>
      </c>
      <c r="E561" t="inlineStr">
        <is>
          <t>Love Cabaret</t>
        </is>
      </c>
      <c r="F561" s="27" t="n">
        <v>45971</v>
      </c>
      <c r="G561" t="inlineStr">
        <is>
          <t>DEBITO</t>
        </is>
      </c>
      <c r="H561" t="inlineStr">
        <is>
          <t>Andres La Rosa</t>
        </is>
      </c>
      <c r="I561" t="n">
        <v>-6550</v>
      </c>
    </row>
    <row r="562">
      <c r="A562" t="n">
        <v>199227</v>
      </c>
      <c r="B562" t="n">
        <v>182</v>
      </c>
      <c r="C562" t="inlineStr">
        <is>
          <t>Love - Shibari - Kamino</t>
        </is>
      </c>
      <c r="D562" t="n">
        <v>128</v>
      </c>
      <c r="E562" t="inlineStr">
        <is>
          <t>Love Cabaret</t>
        </is>
      </c>
      <c r="F562" s="27" t="n">
        <v>45971</v>
      </c>
      <c r="G562" t="inlineStr">
        <is>
          <t>DEBITO</t>
        </is>
      </c>
      <c r="H562" t="inlineStr">
        <is>
          <t>Alexandre Santos da Cruz</t>
        </is>
      </c>
      <c r="I562" t="n">
        <v>-3805.6</v>
      </c>
    </row>
    <row r="563">
      <c r="A563" t="n">
        <v>199228</v>
      </c>
      <c r="B563" t="n">
        <v>182</v>
      </c>
      <c r="C563" t="inlineStr">
        <is>
          <t>Love - Shibari - Kamino</t>
        </is>
      </c>
      <c r="D563" t="n">
        <v>128</v>
      </c>
      <c r="E563" t="inlineStr">
        <is>
          <t>Love Cabaret</t>
        </is>
      </c>
      <c r="F563" s="27" t="n">
        <v>45971</v>
      </c>
      <c r="G563" t="inlineStr">
        <is>
          <t>DEBITO</t>
        </is>
      </c>
      <c r="H563" t="inlineStr">
        <is>
          <t>Cecilia Tsuyaco Araki Silva Ltda</t>
        </is>
      </c>
      <c r="I563" t="n">
        <v>-318.1</v>
      </c>
    </row>
    <row r="564">
      <c r="A564" t="n">
        <v>199229</v>
      </c>
      <c r="B564" t="n">
        <v>182</v>
      </c>
      <c r="C564" t="inlineStr">
        <is>
          <t>Love - Shibari - Kamino</t>
        </is>
      </c>
      <c r="D564" t="n">
        <v>128</v>
      </c>
      <c r="E564" t="inlineStr">
        <is>
          <t>Love Cabaret</t>
        </is>
      </c>
      <c r="F564" s="27" t="n">
        <v>45971</v>
      </c>
      <c r="G564" t="inlineStr">
        <is>
          <t>DEBITO</t>
        </is>
      </c>
      <c r="H564" t="inlineStr">
        <is>
          <t>Comercial Dede</t>
        </is>
      </c>
      <c r="I564" t="n">
        <v>-658.6799999999999</v>
      </c>
    </row>
    <row r="565">
      <c r="A565" t="n">
        <v>199230</v>
      </c>
      <c r="B565" t="n">
        <v>182</v>
      </c>
      <c r="C565" t="inlineStr">
        <is>
          <t>Love - Shibari - Kamino</t>
        </is>
      </c>
      <c r="D565" t="n">
        <v>128</v>
      </c>
      <c r="E565" t="inlineStr">
        <is>
          <t>Love Cabaret</t>
        </is>
      </c>
      <c r="F565" s="27" t="n">
        <v>45971</v>
      </c>
      <c r="G565" t="inlineStr">
        <is>
          <t>DEBITO</t>
        </is>
      </c>
      <c r="H565" t="inlineStr">
        <is>
          <t>Mia Rossi</t>
        </is>
      </c>
      <c r="I565" t="n">
        <v>-5000</v>
      </c>
    </row>
    <row r="566">
      <c r="A566" t="n">
        <v>199238</v>
      </c>
      <c r="B566" t="n">
        <v>182</v>
      </c>
      <c r="C566" t="inlineStr">
        <is>
          <t>Love - Shibari - Kamino</t>
        </is>
      </c>
      <c r="D566" t="n">
        <v>128</v>
      </c>
      <c r="E566" t="inlineStr">
        <is>
          <t>Love Cabaret</t>
        </is>
      </c>
      <c r="F566" s="27" t="n">
        <v>45971</v>
      </c>
      <c r="G566" t="inlineStr">
        <is>
          <t>DEBITO</t>
        </is>
      </c>
      <c r="H566" t="inlineStr">
        <is>
          <t>Hnk Br Bebidas Ltda</t>
        </is>
      </c>
      <c r="I566" t="n">
        <v>-2352.32</v>
      </c>
    </row>
    <row r="567">
      <c r="A567" t="n">
        <v>199247</v>
      </c>
      <c r="B567" t="n">
        <v>182</v>
      </c>
      <c r="C567" t="inlineStr">
        <is>
          <t>Love - Shibari - Kamino</t>
        </is>
      </c>
      <c r="D567" t="n">
        <v>128</v>
      </c>
      <c r="E567" t="inlineStr">
        <is>
          <t>Love Cabaret</t>
        </is>
      </c>
      <c r="F567" s="27" t="n">
        <v>45971</v>
      </c>
      <c r="G567" t="inlineStr">
        <is>
          <t>DEBITO</t>
        </is>
      </c>
      <c r="H567" t="inlineStr">
        <is>
          <t>Receita Federal</t>
        </is>
      </c>
      <c r="I567" t="n">
        <v>-207.48</v>
      </c>
    </row>
    <row r="568">
      <c r="A568" t="n">
        <v>199248</v>
      </c>
      <c r="B568" t="n">
        <v>182</v>
      </c>
      <c r="C568" t="inlineStr">
        <is>
          <t>Love - Shibari - Kamino</t>
        </is>
      </c>
      <c r="D568" t="n">
        <v>128</v>
      </c>
      <c r="E568" t="inlineStr">
        <is>
          <t>Love Cabaret</t>
        </is>
      </c>
      <c r="F568" s="27" t="n">
        <v>45971</v>
      </c>
      <c r="G568" t="inlineStr">
        <is>
          <t>DEBITO</t>
        </is>
      </c>
      <c r="H568" t="inlineStr">
        <is>
          <t>Forte Alimentos Comercio e Importacao Lt</t>
        </is>
      </c>
      <c r="I568" t="n">
        <v>-324.9</v>
      </c>
    </row>
    <row r="569">
      <c r="A569" t="n">
        <v>199249</v>
      </c>
      <c r="B569" t="n">
        <v>182</v>
      </c>
      <c r="C569" t="inlineStr">
        <is>
          <t>Love - Shibari - Kamino</t>
        </is>
      </c>
      <c r="D569" t="n">
        <v>128</v>
      </c>
      <c r="E569" t="inlineStr">
        <is>
          <t>Love Cabaret</t>
        </is>
      </c>
      <c r="F569" s="27" t="n">
        <v>45971</v>
      </c>
      <c r="G569" t="inlineStr">
        <is>
          <t>DEBITO</t>
        </is>
      </c>
      <c r="H569" t="inlineStr">
        <is>
          <t>Fg7 Comercio D B Eireli Epp</t>
        </is>
      </c>
      <c r="I569" t="n">
        <v>-252.43</v>
      </c>
    </row>
    <row r="570">
      <c r="A570" t="n">
        <v>199250</v>
      </c>
      <c r="B570" t="n">
        <v>182</v>
      </c>
      <c r="C570" t="inlineStr">
        <is>
          <t>Love - Shibari - Kamino</t>
        </is>
      </c>
      <c r="D570" t="n">
        <v>128</v>
      </c>
      <c r="E570" t="inlineStr">
        <is>
          <t>Love Cabaret</t>
        </is>
      </c>
      <c r="F570" s="27" t="n">
        <v>45971</v>
      </c>
      <c r="G570" t="inlineStr">
        <is>
          <t>DEBITO</t>
        </is>
      </c>
      <c r="H570" t="inlineStr">
        <is>
          <t>Mordomia da Administracao Imobiliaria</t>
        </is>
      </c>
      <c r="I570" t="n">
        <v>-32594.19</v>
      </c>
    </row>
    <row r="571">
      <c r="A571" t="n">
        <v>199251</v>
      </c>
      <c r="B571" t="n">
        <v>182</v>
      </c>
      <c r="C571" t="inlineStr">
        <is>
          <t>Love - Shibari - Kamino</t>
        </is>
      </c>
      <c r="D571" t="n">
        <v>128</v>
      </c>
      <c r="E571" t="inlineStr">
        <is>
          <t>Love Cabaret</t>
        </is>
      </c>
      <c r="F571" s="27" t="n">
        <v>45971</v>
      </c>
      <c r="G571" t="inlineStr">
        <is>
          <t>DEBITO</t>
        </is>
      </c>
      <c r="H571" t="inlineStr">
        <is>
          <t>Queijaria Atalaia Ltda</t>
        </is>
      </c>
      <c r="I571" t="n">
        <v>-228.75</v>
      </c>
    </row>
    <row r="572">
      <c r="A572" t="n">
        <v>199252</v>
      </c>
      <c r="B572" t="n">
        <v>182</v>
      </c>
      <c r="C572" t="inlineStr">
        <is>
          <t>Love - Shibari - Kamino</t>
        </is>
      </c>
      <c r="D572" t="n">
        <v>128</v>
      </c>
      <c r="E572" t="inlineStr">
        <is>
          <t>Love Cabaret</t>
        </is>
      </c>
      <c r="F572" s="27" t="n">
        <v>45971</v>
      </c>
      <c r="G572" t="inlineStr">
        <is>
          <t>DEBITO</t>
        </is>
      </c>
      <c r="H572" t="inlineStr">
        <is>
          <t>Hnk Br Bebidas Ltda</t>
        </is>
      </c>
      <c r="I572" t="n">
        <v>-10271.12</v>
      </c>
    </row>
    <row r="573">
      <c r="A573" t="n">
        <v>199253</v>
      </c>
      <c r="B573" t="n">
        <v>182</v>
      </c>
      <c r="C573" t="inlineStr">
        <is>
          <t>Love - Shibari - Kamino</t>
        </is>
      </c>
      <c r="D573" t="n">
        <v>128</v>
      </c>
      <c r="E573" t="inlineStr">
        <is>
          <t>Love Cabaret</t>
        </is>
      </c>
      <c r="F573" s="27" t="n">
        <v>45971</v>
      </c>
      <c r="G573" t="inlineStr">
        <is>
          <t>DEBITO</t>
        </is>
      </c>
      <c r="H573" t="inlineStr">
        <is>
          <t>Stark Bank S.A.</t>
        </is>
      </c>
      <c r="I573" t="n">
        <v>-49.75</v>
      </c>
    </row>
    <row r="574">
      <c r="A574" t="n">
        <v>199254</v>
      </c>
      <c r="B574" t="n">
        <v>182</v>
      </c>
      <c r="C574" t="inlineStr">
        <is>
          <t>Love - Shibari - Kamino</t>
        </is>
      </c>
      <c r="D574" t="n">
        <v>128</v>
      </c>
      <c r="E574" t="inlineStr">
        <is>
          <t>Love Cabaret</t>
        </is>
      </c>
      <c r="F574" s="27" t="n">
        <v>45971</v>
      </c>
      <c r="G574" t="inlineStr">
        <is>
          <t>DEBITO</t>
        </is>
      </c>
      <c r="H574" t="inlineStr">
        <is>
          <t>Cecilia Tsuyaco Araki Silva Ltda</t>
        </is>
      </c>
      <c r="I574" t="n">
        <v>-18.75</v>
      </c>
    </row>
    <row r="575">
      <c r="A575" t="n">
        <v>199246</v>
      </c>
      <c r="B575" t="n">
        <v>182</v>
      </c>
      <c r="C575" t="inlineStr">
        <is>
          <t>Love - Shibari - Kamino</t>
        </is>
      </c>
      <c r="D575" t="n">
        <v>128</v>
      </c>
      <c r="E575" t="inlineStr">
        <is>
          <t>Love Cabaret</t>
        </is>
      </c>
      <c r="F575" s="27" t="n">
        <v>45971</v>
      </c>
      <c r="G575" t="inlineStr">
        <is>
          <t>DEBITO</t>
        </is>
      </c>
      <c r="H575" t="inlineStr">
        <is>
          <t>Cg Food S Distr Alimentos Ltda</t>
        </is>
      </c>
      <c r="I575" t="n">
        <v>-378.4</v>
      </c>
    </row>
    <row r="576">
      <c r="A576" t="n">
        <v>199245</v>
      </c>
      <c r="B576" t="n">
        <v>182</v>
      </c>
      <c r="C576" t="inlineStr">
        <is>
          <t>Love - Shibari - Kamino</t>
        </is>
      </c>
      <c r="D576" t="n">
        <v>128</v>
      </c>
      <c r="E576" t="inlineStr">
        <is>
          <t>Love Cabaret</t>
        </is>
      </c>
      <c r="F576" s="27" t="n">
        <v>45971</v>
      </c>
      <c r="G576" t="inlineStr">
        <is>
          <t>DEBITO</t>
        </is>
      </c>
      <c r="H576" t="inlineStr">
        <is>
          <t>Proauto Industria Q Eireli</t>
        </is>
      </c>
      <c r="I576" t="n">
        <v>-1108.57</v>
      </c>
    </row>
    <row r="577">
      <c r="A577" t="n">
        <v>199244</v>
      </c>
      <c r="B577" t="n">
        <v>182</v>
      </c>
      <c r="C577" t="inlineStr">
        <is>
          <t>Love - Shibari - Kamino</t>
        </is>
      </c>
      <c r="D577" t="n">
        <v>128</v>
      </c>
      <c r="E577" t="inlineStr">
        <is>
          <t>Love Cabaret</t>
        </is>
      </c>
      <c r="F577" s="27" t="n">
        <v>45971</v>
      </c>
      <c r="G577" t="inlineStr">
        <is>
          <t>DEBITO</t>
        </is>
      </c>
      <c r="H577" t="inlineStr">
        <is>
          <t>Stark Bank S.A.</t>
        </is>
      </c>
      <c r="I577" t="n">
        <v>-1000</v>
      </c>
    </row>
    <row r="578">
      <c r="A578" t="n">
        <v>199243</v>
      </c>
      <c r="B578" t="n">
        <v>182</v>
      </c>
      <c r="C578" t="inlineStr">
        <is>
          <t>Love - Shibari - Kamino</t>
        </is>
      </c>
      <c r="D578" t="n">
        <v>128</v>
      </c>
      <c r="E578" t="inlineStr">
        <is>
          <t>Love Cabaret</t>
        </is>
      </c>
      <c r="F578" s="27" t="n">
        <v>45971</v>
      </c>
      <c r="G578" t="inlineStr">
        <is>
          <t>DEBITO</t>
        </is>
      </c>
      <c r="H578" t="inlineStr">
        <is>
          <t>Macro Contabilidade C Ltda</t>
        </is>
      </c>
      <c r="I578" t="n">
        <v>-1602.23</v>
      </c>
    </row>
    <row r="579">
      <c r="A579" t="n">
        <v>199242</v>
      </c>
      <c r="B579" t="n">
        <v>182</v>
      </c>
      <c r="C579" t="inlineStr">
        <is>
          <t>Love - Shibari - Kamino</t>
        </is>
      </c>
      <c r="D579" t="n">
        <v>128</v>
      </c>
      <c r="E579" t="inlineStr">
        <is>
          <t>Love Cabaret</t>
        </is>
      </c>
      <c r="F579" s="27" t="n">
        <v>45971</v>
      </c>
      <c r="G579" t="inlineStr">
        <is>
          <t>DEBITO</t>
        </is>
      </c>
      <c r="H579" t="inlineStr">
        <is>
          <t>Preshh Bar Ltda</t>
        </is>
      </c>
      <c r="I579" t="n">
        <v>-727.2</v>
      </c>
    </row>
    <row r="580">
      <c r="A580" t="n">
        <v>199241</v>
      </c>
      <c r="B580" t="n">
        <v>182</v>
      </c>
      <c r="C580" t="inlineStr">
        <is>
          <t>Love - Shibari - Kamino</t>
        </is>
      </c>
      <c r="D580" t="n">
        <v>128</v>
      </c>
      <c r="E580" t="inlineStr">
        <is>
          <t>Love Cabaret</t>
        </is>
      </c>
      <c r="F580" s="27" t="n">
        <v>45971</v>
      </c>
      <c r="G580" t="inlineStr">
        <is>
          <t>DEBITO</t>
        </is>
      </c>
      <c r="H580" t="inlineStr">
        <is>
          <t>Zahil Importadora Ltda</t>
        </is>
      </c>
      <c r="I580" t="n">
        <v>-880.54</v>
      </c>
    </row>
    <row r="581">
      <c r="A581" t="n">
        <v>199240</v>
      </c>
      <c r="B581" t="n">
        <v>182</v>
      </c>
      <c r="C581" t="inlineStr">
        <is>
          <t>Love - Shibari - Kamino</t>
        </is>
      </c>
      <c r="D581" t="n">
        <v>128</v>
      </c>
      <c r="E581" t="inlineStr">
        <is>
          <t>Love Cabaret</t>
        </is>
      </c>
      <c r="F581" s="27" t="n">
        <v>45971</v>
      </c>
      <c r="G581" t="inlineStr">
        <is>
          <t>DEBITO</t>
        </is>
      </c>
      <c r="H581" t="inlineStr">
        <is>
          <t>Eshows Promocoes Artisticas Ltda</t>
        </is>
      </c>
      <c r="I581" t="n">
        <v>-35455</v>
      </c>
    </row>
    <row r="582">
      <c r="A582" t="n">
        <v>199239</v>
      </c>
      <c r="B582" t="n">
        <v>182</v>
      </c>
      <c r="C582" t="inlineStr">
        <is>
          <t>Love - Shibari - Kamino</t>
        </is>
      </c>
      <c r="D582" t="n">
        <v>128</v>
      </c>
      <c r="E582" t="inlineStr">
        <is>
          <t>Love Cabaret</t>
        </is>
      </c>
      <c r="F582" s="27" t="n">
        <v>45971</v>
      </c>
      <c r="G582" t="inlineStr">
        <is>
          <t>DEBITO</t>
        </is>
      </c>
      <c r="H582" t="inlineStr">
        <is>
          <t>Fabrica de Bares Servicos Ltda</t>
        </is>
      </c>
      <c r="I582" t="n">
        <v>-229.26</v>
      </c>
    </row>
    <row r="583">
      <c r="A583" t="n">
        <v>199037</v>
      </c>
      <c r="B583" t="n">
        <v>115</v>
      </c>
      <c r="C583" t="inlineStr">
        <is>
          <t>Love - Shibari - Bradesco</t>
        </is>
      </c>
      <c r="D583" t="n">
        <v>128</v>
      </c>
      <c r="E583" t="inlineStr">
        <is>
          <t>Love Cabaret</t>
        </is>
      </c>
      <c r="F583" s="27" t="n">
        <v>45968.5</v>
      </c>
      <c r="G583" t="inlineStr">
        <is>
          <t>DEBITO</t>
        </is>
      </c>
      <c r="H583" t="inlineStr">
        <is>
          <t>TARIFA BANCARIA TRANSF PGTO PIX</t>
        </is>
      </c>
      <c r="I583" t="n">
        <v>-9.800000000000001</v>
      </c>
    </row>
    <row r="584">
      <c r="A584" t="n">
        <v>199036</v>
      </c>
      <c r="B584" t="n">
        <v>115</v>
      </c>
      <c r="C584" t="inlineStr">
        <is>
          <t>Love - Shibari - Bradesco</t>
        </is>
      </c>
      <c r="D584" t="n">
        <v>128</v>
      </c>
      <c r="E584" t="inlineStr">
        <is>
          <t>Love Cabaret</t>
        </is>
      </c>
      <c r="F584" s="27" t="n">
        <v>45968.5</v>
      </c>
      <c r="G584" t="inlineStr">
        <is>
          <t>CREDITO</t>
        </is>
      </c>
      <c r="H584" t="inlineStr">
        <is>
          <t>TRANSFERENCIA PIX REM: MAURINEIA CASSIA BARB 07/11</t>
        </is>
      </c>
      <c r="I584" t="n">
        <v>620</v>
      </c>
    </row>
    <row r="585">
      <c r="A585" t="n">
        <v>199035</v>
      </c>
      <c r="B585" t="n">
        <v>115</v>
      </c>
      <c r="C585" t="inlineStr">
        <is>
          <t>Love - Shibari - Bradesco</t>
        </is>
      </c>
      <c r="D585" t="n">
        <v>128</v>
      </c>
      <c r="E585" t="inlineStr">
        <is>
          <t>Love Cabaret</t>
        </is>
      </c>
      <c r="F585" s="27" t="n">
        <v>45968.5</v>
      </c>
      <c r="G585" t="inlineStr">
        <is>
          <t>CREDITO</t>
        </is>
      </c>
      <c r="H585" t="inlineStr">
        <is>
          <t>TRANSFERENCIA PIX REM: CAIO EDUARDO AZEVEDO  07/11</t>
        </is>
      </c>
      <c r="I585" t="n">
        <v>1860</v>
      </c>
    </row>
    <row r="586">
      <c r="A586" t="n">
        <v>199034</v>
      </c>
      <c r="B586" t="n">
        <v>115</v>
      </c>
      <c r="C586" t="inlineStr">
        <is>
          <t>Love - Shibari - Bradesco</t>
        </is>
      </c>
      <c r="D586" t="n">
        <v>128</v>
      </c>
      <c r="E586" t="inlineStr">
        <is>
          <t>Love Cabaret</t>
        </is>
      </c>
      <c r="F586" s="27" t="n">
        <v>45968.5</v>
      </c>
      <c r="G586" t="inlineStr">
        <is>
          <t>CREDITO</t>
        </is>
      </c>
      <c r="H586" t="inlineStr">
        <is>
          <t>TED-TRANSF ELET DISPON REMET.SYMPLA INTERNET SOLU</t>
        </is>
      </c>
      <c r="I586" t="n">
        <v>2970.86</v>
      </c>
    </row>
    <row r="587">
      <c r="A587" t="n">
        <v>199033</v>
      </c>
      <c r="B587" t="n">
        <v>115</v>
      </c>
      <c r="C587" t="inlineStr">
        <is>
          <t>Love - Shibari - Bradesco</t>
        </is>
      </c>
      <c r="D587" t="n">
        <v>128</v>
      </c>
      <c r="E587" t="inlineStr">
        <is>
          <t>Love Cabaret</t>
        </is>
      </c>
      <c r="F587" s="27" t="n">
        <v>45968.5</v>
      </c>
      <c r="G587" t="inlineStr">
        <is>
          <t>CREDITO</t>
        </is>
      </c>
      <c r="H587" t="inlineStr">
        <is>
          <t>TED-TRANSF ELET DISPON REMET.DIAGEO BRASIL LTDA</t>
        </is>
      </c>
      <c r="I587" t="n">
        <v>20000</v>
      </c>
    </row>
    <row r="588">
      <c r="A588" t="n">
        <v>199203</v>
      </c>
      <c r="B588" t="n">
        <v>182</v>
      </c>
      <c r="C588" t="inlineStr">
        <is>
          <t>Love - Shibari - Kamino</t>
        </is>
      </c>
      <c r="D588" t="n">
        <v>128</v>
      </c>
      <c r="E588" t="inlineStr">
        <is>
          <t>Love Cabaret</t>
        </is>
      </c>
      <c r="F588" s="27" t="n">
        <v>45967</v>
      </c>
      <c r="G588" t="inlineStr">
        <is>
          <t>DEBITO</t>
        </is>
      </c>
      <c r="H588" t="inlineStr">
        <is>
          <t>Mercadopago.com Representacoes Ltda.</t>
        </is>
      </c>
      <c r="I588" t="n">
        <v>-101.73</v>
      </c>
    </row>
    <row r="589">
      <c r="A589" t="n">
        <v>199031</v>
      </c>
      <c r="B589" t="n">
        <v>115</v>
      </c>
      <c r="C589" t="inlineStr">
        <is>
          <t>Love - Shibari - Bradesco</t>
        </is>
      </c>
      <c r="D589" t="n">
        <v>128</v>
      </c>
      <c r="E589" t="inlineStr">
        <is>
          <t>Love Cabaret</t>
        </is>
      </c>
      <c r="F589" s="27" t="n">
        <v>45966.5</v>
      </c>
      <c r="G589" t="inlineStr">
        <is>
          <t>DEBITO</t>
        </is>
      </c>
      <c r="H589" t="inlineStr">
        <is>
          <t>PGTO SALARIO VIA NET EMP</t>
        </is>
      </c>
      <c r="I589" t="n">
        <v>-4755.18</v>
      </c>
    </row>
    <row r="590">
      <c r="A590" t="n">
        <v>199025</v>
      </c>
      <c r="B590" t="n">
        <v>115</v>
      </c>
      <c r="C590" t="inlineStr">
        <is>
          <t>Love - Shibari - Bradesco</t>
        </is>
      </c>
      <c r="D590" t="n">
        <v>128</v>
      </c>
      <c r="E590" t="inlineStr">
        <is>
          <t>Love Cabaret</t>
        </is>
      </c>
      <c r="F590" s="27" t="n">
        <v>45966.5</v>
      </c>
      <c r="G590" t="inlineStr">
        <is>
          <t>CREDITO</t>
        </is>
      </c>
      <c r="H590" t="inlineStr">
        <is>
          <t>TED-TRANSF ELET DISPON REMET.SYMPLA INTERNET SOLU</t>
        </is>
      </c>
      <c r="I590" t="n">
        <v>12915</v>
      </c>
    </row>
    <row r="591">
      <c r="A591" t="n">
        <v>199026</v>
      </c>
      <c r="B591" t="n">
        <v>115</v>
      </c>
      <c r="C591" t="inlineStr">
        <is>
          <t>Love - Shibari - Bradesco</t>
        </is>
      </c>
      <c r="D591" t="n">
        <v>128</v>
      </c>
      <c r="E591" t="inlineStr">
        <is>
          <t>Love Cabaret</t>
        </is>
      </c>
      <c r="F591" s="27" t="n">
        <v>45966.5</v>
      </c>
      <c r="G591" t="inlineStr">
        <is>
          <t>CREDITO</t>
        </is>
      </c>
      <c r="H591" t="inlineStr">
        <is>
          <t>TED-TRANSF ELET DISPON REMET.SYMPLA INTERNET SOLU</t>
        </is>
      </c>
      <c r="I591" t="n">
        <v>14600</v>
      </c>
    </row>
    <row r="592">
      <c r="A592" t="n">
        <v>199027</v>
      </c>
      <c r="B592" t="n">
        <v>115</v>
      </c>
      <c r="C592" t="inlineStr">
        <is>
          <t>Love - Shibari - Bradesco</t>
        </is>
      </c>
      <c r="D592" t="n">
        <v>128</v>
      </c>
      <c r="E592" t="inlineStr">
        <is>
          <t>Love Cabaret</t>
        </is>
      </c>
      <c r="F592" s="27" t="n">
        <v>45966.5</v>
      </c>
      <c r="G592" t="inlineStr">
        <is>
          <t>CREDITO</t>
        </is>
      </c>
      <c r="H592" t="inlineStr">
        <is>
          <t>TRANSFERENCIA PIX REM: Rodrigo Santos Garcia 05/11</t>
        </is>
      </c>
      <c r="I592" t="n">
        <v>620</v>
      </c>
    </row>
    <row r="593">
      <c r="A593" t="n">
        <v>199028</v>
      </c>
      <c r="B593" t="n">
        <v>115</v>
      </c>
      <c r="C593" t="inlineStr">
        <is>
          <t>Love - Shibari - Bradesco</t>
        </is>
      </c>
      <c r="D593" t="n">
        <v>128</v>
      </c>
      <c r="E593" t="inlineStr">
        <is>
          <t>Love Cabaret</t>
        </is>
      </c>
      <c r="F593" s="27" t="n">
        <v>45966.5</v>
      </c>
      <c r="G593" t="inlineStr">
        <is>
          <t>CREDITO</t>
        </is>
      </c>
      <c r="H593" t="inlineStr">
        <is>
          <t>TRANSFERENCIA PIX REM: Maryani Fuzetti Loure 05/11</t>
        </is>
      </c>
      <c r="I593" t="n">
        <v>620</v>
      </c>
    </row>
    <row r="594">
      <c r="A594" t="n">
        <v>199029</v>
      </c>
      <c r="B594" t="n">
        <v>115</v>
      </c>
      <c r="C594" t="inlineStr">
        <is>
          <t>Love - Shibari - Bradesco</t>
        </is>
      </c>
      <c r="D594" t="n">
        <v>128</v>
      </c>
      <c r="E594" t="inlineStr">
        <is>
          <t>Love Cabaret</t>
        </is>
      </c>
      <c r="F594" s="27" t="n">
        <v>45966.5</v>
      </c>
      <c r="G594" t="inlineStr">
        <is>
          <t>DEBITO</t>
        </is>
      </c>
      <c r="H594" t="inlineStr">
        <is>
          <t>PAGTO ELETRON  COBRANCA VERISURE BRASIL MONITORAMENTO DE</t>
        </is>
      </c>
      <c r="I594" t="n">
        <v>-270.11</v>
      </c>
    </row>
    <row r="595">
      <c r="A595" t="n">
        <v>199030</v>
      </c>
      <c r="B595" t="n">
        <v>115</v>
      </c>
      <c r="C595" t="inlineStr">
        <is>
          <t>Love - Shibari - Bradesco</t>
        </is>
      </c>
      <c r="D595" t="n">
        <v>128</v>
      </c>
      <c r="E595" t="inlineStr">
        <is>
          <t>Love Cabaret</t>
        </is>
      </c>
      <c r="F595" s="27" t="n">
        <v>45966.5</v>
      </c>
      <c r="G595" t="inlineStr">
        <is>
          <t>DEBITO</t>
        </is>
      </c>
      <c r="H595" t="inlineStr">
        <is>
          <t>TARIFA BANCARIA TRANSF PGTO PIX</t>
        </is>
      </c>
      <c r="I595" t="n">
        <v>-9.800000000000001</v>
      </c>
    </row>
    <row r="596">
      <c r="A596" t="n">
        <v>199032</v>
      </c>
      <c r="B596" t="n">
        <v>115</v>
      </c>
      <c r="C596" t="inlineStr">
        <is>
          <t>Love - Shibari - Bradesco</t>
        </is>
      </c>
      <c r="D596" t="n">
        <v>128</v>
      </c>
      <c r="E596" t="inlineStr">
        <is>
          <t>Love Cabaret</t>
        </is>
      </c>
      <c r="F596" s="27" t="n">
        <v>45966.5</v>
      </c>
      <c r="G596" t="inlineStr">
        <is>
          <t>DEBITO</t>
        </is>
      </c>
      <c r="H596" t="inlineStr">
        <is>
          <t>TRANSFERENCIA PIX DES: SHIBARI ART E DIVERSA 05/11</t>
        </is>
      </c>
      <c r="I596" t="n">
        <v>-15000</v>
      </c>
    </row>
    <row r="597">
      <c r="A597" t="n">
        <v>199186</v>
      </c>
      <c r="B597" t="n">
        <v>182</v>
      </c>
      <c r="C597" t="inlineStr">
        <is>
          <t>Love - Shibari - Kamino</t>
        </is>
      </c>
      <c r="D597" t="n">
        <v>128</v>
      </c>
      <c r="E597" t="inlineStr">
        <is>
          <t>Love Cabaret</t>
        </is>
      </c>
      <c r="F597" s="27" t="n">
        <v>45966</v>
      </c>
      <c r="G597" t="inlineStr">
        <is>
          <t>DEBITO</t>
        </is>
      </c>
      <c r="H597" t="inlineStr">
        <is>
          <t>Cia do Whisky</t>
        </is>
      </c>
      <c r="I597" t="n">
        <v>-1129.3</v>
      </c>
    </row>
    <row r="598">
      <c r="A598" t="n">
        <v>199181</v>
      </c>
      <c r="B598" t="n">
        <v>182</v>
      </c>
      <c r="C598" t="inlineStr">
        <is>
          <t>Love - Shibari - Kamino</t>
        </is>
      </c>
      <c r="D598" t="n">
        <v>128</v>
      </c>
      <c r="E598" t="inlineStr">
        <is>
          <t>Love Cabaret</t>
        </is>
      </c>
      <c r="F598" s="27" t="n">
        <v>45966</v>
      </c>
      <c r="G598" t="inlineStr">
        <is>
          <t>DEBITO</t>
        </is>
      </c>
      <c r="H598" t="inlineStr">
        <is>
          <t>KAMINO INSTITUICAO DE PAGAMENTO LTDA</t>
        </is>
      </c>
      <c r="I598" t="n">
        <v>-2543.55</v>
      </c>
    </row>
    <row r="599">
      <c r="A599" t="n">
        <v>199180</v>
      </c>
      <c r="B599" t="n">
        <v>182</v>
      </c>
      <c r="C599" t="inlineStr">
        <is>
          <t>Love - Shibari - Kamino</t>
        </is>
      </c>
      <c r="D599" t="n">
        <v>128</v>
      </c>
      <c r="E599" t="inlineStr">
        <is>
          <t>Love Cabaret</t>
        </is>
      </c>
      <c r="F599" s="27" t="n">
        <v>45966</v>
      </c>
      <c r="G599" t="inlineStr">
        <is>
          <t>CREDITO</t>
        </is>
      </c>
      <c r="H599" t="inlineStr">
        <is>
          <t>SHIBARI ART E DIVERSAO LTDA</t>
        </is>
      </c>
      <c r="I599" t="n">
        <v>15000</v>
      </c>
    </row>
    <row r="600">
      <c r="A600" t="n">
        <v>199202</v>
      </c>
      <c r="B600" t="n">
        <v>182</v>
      </c>
      <c r="C600" t="inlineStr">
        <is>
          <t>Love - Shibari - Kamino</t>
        </is>
      </c>
      <c r="D600" t="n">
        <v>128</v>
      </c>
      <c r="E600" t="inlineStr">
        <is>
          <t>Love Cabaret</t>
        </is>
      </c>
      <c r="F600" s="27" t="n">
        <v>45966</v>
      </c>
      <c r="G600" t="inlineStr">
        <is>
          <t>DEBITO</t>
        </is>
      </c>
      <c r="H600" t="inlineStr">
        <is>
          <t>Zahil Importadora Ltda</t>
        </is>
      </c>
      <c r="I600" t="n">
        <v>-1208.67</v>
      </c>
    </row>
    <row r="601">
      <c r="A601" t="n">
        <v>199187</v>
      </c>
      <c r="B601" t="n">
        <v>182</v>
      </c>
      <c r="C601" t="inlineStr">
        <is>
          <t>Love - Shibari - Kamino</t>
        </is>
      </c>
      <c r="D601" t="n">
        <v>128</v>
      </c>
      <c r="E601" t="inlineStr">
        <is>
          <t>Love Cabaret</t>
        </is>
      </c>
      <c r="F601" s="27" t="n">
        <v>45966</v>
      </c>
      <c r="G601" t="inlineStr">
        <is>
          <t>DEBITO</t>
        </is>
      </c>
      <c r="H601" t="inlineStr">
        <is>
          <t>Receita Federal</t>
        </is>
      </c>
      <c r="I601" t="n">
        <v>-839.39</v>
      </c>
    </row>
    <row r="602">
      <c r="A602" t="n">
        <v>199185</v>
      </c>
      <c r="B602" t="n">
        <v>182</v>
      </c>
      <c r="C602" t="inlineStr">
        <is>
          <t>Love - Shibari - Kamino</t>
        </is>
      </c>
      <c r="D602" t="n">
        <v>128</v>
      </c>
      <c r="E602" t="inlineStr">
        <is>
          <t>Love Cabaret</t>
        </is>
      </c>
      <c r="F602" s="27" t="n">
        <v>45966</v>
      </c>
      <c r="G602" t="inlineStr">
        <is>
          <t>DEBITO</t>
        </is>
      </c>
      <c r="H602" t="inlineStr">
        <is>
          <t>Safe Brand com Imp Exp S Ltda</t>
        </is>
      </c>
      <c r="I602" t="n">
        <v>-2117.46</v>
      </c>
    </row>
    <row r="603">
      <c r="A603" t="n">
        <v>199184</v>
      </c>
      <c r="B603" t="n">
        <v>182</v>
      </c>
      <c r="C603" t="inlineStr">
        <is>
          <t>Love - Shibari - Kamino</t>
        </is>
      </c>
      <c r="D603" t="n">
        <v>128</v>
      </c>
      <c r="E603" t="inlineStr">
        <is>
          <t>Love Cabaret</t>
        </is>
      </c>
      <c r="F603" s="27" t="n">
        <v>45966</v>
      </c>
      <c r="G603" t="inlineStr">
        <is>
          <t>DEBITO</t>
        </is>
      </c>
      <c r="H603" t="inlineStr">
        <is>
          <t>Mve Delazari R M S Prevencao</t>
        </is>
      </c>
      <c r="I603" t="n">
        <v>-2205</v>
      </c>
    </row>
    <row r="604">
      <c r="A604" t="n">
        <v>199183</v>
      </c>
      <c r="B604" t="n">
        <v>182</v>
      </c>
      <c r="C604" t="inlineStr">
        <is>
          <t>Love - Shibari - Kamino</t>
        </is>
      </c>
      <c r="D604" t="n">
        <v>128</v>
      </c>
      <c r="E604" t="inlineStr">
        <is>
          <t>Love Cabaret</t>
        </is>
      </c>
      <c r="F604" s="27" t="n">
        <v>45966</v>
      </c>
      <c r="G604" t="inlineStr">
        <is>
          <t>DEBITO</t>
        </is>
      </c>
      <c r="H604" t="inlineStr">
        <is>
          <t>Zoop Brasil</t>
        </is>
      </c>
      <c r="I604" t="n">
        <v>-561.84</v>
      </c>
    </row>
    <row r="605">
      <c r="A605" t="n">
        <v>199182</v>
      </c>
      <c r="B605" t="n">
        <v>182</v>
      </c>
      <c r="C605" t="inlineStr">
        <is>
          <t>Love - Shibari - Kamino</t>
        </is>
      </c>
      <c r="D605" t="n">
        <v>128</v>
      </c>
      <c r="E605" t="inlineStr">
        <is>
          <t>Love Cabaret</t>
        </is>
      </c>
      <c r="F605" s="27" t="n">
        <v>45966</v>
      </c>
      <c r="G605" t="inlineStr">
        <is>
          <t>DEBITO</t>
        </is>
      </c>
      <c r="H605" t="inlineStr">
        <is>
          <t>Takuarobi</t>
        </is>
      </c>
      <c r="I605" t="n">
        <v>-471.7</v>
      </c>
    </row>
    <row r="606">
      <c r="A606" t="n">
        <v>199188</v>
      </c>
      <c r="B606" t="n">
        <v>182</v>
      </c>
      <c r="C606" t="inlineStr">
        <is>
          <t>Love - Shibari - Kamino</t>
        </is>
      </c>
      <c r="D606" t="n">
        <v>128</v>
      </c>
      <c r="E606" t="inlineStr">
        <is>
          <t>Love Cabaret</t>
        </is>
      </c>
      <c r="F606" s="27" t="n">
        <v>45966</v>
      </c>
      <c r="G606" t="inlineStr">
        <is>
          <t>DEBITO</t>
        </is>
      </c>
      <c r="H606" t="inlineStr">
        <is>
          <t>Cecilia Tsuyaco Araki Silva Ltda</t>
        </is>
      </c>
      <c r="I606" t="n">
        <v>-80.55</v>
      </c>
    </row>
    <row r="607">
      <c r="A607" t="n">
        <v>199189</v>
      </c>
      <c r="B607" t="n">
        <v>182</v>
      </c>
      <c r="C607" t="inlineStr">
        <is>
          <t>Love - Shibari - Kamino</t>
        </is>
      </c>
      <c r="D607" t="n">
        <v>128</v>
      </c>
      <c r="E607" t="inlineStr">
        <is>
          <t>Love Cabaret</t>
        </is>
      </c>
      <c r="F607" s="27" t="n">
        <v>45966</v>
      </c>
      <c r="G607" t="inlineStr">
        <is>
          <t>DEBITO</t>
        </is>
      </c>
      <c r="H607" t="inlineStr">
        <is>
          <t>Receita Federal</t>
        </is>
      </c>
      <c r="I607" t="n">
        <v>-709.17</v>
      </c>
    </row>
    <row r="608">
      <c r="A608" t="n">
        <v>199190</v>
      </c>
      <c r="B608" t="n">
        <v>182</v>
      </c>
      <c r="C608" t="inlineStr">
        <is>
          <t>Love - Shibari - Kamino</t>
        </is>
      </c>
      <c r="D608" t="n">
        <v>128</v>
      </c>
      <c r="E608" t="inlineStr">
        <is>
          <t>Love Cabaret</t>
        </is>
      </c>
      <c r="F608" s="27" t="n">
        <v>45966</v>
      </c>
      <c r="G608" t="inlineStr">
        <is>
          <t>DEBITO</t>
        </is>
      </c>
      <c r="H608" t="inlineStr">
        <is>
          <t>Get In Tecnologia Ltda</t>
        </is>
      </c>
      <c r="I608" t="n">
        <v>-957.6</v>
      </c>
    </row>
    <row r="609">
      <c r="A609" t="n">
        <v>199191</v>
      </c>
      <c r="B609" t="n">
        <v>182</v>
      </c>
      <c r="C609" t="inlineStr">
        <is>
          <t>Love - Shibari - Kamino</t>
        </is>
      </c>
      <c r="D609" t="n">
        <v>128</v>
      </c>
      <c r="E609" t="inlineStr">
        <is>
          <t>Love Cabaret</t>
        </is>
      </c>
      <c r="F609" s="27" t="n">
        <v>45966</v>
      </c>
      <c r="G609" t="inlineStr">
        <is>
          <t>DEBITO</t>
        </is>
      </c>
      <c r="H609" t="inlineStr">
        <is>
          <t>Receita Federal</t>
        </is>
      </c>
      <c r="I609" t="n">
        <v>-194.72</v>
      </c>
    </row>
    <row r="610">
      <c r="A610" t="n">
        <v>199192</v>
      </c>
      <c r="B610" t="n">
        <v>182</v>
      </c>
      <c r="C610" t="inlineStr">
        <is>
          <t>Love - Shibari - Kamino</t>
        </is>
      </c>
      <c r="D610" t="n">
        <v>128</v>
      </c>
      <c r="E610" t="inlineStr">
        <is>
          <t>Love Cabaret</t>
        </is>
      </c>
      <c r="F610" s="27" t="n">
        <v>45966</v>
      </c>
      <c r="G610" t="inlineStr">
        <is>
          <t>DEBITO</t>
        </is>
      </c>
      <c r="H610" t="inlineStr">
        <is>
          <t>Wines4u com Imp Exp Vinhos Lt</t>
        </is>
      </c>
      <c r="I610" t="n">
        <v>-1377</v>
      </c>
    </row>
    <row r="611">
      <c r="A611" t="n">
        <v>199194</v>
      </c>
      <c r="B611" t="n">
        <v>182</v>
      </c>
      <c r="C611" t="inlineStr">
        <is>
          <t>Love - Shibari - Kamino</t>
        </is>
      </c>
      <c r="D611" t="n">
        <v>128</v>
      </c>
      <c r="E611" t="inlineStr">
        <is>
          <t>Love Cabaret</t>
        </is>
      </c>
      <c r="F611" s="27" t="n">
        <v>45966</v>
      </c>
      <c r="G611" t="inlineStr">
        <is>
          <t>DEBITO</t>
        </is>
      </c>
      <c r="H611" t="inlineStr">
        <is>
          <t>Psss Ltda</t>
        </is>
      </c>
      <c r="I611" t="n">
        <v>-300</v>
      </c>
    </row>
    <row r="612">
      <c r="A612" t="n">
        <v>199193</v>
      </c>
      <c r="B612" t="n">
        <v>182</v>
      </c>
      <c r="C612" t="inlineStr">
        <is>
          <t>Love - Shibari - Kamino</t>
        </is>
      </c>
      <c r="D612" t="n">
        <v>128</v>
      </c>
      <c r="E612" t="inlineStr">
        <is>
          <t>Love Cabaret</t>
        </is>
      </c>
      <c r="F612" s="27" t="n">
        <v>45966</v>
      </c>
      <c r="G612" t="inlineStr">
        <is>
          <t>DEBITO</t>
        </is>
      </c>
      <c r="H612" t="inlineStr">
        <is>
          <t>Estaff Solucoes Tecnologicas de Agenciam</t>
        </is>
      </c>
      <c r="I612" t="n">
        <v>-23560.9</v>
      </c>
    </row>
    <row r="613">
      <c r="A613" t="n">
        <v>199201</v>
      </c>
      <c r="B613" t="n">
        <v>182</v>
      </c>
      <c r="C613" t="inlineStr">
        <is>
          <t>Love - Shibari - Kamino</t>
        </is>
      </c>
      <c r="D613" t="n">
        <v>128</v>
      </c>
      <c r="E613" t="inlineStr">
        <is>
          <t>Love Cabaret</t>
        </is>
      </c>
      <c r="F613" s="27" t="n">
        <v>45966</v>
      </c>
      <c r="G613" t="inlineStr">
        <is>
          <t>DEBITO</t>
        </is>
      </c>
      <c r="H613" t="inlineStr">
        <is>
          <t>Eau Distribuidora a M Ltda</t>
        </is>
      </c>
      <c r="I613" t="n">
        <v>-138</v>
      </c>
    </row>
    <row r="614">
      <c r="A614" t="n">
        <v>199200</v>
      </c>
      <c r="B614" t="n">
        <v>182</v>
      </c>
      <c r="C614" t="inlineStr">
        <is>
          <t>Love - Shibari - Kamino</t>
        </is>
      </c>
      <c r="D614" t="n">
        <v>128</v>
      </c>
      <c r="E614" t="inlineStr">
        <is>
          <t>Love Cabaret</t>
        </is>
      </c>
      <c r="F614" s="27" t="n">
        <v>45966</v>
      </c>
      <c r="G614" t="inlineStr">
        <is>
          <t>DEBITO</t>
        </is>
      </c>
      <c r="H614" t="inlineStr">
        <is>
          <t>Ng27 Consultoria e Gestao Empr</t>
        </is>
      </c>
      <c r="I614" t="n">
        <v>-444.06</v>
      </c>
    </row>
    <row r="615">
      <c r="A615" t="n">
        <v>199199</v>
      </c>
      <c r="B615" t="n">
        <v>182</v>
      </c>
      <c r="C615" t="inlineStr">
        <is>
          <t>Love - Shibari - Kamino</t>
        </is>
      </c>
      <c r="D615" t="n">
        <v>128</v>
      </c>
      <c r="E615" t="inlineStr">
        <is>
          <t>Love Cabaret</t>
        </is>
      </c>
      <c r="F615" s="27" t="n">
        <v>45966</v>
      </c>
      <c r="G615" t="inlineStr">
        <is>
          <t>DEBITO</t>
        </is>
      </c>
      <c r="H615" t="inlineStr">
        <is>
          <t>Jnd Solucoes Tecnicas Ltda</t>
        </is>
      </c>
      <c r="I615" t="n">
        <v>-121.55</v>
      </c>
    </row>
    <row r="616">
      <c r="A616" t="n">
        <v>199198</v>
      </c>
      <c r="B616" t="n">
        <v>182</v>
      </c>
      <c r="C616" t="inlineStr">
        <is>
          <t>Love - Shibari - Kamino</t>
        </is>
      </c>
      <c r="D616" t="n">
        <v>128</v>
      </c>
      <c r="E616" t="inlineStr">
        <is>
          <t>Love Cabaret</t>
        </is>
      </c>
      <c r="F616" s="27" t="n">
        <v>45966</v>
      </c>
      <c r="G616" t="inlineStr">
        <is>
          <t>DEBITO</t>
        </is>
      </c>
      <c r="H616" t="inlineStr">
        <is>
          <t>Star Copias Comercio e Servicos Ltd</t>
        </is>
      </c>
      <c r="I616" t="n">
        <v>-220</v>
      </c>
    </row>
    <row r="617">
      <c r="A617" t="n">
        <v>199197</v>
      </c>
      <c r="B617" t="n">
        <v>182</v>
      </c>
      <c r="C617" t="inlineStr">
        <is>
          <t>Love - Shibari - Kamino</t>
        </is>
      </c>
      <c r="D617" t="n">
        <v>128</v>
      </c>
      <c r="E617" t="inlineStr">
        <is>
          <t>Love Cabaret</t>
        </is>
      </c>
      <c r="F617" s="27" t="n">
        <v>45966</v>
      </c>
      <c r="G617" t="inlineStr">
        <is>
          <t>DEBITO</t>
        </is>
      </c>
      <c r="H617" t="inlineStr">
        <is>
          <t>Cia do Whisky</t>
        </is>
      </c>
      <c r="I617" t="n">
        <v>-1100.26</v>
      </c>
    </row>
    <row r="618">
      <c r="A618" t="n">
        <v>199196</v>
      </c>
      <c r="B618" t="n">
        <v>182</v>
      </c>
      <c r="C618" t="inlineStr">
        <is>
          <t>Love - Shibari - Kamino</t>
        </is>
      </c>
      <c r="D618" t="n">
        <v>128</v>
      </c>
      <c r="E618" t="inlineStr">
        <is>
          <t>Love Cabaret</t>
        </is>
      </c>
      <c r="F618" s="27" t="n">
        <v>45966</v>
      </c>
      <c r="G618" t="inlineStr">
        <is>
          <t>DEBITO</t>
        </is>
      </c>
      <c r="H618" t="inlineStr">
        <is>
          <t>Cecilia Tsuyaco Araki Silva Ltda</t>
        </is>
      </c>
      <c r="I618" t="n">
        <v>-158</v>
      </c>
    </row>
    <row r="619">
      <c r="A619" t="n">
        <v>199195</v>
      </c>
      <c r="B619" t="n">
        <v>182</v>
      </c>
      <c r="C619" t="inlineStr">
        <is>
          <t>Love - Shibari - Kamino</t>
        </is>
      </c>
      <c r="D619" t="n">
        <v>128</v>
      </c>
      <c r="E619" t="inlineStr">
        <is>
          <t>Love Cabaret</t>
        </is>
      </c>
      <c r="F619" s="27" t="n">
        <v>45966</v>
      </c>
      <c r="G619" t="inlineStr">
        <is>
          <t>DEBITO</t>
        </is>
      </c>
      <c r="H619" t="inlineStr">
        <is>
          <t>Mario Pedro Feliciano Hortifru</t>
        </is>
      </c>
      <c r="I619" t="n">
        <v>-50.84</v>
      </c>
    </row>
    <row r="620">
      <c r="A620" t="n">
        <v>199024</v>
      </c>
      <c r="B620" t="n">
        <v>115</v>
      </c>
      <c r="C620" t="inlineStr">
        <is>
          <t>Love - Shibari - Bradesco</t>
        </is>
      </c>
      <c r="D620" t="n">
        <v>128</v>
      </c>
      <c r="E620" t="inlineStr">
        <is>
          <t>Love Cabaret</t>
        </is>
      </c>
      <c r="F620" s="27" t="n">
        <v>45965.5</v>
      </c>
      <c r="G620" t="inlineStr">
        <is>
          <t>CREDITO</t>
        </is>
      </c>
      <c r="H620" t="inlineStr">
        <is>
          <t>DEP DINHEIRO ATM AG00198MAQ019737SEQ04381</t>
        </is>
      </c>
      <c r="I620" t="n">
        <v>589</v>
      </c>
    </row>
    <row r="621">
      <c r="A621" t="n">
        <v>199023</v>
      </c>
      <c r="B621" t="n">
        <v>115</v>
      </c>
      <c r="C621" t="inlineStr">
        <is>
          <t>Love - Shibari - Bradesco</t>
        </is>
      </c>
      <c r="D621" t="n">
        <v>128</v>
      </c>
      <c r="E621" t="inlineStr">
        <is>
          <t>Love Cabaret</t>
        </is>
      </c>
      <c r="F621" s="27" t="n">
        <v>45965.5</v>
      </c>
      <c r="G621" t="inlineStr">
        <is>
          <t>CREDITO</t>
        </is>
      </c>
      <c r="H621" t="inlineStr">
        <is>
          <t>TED-TRANSF ELET DISPON REMET.Zig Tecnologia S.A.</t>
        </is>
      </c>
      <c r="I621" t="n">
        <v>8140.67</v>
      </c>
    </row>
    <row r="622">
      <c r="A622" t="n">
        <v>199179</v>
      </c>
      <c r="B622" t="n">
        <v>182</v>
      </c>
      <c r="C622" t="inlineStr">
        <is>
          <t>Love - Shibari - Kamino</t>
        </is>
      </c>
      <c r="D622" t="n">
        <v>128</v>
      </c>
      <c r="E622" t="inlineStr">
        <is>
          <t>Love Cabaret</t>
        </is>
      </c>
      <c r="F622" s="27" t="n">
        <v>45965</v>
      </c>
      <c r="G622" t="inlineStr">
        <is>
          <t>DEBITO</t>
        </is>
      </c>
      <c r="H622" t="inlineStr">
        <is>
          <t>Receita Federal</t>
        </is>
      </c>
      <c r="I622" t="n">
        <v>-12417.75</v>
      </c>
    </row>
    <row r="623">
      <c r="A623" t="n">
        <v>199022</v>
      </c>
      <c r="B623" t="n">
        <v>115</v>
      </c>
      <c r="C623" t="inlineStr">
        <is>
          <t>Love - Shibari - Bradesco</t>
        </is>
      </c>
      <c r="D623" t="n">
        <v>128</v>
      </c>
      <c r="E623" t="inlineStr">
        <is>
          <t>Love Cabaret</t>
        </is>
      </c>
      <c r="F623" s="27" t="n">
        <v>45964.5</v>
      </c>
      <c r="G623" t="inlineStr">
        <is>
          <t>DEBITO</t>
        </is>
      </c>
      <c r="H623" t="inlineStr">
        <is>
          <t>TRANSFERENCIA PIX DES: SHIBARI ART E DIVERSA 03/11</t>
        </is>
      </c>
      <c r="I623" t="n">
        <v>-100000</v>
      </c>
    </row>
    <row r="624">
      <c r="A624" t="n">
        <v>199021</v>
      </c>
      <c r="B624" t="n">
        <v>115</v>
      </c>
      <c r="C624" t="inlineStr">
        <is>
          <t>Love - Shibari - Bradesco</t>
        </is>
      </c>
      <c r="D624" t="n">
        <v>128</v>
      </c>
      <c r="E624" t="inlineStr">
        <is>
          <t>Love Cabaret</t>
        </is>
      </c>
      <c r="F624" s="27" t="n">
        <v>45964.5</v>
      </c>
      <c r="G624" t="inlineStr">
        <is>
          <t>DEBITO</t>
        </is>
      </c>
      <c r="H624" t="inlineStr">
        <is>
          <t>TARIFA BANCARIA TRANSF PGTO PIX</t>
        </is>
      </c>
      <c r="I624" t="n">
        <v>-9.800000000000001</v>
      </c>
    </row>
    <row r="625">
      <c r="A625" t="n">
        <v>199019</v>
      </c>
      <c r="B625" t="n">
        <v>115</v>
      </c>
      <c r="C625" t="inlineStr">
        <is>
          <t>Love - Shibari - Bradesco</t>
        </is>
      </c>
      <c r="D625" t="n">
        <v>128</v>
      </c>
      <c r="E625" t="inlineStr">
        <is>
          <t>Love Cabaret</t>
        </is>
      </c>
      <c r="F625" s="27" t="n">
        <v>45964.5</v>
      </c>
      <c r="G625" t="inlineStr">
        <is>
          <t>CREDITO</t>
        </is>
      </c>
      <c r="H625" t="inlineStr">
        <is>
          <t>TED-TRANSF ELET DISPON REMET.Zig Tecnologia S.A.</t>
        </is>
      </c>
      <c r="I625" t="n">
        <v>42134.62</v>
      </c>
    </row>
    <row r="626">
      <c r="A626" t="n">
        <v>199152</v>
      </c>
      <c r="B626" t="n">
        <v>182</v>
      </c>
      <c r="C626" t="inlineStr">
        <is>
          <t>Love - Shibari - Kamino</t>
        </is>
      </c>
      <c r="D626" t="n">
        <v>128</v>
      </c>
      <c r="E626" t="inlineStr">
        <is>
          <t>Love Cabaret</t>
        </is>
      </c>
      <c r="F626" s="27" t="n">
        <v>45964</v>
      </c>
      <c r="G626" t="inlineStr">
        <is>
          <t>DEBITO</t>
        </is>
      </c>
      <c r="H626" t="inlineStr">
        <is>
          <t>Chopp Fast D Bebidas Ltda</t>
        </is>
      </c>
      <c r="I626" t="n">
        <v>-3336.72</v>
      </c>
    </row>
    <row r="627">
      <c r="A627" t="n">
        <v>199151</v>
      </c>
      <c r="B627" t="n">
        <v>182</v>
      </c>
      <c r="C627" t="inlineStr">
        <is>
          <t>Love - Shibari - Kamino</t>
        </is>
      </c>
      <c r="D627" t="n">
        <v>128</v>
      </c>
      <c r="E627" t="inlineStr">
        <is>
          <t>Love Cabaret</t>
        </is>
      </c>
      <c r="F627" s="27" t="n">
        <v>45964</v>
      </c>
      <c r="G627" t="inlineStr">
        <is>
          <t>CREDITO</t>
        </is>
      </c>
      <c r="H627" t="inlineStr">
        <is>
          <t>SHIBARI ART E DIVERSAO LTDA</t>
        </is>
      </c>
      <c r="I627" t="n">
        <v>100000</v>
      </c>
    </row>
    <row r="628">
      <c r="A628" t="n">
        <v>199162</v>
      </c>
      <c r="B628" t="n">
        <v>182</v>
      </c>
      <c r="C628" t="inlineStr">
        <is>
          <t>Love - Shibari - Kamino</t>
        </is>
      </c>
      <c r="D628" t="n">
        <v>128</v>
      </c>
      <c r="E628" t="inlineStr">
        <is>
          <t>Love Cabaret</t>
        </is>
      </c>
      <c r="F628" s="27" t="n">
        <v>45964</v>
      </c>
      <c r="G628" t="inlineStr">
        <is>
          <t>DEBITO</t>
        </is>
      </c>
      <c r="H628" t="inlineStr">
        <is>
          <t>Eletropaulo Metropolitana</t>
        </is>
      </c>
      <c r="I628" t="n">
        <v>-107.43</v>
      </c>
    </row>
    <row r="629">
      <c r="A629" t="n">
        <v>199163</v>
      </c>
      <c r="B629" t="n">
        <v>182</v>
      </c>
      <c r="C629" t="inlineStr">
        <is>
          <t>Love - Shibari - Kamino</t>
        </is>
      </c>
      <c r="D629" t="n">
        <v>128</v>
      </c>
      <c r="E629" t="inlineStr">
        <is>
          <t>Love Cabaret</t>
        </is>
      </c>
      <c r="F629" s="27" t="n">
        <v>45964</v>
      </c>
      <c r="G629" t="inlineStr">
        <is>
          <t>DEBITO</t>
        </is>
      </c>
      <c r="H629" t="inlineStr">
        <is>
          <t>55.866.682 Mateus Silveira Cezar</t>
        </is>
      </c>
      <c r="I629" t="n">
        <v>-1800</v>
      </c>
    </row>
    <row r="630">
      <c r="A630" t="n">
        <v>199164</v>
      </c>
      <c r="B630" t="n">
        <v>182</v>
      </c>
      <c r="C630" t="inlineStr">
        <is>
          <t>Love - Shibari - Kamino</t>
        </is>
      </c>
      <c r="D630" t="n">
        <v>128</v>
      </c>
      <c r="E630" t="inlineStr">
        <is>
          <t>Love Cabaret</t>
        </is>
      </c>
      <c r="F630" s="27" t="n">
        <v>45964</v>
      </c>
      <c r="G630" t="inlineStr">
        <is>
          <t>DEBITO</t>
        </is>
      </c>
      <c r="H630" t="inlineStr">
        <is>
          <t>Machine Seguranca Patrimonial Ltda</t>
        </is>
      </c>
      <c r="I630" t="n">
        <v>-5700</v>
      </c>
    </row>
    <row r="631">
      <c r="A631" t="n">
        <v>199165</v>
      </c>
      <c r="B631" t="n">
        <v>182</v>
      </c>
      <c r="C631" t="inlineStr">
        <is>
          <t>Love - Shibari - Kamino</t>
        </is>
      </c>
      <c r="D631" t="n">
        <v>128</v>
      </c>
      <c r="E631" t="inlineStr">
        <is>
          <t>Love Cabaret</t>
        </is>
      </c>
      <c r="F631" s="27" t="n">
        <v>45964</v>
      </c>
      <c r="G631" t="inlineStr">
        <is>
          <t>DEBITO</t>
        </is>
      </c>
      <c r="H631" t="inlineStr">
        <is>
          <t>Paulo Cesar Medeiros Eyzano</t>
        </is>
      </c>
      <c r="I631" t="n">
        <v>-3200</v>
      </c>
    </row>
    <row r="632">
      <c r="A632" t="n">
        <v>199166</v>
      </c>
      <c r="B632" t="n">
        <v>182</v>
      </c>
      <c r="C632" t="inlineStr">
        <is>
          <t>Love - Shibari - Kamino</t>
        </is>
      </c>
      <c r="D632" t="n">
        <v>128</v>
      </c>
      <c r="E632" t="inlineStr">
        <is>
          <t>Love Cabaret</t>
        </is>
      </c>
      <c r="F632" s="27" t="n">
        <v>45964</v>
      </c>
      <c r="G632" t="inlineStr">
        <is>
          <t>DEBITO</t>
        </is>
      </c>
      <c r="H632" t="inlineStr">
        <is>
          <t>Tarifa Transf Bancaria Enviada</t>
        </is>
      </c>
      <c r="I632" t="n">
        <v>-2</v>
      </c>
    </row>
    <row r="633">
      <c r="A633" t="n">
        <v>199167</v>
      </c>
      <c r="B633" t="n">
        <v>182</v>
      </c>
      <c r="C633" t="inlineStr">
        <is>
          <t>Love - Shibari - Kamino</t>
        </is>
      </c>
      <c r="D633" t="n">
        <v>128</v>
      </c>
      <c r="E633" t="inlineStr">
        <is>
          <t>Love Cabaret</t>
        </is>
      </c>
      <c r="F633" s="27" t="n">
        <v>45964</v>
      </c>
      <c r="G633" t="inlineStr">
        <is>
          <t>DEBITO</t>
        </is>
      </c>
      <c r="H633" t="inlineStr">
        <is>
          <t>Agencia Bioma</t>
        </is>
      </c>
      <c r="I633" t="n">
        <v>-8000</v>
      </c>
    </row>
    <row r="634">
      <c r="A634" t="n">
        <v>199153</v>
      </c>
      <c r="B634" t="n">
        <v>182</v>
      </c>
      <c r="C634" t="inlineStr">
        <is>
          <t>Love - Shibari - Kamino</t>
        </is>
      </c>
      <c r="D634" t="n">
        <v>128</v>
      </c>
      <c r="E634" t="inlineStr">
        <is>
          <t>Love Cabaret</t>
        </is>
      </c>
      <c r="F634" s="27" t="n">
        <v>45964</v>
      </c>
      <c r="G634" t="inlineStr">
        <is>
          <t>DEBITO</t>
        </is>
      </c>
      <c r="H634" t="inlineStr">
        <is>
          <t>Eletropaulo Metropolitana</t>
        </is>
      </c>
      <c r="I634" t="n">
        <v>-11379.59</v>
      </c>
    </row>
    <row r="635">
      <c r="A635" t="n">
        <v>199154</v>
      </c>
      <c r="B635" t="n">
        <v>182</v>
      </c>
      <c r="C635" t="inlineStr">
        <is>
          <t>Love - Shibari - Kamino</t>
        </is>
      </c>
      <c r="D635" t="n">
        <v>128</v>
      </c>
      <c r="E635" t="inlineStr">
        <is>
          <t>Love Cabaret</t>
        </is>
      </c>
      <c r="F635" s="27" t="n">
        <v>45964</v>
      </c>
      <c r="G635" t="inlineStr">
        <is>
          <t>DEBITO</t>
        </is>
      </c>
      <c r="H635" t="inlineStr">
        <is>
          <t>Ecad</t>
        </is>
      </c>
      <c r="I635" t="n">
        <v>-802.5</v>
      </c>
    </row>
    <row r="636">
      <c r="A636" t="n">
        <v>199155</v>
      </c>
      <c r="B636" t="n">
        <v>182</v>
      </c>
      <c r="C636" t="inlineStr">
        <is>
          <t>Love - Shibari - Kamino</t>
        </is>
      </c>
      <c r="D636" t="n">
        <v>128</v>
      </c>
      <c r="E636" t="inlineStr">
        <is>
          <t>Love Cabaret</t>
        </is>
      </c>
      <c r="F636" s="27" t="n">
        <v>45964</v>
      </c>
      <c r="G636" t="inlineStr">
        <is>
          <t>DEBITO</t>
        </is>
      </c>
      <c r="H636" t="inlineStr">
        <is>
          <t>Ice4pros Fabrica de Gelo Ltda</t>
        </is>
      </c>
      <c r="I636" t="n">
        <v>-563.5</v>
      </c>
    </row>
    <row r="637">
      <c r="A637" t="n">
        <v>199156</v>
      </c>
      <c r="B637" t="n">
        <v>182</v>
      </c>
      <c r="C637" t="inlineStr">
        <is>
          <t>Love - Shibari - Kamino</t>
        </is>
      </c>
      <c r="D637" t="n">
        <v>128</v>
      </c>
      <c r="E637" t="inlineStr">
        <is>
          <t>Love Cabaret</t>
        </is>
      </c>
      <c r="F637" s="27" t="n">
        <v>45964</v>
      </c>
      <c r="G637" t="inlineStr">
        <is>
          <t>DEBITO</t>
        </is>
      </c>
      <c r="H637" t="inlineStr">
        <is>
          <t>Aurora Alvorada Estacionamento e Lanchon</t>
        </is>
      </c>
      <c r="I637" t="n">
        <v>-247.04</v>
      </c>
    </row>
    <row r="638">
      <c r="A638" t="n">
        <v>199157</v>
      </c>
      <c r="B638" t="n">
        <v>182</v>
      </c>
      <c r="C638" t="inlineStr">
        <is>
          <t>Love - Shibari - Kamino</t>
        </is>
      </c>
      <c r="D638" t="n">
        <v>128</v>
      </c>
      <c r="E638" t="inlineStr">
        <is>
          <t>Love Cabaret</t>
        </is>
      </c>
      <c r="F638" s="27" t="n">
        <v>45964</v>
      </c>
      <c r="G638" t="inlineStr">
        <is>
          <t>DEBITO</t>
        </is>
      </c>
      <c r="H638" t="inlineStr">
        <is>
          <t>W P P C Carnes Eireli Epp</t>
        </is>
      </c>
      <c r="I638" t="n">
        <v>-560.98</v>
      </c>
    </row>
    <row r="639">
      <c r="A639" t="n">
        <v>199158</v>
      </c>
      <c r="B639" t="n">
        <v>182</v>
      </c>
      <c r="C639" t="inlineStr">
        <is>
          <t>Love - Shibari - Kamino</t>
        </is>
      </c>
      <c r="D639" t="n">
        <v>128</v>
      </c>
      <c r="E639" t="inlineStr">
        <is>
          <t>Love Cabaret</t>
        </is>
      </c>
      <c r="F639" s="27" t="n">
        <v>45964</v>
      </c>
      <c r="G639" t="inlineStr">
        <is>
          <t>DEBITO</t>
        </is>
      </c>
      <c r="H639" t="inlineStr">
        <is>
          <t>Easy Ice Solution Ltda Me</t>
        </is>
      </c>
      <c r="I639" t="n">
        <v>-1600</v>
      </c>
    </row>
    <row r="640">
      <c r="A640" t="n">
        <v>199159</v>
      </c>
      <c r="B640" t="n">
        <v>182</v>
      </c>
      <c r="C640" t="inlineStr">
        <is>
          <t>Love - Shibari - Kamino</t>
        </is>
      </c>
      <c r="D640" t="n">
        <v>128</v>
      </c>
      <c r="E640" t="inlineStr">
        <is>
          <t>Love Cabaret</t>
        </is>
      </c>
      <c r="F640" s="27" t="n">
        <v>45964</v>
      </c>
      <c r="G640" t="inlineStr">
        <is>
          <t>DEBITO</t>
        </is>
      </c>
      <c r="H640" t="inlineStr">
        <is>
          <t>Free Som - Locacao de Som e Luz Ltda</t>
        </is>
      </c>
      <c r="I640" t="n">
        <v>-6000</v>
      </c>
    </row>
    <row r="641">
      <c r="A641" t="n">
        <v>199160</v>
      </c>
      <c r="B641" t="n">
        <v>182</v>
      </c>
      <c r="C641" t="inlineStr">
        <is>
          <t>Love - Shibari - Kamino</t>
        </is>
      </c>
      <c r="D641" t="n">
        <v>128</v>
      </c>
      <c r="E641" t="inlineStr">
        <is>
          <t>Love Cabaret</t>
        </is>
      </c>
      <c r="F641" s="27" t="n">
        <v>45964</v>
      </c>
      <c r="G641" t="inlineStr">
        <is>
          <t>DEBITO</t>
        </is>
      </c>
      <c r="H641" t="inlineStr">
        <is>
          <t>Edjane Dantas de Almeida Sousa</t>
        </is>
      </c>
      <c r="I641" t="n">
        <v>-1200</v>
      </c>
    </row>
    <row r="642">
      <c r="A642" t="n">
        <v>199161</v>
      </c>
      <c r="B642" t="n">
        <v>182</v>
      </c>
      <c r="C642" t="inlineStr">
        <is>
          <t>Love - Shibari - Kamino</t>
        </is>
      </c>
      <c r="D642" t="n">
        <v>128</v>
      </c>
      <c r="E642" t="inlineStr">
        <is>
          <t>Love Cabaret</t>
        </is>
      </c>
      <c r="F642" s="27" t="n">
        <v>45964</v>
      </c>
      <c r="G642" t="inlineStr">
        <is>
          <t>DEBITO</t>
        </is>
      </c>
      <c r="H642" t="inlineStr">
        <is>
          <t>Fabrica de Bares Servicos Ltda</t>
        </is>
      </c>
      <c r="I642" t="n">
        <v>-6145.54</v>
      </c>
    </row>
    <row r="643">
      <c r="A643" t="n">
        <v>199169</v>
      </c>
      <c r="B643" t="n">
        <v>182</v>
      </c>
      <c r="C643" t="inlineStr">
        <is>
          <t>Love - Shibari - Kamino</t>
        </is>
      </c>
      <c r="D643" t="n">
        <v>128</v>
      </c>
      <c r="E643" t="inlineStr">
        <is>
          <t>Love Cabaret</t>
        </is>
      </c>
      <c r="F643" s="27" t="n">
        <v>45964</v>
      </c>
      <c r="G643" t="inlineStr">
        <is>
          <t>DEBITO</t>
        </is>
      </c>
      <c r="H643" t="inlineStr">
        <is>
          <t>Forte Alimentos Comercio e Importacao Lt</t>
        </is>
      </c>
      <c r="I643" t="n">
        <v>-541.5599999999999</v>
      </c>
    </row>
    <row r="644">
      <c r="A644" t="n">
        <v>199170</v>
      </c>
      <c r="B644" t="n">
        <v>182</v>
      </c>
      <c r="C644" t="inlineStr">
        <is>
          <t>Love - Shibari - Kamino</t>
        </is>
      </c>
      <c r="D644" t="n">
        <v>128</v>
      </c>
      <c r="E644" t="inlineStr">
        <is>
          <t>Love Cabaret</t>
        </is>
      </c>
      <c r="F644" s="27" t="n">
        <v>45964</v>
      </c>
      <c r="G644" t="inlineStr">
        <is>
          <t>DEBITO</t>
        </is>
      </c>
      <c r="H644" t="inlineStr">
        <is>
          <t>Forte Alimentos Comercio e Importacao Lt</t>
        </is>
      </c>
      <c r="I644" t="n">
        <v>-216</v>
      </c>
    </row>
    <row r="645">
      <c r="A645" t="n">
        <v>199171</v>
      </c>
      <c r="B645" t="n">
        <v>182</v>
      </c>
      <c r="C645" t="inlineStr">
        <is>
          <t>Love - Shibari - Kamino</t>
        </is>
      </c>
      <c r="D645" t="n">
        <v>128</v>
      </c>
      <c r="E645" t="inlineStr">
        <is>
          <t>Love Cabaret</t>
        </is>
      </c>
      <c r="F645" s="27" t="n">
        <v>45964</v>
      </c>
      <c r="G645" t="inlineStr">
        <is>
          <t>DEBITO</t>
        </is>
      </c>
      <c r="H645" t="inlineStr">
        <is>
          <t>Marcos Silva do Nascimento</t>
        </is>
      </c>
      <c r="I645" t="n">
        <v>-269.87</v>
      </c>
    </row>
    <row r="646">
      <c r="A646" t="n">
        <v>199172</v>
      </c>
      <c r="B646" t="n">
        <v>182</v>
      </c>
      <c r="C646" t="inlineStr">
        <is>
          <t>Love - Shibari - Kamino</t>
        </is>
      </c>
      <c r="D646" t="n">
        <v>128</v>
      </c>
      <c r="E646" t="inlineStr">
        <is>
          <t>Love Cabaret</t>
        </is>
      </c>
      <c r="F646" s="27" t="n">
        <v>45964</v>
      </c>
      <c r="G646" t="inlineStr">
        <is>
          <t>DEBITO</t>
        </is>
      </c>
      <c r="H646" t="inlineStr">
        <is>
          <t>Wines4u com Imp Exp Vinhos Lt</t>
        </is>
      </c>
      <c r="I646" t="n">
        <v>-688.5</v>
      </c>
    </row>
    <row r="647">
      <c r="A647" t="n">
        <v>199178</v>
      </c>
      <c r="B647" t="n">
        <v>182</v>
      </c>
      <c r="C647" t="inlineStr">
        <is>
          <t>Love - Shibari - Kamino</t>
        </is>
      </c>
      <c r="D647" t="n">
        <v>128</v>
      </c>
      <c r="E647" t="inlineStr">
        <is>
          <t>Love Cabaret</t>
        </is>
      </c>
      <c r="F647" s="27" t="n">
        <v>45964</v>
      </c>
      <c r="G647" t="inlineStr">
        <is>
          <t>DEBITO</t>
        </is>
      </c>
      <c r="H647" t="inlineStr">
        <is>
          <t>Camile Linguoro Paulin</t>
        </is>
      </c>
      <c r="I647" t="n">
        <v>-930</v>
      </c>
    </row>
    <row r="648">
      <c r="A648" t="n">
        <v>199177</v>
      </c>
      <c r="B648" t="n">
        <v>182</v>
      </c>
      <c r="C648" t="inlineStr">
        <is>
          <t>Love - Shibari - Kamino</t>
        </is>
      </c>
      <c r="D648" t="n">
        <v>128</v>
      </c>
      <c r="E648" t="inlineStr">
        <is>
          <t>Love Cabaret</t>
        </is>
      </c>
      <c r="F648" s="27" t="n">
        <v>45964</v>
      </c>
      <c r="G648" t="inlineStr">
        <is>
          <t>DEBITO</t>
        </is>
      </c>
      <c r="H648" t="inlineStr">
        <is>
          <t>Proauto Industria Q Eireli</t>
        </is>
      </c>
      <c r="I648" t="n">
        <v>-1140.98</v>
      </c>
    </row>
    <row r="649">
      <c r="A649" t="n">
        <v>199176</v>
      </c>
      <c r="B649" t="n">
        <v>182</v>
      </c>
      <c r="C649" t="inlineStr">
        <is>
          <t>Love - Shibari - Kamino</t>
        </is>
      </c>
      <c r="D649" t="n">
        <v>128</v>
      </c>
      <c r="E649" t="inlineStr">
        <is>
          <t>Love Cabaret</t>
        </is>
      </c>
      <c r="F649" s="27" t="n">
        <v>45964</v>
      </c>
      <c r="G649" t="inlineStr">
        <is>
          <t>DEBITO</t>
        </is>
      </c>
      <c r="H649" t="inlineStr">
        <is>
          <t>Cg Food S Distr Alimentos Ltda</t>
        </is>
      </c>
      <c r="I649" t="n">
        <v>-413.4</v>
      </c>
    </row>
    <row r="650">
      <c r="A650" t="n">
        <v>199175</v>
      </c>
      <c r="B650" t="n">
        <v>182</v>
      </c>
      <c r="C650" t="inlineStr">
        <is>
          <t>Love - Shibari - Kamino</t>
        </is>
      </c>
      <c r="D650" t="n">
        <v>128</v>
      </c>
      <c r="E650" t="inlineStr">
        <is>
          <t>Love Cabaret</t>
        </is>
      </c>
      <c r="F650" s="27" t="n">
        <v>45964</v>
      </c>
      <c r="G650" t="inlineStr">
        <is>
          <t>DEBITO</t>
        </is>
      </c>
      <c r="H650" t="inlineStr">
        <is>
          <t>Laticinios Fior D Italia Ltda</t>
        </is>
      </c>
      <c r="I650" t="n">
        <v>-326.75</v>
      </c>
    </row>
    <row r="651">
      <c r="A651" t="n">
        <v>199168</v>
      </c>
      <c r="B651" t="n">
        <v>182</v>
      </c>
      <c r="C651" t="inlineStr">
        <is>
          <t>Love - Shibari - Kamino</t>
        </is>
      </c>
      <c r="D651" t="n">
        <v>128</v>
      </c>
      <c r="E651" t="inlineStr">
        <is>
          <t>Love Cabaret</t>
        </is>
      </c>
      <c r="F651" s="27" t="n">
        <v>45964</v>
      </c>
      <c r="G651" t="inlineStr">
        <is>
          <t>DEBITO</t>
        </is>
      </c>
      <c r="H651" t="inlineStr">
        <is>
          <t>Cepel Comercio de Papeis e Emb</t>
        </is>
      </c>
      <c r="I651" t="n">
        <v>-1398.38</v>
      </c>
    </row>
    <row r="652">
      <c r="A652" t="n">
        <v>199174</v>
      </c>
      <c r="B652" t="n">
        <v>182</v>
      </c>
      <c r="C652" t="inlineStr">
        <is>
          <t>Love - Shibari - Kamino</t>
        </is>
      </c>
      <c r="D652" t="n">
        <v>128</v>
      </c>
      <c r="E652" t="inlineStr">
        <is>
          <t>Love Cabaret</t>
        </is>
      </c>
      <c r="F652" s="27" t="n">
        <v>45964</v>
      </c>
      <c r="G652" t="inlineStr">
        <is>
          <t>DEBITO</t>
        </is>
      </c>
      <c r="H652" t="inlineStr">
        <is>
          <t>Dtk Comercio de Alimentos Ltda Epp</t>
        </is>
      </c>
      <c r="I652" t="n">
        <v>-529.54</v>
      </c>
    </row>
    <row r="653">
      <c r="A653" t="n">
        <v>199173</v>
      </c>
      <c r="B653" t="n">
        <v>182</v>
      </c>
      <c r="C653" t="inlineStr">
        <is>
          <t>Love - Shibari - Kamino</t>
        </is>
      </c>
      <c r="D653" t="n">
        <v>128</v>
      </c>
      <c r="E653" t="inlineStr">
        <is>
          <t>Love Cabaret</t>
        </is>
      </c>
      <c r="F653" s="27" t="n">
        <v>45964</v>
      </c>
      <c r="G653" t="inlineStr">
        <is>
          <t>DEBITO</t>
        </is>
      </c>
      <c r="H653" t="inlineStr">
        <is>
          <t>Cecilia Tsuyaco Araki Silva Ltda</t>
        </is>
      </c>
      <c r="I653" t="n">
        <v>-318.15</v>
      </c>
    </row>
    <row r="654">
      <c r="A654" t="n">
        <v>197104</v>
      </c>
      <c r="B654" t="n">
        <v>115</v>
      </c>
      <c r="C654" t="inlineStr">
        <is>
          <t>Love - Shibari - Bradesco</t>
        </is>
      </c>
      <c r="D654" t="n">
        <v>128</v>
      </c>
      <c r="E654" t="inlineStr">
        <is>
          <t>Love Cabaret</t>
        </is>
      </c>
      <c r="F654" s="27" t="n">
        <v>45961.5</v>
      </c>
      <c r="G654" t="inlineStr">
        <is>
          <t>DEBITO</t>
        </is>
      </c>
      <c r="H654" t="inlineStr">
        <is>
          <t>TARIFA BANCARIA TRANSF PGTO PIX</t>
        </is>
      </c>
      <c r="I654" t="n">
        <v>-9.800000000000001</v>
      </c>
    </row>
    <row r="655">
      <c r="A655" t="n">
        <v>197105</v>
      </c>
      <c r="B655" t="n">
        <v>115</v>
      </c>
      <c r="C655" t="inlineStr">
        <is>
          <t>Love - Shibari - Bradesco</t>
        </is>
      </c>
      <c r="D655" t="n">
        <v>128</v>
      </c>
      <c r="E655" t="inlineStr">
        <is>
          <t>Love Cabaret</t>
        </is>
      </c>
      <c r="F655" s="27" t="n">
        <v>45961.5</v>
      </c>
      <c r="G655" t="inlineStr">
        <is>
          <t>DEBITO</t>
        </is>
      </c>
      <c r="H655" t="inlineStr">
        <is>
          <t>PARCELAMENTO DE DARF PARCELAMENTO DE DARF-207024</t>
        </is>
      </c>
      <c r="I655" t="n">
        <v>-21118.73</v>
      </c>
    </row>
    <row r="656">
      <c r="A656" t="n">
        <v>197101</v>
      </c>
      <c r="B656" t="n">
        <v>115</v>
      </c>
      <c r="C656" t="inlineStr">
        <is>
          <t>Love - Shibari - Bradesco</t>
        </is>
      </c>
      <c r="D656" t="n">
        <v>128</v>
      </c>
      <c r="E656" t="inlineStr">
        <is>
          <t>Love Cabaret</t>
        </is>
      </c>
      <c r="F656" s="27" t="n">
        <v>45961.5</v>
      </c>
      <c r="G656" t="inlineStr">
        <is>
          <t>CREDITO</t>
        </is>
      </c>
      <c r="H656" t="inlineStr">
        <is>
          <t>TRANSFERENCIA PIX REM: Bianca Meneguci Barce 31/10</t>
        </is>
      </c>
      <c r="I656" t="n">
        <v>387.5</v>
      </c>
    </row>
    <row r="657">
      <c r="A657" t="n">
        <v>197100</v>
      </c>
      <c r="B657" t="n">
        <v>115</v>
      </c>
      <c r="C657" t="inlineStr">
        <is>
          <t>Love - Shibari - Bradesco</t>
        </is>
      </c>
      <c r="D657" t="n">
        <v>128</v>
      </c>
      <c r="E657" t="inlineStr">
        <is>
          <t>Love Cabaret</t>
        </is>
      </c>
      <c r="F657" s="27" t="n">
        <v>45961.5</v>
      </c>
      <c r="G657" t="inlineStr">
        <is>
          <t>CREDITO</t>
        </is>
      </c>
      <c r="H657" t="inlineStr">
        <is>
          <t>TRANSFERENCIA PIX REM: JACKELINE SANTOS GOIS 31/10</t>
        </is>
      </c>
      <c r="I657" t="n">
        <v>620</v>
      </c>
    </row>
    <row r="658">
      <c r="A658" t="n">
        <v>197099</v>
      </c>
      <c r="B658" t="n">
        <v>115</v>
      </c>
      <c r="C658" t="inlineStr">
        <is>
          <t>Love - Shibari - Bradesco</t>
        </is>
      </c>
      <c r="D658" t="n">
        <v>128</v>
      </c>
      <c r="E658" t="inlineStr">
        <is>
          <t>Love Cabaret</t>
        </is>
      </c>
      <c r="F658" s="27" t="n">
        <v>45961.5</v>
      </c>
      <c r="G658" t="inlineStr">
        <is>
          <t>CREDITO</t>
        </is>
      </c>
      <c r="H658" t="inlineStr">
        <is>
          <t>DEP DINHEIRO ATM AG00117MAQ061059SEQ01638</t>
        </is>
      </c>
      <c r="I658" t="n">
        <v>1085</v>
      </c>
    </row>
    <row r="659">
      <c r="A659" t="n">
        <v>197098</v>
      </c>
      <c r="B659" t="n">
        <v>115</v>
      </c>
      <c r="C659" t="inlineStr">
        <is>
          <t>Love - Shibari - Bradesco</t>
        </is>
      </c>
      <c r="D659" t="n">
        <v>128</v>
      </c>
      <c r="E659" t="inlineStr">
        <is>
          <t>Love Cabaret</t>
        </is>
      </c>
      <c r="F659" s="27" t="n">
        <v>45960.5</v>
      </c>
      <c r="G659" t="inlineStr">
        <is>
          <t>DEBITO</t>
        </is>
      </c>
      <c r="H659" t="inlineStr">
        <is>
          <t>TRANSFERENCIA PIX DES: SHIBARI ART E DIVERSA 30/10</t>
        </is>
      </c>
      <c r="I659" t="n">
        <v>-5000</v>
      </c>
    </row>
    <row r="660">
      <c r="A660" t="n">
        <v>197583</v>
      </c>
      <c r="B660" t="n">
        <v>182</v>
      </c>
      <c r="C660" t="inlineStr">
        <is>
          <t>Love - Shibari - Kamino</t>
        </is>
      </c>
      <c r="D660" t="n">
        <v>128</v>
      </c>
      <c r="E660" t="inlineStr">
        <is>
          <t>Love Cabaret</t>
        </is>
      </c>
      <c r="F660" s="27" t="n">
        <v>45960</v>
      </c>
      <c r="G660" t="inlineStr">
        <is>
          <t>DEBITO</t>
        </is>
      </c>
      <c r="H660" t="inlineStr">
        <is>
          <t>Luiz Roberto da Silva Junior</t>
        </is>
      </c>
      <c r="I660" t="n">
        <v>-5000</v>
      </c>
    </row>
    <row r="661">
      <c r="A661" t="n">
        <v>197582</v>
      </c>
      <c r="B661" t="n">
        <v>182</v>
      </c>
      <c r="C661" t="inlineStr">
        <is>
          <t>Love - Shibari - Kamino</t>
        </is>
      </c>
      <c r="D661" t="n">
        <v>128</v>
      </c>
      <c r="E661" t="inlineStr">
        <is>
          <t>Love Cabaret</t>
        </is>
      </c>
      <c r="F661" s="27" t="n">
        <v>45960</v>
      </c>
      <c r="G661" t="inlineStr">
        <is>
          <t>CREDITO</t>
        </is>
      </c>
      <c r="H661" t="inlineStr">
        <is>
          <t>SHIBARI ART E DIVERSAO LTDA</t>
        </is>
      </c>
      <c r="I661" t="n">
        <v>5000</v>
      </c>
    </row>
    <row r="662">
      <c r="A662" t="n">
        <v>197584</v>
      </c>
      <c r="B662" t="n">
        <v>182</v>
      </c>
      <c r="C662" t="inlineStr">
        <is>
          <t>Love - Shibari - Kamino</t>
        </is>
      </c>
      <c r="D662" t="n">
        <v>128</v>
      </c>
      <c r="E662" t="inlineStr">
        <is>
          <t>Love Cabaret</t>
        </is>
      </c>
      <c r="F662" s="27" t="n">
        <v>45960</v>
      </c>
      <c r="G662" t="inlineStr">
        <is>
          <t>DEBITO</t>
        </is>
      </c>
      <c r="H662" t="inlineStr">
        <is>
          <t>Tarifa Pix Enviado-PJ</t>
        </is>
      </c>
      <c r="I662" t="n">
        <v>-0.5</v>
      </c>
    </row>
    <row r="663">
      <c r="A663" t="n">
        <v>197093</v>
      </c>
      <c r="B663" t="n">
        <v>115</v>
      </c>
      <c r="C663" t="inlineStr">
        <is>
          <t>Love - Shibari - Bradesco</t>
        </is>
      </c>
      <c r="D663" t="n">
        <v>128</v>
      </c>
      <c r="E663" t="inlineStr">
        <is>
          <t>Love Cabaret</t>
        </is>
      </c>
      <c r="F663" s="27" t="n">
        <v>45959.5</v>
      </c>
      <c r="G663" t="inlineStr">
        <is>
          <t>CREDITO</t>
        </is>
      </c>
      <c r="H663" t="inlineStr">
        <is>
          <t>TED-TRANSF ELET DISPON REMET.SYMPLA INTERNET SOLU</t>
        </is>
      </c>
      <c r="I663" t="n">
        <v>11600</v>
      </c>
    </row>
    <row r="664">
      <c r="A664" t="n">
        <v>197094</v>
      </c>
      <c r="B664" t="n">
        <v>115</v>
      </c>
      <c r="C664" t="inlineStr">
        <is>
          <t>Love - Shibari - Bradesco</t>
        </is>
      </c>
      <c r="D664" t="n">
        <v>128</v>
      </c>
      <c r="E664" t="inlineStr">
        <is>
          <t>Love Cabaret</t>
        </is>
      </c>
      <c r="F664" s="27" t="n">
        <v>45959.5</v>
      </c>
      <c r="G664" t="inlineStr">
        <is>
          <t>CREDITO</t>
        </is>
      </c>
      <c r="H664" t="inlineStr">
        <is>
          <t>TED-TRANSF ELET DISPON REMET.SYMPLA INTERNET SOLU</t>
        </is>
      </c>
      <c r="I664" t="n">
        <v>8970</v>
      </c>
    </row>
    <row r="665">
      <c r="A665" t="n">
        <v>197095</v>
      </c>
      <c r="B665" t="n">
        <v>115</v>
      </c>
      <c r="C665" t="inlineStr">
        <is>
          <t>Love - Shibari - Bradesco</t>
        </is>
      </c>
      <c r="D665" t="n">
        <v>128</v>
      </c>
      <c r="E665" t="inlineStr">
        <is>
          <t>Love Cabaret</t>
        </is>
      </c>
      <c r="F665" s="27" t="n">
        <v>45959.5</v>
      </c>
      <c r="G665" t="inlineStr">
        <is>
          <t>DEBITO</t>
        </is>
      </c>
      <c r="H665" t="inlineStr">
        <is>
          <t>TARIFA BANCARIA TRANSF PGTO PIX</t>
        </is>
      </c>
      <c r="I665" t="n">
        <v>-9.800000000000001</v>
      </c>
    </row>
    <row r="666">
      <c r="A666" t="n">
        <v>197096</v>
      </c>
      <c r="B666" t="n">
        <v>115</v>
      </c>
      <c r="C666" t="inlineStr">
        <is>
          <t>Love - Shibari - Bradesco</t>
        </is>
      </c>
      <c r="D666" t="n">
        <v>128</v>
      </c>
      <c r="E666" t="inlineStr">
        <is>
          <t>Love Cabaret</t>
        </is>
      </c>
      <c r="F666" s="27" t="n">
        <v>45959.5</v>
      </c>
      <c r="G666" t="inlineStr">
        <is>
          <t>DEBITO</t>
        </is>
      </c>
      <c r="H666" t="inlineStr">
        <is>
          <t>TRANSFERENCIA PIX DES: SHIBARI ART E DIVERSA 29/10</t>
        </is>
      </c>
      <c r="I666" t="n">
        <v>-13000</v>
      </c>
    </row>
    <row r="667">
      <c r="A667" t="n">
        <v>197571</v>
      </c>
      <c r="B667" t="n">
        <v>182</v>
      </c>
      <c r="C667" t="inlineStr">
        <is>
          <t>Love - Shibari - Kamino</t>
        </is>
      </c>
      <c r="D667" t="n">
        <v>128</v>
      </c>
      <c r="E667" t="inlineStr">
        <is>
          <t>Love Cabaret</t>
        </is>
      </c>
      <c r="F667" s="27" t="n">
        <v>45959</v>
      </c>
      <c r="G667" t="inlineStr">
        <is>
          <t>DEBITO</t>
        </is>
      </c>
      <c r="H667" t="inlineStr">
        <is>
          <t>Mario Pedro Feliciano Hortifru</t>
        </is>
      </c>
      <c r="I667" t="n">
        <v>-64.27</v>
      </c>
    </row>
    <row r="668">
      <c r="A668" t="n">
        <v>197576</v>
      </c>
      <c r="B668" t="n">
        <v>182</v>
      </c>
      <c r="C668" t="inlineStr">
        <is>
          <t>Love - Shibari - Kamino</t>
        </is>
      </c>
      <c r="D668" t="n">
        <v>128</v>
      </c>
      <c r="E668" t="inlineStr">
        <is>
          <t>Love Cabaret</t>
        </is>
      </c>
      <c r="F668" s="27" t="n">
        <v>45959</v>
      </c>
      <c r="G668" t="inlineStr">
        <is>
          <t>DEBITO</t>
        </is>
      </c>
      <c r="H668" t="inlineStr">
        <is>
          <t>W P P C Carnes Eireli Epp</t>
        </is>
      </c>
      <c r="I668" t="n">
        <v>-1114.56</v>
      </c>
    </row>
    <row r="669">
      <c r="A669" t="n">
        <v>197577</v>
      </c>
      <c r="B669" t="n">
        <v>182</v>
      </c>
      <c r="C669" t="inlineStr">
        <is>
          <t>Love - Shibari - Kamino</t>
        </is>
      </c>
      <c r="D669" t="n">
        <v>128</v>
      </c>
      <c r="E669" t="inlineStr">
        <is>
          <t>Love Cabaret</t>
        </is>
      </c>
      <c r="F669" s="27" t="n">
        <v>45959</v>
      </c>
      <c r="G669" t="inlineStr">
        <is>
          <t>DEBITO</t>
        </is>
      </c>
      <c r="H669" t="inlineStr">
        <is>
          <t>Cia do Whisky</t>
        </is>
      </c>
      <c r="I669" t="n">
        <v>-408.45</v>
      </c>
    </row>
    <row r="670">
      <c r="A670" t="n">
        <v>197578</v>
      </c>
      <c r="B670" t="n">
        <v>182</v>
      </c>
      <c r="C670" t="inlineStr">
        <is>
          <t>Love - Shibari - Kamino</t>
        </is>
      </c>
      <c r="D670" t="n">
        <v>128</v>
      </c>
      <c r="E670" t="inlineStr">
        <is>
          <t>Love Cabaret</t>
        </is>
      </c>
      <c r="F670" s="27" t="n">
        <v>45959</v>
      </c>
      <c r="G670" t="inlineStr">
        <is>
          <t>DEBITO</t>
        </is>
      </c>
      <c r="H670" t="inlineStr">
        <is>
          <t>Hortifrutigranjeiro Rodrigues</t>
        </is>
      </c>
      <c r="I670" t="n">
        <v>-67.40000000000001</v>
      </c>
    </row>
    <row r="671">
      <c r="A671" t="n">
        <v>197579</v>
      </c>
      <c r="B671" t="n">
        <v>182</v>
      </c>
      <c r="C671" t="inlineStr">
        <is>
          <t>Love - Shibari - Kamino</t>
        </is>
      </c>
      <c r="D671" t="n">
        <v>128</v>
      </c>
      <c r="E671" t="inlineStr">
        <is>
          <t>Love Cabaret</t>
        </is>
      </c>
      <c r="F671" s="27" t="n">
        <v>45959</v>
      </c>
      <c r="G671" t="inlineStr">
        <is>
          <t>DEBITO</t>
        </is>
      </c>
      <c r="H671" t="inlineStr">
        <is>
          <t>Psss Ltda</t>
        </is>
      </c>
      <c r="I671" t="n">
        <v>-312.84</v>
      </c>
    </row>
    <row r="672">
      <c r="A672" t="n">
        <v>197580</v>
      </c>
      <c r="B672" t="n">
        <v>182</v>
      </c>
      <c r="C672" t="inlineStr">
        <is>
          <t>Love - Shibari - Kamino</t>
        </is>
      </c>
      <c r="D672" t="n">
        <v>128</v>
      </c>
      <c r="E672" t="inlineStr">
        <is>
          <t>Love Cabaret</t>
        </is>
      </c>
      <c r="F672" s="27" t="n">
        <v>45959</v>
      </c>
      <c r="G672" t="inlineStr">
        <is>
          <t>DEBITO</t>
        </is>
      </c>
      <c r="H672" t="inlineStr">
        <is>
          <t>Cecilia Tsuyaco Araki Silva Ltda</t>
        </is>
      </c>
      <c r="I672" t="n">
        <v>-140.85</v>
      </c>
    </row>
    <row r="673">
      <c r="A673" t="n">
        <v>197581</v>
      </c>
      <c r="B673" t="n">
        <v>182</v>
      </c>
      <c r="C673" t="inlineStr">
        <is>
          <t>Love - Shibari - Kamino</t>
        </is>
      </c>
      <c r="D673" t="n">
        <v>128</v>
      </c>
      <c r="E673" t="inlineStr">
        <is>
          <t>Love Cabaret</t>
        </is>
      </c>
      <c r="F673" s="27" t="n">
        <v>45959</v>
      </c>
      <c r="G673" t="inlineStr">
        <is>
          <t>DEBITO</t>
        </is>
      </c>
      <c r="H673" t="inlineStr">
        <is>
          <t>Ministerio da Fazenda</t>
        </is>
      </c>
      <c r="I673" t="n">
        <v>-1032.1</v>
      </c>
    </row>
    <row r="674">
      <c r="A674" t="n">
        <v>197575</v>
      </c>
      <c r="B674" t="n">
        <v>182</v>
      </c>
      <c r="C674" t="inlineStr">
        <is>
          <t>Love - Shibari - Kamino</t>
        </is>
      </c>
      <c r="D674" t="n">
        <v>128</v>
      </c>
      <c r="E674" t="inlineStr">
        <is>
          <t>Love Cabaret</t>
        </is>
      </c>
      <c r="F674" s="27" t="n">
        <v>45959</v>
      </c>
      <c r="G674" t="inlineStr">
        <is>
          <t>DEBITO</t>
        </is>
      </c>
      <c r="H674" t="inlineStr">
        <is>
          <t>Ministerio da Fazenda</t>
        </is>
      </c>
      <c r="I674" t="n">
        <v>-2011.41</v>
      </c>
    </row>
    <row r="675">
      <c r="A675" t="n">
        <v>197574</v>
      </c>
      <c r="B675" t="n">
        <v>182</v>
      </c>
      <c r="C675" t="inlineStr">
        <is>
          <t>Love - Shibari - Kamino</t>
        </is>
      </c>
      <c r="D675" t="n">
        <v>128</v>
      </c>
      <c r="E675" t="inlineStr">
        <is>
          <t>Love Cabaret</t>
        </is>
      </c>
      <c r="F675" s="27" t="n">
        <v>45959</v>
      </c>
      <c r="G675" t="inlineStr">
        <is>
          <t>DEBITO</t>
        </is>
      </c>
      <c r="H675" t="inlineStr">
        <is>
          <t>Laisa Rocha Larangeira</t>
        </is>
      </c>
      <c r="I675" t="n">
        <v>-93.86</v>
      </c>
    </row>
    <row r="676">
      <c r="A676" t="n">
        <v>197573</v>
      </c>
      <c r="B676" t="n">
        <v>182</v>
      </c>
      <c r="C676" t="inlineStr">
        <is>
          <t>Love - Shibari - Kamino</t>
        </is>
      </c>
      <c r="D676" t="n">
        <v>128</v>
      </c>
      <c r="E676" t="inlineStr">
        <is>
          <t>Love Cabaret</t>
        </is>
      </c>
      <c r="F676" s="27" t="n">
        <v>45959</v>
      </c>
      <c r="G676" t="inlineStr">
        <is>
          <t>DEBITO</t>
        </is>
      </c>
      <c r="H676" t="inlineStr">
        <is>
          <t>Tarifa Pix Enviado-PJ</t>
        </is>
      </c>
      <c r="I676" t="n">
        <v>-0.5</v>
      </c>
    </row>
    <row r="677">
      <c r="A677" t="n">
        <v>197572</v>
      </c>
      <c r="B677" t="n">
        <v>182</v>
      </c>
      <c r="C677" t="inlineStr">
        <is>
          <t>Love - Shibari - Kamino</t>
        </is>
      </c>
      <c r="D677" t="n">
        <v>128</v>
      </c>
      <c r="E677" t="inlineStr">
        <is>
          <t>Love Cabaret</t>
        </is>
      </c>
      <c r="F677" s="27" t="n">
        <v>45959</v>
      </c>
      <c r="G677" t="inlineStr">
        <is>
          <t>DEBITO</t>
        </is>
      </c>
      <c r="H677" t="inlineStr">
        <is>
          <t>Sao Paulo Transporte Sa</t>
        </is>
      </c>
      <c r="I677" t="n">
        <v>-878.22</v>
      </c>
    </row>
    <row r="678">
      <c r="A678" t="n">
        <v>197570</v>
      </c>
      <c r="B678" t="n">
        <v>182</v>
      </c>
      <c r="C678" t="inlineStr">
        <is>
          <t>Love - Shibari - Kamino</t>
        </is>
      </c>
      <c r="D678" t="n">
        <v>128</v>
      </c>
      <c r="E678" t="inlineStr">
        <is>
          <t>Love Cabaret</t>
        </is>
      </c>
      <c r="F678" s="27" t="n">
        <v>45959</v>
      </c>
      <c r="G678" t="inlineStr">
        <is>
          <t>DEBITO</t>
        </is>
      </c>
      <c r="H678" t="inlineStr">
        <is>
          <t>Estaff Solucoes Tecnologicas de Agenciam</t>
        </is>
      </c>
      <c r="I678" t="n">
        <v>-13579.5</v>
      </c>
    </row>
    <row r="679">
      <c r="A679" t="n">
        <v>197569</v>
      </c>
      <c r="B679" t="n">
        <v>182</v>
      </c>
      <c r="C679" t="inlineStr">
        <is>
          <t>Love - Shibari - Kamino</t>
        </is>
      </c>
      <c r="D679" t="n">
        <v>128</v>
      </c>
      <c r="E679" t="inlineStr">
        <is>
          <t>Love Cabaret</t>
        </is>
      </c>
      <c r="F679" s="27" t="n">
        <v>45959</v>
      </c>
      <c r="G679" t="inlineStr">
        <is>
          <t>DEBITO</t>
        </is>
      </c>
      <c r="H679" t="inlineStr">
        <is>
          <t>Gomes D Elia Equipamentos de H</t>
        </is>
      </c>
      <c r="I679" t="n">
        <v>-484.5</v>
      </c>
    </row>
    <row r="680">
      <c r="A680" t="n">
        <v>197568</v>
      </c>
      <c r="B680" t="n">
        <v>182</v>
      </c>
      <c r="C680" t="inlineStr">
        <is>
          <t>Love - Shibari - Kamino</t>
        </is>
      </c>
      <c r="D680" t="n">
        <v>128</v>
      </c>
      <c r="E680" t="inlineStr">
        <is>
          <t>Love Cabaret</t>
        </is>
      </c>
      <c r="F680" s="27" t="n">
        <v>45959</v>
      </c>
      <c r="G680" t="inlineStr">
        <is>
          <t>DEBITO</t>
        </is>
      </c>
      <c r="H680" t="inlineStr">
        <is>
          <t>Fabrica de Bares Servicos Ltda</t>
        </is>
      </c>
      <c r="I680" t="n">
        <v>-100</v>
      </c>
    </row>
    <row r="681">
      <c r="A681" t="n">
        <v>197567</v>
      </c>
      <c r="B681" t="n">
        <v>182</v>
      </c>
      <c r="C681" t="inlineStr">
        <is>
          <t>Love - Shibari - Kamino</t>
        </is>
      </c>
      <c r="D681" t="n">
        <v>128</v>
      </c>
      <c r="E681" t="inlineStr">
        <is>
          <t>Love Cabaret</t>
        </is>
      </c>
      <c r="F681" s="27" t="n">
        <v>45959</v>
      </c>
      <c r="G681" t="inlineStr">
        <is>
          <t>DEBITO</t>
        </is>
      </c>
      <c r="H681" t="inlineStr">
        <is>
          <t>Tarifa Pix Enviado-PJ</t>
        </is>
      </c>
      <c r="I681" t="n">
        <v>-0.5</v>
      </c>
    </row>
    <row r="682">
      <c r="A682" t="n">
        <v>197566</v>
      </c>
      <c r="B682" t="n">
        <v>182</v>
      </c>
      <c r="C682" t="inlineStr">
        <is>
          <t>Love - Shibari - Kamino</t>
        </is>
      </c>
      <c r="D682" t="n">
        <v>128</v>
      </c>
      <c r="E682" t="inlineStr">
        <is>
          <t>Love Cabaret</t>
        </is>
      </c>
      <c r="F682" s="27" t="n">
        <v>45959</v>
      </c>
      <c r="G682" t="inlineStr">
        <is>
          <t>CREDITO</t>
        </is>
      </c>
      <c r="H682" t="inlineStr">
        <is>
          <t>SHIBARI ART E DIVERSAO LTDA</t>
        </is>
      </c>
      <c r="I682" t="n">
        <v>13000</v>
      </c>
    </row>
    <row r="683">
      <c r="A683" t="n">
        <v>197092</v>
      </c>
      <c r="B683" t="n">
        <v>115</v>
      </c>
      <c r="C683" t="inlineStr">
        <is>
          <t>Love - Shibari - Bradesco</t>
        </is>
      </c>
      <c r="D683" t="n">
        <v>128</v>
      </c>
      <c r="E683" t="inlineStr">
        <is>
          <t>Love Cabaret</t>
        </is>
      </c>
      <c r="F683" s="27" t="n">
        <v>45958.5</v>
      </c>
      <c r="G683" t="inlineStr">
        <is>
          <t>CREDITO</t>
        </is>
      </c>
      <c r="H683" t="inlineStr">
        <is>
          <t>TRANSFERENCIA PIX REM: CAMILE LIGUORI PAULIN 28/10</t>
        </is>
      </c>
      <c r="I683" t="n">
        <v>930</v>
      </c>
    </row>
    <row r="684">
      <c r="A684" t="n">
        <v>197091</v>
      </c>
      <c r="B684" t="n">
        <v>115</v>
      </c>
      <c r="C684" t="inlineStr">
        <is>
          <t>Love - Shibari - Bradesco</t>
        </is>
      </c>
      <c r="D684" t="n">
        <v>128</v>
      </c>
      <c r="E684" t="inlineStr">
        <is>
          <t>Love Cabaret</t>
        </is>
      </c>
      <c r="F684" s="27" t="n">
        <v>45958.5</v>
      </c>
      <c r="G684" t="inlineStr">
        <is>
          <t>CREDITO</t>
        </is>
      </c>
      <c r="H684" t="inlineStr">
        <is>
          <t>TED-TRANSF ELET DISPON REMET.Zig Tecnologia S.A.</t>
        </is>
      </c>
      <c r="I684" t="n">
        <v>52706.34</v>
      </c>
    </row>
    <row r="685">
      <c r="A685" t="n">
        <v>197564</v>
      </c>
      <c r="B685" t="n">
        <v>182</v>
      </c>
      <c r="C685" t="inlineStr">
        <is>
          <t>Love - Shibari - Kamino</t>
        </is>
      </c>
      <c r="D685" t="n">
        <v>128</v>
      </c>
      <c r="E685" t="inlineStr">
        <is>
          <t>Love Cabaret</t>
        </is>
      </c>
      <c r="F685" s="27" t="n">
        <v>45958</v>
      </c>
      <c r="G685" t="inlineStr">
        <is>
          <t>DEBITO</t>
        </is>
      </c>
      <c r="H685" t="inlineStr">
        <is>
          <t>Tarifa Pix Enviado-PJ</t>
        </is>
      </c>
      <c r="I685" t="n">
        <v>-0.5</v>
      </c>
    </row>
    <row r="686">
      <c r="A686" t="n">
        <v>197565</v>
      </c>
      <c r="B686" t="n">
        <v>182</v>
      </c>
      <c r="C686" t="inlineStr">
        <is>
          <t>Love - Shibari - Kamino</t>
        </is>
      </c>
      <c r="D686" t="n">
        <v>128</v>
      </c>
      <c r="E686" t="inlineStr">
        <is>
          <t>Love Cabaret</t>
        </is>
      </c>
      <c r="F686" s="27" t="n">
        <v>45958</v>
      </c>
      <c r="G686" t="inlineStr">
        <is>
          <t>DEBITO</t>
        </is>
      </c>
      <c r="H686" t="inlineStr">
        <is>
          <t>Mercadopago.com Representacoes Ltda.</t>
        </is>
      </c>
      <c r="I686" t="n">
        <v>-87.39</v>
      </c>
    </row>
    <row r="687">
      <c r="A687" t="n">
        <v>197563</v>
      </c>
      <c r="B687" t="n">
        <v>182</v>
      </c>
      <c r="C687" t="inlineStr">
        <is>
          <t>Love - Shibari - Kamino</t>
        </is>
      </c>
      <c r="D687" t="n">
        <v>128</v>
      </c>
      <c r="E687" t="inlineStr">
        <is>
          <t>Love Cabaret</t>
        </is>
      </c>
      <c r="F687" s="27" t="n">
        <v>45958</v>
      </c>
      <c r="G687" t="inlineStr">
        <is>
          <t>DEBITO</t>
        </is>
      </c>
      <c r="H687" t="inlineStr">
        <is>
          <t>PIX Marketplace</t>
        </is>
      </c>
      <c r="I687" t="n">
        <v>-36.9</v>
      </c>
    </row>
    <row r="688">
      <c r="A688" t="n">
        <v>197090</v>
      </c>
      <c r="B688" t="n">
        <v>115</v>
      </c>
      <c r="C688" t="inlineStr">
        <is>
          <t>Love - Shibari - Bradesco</t>
        </is>
      </c>
      <c r="D688" t="n">
        <v>128</v>
      </c>
      <c r="E688" t="inlineStr">
        <is>
          <t>Love Cabaret</t>
        </is>
      </c>
      <c r="F688" s="27" t="n">
        <v>45957.5</v>
      </c>
      <c r="G688" t="inlineStr">
        <is>
          <t>DEBITO</t>
        </is>
      </c>
      <c r="H688" t="inlineStr">
        <is>
          <t>TRANSFERENCIA PIX DES: SHIBARI ART E DIVERSA 27/10</t>
        </is>
      </c>
      <c r="I688" t="n">
        <v>-26000</v>
      </c>
    </row>
    <row r="689">
      <c r="A689" t="n">
        <v>197085</v>
      </c>
      <c r="B689" t="n">
        <v>115</v>
      </c>
      <c r="C689" t="inlineStr">
        <is>
          <t>Love - Shibari - Bradesco</t>
        </is>
      </c>
      <c r="D689" t="n">
        <v>128</v>
      </c>
      <c r="E689" t="inlineStr">
        <is>
          <t>Love Cabaret</t>
        </is>
      </c>
      <c r="F689" s="27" t="n">
        <v>45957.5</v>
      </c>
      <c r="G689" t="inlineStr">
        <is>
          <t>CREDITO</t>
        </is>
      </c>
      <c r="H689" t="inlineStr">
        <is>
          <t>TRANSFERENCIA PIX REM: MY PET AND ME FRANCHI 27/10</t>
        </is>
      </c>
      <c r="I689" t="n">
        <v>385</v>
      </c>
    </row>
    <row r="690">
      <c r="A690" t="n">
        <v>197547</v>
      </c>
      <c r="B690" t="n">
        <v>182</v>
      </c>
      <c r="C690" t="inlineStr">
        <is>
          <t>Love - Shibari - Kamino</t>
        </is>
      </c>
      <c r="D690" t="n">
        <v>128</v>
      </c>
      <c r="E690" t="inlineStr">
        <is>
          <t>Love Cabaret</t>
        </is>
      </c>
      <c r="F690" s="27" t="n">
        <v>45957</v>
      </c>
      <c r="G690" t="inlineStr">
        <is>
          <t>DEBITO</t>
        </is>
      </c>
      <c r="H690" t="inlineStr">
        <is>
          <t>Psss Ltda</t>
        </is>
      </c>
      <c r="I690" t="n">
        <v>-764.59</v>
      </c>
    </row>
    <row r="691">
      <c r="A691" t="n">
        <v>197548</v>
      </c>
      <c r="B691" t="n">
        <v>182</v>
      </c>
      <c r="C691" t="inlineStr">
        <is>
          <t>Love - Shibari - Kamino</t>
        </is>
      </c>
      <c r="D691" t="n">
        <v>128</v>
      </c>
      <c r="E691" t="inlineStr">
        <is>
          <t>Love Cabaret</t>
        </is>
      </c>
      <c r="F691" s="27" t="n">
        <v>45957</v>
      </c>
      <c r="G691" t="inlineStr">
        <is>
          <t>DEBITO</t>
        </is>
      </c>
      <c r="H691" t="inlineStr">
        <is>
          <t>Telefonica Brasil S.A.</t>
        </is>
      </c>
      <c r="I691" t="n">
        <v>-21.71</v>
      </c>
    </row>
    <row r="692">
      <c r="A692" t="n">
        <v>197549</v>
      </c>
      <c r="B692" t="n">
        <v>182</v>
      </c>
      <c r="C692" t="inlineStr">
        <is>
          <t>Love - Shibari - Kamino</t>
        </is>
      </c>
      <c r="D692" t="n">
        <v>128</v>
      </c>
      <c r="E692" t="inlineStr">
        <is>
          <t>Love Cabaret</t>
        </is>
      </c>
      <c r="F692" s="27" t="n">
        <v>45957</v>
      </c>
      <c r="G692" t="inlineStr">
        <is>
          <t>DEBITO</t>
        </is>
      </c>
      <c r="H692" t="inlineStr">
        <is>
          <t>Cepel Comercio de Papeis e Emb</t>
        </is>
      </c>
      <c r="I692" t="n">
        <v>-450</v>
      </c>
    </row>
    <row r="693">
      <c r="A693" t="n">
        <v>197550</v>
      </c>
      <c r="B693" t="n">
        <v>182</v>
      </c>
      <c r="C693" t="inlineStr">
        <is>
          <t>Love - Shibari - Kamino</t>
        </is>
      </c>
      <c r="D693" t="n">
        <v>128</v>
      </c>
      <c r="E693" t="inlineStr">
        <is>
          <t>Love Cabaret</t>
        </is>
      </c>
      <c r="F693" s="27" t="n">
        <v>45957</v>
      </c>
      <c r="G693" t="inlineStr">
        <is>
          <t>DEBITO</t>
        </is>
      </c>
      <c r="H693" t="inlineStr">
        <is>
          <t>W P P C Carnes Eireli Epp</t>
        </is>
      </c>
      <c r="I693" t="n">
        <v>-167.86</v>
      </c>
    </row>
    <row r="694">
      <c r="A694" t="n">
        <v>197551</v>
      </c>
      <c r="B694" t="n">
        <v>182</v>
      </c>
      <c r="C694" t="inlineStr">
        <is>
          <t>Love - Shibari - Kamino</t>
        </is>
      </c>
      <c r="D694" t="n">
        <v>128</v>
      </c>
      <c r="E694" t="inlineStr">
        <is>
          <t>Love Cabaret</t>
        </is>
      </c>
      <c r="F694" s="27" t="n">
        <v>45957</v>
      </c>
      <c r="G694" t="inlineStr">
        <is>
          <t>DEBITO</t>
        </is>
      </c>
      <c r="H694" t="inlineStr">
        <is>
          <t>Hnk Br Bebidas Ltda</t>
        </is>
      </c>
      <c r="I694" t="n">
        <v>-2278.04</v>
      </c>
    </row>
    <row r="695">
      <c r="A695" t="n">
        <v>197552</v>
      </c>
      <c r="B695" t="n">
        <v>182</v>
      </c>
      <c r="C695" t="inlineStr">
        <is>
          <t>Love - Shibari - Kamino</t>
        </is>
      </c>
      <c r="D695" t="n">
        <v>128</v>
      </c>
      <c r="E695" t="inlineStr">
        <is>
          <t>Love Cabaret</t>
        </is>
      </c>
      <c r="F695" s="27" t="n">
        <v>45957</v>
      </c>
      <c r="G695" t="inlineStr">
        <is>
          <t>DEBITO</t>
        </is>
      </c>
      <c r="H695" t="inlineStr">
        <is>
          <t>Hnk Br Bebidas Ltda</t>
        </is>
      </c>
      <c r="I695" t="n">
        <v>-697.41</v>
      </c>
    </row>
    <row r="696">
      <c r="A696" t="n">
        <v>197553</v>
      </c>
      <c r="B696" t="n">
        <v>182</v>
      </c>
      <c r="C696" t="inlineStr">
        <is>
          <t>Love - Shibari - Kamino</t>
        </is>
      </c>
      <c r="D696" t="n">
        <v>128</v>
      </c>
      <c r="E696" t="inlineStr">
        <is>
          <t>Love Cabaret</t>
        </is>
      </c>
      <c r="F696" s="27" t="n">
        <v>45957</v>
      </c>
      <c r="G696" t="inlineStr">
        <is>
          <t>DEBITO</t>
        </is>
      </c>
      <c r="H696" t="inlineStr">
        <is>
          <t>Aurora Alvorada Estacionamento e Lanchon</t>
        </is>
      </c>
      <c r="I696" t="n">
        <v>-310.03</v>
      </c>
    </row>
    <row r="697">
      <c r="A697" t="n">
        <v>197537</v>
      </c>
      <c r="B697" t="n">
        <v>182</v>
      </c>
      <c r="C697" t="inlineStr">
        <is>
          <t>Love - Shibari - Kamino</t>
        </is>
      </c>
      <c r="D697" t="n">
        <v>128</v>
      </c>
      <c r="E697" t="inlineStr">
        <is>
          <t>Love Cabaret</t>
        </is>
      </c>
      <c r="F697" s="27" t="n">
        <v>45957</v>
      </c>
      <c r="G697" t="inlineStr">
        <is>
          <t>CREDITO</t>
        </is>
      </c>
      <c r="H697" t="inlineStr">
        <is>
          <t>SHIBARI ART E DIVERSAO LTDA</t>
        </is>
      </c>
      <c r="I697" t="n">
        <v>26000</v>
      </c>
    </row>
    <row r="698">
      <c r="A698" t="n">
        <v>197554</v>
      </c>
      <c r="B698" t="n">
        <v>182</v>
      </c>
      <c r="C698" t="inlineStr">
        <is>
          <t>Love - Shibari - Kamino</t>
        </is>
      </c>
      <c r="D698" t="n">
        <v>128</v>
      </c>
      <c r="E698" t="inlineStr">
        <is>
          <t>Love Cabaret</t>
        </is>
      </c>
      <c r="F698" s="27" t="n">
        <v>45957</v>
      </c>
      <c r="G698" t="inlineStr">
        <is>
          <t>DEBITO</t>
        </is>
      </c>
      <c r="H698" t="inlineStr">
        <is>
          <t>Cem Engenharia da Manutencao L</t>
        </is>
      </c>
      <c r="I698" t="n">
        <v>-1591.46</v>
      </c>
    </row>
    <row r="699">
      <c r="A699" t="n">
        <v>197546</v>
      </c>
      <c r="B699" t="n">
        <v>182</v>
      </c>
      <c r="C699" t="inlineStr">
        <is>
          <t>Love - Shibari - Kamino</t>
        </is>
      </c>
      <c r="D699" t="n">
        <v>128</v>
      </c>
      <c r="E699" t="inlineStr">
        <is>
          <t>Love Cabaret</t>
        </is>
      </c>
      <c r="F699" s="27" t="n">
        <v>45957</v>
      </c>
      <c r="G699" t="inlineStr">
        <is>
          <t>DEBITO</t>
        </is>
      </c>
      <c r="H699" t="inlineStr">
        <is>
          <t>Ministerio da Fazenda</t>
        </is>
      </c>
      <c r="I699" t="n">
        <v>-628.5</v>
      </c>
    </row>
    <row r="700">
      <c r="A700" t="n">
        <v>197545</v>
      </c>
      <c r="B700" t="n">
        <v>182</v>
      </c>
      <c r="C700" t="inlineStr">
        <is>
          <t>Love - Shibari - Kamino</t>
        </is>
      </c>
      <c r="D700" t="n">
        <v>128</v>
      </c>
      <c r="E700" t="inlineStr">
        <is>
          <t>Love Cabaret</t>
        </is>
      </c>
      <c r="F700" s="27" t="n">
        <v>45957</v>
      </c>
      <c r="G700" t="inlineStr">
        <is>
          <t>DEBITO</t>
        </is>
      </c>
      <c r="H700" t="inlineStr">
        <is>
          <t>Telefonica Brasil S.A.</t>
        </is>
      </c>
      <c r="I700" t="n">
        <v>-487.66</v>
      </c>
    </row>
    <row r="701">
      <c r="A701" t="n">
        <v>197544</v>
      </c>
      <c r="B701" t="n">
        <v>182</v>
      </c>
      <c r="C701" t="inlineStr">
        <is>
          <t>Love - Shibari - Kamino</t>
        </is>
      </c>
      <c r="D701" t="n">
        <v>128</v>
      </c>
      <c r="E701" t="inlineStr">
        <is>
          <t>Love Cabaret</t>
        </is>
      </c>
      <c r="F701" s="27" t="n">
        <v>45957</v>
      </c>
      <c r="G701" t="inlineStr">
        <is>
          <t>DEBITO</t>
        </is>
      </c>
      <c r="H701" t="inlineStr">
        <is>
          <t>Fg7 Comercio D B Eireli Epp</t>
        </is>
      </c>
      <c r="I701" t="n">
        <v>-1093.5</v>
      </c>
    </row>
    <row r="702">
      <c r="A702" t="n">
        <v>197543</v>
      </c>
      <c r="B702" t="n">
        <v>182</v>
      </c>
      <c r="C702" t="inlineStr">
        <is>
          <t>Love - Shibari - Kamino</t>
        </is>
      </c>
      <c r="D702" t="n">
        <v>128</v>
      </c>
      <c r="E702" t="inlineStr">
        <is>
          <t>Love Cabaret</t>
        </is>
      </c>
      <c r="F702" s="27" t="n">
        <v>45957</v>
      </c>
      <c r="G702" t="inlineStr">
        <is>
          <t>DEBITO</t>
        </is>
      </c>
      <c r="H702" t="inlineStr">
        <is>
          <t>Ministerio da Fazenda</t>
        </is>
      </c>
      <c r="I702" t="n">
        <v>-604.58</v>
      </c>
    </row>
    <row r="703">
      <c r="A703" t="n">
        <v>197542</v>
      </c>
      <c r="B703" t="n">
        <v>182</v>
      </c>
      <c r="C703" t="inlineStr">
        <is>
          <t>Love - Shibari - Kamino</t>
        </is>
      </c>
      <c r="D703" t="n">
        <v>128</v>
      </c>
      <c r="E703" t="inlineStr">
        <is>
          <t>Love Cabaret</t>
        </is>
      </c>
      <c r="F703" s="27" t="n">
        <v>45957</v>
      </c>
      <c r="G703" t="inlineStr">
        <is>
          <t>DEBITO</t>
        </is>
      </c>
      <c r="H703" t="inlineStr">
        <is>
          <t>Companhia de Gas de Sp Comgas</t>
        </is>
      </c>
      <c r="I703" t="n">
        <v>-1994.47</v>
      </c>
    </row>
    <row r="704">
      <c r="A704" t="n">
        <v>197541</v>
      </c>
      <c r="B704" t="n">
        <v>182</v>
      </c>
      <c r="C704" t="inlineStr">
        <is>
          <t>Love - Shibari - Kamino</t>
        </is>
      </c>
      <c r="D704" t="n">
        <v>128</v>
      </c>
      <c r="E704" t="inlineStr">
        <is>
          <t>Love Cabaret</t>
        </is>
      </c>
      <c r="F704" s="27" t="n">
        <v>45957</v>
      </c>
      <c r="G704" t="inlineStr">
        <is>
          <t>DEBITO</t>
        </is>
      </c>
      <c r="H704" t="inlineStr">
        <is>
          <t>Hnk Br Bebidas Ltda</t>
        </is>
      </c>
      <c r="I704" t="n">
        <v>-408.47</v>
      </c>
    </row>
    <row r="705">
      <c r="A705" t="n">
        <v>197540</v>
      </c>
      <c r="B705" t="n">
        <v>182</v>
      </c>
      <c r="C705" t="inlineStr">
        <is>
          <t>Love - Shibari - Kamino</t>
        </is>
      </c>
      <c r="D705" t="n">
        <v>128</v>
      </c>
      <c r="E705" t="inlineStr">
        <is>
          <t>Love Cabaret</t>
        </is>
      </c>
      <c r="F705" s="27" t="n">
        <v>45957</v>
      </c>
      <c r="G705" t="inlineStr">
        <is>
          <t>DEBITO</t>
        </is>
      </c>
      <c r="H705" t="inlineStr">
        <is>
          <t>Ministerio da Fazenda</t>
        </is>
      </c>
      <c r="I705" t="n">
        <v>-822.97</v>
      </c>
    </row>
    <row r="706">
      <c r="A706" t="n">
        <v>197539</v>
      </c>
      <c r="B706" t="n">
        <v>182</v>
      </c>
      <c r="C706" t="inlineStr">
        <is>
          <t>Love - Shibari - Kamino</t>
        </is>
      </c>
      <c r="D706" t="n">
        <v>128</v>
      </c>
      <c r="E706" t="inlineStr">
        <is>
          <t>Love Cabaret</t>
        </is>
      </c>
      <c r="F706" s="27" t="n">
        <v>45957</v>
      </c>
      <c r="G706" t="inlineStr">
        <is>
          <t>DEBITO</t>
        </is>
      </c>
      <c r="H706" t="inlineStr">
        <is>
          <t>Flavio Rodrigues de Moura</t>
        </is>
      </c>
      <c r="I706" t="n">
        <v>-600</v>
      </c>
    </row>
    <row r="707">
      <c r="A707" t="n">
        <v>197538</v>
      </c>
      <c r="B707" t="n">
        <v>182</v>
      </c>
      <c r="C707" t="inlineStr">
        <is>
          <t>Love - Shibari - Kamino</t>
        </is>
      </c>
      <c r="D707" t="n">
        <v>128</v>
      </c>
      <c r="E707" t="inlineStr">
        <is>
          <t>Love Cabaret</t>
        </is>
      </c>
      <c r="F707" s="27" t="n">
        <v>45957</v>
      </c>
      <c r="G707" t="inlineStr">
        <is>
          <t>DEBITO</t>
        </is>
      </c>
      <c r="H707" t="inlineStr">
        <is>
          <t>Tarifa Pix Enviado-PJ</t>
        </is>
      </c>
      <c r="I707" t="n">
        <v>-0.5</v>
      </c>
    </row>
    <row r="708">
      <c r="A708" t="n">
        <v>197556</v>
      </c>
      <c r="B708" t="n">
        <v>182</v>
      </c>
      <c r="C708" t="inlineStr">
        <is>
          <t>Love - Shibari - Kamino</t>
        </is>
      </c>
      <c r="D708" t="n">
        <v>128</v>
      </c>
      <c r="E708" t="inlineStr">
        <is>
          <t>Love Cabaret</t>
        </is>
      </c>
      <c r="F708" s="27" t="n">
        <v>45957</v>
      </c>
      <c r="G708" t="inlineStr">
        <is>
          <t>DEBITO</t>
        </is>
      </c>
      <c r="H708" t="inlineStr">
        <is>
          <t>Comercial Dede</t>
        </is>
      </c>
      <c r="I708" t="n">
        <v>-905.34</v>
      </c>
    </row>
    <row r="709">
      <c r="A709" t="n">
        <v>197557</v>
      </c>
      <c r="B709" t="n">
        <v>182</v>
      </c>
      <c r="C709" t="inlineStr">
        <is>
          <t>Love - Shibari - Kamino</t>
        </is>
      </c>
      <c r="D709" t="n">
        <v>128</v>
      </c>
      <c r="E709" t="inlineStr">
        <is>
          <t>Love Cabaret</t>
        </is>
      </c>
      <c r="F709" s="27" t="n">
        <v>45957</v>
      </c>
      <c r="G709" t="inlineStr">
        <is>
          <t>DEBITO</t>
        </is>
      </c>
      <c r="H709" t="inlineStr">
        <is>
          <t>Dtk Comercio de Alimentos Ltda Epp</t>
        </is>
      </c>
      <c r="I709" t="n">
        <v>-686.48</v>
      </c>
    </row>
    <row r="710">
      <c r="A710" t="n">
        <v>197558</v>
      </c>
      <c r="B710" t="n">
        <v>182</v>
      </c>
      <c r="C710" t="inlineStr">
        <is>
          <t>Love - Shibari - Kamino</t>
        </is>
      </c>
      <c r="D710" t="n">
        <v>128</v>
      </c>
      <c r="E710" t="inlineStr">
        <is>
          <t>Love Cabaret</t>
        </is>
      </c>
      <c r="F710" s="27" t="n">
        <v>45957</v>
      </c>
      <c r="G710" t="inlineStr">
        <is>
          <t>DEBITO</t>
        </is>
      </c>
      <c r="H710" t="inlineStr">
        <is>
          <t>Colibri Distribuidor de Produtos Orientais e Food Servi</t>
        </is>
      </c>
      <c r="I710" t="n">
        <v>-417.2</v>
      </c>
    </row>
    <row r="711">
      <c r="A711" t="n">
        <v>197559</v>
      </c>
      <c r="B711" t="n">
        <v>182</v>
      </c>
      <c r="C711" t="inlineStr">
        <is>
          <t>Love - Shibari - Kamino</t>
        </is>
      </c>
      <c r="D711" t="n">
        <v>128</v>
      </c>
      <c r="E711" t="inlineStr">
        <is>
          <t>Love Cabaret</t>
        </is>
      </c>
      <c r="F711" s="27" t="n">
        <v>45957</v>
      </c>
      <c r="G711" t="inlineStr">
        <is>
          <t>DEBITO</t>
        </is>
      </c>
      <c r="H711" t="inlineStr">
        <is>
          <t>Stark Bank S.A.</t>
        </is>
      </c>
      <c r="I711" t="n">
        <v>-18.5</v>
      </c>
    </row>
    <row r="712">
      <c r="A712" t="n">
        <v>197560</v>
      </c>
      <c r="B712" t="n">
        <v>182</v>
      </c>
      <c r="C712" t="inlineStr">
        <is>
          <t>Love - Shibari - Kamino</t>
        </is>
      </c>
      <c r="D712" t="n">
        <v>128</v>
      </c>
      <c r="E712" t="inlineStr">
        <is>
          <t>Love Cabaret</t>
        </is>
      </c>
      <c r="F712" s="27" t="n">
        <v>45957</v>
      </c>
      <c r="G712" t="inlineStr">
        <is>
          <t>DEBITO</t>
        </is>
      </c>
      <c r="H712" t="inlineStr">
        <is>
          <t>W P P C Carnes Eireli Epp</t>
        </is>
      </c>
      <c r="I712" t="n">
        <v>-978.65</v>
      </c>
    </row>
    <row r="713">
      <c r="A713" t="n">
        <v>197561</v>
      </c>
      <c r="B713" t="n">
        <v>182</v>
      </c>
      <c r="C713" t="inlineStr">
        <is>
          <t>Love - Shibari - Kamino</t>
        </is>
      </c>
      <c r="D713" t="n">
        <v>128</v>
      </c>
      <c r="E713" t="inlineStr">
        <is>
          <t>Love Cabaret</t>
        </is>
      </c>
      <c r="F713" s="27" t="n">
        <v>45957</v>
      </c>
      <c r="G713" t="inlineStr">
        <is>
          <t>DEBITO</t>
        </is>
      </c>
      <c r="H713" t="inlineStr">
        <is>
          <t>Fg7 Comercio D B Eireli Epp</t>
        </is>
      </c>
      <c r="I713" t="n">
        <v>-2603.64</v>
      </c>
    </row>
    <row r="714">
      <c r="A714" t="n">
        <v>197562</v>
      </c>
      <c r="B714" t="n">
        <v>182</v>
      </c>
      <c r="C714" t="inlineStr">
        <is>
          <t>Love - Shibari - Kamino</t>
        </is>
      </c>
      <c r="D714" t="n">
        <v>128</v>
      </c>
      <c r="E714" t="inlineStr">
        <is>
          <t>Love Cabaret</t>
        </is>
      </c>
      <c r="F714" s="27" t="n">
        <v>45957</v>
      </c>
      <c r="G714" t="inlineStr">
        <is>
          <t>DEBITO</t>
        </is>
      </c>
      <c r="H714" t="inlineStr">
        <is>
          <t>Cg Food S Distr Alimentos Ltda</t>
        </is>
      </c>
      <c r="I714" t="n">
        <v>-319.7</v>
      </c>
    </row>
    <row r="715">
      <c r="A715" t="n">
        <v>197555</v>
      </c>
      <c r="B715" t="n">
        <v>182</v>
      </c>
      <c r="C715" t="inlineStr">
        <is>
          <t>Love - Shibari - Kamino</t>
        </is>
      </c>
      <c r="D715" t="n">
        <v>128</v>
      </c>
      <c r="E715" t="inlineStr">
        <is>
          <t>Love Cabaret</t>
        </is>
      </c>
      <c r="F715" s="27" t="n">
        <v>45957</v>
      </c>
      <c r="G715" t="inlineStr">
        <is>
          <t>DEBITO</t>
        </is>
      </c>
      <c r="H715" t="inlineStr">
        <is>
          <t>Ng27 Consultoria e Gestao Empr</t>
        </is>
      </c>
      <c r="I715" t="n">
        <v>-138.17</v>
      </c>
    </row>
    <row r="716">
      <c r="A716" t="n">
        <v>197080</v>
      </c>
      <c r="B716" t="n">
        <v>115</v>
      </c>
      <c r="C716" t="inlineStr">
        <is>
          <t>Love - Shibari - Bradesco</t>
        </is>
      </c>
      <c r="D716" t="n">
        <v>128</v>
      </c>
      <c r="E716" t="inlineStr">
        <is>
          <t>Love Cabaret</t>
        </is>
      </c>
      <c r="F716" s="27" t="n">
        <v>45954.5</v>
      </c>
      <c r="G716" t="inlineStr">
        <is>
          <t>CREDITO</t>
        </is>
      </c>
      <c r="H716" t="inlineStr">
        <is>
          <t>TRANSFERENCIA PIX REM: JULIANA ALMEIDA MOURA 24/10</t>
        </is>
      </c>
      <c r="I716" t="n">
        <v>77.5</v>
      </c>
    </row>
    <row r="717">
      <c r="A717" t="n">
        <v>197083</v>
      </c>
      <c r="B717" t="n">
        <v>115</v>
      </c>
      <c r="C717" t="inlineStr">
        <is>
          <t>Love - Shibari - Bradesco</t>
        </is>
      </c>
      <c r="D717" t="n">
        <v>128</v>
      </c>
      <c r="E717" t="inlineStr">
        <is>
          <t>Love Cabaret</t>
        </is>
      </c>
      <c r="F717" s="27" t="n">
        <v>45954.5</v>
      </c>
      <c r="G717" t="inlineStr">
        <is>
          <t>CREDITO</t>
        </is>
      </c>
      <c r="H717" t="inlineStr">
        <is>
          <t>TRANSFERENCIA PIX REM: F B AUTOREPASSE LTDA  24/10</t>
        </is>
      </c>
      <c r="I717" t="n">
        <v>5000</v>
      </c>
    </row>
    <row r="718">
      <c r="A718" t="n">
        <v>197084</v>
      </c>
      <c r="B718" t="n">
        <v>115</v>
      </c>
      <c r="C718" t="inlineStr">
        <is>
          <t>Love - Shibari - Bradesco</t>
        </is>
      </c>
      <c r="D718" t="n">
        <v>128</v>
      </c>
      <c r="E718" t="inlineStr">
        <is>
          <t>Love Cabaret</t>
        </is>
      </c>
      <c r="F718" s="27" t="n">
        <v>45954.5</v>
      </c>
      <c r="G718" t="inlineStr">
        <is>
          <t>DEBITO</t>
        </is>
      </c>
      <c r="H718" t="inlineStr">
        <is>
          <t>TARIFA BANCARIA TRANSF PGTO PIX</t>
        </is>
      </c>
      <c r="I718" t="n">
        <v>-9.800000000000001</v>
      </c>
    </row>
    <row r="719">
      <c r="A719" t="n">
        <v>197082</v>
      </c>
      <c r="B719" t="n">
        <v>115</v>
      </c>
      <c r="C719" t="inlineStr">
        <is>
          <t>Love - Shibari - Bradesco</t>
        </is>
      </c>
      <c r="D719" t="n">
        <v>128</v>
      </c>
      <c r="E719" t="inlineStr">
        <is>
          <t>Love Cabaret</t>
        </is>
      </c>
      <c r="F719" s="27" t="n">
        <v>45954.5</v>
      </c>
      <c r="G719" t="inlineStr">
        <is>
          <t>CREDITO</t>
        </is>
      </c>
      <c r="H719" t="inlineStr">
        <is>
          <t>TRANSFERENCIA PIX REM: JOSE ROBERTO BOA      24/10</t>
        </is>
      </c>
      <c r="I719" t="n">
        <v>77</v>
      </c>
    </row>
    <row r="720">
      <c r="A720" t="n">
        <v>197078</v>
      </c>
      <c r="B720" t="n">
        <v>115</v>
      </c>
      <c r="C720" t="inlineStr">
        <is>
          <t>Love - Shibari - Bradesco</t>
        </is>
      </c>
      <c r="D720" t="n">
        <v>128</v>
      </c>
      <c r="E720" t="inlineStr">
        <is>
          <t>Love Cabaret</t>
        </is>
      </c>
      <c r="F720" s="27" t="n">
        <v>45954.5</v>
      </c>
      <c r="G720" t="inlineStr">
        <is>
          <t>CREDITO</t>
        </is>
      </c>
      <c r="H720" t="inlineStr">
        <is>
          <t>RECEBIMENTO FORNECEDOR VAMOZ COMUNICACAO E EVENTOS LTDA</t>
        </is>
      </c>
      <c r="I720" t="n">
        <v>41000</v>
      </c>
    </row>
    <row r="721">
      <c r="A721" t="n">
        <v>197079</v>
      </c>
      <c r="B721" t="n">
        <v>115</v>
      </c>
      <c r="C721" t="inlineStr">
        <is>
          <t>Love - Shibari - Bradesco</t>
        </is>
      </c>
      <c r="D721" t="n">
        <v>128</v>
      </c>
      <c r="E721" t="inlineStr">
        <is>
          <t>Love Cabaret</t>
        </is>
      </c>
      <c r="F721" s="27" t="n">
        <v>45954.5</v>
      </c>
      <c r="G721" t="inlineStr">
        <is>
          <t>CREDITO</t>
        </is>
      </c>
      <c r="H721" t="inlineStr">
        <is>
          <t>TRANSFERENCIA PIX REM: ALAN ANDREAS FARIA BA 24/10</t>
        </is>
      </c>
      <c r="I721" t="n">
        <v>5000</v>
      </c>
    </row>
    <row r="722">
      <c r="A722" t="n">
        <v>197081</v>
      </c>
      <c r="B722" t="n">
        <v>115</v>
      </c>
      <c r="C722" t="inlineStr">
        <is>
          <t>Love - Shibari - Bradesco</t>
        </is>
      </c>
      <c r="D722" t="n">
        <v>128</v>
      </c>
      <c r="E722" t="inlineStr">
        <is>
          <t>Love Cabaret</t>
        </is>
      </c>
      <c r="F722" s="27" t="n">
        <v>45954.5</v>
      </c>
      <c r="G722" t="inlineStr">
        <is>
          <t>CREDITO</t>
        </is>
      </c>
      <c r="H722" t="inlineStr">
        <is>
          <t>TRANSFERENCIA PIX REM: DAVID FEFFER          24/10</t>
        </is>
      </c>
      <c r="I722" t="n">
        <v>40000</v>
      </c>
    </row>
    <row r="723">
      <c r="A723" t="n">
        <v>197077</v>
      </c>
      <c r="B723" t="n">
        <v>115</v>
      </c>
      <c r="C723" t="inlineStr">
        <is>
          <t>Love - Shibari - Bradesco</t>
        </is>
      </c>
      <c r="D723" t="n">
        <v>128</v>
      </c>
      <c r="E723" t="inlineStr">
        <is>
          <t>Love Cabaret</t>
        </is>
      </c>
      <c r="F723" s="27" t="n">
        <v>45953.5</v>
      </c>
      <c r="G723" t="inlineStr">
        <is>
          <t>CREDITO</t>
        </is>
      </c>
      <c r="H723" t="inlineStr">
        <is>
          <t>TRANSFERENCIA PIX REM: JULIANA ALMEIDA MOURA 23/10</t>
        </is>
      </c>
      <c r="I723" t="n">
        <v>155</v>
      </c>
    </row>
    <row r="724">
      <c r="A724" t="n">
        <v>197076</v>
      </c>
      <c r="B724" t="n">
        <v>115</v>
      </c>
      <c r="C724" t="inlineStr">
        <is>
          <t>Love - Shibari - Bradesco</t>
        </is>
      </c>
      <c r="D724" t="n">
        <v>128</v>
      </c>
      <c r="E724" t="inlineStr">
        <is>
          <t>Love Cabaret</t>
        </is>
      </c>
      <c r="F724" s="27" t="n">
        <v>45953.5</v>
      </c>
      <c r="G724" t="inlineStr">
        <is>
          <t>CREDITO</t>
        </is>
      </c>
      <c r="H724" t="inlineStr">
        <is>
          <t>TRANSFERENCIA PIX REM: Gabriel Machado Rosse 23/10</t>
        </is>
      </c>
      <c r="I724" t="n">
        <v>620</v>
      </c>
    </row>
    <row r="725">
      <c r="A725" t="n">
        <v>197075</v>
      </c>
      <c r="B725" t="n">
        <v>115</v>
      </c>
      <c r="C725" t="inlineStr">
        <is>
          <t>Love - Shibari - Bradesco</t>
        </is>
      </c>
      <c r="D725" t="n">
        <v>128</v>
      </c>
      <c r="E725" t="inlineStr">
        <is>
          <t>Love Cabaret</t>
        </is>
      </c>
      <c r="F725" s="27" t="n">
        <v>45953.5</v>
      </c>
      <c r="G725" t="inlineStr">
        <is>
          <t>CREDITO</t>
        </is>
      </c>
      <c r="H725" t="inlineStr">
        <is>
          <t>TRANSFERENCIA PIX REM: LUCIANA CANDIDA HABYA 23/10</t>
        </is>
      </c>
      <c r="I725" t="n">
        <v>387.5</v>
      </c>
    </row>
    <row r="726">
      <c r="A726" t="n">
        <v>197074</v>
      </c>
      <c r="B726" t="n">
        <v>115</v>
      </c>
      <c r="C726" t="inlineStr">
        <is>
          <t>Love - Shibari - Bradesco</t>
        </is>
      </c>
      <c r="D726" t="n">
        <v>128</v>
      </c>
      <c r="E726" t="inlineStr">
        <is>
          <t>Love Cabaret</t>
        </is>
      </c>
      <c r="F726" s="27" t="n">
        <v>45953.5</v>
      </c>
      <c r="G726" t="inlineStr">
        <is>
          <t>CREDITO</t>
        </is>
      </c>
      <c r="H726" t="inlineStr">
        <is>
          <t>TED-TRANSF ELET DISPON REMET.SYMPLA INTERNET SOLU</t>
        </is>
      </c>
      <c r="I726" t="n">
        <v>5330</v>
      </c>
    </row>
    <row r="727">
      <c r="A727" t="n">
        <v>197067</v>
      </c>
      <c r="B727" t="n">
        <v>115</v>
      </c>
      <c r="C727" t="inlineStr">
        <is>
          <t>Love - Shibari - Bradesco</t>
        </is>
      </c>
      <c r="D727" t="n">
        <v>128</v>
      </c>
      <c r="E727" t="inlineStr">
        <is>
          <t>Love Cabaret</t>
        </is>
      </c>
      <c r="F727" s="27" t="n">
        <v>45952.5</v>
      </c>
      <c r="G727" t="inlineStr">
        <is>
          <t>CREDITO</t>
        </is>
      </c>
      <c r="H727" t="inlineStr">
        <is>
          <t>DEP DINHEIRO ATM AG00117MAQ061059SEQ01095</t>
        </is>
      </c>
      <c r="I727" t="n">
        <v>1811</v>
      </c>
    </row>
    <row r="728">
      <c r="A728" t="n">
        <v>197073</v>
      </c>
      <c r="B728" t="n">
        <v>115</v>
      </c>
      <c r="C728" t="inlineStr">
        <is>
          <t>Love - Shibari - Bradesco</t>
        </is>
      </c>
      <c r="D728" t="n">
        <v>128</v>
      </c>
      <c r="E728" t="inlineStr">
        <is>
          <t>Love Cabaret</t>
        </is>
      </c>
      <c r="F728" s="27" t="n">
        <v>45952.5</v>
      </c>
      <c r="G728" t="inlineStr">
        <is>
          <t>DEBITO</t>
        </is>
      </c>
      <c r="H728" t="inlineStr">
        <is>
          <t>TRANSFERENCIA PIX DES: SHIBARI ART E DIVERSA 22/10</t>
        </is>
      </c>
      <c r="I728" t="n">
        <v>-42000</v>
      </c>
    </row>
    <row r="729">
      <c r="A729" t="n">
        <v>197072</v>
      </c>
      <c r="B729" t="n">
        <v>115</v>
      </c>
      <c r="C729" t="inlineStr">
        <is>
          <t>Love - Shibari - Bradesco</t>
        </is>
      </c>
      <c r="D729" t="n">
        <v>128</v>
      </c>
      <c r="E729" t="inlineStr">
        <is>
          <t>Love Cabaret</t>
        </is>
      </c>
      <c r="F729" s="27" t="n">
        <v>45952.5</v>
      </c>
      <c r="G729" t="inlineStr">
        <is>
          <t>DEBITO</t>
        </is>
      </c>
      <c r="H729" t="inlineStr">
        <is>
          <t>TARIFA BANCARIA TRANSF PGTO PIX</t>
        </is>
      </c>
      <c r="I729" t="n">
        <v>-9.800000000000001</v>
      </c>
    </row>
    <row r="730">
      <c r="A730" t="n">
        <v>197066</v>
      </c>
      <c r="B730" t="n">
        <v>115</v>
      </c>
      <c r="C730" t="inlineStr">
        <is>
          <t>Love - Shibari - Bradesco</t>
        </is>
      </c>
      <c r="D730" t="n">
        <v>128</v>
      </c>
      <c r="E730" t="inlineStr">
        <is>
          <t>Love Cabaret</t>
        </is>
      </c>
      <c r="F730" s="27" t="n">
        <v>45952.5</v>
      </c>
      <c r="G730" t="inlineStr">
        <is>
          <t>CREDITO</t>
        </is>
      </c>
      <c r="H730" t="inlineStr">
        <is>
          <t>TED-TRANSF ELET DISPON REMET.SYMPLA INTERNET SOLU</t>
        </is>
      </c>
      <c r="I730" t="n">
        <v>10155</v>
      </c>
    </row>
    <row r="731">
      <c r="A731" t="n">
        <v>197065</v>
      </c>
      <c r="B731" t="n">
        <v>115</v>
      </c>
      <c r="C731" t="inlineStr">
        <is>
          <t>Love - Shibari - Bradesco</t>
        </is>
      </c>
      <c r="D731" t="n">
        <v>128</v>
      </c>
      <c r="E731" t="inlineStr">
        <is>
          <t>Love Cabaret</t>
        </is>
      </c>
      <c r="F731" s="27" t="n">
        <v>45952.5</v>
      </c>
      <c r="G731" t="inlineStr">
        <is>
          <t>CREDITO</t>
        </is>
      </c>
      <c r="H731" t="inlineStr">
        <is>
          <t>TED-TRANSF ELET DISPON REMET.SYMPLA INTERNET SOLU</t>
        </is>
      </c>
      <c r="I731" t="n">
        <v>9715</v>
      </c>
    </row>
    <row r="732">
      <c r="A732" t="n">
        <v>197064</v>
      </c>
      <c r="B732" t="n">
        <v>115</v>
      </c>
      <c r="C732" t="inlineStr">
        <is>
          <t>Love - Shibari - Bradesco</t>
        </is>
      </c>
      <c r="D732" t="n">
        <v>128</v>
      </c>
      <c r="E732" t="inlineStr">
        <is>
          <t>Love Cabaret</t>
        </is>
      </c>
      <c r="F732" s="27" t="n">
        <v>45952.5</v>
      </c>
      <c r="G732" t="inlineStr">
        <is>
          <t>CREDITO</t>
        </is>
      </c>
      <c r="H732" t="inlineStr">
        <is>
          <t>TED-TRANSF ELET DISPON REMET.Zig Tecnologia S.A.</t>
        </is>
      </c>
      <c r="I732" t="n">
        <v>5284.28</v>
      </c>
    </row>
    <row r="733">
      <c r="A733" t="n">
        <v>197520</v>
      </c>
      <c r="B733" t="n">
        <v>182</v>
      </c>
      <c r="C733" t="inlineStr">
        <is>
          <t>Love - Shibari - Kamino</t>
        </is>
      </c>
      <c r="D733" t="n">
        <v>128</v>
      </c>
      <c r="E733" t="inlineStr">
        <is>
          <t>Love Cabaret</t>
        </is>
      </c>
      <c r="F733" s="27" t="n">
        <v>45952</v>
      </c>
      <c r="G733" t="inlineStr">
        <is>
          <t>DEBITO</t>
        </is>
      </c>
      <c r="H733" t="inlineStr">
        <is>
          <t>Invye Capital Ltda</t>
        </is>
      </c>
      <c r="I733" t="n">
        <v>-1260</v>
      </c>
    </row>
    <row r="734">
      <c r="A734" t="n">
        <v>197521</v>
      </c>
      <c r="B734" t="n">
        <v>182</v>
      </c>
      <c r="C734" t="inlineStr">
        <is>
          <t>Love - Shibari - Kamino</t>
        </is>
      </c>
      <c r="D734" t="n">
        <v>128</v>
      </c>
      <c r="E734" t="inlineStr">
        <is>
          <t>Love Cabaret</t>
        </is>
      </c>
      <c r="F734" s="27" t="n">
        <v>45952</v>
      </c>
      <c r="G734" t="inlineStr">
        <is>
          <t>DEBITO</t>
        </is>
      </c>
      <c r="H734" t="inlineStr">
        <is>
          <t>Cecilia Tsuyaco Araki Silva Ltda</t>
        </is>
      </c>
      <c r="I734" t="n">
        <v>-128.1</v>
      </c>
    </row>
    <row r="735">
      <c r="A735" t="n">
        <v>197522</v>
      </c>
      <c r="B735" t="n">
        <v>182</v>
      </c>
      <c r="C735" t="inlineStr">
        <is>
          <t>Love - Shibari - Kamino</t>
        </is>
      </c>
      <c r="D735" t="n">
        <v>128</v>
      </c>
      <c r="E735" t="inlineStr">
        <is>
          <t>Love Cabaret</t>
        </is>
      </c>
      <c r="F735" s="27" t="n">
        <v>45952</v>
      </c>
      <c r="G735" t="inlineStr">
        <is>
          <t>DEBITO</t>
        </is>
      </c>
      <c r="H735" t="inlineStr">
        <is>
          <t>Zahil Importadora Ltda</t>
        </is>
      </c>
      <c r="I735" t="n">
        <v>-1331.06</v>
      </c>
    </row>
    <row r="736">
      <c r="A736" t="n">
        <v>197523</v>
      </c>
      <c r="B736" t="n">
        <v>182</v>
      </c>
      <c r="C736" t="inlineStr">
        <is>
          <t>Love - Shibari - Kamino</t>
        </is>
      </c>
      <c r="D736" t="n">
        <v>128</v>
      </c>
      <c r="E736" t="inlineStr">
        <is>
          <t>Love Cabaret</t>
        </is>
      </c>
      <c r="F736" s="27" t="n">
        <v>45952</v>
      </c>
      <c r="G736" t="inlineStr">
        <is>
          <t>DEBITO</t>
        </is>
      </c>
      <c r="H736" t="inlineStr">
        <is>
          <t>Btard Padaria Artesanal Ltda</t>
        </is>
      </c>
      <c r="I736" t="n">
        <v>-199</v>
      </c>
    </row>
    <row r="737">
      <c r="A737" t="n">
        <v>197524</v>
      </c>
      <c r="B737" t="n">
        <v>182</v>
      </c>
      <c r="C737" t="inlineStr">
        <is>
          <t>Love - Shibari - Kamino</t>
        </is>
      </c>
      <c r="D737" t="n">
        <v>128</v>
      </c>
      <c r="E737" t="inlineStr">
        <is>
          <t>Love Cabaret</t>
        </is>
      </c>
      <c r="F737" s="27" t="n">
        <v>45952</v>
      </c>
      <c r="G737" t="inlineStr">
        <is>
          <t>DEBITO</t>
        </is>
      </c>
      <c r="H737" t="inlineStr">
        <is>
          <t>Eshows Promocoes Artisticas Ltda</t>
        </is>
      </c>
      <c r="I737" t="n">
        <v>-19440</v>
      </c>
    </row>
    <row r="738">
      <c r="A738" t="n">
        <v>197525</v>
      </c>
      <c r="B738" t="n">
        <v>182</v>
      </c>
      <c r="C738" t="inlineStr">
        <is>
          <t>Love - Shibari - Kamino</t>
        </is>
      </c>
      <c r="D738" t="n">
        <v>128</v>
      </c>
      <c r="E738" t="inlineStr">
        <is>
          <t>Love Cabaret</t>
        </is>
      </c>
      <c r="F738" s="27" t="n">
        <v>45952</v>
      </c>
      <c r="G738" t="inlineStr">
        <is>
          <t>DEBITO</t>
        </is>
      </c>
      <c r="H738" t="inlineStr">
        <is>
          <t>Telefonica Brasil S.A.</t>
        </is>
      </c>
      <c r="I738" t="n">
        <v>-96.45999999999999</v>
      </c>
    </row>
    <row r="739">
      <c r="A739" t="n">
        <v>197526</v>
      </c>
      <c r="B739" t="n">
        <v>182</v>
      </c>
      <c r="C739" t="inlineStr">
        <is>
          <t>Love - Shibari - Kamino</t>
        </is>
      </c>
      <c r="D739" t="n">
        <v>128</v>
      </c>
      <c r="E739" t="inlineStr">
        <is>
          <t>Love Cabaret</t>
        </is>
      </c>
      <c r="F739" s="27" t="n">
        <v>45952</v>
      </c>
      <c r="G739" t="inlineStr">
        <is>
          <t>DEBITO</t>
        </is>
      </c>
      <c r="H739" t="inlineStr">
        <is>
          <t>Mario Pedro Feliciano Hortifru</t>
        </is>
      </c>
      <c r="I739" t="n">
        <v>-116.29</v>
      </c>
    </row>
    <row r="740">
      <c r="A740" t="n">
        <v>197527</v>
      </c>
      <c r="B740" t="n">
        <v>182</v>
      </c>
      <c r="C740" t="inlineStr">
        <is>
          <t>Love - Shibari - Kamino</t>
        </is>
      </c>
      <c r="D740" t="n">
        <v>128</v>
      </c>
      <c r="E740" t="inlineStr">
        <is>
          <t>Love Cabaret</t>
        </is>
      </c>
      <c r="F740" s="27" t="n">
        <v>45952</v>
      </c>
      <c r="G740" t="inlineStr">
        <is>
          <t>DEBITO</t>
        </is>
      </c>
      <c r="H740" t="inlineStr">
        <is>
          <t>Cecilia Tsuyaco Araki Silva Ltda</t>
        </is>
      </c>
      <c r="I740" t="n">
        <v>-152.15</v>
      </c>
    </row>
    <row r="741">
      <c r="A741" t="n">
        <v>197528</v>
      </c>
      <c r="B741" t="n">
        <v>182</v>
      </c>
      <c r="C741" t="inlineStr">
        <is>
          <t>Love - Shibari - Kamino</t>
        </is>
      </c>
      <c r="D741" t="n">
        <v>128</v>
      </c>
      <c r="E741" t="inlineStr">
        <is>
          <t>Love Cabaret</t>
        </is>
      </c>
      <c r="F741" s="27" t="n">
        <v>45952</v>
      </c>
      <c r="G741" t="inlineStr">
        <is>
          <t>DEBITO</t>
        </is>
      </c>
      <c r="H741" t="inlineStr">
        <is>
          <t>Destec Solucoes Ltda</t>
        </is>
      </c>
      <c r="I741" t="n">
        <v>-812.7</v>
      </c>
    </row>
    <row r="742">
      <c r="A742" t="n">
        <v>197529</v>
      </c>
      <c r="B742" t="n">
        <v>182</v>
      </c>
      <c r="C742" t="inlineStr">
        <is>
          <t>Love - Shibari - Kamino</t>
        </is>
      </c>
      <c r="D742" t="n">
        <v>128</v>
      </c>
      <c r="E742" t="inlineStr">
        <is>
          <t>Love Cabaret</t>
        </is>
      </c>
      <c r="F742" s="27" t="n">
        <v>45952</v>
      </c>
      <c r="G742" t="inlineStr">
        <is>
          <t>DEBITO</t>
        </is>
      </c>
      <c r="H742" t="inlineStr">
        <is>
          <t>Hnk Br Bebidas Ltda</t>
        </is>
      </c>
      <c r="I742" t="n">
        <v>-1518.69</v>
      </c>
    </row>
    <row r="743">
      <c r="A743" t="n">
        <v>197530</v>
      </c>
      <c r="B743" t="n">
        <v>182</v>
      </c>
      <c r="C743" t="inlineStr">
        <is>
          <t>Love - Shibari - Kamino</t>
        </is>
      </c>
      <c r="D743" t="n">
        <v>128</v>
      </c>
      <c r="E743" t="inlineStr">
        <is>
          <t>Love Cabaret</t>
        </is>
      </c>
      <c r="F743" s="27" t="n">
        <v>45952</v>
      </c>
      <c r="G743" t="inlineStr">
        <is>
          <t>DEBITO</t>
        </is>
      </c>
      <c r="H743" t="inlineStr">
        <is>
          <t>Cia do Whisky</t>
        </is>
      </c>
      <c r="I743" t="n">
        <v>-1830</v>
      </c>
    </row>
    <row r="744">
      <c r="A744" t="n">
        <v>197531</v>
      </c>
      <c r="B744" t="n">
        <v>182</v>
      </c>
      <c r="C744" t="inlineStr">
        <is>
          <t>Love - Shibari - Kamino</t>
        </is>
      </c>
      <c r="D744" t="n">
        <v>128</v>
      </c>
      <c r="E744" t="inlineStr">
        <is>
          <t>Love Cabaret</t>
        </is>
      </c>
      <c r="F744" s="27" t="n">
        <v>45952</v>
      </c>
      <c r="G744" t="inlineStr">
        <is>
          <t>DEBITO</t>
        </is>
      </c>
      <c r="H744" t="inlineStr">
        <is>
          <t>Cia do Whisky</t>
        </is>
      </c>
      <c r="I744" t="n">
        <v>-1310.2</v>
      </c>
    </row>
    <row r="745">
      <c r="A745" t="n">
        <v>197532</v>
      </c>
      <c r="B745" t="n">
        <v>182</v>
      </c>
      <c r="C745" t="inlineStr">
        <is>
          <t>Love - Shibari - Kamino</t>
        </is>
      </c>
      <c r="D745" t="n">
        <v>128</v>
      </c>
      <c r="E745" t="inlineStr">
        <is>
          <t>Love Cabaret</t>
        </is>
      </c>
      <c r="F745" s="27" t="n">
        <v>45952</v>
      </c>
      <c r="G745" t="inlineStr">
        <is>
          <t>DEBITO</t>
        </is>
      </c>
      <c r="H745" t="inlineStr">
        <is>
          <t>Estaff Solucoes Tecnologicas de Agenciam</t>
        </is>
      </c>
      <c r="I745" t="n">
        <v>-19442.5</v>
      </c>
    </row>
    <row r="746">
      <c r="A746" t="n">
        <v>197533</v>
      </c>
      <c r="B746" t="n">
        <v>182</v>
      </c>
      <c r="C746" t="inlineStr">
        <is>
          <t>Love - Shibari - Kamino</t>
        </is>
      </c>
      <c r="D746" t="n">
        <v>128</v>
      </c>
      <c r="E746" t="inlineStr">
        <is>
          <t>Love Cabaret</t>
        </is>
      </c>
      <c r="F746" s="27" t="n">
        <v>45952</v>
      </c>
      <c r="G746" t="inlineStr">
        <is>
          <t>DEBITO</t>
        </is>
      </c>
      <c r="H746" t="inlineStr">
        <is>
          <t>Nova Comercial do Peixe Eireli</t>
        </is>
      </c>
      <c r="I746" t="n">
        <v>-588</v>
      </c>
    </row>
    <row r="747">
      <c r="A747" t="n">
        <v>197535</v>
      </c>
      <c r="B747" t="n">
        <v>182</v>
      </c>
      <c r="C747" t="inlineStr">
        <is>
          <t>Love - Shibari - Kamino</t>
        </is>
      </c>
      <c r="D747" t="n">
        <v>128</v>
      </c>
      <c r="E747" t="inlineStr">
        <is>
          <t>Love Cabaret</t>
        </is>
      </c>
      <c r="F747" s="27" t="n">
        <v>45952</v>
      </c>
      <c r="G747" t="inlineStr">
        <is>
          <t>DEBITO</t>
        </is>
      </c>
      <c r="H747" t="inlineStr">
        <is>
          <t>Arena Bebidas</t>
        </is>
      </c>
      <c r="I747" t="n">
        <v>-1473</v>
      </c>
    </row>
    <row r="748">
      <c r="A748" t="n">
        <v>197534</v>
      </c>
      <c r="B748" t="n">
        <v>182</v>
      </c>
      <c r="C748" t="inlineStr">
        <is>
          <t>Love - Shibari - Kamino</t>
        </is>
      </c>
      <c r="D748" t="n">
        <v>128</v>
      </c>
      <c r="E748" t="inlineStr">
        <is>
          <t>Love Cabaret</t>
        </is>
      </c>
      <c r="F748" s="27" t="n">
        <v>45952</v>
      </c>
      <c r="G748" t="inlineStr">
        <is>
          <t>DEBITO</t>
        </is>
      </c>
      <c r="H748" t="inlineStr">
        <is>
          <t>Psss Ltda</t>
        </is>
      </c>
      <c r="I748" t="n">
        <v>-129.5</v>
      </c>
    </row>
    <row r="749">
      <c r="A749" t="n">
        <v>197519</v>
      </c>
      <c r="B749" t="n">
        <v>182</v>
      </c>
      <c r="C749" t="inlineStr">
        <is>
          <t>Love - Shibari - Kamino</t>
        </is>
      </c>
      <c r="D749" t="n">
        <v>128</v>
      </c>
      <c r="E749" t="inlineStr">
        <is>
          <t>Love Cabaret</t>
        </is>
      </c>
      <c r="F749" s="27" t="n">
        <v>45952</v>
      </c>
      <c r="G749" t="inlineStr">
        <is>
          <t>DEBITO</t>
        </is>
      </c>
      <c r="H749" t="inlineStr">
        <is>
          <t>Wines4u com Imp Exp Vinhos Lt</t>
        </is>
      </c>
      <c r="I749" t="n">
        <v>-688.5</v>
      </c>
    </row>
    <row r="750">
      <c r="A750" t="n">
        <v>197518</v>
      </c>
      <c r="B750" t="n">
        <v>182</v>
      </c>
      <c r="C750" t="inlineStr">
        <is>
          <t>Love - Shibari - Kamino</t>
        </is>
      </c>
      <c r="D750" t="n">
        <v>128</v>
      </c>
      <c r="E750" t="inlineStr">
        <is>
          <t>Love Cabaret</t>
        </is>
      </c>
      <c r="F750" s="27" t="n">
        <v>45952</v>
      </c>
      <c r="G750" t="inlineStr">
        <is>
          <t>DEBITO</t>
        </is>
      </c>
      <c r="H750" t="inlineStr">
        <is>
          <t>Cia do Whisky</t>
        </is>
      </c>
      <c r="I750" t="n">
        <v>-911.4</v>
      </c>
    </row>
    <row r="751">
      <c r="A751" t="n">
        <v>197517</v>
      </c>
      <c r="B751" t="n">
        <v>182</v>
      </c>
      <c r="C751" t="inlineStr">
        <is>
          <t>Love - Shibari - Kamino</t>
        </is>
      </c>
      <c r="D751" t="n">
        <v>128</v>
      </c>
      <c r="E751" t="inlineStr">
        <is>
          <t>Love Cabaret</t>
        </is>
      </c>
      <c r="F751" s="27" t="n">
        <v>45952</v>
      </c>
      <c r="G751" t="inlineStr">
        <is>
          <t>DEBITO</t>
        </is>
      </c>
      <c r="H751" t="inlineStr">
        <is>
          <t>Tarifa Pix Enviado-PJ</t>
        </is>
      </c>
      <c r="I751" t="n">
        <v>-0.5</v>
      </c>
    </row>
    <row r="752">
      <c r="A752" t="n">
        <v>197516</v>
      </c>
      <c r="B752" t="n">
        <v>182</v>
      </c>
      <c r="C752" t="inlineStr">
        <is>
          <t>Love - Shibari - Kamino</t>
        </is>
      </c>
      <c r="D752" t="n">
        <v>128</v>
      </c>
      <c r="E752" t="inlineStr">
        <is>
          <t>Love Cabaret</t>
        </is>
      </c>
      <c r="F752" s="27" t="n">
        <v>45952</v>
      </c>
      <c r="G752" t="inlineStr">
        <is>
          <t>DEBITO</t>
        </is>
      </c>
      <c r="H752" t="inlineStr">
        <is>
          <t>Edimar Moura Tartaglioni</t>
        </is>
      </c>
      <c r="I752" t="n">
        <v>-630</v>
      </c>
    </row>
    <row r="753">
      <c r="A753" t="n">
        <v>197515</v>
      </c>
      <c r="B753" t="n">
        <v>182</v>
      </c>
      <c r="C753" t="inlineStr">
        <is>
          <t>Love - Shibari - Kamino</t>
        </is>
      </c>
      <c r="D753" t="n">
        <v>128</v>
      </c>
      <c r="E753" t="inlineStr">
        <is>
          <t>Love Cabaret</t>
        </is>
      </c>
      <c r="F753" s="27" t="n">
        <v>45952</v>
      </c>
      <c r="G753" t="inlineStr">
        <is>
          <t>DEBITO</t>
        </is>
      </c>
      <c r="H753" t="inlineStr">
        <is>
          <t>Tarifa Pix Enviado-PJ</t>
        </is>
      </c>
      <c r="I753" t="n">
        <v>-0.5</v>
      </c>
    </row>
    <row r="754">
      <c r="A754" t="n">
        <v>197514</v>
      </c>
      <c r="B754" t="n">
        <v>182</v>
      </c>
      <c r="C754" t="inlineStr">
        <is>
          <t>Love - Shibari - Kamino</t>
        </is>
      </c>
      <c r="D754" t="n">
        <v>128</v>
      </c>
      <c r="E754" t="inlineStr">
        <is>
          <t>Love Cabaret</t>
        </is>
      </c>
      <c r="F754" s="27" t="n">
        <v>45952</v>
      </c>
      <c r="G754" t="inlineStr">
        <is>
          <t>DEBITO</t>
        </is>
      </c>
      <c r="H754" t="inlineStr">
        <is>
          <t>Facundo Guerra Rivero</t>
        </is>
      </c>
      <c r="I754" t="n">
        <v>-939.03</v>
      </c>
    </row>
    <row r="755">
      <c r="A755" t="n">
        <v>197513</v>
      </c>
      <c r="B755" t="n">
        <v>182</v>
      </c>
      <c r="C755" t="inlineStr">
        <is>
          <t>Love - Shibari - Kamino</t>
        </is>
      </c>
      <c r="D755" t="n">
        <v>128</v>
      </c>
      <c r="E755" t="inlineStr">
        <is>
          <t>Love Cabaret</t>
        </is>
      </c>
      <c r="F755" s="27" t="n">
        <v>45952</v>
      </c>
      <c r="G755" t="inlineStr">
        <is>
          <t>DEBITO</t>
        </is>
      </c>
      <c r="H755" t="inlineStr">
        <is>
          <t>Formosa Bar</t>
        </is>
      </c>
      <c r="I755" t="n">
        <v>-850</v>
      </c>
    </row>
    <row r="756">
      <c r="A756" t="n">
        <v>197512</v>
      </c>
      <c r="B756" t="n">
        <v>182</v>
      </c>
      <c r="C756" t="inlineStr">
        <is>
          <t>Love - Shibari - Kamino</t>
        </is>
      </c>
      <c r="D756" t="n">
        <v>128</v>
      </c>
      <c r="E756" t="inlineStr">
        <is>
          <t>Love Cabaret</t>
        </is>
      </c>
      <c r="F756" s="27" t="n">
        <v>45952</v>
      </c>
      <c r="G756" t="inlineStr">
        <is>
          <t>DEBITO</t>
        </is>
      </c>
      <c r="H756" t="inlineStr">
        <is>
          <t>Zahil Importadora Ltda</t>
        </is>
      </c>
      <c r="I756" t="n">
        <v>-1208.67</v>
      </c>
    </row>
    <row r="757">
      <c r="A757" t="n">
        <v>197511</v>
      </c>
      <c r="B757" t="n">
        <v>182</v>
      </c>
      <c r="C757" t="inlineStr">
        <is>
          <t>Love - Shibari - Kamino</t>
        </is>
      </c>
      <c r="D757" t="n">
        <v>128</v>
      </c>
      <c r="E757" t="inlineStr">
        <is>
          <t>Love Cabaret</t>
        </is>
      </c>
      <c r="F757" s="27" t="n">
        <v>45952</v>
      </c>
      <c r="G757" t="inlineStr">
        <is>
          <t>CREDITO</t>
        </is>
      </c>
      <c r="H757" t="inlineStr">
        <is>
          <t>SHIBARI ART E DIVERSAO LTDA</t>
        </is>
      </c>
      <c r="I757" t="n">
        <v>42000</v>
      </c>
    </row>
    <row r="758">
      <c r="A758" t="n">
        <v>197536</v>
      </c>
      <c r="B758" t="n">
        <v>182</v>
      </c>
      <c r="C758" t="inlineStr">
        <is>
          <t>Love - Shibari - Kamino</t>
        </is>
      </c>
      <c r="D758" t="n">
        <v>128</v>
      </c>
      <c r="E758" t="inlineStr">
        <is>
          <t>Love Cabaret</t>
        </is>
      </c>
      <c r="F758" s="27" t="n">
        <v>45952</v>
      </c>
      <c r="G758" t="inlineStr">
        <is>
          <t>DEBITO</t>
        </is>
      </c>
      <c r="H758" t="inlineStr">
        <is>
          <t>Telefonica Brasil S.A.</t>
        </is>
      </c>
      <c r="I758" t="n">
        <v>-223.82</v>
      </c>
    </row>
    <row r="759">
      <c r="A759" t="n">
        <v>197063</v>
      </c>
      <c r="B759" t="n">
        <v>115</v>
      </c>
      <c r="C759" t="inlineStr">
        <is>
          <t>Love - Shibari - Bradesco</t>
        </is>
      </c>
      <c r="D759" t="n">
        <v>128</v>
      </c>
      <c r="E759" t="inlineStr">
        <is>
          <t>Love Cabaret</t>
        </is>
      </c>
      <c r="F759" s="27" t="n">
        <v>45951.5</v>
      </c>
      <c r="G759" t="inlineStr">
        <is>
          <t>CREDITO</t>
        </is>
      </c>
      <c r="H759" t="inlineStr">
        <is>
          <t>TED-TRANSF ELET DISPON REMET.Zig Tecnologia S.A.</t>
        </is>
      </c>
      <c r="I759" t="n">
        <v>18264.37</v>
      </c>
    </row>
    <row r="760">
      <c r="A760" t="n">
        <v>197061</v>
      </c>
      <c r="B760" t="n">
        <v>115</v>
      </c>
      <c r="C760" t="inlineStr">
        <is>
          <t>Love - Shibari - Bradesco</t>
        </is>
      </c>
      <c r="D760" t="n">
        <v>128</v>
      </c>
      <c r="E760" t="inlineStr">
        <is>
          <t>Love Cabaret</t>
        </is>
      </c>
      <c r="F760" s="27" t="n">
        <v>45950.5</v>
      </c>
      <c r="G760" t="inlineStr">
        <is>
          <t>DEBITO</t>
        </is>
      </c>
      <c r="H760" t="inlineStr">
        <is>
          <t>PGTO SALARIO VIA NET EMP</t>
        </is>
      </c>
      <c r="I760" t="n">
        <v>-1640.98</v>
      </c>
    </row>
    <row r="761">
      <c r="A761" t="n">
        <v>197053</v>
      </c>
      <c r="B761" t="n">
        <v>115</v>
      </c>
      <c r="C761" t="inlineStr">
        <is>
          <t>Love - Shibari - Bradesco</t>
        </is>
      </c>
      <c r="D761" t="n">
        <v>128</v>
      </c>
      <c r="E761" t="inlineStr">
        <is>
          <t>Love Cabaret</t>
        </is>
      </c>
      <c r="F761" s="27" t="n">
        <v>45950.5</v>
      </c>
      <c r="G761" t="inlineStr">
        <is>
          <t>CREDITO</t>
        </is>
      </c>
      <c r="H761" t="inlineStr">
        <is>
          <t>TED-TRANSF ELET DISPON REMET.Zig Tecnologia S.A.</t>
        </is>
      </c>
      <c r="I761" t="n">
        <v>47659.11</v>
      </c>
    </row>
    <row r="762">
      <c r="A762" t="n">
        <v>197054</v>
      </c>
      <c r="B762" t="n">
        <v>115</v>
      </c>
      <c r="C762" t="inlineStr">
        <is>
          <t>Love - Shibari - Bradesco</t>
        </is>
      </c>
      <c r="D762" t="n">
        <v>128</v>
      </c>
      <c r="E762" t="inlineStr">
        <is>
          <t>Love Cabaret</t>
        </is>
      </c>
      <c r="F762" s="27" t="n">
        <v>45950.5</v>
      </c>
      <c r="G762" t="inlineStr">
        <is>
          <t>CREDITO</t>
        </is>
      </c>
      <c r="H762" t="inlineStr">
        <is>
          <t>TRANSFERENCIA PIX REM: GIOVANA GOMES CARREIR 18/10</t>
        </is>
      </c>
      <c r="I762" t="n">
        <v>1240</v>
      </c>
    </row>
    <row r="763">
      <c r="A763" t="n">
        <v>197055</v>
      </c>
      <c r="B763" t="n">
        <v>115</v>
      </c>
      <c r="C763" t="inlineStr">
        <is>
          <t>Love - Shibari - Bradesco</t>
        </is>
      </c>
      <c r="D763" t="n">
        <v>128</v>
      </c>
      <c r="E763" t="inlineStr">
        <is>
          <t>Love Cabaret</t>
        </is>
      </c>
      <c r="F763" s="27" t="n">
        <v>45950.5</v>
      </c>
      <c r="G763" t="inlineStr">
        <is>
          <t>CREDITO</t>
        </is>
      </c>
      <c r="H763" t="inlineStr">
        <is>
          <t>TRANSFERENCIA PIX REM: Izabella Castro Motta 19/10</t>
        </is>
      </c>
      <c r="I763" t="n">
        <v>620</v>
      </c>
    </row>
    <row r="764">
      <c r="A764" t="n">
        <v>197056</v>
      </c>
      <c r="B764" t="n">
        <v>115</v>
      </c>
      <c r="C764" t="inlineStr">
        <is>
          <t>Love - Shibari - Bradesco</t>
        </is>
      </c>
      <c r="D764" t="n">
        <v>128</v>
      </c>
      <c r="E764" t="inlineStr">
        <is>
          <t>Love Cabaret</t>
        </is>
      </c>
      <c r="F764" s="27" t="n">
        <v>45950.5</v>
      </c>
      <c r="G764" t="inlineStr">
        <is>
          <t>CREDITO</t>
        </is>
      </c>
      <c r="H764" t="inlineStr">
        <is>
          <t>TRANSFERENCIA PIX REM: RAIMUNDO GOIS DA MATA 18/10</t>
        </is>
      </c>
      <c r="I764" t="n">
        <v>620</v>
      </c>
    </row>
    <row r="765">
      <c r="A765" t="n">
        <v>197062</v>
      </c>
      <c r="B765" t="n">
        <v>115</v>
      </c>
      <c r="C765" t="inlineStr">
        <is>
          <t>Love - Shibari - Bradesco</t>
        </is>
      </c>
      <c r="D765" t="n">
        <v>128</v>
      </c>
      <c r="E765" t="inlineStr">
        <is>
          <t>Love Cabaret</t>
        </is>
      </c>
      <c r="F765" s="27" t="n">
        <v>45950.5</v>
      </c>
      <c r="G765" t="inlineStr">
        <is>
          <t>DEBITO</t>
        </is>
      </c>
      <c r="H765" t="inlineStr">
        <is>
          <t>TRANSFERENCIA PIX DES: SHIBARI ART E DIVERSA 20/10</t>
        </is>
      </c>
      <c r="I765" t="n">
        <v>-120000</v>
      </c>
    </row>
    <row r="766">
      <c r="A766" t="n">
        <v>197492</v>
      </c>
      <c r="B766" t="n">
        <v>182</v>
      </c>
      <c r="C766" t="inlineStr">
        <is>
          <t>Love - Shibari - Kamino</t>
        </is>
      </c>
      <c r="D766" t="n">
        <v>128</v>
      </c>
      <c r="E766" t="inlineStr">
        <is>
          <t>Love Cabaret</t>
        </is>
      </c>
      <c r="F766" s="27" t="n">
        <v>45950</v>
      </c>
      <c r="G766" t="inlineStr">
        <is>
          <t>DEBITO</t>
        </is>
      </c>
      <c r="H766" t="inlineStr">
        <is>
          <t>Ministerio da Fazenda</t>
        </is>
      </c>
      <c r="I766" t="n">
        <v>-1397.71</v>
      </c>
    </row>
    <row r="767">
      <c r="A767" t="n">
        <v>197491</v>
      </c>
      <c r="B767" t="n">
        <v>182</v>
      </c>
      <c r="C767" t="inlineStr">
        <is>
          <t>Love - Shibari - Kamino</t>
        </is>
      </c>
      <c r="D767" t="n">
        <v>128</v>
      </c>
      <c r="E767" t="inlineStr">
        <is>
          <t>Love Cabaret</t>
        </is>
      </c>
      <c r="F767" s="27" t="n">
        <v>45950</v>
      </c>
      <c r="G767" t="inlineStr">
        <is>
          <t>DEBITO</t>
        </is>
      </c>
      <c r="H767" t="inlineStr">
        <is>
          <t>Ministerio da Fazenda</t>
        </is>
      </c>
      <c r="I767" t="n">
        <v>-3658.68</v>
      </c>
    </row>
    <row r="768">
      <c r="A768" t="n">
        <v>197490</v>
      </c>
      <c r="B768" t="n">
        <v>182</v>
      </c>
      <c r="C768" t="inlineStr">
        <is>
          <t>Love - Shibari - Kamino</t>
        </is>
      </c>
      <c r="D768" t="n">
        <v>128</v>
      </c>
      <c r="E768" t="inlineStr">
        <is>
          <t>Love Cabaret</t>
        </is>
      </c>
      <c r="F768" s="27" t="n">
        <v>45950</v>
      </c>
      <c r="G768" t="inlineStr">
        <is>
          <t>DEBITO</t>
        </is>
      </c>
      <c r="H768" t="inlineStr">
        <is>
          <t>Dtk Comercio de Alimentos Ltda Epp</t>
        </is>
      </c>
      <c r="I768" t="n">
        <v>-647.8</v>
      </c>
    </row>
    <row r="769">
      <c r="A769" t="n">
        <v>197489</v>
      </c>
      <c r="B769" t="n">
        <v>182</v>
      </c>
      <c r="C769" t="inlineStr">
        <is>
          <t>Love - Shibari - Kamino</t>
        </is>
      </c>
      <c r="D769" t="n">
        <v>128</v>
      </c>
      <c r="E769" t="inlineStr">
        <is>
          <t>Love Cabaret</t>
        </is>
      </c>
      <c r="F769" s="27" t="n">
        <v>45950</v>
      </c>
      <c r="G769" t="inlineStr">
        <is>
          <t>DEBITO</t>
        </is>
      </c>
      <c r="H769" t="inlineStr">
        <is>
          <t>Opus Consultoria e Pesquisa Ltda</t>
        </is>
      </c>
      <c r="I769" t="n">
        <v>-300</v>
      </c>
    </row>
    <row r="770">
      <c r="A770" t="n">
        <v>197488</v>
      </c>
      <c r="B770" t="n">
        <v>182</v>
      </c>
      <c r="C770" t="inlineStr">
        <is>
          <t>Love - Shibari - Kamino</t>
        </is>
      </c>
      <c r="D770" t="n">
        <v>128</v>
      </c>
      <c r="E770" t="inlineStr">
        <is>
          <t>Love Cabaret</t>
        </is>
      </c>
      <c r="F770" s="27" t="n">
        <v>45950</v>
      </c>
      <c r="G770" t="inlineStr">
        <is>
          <t>DEBITO</t>
        </is>
      </c>
      <c r="H770" t="inlineStr">
        <is>
          <t>Sabesp</t>
        </is>
      </c>
      <c r="I770" t="n">
        <v>-153.96</v>
      </c>
    </row>
    <row r="771">
      <c r="A771" t="n">
        <v>197487</v>
      </c>
      <c r="B771" t="n">
        <v>182</v>
      </c>
      <c r="C771" t="inlineStr">
        <is>
          <t>Love - Shibari - Kamino</t>
        </is>
      </c>
      <c r="D771" t="n">
        <v>128</v>
      </c>
      <c r="E771" t="inlineStr">
        <is>
          <t>Love Cabaret</t>
        </is>
      </c>
      <c r="F771" s="27" t="n">
        <v>45950</v>
      </c>
      <c r="G771" t="inlineStr">
        <is>
          <t>DEBITO</t>
        </is>
      </c>
      <c r="H771" t="inlineStr">
        <is>
          <t>Alphalix Ambiental Locacao de Equipament</t>
        </is>
      </c>
      <c r="I771" t="n">
        <v>-1621.08</v>
      </c>
    </row>
    <row r="772">
      <c r="A772" t="n">
        <v>197486</v>
      </c>
      <c r="B772" t="n">
        <v>182</v>
      </c>
      <c r="C772" t="inlineStr">
        <is>
          <t>Love - Shibari - Kamino</t>
        </is>
      </c>
      <c r="D772" t="n">
        <v>128</v>
      </c>
      <c r="E772" t="inlineStr">
        <is>
          <t>Love Cabaret</t>
        </is>
      </c>
      <c r="F772" s="27" t="n">
        <v>45950</v>
      </c>
      <c r="G772" t="inlineStr">
        <is>
          <t>DEBITO</t>
        </is>
      </c>
      <c r="H772" t="inlineStr">
        <is>
          <t>Hnk Br Bebidas Ltda</t>
        </is>
      </c>
      <c r="I772" t="n">
        <v>-755.16</v>
      </c>
    </row>
    <row r="773">
      <c r="A773" t="n">
        <v>197485</v>
      </c>
      <c r="B773" t="n">
        <v>182</v>
      </c>
      <c r="C773" t="inlineStr">
        <is>
          <t>Love - Shibari - Kamino</t>
        </is>
      </c>
      <c r="D773" t="n">
        <v>128</v>
      </c>
      <c r="E773" t="inlineStr">
        <is>
          <t>Love Cabaret</t>
        </is>
      </c>
      <c r="F773" s="27" t="n">
        <v>45950</v>
      </c>
      <c r="G773" t="inlineStr">
        <is>
          <t>DEBITO</t>
        </is>
      </c>
      <c r="H773" t="inlineStr">
        <is>
          <t>W P P C Carnes Eireli Epp</t>
        </is>
      </c>
      <c r="I773" t="n">
        <v>-853.0599999999999</v>
      </c>
    </row>
    <row r="774">
      <c r="A774" t="n">
        <v>197484</v>
      </c>
      <c r="B774" t="n">
        <v>182</v>
      </c>
      <c r="C774" t="inlineStr">
        <is>
          <t>Love - Shibari - Kamino</t>
        </is>
      </c>
      <c r="D774" t="n">
        <v>128</v>
      </c>
      <c r="E774" t="inlineStr">
        <is>
          <t>Love Cabaret</t>
        </is>
      </c>
      <c r="F774" s="27" t="n">
        <v>45950</v>
      </c>
      <c r="G774" t="inlineStr">
        <is>
          <t>DEBITO</t>
        </is>
      </c>
      <c r="H774" t="inlineStr">
        <is>
          <t>W P P C Carnes Eireli Epp</t>
        </is>
      </c>
      <c r="I774" t="n">
        <v>-484.83</v>
      </c>
    </row>
    <row r="775">
      <c r="A775" t="n">
        <v>197483</v>
      </c>
      <c r="B775" t="n">
        <v>182</v>
      </c>
      <c r="C775" t="inlineStr">
        <is>
          <t>Love - Shibari - Kamino</t>
        </is>
      </c>
      <c r="D775" t="n">
        <v>128</v>
      </c>
      <c r="E775" t="inlineStr">
        <is>
          <t>Love Cabaret</t>
        </is>
      </c>
      <c r="F775" s="27" t="n">
        <v>45950</v>
      </c>
      <c r="G775" t="inlineStr">
        <is>
          <t>DEBITO</t>
        </is>
      </c>
      <c r="H775" t="inlineStr">
        <is>
          <t>Mordomia da Administracao Imobiliaria</t>
        </is>
      </c>
      <c r="I775" t="n">
        <v>-32594.19</v>
      </c>
    </row>
    <row r="776">
      <c r="A776" t="n">
        <v>197482</v>
      </c>
      <c r="B776" t="n">
        <v>182</v>
      </c>
      <c r="C776" t="inlineStr">
        <is>
          <t>Love - Shibari - Kamino</t>
        </is>
      </c>
      <c r="D776" t="n">
        <v>128</v>
      </c>
      <c r="E776" t="inlineStr">
        <is>
          <t>Love Cabaret</t>
        </is>
      </c>
      <c r="F776" s="27" t="n">
        <v>45950</v>
      </c>
      <c r="G776" t="inlineStr">
        <is>
          <t>DEBITO</t>
        </is>
      </c>
      <c r="H776" t="inlineStr">
        <is>
          <t>Laticinios Fior D Italia Ltda</t>
        </is>
      </c>
      <c r="I776" t="n">
        <v>-326.75</v>
      </c>
    </row>
    <row r="777">
      <c r="A777" t="n">
        <v>197481</v>
      </c>
      <c r="B777" t="n">
        <v>182</v>
      </c>
      <c r="C777" t="inlineStr">
        <is>
          <t>Love - Shibari - Kamino</t>
        </is>
      </c>
      <c r="D777" t="n">
        <v>128</v>
      </c>
      <c r="E777" t="inlineStr">
        <is>
          <t>Love Cabaret</t>
        </is>
      </c>
      <c r="F777" s="27" t="n">
        <v>45950</v>
      </c>
      <c r="G777" t="inlineStr">
        <is>
          <t>DEBITO</t>
        </is>
      </c>
      <c r="H777" t="inlineStr">
        <is>
          <t>Tec Lite</t>
        </is>
      </c>
      <c r="I777" t="n">
        <v>-380</v>
      </c>
    </row>
    <row r="778">
      <c r="A778" t="n">
        <v>197480</v>
      </c>
      <c r="B778" t="n">
        <v>182</v>
      </c>
      <c r="C778" t="inlineStr">
        <is>
          <t>Love - Shibari - Kamino</t>
        </is>
      </c>
      <c r="D778" t="n">
        <v>128</v>
      </c>
      <c r="E778" t="inlineStr">
        <is>
          <t>Love Cabaret</t>
        </is>
      </c>
      <c r="F778" s="27" t="n">
        <v>45950</v>
      </c>
      <c r="G778" t="inlineStr">
        <is>
          <t>DEBITO</t>
        </is>
      </c>
      <c r="H778" t="inlineStr">
        <is>
          <t>Arena Bebidas</t>
        </is>
      </c>
      <c r="I778" t="n">
        <v>-471</v>
      </c>
    </row>
    <row r="779">
      <c r="A779" t="n">
        <v>197479</v>
      </c>
      <c r="B779" t="n">
        <v>182</v>
      </c>
      <c r="C779" t="inlineStr">
        <is>
          <t>Love - Shibari - Kamino</t>
        </is>
      </c>
      <c r="D779" t="n">
        <v>128</v>
      </c>
      <c r="E779" t="inlineStr">
        <is>
          <t>Love Cabaret</t>
        </is>
      </c>
      <c r="F779" s="27" t="n">
        <v>45950</v>
      </c>
      <c r="G779" t="inlineStr">
        <is>
          <t>DEBITO</t>
        </is>
      </c>
      <c r="H779" t="inlineStr">
        <is>
          <t>Fabrica de Bares Servicos Ltda</t>
        </is>
      </c>
      <c r="I779" t="n">
        <v>-7034.98</v>
      </c>
    </row>
    <row r="780">
      <c r="A780" t="n">
        <v>197478</v>
      </c>
      <c r="B780" t="n">
        <v>182</v>
      </c>
      <c r="C780" t="inlineStr">
        <is>
          <t>Love - Shibari - Kamino</t>
        </is>
      </c>
      <c r="D780" t="n">
        <v>128</v>
      </c>
      <c r="E780" t="inlineStr">
        <is>
          <t>Love Cabaret</t>
        </is>
      </c>
      <c r="F780" s="27" t="n">
        <v>45950</v>
      </c>
      <c r="G780" t="inlineStr">
        <is>
          <t>DEBITO</t>
        </is>
      </c>
      <c r="H780" t="inlineStr">
        <is>
          <t>CAIXA ECONOMICA FEDERAL</t>
        </is>
      </c>
      <c r="I780" t="n">
        <v>-1016.3</v>
      </c>
    </row>
    <row r="781">
      <c r="A781" t="n">
        <v>197477</v>
      </c>
      <c r="B781" t="n">
        <v>182</v>
      </c>
      <c r="C781" t="inlineStr">
        <is>
          <t>Love - Shibari - Kamino</t>
        </is>
      </c>
      <c r="D781" t="n">
        <v>128</v>
      </c>
      <c r="E781" t="inlineStr">
        <is>
          <t>Love Cabaret</t>
        </is>
      </c>
      <c r="F781" s="27" t="n">
        <v>45950</v>
      </c>
      <c r="G781" t="inlineStr">
        <is>
          <t>DEBITO</t>
        </is>
      </c>
      <c r="H781" t="inlineStr">
        <is>
          <t>Psss Ltda</t>
        </is>
      </c>
      <c r="I781" t="n">
        <v>-136.1</v>
      </c>
    </row>
    <row r="782">
      <c r="A782" t="n">
        <v>197476</v>
      </c>
      <c r="B782" t="n">
        <v>182</v>
      </c>
      <c r="C782" t="inlineStr">
        <is>
          <t>Love - Shibari - Kamino</t>
        </is>
      </c>
      <c r="D782" t="n">
        <v>128</v>
      </c>
      <c r="E782" t="inlineStr">
        <is>
          <t>Love Cabaret</t>
        </is>
      </c>
      <c r="F782" s="27" t="n">
        <v>45950</v>
      </c>
      <c r="G782" t="inlineStr">
        <is>
          <t>CREDITO</t>
        </is>
      </c>
      <c r="H782" t="inlineStr">
        <is>
          <t>SHIBARI ART E DIVERSAO LTDA</t>
        </is>
      </c>
      <c r="I782" t="n">
        <v>120000</v>
      </c>
    </row>
    <row r="783">
      <c r="A783" t="n">
        <v>197505</v>
      </c>
      <c r="B783" t="n">
        <v>182</v>
      </c>
      <c r="C783" t="inlineStr">
        <is>
          <t>Love - Shibari - Kamino</t>
        </is>
      </c>
      <c r="D783" t="n">
        <v>128</v>
      </c>
      <c r="E783" t="inlineStr">
        <is>
          <t>Love Cabaret</t>
        </is>
      </c>
      <c r="F783" s="27" t="n">
        <v>45950</v>
      </c>
      <c r="G783" t="inlineStr">
        <is>
          <t>DEBITO</t>
        </is>
      </c>
      <c r="H783" t="inlineStr">
        <is>
          <t>Zahil Importadora Ltda</t>
        </is>
      </c>
      <c r="I783" t="n">
        <v>-1732.01</v>
      </c>
    </row>
    <row r="784">
      <c r="A784" t="n">
        <v>197494</v>
      </c>
      <c r="B784" t="n">
        <v>182</v>
      </c>
      <c r="C784" t="inlineStr">
        <is>
          <t>Love - Shibari - Kamino</t>
        </is>
      </c>
      <c r="D784" t="n">
        <v>128</v>
      </c>
      <c r="E784" t="inlineStr">
        <is>
          <t>Love Cabaret</t>
        </is>
      </c>
      <c r="F784" s="27" t="n">
        <v>45950</v>
      </c>
      <c r="G784" t="inlineStr">
        <is>
          <t>DEBITO</t>
        </is>
      </c>
      <c r="H784" t="inlineStr">
        <is>
          <t>Ciclo com e Participacoes Ltda</t>
        </is>
      </c>
      <c r="I784" t="n">
        <v>-38500.47</v>
      </c>
    </row>
    <row r="785">
      <c r="A785" t="n">
        <v>197510</v>
      </c>
      <c r="B785" t="n">
        <v>182</v>
      </c>
      <c r="C785" t="inlineStr">
        <is>
          <t>Love - Shibari - Kamino</t>
        </is>
      </c>
      <c r="D785" t="n">
        <v>128</v>
      </c>
      <c r="E785" t="inlineStr">
        <is>
          <t>Love Cabaret</t>
        </is>
      </c>
      <c r="F785" s="27" t="n">
        <v>45950</v>
      </c>
      <c r="G785" t="inlineStr">
        <is>
          <t>DEBITO</t>
        </is>
      </c>
      <c r="H785" t="inlineStr">
        <is>
          <t>Renata Homsy Dias Claro</t>
        </is>
      </c>
      <c r="I785" t="n">
        <v>-3000</v>
      </c>
    </row>
    <row r="786">
      <c r="A786" t="n">
        <v>197509</v>
      </c>
      <c r="B786" t="n">
        <v>182</v>
      </c>
      <c r="C786" t="inlineStr">
        <is>
          <t>Love - Shibari - Kamino</t>
        </is>
      </c>
      <c r="D786" t="n">
        <v>128</v>
      </c>
      <c r="E786" t="inlineStr">
        <is>
          <t>Love Cabaret</t>
        </is>
      </c>
      <c r="F786" s="27" t="n">
        <v>45950</v>
      </c>
      <c r="G786" t="inlineStr">
        <is>
          <t>DEBITO</t>
        </is>
      </c>
      <c r="H786" t="inlineStr">
        <is>
          <t>Multifrangos com Alim Ltda Me</t>
        </is>
      </c>
      <c r="I786" t="n">
        <v>-254.85</v>
      </c>
    </row>
    <row r="787">
      <c r="A787" t="n">
        <v>197508</v>
      </c>
      <c r="B787" t="n">
        <v>182</v>
      </c>
      <c r="C787" t="inlineStr">
        <is>
          <t>Love - Shibari - Kamino</t>
        </is>
      </c>
      <c r="D787" t="n">
        <v>128</v>
      </c>
      <c r="E787" t="inlineStr">
        <is>
          <t>Love Cabaret</t>
        </is>
      </c>
      <c r="F787" s="27" t="n">
        <v>45950</v>
      </c>
      <c r="G787" t="inlineStr">
        <is>
          <t>DEBITO</t>
        </is>
      </c>
      <c r="H787" t="inlineStr">
        <is>
          <t>Fg7 Comercio D B Eireli Epp</t>
        </is>
      </c>
      <c r="I787" t="n">
        <v>-437.4</v>
      </c>
    </row>
    <row r="788">
      <c r="A788" t="n">
        <v>197507</v>
      </c>
      <c r="B788" t="n">
        <v>182</v>
      </c>
      <c r="C788" t="inlineStr">
        <is>
          <t>Love - Shibari - Kamino</t>
        </is>
      </c>
      <c r="D788" t="n">
        <v>128</v>
      </c>
      <c r="E788" t="inlineStr">
        <is>
          <t>Love Cabaret</t>
        </is>
      </c>
      <c r="F788" s="27" t="n">
        <v>45950</v>
      </c>
      <c r="G788" t="inlineStr">
        <is>
          <t>DEBITO</t>
        </is>
      </c>
      <c r="H788" t="inlineStr">
        <is>
          <t>Ministerio da Fazenda</t>
        </is>
      </c>
      <c r="I788" t="n">
        <v>-1748.27</v>
      </c>
    </row>
    <row r="789">
      <c r="A789" t="n">
        <v>197506</v>
      </c>
      <c r="B789" t="n">
        <v>182</v>
      </c>
      <c r="C789" t="inlineStr">
        <is>
          <t>Love - Shibari - Kamino</t>
        </is>
      </c>
      <c r="D789" t="n">
        <v>128</v>
      </c>
      <c r="E789" t="inlineStr">
        <is>
          <t>Love Cabaret</t>
        </is>
      </c>
      <c r="F789" s="27" t="n">
        <v>45950</v>
      </c>
      <c r="G789" t="inlineStr">
        <is>
          <t>DEBITO</t>
        </is>
      </c>
      <c r="H789" t="inlineStr">
        <is>
          <t>Aurora Alvorada Estacionamento e Lanchon</t>
        </is>
      </c>
      <c r="I789" t="n">
        <v>-247.72</v>
      </c>
    </row>
    <row r="790">
      <c r="A790" t="n">
        <v>197504</v>
      </c>
      <c r="B790" t="n">
        <v>182</v>
      </c>
      <c r="C790" t="inlineStr">
        <is>
          <t>Love - Shibari - Kamino</t>
        </is>
      </c>
      <c r="D790" t="n">
        <v>128</v>
      </c>
      <c r="E790" t="inlineStr">
        <is>
          <t>Love Cabaret</t>
        </is>
      </c>
      <c r="F790" s="27" t="n">
        <v>45950</v>
      </c>
      <c r="G790" t="inlineStr">
        <is>
          <t>DEBITO</t>
        </is>
      </c>
      <c r="H790" t="inlineStr">
        <is>
          <t>Cepel Comercio de Papeis e Emb</t>
        </is>
      </c>
      <c r="I790" t="n">
        <v>-1266</v>
      </c>
    </row>
    <row r="791">
      <c r="A791" t="n">
        <v>197503</v>
      </c>
      <c r="B791" t="n">
        <v>182</v>
      </c>
      <c r="C791" t="inlineStr">
        <is>
          <t>Love - Shibari - Kamino</t>
        </is>
      </c>
      <c r="D791" t="n">
        <v>128</v>
      </c>
      <c r="E791" t="inlineStr">
        <is>
          <t>Love Cabaret</t>
        </is>
      </c>
      <c r="F791" s="27" t="n">
        <v>45950</v>
      </c>
      <c r="G791" t="inlineStr">
        <is>
          <t>DEBITO</t>
        </is>
      </c>
      <c r="H791" t="inlineStr">
        <is>
          <t>Ng27 Consultoria e Gestao Empr</t>
        </is>
      </c>
      <c r="I791" t="n">
        <v>-125.67</v>
      </c>
    </row>
    <row r="792">
      <c r="A792" t="n">
        <v>197502</v>
      </c>
      <c r="B792" t="n">
        <v>182</v>
      </c>
      <c r="C792" t="inlineStr">
        <is>
          <t>Love - Shibari - Kamino</t>
        </is>
      </c>
      <c r="D792" t="n">
        <v>128</v>
      </c>
      <c r="E792" t="inlineStr">
        <is>
          <t>Love Cabaret</t>
        </is>
      </c>
      <c r="F792" s="27" t="n">
        <v>45950</v>
      </c>
      <c r="G792" t="inlineStr">
        <is>
          <t>DEBITO</t>
        </is>
      </c>
      <c r="H792" t="inlineStr">
        <is>
          <t>Gomes D Elia Equipamentos de H</t>
        </is>
      </c>
      <c r="I792" t="n">
        <v>-551.14</v>
      </c>
    </row>
    <row r="793">
      <c r="A793" t="n">
        <v>197501</v>
      </c>
      <c r="B793" t="n">
        <v>182</v>
      </c>
      <c r="C793" t="inlineStr">
        <is>
          <t>Love - Shibari - Kamino</t>
        </is>
      </c>
      <c r="D793" t="n">
        <v>128</v>
      </c>
      <c r="E793" t="inlineStr">
        <is>
          <t>Love Cabaret</t>
        </is>
      </c>
      <c r="F793" s="27" t="n">
        <v>45950</v>
      </c>
      <c r="G793" t="inlineStr">
        <is>
          <t>DEBITO</t>
        </is>
      </c>
      <c r="H793" t="inlineStr">
        <is>
          <t>Brh Saude Ocupacional Ltda Epp</t>
        </is>
      </c>
      <c r="I793" t="n">
        <v>-43.6</v>
      </c>
    </row>
    <row r="794">
      <c r="A794" t="n">
        <v>197500</v>
      </c>
      <c r="B794" t="n">
        <v>182</v>
      </c>
      <c r="C794" t="inlineStr">
        <is>
          <t>Love - Shibari - Kamino</t>
        </is>
      </c>
      <c r="D794" t="n">
        <v>128</v>
      </c>
      <c r="E794" t="inlineStr">
        <is>
          <t>Love Cabaret</t>
        </is>
      </c>
      <c r="F794" s="27" t="n">
        <v>45950</v>
      </c>
      <c r="G794" t="inlineStr">
        <is>
          <t>DEBITO</t>
        </is>
      </c>
      <c r="H794" t="inlineStr">
        <is>
          <t>Proauto Industria Q Eireli</t>
        </is>
      </c>
      <c r="I794" t="n">
        <v>-382.69</v>
      </c>
    </row>
    <row r="795">
      <c r="A795" t="n">
        <v>197499</v>
      </c>
      <c r="B795" t="n">
        <v>182</v>
      </c>
      <c r="C795" t="inlineStr">
        <is>
          <t>Love - Shibari - Kamino</t>
        </is>
      </c>
      <c r="D795" t="n">
        <v>128</v>
      </c>
      <c r="E795" t="inlineStr">
        <is>
          <t>Love Cabaret</t>
        </is>
      </c>
      <c r="F795" s="27" t="n">
        <v>45950</v>
      </c>
      <c r="G795" t="inlineStr">
        <is>
          <t>DEBITO</t>
        </is>
      </c>
      <c r="H795" t="inlineStr">
        <is>
          <t>Cecilia Tsuyaco Araki Silva Ltda</t>
        </is>
      </c>
      <c r="I795" t="n">
        <v>-235.6</v>
      </c>
    </row>
    <row r="796">
      <c r="A796" t="n">
        <v>197498</v>
      </c>
      <c r="B796" t="n">
        <v>182</v>
      </c>
      <c r="C796" t="inlineStr">
        <is>
          <t>Love - Shibari - Kamino</t>
        </is>
      </c>
      <c r="D796" t="n">
        <v>128</v>
      </c>
      <c r="E796" t="inlineStr">
        <is>
          <t>Love Cabaret</t>
        </is>
      </c>
      <c r="F796" s="27" t="n">
        <v>45950</v>
      </c>
      <c r="G796" t="inlineStr">
        <is>
          <t>DEBITO</t>
        </is>
      </c>
      <c r="H796" t="inlineStr">
        <is>
          <t>Zahil Importadora Ltda</t>
        </is>
      </c>
      <c r="I796" t="n">
        <v>-647.95</v>
      </c>
    </row>
    <row r="797">
      <c r="A797" t="n">
        <v>197497</v>
      </c>
      <c r="B797" t="n">
        <v>182</v>
      </c>
      <c r="C797" t="inlineStr">
        <is>
          <t>Love - Shibari - Kamino</t>
        </is>
      </c>
      <c r="D797" t="n">
        <v>128</v>
      </c>
      <c r="E797" t="inlineStr">
        <is>
          <t>Love Cabaret</t>
        </is>
      </c>
      <c r="F797" s="27" t="n">
        <v>45950</v>
      </c>
      <c r="G797" t="inlineStr">
        <is>
          <t>DEBITO</t>
        </is>
      </c>
      <c r="H797" t="inlineStr">
        <is>
          <t>Comercial Dede</t>
        </is>
      </c>
      <c r="I797" t="n">
        <v>-577</v>
      </c>
    </row>
    <row r="798">
      <c r="A798" t="n">
        <v>197496</v>
      </c>
      <c r="B798" t="n">
        <v>182</v>
      </c>
      <c r="C798" t="inlineStr">
        <is>
          <t>Love - Shibari - Kamino</t>
        </is>
      </c>
      <c r="D798" t="n">
        <v>128</v>
      </c>
      <c r="E798" t="inlineStr">
        <is>
          <t>Love Cabaret</t>
        </is>
      </c>
      <c r="F798" s="27" t="n">
        <v>45950</v>
      </c>
      <c r="G798" t="inlineStr">
        <is>
          <t>DEBITO</t>
        </is>
      </c>
      <c r="H798" t="inlineStr">
        <is>
          <t>Paramu Comercio R P a Ltda</t>
        </is>
      </c>
      <c r="I798" t="n">
        <v>-103.95</v>
      </c>
    </row>
    <row r="799">
      <c r="A799" t="n">
        <v>197495</v>
      </c>
      <c r="B799" t="n">
        <v>182</v>
      </c>
      <c r="C799" t="inlineStr">
        <is>
          <t>Love - Shibari - Kamino</t>
        </is>
      </c>
      <c r="D799" t="n">
        <v>128</v>
      </c>
      <c r="E799" t="inlineStr">
        <is>
          <t>Love Cabaret</t>
        </is>
      </c>
      <c r="F799" s="27" t="n">
        <v>45950</v>
      </c>
      <c r="G799" t="inlineStr">
        <is>
          <t>DEBITO</t>
        </is>
      </c>
      <c r="H799" t="inlineStr">
        <is>
          <t>Cloroart Servicos e Comercio L</t>
        </is>
      </c>
      <c r="I799" t="n">
        <v>-1225</v>
      </c>
    </row>
    <row r="800">
      <c r="A800" t="n">
        <v>197493</v>
      </c>
      <c r="B800" t="n">
        <v>182</v>
      </c>
      <c r="C800" t="inlineStr">
        <is>
          <t>Love - Shibari - Kamino</t>
        </is>
      </c>
      <c r="D800" t="n">
        <v>128</v>
      </c>
      <c r="E800" t="inlineStr">
        <is>
          <t>Love Cabaret</t>
        </is>
      </c>
      <c r="F800" s="27" t="n">
        <v>45950</v>
      </c>
      <c r="G800" t="inlineStr">
        <is>
          <t>DEBITO</t>
        </is>
      </c>
      <c r="H800" t="inlineStr">
        <is>
          <t>Ministerio da Fazenda</t>
        </is>
      </c>
      <c r="I800" t="n">
        <v>-984.34</v>
      </c>
    </row>
    <row r="801">
      <c r="A801" t="n">
        <v>197052</v>
      </c>
      <c r="B801" t="n">
        <v>115</v>
      </c>
      <c r="C801" t="inlineStr">
        <is>
          <t>Love - Shibari - Bradesco</t>
        </is>
      </c>
      <c r="D801" t="n">
        <v>128</v>
      </c>
      <c r="E801" t="inlineStr">
        <is>
          <t>Love Cabaret</t>
        </is>
      </c>
      <c r="F801" s="27" t="n">
        <v>45947.5</v>
      </c>
      <c r="G801" t="inlineStr">
        <is>
          <t>DEBITO</t>
        </is>
      </c>
      <c r="H801" t="inlineStr">
        <is>
          <t>TARIFA BANCARIA TRANSF PGTO PIX</t>
        </is>
      </c>
      <c r="I801" t="n">
        <v>-9.800000000000001</v>
      </c>
    </row>
    <row r="802">
      <c r="A802" t="n">
        <v>197051</v>
      </c>
      <c r="B802" t="n">
        <v>115</v>
      </c>
      <c r="C802" t="inlineStr">
        <is>
          <t>Love - Shibari - Bradesco</t>
        </is>
      </c>
      <c r="D802" t="n">
        <v>128</v>
      </c>
      <c r="E802" t="inlineStr">
        <is>
          <t>Love Cabaret</t>
        </is>
      </c>
      <c r="F802" s="27" t="n">
        <v>45947.5</v>
      </c>
      <c r="G802" t="inlineStr">
        <is>
          <t>CREDITO</t>
        </is>
      </c>
      <c r="H802" t="inlineStr">
        <is>
          <t>TRANSFERENCIA PIX REM: Beatriz Oliveira de S 17/10</t>
        </is>
      </c>
      <c r="I802" t="n">
        <v>620</v>
      </c>
    </row>
    <row r="803">
      <c r="A803" t="n">
        <v>197050</v>
      </c>
      <c r="B803" t="n">
        <v>115</v>
      </c>
      <c r="C803" t="inlineStr">
        <is>
          <t>Love - Shibari - Bradesco</t>
        </is>
      </c>
      <c r="D803" t="n">
        <v>128</v>
      </c>
      <c r="E803" t="inlineStr">
        <is>
          <t>Love Cabaret</t>
        </is>
      </c>
      <c r="F803" s="27" t="n">
        <v>45947.5</v>
      </c>
      <c r="G803" t="inlineStr">
        <is>
          <t>CREDITO</t>
        </is>
      </c>
      <c r="H803" t="inlineStr">
        <is>
          <t>TRANSFERENCIA PIX REM: LUCIANA CANDIDA HABYA 17/10</t>
        </is>
      </c>
      <c r="I803" t="n">
        <v>620</v>
      </c>
    </row>
    <row r="804">
      <c r="A804" t="n">
        <v>197049</v>
      </c>
      <c r="B804" t="n">
        <v>115</v>
      </c>
      <c r="C804" t="inlineStr">
        <is>
          <t>Love - Shibari - Bradesco</t>
        </is>
      </c>
      <c r="D804" t="n">
        <v>128</v>
      </c>
      <c r="E804" t="inlineStr">
        <is>
          <t>Love Cabaret</t>
        </is>
      </c>
      <c r="F804" s="27" t="n">
        <v>45946.5</v>
      </c>
      <c r="G804" t="inlineStr">
        <is>
          <t>DEBITO</t>
        </is>
      </c>
      <c r="H804" t="inlineStr">
        <is>
          <t>PIX QR CODE ESTATICO DES: PIX Marketplace       16/10</t>
        </is>
      </c>
      <c r="I804" t="n">
        <v>-297.09</v>
      </c>
    </row>
    <row r="805">
      <c r="A805" t="n">
        <v>197047</v>
      </c>
      <c r="B805" t="n">
        <v>115</v>
      </c>
      <c r="C805" t="inlineStr">
        <is>
          <t>Love - Shibari - Bradesco</t>
        </is>
      </c>
      <c r="D805" t="n">
        <v>128</v>
      </c>
      <c r="E805" t="inlineStr">
        <is>
          <t>Love Cabaret</t>
        </is>
      </c>
      <c r="F805" s="27" t="n">
        <v>45946.5</v>
      </c>
      <c r="G805" t="inlineStr">
        <is>
          <t>CREDITO</t>
        </is>
      </c>
      <c r="H805" t="inlineStr">
        <is>
          <t>TRANSFERENCIA PIX REM: Ayslany Melo Rodrigue 16/10</t>
        </is>
      </c>
      <c r="I805" t="n">
        <v>620</v>
      </c>
    </row>
    <row r="806">
      <c r="A806" t="n">
        <v>197048</v>
      </c>
      <c r="B806" t="n">
        <v>115</v>
      </c>
      <c r="C806" t="inlineStr">
        <is>
          <t>Love - Shibari - Bradesco</t>
        </is>
      </c>
      <c r="D806" t="n">
        <v>128</v>
      </c>
      <c r="E806" t="inlineStr">
        <is>
          <t>Love Cabaret</t>
        </is>
      </c>
      <c r="F806" s="27" t="n">
        <v>45946.5</v>
      </c>
      <c r="G806" t="inlineStr">
        <is>
          <t>DEBITO</t>
        </is>
      </c>
      <c r="H806" t="inlineStr">
        <is>
          <t>PIX QR CODE ESTATICO DES: PIX Marketplace       16/10</t>
        </is>
      </c>
      <c r="I806" t="n">
        <v>-36.9</v>
      </c>
    </row>
    <row r="807">
      <c r="A807" t="n">
        <v>197046</v>
      </c>
      <c r="B807" t="n">
        <v>115</v>
      </c>
      <c r="C807" t="inlineStr">
        <is>
          <t>Love - Shibari - Bradesco</t>
        </is>
      </c>
      <c r="D807" t="n">
        <v>128</v>
      </c>
      <c r="E807" t="inlineStr">
        <is>
          <t>Love Cabaret</t>
        </is>
      </c>
      <c r="F807" s="27" t="n">
        <v>45945.5</v>
      </c>
      <c r="G807" t="inlineStr">
        <is>
          <t>DEBITO</t>
        </is>
      </c>
      <c r="H807" t="inlineStr">
        <is>
          <t>TRANSFERENCIA PIX DES: SHIBARI ART E DIVERSA 15/10</t>
        </is>
      </c>
      <c r="I807" t="n">
        <v>-30000</v>
      </c>
    </row>
    <row r="808">
      <c r="A808" t="n">
        <v>197045</v>
      </c>
      <c r="B808" t="n">
        <v>115</v>
      </c>
      <c r="C808" t="inlineStr">
        <is>
          <t>Love - Shibari - Bradesco</t>
        </is>
      </c>
      <c r="D808" t="n">
        <v>128</v>
      </c>
      <c r="E808" t="inlineStr">
        <is>
          <t>Love Cabaret</t>
        </is>
      </c>
      <c r="F808" s="27" t="n">
        <v>45945.5</v>
      </c>
      <c r="G808" t="inlineStr">
        <is>
          <t>DEBITO</t>
        </is>
      </c>
      <c r="H808" t="inlineStr">
        <is>
          <t>TARIFA BANCARIA TRANSF PGTO PIX</t>
        </is>
      </c>
      <c r="I808" t="n">
        <v>-9.800000000000001</v>
      </c>
    </row>
    <row r="809">
      <c r="A809" t="n">
        <v>197044</v>
      </c>
      <c r="B809" t="n">
        <v>115</v>
      </c>
      <c r="C809" t="inlineStr">
        <is>
          <t>Love - Shibari - Bradesco</t>
        </is>
      </c>
      <c r="D809" t="n">
        <v>128</v>
      </c>
      <c r="E809" t="inlineStr">
        <is>
          <t>Love Cabaret</t>
        </is>
      </c>
      <c r="F809" s="27" t="n">
        <v>45945.5</v>
      </c>
      <c r="G809" t="inlineStr">
        <is>
          <t>DEBITO</t>
        </is>
      </c>
      <c r="H809" t="inlineStr">
        <is>
          <t>TARIFA BANCARIA Max Empresarial 1</t>
        </is>
      </c>
      <c r="I809" t="n">
        <v>-177.05</v>
      </c>
    </row>
    <row r="810">
      <c r="A810" t="n">
        <v>197043</v>
      </c>
      <c r="B810" t="n">
        <v>115</v>
      </c>
      <c r="C810" t="inlineStr">
        <is>
          <t>Love - Shibari - Bradesco</t>
        </is>
      </c>
      <c r="D810" t="n">
        <v>128</v>
      </c>
      <c r="E810" t="inlineStr">
        <is>
          <t>Love Cabaret</t>
        </is>
      </c>
      <c r="F810" s="27" t="n">
        <v>45945.5</v>
      </c>
      <c r="G810" t="inlineStr">
        <is>
          <t>CREDITO</t>
        </is>
      </c>
      <c r="H810" t="inlineStr">
        <is>
          <t>TRANSFERENCIA PIX REM: J lia Moura Dias      15/10</t>
        </is>
      </c>
      <c r="I810" t="n">
        <v>620</v>
      </c>
    </row>
    <row r="811">
      <c r="A811" t="n">
        <v>197042</v>
      </c>
      <c r="B811" t="n">
        <v>115</v>
      </c>
      <c r="C811" t="inlineStr">
        <is>
          <t>Love - Shibari - Bradesco</t>
        </is>
      </c>
      <c r="D811" t="n">
        <v>128</v>
      </c>
      <c r="E811" t="inlineStr">
        <is>
          <t>Love Cabaret</t>
        </is>
      </c>
      <c r="F811" s="27" t="n">
        <v>45945.5</v>
      </c>
      <c r="G811" t="inlineStr">
        <is>
          <t>CREDITO</t>
        </is>
      </c>
      <c r="H811" t="inlineStr">
        <is>
          <t>TRANSFERENCIA PIX REM: KARENT LISETHE GALAN  15/10</t>
        </is>
      </c>
      <c r="I811" t="n">
        <v>620</v>
      </c>
    </row>
    <row r="812">
      <c r="A812" t="n">
        <v>197041</v>
      </c>
      <c r="B812" t="n">
        <v>115</v>
      </c>
      <c r="C812" t="inlineStr">
        <is>
          <t>Love - Shibari - Bradesco</t>
        </is>
      </c>
      <c r="D812" t="n">
        <v>128</v>
      </c>
      <c r="E812" t="inlineStr">
        <is>
          <t>Love Cabaret</t>
        </is>
      </c>
      <c r="F812" s="27" t="n">
        <v>45945.5</v>
      </c>
      <c r="G812" t="inlineStr">
        <is>
          <t>CREDITO</t>
        </is>
      </c>
      <c r="H812" t="inlineStr">
        <is>
          <t>TRANSFERENCIA PIX REM: JULIANA DE OLIVEIRA G 15/10</t>
        </is>
      </c>
      <c r="I812" t="n">
        <v>775</v>
      </c>
    </row>
    <row r="813">
      <c r="A813" t="n">
        <v>197040</v>
      </c>
      <c r="B813" t="n">
        <v>115</v>
      </c>
      <c r="C813" t="inlineStr">
        <is>
          <t>Love - Shibari - Bradesco</t>
        </is>
      </c>
      <c r="D813" t="n">
        <v>128</v>
      </c>
      <c r="E813" t="inlineStr">
        <is>
          <t>Love Cabaret</t>
        </is>
      </c>
      <c r="F813" s="27" t="n">
        <v>45945.5</v>
      </c>
      <c r="G813" t="inlineStr">
        <is>
          <t>CREDITO</t>
        </is>
      </c>
      <c r="H813" t="inlineStr">
        <is>
          <t>DEP DINHEIRO ATM AG00117MAQ061059SEQ02452</t>
        </is>
      </c>
      <c r="I813" t="n">
        <v>810</v>
      </c>
    </row>
    <row r="814">
      <c r="A814" t="n">
        <v>197039</v>
      </c>
      <c r="B814" t="n">
        <v>115</v>
      </c>
      <c r="C814" t="inlineStr">
        <is>
          <t>Love - Shibari - Bradesco</t>
        </is>
      </c>
      <c r="D814" t="n">
        <v>128</v>
      </c>
      <c r="E814" t="inlineStr">
        <is>
          <t>Love Cabaret</t>
        </is>
      </c>
      <c r="F814" s="27" t="n">
        <v>45945.5</v>
      </c>
      <c r="G814" t="inlineStr">
        <is>
          <t>CREDITO</t>
        </is>
      </c>
      <c r="H814" t="inlineStr">
        <is>
          <t>TED-TRANSF ELET DISPON REMET.SYMPLA INTERNET SOLU</t>
        </is>
      </c>
      <c r="I814" t="n">
        <v>10960</v>
      </c>
    </row>
    <row r="815">
      <c r="A815" t="n">
        <v>197038</v>
      </c>
      <c r="B815" t="n">
        <v>115</v>
      </c>
      <c r="C815" t="inlineStr">
        <is>
          <t>Love - Shibari - Bradesco</t>
        </is>
      </c>
      <c r="D815" t="n">
        <v>128</v>
      </c>
      <c r="E815" t="inlineStr">
        <is>
          <t>Love Cabaret</t>
        </is>
      </c>
      <c r="F815" s="27" t="n">
        <v>45945.5</v>
      </c>
      <c r="G815" t="inlineStr">
        <is>
          <t>CREDITO</t>
        </is>
      </c>
      <c r="H815" t="inlineStr">
        <is>
          <t>TED-TRANSF ELET DISPON REMET.SYMPLA INTERNET SOLU</t>
        </is>
      </c>
      <c r="I815" t="n">
        <v>10880</v>
      </c>
    </row>
    <row r="816">
      <c r="A816" t="n">
        <v>197037</v>
      </c>
      <c r="B816" t="n">
        <v>115</v>
      </c>
      <c r="C816" t="inlineStr">
        <is>
          <t>Love - Shibari - Bradesco</t>
        </is>
      </c>
      <c r="D816" t="n">
        <v>128</v>
      </c>
      <c r="E816" t="inlineStr">
        <is>
          <t>Love Cabaret</t>
        </is>
      </c>
      <c r="F816" s="27" t="n">
        <v>45945.5</v>
      </c>
      <c r="G816" t="inlineStr">
        <is>
          <t>CREDITO</t>
        </is>
      </c>
      <c r="H816" t="inlineStr">
        <is>
          <t>TED-TRANSF ELET DISPON REMET.Zig Tecnologia S.A.</t>
        </is>
      </c>
      <c r="I816" t="n">
        <v>16654.31</v>
      </c>
    </row>
    <row r="817">
      <c r="A817" t="n">
        <v>197464</v>
      </c>
      <c r="B817" t="n">
        <v>182</v>
      </c>
      <c r="C817" t="inlineStr">
        <is>
          <t>Love - Shibari - Kamino</t>
        </is>
      </c>
      <c r="D817" t="n">
        <v>128</v>
      </c>
      <c r="E817" t="inlineStr">
        <is>
          <t>Love Cabaret</t>
        </is>
      </c>
      <c r="F817" s="27" t="n">
        <v>45945</v>
      </c>
      <c r="G817" t="inlineStr">
        <is>
          <t>DEBITO</t>
        </is>
      </c>
      <c r="H817" t="inlineStr">
        <is>
          <t>Fabrica de Bares Servicos Ltda</t>
        </is>
      </c>
      <c r="I817" t="n">
        <v>-204.79</v>
      </c>
    </row>
    <row r="818">
      <c r="A818" t="n">
        <v>197475</v>
      </c>
      <c r="B818" t="n">
        <v>182</v>
      </c>
      <c r="C818" t="inlineStr">
        <is>
          <t>Love - Shibari - Kamino</t>
        </is>
      </c>
      <c r="D818" t="n">
        <v>128</v>
      </c>
      <c r="E818" t="inlineStr">
        <is>
          <t>Love Cabaret</t>
        </is>
      </c>
      <c r="F818" s="27" t="n">
        <v>45945</v>
      </c>
      <c r="G818" t="inlineStr">
        <is>
          <t>DEBITO</t>
        </is>
      </c>
      <c r="H818" t="inlineStr">
        <is>
          <t>Sao Paulo Tribunal de Justica</t>
        </is>
      </c>
      <c r="I818" t="n">
        <v>-200</v>
      </c>
    </row>
    <row r="819">
      <c r="A819" t="n">
        <v>197474</v>
      </c>
      <c r="B819" t="n">
        <v>182</v>
      </c>
      <c r="C819" t="inlineStr">
        <is>
          <t>Love - Shibari - Kamino</t>
        </is>
      </c>
      <c r="D819" t="n">
        <v>128</v>
      </c>
      <c r="E819" t="inlineStr">
        <is>
          <t>Love Cabaret</t>
        </is>
      </c>
      <c r="F819" s="27" t="n">
        <v>45945</v>
      </c>
      <c r="G819" t="inlineStr">
        <is>
          <t>DEBITO</t>
        </is>
      </c>
      <c r="H819" t="inlineStr">
        <is>
          <t>Dlocal Brasil I de Pagamentos</t>
        </is>
      </c>
      <c r="I819" t="n">
        <v>-9000</v>
      </c>
    </row>
    <row r="820">
      <c r="A820" t="n">
        <v>197473</v>
      </c>
      <c r="B820" t="n">
        <v>182</v>
      </c>
      <c r="C820" t="inlineStr">
        <is>
          <t>Love - Shibari - Kamino</t>
        </is>
      </c>
      <c r="D820" t="n">
        <v>128</v>
      </c>
      <c r="E820" t="inlineStr">
        <is>
          <t>Love Cabaret</t>
        </is>
      </c>
      <c r="F820" s="27" t="n">
        <v>45945</v>
      </c>
      <c r="G820" t="inlineStr">
        <is>
          <t>DEBITO</t>
        </is>
      </c>
      <c r="H820" t="inlineStr">
        <is>
          <t>King Comercio de Bebidas Ltda</t>
        </is>
      </c>
      <c r="I820" t="n">
        <v>-3364.92</v>
      </c>
    </row>
    <row r="821">
      <c r="A821" t="n">
        <v>197471</v>
      </c>
      <c r="B821" t="n">
        <v>182</v>
      </c>
      <c r="C821" t="inlineStr">
        <is>
          <t>Love - Shibari - Kamino</t>
        </is>
      </c>
      <c r="D821" t="n">
        <v>128</v>
      </c>
      <c r="E821" t="inlineStr">
        <is>
          <t>Love Cabaret</t>
        </is>
      </c>
      <c r="F821" s="27" t="n">
        <v>45945</v>
      </c>
      <c r="G821" t="inlineStr">
        <is>
          <t>DEBITO</t>
        </is>
      </c>
      <c r="H821" t="inlineStr">
        <is>
          <t>Kamino Processamento de Dados Ltda</t>
        </is>
      </c>
      <c r="I821" t="n">
        <v>-400</v>
      </c>
    </row>
    <row r="822">
      <c r="A822" t="n">
        <v>197472</v>
      </c>
      <c r="B822" t="n">
        <v>182</v>
      </c>
      <c r="C822" t="inlineStr">
        <is>
          <t>Love - Shibari - Kamino</t>
        </is>
      </c>
      <c r="D822" t="n">
        <v>128</v>
      </c>
      <c r="E822" t="inlineStr">
        <is>
          <t>Love Cabaret</t>
        </is>
      </c>
      <c r="F822" s="27" t="n">
        <v>45945</v>
      </c>
      <c r="G822" t="inlineStr">
        <is>
          <t>DEBITO</t>
        </is>
      </c>
      <c r="H822" t="inlineStr">
        <is>
          <t>Estaff Solucoes Tecnologicas de Agenciam</t>
        </is>
      </c>
      <c r="I822" t="n">
        <v>-14052.5</v>
      </c>
    </row>
    <row r="823">
      <c r="A823" t="n">
        <v>197463</v>
      </c>
      <c r="B823" t="n">
        <v>182</v>
      </c>
      <c r="C823" t="inlineStr">
        <is>
          <t>Love - Shibari - Kamino</t>
        </is>
      </c>
      <c r="D823" t="n">
        <v>128</v>
      </c>
      <c r="E823" t="inlineStr">
        <is>
          <t>Love Cabaret</t>
        </is>
      </c>
      <c r="F823" s="27" t="n">
        <v>45945</v>
      </c>
      <c r="G823" t="inlineStr">
        <is>
          <t>CREDITO</t>
        </is>
      </c>
      <c r="H823" t="inlineStr">
        <is>
          <t>SHIBARI ART E DIVERSAO LTDA</t>
        </is>
      </c>
      <c r="I823" t="n">
        <v>30000</v>
      </c>
    </row>
    <row r="824">
      <c r="A824" t="n">
        <v>197465</v>
      </c>
      <c r="B824" t="n">
        <v>182</v>
      </c>
      <c r="C824" t="inlineStr">
        <is>
          <t>Love - Shibari - Kamino</t>
        </is>
      </c>
      <c r="D824" t="n">
        <v>128</v>
      </c>
      <c r="E824" t="inlineStr">
        <is>
          <t>Love Cabaret</t>
        </is>
      </c>
      <c r="F824" s="27" t="n">
        <v>45945</v>
      </c>
      <c r="G824" t="inlineStr">
        <is>
          <t>DEBITO</t>
        </is>
      </c>
      <c r="H824" t="inlineStr">
        <is>
          <t>Porto Seguro Cia de Seguros Gerais</t>
        </is>
      </c>
      <c r="I824" t="n">
        <v>-46.35</v>
      </c>
    </row>
    <row r="825">
      <c r="A825" t="n">
        <v>197466</v>
      </c>
      <c r="B825" t="n">
        <v>182</v>
      </c>
      <c r="C825" t="inlineStr">
        <is>
          <t>Love - Shibari - Kamino</t>
        </is>
      </c>
      <c r="D825" t="n">
        <v>128</v>
      </c>
      <c r="E825" t="inlineStr">
        <is>
          <t>Love Cabaret</t>
        </is>
      </c>
      <c r="F825" s="27" t="n">
        <v>45945</v>
      </c>
      <c r="G825" t="inlineStr">
        <is>
          <t>DEBITO</t>
        </is>
      </c>
      <c r="H825" t="inlineStr">
        <is>
          <t>Fablab Inovacao S T Ltda</t>
        </is>
      </c>
      <c r="I825" t="n">
        <v>-389</v>
      </c>
    </row>
    <row r="826">
      <c r="A826" t="n">
        <v>197468</v>
      </c>
      <c r="B826" t="n">
        <v>182</v>
      </c>
      <c r="C826" t="inlineStr">
        <is>
          <t>Love - Shibari - Kamino</t>
        </is>
      </c>
      <c r="D826" t="n">
        <v>128</v>
      </c>
      <c r="E826" t="inlineStr">
        <is>
          <t>Love Cabaret</t>
        </is>
      </c>
      <c r="F826" s="27" t="n">
        <v>45945</v>
      </c>
      <c r="G826" t="inlineStr">
        <is>
          <t>DEBITO</t>
        </is>
      </c>
      <c r="H826" t="inlineStr">
        <is>
          <t>Proauto Industria Q Eireli</t>
        </is>
      </c>
      <c r="I826" t="n">
        <v>-2077.94</v>
      </c>
    </row>
    <row r="827">
      <c r="A827" t="n">
        <v>197469</v>
      </c>
      <c r="B827" t="n">
        <v>182</v>
      </c>
      <c r="C827" t="inlineStr">
        <is>
          <t>Love - Shibari - Kamino</t>
        </is>
      </c>
      <c r="D827" t="n">
        <v>128</v>
      </c>
      <c r="E827" t="inlineStr">
        <is>
          <t>Love Cabaret</t>
        </is>
      </c>
      <c r="F827" s="27" t="n">
        <v>45945</v>
      </c>
      <c r="G827" t="inlineStr">
        <is>
          <t>DEBITO</t>
        </is>
      </c>
      <c r="H827" t="inlineStr">
        <is>
          <t>Macro Contabilidade C Ltda</t>
        </is>
      </c>
      <c r="I827" t="n">
        <v>-3204.47</v>
      </c>
    </row>
    <row r="828">
      <c r="A828" t="n">
        <v>197467</v>
      </c>
      <c r="B828" t="n">
        <v>182</v>
      </c>
      <c r="C828" t="inlineStr">
        <is>
          <t>Love - Shibari - Kamino</t>
        </is>
      </c>
      <c r="D828" t="n">
        <v>128</v>
      </c>
      <c r="E828" t="inlineStr">
        <is>
          <t>Love Cabaret</t>
        </is>
      </c>
      <c r="F828" s="27" t="n">
        <v>45945</v>
      </c>
      <c r="G828" t="inlineStr">
        <is>
          <t>DEBITO</t>
        </is>
      </c>
      <c r="H828" t="inlineStr">
        <is>
          <t>Arena Bebidas</t>
        </is>
      </c>
      <c r="I828" t="n">
        <v>-762.26</v>
      </c>
    </row>
    <row r="829">
      <c r="A829" t="n">
        <v>197470</v>
      </c>
      <c r="B829" t="n">
        <v>182</v>
      </c>
      <c r="C829" t="inlineStr">
        <is>
          <t>Love - Shibari - Kamino</t>
        </is>
      </c>
      <c r="D829" t="n">
        <v>128</v>
      </c>
      <c r="E829" t="inlineStr">
        <is>
          <t>Love Cabaret</t>
        </is>
      </c>
      <c r="F829" s="27" t="n">
        <v>45945</v>
      </c>
      <c r="G829" t="inlineStr">
        <is>
          <t>DEBITO</t>
        </is>
      </c>
      <c r="H829" t="inlineStr">
        <is>
          <t>Cecilia Tsuyaco Araki Silva Ltda</t>
        </is>
      </c>
      <c r="I829" t="n">
        <v>-268.35</v>
      </c>
    </row>
    <row r="830">
      <c r="A830" t="n">
        <v>197036</v>
      </c>
      <c r="B830" t="n">
        <v>115</v>
      </c>
      <c r="C830" t="inlineStr">
        <is>
          <t>Love - Shibari - Bradesco</t>
        </is>
      </c>
      <c r="D830" t="n">
        <v>128</v>
      </c>
      <c r="E830" t="inlineStr">
        <is>
          <t>Love Cabaret</t>
        </is>
      </c>
      <c r="F830" s="27" t="n">
        <v>45944.5</v>
      </c>
      <c r="G830" t="inlineStr">
        <is>
          <t>CREDITO</t>
        </is>
      </c>
      <c r="H830" t="inlineStr">
        <is>
          <t>TRANSFERENCIA PIX REM: Caroline Teixeira Mul 14/10</t>
        </is>
      </c>
      <c r="I830" t="n">
        <v>620</v>
      </c>
    </row>
    <row r="831">
      <c r="A831" t="n">
        <v>197035</v>
      </c>
      <c r="B831" t="n">
        <v>115</v>
      </c>
      <c r="C831" t="inlineStr">
        <is>
          <t>Love - Shibari - Bradesco</t>
        </is>
      </c>
      <c r="D831" t="n">
        <v>128</v>
      </c>
      <c r="E831" t="inlineStr">
        <is>
          <t>Love Cabaret</t>
        </is>
      </c>
      <c r="F831" s="27" t="n">
        <v>45944.5</v>
      </c>
      <c r="G831" t="inlineStr">
        <is>
          <t>CREDITO</t>
        </is>
      </c>
      <c r="H831" t="inlineStr">
        <is>
          <t>TRANSFERENCIA PIX REM: Bianca Meneguci Barce 14/10</t>
        </is>
      </c>
      <c r="I831" t="n">
        <v>620</v>
      </c>
    </row>
    <row r="832">
      <c r="A832" t="n">
        <v>197034</v>
      </c>
      <c r="B832" t="n">
        <v>115</v>
      </c>
      <c r="C832" t="inlineStr">
        <is>
          <t>Love - Shibari - Bradesco</t>
        </is>
      </c>
      <c r="D832" t="n">
        <v>128</v>
      </c>
      <c r="E832" t="inlineStr">
        <is>
          <t>Love Cabaret</t>
        </is>
      </c>
      <c r="F832" s="27" t="n">
        <v>45944.5</v>
      </c>
      <c r="G832" t="inlineStr">
        <is>
          <t>CREDITO</t>
        </is>
      </c>
      <c r="H832" t="inlineStr">
        <is>
          <t>TRANSFERENCIA PIX REM: FERNANDO IVAN DE NADA 14/10</t>
        </is>
      </c>
      <c r="I832" t="n">
        <v>77.5</v>
      </c>
    </row>
    <row r="833">
      <c r="A833" t="n">
        <v>197033</v>
      </c>
      <c r="B833" t="n">
        <v>115</v>
      </c>
      <c r="C833" t="inlineStr">
        <is>
          <t>Love - Shibari - Bradesco</t>
        </is>
      </c>
      <c r="D833" t="n">
        <v>128</v>
      </c>
      <c r="E833" t="inlineStr">
        <is>
          <t>Love Cabaret</t>
        </is>
      </c>
      <c r="F833" s="27" t="n">
        <v>45944.5</v>
      </c>
      <c r="G833" t="inlineStr">
        <is>
          <t>CREDITO</t>
        </is>
      </c>
      <c r="H833" t="inlineStr">
        <is>
          <t>TED-TRANSF ELET DISPON REMET.LIRIUM INDUSTRIA E C</t>
        </is>
      </c>
      <c r="I833" t="n">
        <v>243</v>
      </c>
    </row>
    <row r="834">
      <c r="A834" t="n">
        <v>197462</v>
      </c>
      <c r="B834" t="n">
        <v>182</v>
      </c>
      <c r="C834" t="inlineStr">
        <is>
          <t>Love - Shibari - Kamino</t>
        </is>
      </c>
      <c r="D834" t="n">
        <v>128</v>
      </c>
      <c r="E834" t="inlineStr">
        <is>
          <t>Love Cabaret</t>
        </is>
      </c>
      <c r="F834" s="27" t="n">
        <v>45944</v>
      </c>
      <c r="G834" t="inlineStr">
        <is>
          <t>DEBITO</t>
        </is>
      </c>
      <c r="H834" t="inlineStr">
        <is>
          <t>Lumi Creamy</t>
        </is>
      </c>
      <c r="I834" t="n">
        <v>-394.86</v>
      </c>
    </row>
    <row r="835">
      <c r="A835" t="n">
        <v>197461</v>
      </c>
      <c r="B835" t="n">
        <v>182</v>
      </c>
      <c r="C835" t="inlineStr">
        <is>
          <t>Love - Shibari - Kamino</t>
        </is>
      </c>
      <c r="D835" t="n">
        <v>128</v>
      </c>
      <c r="E835" t="inlineStr">
        <is>
          <t>Love Cabaret</t>
        </is>
      </c>
      <c r="F835" s="27" t="n">
        <v>45944</v>
      </c>
      <c r="G835" t="inlineStr">
        <is>
          <t>DEBITO</t>
        </is>
      </c>
      <c r="H835" t="inlineStr">
        <is>
          <t>Extratech Servicos e Locacao de Equipamentos</t>
        </is>
      </c>
      <c r="I835" t="n">
        <v>-5000</v>
      </c>
    </row>
    <row r="836">
      <c r="A836" t="n">
        <v>197460</v>
      </c>
      <c r="B836" t="n">
        <v>182</v>
      </c>
      <c r="C836" t="inlineStr">
        <is>
          <t>Love - Shibari - Kamino</t>
        </is>
      </c>
      <c r="D836" t="n">
        <v>128</v>
      </c>
      <c r="E836" t="inlineStr">
        <is>
          <t>Love Cabaret</t>
        </is>
      </c>
      <c r="F836" s="27" t="n">
        <v>45944</v>
      </c>
      <c r="G836" t="inlineStr">
        <is>
          <t>DEBITO</t>
        </is>
      </c>
      <c r="H836" t="inlineStr">
        <is>
          <t>GOOGLE BRASIL INTERNET LTDA.</t>
        </is>
      </c>
      <c r="I836" t="n">
        <v>-3000</v>
      </c>
    </row>
    <row r="837">
      <c r="A837" t="n">
        <v>197032</v>
      </c>
      <c r="B837" t="n">
        <v>115</v>
      </c>
      <c r="C837" t="inlineStr">
        <is>
          <t>Love - Shibari - Bradesco</t>
        </is>
      </c>
      <c r="D837" t="n">
        <v>128</v>
      </c>
      <c r="E837" t="inlineStr">
        <is>
          <t>Love Cabaret</t>
        </is>
      </c>
      <c r="F837" s="27" t="n">
        <v>45943.5</v>
      </c>
      <c r="G837" t="inlineStr">
        <is>
          <t>DEBITO</t>
        </is>
      </c>
      <c r="H837" t="inlineStr">
        <is>
          <t>TRANSFERENCIA PIX DES: SHIBARI ART E DIVERSA 13/10</t>
        </is>
      </c>
      <c r="I837" t="n">
        <v>-35000</v>
      </c>
    </row>
    <row r="838">
      <c r="A838" t="n">
        <v>197030</v>
      </c>
      <c r="B838" t="n">
        <v>115</v>
      </c>
      <c r="C838" t="inlineStr">
        <is>
          <t>Love - Shibari - Bradesco</t>
        </is>
      </c>
      <c r="D838" t="n">
        <v>128</v>
      </c>
      <c r="E838" t="inlineStr">
        <is>
          <t>Love Cabaret</t>
        </is>
      </c>
      <c r="F838" s="27" t="n">
        <v>45943.5</v>
      </c>
      <c r="G838" t="inlineStr">
        <is>
          <t>CREDITO</t>
        </is>
      </c>
      <c r="H838" t="inlineStr">
        <is>
          <t>TED-TRANSF ELET DISPON REMET.Zig Tecnologia S.A.</t>
        </is>
      </c>
      <c r="I838" t="n">
        <v>40245.68</v>
      </c>
    </row>
    <row r="839">
      <c r="A839" t="n">
        <v>197031</v>
      </c>
      <c r="B839" t="n">
        <v>115</v>
      </c>
      <c r="C839" t="inlineStr">
        <is>
          <t>Love - Shibari - Bradesco</t>
        </is>
      </c>
      <c r="D839" t="n">
        <v>128</v>
      </c>
      <c r="E839" t="inlineStr">
        <is>
          <t>Love Cabaret</t>
        </is>
      </c>
      <c r="F839" s="27" t="n">
        <v>45943.5</v>
      </c>
      <c r="G839" t="inlineStr">
        <is>
          <t>DEBITO</t>
        </is>
      </c>
      <c r="H839" t="inlineStr">
        <is>
          <t>TARIFA BANCARIA TRANSF PGTO PIX</t>
        </is>
      </c>
      <c r="I839" t="n">
        <v>-9.800000000000001</v>
      </c>
    </row>
    <row r="840">
      <c r="A840" t="n">
        <v>197448</v>
      </c>
      <c r="B840" t="n">
        <v>182</v>
      </c>
      <c r="C840" t="inlineStr">
        <is>
          <t>Love - Shibari - Kamino</t>
        </is>
      </c>
      <c r="D840" t="n">
        <v>128</v>
      </c>
      <c r="E840" t="inlineStr">
        <is>
          <t>Love Cabaret</t>
        </is>
      </c>
      <c r="F840" s="27" t="n">
        <v>45943</v>
      </c>
      <c r="G840" t="inlineStr">
        <is>
          <t>DEBITO</t>
        </is>
      </c>
      <c r="H840" t="inlineStr">
        <is>
          <t>Proauto Industria Q Eireli</t>
        </is>
      </c>
      <c r="I840" t="n">
        <v>-946.05</v>
      </c>
    </row>
    <row r="841">
      <c r="A841" t="n">
        <v>197447</v>
      </c>
      <c r="B841" t="n">
        <v>182</v>
      </c>
      <c r="C841" t="inlineStr">
        <is>
          <t>Love - Shibari - Kamino</t>
        </is>
      </c>
      <c r="D841" t="n">
        <v>128</v>
      </c>
      <c r="E841" t="inlineStr">
        <is>
          <t>Love Cabaret</t>
        </is>
      </c>
      <c r="F841" s="27" t="n">
        <v>45943</v>
      </c>
      <c r="G841" t="inlineStr">
        <is>
          <t>DEBITO</t>
        </is>
      </c>
      <c r="H841" t="inlineStr">
        <is>
          <t>Dtk Comercio de Alimentos Ltda Epp</t>
        </is>
      </c>
      <c r="I841" t="n">
        <v>-695.04</v>
      </c>
    </row>
    <row r="842">
      <c r="A842" t="n">
        <v>197446</v>
      </c>
      <c r="B842" t="n">
        <v>182</v>
      </c>
      <c r="C842" t="inlineStr">
        <is>
          <t>Love - Shibari - Kamino</t>
        </is>
      </c>
      <c r="D842" t="n">
        <v>128</v>
      </c>
      <c r="E842" t="inlineStr">
        <is>
          <t>Love Cabaret</t>
        </is>
      </c>
      <c r="F842" s="27" t="n">
        <v>45943</v>
      </c>
      <c r="G842" t="inlineStr">
        <is>
          <t>DEBITO</t>
        </is>
      </c>
      <c r="H842" t="inlineStr">
        <is>
          <t>Headchef Assessoria de Seguranca dos Ali</t>
        </is>
      </c>
      <c r="I842" t="n">
        <v>-891.0599999999999</v>
      </c>
    </row>
    <row r="843">
      <c r="A843" t="n">
        <v>197445</v>
      </c>
      <c r="B843" t="n">
        <v>182</v>
      </c>
      <c r="C843" t="inlineStr">
        <is>
          <t>Love - Shibari - Kamino</t>
        </is>
      </c>
      <c r="D843" t="n">
        <v>128</v>
      </c>
      <c r="E843" t="inlineStr">
        <is>
          <t>Love Cabaret</t>
        </is>
      </c>
      <c r="F843" s="27" t="n">
        <v>45943</v>
      </c>
      <c r="G843" t="inlineStr">
        <is>
          <t>DEBITO</t>
        </is>
      </c>
      <c r="H843" t="inlineStr">
        <is>
          <t>Felipe Ferreira Franca 36496185832</t>
        </is>
      </c>
      <c r="I843" t="n">
        <v>-17.45</v>
      </c>
    </row>
    <row r="844">
      <c r="A844" t="n">
        <v>197444</v>
      </c>
      <c r="B844" t="n">
        <v>182</v>
      </c>
      <c r="C844" t="inlineStr">
        <is>
          <t>Love - Shibari - Kamino</t>
        </is>
      </c>
      <c r="D844" t="n">
        <v>128</v>
      </c>
      <c r="E844" t="inlineStr">
        <is>
          <t>Love Cabaret</t>
        </is>
      </c>
      <c r="F844" s="27" t="n">
        <v>45943</v>
      </c>
      <c r="G844" t="inlineStr">
        <is>
          <t>DEBITO</t>
        </is>
      </c>
      <c r="H844" t="inlineStr">
        <is>
          <t>Hnk Br Bebidas Ltda</t>
        </is>
      </c>
      <c r="I844" t="n">
        <v>-779.62</v>
      </c>
    </row>
    <row r="845">
      <c r="A845" t="n">
        <v>197443</v>
      </c>
      <c r="B845" t="n">
        <v>182</v>
      </c>
      <c r="C845" t="inlineStr">
        <is>
          <t>Love - Shibari - Kamino</t>
        </is>
      </c>
      <c r="D845" t="n">
        <v>128</v>
      </c>
      <c r="E845" t="inlineStr">
        <is>
          <t>Love Cabaret</t>
        </is>
      </c>
      <c r="F845" s="27" t="n">
        <v>45943</v>
      </c>
      <c r="G845" t="inlineStr">
        <is>
          <t>DEBITO</t>
        </is>
      </c>
      <c r="H845" t="inlineStr">
        <is>
          <t>55.866.682 Mateus Silveira Cezar</t>
        </is>
      </c>
      <c r="I845" t="n">
        <v>-1800</v>
      </c>
    </row>
    <row r="846">
      <c r="A846" t="n">
        <v>197442</v>
      </c>
      <c r="B846" t="n">
        <v>182</v>
      </c>
      <c r="C846" t="inlineStr">
        <is>
          <t>Love - Shibari - Kamino</t>
        </is>
      </c>
      <c r="D846" t="n">
        <v>128</v>
      </c>
      <c r="E846" t="inlineStr">
        <is>
          <t>Love Cabaret</t>
        </is>
      </c>
      <c r="F846" s="27" t="n">
        <v>45943</v>
      </c>
      <c r="G846" t="inlineStr">
        <is>
          <t>DEBITO</t>
        </is>
      </c>
      <c r="H846" t="inlineStr">
        <is>
          <t>Machine Seguranca Patrimonial Ltda</t>
        </is>
      </c>
      <c r="I846" t="n">
        <v>-4636.95</v>
      </c>
    </row>
    <row r="847">
      <c r="A847" t="n">
        <v>197441</v>
      </c>
      <c r="B847" t="n">
        <v>182</v>
      </c>
      <c r="C847" t="inlineStr">
        <is>
          <t>Love - Shibari - Kamino</t>
        </is>
      </c>
      <c r="D847" t="n">
        <v>128</v>
      </c>
      <c r="E847" t="inlineStr">
        <is>
          <t>Love Cabaret</t>
        </is>
      </c>
      <c r="F847" s="27" t="n">
        <v>45943</v>
      </c>
      <c r="G847" t="inlineStr">
        <is>
          <t>DEBITO</t>
        </is>
      </c>
      <c r="H847" t="inlineStr">
        <is>
          <t>Aurora Alvorada Estacionamento e Lanchon</t>
        </is>
      </c>
      <c r="I847" t="n">
        <v>-231.18</v>
      </c>
    </row>
    <row r="848">
      <c r="A848" t="n">
        <v>197440</v>
      </c>
      <c r="B848" t="n">
        <v>182</v>
      </c>
      <c r="C848" t="inlineStr">
        <is>
          <t>Love - Shibari - Kamino</t>
        </is>
      </c>
      <c r="D848" t="n">
        <v>128</v>
      </c>
      <c r="E848" t="inlineStr">
        <is>
          <t>Love Cabaret</t>
        </is>
      </c>
      <c r="F848" s="27" t="n">
        <v>45943</v>
      </c>
      <c r="G848" t="inlineStr">
        <is>
          <t>DEBITO</t>
        </is>
      </c>
      <c r="H848" t="inlineStr">
        <is>
          <t>Dudom</t>
        </is>
      </c>
      <c r="I848" t="n">
        <v>-3583.1</v>
      </c>
    </row>
    <row r="849">
      <c r="A849" t="n">
        <v>197439</v>
      </c>
      <c r="B849" t="n">
        <v>182</v>
      </c>
      <c r="C849" t="inlineStr">
        <is>
          <t>Love - Shibari - Kamino</t>
        </is>
      </c>
      <c r="D849" t="n">
        <v>128</v>
      </c>
      <c r="E849" t="inlineStr">
        <is>
          <t>Love Cabaret</t>
        </is>
      </c>
      <c r="F849" s="27" t="n">
        <v>45943</v>
      </c>
      <c r="G849" t="inlineStr">
        <is>
          <t>DEBITO</t>
        </is>
      </c>
      <c r="H849" t="inlineStr">
        <is>
          <t>Psss Ltda</t>
        </is>
      </c>
      <c r="I849" t="n">
        <v>-778.95</v>
      </c>
    </row>
    <row r="850">
      <c r="A850" t="n">
        <v>197438</v>
      </c>
      <c r="B850" t="n">
        <v>182</v>
      </c>
      <c r="C850" t="inlineStr">
        <is>
          <t>Love - Shibari - Kamino</t>
        </is>
      </c>
      <c r="D850" t="n">
        <v>128</v>
      </c>
      <c r="E850" t="inlineStr">
        <is>
          <t>Love Cabaret</t>
        </is>
      </c>
      <c r="F850" s="27" t="n">
        <v>45943</v>
      </c>
      <c r="G850" t="inlineStr">
        <is>
          <t>CREDITO</t>
        </is>
      </c>
      <c r="H850" t="inlineStr">
        <is>
          <t>SHIBARI ART E DIVERSAO LTDA</t>
        </is>
      </c>
      <c r="I850" t="n">
        <v>35000</v>
      </c>
    </row>
    <row r="851">
      <c r="A851" t="n">
        <v>197450</v>
      </c>
      <c r="B851" t="n">
        <v>182</v>
      </c>
      <c r="C851" t="inlineStr">
        <is>
          <t>Love - Shibari - Kamino</t>
        </is>
      </c>
      <c r="D851" t="n">
        <v>128</v>
      </c>
      <c r="E851" t="inlineStr">
        <is>
          <t>Love Cabaret</t>
        </is>
      </c>
      <c r="F851" s="27" t="n">
        <v>45943</v>
      </c>
      <c r="G851" t="inlineStr">
        <is>
          <t>DEBITO</t>
        </is>
      </c>
      <c r="H851" t="inlineStr">
        <is>
          <t>Cecilia Tsuyaco Araki Silva Ltda</t>
        </is>
      </c>
      <c r="I851" t="n">
        <v>-111.3</v>
      </c>
    </row>
    <row r="852">
      <c r="A852" t="n">
        <v>197451</v>
      </c>
      <c r="B852" t="n">
        <v>182</v>
      </c>
      <c r="C852" t="inlineStr">
        <is>
          <t>Love - Shibari - Kamino</t>
        </is>
      </c>
      <c r="D852" t="n">
        <v>128</v>
      </c>
      <c r="E852" t="inlineStr">
        <is>
          <t>Love Cabaret</t>
        </is>
      </c>
      <c r="F852" s="27" t="n">
        <v>45943</v>
      </c>
      <c r="G852" t="inlineStr">
        <is>
          <t>DEBITO</t>
        </is>
      </c>
      <c r="H852" t="inlineStr">
        <is>
          <t>Dist Carnes Cant Ltda Epp</t>
        </is>
      </c>
      <c r="I852" t="n">
        <v>-178.2</v>
      </c>
    </row>
    <row r="853">
      <c r="A853" t="n">
        <v>197452</v>
      </c>
      <c r="B853" t="n">
        <v>182</v>
      </c>
      <c r="C853" t="inlineStr">
        <is>
          <t>Love - Shibari - Kamino</t>
        </is>
      </c>
      <c r="D853" t="n">
        <v>128</v>
      </c>
      <c r="E853" t="inlineStr">
        <is>
          <t>Love Cabaret</t>
        </is>
      </c>
      <c r="F853" s="27" t="n">
        <v>45943</v>
      </c>
      <c r="G853" t="inlineStr">
        <is>
          <t>DEBITO</t>
        </is>
      </c>
      <c r="H853" t="inlineStr">
        <is>
          <t>W P P C Carnes Eireli Epp</t>
        </is>
      </c>
      <c r="I853" t="n">
        <v>-509.16</v>
      </c>
    </row>
    <row r="854">
      <c r="A854" t="n">
        <v>197453</v>
      </c>
      <c r="B854" t="n">
        <v>182</v>
      </c>
      <c r="C854" t="inlineStr">
        <is>
          <t>Love - Shibari - Kamino</t>
        </is>
      </c>
      <c r="D854" t="n">
        <v>128</v>
      </c>
      <c r="E854" t="inlineStr">
        <is>
          <t>Love Cabaret</t>
        </is>
      </c>
      <c r="F854" s="27" t="n">
        <v>45943</v>
      </c>
      <c r="G854" t="inlineStr">
        <is>
          <t>DEBITO</t>
        </is>
      </c>
      <c r="H854" t="inlineStr">
        <is>
          <t>Zoop Brasil</t>
        </is>
      </c>
      <c r="I854" t="n">
        <v>-374.56</v>
      </c>
    </row>
    <row r="855">
      <c r="A855" t="n">
        <v>197454</v>
      </c>
      <c r="B855" t="n">
        <v>182</v>
      </c>
      <c r="C855" t="inlineStr">
        <is>
          <t>Love - Shibari - Kamino</t>
        </is>
      </c>
      <c r="D855" t="n">
        <v>128</v>
      </c>
      <c r="E855" t="inlineStr">
        <is>
          <t>Love Cabaret</t>
        </is>
      </c>
      <c r="F855" s="27" t="n">
        <v>45943</v>
      </c>
      <c r="G855" t="inlineStr">
        <is>
          <t>DEBITO</t>
        </is>
      </c>
      <c r="H855" t="inlineStr">
        <is>
          <t>Storm Comercio de Alimentos e Bebidas Lt</t>
        </is>
      </c>
      <c r="I855" t="n">
        <v>-1453.22</v>
      </c>
    </row>
    <row r="856">
      <c r="A856" t="n">
        <v>197455</v>
      </c>
      <c r="B856" t="n">
        <v>182</v>
      </c>
      <c r="C856" t="inlineStr">
        <is>
          <t>Love - Shibari - Kamino</t>
        </is>
      </c>
      <c r="D856" t="n">
        <v>128</v>
      </c>
      <c r="E856" t="inlineStr">
        <is>
          <t>Love Cabaret</t>
        </is>
      </c>
      <c r="F856" s="27" t="n">
        <v>45943</v>
      </c>
      <c r="G856" t="inlineStr">
        <is>
          <t>DEBITO</t>
        </is>
      </c>
      <c r="H856" t="inlineStr">
        <is>
          <t>Wide Stock com e Rep Ltda</t>
        </is>
      </c>
      <c r="I856" t="n">
        <v>-415.8</v>
      </c>
    </row>
    <row r="857">
      <c r="A857" t="n">
        <v>197456</v>
      </c>
      <c r="B857" t="n">
        <v>182</v>
      </c>
      <c r="C857" t="inlineStr">
        <is>
          <t>Love - Shibari - Kamino</t>
        </is>
      </c>
      <c r="D857" t="n">
        <v>128</v>
      </c>
      <c r="E857" t="inlineStr">
        <is>
          <t>Love Cabaret</t>
        </is>
      </c>
      <c r="F857" s="27" t="n">
        <v>45943</v>
      </c>
      <c r="G857" t="inlineStr">
        <is>
          <t>DEBITO</t>
        </is>
      </c>
      <c r="H857" t="inlineStr">
        <is>
          <t>Cem Engenharia da Manutencao L</t>
        </is>
      </c>
      <c r="I857" t="n">
        <v>-6601.38</v>
      </c>
    </row>
    <row r="858">
      <c r="A858" t="n">
        <v>197457</v>
      </c>
      <c r="B858" t="n">
        <v>182</v>
      </c>
      <c r="C858" t="inlineStr">
        <is>
          <t>Love - Shibari - Kamino</t>
        </is>
      </c>
      <c r="D858" t="n">
        <v>128</v>
      </c>
      <c r="E858" t="inlineStr">
        <is>
          <t>Love Cabaret</t>
        </is>
      </c>
      <c r="F858" s="27" t="n">
        <v>45943</v>
      </c>
      <c r="G858" t="inlineStr">
        <is>
          <t>DEBITO</t>
        </is>
      </c>
      <c r="H858" t="inlineStr">
        <is>
          <t>Preshh Aluguel de Maquinas Ltda</t>
        </is>
      </c>
      <c r="I858" t="n">
        <v>-198</v>
      </c>
    </row>
    <row r="859">
      <c r="A859" t="n">
        <v>197458</v>
      </c>
      <c r="B859" t="n">
        <v>182</v>
      </c>
      <c r="C859" t="inlineStr">
        <is>
          <t>Love - Shibari - Kamino</t>
        </is>
      </c>
      <c r="D859" t="n">
        <v>128</v>
      </c>
      <c r="E859" t="inlineStr">
        <is>
          <t>Love Cabaret</t>
        </is>
      </c>
      <c r="F859" s="27" t="n">
        <v>45943</v>
      </c>
      <c r="G859" t="inlineStr">
        <is>
          <t>DEBITO</t>
        </is>
      </c>
      <c r="H859" t="inlineStr">
        <is>
          <t>Cia do Whisky</t>
        </is>
      </c>
      <c r="I859" t="n">
        <v>-1007.93</v>
      </c>
    </row>
    <row r="860">
      <c r="A860" t="n">
        <v>197459</v>
      </c>
      <c r="B860" t="n">
        <v>182</v>
      </c>
      <c r="C860" t="inlineStr">
        <is>
          <t>Love - Shibari - Kamino</t>
        </is>
      </c>
      <c r="D860" t="n">
        <v>128</v>
      </c>
      <c r="E860" t="inlineStr">
        <is>
          <t>Love Cabaret</t>
        </is>
      </c>
      <c r="F860" s="27" t="n">
        <v>45943</v>
      </c>
      <c r="G860" t="inlineStr">
        <is>
          <t>DEBITO</t>
        </is>
      </c>
      <c r="H860" t="inlineStr">
        <is>
          <t>Jose Cassio Prevedel Sistemas</t>
        </is>
      </c>
      <c r="I860" t="n">
        <v>-400</v>
      </c>
    </row>
    <row r="861">
      <c r="A861" t="n">
        <v>197449</v>
      </c>
      <c r="B861" t="n">
        <v>182</v>
      </c>
      <c r="C861" t="inlineStr">
        <is>
          <t>Love - Shibari - Kamino</t>
        </is>
      </c>
      <c r="D861" t="n">
        <v>128</v>
      </c>
      <c r="E861" t="inlineStr">
        <is>
          <t>Love Cabaret</t>
        </is>
      </c>
      <c r="F861" s="27" t="n">
        <v>45943</v>
      </c>
      <c r="G861" t="inlineStr">
        <is>
          <t>DEBITO</t>
        </is>
      </c>
      <c r="H861" t="inlineStr">
        <is>
          <t>Mario Pedro Feliciano Hortifru</t>
        </is>
      </c>
      <c r="I861" t="n">
        <v>-145.78</v>
      </c>
    </row>
    <row r="862">
      <c r="A862" t="n">
        <v>197029</v>
      </c>
      <c r="B862" t="n">
        <v>115</v>
      </c>
      <c r="C862" t="inlineStr">
        <is>
          <t>Love - Shibari - Bradesco</t>
        </is>
      </c>
      <c r="D862" t="n">
        <v>128</v>
      </c>
      <c r="E862" t="inlineStr">
        <is>
          <t>Love Cabaret</t>
        </is>
      </c>
      <c r="F862" s="27" t="n">
        <v>45940.5</v>
      </c>
      <c r="G862" t="inlineStr">
        <is>
          <t>DEBITO</t>
        </is>
      </c>
      <c r="H862" t="inlineStr">
        <is>
          <t>TARIFA BANCARIA TRANSF PGTO PIX</t>
        </is>
      </c>
      <c r="I862" t="n">
        <v>-9.800000000000001</v>
      </c>
    </row>
    <row r="863">
      <c r="A863" t="n">
        <v>197028</v>
      </c>
      <c r="B863" t="n">
        <v>115</v>
      </c>
      <c r="C863" t="inlineStr">
        <is>
          <t>Love - Shibari - Bradesco</t>
        </is>
      </c>
      <c r="D863" t="n">
        <v>128</v>
      </c>
      <c r="E863" t="inlineStr">
        <is>
          <t>Love Cabaret</t>
        </is>
      </c>
      <c r="F863" s="27" t="n">
        <v>45940.5</v>
      </c>
      <c r="G863" t="inlineStr">
        <is>
          <t>CREDITO</t>
        </is>
      </c>
      <c r="H863" t="inlineStr">
        <is>
          <t>TRANSFERENCIA PIX REM: Giulia Pavan de Castr 10/10</t>
        </is>
      </c>
      <c r="I863" t="n">
        <v>77.5</v>
      </c>
    </row>
    <row r="864">
      <c r="A864" t="n">
        <v>197027</v>
      </c>
      <c r="B864" t="n">
        <v>115</v>
      </c>
      <c r="C864" t="inlineStr">
        <is>
          <t>Love - Shibari - Bradesco</t>
        </is>
      </c>
      <c r="D864" t="n">
        <v>128</v>
      </c>
      <c r="E864" t="inlineStr">
        <is>
          <t>Love Cabaret</t>
        </is>
      </c>
      <c r="F864" s="27" t="n">
        <v>45940.5</v>
      </c>
      <c r="G864" t="inlineStr">
        <is>
          <t>CREDITO</t>
        </is>
      </c>
      <c r="H864" t="inlineStr">
        <is>
          <t>TRANSFERENCIA PIX REM: PAVAN COMERCIO DE SOR 10/10</t>
        </is>
      </c>
      <c r="I864" t="n">
        <v>1240</v>
      </c>
    </row>
    <row r="865">
      <c r="A865" t="n">
        <v>197026</v>
      </c>
      <c r="B865" t="n">
        <v>115</v>
      </c>
      <c r="C865" t="inlineStr">
        <is>
          <t>Love - Shibari - Bradesco</t>
        </is>
      </c>
      <c r="D865" t="n">
        <v>128</v>
      </c>
      <c r="E865" t="inlineStr">
        <is>
          <t>Love Cabaret</t>
        </is>
      </c>
      <c r="F865" s="27" t="n">
        <v>45940.5</v>
      </c>
      <c r="G865" t="inlineStr">
        <is>
          <t>CREDITO</t>
        </is>
      </c>
      <c r="H865" t="inlineStr">
        <is>
          <t>TED-TRANSF ELET DISPON REMET.LOVE SUITES LTDA</t>
        </is>
      </c>
      <c r="I865" t="n">
        <v>31634.64</v>
      </c>
    </row>
    <row r="866">
      <c r="A866" t="n">
        <v>197025</v>
      </c>
      <c r="B866" t="n">
        <v>115</v>
      </c>
      <c r="C866" t="inlineStr">
        <is>
          <t>Love - Shibari - Bradesco</t>
        </is>
      </c>
      <c r="D866" t="n">
        <v>128</v>
      </c>
      <c r="E866" t="inlineStr">
        <is>
          <t>Love Cabaret</t>
        </is>
      </c>
      <c r="F866" s="27" t="n">
        <v>45940.5</v>
      </c>
      <c r="G866" t="inlineStr">
        <is>
          <t>CREDITO</t>
        </is>
      </c>
      <c r="H866" t="inlineStr">
        <is>
          <t>TED-TRANSF ELET DISPON REMET.LOVE SUITES LTDA</t>
        </is>
      </c>
      <c r="I866" t="n">
        <v>2953.14</v>
      </c>
    </row>
    <row r="867">
      <c r="A867" t="n">
        <v>197024</v>
      </c>
      <c r="B867" t="n">
        <v>115</v>
      </c>
      <c r="C867" t="inlineStr">
        <is>
          <t>Love - Shibari - Bradesco</t>
        </is>
      </c>
      <c r="D867" t="n">
        <v>128</v>
      </c>
      <c r="E867" t="inlineStr">
        <is>
          <t>Love Cabaret</t>
        </is>
      </c>
      <c r="F867" s="27" t="n">
        <v>45939.5</v>
      </c>
      <c r="G867" t="inlineStr">
        <is>
          <t>DEBITO</t>
        </is>
      </c>
      <c r="H867" t="inlineStr">
        <is>
          <t>TRANSFERENCIA PIX DES: SHIBARI ART E DIVERSA 09/10</t>
        </is>
      </c>
      <c r="I867" t="n">
        <v>-4000</v>
      </c>
    </row>
    <row r="868">
      <c r="A868" t="n">
        <v>197023</v>
      </c>
      <c r="B868" t="n">
        <v>115</v>
      </c>
      <c r="C868" t="inlineStr">
        <is>
          <t>Love - Shibari - Bradesco</t>
        </is>
      </c>
      <c r="D868" t="n">
        <v>128</v>
      </c>
      <c r="E868" t="inlineStr">
        <is>
          <t>Love Cabaret</t>
        </is>
      </c>
      <c r="F868" s="27" t="n">
        <v>45939.5</v>
      </c>
      <c r="G868" t="inlineStr">
        <is>
          <t>DEBITO</t>
        </is>
      </c>
      <c r="H868" t="inlineStr">
        <is>
          <t>TARIFA BANCARIA TRANSF PGTO PIX</t>
        </is>
      </c>
      <c r="I868" t="n">
        <v>-9.800000000000001</v>
      </c>
    </row>
    <row r="869">
      <c r="A869" t="n">
        <v>197022</v>
      </c>
      <c r="B869" t="n">
        <v>115</v>
      </c>
      <c r="C869" t="inlineStr">
        <is>
          <t>Love - Shibari - Bradesco</t>
        </is>
      </c>
      <c r="D869" t="n">
        <v>128</v>
      </c>
      <c r="E869" t="inlineStr">
        <is>
          <t>Love Cabaret</t>
        </is>
      </c>
      <c r="F869" s="27" t="n">
        <v>45939.5</v>
      </c>
      <c r="G869" t="inlineStr">
        <is>
          <t>DEBITO</t>
        </is>
      </c>
      <c r="H869" t="inlineStr">
        <is>
          <t>TARIFA BANCARIA TRANSF PGTO PIX</t>
        </is>
      </c>
      <c r="I869" t="n">
        <v>-9.800000000000001</v>
      </c>
    </row>
    <row r="870">
      <c r="A870" t="n">
        <v>197437</v>
      </c>
      <c r="B870" t="n">
        <v>182</v>
      </c>
      <c r="C870" t="inlineStr">
        <is>
          <t>Love - Shibari - Kamino</t>
        </is>
      </c>
      <c r="D870" t="n">
        <v>128</v>
      </c>
      <c r="E870" t="inlineStr">
        <is>
          <t>Love Cabaret</t>
        </is>
      </c>
      <c r="F870" s="27" t="n">
        <v>45939</v>
      </c>
      <c r="G870" t="inlineStr">
        <is>
          <t>DEBITO</t>
        </is>
      </c>
      <c r="H870" t="inlineStr">
        <is>
          <t>Ministerio da Fazenda</t>
        </is>
      </c>
      <c r="I870" t="n">
        <v>-180.72</v>
      </c>
    </row>
    <row r="871">
      <c r="A871" t="n">
        <v>197435</v>
      </c>
      <c r="B871" t="n">
        <v>182</v>
      </c>
      <c r="C871" t="inlineStr">
        <is>
          <t>Love - Shibari - Kamino</t>
        </is>
      </c>
      <c r="D871" t="n">
        <v>128</v>
      </c>
      <c r="E871" t="inlineStr">
        <is>
          <t>Love Cabaret</t>
        </is>
      </c>
      <c r="F871" s="27" t="n">
        <v>45939</v>
      </c>
      <c r="G871" t="inlineStr">
        <is>
          <t>CREDITO</t>
        </is>
      </c>
      <c r="H871" t="inlineStr">
        <is>
          <t>SHIBARI ART E DIVERSAO LTDA</t>
        </is>
      </c>
      <c r="I871" t="n">
        <v>4000</v>
      </c>
    </row>
    <row r="872">
      <c r="A872" t="n">
        <v>197436</v>
      </c>
      <c r="B872" t="n">
        <v>182</v>
      </c>
      <c r="C872" t="inlineStr">
        <is>
          <t>Love - Shibari - Kamino</t>
        </is>
      </c>
      <c r="D872" t="n">
        <v>128</v>
      </c>
      <c r="E872" t="inlineStr">
        <is>
          <t>Love Cabaret</t>
        </is>
      </c>
      <c r="F872" s="27" t="n">
        <v>45939</v>
      </c>
      <c r="G872" t="inlineStr">
        <is>
          <t>DEBITO</t>
        </is>
      </c>
      <c r="H872" t="inlineStr">
        <is>
          <t>King Comercio de Bebidas Ltda</t>
        </is>
      </c>
      <c r="I872" t="n">
        <v>-2034.57</v>
      </c>
    </row>
    <row r="873">
      <c r="A873" t="n">
        <v>197008</v>
      </c>
      <c r="B873" t="n">
        <v>115</v>
      </c>
      <c r="C873" t="inlineStr">
        <is>
          <t>Love - Shibari - Bradesco</t>
        </is>
      </c>
      <c r="D873" t="n">
        <v>128</v>
      </c>
      <c r="E873" t="inlineStr">
        <is>
          <t>Love Cabaret</t>
        </is>
      </c>
      <c r="F873" s="27" t="n">
        <v>45938.5</v>
      </c>
      <c r="G873" t="inlineStr">
        <is>
          <t>CREDITO</t>
        </is>
      </c>
      <c r="H873" t="inlineStr">
        <is>
          <t>DEP DINHEIRO ATM AG00117MAQ061059SEQ03221</t>
        </is>
      </c>
      <c r="I873" t="n">
        <v>152</v>
      </c>
    </row>
    <row r="874">
      <c r="A874" t="n">
        <v>197006</v>
      </c>
      <c r="B874" t="n">
        <v>115</v>
      </c>
      <c r="C874" t="inlineStr">
        <is>
          <t>Love - Shibari - Bradesco</t>
        </is>
      </c>
      <c r="D874" t="n">
        <v>128</v>
      </c>
      <c r="E874" t="inlineStr">
        <is>
          <t>Love Cabaret</t>
        </is>
      </c>
      <c r="F874" s="27" t="n">
        <v>45938.5</v>
      </c>
      <c r="G874" t="inlineStr">
        <is>
          <t>CREDITO</t>
        </is>
      </c>
      <c r="H874" t="inlineStr">
        <is>
          <t>TED-TRANSF ELET DISPON REMET.SYMPLA INTERNET SOLU</t>
        </is>
      </c>
      <c r="I874" t="n">
        <v>11640</v>
      </c>
    </row>
    <row r="875">
      <c r="A875" t="n">
        <v>197007</v>
      </c>
      <c r="B875" t="n">
        <v>115</v>
      </c>
      <c r="C875" t="inlineStr">
        <is>
          <t>Love - Shibari - Bradesco</t>
        </is>
      </c>
      <c r="D875" t="n">
        <v>128</v>
      </c>
      <c r="E875" t="inlineStr">
        <is>
          <t>Love Cabaret</t>
        </is>
      </c>
      <c r="F875" s="27" t="n">
        <v>45938.5</v>
      </c>
      <c r="G875" t="inlineStr">
        <is>
          <t>CREDITO</t>
        </is>
      </c>
      <c r="H875" t="inlineStr">
        <is>
          <t>TED-TRANSF ELET DISPON REMET.SYMPLA INTERNET SOLU</t>
        </is>
      </c>
      <c r="I875" t="n">
        <v>5845</v>
      </c>
    </row>
    <row r="876">
      <c r="A876" t="n">
        <v>197009</v>
      </c>
      <c r="B876" t="n">
        <v>115</v>
      </c>
      <c r="C876" t="inlineStr">
        <is>
          <t>Love - Shibari - Bradesco</t>
        </is>
      </c>
      <c r="D876" t="n">
        <v>128</v>
      </c>
      <c r="E876" t="inlineStr">
        <is>
          <t>Love Cabaret</t>
        </is>
      </c>
      <c r="F876" s="27" t="n">
        <v>45938.5</v>
      </c>
      <c r="G876" t="inlineStr">
        <is>
          <t>CREDITO</t>
        </is>
      </c>
      <c r="H876" t="inlineStr">
        <is>
          <t>TRANSFERENCIA PIX REM: FERNANDO IVAN DE NADA 08/10</t>
        </is>
      </c>
      <c r="I876" t="n">
        <v>920</v>
      </c>
    </row>
    <row r="877">
      <c r="A877" t="n">
        <v>197010</v>
      </c>
      <c r="B877" t="n">
        <v>115</v>
      </c>
      <c r="C877" t="inlineStr">
        <is>
          <t>Love - Shibari - Bradesco</t>
        </is>
      </c>
      <c r="D877" t="n">
        <v>128</v>
      </c>
      <c r="E877" t="inlineStr">
        <is>
          <t>Love Cabaret</t>
        </is>
      </c>
      <c r="F877" s="27" t="n">
        <v>45938.5</v>
      </c>
      <c r="G877" t="inlineStr">
        <is>
          <t>CREDITO</t>
        </is>
      </c>
      <c r="H877" t="inlineStr">
        <is>
          <t>TRANSFERENCIA PIX REM: Camila Cizotto dos Sa 08/10</t>
        </is>
      </c>
      <c r="I877" t="n">
        <v>775</v>
      </c>
    </row>
    <row r="878">
      <c r="A878" t="n">
        <v>197018</v>
      </c>
      <c r="B878" t="n">
        <v>115</v>
      </c>
      <c r="C878" t="inlineStr">
        <is>
          <t>Love - Shibari - Bradesco</t>
        </is>
      </c>
      <c r="D878" t="n">
        <v>128</v>
      </c>
      <c r="E878" t="inlineStr">
        <is>
          <t>Love Cabaret</t>
        </is>
      </c>
      <c r="F878" s="27" t="n">
        <v>45938.5</v>
      </c>
      <c r="G878" t="inlineStr">
        <is>
          <t>DEBITO</t>
        </is>
      </c>
      <c r="H878" t="inlineStr">
        <is>
          <t>TARIFA BANCARIA TRANSF PGTO PIX</t>
        </is>
      </c>
      <c r="I878" t="n">
        <v>-9.800000000000001</v>
      </c>
    </row>
    <row r="879">
      <c r="A879" t="n">
        <v>197019</v>
      </c>
      <c r="B879" t="n">
        <v>115</v>
      </c>
      <c r="C879" t="inlineStr">
        <is>
          <t>Love - Shibari - Bradesco</t>
        </is>
      </c>
      <c r="D879" t="n">
        <v>128</v>
      </c>
      <c r="E879" t="inlineStr">
        <is>
          <t>Love Cabaret</t>
        </is>
      </c>
      <c r="F879" s="27" t="n">
        <v>45938.5</v>
      </c>
      <c r="G879" t="inlineStr">
        <is>
          <t>DEBITO</t>
        </is>
      </c>
      <c r="H879" t="inlineStr">
        <is>
          <t>TARIFA BANCARIA TRANSF PGTO PIX</t>
        </is>
      </c>
      <c r="I879" t="n">
        <v>-9.800000000000001</v>
      </c>
    </row>
    <row r="880">
      <c r="A880" t="n">
        <v>197020</v>
      </c>
      <c r="B880" t="n">
        <v>115</v>
      </c>
      <c r="C880" t="inlineStr">
        <is>
          <t>Love - Shibari - Bradesco</t>
        </is>
      </c>
      <c r="D880" t="n">
        <v>128</v>
      </c>
      <c r="E880" t="inlineStr">
        <is>
          <t>Love Cabaret</t>
        </is>
      </c>
      <c r="F880" s="27" t="n">
        <v>45938.5</v>
      </c>
      <c r="G880" t="inlineStr">
        <is>
          <t>DEBITO</t>
        </is>
      </c>
      <c r="H880" t="inlineStr">
        <is>
          <t>TRANSFERENCIA PIX DES: SHIBARI ART E DIVERSA 08/10</t>
        </is>
      </c>
      <c r="I880" t="n">
        <v>-89000</v>
      </c>
    </row>
    <row r="881">
      <c r="A881" t="n">
        <v>197017</v>
      </c>
      <c r="B881" t="n">
        <v>115</v>
      </c>
      <c r="C881" t="inlineStr">
        <is>
          <t>Love - Shibari - Bradesco</t>
        </is>
      </c>
      <c r="D881" t="n">
        <v>128</v>
      </c>
      <c r="E881" t="inlineStr">
        <is>
          <t>Love Cabaret</t>
        </is>
      </c>
      <c r="F881" s="27" t="n">
        <v>45938.5</v>
      </c>
      <c r="G881" t="inlineStr">
        <is>
          <t>DEBITO</t>
        </is>
      </c>
      <c r="H881" t="inlineStr">
        <is>
          <t>TARIFA BANCARIA TRANSF PGTO PIX</t>
        </is>
      </c>
      <c r="I881" t="n">
        <v>-9.800000000000001</v>
      </c>
    </row>
    <row r="882">
      <c r="A882" t="n">
        <v>197409</v>
      </c>
      <c r="B882" t="n">
        <v>182</v>
      </c>
      <c r="C882" t="inlineStr">
        <is>
          <t>Love - Shibari - Kamino</t>
        </is>
      </c>
      <c r="D882" t="n">
        <v>128</v>
      </c>
      <c r="E882" t="inlineStr">
        <is>
          <t>Love Cabaret</t>
        </is>
      </c>
      <c r="F882" s="27" t="n">
        <v>45938</v>
      </c>
      <c r="G882" t="inlineStr">
        <is>
          <t>DEBITO</t>
        </is>
      </c>
      <c r="H882" t="inlineStr">
        <is>
          <t>55.774.785 Thiago Pinheiro da Silva</t>
        </is>
      </c>
      <c r="I882" t="n">
        <v>-1125</v>
      </c>
    </row>
    <row r="883">
      <c r="A883" t="n">
        <v>197407</v>
      </c>
      <c r="B883" t="n">
        <v>182</v>
      </c>
      <c r="C883" t="inlineStr">
        <is>
          <t>Love - Shibari - Kamino</t>
        </is>
      </c>
      <c r="D883" t="n">
        <v>128</v>
      </c>
      <c r="E883" t="inlineStr">
        <is>
          <t>Love Cabaret</t>
        </is>
      </c>
      <c r="F883" s="27" t="n">
        <v>45938</v>
      </c>
      <c r="G883" t="inlineStr">
        <is>
          <t>DEBITO</t>
        </is>
      </c>
      <c r="H883" t="inlineStr">
        <is>
          <t>Teles de Almeida Pinto</t>
        </is>
      </c>
      <c r="I883" t="n">
        <v>-2774.2</v>
      </c>
    </row>
    <row r="884">
      <c r="A884" t="n">
        <v>197406</v>
      </c>
      <c r="B884" t="n">
        <v>182</v>
      </c>
      <c r="C884" t="inlineStr">
        <is>
          <t>Love - Shibari - Kamino</t>
        </is>
      </c>
      <c r="D884" t="n">
        <v>128</v>
      </c>
      <c r="E884" t="inlineStr">
        <is>
          <t>Love Cabaret</t>
        </is>
      </c>
      <c r="F884" s="27" t="n">
        <v>45938</v>
      </c>
      <c r="G884" t="inlineStr">
        <is>
          <t>DEBITO</t>
        </is>
      </c>
      <c r="H884" t="inlineStr">
        <is>
          <t>Felipe da Costa Santos</t>
        </is>
      </c>
      <c r="I884" t="n">
        <v>-5280</v>
      </c>
    </row>
    <row r="885">
      <c r="A885" t="n">
        <v>197405</v>
      </c>
      <c r="B885" t="n">
        <v>182</v>
      </c>
      <c r="C885" t="inlineStr">
        <is>
          <t>Love - Shibari - Kamino</t>
        </is>
      </c>
      <c r="D885" t="n">
        <v>128</v>
      </c>
      <c r="E885" t="inlineStr">
        <is>
          <t>Love Cabaret</t>
        </is>
      </c>
      <c r="F885" s="27" t="n">
        <v>45938</v>
      </c>
      <c r="G885" t="inlineStr">
        <is>
          <t>DEBITO</t>
        </is>
      </c>
      <c r="H885" t="inlineStr">
        <is>
          <t>Douglas Felipe Domingues Gonalves</t>
        </is>
      </c>
      <c r="I885" t="n">
        <v>-4400</v>
      </c>
    </row>
    <row r="886">
      <c r="A886" t="n">
        <v>197404</v>
      </c>
      <c r="B886" t="n">
        <v>182</v>
      </c>
      <c r="C886" t="inlineStr">
        <is>
          <t>Love - Shibari - Kamino</t>
        </is>
      </c>
      <c r="D886" t="n">
        <v>128</v>
      </c>
      <c r="E886" t="inlineStr">
        <is>
          <t>Love Cabaret</t>
        </is>
      </c>
      <c r="F886" s="27" t="n">
        <v>45938</v>
      </c>
      <c r="G886" t="inlineStr">
        <is>
          <t>DEBITO</t>
        </is>
      </c>
      <c r="H886" t="inlineStr">
        <is>
          <t>53.068.043 Isabella Fernandes Gomes</t>
        </is>
      </c>
      <c r="I886" t="n">
        <v>-1200</v>
      </c>
    </row>
    <row r="887">
      <c r="A887" t="n">
        <v>197403</v>
      </c>
      <c r="B887" t="n">
        <v>182</v>
      </c>
      <c r="C887" t="inlineStr">
        <is>
          <t>Love - Shibari - Kamino</t>
        </is>
      </c>
      <c r="D887" t="n">
        <v>128</v>
      </c>
      <c r="E887" t="inlineStr">
        <is>
          <t>Love Cabaret</t>
        </is>
      </c>
      <c r="F887" s="27" t="n">
        <v>45938</v>
      </c>
      <c r="G887" t="inlineStr">
        <is>
          <t>DEBITO</t>
        </is>
      </c>
      <c r="H887" t="inlineStr">
        <is>
          <t>Studio Metropole</t>
        </is>
      </c>
      <c r="I887" t="n">
        <v>-2973.44</v>
      </c>
    </row>
    <row r="888">
      <c r="A888" t="n">
        <v>197402</v>
      </c>
      <c r="B888" t="n">
        <v>182</v>
      </c>
      <c r="C888" t="inlineStr">
        <is>
          <t>Love - Shibari - Kamino</t>
        </is>
      </c>
      <c r="D888" t="n">
        <v>128</v>
      </c>
      <c r="E888" t="inlineStr">
        <is>
          <t>Love Cabaret</t>
        </is>
      </c>
      <c r="F888" s="27" t="n">
        <v>45938</v>
      </c>
      <c r="G888" t="inlineStr">
        <is>
          <t>DEBITO</t>
        </is>
      </c>
      <c r="H888" t="inlineStr">
        <is>
          <t>Duo Comunica Ltda</t>
        </is>
      </c>
      <c r="I888" t="n">
        <v>-2000</v>
      </c>
    </row>
    <row r="889">
      <c r="A889" t="n">
        <v>197401</v>
      </c>
      <c r="B889" t="n">
        <v>182</v>
      </c>
      <c r="C889" t="inlineStr">
        <is>
          <t>Love - Shibari - Kamino</t>
        </is>
      </c>
      <c r="D889" t="n">
        <v>128</v>
      </c>
      <c r="E889" t="inlineStr">
        <is>
          <t>Love Cabaret</t>
        </is>
      </c>
      <c r="F889" s="27" t="n">
        <v>45938</v>
      </c>
      <c r="G889" t="inlineStr">
        <is>
          <t>DEBITO</t>
        </is>
      </c>
      <c r="H889" t="inlineStr">
        <is>
          <t>Comercial Dede</t>
        </is>
      </c>
      <c r="I889" t="n">
        <v>-322.4</v>
      </c>
    </row>
    <row r="890">
      <c r="A890" t="n">
        <v>197400</v>
      </c>
      <c r="B890" t="n">
        <v>182</v>
      </c>
      <c r="C890" t="inlineStr">
        <is>
          <t>Love - Shibari - Kamino</t>
        </is>
      </c>
      <c r="D890" t="n">
        <v>128</v>
      </c>
      <c r="E890" t="inlineStr">
        <is>
          <t>Love Cabaret</t>
        </is>
      </c>
      <c r="F890" s="27" t="n">
        <v>45938</v>
      </c>
      <c r="G890" t="inlineStr">
        <is>
          <t>DEBITO</t>
        </is>
      </c>
      <c r="H890" t="inlineStr">
        <is>
          <t>Cia do Whisky</t>
        </is>
      </c>
      <c r="I890" t="n">
        <v>-456.2</v>
      </c>
    </row>
    <row r="891">
      <c r="A891" t="n">
        <v>197399</v>
      </c>
      <c r="B891" t="n">
        <v>182</v>
      </c>
      <c r="C891" t="inlineStr">
        <is>
          <t>Love - Shibari - Kamino</t>
        </is>
      </c>
      <c r="D891" t="n">
        <v>128</v>
      </c>
      <c r="E891" t="inlineStr">
        <is>
          <t>Love Cabaret</t>
        </is>
      </c>
      <c r="F891" s="27" t="n">
        <v>45938</v>
      </c>
      <c r="G891" t="inlineStr">
        <is>
          <t>DEBITO</t>
        </is>
      </c>
      <c r="H891" t="inlineStr">
        <is>
          <t>Stark Bank S.A.</t>
        </is>
      </c>
      <c r="I891" t="n">
        <v>-1000</v>
      </c>
    </row>
    <row r="892">
      <c r="A892" t="n">
        <v>197398</v>
      </c>
      <c r="B892" t="n">
        <v>182</v>
      </c>
      <c r="C892" t="inlineStr">
        <is>
          <t>Love - Shibari - Kamino</t>
        </is>
      </c>
      <c r="D892" t="n">
        <v>128</v>
      </c>
      <c r="E892" t="inlineStr">
        <is>
          <t>Love Cabaret</t>
        </is>
      </c>
      <c r="F892" s="27" t="n">
        <v>45938</v>
      </c>
      <c r="G892" t="inlineStr">
        <is>
          <t>CREDITO</t>
        </is>
      </c>
      <c r="H892" t="inlineStr">
        <is>
          <t>SHIBARI ART E DIVERSAO LTDA</t>
        </is>
      </c>
      <c r="I892" t="n">
        <v>89000</v>
      </c>
    </row>
    <row r="893">
      <c r="A893" t="n">
        <v>197433</v>
      </c>
      <c r="B893" t="n">
        <v>182</v>
      </c>
      <c r="C893" t="inlineStr">
        <is>
          <t>Love - Shibari - Kamino</t>
        </is>
      </c>
      <c r="D893" t="n">
        <v>128</v>
      </c>
      <c r="E893" t="inlineStr">
        <is>
          <t>Love Cabaret</t>
        </is>
      </c>
      <c r="F893" s="27" t="n">
        <v>45938</v>
      </c>
      <c r="G893" t="inlineStr">
        <is>
          <t>DEBITO</t>
        </is>
      </c>
      <c r="H893" t="inlineStr">
        <is>
          <t>Casa de Carnes P.J.J.Ltda</t>
        </is>
      </c>
      <c r="I893" t="n">
        <v>-462.76</v>
      </c>
    </row>
    <row r="894">
      <c r="A894" t="n">
        <v>197434</v>
      </c>
      <c r="B894" t="n">
        <v>182</v>
      </c>
      <c r="C894" t="inlineStr">
        <is>
          <t>Love - Shibari - Kamino</t>
        </is>
      </c>
      <c r="D894" t="n">
        <v>128</v>
      </c>
      <c r="E894" t="inlineStr">
        <is>
          <t>Love Cabaret</t>
        </is>
      </c>
      <c r="F894" s="27" t="n">
        <v>45938</v>
      </c>
      <c r="G894" t="inlineStr">
        <is>
          <t>DEBITO</t>
        </is>
      </c>
      <c r="H894" t="inlineStr">
        <is>
          <t>Mia Rossi</t>
        </is>
      </c>
      <c r="I894" t="n">
        <v>-5000</v>
      </c>
    </row>
    <row r="895">
      <c r="A895" t="n">
        <v>197408</v>
      </c>
      <c r="B895" t="n">
        <v>182</v>
      </c>
      <c r="C895" t="inlineStr">
        <is>
          <t>Love - Shibari - Kamino</t>
        </is>
      </c>
      <c r="D895" t="n">
        <v>128</v>
      </c>
      <c r="E895" t="inlineStr">
        <is>
          <t>Love Cabaret</t>
        </is>
      </c>
      <c r="F895" s="27" t="n">
        <v>45938</v>
      </c>
      <c r="G895" t="inlineStr">
        <is>
          <t>DEBITO</t>
        </is>
      </c>
      <c r="H895" t="inlineStr">
        <is>
          <t>Dudom</t>
        </is>
      </c>
      <c r="I895" t="n">
        <v>-1600</v>
      </c>
    </row>
    <row r="896">
      <c r="A896" t="n">
        <v>197410</v>
      </c>
      <c r="B896" t="n">
        <v>182</v>
      </c>
      <c r="C896" t="inlineStr">
        <is>
          <t>Love - Shibari - Kamino</t>
        </is>
      </c>
      <c r="D896" t="n">
        <v>128</v>
      </c>
      <c r="E896" t="inlineStr">
        <is>
          <t>Love Cabaret</t>
        </is>
      </c>
      <c r="F896" s="27" t="n">
        <v>45938</v>
      </c>
      <c r="G896" t="inlineStr">
        <is>
          <t>DEBITO</t>
        </is>
      </c>
      <c r="H896" t="inlineStr">
        <is>
          <t>Cia do Whisky</t>
        </is>
      </c>
      <c r="I896" t="n">
        <v>-1146.6</v>
      </c>
    </row>
    <row r="897">
      <c r="A897" t="n">
        <v>197411</v>
      </c>
      <c r="B897" t="n">
        <v>182</v>
      </c>
      <c r="C897" t="inlineStr">
        <is>
          <t>Love - Shibari - Kamino</t>
        </is>
      </c>
      <c r="D897" t="n">
        <v>128</v>
      </c>
      <c r="E897" t="inlineStr">
        <is>
          <t>Love Cabaret</t>
        </is>
      </c>
      <c r="F897" s="27" t="n">
        <v>45938</v>
      </c>
      <c r="G897" t="inlineStr">
        <is>
          <t>DEBITO</t>
        </is>
      </c>
      <c r="H897" t="inlineStr">
        <is>
          <t>Preshh Bar Ltda</t>
        </is>
      </c>
      <c r="I897" t="n">
        <v>-727.2</v>
      </c>
    </row>
    <row r="898">
      <c r="A898" t="n">
        <v>197412</v>
      </c>
      <c r="B898" t="n">
        <v>182</v>
      </c>
      <c r="C898" t="inlineStr">
        <is>
          <t>Love - Shibari - Kamino</t>
        </is>
      </c>
      <c r="D898" t="n">
        <v>128</v>
      </c>
      <c r="E898" t="inlineStr">
        <is>
          <t>Love Cabaret</t>
        </is>
      </c>
      <c r="F898" s="27" t="n">
        <v>45938</v>
      </c>
      <c r="G898" t="inlineStr">
        <is>
          <t>DEBITO</t>
        </is>
      </c>
      <c r="H898" t="inlineStr">
        <is>
          <t>Stemme Telecomunicacoes do Brasil Ltda.</t>
        </is>
      </c>
      <c r="I898" t="n">
        <v>-299.99</v>
      </c>
    </row>
    <row r="899">
      <c r="A899" t="n">
        <v>197413</v>
      </c>
      <c r="B899" t="n">
        <v>182</v>
      </c>
      <c r="C899" t="inlineStr">
        <is>
          <t>Love - Shibari - Kamino</t>
        </is>
      </c>
      <c r="D899" t="n">
        <v>128</v>
      </c>
      <c r="E899" t="inlineStr">
        <is>
          <t>Love Cabaret</t>
        </is>
      </c>
      <c r="F899" s="27" t="n">
        <v>45938</v>
      </c>
      <c r="G899" t="inlineStr">
        <is>
          <t>DEBITO</t>
        </is>
      </c>
      <c r="H899" t="inlineStr">
        <is>
          <t>Aurora Alvorada Estacionamento e Lanchon</t>
        </is>
      </c>
      <c r="I899" t="n">
        <v>-302.1</v>
      </c>
    </row>
    <row r="900">
      <c r="A900" t="n">
        <v>197414</v>
      </c>
      <c r="B900" t="n">
        <v>182</v>
      </c>
      <c r="C900" t="inlineStr">
        <is>
          <t>Love - Shibari - Kamino</t>
        </is>
      </c>
      <c r="D900" t="n">
        <v>128</v>
      </c>
      <c r="E900" t="inlineStr">
        <is>
          <t>Love Cabaret</t>
        </is>
      </c>
      <c r="F900" s="27" t="n">
        <v>45938</v>
      </c>
      <c r="G900" t="inlineStr">
        <is>
          <t>DEBITO</t>
        </is>
      </c>
      <c r="H900" t="inlineStr">
        <is>
          <t>King Comercio de Bebidas Ltda</t>
        </is>
      </c>
      <c r="I900" t="n">
        <v>-9356.110000000001</v>
      </c>
    </row>
    <row r="901">
      <c r="A901" t="n">
        <v>197415</v>
      </c>
      <c r="B901" t="n">
        <v>182</v>
      </c>
      <c r="C901" t="inlineStr">
        <is>
          <t>Love - Shibari - Kamino</t>
        </is>
      </c>
      <c r="D901" t="n">
        <v>128</v>
      </c>
      <c r="E901" t="inlineStr">
        <is>
          <t>Love Cabaret</t>
        </is>
      </c>
      <c r="F901" s="27" t="n">
        <v>45938</v>
      </c>
      <c r="G901" t="inlineStr">
        <is>
          <t>CREDITO</t>
        </is>
      </c>
      <c r="H901" t="inlineStr">
        <is>
          <t>Pix Env No Processado</t>
        </is>
      </c>
      <c r="I901" t="n">
        <v>5000</v>
      </c>
    </row>
    <row r="902">
      <c r="A902" t="n">
        <v>197416</v>
      </c>
      <c r="B902" t="n">
        <v>182</v>
      </c>
      <c r="C902" t="inlineStr">
        <is>
          <t>Love - Shibari - Kamino</t>
        </is>
      </c>
      <c r="D902" t="n">
        <v>128</v>
      </c>
      <c r="E902" t="inlineStr">
        <is>
          <t>Love Cabaret</t>
        </is>
      </c>
      <c r="F902" s="27" t="n">
        <v>45938</v>
      </c>
      <c r="G902" t="inlineStr">
        <is>
          <t>DEBITO</t>
        </is>
      </c>
      <c r="H902" t="inlineStr">
        <is>
          <t>Andres La Rosa</t>
        </is>
      </c>
      <c r="I902" t="n">
        <v>-1386.67</v>
      </c>
    </row>
    <row r="903">
      <c r="A903" t="n">
        <v>197417</v>
      </c>
      <c r="B903" t="n">
        <v>182</v>
      </c>
      <c r="C903" t="inlineStr">
        <is>
          <t>Love - Shibari - Kamino</t>
        </is>
      </c>
      <c r="D903" t="n">
        <v>128</v>
      </c>
      <c r="E903" t="inlineStr">
        <is>
          <t>Love Cabaret</t>
        </is>
      </c>
      <c r="F903" s="27" t="n">
        <v>45938</v>
      </c>
      <c r="G903" t="inlineStr">
        <is>
          <t>DEBITO</t>
        </is>
      </c>
      <c r="H903" t="inlineStr">
        <is>
          <t>Mia Rossi Coquetelaria</t>
        </is>
      </c>
      <c r="I903" t="n">
        <v>-5000</v>
      </c>
    </row>
    <row r="904">
      <c r="A904" t="n">
        <v>197418</v>
      </c>
      <c r="B904" t="n">
        <v>182</v>
      </c>
      <c r="C904" t="inlineStr">
        <is>
          <t>Love - Shibari - Kamino</t>
        </is>
      </c>
      <c r="D904" t="n">
        <v>128</v>
      </c>
      <c r="E904" t="inlineStr">
        <is>
          <t>Love Cabaret</t>
        </is>
      </c>
      <c r="F904" s="27" t="n">
        <v>45938</v>
      </c>
      <c r="G904" t="inlineStr">
        <is>
          <t>DEBITO</t>
        </is>
      </c>
      <c r="H904" t="inlineStr">
        <is>
          <t>Laisa Rocha Larangeira</t>
        </is>
      </c>
      <c r="I904" t="n">
        <v>-1600</v>
      </c>
    </row>
    <row r="905">
      <c r="A905" t="n">
        <v>197419</v>
      </c>
      <c r="B905" t="n">
        <v>182</v>
      </c>
      <c r="C905" t="inlineStr">
        <is>
          <t>Love - Shibari - Kamino</t>
        </is>
      </c>
      <c r="D905" t="n">
        <v>128</v>
      </c>
      <c r="E905" t="inlineStr">
        <is>
          <t>Love Cabaret</t>
        </is>
      </c>
      <c r="F905" s="27" t="n">
        <v>45938</v>
      </c>
      <c r="G905" t="inlineStr">
        <is>
          <t>DEBITO</t>
        </is>
      </c>
      <c r="H905" t="inlineStr">
        <is>
          <t>49.635.085 Jessica Izabel de Souza</t>
        </is>
      </c>
      <c r="I905" t="n">
        <v>-1250</v>
      </c>
    </row>
    <row r="906">
      <c r="A906" t="n">
        <v>197420</v>
      </c>
      <c r="B906" t="n">
        <v>182</v>
      </c>
      <c r="C906" t="inlineStr">
        <is>
          <t>Love - Shibari - Kamino</t>
        </is>
      </c>
      <c r="D906" t="n">
        <v>128</v>
      </c>
      <c r="E906" t="inlineStr">
        <is>
          <t>Love Cabaret</t>
        </is>
      </c>
      <c r="F906" s="27" t="n">
        <v>45938</v>
      </c>
      <c r="G906" t="inlineStr">
        <is>
          <t>DEBITO</t>
        </is>
      </c>
      <c r="H906" t="inlineStr">
        <is>
          <t>29.004.930 Agnes Rodrigues de Oliveira</t>
        </is>
      </c>
      <c r="I906" t="n">
        <v>-5000</v>
      </c>
    </row>
    <row r="907">
      <c r="A907" t="n">
        <v>197422</v>
      </c>
      <c r="B907" t="n">
        <v>182</v>
      </c>
      <c r="C907" t="inlineStr">
        <is>
          <t>Love - Shibari - Kamino</t>
        </is>
      </c>
      <c r="D907" t="n">
        <v>128</v>
      </c>
      <c r="E907" t="inlineStr">
        <is>
          <t>Love Cabaret</t>
        </is>
      </c>
      <c r="F907" s="27" t="n">
        <v>45938</v>
      </c>
      <c r="G907" t="inlineStr">
        <is>
          <t>DEBITO</t>
        </is>
      </c>
      <c r="H907" t="inlineStr">
        <is>
          <t>Puxuri Consultoria Ltda</t>
        </is>
      </c>
      <c r="I907" t="n">
        <v>-4000</v>
      </c>
    </row>
    <row r="908">
      <c r="A908" t="n">
        <v>197423</v>
      </c>
      <c r="B908" t="n">
        <v>182</v>
      </c>
      <c r="C908" t="inlineStr">
        <is>
          <t>Love - Shibari - Kamino</t>
        </is>
      </c>
      <c r="D908" t="n">
        <v>128</v>
      </c>
      <c r="E908" t="inlineStr">
        <is>
          <t>Love Cabaret</t>
        </is>
      </c>
      <c r="F908" s="27" t="n">
        <v>45938</v>
      </c>
      <c r="G908" t="inlineStr">
        <is>
          <t>DEBITO</t>
        </is>
      </c>
      <c r="H908" t="inlineStr">
        <is>
          <t>Leon Franz</t>
        </is>
      </c>
      <c r="I908" t="n">
        <v>-8500</v>
      </c>
    </row>
    <row r="909">
      <c r="A909" t="n">
        <v>197424</v>
      </c>
      <c r="B909" t="n">
        <v>182</v>
      </c>
      <c r="C909" t="inlineStr">
        <is>
          <t>Love - Shibari - Kamino</t>
        </is>
      </c>
      <c r="D909" t="n">
        <v>128</v>
      </c>
      <c r="E909" t="inlineStr">
        <is>
          <t>Love Cabaret</t>
        </is>
      </c>
      <c r="F909" s="27" t="n">
        <v>45938</v>
      </c>
      <c r="G909" t="inlineStr">
        <is>
          <t>DEBITO</t>
        </is>
      </c>
      <c r="H909" t="inlineStr">
        <is>
          <t>Douglas Felipe Domingues Gonalves</t>
        </is>
      </c>
      <c r="I909" t="n">
        <v>-4100</v>
      </c>
    </row>
    <row r="910">
      <c r="A910" t="n">
        <v>197425</v>
      </c>
      <c r="B910" t="n">
        <v>182</v>
      </c>
      <c r="C910" t="inlineStr">
        <is>
          <t>Love - Shibari - Kamino</t>
        </is>
      </c>
      <c r="D910" t="n">
        <v>128</v>
      </c>
      <c r="E910" t="inlineStr">
        <is>
          <t>Love Cabaret</t>
        </is>
      </c>
      <c r="F910" s="27" t="n">
        <v>45938</v>
      </c>
      <c r="G910" t="inlineStr">
        <is>
          <t>DEBITO</t>
        </is>
      </c>
      <c r="H910" t="inlineStr">
        <is>
          <t>Indra Haretrava</t>
        </is>
      </c>
      <c r="I910" t="n">
        <v>-7420</v>
      </c>
    </row>
    <row r="911">
      <c r="A911" t="n">
        <v>197426</v>
      </c>
      <c r="B911" t="n">
        <v>182</v>
      </c>
      <c r="C911" t="inlineStr">
        <is>
          <t>Love - Shibari - Kamino</t>
        </is>
      </c>
      <c r="D911" t="n">
        <v>128</v>
      </c>
      <c r="E911" t="inlineStr">
        <is>
          <t>Love Cabaret</t>
        </is>
      </c>
      <c r="F911" s="27" t="n">
        <v>45938</v>
      </c>
      <c r="G911" t="inlineStr">
        <is>
          <t>DEBITO</t>
        </is>
      </c>
      <c r="H911" t="inlineStr">
        <is>
          <t>Tamara Santos Ribeiro</t>
        </is>
      </c>
      <c r="I911" t="n">
        <v>-3500</v>
      </c>
    </row>
    <row r="912">
      <c r="A912" t="n">
        <v>197427</v>
      </c>
      <c r="B912" t="n">
        <v>182</v>
      </c>
      <c r="C912" t="inlineStr">
        <is>
          <t>Love - Shibari - Kamino</t>
        </is>
      </c>
      <c r="D912" t="n">
        <v>128</v>
      </c>
      <c r="E912" t="inlineStr">
        <is>
          <t>Love Cabaret</t>
        </is>
      </c>
      <c r="F912" s="27" t="n">
        <v>45938</v>
      </c>
      <c r="G912" t="inlineStr">
        <is>
          <t>DEBITO</t>
        </is>
      </c>
      <c r="H912" t="inlineStr">
        <is>
          <t>Felipe Ferreira Franca 36496185832</t>
        </is>
      </c>
      <c r="I912" t="n">
        <v>-3250</v>
      </c>
    </row>
    <row r="913">
      <c r="A913" t="n">
        <v>197428</v>
      </c>
      <c r="B913" t="n">
        <v>182</v>
      </c>
      <c r="C913" t="inlineStr">
        <is>
          <t>Love - Shibari - Kamino</t>
        </is>
      </c>
      <c r="D913" t="n">
        <v>128</v>
      </c>
      <c r="E913" t="inlineStr">
        <is>
          <t>Love Cabaret</t>
        </is>
      </c>
      <c r="F913" s="27" t="n">
        <v>45938</v>
      </c>
      <c r="G913" t="inlineStr">
        <is>
          <t>DEBITO</t>
        </is>
      </c>
      <c r="H913" t="inlineStr">
        <is>
          <t>Vanessa Del Santos de Freitas Consultoria</t>
        </is>
      </c>
      <c r="I913" t="n">
        <v>-3000</v>
      </c>
    </row>
    <row r="914">
      <c r="A914" t="n">
        <v>197429</v>
      </c>
      <c r="B914" t="n">
        <v>182</v>
      </c>
      <c r="C914" t="inlineStr">
        <is>
          <t>Love - Shibari - Kamino</t>
        </is>
      </c>
      <c r="D914" t="n">
        <v>128</v>
      </c>
      <c r="E914" t="inlineStr">
        <is>
          <t>Love Cabaret</t>
        </is>
      </c>
      <c r="F914" s="27" t="n">
        <v>45938</v>
      </c>
      <c r="G914" t="inlineStr">
        <is>
          <t>DEBITO</t>
        </is>
      </c>
      <c r="H914" t="inlineStr">
        <is>
          <t>Forte Alimentos Comercio e Importacao Lt</t>
        </is>
      </c>
      <c r="I914" t="n">
        <v>-1004.83</v>
      </c>
    </row>
    <row r="915">
      <c r="A915" t="n">
        <v>197430</v>
      </c>
      <c r="B915" t="n">
        <v>182</v>
      </c>
      <c r="C915" t="inlineStr">
        <is>
          <t>Love - Shibari - Kamino</t>
        </is>
      </c>
      <c r="D915" t="n">
        <v>128</v>
      </c>
      <c r="E915" t="inlineStr">
        <is>
          <t>Love Cabaret</t>
        </is>
      </c>
      <c r="F915" s="27" t="n">
        <v>45938</v>
      </c>
      <c r="G915" t="inlineStr">
        <is>
          <t>DEBITO</t>
        </is>
      </c>
      <c r="H915" t="inlineStr">
        <is>
          <t>Get In Tecnologia Ltda</t>
        </is>
      </c>
      <c r="I915" t="n">
        <v>-957.6</v>
      </c>
    </row>
    <row r="916">
      <c r="A916" t="n">
        <v>197431</v>
      </c>
      <c r="B916" t="n">
        <v>182</v>
      </c>
      <c r="C916" t="inlineStr">
        <is>
          <t>Love - Shibari - Kamino</t>
        </is>
      </c>
      <c r="D916" t="n">
        <v>128</v>
      </c>
      <c r="E916" t="inlineStr">
        <is>
          <t>Love Cabaret</t>
        </is>
      </c>
      <c r="F916" s="27" t="n">
        <v>45938</v>
      </c>
      <c r="G916" t="inlineStr">
        <is>
          <t>DEBITO</t>
        </is>
      </c>
      <c r="H916" t="inlineStr">
        <is>
          <t>Cecilia Tsuyaco Araki Silva Ltda</t>
        </is>
      </c>
      <c r="I916" t="n">
        <v>-283.78</v>
      </c>
    </row>
    <row r="917">
      <c r="A917" t="n">
        <v>197432</v>
      </c>
      <c r="B917" t="n">
        <v>182</v>
      </c>
      <c r="C917" t="inlineStr">
        <is>
          <t>Love - Shibari - Kamino</t>
        </is>
      </c>
      <c r="D917" t="n">
        <v>128</v>
      </c>
      <c r="E917" t="inlineStr">
        <is>
          <t>Love Cabaret</t>
        </is>
      </c>
      <c r="F917" s="27" t="n">
        <v>45938</v>
      </c>
      <c r="G917" t="inlineStr">
        <is>
          <t>DEBITO</t>
        </is>
      </c>
      <c r="H917" t="inlineStr">
        <is>
          <t>Safe Brand com Imp Exp S Ltda</t>
        </is>
      </c>
      <c r="I917" t="n">
        <v>-2117.46</v>
      </c>
    </row>
    <row r="918">
      <c r="A918" t="n">
        <v>197421</v>
      </c>
      <c r="B918" t="n">
        <v>182</v>
      </c>
      <c r="C918" t="inlineStr">
        <is>
          <t>Love - Shibari - Kamino</t>
        </is>
      </c>
      <c r="D918" t="n">
        <v>128</v>
      </c>
      <c r="E918" t="inlineStr">
        <is>
          <t>Love Cabaret</t>
        </is>
      </c>
      <c r="F918" s="27" t="n">
        <v>45938</v>
      </c>
      <c r="G918" t="inlineStr">
        <is>
          <t>DEBITO</t>
        </is>
      </c>
      <c r="H918" t="inlineStr">
        <is>
          <t>Tempus Fugit Participacoes e Empreendimentos Ltda</t>
        </is>
      </c>
      <c r="I918" t="n">
        <v>-229.26</v>
      </c>
    </row>
    <row r="919">
      <c r="A919" t="n">
        <v>196999</v>
      </c>
      <c r="B919" t="n">
        <v>115</v>
      </c>
      <c r="C919" t="inlineStr">
        <is>
          <t>Love - Shibari - Bradesco</t>
        </is>
      </c>
      <c r="D919" t="n">
        <v>128</v>
      </c>
      <c r="E919" t="inlineStr">
        <is>
          <t>Love Cabaret</t>
        </is>
      </c>
      <c r="F919" s="27" t="n">
        <v>45937.5</v>
      </c>
      <c r="G919" t="inlineStr">
        <is>
          <t>CREDITO</t>
        </is>
      </c>
      <c r="H919" t="inlineStr">
        <is>
          <t>TED-TRANSF ELET DISPON REMET.SYMPLA INTERNET SOLU</t>
        </is>
      </c>
      <c r="I919" t="n">
        <v>3670</v>
      </c>
    </row>
    <row r="920">
      <c r="A920" t="n">
        <v>196998</v>
      </c>
      <c r="B920" t="n">
        <v>115</v>
      </c>
      <c r="C920" t="inlineStr">
        <is>
          <t>Love - Shibari - Bradesco</t>
        </is>
      </c>
      <c r="D920" t="n">
        <v>128</v>
      </c>
      <c r="E920" t="inlineStr">
        <is>
          <t>Love Cabaret</t>
        </is>
      </c>
      <c r="F920" s="27" t="n">
        <v>45937.5</v>
      </c>
      <c r="G920" t="inlineStr">
        <is>
          <t>CREDITO</t>
        </is>
      </c>
      <c r="H920" t="inlineStr">
        <is>
          <t>TED-TRANSF ELET DISPON REMET.Zig Tecnologia S.A.</t>
        </is>
      </c>
      <c r="I920" t="n">
        <v>18831.5</v>
      </c>
    </row>
    <row r="921">
      <c r="A921" t="n">
        <v>197000</v>
      </c>
      <c r="B921" t="n">
        <v>115</v>
      </c>
      <c r="C921" t="inlineStr">
        <is>
          <t>Love - Shibari - Bradesco</t>
        </is>
      </c>
      <c r="D921" t="n">
        <v>128</v>
      </c>
      <c r="E921" t="inlineStr">
        <is>
          <t>Love Cabaret</t>
        </is>
      </c>
      <c r="F921" s="27" t="n">
        <v>45937.5</v>
      </c>
      <c r="G921" t="inlineStr">
        <is>
          <t>CREDITO</t>
        </is>
      </c>
      <c r="H921" t="inlineStr">
        <is>
          <t>TRANSFERENCIA PIX REM: ARIEL KELESSIS PITTA  07/10</t>
        </is>
      </c>
      <c r="I921" t="n">
        <v>697.5</v>
      </c>
    </row>
    <row r="922">
      <c r="A922" t="n">
        <v>197001</v>
      </c>
      <c r="B922" t="n">
        <v>115</v>
      </c>
      <c r="C922" t="inlineStr">
        <is>
          <t>Love - Shibari - Bradesco</t>
        </is>
      </c>
      <c r="D922" t="n">
        <v>128</v>
      </c>
      <c r="E922" t="inlineStr">
        <is>
          <t>Love Cabaret</t>
        </is>
      </c>
      <c r="F922" s="27" t="n">
        <v>45937.5</v>
      </c>
      <c r="G922" t="inlineStr">
        <is>
          <t>CREDITO</t>
        </is>
      </c>
      <c r="H922" t="inlineStr">
        <is>
          <t>TRANSFERENCIA PIX REM: JULIANA ALMEIDA MOURA 07/10</t>
        </is>
      </c>
      <c r="I922" t="n">
        <v>620</v>
      </c>
    </row>
    <row r="923">
      <c r="A923" t="n">
        <v>197004</v>
      </c>
      <c r="B923" t="n">
        <v>115</v>
      </c>
      <c r="C923" t="inlineStr">
        <is>
          <t>Love - Shibari - Bradesco</t>
        </is>
      </c>
      <c r="D923" t="n">
        <v>128</v>
      </c>
      <c r="E923" t="inlineStr">
        <is>
          <t>Love Cabaret</t>
        </is>
      </c>
      <c r="F923" s="27" t="n">
        <v>45937.5</v>
      </c>
      <c r="G923" t="inlineStr">
        <is>
          <t>DEBITO</t>
        </is>
      </c>
      <c r="H923" t="inlineStr">
        <is>
          <t>TRANSFERENCIA PIX DES: SHIBARI ART E DIVERSA 07/10</t>
        </is>
      </c>
      <c r="I923" t="n">
        <v>-8000</v>
      </c>
    </row>
    <row r="924">
      <c r="A924" t="n">
        <v>197005</v>
      </c>
      <c r="B924" t="n">
        <v>115</v>
      </c>
      <c r="C924" t="inlineStr">
        <is>
          <t>Love - Shibari - Bradesco</t>
        </is>
      </c>
      <c r="D924" t="n">
        <v>128</v>
      </c>
      <c r="E924" t="inlineStr">
        <is>
          <t>Love Cabaret</t>
        </is>
      </c>
      <c r="F924" s="27" t="n">
        <v>45937.5</v>
      </c>
      <c r="G924" t="inlineStr">
        <is>
          <t>DEBITO</t>
        </is>
      </c>
      <c r="H924" t="inlineStr">
        <is>
          <t>TRANSFERENCIA PIX DES: SHIBARI ART E DIVERSA 07/10</t>
        </is>
      </c>
      <c r="I924" t="n">
        <v>-43000</v>
      </c>
    </row>
    <row r="925">
      <c r="A925" t="n">
        <v>197391</v>
      </c>
      <c r="B925" t="n">
        <v>182</v>
      </c>
      <c r="C925" t="inlineStr">
        <is>
          <t>Love - Shibari - Kamino</t>
        </is>
      </c>
      <c r="D925" t="n">
        <v>128</v>
      </c>
      <c r="E925" t="inlineStr">
        <is>
          <t>Love Cabaret</t>
        </is>
      </c>
      <c r="F925" s="27" t="n">
        <v>45937</v>
      </c>
      <c r="G925" t="inlineStr">
        <is>
          <t>CREDITO</t>
        </is>
      </c>
      <c r="H925" t="inlineStr">
        <is>
          <t>SHIBARI ART E DIVERSAO LTDA</t>
        </is>
      </c>
      <c r="I925" t="n">
        <v>8000</v>
      </c>
    </row>
    <row r="926">
      <c r="A926" t="n">
        <v>197392</v>
      </c>
      <c r="B926" t="n">
        <v>182</v>
      </c>
      <c r="C926" t="inlineStr">
        <is>
          <t>Love - Shibari - Kamino</t>
        </is>
      </c>
      <c r="D926" t="n">
        <v>128</v>
      </c>
      <c r="E926" t="inlineStr">
        <is>
          <t>Love Cabaret</t>
        </is>
      </c>
      <c r="F926" s="27" t="n">
        <v>45937</v>
      </c>
      <c r="G926" t="inlineStr">
        <is>
          <t>DEBITO</t>
        </is>
      </c>
      <c r="H926" t="inlineStr">
        <is>
          <t>Cem Engenharia da Manutencao Ltda</t>
        </is>
      </c>
      <c r="I926" t="n">
        <v>-2000</v>
      </c>
    </row>
    <row r="927">
      <c r="A927" t="n">
        <v>197393</v>
      </c>
      <c r="B927" t="n">
        <v>182</v>
      </c>
      <c r="C927" t="inlineStr">
        <is>
          <t>Love - Shibari - Kamino</t>
        </is>
      </c>
      <c r="D927" t="n">
        <v>128</v>
      </c>
      <c r="E927" t="inlineStr">
        <is>
          <t>Love Cabaret</t>
        </is>
      </c>
      <c r="F927" s="27" t="n">
        <v>45937</v>
      </c>
      <c r="G927" t="inlineStr">
        <is>
          <t>DEBITO</t>
        </is>
      </c>
      <c r="H927" t="inlineStr">
        <is>
          <t>Machine Seguranca Patrimonial Ltda</t>
        </is>
      </c>
      <c r="I927" t="n">
        <v>-6650</v>
      </c>
    </row>
    <row r="928">
      <c r="A928" t="n">
        <v>197395</v>
      </c>
      <c r="B928" t="n">
        <v>182</v>
      </c>
      <c r="C928" t="inlineStr">
        <is>
          <t>Love - Shibari - Kamino</t>
        </is>
      </c>
      <c r="D928" t="n">
        <v>128</v>
      </c>
      <c r="E928" t="inlineStr">
        <is>
          <t>Love Cabaret</t>
        </is>
      </c>
      <c r="F928" s="27" t="n">
        <v>45937</v>
      </c>
      <c r="G928" t="inlineStr">
        <is>
          <t>CREDITO</t>
        </is>
      </c>
      <c r="H928" t="inlineStr">
        <is>
          <t>SHIBARI ART E DIVERSAO LTDA</t>
        </is>
      </c>
      <c r="I928" t="n">
        <v>43000</v>
      </c>
    </row>
    <row r="929">
      <c r="A929" t="n">
        <v>197396</v>
      </c>
      <c r="B929" t="n">
        <v>182</v>
      </c>
      <c r="C929" t="inlineStr">
        <is>
          <t>Love - Shibari - Kamino</t>
        </is>
      </c>
      <c r="D929" t="n">
        <v>128</v>
      </c>
      <c r="E929" t="inlineStr">
        <is>
          <t>Love Cabaret</t>
        </is>
      </c>
      <c r="F929" s="27" t="n">
        <v>45937</v>
      </c>
      <c r="G929" t="inlineStr">
        <is>
          <t>DEBITO</t>
        </is>
      </c>
      <c r="H929" t="inlineStr">
        <is>
          <t>Estaff Solucoes Tecnologicas de Agenciam</t>
        </is>
      </c>
      <c r="I929" t="n">
        <v>-14019.5</v>
      </c>
    </row>
    <row r="930">
      <c r="A930" t="n">
        <v>197397</v>
      </c>
      <c r="B930" t="n">
        <v>182</v>
      </c>
      <c r="C930" t="inlineStr">
        <is>
          <t>Love - Shibari - Kamino</t>
        </is>
      </c>
      <c r="D930" t="n">
        <v>128</v>
      </c>
      <c r="E930" t="inlineStr">
        <is>
          <t>Love Cabaret</t>
        </is>
      </c>
      <c r="F930" s="27" t="n">
        <v>45937</v>
      </c>
      <c r="G930" t="inlineStr">
        <is>
          <t>DEBITO</t>
        </is>
      </c>
      <c r="H930" t="inlineStr">
        <is>
          <t>Eshows Promocoes Artisticas Ltda</t>
        </is>
      </c>
      <c r="I930" t="n">
        <v>-28730</v>
      </c>
    </row>
    <row r="931">
      <c r="A931" t="n">
        <v>197394</v>
      </c>
      <c r="B931" t="n">
        <v>182</v>
      </c>
      <c r="C931" t="inlineStr">
        <is>
          <t>Love - Shibari - Kamino</t>
        </is>
      </c>
      <c r="D931" t="n">
        <v>128</v>
      </c>
      <c r="E931" t="inlineStr">
        <is>
          <t>Love Cabaret</t>
        </is>
      </c>
      <c r="F931" s="27" t="n">
        <v>45937</v>
      </c>
      <c r="G931" t="inlineStr">
        <is>
          <t>DEBITO</t>
        </is>
      </c>
      <c r="H931" t="inlineStr">
        <is>
          <t>Thamiris Vieira Silva Luz</t>
        </is>
      </c>
      <c r="I931" t="n">
        <v>-250</v>
      </c>
    </row>
    <row r="932">
      <c r="A932" t="n">
        <v>196997</v>
      </c>
      <c r="B932" t="n">
        <v>115</v>
      </c>
      <c r="C932" t="inlineStr">
        <is>
          <t>Love - Shibari - Bradesco</t>
        </is>
      </c>
      <c r="D932" t="n">
        <v>128</v>
      </c>
      <c r="E932" t="inlineStr">
        <is>
          <t>Love Cabaret</t>
        </is>
      </c>
      <c r="F932" s="27" t="n">
        <v>45936.5</v>
      </c>
      <c r="G932" t="inlineStr">
        <is>
          <t>DEBITO</t>
        </is>
      </c>
      <c r="H932" t="inlineStr">
        <is>
          <t>TRANSFERENCIA PIX DES: SHIBARI ART E DIVERSA 06/10</t>
        </is>
      </c>
      <c r="I932" t="n">
        <v>-1000</v>
      </c>
    </row>
    <row r="933">
      <c r="A933" t="n">
        <v>196996</v>
      </c>
      <c r="B933" t="n">
        <v>115</v>
      </c>
      <c r="C933" t="inlineStr">
        <is>
          <t>Love - Shibari - Bradesco</t>
        </is>
      </c>
      <c r="D933" t="n">
        <v>128</v>
      </c>
      <c r="E933" t="inlineStr">
        <is>
          <t>Love Cabaret</t>
        </is>
      </c>
      <c r="F933" s="27" t="n">
        <v>45936.5</v>
      </c>
      <c r="G933" t="inlineStr">
        <is>
          <t>DEBITO</t>
        </is>
      </c>
      <c r="H933" t="inlineStr">
        <is>
          <t>TRANSFERENCIA PIX DES: SHIBARI ART E DIVERSA 06/10</t>
        </is>
      </c>
      <c r="I933" t="n">
        <v>-4000</v>
      </c>
    </row>
    <row r="934">
      <c r="A934" t="n">
        <v>196995</v>
      </c>
      <c r="B934" t="n">
        <v>115</v>
      </c>
      <c r="C934" t="inlineStr">
        <is>
          <t>Love - Shibari - Bradesco</t>
        </is>
      </c>
      <c r="D934" t="n">
        <v>128</v>
      </c>
      <c r="E934" t="inlineStr">
        <is>
          <t>Love Cabaret</t>
        </is>
      </c>
      <c r="F934" s="27" t="n">
        <v>45936.5</v>
      </c>
      <c r="G934" t="inlineStr">
        <is>
          <t>DEBITO</t>
        </is>
      </c>
      <c r="H934" t="inlineStr">
        <is>
          <t>TRANSFERENCIA PIX DES: SHIBARI ART E DIVERSA 06/10</t>
        </is>
      </c>
      <c r="I934" t="n">
        <v>-17000</v>
      </c>
    </row>
    <row r="935">
      <c r="A935" t="n">
        <v>196994</v>
      </c>
      <c r="B935" t="n">
        <v>115</v>
      </c>
      <c r="C935" t="inlineStr">
        <is>
          <t>Love - Shibari - Bradesco</t>
        </is>
      </c>
      <c r="D935" t="n">
        <v>128</v>
      </c>
      <c r="E935" t="inlineStr">
        <is>
          <t>Love Cabaret</t>
        </is>
      </c>
      <c r="F935" s="27" t="n">
        <v>45936.5</v>
      </c>
      <c r="G935" t="inlineStr">
        <is>
          <t>DEBITO</t>
        </is>
      </c>
      <c r="H935" t="inlineStr">
        <is>
          <t>PGTO SALARIO VIA NET EMP</t>
        </is>
      </c>
      <c r="I935" t="n">
        <v>-8140.34</v>
      </c>
    </row>
    <row r="936">
      <c r="A936" t="n">
        <v>196993</v>
      </c>
      <c r="B936" t="n">
        <v>115</v>
      </c>
      <c r="C936" t="inlineStr">
        <is>
          <t>Love - Shibari - Bradesco</t>
        </is>
      </c>
      <c r="D936" t="n">
        <v>128</v>
      </c>
      <c r="E936" t="inlineStr">
        <is>
          <t>Love Cabaret</t>
        </is>
      </c>
      <c r="F936" s="27" t="n">
        <v>45936.5</v>
      </c>
      <c r="G936" t="inlineStr">
        <is>
          <t>DEBITO</t>
        </is>
      </c>
      <c r="H936" t="inlineStr">
        <is>
          <t>PAGTO ELETRON  COBRANCA VERISURE BRASIL MONITORAMENTO DE</t>
        </is>
      </c>
      <c r="I936" t="n">
        <v>-270.11</v>
      </c>
    </row>
    <row r="937">
      <c r="A937" t="n">
        <v>196992</v>
      </c>
      <c r="B937" t="n">
        <v>115</v>
      </c>
      <c r="C937" t="inlineStr">
        <is>
          <t>Love - Shibari - Bradesco</t>
        </is>
      </c>
      <c r="D937" t="n">
        <v>128</v>
      </c>
      <c r="E937" t="inlineStr">
        <is>
          <t>Love Cabaret</t>
        </is>
      </c>
      <c r="F937" s="27" t="n">
        <v>45936.5</v>
      </c>
      <c r="G937" t="inlineStr">
        <is>
          <t>CREDITO</t>
        </is>
      </c>
      <c r="H937" t="inlineStr">
        <is>
          <t>TRANSFERENCIA PIX REM: ELEN SOUZA LUZ        06/10</t>
        </is>
      </c>
      <c r="I937" t="n">
        <v>620</v>
      </c>
    </row>
    <row r="938">
      <c r="A938" t="n">
        <v>196991</v>
      </c>
      <c r="B938" t="n">
        <v>115</v>
      </c>
      <c r="C938" t="inlineStr">
        <is>
          <t>Love - Shibari - Bradesco</t>
        </is>
      </c>
      <c r="D938" t="n">
        <v>128</v>
      </c>
      <c r="E938" t="inlineStr">
        <is>
          <t>Love Cabaret</t>
        </is>
      </c>
      <c r="F938" s="27" t="n">
        <v>45936.5</v>
      </c>
      <c r="G938" t="inlineStr">
        <is>
          <t>CREDITO</t>
        </is>
      </c>
      <c r="H938" t="inlineStr">
        <is>
          <t>TED-TRANSF ELET DISPON REMET.Zig Tecnologia S.A.</t>
        </is>
      </c>
      <c r="I938" t="n">
        <v>40159.2</v>
      </c>
    </row>
    <row r="939">
      <c r="A939" t="n">
        <v>197372</v>
      </c>
      <c r="B939" t="n">
        <v>182</v>
      </c>
      <c r="C939" t="inlineStr">
        <is>
          <t>Love - Shibari - Kamino</t>
        </is>
      </c>
      <c r="D939" t="n">
        <v>128</v>
      </c>
      <c r="E939" t="inlineStr">
        <is>
          <t>Love Cabaret</t>
        </is>
      </c>
      <c r="F939" s="27" t="n">
        <v>45936</v>
      </c>
      <c r="G939" t="inlineStr">
        <is>
          <t>DEBITO</t>
        </is>
      </c>
      <c r="H939" t="inlineStr">
        <is>
          <t>Comercial Dede</t>
        </is>
      </c>
      <c r="I939" t="n">
        <v>-1267</v>
      </c>
    </row>
    <row r="940">
      <c r="A940" t="n">
        <v>197371</v>
      </c>
      <c r="B940" t="n">
        <v>182</v>
      </c>
      <c r="C940" t="inlineStr">
        <is>
          <t>Love - Shibari - Kamino</t>
        </is>
      </c>
      <c r="D940" t="n">
        <v>128</v>
      </c>
      <c r="E940" t="inlineStr">
        <is>
          <t>Love Cabaret</t>
        </is>
      </c>
      <c r="F940" s="27" t="n">
        <v>45936</v>
      </c>
      <c r="G940" t="inlineStr">
        <is>
          <t>DEBITO</t>
        </is>
      </c>
      <c r="H940" t="inlineStr">
        <is>
          <t>Ice4pros Fabrica de Gelo Ltda</t>
        </is>
      </c>
      <c r="I940" t="n">
        <v>-1106</v>
      </c>
    </row>
    <row r="941">
      <c r="A941" t="n">
        <v>197370</v>
      </c>
      <c r="B941" t="n">
        <v>182</v>
      </c>
      <c r="C941" t="inlineStr">
        <is>
          <t>Love - Shibari - Kamino</t>
        </is>
      </c>
      <c r="D941" t="n">
        <v>128</v>
      </c>
      <c r="E941" t="inlineStr">
        <is>
          <t>Love Cabaret</t>
        </is>
      </c>
      <c r="F941" s="27" t="n">
        <v>45936</v>
      </c>
      <c r="G941" t="inlineStr">
        <is>
          <t>DEBITO</t>
        </is>
      </c>
      <c r="H941" t="inlineStr">
        <is>
          <t>Comercial Dede</t>
        </is>
      </c>
      <c r="I941" t="n">
        <v>-451.74</v>
      </c>
    </row>
    <row r="942">
      <c r="A942" t="n">
        <v>197369</v>
      </c>
      <c r="B942" t="n">
        <v>182</v>
      </c>
      <c r="C942" t="inlineStr">
        <is>
          <t>Love - Shibari - Kamino</t>
        </is>
      </c>
      <c r="D942" t="n">
        <v>128</v>
      </c>
      <c r="E942" t="inlineStr">
        <is>
          <t>Love Cabaret</t>
        </is>
      </c>
      <c r="F942" s="27" t="n">
        <v>45936</v>
      </c>
      <c r="G942" t="inlineStr">
        <is>
          <t>DEBITO</t>
        </is>
      </c>
      <c r="H942" t="inlineStr">
        <is>
          <t>Dist Carnes Cant Ltda Epp</t>
        </is>
      </c>
      <c r="I942" t="n">
        <v>-249.6</v>
      </c>
    </row>
    <row r="943">
      <c r="A943" t="n">
        <v>197368</v>
      </c>
      <c r="B943" t="n">
        <v>182</v>
      </c>
      <c r="C943" t="inlineStr">
        <is>
          <t>Love - Shibari - Kamino</t>
        </is>
      </c>
      <c r="D943" t="n">
        <v>128</v>
      </c>
      <c r="E943" t="inlineStr">
        <is>
          <t>Love Cabaret</t>
        </is>
      </c>
      <c r="F943" s="27" t="n">
        <v>45936</v>
      </c>
      <c r="G943" t="inlineStr">
        <is>
          <t>CREDITO</t>
        </is>
      </c>
      <c r="H943" t="inlineStr">
        <is>
          <t>Pix Env No Processado</t>
        </is>
      </c>
      <c r="I943" t="n">
        <v>250</v>
      </c>
    </row>
    <row r="944">
      <c r="A944" t="n">
        <v>197367</v>
      </c>
      <c r="B944" t="n">
        <v>182</v>
      </c>
      <c r="C944" t="inlineStr">
        <is>
          <t>Love - Shibari - Kamino</t>
        </is>
      </c>
      <c r="D944" t="n">
        <v>128</v>
      </c>
      <c r="E944" t="inlineStr">
        <is>
          <t>Love Cabaret</t>
        </is>
      </c>
      <c r="F944" s="27" t="n">
        <v>45936</v>
      </c>
      <c r="G944" t="inlineStr">
        <is>
          <t>DEBITO</t>
        </is>
      </c>
      <c r="H944" t="inlineStr">
        <is>
          <t>Star Copias Comercio e Servicos Ltd</t>
        </is>
      </c>
      <c r="I944" t="n">
        <v>-220</v>
      </c>
    </row>
    <row r="945">
      <c r="A945" t="n">
        <v>197366</v>
      </c>
      <c r="B945" t="n">
        <v>182</v>
      </c>
      <c r="C945" t="inlineStr">
        <is>
          <t>Love - Shibari - Kamino</t>
        </is>
      </c>
      <c r="D945" t="n">
        <v>128</v>
      </c>
      <c r="E945" t="inlineStr">
        <is>
          <t>Love Cabaret</t>
        </is>
      </c>
      <c r="F945" s="27" t="n">
        <v>45936</v>
      </c>
      <c r="G945" t="inlineStr">
        <is>
          <t>DEBITO</t>
        </is>
      </c>
      <c r="H945" t="inlineStr">
        <is>
          <t>Edjane Dantas de Almeida Sousa</t>
        </is>
      </c>
      <c r="I945" t="n">
        <v>-1200</v>
      </c>
    </row>
    <row r="946">
      <c r="A946" t="n">
        <v>197365</v>
      </c>
      <c r="B946" t="n">
        <v>182</v>
      </c>
      <c r="C946" t="inlineStr">
        <is>
          <t>Love - Shibari - Kamino</t>
        </is>
      </c>
      <c r="D946" t="n">
        <v>128</v>
      </c>
      <c r="E946" t="inlineStr">
        <is>
          <t>Love Cabaret</t>
        </is>
      </c>
      <c r="F946" s="27" t="n">
        <v>45936</v>
      </c>
      <c r="G946" t="inlineStr">
        <is>
          <t>DEBITO</t>
        </is>
      </c>
      <c r="H946" t="inlineStr">
        <is>
          <t>Agencia Bioma</t>
        </is>
      </c>
      <c r="I946" t="n">
        <v>-8000</v>
      </c>
    </row>
    <row r="947">
      <c r="A947" t="n">
        <v>197364</v>
      </c>
      <c r="B947" t="n">
        <v>182</v>
      </c>
      <c r="C947" t="inlineStr">
        <is>
          <t>Love - Shibari - Kamino</t>
        </is>
      </c>
      <c r="D947" t="n">
        <v>128</v>
      </c>
      <c r="E947" t="inlineStr">
        <is>
          <t>Love Cabaret</t>
        </is>
      </c>
      <c r="F947" s="27" t="n">
        <v>45936</v>
      </c>
      <c r="G947" t="inlineStr">
        <is>
          <t>DEBITO</t>
        </is>
      </c>
      <c r="H947" t="inlineStr">
        <is>
          <t>Geraldo David Costa Jnior</t>
        </is>
      </c>
      <c r="I947" t="n">
        <v>-1500</v>
      </c>
    </row>
    <row r="948">
      <c r="A948" t="n">
        <v>197363</v>
      </c>
      <c r="B948" t="n">
        <v>182</v>
      </c>
      <c r="C948" t="inlineStr">
        <is>
          <t>Love - Shibari - Kamino</t>
        </is>
      </c>
      <c r="D948" t="n">
        <v>128</v>
      </c>
      <c r="E948" t="inlineStr">
        <is>
          <t>Love Cabaret</t>
        </is>
      </c>
      <c r="F948" s="27" t="n">
        <v>45936</v>
      </c>
      <c r="G948" t="inlineStr">
        <is>
          <t>DEBITO</t>
        </is>
      </c>
      <c r="H948" t="inlineStr">
        <is>
          <t>Felipe Ferreira Franca 36496185832</t>
        </is>
      </c>
      <c r="I948" t="n">
        <v>-1300</v>
      </c>
    </row>
    <row r="949">
      <c r="A949" t="n">
        <v>197362</v>
      </c>
      <c r="B949" t="n">
        <v>182</v>
      </c>
      <c r="C949" t="inlineStr">
        <is>
          <t>Love - Shibari - Kamino</t>
        </is>
      </c>
      <c r="D949" t="n">
        <v>128</v>
      </c>
      <c r="E949" t="inlineStr">
        <is>
          <t>Love Cabaret</t>
        </is>
      </c>
      <c r="F949" s="27" t="n">
        <v>45936</v>
      </c>
      <c r="G949" t="inlineStr">
        <is>
          <t>DEBITO</t>
        </is>
      </c>
      <c r="H949" t="inlineStr">
        <is>
          <t>Felipe da Costa Santos</t>
        </is>
      </c>
      <c r="I949" t="n">
        <v>-146.77</v>
      </c>
    </row>
    <row r="950">
      <c r="A950" t="n">
        <v>197361</v>
      </c>
      <c r="B950" t="n">
        <v>182</v>
      </c>
      <c r="C950" t="inlineStr">
        <is>
          <t>Love - Shibari - Kamino</t>
        </is>
      </c>
      <c r="D950" t="n">
        <v>128</v>
      </c>
      <c r="E950" t="inlineStr">
        <is>
          <t>Love Cabaret</t>
        </is>
      </c>
      <c r="F950" s="27" t="n">
        <v>45936</v>
      </c>
      <c r="G950" t="inlineStr">
        <is>
          <t>DEBITO</t>
        </is>
      </c>
      <c r="H950" t="inlineStr">
        <is>
          <t>Felipe Ferreira Franca 36496185832</t>
        </is>
      </c>
      <c r="I950" t="n">
        <v>-360</v>
      </c>
    </row>
    <row r="951">
      <c r="A951" t="n">
        <v>197360</v>
      </c>
      <c r="B951" t="n">
        <v>182</v>
      </c>
      <c r="C951" t="inlineStr">
        <is>
          <t>Love - Shibari - Kamino</t>
        </is>
      </c>
      <c r="D951" t="n">
        <v>128</v>
      </c>
      <c r="E951" t="inlineStr">
        <is>
          <t>Love Cabaret</t>
        </is>
      </c>
      <c r="F951" s="27" t="n">
        <v>45936</v>
      </c>
      <c r="G951" t="inlineStr">
        <is>
          <t>DEBITO</t>
        </is>
      </c>
      <c r="H951" t="inlineStr">
        <is>
          <t>Paulo Cesar Medeiros Eyzano</t>
        </is>
      </c>
      <c r="I951" t="n">
        <v>-3200</v>
      </c>
    </row>
    <row r="952">
      <c r="A952" t="n">
        <v>197359</v>
      </c>
      <c r="B952" t="n">
        <v>182</v>
      </c>
      <c r="C952" t="inlineStr">
        <is>
          <t>Love - Shibari - Kamino</t>
        </is>
      </c>
      <c r="D952" t="n">
        <v>128</v>
      </c>
      <c r="E952" t="inlineStr">
        <is>
          <t>Love Cabaret</t>
        </is>
      </c>
      <c r="F952" s="27" t="n">
        <v>45936</v>
      </c>
      <c r="G952" t="inlineStr">
        <is>
          <t>DEBITO</t>
        </is>
      </c>
      <c r="H952" t="inlineStr">
        <is>
          <t>Juliana Oliveira da Silva</t>
        </is>
      </c>
      <c r="I952" t="n">
        <v>-250</v>
      </c>
    </row>
    <row r="953">
      <c r="A953" t="n">
        <v>197358</v>
      </c>
      <c r="B953" t="n">
        <v>182</v>
      </c>
      <c r="C953" t="inlineStr">
        <is>
          <t>Love - Shibari - Kamino</t>
        </is>
      </c>
      <c r="D953" t="n">
        <v>128</v>
      </c>
      <c r="E953" t="inlineStr">
        <is>
          <t>Love Cabaret</t>
        </is>
      </c>
      <c r="F953" s="27" t="n">
        <v>45936</v>
      </c>
      <c r="G953" t="inlineStr">
        <is>
          <t>DEBITO</t>
        </is>
      </c>
      <c r="H953" t="inlineStr">
        <is>
          <t>Thamiris Vieira Silva Luz</t>
        </is>
      </c>
      <c r="I953" t="n">
        <v>-250</v>
      </c>
    </row>
    <row r="954">
      <c r="A954" t="n">
        <v>197388</v>
      </c>
      <c r="B954" t="n">
        <v>182</v>
      </c>
      <c r="C954" t="inlineStr">
        <is>
          <t>Love - Shibari - Kamino</t>
        </is>
      </c>
      <c r="D954" t="n">
        <v>128</v>
      </c>
      <c r="E954" t="inlineStr">
        <is>
          <t>Love Cabaret</t>
        </is>
      </c>
      <c r="F954" s="27" t="n">
        <v>45936</v>
      </c>
      <c r="G954" t="inlineStr">
        <is>
          <t>CREDITO</t>
        </is>
      </c>
      <c r="H954" t="inlineStr">
        <is>
          <t>SHIBARI ART E DIVERSAO LTDA</t>
        </is>
      </c>
      <c r="I954" t="n">
        <v>1000</v>
      </c>
    </row>
    <row r="955">
      <c r="A955" t="n">
        <v>197357</v>
      </c>
      <c r="B955" t="n">
        <v>182</v>
      </c>
      <c r="C955" t="inlineStr">
        <is>
          <t>Love - Shibari - Kamino</t>
        </is>
      </c>
      <c r="D955" t="n">
        <v>128</v>
      </c>
      <c r="E955" t="inlineStr">
        <is>
          <t>Love Cabaret</t>
        </is>
      </c>
      <c r="F955" s="27" t="n">
        <v>45936</v>
      </c>
      <c r="G955" t="inlineStr">
        <is>
          <t>DEBITO</t>
        </is>
      </c>
      <c r="H955" t="inlineStr">
        <is>
          <t>Psss Ltda</t>
        </is>
      </c>
      <c r="I955" t="n">
        <v>-392.25</v>
      </c>
    </row>
    <row r="956">
      <c r="A956" t="n">
        <v>197356</v>
      </c>
      <c r="B956" t="n">
        <v>182</v>
      </c>
      <c r="C956" t="inlineStr">
        <is>
          <t>Love - Shibari - Kamino</t>
        </is>
      </c>
      <c r="D956" t="n">
        <v>128</v>
      </c>
      <c r="E956" t="inlineStr">
        <is>
          <t>Love Cabaret</t>
        </is>
      </c>
      <c r="F956" s="27" t="n">
        <v>45936</v>
      </c>
      <c r="G956" t="inlineStr">
        <is>
          <t>CREDITO</t>
        </is>
      </c>
      <c r="H956" t="inlineStr">
        <is>
          <t>SHIBARI ART E DIVERSAO LTDA</t>
        </is>
      </c>
      <c r="I956" t="n">
        <v>17000</v>
      </c>
    </row>
    <row r="957">
      <c r="A957" t="n">
        <v>197374</v>
      </c>
      <c r="B957" t="n">
        <v>182</v>
      </c>
      <c r="C957" t="inlineStr">
        <is>
          <t>Love - Shibari - Kamino</t>
        </is>
      </c>
      <c r="D957" t="n">
        <v>128</v>
      </c>
      <c r="E957" t="inlineStr">
        <is>
          <t>Love Cabaret</t>
        </is>
      </c>
      <c r="F957" s="27" t="n">
        <v>45936</v>
      </c>
      <c r="G957" t="inlineStr">
        <is>
          <t>DEBITO</t>
        </is>
      </c>
      <c r="H957" t="inlineStr">
        <is>
          <t>Multifrangos com Alim Ltda Me</t>
        </is>
      </c>
      <c r="I957" t="n">
        <v>-570.0599999999999</v>
      </c>
    </row>
    <row r="958">
      <c r="A958" t="n">
        <v>197390</v>
      </c>
      <c r="B958" t="n">
        <v>182</v>
      </c>
      <c r="C958" t="inlineStr">
        <is>
          <t>Love - Shibari - Kamino</t>
        </is>
      </c>
      <c r="D958" t="n">
        <v>128</v>
      </c>
      <c r="E958" t="inlineStr">
        <is>
          <t>Love Cabaret</t>
        </is>
      </c>
      <c r="F958" s="27" t="n">
        <v>45936</v>
      </c>
      <c r="G958" t="inlineStr">
        <is>
          <t>DEBITO</t>
        </is>
      </c>
      <c r="H958" t="inlineStr">
        <is>
          <t>Caroline Ferreira da Silva</t>
        </is>
      </c>
      <c r="I958" t="n">
        <v>-250</v>
      </c>
    </row>
    <row r="959">
      <c r="A959" t="n">
        <v>197389</v>
      </c>
      <c r="B959" t="n">
        <v>182</v>
      </c>
      <c r="C959" t="inlineStr">
        <is>
          <t>Love - Shibari - Kamino</t>
        </is>
      </c>
      <c r="D959" t="n">
        <v>128</v>
      </c>
      <c r="E959" t="inlineStr">
        <is>
          <t>Love Cabaret</t>
        </is>
      </c>
      <c r="F959" s="27" t="n">
        <v>45936</v>
      </c>
      <c r="G959" t="inlineStr">
        <is>
          <t>DEBITO</t>
        </is>
      </c>
      <c r="H959" t="inlineStr">
        <is>
          <t>KAMINO INSTITUICAO DE PAGAMENTO LTDA</t>
        </is>
      </c>
      <c r="I959" t="n">
        <v>-4579.01</v>
      </c>
    </row>
    <row r="960">
      <c r="A960" t="n">
        <v>197387</v>
      </c>
      <c r="B960" t="n">
        <v>182</v>
      </c>
      <c r="C960" t="inlineStr">
        <is>
          <t>Love - Shibari - Kamino</t>
        </is>
      </c>
      <c r="D960" t="n">
        <v>128</v>
      </c>
      <c r="E960" t="inlineStr">
        <is>
          <t>Love Cabaret</t>
        </is>
      </c>
      <c r="F960" s="27" t="n">
        <v>45936</v>
      </c>
      <c r="G960" t="inlineStr">
        <is>
          <t>CREDITO</t>
        </is>
      </c>
      <c r="H960" t="inlineStr">
        <is>
          <t>SHIBARI ART E DIVERSAO LTDA</t>
        </is>
      </c>
      <c r="I960" t="n">
        <v>4000</v>
      </c>
    </row>
    <row r="961">
      <c r="A961" t="n">
        <v>197386</v>
      </c>
      <c r="B961" t="n">
        <v>182</v>
      </c>
      <c r="C961" t="inlineStr">
        <is>
          <t>Love - Shibari - Kamino</t>
        </is>
      </c>
      <c r="D961" t="n">
        <v>128</v>
      </c>
      <c r="E961" t="inlineStr">
        <is>
          <t>Love Cabaret</t>
        </is>
      </c>
      <c r="F961" s="27" t="n">
        <v>45936</v>
      </c>
      <c r="G961" t="inlineStr">
        <is>
          <t>CREDITO</t>
        </is>
      </c>
      <c r="H961" t="inlineStr">
        <is>
          <t>Pix Env No Processado</t>
        </is>
      </c>
      <c r="I961" t="n">
        <v>250</v>
      </c>
    </row>
    <row r="962">
      <c r="A962" t="n">
        <v>197385</v>
      </c>
      <c r="B962" t="n">
        <v>182</v>
      </c>
      <c r="C962" t="inlineStr">
        <is>
          <t>Love - Shibari - Kamino</t>
        </is>
      </c>
      <c r="D962" t="n">
        <v>128</v>
      </c>
      <c r="E962" t="inlineStr">
        <is>
          <t>Love Cabaret</t>
        </is>
      </c>
      <c r="F962" s="27" t="n">
        <v>45936</v>
      </c>
      <c r="G962" t="inlineStr">
        <is>
          <t>DEBITO</t>
        </is>
      </c>
      <c r="H962" t="inlineStr">
        <is>
          <t>Thamiris Vieira Silva Luz</t>
        </is>
      </c>
      <c r="I962" t="n">
        <v>-250</v>
      </c>
    </row>
    <row r="963">
      <c r="A963" t="n">
        <v>197384</v>
      </c>
      <c r="B963" t="n">
        <v>182</v>
      </c>
      <c r="C963" t="inlineStr">
        <is>
          <t>Love - Shibari - Kamino</t>
        </is>
      </c>
      <c r="D963" t="n">
        <v>128</v>
      </c>
      <c r="E963" t="inlineStr">
        <is>
          <t>Love Cabaret</t>
        </is>
      </c>
      <c r="F963" s="27" t="n">
        <v>45936</v>
      </c>
      <c r="G963" t="inlineStr">
        <is>
          <t>DEBITO</t>
        </is>
      </c>
      <c r="H963" t="inlineStr">
        <is>
          <t>Felipe da Costa Santos</t>
        </is>
      </c>
      <c r="I963" t="n">
        <v>-93.23999999999999</v>
      </c>
    </row>
    <row r="964">
      <c r="A964" t="n">
        <v>197383</v>
      </c>
      <c r="B964" t="n">
        <v>182</v>
      </c>
      <c r="C964" t="inlineStr">
        <is>
          <t>Love - Shibari - Kamino</t>
        </is>
      </c>
      <c r="D964" t="n">
        <v>128</v>
      </c>
      <c r="E964" t="inlineStr">
        <is>
          <t>Love Cabaret</t>
        </is>
      </c>
      <c r="F964" s="27" t="n">
        <v>45936</v>
      </c>
      <c r="G964" t="inlineStr">
        <is>
          <t>DEBITO</t>
        </is>
      </c>
      <c r="H964" t="inlineStr">
        <is>
          <t>Takuarobi</t>
        </is>
      </c>
      <c r="I964" t="n">
        <v>-530</v>
      </c>
    </row>
    <row r="965">
      <c r="A965" t="n">
        <v>197382</v>
      </c>
      <c r="B965" t="n">
        <v>182</v>
      </c>
      <c r="C965" t="inlineStr">
        <is>
          <t>Love - Shibari - Kamino</t>
        </is>
      </c>
      <c r="D965" t="n">
        <v>128</v>
      </c>
      <c r="E965" t="inlineStr">
        <is>
          <t>Love Cabaret</t>
        </is>
      </c>
      <c r="F965" s="27" t="n">
        <v>45936</v>
      </c>
      <c r="G965" t="inlineStr">
        <is>
          <t>DEBITO</t>
        </is>
      </c>
      <c r="H965" t="inlineStr">
        <is>
          <t>Pagcerto Instituicao de Pagamento L</t>
        </is>
      </c>
      <c r="I965" t="n">
        <v>-220</v>
      </c>
    </row>
    <row r="966">
      <c r="A966" t="n">
        <v>197381</v>
      </c>
      <c r="B966" t="n">
        <v>182</v>
      </c>
      <c r="C966" t="inlineStr">
        <is>
          <t>Love - Shibari - Kamino</t>
        </is>
      </c>
      <c r="D966" t="n">
        <v>128</v>
      </c>
      <c r="E966" t="inlineStr">
        <is>
          <t>Love Cabaret</t>
        </is>
      </c>
      <c r="F966" s="27" t="n">
        <v>45936</v>
      </c>
      <c r="G966" t="inlineStr">
        <is>
          <t>DEBITO</t>
        </is>
      </c>
      <c r="H966" t="inlineStr">
        <is>
          <t>Free Som - Locacao de Som e Luz Ltda</t>
        </is>
      </c>
      <c r="I966" t="n">
        <v>-6000</v>
      </c>
    </row>
    <row r="967">
      <c r="A967" t="n">
        <v>197380</v>
      </c>
      <c r="B967" t="n">
        <v>182</v>
      </c>
      <c r="C967" t="inlineStr">
        <is>
          <t>Love - Shibari - Kamino</t>
        </is>
      </c>
      <c r="D967" t="n">
        <v>128</v>
      </c>
      <c r="E967" t="inlineStr">
        <is>
          <t>Love Cabaret</t>
        </is>
      </c>
      <c r="F967" s="27" t="n">
        <v>45936</v>
      </c>
      <c r="G967" t="inlineStr">
        <is>
          <t>DEBITO</t>
        </is>
      </c>
      <c r="H967" t="inlineStr">
        <is>
          <t>Stark Bank S.A.</t>
        </is>
      </c>
      <c r="I967" t="n">
        <v>-89.5</v>
      </c>
    </row>
    <row r="968">
      <c r="A968" t="n">
        <v>197379</v>
      </c>
      <c r="B968" t="n">
        <v>182</v>
      </c>
      <c r="C968" t="inlineStr">
        <is>
          <t>Love - Shibari - Kamino</t>
        </is>
      </c>
      <c r="D968" t="n">
        <v>128</v>
      </c>
      <c r="E968" t="inlineStr">
        <is>
          <t>Love Cabaret</t>
        </is>
      </c>
      <c r="F968" s="27" t="n">
        <v>45936</v>
      </c>
      <c r="G968" t="inlineStr">
        <is>
          <t>DEBITO</t>
        </is>
      </c>
      <c r="H968" t="inlineStr">
        <is>
          <t>Cg Food S Distr Alimentos Ltda</t>
        </is>
      </c>
      <c r="I968" t="n">
        <v>-302.9</v>
      </c>
    </row>
    <row r="969">
      <c r="A969" t="n">
        <v>197378</v>
      </c>
      <c r="B969" t="n">
        <v>182</v>
      </c>
      <c r="C969" t="inlineStr">
        <is>
          <t>Love - Shibari - Kamino</t>
        </is>
      </c>
      <c r="D969" t="n">
        <v>128</v>
      </c>
      <c r="E969" t="inlineStr">
        <is>
          <t>Love Cabaret</t>
        </is>
      </c>
      <c r="F969" s="27" t="n">
        <v>45936</v>
      </c>
      <c r="G969" t="inlineStr">
        <is>
          <t>DEBITO</t>
        </is>
      </c>
      <c r="H969" t="inlineStr">
        <is>
          <t>Eletropaulo Metropolitana</t>
        </is>
      </c>
      <c r="I969" t="n">
        <v>-12924.27</v>
      </c>
    </row>
    <row r="970">
      <c r="A970" t="n">
        <v>197377</v>
      </c>
      <c r="B970" t="n">
        <v>182</v>
      </c>
      <c r="C970" t="inlineStr">
        <is>
          <t>Love - Shibari - Kamino</t>
        </is>
      </c>
      <c r="D970" t="n">
        <v>128</v>
      </c>
      <c r="E970" t="inlineStr">
        <is>
          <t>Love Cabaret</t>
        </is>
      </c>
      <c r="F970" s="27" t="n">
        <v>45936</v>
      </c>
      <c r="G970" t="inlineStr">
        <is>
          <t>DEBITO</t>
        </is>
      </c>
      <c r="H970" t="inlineStr">
        <is>
          <t>Hortifrutigranjeiro Rodrigues</t>
        </is>
      </c>
      <c r="I970" t="n">
        <v>-157.3</v>
      </c>
    </row>
    <row r="971">
      <c r="A971" t="n">
        <v>197376</v>
      </c>
      <c r="B971" t="n">
        <v>182</v>
      </c>
      <c r="C971" t="inlineStr">
        <is>
          <t>Love - Shibari - Kamino</t>
        </is>
      </c>
      <c r="D971" t="n">
        <v>128</v>
      </c>
      <c r="E971" t="inlineStr">
        <is>
          <t>Love Cabaret</t>
        </is>
      </c>
      <c r="F971" s="27" t="n">
        <v>45936</v>
      </c>
      <c r="G971" t="inlineStr">
        <is>
          <t>DEBITO</t>
        </is>
      </c>
      <c r="H971" t="inlineStr">
        <is>
          <t>Psss Ltda</t>
        </is>
      </c>
      <c r="I971" t="n">
        <v>-176</v>
      </c>
    </row>
    <row r="972">
      <c r="A972" t="n">
        <v>197375</v>
      </c>
      <c r="B972" t="n">
        <v>182</v>
      </c>
      <c r="C972" t="inlineStr">
        <is>
          <t>Love - Shibari - Kamino</t>
        </is>
      </c>
      <c r="D972" t="n">
        <v>128</v>
      </c>
      <c r="E972" t="inlineStr">
        <is>
          <t>Love Cabaret</t>
        </is>
      </c>
      <c r="F972" s="27" t="n">
        <v>45936</v>
      </c>
      <c r="G972" t="inlineStr">
        <is>
          <t>DEBITO</t>
        </is>
      </c>
      <c r="H972" t="inlineStr">
        <is>
          <t>Hortifrutigranjeiro Rodrigues</t>
        </is>
      </c>
      <c r="I972" t="n">
        <v>-385</v>
      </c>
    </row>
    <row r="973">
      <c r="A973" t="n">
        <v>197373</v>
      </c>
      <c r="B973" t="n">
        <v>182</v>
      </c>
      <c r="C973" t="inlineStr">
        <is>
          <t>Love - Shibari - Kamino</t>
        </is>
      </c>
      <c r="D973" t="n">
        <v>128</v>
      </c>
      <c r="E973" t="inlineStr">
        <is>
          <t>Love Cabaret</t>
        </is>
      </c>
      <c r="F973" s="27" t="n">
        <v>45936</v>
      </c>
      <c r="G973" t="inlineStr">
        <is>
          <t>DEBITO</t>
        </is>
      </c>
      <c r="H973" t="inlineStr">
        <is>
          <t>Eletropaulo Metropolitana</t>
        </is>
      </c>
      <c r="I973" t="n">
        <v>-109.13</v>
      </c>
    </row>
    <row r="974">
      <c r="A974" t="n">
        <v>197355</v>
      </c>
      <c r="B974" t="n">
        <v>182</v>
      </c>
      <c r="C974" t="inlineStr">
        <is>
          <t>Love - Shibari - Kamino</t>
        </is>
      </c>
      <c r="D974" t="n">
        <v>128</v>
      </c>
      <c r="E974" t="inlineStr">
        <is>
          <t>Love Cabaret</t>
        </is>
      </c>
      <c r="F974" s="27" t="n">
        <v>45932</v>
      </c>
      <c r="G974" t="inlineStr">
        <is>
          <t>DEBITO</t>
        </is>
      </c>
      <c r="H974" t="inlineStr">
        <is>
          <t>Felipe da Costa Santos</t>
        </is>
      </c>
      <c r="I974" t="n">
        <v>-5100</v>
      </c>
    </row>
    <row r="975">
      <c r="A975" t="n">
        <v>197354</v>
      </c>
      <c r="B975" t="n">
        <v>182</v>
      </c>
      <c r="C975" t="inlineStr">
        <is>
          <t>Love - Shibari - Kamino</t>
        </is>
      </c>
      <c r="D975" t="n">
        <v>128</v>
      </c>
      <c r="E975" t="inlineStr">
        <is>
          <t>Love Cabaret</t>
        </is>
      </c>
      <c r="F975" s="27" t="n">
        <v>45932</v>
      </c>
      <c r="G975" t="inlineStr">
        <is>
          <t>DEBITO</t>
        </is>
      </c>
      <c r="H975" t="inlineStr">
        <is>
          <t>Felipe da Costa Santos</t>
        </is>
      </c>
      <c r="I975" t="n">
        <v>-3740</v>
      </c>
    </row>
    <row r="976">
      <c r="A976" t="n">
        <v>196987</v>
      </c>
      <c r="B976" t="n">
        <v>115</v>
      </c>
      <c r="C976" t="inlineStr">
        <is>
          <t>Love - Shibari - Bradesco</t>
        </is>
      </c>
      <c r="D976" t="n">
        <v>128</v>
      </c>
      <c r="E976" t="inlineStr">
        <is>
          <t>Love Cabaret</t>
        </is>
      </c>
      <c r="F976" s="27" t="n">
        <v>45931.5</v>
      </c>
      <c r="G976" t="inlineStr">
        <is>
          <t>CREDITO</t>
        </is>
      </c>
      <c r="H976" t="inlineStr">
        <is>
          <t>TED-TRANSF ELET DISPON REMET.SYMPLA INTERNET SOLU</t>
        </is>
      </c>
      <c r="I976" t="n">
        <v>11710</v>
      </c>
    </row>
    <row r="977">
      <c r="A977" t="n">
        <v>196988</v>
      </c>
      <c r="B977" t="n">
        <v>115</v>
      </c>
      <c r="C977" t="inlineStr">
        <is>
          <t>Love - Shibari - Bradesco</t>
        </is>
      </c>
      <c r="D977" t="n">
        <v>128</v>
      </c>
      <c r="E977" t="inlineStr">
        <is>
          <t>Love Cabaret</t>
        </is>
      </c>
      <c r="F977" s="27" t="n">
        <v>45931.5</v>
      </c>
      <c r="G977" t="inlineStr">
        <is>
          <t>CREDITO</t>
        </is>
      </c>
      <c r="H977" t="inlineStr">
        <is>
          <t>TED-TRANSF ELET DISPON REMET.SYMPLA INTERNET SOLU</t>
        </is>
      </c>
      <c r="I977" t="n">
        <v>10690</v>
      </c>
    </row>
    <row r="978">
      <c r="A978" t="n">
        <v>196989</v>
      </c>
      <c r="B978" t="n">
        <v>115</v>
      </c>
      <c r="C978" t="inlineStr">
        <is>
          <t>Love - Shibari - Bradesco</t>
        </is>
      </c>
      <c r="D978" t="n">
        <v>128</v>
      </c>
      <c r="E978" t="inlineStr">
        <is>
          <t>Love Cabaret</t>
        </is>
      </c>
      <c r="F978" s="27" t="n">
        <v>45931.5</v>
      </c>
      <c r="G978" t="inlineStr">
        <is>
          <t>CREDITO</t>
        </is>
      </c>
      <c r="H978" t="inlineStr">
        <is>
          <t>DEP DINHEIRO ATM AG00117MAQ061059SEQ00205</t>
        </is>
      </c>
      <c r="I978" t="n">
        <v>1513</v>
      </c>
    </row>
    <row r="979">
      <c r="A979" t="n">
        <v>196990</v>
      </c>
      <c r="B979" t="n">
        <v>115</v>
      </c>
      <c r="C979" t="inlineStr">
        <is>
          <t>Love - Shibari - Bradesco</t>
        </is>
      </c>
      <c r="D979" t="n">
        <v>128</v>
      </c>
      <c r="E979" t="inlineStr">
        <is>
          <t>Love Cabaret</t>
        </is>
      </c>
      <c r="F979" s="27" t="n">
        <v>45931.5</v>
      </c>
      <c r="G979" t="inlineStr">
        <is>
          <t>DEBITO</t>
        </is>
      </c>
      <c r="H979" t="inlineStr">
        <is>
          <t>TARIFA BANCARIA TRANSF PGTO PIX</t>
        </is>
      </c>
      <c r="I979" t="n">
        <v>-9.800000000000001</v>
      </c>
    </row>
    <row r="980">
      <c r="A980" t="n">
        <v>179272</v>
      </c>
      <c r="B980" t="n">
        <v>182</v>
      </c>
      <c r="C980" t="inlineStr">
        <is>
          <t>Love - Shibari - Kamino</t>
        </is>
      </c>
      <c r="D980" t="n">
        <v>128</v>
      </c>
      <c r="E980" t="inlineStr">
        <is>
          <t>Love Cabaret</t>
        </is>
      </c>
      <c r="F980" s="27" t="n">
        <v>45931</v>
      </c>
      <c r="G980" t="inlineStr">
        <is>
          <t>DEBITO</t>
        </is>
      </c>
      <c r="H980" t="inlineStr">
        <is>
          <t>Forte Alimentos Comercio e Importacao Lt</t>
        </is>
      </c>
      <c r="I980" t="n">
        <v>-179</v>
      </c>
    </row>
    <row r="981">
      <c r="A981" t="n">
        <v>179276</v>
      </c>
      <c r="B981" t="n">
        <v>182</v>
      </c>
      <c r="C981" t="inlineStr">
        <is>
          <t>Love - Shibari - Kamino</t>
        </is>
      </c>
      <c r="D981" t="n">
        <v>128</v>
      </c>
      <c r="E981" t="inlineStr">
        <is>
          <t>Love Cabaret</t>
        </is>
      </c>
      <c r="F981" s="27" t="n">
        <v>45931</v>
      </c>
      <c r="G981" t="inlineStr">
        <is>
          <t>DEBITO</t>
        </is>
      </c>
      <c r="H981" t="inlineStr">
        <is>
          <t>Cg Food S Distr Alimentos Ltda</t>
        </is>
      </c>
      <c r="I981" t="n">
        <v>-366.5</v>
      </c>
    </row>
    <row r="982">
      <c r="A982" t="n">
        <v>179275</v>
      </c>
      <c r="B982" t="n">
        <v>182</v>
      </c>
      <c r="C982" t="inlineStr">
        <is>
          <t>Love - Shibari - Kamino</t>
        </is>
      </c>
      <c r="D982" t="n">
        <v>128</v>
      </c>
      <c r="E982" t="inlineStr">
        <is>
          <t>Love Cabaret</t>
        </is>
      </c>
      <c r="F982" s="27" t="n">
        <v>45931</v>
      </c>
      <c r="G982" t="inlineStr">
        <is>
          <t>DEBITO</t>
        </is>
      </c>
      <c r="H982" t="inlineStr">
        <is>
          <t>Ecad</t>
        </is>
      </c>
      <c r="I982" t="n">
        <v>-802.5</v>
      </c>
    </row>
    <row r="983">
      <c r="A983" t="n">
        <v>179274</v>
      </c>
      <c r="B983" t="n">
        <v>182</v>
      </c>
      <c r="C983" t="inlineStr">
        <is>
          <t>Love - Shibari - Kamino</t>
        </is>
      </c>
      <c r="D983" t="n">
        <v>128</v>
      </c>
      <c r="E983" t="inlineStr">
        <is>
          <t>Love Cabaret</t>
        </is>
      </c>
      <c r="F983" s="27" t="n">
        <v>45931</v>
      </c>
      <c r="G983" t="inlineStr">
        <is>
          <t>DEBITO</t>
        </is>
      </c>
      <c r="H983" t="inlineStr">
        <is>
          <t>Cem Engenharia da Manutencao L</t>
        </is>
      </c>
      <c r="I983" t="n">
        <v>-845.5</v>
      </c>
    </row>
    <row r="984">
      <c r="A984" t="n">
        <v>179273</v>
      </c>
      <c r="B984" t="n">
        <v>182</v>
      </c>
      <c r="C984" t="inlineStr">
        <is>
          <t>Love - Shibari - Kamino</t>
        </is>
      </c>
      <c r="D984" t="n">
        <v>128</v>
      </c>
      <c r="E984" t="inlineStr">
        <is>
          <t>Love Cabaret</t>
        </is>
      </c>
      <c r="F984" s="27" t="n">
        <v>45931</v>
      </c>
      <c r="G984" t="inlineStr">
        <is>
          <t>DEBITO</t>
        </is>
      </c>
      <c r="H984" t="inlineStr">
        <is>
          <t>Estaff Solucoes Tecnologicas de Agenciam</t>
        </is>
      </c>
      <c r="I984" t="n">
        <v>-14652</v>
      </c>
    </row>
    <row r="985">
      <c r="A985" t="n">
        <v>179267</v>
      </c>
      <c r="B985" t="n">
        <v>182</v>
      </c>
      <c r="C985" t="inlineStr">
        <is>
          <t>Love - Shibari - Kamino</t>
        </is>
      </c>
      <c r="D985" t="n">
        <v>128</v>
      </c>
      <c r="E985" t="inlineStr">
        <is>
          <t>Love Cabaret</t>
        </is>
      </c>
      <c r="F985" s="27" t="n">
        <v>45931</v>
      </c>
      <c r="G985" t="inlineStr">
        <is>
          <t>DEBITO</t>
        </is>
      </c>
      <c r="H985" t="inlineStr">
        <is>
          <t>King Comercio de Bebidas Ltda</t>
        </is>
      </c>
      <c r="I985" t="n">
        <v>-1484.7</v>
      </c>
    </row>
    <row r="986">
      <c r="A986" t="n">
        <v>179271</v>
      </c>
      <c r="B986" t="n">
        <v>182</v>
      </c>
      <c r="C986" t="inlineStr">
        <is>
          <t>Love - Shibari - Kamino</t>
        </is>
      </c>
      <c r="D986" t="n">
        <v>128</v>
      </c>
      <c r="E986" t="inlineStr">
        <is>
          <t>Love Cabaret</t>
        </is>
      </c>
      <c r="F986" s="27" t="n">
        <v>45931</v>
      </c>
      <c r="G986" t="inlineStr">
        <is>
          <t>DEBITO</t>
        </is>
      </c>
      <c r="H986" t="inlineStr">
        <is>
          <t>Easy Ice Solution Ltda Me</t>
        </is>
      </c>
      <c r="I986" t="n">
        <v>-1600</v>
      </c>
    </row>
    <row r="987">
      <c r="A987" t="n">
        <v>179269</v>
      </c>
      <c r="B987" t="n">
        <v>182</v>
      </c>
      <c r="C987" t="inlineStr">
        <is>
          <t>Love - Shibari - Kamino</t>
        </is>
      </c>
      <c r="D987" t="n">
        <v>128</v>
      </c>
      <c r="E987" t="inlineStr">
        <is>
          <t>Love Cabaret</t>
        </is>
      </c>
      <c r="F987" s="27" t="n">
        <v>45931</v>
      </c>
      <c r="G987" t="inlineStr">
        <is>
          <t>DEBITO</t>
        </is>
      </c>
      <c r="H987" t="inlineStr">
        <is>
          <t>Fg7 Comercio D B Eireli Epp</t>
        </is>
      </c>
      <c r="I987" t="n">
        <v>-2609.88</v>
      </c>
    </row>
    <row r="988">
      <c r="A988" t="n">
        <v>179266</v>
      </c>
      <c r="B988" t="n">
        <v>182</v>
      </c>
      <c r="C988" t="inlineStr">
        <is>
          <t>Love - Shibari - Kamino</t>
        </is>
      </c>
      <c r="D988" t="n">
        <v>128</v>
      </c>
      <c r="E988" t="inlineStr">
        <is>
          <t>Love Cabaret</t>
        </is>
      </c>
      <c r="F988" s="27" t="n">
        <v>45931</v>
      </c>
      <c r="G988" t="inlineStr">
        <is>
          <t>DEBITO</t>
        </is>
      </c>
      <c r="H988" t="inlineStr">
        <is>
          <t>Dlocal Brasil I de Pagamentos</t>
        </is>
      </c>
      <c r="I988" t="n">
        <v>-5000</v>
      </c>
    </row>
    <row r="989">
      <c r="A989" t="n">
        <v>179265</v>
      </c>
      <c r="B989" t="n">
        <v>182</v>
      </c>
      <c r="C989" t="inlineStr">
        <is>
          <t>Love - Shibari - Kamino</t>
        </is>
      </c>
      <c r="D989" t="n">
        <v>128</v>
      </c>
      <c r="E989" t="inlineStr">
        <is>
          <t>Love Cabaret</t>
        </is>
      </c>
      <c r="F989" s="27" t="n">
        <v>45931</v>
      </c>
      <c r="G989" t="inlineStr">
        <is>
          <t>DEBITO</t>
        </is>
      </c>
      <c r="H989" t="inlineStr">
        <is>
          <t>Leon Franz</t>
        </is>
      </c>
      <c r="I989" t="n">
        <v>-52</v>
      </c>
    </row>
    <row r="990">
      <c r="A990" t="n">
        <v>179264</v>
      </c>
      <c r="B990" t="n">
        <v>182</v>
      </c>
      <c r="C990" t="inlineStr">
        <is>
          <t>Love - Shibari - Kamino</t>
        </is>
      </c>
      <c r="D990" t="n">
        <v>128</v>
      </c>
      <c r="E990" t="inlineStr">
        <is>
          <t>Love Cabaret</t>
        </is>
      </c>
      <c r="F990" s="27" t="n">
        <v>45931</v>
      </c>
      <c r="G990" t="inlineStr">
        <is>
          <t>DEBITO</t>
        </is>
      </c>
      <c r="H990" t="inlineStr">
        <is>
          <t>Cia do Whisky</t>
        </is>
      </c>
      <c r="I990" t="n">
        <v>-920.8200000000001</v>
      </c>
    </row>
    <row r="991">
      <c r="A991" t="n">
        <v>179263</v>
      </c>
      <c r="B991" t="n">
        <v>182</v>
      </c>
      <c r="C991" t="inlineStr">
        <is>
          <t>Love - Shibari - Kamino</t>
        </is>
      </c>
      <c r="D991" t="n">
        <v>128</v>
      </c>
      <c r="E991" t="inlineStr">
        <is>
          <t>Love Cabaret</t>
        </is>
      </c>
      <c r="F991" s="27" t="n">
        <v>45931</v>
      </c>
      <c r="G991" t="inlineStr">
        <is>
          <t>DEBITO</t>
        </is>
      </c>
      <c r="H991" t="inlineStr">
        <is>
          <t>Ms Frangos Ltda</t>
        </is>
      </c>
      <c r="I991" t="n">
        <v>-822.7</v>
      </c>
    </row>
    <row r="992">
      <c r="A992" t="n">
        <v>179268</v>
      </c>
      <c r="B992" t="n">
        <v>182</v>
      </c>
      <c r="C992" t="inlineStr">
        <is>
          <t>Love - Shibari - Kamino</t>
        </is>
      </c>
      <c r="D992" t="n">
        <v>128</v>
      </c>
      <c r="E992" t="inlineStr">
        <is>
          <t>Love Cabaret</t>
        </is>
      </c>
      <c r="F992" s="27" t="n">
        <v>45931</v>
      </c>
      <c r="G992" t="inlineStr">
        <is>
          <t>DEBITO</t>
        </is>
      </c>
      <c r="H992" t="inlineStr">
        <is>
          <t>Cecilia Tsuyaco Araki Silva Ltda</t>
        </is>
      </c>
      <c r="I992" t="n">
        <v>-165.4</v>
      </c>
    </row>
    <row r="993">
      <c r="A993" t="n">
        <v>179262</v>
      </c>
      <c r="B993" t="n">
        <v>182</v>
      </c>
      <c r="C993" t="inlineStr">
        <is>
          <t>Love - Shibari - Kamino</t>
        </is>
      </c>
      <c r="D993" t="n">
        <v>128</v>
      </c>
      <c r="E993" t="inlineStr">
        <is>
          <t>Love Cabaret</t>
        </is>
      </c>
      <c r="F993" s="27" t="n">
        <v>45931</v>
      </c>
      <c r="G993" t="inlineStr">
        <is>
          <t>DEBITO</t>
        </is>
      </c>
      <c r="H993" t="inlineStr">
        <is>
          <t>King Comercio de Bebidas Ltda</t>
        </is>
      </c>
      <c r="I993" t="n">
        <v>-2058.58</v>
      </c>
    </row>
    <row r="994">
      <c r="A994" t="n">
        <v>179261</v>
      </c>
      <c r="B994" t="n">
        <v>182</v>
      </c>
      <c r="C994" t="inlineStr">
        <is>
          <t>Love - Shibari - Kamino</t>
        </is>
      </c>
      <c r="D994" t="n">
        <v>128</v>
      </c>
      <c r="E994" t="inlineStr">
        <is>
          <t>Love Cabaret</t>
        </is>
      </c>
      <c r="F994" s="27" t="n">
        <v>45931</v>
      </c>
      <c r="G994" t="inlineStr">
        <is>
          <t>DEBITO</t>
        </is>
      </c>
      <c r="H994" t="inlineStr">
        <is>
          <t>Forte Alimentos Comercio e Importacao Lt</t>
        </is>
      </c>
      <c r="I994" t="n">
        <v>-435.5</v>
      </c>
    </row>
    <row r="995">
      <c r="A995" t="n">
        <v>179270</v>
      </c>
      <c r="B995" t="n">
        <v>182</v>
      </c>
      <c r="C995" t="inlineStr">
        <is>
          <t>Love - Shibari - Kamino</t>
        </is>
      </c>
      <c r="D995" t="n">
        <v>128</v>
      </c>
      <c r="E995" t="inlineStr">
        <is>
          <t>Love Cabaret</t>
        </is>
      </c>
      <c r="F995" s="27" t="n">
        <v>45931</v>
      </c>
      <c r="G995" t="inlineStr">
        <is>
          <t>DEBITO</t>
        </is>
      </c>
      <c r="H995" t="inlineStr">
        <is>
          <t>Laticinios Fior D Italia Ltda</t>
        </is>
      </c>
      <c r="I995" t="n">
        <v>-326.75</v>
      </c>
    </row>
    <row r="996">
      <c r="A996" t="n">
        <v>179224</v>
      </c>
      <c r="B996" t="n">
        <v>115</v>
      </c>
      <c r="C996" t="inlineStr">
        <is>
          <t>Love - Shibari - Bradesco</t>
        </is>
      </c>
      <c r="D996" t="n">
        <v>128</v>
      </c>
      <c r="E996" t="inlineStr">
        <is>
          <t>Love Cabaret</t>
        </is>
      </c>
      <c r="F996" s="27" t="n">
        <v>45930.5</v>
      </c>
      <c r="G996" t="inlineStr">
        <is>
          <t>CREDITO</t>
        </is>
      </c>
      <c r="H996" t="inlineStr">
        <is>
          <t>TED-TRANSF ELET DISPON REMET.Zig Tecnologia S.A.</t>
        </is>
      </c>
      <c r="I996" t="n">
        <v>12689.81</v>
      </c>
    </row>
    <row r="997">
      <c r="A997" t="n">
        <v>179226</v>
      </c>
      <c r="B997" t="n">
        <v>115</v>
      </c>
      <c r="C997" t="inlineStr">
        <is>
          <t>Love - Shibari - Bradesco</t>
        </is>
      </c>
      <c r="D997" t="n">
        <v>128</v>
      </c>
      <c r="E997" t="inlineStr">
        <is>
          <t>Love Cabaret</t>
        </is>
      </c>
      <c r="F997" s="27" t="n">
        <v>45930.5</v>
      </c>
      <c r="G997" t="inlineStr">
        <is>
          <t>DEBITO</t>
        </is>
      </c>
      <c r="H997" t="inlineStr">
        <is>
          <t>TARIFA BANCARIA TRANSF PGTO PIX</t>
        </is>
      </c>
      <c r="I997" t="n">
        <v>-9.800000000000001</v>
      </c>
    </row>
    <row r="998">
      <c r="A998" t="n">
        <v>179227</v>
      </c>
      <c r="B998" t="n">
        <v>115</v>
      </c>
      <c r="C998" t="inlineStr">
        <is>
          <t>Love - Shibari - Bradesco</t>
        </is>
      </c>
      <c r="D998" t="n">
        <v>128</v>
      </c>
      <c r="E998" t="inlineStr">
        <is>
          <t>Love Cabaret</t>
        </is>
      </c>
      <c r="F998" s="27" t="n">
        <v>45930.5</v>
      </c>
      <c r="G998" t="inlineStr">
        <is>
          <t>DEBITO</t>
        </is>
      </c>
      <c r="H998" t="inlineStr">
        <is>
          <t>PARCELAMENTO DE DARF PARCELAMENTO DE DARF-207024</t>
        </is>
      </c>
      <c r="I998" t="n">
        <v>-20901.67</v>
      </c>
    </row>
    <row r="999">
      <c r="A999" t="n">
        <v>179223</v>
      </c>
      <c r="B999" t="n">
        <v>115</v>
      </c>
      <c r="C999" t="inlineStr">
        <is>
          <t>Love - Shibari - Bradesco</t>
        </is>
      </c>
      <c r="D999" t="n">
        <v>128</v>
      </c>
      <c r="E999" t="inlineStr">
        <is>
          <t>Love Cabaret</t>
        </is>
      </c>
      <c r="F999" s="27" t="n">
        <v>45929.5</v>
      </c>
      <c r="G999" t="inlineStr">
        <is>
          <t>DEBITO</t>
        </is>
      </c>
      <c r="H999" t="inlineStr">
        <is>
          <t>TRANSFERENCIA PIX DES: SHIBARI ART E DIVERSA 29/09</t>
        </is>
      </c>
      <c r="I999" t="n">
        <v>-164000</v>
      </c>
    </row>
    <row r="1000">
      <c r="A1000" t="n">
        <v>179218</v>
      </c>
      <c r="B1000" t="n">
        <v>115</v>
      </c>
      <c r="C1000" t="inlineStr">
        <is>
          <t>Love - Shibari - Bradesco</t>
        </is>
      </c>
      <c r="D1000" t="n">
        <v>128</v>
      </c>
      <c r="E1000" t="inlineStr">
        <is>
          <t>Love Cabaret</t>
        </is>
      </c>
      <c r="F1000" s="27" t="n">
        <v>45929.5</v>
      </c>
      <c r="G1000" t="inlineStr">
        <is>
          <t>CREDITO</t>
        </is>
      </c>
      <c r="H1000" t="inlineStr">
        <is>
          <t>TRANSFERENCIA PIX REM: DAVID FEFFER          29/09</t>
        </is>
      </c>
      <c r="I1000" t="n">
        <v>40000</v>
      </c>
    </row>
    <row r="1001">
      <c r="A1001" t="n">
        <v>179217</v>
      </c>
      <c r="B1001" t="n">
        <v>115</v>
      </c>
      <c r="C1001" t="inlineStr">
        <is>
          <t>Love - Shibari - Bradesco</t>
        </is>
      </c>
      <c r="D1001" t="n">
        <v>128</v>
      </c>
      <c r="E1001" t="inlineStr">
        <is>
          <t>Love Cabaret</t>
        </is>
      </c>
      <c r="F1001" s="27" t="n">
        <v>45929.5</v>
      </c>
      <c r="G1001" t="inlineStr">
        <is>
          <t>CREDITO</t>
        </is>
      </c>
      <c r="H1001" t="inlineStr">
        <is>
          <t>TED-TRANSF ELET DISPON REMET.Zig Tecnologia S.A.</t>
        </is>
      </c>
      <c r="I1001" t="n">
        <v>46829.88</v>
      </c>
    </row>
    <row r="1002">
      <c r="A1002" t="n">
        <v>179192</v>
      </c>
      <c r="B1002" t="n">
        <v>182</v>
      </c>
      <c r="C1002" t="inlineStr">
        <is>
          <t>Love - Shibari - Kamino</t>
        </is>
      </c>
      <c r="D1002" t="n">
        <v>128</v>
      </c>
      <c r="E1002" t="inlineStr">
        <is>
          <t>Love Cabaret</t>
        </is>
      </c>
      <c r="F1002" s="27" t="n">
        <v>45929</v>
      </c>
      <c r="G1002" t="inlineStr">
        <is>
          <t>DEBITO</t>
        </is>
      </c>
      <c r="H1002" t="inlineStr">
        <is>
          <t>Tarifa Pix Enviado-PJ</t>
        </is>
      </c>
      <c r="I1002" t="n">
        <v>-0.5</v>
      </c>
    </row>
    <row r="1003">
      <c r="A1003" t="n">
        <v>179193</v>
      </c>
      <c r="B1003" t="n">
        <v>182</v>
      </c>
      <c r="C1003" t="inlineStr">
        <is>
          <t>Love - Shibari - Kamino</t>
        </is>
      </c>
      <c r="D1003" t="n">
        <v>128</v>
      </c>
      <c r="E1003" t="inlineStr">
        <is>
          <t>Love Cabaret</t>
        </is>
      </c>
      <c r="F1003" s="27" t="n">
        <v>45929</v>
      </c>
      <c r="G1003" t="inlineStr">
        <is>
          <t>DEBITO</t>
        </is>
      </c>
      <c r="H1003" t="inlineStr">
        <is>
          <t>Cloroart Servicos e Comercio L</t>
        </is>
      </c>
      <c r="I1003" t="n">
        <v>-1225</v>
      </c>
    </row>
    <row r="1004">
      <c r="A1004" t="n">
        <v>179194</v>
      </c>
      <c r="B1004" t="n">
        <v>182</v>
      </c>
      <c r="C1004" t="inlineStr">
        <is>
          <t>Love - Shibari - Kamino</t>
        </is>
      </c>
      <c r="D1004" t="n">
        <v>128</v>
      </c>
      <c r="E1004" t="inlineStr">
        <is>
          <t>Love Cabaret</t>
        </is>
      </c>
      <c r="F1004" s="27" t="n">
        <v>45929</v>
      </c>
      <c r="G1004" t="inlineStr">
        <is>
          <t>DEBITO</t>
        </is>
      </c>
      <c r="H1004" t="inlineStr">
        <is>
          <t>Forte Alimentos Comercio e Importacao Lt</t>
        </is>
      </c>
      <c r="I1004" t="n">
        <v>-956.1799999999999</v>
      </c>
    </row>
    <row r="1005">
      <c r="A1005" t="n">
        <v>179191</v>
      </c>
      <c r="B1005" t="n">
        <v>182</v>
      </c>
      <c r="C1005" t="inlineStr">
        <is>
          <t>Love - Shibari - Kamino</t>
        </is>
      </c>
      <c r="D1005" t="n">
        <v>128</v>
      </c>
      <c r="E1005" t="inlineStr">
        <is>
          <t>Love Cabaret</t>
        </is>
      </c>
      <c r="F1005" s="27" t="n">
        <v>45929</v>
      </c>
      <c r="G1005" t="inlineStr">
        <is>
          <t>DEBITO</t>
        </is>
      </c>
      <c r="H1005" t="inlineStr">
        <is>
          <t>Luiz Roberto da Silva Junior</t>
        </is>
      </c>
      <c r="I1005" t="n">
        <v>-4000</v>
      </c>
    </row>
    <row r="1006">
      <c r="A1006" t="n">
        <v>179190</v>
      </c>
      <c r="B1006" t="n">
        <v>182</v>
      </c>
      <c r="C1006" t="inlineStr">
        <is>
          <t>Love - Shibari - Kamino</t>
        </is>
      </c>
      <c r="D1006" t="n">
        <v>128</v>
      </c>
      <c r="E1006" t="inlineStr">
        <is>
          <t>Love Cabaret</t>
        </is>
      </c>
      <c r="F1006" s="27" t="n">
        <v>45929</v>
      </c>
      <c r="G1006" t="inlineStr">
        <is>
          <t>CREDITO</t>
        </is>
      </c>
      <c r="H1006" t="inlineStr">
        <is>
          <t>SHIBARI ART E DIVERSAO LTDA</t>
        </is>
      </c>
      <c r="I1006" t="n">
        <v>164000</v>
      </c>
    </row>
    <row r="1007">
      <c r="A1007" t="n">
        <v>179211</v>
      </c>
      <c r="B1007" t="n">
        <v>182</v>
      </c>
      <c r="C1007" t="inlineStr">
        <is>
          <t>Love - Shibari - Kamino</t>
        </is>
      </c>
      <c r="D1007" t="n">
        <v>128</v>
      </c>
      <c r="E1007" t="inlineStr">
        <is>
          <t>Love Cabaret</t>
        </is>
      </c>
      <c r="F1007" s="27" t="n">
        <v>45929</v>
      </c>
      <c r="G1007" t="inlineStr">
        <is>
          <t>DEBITO</t>
        </is>
      </c>
      <c r="H1007" t="inlineStr">
        <is>
          <t>Ministerio da Fazenda</t>
        </is>
      </c>
      <c r="I1007" t="n">
        <v>-21258.97</v>
      </c>
    </row>
    <row r="1008">
      <c r="A1008" t="n">
        <v>179216</v>
      </c>
      <c r="B1008" t="n">
        <v>182</v>
      </c>
      <c r="C1008" t="inlineStr">
        <is>
          <t>Love - Shibari - Kamino</t>
        </is>
      </c>
      <c r="D1008" t="n">
        <v>128</v>
      </c>
      <c r="E1008" t="inlineStr">
        <is>
          <t>Love Cabaret</t>
        </is>
      </c>
      <c r="F1008" s="27" t="n">
        <v>45929</v>
      </c>
      <c r="G1008" t="inlineStr">
        <is>
          <t>DEBITO</t>
        </is>
      </c>
      <c r="H1008" t="inlineStr">
        <is>
          <t>Ministerio da Fazenda</t>
        </is>
      </c>
      <c r="I1008" t="n">
        <v>-598.37</v>
      </c>
    </row>
    <row r="1009">
      <c r="A1009" t="n">
        <v>179215</v>
      </c>
      <c r="B1009" t="n">
        <v>182</v>
      </c>
      <c r="C1009" t="inlineStr">
        <is>
          <t>Love - Shibari - Kamino</t>
        </is>
      </c>
      <c r="D1009" t="n">
        <v>128</v>
      </c>
      <c r="E1009" t="inlineStr">
        <is>
          <t>Love Cabaret</t>
        </is>
      </c>
      <c r="F1009" s="27" t="n">
        <v>45929</v>
      </c>
      <c r="G1009" t="inlineStr">
        <is>
          <t>DEBITO</t>
        </is>
      </c>
      <c r="H1009" t="inlineStr">
        <is>
          <t>Paramu Comercio R P a Ltda</t>
        </is>
      </c>
      <c r="I1009" t="n">
        <v>-339.9</v>
      </c>
    </row>
    <row r="1010">
      <c r="A1010" t="n">
        <v>179214</v>
      </c>
      <c r="B1010" t="n">
        <v>182</v>
      </c>
      <c r="C1010" t="inlineStr">
        <is>
          <t>Love - Shibari - Kamino</t>
        </is>
      </c>
      <c r="D1010" t="n">
        <v>128</v>
      </c>
      <c r="E1010" t="inlineStr">
        <is>
          <t>Love Cabaret</t>
        </is>
      </c>
      <c r="F1010" s="27" t="n">
        <v>45929</v>
      </c>
      <c r="G1010" t="inlineStr">
        <is>
          <t>DEBITO</t>
        </is>
      </c>
      <c r="H1010" t="inlineStr">
        <is>
          <t>Wide Stock com e Rep Ltda</t>
        </is>
      </c>
      <c r="I1010" t="n">
        <v>-1302.54</v>
      </c>
    </row>
    <row r="1011">
      <c r="A1011" t="n">
        <v>179213</v>
      </c>
      <c r="B1011" t="n">
        <v>182</v>
      </c>
      <c r="C1011" t="inlineStr">
        <is>
          <t>Love - Shibari - Kamino</t>
        </is>
      </c>
      <c r="D1011" t="n">
        <v>128</v>
      </c>
      <c r="E1011" t="inlineStr">
        <is>
          <t>Love Cabaret</t>
        </is>
      </c>
      <c r="F1011" s="27" t="n">
        <v>45929</v>
      </c>
      <c r="G1011" t="inlineStr">
        <is>
          <t>DEBITO</t>
        </is>
      </c>
      <c r="H1011" t="inlineStr">
        <is>
          <t>Ministerio da Fazenda</t>
        </is>
      </c>
      <c r="I1011" t="n">
        <v>-622</v>
      </c>
    </row>
    <row r="1012">
      <c r="A1012" t="n">
        <v>179212</v>
      </c>
      <c r="B1012" t="n">
        <v>182</v>
      </c>
      <c r="C1012" t="inlineStr">
        <is>
          <t>Love - Shibari - Kamino</t>
        </is>
      </c>
      <c r="D1012" t="n">
        <v>128</v>
      </c>
      <c r="E1012" t="inlineStr">
        <is>
          <t>Love Cabaret</t>
        </is>
      </c>
      <c r="F1012" s="27" t="n">
        <v>45929</v>
      </c>
      <c r="G1012" t="inlineStr">
        <is>
          <t>DEBITO</t>
        </is>
      </c>
      <c r="H1012" t="inlineStr">
        <is>
          <t>Aurora Alvorada Estacionamento e Lanchon</t>
        </is>
      </c>
      <c r="I1012" t="n">
        <v>-294.06</v>
      </c>
    </row>
    <row r="1013">
      <c r="A1013" t="n">
        <v>179202</v>
      </c>
      <c r="B1013" t="n">
        <v>182</v>
      </c>
      <c r="C1013" t="inlineStr">
        <is>
          <t>Love - Shibari - Kamino</t>
        </is>
      </c>
      <c r="D1013" t="n">
        <v>128</v>
      </c>
      <c r="E1013" t="inlineStr">
        <is>
          <t>Love Cabaret</t>
        </is>
      </c>
      <c r="F1013" s="27" t="n">
        <v>45929</v>
      </c>
      <c r="G1013" t="inlineStr">
        <is>
          <t>DEBITO</t>
        </is>
      </c>
      <c r="H1013" t="inlineStr">
        <is>
          <t>Cecilia Tsuyaco Araki Silva Ltda</t>
        </is>
      </c>
      <c r="I1013" t="n">
        <v>-168.6</v>
      </c>
    </row>
    <row r="1014">
      <c r="A1014" t="n">
        <v>179195</v>
      </c>
      <c r="B1014" t="n">
        <v>182</v>
      </c>
      <c r="C1014" t="inlineStr">
        <is>
          <t>Love - Shibari - Kamino</t>
        </is>
      </c>
      <c r="D1014" t="n">
        <v>128</v>
      </c>
      <c r="E1014" t="inlineStr">
        <is>
          <t>Love Cabaret</t>
        </is>
      </c>
      <c r="F1014" s="27" t="n">
        <v>45929</v>
      </c>
      <c r="G1014" t="inlineStr">
        <is>
          <t>DEBITO</t>
        </is>
      </c>
      <c r="H1014" t="inlineStr">
        <is>
          <t>Mordomia da Administracao Imobiliaria</t>
        </is>
      </c>
      <c r="I1014" t="n">
        <v>-31634.64</v>
      </c>
    </row>
    <row r="1015">
      <c r="A1015" t="n">
        <v>179196</v>
      </c>
      <c r="B1015" t="n">
        <v>182</v>
      </c>
      <c r="C1015" t="inlineStr">
        <is>
          <t>Love - Shibari - Kamino</t>
        </is>
      </c>
      <c r="D1015" t="n">
        <v>128</v>
      </c>
      <c r="E1015" t="inlineStr">
        <is>
          <t>Love Cabaret</t>
        </is>
      </c>
      <c r="F1015" s="27" t="n">
        <v>45929</v>
      </c>
      <c r="G1015" t="inlineStr">
        <is>
          <t>DEBITO</t>
        </is>
      </c>
      <c r="H1015" t="inlineStr">
        <is>
          <t>Laticinios Fior D Italia Ltda</t>
        </is>
      </c>
      <c r="I1015" t="n">
        <v>-326.75</v>
      </c>
    </row>
    <row r="1016">
      <c r="A1016" t="n">
        <v>179197</v>
      </c>
      <c r="B1016" t="n">
        <v>182</v>
      </c>
      <c r="C1016" t="inlineStr">
        <is>
          <t>Love - Shibari - Kamino</t>
        </is>
      </c>
      <c r="D1016" t="n">
        <v>128</v>
      </c>
      <c r="E1016" t="inlineStr">
        <is>
          <t>Love Cabaret</t>
        </is>
      </c>
      <c r="F1016" s="27" t="n">
        <v>45929</v>
      </c>
      <c r="G1016" t="inlineStr">
        <is>
          <t>DEBITO</t>
        </is>
      </c>
      <c r="H1016" t="inlineStr">
        <is>
          <t>Sao Paulo Transporte Sa</t>
        </is>
      </c>
      <c r="I1016" t="n">
        <v>-1009.95</v>
      </c>
    </row>
    <row r="1017">
      <c r="A1017" t="n">
        <v>179198</v>
      </c>
      <c r="B1017" t="n">
        <v>182</v>
      </c>
      <c r="C1017" t="inlineStr">
        <is>
          <t>Love - Shibari - Kamino</t>
        </is>
      </c>
      <c r="D1017" t="n">
        <v>128</v>
      </c>
      <c r="E1017" t="inlineStr">
        <is>
          <t>Love Cabaret</t>
        </is>
      </c>
      <c r="F1017" s="27" t="n">
        <v>45929</v>
      </c>
      <c r="G1017" t="inlineStr">
        <is>
          <t>DEBITO</t>
        </is>
      </c>
      <c r="H1017" t="inlineStr">
        <is>
          <t>Proauto Industria Q Eireli</t>
        </is>
      </c>
      <c r="I1017" t="n">
        <v>-1505.52</v>
      </c>
    </row>
    <row r="1018">
      <c r="A1018" t="n">
        <v>179199</v>
      </c>
      <c r="B1018" t="n">
        <v>182</v>
      </c>
      <c r="C1018" t="inlineStr">
        <is>
          <t>Love - Shibari - Kamino</t>
        </is>
      </c>
      <c r="D1018" t="n">
        <v>128</v>
      </c>
      <c r="E1018" t="inlineStr">
        <is>
          <t>Love Cabaret</t>
        </is>
      </c>
      <c r="F1018" s="27" t="n">
        <v>45929</v>
      </c>
      <c r="G1018" t="inlineStr">
        <is>
          <t>DEBITO</t>
        </is>
      </c>
      <c r="H1018" t="inlineStr">
        <is>
          <t>Psss Ltda</t>
        </is>
      </c>
      <c r="I1018" t="n">
        <v>-396</v>
      </c>
    </row>
    <row r="1019">
      <c r="A1019" t="n">
        <v>179200</v>
      </c>
      <c r="B1019" t="n">
        <v>182</v>
      </c>
      <c r="C1019" t="inlineStr">
        <is>
          <t>Love - Shibari - Kamino</t>
        </is>
      </c>
      <c r="D1019" t="n">
        <v>128</v>
      </c>
      <c r="E1019" t="inlineStr">
        <is>
          <t>Love Cabaret</t>
        </is>
      </c>
      <c r="F1019" s="27" t="n">
        <v>45929</v>
      </c>
      <c r="G1019" t="inlineStr">
        <is>
          <t>DEBITO</t>
        </is>
      </c>
      <c r="H1019" t="inlineStr">
        <is>
          <t>Ministerio da Fazenda</t>
        </is>
      </c>
      <c r="I1019" t="n">
        <v>-1020.92</v>
      </c>
    </row>
    <row r="1020">
      <c r="A1020" t="n">
        <v>179201</v>
      </c>
      <c r="B1020" t="n">
        <v>182</v>
      </c>
      <c r="C1020" t="inlineStr">
        <is>
          <t>Love - Shibari - Kamino</t>
        </is>
      </c>
      <c r="D1020" t="n">
        <v>128</v>
      </c>
      <c r="E1020" t="inlineStr">
        <is>
          <t>Love Cabaret</t>
        </is>
      </c>
      <c r="F1020" s="27" t="n">
        <v>45929</v>
      </c>
      <c r="G1020" t="inlineStr">
        <is>
          <t>DEBITO</t>
        </is>
      </c>
      <c r="H1020" t="inlineStr">
        <is>
          <t>B. B. Distribuidora de Carnes Ltda</t>
        </is>
      </c>
      <c r="I1020" t="n">
        <v>-344.04</v>
      </c>
    </row>
    <row r="1021">
      <c r="A1021" t="n">
        <v>179203</v>
      </c>
      <c r="B1021" t="n">
        <v>182</v>
      </c>
      <c r="C1021" t="inlineStr">
        <is>
          <t>Love - Shibari - Kamino</t>
        </is>
      </c>
      <c r="D1021" t="n">
        <v>128</v>
      </c>
      <c r="E1021" t="inlineStr">
        <is>
          <t>Love Cabaret</t>
        </is>
      </c>
      <c r="F1021" s="27" t="n">
        <v>45929</v>
      </c>
      <c r="G1021" t="inlineStr">
        <is>
          <t>DEBITO</t>
        </is>
      </c>
      <c r="H1021" t="inlineStr">
        <is>
          <t>Ciclo com e Participacoes Ltda</t>
        </is>
      </c>
      <c r="I1021" t="n">
        <v>-27540.92</v>
      </c>
    </row>
    <row r="1022">
      <c r="A1022" t="n">
        <v>179204</v>
      </c>
      <c r="B1022" t="n">
        <v>182</v>
      </c>
      <c r="C1022" t="inlineStr">
        <is>
          <t>Love - Shibari - Kamino</t>
        </is>
      </c>
      <c r="D1022" t="n">
        <v>128</v>
      </c>
      <c r="E1022" t="inlineStr">
        <is>
          <t>Love Cabaret</t>
        </is>
      </c>
      <c r="F1022" s="27" t="n">
        <v>45929</v>
      </c>
      <c r="G1022" t="inlineStr">
        <is>
          <t>DEBITO</t>
        </is>
      </c>
      <c r="H1022" t="inlineStr">
        <is>
          <t>Edimar Moura Tartaglioni</t>
        </is>
      </c>
      <c r="I1022" t="n">
        <v>-630</v>
      </c>
    </row>
    <row r="1023">
      <c r="A1023" t="n">
        <v>179205</v>
      </c>
      <c r="B1023" t="n">
        <v>182</v>
      </c>
      <c r="C1023" t="inlineStr">
        <is>
          <t>Love - Shibari - Kamino</t>
        </is>
      </c>
      <c r="D1023" t="n">
        <v>128</v>
      </c>
      <c r="E1023" t="inlineStr">
        <is>
          <t>Love Cabaret</t>
        </is>
      </c>
      <c r="F1023" s="27" t="n">
        <v>45929</v>
      </c>
      <c r="G1023" t="inlineStr">
        <is>
          <t>DEBITO</t>
        </is>
      </c>
      <c r="H1023" t="inlineStr">
        <is>
          <t>Tarifa Pix Enviado-PJ</t>
        </is>
      </c>
      <c r="I1023" t="n">
        <v>-0.5</v>
      </c>
    </row>
    <row r="1024">
      <c r="A1024" t="n">
        <v>179206</v>
      </c>
      <c r="B1024" t="n">
        <v>182</v>
      </c>
      <c r="C1024" t="inlineStr">
        <is>
          <t>Love - Shibari - Kamino</t>
        </is>
      </c>
      <c r="D1024" t="n">
        <v>128</v>
      </c>
      <c r="E1024" t="inlineStr">
        <is>
          <t>Love Cabaret</t>
        </is>
      </c>
      <c r="F1024" s="27" t="n">
        <v>45929</v>
      </c>
      <c r="G1024" t="inlineStr">
        <is>
          <t>DEBITO</t>
        </is>
      </c>
      <c r="H1024" t="inlineStr">
        <is>
          <t>Ng27 Consultoria e Gestao Empr</t>
        </is>
      </c>
      <c r="I1024" t="n">
        <v>-509.34</v>
      </c>
    </row>
    <row r="1025">
      <c r="A1025" t="n">
        <v>179207</v>
      </c>
      <c r="B1025" t="n">
        <v>182</v>
      </c>
      <c r="C1025" t="inlineStr">
        <is>
          <t>Love - Shibari - Kamino</t>
        </is>
      </c>
      <c r="D1025" t="n">
        <v>128</v>
      </c>
      <c r="E1025" t="inlineStr">
        <is>
          <t>Love Cabaret</t>
        </is>
      </c>
      <c r="F1025" s="27" t="n">
        <v>45929</v>
      </c>
      <c r="G1025" t="inlineStr">
        <is>
          <t>DEBITO</t>
        </is>
      </c>
      <c r="H1025" t="inlineStr">
        <is>
          <t>W P P C Carnes Eireli Epp</t>
        </is>
      </c>
      <c r="I1025" t="n">
        <v>-359.1</v>
      </c>
    </row>
    <row r="1026">
      <c r="A1026" t="n">
        <v>179208</v>
      </c>
      <c r="B1026" t="n">
        <v>182</v>
      </c>
      <c r="C1026" t="inlineStr">
        <is>
          <t>Love - Shibari - Kamino</t>
        </is>
      </c>
      <c r="D1026" t="n">
        <v>128</v>
      </c>
      <c r="E1026" t="inlineStr">
        <is>
          <t>Love Cabaret</t>
        </is>
      </c>
      <c r="F1026" s="27" t="n">
        <v>45929</v>
      </c>
      <c r="G1026" t="inlineStr">
        <is>
          <t>DEBITO</t>
        </is>
      </c>
      <c r="H1026" t="inlineStr">
        <is>
          <t>Ministerio da Fazenda</t>
        </is>
      </c>
      <c r="I1026" t="n">
        <v>-1987.17</v>
      </c>
    </row>
    <row r="1027">
      <c r="A1027" t="n">
        <v>179209</v>
      </c>
      <c r="B1027" t="n">
        <v>182</v>
      </c>
      <c r="C1027" t="inlineStr">
        <is>
          <t>Love - Shibari - Kamino</t>
        </is>
      </c>
      <c r="D1027" t="n">
        <v>128</v>
      </c>
      <c r="E1027" t="inlineStr">
        <is>
          <t>Love Cabaret</t>
        </is>
      </c>
      <c r="F1027" s="27" t="n">
        <v>45929</v>
      </c>
      <c r="G1027" t="inlineStr">
        <is>
          <t>DEBITO</t>
        </is>
      </c>
      <c r="H1027" t="inlineStr">
        <is>
          <t>Colibri Distribuidor de Produtos Orientais e Food Servi</t>
        </is>
      </c>
      <c r="I1027" t="n">
        <v>-381.2</v>
      </c>
    </row>
    <row r="1028">
      <c r="A1028" t="n">
        <v>179210</v>
      </c>
      <c r="B1028" t="n">
        <v>182</v>
      </c>
      <c r="C1028" t="inlineStr">
        <is>
          <t>Love - Shibari - Kamino</t>
        </is>
      </c>
      <c r="D1028" t="n">
        <v>128</v>
      </c>
      <c r="E1028" t="inlineStr">
        <is>
          <t>Love Cabaret</t>
        </is>
      </c>
      <c r="F1028" s="27" t="n">
        <v>45929</v>
      </c>
      <c r="G1028" t="inlineStr">
        <is>
          <t>DEBITO</t>
        </is>
      </c>
      <c r="H1028" t="inlineStr">
        <is>
          <t>Fg7 Comercio D B Eireli Epp</t>
        </is>
      </c>
      <c r="I1028" t="n">
        <v>-586.38</v>
      </c>
    </row>
    <row r="1029">
      <c r="A1029" t="n">
        <v>167889</v>
      </c>
      <c r="B1029" t="n">
        <v>115</v>
      </c>
      <c r="C1029" t="inlineStr">
        <is>
          <t>Love - Shibari - Bradesco</t>
        </is>
      </c>
      <c r="D1029" t="n">
        <v>128</v>
      </c>
      <c r="E1029" t="inlineStr">
        <is>
          <t>Love Cabaret</t>
        </is>
      </c>
      <c r="F1029" s="27" t="n">
        <v>45926.5</v>
      </c>
      <c r="G1029" t="inlineStr">
        <is>
          <t>DEBITO</t>
        </is>
      </c>
      <c r="H1029" t="inlineStr">
        <is>
          <t>TRANSFERENCIA PIX DES: F3 CONSULTORIA        26/09</t>
        </is>
      </c>
      <c r="I1029" t="n">
        <v>-1600</v>
      </c>
    </row>
    <row r="1030">
      <c r="A1030" t="n">
        <v>167888</v>
      </c>
      <c r="B1030" t="n">
        <v>115</v>
      </c>
      <c r="C1030" t="inlineStr">
        <is>
          <t>Love - Shibari - Bradesco</t>
        </is>
      </c>
      <c r="D1030" t="n">
        <v>128</v>
      </c>
      <c r="E1030" t="inlineStr">
        <is>
          <t>Love Cabaret</t>
        </is>
      </c>
      <c r="F1030" s="27" t="n">
        <v>45926.5</v>
      </c>
      <c r="G1030" t="inlineStr">
        <is>
          <t>DEBITO</t>
        </is>
      </c>
      <c r="H1030" t="inlineStr">
        <is>
          <t>TARIFA BANCARIA TRANSF PGTO PIX</t>
        </is>
      </c>
      <c r="I1030" t="n">
        <v>-9.800000000000001</v>
      </c>
    </row>
    <row r="1031">
      <c r="A1031" t="n">
        <v>167886</v>
      </c>
      <c r="B1031" t="n">
        <v>115</v>
      </c>
      <c r="C1031" t="inlineStr">
        <is>
          <t>Love - Shibari - Bradesco</t>
        </is>
      </c>
      <c r="D1031" t="n">
        <v>128</v>
      </c>
      <c r="E1031" t="inlineStr">
        <is>
          <t>Love Cabaret</t>
        </is>
      </c>
      <c r="F1031" s="27" t="n">
        <v>45926.5</v>
      </c>
      <c r="G1031" t="inlineStr">
        <is>
          <t>CREDITO</t>
        </is>
      </c>
      <c r="H1031" t="inlineStr">
        <is>
          <t>TRANSFERENCIA PIX REM: LILIAN TEREZA PEREIRA 26/09</t>
        </is>
      </c>
      <c r="I1031" t="n">
        <v>620</v>
      </c>
    </row>
    <row r="1032">
      <c r="A1032" t="n">
        <v>167884</v>
      </c>
      <c r="B1032" t="n">
        <v>115</v>
      </c>
      <c r="C1032" t="inlineStr">
        <is>
          <t>Love - Shibari - Bradesco</t>
        </is>
      </c>
      <c r="D1032" t="n">
        <v>128</v>
      </c>
      <c r="E1032" t="inlineStr">
        <is>
          <t>Love Cabaret</t>
        </is>
      </c>
      <c r="F1032" s="27" t="n">
        <v>45924.5</v>
      </c>
      <c r="G1032" t="inlineStr">
        <is>
          <t>CREDITO</t>
        </is>
      </c>
      <c r="H1032" t="inlineStr">
        <is>
          <t>TRANSFERENCIA PIX REM: DEBORA RODRIGUES FLOR 24/09</t>
        </is>
      </c>
      <c r="I1032" t="n">
        <v>620</v>
      </c>
    </row>
    <row r="1033">
      <c r="A1033" t="n">
        <v>167885</v>
      </c>
      <c r="B1033" t="n">
        <v>115</v>
      </c>
      <c r="C1033" t="inlineStr">
        <is>
          <t>Love - Shibari - Bradesco</t>
        </is>
      </c>
      <c r="D1033" t="n">
        <v>128</v>
      </c>
      <c r="E1033" t="inlineStr">
        <is>
          <t>Love Cabaret</t>
        </is>
      </c>
      <c r="F1033" s="27" t="n">
        <v>45924.5</v>
      </c>
      <c r="G1033" t="inlineStr">
        <is>
          <t>DEBITO</t>
        </is>
      </c>
      <c r="H1033" t="inlineStr">
        <is>
          <t>TRANSFERENCIA PIX DES: SHIBARI ART E DIVERSA 24/09</t>
        </is>
      </c>
      <c r="I1033" t="n">
        <v>-30000</v>
      </c>
    </row>
    <row r="1034">
      <c r="A1034" t="n">
        <v>167883</v>
      </c>
      <c r="B1034" t="n">
        <v>115</v>
      </c>
      <c r="C1034" t="inlineStr">
        <is>
          <t>Love - Shibari - Bradesco</t>
        </is>
      </c>
      <c r="D1034" t="n">
        <v>128</v>
      </c>
      <c r="E1034" t="inlineStr">
        <is>
          <t>Love Cabaret</t>
        </is>
      </c>
      <c r="F1034" s="27" t="n">
        <v>45924.5</v>
      </c>
      <c r="G1034" t="inlineStr">
        <is>
          <t>CREDITO</t>
        </is>
      </c>
      <c r="H1034" t="inlineStr">
        <is>
          <t>DEP DINHEIRO ATM AG00117MAQ061059SEQ01081</t>
        </is>
      </c>
      <c r="I1034" t="n">
        <v>214</v>
      </c>
    </row>
    <row r="1035">
      <c r="A1035" t="n">
        <v>167882</v>
      </c>
      <c r="B1035" t="n">
        <v>115</v>
      </c>
      <c r="C1035" t="inlineStr">
        <is>
          <t>Love - Shibari - Bradesco</t>
        </is>
      </c>
      <c r="D1035" t="n">
        <v>128</v>
      </c>
      <c r="E1035" t="inlineStr">
        <is>
          <t>Love Cabaret</t>
        </is>
      </c>
      <c r="F1035" s="27" t="n">
        <v>45924.5</v>
      </c>
      <c r="G1035" t="inlineStr">
        <is>
          <t>CREDITO</t>
        </is>
      </c>
      <c r="H1035" t="inlineStr">
        <is>
          <t>TED-TRANSF ELET DISPON REMET.SYMPLA INTERNET SOLU</t>
        </is>
      </c>
      <c r="I1035" t="n">
        <v>7650</v>
      </c>
    </row>
    <row r="1036">
      <c r="A1036" t="n">
        <v>167881</v>
      </c>
      <c r="B1036" t="n">
        <v>115</v>
      </c>
      <c r="C1036" t="inlineStr">
        <is>
          <t>Love - Shibari - Bradesco</t>
        </is>
      </c>
      <c r="D1036" t="n">
        <v>128</v>
      </c>
      <c r="E1036" t="inlineStr">
        <is>
          <t>Love Cabaret</t>
        </is>
      </c>
      <c r="F1036" s="27" t="n">
        <v>45924.5</v>
      </c>
      <c r="G1036" t="inlineStr">
        <is>
          <t>CREDITO</t>
        </is>
      </c>
      <c r="H1036" t="inlineStr">
        <is>
          <t>TED-TRANSF ELET DISPON REMET.SYMPLA INTERNET SOLU</t>
        </is>
      </c>
      <c r="I1036" t="n">
        <v>4229.5</v>
      </c>
    </row>
    <row r="1037">
      <c r="A1037" t="n">
        <v>167880</v>
      </c>
      <c r="B1037" t="n">
        <v>115</v>
      </c>
      <c r="C1037" t="inlineStr">
        <is>
          <t>Love - Shibari - Bradesco</t>
        </is>
      </c>
      <c r="D1037" t="n">
        <v>128</v>
      </c>
      <c r="E1037" t="inlineStr">
        <is>
          <t>Love Cabaret</t>
        </is>
      </c>
      <c r="F1037" s="27" t="n">
        <v>45924.5</v>
      </c>
      <c r="G1037" t="inlineStr">
        <is>
          <t>CREDITO</t>
        </is>
      </c>
      <c r="H1037" t="inlineStr">
        <is>
          <t>TED-TRANSF ELET DISPON REMET.SYMPLA INTERNET SOLU</t>
        </is>
      </c>
      <c r="I1037" t="n">
        <v>13720</v>
      </c>
    </row>
    <row r="1038">
      <c r="A1038" t="n">
        <v>167879</v>
      </c>
      <c r="B1038" t="n">
        <v>115</v>
      </c>
      <c r="C1038" t="inlineStr">
        <is>
          <t>Love - Shibari - Bradesco</t>
        </is>
      </c>
      <c r="D1038" t="n">
        <v>128</v>
      </c>
      <c r="E1038" t="inlineStr">
        <is>
          <t>Love Cabaret</t>
        </is>
      </c>
      <c r="F1038" s="27" t="n">
        <v>45924.5</v>
      </c>
      <c r="G1038" t="inlineStr">
        <is>
          <t>CREDITO</t>
        </is>
      </c>
      <c r="H1038" t="inlineStr">
        <is>
          <t>TED-TRANSF ELET DISPON REMET.Zig Tecnologia S.A.</t>
        </is>
      </c>
      <c r="I1038" t="n">
        <v>21664.91</v>
      </c>
    </row>
    <row r="1039">
      <c r="A1039" t="n">
        <v>167932</v>
      </c>
      <c r="B1039" t="n">
        <v>182</v>
      </c>
      <c r="C1039" t="inlineStr">
        <is>
          <t>Love - Shibari - Kamino</t>
        </is>
      </c>
      <c r="D1039" t="n">
        <v>128</v>
      </c>
      <c r="E1039" t="inlineStr">
        <is>
          <t>Love Cabaret</t>
        </is>
      </c>
      <c r="F1039" s="27" t="n">
        <v>45924</v>
      </c>
      <c r="G1039" t="inlineStr">
        <is>
          <t>DEBITO</t>
        </is>
      </c>
      <c r="H1039" t="inlineStr">
        <is>
          <t>Arena Bebidas</t>
        </is>
      </c>
      <c r="I1039" t="n">
        <v>-123.54</v>
      </c>
    </row>
    <row r="1040">
      <c r="A1040" t="n">
        <v>167918</v>
      </c>
      <c r="B1040" t="n">
        <v>182</v>
      </c>
      <c r="C1040" t="inlineStr">
        <is>
          <t>Love - Shibari - Kamino</t>
        </is>
      </c>
      <c r="D1040" t="n">
        <v>128</v>
      </c>
      <c r="E1040" t="inlineStr">
        <is>
          <t>Love Cabaret</t>
        </is>
      </c>
      <c r="F1040" s="27" t="n">
        <v>45924</v>
      </c>
      <c r="G1040" t="inlineStr">
        <is>
          <t>CREDITO</t>
        </is>
      </c>
      <c r="H1040" t="inlineStr">
        <is>
          <t>SHIBARI ART E DIVERSAO LTDA</t>
        </is>
      </c>
      <c r="I1040" t="n">
        <v>30000</v>
      </c>
    </row>
    <row r="1041">
      <c r="A1041" t="n">
        <v>167919</v>
      </c>
      <c r="B1041" t="n">
        <v>182</v>
      </c>
      <c r="C1041" t="inlineStr">
        <is>
          <t>Love - Shibari - Kamino</t>
        </is>
      </c>
      <c r="D1041" t="n">
        <v>128</v>
      </c>
      <c r="E1041" t="inlineStr">
        <is>
          <t>Love Cabaret</t>
        </is>
      </c>
      <c r="F1041" s="27" t="n">
        <v>45924</v>
      </c>
      <c r="G1041" t="inlineStr">
        <is>
          <t>DEBITO</t>
        </is>
      </c>
      <c r="H1041" t="inlineStr">
        <is>
          <t>Flavio Rodrigues de Moura</t>
        </is>
      </c>
      <c r="I1041" t="n">
        <v>-600</v>
      </c>
    </row>
    <row r="1042">
      <c r="A1042" t="n">
        <v>167920</v>
      </c>
      <c r="B1042" t="n">
        <v>182</v>
      </c>
      <c r="C1042" t="inlineStr">
        <is>
          <t>Love - Shibari - Kamino</t>
        </is>
      </c>
      <c r="D1042" t="n">
        <v>128</v>
      </c>
      <c r="E1042" t="inlineStr">
        <is>
          <t>Love Cabaret</t>
        </is>
      </c>
      <c r="F1042" s="27" t="n">
        <v>45924</v>
      </c>
      <c r="G1042" t="inlineStr">
        <is>
          <t>CREDITO</t>
        </is>
      </c>
      <c r="H1042" t="inlineStr">
        <is>
          <t>Pix Env No Processado</t>
        </is>
      </c>
      <c r="I1042" t="n">
        <v>600</v>
      </c>
    </row>
    <row r="1043">
      <c r="A1043" t="n">
        <v>167921</v>
      </c>
      <c r="B1043" t="n">
        <v>182</v>
      </c>
      <c r="C1043" t="inlineStr">
        <is>
          <t>Love - Shibari - Kamino</t>
        </is>
      </c>
      <c r="D1043" t="n">
        <v>128</v>
      </c>
      <c r="E1043" t="inlineStr">
        <is>
          <t>Love Cabaret</t>
        </is>
      </c>
      <c r="F1043" s="27" t="n">
        <v>45924</v>
      </c>
      <c r="G1043" t="inlineStr">
        <is>
          <t>DEBITO</t>
        </is>
      </c>
      <c r="H1043" t="inlineStr">
        <is>
          <t>Machine Seguranca Patrimonial Ltda</t>
        </is>
      </c>
      <c r="I1043" t="n">
        <v>-7030</v>
      </c>
    </row>
    <row r="1044">
      <c r="A1044" t="n">
        <v>167922</v>
      </c>
      <c r="B1044" t="n">
        <v>182</v>
      </c>
      <c r="C1044" t="inlineStr">
        <is>
          <t>Love - Shibari - Kamino</t>
        </is>
      </c>
      <c r="D1044" t="n">
        <v>128</v>
      </c>
      <c r="E1044" t="inlineStr">
        <is>
          <t>Love Cabaret</t>
        </is>
      </c>
      <c r="F1044" s="27" t="n">
        <v>45924</v>
      </c>
      <c r="G1044" t="inlineStr">
        <is>
          <t>DEBITO</t>
        </is>
      </c>
      <c r="H1044" t="inlineStr">
        <is>
          <t>Formosa Bar</t>
        </is>
      </c>
      <c r="I1044" t="n">
        <v>-741.99</v>
      </c>
    </row>
    <row r="1045">
      <c r="A1045" t="n">
        <v>167923</v>
      </c>
      <c r="B1045" t="n">
        <v>182</v>
      </c>
      <c r="C1045" t="inlineStr">
        <is>
          <t>Love - Shibari - Kamino</t>
        </is>
      </c>
      <c r="D1045" t="n">
        <v>128</v>
      </c>
      <c r="E1045" t="inlineStr">
        <is>
          <t>Love Cabaret</t>
        </is>
      </c>
      <c r="F1045" s="27" t="n">
        <v>45924</v>
      </c>
      <c r="G1045" t="inlineStr">
        <is>
          <t>DEBITO</t>
        </is>
      </c>
      <c r="H1045" t="inlineStr">
        <is>
          <t>Facundo Guerra Rivero</t>
        </is>
      </c>
      <c r="I1045" t="n">
        <v>-759.05</v>
      </c>
    </row>
    <row r="1046">
      <c r="A1046" t="n">
        <v>167924</v>
      </c>
      <c r="B1046" t="n">
        <v>182</v>
      </c>
      <c r="C1046" t="inlineStr">
        <is>
          <t>Love - Shibari - Kamino</t>
        </is>
      </c>
      <c r="D1046" t="n">
        <v>128</v>
      </c>
      <c r="E1046" t="inlineStr">
        <is>
          <t>Love Cabaret</t>
        </is>
      </c>
      <c r="F1046" s="27" t="n">
        <v>45924</v>
      </c>
      <c r="G1046" t="inlineStr">
        <is>
          <t>DEBITO</t>
        </is>
      </c>
      <c r="H1046" t="inlineStr">
        <is>
          <t>Telefonica Brasil S.A.</t>
        </is>
      </c>
      <c r="I1046" t="n">
        <v>-93.7</v>
      </c>
    </row>
    <row r="1047">
      <c r="A1047" t="n">
        <v>167925</v>
      </c>
      <c r="B1047" t="n">
        <v>182</v>
      </c>
      <c r="C1047" t="inlineStr">
        <is>
          <t>Love - Shibari - Kamino</t>
        </is>
      </c>
      <c r="D1047" t="n">
        <v>128</v>
      </c>
      <c r="E1047" t="inlineStr">
        <is>
          <t>Love Cabaret</t>
        </is>
      </c>
      <c r="F1047" s="27" t="n">
        <v>45924</v>
      </c>
      <c r="G1047" t="inlineStr">
        <is>
          <t>DEBITO</t>
        </is>
      </c>
      <c r="H1047" t="inlineStr">
        <is>
          <t>Telefonica Brasil S.A.</t>
        </is>
      </c>
      <c r="I1047" t="n">
        <v>-223.7</v>
      </c>
    </row>
    <row r="1048">
      <c r="A1048" t="n">
        <v>167926</v>
      </c>
      <c r="B1048" t="n">
        <v>182</v>
      </c>
      <c r="C1048" t="inlineStr">
        <is>
          <t>Love - Shibari - Kamino</t>
        </is>
      </c>
      <c r="D1048" t="n">
        <v>128</v>
      </c>
      <c r="E1048" t="inlineStr">
        <is>
          <t>Love Cabaret</t>
        </is>
      </c>
      <c r="F1048" s="27" t="n">
        <v>45924</v>
      </c>
      <c r="G1048" t="inlineStr">
        <is>
          <t>DEBITO</t>
        </is>
      </c>
      <c r="H1048" t="inlineStr">
        <is>
          <t>Telefonica Brasil S.A.</t>
        </is>
      </c>
      <c r="I1048" t="n">
        <v>-487.66</v>
      </c>
    </row>
    <row r="1049">
      <c r="A1049" t="n">
        <v>167927</v>
      </c>
      <c r="B1049" t="n">
        <v>182</v>
      </c>
      <c r="C1049" t="inlineStr">
        <is>
          <t>Love - Shibari - Kamino</t>
        </is>
      </c>
      <c r="D1049" t="n">
        <v>128</v>
      </c>
      <c r="E1049" t="inlineStr">
        <is>
          <t>Love Cabaret</t>
        </is>
      </c>
      <c r="F1049" s="27" t="n">
        <v>45924</v>
      </c>
      <c r="G1049" t="inlineStr">
        <is>
          <t>DEBITO</t>
        </is>
      </c>
      <c r="H1049" t="inlineStr">
        <is>
          <t>Estaff Solucoes Tecnologicas de Agenciam</t>
        </is>
      </c>
      <c r="I1049" t="n">
        <v>-17009.3</v>
      </c>
    </row>
    <row r="1050">
      <c r="A1050" t="n">
        <v>167928</v>
      </c>
      <c r="B1050" t="n">
        <v>182</v>
      </c>
      <c r="C1050" t="inlineStr">
        <is>
          <t>Love - Shibari - Kamino</t>
        </is>
      </c>
      <c r="D1050" t="n">
        <v>128</v>
      </c>
      <c r="E1050" t="inlineStr">
        <is>
          <t>Love Cabaret</t>
        </is>
      </c>
      <c r="F1050" s="27" t="n">
        <v>45924</v>
      </c>
      <c r="G1050" t="inlineStr">
        <is>
          <t>DEBITO</t>
        </is>
      </c>
      <c r="H1050" t="inlineStr">
        <is>
          <t>Hortifrutigranjeiro Rodrigues</t>
        </is>
      </c>
      <c r="I1050" t="n">
        <v>-173</v>
      </c>
    </row>
    <row r="1051">
      <c r="A1051" t="n">
        <v>167929</v>
      </c>
      <c r="B1051" t="n">
        <v>182</v>
      </c>
      <c r="C1051" t="inlineStr">
        <is>
          <t>Love - Shibari - Kamino</t>
        </is>
      </c>
      <c r="D1051" t="n">
        <v>128</v>
      </c>
      <c r="E1051" t="inlineStr">
        <is>
          <t>Love Cabaret</t>
        </is>
      </c>
      <c r="F1051" s="27" t="n">
        <v>45924</v>
      </c>
      <c r="G1051" t="inlineStr">
        <is>
          <t>DEBITO</t>
        </is>
      </c>
      <c r="H1051" t="inlineStr">
        <is>
          <t>Nova Comercial do Peixe Eireli</t>
        </is>
      </c>
      <c r="I1051" t="n">
        <v>-1176</v>
      </c>
    </row>
    <row r="1052">
      <c r="A1052" t="n">
        <v>167930</v>
      </c>
      <c r="B1052" t="n">
        <v>182</v>
      </c>
      <c r="C1052" t="inlineStr">
        <is>
          <t>Love - Shibari - Kamino</t>
        </is>
      </c>
      <c r="D1052" t="n">
        <v>128</v>
      </c>
      <c r="E1052" t="inlineStr">
        <is>
          <t>Love Cabaret</t>
        </is>
      </c>
      <c r="F1052" s="27" t="n">
        <v>45924</v>
      </c>
      <c r="G1052" t="inlineStr">
        <is>
          <t>DEBITO</t>
        </is>
      </c>
      <c r="H1052" t="inlineStr">
        <is>
          <t>Arena Bebidas</t>
        </is>
      </c>
      <c r="I1052" t="n">
        <v>-527.88</v>
      </c>
    </row>
    <row r="1053">
      <c r="A1053" t="n">
        <v>167931</v>
      </c>
      <c r="B1053" t="n">
        <v>182</v>
      </c>
      <c r="C1053" t="inlineStr">
        <is>
          <t>Love - Shibari - Kamino</t>
        </is>
      </c>
      <c r="D1053" t="n">
        <v>128</v>
      </c>
      <c r="E1053" t="inlineStr">
        <is>
          <t>Love Cabaret</t>
        </is>
      </c>
      <c r="F1053" s="27" t="n">
        <v>45924</v>
      </c>
      <c r="G1053" t="inlineStr">
        <is>
          <t>DEBITO</t>
        </is>
      </c>
      <c r="H1053" t="inlineStr">
        <is>
          <t>Wide Stock com e Rep Ltda</t>
        </is>
      </c>
      <c r="I1053" t="n">
        <v>-608</v>
      </c>
    </row>
    <row r="1054">
      <c r="A1054" t="n">
        <v>167936</v>
      </c>
      <c r="B1054" t="n">
        <v>182</v>
      </c>
      <c r="C1054" t="inlineStr">
        <is>
          <t>Love - Shibari - Kamino</t>
        </is>
      </c>
      <c r="D1054" t="n">
        <v>128</v>
      </c>
      <c r="E1054" t="inlineStr">
        <is>
          <t>Love Cabaret</t>
        </is>
      </c>
      <c r="F1054" s="27" t="n">
        <v>45924</v>
      </c>
      <c r="G1054" t="inlineStr">
        <is>
          <t>DEBITO</t>
        </is>
      </c>
      <c r="H1054" t="inlineStr">
        <is>
          <t>Cia do Whisky</t>
        </is>
      </c>
      <c r="I1054" t="n">
        <v>-754.5</v>
      </c>
    </row>
    <row r="1055">
      <c r="A1055" t="n">
        <v>167933</v>
      </c>
      <c r="B1055" t="n">
        <v>182</v>
      </c>
      <c r="C1055" t="inlineStr">
        <is>
          <t>Love - Shibari - Kamino</t>
        </is>
      </c>
      <c r="D1055" t="n">
        <v>128</v>
      </c>
      <c r="E1055" t="inlineStr">
        <is>
          <t>Love Cabaret</t>
        </is>
      </c>
      <c r="F1055" s="27" t="n">
        <v>45924</v>
      </c>
      <c r="G1055" t="inlineStr">
        <is>
          <t>DEBITO</t>
        </is>
      </c>
      <c r="H1055" t="inlineStr">
        <is>
          <t>Invye Capital Ltda</t>
        </is>
      </c>
      <c r="I1055" t="n">
        <v>-1260</v>
      </c>
    </row>
    <row r="1056">
      <c r="A1056" t="n">
        <v>167934</v>
      </c>
      <c r="B1056" t="n">
        <v>182</v>
      </c>
      <c r="C1056" t="inlineStr">
        <is>
          <t>Love - Shibari - Kamino</t>
        </is>
      </c>
      <c r="D1056" t="n">
        <v>128</v>
      </c>
      <c r="E1056" t="inlineStr">
        <is>
          <t>Love Cabaret</t>
        </is>
      </c>
      <c r="F1056" s="27" t="n">
        <v>45924</v>
      </c>
      <c r="G1056" t="inlineStr">
        <is>
          <t>DEBITO</t>
        </is>
      </c>
      <c r="H1056" t="inlineStr">
        <is>
          <t>King Comercio de Bebidas Ltda</t>
        </is>
      </c>
      <c r="I1056" t="n">
        <v>-2058.58</v>
      </c>
    </row>
    <row r="1057">
      <c r="A1057" t="n">
        <v>167945</v>
      </c>
      <c r="B1057" t="n">
        <v>182</v>
      </c>
      <c r="C1057" t="inlineStr">
        <is>
          <t>Love - Shibari - Kamino</t>
        </is>
      </c>
      <c r="D1057" t="n">
        <v>128</v>
      </c>
      <c r="E1057" t="inlineStr">
        <is>
          <t>Love Cabaret</t>
        </is>
      </c>
      <c r="F1057" s="27" t="n">
        <v>45924</v>
      </c>
      <c r="G1057" t="inlineStr">
        <is>
          <t>DEBITO</t>
        </is>
      </c>
      <c r="H1057" t="inlineStr">
        <is>
          <t>Flavio Rodrigues de Moura</t>
        </is>
      </c>
      <c r="I1057" t="n">
        <v>-600</v>
      </c>
    </row>
    <row r="1058">
      <c r="A1058" t="n">
        <v>167944</v>
      </c>
      <c r="B1058" t="n">
        <v>182</v>
      </c>
      <c r="C1058" t="inlineStr">
        <is>
          <t>Love - Shibari - Kamino</t>
        </is>
      </c>
      <c r="D1058" t="n">
        <v>128</v>
      </c>
      <c r="E1058" t="inlineStr">
        <is>
          <t>Love Cabaret</t>
        </is>
      </c>
      <c r="F1058" s="27" t="n">
        <v>45924</v>
      </c>
      <c r="G1058" t="inlineStr">
        <is>
          <t>DEBITO</t>
        </is>
      </c>
      <c r="H1058" t="inlineStr">
        <is>
          <t>Telefonica Brasil S.A.</t>
        </is>
      </c>
      <c r="I1058" t="n">
        <v>-21.71</v>
      </c>
    </row>
    <row r="1059">
      <c r="A1059" t="n">
        <v>167943</v>
      </c>
      <c r="B1059" t="n">
        <v>182</v>
      </c>
      <c r="C1059" t="inlineStr">
        <is>
          <t>Love - Shibari - Kamino</t>
        </is>
      </c>
      <c r="D1059" t="n">
        <v>128</v>
      </c>
      <c r="E1059" t="inlineStr">
        <is>
          <t>Love Cabaret</t>
        </is>
      </c>
      <c r="F1059" s="27" t="n">
        <v>45924</v>
      </c>
      <c r="G1059" t="inlineStr">
        <is>
          <t>DEBITO</t>
        </is>
      </c>
      <c r="H1059" t="inlineStr">
        <is>
          <t>Companhia de Gas de Sp Comgas</t>
        </is>
      </c>
      <c r="I1059" t="n">
        <v>-1311.31</v>
      </c>
    </row>
    <row r="1060">
      <c r="A1060" t="n">
        <v>167942</v>
      </c>
      <c r="B1060" t="n">
        <v>182</v>
      </c>
      <c r="C1060" t="inlineStr">
        <is>
          <t>Love - Shibari - Kamino</t>
        </is>
      </c>
      <c r="D1060" t="n">
        <v>128</v>
      </c>
      <c r="E1060" t="inlineStr">
        <is>
          <t>Love Cabaret</t>
        </is>
      </c>
      <c r="F1060" s="27" t="n">
        <v>45924</v>
      </c>
      <c r="G1060" t="inlineStr">
        <is>
          <t>DEBITO</t>
        </is>
      </c>
      <c r="H1060" t="inlineStr">
        <is>
          <t>Facundo Guerra Rivero</t>
        </is>
      </c>
      <c r="I1060" t="n">
        <v>-1560</v>
      </c>
    </row>
    <row r="1061">
      <c r="A1061" t="n">
        <v>167946</v>
      </c>
      <c r="B1061" t="n">
        <v>182</v>
      </c>
      <c r="C1061" t="inlineStr">
        <is>
          <t>Love - Shibari - Kamino</t>
        </is>
      </c>
      <c r="D1061" t="n">
        <v>128</v>
      </c>
      <c r="E1061" t="inlineStr">
        <is>
          <t>Love Cabaret</t>
        </is>
      </c>
      <c r="F1061" s="27" t="n">
        <v>45924</v>
      </c>
      <c r="G1061" t="inlineStr">
        <is>
          <t>DEBITO</t>
        </is>
      </c>
      <c r="H1061" t="inlineStr">
        <is>
          <t>Tarifa Pix Enviado-PJ</t>
        </is>
      </c>
      <c r="I1061" t="n">
        <v>-0.5</v>
      </c>
    </row>
    <row r="1062">
      <c r="A1062" t="n">
        <v>167941</v>
      </c>
      <c r="B1062" t="n">
        <v>182</v>
      </c>
      <c r="C1062" t="inlineStr">
        <is>
          <t>Love - Shibari - Kamino</t>
        </is>
      </c>
      <c r="D1062" t="n">
        <v>128</v>
      </c>
      <c r="E1062" t="inlineStr">
        <is>
          <t>Love Cabaret</t>
        </is>
      </c>
      <c r="F1062" s="27" t="n">
        <v>45924</v>
      </c>
      <c r="G1062" t="inlineStr">
        <is>
          <t>DEBITO</t>
        </is>
      </c>
      <c r="H1062" t="inlineStr">
        <is>
          <t>Facundo Guerra Rivero</t>
        </is>
      </c>
      <c r="I1062" t="n">
        <v>-939.03</v>
      </c>
    </row>
    <row r="1063">
      <c r="A1063" t="n">
        <v>167940</v>
      </c>
      <c r="B1063" t="n">
        <v>182</v>
      </c>
      <c r="C1063" t="inlineStr">
        <is>
          <t>Love - Shibari - Kamino</t>
        </is>
      </c>
      <c r="D1063" t="n">
        <v>128</v>
      </c>
      <c r="E1063" t="inlineStr">
        <is>
          <t>Love Cabaret</t>
        </is>
      </c>
      <c r="F1063" s="27" t="n">
        <v>45924</v>
      </c>
      <c r="G1063" t="inlineStr">
        <is>
          <t>DEBITO</t>
        </is>
      </c>
      <c r="H1063" t="inlineStr">
        <is>
          <t>Tarifa Pix Enviado-PJ</t>
        </is>
      </c>
      <c r="I1063" t="n">
        <v>-0.5</v>
      </c>
    </row>
    <row r="1064">
      <c r="A1064" t="n">
        <v>167939</v>
      </c>
      <c r="B1064" t="n">
        <v>182</v>
      </c>
      <c r="C1064" t="inlineStr">
        <is>
          <t>Love - Shibari - Kamino</t>
        </is>
      </c>
      <c r="D1064" t="n">
        <v>128</v>
      </c>
      <c r="E1064" t="inlineStr">
        <is>
          <t>Love Cabaret</t>
        </is>
      </c>
      <c r="F1064" s="27" t="n">
        <v>45924</v>
      </c>
      <c r="G1064" t="inlineStr">
        <is>
          <t>DEBITO</t>
        </is>
      </c>
      <c r="H1064" t="inlineStr">
        <is>
          <t>Hnk Br Bebidas Ltda</t>
        </is>
      </c>
      <c r="I1064" t="n">
        <v>-5010.54</v>
      </c>
    </row>
    <row r="1065">
      <c r="A1065" t="n">
        <v>167938</v>
      </c>
      <c r="B1065" t="n">
        <v>182</v>
      </c>
      <c r="C1065" t="inlineStr">
        <is>
          <t>Love - Shibari - Kamino</t>
        </is>
      </c>
      <c r="D1065" t="n">
        <v>128</v>
      </c>
      <c r="E1065" t="inlineStr">
        <is>
          <t>Love Cabaret</t>
        </is>
      </c>
      <c r="F1065" s="27" t="n">
        <v>45924</v>
      </c>
      <c r="G1065" t="inlineStr">
        <is>
          <t>DEBITO</t>
        </is>
      </c>
      <c r="H1065" t="inlineStr">
        <is>
          <t>Cia do Whisky</t>
        </is>
      </c>
      <c r="I1065" t="n">
        <v>-504.8</v>
      </c>
    </row>
    <row r="1066">
      <c r="A1066" t="n">
        <v>167937</v>
      </c>
      <c r="B1066" t="n">
        <v>182</v>
      </c>
      <c r="C1066" t="inlineStr">
        <is>
          <t>Love - Shibari - Kamino</t>
        </is>
      </c>
      <c r="D1066" t="n">
        <v>128</v>
      </c>
      <c r="E1066" t="inlineStr">
        <is>
          <t>Love Cabaret</t>
        </is>
      </c>
      <c r="F1066" s="27" t="n">
        <v>45924</v>
      </c>
      <c r="G1066" t="inlineStr">
        <is>
          <t>DEBITO</t>
        </is>
      </c>
      <c r="H1066" t="inlineStr">
        <is>
          <t>Receita Federal</t>
        </is>
      </c>
      <c r="I1066" t="n">
        <v>-814.52</v>
      </c>
    </row>
    <row r="1067">
      <c r="A1067" t="n">
        <v>167935</v>
      </c>
      <c r="B1067" t="n">
        <v>182</v>
      </c>
      <c r="C1067" t="inlineStr">
        <is>
          <t>Love - Shibari - Kamino</t>
        </is>
      </c>
      <c r="D1067" t="n">
        <v>128</v>
      </c>
      <c r="E1067" t="inlineStr">
        <is>
          <t>Love Cabaret</t>
        </is>
      </c>
      <c r="F1067" s="27" t="n">
        <v>45924</v>
      </c>
      <c r="G1067" t="inlineStr">
        <is>
          <t>DEBITO</t>
        </is>
      </c>
      <c r="H1067" t="inlineStr">
        <is>
          <t>Cecilia Tsuyaco Araki Silva Ltda</t>
        </is>
      </c>
      <c r="I1067" t="n">
        <v>-85.5</v>
      </c>
    </row>
    <row r="1068">
      <c r="A1068" t="n">
        <v>167878</v>
      </c>
      <c r="B1068" t="n">
        <v>115</v>
      </c>
      <c r="C1068" t="inlineStr">
        <is>
          <t>Love - Shibari - Bradesco</t>
        </is>
      </c>
      <c r="D1068" t="n">
        <v>128</v>
      </c>
      <c r="E1068" t="inlineStr">
        <is>
          <t>Love Cabaret</t>
        </is>
      </c>
      <c r="F1068" s="27" t="n">
        <v>45923.5</v>
      </c>
      <c r="G1068" t="inlineStr">
        <is>
          <t>CREDITO</t>
        </is>
      </c>
      <c r="H1068" t="inlineStr">
        <is>
          <t>TED-TRANSF ELET DISPON REMET.SYMPLA INTERNET SOLU</t>
        </is>
      </c>
      <c r="I1068" t="n">
        <v>220</v>
      </c>
    </row>
    <row r="1069">
      <c r="A1069" t="n">
        <v>167873</v>
      </c>
      <c r="B1069" t="n">
        <v>115</v>
      </c>
      <c r="C1069" t="inlineStr">
        <is>
          <t>Love - Shibari - Bradesco</t>
        </is>
      </c>
      <c r="D1069" t="n">
        <v>128</v>
      </c>
      <c r="E1069" t="inlineStr">
        <is>
          <t>Love Cabaret</t>
        </is>
      </c>
      <c r="F1069" s="27" t="n">
        <v>45922.5</v>
      </c>
      <c r="G1069" t="inlineStr">
        <is>
          <t>CREDITO</t>
        </is>
      </c>
      <c r="H1069" t="inlineStr">
        <is>
          <t>TED-TRANSF ELET DISPON REMET.Zig Tecnologia S.A.</t>
        </is>
      </c>
      <c r="I1069" t="n">
        <v>40741.63</v>
      </c>
    </row>
    <row r="1070">
      <c r="A1070" t="n">
        <v>167874</v>
      </c>
      <c r="B1070" t="n">
        <v>115</v>
      </c>
      <c r="C1070" t="inlineStr">
        <is>
          <t>Love - Shibari - Bradesco</t>
        </is>
      </c>
      <c r="D1070" t="n">
        <v>128</v>
      </c>
      <c r="E1070" t="inlineStr">
        <is>
          <t>Love Cabaret</t>
        </is>
      </c>
      <c r="F1070" s="27" t="n">
        <v>45922.5</v>
      </c>
      <c r="G1070" t="inlineStr">
        <is>
          <t>CREDITO</t>
        </is>
      </c>
      <c r="H1070" t="inlineStr">
        <is>
          <t>TRANSFERENCIA PIX REM: Sofia Rodella de Oliv 20/09</t>
        </is>
      </c>
      <c r="I1070" t="n">
        <v>310</v>
      </c>
    </row>
    <row r="1071">
      <c r="A1071" t="n">
        <v>167875</v>
      </c>
      <c r="B1071" t="n">
        <v>115</v>
      </c>
      <c r="C1071" t="inlineStr">
        <is>
          <t>Love - Shibari - Bradesco</t>
        </is>
      </c>
      <c r="D1071" t="n">
        <v>128</v>
      </c>
      <c r="E1071" t="inlineStr">
        <is>
          <t>Love Cabaret</t>
        </is>
      </c>
      <c r="F1071" s="27" t="n">
        <v>45922.5</v>
      </c>
      <c r="G1071" t="inlineStr">
        <is>
          <t>CREDITO</t>
        </is>
      </c>
      <c r="H1071" t="inlineStr">
        <is>
          <t>TRANSFERENCIA PIX REM: Sofia Rodella de Oliv 20/09</t>
        </is>
      </c>
      <c r="I1071" t="n">
        <v>77.5</v>
      </c>
    </row>
    <row r="1072">
      <c r="A1072" t="n">
        <v>167876</v>
      </c>
      <c r="B1072" t="n">
        <v>115</v>
      </c>
      <c r="C1072" t="inlineStr">
        <is>
          <t>Love - Shibari - Bradesco</t>
        </is>
      </c>
      <c r="D1072" t="n">
        <v>128</v>
      </c>
      <c r="E1072" t="inlineStr">
        <is>
          <t>Love Cabaret</t>
        </is>
      </c>
      <c r="F1072" s="27" t="n">
        <v>45922.5</v>
      </c>
      <c r="G1072" t="inlineStr">
        <is>
          <t>CREDITO</t>
        </is>
      </c>
      <c r="H1072" t="inlineStr">
        <is>
          <t>TRANSFERENCIA PIX REM: FELIPE DE SOUZA OLIVE 22/09</t>
        </is>
      </c>
      <c r="I1072" t="n">
        <v>620</v>
      </c>
    </row>
    <row r="1073">
      <c r="A1073" t="n">
        <v>167877</v>
      </c>
      <c r="B1073" t="n">
        <v>115</v>
      </c>
      <c r="C1073" t="inlineStr">
        <is>
          <t>Love - Shibari - Bradesco</t>
        </is>
      </c>
      <c r="D1073" t="n">
        <v>128</v>
      </c>
      <c r="E1073" t="inlineStr">
        <is>
          <t>Love Cabaret</t>
        </is>
      </c>
      <c r="F1073" s="27" t="n">
        <v>45922.5</v>
      </c>
      <c r="G1073" t="inlineStr">
        <is>
          <t>CREDITO</t>
        </is>
      </c>
      <c r="H1073" t="inlineStr">
        <is>
          <t>TRANSFERENCIA PIX REM: FELIPE DE SOUZA OLIVE 22/09</t>
        </is>
      </c>
      <c r="I1073" t="n">
        <v>77.5</v>
      </c>
    </row>
    <row r="1074">
      <c r="A1074" t="n">
        <v>167899</v>
      </c>
      <c r="B1074" t="n">
        <v>182</v>
      </c>
      <c r="C1074" t="inlineStr">
        <is>
          <t>Love - Shibari - Kamino</t>
        </is>
      </c>
      <c r="D1074" t="n">
        <v>128</v>
      </c>
      <c r="E1074" t="inlineStr">
        <is>
          <t>Love Cabaret</t>
        </is>
      </c>
      <c r="F1074" s="27" t="n">
        <v>45922</v>
      </c>
      <c r="G1074" t="inlineStr">
        <is>
          <t>DEBITO</t>
        </is>
      </c>
      <c r="H1074" t="inlineStr">
        <is>
          <t>Alphalix Ambiental Locacao de Equipament</t>
        </is>
      </c>
      <c r="I1074" t="n">
        <v>-1178.28</v>
      </c>
    </row>
    <row r="1075">
      <c r="A1075" t="n">
        <v>167908</v>
      </c>
      <c r="B1075" t="n">
        <v>182</v>
      </c>
      <c r="C1075" t="inlineStr">
        <is>
          <t>Love - Shibari - Kamino</t>
        </is>
      </c>
      <c r="D1075" t="n">
        <v>128</v>
      </c>
      <c r="E1075" t="inlineStr">
        <is>
          <t>Love Cabaret</t>
        </is>
      </c>
      <c r="F1075" s="27" t="n">
        <v>45922</v>
      </c>
      <c r="G1075" t="inlineStr">
        <is>
          <t>DEBITO</t>
        </is>
      </c>
      <c r="H1075" t="inlineStr">
        <is>
          <t>Cepel Comercio de Papeis e Emb</t>
        </is>
      </c>
      <c r="I1075" t="n">
        <v>-1075.8</v>
      </c>
    </row>
    <row r="1076">
      <c r="A1076" t="n">
        <v>167898</v>
      </c>
      <c r="B1076" t="n">
        <v>182</v>
      </c>
      <c r="C1076" t="inlineStr">
        <is>
          <t>Love - Shibari - Kamino</t>
        </is>
      </c>
      <c r="D1076" t="n">
        <v>128</v>
      </c>
      <c r="E1076" t="inlineStr">
        <is>
          <t>Love Cabaret</t>
        </is>
      </c>
      <c r="F1076" s="27" t="n">
        <v>45922</v>
      </c>
      <c r="G1076" t="inlineStr">
        <is>
          <t>DEBITO</t>
        </is>
      </c>
      <c r="H1076" t="inlineStr">
        <is>
          <t>Allimentari com de Produtos Al</t>
        </is>
      </c>
      <c r="I1076" t="n">
        <v>-126</v>
      </c>
    </row>
    <row r="1077">
      <c r="A1077" t="n">
        <v>167897</v>
      </c>
      <c r="B1077" t="n">
        <v>182</v>
      </c>
      <c r="C1077" t="inlineStr">
        <is>
          <t>Love - Shibari - Kamino</t>
        </is>
      </c>
      <c r="D1077" t="n">
        <v>128</v>
      </c>
      <c r="E1077" t="inlineStr">
        <is>
          <t>Love Cabaret</t>
        </is>
      </c>
      <c r="F1077" s="27" t="n">
        <v>45922</v>
      </c>
      <c r="G1077" t="inlineStr">
        <is>
          <t>DEBITO</t>
        </is>
      </c>
      <c r="H1077" t="inlineStr">
        <is>
          <t>Comercial Dede</t>
        </is>
      </c>
      <c r="I1077" t="n">
        <v>-129</v>
      </c>
    </row>
    <row r="1078">
      <c r="A1078" t="n">
        <v>167896</v>
      </c>
      <c r="B1078" t="n">
        <v>182</v>
      </c>
      <c r="C1078" t="inlineStr">
        <is>
          <t>Love - Shibari - Kamino</t>
        </is>
      </c>
      <c r="D1078" t="n">
        <v>128</v>
      </c>
      <c r="E1078" t="inlineStr">
        <is>
          <t>Love Cabaret</t>
        </is>
      </c>
      <c r="F1078" s="27" t="n">
        <v>45922</v>
      </c>
      <c r="G1078" t="inlineStr">
        <is>
          <t>DEBITO</t>
        </is>
      </c>
      <c r="H1078" t="inlineStr">
        <is>
          <t>Storm Comercio de Alimentos e Bebidas Lt</t>
        </is>
      </c>
      <c r="I1078" t="n">
        <v>-404.4</v>
      </c>
    </row>
    <row r="1079">
      <c r="A1079" t="n">
        <v>167895</v>
      </c>
      <c r="B1079" t="n">
        <v>182</v>
      </c>
      <c r="C1079" t="inlineStr">
        <is>
          <t>Love - Shibari - Kamino</t>
        </is>
      </c>
      <c r="D1079" t="n">
        <v>128</v>
      </c>
      <c r="E1079" t="inlineStr">
        <is>
          <t>Love Cabaret</t>
        </is>
      </c>
      <c r="F1079" s="27" t="n">
        <v>45922</v>
      </c>
      <c r="G1079" t="inlineStr">
        <is>
          <t>DEBITO</t>
        </is>
      </c>
      <c r="H1079" t="inlineStr">
        <is>
          <t>Wide Stock com e Rep Ltda</t>
        </is>
      </c>
      <c r="I1079" t="n">
        <v>-450</v>
      </c>
    </row>
    <row r="1080">
      <c r="A1080" t="n">
        <v>167894</v>
      </c>
      <c r="B1080" t="n">
        <v>182</v>
      </c>
      <c r="C1080" t="inlineStr">
        <is>
          <t>Love - Shibari - Kamino</t>
        </is>
      </c>
      <c r="D1080" t="n">
        <v>128</v>
      </c>
      <c r="E1080" t="inlineStr">
        <is>
          <t>Love Cabaret</t>
        </is>
      </c>
      <c r="F1080" s="27" t="n">
        <v>45922</v>
      </c>
      <c r="G1080" t="inlineStr">
        <is>
          <t>DEBITO</t>
        </is>
      </c>
      <c r="H1080" t="inlineStr">
        <is>
          <t>Eshows Promocoes Artisticas Ltda</t>
        </is>
      </c>
      <c r="I1080" t="n">
        <v>-18625</v>
      </c>
    </row>
    <row r="1081">
      <c r="A1081" t="n">
        <v>167893</v>
      </c>
      <c r="B1081" t="n">
        <v>182</v>
      </c>
      <c r="C1081" t="inlineStr">
        <is>
          <t>Love - Shibari - Kamino</t>
        </is>
      </c>
      <c r="D1081" t="n">
        <v>128</v>
      </c>
      <c r="E1081" t="inlineStr">
        <is>
          <t>Love Cabaret</t>
        </is>
      </c>
      <c r="F1081" s="27" t="n">
        <v>45922</v>
      </c>
      <c r="G1081" t="inlineStr">
        <is>
          <t>DEBITO</t>
        </is>
      </c>
      <c r="H1081" t="inlineStr">
        <is>
          <t>Psss Ltda</t>
        </is>
      </c>
      <c r="I1081" t="n">
        <v>-1281</v>
      </c>
    </row>
    <row r="1082">
      <c r="A1082" t="n">
        <v>167892</v>
      </c>
      <c r="B1082" t="n">
        <v>182</v>
      </c>
      <c r="C1082" t="inlineStr">
        <is>
          <t>Love - Shibari - Kamino</t>
        </is>
      </c>
      <c r="D1082" t="n">
        <v>128</v>
      </c>
      <c r="E1082" t="inlineStr">
        <is>
          <t>Love Cabaret</t>
        </is>
      </c>
      <c r="F1082" s="27" t="n">
        <v>45922</v>
      </c>
      <c r="G1082" t="inlineStr">
        <is>
          <t>DEBITO</t>
        </is>
      </c>
      <c r="H1082" t="inlineStr">
        <is>
          <t>Preshh Bar Ltda</t>
        </is>
      </c>
      <c r="I1082" t="n">
        <v>-396</v>
      </c>
    </row>
    <row r="1083">
      <c r="A1083" t="n">
        <v>167891</v>
      </c>
      <c r="B1083" t="n">
        <v>182</v>
      </c>
      <c r="C1083" t="inlineStr">
        <is>
          <t>Love - Shibari - Kamino</t>
        </is>
      </c>
      <c r="D1083" t="n">
        <v>128</v>
      </c>
      <c r="E1083" t="inlineStr">
        <is>
          <t>Love Cabaret</t>
        </is>
      </c>
      <c r="F1083" s="27" t="n">
        <v>45922</v>
      </c>
      <c r="G1083" t="inlineStr">
        <is>
          <t>DEBITO</t>
        </is>
      </c>
      <c r="H1083" t="inlineStr">
        <is>
          <t>Zoop Brasil</t>
        </is>
      </c>
      <c r="I1083" t="n">
        <v>-374.56</v>
      </c>
    </row>
    <row r="1084">
      <c r="A1084" t="n">
        <v>167890</v>
      </c>
      <c r="B1084" t="n">
        <v>182</v>
      </c>
      <c r="C1084" t="inlineStr">
        <is>
          <t>Love - Shibari - Kamino</t>
        </is>
      </c>
      <c r="D1084" t="n">
        <v>128</v>
      </c>
      <c r="E1084" t="inlineStr">
        <is>
          <t>Love Cabaret</t>
        </is>
      </c>
      <c r="F1084" s="27" t="n">
        <v>45922</v>
      </c>
      <c r="G1084" t="inlineStr">
        <is>
          <t>DEBITO</t>
        </is>
      </c>
      <c r="H1084" t="inlineStr">
        <is>
          <t>Dtk Comercio de Alimentos Ltda Epp</t>
        </is>
      </c>
      <c r="I1084" t="n">
        <v>-414.44</v>
      </c>
    </row>
    <row r="1085">
      <c r="A1085" t="n">
        <v>167901</v>
      </c>
      <c r="B1085" t="n">
        <v>182</v>
      </c>
      <c r="C1085" t="inlineStr">
        <is>
          <t>Love - Shibari - Kamino</t>
        </is>
      </c>
      <c r="D1085" t="n">
        <v>128</v>
      </c>
      <c r="E1085" t="inlineStr">
        <is>
          <t>Love Cabaret</t>
        </is>
      </c>
      <c r="F1085" s="27" t="n">
        <v>45922</v>
      </c>
      <c r="G1085" t="inlineStr">
        <is>
          <t>DEBITO</t>
        </is>
      </c>
      <c r="H1085" t="inlineStr">
        <is>
          <t>Dtk Comercio de Alimentos Ltda Epp</t>
        </is>
      </c>
      <c r="I1085" t="n">
        <v>-255.75</v>
      </c>
    </row>
    <row r="1086">
      <c r="A1086" t="n">
        <v>167907</v>
      </c>
      <c r="B1086" t="n">
        <v>182</v>
      </c>
      <c r="C1086" t="inlineStr">
        <is>
          <t>Love - Shibari - Kamino</t>
        </is>
      </c>
      <c r="D1086" t="n">
        <v>128</v>
      </c>
      <c r="E1086" t="inlineStr">
        <is>
          <t>Love Cabaret</t>
        </is>
      </c>
      <c r="F1086" s="27" t="n">
        <v>45922</v>
      </c>
      <c r="G1086" t="inlineStr">
        <is>
          <t>DEBITO</t>
        </is>
      </c>
      <c r="H1086" t="inlineStr">
        <is>
          <t>Cepel Comercio de Papeis e Emb</t>
        </is>
      </c>
      <c r="I1086" t="n">
        <v>-580</v>
      </c>
    </row>
    <row r="1087">
      <c r="A1087" t="n">
        <v>167909</v>
      </c>
      <c r="B1087" t="n">
        <v>182</v>
      </c>
      <c r="C1087" t="inlineStr">
        <is>
          <t>Love - Shibari - Kamino</t>
        </is>
      </c>
      <c r="D1087" t="n">
        <v>128</v>
      </c>
      <c r="E1087" t="inlineStr">
        <is>
          <t>Love Cabaret</t>
        </is>
      </c>
      <c r="F1087" s="27" t="n">
        <v>45922</v>
      </c>
      <c r="G1087" t="inlineStr">
        <is>
          <t>DEBITO</t>
        </is>
      </c>
      <c r="H1087" t="inlineStr">
        <is>
          <t>Lebanon Market Center Eireli</t>
        </is>
      </c>
      <c r="I1087" t="n">
        <v>-380.12</v>
      </c>
    </row>
    <row r="1088">
      <c r="A1088" t="n">
        <v>167910</v>
      </c>
      <c r="B1088" t="n">
        <v>182</v>
      </c>
      <c r="C1088" t="inlineStr">
        <is>
          <t>Love - Shibari - Kamino</t>
        </is>
      </c>
      <c r="D1088" t="n">
        <v>128</v>
      </c>
      <c r="E1088" t="inlineStr">
        <is>
          <t>Love Cabaret</t>
        </is>
      </c>
      <c r="F1088" s="27" t="n">
        <v>45922</v>
      </c>
      <c r="G1088" t="inlineStr">
        <is>
          <t>DEBITO</t>
        </is>
      </c>
      <c r="H1088" t="inlineStr">
        <is>
          <t>Porco Feliz com Carnes Ltda Me</t>
        </is>
      </c>
      <c r="I1088" t="n">
        <v>-218.65</v>
      </c>
    </row>
    <row r="1089">
      <c r="A1089" t="n">
        <v>167911</v>
      </c>
      <c r="B1089" t="n">
        <v>182</v>
      </c>
      <c r="C1089" t="inlineStr">
        <is>
          <t>Love - Shibari - Kamino</t>
        </is>
      </c>
      <c r="D1089" t="n">
        <v>128</v>
      </c>
      <c r="E1089" t="inlineStr">
        <is>
          <t>Love Cabaret</t>
        </is>
      </c>
      <c r="F1089" s="27" t="n">
        <v>45922</v>
      </c>
      <c r="G1089" t="inlineStr">
        <is>
          <t>DEBITO</t>
        </is>
      </c>
      <c r="H1089" t="inlineStr">
        <is>
          <t>W P P C Carnes Eireli Epp</t>
        </is>
      </c>
      <c r="I1089" t="n">
        <v>-466.94</v>
      </c>
    </row>
    <row r="1090">
      <c r="A1090" t="n">
        <v>167912</v>
      </c>
      <c r="B1090" t="n">
        <v>182</v>
      </c>
      <c r="C1090" t="inlineStr">
        <is>
          <t>Love - Shibari - Kamino</t>
        </is>
      </c>
      <c r="D1090" t="n">
        <v>128</v>
      </c>
      <c r="E1090" t="inlineStr">
        <is>
          <t>Love Cabaret</t>
        </is>
      </c>
      <c r="F1090" s="27" t="n">
        <v>45922</v>
      </c>
      <c r="G1090" t="inlineStr">
        <is>
          <t>DEBITO</t>
        </is>
      </c>
      <c r="H1090" t="inlineStr">
        <is>
          <t>Paramu Comercio R P a Ltda</t>
        </is>
      </c>
      <c r="I1090" t="n">
        <v>-728.33</v>
      </c>
    </row>
    <row r="1091">
      <c r="A1091" t="n">
        <v>167913</v>
      </c>
      <c r="B1091" t="n">
        <v>182</v>
      </c>
      <c r="C1091" t="inlineStr">
        <is>
          <t>Love - Shibari - Kamino</t>
        </is>
      </c>
      <c r="D1091" t="n">
        <v>128</v>
      </c>
      <c r="E1091" t="inlineStr">
        <is>
          <t>Love Cabaret</t>
        </is>
      </c>
      <c r="F1091" s="27" t="n">
        <v>45922</v>
      </c>
      <c r="G1091" t="inlineStr">
        <is>
          <t>DEBITO</t>
        </is>
      </c>
      <c r="H1091" t="inlineStr">
        <is>
          <t>Fg7 Comercio D B Eireli Epp</t>
        </is>
      </c>
      <c r="I1091" t="n">
        <v>-454.8</v>
      </c>
    </row>
    <row r="1092">
      <c r="A1092" t="n">
        <v>167914</v>
      </c>
      <c r="B1092" t="n">
        <v>182</v>
      </c>
      <c r="C1092" t="inlineStr">
        <is>
          <t>Love - Shibari - Kamino</t>
        </is>
      </c>
      <c r="D1092" t="n">
        <v>128</v>
      </c>
      <c r="E1092" t="inlineStr">
        <is>
          <t>Love Cabaret</t>
        </is>
      </c>
      <c r="F1092" s="27" t="n">
        <v>45922</v>
      </c>
      <c r="G1092" t="inlineStr">
        <is>
          <t>DEBITO</t>
        </is>
      </c>
      <c r="H1092" t="inlineStr">
        <is>
          <t>Interfood Importacao Ltda</t>
        </is>
      </c>
      <c r="I1092" t="n">
        <v>-780.9299999999999</v>
      </c>
    </row>
    <row r="1093">
      <c r="A1093" t="n">
        <v>167915</v>
      </c>
      <c r="B1093" t="n">
        <v>182</v>
      </c>
      <c r="C1093" t="inlineStr">
        <is>
          <t>Love - Shibari - Kamino</t>
        </is>
      </c>
      <c r="D1093" t="n">
        <v>128</v>
      </c>
      <c r="E1093" t="inlineStr">
        <is>
          <t>Love Cabaret</t>
        </is>
      </c>
      <c r="F1093" s="27" t="n">
        <v>45922</v>
      </c>
      <c r="G1093" t="inlineStr">
        <is>
          <t>DEBITO</t>
        </is>
      </c>
      <c r="H1093" t="inlineStr">
        <is>
          <t>Aurora Alvorada Estacionamento e Lanchon</t>
        </is>
      </c>
      <c r="I1093" t="n">
        <v>-587.85</v>
      </c>
    </row>
    <row r="1094">
      <c r="A1094" t="n">
        <v>167916</v>
      </c>
      <c r="B1094" t="n">
        <v>182</v>
      </c>
      <c r="C1094" t="inlineStr">
        <is>
          <t>Love - Shibari - Kamino</t>
        </is>
      </c>
      <c r="D1094" t="n">
        <v>128</v>
      </c>
      <c r="E1094" t="inlineStr">
        <is>
          <t>Love Cabaret</t>
        </is>
      </c>
      <c r="F1094" s="27" t="n">
        <v>45922</v>
      </c>
      <c r="G1094" t="inlineStr">
        <is>
          <t>DEBITO</t>
        </is>
      </c>
      <c r="H1094" t="inlineStr">
        <is>
          <t>Fg7 Comercio D B Eireli Epp</t>
        </is>
      </c>
      <c r="I1094" t="n">
        <v>-414.72</v>
      </c>
    </row>
    <row r="1095">
      <c r="A1095" t="n">
        <v>167917</v>
      </c>
      <c r="B1095" t="n">
        <v>182</v>
      </c>
      <c r="C1095" t="inlineStr">
        <is>
          <t>Love - Shibari - Kamino</t>
        </is>
      </c>
      <c r="D1095" t="n">
        <v>128</v>
      </c>
      <c r="E1095" t="inlineStr">
        <is>
          <t>Love Cabaret</t>
        </is>
      </c>
      <c r="F1095" s="27" t="n">
        <v>45922</v>
      </c>
      <c r="G1095" t="inlineStr">
        <is>
          <t>DEBITO</t>
        </is>
      </c>
      <c r="H1095" t="inlineStr">
        <is>
          <t>Felipe Ferreira Franca 36496185832</t>
        </is>
      </c>
      <c r="I1095" t="n">
        <v>-17.45</v>
      </c>
    </row>
    <row r="1096">
      <c r="A1096" t="n">
        <v>167906</v>
      </c>
      <c r="B1096" t="n">
        <v>182</v>
      </c>
      <c r="C1096" t="inlineStr">
        <is>
          <t>Love - Shibari - Kamino</t>
        </is>
      </c>
      <c r="D1096" t="n">
        <v>128</v>
      </c>
      <c r="E1096" t="inlineStr">
        <is>
          <t>Love Cabaret</t>
        </is>
      </c>
      <c r="F1096" s="27" t="n">
        <v>45922</v>
      </c>
      <c r="G1096" t="inlineStr">
        <is>
          <t>DEBITO</t>
        </is>
      </c>
      <c r="H1096" t="inlineStr">
        <is>
          <t>Ng27 Consultoria e Gestao Empr</t>
        </is>
      </c>
      <c r="I1096" t="n">
        <v>-285.57</v>
      </c>
    </row>
    <row r="1097">
      <c r="A1097" t="n">
        <v>167905</v>
      </c>
      <c r="B1097" t="n">
        <v>182</v>
      </c>
      <c r="C1097" t="inlineStr">
        <is>
          <t>Love - Shibari - Kamino</t>
        </is>
      </c>
      <c r="D1097" t="n">
        <v>128</v>
      </c>
      <c r="E1097" t="inlineStr">
        <is>
          <t>Love Cabaret</t>
        </is>
      </c>
      <c r="F1097" s="27" t="n">
        <v>45922</v>
      </c>
      <c r="G1097" t="inlineStr">
        <is>
          <t>DEBITO</t>
        </is>
      </c>
      <c r="H1097" t="inlineStr">
        <is>
          <t>D Filipa L M P F Eventos Ltda</t>
        </is>
      </c>
      <c r="I1097" t="n">
        <v>-1407.18</v>
      </c>
    </row>
    <row r="1098">
      <c r="A1098" t="n">
        <v>167904</v>
      </c>
      <c r="B1098" t="n">
        <v>182</v>
      </c>
      <c r="C1098" t="inlineStr">
        <is>
          <t>Love - Shibari - Kamino</t>
        </is>
      </c>
      <c r="D1098" t="n">
        <v>128</v>
      </c>
      <c r="E1098" t="inlineStr">
        <is>
          <t>Love Cabaret</t>
        </is>
      </c>
      <c r="F1098" s="27" t="n">
        <v>45922</v>
      </c>
      <c r="G1098" t="inlineStr">
        <is>
          <t>DEBITO</t>
        </is>
      </c>
      <c r="H1098" t="inlineStr">
        <is>
          <t>Gomes D Elia Equipamentos de H</t>
        </is>
      </c>
      <c r="I1098" t="n">
        <v>-342</v>
      </c>
    </row>
    <row r="1099">
      <c r="A1099" t="n">
        <v>167903</v>
      </c>
      <c r="B1099" t="n">
        <v>182</v>
      </c>
      <c r="C1099" t="inlineStr">
        <is>
          <t>Love - Shibari - Kamino</t>
        </is>
      </c>
      <c r="D1099" t="n">
        <v>128</v>
      </c>
      <c r="E1099" t="inlineStr">
        <is>
          <t>Love Cabaret</t>
        </is>
      </c>
      <c r="F1099" s="27" t="n">
        <v>45922</v>
      </c>
      <c r="G1099" t="inlineStr">
        <is>
          <t>DEBITO</t>
        </is>
      </c>
      <c r="H1099" t="inlineStr">
        <is>
          <t>Destec Solucoes Ltda</t>
        </is>
      </c>
      <c r="I1099" t="n">
        <v>-812.7</v>
      </c>
    </row>
    <row r="1100">
      <c r="A1100" t="n">
        <v>167902</v>
      </c>
      <c r="B1100" t="n">
        <v>182</v>
      </c>
      <c r="C1100" t="inlineStr">
        <is>
          <t>Love - Shibari - Kamino</t>
        </is>
      </c>
      <c r="D1100" t="n">
        <v>128</v>
      </c>
      <c r="E1100" t="inlineStr">
        <is>
          <t>Love Cabaret</t>
        </is>
      </c>
      <c r="F1100" s="27" t="n">
        <v>45922</v>
      </c>
      <c r="G1100" t="inlineStr">
        <is>
          <t>DEBITO</t>
        </is>
      </c>
      <c r="H1100" t="inlineStr">
        <is>
          <t>Brh Saude Ocupacional Ltda Epp</t>
        </is>
      </c>
      <c r="I1100" t="n">
        <v>-142.48</v>
      </c>
    </row>
    <row r="1101">
      <c r="A1101" t="n">
        <v>167900</v>
      </c>
      <c r="B1101" t="n">
        <v>182</v>
      </c>
      <c r="C1101" t="inlineStr">
        <is>
          <t>Love - Shibari - Kamino</t>
        </is>
      </c>
      <c r="D1101" t="n">
        <v>128</v>
      </c>
      <c r="E1101" t="inlineStr">
        <is>
          <t>Love Cabaret</t>
        </is>
      </c>
      <c r="F1101" s="27" t="n">
        <v>45922</v>
      </c>
      <c r="G1101" t="inlineStr">
        <is>
          <t>DEBITO</t>
        </is>
      </c>
      <c r="H1101" t="inlineStr">
        <is>
          <t>Proauto Industria Q Eireli</t>
        </is>
      </c>
      <c r="I1101" t="n">
        <v>-726.7</v>
      </c>
    </row>
    <row r="1102">
      <c r="A1102" t="n">
        <v>167872</v>
      </c>
      <c r="B1102" t="n">
        <v>115</v>
      </c>
      <c r="C1102" t="inlineStr">
        <is>
          <t>Love - Shibari - Bradesco</t>
        </is>
      </c>
      <c r="D1102" t="n">
        <v>128</v>
      </c>
      <c r="E1102" t="inlineStr">
        <is>
          <t>Love Cabaret</t>
        </is>
      </c>
      <c r="F1102" s="27" t="n">
        <v>45919.5</v>
      </c>
      <c r="G1102" t="inlineStr">
        <is>
          <t>CREDITO</t>
        </is>
      </c>
      <c r="H1102" t="inlineStr">
        <is>
          <t>TRANSFERENCIA PIX REM: Sofia Rodella de Oliv 19/09</t>
        </is>
      </c>
      <c r="I1102" t="n">
        <v>310</v>
      </c>
    </row>
    <row r="1103">
      <c r="A1103" t="n">
        <v>167871</v>
      </c>
      <c r="B1103" t="n">
        <v>115</v>
      </c>
      <c r="C1103" t="inlineStr">
        <is>
          <t>Love - Shibari - Bradesco</t>
        </is>
      </c>
      <c r="D1103" t="n">
        <v>128</v>
      </c>
      <c r="E1103" t="inlineStr">
        <is>
          <t>Love Cabaret</t>
        </is>
      </c>
      <c r="F1103" s="27" t="n">
        <v>45919.5</v>
      </c>
      <c r="G1103" t="inlineStr">
        <is>
          <t>CREDITO</t>
        </is>
      </c>
      <c r="H1103" t="inlineStr">
        <is>
          <t>TRANSFERENCIA PIX REM: Fabricio Silva dos Sa 19/09</t>
        </is>
      </c>
      <c r="I1103" t="n">
        <v>697.5</v>
      </c>
    </row>
    <row r="1104">
      <c r="A1104" t="n">
        <v>167870</v>
      </c>
      <c r="B1104" t="n">
        <v>115</v>
      </c>
      <c r="C1104" t="inlineStr">
        <is>
          <t>Love - Shibari - Bradesco</t>
        </is>
      </c>
      <c r="D1104" t="n">
        <v>128</v>
      </c>
      <c r="E1104" t="inlineStr">
        <is>
          <t>Love Cabaret</t>
        </is>
      </c>
      <c r="F1104" s="27" t="n">
        <v>45919.5</v>
      </c>
      <c r="G1104" t="inlineStr">
        <is>
          <t>CREDITO</t>
        </is>
      </c>
      <c r="H1104" t="inlineStr">
        <is>
          <t>TRANSFERENCIA PIX REM: Maria Luiza Magnani D 19/09</t>
        </is>
      </c>
      <c r="I1104" t="n">
        <v>155</v>
      </c>
    </row>
    <row r="1105">
      <c r="A1105" t="n">
        <v>167869</v>
      </c>
      <c r="B1105" t="n">
        <v>115</v>
      </c>
      <c r="C1105" t="inlineStr">
        <is>
          <t>Love - Shibari - Bradesco</t>
        </is>
      </c>
      <c r="D1105" t="n">
        <v>128</v>
      </c>
      <c r="E1105" t="inlineStr">
        <is>
          <t>Love Cabaret</t>
        </is>
      </c>
      <c r="F1105" s="27" t="n">
        <v>45919.5</v>
      </c>
      <c r="G1105" t="inlineStr">
        <is>
          <t>CREDITO</t>
        </is>
      </c>
      <c r="H1105" t="inlineStr">
        <is>
          <t>TRANSFERENCIA PIX REM: GIOVANNA BELO DE PONT 19/09</t>
        </is>
      </c>
      <c r="I1105" t="n">
        <v>78</v>
      </c>
    </row>
    <row r="1106">
      <c r="A1106" t="n">
        <v>167868</v>
      </c>
      <c r="B1106" t="n">
        <v>115</v>
      </c>
      <c r="C1106" t="inlineStr">
        <is>
          <t>Love - Shibari - Bradesco</t>
        </is>
      </c>
      <c r="D1106" t="n">
        <v>128</v>
      </c>
      <c r="E1106" t="inlineStr">
        <is>
          <t>Love Cabaret</t>
        </is>
      </c>
      <c r="F1106" s="27" t="n">
        <v>45919.5</v>
      </c>
      <c r="G1106" t="inlineStr">
        <is>
          <t>CREDITO</t>
        </is>
      </c>
      <c r="H1106" t="inlineStr">
        <is>
          <t>TED-TRANSF ELET DISPON REMET.DIAGEO BRASIL LTDA</t>
        </is>
      </c>
      <c r="I1106" t="n">
        <v>7215</v>
      </c>
    </row>
    <row r="1107">
      <c r="A1107" t="n">
        <v>163062</v>
      </c>
      <c r="B1107" t="n">
        <v>115</v>
      </c>
      <c r="C1107" t="inlineStr">
        <is>
          <t>Love - Shibari - Bradesco</t>
        </is>
      </c>
      <c r="D1107" t="n">
        <v>128</v>
      </c>
      <c r="E1107" t="inlineStr">
        <is>
          <t>Love Cabaret</t>
        </is>
      </c>
      <c r="F1107" s="27" t="n">
        <v>45918.5</v>
      </c>
      <c r="G1107" t="inlineStr">
        <is>
          <t>CREDITO</t>
        </is>
      </c>
      <c r="H1107" t="inlineStr">
        <is>
          <t>DEP DINHEIRO ATM AG00117MAQ061059SEQ05174</t>
        </is>
      </c>
      <c r="I1107" t="n">
        <v>1100</v>
      </c>
    </row>
    <row r="1108">
      <c r="A1108" t="n">
        <v>163059</v>
      </c>
      <c r="B1108" t="n">
        <v>115</v>
      </c>
      <c r="C1108" t="inlineStr">
        <is>
          <t>Love - Shibari - Bradesco</t>
        </is>
      </c>
      <c r="D1108" t="n">
        <v>128</v>
      </c>
      <c r="E1108" t="inlineStr">
        <is>
          <t>Love Cabaret</t>
        </is>
      </c>
      <c r="F1108" s="27" t="n">
        <v>45917.5</v>
      </c>
      <c r="G1108" t="inlineStr">
        <is>
          <t>CREDITO</t>
        </is>
      </c>
      <c r="H1108" t="inlineStr">
        <is>
          <t>TED-TRANSF ELET DISPON REMET.SYMPLA INTERNET SOLU</t>
        </is>
      </c>
      <c r="I1108" t="n">
        <v>10060</v>
      </c>
    </row>
    <row r="1109">
      <c r="A1109" t="n">
        <v>163061</v>
      </c>
      <c r="B1109" t="n">
        <v>115</v>
      </c>
      <c r="C1109" t="inlineStr">
        <is>
          <t>Love - Shibari - Bradesco</t>
        </is>
      </c>
      <c r="D1109" t="n">
        <v>128</v>
      </c>
      <c r="E1109" t="inlineStr">
        <is>
          <t>Love Cabaret</t>
        </is>
      </c>
      <c r="F1109" s="27" t="n">
        <v>45917.5</v>
      </c>
      <c r="G1109" t="inlineStr">
        <is>
          <t>DEBITO</t>
        </is>
      </c>
      <c r="H1109" t="inlineStr">
        <is>
          <t>ADIANT SALARIO VIA NET</t>
        </is>
      </c>
      <c r="I1109" t="n">
        <v>-1855.88</v>
      </c>
    </row>
    <row r="1110">
      <c r="A1110" t="n">
        <v>163060</v>
      </c>
      <c r="B1110" t="n">
        <v>115</v>
      </c>
      <c r="C1110" t="inlineStr">
        <is>
          <t>Love - Shibari - Bradesco</t>
        </is>
      </c>
      <c r="D1110" t="n">
        <v>128</v>
      </c>
      <c r="E1110" t="inlineStr">
        <is>
          <t>Love Cabaret</t>
        </is>
      </c>
      <c r="F1110" s="27" t="n">
        <v>45917.5</v>
      </c>
      <c r="G1110" t="inlineStr">
        <is>
          <t>CREDITO</t>
        </is>
      </c>
      <c r="H1110" t="inlineStr">
        <is>
          <t>TED-TRANSF ELET DISPON REMET.SYMPLA INTERNET SOLU</t>
        </is>
      </c>
      <c r="I1110" t="n">
        <v>13500</v>
      </c>
    </row>
    <row r="1111">
      <c r="A1111" t="n">
        <v>163132</v>
      </c>
      <c r="B1111" t="n">
        <v>182</v>
      </c>
      <c r="C1111" t="inlineStr">
        <is>
          <t>Love - Shibari - Kamino</t>
        </is>
      </c>
      <c r="D1111" t="n">
        <v>128</v>
      </c>
      <c r="E1111" t="inlineStr">
        <is>
          <t>Love Cabaret</t>
        </is>
      </c>
      <c r="F1111" s="27" t="n">
        <v>45917</v>
      </c>
      <c r="G1111" t="inlineStr">
        <is>
          <t>DEBITO</t>
        </is>
      </c>
      <c r="H1111" t="inlineStr">
        <is>
          <t>Porto Seguro Cia de Seguros Gerais</t>
        </is>
      </c>
      <c r="I1111" t="n">
        <v>-102.42</v>
      </c>
    </row>
    <row r="1112">
      <c r="A1112" t="n">
        <v>163131</v>
      </c>
      <c r="B1112" t="n">
        <v>182</v>
      </c>
      <c r="C1112" t="inlineStr">
        <is>
          <t>Love - Shibari - Kamino</t>
        </is>
      </c>
      <c r="D1112" t="n">
        <v>128</v>
      </c>
      <c r="E1112" t="inlineStr">
        <is>
          <t>Love Cabaret</t>
        </is>
      </c>
      <c r="F1112" s="27" t="n">
        <v>45917</v>
      </c>
      <c r="G1112" t="inlineStr">
        <is>
          <t>DEBITO</t>
        </is>
      </c>
      <c r="H1112" t="inlineStr">
        <is>
          <t>Gomes D Elia Equipamentos de H</t>
        </is>
      </c>
      <c r="I1112" t="n">
        <v>-551.14</v>
      </c>
    </row>
    <row r="1113">
      <c r="A1113" t="n">
        <v>163130</v>
      </c>
      <c r="B1113" t="n">
        <v>182</v>
      </c>
      <c r="C1113" t="inlineStr">
        <is>
          <t>Love - Shibari - Kamino</t>
        </is>
      </c>
      <c r="D1113" t="n">
        <v>128</v>
      </c>
      <c r="E1113" t="inlineStr">
        <is>
          <t>Love Cabaret</t>
        </is>
      </c>
      <c r="F1113" s="27" t="n">
        <v>45917</v>
      </c>
      <c r="G1113" t="inlineStr">
        <is>
          <t>DEBITO</t>
        </is>
      </c>
      <c r="H1113" t="inlineStr">
        <is>
          <t>Cecilia Tsuyaco Araki Silva Ltda</t>
        </is>
      </c>
      <c r="I1113" t="n">
        <v>-91.59999999999999</v>
      </c>
    </row>
    <row r="1114">
      <c r="A1114" t="n">
        <v>163129</v>
      </c>
      <c r="B1114" t="n">
        <v>182</v>
      </c>
      <c r="C1114" t="inlineStr">
        <is>
          <t>Love - Shibari - Kamino</t>
        </is>
      </c>
      <c r="D1114" t="n">
        <v>128</v>
      </c>
      <c r="E1114" t="inlineStr">
        <is>
          <t>Love Cabaret</t>
        </is>
      </c>
      <c r="F1114" s="27" t="n">
        <v>45917</v>
      </c>
      <c r="G1114" t="inlineStr">
        <is>
          <t>DEBITO</t>
        </is>
      </c>
      <c r="H1114" t="inlineStr">
        <is>
          <t>Ciclo com e Participacoes Ltda</t>
        </is>
      </c>
      <c r="I1114" t="n">
        <v>-10000</v>
      </c>
    </row>
    <row r="1115">
      <c r="A1115" t="n">
        <v>163128</v>
      </c>
      <c r="B1115" t="n">
        <v>182</v>
      </c>
      <c r="C1115" t="inlineStr">
        <is>
          <t>Love - Shibari - Kamino</t>
        </is>
      </c>
      <c r="D1115" t="n">
        <v>128</v>
      </c>
      <c r="E1115" t="inlineStr">
        <is>
          <t>Love Cabaret</t>
        </is>
      </c>
      <c r="F1115" s="27" t="n">
        <v>45917</v>
      </c>
      <c r="G1115" t="inlineStr">
        <is>
          <t>DEBITO</t>
        </is>
      </c>
      <c r="H1115" t="inlineStr">
        <is>
          <t>Zahil Importadora Ltda</t>
        </is>
      </c>
      <c r="I1115" t="n">
        <v>-745.55</v>
      </c>
    </row>
    <row r="1116">
      <c r="A1116" t="n">
        <v>163127</v>
      </c>
      <c r="B1116" t="n">
        <v>182</v>
      </c>
      <c r="C1116" t="inlineStr">
        <is>
          <t>Love - Shibari - Kamino</t>
        </is>
      </c>
      <c r="D1116" t="n">
        <v>128</v>
      </c>
      <c r="E1116" t="inlineStr">
        <is>
          <t>Love Cabaret</t>
        </is>
      </c>
      <c r="F1116" s="27" t="n">
        <v>45917</v>
      </c>
      <c r="G1116" t="inlineStr">
        <is>
          <t>DEBITO</t>
        </is>
      </c>
      <c r="H1116" t="inlineStr">
        <is>
          <t>Hnk Br Bebidas Ltda</t>
        </is>
      </c>
      <c r="I1116" t="n">
        <v>-3037.38</v>
      </c>
    </row>
    <row r="1117">
      <c r="A1117" t="n">
        <v>163126</v>
      </c>
      <c r="B1117" t="n">
        <v>182</v>
      </c>
      <c r="C1117" t="inlineStr">
        <is>
          <t>Love - Shibari - Kamino</t>
        </is>
      </c>
      <c r="D1117" t="n">
        <v>128</v>
      </c>
      <c r="E1117" t="inlineStr">
        <is>
          <t>Love Cabaret</t>
        </is>
      </c>
      <c r="F1117" s="27" t="n">
        <v>45917</v>
      </c>
      <c r="G1117" t="inlineStr">
        <is>
          <t>DEBITO</t>
        </is>
      </c>
      <c r="H1117" t="inlineStr">
        <is>
          <t>Receita Federal</t>
        </is>
      </c>
      <c r="I1117" t="n">
        <v>-108.22</v>
      </c>
    </row>
    <row r="1118">
      <c r="A1118" t="n">
        <v>163125</v>
      </c>
      <c r="B1118" t="n">
        <v>182</v>
      </c>
      <c r="C1118" t="inlineStr">
        <is>
          <t>Love - Shibari - Kamino</t>
        </is>
      </c>
      <c r="D1118" t="n">
        <v>128</v>
      </c>
      <c r="E1118" t="inlineStr">
        <is>
          <t>Love Cabaret</t>
        </is>
      </c>
      <c r="F1118" s="27" t="n">
        <v>45917</v>
      </c>
      <c r="G1118" t="inlineStr">
        <is>
          <t>DEBITO</t>
        </is>
      </c>
      <c r="H1118" t="inlineStr">
        <is>
          <t>Receita Federal</t>
        </is>
      </c>
      <c r="I1118" t="n">
        <v>-685.3</v>
      </c>
    </row>
    <row r="1119">
      <c r="A1119" t="n">
        <v>163124</v>
      </c>
      <c r="B1119" t="n">
        <v>182</v>
      </c>
      <c r="C1119" t="inlineStr">
        <is>
          <t>Love - Shibari - Kamino</t>
        </is>
      </c>
      <c r="D1119" t="n">
        <v>128</v>
      </c>
      <c r="E1119" t="inlineStr">
        <is>
          <t>Love Cabaret</t>
        </is>
      </c>
      <c r="F1119" s="27" t="n">
        <v>45917</v>
      </c>
      <c r="G1119" t="inlineStr">
        <is>
          <t>DEBITO</t>
        </is>
      </c>
      <c r="H1119" t="inlineStr">
        <is>
          <t>Cia do Whisky</t>
        </is>
      </c>
      <c r="I1119" t="n">
        <v>-1080.04</v>
      </c>
    </row>
    <row r="1120">
      <c r="A1120" t="n">
        <v>163123</v>
      </c>
      <c r="B1120" t="n">
        <v>182</v>
      </c>
      <c r="C1120" t="inlineStr">
        <is>
          <t>Love - Shibari - Kamino</t>
        </is>
      </c>
      <c r="D1120" t="n">
        <v>128</v>
      </c>
      <c r="E1120" t="inlineStr">
        <is>
          <t>Love Cabaret</t>
        </is>
      </c>
      <c r="F1120" s="27" t="n">
        <v>45917</v>
      </c>
      <c r="G1120" t="inlineStr">
        <is>
          <t>DEBITO</t>
        </is>
      </c>
      <c r="H1120" t="inlineStr">
        <is>
          <t>Luiz Roberto da Silva Junior</t>
        </is>
      </c>
      <c r="I1120" t="n">
        <v>-1000</v>
      </c>
    </row>
    <row r="1121">
      <c r="A1121" t="n">
        <v>163122</v>
      </c>
      <c r="B1121" t="n">
        <v>182</v>
      </c>
      <c r="C1121" t="inlineStr">
        <is>
          <t>Love - Shibari - Kamino</t>
        </is>
      </c>
      <c r="D1121" t="n">
        <v>128</v>
      </c>
      <c r="E1121" t="inlineStr">
        <is>
          <t>Love Cabaret</t>
        </is>
      </c>
      <c r="F1121" s="27" t="n">
        <v>45917</v>
      </c>
      <c r="G1121" t="inlineStr">
        <is>
          <t>DEBITO</t>
        </is>
      </c>
      <c r="H1121" t="inlineStr">
        <is>
          <t>Cia do Whisky</t>
        </is>
      </c>
      <c r="I1121" t="n">
        <v>-1713.2</v>
      </c>
    </row>
    <row r="1122">
      <c r="A1122" t="n">
        <v>163121</v>
      </c>
      <c r="B1122" t="n">
        <v>182</v>
      </c>
      <c r="C1122" t="inlineStr">
        <is>
          <t>Love - Shibari - Kamino</t>
        </is>
      </c>
      <c r="D1122" t="n">
        <v>128</v>
      </c>
      <c r="E1122" t="inlineStr">
        <is>
          <t>Love Cabaret</t>
        </is>
      </c>
      <c r="F1122" s="27" t="n">
        <v>45917</v>
      </c>
      <c r="G1122" t="inlineStr">
        <is>
          <t>DEBITO</t>
        </is>
      </c>
      <c r="H1122" t="inlineStr">
        <is>
          <t>Receita Federal</t>
        </is>
      </c>
      <c r="I1122" t="n">
        <v>-320.69</v>
      </c>
    </row>
    <row r="1123">
      <c r="A1123" t="n">
        <v>163120</v>
      </c>
      <c r="B1123" t="n">
        <v>182</v>
      </c>
      <c r="C1123" t="inlineStr">
        <is>
          <t>Love - Shibari - Kamino</t>
        </is>
      </c>
      <c r="D1123" t="n">
        <v>128</v>
      </c>
      <c r="E1123" t="inlineStr">
        <is>
          <t>Love Cabaret</t>
        </is>
      </c>
      <c r="F1123" s="27" t="n">
        <v>45917</v>
      </c>
      <c r="G1123" t="inlineStr">
        <is>
          <t>DEBITO</t>
        </is>
      </c>
      <c r="H1123" t="inlineStr">
        <is>
          <t>Opus Consultoria e Pesquisa Ltda</t>
        </is>
      </c>
      <c r="I1123" t="n">
        <v>-300</v>
      </c>
    </row>
    <row r="1124">
      <c r="A1124" t="n">
        <v>163119</v>
      </c>
      <c r="B1124" t="n">
        <v>182</v>
      </c>
      <c r="C1124" t="inlineStr">
        <is>
          <t>Love - Shibari - Kamino</t>
        </is>
      </c>
      <c r="D1124" t="n">
        <v>128</v>
      </c>
      <c r="E1124" t="inlineStr">
        <is>
          <t>Love Cabaret</t>
        </is>
      </c>
      <c r="F1124" s="27" t="n">
        <v>45917</v>
      </c>
      <c r="G1124" t="inlineStr">
        <is>
          <t>DEBITO</t>
        </is>
      </c>
      <c r="H1124" t="inlineStr">
        <is>
          <t>Estaff Solucoes Tecnologicas de Agenciam</t>
        </is>
      </c>
      <c r="I1124" t="n">
        <v>-14550.26</v>
      </c>
    </row>
    <row r="1125">
      <c r="A1125" t="n">
        <v>163118</v>
      </c>
      <c r="B1125" t="n">
        <v>182</v>
      </c>
      <c r="C1125" t="inlineStr">
        <is>
          <t>Love - Shibari - Kamino</t>
        </is>
      </c>
      <c r="D1125" t="n">
        <v>128</v>
      </c>
      <c r="E1125" t="inlineStr">
        <is>
          <t>Love Cabaret</t>
        </is>
      </c>
      <c r="F1125" s="27" t="n">
        <v>45917</v>
      </c>
      <c r="G1125" t="inlineStr">
        <is>
          <t>DEBITO</t>
        </is>
      </c>
      <c r="H1125" t="inlineStr">
        <is>
          <t>Nc Storino Junior Estudio Foto &amp; Video</t>
        </is>
      </c>
      <c r="I1125" t="n">
        <v>-600</v>
      </c>
    </row>
    <row r="1126">
      <c r="A1126" t="n">
        <v>163117</v>
      </c>
      <c r="B1126" t="n">
        <v>182</v>
      </c>
      <c r="C1126" t="inlineStr">
        <is>
          <t>Love - Shibari - Kamino</t>
        </is>
      </c>
      <c r="D1126" t="n">
        <v>128</v>
      </c>
      <c r="E1126" t="inlineStr">
        <is>
          <t>Love Cabaret</t>
        </is>
      </c>
      <c r="F1126" s="27" t="n">
        <v>45917</v>
      </c>
      <c r="G1126" t="inlineStr">
        <is>
          <t>DEBITO</t>
        </is>
      </c>
      <c r="H1126" t="inlineStr">
        <is>
          <t>Kamino Processamento de Dados Ltda</t>
        </is>
      </c>
      <c r="I1126" t="n">
        <v>-400</v>
      </c>
    </row>
    <row r="1127">
      <c r="A1127" t="n">
        <v>163116</v>
      </c>
      <c r="B1127" t="n">
        <v>182</v>
      </c>
      <c r="C1127" t="inlineStr">
        <is>
          <t>Love - Shibari - Kamino</t>
        </is>
      </c>
      <c r="D1127" t="n">
        <v>128</v>
      </c>
      <c r="E1127" t="inlineStr">
        <is>
          <t>Love Cabaret</t>
        </is>
      </c>
      <c r="F1127" s="27" t="n">
        <v>45917</v>
      </c>
      <c r="G1127" t="inlineStr">
        <is>
          <t>DEBITO</t>
        </is>
      </c>
      <c r="H1127" t="inlineStr">
        <is>
          <t>Sabesp</t>
        </is>
      </c>
      <c r="I1127" t="n">
        <v>-153.96</v>
      </c>
    </row>
    <row r="1128">
      <c r="A1128" t="n">
        <v>163115</v>
      </c>
      <c r="B1128" t="n">
        <v>182</v>
      </c>
      <c r="C1128" t="inlineStr">
        <is>
          <t>Love - Shibari - Kamino</t>
        </is>
      </c>
      <c r="D1128" t="n">
        <v>128</v>
      </c>
      <c r="E1128" t="inlineStr">
        <is>
          <t>Love Cabaret</t>
        </is>
      </c>
      <c r="F1128" s="27" t="n">
        <v>45917</v>
      </c>
      <c r="G1128" t="inlineStr">
        <is>
          <t>DEBITO</t>
        </is>
      </c>
      <c r="H1128" t="inlineStr">
        <is>
          <t>Btard Padaria Artesanal Ltda</t>
        </is>
      </c>
      <c r="I1128" t="n">
        <v>-137</v>
      </c>
    </row>
    <row r="1129">
      <c r="A1129" t="n">
        <v>163114</v>
      </c>
      <c r="B1129" t="n">
        <v>182</v>
      </c>
      <c r="C1129" t="inlineStr">
        <is>
          <t>Love - Shibari - Kamino</t>
        </is>
      </c>
      <c r="D1129" t="n">
        <v>128</v>
      </c>
      <c r="E1129" t="inlineStr">
        <is>
          <t>Love Cabaret</t>
        </is>
      </c>
      <c r="F1129" s="27" t="n">
        <v>45917</v>
      </c>
      <c r="G1129" t="inlineStr">
        <is>
          <t>DEBITO</t>
        </is>
      </c>
      <c r="H1129" t="inlineStr">
        <is>
          <t>Receita Federal</t>
        </is>
      </c>
      <c r="I1129" t="n">
        <v>-2301.87</v>
      </c>
    </row>
    <row r="1130">
      <c r="A1130" t="n">
        <v>163113</v>
      </c>
      <c r="B1130" t="n">
        <v>182</v>
      </c>
      <c r="C1130" t="inlineStr">
        <is>
          <t>Love - Shibari - Kamino</t>
        </is>
      </c>
      <c r="D1130" t="n">
        <v>128</v>
      </c>
      <c r="E1130" t="inlineStr">
        <is>
          <t>Love Cabaret</t>
        </is>
      </c>
      <c r="F1130" s="27" t="n">
        <v>45917</v>
      </c>
      <c r="G1130" t="inlineStr">
        <is>
          <t>DEBITO</t>
        </is>
      </c>
      <c r="H1130" t="inlineStr">
        <is>
          <t>Receita Federal</t>
        </is>
      </c>
      <c r="I1130" t="n">
        <v>-445.11</v>
      </c>
    </row>
    <row r="1131">
      <c r="A1131" t="n">
        <v>163112</v>
      </c>
      <c r="B1131" t="n">
        <v>182</v>
      </c>
      <c r="C1131" t="inlineStr">
        <is>
          <t>Love - Shibari - Kamino</t>
        </is>
      </c>
      <c r="D1131" t="n">
        <v>128</v>
      </c>
      <c r="E1131" t="inlineStr">
        <is>
          <t>Love Cabaret</t>
        </is>
      </c>
      <c r="F1131" s="27" t="n">
        <v>45917</v>
      </c>
      <c r="G1131" t="inlineStr">
        <is>
          <t>DEBITO</t>
        </is>
      </c>
      <c r="H1131" t="inlineStr">
        <is>
          <t>Receita Federal</t>
        </is>
      </c>
      <c r="I1131" t="n">
        <v>-773.91</v>
      </c>
    </row>
    <row r="1132">
      <c r="A1132" t="n">
        <v>163111</v>
      </c>
      <c r="B1132" t="n">
        <v>182</v>
      </c>
      <c r="C1132" t="inlineStr">
        <is>
          <t>Love - Shibari - Kamino</t>
        </is>
      </c>
      <c r="D1132" t="n">
        <v>128</v>
      </c>
      <c r="E1132" t="inlineStr">
        <is>
          <t>Love Cabaret</t>
        </is>
      </c>
      <c r="F1132" s="27" t="n">
        <v>45917</v>
      </c>
      <c r="G1132" t="inlineStr">
        <is>
          <t>DEBITO</t>
        </is>
      </c>
      <c r="H1132" t="inlineStr">
        <is>
          <t>GOOGLE BRASIL INTERNET LTDA.</t>
        </is>
      </c>
      <c r="I1132" t="n">
        <v>-1000</v>
      </c>
    </row>
    <row r="1133">
      <c r="A1133" t="n">
        <v>163110</v>
      </c>
      <c r="B1133" t="n">
        <v>182</v>
      </c>
      <c r="C1133" t="inlineStr">
        <is>
          <t>Love - Shibari - Kamino</t>
        </is>
      </c>
      <c r="D1133" t="n">
        <v>128</v>
      </c>
      <c r="E1133" t="inlineStr">
        <is>
          <t>Love Cabaret</t>
        </is>
      </c>
      <c r="F1133" s="27" t="n">
        <v>45917</v>
      </c>
      <c r="G1133" t="inlineStr">
        <is>
          <t>DEBITO</t>
        </is>
      </c>
      <c r="H1133" t="inlineStr">
        <is>
          <t>CAIXA ECONOMICA FEDERAL</t>
        </is>
      </c>
      <c r="I1133" t="n">
        <v>-639.41</v>
      </c>
    </row>
    <row r="1134">
      <c r="A1134" t="n">
        <v>163109</v>
      </c>
      <c r="B1134" t="n">
        <v>182</v>
      </c>
      <c r="C1134" t="inlineStr">
        <is>
          <t>Love - Shibari - Kamino</t>
        </is>
      </c>
      <c r="D1134" t="n">
        <v>128</v>
      </c>
      <c r="E1134" t="inlineStr">
        <is>
          <t>Love Cabaret</t>
        </is>
      </c>
      <c r="F1134" s="27" t="n">
        <v>45917</v>
      </c>
      <c r="G1134" t="inlineStr">
        <is>
          <t>DEBITO</t>
        </is>
      </c>
      <c r="H1134" t="inlineStr">
        <is>
          <t>Renata Homsy Dias Claro</t>
        </is>
      </c>
      <c r="I1134" t="n">
        <v>-3000</v>
      </c>
    </row>
    <row r="1135">
      <c r="A1135" t="n">
        <v>163108</v>
      </c>
      <c r="B1135" t="n">
        <v>182</v>
      </c>
      <c r="C1135" t="inlineStr">
        <is>
          <t>Love - Shibari - Kamino</t>
        </is>
      </c>
      <c r="D1135" t="n">
        <v>128</v>
      </c>
      <c r="E1135" t="inlineStr">
        <is>
          <t>Love Cabaret</t>
        </is>
      </c>
      <c r="F1135" s="27" t="n">
        <v>45917</v>
      </c>
      <c r="G1135" t="inlineStr">
        <is>
          <t>DEBITO</t>
        </is>
      </c>
      <c r="H1135" t="inlineStr">
        <is>
          <t>Fabrica de Bares Servicos Ltda</t>
        </is>
      </c>
      <c r="I1135" t="n">
        <v>-100</v>
      </c>
    </row>
    <row r="1136">
      <c r="A1136" t="n">
        <v>163107</v>
      </c>
      <c r="B1136" t="n">
        <v>182</v>
      </c>
      <c r="C1136" t="inlineStr">
        <is>
          <t>Love - Shibari - Kamino</t>
        </is>
      </c>
      <c r="D1136" t="n">
        <v>128</v>
      </c>
      <c r="E1136" t="inlineStr">
        <is>
          <t>Love Cabaret</t>
        </is>
      </c>
      <c r="F1136" s="27" t="n">
        <v>45917</v>
      </c>
      <c r="G1136" t="inlineStr">
        <is>
          <t>DEBITO</t>
        </is>
      </c>
      <c r="H1136" t="inlineStr">
        <is>
          <t>Pas de Deux Projetos</t>
        </is>
      </c>
      <c r="I1136" t="n">
        <v>-6000</v>
      </c>
    </row>
    <row r="1137">
      <c r="A1137" t="n">
        <v>163133</v>
      </c>
      <c r="B1137" t="n">
        <v>182</v>
      </c>
      <c r="C1137" t="inlineStr">
        <is>
          <t>Love - Shibari - Kamino</t>
        </is>
      </c>
      <c r="D1137" t="n">
        <v>128</v>
      </c>
      <c r="E1137" t="inlineStr">
        <is>
          <t>Love Cabaret</t>
        </is>
      </c>
      <c r="F1137" s="27" t="n">
        <v>45917</v>
      </c>
      <c r="G1137" t="inlineStr">
        <is>
          <t>DEBITO</t>
        </is>
      </c>
      <c r="H1137" t="inlineStr">
        <is>
          <t>Dist Carnes Cant Ltda Epp</t>
        </is>
      </c>
      <c r="I1137" t="n">
        <v>-462.4</v>
      </c>
    </row>
    <row r="1138">
      <c r="A1138" t="n">
        <v>163058</v>
      </c>
      <c r="B1138" t="n">
        <v>115</v>
      </c>
      <c r="C1138" t="inlineStr">
        <is>
          <t>Love - Shibari - Bradesco</t>
        </is>
      </c>
      <c r="D1138" t="n">
        <v>128</v>
      </c>
      <c r="E1138" t="inlineStr">
        <is>
          <t>Love Cabaret</t>
        </is>
      </c>
      <c r="F1138" s="27" t="n">
        <v>45916.5</v>
      </c>
      <c r="G1138" t="inlineStr">
        <is>
          <t>CREDITO</t>
        </is>
      </c>
      <c r="H1138" t="inlineStr">
        <is>
          <t>TRANSFERENCIA PIX REM: BEATRIZ BRITO NEGRAO  16/09</t>
        </is>
      </c>
      <c r="I1138" t="n">
        <v>620</v>
      </c>
    </row>
    <row r="1139">
      <c r="A1139" t="n">
        <v>163057</v>
      </c>
      <c r="B1139" t="n">
        <v>115</v>
      </c>
      <c r="C1139" t="inlineStr">
        <is>
          <t>Love - Shibari - Bradesco</t>
        </is>
      </c>
      <c r="D1139" t="n">
        <v>128</v>
      </c>
      <c r="E1139" t="inlineStr">
        <is>
          <t>Love Cabaret</t>
        </is>
      </c>
      <c r="F1139" s="27" t="n">
        <v>45916.5</v>
      </c>
      <c r="G1139" t="inlineStr">
        <is>
          <t>CREDITO</t>
        </is>
      </c>
      <c r="H1139" t="inlineStr">
        <is>
          <t>TED-TRANSF ELET DISPON REMET.SYMPLA INTERNET SOLU</t>
        </is>
      </c>
      <c r="I1139" t="n">
        <v>385</v>
      </c>
    </row>
    <row r="1140">
      <c r="A1140" t="n">
        <v>163056</v>
      </c>
      <c r="B1140" t="n">
        <v>115</v>
      </c>
      <c r="C1140" t="inlineStr">
        <is>
          <t>Love - Shibari - Bradesco</t>
        </is>
      </c>
      <c r="D1140" t="n">
        <v>128</v>
      </c>
      <c r="E1140" t="inlineStr">
        <is>
          <t>Love Cabaret</t>
        </is>
      </c>
      <c r="F1140" s="27" t="n">
        <v>45916.5</v>
      </c>
      <c r="G1140" t="inlineStr">
        <is>
          <t>CREDITO</t>
        </is>
      </c>
      <c r="H1140" t="inlineStr">
        <is>
          <t>TED-TRANSF ELET DISPON REMET.Zig Tecnologia S.A.</t>
        </is>
      </c>
      <c r="I1140" t="n">
        <v>23649.5</v>
      </c>
    </row>
    <row r="1141">
      <c r="A1141" t="n">
        <v>163105</v>
      </c>
      <c r="B1141" t="n">
        <v>182</v>
      </c>
      <c r="C1141" t="inlineStr">
        <is>
          <t>Love - Shibari - Kamino</t>
        </is>
      </c>
      <c r="D1141" t="n">
        <v>128</v>
      </c>
      <c r="E1141" t="inlineStr">
        <is>
          <t>Love Cabaret</t>
        </is>
      </c>
      <c r="F1141" s="27" t="n">
        <v>45916</v>
      </c>
      <c r="G1141" t="inlineStr">
        <is>
          <t>DEBITO</t>
        </is>
      </c>
      <c r="H1141" t="inlineStr">
        <is>
          <t>Receita Federal</t>
        </is>
      </c>
      <c r="I1141" t="n">
        <v>-2244.08</v>
      </c>
    </row>
    <row r="1142">
      <c r="A1142" t="n">
        <v>163106</v>
      </c>
      <c r="B1142" t="n">
        <v>182</v>
      </c>
      <c r="C1142" t="inlineStr">
        <is>
          <t>Love - Shibari - Kamino</t>
        </is>
      </c>
      <c r="D1142" t="n">
        <v>128</v>
      </c>
      <c r="E1142" t="inlineStr">
        <is>
          <t>Love Cabaret</t>
        </is>
      </c>
      <c r="F1142" s="27" t="n">
        <v>45916</v>
      </c>
      <c r="G1142" t="inlineStr">
        <is>
          <t>DEBITO</t>
        </is>
      </c>
      <c r="H1142" t="inlineStr">
        <is>
          <t>Receita Federal</t>
        </is>
      </c>
      <c r="I1142" t="n">
        <v>-8899.02</v>
      </c>
    </row>
    <row r="1143">
      <c r="A1143" t="n">
        <v>163045</v>
      </c>
      <c r="B1143" t="n">
        <v>115</v>
      </c>
      <c r="C1143" t="inlineStr">
        <is>
          <t>Love - Shibari - Bradesco</t>
        </is>
      </c>
      <c r="D1143" t="n">
        <v>128</v>
      </c>
      <c r="E1143" t="inlineStr">
        <is>
          <t>Love Cabaret</t>
        </is>
      </c>
      <c r="F1143" s="27" t="n">
        <v>45915.5</v>
      </c>
      <c r="G1143" t="inlineStr">
        <is>
          <t>CREDITO</t>
        </is>
      </c>
      <c r="H1143" t="inlineStr">
        <is>
          <t>TRANSFERENCIA PIX REM: Zig Tecnologia S.A.   15/09</t>
        </is>
      </c>
      <c r="I1143" t="n">
        <v>15000</v>
      </c>
    </row>
    <row r="1144">
      <c r="A1144" t="n">
        <v>163046</v>
      </c>
      <c r="B1144" t="n">
        <v>115</v>
      </c>
      <c r="C1144" t="inlineStr">
        <is>
          <t>Love - Shibari - Bradesco</t>
        </is>
      </c>
      <c r="D1144" t="n">
        <v>128</v>
      </c>
      <c r="E1144" t="inlineStr">
        <is>
          <t>Love Cabaret</t>
        </is>
      </c>
      <c r="F1144" s="27" t="n">
        <v>45915.5</v>
      </c>
      <c r="G1144" t="inlineStr">
        <is>
          <t>CREDITO</t>
        </is>
      </c>
      <c r="H1144" t="inlineStr">
        <is>
          <t>TRANSFERENCIA PIX REM: Zig Tecnologia S.A.   15/09</t>
        </is>
      </c>
      <c r="I1144" t="n">
        <v>4992.48</v>
      </c>
    </row>
    <row r="1145">
      <c r="A1145" t="n">
        <v>163047</v>
      </c>
      <c r="B1145" t="n">
        <v>115</v>
      </c>
      <c r="C1145" t="inlineStr">
        <is>
          <t>Love - Shibari - Bradesco</t>
        </is>
      </c>
      <c r="D1145" t="n">
        <v>128</v>
      </c>
      <c r="E1145" t="inlineStr">
        <is>
          <t>Love Cabaret</t>
        </is>
      </c>
      <c r="F1145" s="27" t="n">
        <v>45915.5</v>
      </c>
      <c r="G1145" t="inlineStr">
        <is>
          <t>CREDITO</t>
        </is>
      </c>
      <c r="H1145" t="inlineStr">
        <is>
          <t>TRANSFERENCIA PIX REM: Zig Tecnologia S.A.   15/09</t>
        </is>
      </c>
      <c r="I1145" t="n">
        <v>15000</v>
      </c>
    </row>
    <row r="1146">
      <c r="A1146" t="n">
        <v>163048</v>
      </c>
      <c r="B1146" t="n">
        <v>115</v>
      </c>
      <c r="C1146" t="inlineStr">
        <is>
          <t>Love - Shibari - Bradesco</t>
        </is>
      </c>
      <c r="D1146" t="n">
        <v>128</v>
      </c>
      <c r="E1146" t="inlineStr">
        <is>
          <t>Love Cabaret</t>
        </is>
      </c>
      <c r="F1146" s="27" t="n">
        <v>45915.5</v>
      </c>
      <c r="G1146" t="inlineStr">
        <is>
          <t>CREDITO</t>
        </is>
      </c>
      <c r="H1146" t="inlineStr">
        <is>
          <t>TRANSFERENCIA PIX REM: Zig Tecnologia S.A.   15/09</t>
        </is>
      </c>
      <c r="I1146" t="n">
        <v>15000</v>
      </c>
    </row>
    <row r="1147">
      <c r="A1147" t="n">
        <v>163054</v>
      </c>
      <c r="B1147" t="n">
        <v>115</v>
      </c>
      <c r="C1147" t="inlineStr">
        <is>
          <t>Love - Shibari - Bradesco</t>
        </is>
      </c>
      <c r="D1147" t="n">
        <v>128</v>
      </c>
      <c r="E1147" t="inlineStr">
        <is>
          <t>Love Cabaret</t>
        </is>
      </c>
      <c r="F1147" s="27" t="n">
        <v>45915.5</v>
      </c>
      <c r="G1147" t="inlineStr">
        <is>
          <t>DEBITO</t>
        </is>
      </c>
      <c r="H1147" t="inlineStr">
        <is>
          <t>TED D CC HBANK* DEST. SHIBARI ART E DIVERS</t>
        </is>
      </c>
      <c r="I1147" t="n">
        <v>-130000</v>
      </c>
    </row>
    <row r="1148">
      <c r="A1148" t="n">
        <v>163055</v>
      </c>
      <c r="B1148" t="n">
        <v>115</v>
      </c>
      <c r="C1148" t="inlineStr">
        <is>
          <t>Love - Shibari - Bradesco</t>
        </is>
      </c>
      <c r="D1148" t="n">
        <v>128</v>
      </c>
      <c r="E1148" t="inlineStr">
        <is>
          <t>Love Cabaret</t>
        </is>
      </c>
      <c r="F1148" s="27" t="n">
        <v>45915.5</v>
      </c>
      <c r="G1148" t="inlineStr">
        <is>
          <t>DEBITO</t>
        </is>
      </c>
      <c r="H1148" t="inlineStr">
        <is>
          <t>TARIFA BANCARIA Max Empresarial 1</t>
        </is>
      </c>
      <c r="I1148" t="n">
        <v>-177.05</v>
      </c>
    </row>
    <row r="1149">
      <c r="A1149" t="n">
        <v>163091</v>
      </c>
      <c r="B1149" t="n">
        <v>182</v>
      </c>
      <c r="C1149" t="inlineStr">
        <is>
          <t>Love - Shibari - Kamino</t>
        </is>
      </c>
      <c r="D1149" t="n">
        <v>128</v>
      </c>
      <c r="E1149" t="inlineStr">
        <is>
          <t>Love Cabaret</t>
        </is>
      </c>
      <c r="F1149" s="27" t="n">
        <v>45915</v>
      </c>
      <c r="G1149" t="inlineStr">
        <is>
          <t>DEBITO</t>
        </is>
      </c>
      <c r="H1149" t="inlineStr">
        <is>
          <t>Proauto Industria Q Eireli</t>
        </is>
      </c>
      <c r="I1149" t="n">
        <v>-563.4</v>
      </c>
    </row>
    <row r="1150">
      <c r="A1150" t="n">
        <v>163098</v>
      </c>
      <c r="B1150" t="n">
        <v>182</v>
      </c>
      <c r="C1150" t="inlineStr">
        <is>
          <t>Love - Shibari - Kamino</t>
        </is>
      </c>
      <c r="D1150" t="n">
        <v>128</v>
      </c>
      <c r="E1150" t="inlineStr">
        <is>
          <t>Love Cabaret</t>
        </is>
      </c>
      <c r="F1150" s="27" t="n">
        <v>45915</v>
      </c>
      <c r="G1150" t="inlineStr">
        <is>
          <t>DEBITO</t>
        </is>
      </c>
      <c r="H1150" t="inlineStr">
        <is>
          <t>Aurora Alvorada Estacionamento e Lanchon</t>
        </is>
      </c>
      <c r="I1150" t="n">
        <v>-322.87</v>
      </c>
    </row>
    <row r="1151">
      <c r="A1151" t="n">
        <v>163092</v>
      </c>
      <c r="B1151" t="n">
        <v>182</v>
      </c>
      <c r="C1151" t="inlineStr">
        <is>
          <t>Love - Shibari - Kamino</t>
        </is>
      </c>
      <c r="D1151" t="n">
        <v>128</v>
      </c>
      <c r="E1151" t="inlineStr">
        <is>
          <t>Love Cabaret</t>
        </is>
      </c>
      <c r="F1151" s="27" t="n">
        <v>45915</v>
      </c>
      <c r="G1151" t="inlineStr">
        <is>
          <t>DEBITO</t>
        </is>
      </c>
      <c r="H1151" t="inlineStr">
        <is>
          <t>Jose Cassio Prevedel Sistemas</t>
        </is>
      </c>
      <c r="I1151" t="n">
        <v>-400</v>
      </c>
    </row>
    <row r="1152">
      <c r="A1152" t="n">
        <v>163093</v>
      </c>
      <c r="B1152" t="n">
        <v>182</v>
      </c>
      <c r="C1152" t="inlineStr">
        <is>
          <t>Love - Shibari - Kamino</t>
        </is>
      </c>
      <c r="D1152" t="n">
        <v>128</v>
      </c>
      <c r="E1152" t="inlineStr">
        <is>
          <t>Love Cabaret</t>
        </is>
      </c>
      <c r="F1152" s="27" t="n">
        <v>45915</v>
      </c>
      <c r="G1152" t="inlineStr">
        <is>
          <t>DEBITO</t>
        </is>
      </c>
      <c r="H1152" t="inlineStr">
        <is>
          <t>Ng27 Consultoria e Gestao Empr</t>
        </is>
      </c>
      <c r="I1152" t="n">
        <v>-356.3</v>
      </c>
    </row>
    <row r="1153">
      <c r="A1153" t="n">
        <v>163094</v>
      </c>
      <c r="B1153" t="n">
        <v>182</v>
      </c>
      <c r="C1153" t="inlineStr">
        <is>
          <t>Love - Shibari - Kamino</t>
        </is>
      </c>
      <c r="D1153" t="n">
        <v>128</v>
      </c>
      <c r="E1153" t="inlineStr">
        <is>
          <t>Love Cabaret</t>
        </is>
      </c>
      <c r="F1153" s="27" t="n">
        <v>45915</v>
      </c>
      <c r="G1153" t="inlineStr">
        <is>
          <t>DEBITO</t>
        </is>
      </c>
      <c r="H1153" t="inlineStr">
        <is>
          <t>Fg7 Comercio D B Eireli Epp</t>
        </is>
      </c>
      <c r="I1153" t="n">
        <v>-3093.02</v>
      </c>
    </row>
    <row r="1154">
      <c r="A1154" t="n">
        <v>163095</v>
      </c>
      <c r="B1154" t="n">
        <v>182</v>
      </c>
      <c r="C1154" t="inlineStr">
        <is>
          <t>Love - Shibari - Kamino</t>
        </is>
      </c>
      <c r="D1154" t="n">
        <v>128</v>
      </c>
      <c r="E1154" t="inlineStr">
        <is>
          <t>Love Cabaret</t>
        </is>
      </c>
      <c r="F1154" s="27" t="n">
        <v>45915</v>
      </c>
      <c r="G1154" t="inlineStr">
        <is>
          <t>DEBITO</t>
        </is>
      </c>
      <c r="H1154" t="inlineStr">
        <is>
          <t>Forte Alimentos Comercio e Importacao Lt</t>
        </is>
      </c>
      <c r="I1154" t="n">
        <v>-430.31</v>
      </c>
    </row>
    <row r="1155">
      <c r="A1155" t="n">
        <v>163096</v>
      </c>
      <c r="B1155" t="n">
        <v>182</v>
      </c>
      <c r="C1155" t="inlineStr">
        <is>
          <t>Love - Shibari - Kamino</t>
        </is>
      </c>
      <c r="D1155" t="n">
        <v>128</v>
      </c>
      <c r="E1155" t="inlineStr">
        <is>
          <t>Love Cabaret</t>
        </is>
      </c>
      <c r="F1155" s="27" t="n">
        <v>45915</v>
      </c>
      <c r="G1155" t="inlineStr">
        <is>
          <t>DEBITO</t>
        </is>
      </c>
      <c r="H1155" t="inlineStr">
        <is>
          <t>Piramides Distribuidora Ltda</t>
        </is>
      </c>
      <c r="I1155" t="n">
        <v>-159.18</v>
      </c>
    </row>
    <row r="1156">
      <c r="A1156" t="n">
        <v>163078</v>
      </c>
      <c r="B1156" t="n">
        <v>182</v>
      </c>
      <c r="C1156" t="inlineStr">
        <is>
          <t>Love - Shibari - Kamino</t>
        </is>
      </c>
      <c r="D1156" t="n">
        <v>128</v>
      </c>
      <c r="E1156" t="inlineStr">
        <is>
          <t>Love Cabaret</t>
        </is>
      </c>
      <c r="F1156" s="27" t="n">
        <v>45915</v>
      </c>
      <c r="G1156" t="inlineStr">
        <is>
          <t>DEBITO</t>
        </is>
      </c>
      <c r="H1156" t="inlineStr">
        <is>
          <t>Comercial Dede</t>
        </is>
      </c>
      <c r="I1156" t="n">
        <v>-549.6</v>
      </c>
    </row>
    <row r="1157">
      <c r="A1157" t="n">
        <v>163097</v>
      </c>
      <c r="B1157" t="n">
        <v>182</v>
      </c>
      <c r="C1157" t="inlineStr">
        <is>
          <t>Love - Shibari - Kamino</t>
        </is>
      </c>
      <c r="D1157" t="n">
        <v>128</v>
      </c>
      <c r="E1157" t="inlineStr">
        <is>
          <t>Love Cabaret</t>
        </is>
      </c>
      <c r="F1157" s="27" t="n">
        <v>45915</v>
      </c>
      <c r="G1157" t="inlineStr">
        <is>
          <t>DEBITO</t>
        </is>
      </c>
      <c r="H1157" t="inlineStr">
        <is>
          <t>Cg Food S Distr Alimentos Ltda</t>
        </is>
      </c>
      <c r="I1157" t="n">
        <v>-309</v>
      </c>
    </row>
    <row r="1158">
      <c r="A1158" t="n">
        <v>163079</v>
      </c>
      <c r="B1158" t="n">
        <v>182</v>
      </c>
      <c r="C1158" t="inlineStr">
        <is>
          <t>Love - Shibari - Kamino</t>
        </is>
      </c>
      <c r="D1158" t="n">
        <v>128</v>
      </c>
      <c r="E1158" t="inlineStr">
        <is>
          <t>Love Cabaret</t>
        </is>
      </c>
      <c r="F1158" s="27" t="n">
        <v>45915</v>
      </c>
      <c r="G1158" t="inlineStr">
        <is>
          <t>DEBITO</t>
        </is>
      </c>
      <c r="H1158" t="inlineStr">
        <is>
          <t>Comercial Dede</t>
        </is>
      </c>
      <c r="I1158" t="n">
        <v>-526.71</v>
      </c>
    </row>
    <row r="1159">
      <c r="A1159" t="n">
        <v>163090</v>
      </c>
      <c r="B1159" t="n">
        <v>182</v>
      </c>
      <c r="C1159" t="inlineStr">
        <is>
          <t>Love - Shibari - Kamino</t>
        </is>
      </c>
      <c r="D1159" t="n">
        <v>128</v>
      </c>
      <c r="E1159" t="inlineStr">
        <is>
          <t>Love Cabaret</t>
        </is>
      </c>
      <c r="F1159" s="27" t="n">
        <v>45915</v>
      </c>
      <c r="G1159" t="inlineStr">
        <is>
          <t>DEBITO</t>
        </is>
      </c>
      <c r="H1159" t="inlineStr">
        <is>
          <t>Chopp Fast D Bebidas Ltda</t>
        </is>
      </c>
      <c r="I1159" t="n">
        <v>-4384.8</v>
      </c>
    </row>
    <row r="1160">
      <c r="A1160" t="n">
        <v>163089</v>
      </c>
      <c r="B1160" t="n">
        <v>182</v>
      </c>
      <c r="C1160" t="inlineStr">
        <is>
          <t>Love - Shibari - Kamino</t>
        </is>
      </c>
      <c r="D1160" t="n">
        <v>128</v>
      </c>
      <c r="E1160" t="inlineStr">
        <is>
          <t>Love Cabaret</t>
        </is>
      </c>
      <c r="F1160" s="27" t="n">
        <v>45915</v>
      </c>
      <c r="G1160" t="inlineStr">
        <is>
          <t>DEBITO</t>
        </is>
      </c>
      <c r="H1160" t="inlineStr">
        <is>
          <t>Get In Tecnologia Ltda</t>
        </is>
      </c>
      <c r="I1160" t="n">
        <v>-957.6</v>
      </c>
    </row>
    <row r="1161">
      <c r="A1161" t="n">
        <v>163088</v>
      </c>
      <c r="B1161" t="n">
        <v>182</v>
      </c>
      <c r="C1161" t="inlineStr">
        <is>
          <t>Love - Shibari - Kamino</t>
        </is>
      </c>
      <c r="D1161" t="n">
        <v>128</v>
      </c>
      <c r="E1161" t="inlineStr">
        <is>
          <t>Love Cabaret</t>
        </is>
      </c>
      <c r="F1161" s="27" t="n">
        <v>45915</v>
      </c>
      <c r="G1161" t="inlineStr">
        <is>
          <t>DEBITO</t>
        </is>
      </c>
      <c r="H1161" t="inlineStr">
        <is>
          <t>Cem Engenharia da Manutencao L</t>
        </is>
      </c>
      <c r="I1161" t="n">
        <v>-6601.38</v>
      </c>
    </row>
    <row r="1162">
      <c r="A1162" t="n">
        <v>163087</v>
      </c>
      <c r="B1162" t="n">
        <v>182</v>
      </c>
      <c r="C1162" t="inlineStr">
        <is>
          <t>Love - Shibari - Kamino</t>
        </is>
      </c>
      <c r="D1162" t="n">
        <v>128</v>
      </c>
      <c r="E1162" t="inlineStr">
        <is>
          <t>Love Cabaret</t>
        </is>
      </c>
      <c r="F1162" s="27" t="n">
        <v>45915</v>
      </c>
      <c r="G1162" t="inlineStr">
        <is>
          <t>DEBITO</t>
        </is>
      </c>
      <c r="H1162" t="inlineStr">
        <is>
          <t>Headchef Assessoria de Seguranca dos Ali</t>
        </is>
      </c>
      <c r="I1162" t="n">
        <v>-891.0599999999999</v>
      </c>
    </row>
    <row r="1163">
      <c r="A1163" t="n">
        <v>163086</v>
      </c>
      <c r="B1163" t="n">
        <v>182</v>
      </c>
      <c r="C1163" t="inlineStr">
        <is>
          <t>Love - Shibari - Kamino</t>
        </is>
      </c>
      <c r="D1163" t="n">
        <v>128</v>
      </c>
      <c r="E1163" t="inlineStr">
        <is>
          <t>Love Cabaret</t>
        </is>
      </c>
      <c r="F1163" s="27" t="n">
        <v>45915</v>
      </c>
      <c r="G1163" t="inlineStr">
        <is>
          <t>DEBITO</t>
        </is>
      </c>
      <c r="H1163" t="inlineStr">
        <is>
          <t>Cecilia Tsuyaco Araki Silva Ltda</t>
        </is>
      </c>
      <c r="I1163" t="n">
        <v>-172.6</v>
      </c>
    </row>
    <row r="1164">
      <c r="A1164" t="n">
        <v>163085</v>
      </c>
      <c r="B1164" t="n">
        <v>182</v>
      </c>
      <c r="C1164" t="inlineStr">
        <is>
          <t>Love - Shibari - Kamino</t>
        </is>
      </c>
      <c r="D1164" t="n">
        <v>128</v>
      </c>
      <c r="E1164" t="inlineStr">
        <is>
          <t>Love Cabaret</t>
        </is>
      </c>
      <c r="F1164" s="27" t="n">
        <v>45915</v>
      </c>
      <c r="G1164" t="inlineStr">
        <is>
          <t>DEBITO</t>
        </is>
      </c>
      <c r="H1164" t="inlineStr">
        <is>
          <t>Comercial Dede</t>
        </is>
      </c>
      <c r="I1164" t="n">
        <v>-866.96</v>
      </c>
    </row>
    <row r="1165">
      <c r="A1165" t="n">
        <v>163084</v>
      </c>
      <c r="B1165" t="n">
        <v>182</v>
      </c>
      <c r="C1165" t="inlineStr">
        <is>
          <t>Love - Shibari - Kamino</t>
        </is>
      </c>
      <c r="D1165" t="n">
        <v>128</v>
      </c>
      <c r="E1165" t="inlineStr">
        <is>
          <t>Love Cabaret</t>
        </is>
      </c>
      <c r="F1165" s="27" t="n">
        <v>45915</v>
      </c>
      <c r="G1165" t="inlineStr">
        <is>
          <t>DEBITO</t>
        </is>
      </c>
      <c r="H1165" t="inlineStr">
        <is>
          <t>Laticinios Fior D Italia Ltda</t>
        </is>
      </c>
      <c r="I1165" t="n">
        <v>-326.75</v>
      </c>
    </row>
    <row r="1166">
      <c r="A1166" t="n">
        <v>163083</v>
      </c>
      <c r="B1166" t="n">
        <v>182</v>
      </c>
      <c r="C1166" t="inlineStr">
        <is>
          <t>Love - Shibari - Kamino</t>
        </is>
      </c>
      <c r="D1166" t="n">
        <v>128</v>
      </c>
      <c r="E1166" t="inlineStr">
        <is>
          <t>Love Cabaret</t>
        </is>
      </c>
      <c r="F1166" s="27" t="n">
        <v>45915</v>
      </c>
      <c r="G1166" t="inlineStr">
        <is>
          <t>DEBITO</t>
        </is>
      </c>
      <c r="H1166" t="inlineStr">
        <is>
          <t>Macro Contabilidade C Ltda</t>
        </is>
      </c>
      <c r="I1166" t="n">
        <v>-3204.47</v>
      </c>
    </row>
    <row r="1167">
      <c r="A1167" t="n">
        <v>163082</v>
      </c>
      <c r="B1167" t="n">
        <v>182</v>
      </c>
      <c r="C1167" t="inlineStr">
        <is>
          <t>Love - Shibari - Kamino</t>
        </is>
      </c>
      <c r="D1167" t="n">
        <v>128</v>
      </c>
      <c r="E1167" t="inlineStr">
        <is>
          <t>Love Cabaret</t>
        </is>
      </c>
      <c r="F1167" s="27" t="n">
        <v>45915</v>
      </c>
      <c r="G1167" t="inlineStr">
        <is>
          <t>DEBITO</t>
        </is>
      </c>
      <c r="H1167" t="inlineStr">
        <is>
          <t>Dtk Comercio de Alimentos Ltda Epp</t>
        </is>
      </c>
      <c r="I1167" t="n">
        <v>-773.99</v>
      </c>
    </row>
    <row r="1168">
      <c r="A1168" t="n">
        <v>163081</v>
      </c>
      <c r="B1168" t="n">
        <v>182</v>
      </c>
      <c r="C1168" t="inlineStr">
        <is>
          <t>Love - Shibari - Kamino</t>
        </is>
      </c>
      <c r="D1168" t="n">
        <v>128</v>
      </c>
      <c r="E1168" t="inlineStr">
        <is>
          <t>Love Cabaret</t>
        </is>
      </c>
      <c r="F1168" s="27" t="n">
        <v>45915</v>
      </c>
      <c r="G1168" t="inlineStr">
        <is>
          <t>DEBITO</t>
        </is>
      </c>
      <c r="H1168" t="inlineStr">
        <is>
          <t>Hidel Mercearia</t>
        </is>
      </c>
      <c r="I1168" t="n">
        <v>-1494</v>
      </c>
    </row>
    <row r="1169">
      <c r="A1169" t="n">
        <v>163080</v>
      </c>
      <c r="B1169" t="n">
        <v>182</v>
      </c>
      <c r="C1169" t="inlineStr">
        <is>
          <t>Love - Shibari - Kamino</t>
        </is>
      </c>
      <c r="D1169" t="n">
        <v>128</v>
      </c>
      <c r="E1169" t="inlineStr">
        <is>
          <t>Love Cabaret</t>
        </is>
      </c>
      <c r="F1169" s="27" t="n">
        <v>45915</v>
      </c>
      <c r="G1169" t="inlineStr">
        <is>
          <t>DEBITO</t>
        </is>
      </c>
      <c r="H1169" t="inlineStr">
        <is>
          <t>Meat Hunter Imp Exp And Dist Ltda</t>
        </is>
      </c>
      <c r="I1169" t="n">
        <v>-913.92</v>
      </c>
    </row>
    <row r="1170">
      <c r="A1170" t="n">
        <v>163100</v>
      </c>
      <c r="B1170" t="n">
        <v>182</v>
      </c>
      <c r="C1170" t="inlineStr">
        <is>
          <t>Love - Shibari - Kamino</t>
        </is>
      </c>
      <c r="D1170" t="n">
        <v>128</v>
      </c>
      <c r="E1170" t="inlineStr">
        <is>
          <t>Love Cabaret</t>
        </is>
      </c>
      <c r="F1170" s="27" t="n">
        <v>45915</v>
      </c>
      <c r="G1170" t="inlineStr">
        <is>
          <t>DEBITO</t>
        </is>
      </c>
      <c r="H1170" t="inlineStr">
        <is>
          <t>Hnk Br Bebidas Ltda</t>
        </is>
      </c>
      <c r="I1170" t="n">
        <v>-1607.84</v>
      </c>
    </row>
    <row r="1171">
      <c r="A1171" t="n">
        <v>163071</v>
      </c>
      <c r="B1171" t="n">
        <v>182</v>
      </c>
      <c r="C1171" t="inlineStr">
        <is>
          <t>Love - Shibari - Kamino</t>
        </is>
      </c>
      <c r="D1171" t="n">
        <v>128</v>
      </c>
      <c r="E1171" t="inlineStr">
        <is>
          <t>Love Cabaret</t>
        </is>
      </c>
      <c r="F1171" s="27" t="n">
        <v>45915</v>
      </c>
      <c r="G1171" t="inlineStr">
        <is>
          <t>CREDITO</t>
        </is>
      </c>
      <c r="H1171" t="inlineStr">
        <is>
          <t>SHIBARI ART E DIVERSAO LTDA</t>
        </is>
      </c>
      <c r="I1171" t="n">
        <v>130000</v>
      </c>
    </row>
    <row r="1172">
      <c r="A1172" t="n">
        <v>163072</v>
      </c>
      <c r="B1172" t="n">
        <v>182</v>
      </c>
      <c r="C1172" t="inlineStr">
        <is>
          <t>Love - Shibari - Kamino</t>
        </is>
      </c>
      <c r="D1172" t="n">
        <v>128</v>
      </c>
      <c r="E1172" t="inlineStr">
        <is>
          <t>Love Cabaret</t>
        </is>
      </c>
      <c r="F1172" s="27" t="n">
        <v>45915</v>
      </c>
      <c r="G1172" t="inlineStr">
        <is>
          <t>DEBITO</t>
        </is>
      </c>
      <c r="H1172" t="inlineStr">
        <is>
          <t>Fabrica de Bares Servicos Ltda</t>
        </is>
      </c>
      <c r="I1172" t="n">
        <v>-164.53</v>
      </c>
    </row>
    <row r="1173">
      <c r="A1173" t="n">
        <v>163073</v>
      </c>
      <c r="B1173" t="n">
        <v>182</v>
      </c>
      <c r="C1173" t="inlineStr">
        <is>
          <t>Love - Shibari - Kamino</t>
        </is>
      </c>
      <c r="D1173" t="n">
        <v>128</v>
      </c>
      <c r="E1173" t="inlineStr">
        <is>
          <t>Love Cabaret</t>
        </is>
      </c>
      <c r="F1173" s="27" t="n">
        <v>45915</v>
      </c>
      <c r="G1173" t="inlineStr">
        <is>
          <t>DEBITO</t>
        </is>
      </c>
      <c r="H1173" t="inlineStr">
        <is>
          <t>Fabrica de Bares Servicos Ltda</t>
        </is>
      </c>
      <c r="I1173" t="n">
        <v>-6619.29</v>
      </c>
    </row>
    <row r="1174">
      <c r="A1174" t="n">
        <v>163074</v>
      </c>
      <c r="B1174" t="n">
        <v>182</v>
      </c>
      <c r="C1174" t="inlineStr">
        <is>
          <t>Love - Shibari - Kamino</t>
        </is>
      </c>
      <c r="D1174" t="n">
        <v>128</v>
      </c>
      <c r="E1174" t="inlineStr">
        <is>
          <t>Love Cabaret</t>
        </is>
      </c>
      <c r="F1174" s="27" t="n">
        <v>45915</v>
      </c>
      <c r="G1174" t="inlineStr">
        <is>
          <t>DEBITO</t>
        </is>
      </c>
      <c r="H1174" t="inlineStr">
        <is>
          <t>Dudom</t>
        </is>
      </c>
      <c r="I1174" t="n">
        <v>-187.92</v>
      </c>
    </row>
    <row r="1175">
      <c r="A1175" t="n">
        <v>163075</v>
      </c>
      <c r="B1175" t="n">
        <v>182</v>
      </c>
      <c r="C1175" t="inlineStr">
        <is>
          <t>Love - Shibari - Kamino</t>
        </is>
      </c>
      <c r="D1175" t="n">
        <v>128</v>
      </c>
      <c r="E1175" t="inlineStr">
        <is>
          <t>Love Cabaret</t>
        </is>
      </c>
      <c r="F1175" s="27" t="n">
        <v>45915</v>
      </c>
      <c r="G1175" t="inlineStr">
        <is>
          <t>DEBITO</t>
        </is>
      </c>
      <c r="H1175" t="inlineStr">
        <is>
          <t>Machine Seguranca Patrimonial Ltda</t>
        </is>
      </c>
      <c r="I1175" t="n">
        <v>-4636.95</v>
      </c>
    </row>
    <row r="1176">
      <c r="A1176" t="n">
        <v>163076</v>
      </c>
      <c r="B1176" t="n">
        <v>182</v>
      </c>
      <c r="C1176" t="inlineStr">
        <is>
          <t>Love - Shibari - Kamino</t>
        </is>
      </c>
      <c r="D1176" t="n">
        <v>128</v>
      </c>
      <c r="E1176" t="inlineStr">
        <is>
          <t>Love Cabaret</t>
        </is>
      </c>
      <c r="F1176" s="27" t="n">
        <v>45915</v>
      </c>
      <c r="G1176" t="inlineStr">
        <is>
          <t>DEBITO</t>
        </is>
      </c>
      <c r="H1176" t="inlineStr">
        <is>
          <t>Fablab Inovacao S T Ltda</t>
        </is>
      </c>
      <c r="I1176" t="n">
        <v>-389</v>
      </c>
    </row>
    <row r="1177">
      <c r="A1177" t="n">
        <v>163077</v>
      </c>
      <c r="B1177" t="n">
        <v>182</v>
      </c>
      <c r="C1177" t="inlineStr">
        <is>
          <t>Love - Shibari - Kamino</t>
        </is>
      </c>
      <c r="D1177" t="n">
        <v>128</v>
      </c>
      <c r="E1177" t="inlineStr">
        <is>
          <t>Love Cabaret</t>
        </is>
      </c>
      <c r="F1177" s="27" t="n">
        <v>45915</v>
      </c>
      <c r="G1177" t="inlineStr">
        <is>
          <t>DEBITO</t>
        </is>
      </c>
      <c r="H1177" t="inlineStr">
        <is>
          <t>Bom Gosto Hortifruti Ltda</t>
        </is>
      </c>
      <c r="I1177" t="n">
        <v>-319.25</v>
      </c>
    </row>
    <row r="1178">
      <c r="A1178" t="n">
        <v>163104</v>
      </c>
      <c r="B1178" t="n">
        <v>182</v>
      </c>
      <c r="C1178" t="inlineStr">
        <is>
          <t>Love - Shibari - Kamino</t>
        </is>
      </c>
      <c r="D1178" t="n">
        <v>128</v>
      </c>
      <c r="E1178" t="inlineStr">
        <is>
          <t>Love Cabaret</t>
        </is>
      </c>
      <c r="F1178" s="27" t="n">
        <v>45915</v>
      </c>
      <c r="G1178" t="inlineStr">
        <is>
          <t>DEBITO</t>
        </is>
      </c>
      <c r="H1178" t="inlineStr">
        <is>
          <t>Extratech Servicos e Locacao de Equipamentos</t>
        </is>
      </c>
      <c r="I1178" t="n">
        <v>-4692.5</v>
      </c>
    </row>
    <row r="1179">
      <c r="A1179" t="n">
        <v>163103</v>
      </c>
      <c r="B1179" t="n">
        <v>182</v>
      </c>
      <c r="C1179" t="inlineStr">
        <is>
          <t>Love - Shibari - Kamino</t>
        </is>
      </c>
      <c r="D1179" t="n">
        <v>128</v>
      </c>
      <c r="E1179" t="inlineStr">
        <is>
          <t>Love Cabaret</t>
        </is>
      </c>
      <c r="F1179" s="27" t="n">
        <v>45915</v>
      </c>
      <c r="G1179" t="inlineStr">
        <is>
          <t>DEBITO</t>
        </is>
      </c>
      <c r="H1179" t="inlineStr">
        <is>
          <t>King Comercio de Bebidas Ltda</t>
        </is>
      </c>
      <c r="I1179" t="n">
        <v>-5849.35</v>
      </c>
    </row>
    <row r="1180">
      <c r="A1180" t="n">
        <v>163102</v>
      </c>
      <c r="B1180" t="n">
        <v>182</v>
      </c>
      <c r="C1180" t="inlineStr">
        <is>
          <t>Love - Shibari - Kamino</t>
        </is>
      </c>
      <c r="D1180" t="n">
        <v>128</v>
      </c>
      <c r="E1180" t="inlineStr">
        <is>
          <t>Love Cabaret</t>
        </is>
      </c>
      <c r="F1180" s="27" t="n">
        <v>45915</v>
      </c>
      <c r="G1180" t="inlineStr">
        <is>
          <t>DEBITO</t>
        </is>
      </c>
      <c r="H1180" t="inlineStr">
        <is>
          <t>Stark Bank S.A.</t>
        </is>
      </c>
      <c r="I1180" t="n">
        <v>-92.25</v>
      </c>
    </row>
    <row r="1181">
      <c r="A1181" t="n">
        <v>163101</v>
      </c>
      <c r="B1181" t="n">
        <v>182</v>
      </c>
      <c r="C1181" t="inlineStr">
        <is>
          <t>Love - Shibari - Kamino</t>
        </is>
      </c>
      <c r="D1181" t="n">
        <v>128</v>
      </c>
      <c r="E1181" t="inlineStr">
        <is>
          <t>Love Cabaret</t>
        </is>
      </c>
      <c r="F1181" s="27" t="n">
        <v>45915</v>
      </c>
      <c r="G1181" t="inlineStr">
        <is>
          <t>DEBITO</t>
        </is>
      </c>
      <c r="H1181" t="inlineStr">
        <is>
          <t>Stark Bank S.A.</t>
        </is>
      </c>
      <c r="I1181" t="n">
        <v>-61.25</v>
      </c>
    </row>
    <row r="1182">
      <c r="A1182" t="n">
        <v>163099</v>
      </c>
      <c r="B1182" t="n">
        <v>182</v>
      </c>
      <c r="C1182" t="inlineStr">
        <is>
          <t>Love - Shibari - Kamino</t>
        </is>
      </c>
      <c r="D1182" t="n">
        <v>128</v>
      </c>
      <c r="E1182" t="inlineStr">
        <is>
          <t>Love Cabaret</t>
        </is>
      </c>
      <c r="F1182" s="27" t="n">
        <v>45915</v>
      </c>
      <c r="G1182" t="inlineStr">
        <is>
          <t>DEBITO</t>
        </is>
      </c>
      <c r="H1182" t="inlineStr">
        <is>
          <t>W P P C Carnes Eireli Epp</t>
        </is>
      </c>
      <c r="I1182" t="n">
        <v>-327.6</v>
      </c>
    </row>
    <row r="1183">
      <c r="A1183" t="n">
        <v>163044</v>
      </c>
      <c r="B1183" t="n">
        <v>115</v>
      </c>
      <c r="C1183" t="inlineStr">
        <is>
          <t>Love - Shibari - Bradesco</t>
        </is>
      </c>
      <c r="D1183" t="n">
        <v>128</v>
      </c>
      <c r="E1183" t="inlineStr">
        <is>
          <t>Love Cabaret</t>
        </is>
      </c>
      <c r="F1183" s="27" t="n">
        <v>45912.5</v>
      </c>
      <c r="G1183" t="inlineStr">
        <is>
          <t>CREDITO</t>
        </is>
      </c>
      <c r="H1183" t="inlineStr">
        <is>
          <t>TRANSFERENCIA PIX REM: RODRIGO SILVA MARTINS 12/09</t>
        </is>
      </c>
      <c r="I1183" t="n">
        <v>620</v>
      </c>
    </row>
    <row r="1184">
      <c r="A1184" t="n">
        <v>163043</v>
      </c>
      <c r="B1184" t="n">
        <v>115</v>
      </c>
      <c r="C1184" t="inlineStr">
        <is>
          <t>Love - Shibari - Bradesco</t>
        </is>
      </c>
      <c r="D1184" t="n">
        <v>128</v>
      </c>
      <c r="E1184" t="inlineStr">
        <is>
          <t>Love Cabaret</t>
        </is>
      </c>
      <c r="F1184" s="27" t="n">
        <v>45912.5</v>
      </c>
      <c r="G1184" t="inlineStr">
        <is>
          <t>CREDITO</t>
        </is>
      </c>
      <c r="H1184" t="inlineStr">
        <is>
          <t>TRANSFERENCIA PIX REM: FERNANDA DA S JOIA    12/09</t>
        </is>
      </c>
      <c r="I1184" t="n">
        <v>250</v>
      </c>
    </row>
    <row r="1185">
      <c r="A1185" t="n">
        <v>163042</v>
      </c>
      <c r="B1185" t="n">
        <v>115</v>
      </c>
      <c r="C1185" t="inlineStr">
        <is>
          <t>Love - Shibari - Bradesco</t>
        </is>
      </c>
      <c r="D1185" t="n">
        <v>128</v>
      </c>
      <c r="E1185" t="inlineStr">
        <is>
          <t>Love Cabaret</t>
        </is>
      </c>
      <c r="F1185" s="27" t="n">
        <v>45912.5</v>
      </c>
      <c r="G1185" t="inlineStr">
        <is>
          <t>CREDITO</t>
        </is>
      </c>
      <c r="H1185" t="inlineStr">
        <is>
          <t>TRANSFERENCIA PIX REM: Lucas Oliveira Torres 12/09</t>
        </is>
      </c>
      <c r="I1185" t="n">
        <v>620</v>
      </c>
    </row>
    <row r="1186">
      <c r="A1186" t="n">
        <v>163041</v>
      </c>
      <c r="B1186" t="n">
        <v>115</v>
      </c>
      <c r="C1186" t="inlineStr">
        <is>
          <t>Love - Shibari - Bradesco</t>
        </is>
      </c>
      <c r="D1186" t="n">
        <v>128</v>
      </c>
      <c r="E1186" t="inlineStr">
        <is>
          <t>Love Cabaret</t>
        </is>
      </c>
      <c r="F1186" s="27" t="n">
        <v>45912.5</v>
      </c>
      <c r="G1186" t="inlineStr">
        <is>
          <t>CREDITO</t>
        </is>
      </c>
      <c r="H1186" t="inlineStr">
        <is>
          <t>TRANSFERENCIA PIX REM: MARIA LUIZA MAGNANI D 12/09</t>
        </is>
      </c>
      <c r="I1186" t="n">
        <v>697.5</v>
      </c>
    </row>
    <row r="1187">
      <c r="A1187" t="n">
        <v>163040</v>
      </c>
      <c r="B1187" t="n">
        <v>115</v>
      </c>
      <c r="C1187" t="inlineStr">
        <is>
          <t>Love - Shibari - Bradesco</t>
        </is>
      </c>
      <c r="D1187" t="n">
        <v>128</v>
      </c>
      <c r="E1187" t="inlineStr">
        <is>
          <t>Love Cabaret</t>
        </is>
      </c>
      <c r="F1187" s="27" t="n">
        <v>45912.5</v>
      </c>
      <c r="G1187" t="inlineStr">
        <is>
          <t>CREDITO</t>
        </is>
      </c>
      <c r="H1187" t="inlineStr">
        <is>
          <t>DEP DINHEIRO ATM AG00117MAQ061059SEQ08703</t>
        </is>
      </c>
      <c r="I1187" t="n">
        <v>130</v>
      </c>
    </row>
    <row r="1188">
      <c r="A1188" t="n">
        <v>157126</v>
      </c>
      <c r="B1188" t="n">
        <v>115</v>
      </c>
      <c r="C1188" t="inlineStr">
        <is>
          <t>Love - Shibari - Bradesco</t>
        </is>
      </c>
      <c r="D1188" t="n">
        <v>128</v>
      </c>
      <c r="E1188" t="inlineStr">
        <is>
          <t>Love Cabaret</t>
        </is>
      </c>
      <c r="F1188" s="27" t="n">
        <v>45910.5</v>
      </c>
      <c r="G1188" t="inlineStr">
        <is>
          <t>DEBITO</t>
        </is>
      </c>
      <c r="H1188" t="inlineStr">
        <is>
          <t>TARIFA BANCARIA TRANSF PGTO PIX</t>
        </is>
      </c>
      <c r="I1188" t="n">
        <v>-9.800000000000001</v>
      </c>
    </row>
    <row r="1189">
      <c r="A1189" t="n">
        <v>157120</v>
      </c>
      <c r="B1189" t="n">
        <v>115</v>
      </c>
      <c r="C1189" t="inlineStr">
        <is>
          <t>Love - Shibari - Bradesco</t>
        </is>
      </c>
      <c r="D1189" t="n">
        <v>128</v>
      </c>
      <c r="E1189" t="inlineStr">
        <is>
          <t>Love Cabaret</t>
        </is>
      </c>
      <c r="F1189" s="27" t="n">
        <v>45910.5</v>
      </c>
      <c r="G1189" t="inlineStr">
        <is>
          <t>CREDITO</t>
        </is>
      </c>
      <c r="H1189" t="inlineStr">
        <is>
          <t>TED-TRANSF ELET DISPON REMET.LOVE SUITES LTDA</t>
        </is>
      </c>
      <c r="I1189" t="n">
        <v>2953.14</v>
      </c>
    </row>
    <row r="1190">
      <c r="A1190" t="n">
        <v>157121</v>
      </c>
      <c r="B1190" t="n">
        <v>115</v>
      </c>
      <c r="C1190" t="inlineStr">
        <is>
          <t>Love - Shibari - Bradesco</t>
        </is>
      </c>
      <c r="D1190" t="n">
        <v>128</v>
      </c>
      <c r="E1190" t="inlineStr">
        <is>
          <t>Love Cabaret</t>
        </is>
      </c>
      <c r="F1190" s="27" t="n">
        <v>45910.5</v>
      </c>
      <c r="G1190" t="inlineStr">
        <is>
          <t>CREDITO</t>
        </is>
      </c>
      <c r="H1190" t="inlineStr">
        <is>
          <t>TED-TRANSF ELET DISPON REMET.LOVE SUITES LTDA</t>
        </is>
      </c>
      <c r="I1190" t="n">
        <v>31634.64</v>
      </c>
    </row>
    <row r="1191">
      <c r="A1191" t="n">
        <v>157123</v>
      </c>
      <c r="B1191" t="n">
        <v>115</v>
      </c>
      <c r="C1191" t="inlineStr">
        <is>
          <t>Love - Shibari - Bradesco</t>
        </is>
      </c>
      <c r="D1191" t="n">
        <v>128</v>
      </c>
      <c r="E1191" t="inlineStr">
        <is>
          <t>Love Cabaret</t>
        </is>
      </c>
      <c r="F1191" s="27" t="n">
        <v>45910.5</v>
      </c>
      <c r="G1191" t="inlineStr">
        <is>
          <t>CREDITO</t>
        </is>
      </c>
      <c r="H1191" t="inlineStr">
        <is>
          <t>TED-TRANSF ELET DISPON REMET.SYMPLA INTERNET SOLU</t>
        </is>
      </c>
      <c r="I1191" t="n">
        <v>15140</v>
      </c>
    </row>
    <row r="1192">
      <c r="A1192" t="n">
        <v>157124</v>
      </c>
      <c r="B1192" t="n">
        <v>115</v>
      </c>
      <c r="C1192" t="inlineStr">
        <is>
          <t>Love - Shibari - Bradesco</t>
        </is>
      </c>
      <c r="D1192" t="n">
        <v>128</v>
      </c>
      <c r="E1192" t="inlineStr">
        <is>
          <t>Love Cabaret</t>
        </is>
      </c>
      <c r="F1192" s="27" t="n">
        <v>45910.5</v>
      </c>
      <c r="G1192" t="inlineStr">
        <is>
          <t>CREDITO</t>
        </is>
      </c>
      <c r="H1192" t="inlineStr">
        <is>
          <t>TED-TRANSF ELET DISPON REMET.SYMPLA INTERNET SOLU</t>
        </is>
      </c>
      <c r="I1192" t="n">
        <v>405</v>
      </c>
    </row>
    <row r="1193">
      <c r="A1193" t="n">
        <v>157125</v>
      </c>
      <c r="B1193" t="n">
        <v>115</v>
      </c>
      <c r="C1193" t="inlineStr">
        <is>
          <t>Love - Shibari - Bradesco</t>
        </is>
      </c>
      <c r="D1193" t="n">
        <v>128</v>
      </c>
      <c r="E1193" t="inlineStr">
        <is>
          <t>Love Cabaret</t>
        </is>
      </c>
      <c r="F1193" s="27" t="n">
        <v>45910.5</v>
      </c>
      <c r="G1193" t="inlineStr">
        <is>
          <t>CREDITO</t>
        </is>
      </c>
      <c r="H1193" t="inlineStr">
        <is>
          <t>TRANSFERENCIA PIX REM: Sofia Rodella de Oliv 10/09</t>
        </is>
      </c>
      <c r="I1193" t="n">
        <v>620</v>
      </c>
    </row>
    <row r="1194">
      <c r="A1194" t="n">
        <v>157122</v>
      </c>
      <c r="B1194" t="n">
        <v>115</v>
      </c>
      <c r="C1194" t="inlineStr">
        <is>
          <t>Love - Shibari - Bradesco</t>
        </is>
      </c>
      <c r="D1194" t="n">
        <v>128</v>
      </c>
      <c r="E1194" t="inlineStr">
        <is>
          <t>Love Cabaret</t>
        </is>
      </c>
      <c r="F1194" s="27" t="n">
        <v>45910.5</v>
      </c>
      <c r="G1194" t="inlineStr">
        <is>
          <t>CREDITO</t>
        </is>
      </c>
      <c r="H1194" t="inlineStr">
        <is>
          <t>TED-TRANSF ELET DISPON REMET.SYMPLA INTERNET SOLU</t>
        </is>
      </c>
      <c r="I1194" t="n">
        <v>14235</v>
      </c>
    </row>
    <row r="1195">
      <c r="A1195" t="n">
        <v>163070</v>
      </c>
      <c r="B1195" t="n">
        <v>182</v>
      </c>
      <c r="C1195" t="inlineStr">
        <is>
          <t>Love - Shibari - Kamino</t>
        </is>
      </c>
      <c r="D1195" t="n">
        <v>128</v>
      </c>
      <c r="E1195" t="inlineStr">
        <is>
          <t>Love Cabaret</t>
        </is>
      </c>
      <c r="F1195" s="27" t="n">
        <v>45910</v>
      </c>
      <c r="G1195" t="inlineStr">
        <is>
          <t>DEBITO</t>
        </is>
      </c>
      <c r="H1195" t="inlineStr">
        <is>
          <t>Estaff Solucoes Tecnologicas de Agenciam</t>
        </is>
      </c>
      <c r="I1195" t="n">
        <v>-20912.07</v>
      </c>
    </row>
    <row r="1196">
      <c r="A1196" t="n">
        <v>163069</v>
      </c>
      <c r="B1196" t="n">
        <v>182</v>
      </c>
      <c r="C1196" t="inlineStr">
        <is>
          <t>Love - Shibari - Kamino</t>
        </is>
      </c>
      <c r="D1196" t="n">
        <v>128</v>
      </c>
      <c r="E1196" t="inlineStr">
        <is>
          <t>Love Cabaret</t>
        </is>
      </c>
      <c r="F1196" s="27" t="n">
        <v>45910</v>
      </c>
      <c r="G1196" t="inlineStr">
        <is>
          <t>DEBITO</t>
        </is>
      </c>
      <c r="H1196" t="inlineStr">
        <is>
          <t>Ng27 Consultoria e Gestao Empr</t>
        </is>
      </c>
      <c r="I1196" t="n">
        <v>-126.24</v>
      </c>
    </row>
    <row r="1197">
      <c r="A1197" t="n">
        <v>163068</v>
      </c>
      <c r="B1197" t="n">
        <v>182</v>
      </c>
      <c r="C1197" t="inlineStr">
        <is>
          <t>Love - Shibari - Kamino</t>
        </is>
      </c>
      <c r="D1197" t="n">
        <v>128</v>
      </c>
      <c r="E1197" t="inlineStr">
        <is>
          <t>Love Cabaret</t>
        </is>
      </c>
      <c r="F1197" s="27" t="n">
        <v>45910</v>
      </c>
      <c r="G1197" t="inlineStr">
        <is>
          <t>DEBITO</t>
        </is>
      </c>
      <c r="H1197" t="inlineStr">
        <is>
          <t>Hortifrutigranjeiro Rodrigues</t>
        </is>
      </c>
      <c r="I1197" t="n">
        <v>-172.2</v>
      </c>
    </row>
    <row r="1198">
      <c r="A1198" t="n">
        <v>163067</v>
      </c>
      <c r="B1198" t="n">
        <v>182</v>
      </c>
      <c r="C1198" t="inlineStr">
        <is>
          <t>Love - Shibari - Kamino</t>
        </is>
      </c>
      <c r="D1198" t="n">
        <v>128</v>
      </c>
      <c r="E1198" t="inlineStr">
        <is>
          <t>Love Cabaret</t>
        </is>
      </c>
      <c r="F1198" s="27" t="n">
        <v>45910</v>
      </c>
      <c r="G1198" t="inlineStr">
        <is>
          <t>DEBITO</t>
        </is>
      </c>
      <c r="H1198" t="inlineStr">
        <is>
          <t>Cecilia Tsuyaco Araki Silva Ltda</t>
        </is>
      </c>
      <c r="I1198" t="n">
        <v>-231.2</v>
      </c>
    </row>
    <row r="1199">
      <c r="A1199" t="n">
        <v>163066</v>
      </c>
      <c r="B1199" t="n">
        <v>182</v>
      </c>
      <c r="C1199" t="inlineStr">
        <is>
          <t>Love - Shibari - Kamino</t>
        </is>
      </c>
      <c r="D1199" t="n">
        <v>128</v>
      </c>
      <c r="E1199" t="inlineStr">
        <is>
          <t>Love Cabaret</t>
        </is>
      </c>
      <c r="F1199" s="27" t="n">
        <v>45910</v>
      </c>
      <c r="G1199" t="inlineStr">
        <is>
          <t>DEBITO</t>
        </is>
      </c>
      <c r="H1199" t="inlineStr">
        <is>
          <t>Zoop Brasil</t>
        </is>
      </c>
      <c r="I1199" t="n">
        <v>-374.56</v>
      </c>
    </row>
    <row r="1200">
      <c r="A1200" t="n">
        <v>163065</v>
      </c>
      <c r="B1200" t="n">
        <v>182</v>
      </c>
      <c r="C1200" t="inlineStr">
        <is>
          <t>Love - Shibari - Kamino</t>
        </is>
      </c>
      <c r="D1200" t="n">
        <v>128</v>
      </c>
      <c r="E1200" t="inlineStr">
        <is>
          <t>Love Cabaret</t>
        </is>
      </c>
      <c r="F1200" s="27" t="n">
        <v>45910</v>
      </c>
      <c r="G1200" t="inlineStr">
        <is>
          <t>DEBITO</t>
        </is>
      </c>
      <c r="H1200" t="inlineStr">
        <is>
          <t>Cia do Whisky</t>
        </is>
      </c>
      <c r="I1200" t="n">
        <v>-1374.17</v>
      </c>
    </row>
    <row r="1201">
      <c r="A1201" t="n">
        <v>163064</v>
      </c>
      <c r="B1201" t="n">
        <v>182</v>
      </c>
      <c r="C1201" t="inlineStr">
        <is>
          <t>Love - Shibari - Kamino</t>
        </is>
      </c>
      <c r="D1201" t="n">
        <v>128</v>
      </c>
      <c r="E1201" t="inlineStr">
        <is>
          <t>Love Cabaret</t>
        </is>
      </c>
      <c r="F1201" s="27" t="n">
        <v>45910</v>
      </c>
      <c r="G1201" t="inlineStr">
        <is>
          <t>DEBITO</t>
        </is>
      </c>
      <c r="H1201" t="inlineStr">
        <is>
          <t>Duo Comunica Ltda</t>
        </is>
      </c>
      <c r="I1201" t="n">
        <v>-2000</v>
      </c>
    </row>
    <row r="1202">
      <c r="A1202" t="n">
        <v>163063</v>
      </c>
      <c r="B1202" t="n">
        <v>182</v>
      </c>
      <c r="C1202" t="inlineStr">
        <is>
          <t>Love - Shibari - Kamino</t>
        </is>
      </c>
      <c r="D1202" t="n">
        <v>128</v>
      </c>
      <c r="E1202" t="inlineStr">
        <is>
          <t>Love Cabaret</t>
        </is>
      </c>
      <c r="F1202" s="27" t="n">
        <v>45910</v>
      </c>
      <c r="G1202" t="inlineStr">
        <is>
          <t>DEBITO</t>
        </is>
      </c>
      <c r="H1202" t="inlineStr">
        <is>
          <t>Luiz Roberto da Silva Junior</t>
        </is>
      </c>
      <c r="I1202" t="n">
        <v>-1000</v>
      </c>
    </row>
    <row r="1203">
      <c r="A1203" t="n">
        <v>157119</v>
      </c>
      <c r="B1203" t="n">
        <v>115</v>
      </c>
      <c r="C1203" t="inlineStr">
        <is>
          <t>Love - Shibari - Bradesco</t>
        </is>
      </c>
      <c r="D1203" t="n">
        <v>128</v>
      </c>
      <c r="E1203" t="inlineStr">
        <is>
          <t>Love Cabaret</t>
        </is>
      </c>
      <c r="F1203" s="27" t="n">
        <v>45909.5</v>
      </c>
      <c r="G1203" t="inlineStr">
        <is>
          <t>CREDITO</t>
        </is>
      </c>
      <c r="H1203" t="inlineStr">
        <is>
          <t>TED-TRANSF ELET DISPON REMET.LIRIUM INDUSTRIA E C</t>
        </is>
      </c>
      <c r="I1203" t="n">
        <v>162</v>
      </c>
    </row>
    <row r="1204">
      <c r="A1204" t="n">
        <v>157118</v>
      </c>
      <c r="B1204" t="n">
        <v>115</v>
      </c>
      <c r="C1204" t="inlineStr">
        <is>
          <t>Love - Shibari - Bradesco</t>
        </is>
      </c>
      <c r="D1204" t="n">
        <v>128</v>
      </c>
      <c r="E1204" t="inlineStr">
        <is>
          <t>Love Cabaret</t>
        </is>
      </c>
      <c r="F1204" s="27" t="n">
        <v>45909.5</v>
      </c>
      <c r="G1204" t="inlineStr">
        <is>
          <t>CREDITO</t>
        </is>
      </c>
      <c r="H1204" t="inlineStr">
        <is>
          <t>TED-TRANSF ELET DISPON REMET.ZIG TECNOLOGIA S A</t>
        </is>
      </c>
      <c r="I1204" t="n">
        <v>61141.71</v>
      </c>
    </row>
    <row r="1205">
      <c r="A1205" t="n">
        <v>157117</v>
      </c>
      <c r="B1205" t="n">
        <v>115</v>
      </c>
      <c r="C1205" t="inlineStr">
        <is>
          <t>Love - Shibari - Bradesco</t>
        </is>
      </c>
      <c r="D1205" t="n">
        <v>128</v>
      </c>
      <c r="E1205" t="inlineStr">
        <is>
          <t>Love Cabaret</t>
        </is>
      </c>
      <c r="F1205" s="27" t="n">
        <v>45909.5</v>
      </c>
      <c r="G1205" t="inlineStr">
        <is>
          <t>CREDITO</t>
        </is>
      </c>
      <c r="H1205" t="inlineStr">
        <is>
          <t>TED-TRANSF ELET DISPON REMET.SYMPLA INTERNET SOLU</t>
        </is>
      </c>
      <c r="I1205" t="n">
        <v>5.54</v>
      </c>
    </row>
    <row r="1206">
      <c r="A1206" t="n">
        <v>157112</v>
      </c>
      <c r="B1206" t="n">
        <v>115</v>
      </c>
      <c r="C1206" t="inlineStr">
        <is>
          <t>Love - Shibari - Bradesco</t>
        </is>
      </c>
      <c r="D1206" t="n">
        <v>128</v>
      </c>
      <c r="E1206" t="inlineStr">
        <is>
          <t>Love Cabaret</t>
        </is>
      </c>
      <c r="F1206" s="27" t="n">
        <v>45908.5</v>
      </c>
      <c r="G1206" t="inlineStr">
        <is>
          <t>CREDITO</t>
        </is>
      </c>
      <c r="H1206" t="inlineStr">
        <is>
          <t>TRANSFERENCIA PIX REM: JOAO GUILH CARD CORRE 06/09</t>
        </is>
      </c>
      <c r="I1206" t="n">
        <v>131000</v>
      </c>
    </row>
    <row r="1207">
      <c r="A1207" t="n">
        <v>157113</v>
      </c>
      <c r="B1207" t="n">
        <v>115</v>
      </c>
      <c r="C1207" t="inlineStr">
        <is>
          <t>Love - Shibari - Bradesco</t>
        </is>
      </c>
      <c r="D1207" t="n">
        <v>128</v>
      </c>
      <c r="E1207" t="inlineStr">
        <is>
          <t>Love Cabaret</t>
        </is>
      </c>
      <c r="F1207" s="27" t="n">
        <v>45908.5</v>
      </c>
      <c r="G1207" t="inlineStr">
        <is>
          <t>CREDITO</t>
        </is>
      </c>
      <c r="H1207" t="inlineStr">
        <is>
          <t>TRANSFERENCIA PIX REM: GIOVANNA BELO DE PONT 07/09</t>
        </is>
      </c>
      <c r="I1207" t="n">
        <v>77.5</v>
      </c>
    </row>
    <row r="1208">
      <c r="A1208" t="n">
        <v>157116</v>
      </c>
      <c r="B1208" t="n">
        <v>115</v>
      </c>
      <c r="C1208" t="inlineStr">
        <is>
          <t>Love - Shibari - Bradesco</t>
        </is>
      </c>
      <c r="D1208" t="n">
        <v>128</v>
      </c>
      <c r="E1208" t="inlineStr">
        <is>
          <t>Love Cabaret</t>
        </is>
      </c>
      <c r="F1208" s="27" t="n">
        <v>45908.5</v>
      </c>
      <c r="G1208" t="inlineStr">
        <is>
          <t>DEBITO</t>
        </is>
      </c>
      <c r="H1208" t="inlineStr">
        <is>
          <t>TRANSFERENCIA PIX DES: SHIBARI ART E DIVERSA 08/09</t>
        </is>
      </c>
      <c r="I1208" t="n">
        <v>-160000</v>
      </c>
    </row>
    <row r="1209">
      <c r="A1209" t="n">
        <v>157220</v>
      </c>
      <c r="B1209" t="n">
        <v>182</v>
      </c>
      <c r="C1209" t="inlineStr">
        <is>
          <t>Love - Shibari - Kamino</t>
        </is>
      </c>
      <c r="D1209" t="n">
        <v>128</v>
      </c>
      <c r="E1209" t="inlineStr">
        <is>
          <t>Love Cabaret</t>
        </is>
      </c>
      <c r="F1209" s="27" t="n">
        <v>45908</v>
      </c>
      <c r="G1209" t="inlineStr">
        <is>
          <t>DEBITO</t>
        </is>
      </c>
      <c r="H1209" t="inlineStr">
        <is>
          <t>Felipe da Costa Santos</t>
        </is>
      </c>
      <c r="I1209" t="n">
        <v>-2600</v>
      </c>
    </row>
    <row r="1210">
      <c r="A1210" t="n">
        <v>157219</v>
      </c>
      <c r="B1210" t="n">
        <v>182</v>
      </c>
      <c r="C1210" t="inlineStr">
        <is>
          <t>Love - Shibari - Kamino</t>
        </is>
      </c>
      <c r="D1210" t="n">
        <v>128</v>
      </c>
      <c r="E1210" t="inlineStr">
        <is>
          <t>Love Cabaret</t>
        </is>
      </c>
      <c r="F1210" s="27" t="n">
        <v>45908</v>
      </c>
      <c r="G1210" t="inlineStr">
        <is>
          <t>DEBITO</t>
        </is>
      </c>
      <c r="H1210" t="inlineStr">
        <is>
          <t>Aurora Alvorada Estacionamento e Lanchon</t>
        </is>
      </c>
      <c r="I1210" t="n">
        <v>-222.82</v>
      </c>
    </row>
    <row r="1211">
      <c r="A1211" t="n">
        <v>157218</v>
      </c>
      <c r="B1211" t="n">
        <v>182</v>
      </c>
      <c r="C1211" t="inlineStr">
        <is>
          <t>Love - Shibari - Kamino</t>
        </is>
      </c>
      <c r="D1211" t="n">
        <v>128</v>
      </c>
      <c r="E1211" t="inlineStr">
        <is>
          <t>Love Cabaret</t>
        </is>
      </c>
      <c r="F1211" s="27" t="n">
        <v>45908</v>
      </c>
      <c r="G1211" t="inlineStr">
        <is>
          <t>DEBITO</t>
        </is>
      </c>
      <c r="H1211" t="inlineStr">
        <is>
          <t>Free Som - Locacao de Som e Luz Ltda</t>
        </is>
      </c>
      <c r="I1211" t="n">
        <v>-6000</v>
      </c>
    </row>
    <row r="1212">
      <c r="A1212" t="n">
        <v>157217</v>
      </c>
      <c r="B1212" t="n">
        <v>182</v>
      </c>
      <c r="C1212" t="inlineStr">
        <is>
          <t>Love - Shibari - Kamino</t>
        </is>
      </c>
      <c r="D1212" t="n">
        <v>128</v>
      </c>
      <c r="E1212" t="inlineStr">
        <is>
          <t>Love Cabaret</t>
        </is>
      </c>
      <c r="F1212" s="27" t="n">
        <v>45908</v>
      </c>
      <c r="G1212" t="inlineStr">
        <is>
          <t>DEBITO</t>
        </is>
      </c>
      <c r="H1212" t="inlineStr">
        <is>
          <t>Fg7 Comercio D B Eireli Epp</t>
        </is>
      </c>
      <c r="I1212" t="n">
        <v>-874.8</v>
      </c>
    </row>
    <row r="1213">
      <c r="A1213" t="n">
        <v>157216</v>
      </c>
      <c r="B1213" t="n">
        <v>182</v>
      </c>
      <c r="C1213" t="inlineStr">
        <is>
          <t>Love - Shibari - Kamino</t>
        </is>
      </c>
      <c r="D1213" t="n">
        <v>128</v>
      </c>
      <c r="E1213" t="inlineStr">
        <is>
          <t>Love Cabaret</t>
        </is>
      </c>
      <c r="F1213" s="27" t="n">
        <v>45908</v>
      </c>
      <c r="G1213" t="inlineStr">
        <is>
          <t>DEBITO</t>
        </is>
      </c>
      <c r="H1213" t="inlineStr">
        <is>
          <t>Hortifrutigranjeiro Rodrigues</t>
        </is>
      </c>
      <c r="I1213" t="n">
        <v>-1052.1</v>
      </c>
    </row>
    <row r="1214">
      <c r="A1214" t="n">
        <v>157215</v>
      </c>
      <c r="B1214" t="n">
        <v>182</v>
      </c>
      <c r="C1214" t="inlineStr">
        <is>
          <t>Love - Shibari - Kamino</t>
        </is>
      </c>
      <c r="D1214" t="n">
        <v>128</v>
      </c>
      <c r="E1214" t="inlineStr">
        <is>
          <t>Love Cabaret</t>
        </is>
      </c>
      <c r="F1214" s="27" t="n">
        <v>45908</v>
      </c>
      <c r="G1214" t="inlineStr">
        <is>
          <t>DEBITO</t>
        </is>
      </c>
      <c r="H1214" t="inlineStr">
        <is>
          <t>Fabrica de Bares Servicos Ltda</t>
        </is>
      </c>
      <c r="I1214" t="n">
        <v>-229.26</v>
      </c>
    </row>
    <row r="1215">
      <c r="A1215" t="n">
        <v>157221</v>
      </c>
      <c r="B1215" t="n">
        <v>182</v>
      </c>
      <c r="C1215" t="inlineStr">
        <is>
          <t>Love - Shibari - Kamino</t>
        </is>
      </c>
      <c r="D1215" t="n">
        <v>128</v>
      </c>
      <c r="E1215" t="inlineStr">
        <is>
          <t>Love Cabaret</t>
        </is>
      </c>
      <c r="F1215" s="27" t="n">
        <v>45908</v>
      </c>
      <c r="G1215" t="inlineStr">
        <is>
          <t>DEBITO</t>
        </is>
      </c>
      <c r="H1215" t="inlineStr">
        <is>
          <t>Douglas Felipe Domingues Gonalves</t>
        </is>
      </c>
      <c r="I1215" t="n">
        <v>-2270</v>
      </c>
    </row>
    <row r="1216">
      <c r="A1216" t="n">
        <v>157201</v>
      </c>
      <c r="B1216" t="n">
        <v>182</v>
      </c>
      <c r="C1216" t="inlineStr">
        <is>
          <t>Love - Shibari - Kamino</t>
        </is>
      </c>
      <c r="D1216" t="n">
        <v>128</v>
      </c>
      <c r="E1216" t="inlineStr">
        <is>
          <t>Love Cabaret</t>
        </is>
      </c>
      <c r="F1216" s="27" t="n">
        <v>45908</v>
      </c>
      <c r="G1216" t="inlineStr">
        <is>
          <t>DEBITO</t>
        </is>
      </c>
      <c r="H1216" t="inlineStr">
        <is>
          <t>29.004.930 Agnes Rodrigues de Oliveira</t>
        </is>
      </c>
      <c r="I1216" t="n">
        <v>-5000</v>
      </c>
    </row>
    <row r="1217">
      <c r="A1217" t="n">
        <v>157187</v>
      </c>
      <c r="B1217" t="n">
        <v>182</v>
      </c>
      <c r="C1217" t="inlineStr">
        <is>
          <t>Love - Shibari - Kamino</t>
        </is>
      </c>
      <c r="D1217" t="n">
        <v>128</v>
      </c>
      <c r="E1217" t="inlineStr">
        <is>
          <t>Love Cabaret</t>
        </is>
      </c>
      <c r="F1217" s="27" t="n">
        <v>45908</v>
      </c>
      <c r="G1217" t="inlineStr">
        <is>
          <t>DEBITO</t>
        </is>
      </c>
      <c r="H1217" t="inlineStr">
        <is>
          <t>Proauto Industria Q Eireli</t>
        </is>
      </c>
      <c r="I1217" t="n">
        <v>-545.21</v>
      </c>
    </row>
    <row r="1218">
      <c r="A1218" t="n">
        <v>157188</v>
      </c>
      <c r="B1218" t="n">
        <v>182</v>
      </c>
      <c r="C1218" t="inlineStr">
        <is>
          <t>Love - Shibari - Kamino</t>
        </is>
      </c>
      <c r="D1218" t="n">
        <v>128</v>
      </c>
      <c r="E1218" t="inlineStr">
        <is>
          <t>Love Cabaret</t>
        </is>
      </c>
      <c r="F1218" s="27" t="n">
        <v>45908</v>
      </c>
      <c r="G1218" t="inlineStr">
        <is>
          <t>DEBITO</t>
        </is>
      </c>
      <c r="H1218" t="inlineStr">
        <is>
          <t>Cepel Comercio de Papeis e Emb</t>
        </is>
      </c>
      <c r="I1218" t="n">
        <v>-659</v>
      </c>
    </row>
    <row r="1219">
      <c r="A1219" t="n">
        <v>157189</v>
      </c>
      <c r="B1219" t="n">
        <v>182</v>
      </c>
      <c r="C1219" t="inlineStr">
        <is>
          <t>Love - Shibari - Kamino</t>
        </is>
      </c>
      <c r="D1219" t="n">
        <v>128</v>
      </c>
      <c r="E1219" t="inlineStr">
        <is>
          <t>Love Cabaret</t>
        </is>
      </c>
      <c r="F1219" s="27" t="n">
        <v>45908</v>
      </c>
      <c r="G1219" t="inlineStr">
        <is>
          <t>DEBITO</t>
        </is>
      </c>
      <c r="H1219" t="inlineStr">
        <is>
          <t>Arena Bebidas</t>
        </is>
      </c>
      <c r="I1219" t="n">
        <v>-2062.36</v>
      </c>
    </row>
    <row r="1220">
      <c r="A1220" t="n">
        <v>157190</v>
      </c>
      <c r="B1220" t="n">
        <v>182</v>
      </c>
      <c r="C1220" t="inlineStr">
        <is>
          <t>Love - Shibari - Kamino</t>
        </is>
      </c>
      <c r="D1220" t="n">
        <v>128</v>
      </c>
      <c r="E1220" t="inlineStr">
        <is>
          <t>Love Cabaret</t>
        </is>
      </c>
      <c r="F1220" s="27" t="n">
        <v>45908</v>
      </c>
      <c r="G1220" t="inlineStr">
        <is>
          <t>DEBITO</t>
        </is>
      </c>
      <c r="H1220" t="inlineStr">
        <is>
          <t>Wide Stock com e Rep Ltda</t>
        </is>
      </c>
      <c r="I1220" t="n">
        <v>-583.4</v>
      </c>
    </row>
    <row r="1221">
      <c r="A1221" t="n">
        <v>157191</v>
      </c>
      <c r="B1221" t="n">
        <v>182</v>
      </c>
      <c r="C1221" t="inlineStr">
        <is>
          <t>Love - Shibari - Kamino</t>
        </is>
      </c>
      <c r="D1221" t="n">
        <v>128</v>
      </c>
      <c r="E1221" t="inlineStr">
        <is>
          <t>Love Cabaret</t>
        </is>
      </c>
      <c r="F1221" s="27" t="n">
        <v>45908</v>
      </c>
      <c r="G1221" t="inlineStr">
        <is>
          <t>DEBITO</t>
        </is>
      </c>
      <c r="H1221" t="inlineStr">
        <is>
          <t>Proauto Industria Q Eireli</t>
        </is>
      </c>
      <c r="I1221" t="n">
        <v>-2886.69</v>
      </c>
    </row>
    <row r="1222">
      <c r="A1222" t="n">
        <v>157192</v>
      </c>
      <c r="B1222" t="n">
        <v>182</v>
      </c>
      <c r="C1222" t="inlineStr">
        <is>
          <t>Love - Shibari - Kamino</t>
        </is>
      </c>
      <c r="D1222" t="n">
        <v>128</v>
      </c>
      <c r="E1222" t="inlineStr">
        <is>
          <t>Love Cabaret</t>
        </is>
      </c>
      <c r="F1222" s="27" t="n">
        <v>45908</v>
      </c>
      <c r="G1222" t="inlineStr">
        <is>
          <t>DEBITO</t>
        </is>
      </c>
      <c r="H1222" t="inlineStr">
        <is>
          <t>Piramides Distribuidora Ltda</t>
        </is>
      </c>
      <c r="I1222" t="n">
        <v>-1178.24</v>
      </c>
    </row>
    <row r="1223">
      <c r="A1223" t="n">
        <v>157193</v>
      </c>
      <c r="B1223" t="n">
        <v>182</v>
      </c>
      <c r="C1223" t="inlineStr">
        <is>
          <t>Love - Shibari - Kamino</t>
        </is>
      </c>
      <c r="D1223" t="n">
        <v>128</v>
      </c>
      <c r="E1223" t="inlineStr">
        <is>
          <t>Love Cabaret</t>
        </is>
      </c>
      <c r="F1223" s="27" t="n">
        <v>45908</v>
      </c>
      <c r="G1223" t="inlineStr">
        <is>
          <t>DEBITO</t>
        </is>
      </c>
      <c r="H1223" t="inlineStr">
        <is>
          <t>Safe Brand com Imp Exp S Ltda</t>
        </is>
      </c>
      <c r="I1223" t="n">
        <v>-2117.46</v>
      </c>
    </row>
    <row r="1224">
      <c r="A1224" t="n">
        <v>157194</v>
      </c>
      <c r="B1224" t="n">
        <v>182</v>
      </c>
      <c r="C1224" t="inlineStr">
        <is>
          <t>Love - Shibari - Kamino</t>
        </is>
      </c>
      <c r="D1224" t="n">
        <v>128</v>
      </c>
      <c r="E1224" t="inlineStr">
        <is>
          <t>Love Cabaret</t>
        </is>
      </c>
      <c r="F1224" s="27" t="n">
        <v>45908</v>
      </c>
      <c r="G1224" t="inlineStr">
        <is>
          <t>DEBITO</t>
        </is>
      </c>
      <c r="H1224" t="inlineStr">
        <is>
          <t>B. B. Distribuidora de Carnes Ltda</t>
        </is>
      </c>
      <c r="I1224" t="n">
        <v>-238</v>
      </c>
    </row>
    <row r="1225">
      <c r="A1225" t="n">
        <v>157195</v>
      </c>
      <c r="B1225" t="n">
        <v>182</v>
      </c>
      <c r="C1225" t="inlineStr">
        <is>
          <t>Love - Shibari - Kamino</t>
        </is>
      </c>
      <c r="D1225" t="n">
        <v>128</v>
      </c>
      <c r="E1225" t="inlineStr">
        <is>
          <t>Love Cabaret</t>
        </is>
      </c>
      <c r="F1225" s="27" t="n">
        <v>45908</v>
      </c>
      <c r="G1225" t="inlineStr">
        <is>
          <t>DEBITO</t>
        </is>
      </c>
      <c r="H1225" t="inlineStr">
        <is>
          <t>Ice4pros Fabrica de Gelo Ltda</t>
        </is>
      </c>
      <c r="I1225" t="n">
        <v>-1377.25</v>
      </c>
    </row>
    <row r="1226">
      <c r="A1226" t="n">
        <v>157196</v>
      </c>
      <c r="B1226" t="n">
        <v>182</v>
      </c>
      <c r="C1226" t="inlineStr">
        <is>
          <t>Love - Shibari - Kamino</t>
        </is>
      </c>
      <c r="D1226" t="n">
        <v>128</v>
      </c>
      <c r="E1226" t="inlineStr">
        <is>
          <t>Love Cabaret</t>
        </is>
      </c>
      <c r="F1226" s="27" t="n">
        <v>45908</v>
      </c>
      <c r="G1226" t="inlineStr">
        <is>
          <t>DEBITO</t>
        </is>
      </c>
      <c r="H1226" t="inlineStr">
        <is>
          <t>Edjane Dantas de Almeida Sousa</t>
        </is>
      </c>
      <c r="I1226" t="n">
        <v>-1200</v>
      </c>
    </row>
    <row r="1227">
      <c r="A1227" t="n">
        <v>157197</v>
      </c>
      <c r="B1227" t="n">
        <v>182</v>
      </c>
      <c r="C1227" t="inlineStr">
        <is>
          <t>Love - Shibari - Kamino</t>
        </is>
      </c>
      <c r="D1227" t="n">
        <v>128</v>
      </c>
      <c r="E1227" t="inlineStr">
        <is>
          <t>Love Cabaret</t>
        </is>
      </c>
      <c r="F1227" s="27" t="n">
        <v>45908</v>
      </c>
      <c r="G1227" t="inlineStr">
        <is>
          <t>DEBITO</t>
        </is>
      </c>
      <c r="H1227" t="inlineStr">
        <is>
          <t>Puxuri Consultoria Ltda</t>
        </is>
      </c>
      <c r="I1227" t="n">
        <v>-4000</v>
      </c>
    </row>
    <row r="1228">
      <c r="A1228" t="n">
        <v>157198</v>
      </c>
      <c r="B1228" t="n">
        <v>182</v>
      </c>
      <c r="C1228" t="inlineStr">
        <is>
          <t>Love - Shibari - Kamino</t>
        </is>
      </c>
      <c r="D1228" t="n">
        <v>128</v>
      </c>
      <c r="E1228" t="inlineStr">
        <is>
          <t>Love Cabaret</t>
        </is>
      </c>
      <c r="F1228" s="27" t="n">
        <v>45908</v>
      </c>
      <c r="G1228" t="inlineStr">
        <is>
          <t>DEBITO</t>
        </is>
      </c>
      <c r="H1228" t="inlineStr">
        <is>
          <t>32.669.435 Malka Julieta Bijelli Ferreira</t>
        </is>
      </c>
      <c r="I1228" t="n">
        <v>-1500</v>
      </c>
    </row>
    <row r="1229">
      <c r="A1229" t="n">
        <v>157199</v>
      </c>
      <c r="B1229" t="n">
        <v>182</v>
      </c>
      <c r="C1229" t="inlineStr">
        <is>
          <t>Love - Shibari - Kamino</t>
        </is>
      </c>
      <c r="D1229" t="n">
        <v>128</v>
      </c>
      <c r="E1229" t="inlineStr">
        <is>
          <t>Love Cabaret</t>
        </is>
      </c>
      <c r="F1229" s="27" t="n">
        <v>45908</v>
      </c>
      <c r="G1229" t="inlineStr">
        <is>
          <t>DEBITO</t>
        </is>
      </c>
      <c r="H1229" t="inlineStr">
        <is>
          <t>Tarifa Transf Bancaria Enviada</t>
        </is>
      </c>
      <c r="I1229" t="n">
        <v>-2</v>
      </c>
    </row>
    <row r="1230">
      <c r="A1230" t="n">
        <v>157200</v>
      </c>
      <c r="B1230" t="n">
        <v>182</v>
      </c>
      <c r="C1230" t="inlineStr">
        <is>
          <t>Love - Shibari - Kamino</t>
        </is>
      </c>
      <c r="D1230" t="n">
        <v>128</v>
      </c>
      <c r="E1230" t="inlineStr">
        <is>
          <t>Love Cabaret</t>
        </is>
      </c>
      <c r="F1230" s="27" t="n">
        <v>45908</v>
      </c>
      <c r="G1230" t="inlineStr">
        <is>
          <t>DEBITO</t>
        </is>
      </c>
      <c r="H1230" t="inlineStr">
        <is>
          <t>Agencia Bioma</t>
        </is>
      </c>
      <c r="I1230" t="n">
        <v>-8000</v>
      </c>
    </row>
    <row r="1231">
      <c r="A1231" t="n">
        <v>157186</v>
      </c>
      <c r="B1231" t="n">
        <v>182</v>
      </c>
      <c r="C1231" t="inlineStr">
        <is>
          <t>Love - Shibari - Kamino</t>
        </is>
      </c>
      <c r="D1231" t="n">
        <v>128</v>
      </c>
      <c r="E1231" t="inlineStr">
        <is>
          <t>Love Cabaret</t>
        </is>
      </c>
      <c r="F1231" s="27" t="n">
        <v>45908</v>
      </c>
      <c r="G1231" t="inlineStr">
        <is>
          <t>DEBITO</t>
        </is>
      </c>
      <c r="H1231" t="inlineStr">
        <is>
          <t>Preshh Bar Ltda</t>
        </is>
      </c>
      <c r="I1231" t="n">
        <v>-727.2</v>
      </c>
    </row>
    <row r="1232">
      <c r="A1232" t="n">
        <v>157202</v>
      </c>
      <c r="B1232" t="n">
        <v>182</v>
      </c>
      <c r="C1232" t="inlineStr">
        <is>
          <t>Love - Shibari - Kamino</t>
        </is>
      </c>
      <c r="D1232" t="n">
        <v>128</v>
      </c>
      <c r="E1232" t="inlineStr">
        <is>
          <t>Love Cabaret</t>
        </is>
      </c>
      <c r="F1232" s="27" t="n">
        <v>45908</v>
      </c>
      <c r="G1232" t="inlineStr">
        <is>
          <t>DEBITO</t>
        </is>
      </c>
      <c r="H1232" t="inlineStr">
        <is>
          <t>Felipe Ferreira Franca 36496185832</t>
        </is>
      </c>
      <c r="I1232" t="n">
        <v>-3250</v>
      </c>
    </row>
    <row r="1233">
      <c r="A1233" t="n">
        <v>157203</v>
      </c>
      <c r="B1233" t="n">
        <v>182</v>
      </c>
      <c r="C1233" t="inlineStr">
        <is>
          <t>Love - Shibari - Kamino</t>
        </is>
      </c>
      <c r="D1233" t="n">
        <v>128</v>
      </c>
      <c r="E1233" t="inlineStr">
        <is>
          <t>Love Cabaret</t>
        </is>
      </c>
      <c r="F1233" s="27" t="n">
        <v>45908</v>
      </c>
      <c r="G1233" t="inlineStr">
        <is>
          <t>DEBITO</t>
        </is>
      </c>
      <c r="H1233" t="inlineStr">
        <is>
          <t>49.635.085 Jessica Izabel de Souza</t>
        </is>
      </c>
      <c r="I1233" t="n">
        <v>-1250</v>
      </c>
    </row>
    <row r="1234">
      <c r="A1234" t="n">
        <v>157204</v>
      </c>
      <c r="B1234" t="n">
        <v>182</v>
      </c>
      <c r="C1234" t="inlineStr">
        <is>
          <t>Love - Shibari - Kamino</t>
        </is>
      </c>
      <c r="D1234" t="n">
        <v>128</v>
      </c>
      <c r="E1234" t="inlineStr">
        <is>
          <t>Love Cabaret</t>
        </is>
      </c>
      <c r="F1234" s="27" t="n">
        <v>45908</v>
      </c>
      <c r="G1234" t="inlineStr">
        <is>
          <t>DEBITO</t>
        </is>
      </c>
      <c r="H1234" t="inlineStr">
        <is>
          <t>55.774.785 Thiago Pinheiro da Silva</t>
        </is>
      </c>
      <c r="I1234" t="n">
        <v>-1125</v>
      </c>
    </row>
    <row r="1235">
      <c r="A1235" t="n">
        <v>157205</v>
      </c>
      <c r="B1235" t="n">
        <v>182</v>
      </c>
      <c r="C1235" t="inlineStr">
        <is>
          <t>Love - Shibari - Kamino</t>
        </is>
      </c>
      <c r="D1235" t="n">
        <v>128</v>
      </c>
      <c r="E1235" t="inlineStr">
        <is>
          <t>Love Cabaret</t>
        </is>
      </c>
      <c r="F1235" s="27" t="n">
        <v>45908</v>
      </c>
      <c r="G1235" t="inlineStr">
        <is>
          <t>DEBITO</t>
        </is>
      </c>
      <c r="H1235" t="inlineStr">
        <is>
          <t>Dudom</t>
        </is>
      </c>
      <c r="I1235" t="n">
        <v>-1600</v>
      </c>
    </row>
    <row r="1236">
      <c r="A1236" t="n">
        <v>157206</v>
      </c>
      <c r="B1236" t="n">
        <v>182</v>
      </c>
      <c r="C1236" t="inlineStr">
        <is>
          <t>Love - Shibari - Kamino</t>
        </is>
      </c>
      <c r="D1236" t="n">
        <v>128</v>
      </c>
      <c r="E1236" t="inlineStr">
        <is>
          <t>Love Cabaret</t>
        </is>
      </c>
      <c r="F1236" s="27" t="n">
        <v>45908</v>
      </c>
      <c r="G1236" t="inlineStr">
        <is>
          <t>DEBITO</t>
        </is>
      </c>
      <c r="H1236" t="inlineStr">
        <is>
          <t>Laisa Rocha Larangeira</t>
        </is>
      </c>
      <c r="I1236" t="n">
        <v>-1600</v>
      </c>
    </row>
    <row r="1237">
      <c r="A1237" t="n">
        <v>157207</v>
      </c>
      <c r="B1237" t="n">
        <v>182</v>
      </c>
      <c r="C1237" t="inlineStr">
        <is>
          <t>Love - Shibari - Kamino</t>
        </is>
      </c>
      <c r="D1237" t="n">
        <v>128</v>
      </c>
      <c r="E1237" t="inlineStr">
        <is>
          <t>Love Cabaret</t>
        </is>
      </c>
      <c r="F1237" s="27" t="n">
        <v>45908</v>
      </c>
      <c r="G1237" t="inlineStr">
        <is>
          <t>DEBITO</t>
        </is>
      </c>
      <c r="H1237" t="inlineStr">
        <is>
          <t>Eshows Promocoes Artisticas Ltda</t>
        </is>
      </c>
      <c r="I1237" t="n">
        <v>-24810</v>
      </c>
    </row>
    <row r="1238">
      <c r="A1238" t="n">
        <v>157208</v>
      </c>
      <c r="B1238" t="n">
        <v>182</v>
      </c>
      <c r="C1238" t="inlineStr">
        <is>
          <t>Love - Shibari - Kamino</t>
        </is>
      </c>
      <c r="D1238" t="n">
        <v>128</v>
      </c>
      <c r="E1238" t="inlineStr">
        <is>
          <t>Love Cabaret</t>
        </is>
      </c>
      <c r="F1238" s="27" t="n">
        <v>45908</v>
      </c>
      <c r="G1238" t="inlineStr">
        <is>
          <t>DEBITO</t>
        </is>
      </c>
      <c r="H1238" t="inlineStr">
        <is>
          <t>Zahil Importadora Ltda</t>
        </is>
      </c>
      <c r="I1238" t="n">
        <v>-843.16</v>
      </c>
    </row>
    <row r="1239">
      <c r="A1239" t="n">
        <v>157209</v>
      </c>
      <c r="B1239" t="n">
        <v>182</v>
      </c>
      <c r="C1239" t="inlineStr">
        <is>
          <t>Love - Shibari - Kamino</t>
        </is>
      </c>
      <c r="D1239" t="n">
        <v>128</v>
      </c>
      <c r="E1239" t="inlineStr">
        <is>
          <t>Love Cabaret</t>
        </is>
      </c>
      <c r="F1239" s="27" t="n">
        <v>45908</v>
      </c>
      <c r="G1239" t="inlineStr">
        <is>
          <t>DEBITO</t>
        </is>
      </c>
      <c r="H1239" t="inlineStr">
        <is>
          <t>Eletropaulo Metropolitana</t>
        </is>
      </c>
      <c r="I1239" t="n">
        <v>-9078.91</v>
      </c>
    </row>
    <row r="1240">
      <c r="A1240" t="n">
        <v>157210</v>
      </c>
      <c r="B1240" t="n">
        <v>182</v>
      </c>
      <c r="C1240" t="inlineStr">
        <is>
          <t>Love - Shibari - Kamino</t>
        </is>
      </c>
      <c r="D1240" t="n">
        <v>128</v>
      </c>
      <c r="E1240" t="inlineStr">
        <is>
          <t>Love Cabaret</t>
        </is>
      </c>
      <c r="F1240" s="27" t="n">
        <v>45908</v>
      </c>
      <c r="G1240" t="inlineStr">
        <is>
          <t>DEBITO</t>
        </is>
      </c>
      <c r="H1240" t="inlineStr">
        <is>
          <t>W P P C Carnes Eireli Epp</t>
        </is>
      </c>
      <c r="I1240" t="n">
        <v>-860</v>
      </c>
    </row>
    <row r="1241">
      <c r="A1241" t="n">
        <v>157211</v>
      </c>
      <c r="B1241" t="n">
        <v>182</v>
      </c>
      <c r="C1241" t="inlineStr">
        <is>
          <t>Love - Shibari - Kamino</t>
        </is>
      </c>
      <c r="D1241" t="n">
        <v>128</v>
      </c>
      <c r="E1241" t="inlineStr">
        <is>
          <t>Love Cabaret</t>
        </is>
      </c>
      <c r="F1241" s="27" t="n">
        <v>45908</v>
      </c>
      <c r="G1241" t="inlineStr">
        <is>
          <t>DEBITO</t>
        </is>
      </c>
      <c r="H1241" t="inlineStr">
        <is>
          <t>Dist Carnes Cant Ltda Epp</t>
        </is>
      </c>
      <c r="I1241" t="n">
        <v>-355.35</v>
      </c>
    </row>
    <row r="1242">
      <c r="A1242" t="n">
        <v>157212</v>
      </c>
      <c r="B1242" t="n">
        <v>182</v>
      </c>
      <c r="C1242" t="inlineStr">
        <is>
          <t>Love - Shibari - Kamino</t>
        </is>
      </c>
      <c r="D1242" t="n">
        <v>128</v>
      </c>
      <c r="E1242" t="inlineStr">
        <is>
          <t>Love Cabaret</t>
        </is>
      </c>
      <c r="F1242" s="27" t="n">
        <v>45908</v>
      </c>
      <c r="G1242" t="inlineStr">
        <is>
          <t>DEBITO</t>
        </is>
      </c>
      <c r="H1242" t="inlineStr">
        <is>
          <t>Hnk Br Bebidas Ltda</t>
        </is>
      </c>
      <c r="I1242" t="n">
        <v>-4146.44</v>
      </c>
    </row>
    <row r="1243">
      <c r="A1243" t="n">
        <v>157213</v>
      </c>
      <c r="B1243" t="n">
        <v>182</v>
      </c>
      <c r="C1243" t="inlineStr">
        <is>
          <t>Love - Shibari - Kamino</t>
        </is>
      </c>
      <c r="D1243" t="n">
        <v>128</v>
      </c>
      <c r="E1243" t="inlineStr">
        <is>
          <t>Love Cabaret</t>
        </is>
      </c>
      <c r="F1243" s="27" t="n">
        <v>45908</v>
      </c>
      <c r="G1243" t="inlineStr">
        <is>
          <t>DEBITO</t>
        </is>
      </c>
      <c r="H1243" t="inlineStr">
        <is>
          <t>Hortifrutigranjeiro Rodrigues</t>
        </is>
      </c>
      <c r="I1243" t="n">
        <v>-329.5</v>
      </c>
    </row>
    <row r="1244">
      <c r="A1244" t="n">
        <v>157214</v>
      </c>
      <c r="B1244" t="n">
        <v>182</v>
      </c>
      <c r="C1244" t="inlineStr">
        <is>
          <t>Love - Shibari - Kamino</t>
        </is>
      </c>
      <c r="D1244" t="n">
        <v>128</v>
      </c>
      <c r="E1244" t="inlineStr">
        <is>
          <t>Love Cabaret</t>
        </is>
      </c>
      <c r="F1244" s="27" t="n">
        <v>45908</v>
      </c>
      <c r="G1244" t="inlineStr">
        <is>
          <t>DEBITO</t>
        </is>
      </c>
      <c r="H1244" t="inlineStr">
        <is>
          <t>Eau Distribuidora a M Ltda</t>
        </is>
      </c>
      <c r="I1244" t="n">
        <v>-276</v>
      </c>
    </row>
    <row r="1245">
      <c r="A1245" t="n">
        <v>157222</v>
      </c>
      <c r="B1245" t="n">
        <v>182</v>
      </c>
      <c r="C1245" t="inlineStr">
        <is>
          <t>Love - Shibari - Kamino</t>
        </is>
      </c>
      <c r="D1245" t="n">
        <v>128</v>
      </c>
      <c r="E1245" t="inlineStr">
        <is>
          <t>Love Cabaret</t>
        </is>
      </c>
      <c r="F1245" s="27" t="n">
        <v>45908</v>
      </c>
      <c r="G1245" t="inlineStr">
        <is>
          <t>DEBITO</t>
        </is>
      </c>
      <c r="H1245" t="inlineStr">
        <is>
          <t>55.214.822 Wagner da Silva Franca</t>
        </is>
      </c>
      <c r="I1245" t="n">
        <v>-640</v>
      </c>
    </row>
    <row r="1246">
      <c r="A1246" t="n">
        <v>157185</v>
      </c>
      <c r="B1246" t="n">
        <v>182</v>
      </c>
      <c r="C1246" t="inlineStr">
        <is>
          <t>Love - Shibari - Kamino</t>
        </is>
      </c>
      <c r="D1246" t="n">
        <v>128</v>
      </c>
      <c r="E1246" t="inlineStr">
        <is>
          <t>Love Cabaret</t>
        </is>
      </c>
      <c r="F1246" s="27" t="n">
        <v>45908</v>
      </c>
      <c r="G1246" t="inlineStr">
        <is>
          <t>DEBITO</t>
        </is>
      </c>
      <c r="H1246" t="inlineStr">
        <is>
          <t>Arena Bebidas</t>
        </is>
      </c>
      <c r="I1246" t="n">
        <v>-176</v>
      </c>
    </row>
    <row r="1247">
      <c r="A1247" t="n">
        <v>157166</v>
      </c>
      <c r="B1247" t="n">
        <v>182</v>
      </c>
      <c r="C1247" t="inlineStr">
        <is>
          <t>Love - Shibari - Kamino</t>
        </is>
      </c>
      <c r="D1247" t="n">
        <v>128</v>
      </c>
      <c r="E1247" t="inlineStr">
        <is>
          <t>Love Cabaret</t>
        </is>
      </c>
      <c r="F1247" s="27" t="n">
        <v>45908</v>
      </c>
      <c r="G1247" t="inlineStr">
        <is>
          <t>CREDITO</t>
        </is>
      </c>
      <c r="H1247" t="inlineStr">
        <is>
          <t>SHIBARI ART E DIVERSAO LTDA</t>
        </is>
      </c>
      <c r="I1247" t="n">
        <v>160000</v>
      </c>
    </row>
    <row r="1248">
      <c r="A1248" t="n">
        <v>157167</v>
      </c>
      <c r="B1248" t="n">
        <v>182</v>
      </c>
      <c r="C1248" t="inlineStr">
        <is>
          <t>Love - Shibari - Kamino</t>
        </is>
      </c>
      <c r="D1248" t="n">
        <v>128</v>
      </c>
      <c r="E1248" t="inlineStr">
        <is>
          <t>Love Cabaret</t>
        </is>
      </c>
      <c r="F1248" s="27" t="n">
        <v>45908</v>
      </c>
      <c r="G1248" t="inlineStr">
        <is>
          <t>DEBITO</t>
        </is>
      </c>
      <c r="H1248" t="inlineStr">
        <is>
          <t>55.866.682 Mateus Silveira Cezar</t>
        </is>
      </c>
      <c r="I1248" t="n">
        <v>-1800</v>
      </c>
    </row>
    <row r="1249">
      <c r="A1249" t="n">
        <v>157168</v>
      </c>
      <c r="B1249" t="n">
        <v>182</v>
      </c>
      <c r="C1249" t="inlineStr">
        <is>
          <t>Love - Shibari - Kamino</t>
        </is>
      </c>
      <c r="D1249" t="n">
        <v>128</v>
      </c>
      <c r="E1249" t="inlineStr">
        <is>
          <t>Love Cabaret</t>
        </is>
      </c>
      <c r="F1249" s="27" t="n">
        <v>45908</v>
      </c>
      <c r="G1249" t="inlineStr">
        <is>
          <t>DEBITO</t>
        </is>
      </c>
      <c r="H1249" t="inlineStr">
        <is>
          <t>Tamara Santos Ribeiro</t>
        </is>
      </c>
      <c r="I1249" t="n">
        <v>-3500</v>
      </c>
    </row>
    <row r="1250">
      <c r="A1250" t="n">
        <v>157169</v>
      </c>
      <c r="B1250" t="n">
        <v>182</v>
      </c>
      <c r="C1250" t="inlineStr">
        <is>
          <t>Love - Shibari - Kamino</t>
        </is>
      </c>
      <c r="D1250" t="n">
        <v>128</v>
      </c>
      <c r="E1250" t="inlineStr">
        <is>
          <t>Love Cabaret</t>
        </is>
      </c>
      <c r="F1250" s="27" t="n">
        <v>45908</v>
      </c>
      <c r="G1250" t="inlineStr">
        <is>
          <t>DEBITO</t>
        </is>
      </c>
      <c r="H1250" t="inlineStr">
        <is>
          <t>Divify Securitizadora e Plataforma S.A.</t>
        </is>
      </c>
      <c r="I1250" t="n">
        <v>-1000</v>
      </c>
    </row>
    <row r="1251">
      <c r="A1251" t="n">
        <v>157170</v>
      </c>
      <c r="B1251" t="n">
        <v>182</v>
      </c>
      <c r="C1251" t="inlineStr">
        <is>
          <t>Love - Shibari - Kamino</t>
        </is>
      </c>
      <c r="D1251" t="n">
        <v>128</v>
      </c>
      <c r="E1251" t="inlineStr">
        <is>
          <t>Love Cabaret</t>
        </is>
      </c>
      <c r="F1251" s="27" t="n">
        <v>45908</v>
      </c>
      <c r="G1251" t="inlineStr">
        <is>
          <t>DEBITO</t>
        </is>
      </c>
      <c r="H1251" t="inlineStr">
        <is>
          <t>Receita Federal</t>
        </is>
      </c>
      <c r="I1251" t="n">
        <v>-192.97</v>
      </c>
    </row>
    <row r="1252">
      <c r="A1252" t="n">
        <v>157171</v>
      </c>
      <c r="B1252" t="n">
        <v>182</v>
      </c>
      <c r="C1252" t="inlineStr">
        <is>
          <t>Love - Shibari - Kamino</t>
        </is>
      </c>
      <c r="D1252" t="n">
        <v>128</v>
      </c>
      <c r="E1252" t="inlineStr">
        <is>
          <t>Love Cabaret</t>
        </is>
      </c>
      <c r="F1252" s="27" t="n">
        <v>45908</v>
      </c>
      <c r="G1252" t="inlineStr">
        <is>
          <t>DEBITO</t>
        </is>
      </c>
      <c r="H1252" t="inlineStr">
        <is>
          <t>Leon Franz</t>
        </is>
      </c>
      <c r="I1252" t="n">
        <v>-8500</v>
      </c>
    </row>
    <row r="1253">
      <c r="A1253" t="n">
        <v>157172</v>
      </c>
      <c r="B1253" t="n">
        <v>182</v>
      </c>
      <c r="C1253" t="inlineStr">
        <is>
          <t>Love - Shibari - Kamino</t>
        </is>
      </c>
      <c r="D1253" t="n">
        <v>128</v>
      </c>
      <c r="E1253" t="inlineStr">
        <is>
          <t>Love Cabaret</t>
        </is>
      </c>
      <c r="F1253" s="27" t="n">
        <v>45908</v>
      </c>
      <c r="G1253" t="inlineStr">
        <is>
          <t>DEBITO</t>
        </is>
      </c>
      <c r="H1253" t="inlineStr">
        <is>
          <t>Psss Ltda</t>
        </is>
      </c>
      <c r="I1253" t="n">
        <v>-468.5</v>
      </c>
    </row>
    <row r="1254">
      <c r="A1254" t="n">
        <v>157173</v>
      </c>
      <c r="B1254" t="n">
        <v>182</v>
      </c>
      <c r="C1254" t="inlineStr">
        <is>
          <t>Love - Shibari - Kamino</t>
        </is>
      </c>
      <c r="D1254" t="n">
        <v>128</v>
      </c>
      <c r="E1254" t="inlineStr">
        <is>
          <t>Love Cabaret</t>
        </is>
      </c>
      <c r="F1254" s="27" t="n">
        <v>45908</v>
      </c>
      <c r="G1254" t="inlineStr">
        <is>
          <t>DEBITO</t>
        </is>
      </c>
      <c r="H1254" t="inlineStr">
        <is>
          <t>Comercial Dede</t>
        </is>
      </c>
      <c r="I1254" t="n">
        <v>-649.5700000000001</v>
      </c>
    </row>
    <row r="1255">
      <c r="A1255" t="n">
        <v>157174</v>
      </c>
      <c r="B1255" t="n">
        <v>182</v>
      </c>
      <c r="C1255" t="inlineStr">
        <is>
          <t>Love - Shibari - Kamino</t>
        </is>
      </c>
      <c r="D1255" t="n">
        <v>128</v>
      </c>
      <c r="E1255" t="inlineStr">
        <is>
          <t>Love Cabaret</t>
        </is>
      </c>
      <c r="F1255" s="27" t="n">
        <v>45908</v>
      </c>
      <c r="G1255" t="inlineStr">
        <is>
          <t>DEBITO</t>
        </is>
      </c>
      <c r="H1255" t="inlineStr">
        <is>
          <t>Comercial Dede</t>
        </is>
      </c>
      <c r="I1255" t="n">
        <v>-398.8</v>
      </c>
    </row>
    <row r="1256">
      <c r="A1256" t="n">
        <v>157175</v>
      </c>
      <c r="B1256" t="n">
        <v>182</v>
      </c>
      <c r="C1256" t="inlineStr">
        <is>
          <t>Love - Shibari - Kamino</t>
        </is>
      </c>
      <c r="D1256" t="n">
        <v>128</v>
      </c>
      <c r="E1256" t="inlineStr">
        <is>
          <t>Love Cabaret</t>
        </is>
      </c>
      <c r="F1256" s="27" t="n">
        <v>45908</v>
      </c>
      <c r="G1256" t="inlineStr">
        <is>
          <t>DEBITO</t>
        </is>
      </c>
      <c r="H1256" t="inlineStr">
        <is>
          <t>Cecilia Tsuyaco Araki Silva Ltda</t>
        </is>
      </c>
      <c r="I1256" t="n">
        <v>-167.4</v>
      </c>
    </row>
    <row r="1257">
      <c r="A1257" t="n">
        <v>157177</v>
      </c>
      <c r="B1257" t="n">
        <v>182</v>
      </c>
      <c r="C1257" t="inlineStr">
        <is>
          <t>Love - Shibari - Kamino</t>
        </is>
      </c>
      <c r="D1257" t="n">
        <v>128</v>
      </c>
      <c r="E1257" t="inlineStr">
        <is>
          <t>Love Cabaret</t>
        </is>
      </c>
      <c r="F1257" s="27" t="n">
        <v>45908</v>
      </c>
      <c r="G1257" t="inlineStr">
        <is>
          <t>DEBITO</t>
        </is>
      </c>
      <c r="H1257" t="inlineStr">
        <is>
          <t>Nina Consultoria e Representacoes</t>
        </is>
      </c>
      <c r="I1257" t="n">
        <v>-3000</v>
      </c>
    </row>
    <row r="1258">
      <c r="A1258" t="n">
        <v>157178</v>
      </c>
      <c r="B1258" t="n">
        <v>182</v>
      </c>
      <c r="C1258" t="inlineStr">
        <is>
          <t>Love - Shibari - Kamino</t>
        </is>
      </c>
      <c r="D1258" t="n">
        <v>128</v>
      </c>
      <c r="E1258" t="inlineStr">
        <is>
          <t>Love Cabaret</t>
        </is>
      </c>
      <c r="F1258" s="27" t="n">
        <v>45908</v>
      </c>
      <c r="G1258" t="inlineStr">
        <is>
          <t>DEBITO</t>
        </is>
      </c>
      <c r="H1258" t="inlineStr">
        <is>
          <t>Machine Seguranca Patrimonial Ltda</t>
        </is>
      </c>
      <c r="I1258" t="n">
        <v>-6650</v>
      </c>
    </row>
    <row r="1259">
      <c r="A1259" t="n">
        <v>157179</v>
      </c>
      <c r="B1259" t="n">
        <v>182</v>
      </c>
      <c r="C1259" t="inlineStr">
        <is>
          <t>Love - Shibari - Kamino</t>
        </is>
      </c>
      <c r="D1259" t="n">
        <v>128</v>
      </c>
      <c r="E1259" t="inlineStr">
        <is>
          <t>Love Cabaret</t>
        </is>
      </c>
      <c r="F1259" s="27" t="n">
        <v>45908</v>
      </c>
      <c r="G1259" t="inlineStr">
        <is>
          <t>DEBITO</t>
        </is>
      </c>
      <c r="H1259" t="inlineStr">
        <is>
          <t>Paulo Cesar Medeiros Eyzano</t>
        </is>
      </c>
      <c r="I1259" t="n">
        <v>-3200</v>
      </c>
    </row>
    <row r="1260">
      <c r="A1260" t="n">
        <v>157180</v>
      </c>
      <c r="B1260" t="n">
        <v>182</v>
      </c>
      <c r="C1260" t="inlineStr">
        <is>
          <t>Love - Shibari - Kamino</t>
        </is>
      </c>
      <c r="D1260" t="n">
        <v>128</v>
      </c>
      <c r="E1260" t="inlineStr">
        <is>
          <t>Love Cabaret</t>
        </is>
      </c>
      <c r="F1260" s="27" t="n">
        <v>45908</v>
      </c>
      <c r="G1260" t="inlineStr">
        <is>
          <t>DEBITO</t>
        </is>
      </c>
      <c r="H1260" t="inlineStr">
        <is>
          <t>Douglas Felipe Domingues Gonalves</t>
        </is>
      </c>
      <c r="I1260" t="n">
        <v>-4100</v>
      </c>
    </row>
    <row r="1261">
      <c r="A1261" t="n">
        <v>157181</v>
      </c>
      <c r="B1261" t="n">
        <v>182</v>
      </c>
      <c r="C1261" t="inlineStr">
        <is>
          <t>Love - Shibari - Kamino</t>
        </is>
      </c>
      <c r="D1261" t="n">
        <v>128</v>
      </c>
      <c r="E1261" t="inlineStr">
        <is>
          <t>Love Cabaret</t>
        </is>
      </c>
      <c r="F1261" s="27" t="n">
        <v>45908</v>
      </c>
      <c r="G1261" t="inlineStr">
        <is>
          <t>DEBITO</t>
        </is>
      </c>
      <c r="H1261" t="inlineStr">
        <is>
          <t>Felipe da Costa Santos</t>
        </is>
      </c>
      <c r="I1261" t="n">
        <v>-5100</v>
      </c>
    </row>
    <row r="1262">
      <c r="A1262" t="n">
        <v>157182</v>
      </c>
      <c r="B1262" t="n">
        <v>182</v>
      </c>
      <c r="C1262" t="inlineStr">
        <is>
          <t>Love - Shibari - Kamino</t>
        </is>
      </c>
      <c r="D1262" t="n">
        <v>128</v>
      </c>
      <c r="E1262" t="inlineStr">
        <is>
          <t>Love Cabaret</t>
        </is>
      </c>
      <c r="F1262" s="27" t="n">
        <v>45908</v>
      </c>
      <c r="G1262" t="inlineStr">
        <is>
          <t>DEBITO</t>
        </is>
      </c>
      <c r="H1262" t="inlineStr">
        <is>
          <t>53.068.043 Isabella Fernandes Gomes</t>
        </is>
      </c>
      <c r="I1262" t="n">
        <v>-1200</v>
      </c>
    </row>
    <row r="1263">
      <c r="A1263" t="n">
        <v>157183</v>
      </c>
      <c r="B1263" t="n">
        <v>182</v>
      </c>
      <c r="C1263" t="inlineStr">
        <is>
          <t>Love - Shibari - Kamino</t>
        </is>
      </c>
      <c r="D1263" t="n">
        <v>128</v>
      </c>
      <c r="E1263" t="inlineStr">
        <is>
          <t>Love Cabaret</t>
        </is>
      </c>
      <c r="F1263" s="27" t="n">
        <v>45908</v>
      </c>
      <c r="G1263" t="inlineStr">
        <is>
          <t>DEBITO</t>
        </is>
      </c>
      <c r="H1263" t="inlineStr">
        <is>
          <t>Indra Haretrava</t>
        </is>
      </c>
      <c r="I1263" t="n">
        <v>-7420</v>
      </c>
    </row>
    <row r="1264">
      <c r="A1264" t="n">
        <v>157184</v>
      </c>
      <c r="B1264" t="n">
        <v>182</v>
      </c>
      <c r="C1264" t="inlineStr">
        <is>
          <t>Love - Shibari - Kamino</t>
        </is>
      </c>
      <c r="D1264" t="n">
        <v>128</v>
      </c>
      <c r="E1264" t="inlineStr">
        <is>
          <t>Love Cabaret</t>
        </is>
      </c>
      <c r="F1264" s="27" t="n">
        <v>45908</v>
      </c>
      <c r="G1264" t="inlineStr">
        <is>
          <t>DEBITO</t>
        </is>
      </c>
      <c r="H1264" t="inlineStr">
        <is>
          <t>Stemme Telecomunicacoes do Brasil Ltda.</t>
        </is>
      </c>
      <c r="I1264" t="n">
        <v>-299.99</v>
      </c>
    </row>
    <row r="1265">
      <c r="A1265" t="n">
        <v>157176</v>
      </c>
      <c r="B1265" t="n">
        <v>182</v>
      </c>
      <c r="C1265" t="inlineStr">
        <is>
          <t>Love - Shibari - Kamino</t>
        </is>
      </c>
      <c r="D1265" t="n">
        <v>128</v>
      </c>
      <c r="E1265" t="inlineStr">
        <is>
          <t>Love Cabaret</t>
        </is>
      </c>
      <c r="F1265" s="27" t="n">
        <v>45908</v>
      </c>
      <c r="G1265" t="inlineStr">
        <is>
          <t>DEBITO</t>
        </is>
      </c>
      <c r="H1265" t="inlineStr">
        <is>
          <t>Star Copias Comercio e Servicos Ltd</t>
        </is>
      </c>
      <c r="I1265" t="n">
        <v>-220</v>
      </c>
    </row>
    <row r="1266">
      <c r="A1266" t="n">
        <v>157165</v>
      </c>
      <c r="B1266" t="n">
        <v>182</v>
      </c>
      <c r="C1266" t="inlineStr">
        <is>
          <t>Love - Shibari - Kamino</t>
        </is>
      </c>
      <c r="D1266" t="n">
        <v>128</v>
      </c>
      <c r="E1266" t="inlineStr">
        <is>
          <t>Love Cabaret</t>
        </is>
      </c>
      <c r="F1266" s="27" t="n">
        <v>45906</v>
      </c>
      <c r="G1266" t="inlineStr">
        <is>
          <t>DEBITO</t>
        </is>
      </c>
      <c r="H1266" t="inlineStr">
        <is>
          <t>Transf entre Contas-Favorecido</t>
        </is>
      </c>
      <c r="I1266" t="n">
        <v>-3000</v>
      </c>
    </row>
    <row r="1267">
      <c r="A1267" t="n">
        <v>157111</v>
      </c>
      <c r="B1267" t="n">
        <v>115</v>
      </c>
      <c r="C1267" t="inlineStr">
        <is>
          <t>Love - Shibari - Bradesco</t>
        </is>
      </c>
      <c r="D1267" t="n">
        <v>128</v>
      </c>
      <c r="E1267" t="inlineStr">
        <is>
          <t>Love Cabaret</t>
        </is>
      </c>
      <c r="F1267" s="27" t="n">
        <v>45905.5</v>
      </c>
      <c r="G1267" t="inlineStr">
        <is>
          <t>DEBITO</t>
        </is>
      </c>
      <c r="H1267" t="inlineStr">
        <is>
          <t>PAGTO ELETRON  COBRANCA VERISURE BRASIL MONITORAMENTO DE</t>
        </is>
      </c>
      <c r="I1267" t="n">
        <v>-270.11</v>
      </c>
    </row>
    <row r="1268">
      <c r="A1268" t="n">
        <v>157110</v>
      </c>
      <c r="B1268" t="n">
        <v>115</v>
      </c>
      <c r="C1268" t="inlineStr">
        <is>
          <t>Love - Shibari - Bradesco</t>
        </is>
      </c>
      <c r="D1268" t="n">
        <v>128</v>
      </c>
      <c r="E1268" t="inlineStr">
        <is>
          <t>Love Cabaret</t>
        </is>
      </c>
      <c r="F1268" s="27" t="n">
        <v>45905.5</v>
      </c>
      <c r="G1268" t="inlineStr">
        <is>
          <t>CREDITO</t>
        </is>
      </c>
      <c r="H1268" t="inlineStr">
        <is>
          <t>DEP DINHEIRO ATM AG00117MAQ061059SEQ07060</t>
        </is>
      </c>
      <c r="I1268" t="n">
        <v>157</v>
      </c>
    </row>
    <row r="1269">
      <c r="A1269" t="n">
        <v>157109</v>
      </c>
      <c r="B1269" t="n">
        <v>115</v>
      </c>
      <c r="C1269" t="inlineStr">
        <is>
          <t>Love - Shibari - Bradesco</t>
        </is>
      </c>
      <c r="D1269" t="n">
        <v>128</v>
      </c>
      <c r="E1269" t="inlineStr">
        <is>
          <t>Love Cabaret</t>
        </is>
      </c>
      <c r="F1269" s="27" t="n">
        <v>45905.5</v>
      </c>
      <c r="G1269" t="inlineStr">
        <is>
          <t>CREDITO</t>
        </is>
      </c>
      <c r="H1269" t="inlineStr">
        <is>
          <t>TED-TRANSF ELET DISPON REMET.SYMPLA INTERNET SOLU</t>
        </is>
      </c>
      <c r="I1269" t="n">
        <v>4169.4</v>
      </c>
    </row>
    <row r="1270">
      <c r="A1270" t="n">
        <v>157108</v>
      </c>
      <c r="B1270" t="n">
        <v>115</v>
      </c>
      <c r="C1270" t="inlineStr">
        <is>
          <t>Love - Shibari - Bradesco</t>
        </is>
      </c>
      <c r="D1270" t="n">
        <v>128</v>
      </c>
      <c r="E1270" t="inlineStr">
        <is>
          <t>Love Cabaret</t>
        </is>
      </c>
      <c r="F1270" s="27" t="n">
        <v>45904.5</v>
      </c>
      <c r="G1270" t="inlineStr">
        <is>
          <t>CREDITO</t>
        </is>
      </c>
      <c r="H1270" t="inlineStr">
        <is>
          <t>TRANSFERENCIA PIX REM: Letcia Cavichini Cos 04/09</t>
        </is>
      </c>
      <c r="I1270" t="n">
        <v>465</v>
      </c>
    </row>
    <row r="1271">
      <c r="A1271" t="n">
        <v>157105</v>
      </c>
      <c r="B1271" t="n">
        <v>115</v>
      </c>
      <c r="C1271" t="inlineStr">
        <is>
          <t>Love - Shibari - Bradesco</t>
        </is>
      </c>
      <c r="D1271" t="n">
        <v>128</v>
      </c>
      <c r="E1271" t="inlineStr">
        <is>
          <t>Love Cabaret</t>
        </is>
      </c>
      <c r="F1271" s="27" t="n">
        <v>45903.5</v>
      </c>
      <c r="G1271" t="inlineStr">
        <is>
          <t>CREDITO</t>
        </is>
      </c>
      <c r="H1271" t="inlineStr">
        <is>
          <t>TED-TRANSF ELET DISPON REMET.SYMPLA INTERNET SOLU</t>
        </is>
      </c>
      <c r="I1271" t="n">
        <v>13865</v>
      </c>
    </row>
    <row r="1272">
      <c r="A1272" t="n">
        <v>157106</v>
      </c>
      <c r="B1272" t="n">
        <v>115</v>
      </c>
      <c r="C1272" t="inlineStr">
        <is>
          <t>Love - Shibari - Bradesco</t>
        </is>
      </c>
      <c r="D1272" t="n">
        <v>128</v>
      </c>
      <c r="E1272" t="inlineStr">
        <is>
          <t>Love Cabaret</t>
        </is>
      </c>
      <c r="F1272" s="27" t="n">
        <v>45903.5</v>
      </c>
      <c r="G1272" t="inlineStr">
        <is>
          <t>DEBITO</t>
        </is>
      </c>
      <c r="H1272" t="inlineStr">
        <is>
          <t>TARIFA BANCARIA TRANSF PGTO PIX</t>
        </is>
      </c>
      <c r="I1272" t="n">
        <v>-9.800000000000001</v>
      </c>
    </row>
    <row r="1273">
      <c r="A1273" t="n">
        <v>157107</v>
      </c>
      <c r="B1273" t="n">
        <v>115</v>
      </c>
      <c r="C1273" t="inlineStr">
        <is>
          <t>Love - Shibari - Bradesco</t>
        </is>
      </c>
      <c r="D1273" t="n">
        <v>128</v>
      </c>
      <c r="E1273" t="inlineStr">
        <is>
          <t>Love Cabaret</t>
        </is>
      </c>
      <c r="F1273" s="27" t="n">
        <v>45903.5</v>
      </c>
      <c r="G1273" t="inlineStr">
        <is>
          <t>DEBITO</t>
        </is>
      </c>
      <c r="H1273" t="inlineStr">
        <is>
          <t>PGTO SALARIO VIA NET EMP</t>
        </is>
      </c>
      <c r="I1273" t="n">
        <v>-5555.94</v>
      </c>
    </row>
    <row r="1274">
      <c r="A1274" t="n">
        <v>157104</v>
      </c>
      <c r="B1274" t="n">
        <v>115</v>
      </c>
      <c r="C1274" t="inlineStr">
        <is>
          <t>Love - Shibari - Bradesco</t>
        </is>
      </c>
      <c r="D1274" t="n">
        <v>128</v>
      </c>
      <c r="E1274" t="inlineStr">
        <is>
          <t>Love Cabaret</t>
        </is>
      </c>
      <c r="F1274" s="27" t="n">
        <v>45903.5</v>
      </c>
      <c r="G1274" t="inlineStr">
        <is>
          <t>CREDITO</t>
        </is>
      </c>
      <c r="H1274" t="inlineStr">
        <is>
          <t>TED-TRANSF ELET DISPON REMET.SYMPLA INTERNET SOLU</t>
        </is>
      </c>
      <c r="I1274" t="n">
        <v>7840</v>
      </c>
    </row>
    <row r="1275">
      <c r="A1275" t="n">
        <v>157164</v>
      </c>
      <c r="B1275" t="n">
        <v>182</v>
      </c>
      <c r="C1275" t="inlineStr">
        <is>
          <t>Love - Shibari - Kamino</t>
        </is>
      </c>
      <c r="D1275" t="n">
        <v>128</v>
      </c>
      <c r="E1275" t="inlineStr">
        <is>
          <t>Love Cabaret</t>
        </is>
      </c>
      <c r="F1275" s="27" t="n">
        <v>45903</v>
      </c>
      <c r="G1275" t="inlineStr">
        <is>
          <t>DEBITO</t>
        </is>
      </c>
      <c r="H1275" t="inlineStr">
        <is>
          <t>KAMINO INSTITUICAO DE PAGAMENTO LTDA</t>
        </is>
      </c>
      <c r="I1275" t="n">
        <v>-2107.04</v>
      </c>
    </row>
    <row r="1276">
      <c r="A1276" t="n">
        <v>157152</v>
      </c>
      <c r="B1276" t="n">
        <v>182</v>
      </c>
      <c r="C1276" t="inlineStr">
        <is>
          <t>Love - Shibari - Kamino</t>
        </is>
      </c>
      <c r="D1276" t="n">
        <v>128</v>
      </c>
      <c r="E1276" t="inlineStr">
        <is>
          <t>Love Cabaret</t>
        </is>
      </c>
      <c r="F1276" s="27" t="n">
        <v>45903</v>
      </c>
      <c r="G1276" t="inlineStr">
        <is>
          <t>DEBITO</t>
        </is>
      </c>
      <c r="H1276" t="inlineStr">
        <is>
          <t>Luiz Roberto da Silva Junior</t>
        </is>
      </c>
      <c r="I1276" t="n">
        <v>-1000</v>
      </c>
    </row>
    <row r="1277">
      <c r="A1277" t="n">
        <v>157153</v>
      </c>
      <c r="B1277" t="n">
        <v>182</v>
      </c>
      <c r="C1277" t="inlineStr">
        <is>
          <t>Love - Shibari - Kamino</t>
        </is>
      </c>
      <c r="D1277" t="n">
        <v>128</v>
      </c>
      <c r="E1277" t="inlineStr">
        <is>
          <t>Love Cabaret</t>
        </is>
      </c>
      <c r="F1277" s="27" t="n">
        <v>45903</v>
      </c>
      <c r="G1277" t="inlineStr">
        <is>
          <t>DEBITO</t>
        </is>
      </c>
      <c r="H1277" t="inlineStr">
        <is>
          <t>Easy Ice Solution Ltda Me</t>
        </is>
      </c>
      <c r="I1277" t="n">
        <v>-1600</v>
      </c>
    </row>
    <row r="1278">
      <c r="A1278" t="n">
        <v>157154</v>
      </c>
      <c r="B1278" t="n">
        <v>182</v>
      </c>
      <c r="C1278" t="inlineStr">
        <is>
          <t>Love - Shibari - Kamino</t>
        </is>
      </c>
      <c r="D1278" t="n">
        <v>128</v>
      </c>
      <c r="E1278" t="inlineStr">
        <is>
          <t>Love Cabaret</t>
        </is>
      </c>
      <c r="F1278" s="27" t="n">
        <v>45903</v>
      </c>
      <c r="G1278" t="inlineStr">
        <is>
          <t>DEBITO</t>
        </is>
      </c>
      <c r="H1278" t="inlineStr">
        <is>
          <t>Cecilia Tsuyaco Araki Silva Ltda</t>
        </is>
      </c>
      <c r="I1278" t="n">
        <v>-226.2</v>
      </c>
    </row>
    <row r="1279">
      <c r="A1279" t="n">
        <v>157155</v>
      </c>
      <c r="B1279" t="n">
        <v>182</v>
      </c>
      <c r="C1279" t="inlineStr">
        <is>
          <t>Love - Shibari - Kamino</t>
        </is>
      </c>
      <c r="D1279" t="n">
        <v>128</v>
      </c>
      <c r="E1279" t="inlineStr">
        <is>
          <t>Love Cabaret</t>
        </is>
      </c>
      <c r="F1279" s="27" t="n">
        <v>45903</v>
      </c>
      <c r="G1279" t="inlineStr">
        <is>
          <t>DEBITO</t>
        </is>
      </c>
      <c r="H1279" t="inlineStr">
        <is>
          <t>Bom Gosto Hortifruti Ltda</t>
        </is>
      </c>
      <c r="I1279" t="n">
        <v>-262.31</v>
      </c>
    </row>
    <row r="1280">
      <c r="A1280" t="n">
        <v>157156</v>
      </c>
      <c r="B1280" t="n">
        <v>182</v>
      </c>
      <c r="C1280" t="inlineStr">
        <is>
          <t>Love - Shibari - Kamino</t>
        </is>
      </c>
      <c r="D1280" t="n">
        <v>128</v>
      </c>
      <c r="E1280" t="inlineStr">
        <is>
          <t>Love Cabaret</t>
        </is>
      </c>
      <c r="F1280" s="27" t="n">
        <v>45903</v>
      </c>
      <c r="G1280" t="inlineStr">
        <is>
          <t>DEBITO</t>
        </is>
      </c>
      <c r="H1280" t="inlineStr">
        <is>
          <t>Cia do Whisky</t>
        </is>
      </c>
      <c r="I1280" t="n">
        <v>-961.74</v>
      </c>
    </row>
    <row r="1281">
      <c r="A1281" t="n">
        <v>157157</v>
      </c>
      <c r="B1281" t="n">
        <v>182</v>
      </c>
      <c r="C1281" t="inlineStr">
        <is>
          <t>Love - Shibari - Kamino</t>
        </is>
      </c>
      <c r="D1281" t="n">
        <v>128</v>
      </c>
      <c r="E1281" t="inlineStr">
        <is>
          <t>Love Cabaret</t>
        </is>
      </c>
      <c r="F1281" s="27" t="n">
        <v>45903</v>
      </c>
      <c r="G1281" t="inlineStr">
        <is>
          <t>DEBITO</t>
        </is>
      </c>
      <c r="H1281" t="inlineStr">
        <is>
          <t>Cia do Whisky</t>
        </is>
      </c>
      <c r="I1281" t="n">
        <v>-3121.14</v>
      </c>
    </row>
    <row r="1282">
      <c r="A1282" t="n">
        <v>157158</v>
      </c>
      <c r="B1282" t="n">
        <v>182</v>
      </c>
      <c r="C1282" t="inlineStr">
        <is>
          <t>Love - Shibari - Kamino</t>
        </is>
      </c>
      <c r="D1282" t="n">
        <v>128</v>
      </c>
      <c r="E1282" t="inlineStr">
        <is>
          <t>Love Cabaret</t>
        </is>
      </c>
      <c r="F1282" s="27" t="n">
        <v>45903</v>
      </c>
      <c r="G1282" t="inlineStr">
        <is>
          <t>DEBITO</t>
        </is>
      </c>
      <c r="H1282" t="inlineStr">
        <is>
          <t>Eletropaulo Metropolitana</t>
        </is>
      </c>
      <c r="I1282" t="n">
        <v>-106.53</v>
      </c>
    </row>
    <row r="1283">
      <c r="A1283" t="n">
        <v>157151</v>
      </c>
      <c r="B1283" t="n">
        <v>182</v>
      </c>
      <c r="C1283" t="inlineStr">
        <is>
          <t>Love - Shibari - Kamino</t>
        </is>
      </c>
      <c r="D1283" t="n">
        <v>128</v>
      </c>
      <c r="E1283" t="inlineStr">
        <is>
          <t>Love Cabaret</t>
        </is>
      </c>
      <c r="F1283" s="27" t="n">
        <v>45903</v>
      </c>
      <c r="G1283" t="inlineStr">
        <is>
          <t>DEBITO</t>
        </is>
      </c>
      <c r="H1283" t="inlineStr">
        <is>
          <t>Takuarobi</t>
        </is>
      </c>
      <c r="I1283" t="n">
        <v>-471.7</v>
      </c>
    </row>
    <row r="1284">
      <c r="A1284" t="n">
        <v>157159</v>
      </c>
      <c r="B1284" t="n">
        <v>182</v>
      </c>
      <c r="C1284" t="inlineStr">
        <is>
          <t>Love - Shibari - Kamino</t>
        </is>
      </c>
      <c r="D1284" t="n">
        <v>128</v>
      </c>
      <c r="E1284" t="inlineStr">
        <is>
          <t>Love Cabaret</t>
        </is>
      </c>
      <c r="F1284" s="27" t="n">
        <v>45903</v>
      </c>
      <c r="G1284" t="inlineStr">
        <is>
          <t>DEBITO</t>
        </is>
      </c>
      <c r="H1284" t="inlineStr">
        <is>
          <t>Cia do Whisky</t>
        </is>
      </c>
      <c r="I1284" t="n">
        <v>-200.5</v>
      </c>
    </row>
    <row r="1285">
      <c r="A1285" t="n">
        <v>157160</v>
      </c>
      <c r="B1285" t="n">
        <v>182</v>
      </c>
      <c r="C1285" t="inlineStr">
        <is>
          <t>Love - Shibari - Kamino</t>
        </is>
      </c>
      <c r="D1285" t="n">
        <v>128</v>
      </c>
      <c r="E1285" t="inlineStr">
        <is>
          <t>Love Cabaret</t>
        </is>
      </c>
      <c r="F1285" s="27" t="n">
        <v>45903</v>
      </c>
      <c r="G1285" t="inlineStr">
        <is>
          <t>DEBITO</t>
        </is>
      </c>
      <c r="H1285" t="inlineStr">
        <is>
          <t>Ecad</t>
        </is>
      </c>
      <c r="I1285" t="n">
        <v>-802.5</v>
      </c>
    </row>
    <row r="1286">
      <c r="A1286" t="n">
        <v>157161</v>
      </c>
      <c r="B1286" t="n">
        <v>182</v>
      </c>
      <c r="C1286" t="inlineStr">
        <is>
          <t>Love - Shibari - Kamino</t>
        </is>
      </c>
      <c r="D1286" t="n">
        <v>128</v>
      </c>
      <c r="E1286" t="inlineStr">
        <is>
          <t>Love Cabaret</t>
        </is>
      </c>
      <c r="F1286" s="27" t="n">
        <v>45903</v>
      </c>
      <c r="G1286" t="inlineStr">
        <is>
          <t>DEBITO</t>
        </is>
      </c>
      <c r="H1286" t="inlineStr">
        <is>
          <t>Estaff Solucoes Tecnologicas de Agenciam</t>
        </is>
      </c>
      <c r="I1286" t="n">
        <v>-13761</v>
      </c>
    </row>
    <row r="1287">
      <c r="A1287" t="n">
        <v>157162</v>
      </c>
      <c r="B1287" t="n">
        <v>182</v>
      </c>
      <c r="C1287" t="inlineStr">
        <is>
          <t>Love - Shibari - Kamino</t>
        </is>
      </c>
      <c r="D1287" t="n">
        <v>128</v>
      </c>
      <c r="E1287" t="inlineStr">
        <is>
          <t>Love Cabaret</t>
        </is>
      </c>
      <c r="F1287" s="27" t="n">
        <v>45903</v>
      </c>
      <c r="G1287" t="inlineStr">
        <is>
          <t>DEBITO</t>
        </is>
      </c>
      <c r="H1287" t="inlineStr">
        <is>
          <t>Mundo Epi Equipamentos de Segu</t>
        </is>
      </c>
      <c r="I1287" t="n">
        <v>-683</v>
      </c>
    </row>
    <row r="1288">
      <c r="A1288" t="n">
        <v>157163</v>
      </c>
      <c r="B1288" t="n">
        <v>182</v>
      </c>
      <c r="C1288" t="inlineStr">
        <is>
          <t>Love - Shibari - Kamino</t>
        </is>
      </c>
      <c r="D1288" t="n">
        <v>128</v>
      </c>
      <c r="E1288" t="inlineStr">
        <is>
          <t>Love Cabaret</t>
        </is>
      </c>
      <c r="F1288" s="27" t="n">
        <v>45903</v>
      </c>
      <c r="G1288" t="inlineStr">
        <is>
          <t>DEBITO</t>
        </is>
      </c>
      <c r="H1288" t="inlineStr">
        <is>
          <t>Ng27 Consultoria e Gestao Empr</t>
        </is>
      </c>
      <c r="I1288" t="n">
        <v>-388</v>
      </c>
    </row>
    <row r="1289">
      <c r="A1289" t="n">
        <v>157103</v>
      </c>
      <c r="B1289" t="n">
        <v>115</v>
      </c>
      <c r="C1289" t="inlineStr">
        <is>
          <t>Love - Shibari - Bradesco</t>
        </is>
      </c>
      <c r="D1289" t="n">
        <v>128</v>
      </c>
      <c r="E1289" t="inlineStr">
        <is>
          <t>Love Cabaret</t>
        </is>
      </c>
      <c r="F1289" s="27" t="n">
        <v>45902.5</v>
      </c>
      <c r="G1289" t="inlineStr">
        <is>
          <t>CREDITO</t>
        </is>
      </c>
      <c r="H1289" t="inlineStr">
        <is>
          <t>TRANSFERENCIA PIX REM: Zig Tecnologia S.A.   02/09</t>
        </is>
      </c>
      <c r="I1289" t="n">
        <v>20166.27</v>
      </c>
    </row>
    <row r="1290">
      <c r="A1290" t="n">
        <v>157102</v>
      </c>
      <c r="B1290" t="n">
        <v>115</v>
      </c>
      <c r="C1290" t="inlineStr">
        <is>
          <t>Love - Shibari - Bradesco</t>
        </is>
      </c>
      <c r="D1290" t="n">
        <v>128</v>
      </c>
      <c r="E1290" t="inlineStr">
        <is>
          <t>Love Cabaret</t>
        </is>
      </c>
      <c r="F1290" s="27" t="n">
        <v>45901.5</v>
      </c>
      <c r="G1290" t="inlineStr">
        <is>
          <t>DEBITO</t>
        </is>
      </c>
      <c r="H1290" t="inlineStr">
        <is>
          <t>TRANSFERENCIA PIX DES: SHIBARI ART E DIVERSA 01/09</t>
        </is>
      </c>
      <c r="I1290" t="n">
        <v>-90000</v>
      </c>
    </row>
    <row r="1291">
      <c r="A1291" t="n">
        <v>157096</v>
      </c>
      <c r="B1291" t="n">
        <v>115</v>
      </c>
      <c r="C1291" t="inlineStr">
        <is>
          <t>Love - Shibari - Bradesco</t>
        </is>
      </c>
      <c r="D1291" t="n">
        <v>128</v>
      </c>
      <c r="E1291" t="inlineStr">
        <is>
          <t>Love Cabaret</t>
        </is>
      </c>
      <c r="F1291" s="27" t="n">
        <v>45901.5</v>
      </c>
      <c r="G1291" t="inlineStr">
        <is>
          <t>CREDITO</t>
        </is>
      </c>
      <c r="H1291" t="inlineStr">
        <is>
          <t>TRANSFERENCIA PIX REM: Maria Clara Maia Gome 01/09</t>
        </is>
      </c>
      <c r="I1291" t="n">
        <v>620</v>
      </c>
    </row>
    <row r="1292">
      <c r="A1292" t="n">
        <v>157095</v>
      </c>
      <c r="B1292" t="n">
        <v>115</v>
      </c>
      <c r="C1292" t="inlineStr">
        <is>
          <t>Love - Shibari - Bradesco</t>
        </is>
      </c>
      <c r="D1292" t="n">
        <v>128</v>
      </c>
      <c r="E1292" t="inlineStr">
        <is>
          <t>Love Cabaret</t>
        </is>
      </c>
      <c r="F1292" s="27" t="n">
        <v>45901.5</v>
      </c>
      <c r="G1292" t="inlineStr">
        <is>
          <t>CREDITO</t>
        </is>
      </c>
      <c r="H1292" t="inlineStr">
        <is>
          <t>TRANSFERENCIA PIX REM: Zig Tecnologia S.A.   01/09</t>
        </is>
      </c>
      <c r="I1292" t="n">
        <v>38035.12</v>
      </c>
    </row>
    <row r="1293">
      <c r="A1293" t="n">
        <v>157142</v>
      </c>
      <c r="B1293" t="n">
        <v>182</v>
      </c>
      <c r="C1293" t="inlineStr">
        <is>
          <t>Love - Shibari - Kamino</t>
        </is>
      </c>
      <c r="D1293" t="n">
        <v>128</v>
      </c>
      <c r="E1293" t="inlineStr">
        <is>
          <t>Love Cabaret</t>
        </is>
      </c>
      <c r="F1293" s="27" t="n">
        <v>45901</v>
      </c>
      <c r="G1293" t="inlineStr">
        <is>
          <t>DEBITO</t>
        </is>
      </c>
      <c r="H1293" t="inlineStr">
        <is>
          <t>Formosa Bar</t>
        </is>
      </c>
      <c r="I1293" t="n">
        <v>-1637.8</v>
      </c>
    </row>
    <row r="1294">
      <c r="A1294" t="n">
        <v>157136</v>
      </c>
      <c r="B1294" t="n">
        <v>182</v>
      </c>
      <c r="C1294" t="inlineStr">
        <is>
          <t>Love - Shibari - Kamino</t>
        </is>
      </c>
      <c r="D1294" t="n">
        <v>128</v>
      </c>
      <c r="E1294" t="inlineStr">
        <is>
          <t>Love Cabaret</t>
        </is>
      </c>
      <c r="F1294" s="27" t="n">
        <v>45901</v>
      </c>
      <c r="G1294" t="inlineStr">
        <is>
          <t>DEBITO</t>
        </is>
      </c>
      <c r="H1294" t="inlineStr">
        <is>
          <t>Dtk Comercio de Alimentos Ltda Epp</t>
        </is>
      </c>
      <c r="I1294" t="n">
        <v>-236.6</v>
      </c>
    </row>
    <row r="1295">
      <c r="A1295" t="n">
        <v>157137</v>
      </c>
      <c r="B1295" t="n">
        <v>182</v>
      </c>
      <c r="C1295" t="inlineStr">
        <is>
          <t>Love - Shibari - Kamino</t>
        </is>
      </c>
      <c r="D1295" t="n">
        <v>128</v>
      </c>
      <c r="E1295" t="inlineStr">
        <is>
          <t>Love Cabaret</t>
        </is>
      </c>
      <c r="F1295" s="27" t="n">
        <v>45901</v>
      </c>
      <c r="G1295" t="inlineStr">
        <is>
          <t>DEBITO</t>
        </is>
      </c>
      <c r="H1295" t="inlineStr">
        <is>
          <t>Porco Feliz com Carnes Ltda Me</t>
        </is>
      </c>
      <c r="I1295" t="n">
        <v>-267.46</v>
      </c>
    </row>
    <row r="1296">
      <c r="A1296" t="n">
        <v>157138</v>
      </c>
      <c r="B1296" t="n">
        <v>182</v>
      </c>
      <c r="C1296" t="inlineStr">
        <is>
          <t>Love - Shibari - Kamino</t>
        </is>
      </c>
      <c r="D1296" t="n">
        <v>128</v>
      </c>
      <c r="E1296" t="inlineStr">
        <is>
          <t>Love Cabaret</t>
        </is>
      </c>
      <c r="F1296" s="27" t="n">
        <v>45901</v>
      </c>
      <c r="G1296" t="inlineStr">
        <is>
          <t>DEBITO</t>
        </is>
      </c>
      <c r="H1296" t="inlineStr">
        <is>
          <t>Laticinios Fior D Italia Ltda</t>
        </is>
      </c>
      <c r="I1296" t="n">
        <v>-326.75</v>
      </c>
    </row>
    <row r="1297">
      <c r="A1297" t="n">
        <v>157139</v>
      </c>
      <c r="B1297" t="n">
        <v>182</v>
      </c>
      <c r="C1297" t="inlineStr">
        <is>
          <t>Love - Shibari - Kamino</t>
        </is>
      </c>
      <c r="D1297" t="n">
        <v>128</v>
      </c>
      <c r="E1297" t="inlineStr">
        <is>
          <t>Love Cabaret</t>
        </is>
      </c>
      <c r="F1297" s="27" t="n">
        <v>45901</v>
      </c>
      <c r="G1297" t="inlineStr">
        <is>
          <t>DEBITO</t>
        </is>
      </c>
      <c r="H1297" t="inlineStr">
        <is>
          <t>Wide Stock com e Rep Ltda</t>
        </is>
      </c>
      <c r="I1297" t="n">
        <v>-461.1</v>
      </c>
    </row>
    <row r="1298">
      <c r="A1298" t="n">
        <v>157140</v>
      </c>
      <c r="B1298" t="n">
        <v>182</v>
      </c>
      <c r="C1298" t="inlineStr">
        <is>
          <t>Love - Shibari - Kamino</t>
        </is>
      </c>
      <c r="D1298" t="n">
        <v>128</v>
      </c>
      <c r="E1298" t="inlineStr">
        <is>
          <t>Love Cabaret</t>
        </is>
      </c>
      <c r="F1298" s="27" t="n">
        <v>45901</v>
      </c>
      <c r="G1298" t="inlineStr">
        <is>
          <t>DEBITO</t>
        </is>
      </c>
      <c r="H1298" t="inlineStr">
        <is>
          <t>Dtk Comercio de Alimentos Ltda Epp</t>
        </is>
      </c>
      <c r="I1298" t="n">
        <v>-523.02</v>
      </c>
    </row>
    <row r="1299">
      <c r="A1299" t="n">
        <v>157141</v>
      </c>
      <c r="B1299" t="n">
        <v>182</v>
      </c>
      <c r="C1299" t="inlineStr">
        <is>
          <t>Love - Shibari - Kamino</t>
        </is>
      </c>
      <c r="D1299" t="n">
        <v>128</v>
      </c>
      <c r="E1299" t="inlineStr">
        <is>
          <t>Love Cabaret</t>
        </is>
      </c>
      <c r="F1299" s="27" t="n">
        <v>45901</v>
      </c>
      <c r="G1299" t="inlineStr">
        <is>
          <t>DEBITO</t>
        </is>
      </c>
      <c r="H1299" t="inlineStr">
        <is>
          <t>Gomes D Elia Equipamentos de H</t>
        </is>
      </c>
      <c r="I1299" t="n">
        <v>-389.5</v>
      </c>
    </row>
    <row r="1300">
      <c r="A1300" t="n">
        <v>157127</v>
      </c>
      <c r="B1300" t="n">
        <v>182</v>
      </c>
      <c r="C1300" t="inlineStr">
        <is>
          <t>Love - Shibari - Kamino</t>
        </is>
      </c>
      <c r="D1300" t="n">
        <v>128</v>
      </c>
      <c r="E1300" t="inlineStr">
        <is>
          <t>Love Cabaret</t>
        </is>
      </c>
      <c r="F1300" s="27" t="n">
        <v>45901</v>
      </c>
      <c r="G1300" t="inlineStr">
        <is>
          <t>CREDITO</t>
        </is>
      </c>
      <c r="H1300" t="inlineStr">
        <is>
          <t>SHIBARI ART E DIVERSAO LTDA</t>
        </is>
      </c>
      <c r="I1300" t="n">
        <v>90000</v>
      </c>
    </row>
    <row r="1301">
      <c r="A1301" t="n">
        <v>157135</v>
      </c>
      <c r="B1301" t="n">
        <v>182</v>
      </c>
      <c r="C1301" t="inlineStr">
        <is>
          <t>Love - Shibari - Kamino</t>
        </is>
      </c>
      <c r="D1301" t="n">
        <v>128</v>
      </c>
      <c r="E1301" t="inlineStr">
        <is>
          <t>Love Cabaret</t>
        </is>
      </c>
      <c r="F1301" s="27" t="n">
        <v>45901</v>
      </c>
      <c r="G1301" t="inlineStr">
        <is>
          <t>DEBITO</t>
        </is>
      </c>
      <c r="H1301" t="inlineStr">
        <is>
          <t>Comercial Dede</t>
        </is>
      </c>
      <c r="I1301" t="n">
        <v>-509.04</v>
      </c>
    </row>
    <row r="1302">
      <c r="A1302" t="n">
        <v>157134</v>
      </c>
      <c r="B1302" t="n">
        <v>182</v>
      </c>
      <c r="C1302" t="inlineStr">
        <is>
          <t>Love - Shibari - Kamino</t>
        </is>
      </c>
      <c r="D1302" t="n">
        <v>128</v>
      </c>
      <c r="E1302" t="inlineStr">
        <is>
          <t>Love Cabaret</t>
        </is>
      </c>
      <c r="F1302" s="27" t="n">
        <v>45901</v>
      </c>
      <c r="G1302" t="inlineStr">
        <is>
          <t>DEBITO</t>
        </is>
      </c>
      <c r="H1302" t="inlineStr">
        <is>
          <t>Agencia Bioma</t>
        </is>
      </c>
      <c r="I1302" t="n">
        <v>-8000</v>
      </c>
    </row>
    <row r="1303">
      <c r="A1303" t="n">
        <v>157133</v>
      </c>
      <c r="B1303" t="n">
        <v>182</v>
      </c>
      <c r="C1303" t="inlineStr">
        <is>
          <t>Love - Shibari - Kamino</t>
        </is>
      </c>
      <c r="D1303" t="n">
        <v>128</v>
      </c>
      <c r="E1303" t="inlineStr">
        <is>
          <t>Love Cabaret</t>
        </is>
      </c>
      <c r="F1303" s="27" t="n">
        <v>45901</v>
      </c>
      <c r="G1303" t="inlineStr">
        <is>
          <t>DEBITO</t>
        </is>
      </c>
      <c r="H1303" t="inlineStr">
        <is>
          <t>Queijaria Atalaia Ltda</t>
        </is>
      </c>
      <c r="I1303" t="n">
        <v>-228.75</v>
      </c>
    </row>
    <row r="1304">
      <c r="A1304" t="n">
        <v>157132</v>
      </c>
      <c r="B1304" t="n">
        <v>182</v>
      </c>
      <c r="C1304" t="inlineStr">
        <is>
          <t>Love - Shibari - Kamino</t>
        </is>
      </c>
      <c r="D1304" t="n">
        <v>128</v>
      </c>
      <c r="E1304" t="inlineStr">
        <is>
          <t>Love Cabaret</t>
        </is>
      </c>
      <c r="F1304" s="27" t="n">
        <v>45901</v>
      </c>
      <c r="G1304" t="inlineStr">
        <is>
          <t>DEBITO</t>
        </is>
      </c>
      <c r="H1304" t="inlineStr">
        <is>
          <t>Pagcerto Instituicao de Pagamento L</t>
        </is>
      </c>
      <c r="I1304" t="n">
        <v>-165</v>
      </c>
    </row>
    <row r="1305">
      <c r="A1305" t="n">
        <v>157131</v>
      </c>
      <c r="B1305" t="n">
        <v>182</v>
      </c>
      <c r="C1305" t="inlineStr">
        <is>
          <t>Love - Shibari - Kamino</t>
        </is>
      </c>
      <c r="D1305" t="n">
        <v>128</v>
      </c>
      <c r="E1305" t="inlineStr">
        <is>
          <t>Love Cabaret</t>
        </is>
      </c>
      <c r="F1305" s="27" t="n">
        <v>45901</v>
      </c>
      <c r="G1305" t="inlineStr">
        <is>
          <t>DEBITO</t>
        </is>
      </c>
      <c r="H1305" t="inlineStr">
        <is>
          <t>Andreia Santos Freitas Duarte</t>
        </is>
      </c>
      <c r="I1305" t="n">
        <v>-234.38</v>
      </c>
    </row>
    <row r="1306">
      <c r="A1306" t="n">
        <v>157130</v>
      </c>
      <c r="B1306" t="n">
        <v>182</v>
      </c>
      <c r="C1306" t="inlineStr">
        <is>
          <t>Love - Shibari - Kamino</t>
        </is>
      </c>
      <c r="D1306" t="n">
        <v>128</v>
      </c>
      <c r="E1306" t="inlineStr">
        <is>
          <t>Love Cabaret</t>
        </is>
      </c>
      <c r="F1306" s="27" t="n">
        <v>45901</v>
      </c>
      <c r="G1306" t="inlineStr">
        <is>
          <t>DEBITO</t>
        </is>
      </c>
      <c r="H1306" t="inlineStr">
        <is>
          <t>Psss Ltda</t>
        </is>
      </c>
      <c r="I1306" t="n">
        <v>-329.4</v>
      </c>
    </row>
    <row r="1307">
      <c r="A1307" t="n">
        <v>157129</v>
      </c>
      <c r="B1307" t="n">
        <v>182</v>
      </c>
      <c r="C1307" t="inlineStr">
        <is>
          <t>Love - Shibari - Kamino</t>
        </is>
      </c>
      <c r="D1307" t="n">
        <v>128</v>
      </c>
      <c r="E1307" t="inlineStr">
        <is>
          <t>Love Cabaret</t>
        </is>
      </c>
      <c r="F1307" s="27" t="n">
        <v>45901</v>
      </c>
      <c r="G1307" t="inlineStr">
        <is>
          <t>DEBITO</t>
        </is>
      </c>
      <c r="H1307" t="inlineStr">
        <is>
          <t>55.214.822 Wagner da Silva Franca</t>
        </is>
      </c>
      <c r="I1307" t="n">
        <v>-2000</v>
      </c>
    </row>
    <row r="1308">
      <c r="A1308" t="n">
        <v>157128</v>
      </c>
      <c r="B1308" t="n">
        <v>182</v>
      </c>
      <c r="C1308" t="inlineStr">
        <is>
          <t>Love - Shibari - Kamino</t>
        </is>
      </c>
      <c r="D1308" t="n">
        <v>128</v>
      </c>
      <c r="E1308" t="inlineStr">
        <is>
          <t>Love Cabaret</t>
        </is>
      </c>
      <c r="F1308" s="27" t="n">
        <v>45901</v>
      </c>
      <c r="G1308" t="inlineStr">
        <is>
          <t>DEBITO</t>
        </is>
      </c>
      <c r="H1308" t="inlineStr">
        <is>
          <t>Felipe Ferreira Franca 36496185832</t>
        </is>
      </c>
      <c r="I1308" t="n">
        <v>-17.45</v>
      </c>
    </row>
    <row r="1309">
      <c r="A1309" t="n">
        <v>157144</v>
      </c>
      <c r="B1309" t="n">
        <v>182</v>
      </c>
      <c r="C1309" t="inlineStr">
        <is>
          <t>Love - Shibari - Kamino</t>
        </is>
      </c>
      <c r="D1309" t="n">
        <v>128</v>
      </c>
      <c r="E1309" t="inlineStr">
        <is>
          <t>Love Cabaret</t>
        </is>
      </c>
      <c r="F1309" s="27" t="n">
        <v>45901</v>
      </c>
      <c r="G1309" t="inlineStr">
        <is>
          <t>DEBITO</t>
        </is>
      </c>
      <c r="H1309" t="inlineStr">
        <is>
          <t>Aurora Alvorada Estacionamento e Lanchon</t>
        </is>
      </c>
      <c r="I1309" t="n">
        <v>-200.17</v>
      </c>
    </row>
    <row r="1310">
      <c r="A1310" t="n">
        <v>157145</v>
      </c>
      <c r="B1310" t="n">
        <v>182</v>
      </c>
      <c r="C1310" t="inlineStr">
        <is>
          <t>Love - Shibari - Kamino</t>
        </is>
      </c>
      <c r="D1310" t="n">
        <v>128</v>
      </c>
      <c r="E1310" t="inlineStr">
        <is>
          <t>Love Cabaret</t>
        </is>
      </c>
      <c r="F1310" s="27" t="n">
        <v>45901</v>
      </c>
      <c r="G1310" t="inlineStr">
        <is>
          <t>DEBITO</t>
        </is>
      </c>
      <c r="H1310" t="inlineStr">
        <is>
          <t>Fg7 Comercio D B Eireli Epp</t>
        </is>
      </c>
      <c r="I1310" t="n">
        <v>-288.33</v>
      </c>
    </row>
    <row r="1311">
      <c r="A1311" t="n">
        <v>157146</v>
      </c>
      <c r="B1311" t="n">
        <v>182</v>
      </c>
      <c r="C1311" t="inlineStr">
        <is>
          <t>Love - Shibari - Kamino</t>
        </is>
      </c>
      <c r="D1311" t="n">
        <v>128</v>
      </c>
      <c r="E1311" t="inlineStr">
        <is>
          <t>Love Cabaret</t>
        </is>
      </c>
      <c r="F1311" s="27" t="n">
        <v>45901</v>
      </c>
      <c r="G1311" t="inlineStr">
        <is>
          <t>DEBITO</t>
        </is>
      </c>
      <c r="H1311" t="inlineStr">
        <is>
          <t>Cecilia Tsuyaco Araki Silva Ltda</t>
        </is>
      </c>
      <c r="I1311" t="n">
        <v>-82.25</v>
      </c>
    </row>
    <row r="1312">
      <c r="A1312" t="n">
        <v>157147</v>
      </c>
      <c r="B1312" t="n">
        <v>182</v>
      </c>
      <c r="C1312" t="inlineStr">
        <is>
          <t>Love - Shibari - Kamino</t>
        </is>
      </c>
      <c r="D1312" t="n">
        <v>128</v>
      </c>
      <c r="E1312" t="inlineStr">
        <is>
          <t>Love Cabaret</t>
        </is>
      </c>
      <c r="F1312" s="27" t="n">
        <v>45901</v>
      </c>
      <c r="G1312" t="inlineStr">
        <is>
          <t>DEBITO</t>
        </is>
      </c>
      <c r="H1312" t="inlineStr">
        <is>
          <t>W P P C Carnes Eireli Epp</t>
        </is>
      </c>
      <c r="I1312" t="n">
        <v>-1155.06</v>
      </c>
    </row>
    <row r="1313">
      <c r="A1313" t="n">
        <v>157148</v>
      </c>
      <c r="B1313" t="n">
        <v>182</v>
      </c>
      <c r="C1313" t="inlineStr">
        <is>
          <t>Love - Shibari - Kamino</t>
        </is>
      </c>
      <c r="D1313" t="n">
        <v>128</v>
      </c>
      <c r="E1313" t="inlineStr">
        <is>
          <t>Love Cabaret</t>
        </is>
      </c>
      <c r="F1313" s="27" t="n">
        <v>45901</v>
      </c>
      <c r="G1313" t="inlineStr">
        <is>
          <t>DEBITO</t>
        </is>
      </c>
      <c r="H1313" t="inlineStr">
        <is>
          <t>Hnk Br Bebidas Ltda</t>
        </is>
      </c>
      <c r="I1313" t="n">
        <v>-4130.75</v>
      </c>
    </row>
    <row r="1314">
      <c r="A1314" t="n">
        <v>157149</v>
      </c>
      <c r="B1314" t="n">
        <v>182</v>
      </c>
      <c r="C1314" t="inlineStr">
        <is>
          <t>Love - Shibari - Kamino</t>
        </is>
      </c>
      <c r="D1314" t="n">
        <v>128</v>
      </c>
      <c r="E1314" t="inlineStr">
        <is>
          <t>Love Cabaret</t>
        </is>
      </c>
      <c r="F1314" s="27" t="n">
        <v>45901</v>
      </c>
      <c r="G1314" t="inlineStr">
        <is>
          <t>DEBITO</t>
        </is>
      </c>
      <c r="H1314" t="inlineStr">
        <is>
          <t>Stark Bank S.A.</t>
        </is>
      </c>
      <c r="I1314" t="n">
        <v>-49.75</v>
      </c>
    </row>
    <row r="1315">
      <c r="A1315" t="n">
        <v>157150</v>
      </c>
      <c r="B1315" t="n">
        <v>182</v>
      </c>
      <c r="C1315" t="inlineStr">
        <is>
          <t>Love - Shibari - Kamino</t>
        </is>
      </c>
      <c r="D1315" t="n">
        <v>128</v>
      </c>
      <c r="E1315" t="inlineStr">
        <is>
          <t>Love Cabaret</t>
        </is>
      </c>
      <c r="F1315" s="27" t="n">
        <v>45901</v>
      </c>
      <c r="G1315" t="inlineStr">
        <is>
          <t>DEBITO</t>
        </is>
      </c>
      <c r="H1315" t="inlineStr">
        <is>
          <t>Cem Engenharia da Manutencao Ltda</t>
        </is>
      </c>
      <c r="I1315" t="n">
        <v>-6617.19</v>
      </c>
    </row>
    <row r="1316">
      <c r="A1316" t="n">
        <v>157143</v>
      </c>
      <c r="B1316" t="n">
        <v>182</v>
      </c>
      <c r="C1316" t="inlineStr">
        <is>
          <t>Love - Shibari - Kamino</t>
        </is>
      </c>
      <c r="D1316" t="n">
        <v>128</v>
      </c>
      <c r="E1316" t="inlineStr">
        <is>
          <t>Love Cabaret</t>
        </is>
      </c>
      <c r="F1316" s="27" t="n">
        <v>45901</v>
      </c>
      <c r="G1316" t="inlineStr">
        <is>
          <t>DEBITO</t>
        </is>
      </c>
      <c r="H1316" t="inlineStr">
        <is>
          <t>Zahil Importadora Ltda</t>
        </is>
      </c>
      <c r="I1316" t="n">
        <v>-745.5599999999999</v>
      </c>
    </row>
    <row r="1317">
      <c r="A1317" t="n">
        <v>157094</v>
      </c>
      <c r="B1317" t="n">
        <v>115</v>
      </c>
      <c r="C1317" t="inlineStr">
        <is>
          <t>Love - Shibari - Bradesco</t>
        </is>
      </c>
      <c r="D1317" t="n">
        <v>128</v>
      </c>
      <c r="E1317" t="inlineStr">
        <is>
          <t>Love Cabaret</t>
        </is>
      </c>
      <c r="F1317" s="27" t="n">
        <v>45898.5</v>
      </c>
      <c r="G1317" t="inlineStr">
        <is>
          <t>DEBITO</t>
        </is>
      </c>
      <c r="H1317" t="inlineStr">
        <is>
          <t>PARCELAMENTO DE DARF PARCELAMENTO DE DARF-207024</t>
        </is>
      </c>
      <c r="I1317" t="n">
        <v>-20695.29</v>
      </c>
    </row>
    <row r="1318">
      <c r="A1318" t="n">
        <v>157090</v>
      </c>
      <c r="B1318" t="n">
        <v>115</v>
      </c>
      <c r="C1318" t="inlineStr">
        <is>
          <t>Love - Shibari - Bradesco</t>
        </is>
      </c>
      <c r="D1318" t="n">
        <v>128</v>
      </c>
      <c r="E1318" t="inlineStr">
        <is>
          <t>Love Cabaret</t>
        </is>
      </c>
      <c r="F1318" s="27" t="n">
        <v>45898.5</v>
      </c>
      <c r="G1318" t="inlineStr">
        <is>
          <t>CREDITO</t>
        </is>
      </c>
      <c r="H1318" t="inlineStr">
        <is>
          <t>TRANSFERENCIA PIX REM: GIOVANNA BELO DE PONT 29/08</t>
        </is>
      </c>
      <c r="I1318" t="n">
        <v>698</v>
      </c>
    </row>
    <row r="1319">
      <c r="A1319" t="n">
        <v>157091</v>
      </c>
      <c r="B1319" t="n">
        <v>115</v>
      </c>
      <c r="C1319" t="inlineStr">
        <is>
          <t>Love - Shibari - Bradesco</t>
        </is>
      </c>
      <c r="D1319" t="n">
        <v>128</v>
      </c>
      <c r="E1319" t="inlineStr">
        <is>
          <t>Love Cabaret</t>
        </is>
      </c>
      <c r="F1319" s="27" t="n">
        <v>45898.5</v>
      </c>
      <c r="G1319" t="inlineStr">
        <is>
          <t>CREDITO</t>
        </is>
      </c>
      <c r="H1319" t="inlineStr">
        <is>
          <t>TRANSFERENCIA PIX REM: Thaina Caroline dos S 29/08</t>
        </is>
      </c>
      <c r="I1319" t="n">
        <v>77.5</v>
      </c>
    </row>
    <row r="1320">
      <c r="A1320" t="n">
        <v>151366</v>
      </c>
      <c r="B1320" t="n">
        <v>182</v>
      </c>
      <c r="C1320" t="inlineStr">
        <is>
          <t>Love - Shibari - Kamino</t>
        </is>
      </c>
      <c r="D1320" t="n">
        <v>128</v>
      </c>
      <c r="E1320" t="inlineStr">
        <is>
          <t>Love Cabaret</t>
        </is>
      </c>
      <c r="F1320" s="27" t="n">
        <v>45897</v>
      </c>
      <c r="G1320" t="inlineStr">
        <is>
          <t>DEBITO</t>
        </is>
      </c>
      <c r="H1320" t="inlineStr">
        <is>
          <t>Tarifa Pix Enviado-PJ</t>
        </is>
      </c>
      <c r="I1320" t="n">
        <v>-0.5</v>
      </c>
    </row>
    <row r="1321">
      <c r="A1321" t="n">
        <v>151365</v>
      </c>
      <c r="B1321" t="n">
        <v>182</v>
      </c>
      <c r="C1321" t="inlineStr">
        <is>
          <t>Love - Shibari - Kamino</t>
        </is>
      </c>
      <c r="D1321" t="n">
        <v>128</v>
      </c>
      <c r="E1321" t="inlineStr">
        <is>
          <t>Love Cabaret</t>
        </is>
      </c>
      <c r="F1321" s="27" t="n">
        <v>45897</v>
      </c>
      <c r="G1321" t="inlineStr">
        <is>
          <t>DEBITO</t>
        </is>
      </c>
      <c r="H1321" t="inlineStr">
        <is>
          <t>GOOGLE BRASIL INTERNET LTDA.</t>
        </is>
      </c>
      <c r="I1321" t="n">
        <v>-1000</v>
      </c>
    </row>
    <row r="1322">
      <c r="A1322" t="n">
        <v>151263</v>
      </c>
      <c r="B1322" t="n">
        <v>115</v>
      </c>
      <c r="C1322" t="inlineStr">
        <is>
          <t>Love - Shibari - Bradesco</t>
        </is>
      </c>
      <c r="D1322" t="n">
        <v>128</v>
      </c>
      <c r="E1322" t="inlineStr">
        <is>
          <t>Love Cabaret</t>
        </is>
      </c>
      <c r="F1322" s="27" t="n">
        <v>45896.5</v>
      </c>
      <c r="G1322" t="inlineStr">
        <is>
          <t>DEBITO</t>
        </is>
      </c>
      <c r="H1322" t="inlineStr">
        <is>
          <t>TARIFA BANCARIA TRANSF PGTO PIX</t>
        </is>
      </c>
      <c r="I1322" t="n">
        <v>-9.800000000000001</v>
      </c>
    </row>
    <row r="1323">
      <c r="A1323" t="n">
        <v>151261</v>
      </c>
      <c r="B1323" t="n">
        <v>115</v>
      </c>
      <c r="C1323" t="inlineStr">
        <is>
          <t>Love - Shibari - Bradesco</t>
        </is>
      </c>
      <c r="D1323" t="n">
        <v>128</v>
      </c>
      <c r="E1323" t="inlineStr">
        <is>
          <t>Love Cabaret</t>
        </is>
      </c>
      <c r="F1323" s="27" t="n">
        <v>45896.5</v>
      </c>
      <c r="G1323" t="inlineStr">
        <is>
          <t>CREDITO</t>
        </is>
      </c>
      <c r="H1323" t="inlineStr">
        <is>
          <t>TED-TRANSF ELET DISPON REMET.SYMPLA INTERNET SOLU</t>
        </is>
      </c>
      <c r="I1323" t="n">
        <v>8276.75</v>
      </c>
    </row>
    <row r="1324">
      <c r="A1324" t="n">
        <v>151262</v>
      </c>
      <c r="B1324" t="n">
        <v>115</v>
      </c>
      <c r="C1324" t="inlineStr">
        <is>
          <t>Love - Shibari - Bradesco</t>
        </is>
      </c>
      <c r="D1324" t="n">
        <v>128</v>
      </c>
      <c r="E1324" t="inlineStr">
        <is>
          <t>Love Cabaret</t>
        </is>
      </c>
      <c r="F1324" s="27" t="n">
        <v>45896.5</v>
      </c>
      <c r="G1324" t="inlineStr">
        <is>
          <t>CREDITO</t>
        </is>
      </c>
      <c r="H1324" t="inlineStr">
        <is>
          <t>TED-TRANSF ELET DISPON REMET.SYMPLA INTERNET SOLU</t>
        </is>
      </c>
      <c r="I1324" t="n">
        <v>13435</v>
      </c>
    </row>
    <row r="1325">
      <c r="A1325" t="n">
        <v>151348</v>
      </c>
      <c r="B1325" t="n">
        <v>182</v>
      </c>
      <c r="C1325" t="inlineStr">
        <is>
          <t>Love - Shibari - Kamino</t>
        </is>
      </c>
      <c r="D1325" t="n">
        <v>128</v>
      </c>
      <c r="E1325" t="inlineStr">
        <is>
          <t>Love Cabaret</t>
        </is>
      </c>
      <c r="F1325" s="27" t="n">
        <v>45896</v>
      </c>
      <c r="G1325" t="inlineStr">
        <is>
          <t>DEBITO</t>
        </is>
      </c>
      <c r="H1325" t="inlineStr">
        <is>
          <t>Receita Federal</t>
        </is>
      </c>
      <c r="I1325" t="n">
        <v>-1010.3</v>
      </c>
    </row>
    <row r="1326">
      <c r="A1326" t="n">
        <v>151362</v>
      </c>
      <c r="B1326" t="n">
        <v>182</v>
      </c>
      <c r="C1326" t="inlineStr">
        <is>
          <t>Love - Shibari - Kamino</t>
        </is>
      </c>
      <c r="D1326" t="n">
        <v>128</v>
      </c>
      <c r="E1326" t="inlineStr">
        <is>
          <t>Love Cabaret</t>
        </is>
      </c>
      <c r="F1326" s="27" t="n">
        <v>45896</v>
      </c>
      <c r="G1326" t="inlineStr">
        <is>
          <t>DEBITO</t>
        </is>
      </c>
      <c r="H1326" t="inlineStr">
        <is>
          <t>Hortifrutigranjeiro Rodrigues</t>
        </is>
      </c>
      <c r="I1326" t="n">
        <v>-154.4</v>
      </c>
    </row>
    <row r="1327">
      <c r="A1327" t="n">
        <v>151361</v>
      </c>
      <c r="B1327" t="n">
        <v>182</v>
      </c>
      <c r="C1327" t="inlineStr">
        <is>
          <t>Love - Shibari - Kamino</t>
        </is>
      </c>
      <c r="D1327" t="n">
        <v>128</v>
      </c>
      <c r="E1327" t="inlineStr">
        <is>
          <t>Love Cabaret</t>
        </is>
      </c>
      <c r="F1327" s="27" t="n">
        <v>45896</v>
      </c>
      <c r="G1327" t="inlineStr">
        <is>
          <t>DEBITO</t>
        </is>
      </c>
      <c r="H1327" t="inlineStr">
        <is>
          <t>King Comercio de Bebidas Ltda</t>
        </is>
      </c>
      <c r="I1327" t="n">
        <v>-8931.24</v>
      </c>
    </row>
    <row r="1328">
      <c r="A1328" t="n">
        <v>151360</v>
      </c>
      <c r="B1328" t="n">
        <v>182</v>
      </c>
      <c r="C1328" t="inlineStr">
        <is>
          <t>Love - Shibari - Kamino</t>
        </is>
      </c>
      <c r="D1328" t="n">
        <v>128</v>
      </c>
      <c r="E1328" t="inlineStr">
        <is>
          <t>Love Cabaret</t>
        </is>
      </c>
      <c r="F1328" s="27" t="n">
        <v>45896</v>
      </c>
      <c r="G1328" t="inlineStr">
        <is>
          <t>DEBITO</t>
        </is>
      </c>
      <c r="H1328" t="inlineStr">
        <is>
          <t>Sao Paulo Transporte Sa</t>
        </is>
      </c>
      <c r="I1328" t="n">
        <v>-922.13</v>
      </c>
    </row>
    <row r="1329">
      <c r="A1329" t="n">
        <v>151359</v>
      </c>
      <c r="B1329" t="n">
        <v>182</v>
      </c>
      <c r="C1329" t="inlineStr">
        <is>
          <t>Love - Shibari - Kamino</t>
        </is>
      </c>
      <c r="D1329" t="n">
        <v>128</v>
      </c>
      <c r="E1329" t="inlineStr">
        <is>
          <t>Love Cabaret</t>
        </is>
      </c>
      <c r="F1329" s="27" t="n">
        <v>45896</v>
      </c>
      <c r="G1329" t="inlineStr">
        <is>
          <t>DEBITO</t>
        </is>
      </c>
      <c r="H1329" t="inlineStr">
        <is>
          <t>Felipe Ferreira Franca 36496185832</t>
        </is>
      </c>
      <c r="I1329" t="n">
        <v>-187.88</v>
      </c>
    </row>
    <row r="1330">
      <c r="A1330" t="n">
        <v>151358</v>
      </c>
      <c r="B1330" t="n">
        <v>182</v>
      </c>
      <c r="C1330" t="inlineStr">
        <is>
          <t>Love - Shibari - Kamino</t>
        </is>
      </c>
      <c r="D1330" t="n">
        <v>128</v>
      </c>
      <c r="E1330" t="inlineStr">
        <is>
          <t>Love Cabaret</t>
        </is>
      </c>
      <c r="F1330" s="27" t="n">
        <v>45896</v>
      </c>
      <c r="G1330" t="inlineStr">
        <is>
          <t>DEBITO</t>
        </is>
      </c>
      <c r="H1330" t="inlineStr">
        <is>
          <t>Cecilia Tsuyaco Araki Silva Ltda</t>
        </is>
      </c>
      <c r="I1330" t="n">
        <v>-237.6</v>
      </c>
    </row>
    <row r="1331">
      <c r="A1331" t="n">
        <v>151357</v>
      </c>
      <c r="B1331" t="n">
        <v>182</v>
      </c>
      <c r="C1331" t="inlineStr">
        <is>
          <t>Love - Shibari - Kamino</t>
        </is>
      </c>
      <c r="D1331" t="n">
        <v>128</v>
      </c>
      <c r="E1331" t="inlineStr">
        <is>
          <t>Love Cabaret</t>
        </is>
      </c>
      <c r="F1331" s="27" t="n">
        <v>45896</v>
      </c>
      <c r="G1331" t="inlineStr">
        <is>
          <t>DEBITO</t>
        </is>
      </c>
      <c r="H1331" t="inlineStr">
        <is>
          <t>Estaff Solucoes Tecnologicas de Agenciam</t>
        </is>
      </c>
      <c r="I1331" t="n">
        <v>-13675.91</v>
      </c>
    </row>
    <row r="1332">
      <c r="A1332" t="n">
        <v>151356</v>
      </c>
      <c r="B1332" t="n">
        <v>182</v>
      </c>
      <c r="C1332" t="inlineStr">
        <is>
          <t>Love - Shibari - Kamino</t>
        </is>
      </c>
      <c r="D1332" t="n">
        <v>128</v>
      </c>
      <c r="E1332" t="inlineStr">
        <is>
          <t>Love Cabaret</t>
        </is>
      </c>
      <c r="F1332" s="27" t="n">
        <v>45896</v>
      </c>
      <c r="G1332" t="inlineStr">
        <is>
          <t>DEBITO</t>
        </is>
      </c>
      <c r="H1332" t="inlineStr">
        <is>
          <t>Cia do Whisky</t>
        </is>
      </c>
      <c r="I1332" t="n">
        <v>-1593</v>
      </c>
    </row>
    <row r="1333">
      <c r="A1333" t="n">
        <v>151363</v>
      </c>
      <c r="B1333" t="n">
        <v>182</v>
      </c>
      <c r="C1333" t="inlineStr">
        <is>
          <t>Love - Shibari - Kamino</t>
        </is>
      </c>
      <c r="D1333" t="n">
        <v>128</v>
      </c>
      <c r="E1333" t="inlineStr">
        <is>
          <t>Love Cabaret</t>
        </is>
      </c>
      <c r="F1333" s="27" t="n">
        <v>45896</v>
      </c>
      <c r="G1333" t="inlineStr">
        <is>
          <t>DEBITO</t>
        </is>
      </c>
      <c r="H1333" t="inlineStr">
        <is>
          <t>Macro Contabilidade C Ltda</t>
        </is>
      </c>
      <c r="I1333" t="n">
        <v>-3205.54</v>
      </c>
    </row>
    <row r="1334">
      <c r="A1334" t="n">
        <v>151349</v>
      </c>
      <c r="B1334" t="n">
        <v>182</v>
      </c>
      <c r="C1334" t="inlineStr">
        <is>
          <t>Love - Shibari - Kamino</t>
        </is>
      </c>
      <c r="D1334" t="n">
        <v>128</v>
      </c>
      <c r="E1334" t="inlineStr">
        <is>
          <t>Love Cabaret</t>
        </is>
      </c>
      <c r="F1334" s="27" t="n">
        <v>45896</v>
      </c>
      <c r="G1334" t="inlineStr">
        <is>
          <t>DEBITO</t>
        </is>
      </c>
      <c r="H1334" t="inlineStr">
        <is>
          <t>Receita Federal</t>
        </is>
      </c>
      <c r="I1334" t="n">
        <v>-615.8099999999999</v>
      </c>
    </row>
    <row r="1335">
      <c r="A1335" t="n">
        <v>151350</v>
      </c>
      <c r="B1335" t="n">
        <v>182</v>
      </c>
      <c r="C1335" t="inlineStr">
        <is>
          <t>Love - Shibari - Kamino</t>
        </is>
      </c>
      <c r="D1335" t="n">
        <v>128</v>
      </c>
      <c r="E1335" t="inlineStr">
        <is>
          <t>Love Cabaret</t>
        </is>
      </c>
      <c r="F1335" s="27" t="n">
        <v>45896</v>
      </c>
      <c r="G1335" t="inlineStr">
        <is>
          <t>DEBITO</t>
        </is>
      </c>
      <c r="H1335" t="inlineStr">
        <is>
          <t>Receita Federal</t>
        </is>
      </c>
      <c r="I1335" t="n">
        <v>-806.47</v>
      </c>
    </row>
    <row r="1336">
      <c r="A1336" t="n">
        <v>151351</v>
      </c>
      <c r="B1336" t="n">
        <v>182</v>
      </c>
      <c r="C1336" t="inlineStr">
        <is>
          <t>Love - Shibari - Kamino</t>
        </is>
      </c>
      <c r="D1336" t="n">
        <v>128</v>
      </c>
      <c r="E1336" t="inlineStr">
        <is>
          <t>Love Cabaret</t>
        </is>
      </c>
      <c r="F1336" s="27" t="n">
        <v>45896</v>
      </c>
      <c r="G1336" t="inlineStr">
        <is>
          <t>DEBITO</t>
        </is>
      </c>
      <c r="H1336" t="inlineStr">
        <is>
          <t>Psss Ltda</t>
        </is>
      </c>
      <c r="I1336" t="n">
        <v>-806.2</v>
      </c>
    </row>
    <row r="1337">
      <c r="A1337" t="n">
        <v>151352</v>
      </c>
      <c r="B1337" t="n">
        <v>182</v>
      </c>
      <c r="C1337" t="inlineStr">
        <is>
          <t>Love - Shibari - Kamino</t>
        </is>
      </c>
      <c r="D1337" t="n">
        <v>128</v>
      </c>
      <c r="E1337" t="inlineStr">
        <is>
          <t>Love Cabaret</t>
        </is>
      </c>
      <c r="F1337" s="27" t="n">
        <v>45896</v>
      </c>
      <c r="G1337" t="inlineStr">
        <is>
          <t>DEBITO</t>
        </is>
      </c>
      <c r="H1337" t="inlineStr">
        <is>
          <t>Receita Federal</t>
        </is>
      </c>
      <c r="I1337" t="n">
        <v>-592.46</v>
      </c>
    </row>
    <row r="1338">
      <c r="A1338" t="n">
        <v>151353</v>
      </c>
      <c r="B1338" t="n">
        <v>182</v>
      </c>
      <c r="C1338" t="inlineStr">
        <is>
          <t>Love - Shibari - Kamino</t>
        </is>
      </c>
      <c r="D1338" t="n">
        <v>128</v>
      </c>
      <c r="E1338" t="inlineStr">
        <is>
          <t>Love Cabaret</t>
        </is>
      </c>
      <c r="F1338" s="27" t="n">
        <v>45896</v>
      </c>
      <c r="G1338" t="inlineStr">
        <is>
          <t>DEBITO</t>
        </is>
      </c>
      <c r="H1338" t="inlineStr">
        <is>
          <t>Psss Ltda</t>
        </is>
      </c>
      <c r="I1338" t="n">
        <v>-308.54</v>
      </c>
    </row>
    <row r="1339">
      <c r="A1339" t="n">
        <v>151355</v>
      </c>
      <c r="B1339" t="n">
        <v>182</v>
      </c>
      <c r="C1339" t="inlineStr">
        <is>
          <t>Love - Shibari - Kamino</t>
        </is>
      </c>
      <c r="D1339" t="n">
        <v>128</v>
      </c>
      <c r="E1339" t="inlineStr">
        <is>
          <t>Love Cabaret</t>
        </is>
      </c>
      <c r="F1339" s="27" t="n">
        <v>45896</v>
      </c>
      <c r="G1339" t="inlineStr">
        <is>
          <t>DEBITO</t>
        </is>
      </c>
      <c r="H1339" t="inlineStr">
        <is>
          <t>Cia do Whisky</t>
        </is>
      </c>
      <c r="I1339" t="n">
        <v>-655.8</v>
      </c>
    </row>
    <row r="1340">
      <c r="A1340" t="n">
        <v>151354</v>
      </c>
      <c r="B1340" t="n">
        <v>182</v>
      </c>
      <c r="C1340" t="inlineStr">
        <is>
          <t>Love - Shibari - Kamino</t>
        </is>
      </c>
      <c r="D1340" t="n">
        <v>128</v>
      </c>
      <c r="E1340" t="inlineStr">
        <is>
          <t>Love Cabaret</t>
        </is>
      </c>
      <c r="F1340" s="27" t="n">
        <v>45896</v>
      </c>
      <c r="G1340" t="inlineStr">
        <is>
          <t>DEBITO</t>
        </is>
      </c>
      <c r="H1340" t="inlineStr">
        <is>
          <t>Flavio Rodrigues de Moura</t>
        </is>
      </c>
      <c r="I1340" t="n">
        <v>-1500</v>
      </c>
    </row>
    <row r="1341">
      <c r="A1341" t="n">
        <v>151364</v>
      </c>
      <c r="B1341" t="n">
        <v>182</v>
      </c>
      <c r="C1341" t="inlineStr">
        <is>
          <t>Love - Shibari - Kamino</t>
        </is>
      </c>
      <c r="D1341" t="n">
        <v>128</v>
      </c>
      <c r="E1341" t="inlineStr">
        <is>
          <t>Love Cabaret</t>
        </is>
      </c>
      <c r="F1341" s="27" t="n">
        <v>45896</v>
      </c>
      <c r="G1341" t="inlineStr">
        <is>
          <t>DEBITO</t>
        </is>
      </c>
      <c r="H1341" t="inlineStr">
        <is>
          <t>Ice4pros Fabrica de Gelo Ltda</t>
        </is>
      </c>
      <c r="I1341" t="n">
        <v>-563.5</v>
      </c>
    </row>
    <row r="1342">
      <c r="A1342" t="n">
        <v>151346</v>
      </c>
      <c r="B1342" t="n">
        <v>182</v>
      </c>
      <c r="C1342" t="inlineStr">
        <is>
          <t>Love - Shibari - Kamino</t>
        </is>
      </c>
      <c r="D1342" t="n">
        <v>128</v>
      </c>
      <c r="E1342" t="inlineStr">
        <is>
          <t>Love Cabaret</t>
        </is>
      </c>
      <c r="F1342" s="27" t="n">
        <v>45896</v>
      </c>
      <c r="G1342" t="inlineStr">
        <is>
          <t>DEBITO</t>
        </is>
      </c>
      <c r="H1342" t="inlineStr">
        <is>
          <t>Receita Federal</t>
        </is>
      </c>
      <c r="I1342" t="n">
        <v>-21027.94</v>
      </c>
    </row>
    <row r="1343">
      <c r="A1343" t="n">
        <v>151347</v>
      </c>
      <c r="B1343" t="n">
        <v>182</v>
      </c>
      <c r="C1343" t="inlineStr">
        <is>
          <t>Love - Shibari - Kamino</t>
        </is>
      </c>
      <c r="D1343" t="n">
        <v>128</v>
      </c>
      <c r="E1343" t="inlineStr">
        <is>
          <t>Love Cabaret</t>
        </is>
      </c>
      <c r="F1343" s="27" t="n">
        <v>45896</v>
      </c>
      <c r="G1343" t="inlineStr">
        <is>
          <t>DEBITO</t>
        </is>
      </c>
      <c r="H1343" t="inlineStr">
        <is>
          <t>Receita Federal</t>
        </is>
      </c>
      <c r="I1343" t="n">
        <v>-1964.3</v>
      </c>
    </row>
    <row r="1344">
      <c r="A1344" t="n">
        <v>151257</v>
      </c>
      <c r="B1344" t="n">
        <v>115</v>
      </c>
      <c r="C1344" t="inlineStr">
        <is>
          <t>Love - Shibari - Bradesco</t>
        </is>
      </c>
      <c r="D1344" t="n">
        <v>128</v>
      </c>
      <c r="E1344" t="inlineStr">
        <is>
          <t>Love Cabaret</t>
        </is>
      </c>
      <c r="F1344" s="27" t="n">
        <v>45895.5</v>
      </c>
      <c r="G1344" t="inlineStr">
        <is>
          <t>CREDITO</t>
        </is>
      </c>
      <c r="H1344" t="inlineStr">
        <is>
          <t>DEPOSITO C/CORRENTE-BDN AG00545MAQ034935SEQ05551</t>
        </is>
      </c>
      <c r="I1344" t="n">
        <v>1350</v>
      </c>
    </row>
    <row r="1345">
      <c r="A1345" t="n">
        <v>151258</v>
      </c>
      <c r="B1345" t="n">
        <v>115</v>
      </c>
      <c r="C1345" t="inlineStr">
        <is>
          <t>Love - Shibari - Bradesco</t>
        </is>
      </c>
      <c r="D1345" t="n">
        <v>128</v>
      </c>
      <c r="E1345" t="inlineStr">
        <is>
          <t>Love Cabaret</t>
        </is>
      </c>
      <c r="F1345" s="27" t="n">
        <v>45895.5</v>
      </c>
      <c r="G1345" t="inlineStr">
        <is>
          <t>CREDITO</t>
        </is>
      </c>
      <c r="H1345" t="inlineStr">
        <is>
          <t>TRANSFERENCIA PIX REM: Zig Tecnologia S.A.   26/08</t>
        </is>
      </c>
      <c r="I1345" t="n">
        <v>18695.93</v>
      </c>
    </row>
    <row r="1346">
      <c r="A1346" t="n">
        <v>151259</v>
      </c>
      <c r="B1346" t="n">
        <v>115</v>
      </c>
      <c r="C1346" t="inlineStr">
        <is>
          <t>Love - Shibari - Bradesco</t>
        </is>
      </c>
      <c r="D1346" t="n">
        <v>128</v>
      </c>
      <c r="E1346" t="inlineStr">
        <is>
          <t>Love Cabaret</t>
        </is>
      </c>
      <c r="F1346" s="27" t="n">
        <v>45895.5</v>
      </c>
      <c r="G1346" t="inlineStr">
        <is>
          <t>CREDITO</t>
        </is>
      </c>
      <c r="H1346" t="inlineStr">
        <is>
          <t>DEP DINHEIRO ATM ESPECIE</t>
        </is>
      </c>
      <c r="I1346" t="n">
        <v>991</v>
      </c>
    </row>
    <row r="1347">
      <c r="A1347" t="n">
        <v>151260</v>
      </c>
      <c r="B1347" t="n">
        <v>115</v>
      </c>
      <c r="C1347" t="inlineStr">
        <is>
          <t>Love - Shibari - Bradesco</t>
        </is>
      </c>
      <c r="D1347" t="n">
        <v>128</v>
      </c>
      <c r="E1347" t="inlineStr">
        <is>
          <t>Love Cabaret</t>
        </is>
      </c>
      <c r="F1347" s="27" t="n">
        <v>45895.5</v>
      </c>
      <c r="G1347" t="inlineStr">
        <is>
          <t>DEBITO</t>
        </is>
      </c>
      <c r="H1347" t="inlineStr">
        <is>
          <t>ESTORNO DE DEPOSITO-BDN CONTEUDO DO ENVELOPE A MENOR</t>
        </is>
      </c>
      <c r="I1347" t="n">
        <v>-1350</v>
      </c>
    </row>
    <row r="1348">
      <c r="A1348" t="n">
        <v>151246</v>
      </c>
      <c r="B1348" t="n">
        <v>115</v>
      </c>
      <c r="C1348" t="inlineStr">
        <is>
          <t>Love - Shibari - Bradesco</t>
        </is>
      </c>
      <c r="D1348" t="n">
        <v>128</v>
      </c>
      <c r="E1348" t="inlineStr">
        <is>
          <t>Love Cabaret</t>
        </is>
      </c>
      <c r="F1348" s="27" t="n">
        <v>45894.5</v>
      </c>
      <c r="G1348" t="inlineStr">
        <is>
          <t>CREDITO</t>
        </is>
      </c>
      <c r="H1348" t="inlineStr">
        <is>
          <t>TRANSFERENCIA PIX REM: Zig Tecnologia S.A.   25/08</t>
        </is>
      </c>
      <c r="I1348" t="n">
        <v>45976.08</v>
      </c>
    </row>
    <row r="1349">
      <c r="A1349" t="n">
        <v>151247</v>
      </c>
      <c r="B1349" t="n">
        <v>115</v>
      </c>
      <c r="C1349" t="inlineStr">
        <is>
          <t>Love - Shibari - Bradesco</t>
        </is>
      </c>
      <c r="D1349" t="n">
        <v>128</v>
      </c>
      <c r="E1349" t="inlineStr">
        <is>
          <t>Love Cabaret</t>
        </is>
      </c>
      <c r="F1349" s="27" t="n">
        <v>45894.5</v>
      </c>
      <c r="G1349" t="inlineStr">
        <is>
          <t>CREDITO</t>
        </is>
      </c>
      <c r="H1349" t="inlineStr">
        <is>
          <t>TRANSFERENCIA PIX REM: THAINA CAROLINE DOS S 25/08</t>
        </is>
      </c>
      <c r="I1349" t="n">
        <v>77.5</v>
      </c>
    </row>
    <row r="1350">
      <c r="A1350" t="n">
        <v>151248</v>
      </c>
      <c r="B1350" t="n">
        <v>115</v>
      </c>
      <c r="C1350" t="inlineStr">
        <is>
          <t>Love - Shibari - Bradesco</t>
        </is>
      </c>
      <c r="D1350" t="n">
        <v>128</v>
      </c>
      <c r="E1350" t="inlineStr">
        <is>
          <t>Love Cabaret</t>
        </is>
      </c>
      <c r="F1350" s="27" t="n">
        <v>45894.5</v>
      </c>
      <c r="G1350" t="inlineStr">
        <is>
          <t>CREDITO</t>
        </is>
      </c>
      <c r="H1350" t="inlineStr">
        <is>
          <t>TRANSFERENCIA PIX REM: ANETE WEBER SCHUCHMAN 25/08</t>
        </is>
      </c>
      <c r="I1350" t="n">
        <v>620</v>
      </c>
    </row>
    <row r="1351">
      <c r="A1351" t="n">
        <v>151249</v>
      </c>
      <c r="B1351" t="n">
        <v>115</v>
      </c>
      <c r="C1351" t="inlineStr">
        <is>
          <t>Love - Shibari - Bradesco</t>
        </is>
      </c>
      <c r="D1351" t="n">
        <v>128</v>
      </c>
      <c r="E1351" t="inlineStr">
        <is>
          <t>Love Cabaret</t>
        </is>
      </c>
      <c r="F1351" s="27" t="n">
        <v>45894.5</v>
      </c>
      <c r="G1351" t="inlineStr">
        <is>
          <t>CREDITO</t>
        </is>
      </c>
      <c r="H1351" t="inlineStr">
        <is>
          <t>TRANSFERENCIA PIX REM: Letcia Picolo Masago 23/08</t>
        </is>
      </c>
      <c r="I1351" t="n">
        <v>620</v>
      </c>
    </row>
    <row r="1352">
      <c r="A1352" t="n">
        <v>151250</v>
      </c>
      <c r="B1352" t="n">
        <v>115</v>
      </c>
      <c r="C1352" t="inlineStr">
        <is>
          <t>Love - Shibari - Bradesco</t>
        </is>
      </c>
      <c r="D1352" t="n">
        <v>128</v>
      </c>
      <c r="E1352" t="inlineStr">
        <is>
          <t>Love Cabaret</t>
        </is>
      </c>
      <c r="F1352" s="27" t="n">
        <v>45894.5</v>
      </c>
      <c r="G1352" t="inlineStr">
        <is>
          <t>CREDITO</t>
        </is>
      </c>
      <c r="H1352" t="inlineStr">
        <is>
          <t>TRANSFERENCIA PIX REM: ANDREZA CANDIDO MATIA 25/08</t>
        </is>
      </c>
      <c r="I1352" t="n">
        <v>620</v>
      </c>
    </row>
    <row r="1353">
      <c r="A1353" t="n">
        <v>151256</v>
      </c>
      <c r="B1353" t="n">
        <v>115</v>
      </c>
      <c r="C1353" t="inlineStr">
        <is>
          <t>Love - Shibari - Bradesco</t>
        </is>
      </c>
      <c r="D1353" t="n">
        <v>128</v>
      </c>
      <c r="E1353" t="inlineStr">
        <is>
          <t>Love Cabaret</t>
        </is>
      </c>
      <c r="F1353" s="27" t="n">
        <v>45894.5</v>
      </c>
      <c r="G1353" t="inlineStr">
        <is>
          <t>DEBITO</t>
        </is>
      </c>
      <c r="H1353" t="inlineStr">
        <is>
          <t>TRANSFERENCIA PIX DES: SHIBARI ART E DIVERSA 25/08</t>
        </is>
      </c>
      <c r="I1353" t="n">
        <v>-80000</v>
      </c>
    </row>
    <row r="1354">
      <c r="A1354" t="n">
        <v>151327</v>
      </c>
      <c r="B1354" t="n">
        <v>182</v>
      </c>
      <c r="C1354" t="inlineStr">
        <is>
          <t>Love - Shibari - Kamino</t>
        </is>
      </c>
      <c r="D1354" t="n">
        <v>128</v>
      </c>
      <c r="E1354" t="inlineStr">
        <is>
          <t>Love Cabaret</t>
        </is>
      </c>
      <c r="F1354" s="27" t="n">
        <v>45894</v>
      </c>
      <c r="G1354" t="inlineStr">
        <is>
          <t>DEBITO</t>
        </is>
      </c>
      <c r="H1354" t="inlineStr">
        <is>
          <t>Dtk Comercio de Alimentos Ltda Epp</t>
        </is>
      </c>
      <c r="I1354" t="n">
        <v>-246.42</v>
      </c>
    </row>
    <row r="1355">
      <c r="A1355" t="n">
        <v>151330</v>
      </c>
      <c r="B1355" t="n">
        <v>182</v>
      </c>
      <c r="C1355" t="inlineStr">
        <is>
          <t>Love - Shibari - Kamino</t>
        </is>
      </c>
      <c r="D1355" t="n">
        <v>128</v>
      </c>
      <c r="E1355" t="inlineStr">
        <is>
          <t>Love Cabaret</t>
        </is>
      </c>
      <c r="F1355" s="27" t="n">
        <v>45894</v>
      </c>
      <c r="G1355" t="inlineStr">
        <is>
          <t>DEBITO</t>
        </is>
      </c>
      <c r="H1355" t="inlineStr">
        <is>
          <t>Invye Capital Ltda</t>
        </is>
      </c>
      <c r="I1355" t="n">
        <v>-1260</v>
      </c>
    </row>
    <row r="1356">
      <c r="A1356" t="n">
        <v>151343</v>
      </c>
      <c r="B1356" t="n">
        <v>182</v>
      </c>
      <c r="C1356" t="inlineStr">
        <is>
          <t>Love - Shibari - Kamino</t>
        </is>
      </c>
      <c r="D1356" t="n">
        <v>128</v>
      </c>
      <c r="E1356" t="inlineStr">
        <is>
          <t>Love Cabaret</t>
        </is>
      </c>
      <c r="F1356" s="27" t="n">
        <v>45894</v>
      </c>
      <c r="G1356" t="inlineStr">
        <is>
          <t>DEBITO</t>
        </is>
      </c>
      <c r="H1356" t="inlineStr">
        <is>
          <t>Hortifrutigranjeiro Rodrigues</t>
        </is>
      </c>
      <c r="I1356" t="n">
        <v>-212.25</v>
      </c>
    </row>
    <row r="1357">
      <c r="A1357" t="n">
        <v>151331</v>
      </c>
      <c r="B1357" t="n">
        <v>182</v>
      </c>
      <c r="C1357" t="inlineStr">
        <is>
          <t>Love - Shibari - Kamino</t>
        </is>
      </c>
      <c r="D1357" t="n">
        <v>128</v>
      </c>
      <c r="E1357" t="inlineStr">
        <is>
          <t>Love Cabaret</t>
        </is>
      </c>
      <c r="F1357" s="27" t="n">
        <v>45894</v>
      </c>
      <c r="G1357" t="inlineStr">
        <is>
          <t>DEBITO</t>
        </is>
      </c>
      <c r="H1357" t="inlineStr">
        <is>
          <t>W P P C Carnes Eireli Epp</t>
        </is>
      </c>
      <c r="I1357" t="n">
        <v>-1764.58</v>
      </c>
    </row>
    <row r="1358">
      <c r="A1358" t="n">
        <v>151332</v>
      </c>
      <c r="B1358" t="n">
        <v>182</v>
      </c>
      <c r="C1358" t="inlineStr">
        <is>
          <t>Love - Shibari - Kamino</t>
        </is>
      </c>
      <c r="D1358" t="n">
        <v>128</v>
      </c>
      <c r="E1358" t="inlineStr">
        <is>
          <t>Love Cabaret</t>
        </is>
      </c>
      <c r="F1358" s="27" t="n">
        <v>45894</v>
      </c>
      <c r="G1358" t="inlineStr">
        <is>
          <t>DEBITO</t>
        </is>
      </c>
      <c r="H1358" t="inlineStr">
        <is>
          <t>Hnk Br Bebidas Ltda</t>
        </is>
      </c>
      <c r="I1358" t="n">
        <v>-6355.25</v>
      </c>
    </row>
    <row r="1359">
      <c r="A1359" t="n">
        <v>151333</v>
      </c>
      <c r="B1359" t="n">
        <v>182</v>
      </c>
      <c r="C1359" t="inlineStr">
        <is>
          <t>Love - Shibari - Kamino</t>
        </is>
      </c>
      <c r="D1359" t="n">
        <v>128</v>
      </c>
      <c r="E1359" t="inlineStr">
        <is>
          <t>Love Cabaret</t>
        </is>
      </c>
      <c r="F1359" s="27" t="n">
        <v>45894</v>
      </c>
      <c r="G1359" t="inlineStr">
        <is>
          <t>DEBITO</t>
        </is>
      </c>
      <c r="H1359" t="inlineStr">
        <is>
          <t>Forte Alimentos Comercio e Importacao Lt</t>
        </is>
      </c>
      <c r="I1359" t="n">
        <v>-569.9</v>
      </c>
    </row>
    <row r="1360">
      <c r="A1360" t="n">
        <v>151334</v>
      </c>
      <c r="B1360" t="n">
        <v>182</v>
      </c>
      <c r="C1360" t="inlineStr">
        <is>
          <t>Love - Shibari - Kamino</t>
        </is>
      </c>
      <c r="D1360" t="n">
        <v>128</v>
      </c>
      <c r="E1360" t="inlineStr">
        <is>
          <t>Love Cabaret</t>
        </is>
      </c>
      <c r="F1360" s="27" t="n">
        <v>45894</v>
      </c>
      <c r="G1360" t="inlineStr">
        <is>
          <t>DEBITO</t>
        </is>
      </c>
      <c r="H1360" t="inlineStr">
        <is>
          <t>Metaltec Construtora e Instalacoes Ltda</t>
        </is>
      </c>
      <c r="I1360" t="n">
        <v>-980</v>
      </c>
    </row>
    <row r="1361">
      <c r="A1361" t="n">
        <v>151335</v>
      </c>
      <c r="B1361" t="n">
        <v>182</v>
      </c>
      <c r="C1361" t="inlineStr">
        <is>
          <t>Love - Shibari - Kamino</t>
        </is>
      </c>
      <c r="D1361" t="n">
        <v>128</v>
      </c>
      <c r="E1361" t="inlineStr">
        <is>
          <t>Love Cabaret</t>
        </is>
      </c>
      <c r="F1361" s="27" t="n">
        <v>45894</v>
      </c>
      <c r="G1361" t="inlineStr">
        <is>
          <t>DEBITO</t>
        </is>
      </c>
      <c r="H1361" t="inlineStr">
        <is>
          <t>Dist Carnes Cant Ltda Epp</t>
        </is>
      </c>
      <c r="I1361" t="n">
        <v>-226.72</v>
      </c>
    </row>
    <row r="1362">
      <c r="A1362" t="n">
        <v>151336</v>
      </c>
      <c r="B1362" t="n">
        <v>182</v>
      </c>
      <c r="C1362" t="inlineStr">
        <is>
          <t>Love - Shibari - Kamino</t>
        </is>
      </c>
      <c r="D1362" t="n">
        <v>128</v>
      </c>
      <c r="E1362" t="inlineStr">
        <is>
          <t>Love Cabaret</t>
        </is>
      </c>
      <c r="F1362" s="27" t="n">
        <v>45894</v>
      </c>
      <c r="G1362" t="inlineStr">
        <is>
          <t>DEBITO</t>
        </is>
      </c>
      <c r="H1362" t="inlineStr">
        <is>
          <t>Cecilia Tsuyaco Araki Silva Ltda</t>
        </is>
      </c>
      <c r="I1362" t="n">
        <v>-88.09999999999999</v>
      </c>
    </row>
    <row r="1363">
      <c r="A1363" t="n">
        <v>151337</v>
      </c>
      <c r="B1363" t="n">
        <v>182</v>
      </c>
      <c r="C1363" t="inlineStr">
        <is>
          <t>Love - Shibari - Kamino</t>
        </is>
      </c>
      <c r="D1363" t="n">
        <v>128</v>
      </c>
      <c r="E1363" t="inlineStr">
        <is>
          <t>Love Cabaret</t>
        </is>
      </c>
      <c r="F1363" s="27" t="n">
        <v>45894</v>
      </c>
      <c r="G1363" t="inlineStr">
        <is>
          <t>DEBITO</t>
        </is>
      </c>
      <c r="H1363" t="inlineStr">
        <is>
          <t>Aurora Alvorada Estacionamento e Lanchon</t>
        </is>
      </c>
      <c r="I1363" t="n">
        <v>-219.96</v>
      </c>
    </row>
    <row r="1364">
      <c r="A1364" t="n">
        <v>151338</v>
      </c>
      <c r="B1364" t="n">
        <v>182</v>
      </c>
      <c r="C1364" t="inlineStr">
        <is>
          <t>Love - Shibari - Kamino</t>
        </is>
      </c>
      <c r="D1364" t="n">
        <v>128</v>
      </c>
      <c r="E1364" t="inlineStr">
        <is>
          <t>Love Cabaret</t>
        </is>
      </c>
      <c r="F1364" s="27" t="n">
        <v>45894</v>
      </c>
      <c r="G1364" t="inlineStr">
        <is>
          <t>DEBITO</t>
        </is>
      </c>
      <c r="H1364" t="inlineStr">
        <is>
          <t>Telefonica Brasil S.A.</t>
        </is>
      </c>
      <c r="I1364" t="n">
        <v>-93.7</v>
      </c>
    </row>
    <row r="1365">
      <c r="A1365" t="n">
        <v>151339</v>
      </c>
      <c r="B1365" t="n">
        <v>182</v>
      </c>
      <c r="C1365" t="inlineStr">
        <is>
          <t>Love - Shibari - Kamino</t>
        </is>
      </c>
      <c r="D1365" t="n">
        <v>128</v>
      </c>
      <c r="E1365" t="inlineStr">
        <is>
          <t>Love Cabaret</t>
        </is>
      </c>
      <c r="F1365" s="27" t="n">
        <v>45894</v>
      </c>
      <c r="G1365" t="inlineStr">
        <is>
          <t>DEBITO</t>
        </is>
      </c>
      <c r="H1365" t="inlineStr">
        <is>
          <t>Queijaria Atalaia Ltda</t>
        </is>
      </c>
      <c r="I1365" t="n">
        <v>-228.75</v>
      </c>
    </row>
    <row r="1366">
      <c r="A1366" t="n">
        <v>151340</v>
      </c>
      <c r="B1366" t="n">
        <v>182</v>
      </c>
      <c r="C1366" t="inlineStr">
        <is>
          <t>Love - Shibari - Kamino</t>
        </is>
      </c>
      <c r="D1366" t="n">
        <v>128</v>
      </c>
      <c r="E1366" t="inlineStr">
        <is>
          <t>Love Cabaret</t>
        </is>
      </c>
      <c r="F1366" s="27" t="n">
        <v>45894</v>
      </c>
      <c r="G1366" t="inlineStr">
        <is>
          <t>DEBITO</t>
        </is>
      </c>
      <c r="H1366" t="inlineStr">
        <is>
          <t>Telefonica Brasil S.A.</t>
        </is>
      </c>
      <c r="I1366" t="n">
        <v>-487.66</v>
      </c>
    </row>
    <row r="1367">
      <c r="A1367" t="n">
        <v>151341</v>
      </c>
      <c r="B1367" t="n">
        <v>182</v>
      </c>
      <c r="C1367" t="inlineStr">
        <is>
          <t>Love - Shibari - Kamino</t>
        </is>
      </c>
      <c r="D1367" t="n">
        <v>128</v>
      </c>
      <c r="E1367" t="inlineStr">
        <is>
          <t>Love Cabaret</t>
        </is>
      </c>
      <c r="F1367" s="27" t="n">
        <v>45894</v>
      </c>
      <c r="G1367" t="inlineStr">
        <is>
          <t>DEBITO</t>
        </is>
      </c>
      <c r="H1367" t="inlineStr">
        <is>
          <t>Telefonica Brasil S.A.</t>
        </is>
      </c>
      <c r="I1367" t="n">
        <v>-21.71</v>
      </c>
    </row>
    <row r="1368">
      <c r="A1368" t="n">
        <v>151342</v>
      </c>
      <c r="B1368" t="n">
        <v>182</v>
      </c>
      <c r="C1368" t="inlineStr">
        <is>
          <t>Love - Shibari - Kamino</t>
        </is>
      </c>
      <c r="D1368" t="n">
        <v>128</v>
      </c>
      <c r="E1368" t="inlineStr">
        <is>
          <t>Love Cabaret</t>
        </is>
      </c>
      <c r="F1368" s="27" t="n">
        <v>45894</v>
      </c>
      <c r="G1368" t="inlineStr">
        <is>
          <t>DEBITO</t>
        </is>
      </c>
      <c r="H1368" t="inlineStr">
        <is>
          <t>Porco Feliz com Carnes Ltda Me</t>
        </is>
      </c>
      <c r="I1368" t="n">
        <v>-323.14</v>
      </c>
    </row>
    <row r="1369">
      <c r="A1369" t="n">
        <v>151329</v>
      </c>
      <c r="B1369" t="n">
        <v>182</v>
      </c>
      <c r="C1369" t="inlineStr">
        <is>
          <t>Love - Shibari - Kamino</t>
        </is>
      </c>
      <c r="D1369" t="n">
        <v>128</v>
      </c>
      <c r="E1369" t="inlineStr">
        <is>
          <t>Love Cabaret</t>
        </is>
      </c>
      <c r="F1369" s="27" t="n">
        <v>45894</v>
      </c>
      <c r="G1369" t="inlineStr">
        <is>
          <t>DEBITO</t>
        </is>
      </c>
      <c r="H1369" t="inlineStr">
        <is>
          <t>Proauto Industria Q Eireli</t>
        </is>
      </c>
      <c r="I1369" t="n">
        <v>-478.35</v>
      </c>
    </row>
    <row r="1370">
      <c r="A1370" t="n">
        <v>151344</v>
      </c>
      <c r="B1370" t="n">
        <v>182</v>
      </c>
      <c r="C1370" t="inlineStr">
        <is>
          <t>Love - Shibari - Kamino</t>
        </is>
      </c>
      <c r="D1370" t="n">
        <v>128</v>
      </c>
      <c r="E1370" t="inlineStr">
        <is>
          <t>Love Cabaret</t>
        </is>
      </c>
      <c r="F1370" s="27" t="n">
        <v>45894</v>
      </c>
      <c r="G1370" t="inlineStr">
        <is>
          <t>DEBITO</t>
        </is>
      </c>
      <c r="H1370" t="inlineStr">
        <is>
          <t>Cg Food S Distr Alimentos Ltda</t>
        </is>
      </c>
      <c r="I1370" t="n">
        <v>-773</v>
      </c>
    </row>
    <row r="1371">
      <c r="A1371" t="n">
        <v>151345</v>
      </c>
      <c r="B1371" t="n">
        <v>182</v>
      </c>
      <c r="C1371" t="inlineStr">
        <is>
          <t>Love - Shibari - Kamino</t>
        </is>
      </c>
      <c r="D1371" t="n">
        <v>128</v>
      </c>
      <c r="E1371" t="inlineStr">
        <is>
          <t>Love Cabaret</t>
        </is>
      </c>
      <c r="F1371" s="27" t="n">
        <v>45894</v>
      </c>
      <c r="G1371" t="inlineStr">
        <is>
          <t>DEBITO</t>
        </is>
      </c>
      <c r="H1371" t="inlineStr">
        <is>
          <t>Lumi Creamy</t>
        </is>
      </c>
      <c r="I1371" t="n">
        <v>-386</v>
      </c>
    </row>
    <row r="1372">
      <c r="A1372" t="n">
        <v>151324</v>
      </c>
      <c r="B1372" t="n">
        <v>182</v>
      </c>
      <c r="C1372" t="inlineStr">
        <is>
          <t>Love - Shibari - Kamino</t>
        </is>
      </c>
      <c r="D1372" t="n">
        <v>128</v>
      </c>
      <c r="E1372" t="inlineStr">
        <is>
          <t>Love Cabaret</t>
        </is>
      </c>
      <c r="F1372" s="27" t="n">
        <v>45894</v>
      </c>
      <c r="G1372" t="inlineStr">
        <is>
          <t>CREDITO</t>
        </is>
      </c>
      <c r="H1372" t="inlineStr">
        <is>
          <t>SHIBARI ART E DIVERSAO LTDA</t>
        </is>
      </c>
      <c r="I1372" t="n">
        <v>80000</v>
      </c>
    </row>
    <row r="1373">
      <c r="A1373" t="n">
        <v>151325</v>
      </c>
      <c r="B1373" t="n">
        <v>182</v>
      </c>
      <c r="C1373" t="inlineStr">
        <is>
          <t>Love - Shibari - Kamino</t>
        </is>
      </c>
      <c r="D1373" t="n">
        <v>128</v>
      </c>
      <c r="E1373" t="inlineStr">
        <is>
          <t>Love Cabaret</t>
        </is>
      </c>
      <c r="F1373" s="27" t="n">
        <v>45894</v>
      </c>
      <c r="G1373" t="inlineStr">
        <is>
          <t>DEBITO</t>
        </is>
      </c>
      <c r="H1373" t="inlineStr">
        <is>
          <t>Telefonica Brasil S.A.</t>
        </is>
      </c>
      <c r="I1373" t="n">
        <v>-223.7</v>
      </c>
    </row>
    <row r="1374">
      <c r="A1374" t="n">
        <v>151326</v>
      </c>
      <c r="B1374" t="n">
        <v>182</v>
      </c>
      <c r="C1374" t="inlineStr">
        <is>
          <t>Love - Shibari - Kamino</t>
        </is>
      </c>
      <c r="D1374" t="n">
        <v>128</v>
      </c>
      <c r="E1374" t="inlineStr">
        <is>
          <t>Love Cabaret</t>
        </is>
      </c>
      <c r="F1374" s="27" t="n">
        <v>45894</v>
      </c>
      <c r="G1374" t="inlineStr">
        <is>
          <t>DEBITO</t>
        </is>
      </c>
      <c r="H1374" t="inlineStr">
        <is>
          <t>Machine Seguranca Patrimonial Ltda</t>
        </is>
      </c>
      <c r="I1374" t="n">
        <v>-5130</v>
      </c>
    </row>
    <row r="1375">
      <c r="A1375" t="n">
        <v>151328</v>
      </c>
      <c r="B1375" t="n">
        <v>182</v>
      </c>
      <c r="C1375" t="inlineStr">
        <is>
          <t>Love - Shibari - Kamino</t>
        </is>
      </c>
      <c r="D1375" t="n">
        <v>128</v>
      </c>
      <c r="E1375" t="inlineStr">
        <is>
          <t>Love Cabaret</t>
        </is>
      </c>
      <c r="F1375" s="27" t="n">
        <v>45894</v>
      </c>
      <c r="G1375" t="inlineStr">
        <is>
          <t>DEBITO</t>
        </is>
      </c>
      <c r="H1375" t="inlineStr">
        <is>
          <t>Jnd Solucoes Tecnicas Ltda</t>
        </is>
      </c>
      <c r="I1375" t="n">
        <v>-121.55</v>
      </c>
    </row>
    <row r="1376">
      <c r="A1376" t="n">
        <v>151245</v>
      </c>
      <c r="B1376" t="n">
        <v>115</v>
      </c>
      <c r="C1376" t="inlineStr">
        <is>
          <t>Love - Shibari - Bradesco</t>
        </is>
      </c>
      <c r="D1376" t="n">
        <v>128</v>
      </c>
      <c r="E1376" t="inlineStr">
        <is>
          <t>Love Cabaret</t>
        </is>
      </c>
      <c r="F1376" s="27" t="n">
        <v>45891.5</v>
      </c>
      <c r="G1376" t="inlineStr">
        <is>
          <t>DEBITO</t>
        </is>
      </c>
      <c r="H1376" t="inlineStr">
        <is>
          <t>TARIFA BANCARIA TRANSF PGTO PIX</t>
        </is>
      </c>
      <c r="I1376" t="n">
        <v>-9.800000000000001</v>
      </c>
    </row>
    <row r="1377">
      <c r="A1377" t="n">
        <v>151244</v>
      </c>
      <c r="B1377" t="n">
        <v>115</v>
      </c>
      <c r="C1377" t="inlineStr">
        <is>
          <t>Love - Shibari - Bradesco</t>
        </is>
      </c>
      <c r="D1377" t="n">
        <v>128</v>
      </c>
      <c r="E1377" t="inlineStr">
        <is>
          <t>Love Cabaret</t>
        </is>
      </c>
      <c r="F1377" s="27" t="n">
        <v>45889.5</v>
      </c>
      <c r="G1377" t="inlineStr">
        <is>
          <t>DEBITO</t>
        </is>
      </c>
      <c r="H1377" t="inlineStr">
        <is>
          <t>TRANSFERENCIA PIX DES: SHIBARI ART E DIVERSA 20/08</t>
        </is>
      </c>
      <c r="I1377" t="n">
        <v>-40000</v>
      </c>
    </row>
    <row r="1378">
      <c r="A1378" t="n">
        <v>151243</v>
      </c>
      <c r="B1378" t="n">
        <v>115</v>
      </c>
      <c r="C1378" t="inlineStr">
        <is>
          <t>Love - Shibari - Bradesco</t>
        </is>
      </c>
      <c r="D1378" t="n">
        <v>128</v>
      </c>
      <c r="E1378" t="inlineStr">
        <is>
          <t>Love Cabaret</t>
        </is>
      </c>
      <c r="F1378" s="27" t="n">
        <v>45889.5</v>
      </c>
      <c r="G1378" t="inlineStr">
        <is>
          <t>DEBITO</t>
        </is>
      </c>
      <c r="H1378" t="inlineStr">
        <is>
          <t>TARIFA BANCARIA TRANSF PGTO PIX</t>
        </is>
      </c>
      <c r="I1378" t="n">
        <v>-9.800000000000001</v>
      </c>
    </row>
    <row r="1379">
      <c r="A1379" t="n">
        <v>151241</v>
      </c>
      <c r="B1379" t="n">
        <v>115</v>
      </c>
      <c r="C1379" t="inlineStr">
        <is>
          <t>Love - Shibari - Bradesco</t>
        </is>
      </c>
      <c r="D1379" t="n">
        <v>128</v>
      </c>
      <c r="E1379" t="inlineStr">
        <is>
          <t>Love Cabaret</t>
        </is>
      </c>
      <c r="F1379" s="27" t="n">
        <v>45889.5</v>
      </c>
      <c r="G1379" t="inlineStr">
        <is>
          <t>CREDITO</t>
        </is>
      </c>
      <c r="H1379" t="inlineStr">
        <is>
          <t>TRANSFERENCIA PIX REM: DEIVISSON LIMA CARVAL 20/08</t>
        </is>
      </c>
      <c r="I1379" t="n">
        <v>620</v>
      </c>
    </row>
    <row r="1380">
      <c r="A1380" t="n">
        <v>151240</v>
      </c>
      <c r="B1380" t="n">
        <v>115</v>
      </c>
      <c r="C1380" t="inlineStr">
        <is>
          <t>Love - Shibari - Bradesco</t>
        </is>
      </c>
      <c r="D1380" t="n">
        <v>128</v>
      </c>
      <c r="E1380" t="inlineStr">
        <is>
          <t>Love Cabaret</t>
        </is>
      </c>
      <c r="F1380" s="27" t="n">
        <v>45889.5</v>
      </c>
      <c r="G1380" t="inlineStr">
        <is>
          <t>CREDITO</t>
        </is>
      </c>
      <c r="H1380" t="inlineStr">
        <is>
          <t>TED-TRANSF ELET DISPON REMET.SYMPLA INTERNET SOLU</t>
        </is>
      </c>
      <c r="I1380" t="n">
        <v>13185</v>
      </c>
    </row>
    <row r="1381">
      <c r="A1381" t="n">
        <v>151239</v>
      </c>
      <c r="B1381" t="n">
        <v>115</v>
      </c>
      <c r="C1381" t="inlineStr">
        <is>
          <t>Love - Shibari - Bradesco</t>
        </is>
      </c>
      <c r="D1381" t="n">
        <v>128</v>
      </c>
      <c r="E1381" t="inlineStr">
        <is>
          <t>Love Cabaret</t>
        </is>
      </c>
      <c r="F1381" s="27" t="n">
        <v>45889.5</v>
      </c>
      <c r="G1381" t="inlineStr">
        <is>
          <t>CREDITO</t>
        </is>
      </c>
      <c r="H1381" t="inlineStr">
        <is>
          <t>TED-TRANSF ELET DISPON REMET.SYMPLA INTERNET SOLU</t>
        </is>
      </c>
      <c r="I1381" t="n">
        <v>11885</v>
      </c>
    </row>
    <row r="1382">
      <c r="A1382" t="n">
        <v>151319</v>
      </c>
      <c r="B1382" t="n">
        <v>182</v>
      </c>
      <c r="C1382" t="inlineStr">
        <is>
          <t>Love - Shibari - Kamino</t>
        </is>
      </c>
      <c r="D1382" t="n">
        <v>128</v>
      </c>
      <c r="E1382" t="inlineStr">
        <is>
          <t>Love Cabaret</t>
        </is>
      </c>
      <c r="F1382" s="27" t="n">
        <v>45889</v>
      </c>
      <c r="G1382" t="inlineStr">
        <is>
          <t>DEBITO</t>
        </is>
      </c>
      <c r="H1382" t="inlineStr">
        <is>
          <t>Destec Solucoes Ltda</t>
        </is>
      </c>
      <c r="I1382" t="n">
        <v>-812.7</v>
      </c>
    </row>
    <row r="1383">
      <c r="A1383" t="n">
        <v>151318</v>
      </c>
      <c r="B1383" t="n">
        <v>182</v>
      </c>
      <c r="C1383" t="inlineStr">
        <is>
          <t>Love - Shibari - Kamino</t>
        </is>
      </c>
      <c r="D1383" t="n">
        <v>128</v>
      </c>
      <c r="E1383" t="inlineStr">
        <is>
          <t>Love Cabaret</t>
        </is>
      </c>
      <c r="F1383" s="27" t="n">
        <v>45889</v>
      </c>
      <c r="G1383" t="inlineStr">
        <is>
          <t>DEBITO</t>
        </is>
      </c>
      <c r="H1383" t="inlineStr">
        <is>
          <t>King Comercio de Bebidas Ltda</t>
        </is>
      </c>
      <c r="I1383" t="n">
        <v>-1198.8</v>
      </c>
    </row>
    <row r="1384">
      <c r="A1384" t="n">
        <v>151317</v>
      </c>
      <c r="B1384" t="n">
        <v>182</v>
      </c>
      <c r="C1384" t="inlineStr">
        <is>
          <t>Love - Shibari - Kamino</t>
        </is>
      </c>
      <c r="D1384" t="n">
        <v>128</v>
      </c>
      <c r="E1384" t="inlineStr">
        <is>
          <t>Love Cabaret</t>
        </is>
      </c>
      <c r="F1384" s="27" t="n">
        <v>45889</v>
      </c>
      <c r="G1384" t="inlineStr">
        <is>
          <t>DEBITO</t>
        </is>
      </c>
      <c r="H1384" t="inlineStr">
        <is>
          <t>Estaff Solucoes Tecnologicas de Agenciam</t>
        </is>
      </c>
      <c r="I1384" t="n">
        <v>-12732.5</v>
      </c>
    </row>
    <row r="1385">
      <c r="A1385" t="n">
        <v>151316</v>
      </c>
      <c r="B1385" t="n">
        <v>182</v>
      </c>
      <c r="C1385" t="inlineStr">
        <is>
          <t>Love - Shibari - Kamino</t>
        </is>
      </c>
      <c r="D1385" t="n">
        <v>128</v>
      </c>
      <c r="E1385" t="inlineStr">
        <is>
          <t>Love Cabaret</t>
        </is>
      </c>
      <c r="F1385" s="27" t="n">
        <v>45889</v>
      </c>
      <c r="G1385" t="inlineStr">
        <is>
          <t>DEBITO</t>
        </is>
      </c>
      <c r="H1385" t="inlineStr">
        <is>
          <t>Companhia de Gas de Sp Comgas</t>
        </is>
      </c>
      <c r="I1385" t="n">
        <v>-1659.06</v>
      </c>
    </row>
    <row r="1386">
      <c r="A1386" t="n">
        <v>151315</v>
      </c>
      <c r="B1386" t="n">
        <v>182</v>
      </c>
      <c r="C1386" t="inlineStr">
        <is>
          <t>Love - Shibari - Kamino</t>
        </is>
      </c>
      <c r="D1386" t="n">
        <v>128</v>
      </c>
      <c r="E1386" t="inlineStr">
        <is>
          <t>Love Cabaret</t>
        </is>
      </c>
      <c r="F1386" s="27" t="n">
        <v>45889</v>
      </c>
      <c r="G1386" t="inlineStr">
        <is>
          <t>DEBITO</t>
        </is>
      </c>
      <c r="H1386" t="inlineStr">
        <is>
          <t>Colibri Distribuidor de Produtos Orientais e Food Servi</t>
        </is>
      </c>
      <c r="I1386" t="n">
        <v>-403.6</v>
      </c>
    </row>
    <row r="1387">
      <c r="A1387" t="n">
        <v>151314</v>
      </c>
      <c r="B1387" t="n">
        <v>182</v>
      </c>
      <c r="C1387" t="inlineStr">
        <is>
          <t>Love - Shibari - Kamino</t>
        </is>
      </c>
      <c r="D1387" t="n">
        <v>128</v>
      </c>
      <c r="E1387" t="inlineStr">
        <is>
          <t>Love Cabaret</t>
        </is>
      </c>
      <c r="F1387" s="27" t="n">
        <v>45889</v>
      </c>
      <c r="G1387" t="inlineStr">
        <is>
          <t>DEBITO</t>
        </is>
      </c>
      <c r="H1387" t="inlineStr">
        <is>
          <t>Zoop Brasil</t>
        </is>
      </c>
      <c r="I1387" t="n">
        <v>-374.56</v>
      </c>
    </row>
    <row r="1388">
      <c r="A1388" t="n">
        <v>151313</v>
      </c>
      <c r="B1388" t="n">
        <v>182</v>
      </c>
      <c r="C1388" t="inlineStr">
        <is>
          <t>Love - Shibari - Kamino</t>
        </is>
      </c>
      <c r="D1388" t="n">
        <v>128</v>
      </c>
      <c r="E1388" t="inlineStr">
        <is>
          <t>Love Cabaret</t>
        </is>
      </c>
      <c r="F1388" s="27" t="n">
        <v>45889</v>
      </c>
      <c r="G1388" t="inlineStr">
        <is>
          <t>DEBITO</t>
        </is>
      </c>
      <c r="H1388" t="inlineStr">
        <is>
          <t>Luiz Roberto da Silva Junior</t>
        </is>
      </c>
      <c r="I1388" t="n">
        <v>-1900</v>
      </c>
    </row>
    <row r="1389">
      <c r="A1389" t="n">
        <v>151312</v>
      </c>
      <c r="B1389" t="n">
        <v>182</v>
      </c>
      <c r="C1389" t="inlineStr">
        <is>
          <t>Love - Shibari - Kamino</t>
        </is>
      </c>
      <c r="D1389" t="n">
        <v>128</v>
      </c>
      <c r="E1389" t="inlineStr">
        <is>
          <t>Love Cabaret</t>
        </is>
      </c>
      <c r="F1389" s="27" t="n">
        <v>45889</v>
      </c>
      <c r="G1389" t="inlineStr">
        <is>
          <t>DEBITO</t>
        </is>
      </c>
      <c r="H1389" t="inlineStr">
        <is>
          <t>Btard Padaria Artesanal Ltda</t>
        </is>
      </c>
      <c r="I1389" t="n">
        <v>-261</v>
      </c>
    </row>
    <row r="1390">
      <c r="A1390" t="n">
        <v>151311</v>
      </c>
      <c r="B1390" t="n">
        <v>182</v>
      </c>
      <c r="C1390" t="inlineStr">
        <is>
          <t>Love - Shibari - Kamino</t>
        </is>
      </c>
      <c r="D1390" t="n">
        <v>128</v>
      </c>
      <c r="E1390" t="inlineStr">
        <is>
          <t>Love Cabaret</t>
        </is>
      </c>
      <c r="F1390" s="27" t="n">
        <v>45889</v>
      </c>
      <c r="G1390" t="inlineStr">
        <is>
          <t>DEBITO</t>
        </is>
      </c>
      <c r="H1390" t="inlineStr">
        <is>
          <t>Eshows Promocoes Artisticas Ltda</t>
        </is>
      </c>
      <c r="I1390" t="n">
        <v>-29585</v>
      </c>
    </row>
    <row r="1391">
      <c r="A1391" t="n">
        <v>151310</v>
      </c>
      <c r="B1391" t="n">
        <v>182</v>
      </c>
      <c r="C1391" t="inlineStr">
        <is>
          <t>Love - Shibari - Kamino</t>
        </is>
      </c>
      <c r="D1391" t="n">
        <v>128</v>
      </c>
      <c r="E1391" t="inlineStr">
        <is>
          <t>Love Cabaret</t>
        </is>
      </c>
      <c r="F1391" s="27" t="n">
        <v>45889</v>
      </c>
      <c r="G1391" t="inlineStr">
        <is>
          <t>DEBITO</t>
        </is>
      </c>
      <c r="H1391" t="inlineStr">
        <is>
          <t>Cia do Whisky</t>
        </is>
      </c>
      <c r="I1391" t="n">
        <v>-1270.92</v>
      </c>
    </row>
    <row r="1392">
      <c r="A1392" t="n">
        <v>151320</v>
      </c>
      <c r="B1392" t="n">
        <v>182</v>
      </c>
      <c r="C1392" t="inlineStr">
        <is>
          <t>Love - Shibari - Kamino</t>
        </is>
      </c>
      <c r="D1392" t="n">
        <v>128</v>
      </c>
      <c r="E1392" t="inlineStr">
        <is>
          <t>Love Cabaret</t>
        </is>
      </c>
      <c r="F1392" s="27" t="n">
        <v>45889</v>
      </c>
      <c r="G1392" t="inlineStr">
        <is>
          <t>DEBITO</t>
        </is>
      </c>
      <c r="H1392" t="inlineStr">
        <is>
          <t>Ice4pros Fabrica de Gelo Ltda</t>
        </is>
      </c>
      <c r="I1392" t="n">
        <v>-834.75</v>
      </c>
    </row>
    <row r="1393">
      <c r="A1393" t="n">
        <v>151321</v>
      </c>
      <c r="B1393" t="n">
        <v>182</v>
      </c>
      <c r="C1393" t="inlineStr">
        <is>
          <t>Love - Shibari - Kamino</t>
        </is>
      </c>
      <c r="D1393" t="n">
        <v>128</v>
      </c>
      <c r="E1393" t="inlineStr">
        <is>
          <t>Love Cabaret</t>
        </is>
      </c>
      <c r="F1393" s="27" t="n">
        <v>45889</v>
      </c>
      <c r="G1393" t="inlineStr">
        <is>
          <t>DEBITO</t>
        </is>
      </c>
      <c r="H1393" t="inlineStr">
        <is>
          <t>Cecilia Tsuyaco Araki Silva Ltda</t>
        </is>
      </c>
      <c r="I1393" t="n">
        <v>-181.65</v>
      </c>
    </row>
    <row r="1394">
      <c r="A1394" t="n">
        <v>151322</v>
      </c>
      <c r="B1394" t="n">
        <v>182</v>
      </c>
      <c r="C1394" t="inlineStr">
        <is>
          <t>Love - Shibari - Kamino</t>
        </is>
      </c>
      <c r="D1394" t="n">
        <v>128</v>
      </c>
      <c r="E1394" t="inlineStr">
        <is>
          <t>Love Cabaret</t>
        </is>
      </c>
      <c r="F1394" s="27" t="n">
        <v>45889</v>
      </c>
      <c r="G1394" t="inlineStr">
        <is>
          <t>DEBITO</t>
        </is>
      </c>
      <c r="H1394" t="inlineStr">
        <is>
          <t>Ng27 Consultoria e Gestao Empr</t>
        </is>
      </c>
      <c r="I1394" t="n">
        <v>-211.75</v>
      </c>
    </row>
    <row r="1395">
      <c r="A1395" t="n">
        <v>151323</v>
      </c>
      <c r="B1395" t="n">
        <v>182</v>
      </c>
      <c r="C1395" t="inlineStr">
        <is>
          <t>Love - Shibari - Kamino</t>
        </is>
      </c>
      <c r="D1395" t="n">
        <v>128</v>
      </c>
      <c r="E1395" t="inlineStr">
        <is>
          <t>Love Cabaret</t>
        </is>
      </c>
      <c r="F1395" s="27" t="n">
        <v>45889</v>
      </c>
      <c r="G1395" t="inlineStr">
        <is>
          <t>DEBITO</t>
        </is>
      </c>
      <c r="H1395" t="inlineStr">
        <is>
          <t>Ng27 Consultoria e Gestao Empr</t>
        </is>
      </c>
      <c r="I1395" t="n">
        <v>-415.04</v>
      </c>
    </row>
    <row r="1396">
      <c r="A1396" t="n">
        <v>151307</v>
      </c>
      <c r="B1396" t="n">
        <v>182</v>
      </c>
      <c r="C1396" t="inlineStr">
        <is>
          <t>Love - Shibari - Kamino</t>
        </is>
      </c>
      <c r="D1396" t="n">
        <v>128</v>
      </c>
      <c r="E1396" t="inlineStr">
        <is>
          <t>Love Cabaret</t>
        </is>
      </c>
      <c r="F1396" s="27" t="n">
        <v>45889</v>
      </c>
      <c r="G1396" t="inlineStr">
        <is>
          <t>CREDITO</t>
        </is>
      </c>
      <c r="H1396" t="inlineStr">
        <is>
          <t>SHIBARI ART E DIVERSAO LTDA</t>
        </is>
      </c>
      <c r="I1396" t="n">
        <v>40000</v>
      </c>
    </row>
    <row r="1397">
      <c r="A1397" t="n">
        <v>151308</v>
      </c>
      <c r="B1397" t="n">
        <v>182</v>
      </c>
      <c r="C1397" t="inlineStr">
        <is>
          <t>Love - Shibari - Kamino</t>
        </is>
      </c>
      <c r="D1397" t="n">
        <v>128</v>
      </c>
      <c r="E1397" t="inlineStr">
        <is>
          <t>Love Cabaret</t>
        </is>
      </c>
      <c r="F1397" s="27" t="n">
        <v>45889</v>
      </c>
      <c r="G1397" t="inlineStr">
        <is>
          <t>DEBITO</t>
        </is>
      </c>
      <c r="H1397" t="inlineStr">
        <is>
          <t>Tempus Fugit Participacoes e Empreendimentos Ltda</t>
        </is>
      </c>
      <c r="I1397" t="n">
        <v>-50</v>
      </c>
    </row>
    <row r="1398">
      <c r="A1398" t="n">
        <v>151309</v>
      </c>
      <c r="B1398" t="n">
        <v>182</v>
      </c>
      <c r="C1398" t="inlineStr">
        <is>
          <t>Love - Shibari - Kamino</t>
        </is>
      </c>
      <c r="D1398" t="n">
        <v>128</v>
      </c>
      <c r="E1398" t="inlineStr">
        <is>
          <t>Love Cabaret</t>
        </is>
      </c>
      <c r="F1398" s="27" t="n">
        <v>45889</v>
      </c>
      <c r="G1398" t="inlineStr">
        <is>
          <t>DEBITO</t>
        </is>
      </c>
      <c r="H1398" t="inlineStr">
        <is>
          <t>Edimar Moura Tartaglioni</t>
        </is>
      </c>
      <c r="I1398" t="n">
        <v>-630</v>
      </c>
    </row>
    <row r="1399">
      <c r="A1399" t="n">
        <v>151238</v>
      </c>
      <c r="B1399" t="n">
        <v>115</v>
      </c>
      <c r="C1399" t="inlineStr">
        <is>
          <t>Love - Shibari - Bradesco</t>
        </is>
      </c>
      <c r="D1399" t="n">
        <v>128</v>
      </c>
      <c r="E1399" t="inlineStr">
        <is>
          <t>Love Cabaret</t>
        </is>
      </c>
      <c r="F1399" s="27" t="n">
        <v>45888.5</v>
      </c>
      <c r="G1399" t="inlineStr">
        <is>
          <t>CREDITO</t>
        </is>
      </c>
      <c r="H1399" t="inlineStr">
        <is>
          <t>TRANSFERENCIA PIX REM:  lvaro Csar da Silva 19/08</t>
        </is>
      </c>
      <c r="I1399" t="n">
        <v>154</v>
      </c>
    </row>
    <row r="1400">
      <c r="A1400" t="n">
        <v>151237</v>
      </c>
      <c r="B1400" t="n">
        <v>115</v>
      </c>
      <c r="C1400" t="inlineStr">
        <is>
          <t>Love - Shibari - Bradesco</t>
        </is>
      </c>
      <c r="D1400" t="n">
        <v>128</v>
      </c>
      <c r="E1400" t="inlineStr">
        <is>
          <t>Love Cabaret</t>
        </is>
      </c>
      <c r="F1400" s="27" t="n">
        <v>45888.5</v>
      </c>
      <c r="G1400" t="inlineStr">
        <is>
          <t>CREDITO</t>
        </is>
      </c>
      <c r="H1400" t="inlineStr">
        <is>
          <t>TRANSFERENCIA PIX REM: SHIBARI ART E DIVERSA 19/08</t>
        </is>
      </c>
      <c r="I1400" t="n">
        <v>15066.99</v>
      </c>
    </row>
    <row r="1401">
      <c r="A1401" t="n">
        <v>151236</v>
      </c>
      <c r="B1401" t="n">
        <v>115</v>
      </c>
      <c r="C1401" t="inlineStr">
        <is>
          <t>Love - Shibari - Bradesco</t>
        </is>
      </c>
      <c r="D1401" t="n">
        <v>128</v>
      </c>
      <c r="E1401" t="inlineStr">
        <is>
          <t>Love Cabaret</t>
        </is>
      </c>
      <c r="F1401" s="27" t="n">
        <v>45888.5</v>
      </c>
      <c r="G1401" t="inlineStr">
        <is>
          <t>CREDITO</t>
        </is>
      </c>
      <c r="H1401" t="inlineStr">
        <is>
          <t>DEP DINHEIRO ATM AG00117MAQ061059SEQ04890</t>
        </is>
      </c>
      <c r="I1401" t="n">
        <v>1350</v>
      </c>
    </row>
    <row r="1402">
      <c r="A1402" t="n">
        <v>151305</v>
      </c>
      <c r="B1402" t="n">
        <v>182</v>
      </c>
      <c r="C1402" t="inlineStr">
        <is>
          <t>Love - Shibari - Kamino</t>
        </is>
      </c>
      <c r="D1402" t="n">
        <v>128</v>
      </c>
      <c r="E1402" t="inlineStr">
        <is>
          <t>Love Cabaret</t>
        </is>
      </c>
      <c r="F1402" s="27" t="n">
        <v>45888</v>
      </c>
      <c r="G1402" t="inlineStr">
        <is>
          <t>DEBITO</t>
        </is>
      </c>
      <c r="H1402" t="inlineStr">
        <is>
          <t>Bgc Comercio de Utensilios Para Bares e Restaurantes Ltda</t>
        </is>
      </c>
      <c r="I1402" t="n">
        <v>-70.70999999999999</v>
      </c>
    </row>
    <row r="1403">
      <c r="A1403" t="n">
        <v>151306</v>
      </c>
      <c r="B1403" t="n">
        <v>182</v>
      </c>
      <c r="C1403" t="inlineStr">
        <is>
          <t>Love - Shibari - Kamino</t>
        </is>
      </c>
      <c r="D1403" t="n">
        <v>128</v>
      </c>
      <c r="E1403" t="inlineStr">
        <is>
          <t>Love Cabaret</t>
        </is>
      </c>
      <c r="F1403" s="27" t="n">
        <v>45888</v>
      </c>
      <c r="G1403" t="inlineStr">
        <is>
          <t>DEBITO</t>
        </is>
      </c>
      <c r="H1403" t="inlineStr">
        <is>
          <t>Sao Paulo Tribunal de Justica</t>
        </is>
      </c>
      <c r="I1403" t="n">
        <v>-219.45</v>
      </c>
    </row>
    <row r="1404">
      <c r="A1404" t="n">
        <v>151235</v>
      </c>
      <c r="B1404" t="n">
        <v>115</v>
      </c>
      <c r="C1404" t="inlineStr">
        <is>
          <t>Love - Shibari - Bradesco</t>
        </is>
      </c>
      <c r="D1404" t="n">
        <v>128</v>
      </c>
      <c r="E1404" t="inlineStr">
        <is>
          <t>Love Cabaret</t>
        </is>
      </c>
      <c r="F1404" s="27" t="n">
        <v>45887.5</v>
      </c>
      <c r="G1404" t="inlineStr">
        <is>
          <t>DEBITO</t>
        </is>
      </c>
      <c r="H1404" t="inlineStr">
        <is>
          <t>TRANSFERENCIA PIX DES: SHIBARI ART E DIVERSA 18/08</t>
        </is>
      </c>
      <c r="I1404" t="n">
        <v>-60000</v>
      </c>
    </row>
    <row r="1405">
      <c r="A1405" t="n">
        <v>151234</v>
      </c>
      <c r="B1405" t="n">
        <v>115</v>
      </c>
      <c r="C1405" t="inlineStr">
        <is>
          <t>Love - Shibari - Bradesco</t>
        </is>
      </c>
      <c r="D1405" t="n">
        <v>128</v>
      </c>
      <c r="E1405" t="inlineStr">
        <is>
          <t>Love Cabaret</t>
        </is>
      </c>
      <c r="F1405" s="27" t="n">
        <v>45887.5</v>
      </c>
      <c r="G1405" t="inlineStr">
        <is>
          <t>DEBITO</t>
        </is>
      </c>
      <c r="H1405" t="inlineStr">
        <is>
          <t>ADIANT SALARIO VIA NET</t>
        </is>
      </c>
      <c r="I1405" t="n">
        <v>-1040.15</v>
      </c>
    </row>
    <row r="1406">
      <c r="A1406" t="n">
        <v>151231</v>
      </c>
      <c r="B1406" t="n">
        <v>115</v>
      </c>
      <c r="C1406" t="inlineStr">
        <is>
          <t>Love - Shibari - Bradesco</t>
        </is>
      </c>
      <c r="D1406" t="n">
        <v>128</v>
      </c>
      <c r="E1406" t="inlineStr">
        <is>
          <t>Love Cabaret</t>
        </is>
      </c>
      <c r="F1406" s="27" t="n">
        <v>45887.5</v>
      </c>
      <c r="G1406" t="inlineStr">
        <is>
          <t>CREDITO</t>
        </is>
      </c>
      <c r="H1406" t="inlineStr">
        <is>
          <t>TRANSFERENCIA PIX REM: Andressa Naice Silvei 18/08</t>
        </is>
      </c>
      <c r="I1406" t="n">
        <v>620</v>
      </c>
    </row>
    <row r="1407">
      <c r="A1407" t="n">
        <v>151230</v>
      </c>
      <c r="B1407" t="n">
        <v>115</v>
      </c>
      <c r="C1407" t="inlineStr">
        <is>
          <t>Love - Shibari - Bradesco</t>
        </is>
      </c>
      <c r="D1407" t="n">
        <v>128</v>
      </c>
      <c r="E1407" t="inlineStr">
        <is>
          <t>Love Cabaret</t>
        </is>
      </c>
      <c r="F1407" s="27" t="n">
        <v>45887.5</v>
      </c>
      <c r="G1407" t="inlineStr">
        <is>
          <t>CREDITO</t>
        </is>
      </c>
      <c r="H1407" t="inlineStr">
        <is>
          <t>TRANSFERENCIA PIX REM: DANIELLE CANDIDO DE O 18/08</t>
        </is>
      </c>
      <c r="I1407" t="n">
        <v>155</v>
      </c>
    </row>
    <row r="1408">
      <c r="A1408" t="n">
        <v>151229</v>
      </c>
      <c r="B1408" t="n">
        <v>115</v>
      </c>
      <c r="C1408" t="inlineStr">
        <is>
          <t>Love - Shibari - Bradesco</t>
        </is>
      </c>
      <c r="D1408" t="n">
        <v>128</v>
      </c>
      <c r="E1408" t="inlineStr">
        <is>
          <t>Love Cabaret</t>
        </is>
      </c>
      <c r="F1408" s="27" t="n">
        <v>45887.5</v>
      </c>
      <c r="G1408" t="inlineStr">
        <is>
          <t>CREDITO</t>
        </is>
      </c>
      <c r="H1408" t="inlineStr">
        <is>
          <t>TRANSFERENCIA PIX REM: SHIBARI ART E DIVERSA 18/08</t>
        </is>
      </c>
      <c r="I1408" t="n">
        <v>49296.14</v>
      </c>
    </row>
    <row r="1409">
      <c r="A1409" t="n">
        <v>151228</v>
      </c>
      <c r="B1409" t="n">
        <v>115</v>
      </c>
      <c r="C1409" t="inlineStr">
        <is>
          <t>Love - Shibari - Bradesco</t>
        </is>
      </c>
      <c r="D1409" t="n">
        <v>128</v>
      </c>
      <c r="E1409" t="inlineStr">
        <is>
          <t>Love Cabaret</t>
        </is>
      </c>
      <c r="F1409" s="27" t="n">
        <v>45887.5</v>
      </c>
      <c r="G1409" t="inlineStr">
        <is>
          <t>CREDITO</t>
        </is>
      </c>
      <c r="H1409" t="inlineStr">
        <is>
          <t>DEP DINHEIRO ATM AG00117MAQ061059SEQ02538</t>
        </is>
      </c>
      <c r="I1409" t="n">
        <v>436</v>
      </c>
    </row>
    <row r="1410">
      <c r="A1410" t="n">
        <v>151304</v>
      </c>
      <c r="B1410" t="n">
        <v>182</v>
      </c>
      <c r="C1410" t="inlineStr">
        <is>
          <t>Love - Shibari - Kamino</t>
        </is>
      </c>
      <c r="D1410" t="n">
        <v>128</v>
      </c>
      <c r="E1410" t="inlineStr">
        <is>
          <t>Love Cabaret</t>
        </is>
      </c>
      <c r="F1410" s="27" t="n">
        <v>45887</v>
      </c>
      <c r="G1410" t="inlineStr">
        <is>
          <t>DEBITO</t>
        </is>
      </c>
      <c r="H1410" t="inlineStr">
        <is>
          <t>Pas de Deux Projetos</t>
        </is>
      </c>
      <c r="I1410" t="n">
        <v>-6000</v>
      </c>
    </row>
    <row r="1411">
      <c r="A1411" t="n">
        <v>151291</v>
      </c>
      <c r="B1411" t="n">
        <v>182</v>
      </c>
      <c r="C1411" t="inlineStr">
        <is>
          <t>Love - Shibari - Kamino</t>
        </is>
      </c>
      <c r="D1411" t="n">
        <v>128</v>
      </c>
      <c r="E1411" t="inlineStr">
        <is>
          <t>Love Cabaret</t>
        </is>
      </c>
      <c r="F1411" s="27" t="n">
        <v>45887</v>
      </c>
      <c r="G1411" t="inlineStr">
        <is>
          <t>DEBITO</t>
        </is>
      </c>
      <c r="H1411" t="inlineStr">
        <is>
          <t>Gomes D Elia Equipamentos de H</t>
        </is>
      </c>
      <c r="I1411" t="n">
        <v>-551.14</v>
      </c>
    </row>
    <row r="1412">
      <c r="A1412" t="n">
        <v>151292</v>
      </c>
      <c r="B1412" t="n">
        <v>182</v>
      </c>
      <c r="C1412" t="inlineStr">
        <is>
          <t>Love - Shibari - Kamino</t>
        </is>
      </c>
      <c r="D1412" t="n">
        <v>128</v>
      </c>
      <c r="E1412" t="inlineStr">
        <is>
          <t>Love Cabaret</t>
        </is>
      </c>
      <c r="F1412" s="27" t="n">
        <v>45887</v>
      </c>
      <c r="G1412" t="inlineStr">
        <is>
          <t>DEBITO</t>
        </is>
      </c>
      <c r="H1412" t="inlineStr">
        <is>
          <t>T. F. Ciuffi Hortifruti Ltda</t>
        </is>
      </c>
      <c r="I1412" t="n">
        <v>-81.02</v>
      </c>
    </row>
    <row r="1413">
      <c r="A1413" t="n">
        <v>151293</v>
      </c>
      <c r="B1413" t="n">
        <v>182</v>
      </c>
      <c r="C1413" t="inlineStr">
        <is>
          <t>Love - Shibari - Kamino</t>
        </is>
      </c>
      <c r="D1413" t="n">
        <v>128</v>
      </c>
      <c r="E1413" t="inlineStr">
        <is>
          <t>Love Cabaret</t>
        </is>
      </c>
      <c r="F1413" s="27" t="n">
        <v>45887</v>
      </c>
      <c r="G1413" t="inlineStr">
        <is>
          <t>DEBITO</t>
        </is>
      </c>
      <c r="H1413" t="inlineStr">
        <is>
          <t>Renata Homsy Dias Claro</t>
        </is>
      </c>
      <c r="I1413" t="n">
        <v>-3000</v>
      </c>
    </row>
    <row r="1414">
      <c r="A1414" t="n">
        <v>151294</v>
      </c>
      <c r="B1414" t="n">
        <v>182</v>
      </c>
      <c r="C1414" t="inlineStr">
        <is>
          <t>Love - Shibari - Kamino</t>
        </is>
      </c>
      <c r="D1414" t="n">
        <v>128</v>
      </c>
      <c r="E1414" t="inlineStr">
        <is>
          <t>Love Cabaret</t>
        </is>
      </c>
      <c r="F1414" s="27" t="n">
        <v>45887</v>
      </c>
      <c r="G1414" t="inlineStr">
        <is>
          <t>DEBITO</t>
        </is>
      </c>
      <c r="H1414" t="inlineStr">
        <is>
          <t>Tempus Fugit Participacoes e Empreendimentos Ltda</t>
        </is>
      </c>
      <c r="I1414" t="n">
        <v>-229.29</v>
      </c>
    </row>
    <row r="1415">
      <c r="A1415" t="n">
        <v>151295</v>
      </c>
      <c r="B1415" t="n">
        <v>182</v>
      </c>
      <c r="C1415" t="inlineStr">
        <is>
          <t>Love - Shibari - Kamino</t>
        </is>
      </c>
      <c r="D1415" t="n">
        <v>128</v>
      </c>
      <c r="E1415" t="inlineStr">
        <is>
          <t>Love Cabaret</t>
        </is>
      </c>
      <c r="F1415" s="27" t="n">
        <v>45887</v>
      </c>
      <c r="G1415" t="inlineStr">
        <is>
          <t>DEBITO</t>
        </is>
      </c>
      <c r="H1415" t="inlineStr">
        <is>
          <t>Aurora Alvorada Estacionamento e Lanchon</t>
        </is>
      </c>
      <c r="I1415" t="n">
        <v>-212.68</v>
      </c>
    </row>
    <row r="1416">
      <c r="A1416" t="n">
        <v>151296</v>
      </c>
      <c r="B1416" t="n">
        <v>182</v>
      </c>
      <c r="C1416" t="inlineStr">
        <is>
          <t>Love - Shibari - Kamino</t>
        </is>
      </c>
      <c r="D1416" t="n">
        <v>128</v>
      </c>
      <c r="E1416" t="inlineStr">
        <is>
          <t>Love Cabaret</t>
        </is>
      </c>
      <c r="F1416" s="27" t="n">
        <v>45887</v>
      </c>
      <c r="G1416" t="inlineStr">
        <is>
          <t>DEBITO</t>
        </is>
      </c>
      <c r="H1416" t="inlineStr">
        <is>
          <t>Hnk Br Bebidas Ltda</t>
        </is>
      </c>
      <c r="I1416" t="n">
        <v>-2079.36</v>
      </c>
    </row>
    <row r="1417">
      <c r="A1417" t="n">
        <v>151297</v>
      </c>
      <c r="B1417" t="n">
        <v>182</v>
      </c>
      <c r="C1417" t="inlineStr">
        <is>
          <t>Love - Shibari - Kamino</t>
        </is>
      </c>
      <c r="D1417" t="n">
        <v>128</v>
      </c>
      <c r="E1417" t="inlineStr">
        <is>
          <t>Love Cabaret</t>
        </is>
      </c>
      <c r="F1417" s="27" t="n">
        <v>45887</v>
      </c>
      <c r="G1417" t="inlineStr">
        <is>
          <t>DEBITO</t>
        </is>
      </c>
      <c r="H1417" t="inlineStr">
        <is>
          <t>Opus Consultoria e Pesquisa Ltda</t>
        </is>
      </c>
      <c r="I1417" t="n">
        <v>-300</v>
      </c>
    </row>
    <row r="1418">
      <c r="A1418" t="n">
        <v>151298</v>
      </c>
      <c r="B1418" t="n">
        <v>182</v>
      </c>
      <c r="C1418" t="inlineStr">
        <is>
          <t>Love - Shibari - Kamino</t>
        </is>
      </c>
      <c r="D1418" t="n">
        <v>128</v>
      </c>
      <c r="E1418" t="inlineStr">
        <is>
          <t>Love Cabaret</t>
        </is>
      </c>
      <c r="F1418" s="27" t="n">
        <v>45887</v>
      </c>
      <c r="G1418" t="inlineStr">
        <is>
          <t>DEBITO</t>
        </is>
      </c>
      <c r="H1418" t="inlineStr">
        <is>
          <t>Porto Seguro Cia de Seguros Gerais</t>
        </is>
      </c>
      <c r="I1418" t="n">
        <v>-102.42</v>
      </c>
    </row>
    <row r="1419">
      <c r="A1419" t="n">
        <v>151299</v>
      </c>
      <c r="B1419" t="n">
        <v>182</v>
      </c>
      <c r="C1419" t="inlineStr">
        <is>
          <t>Love - Shibari - Kamino</t>
        </is>
      </c>
      <c r="D1419" t="n">
        <v>128</v>
      </c>
      <c r="E1419" t="inlineStr">
        <is>
          <t>Love Cabaret</t>
        </is>
      </c>
      <c r="F1419" s="27" t="n">
        <v>45887</v>
      </c>
      <c r="G1419" t="inlineStr">
        <is>
          <t>DEBITO</t>
        </is>
      </c>
      <c r="H1419" t="inlineStr">
        <is>
          <t>King Comercio de Bebidas Ltda</t>
        </is>
      </c>
      <c r="I1419" t="n">
        <v>-2465.54</v>
      </c>
    </row>
    <row r="1420">
      <c r="A1420" t="n">
        <v>151300</v>
      </c>
      <c r="B1420" t="n">
        <v>182</v>
      </c>
      <c r="C1420" t="inlineStr">
        <is>
          <t>Love - Shibari - Kamino</t>
        </is>
      </c>
      <c r="D1420" t="n">
        <v>128</v>
      </c>
      <c r="E1420" t="inlineStr">
        <is>
          <t>Love Cabaret</t>
        </is>
      </c>
      <c r="F1420" s="27" t="n">
        <v>45887</v>
      </c>
      <c r="G1420" t="inlineStr">
        <is>
          <t>DEBITO</t>
        </is>
      </c>
      <c r="H1420" t="inlineStr">
        <is>
          <t>Stark Bank S.A.</t>
        </is>
      </c>
      <c r="I1420" t="n">
        <v>-30</v>
      </c>
    </row>
    <row r="1421">
      <c r="A1421" t="n">
        <v>151303</v>
      </c>
      <c r="B1421" t="n">
        <v>182</v>
      </c>
      <c r="C1421" t="inlineStr">
        <is>
          <t>Love - Shibari - Kamino</t>
        </is>
      </c>
      <c r="D1421" t="n">
        <v>128</v>
      </c>
      <c r="E1421" t="inlineStr">
        <is>
          <t>Love Cabaret</t>
        </is>
      </c>
      <c r="F1421" s="27" t="n">
        <v>45887</v>
      </c>
      <c r="G1421" t="inlineStr">
        <is>
          <t>DEBITO</t>
        </is>
      </c>
      <c r="H1421" t="inlineStr">
        <is>
          <t>Dist Carnes Cant Ltda Epp</t>
        </is>
      </c>
      <c r="I1421" t="n">
        <v>-268.32</v>
      </c>
    </row>
    <row r="1422">
      <c r="A1422" t="n">
        <v>151302</v>
      </c>
      <c r="B1422" t="n">
        <v>182</v>
      </c>
      <c r="C1422" t="inlineStr">
        <is>
          <t>Love - Shibari - Kamino</t>
        </is>
      </c>
      <c r="D1422" t="n">
        <v>128</v>
      </c>
      <c r="E1422" t="inlineStr">
        <is>
          <t>Love Cabaret</t>
        </is>
      </c>
      <c r="F1422" s="27" t="n">
        <v>45887</v>
      </c>
      <c r="G1422" t="inlineStr">
        <is>
          <t>DEBITO</t>
        </is>
      </c>
      <c r="H1422" t="inlineStr">
        <is>
          <t>Dlocal Brasil I de Pagamentos</t>
        </is>
      </c>
      <c r="I1422" t="n">
        <v>-5000</v>
      </c>
    </row>
    <row r="1423">
      <c r="A1423" t="n">
        <v>151301</v>
      </c>
      <c r="B1423" t="n">
        <v>182</v>
      </c>
      <c r="C1423" t="inlineStr">
        <is>
          <t>Love - Shibari - Kamino</t>
        </is>
      </c>
      <c r="D1423" t="n">
        <v>128</v>
      </c>
      <c r="E1423" t="inlineStr">
        <is>
          <t>Love Cabaret</t>
        </is>
      </c>
      <c r="F1423" s="27" t="n">
        <v>45887</v>
      </c>
      <c r="G1423" t="inlineStr">
        <is>
          <t>DEBITO</t>
        </is>
      </c>
      <c r="H1423" t="inlineStr">
        <is>
          <t>Cg Food S Distr Alimentos Ltda</t>
        </is>
      </c>
      <c r="I1423" t="n">
        <v>-691.4</v>
      </c>
    </row>
    <row r="1424">
      <c r="A1424" t="n">
        <v>151264</v>
      </c>
      <c r="B1424" t="n">
        <v>182</v>
      </c>
      <c r="C1424" t="inlineStr">
        <is>
          <t>Love - Shibari - Kamino</t>
        </is>
      </c>
      <c r="D1424" t="n">
        <v>128</v>
      </c>
      <c r="E1424" t="inlineStr">
        <is>
          <t>Love Cabaret</t>
        </is>
      </c>
      <c r="F1424" s="27" t="n">
        <v>45887</v>
      </c>
      <c r="G1424" t="inlineStr">
        <is>
          <t>CREDITO</t>
        </is>
      </c>
      <c r="H1424" t="inlineStr">
        <is>
          <t>SHIBARI ART E DIVERSAO LTDA</t>
        </is>
      </c>
      <c r="I1424" t="n">
        <v>60000</v>
      </c>
    </row>
    <row r="1425">
      <c r="A1425" t="n">
        <v>151289</v>
      </c>
      <c r="B1425" t="n">
        <v>182</v>
      </c>
      <c r="C1425" t="inlineStr">
        <is>
          <t>Love - Shibari - Kamino</t>
        </is>
      </c>
      <c r="D1425" t="n">
        <v>128</v>
      </c>
      <c r="E1425" t="inlineStr">
        <is>
          <t>Love Cabaret</t>
        </is>
      </c>
      <c r="F1425" s="27" t="n">
        <v>45887</v>
      </c>
      <c r="G1425" t="inlineStr">
        <is>
          <t>DEBITO</t>
        </is>
      </c>
      <c r="H1425" t="inlineStr">
        <is>
          <t>B. B. Distribuidora de Carnes Ltda</t>
        </is>
      </c>
      <c r="I1425" t="n">
        <v>-85.2</v>
      </c>
    </row>
    <row r="1426">
      <c r="A1426" t="n">
        <v>151273</v>
      </c>
      <c r="B1426" t="n">
        <v>182</v>
      </c>
      <c r="C1426" t="inlineStr">
        <is>
          <t>Love - Shibari - Kamino</t>
        </is>
      </c>
      <c r="D1426" t="n">
        <v>128</v>
      </c>
      <c r="E1426" t="inlineStr">
        <is>
          <t>Love Cabaret</t>
        </is>
      </c>
      <c r="F1426" s="27" t="n">
        <v>45887</v>
      </c>
      <c r="G1426" t="inlineStr">
        <is>
          <t>DEBITO</t>
        </is>
      </c>
      <c r="H1426" t="inlineStr">
        <is>
          <t>Psss Ltda</t>
        </is>
      </c>
      <c r="I1426" t="n">
        <v>-446.08</v>
      </c>
    </row>
    <row r="1427">
      <c r="A1427" t="n">
        <v>151272</v>
      </c>
      <c r="B1427" t="n">
        <v>182</v>
      </c>
      <c r="C1427" t="inlineStr">
        <is>
          <t>Love - Shibari - Kamino</t>
        </is>
      </c>
      <c r="D1427" t="n">
        <v>128</v>
      </c>
      <c r="E1427" t="inlineStr">
        <is>
          <t>Love Cabaret</t>
        </is>
      </c>
      <c r="F1427" s="27" t="n">
        <v>45887</v>
      </c>
      <c r="G1427" t="inlineStr">
        <is>
          <t>DEBITO</t>
        </is>
      </c>
      <c r="H1427" t="inlineStr">
        <is>
          <t>Receita Federal</t>
        </is>
      </c>
      <c r="I1427" t="n">
        <v>-443.36</v>
      </c>
    </row>
    <row r="1428">
      <c r="A1428" t="n">
        <v>151271</v>
      </c>
      <c r="B1428" t="n">
        <v>182</v>
      </c>
      <c r="C1428" t="inlineStr">
        <is>
          <t>Love - Shibari - Kamino</t>
        </is>
      </c>
      <c r="D1428" t="n">
        <v>128</v>
      </c>
      <c r="E1428" t="inlineStr">
        <is>
          <t>Love Cabaret</t>
        </is>
      </c>
      <c r="F1428" s="27" t="n">
        <v>45887</v>
      </c>
      <c r="G1428" t="inlineStr">
        <is>
          <t>DEBITO</t>
        </is>
      </c>
      <c r="H1428" t="inlineStr">
        <is>
          <t>Receita Federal</t>
        </is>
      </c>
      <c r="I1428" t="n">
        <v>-685.3</v>
      </c>
    </row>
    <row r="1429">
      <c r="A1429" t="n">
        <v>151270</v>
      </c>
      <c r="B1429" t="n">
        <v>182</v>
      </c>
      <c r="C1429" t="inlineStr">
        <is>
          <t>Love - Shibari - Kamino</t>
        </is>
      </c>
      <c r="D1429" t="n">
        <v>128</v>
      </c>
      <c r="E1429" t="inlineStr">
        <is>
          <t>Love Cabaret</t>
        </is>
      </c>
      <c r="F1429" s="27" t="n">
        <v>45887</v>
      </c>
      <c r="G1429" t="inlineStr">
        <is>
          <t>DEBITO</t>
        </is>
      </c>
      <c r="H1429" t="inlineStr">
        <is>
          <t>Sabesp</t>
        </is>
      </c>
      <c r="I1429" t="n">
        <v>-153.96</v>
      </c>
    </row>
    <row r="1430">
      <c r="A1430" t="n">
        <v>151274</v>
      </c>
      <c r="B1430" t="n">
        <v>182</v>
      </c>
      <c r="C1430" t="inlineStr">
        <is>
          <t>Love - Shibari - Kamino</t>
        </is>
      </c>
      <c r="D1430" t="n">
        <v>128</v>
      </c>
      <c r="E1430" t="inlineStr">
        <is>
          <t>Love Cabaret</t>
        </is>
      </c>
      <c r="F1430" s="27" t="n">
        <v>45887</v>
      </c>
      <c r="G1430" t="inlineStr">
        <is>
          <t>DEBITO</t>
        </is>
      </c>
      <c r="H1430" t="inlineStr">
        <is>
          <t>Receita Federal</t>
        </is>
      </c>
      <c r="I1430" t="n">
        <v>-329.82</v>
      </c>
    </row>
    <row r="1431">
      <c r="A1431" t="n">
        <v>151275</v>
      </c>
      <c r="B1431" t="n">
        <v>182</v>
      </c>
      <c r="C1431" t="inlineStr">
        <is>
          <t>Love - Shibari - Kamino</t>
        </is>
      </c>
      <c r="D1431" t="n">
        <v>128</v>
      </c>
      <c r="E1431" t="inlineStr">
        <is>
          <t>Love Cabaret</t>
        </is>
      </c>
      <c r="F1431" s="27" t="n">
        <v>45887</v>
      </c>
      <c r="G1431" t="inlineStr">
        <is>
          <t>DEBITO</t>
        </is>
      </c>
      <c r="H1431" t="inlineStr">
        <is>
          <t>Cecilia Tsuyaco Araki Silva Ltda</t>
        </is>
      </c>
      <c r="I1431" t="n">
        <v>-207.11</v>
      </c>
    </row>
    <row r="1432">
      <c r="A1432" t="n">
        <v>151276</v>
      </c>
      <c r="B1432" t="n">
        <v>182</v>
      </c>
      <c r="C1432" t="inlineStr">
        <is>
          <t>Love - Shibari - Kamino</t>
        </is>
      </c>
      <c r="D1432" t="n">
        <v>128</v>
      </c>
      <c r="E1432" t="inlineStr">
        <is>
          <t>Love Cabaret</t>
        </is>
      </c>
      <c r="F1432" s="27" t="n">
        <v>45887</v>
      </c>
      <c r="G1432" t="inlineStr">
        <is>
          <t>DEBITO</t>
        </is>
      </c>
      <c r="H1432" t="inlineStr">
        <is>
          <t>Receita Federal</t>
        </is>
      </c>
      <c r="I1432" t="n">
        <v>-108.22</v>
      </c>
    </row>
    <row r="1433">
      <c r="A1433" t="n">
        <v>151277</v>
      </c>
      <c r="B1433" t="n">
        <v>182</v>
      </c>
      <c r="C1433" t="inlineStr">
        <is>
          <t>Love - Shibari - Kamino</t>
        </is>
      </c>
      <c r="D1433" t="n">
        <v>128</v>
      </c>
      <c r="E1433" t="inlineStr">
        <is>
          <t>Love Cabaret</t>
        </is>
      </c>
      <c r="F1433" s="27" t="n">
        <v>45887</v>
      </c>
      <c r="G1433" t="inlineStr">
        <is>
          <t>DEBITO</t>
        </is>
      </c>
      <c r="H1433" t="inlineStr">
        <is>
          <t>Cem Engenharia da Manutencao L</t>
        </is>
      </c>
      <c r="I1433" t="n">
        <v>-656.77</v>
      </c>
    </row>
    <row r="1434">
      <c r="A1434" t="n">
        <v>151278</v>
      </c>
      <c r="B1434" t="n">
        <v>182</v>
      </c>
      <c r="C1434" t="inlineStr">
        <is>
          <t>Love - Shibari - Kamino</t>
        </is>
      </c>
      <c r="D1434" t="n">
        <v>128</v>
      </c>
      <c r="E1434" t="inlineStr">
        <is>
          <t>Love Cabaret</t>
        </is>
      </c>
      <c r="F1434" s="27" t="n">
        <v>45887</v>
      </c>
      <c r="G1434" t="inlineStr">
        <is>
          <t>DEBITO</t>
        </is>
      </c>
      <c r="H1434" t="inlineStr">
        <is>
          <t>Laticinios Fior D Italia Ltda</t>
        </is>
      </c>
      <c r="I1434" t="n">
        <v>-326.75</v>
      </c>
    </row>
    <row r="1435">
      <c r="A1435" t="n">
        <v>151279</v>
      </c>
      <c r="B1435" t="n">
        <v>182</v>
      </c>
      <c r="C1435" t="inlineStr">
        <is>
          <t>Love - Shibari - Kamino</t>
        </is>
      </c>
      <c r="D1435" t="n">
        <v>128</v>
      </c>
      <c r="E1435" t="inlineStr">
        <is>
          <t>Love Cabaret</t>
        </is>
      </c>
      <c r="F1435" s="27" t="n">
        <v>45887</v>
      </c>
      <c r="G1435" t="inlineStr">
        <is>
          <t>DEBITO</t>
        </is>
      </c>
      <c r="H1435" t="inlineStr">
        <is>
          <t>Ng27 Consultoria e Gestao Empr</t>
        </is>
      </c>
      <c r="I1435" t="n">
        <v>-348.3</v>
      </c>
    </row>
    <row r="1436">
      <c r="A1436" t="n">
        <v>151280</v>
      </c>
      <c r="B1436" t="n">
        <v>182</v>
      </c>
      <c r="C1436" t="inlineStr">
        <is>
          <t>Love - Shibari - Kamino</t>
        </is>
      </c>
      <c r="D1436" t="n">
        <v>128</v>
      </c>
      <c r="E1436" t="inlineStr">
        <is>
          <t>Love Cabaret</t>
        </is>
      </c>
      <c r="F1436" s="27" t="n">
        <v>45887</v>
      </c>
      <c r="G1436" t="inlineStr">
        <is>
          <t>DEBITO</t>
        </is>
      </c>
      <c r="H1436" t="inlineStr">
        <is>
          <t>Nova Comercial do Peixe Eireli</t>
        </is>
      </c>
      <c r="I1436" t="n">
        <v>-588</v>
      </c>
    </row>
    <row r="1437">
      <c r="A1437" t="n">
        <v>151281</v>
      </c>
      <c r="B1437" t="n">
        <v>182</v>
      </c>
      <c r="C1437" t="inlineStr">
        <is>
          <t>Love - Shibari - Kamino</t>
        </is>
      </c>
      <c r="D1437" t="n">
        <v>128</v>
      </c>
      <c r="E1437" t="inlineStr">
        <is>
          <t>Love Cabaret</t>
        </is>
      </c>
      <c r="F1437" s="27" t="n">
        <v>45887</v>
      </c>
      <c r="G1437" t="inlineStr">
        <is>
          <t>DEBITO</t>
        </is>
      </c>
      <c r="H1437" t="inlineStr">
        <is>
          <t>Receita Federal</t>
        </is>
      </c>
      <c r="I1437" t="n">
        <v>-1303.76</v>
      </c>
    </row>
    <row r="1438">
      <c r="A1438" t="n">
        <v>151282</v>
      </c>
      <c r="B1438" t="n">
        <v>182</v>
      </c>
      <c r="C1438" t="inlineStr">
        <is>
          <t>Love - Shibari - Kamino</t>
        </is>
      </c>
      <c r="D1438" t="n">
        <v>128</v>
      </c>
      <c r="E1438" t="inlineStr">
        <is>
          <t>Love Cabaret</t>
        </is>
      </c>
      <c r="F1438" s="27" t="n">
        <v>45887</v>
      </c>
      <c r="G1438" t="inlineStr">
        <is>
          <t>DEBITO</t>
        </is>
      </c>
      <c r="H1438" t="inlineStr">
        <is>
          <t>Preshh Bar Ltda</t>
        </is>
      </c>
      <c r="I1438" t="n">
        <v>-198</v>
      </c>
    </row>
    <row r="1439">
      <c r="A1439" t="n">
        <v>151283</v>
      </c>
      <c r="B1439" t="n">
        <v>182</v>
      </c>
      <c r="C1439" t="inlineStr">
        <is>
          <t>Love - Shibari - Kamino</t>
        </is>
      </c>
      <c r="D1439" t="n">
        <v>128</v>
      </c>
      <c r="E1439" t="inlineStr">
        <is>
          <t>Love Cabaret</t>
        </is>
      </c>
      <c r="F1439" s="27" t="n">
        <v>45887</v>
      </c>
      <c r="G1439" t="inlineStr">
        <is>
          <t>DEBITO</t>
        </is>
      </c>
      <c r="H1439" t="inlineStr">
        <is>
          <t>Kamino Processamento de Dados Ltda</t>
        </is>
      </c>
      <c r="I1439" t="n">
        <v>-400</v>
      </c>
    </row>
    <row r="1440">
      <c r="A1440" t="n">
        <v>151284</v>
      </c>
      <c r="B1440" t="n">
        <v>182</v>
      </c>
      <c r="C1440" t="inlineStr">
        <is>
          <t>Love - Shibari - Kamino</t>
        </is>
      </c>
      <c r="D1440" t="n">
        <v>128</v>
      </c>
      <c r="E1440" t="inlineStr">
        <is>
          <t>Love Cabaret</t>
        </is>
      </c>
      <c r="F1440" s="27" t="n">
        <v>45887</v>
      </c>
      <c r="G1440" t="inlineStr">
        <is>
          <t>DEBITO</t>
        </is>
      </c>
      <c r="H1440" t="inlineStr">
        <is>
          <t>Forte Alimentos Comercio e Importacao Lt</t>
        </is>
      </c>
      <c r="I1440" t="n">
        <v>-849.86</v>
      </c>
    </row>
    <row r="1441">
      <c r="A1441" t="n">
        <v>151290</v>
      </c>
      <c r="B1441" t="n">
        <v>182</v>
      </c>
      <c r="C1441" t="inlineStr">
        <is>
          <t>Love - Shibari - Kamino</t>
        </is>
      </c>
      <c r="D1441" t="n">
        <v>128</v>
      </c>
      <c r="E1441" t="inlineStr">
        <is>
          <t>Love Cabaret</t>
        </is>
      </c>
      <c r="F1441" s="27" t="n">
        <v>45887</v>
      </c>
      <c r="G1441" t="inlineStr">
        <is>
          <t>DEBITO</t>
        </is>
      </c>
      <c r="H1441" t="inlineStr">
        <is>
          <t>B. B. Distribuidora de Carnes Ltda</t>
        </is>
      </c>
      <c r="I1441" t="n">
        <v>-91.2</v>
      </c>
    </row>
    <row r="1442">
      <c r="A1442" t="n">
        <v>151288</v>
      </c>
      <c r="B1442" t="n">
        <v>182</v>
      </c>
      <c r="C1442" t="inlineStr">
        <is>
          <t>Love - Shibari - Kamino</t>
        </is>
      </c>
      <c r="D1442" t="n">
        <v>128</v>
      </c>
      <c r="E1442" t="inlineStr">
        <is>
          <t>Love Cabaret</t>
        </is>
      </c>
      <c r="F1442" s="27" t="n">
        <v>45887</v>
      </c>
      <c r="G1442" t="inlineStr">
        <is>
          <t>DEBITO</t>
        </is>
      </c>
      <c r="H1442" t="inlineStr">
        <is>
          <t>Cepel Comercio de Papeis e Emb</t>
        </is>
      </c>
      <c r="I1442" t="n">
        <v>-1318.88</v>
      </c>
    </row>
    <row r="1443">
      <c r="A1443" t="n">
        <v>151269</v>
      </c>
      <c r="B1443" t="n">
        <v>182</v>
      </c>
      <c r="C1443" t="inlineStr">
        <is>
          <t>Love - Shibari - Kamino</t>
        </is>
      </c>
      <c r="D1443" t="n">
        <v>128</v>
      </c>
      <c r="E1443" t="inlineStr">
        <is>
          <t>Love Cabaret</t>
        </is>
      </c>
      <c r="F1443" s="27" t="n">
        <v>45887</v>
      </c>
      <c r="G1443" t="inlineStr">
        <is>
          <t>DEBITO</t>
        </is>
      </c>
      <c r="H1443" t="inlineStr">
        <is>
          <t>Stephany Rodrigues da Silva</t>
        </is>
      </c>
      <c r="I1443" t="n">
        <v>-400</v>
      </c>
    </row>
    <row r="1444">
      <c r="A1444" t="n">
        <v>151268</v>
      </c>
      <c r="B1444" t="n">
        <v>182</v>
      </c>
      <c r="C1444" t="inlineStr">
        <is>
          <t>Love - Shibari - Kamino</t>
        </is>
      </c>
      <c r="D1444" t="n">
        <v>128</v>
      </c>
      <c r="E1444" t="inlineStr">
        <is>
          <t>Love Cabaret</t>
        </is>
      </c>
      <c r="F1444" s="27" t="n">
        <v>45887</v>
      </c>
      <c r="G1444" t="inlineStr">
        <is>
          <t>DEBITO</t>
        </is>
      </c>
      <c r="H1444" t="inlineStr">
        <is>
          <t>Carol Machado Eventos</t>
        </is>
      </c>
      <c r="I1444" t="n">
        <v>-1500</v>
      </c>
    </row>
    <row r="1445">
      <c r="A1445" t="n">
        <v>151267</v>
      </c>
      <c r="B1445" t="n">
        <v>182</v>
      </c>
      <c r="C1445" t="inlineStr">
        <is>
          <t>Love - Shibari - Kamino</t>
        </is>
      </c>
      <c r="D1445" t="n">
        <v>128</v>
      </c>
      <c r="E1445" t="inlineStr">
        <is>
          <t>Love Cabaret</t>
        </is>
      </c>
      <c r="F1445" s="27" t="n">
        <v>45887</v>
      </c>
      <c r="G1445" t="inlineStr">
        <is>
          <t>DEBITO</t>
        </is>
      </c>
      <c r="H1445" t="inlineStr">
        <is>
          <t>CAIXA ECONOMICA FEDERAL</t>
        </is>
      </c>
      <c r="I1445" t="n">
        <v>-362.16</v>
      </c>
    </row>
    <row r="1446">
      <c r="A1446" t="n">
        <v>151266</v>
      </c>
      <c r="B1446" t="n">
        <v>182</v>
      </c>
      <c r="C1446" t="inlineStr">
        <is>
          <t>Love - Shibari - Kamino</t>
        </is>
      </c>
      <c r="D1446" t="n">
        <v>128</v>
      </c>
      <c r="E1446" t="inlineStr">
        <is>
          <t>Love Cabaret</t>
        </is>
      </c>
      <c r="F1446" s="27" t="n">
        <v>45887</v>
      </c>
      <c r="G1446" t="inlineStr">
        <is>
          <t>DEBITO</t>
        </is>
      </c>
      <c r="H1446" t="inlineStr">
        <is>
          <t>Receita Federal</t>
        </is>
      </c>
      <c r="I1446" t="n">
        <v>-434.46</v>
      </c>
    </row>
    <row r="1447">
      <c r="A1447" t="n">
        <v>151265</v>
      </c>
      <c r="B1447" t="n">
        <v>182</v>
      </c>
      <c r="C1447" t="inlineStr">
        <is>
          <t>Love - Shibari - Kamino</t>
        </is>
      </c>
      <c r="D1447" t="n">
        <v>128</v>
      </c>
      <c r="E1447" t="inlineStr">
        <is>
          <t>Love Cabaret</t>
        </is>
      </c>
      <c r="F1447" s="27" t="n">
        <v>45887</v>
      </c>
      <c r="G1447" t="inlineStr">
        <is>
          <t>DEBITO</t>
        </is>
      </c>
      <c r="H1447" t="inlineStr">
        <is>
          <t>Machine Seguranca Patrimonial Ltda</t>
        </is>
      </c>
      <c r="I1447" t="n">
        <v>-4636.95</v>
      </c>
    </row>
    <row r="1448">
      <c r="A1448" t="n">
        <v>151285</v>
      </c>
      <c r="B1448" t="n">
        <v>182</v>
      </c>
      <c r="C1448" t="inlineStr">
        <is>
          <t>Love - Shibari - Kamino</t>
        </is>
      </c>
      <c r="D1448" t="n">
        <v>128</v>
      </c>
      <c r="E1448" t="inlineStr">
        <is>
          <t>Love Cabaret</t>
        </is>
      </c>
      <c r="F1448" s="27" t="n">
        <v>45887</v>
      </c>
      <c r="G1448" t="inlineStr">
        <is>
          <t>DEBITO</t>
        </is>
      </c>
      <c r="H1448" t="inlineStr">
        <is>
          <t>W P P C Carnes Eireli Epp</t>
        </is>
      </c>
      <c r="I1448" t="n">
        <v>-958.52</v>
      </c>
    </row>
    <row r="1449">
      <c r="A1449" t="n">
        <v>151287</v>
      </c>
      <c r="B1449" t="n">
        <v>182</v>
      </c>
      <c r="C1449" t="inlineStr">
        <is>
          <t>Love - Shibari - Kamino</t>
        </is>
      </c>
      <c r="D1449" t="n">
        <v>128</v>
      </c>
      <c r="E1449" t="inlineStr">
        <is>
          <t>Love Cabaret</t>
        </is>
      </c>
      <c r="F1449" s="27" t="n">
        <v>45887</v>
      </c>
      <c r="G1449" t="inlineStr">
        <is>
          <t>DEBITO</t>
        </is>
      </c>
      <c r="H1449" t="inlineStr">
        <is>
          <t>Dtk Comercio de Alimentos Ltda Epp</t>
        </is>
      </c>
      <c r="I1449" t="n">
        <v>-766.55</v>
      </c>
    </row>
    <row r="1450">
      <c r="A1450" t="n">
        <v>151286</v>
      </c>
      <c r="B1450" t="n">
        <v>182</v>
      </c>
      <c r="C1450" t="inlineStr">
        <is>
          <t>Love - Shibari - Kamino</t>
        </is>
      </c>
      <c r="D1450" t="n">
        <v>128</v>
      </c>
      <c r="E1450" t="inlineStr">
        <is>
          <t>Love Cabaret</t>
        </is>
      </c>
      <c r="F1450" s="27" t="n">
        <v>45887</v>
      </c>
      <c r="G1450" t="inlineStr">
        <is>
          <t>DEBITO</t>
        </is>
      </c>
      <c r="H1450" t="inlineStr">
        <is>
          <t>Alphalix Ambiental Locacao de Equipament</t>
        </is>
      </c>
      <c r="I1450" t="n">
        <v>-1410.94</v>
      </c>
    </row>
    <row r="1451">
      <c r="A1451" t="n">
        <v>151227</v>
      </c>
      <c r="B1451" t="n">
        <v>115</v>
      </c>
      <c r="C1451" t="inlineStr">
        <is>
          <t>Love - Shibari - Bradesco</t>
        </is>
      </c>
      <c r="D1451" t="n">
        <v>128</v>
      </c>
      <c r="E1451" t="inlineStr">
        <is>
          <t>Love Cabaret</t>
        </is>
      </c>
      <c r="F1451" s="27" t="n">
        <v>45884.5</v>
      </c>
      <c r="G1451" t="inlineStr">
        <is>
          <t>DEBITO</t>
        </is>
      </c>
      <c r="H1451" t="inlineStr">
        <is>
          <t>TARIFA BANCARIA Max Empresarial 1</t>
        </is>
      </c>
      <c r="I1451" t="n">
        <v>-177.05</v>
      </c>
    </row>
    <row r="1452">
      <c r="A1452" t="n">
        <v>151225</v>
      </c>
      <c r="B1452" t="n">
        <v>115</v>
      </c>
      <c r="C1452" t="inlineStr">
        <is>
          <t>Love - Shibari - Bradesco</t>
        </is>
      </c>
      <c r="D1452" t="n">
        <v>128</v>
      </c>
      <c r="E1452" t="inlineStr">
        <is>
          <t>Love Cabaret</t>
        </is>
      </c>
      <c r="F1452" s="27" t="n">
        <v>45884.5</v>
      </c>
      <c r="G1452" t="inlineStr">
        <is>
          <t>CREDITO</t>
        </is>
      </c>
      <c r="H1452" t="inlineStr">
        <is>
          <t>TRANSFERENCIA PIX REM: Jader Bueno da Silva  15/08</t>
        </is>
      </c>
      <c r="I1452" t="n">
        <v>1240</v>
      </c>
    </row>
    <row r="1453">
      <c r="A1453" t="n">
        <v>151226</v>
      </c>
      <c r="B1453" t="n">
        <v>115</v>
      </c>
      <c r="C1453" t="inlineStr">
        <is>
          <t>Love - Shibari - Bradesco</t>
        </is>
      </c>
      <c r="D1453" t="n">
        <v>128</v>
      </c>
      <c r="E1453" t="inlineStr">
        <is>
          <t>Love Cabaret</t>
        </is>
      </c>
      <c r="F1453" s="27" t="n">
        <v>45884.5</v>
      </c>
      <c r="G1453" t="inlineStr">
        <is>
          <t>CREDITO</t>
        </is>
      </c>
      <c r="H1453" t="inlineStr">
        <is>
          <t>TRANSFERENCIA PIX REM: ALVARO CESAR DA SILVA 15/08</t>
        </is>
      </c>
      <c r="I1453" t="n">
        <v>387.5</v>
      </c>
    </row>
    <row r="1454">
      <c r="A1454" t="n">
        <v>137768</v>
      </c>
      <c r="B1454" t="n">
        <v>115</v>
      </c>
      <c r="C1454" t="inlineStr">
        <is>
          <t>Love - Shibari - Bradesco</t>
        </is>
      </c>
      <c r="D1454" t="n">
        <v>128</v>
      </c>
      <c r="E1454" t="inlineStr">
        <is>
          <t>Love Cabaret</t>
        </is>
      </c>
      <c r="F1454" s="27" t="n">
        <v>45883.5</v>
      </c>
      <c r="G1454" t="inlineStr">
        <is>
          <t>CREDITO</t>
        </is>
      </c>
      <c r="H1454" t="inlineStr">
        <is>
          <t>TRANSFERENCIA PIX REM: THAINA CAROLINE DOS S 14/08</t>
        </is>
      </c>
      <c r="I1454" t="n">
        <v>1860</v>
      </c>
    </row>
    <row r="1455">
      <c r="A1455" t="n">
        <v>137767</v>
      </c>
      <c r="B1455" t="n">
        <v>115</v>
      </c>
      <c r="C1455" t="inlineStr">
        <is>
          <t>Love - Shibari - Bradesco</t>
        </is>
      </c>
      <c r="D1455" t="n">
        <v>128</v>
      </c>
      <c r="E1455" t="inlineStr">
        <is>
          <t>Love Cabaret</t>
        </is>
      </c>
      <c r="F1455" s="27" t="n">
        <v>45883.5</v>
      </c>
      <c r="G1455" t="inlineStr">
        <is>
          <t>CREDITO</t>
        </is>
      </c>
      <c r="H1455" t="inlineStr">
        <is>
          <t>TRANSFERENCIA PIX REM: DANIELLE CANDIDO DE O 14/08</t>
        </is>
      </c>
      <c r="I1455" t="n">
        <v>620</v>
      </c>
    </row>
    <row r="1456">
      <c r="A1456" t="n">
        <v>137766</v>
      </c>
      <c r="B1456" t="n">
        <v>115</v>
      </c>
      <c r="C1456" t="inlineStr">
        <is>
          <t>Love - Shibari - Bradesco</t>
        </is>
      </c>
      <c r="D1456" t="n">
        <v>128</v>
      </c>
      <c r="E1456" t="inlineStr">
        <is>
          <t>Love Cabaret</t>
        </is>
      </c>
      <c r="F1456" s="27" t="n">
        <v>45883.5</v>
      </c>
      <c r="G1456" t="inlineStr">
        <is>
          <t>CREDITO</t>
        </is>
      </c>
      <c r="H1456" t="inlineStr">
        <is>
          <t>TRANSFERENCIA PIX REM: SHIBARI ART E DIVERSA 14/08</t>
        </is>
      </c>
      <c r="I1456" t="n">
        <v>13186.54</v>
      </c>
    </row>
    <row r="1457">
      <c r="A1457" t="n">
        <v>137765</v>
      </c>
      <c r="B1457" t="n">
        <v>115</v>
      </c>
      <c r="C1457" t="inlineStr">
        <is>
          <t>Love - Shibari - Bradesco</t>
        </is>
      </c>
      <c r="D1457" t="n">
        <v>128</v>
      </c>
      <c r="E1457" t="inlineStr">
        <is>
          <t>Love Cabaret</t>
        </is>
      </c>
      <c r="F1457" s="27" t="n">
        <v>45883.5</v>
      </c>
      <c r="G1457" t="inlineStr">
        <is>
          <t>CREDITO</t>
        </is>
      </c>
      <c r="H1457" t="inlineStr">
        <is>
          <t>TRANSFERENCIA PIX REM: Rodrigo Motta Santoro 14/08</t>
        </is>
      </c>
      <c r="I1457" t="n">
        <v>77.5</v>
      </c>
    </row>
    <row r="1458">
      <c r="A1458" t="n">
        <v>137856</v>
      </c>
      <c r="B1458" t="n">
        <v>182</v>
      </c>
      <c r="C1458" t="inlineStr">
        <is>
          <t>Love - Shibari - Kamino</t>
        </is>
      </c>
      <c r="D1458" t="n">
        <v>128</v>
      </c>
      <c r="E1458" t="inlineStr">
        <is>
          <t>Love Cabaret</t>
        </is>
      </c>
      <c r="F1458" s="27" t="n">
        <v>45883</v>
      </c>
      <c r="G1458" t="inlineStr">
        <is>
          <t>DEBITO</t>
        </is>
      </c>
      <c r="H1458" t="inlineStr">
        <is>
          <t>GOOGLE BRASIL INTERNET LTDA.</t>
        </is>
      </c>
      <c r="I1458" t="n">
        <v>-1000</v>
      </c>
    </row>
    <row r="1459">
      <c r="A1459" t="n">
        <v>137763</v>
      </c>
      <c r="B1459" t="n">
        <v>115</v>
      </c>
      <c r="C1459" t="inlineStr">
        <is>
          <t>Love - Shibari - Bradesco</t>
        </is>
      </c>
      <c r="D1459" t="n">
        <v>128</v>
      </c>
      <c r="E1459" t="inlineStr">
        <is>
          <t>Love Cabaret</t>
        </is>
      </c>
      <c r="F1459" s="27" t="n">
        <v>45882.5</v>
      </c>
      <c r="G1459" t="inlineStr">
        <is>
          <t>CREDITO</t>
        </is>
      </c>
      <c r="H1459" t="inlineStr">
        <is>
          <t>TED-TRANSF ELET DISPON REMET.SYMPLA INTERNET SOLU</t>
        </is>
      </c>
      <c r="I1459" t="n">
        <v>55</v>
      </c>
    </row>
    <row r="1460">
      <c r="A1460" t="n">
        <v>137762</v>
      </c>
      <c r="B1460" t="n">
        <v>115</v>
      </c>
      <c r="C1460" t="inlineStr">
        <is>
          <t>Love - Shibari - Bradesco</t>
        </is>
      </c>
      <c r="D1460" t="n">
        <v>128</v>
      </c>
      <c r="E1460" t="inlineStr">
        <is>
          <t>Love Cabaret</t>
        </is>
      </c>
      <c r="F1460" s="27" t="n">
        <v>45882.5</v>
      </c>
      <c r="G1460" t="inlineStr">
        <is>
          <t>CREDITO</t>
        </is>
      </c>
      <c r="H1460" t="inlineStr">
        <is>
          <t>TED-TRANSF ELET DISPON REMET.SYMPLA INTERNET SOLU</t>
        </is>
      </c>
      <c r="I1460" t="n">
        <v>7765</v>
      </c>
    </row>
    <row r="1461">
      <c r="A1461" t="n">
        <v>137761</v>
      </c>
      <c r="B1461" t="n">
        <v>115</v>
      </c>
      <c r="C1461" t="inlineStr">
        <is>
          <t>Love - Shibari - Bradesco</t>
        </is>
      </c>
      <c r="D1461" t="n">
        <v>128</v>
      </c>
      <c r="E1461" t="inlineStr">
        <is>
          <t>Love Cabaret</t>
        </is>
      </c>
      <c r="F1461" s="27" t="n">
        <v>45882.5</v>
      </c>
      <c r="G1461" t="inlineStr">
        <is>
          <t>CREDITO</t>
        </is>
      </c>
      <c r="H1461" t="inlineStr">
        <is>
          <t>TED-TRANSF ELET DISPON REMET.SYMPLA INTERNET SOLU</t>
        </is>
      </c>
      <c r="I1461" t="n">
        <v>14315</v>
      </c>
    </row>
    <row r="1462">
      <c r="A1462" t="n">
        <v>137764</v>
      </c>
      <c r="B1462" t="n">
        <v>115</v>
      </c>
      <c r="C1462" t="inlineStr">
        <is>
          <t>Love - Shibari - Bradesco</t>
        </is>
      </c>
      <c r="D1462" t="n">
        <v>128</v>
      </c>
      <c r="E1462" t="inlineStr">
        <is>
          <t>Love Cabaret</t>
        </is>
      </c>
      <c r="F1462" s="27" t="n">
        <v>45882.5</v>
      </c>
      <c r="G1462" t="inlineStr">
        <is>
          <t>DEBITO</t>
        </is>
      </c>
      <c r="H1462" t="inlineStr">
        <is>
          <t>TARIFA BANCARIA TRANSF PGTO PIX</t>
        </is>
      </c>
      <c r="I1462" t="n">
        <v>-9.800000000000001</v>
      </c>
    </row>
    <row r="1463">
      <c r="A1463" t="n">
        <v>137844</v>
      </c>
      <c r="B1463" t="n">
        <v>182</v>
      </c>
      <c r="C1463" t="inlineStr">
        <is>
          <t>Love - Shibari - Kamino</t>
        </is>
      </c>
      <c r="D1463" t="n">
        <v>128</v>
      </c>
      <c r="E1463" t="inlineStr">
        <is>
          <t>Love Cabaret</t>
        </is>
      </c>
      <c r="F1463" s="27" t="n">
        <v>45882</v>
      </c>
      <c r="G1463" t="inlineStr">
        <is>
          <t>DEBITO</t>
        </is>
      </c>
      <c r="H1463" t="inlineStr">
        <is>
          <t>Luiz Roberto da Silva Junior</t>
        </is>
      </c>
      <c r="I1463" t="n">
        <v>-1000</v>
      </c>
    </row>
    <row r="1464">
      <c r="A1464" t="n">
        <v>137845</v>
      </c>
      <c r="B1464" t="n">
        <v>182</v>
      </c>
      <c r="C1464" t="inlineStr">
        <is>
          <t>Love - Shibari - Kamino</t>
        </is>
      </c>
      <c r="D1464" t="n">
        <v>128</v>
      </c>
      <c r="E1464" t="inlineStr">
        <is>
          <t>Love Cabaret</t>
        </is>
      </c>
      <c r="F1464" s="27" t="n">
        <v>45882</v>
      </c>
      <c r="G1464" t="inlineStr">
        <is>
          <t>DEBITO</t>
        </is>
      </c>
      <c r="H1464" t="inlineStr">
        <is>
          <t>Juliana Oliveira da Silva</t>
        </is>
      </c>
      <c r="I1464" t="n">
        <v>-391.6</v>
      </c>
    </row>
    <row r="1465">
      <c r="A1465" t="n">
        <v>137846</v>
      </c>
      <c r="B1465" t="n">
        <v>182</v>
      </c>
      <c r="C1465" t="inlineStr">
        <is>
          <t>Love - Shibari - Kamino</t>
        </is>
      </c>
      <c r="D1465" t="n">
        <v>128</v>
      </c>
      <c r="E1465" t="inlineStr">
        <is>
          <t>Love Cabaret</t>
        </is>
      </c>
      <c r="F1465" s="27" t="n">
        <v>45882</v>
      </c>
      <c r="G1465" t="inlineStr">
        <is>
          <t>DEBITO</t>
        </is>
      </c>
      <c r="H1465" t="inlineStr">
        <is>
          <t>Cia do Whisky</t>
        </is>
      </c>
      <c r="I1465" t="n">
        <v>-845.03</v>
      </c>
    </row>
    <row r="1466">
      <c r="A1466" t="n">
        <v>137847</v>
      </c>
      <c r="B1466" t="n">
        <v>182</v>
      </c>
      <c r="C1466" t="inlineStr">
        <is>
          <t>Love - Shibari - Kamino</t>
        </is>
      </c>
      <c r="D1466" t="n">
        <v>128</v>
      </c>
      <c r="E1466" t="inlineStr">
        <is>
          <t>Love Cabaret</t>
        </is>
      </c>
      <c r="F1466" s="27" t="n">
        <v>45882</v>
      </c>
      <c r="G1466" t="inlineStr">
        <is>
          <t>DEBITO</t>
        </is>
      </c>
      <c r="H1466" t="inlineStr">
        <is>
          <t>Fg7 Comercio D B Eireli Epp</t>
        </is>
      </c>
      <c r="I1466" t="n">
        <v>-288.33</v>
      </c>
    </row>
    <row r="1467">
      <c r="A1467" t="n">
        <v>137848</v>
      </c>
      <c r="B1467" t="n">
        <v>182</v>
      </c>
      <c r="C1467" t="inlineStr">
        <is>
          <t>Love - Shibari - Kamino</t>
        </is>
      </c>
      <c r="D1467" t="n">
        <v>128</v>
      </c>
      <c r="E1467" t="inlineStr">
        <is>
          <t>Love Cabaret</t>
        </is>
      </c>
      <c r="F1467" s="27" t="n">
        <v>45882</v>
      </c>
      <c r="G1467" t="inlineStr">
        <is>
          <t>DEBITO</t>
        </is>
      </c>
      <c r="H1467" t="inlineStr">
        <is>
          <t>Cecilia Tsuyaco Araki Silva Ltda</t>
        </is>
      </c>
      <c r="I1467" t="n">
        <v>-66</v>
      </c>
    </row>
    <row r="1468">
      <c r="A1468" t="n">
        <v>137849</v>
      </c>
      <c r="B1468" t="n">
        <v>182</v>
      </c>
      <c r="C1468" t="inlineStr">
        <is>
          <t>Love - Shibari - Kamino</t>
        </is>
      </c>
      <c r="D1468" t="n">
        <v>128</v>
      </c>
      <c r="E1468" t="inlineStr">
        <is>
          <t>Love Cabaret</t>
        </is>
      </c>
      <c r="F1468" s="27" t="n">
        <v>45882</v>
      </c>
      <c r="G1468" t="inlineStr">
        <is>
          <t>DEBITO</t>
        </is>
      </c>
      <c r="H1468" t="inlineStr">
        <is>
          <t>Brh Saude Ocupacional Ltda Epp</t>
        </is>
      </c>
      <c r="I1468" t="n">
        <v>-43.6</v>
      </c>
    </row>
    <row r="1469">
      <c r="A1469" t="n">
        <v>137850</v>
      </c>
      <c r="B1469" t="n">
        <v>182</v>
      </c>
      <c r="C1469" t="inlineStr">
        <is>
          <t>Love - Shibari - Kamino</t>
        </is>
      </c>
      <c r="D1469" t="n">
        <v>128</v>
      </c>
      <c r="E1469" t="inlineStr">
        <is>
          <t>Love Cabaret</t>
        </is>
      </c>
      <c r="F1469" s="27" t="n">
        <v>45882</v>
      </c>
      <c r="G1469" t="inlineStr">
        <is>
          <t>DEBITO</t>
        </is>
      </c>
      <c r="H1469" t="inlineStr">
        <is>
          <t>Estaff Solucoes Tecnologicas de Agenciam</t>
        </is>
      </c>
      <c r="I1469" t="n">
        <v>-14608</v>
      </c>
    </row>
    <row r="1470">
      <c r="A1470" t="n">
        <v>137851</v>
      </c>
      <c r="B1470" t="n">
        <v>182</v>
      </c>
      <c r="C1470" t="inlineStr">
        <is>
          <t>Love - Shibari - Kamino</t>
        </is>
      </c>
      <c r="D1470" t="n">
        <v>128</v>
      </c>
      <c r="E1470" t="inlineStr">
        <is>
          <t>Love Cabaret</t>
        </is>
      </c>
      <c r="F1470" s="27" t="n">
        <v>45882</v>
      </c>
      <c r="G1470" t="inlineStr">
        <is>
          <t>DEBITO</t>
        </is>
      </c>
      <c r="H1470" t="inlineStr">
        <is>
          <t>Jose Cassio Prevedel Sistemas</t>
        </is>
      </c>
      <c r="I1470" t="n">
        <v>-400</v>
      </c>
    </row>
    <row r="1471">
      <c r="A1471" t="n">
        <v>137852</v>
      </c>
      <c r="B1471" t="n">
        <v>182</v>
      </c>
      <c r="C1471" t="inlineStr">
        <is>
          <t>Love - Shibari - Kamino</t>
        </is>
      </c>
      <c r="D1471" t="n">
        <v>128</v>
      </c>
      <c r="E1471" t="inlineStr">
        <is>
          <t>Love Cabaret</t>
        </is>
      </c>
      <c r="F1471" s="27" t="n">
        <v>45882</v>
      </c>
      <c r="G1471" t="inlineStr">
        <is>
          <t>DEBITO</t>
        </is>
      </c>
      <c r="H1471" t="inlineStr">
        <is>
          <t>Fablab Inovacao S T Ltda</t>
        </is>
      </c>
      <c r="I1471" t="n">
        <v>-389</v>
      </c>
    </row>
    <row r="1472">
      <c r="A1472" t="n">
        <v>137853</v>
      </c>
      <c r="B1472" t="n">
        <v>182</v>
      </c>
      <c r="C1472" t="inlineStr">
        <is>
          <t>Love - Shibari - Kamino</t>
        </is>
      </c>
      <c r="D1472" t="n">
        <v>128</v>
      </c>
      <c r="E1472" t="inlineStr">
        <is>
          <t>Love Cabaret</t>
        </is>
      </c>
      <c r="F1472" s="27" t="n">
        <v>45882</v>
      </c>
      <c r="G1472" t="inlineStr">
        <is>
          <t>DEBITO</t>
        </is>
      </c>
      <c r="H1472" t="inlineStr">
        <is>
          <t>Cem Engenharia da Manutencao L</t>
        </is>
      </c>
      <c r="I1472" t="n">
        <v>-638.73</v>
      </c>
    </row>
    <row r="1473">
      <c r="A1473" t="n">
        <v>137854</v>
      </c>
      <c r="B1473" t="n">
        <v>182</v>
      </c>
      <c r="C1473" t="inlineStr">
        <is>
          <t>Love - Shibari - Kamino</t>
        </is>
      </c>
      <c r="D1473" t="n">
        <v>128</v>
      </c>
      <c r="E1473" t="inlineStr">
        <is>
          <t>Love Cabaret</t>
        </is>
      </c>
      <c r="F1473" s="27" t="n">
        <v>45882</v>
      </c>
      <c r="G1473" t="inlineStr">
        <is>
          <t>DEBITO</t>
        </is>
      </c>
      <c r="H1473" t="inlineStr">
        <is>
          <t>T. F. Ciuffi Hortifruti Ltda</t>
        </is>
      </c>
      <c r="I1473" t="n">
        <v>-392.69</v>
      </c>
    </row>
    <row r="1474">
      <c r="A1474" t="n">
        <v>137855</v>
      </c>
      <c r="B1474" t="n">
        <v>182</v>
      </c>
      <c r="C1474" t="inlineStr">
        <is>
          <t>Love - Shibari - Kamino</t>
        </is>
      </c>
      <c r="D1474" t="n">
        <v>128</v>
      </c>
      <c r="E1474" t="inlineStr">
        <is>
          <t>Love Cabaret</t>
        </is>
      </c>
      <c r="F1474" s="27" t="n">
        <v>45882</v>
      </c>
      <c r="G1474" t="inlineStr">
        <is>
          <t>DEBITO</t>
        </is>
      </c>
      <c r="H1474" t="inlineStr">
        <is>
          <t>Headchef Assessoria de Seguranca dos Ali</t>
        </is>
      </c>
      <c r="I1474" t="n">
        <v>-891.0599999999999</v>
      </c>
    </row>
    <row r="1475">
      <c r="A1475" t="n">
        <v>137843</v>
      </c>
      <c r="B1475" t="n">
        <v>182</v>
      </c>
      <c r="C1475" t="inlineStr">
        <is>
          <t>Love - Shibari - Kamino</t>
        </is>
      </c>
      <c r="D1475" t="n">
        <v>128</v>
      </c>
      <c r="E1475" t="inlineStr">
        <is>
          <t>Love Cabaret</t>
        </is>
      </c>
      <c r="F1475" s="27" t="n">
        <v>45882</v>
      </c>
      <c r="G1475" t="inlineStr">
        <is>
          <t>DEBITO</t>
        </is>
      </c>
      <c r="H1475" t="inlineStr">
        <is>
          <t>Duo Comunica Ltda</t>
        </is>
      </c>
      <c r="I1475" t="n">
        <v>-2000</v>
      </c>
    </row>
    <row r="1476">
      <c r="A1476" t="n">
        <v>137842</v>
      </c>
      <c r="B1476" t="n">
        <v>182</v>
      </c>
      <c r="C1476" t="inlineStr">
        <is>
          <t>Love - Shibari - Kamino</t>
        </is>
      </c>
      <c r="D1476" t="n">
        <v>128</v>
      </c>
      <c r="E1476" t="inlineStr">
        <is>
          <t>Love Cabaret</t>
        </is>
      </c>
      <c r="F1476" s="27" t="n">
        <v>45882</v>
      </c>
      <c r="G1476" t="inlineStr">
        <is>
          <t>DEBITO</t>
        </is>
      </c>
      <c r="H1476" t="inlineStr">
        <is>
          <t>Dudom</t>
        </is>
      </c>
      <c r="I1476" t="n">
        <v>-119.13</v>
      </c>
    </row>
    <row r="1477">
      <c r="A1477" t="n">
        <v>137760</v>
      </c>
      <c r="B1477" t="n">
        <v>115</v>
      </c>
      <c r="C1477" t="inlineStr">
        <is>
          <t>Love - Shibari - Bradesco</t>
        </is>
      </c>
      <c r="D1477" t="n">
        <v>128</v>
      </c>
      <c r="E1477" t="inlineStr">
        <is>
          <t>Love Cabaret</t>
        </is>
      </c>
      <c r="F1477" s="27" t="n">
        <v>45881.5</v>
      </c>
      <c r="G1477" t="inlineStr">
        <is>
          <t>CREDITO</t>
        </is>
      </c>
      <c r="H1477" t="inlineStr">
        <is>
          <t>TRANSFERENCIA PIX REM: Thamires de Castro Ar 12/08</t>
        </is>
      </c>
      <c r="I1477" t="n">
        <v>1240</v>
      </c>
    </row>
    <row r="1478">
      <c r="A1478" t="n">
        <v>137759</v>
      </c>
      <c r="B1478" t="n">
        <v>115</v>
      </c>
      <c r="C1478" t="inlineStr">
        <is>
          <t>Love - Shibari - Bradesco</t>
        </is>
      </c>
      <c r="D1478" t="n">
        <v>128</v>
      </c>
      <c r="E1478" t="inlineStr">
        <is>
          <t>Love Cabaret</t>
        </is>
      </c>
      <c r="F1478" s="27" t="n">
        <v>45881.5</v>
      </c>
      <c r="G1478" t="inlineStr">
        <is>
          <t>CREDITO</t>
        </is>
      </c>
      <c r="H1478" t="inlineStr">
        <is>
          <t>TRANSFERENCIA PIX REM: ALVARO CESAR DA SILVA 12/08</t>
        </is>
      </c>
      <c r="I1478" t="n">
        <v>1240</v>
      </c>
    </row>
    <row r="1479">
      <c r="A1479" t="n">
        <v>137758</v>
      </c>
      <c r="B1479" t="n">
        <v>115</v>
      </c>
      <c r="C1479" t="inlineStr">
        <is>
          <t>Love - Shibari - Bradesco</t>
        </is>
      </c>
      <c r="D1479" t="n">
        <v>128</v>
      </c>
      <c r="E1479" t="inlineStr">
        <is>
          <t>Love Cabaret</t>
        </is>
      </c>
      <c r="F1479" s="27" t="n">
        <v>45880.5</v>
      </c>
      <c r="G1479" t="inlineStr">
        <is>
          <t>DEBITO</t>
        </is>
      </c>
      <c r="H1479" t="inlineStr">
        <is>
          <t>TRANSFERENCIA PIX DES: SHIBARI ART E DIVERSA 11/08</t>
        </is>
      </c>
      <c r="I1479" t="n">
        <v>-100000</v>
      </c>
    </row>
    <row r="1480">
      <c r="A1480" t="n">
        <v>137750</v>
      </c>
      <c r="B1480" t="n">
        <v>115</v>
      </c>
      <c r="C1480" t="inlineStr">
        <is>
          <t>Love - Shibari - Bradesco</t>
        </is>
      </c>
      <c r="D1480" t="n">
        <v>128</v>
      </c>
      <c r="E1480" t="inlineStr">
        <is>
          <t>Love Cabaret</t>
        </is>
      </c>
      <c r="F1480" s="27" t="n">
        <v>45880.5</v>
      </c>
      <c r="G1480" t="inlineStr">
        <is>
          <t>CREDITO</t>
        </is>
      </c>
      <c r="H1480" t="inlineStr">
        <is>
          <t>TED-TRANSF ELET DISPON REMET.LOVE SUITES LTDA</t>
        </is>
      </c>
      <c r="I1480" t="n">
        <v>31634.64</v>
      </c>
    </row>
    <row r="1481">
      <c r="A1481" t="n">
        <v>137751</v>
      </c>
      <c r="B1481" t="n">
        <v>115</v>
      </c>
      <c r="C1481" t="inlineStr">
        <is>
          <t>Love - Shibari - Bradesco</t>
        </is>
      </c>
      <c r="D1481" t="n">
        <v>128</v>
      </c>
      <c r="E1481" t="inlineStr">
        <is>
          <t>Love Cabaret</t>
        </is>
      </c>
      <c r="F1481" s="27" t="n">
        <v>45880.5</v>
      </c>
      <c r="G1481" t="inlineStr">
        <is>
          <t>CREDITO</t>
        </is>
      </c>
      <c r="H1481" t="inlineStr">
        <is>
          <t>TED-TRANSF ELET DISPON REMET.LOVE SUITES LTDA</t>
        </is>
      </c>
      <c r="I1481" t="n">
        <v>2953.14</v>
      </c>
    </row>
    <row r="1482">
      <c r="A1482" t="n">
        <v>137752</v>
      </c>
      <c r="B1482" t="n">
        <v>115</v>
      </c>
      <c r="C1482" t="inlineStr">
        <is>
          <t>Love - Shibari - Bradesco</t>
        </is>
      </c>
      <c r="D1482" t="n">
        <v>128</v>
      </c>
      <c r="E1482" t="inlineStr">
        <is>
          <t>Love Cabaret</t>
        </is>
      </c>
      <c r="F1482" s="27" t="n">
        <v>45880.5</v>
      </c>
      <c r="G1482" t="inlineStr">
        <is>
          <t>CREDITO</t>
        </is>
      </c>
      <c r="H1482" t="inlineStr">
        <is>
          <t>TED-TRANSF ELET DISPON REMET.LIRIUM INDUSTRIA E C</t>
        </is>
      </c>
      <c r="I1482" t="n">
        <v>324</v>
      </c>
    </row>
    <row r="1483">
      <c r="A1483" t="n">
        <v>137753</v>
      </c>
      <c r="B1483" t="n">
        <v>115</v>
      </c>
      <c r="C1483" t="inlineStr">
        <is>
          <t>Love - Shibari - Bradesco</t>
        </is>
      </c>
      <c r="D1483" t="n">
        <v>128</v>
      </c>
      <c r="E1483" t="inlineStr">
        <is>
          <t>Love Cabaret</t>
        </is>
      </c>
      <c r="F1483" s="27" t="n">
        <v>45880.5</v>
      </c>
      <c r="G1483" t="inlineStr">
        <is>
          <t>CREDITO</t>
        </is>
      </c>
      <c r="H1483" t="inlineStr">
        <is>
          <t>TRANSFERENCIA PIX REM: SHIBARI ART E DIVERSA 11/08</t>
        </is>
      </c>
      <c r="I1483" t="n">
        <v>40872.12</v>
      </c>
    </row>
    <row r="1484">
      <c r="A1484" t="n">
        <v>137754</v>
      </c>
      <c r="B1484" t="n">
        <v>115</v>
      </c>
      <c r="C1484" t="inlineStr">
        <is>
          <t>Love - Shibari - Bradesco</t>
        </is>
      </c>
      <c r="D1484" t="n">
        <v>128</v>
      </c>
      <c r="E1484" t="inlineStr">
        <is>
          <t>Love Cabaret</t>
        </is>
      </c>
      <c r="F1484" s="27" t="n">
        <v>45880.5</v>
      </c>
      <c r="G1484" t="inlineStr">
        <is>
          <t>CREDITO</t>
        </is>
      </c>
      <c r="H1484" t="inlineStr">
        <is>
          <t>TRANSFERENCIA PIX REM: GIOVANNA ROBERTO NOGU 10/08</t>
        </is>
      </c>
      <c r="I1484" t="n">
        <v>1200</v>
      </c>
    </row>
    <row r="1485">
      <c r="A1485" t="n">
        <v>137820</v>
      </c>
      <c r="B1485" t="n">
        <v>182</v>
      </c>
      <c r="C1485" t="inlineStr">
        <is>
          <t>Love - Shibari - Kamino</t>
        </is>
      </c>
      <c r="D1485" t="n">
        <v>128</v>
      </c>
      <c r="E1485" t="inlineStr">
        <is>
          <t>Love Cabaret</t>
        </is>
      </c>
      <c r="F1485" s="27" t="n">
        <v>45880</v>
      </c>
      <c r="G1485" t="inlineStr">
        <is>
          <t>DEBITO</t>
        </is>
      </c>
      <c r="H1485" t="inlineStr">
        <is>
          <t>Forte Alimentos Comercio e Importacao Lt</t>
        </is>
      </c>
      <c r="I1485" t="n">
        <v>-882.4</v>
      </c>
    </row>
    <row r="1486">
      <c r="A1486" t="n">
        <v>137819</v>
      </c>
      <c r="B1486" t="n">
        <v>182</v>
      </c>
      <c r="C1486" t="inlineStr">
        <is>
          <t>Love - Shibari - Kamino</t>
        </is>
      </c>
      <c r="D1486" t="n">
        <v>128</v>
      </c>
      <c r="E1486" t="inlineStr">
        <is>
          <t>Love Cabaret</t>
        </is>
      </c>
      <c r="F1486" s="27" t="n">
        <v>45880</v>
      </c>
      <c r="G1486" t="inlineStr">
        <is>
          <t>DEBITO</t>
        </is>
      </c>
      <c r="H1486" t="inlineStr">
        <is>
          <t>Cecilia Tsuyaco Araki Silva Ltda</t>
        </is>
      </c>
      <c r="I1486" t="n">
        <v>-214.39</v>
      </c>
    </row>
    <row r="1487">
      <c r="A1487" t="n">
        <v>137818</v>
      </c>
      <c r="B1487" t="n">
        <v>182</v>
      </c>
      <c r="C1487" t="inlineStr">
        <is>
          <t>Love - Shibari - Kamino</t>
        </is>
      </c>
      <c r="D1487" t="n">
        <v>128</v>
      </c>
      <c r="E1487" t="inlineStr">
        <is>
          <t>Love Cabaret</t>
        </is>
      </c>
      <c r="F1487" s="27" t="n">
        <v>45880</v>
      </c>
      <c r="G1487" t="inlineStr">
        <is>
          <t>DEBITO</t>
        </is>
      </c>
      <c r="H1487" t="inlineStr">
        <is>
          <t>Preshh Aluguel de Maquinas Ltda</t>
        </is>
      </c>
      <c r="I1487" t="n">
        <v>-400</v>
      </c>
    </row>
    <row r="1488">
      <c r="A1488" t="n">
        <v>137817</v>
      </c>
      <c r="B1488" t="n">
        <v>182</v>
      </c>
      <c r="C1488" t="inlineStr">
        <is>
          <t>Love - Shibari - Kamino</t>
        </is>
      </c>
      <c r="D1488" t="n">
        <v>128</v>
      </c>
      <c r="E1488" t="inlineStr">
        <is>
          <t>Love Cabaret</t>
        </is>
      </c>
      <c r="F1488" s="27" t="n">
        <v>45880</v>
      </c>
      <c r="G1488" t="inlineStr">
        <is>
          <t>DEBITO</t>
        </is>
      </c>
      <c r="H1488" t="inlineStr">
        <is>
          <t>18.672.173 Helton da Silva Caitano</t>
        </is>
      </c>
      <c r="I1488" t="n">
        <v>-450</v>
      </c>
    </row>
    <row r="1489">
      <c r="A1489" t="n">
        <v>137816</v>
      </c>
      <c r="B1489" t="n">
        <v>182</v>
      </c>
      <c r="C1489" t="inlineStr">
        <is>
          <t>Love - Shibari - Kamino</t>
        </is>
      </c>
      <c r="D1489" t="n">
        <v>128</v>
      </c>
      <c r="E1489" t="inlineStr">
        <is>
          <t>Love Cabaret</t>
        </is>
      </c>
      <c r="F1489" s="27" t="n">
        <v>45880</v>
      </c>
      <c r="G1489" t="inlineStr">
        <is>
          <t>DEBITO</t>
        </is>
      </c>
      <c r="H1489" t="inlineStr">
        <is>
          <t>Cecilia Tsuyaco Araki Silva Ltda</t>
        </is>
      </c>
      <c r="I1489" t="n">
        <v>-100.53</v>
      </c>
    </row>
    <row r="1490">
      <c r="A1490" t="n">
        <v>137815</v>
      </c>
      <c r="B1490" t="n">
        <v>182</v>
      </c>
      <c r="C1490" t="inlineStr">
        <is>
          <t>Love - Shibari - Kamino</t>
        </is>
      </c>
      <c r="D1490" t="n">
        <v>128</v>
      </c>
      <c r="E1490" t="inlineStr">
        <is>
          <t>Love Cabaret</t>
        </is>
      </c>
      <c r="F1490" s="27" t="n">
        <v>45880</v>
      </c>
      <c r="G1490" t="inlineStr">
        <is>
          <t>DEBITO</t>
        </is>
      </c>
      <c r="H1490" t="inlineStr">
        <is>
          <t>Machine Seguranca Patrimonial Ltda</t>
        </is>
      </c>
      <c r="I1490" t="n">
        <v>-6650</v>
      </c>
    </row>
    <row r="1491">
      <c r="A1491" t="n">
        <v>137814</v>
      </c>
      <c r="B1491" t="n">
        <v>182</v>
      </c>
      <c r="C1491" t="inlineStr">
        <is>
          <t>Love - Shibari - Kamino</t>
        </is>
      </c>
      <c r="D1491" t="n">
        <v>128</v>
      </c>
      <c r="E1491" t="inlineStr">
        <is>
          <t>Love Cabaret</t>
        </is>
      </c>
      <c r="F1491" s="27" t="n">
        <v>45880</v>
      </c>
      <c r="G1491" t="inlineStr">
        <is>
          <t>DEBITO</t>
        </is>
      </c>
      <c r="H1491" t="inlineStr">
        <is>
          <t>Arena Bebidas</t>
        </is>
      </c>
      <c r="I1491" t="n">
        <v>-996</v>
      </c>
    </row>
    <row r="1492">
      <c r="A1492" t="n">
        <v>137813</v>
      </c>
      <c r="B1492" t="n">
        <v>182</v>
      </c>
      <c r="C1492" t="inlineStr">
        <is>
          <t>Love - Shibari - Kamino</t>
        </is>
      </c>
      <c r="D1492" t="n">
        <v>128</v>
      </c>
      <c r="E1492" t="inlineStr">
        <is>
          <t>Love Cabaret</t>
        </is>
      </c>
      <c r="F1492" s="27" t="n">
        <v>45880</v>
      </c>
      <c r="G1492" t="inlineStr">
        <is>
          <t>DEBITO</t>
        </is>
      </c>
      <c r="H1492" t="inlineStr">
        <is>
          <t>46.806.793 Nino Pontes Brasileiro e Silva</t>
        </is>
      </c>
      <c r="I1492" t="n">
        <v>-500</v>
      </c>
    </row>
    <row r="1493">
      <c r="A1493" t="n">
        <v>137812</v>
      </c>
      <c r="B1493" t="n">
        <v>182</v>
      </c>
      <c r="C1493" t="inlineStr">
        <is>
          <t>Love - Shibari - Kamino</t>
        </is>
      </c>
      <c r="D1493" t="n">
        <v>128</v>
      </c>
      <c r="E1493" t="inlineStr">
        <is>
          <t>Love Cabaret</t>
        </is>
      </c>
      <c r="F1493" s="27" t="n">
        <v>45880</v>
      </c>
      <c r="G1493" t="inlineStr">
        <is>
          <t>DEBITO</t>
        </is>
      </c>
      <c r="H1493" t="inlineStr">
        <is>
          <t>Andreia Santos Freitas Duarte</t>
        </is>
      </c>
      <c r="I1493" t="n">
        <v>-423.36</v>
      </c>
    </row>
    <row r="1494">
      <c r="A1494" t="n">
        <v>137811</v>
      </c>
      <c r="B1494" t="n">
        <v>182</v>
      </c>
      <c r="C1494" t="inlineStr">
        <is>
          <t>Love - Shibari - Kamino</t>
        </is>
      </c>
      <c r="D1494" t="n">
        <v>128</v>
      </c>
      <c r="E1494" t="inlineStr">
        <is>
          <t>Love Cabaret</t>
        </is>
      </c>
      <c r="F1494" s="27" t="n">
        <v>45880</v>
      </c>
      <c r="G1494" t="inlineStr">
        <is>
          <t>DEBITO</t>
        </is>
      </c>
      <c r="H1494" t="inlineStr">
        <is>
          <t>Andreia Santos Freitas Duarte</t>
        </is>
      </c>
      <c r="I1494" t="n">
        <v>-263.18</v>
      </c>
    </row>
    <row r="1495">
      <c r="A1495" t="n">
        <v>137810</v>
      </c>
      <c r="B1495" t="n">
        <v>182</v>
      </c>
      <c r="C1495" t="inlineStr">
        <is>
          <t>Love - Shibari - Kamino</t>
        </is>
      </c>
      <c r="D1495" t="n">
        <v>128</v>
      </c>
      <c r="E1495" t="inlineStr">
        <is>
          <t>Love Cabaret</t>
        </is>
      </c>
      <c r="F1495" s="27" t="n">
        <v>45880</v>
      </c>
      <c r="G1495" t="inlineStr">
        <is>
          <t>DEBITO</t>
        </is>
      </c>
      <c r="H1495" t="inlineStr">
        <is>
          <t>Psss Ltda</t>
        </is>
      </c>
      <c r="I1495" t="n">
        <v>-729.8</v>
      </c>
    </row>
    <row r="1496">
      <c r="A1496" t="n">
        <v>137809</v>
      </c>
      <c r="B1496" t="n">
        <v>182</v>
      </c>
      <c r="C1496" t="inlineStr">
        <is>
          <t>Love - Shibari - Kamino</t>
        </is>
      </c>
      <c r="D1496" t="n">
        <v>128</v>
      </c>
      <c r="E1496" t="inlineStr">
        <is>
          <t>Love Cabaret</t>
        </is>
      </c>
      <c r="F1496" s="27" t="n">
        <v>45880</v>
      </c>
      <c r="G1496" t="inlineStr">
        <is>
          <t>DEBITO</t>
        </is>
      </c>
      <c r="H1496" t="inlineStr">
        <is>
          <t>Receita Federal</t>
        </is>
      </c>
      <c r="I1496" t="n">
        <v>-189.28</v>
      </c>
    </row>
    <row r="1497">
      <c r="A1497" t="n">
        <v>137808</v>
      </c>
      <c r="B1497" t="n">
        <v>182</v>
      </c>
      <c r="C1497" t="inlineStr">
        <is>
          <t>Love - Shibari - Kamino</t>
        </is>
      </c>
      <c r="D1497" t="n">
        <v>128</v>
      </c>
      <c r="E1497" t="inlineStr">
        <is>
          <t>Love Cabaret</t>
        </is>
      </c>
      <c r="F1497" s="27" t="n">
        <v>45880</v>
      </c>
      <c r="G1497" t="inlineStr">
        <is>
          <t>CREDITO</t>
        </is>
      </c>
      <c r="H1497" t="inlineStr">
        <is>
          <t>Pix Env No Processado</t>
        </is>
      </c>
      <c r="I1497" t="n">
        <v>500</v>
      </c>
    </row>
    <row r="1498">
      <c r="A1498" t="n">
        <v>137807</v>
      </c>
      <c r="B1498" t="n">
        <v>182</v>
      </c>
      <c r="C1498" t="inlineStr">
        <is>
          <t>Love - Shibari - Kamino</t>
        </is>
      </c>
      <c r="D1498" t="n">
        <v>128</v>
      </c>
      <c r="E1498" t="inlineStr">
        <is>
          <t>Love Cabaret</t>
        </is>
      </c>
      <c r="F1498" s="27" t="n">
        <v>45880</v>
      </c>
      <c r="G1498" t="inlineStr">
        <is>
          <t>CREDITO</t>
        </is>
      </c>
      <c r="H1498" t="inlineStr">
        <is>
          <t>SHIBARI ART E DIVERSAO LTDA</t>
        </is>
      </c>
      <c r="I1498" t="n">
        <v>100000</v>
      </c>
    </row>
    <row r="1499">
      <c r="A1499" t="n">
        <v>137806</v>
      </c>
      <c r="B1499" t="n">
        <v>182</v>
      </c>
      <c r="C1499" t="inlineStr">
        <is>
          <t>Love - Shibari - Kamino</t>
        </is>
      </c>
      <c r="D1499" t="n">
        <v>128</v>
      </c>
      <c r="E1499" t="inlineStr">
        <is>
          <t>Love Cabaret</t>
        </is>
      </c>
      <c r="F1499" s="27" t="n">
        <v>45880</v>
      </c>
      <c r="G1499" t="inlineStr">
        <is>
          <t>DEBITO</t>
        </is>
      </c>
      <c r="H1499" t="inlineStr">
        <is>
          <t>Receita Federal</t>
        </is>
      </c>
      <c r="I1499" t="n">
        <v>-538.2</v>
      </c>
    </row>
    <row r="1500">
      <c r="A1500" t="n">
        <v>137822</v>
      </c>
      <c r="B1500" t="n">
        <v>182</v>
      </c>
      <c r="C1500" t="inlineStr">
        <is>
          <t>Love - Shibari - Kamino</t>
        </is>
      </c>
      <c r="D1500" t="n">
        <v>128</v>
      </c>
      <c r="E1500" t="inlineStr">
        <is>
          <t>Love Cabaret</t>
        </is>
      </c>
      <c r="F1500" s="27" t="n">
        <v>45880</v>
      </c>
      <c r="G1500" t="inlineStr">
        <is>
          <t>DEBITO</t>
        </is>
      </c>
      <c r="H1500" t="inlineStr">
        <is>
          <t>Casa de Carnes P.J.J.Ltda</t>
        </is>
      </c>
      <c r="I1500" t="n">
        <v>-69.31</v>
      </c>
    </row>
    <row r="1501">
      <c r="A1501" t="n">
        <v>137821</v>
      </c>
      <c r="B1501" t="n">
        <v>182</v>
      </c>
      <c r="C1501" t="inlineStr">
        <is>
          <t>Love - Shibari - Kamino</t>
        </is>
      </c>
      <c r="D1501" t="n">
        <v>128</v>
      </c>
      <c r="E1501" t="inlineStr">
        <is>
          <t>Love Cabaret</t>
        </is>
      </c>
      <c r="F1501" s="27" t="n">
        <v>45880</v>
      </c>
      <c r="G1501" t="inlineStr">
        <is>
          <t>DEBITO</t>
        </is>
      </c>
      <c r="H1501" t="inlineStr">
        <is>
          <t>Cecilia Tsuyaco Araki Silva Ltda</t>
        </is>
      </c>
      <c r="I1501" t="n">
        <v>-103.5</v>
      </c>
    </row>
    <row r="1502">
      <c r="A1502" t="n">
        <v>137841</v>
      </c>
      <c r="B1502" t="n">
        <v>182</v>
      </c>
      <c r="C1502" t="inlineStr">
        <is>
          <t>Love - Shibari - Kamino</t>
        </is>
      </c>
      <c r="D1502" t="n">
        <v>128</v>
      </c>
      <c r="E1502" t="inlineStr">
        <is>
          <t>Love Cabaret</t>
        </is>
      </c>
      <c r="F1502" s="27" t="n">
        <v>45880</v>
      </c>
      <c r="G1502" t="inlineStr">
        <is>
          <t>DEBITO</t>
        </is>
      </c>
      <c r="H1502" t="inlineStr">
        <is>
          <t>Nino Pontes Brasileiro e Silva</t>
        </is>
      </c>
      <c r="I1502" t="n">
        <v>-500</v>
      </c>
    </row>
    <row r="1503">
      <c r="A1503" t="n">
        <v>137840</v>
      </c>
      <c r="B1503" t="n">
        <v>182</v>
      </c>
      <c r="C1503" t="inlineStr">
        <is>
          <t>Love - Shibari - Kamino</t>
        </is>
      </c>
      <c r="D1503" t="n">
        <v>128</v>
      </c>
      <c r="E1503" t="inlineStr">
        <is>
          <t>Love Cabaret</t>
        </is>
      </c>
      <c r="F1503" s="27" t="n">
        <v>45880</v>
      </c>
      <c r="G1503" t="inlineStr">
        <is>
          <t>DEBITO</t>
        </is>
      </c>
      <c r="H1503" t="inlineStr">
        <is>
          <t>Fg7 Comercio D B Eireli Epp</t>
        </is>
      </c>
      <c r="I1503" t="n">
        <v>-824.12</v>
      </c>
    </row>
    <row r="1504">
      <c r="A1504" t="n">
        <v>137839</v>
      </c>
      <c r="B1504" t="n">
        <v>182</v>
      </c>
      <c r="C1504" t="inlineStr">
        <is>
          <t>Love - Shibari - Kamino</t>
        </is>
      </c>
      <c r="D1504" t="n">
        <v>128</v>
      </c>
      <c r="E1504" t="inlineStr">
        <is>
          <t>Love Cabaret</t>
        </is>
      </c>
      <c r="F1504" s="27" t="n">
        <v>45880</v>
      </c>
      <c r="G1504" t="inlineStr">
        <is>
          <t>DEBITO</t>
        </is>
      </c>
      <c r="H1504" t="inlineStr">
        <is>
          <t>Hnk Br Bebidas Ltda</t>
        </is>
      </c>
      <c r="I1504" t="n">
        <v>-3745.84</v>
      </c>
    </row>
    <row r="1505">
      <c r="A1505" t="n">
        <v>137838</v>
      </c>
      <c r="B1505" t="n">
        <v>182</v>
      </c>
      <c r="C1505" t="inlineStr">
        <is>
          <t>Love - Shibari - Kamino</t>
        </is>
      </c>
      <c r="D1505" t="n">
        <v>128</v>
      </c>
      <c r="E1505" t="inlineStr">
        <is>
          <t>Love Cabaret</t>
        </is>
      </c>
      <c r="F1505" s="27" t="n">
        <v>45880</v>
      </c>
      <c r="G1505" t="inlineStr">
        <is>
          <t>DEBITO</t>
        </is>
      </c>
      <c r="H1505" t="inlineStr">
        <is>
          <t>Aurora Alvorada Estacionamento e Lanchon</t>
        </is>
      </c>
      <c r="I1505" t="n">
        <v>-191.46</v>
      </c>
    </row>
    <row r="1506">
      <c r="A1506" t="n">
        <v>137837</v>
      </c>
      <c r="B1506" t="n">
        <v>182</v>
      </c>
      <c r="C1506" t="inlineStr">
        <is>
          <t>Love - Shibari - Kamino</t>
        </is>
      </c>
      <c r="D1506" t="n">
        <v>128</v>
      </c>
      <c r="E1506" t="inlineStr">
        <is>
          <t>Love Cabaret</t>
        </is>
      </c>
      <c r="F1506" s="27" t="n">
        <v>45880</v>
      </c>
      <c r="G1506" t="inlineStr">
        <is>
          <t>DEBITO</t>
        </is>
      </c>
      <c r="H1506" t="inlineStr">
        <is>
          <t>W P P C Carnes Eireli Epp</t>
        </is>
      </c>
      <c r="I1506" t="n">
        <v>-995.24</v>
      </c>
    </row>
    <row r="1507">
      <c r="A1507" t="n">
        <v>137836</v>
      </c>
      <c r="B1507" t="n">
        <v>182</v>
      </c>
      <c r="C1507" t="inlineStr">
        <is>
          <t>Love - Shibari - Kamino</t>
        </is>
      </c>
      <c r="D1507" t="n">
        <v>128</v>
      </c>
      <c r="E1507" t="inlineStr">
        <is>
          <t>Love Cabaret</t>
        </is>
      </c>
      <c r="F1507" s="27" t="n">
        <v>45880</v>
      </c>
      <c r="G1507" t="inlineStr">
        <is>
          <t>DEBITO</t>
        </is>
      </c>
      <c r="H1507" t="inlineStr">
        <is>
          <t>King Comercio de Bebidas Ltda</t>
        </is>
      </c>
      <c r="I1507" t="n">
        <v>-1570.24</v>
      </c>
    </row>
    <row r="1508">
      <c r="A1508" t="n">
        <v>137835</v>
      </c>
      <c r="B1508" t="n">
        <v>182</v>
      </c>
      <c r="C1508" t="inlineStr">
        <is>
          <t>Love - Shibari - Kamino</t>
        </is>
      </c>
      <c r="D1508" t="n">
        <v>128</v>
      </c>
      <c r="E1508" t="inlineStr">
        <is>
          <t>Love Cabaret</t>
        </is>
      </c>
      <c r="F1508" s="27" t="n">
        <v>45880</v>
      </c>
      <c r="G1508" t="inlineStr">
        <is>
          <t>DEBITO</t>
        </is>
      </c>
      <c r="H1508" t="inlineStr">
        <is>
          <t>Dist Carnes Cant Ltda Epp</t>
        </is>
      </c>
      <c r="I1508" t="n">
        <v>-566.4</v>
      </c>
    </row>
    <row r="1509">
      <c r="A1509" t="n">
        <v>137834</v>
      </c>
      <c r="B1509" t="n">
        <v>182</v>
      </c>
      <c r="C1509" t="inlineStr">
        <is>
          <t>Love - Shibari - Kamino</t>
        </is>
      </c>
      <c r="D1509" t="n">
        <v>128</v>
      </c>
      <c r="E1509" t="inlineStr">
        <is>
          <t>Love Cabaret</t>
        </is>
      </c>
      <c r="F1509" s="27" t="n">
        <v>45880</v>
      </c>
      <c r="G1509" t="inlineStr">
        <is>
          <t>DEBITO</t>
        </is>
      </c>
      <c r="H1509" t="inlineStr">
        <is>
          <t>Hiato Atelie de Cultura</t>
        </is>
      </c>
      <c r="I1509" t="n">
        <v>-1500</v>
      </c>
    </row>
    <row r="1510">
      <c r="A1510" t="n">
        <v>137833</v>
      </c>
      <c r="B1510" t="n">
        <v>182</v>
      </c>
      <c r="C1510" t="inlineStr">
        <is>
          <t>Love - Shibari - Kamino</t>
        </is>
      </c>
      <c r="D1510" t="n">
        <v>128</v>
      </c>
      <c r="E1510" t="inlineStr">
        <is>
          <t>Love Cabaret</t>
        </is>
      </c>
      <c r="F1510" s="27" t="n">
        <v>45880</v>
      </c>
      <c r="G1510" t="inlineStr">
        <is>
          <t>DEBITO</t>
        </is>
      </c>
      <c r="H1510" t="inlineStr">
        <is>
          <t>T. F. Ciuffi Hortifruti Ltda</t>
        </is>
      </c>
      <c r="I1510" t="n">
        <v>-86.56999999999999</v>
      </c>
    </row>
    <row r="1511">
      <c r="A1511" t="n">
        <v>137832</v>
      </c>
      <c r="B1511" t="n">
        <v>182</v>
      </c>
      <c r="C1511" t="inlineStr">
        <is>
          <t>Love - Shibari - Kamino</t>
        </is>
      </c>
      <c r="D1511" t="n">
        <v>128</v>
      </c>
      <c r="E1511" t="inlineStr">
        <is>
          <t>Love Cabaret</t>
        </is>
      </c>
      <c r="F1511" s="27" t="n">
        <v>45880</v>
      </c>
      <c r="G1511" t="inlineStr">
        <is>
          <t>DEBITO</t>
        </is>
      </c>
      <c r="H1511" t="inlineStr">
        <is>
          <t>B. B. Distribuidora de Carnes Ltda</t>
        </is>
      </c>
      <c r="I1511" t="n">
        <v>-373.76</v>
      </c>
    </row>
    <row r="1512">
      <c r="A1512" t="n">
        <v>137831</v>
      </c>
      <c r="B1512" t="n">
        <v>182</v>
      </c>
      <c r="C1512" t="inlineStr">
        <is>
          <t>Love - Shibari - Kamino</t>
        </is>
      </c>
      <c r="D1512" t="n">
        <v>128</v>
      </c>
      <c r="E1512" t="inlineStr">
        <is>
          <t>Love Cabaret</t>
        </is>
      </c>
      <c r="F1512" s="27" t="n">
        <v>45880</v>
      </c>
      <c r="G1512" t="inlineStr">
        <is>
          <t>DEBITO</t>
        </is>
      </c>
      <c r="H1512" t="inlineStr">
        <is>
          <t>Proauto Industria Q Eireli</t>
        </is>
      </c>
      <c r="I1512" t="n">
        <v>-1249.11</v>
      </c>
    </row>
    <row r="1513">
      <c r="A1513" t="n">
        <v>137830</v>
      </c>
      <c r="B1513" t="n">
        <v>182</v>
      </c>
      <c r="C1513" t="inlineStr">
        <is>
          <t>Love - Shibari - Kamino</t>
        </is>
      </c>
      <c r="D1513" t="n">
        <v>128</v>
      </c>
      <c r="E1513" t="inlineStr">
        <is>
          <t>Love Cabaret</t>
        </is>
      </c>
      <c r="F1513" s="27" t="n">
        <v>45880</v>
      </c>
      <c r="G1513" t="inlineStr">
        <is>
          <t>DEBITO</t>
        </is>
      </c>
      <c r="H1513" t="inlineStr">
        <is>
          <t>Nova Comercial do Peixe Eireli</t>
        </is>
      </c>
      <c r="I1513" t="n">
        <v>-588</v>
      </c>
    </row>
    <row r="1514">
      <c r="A1514" t="n">
        <v>137829</v>
      </c>
      <c r="B1514" t="n">
        <v>182</v>
      </c>
      <c r="C1514" t="inlineStr">
        <is>
          <t>Love - Shibari - Kamino</t>
        </is>
      </c>
      <c r="D1514" t="n">
        <v>128</v>
      </c>
      <c r="E1514" t="inlineStr">
        <is>
          <t>Love Cabaret</t>
        </is>
      </c>
      <c r="F1514" s="27" t="n">
        <v>45880</v>
      </c>
      <c r="G1514" t="inlineStr">
        <is>
          <t>DEBITO</t>
        </is>
      </c>
      <c r="H1514" t="inlineStr">
        <is>
          <t>Cepel Comercio de Papeis e Emb</t>
        </is>
      </c>
      <c r="I1514" t="n">
        <v>-534.5</v>
      </c>
    </row>
    <row r="1515">
      <c r="A1515" t="n">
        <v>137828</v>
      </c>
      <c r="B1515" t="n">
        <v>182</v>
      </c>
      <c r="C1515" t="inlineStr">
        <is>
          <t>Love - Shibari - Kamino</t>
        </is>
      </c>
      <c r="D1515" t="n">
        <v>128</v>
      </c>
      <c r="E1515" t="inlineStr">
        <is>
          <t>Love Cabaret</t>
        </is>
      </c>
      <c r="F1515" s="27" t="n">
        <v>45880</v>
      </c>
      <c r="G1515" t="inlineStr">
        <is>
          <t>DEBITO</t>
        </is>
      </c>
      <c r="H1515" t="inlineStr">
        <is>
          <t>Laticinios Fior D Italia Ltda</t>
        </is>
      </c>
      <c r="I1515" t="n">
        <v>-326.75</v>
      </c>
    </row>
    <row r="1516">
      <c r="A1516" t="n">
        <v>137827</v>
      </c>
      <c r="B1516" t="n">
        <v>182</v>
      </c>
      <c r="C1516" t="inlineStr">
        <is>
          <t>Love - Shibari - Kamino</t>
        </is>
      </c>
      <c r="D1516" t="n">
        <v>128</v>
      </c>
      <c r="E1516" t="inlineStr">
        <is>
          <t>Love Cabaret</t>
        </is>
      </c>
      <c r="F1516" s="27" t="n">
        <v>45880</v>
      </c>
      <c r="G1516" t="inlineStr">
        <is>
          <t>DEBITO</t>
        </is>
      </c>
      <c r="H1516" t="inlineStr">
        <is>
          <t>Ms Frangos Ltda</t>
        </is>
      </c>
      <c r="I1516" t="n">
        <v>-390.06</v>
      </c>
    </row>
    <row r="1517">
      <c r="A1517" t="n">
        <v>137826</v>
      </c>
      <c r="B1517" t="n">
        <v>182</v>
      </c>
      <c r="C1517" t="inlineStr">
        <is>
          <t>Love - Shibari - Kamino</t>
        </is>
      </c>
      <c r="D1517" t="n">
        <v>128</v>
      </c>
      <c r="E1517" t="inlineStr">
        <is>
          <t>Love Cabaret</t>
        </is>
      </c>
      <c r="F1517" s="27" t="n">
        <v>45880</v>
      </c>
      <c r="G1517" t="inlineStr">
        <is>
          <t>DEBITO</t>
        </is>
      </c>
      <c r="H1517" t="inlineStr">
        <is>
          <t>Ciclo com e Participacoes Ltda</t>
        </is>
      </c>
      <c r="I1517" t="n">
        <v>-37540.92</v>
      </c>
    </row>
    <row r="1518">
      <c r="A1518" t="n">
        <v>137825</v>
      </c>
      <c r="B1518" t="n">
        <v>182</v>
      </c>
      <c r="C1518" t="inlineStr">
        <is>
          <t>Love - Shibari - Kamino</t>
        </is>
      </c>
      <c r="D1518" t="n">
        <v>128</v>
      </c>
      <c r="E1518" t="inlineStr">
        <is>
          <t>Love Cabaret</t>
        </is>
      </c>
      <c r="F1518" s="27" t="n">
        <v>45880</v>
      </c>
      <c r="G1518" t="inlineStr">
        <is>
          <t>DEBITO</t>
        </is>
      </c>
      <c r="H1518" t="inlineStr">
        <is>
          <t>Dtk Comercio de Alimentos Ltda Epp</t>
        </is>
      </c>
      <c r="I1518" t="n">
        <v>-1047.98</v>
      </c>
    </row>
    <row r="1519">
      <c r="A1519" t="n">
        <v>137824</v>
      </c>
      <c r="B1519" t="n">
        <v>182</v>
      </c>
      <c r="C1519" t="inlineStr">
        <is>
          <t>Love - Shibari - Kamino</t>
        </is>
      </c>
      <c r="D1519" t="n">
        <v>128</v>
      </c>
      <c r="E1519" t="inlineStr">
        <is>
          <t>Love Cabaret</t>
        </is>
      </c>
      <c r="F1519" s="27" t="n">
        <v>45880</v>
      </c>
      <c r="G1519" t="inlineStr">
        <is>
          <t>DEBITO</t>
        </is>
      </c>
      <c r="H1519" t="inlineStr">
        <is>
          <t>Zahil Importadora Ltda</t>
        </is>
      </c>
      <c r="I1519" t="n">
        <v>-1491.11</v>
      </c>
    </row>
    <row r="1520">
      <c r="A1520" t="n">
        <v>137823</v>
      </c>
      <c r="B1520" t="n">
        <v>182</v>
      </c>
      <c r="C1520" t="inlineStr">
        <is>
          <t>Love - Shibari - Kamino</t>
        </is>
      </c>
      <c r="D1520" t="n">
        <v>128</v>
      </c>
      <c r="E1520" t="inlineStr">
        <is>
          <t>Love Cabaret</t>
        </is>
      </c>
      <c r="F1520" s="27" t="n">
        <v>45880</v>
      </c>
      <c r="G1520" t="inlineStr">
        <is>
          <t>DEBITO</t>
        </is>
      </c>
      <c r="H1520" t="inlineStr">
        <is>
          <t>Mordomia da Administracao Imobiliaria</t>
        </is>
      </c>
      <c r="I1520" t="n">
        <v>-31634.64</v>
      </c>
    </row>
    <row r="1521">
      <c r="A1521" t="n">
        <v>137749</v>
      </c>
      <c r="B1521" t="n">
        <v>115</v>
      </c>
      <c r="C1521" t="inlineStr">
        <is>
          <t>Love - Shibari - Bradesco</t>
        </is>
      </c>
      <c r="D1521" t="n">
        <v>128</v>
      </c>
      <c r="E1521" t="inlineStr">
        <is>
          <t>Love Cabaret</t>
        </is>
      </c>
      <c r="F1521" s="27" t="n">
        <v>45877.5</v>
      </c>
      <c r="G1521" t="inlineStr">
        <is>
          <t>CREDITO</t>
        </is>
      </c>
      <c r="H1521" t="inlineStr">
        <is>
          <t>TRANSFERENCIA PIX REM: LAURA SILVA LOBO CAMP 08/08</t>
        </is>
      </c>
      <c r="I1521" t="n">
        <v>1240</v>
      </c>
    </row>
    <row r="1522">
      <c r="A1522" t="n">
        <v>137744</v>
      </c>
      <c r="B1522" t="n">
        <v>115</v>
      </c>
      <c r="C1522" t="inlineStr">
        <is>
          <t>Love - Shibari - Bradesco</t>
        </is>
      </c>
      <c r="D1522" t="n">
        <v>128</v>
      </c>
      <c r="E1522" t="inlineStr">
        <is>
          <t>Love Cabaret</t>
        </is>
      </c>
      <c r="F1522" s="27" t="n">
        <v>45877.5</v>
      </c>
      <c r="G1522" t="inlineStr">
        <is>
          <t>CREDITO</t>
        </is>
      </c>
      <c r="H1522" t="inlineStr">
        <is>
          <t>TRANSFERENCIA PIX REM: Leticia Pereira Matso 08/08</t>
        </is>
      </c>
      <c r="I1522" t="n">
        <v>775</v>
      </c>
    </row>
    <row r="1523">
      <c r="A1523" t="n">
        <v>137745</v>
      </c>
      <c r="B1523" t="n">
        <v>115</v>
      </c>
      <c r="C1523" t="inlineStr">
        <is>
          <t>Love - Shibari - Bradesco</t>
        </is>
      </c>
      <c r="D1523" t="n">
        <v>128</v>
      </c>
      <c r="E1523" t="inlineStr">
        <is>
          <t>Love Cabaret</t>
        </is>
      </c>
      <c r="F1523" s="27" t="n">
        <v>45877.5</v>
      </c>
      <c r="G1523" t="inlineStr">
        <is>
          <t>CREDITO</t>
        </is>
      </c>
      <c r="H1523" t="inlineStr">
        <is>
          <t>TRANSFERENCIA PIX REM: THAINARA RUELA DA ROC 08/08</t>
        </is>
      </c>
      <c r="I1523" t="n">
        <v>232.5</v>
      </c>
    </row>
    <row r="1524">
      <c r="A1524" t="n">
        <v>137747</v>
      </c>
      <c r="B1524" t="n">
        <v>115</v>
      </c>
      <c r="C1524" t="inlineStr">
        <is>
          <t>Love - Shibari - Bradesco</t>
        </is>
      </c>
      <c r="D1524" t="n">
        <v>128</v>
      </c>
      <c r="E1524" t="inlineStr">
        <is>
          <t>Love Cabaret</t>
        </is>
      </c>
      <c r="F1524" s="27" t="n">
        <v>45877.5</v>
      </c>
      <c r="G1524" t="inlineStr">
        <is>
          <t>CREDITO</t>
        </is>
      </c>
      <c r="H1524" t="inlineStr">
        <is>
          <t>TRANSFERENCIA PIX REM: JULIANA QUAIOTTI BORB 08/08</t>
        </is>
      </c>
      <c r="I1524" t="n">
        <v>620</v>
      </c>
    </row>
    <row r="1525">
      <c r="A1525" t="n">
        <v>137748</v>
      </c>
      <c r="B1525" t="n">
        <v>115</v>
      </c>
      <c r="C1525" t="inlineStr">
        <is>
          <t>Love - Shibari - Bradesco</t>
        </is>
      </c>
      <c r="D1525" t="n">
        <v>128</v>
      </c>
      <c r="E1525" t="inlineStr">
        <is>
          <t>Love Cabaret</t>
        </is>
      </c>
      <c r="F1525" s="27" t="n">
        <v>45877.5</v>
      </c>
      <c r="G1525" t="inlineStr">
        <is>
          <t>CREDITO</t>
        </is>
      </c>
      <c r="H1525" t="inlineStr">
        <is>
          <t>TRANSFERENCIA PIX REM: Rodrigo Motta Santoro 08/08</t>
        </is>
      </c>
      <c r="I1525" t="n">
        <v>852.5</v>
      </c>
    </row>
    <row r="1526">
      <c r="A1526" t="n">
        <v>137746</v>
      </c>
      <c r="B1526" t="n">
        <v>115</v>
      </c>
      <c r="C1526" t="inlineStr">
        <is>
          <t>Love - Shibari - Bradesco</t>
        </is>
      </c>
      <c r="D1526" t="n">
        <v>128</v>
      </c>
      <c r="E1526" t="inlineStr">
        <is>
          <t>Love Cabaret</t>
        </is>
      </c>
      <c r="F1526" s="27" t="n">
        <v>45877.5</v>
      </c>
      <c r="G1526" t="inlineStr">
        <is>
          <t>CREDITO</t>
        </is>
      </c>
      <c r="H1526" t="inlineStr">
        <is>
          <t>TRANSFERENCIA PIX REM: MAYRA CRISTINA A L DE 08/08</t>
        </is>
      </c>
      <c r="I1526" t="n">
        <v>620</v>
      </c>
    </row>
    <row r="1527">
      <c r="A1527" t="n">
        <v>137737</v>
      </c>
      <c r="B1527" t="n">
        <v>115</v>
      </c>
      <c r="C1527" t="inlineStr">
        <is>
          <t>Love - Shibari - Bradesco</t>
        </is>
      </c>
      <c r="D1527" t="n">
        <v>128</v>
      </c>
      <c r="E1527" t="inlineStr">
        <is>
          <t>Love Cabaret</t>
        </is>
      </c>
      <c r="F1527" s="27" t="n">
        <v>45876.5</v>
      </c>
      <c r="G1527" t="inlineStr">
        <is>
          <t>CREDITO</t>
        </is>
      </c>
      <c r="H1527" t="inlineStr">
        <is>
          <t>TED-TRANSF ELET DISPON REMET.SYMPLA INTERNET SOLU</t>
        </is>
      </c>
      <c r="I1527" t="n">
        <v>94.39</v>
      </c>
    </row>
    <row r="1528">
      <c r="A1528" t="n">
        <v>137733</v>
      </c>
      <c r="B1528" t="n">
        <v>115</v>
      </c>
      <c r="C1528" t="inlineStr">
        <is>
          <t>Love - Shibari - Bradesco</t>
        </is>
      </c>
      <c r="D1528" t="n">
        <v>128</v>
      </c>
      <c r="E1528" t="inlineStr">
        <is>
          <t>Love Cabaret</t>
        </is>
      </c>
      <c r="F1528" s="27" t="n">
        <v>45876.5</v>
      </c>
      <c r="G1528" t="inlineStr">
        <is>
          <t>CREDITO</t>
        </is>
      </c>
      <c r="H1528" t="inlineStr">
        <is>
          <t>TED-TRANSF ELET DISPON REMET.SYMPLA INTERNET SOLU</t>
        </is>
      </c>
      <c r="I1528" t="n">
        <v>324.57</v>
      </c>
    </row>
    <row r="1529">
      <c r="A1529" t="n">
        <v>137734</v>
      </c>
      <c r="B1529" t="n">
        <v>115</v>
      </c>
      <c r="C1529" t="inlineStr">
        <is>
          <t>Love - Shibari - Bradesco</t>
        </is>
      </c>
      <c r="D1529" t="n">
        <v>128</v>
      </c>
      <c r="E1529" t="inlineStr">
        <is>
          <t>Love Cabaret</t>
        </is>
      </c>
      <c r="F1529" s="27" t="n">
        <v>45876.5</v>
      </c>
      <c r="G1529" t="inlineStr">
        <is>
          <t>CREDITO</t>
        </is>
      </c>
      <c r="H1529" t="inlineStr">
        <is>
          <t>TED-TRANSF ELET DISPON REMET.SYMPLA INTERNET SOLU</t>
        </is>
      </c>
      <c r="I1529" t="n">
        <v>205.74</v>
      </c>
    </row>
    <row r="1530">
      <c r="A1530" t="n">
        <v>137735</v>
      </c>
      <c r="B1530" t="n">
        <v>115</v>
      </c>
      <c r="C1530" t="inlineStr">
        <is>
          <t>Love - Shibari - Bradesco</t>
        </is>
      </c>
      <c r="D1530" t="n">
        <v>128</v>
      </c>
      <c r="E1530" t="inlineStr">
        <is>
          <t>Love Cabaret</t>
        </is>
      </c>
      <c r="F1530" s="27" t="n">
        <v>45876.5</v>
      </c>
      <c r="G1530" t="inlineStr">
        <is>
          <t>CREDITO</t>
        </is>
      </c>
      <c r="H1530" t="inlineStr">
        <is>
          <t>TED-TRANSF ELET DISPON REMET.SYMPLA INTERNET SOLU</t>
        </is>
      </c>
      <c r="I1530" t="n">
        <v>399.78</v>
      </c>
    </row>
    <row r="1531">
      <c r="A1531" t="n">
        <v>137736</v>
      </c>
      <c r="B1531" t="n">
        <v>115</v>
      </c>
      <c r="C1531" t="inlineStr">
        <is>
          <t>Love - Shibari - Bradesco</t>
        </is>
      </c>
      <c r="D1531" t="n">
        <v>128</v>
      </c>
      <c r="E1531" t="inlineStr">
        <is>
          <t>Love Cabaret</t>
        </is>
      </c>
      <c r="F1531" s="27" t="n">
        <v>45876.5</v>
      </c>
      <c r="G1531" t="inlineStr">
        <is>
          <t>CREDITO</t>
        </is>
      </c>
      <c r="H1531" t="inlineStr">
        <is>
          <t>TED-TRANSF ELET DISPON REMET.SYMPLA INTERNET SOLU</t>
        </is>
      </c>
      <c r="I1531" t="n">
        <v>412.56</v>
      </c>
    </row>
    <row r="1532">
      <c r="A1532" t="n">
        <v>137738</v>
      </c>
      <c r="B1532" t="n">
        <v>115</v>
      </c>
      <c r="C1532" t="inlineStr">
        <is>
          <t>Love - Shibari - Bradesco</t>
        </is>
      </c>
      <c r="D1532" t="n">
        <v>128</v>
      </c>
      <c r="E1532" t="inlineStr">
        <is>
          <t>Love Cabaret</t>
        </is>
      </c>
      <c r="F1532" s="27" t="n">
        <v>45876.5</v>
      </c>
      <c r="G1532" t="inlineStr">
        <is>
          <t>CREDITO</t>
        </is>
      </c>
      <c r="H1532" t="inlineStr">
        <is>
          <t>TED-TRANSF ELET DISPON REMET.SYMPLA INTERNET SOLU</t>
        </is>
      </c>
      <c r="I1532" t="n">
        <v>35.05</v>
      </c>
    </row>
    <row r="1533">
      <c r="A1533" t="n">
        <v>137739</v>
      </c>
      <c r="B1533" t="n">
        <v>115</v>
      </c>
      <c r="C1533" t="inlineStr">
        <is>
          <t>Love - Shibari - Bradesco</t>
        </is>
      </c>
      <c r="D1533" t="n">
        <v>128</v>
      </c>
      <c r="E1533" t="inlineStr">
        <is>
          <t>Love Cabaret</t>
        </is>
      </c>
      <c r="F1533" s="27" t="n">
        <v>45876.5</v>
      </c>
      <c r="G1533" t="inlineStr">
        <is>
          <t>CREDITO</t>
        </is>
      </c>
      <c r="H1533" t="inlineStr">
        <is>
          <t>TED-TRANSF ELET DISPON REMET.SYMPLA INTERNET SOLU</t>
        </is>
      </c>
      <c r="I1533" t="n">
        <v>366.12</v>
      </c>
    </row>
    <row r="1534">
      <c r="A1534" t="n">
        <v>137740</v>
      </c>
      <c r="B1534" t="n">
        <v>115</v>
      </c>
      <c r="C1534" t="inlineStr">
        <is>
          <t>Love - Shibari - Bradesco</t>
        </is>
      </c>
      <c r="D1534" t="n">
        <v>128</v>
      </c>
      <c r="E1534" t="inlineStr">
        <is>
          <t>Love Cabaret</t>
        </is>
      </c>
      <c r="F1534" s="27" t="n">
        <v>45876.5</v>
      </c>
      <c r="G1534" t="inlineStr">
        <is>
          <t>CREDITO</t>
        </is>
      </c>
      <c r="H1534" t="inlineStr">
        <is>
          <t>TED-TRANSF ELET DISPON REMET.SYMPLA INTERNET SOLU</t>
        </is>
      </c>
      <c r="I1534" t="n">
        <v>10.69</v>
      </c>
    </row>
    <row r="1535">
      <c r="A1535" t="n">
        <v>137741</v>
      </c>
      <c r="B1535" t="n">
        <v>115</v>
      </c>
      <c r="C1535" t="inlineStr">
        <is>
          <t>Love - Shibari - Bradesco</t>
        </is>
      </c>
      <c r="D1535" t="n">
        <v>128</v>
      </c>
      <c r="E1535" t="inlineStr">
        <is>
          <t>Love Cabaret</t>
        </is>
      </c>
      <c r="F1535" s="27" t="n">
        <v>45876.5</v>
      </c>
      <c r="G1535" t="inlineStr">
        <is>
          <t>CREDITO</t>
        </is>
      </c>
      <c r="H1535" t="inlineStr">
        <is>
          <t>TED-TRANSF ELET DISPON REMET.SYMPLA INTERNET SOLU</t>
        </is>
      </c>
      <c r="I1535" t="n">
        <v>376.92</v>
      </c>
    </row>
    <row r="1536">
      <c r="A1536" t="n">
        <v>137742</v>
      </c>
      <c r="B1536" t="n">
        <v>115</v>
      </c>
      <c r="C1536" t="inlineStr">
        <is>
          <t>Love - Shibari - Bradesco</t>
        </is>
      </c>
      <c r="D1536" t="n">
        <v>128</v>
      </c>
      <c r="E1536" t="inlineStr">
        <is>
          <t>Love Cabaret</t>
        </is>
      </c>
      <c r="F1536" s="27" t="n">
        <v>45876.5</v>
      </c>
      <c r="G1536" t="inlineStr">
        <is>
          <t>CREDITO</t>
        </is>
      </c>
      <c r="H1536" t="inlineStr">
        <is>
          <t>TED-TRANSF ELET DISPON REMET.SYMPLA INTERNET SOLU</t>
        </is>
      </c>
      <c r="I1536" t="n">
        <v>328.68</v>
      </c>
    </row>
    <row r="1537">
      <c r="A1537" t="n">
        <v>137743</v>
      </c>
      <c r="B1537" t="n">
        <v>115</v>
      </c>
      <c r="C1537" t="inlineStr">
        <is>
          <t>Love - Shibari - Bradesco</t>
        </is>
      </c>
      <c r="D1537" t="n">
        <v>128</v>
      </c>
      <c r="E1537" t="inlineStr">
        <is>
          <t>Love Cabaret</t>
        </is>
      </c>
      <c r="F1537" s="27" t="n">
        <v>45876.5</v>
      </c>
      <c r="G1537" t="inlineStr">
        <is>
          <t>CREDITO</t>
        </is>
      </c>
      <c r="H1537" t="inlineStr">
        <is>
          <t>TED-TRANSF ELET DISPON REMET.SYMPLA INTERNET SOLU</t>
        </is>
      </c>
      <c r="I1537" t="n">
        <v>488.34</v>
      </c>
    </row>
    <row r="1538">
      <c r="A1538" t="n">
        <v>131105</v>
      </c>
      <c r="B1538" t="n">
        <v>115</v>
      </c>
      <c r="C1538" t="inlineStr">
        <is>
          <t>Love - Shibari - Bradesco</t>
        </is>
      </c>
      <c r="D1538" t="n">
        <v>128</v>
      </c>
      <c r="E1538" t="inlineStr">
        <is>
          <t>Love Cabaret</t>
        </is>
      </c>
      <c r="F1538" s="27" t="n">
        <v>45875.5</v>
      </c>
      <c r="G1538" t="inlineStr">
        <is>
          <t>DEBITO</t>
        </is>
      </c>
      <c r="H1538" t="inlineStr">
        <is>
          <t>TARIFA BANCARIA TRANSF PGTO PIX</t>
        </is>
      </c>
      <c r="I1538" t="n">
        <v>-9.800000000000001</v>
      </c>
    </row>
    <row r="1539">
      <c r="A1539" t="n">
        <v>131100</v>
      </c>
      <c r="B1539" t="n">
        <v>115</v>
      </c>
      <c r="C1539" t="inlineStr">
        <is>
          <t>Love - Shibari - Bradesco</t>
        </is>
      </c>
      <c r="D1539" t="n">
        <v>128</v>
      </c>
      <c r="E1539" t="inlineStr">
        <is>
          <t>Love Cabaret</t>
        </is>
      </c>
      <c r="F1539" s="27" t="n">
        <v>45875.5</v>
      </c>
      <c r="G1539" t="inlineStr">
        <is>
          <t>CREDITO</t>
        </is>
      </c>
      <c r="H1539" t="inlineStr">
        <is>
          <t>TED-TRANSF ELET DISPON REMET.SYMPLA INTERNET SOLU</t>
        </is>
      </c>
      <c r="I1539" t="n">
        <v>11980</v>
      </c>
    </row>
    <row r="1540">
      <c r="A1540" t="n">
        <v>131101</v>
      </c>
      <c r="B1540" t="n">
        <v>115</v>
      </c>
      <c r="C1540" t="inlineStr">
        <is>
          <t>Love - Shibari - Bradesco</t>
        </is>
      </c>
      <c r="D1540" t="n">
        <v>128</v>
      </c>
      <c r="E1540" t="inlineStr">
        <is>
          <t>Love Cabaret</t>
        </is>
      </c>
      <c r="F1540" s="27" t="n">
        <v>45875.5</v>
      </c>
      <c r="G1540" t="inlineStr">
        <is>
          <t>CREDITO</t>
        </is>
      </c>
      <c r="H1540" t="inlineStr">
        <is>
          <t>TED-TRANSF ELET DISPON REMET.SYMPLA INTERNET SOLU</t>
        </is>
      </c>
      <c r="I1540" t="n">
        <v>99</v>
      </c>
    </row>
    <row r="1541">
      <c r="A1541" t="n">
        <v>131102</v>
      </c>
      <c r="B1541" t="n">
        <v>115</v>
      </c>
      <c r="C1541" t="inlineStr">
        <is>
          <t>Love - Shibari - Bradesco</t>
        </is>
      </c>
      <c r="D1541" t="n">
        <v>128</v>
      </c>
      <c r="E1541" t="inlineStr">
        <is>
          <t>Love Cabaret</t>
        </is>
      </c>
      <c r="F1541" s="27" t="n">
        <v>45875.5</v>
      </c>
      <c r="G1541" t="inlineStr">
        <is>
          <t>CREDITO</t>
        </is>
      </c>
      <c r="H1541" t="inlineStr">
        <is>
          <t>TED-TRANSF ELET DISPON REMET.SYMPLA INTERNET SOLU</t>
        </is>
      </c>
      <c r="I1541" t="n">
        <v>13270</v>
      </c>
    </row>
    <row r="1542">
      <c r="A1542" t="n">
        <v>131103</v>
      </c>
      <c r="B1542" t="n">
        <v>115</v>
      </c>
      <c r="C1542" t="inlineStr">
        <is>
          <t>Love - Shibari - Bradesco</t>
        </is>
      </c>
      <c r="D1542" t="n">
        <v>128</v>
      </c>
      <c r="E1542" t="inlineStr">
        <is>
          <t>Love Cabaret</t>
        </is>
      </c>
      <c r="F1542" s="27" t="n">
        <v>45875.5</v>
      </c>
      <c r="G1542" t="inlineStr">
        <is>
          <t>CREDITO</t>
        </is>
      </c>
      <c r="H1542" t="inlineStr">
        <is>
          <t>DEP DINHEIRO ATM AG00117MAQ061059SEQ08000</t>
        </is>
      </c>
      <c r="I1542" t="n">
        <v>150</v>
      </c>
    </row>
    <row r="1543">
      <c r="A1543" t="n">
        <v>131104</v>
      </c>
      <c r="B1543" t="n">
        <v>115</v>
      </c>
      <c r="C1543" t="inlineStr">
        <is>
          <t>Love - Shibari - Bradesco</t>
        </is>
      </c>
      <c r="D1543" t="n">
        <v>128</v>
      </c>
      <c r="E1543" t="inlineStr">
        <is>
          <t>Love Cabaret</t>
        </is>
      </c>
      <c r="F1543" s="27" t="n">
        <v>45875.5</v>
      </c>
      <c r="G1543" t="inlineStr">
        <is>
          <t>CREDITO</t>
        </is>
      </c>
      <c r="H1543" t="inlineStr">
        <is>
          <t>TRANSFERENCIA PIX REM: CLEITON LIMA CAMPOS   06/08</t>
        </is>
      </c>
      <c r="I1543" t="n">
        <v>1240</v>
      </c>
    </row>
    <row r="1544">
      <c r="A1544" t="n">
        <v>137775</v>
      </c>
      <c r="B1544" t="n">
        <v>182</v>
      </c>
      <c r="C1544" t="inlineStr">
        <is>
          <t>Love - Shibari - Kamino</t>
        </is>
      </c>
      <c r="D1544" t="n">
        <v>128</v>
      </c>
      <c r="E1544" t="inlineStr">
        <is>
          <t>Love Cabaret</t>
        </is>
      </c>
      <c r="F1544" s="27" t="n">
        <v>45875</v>
      </c>
      <c r="G1544" t="inlineStr">
        <is>
          <t>DEBITO</t>
        </is>
      </c>
      <c r="H1544" t="inlineStr">
        <is>
          <t>Douglas Felipe Domingues Gonalves</t>
        </is>
      </c>
      <c r="I1544" t="n">
        <v>-5150</v>
      </c>
    </row>
    <row r="1545">
      <c r="A1545" t="n">
        <v>137774</v>
      </c>
      <c r="B1545" t="n">
        <v>182</v>
      </c>
      <c r="C1545" t="inlineStr">
        <is>
          <t>Love - Shibari - Kamino</t>
        </is>
      </c>
      <c r="D1545" t="n">
        <v>128</v>
      </c>
      <c r="E1545" t="inlineStr">
        <is>
          <t>Love Cabaret</t>
        </is>
      </c>
      <c r="F1545" s="27" t="n">
        <v>45875</v>
      </c>
      <c r="G1545" t="inlineStr">
        <is>
          <t>DEBITO</t>
        </is>
      </c>
      <c r="H1545" t="inlineStr">
        <is>
          <t>55.214.822 Wagner da Silva Franca</t>
        </is>
      </c>
      <c r="I1545" t="n">
        <v>-5150</v>
      </c>
    </row>
    <row r="1546">
      <c r="A1546" t="n">
        <v>137773</v>
      </c>
      <c r="B1546" t="n">
        <v>182</v>
      </c>
      <c r="C1546" t="inlineStr">
        <is>
          <t>Love - Shibari - Kamino</t>
        </is>
      </c>
      <c r="D1546" t="n">
        <v>128</v>
      </c>
      <c r="E1546" t="inlineStr">
        <is>
          <t>Love Cabaret</t>
        </is>
      </c>
      <c r="F1546" s="27" t="n">
        <v>45875</v>
      </c>
      <c r="G1546" t="inlineStr">
        <is>
          <t>DEBITO</t>
        </is>
      </c>
      <c r="H1546" t="inlineStr">
        <is>
          <t>53.068.043 Isabella Fernandes Gomes</t>
        </is>
      </c>
      <c r="I1546" t="n">
        <v>-1200</v>
      </c>
    </row>
    <row r="1547">
      <c r="A1547" t="n">
        <v>137772</v>
      </c>
      <c r="B1547" t="n">
        <v>182</v>
      </c>
      <c r="C1547" t="inlineStr">
        <is>
          <t>Love - Shibari - Kamino</t>
        </is>
      </c>
      <c r="D1547" t="n">
        <v>128</v>
      </c>
      <c r="E1547" t="inlineStr">
        <is>
          <t>Love Cabaret</t>
        </is>
      </c>
      <c r="F1547" s="27" t="n">
        <v>45875</v>
      </c>
      <c r="G1547" t="inlineStr">
        <is>
          <t>DEBITO</t>
        </is>
      </c>
      <c r="H1547" t="inlineStr">
        <is>
          <t>Roberta Maria Santana</t>
        </is>
      </c>
      <c r="I1547" t="n">
        <v>-1150</v>
      </c>
    </row>
    <row r="1548">
      <c r="A1548" t="n">
        <v>137771</v>
      </c>
      <c r="B1548" t="n">
        <v>182</v>
      </c>
      <c r="C1548" t="inlineStr">
        <is>
          <t>Love - Shibari - Kamino</t>
        </is>
      </c>
      <c r="D1548" t="n">
        <v>128</v>
      </c>
      <c r="E1548" t="inlineStr">
        <is>
          <t>Love Cabaret</t>
        </is>
      </c>
      <c r="F1548" s="27" t="n">
        <v>45875</v>
      </c>
      <c r="G1548" t="inlineStr">
        <is>
          <t>DEBITO</t>
        </is>
      </c>
      <c r="H1548" t="inlineStr">
        <is>
          <t>Takuarobi</t>
        </is>
      </c>
      <c r="I1548" t="n">
        <v>-471.7</v>
      </c>
    </row>
    <row r="1549">
      <c r="A1549" t="n">
        <v>137770</v>
      </c>
      <c r="B1549" t="n">
        <v>182</v>
      </c>
      <c r="C1549" t="inlineStr">
        <is>
          <t>Love - Shibari - Kamino</t>
        </is>
      </c>
      <c r="D1549" t="n">
        <v>128</v>
      </c>
      <c r="E1549" t="inlineStr">
        <is>
          <t>Love Cabaret</t>
        </is>
      </c>
      <c r="F1549" s="27" t="n">
        <v>45875</v>
      </c>
      <c r="G1549" t="inlineStr">
        <is>
          <t>DEBITO</t>
        </is>
      </c>
      <c r="H1549" t="inlineStr">
        <is>
          <t>Felipe Ferreira Franca 36496185832</t>
        </is>
      </c>
      <c r="I1549" t="n">
        <v>-3250</v>
      </c>
    </row>
    <row r="1550">
      <c r="A1550" t="n">
        <v>137769</v>
      </c>
      <c r="B1550" t="n">
        <v>182</v>
      </c>
      <c r="C1550" t="inlineStr">
        <is>
          <t>Love - Shibari - Kamino</t>
        </is>
      </c>
      <c r="D1550" t="n">
        <v>128</v>
      </c>
      <c r="E1550" t="inlineStr">
        <is>
          <t>Love Cabaret</t>
        </is>
      </c>
      <c r="F1550" s="27" t="n">
        <v>45875</v>
      </c>
      <c r="G1550" t="inlineStr">
        <is>
          <t>DEBITO</t>
        </is>
      </c>
      <c r="H1550" t="inlineStr">
        <is>
          <t>King Comercio de Bebidas Ltda</t>
        </is>
      </c>
      <c r="I1550" t="n">
        <v>-3555.67</v>
      </c>
    </row>
    <row r="1551">
      <c r="A1551" t="n">
        <v>137780</v>
      </c>
      <c r="B1551" t="n">
        <v>182</v>
      </c>
      <c r="C1551" t="inlineStr">
        <is>
          <t>Love - Shibari - Kamino</t>
        </is>
      </c>
      <c r="D1551" t="n">
        <v>128</v>
      </c>
      <c r="E1551" t="inlineStr">
        <is>
          <t>Love Cabaret</t>
        </is>
      </c>
      <c r="F1551" s="27" t="n">
        <v>45875</v>
      </c>
      <c r="G1551" t="inlineStr">
        <is>
          <t>DEBITO</t>
        </is>
      </c>
      <c r="H1551" t="inlineStr">
        <is>
          <t>Tamara Santos Ribeiro</t>
        </is>
      </c>
      <c r="I1551" t="n">
        <v>-3500</v>
      </c>
    </row>
    <row r="1552">
      <c r="A1552" t="n">
        <v>137777</v>
      </c>
      <c r="B1552" t="n">
        <v>182</v>
      </c>
      <c r="C1552" t="inlineStr">
        <is>
          <t>Love - Shibari - Kamino</t>
        </is>
      </c>
      <c r="D1552" t="n">
        <v>128</v>
      </c>
      <c r="E1552" t="inlineStr">
        <is>
          <t>Love Cabaret</t>
        </is>
      </c>
      <c r="F1552" s="27" t="n">
        <v>45875</v>
      </c>
      <c r="G1552" t="inlineStr">
        <is>
          <t>DEBITO</t>
        </is>
      </c>
      <c r="H1552" t="inlineStr">
        <is>
          <t>Dudom</t>
        </is>
      </c>
      <c r="I1552" t="n">
        <v>-1600</v>
      </c>
    </row>
    <row r="1553">
      <c r="A1553" t="n">
        <v>137783</v>
      </c>
      <c r="B1553" t="n">
        <v>182</v>
      </c>
      <c r="C1553" t="inlineStr">
        <is>
          <t>Love - Shibari - Kamino</t>
        </is>
      </c>
      <c r="D1553" t="n">
        <v>128</v>
      </c>
      <c r="E1553" t="inlineStr">
        <is>
          <t>Love Cabaret</t>
        </is>
      </c>
      <c r="F1553" s="27" t="n">
        <v>45875</v>
      </c>
      <c r="G1553" t="inlineStr">
        <is>
          <t>DEBITO</t>
        </is>
      </c>
      <c r="H1553" t="inlineStr">
        <is>
          <t>Puxuri Consultoria Ltda</t>
        </is>
      </c>
      <c r="I1553" t="n">
        <v>-4000</v>
      </c>
    </row>
    <row r="1554">
      <c r="A1554" t="n">
        <v>137782</v>
      </c>
      <c r="B1554" t="n">
        <v>182</v>
      </c>
      <c r="C1554" t="inlineStr">
        <is>
          <t>Love - Shibari - Kamino</t>
        </is>
      </c>
      <c r="D1554" t="n">
        <v>128</v>
      </c>
      <c r="E1554" t="inlineStr">
        <is>
          <t>Love Cabaret</t>
        </is>
      </c>
      <c r="F1554" s="27" t="n">
        <v>45875</v>
      </c>
      <c r="G1554" t="inlineStr">
        <is>
          <t>DEBITO</t>
        </is>
      </c>
      <c r="H1554" t="inlineStr">
        <is>
          <t>49.635.085 Jessica Izabel de Souza</t>
        </is>
      </c>
      <c r="I1554" t="n">
        <v>-1250</v>
      </c>
    </row>
    <row r="1555">
      <c r="A1555" t="n">
        <v>137776</v>
      </c>
      <c r="B1555" t="n">
        <v>182</v>
      </c>
      <c r="C1555" t="inlineStr">
        <is>
          <t>Love - Shibari - Kamino</t>
        </is>
      </c>
      <c r="D1555" t="n">
        <v>128</v>
      </c>
      <c r="E1555" t="inlineStr">
        <is>
          <t>Love Cabaret</t>
        </is>
      </c>
      <c r="F1555" s="27" t="n">
        <v>45875</v>
      </c>
      <c r="G1555" t="inlineStr">
        <is>
          <t>DEBITO</t>
        </is>
      </c>
      <c r="H1555" t="inlineStr">
        <is>
          <t>Indra Haretrava</t>
        </is>
      </c>
      <c r="I1555" t="n">
        <v>-7420</v>
      </c>
    </row>
    <row r="1556">
      <c r="A1556" t="n">
        <v>137784</v>
      </c>
      <c r="B1556" t="n">
        <v>182</v>
      </c>
      <c r="C1556" t="inlineStr">
        <is>
          <t>Love - Shibari - Kamino</t>
        </is>
      </c>
      <c r="D1556" t="n">
        <v>128</v>
      </c>
      <c r="E1556" t="inlineStr">
        <is>
          <t>Love Cabaret</t>
        </is>
      </c>
      <c r="F1556" s="27" t="n">
        <v>45875</v>
      </c>
      <c r="G1556" t="inlineStr">
        <is>
          <t>DEBITO</t>
        </is>
      </c>
      <c r="H1556" t="inlineStr">
        <is>
          <t>55.774.785 Thiago Pinheiro da Silva</t>
        </is>
      </c>
      <c r="I1556" t="n">
        <v>-1125</v>
      </c>
    </row>
    <row r="1557">
      <c r="A1557" t="n">
        <v>137785</v>
      </c>
      <c r="B1557" t="n">
        <v>182</v>
      </c>
      <c r="C1557" t="inlineStr">
        <is>
          <t>Love - Shibari - Kamino</t>
        </is>
      </c>
      <c r="D1557" t="n">
        <v>128</v>
      </c>
      <c r="E1557" t="inlineStr">
        <is>
          <t>Love Cabaret</t>
        </is>
      </c>
      <c r="F1557" s="27" t="n">
        <v>45875</v>
      </c>
      <c r="G1557" t="inlineStr">
        <is>
          <t>DEBITO</t>
        </is>
      </c>
      <c r="H1557" t="inlineStr">
        <is>
          <t>Preshh Bar Ltda</t>
        </is>
      </c>
      <c r="I1557" t="n">
        <v>-727.2</v>
      </c>
    </row>
    <row r="1558">
      <c r="A1558" t="n">
        <v>137786</v>
      </c>
      <c r="B1558" t="n">
        <v>182</v>
      </c>
      <c r="C1558" t="inlineStr">
        <is>
          <t>Love - Shibari - Kamino</t>
        </is>
      </c>
      <c r="D1558" t="n">
        <v>128</v>
      </c>
      <c r="E1558" t="inlineStr">
        <is>
          <t>Love Cabaret</t>
        </is>
      </c>
      <c r="F1558" s="27" t="n">
        <v>45875</v>
      </c>
      <c r="G1558" t="inlineStr">
        <is>
          <t>DEBITO</t>
        </is>
      </c>
      <c r="H1558" t="inlineStr">
        <is>
          <t>Stephany Rodrigues da Silva</t>
        </is>
      </c>
      <c r="I1558" t="n">
        <v>-400</v>
      </c>
    </row>
    <row r="1559">
      <c r="A1559" t="n">
        <v>137787</v>
      </c>
      <c r="B1559" t="n">
        <v>182</v>
      </c>
      <c r="C1559" t="inlineStr">
        <is>
          <t>Love - Shibari - Kamino</t>
        </is>
      </c>
      <c r="D1559" t="n">
        <v>128</v>
      </c>
      <c r="E1559" t="inlineStr">
        <is>
          <t>Love Cabaret</t>
        </is>
      </c>
      <c r="F1559" s="27" t="n">
        <v>45875</v>
      </c>
      <c r="G1559" t="inlineStr">
        <is>
          <t>DEBITO</t>
        </is>
      </c>
      <c r="H1559" t="inlineStr">
        <is>
          <t>Felipe da Costa Santos</t>
        </is>
      </c>
      <c r="I1559" t="n">
        <v>-104.5</v>
      </c>
    </row>
    <row r="1560">
      <c r="A1560" t="n">
        <v>137788</v>
      </c>
      <c r="B1560" t="n">
        <v>182</v>
      </c>
      <c r="C1560" t="inlineStr">
        <is>
          <t>Love - Shibari - Kamino</t>
        </is>
      </c>
      <c r="D1560" t="n">
        <v>128</v>
      </c>
      <c r="E1560" t="inlineStr">
        <is>
          <t>Love Cabaret</t>
        </is>
      </c>
      <c r="F1560" s="27" t="n">
        <v>45875</v>
      </c>
      <c r="G1560" t="inlineStr">
        <is>
          <t>DEBITO</t>
        </is>
      </c>
      <c r="H1560" t="inlineStr">
        <is>
          <t>Luiz Roberto da Silva Junior</t>
        </is>
      </c>
      <c r="I1560" t="n">
        <v>-1000</v>
      </c>
    </row>
    <row r="1561">
      <c r="A1561" t="n">
        <v>137789</v>
      </c>
      <c r="B1561" t="n">
        <v>182</v>
      </c>
      <c r="C1561" t="inlineStr">
        <is>
          <t>Love - Shibari - Kamino</t>
        </is>
      </c>
      <c r="D1561" t="n">
        <v>128</v>
      </c>
      <c r="E1561" t="inlineStr">
        <is>
          <t>Love Cabaret</t>
        </is>
      </c>
      <c r="F1561" s="27" t="n">
        <v>45875</v>
      </c>
      <c r="G1561" t="inlineStr">
        <is>
          <t>DEBITO</t>
        </is>
      </c>
      <c r="H1561" t="inlineStr">
        <is>
          <t>Felipe Ferreira Franca 36496185832</t>
        </is>
      </c>
      <c r="I1561" t="n">
        <v>-17.45</v>
      </c>
    </row>
    <row r="1562">
      <c r="A1562" t="n">
        <v>137790</v>
      </c>
      <c r="B1562" t="n">
        <v>182</v>
      </c>
      <c r="C1562" t="inlineStr">
        <is>
          <t>Love - Shibari - Kamino</t>
        </is>
      </c>
      <c r="D1562" t="n">
        <v>128</v>
      </c>
      <c r="E1562" t="inlineStr">
        <is>
          <t>Love Cabaret</t>
        </is>
      </c>
      <c r="F1562" s="27" t="n">
        <v>45875</v>
      </c>
      <c r="G1562" t="inlineStr">
        <is>
          <t>DEBITO</t>
        </is>
      </c>
      <c r="H1562" t="inlineStr">
        <is>
          <t>Ms Frangos Ltda</t>
        </is>
      </c>
      <c r="I1562" t="n">
        <v>-379.38</v>
      </c>
    </row>
    <row r="1563">
      <c r="A1563" t="n">
        <v>137791</v>
      </c>
      <c r="B1563" t="n">
        <v>182</v>
      </c>
      <c r="C1563" t="inlineStr">
        <is>
          <t>Love - Shibari - Kamino</t>
        </is>
      </c>
      <c r="D1563" t="n">
        <v>128</v>
      </c>
      <c r="E1563" t="inlineStr">
        <is>
          <t>Love Cabaret</t>
        </is>
      </c>
      <c r="F1563" s="27" t="n">
        <v>45875</v>
      </c>
      <c r="G1563" t="inlineStr">
        <is>
          <t>DEBITO</t>
        </is>
      </c>
      <c r="H1563" t="inlineStr">
        <is>
          <t>Safe Brand com Imp Exp S Ltda</t>
        </is>
      </c>
      <c r="I1563" t="n">
        <v>-2117.46</v>
      </c>
    </row>
    <row r="1564">
      <c r="A1564" t="n">
        <v>137792</v>
      </c>
      <c r="B1564" t="n">
        <v>182</v>
      </c>
      <c r="C1564" t="inlineStr">
        <is>
          <t>Love - Shibari - Kamino</t>
        </is>
      </c>
      <c r="D1564" t="n">
        <v>128</v>
      </c>
      <c r="E1564" t="inlineStr">
        <is>
          <t>Love Cabaret</t>
        </is>
      </c>
      <c r="F1564" s="27" t="n">
        <v>45875</v>
      </c>
      <c r="G1564" t="inlineStr">
        <is>
          <t>DEBITO</t>
        </is>
      </c>
      <c r="H1564" t="inlineStr">
        <is>
          <t>Ice4pros Fabrica de Gelo Ltda</t>
        </is>
      </c>
      <c r="I1564" t="n">
        <v>-563.5</v>
      </c>
    </row>
    <row r="1565">
      <c r="A1565" t="n">
        <v>137793</v>
      </c>
      <c r="B1565" t="n">
        <v>182</v>
      </c>
      <c r="C1565" t="inlineStr">
        <is>
          <t>Love - Shibari - Kamino</t>
        </is>
      </c>
      <c r="D1565" t="n">
        <v>128</v>
      </c>
      <c r="E1565" t="inlineStr">
        <is>
          <t>Love Cabaret</t>
        </is>
      </c>
      <c r="F1565" s="27" t="n">
        <v>45875</v>
      </c>
      <c r="G1565" t="inlineStr">
        <is>
          <t>DEBITO</t>
        </is>
      </c>
      <c r="H1565" t="inlineStr">
        <is>
          <t>Laisa Rocha Larangeira</t>
        </is>
      </c>
      <c r="I1565" t="n">
        <v>-1600</v>
      </c>
    </row>
    <row r="1566">
      <c r="A1566" t="n">
        <v>137794</v>
      </c>
      <c r="B1566" t="n">
        <v>182</v>
      </c>
      <c r="C1566" t="inlineStr">
        <is>
          <t>Love - Shibari - Kamino</t>
        </is>
      </c>
      <c r="D1566" t="n">
        <v>128</v>
      </c>
      <c r="E1566" t="inlineStr">
        <is>
          <t>Love Cabaret</t>
        </is>
      </c>
      <c r="F1566" s="27" t="n">
        <v>45875</v>
      </c>
      <c r="G1566" t="inlineStr">
        <is>
          <t>DEBITO</t>
        </is>
      </c>
      <c r="H1566" t="inlineStr">
        <is>
          <t>Eshows Promocoes Artisticas Ltda</t>
        </is>
      </c>
      <c r="I1566" t="n">
        <v>-18340</v>
      </c>
    </row>
    <row r="1567">
      <c r="A1567" t="n">
        <v>137796</v>
      </c>
      <c r="B1567" t="n">
        <v>182</v>
      </c>
      <c r="C1567" t="inlineStr">
        <is>
          <t>Love - Shibari - Kamino</t>
        </is>
      </c>
      <c r="D1567" t="n">
        <v>128</v>
      </c>
      <c r="E1567" t="inlineStr">
        <is>
          <t>Love Cabaret</t>
        </is>
      </c>
      <c r="F1567" s="27" t="n">
        <v>45875</v>
      </c>
      <c r="G1567" t="inlineStr">
        <is>
          <t>DEBITO</t>
        </is>
      </c>
      <c r="H1567" t="inlineStr">
        <is>
          <t>Psss Ltda</t>
        </is>
      </c>
      <c r="I1567" t="n">
        <v>-133.8</v>
      </c>
    </row>
    <row r="1568">
      <c r="A1568" t="n">
        <v>137778</v>
      </c>
      <c r="B1568" t="n">
        <v>182</v>
      </c>
      <c r="C1568" t="inlineStr">
        <is>
          <t>Love - Shibari - Kamino</t>
        </is>
      </c>
      <c r="D1568" t="n">
        <v>128</v>
      </c>
      <c r="E1568" t="inlineStr">
        <is>
          <t>Love Cabaret</t>
        </is>
      </c>
      <c r="F1568" s="27" t="n">
        <v>45875</v>
      </c>
      <c r="G1568" t="inlineStr">
        <is>
          <t>DEBITO</t>
        </is>
      </c>
      <c r="H1568" t="inlineStr">
        <is>
          <t>29.004.930 Agnes Rodrigues de Oliveira</t>
        </is>
      </c>
      <c r="I1568" t="n">
        <v>-5000</v>
      </c>
    </row>
    <row r="1569">
      <c r="A1569" t="n">
        <v>137779</v>
      </c>
      <c r="B1569" t="n">
        <v>182</v>
      </c>
      <c r="C1569" t="inlineStr">
        <is>
          <t>Love - Shibari - Kamino</t>
        </is>
      </c>
      <c r="D1569" t="n">
        <v>128</v>
      </c>
      <c r="E1569" t="inlineStr">
        <is>
          <t>Love Cabaret</t>
        </is>
      </c>
      <c r="F1569" s="27" t="n">
        <v>45875</v>
      </c>
      <c r="G1569" t="inlineStr">
        <is>
          <t>DEBITO</t>
        </is>
      </c>
      <c r="H1569" t="inlineStr">
        <is>
          <t>Leon Franz</t>
        </is>
      </c>
      <c r="I1569" t="n">
        <v>-8500</v>
      </c>
    </row>
    <row r="1570">
      <c r="A1570" t="n">
        <v>137805</v>
      </c>
      <c r="B1570" t="n">
        <v>182</v>
      </c>
      <c r="C1570" t="inlineStr">
        <is>
          <t>Love - Shibari - Kamino</t>
        </is>
      </c>
      <c r="D1570" t="n">
        <v>128</v>
      </c>
      <c r="E1570" t="inlineStr">
        <is>
          <t>Love Cabaret</t>
        </is>
      </c>
      <c r="F1570" s="27" t="n">
        <v>45875</v>
      </c>
      <c r="G1570" t="inlineStr">
        <is>
          <t>DEBITO</t>
        </is>
      </c>
      <c r="H1570" t="inlineStr">
        <is>
          <t>King Comercio de Bebidas Ltda</t>
        </is>
      </c>
      <c r="I1570" t="n">
        <v>-5192.25</v>
      </c>
    </row>
    <row r="1571">
      <c r="A1571" t="n">
        <v>137781</v>
      </c>
      <c r="B1571" t="n">
        <v>182</v>
      </c>
      <c r="C1571" t="inlineStr">
        <is>
          <t>Love - Shibari - Kamino</t>
        </is>
      </c>
      <c r="D1571" t="n">
        <v>128</v>
      </c>
      <c r="E1571" t="inlineStr">
        <is>
          <t>Love Cabaret</t>
        </is>
      </c>
      <c r="F1571" s="27" t="n">
        <v>45875</v>
      </c>
      <c r="G1571" t="inlineStr">
        <is>
          <t>DEBITO</t>
        </is>
      </c>
      <c r="H1571" t="inlineStr">
        <is>
          <t>Nina Consultoria e Representacoes</t>
        </is>
      </c>
      <c r="I1571" t="n">
        <v>-3000</v>
      </c>
    </row>
    <row r="1572">
      <c r="A1572" t="n">
        <v>137804</v>
      </c>
      <c r="B1572" t="n">
        <v>182</v>
      </c>
      <c r="C1572" t="inlineStr">
        <is>
          <t>Love - Shibari - Kamino</t>
        </is>
      </c>
      <c r="D1572" t="n">
        <v>128</v>
      </c>
      <c r="E1572" t="inlineStr">
        <is>
          <t>Love Cabaret</t>
        </is>
      </c>
      <c r="F1572" s="27" t="n">
        <v>45875</v>
      </c>
      <c r="G1572" t="inlineStr">
        <is>
          <t>DEBITO</t>
        </is>
      </c>
      <c r="H1572" t="inlineStr">
        <is>
          <t>Felipe da Costa Santos</t>
        </is>
      </c>
      <c r="I1572" t="n">
        <v>-6360</v>
      </c>
    </row>
    <row r="1573">
      <c r="A1573" t="n">
        <v>137803</v>
      </c>
      <c r="B1573" t="n">
        <v>182</v>
      </c>
      <c r="C1573" t="inlineStr">
        <is>
          <t>Love - Shibari - Kamino</t>
        </is>
      </c>
      <c r="D1573" t="n">
        <v>128</v>
      </c>
      <c r="E1573" t="inlineStr">
        <is>
          <t>Love Cabaret</t>
        </is>
      </c>
      <c r="F1573" s="27" t="n">
        <v>45875</v>
      </c>
      <c r="G1573" t="inlineStr">
        <is>
          <t>DEBITO</t>
        </is>
      </c>
      <c r="H1573" t="inlineStr">
        <is>
          <t>Cem Engenharia da Manutencao L</t>
        </is>
      </c>
      <c r="I1573" t="n">
        <v>-950</v>
      </c>
    </row>
    <row r="1574">
      <c r="A1574" t="n">
        <v>137802</v>
      </c>
      <c r="B1574" t="n">
        <v>182</v>
      </c>
      <c r="C1574" t="inlineStr">
        <is>
          <t>Love - Shibari - Kamino</t>
        </is>
      </c>
      <c r="D1574" t="n">
        <v>128</v>
      </c>
      <c r="E1574" t="inlineStr">
        <is>
          <t>Love Cabaret</t>
        </is>
      </c>
      <c r="F1574" s="27" t="n">
        <v>45875</v>
      </c>
      <c r="G1574" t="inlineStr">
        <is>
          <t>DEBITO</t>
        </is>
      </c>
      <c r="H1574" t="inlineStr">
        <is>
          <t>Hnk Br Bebidas Ltda</t>
        </is>
      </c>
      <c r="I1574" t="n">
        <v>-3754.01</v>
      </c>
    </row>
    <row r="1575">
      <c r="A1575" t="n">
        <v>137801</v>
      </c>
      <c r="B1575" t="n">
        <v>182</v>
      </c>
      <c r="C1575" t="inlineStr">
        <is>
          <t>Love - Shibari - Kamino</t>
        </is>
      </c>
      <c r="D1575" t="n">
        <v>128</v>
      </c>
      <c r="E1575" t="inlineStr">
        <is>
          <t>Love Cabaret</t>
        </is>
      </c>
      <c r="F1575" s="27" t="n">
        <v>45875</v>
      </c>
      <c r="G1575" t="inlineStr">
        <is>
          <t>DEBITO</t>
        </is>
      </c>
      <c r="H1575" t="inlineStr">
        <is>
          <t>Cia do Whisky</t>
        </is>
      </c>
      <c r="I1575" t="n">
        <v>-2471.04</v>
      </c>
    </row>
    <row r="1576">
      <c r="A1576" t="n">
        <v>137800</v>
      </c>
      <c r="B1576" t="n">
        <v>182</v>
      </c>
      <c r="C1576" t="inlineStr">
        <is>
          <t>Love - Shibari - Kamino</t>
        </is>
      </c>
      <c r="D1576" t="n">
        <v>128</v>
      </c>
      <c r="E1576" t="inlineStr">
        <is>
          <t>Love Cabaret</t>
        </is>
      </c>
      <c r="F1576" s="27" t="n">
        <v>45875</v>
      </c>
      <c r="G1576" t="inlineStr">
        <is>
          <t>DEBITO</t>
        </is>
      </c>
      <c r="H1576" t="inlineStr">
        <is>
          <t>Divi Hub Operacao de Plataforma Eletroni</t>
        </is>
      </c>
      <c r="I1576" t="n">
        <v>-1000</v>
      </c>
    </row>
    <row r="1577">
      <c r="A1577" t="n">
        <v>137799</v>
      </c>
      <c r="B1577" t="n">
        <v>182</v>
      </c>
      <c r="C1577" t="inlineStr">
        <is>
          <t>Love - Shibari - Kamino</t>
        </is>
      </c>
      <c r="D1577" t="n">
        <v>128</v>
      </c>
      <c r="E1577" t="inlineStr">
        <is>
          <t>Love Cabaret</t>
        </is>
      </c>
      <c r="F1577" s="27" t="n">
        <v>45875</v>
      </c>
      <c r="G1577" t="inlineStr">
        <is>
          <t>DEBITO</t>
        </is>
      </c>
      <c r="H1577" t="inlineStr">
        <is>
          <t>Ng27 Consultoria e Gestao Empr</t>
        </is>
      </c>
      <c r="I1577" t="n">
        <v>-136.04</v>
      </c>
    </row>
    <row r="1578">
      <c r="A1578" t="n">
        <v>137798</v>
      </c>
      <c r="B1578" t="n">
        <v>182</v>
      </c>
      <c r="C1578" t="inlineStr">
        <is>
          <t>Love - Shibari - Kamino</t>
        </is>
      </c>
      <c r="D1578" t="n">
        <v>128</v>
      </c>
      <c r="E1578" t="inlineStr">
        <is>
          <t>Love Cabaret</t>
        </is>
      </c>
      <c r="F1578" s="27" t="n">
        <v>45875</v>
      </c>
      <c r="G1578" t="inlineStr">
        <is>
          <t>DEBITO</t>
        </is>
      </c>
      <c r="H1578" t="inlineStr">
        <is>
          <t>Estaff Solucoes Tecnologicas de Agenciam</t>
        </is>
      </c>
      <c r="I1578" t="n">
        <v>-14470.5</v>
      </c>
    </row>
    <row r="1579">
      <c r="A1579" t="n">
        <v>137797</v>
      </c>
      <c r="B1579" t="n">
        <v>182</v>
      </c>
      <c r="C1579" t="inlineStr">
        <is>
          <t>Love - Shibari - Kamino</t>
        </is>
      </c>
      <c r="D1579" t="n">
        <v>128</v>
      </c>
      <c r="E1579" t="inlineStr">
        <is>
          <t>Love Cabaret</t>
        </is>
      </c>
      <c r="F1579" s="27" t="n">
        <v>45875</v>
      </c>
      <c r="G1579" t="inlineStr">
        <is>
          <t>DEBITO</t>
        </is>
      </c>
      <c r="H1579" t="inlineStr">
        <is>
          <t>Stemme Telecomunicacoes do Brasil Ltda.</t>
        </is>
      </c>
      <c r="I1579" t="n">
        <v>-299.99</v>
      </c>
    </row>
    <row r="1580">
      <c r="A1580" t="n">
        <v>137795</v>
      </c>
      <c r="B1580" t="n">
        <v>182</v>
      </c>
      <c r="C1580" t="inlineStr">
        <is>
          <t>Love - Shibari - Kamino</t>
        </is>
      </c>
      <c r="D1580" t="n">
        <v>128</v>
      </c>
      <c r="E1580" t="inlineStr">
        <is>
          <t>Love Cabaret</t>
        </is>
      </c>
      <c r="F1580" s="27" t="n">
        <v>45875</v>
      </c>
      <c r="G1580" t="inlineStr">
        <is>
          <t>DEBITO</t>
        </is>
      </c>
      <c r="H1580" t="inlineStr">
        <is>
          <t>Btard Padaria Artesanal Ltda</t>
        </is>
      </c>
      <c r="I1580" t="n">
        <v>-168</v>
      </c>
    </row>
    <row r="1581">
      <c r="A1581" t="n">
        <v>131096</v>
      </c>
      <c r="B1581" t="n">
        <v>115</v>
      </c>
      <c r="C1581" t="inlineStr">
        <is>
          <t>Love - Shibari - Bradesco</t>
        </is>
      </c>
      <c r="D1581" t="n">
        <v>128</v>
      </c>
      <c r="E1581" t="inlineStr">
        <is>
          <t>Love Cabaret</t>
        </is>
      </c>
      <c r="F1581" s="27" t="n">
        <v>45874.5</v>
      </c>
      <c r="G1581" t="inlineStr">
        <is>
          <t>CREDITO</t>
        </is>
      </c>
      <c r="H1581" t="inlineStr">
        <is>
          <t>TRANSFERENCIA PIX REM: SHIBARI ART E DIVERSA 05/08</t>
        </is>
      </c>
      <c r="I1581" t="n">
        <v>20616.63</v>
      </c>
    </row>
    <row r="1582">
      <c r="A1582" t="n">
        <v>131097</v>
      </c>
      <c r="B1582" t="n">
        <v>115</v>
      </c>
      <c r="C1582" t="inlineStr">
        <is>
          <t>Love - Shibari - Bradesco</t>
        </is>
      </c>
      <c r="D1582" t="n">
        <v>128</v>
      </c>
      <c r="E1582" t="inlineStr">
        <is>
          <t>Love Cabaret</t>
        </is>
      </c>
      <c r="F1582" s="27" t="n">
        <v>45874.5</v>
      </c>
      <c r="G1582" t="inlineStr">
        <is>
          <t>CREDITO</t>
        </is>
      </c>
      <c r="H1582" t="inlineStr">
        <is>
          <t>TRANSFERENCIA PIX REM: BEATRIZ PEREIRA VIEIR 05/08</t>
        </is>
      </c>
      <c r="I1582" t="n">
        <v>465</v>
      </c>
    </row>
    <row r="1583">
      <c r="A1583" t="n">
        <v>131098</v>
      </c>
      <c r="B1583" t="n">
        <v>115</v>
      </c>
      <c r="C1583" t="inlineStr">
        <is>
          <t>Love - Shibari - Bradesco</t>
        </is>
      </c>
      <c r="D1583" t="n">
        <v>128</v>
      </c>
      <c r="E1583" t="inlineStr">
        <is>
          <t>Love Cabaret</t>
        </is>
      </c>
      <c r="F1583" s="27" t="n">
        <v>45874.5</v>
      </c>
      <c r="G1583" t="inlineStr">
        <is>
          <t>DEBITO</t>
        </is>
      </c>
      <c r="H1583" t="inlineStr">
        <is>
          <t>PAGTO ELETRON  COBRANCA VERISURE BRASIL MONITORAMENTO DE</t>
        </is>
      </c>
      <c r="I1583" t="n">
        <v>-263.78</v>
      </c>
    </row>
    <row r="1584">
      <c r="A1584" t="n">
        <v>131099</v>
      </c>
      <c r="B1584" t="n">
        <v>115</v>
      </c>
      <c r="C1584" t="inlineStr">
        <is>
          <t>Love - Shibari - Bradesco</t>
        </is>
      </c>
      <c r="D1584" t="n">
        <v>128</v>
      </c>
      <c r="E1584" t="inlineStr">
        <is>
          <t>Love Cabaret</t>
        </is>
      </c>
      <c r="F1584" s="27" t="n">
        <v>45874.5</v>
      </c>
      <c r="G1584" t="inlineStr">
        <is>
          <t>DEBITO</t>
        </is>
      </c>
      <c r="H1584" t="inlineStr">
        <is>
          <t>PGTO SALARIO VIA NET EMP</t>
        </is>
      </c>
      <c r="I1584" t="n">
        <v>-2652.98</v>
      </c>
    </row>
    <row r="1585">
      <c r="A1585" t="n">
        <v>131176</v>
      </c>
      <c r="B1585" t="n">
        <v>182</v>
      </c>
      <c r="C1585" t="inlineStr">
        <is>
          <t>Love - Shibari - Kamino</t>
        </is>
      </c>
      <c r="D1585" t="n">
        <v>128</v>
      </c>
      <c r="E1585" t="inlineStr">
        <is>
          <t>Love Cabaret</t>
        </is>
      </c>
      <c r="F1585" s="27" t="n">
        <v>45874</v>
      </c>
      <c r="G1585" t="inlineStr">
        <is>
          <t>DEBITO</t>
        </is>
      </c>
      <c r="H1585" t="inlineStr">
        <is>
          <t>KAMINO INSTITUICAO DE PAGAMENTO LTDA</t>
        </is>
      </c>
      <c r="I1585" t="n">
        <v>-2103.48</v>
      </c>
    </row>
    <row r="1586">
      <c r="A1586" t="n">
        <v>131087</v>
      </c>
      <c r="B1586" t="n">
        <v>115</v>
      </c>
      <c r="C1586" t="inlineStr">
        <is>
          <t>Love - Shibari - Bradesco</t>
        </is>
      </c>
      <c r="D1586" t="n">
        <v>128</v>
      </c>
      <c r="E1586" t="inlineStr">
        <is>
          <t>Love Cabaret</t>
        </is>
      </c>
      <c r="F1586" s="27" t="n">
        <v>45873.5</v>
      </c>
      <c r="G1586" t="inlineStr">
        <is>
          <t>CREDITO</t>
        </is>
      </c>
      <c r="H1586" t="inlineStr">
        <is>
          <t>DEP DINHEIRO ATM AG00117MAQ061059SEQ03739</t>
        </is>
      </c>
      <c r="I1586" t="n">
        <v>839</v>
      </c>
    </row>
    <row r="1587">
      <c r="A1587" t="n">
        <v>131088</v>
      </c>
      <c r="B1587" t="n">
        <v>115</v>
      </c>
      <c r="C1587" t="inlineStr">
        <is>
          <t>Love - Shibari - Bradesco</t>
        </is>
      </c>
      <c r="D1587" t="n">
        <v>128</v>
      </c>
      <c r="E1587" t="inlineStr">
        <is>
          <t>Love Cabaret</t>
        </is>
      </c>
      <c r="F1587" s="27" t="n">
        <v>45873.5</v>
      </c>
      <c r="G1587" t="inlineStr">
        <is>
          <t>CREDITO</t>
        </is>
      </c>
      <c r="H1587" t="inlineStr">
        <is>
          <t>TRANSFERENCIA PIX REM: SHIBARI ART E DIVERSA 04/08</t>
        </is>
      </c>
      <c r="I1587" t="n">
        <v>38223.24</v>
      </c>
    </row>
    <row r="1588">
      <c r="A1588" t="n">
        <v>131089</v>
      </c>
      <c r="B1588" t="n">
        <v>115</v>
      </c>
      <c r="C1588" t="inlineStr">
        <is>
          <t>Love - Shibari - Bradesco</t>
        </is>
      </c>
      <c r="D1588" t="n">
        <v>128</v>
      </c>
      <c r="E1588" t="inlineStr">
        <is>
          <t>Love Cabaret</t>
        </is>
      </c>
      <c r="F1588" s="27" t="n">
        <v>45873.5</v>
      </c>
      <c r="G1588" t="inlineStr">
        <is>
          <t>CREDITO</t>
        </is>
      </c>
      <c r="H1588" t="inlineStr">
        <is>
          <t>TRANSFERENCIA PIX REM: JULIANA RIBEIRO MENDE 02/08</t>
        </is>
      </c>
      <c r="I1588" t="n">
        <v>620</v>
      </c>
    </row>
    <row r="1589">
      <c r="A1589" t="n">
        <v>131095</v>
      </c>
      <c r="B1589" t="n">
        <v>115</v>
      </c>
      <c r="C1589" t="inlineStr">
        <is>
          <t>Love - Shibari - Bradesco</t>
        </is>
      </c>
      <c r="D1589" t="n">
        <v>128</v>
      </c>
      <c r="E1589" t="inlineStr">
        <is>
          <t>Love Cabaret</t>
        </is>
      </c>
      <c r="F1589" s="27" t="n">
        <v>45873.5</v>
      </c>
      <c r="G1589" t="inlineStr">
        <is>
          <t>DEBITO</t>
        </is>
      </c>
      <c r="H1589" t="inlineStr">
        <is>
          <t>TRANSFERENCIA PIX DES: SHIBARI ART E DIVERSA 04/08</t>
        </is>
      </c>
      <c r="I1589" t="n">
        <v>-150000</v>
      </c>
    </row>
    <row r="1590">
      <c r="A1590" t="n">
        <v>131166</v>
      </c>
      <c r="B1590" t="n">
        <v>182</v>
      </c>
      <c r="C1590" t="inlineStr">
        <is>
          <t>Love - Shibari - Kamino</t>
        </is>
      </c>
      <c r="D1590" t="n">
        <v>128</v>
      </c>
      <c r="E1590" t="inlineStr">
        <is>
          <t>Love Cabaret</t>
        </is>
      </c>
      <c r="F1590" s="27" t="n">
        <v>45873</v>
      </c>
      <c r="G1590" t="inlineStr">
        <is>
          <t>DEBITO</t>
        </is>
      </c>
      <c r="H1590" t="inlineStr">
        <is>
          <t>Tempus Fugit Participacoes e Empreendimentos Ltda</t>
        </is>
      </c>
      <c r="I1590" t="n">
        <v>-185.9</v>
      </c>
    </row>
    <row r="1591">
      <c r="A1591" t="n">
        <v>131175</v>
      </c>
      <c r="B1591" t="n">
        <v>182</v>
      </c>
      <c r="C1591" t="inlineStr">
        <is>
          <t>Love - Shibari - Kamino</t>
        </is>
      </c>
      <c r="D1591" t="n">
        <v>128</v>
      </c>
      <c r="E1591" t="inlineStr">
        <is>
          <t>Love Cabaret</t>
        </is>
      </c>
      <c r="F1591" s="27" t="n">
        <v>45873</v>
      </c>
      <c r="G1591" t="inlineStr">
        <is>
          <t>DEBITO</t>
        </is>
      </c>
      <c r="H1591" t="inlineStr">
        <is>
          <t>Aurora Alvorada Estacionamento e Lanchon</t>
        </is>
      </c>
      <c r="I1591" t="n">
        <v>-217.09</v>
      </c>
    </row>
    <row r="1592">
      <c r="A1592" t="n">
        <v>131174</v>
      </c>
      <c r="B1592" t="n">
        <v>182</v>
      </c>
      <c r="C1592" t="inlineStr">
        <is>
          <t>Love - Shibari - Kamino</t>
        </is>
      </c>
      <c r="D1592" t="n">
        <v>128</v>
      </c>
      <c r="E1592" t="inlineStr">
        <is>
          <t>Love Cabaret</t>
        </is>
      </c>
      <c r="F1592" s="27" t="n">
        <v>45873</v>
      </c>
      <c r="G1592" t="inlineStr">
        <is>
          <t>DEBITO</t>
        </is>
      </c>
      <c r="H1592" t="inlineStr">
        <is>
          <t>Eletropaulo Metropolitana</t>
        </is>
      </c>
      <c r="I1592" t="n">
        <v>-96.72</v>
      </c>
    </row>
    <row r="1593">
      <c r="A1593" t="n">
        <v>131173</v>
      </c>
      <c r="B1593" t="n">
        <v>182</v>
      </c>
      <c r="C1593" t="inlineStr">
        <is>
          <t>Love - Shibari - Kamino</t>
        </is>
      </c>
      <c r="D1593" t="n">
        <v>128</v>
      </c>
      <c r="E1593" t="inlineStr">
        <is>
          <t>Love Cabaret</t>
        </is>
      </c>
      <c r="F1593" s="27" t="n">
        <v>45873</v>
      </c>
      <c r="G1593" t="inlineStr">
        <is>
          <t>DEBITO</t>
        </is>
      </c>
      <c r="H1593" t="inlineStr">
        <is>
          <t>Cg Food S Distr Alimentos Ltda</t>
        </is>
      </c>
      <c r="I1593" t="n">
        <v>-83.47</v>
      </c>
    </row>
    <row r="1594">
      <c r="A1594" t="n">
        <v>131172</v>
      </c>
      <c r="B1594" t="n">
        <v>182</v>
      </c>
      <c r="C1594" t="inlineStr">
        <is>
          <t>Love - Shibari - Kamino</t>
        </is>
      </c>
      <c r="D1594" t="n">
        <v>128</v>
      </c>
      <c r="E1594" t="inlineStr">
        <is>
          <t>Love Cabaret</t>
        </is>
      </c>
      <c r="F1594" s="27" t="n">
        <v>45873</v>
      </c>
      <c r="G1594" t="inlineStr">
        <is>
          <t>DEBITO</t>
        </is>
      </c>
      <c r="H1594" t="inlineStr">
        <is>
          <t>Easy Ice Solution Ltda Me</t>
        </is>
      </c>
      <c r="I1594" t="n">
        <v>-1600</v>
      </c>
    </row>
    <row r="1595">
      <c r="A1595" t="n">
        <v>131171</v>
      </c>
      <c r="B1595" t="n">
        <v>182</v>
      </c>
      <c r="C1595" t="inlineStr">
        <is>
          <t>Love - Shibari - Kamino</t>
        </is>
      </c>
      <c r="D1595" t="n">
        <v>128</v>
      </c>
      <c r="E1595" t="inlineStr">
        <is>
          <t>Love Cabaret</t>
        </is>
      </c>
      <c r="F1595" s="27" t="n">
        <v>45873</v>
      </c>
      <c r="G1595" t="inlineStr">
        <is>
          <t>DEBITO</t>
        </is>
      </c>
      <c r="H1595" t="inlineStr">
        <is>
          <t>Cecilia Tsuyaco Araki Silva Ltda</t>
        </is>
      </c>
      <c r="I1595" t="n">
        <v>-309.75</v>
      </c>
    </row>
    <row r="1596">
      <c r="A1596" t="n">
        <v>131169</v>
      </c>
      <c r="B1596" t="n">
        <v>182</v>
      </c>
      <c r="C1596" t="inlineStr">
        <is>
          <t>Love - Shibari - Kamino</t>
        </is>
      </c>
      <c r="D1596" t="n">
        <v>128</v>
      </c>
      <c r="E1596" t="inlineStr">
        <is>
          <t>Love Cabaret</t>
        </is>
      </c>
      <c r="F1596" s="27" t="n">
        <v>45873</v>
      </c>
      <c r="G1596" t="inlineStr">
        <is>
          <t>DEBITO</t>
        </is>
      </c>
      <c r="H1596" t="inlineStr">
        <is>
          <t>Cg Food S Distr Alimentos Ltda</t>
        </is>
      </c>
      <c r="I1596" t="n">
        <v>-238</v>
      </c>
    </row>
    <row r="1597">
      <c r="A1597" t="n">
        <v>131168</v>
      </c>
      <c r="B1597" t="n">
        <v>182</v>
      </c>
      <c r="C1597" t="inlineStr">
        <is>
          <t>Love - Shibari - Kamino</t>
        </is>
      </c>
      <c r="D1597" t="n">
        <v>128</v>
      </c>
      <c r="E1597" t="inlineStr">
        <is>
          <t>Love Cabaret</t>
        </is>
      </c>
      <c r="F1597" s="27" t="n">
        <v>45873</v>
      </c>
      <c r="G1597" t="inlineStr">
        <is>
          <t>DEBITO</t>
        </is>
      </c>
      <c r="H1597" t="inlineStr">
        <is>
          <t>W P P C Carnes Eireli Epp</t>
        </is>
      </c>
      <c r="I1597" t="n">
        <v>-1691.78</v>
      </c>
    </row>
    <row r="1598">
      <c r="A1598" t="n">
        <v>131167</v>
      </c>
      <c r="B1598" t="n">
        <v>182</v>
      </c>
      <c r="C1598" t="inlineStr">
        <is>
          <t>Love - Shibari - Kamino</t>
        </is>
      </c>
      <c r="D1598" t="n">
        <v>128</v>
      </c>
      <c r="E1598" t="inlineStr">
        <is>
          <t>Love Cabaret</t>
        </is>
      </c>
      <c r="F1598" s="27" t="n">
        <v>45873</v>
      </c>
      <c r="G1598" t="inlineStr">
        <is>
          <t>DEBITO</t>
        </is>
      </c>
      <c r="H1598" t="inlineStr">
        <is>
          <t>Lebanon Market Center Eireli</t>
        </is>
      </c>
      <c r="I1598" t="n">
        <v>-506.83</v>
      </c>
    </row>
    <row r="1599">
      <c r="A1599" t="n">
        <v>131165</v>
      </c>
      <c r="B1599" t="n">
        <v>182</v>
      </c>
      <c r="C1599" t="inlineStr">
        <is>
          <t>Love - Shibari - Kamino</t>
        </is>
      </c>
      <c r="D1599" t="n">
        <v>128</v>
      </c>
      <c r="E1599" t="inlineStr">
        <is>
          <t>Love Cabaret</t>
        </is>
      </c>
      <c r="F1599" s="27" t="n">
        <v>45873</v>
      </c>
      <c r="G1599" t="inlineStr">
        <is>
          <t>DEBITO</t>
        </is>
      </c>
      <c r="H1599" t="inlineStr">
        <is>
          <t>Ecad</t>
        </is>
      </c>
      <c r="I1599" t="n">
        <v>-802.5</v>
      </c>
    </row>
    <row r="1600">
      <c r="A1600" t="n">
        <v>131164</v>
      </c>
      <c r="B1600" t="n">
        <v>182</v>
      </c>
      <c r="C1600" t="inlineStr">
        <is>
          <t>Love - Shibari - Kamino</t>
        </is>
      </c>
      <c r="D1600" t="n">
        <v>128</v>
      </c>
      <c r="E1600" t="inlineStr">
        <is>
          <t>Love Cabaret</t>
        </is>
      </c>
      <c r="F1600" s="27" t="n">
        <v>45873</v>
      </c>
      <c r="G1600" t="inlineStr">
        <is>
          <t>DEBITO</t>
        </is>
      </c>
      <c r="H1600" t="inlineStr">
        <is>
          <t>Eletropaulo Metropolitana</t>
        </is>
      </c>
      <c r="I1600" t="n">
        <v>-15630.34</v>
      </c>
    </row>
    <row r="1601">
      <c r="A1601" t="n">
        <v>131158</v>
      </c>
      <c r="B1601" t="n">
        <v>182</v>
      </c>
      <c r="C1601" t="inlineStr">
        <is>
          <t>Love - Shibari - Kamino</t>
        </is>
      </c>
      <c r="D1601" t="n">
        <v>128</v>
      </c>
      <c r="E1601" t="inlineStr">
        <is>
          <t>Love Cabaret</t>
        </is>
      </c>
      <c r="F1601" s="27" t="n">
        <v>45873</v>
      </c>
      <c r="G1601" t="inlineStr">
        <is>
          <t>CREDITO</t>
        </is>
      </c>
      <c r="H1601" t="inlineStr">
        <is>
          <t>SHIBARI ART E DIVERSAO LTDA</t>
        </is>
      </c>
      <c r="I1601" t="n">
        <v>150000</v>
      </c>
    </row>
    <row r="1602">
      <c r="A1602" t="n">
        <v>131159</v>
      </c>
      <c r="B1602" t="n">
        <v>182</v>
      </c>
      <c r="C1602" t="inlineStr">
        <is>
          <t>Love - Shibari - Kamino</t>
        </is>
      </c>
      <c r="D1602" t="n">
        <v>128</v>
      </c>
      <c r="E1602" t="inlineStr">
        <is>
          <t>Love Cabaret</t>
        </is>
      </c>
      <c r="F1602" s="27" t="n">
        <v>45873</v>
      </c>
      <c r="G1602" t="inlineStr">
        <is>
          <t>DEBITO</t>
        </is>
      </c>
      <c r="H1602" t="inlineStr">
        <is>
          <t>55.866.682 Mateus Silveira Cezar</t>
        </is>
      </c>
      <c r="I1602" t="n">
        <v>-1800</v>
      </c>
    </row>
    <row r="1603">
      <c r="A1603" t="n">
        <v>131160</v>
      </c>
      <c r="B1603" t="n">
        <v>182</v>
      </c>
      <c r="C1603" t="inlineStr">
        <is>
          <t>Love - Shibari - Kamino</t>
        </is>
      </c>
      <c r="D1603" t="n">
        <v>128</v>
      </c>
      <c r="E1603" t="inlineStr">
        <is>
          <t>Love Cabaret</t>
        </is>
      </c>
      <c r="F1603" s="27" t="n">
        <v>45873</v>
      </c>
      <c r="G1603" t="inlineStr">
        <is>
          <t>DEBITO</t>
        </is>
      </c>
      <c r="H1603" t="inlineStr">
        <is>
          <t>Machine Seguranca Patrimonial Ltda</t>
        </is>
      </c>
      <c r="I1603" t="n">
        <v>-4560</v>
      </c>
    </row>
    <row r="1604">
      <c r="A1604" t="n">
        <v>131161</v>
      </c>
      <c r="B1604" t="n">
        <v>182</v>
      </c>
      <c r="C1604" t="inlineStr">
        <is>
          <t>Love - Shibari - Kamino</t>
        </is>
      </c>
      <c r="D1604" t="n">
        <v>128</v>
      </c>
      <c r="E1604" t="inlineStr">
        <is>
          <t>Love Cabaret</t>
        </is>
      </c>
      <c r="F1604" s="27" t="n">
        <v>45873</v>
      </c>
      <c r="G1604" t="inlineStr">
        <is>
          <t>DEBITO</t>
        </is>
      </c>
      <c r="H1604" t="inlineStr">
        <is>
          <t>Ng27 Consultoria e Gestao Empr</t>
        </is>
      </c>
      <c r="I1604" t="n">
        <v>-142.34</v>
      </c>
    </row>
    <row r="1605">
      <c r="A1605" t="n">
        <v>131162</v>
      </c>
      <c r="B1605" t="n">
        <v>182</v>
      </c>
      <c r="C1605" t="inlineStr">
        <is>
          <t>Love - Shibari - Kamino</t>
        </is>
      </c>
      <c r="D1605" t="n">
        <v>128</v>
      </c>
      <c r="E1605" t="inlineStr">
        <is>
          <t>Love Cabaret</t>
        </is>
      </c>
      <c r="F1605" s="27" t="n">
        <v>45873</v>
      </c>
      <c r="G1605" t="inlineStr">
        <is>
          <t>DEBITO</t>
        </is>
      </c>
      <c r="H1605" t="inlineStr">
        <is>
          <t>Cepel Comercio de Papeis e Emb</t>
        </is>
      </c>
      <c r="I1605" t="n">
        <v>-1339.78</v>
      </c>
    </row>
    <row r="1606">
      <c r="A1606" t="n">
        <v>131170</v>
      </c>
      <c r="B1606" t="n">
        <v>182</v>
      </c>
      <c r="C1606" t="inlineStr">
        <is>
          <t>Love - Shibari - Kamino</t>
        </is>
      </c>
      <c r="D1606" t="n">
        <v>128</v>
      </c>
      <c r="E1606" t="inlineStr">
        <is>
          <t>Love Cabaret</t>
        </is>
      </c>
      <c r="F1606" s="27" t="n">
        <v>45873</v>
      </c>
      <c r="G1606" t="inlineStr">
        <is>
          <t>DEBITO</t>
        </is>
      </c>
      <c r="H1606" t="inlineStr">
        <is>
          <t>Dtk Comercio de Alimentos Ltda Epp</t>
        </is>
      </c>
      <c r="I1606" t="n">
        <v>-407.94</v>
      </c>
    </row>
    <row r="1607">
      <c r="A1607" t="n">
        <v>131163</v>
      </c>
      <c r="B1607" t="n">
        <v>182</v>
      </c>
      <c r="C1607" t="inlineStr">
        <is>
          <t>Love - Shibari - Kamino</t>
        </is>
      </c>
      <c r="D1607" t="n">
        <v>128</v>
      </c>
      <c r="E1607" t="inlineStr">
        <is>
          <t>Love Cabaret</t>
        </is>
      </c>
      <c r="F1607" s="27" t="n">
        <v>45873</v>
      </c>
      <c r="G1607" t="inlineStr">
        <is>
          <t>DEBITO</t>
        </is>
      </c>
      <c r="H1607" t="inlineStr">
        <is>
          <t>Cem Engenharia da Manutencao L</t>
        </is>
      </c>
      <c r="I1607" t="n">
        <v>-950</v>
      </c>
    </row>
    <row r="1608">
      <c r="A1608" t="n">
        <v>131086</v>
      </c>
      <c r="B1608" t="n">
        <v>115</v>
      </c>
      <c r="C1608" t="inlineStr">
        <is>
          <t>Love - Shibari - Bradesco</t>
        </is>
      </c>
      <c r="D1608" t="n">
        <v>128</v>
      </c>
      <c r="E1608" t="inlineStr">
        <is>
          <t>Love Cabaret</t>
        </is>
      </c>
      <c r="F1608" s="27" t="n">
        <v>45870.5</v>
      </c>
      <c r="G1608" t="inlineStr">
        <is>
          <t>CREDITO</t>
        </is>
      </c>
      <c r="H1608" t="inlineStr">
        <is>
          <t>TRANSFERENCIA PIX REM: BABEL                 01/08</t>
        </is>
      </c>
      <c r="I1608" t="n">
        <v>8902.1</v>
      </c>
    </row>
    <row r="1609">
      <c r="A1609" t="n">
        <v>131082</v>
      </c>
      <c r="B1609" t="n">
        <v>115</v>
      </c>
      <c r="C1609" t="inlineStr">
        <is>
          <t>Love - Shibari - Bradesco</t>
        </is>
      </c>
      <c r="D1609" t="n">
        <v>128</v>
      </c>
      <c r="E1609" t="inlineStr">
        <is>
          <t>Love Cabaret</t>
        </is>
      </c>
      <c r="F1609" s="27" t="n">
        <v>45869.5</v>
      </c>
      <c r="G1609" t="inlineStr">
        <is>
          <t>CREDITO</t>
        </is>
      </c>
      <c r="H1609" t="inlineStr">
        <is>
          <t>TRANSFERENCIA PIX REM: THAINARA RUELA DA ROC 31/07</t>
        </is>
      </c>
      <c r="I1609" t="n">
        <v>852.5</v>
      </c>
    </row>
    <row r="1610">
      <c r="A1610" t="n">
        <v>131085</v>
      </c>
      <c r="B1610" t="n">
        <v>115</v>
      </c>
      <c r="C1610" t="inlineStr">
        <is>
          <t>Love - Shibari - Bradesco</t>
        </is>
      </c>
      <c r="D1610" t="n">
        <v>128</v>
      </c>
      <c r="E1610" t="inlineStr">
        <is>
          <t>Love Cabaret</t>
        </is>
      </c>
      <c r="F1610" s="27" t="n">
        <v>45869.5</v>
      </c>
      <c r="G1610" t="inlineStr">
        <is>
          <t>DEBITO</t>
        </is>
      </c>
      <c r="H1610" t="inlineStr">
        <is>
          <t>PARCELAMENTO DE DARF PARCELAMENTO DE DARF-207024</t>
        </is>
      </c>
      <c r="I1610" t="n">
        <v>-20467.56</v>
      </c>
    </row>
    <row r="1611">
      <c r="A1611" t="n">
        <v>131081</v>
      </c>
      <c r="B1611" t="n">
        <v>115</v>
      </c>
      <c r="C1611" t="inlineStr">
        <is>
          <t>Love - Shibari - Bradesco</t>
        </is>
      </c>
      <c r="D1611" t="n">
        <v>128</v>
      </c>
      <c r="E1611" t="inlineStr">
        <is>
          <t>Love Cabaret</t>
        </is>
      </c>
      <c r="F1611" s="27" t="n">
        <v>45868.5</v>
      </c>
      <c r="G1611" t="inlineStr">
        <is>
          <t>DEBITO</t>
        </is>
      </c>
      <c r="H1611" t="inlineStr">
        <is>
          <t>TARIFA BANCARIA TRANSF PGTO PIX</t>
        </is>
      </c>
      <c r="I1611" t="n">
        <v>-9.800000000000001</v>
      </c>
    </row>
    <row r="1612">
      <c r="A1612" t="n">
        <v>131080</v>
      </c>
      <c r="B1612" t="n">
        <v>115</v>
      </c>
      <c r="C1612" t="inlineStr">
        <is>
          <t>Love - Shibari - Bradesco</t>
        </is>
      </c>
      <c r="D1612" t="n">
        <v>128</v>
      </c>
      <c r="E1612" t="inlineStr">
        <is>
          <t>Love Cabaret</t>
        </is>
      </c>
      <c r="F1612" s="27" t="n">
        <v>45868.5</v>
      </c>
      <c r="G1612" t="inlineStr">
        <is>
          <t>CREDITO</t>
        </is>
      </c>
      <c r="H1612" t="inlineStr">
        <is>
          <t>TED-TRANSF ELET DISPON REMET.SYMPLA INTERNET SOLU</t>
        </is>
      </c>
      <c r="I1612" t="n">
        <v>10470</v>
      </c>
    </row>
    <row r="1613">
      <c r="A1613" t="n">
        <v>131079</v>
      </c>
      <c r="B1613" t="n">
        <v>115</v>
      </c>
      <c r="C1613" t="inlineStr">
        <is>
          <t>Love - Shibari - Bradesco</t>
        </is>
      </c>
      <c r="D1613" t="n">
        <v>128</v>
      </c>
      <c r="E1613" t="inlineStr">
        <is>
          <t>Love Cabaret</t>
        </is>
      </c>
      <c r="F1613" s="27" t="n">
        <v>45868.5</v>
      </c>
      <c r="G1613" t="inlineStr">
        <is>
          <t>CREDITO</t>
        </is>
      </c>
      <c r="H1613" t="inlineStr">
        <is>
          <t>TED-TRANSF ELET DISPON REMET.SYMPLA INTERNET SOLU</t>
        </is>
      </c>
      <c r="I1613" t="n">
        <v>11105</v>
      </c>
    </row>
    <row r="1614">
      <c r="A1614" t="n">
        <v>131144</v>
      </c>
      <c r="B1614" t="n">
        <v>182</v>
      </c>
      <c r="C1614" t="inlineStr">
        <is>
          <t>Love - Shibari - Kamino</t>
        </is>
      </c>
      <c r="D1614" t="n">
        <v>128</v>
      </c>
      <c r="E1614" t="inlineStr">
        <is>
          <t>Love Cabaret</t>
        </is>
      </c>
      <c r="F1614" s="27" t="n">
        <v>45868</v>
      </c>
      <c r="G1614" t="inlineStr">
        <is>
          <t>DEBITO</t>
        </is>
      </c>
      <c r="H1614" t="inlineStr">
        <is>
          <t>Luiz Roberto da Silva Junior</t>
        </is>
      </c>
      <c r="I1614" t="n">
        <v>-1000</v>
      </c>
    </row>
    <row r="1615">
      <c r="A1615" t="n">
        <v>131142</v>
      </c>
      <c r="B1615" t="n">
        <v>182</v>
      </c>
      <c r="C1615" t="inlineStr">
        <is>
          <t>Love - Shibari - Kamino</t>
        </is>
      </c>
      <c r="D1615" t="n">
        <v>128</v>
      </c>
      <c r="E1615" t="inlineStr">
        <is>
          <t>Love Cabaret</t>
        </is>
      </c>
      <c r="F1615" s="27" t="n">
        <v>45868</v>
      </c>
      <c r="G1615" t="inlineStr">
        <is>
          <t>DEBITO</t>
        </is>
      </c>
      <c r="H1615" t="inlineStr">
        <is>
          <t>Sao Paulo Transporte Sa</t>
        </is>
      </c>
      <c r="I1615" t="n">
        <v>-461.07</v>
      </c>
    </row>
    <row r="1616">
      <c r="A1616" t="n">
        <v>131143</v>
      </c>
      <c r="B1616" t="n">
        <v>182</v>
      </c>
      <c r="C1616" t="inlineStr">
        <is>
          <t>Love - Shibari - Kamino</t>
        </is>
      </c>
      <c r="D1616" t="n">
        <v>128</v>
      </c>
      <c r="E1616" t="inlineStr">
        <is>
          <t>Love Cabaret</t>
        </is>
      </c>
      <c r="F1616" s="27" t="n">
        <v>45868</v>
      </c>
      <c r="G1616" t="inlineStr">
        <is>
          <t>DEBITO</t>
        </is>
      </c>
      <c r="H1616" t="inlineStr">
        <is>
          <t>Cia do Whisky</t>
        </is>
      </c>
      <c r="I1616" t="n">
        <v>-672.47</v>
      </c>
    </row>
    <row r="1617">
      <c r="A1617" t="n">
        <v>131141</v>
      </c>
      <c r="B1617" t="n">
        <v>182</v>
      </c>
      <c r="C1617" t="inlineStr">
        <is>
          <t>Love - Shibari - Kamino</t>
        </is>
      </c>
      <c r="D1617" t="n">
        <v>128</v>
      </c>
      <c r="E1617" t="inlineStr">
        <is>
          <t>Love Cabaret</t>
        </is>
      </c>
      <c r="F1617" s="27" t="n">
        <v>45868</v>
      </c>
      <c r="G1617" t="inlineStr">
        <is>
          <t>DEBITO</t>
        </is>
      </c>
      <c r="H1617" t="inlineStr">
        <is>
          <t>Cia do Whisky</t>
        </is>
      </c>
      <c r="I1617" t="n">
        <v>-1179.76</v>
      </c>
    </row>
    <row r="1618">
      <c r="A1618" t="n">
        <v>131151</v>
      </c>
      <c r="B1618" t="n">
        <v>182</v>
      </c>
      <c r="C1618" t="inlineStr">
        <is>
          <t>Love - Shibari - Kamino</t>
        </is>
      </c>
      <c r="D1618" t="n">
        <v>128</v>
      </c>
      <c r="E1618" t="inlineStr">
        <is>
          <t>Love Cabaret</t>
        </is>
      </c>
      <c r="F1618" s="27" t="n">
        <v>45868</v>
      </c>
      <c r="G1618" t="inlineStr">
        <is>
          <t>DEBITO</t>
        </is>
      </c>
      <c r="H1618" t="inlineStr">
        <is>
          <t>Estaff Solucoes Tecnologicas de Agenciam</t>
        </is>
      </c>
      <c r="I1618" t="n">
        <v>-15383.5</v>
      </c>
    </row>
    <row r="1619">
      <c r="A1619" t="n">
        <v>131145</v>
      </c>
      <c r="B1619" t="n">
        <v>182</v>
      </c>
      <c r="C1619" t="inlineStr">
        <is>
          <t>Love - Shibari - Kamino</t>
        </is>
      </c>
      <c r="D1619" t="n">
        <v>128</v>
      </c>
      <c r="E1619" t="inlineStr">
        <is>
          <t>Love Cabaret</t>
        </is>
      </c>
      <c r="F1619" s="27" t="n">
        <v>45868</v>
      </c>
      <c r="G1619" t="inlineStr">
        <is>
          <t>DEBITO</t>
        </is>
      </c>
      <c r="H1619" t="inlineStr">
        <is>
          <t>Roberta Maria Santana</t>
        </is>
      </c>
      <c r="I1619" t="n">
        <v>-7466.66</v>
      </c>
    </row>
    <row r="1620">
      <c r="A1620" t="n">
        <v>131146</v>
      </c>
      <c r="B1620" t="n">
        <v>182</v>
      </c>
      <c r="C1620" t="inlineStr">
        <is>
          <t>Love - Shibari - Kamino</t>
        </is>
      </c>
      <c r="D1620" t="n">
        <v>128</v>
      </c>
      <c r="E1620" t="inlineStr">
        <is>
          <t>Love Cabaret</t>
        </is>
      </c>
      <c r="F1620" s="27" t="n">
        <v>45868</v>
      </c>
      <c r="G1620" t="inlineStr">
        <is>
          <t>DEBITO</t>
        </is>
      </c>
      <c r="H1620" t="inlineStr">
        <is>
          <t>Flavio Rodrigues de Moura</t>
        </is>
      </c>
      <c r="I1620" t="n">
        <v>-1000</v>
      </c>
    </row>
    <row r="1621">
      <c r="A1621" t="n">
        <v>131147</v>
      </c>
      <c r="B1621" t="n">
        <v>182</v>
      </c>
      <c r="C1621" t="inlineStr">
        <is>
          <t>Love - Shibari - Kamino</t>
        </is>
      </c>
      <c r="D1621" t="n">
        <v>128</v>
      </c>
      <c r="E1621" t="inlineStr">
        <is>
          <t>Love Cabaret</t>
        </is>
      </c>
      <c r="F1621" s="27" t="n">
        <v>45868</v>
      </c>
      <c r="G1621" t="inlineStr">
        <is>
          <t>DEBITO</t>
        </is>
      </c>
      <c r="H1621" t="inlineStr">
        <is>
          <t>Estudio Duoo</t>
        </is>
      </c>
      <c r="I1621" t="n">
        <v>-500</v>
      </c>
    </row>
    <row r="1622">
      <c r="A1622" t="n">
        <v>131148</v>
      </c>
      <c r="B1622" t="n">
        <v>182</v>
      </c>
      <c r="C1622" t="inlineStr">
        <is>
          <t>Love - Shibari - Kamino</t>
        </is>
      </c>
      <c r="D1622" t="n">
        <v>128</v>
      </c>
      <c r="E1622" t="inlineStr">
        <is>
          <t>Love Cabaret</t>
        </is>
      </c>
      <c r="F1622" s="27" t="n">
        <v>45868</v>
      </c>
      <c r="G1622" t="inlineStr">
        <is>
          <t>DEBITO</t>
        </is>
      </c>
      <c r="H1622" t="inlineStr">
        <is>
          <t>Facebook Processado por Adyen</t>
        </is>
      </c>
      <c r="I1622" t="n">
        <v>-5000</v>
      </c>
    </row>
    <row r="1623">
      <c r="A1623" t="n">
        <v>131149</v>
      </c>
      <c r="B1623" t="n">
        <v>182</v>
      </c>
      <c r="C1623" t="inlineStr">
        <is>
          <t>Love - Shibari - Kamino</t>
        </is>
      </c>
      <c r="D1623" t="n">
        <v>128</v>
      </c>
      <c r="E1623" t="inlineStr">
        <is>
          <t>Love Cabaret</t>
        </is>
      </c>
      <c r="F1623" s="27" t="n">
        <v>45868</v>
      </c>
      <c r="G1623" t="inlineStr">
        <is>
          <t>DEBITO</t>
        </is>
      </c>
      <c r="H1623" t="inlineStr">
        <is>
          <t>Cia do Whisky</t>
        </is>
      </c>
      <c r="I1623" t="n">
        <v>-1577.34</v>
      </c>
    </row>
    <row r="1624">
      <c r="A1624" t="n">
        <v>131150</v>
      </c>
      <c r="B1624" t="n">
        <v>182</v>
      </c>
      <c r="C1624" t="inlineStr">
        <is>
          <t>Love - Shibari - Kamino</t>
        </is>
      </c>
      <c r="D1624" t="n">
        <v>128</v>
      </c>
      <c r="E1624" t="inlineStr">
        <is>
          <t>Love Cabaret</t>
        </is>
      </c>
      <c r="F1624" s="27" t="n">
        <v>45868</v>
      </c>
      <c r="G1624" t="inlineStr">
        <is>
          <t>DEBITO</t>
        </is>
      </c>
      <c r="H1624" t="inlineStr">
        <is>
          <t>Cecilia Tsuyaco Araki Silva Ltda</t>
        </is>
      </c>
      <c r="I1624" t="n">
        <v>-189.33</v>
      </c>
    </row>
    <row r="1625">
      <c r="A1625" t="n">
        <v>131139</v>
      </c>
      <c r="B1625" t="n">
        <v>182</v>
      </c>
      <c r="C1625" t="inlineStr">
        <is>
          <t>Love - Shibari - Kamino</t>
        </is>
      </c>
      <c r="D1625" t="n">
        <v>128</v>
      </c>
      <c r="E1625" t="inlineStr">
        <is>
          <t>Love Cabaret</t>
        </is>
      </c>
      <c r="F1625" s="27" t="n">
        <v>45868</v>
      </c>
      <c r="G1625" t="inlineStr">
        <is>
          <t>DEBITO</t>
        </is>
      </c>
      <c r="H1625" t="inlineStr">
        <is>
          <t>Tarifa Pix Enviado-PJ</t>
        </is>
      </c>
      <c r="I1625" t="n">
        <v>-0.5</v>
      </c>
    </row>
    <row r="1626">
      <c r="A1626" t="n">
        <v>131157</v>
      </c>
      <c r="B1626" t="n">
        <v>182</v>
      </c>
      <c r="C1626" t="inlineStr">
        <is>
          <t>Love - Shibari - Kamino</t>
        </is>
      </c>
      <c r="D1626" t="n">
        <v>128</v>
      </c>
      <c r="E1626" t="inlineStr">
        <is>
          <t>Love Cabaret</t>
        </is>
      </c>
      <c r="F1626" s="27" t="n">
        <v>45868</v>
      </c>
      <c r="G1626" t="inlineStr">
        <is>
          <t>DEBITO</t>
        </is>
      </c>
      <c r="H1626" t="inlineStr">
        <is>
          <t>T. F. Ciuffi Hortifruti Ltda</t>
        </is>
      </c>
      <c r="I1626" t="n">
        <v>-338.6</v>
      </c>
    </row>
    <row r="1627">
      <c r="A1627" t="n">
        <v>131156</v>
      </c>
      <c r="B1627" t="n">
        <v>182</v>
      </c>
      <c r="C1627" t="inlineStr">
        <is>
          <t>Love - Shibari - Kamino</t>
        </is>
      </c>
      <c r="D1627" t="n">
        <v>128</v>
      </c>
      <c r="E1627" t="inlineStr">
        <is>
          <t>Love Cabaret</t>
        </is>
      </c>
      <c r="F1627" s="27" t="n">
        <v>45868</v>
      </c>
      <c r="G1627" t="inlineStr">
        <is>
          <t>DEBITO</t>
        </is>
      </c>
      <c r="H1627" t="inlineStr">
        <is>
          <t>King Comercio de Bebidas Ltda</t>
        </is>
      </c>
      <c r="I1627" t="n">
        <v>-3555.67</v>
      </c>
    </row>
    <row r="1628">
      <c r="A1628" t="n">
        <v>131155</v>
      </c>
      <c r="B1628" t="n">
        <v>182</v>
      </c>
      <c r="C1628" t="inlineStr">
        <is>
          <t>Love - Shibari - Kamino</t>
        </is>
      </c>
      <c r="D1628" t="n">
        <v>128</v>
      </c>
      <c r="E1628" t="inlineStr">
        <is>
          <t>Love Cabaret</t>
        </is>
      </c>
      <c r="F1628" s="27" t="n">
        <v>45868</v>
      </c>
      <c r="G1628" t="inlineStr">
        <is>
          <t>DEBITO</t>
        </is>
      </c>
      <c r="H1628" t="inlineStr">
        <is>
          <t>Receita Federal</t>
        </is>
      </c>
      <c r="I1628" t="n">
        <v>-1939.56</v>
      </c>
    </row>
    <row r="1629">
      <c r="A1629" t="n">
        <v>131154</v>
      </c>
      <c r="B1629" t="n">
        <v>182</v>
      </c>
      <c r="C1629" t="inlineStr">
        <is>
          <t>Love - Shibari - Kamino</t>
        </is>
      </c>
      <c r="D1629" t="n">
        <v>128</v>
      </c>
      <c r="E1629" t="inlineStr">
        <is>
          <t>Love Cabaret</t>
        </is>
      </c>
      <c r="F1629" s="27" t="n">
        <v>45868</v>
      </c>
      <c r="G1629" t="inlineStr">
        <is>
          <t>DEBITO</t>
        </is>
      </c>
      <c r="H1629" t="inlineStr">
        <is>
          <t>Ng27 Consultoria e Gestao Empr</t>
        </is>
      </c>
      <c r="I1629" t="n">
        <v>-350.26</v>
      </c>
    </row>
    <row r="1630">
      <c r="A1630" t="n">
        <v>131153</v>
      </c>
      <c r="B1630" t="n">
        <v>182</v>
      </c>
      <c r="C1630" t="inlineStr">
        <is>
          <t>Love - Shibari - Kamino</t>
        </is>
      </c>
      <c r="D1630" t="n">
        <v>128</v>
      </c>
      <c r="E1630" t="inlineStr">
        <is>
          <t>Love Cabaret</t>
        </is>
      </c>
      <c r="F1630" s="27" t="n">
        <v>45868</v>
      </c>
      <c r="G1630" t="inlineStr">
        <is>
          <t>DEBITO</t>
        </is>
      </c>
      <c r="H1630" t="inlineStr">
        <is>
          <t>Aurora Alvorada Estacionamento e Lanchon</t>
        </is>
      </c>
      <c r="I1630" t="n">
        <v>-230.85</v>
      </c>
    </row>
    <row r="1631">
      <c r="A1631" t="n">
        <v>131152</v>
      </c>
      <c r="B1631" t="n">
        <v>182</v>
      </c>
      <c r="C1631" t="inlineStr">
        <is>
          <t>Love - Shibari - Kamino</t>
        </is>
      </c>
      <c r="D1631" t="n">
        <v>128</v>
      </c>
      <c r="E1631" t="inlineStr">
        <is>
          <t>Love Cabaret</t>
        </is>
      </c>
      <c r="F1631" s="27" t="n">
        <v>45868</v>
      </c>
      <c r="G1631" t="inlineStr">
        <is>
          <t>DEBITO</t>
        </is>
      </c>
      <c r="H1631" t="inlineStr">
        <is>
          <t>Zoop Brasil</t>
        </is>
      </c>
      <c r="I1631" t="n">
        <v>-374.56</v>
      </c>
    </row>
    <row r="1632">
      <c r="A1632" t="n">
        <v>131140</v>
      </c>
      <c r="B1632" t="n">
        <v>182</v>
      </c>
      <c r="C1632" t="inlineStr">
        <is>
          <t>Love - Shibari - Kamino</t>
        </is>
      </c>
      <c r="D1632" t="n">
        <v>128</v>
      </c>
      <c r="E1632" t="inlineStr">
        <is>
          <t>Love Cabaret</t>
        </is>
      </c>
      <c r="F1632" s="27" t="n">
        <v>45868</v>
      </c>
      <c r="G1632" t="inlineStr">
        <is>
          <t>DEBITO</t>
        </is>
      </c>
      <c r="H1632" t="inlineStr">
        <is>
          <t>Edjane Dantas de Almeida Sousa</t>
        </is>
      </c>
      <c r="I1632" t="n">
        <v>-1200</v>
      </c>
    </row>
    <row r="1633">
      <c r="A1633" t="n">
        <v>131078</v>
      </c>
      <c r="B1633" t="n">
        <v>115</v>
      </c>
      <c r="C1633" t="inlineStr">
        <is>
          <t>Love - Shibari - Bradesco</t>
        </is>
      </c>
      <c r="D1633" t="n">
        <v>128</v>
      </c>
      <c r="E1633" t="inlineStr">
        <is>
          <t>Love Cabaret</t>
        </is>
      </c>
      <c r="F1633" s="27" t="n">
        <v>45867.5</v>
      </c>
      <c r="G1633" t="inlineStr">
        <is>
          <t>CREDITO</t>
        </is>
      </c>
      <c r="H1633" t="inlineStr">
        <is>
          <t>TRANSFERENCIA PIX REM: SHIBARI ART E DIVERSA 29/07</t>
        </is>
      </c>
      <c r="I1633" t="n">
        <v>23629.11</v>
      </c>
    </row>
    <row r="1634">
      <c r="A1634" t="n">
        <v>131135</v>
      </c>
      <c r="B1634" t="n">
        <v>182</v>
      </c>
      <c r="C1634" t="inlineStr">
        <is>
          <t>Love - Shibari - Kamino</t>
        </is>
      </c>
      <c r="D1634" t="n">
        <v>128</v>
      </c>
      <c r="E1634" t="inlineStr">
        <is>
          <t>Love Cabaret</t>
        </is>
      </c>
      <c r="F1634" s="27" t="n">
        <v>45867</v>
      </c>
      <c r="G1634" t="inlineStr">
        <is>
          <t>DEBITO</t>
        </is>
      </c>
      <c r="H1634" t="inlineStr">
        <is>
          <t>PIX Marketplace</t>
        </is>
      </c>
      <c r="I1634" t="n">
        <v>-41.6</v>
      </c>
    </row>
    <row r="1635">
      <c r="A1635" t="n">
        <v>131136</v>
      </c>
      <c r="B1635" t="n">
        <v>182</v>
      </c>
      <c r="C1635" t="inlineStr">
        <is>
          <t>Love - Shibari - Kamino</t>
        </is>
      </c>
      <c r="D1635" t="n">
        <v>128</v>
      </c>
      <c r="E1635" t="inlineStr">
        <is>
          <t>Love Cabaret</t>
        </is>
      </c>
      <c r="F1635" s="27" t="n">
        <v>45867</v>
      </c>
      <c r="G1635" t="inlineStr">
        <is>
          <t>DEBITO</t>
        </is>
      </c>
      <c r="H1635" t="inlineStr">
        <is>
          <t>Receita Federal</t>
        </is>
      </c>
      <c r="I1635" t="n">
        <v>-163.47</v>
      </c>
    </row>
    <row r="1636">
      <c r="A1636" t="n">
        <v>131137</v>
      </c>
      <c r="B1636" t="n">
        <v>182</v>
      </c>
      <c r="C1636" t="inlineStr">
        <is>
          <t>Love - Shibari - Kamino</t>
        </is>
      </c>
      <c r="D1636" t="n">
        <v>128</v>
      </c>
      <c r="E1636" t="inlineStr">
        <is>
          <t>Love Cabaret</t>
        </is>
      </c>
      <c r="F1636" s="27" t="n">
        <v>45867</v>
      </c>
      <c r="G1636" t="inlineStr">
        <is>
          <t>DEBITO</t>
        </is>
      </c>
      <c r="H1636" t="inlineStr">
        <is>
          <t>Receita Federal</t>
        </is>
      </c>
      <c r="I1636" t="n">
        <v>-111.43</v>
      </c>
    </row>
    <row r="1637">
      <c r="A1637" t="n">
        <v>131138</v>
      </c>
      <c r="B1637" t="n">
        <v>182</v>
      </c>
      <c r="C1637" t="inlineStr">
        <is>
          <t>Love - Shibari - Kamino</t>
        </is>
      </c>
      <c r="D1637" t="n">
        <v>128</v>
      </c>
      <c r="E1637" t="inlineStr">
        <is>
          <t>Love Cabaret</t>
        </is>
      </c>
      <c r="F1637" s="27" t="n">
        <v>45867</v>
      </c>
      <c r="G1637" t="inlineStr">
        <is>
          <t>DEBITO</t>
        </is>
      </c>
      <c r="H1637" t="inlineStr">
        <is>
          <t>Receita Federal</t>
        </is>
      </c>
      <c r="I1637" t="n">
        <v>-705.65</v>
      </c>
    </row>
    <row r="1638">
      <c r="A1638" t="n">
        <v>131072</v>
      </c>
      <c r="B1638" t="n">
        <v>115</v>
      </c>
      <c r="C1638" t="inlineStr">
        <is>
          <t>Love - Shibari - Bradesco</t>
        </is>
      </c>
      <c r="D1638" t="n">
        <v>128</v>
      </c>
      <c r="E1638" t="inlineStr">
        <is>
          <t>Love Cabaret</t>
        </is>
      </c>
      <c r="F1638" s="27" t="n">
        <v>45866.5</v>
      </c>
      <c r="G1638" t="inlineStr">
        <is>
          <t>CREDITO</t>
        </is>
      </c>
      <c r="H1638" t="inlineStr">
        <is>
          <t>TRANSFERENCIA PIX REM: SHIBARI ART E DIVERSA 28/07</t>
        </is>
      </c>
      <c r="I1638" t="n">
        <v>29365.92</v>
      </c>
    </row>
    <row r="1639">
      <c r="A1639" t="n">
        <v>131077</v>
      </c>
      <c r="B1639" t="n">
        <v>115</v>
      </c>
      <c r="C1639" t="inlineStr">
        <is>
          <t>Love - Shibari - Bradesco</t>
        </is>
      </c>
      <c r="D1639" t="n">
        <v>128</v>
      </c>
      <c r="E1639" t="inlineStr">
        <is>
          <t>Love Cabaret</t>
        </is>
      </c>
      <c r="F1639" s="27" t="n">
        <v>45866.5</v>
      </c>
      <c r="G1639" t="inlineStr">
        <is>
          <t>DEBITO</t>
        </is>
      </c>
      <c r="H1639" t="inlineStr">
        <is>
          <t>TRANSFERENCIA PIX DES: SHIBARI ART E DIVERSA 28/07</t>
        </is>
      </c>
      <c r="I1639" t="n">
        <v>-105000</v>
      </c>
    </row>
    <row r="1640">
      <c r="A1640" t="n">
        <v>131131</v>
      </c>
      <c r="B1640" t="n">
        <v>182</v>
      </c>
      <c r="C1640" t="inlineStr">
        <is>
          <t>Love - Shibari - Kamino</t>
        </is>
      </c>
      <c r="D1640" t="n">
        <v>128</v>
      </c>
      <c r="E1640" t="inlineStr">
        <is>
          <t>Love Cabaret</t>
        </is>
      </c>
      <c r="F1640" s="27" t="n">
        <v>45866</v>
      </c>
      <c r="G1640" t="inlineStr">
        <is>
          <t>DEBITO</t>
        </is>
      </c>
      <c r="H1640" t="inlineStr">
        <is>
          <t>Nova Comercial do Peixe Eireli</t>
        </is>
      </c>
      <c r="I1640" t="n">
        <v>-588</v>
      </c>
    </row>
    <row r="1641">
      <c r="A1641" t="n">
        <v>131130</v>
      </c>
      <c r="B1641" t="n">
        <v>182</v>
      </c>
      <c r="C1641" t="inlineStr">
        <is>
          <t>Love - Shibari - Kamino</t>
        </is>
      </c>
      <c r="D1641" t="n">
        <v>128</v>
      </c>
      <c r="E1641" t="inlineStr">
        <is>
          <t>Love Cabaret</t>
        </is>
      </c>
      <c r="F1641" s="27" t="n">
        <v>45866</v>
      </c>
      <c r="G1641" t="inlineStr">
        <is>
          <t>DEBITO</t>
        </is>
      </c>
      <c r="H1641" t="inlineStr">
        <is>
          <t>Laticinios Fior D Italia Ltda</t>
        </is>
      </c>
      <c r="I1641" t="n">
        <v>-326.75</v>
      </c>
    </row>
    <row r="1642">
      <c r="A1642" t="n">
        <v>131123</v>
      </c>
      <c r="B1642" t="n">
        <v>182</v>
      </c>
      <c r="C1642" t="inlineStr">
        <is>
          <t>Love - Shibari - Kamino</t>
        </is>
      </c>
      <c r="D1642" t="n">
        <v>128</v>
      </c>
      <c r="E1642" t="inlineStr">
        <is>
          <t>Love Cabaret</t>
        </is>
      </c>
      <c r="F1642" s="27" t="n">
        <v>45866</v>
      </c>
      <c r="G1642" t="inlineStr">
        <is>
          <t>DEBITO</t>
        </is>
      </c>
      <c r="H1642" t="inlineStr">
        <is>
          <t>Hnk Br Bebidas Ltda</t>
        </is>
      </c>
      <c r="I1642" t="n">
        <v>-2354.93</v>
      </c>
    </row>
    <row r="1643">
      <c r="A1643" t="n">
        <v>131129</v>
      </c>
      <c r="B1643" t="n">
        <v>182</v>
      </c>
      <c r="C1643" t="inlineStr">
        <is>
          <t>Love - Shibari - Kamino</t>
        </is>
      </c>
      <c r="D1643" t="n">
        <v>128</v>
      </c>
      <c r="E1643" t="inlineStr">
        <is>
          <t>Love Cabaret</t>
        </is>
      </c>
      <c r="F1643" s="27" t="n">
        <v>45866</v>
      </c>
      <c r="G1643" t="inlineStr">
        <is>
          <t>DEBITO</t>
        </is>
      </c>
      <c r="H1643" t="inlineStr">
        <is>
          <t>Psss Ltda</t>
        </is>
      </c>
      <c r="I1643" t="n">
        <v>-228</v>
      </c>
    </row>
    <row r="1644">
      <c r="A1644" t="n">
        <v>131128</v>
      </c>
      <c r="B1644" t="n">
        <v>182</v>
      </c>
      <c r="C1644" t="inlineStr">
        <is>
          <t>Love - Shibari - Kamino</t>
        </is>
      </c>
      <c r="D1644" t="n">
        <v>128</v>
      </c>
      <c r="E1644" t="inlineStr">
        <is>
          <t>Love Cabaret</t>
        </is>
      </c>
      <c r="F1644" s="27" t="n">
        <v>45866</v>
      </c>
      <c r="G1644" t="inlineStr">
        <is>
          <t>DEBITO</t>
        </is>
      </c>
      <c r="H1644" t="inlineStr">
        <is>
          <t>Proauto Industria Q Eireli</t>
        </is>
      </c>
      <c r="I1644" t="n">
        <v>-817.8099999999999</v>
      </c>
    </row>
    <row r="1645">
      <c r="A1645" t="n">
        <v>131127</v>
      </c>
      <c r="B1645" t="n">
        <v>182</v>
      </c>
      <c r="C1645" t="inlineStr">
        <is>
          <t>Love - Shibari - Kamino</t>
        </is>
      </c>
      <c r="D1645" t="n">
        <v>128</v>
      </c>
      <c r="E1645" t="inlineStr">
        <is>
          <t>Love Cabaret</t>
        </is>
      </c>
      <c r="F1645" s="27" t="n">
        <v>45866</v>
      </c>
      <c r="G1645" t="inlineStr">
        <is>
          <t>DEBITO</t>
        </is>
      </c>
      <c r="H1645" t="inlineStr">
        <is>
          <t>Receita Federal</t>
        </is>
      </c>
      <c r="I1645" t="n">
        <v>-20773.01</v>
      </c>
    </row>
    <row r="1646">
      <c r="A1646" t="n">
        <v>131126</v>
      </c>
      <c r="B1646" t="n">
        <v>182</v>
      </c>
      <c r="C1646" t="inlineStr">
        <is>
          <t>Love - Shibari - Kamino</t>
        </is>
      </c>
      <c r="D1646" t="n">
        <v>128</v>
      </c>
      <c r="E1646" t="inlineStr">
        <is>
          <t>Love Cabaret</t>
        </is>
      </c>
      <c r="F1646" s="27" t="n">
        <v>45866</v>
      </c>
      <c r="G1646" t="inlineStr">
        <is>
          <t>DEBITO</t>
        </is>
      </c>
      <c r="H1646" t="inlineStr">
        <is>
          <t>Receita Federal</t>
        </is>
      </c>
      <c r="I1646" t="n">
        <v>-998.5700000000001</v>
      </c>
    </row>
    <row r="1647">
      <c r="A1647" t="n">
        <v>131125</v>
      </c>
      <c r="B1647" t="n">
        <v>182</v>
      </c>
      <c r="C1647" t="inlineStr">
        <is>
          <t>Love - Shibari - Kamino</t>
        </is>
      </c>
      <c r="D1647" t="n">
        <v>128</v>
      </c>
      <c r="E1647" t="inlineStr">
        <is>
          <t>Love Cabaret</t>
        </is>
      </c>
      <c r="F1647" s="27" t="n">
        <v>45866</v>
      </c>
      <c r="G1647" t="inlineStr">
        <is>
          <t>DEBITO</t>
        </is>
      </c>
      <c r="H1647" t="inlineStr">
        <is>
          <t>King Comercio de Bebidas Ltda</t>
        </is>
      </c>
      <c r="I1647" t="n">
        <v>-605.3099999999999</v>
      </c>
    </row>
    <row r="1648">
      <c r="A1648" t="n">
        <v>131124</v>
      </c>
      <c r="B1648" t="n">
        <v>182</v>
      </c>
      <c r="C1648" t="inlineStr">
        <is>
          <t>Love - Shibari - Kamino</t>
        </is>
      </c>
      <c r="D1648" t="n">
        <v>128</v>
      </c>
      <c r="E1648" t="inlineStr">
        <is>
          <t>Love Cabaret</t>
        </is>
      </c>
      <c r="F1648" s="27" t="n">
        <v>45866</v>
      </c>
      <c r="G1648" t="inlineStr">
        <is>
          <t>DEBITO</t>
        </is>
      </c>
      <c r="H1648" t="inlineStr">
        <is>
          <t>Receita Federal</t>
        </is>
      </c>
      <c r="I1648" t="n">
        <v>-797.59</v>
      </c>
    </row>
    <row r="1649">
      <c r="A1649" t="n">
        <v>131122</v>
      </c>
      <c r="B1649" t="n">
        <v>182</v>
      </c>
      <c r="C1649" t="inlineStr">
        <is>
          <t>Love - Shibari - Kamino</t>
        </is>
      </c>
      <c r="D1649" t="n">
        <v>128</v>
      </c>
      <c r="E1649" t="inlineStr">
        <is>
          <t>Love Cabaret</t>
        </is>
      </c>
      <c r="F1649" s="27" t="n">
        <v>45866</v>
      </c>
      <c r="G1649" t="inlineStr">
        <is>
          <t>DEBITO</t>
        </is>
      </c>
      <c r="H1649" t="inlineStr">
        <is>
          <t>Free Som - Locacao de Som e Luz Ltda</t>
        </is>
      </c>
      <c r="I1649" t="n">
        <v>-6000</v>
      </c>
    </row>
    <row r="1650">
      <c r="A1650" t="n">
        <v>131121</v>
      </c>
      <c r="B1650" t="n">
        <v>182</v>
      </c>
      <c r="C1650" t="inlineStr">
        <is>
          <t>Love - Shibari - Kamino</t>
        </is>
      </c>
      <c r="D1650" t="n">
        <v>128</v>
      </c>
      <c r="E1650" t="inlineStr">
        <is>
          <t>Love Cabaret</t>
        </is>
      </c>
      <c r="F1650" s="27" t="n">
        <v>45866</v>
      </c>
      <c r="G1650" t="inlineStr">
        <is>
          <t>DEBITO</t>
        </is>
      </c>
      <c r="H1650" t="inlineStr">
        <is>
          <t>Proauto Industria Q Eireli</t>
        </is>
      </c>
      <c r="I1650" t="n">
        <v>-2581.67</v>
      </c>
    </row>
    <row r="1651">
      <c r="A1651" t="n">
        <v>131134</v>
      </c>
      <c r="B1651" t="n">
        <v>182</v>
      </c>
      <c r="C1651" t="inlineStr">
        <is>
          <t>Love - Shibari - Kamino</t>
        </is>
      </c>
      <c r="D1651" t="n">
        <v>128</v>
      </c>
      <c r="E1651" t="inlineStr">
        <is>
          <t>Love Cabaret</t>
        </is>
      </c>
      <c r="F1651" s="27" t="n">
        <v>45866</v>
      </c>
      <c r="G1651" t="inlineStr">
        <is>
          <t>DEBITO</t>
        </is>
      </c>
      <c r="H1651" t="inlineStr">
        <is>
          <t>Zahil Importadora Ltda</t>
        </is>
      </c>
      <c r="I1651" t="n">
        <v>-880.54</v>
      </c>
    </row>
    <row r="1652">
      <c r="A1652" t="n">
        <v>131120</v>
      </c>
      <c r="B1652" t="n">
        <v>182</v>
      </c>
      <c r="C1652" t="inlineStr">
        <is>
          <t>Love - Shibari - Kamino</t>
        </is>
      </c>
      <c r="D1652" t="n">
        <v>128</v>
      </c>
      <c r="E1652" t="inlineStr">
        <is>
          <t>Love Cabaret</t>
        </is>
      </c>
      <c r="F1652" s="27" t="n">
        <v>45866</v>
      </c>
      <c r="G1652" t="inlineStr">
        <is>
          <t>DEBITO</t>
        </is>
      </c>
      <c r="H1652" t="inlineStr">
        <is>
          <t>Stark Bank S.A.</t>
        </is>
      </c>
      <c r="I1652" t="n">
        <v>-38.25</v>
      </c>
    </row>
    <row r="1653">
      <c r="A1653" t="n">
        <v>131119</v>
      </c>
      <c r="B1653" t="n">
        <v>182</v>
      </c>
      <c r="C1653" t="inlineStr">
        <is>
          <t>Love - Shibari - Kamino</t>
        </is>
      </c>
      <c r="D1653" t="n">
        <v>128</v>
      </c>
      <c r="E1653" t="inlineStr">
        <is>
          <t>Love Cabaret</t>
        </is>
      </c>
      <c r="F1653" s="27" t="n">
        <v>45866</v>
      </c>
      <c r="G1653" t="inlineStr">
        <is>
          <t>DEBITO</t>
        </is>
      </c>
      <c r="H1653" t="inlineStr">
        <is>
          <t>Mn Instalacoes R I Ltda Epp</t>
        </is>
      </c>
      <c r="I1653" t="n">
        <v>-4200</v>
      </c>
    </row>
    <row r="1654">
      <c r="A1654" t="n">
        <v>131118</v>
      </c>
      <c r="B1654" t="n">
        <v>182</v>
      </c>
      <c r="C1654" t="inlineStr">
        <is>
          <t>Love - Shibari - Kamino</t>
        </is>
      </c>
      <c r="D1654" t="n">
        <v>128</v>
      </c>
      <c r="E1654" t="inlineStr">
        <is>
          <t>Love Cabaret</t>
        </is>
      </c>
      <c r="F1654" s="27" t="n">
        <v>45866</v>
      </c>
      <c r="G1654" t="inlineStr">
        <is>
          <t>DEBITO</t>
        </is>
      </c>
      <c r="H1654" t="inlineStr">
        <is>
          <t>Ng27 Consultoria e Gestao Empr</t>
        </is>
      </c>
      <c r="I1654" t="n">
        <v>-160.41</v>
      </c>
    </row>
    <row r="1655">
      <c r="A1655" t="n">
        <v>131117</v>
      </c>
      <c r="B1655" t="n">
        <v>182</v>
      </c>
      <c r="C1655" t="inlineStr">
        <is>
          <t>Love - Shibari - Kamino</t>
        </is>
      </c>
      <c r="D1655" t="n">
        <v>128</v>
      </c>
      <c r="E1655" t="inlineStr">
        <is>
          <t>Love Cabaret</t>
        </is>
      </c>
      <c r="F1655" s="27" t="n">
        <v>45866</v>
      </c>
      <c r="G1655" t="inlineStr">
        <is>
          <t>DEBITO</t>
        </is>
      </c>
      <c r="H1655" t="inlineStr">
        <is>
          <t>W P P C Carnes Eireli Epp</t>
        </is>
      </c>
      <c r="I1655" t="n">
        <v>-813.53</v>
      </c>
    </row>
    <row r="1656">
      <c r="A1656" t="n">
        <v>131115</v>
      </c>
      <c r="B1656" t="n">
        <v>182</v>
      </c>
      <c r="C1656" t="inlineStr">
        <is>
          <t>Love - Shibari - Kamino</t>
        </is>
      </c>
      <c r="D1656" t="n">
        <v>128</v>
      </c>
      <c r="E1656" t="inlineStr">
        <is>
          <t>Love Cabaret</t>
        </is>
      </c>
      <c r="F1656" s="27" t="n">
        <v>45866</v>
      </c>
      <c r="G1656" t="inlineStr">
        <is>
          <t>DEBITO</t>
        </is>
      </c>
      <c r="H1656" t="inlineStr">
        <is>
          <t>Forte Alimentos Comercio e Importacao Lt</t>
        </is>
      </c>
      <c r="I1656" t="n">
        <v>-589.5700000000001</v>
      </c>
    </row>
    <row r="1657">
      <c r="A1657" t="n">
        <v>131133</v>
      </c>
      <c r="B1657" t="n">
        <v>182</v>
      </c>
      <c r="C1657" t="inlineStr">
        <is>
          <t>Love - Shibari - Kamino</t>
        </is>
      </c>
      <c r="D1657" t="n">
        <v>128</v>
      </c>
      <c r="E1657" t="inlineStr">
        <is>
          <t>Love Cabaret</t>
        </is>
      </c>
      <c r="F1657" s="27" t="n">
        <v>45866</v>
      </c>
      <c r="G1657" t="inlineStr">
        <is>
          <t>DEBITO</t>
        </is>
      </c>
      <c r="H1657" t="inlineStr">
        <is>
          <t>Cem Engenharia da Manutencao L</t>
        </is>
      </c>
      <c r="I1657" t="n">
        <v>-638.73</v>
      </c>
    </row>
    <row r="1658">
      <c r="A1658" t="n">
        <v>131132</v>
      </c>
      <c r="B1658" t="n">
        <v>182</v>
      </c>
      <c r="C1658" t="inlineStr">
        <is>
          <t>Love - Shibari - Kamino</t>
        </is>
      </c>
      <c r="D1658" t="n">
        <v>128</v>
      </c>
      <c r="E1658" t="inlineStr">
        <is>
          <t>Love Cabaret</t>
        </is>
      </c>
      <c r="F1658" s="27" t="n">
        <v>45866</v>
      </c>
      <c r="G1658" t="inlineStr">
        <is>
          <t>DEBITO</t>
        </is>
      </c>
      <c r="H1658" t="inlineStr">
        <is>
          <t>Star Copias Comercio e Servicos Ltd</t>
        </is>
      </c>
      <c r="I1658" t="n">
        <v>-220</v>
      </c>
    </row>
    <row r="1659">
      <c r="A1659" t="n">
        <v>131106</v>
      </c>
      <c r="B1659" t="n">
        <v>182</v>
      </c>
      <c r="C1659" t="inlineStr">
        <is>
          <t>Love - Shibari - Kamino</t>
        </is>
      </c>
      <c r="D1659" t="n">
        <v>128</v>
      </c>
      <c r="E1659" t="inlineStr">
        <is>
          <t>Love Cabaret</t>
        </is>
      </c>
      <c r="F1659" s="27" t="n">
        <v>45866</v>
      </c>
      <c r="G1659" t="inlineStr">
        <is>
          <t>CREDITO</t>
        </is>
      </c>
      <c r="H1659" t="inlineStr">
        <is>
          <t>SHIBARI ART E DIVERSAO LTDA</t>
        </is>
      </c>
      <c r="I1659" t="n">
        <v>105000</v>
      </c>
    </row>
    <row r="1660">
      <c r="A1660" t="n">
        <v>131107</v>
      </c>
      <c r="B1660" t="n">
        <v>182</v>
      </c>
      <c r="C1660" t="inlineStr">
        <is>
          <t>Love - Shibari - Kamino</t>
        </is>
      </c>
      <c r="D1660" t="n">
        <v>128</v>
      </c>
      <c r="E1660" t="inlineStr">
        <is>
          <t>Love Cabaret</t>
        </is>
      </c>
      <c r="F1660" s="27" t="n">
        <v>45866</v>
      </c>
      <c r="G1660" t="inlineStr">
        <is>
          <t>DEBITO</t>
        </is>
      </c>
      <c r="H1660" t="inlineStr">
        <is>
          <t>Edimar Moura Tartaglioni</t>
        </is>
      </c>
      <c r="I1660" t="n">
        <v>-630</v>
      </c>
    </row>
    <row r="1661">
      <c r="A1661" t="n">
        <v>131108</v>
      </c>
      <c r="B1661" t="n">
        <v>182</v>
      </c>
      <c r="C1661" t="inlineStr">
        <is>
          <t>Love - Shibari - Kamino</t>
        </is>
      </c>
      <c r="D1661" t="n">
        <v>128</v>
      </c>
      <c r="E1661" t="inlineStr">
        <is>
          <t>Love Cabaret</t>
        </is>
      </c>
      <c r="F1661" s="27" t="n">
        <v>45866</v>
      </c>
      <c r="G1661" t="inlineStr">
        <is>
          <t>DEBITO</t>
        </is>
      </c>
      <c r="H1661" t="inlineStr">
        <is>
          <t>Felipe Ferreira Franca 36496185832</t>
        </is>
      </c>
      <c r="I1661" t="n">
        <v>-115</v>
      </c>
    </row>
    <row r="1662">
      <c r="A1662" t="n">
        <v>131109</v>
      </c>
      <c r="B1662" t="n">
        <v>182</v>
      </c>
      <c r="C1662" t="inlineStr">
        <is>
          <t>Love - Shibari - Kamino</t>
        </is>
      </c>
      <c r="D1662" t="n">
        <v>128</v>
      </c>
      <c r="E1662" t="inlineStr">
        <is>
          <t>Love Cabaret</t>
        </is>
      </c>
      <c r="F1662" s="27" t="n">
        <v>45866</v>
      </c>
      <c r="G1662" t="inlineStr">
        <is>
          <t>DEBITO</t>
        </is>
      </c>
      <c r="H1662" t="inlineStr">
        <is>
          <t>Paulo Cesar Medeiros Eyzano</t>
        </is>
      </c>
      <c r="I1662" t="n">
        <v>-3200</v>
      </c>
    </row>
    <row r="1663">
      <c r="A1663" t="n">
        <v>131116</v>
      </c>
      <c r="B1663" t="n">
        <v>182</v>
      </c>
      <c r="C1663" t="inlineStr">
        <is>
          <t>Love - Shibari - Kamino</t>
        </is>
      </c>
      <c r="D1663" t="n">
        <v>128</v>
      </c>
      <c r="E1663" t="inlineStr">
        <is>
          <t>Love Cabaret</t>
        </is>
      </c>
      <c r="F1663" s="27" t="n">
        <v>45866</v>
      </c>
      <c r="G1663" t="inlineStr">
        <is>
          <t>DEBITO</t>
        </is>
      </c>
      <c r="H1663" t="inlineStr">
        <is>
          <t>Receita Federal</t>
        </is>
      </c>
      <c r="I1663" t="n">
        <v>-585.9400000000001</v>
      </c>
    </row>
    <row r="1664">
      <c r="A1664" t="n">
        <v>131111</v>
      </c>
      <c r="B1664" t="n">
        <v>182</v>
      </c>
      <c r="C1664" t="inlineStr">
        <is>
          <t>Love - Shibari - Kamino</t>
        </is>
      </c>
      <c r="D1664" t="n">
        <v>128</v>
      </c>
      <c r="E1664" t="inlineStr">
        <is>
          <t>Love Cabaret</t>
        </is>
      </c>
      <c r="F1664" s="27" t="n">
        <v>45866</v>
      </c>
      <c r="G1664" t="inlineStr">
        <is>
          <t>DEBITO</t>
        </is>
      </c>
      <c r="H1664" t="inlineStr">
        <is>
          <t>Lumi Creamy</t>
        </is>
      </c>
      <c r="I1664" t="n">
        <v>-387</v>
      </c>
    </row>
    <row r="1665">
      <c r="A1665" t="n">
        <v>131112</v>
      </c>
      <c r="B1665" t="n">
        <v>182</v>
      </c>
      <c r="C1665" t="inlineStr">
        <is>
          <t>Love - Shibari - Kamino</t>
        </is>
      </c>
      <c r="D1665" t="n">
        <v>128</v>
      </c>
      <c r="E1665" t="inlineStr">
        <is>
          <t>Love Cabaret</t>
        </is>
      </c>
      <c r="F1665" s="27" t="n">
        <v>45866</v>
      </c>
      <c r="G1665" t="inlineStr">
        <is>
          <t>DEBITO</t>
        </is>
      </c>
      <c r="H1665" t="inlineStr">
        <is>
          <t>Cecilia Tsuyaco Araki Silva Ltda</t>
        </is>
      </c>
      <c r="I1665" t="n">
        <v>-372.1</v>
      </c>
    </row>
    <row r="1666">
      <c r="A1666" t="n">
        <v>131113</v>
      </c>
      <c r="B1666" t="n">
        <v>182</v>
      </c>
      <c r="C1666" t="inlineStr">
        <is>
          <t>Love - Shibari - Kamino</t>
        </is>
      </c>
      <c r="D1666" t="n">
        <v>128</v>
      </c>
      <c r="E1666" t="inlineStr">
        <is>
          <t>Love Cabaret</t>
        </is>
      </c>
      <c r="F1666" s="27" t="n">
        <v>45866</v>
      </c>
      <c r="G1666" t="inlineStr">
        <is>
          <t>DEBITO</t>
        </is>
      </c>
      <c r="H1666" t="inlineStr">
        <is>
          <t>Tarifa Transf Bancaria Enviada</t>
        </is>
      </c>
      <c r="I1666" t="n">
        <v>-2</v>
      </c>
    </row>
    <row r="1667">
      <c r="A1667" t="n">
        <v>131114</v>
      </c>
      <c r="B1667" t="n">
        <v>182</v>
      </c>
      <c r="C1667" t="inlineStr">
        <is>
          <t>Love - Shibari - Kamino</t>
        </is>
      </c>
      <c r="D1667" t="n">
        <v>128</v>
      </c>
      <c r="E1667" t="inlineStr">
        <is>
          <t>Love Cabaret</t>
        </is>
      </c>
      <c r="F1667" s="27" t="n">
        <v>45866</v>
      </c>
      <c r="G1667" t="inlineStr">
        <is>
          <t>DEBITO</t>
        </is>
      </c>
      <c r="H1667" t="inlineStr">
        <is>
          <t>Laisa Rocha Larangeira</t>
        </is>
      </c>
      <c r="I1667" t="n">
        <v>-56.96</v>
      </c>
    </row>
    <row r="1668">
      <c r="A1668" t="n">
        <v>131110</v>
      </c>
      <c r="B1668" t="n">
        <v>182</v>
      </c>
      <c r="C1668" t="inlineStr">
        <is>
          <t>Love - Shibari - Kamino</t>
        </is>
      </c>
      <c r="D1668" t="n">
        <v>128</v>
      </c>
      <c r="E1668" t="inlineStr">
        <is>
          <t>Love Cabaret</t>
        </is>
      </c>
      <c r="F1668" s="27" t="n">
        <v>45866</v>
      </c>
      <c r="G1668" t="inlineStr">
        <is>
          <t>DEBITO</t>
        </is>
      </c>
      <c r="H1668" t="inlineStr">
        <is>
          <t>Dtk Comercio de Alimentos Ltda Epp</t>
        </is>
      </c>
      <c r="I1668" t="n">
        <v>-619.4299999999999</v>
      </c>
    </row>
    <row r="1669">
      <c r="A1669" t="n">
        <v>131071</v>
      </c>
      <c r="B1669" t="n">
        <v>115</v>
      </c>
      <c r="C1669" t="inlineStr">
        <is>
          <t>Love - Shibari - Bradesco</t>
        </is>
      </c>
      <c r="D1669" t="n">
        <v>128</v>
      </c>
      <c r="E1669" t="inlineStr">
        <is>
          <t>Love Cabaret</t>
        </is>
      </c>
      <c r="F1669" s="27" t="n">
        <v>45863.5</v>
      </c>
      <c r="G1669" t="inlineStr">
        <is>
          <t>DEBITO</t>
        </is>
      </c>
      <c r="H1669" t="inlineStr">
        <is>
          <t>TARIFA BANCARIA TRANSF PGTO PIX</t>
        </is>
      </c>
      <c r="I1669" t="n">
        <v>-9.800000000000001</v>
      </c>
    </row>
    <row r="1670">
      <c r="A1670" t="n">
        <v>121727</v>
      </c>
      <c r="B1670" t="n">
        <v>115</v>
      </c>
      <c r="C1670" t="inlineStr">
        <is>
          <t>Love - Shibari - Bradesco</t>
        </is>
      </c>
      <c r="D1670" t="n">
        <v>128</v>
      </c>
      <c r="E1670" t="inlineStr">
        <is>
          <t>Love Cabaret</t>
        </is>
      </c>
      <c r="F1670" s="27" t="n">
        <v>45862.5</v>
      </c>
      <c r="G1670" t="inlineStr">
        <is>
          <t>CREDITO</t>
        </is>
      </c>
      <c r="H1670" t="inlineStr">
        <is>
          <t>TRANSFERENCIA PIX REM: LUCAS DELGADO PATRIGN 24/07</t>
        </is>
      </c>
      <c r="I1670" t="n">
        <v>700</v>
      </c>
    </row>
    <row r="1671">
      <c r="A1671" t="n">
        <v>121728</v>
      </c>
      <c r="B1671" t="n">
        <v>115</v>
      </c>
      <c r="C1671" t="inlineStr">
        <is>
          <t>Love - Shibari - Bradesco</t>
        </is>
      </c>
      <c r="D1671" t="n">
        <v>128</v>
      </c>
      <c r="E1671" t="inlineStr">
        <is>
          <t>Love Cabaret</t>
        </is>
      </c>
      <c r="F1671" s="27" t="n">
        <v>45862.5</v>
      </c>
      <c r="G1671" t="inlineStr">
        <is>
          <t>CREDITO</t>
        </is>
      </c>
      <c r="H1671" t="inlineStr">
        <is>
          <t>TRANSFERENCIA PIX REM: JOAO VILACA GUIMARAES 24/07</t>
        </is>
      </c>
      <c r="I1671" t="n">
        <v>620</v>
      </c>
    </row>
    <row r="1672">
      <c r="A1672" t="n">
        <v>121725</v>
      </c>
      <c r="B1672" t="n">
        <v>115</v>
      </c>
      <c r="C1672" t="inlineStr">
        <is>
          <t>Love - Shibari - Bradesco</t>
        </is>
      </c>
      <c r="D1672" t="n">
        <v>128</v>
      </c>
      <c r="E1672" t="inlineStr">
        <is>
          <t>Love Cabaret</t>
        </is>
      </c>
      <c r="F1672" s="27" t="n">
        <v>45861.5</v>
      </c>
      <c r="G1672" t="inlineStr">
        <is>
          <t>DEBITO</t>
        </is>
      </c>
      <c r="H1672" t="inlineStr">
        <is>
          <t>TRANSFERENCIA PIX DES: SHIBARI ART E DIVERSA 23/07</t>
        </is>
      </c>
      <c r="I1672" t="n">
        <v>-50000</v>
      </c>
    </row>
    <row r="1673">
      <c r="A1673" t="n">
        <v>121724</v>
      </c>
      <c r="B1673" t="n">
        <v>115</v>
      </c>
      <c r="C1673" t="inlineStr">
        <is>
          <t>Love - Shibari - Bradesco</t>
        </is>
      </c>
      <c r="D1673" t="n">
        <v>128</v>
      </c>
      <c r="E1673" t="inlineStr">
        <is>
          <t>Love Cabaret</t>
        </is>
      </c>
      <c r="F1673" s="27" t="n">
        <v>45861.5</v>
      </c>
      <c r="G1673" t="inlineStr">
        <is>
          <t>DEBITO</t>
        </is>
      </c>
      <c r="H1673" t="inlineStr">
        <is>
          <t>TARIFA BANCARIA TRANSF PGTO PIX</t>
        </is>
      </c>
      <c r="I1673" t="n">
        <v>-9.800000000000001</v>
      </c>
    </row>
    <row r="1674">
      <c r="A1674" t="n">
        <v>121722</v>
      </c>
      <c r="B1674" t="n">
        <v>115</v>
      </c>
      <c r="C1674" t="inlineStr">
        <is>
          <t>Love - Shibari - Bradesco</t>
        </is>
      </c>
      <c r="D1674" t="n">
        <v>128</v>
      </c>
      <c r="E1674" t="inlineStr">
        <is>
          <t>Love Cabaret</t>
        </is>
      </c>
      <c r="F1674" s="27" t="n">
        <v>45861.5</v>
      </c>
      <c r="G1674" t="inlineStr">
        <is>
          <t>CREDITO</t>
        </is>
      </c>
      <c r="H1674" t="inlineStr">
        <is>
          <t>TRANSFERENCIA PIX REM: THAIS BARBOSA NOGUEIR 23/07</t>
        </is>
      </c>
      <c r="I1674" t="n">
        <v>620</v>
      </c>
    </row>
    <row r="1675">
      <c r="A1675" t="n">
        <v>121721</v>
      </c>
      <c r="B1675" t="n">
        <v>115</v>
      </c>
      <c r="C1675" t="inlineStr">
        <is>
          <t>Love - Shibari - Bradesco</t>
        </is>
      </c>
      <c r="D1675" t="n">
        <v>128</v>
      </c>
      <c r="E1675" t="inlineStr">
        <is>
          <t>Love Cabaret</t>
        </is>
      </c>
      <c r="F1675" s="27" t="n">
        <v>45861.5</v>
      </c>
      <c r="G1675" t="inlineStr">
        <is>
          <t>CREDITO</t>
        </is>
      </c>
      <c r="H1675" t="inlineStr">
        <is>
          <t>TED-TRANSF ELET DISPON REMET.SYMPLA INTERNET SOLU</t>
        </is>
      </c>
      <c r="I1675" t="n">
        <v>297</v>
      </c>
    </row>
    <row r="1676">
      <c r="A1676" t="n">
        <v>121720</v>
      </c>
      <c r="B1676" t="n">
        <v>115</v>
      </c>
      <c r="C1676" t="inlineStr">
        <is>
          <t>Love - Shibari - Bradesco</t>
        </is>
      </c>
      <c r="D1676" t="n">
        <v>128</v>
      </c>
      <c r="E1676" t="inlineStr">
        <is>
          <t>Love Cabaret</t>
        </is>
      </c>
      <c r="F1676" s="27" t="n">
        <v>45861.5</v>
      </c>
      <c r="G1676" t="inlineStr">
        <is>
          <t>CREDITO</t>
        </is>
      </c>
      <c r="H1676" t="inlineStr">
        <is>
          <t>TED-TRANSF ELET DISPON REMET.SYMPLA INTERNET SOLU</t>
        </is>
      </c>
      <c r="I1676" t="n">
        <v>9025</v>
      </c>
    </row>
    <row r="1677">
      <c r="A1677" t="n">
        <v>121719</v>
      </c>
      <c r="B1677" t="n">
        <v>115</v>
      </c>
      <c r="C1677" t="inlineStr">
        <is>
          <t>Love - Shibari - Bradesco</t>
        </is>
      </c>
      <c r="D1677" t="n">
        <v>128</v>
      </c>
      <c r="E1677" t="inlineStr">
        <is>
          <t>Love Cabaret</t>
        </is>
      </c>
      <c r="F1677" s="27" t="n">
        <v>45861.5</v>
      </c>
      <c r="G1677" t="inlineStr">
        <is>
          <t>CREDITO</t>
        </is>
      </c>
      <c r="H1677" t="inlineStr">
        <is>
          <t>TED-TRANSF ELET DISPON REMET.SYMPLA INTERNET SOLU</t>
        </is>
      </c>
      <c r="I1677" t="n">
        <v>11460</v>
      </c>
    </row>
    <row r="1678">
      <c r="A1678" t="n">
        <v>121891</v>
      </c>
      <c r="B1678" t="n">
        <v>182</v>
      </c>
      <c r="C1678" t="inlineStr">
        <is>
          <t>Love - Shibari - Kamino</t>
        </is>
      </c>
      <c r="D1678" t="n">
        <v>128</v>
      </c>
      <c r="E1678" t="inlineStr">
        <is>
          <t>Love Cabaret</t>
        </is>
      </c>
      <c r="F1678" s="27" t="n">
        <v>45861</v>
      </c>
      <c r="G1678" t="inlineStr">
        <is>
          <t>DEBITO</t>
        </is>
      </c>
      <c r="H1678" t="inlineStr">
        <is>
          <t>Cia do Whisky</t>
        </is>
      </c>
      <c r="I1678" t="n">
        <v>-1205.5</v>
      </c>
    </row>
    <row r="1679">
      <c r="A1679" t="n">
        <v>121899</v>
      </c>
      <c r="B1679" t="n">
        <v>182</v>
      </c>
      <c r="C1679" t="inlineStr">
        <is>
          <t>Love - Shibari - Kamino</t>
        </is>
      </c>
      <c r="D1679" t="n">
        <v>128</v>
      </c>
      <c r="E1679" t="inlineStr">
        <is>
          <t>Love Cabaret</t>
        </is>
      </c>
      <c r="F1679" s="27" t="n">
        <v>45861</v>
      </c>
      <c r="G1679" t="inlineStr">
        <is>
          <t>DEBITO</t>
        </is>
      </c>
      <c r="H1679" t="inlineStr">
        <is>
          <t>Ice4pros Fabrica de Gelo Ltda</t>
        </is>
      </c>
      <c r="I1679" t="n">
        <v>-563.5</v>
      </c>
    </row>
    <row r="1680">
      <c r="A1680" t="n">
        <v>121882</v>
      </c>
      <c r="B1680" t="n">
        <v>182</v>
      </c>
      <c r="C1680" t="inlineStr">
        <is>
          <t>Love - Shibari - Kamino</t>
        </is>
      </c>
      <c r="D1680" t="n">
        <v>128</v>
      </c>
      <c r="E1680" t="inlineStr">
        <is>
          <t>Love Cabaret</t>
        </is>
      </c>
      <c r="F1680" s="27" t="n">
        <v>45861</v>
      </c>
      <c r="G1680" t="inlineStr">
        <is>
          <t>CREDITO</t>
        </is>
      </c>
      <c r="H1680" t="inlineStr">
        <is>
          <t>SHIBARI ART E DIVERSAO LTDA</t>
        </is>
      </c>
      <c r="I1680" t="n">
        <v>50000</v>
      </c>
    </row>
    <row r="1681">
      <c r="A1681" t="n">
        <v>121883</v>
      </c>
      <c r="B1681" t="n">
        <v>182</v>
      </c>
      <c r="C1681" t="inlineStr">
        <is>
          <t>Love - Shibari - Kamino</t>
        </is>
      </c>
      <c r="D1681" t="n">
        <v>128</v>
      </c>
      <c r="E1681" t="inlineStr">
        <is>
          <t>Love Cabaret</t>
        </is>
      </c>
      <c r="F1681" s="27" t="n">
        <v>45861</v>
      </c>
      <c r="G1681" t="inlineStr">
        <is>
          <t>DEBITO</t>
        </is>
      </c>
      <c r="H1681" t="inlineStr">
        <is>
          <t>Telefonica Brasil S.A.</t>
        </is>
      </c>
      <c r="I1681" t="n">
        <v>-487.66</v>
      </c>
    </row>
    <row r="1682">
      <c r="A1682" t="n">
        <v>121884</v>
      </c>
      <c r="B1682" t="n">
        <v>182</v>
      </c>
      <c r="C1682" t="inlineStr">
        <is>
          <t>Love - Shibari - Kamino</t>
        </is>
      </c>
      <c r="D1682" t="n">
        <v>128</v>
      </c>
      <c r="E1682" t="inlineStr">
        <is>
          <t>Love Cabaret</t>
        </is>
      </c>
      <c r="F1682" s="27" t="n">
        <v>45861</v>
      </c>
      <c r="G1682" t="inlineStr">
        <is>
          <t>DEBITO</t>
        </is>
      </c>
      <c r="H1682" t="inlineStr">
        <is>
          <t>Tempus Fugit Participacoes e Empreendimentos Ltda</t>
        </is>
      </c>
      <c r="I1682" t="n">
        <v>-100</v>
      </c>
    </row>
    <row r="1683">
      <c r="A1683" t="n">
        <v>121885</v>
      </c>
      <c r="B1683" t="n">
        <v>182</v>
      </c>
      <c r="C1683" t="inlineStr">
        <is>
          <t>Love - Shibari - Kamino</t>
        </is>
      </c>
      <c r="D1683" t="n">
        <v>128</v>
      </c>
      <c r="E1683" t="inlineStr">
        <is>
          <t>Love Cabaret</t>
        </is>
      </c>
      <c r="F1683" s="27" t="n">
        <v>45861</v>
      </c>
      <c r="G1683" t="inlineStr">
        <is>
          <t>DEBITO</t>
        </is>
      </c>
      <c r="H1683" t="inlineStr">
        <is>
          <t>Telefonica Brasil S.A.</t>
        </is>
      </c>
      <c r="I1683" t="n">
        <v>-93.7</v>
      </c>
    </row>
    <row r="1684">
      <c r="A1684" t="n">
        <v>121886</v>
      </c>
      <c r="B1684" t="n">
        <v>182</v>
      </c>
      <c r="C1684" t="inlineStr">
        <is>
          <t>Love - Shibari - Kamino</t>
        </is>
      </c>
      <c r="D1684" t="n">
        <v>128</v>
      </c>
      <c r="E1684" t="inlineStr">
        <is>
          <t>Love Cabaret</t>
        </is>
      </c>
      <c r="F1684" s="27" t="n">
        <v>45861</v>
      </c>
      <c r="G1684" t="inlineStr">
        <is>
          <t>DEBITO</t>
        </is>
      </c>
      <c r="H1684" t="inlineStr">
        <is>
          <t>Destec Solucoes Ltda</t>
        </is>
      </c>
      <c r="I1684" t="n">
        <v>-812.7</v>
      </c>
    </row>
    <row r="1685">
      <c r="A1685" t="n">
        <v>121887</v>
      </c>
      <c r="B1685" t="n">
        <v>182</v>
      </c>
      <c r="C1685" t="inlineStr">
        <is>
          <t>Love - Shibari - Kamino</t>
        </is>
      </c>
      <c r="D1685" t="n">
        <v>128</v>
      </c>
      <c r="E1685" t="inlineStr">
        <is>
          <t>Love Cabaret</t>
        </is>
      </c>
      <c r="F1685" s="27" t="n">
        <v>45861</v>
      </c>
      <c r="G1685" t="inlineStr">
        <is>
          <t>DEBITO</t>
        </is>
      </c>
      <c r="H1685" t="inlineStr">
        <is>
          <t>55.866.682 Mateus Silveira Cezar</t>
        </is>
      </c>
      <c r="I1685" t="n">
        <v>-500</v>
      </c>
    </row>
    <row r="1686">
      <c r="A1686" t="n">
        <v>121888</v>
      </c>
      <c r="B1686" t="n">
        <v>182</v>
      </c>
      <c r="C1686" t="inlineStr">
        <is>
          <t>Love - Shibari - Kamino</t>
        </is>
      </c>
      <c r="D1686" t="n">
        <v>128</v>
      </c>
      <c r="E1686" t="inlineStr">
        <is>
          <t>Love Cabaret</t>
        </is>
      </c>
      <c r="F1686" s="27" t="n">
        <v>45861</v>
      </c>
      <c r="G1686" t="inlineStr">
        <is>
          <t>DEBITO</t>
        </is>
      </c>
      <c r="H1686" t="inlineStr">
        <is>
          <t>Luiz Roberto da Silva Junior</t>
        </is>
      </c>
      <c r="I1686" t="n">
        <v>-1000</v>
      </c>
    </row>
    <row r="1687">
      <c r="A1687" t="n">
        <v>121889</v>
      </c>
      <c r="B1687" t="n">
        <v>182</v>
      </c>
      <c r="C1687" t="inlineStr">
        <is>
          <t>Love - Shibari - Kamino</t>
        </is>
      </c>
      <c r="D1687" t="n">
        <v>128</v>
      </c>
      <c r="E1687" t="inlineStr">
        <is>
          <t>Love Cabaret</t>
        </is>
      </c>
      <c r="F1687" s="27" t="n">
        <v>45861</v>
      </c>
      <c r="G1687" t="inlineStr">
        <is>
          <t>DEBITO</t>
        </is>
      </c>
      <c r="H1687" t="inlineStr">
        <is>
          <t>Receita Federal</t>
        </is>
      </c>
      <c r="I1687" t="n">
        <v>-608.98</v>
      </c>
    </row>
    <row r="1688">
      <c r="A1688" t="n">
        <v>121890</v>
      </c>
      <c r="B1688" t="n">
        <v>182</v>
      </c>
      <c r="C1688" t="inlineStr">
        <is>
          <t>Love - Shibari - Kamino</t>
        </is>
      </c>
      <c r="D1688" t="n">
        <v>128</v>
      </c>
      <c r="E1688" t="inlineStr">
        <is>
          <t>Love Cabaret</t>
        </is>
      </c>
      <c r="F1688" s="27" t="n">
        <v>45861</v>
      </c>
      <c r="G1688" t="inlineStr">
        <is>
          <t>DEBITO</t>
        </is>
      </c>
      <c r="H1688" t="inlineStr">
        <is>
          <t>Cia do Whisky</t>
        </is>
      </c>
      <c r="I1688" t="n">
        <v>-763.45</v>
      </c>
    </row>
    <row r="1689">
      <c r="A1689" t="n">
        <v>121902</v>
      </c>
      <c r="B1689" t="n">
        <v>182</v>
      </c>
      <c r="C1689" t="inlineStr">
        <is>
          <t>Love - Shibari - Kamino</t>
        </is>
      </c>
      <c r="D1689" t="n">
        <v>128</v>
      </c>
      <c r="E1689" t="inlineStr">
        <is>
          <t>Love Cabaret</t>
        </is>
      </c>
      <c r="F1689" s="27" t="n">
        <v>45861</v>
      </c>
      <c r="G1689" t="inlineStr">
        <is>
          <t>DEBITO</t>
        </is>
      </c>
      <c r="H1689" t="inlineStr">
        <is>
          <t>Google Brasil Internet Ltda.</t>
        </is>
      </c>
      <c r="I1689" t="n">
        <v>-1000</v>
      </c>
    </row>
    <row r="1690">
      <c r="A1690" t="n">
        <v>121892</v>
      </c>
      <c r="B1690" t="n">
        <v>182</v>
      </c>
      <c r="C1690" t="inlineStr">
        <is>
          <t>Love - Shibari - Kamino</t>
        </is>
      </c>
      <c r="D1690" t="n">
        <v>128</v>
      </c>
      <c r="E1690" t="inlineStr">
        <is>
          <t>Love Cabaret</t>
        </is>
      </c>
      <c r="F1690" s="27" t="n">
        <v>45861</v>
      </c>
      <c r="G1690" t="inlineStr">
        <is>
          <t>DEBITO</t>
        </is>
      </c>
      <c r="H1690" t="inlineStr">
        <is>
          <t>Invye Capital Ltda</t>
        </is>
      </c>
      <c r="I1690" t="n">
        <v>-1260</v>
      </c>
    </row>
    <row r="1691">
      <c r="A1691" t="n">
        <v>121893</v>
      </c>
      <c r="B1691" t="n">
        <v>182</v>
      </c>
      <c r="C1691" t="inlineStr">
        <is>
          <t>Love - Shibari - Kamino</t>
        </is>
      </c>
      <c r="D1691" t="n">
        <v>128</v>
      </c>
      <c r="E1691" t="inlineStr">
        <is>
          <t>Love Cabaret</t>
        </is>
      </c>
      <c r="F1691" s="27" t="n">
        <v>45861</v>
      </c>
      <c r="G1691" t="inlineStr">
        <is>
          <t>DEBITO</t>
        </is>
      </c>
      <c r="H1691" t="inlineStr">
        <is>
          <t>Zahil Importadora Ltda</t>
        </is>
      </c>
      <c r="I1691" t="n">
        <v>-1361.57</v>
      </c>
    </row>
    <row r="1692">
      <c r="A1692" t="n">
        <v>121894</v>
      </c>
      <c r="B1692" t="n">
        <v>182</v>
      </c>
      <c r="C1692" t="inlineStr">
        <is>
          <t>Love - Shibari - Kamino</t>
        </is>
      </c>
      <c r="D1692" t="n">
        <v>128</v>
      </c>
      <c r="E1692" t="inlineStr">
        <is>
          <t>Love Cabaret</t>
        </is>
      </c>
      <c r="F1692" s="27" t="n">
        <v>45861</v>
      </c>
      <c r="G1692" t="inlineStr">
        <is>
          <t>DEBITO</t>
        </is>
      </c>
      <c r="H1692" t="inlineStr">
        <is>
          <t>Receita Federal</t>
        </is>
      </c>
      <c r="I1692" t="n">
        <v>-2426.62</v>
      </c>
    </row>
    <row r="1693">
      <c r="A1693" t="n">
        <v>121895</v>
      </c>
      <c r="B1693" t="n">
        <v>182</v>
      </c>
      <c r="C1693" t="inlineStr">
        <is>
          <t>Love - Shibari - Kamino</t>
        </is>
      </c>
      <c r="D1693" t="n">
        <v>128</v>
      </c>
      <c r="E1693" t="inlineStr">
        <is>
          <t>Love Cabaret</t>
        </is>
      </c>
      <c r="F1693" s="27" t="n">
        <v>45861</v>
      </c>
      <c r="G1693" t="inlineStr">
        <is>
          <t>DEBITO</t>
        </is>
      </c>
      <c r="H1693" t="inlineStr">
        <is>
          <t>Companhia de Gas de Sp Comgas</t>
        </is>
      </c>
      <c r="I1693" t="n">
        <v>-1800.11</v>
      </c>
    </row>
    <row r="1694">
      <c r="A1694" t="n">
        <v>121896</v>
      </c>
      <c r="B1694" t="n">
        <v>182</v>
      </c>
      <c r="C1694" t="inlineStr">
        <is>
          <t>Love - Shibari - Kamino</t>
        </is>
      </c>
      <c r="D1694" t="n">
        <v>128</v>
      </c>
      <c r="E1694" t="inlineStr">
        <is>
          <t>Love Cabaret</t>
        </is>
      </c>
      <c r="F1694" s="27" t="n">
        <v>45861</v>
      </c>
      <c r="G1694" t="inlineStr">
        <is>
          <t>DEBITO</t>
        </is>
      </c>
      <c r="H1694" t="inlineStr">
        <is>
          <t>Telefonica Brasil S.A.</t>
        </is>
      </c>
      <c r="I1694" t="n">
        <v>-21.71</v>
      </c>
    </row>
    <row r="1695">
      <c r="A1695" t="n">
        <v>121897</v>
      </c>
      <c r="B1695" t="n">
        <v>182</v>
      </c>
      <c r="C1695" t="inlineStr">
        <is>
          <t>Love - Shibari - Kamino</t>
        </is>
      </c>
      <c r="D1695" t="n">
        <v>128</v>
      </c>
      <c r="E1695" t="inlineStr">
        <is>
          <t>Love Cabaret</t>
        </is>
      </c>
      <c r="F1695" s="27" t="n">
        <v>45861</v>
      </c>
      <c r="G1695" t="inlineStr">
        <is>
          <t>DEBITO</t>
        </is>
      </c>
      <c r="H1695" t="inlineStr">
        <is>
          <t>Telefonica Brasil S.A.</t>
        </is>
      </c>
      <c r="I1695" t="n">
        <v>-327.09</v>
      </c>
    </row>
    <row r="1696">
      <c r="A1696" t="n">
        <v>121898</v>
      </c>
      <c r="B1696" t="n">
        <v>182</v>
      </c>
      <c r="C1696" t="inlineStr">
        <is>
          <t>Love - Shibari - Kamino</t>
        </is>
      </c>
      <c r="D1696" t="n">
        <v>128</v>
      </c>
      <c r="E1696" t="inlineStr">
        <is>
          <t>Love Cabaret</t>
        </is>
      </c>
      <c r="F1696" s="27" t="n">
        <v>45861</v>
      </c>
      <c r="G1696" t="inlineStr">
        <is>
          <t>DEBITO</t>
        </is>
      </c>
      <c r="H1696" t="inlineStr">
        <is>
          <t>Receita Federal</t>
        </is>
      </c>
      <c r="I1696" t="n">
        <v>-11199.77</v>
      </c>
    </row>
    <row r="1697">
      <c r="A1697" t="n">
        <v>121900</v>
      </c>
      <c r="B1697" t="n">
        <v>182</v>
      </c>
      <c r="C1697" t="inlineStr">
        <is>
          <t>Love - Shibari - Kamino</t>
        </is>
      </c>
      <c r="D1697" t="n">
        <v>128</v>
      </c>
      <c r="E1697" t="inlineStr">
        <is>
          <t>Love Cabaret</t>
        </is>
      </c>
      <c r="F1697" s="27" t="n">
        <v>45861</v>
      </c>
      <c r="G1697" t="inlineStr">
        <is>
          <t>DEBITO</t>
        </is>
      </c>
      <c r="H1697" t="inlineStr">
        <is>
          <t>Zahil Importadora Ltda</t>
        </is>
      </c>
      <c r="I1697" t="n">
        <v>-1491.11</v>
      </c>
    </row>
    <row r="1698">
      <c r="A1698" t="n">
        <v>121901</v>
      </c>
      <c r="B1698" t="n">
        <v>182</v>
      </c>
      <c r="C1698" t="inlineStr">
        <is>
          <t>Love - Shibari - Kamino</t>
        </is>
      </c>
      <c r="D1698" t="n">
        <v>128</v>
      </c>
      <c r="E1698" t="inlineStr">
        <is>
          <t>Love Cabaret</t>
        </is>
      </c>
      <c r="F1698" s="27" t="n">
        <v>45861</v>
      </c>
      <c r="G1698" t="inlineStr">
        <is>
          <t>DEBITO</t>
        </is>
      </c>
      <c r="H1698" t="inlineStr">
        <is>
          <t>Estaff Solucoes Tecnologicas de Agenciam</t>
        </is>
      </c>
      <c r="I1698" t="n">
        <v>-14789.5</v>
      </c>
    </row>
    <row r="1699">
      <c r="A1699" t="n">
        <v>121717</v>
      </c>
      <c r="B1699" t="n">
        <v>115</v>
      </c>
      <c r="C1699" t="inlineStr">
        <is>
          <t>Love - Shibari - Bradesco</t>
        </is>
      </c>
      <c r="D1699" t="n">
        <v>128</v>
      </c>
      <c r="E1699" t="inlineStr">
        <is>
          <t>Love Cabaret</t>
        </is>
      </c>
      <c r="F1699" s="27" t="n">
        <v>45860.5</v>
      </c>
      <c r="G1699" t="inlineStr">
        <is>
          <t>CREDITO</t>
        </is>
      </c>
      <c r="H1699" t="inlineStr">
        <is>
          <t>DEP DINHEIRO ATM AG00117MAQ061059SEQ05985</t>
        </is>
      </c>
      <c r="I1699" t="n">
        <v>1037</v>
      </c>
    </row>
    <row r="1700">
      <c r="A1700" t="n">
        <v>121718</v>
      </c>
      <c r="B1700" t="n">
        <v>115</v>
      </c>
      <c r="C1700" t="inlineStr">
        <is>
          <t>Love - Shibari - Bradesco</t>
        </is>
      </c>
      <c r="D1700" t="n">
        <v>128</v>
      </c>
      <c r="E1700" t="inlineStr">
        <is>
          <t>Love Cabaret</t>
        </is>
      </c>
      <c r="F1700" s="27" t="n">
        <v>45860.5</v>
      </c>
      <c r="G1700" t="inlineStr">
        <is>
          <t>CREDITO</t>
        </is>
      </c>
      <c r="H1700" t="inlineStr">
        <is>
          <t>TRANSFERENCIA PIX REM: SHIBARI ART E DIVERSA 22/07</t>
        </is>
      </c>
      <c r="I1700" t="n">
        <v>15567.89</v>
      </c>
    </row>
    <row r="1701">
      <c r="A1701" t="n">
        <v>121881</v>
      </c>
      <c r="B1701" t="n">
        <v>182</v>
      </c>
      <c r="C1701" t="inlineStr">
        <is>
          <t>Love - Shibari - Kamino</t>
        </is>
      </c>
      <c r="D1701" t="n">
        <v>128</v>
      </c>
      <c r="E1701" t="inlineStr">
        <is>
          <t>Love Cabaret</t>
        </is>
      </c>
      <c r="F1701" s="27" t="n">
        <v>45860</v>
      </c>
      <c r="G1701" t="inlineStr">
        <is>
          <t>DEBITO</t>
        </is>
      </c>
      <c r="H1701" t="inlineStr">
        <is>
          <t>Mercadopago.com Representacoes Ltda.</t>
        </is>
      </c>
      <c r="I1701" t="n">
        <v>-116.69</v>
      </c>
    </row>
    <row r="1702">
      <c r="A1702" t="n">
        <v>121714</v>
      </c>
      <c r="B1702" t="n">
        <v>115</v>
      </c>
      <c r="C1702" t="inlineStr">
        <is>
          <t>Love - Shibari - Bradesco</t>
        </is>
      </c>
      <c r="D1702" t="n">
        <v>128</v>
      </c>
      <c r="E1702" t="inlineStr">
        <is>
          <t>Love Cabaret</t>
        </is>
      </c>
      <c r="F1702" s="27" t="n">
        <v>45859.5</v>
      </c>
      <c r="G1702" t="inlineStr">
        <is>
          <t>CREDITO</t>
        </is>
      </c>
      <c r="H1702" t="inlineStr">
        <is>
          <t>TRANSFERENCIA PIX REM: PRESHH BAR LTDA       21/07</t>
        </is>
      </c>
      <c r="I1702" t="n">
        <v>80.8</v>
      </c>
    </row>
    <row r="1703">
      <c r="A1703" t="n">
        <v>121713</v>
      </c>
      <c r="B1703" t="n">
        <v>115</v>
      </c>
      <c r="C1703" t="inlineStr">
        <is>
          <t>Love - Shibari - Bradesco</t>
        </is>
      </c>
      <c r="D1703" t="n">
        <v>128</v>
      </c>
      <c r="E1703" t="inlineStr">
        <is>
          <t>Love Cabaret</t>
        </is>
      </c>
      <c r="F1703" s="27" t="n">
        <v>45859.5</v>
      </c>
      <c r="G1703" t="inlineStr">
        <is>
          <t>CREDITO</t>
        </is>
      </c>
      <c r="H1703" t="inlineStr">
        <is>
          <t>TRANSFERENCIA PIX REM: SHIBARI ART E DIVERSA 21/07</t>
        </is>
      </c>
      <c r="I1703" t="n">
        <v>79459.62</v>
      </c>
    </row>
    <row r="1704">
      <c r="A1704" t="n">
        <v>121715</v>
      </c>
      <c r="B1704" t="n">
        <v>115</v>
      </c>
      <c r="C1704" t="inlineStr">
        <is>
          <t>Love - Shibari - Bradesco</t>
        </is>
      </c>
      <c r="D1704" t="n">
        <v>128</v>
      </c>
      <c r="E1704" t="inlineStr">
        <is>
          <t>Love Cabaret</t>
        </is>
      </c>
      <c r="F1704" s="27" t="n">
        <v>45859.5</v>
      </c>
      <c r="G1704" t="inlineStr">
        <is>
          <t>DEBITO</t>
        </is>
      </c>
      <c r="H1704" t="inlineStr">
        <is>
          <t>TARIFA BANCARIA TRANSF PGTO PIX</t>
        </is>
      </c>
      <c r="I1704" t="n">
        <v>-7.25</v>
      </c>
    </row>
    <row r="1705">
      <c r="A1705" t="n">
        <v>121716</v>
      </c>
      <c r="B1705" t="n">
        <v>115</v>
      </c>
      <c r="C1705" t="inlineStr">
        <is>
          <t>Love - Shibari - Bradesco</t>
        </is>
      </c>
      <c r="D1705" t="n">
        <v>128</v>
      </c>
      <c r="E1705" t="inlineStr">
        <is>
          <t>Love Cabaret</t>
        </is>
      </c>
      <c r="F1705" s="27" t="n">
        <v>45859.5</v>
      </c>
      <c r="G1705" t="inlineStr">
        <is>
          <t>DEBITO</t>
        </is>
      </c>
      <c r="H1705" t="inlineStr">
        <is>
          <t>TRANSFERENCIA PIX DES: SHIBARI ART E DIVERSA 21/07</t>
        </is>
      </c>
      <c r="I1705" t="n">
        <v>-22700</v>
      </c>
    </row>
    <row r="1706">
      <c r="A1706" t="n">
        <v>121872</v>
      </c>
      <c r="B1706" t="n">
        <v>182</v>
      </c>
      <c r="C1706" t="inlineStr">
        <is>
          <t>Love - Shibari - Kamino</t>
        </is>
      </c>
      <c r="D1706" t="n">
        <v>128</v>
      </c>
      <c r="E1706" t="inlineStr">
        <is>
          <t>Love Cabaret</t>
        </is>
      </c>
      <c r="F1706" s="27" t="n">
        <v>45859</v>
      </c>
      <c r="G1706" t="inlineStr">
        <is>
          <t>DEBITO</t>
        </is>
      </c>
      <c r="H1706" t="inlineStr">
        <is>
          <t>Cecilia Tsuyaco Araki Silva Ltda</t>
        </is>
      </c>
      <c r="I1706" t="n">
        <v>-242.45</v>
      </c>
    </row>
    <row r="1707">
      <c r="A1707" t="n">
        <v>121880</v>
      </c>
      <c r="B1707" t="n">
        <v>182</v>
      </c>
      <c r="C1707" t="inlineStr">
        <is>
          <t>Love - Shibari - Kamino</t>
        </is>
      </c>
      <c r="D1707" t="n">
        <v>128</v>
      </c>
      <c r="E1707" t="inlineStr">
        <is>
          <t>Love Cabaret</t>
        </is>
      </c>
      <c r="F1707" s="27" t="n">
        <v>45859</v>
      </c>
      <c r="G1707" t="inlineStr">
        <is>
          <t>DEBITO</t>
        </is>
      </c>
      <c r="H1707" t="inlineStr">
        <is>
          <t>Psss Ltda</t>
        </is>
      </c>
      <c r="I1707" t="n">
        <v>-365.96</v>
      </c>
    </row>
    <row r="1708">
      <c r="A1708" t="n">
        <v>121879</v>
      </c>
      <c r="B1708" t="n">
        <v>182</v>
      </c>
      <c r="C1708" t="inlineStr">
        <is>
          <t>Love - Shibari - Kamino</t>
        </is>
      </c>
      <c r="D1708" t="n">
        <v>128</v>
      </c>
      <c r="E1708" t="inlineStr">
        <is>
          <t>Love Cabaret</t>
        </is>
      </c>
      <c r="F1708" s="27" t="n">
        <v>45859</v>
      </c>
      <c r="G1708" t="inlineStr">
        <is>
          <t>DEBITO</t>
        </is>
      </c>
      <c r="H1708" t="inlineStr">
        <is>
          <t>Gomes D Elia Equipamentos de H</t>
        </is>
      </c>
      <c r="I1708" t="n">
        <v>-551.15</v>
      </c>
    </row>
    <row r="1709">
      <c r="A1709" t="n">
        <v>121878</v>
      </c>
      <c r="B1709" t="n">
        <v>182</v>
      </c>
      <c r="C1709" t="inlineStr">
        <is>
          <t>Love - Shibari - Kamino</t>
        </is>
      </c>
      <c r="D1709" t="n">
        <v>128</v>
      </c>
      <c r="E1709" t="inlineStr">
        <is>
          <t>Love Cabaret</t>
        </is>
      </c>
      <c r="F1709" s="27" t="n">
        <v>45859</v>
      </c>
      <c r="G1709" t="inlineStr">
        <is>
          <t>DEBITO</t>
        </is>
      </c>
      <c r="H1709" t="inlineStr">
        <is>
          <t>Gomes D Elia Equipamentos de H</t>
        </is>
      </c>
      <c r="I1709" t="n">
        <v>-389.5</v>
      </c>
    </row>
    <row r="1710">
      <c r="A1710" t="n">
        <v>121877</v>
      </c>
      <c r="B1710" t="n">
        <v>182</v>
      </c>
      <c r="C1710" t="inlineStr">
        <is>
          <t>Love - Shibari - Kamino</t>
        </is>
      </c>
      <c r="D1710" t="n">
        <v>128</v>
      </c>
      <c r="E1710" t="inlineStr">
        <is>
          <t>Love Cabaret</t>
        </is>
      </c>
      <c r="F1710" s="27" t="n">
        <v>45859</v>
      </c>
      <c r="G1710" t="inlineStr">
        <is>
          <t>DEBITO</t>
        </is>
      </c>
      <c r="H1710" t="inlineStr">
        <is>
          <t>Cg Food S Distr Alimentos Ltda</t>
        </is>
      </c>
      <c r="I1710" t="n">
        <v>-345.55</v>
      </c>
    </row>
    <row r="1711">
      <c r="A1711" t="n">
        <v>121876</v>
      </c>
      <c r="B1711" t="n">
        <v>182</v>
      </c>
      <c r="C1711" t="inlineStr">
        <is>
          <t>Love - Shibari - Kamino</t>
        </is>
      </c>
      <c r="D1711" t="n">
        <v>128</v>
      </c>
      <c r="E1711" t="inlineStr">
        <is>
          <t>Love Cabaret</t>
        </is>
      </c>
      <c r="F1711" s="27" t="n">
        <v>45859</v>
      </c>
      <c r="G1711" t="inlineStr">
        <is>
          <t>DEBITO</t>
        </is>
      </c>
      <c r="H1711" t="inlineStr">
        <is>
          <t>Zahil Importadora Ltda</t>
        </is>
      </c>
      <c r="I1711" t="n">
        <v>-1972.92</v>
      </c>
    </row>
    <row r="1712">
      <c r="A1712" t="n">
        <v>121875</v>
      </c>
      <c r="B1712" t="n">
        <v>182</v>
      </c>
      <c r="C1712" t="inlineStr">
        <is>
          <t>Love - Shibari - Kamino</t>
        </is>
      </c>
      <c r="D1712" t="n">
        <v>128</v>
      </c>
      <c r="E1712" t="inlineStr">
        <is>
          <t>Love Cabaret</t>
        </is>
      </c>
      <c r="F1712" s="27" t="n">
        <v>45859</v>
      </c>
      <c r="G1712" t="inlineStr">
        <is>
          <t>DEBITO</t>
        </is>
      </c>
      <c r="H1712" t="inlineStr">
        <is>
          <t>Paramu Comercio R P a Ltda</t>
        </is>
      </c>
      <c r="I1712" t="n">
        <v>-981.9</v>
      </c>
    </row>
    <row r="1713">
      <c r="A1713" t="n">
        <v>121874</v>
      </c>
      <c r="B1713" t="n">
        <v>182</v>
      </c>
      <c r="C1713" t="inlineStr">
        <is>
          <t>Love - Shibari - Kamino</t>
        </is>
      </c>
      <c r="D1713" t="n">
        <v>128</v>
      </c>
      <c r="E1713" t="inlineStr">
        <is>
          <t>Love Cabaret</t>
        </is>
      </c>
      <c r="F1713" s="27" t="n">
        <v>45859</v>
      </c>
      <c r="G1713" t="inlineStr">
        <is>
          <t>DEBITO</t>
        </is>
      </c>
      <c r="H1713" t="inlineStr">
        <is>
          <t>Secretaria do Governo Municipal</t>
        </is>
      </c>
      <c r="I1713" t="n">
        <v>-11150.31</v>
      </c>
    </row>
    <row r="1714">
      <c r="A1714" t="n">
        <v>121873</v>
      </c>
      <c r="B1714" t="n">
        <v>182</v>
      </c>
      <c r="C1714" t="inlineStr">
        <is>
          <t>Love - Shibari - Kamino</t>
        </is>
      </c>
      <c r="D1714" t="n">
        <v>128</v>
      </c>
      <c r="E1714" t="inlineStr">
        <is>
          <t>Love Cabaret</t>
        </is>
      </c>
      <c r="F1714" s="27" t="n">
        <v>45859</v>
      </c>
      <c r="G1714" t="inlineStr">
        <is>
          <t>DEBITO</t>
        </is>
      </c>
      <c r="H1714" t="inlineStr">
        <is>
          <t>Sky Comercio de Produtos Alimenticios Lt</t>
        </is>
      </c>
      <c r="I1714" t="n">
        <v>-480</v>
      </c>
    </row>
    <row r="1715">
      <c r="A1715" t="n">
        <v>121871</v>
      </c>
      <c r="B1715" t="n">
        <v>182</v>
      </c>
      <c r="C1715" t="inlineStr">
        <is>
          <t>Love - Shibari - Kamino</t>
        </is>
      </c>
      <c r="D1715" t="n">
        <v>128</v>
      </c>
      <c r="E1715" t="inlineStr">
        <is>
          <t>Love Cabaret</t>
        </is>
      </c>
      <c r="F1715" s="27" t="n">
        <v>45859</v>
      </c>
      <c r="G1715" t="inlineStr">
        <is>
          <t>DEBITO</t>
        </is>
      </c>
      <c r="H1715" t="inlineStr">
        <is>
          <t>Ng27 Consultoria e Gestao Empr</t>
        </is>
      </c>
      <c r="I1715" t="n">
        <v>-172.7</v>
      </c>
    </row>
    <row r="1716">
      <c r="A1716" t="n">
        <v>121870</v>
      </c>
      <c r="B1716" t="n">
        <v>182</v>
      </c>
      <c r="C1716" t="inlineStr">
        <is>
          <t>Love - Shibari - Kamino</t>
        </is>
      </c>
      <c r="D1716" t="n">
        <v>128</v>
      </c>
      <c r="E1716" t="inlineStr">
        <is>
          <t>Love Cabaret</t>
        </is>
      </c>
      <c r="F1716" s="27" t="n">
        <v>45859</v>
      </c>
      <c r="G1716" t="inlineStr">
        <is>
          <t>DEBITO</t>
        </is>
      </c>
      <c r="H1716" t="inlineStr">
        <is>
          <t>Proauto Industria Q Eireli</t>
        </is>
      </c>
      <c r="I1716" t="n">
        <v>-1137.38</v>
      </c>
    </row>
    <row r="1717">
      <c r="A1717" t="n">
        <v>121869</v>
      </c>
      <c r="B1717" t="n">
        <v>182</v>
      </c>
      <c r="C1717" t="inlineStr">
        <is>
          <t>Love - Shibari - Kamino</t>
        </is>
      </c>
      <c r="D1717" t="n">
        <v>128</v>
      </c>
      <c r="E1717" t="inlineStr">
        <is>
          <t>Love Cabaret</t>
        </is>
      </c>
      <c r="F1717" s="27" t="n">
        <v>45859</v>
      </c>
      <c r="G1717" t="inlineStr">
        <is>
          <t>DEBITO</t>
        </is>
      </c>
      <c r="H1717" t="inlineStr">
        <is>
          <t>W P P C Carnes Eireli Epp</t>
        </is>
      </c>
      <c r="I1717" t="n">
        <v>-1064.28</v>
      </c>
    </row>
    <row r="1718">
      <c r="A1718" t="n">
        <v>121868</v>
      </c>
      <c r="B1718" t="n">
        <v>182</v>
      </c>
      <c r="C1718" t="inlineStr">
        <is>
          <t>Love - Shibari - Kamino</t>
        </is>
      </c>
      <c r="D1718" t="n">
        <v>128</v>
      </c>
      <c r="E1718" t="inlineStr">
        <is>
          <t>Love Cabaret</t>
        </is>
      </c>
      <c r="F1718" s="27" t="n">
        <v>45859</v>
      </c>
      <c r="G1718" t="inlineStr">
        <is>
          <t>DEBITO</t>
        </is>
      </c>
      <c r="H1718" t="inlineStr">
        <is>
          <t>Dtk Comercio de Alimentos Ltda Epp</t>
        </is>
      </c>
      <c r="I1718" t="n">
        <v>-622.15</v>
      </c>
    </row>
    <row r="1719">
      <c r="A1719" t="n">
        <v>121867</v>
      </c>
      <c r="B1719" t="n">
        <v>182</v>
      </c>
      <c r="C1719" t="inlineStr">
        <is>
          <t>Love - Shibari - Kamino</t>
        </is>
      </c>
      <c r="D1719" t="n">
        <v>128</v>
      </c>
      <c r="E1719" t="inlineStr">
        <is>
          <t>Love Cabaret</t>
        </is>
      </c>
      <c r="F1719" s="27" t="n">
        <v>45859</v>
      </c>
      <c r="G1719" t="inlineStr">
        <is>
          <t>DEBITO</t>
        </is>
      </c>
      <c r="H1719" t="inlineStr">
        <is>
          <t>Four Copias Ltda</t>
        </is>
      </c>
      <c r="I1719" t="n">
        <v>-54.9</v>
      </c>
    </row>
    <row r="1720">
      <c r="A1720" t="n">
        <v>121866</v>
      </c>
      <c r="B1720" t="n">
        <v>182</v>
      </c>
      <c r="C1720" t="inlineStr">
        <is>
          <t>Love - Shibari - Kamino</t>
        </is>
      </c>
      <c r="D1720" t="n">
        <v>128</v>
      </c>
      <c r="E1720" t="inlineStr">
        <is>
          <t>Love Cabaret</t>
        </is>
      </c>
      <c r="F1720" s="27" t="n">
        <v>45859</v>
      </c>
      <c r="G1720" t="inlineStr">
        <is>
          <t>DEBITO</t>
        </is>
      </c>
      <c r="H1720" t="inlineStr">
        <is>
          <t>Luiz Roberto da Silva Junior</t>
        </is>
      </c>
      <c r="I1720" t="n">
        <v>-1000</v>
      </c>
    </row>
    <row r="1721">
      <c r="A1721" t="n">
        <v>121865</v>
      </c>
      <c r="B1721" t="n">
        <v>182</v>
      </c>
      <c r="C1721" t="inlineStr">
        <is>
          <t>Love - Shibari - Kamino</t>
        </is>
      </c>
      <c r="D1721" t="n">
        <v>128</v>
      </c>
      <c r="E1721" t="inlineStr">
        <is>
          <t>Love Cabaret</t>
        </is>
      </c>
      <c r="F1721" s="27" t="n">
        <v>45859</v>
      </c>
      <c r="G1721" t="inlineStr">
        <is>
          <t>DEBITO</t>
        </is>
      </c>
      <c r="H1721" t="inlineStr">
        <is>
          <t>Sabesp</t>
        </is>
      </c>
      <c r="I1721" t="n">
        <v>-153.96</v>
      </c>
    </row>
    <row r="1722">
      <c r="A1722" t="n">
        <v>121864</v>
      </c>
      <c r="B1722" t="n">
        <v>182</v>
      </c>
      <c r="C1722" t="inlineStr">
        <is>
          <t>Love - Shibari - Kamino</t>
        </is>
      </c>
      <c r="D1722" t="n">
        <v>128</v>
      </c>
      <c r="E1722" t="inlineStr">
        <is>
          <t>Love Cabaret</t>
        </is>
      </c>
      <c r="F1722" s="27" t="n">
        <v>45859</v>
      </c>
      <c r="G1722" t="inlineStr">
        <is>
          <t>DEBITO</t>
        </is>
      </c>
      <c r="H1722" t="inlineStr">
        <is>
          <t>Aurora Alvorada Estacionamento e Lanchon</t>
        </is>
      </c>
      <c r="I1722" t="n">
        <v>-217.39</v>
      </c>
    </row>
    <row r="1723">
      <c r="A1723" t="n">
        <v>121863</v>
      </c>
      <c r="B1723" t="n">
        <v>182</v>
      </c>
      <c r="C1723" t="inlineStr">
        <is>
          <t>Love - Shibari - Kamino</t>
        </is>
      </c>
      <c r="D1723" t="n">
        <v>128</v>
      </c>
      <c r="E1723" t="inlineStr">
        <is>
          <t>Love Cabaret</t>
        </is>
      </c>
      <c r="F1723" s="27" t="n">
        <v>45859</v>
      </c>
      <c r="G1723" t="inlineStr">
        <is>
          <t>DEBITO</t>
        </is>
      </c>
      <c r="H1723" t="inlineStr">
        <is>
          <t>Andreia Santos Freitas Duarte</t>
        </is>
      </c>
      <c r="I1723" t="n">
        <v>-533.91</v>
      </c>
    </row>
    <row r="1724">
      <c r="A1724" t="n">
        <v>121862</v>
      </c>
      <c r="B1724" t="n">
        <v>182</v>
      </c>
      <c r="C1724" t="inlineStr">
        <is>
          <t>Love - Shibari - Kamino</t>
        </is>
      </c>
      <c r="D1724" t="n">
        <v>128</v>
      </c>
      <c r="E1724" t="inlineStr">
        <is>
          <t>Love Cabaret</t>
        </is>
      </c>
      <c r="F1724" s="27" t="n">
        <v>45859</v>
      </c>
      <c r="G1724" t="inlineStr">
        <is>
          <t>DEBITO</t>
        </is>
      </c>
      <c r="H1724" t="inlineStr">
        <is>
          <t>Alphalix Ambiental Locacao de Equipament</t>
        </is>
      </c>
      <c r="I1724" t="n">
        <v>-1343.39</v>
      </c>
    </row>
    <row r="1725">
      <c r="A1725" t="n">
        <v>121861</v>
      </c>
      <c r="B1725" t="n">
        <v>182</v>
      </c>
      <c r="C1725" t="inlineStr">
        <is>
          <t>Love - Shibari - Kamino</t>
        </is>
      </c>
      <c r="D1725" t="n">
        <v>128</v>
      </c>
      <c r="E1725" t="inlineStr">
        <is>
          <t>Love Cabaret</t>
        </is>
      </c>
      <c r="F1725" s="27" t="n">
        <v>45859</v>
      </c>
      <c r="G1725" t="inlineStr">
        <is>
          <t>CREDITO</t>
        </is>
      </c>
      <c r="H1725" t="inlineStr">
        <is>
          <t>SHIBARI ART E DIVERSAO LTDA</t>
        </is>
      </c>
      <c r="I1725" t="n">
        <v>22700</v>
      </c>
    </row>
    <row r="1726">
      <c r="A1726" t="n">
        <v>121712</v>
      </c>
      <c r="B1726" t="n">
        <v>115</v>
      </c>
      <c r="C1726" t="inlineStr">
        <is>
          <t>Love - Shibari - Bradesco</t>
        </is>
      </c>
      <c r="D1726" t="n">
        <v>128</v>
      </c>
      <c r="E1726" t="inlineStr">
        <is>
          <t>Love Cabaret</t>
        </is>
      </c>
      <c r="F1726" s="27" t="n">
        <v>45856.5</v>
      </c>
      <c r="G1726" t="inlineStr">
        <is>
          <t>DEBITO</t>
        </is>
      </c>
      <c r="H1726" t="inlineStr">
        <is>
          <t>TARIFA BANCARIA TRANSF PGTO PIX</t>
        </is>
      </c>
      <c r="I1726" t="n">
        <v>-9.800000000000001</v>
      </c>
    </row>
    <row r="1727">
      <c r="A1727" t="n">
        <v>121711</v>
      </c>
      <c r="B1727" t="n">
        <v>115</v>
      </c>
      <c r="C1727" t="inlineStr">
        <is>
          <t>Love - Shibari - Bradesco</t>
        </is>
      </c>
      <c r="D1727" t="n">
        <v>128</v>
      </c>
      <c r="E1727" t="inlineStr">
        <is>
          <t>Love Cabaret</t>
        </is>
      </c>
      <c r="F1727" s="27" t="n">
        <v>45856.5</v>
      </c>
      <c r="G1727" t="inlineStr">
        <is>
          <t>DEBITO</t>
        </is>
      </c>
      <c r="H1727" t="inlineStr">
        <is>
          <t>PAGTO ELETRON  COBRANCA ESHOWS</t>
        </is>
      </c>
      <c r="I1727" t="n">
        <v>-16495</v>
      </c>
    </row>
    <row r="1728">
      <c r="A1728" t="n">
        <v>121710</v>
      </c>
      <c r="B1728" t="n">
        <v>115</v>
      </c>
      <c r="C1728" t="inlineStr">
        <is>
          <t>Love - Shibari - Bradesco</t>
        </is>
      </c>
      <c r="D1728" t="n">
        <v>128</v>
      </c>
      <c r="E1728" t="inlineStr">
        <is>
          <t>Love Cabaret</t>
        </is>
      </c>
      <c r="F1728" s="27" t="n">
        <v>45856.5</v>
      </c>
      <c r="G1728" t="inlineStr">
        <is>
          <t>DEBITO</t>
        </is>
      </c>
      <c r="H1728" t="inlineStr">
        <is>
          <t>PAGTO ELETRON  COBRANCA OPUS</t>
        </is>
      </c>
      <c r="I1728" t="n">
        <v>-300</v>
      </c>
    </row>
    <row r="1729">
      <c r="A1729" t="n">
        <v>121707</v>
      </c>
      <c r="B1729" t="n">
        <v>115</v>
      </c>
      <c r="C1729" t="inlineStr">
        <is>
          <t>Love - Shibari - Bradesco</t>
        </is>
      </c>
      <c r="D1729" t="n">
        <v>128</v>
      </c>
      <c r="E1729" t="inlineStr">
        <is>
          <t>Love Cabaret</t>
        </is>
      </c>
      <c r="F1729" s="27" t="n">
        <v>45855.5</v>
      </c>
      <c r="G1729" t="inlineStr">
        <is>
          <t>CREDITO</t>
        </is>
      </c>
      <c r="H1729" t="inlineStr">
        <is>
          <t>TRANSFERENCIA PIX REM: SHIBARI ART E DIVERSA 17/07</t>
        </is>
      </c>
      <c r="I1729" t="n">
        <v>23328.1</v>
      </c>
    </row>
    <row r="1730">
      <c r="A1730" t="n">
        <v>121708</v>
      </c>
      <c r="B1730" t="n">
        <v>115</v>
      </c>
      <c r="C1730" t="inlineStr">
        <is>
          <t>Love - Shibari - Bradesco</t>
        </is>
      </c>
      <c r="D1730" t="n">
        <v>128</v>
      </c>
      <c r="E1730" t="inlineStr">
        <is>
          <t>Love Cabaret</t>
        </is>
      </c>
      <c r="F1730" s="27" t="n">
        <v>45855.5</v>
      </c>
      <c r="G1730" t="inlineStr">
        <is>
          <t>DEBITO</t>
        </is>
      </c>
      <c r="H1730" t="inlineStr">
        <is>
          <t>TRANSFERENCIA PIX DES: SHIBARI ART E DIVERSA 17/07</t>
        </is>
      </c>
      <c r="I1730" t="n">
        <v>-500</v>
      </c>
    </row>
    <row r="1731">
      <c r="A1731" t="n">
        <v>121858</v>
      </c>
      <c r="B1731" t="n">
        <v>182</v>
      </c>
      <c r="C1731" t="inlineStr">
        <is>
          <t>Love - Shibari - Kamino</t>
        </is>
      </c>
      <c r="D1731" t="n">
        <v>128</v>
      </c>
      <c r="E1731" t="inlineStr">
        <is>
          <t>Love Cabaret</t>
        </is>
      </c>
      <c r="F1731" s="27" t="n">
        <v>45855</v>
      </c>
      <c r="G1731" t="inlineStr">
        <is>
          <t>CREDITO</t>
        </is>
      </c>
      <c r="H1731" t="inlineStr">
        <is>
          <t>SHIBARI ART E DIVERSAO LTDA</t>
        </is>
      </c>
      <c r="I1731" t="n">
        <v>500</v>
      </c>
    </row>
    <row r="1732">
      <c r="A1732" t="n">
        <v>121859</v>
      </c>
      <c r="B1732" t="n">
        <v>182</v>
      </c>
      <c r="C1732" t="inlineStr">
        <is>
          <t>Love - Shibari - Kamino</t>
        </is>
      </c>
      <c r="D1732" t="n">
        <v>128</v>
      </c>
      <c r="E1732" t="inlineStr">
        <is>
          <t>Love Cabaret</t>
        </is>
      </c>
      <c r="F1732" s="27" t="n">
        <v>45855</v>
      </c>
      <c r="G1732" t="inlineStr">
        <is>
          <t>DEBITO</t>
        </is>
      </c>
      <c r="H1732" t="inlineStr">
        <is>
          <t>Guilherme Vale Dias</t>
        </is>
      </c>
      <c r="I1732" t="n">
        <v>-1385</v>
      </c>
    </row>
    <row r="1733">
      <c r="A1733" t="n">
        <v>121860</v>
      </c>
      <c r="B1733" t="n">
        <v>182</v>
      </c>
      <c r="C1733" t="inlineStr">
        <is>
          <t>Love - Shibari - Kamino</t>
        </is>
      </c>
      <c r="D1733" t="n">
        <v>128</v>
      </c>
      <c r="E1733" t="inlineStr">
        <is>
          <t>Love Cabaret</t>
        </is>
      </c>
      <c r="F1733" s="27" t="n">
        <v>45855</v>
      </c>
      <c r="G1733" t="inlineStr">
        <is>
          <t>DEBITO</t>
        </is>
      </c>
      <c r="H1733" t="inlineStr">
        <is>
          <t>Kamino Processamento de Dados Ltda</t>
        </is>
      </c>
      <c r="I1733" t="n">
        <v>-400</v>
      </c>
    </row>
    <row r="1734">
      <c r="A1734" t="n">
        <v>121700</v>
      </c>
      <c r="B1734" t="n">
        <v>115</v>
      </c>
      <c r="C1734" t="inlineStr">
        <is>
          <t>Love - Shibari - Bradesco</t>
        </is>
      </c>
      <c r="D1734" t="n">
        <v>128</v>
      </c>
      <c r="E1734" t="inlineStr">
        <is>
          <t>Love Cabaret</t>
        </is>
      </c>
      <c r="F1734" s="27" t="n">
        <v>45854.5</v>
      </c>
      <c r="G1734" t="inlineStr">
        <is>
          <t>CREDITO</t>
        </is>
      </c>
      <c r="H1734" t="inlineStr">
        <is>
          <t>TED-TRANSF ELET DISPON REMET.SYMPLA INTERNET SOLU</t>
        </is>
      </c>
      <c r="I1734" t="n">
        <v>5745</v>
      </c>
    </row>
    <row r="1735">
      <c r="A1735" t="n">
        <v>121701</v>
      </c>
      <c r="B1735" t="n">
        <v>115</v>
      </c>
      <c r="C1735" t="inlineStr">
        <is>
          <t>Love - Shibari - Bradesco</t>
        </is>
      </c>
      <c r="D1735" t="n">
        <v>128</v>
      </c>
      <c r="E1735" t="inlineStr">
        <is>
          <t>Love Cabaret</t>
        </is>
      </c>
      <c r="F1735" s="27" t="n">
        <v>45854.5</v>
      </c>
      <c r="G1735" t="inlineStr">
        <is>
          <t>CREDITO</t>
        </is>
      </c>
      <c r="H1735" t="inlineStr">
        <is>
          <t>TED-TRANSF ELET DISPON REMET.SYMPLA INTERNET SOLU</t>
        </is>
      </c>
      <c r="I1735" t="n">
        <v>13702.8</v>
      </c>
    </row>
    <row r="1736">
      <c r="A1736" t="n">
        <v>121702</v>
      </c>
      <c r="B1736" t="n">
        <v>115</v>
      </c>
      <c r="C1736" t="inlineStr">
        <is>
          <t>Love - Shibari - Bradesco</t>
        </is>
      </c>
      <c r="D1736" t="n">
        <v>128</v>
      </c>
      <c r="E1736" t="inlineStr">
        <is>
          <t>Love Cabaret</t>
        </is>
      </c>
      <c r="F1736" s="27" t="n">
        <v>45854.5</v>
      </c>
      <c r="G1736" t="inlineStr">
        <is>
          <t>CREDITO</t>
        </is>
      </c>
      <c r="H1736" t="inlineStr">
        <is>
          <t>TED-TRANSF ELET DISPON REMET.SYMPLA INTERNET SOLU</t>
        </is>
      </c>
      <c r="I1736" t="n">
        <v>989.8</v>
      </c>
    </row>
    <row r="1737">
      <c r="A1737" t="n">
        <v>121703</v>
      </c>
      <c r="B1737" t="n">
        <v>115</v>
      </c>
      <c r="C1737" t="inlineStr">
        <is>
          <t>Love - Shibari - Bradesco</t>
        </is>
      </c>
      <c r="D1737" t="n">
        <v>128</v>
      </c>
      <c r="E1737" t="inlineStr">
        <is>
          <t>Love Cabaret</t>
        </is>
      </c>
      <c r="F1737" s="27" t="n">
        <v>45854.5</v>
      </c>
      <c r="G1737" t="inlineStr">
        <is>
          <t>CREDITO</t>
        </is>
      </c>
      <c r="H1737" t="inlineStr">
        <is>
          <t>DEP DINHEIRO ATM AG00117MAQ061059SEQ00254</t>
        </is>
      </c>
      <c r="I1737" t="n">
        <v>160</v>
      </c>
    </row>
    <row r="1738">
      <c r="A1738" t="n">
        <v>121704</v>
      </c>
      <c r="B1738" t="n">
        <v>115</v>
      </c>
      <c r="C1738" t="inlineStr">
        <is>
          <t>Love - Shibari - Bradesco</t>
        </is>
      </c>
      <c r="D1738" t="n">
        <v>128</v>
      </c>
      <c r="E1738" t="inlineStr">
        <is>
          <t>Love Cabaret</t>
        </is>
      </c>
      <c r="F1738" s="27" t="n">
        <v>45854.5</v>
      </c>
      <c r="G1738" t="inlineStr">
        <is>
          <t>DEBITO</t>
        </is>
      </c>
      <c r="H1738" t="inlineStr">
        <is>
          <t>TARIFA BANCARIA TRANSF PGTO PIX</t>
        </is>
      </c>
      <c r="I1738" t="n">
        <v>-9.800000000000001</v>
      </c>
    </row>
    <row r="1739">
      <c r="A1739" t="n">
        <v>121705</v>
      </c>
      <c r="B1739" t="n">
        <v>115</v>
      </c>
      <c r="C1739" t="inlineStr">
        <is>
          <t>Love - Shibari - Bradesco</t>
        </is>
      </c>
      <c r="D1739" t="n">
        <v>128</v>
      </c>
      <c r="E1739" t="inlineStr">
        <is>
          <t>Love Cabaret</t>
        </is>
      </c>
      <c r="F1739" s="27" t="n">
        <v>45854.5</v>
      </c>
      <c r="G1739" t="inlineStr">
        <is>
          <t>DEBITO</t>
        </is>
      </c>
      <c r="H1739" t="inlineStr">
        <is>
          <t>PGTO SALARIO VIA NET EMP</t>
        </is>
      </c>
      <c r="I1739" t="n">
        <v>-916.8</v>
      </c>
    </row>
    <row r="1740">
      <c r="A1740" t="n">
        <v>121706</v>
      </c>
      <c r="B1740" t="n">
        <v>115</v>
      </c>
      <c r="C1740" t="inlineStr">
        <is>
          <t>Love - Shibari - Bradesco</t>
        </is>
      </c>
      <c r="D1740" t="n">
        <v>128</v>
      </c>
      <c r="E1740" t="inlineStr">
        <is>
          <t>Love Cabaret</t>
        </is>
      </c>
      <c r="F1740" s="27" t="n">
        <v>45854.5</v>
      </c>
      <c r="G1740" t="inlineStr">
        <is>
          <t>DEBITO</t>
        </is>
      </c>
      <c r="H1740" t="inlineStr">
        <is>
          <t>TRANSFERENCIA PIX DES: SHIBARI ART E DIVERSA 16/07</t>
        </is>
      </c>
      <c r="I1740" t="n">
        <v>-16200</v>
      </c>
    </row>
    <row r="1741">
      <c r="A1741" t="n">
        <v>121857</v>
      </c>
      <c r="B1741" t="n">
        <v>182</v>
      </c>
      <c r="C1741" t="inlineStr">
        <is>
          <t>Love - Shibari - Kamino</t>
        </is>
      </c>
      <c r="D1741" t="n">
        <v>128</v>
      </c>
      <c r="E1741" t="inlineStr">
        <is>
          <t>Love Cabaret</t>
        </is>
      </c>
      <c r="F1741" s="27" t="n">
        <v>45854</v>
      </c>
      <c r="G1741" t="inlineStr">
        <is>
          <t>DEBITO</t>
        </is>
      </c>
      <c r="H1741" t="inlineStr">
        <is>
          <t>Porto Seguro Cia de Seguros Gerais</t>
        </is>
      </c>
      <c r="I1741" t="n">
        <v>-102.42</v>
      </c>
    </row>
    <row r="1742">
      <c r="A1742" t="n">
        <v>121856</v>
      </c>
      <c r="B1742" t="n">
        <v>182</v>
      </c>
      <c r="C1742" t="inlineStr">
        <is>
          <t>Love - Shibari - Kamino</t>
        </is>
      </c>
      <c r="D1742" t="n">
        <v>128</v>
      </c>
      <c r="E1742" t="inlineStr">
        <is>
          <t>Love Cabaret</t>
        </is>
      </c>
      <c r="F1742" s="27" t="n">
        <v>45854</v>
      </c>
      <c r="G1742" t="inlineStr">
        <is>
          <t>DEBITO</t>
        </is>
      </c>
      <c r="H1742" t="inlineStr">
        <is>
          <t>Estaff Solucoes Tecnologicas de Agenciam</t>
        </is>
      </c>
      <c r="I1742" t="n">
        <v>-14841.77</v>
      </c>
    </row>
    <row r="1743">
      <c r="A1743" t="n">
        <v>121855</v>
      </c>
      <c r="B1743" t="n">
        <v>182</v>
      </c>
      <c r="C1743" t="inlineStr">
        <is>
          <t>Love - Shibari - Kamino</t>
        </is>
      </c>
      <c r="D1743" t="n">
        <v>128</v>
      </c>
      <c r="E1743" t="inlineStr">
        <is>
          <t>Love Cabaret</t>
        </is>
      </c>
      <c r="F1743" s="27" t="n">
        <v>45854</v>
      </c>
      <c r="G1743" t="inlineStr">
        <is>
          <t>CREDITO</t>
        </is>
      </c>
      <c r="H1743" t="inlineStr">
        <is>
          <t>SHIBARI ART E DIVERSAO LTDA</t>
        </is>
      </c>
      <c r="I1743" t="n">
        <v>16200</v>
      </c>
    </row>
    <row r="1744">
      <c r="A1744" t="n">
        <v>121699</v>
      </c>
      <c r="B1744" t="n">
        <v>115</v>
      </c>
      <c r="C1744" t="inlineStr">
        <is>
          <t>Love - Shibari - Bradesco</t>
        </is>
      </c>
      <c r="D1744" t="n">
        <v>128</v>
      </c>
      <c r="E1744" t="inlineStr">
        <is>
          <t>Love Cabaret</t>
        </is>
      </c>
      <c r="F1744" s="27" t="n">
        <v>45853.5</v>
      </c>
      <c r="G1744" t="inlineStr">
        <is>
          <t>DEBITO</t>
        </is>
      </c>
      <c r="H1744" t="inlineStr">
        <is>
          <t>TARIFA BANCARIA Max Empresarial 1</t>
        </is>
      </c>
      <c r="I1744" t="n">
        <v>-177.05</v>
      </c>
    </row>
    <row r="1745">
      <c r="A1745" t="n">
        <v>121698</v>
      </c>
      <c r="B1745" t="n">
        <v>115</v>
      </c>
      <c r="C1745" t="inlineStr">
        <is>
          <t>Love - Shibari - Bradesco</t>
        </is>
      </c>
      <c r="D1745" t="n">
        <v>128</v>
      </c>
      <c r="E1745" t="inlineStr">
        <is>
          <t>Love Cabaret</t>
        </is>
      </c>
      <c r="F1745" s="27" t="n">
        <v>45852.5</v>
      </c>
      <c r="G1745" t="inlineStr">
        <is>
          <t>DEBITO</t>
        </is>
      </c>
      <c r="H1745" t="inlineStr">
        <is>
          <t>TRANSFERENCIA PIX DES: SHIBARI ART E DIVERSA 14/07</t>
        </is>
      </c>
      <c r="I1745" t="n">
        <v>-51000</v>
      </c>
    </row>
    <row r="1746">
      <c r="A1746" t="n">
        <v>121697</v>
      </c>
      <c r="B1746" t="n">
        <v>115</v>
      </c>
      <c r="C1746" t="inlineStr">
        <is>
          <t>Love - Shibari - Bradesco</t>
        </is>
      </c>
      <c r="D1746" t="n">
        <v>128</v>
      </c>
      <c r="E1746" t="inlineStr">
        <is>
          <t>Love Cabaret</t>
        </is>
      </c>
      <c r="F1746" s="27" t="n">
        <v>45852.5</v>
      </c>
      <c r="G1746" t="inlineStr">
        <is>
          <t>DEBITO</t>
        </is>
      </c>
      <c r="H1746" t="inlineStr">
        <is>
          <t>TARIFA BANCARIA TRANSF PGTO PIX</t>
        </is>
      </c>
      <c r="I1746" t="n">
        <v>-9.800000000000001</v>
      </c>
    </row>
    <row r="1747">
      <c r="A1747" t="n">
        <v>121695</v>
      </c>
      <c r="B1747" t="n">
        <v>115</v>
      </c>
      <c r="C1747" t="inlineStr">
        <is>
          <t>Love - Shibari - Bradesco</t>
        </is>
      </c>
      <c r="D1747" t="n">
        <v>128</v>
      </c>
      <c r="E1747" t="inlineStr">
        <is>
          <t>Love Cabaret</t>
        </is>
      </c>
      <c r="F1747" s="27" t="n">
        <v>45852.5</v>
      </c>
      <c r="G1747" t="inlineStr">
        <is>
          <t>CREDITO</t>
        </is>
      </c>
      <c r="H1747" t="inlineStr">
        <is>
          <t>TRANSFERENCIA PIX REM: SHIBARI ART E DIVERSA 14/07</t>
        </is>
      </c>
      <c r="I1747" t="n">
        <v>49441.92</v>
      </c>
    </row>
    <row r="1748">
      <c r="A1748" t="n">
        <v>121843</v>
      </c>
      <c r="B1748" t="n">
        <v>182</v>
      </c>
      <c r="C1748" t="inlineStr">
        <is>
          <t>Love - Shibari - Kamino</t>
        </is>
      </c>
      <c r="D1748" t="n">
        <v>128</v>
      </c>
      <c r="E1748" t="inlineStr">
        <is>
          <t>Love Cabaret</t>
        </is>
      </c>
      <c r="F1748" s="27" t="n">
        <v>45852</v>
      </c>
      <c r="G1748" t="inlineStr">
        <is>
          <t>DEBITO</t>
        </is>
      </c>
      <c r="H1748" t="inlineStr">
        <is>
          <t>Zahil Importadora Ltda</t>
        </is>
      </c>
      <c r="I1748" t="n">
        <v>-1491.11</v>
      </c>
    </row>
    <row r="1749">
      <c r="A1749" t="n">
        <v>121844</v>
      </c>
      <c r="B1749" t="n">
        <v>182</v>
      </c>
      <c r="C1749" t="inlineStr">
        <is>
          <t>Love - Shibari - Kamino</t>
        </is>
      </c>
      <c r="D1749" t="n">
        <v>128</v>
      </c>
      <c r="E1749" t="inlineStr">
        <is>
          <t>Love Cabaret</t>
        </is>
      </c>
      <c r="F1749" s="27" t="n">
        <v>45852</v>
      </c>
      <c r="G1749" t="inlineStr">
        <is>
          <t>DEBITO</t>
        </is>
      </c>
      <c r="H1749" t="inlineStr">
        <is>
          <t>Porco Feliz com Carnes Ltda Me</t>
        </is>
      </c>
      <c r="I1749" t="n">
        <v>-274.53</v>
      </c>
    </row>
    <row r="1750">
      <c r="A1750" t="n">
        <v>121845</v>
      </c>
      <c r="B1750" t="n">
        <v>182</v>
      </c>
      <c r="C1750" t="inlineStr">
        <is>
          <t>Love - Shibari - Kamino</t>
        </is>
      </c>
      <c r="D1750" t="n">
        <v>128</v>
      </c>
      <c r="E1750" t="inlineStr">
        <is>
          <t>Love Cabaret</t>
        </is>
      </c>
      <c r="F1750" s="27" t="n">
        <v>45852</v>
      </c>
      <c r="G1750" t="inlineStr">
        <is>
          <t>DEBITO</t>
        </is>
      </c>
      <c r="H1750" t="inlineStr">
        <is>
          <t>Aurora Alvorada Estacionamento e Lanchon</t>
        </is>
      </c>
      <c r="I1750" t="n">
        <v>-219.24</v>
      </c>
    </row>
    <row r="1751">
      <c r="A1751" t="n">
        <v>121846</v>
      </c>
      <c r="B1751" t="n">
        <v>182</v>
      </c>
      <c r="C1751" t="inlineStr">
        <is>
          <t>Love - Shibari - Kamino</t>
        </is>
      </c>
      <c r="D1751" t="n">
        <v>128</v>
      </c>
      <c r="E1751" t="inlineStr">
        <is>
          <t>Love Cabaret</t>
        </is>
      </c>
      <c r="F1751" s="27" t="n">
        <v>45852</v>
      </c>
      <c r="G1751" t="inlineStr">
        <is>
          <t>DEBITO</t>
        </is>
      </c>
      <c r="H1751" t="inlineStr">
        <is>
          <t>Psss Ltda</t>
        </is>
      </c>
      <c r="I1751" t="n">
        <v>-523.5</v>
      </c>
    </row>
    <row r="1752">
      <c r="A1752" t="n">
        <v>121847</v>
      </c>
      <c r="B1752" t="n">
        <v>182</v>
      </c>
      <c r="C1752" t="inlineStr">
        <is>
          <t>Love - Shibari - Kamino</t>
        </is>
      </c>
      <c r="D1752" t="n">
        <v>128</v>
      </c>
      <c r="E1752" t="inlineStr">
        <is>
          <t>Love Cabaret</t>
        </is>
      </c>
      <c r="F1752" s="27" t="n">
        <v>45852</v>
      </c>
      <c r="G1752" t="inlineStr">
        <is>
          <t>DEBITO</t>
        </is>
      </c>
      <c r="H1752" t="inlineStr">
        <is>
          <t>Psss Ltda</t>
        </is>
      </c>
      <c r="I1752" t="n">
        <v>-322.4</v>
      </c>
    </row>
    <row r="1753">
      <c r="A1753" t="n">
        <v>121848</v>
      </c>
      <c r="B1753" t="n">
        <v>182</v>
      </c>
      <c r="C1753" t="inlineStr">
        <is>
          <t>Love - Shibari - Kamino</t>
        </is>
      </c>
      <c r="D1753" t="n">
        <v>128</v>
      </c>
      <c r="E1753" t="inlineStr">
        <is>
          <t>Love Cabaret</t>
        </is>
      </c>
      <c r="F1753" s="27" t="n">
        <v>45852</v>
      </c>
      <c r="G1753" t="inlineStr">
        <is>
          <t>DEBITO</t>
        </is>
      </c>
      <c r="H1753" t="inlineStr">
        <is>
          <t>Brh Saude Ocupacional Ltda Epp</t>
        </is>
      </c>
      <c r="I1753" t="n">
        <v>-111.58</v>
      </c>
    </row>
    <row r="1754">
      <c r="A1754" t="n">
        <v>121849</v>
      </c>
      <c r="B1754" t="n">
        <v>182</v>
      </c>
      <c r="C1754" t="inlineStr">
        <is>
          <t>Love - Shibari - Kamino</t>
        </is>
      </c>
      <c r="D1754" t="n">
        <v>128</v>
      </c>
      <c r="E1754" t="inlineStr">
        <is>
          <t>Love Cabaret</t>
        </is>
      </c>
      <c r="F1754" s="27" t="n">
        <v>45852</v>
      </c>
      <c r="G1754" t="inlineStr">
        <is>
          <t>DEBITO</t>
        </is>
      </c>
      <c r="H1754" t="inlineStr">
        <is>
          <t>Hnk Br Bebidas Ltda</t>
        </is>
      </c>
      <c r="I1754" t="n">
        <v>-2372.03</v>
      </c>
    </row>
    <row r="1755">
      <c r="A1755" t="n">
        <v>121827</v>
      </c>
      <c r="B1755" t="n">
        <v>182</v>
      </c>
      <c r="C1755" t="inlineStr">
        <is>
          <t>Love - Shibari - Kamino</t>
        </is>
      </c>
      <c r="D1755" t="n">
        <v>128</v>
      </c>
      <c r="E1755" t="inlineStr">
        <is>
          <t>Love Cabaret</t>
        </is>
      </c>
      <c r="F1755" s="27" t="n">
        <v>45852</v>
      </c>
      <c r="G1755" t="inlineStr">
        <is>
          <t>DEBITO</t>
        </is>
      </c>
      <c r="H1755" t="inlineStr">
        <is>
          <t>Fablab Inovacao S T Ltda</t>
        </is>
      </c>
      <c r="I1755" t="n">
        <v>-389</v>
      </c>
    </row>
    <row r="1756">
      <c r="A1756" t="n">
        <v>121841</v>
      </c>
      <c r="B1756" t="n">
        <v>182</v>
      </c>
      <c r="C1756" t="inlineStr">
        <is>
          <t>Love - Shibari - Kamino</t>
        </is>
      </c>
      <c r="D1756" t="n">
        <v>128</v>
      </c>
      <c r="E1756" t="inlineStr">
        <is>
          <t>Love Cabaret</t>
        </is>
      </c>
      <c r="F1756" s="27" t="n">
        <v>45852</v>
      </c>
      <c r="G1756" t="inlineStr">
        <is>
          <t>DEBITO</t>
        </is>
      </c>
      <c r="H1756" t="inlineStr">
        <is>
          <t>Jose Cassio Prevedel Sistemas</t>
        </is>
      </c>
      <c r="I1756" t="n">
        <v>-400</v>
      </c>
    </row>
    <row r="1757">
      <c r="A1757" t="n">
        <v>121840</v>
      </c>
      <c r="B1757" t="n">
        <v>182</v>
      </c>
      <c r="C1757" t="inlineStr">
        <is>
          <t>Love - Shibari - Kamino</t>
        </is>
      </c>
      <c r="D1757" t="n">
        <v>128</v>
      </c>
      <c r="E1757" t="inlineStr">
        <is>
          <t>Love Cabaret</t>
        </is>
      </c>
      <c r="F1757" s="27" t="n">
        <v>45852</v>
      </c>
      <c r="G1757" t="inlineStr">
        <is>
          <t>DEBITO</t>
        </is>
      </c>
      <c r="H1757" t="inlineStr">
        <is>
          <t>Arena Bebidas</t>
        </is>
      </c>
      <c r="I1757" t="n">
        <v>-2403.82</v>
      </c>
    </row>
    <row r="1758">
      <c r="A1758" t="n">
        <v>121839</v>
      </c>
      <c r="B1758" t="n">
        <v>182</v>
      </c>
      <c r="C1758" t="inlineStr">
        <is>
          <t>Love - Shibari - Kamino</t>
        </is>
      </c>
      <c r="D1758" t="n">
        <v>128</v>
      </c>
      <c r="E1758" t="inlineStr">
        <is>
          <t>Love Cabaret</t>
        </is>
      </c>
      <c r="F1758" s="27" t="n">
        <v>45852</v>
      </c>
      <c r="G1758" t="inlineStr">
        <is>
          <t>DEBITO</t>
        </is>
      </c>
      <c r="H1758" t="inlineStr">
        <is>
          <t>Cem Engenharia da Manutencao L</t>
        </is>
      </c>
      <c r="I1758" t="n">
        <v>-6585.57</v>
      </c>
    </row>
    <row r="1759">
      <c r="A1759" t="n">
        <v>121838</v>
      </c>
      <c r="B1759" t="n">
        <v>182</v>
      </c>
      <c r="C1759" t="inlineStr">
        <is>
          <t>Love - Shibari - Kamino</t>
        </is>
      </c>
      <c r="D1759" t="n">
        <v>128</v>
      </c>
      <c r="E1759" t="inlineStr">
        <is>
          <t>Love Cabaret</t>
        </is>
      </c>
      <c r="F1759" s="27" t="n">
        <v>45852</v>
      </c>
      <c r="G1759" t="inlineStr">
        <is>
          <t>DEBITO</t>
        </is>
      </c>
      <c r="H1759" t="inlineStr">
        <is>
          <t>W P P C Carnes Eireli Epp</t>
        </is>
      </c>
      <c r="I1759" t="n">
        <v>-565.8</v>
      </c>
    </row>
    <row r="1760">
      <c r="A1760" t="n">
        <v>121837</v>
      </c>
      <c r="B1760" t="n">
        <v>182</v>
      </c>
      <c r="C1760" t="inlineStr">
        <is>
          <t>Love - Shibari - Kamino</t>
        </is>
      </c>
      <c r="D1760" t="n">
        <v>128</v>
      </c>
      <c r="E1760" t="inlineStr">
        <is>
          <t>Love Cabaret</t>
        </is>
      </c>
      <c r="F1760" s="27" t="n">
        <v>45852</v>
      </c>
      <c r="G1760" t="inlineStr">
        <is>
          <t>DEBITO</t>
        </is>
      </c>
      <c r="H1760" t="inlineStr">
        <is>
          <t>Proauto Industria Q Eireli</t>
        </is>
      </c>
      <c r="I1760" t="n">
        <v>-1996.74</v>
      </c>
    </row>
    <row r="1761">
      <c r="A1761" t="n">
        <v>121836</v>
      </c>
      <c r="B1761" t="n">
        <v>182</v>
      </c>
      <c r="C1761" t="inlineStr">
        <is>
          <t>Love - Shibari - Kamino</t>
        </is>
      </c>
      <c r="D1761" t="n">
        <v>128</v>
      </c>
      <c r="E1761" t="inlineStr">
        <is>
          <t>Love Cabaret</t>
        </is>
      </c>
      <c r="F1761" s="27" t="n">
        <v>45852</v>
      </c>
      <c r="G1761" t="inlineStr">
        <is>
          <t>DEBITO</t>
        </is>
      </c>
      <c r="H1761" t="inlineStr">
        <is>
          <t>Cepel Comercio de Papeis e Emb</t>
        </is>
      </c>
      <c r="I1761" t="n">
        <v>-849.17</v>
      </c>
    </row>
    <row r="1762">
      <c r="A1762" t="n">
        <v>121835</v>
      </c>
      <c r="B1762" t="n">
        <v>182</v>
      </c>
      <c r="C1762" t="inlineStr">
        <is>
          <t>Love - Shibari - Kamino</t>
        </is>
      </c>
      <c r="D1762" t="n">
        <v>128</v>
      </c>
      <c r="E1762" t="inlineStr">
        <is>
          <t>Love Cabaret</t>
        </is>
      </c>
      <c r="F1762" s="27" t="n">
        <v>45852</v>
      </c>
      <c r="G1762" t="inlineStr">
        <is>
          <t>DEBITO</t>
        </is>
      </c>
      <c r="H1762" t="inlineStr">
        <is>
          <t>Ng27 Consultoria e Gestao Empr</t>
        </is>
      </c>
      <c r="I1762" t="n">
        <v>-574.48</v>
      </c>
    </row>
    <row r="1763">
      <c r="A1763" t="n">
        <v>121834</v>
      </c>
      <c r="B1763" t="n">
        <v>182</v>
      </c>
      <c r="C1763" t="inlineStr">
        <is>
          <t>Love - Shibari - Kamino</t>
        </is>
      </c>
      <c r="D1763" t="n">
        <v>128</v>
      </c>
      <c r="E1763" t="inlineStr">
        <is>
          <t>Love Cabaret</t>
        </is>
      </c>
      <c r="F1763" s="27" t="n">
        <v>45852</v>
      </c>
      <c r="G1763" t="inlineStr">
        <is>
          <t>DEBITO</t>
        </is>
      </c>
      <c r="H1763" t="inlineStr">
        <is>
          <t>Laticinios Fior D Italia Ltda</t>
        </is>
      </c>
      <c r="I1763" t="n">
        <v>-326.75</v>
      </c>
    </row>
    <row r="1764">
      <c r="A1764" t="n">
        <v>121833</v>
      </c>
      <c r="B1764" t="n">
        <v>182</v>
      </c>
      <c r="C1764" t="inlineStr">
        <is>
          <t>Love - Shibari - Kamino</t>
        </is>
      </c>
      <c r="D1764" t="n">
        <v>128</v>
      </c>
      <c r="E1764" t="inlineStr">
        <is>
          <t>Love Cabaret</t>
        </is>
      </c>
      <c r="F1764" s="27" t="n">
        <v>45852</v>
      </c>
      <c r="G1764" t="inlineStr">
        <is>
          <t>DEBITO</t>
        </is>
      </c>
      <c r="H1764" t="inlineStr">
        <is>
          <t>Macro Contabilidade C Ltda</t>
        </is>
      </c>
      <c r="I1764" t="n">
        <v>-3204.47</v>
      </c>
    </row>
    <row r="1765">
      <c r="A1765" t="n">
        <v>121832</v>
      </c>
      <c r="B1765" t="n">
        <v>182</v>
      </c>
      <c r="C1765" t="inlineStr">
        <is>
          <t>Love - Shibari - Kamino</t>
        </is>
      </c>
      <c r="D1765" t="n">
        <v>128</v>
      </c>
      <c r="E1765" t="inlineStr">
        <is>
          <t>Love Cabaret</t>
        </is>
      </c>
      <c r="F1765" s="27" t="n">
        <v>45852</v>
      </c>
      <c r="G1765" t="inlineStr">
        <is>
          <t>DEBITO</t>
        </is>
      </c>
      <c r="H1765" t="inlineStr">
        <is>
          <t>Headchef Assessoria de Seguranca dos Ali</t>
        </is>
      </c>
      <c r="I1765" t="n">
        <v>-891.0599999999999</v>
      </c>
    </row>
    <row r="1766">
      <c r="A1766" t="n">
        <v>121831</v>
      </c>
      <c r="B1766" t="n">
        <v>182</v>
      </c>
      <c r="C1766" t="inlineStr">
        <is>
          <t>Love - Shibari - Kamino</t>
        </is>
      </c>
      <c r="D1766" t="n">
        <v>128</v>
      </c>
      <c r="E1766" t="inlineStr">
        <is>
          <t>Love Cabaret</t>
        </is>
      </c>
      <c r="F1766" s="27" t="n">
        <v>45852</v>
      </c>
      <c r="G1766" t="inlineStr">
        <is>
          <t>DEBITO</t>
        </is>
      </c>
      <c r="H1766" t="inlineStr">
        <is>
          <t>51.083.821 Akira Nawa Carvalho Lima</t>
        </is>
      </c>
      <c r="I1766" t="n">
        <v>-2992.8</v>
      </c>
    </row>
    <row r="1767">
      <c r="A1767" t="n">
        <v>121830</v>
      </c>
      <c r="B1767" t="n">
        <v>182</v>
      </c>
      <c r="C1767" t="inlineStr">
        <is>
          <t>Love - Shibari - Kamino</t>
        </is>
      </c>
      <c r="D1767" t="n">
        <v>128</v>
      </c>
      <c r="E1767" t="inlineStr">
        <is>
          <t>Love Cabaret</t>
        </is>
      </c>
      <c r="F1767" s="27" t="n">
        <v>45852</v>
      </c>
      <c r="G1767" t="inlineStr">
        <is>
          <t>DEBITO</t>
        </is>
      </c>
      <c r="H1767" t="inlineStr">
        <is>
          <t>Cem Engenharia da Manutencao L</t>
        </is>
      </c>
      <c r="I1767" t="n">
        <v>-656.78</v>
      </c>
    </row>
    <row r="1768">
      <c r="A1768" t="n">
        <v>121829</v>
      </c>
      <c r="B1768" t="n">
        <v>182</v>
      </c>
      <c r="C1768" t="inlineStr">
        <is>
          <t>Love - Shibari - Kamino</t>
        </is>
      </c>
      <c r="D1768" t="n">
        <v>128</v>
      </c>
      <c r="E1768" t="inlineStr">
        <is>
          <t>Love Cabaret</t>
        </is>
      </c>
      <c r="F1768" s="27" t="n">
        <v>45852</v>
      </c>
      <c r="G1768" t="inlineStr">
        <is>
          <t>DEBITO</t>
        </is>
      </c>
      <c r="H1768" t="inlineStr">
        <is>
          <t>Forte Alimentos Comercio e Importacao Lt</t>
        </is>
      </c>
      <c r="I1768" t="n">
        <v>-512.92</v>
      </c>
    </row>
    <row r="1769">
      <c r="A1769" t="n">
        <v>121828</v>
      </c>
      <c r="B1769" t="n">
        <v>182</v>
      </c>
      <c r="C1769" t="inlineStr">
        <is>
          <t>Love - Shibari - Kamino</t>
        </is>
      </c>
      <c r="D1769" t="n">
        <v>128</v>
      </c>
      <c r="E1769" t="inlineStr">
        <is>
          <t>Love Cabaret</t>
        </is>
      </c>
      <c r="F1769" s="27" t="n">
        <v>45852</v>
      </c>
      <c r="G1769" t="inlineStr">
        <is>
          <t>DEBITO</t>
        </is>
      </c>
      <c r="H1769" t="inlineStr">
        <is>
          <t>Andreia Santos Freitas Duarte</t>
        </is>
      </c>
      <c r="I1769" t="n">
        <v>-421</v>
      </c>
    </row>
    <row r="1770">
      <c r="A1770" t="n">
        <v>121842</v>
      </c>
      <c r="B1770" t="n">
        <v>182</v>
      </c>
      <c r="C1770" t="inlineStr">
        <is>
          <t>Love - Shibari - Kamino</t>
        </is>
      </c>
      <c r="D1770" t="n">
        <v>128</v>
      </c>
      <c r="E1770" t="inlineStr">
        <is>
          <t>Love Cabaret</t>
        </is>
      </c>
      <c r="F1770" s="27" t="n">
        <v>45852</v>
      </c>
      <c r="G1770" t="inlineStr">
        <is>
          <t>DEBITO</t>
        </is>
      </c>
      <c r="H1770" t="inlineStr">
        <is>
          <t>Cia do Whisky</t>
        </is>
      </c>
      <c r="I1770" t="n">
        <v>-1099.18</v>
      </c>
    </row>
    <row r="1771">
      <c r="A1771" t="n">
        <v>121826</v>
      </c>
      <c r="B1771" t="n">
        <v>182</v>
      </c>
      <c r="C1771" t="inlineStr">
        <is>
          <t>Love - Shibari - Kamino</t>
        </is>
      </c>
      <c r="D1771" t="n">
        <v>128</v>
      </c>
      <c r="E1771" t="inlineStr">
        <is>
          <t>Love Cabaret</t>
        </is>
      </c>
      <c r="F1771" s="27" t="n">
        <v>45852</v>
      </c>
      <c r="G1771" t="inlineStr">
        <is>
          <t>DEBITO</t>
        </is>
      </c>
      <c r="H1771" t="inlineStr">
        <is>
          <t>Receita Federal</t>
        </is>
      </c>
      <c r="I1771" t="n">
        <v>-696.24</v>
      </c>
    </row>
    <row r="1772">
      <c r="A1772" t="n">
        <v>121825</v>
      </c>
      <c r="B1772" t="n">
        <v>182</v>
      </c>
      <c r="C1772" t="inlineStr">
        <is>
          <t>Love - Shibari - Kamino</t>
        </is>
      </c>
      <c r="D1772" t="n">
        <v>128</v>
      </c>
      <c r="E1772" t="inlineStr">
        <is>
          <t>Love Cabaret</t>
        </is>
      </c>
      <c r="F1772" s="27" t="n">
        <v>45852</v>
      </c>
      <c r="G1772" t="inlineStr">
        <is>
          <t>DEBITO</t>
        </is>
      </c>
      <c r="H1772" t="inlineStr">
        <is>
          <t>Receita Federal</t>
        </is>
      </c>
      <c r="I1772" t="n">
        <v>-1981.52</v>
      </c>
    </row>
    <row r="1773">
      <c r="A1773" t="n">
        <v>121824</v>
      </c>
      <c r="B1773" t="n">
        <v>182</v>
      </c>
      <c r="C1773" t="inlineStr">
        <is>
          <t>Love - Shibari - Kamino</t>
        </is>
      </c>
      <c r="D1773" t="n">
        <v>128</v>
      </c>
      <c r="E1773" t="inlineStr">
        <is>
          <t>Love Cabaret</t>
        </is>
      </c>
      <c r="F1773" s="27" t="n">
        <v>45852</v>
      </c>
      <c r="G1773" t="inlineStr">
        <is>
          <t>DEBITO</t>
        </is>
      </c>
      <c r="H1773" t="inlineStr">
        <is>
          <t>Cecilia Tsuyaco Araki Silva Ltda</t>
        </is>
      </c>
      <c r="I1773" t="n">
        <v>-293.4</v>
      </c>
    </row>
    <row r="1774">
      <c r="A1774" t="n">
        <v>121823</v>
      </c>
      <c r="B1774" t="n">
        <v>182</v>
      </c>
      <c r="C1774" t="inlineStr">
        <is>
          <t>Love - Shibari - Kamino</t>
        </is>
      </c>
      <c r="D1774" t="n">
        <v>128</v>
      </c>
      <c r="E1774" t="inlineStr">
        <is>
          <t>Love Cabaret</t>
        </is>
      </c>
      <c r="F1774" s="27" t="n">
        <v>45852</v>
      </c>
      <c r="G1774" t="inlineStr">
        <is>
          <t>DEBITO</t>
        </is>
      </c>
      <c r="H1774" t="inlineStr">
        <is>
          <t>Cia do Whisky</t>
        </is>
      </c>
      <c r="I1774" t="n">
        <v>-845.8</v>
      </c>
    </row>
    <row r="1775">
      <c r="A1775" t="n">
        <v>121822</v>
      </c>
      <c r="B1775" t="n">
        <v>182</v>
      </c>
      <c r="C1775" t="inlineStr">
        <is>
          <t>Love - Shibari - Kamino</t>
        </is>
      </c>
      <c r="D1775" t="n">
        <v>128</v>
      </c>
      <c r="E1775" t="inlineStr">
        <is>
          <t>Love Cabaret</t>
        </is>
      </c>
      <c r="F1775" s="27" t="n">
        <v>45852</v>
      </c>
      <c r="G1775" t="inlineStr">
        <is>
          <t>DEBITO</t>
        </is>
      </c>
      <c r="H1775" t="inlineStr">
        <is>
          <t>Duo Comunica Ltda</t>
        </is>
      </c>
      <c r="I1775" t="n">
        <v>-2000</v>
      </c>
    </row>
    <row r="1776">
      <c r="A1776" t="n">
        <v>121821</v>
      </c>
      <c r="B1776" t="n">
        <v>182</v>
      </c>
      <c r="C1776" t="inlineStr">
        <is>
          <t>Love - Shibari - Kamino</t>
        </is>
      </c>
      <c r="D1776" t="n">
        <v>128</v>
      </c>
      <c r="E1776" t="inlineStr">
        <is>
          <t>Love Cabaret</t>
        </is>
      </c>
      <c r="F1776" s="27" t="n">
        <v>45852</v>
      </c>
      <c r="G1776" t="inlineStr">
        <is>
          <t>DEBITO</t>
        </is>
      </c>
      <c r="H1776" t="inlineStr">
        <is>
          <t>Receita Federal</t>
        </is>
      </c>
      <c r="I1776" t="n">
        <v>-313.48</v>
      </c>
    </row>
    <row r="1777">
      <c r="A1777" t="n">
        <v>121820</v>
      </c>
      <c r="B1777" t="n">
        <v>182</v>
      </c>
      <c r="C1777" t="inlineStr">
        <is>
          <t>Love - Shibari - Kamino</t>
        </is>
      </c>
      <c r="D1777" t="n">
        <v>128</v>
      </c>
      <c r="E1777" t="inlineStr">
        <is>
          <t>Love Cabaret</t>
        </is>
      </c>
      <c r="F1777" s="27" t="n">
        <v>45852</v>
      </c>
      <c r="G1777" t="inlineStr">
        <is>
          <t>DEBITO</t>
        </is>
      </c>
      <c r="H1777" t="inlineStr">
        <is>
          <t>CAIXA ECONOMICA FEDERAL</t>
        </is>
      </c>
      <c r="I1777" t="n">
        <v>-550.42</v>
      </c>
    </row>
    <row r="1778">
      <c r="A1778" t="n">
        <v>121819</v>
      </c>
      <c r="B1778" t="n">
        <v>182</v>
      </c>
      <c r="C1778" t="inlineStr">
        <is>
          <t>Love - Shibari - Kamino</t>
        </is>
      </c>
      <c r="D1778" t="n">
        <v>128</v>
      </c>
      <c r="E1778" t="inlineStr">
        <is>
          <t>Love Cabaret</t>
        </is>
      </c>
      <c r="F1778" s="27" t="n">
        <v>45852</v>
      </c>
      <c r="G1778" t="inlineStr">
        <is>
          <t>DEBITO</t>
        </is>
      </c>
      <c r="H1778" t="inlineStr">
        <is>
          <t>Eletro Terrivel Ltda</t>
        </is>
      </c>
      <c r="I1778" t="n">
        <v>-1645</v>
      </c>
    </row>
    <row r="1779">
      <c r="A1779" t="n">
        <v>121818</v>
      </c>
      <c r="B1779" t="n">
        <v>182</v>
      </c>
      <c r="C1779" t="inlineStr">
        <is>
          <t>Love - Shibari - Kamino</t>
        </is>
      </c>
      <c r="D1779" t="n">
        <v>128</v>
      </c>
      <c r="E1779" t="inlineStr">
        <is>
          <t>Love Cabaret</t>
        </is>
      </c>
      <c r="F1779" s="27" t="n">
        <v>45852</v>
      </c>
      <c r="G1779" t="inlineStr">
        <is>
          <t>DEBITO</t>
        </is>
      </c>
      <c r="H1779" t="inlineStr">
        <is>
          <t>Machine Seguranca Patrimonial Ltda</t>
        </is>
      </c>
      <c r="I1779" t="n">
        <v>-4636.95</v>
      </c>
    </row>
    <row r="1780">
      <c r="A1780" t="n">
        <v>121817</v>
      </c>
      <c r="B1780" t="n">
        <v>182</v>
      </c>
      <c r="C1780" t="inlineStr">
        <is>
          <t>Love - Shibari - Kamino</t>
        </is>
      </c>
      <c r="D1780" t="n">
        <v>128</v>
      </c>
      <c r="E1780" t="inlineStr">
        <is>
          <t>Love Cabaret</t>
        </is>
      </c>
      <c r="F1780" s="27" t="n">
        <v>45852</v>
      </c>
      <c r="G1780" t="inlineStr">
        <is>
          <t>DEBITO</t>
        </is>
      </c>
      <c r="H1780" t="inlineStr">
        <is>
          <t>Cecilia Tsuyaco Araki Silva Ltda</t>
        </is>
      </c>
      <c r="I1780" t="n">
        <v>-185.7</v>
      </c>
    </row>
    <row r="1781">
      <c r="A1781" t="n">
        <v>121816</v>
      </c>
      <c r="B1781" t="n">
        <v>182</v>
      </c>
      <c r="C1781" t="inlineStr">
        <is>
          <t>Love - Shibari - Kamino</t>
        </is>
      </c>
      <c r="D1781" t="n">
        <v>128</v>
      </c>
      <c r="E1781" t="inlineStr">
        <is>
          <t>Love Cabaret</t>
        </is>
      </c>
      <c r="F1781" s="27" t="n">
        <v>45852</v>
      </c>
      <c r="G1781" t="inlineStr">
        <is>
          <t>DEBITO</t>
        </is>
      </c>
      <c r="H1781" t="inlineStr">
        <is>
          <t>Andreia Santos Freitas Duarte</t>
        </is>
      </c>
      <c r="I1781" t="n">
        <v>-222.5</v>
      </c>
    </row>
    <row r="1782">
      <c r="A1782" t="n">
        <v>121815</v>
      </c>
      <c r="B1782" t="n">
        <v>182</v>
      </c>
      <c r="C1782" t="inlineStr">
        <is>
          <t>Love - Shibari - Kamino</t>
        </is>
      </c>
      <c r="D1782" t="n">
        <v>128</v>
      </c>
      <c r="E1782" t="inlineStr">
        <is>
          <t>Love Cabaret</t>
        </is>
      </c>
      <c r="F1782" s="27" t="n">
        <v>45852</v>
      </c>
      <c r="G1782" t="inlineStr">
        <is>
          <t>DEBITO</t>
        </is>
      </c>
      <c r="H1782" t="inlineStr">
        <is>
          <t>Andreia Santos Freitas Duarte</t>
        </is>
      </c>
      <c r="I1782" t="n">
        <v>-742</v>
      </c>
    </row>
    <row r="1783">
      <c r="A1783" t="n">
        <v>121814</v>
      </c>
      <c r="B1783" t="n">
        <v>182</v>
      </c>
      <c r="C1783" t="inlineStr">
        <is>
          <t>Love - Shibari - Kamino</t>
        </is>
      </c>
      <c r="D1783" t="n">
        <v>128</v>
      </c>
      <c r="E1783" t="inlineStr">
        <is>
          <t>Love Cabaret</t>
        </is>
      </c>
      <c r="F1783" s="27" t="n">
        <v>45852</v>
      </c>
      <c r="G1783" t="inlineStr">
        <is>
          <t>CREDITO</t>
        </is>
      </c>
      <c r="H1783" t="inlineStr">
        <is>
          <t>SHIBARI ART E DIVERSAO LTDA</t>
        </is>
      </c>
      <c r="I1783" t="n">
        <v>51000</v>
      </c>
    </row>
    <row r="1784">
      <c r="A1784" t="n">
        <v>121851</v>
      </c>
      <c r="B1784" t="n">
        <v>182</v>
      </c>
      <c r="C1784" t="inlineStr">
        <is>
          <t>Love - Shibari - Kamino</t>
        </is>
      </c>
      <c r="D1784" t="n">
        <v>128</v>
      </c>
      <c r="E1784" t="inlineStr">
        <is>
          <t>Love Cabaret</t>
        </is>
      </c>
      <c r="F1784" s="27" t="n">
        <v>45852</v>
      </c>
      <c r="G1784" t="inlineStr">
        <is>
          <t>DEBITO</t>
        </is>
      </c>
      <c r="H1784" t="inlineStr">
        <is>
          <t>Stark Bank S.A.</t>
        </is>
      </c>
      <c r="I1784" t="n">
        <v>-49.75</v>
      </c>
    </row>
    <row r="1785">
      <c r="A1785" t="n">
        <v>121852</v>
      </c>
      <c r="B1785" t="n">
        <v>182</v>
      </c>
      <c r="C1785" t="inlineStr">
        <is>
          <t>Love - Shibari - Kamino</t>
        </is>
      </c>
      <c r="D1785" t="n">
        <v>128</v>
      </c>
      <c r="E1785" t="inlineStr">
        <is>
          <t>Love Cabaret</t>
        </is>
      </c>
      <c r="F1785" s="27" t="n">
        <v>45852</v>
      </c>
      <c r="G1785" t="inlineStr">
        <is>
          <t>DEBITO</t>
        </is>
      </c>
      <c r="H1785" t="inlineStr">
        <is>
          <t>Ice4pros Fabrica de Gelo Ltda</t>
        </is>
      </c>
      <c r="I1785" t="n">
        <v>-563.5</v>
      </c>
    </row>
    <row r="1786">
      <c r="A1786" t="n">
        <v>121853</v>
      </c>
      <c r="B1786" t="n">
        <v>182</v>
      </c>
      <c r="C1786" t="inlineStr">
        <is>
          <t>Love - Shibari - Kamino</t>
        </is>
      </c>
      <c r="D1786" t="n">
        <v>128</v>
      </c>
      <c r="E1786" t="inlineStr">
        <is>
          <t>Love Cabaret</t>
        </is>
      </c>
      <c r="F1786" s="27" t="n">
        <v>45852</v>
      </c>
      <c r="G1786" t="inlineStr">
        <is>
          <t>DEBITO</t>
        </is>
      </c>
      <c r="H1786" t="inlineStr">
        <is>
          <t>Cia do Whisky</t>
        </is>
      </c>
      <c r="I1786" t="n">
        <v>-3536.4</v>
      </c>
    </row>
    <row r="1787">
      <c r="A1787" t="n">
        <v>121854</v>
      </c>
      <c r="B1787" t="n">
        <v>182</v>
      </c>
      <c r="C1787" t="inlineStr">
        <is>
          <t>Love - Shibari - Kamino</t>
        </is>
      </c>
      <c r="D1787" t="n">
        <v>128</v>
      </c>
      <c r="E1787" t="inlineStr">
        <is>
          <t>Love Cabaret</t>
        </is>
      </c>
      <c r="F1787" s="27" t="n">
        <v>45852</v>
      </c>
      <c r="G1787" t="inlineStr">
        <is>
          <t>DEBITO</t>
        </is>
      </c>
      <c r="H1787" t="inlineStr">
        <is>
          <t>Dtk Comercio de Alimentos Ltda Epp</t>
        </is>
      </c>
      <c r="I1787" t="n">
        <v>-1068.69</v>
      </c>
    </row>
    <row r="1788">
      <c r="A1788" t="n">
        <v>121850</v>
      </c>
      <c r="B1788" t="n">
        <v>182</v>
      </c>
      <c r="C1788" t="inlineStr">
        <is>
          <t>Love - Shibari - Kamino</t>
        </is>
      </c>
      <c r="D1788" t="n">
        <v>128</v>
      </c>
      <c r="E1788" t="inlineStr">
        <is>
          <t>Love Cabaret</t>
        </is>
      </c>
      <c r="F1788" s="27" t="n">
        <v>45852</v>
      </c>
      <c r="G1788" t="inlineStr">
        <is>
          <t>DEBITO</t>
        </is>
      </c>
      <c r="H1788" t="inlineStr">
        <is>
          <t>Fg7 Comercio D B Eireli Epp</t>
        </is>
      </c>
      <c r="I1788" t="n">
        <v>-2195.88</v>
      </c>
    </row>
    <row r="1789">
      <c r="A1789" t="n">
        <v>121689</v>
      </c>
      <c r="B1789" t="n">
        <v>115</v>
      </c>
      <c r="C1789" t="inlineStr">
        <is>
          <t>Love - Shibari - Bradesco</t>
        </is>
      </c>
      <c r="D1789" t="n">
        <v>128</v>
      </c>
      <c r="E1789" t="inlineStr">
        <is>
          <t>Love Cabaret</t>
        </is>
      </c>
      <c r="F1789" s="27" t="n">
        <v>45848.5</v>
      </c>
      <c r="G1789" t="inlineStr">
        <is>
          <t>CREDITO</t>
        </is>
      </c>
      <c r="H1789" t="inlineStr">
        <is>
          <t>TRANSFERENCIA PIX REM: BOUTIQUE FILMES E PRO 10/07</t>
        </is>
      </c>
      <c r="I1789" t="n">
        <v>8000</v>
      </c>
    </row>
    <row r="1790">
      <c r="A1790" t="n">
        <v>121688</v>
      </c>
      <c r="B1790" t="n">
        <v>115</v>
      </c>
      <c r="C1790" t="inlineStr">
        <is>
          <t>Love - Shibari - Bradesco</t>
        </is>
      </c>
      <c r="D1790" t="n">
        <v>128</v>
      </c>
      <c r="E1790" t="inlineStr">
        <is>
          <t>Love Cabaret</t>
        </is>
      </c>
      <c r="F1790" s="27" t="n">
        <v>45848.5</v>
      </c>
      <c r="G1790" t="inlineStr">
        <is>
          <t>CREDITO</t>
        </is>
      </c>
      <c r="H1790" t="inlineStr">
        <is>
          <t>DEP DINHEIRO ATM AG00117MAQ061059SEQ09368</t>
        </is>
      </c>
      <c r="I1790" t="n">
        <v>1367</v>
      </c>
    </row>
    <row r="1791">
      <c r="A1791" t="n">
        <v>121687</v>
      </c>
      <c r="B1791" t="n">
        <v>115</v>
      </c>
      <c r="C1791" t="inlineStr">
        <is>
          <t>Love - Shibari - Bradesco</t>
        </is>
      </c>
      <c r="D1791" t="n">
        <v>128</v>
      </c>
      <c r="E1791" t="inlineStr">
        <is>
          <t>Love Cabaret</t>
        </is>
      </c>
      <c r="F1791" s="27" t="n">
        <v>45848.5</v>
      </c>
      <c r="G1791" t="inlineStr">
        <is>
          <t>CREDITO</t>
        </is>
      </c>
      <c r="H1791" t="inlineStr">
        <is>
          <t>TED-TRANSF ELET DISPON REMET.LOVE SUITES LTDA</t>
        </is>
      </c>
      <c r="I1791" t="n">
        <v>1292.39</v>
      </c>
    </row>
    <row r="1792">
      <c r="A1792" t="n">
        <v>121686</v>
      </c>
      <c r="B1792" t="n">
        <v>115</v>
      </c>
      <c r="C1792" t="inlineStr">
        <is>
          <t>Love - Shibari - Bradesco</t>
        </is>
      </c>
      <c r="D1792" t="n">
        <v>128</v>
      </c>
      <c r="E1792" t="inlineStr">
        <is>
          <t>Love Cabaret</t>
        </is>
      </c>
      <c r="F1792" s="27" t="n">
        <v>45848.5</v>
      </c>
      <c r="G1792" t="inlineStr">
        <is>
          <t>CREDITO</t>
        </is>
      </c>
      <c r="H1792" t="inlineStr">
        <is>
          <t>TED-TRANSF ELET DISPON REMET.LOVE SUITES LTDA</t>
        </is>
      </c>
      <c r="I1792" t="n">
        <v>31634.64</v>
      </c>
    </row>
    <row r="1793">
      <c r="A1793" t="n">
        <v>121685</v>
      </c>
      <c r="B1793" t="n">
        <v>115</v>
      </c>
      <c r="C1793" t="inlineStr">
        <is>
          <t>Love - Shibari - Bradesco</t>
        </is>
      </c>
      <c r="D1793" t="n">
        <v>128</v>
      </c>
      <c r="E1793" t="inlineStr">
        <is>
          <t>Love Cabaret</t>
        </is>
      </c>
      <c r="F1793" s="27" t="n">
        <v>45848.5</v>
      </c>
      <c r="G1793" t="inlineStr">
        <is>
          <t>CREDITO</t>
        </is>
      </c>
      <c r="H1793" t="inlineStr">
        <is>
          <t>TED-TRANSF ELET DISPON REMET.LOVE SUITES LTDA</t>
        </is>
      </c>
      <c r="I1793" t="n">
        <v>2953.14</v>
      </c>
    </row>
    <row r="1794">
      <c r="A1794" t="n">
        <v>121684</v>
      </c>
      <c r="B1794" t="n">
        <v>115</v>
      </c>
      <c r="C1794" t="inlineStr">
        <is>
          <t>Love - Shibari - Bradesco</t>
        </is>
      </c>
      <c r="D1794" t="n">
        <v>128</v>
      </c>
      <c r="E1794" t="inlineStr">
        <is>
          <t>Love Cabaret</t>
        </is>
      </c>
      <c r="F1794" s="27" t="n">
        <v>45848.5</v>
      </c>
      <c r="G1794" t="inlineStr">
        <is>
          <t>CREDITO</t>
        </is>
      </c>
      <c r="H1794" t="inlineStr">
        <is>
          <t>TED-TRANSF ELET DISPON REMET.SYMPLA INTERNET SOLU</t>
        </is>
      </c>
      <c r="I1794" t="n">
        <v>2622</v>
      </c>
    </row>
    <row r="1795">
      <c r="A1795" t="n">
        <v>121683</v>
      </c>
      <c r="B1795" t="n">
        <v>115</v>
      </c>
      <c r="C1795" t="inlineStr">
        <is>
          <t>Love - Shibari - Bradesco</t>
        </is>
      </c>
      <c r="D1795" t="n">
        <v>128</v>
      </c>
      <c r="E1795" t="inlineStr">
        <is>
          <t>Love Cabaret</t>
        </is>
      </c>
      <c r="F1795" s="27" t="n">
        <v>45848.5</v>
      </c>
      <c r="G1795" t="inlineStr">
        <is>
          <t>CREDITO</t>
        </is>
      </c>
      <c r="H1795" t="inlineStr">
        <is>
          <t>TED-TRANSF ELET DISPON REMET.SYMPLA INTERNET SOLU</t>
        </is>
      </c>
      <c r="I1795" t="n">
        <v>9207.799999999999</v>
      </c>
    </row>
    <row r="1796">
      <c r="A1796" t="n">
        <v>121682</v>
      </c>
      <c r="B1796" t="n">
        <v>115</v>
      </c>
      <c r="C1796" t="inlineStr">
        <is>
          <t>Love - Shibari - Bradesco</t>
        </is>
      </c>
      <c r="D1796" t="n">
        <v>128</v>
      </c>
      <c r="E1796" t="inlineStr">
        <is>
          <t>Love Cabaret</t>
        </is>
      </c>
      <c r="F1796" s="27" t="n">
        <v>45848.5</v>
      </c>
      <c r="G1796" t="inlineStr">
        <is>
          <t>CREDITO</t>
        </is>
      </c>
      <c r="H1796" t="inlineStr">
        <is>
          <t>TED-TRANSF ELET DISPON REMET.SYMPLA INTERNET SOLU</t>
        </is>
      </c>
      <c r="I1796" t="n">
        <v>10225</v>
      </c>
    </row>
    <row r="1797">
      <c r="A1797" t="n">
        <v>121690</v>
      </c>
      <c r="B1797" t="n">
        <v>115</v>
      </c>
      <c r="C1797" t="inlineStr">
        <is>
          <t>Love - Shibari - Bradesco</t>
        </is>
      </c>
      <c r="D1797" t="n">
        <v>128</v>
      </c>
      <c r="E1797" t="inlineStr">
        <is>
          <t>Love Cabaret</t>
        </is>
      </c>
      <c r="F1797" s="27" t="n">
        <v>45848.5</v>
      </c>
      <c r="G1797" t="inlineStr">
        <is>
          <t>DEBITO</t>
        </is>
      </c>
      <c r="H1797" t="inlineStr">
        <is>
          <t>TARIFA BANCARIA TRANSF PGTO PIX</t>
        </is>
      </c>
      <c r="I1797" t="n">
        <v>-9.800000000000001</v>
      </c>
    </row>
    <row r="1798">
      <c r="A1798" t="n">
        <v>121691</v>
      </c>
      <c r="B1798" t="n">
        <v>115</v>
      </c>
      <c r="C1798" t="inlineStr">
        <is>
          <t>Love - Shibari - Bradesco</t>
        </is>
      </c>
      <c r="D1798" t="n">
        <v>128</v>
      </c>
      <c r="E1798" t="inlineStr">
        <is>
          <t>Love Cabaret</t>
        </is>
      </c>
      <c r="F1798" s="27" t="n">
        <v>45848.5</v>
      </c>
      <c r="G1798" t="inlineStr">
        <is>
          <t>DEBITO</t>
        </is>
      </c>
      <c r="H1798" t="inlineStr">
        <is>
          <t>TARIFA BANCARIA TRANSF PGTO PIX</t>
        </is>
      </c>
      <c r="I1798" t="n">
        <v>-9.800000000000001</v>
      </c>
    </row>
    <row r="1799">
      <c r="A1799" t="n">
        <v>121694</v>
      </c>
      <c r="B1799" t="n">
        <v>115</v>
      </c>
      <c r="C1799" t="inlineStr">
        <is>
          <t>Love - Shibari - Bradesco</t>
        </is>
      </c>
      <c r="D1799" t="n">
        <v>128</v>
      </c>
      <c r="E1799" t="inlineStr">
        <is>
          <t>Love Cabaret</t>
        </is>
      </c>
      <c r="F1799" s="27" t="n">
        <v>45848.5</v>
      </c>
      <c r="G1799" t="inlineStr">
        <is>
          <t>DEBITO</t>
        </is>
      </c>
      <c r="H1799" t="inlineStr">
        <is>
          <t>TRANSFERENCIA PIX DES: SHIBARI ART E DIVERSA 10/07</t>
        </is>
      </c>
      <c r="I1799" t="n">
        <v>-15800</v>
      </c>
    </row>
    <row r="1800">
      <c r="A1800" t="n">
        <v>121693</v>
      </c>
      <c r="B1800" t="n">
        <v>115</v>
      </c>
      <c r="C1800" t="inlineStr">
        <is>
          <t>Love - Shibari - Bradesco</t>
        </is>
      </c>
      <c r="D1800" t="n">
        <v>128</v>
      </c>
      <c r="E1800" t="inlineStr">
        <is>
          <t>Love Cabaret</t>
        </is>
      </c>
      <c r="F1800" s="27" t="n">
        <v>45848.5</v>
      </c>
      <c r="G1800" t="inlineStr">
        <is>
          <t>DEBITO</t>
        </is>
      </c>
      <c r="H1800" t="inlineStr">
        <is>
          <t>PAGTO ELETRONICO TRIBUTO INTERNET --PMSP SP</t>
        </is>
      </c>
      <c r="I1800" t="n">
        <v>-188.89</v>
      </c>
    </row>
    <row r="1801">
      <c r="A1801" t="n">
        <v>121692</v>
      </c>
      <c r="B1801" t="n">
        <v>115</v>
      </c>
      <c r="C1801" t="inlineStr">
        <is>
          <t>Love - Shibari - Bradesco</t>
        </is>
      </c>
      <c r="D1801" t="n">
        <v>128</v>
      </c>
      <c r="E1801" t="inlineStr">
        <is>
          <t>Love Cabaret</t>
        </is>
      </c>
      <c r="F1801" s="27" t="n">
        <v>45848.5</v>
      </c>
      <c r="G1801" t="inlineStr">
        <is>
          <t>DEBITO</t>
        </is>
      </c>
      <c r="H1801" t="inlineStr">
        <is>
          <t>TARIFA BANCARIA TRANSF PGTO PIX</t>
        </is>
      </c>
      <c r="I1801" t="n">
        <v>-9.800000000000001</v>
      </c>
    </row>
    <row r="1802">
      <c r="A1802" t="n">
        <v>121810</v>
      </c>
      <c r="B1802" t="n">
        <v>182</v>
      </c>
      <c r="C1802" t="inlineStr">
        <is>
          <t>Love - Shibari - Kamino</t>
        </is>
      </c>
      <c r="D1802" t="n">
        <v>128</v>
      </c>
      <c r="E1802" t="inlineStr">
        <is>
          <t>Love Cabaret</t>
        </is>
      </c>
      <c r="F1802" s="27" t="n">
        <v>45848</v>
      </c>
      <c r="G1802" t="inlineStr">
        <is>
          <t>CREDITO</t>
        </is>
      </c>
      <c r="H1802" t="inlineStr">
        <is>
          <t>SHIBARI ART E DIVERSAO LTDA</t>
        </is>
      </c>
      <c r="I1802" t="n">
        <v>15800</v>
      </c>
    </row>
    <row r="1803">
      <c r="A1803" t="n">
        <v>121811</v>
      </c>
      <c r="B1803" t="n">
        <v>182</v>
      </c>
      <c r="C1803" t="inlineStr">
        <is>
          <t>Love - Shibari - Kamino</t>
        </is>
      </c>
      <c r="D1803" t="n">
        <v>128</v>
      </c>
      <c r="E1803" t="inlineStr">
        <is>
          <t>Love Cabaret</t>
        </is>
      </c>
      <c r="F1803" s="27" t="n">
        <v>45848</v>
      </c>
      <c r="G1803" t="inlineStr">
        <is>
          <t>DEBITO</t>
        </is>
      </c>
      <c r="H1803" t="inlineStr">
        <is>
          <t>Facundo Guerra Rivero</t>
        </is>
      </c>
      <c r="I1803" t="n">
        <v>-1560</v>
      </c>
    </row>
    <row r="1804">
      <c r="A1804" t="n">
        <v>121812</v>
      </c>
      <c r="B1804" t="n">
        <v>182</v>
      </c>
      <c r="C1804" t="inlineStr">
        <is>
          <t>Love - Shibari - Kamino</t>
        </is>
      </c>
      <c r="D1804" t="n">
        <v>128</v>
      </c>
      <c r="E1804" t="inlineStr">
        <is>
          <t>Love Cabaret</t>
        </is>
      </c>
      <c r="F1804" s="27" t="n">
        <v>45848</v>
      </c>
      <c r="G1804" t="inlineStr">
        <is>
          <t>DEBITO</t>
        </is>
      </c>
      <c r="H1804" t="inlineStr">
        <is>
          <t>Dudom</t>
        </is>
      </c>
      <c r="I1804" t="n">
        <v>-140.05</v>
      </c>
    </row>
    <row r="1805">
      <c r="A1805" t="n">
        <v>121813</v>
      </c>
      <c r="B1805" t="n">
        <v>182</v>
      </c>
      <c r="C1805" t="inlineStr">
        <is>
          <t>Love - Shibari - Kamino</t>
        </is>
      </c>
      <c r="D1805" t="n">
        <v>128</v>
      </c>
      <c r="E1805" t="inlineStr">
        <is>
          <t>Love Cabaret</t>
        </is>
      </c>
      <c r="F1805" s="27" t="n">
        <v>45848</v>
      </c>
      <c r="G1805" t="inlineStr">
        <is>
          <t>DEBITO</t>
        </is>
      </c>
      <c r="H1805" t="inlineStr">
        <is>
          <t>Estaff Solucoes Tecnologicas de Agenciam</t>
        </is>
      </c>
      <c r="I1805" t="n">
        <v>-14124</v>
      </c>
    </row>
    <row r="1806">
      <c r="A1806" t="n">
        <v>121681</v>
      </c>
      <c r="B1806" t="n">
        <v>115</v>
      </c>
      <c r="C1806" t="inlineStr">
        <is>
          <t>Love - Shibari - Bradesco</t>
        </is>
      </c>
      <c r="D1806" t="n">
        <v>128</v>
      </c>
      <c r="E1806" t="inlineStr">
        <is>
          <t>Love Cabaret</t>
        </is>
      </c>
      <c r="F1806" s="27" t="n">
        <v>45846.5</v>
      </c>
      <c r="G1806" t="inlineStr">
        <is>
          <t>CREDITO</t>
        </is>
      </c>
      <c r="H1806" t="inlineStr">
        <is>
          <t>TRANSFERENCIA PIX REM: SHIBARI ART E DIVERSA 08/07</t>
        </is>
      </c>
      <c r="I1806" t="n">
        <v>60417.3</v>
      </c>
    </row>
    <row r="1807">
      <c r="A1807" t="n">
        <v>121657</v>
      </c>
      <c r="B1807" t="n">
        <v>115</v>
      </c>
      <c r="C1807" t="inlineStr">
        <is>
          <t>Love - Shibari - Bradesco</t>
        </is>
      </c>
      <c r="D1807" t="n">
        <v>128</v>
      </c>
      <c r="E1807" t="inlineStr">
        <is>
          <t>Love Cabaret</t>
        </is>
      </c>
      <c r="F1807" s="27" t="n">
        <v>45845.5</v>
      </c>
      <c r="G1807" t="inlineStr">
        <is>
          <t>CREDITO</t>
        </is>
      </c>
      <c r="H1807" t="inlineStr">
        <is>
          <t>TED-TRANSF ELET DISPON REMET.SYMPLA INTERNET SOLU</t>
        </is>
      </c>
      <c r="I1807" t="n">
        <v>276.9</v>
      </c>
    </row>
    <row r="1808">
      <c r="A1808" t="n">
        <v>121680</v>
      </c>
      <c r="B1808" t="n">
        <v>115</v>
      </c>
      <c r="C1808" t="inlineStr">
        <is>
          <t>Love - Shibari - Bradesco</t>
        </is>
      </c>
      <c r="D1808" t="n">
        <v>128</v>
      </c>
      <c r="E1808" t="inlineStr">
        <is>
          <t>Love Cabaret</t>
        </is>
      </c>
      <c r="F1808" s="27" t="n">
        <v>45845.5</v>
      </c>
      <c r="G1808" t="inlineStr">
        <is>
          <t>DEBITO</t>
        </is>
      </c>
      <c r="H1808" t="inlineStr">
        <is>
          <t>TRANSFERENCIA PIX DES: SHIBARI ART E DIVERSA 07/07</t>
        </is>
      </c>
      <c r="I1808" t="n">
        <v>-1500</v>
      </c>
    </row>
    <row r="1809">
      <c r="A1809" t="n">
        <v>121679</v>
      </c>
      <c r="B1809" t="n">
        <v>115</v>
      </c>
      <c r="C1809" t="inlineStr">
        <is>
          <t>Love - Shibari - Bradesco</t>
        </is>
      </c>
      <c r="D1809" t="n">
        <v>128</v>
      </c>
      <c r="E1809" t="inlineStr">
        <is>
          <t>Love Cabaret</t>
        </is>
      </c>
      <c r="F1809" s="27" t="n">
        <v>45845.5</v>
      </c>
      <c r="G1809" t="inlineStr">
        <is>
          <t>DEBITO</t>
        </is>
      </c>
      <c r="H1809" t="inlineStr">
        <is>
          <t>TRANSFERENCIA PIX DES: SHIBARI ART E DIVERSA 07/07</t>
        </is>
      </c>
      <c r="I1809" t="n">
        <v>-6500</v>
      </c>
    </row>
    <row r="1810">
      <c r="A1810" t="n">
        <v>121678</v>
      </c>
      <c r="B1810" t="n">
        <v>115</v>
      </c>
      <c r="C1810" t="inlineStr">
        <is>
          <t>Love - Shibari - Bradesco</t>
        </is>
      </c>
      <c r="D1810" t="n">
        <v>128</v>
      </c>
      <c r="E1810" t="inlineStr">
        <is>
          <t>Love Cabaret</t>
        </is>
      </c>
      <c r="F1810" s="27" t="n">
        <v>45845.5</v>
      </c>
      <c r="G1810" t="inlineStr">
        <is>
          <t>DEBITO</t>
        </is>
      </c>
      <c r="H1810" t="inlineStr">
        <is>
          <t>TRANSFERENCIA PIX DES: SHIBARI ART E DIVERSA 07/07</t>
        </is>
      </c>
      <c r="I1810" t="n">
        <v>-175000</v>
      </c>
    </row>
    <row r="1811">
      <c r="A1811" t="n">
        <v>121677</v>
      </c>
      <c r="B1811" t="n">
        <v>115</v>
      </c>
      <c r="C1811" t="inlineStr">
        <is>
          <t>Love - Shibari - Bradesco</t>
        </is>
      </c>
      <c r="D1811" t="n">
        <v>128</v>
      </c>
      <c r="E1811" t="inlineStr">
        <is>
          <t>Love Cabaret</t>
        </is>
      </c>
      <c r="F1811" s="27" t="n">
        <v>45845.5</v>
      </c>
      <c r="G1811" t="inlineStr">
        <is>
          <t>DEBITO</t>
        </is>
      </c>
      <c r="H1811" t="inlineStr">
        <is>
          <t>PAGTO ELETRON  COBRANCA VERISURE BRASIL MONITORAMENTO DE</t>
        </is>
      </c>
      <c r="I1811" t="n">
        <v>-263.78</v>
      </c>
    </row>
    <row r="1812">
      <c r="A1812" t="n">
        <v>121668</v>
      </c>
      <c r="B1812" t="n">
        <v>115</v>
      </c>
      <c r="C1812" t="inlineStr">
        <is>
          <t>Love - Shibari - Bradesco</t>
        </is>
      </c>
      <c r="D1812" t="n">
        <v>128</v>
      </c>
      <c r="E1812" t="inlineStr">
        <is>
          <t>Love Cabaret</t>
        </is>
      </c>
      <c r="F1812" s="27" t="n">
        <v>45845.5</v>
      </c>
      <c r="G1812" t="inlineStr">
        <is>
          <t>CREDITO</t>
        </is>
      </c>
      <c r="H1812" t="inlineStr">
        <is>
          <t>RESG/VENCTO CDB</t>
        </is>
      </c>
      <c r="I1812" t="n">
        <v>6221.45</v>
      </c>
    </row>
    <row r="1813">
      <c r="A1813" t="n">
        <v>121667</v>
      </c>
      <c r="B1813" t="n">
        <v>115</v>
      </c>
      <c r="C1813" t="inlineStr">
        <is>
          <t>Love - Shibari - Bradesco</t>
        </is>
      </c>
      <c r="D1813" t="n">
        <v>128</v>
      </c>
      <c r="E1813" t="inlineStr">
        <is>
          <t>Love Cabaret</t>
        </is>
      </c>
      <c r="F1813" s="27" t="n">
        <v>45845.5</v>
      </c>
      <c r="G1813" t="inlineStr">
        <is>
          <t>CREDITO</t>
        </is>
      </c>
      <c r="H1813" t="inlineStr">
        <is>
          <t>TED-TRANSF ELET DISPON REMET.SYMPLA INTERNET SOLU</t>
        </is>
      </c>
      <c r="I1813" t="n">
        <v>453.96</v>
      </c>
    </row>
    <row r="1814">
      <c r="A1814" t="n">
        <v>121666</v>
      </c>
      <c r="B1814" t="n">
        <v>115</v>
      </c>
      <c r="C1814" t="inlineStr">
        <is>
          <t>Love - Shibari - Bradesco</t>
        </is>
      </c>
      <c r="D1814" t="n">
        <v>128</v>
      </c>
      <c r="E1814" t="inlineStr">
        <is>
          <t>Love Cabaret</t>
        </is>
      </c>
      <c r="F1814" s="27" t="n">
        <v>45845.5</v>
      </c>
      <c r="G1814" t="inlineStr">
        <is>
          <t>CREDITO</t>
        </is>
      </c>
      <c r="H1814" t="inlineStr">
        <is>
          <t>TED-TRANSF ELET DISPON REMET.SYMPLA INTERNET SOLU</t>
        </is>
      </c>
      <c r="I1814" t="n">
        <v>51.9</v>
      </c>
    </row>
    <row r="1815">
      <c r="A1815" t="n">
        <v>121665</v>
      </c>
      <c r="B1815" t="n">
        <v>115</v>
      </c>
      <c r="C1815" t="inlineStr">
        <is>
          <t>Love - Shibari - Bradesco</t>
        </is>
      </c>
      <c r="D1815" t="n">
        <v>128</v>
      </c>
      <c r="E1815" t="inlineStr">
        <is>
          <t>Love Cabaret</t>
        </is>
      </c>
      <c r="F1815" s="27" t="n">
        <v>45845.5</v>
      </c>
      <c r="G1815" t="inlineStr">
        <is>
          <t>CREDITO</t>
        </is>
      </c>
      <c r="H1815" t="inlineStr">
        <is>
          <t>TED-TRANSF ELET DISPON REMET.SYMPLA INTERNET SOLU</t>
        </is>
      </c>
      <c r="I1815" t="n">
        <v>374.7</v>
      </c>
    </row>
    <row r="1816">
      <c r="A1816" t="n">
        <v>121664</v>
      </c>
      <c r="B1816" t="n">
        <v>115</v>
      </c>
      <c r="C1816" t="inlineStr">
        <is>
          <t>Love - Shibari - Bradesco</t>
        </is>
      </c>
      <c r="D1816" t="n">
        <v>128</v>
      </c>
      <c r="E1816" t="inlineStr">
        <is>
          <t>Love Cabaret</t>
        </is>
      </c>
      <c r="F1816" s="27" t="n">
        <v>45845.5</v>
      </c>
      <c r="G1816" t="inlineStr">
        <is>
          <t>CREDITO</t>
        </is>
      </c>
      <c r="H1816" t="inlineStr">
        <is>
          <t>TED-TRANSF ELET DISPON REMET.SYMPLA INTERNET SOLU</t>
        </is>
      </c>
      <c r="I1816" t="n">
        <v>214.65</v>
      </c>
    </row>
    <row r="1817">
      <c r="A1817" t="n">
        <v>121663</v>
      </c>
      <c r="B1817" t="n">
        <v>115</v>
      </c>
      <c r="C1817" t="inlineStr">
        <is>
          <t>Love - Shibari - Bradesco</t>
        </is>
      </c>
      <c r="D1817" t="n">
        <v>128</v>
      </c>
      <c r="E1817" t="inlineStr">
        <is>
          <t>Love Cabaret</t>
        </is>
      </c>
      <c r="F1817" s="27" t="n">
        <v>45845.5</v>
      </c>
      <c r="G1817" t="inlineStr">
        <is>
          <t>CREDITO</t>
        </is>
      </c>
      <c r="H1817" t="inlineStr">
        <is>
          <t>TED-TRANSF ELET DISPON REMET.SYMPLA INTERNET SOLU</t>
        </is>
      </c>
      <c r="I1817" t="n">
        <v>213.3</v>
      </c>
    </row>
    <row r="1818">
      <c r="A1818" t="n">
        <v>121662</v>
      </c>
      <c r="B1818" t="n">
        <v>115</v>
      </c>
      <c r="C1818" t="inlineStr">
        <is>
          <t>Love - Shibari - Bradesco</t>
        </is>
      </c>
      <c r="D1818" t="n">
        <v>128</v>
      </c>
      <c r="E1818" t="inlineStr">
        <is>
          <t>Love Cabaret</t>
        </is>
      </c>
      <c r="F1818" s="27" t="n">
        <v>45845.5</v>
      </c>
      <c r="G1818" t="inlineStr">
        <is>
          <t>CREDITO</t>
        </is>
      </c>
      <c r="H1818" t="inlineStr">
        <is>
          <t>TED-TRANSF ELET DISPON REMET.SYMPLA INTERNET SOLU</t>
        </is>
      </c>
      <c r="I1818" t="n">
        <v>411.9</v>
      </c>
    </row>
    <row r="1819">
      <c r="A1819" t="n">
        <v>121661</v>
      </c>
      <c r="B1819" t="n">
        <v>115</v>
      </c>
      <c r="C1819" t="inlineStr">
        <is>
          <t>Love - Shibari - Bradesco</t>
        </is>
      </c>
      <c r="D1819" t="n">
        <v>128</v>
      </c>
      <c r="E1819" t="inlineStr">
        <is>
          <t>Love Cabaret</t>
        </is>
      </c>
      <c r="F1819" s="27" t="n">
        <v>45845.5</v>
      </c>
      <c r="G1819" t="inlineStr">
        <is>
          <t>CREDITO</t>
        </is>
      </c>
      <c r="H1819" t="inlineStr">
        <is>
          <t>TED-TRANSF ELET DISPON REMET.SYMPLA INTERNET SOLU</t>
        </is>
      </c>
      <c r="I1819" t="n">
        <v>304.95</v>
      </c>
    </row>
    <row r="1820">
      <c r="A1820" t="n">
        <v>121660</v>
      </c>
      <c r="B1820" t="n">
        <v>115</v>
      </c>
      <c r="C1820" t="inlineStr">
        <is>
          <t>Love - Shibari - Bradesco</t>
        </is>
      </c>
      <c r="D1820" t="n">
        <v>128</v>
      </c>
      <c r="E1820" t="inlineStr">
        <is>
          <t>Love Cabaret</t>
        </is>
      </c>
      <c r="F1820" s="27" t="n">
        <v>45845.5</v>
      </c>
      <c r="G1820" t="inlineStr">
        <is>
          <t>CREDITO</t>
        </is>
      </c>
      <c r="H1820" t="inlineStr">
        <is>
          <t>TED-TRANSF ELET DISPON REMET.SYMPLA INTERNET SOLU</t>
        </is>
      </c>
      <c r="I1820" t="n">
        <v>692.7</v>
      </c>
    </row>
    <row r="1821">
      <c r="A1821" t="n">
        <v>121659</v>
      </c>
      <c r="B1821" t="n">
        <v>115</v>
      </c>
      <c r="C1821" t="inlineStr">
        <is>
          <t>Love - Shibari - Bradesco</t>
        </is>
      </c>
      <c r="D1821" t="n">
        <v>128</v>
      </c>
      <c r="E1821" t="inlineStr">
        <is>
          <t>Love Cabaret</t>
        </is>
      </c>
      <c r="F1821" s="27" t="n">
        <v>45845.5</v>
      </c>
      <c r="G1821" t="inlineStr">
        <is>
          <t>CREDITO</t>
        </is>
      </c>
      <c r="H1821" t="inlineStr">
        <is>
          <t>TED-TRANSF ELET DISPON REMET.SYMPLA INTERNET SOLU</t>
        </is>
      </c>
      <c r="I1821" t="n">
        <v>207.15</v>
      </c>
    </row>
    <row r="1822">
      <c r="A1822" t="n">
        <v>121658</v>
      </c>
      <c r="B1822" t="n">
        <v>115</v>
      </c>
      <c r="C1822" t="inlineStr">
        <is>
          <t>Love - Shibari - Bradesco</t>
        </is>
      </c>
      <c r="D1822" t="n">
        <v>128</v>
      </c>
      <c r="E1822" t="inlineStr">
        <is>
          <t>Love Cabaret</t>
        </is>
      </c>
      <c r="F1822" s="27" t="n">
        <v>45845.5</v>
      </c>
      <c r="G1822" t="inlineStr">
        <is>
          <t>CREDITO</t>
        </is>
      </c>
      <c r="H1822" t="inlineStr">
        <is>
          <t>TED-TRANSF ELET DISPON REMET.SYMPLA INTERNET SOLU</t>
        </is>
      </c>
      <c r="I1822" t="n">
        <v>128.7</v>
      </c>
    </row>
    <row r="1823">
      <c r="A1823" t="n">
        <v>121775</v>
      </c>
      <c r="B1823" t="n">
        <v>182</v>
      </c>
      <c r="C1823" t="inlineStr">
        <is>
          <t>Love - Shibari - Kamino</t>
        </is>
      </c>
      <c r="D1823" t="n">
        <v>128</v>
      </c>
      <c r="E1823" t="inlineStr">
        <is>
          <t>Love Cabaret</t>
        </is>
      </c>
      <c r="F1823" s="27" t="n">
        <v>45845</v>
      </c>
      <c r="G1823" t="inlineStr">
        <is>
          <t>DEBITO</t>
        </is>
      </c>
      <c r="H1823" t="inlineStr">
        <is>
          <t>Hortifrutigranjeiro Rodrigues</t>
        </is>
      </c>
      <c r="I1823" t="n">
        <v>-393.6</v>
      </c>
    </row>
    <row r="1824">
      <c r="A1824" t="n">
        <v>121768</v>
      </c>
      <c r="B1824" t="n">
        <v>182</v>
      </c>
      <c r="C1824" t="inlineStr">
        <is>
          <t>Love - Shibari - Kamino</t>
        </is>
      </c>
      <c r="D1824" t="n">
        <v>128</v>
      </c>
      <c r="E1824" t="inlineStr">
        <is>
          <t>Love Cabaret</t>
        </is>
      </c>
      <c r="F1824" s="27" t="n">
        <v>45845</v>
      </c>
      <c r="G1824" t="inlineStr">
        <is>
          <t>DEBITO</t>
        </is>
      </c>
      <c r="H1824" t="inlineStr">
        <is>
          <t>Stemme Telecomunicacoes do Brasil Ltda.</t>
        </is>
      </c>
      <c r="I1824" t="n">
        <v>-299.99</v>
      </c>
    </row>
    <row r="1825">
      <c r="A1825" t="n">
        <v>121760</v>
      </c>
      <c r="B1825" t="n">
        <v>182</v>
      </c>
      <c r="C1825" t="inlineStr">
        <is>
          <t>Love - Shibari - Kamino</t>
        </is>
      </c>
      <c r="D1825" t="n">
        <v>128</v>
      </c>
      <c r="E1825" t="inlineStr">
        <is>
          <t>Love Cabaret</t>
        </is>
      </c>
      <c r="F1825" s="27" t="n">
        <v>45845</v>
      </c>
      <c r="G1825" t="inlineStr">
        <is>
          <t>DEBITO</t>
        </is>
      </c>
      <c r="H1825" t="inlineStr">
        <is>
          <t>Hnk Br Bebidas Ltda</t>
        </is>
      </c>
      <c r="I1825" t="n">
        <v>-1562.52</v>
      </c>
    </row>
    <row r="1826">
      <c r="A1826" t="n">
        <v>121761</v>
      </c>
      <c r="B1826" t="n">
        <v>182</v>
      </c>
      <c r="C1826" t="inlineStr">
        <is>
          <t>Love - Shibari - Kamino</t>
        </is>
      </c>
      <c r="D1826" t="n">
        <v>128</v>
      </c>
      <c r="E1826" t="inlineStr">
        <is>
          <t>Love Cabaret</t>
        </is>
      </c>
      <c r="F1826" s="27" t="n">
        <v>45845</v>
      </c>
      <c r="G1826" t="inlineStr">
        <is>
          <t>DEBITO</t>
        </is>
      </c>
      <c r="H1826" t="inlineStr">
        <is>
          <t>Fg7 Comercio D B Eireli Epp</t>
        </is>
      </c>
      <c r="I1826" t="n">
        <v>-3058.18</v>
      </c>
    </row>
    <row r="1827">
      <c r="A1827" t="n">
        <v>121762</v>
      </c>
      <c r="B1827" t="n">
        <v>182</v>
      </c>
      <c r="C1827" t="inlineStr">
        <is>
          <t>Love - Shibari - Kamino</t>
        </is>
      </c>
      <c r="D1827" t="n">
        <v>128</v>
      </c>
      <c r="E1827" t="inlineStr">
        <is>
          <t>Love Cabaret</t>
        </is>
      </c>
      <c r="F1827" s="27" t="n">
        <v>45845</v>
      </c>
      <c r="G1827" t="inlineStr">
        <is>
          <t>DEBITO</t>
        </is>
      </c>
      <c r="H1827" t="inlineStr">
        <is>
          <t>Cg Food S Distr Alimentos Ltda</t>
        </is>
      </c>
      <c r="I1827" t="n">
        <v>-578.02</v>
      </c>
    </row>
    <row r="1828">
      <c r="A1828" t="n">
        <v>121763</v>
      </c>
      <c r="B1828" t="n">
        <v>182</v>
      </c>
      <c r="C1828" t="inlineStr">
        <is>
          <t>Love - Shibari - Kamino</t>
        </is>
      </c>
      <c r="D1828" t="n">
        <v>128</v>
      </c>
      <c r="E1828" t="inlineStr">
        <is>
          <t>Love Cabaret</t>
        </is>
      </c>
      <c r="F1828" s="27" t="n">
        <v>45845</v>
      </c>
      <c r="G1828" t="inlineStr">
        <is>
          <t>DEBITO</t>
        </is>
      </c>
      <c r="H1828" t="inlineStr">
        <is>
          <t>Puxuri Consultoria Ltda</t>
        </is>
      </c>
      <c r="I1828" t="n">
        <v>-4000</v>
      </c>
    </row>
    <row r="1829">
      <c r="A1829" t="n">
        <v>121764</v>
      </c>
      <c r="B1829" t="n">
        <v>182</v>
      </c>
      <c r="C1829" t="inlineStr">
        <is>
          <t>Love - Shibari - Kamino</t>
        </is>
      </c>
      <c r="D1829" t="n">
        <v>128</v>
      </c>
      <c r="E1829" t="inlineStr">
        <is>
          <t>Love Cabaret</t>
        </is>
      </c>
      <c r="F1829" s="27" t="n">
        <v>45845</v>
      </c>
      <c r="G1829" t="inlineStr">
        <is>
          <t>DEBITO</t>
        </is>
      </c>
      <c r="H1829" t="inlineStr">
        <is>
          <t>Star Copias Comercio e Servicos Ltd</t>
        </is>
      </c>
      <c r="I1829" t="n">
        <v>-220</v>
      </c>
    </row>
    <row r="1830">
      <c r="A1830" t="n">
        <v>121765</v>
      </c>
      <c r="B1830" t="n">
        <v>182</v>
      </c>
      <c r="C1830" t="inlineStr">
        <is>
          <t>Love - Shibari - Kamino</t>
        </is>
      </c>
      <c r="D1830" t="n">
        <v>128</v>
      </c>
      <c r="E1830" t="inlineStr">
        <is>
          <t>Love Cabaret</t>
        </is>
      </c>
      <c r="F1830" s="27" t="n">
        <v>45845</v>
      </c>
      <c r="G1830" t="inlineStr">
        <is>
          <t>DEBITO</t>
        </is>
      </c>
      <c r="H1830" t="inlineStr">
        <is>
          <t>Secretaria do Governo Municipal</t>
        </is>
      </c>
      <c r="I1830" t="n">
        <v>-226.68</v>
      </c>
    </row>
    <row r="1831">
      <c r="A1831" t="n">
        <v>121766</v>
      </c>
      <c r="B1831" t="n">
        <v>182</v>
      </c>
      <c r="C1831" t="inlineStr">
        <is>
          <t>Love - Shibari - Kamino</t>
        </is>
      </c>
      <c r="D1831" t="n">
        <v>128</v>
      </c>
      <c r="E1831" t="inlineStr">
        <is>
          <t>Love Cabaret</t>
        </is>
      </c>
      <c r="F1831" s="27" t="n">
        <v>45845</v>
      </c>
      <c r="G1831" t="inlineStr">
        <is>
          <t>DEBITO</t>
        </is>
      </c>
      <c r="H1831" t="inlineStr">
        <is>
          <t>Preshh Bar Ltda</t>
        </is>
      </c>
      <c r="I1831" t="n">
        <v>-198</v>
      </c>
    </row>
    <row r="1832">
      <c r="A1832" t="n">
        <v>121767</v>
      </c>
      <c r="B1832" t="n">
        <v>182</v>
      </c>
      <c r="C1832" t="inlineStr">
        <is>
          <t>Love - Shibari - Kamino</t>
        </is>
      </c>
      <c r="D1832" t="n">
        <v>128</v>
      </c>
      <c r="E1832" t="inlineStr">
        <is>
          <t>Love Cabaret</t>
        </is>
      </c>
      <c r="F1832" s="27" t="n">
        <v>45845</v>
      </c>
      <c r="G1832" t="inlineStr">
        <is>
          <t>DEBITO</t>
        </is>
      </c>
      <c r="H1832" t="inlineStr">
        <is>
          <t>Preshh Bar Ltda</t>
        </is>
      </c>
      <c r="I1832" t="n">
        <v>-727.2</v>
      </c>
    </row>
    <row r="1833">
      <c r="A1833" t="n">
        <v>121759</v>
      </c>
      <c r="B1833" t="n">
        <v>182</v>
      </c>
      <c r="C1833" t="inlineStr">
        <is>
          <t>Love - Shibari - Kamino</t>
        </is>
      </c>
      <c r="D1833" t="n">
        <v>128</v>
      </c>
      <c r="E1833" t="inlineStr">
        <is>
          <t>Love Cabaret</t>
        </is>
      </c>
      <c r="F1833" s="27" t="n">
        <v>45845</v>
      </c>
      <c r="G1833" t="inlineStr">
        <is>
          <t>DEBITO</t>
        </is>
      </c>
      <c r="H1833" t="inlineStr">
        <is>
          <t>Ice4pros Fabrica de Gelo Ltda</t>
        </is>
      </c>
      <c r="I1833" t="n">
        <v>-563.5</v>
      </c>
    </row>
    <row r="1834">
      <c r="A1834" t="n">
        <v>121769</v>
      </c>
      <c r="B1834" t="n">
        <v>182</v>
      </c>
      <c r="C1834" t="inlineStr">
        <is>
          <t>Love - Shibari - Kamino</t>
        </is>
      </c>
      <c r="D1834" t="n">
        <v>128</v>
      </c>
      <c r="E1834" t="inlineStr">
        <is>
          <t>Love Cabaret</t>
        </is>
      </c>
      <c r="F1834" s="27" t="n">
        <v>45845</v>
      </c>
      <c r="G1834" t="inlineStr">
        <is>
          <t>DEBITO</t>
        </is>
      </c>
      <c r="H1834" t="inlineStr">
        <is>
          <t>Facundo Guerra Rivero</t>
        </is>
      </c>
      <c r="I1834" t="n">
        <v>-1560</v>
      </c>
    </row>
    <row r="1835">
      <c r="A1835" t="n">
        <v>121770</v>
      </c>
      <c r="B1835" t="n">
        <v>182</v>
      </c>
      <c r="C1835" t="inlineStr">
        <is>
          <t>Love - Shibari - Kamino</t>
        </is>
      </c>
      <c r="D1835" t="n">
        <v>128</v>
      </c>
      <c r="E1835" t="inlineStr">
        <is>
          <t>Love Cabaret</t>
        </is>
      </c>
      <c r="F1835" s="27" t="n">
        <v>45845</v>
      </c>
      <c r="G1835" t="inlineStr">
        <is>
          <t>DEBITO</t>
        </is>
      </c>
      <c r="H1835" t="inlineStr">
        <is>
          <t>Arena Bebidas</t>
        </is>
      </c>
      <c r="I1835" t="n">
        <v>-3952.8</v>
      </c>
    </row>
    <row r="1836">
      <c r="A1836" t="n">
        <v>121771</v>
      </c>
      <c r="B1836" t="n">
        <v>182</v>
      </c>
      <c r="C1836" t="inlineStr">
        <is>
          <t>Love - Shibari - Kamino</t>
        </is>
      </c>
      <c r="D1836" t="n">
        <v>128</v>
      </c>
      <c r="E1836" t="inlineStr">
        <is>
          <t>Love Cabaret</t>
        </is>
      </c>
      <c r="F1836" s="27" t="n">
        <v>45845</v>
      </c>
      <c r="G1836" t="inlineStr">
        <is>
          <t>DEBITO</t>
        </is>
      </c>
      <c r="H1836" t="inlineStr">
        <is>
          <t>Ng27 Consultoria e Gestao Empr</t>
        </is>
      </c>
      <c r="I1836" t="n">
        <v>-362.25</v>
      </c>
    </row>
    <row r="1837">
      <c r="A1837" t="n">
        <v>121772</v>
      </c>
      <c r="B1837" t="n">
        <v>182</v>
      </c>
      <c r="C1837" t="inlineStr">
        <is>
          <t>Love - Shibari - Kamino</t>
        </is>
      </c>
      <c r="D1837" t="n">
        <v>128</v>
      </c>
      <c r="E1837" t="inlineStr">
        <is>
          <t>Love Cabaret</t>
        </is>
      </c>
      <c r="F1837" s="27" t="n">
        <v>45845</v>
      </c>
      <c r="G1837" t="inlineStr">
        <is>
          <t>DEBITO</t>
        </is>
      </c>
      <c r="H1837" t="inlineStr">
        <is>
          <t>Cepel Comercio de Papeis e Emb</t>
        </is>
      </c>
      <c r="I1837" t="n">
        <v>-659</v>
      </c>
    </row>
    <row r="1838">
      <c r="A1838" t="n">
        <v>121773</v>
      </c>
      <c r="B1838" t="n">
        <v>182</v>
      </c>
      <c r="C1838" t="inlineStr">
        <is>
          <t>Love - Shibari - Kamino</t>
        </is>
      </c>
      <c r="D1838" t="n">
        <v>128</v>
      </c>
      <c r="E1838" t="inlineStr">
        <is>
          <t>Love Cabaret</t>
        </is>
      </c>
      <c r="F1838" s="27" t="n">
        <v>45845</v>
      </c>
      <c r="G1838" t="inlineStr">
        <is>
          <t>DEBITO</t>
        </is>
      </c>
      <c r="H1838" t="inlineStr">
        <is>
          <t>Colibri Distribuidor de Produtos Orientais e Food Servi</t>
        </is>
      </c>
      <c r="I1838" t="n">
        <v>-434.26</v>
      </c>
    </row>
    <row r="1839">
      <c r="A1839" t="n">
        <v>121774</v>
      </c>
      <c r="B1839" t="n">
        <v>182</v>
      </c>
      <c r="C1839" t="inlineStr">
        <is>
          <t>Love - Shibari - Kamino</t>
        </is>
      </c>
      <c r="D1839" t="n">
        <v>128</v>
      </c>
      <c r="E1839" t="inlineStr">
        <is>
          <t>Love Cabaret</t>
        </is>
      </c>
      <c r="F1839" s="27" t="n">
        <v>45845</v>
      </c>
      <c r="G1839" t="inlineStr">
        <is>
          <t>DEBITO</t>
        </is>
      </c>
      <c r="H1839" t="inlineStr">
        <is>
          <t>Proauto Industria Q Eireli</t>
        </is>
      </c>
      <c r="I1839" t="n">
        <v>-866.42</v>
      </c>
    </row>
    <row r="1840">
      <c r="A1840" t="n">
        <v>121776</v>
      </c>
      <c r="B1840" t="n">
        <v>182</v>
      </c>
      <c r="C1840" t="inlineStr">
        <is>
          <t>Love - Shibari - Kamino</t>
        </is>
      </c>
      <c r="D1840" t="n">
        <v>128</v>
      </c>
      <c r="E1840" t="inlineStr">
        <is>
          <t>Love Cabaret</t>
        </is>
      </c>
      <c r="F1840" s="27" t="n">
        <v>45845</v>
      </c>
      <c r="G1840" t="inlineStr">
        <is>
          <t>DEBITO</t>
        </is>
      </c>
      <c r="H1840" t="inlineStr">
        <is>
          <t>Aurora Alvorada Estacionamento e Lanchon</t>
        </is>
      </c>
      <c r="I1840" t="n">
        <v>-218.73</v>
      </c>
    </row>
    <row r="1841">
      <c r="A1841" t="n">
        <v>121808</v>
      </c>
      <c r="B1841" t="n">
        <v>182</v>
      </c>
      <c r="C1841" t="inlineStr">
        <is>
          <t>Love - Shibari - Kamino</t>
        </is>
      </c>
      <c r="D1841" t="n">
        <v>128</v>
      </c>
      <c r="E1841" t="inlineStr">
        <is>
          <t>Love Cabaret</t>
        </is>
      </c>
      <c r="F1841" s="27" t="n">
        <v>45845</v>
      </c>
      <c r="G1841" t="inlineStr">
        <is>
          <t>CREDITO</t>
        </is>
      </c>
      <c r="H1841" t="inlineStr">
        <is>
          <t>SHIBARI ART E DIVERSAO LTDA</t>
        </is>
      </c>
      <c r="I1841" t="n">
        <v>1500</v>
      </c>
    </row>
    <row r="1842">
      <c r="A1842" t="n">
        <v>121758</v>
      </c>
      <c r="B1842" t="n">
        <v>182</v>
      </c>
      <c r="C1842" t="inlineStr">
        <is>
          <t>Love - Shibari - Kamino</t>
        </is>
      </c>
      <c r="D1842" t="n">
        <v>128</v>
      </c>
      <c r="E1842" t="inlineStr">
        <is>
          <t>Love Cabaret</t>
        </is>
      </c>
      <c r="F1842" s="27" t="n">
        <v>45845</v>
      </c>
      <c r="G1842" t="inlineStr">
        <is>
          <t>DEBITO</t>
        </is>
      </c>
      <c r="H1842" t="inlineStr">
        <is>
          <t>Zahil Importadora Ltda</t>
        </is>
      </c>
      <c r="I1842" t="n">
        <v>-1361.58</v>
      </c>
    </row>
    <row r="1843">
      <c r="A1843" t="n">
        <v>121757</v>
      </c>
      <c r="B1843" t="n">
        <v>182</v>
      </c>
      <c r="C1843" t="inlineStr">
        <is>
          <t>Love - Shibari - Kamino</t>
        </is>
      </c>
      <c r="D1843" t="n">
        <v>128</v>
      </c>
      <c r="E1843" t="inlineStr">
        <is>
          <t>Love Cabaret</t>
        </is>
      </c>
      <c r="F1843" s="27" t="n">
        <v>45845</v>
      </c>
      <c r="G1843" t="inlineStr">
        <is>
          <t>DEBITO</t>
        </is>
      </c>
      <c r="H1843" t="inlineStr">
        <is>
          <t>Cepel Comercio de Papeis e Emb</t>
        </is>
      </c>
      <c r="I1843" t="n">
        <v>-2049.6</v>
      </c>
    </row>
    <row r="1844">
      <c r="A1844" t="n">
        <v>121756</v>
      </c>
      <c r="B1844" t="n">
        <v>182</v>
      </c>
      <c r="C1844" t="inlineStr">
        <is>
          <t>Love - Shibari - Kamino</t>
        </is>
      </c>
      <c r="D1844" t="n">
        <v>128</v>
      </c>
      <c r="E1844" t="inlineStr">
        <is>
          <t>Love Cabaret</t>
        </is>
      </c>
      <c r="F1844" s="27" t="n">
        <v>45845</v>
      </c>
      <c r="G1844" t="inlineStr">
        <is>
          <t>DEBITO</t>
        </is>
      </c>
      <c r="H1844" t="inlineStr">
        <is>
          <t>Ng27 Consultoria e Gestao Empr</t>
        </is>
      </c>
      <c r="I1844" t="n">
        <v>-636.71</v>
      </c>
    </row>
    <row r="1845">
      <c r="A1845" t="n">
        <v>121755</v>
      </c>
      <c r="B1845" t="n">
        <v>182</v>
      </c>
      <c r="C1845" t="inlineStr">
        <is>
          <t>Love - Shibari - Kamino</t>
        </is>
      </c>
      <c r="D1845" t="n">
        <v>128</v>
      </c>
      <c r="E1845" t="inlineStr">
        <is>
          <t>Love Cabaret</t>
        </is>
      </c>
      <c r="F1845" s="27" t="n">
        <v>45845</v>
      </c>
      <c r="G1845" t="inlineStr">
        <is>
          <t>DEBITO</t>
        </is>
      </c>
      <c r="H1845" t="inlineStr">
        <is>
          <t>Paramu Comercio R P a Ltda</t>
        </is>
      </c>
      <c r="I1845" t="n">
        <v>-962.3</v>
      </c>
    </row>
    <row r="1846">
      <c r="A1846" t="n">
        <v>121754</v>
      </c>
      <c r="B1846" t="n">
        <v>182</v>
      </c>
      <c r="C1846" t="inlineStr">
        <is>
          <t>Love - Shibari - Kamino</t>
        </is>
      </c>
      <c r="D1846" t="n">
        <v>128</v>
      </c>
      <c r="E1846" t="inlineStr">
        <is>
          <t>Love Cabaret</t>
        </is>
      </c>
      <c r="F1846" s="27" t="n">
        <v>45845</v>
      </c>
      <c r="G1846" t="inlineStr">
        <is>
          <t>DEBITO</t>
        </is>
      </c>
      <c r="H1846" t="inlineStr">
        <is>
          <t>Nova Comercial do Peixe Eireli</t>
        </is>
      </c>
      <c r="I1846" t="n">
        <v>-588</v>
      </c>
    </row>
    <row r="1847">
      <c r="A1847" t="n">
        <v>121753</v>
      </c>
      <c r="B1847" t="n">
        <v>182</v>
      </c>
      <c r="C1847" t="inlineStr">
        <is>
          <t>Love - Shibari - Kamino</t>
        </is>
      </c>
      <c r="D1847" t="n">
        <v>128</v>
      </c>
      <c r="E1847" t="inlineStr">
        <is>
          <t>Love Cabaret</t>
        </is>
      </c>
      <c r="F1847" s="27" t="n">
        <v>45845</v>
      </c>
      <c r="G1847" t="inlineStr">
        <is>
          <t>DEBITO</t>
        </is>
      </c>
      <c r="H1847" t="inlineStr">
        <is>
          <t>Arena Bebidas</t>
        </is>
      </c>
      <c r="I1847" t="n">
        <v>-2403.82</v>
      </c>
    </row>
    <row r="1848">
      <c r="A1848" t="n">
        <v>121752</v>
      </c>
      <c r="B1848" t="n">
        <v>182</v>
      </c>
      <c r="C1848" t="inlineStr">
        <is>
          <t>Love - Shibari - Kamino</t>
        </is>
      </c>
      <c r="D1848" t="n">
        <v>128</v>
      </c>
      <c r="E1848" t="inlineStr">
        <is>
          <t>Love Cabaret</t>
        </is>
      </c>
      <c r="F1848" s="27" t="n">
        <v>45845</v>
      </c>
      <c r="G1848" t="inlineStr">
        <is>
          <t>DEBITO</t>
        </is>
      </c>
      <c r="H1848" t="inlineStr">
        <is>
          <t>Andreia Santos Freitas Duarte</t>
        </is>
      </c>
      <c r="I1848" t="n">
        <v>-274.3</v>
      </c>
    </row>
    <row r="1849">
      <c r="A1849" t="n">
        <v>121751</v>
      </c>
      <c r="B1849" t="n">
        <v>182</v>
      </c>
      <c r="C1849" t="inlineStr">
        <is>
          <t>Love - Shibari - Kamino</t>
        </is>
      </c>
      <c r="D1849" t="n">
        <v>128</v>
      </c>
      <c r="E1849" t="inlineStr">
        <is>
          <t>Love Cabaret</t>
        </is>
      </c>
      <c r="F1849" s="27" t="n">
        <v>45845</v>
      </c>
      <c r="G1849" t="inlineStr">
        <is>
          <t>DEBITO</t>
        </is>
      </c>
      <c r="H1849" t="inlineStr">
        <is>
          <t>Cia do Whisky</t>
        </is>
      </c>
      <c r="I1849" t="n">
        <v>-1749.08</v>
      </c>
    </row>
    <row r="1850">
      <c r="A1850" t="n">
        <v>121750</v>
      </c>
      <c r="B1850" t="n">
        <v>182</v>
      </c>
      <c r="C1850" t="inlineStr">
        <is>
          <t>Love - Shibari - Kamino</t>
        </is>
      </c>
      <c r="D1850" t="n">
        <v>128</v>
      </c>
      <c r="E1850" t="inlineStr">
        <is>
          <t>Love Cabaret</t>
        </is>
      </c>
      <c r="F1850" s="27" t="n">
        <v>45845</v>
      </c>
      <c r="G1850" t="inlineStr">
        <is>
          <t>DEBITO</t>
        </is>
      </c>
      <c r="H1850" t="inlineStr">
        <is>
          <t>Cia do Whisky</t>
        </is>
      </c>
      <c r="I1850" t="n">
        <v>-2261.34</v>
      </c>
    </row>
    <row r="1851">
      <c r="A1851" t="n">
        <v>121749</v>
      </c>
      <c r="B1851" t="n">
        <v>182</v>
      </c>
      <c r="C1851" t="inlineStr">
        <is>
          <t>Love - Shibari - Kamino</t>
        </is>
      </c>
      <c r="D1851" t="n">
        <v>128</v>
      </c>
      <c r="E1851" t="inlineStr">
        <is>
          <t>Love Cabaret</t>
        </is>
      </c>
      <c r="F1851" s="27" t="n">
        <v>45845</v>
      </c>
      <c r="G1851" t="inlineStr">
        <is>
          <t>DEBITO</t>
        </is>
      </c>
      <c r="H1851" t="inlineStr">
        <is>
          <t>Forte Alimentos Comercio e Importacao Lt</t>
        </is>
      </c>
      <c r="I1851" t="n">
        <v>-623.5</v>
      </c>
    </row>
    <row r="1852">
      <c r="A1852" t="n">
        <v>121748</v>
      </c>
      <c r="B1852" t="n">
        <v>182</v>
      </c>
      <c r="C1852" t="inlineStr">
        <is>
          <t>Love - Shibari - Kamino</t>
        </is>
      </c>
      <c r="D1852" t="n">
        <v>128</v>
      </c>
      <c r="E1852" t="inlineStr">
        <is>
          <t>Love Cabaret</t>
        </is>
      </c>
      <c r="F1852" s="27" t="n">
        <v>45845</v>
      </c>
      <c r="G1852" t="inlineStr">
        <is>
          <t>DEBITO</t>
        </is>
      </c>
      <c r="H1852" t="inlineStr">
        <is>
          <t>Safe Brand com Imp Exp S Ltda</t>
        </is>
      </c>
      <c r="I1852" t="n">
        <v>-2117.46</v>
      </c>
    </row>
    <row r="1853">
      <c r="A1853" t="n">
        <v>121747</v>
      </c>
      <c r="B1853" t="n">
        <v>182</v>
      </c>
      <c r="C1853" t="inlineStr">
        <is>
          <t>Love - Shibari - Kamino</t>
        </is>
      </c>
      <c r="D1853" t="n">
        <v>128</v>
      </c>
      <c r="E1853" t="inlineStr">
        <is>
          <t>Love Cabaret</t>
        </is>
      </c>
      <c r="F1853" s="27" t="n">
        <v>45845</v>
      </c>
      <c r="G1853" t="inlineStr">
        <is>
          <t>DEBITO</t>
        </is>
      </c>
      <c r="H1853" t="inlineStr">
        <is>
          <t>Cecilia Tsuyaco Araki Silva Ltda</t>
        </is>
      </c>
      <c r="I1853" t="n">
        <v>-220.1</v>
      </c>
    </row>
    <row r="1854">
      <c r="A1854" t="n">
        <v>121746</v>
      </c>
      <c r="B1854" t="n">
        <v>182</v>
      </c>
      <c r="C1854" t="inlineStr">
        <is>
          <t>Love - Shibari - Kamino</t>
        </is>
      </c>
      <c r="D1854" t="n">
        <v>128</v>
      </c>
      <c r="E1854" t="inlineStr">
        <is>
          <t>Love Cabaret</t>
        </is>
      </c>
      <c r="F1854" s="27" t="n">
        <v>45845</v>
      </c>
      <c r="G1854" t="inlineStr">
        <is>
          <t>DEBITO</t>
        </is>
      </c>
      <c r="H1854" t="inlineStr">
        <is>
          <t>Takuarobi</t>
        </is>
      </c>
      <c r="I1854" t="n">
        <v>-471.7</v>
      </c>
    </row>
    <row r="1855">
      <c r="A1855" t="n">
        <v>121745</v>
      </c>
      <c r="B1855" t="n">
        <v>182</v>
      </c>
      <c r="C1855" t="inlineStr">
        <is>
          <t>Love - Shibari - Kamino</t>
        </is>
      </c>
      <c r="D1855" t="n">
        <v>128</v>
      </c>
      <c r="E1855" t="inlineStr">
        <is>
          <t>Love Cabaret</t>
        </is>
      </c>
      <c r="F1855" s="27" t="n">
        <v>45845</v>
      </c>
      <c r="G1855" t="inlineStr">
        <is>
          <t>DEBITO</t>
        </is>
      </c>
      <c r="H1855" t="inlineStr">
        <is>
          <t>Marcos Aurelio do Nascimento 33384667816</t>
        </is>
      </c>
      <c r="I1855" t="n">
        <v>-555</v>
      </c>
    </row>
    <row r="1856">
      <c r="A1856" t="n">
        <v>121744</v>
      </c>
      <c r="B1856" t="n">
        <v>182</v>
      </c>
      <c r="C1856" t="inlineStr">
        <is>
          <t>Love - Shibari - Kamino</t>
        </is>
      </c>
      <c r="D1856" t="n">
        <v>128</v>
      </c>
      <c r="E1856" t="inlineStr">
        <is>
          <t>Love Cabaret</t>
        </is>
      </c>
      <c r="F1856" s="27" t="n">
        <v>45845</v>
      </c>
      <c r="G1856" t="inlineStr">
        <is>
          <t>CREDITO</t>
        </is>
      </c>
      <c r="H1856" t="inlineStr">
        <is>
          <t>SHIBARI ART E DIVERSAO LTDA</t>
        </is>
      </c>
      <c r="I1856" t="n">
        <v>175000</v>
      </c>
    </row>
    <row r="1857">
      <c r="A1857" t="n">
        <v>121778</v>
      </c>
      <c r="B1857" t="n">
        <v>182</v>
      </c>
      <c r="C1857" t="inlineStr">
        <is>
          <t>Love - Shibari - Kamino</t>
        </is>
      </c>
      <c r="D1857" t="n">
        <v>128</v>
      </c>
      <c r="E1857" t="inlineStr">
        <is>
          <t>Love Cabaret</t>
        </is>
      </c>
      <c r="F1857" s="27" t="n">
        <v>45845</v>
      </c>
      <c r="G1857" t="inlineStr">
        <is>
          <t>DEBITO</t>
        </is>
      </c>
      <c r="H1857" t="inlineStr">
        <is>
          <t>Divi Hub Operacao de Plataforma Eletroni</t>
        </is>
      </c>
      <c r="I1857" t="n">
        <v>-1000</v>
      </c>
    </row>
    <row r="1858">
      <c r="A1858" t="n">
        <v>121809</v>
      </c>
      <c r="B1858" t="n">
        <v>182</v>
      </c>
      <c r="C1858" t="inlineStr">
        <is>
          <t>Love - Shibari - Kamino</t>
        </is>
      </c>
      <c r="D1858" t="n">
        <v>128</v>
      </c>
      <c r="E1858" t="inlineStr">
        <is>
          <t>Love Cabaret</t>
        </is>
      </c>
      <c r="F1858" s="27" t="n">
        <v>45845</v>
      </c>
      <c r="G1858" t="inlineStr">
        <is>
          <t>DEBITO</t>
        </is>
      </c>
      <c r="H1858" t="inlineStr">
        <is>
          <t>KAMINO INSTITUICAO DE PAGAMENTO LTDA</t>
        </is>
      </c>
      <c r="I1858" t="n">
        <v>-1528.64</v>
      </c>
    </row>
    <row r="1859">
      <c r="A1859" t="n">
        <v>121807</v>
      </c>
      <c r="B1859" t="n">
        <v>182</v>
      </c>
      <c r="C1859" t="inlineStr">
        <is>
          <t>Love - Shibari - Kamino</t>
        </is>
      </c>
      <c r="D1859" t="n">
        <v>128</v>
      </c>
      <c r="E1859" t="inlineStr">
        <is>
          <t>Love Cabaret</t>
        </is>
      </c>
      <c r="F1859" s="27" t="n">
        <v>45845</v>
      </c>
      <c r="G1859" t="inlineStr">
        <is>
          <t>DEBITO</t>
        </is>
      </c>
      <c r="H1859" t="inlineStr">
        <is>
          <t>Arena Bebidas</t>
        </is>
      </c>
      <c r="I1859" t="n">
        <v>-1092</v>
      </c>
    </row>
    <row r="1860">
      <c r="A1860" t="n">
        <v>121806</v>
      </c>
      <c r="B1860" t="n">
        <v>182</v>
      </c>
      <c r="C1860" t="inlineStr">
        <is>
          <t>Love - Shibari - Kamino</t>
        </is>
      </c>
      <c r="D1860" t="n">
        <v>128</v>
      </c>
      <c r="E1860" t="inlineStr">
        <is>
          <t>Love Cabaret</t>
        </is>
      </c>
      <c r="F1860" s="27" t="n">
        <v>45845</v>
      </c>
      <c r="G1860" t="inlineStr">
        <is>
          <t>DEBITO</t>
        </is>
      </c>
      <c r="H1860" t="inlineStr">
        <is>
          <t>Felipe da Costa Santos</t>
        </is>
      </c>
      <c r="I1860" t="n">
        <v>-3170</v>
      </c>
    </row>
    <row r="1861">
      <c r="A1861" t="n">
        <v>121805</v>
      </c>
      <c r="B1861" t="n">
        <v>182</v>
      </c>
      <c r="C1861" t="inlineStr">
        <is>
          <t>Love - Shibari - Kamino</t>
        </is>
      </c>
      <c r="D1861" t="n">
        <v>128</v>
      </c>
      <c r="E1861" t="inlineStr">
        <is>
          <t>Love Cabaret</t>
        </is>
      </c>
      <c r="F1861" s="27" t="n">
        <v>45845</v>
      </c>
      <c r="G1861" t="inlineStr">
        <is>
          <t>DEBITO</t>
        </is>
      </c>
      <c r="H1861" t="inlineStr">
        <is>
          <t>Roberta Maria Santana</t>
        </is>
      </c>
      <c r="I1861" t="n">
        <v>-2910</v>
      </c>
    </row>
    <row r="1862">
      <c r="A1862" t="n">
        <v>121804</v>
      </c>
      <c r="B1862" t="n">
        <v>182</v>
      </c>
      <c r="C1862" t="inlineStr">
        <is>
          <t>Love - Shibari - Kamino</t>
        </is>
      </c>
      <c r="D1862" t="n">
        <v>128</v>
      </c>
      <c r="E1862" t="inlineStr">
        <is>
          <t>Love Cabaret</t>
        </is>
      </c>
      <c r="F1862" s="27" t="n">
        <v>45845</v>
      </c>
      <c r="G1862" t="inlineStr">
        <is>
          <t>DEBITO</t>
        </is>
      </c>
      <c r="H1862" t="inlineStr">
        <is>
          <t>Douglas Felipe Domingues Gonalves</t>
        </is>
      </c>
      <c r="I1862" t="n">
        <v>-2640</v>
      </c>
    </row>
    <row r="1863">
      <c r="A1863" t="n">
        <v>121803</v>
      </c>
      <c r="B1863" t="n">
        <v>182</v>
      </c>
      <c r="C1863" t="inlineStr">
        <is>
          <t>Love - Shibari - Kamino</t>
        </is>
      </c>
      <c r="D1863" t="n">
        <v>128</v>
      </c>
      <c r="E1863" t="inlineStr">
        <is>
          <t>Love Cabaret</t>
        </is>
      </c>
      <c r="F1863" s="27" t="n">
        <v>45845</v>
      </c>
      <c r="G1863" t="inlineStr">
        <is>
          <t>DEBITO</t>
        </is>
      </c>
      <c r="H1863" t="inlineStr">
        <is>
          <t>55.214.822 Wagner da Silva Franca</t>
        </is>
      </c>
      <c r="I1863" t="n">
        <v>-2910</v>
      </c>
    </row>
    <row r="1864">
      <c r="A1864" t="n">
        <v>121802</v>
      </c>
      <c r="B1864" t="n">
        <v>182</v>
      </c>
      <c r="C1864" t="inlineStr">
        <is>
          <t>Love - Shibari - Kamino</t>
        </is>
      </c>
      <c r="D1864" t="n">
        <v>128</v>
      </c>
      <c r="E1864" t="inlineStr">
        <is>
          <t>Love Cabaret</t>
        </is>
      </c>
      <c r="F1864" s="27" t="n">
        <v>45845</v>
      </c>
      <c r="G1864" t="inlineStr">
        <is>
          <t>DEBITO</t>
        </is>
      </c>
      <c r="H1864" t="inlineStr">
        <is>
          <t>Felipe da Costa Santos</t>
        </is>
      </c>
      <c r="I1864" t="n">
        <v>-5100</v>
      </c>
    </row>
    <row r="1865">
      <c r="A1865" t="n">
        <v>121801</v>
      </c>
      <c r="B1865" t="n">
        <v>182</v>
      </c>
      <c r="C1865" t="inlineStr">
        <is>
          <t>Love - Shibari - Kamino</t>
        </is>
      </c>
      <c r="D1865" t="n">
        <v>128</v>
      </c>
      <c r="E1865" t="inlineStr">
        <is>
          <t>Love Cabaret</t>
        </is>
      </c>
      <c r="F1865" s="27" t="n">
        <v>45845</v>
      </c>
      <c r="G1865" t="inlineStr">
        <is>
          <t>DEBITO</t>
        </is>
      </c>
      <c r="H1865" t="inlineStr">
        <is>
          <t>Machine Seguranca Patrimonial Ltda</t>
        </is>
      </c>
      <c r="I1865" t="n">
        <v>-5320</v>
      </c>
    </row>
    <row r="1866">
      <c r="A1866" t="n">
        <v>121800</v>
      </c>
      <c r="B1866" t="n">
        <v>182</v>
      </c>
      <c r="C1866" t="inlineStr">
        <is>
          <t>Love - Shibari - Kamino</t>
        </is>
      </c>
      <c r="D1866" t="n">
        <v>128</v>
      </c>
      <c r="E1866" t="inlineStr">
        <is>
          <t>Love Cabaret</t>
        </is>
      </c>
      <c r="F1866" s="27" t="n">
        <v>45845</v>
      </c>
      <c r="G1866" t="inlineStr">
        <is>
          <t>CREDITO</t>
        </is>
      </c>
      <c r="H1866" t="inlineStr">
        <is>
          <t>SHIBARI ART E DIVERSAO LTDA</t>
        </is>
      </c>
      <c r="I1866" t="n">
        <v>6500</v>
      </c>
    </row>
    <row r="1867">
      <c r="A1867" t="n">
        <v>121799</v>
      </c>
      <c r="B1867" t="n">
        <v>182</v>
      </c>
      <c r="C1867" t="inlineStr">
        <is>
          <t>Love - Shibari - Kamino</t>
        </is>
      </c>
      <c r="D1867" t="n">
        <v>128</v>
      </c>
      <c r="E1867" t="inlineStr">
        <is>
          <t>Love Cabaret</t>
        </is>
      </c>
      <c r="F1867" s="27" t="n">
        <v>45845</v>
      </c>
      <c r="G1867" t="inlineStr">
        <is>
          <t>DEBITO</t>
        </is>
      </c>
      <c r="H1867" t="inlineStr">
        <is>
          <t>Felipe Ferreira Franca 36496185832</t>
        </is>
      </c>
      <c r="I1867" t="n">
        <v>-3250</v>
      </c>
    </row>
    <row r="1868">
      <c r="A1868" t="n">
        <v>121798</v>
      </c>
      <c r="B1868" t="n">
        <v>182</v>
      </c>
      <c r="C1868" t="inlineStr">
        <is>
          <t>Love - Shibari - Kamino</t>
        </is>
      </c>
      <c r="D1868" t="n">
        <v>128</v>
      </c>
      <c r="E1868" t="inlineStr">
        <is>
          <t>Love Cabaret</t>
        </is>
      </c>
      <c r="F1868" s="27" t="n">
        <v>45845</v>
      </c>
      <c r="G1868" t="inlineStr">
        <is>
          <t>DEBITO</t>
        </is>
      </c>
      <c r="H1868" t="inlineStr">
        <is>
          <t>Edjane Dantas de Almeida Sousa</t>
        </is>
      </c>
      <c r="I1868" t="n">
        <v>-1200</v>
      </c>
    </row>
    <row r="1869">
      <c r="A1869" t="n">
        <v>121797</v>
      </c>
      <c r="B1869" t="n">
        <v>182</v>
      </c>
      <c r="C1869" t="inlineStr">
        <is>
          <t>Love - Shibari - Kamino</t>
        </is>
      </c>
      <c r="D1869" t="n">
        <v>128</v>
      </c>
      <c r="E1869" t="inlineStr">
        <is>
          <t>Love Cabaret</t>
        </is>
      </c>
      <c r="F1869" s="27" t="n">
        <v>45845</v>
      </c>
      <c r="G1869" t="inlineStr">
        <is>
          <t>DEBITO</t>
        </is>
      </c>
      <c r="H1869" t="inlineStr">
        <is>
          <t>49.635.085 Jessica Izabel de Souza</t>
        </is>
      </c>
      <c r="I1869" t="n">
        <v>-1250</v>
      </c>
    </row>
    <row r="1870">
      <c r="A1870" t="n">
        <v>121796</v>
      </c>
      <c r="B1870" t="n">
        <v>182</v>
      </c>
      <c r="C1870" t="inlineStr">
        <is>
          <t>Love - Shibari - Kamino</t>
        </is>
      </c>
      <c r="D1870" t="n">
        <v>128</v>
      </c>
      <c r="E1870" t="inlineStr">
        <is>
          <t>Love Cabaret</t>
        </is>
      </c>
      <c r="F1870" s="27" t="n">
        <v>45845</v>
      </c>
      <c r="G1870" t="inlineStr">
        <is>
          <t>DEBITO</t>
        </is>
      </c>
      <c r="H1870" t="inlineStr">
        <is>
          <t>Dudom</t>
        </is>
      </c>
      <c r="I1870" t="n">
        <v>-1600</v>
      </c>
    </row>
    <row r="1871">
      <c r="A1871" t="n">
        <v>121795</v>
      </c>
      <c r="B1871" t="n">
        <v>182</v>
      </c>
      <c r="C1871" t="inlineStr">
        <is>
          <t>Love - Shibari - Kamino</t>
        </is>
      </c>
      <c r="D1871" t="n">
        <v>128</v>
      </c>
      <c r="E1871" t="inlineStr">
        <is>
          <t>Love Cabaret</t>
        </is>
      </c>
      <c r="F1871" s="27" t="n">
        <v>45845</v>
      </c>
      <c r="G1871" t="inlineStr">
        <is>
          <t>DEBITO</t>
        </is>
      </c>
      <c r="H1871" t="inlineStr">
        <is>
          <t>29.004.930 Agnes Rodrigues de Oliveira</t>
        </is>
      </c>
      <c r="I1871" t="n">
        <v>-5000</v>
      </c>
    </row>
    <row r="1872">
      <c r="A1872" t="n">
        <v>121794</v>
      </c>
      <c r="B1872" t="n">
        <v>182</v>
      </c>
      <c r="C1872" t="inlineStr">
        <is>
          <t>Love - Shibari - Kamino</t>
        </is>
      </c>
      <c r="D1872" t="n">
        <v>128</v>
      </c>
      <c r="E1872" t="inlineStr">
        <is>
          <t>Love Cabaret</t>
        </is>
      </c>
      <c r="F1872" s="27" t="n">
        <v>45845</v>
      </c>
      <c r="G1872" t="inlineStr">
        <is>
          <t>DEBITO</t>
        </is>
      </c>
      <c r="H1872" t="inlineStr">
        <is>
          <t>Joo Vitor Mendes Salustiano</t>
        </is>
      </c>
      <c r="I1872" t="n">
        <v>-5600</v>
      </c>
    </row>
    <row r="1873">
      <c r="A1873" t="n">
        <v>121792</v>
      </c>
      <c r="B1873" t="n">
        <v>182</v>
      </c>
      <c r="C1873" t="inlineStr">
        <is>
          <t>Love - Shibari - Kamino</t>
        </is>
      </c>
      <c r="D1873" t="n">
        <v>128</v>
      </c>
      <c r="E1873" t="inlineStr">
        <is>
          <t>Love Cabaret</t>
        </is>
      </c>
      <c r="F1873" s="27" t="n">
        <v>45845</v>
      </c>
      <c r="G1873" t="inlineStr">
        <is>
          <t>DEBITO</t>
        </is>
      </c>
      <c r="H1873" t="inlineStr">
        <is>
          <t>Douglas Felipe Domingues Gonalves</t>
        </is>
      </c>
      <c r="I1873" t="n">
        <v>-4100</v>
      </c>
    </row>
    <row r="1874">
      <c r="A1874" t="n">
        <v>121777</v>
      </c>
      <c r="B1874" t="n">
        <v>182</v>
      </c>
      <c r="C1874" t="inlineStr">
        <is>
          <t>Love - Shibari - Kamino</t>
        </is>
      </c>
      <c r="D1874" t="n">
        <v>128</v>
      </c>
      <c r="E1874" t="inlineStr">
        <is>
          <t>Love Cabaret</t>
        </is>
      </c>
      <c r="F1874" s="27" t="n">
        <v>45845</v>
      </c>
      <c r="G1874" t="inlineStr">
        <is>
          <t>DEBITO</t>
        </is>
      </c>
      <c r="H1874" t="inlineStr">
        <is>
          <t>Ng27 Consultoria e Gestao Empr</t>
        </is>
      </c>
      <c r="I1874" t="n">
        <v>-187.1</v>
      </c>
    </row>
    <row r="1875">
      <c r="A1875" t="n">
        <v>121779</v>
      </c>
      <c r="B1875" t="n">
        <v>182</v>
      </c>
      <c r="C1875" t="inlineStr">
        <is>
          <t>Love - Shibari - Kamino</t>
        </is>
      </c>
      <c r="D1875" t="n">
        <v>128</v>
      </c>
      <c r="E1875" t="inlineStr">
        <is>
          <t>Love Cabaret</t>
        </is>
      </c>
      <c r="F1875" s="27" t="n">
        <v>45845</v>
      </c>
      <c r="G1875" t="inlineStr">
        <is>
          <t>DEBITO</t>
        </is>
      </c>
      <c r="H1875" t="inlineStr">
        <is>
          <t>Psss Ltda</t>
        </is>
      </c>
      <c r="I1875" t="n">
        <v>-279.8</v>
      </c>
    </row>
    <row r="1876">
      <c r="A1876" t="n">
        <v>121780</v>
      </c>
      <c r="B1876" t="n">
        <v>182</v>
      </c>
      <c r="C1876" t="inlineStr">
        <is>
          <t>Love - Shibari - Kamino</t>
        </is>
      </c>
      <c r="D1876" t="n">
        <v>128</v>
      </c>
      <c r="E1876" t="inlineStr">
        <is>
          <t>Love Cabaret</t>
        </is>
      </c>
      <c r="F1876" s="27" t="n">
        <v>45845</v>
      </c>
      <c r="G1876" t="inlineStr">
        <is>
          <t>DEBITO</t>
        </is>
      </c>
      <c r="H1876" t="inlineStr">
        <is>
          <t>Mordomia da Administracao Imobiliaria</t>
        </is>
      </c>
      <c r="I1876" t="n">
        <v>-31634.64</v>
      </c>
    </row>
    <row r="1877">
      <c r="A1877" t="n">
        <v>121781</v>
      </c>
      <c r="B1877" t="n">
        <v>182</v>
      </c>
      <c r="C1877" t="inlineStr">
        <is>
          <t>Love - Shibari - Kamino</t>
        </is>
      </c>
      <c r="D1877" t="n">
        <v>128</v>
      </c>
      <c r="E1877" t="inlineStr">
        <is>
          <t>Love Cabaret</t>
        </is>
      </c>
      <c r="F1877" s="27" t="n">
        <v>45845</v>
      </c>
      <c r="G1877" t="inlineStr">
        <is>
          <t>DEBITO</t>
        </is>
      </c>
      <c r="H1877" t="inlineStr">
        <is>
          <t>Roberta Maria Santana</t>
        </is>
      </c>
      <c r="I1877" t="n">
        <v>-4000</v>
      </c>
    </row>
    <row r="1878">
      <c r="A1878" t="n">
        <v>121782</v>
      </c>
      <c r="B1878" t="n">
        <v>182</v>
      </c>
      <c r="C1878" t="inlineStr">
        <is>
          <t>Love - Shibari - Kamino</t>
        </is>
      </c>
      <c r="D1878" t="n">
        <v>128</v>
      </c>
      <c r="E1878" t="inlineStr">
        <is>
          <t>Love Cabaret</t>
        </is>
      </c>
      <c r="F1878" s="27" t="n">
        <v>45845</v>
      </c>
      <c r="G1878" t="inlineStr">
        <is>
          <t>DEBITO</t>
        </is>
      </c>
      <c r="H1878" t="inlineStr">
        <is>
          <t>Tamara Ribeiro</t>
        </is>
      </c>
      <c r="I1878" t="n">
        <v>-3500</v>
      </c>
    </row>
    <row r="1879">
      <c r="A1879" t="n">
        <v>121783</v>
      </c>
      <c r="B1879" t="n">
        <v>182</v>
      </c>
      <c r="C1879" t="inlineStr">
        <is>
          <t>Love - Shibari - Kamino</t>
        </is>
      </c>
      <c r="D1879" t="n">
        <v>128</v>
      </c>
      <c r="E1879" t="inlineStr">
        <is>
          <t>Love Cabaret</t>
        </is>
      </c>
      <c r="F1879" s="27" t="n">
        <v>45845</v>
      </c>
      <c r="G1879" t="inlineStr">
        <is>
          <t>DEBITO</t>
        </is>
      </c>
      <c r="H1879" t="inlineStr">
        <is>
          <t>Nina Consultoria e Representacoes</t>
        </is>
      </c>
      <c r="I1879" t="n">
        <v>-3000</v>
      </c>
    </row>
    <row r="1880">
      <c r="A1880" t="n">
        <v>121784</v>
      </c>
      <c r="B1880" t="n">
        <v>182</v>
      </c>
      <c r="C1880" t="inlineStr">
        <is>
          <t>Love - Shibari - Kamino</t>
        </is>
      </c>
      <c r="D1880" t="n">
        <v>128</v>
      </c>
      <c r="E1880" t="inlineStr">
        <is>
          <t>Love Cabaret</t>
        </is>
      </c>
      <c r="F1880" s="27" t="n">
        <v>45845</v>
      </c>
      <c r="G1880" t="inlineStr">
        <is>
          <t>CREDITO</t>
        </is>
      </c>
      <c r="H1880" t="inlineStr">
        <is>
          <t>Pix Env No Processado</t>
        </is>
      </c>
      <c r="I1880" t="n">
        <v>5100</v>
      </c>
    </row>
    <row r="1881">
      <c r="A1881" t="n">
        <v>121786</v>
      </c>
      <c r="B1881" t="n">
        <v>182</v>
      </c>
      <c r="C1881" t="inlineStr">
        <is>
          <t>Love - Shibari - Kamino</t>
        </is>
      </c>
      <c r="D1881" t="n">
        <v>128</v>
      </c>
      <c r="E1881" t="inlineStr">
        <is>
          <t>Love Cabaret</t>
        </is>
      </c>
      <c r="F1881" s="27" t="n">
        <v>45845</v>
      </c>
      <c r="G1881" t="inlineStr">
        <is>
          <t>DEBITO</t>
        </is>
      </c>
      <c r="H1881" t="inlineStr">
        <is>
          <t>Laisa Rocha Larangeira</t>
        </is>
      </c>
      <c r="I1881" t="n">
        <v>-1600</v>
      </c>
    </row>
    <row r="1882">
      <c r="A1882" t="n">
        <v>121787</v>
      </c>
      <c r="B1882" t="n">
        <v>182</v>
      </c>
      <c r="C1882" t="inlineStr">
        <is>
          <t>Love - Shibari - Kamino</t>
        </is>
      </c>
      <c r="D1882" t="n">
        <v>128</v>
      </c>
      <c r="E1882" t="inlineStr">
        <is>
          <t>Love Cabaret</t>
        </is>
      </c>
      <c r="F1882" s="27" t="n">
        <v>45845</v>
      </c>
      <c r="G1882" t="inlineStr">
        <is>
          <t>DEBITO</t>
        </is>
      </c>
      <c r="H1882" t="inlineStr">
        <is>
          <t>23.824.129 Felipe da Costa Santos</t>
        </is>
      </c>
      <c r="I1882" t="n">
        <v>-5100</v>
      </c>
    </row>
    <row r="1883">
      <c r="A1883" t="n">
        <v>121788</v>
      </c>
      <c r="B1883" t="n">
        <v>182</v>
      </c>
      <c r="C1883" t="inlineStr">
        <is>
          <t>Love - Shibari - Kamino</t>
        </is>
      </c>
      <c r="D1883" t="n">
        <v>128</v>
      </c>
      <c r="E1883" t="inlineStr">
        <is>
          <t>Love Cabaret</t>
        </is>
      </c>
      <c r="F1883" s="27" t="n">
        <v>45845</v>
      </c>
      <c r="G1883" t="inlineStr">
        <is>
          <t>DEBITO</t>
        </is>
      </c>
      <c r="H1883" t="inlineStr">
        <is>
          <t>55.774.785 Thiago Pinheiro da Silva</t>
        </is>
      </c>
      <c r="I1883" t="n">
        <v>-1125</v>
      </c>
    </row>
    <row r="1884">
      <c r="A1884" t="n">
        <v>121789</v>
      </c>
      <c r="B1884" t="n">
        <v>182</v>
      </c>
      <c r="C1884" t="inlineStr">
        <is>
          <t>Love - Shibari - Kamino</t>
        </is>
      </c>
      <c r="D1884" t="n">
        <v>128</v>
      </c>
      <c r="E1884" t="inlineStr">
        <is>
          <t>Love Cabaret</t>
        </is>
      </c>
      <c r="F1884" s="27" t="n">
        <v>45845</v>
      </c>
      <c r="G1884" t="inlineStr">
        <is>
          <t>DEBITO</t>
        </is>
      </c>
      <c r="H1884" t="inlineStr">
        <is>
          <t>Ciclo com e Participacoes Ltda</t>
        </is>
      </c>
      <c r="I1884" t="n">
        <v>-37540.92</v>
      </c>
    </row>
    <row r="1885">
      <c r="A1885" t="n">
        <v>121790</v>
      </c>
      <c r="B1885" t="n">
        <v>182</v>
      </c>
      <c r="C1885" t="inlineStr">
        <is>
          <t>Love - Shibari - Kamino</t>
        </is>
      </c>
      <c r="D1885" t="n">
        <v>128</v>
      </c>
      <c r="E1885" t="inlineStr">
        <is>
          <t>Love Cabaret</t>
        </is>
      </c>
      <c r="F1885" s="27" t="n">
        <v>45845</v>
      </c>
      <c r="G1885" t="inlineStr">
        <is>
          <t>DEBITO</t>
        </is>
      </c>
      <c r="H1885" t="inlineStr">
        <is>
          <t>Leon Franz</t>
        </is>
      </c>
      <c r="I1885" t="n">
        <v>-8500</v>
      </c>
    </row>
    <row r="1886">
      <c r="A1886" t="n">
        <v>121791</v>
      </c>
      <c r="B1886" t="n">
        <v>182</v>
      </c>
      <c r="C1886" t="inlineStr">
        <is>
          <t>Love - Shibari - Kamino</t>
        </is>
      </c>
      <c r="D1886" t="n">
        <v>128</v>
      </c>
      <c r="E1886" t="inlineStr">
        <is>
          <t>Love Cabaret</t>
        </is>
      </c>
      <c r="F1886" s="27" t="n">
        <v>45845</v>
      </c>
      <c r="G1886" t="inlineStr">
        <is>
          <t>DEBITO</t>
        </is>
      </c>
      <c r="H1886" t="inlineStr">
        <is>
          <t>55.214.822 Wagner da Silva Franca</t>
        </is>
      </c>
      <c r="I1886" t="n">
        <v>-4000</v>
      </c>
    </row>
    <row r="1887">
      <c r="A1887" t="n">
        <v>121793</v>
      </c>
      <c r="B1887" t="n">
        <v>182</v>
      </c>
      <c r="C1887" t="inlineStr">
        <is>
          <t>Love - Shibari - Kamino</t>
        </is>
      </c>
      <c r="D1887" t="n">
        <v>128</v>
      </c>
      <c r="E1887" t="inlineStr">
        <is>
          <t>Love Cabaret</t>
        </is>
      </c>
      <c r="F1887" s="27" t="n">
        <v>45845</v>
      </c>
      <c r="G1887" t="inlineStr">
        <is>
          <t>DEBITO</t>
        </is>
      </c>
      <c r="H1887" t="inlineStr">
        <is>
          <t>Indra Haretrava</t>
        </is>
      </c>
      <c r="I1887" t="n">
        <v>-7420</v>
      </c>
    </row>
    <row r="1888">
      <c r="A1888" t="n">
        <v>121785</v>
      </c>
      <c r="B1888" t="n">
        <v>182</v>
      </c>
      <c r="C1888" t="inlineStr">
        <is>
          <t>Love - Shibari - Kamino</t>
        </is>
      </c>
      <c r="D1888" t="n">
        <v>128</v>
      </c>
      <c r="E1888" t="inlineStr">
        <is>
          <t>Love Cabaret</t>
        </is>
      </c>
      <c r="F1888" s="27" t="n">
        <v>45845</v>
      </c>
      <c r="G1888" t="inlineStr">
        <is>
          <t>DEBITO</t>
        </is>
      </c>
      <c r="H1888" t="inlineStr">
        <is>
          <t>53.068.043 Isabella Fernandes Gomes</t>
        </is>
      </c>
      <c r="I1888" t="n">
        <v>-1200</v>
      </c>
    </row>
    <row r="1889">
      <c r="A1889" t="n">
        <v>121655</v>
      </c>
      <c r="B1889" t="n">
        <v>115</v>
      </c>
      <c r="C1889" t="inlineStr">
        <is>
          <t>Love - Shibari - Bradesco</t>
        </is>
      </c>
      <c r="D1889" t="n">
        <v>128</v>
      </c>
      <c r="E1889" t="inlineStr">
        <is>
          <t>Love Cabaret</t>
        </is>
      </c>
      <c r="F1889" s="27" t="n">
        <v>45842.5</v>
      </c>
      <c r="G1889" t="inlineStr">
        <is>
          <t>DEBITO</t>
        </is>
      </c>
      <c r="H1889" t="inlineStr">
        <is>
          <t>PAGTO ELETRON  COBRANCA 592138298</t>
        </is>
      </c>
      <c r="I1889" t="n">
        <v>-25250</v>
      </c>
    </row>
    <row r="1890">
      <c r="A1890" t="n">
        <v>121656</v>
      </c>
      <c r="B1890" t="n">
        <v>115</v>
      </c>
      <c r="C1890" t="inlineStr">
        <is>
          <t>Love - Shibari - Bradesco</t>
        </is>
      </c>
      <c r="D1890" t="n">
        <v>128</v>
      </c>
      <c r="E1890" t="inlineStr">
        <is>
          <t>Love Cabaret</t>
        </is>
      </c>
      <c r="F1890" s="27" t="n">
        <v>45842.5</v>
      </c>
      <c r="G1890" t="inlineStr">
        <is>
          <t>DEBITO</t>
        </is>
      </c>
      <c r="H1890" t="inlineStr">
        <is>
          <t>TARIFA BANCARIA TRANSF PGTO PIX</t>
        </is>
      </c>
      <c r="I1890" t="n">
        <v>-9.800000000000001</v>
      </c>
    </row>
    <row r="1891">
      <c r="A1891" t="n">
        <v>121650</v>
      </c>
      <c r="B1891" t="n">
        <v>115</v>
      </c>
      <c r="C1891" t="inlineStr">
        <is>
          <t>Love - Shibari - Bradesco</t>
        </is>
      </c>
      <c r="D1891" t="n">
        <v>128</v>
      </c>
      <c r="E1891" t="inlineStr">
        <is>
          <t>Love Cabaret</t>
        </is>
      </c>
      <c r="F1891" s="27" t="n">
        <v>45841.5</v>
      </c>
      <c r="G1891" t="inlineStr">
        <is>
          <t>CREDITO</t>
        </is>
      </c>
      <c r="H1891" t="inlineStr">
        <is>
          <t>TRANSFERENCIA PIX REM: Victor Makoto Ozako   03/07</t>
        </is>
      </c>
      <c r="I1891" t="n">
        <v>520</v>
      </c>
    </row>
    <row r="1892">
      <c r="A1892" t="n">
        <v>121649</v>
      </c>
      <c r="B1892" t="n">
        <v>115</v>
      </c>
      <c r="C1892" t="inlineStr">
        <is>
          <t>Love - Shibari - Bradesco</t>
        </is>
      </c>
      <c r="D1892" t="n">
        <v>128</v>
      </c>
      <c r="E1892" t="inlineStr">
        <is>
          <t>Love Cabaret</t>
        </is>
      </c>
      <c r="F1892" s="27" t="n">
        <v>45840.5</v>
      </c>
      <c r="G1892" t="inlineStr">
        <is>
          <t>DEBITO</t>
        </is>
      </c>
      <c r="H1892" t="inlineStr">
        <is>
          <t>TRANSFERENCIA PIX DES: SHIBARI ART E DIVERSA 02/07</t>
        </is>
      </c>
      <c r="I1892" t="n">
        <v>-40000</v>
      </c>
    </row>
    <row r="1893">
      <c r="A1893" t="n">
        <v>121648</v>
      </c>
      <c r="B1893" t="n">
        <v>115</v>
      </c>
      <c r="C1893" t="inlineStr">
        <is>
          <t>Love - Shibari - Bradesco</t>
        </is>
      </c>
      <c r="D1893" t="n">
        <v>128</v>
      </c>
      <c r="E1893" t="inlineStr">
        <is>
          <t>Love Cabaret</t>
        </is>
      </c>
      <c r="F1893" s="27" t="n">
        <v>45840.5</v>
      </c>
      <c r="G1893" t="inlineStr">
        <is>
          <t>DEBITO</t>
        </is>
      </c>
      <c r="H1893" t="inlineStr">
        <is>
          <t>PGTO SALARIO VIA NET EMP</t>
        </is>
      </c>
      <c r="I1893" t="n">
        <v>-4909.1</v>
      </c>
    </row>
    <row r="1894">
      <c r="A1894" t="n">
        <v>121647</v>
      </c>
      <c r="B1894" t="n">
        <v>115</v>
      </c>
      <c r="C1894" t="inlineStr">
        <is>
          <t>Love - Shibari - Bradesco</t>
        </is>
      </c>
      <c r="D1894" t="n">
        <v>128</v>
      </c>
      <c r="E1894" t="inlineStr">
        <is>
          <t>Love Cabaret</t>
        </is>
      </c>
      <c r="F1894" s="27" t="n">
        <v>45840.5</v>
      </c>
      <c r="G1894" t="inlineStr">
        <is>
          <t>DEBITO</t>
        </is>
      </c>
      <c r="H1894" t="inlineStr">
        <is>
          <t>TARIFA BANCARIA TRANSF PGTO PIX</t>
        </is>
      </c>
      <c r="I1894" t="n">
        <v>-9.800000000000001</v>
      </c>
    </row>
    <row r="1895">
      <c r="A1895" t="n">
        <v>121643</v>
      </c>
      <c r="B1895" t="n">
        <v>115</v>
      </c>
      <c r="C1895" t="inlineStr">
        <is>
          <t>Love - Shibari - Bradesco</t>
        </is>
      </c>
      <c r="D1895" t="n">
        <v>128</v>
      </c>
      <c r="E1895" t="inlineStr">
        <is>
          <t>Love Cabaret</t>
        </is>
      </c>
      <c r="F1895" s="27" t="n">
        <v>45840.5</v>
      </c>
      <c r="G1895" t="inlineStr">
        <is>
          <t>CREDITO</t>
        </is>
      </c>
      <c r="H1895" t="inlineStr">
        <is>
          <t>TRANSFERENCIA PIX REM: MACHINE SEGURANCA PAT 02/07</t>
        </is>
      </c>
      <c r="I1895" t="n">
        <v>1063.05</v>
      </c>
    </row>
    <row r="1896">
      <c r="A1896" t="n">
        <v>121642</v>
      </c>
      <c r="B1896" t="n">
        <v>115</v>
      </c>
      <c r="C1896" t="inlineStr">
        <is>
          <t>Love - Shibari - Bradesco</t>
        </is>
      </c>
      <c r="D1896" t="n">
        <v>128</v>
      </c>
      <c r="E1896" t="inlineStr">
        <is>
          <t>Love Cabaret</t>
        </is>
      </c>
      <c r="F1896" s="27" t="n">
        <v>45840.5</v>
      </c>
      <c r="G1896" t="inlineStr">
        <is>
          <t>CREDITO</t>
        </is>
      </c>
      <c r="H1896" t="inlineStr">
        <is>
          <t>TRANSFERENCIA PIX REM: Andressa Brando Aire 02/07</t>
        </is>
      </c>
      <c r="I1896" t="n">
        <v>600</v>
      </c>
    </row>
    <row r="1897">
      <c r="A1897" t="n">
        <v>121641</v>
      </c>
      <c r="B1897" t="n">
        <v>115</v>
      </c>
      <c r="C1897" t="inlineStr">
        <is>
          <t>Love - Shibari - Bradesco</t>
        </is>
      </c>
      <c r="D1897" t="n">
        <v>128</v>
      </c>
      <c r="E1897" t="inlineStr">
        <is>
          <t>Love Cabaret</t>
        </is>
      </c>
      <c r="F1897" s="27" t="n">
        <v>45840.5</v>
      </c>
      <c r="G1897" t="inlineStr">
        <is>
          <t>CREDITO</t>
        </is>
      </c>
      <c r="H1897" t="inlineStr">
        <is>
          <t>TED-TRANSF ELET DISPON REMET.SYMPLA INTERNET SOLU</t>
        </is>
      </c>
      <c r="I1897" t="n">
        <v>7155</v>
      </c>
    </row>
    <row r="1898">
      <c r="A1898" t="n">
        <v>121640</v>
      </c>
      <c r="B1898" t="n">
        <v>115</v>
      </c>
      <c r="C1898" t="inlineStr">
        <is>
          <t>Love - Shibari - Bradesco</t>
        </is>
      </c>
      <c r="D1898" t="n">
        <v>128</v>
      </c>
      <c r="E1898" t="inlineStr">
        <is>
          <t>Love Cabaret</t>
        </is>
      </c>
      <c r="F1898" s="27" t="n">
        <v>45840.5</v>
      </c>
      <c r="G1898" t="inlineStr">
        <is>
          <t>CREDITO</t>
        </is>
      </c>
      <c r="H1898" t="inlineStr">
        <is>
          <t>TED-TRANSF ELET DISPON REMET.SYMPLA INTERNET SOLU</t>
        </is>
      </c>
      <c r="I1898" t="n">
        <v>7110</v>
      </c>
    </row>
    <row r="1899">
      <c r="A1899" t="n">
        <v>121742</v>
      </c>
      <c r="B1899" t="n">
        <v>182</v>
      </c>
      <c r="C1899" t="inlineStr">
        <is>
          <t>Love - Shibari - Kamino</t>
        </is>
      </c>
      <c r="D1899" t="n">
        <v>128</v>
      </c>
      <c r="E1899" t="inlineStr">
        <is>
          <t>Love Cabaret</t>
        </is>
      </c>
      <c r="F1899" s="27" t="n">
        <v>45840</v>
      </c>
      <c r="G1899" t="inlineStr">
        <is>
          <t>DEBITO</t>
        </is>
      </c>
      <c r="H1899" t="inlineStr">
        <is>
          <t>Facebook Processado por Adyen</t>
        </is>
      </c>
      <c r="I1899" t="n">
        <v>-5000</v>
      </c>
    </row>
    <row r="1900">
      <c r="A1900" t="n">
        <v>121741</v>
      </c>
      <c r="B1900" t="n">
        <v>182</v>
      </c>
      <c r="C1900" t="inlineStr">
        <is>
          <t>Love - Shibari - Kamino</t>
        </is>
      </c>
      <c r="D1900" t="n">
        <v>128</v>
      </c>
      <c r="E1900" t="inlineStr">
        <is>
          <t>Love Cabaret</t>
        </is>
      </c>
      <c r="F1900" s="27" t="n">
        <v>45840</v>
      </c>
      <c r="G1900" t="inlineStr">
        <is>
          <t>DEBITO</t>
        </is>
      </c>
      <c r="H1900" t="inlineStr">
        <is>
          <t>Easy Ice Solution Ltda Me</t>
        </is>
      </c>
      <c r="I1900" t="n">
        <v>-1600</v>
      </c>
    </row>
    <row r="1901">
      <c r="A1901" t="n">
        <v>121740</v>
      </c>
      <c r="B1901" t="n">
        <v>182</v>
      </c>
      <c r="C1901" t="inlineStr">
        <is>
          <t>Love - Shibari - Kamino</t>
        </is>
      </c>
      <c r="D1901" t="n">
        <v>128</v>
      </c>
      <c r="E1901" t="inlineStr">
        <is>
          <t>Love Cabaret</t>
        </is>
      </c>
      <c r="F1901" s="27" t="n">
        <v>45840</v>
      </c>
      <c r="G1901" t="inlineStr">
        <is>
          <t>DEBITO</t>
        </is>
      </c>
      <c r="H1901" t="inlineStr">
        <is>
          <t>Fast Kitchen</t>
        </is>
      </c>
      <c r="I1901" t="n">
        <v>-1850</v>
      </c>
    </row>
    <row r="1902">
      <c r="A1902" t="n">
        <v>121739</v>
      </c>
      <c r="B1902" t="n">
        <v>182</v>
      </c>
      <c r="C1902" t="inlineStr">
        <is>
          <t>Love - Shibari - Kamino</t>
        </is>
      </c>
      <c r="D1902" t="n">
        <v>128</v>
      </c>
      <c r="E1902" t="inlineStr">
        <is>
          <t>Love Cabaret</t>
        </is>
      </c>
      <c r="F1902" s="27" t="n">
        <v>45840</v>
      </c>
      <c r="G1902" t="inlineStr">
        <is>
          <t>DEBITO</t>
        </is>
      </c>
      <c r="H1902" t="inlineStr">
        <is>
          <t>Chopp Fast D Bebidas Ltda</t>
        </is>
      </c>
      <c r="I1902" t="n">
        <v>-597.6</v>
      </c>
    </row>
    <row r="1903">
      <c r="A1903" t="n">
        <v>121738</v>
      </c>
      <c r="B1903" t="n">
        <v>182</v>
      </c>
      <c r="C1903" t="inlineStr">
        <is>
          <t>Love - Shibari - Kamino</t>
        </is>
      </c>
      <c r="D1903" t="n">
        <v>128</v>
      </c>
      <c r="E1903" t="inlineStr">
        <is>
          <t>Love Cabaret</t>
        </is>
      </c>
      <c r="F1903" s="27" t="n">
        <v>45840</v>
      </c>
      <c r="G1903" t="inlineStr">
        <is>
          <t>DEBITO</t>
        </is>
      </c>
      <c r="H1903" t="inlineStr">
        <is>
          <t>Ecad</t>
        </is>
      </c>
      <c r="I1903" t="n">
        <v>-802.5</v>
      </c>
    </row>
    <row r="1904">
      <c r="A1904" t="n">
        <v>121737</v>
      </c>
      <c r="B1904" t="n">
        <v>182</v>
      </c>
      <c r="C1904" t="inlineStr">
        <is>
          <t>Love - Shibari - Kamino</t>
        </is>
      </c>
      <c r="D1904" t="n">
        <v>128</v>
      </c>
      <c r="E1904" t="inlineStr">
        <is>
          <t>Love Cabaret</t>
        </is>
      </c>
      <c r="F1904" s="27" t="n">
        <v>45840</v>
      </c>
      <c r="G1904" t="inlineStr">
        <is>
          <t>DEBITO</t>
        </is>
      </c>
      <c r="H1904" t="inlineStr">
        <is>
          <t>Vitrus Glassware Ltda</t>
        </is>
      </c>
      <c r="I1904" t="n">
        <v>-1074.06</v>
      </c>
    </row>
    <row r="1905">
      <c r="A1905" t="n">
        <v>121736</v>
      </c>
      <c r="B1905" t="n">
        <v>182</v>
      </c>
      <c r="C1905" t="inlineStr">
        <is>
          <t>Love - Shibari - Kamino</t>
        </is>
      </c>
      <c r="D1905" t="n">
        <v>128</v>
      </c>
      <c r="E1905" t="inlineStr">
        <is>
          <t>Love Cabaret</t>
        </is>
      </c>
      <c r="F1905" s="27" t="n">
        <v>45840</v>
      </c>
      <c r="G1905" t="inlineStr">
        <is>
          <t>DEBITO</t>
        </is>
      </c>
      <c r="H1905" t="inlineStr">
        <is>
          <t>Eletropaulo Metropolitana</t>
        </is>
      </c>
      <c r="I1905" t="n">
        <v>-2927.27</v>
      </c>
    </row>
    <row r="1906">
      <c r="A1906" t="n">
        <v>121735</v>
      </c>
      <c r="B1906" t="n">
        <v>182</v>
      </c>
      <c r="C1906" t="inlineStr">
        <is>
          <t>Love - Shibari - Kamino</t>
        </is>
      </c>
      <c r="D1906" t="n">
        <v>128</v>
      </c>
      <c r="E1906" t="inlineStr">
        <is>
          <t>Love Cabaret</t>
        </is>
      </c>
      <c r="F1906" s="27" t="n">
        <v>45840</v>
      </c>
      <c r="G1906" t="inlineStr">
        <is>
          <t>DEBITO</t>
        </is>
      </c>
      <c r="H1906" t="inlineStr">
        <is>
          <t>Eletropaulo Metropolitana</t>
        </is>
      </c>
      <c r="I1906" t="n">
        <v>-90.47</v>
      </c>
    </row>
    <row r="1907">
      <c r="A1907" t="n">
        <v>121734</v>
      </c>
      <c r="B1907" t="n">
        <v>182</v>
      </c>
      <c r="C1907" t="inlineStr">
        <is>
          <t>Love - Shibari - Kamino</t>
        </is>
      </c>
      <c r="D1907" t="n">
        <v>128</v>
      </c>
      <c r="E1907" t="inlineStr">
        <is>
          <t>Love Cabaret</t>
        </is>
      </c>
      <c r="F1907" s="27" t="n">
        <v>45840</v>
      </c>
      <c r="G1907" t="inlineStr">
        <is>
          <t>DEBITO</t>
        </is>
      </c>
      <c r="H1907" t="inlineStr">
        <is>
          <t>Estaff Solucoes Tecnologicas de Agenciam</t>
        </is>
      </c>
      <c r="I1907" t="n">
        <v>-13216.8</v>
      </c>
    </row>
    <row r="1908">
      <c r="A1908" t="n">
        <v>121733</v>
      </c>
      <c r="B1908" t="n">
        <v>182</v>
      </c>
      <c r="C1908" t="inlineStr">
        <is>
          <t>Love - Shibari - Kamino</t>
        </is>
      </c>
      <c r="D1908" t="n">
        <v>128</v>
      </c>
      <c r="E1908" t="inlineStr">
        <is>
          <t>Love Cabaret</t>
        </is>
      </c>
      <c r="F1908" s="27" t="n">
        <v>45840</v>
      </c>
      <c r="G1908" t="inlineStr">
        <is>
          <t>DEBITO</t>
        </is>
      </c>
      <c r="H1908" t="inlineStr">
        <is>
          <t>Agencia Bioma</t>
        </is>
      </c>
      <c r="I1908" t="n">
        <v>-7000</v>
      </c>
    </row>
    <row r="1909">
      <c r="A1909" t="n">
        <v>121732</v>
      </c>
      <c r="B1909" t="n">
        <v>182</v>
      </c>
      <c r="C1909" t="inlineStr">
        <is>
          <t>Love - Shibari - Kamino</t>
        </is>
      </c>
      <c r="D1909" t="n">
        <v>128</v>
      </c>
      <c r="E1909" t="inlineStr">
        <is>
          <t>Love Cabaret</t>
        </is>
      </c>
      <c r="F1909" s="27" t="n">
        <v>45840</v>
      </c>
      <c r="G1909" t="inlineStr">
        <is>
          <t>DEBITO</t>
        </is>
      </c>
      <c r="H1909" t="inlineStr">
        <is>
          <t>55.866.682 Mateus Silveira Cezar</t>
        </is>
      </c>
      <c r="I1909" t="n">
        <v>-1800</v>
      </c>
    </row>
    <row r="1910">
      <c r="A1910" t="n">
        <v>121731</v>
      </c>
      <c r="B1910" t="n">
        <v>182</v>
      </c>
      <c r="C1910" t="inlineStr">
        <is>
          <t>Love - Shibari - Kamino</t>
        </is>
      </c>
      <c r="D1910" t="n">
        <v>128</v>
      </c>
      <c r="E1910" t="inlineStr">
        <is>
          <t>Love Cabaret</t>
        </is>
      </c>
      <c r="F1910" s="27" t="n">
        <v>45840</v>
      </c>
      <c r="G1910" t="inlineStr">
        <is>
          <t>DEBITO</t>
        </is>
      </c>
      <c r="H1910" t="inlineStr">
        <is>
          <t>Piramides Distribuidora Ltda</t>
        </is>
      </c>
      <c r="I1910" t="n">
        <v>-187.45</v>
      </c>
    </row>
    <row r="1911">
      <c r="A1911" t="n">
        <v>121730</v>
      </c>
      <c r="B1911" t="n">
        <v>182</v>
      </c>
      <c r="C1911" t="inlineStr">
        <is>
          <t>Love - Shibari - Kamino</t>
        </is>
      </c>
      <c r="D1911" t="n">
        <v>128</v>
      </c>
      <c r="E1911" t="inlineStr">
        <is>
          <t>Love Cabaret</t>
        </is>
      </c>
      <c r="F1911" s="27" t="n">
        <v>45840</v>
      </c>
      <c r="G1911" t="inlineStr">
        <is>
          <t>DEBITO</t>
        </is>
      </c>
      <c r="H1911" t="inlineStr">
        <is>
          <t>Cia do Whisky</t>
        </is>
      </c>
      <c r="I1911" t="n">
        <v>-943.24</v>
      </c>
    </row>
    <row r="1912">
      <c r="A1912" t="n">
        <v>121729</v>
      </c>
      <c r="B1912" t="n">
        <v>182</v>
      </c>
      <c r="C1912" t="inlineStr">
        <is>
          <t>Love - Shibari - Kamino</t>
        </is>
      </c>
      <c r="D1912" t="n">
        <v>128</v>
      </c>
      <c r="E1912" t="inlineStr">
        <is>
          <t>Love Cabaret</t>
        </is>
      </c>
      <c r="F1912" s="27" t="n">
        <v>45840</v>
      </c>
      <c r="G1912" t="inlineStr">
        <is>
          <t>CREDITO</t>
        </is>
      </c>
      <c r="H1912" t="inlineStr">
        <is>
          <t>SHIBARI ART E DIVERSAO LTDA</t>
        </is>
      </c>
      <c r="I1912" t="n">
        <v>40000</v>
      </c>
    </row>
    <row r="1913">
      <c r="A1913" t="n">
        <v>121743</v>
      </c>
      <c r="B1913" t="n">
        <v>182</v>
      </c>
      <c r="C1913" t="inlineStr">
        <is>
          <t>Love - Shibari - Kamino</t>
        </is>
      </c>
      <c r="D1913" t="n">
        <v>128</v>
      </c>
      <c r="E1913" t="inlineStr">
        <is>
          <t>Love Cabaret</t>
        </is>
      </c>
      <c r="F1913" s="27" t="n">
        <v>45840</v>
      </c>
      <c r="G1913" t="inlineStr">
        <is>
          <t>DEBITO</t>
        </is>
      </c>
      <c r="H1913" t="inlineStr">
        <is>
          <t>Cecilia Tsuyaco Araki Silva Ltda</t>
        </is>
      </c>
      <c r="I1913" t="n">
        <v>-239.8</v>
      </c>
    </row>
    <row r="1914">
      <c r="A1914" t="n">
        <v>121638</v>
      </c>
      <c r="B1914" t="n">
        <v>115</v>
      </c>
      <c r="C1914" t="inlineStr">
        <is>
          <t>Love - Shibari - Bradesco</t>
        </is>
      </c>
      <c r="D1914" t="n">
        <v>128</v>
      </c>
      <c r="E1914" t="inlineStr">
        <is>
          <t>Love Cabaret</t>
        </is>
      </c>
      <c r="F1914" s="27" t="n">
        <v>45839.5</v>
      </c>
      <c r="G1914" t="inlineStr">
        <is>
          <t>CREDITO</t>
        </is>
      </c>
      <c r="H1914" t="inlineStr">
        <is>
          <t>DEP DINHEIRO ATM AG00117MAQ061059SEQ06763</t>
        </is>
      </c>
      <c r="I1914" t="n">
        <v>1455</v>
      </c>
    </row>
    <row r="1915">
      <c r="A1915" t="n">
        <v>121637</v>
      </c>
      <c r="B1915" t="n">
        <v>115</v>
      </c>
      <c r="C1915" t="inlineStr">
        <is>
          <t>Love - Shibari - Bradesco</t>
        </is>
      </c>
      <c r="D1915" t="n">
        <v>128</v>
      </c>
      <c r="E1915" t="inlineStr">
        <is>
          <t>Love Cabaret</t>
        </is>
      </c>
      <c r="F1915" s="27" t="n">
        <v>45839.5</v>
      </c>
      <c r="G1915" t="inlineStr">
        <is>
          <t>CREDITO</t>
        </is>
      </c>
      <c r="H1915" t="inlineStr">
        <is>
          <t>TED-TRANSF ELET DISPON REMET.SYMPLA INTERNET SOLU</t>
        </is>
      </c>
      <c r="I1915" t="n">
        <v>4290</v>
      </c>
    </row>
    <row r="1916">
      <c r="A1916" t="n">
        <v>121639</v>
      </c>
      <c r="B1916" t="n">
        <v>115</v>
      </c>
      <c r="C1916" t="inlineStr">
        <is>
          <t>Love - Shibari - Bradesco</t>
        </is>
      </c>
      <c r="D1916" t="n">
        <v>128</v>
      </c>
      <c r="E1916" t="inlineStr">
        <is>
          <t>Love Cabaret</t>
        </is>
      </c>
      <c r="F1916" s="27" t="n">
        <v>45839.5</v>
      </c>
      <c r="G1916" t="inlineStr">
        <is>
          <t>CREDITO</t>
        </is>
      </c>
      <c r="H1916" t="inlineStr">
        <is>
          <t>TRANSFERENCIA PIX REM: SHIBARI ART E DIVERSA 01/07</t>
        </is>
      </c>
      <c r="I1916" t="n">
        <v>16036.97</v>
      </c>
    </row>
    <row r="1917">
      <c r="A1917" t="n">
        <v>113787</v>
      </c>
      <c r="B1917" t="n">
        <v>115</v>
      </c>
      <c r="C1917" t="inlineStr">
        <is>
          <t>Love - Shibari - Bradesco</t>
        </is>
      </c>
      <c r="D1917" t="n">
        <v>128</v>
      </c>
      <c r="E1917" t="inlineStr">
        <is>
          <t>Love Cabaret</t>
        </is>
      </c>
      <c r="F1917" s="27" t="n">
        <v>45838.5</v>
      </c>
      <c r="G1917" t="inlineStr">
        <is>
          <t>CREDITO</t>
        </is>
      </c>
      <c r="H1917" t="inlineStr">
        <is>
          <t>TRANSFERENCIA PIX REM: SHIBARI ART E DIVERSA 30/06</t>
        </is>
      </c>
      <c r="I1917" t="n">
        <v>35312.46</v>
      </c>
    </row>
    <row r="1918">
      <c r="A1918" t="n">
        <v>113792</v>
      </c>
      <c r="B1918" t="n">
        <v>115</v>
      </c>
      <c r="C1918" t="inlineStr">
        <is>
          <t>Love - Shibari - Bradesco</t>
        </is>
      </c>
      <c r="D1918" t="n">
        <v>128</v>
      </c>
      <c r="E1918" t="inlineStr">
        <is>
          <t>Love Cabaret</t>
        </is>
      </c>
      <c r="F1918" s="27" t="n">
        <v>45838.5</v>
      </c>
      <c r="G1918" t="inlineStr">
        <is>
          <t>DEBITO</t>
        </is>
      </c>
      <c r="H1918" t="inlineStr">
        <is>
          <t>PARCELAMENTO DE DARF PARCELAMENTO DE DARF-207024</t>
        </is>
      </c>
      <c r="I1918" t="n">
        <v>-20271.85</v>
      </c>
    </row>
    <row r="1919">
      <c r="A1919" t="n">
        <v>113791</v>
      </c>
      <c r="B1919" t="n">
        <v>115</v>
      </c>
      <c r="C1919" t="inlineStr">
        <is>
          <t>Love - Shibari - Bradesco</t>
        </is>
      </c>
      <c r="D1919" t="n">
        <v>128</v>
      </c>
      <c r="E1919" t="inlineStr">
        <is>
          <t>Love Cabaret</t>
        </is>
      </c>
      <c r="F1919" s="27" t="n">
        <v>45838.5</v>
      </c>
      <c r="G1919" t="inlineStr">
        <is>
          <t>DEBITO</t>
        </is>
      </c>
      <c r="H1919" t="inlineStr">
        <is>
          <t>TRANSFERENCIA PIX DES: SHIBARI ART E DIVERSA 30/06</t>
        </is>
      </c>
      <c r="I1919" t="n">
        <v>-60000</v>
      </c>
    </row>
    <row r="1920">
      <c r="A1920" t="n">
        <v>113935</v>
      </c>
      <c r="B1920" t="n">
        <v>182</v>
      </c>
      <c r="C1920" t="inlineStr">
        <is>
          <t>Love - Shibari - Kamino</t>
        </is>
      </c>
      <c r="D1920" t="n">
        <v>128</v>
      </c>
      <c r="E1920" t="inlineStr">
        <is>
          <t>Love Cabaret</t>
        </is>
      </c>
      <c r="F1920" s="27" t="n">
        <v>45838</v>
      </c>
      <c r="G1920" t="inlineStr">
        <is>
          <t>DEBITO</t>
        </is>
      </c>
      <c r="H1920" t="inlineStr">
        <is>
          <t>Receita Federal</t>
        </is>
      </c>
      <c r="I1920" t="n">
        <v>-602.15</v>
      </c>
    </row>
    <row r="1921">
      <c r="A1921" t="n">
        <v>113943</v>
      </c>
      <c r="B1921" t="n">
        <v>182</v>
      </c>
      <c r="C1921" t="inlineStr">
        <is>
          <t>Love - Shibari - Kamino</t>
        </is>
      </c>
      <c r="D1921" t="n">
        <v>128</v>
      </c>
      <c r="E1921" t="inlineStr">
        <is>
          <t>Love Cabaret</t>
        </is>
      </c>
      <c r="F1921" s="27" t="n">
        <v>45838</v>
      </c>
      <c r="G1921" t="inlineStr">
        <is>
          <t>DEBITO</t>
        </is>
      </c>
      <c r="H1921" t="inlineStr">
        <is>
          <t>Receita Federal</t>
        </is>
      </c>
      <c r="I1921" t="n">
        <v>-988.49</v>
      </c>
    </row>
    <row r="1922">
      <c r="A1922" t="n">
        <v>113942</v>
      </c>
      <c r="B1922" t="n">
        <v>182</v>
      </c>
      <c r="C1922" t="inlineStr">
        <is>
          <t>Love - Shibari - Kamino</t>
        </is>
      </c>
      <c r="D1922" t="n">
        <v>128</v>
      </c>
      <c r="E1922" t="inlineStr">
        <is>
          <t>Love Cabaret</t>
        </is>
      </c>
      <c r="F1922" s="27" t="n">
        <v>45838</v>
      </c>
      <c r="G1922" t="inlineStr">
        <is>
          <t>DEBITO</t>
        </is>
      </c>
      <c r="H1922" t="inlineStr">
        <is>
          <t>Cecilia Tsuyaco Araki Silva Ltda</t>
        </is>
      </c>
      <c r="I1922" t="n">
        <v>-110.4</v>
      </c>
    </row>
    <row r="1923">
      <c r="A1923" t="n">
        <v>113941</v>
      </c>
      <c r="B1923" t="n">
        <v>182</v>
      </c>
      <c r="C1923" t="inlineStr">
        <is>
          <t>Love - Shibari - Kamino</t>
        </is>
      </c>
      <c r="D1923" t="n">
        <v>128</v>
      </c>
      <c r="E1923" t="inlineStr">
        <is>
          <t>Love Cabaret</t>
        </is>
      </c>
      <c r="F1923" s="27" t="n">
        <v>45838</v>
      </c>
      <c r="G1923" t="inlineStr">
        <is>
          <t>DEBITO</t>
        </is>
      </c>
      <c r="H1923" t="inlineStr">
        <is>
          <t>Fabrica de Bares Servicos Ltda</t>
        </is>
      </c>
      <c r="I1923" t="n">
        <v>-9026.9</v>
      </c>
    </row>
    <row r="1924">
      <c r="A1924" t="n">
        <v>113940</v>
      </c>
      <c r="B1924" t="n">
        <v>182</v>
      </c>
      <c r="C1924" t="inlineStr">
        <is>
          <t>Love - Shibari - Kamino</t>
        </is>
      </c>
      <c r="D1924" t="n">
        <v>128</v>
      </c>
      <c r="E1924" t="inlineStr">
        <is>
          <t>Love Cabaret</t>
        </is>
      </c>
      <c r="F1924" s="27" t="n">
        <v>45838</v>
      </c>
      <c r="G1924" t="inlineStr">
        <is>
          <t>DEBITO</t>
        </is>
      </c>
      <c r="H1924" t="inlineStr">
        <is>
          <t>Andr Medeiros Martins de Oliveira</t>
        </is>
      </c>
      <c r="I1924" t="n">
        <v>-500</v>
      </c>
    </row>
    <row r="1925">
      <c r="A1925" t="n">
        <v>113939</v>
      </c>
      <c r="B1925" t="n">
        <v>182</v>
      </c>
      <c r="C1925" t="inlineStr">
        <is>
          <t>Love - Shibari - Kamino</t>
        </is>
      </c>
      <c r="D1925" t="n">
        <v>128</v>
      </c>
      <c r="E1925" t="inlineStr">
        <is>
          <t>Love Cabaret</t>
        </is>
      </c>
      <c r="F1925" s="27" t="n">
        <v>45838</v>
      </c>
      <c r="G1925" t="inlineStr">
        <is>
          <t>DEBITO</t>
        </is>
      </c>
      <c r="H1925" t="inlineStr">
        <is>
          <t>Tarifa Transf Bancaria Enviada</t>
        </is>
      </c>
      <c r="I1925" t="n">
        <v>-2</v>
      </c>
    </row>
    <row r="1926">
      <c r="A1926" t="n">
        <v>113938</v>
      </c>
      <c r="B1926" t="n">
        <v>182</v>
      </c>
      <c r="C1926" t="inlineStr">
        <is>
          <t>Love - Shibari - Kamino</t>
        </is>
      </c>
      <c r="D1926" t="n">
        <v>128</v>
      </c>
      <c r="E1926" t="inlineStr">
        <is>
          <t>Love Cabaret</t>
        </is>
      </c>
      <c r="F1926" s="27" t="n">
        <v>45838</v>
      </c>
      <c r="G1926" t="inlineStr">
        <is>
          <t>DEBITO</t>
        </is>
      </c>
      <c r="H1926" t="inlineStr">
        <is>
          <t>Psss Ltda</t>
        </is>
      </c>
      <c r="I1926" t="n">
        <v>-336.56</v>
      </c>
    </row>
    <row r="1927">
      <c r="A1927" t="n">
        <v>113937</v>
      </c>
      <c r="B1927" t="n">
        <v>182</v>
      </c>
      <c r="C1927" t="inlineStr">
        <is>
          <t>Love - Shibari - Kamino</t>
        </is>
      </c>
      <c r="D1927" t="n">
        <v>128</v>
      </c>
      <c r="E1927" t="inlineStr">
        <is>
          <t>Love Cabaret</t>
        </is>
      </c>
      <c r="F1927" s="27" t="n">
        <v>45838</v>
      </c>
      <c r="G1927" t="inlineStr">
        <is>
          <t>DEBITO</t>
        </is>
      </c>
      <c r="H1927" t="inlineStr">
        <is>
          <t>Receita Federal</t>
        </is>
      </c>
      <c r="I1927" t="n">
        <v>-788.72</v>
      </c>
    </row>
    <row r="1928">
      <c r="A1928" t="n">
        <v>113936</v>
      </c>
      <c r="B1928" t="n">
        <v>182</v>
      </c>
      <c r="C1928" t="inlineStr">
        <is>
          <t>Love - Shibari - Kamino</t>
        </is>
      </c>
      <c r="D1928" t="n">
        <v>128</v>
      </c>
      <c r="E1928" t="inlineStr">
        <is>
          <t>Love Cabaret</t>
        </is>
      </c>
      <c r="F1928" s="27" t="n">
        <v>45838</v>
      </c>
      <c r="G1928" t="inlineStr">
        <is>
          <t>DEBITO</t>
        </is>
      </c>
      <c r="H1928" t="inlineStr">
        <is>
          <t>Paramu Comercio R P a Ltda</t>
        </is>
      </c>
      <c r="I1928" t="n">
        <v>-630.12</v>
      </c>
    </row>
    <row r="1929">
      <c r="A1929" t="n">
        <v>113955</v>
      </c>
      <c r="B1929" t="n">
        <v>182</v>
      </c>
      <c r="C1929" t="inlineStr">
        <is>
          <t>Love - Shibari - Kamino</t>
        </is>
      </c>
      <c r="D1929" t="n">
        <v>128</v>
      </c>
      <c r="E1929" t="inlineStr">
        <is>
          <t>Love Cabaret</t>
        </is>
      </c>
      <c r="F1929" s="27" t="n">
        <v>45838</v>
      </c>
      <c r="G1929" t="inlineStr">
        <is>
          <t>DEBITO</t>
        </is>
      </c>
      <c r="H1929" t="inlineStr">
        <is>
          <t>T. F. Ciuffi Hortifruti Ltda</t>
        </is>
      </c>
      <c r="I1929" t="n">
        <v>-337.43</v>
      </c>
    </row>
    <row r="1930">
      <c r="A1930" t="n">
        <v>113934</v>
      </c>
      <c r="B1930" t="n">
        <v>182</v>
      </c>
      <c r="C1930" t="inlineStr">
        <is>
          <t>Love - Shibari - Kamino</t>
        </is>
      </c>
      <c r="D1930" t="n">
        <v>128</v>
      </c>
      <c r="E1930" t="inlineStr">
        <is>
          <t>Love Cabaret</t>
        </is>
      </c>
      <c r="F1930" s="27" t="n">
        <v>45838</v>
      </c>
      <c r="G1930" t="inlineStr">
        <is>
          <t>DEBITO</t>
        </is>
      </c>
      <c r="H1930" t="inlineStr">
        <is>
          <t>Dtk Comercio de Alimentos Ltda Epp</t>
        </is>
      </c>
      <c r="I1930" t="n">
        <v>-1230.59</v>
      </c>
    </row>
    <row r="1931">
      <c r="A1931" t="n">
        <v>113933</v>
      </c>
      <c r="B1931" t="n">
        <v>182</v>
      </c>
      <c r="C1931" t="inlineStr">
        <is>
          <t>Love - Shibari - Kamino</t>
        </is>
      </c>
      <c r="D1931" t="n">
        <v>128</v>
      </c>
      <c r="E1931" t="inlineStr">
        <is>
          <t>Love Cabaret</t>
        </is>
      </c>
      <c r="F1931" s="27" t="n">
        <v>45838</v>
      </c>
      <c r="G1931" t="inlineStr">
        <is>
          <t>DEBITO</t>
        </is>
      </c>
      <c r="H1931" t="inlineStr">
        <is>
          <t>Receita Federal</t>
        </is>
      </c>
      <c r="I1931" t="n">
        <v>-580.34</v>
      </c>
    </row>
    <row r="1932">
      <c r="A1932" t="n">
        <v>113932</v>
      </c>
      <c r="B1932" t="n">
        <v>182</v>
      </c>
      <c r="C1932" t="inlineStr">
        <is>
          <t>Love - Shibari - Kamino</t>
        </is>
      </c>
      <c r="D1932" t="n">
        <v>128</v>
      </c>
      <c r="E1932" t="inlineStr">
        <is>
          <t>Love Cabaret</t>
        </is>
      </c>
      <c r="F1932" s="27" t="n">
        <v>45838</v>
      </c>
      <c r="G1932" t="inlineStr">
        <is>
          <t>DEBITO</t>
        </is>
      </c>
      <c r="H1932" t="inlineStr">
        <is>
          <t>Paulo Cesar Medeiros Eyzano</t>
        </is>
      </c>
      <c r="I1932" t="n">
        <v>-3200</v>
      </c>
    </row>
    <row r="1933">
      <c r="A1933" t="n">
        <v>113931</v>
      </c>
      <c r="B1933" t="n">
        <v>182</v>
      </c>
      <c r="C1933" t="inlineStr">
        <is>
          <t>Love - Shibari - Kamino</t>
        </is>
      </c>
      <c r="D1933" t="n">
        <v>128</v>
      </c>
      <c r="E1933" t="inlineStr">
        <is>
          <t>Love Cabaret</t>
        </is>
      </c>
      <c r="F1933" s="27" t="n">
        <v>45838</v>
      </c>
      <c r="G1933" t="inlineStr">
        <is>
          <t>CREDITO</t>
        </is>
      </c>
      <c r="H1933" t="inlineStr">
        <is>
          <t>SHIBARI ART E DIVERSAO LTDA</t>
        </is>
      </c>
      <c r="I1933" t="n">
        <v>60000</v>
      </c>
    </row>
    <row r="1934">
      <c r="A1934" t="n">
        <v>113961</v>
      </c>
      <c r="B1934" t="n">
        <v>182</v>
      </c>
      <c r="C1934" t="inlineStr">
        <is>
          <t>Love - Shibari - Kamino</t>
        </is>
      </c>
      <c r="D1934" t="n">
        <v>128</v>
      </c>
      <c r="E1934" t="inlineStr">
        <is>
          <t>Love Cabaret</t>
        </is>
      </c>
      <c r="F1934" s="27" t="n">
        <v>45838</v>
      </c>
      <c r="G1934" t="inlineStr">
        <is>
          <t>DEBITO</t>
        </is>
      </c>
      <c r="H1934" t="inlineStr">
        <is>
          <t>Receita Federal</t>
        </is>
      </c>
      <c r="I1934" t="n">
        <v>-1918.51</v>
      </c>
    </row>
    <row r="1935">
      <c r="A1935" t="n">
        <v>113962</v>
      </c>
      <c r="B1935" t="n">
        <v>182</v>
      </c>
      <c r="C1935" t="inlineStr">
        <is>
          <t>Love - Shibari - Kamino</t>
        </is>
      </c>
      <c r="D1935" t="n">
        <v>128</v>
      </c>
      <c r="E1935" t="inlineStr">
        <is>
          <t>Love Cabaret</t>
        </is>
      </c>
      <c r="F1935" s="27" t="n">
        <v>45838</v>
      </c>
      <c r="G1935" t="inlineStr">
        <is>
          <t>DEBITO</t>
        </is>
      </c>
      <c r="H1935" t="inlineStr">
        <is>
          <t>Aurora Alvorada Estacionamento e Lanchon</t>
        </is>
      </c>
      <c r="I1935" t="n">
        <v>-216.65</v>
      </c>
    </row>
    <row r="1936">
      <c r="A1936" t="n">
        <v>113963</v>
      </c>
      <c r="B1936" t="n">
        <v>182</v>
      </c>
      <c r="C1936" t="inlineStr">
        <is>
          <t>Love - Shibari - Kamino</t>
        </is>
      </c>
      <c r="D1936" t="n">
        <v>128</v>
      </c>
      <c r="E1936" t="inlineStr">
        <is>
          <t>Love Cabaret</t>
        </is>
      </c>
      <c r="F1936" s="27" t="n">
        <v>45838</v>
      </c>
      <c r="G1936" t="inlineStr">
        <is>
          <t>DEBITO</t>
        </is>
      </c>
      <c r="H1936" t="inlineStr">
        <is>
          <t>Wide Stock com e Rep Ltda</t>
        </is>
      </c>
      <c r="I1936" t="n">
        <v>-368.8</v>
      </c>
    </row>
    <row r="1937">
      <c r="A1937" t="n">
        <v>113945</v>
      </c>
      <c r="B1937" t="n">
        <v>182</v>
      </c>
      <c r="C1937" t="inlineStr">
        <is>
          <t>Love - Shibari - Kamino</t>
        </is>
      </c>
      <c r="D1937" t="n">
        <v>128</v>
      </c>
      <c r="E1937" t="inlineStr">
        <is>
          <t>Love Cabaret</t>
        </is>
      </c>
      <c r="F1937" s="27" t="n">
        <v>45838</v>
      </c>
      <c r="G1937" t="inlineStr">
        <is>
          <t>DEBITO</t>
        </is>
      </c>
      <c r="H1937" t="inlineStr">
        <is>
          <t>Arena Bebidas</t>
        </is>
      </c>
      <c r="I1937" t="n">
        <v>-3952.8</v>
      </c>
    </row>
    <row r="1938">
      <c r="A1938" t="n">
        <v>113956</v>
      </c>
      <c r="B1938" t="n">
        <v>182</v>
      </c>
      <c r="C1938" t="inlineStr">
        <is>
          <t>Love - Shibari - Kamino</t>
        </is>
      </c>
      <c r="D1938" t="n">
        <v>128</v>
      </c>
      <c r="E1938" t="inlineStr">
        <is>
          <t>Love Cabaret</t>
        </is>
      </c>
      <c r="F1938" s="27" t="n">
        <v>45838</v>
      </c>
      <c r="G1938" t="inlineStr">
        <is>
          <t>DEBITO</t>
        </is>
      </c>
      <c r="H1938" t="inlineStr">
        <is>
          <t>Cg Food S Distr Alimentos Ltda</t>
        </is>
      </c>
      <c r="I1938" t="n">
        <v>-471</v>
      </c>
    </row>
    <row r="1939">
      <c r="A1939" t="n">
        <v>113957</v>
      </c>
      <c r="B1939" t="n">
        <v>182</v>
      </c>
      <c r="C1939" t="inlineStr">
        <is>
          <t>Love - Shibari - Kamino</t>
        </is>
      </c>
      <c r="D1939" t="n">
        <v>128</v>
      </c>
      <c r="E1939" t="inlineStr">
        <is>
          <t>Love Cabaret</t>
        </is>
      </c>
      <c r="F1939" s="27" t="n">
        <v>45838</v>
      </c>
      <c r="G1939" t="inlineStr">
        <is>
          <t>DEBITO</t>
        </is>
      </c>
      <c r="H1939" t="inlineStr">
        <is>
          <t>Fg7 Comercio D B Eireli Epp</t>
        </is>
      </c>
      <c r="I1939" t="n">
        <v>-457.4</v>
      </c>
    </row>
    <row r="1940">
      <c r="A1940" t="n">
        <v>113958</v>
      </c>
      <c r="B1940" t="n">
        <v>182</v>
      </c>
      <c r="C1940" t="inlineStr">
        <is>
          <t>Love - Shibari - Kamino</t>
        </is>
      </c>
      <c r="D1940" t="n">
        <v>128</v>
      </c>
      <c r="E1940" t="inlineStr">
        <is>
          <t>Love Cabaret</t>
        </is>
      </c>
      <c r="F1940" s="27" t="n">
        <v>45838</v>
      </c>
      <c r="G1940" t="inlineStr">
        <is>
          <t>DEBITO</t>
        </is>
      </c>
      <c r="H1940" t="inlineStr">
        <is>
          <t>Sao Paulo Transporte Sa</t>
        </is>
      </c>
      <c r="I1940" t="n">
        <v>-504.98</v>
      </c>
    </row>
    <row r="1941">
      <c r="A1941" t="n">
        <v>113954</v>
      </c>
      <c r="B1941" t="n">
        <v>182</v>
      </c>
      <c r="C1941" t="inlineStr">
        <is>
          <t>Love - Shibari - Kamino</t>
        </is>
      </c>
      <c r="D1941" t="n">
        <v>128</v>
      </c>
      <c r="E1941" t="inlineStr">
        <is>
          <t>Love Cabaret</t>
        </is>
      </c>
      <c r="F1941" s="27" t="n">
        <v>45838</v>
      </c>
      <c r="G1941" t="inlineStr">
        <is>
          <t>DEBITO</t>
        </is>
      </c>
      <c r="H1941" t="inlineStr">
        <is>
          <t>Cepel Comercio de Papeis e Emb</t>
        </is>
      </c>
      <c r="I1941" t="n">
        <v>-659</v>
      </c>
    </row>
    <row r="1942">
      <c r="A1942" t="n">
        <v>113953</v>
      </c>
      <c r="B1942" t="n">
        <v>182</v>
      </c>
      <c r="C1942" t="inlineStr">
        <is>
          <t>Love - Shibari - Kamino</t>
        </is>
      </c>
      <c r="D1942" t="n">
        <v>128</v>
      </c>
      <c r="E1942" t="inlineStr">
        <is>
          <t>Love Cabaret</t>
        </is>
      </c>
      <c r="F1942" s="27" t="n">
        <v>45838</v>
      </c>
      <c r="G1942" t="inlineStr">
        <is>
          <t>DEBITO</t>
        </is>
      </c>
      <c r="H1942" t="inlineStr">
        <is>
          <t>Ng27 Consultoria e Gestao Empr</t>
        </is>
      </c>
      <c r="I1942" t="n">
        <v>-344</v>
      </c>
    </row>
    <row r="1943">
      <c r="A1943" t="n">
        <v>113959</v>
      </c>
      <c r="B1943" t="n">
        <v>182</v>
      </c>
      <c r="C1943" t="inlineStr">
        <is>
          <t>Love - Shibari - Kamino</t>
        </is>
      </c>
      <c r="D1943" t="n">
        <v>128</v>
      </c>
      <c r="E1943" t="inlineStr">
        <is>
          <t>Love Cabaret</t>
        </is>
      </c>
      <c r="F1943" s="27" t="n">
        <v>45838</v>
      </c>
      <c r="G1943" t="inlineStr">
        <is>
          <t>DEBITO</t>
        </is>
      </c>
      <c r="H1943" t="inlineStr">
        <is>
          <t>Stark Bank S.A.</t>
        </is>
      </c>
      <c r="I1943" t="n">
        <v>-31.5</v>
      </c>
    </row>
    <row r="1944">
      <c r="A1944" t="n">
        <v>113960</v>
      </c>
      <c r="B1944" t="n">
        <v>182</v>
      </c>
      <c r="C1944" t="inlineStr">
        <is>
          <t>Love - Shibari - Kamino</t>
        </is>
      </c>
      <c r="D1944" t="n">
        <v>128</v>
      </c>
      <c r="E1944" t="inlineStr">
        <is>
          <t>Love Cabaret</t>
        </is>
      </c>
      <c r="F1944" s="27" t="n">
        <v>45838</v>
      </c>
      <c r="G1944" t="inlineStr">
        <is>
          <t>DEBITO</t>
        </is>
      </c>
      <c r="H1944" t="inlineStr">
        <is>
          <t>Free Som - Locacao de Som e Luz Ltda</t>
        </is>
      </c>
      <c r="I1944" t="n">
        <v>-6000</v>
      </c>
    </row>
    <row r="1945">
      <c r="A1945" t="n">
        <v>113952</v>
      </c>
      <c r="B1945" t="n">
        <v>182</v>
      </c>
      <c r="C1945" t="inlineStr">
        <is>
          <t>Love - Shibari - Kamino</t>
        </is>
      </c>
      <c r="D1945" t="n">
        <v>128</v>
      </c>
      <c r="E1945" t="inlineStr">
        <is>
          <t>Love Cabaret</t>
        </is>
      </c>
      <c r="F1945" s="27" t="n">
        <v>45838</v>
      </c>
      <c r="G1945" t="inlineStr">
        <is>
          <t>DEBITO</t>
        </is>
      </c>
      <c r="H1945" t="inlineStr">
        <is>
          <t>B. B. Distribuidora de Carnes Ltda</t>
        </is>
      </c>
      <c r="I1945" t="n">
        <v>-486</v>
      </c>
    </row>
    <row r="1946">
      <c r="A1946" t="n">
        <v>113951</v>
      </c>
      <c r="B1946" t="n">
        <v>182</v>
      </c>
      <c r="C1946" t="inlineStr">
        <is>
          <t>Love - Shibari - Kamino</t>
        </is>
      </c>
      <c r="D1946" t="n">
        <v>128</v>
      </c>
      <c r="E1946" t="inlineStr">
        <is>
          <t>Love Cabaret</t>
        </is>
      </c>
      <c r="F1946" s="27" t="n">
        <v>45838</v>
      </c>
      <c r="G1946" t="inlineStr">
        <is>
          <t>DEBITO</t>
        </is>
      </c>
      <c r="H1946" t="inlineStr">
        <is>
          <t>Ng27 Consultoria e Gestao Empr</t>
        </is>
      </c>
      <c r="I1946" t="n">
        <v>-445.95</v>
      </c>
    </row>
    <row r="1947">
      <c r="A1947" t="n">
        <v>113950</v>
      </c>
      <c r="B1947" t="n">
        <v>182</v>
      </c>
      <c r="C1947" t="inlineStr">
        <is>
          <t>Love - Shibari - Kamino</t>
        </is>
      </c>
      <c r="D1947" t="n">
        <v>128</v>
      </c>
      <c r="E1947" t="inlineStr">
        <is>
          <t>Love Cabaret</t>
        </is>
      </c>
      <c r="F1947" s="27" t="n">
        <v>45838</v>
      </c>
      <c r="G1947" t="inlineStr">
        <is>
          <t>DEBITO</t>
        </is>
      </c>
      <c r="H1947" t="inlineStr">
        <is>
          <t>Laticinios Fior D Italia Ltda</t>
        </is>
      </c>
      <c r="I1947" t="n">
        <v>-326.75</v>
      </c>
    </row>
    <row r="1948">
      <c r="A1948" t="n">
        <v>113949</v>
      </c>
      <c r="B1948" t="n">
        <v>182</v>
      </c>
      <c r="C1948" t="inlineStr">
        <is>
          <t>Love - Shibari - Kamino</t>
        </is>
      </c>
      <c r="D1948" t="n">
        <v>128</v>
      </c>
      <c r="E1948" t="inlineStr">
        <is>
          <t>Love Cabaret</t>
        </is>
      </c>
      <c r="F1948" s="27" t="n">
        <v>45838</v>
      </c>
      <c r="G1948" t="inlineStr">
        <is>
          <t>DEBITO</t>
        </is>
      </c>
      <c r="H1948" t="inlineStr">
        <is>
          <t>Zahil Importadora Ltda</t>
        </is>
      </c>
      <c r="I1948" t="n">
        <v>-1447</v>
      </c>
    </row>
    <row r="1949">
      <c r="A1949" t="n">
        <v>113948</v>
      </c>
      <c r="B1949" t="n">
        <v>182</v>
      </c>
      <c r="C1949" t="inlineStr">
        <is>
          <t>Love - Shibari - Kamino</t>
        </is>
      </c>
      <c r="D1949" t="n">
        <v>128</v>
      </c>
      <c r="E1949" t="inlineStr">
        <is>
          <t>Love Cabaret</t>
        </is>
      </c>
      <c r="F1949" s="27" t="n">
        <v>45838</v>
      </c>
      <c r="G1949" t="inlineStr">
        <is>
          <t>DEBITO</t>
        </is>
      </c>
      <c r="H1949" t="inlineStr">
        <is>
          <t>Sky Comercio de Produtos Alimenticios Lt</t>
        </is>
      </c>
      <c r="I1949" t="n">
        <v>-687</v>
      </c>
    </row>
    <row r="1950">
      <c r="A1950" t="n">
        <v>113947</v>
      </c>
      <c r="B1950" t="n">
        <v>182</v>
      </c>
      <c r="C1950" t="inlineStr">
        <is>
          <t>Love - Shibari - Kamino</t>
        </is>
      </c>
      <c r="D1950" t="n">
        <v>128</v>
      </c>
      <c r="E1950" t="inlineStr">
        <is>
          <t>Love Cabaret</t>
        </is>
      </c>
      <c r="F1950" s="27" t="n">
        <v>45838</v>
      </c>
      <c r="G1950" t="inlineStr">
        <is>
          <t>DEBITO</t>
        </is>
      </c>
      <c r="H1950" t="inlineStr">
        <is>
          <t>W P P C Carnes Eireli Epp</t>
        </is>
      </c>
      <c r="I1950" t="n">
        <v>-1527.38</v>
      </c>
    </row>
    <row r="1951">
      <c r="A1951" t="n">
        <v>113946</v>
      </c>
      <c r="B1951" t="n">
        <v>182</v>
      </c>
      <c r="C1951" t="inlineStr">
        <is>
          <t>Love - Shibari - Kamino</t>
        </is>
      </c>
      <c r="D1951" t="n">
        <v>128</v>
      </c>
      <c r="E1951" t="inlineStr">
        <is>
          <t>Love Cabaret</t>
        </is>
      </c>
      <c r="F1951" s="27" t="n">
        <v>45838</v>
      </c>
      <c r="G1951" t="inlineStr">
        <is>
          <t>DEBITO</t>
        </is>
      </c>
      <c r="H1951" t="inlineStr">
        <is>
          <t>Pagcerto Instituicao de Pagamento L</t>
        </is>
      </c>
      <c r="I1951" t="n">
        <v>-165</v>
      </c>
    </row>
    <row r="1952">
      <c r="A1952" t="n">
        <v>113944</v>
      </c>
      <c r="B1952" t="n">
        <v>182</v>
      </c>
      <c r="C1952" t="inlineStr">
        <is>
          <t>Love - Shibari - Kamino</t>
        </is>
      </c>
      <c r="D1952" t="n">
        <v>128</v>
      </c>
      <c r="E1952" t="inlineStr">
        <is>
          <t>Love Cabaret</t>
        </is>
      </c>
      <c r="F1952" s="27" t="n">
        <v>45838</v>
      </c>
      <c r="G1952" t="inlineStr">
        <is>
          <t>DEBITO</t>
        </is>
      </c>
      <c r="H1952" t="inlineStr">
        <is>
          <t>Receita Federal</t>
        </is>
      </c>
      <c r="I1952" t="n">
        <v>-20553.93</v>
      </c>
    </row>
    <row r="1953">
      <c r="A1953" t="n">
        <v>113786</v>
      </c>
      <c r="B1953" t="n">
        <v>115</v>
      </c>
      <c r="C1953" t="inlineStr">
        <is>
          <t>Love - Shibari - Bradesco</t>
        </is>
      </c>
      <c r="D1953" t="n">
        <v>128</v>
      </c>
      <c r="E1953" t="inlineStr">
        <is>
          <t>Love Cabaret</t>
        </is>
      </c>
      <c r="F1953" s="27" t="n">
        <v>45835.5</v>
      </c>
      <c r="G1953" t="inlineStr">
        <is>
          <t>DEBITO</t>
        </is>
      </c>
      <c r="H1953" t="inlineStr">
        <is>
          <t>TARIFA BANCARIA TRANSF PGTO PIX</t>
        </is>
      </c>
      <c r="I1953" t="n">
        <v>-9.800000000000001</v>
      </c>
    </row>
    <row r="1954">
      <c r="A1954" t="n">
        <v>113785</v>
      </c>
      <c r="B1954" t="n">
        <v>115</v>
      </c>
      <c r="C1954" t="inlineStr">
        <is>
          <t>Love - Shibari - Bradesco</t>
        </is>
      </c>
      <c r="D1954" t="n">
        <v>128</v>
      </c>
      <c r="E1954" t="inlineStr">
        <is>
          <t>Love Cabaret</t>
        </is>
      </c>
      <c r="F1954" s="27" t="n">
        <v>45835.5</v>
      </c>
      <c r="G1954" t="inlineStr">
        <is>
          <t>DEBITO</t>
        </is>
      </c>
      <c r="H1954" t="inlineStr">
        <is>
          <t>TARIFA BANCARIA TRANSF PGTO PIX</t>
        </is>
      </c>
      <c r="I1954" t="n">
        <v>-9.800000000000001</v>
      </c>
    </row>
    <row r="1955">
      <c r="A1955" t="n">
        <v>113784</v>
      </c>
      <c r="B1955" t="n">
        <v>115</v>
      </c>
      <c r="C1955" t="inlineStr">
        <is>
          <t>Love - Shibari - Bradesco</t>
        </is>
      </c>
      <c r="D1955" t="n">
        <v>128</v>
      </c>
      <c r="E1955" t="inlineStr">
        <is>
          <t>Love Cabaret</t>
        </is>
      </c>
      <c r="F1955" s="27" t="n">
        <v>45835.5</v>
      </c>
      <c r="G1955" t="inlineStr">
        <is>
          <t>CREDITO</t>
        </is>
      </c>
      <c r="H1955" t="inlineStr">
        <is>
          <t>DEP DINHEIRO ATM AG00117MAQ061059SEQ00291</t>
        </is>
      </c>
      <c r="I1955" t="n">
        <v>185</v>
      </c>
    </row>
    <row r="1956">
      <c r="A1956" t="n">
        <v>113783</v>
      </c>
      <c r="B1956" t="n">
        <v>115</v>
      </c>
      <c r="C1956" t="inlineStr">
        <is>
          <t>Love - Shibari - Bradesco</t>
        </is>
      </c>
      <c r="D1956" t="n">
        <v>128</v>
      </c>
      <c r="E1956" t="inlineStr">
        <is>
          <t>Love Cabaret</t>
        </is>
      </c>
      <c r="F1956" s="27" t="n">
        <v>45834.5</v>
      </c>
      <c r="G1956" t="inlineStr">
        <is>
          <t>CREDITO</t>
        </is>
      </c>
      <c r="H1956" t="inlineStr">
        <is>
          <t>TRANSFERENCIA PIX REM: ARCOS B RESTAURANTE L 26/06</t>
        </is>
      </c>
      <c r="I1956" t="n">
        <v>12610</v>
      </c>
    </row>
    <row r="1957">
      <c r="A1957" t="n">
        <v>113782</v>
      </c>
      <c r="B1957" t="n">
        <v>115</v>
      </c>
      <c r="C1957" t="inlineStr">
        <is>
          <t>Love - Shibari - Bradesco</t>
        </is>
      </c>
      <c r="D1957" t="n">
        <v>128</v>
      </c>
      <c r="E1957" t="inlineStr">
        <is>
          <t>Love Cabaret</t>
        </is>
      </c>
      <c r="F1957" s="27" t="n">
        <v>45833.5</v>
      </c>
      <c r="G1957" t="inlineStr">
        <is>
          <t>DEBITO</t>
        </is>
      </c>
      <c r="H1957" t="inlineStr">
        <is>
          <t>TRANSFERENCIA PIX DES: SHIBARI ART E DIVERSA 25/06</t>
        </is>
      </c>
      <c r="I1957" t="n">
        <v>-41000</v>
      </c>
    </row>
    <row r="1958">
      <c r="A1958" t="n">
        <v>113781</v>
      </c>
      <c r="B1958" t="n">
        <v>115</v>
      </c>
      <c r="C1958" t="inlineStr">
        <is>
          <t>Love - Shibari - Bradesco</t>
        </is>
      </c>
      <c r="D1958" t="n">
        <v>128</v>
      </c>
      <c r="E1958" t="inlineStr">
        <is>
          <t>Love Cabaret</t>
        </is>
      </c>
      <c r="F1958" s="27" t="n">
        <v>45833.5</v>
      </c>
      <c r="G1958" t="inlineStr">
        <is>
          <t>DEBITO</t>
        </is>
      </c>
      <c r="H1958" t="inlineStr">
        <is>
          <t>TRANSFERENCIA PIX DES: 20.593.148 RENATO DE  25/06</t>
        </is>
      </c>
      <c r="I1958" t="n">
        <v>-4700</v>
      </c>
    </row>
    <row r="1959">
      <c r="A1959" t="n">
        <v>113780</v>
      </c>
      <c r="B1959" t="n">
        <v>115</v>
      </c>
      <c r="C1959" t="inlineStr">
        <is>
          <t>Love - Shibari - Bradesco</t>
        </is>
      </c>
      <c r="D1959" t="n">
        <v>128</v>
      </c>
      <c r="E1959" t="inlineStr">
        <is>
          <t>Love Cabaret</t>
        </is>
      </c>
      <c r="F1959" s="27" t="n">
        <v>45833.5</v>
      </c>
      <c r="G1959" t="inlineStr">
        <is>
          <t>DEBITO</t>
        </is>
      </c>
      <c r="H1959" t="inlineStr">
        <is>
          <t>TARIFA BANCARIA TRANSF PGTO PIX</t>
        </is>
      </c>
      <c r="I1959" t="n">
        <v>-9.800000000000001</v>
      </c>
    </row>
    <row r="1960">
      <c r="A1960" t="n">
        <v>113779</v>
      </c>
      <c r="B1960" t="n">
        <v>115</v>
      </c>
      <c r="C1960" t="inlineStr">
        <is>
          <t>Love - Shibari - Bradesco</t>
        </is>
      </c>
      <c r="D1960" t="n">
        <v>128</v>
      </c>
      <c r="E1960" t="inlineStr">
        <is>
          <t>Love Cabaret</t>
        </is>
      </c>
      <c r="F1960" s="27" t="n">
        <v>45833.5</v>
      </c>
      <c r="G1960" t="inlineStr">
        <is>
          <t>DEBITO</t>
        </is>
      </c>
      <c r="H1960" t="inlineStr">
        <is>
          <t>TARIFA BANCARIA TRANSF PGTO PIX</t>
        </is>
      </c>
      <c r="I1960" t="n">
        <v>-9.800000000000001</v>
      </c>
    </row>
    <row r="1961">
      <c r="A1961" t="n">
        <v>113776</v>
      </c>
      <c r="B1961" t="n">
        <v>115</v>
      </c>
      <c r="C1961" t="inlineStr">
        <is>
          <t>Love - Shibari - Bradesco</t>
        </is>
      </c>
      <c r="D1961" t="n">
        <v>128</v>
      </c>
      <c r="E1961" t="inlineStr">
        <is>
          <t>Love Cabaret</t>
        </is>
      </c>
      <c r="F1961" s="27" t="n">
        <v>45833.5</v>
      </c>
      <c r="G1961" t="inlineStr">
        <is>
          <t>CREDITO</t>
        </is>
      </c>
      <c r="H1961" t="inlineStr">
        <is>
          <t>TED-TRANSF ELET DISPON REMET.SYMPLA INTERNET SOLU</t>
        </is>
      </c>
      <c r="I1961" t="n">
        <v>13254</v>
      </c>
    </row>
    <row r="1962">
      <c r="A1962" t="n">
        <v>113775</v>
      </c>
      <c r="B1962" t="n">
        <v>115</v>
      </c>
      <c r="C1962" t="inlineStr">
        <is>
          <t>Love - Shibari - Bradesco</t>
        </is>
      </c>
      <c r="D1962" t="n">
        <v>128</v>
      </c>
      <c r="E1962" t="inlineStr">
        <is>
          <t>Love Cabaret</t>
        </is>
      </c>
      <c r="F1962" s="27" t="n">
        <v>45833.5</v>
      </c>
      <c r="G1962" t="inlineStr">
        <is>
          <t>CREDITO</t>
        </is>
      </c>
      <c r="H1962" t="inlineStr">
        <is>
          <t>TED-TRANSF ELET DISPON REMET.SYMPLA INTERNET SOLU</t>
        </is>
      </c>
      <c r="I1962" t="n">
        <v>10165</v>
      </c>
    </row>
    <row r="1963">
      <c r="A1963" t="n">
        <v>113893</v>
      </c>
      <c r="B1963" t="n">
        <v>182</v>
      </c>
      <c r="C1963" t="inlineStr">
        <is>
          <t>Love - Shibari - Kamino</t>
        </is>
      </c>
      <c r="D1963" t="n">
        <v>128</v>
      </c>
      <c r="E1963" t="inlineStr">
        <is>
          <t>Love Cabaret</t>
        </is>
      </c>
      <c r="F1963" s="27" t="n">
        <v>45833</v>
      </c>
      <c r="G1963" t="inlineStr">
        <is>
          <t>DEBITO</t>
        </is>
      </c>
      <c r="H1963" t="inlineStr">
        <is>
          <t>Ronivaldo Santos Conceicao Junior 23040968831</t>
        </is>
      </c>
      <c r="I1963" t="n">
        <v>-450</v>
      </c>
    </row>
    <row r="1964">
      <c r="A1964" t="n">
        <v>113913</v>
      </c>
      <c r="B1964" t="n">
        <v>182</v>
      </c>
      <c r="C1964" t="inlineStr">
        <is>
          <t>Love - Shibari - Kamino</t>
        </is>
      </c>
      <c r="D1964" t="n">
        <v>128</v>
      </c>
      <c r="E1964" t="inlineStr">
        <is>
          <t>Love Cabaret</t>
        </is>
      </c>
      <c r="F1964" s="27" t="n">
        <v>45833</v>
      </c>
      <c r="G1964" t="inlineStr">
        <is>
          <t>DEBITO</t>
        </is>
      </c>
      <c r="H1964" t="inlineStr">
        <is>
          <t>Telefonica Brasil S.A.</t>
        </is>
      </c>
      <c r="I1964" t="n">
        <v>-21.71</v>
      </c>
    </row>
    <row r="1965">
      <c r="A1965" t="n">
        <v>113894</v>
      </c>
      <c r="B1965" t="n">
        <v>182</v>
      </c>
      <c r="C1965" t="inlineStr">
        <is>
          <t>Love - Shibari - Kamino</t>
        </is>
      </c>
      <c r="D1965" t="n">
        <v>128</v>
      </c>
      <c r="E1965" t="inlineStr">
        <is>
          <t>Love Cabaret</t>
        </is>
      </c>
      <c r="F1965" s="27" t="n">
        <v>45833</v>
      </c>
      <c r="G1965" t="inlineStr">
        <is>
          <t>CREDITO</t>
        </is>
      </c>
      <c r="H1965" t="inlineStr">
        <is>
          <t>Pgto Contas nao Processado</t>
        </is>
      </c>
      <c r="I1965" t="n">
        <v>168</v>
      </c>
    </row>
    <row r="1966">
      <c r="A1966" t="n">
        <v>113895</v>
      </c>
      <c r="B1966" t="n">
        <v>182</v>
      </c>
      <c r="C1966" t="inlineStr">
        <is>
          <t>Love - Shibari - Kamino</t>
        </is>
      </c>
      <c r="D1966" t="n">
        <v>128</v>
      </c>
      <c r="E1966" t="inlineStr">
        <is>
          <t>Love Cabaret</t>
        </is>
      </c>
      <c r="F1966" s="27" t="n">
        <v>45833</v>
      </c>
      <c r="G1966" t="inlineStr">
        <is>
          <t>CREDITO</t>
        </is>
      </c>
      <c r="H1966" t="inlineStr">
        <is>
          <t>Pgto Contas nao Processado</t>
        </is>
      </c>
      <c r="I1966" t="n">
        <v>620.1</v>
      </c>
    </row>
    <row r="1967">
      <c r="A1967" t="n">
        <v>113896</v>
      </c>
      <c r="B1967" t="n">
        <v>182</v>
      </c>
      <c r="C1967" t="inlineStr">
        <is>
          <t>Love - Shibari - Kamino</t>
        </is>
      </c>
      <c r="D1967" t="n">
        <v>128</v>
      </c>
      <c r="E1967" t="inlineStr">
        <is>
          <t>Love Cabaret</t>
        </is>
      </c>
      <c r="F1967" s="27" t="n">
        <v>45833</v>
      </c>
      <c r="G1967" t="inlineStr">
        <is>
          <t>CREDITO</t>
        </is>
      </c>
      <c r="H1967" t="inlineStr">
        <is>
          <t>Pgto Contas nao Processado</t>
        </is>
      </c>
      <c r="I1967" t="n">
        <v>16436.76</v>
      </c>
    </row>
    <row r="1968">
      <c r="A1968" t="n">
        <v>113897</v>
      </c>
      <c r="B1968" t="n">
        <v>182</v>
      </c>
      <c r="C1968" t="inlineStr">
        <is>
          <t>Love - Shibari - Kamino</t>
        </is>
      </c>
      <c r="D1968" t="n">
        <v>128</v>
      </c>
      <c r="E1968" t="inlineStr">
        <is>
          <t>Love Cabaret</t>
        </is>
      </c>
      <c r="F1968" s="27" t="n">
        <v>45833</v>
      </c>
      <c r="G1968" t="inlineStr">
        <is>
          <t>CREDITO</t>
        </is>
      </c>
      <c r="H1968" t="inlineStr">
        <is>
          <t>Pgto Contas nao Processado</t>
        </is>
      </c>
      <c r="I1968" t="n">
        <v>148.52</v>
      </c>
    </row>
    <row r="1969">
      <c r="A1969" t="n">
        <v>113898</v>
      </c>
      <c r="B1969" t="n">
        <v>182</v>
      </c>
      <c r="C1969" t="inlineStr">
        <is>
          <t>Love - Shibari - Kamino</t>
        </is>
      </c>
      <c r="D1969" t="n">
        <v>128</v>
      </c>
      <c r="E1969" t="inlineStr">
        <is>
          <t>Love Cabaret</t>
        </is>
      </c>
      <c r="F1969" s="27" t="n">
        <v>45833</v>
      </c>
      <c r="G1969" t="inlineStr">
        <is>
          <t>CREDITO</t>
        </is>
      </c>
      <c r="H1969" t="inlineStr">
        <is>
          <t>Pgto Contas nao Processado</t>
        </is>
      </c>
      <c r="I1969" t="n">
        <v>235.1</v>
      </c>
    </row>
    <row r="1970">
      <c r="A1970" t="n">
        <v>113899</v>
      </c>
      <c r="B1970" t="n">
        <v>182</v>
      </c>
      <c r="C1970" t="inlineStr">
        <is>
          <t>Love - Shibari - Kamino</t>
        </is>
      </c>
      <c r="D1970" t="n">
        <v>128</v>
      </c>
      <c r="E1970" t="inlineStr">
        <is>
          <t>Love Cabaret</t>
        </is>
      </c>
      <c r="F1970" s="27" t="n">
        <v>45833</v>
      </c>
      <c r="G1970" t="inlineStr">
        <is>
          <t>CREDITO</t>
        </is>
      </c>
      <c r="H1970" t="inlineStr">
        <is>
          <t>Pgto Contas nao Processado</t>
        </is>
      </c>
      <c r="I1970" t="n">
        <v>604.45</v>
      </c>
    </row>
    <row r="1971">
      <c r="A1971" t="n">
        <v>113900</v>
      </c>
      <c r="B1971" t="n">
        <v>182</v>
      </c>
      <c r="C1971" t="inlineStr">
        <is>
          <t>Love - Shibari - Kamino</t>
        </is>
      </c>
      <c r="D1971" t="n">
        <v>128</v>
      </c>
      <c r="E1971" t="inlineStr">
        <is>
          <t>Love Cabaret</t>
        </is>
      </c>
      <c r="F1971" s="27" t="n">
        <v>45833</v>
      </c>
      <c r="G1971" t="inlineStr">
        <is>
          <t>CREDITO</t>
        </is>
      </c>
      <c r="H1971" t="inlineStr">
        <is>
          <t>Pgto Contas nao Processado</t>
        </is>
      </c>
      <c r="I1971" t="n">
        <v>2520.77</v>
      </c>
    </row>
    <row r="1972">
      <c r="A1972" t="n">
        <v>113901</v>
      </c>
      <c r="B1972" t="n">
        <v>182</v>
      </c>
      <c r="C1972" t="inlineStr">
        <is>
          <t>Love - Shibari - Kamino</t>
        </is>
      </c>
      <c r="D1972" t="n">
        <v>128</v>
      </c>
      <c r="E1972" t="inlineStr">
        <is>
          <t>Love Cabaret</t>
        </is>
      </c>
      <c r="F1972" s="27" t="n">
        <v>45833</v>
      </c>
      <c r="G1972" t="inlineStr">
        <is>
          <t>DEBITO</t>
        </is>
      </c>
      <c r="H1972" t="inlineStr">
        <is>
          <t>Telefonica Brasil S.A.</t>
        </is>
      </c>
      <c r="I1972" t="n">
        <v>-93.7</v>
      </c>
    </row>
    <row r="1973">
      <c r="A1973" t="n">
        <v>113903</v>
      </c>
      <c r="B1973" t="n">
        <v>182</v>
      </c>
      <c r="C1973" t="inlineStr">
        <is>
          <t>Love - Shibari - Kamino</t>
        </is>
      </c>
      <c r="D1973" t="n">
        <v>128</v>
      </c>
      <c r="E1973" t="inlineStr">
        <is>
          <t>Love Cabaret</t>
        </is>
      </c>
      <c r="F1973" s="27" t="n">
        <v>45833</v>
      </c>
      <c r="G1973" t="inlineStr">
        <is>
          <t>DEBITO</t>
        </is>
      </c>
      <c r="H1973" t="inlineStr">
        <is>
          <t>Cia do Whisky</t>
        </is>
      </c>
      <c r="I1973" t="n">
        <v>-151.6</v>
      </c>
    </row>
    <row r="1974">
      <c r="A1974" t="n">
        <v>113892</v>
      </c>
      <c r="B1974" t="n">
        <v>182</v>
      </c>
      <c r="C1974" t="inlineStr">
        <is>
          <t>Love - Shibari - Kamino</t>
        </is>
      </c>
      <c r="D1974" t="n">
        <v>128</v>
      </c>
      <c r="E1974" t="inlineStr">
        <is>
          <t>Love Cabaret</t>
        </is>
      </c>
      <c r="F1974" s="27" t="n">
        <v>45833</v>
      </c>
      <c r="G1974" t="inlineStr">
        <is>
          <t>DEBITO</t>
        </is>
      </c>
      <c r="H1974" t="inlineStr">
        <is>
          <t>Edimar Moura Tartaglioni</t>
        </is>
      </c>
      <c r="I1974" t="n">
        <v>-630</v>
      </c>
    </row>
    <row r="1975">
      <c r="A1975" t="n">
        <v>113891</v>
      </c>
      <c r="B1975" t="n">
        <v>182</v>
      </c>
      <c r="C1975" t="inlineStr">
        <is>
          <t>Love - Shibari - Kamino</t>
        </is>
      </c>
      <c r="D1975" t="n">
        <v>128</v>
      </c>
      <c r="E1975" t="inlineStr">
        <is>
          <t>Love Cabaret</t>
        </is>
      </c>
      <c r="F1975" s="27" t="n">
        <v>45833</v>
      </c>
      <c r="G1975" t="inlineStr">
        <is>
          <t>CREDITO</t>
        </is>
      </c>
      <c r="H1975" t="inlineStr">
        <is>
          <t>SHIBARI ART E DIVERSAO LTDA</t>
        </is>
      </c>
      <c r="I1975" t="n">
        <v>41000</v>
      </c>
    </row>
    <row r="1976">
      <c r="A1976" t="n">
        <v>113912</v>
      </c>
      <c r="B1976" t="n">
        <v>182</v>
      </c>
      <c r="C1976" t="inlineStr">
        <is>
          <t>Love - Shibari - Kamino</t>
        </is>
      </c>
      <c r="D1976" t="n">
        <v>128</v>
      </c>
      <c r="E1976" t="inlineStr">
        <is>
          <t>Love Cabaret</t>
        </is>
      </c>
      <c r="F1976" s="27" t="n">
        <v>45833</v>
      </c>
      <c r="G1976" t="inlineStr">
        <is>
          <t>DEBITO</t>
        </is>
      </c>
      <c r="H1976" t="inlineStr">
        <is>
          <t>Arena Bebidas</t>
        </is>
      </c>
      <c r="I1976" t="n">
        <v>-1550.4</v>
      </c>
    </row>
    <row r="1977">
      <c r="A1977" t="n">
        <v>113911</v>
      </c>
      <c r="B1977" t="n">
        <v>182</v>
      </c>
      <c r="C1977" t="inlineStr">
        <is>
          <t>Love - Shibari - Kamino</t>
        </is>
      </c>
      <c r="D1977" t="n">
        <v>128</v>
      </c>
      <c r="E1977" t="inlineStr">
        <is>
          <t>Love Cabaret</t>
        </is>
      </c>
      <c r="F1977" s="27" t="n">
        <v>45833</v>
      </c>
      <c r="G1977" t="inlineStr">
        <is>
          <t>DEBITO</t>
        </is>
      </c>
      <c r="H1977" t="inlineStr">
        <is>
          <t>Estaff Solucoes Tecnologicas de Agenciam</t>
        </is>
      </c>
      <c r="I1977" t="n">
        <v>-16436.76</v>
      </c>
    </row>
    <row r="1978">
      <c r="A1978" t="n">
        <v>113910</v>
      </c>
      <c r="B1978" t="n">
        <v>182</v>
      </c>
      <c r="C1978" t="inlineStr">
        <is>
          <t>Love - Shibari - Kamino</t>
        </is>
      </c>
      <c r="D1978" t="n">
        <v>128</v>
      </c>
      <c r="E1978" t="inlineStr">
        <is>
          <t>Love Cabaret</t>
        </is>
      </c>
      <c r="F1978" s="27" t="n">
        <v>45833</v>
      </c>
      <c r="G1978" t="inlineStr">
        <is>
          <t>DEBITO</t>
        </is>
      </c>
      <c r="H1978" t="inlineStr">
        <is>
          <t>Sky Comercio de Produtos Alimenticios Lt</t>
        </is>
      </c>
      <c r="I1978" t="n">
        <v>-2520.77</v>
      </c>
    </row>
    <row r="1979">
      <c r="A1979" t="n">
        <v>113909</v>
      </c>
      <c r="B1979" t="n">
        <v>182</v>
      </c>
      <c r="C1979" t="inlineStr">
        <is>
          <t>Love - Shibari - Kamino</t>
        </is>
      </c>
      <c r="D1979" t="n">
        <v>128</v>
      </c>
      <c r="E1979" t="inlineStr">
        <is>
          <t>Love Cabaret</t>
        </is>
      </c>
      <c r="F1979" s="27" t="n">
        <v>45833</v>
      </c>
      <c r="G1979" t="inlineStr">
        <is>
          <t>DEBITO</t>
        </is>
      </c>
      <c r="H1979" t="inlineStr">
        <is>
          <t>Facebook Processado por Adyen</t>
        </is>
      </c>
      <c r="I1979" t="n">
        <v>-5000</v>
      </c>
    </row>
    <row r="1980">
      <c r="A1980" t="n">
        <v>113908</v>
      </c>
      <c r="B1980" t="n">
        <v>182</v>
      </c>
      <c r="C1980" t="inlineStr">
        <is>
          <t>Love - Shibari - Kamino</t>
        </is>
      </c>
      <c r="D1980" t="n">
        <v>128</v>
      </c>
      <c r="E1980" t="inlineStr">
        <is>
          <t>Love Cabaret</t>
        </is>
      </c>
      <c r="F1980" s="27" t="n">
        <v>45833</v>
      </c>
      <c r="G1980" t="inlineStr">
        <is>
          <t>DEBITO</t>
        </is>
      </c>
      <c r="H1980" t="inlineStr">
        <is>
          <t>Telefonica Brasil S.A.</t>
        </is>
      </c>
      <c r="I1980" t="n">
        <v>-487.66</v>
      </c>
    </row>
    <row r="1981">
      <c r="A1981" t="n">
        <v>113907</v>
      </c>
      <c r="B1981" t="n">
        <v>182</v>
      </c>
      <c r="C1981" t="inlineStr">
        <is>
          <t>Love - Shibari - Kamino</t>
        </is>
      </c>
      <c r="D1981" t="n">
        <v>128</v>
      </c>
      <c r="E1981" t="inlineStr">
        <is>
          <t>Love Cabaret</t>
        </is>
      </c>
      <c r="F1981" s="27" t="n">
        <v>45833</v>
      </c>
      <c r="G1981" t="inlineStr">
        <is>
          <t>CREDITO</t>
        </is>
      </c>
      <c r="H1981" t="inlineStr">
        <is>
          <t>Pgto Contas nao Processado</t>
        </is>
      </c>
      <c r="I1981" t="n">
        <v>563.5</v>
      </c>
    </row>
    <row r="1982">
      <c r="A1982" t="n">
        <v>113906</v>
      </c>
      <c r="B1982" t="n">
        <v>182</v>
      </c>
      <c r="C1982" t="inlineStr">
        <is>
          <t>Love - Shibari - Kamino</t>
        </is>
      </c>
      <c r="D1982" t="n">
        <v>128</v>
      </c>
      <c r="E1982" t="inlineStr">
        <is>
          <t>Love Cabaret</t>
        </is>
      </c>
      <c r="F1982" s="27" t="n">
        <v>45833</v>
      </c>
      <c r="G1982" t="inlineStr">
        <is>
          <t>CREDITO</t>
        </is>
      </c>
      <c r="H1982" t="inlineStr">
        <is>
          <t>Pgto Contas nao Processado</t>
        </is>
      </c>
      <c r="I1982" t="n">
        <v>5000</v>
      </c>
    </row>
    <row r="1983">
      <c r="A1983" t="n">
        <v>113905</v>
      </c>
      <c r="B1983" t="n">
        <v>182</v>
      </c>
      <c r="C1983" t="inlineStr">
        <is>
          <t>Love - Shibari - Kamino</t>
        </is>
      </c>
      <c r="D1983" t="n">
        <v>128</v>
      </c>
      <c r="E1983" t="inlineStr">
        <is>
          <t>Love Cabaret</t>
        </is>
      </c>
      <c r="F1983" s="27" t="n">
        <v>45833</v>
      </c>
      <c r="G1983" t="inlineStr">
        <is>
          <t>DEBITO</t>
        </is>
      </c>
      <c r="H1983" t="inlineStr">
        <is>
          <t>Felipe da Costa Santos</t>
        </is>
      </c>
      <c r="I1983" t="n">
        <v>-96.3</v>
      </c>
    </row>
    <row r="1984">
      <c r="A1984" t="n">
        <v>113902</v>
      </c>
      <c r="B1984" t="n">
        <v>182</v>
      </c>
      <c r="C1984" t="inlineStr">
        <is>
          <t>Love - Shibari - Kamino</t>
        </is>
      </c>
      <c r="D1984" t="n">
        <v>128</v>
      </c>
      <c r="E1984" t="inlineStr">
        <is>
          <t>Love Cabaret</t>
        </is>
      </c>
      <c r="F1984" s="27" t="n">
        <v>45833</v>
      </c>
      <c r="G1984" t="inlineStr">
        <is>
          <t>DEBITO</t>
        </is>
      </c>
      <c r="H1984" t="inlineStr">
        <is>
          <t>Receita Federal</t>
        </is>
      </c>
      <c r="I1984" t="n">
        <v>-8966.01</v>
      </c>
    </row>
    <row r="1985">
      <c r="A1985" t="n">
        <v>113904</v>
      </c>
      <c r="B1985" t="n">
        <v>182</v>
      </c>
      <c r="C1985" t="inlineStr">
        <is>
          <t>Love - Shibari - Kamino</t>
        </is>
      </c>
      <c r="D1985" t="n">
        <v>128</v>
      </c>
      <c r="E1985" t="inlineStr">
        <is>
          <t>Love Cabaret</t>
        </is>
      </c>
      <c r="F1985" s="27" t="n">
        <v>45833</v>
      </c>
      <c r="G1985" t="inlineStr">
        <is>
          <t>DEBITO</t>
        </is>
      </c>
      <c r="H1985" t="inlineStr">
        <is>
          <t>Ice4pros Fabrica de Gelo Ltda</t>
        </is>
      </c>
      <c r="I1985" t="n">
        <v>-563.5</v>
      </c>
    </row>
    <row r="1986">
      <c r="A1986" t="n">
        <v>113914</v>
      </c>
      <c r="B1986" t="n">
        <v>182</v>
      </c>
      <c r="C1986" t="inlineStr">
        <is>
          <t>Love - Shibari - Kamino</t>
        </is>
      </c>
      <c r="D1986" t="n">
        <v>128</v>
      </c>
      <c r="E1986" t="inlineStr">
        <is>
          <t>Love Cabaret</t>
        </is>
      </c>
      <c r="F1986" s="27" t="n">
        <v>45833</v>
      </c>
      <c r="G1986" t="inlineStr">
        <is>
          <t>DEBITO</t>
        </is>
      </c>
      <c r="H1986" t="inlineStr">
        <is>
          <t>Telefonica Brasil S.A.</t>
        </is>
      </c>
      <c r="I1986" t="n">
        <v>-327.09</v>
      </c>
    </row>
    <row r="1987">
      <c r="A1987" t="n">
        <v>113915</v>
      </c>
      <c r="B1987" t="n">
        <v>182</v>
      </c>
      <c r="C1987" t="inlineStr">
        <is>
          <t>Love - Shibari - Kamino</t>
        </is>
      </c>
      <c r="D1987" t="n">
        <v>128</v>
      </c>
      <c r="E1987" t="inlineStr">
        <is>
          <t>Love Cabaret</t>
        </is>
      </c>
      <c r="F1987" s="27" t="n">
        <v>45833</v>
      </c>
      <c r="G1987" t="inlineStr">
        <is>
          <t>DEBITO</t>
        </is>
      </c>
      <c r="H1987" t="inlineStr">
        <is>
          <t>Lumi Creamy</t>
        </is>
      </c>
      <c r="I1987" t="n">
        <v>-381.01</v>
      </c>
    </row>
    <row r="1988">
      <c r="A1988" t="n">
        <v>113916</v>
      </c>
      <c r="B1988" t="n">
        <v>182</v>
      </c>
      <c r="C1988" t="inlineStr">
        <is>
          <t>Love - Shibari - Kamino</t>
        </is>
      </c>
      <c r="D1988" t="n">
        <v>128</v>
      </c>
      <c r="E1988" t="inlineStr">
        <is>
          <t>Love Cabaret</t>
        </is>
      </c>
      <c r="F1988" s="27" t="n">
        <v>45833</v>
      </c>
      <c r="G1988" t="inlineStr">
        <is>
          <t>DEBITO</t>
        </is>
      </c>
      <c r="H1988" t="inlineStr">
        <is>
          <t>Receita Federal</t>
        </is>
      </c>
      <c r="I1988" t="n">
        <v>-1942.64</v>
      </c>
    </row>
    <row r="1989">
      <c r="A1989" t="n">
        <v>113917</v>
      </c>
      <c r="B1989" t="n">
        <v>182</v>
      </c>
      <c r="C1989" t="inlineStr">
        <is>
          <t>Love - Shibari - Kamino</t>
        </is>
      </c>
      <c r="D1989" t="n">
        <v>128</v>
      </c>
      <c r="E1989" t="inlineStr">
        <is>
          <t>Love Cabaret</t>
        </is>
      </c>
      <c r="F1989" s="27" t="n">
        <v>45833</v>
      </c>
      <c r="G1989" t="inlineStr">
        <is>
          <t>DEBITO</t>
        </is>
      </c>
      <c r="H1989" t="inlineStr">
        <is>
          <t>Cia do Whisky</t>
        </is>
      </c>
      <c r="I1989" t="n">
        <v>-604.45</v>
      </c>
    </row>
    <row r="1990">
      <c r="A1990" t="n">
        <v>113918</v>
      </c>
      <c r="B1990" t="n">
        <v>182</v>
      </c>
      <c r="C1990" t="inlineStr">
        <is>
          <t>Love - Shibari - Kamino</t>
        </is>
      </c>
      <c r="D1990" t="n">
        <v>128</v>
      </c>
      <c r="E1990" t="inlineStr">
        <is>
          <t>Love Cabaret</t>
        </is>
      </c>
      <c r="F1990" s="27" t="n">
        <v>45833</v>
      </c>
      <c r="G1990" t="inlineStr">
        <is>
          <t>DEBITO</t>
        </is>
      </c>
      <c r="H1990" t="inlineStr">
        <is>
          <t>Paramu Comercio R P a Ltda</t>
        </is>
      </c>
      <c r="I1990" t="n">
        <v>-620.1</v>
      </c>
    </row>
    <row r="1991">
      <c r="A1991" t="n">
        <v>113919</v>
      </c>
      <c r="B1991" t="n">
        <v>182</v>
      </c>
      <c r="C1991" t="inlineStr">
        <is>
          <t>Love - Shibari - Kamino</t>
        </is>
      </c>
      <c r="D1991" t="n">
        <v>128</v>
      </c>
      <c r="E1991" t="inlineStr">
        <is>
          <t>Love Cabaret</t>
        </is>
      </c>
      <c r="F1991" s="27" t="n">
        <v>45833</v>
      </c>
      <c r="G1991" t="inlineStr">
        <is>
          <t>DEBITO</t>
        </is>
      </c>
      <c r="H1991" t="inlineStr">
        <is>
          <t>Ng27 Consultoria e Gestao Empr</t>
        </is>
      </c>
      <c r="I1991" t="n">
        <v>-148.52</v>
      </c>
    </row>
    <row r="1992">
      <c r="A1992" t="n">
        <v>113920</v>
      </c>
      <c r="B1992" t="n">
        <v>182</v>
      </c>
      <c r="C1992" t="inlineStr">
        <is>
          <t>Love - Shibari - Kamino</t>
        </is>
      </c>
      <c r="D1992" t="n">
        <v>128</v>
      </c>
      <c r="E1992" t="inlineStr">
        <is>
          <t>Love Cabaret</t>
        </is>
      </c>
      <c r="F1992" s="27" t="n">
        <v>45833</v>
      </c>
      <c r="G1992" t="inlineStr">
        <is>
          <t>DEBITO</t>
        </is>
      </c>
      <c r="H1992" t="inlineStr">
        <is>
          <t>Btard Padaria Artesanal Ltda</t>
        </is>
      </c>
      <c r="I1992" t="n">
        <v>-168</v>
      </c>
    </row>
    <row r="1993">
      <c r="A1993" t="n">
        <v>113921</v>
      </c>
      <c r="B1993" t="n">
        <v>182</v>
      </c>
      <c r="C1993" t="inlineStr">
        <is>
          <t>Love - Shibari - Kamino</t>
        </is>
      </c>
      <c r="D1993" t="n">
        <v>128</v>
      </c>
      <c r="E1993" t="inlineStr">
        <is>
          <t>Love Cabaret</t>
        </is>
      </c>
      <c r="F1993" s="27" t="n">
        <v>45833</v>
      </c>
      <c r="G1993" t="inlineStr">
        <is>
          <t>DEBITO</t>
        </is>
      </c>
      <c r="H1993" t="inlineStr">
        <is>
          <t>Cecilia Tsuyaco Araki Silva Ltda</t>
        </is>
      </c>
      <c r="I1993" t="n">
        <v>-235.1</v>
      </c>
    </row>
    <row r="1994">
      <c r="A1994" t="n">
        <v>113922</v>
      </c>
      <c r="B1994" t="n">
        <v>182</v>
      </c>
      <c r="C1994" t="inlineStr">
        <is>
          <t>Love - Shibari - Kamino</t>
        </is>
      </c>
      <c r="D1994" t="n">
        <v>128</v>
      </c>
      <c r="E1994" t="inlineStr">
        <is>
          <t>Love Cabaret</t>
        </is>
      </c>
      <c r="F1994" s="27" t="n">
        <v>45833</v>
      </c>
      <c r="G1994" t="inlineStr">
        <is>
          <t>DEBITO</t>
        </is>
      </c>
      <c r="H1994" t="inlineStr">
        <is>
          <t>Sky Comercio de Produtos Alimenticios Lt</t>
        </is>
      </c>
      <c r="I1994" t="n">
        <v>-2520.77</v>
      </c>
    </row>
    <row r="1995">
      <c r="A1995" t="n">
        <v>113923</v>
      </c>
      <c r="B1995" t="n">
        <v>182</v>
      </c>
      <c r="C1995" t="inlineStr">
        <is>
          <t>Love - Shibari - Kamino</t>
        </is>
      </c>
      <c r="D1995" t="n">
        <v>128</v>
      </c>
      <c r="E1995" t="inlineStr">
        <is>
          <t>Love Cabaret</t>
        </is>
      </c>
      <c r="F1995" s="27" t="n">
        <v>45833</v>
      </c>
      <c r="G1995" t="inlineStr">
        <is>
          <t>DEBITO</t>
        </is>
      </c>
      <c r="H1995" t="inlineStr">
        <is>
          <t>Ice4pros Fabrica de Gelo Ltda</t>
        </is>
      </c>
      <c r="I1995" t="n">
        <v>-563.5</v>
      </c>
    </row>
    <row r="1996">
      <c r="A1996" t="n">
        <v>113924</v>
      </c>
      <c r="B1996" t="n">
        <v>182</v>
      </c>
      <c r="C1996" t="inlineStr">
        <is>
          <t>Love - Shibari - Kamino</t>
        </is>
      </c>
      <c r="D1996" t="n">
        <v>128</v>
      </c>
      <c r="E1996" t="inlineStr">
        <is>
          <t>Love Cabaret</t>
        </is>
      </c>
      <c r="F1996" s="27" t="n">
        <v>45833</v>
      </c>
      <c r="G1996" t="inlineStr">
        <is>
          <t>DEBITO</t>
        </is>
      </c>
      <c r="H1996" t="inlineStr">
        <is>
          <t>Facebook Processado por Adyen</t>
        </is>
      </c>
      <c r="I1996" t="n">
        <v>-5000</v>
      </c>
    </row>
    <row r="1997">
      <c r="A1997" t="n">
        <v>113925</v>
      </c>
      <c r="B1997" t="n">
        <v>182</v>
      </c>
      <c r="C1997" t="inlineStr">
        <is>
          <t>Love - Shibari - Kamino</t>
        </is>
      </c>
      <c r="D1997" t="n">
        <v>128</v>
      </c>
      <c r="E1997" t="inlineStr">
        <is>
          <t>Love Cabaret</t>
        </is>
      </c>
      <c r="F1997" s="27" t="n">
        <v>45833</v>
      </c>
      <c r="G1997" t="inlineStr">
        <is>
          <t>DEBITO</t>
        </is>
      </c>
      <c r="H1997" t="inlineStr">
        <is>
          <t>Cia do Whisky</t>
        </is>
      </c>
      <c r="I1997" t="n">
        <v>-604.45</v>
      </c>
    </row>
    <row r="1998">
      <c r="A1998" t="n">
        <v>113926</v>
      </c>
      <c r="B1998" t="n">
        <v>182</v>
      </c>
      <c r="C1998" t="inlineStr">
        <is>
          <t>Love - Shibari - Kamino</t>
        </is>
      </c>
      <c r="D1998" t="n">
        <v>128</v>
      </c>
      <c r="E1998" t="inlineStr">
        <is>
          <t>Love Cabaret</t>
        </is>
      </c>
      <c r="F1998" s="27" t="n">
        <v>45833</v>
      </c>
      <c r="G1998" t="inlineStr">
        <is>
          <t>DEBITO</t>
        </is>
      </c>
      <c r="H1998" t="inlineStr">
        <is>
          <t>Ng27 Consultoria e Gestao Empr</t>
        </is>
      </c>
      <c r="I1998" t="n">
        <v>-148.52</v>
      </c>
    </row>
    <row r="1999">
      <c r="A1999" t="n">
        <v>113927</v>
      </c>
      <c r="B1999" t="n">
        <v>182</v>
      </c>
      <c r="C1999" t="inlineStr">
        <is>
          <t>Love - Shibari - Kamino</t>
        </is>
      </c>
      <c r="D1999" t="n">
        <v>128</v>
      </c>
      <c r="E1999" t="inlineStr">
        <is>
          <t>Love Cabaret</t>
        </is>
      </c>
      <c r="F1999" s="27" t="n">
        <v>45833</v>
      </c>
      <c r="G1999" t="inlineStr">
        <is>
          <t>DEBITO</t>
        </is>
      </c>
      <c r="H1999" t="inlineStr">
        <is>
          <t>Paramu Comercio R P a Ltda</t>
        </is>
      </c>
      <c r="I1999" t="n">
        <v>-620.1</v>
      </c>
    </row>
    <row r="2000">
      <c r="A2000" t="n">
        <v>113928</v>
      </c>
      <c r="B2000" t="n">
        <v>182</v>
      </c>
      <c r="C2000" t="inlineStr">
        <is>
          <t>Love - Shibari - Kamino</t>
        </is>
      </c>
      <c r="D2000" t="n">
        <v>128</v>
      </c>
      <c r="E2000" t="inlineStr">
        <is>
          <t>Love Cabaret</t>
        </is>
      </c>
      <c r="F2000" s="27" t="n">
        <v>45833</v>
      </c>
      <c r="G2000" t="inlineStr">
        <is>
          <t>DEBITO</t>
        </is>
      </c>
      <c r="H2000" t="inlineStr">
        <is>
          <t>Cecilia Tsuyaco Araki Silva Ltda</t>
        </is>
      </c>
      <c r="I2000" t="n">
        <v>-235.1</v>
      </c>
    </row>
    <row r="2001">
      <c r="A2001" t="n">
        <v>113929</v>
      </c>
      <c r="B2001" t="n">
        <v>182</v>
      </c>
      <c r="C2001" t="inlineStr">
        <is>
          <t>Love - Shibari - Kamino</t>
        </is>
      </c>
      <c r="D2001" t="n">
        <v>128</v>
      </c>
      <c r="E2001" t="inlineStr">
        <is>
          <t>Love Cabaret</t>
        </is>
      </c>
      <c r="F2001" s="27" t="n">
        <v>45833</v>
      </c>
      <c r="G2001" t="inlineStr">
        <is>
          <t>DEBITO</t>
        </is>
      </c>
      <c r="H2001" t="inlineStr">
        <is>
          <t>Btard Padaria Artesanal Ltda</t>
        </is>
      </c>
      <c r="I2001" t="n">
        <v>-168</v>
      </c>
    </row>
    <row r="2002">
      <c r="A2002" t="n">
        <v>113930</v>
      </c>
      <c r="B2002" t="n">
        <v>182</v>
      </c>
      <c r="C2002" t="inlineStr">
        <is>
          <t>Love - Shibari - Kamino</t>
        </is>
      </c>
      <c r="D2002" t="n">
        <v>128</v>
      </c>
      <c r="E2002" t="inlineStr">
        <is>
          <t>Love Cabaret</t>
        </is>
      </c>
      <c r="F2002" s="27" t="n">
        <v>45833</v>
      </c>
      <c r="G2002" t="inlineStr">
        <is>
          <t>DEBITO</t>
        </is>
      </c>
      <c r="H2002" t="inlineStr">
        <is>
          <t>Estaff Solucoes Tecnologicas de Agenciam</t>
        </is>
      </c>
      <c r="I2002" t="n">
        <v>-16436.76</v>
      </c>
    </row>
    <row r="2003">
      <c r="A2003" t="n">
        <v>113774</v>
      </c>
      <c r="B2003" t="n">
        <v>115</v>
      </c>
      <c r="C2003" t="inlineStr">
        <is>
          <t>Love - Shibari - Bradesco</t>
        </is>
      </c>
      <c r="D2003" t="n">
        <v>128</v>
      </c>
      <c r="E2003" t="inlineStr">
        <is>
          <t>Love Cabaret</t>
        </is>
      </c>
      <c r="F2003" s="27" t="n">
        <v>45832.5</v>
      </c>
      <c r="G2003" t="inlineStr">
        <is>
          <t>CREDITO</t>
        </is>
      </c>
      <c r="H2003" t="inlineStr">
        <is>
          <t>TRANSFERENCIA PIX REM: SHIBARI ART E DIVERSA 24/06</t>
        </is>
      </c>
      <c r="I2003" t="n">
        <v>76587.91</v>
      </c>
    </row>
    <row r="2004">
      <c r="A2004" t="n">
        <v>113767</v>
      </c>
      <c r="B2004" t="n">
        <v>115</v>
      </c>
      <c r="C2004" t="inlineStr">
        <is>
          <t>Love - Shibari - Bradesco</t>
        </is>
      </c>
      <c r="D2004" t="n">
        <v>128</v>
      </c>
      <c r="E2004" t="inlineStr">
        <is>
          <t>Love Cabaret</t>
        </is>
      </c>
      <c r="F2004" s="27" t="n">
        <v>45831.5</v>
      </c>
      <c r="G2004" t="inlineStr">
        <is>
          <t>CREDITO</t>
        </is>
      </c>
      <c r="H2004" t="inlineStr">
        <is>
          <t>TED-TRANSF ELET DISPON REMET.LOVE SUITES LTDA</t>
        </is>
      </c>
      <c r="I2004" t="n">
        <v>1292.39</v>
      </c>
    </row>
    <row r="2005">
      <c r="A2005" t="n">
        <v>113771</v>
      </c>
      <c r="B2005" t="n">
        <v>115</v>
      </c>
      <c r="C2005" t="inlineStr">
        <is>
          <t>Love - Shibari - Bradesco</t>
        </is>
      </c>
      <c r="D2005" t="n">
        <v>128</v>
      </c>
      <c r="E2005" t="inlineStr">
        <is>
          <t>Love Cabaret</t>
        </is>
      </c>
      <c r="F2005" s="27" t="n">
        <v>45831.5</v>
      </c>
      <c r="G2005" t="inlineStr">
        <is>
          <t>DEBITO</t>
        </is>
      </c>
      <c r="H2005" t="inlineStr">
        <is>
          <t>TARIFA BANCARIA TRANSF PGTO PIX</t>
        </is>
      </c>
      <c r="I2005" t="n">
        <v>-9.800000000000001</v>
      </c>
    </row>
    <row r="2006">
      <c r="A2006" t="n">
        <v>113773</v>
      </c>
      <c r="B2006" t="n">
        <v>115</v>
      </c>
      <c r="C2006" t="inlineStr">
        <is>
          <t>Love - Shibari - Bradesco</t>
        </is>
      </c>
      <c r="D2006" t="n">
        <v>128</v>
      </c>
      <c r="E2006" t="inlineStr">
        <is>
          <t>Love Cabaret</t>
        </is>
      </c>
      <c r="F2006" s="27" t="n">
        <v>45831.5</v>
      </c>
      <c r="G2006" t="inlineStr">
        <is>
          <t>DEBITO</t>
        </is>
      </c>
      <c r="H2006" t="inlineStr">
        <is>
          <t>TRANSFERENCIA PIX DES: Nino Pontes Brasileir 23/06</t>
        </is>
      </c>
      <c r="I2006" t="n">
        <v>-1500</v>
      </c>
    </row>
    <row r="2007">
      <c r="A2007" t="n">
        <v>113772</v>
      </c>
      <c r="B2007" t="n">
        <v>115</v>
      </c>
      <c r="C2007" t="inlineStr">
        <is>
          <t>Love - Shibari - Bradesco</t>
        </is>
      </c>
      <c r="D2007" t="n">
        <v>128</v>
      </c>
      <c r="E2007" t="inlineStr">
        <is>
          <t>Love Cabaret</t>
        </is>
      </c>
      <c r="F2007" s="27" t="n">
        <v>45831.5</v>
      </c>
      <c r="G2007" t="inlineStr">
        <is>
          <t>DEBITO</t>
        </is>
      </c>
      <c r="H2007" t="inlineStr">
        <is>
          <t>TRANSFERENCIA PIX DES: SHIBARI ART E DIVERSA 23/06</t>
        </is>
      </c>
      <c r="I2007" t="n">
        <v>-18000</v>
      </c>
    </row>
    <row r="2008">
      <c r="A2008" t="n">
        <v>113768</v>
      </c>
      <c r="B2008" t="n">
        <v>115</v>
      </c>
      <c r="C2008" t="inlineStr">
        <is>
          <t>Love - Shibari - Bradesco</t>
        </is>
      </c>
      <c r="D2008" t="n">
        <v>128</v>
      </c>
      <c r="E2008" t="inlineStr">
        <is>
          <t>Love Cabaret</t>
        </is>
      </c>
      <c r="F2008" s="27" t="n">
        <v>45831.5</v>
      </c>
      <c r="G2008" t="inlineStr">
        <is>
          <t>CREDITO</t>
        </is>
      </c>
      <c r="H2008" t="inlineStr">
        <is>
          <t>TRANSFERENCIA PIX REM: ANA LUISA GUSMAO DE L 23/06</t>
        </is>
      </c>
      <c r="I2008" t="n">
        <v>790</v>
      </c>
    </row>
    <row r="2009">
      <c r="A2009" t="n">
        <v>113870</v>
      </c>
      <c r="B2009" t="n">
        <v>182</v>
      </c>
      <c r="C2009" t="inlineStr">
        <is>
          <t>Love - Shibari - Kamino</t>
        </is>
      </c>
      <c r="D2009" t="n">
        <v>128</v>
      </c>
      <c r="E2009" t="inlineStr">
        <is>
          <t>Love Cabaret</t>
        </is>
      </c>
      <c r="F2009" s="27" t="n">
        <v>45831</v>
      </c>
      <c r="G2009" t="inlineStr">
        <is>
          <t>DEBITO</t>
        </is>
      </c>
      <c r="H2009" t="inlineStr">
        <is>
          <t>Luiz Roberto da Silva Junior</t>
        </is>
      </c>
      <c r="I2009" t="n">
        <v>-1000</v>
      </c>
    </row>
    <row r="2010">
      <c r="A2010" t="n">
        <v>113869</v>
      </c>
      <c r="B2010" t="n">
        <v>182</v>
      </c>
      <c r="C2010" t="inlineStr">
        <is>
          <t>Love - Shibari - Kamino</t>
        </is>
      </c>
      <c r="D2010" t="n">
        <v>128</v>
      </c>
      <c r="E2010" t="inlineStr">
        <is>
          <t>Love Cabaret</t>
        </is>
      </c>
      <c r="F2010" s="27" t="n">
        <v>45831</v>
      </c>
      <c r="G2010" t="inlineStr">
        <is>
          <t>DEBITO</t>
        </is>
      </c>
      <c r="H2010" t="inlineStr">
        <is>
          <t>Cvt Locacoes e Eventos Ltda</t>
        </is>
      </c>
      <c r="I2010" t="n">
        <v>-550</v>
      </c>
    </row>
    <row r="2011">
      <c r="A2011" t="n">
        <v>113872</v>
      </c>
      <c r="B2011" t="n">
        <v>182</v>
      </c>
      <c r="C2011" t="inlineStr">
        <is>
          <t>Love - Shibari - Kamino</t>
        </is>
      </c>
      <c r="D2011" t="n">
        <v>128</v>
      </c>
      <c r="E2011" t="inlineStr">
        <is>
          <t>Love Cabaret</t>
        </is>
      </c>
      <c r="F2011" s="27" t="n">
        <v>45831</v>
      </c>
      <c r="G2011" t="inlineStr">
        <is>
          <t>DEBITO</t>
        </is>
      </c>
      <c r="H2011" t="inlineStr">
        <is>
          <t>Dtk Comercio de Alimentos Ltda Epp</t>
        </is>
      </c>
      <c r="I2011" t="n">
        <v>-253.61</v>
      </c>
    </row>
    <row r="2012">
      <c r="A2012" t="n">
        <v>113871</v>
      </c>
      <c r="B2012" t="n">
        <v>182</v>
      </c>
      <c r="C2012" t="inlineStr">
        <is>
          <t>Love - Shibari - Kamino</t>
        </is>
      </c>
      <c r="D2012" t="n">
        <v>128</v>
      </c>
      <c r="E2012" t="inlineStr">
        <is>
          <t>Love Cabaret</t>
        </is>
      </c>
      <c r="F2012" s="27" t="n">
        <v>45831</v>
      </c>
      <c r="G2012" t="inlineStr">
        <is>
          <t>DEBITO</t>
        </is>
      </c>
      <c r="H2012" t="inlineStr">
        <is>
          <t>Paramu Comercio R P a Ltda</t>
        </is>
      </c>
      <c r="I2012" t="n">
        <v>-905.34</v>
      </c>
    </row>
    <row r="2013">
      <c r="A2013" t="n">
        <v>113873</v>
      </c>
      <c r="B2013" t="n">
        <v>182</v>
      </c>
      <c r="C2013" t="inlineStr">
        <is>
          <t>Love - Shibari - Kamino</t>
        </is>
      </c>
      <c r="D2013" t="n">
        <v>128</v>
      </c>
      <c r="E2013" t="inlineStr">
        <is>
          <t>Love Cabaret</t>
        </is>
      </c>
      <c r="F2013" s="27" t="n">
        <v>45831</v>
      </c>
      <c r="G2013" t="inlineStr">
        <is>
          <t>DEBITO</t>
        </is>
      </c>
      <c r="H2013" t="inlineStr">
        <is>
          <t>Destec Solucoes Ltda</t>
        </is>
      </c>
      <c r="I2013" t="n">
        <v>-812.7</v>
      </c>
    </row>
    <row r="2014">
      <c r="A2014" t="n">
        <v>113874</v>
      </c>
      <c r="B2014" t="n">
        <v>182</v>
      </c>
      <c r="C2014" t="inlineStr">
        <is>
          <t>Love - Shibari - Kamino</t>
        </is>
      </c>
      <c r="D2014" t="n">
        <v>128</v>
      </c>
      <c r="E2014" t="inlineStr">
        <is>
          <t>Love Cabaret</t>
        </is>
      </c>
      <c r="F2014" s="27" t="n">
        <v>45831</v>
      </c>
      <c r="G2014" t="inlineStr">
        <is>
          <t>DEBITO</t>
        </is>
      </c>
      <c r="H2014" t="inlineStr">
        <is>
          <t>Aurora Alvorada Estacionamento e Lanchon</t>
        </is>
      </c>
      <c r="I2014" t="n">
        <v>-223.34</v>
      </c>
    </row>
    <row r="2015">
      <c r="A2015" t="n">
        <v>113875</v>
      </c>
      <c r="B2015" t="n">
        <v>182</v>
      </c>
      <c r="C2015" t="inlineStr">
        <is>
          <t>Love - Shibari - Kamino</t>
        </is>
      </c>
      <c r="D2015" t="n">
        <v>128</v>
      </c>
      <c r="E2015" t="inlineStr">
        <is>
          <t>Love Cabaret</t>
        </is>
      </c>
      <c r="F2015" s="27" t="n">
        <v>45831</v>
      </c>
      <c r="G2015" t="inlineStr">
        <is>
          <t>DEBITO</t>
        </is>
      </c>
      <c r="H2015" t="inlineStr">
        <is>
          <t>Ng27 Consultoria e Gestao Empr</t>
        </is>
      </c>
      <c r="I2015" t="n">
        <v>-181.19</v>
      </c>
    </row>
    <row r="2016">
      <c r="A2016" t="n">
        <v>113876</v>
      </c>
      <c r="B2016" t="n">
        <v>182</v>
      </c>
      <c r="C2016" t="inlineStr">
        <is>
          <t>Love - Shibari - Kamino</t>
        </is>
      </c>
      <c r="D2016" t="n">
        <v>128</v>
      </c>
      <c r="E2016" t="inlineStr">
        <is>
          <t>Love Cabaret</t>
        </is>
      </c>
      <c r="F2016" s="27" t="n">
        <v>45831</v>
      </c>
      <c r="G2016" t="inlineStr">
        <is>
          <t>DEBITO</t>
        </is>
      </c>
      <c r="H2016" t="inlineStr">
        <is>
          <t>Stark Bank S.A.</t>
        </is>
      </c>
      <c r="I2016" t="n">
        <v>-49.25</v>
      </c>
    </row>
    <row r="2017">
      <c r="A2017" t="n">
        <v>113877</v>
      </c>
      <c r="B2017" t="n">
        <v>182</v>
      </c>
      <c r="C2017" t="inlineStr">
        <is>
          <t>Love - Shibari - Kamino</t>
        </is>
      </c>
      <c r="D2017" t="n">
        <v>128</v>
      </c>
      <c r="E2017" t="inlineStr">
        <is>
          <t>Love Cabaret</t>
        </is>
      </c>
      <c r="F2017" s="27" t="n">
        <v>45831</v>
      </c>
      <c r="G2017" t="inlineStr">
        <is>
          <t>DEBITO</t>
        </is>
      </c>
      <c r="H2017" t="inlineStr">
        <is>
          <t>Hnk Br Bebidas Ltda</t>
        </is>
      </c>
      <c r="I2017" t="n">
        <v>-295.4</v>
      </c>
    </row>
    <row r="2018">
      <c r="A2018" t="n">
        <v>113878</v>
      </c>
      <c r="B2018" t="n">
        <v>182</v>
      </c>
      <c r="C2018" t="inlineStr">
        <is>
          <t>Love - Shibari - Kamino</t>
        </is>
      </c>
      <c r="D2018" t="n">
        <v>128</v>
      </c>
      <c r="E2018" t="inlineStr">
        <is>
          <t>Love Cabaret</t>
        </is>
      </c>
      <c r="F2018" s="27" t="n">
        <v>45831</v>
      </c>
      <c r="G2018" t="inlineStr">
        <is>
          <t>DEBITO</t>
        </is>
      </c>
      <c r="H2018" t="inlineStr">
        <is>
          <t>Paramu Comercio R P a Ltda</t>
        </is>
      </c>
      <c r="I2018" t="n">
        <v>-1760.9</v>
      </c>
    </row>
    <row r="2019">
      <c r="A2019" t="n">
        <v>113879</v>
      </c>
      <c r="B2019" t="n">
        <v>182</v>
      </c>
      <c r="C2019" t="inlineStr">
        <is>
          <t>Love - Shibari - Kamino</t>
        </is>
      </c>
      <c r="D2019" t="n">
        <v>128</v>
      </c>
      <c r="E2019" t="inlineStr">
        <is>
          <t>Love Cabaret</t>
        </is>
      </c>
      <c r="F2019" s="27" t="n">
        <v>45831</v>
      </c>
      <c r="G2019" t="inlineStr">
        <is>
          <t>DEBITO</t>
        </is>
      </c>
      <c r="H2019" t="inlineStr">
        <is>
          <t>Dtk Comercio de Alimentos Ltda Epp</t>
        </is>
      </c>
      <c r="I2019" t="n">
        <v>-862.3099999999999</v>
      </c>
    </row>
    <row r="2020">
      <c r="A2020" t="n">
        <v>113880</v>
      </c>
      <c r="B2020" t="n">
        <v>182</v>
      </c>
      <c r="C2020" t="inlineStr">
        <is>
          <t>Love - Shibari - Kamino</t>
        </is>
      </c>
      <c r="D2020" t="n">
        <v>128</v>
      </c>
      <c r="E2020" t="inlineStr">
        <is>
          <t>Love Cabaret</t>
        </is>
      </c>
      <c r="F2020" s="27" t="n">
        <v>45831</v>
      </c>
      <c r="G2020" t="inlineStr">
        <is>
          <t>DEBITO</t>
        </is>
      </c>
      <c r="H2020" t="inlineStr">
        <is>
          <t>Pagcerto Instituicao de Pagamento L</t>
        </is>
      </c>
      <c r="I2020" t="n">
        <v>-165</v>
      </c>
    </row>
    <row r="2021">
      <c r="A2021" t="n">
        <v>113881</v>
      </c>
      <c r="B2021" t="n">
        <v>182</v>
      </c>
      <c r="C2021" t="inlineStr">
        <is>
          <t>Love - Shibari - Kamino</t>
        </is>
      </c>
      <c r="D2021" t="n">
        <v>128</v>
      </c>
      <c r="E2021" t="inlineStr">
        <is>
          <t>Love Cabaret</t>
        </is>
      </c>
      <c r="F2021" s="27" t="n">
        <v>45831</v>
      </c>
      <c r="G2021" t="inlineStr">
        <is>
          <t>DEBITO</t>
        </is>
      </c>
      <c r="H2021" t="inlineStr">
        <is>
          <t>Pagamento de Contas</t>
        </is>
      </c>
      <c r="I2021" t="n">
        <v>-438.9</v>
      </c>
    </row>
    <row r="2022">
      <c r="A2022" t="n">
        <v>113882</v>
      </c>
      <c r="B2022" t="n">
        <v>182</v>
      </c>
      <c r="C2022" t="inlineStr">
        <is>
          <t>Love - Shibari - Kamino</t>
        </is>
      </c>
      <c r="D2022" t="n">
        <v>128</v>
      </c>
      <c r="E2022" t="inlineStr">
        <is>
          <t>Love Cabaret</t>
        </is>
      </c>
      <c r="F2022" s="27" t="n">
        <v>45831</v>
      </c>
      <c r="G2022" t="inlineStr">
        <is>
          <t>DEBITO</t>
        </is>
      </c>
      <c r="H2022" t="inlineStr">
        <is>
          <t>Invye Capital Ltda</t>
        </is>
      </c>
      <c r="I2022" t="n">
        <v>-1200</v>
      </c>
    </row>
    <row r="2023">
      <c r="A2023" t="n">
        <v>113883</v>
      </c>
      <c r="B2023" t="n">
        <v>182</v>
      </c>
      <c r="C2023" t="inlineStr">
        <is>
          <t>Love - Shibari - Kamino</t>
        </is>
      </c>
      <c r="D2023" t="n">
        <v>128</v>
      </c>
      <c r="E2023" t="inlineStr">
        <is>
          <t>Love Cabaret</t>
        </is>
      </c>
      <c r="F2023" s="27" t="n">
        <v>45831</v>
      </c>
      <c r="G2023" t="inlineStr">
        <is>
          <t>DEBITO</t>
        </is>
      </c>
      <c r="H2023" t="inlineStr">
        <is>
          <t>Hnk Br Bebidas Ltda</t>
        </is>
      </c>
      <c r="I2023" t="n">
        <v>-2181.72</v>
      </c>
    </row>
    <row r="2024">
      <c r="A2024" t="n">
        <v>113884</v>
      </c>
      <c r="B2024" t="n">
        <v>182</v>
      </c>
      <c r="C2024" t="inlineStr">
        <is>
          <t>Love - Shibari - Kamino</t>
        </is>
      </c>
      <c r="D2024" t="n">
        <v>128</v>
      </c>
      <c r="E2024" t="inlineStr">
        <is>
          <t>Love Cabaret</t>
        </is>
      </c>
      <c r="F2024" s="27" t="n">
        <v>45831</v>
      </c>
      <c r="G2024" t="inlineStr">
        <is>
          <t>DEBITO</t>
        </is>
      </c>
      <c r="H2024" t="inlineStr">
        <is>
          <t>Forte Alimentos Comercio e Importacao Lt</t>
        </is>
      </c>
      <c r="I2024" t="n">
        <v>-484.9</v>
      </c>
    </row>
    <row r="2025">
      <c r="A2025" t="n">
        <v>113885</v>
      </c>
      <c r="B2025" t="n">
        <v>182</v>
      </c>
      <c r="C2025" t="inlineStr">
        <is>
          <t>Love - Shibari - Kamino</t>
        </is>
      </c>
      <c r="D2025" t="n">
        <v>128</v>
      </c>
      <c r="E2025" t="inlineStr">
        <is>
          <t>Love Cabaret</t>
        </is>
      </c>
      <c r="F2025" s="27" t="n">
        <v>45831</v>
      </c>
      <c r="G2025" t="inlineStr">
        <is>
          <t>DEBITO</t>
        </is>
      </c>
      <c r="H2025" t="inlineStr">
        <is>
          <t>Manioca Comercio de Alimentos da Amazoni</t>
        </is>
      </c>
      <c r="I2025" t="n">
        <v>-785</v>
      </c>
    </row>
    <row r="2026">
      <c r="A2026" t="n">
        <v>113886</v>
      </c>
      <c r="B2026" t="n">
        <v>182</v>
      </c>
      <c r="C2026" t="inlineStr">
        <is>
          <t>Love - Shibari - Kamino</t>
        </is>
      </c>
      <c r="D2026" t="n">
        <v>128</v>
      </c>
      <c r="E2026" t="inlineStr">
        <is>
          <t>Love Cabaret</t>
        </is>
      </c>
      <c r="F2026" s="27" t="n">
        <v>45831</v>
      </c>
      <c r="G2026" t="inlineStr">
        <is>
          <t>DEBITO</t>
        </is>
      </c>
      <c r="H2026" t="inlineStr">
        <is>
          <t>Alphalix Ambiental Locacao de Equipament</t>
        </is>
      </c>
      <c r="I2026" t="n">
        <v>-1335.89</v>
      </c>
    </row>
    <row r="2027">
      <c r="A2027" t="n">
        <v>113887</v>
      </c>
      <c r="B2027" t="n">
        <v>182</v>
      </c>
      <c r="C2027" t="inlineStr">
        <is>
          <t>Love - Shibari - Kamino</t>
        </is>
      </c>
      <c r="D2027" t="n">
        <v>128</v>
      </c>
      <c r="E2027" t="inlineStr">
        <is>
          <t>Love Cabaret</t>
        </is>
      </c>
      <c r="F2027" s="27" t="n">
        <v>45831</v>
      </c>
      <c r="G2027" t="inlineStr">
        <is>
          <t>DEBITO</t>
        </is>
      </c>
      <c r="H2027" t="inlineStr">
        <is>
          <t>Zoop Brasil</t>
        </is>
      </c>
      <c r="I2027" t="n">
        <v>-561.84</v>
      </c>
    </row>
    <row r="2028">
      <c r="A2028" t="n">
        <v>113888</v>
      </c>
      <c r="B2028" t="n">
        <v>182</v>
      </c>
      <c r="C2028" t="inlineStr">
        <is>
          <t>Love - Shibari - Kamino</t>
        </is>
      </c>
      <c r="D2028" t="n">
        <v>128</v>
      </c>
      <c r="E2028" t="inlineStr">
        <is>
          <t>Love Cabaret</t>
        </is>
      </c>
      <c r="F2028" s="27" t="n">
        <v>45831</v>
      </c>
      <c r="G2028" t="inlineStr">
        <is>
          <t>DEBITO</t>
        </is>
      </c>
      <c r="H2028" t="inlineStr">
        <is>
          <t>Cepel Comercio de Papeis e Emb</t>
        </is>
      </c>
      <c r="I2028" t="n">
        <v>-910</v>
      </c>
    </row>
    <row r="2029">
      <c r="A2029" t="n">
        <v>113868</v>
      </c>
      <c r="B2029" t="n">
        <v>182</v>
      </c>
      <c r="C2029" t="inlineStr">
        <is>
          <t>Love - Shibari - Kamino</t>
        </is>
      </c>
      <c r="D2029" t="n">
        <v>128</v>
      </c>
      <c r="E2029" t="inlineStr">
        <is>
          <t>Love Cabaret</t>
        </is>
      </c>
      <c r="F2029" s="27" t="n">
        <v>45831</v>
      </c>
      <c r="G2029" t="inlineStr">
        <is>
          <t>CREDITO</t>
        </is>
      </c>
      <c r="H2029" t="inlineStr">
        <is>
          <t>Pix Env No Processado</t>
        </is>
      </c>
      <c r="I2029" t="n">
        <v>1500</v>
      </c>
    </row>
    <row r="2030">
      <c r="A2030" t="n">
        <v>113867</v>
      </c>
      <c r="B2030" t="n">
        <v>182</v>
      </c>
      <c r="C2030" t="inlineStr">
        <is>
          <t>Love - Shibari - Kamino</t>
        </is>
      </c>
      <c r="D2030" t="n">
        <v>128</v>
      </c>
      <c r="E2030" t="inlineStr">
        <is>
          <t>Love Cabaret</t>
        </is>
      </c>
      <c r="F2030" s="27" t="n">
        <v>45831</v>
      </c>
      <c r="G2030" t="inlineStr">
        <is>
          <t>DEBITO</t>
        </is>
      </c>
      <c r="H2030" t="inlineStr">
        <is>
          <t>46.806.793 Nino Pontes Brasileiro e Silva</t>
        </is>
      </c>
      <c r="I2030" t="n">
        <v>-1500</v>
      </c>
    </row>
    <row r="2031">
      <c r="A2031" t="n">
        <v>113866</v>
      </c>
      <c r="B2031" t="n">
        <v>182</v>
      </c>
      <c r="C2031" t="inlineStr">
        <is>
          <t>Love - Shibari - Kamino</t>
        </is>
      </c>
      <c r="D2031" t="n">
        <v>128</v>
      </c>
      <c r="E2031" t="inlineStr">
        <is>
          <t>Love Cabaret</t>
        </is>
      </c>
      <c r="F2031" s="27" t="n">
        <v>45831</v>
      </c>
      <c r="G2031" t="inlineStr">
        <is>
          <t>DEBITO</t>
        </is>
      </c>
      <c r="H2031" t="inlineStr">
        <is>
          <t>GOOGLE BRASIL INTERNET LTDA.</t>
        </is>
      </c>
      <c r="I2031" t="n">
        <v>-1000</v>
      </c>
    </row>
    <row r="2032">
      <c r="A2032" t="n">
        <v>113865</v>
      </c>
      <c r="B2032" t="n">
        <v>182</v>
      </c>
      <c r="C2032" t="inlineStr">
        <is>
          <t>Love - Shibari - Kamino</t>
        </is>
      </c>
      <c r="D2032" t="n">
        <v>128</v>
      </c>
      <c r="E2032" t="inlineStr">
        <is>
          <t>Love Cabaret</t>
        </is>
      </c>
      <c r="F2032" s="27" t="n">
        <v>45831</v>
      </c>
      <c r="G2032" t="inlineStr">
        <is>
          <t>CREDITO</t>
        </is>
      </c>
      <c r="H2032" t="inlineStr">
        <is>
          <t>SHIBARI ART E DIVERSAO LTDA</t>
        </is>
      </c>
      <c r="I2032" t="n">
        <v>18000</v>
      </c>
    </row>
    <row r="2033">
      <c r="A2033" t="n">
        <v>113889</v>
      </c>
      <c r="B2033" t="n">
        <v>182</v>
      </c>
      <c r="C2033" t="inlineStr">
        <is>
          <t>Love - Shibari - Kamino</t>
        </is>
      </c>
      <c r="D2033" t="n">
        <v>128</v>
      </c>
      <c r="E2033" t="inlineStr">
        <is>
          <t>Love Cabaret</t>
        </is>
      </c>
      <c r="F2033" s="27" t="n">
        <v>45831</v>
      </c>
      <c r="G2033" t="inlineStr">
        <is>
          <t>DEBITO</t>
        </is>
      </c>
      <c r="H2033" t="inlineStr">
        <is>
          <t>Companhia de Gas de Sp Comgas</t>
        </is>
      </c>
      <c r="I2033" t="n">
        <v>-1556.52</v>
      </c>
    </row>
    <row r="2034">
      <c r="A2034" t="n">
        <v>113890</v>
      </c>
      <c r="B2034" t="n">
        <v>182</v>
      </c>
      <c r="C2034" t="inlineStr">
        <is>
          <t>Love - Shibari - Kamino</t>
        </is>
      </c>
      <c r="D2034" t="n">
        <v>128</v>
      </c>
      <c r="E2034" t="inlineStr">
        <is>
          <t>Love Cabaret</t>
        </is>
      </c>
      <c r="F2034" s="27" t="n">
        <v>45831</v>
      </c>
      <c r="G2034" t="inlineStr">
        <is>
          <t>DEBITO</t>
        </is>
      </c>
      <c r="H2034" t="inlineStr">
        <is>
          <t>Dist Carnes Cant Ltda Epp</t>
        </is>
      </c>
      <c r="I2034" t="n">
        <v>-208</v>
      </c>
    </row>
    <row r="2035">
      <c r="A2035" t="n">
        <v>113766</v>
      </c>
      <c r="B2035" t="n">
        <v>115</v>
      </c>
      <c r="C2035" t="inlineStr">
        <is>
          <t>Love - Shibari - Bradesco</t>
        </is>
      </c>
      <c r="D2035" t="n">
        <v>128</v>
      </c>
      <c r="E2035" t="inlineStr">
        <is>
          <t>Love Cabaret</t>
        </is>
      </c>
      <c r="F2035" s="27" t="n">
        <v>45828.5</v>
      </c>
      <c r="G2035" t="inlineStr">
        <is>
          <t>CREDITO</t>
        </is>
      </c>
      <c r="H2035" t="inlineStr">
        <is>
          <t>DEP DINHEIRO ATM AG00614MAQ060628SEQ03938</t>
        </is>
      </c>
      <c r="I2035" t="n">
        <v>630</v>
      </c>
    </row>
    <row r="2036">
      <c r="A2036" t="n">
        <v>113759</v>
      </c>
      <c r="B2036" t="n">
        <v>115</v>
      </c>
      <c r="C2036" t="inlineStr">
        <is>
          <t>Love - Shibari - Bradesco</t>
        </is>
      </c>
      <c r="D2036" t="n">
        <v>128</v>
      </c>
      <c r="E2036" t="inlineStr">
        <is>
          <t>Love Cabaret</t>
        </is>
      </c>
      <c r="F2036" s="27" t="n">
        <v>45826.5</v>
      </c>
      <c r="G2036" t="inlineStr">
        <is>
          <t>CREDITO</t>
        </is>
      </c>
      <c r="H2036" t="inlineStr">
        <is>
          <t>TED-TRANSF ELET DISPON REMET.SYMPLA INTERNET SOLU</t>
        </is>
      </c>
      <c r="I2036" t="n">
        <v>12490</v>
      </c>
    </row>
    <row r="2037">
      <c r="A2037" t="n">
        <v>113758</v>
      </c>
      <c r="B2037" t="n">
        <v>115</v>
      </c>
      <c r="C2037" t="inlineStr">
        <is>
          <t>Love - Shibari - Bradesco</t>
        </is>
      </c>
      <c r="D2037" t="n">
        <v>128</v>
      </c>
      <c r="E2037" t="inlineStr">
        <is>
          <t>Love Cabaret</t>
        </is>
      </c>
      <c r="F2037" s="27" t="n">
        <v>45826.5</v>
      </c>
      <c r="G2037" t="inlineStr">
        <is>
          <t>CREDITO</t>
        </is>
      </c>
      <c r="H2037" t="inlineStr">
        <is>
          <t>TED-TRANSF ELET DISPON REMET.LIRIUM INDUSTRIA E C</t>
        </is>
      </c>
      <c r="I2037" t="n">
        <v>216</v>
      </c>
    </row>
    <row r="2038">
      <c r="A2038" t="n">
        <v>113760</v>
      </c>
      <c r="B2038" t="n">
        <v>115</v>
      </c>
      <c r="C2038" t="inlineStr">
        <is>
          <t>Love - Shibari - Bradesco</t>
        </is>
      </c>
      <c r="D2038" t="n">
        <v>128</v>
      </c>
      <c r="E2038" t="inlineStr">
        <is>
          <t>Love Cabaret</t>
        </is>
      </c>
      <c r="F2038" s="27" t="n">
        <v>45826.5</v>
      </c>
      <c r="G2038" t="inlineStr">
        <is>
          <t>CREDITO</t>
        </is>
      </c>
      <c r="H2038" t="inlineStr">
        <is>
          <t>TRANSFERENCIA PIX REM: SHIBARI ART E DIVERSA 18/06</t>
        </is>
      </c>
      <c r="I2038" t="n">
        <v>14832.19</v>
      </c>
    </row>
    <row r="2039">
      <c r="A2039" t="n">
        <v>113763</v>
      </c>
      <c r="B2039" t="n">
        <v>115</v>
      </c>
      <c r="C2039" t="inlineStr">
        <is>
          <t>Love - Shibari - Bradesco</t>
        </is>
      </c>
      <c r="D2039" t="n">
        <v>128</v>
      </c>
      <c r="E2039" t="inlineStr">
        <is>
          <t>Love Cabaret</t>
        </is>
      </c>
      <c r="F2039" s="27" t="n">
        <v>45826.5</v>
      </c>
      <c r="G2039" t="inlineStr">
        <is>
          <t>DEBITO</t>
        </is>
      </c>
      <c r="H2039" t="inlineStr">
        <is>
          <t>TARIFA BANCARIA TRANSF PGTO PIX</t>
        </is>
      </c>
      <c r="I2039" t="n">
        <v>-9.800000000000001</v>
      </c>
    </row>
    <row r="2040">
      <c r="A2040" t="n">
        <v>113764</v>
      </c>
      <c r="B2040" t="n">
        <v>115</v>
      </c>
      <c r="C2040" t="inlineStr">
        <is>
          <t>Love - Shibari - Bradesco</t>
        </is>
      </c>
      <c r="D2040" t="n">
        <v>128</v>
      </c>
      <c r="E2040" t="inlineStr">
        <is>
          <t>Love Cabaret</t>
        </is>
      </c>
      <c r="F2040" s="27" t="n">
        <v>45826.5</v>
      </c>
      <c r="G2040" t="inlineStr">
        <is>
          <t>DEBITO</t>
        </is>
      </c>
      <c r="H2040" t="inlineStr">
        <is>
          <t>ADIANT SALARIO VIA NET</t>
        </is>
      </c>
      <c r="I2040" t="n">
        <v>-914.26</v>
      </c>
    </row>
    <row r="2041">
      <c r="A2041" t="n">
        <v>113765</v>
      </c>
      <c r="B2041" t="n">
        <v>115</v>
      </c>
      <c r="C2041" t="inlineStr">
        <is>
          <t>Love - Shibari - Bradesco</t>
        </is>
      </c>
      <c r="D2041" t="n">
        <v>128</v>
      </c>
      <c r="E2041" t="inlineStr">
        <is>
          <t>Love Cabaret</t>
        </is>
      </c>
      <c r="F2041" s="27" t="n">
        <v>45826.5</v>
      </c>
      <c r="G2041" t="inlineStr">
        <is>
          <t>DEBITO</t>
        </is>
      </c>
      <c r="H2041" t="inlineStr">
        <is>
          <t>TRANSFERENCIA PIX DES: SHIBARI ART E DIVERSA 18/06</t>
        </is>
      </c>
      <c r="I2041" t="n">
        <v>-64000</v>
      </c>
    </row>
    <row r="2042">
      <c r="A2042" t="n">
        <v>113851</v>
      </c>
      <c r="B2042" t="n">
        <v>182</v>
      </c>
      <c r="C2042" t="inlineStr">
        <is>
          <t>Love - Shibari - Kamino</t>
        </is>
      </c>
      <c r="D2042" t="n">
        <v>128</v>
      </c>
      <c r="E2042" t="inlineStr">
        <is>
          <t>Love Cabaret</t>
        </is>
      </c>
      <c r="F2042" s="27" t="n">
        <v>45826</v>
      </c>
      <c r="G2042" t="inlineStr">
        <is>
          <t>DEBITO</t>
        </is>
      </c>
      <c r="H2042" t="inlineStr">
        <is>
          <t>Estaff Solucoes Tecnologicas de Agenciam</t>
        </is>
      </c>
      <c r="I2042" t="n">
        <v>-14239.5</v>
      </c>
    </row>
    <row r="2043">
      <c r="A2043" t="n">
        <v>113864</v>
      </c>
      <c r="B2043" t="n">
        <v>182</v>
      </c>
      <c r="C2043" t="inlineStr">
        <is>
          <t>Love - Shibari - Kamino</t>
        </is>
      </c>
      <c r="D2043" t="n">
        <v>128</v>
      </c>
      <c r="E2043" t="inlineStr">
        <is>
          <t>Love Cabaret</t>
        </is>
      </c>
      <c r="F2043" s="27" t="n">
        <v>45826</v>
      </c>
      <c r="G2043" t="inlineStr">
        <is>
          <t>DEBITO</t>
        </is>
      </c>
      <c r="H2043" t="inlineStr">
        <is>
          <t>Ice4pros Fabrica de Gelo Ltda</t>
        </is>
      </c>
      <c r="I2043" t="n">
        <v>-834.75</v>
      </c>
    </row>
    <row r="2044">
      <c r="A2044" t="n">
        <v>113863</v>
      </c>
      <c r="B2044" t="n">
        <v>182</v>
      </c>
      <c r="C2044" t="inlineStr">
        <is>
          <t>Love - Shibari - Kamino</t>
        </is>
      </c>
      <c r="D2044" t="n">
        <v>128</v>
      </c>
      <c r="E2044" t="inlineStr">
        <is>
          <t>Love Cabaret</t>
        </is>
      </c>
      <c r="F2044" s="27" t="n">
        <v>45826</v>
      </c>
      <c r="G2044" t="inlineStr">
        <is>
          <t>DEBITO</t>
        </is>
      </c>
      <c r="H2044" t="inlineStr">
        <is>
          <t>Cia do Whisky</t>
        </is>
      </c>
      <c r="I2044" t="n">
        <v>-466.8</v>
      </c>
    </row>
    <row r="2045">
      <c r="A2045" t="n">
        <v>113861</v>
      </c>
      <c r="B2045" t="n">
        <v>182</v>
      </c>
      <c r="C2045" t="inlineStr">
        <is>
          <t>Love - Shibari - Kamino</t>
        </is>
      </c>
      <c r="D2045" t="n">
        <v>128</v>
      </c>
      <c r="E2045" t="inlineStr">
        <is>
          <t>Love Cabaret</t>
        </is>
      </c>
      <c r="F2045" s="27" t="n">
        <v>45826</v>
      </c>
      <c r="G2045" t="inlineStr">
        <is>
          <t>DEBITO</t>
        </is>
      </c>
      <c r="H2045" t="inlineStr">
        <is>
          <t>Gomes D Elia Equipamentos de H</t>
        </is>
      </c>
      <c r="I2045" t="n">
        <v>-515</v>
      </c>
    </row>
    <row r="2046">
      <c r="A2046" t="n">
        <v>113836</v>
      </c>
      <c r="B2046" t="n">
        <v>182</v>
      </c>
      <c r="C2046" t="inlineStr">
        <is>
          <t>Love - Shibari - Kamino</t>
        </is>
      </c>
      <c r="D2046" t="n">
        <v>128</v>
      </c>
      <c r="E2046" t="inlineStr">
        <is>
          <t>Love Cabaret</t>
        </is>
      </c>
      <c r="F2046" s="27" t="n">
        <v>45826</v>
      </c>
      <c r="G2046" t="inlineStr">
        <is>
          <t>CREDITO</t>
        </is>
      </c>
      <c r="H2046" t="inlineStr">
        <is>
          <t>SHIBARI ART E DIVERSAO LTDA</t>
        </is>
      </c>
      <c r="I2046" t="n">
        <v>64000</v>
      </c>
    </row>
    <row r="2047">
      <c r="A2047" t="n">
        <v>113837</v>
      </c>
      <c r="B2047" t="n">
        <v>182</v>
      </c>
      <c r="C2047" t="inlineStr">
        <is>
          <t>Love - Shibari - Kamino</t>
        </is>
      </c>
      <c r="D2047" t="n">
        <v>128</v>
      </c>
      <c r="E2047" t="inlineStr">
        <is>
          <t>Love Cabaret</t>
        </is>
      </c>
      <c r="F2047" s="27" t="n">
        <v>45826</v>
      </c>
      <c r="G2047" t="inlineStr">
        <is>
          <t>DEBITO</t>
        </is>
      </c>
      <c r="H2047" t="inlineStr">
        <is>
          <t>Machine Seguranca Patrimonial Ltda</t>
        </is>
      </c>
      <c r="I2047" t="n">
        <v>-5700</v>
      </c>
    </row>
    <row r="2048">
      <c r="A2048" t="n">
        <v>113838</v>
      </c>
      <c r="B2048" t="n">
        <v>182</v>
      </c>
      <c r="C2048" t="inlineStr">
        <is>
          <t>Love - Shibari - Kamino</t>
        </is>
      </c>
      <c r="D2048" t="n">
        <v>128</v>
      </c>
      <c r="E2048" t="inlineStr">
        <is>
          <t>Love Cabaret</t>
        </is>
      </c>
      <c r="F2048" s="27" t="n">
        <v>45826</v>
      </c>
      <c r="G2048" t="inlineStr">
        <is>
          <t>DEBITO</t>
        </is>
      </c>
      <c r="H2048" t="inlineStr">
        <is>
          <t>CAIXA ECONOMICA FEDERAL</t>
        </is>
      </c>
      <c r="I2048" t="n">
        <v>-539.9400000000001</v>
      </c>
    </row>
    <row r="2049">
      <c r="A2049" t="n">
        <v>113839</v>
      </c>
      <c r="B2049" t="n">
        <v>182</v>
      </c>
      <c r="C2049" t="inlineStr">
        <is>
          <t>Love - Shibari - Kamino</t>
        </is>
      </c>
      <c r="D2049" t="n">
        <v>128</v>
      </c>
      <c r="E2049" t="inlineStr">
        <is>
          <t>Love Cabaret</t>
        </is>
      </c>
      <c r="F2049" s="27" t="n">
        <v>45826</v>
      </c>
      <c r="G2049" t="inlineStr">
        <is>
          <t>DEBITO</t>
        </is>
      </c>
      <c r="H2049" t="inlineStr">
        <is>
          <t>Receita Federal</t>
        </is>
      </c>
      <c r="I2049" t="n">
        <v>-161.89</v>
      </c>
    </row>
    <row r="2050">
      <c r="A2050" t="n">
        <v>113840</v>
      </c>
      <c r="B2050" t="n">
        <v>182</v>
      </c>
      <c r="C2050" t="inlineStr">
        <is>
          <t>Love - Shibari - Kamino</t>
        </is>
      </c>
      <c r="D2050" t="n">
        <v>128</v>
      </c>
      <c r="E2050" t="inlineStr">
        <is>
          <t>Love Cabaret</t>
        </is>
      </c>
      <c r="F2050" s="27" t="n">
        <v>45826</v>
      </c>
      <c r="G2050" t="inlineStr">
        <is>
          <t>DEBITO</t>
        </is>
      </c>
      <c r="H2050" t="inlineStr">
        <is>
          <t>Sabesp</t>
        </is>
      </c>
      <c r="I2050" t="n">
        <v>-153.96</v>
      </c>
    </row>
    <row r="2051">
      <c r="A2051" t="n">
        <v>113841</v>
      </c>
      <c r="B2051" t="n">
        <v>182</v>
      </c>
      <c r="C2051" t="inlineStr">
        <is>
          <t>Love - Shibari - Kamino</t>
        </is>
      </c>
      <c r="D2051" t="n">
        <v>128</v>
      </c>
      <c r="E2051" t="inlineStr">
        <is>
          <t>Love Cabaret</t>
        </is>
      </c>
      <c r="F2051" s="27" t="n">
        <v>45826</v>
      </c>
      <c r="G2051" t="inlineStr">
        <is>
          <t>DEBITO</t>
        </is>
      </c>
      <c r="H2051" t="inlineStr">
        <is>
          <t>Opus Consultoria e Pesquisa Ltda</t>
        </is>
      </c>
      <c r="I2051" t="n">
        <v>-300</v>
      </c>
    </row>
    <row r="2052">
      <c r="A2052" t="n">
        <v>113842</v>
      </c>
      <c r="B2052" t="n">
        <v>182</v>
      </c>
      <c r="C2052" t="inlineStr">
        <is>
          <t>Love - Shibari - Kamino</t>
        </is>
      </c>
      <c r="D2052" t="n">
        <v>128</v>
      </c>
      <c r="E2052" t="inlineStr">
        <is>
          <t>Love Cabaret</t>
        </is>
      </c>
      <c r="F2052" s="27" t="n">
        <v>45826</v>
      </c>
      <c r="G2052" t="inlineStr">
        <is>
          <t>DEBITO</t>
        </is>
      </c>
      <c r="H2052" t="inlineStr">
        <is>
          <t>Receita Federal</t>
        </is>
      </c>
      <c r="I2052" t="n">
        <v>-1943.79</v>
      </c>
    </row>
    <row r="2053">
      <c r="A2053" t="n">
        <v>113843</v>
      </c>
      <c r="B2053" t="n">
        <v>182</v>
      </c>
      <c r="C2053" t="inlineStr">
        <is>
          <t>Love - Shibari - Kamino</t>
        </is>
      </c>
      <c r="D2053" t="n">
        <v>128</v>
      </c>
      <c r="E2053" t="inlineStr">
        <is>
          <t>Love Cabaret</t>
        </is>
      </c>
      <c r="F2053" s="27" t="n">
        <v>45826</v>
      </c>
      <c r="G2053" t="inlineStr">
        <is>
          <t>DEBITO</t>
        </is>
      </c>
      <c r="H2053" t="inlineStr">
        <is>
          <t>Receita Federal</t>
        </is>
      </c>
      <c r="I2053" t="n">
        <v>-685.3</v>
      </c>
    </row>
    <row r="2054">
      <c r="A2054" t="n">
        <v>113844</v>
      </c>
      <c r="B2054" t="n">
        <v>182</v>
      </c>
      <c r="C2054" t="inlineStr">
        <is>
          <t>Love - Shibari - Kamino</t>
        </is>
      </c>
      <c r="D2054" t="n">
        <v>128</v>
      </c>
      <c r="E2054" t="inlineStr">
        <is>
          <t>Love Cabaret</t>
        </is>
      </c>
      <c r="F2054" s="27" t="n">
        <v>45826</v>
      </c>
      <c r="G2054" t="inlineStr">
        <is>
          <t>DEBITO</t>
        </is>
      </c>
      <c r="H2054" t="inlineStr">
        <is>
          <t>Receita Federal</t>
        </is>
      </c>
      <c r="I2054" t="n">
        <v>-596.73</v>
      </c>
    </row>
    <row r="2055">
      <c r="A2055" t="n">
        <v>113845</v>
      </c>
      <c r="B2055" t="n">
        <v>182</v>
      </c>
      <c r="C2055" t="inlineStr">
        <is>
          <t>Love - Shibari - Kamino</t>
        </is>
      </c>
      <c r="D2055" t="n">
        <v>128</v>
      </c>
      <c r="E2055" t="inlineStr">
        <is>
          <t>Love Cabaret</t>
        </is>
      </c>
      <c r="F2055" s="27" t="n">
        <v>45826</v>
      </c>
      <c r="G2055" t="inlineStr">
        <is>
          <t>DEBITO</t>
        </is>
      </c>
      <c r="H2055" t="inlineStr">
        <is>
          <t>Eshows Promocoes Artisticas Ltda</t>
        </is>
      </c>
      <c r="I2055" t="n">
        <v>-22860</v>
      </c>
    </row>
    <row r="2056">
      <c r="A2056" t="n">
        <v>113846</v>
      </c>
      <c r="B2056" t="n">
        <v>182</v>
      </c>
      <c r="C2056" t="inlineStr">
        <is>
          <t>Love - Shibari - Kamino</t>
        </is>
      </c>
      <c r="D2056" t="n">
        <v>128</v>
      </c>
      <c r="E2056" t="inlineStr">
        <is>
          <t>Love Cabaret</t>
        </is>
      </c>
      <c r="F2056" s="27" t="n">
        <v>45826</v>
      </c>
      <c r="G2056" t="inlineStr">
        <is>
          <t>DEBITO</t>
        </is>
      </c>
      <c r="H2056" t="inlineStr">
        <is>
          <t>Psss Ltda</t>
        </is>
      </c>
      <c r="I2056" t="n">
        <v>-453.04</v>
      </c>
    </row>
    <row r="2057">
      <c r="A2057" t="n">
        <v>113847</v>
      </c>
      <c r="B2057" t="n">
        <v>182</v>
      </c>
      <c r="C2057" t="inlineStr">
        <is>
          <t>Love - Shibari - Kamino</t>
        </is>
      </c>
      <c r="D2057" t="n">
        <v>128</v>
      </c>
      <c r="E2057" t="inlineStr">
        <is>
          <t>Love Cabaret</t>
        </is>
      </c>
      <c r="F2057" s="27" t="n">
        <v>45826</v>
      </c>
      <c r="G2057" t="inlineStr">
        <is>
          <t>DEBITO</t>
        </is>
      </c>
      <c r="H2057" t="inlineStr">
        <is>
          <t>Receita Federal</t>
        </is>
      </c>
      <c r="I2057" t="n">
        <v>-108.22</v>
      </c>
    </row>
    <row r="2058">
      <c r="A2058" t="n">
        <v>113848</v>
      </c>
      <c r="B2058" t="n">
        <v>182</v>
      </c>
      <c r="C2058" t="inlineStr">
        <is>
          <t>Love - Shibari - Kamino</t>
        </is>
      </c>
      <c r="D2058" t="n">
        <v>128</v>
      </c>
      <c r="E2058" t="inlineStr">
        <is>
          <t>Love Cabaret</t>
        </is>
      </c>
      <c r="F2058" s="27" t="n">
        <v>45826</v>
      </c>
      <c r="G2058" t="inlineStr">
        <is>
          <t>DEBITO</t>
        </is>
      </c>
      <c r="H2058" t="inlineStr">
        <is>
          <t>Paramu Comercio R P a Ltda</t>
        </is>
      </c>
      <c r="I2058" t="n">
        <v>-294.3</v>
      </c>
    </row>
    <row r="2059">
      <c r="A2059" t="n">
        <v>113850</v>
      </c>
      <c r="B2059" t="n">
        <v>182</v>
      </c>
      <c r="C2059" t="inlineStr">
        <is>
          <t>Love - Shibari - Kamino</t>
        </is>
      </c>
      <c r="D2059" t="n">
        <v>128</v>
      </c>
      <c r="E2059" t="inlineStr">
        <is>
          <t>Love Cabaret</t>
        </is>
      </c>
      <c r="F2059" s="27" t="n">
        <v>45826</v>
      </c>
      <c r="G2059" t="inlineStr">
        <is>
          <t>DEBITO</t>
        </is>
      </c>
      <c r="H2059" t="inlineStr">
        <is>
          <t>Receita Federal</t>
        </is>
      </c>
      <c r="I2059" t="n">
        <v>-434.46</v>
      </c>
    </row>
    <row r="2060">
      <c r="A2060" t="n">
        <v>113849</v>
      </c>
      <c r="B2060" t="n">
        <v>182</v>
      </c>
      <c r="C2060" t="inlineStr">
        <is>
          <t>Love - Shibari - Kamino</t>
        </is>
      </c>
      <c r="D2060" t="n">
        <v>128</v>
      </c>
      <c r="E2060" t="inlineStr">
        <is>
          <t>Love Cabaret</t>
        </is>
      </c>
      <c r="F2060" s="27" t="n">
        <v>45826</v>
      </c>
      <c r="G2060" t="inlineStr">
        <is>
          <t>DEBITO</t>
        </is>
      </c>
      <c r="H2060" t="inlineStr">
        <is>
          <t>Fabrica de Bares Servicos Ltda</t>
        </is>
      </c>
      <c r="I2060" t="n">
        <v>-100</v>
      </c>
    </row>
    <row r="2061">
      <c r="A2061" t="n">
        <v>113860</v>
      </c>
      <c r="B2061" t="n">
        <v>182</v>
      </c>
      <c r="C2061" t="inlineStr">
        <is>
          <t>Love - Shibari - Kamino</t>
        </is>
      </c>
      <c r="D2061" t="n">
        <v>128</v>
      </c>
      <c r="E2061" t="inlineStr">
        <is>
          <t>Love Cabaret</t>
        </is>
      </c>
      <c r="F2061" s="27" t="n">
        <v>45826</v>
      </c>
      <c r="G2061" t="inlineStr">
        <is>
          <t>DEBITO</t>
        </is>
      </c>
      <c r="H2061" t="inlineStr">
        <is>
          <t>Brh Saude Ocupacional Ltda Epp</t>
        </is>
      </c>
      <c r="I2061" t="n">
        <v>-303.64</v>
      </c>
    </row>
    <row r="2062">
      <c r="A2062" t="n">
        <v>113859</v>
      </c>
      <c r="B2062" t="n">
        <v>182</v>
      </c>
      <c r="C2062" t="inlineStr">
        <is>
          <t>Love - Shibari - Kamino</t>
        </is>
      </c>
      <c r="D2062" t="n">
        <v>128</v>
      </c>
      <c r="E2062" t="inlineStr">
        <is>
          <t>Love Cabaret</t>
        </is>
      </c>
      <c r="F2062" s="27" t="n">
        <v>45826</v>
      </c>
      <c r="G2062" t="inlineStr">
        <is>
          <t>DEBITO</t>
        </is>
      </c>
      <c r="H2062" t="inlineStr">
        <is>
          <t>Arena Bebidas</t>
        </is>
      </c>
      <c r="I2062" t="n">
        <v>-870</v>
      </c>
    </row>
    <row r="2063">
      <c r="A2063" t="n">
        <v>113858</v>
      </c>
      <c r="B2063" t="n">
        <v>182</v>
      </c>
      <c r="C2063" t="inlineStr">
        <is>
          <t>Love - Shibari - Kamino</t>
        </is>
      </c>
      <c r="D2063" t="n">
        <v>128</v>
      </c>
      <c r="E2063" t="inlineStr">
        <is>
          <t>Love Cabaret</t>
        </is>
      </c>
      <c r="F2063" s="27" t="n">
        <v>45826</v>
      </c>
      <c r="G2063" t="inlineStr">
        <is>
          <t>DEBITO</t>
        </is>
      </c>
      <c r="H2063" t="inlineStr">
        <is>
          <t>Ng27 Consultoria e Gestao Empr</t>
        </is>
      </c>
      <c r="I2063" t="n">
        <v>-104.7</v>
      </c>
    </row>
    <row r="2064">
      <c r="A2064" t="n">
        <v>113857</v>
      </c>
      <c r="B2064" t="n">
        <v>182</v>
      </c>
      <c r="C2064" t="inlineStr">
        <is>
          <t>Love - Shibari - Kamino</t>
        </is>
      </c>
      <c r="D2064" t="n">
        <v>128</v>
      </c>
      <c r="E2064" t="inlineStr">
        <is>
          <t>Love Cabaret</t>
        </is>
      </c>
      <c r="F2064" s="27" t="n">
        <v>45826</v>
      </c>
      <c r="G2064" t="inlineStr">
        <is>
          <t>DEBITO</t>
        </is>
      </c>
      <c r="H2064" t="inlineStr">
        <is>
          <t>Cia do Whisky</t>
        </is>
      </c>
      <c r="I2064" t="n">
        <v>-197.4</v>
      </c>
    </row>
    <row r="2065">
      <c r="A2065" t="n">
        <v>113856</v>
      </c>
      <c r="B2065" t="n">
        <v>182</v>
      </c>
      <c r="C2065" t="inlineStr">
        <is>
          <t>Love - Shibari - Kamino</t>
        </is>
      </c>
      <c r="D2065" t="n">
        <v>128</v>
      </c>
      <c r="E2065" t="inlineStr">
        <is>
          <t>Love Cabaret</t>
        </is>
      </c>
      <c r="F2065" s="27" t="n">
        <v>45826</v>
      </c>
      <c r="G2065" t="inlineStr">
        <is>
          <t>DEBITO</t>
        </is>
      </c>
      <c r="H2065" t="inlineStr">
        <is>
          <t>Receita Federal</t>
        </is>
      </c>
      <c r="I2065" t="n">
        <v>-9725.66</v>
      </c>
    </row>
    <row r="2066">
      <c r="A2066" t="n">
        <v>113855</v>
      </c>
      <c r="B2066" t="n">
        <v>182</v>
      </c>
      <c r="C2066" t="inlineStr">
        <is>
          <t>Love - Shibari - Kamino</t>
        </is>
      </c>
      <c r="D2066" t="n">
        <v>128</v>
      </c>
      <c r="E2066" t="inlineStr">
        <is>
          <t>Love Cabaret</t>
        </is>
      </c>
      <c r="F2066" s="27" t="n">
        <v>45826</v>
      </c>
      <c r="G2066" t="inlineStr">
        <is>
          <t>DEBITO</t>
        </is>
      </c>
      <c r="H2066" t="inlineStr">
        <is>
          <t>Andreia Santos Freitas Duarte</t>
        </is>
      </c>
      <c r="I2066" t="n">
        <v>-367.2</v>
      </c>
    </row>
    <row r="2067">
      <c r="A2067" t="n">
        <v>113854</v>
      </c>
      <c r="B2067" t="n">
        <v>182</v>
      </c>
      <c r="C2067" t="inlineStr">
        <is>
          <t>Love - Shibari - Kamino</t>
        </is>
      </c>
      <c r="D2067" t="n">
        <v>128</v>
      </c>
      <c r="E2067" t="inlineStr">
        <is>
          <t>Love Cabaret</t>
        </is>
      </c>
      <c r="F2067" s="27" t="n">
        <v>45826</v>
      </c>
      <c r="G2067" t="inlineStr">
        <is>
          <t>DEBITO</t>
        </is>
      </c>
      <c r="H2067" t="inlineStr">
        <is>
          <t>Fablab Inovacao S T Ltda</t>
        </is>
      </c>
      <c r="I2067" t="n">
        <v>-389</v>
      </c>
    </row>
    <row r="2068">
      <c r="A2068" t="n">
        <v>113853</v>
      </c>
      <c r="B2068" t="n">
        <v>182</v>
      </c>
      <c r="C2068" t="inlineStr">
        <is>
          <t>Love - Shibari - Kamino</t>
        </is>
      </c>
      <c r="D2068" t="n">
        <v>128</v>
      </c>
      <c r="E2068" t="inlineStr">
        <is>
          <t>Love Cabaret</t>
        </is>
      </c>
      <c r="F2068" s="27" t="n">
        <v>45826</v>
      </c>
      <c r="G2068" t="inlineStr">
        <is>
          <t>DEBITO</t>
        </is>
      </c>
      <c r="H2068" t="inlineStr">
        <is>
          <t>Nova Comercial do Peixe Eireli</t>
        </is>
      </c>
      <c r="I2068" t="n">
        <v>-588</v>
      </c>
    </row>
    <row r="2069">
      <c r="A2069" t="n">
        <v>113852</v>
      </c>
      <c r="B2069" t="n">
        <v>182</v>
      </c>
      <c r="C2069" t="inlineStr">
        <is>
          <t>Love - Shibari - Kamino</t>
        </is>
      </c>
      <c r="D2069" t="n">
        <v>128</v>
      </c>
      <c r="E2069" t="inlineStr">
        <is>
          <t>Love Cabaret</t>
        </is>
      </c>
      <c r="F2069" s="27" t="n">
        <v>45826</v>
      </c>
      <c r="G2069" t="inlineStr">
        <is>
          <t>DEBITO</t>
        </is>
      </c>
      <c r="H2069" t="inlineStr">
        <is>
          <t>Cia do Whisky</t>
        </is>
      </c>
      <c r="I2069" t="n">
        <v>-476.2</v>
      </c>
    </row>
    <row r="2070">
      <c r="A2070" t="n">
        <v>113862</v>
      </c>
      <c r="B2070" t="n">
        <v>182</v>
      </c>
      <c r="C2070" t="inlineStr">
        <is>
          <t>Love - Shibari - Kamino</t>
        </is>
      </c>
      <c r="D2070" t="n">
        <v>128</v>
      </c>
      <c r="E2070" t="inlineStr">
        <is>
          <t>Love Cabaret</t>
        </is>
      </c>
      <c r="F2070" s="27" t="n">
        <v>45826</v>
      </c>
      <c r="G2070" t="inlineStr">
        <is>
          <t>DEBITO</t>
        </is>
      </c>
      <c r="H2070" t="inlineStr">
        <is>
          <t>Hortifrutigranjeiro Rodrigues</t>
        </is>
      </c>
      <c r="I2070" t="n">
        <v>-593.3</v>
      </c>
    </row>
    <row r="2071">
      <c r="A2071" t="n">
        <v>113757</v>
      </c>
      <c r="B2071" t="n">
        <v>115</v>
      </c>
      <c r="C2071" t="inlineStr">
        <is>
          <t>Love - Shibari - Bradesco</t>
        </is>
      </c>
      <c r="D2071" t="n">
        <v>128</v>
      </c>
      <c r="E2071" t="inlineStr">
        <is>
          <t>Love Cabaret</t>
        </is>
      </c>
      <c r="F2071" s="27" t="n">
        <v>45825.5</v>
      </c>
      <c r="G2071" t="inlineStr">
        <is>
          <t>CREDITO</t>
        </is>
      </c>
      <c r="H2071" t="inlineStr">
        <is>
          <t>TRANSFERENCIA PIX REM: VALTER J SILVA CAIXET 17/06</t>
        </is>
      </c>
      <c r="I2071" t="n">
        <v>6960</v>
      </c>
    </row>
    <row r="2072">
      <c r="A2072" t="n">
        <v>113756</v>
      </c>
      <c r="B2072" t="n">
        <v>115</v>
      </c>
      <c r="C2072" t="inlineStr">
        <is>
          <t>Love - Shibari - Bradesco</t>
        </is>
      </c>
      <c r="D2072" t="n">
        <v>128</v>
      </c>
      <c r="E2072" t="inlineStr">
        <is>
          <t>Love Cabaret</t>
        </is>
      </c>
      <c r="F2072" s="27" t="n">
        <v>45825.5</v>
      </c>
      <c r="G2072" t="inlineStr">
        <is>
          <t>CREDITO</t>
        </is>
      </c>
      <c r="H2072" t="inlineStr">
        <is>
          <t>TED-TRANSF ELET DISPON REMET.SYMPLA INTERNET SOLU</t>
        </is>
      </c>
      <c r="I2072" t="n">
        <v>23566</v>
      </c>
    </row>
    <row r="2073">
      <c r="A2073" t="n">
        <v>113750</v>
      </c>
      <c r="B2073" t="n">
        <v>115</v>
      </c>
      <c r="C2073" t="inlineStr">
        <is>
          <t>Love - Shibari - Bradesco</t>
        </is>
      </c>
      <c r="D2073" t="n">
        <v>128</v>
      </c>
      <c r="E2073" t="inlineStr">
        <is>
          <t>Love Cabaret</t>
        </is>
      </c>
      <c r="F2073" s="27" t="n">
        <v>45824.5</v>
      </c>
      <c r="G2073" t="inlineStr">
        <is>
          <t>CREDITO</t>
        </is>
      </c>
      <c r="H2073" t="inlineStr">
        <is>
          <t>TED-TRANSF ELET DISPON REMET.LOVE SUITES LTDA</t>
        </is>
      </c>
      <c r="I2073" t="n">
        <v>31634.64</v>
      </c>
    </row>
    <row r="2074">
      <c r="A2074" t="n">
        <v>113755</v>
      </c>
      <c r="B2074" t="n">
        <v>115</v>
      </c>
      <c r="C2074" t="inlineStr">
        <is>
          <t>Love - Shibari - Bradesco</t>
        </is>
      </c>
      <c r="D2074" t="n">
        <v>128</v>
      </c>
      <c r="E2074" t="inlineStr">
        <is>
          <t>Love Cabaret</t>
        </is>
      </c>
      <c r="F2074" s="27" t="n">
        <v>45824.5</v>
      </c>
      <c r="G2074" t="inlineStr">
        <is>
          <t>DEBITO</t>
        </is>
      </c>
      <c r="H2074" t="inlineStr">
        <is>
          <t>TRANSFERENCIA PIX DES: SHIBARI ART E DIVERSA 16/06</t>
        </is>
      </c>
      <c r="I2074" t="n">
        <v>-22000</v>
      </c>
    </row>
    <row r="2075">
      <c r="A2075" t="n">
        <v>113754</v>
      </c>
      <c r="B2075" t="n">
        <v>115</v>
      </c>
      <c r="C2075" t="inlineStr">
        <is>
          <t>Love - Shibari - Bradesco</t>
        </is>
      </c>
      <c r="D2075" t="n">
        <v>128</v>
      </c>
      <c r="E2075" t="inlineStr">
        <is>
          <t>Love Cabaret</t>
        </is>
      </c>
      <c r="F2075" s="27" t="n">
        <v>45824.5</v>
      </c>
      <c r="G2075" t="inlineStr">
        <is>
          <t>CREDITO</t>
        </is>
      </c>
      <c r="H2075" t="inlineStr">
        <is>
          <t>TRANSFERENCIA PIX REM: LUIZA PHILODEMOS MART 14/06</t>
        </is>
      </c>
      <c r="I2075" t="n">
        <v>380</v>
      </c>
    </row>
    <row r="2076">
      <c r="A2076" t="n">
        <v>113753</v>
      </c>
      <c r="B2076" t="n">
        <v>115</v>
      </c>
      <c r="C2076" t="inlineStr">
        <is>
          <t>Love - Shibari - Bradesco</t>
        </is>
      </c>
      <c r="D2076" t="n">
        <v>128</v>
      </c>
      <c r="E2076" t="inlineStr">
        <is>
          <t>Love Cabaret</t>
        </is>
      </c>
      <c r="F2076" s="27" t="n">
        <v>45824.5</v>
      </c>
      <c r="G2076" t="inlineStr">
        <is>
          <t>CREDITO</t>
        </is>
      </c>
      <c r="H2076" t="inlineStr">
        <is>
          <t>TRANSFERENCIA PIX REM: Jessica Oliveira Silv 16/06</t>
        </is>
      </c>
      <c r="I2076" t="n">
        <v>1235</v>
      </c>
    </row>
    <row r="2077">
      <c r="A2077" t="n">
        <v>113752</v>
      </c>
      <c r="B2077" t="n">
        <v>115</v>
      </c>
      <c r="C2077" t="inlineStr">
        <is>
          <t>Love - Shibari - Bradesco</t>
        </is>
      </c>
      <c r="D2077" t="n">
        <v>128</v>
      </c>
      <c r="E2077" t="inlineStr">
        <is>
          <t>Love Cabaret</t>
        </is>
      </c>
      <c r="F2077" s="27" t="n">
        <v>45824.5</v>
      </c>
      <c r="G2077" t="inlineStr">
        <is>
          <t>CREDITO</t>
        </is>
      </c>
      <c r="H2077" t="inlineStr">
        <is>
          <t>TRANSFERENCIA PIX REM: SHIBARI ART E DIVERSA 16/06</t>
        </is>
      </c>
      <c r="I2077" t="n">
        <v>36592.31</v>
      </c>
    </row>
    <row r="2078">
      <c r="A2078" t="n">
        <v>113751</v>
      </c>
      <c r="B2078" t="n">
        <v>115</v>
      </c>
      <c r="C2078" t="inlineStr">
        <is>
          <t>Love - Shibari - Bradesco</t>
        </is>
      </c>
      <c r="D2078" t="n">
        <v>128</v>
      </c>
      <c r="E2078" t="inlineStr">
        <is>
          <t>Love Cabaret</t>
        </is>
      </c>
      <c r="F2078" s="27" t="n">
        <v>45824.5</v>
      </c>
      <c r="G2078" t="inlineStr">
        <is>
          <t>CREDITO</t>
        </is>
      </c>
      <c r="H2078" t="inlineStr">
        <is>
          <t>TRANSFERENCIA PIX REM: LUIZA PHILODEMOS MART 14/06</t>
        </is>
      </c>
      <c r="I2078" t="n">
        <v>170</v>
      </c>
    </row>
    <row r="2079">
      <c r="A2079" t="n">
        <v>113749</v>
      </c>
      <c r="B2079" t="n">
        <v>115</v>
      </c>
      <c r="C2079" t="inlineStr">
        <is>
          <t>Love - Shibari - Bradesco</t>
        </is>
      </c>
      <c r="D2079" t="n">
        <v>128</v>
      </c>
      <c r="E2079" t="inlineStr">
        <is>
          <t>Love Cabaret</t>
        </is>
      </c>
      <c r="F2079" s="27" t="n">
        <v>45824.5</v>
      </c>
      <c r="G2079" t="inlineStr">
        <is>
          <t>CREDITO</t>
        </is>
      </c>
      <c r="H2079" t="inlineStr">
        <is>
          <t>TED-TRANSF ELET DISPON REMET.LOVE SUITES LTDA</t>
        </is>
      </c>
      <c r="I2079" t="n">
        <v>2953.14</v>
      </c>
    </row>
    <row r="2080">
      <c r="A2080" t="n">
        <v>113829</v>
      </c>
      <c r="B2080" t="n">
        <v>182</v>
      </c>
      <c r="C2080" t="inlineStr">
        <is>
          <t>Love - Shibari - Kamino</t>
        </is>
      </c>
      <c r="D2080" t="n">
        <v>128</v>
      </c>
      <c r="E2080" t="inlineStr">
        <is>
          <t>Love Cabaret</t>
        </is>
      </c>
      <c r="F2080" s="27" t="n">
        <v>45824</v>
      </c>
      <c r="G2080" t="inlineStr">
        <is>
          <t>DEBITO</t>
        </is>
      </c>
      <c r="H2080" t="inlineStr">
        <is>
          <t>Lebanon Market Center Eireli</t>
        </is>
      </c>
      <c r="I2080" t="n">
        <v>-380.12</v>
      </c>
    </row>
    <row r="2081">
      <c r="A2081" t="n">
        <v>113830</v>
      </c>
      <c r="B2081" t="n">
        <v>182</v>
      </c>
      <c r="C2081" t="inlineStr">
        <is>
          <t>Love - Shibari - Kamino</t>
        </is>
      </c>
      <c r="D2081" t="n">
        <v>128</v>
      </c>
      <c r="E2081" t="inlineStr">
        <is>
          <t>Love Cabaret</t>
        </is>
      </c>
      <c r="F2081" s="27" t="n">
        <v>45824</v>
      </c>
      <c r="G2081" t="inlineStr">
        <is>
          <t>DEBITO</t>
        </is>
      </c>
      <c r="H2081" t="inlineStr">
        <is>
          <t>Hnk Br Bebidas Ltda</t>
        </is>
      </c>
      <c r="I2081" t="n">
        <v>-1821.02</v>
      </c>
    </row>
    <row r="2082">
      <c r="A2082" t="n">
        <v>113831</v>
      </c>
      <c r="B2082" t="n">
        <v>182</v>
      </c>
      <c r="C2082" t="inlineStr">
        <is>
          <t>Love - Shibari - Kamino</t>
        </is>
      </c>
      <c r="D2082" t="n">
        <v>128</v>
      </c>
      <c r="E2082" t="inlineStr">
        <is>
          <t>Love Cabaret</t>
        </is>
      </c>
      <c r="F2082" s="27" t="n">
        <v>45824</v>
      </c>
      <c r="G2082" t="inlineStr">
        <is>
          <t>DEBITO</t>
        </is>
      </c>
      <c r="H2082" t="inlineStr">
        <is>
          <t>Interfood Importacao Ltda</t>
        </is>
      </c>
      <c r="I2082" t="n">
        <v>-1112.83</v>
      </c>
    </row>
    <row r="2083">
      <c r="A2083" t="n">
        <v>113832</v>
      </c>
      <c r="B2083" t="n">
        <v>182</v>
      </c>
      <c r="C2083" t="inlineStr">
        <is>
          <t>Love - Shibari - Kamino</t>
        </is>
      </c>
      <c r="D2083" t="n">
        <v>128</v>
      </c>
      <c r="E2083" t="inlineStr">
        <is>
          <t>Love Cabaret</t>
        </is>
      </c>
      <c r="F2083" s="27" t="n">
        <v>45824</v>
      </c>
      <c r="G2083" t="inlineStr">
        <is>
          <t>DEBITO</t>
        </is>
      </c>
      <c r="H2083" t="inlineStr">
        <is>
          <t>Porto Seguro Cia de Seguros Gerais</t>
        </is>
      </c>
      <c r="I2083" t="n">
        <v>-102.42</v>
      </c>
    </row>
    <row r="2084">
      <c r="A2084" t="n">
        <v>113833</v>
      </c>
      <c r="B2084" t="n">
        <v>182</v>
      </c>
      <c r="C2084" t="inlineStr">
        <is>
          <t>Love - Shibari - Kamino</t>
        </is>
      </c>
      <c r="D2084" t="n">
        <v>128</v>
      </c>
      <c r="E2084" t="inlineStr">
        <is>
          <t>Love Cabaret</t>
        </is>
      </c>
      <c r="F2084" s="27" t="n">
        <v>45824</v>
      </c>
      <c r="G2084" t="inlineStr">
        <is>
          <t>DEBITO</t>
        </is>
      </c>
      <c r="H2084" t="inlineStr">
        <is>
          <t>Dist Carnes Cant Ltda Epp</t>
        </is>
      </c>
      <c r="I2084" t="n">
        <v>-238.76</v>
      </c>
    </row>
    <row r="2085">
      <c r="A2085" t="n">
        <v>113827</v>
      </c>
      <c r="B2085" t="n">
        <v>182</v>
      </c>
      <c r="C2085" t="inlineStr">
        <is>
          <t>Love - Shibari - Kamino</t>
        </is>
      </c>
      <c r="D2085" t="n">
        <v>128</v>
      </c>
      <c r="E2085" t="inlineStr">
        <is>
          <t>Love Cabaret</t>
        </is>
      </c>
      <c r="F2085" s="27" t="n">
        <v>45824</v>
      </c>
      <c r="G2085" t="inlineStr">
        <is>
          <t>DEBITO</t>
        </is>
      </c>
      <c r="H2085" t="inlineStr">
        <is>
          <t>Zahil Importadora Ltda</t>
        </is>
      </c>
      <c r="I2085" t="n">
        <v>-2894</v>
      </c>
    </row>
    <row r="2086">
      <c r="A2086" t="n">
        <v>113826</v>
      </c>
      <c r="B2086" t="n">
        <v>182</v>
      </c>
      <c r="C2086" t="inlineStr">
        <is>
          <t>Love - Shibari - Kamino</t>
        </is>
      </c>
      <c r="D2086" t="n">
        <v>128</v>
      </c>
      <c r="E2086" t="inlineStr">
        <is>
          <t>Love Cabaret</t>
        </is>
      </c>
      <c r="F2086" s="27" t="n">
        <v>45824</v>
      </c>
      <c r="G2086" t="inlineStr">
        <is>
          <t>DEBITO</t>
        </is>
      </c>
      <c r="H2086" t="inlineStr">
        <is>
          <t>Aurora Alvorada Estacionamento e Lanchon</t>
        </is>
      </c>
      <c r="I2086" t="n">
        <v>-220.75</v>
      </c>
    </row>
    <row r="2087">
      <c r="A2087" t="n">
        <v>113825</v>
      </c>
      <c r="B2087" t="n">
        <v>182</v>
      </c>
      <c r="C2087" t="inlineStr">
        <is>
          <t>Love - Shibari - Kamino</t>
        </is>
      </c>
      <c r="D2087" t="n">
        <v>128</v>
      </c>
      <c r="E2087" t="inlineStr">
        <is>
          <t>Love Cabaret</t>
        </is>
      </c>
      <c r="F2087" s="27" t="n">
        <v>45824</v>
      </c>
      <c r="G2087" t="inlineStr">
        <is>
          <t>DEBITO</t>
        </is>
      </c>
      <c r="H2087" t="inlineStr">
        <is>
          <t>Dtk Comercio de Alimentos Ltda Epp</t>
        </is>
      </c>
      <c r="I2087" t="n">
        <v>-218</v>
      </c>
    </row>
    <row r="2088">
      <c r="A2088" t="n">
        <v>113815</v>
      </c>
      <c r="B2088" t="n">
        <v>182</v>
      </c>
      <c r="C2088" t="inlineStr">
        <is>
          <t>Love - Shibari - Kamino</t>
        </is>
      </c>
      <c r="D2088" t="n">
        <v>128</v>
      </c>
      <c r="E2088" t="inlineStr">
        <is>
          <t>Love Cabaret</t>
        </is>
      </c>
      <c r="F2088" s="27" t="n">
        <v>45824</v>
      </c>
      <c r="G2088" t="inlineStr">
        <is>
          <t>DEBITO</t>
        </is>
      </c>
      <c r="H2088" t="inlineStr">
        <is>
          <t>Fabrica de Bares Servicos Ltda</t>
        </is>
      </c>
      <c r="I2088" t="n">
        <v>-76.86</v>
      </c>
    </row>
    <row r="2089">
      <c r="A2089" t="n">
        <v>113828</v>
      </c>
      <c r="B2089" t="n">
        <v>182</v>
      </c>
      <c r="C2089" t="inlineStr">
        <is>
          <t>Love - Shibari - Kamino</t>
        </is>
      </c>
      <c r="D2089" t="n">
        <v>128</v>
      </c>
      <c r="E2089" t="inlineStr">
        <is>
          <t>Love Cabaret</t>
        </is>
      </c>
      <c r="F2089" s="27" t="n">
        <v>45824</v>
      </c>
      <c r="G2089" t="inlineStr">
        <is>
          <t>DEBITO</t>
        </is>
      </c>
      <c r="H2089" t="inlineStr">
        <is>
          <t>Stark Bank S.A.</t>
        </is>
      </c>
      <c r="I2089" t="n">
        <v>-49.75</v>
      </c>
    </row>
    <row r="2090">
      <c r="A2090" t="n">
        <v>113835</v>
      </c>
      <c r="B2090" t="n">
        <v>182</v>
      </c>
      <c r="C2090" t="inlineStr">
        <is>
          <t>Love - Shibari - Kamino</t>
        </is>
      </c>
      <c r="D2090" t="n">
        <v>128</v>
      </c>
      <c r="E2090" t="inlineStr">
        <is>
          <t>Love Cabaret</t>
        </is>
      </c>
      <c r="F2090" s="27" t="n">
        <v>45824</v>
      </c>
      <c r="G2090" t="inlineStr">
        <is>
          <t>DEBITO</t>
        </is>
      </c>
      <c r="H2090" t="inlineStr">
        <is>
          <t>Eletro Terrivel Ltda</t>
        </is>
      </c>
      <c r="I2090" t="n">
        <v>-933</v>
      </c>
    </row>
    <row r="2091">
      <c r="A2091" t="n">
        <v>113810</v>
      </c>
      <c r="B2091" t="n">
        <v>182</v>
      </c>
      <c r="C2091" t="inlineStr">
        <is>
          <t>Love - Shibari - Kamino</t>
        </is>
      </c>
      <c r="D2091" t="n">
        <v>128</v>
      </c>
      <c r="E2091" t="inlineStr">
        <is>
          <t>Love Cabaret</t>
        </is>
      </c>
      <c r="F2091" s="27" t="n">
        <v>45824</v>
      </c>
      <c r="G2091" t="inlineStr">
        <is>
          <t>CREDITO</t>
        </is>
      </c>
      <c r="H2091" t="inlineStr">
        <is>
          <t>SHIBARI ART E DIVERSAO LTDA</t>
        </is>
      </c>
      <c r="I2091" t="n">
        <v>22000</v>
      </c>
    </row>
    <row r="2092">
      <c r="A2092" t="n">
        <v>113811</v>
      </c>
      <c r="B2092" t="n">
        <v>182</v>
      </c>
      <c r="C2092" t="inlineStr">
        <is>
          <t>Love - Shibari - Kamino</t>
        </is>
      </c>
      <c r="D2092" t="n">
        <v>128</v>
      </c>
      <c r="E2092" t="inlineStr">
        <is>
          <t>Love Cabaret</t>
        </is>
      </c>
      <c r="F2092" s="27" t="n">
        <v>45824</v>
      </c>
      <c r="G2092" t="inlineStr">
        <is>
          <t>DEBITO</t>
        </is>
      </c>
      <c r="H2092" t="inlineStr">
        <is>
          <t>Cia do Whisky</t>
        </is>
      </c>
      <c r="I2092" t="n">
        <v>-2623.9</v>
      </c>
    </row>
    <row r="2093">
      <c r="A2093" t="n">
        <v>113812</v>
      </c>
      <c r="B2093" t="n">
        <v>182</v>
      </c>
      <c r="C2093" t="inlineStr">
        <is>
          <t>Love - Shibari - Kamino</t>
        </is>
      </c>
      <c r="D2093" t="n">
        <v>128</v>
      </c>
      <c r="E2093" t="inlineStr">
        <is>
          <t>Love Cabaret</t>
        </is>
      </c>
      <c r="F2093" s="27" t="n">
        <v>45824</v>
      </c>
      <c r="G2093" t="inlineStr">
        <is>
          <t>DEBITO</t>
        </is>
      </c>
      <c r="H2093" t="inlineStr">
        <is>
          <t>Machine Seguranca Patrimonial Ltda</t>
        </is>
      </c>
      <c r="I2093" t="n">
        <v>-4636.95</v>
      </c>
    </row>
    <row r="2094">
      <c r="A2094" t="n">
        <v>113813</v>
      </c>
      <c r="B2094" t="n">
        <v>182</v>
      </c>
      <c r="C2094" t="inlineStr">
        <is>
          <t>Love - Shibari - Kamino</t>
        </is>
      </c>
      <c r="D2094" t="n">
        <v>128</v>
      </c>
      <c r="E2094" t="inlineStr">
        <is>
          <t>Love Cabaret</t>
        </is>
      </c>
      <c r="F2094" s="27" t="n">
        <v>45824</v>
      </c>
      <c r="G2094" t="inlineStr">
        <is>
          <t>DEBITO</t>
        </is>
      </c>
      <c r="H2094" t="inlineStr">
        <is>
          <t>Neumara Solidade de Jesus</t>
        </is>
      </c>
      <c r="I2094" t="n">
        <v>-425</v>
      </c>
    </row>
    <row r="2095">
      <c r="A2095" t="n">
        <v>113814</v>
      </c>
      <c r="B2095" t="n">
        <v>182</v>
      </c>
      <c r="C2095" t="inlineStr">
        <is>
          <t>Love - Shibari - Kamino</t>
        </is>
      </c>
      <c r="D2095" t="n">
        <v>128</v>
      </c>
      <c r="E2095" t="inlineStr">
        <is>
          <t>Love Cabaret</t>
        </is>
      </c>
      <c r="F2095" s="27" t="n">
        <v>45824</v>
      </c>
      <c r="G2095" t="inlineStr">
        <is>
          <t>DEBITO</t>
        </is>
      </c>
      <c r="H2095" t="inlineStr">
        <is>
          <t>Wide Stock com e Rep Ltda</t>
        </is>
      </c>
      <c r="I2095" t="n">
        <v>-158.2</v>
      </c>
    </row>
    <row r="2096">
      <c r="A2096" t="n">
        <v>113824</v>
      </c>
      <c r="B2096" t="n">
        <v>182</v>
      </c>
      <c r="C2096" t="inlineStr">
        <is>
          <t>Love - Shibari - Kamino</t>
        </is>
      </c>
      <c r="D2096" t="n">
        <v>128</v>
      </c>
      <c r="E2096" t="inlineStr">
        <is>
          <t>Love Cabaret</t>
        </is>
      </c>
      <c r="F2096" s="27" t="n">
        <v>45824</v>
      </c>
      <c r="G2096" t="inlineStr">
        <is>
          <t>DEBITO</t>
        </is>
      </c>
      <c r="H2096" t="inlineStr">
        <is>
          <t>Dtk Comercio de Alimentos Ltda Epp</t>
        </is>
      </c>
      <c r="I2096" t="n">
        <v>-493.28</v>
      </c>
    </row>
    <row r="2097">
      <c r="A2097" t="n">
        <v>113816</v>
      </c>
      <c r="B2097" t="n">
        <v>182</v>
      </c>
      <c r="C2097" t="inlineStr">
        <is>
          <t>Love - Shibari - Kamino</t>
        </is>
      </c>
      <c r="D2097" t="n">
        <v>128</v>
      </c>
      <c r="E2097" t="inlineStr">
        <is>
          <t>Love Cabaret</t>
        </is>
      </c>
      <c r="F2097" s="27" t="n">
        <v>45824</v>
      </c>
      <c r="G2097" t="inlineStr">
        <is>
          <t>DEBITO</t>
        </is>
      </c>
      <c r="H2097" t="inlineStr">
        <is>
          <t>Paramu Comercio R P a Ltda</t>
        </is>
      </c>
      <c r="I2097" t="n">
        <v>-592.15</v>
      </c>
    </row>
    <row r="2098">
      <c r="A2098" t="n">
        <v>113817</v>
      </c>
      <c r="B2098" t="n">
        <v>182</v>
      </c>
      <c r="C2098" t="inlineStr">
        <is>
          <t>Love - Shibari - Kamino</t>
        </is>
      </c>
      <c r="D2098" t="n">
        <v>128</v>
      </c>
      <c r="E2098" t="inlineStr">
        <is>
          <t>Love Cabaret</t>
        </is>
      </c>
      <c r="F2098" s="27" t="n">
        <v>45824</v>
      </c>
      <c r="G2098" t="inlineStr">
        <is>
          <t>DEBITO</t>
        </is>
      </c>
      <c r="H2098" t="inlineStr">
        <is>
          <t>Kamino Processamento de Dados Ltda</t>
        </is>
      </c>
      <c r="I2098" t="n">
        <v>-700</v>
      </c>
    </row>
    <row r="2099">
      <c r="A2099" t="n">
        <v>113818</v>
      </c>
      <c r="B2099" t="n">
        <v>182</v>
      </c>
      <c r="C2099" t="inlineStr">
        <is>
          <t>Love - Shibari - Kamino</t>
        </is>
      </c>
      <c r="D2099" t="n">
        <v>128</v>
      </c>
      <c r="E2099" t="inlineStr">
        <is>
          <t>Love Cabaret</t>
        </is>
      </c>
      <c r="F2099" s="27" t="n">
        <v>45824</v>
      </c>
      <c r="G2099" t="inlineStr">
        <is>
          <t>DEBITO</t>
        </is>
      </c>
      <c r="H2099" t="inlineStr">
        <is>
          <t>Andreia Santos Freitas Duarte</t>
        </is>
      </c>
      <c r="I2099" t="n">
        <v>-248.76</v>
      </c>
    </row>
    <row r="2100">
      <c r="A2100" t="n">
        <v>113819</v>
      </c>
      <c r="B2100" t="n">
        <v>182</v>
      </c>
      <c r="C2100" t="inlineStr">
        <is>
          <t>Love - Shibari - Kamino</t>
        </is>
      </c>
      <c r="D2100" t="n">
        <v>128</v>
      </c>
      <c r="E2100" t="inlineStr">
        <is>
          <t>Love Cabaret</t>
        </is>
      </c>
      <c r="F2100" s="27" t="n">
        <v>45824</v>
      </c>
      <c r="G2100" t="inlineStr">
        <is>
          <t>DEBITO</t>
        </is>
      </c>
      <c r="H2100" t="inlineStr">
        <is>
          <t>Laticinios Fior D Italia Ltda</t>
        </is>
      </c>
      <c r="I2100" t="n">
        <v>-326.75</v>
      </c>
    </row>
    <row r="2101">
      <c r="A2101" t="n">
        <v>113820</v>
      </c>
      <c r="B2101" t="n">
        <v>182</v>
      </c>
      <c r="C2101" t="inlineStr">
        <is>
          <t>Love - Shibari - Kamino</t>
        </is>
      </c>
      <c r="D2101" t="n">
        <v>128</v>
      </c>
      <c r="E2101" t="inlineStr">
        <is>
          <t>Love Cabaret</t>
        </is>
      </c>
      <c r="F2101" s="27" t="n">
        <v>45824</v>
      </c>
      <c r="G2101" t="inlineStr">
        <is>
          <t>DEBITO</t>
        </is>
      </c>
      <c r="H2101" t="inlineStr">
        <is>
          <t>Cepel Comercio de Papeis e Emb</t>
        </is>
      </c>
      <c r="I2101" t="n">
        <v>-803.2</v>
      </c>
    </row>
    <row r="2102">
      <c r="A2102" t="n">
        <v>113821</v>
      </c>
      <c r="B2102" t="n">
        <v>182</v>
      </c>
      <c r="C2102" t="inlineStr">
        <is>
          <t>Love - Shibari - Kamino</t>
        </is>
      </c>
      <c r="D2102" t="n">
        <v>128</v>
      </c>
      <c r="E2102" t="inlineStr">
        <is>
          <t>Love Cabaret</t>
        </is>
      </c>
      <c r="F2102" s="27" t="n">
        <v>45824</v>
      </c>
      <c r="G2102" t="inlineStr">
        <is>
          <t>DEBITO</t>
        </is>
      </c>
      <c r="H2102" t="inlineStr">
        <is>
          <t>Jose Cassio Prevedel Sistemas</t>
        </is>
      </c>
      <c r="I2102" t="n">
        <v>-400</v>
      </c>
    </row>
    <row r="2103">
      <c r="A2103" t="n">
        <v>113822</v>
      </c>
      <c r="B2103" t="n">
        <v>182</v>
      </c>
      <c r="C2103" t="inlineStr">
        <is>
          <t>Love - Shibari - Kamino</t>
        </is>
      </c>
      <c r="D2103" t="n">
        <v>128</v>
      </c>
      <c r="E2103" t="inlineStr">
        <is>
          <t>Love Cabaret</t>
        </is>
      </c>
      <c r="F2103" s="27" t="n">
        <v>45824</v>
      </c>
      <c r="G2103" t="inlineStr">
        <is>
          <t>DEBITO</t>
        </is>
      </c>
      <c r="H2103" t="inlineStr">
        <is>
          <t>Cecilia Tsuyaco Araki Silva Ltda</t>
        </is>
      </c>
      <c r="I2103" t="n">
        <v>-229.5</v>
      </c>
    </row>
    <row r="2104">
      <c r="A2104" t="n">
        <v>113823</v>
      </c>
      <c r="B2104" t="n">
        <v>182</v>
      </c>
      <c r="C2104" t="inlineStr">
        <is>
          <t>Love - Shibari - Kamino</t>
        </is>
      </c>
      <c r="D2104" t="n">
        <v>128</v>
      </c>
      <c r="E2104" t="inlineStr">
        <is>
          <t>Love Cabaret</t>
        </is>
      </c>
      <c r="F2104" s="27" t="n">
        <v>45824</v>
      </c>
      <c r="G2104" t="inlineStr">
        <is>
          <t>DEBITO</t>
        </is>
      </c>
      <c r="H2104" t="inlineStr">
        <is>
          <t>Cg Food S Distr Alimentos Ltda</t>
        </is>
      </c>
      <c r="I2104" t="n">
        <v>-339.5</v>
      </c>
    </row>
    <row r="2105">
      <c r="A2105" t="n">
        <v>113834</v>
      </c>
      <c r="B2105" t="n">
        <v>182</v>
      </c>
      <c r="C2105" t="inlineStr">
        <is>
          <t>Love - Shibari - Kamino</t>
        </is>
      </c>
      <c r="D2105" t="n">
        <v>128</v>
      </c>
      <c r="E2105" t="inlineStr">
        <is>
          <t>Love Cabaret</t>
        </is>
      </c>
      <c r="F2105" s="27" t="n">
        <v>45824</v>
      </c>
      <c r="G2105" t="inlineStr">
        <is>
          <t>DEBITO</t>
        </is>
      </c>
      <c r="H2105" t="inlineStr">
        <is>
          <t>Fg7 Comercio D B Eireli Epp</t>
        </is>
      </c>
      <c r="I2105" t="n">
        <v>-2787.78</v>
      </c>
    </row>
    <row r="2106">
      <c r="A2106" t="n">
        <v>113748</v>
      </c>
      <c r="B2106" t="n">
        <v>115</v>
      </c>
      <c r="C2106" t="inlineStr">
        <is>
          <t>Love - Shibari - Bradesco</t>
        </is>
      </c>
      <c r="D2106" t="n">
        <v>128</v>
      </c>
      <c r="E2106" t="inlineStr">
        <is>
          <t>Love Cabaret</t>
        </is>
      </c>
      <c r="F2106" s="27" t="n">
        <v>45821.5</v>
      </c>
      <c r="G2106" t="inlineStr">
        <is>
          <t>DEBITO</t>
        </is>
      </c>
      <c r="H2106" t="inlineStr">
        <is>
          <t>TARIFA BANCARIA TRANSF PGTO PIX</t>
        </is>
      </c>
      <c r="I2106" t="n">
        <v>-9.800000000000001</v>
      </c>
    </row>
    <row r="2107">
      <c r="A2107" t="n">
        <v>113747</v>
      </c>
      <c r="B2107" t="n">
        <v>115</v>
      </c>
      <c r="C2107" t="inlineStr">
        <is>
          <t>Love - Shibari - Bradesco</t>
        </is>
      </c>
      <c r="D2107" t="n">
        <v>128</v>
      </c>
      <c r="E2107" t="inlineStr">
        <is>
          <t>Love Cabaret</t>
        </is>
      </c>
      <c r="F2107" s="27" t="n">
        <v>45821.5</v>
      </c>
      <c r="G2107" t="inlineStr">
        <is>
          <t>DEBITO</t>
        </is>
      </c>
      <c r="H2107" t="inlineStr">
        <is>
          <t>TARIFA BANCARIA Max Empresarial 1</t>
        </is>
      </c>
      <c r="I2107" t="n">
        <v>-177.05</v>
      </c>
    </row>
    <row r="2108">
      <c r="A2108" t="n">
        <v>113746</v>
      </c>
      <c r="B2108" t="n">
        <v>115</v>
      </c>
      <c r="C2108" t="inlineStr">
        <is>
          <t>Love - Shibari - Bradesco</t>
        </is>
      </c>
      <c r="D2108" t="n">
        <v>128</v>
      </c>
      <c r="E2108" t="inlineStr">
        <is>
          <t>Love Cabaret</t>
        </is>
      </c>
      <c r="F2108" s="27" t="n">
        <v>45821.5</v>
      </c>
      <c r="G2108" t="inlineStr">
        <is>
          <t>CREDITO</t>
        </is>
      </c>
      <c r="H2108" t="inlineStr">
        <is>
          <t>TRANSFERENCIA PIX REM: GIOVANNA SARTORI PERE 13/06</t>
        </is>
      </c>
      <c r="I2108" t="n">
        <v>520</v>
      </c>
    </row>
    <row r="2109">
      <c r="A2109" t="n">
        <v>107602</v>
      </c>
      <c r="B2109" t="n">
        <v>115</v>
      </c>
      <c r="C2109" t="inlineStr">
        <is>
          <t>Love - Shibari - Bradesco</t>
        </is>
      </c>
      <c r="D2109" t="n">
        <v>128</v>
      </c>
      <c r="E2109" t="inlineStr">
        <is>
          <t>Love Cabaret</t>
        </is>
      </c>
      <c r="F2109" s="27" t="n">
        <v>45820.5</v>
      </c>
      <c r="G2109" t="inlineStr">
        <is>
          <t>CREDITO</t>
        </is>
      </c>
      <c r="H2109" t="inlineStr">
        <is>
          <t>DEP DINHEIRO ATM AG00117MAQ061059SEQ03710</t>
        </is>
      </c>
      <c r="I2109" t="n">
        <v>1380</v>
      </c>
    </row>
    <row r="2110">
      <c r="A2110" t="n">
        <v>107603</v>
      </c>
      <c r="B2110" t="n">
        <v>115</v>
      </c>
      <c r="C2110" t="inlineStr">
        <is>
          <t>Love - Shibari - Bradesco</t>
        </is>
      </c>
      <c r="D2110" t="n">
        <v>128</v>
      </c>
      <c r="E2110" t="inlineStr">
        <is>
          <t>Love Cabaret</t>
        </is>
      </c>
      <c r="F2110" s="27" t="n">
        <v>45820.5</v>
      </c>
      <c r="G2110" t="inlineStr">
        <is>
          <t>CREDITO</t>
        </is>
      </c>
      <c r="H2110" t="inlineStr">
        <is>
          <t>TRANSFERENCIA PIX REM: GABRIELA ZORZI MARCEL 12/06</t>
        </is>
      </c>
      <c r="I2110" t="n">
        <v>520</v>
      </c>
    </row>
    <row r="2111">
      <c r="A2111" t="n">
        <v>107591</v>
      </c>
      <c r="B2111" t="n">
        <v>115</v>
      </c>
      <c r="C2111" t="inlineStr">
        <is>
          <t>Love - Shibari - Bradesco</t>
        </is>
      </c>
      <c r="D2111" t="n">
        <v>128</v>
      </c>
      <c r="E2111" t="inlineStr">
        <is>
          <t>Love Cabaret</t>
        </is>
      </c>
      <c r="F2111" s="27" t="n">
        <v>45819.5</v>
      </c>
      <c r="G2111" t="inlineStr">
        <is>
          <t>CREDITO</t>
        </is>
      </c>
      <c r="H2111" t="inlineStr">
        <is>
          <t>TED-TRANSF ELET DISPON REMET.SYMPLA INTERNET SOLU</t>
        </is>
      </c>
      <c r="I2111" t="n">
        <v>6905</v>
      </c>
    </row>
    <row r="2112">
      <c r="A2112" t="n">
        <v>107592</v>
      </c>
      <c r="B2112" t="n">
        <v>115</v>
      </c>
      <c r="C2112" t="inlineStr">
        <is>
          <t>Love - Shibari - Bradesco</t>
        </is>
      </c>
      <c r="D2112" t="n">
        <v>128</v>
      </c>
      <c r="E2112" t="inlineStr">
        <is>
          <t>Love Cabaret</t>
        </is>
      </c>
      <c r="F2112" s="27" t="n">
        <v>45819.5</v>
      </c>
      <c r="G2112" t="inlineStr">
        <is>
          <t>CREDITO</t>
        </is>
      </c>
      <c r="H2112" t="inlineStr">
        <is>
          <t>TED-TRANSF ELET DISPON REMET.SYMPLA INTERNET SOLU</t>
        </is>
      </c>
      <c r="I2112" t="n">
        <v>9230</v>
      </c>
    </row>
    <row r="2113">
      <c r="A2113" t="n">
        <v>107593</v>
      </c>
      <c r="B2113" t="n">
        <v>115</v>
      </c>
      <c r="C2113" t="inlineStr">
        <is>
          <t>Love - Shibari - Bradesco</t>
        </is>
      </c>
      <c r="D2113" t="n">
        <v>128</v>
      </c>
      <c r="E2113" t="inlineStr">
        <is>
          <t>Love Cabaret</t>
        </is>
      </c>
      <c r="F2113" s="27" t="n">
        <v>45819.5</v>
      </c>
      <c r="G2113" t="inlineStr">
        <is>
          <t>CREDITO</t>
        </is>
      </c>
      <c r="H2113" t="inlineStr">
        <is>
          <t>TRANSFERENCIA PIX REM: LUIZA PHILODEMOS MART 11/06</t>
        </is>
      </c>
      <c r="I2113" t="n">
        <v>1100</v>
      </c>
    </row>
    <row r="2114">
      <c r="A2114" t="n">
        <v>107597</v>
      </c>
      <c r="B2114" t="n">
        <v>115</v>
      </c>
      <c r="C2114" t="inlineStr">
        <is>
          <t>Love - Shibari - Bradesco</t>
        </is>
      </c>
      <c r="D2114" t="n">
        <v>128</v>
      </c>
      <c r="E2114" t="inlineStr">
        <is>
          <t>Love Cabaret</t>
        </is>
      </c>
      <c r="F2114" s="27" t="n">
        <v>45819.5</v>
      </c>
      <c r="G2114" t="inlineStr">
        <is>
          <t>DEBITO</t>
        </is>
      </c>
      <c r="H2114" t="inlineStr">
        <is>
          <t>TARIFA BANCARIA TRANSF PGTO PIX</t>
        </is>
      </c>
      <c r="I2114" t="n">
        <v>-9.800000000000001</v>
      </c>
    </row>
    <row r="2115">
      <c r="A2115" t="n">
        <v>107598</v>
      </c>
      <c r="B2115" t="n">
        <v>115</v>
      </c>
      <c r="C2115" t="inlineStr">
        <is>
          <t>Love - Shibari - Bradesco</t>
        </is>
      </c>
      <c r="D2115" t="n">
        <v>128</v>
      </c>
      <c r="E2115" t="inlineStr">
        <is>
          <t>Love Cabaret</t>
        </is>
      </c>
      <c r="F2115" s="27" t="n">
        <v>45819.5</v>
      </c>
      <c r="G2115" t="inlineStr">
        <is>
          <t>DEBITO</t>
        </is>
      </c>
      <c r="H2115" t="inlineStr">
        <is>
          <t>TRANSFERENCIA PIX DES: SHIBARI ART E DIVERSA 11/06</t>
        </is>
      </c>
      <c r="I2115" t="n">
        <v>-36000</v>
      </c>
    </row>
    <row r="2116">
      <c r="A2116" t="n">
        <v>107687</v>
      </c>
      <c r="B2116" t="n">
        <v>182</v>
      </c>
      <c r="C2116" t="inlineStr">
        <is>
          <t>Love - Shibari - Kamino</t>
        </is>
      </c>
      <c r="D2116" t="n">
        <v>128</v>
      </c>
      <c r="E2116" t="inlineStr">
        <is>
          <t>Love Cabaret</t>
        </is>
      </c>
      <c r="F2116" s="27" t="n">
        <v>45819</v>
      </c>
      <c r="G2116" t="inlineStr">
        <is>
          <t>DEBITO</t>
        </is>
      </c>
      <c r="H2116" t="inlineStr">
        <is>
          <t>Inst Estudos Protesto Titulos</t>
        </is>
      </c>
      <c r="I2116" t="n">
        <v>-18.62</v>
      </c>
    </row>
    <row r="2117">
      <c r="A2117" t="n">
        <v>107677</v>
      </c>
      <c r="B2117" t="n">
        <v>182</v>
      </c>
      <c r="C2117" t="inlineStr">
        <is>
          <t>Love - Shibari - Kamino</t>
        </is>
      </c>
      <c r="D2117" t="n">
        <v>128</v>
      </c>
      <c r="E2117" t="inlineStr">
        <is>
          <t>Love Cabaret</t>
        </is>
      </c>
      <c r="F2117" s="27" t="n">
        <v>45819</v>
      </c>
      <c r="G2117" t="inlineStr">
        <is>
          <t>CREDITO</t>
        </is>
      </c>
      <c r="H2117" t="inlineStr">
        <is>
          <t>SHIBARI ART E DIVERSAO LTDA</t>
        </is>
      </c>
      <c r="I2117" t="n">
        <v>36000</v>
      </c>
    </row>
    <row r="2118">
      <c r="A2118" t="n">
        <v>107681</v>
      </c>
      <c r="B2118" t="n">
        <v>182</v>
      </c>
      <c r="C2118" t="inlineStr">
        <is>
          <t>Love - Shibari - Kamino</t>
        </is>
      </c>
      <c r="D2118" t="n">
        <v>128</v>
      </c>
      <c r="E2118" t="inlineStr">
        <is>
          <t>Love Cabaret</t>
        </is>
      </c>
      <c r="F2118" s="27" t="n">
        <v>45819</v>
      </c>
      <c r="G2118" t="inlineStr">
        <is>
          <t>DEBITO</t>
        </is>
      </c>
      <c r="H2118" t="inlineStr">
        <is>
          <t>Luiz Roberto da Silva Junior</t>
        </is>
      </c>
      <c r="I2118" t="n">
        <v>-1800</v>
      </c>
    </row>
    <row r="2119">
      <c r="A2119" t="n">
        <v>107682</v>
      </c>
      <c r="B2119" t="n">
        <v>182</v>
      </c>
      <c r="C2119" t="inlineStr">
        <is>
          <t>Love - Shibari - Kamino</t>
        </is>
      </c>
      <c r="D2119" t="n">
        <v>128</v>
      </c>
      <c r="E2119" t="inlineStr">
        <is>
          <t>Love Cabaret</t>
        </is>
      </c>
      <c r="F2119" s="27" t="n">
        <v>45819</v>
      </c>
      <c r="G2119" t="inlineStr">
        <is>
          <t>DEBITO</t>
        </is>
      </c>
      <c r="H2119" t="inlineStr">
        <is>
          <t>Alexandre Santos da Cruz</t>
        </is>
      </c>
      <c r="I2119" t="n">
        <v>-3992.8</v>
      </c>
    </row>
    <row r="2120">
      <c r="A2120" t="n">
        <v>107680</v>
      </c>
      <c r="B2120" t="n">
        <v>182</v>
      </c>
      <c r="C2120" t="inlineStr">
        <is>
          <t>Love - Shibari - Kamino</t>
        </is>
      </c>
      <c r="D2120" t="n">
        <v>128</v>
      </c>
      <c r="E2120" t="inlineStr">
        <is>
          <t>Love Cabaret</t>
        </is>
      </c>
      <c r="F2120" s="27" t="n">
        <v>45819</v>
      </c>
      <c r="G2120" t="inlineStr">
        <is>
          <t>DEBITO</t>
        </is>
      </c>
      <c r="H2120" t="inlineStr">
        <is>
          <t>Cia do Whisky</t>
        </is>
      </c>
      <c r="I2120" t="n">
        <v>-635.6</v>
      </c>
    </row>
    <row r="2121">
      <c r="A2121" t="n">
        <v>107679</v>
      </c>
      <c r="B2121" t="n">
        <v>182</v>
      </c>
      <c r="C2121" t="inlineStr">
        <is>
          <t>Love - Shibari - Kamino</t>
        </is>
      </c>
      <c r="D2121" t="n">
        <v>128</v>
      </c>
      <c r="E2121" t="inlineStr">
        <is>
          <t>Love Cabaret</t>
        </is>
      </c>
      <c r="F2121" s="27" t="n">
        <v>45819</v>
      </c>
      <c r="G2121" t="inlineStr">
        <is>
          <t>DEBITO</t>
        </is>
      </c>
      <c r="H2121" t="inlineStr">
        <is>
          <t>Duo Comunica Ltda</t>
        </is>
      </c>
      <c r="I2121" t="n">
        <v>-2000</v>
      </c>
    </row>
    <row r="2122">
      <c r="A2122" t="n">
        <v>107678</v>
      </c>
      <c r="B2122" t="n">
        <v>182</v>
      </c>
      <c r="C2122" t="inlineStr">
        <is>
          <t>Love - Shibari - Kamino</t>
        </is>
      </c>
      <c r="D2122" t="n">
        <v>128</v>
      </c>
      <c r="E2122" t="inlineStr">
        <is>
          <t>Love Cabaret</t>
        </is>
      </c>
      <c r="F2122" s="27" t="n">
        <v>45819</v>
      </c>
      <c r="G2122" t="inlineStr">
        <is>
          <t>DEBITO</t>
        </is>
      </c>
      <c r="H2122" t="inlineStr">
        <is>
          <t>Dudom</t>
        </is>
      </c>
      <c r="I2122" t="n">
        <v>-57.05</v>
      </c>
    </row>
    <row r="2123">
      <c r="A2123" t="n">
        <v>107683</v>
      </c>
      <c r="B2123" t="n">
        <v>182</v>
      </c>
      <c r="C2123" t="inlineStr">
        <is>
          <t>Love - Shibari - Kamino</t>
        </is>
      </c>
      <c r="D2123" t="n">
        <v>128</v>
      </c>
      <c r="E2123" t="inlineStr">
        <is>
          <t>Love Cabaret</t>
        </is>
      </c>
      <c r="F2123" s="27" t="n">
        <v>45819</v>
      </c>
      <c r="G2123" t="inlineStr">
        <is>
          <t>DEBITO</t>
        </is>
      </c>
      <c r="H2123" t="inlineStr">
        <is>
          <t>Cia do Whisky</t>
        </is>
      </c>
      <c r="I2123" t="n">
        <v>-1743.98</v>
      </c>
    </row>
    <row r="2124">
      <c r="A2124" t="n">
        <v>107684</v>
      </c>
      <c r="B2124" t="n">
        <v>182</v>
      </c>
      <c r="C2124" t="inlineStr">
        <is>
          <t>Love - Shibari - Kamino</t>
        </is>
      </c>
      <c r="D2124" t="n">
        <v>128</v>
      </c>
      <c r="E2124" t="inlineStr">
        <is>
          <t>Love Cabaret</t>
        </is>
      </c>
      <c r="F2124" s="27" t="n">
        <v>45819</v>
      </c>
      <c r="G2124" t="inlineStr">
        <is>
          <t>DEBITO</t>
        </is>
      </c>
      <c r="H2124" t="inlineStr">
        <is>
          <t>Cem Engenharia da Manutencao L</t>
        </is>
      </c>
      <c r="I2124" t="n">
        <v>-6252.94</v>
      </c>
    </row>
    <row r="2125">
      <c r="A2125" t="n">
        <v>107685</v>
      </c>
      <c r="B2125" t="n">
        <v>182</v>
      </c>
      <c r="C2125" t="inlineStr">
        <is>
          <t>Love - Shibari - Kamino</t>
        </is>
      </c>
      <c r="D2125" t="n">
        <v>128</v>
      </c>
      <c r="E2125" t="inlineStr">
        <is>
          <t>Love Cabaret</t>
        </is>
      </c>
      <c r="F2125" s="27" t="n">
        <v>45819</v>
      </c>
      <c r="G2125" t="inlineStr">
        <is>
          <t>DEBITO</t>
        </is>
      </c>
      <c r="H2125" t="inlineStr">
        <is>
          <t>Macro Contabilidade C Ltda</t>
        </is>
      </c>
      <c r="I2125" t="n">
        <v>-3204.47</v>
      </c>
    </row>
    <row r="2126">
      <c r="A2126" t="n">
        <v>107686</v>
      </c>
      <c r="B2126" t="n">
        <v>182</v>
      </c>
      <c r="C2126" t="inlineStr">
        <is>
          <t>Love - Shibari - Kamino</t>
        </is>
      </c>
      <c r="D2126" t="n">
        <v>128</v>
      </c>
      <c r="E2126" t="inlineStr">
        <is>
          <t>Love Cabaret</t>
        </is>
      </c>
      <c r="F2126" s="27" t="n">
        <v>45819</v>
      </c>
      <c r="G2126" t="inlineStr">
        <is>
          <t>DEBITO</t>
        </is>
      </c>
      <c r="H2126" t="inlineStr">
        <is>
          <t>Headchef Assessoria de Seguranca dos Ali</t>
        </is>
      </c>
      <c r="I2126" t="n">
        <v>-1266.06</v>
      </c>
    </row>
    <row r="2127">
      <c r="A2127" t="n">
        <v>107688</v>
      </c>
      <c r="B2127" t="n">
        <v>182</v>
      </c>
      <c r="C2127" t="inlineStr">
        <is>
          <t>Love - Shibari - Kamino</t>
        </is>
      </c>
      <c r="D2127" t="n">
        <v>128</v>
      </c>
      <c r="E2127" t="inlineStr">
        <is>
          <t>Love Cabaret</t>
        </is>
      </c>
      <c r="F2127" s="27" t="n">
        <v>45819</v>
      </c>
      <c r="G2127" t="inlineStr">
        <is>
          <t>DEBITO</t>
        </is>
      </c>
      <c r="H2127" t="inlineStr">
        <is>
          <t>Estaff Solucoes Tecnologicas de Agenciam</t>
        </is>
      </c>
      <c r="I2127" t="n">
        <v>-14668.5</v>
      </c>
    </row>
    <row r="2128">
      <c r="A2128" t="n">
        <v>107588</v>
      </c>
      <c r="B2128" t="n">
        <v>115</v>
      </c>
      <c r="C2128" t="inlineStr">
        <is>
          <t>Love - Shibari - Bradesco</t>
        </is>
      </c>
      <c r="D2128" t="n">
        <v>128</v>
      </c>
      <c r="E2128" t="inlineStr">
        <is>
          <t>Love Cabaret</t>
        </is>
      </c>
      <c r="F2128" s="27" t="n">
        <v>45818.5</v>
      </c>
      <c r="G2128" t="inlineStr">
        <is>
          <t>CREDITO</t>
        </is>
      </c>
      <c r="H2128" t="inlineStr">
        <is>
          <t>TED-TRANSF ELET DISPON REMET.SYMPLA INTERNET SOLU</t>
        </is>
      </c>
      <c r="I2128" t="n">
        <v>1730</v>
      </c>
    </row>
    <row r="2129">
      <c r="A2129" t="n">
        <v>107589</v>
      </c>
      <c r="B2129" t="n">
        <v>115</v>
      </c>
      <c r="C2129" t="inlineStr">
        <is>
          <t>Love - Shibari - Bradesco</t>
        </is>
      </c>
      <c r="D2129" t="n">
        <v>128</v>
      </c>
      <c r="E2129" t="inlineStr">
        <is>
          <t>Love Cabaret</t>
        </is>
      </c>
      <c r="F2129" s="27" t="n">
        <v>45818.5</v>
      </c>
      <c r="G2129" t="inlineStr">
        <is>
          <t>CREDITO</t>
        </is>
      </c>
      <c r="H2129" t="inlineStr">
        <is>
          <t>TRANSFERENCIA PIX REM: SHIBARI ART E DIVERSA 10/06</t>
        </is>
      </c>
      <c r="I2129" t="n">
        <v>10563.34</v>
      </c>
    </row>
    <row r="2130">
      <c r="A2130" t="n">
        <v>107590</v>
      </c>
      <c r="B2130" t="n">
        <v>115</v>
      </c>
      <c r="C2130" t="inlineStr">
        <is>
          <t>Love - Shibari - Bradesco</t>
        </is>
      </c>
      <c r="D2130" t="n">
        <v>128</v>
      </c>
      <c r="E2130" t="inlineStr">
        <is>
          <t>Love Cabaret</t>
        </is>
      </c>
      <c r="F2130" s="27" t="n">
        <v>45818.5</v>
      </c>
      <c r="G2130" t="inlineStr">
        <is>
          <t>CREDITO</t>
        </is>
      </c>
      <c r="H2130" t="inlineStr">
        <is>
          <t>TRANSFERENCIA PIX REM: BARBARA FURRIGO ZANCO 10/06</t>
        </is>
      </c>
      <c r="I2130" t="n">
        <v>520</v>
      </c>
    </row>
    <row r="2131">
      <c r="A2131" t="n">
        <v>107579</v>
      </c>
      <c r="B2131" t="n">
        <v>115</v>
      </c>
      <c r="C2131" t="inlineStr">
        <is>
          <t>Love - Shibari - Bradesco</t>
        </is>
      </c>
      <c r="D2131" t="n">
        <v>128</v>
      </c>
      <c r="E2131" t="inlineStr">
        <is>
          <t>Love Cabaret</t>
        </is>
      </c>
      <c r="F2131" s="27" t="n">
        <v>45817.5</v>
      </c>
      <c r="G2131" t="inlineStr">
        <is>
          <t>CREDITO</t>
        </is>
      </c>
      <c r="H2131" t="inlineStr">
        <is>
          <t>TRANSFERENCIA PIX REM: SHIBARI ART E DIVERSA 09/06</t>
        </is>
      </c>
      <c r="I2131" t="n">
        <v>41004.53</v>
      </c>
    </row>
    <row r="2132">
      <c r="A2132" t="n">
        <v>107587</v>
      </c>
      <c r="B2132" t="n">
        <v>115</v>
      </c>
      <c r="C2132" t="inlineStr">
        <is>
          <t>Love - Shibari - Bradesco</t>
        </is>
      </c>
      <c r="D2132" t="n">
        <v>128</v>
      </c>
      <c r="E2132" t="inlineStr">
        <is>
          <t>Love Cabaret</t>
        </is>
      </c>
      <c r="F2132" s="27" t="n">
        <v>45817.5</v>
      </c>
      <c r="G2132" t="inlineStr">
        <is>
          <t>DEBITO</t>
        </is>
      </c>
      <c r="H2132" t="inlineStr">
        <is>
          <t>TRANSFERENCIA PIX DES: SHIBARI ART E DIVERSA 09/06</t>
        </is>
      </c>
      <c r="I2132" t="n">
        <v>-152000</v>
      </c>
    </row>
    <row r="2133">
      <c r="A2133" t="n">
        <v>107633</v>
      </c>
      <c r="B2133" t="n">
        <v>182</v>
      </c>
      <c r="C2133" t="inlineStr">
        <is>
          <t>Love - Shibari - Kamino</t>
        </is>
      </c>
      <c r="D2133" t="n">
        <v>128</v>
      </c>
      <c r="E2133" t="inlineStr">
        <is>
          <t>Love Cabaret</t>
        </is>
      </c>
      <c r="F2133" s="27" t="n">
        <v>45817</v>
      </c>
      <c r="G2133" t="inlineStr">
        <is>
          <t>DEBITO</t>
        </is>
      </c>
      <c r="H2133" t="inlineStr">
        <is>
          <t>Ciclo com e Participacoes Ltda</t>
        </is>
      </c>
      <c r="I2133" t="n">
        <v>-37540.92</v>
      </c>
    </row>
    <row r="2134">
      <c r="A2134" t="n">
        <v>107630</v>
      </c>
      <c r="B2134" t="n">
        <v>182</v>
      </c>
      <c r="C2134" t="inlineStr">
        <is>
          <t>Love - Shibari - Kamino</t>
        </is>
      </c>
      <c r="D2134" t="n">
        <v>128</v>
      </c>
      <c r="E2134" t="inlineStr">
        <is>
          <t>Love Cabaret</t>
        </is>
      </c>
      <c r="F2134" s="27" t="n">
        <v>45817</v>
      </c>
      <c r="G2134" t="inlineStr">
        <is>
          <t>DEBITO</t>
        </is>
      </c>
      <c r="H2134" t="inlineStr">
        <is>
          <t>Mercadopago.com Representacoes Ltda.</t>
        </is>
      </c>
      <c r="I2134" t="n">
        <v>-136.95</v>
      </c>
    </row>
    <row r="2135">
      <c r="A2135" t="n">
        <v>107631</v>
      </c>
      <c r="B2135" t="n">
        <v>182</v>
      </c>
      <c r="C2135" t="inlineStr">
        <is>
          <t>Love - Shibari - Kamino</t>
        </is>
      </c>
      <c r="D2135" t="n">
        <v>128</v>
      </c>
      <c r="E2135" t="inlineStr">
        <is>
          <t>Love Cabaret</t>
        </is>
      </c>
      <c r="F2135" s="27" t="n">
        <v>45817</v>
      </c>
      <c r="G2135" t="inlineStr">
        <is>
          <t>DEBITO</t>
        </is>
      </c>
      <c r="H2135" t="inlineStr">
        <is>
          <t>Star Copias Comercio e Servicos Ltd</t>
        </is>
      </c>
      <c r="I2135" t="n">
        <v>-220</v>
      </c>
    </row>
    <row r="2136">
      <c r="A2136" t="n">
        <v>107632</v>
      </c>
      <c r="B2136" t="n">
        <v>182</v>
      </c>
      <c r="C2136" t="inlineStr">
        <is>
          <t>Love - Shibari - Kamino</t>
        </is>
      </c>
      <c r="D2136" t="n">
        <v>128</v>
      </c>
      <c r="E2136" t="inlineStr">
        <is>
          <t>Love Cabaret</t>
        </is>
      </c>
      <c r="F2136" s="27" t="n">
        <v>45817</v>
      </c>
      <c r="G2136" t="inlineStr">
        <is>
          <t>DEBITO</t>
        </is>
      </c>
      <c r="H2136" t="inlineStr">
        <is>
          <t>Preshh Bar Ltda</t>
        </is>
      </c>
      <c r="I2136" t="n">
        <v>-808</v>
      </c>
    </row>
    <row r="2137">
      <c r="A2137" t="n">
        <v>107649</v>
      </c>
      <c r="B2137" t="n">
        <v>182</v>
      </c>
      <c r="C2137" t="inlineStr">
        <is>
          <t>Love - Shibari - Kamino</t>
        </is>
      </c>
      <c r="D2137" t="n">
        <v>128</v>
      </c>
      <c r="E2137" t="inlineStr">
        <is>
          <t>Love Cabaret</t>
        </is>
      </c>
      <c r="F2137" s="27" t="n">
        <v>45817</v>
      </c>
      <c r="G2137" t="inlineStr">
        <is>
          <t>DEBITO</t>
        </is>
      </c>
      <c r="H2137" t="inlineStr">
        <is>
          <t>Roberta Maria Santana</t>
        </is>
      </c>
      <c r="I2137" t="n">
        <v>-5440</v>
      </c>
    </row>
    <row r="2138">
      <c r="A2138" t="n">
        <v>107629</v>
      </c>
      <c r="B2138" t="n">
        <v>182</v>
      </c>
      <c r="C2138" t="inlineStr">
        <is>
          <t>Love - Shibari - Kamino</t>
        </is>
      </c>
      <c r="D2138" t="n">
        <v>128</v>
      </c>
      <c r="E2138" t="inlineStr">
        <is>
          <t>Love Cabaret</t>
        </is>
      </c>
      <c r="F2138" s="27" t="n">
        <v>45817</v>
      </c>
      <c r="G2138" t="inlineStr">
        <is>
          <t>DEBITO</t>
        </is>
      </c>
      <c r="H2138" t="inlineStr">
        <is>
          <t>Receita Federal</t>
        </is>
      </c>
      <c r="I2138" t="n">
        <v>-1110</v>
      </c>
    </row>
    <row r="2139">
      <c r="A2139" t="n">
        <v>107628</v>
      </c>
      <c r="B2139" t="n">
        <v>182</v>
      </c>
      <c r="C2139" t="inlineStr">
        <is>
          <t>Love - Shibari - Kamino</t>
        </is>
      </c>
      <c r="D2139" t="n">
        <v>128</v>
      </c>
      <c r="E2139" t="inlineStr">
        <is>
          <t>Love Cabaret</t>
        </is>
      </c>
      <c r="F2139" s="27" t="n">
        <v>45817</v>
      </c>
      <c r="G2139" t="inlineStr">
        <is>
          <t>DEBITO</t>
        </is>
      </c>
      <c r="H2139" t="inlineStr">
        <is>
          <t>Takuarobi</t>
        </is>
      </c>
      <c r="I2139" t="n">
        <v>-471.7</v>
      </c>
    </row>
    <row r="2140">
      <c r="A2140" t="n">
        <v>107627</v>
      </c>
      <c r="B2140" t="n">
        <v>182</v>
      </c>
      <c r="C2140" t="inlineStr">
        <is>
          <t>Love - Shibari - Kamino</t>
        </is>
      </c>
      <c r="D2140" t="n">
        <v>128</v>
      </c>
      <c r="E2140" t="inlineStr">
        <is>
          <t>Love Cabaret</t>
        </is>
      </c>
      <c r="F2140" s="27" t="n">
        <v>45817</v>
      </c>
      <c r="G2140" t="inlineStr">
        <is>
          <t>DEBITO</t>
        </is>
      </c>
      <c r="H2140" t="inlineStr">
        <is>
          <t>Paramu Comercio R P a Ltda</t>
        </is>
      </c>
      <c r="I2140" t="n">
        <v>-1341.93</v>
      </c>
    </row>
    <row r="2141">
      <c r="A2141" t="n">
        <v>107626</v>
      </c>
      <c r="B2141" t="n">
        <v>182</v>
      </c>
      <c r="C2141" t="inlineStr">
        <is>
          <t>Love - Shibari - Kamino</t>
        </is>
      </c>
      <c r="D2141" t="n">
        <v>128</v>
      </c>
      <c r="E2141" t="inlineStr">
        <is>
          <t>Love Cabaret</t>
        </is>
      </c>
      <c r="F2141" s="27" t="n">
        <v>45817</v>
      </c>
      <c r="G2141" t="inlineStr">
        <is>
          <t>DEBITO</t>
        </is>
      </c>
      <c r="H2141" t="inlineStr">
        <is>
          <t>Print Maxx Artes Graficas Ltda - Me</t>
        </is>
      </c>
      <c r="I2141" t="n">
        <v>-216</v>
      </c>
    </row>
    <row r="2142">
      <c r="A2142" t="n">
        <v>107625</v>
      </c>
      <c r="B2142" t="n">
        <v>182</v>
      </c>
      <c r="C2142" t="inlineStr">
        <is>
          <t>Love - Shibari - Kamino</t>
        </is>
      </c>
      <c r="D2142" t="n">
        <v>128</v>
      </c>
      <c r="E2142" t="inlineStr">
        <is>
          <t>Love Cabaret</t>
        </is>
      </c>
      <c r="F2142" s="27" t="n">
        <v>45817</v>
      </c>
      <c r="G2142" t="inlineStr">
        <is>
          <t>DEBITO</t>
        </is>
      </c>
      <c r="H2142" t="inlineStr">
        <is>
          <t>Receita Federal</t>
        </is>
      </c>
      <c r="I2142" t="n">
        <v>-118.58</v>
      </c>
    </row>
    <row r="2143">
      <c r="A2143" t="n">
        <v>107624</v>
      </c>
      <c r="B2143" t="n">
        <v>182</v>
      </c>
      <c r="C2143" t="inlineStr">
        <is>
          <t>Love - Shibari - Kamino</t>
        </is>
      </c>
      <c r="D2143" t="n">
        <v>128</v>
      </c>
      <c r="E2143" t="inlineStr">
        <is>
          <t>Love Cabaret</t>
        </is>
      </c>
      <c r="F2143" s="27" t="n">
        <v>45817</v>
      </c>
      <c r="G2143" t="inlineStr">
        <is>
          <t>CREDITO</t>
        </is>
      </c>
      <c r="H2143" t="inlineStr">
        <is>
          <t>SHIBARI ART E DIVERSAO LTDA</t>
        </is>
      </c>
      <c r="I2143" t="n">
        <v>152000</v>
      </c>
    </row>
    <row r="2144">
      <c r="A2144" t="n">
        <v>107647</v>
      </c>
      <c r="B2144" t="n">
        <v>182</v>
      </c>
      <c r="C2144" t="inlineStr">
        <is>
          <t>Love - Shibari - Kamino</t>
        </is>
      </c>
      <c r="D2144" t="n">
        <v>128</v>
      </c>
      <c r="E2144" t="inlineStr">
        <is>
          <t>Love Cabaret</t>
        </is>
      </c>
      <c r="F2144" s="27" t="n">
        <v>45817</v>
      </c>
      <c r="G2144" t="inlineStr">
        <is>
          <t>DEBITO</t>
        </is>
      </c>
      <c r="H2144" t="inlineStr">
        <is>
          <t>Tamara Santos Ribeiro</t>
        </is>
      </c>
      <c r="I2144" t="n">
        <v>-3500</v>
      </c>
    </row>
    <row r="2145">
      <c r="A2145" t="n">
        <v>107648</v>
      </c>
      <c r="B2145" t="n">
        <v>182</v>
      </c>
      <c r="C2145" t="inlineStr">
        <is>
          <t>Love - Shibari - Kamino</t>
        </is>
      </c>
      <c r="D2145" t="n">
        <v>128</v>
      </c>
      <c r="E2145" t="inlineStr">
        <is>
          <t>Love Cabaret</t>
        </is>
      </c>
      <c r="F2145" s="27" t="n">
        <v>45817</v>
      </c>
      <c r="G2145" t="inlineStr">
        <is>
          <t>DEBITO</t>
        </is>
      </c>
      <c r="H2145" t="inlineStr">
        <is>
          <t>Joo Vitor Mendes Salustiano</t>
        </is>
      </c>
      <c r="I2145" t="n">
        <v>-2880</v>
      </c>
    </row>
    <row r="2146">
      <c r="A2146" t="n">
        <v>107658</v>
      </c>
      <c r="B2146" t="n">
        <v>182</v>
      </c>
      <c r="C2146" t="inlineStr">
        <is>
          <t>Love - Shibari - Kamino</t>
        </is>
      </c>
      <c r="D2146" t="n">
        <v>128</v>
      </c>
      <c r="E2146" t="inlineStr">
        <is>
          <t>Love Cabaret</t>
        </is>
      </c>
      <c r="F2146" s="27" t="n">
        <v>45817</v>
      </c>
      <c r="G2146" t="inlineStr">
        <is>
          <t>DEBITO</t>
        </is>
      </c>
      <c r="H2146" t="inlineStr">
        <is>
          <t>Facundo Guerra Rivero</t>
        </is>
      </c>
      <c r="I2146" t="n">
        <v>-1560</v>
      </c>
    </row>
    <row r="2147">
      <c r="A2147" t="n">
        <v>107634</v>
      </c>
      <c r="B2147" t="n">
        <v>182</v>
      </c>
      <c r="C2147" t="inlineStr">
        <is>
          <t>Love - Shibari - Kamino</t>
        </is>
      </c>
      <c r="D2147" t="n">
        <v>128</v>
      </c>
      <c r="E2147" t="inlineStr">
        <is>
          <t>Love Cabaret</t>
        </is>
      </c>
      <c r="F2147" s="27" t="n">
        <v>45817</v>
      </c>
      <c r="G2147" t="inlineStr">
        <is>
          <t>DEBITO</t>
        </is>
      </c>
      <c r="H2147" t="inlineStr">
        <is>
          <t>Proauto Industria Q Eireli</t>
        </is>
      </c>
      <c r="I2147" t="n">
        <v>-1140.98</v>
      </c>
    </row>
    <row r="2148">
      <c r="A2148" t="n">
        <v>107635</v>
      </c>
      <c r="B2148" t="n">
        <v>182</v>
      </c>
      <c r="C2148" t="inlineStr">
        <is>
          <t>Love - Shibari - Kamino</t>
        </is>
      </c>
      <c r="D2148" t="n">
        <v>128</v>
      </c>
      <c r="E2148" t="inlineStr">
        <is>
          <t>Love Cabaret</t>
        </is>
      </c>
      <c r="F2148" s="27" t="n">
        <v>45817</v>
      </c>
      <c r="G2148" t="inlineStr">
        <is>
          <t>DEBITO</t>
        </is>
      </c>
      <c r="H2148" t="inlineStr">
        <is>
          <t>Ng27 Consultoria e Gestao Empr</t>
        </is>
      </c>
      <c r="I2148" t="n">
        <v>-134.35</v>
      </c>
    </row>
    <row r="2149">
      <c r="A2149" t="n">
        <v>107636</v>
      </c>
      <c r="B2149" t="n">
        <v>182</v>
      </c>
      <c r="C2149" t="inlineStr">
        <is>
          <t>Love - Shibari - Kamino</t>
        </is>
      </c>
      <c r="D2149" t="n">
        <v>128</v>
      </c>
      <c r="E2149" t="inlineStr">
        <is>
          <t>Love Cabaret</t>
        </is>
      </c>
      <c r="F2149" s="27" t="n">
        <v>45817</v>
      </c>
      <c r="G2149" t="inlineStr">
        <is>
          <t>DEBITO</t>
        </is>
      </c>
      <c r="H2149" t="inlineStr">
        <is>
          <t>Gomes D Elia Equipamentos de H</t>
        </is>
      </c>
      <c r="I2149" t="n">
        <v>-365</v>
      </c>
    </row>
    <row r="2150">
      <c r="A2150" t="n">
        <v>107637</v>
      </c>
      <c r="B2150" t="n">
        <v>182</v>
      </c>
      <c r="C2150" t="inlineStr">
        <is>
          <t>Love - Shibari - Kamino</t>
        </is>
      </c>
      <c r="D2150" t="n">
        <v>128</v>
      </c>
      <c r="E2150" t="inlineStr">
        <is>
          <t>Love Cabaret</t>
        </is>
      </c>
      <c r="F2150" s="27" t="n">
        <v>45817</v>
      </c>
      <c r="G2150" t="inlineStr">
        <is>
          <t>DEBITO</t>
        </is>
      </c>
      <c r="H2150" t="inlineStr">
        <is>
          <t>Stemme Telecomunicacoes do Brasil Ltda.</t>
        </is>
      </c>
      <c r="I2150" t="n">
        <v>-299.99</v>
      </c>
    </row>
    <row r="2151">
      <c r="A2151" t="n">
        <v>107638</v>
      </c>
      <c r="B2151" t="n">
        <v>182</v>
      </c>
      <c r="C2151" t="inlineStr">
        <is>
          <t>Love - Shibari - Kamino</t>
        </is>
      </c>
      <c r="D2151" t="n">
        <v>128</v>
      </c>
      <c r="E2151" t="inlineStr">
        <is>
          <t>Love Cabaret</t>
        </is>
      </c>
      <c r="F2151" s="27" t="n">
        <v>45817</v>
      </c>
      <c r="G2151" t="inlineStr">
        <is>
          <t>DEBITO</t>
        </is>
      </c>
      <c r="H2151" t="inlineStr">
        <is>
          <t>Safe Brand com Imp Exp S Ltda</t>
        </is>
      </c>
      <c r="I2151" t="n">
        <v>-2117.46</v>
      </c>
    </row>
    <row r="2152">
      <c r="A2152" t="n">
        <v>107639</v>
      </c>
      <c r="B2152" t="n">
        <v>182</v>
      </c>
      <c r="C2152" t="inlineStr">
        <is>
          <t>Love - Shibari - Kamino</t>
        </is>
      </c>
      <c r="D2152" t="n">
        <v>128</v>
      </c>
      <c r="E2152" t="inlineStr">
        <is>
          <t>Love Cabaret</t>
        </is>
      </c>
      <c r="F2152" s="27" t="n">
        <v>45817</v>
      </c>
      <c r="G2152" t="inlineStr">
        <is>
          <t>DEBITO</t>
        </is>
      </c>
      <c r="H2152" t="inlineStr">
        <is>
          <t>Mordomia da Administracao Imobiliaria</t>
        </is>
      </c>
      <c r="I2152" t="n">
        <v>-31634.64</v>
      </c>
    </row>
    <row r="2153">
      <c r="A2153" t="n">
        <v>107640</v>
      </c>
      <c r="B2153" t="n">
        <v>182</v>
      </c>
      <c r="C2153" t="inlineStr">
        <is>
          <t>Love - Shibari - Kamino</t>
        </is>
      </c>
      <c r="D2153" t="n">
        <v>128</v>
      </c>
      <c r="E2153" t="inlineStr">
        <is>
          <t>Love Cabaret</t>
        </is>
      </c>
      <c r="F2153" s="27" t="n">
        <v>45817</v>
      </c>
      <c r="G2153" t="inlineStr">
        <is>
          <t>DEBITO</t>
        </is>
      </c>
      <c r="H2153" t="inlineStr">
        <is>
          <t>Allimentari com de Produtos Al</t>
        </is>
      </c>
      <c r="I2153" t="n">
        <v>-98</v>
      </c>
    </row>
    <row r="2154">
      <c r="A2154" t="n">
        <v>107641</v>
      </c>
      <c r="B2154" t="n">
        <v>182</v>
      </c>
      <c r="C2154" t="inlineStr">
        <is>
          <t>Love - Shibari - Kamino</t>
        </is>
      </c>
      <c r="D2154" t="n">
        <v>128</v>
      </c>
      <c r="E2154" t="inlineStr">
        <is>
          <t>Love Cabaret</t>
        </is>
      </c>
      <c r="F2154" s="27" t="n">
        <v>45817</v>
      </c>
      <c r="G2154" t="inlineStr">
        <is>
          <t>DEBITO</t>
        </is>
      </c>
      <c r="H2154" t="inlineStr">
        <is>
          <t>Forte Alimentos Comercio e Importacao Lt</t>
        </is>
      </c>
      <c r="I2154" t="n">
        <v>-568.29</v>
      </c>
    </row>
    <row r="2155">
      <c r="A2155" t="n">
        <v>107642</v>
      </c>
      <c r="B2155" t="n">
        <v>182</v>
      </c>
      <c r="C2155" t="inlineStr">
        <is>
          <t>Love - Shibari - Kamino</t>
        </is>
      </c>
      <c r="D2155" t="n">
        <v>128</v>
      </c>
      <c r="E2155" t="inlineStr">
        <is>
          <t>Love Cabaret</t>
        </is>
      </c>
      <c r="F2155" s="27" t="n">
        <v>45817</v>
      </c>
      <c r="G2155" t="inlineStr">
        <is>
          <t>DEBITO</t>
        </is>
      </c>
      <c r="H2155" t="inlineStr">
        <is>
          <t>Tntinfo Comercio M I Ltda Epp</t>
        </is>
      </c>
      <c r="I2155" t="n">
        <v>-2625.66</v>
      </c>
    </row>
    <row r="2156">
      <c r="A2156" t="n">
        <v>107643</v>
      </c>
      <c r="B2156" t="n">
        <v>182</v>
      </c>
      <c r="C2156" t="inlineStr">
        <is>
          <t>Love - Shibari - Kamino</t>
        </is>
      </c>
      <c r="D2156" t="n">
        <v>128</v>
      </c>
      <c r="E2156" t="inlineStr">
        <is>
          <t>Love Cabaret</t>
        </is>
      </c>
      <c r="F2156" s="27" t="n">
        <v>45817</v>
      </c>
      <c r="G2156" t="inlineStr">
        <is>
          <t>DEBITO</t>
        </is>
      </c>
      <c r="H2156" t="inlineStr">
        <is>
          <t>Stark Bank S.A.</t>
        </is>
      </c>
      <c r="I2156" t="n">
        <v>-32</v>
      </c>
    </row>
    <row r="2157">
      <c r="A2157" t="n">
        <v>107644</v>
      </c>
      <c r="B2157" t="n">
        <v>182</v>
      </c>
      <c r="C2157" t="inlineStr">
        <is>
          <t>Love - Shibari - Kamino</t>
        </is>
      </c>
      <c r="D2157" t="n">
        <v>128</v>
      </c>
      <c r="E2157" t="inlineStr">
        <is>
          <t>Love Cabaret</t>
        </is>
      </c>
      <c r="F2157" s="27" t="n">
        <v>45817</v>
      </c>
      <c r="G2157" t="inlineStr">
        <is>
          <t>DEBITO</t>
        </is>
      </c>
      <c r="H2157" t="inlineStr">
        <is>
          <t>B. B. Distribuidora de Carnes Ltda</t>
        </is>
      </c>
      <c r="I2157" t="n">
        <v>-1118.48</v>
      </c>
    </row>
    <row r="2158">
      <c r="A2158" t="n">
        <v>107645</v>
      </c>
      <c r="B2158" t="n">
        <v>182</v>
      </c>
      <c r="C2158" t="inlineStr">
        <is>
          <t>Love - Shibari - Kamino</t>
        </is>
      </c>
      <c r="D2158" t="n">
        <v>128</v>
      </c>
      <c r="E2158" t="inlineStr">
        <is>
          <t>Love Cabaret</t>
        </is>
      </c>
      <c r="F2158" s="27" t="n">
        <v>45817</v>
      </c>
      <c r="G2158" t="inlineStr">
        <is>
          <t>DEBITO</t>
        </is>
      </c>
      <c r="H2158" t="inlineStr">
        <is>
          <t>Porco Feliz com Carnes Ltda Me</t>
        </is>
      </c>
      <c r="I2158" t="n">
        <v>-185.13</v>
      </c>
    </row>
    <row r="2159">
      <c r="A2159" t="n">
        <v>107646</v>
      </c>
      <c r="B2159" t="n">
        <v>182</v>
      </c>
      <c r="C2159" t="inlineStr">
        <is>
          <t>Love - Shibari - Kamino</t>
        </is>
      </c>
      <c r="D2159" t="n">
        <v>128</v>
      </c>
      <c r="E2159" t="inlineStr">
        <is>
          <t>Love Cabaret</t>
        </is>
      </c>
      <c r="F2159" s="27" t="n">
        <v>45817</v>
      </c>
      <c r="G2159" t="inlineStr">
        <is>
          <t>DEBITO</t>
        </is>
      </c>
      <c r="H2159" t="inlineStr">
        <is>
          <t>Cg Food S Distr Alimentos Ltda</t>
        </is>
      </c>
      <c r="I2159" t="n">
        <v>-662.27</v>
      </c>
    </row>
    <row r="2160">
      <c r="A2160" t="n">
        <v>107663</v>
      </c>
      <c r="B2160" t="n">
        <v>182</v>
      </c>
      <c r="C2160" t="inlineStr">
        <is>
          <t>Love - Shibari - Kamino</t>
        </is>
      </c>
      <c r="D2160" t="n">
        <v>128</v>
      </c>
      <c r="E2160" t="inlineStr">
        <is>
          <t>Love Cabaret</t>
        </is>
      </c>
      <c r="F2160" s="27" t="n">
        <v>45817</v>
      </c>
      <c r="G2160" t="inlineStr">
        <is>
          <t>DEBITO</t>
        </is>
      </c>
      <c r="H2160" t="inlineStr">
        <is>
          <t>Aurora Alvorada Estacionamento e Lanchon</t>
        </is>
      </c>
      <c r="I2160" t="n">
        <v>-225.18</v>
      </c>
    </row>
    <row r="2161">
      <c r="A2161" t="n">
        <v>107669</v>
      </c>
      <c r="B2161" t="n">
        <v>182</v>
      </c>
      <c r="C2161" t="inlineStr">
        <is>
          <t>Love - Shibari - Kamino</t>
        </is>
      </c>
      <c r="D2161" t="n">
        <v>128</v>
      </c>
      <c r="E2161" t="inlineStr">
        <is>
          <t>Love Cabaret</t>
        </is>
      </c>
      <c r="F2161" s="27" t="n">
        <v>45817</v>
      </c>
      <c r="G2161" t="inlineStr">
        <is>
          <t>DEBITO</t>
        </is>
      </c>
      <c r="H2161" t="inlineStr">
        <is>
          <t>Laisa Rocha Lrangeira</t>
        </is>
      </c>
      <c r="I2161" t="n">
        <v>-1600</v>
      </c>
    </row>
    <row r="2162">
      <c r="A2162" t="n">
        <v>107670</v>
      </c>
      <c r="B2162" t="n">
        <v>182</v>
      </c>
      <c r="C2162" t="inlineStr">
        <is>
          <t>Love - Shibari - Kamino</t>
        </is>
      </c>
      <c r="D2162" t="n">
        <v>128</v>
      </c>
      <c r="E2162" t="inlineStr">
        <is>
          <t>Love Cabaret</t>
        </is>
      </c>
      <c r="F2162" s="27" t="n">
        <v>45817</v>
      </c>
      <c r="G2162" t="inlineStr">
        <is>
          <t>CREDITO</t>
        </is>
      </c>
      <c r="H2162" t="inlineStr">
        <is>
          <t>Pix Env No Processado</t>
        </is>
      </c>
      <c r="I2162" t="n">
        <v>8500</v>
      </c>
    </row>
    <row r="2163">
      <c r="A2163" t="n">
        <v>107671</v>
      </c>
      <c r="B2163" t="n">
        <v>182</v>
      </c>
      <c r="C2163" t="inlineStr">
        <is>
          <t>Love - Shibari - Kamino</t>
        </is>
      </c>
      <c r="D2163" t="n">
        <v>128</v>
      </c>
      <c r="E2163" t="inlineStr">
        <is>
          <t>Love Cabaret</t>
        </is>
      </c>
      <c r="F2163" s="27" t="n">
        <v>45817</v>
      </c>
      <c r="G2163" t="inlineStr">
        <is>
          <t>DEBITO</t>
        </is>
      </c>
      <c r="H2163" t="inlineStr">
        <is>
          <t>49.635.085 Jessica Izabel de Souza</t>
        </is>
      </c>
      <c r="I2163" t="n">
        <v>-1250</v>
      </c>
    </row>
    <row r="2164">
      <c r="A2164" t="n">
        <v>107672</v>
      </c>
      <c r="B2164" t="n">
        <v>182</v>
      </c>
      <c r="C2164" t="inlineStr">
        <is>
          <t>Love - Shibari - Kamino</t>
        </is>
      </c>
      <c r="D2164" t="n">
        <v>128</v>
      </c>
      <c r="E2164" t="inlineStr">
        <is>
          <t>Love Cabaret</t>
        </is>
      </c>
      <c r="F2164" s="27" t="n">
        <v>45817</v>
      </c>
      <c r="G2164" t="inlineStr">
        <is>
          <t>DEBITO</t>
        </is>
      </c>
      <c r="H2164" t="inlineStr">
        <is>
          <t>Fg7 Comercio D B Eireli Epp</t>
        </is>
      </c>
      <c r="I2164" t="n">
        <v>-483.45</v>
      </c>
    </row>
    <row r="2165">
      <c r="A2165" t="n">
        <v>107673</v>
      </c>
      <c r="B2165" t="n">
        <v>182</v>
      </c>
      <c r="C2165" t="inlineStr">
        <is>
          <t>Love - Shibari - Kamino</t>
        </is>
      </c>
      <c r="D2165" t="n">
        <v>128</v>
      </c>
      <c r="E2165" t="inlineStr">
        <is>
          <t>Love Cabaret</t>
        </is>
      </c>
      <c r="F2165" s="27" t="n">
        <v>45817</v>
      </c>
      <c r="G2165" t="inlineStr">
        <is>
          <t>DEBITO</t>
        </is>
      </c>
      <c r="H2165" t="inlineStr">
        <is>
          <t>Hnk Br Ind de Bebidas Ltda</t>
        </is>
      </c>
      <c r="I2165" t="n">
        <v>-308.08</v>
      </c>
    </row>
    <row r="2166">
      <c r="A2166" t="n">
        <v>107674</v>
      </c>
      <c r="B2166" t="n">
        <v>182</v>
      </c>
      <c r="C2166" t="inlineStr">
        <is>
          <t>Love - Shibari - Kamino</t>
        </is>
      </c>
      <c r="D2166" t="n">
        <v>128</v>
      </c>
      <c r="E2166" t="inlineStr">
        <is>
          <t>Love Cabaret</t>
        </is>
      </c>
      <c r="F2166" s="27" t="n">
        <v>45817</v>
      </c>
      <c r="G2166" t="inlineStr">
        <is>
          <t>DEBITO</t>
        </is>
      </c>
      <c r="H2166" t="inlineStr">
        <is>
          <t>Indra Haretrava</t>
        </is>
      </c>
      <c r="I2166" t="n">
        <v>-7420</v>
      </c>
    </row>
    <row r="2167">
      <c r="A2167" t="n">
        <v>107675</v>
      </c>
      <c r="B2167" t="n">
        <v>182</v>
      </c>
      <c r="C2167" t="inlineStr">
        <is>
          <t>Love - Shibari - Kamino</t>
        </is>
      </c>
      <c r="D2167" t="n">
        <v>128</v>
      </c>
      <c r="E2167" t="inlineStr">
        <is>
          <t>Love Cabaret</t>
        </is>
      </c>
      <c r="F2167" s="27" t="n">
        <v>45817</v>
      </c>
      <c r="G2167" t="inlineStr">
        <is>
          <t>DEBITO</t>
        </is>
      </c>
      <c r="H2167" t="inlineStr">
        <is>
          <t>Julia Baisch Franz</t>
        </is>
      </c>
      <c r="I2167" t="n">
        <v>-8500</v>
      </c>
    </row>
    <row r="2168">
      <c r="A2168" t="n">
        <v>107676</v>
      </c>
      <c r="B2168" t="n">
        <v>182</v>
      </c>
      <c r="C2168" t="inlineStr">
        <is>
          <t>Love - Shibari - Kamino</t>
        </is>
      </c>
      <c r="D2168" t="n">
        <v>128</v>
      </c>
      <c r="E2168" t="inlineStr">
        <is>
          <t>Love Cabaret</t>
        </is>
      </c>
      <c r="F2168" s="27" t="n">
        <v>45817</v>
      </c>
      <c r="G2168" t="inlineStr">
        <is>
          <t>DEBITO</t>
        </is>
      </c>
      <c r="H2168" t="inlineStr">
        <is>
          <t>Felipe da Costa Santos</t>
        </is>
      </c>
      <c r="I2168" t="n">
        <v>-6660</v>
      </c>
    </row>
    <row r="2169">
      <c r="A2169" t="n">
        <v>107667</v>
      </c>
      <c r="B2169" t="n">
        <v>182</v>
      </c>
      <c r="C2169" t="inlineStr">
        <is>
          <t>Love - Shibari - Kamino</t>
        </is>
      </c>
      <c r="D2169" t="n">
        <v>128</v>
      </c>
      <c r="E2169" t="inlineStr">
        <is>
          <t>Love Cabaret</t>
        </is>
      </c>
      <c r="F2169" s="27" t="n">
        <v>45817</v>
      </c>
      <c r="G2169" t="inlineStr">
        <is>
          <t>DEBITO</t>
        </is>
      </c>
      <c r="H2169" t="inlineStr">
        <is>
          <t>53.068.043 Isabella Fernandes Gomes</t>
        </is>
      </c>
      <c r="I2169" t="n">
        <v>-1200</v>
      </c>
    </row>
    <row r="2170">
      <c r="A2170" t="n">
        <v>107666</v>
      </c>
      <c r="B2170" t="n">
        <v>182</v>
      </c>
      <c r="C2170" t="inlineStr">
        <is>
          <t>Love - Shibari - Kamino</t>
        </is>
      </c>
      <c r="D2170" t="n">
        <v>128</v>
      </c>
      <c r="E2170" t="inlineStr">
        <is>
          <t>Love Cabaret</t>
        </is>
      </c>
      <c r="F2170" s="27" t="n">
        <v>45817</v>
      </c>
      <c r="G2170" t="inlineStr">
        <is>
          <t>DEBITO</t>
        </is>
      </c>
      <c r="H2170" t="inlineStr">
        <is>
          <t>Dudom</t>
        </is>
      </c>
      <c r="I2170" t="n">
        <v>-1600</v>
      </c>
    </row>
    <row r="2171">
      <c r="A2171" t="n">
        <v>107665</v>
      </c>
      <c r="B2171" t="n">
        <v>182</v>
      </c>
      <c r="C2171" t="inlineStr">
        <is>
          <t>Love - Shibari - Kamino</t>
        </is>
      </c>
      <c r="D2171" t="n">
        <v>128</v>
      </c>
      <c r="E2171" t="inlineStr">
        <is>
          <t>Love Cabaret</t>
        </is>
      </c>
      <c r="F2171" s="27" t="n">
        <v>45817</v>
      </c>
      <c r="G2171" t="inlineStr">
        <is>
          <t>CREDITO</t>
        </is>
      </c>
      <c r="H2171" t="inlineStr">
        <is>
          <t>Pix Env No Processado</t>
        </is>
      </c>
      <c r="I2171" t="n">
        <v>6660</v>
      </c>
    </row>
    <row r="2172">
      <c r="A2172" t="n">
        <v>107664</v>
      </c>
      <c r="B2172" t="n">
        <v>182</v>
      </c>
      <c r="C2172" t="inlineStr">
        <is>
          <t>Love - Shibari - Kamino</t>
        </is>
      </c>
      <c r="D2172" t="n">
        <v>128</v>
      </c>
      <c r="E2172" t="inlineStr">
        <is>
          <t>Love Cabaret</t>
        </is>
      </c>
      <c r="F2172" s="27" t="n">
        <v>45817</v>
      </c>
      <c r="G2172" t="inlineStr">
        <is>
          <t>DEBITO</t>
        </is>
      </c>
      <c r="H2172" t="inlineStr">
        <is>
          <t>29.004.930 Agnes Rodrigues de Oliveira</t>
        </is>
      </c>
      <c r="I2172" t="n">
        <v>-5000</v>
      </c>
    </row>
    <row r="2173">
      <c r="A2173" t="n">
        <v>107650</v>
      </c>
      <c r="B2173" t="n">
        <v>182</v>
      </c>
      <c r="C2173" t="inlineStr">
        <is>
          <t>Love - Shibari - Kamino</t>
        </is>
      </c>
      <c r="D2173" t="n">
        <v>128</v>
      </c>
      <c r="E2173" t="inlineStr">
        <is>
          <t>Love Cabaret</t>
        </is>
      </c>
      <c r="F2173" s="27" t="n">
        <v>45817</v>
      </c>
      <c r="G2173" t="inlineStr">
        <is>
          <t>DEBITO</t>
        </is>
      </c>
      <c r="H2173" t="inlineStr">
        <is>
          <t>Indra Haretrava</t>
        </is>
      </c>
      <c r="I2173" t="n">
        <v>-7420</v>
      </c>
    </row>
    <row r="2174">
      <c r="A2174" t="n">
        <v>107662</v>
      </c>
      <c r="B2174" t="n">
        <v>182</v>
      </c>
      <c r="C2174" t="inlineStr">
        <is>
          <t>Love - Shibari - Kamino</t>
        </is>
      </c>
      <c r="D2174" t="n">
        <v>128</v>
      </c>
      <c r="E2174" t="inlineStr">
        <is>
          <t>Love Cabaret</t>
        </is>
      </c>
      <c r="F2174" s="27" t="n">
        <v>45817</v>
      </c>
      <c r="G2174" t="inlineStr">
        <is>
          <t>DEBITO</t>
        </is>
      </c>
      <c r="H2174" t="inlineStr">
        <is>
          <t>Felipe Ferreira Franca 36496185832</t>
        </is>
      </c>
      <c r="I2174" t="n">
        <v>-1300</v>
      </c>
    </row>
    <row r="2175">
      <c r="A2175" t="n">
        <v>107661</v>
      </c>
      <c r="B2175" t="n">
        <v>182</v>
      </c>
      <c r="C2175" t="inlineStr">
        <is>
          <t>Love - Shibari - Kamino</t>
        </is>
      </c>
      <c r="D2175" t="n">
        <v>128</v>
      </c>
      <c r="E2175" t="inlineStr">
        <is>
          <t>Love Cabaret</t>
        </is>
      </c>
      <c r="F2175" s="27" t="n">
        <v>45817</v>
      </c>
      <c r="G2175" t="inlineStr">
        <is>
          <t>DEBITO</t>
        </is>
      </c>
      <c r="H2175" t="inlineStr">
        <is>
          <t>23.824.129 Felipe da Costa Santos</t>
        </is>
      </c>
      <c r="I2175" t="n">
        <v>-6660</v>
      </c>
    </row>
    <row r="2176">
      <c r="A2176" t="n">
        <v>107660</v>
      </c>
      <c r="B2176" t="n">
        <v>182</v>
      </c>
      <c r="C2176" t="inlineStr">
        <is>
          <t>Love - Shibari - Kamino</t>
        </is>
      </c>
      <c r="D2176" t="n">
        <v>128</v>
      </c>
      <c r="E2176" t="inlineStr">
        <is>
          <t>Love Cabaret</t>
        </is>
      </c>
      <c r="F2176" s="27" t="n">
        <v>45817</v>
      </c>
      <c r="G2176" t="inlineStr">
        <is>
          <t>DEBITO</t>
        </is>
      </c>
      <c r="H2176" t="inlineStr">
        <is>
          <t>Douglas Felipe Domingues Gonalves</t>
        </is>
      </c>
      <c r="I2176" t="n">
        <v>-5410</v>
      </c>
    </row>
    <row r="2177">
      <c r="A2177" t="n">
        <v>107659</v>
      </c>
      <c r="B2177" t="n">
        <v>182</v>
      </c>
      <c r="C2177" t="inlineStr">
        <is>
          <t>Love - Shibari - Kamino</t>
        </is>
      </c>
      <c r="D2177" t="n">
        <v>128</v>
      </c>
      <c r="E2177" t="inlineStr">
        <is>
          <t>Love Cabaret</t>
        </is>
      </c>
      <c r="F2177" s="27" t="n">
        <v>45817</v>
      </c>
      <c r="G2177" t="inlineStr">
        <is>
          <t>DEBITO</t>
        </is>
      </c>
      <c r="H2177" t="inlineStr">
        <is>
          <t>55 214 822 Wagner da Silva Franca</t>
        </is>
      </c>
      <c r="I2177" t="n">
        <v>-5440</v>
      </c>
    </row>
    <row r="2178">
      <c r="A2178" t="n">
        <v>107668</v>
      </c>
      <c r="B2178" t="n">
        <v>182</v>
      </c>
      <c r="C2178" t="inlineStr">
        <is>
          <t>Love - Shibari - Kamino</t>
        </is>
      </c>
      <c r="D2178" t="n">
        <v>128</v>
      </c>
      <c r="E2178" t="inlineStr">
        <is>
          <t>Love Cabaret</t>
        </is>
      </c>
      <c r="F2178" s="27" t="n">
        <v>45817</v>
      </c>
      <c r="G2178" t="inlineStr">
        <is>
          <t>DEBITO</t>
        </is>
      </c>
      <c r="H2178" t="inlineStr">
        <is>
          <t>Julia Baisch Franz</t>
        </is>
      </c>
      <c r="I2178" t="n">
        <v>-8500</v>
      </c>
    </row>
    <row r="2179">
      <c r="A2179" t="n">
        <v>107657</v>
      </c>
      <c r="B2179" t="n">
        <v>182</v>
      </c>
      <c r="C2179" t="inlineStr">
        <is>
          <t>Love - Shibari - Kamino</t>
        </is>
      </c>
      <c r="D2179" t="n">
        <v>128</v>
      </c>
      <c r="E2179" t="inlineStr">
        <is>
          <t>Love Cabaret</t>
        </is>
      </c>
      <c r="F2179" s="27" t="n">
        <v>45817</v>
      </c>
      <c r="G2179" t="inlineStr">
        <is>
          <t>CREDITO</t>
        </is>
      </c>
      <c r="H2179" t="inlineStr">
        <is>
          <t>Pix Env No Processado</t>
        </is>
      </c>
      <c r="I2179" t="n">
        <v>7420</v>
      </c>
    </row>
    <row r="2180">
      <c r="A2180" t="n">
        <v>107656</v>
      </c>
      <c r="B2180" t="n">
        <v>182</v>
      </c>
      <c r="C2180" t="inlineStr">
        <is>
          <t>Love - Shibari - Kamino</t>
        </is>
      </c>
      <c r="D2180" t="n">
        <v>128</v>
      </c>
      <c r="E2180" t="inlineStr">
        <is>
          <t>Love Cabaret</t>
        </is>
      </c>
      <c r="F2180" s="27" t="n">
        <v>45817</v>
      </c>
      <c r="G2180" t="inlineStr">
        <is>
          <t>DEBITO</t>
        </is>
      </c>
      <c r="H2180" t="inlineStr">
        <is>
          <t>Nina Consultoria e Representacoes</t>
        </is>
      </c>
      <c r="I2180" t="n">
        <v>-3000</v>
      </c>
    </row>
    <row r="2181">
      <c r="A2181" t="n">
        <v>107655</v>
      </c>
      <c r="B2181" t="n">
        <v>182</v>
      </c>
      <c r="C2181" t="inlineStr">
        <is>
          <t>Love - Shibari - Kamino</t>
        </is>
      </c>
      <c r="D2181" t="n">
        <v>128</v>
      </c>
      <c r="E2181" t="inlineStr">
        <is>
          <t>Love Cabaret</t>
        </is>
      </c>
      <c r="F2181" s="27" t="n">
        <v>45817</v>
      </c>
      <c r="G2181" t="inlineStr">
        <is>
          <t>DEBITO</t>
        </is>
      </c>
      <c r="H2181" t="inlineStr">
        <is>
          <t>Puxuri Consultoria Ltda</t>
        </is>
      </c>
      <c r="I2181" t="n">
        <v>-4000</v>
      </c>
    </row>
    <row r="2182">
      <c r="A2182" t="n">
        <v>107654</v>
      </c>
      <c r="B2182" t="n">
        <v>182</v>
      </c>
      <c r="C2182" t="inlineStr">
        <is>
          <t>Love - Shibari - Kamino</t>
        </is>
      </c>
      <c r="D2182" t="n">
        <v>128</v>
      </c>
      <c r="E2182" t="inlineStr">
        <is>
          <t>Love Cabaret</t>
        </is>
      </c>
      <c r="F2182" s="27" t="n">
        <v>45817</v>
      </c>
      <c r="G2182" t="inlineStr">
        <is>
          <t>DEBITO</t>
        </is>
      </c>
      <c r="H2182" t="inlineStr">
        <is>
          <t>Dist Carnes Cant Ltda Epp</t>
        </is>
      </c>
      <c r="I2182" t="n">
        <v>-368</v>
      </c>
    </row>
    <row r="2183">
      <c r="A2183" t="n">
        <v>107653</v>
      </c>
      <c r="B2183" t="n">
        <v>182</v>
      </c>
      <c r="C2183" t="inlineStr">
        <is>
          <t>Love - Shibari - Kamino</t>
        </is>
      </c>
      <c r="D2183" t="n">
        <v>128</v>
      </c>
      <c r="E2183" t="inlineStr">
        <is>
          <t>Love Cabaret</t>
        </is>
      </c>
      <c r="F2183" s="27" t="n">
        <v>45817</v>
      </c>
      <c r="G2183" t="inlineStr">
        <is>
          <t>DEBITO</t>
        </is>
      </c>
      <c r="H2183" t="inlineStr">
        <is>
          <t>Divi Hub Operacao de Plataforma Eletroni</t>
        </is>
      </c>
      <c r="I2183" t="n">
        <v>-1000</v>
      </c>
    </row>
    <row r="2184">
      <c r="A2184" t="n">
        <v>107652</v>
      </c>
      <c r="B2184" t="n">
        <v>182</v>
      </c>
      <c r="C2184" t="inlineStr">
        <is>
          <t>Love - Shibari - Kamino</t>
        </is>
      </c>
      <c r="D2184" t="n">
        <v>128</v>
      </c>
      <c r="E2184" t="inlineStr">
        <is>
          <t>Love Cabaret</t>
        </is>
      </c>
      <c r="F2184" s="27" t="n">
        <v>45817</v>
      </c>
      <c r="G2184" t="inlineStr">
        <is>
          <t>DEBITO</t>
        </is>
      </c>
      <c r="H2184" t="inlineStr">
        <is>
          <t>55.774.785 Thiago Pinheiro da Silva</t>
        </is>
      </c>
      <c r="I2184" t="n">
        <v>-1125</v>
      </c>
    </row>
    <row r="2185">
      <c r="A2185" t="n">
        <v>107651</v>
      </c>
      <c r="B2185" t="n">
        <v>182</v>
      </c>
      <c r="C2185" t="inlineStr">
        <is>
          <t>Love - Shibari - Kamino</t>
        </is>
      </c>
      <c r="D2185" t="n">
        <v>128</v>
      </c>
      <c r="E2185" t="inlineStr">
        <is>
          <t>Love Cabaret</t>
        </is>
      </c>
      <c r="F2185" s="27" t="n">
        <v>45817</v>
      </c>
      <c r="G2185" t="inlineStr">
        <is>
          <t>DEBITO</t>
        </is>
      </c>
      <c r="H2185" t="inlineStr">
        <is>
          <t>Teles de Almeida Pinto</t>
        </is>
      </c>
      <c r="I2185" t="n">
        <v>-130</v>
      </c>
    </row>
    <row r="2186">
      <c r="A2186" t="n">
        <v>107568</v>
      </c>
      <c r="B2186" t="n">
        <v>115</v>
      </c>
      <c r="C2186" t="inlineStr">
        <is>
          <t>Love - Shibari - Bradesco</t>
        </is>
      </c>
      <c r="D2186" t="n">
        <v>128</v>
      </c>
      <c r="E2186" t="inlineStr">
        <is>
          <t>Love Cabaret</t>
        </is>
      </c>
      <c r="F2186" s="27" t="n">
        <v>45814.5</v>
      </c>
      <c r="G2186" t="inlineStr">
        <is>
          <t>CREDITO</t>
        </is>
      </c>
      <c r="H2186" t="inlineStr">
        <is>
          <t>TED-TRANSF ELET DISPON REMET.SYMPLA INTERNET SOLU</t>
        </is>
      </c>
      <c r="I2186" t="n">
        <v>408.06</v>
      </c>
    </row>
    <row r="2187">
      <c r="A2187" t="n">
        <v>107560</v>
      </c>
      <c r="B2187" t="n">
        <v>115</v>
      </c>
      <c r="C2187" t="inlineStr">
        <is>
          <t>Love - Shibari - Bradesco</t>
        </is>
      </c>
      <c r="D2187" t="n">
        <v>128</v>
      </c>
      <c r="E2187" t="inlineStr">
        <is>
          <t>Love Cabaret</t>
        </is>
      </c>
      <c r="F2187" s="27" t="n">
        <v>45814.5</v>
      </c>
      <c r="G2187" t="inlineStr">
        <is>
          <t>CREDITO</t>
        </is>
      </c>
      <c r="H2187" t="inlineStr">
        <is>
          <t>TED-TRANSF ELET DISPON REMET.SYMPLA INTERNET SOLU</t>
        </is>
      </c>
      <c r="I2187" t="n">
        <v>271.26</v>
      </c>
    </row>
    <row r="2188">
      <c r="A2188" t="n">
        <v>107577</v>
      </c>
      <c r="B2188" t="n">
        <v>115</v>
      </c>
      <c r="C2188" t="inlineStr">
        <is>
          <t>Love - Shibari - Bradesco</t>
        </is>
      </c>
      <c r="D2188" t="n">
        <v>128</v>
      </c>
      <c r="E2188" t="inlineStr">
        <is>
          <t>Love Cabaret</t>
        </is>
      </c>
      <c r="F2188" s="27" t="n">
        <v>45814.5</v>
      </c>
      <c r="G2188" t="inlineStr">
        <is>
          <t>DEBITO</t>
        </is>
      </c>
      <c r="H2188" t="inlineStr">
        <is>
          <t>PAGTO ELETRON  COBRANCA 576153385</t>
        </is>
      </c>
      <c r="I2188" t="n">
        <v>-19855</v>
      </c>
    </row>
    <row r="2189">
      <c r="A2189" t="n">
        <v>107573</v>
      </c>
      <c r="B2189" t="n">
        <v>115</v>
      </c>
      <c r="C2189" t="inlineStr">
        <is>
          <t>Love - Shibari - Bradesco</t>
        </is>
      </c>
      <c r="D2189" t="n">
        <v>128</v>
      </c>
      <c r="E2189" t="inlineStr">
        <is>
          <t>Love Cabaret</t>
        </is>
      </c>
      <c r="F2189" s="27" t="n">
        <v>45814.5</v>
      </c>
      <c r="G2189" t="inlineStr">
        <is>
          <t>CREDITO</t>
        </is>
      </c>
      <c r="H2189" t="inlineStr">
        <is>
          <t>TED-TRANSF ELET DISPON REMET.SYMPLA INTERNET SOLU</t>
        </is>
      </c>
      <c r="I2189" t="n">
        <v>95.04000000000001</v>
      </c>
    </row>
    <row r="2190">
      <c r="A2190" t="n">
        <v>107572</v>
      </c>
      <c r="B2190" t="n">
        <v>115</v>
      </c>
      <c r="C2190" t="inlineStr">
        <is>
          <t>Love - Shibari - Bradesco</t>
        </is>
      </c>
      <c r="D2190" t="n">
        <v>128</v>
      </c>
      <c r="E2190" t="inlineStr">
        <is>
          <t>Love Cabaret</t>
        </is>
      </c>
      <c r="F2190" s="27" t="n">
        <v>45814.5</v>
      </c>
      <c r="G2190" t="inlineStr">
        <is>
          <t>CREDITO</t>
        </is>
      </c>
      <c r="H2190" t="inlineStr">
        <is>
          <t>TED-TRANSF ELET DISPON REMET.SYMPLA INTERNET SOLU</t>
        </is>
      </c>
      <c r="I2190" t="n">
        <v>204.48</v>
      </c>
    </row>
    <row r="2191">
      <c r="A2191" t="n">
        <v>107571</v>
      </c>
      <c r="B2191" t="n">
        <v>115</v>
      </c>
      <c r="C2191" t="inlineStr">
        <is>
          <t>Love - Shibari - Bradesco</t>
        </is>
      </c>
      <c r="D2191" t="n">
        <v>128</v>
      </c>
      <c r="E2191" t="inlineStr">
        <is>
          <t>Love Cabaret</t>
        </is>
      </c>
      <c r="F2191" s="27" t="n">
        <v>45814.5</v>
      </c>
      <c r="G2191" t="inlineStr">
        <is>
          <t>CREDITO</t>
        </is>
      </c>
      <c r="H2191" t="inlineStr">
        <is>
          <t>TED-TRANSF ELET DISPON REMET.SYMPLA INTERNET SOLU</t>
        </is>
      </c>
      <c r="I2191" t="n">
        <v>295.92</v>
      </c>
    </row>
    <row r="2192">
      <c r="A2192" t="n">
        <v>107570</v>
      </c>
      <c r="B2192" t="n">
        <v>115</v>
      </c>
      <c r="C2192" t="inlineStr">
        <is>
          <t>Love - Shibari - Bradesco</t>
        </is>
      </c>
      <c r="D2192" t="n">
        <v>128</v>
      </c>
      <c r="E2192" t="inlineStr">
        <is>
          <t>Love Cabaret</t>
        </is>
      </c>
      <c r="F2192" s="27" t="n">
        <v>45814.5</v>
      </c>
      <c r="G2192" t="inlineStr">
        <is>
          <t>CREDITO</t>
        </is>
      </c>
      <c r="H2192" t="inlineStr">
        <is>
          <t>TED-TRANSF ELET DISPON REMET.SYMPLA INTERNET SOLU</t>
        </is>
      </c>
      <c r="I2192" t="n">
        <v>427.8</v>
      </c>
    </row>
    <row r="2193">
      <c r="A2193" t="n">
        <v>107557</v>
      </c>
      <c r="B2193" t="n">
        <v>115</v>
      </c>
      <c r="C2193" t="inlineStr">
        <is>
          <t>Love - Shibari - Bradesco</t>
        </is>
      </c>
      <c r="D2193" t="n">
        <v>128</v>
      </c>
      <c r="E2193" t="inlineStr">
        <is>
          <t>Love Cabaret</t>
        </is>
      </c>
      <c r="F2193" s="27" t="n">
        <v>45814.5</v>
      </c>
      <c r="G2193" t="inlineStr">
        <is>
          <t>CREDITO</t>
        </is>
      </c>
      <c r="H2193" t="inlineStr">
        <is>
          <t>TED-TRANSF ELET DISPON REMET.DIVERTI TICKETS COME</t>
        </is>
      </c>
      <c r="I2193" t="n">
        <v>382.67</v>
      </c>
    </row>
    <row r="2194">
      <c r="A2194" t="n">
        <v>107558</v>
      </c>
      <c r="B2194" t="n">
        <v>115</v>
      </c>
      <c r="C2194" t="inlineStr">
        <is>
          <t>Love - Shibari - Bradesco</t>
        </is>
      </c>
      <c r="D2194" t="n">
        <v>128</v>
      </c>
      <c r="E2194" t="inlineStr">
        <is>
          <t>Love Cabaret</t>
        </is>
      </c>
      <c r="F2194" s="27" t="n">
        <v>45814.5</v>
      </c>
      <c r="G2194" t="inlineStr">
        <is>
          <t>CREDITO</t>
        </is>
      </c>
      <c r="H2194" t="inlineStr">
        <is>
          <t>TED-TRANSF ELET DISPON REMET.SYMPLA INTERNET SOLU</t>
        </is>
      </c>
      <c r="I2194" t="n">
        <v>489.96</v>
      </c>
    </row>
    <row r="2195">
      <c r="A2195" t="n">
        <v>107559</v>
      </c>
      <c r="B2195" t="n">
        <v>115</v>
      </c>
      <c r="C2195" t="inlineStr">
        <is>
          <t>Love - Shibari - Bradesco</t>
        </is>
      </c>
      <c r="D2195" t="n">
        <v>128</v>
      </c>
      <c r="E2195" t="inlineStr">
        <is>
          <t>Love Cabaret</t>
        </is>
      </c>
      <c r="F2195" s="27" t="n">
        <v>45814.5</v>
      </c>
      <c r="G2195" t="inlineStr">
        <is>
          <t>CREDITO</t>
        </is>
      </c>
      <c r="H2195" t="inlineStr">
        <is>
          <t>TED-TRANSF ELET DISPON REMET.SYMPLA INTERNET SOLU</t>
        </is>
      </c>
      <c r="I2195" t="n">
        <v>217.62</v>
      </c>
    </row>
    <row r="2196">
      <c r="A2196" t="n">
        <v>107578</v>
      </c>
      <c r="B2196" t="n">
        <v>115</v>
      </c>
      <c r="C2196" t="inlineStr">
        <is>
          <t>Love - Shibari - Bradesco</t>
        </is>
      </c>
      <c r="D2196" t="n">
        <v>128</v>
      </c>
      <c r="E2196" t="inlineStr">
        <is>
          <t>Love Cabaret</t>
        </is>
      </c>
      <c r="F2196" s="27" t="n">
        <v>45814.5</v>
      </c>
      <c r="G2196" t="inlineStr">
        <is>
          <t>DEBITO</t>
        </is>
      </c>
      <c r="H2196" t="inlineStr">
        <is>
          <t>TARIFA BANCARIA TRANSF PGTO PIX</t>
        </is>
      </c>
      <c r="I2196" t="n">
        <v>-9.800000000000001</v>
      </c>
    </row>
    <row r="2197">
      <c r="A2197" t="n">
        <v>107561</v>
      </c>
      <c r="B2197" t="n">
        <v>115</v>
      </c>
      <c r="C2197" t="inlineStr">
        <is>
          <t>Love - Shibari - Bradesco</t>
        </is>
      </c>
      <c r="D2197" t="n">
        <v>128</v>
      </c>
      <c r="E2197" t="inlineStr">
        <is>
          <t>Love Cabaret</t>
        </is>
      </c>
      <c r="F2197" s="27" t="n">
        <v>45814.5</v>
      </c>
      <c r="G2197" t="inlineStr">
        <is>
          <t>CREDITO</t>
        </is>
      </c>
      <c r="H2197" t="inlineStr">
        <is>
          <t>TED-TRANSF ELET DISPON REMET.SYMPLA INTERNET SOLU</t>
        </is>
      </c>
      <c r="I2197" t="n">
        <v>48.42</v>
      </c>
    </row>
    <row r="2198">
      <c r="A2198" t="n">
        <v>107562</v>
      </c>
      <c r="B2198" t="n">
        <v>115</v>
      </c>
      <c r="C2198" t="inlineStr">
        <is>
          <t>Love - Shibari - Bradesco</t>
        </is>
      </c>
      <c r="D2198" t="n">
        <v>128</v>
      </c>
      <c r="E2198" t="inlineStr">
        <is>
          <t>Love Cabaret</t>
        </is>
      </c>
      <c r="F2198" s="27" t="n">
        <v>45814.5</v>
      </c>
      <c r="G2198" t="inlineStr">
        <is>
          <t>CREDITO</t>
        </is>
      </c>
      <c r="H2198" t="inlineStr">
        <is>
          <t>TED-TRANSF ELET DISPON REMET.SYMPLA INTERNET SOLU</t>
        </is>
      </c>
      <c r="I2198" t="n">
        <v>57.42</v>
      </c>
    </row>
    <row r="2199">
      <c r="A2199" t="n">
        <v>107563</v>
      </c>
      <c r="B2199" t="n">
        <v>115</v>
      </c>
      <c r="C2199" t="inlineStr">
        <is>
          <t>Love - Shibari - Bradesco</t>
        </is>
      </c>
      <c r="D2199" t="n">
        <v>128</v>
      </c>
      <c r="E2199" t="inlineStr">
        <is>
          <t>Love Cabaret</t>
        </is>
      </c>
      <c r="F2199" s="27" t="n">
        <v>45814.5</v>
      </c>
      <c r="G2199" t="inlineStr">
        <is>
          <t>CREDITO</t>
        </is>
      </c>
      <c r="H2199" t="inlineStr">
        <is>
          <t>TED-TRANSF ELET DISPON REMET.SYMPLA INTERNET SOLU</t>
        </is>
      </c>
      <c r="I2199" t="n">
        <v>51.48</v>
      </c>
    </row>
    <row r="2200">
      <c r="A2200" t="n">
        <v>107564</v>
      </c>
      <c r="B2200" t="n">
        <v>115</v>
      </c>
      <c r="C2200" t="inlineStr">
        <is>
          <t>Love - Shibari - Bradesco</t>
        </is>
      </c>
      <c r="D2200" t="n">
        <v>128</v>
      </c>
      <c r="E2200" t="inlineStr">
        <is>
          <t>Love Cabaret</t>
        </is>
      </c>
      <c r="F2200" s="27" t="n">
        <v>45814.5</v>
      </c>
      <c r="G2200" t="inlineStr">
        <is>
          <t>CREDITO</t>
        </is>
      </c>
      <c r="H2200" t="inlineStr">
        <is>
          <t>TED-TRANSF ELET DISPON REMET.SYMPLA INTERNET SOLU</t>
        </is>
      </c>
      <c r="I2200" t="n">
        <v>341.64</v>
      </c>
    </row>
    <row r="2201">
      <c r="A2201" t="n">
        <v>107565</v>
      </c>
      <c r="B2201" t="n">
        <v>115</v>
      </c>
      <c r="C2201" t="inlineStr">
        <is>
          <t>Love - Shibari - Bradesco</t>
        </is>
      </c>
      <c r="D2201" t="n">
        <v>128</v>
      </c>
      <c r="E2201" t="inlineStr">
        <is>
          <t>Love Cabaret</t>
        </is>
      </c>
      <c r="F2201" s="27" t="n">
        <v>45814.5</v>
      </c>
      <c r="G2201" t="inlineStr">
        <is>
          <t>CREDITO</t>
        </is>
      </c>
      <c r="H2201" t="inlineStr">
        <is>
          <t>TED-TRANSF ELET DISPON REMET.SYMPLA INTERNET SOLU</t>
        </is>
      </c>
      <c r="I2201" t="n">
        <v>257.04</v>
      </c>
    </row>
    <row r="2202">
      <c r="A2202" t="n">
        <v>107566</v>
      </c>
      <c r="B2202" t="n">
        <v>115</v>
      </c>
      <c r="C2202" t="inlineStr">
        <is>
          <t>Love - Shibari - Bradesco</t>
        </is>
      </c>
      <c r="D2202" t="n">
        <v>128</v>
      </c>
      <c r="E2202" t="inlineStr">
        <is>
          <t>Love Cabaret</t>
        </is>
      </c>
      <c r="F2202" s="27" t="n">
        <v>45814.5</v>
      </c>
      <c r="G2202" t="inlineStr">
        <is>
          <t>CREDITO</t>
        </is>
      </c>
      <c r="H2202" t="inlineStr">
        <is>
          <t>TED-TRANSF ELET DISPON REMET.SYMPLA INTERNET SOLU</t>
        </is>
      </c>
      <c r="I2202" t="n">
        <v>431.82</v>
      </c>
    </row>
    <row r="2203">
      <c r="A2203" t="n">
        <v>107567</v>
      </c>
      <c r="B2203" t="n">
        <v>115</v>
      </c>
      <c r="C2203" t="inlineStr">
        <is>
          <t>Love - Shibari - Bradesco</t>
        </is>
      </c>
      <c r="D2203" t="n">
        <v>128</v>
      </c>
      <c r="E2203" t="inlineStr">
        <is>
          <t>Love Cabaret</t>
        </is>
      </c>
      <c r="F2203" s="27" t="n">
        <v>45814.5</v>
      </c>
      <c r="G2203" t="inlineStr">
        <is>
          <t>CREDITO</t>
        </is>
      </c>
      <c r="H2203" t="inlineStr">
        <is>
          <t>TED-TRANSF ELET DISPON REMET.SYMPLA INTERNET SOLU</t>
        </is>
      </c>
      <c r="I2203" t="n">
        <v>212.94</v>
      </c>
    </row>
    <row r="2204">
      <c r="A2204" t="n">
        <v>107569</v>
      </c>
      <c r="B2204" t="n">
        <v>115</v>
      </c>
      <c r="C2204" t="inlineStr">
        <is>
          <t>Love - Shibari - Bradesco</t>
        </is>
      </c>
      <c r="D2204" t="n">
        <v>128</v>
      </c>
      <c r="E2204" t="inlineStr">
        <is>
          <t>Love Cabaret</t>
        </is>
      </c>
      <c r="F2204" s="27" t="n">
        <v>45814.5</v>
      </c>
      <c r="G2204" t="inlineStr">
        <is>
          <t>CREDITO</t>
        </is>
      </c>
      <c r="H2204" t="inlineStr">
        <is>
          <t>TED-TRANSF ELET DISPON REMET.SYMPLA INTERNET SOLU</t>
        </is>
      </c>
      <c r="I2204" t="n">
        <v>262.44</v>
      </c>
    </row>
    <row r="2205">
      <c r="A2205" t="n">
        <v>107554</v>
      </c>
      <c r="B2205" t="n">
        <v>115</v>
      </c>
      <c r="C2205" t="inlineStr">
        <is>
          <t>Love - Shibari - Bradesco</t>
        </is>
      </c>
      <c r="D2205" t="n">
        <v>128</v>
      </c>
      <c r="E2205" t="inlineStr">
        <is>
          <t>Love Cabaret</t>
        </is>
      </c>
      <c r="F2205" s="27" t="n">
        <v>45813.5</v>
      </c>
      <c r="G2205" t="inlineStr">
        <is>
          <t>DEBITO</t>
        </is>
      </c>
      <c r="H2205" t="inlineStr">
        <is>
          <t>PAGTO ELETRON  COBRANCA VERISURE BRASIL MONITORAMENTO DE</t>
        </is>
      </c>
      <c r="I2205" t="n">
        <v>-263.78</v>
      </c>
    </row>
    <row r="2206">
      <c r="A2206" t="n">
        <v>107555</v>
      </c>
      <c r="B2206" t="n">
        <v>115</v>
      </c>
      <c r="C2206" t="inlineStr">
        <is>
          <t>Love - Shibari - Bradesco</t>
        </is>
      </c>
      <c r="D2206" t="n">
        <v>128</v>
      </c>
      <c r="E2206" t="inlineStr">
        <is>
          <t>Love Cabaret</t>
        </is>
      </c>
      <c r="F2206" s="27" t="n">
        <v>45813.5</v>
      </c>
      <c r="G2206" t="inlineStr">
        <is>
          <t>DEBITO</t>
        </is>
      </c>
      <c r="H2206" t="inlineStr">
        <is>
          <t>TARIFA BANCARIA TRANSF PGTO PIX</t>
        </is>
      </c>
      <c r="I2206" t="n">
        <v>-4.87</v>
      </c>
    </row>
    <row r="2207">
      <c r="A2207" t="n">
        <v>107556</v>
      </c>
      <c r="B2207" t="n">
        <v>115</v>
      </c>
      <c r="C2207" t="inlineStr">
        <is>
          <t>Love - Shibari - Bradesco</t>
        </is>
      </c>
      <c r="D2207" t="n">
        <v>128</v>
      </c>
      <c r="E2207" t="inlineStr">
        <is>
          <t>Love Cabaret</t>
        </is>
      </c>
      <c r="F2207" s="27" t="n">
        <v>45813.5</v>
      </c>
      <c r="G2207" t="inlineStr">
        <is>
          <t>DEBITO</t>
        </is>
      </c>
      <c r="H2207" t="inlineStr">
        <is>
          <t>TARIFA BANCARIA TRANSF PGTO PIX</t>
        </is>
      </c>
      <c r="I2207" t="n">
        <v>-9.800000000000001</v>
      </c>
    </row>
    <row r="2208">
      <c r="A2208" t="n">
        <v>102477</v>
      </c>
      <c r="B2208" t="n">
        <v>115</v>
      </c>
      <c r="C2208" t="inlineStr">
        <is>
          <t>Love - Shibari - Bradesco</t>
        </is>
      </c>
      <c r="D2208" t="n">
        <v>128</v>
      </c>
      <c r="E2208" t="inlineStr">
        <is>
          <t>Love Cabaret</t>
        </is>
      </c>
      <c r="F2208" s="27" t="n">
        <v>45812.5</v>
      </c>
      <c r="G2208" t="inlineStr">
        <is>
          <t>DEBITO</t>
        </is>
      </c>
      <c r="H2208" t="inlineStr">
        <is>
          <t>PGTO SALARIO VIA NET EMP</t>
        </is>
      </c>
      <c r="I2208" t="n">
        <v>-4262.1</v>
      </c>
    </row>
    <row r="2209">
      <c r="A2209" t="n">
        <v>102478</v>
      </c>
      <c r="B2209" t="n">
        <v>115</v>
      </c>
      <c r="C2209" t="inlineStr">
        <is>
          <t>Love - Shibari - Bradesco</t>
        </is>
      </c>
      <c r="D2209" t="n">
        <v>128</v>
      </c>
      <c r="E2209" t="inlineStr">
        <is>
          <t>Love Cabaret</t>
        </is>
      </c>
      <c r="F2209" s="27" t="n">
        <v>45812.5</v>
      </c>
      <c r="G2209" t="inlineStr">
        <is>
          <t>DEBITO</t>
        </is>
      </c>
      <c r="H2209" t="inlineStr">
        <is>
          <t>TRANSFERENCIA PIX DES: SHIBARI ART E DIVERSA 04/06</t>
        </is>
      </c>
      <c r="I2209" t="n">
        <v>-46000</v>
      </c>
    </row>
    <row r="2210">
      <c r="A2210" t="n">
        <v>102476</v>
      </c>
      <c r="B2210" t="n">
        <v>115</v>
      </c>
      <c r="C2210" t="inlineStr">
        <is>
          <t>Love - Shibari - Bradesco</t>
        </is>
      </c>
      <c r="D2210" t="n">
        <v>128</v>
      </c>
      <c r="E2210" t="inlineStr">
        <is>
          <t>Love Cabaret</t>
        </is>
      </c>
      <c r="F2210" s="27" t="n">
        <v>45812.5</v>
      </c>
      <c r="G2210" t="inlineStr">
        <is>
          <t>DEBITO</t>
        </is>
      </c>
      <c r="H2210" t="inlineStr">
        <is>
          <t>TARIFA BANCARIA TRANSF PGTO PIX</t>
        </is>
      </c>
      <c r="I2210" t="n">
        <v>-9.800000000000001</v>
      </c>
    </row>
    <row r="2211">
      <c r="A2211" t="n">
        <v>102474</v>
      </c>
      <c r="B2211" t="n">
        <v>115</v>
      </c>
      <c r="C2211" t="inlineStr">
        <is>
          <t>Love - Shibari - Bradesco</t>
        </is>
      </c>
      <c r="D2211" t="n">
        <v>128</v>
      </c>
      <c r="E2211" t="inlineStr">
        <is>
          <t>Love Cabaret</t>
        </is>
      </c>
      <c r="F2211" s="27" t="n">
        <v>45812.5</v>
      </c>
      <c r="G2211" t="inlineStr">
        <is>
          <t>CREDITO</t>
        </is>
      </c>
      <c r="H2211" t="inlineStr">
        <is>
          <t>TRANSFERENCIA PIX REM: Julia Montezuma de Ar 04/06</t>
        </is>
      </c>
      <c r="I2211" t="n">
        <v>520</v>
      </c>
    </row>
    <row r="2212">
      <c r="A2212" t="n">
        <v>102470</v>
      </c>
      <c r="B2212" t="n">
        <v>115</v>
      </c>
      <c r="C2212" t="inlineStr">
        <is>
          <t>Love - Shibari - Bradesco</t>
        </is>
      </c>
      <c r="D2212" t="n">
        <v>128</v>
      </c>
      <c r="E2212" t="inlineStr">
        <is>
          <t>Love Cabaret</t>
        </is>
      </c>
      <c r="F2212" s="27" t="n">
        <v>45812.5</v>
      </c>
      <c r="G2212" t="inlineStr">
        <is>
          <t>CREDITO</t>
        </is>
      </c>
      <c r="H2212" t="inlineStr">
        <is>
          <t>TED-TRANSF ELET DISPON REMET.SYMPLA INTERNET SOLU</t>
        </is>
      </c>
      <c r="I2212" t="n">
        <v>11335</v>
      </c>
    </row>
    <row r="2213">
      <c r="A2213" t="n">
        <v>102471</v>
      </c>
      <c r="B2213" t="n">
        <v>115</v>
      </c>
      <c r="C2213" t="inlineStr">
        <is>
          <t>Love - Shibari - Bradesco</t>
        </is>
      </c>
      <c r="D2213" t="n">
        <v>128</v>
      </c>
      <c r="E2213" t="inlineStr">
        <is>
          <t>Love Cabaret</t>
        </is>
      </c>
      <c r="F2213" s="27" t="n">
        <v>45812.5</v>
      </c>
      <c r="G2213" t="inlineStr">
        <is>
          <t>CREDITO</t>
        </is>
      </c>
      <c r="H2213" t="inlineStr">
        <is>
          <t>TED-TRANSF ELET DISPON REMET.SYMPLA INTERNET SOLU</t>
        </is>
      </c>
      <c r="I2213" t="n">
        <v>7290</v>
      </c>
    </row>
    <row r="2214">
      <c r="A2214" t="n">
        <v>102472</v>
      </c>
      <c r="B2214" t="n">
        <v>115</v>
      </c>
      <c r="C2214" t="inlineStr">
        <is>
          <t>Love - Shibari - Bradesco</t>
        </is>
      </c>
      <c r="D2214" t="n">
        <v>128</v>
      </c>
      <c r="E2214" t="inlineStr">
        <is>
          <t>Love Cabaret</t>
        </is>
      </c>
      <c r="F2214" s="27" t="n">
        <v>45812.5</v>
      </c>
      <c r="G2214" t="inlineStr">
        <is>
          <t>CREDITO</t>
        </is>
      </c>
      <c r="H2214" t="inlineStr">
        <is>
          <t>DEP DINHEIRO ATM AG00117MAQ061059SEQ07263</t>
        </is>
      </c>
      <c r="I2214" t="n">
        <v>1915</v>
      </c>
    </row>
    <row r="2215">
      <c r="A2215" t="n">
        <v>102473</v>
      </c>
      <c r="B2215" t="n">
        <v>115</v>
      </c>
      <c r="C2215" t="inlineStr">
        <is>
          <t>Love - Shibari - Bradesco</t>
        </is>
      </c>
      <c r="D2215" t="n">
        <v>128</v>
      </c>
      <c r="E2215" t="inlineStr">
        <is>
          <t>Love Cabaret</t>
        </is>
      </c>
      <c r="F2215" s="27" t="n">
        <v>45812.5</v>
      </c>
      <c r="G2215" t="inlineStr">
        <is>
          <t>CREDITO</t>
        </is>
      </c>
      <c r="H2215" t="inlineStr">
        <is>
          <t>TRANSFERENCIA PIX REM: JULIA PINTO FERREIRA  04/06</t>
        </is>
      </c>
      <c r="I2215" t="n">
        <v>770</v>
      </c>
    </row>
    <row r="2216">
      <c r="A2216" t="n">
        <v>107611</v>
      </c>
      <c r="B2216" t="n">
        <v>182</v>
      </c>
      <c r="C2216" t="inlineStr">
        <is>
          <t>Love - Shibari - Kamino</t>
        </is>
      </c>
      <c r="D2216" t="n">
        <v>128</v>
      </c>
      <c r="E2216" t="inlineStr">
        <is>
          <t>Love Cabaret</t>
        </is>
      </c>
      <c r="F2216" s="27" t="n">
        <v>45812</v>
      </c>
      <c r="G2216" t="inlineStr">
        <is>
          <t>DEBITO</t>
        </is>
      </c>
      <c r="H2216" t="inlineStr">
        <is>
          <t>Cia do Whisky</t>
        </is>
      </c>
      <c r="I2216" t="n">
        <v>-338.4</v>
      </c>
    </row>
    <row r="2217">
      <c r="A2217" t="n">
        <v>107622</v>
      </c>
      <c r="B2217" t="n">
        <v>182</v>
      </c>
      <c r="C2217" t="inlineStr">
        <is>
          <t>Love - Shibari - Kamino</t>
        </is>
      </c>
      <c r="D2217" t="n">
        <v>128</v>
      </c>
      <c r="E2217" t="inlineStr">
        <is>
          <t>Love Cabaret</t>
        </is>
      </c>
      <c r="F2217" s="27" t="n">
        <v>45812</v>
      </c>
      <c r="G2217" t="inlineStr">
        <is>
          <t>DEBITO</t>
        </is>
      </c>
      <c r="H2217" t="inlineStr">
        <is>
          <t>Ice4pros Fabrica de Gelo Ltda</t>
        </is>
      </c>
      <c r="I2217" t="n">
        <v>-496</v>
      </c>
    </row>
    <row r="2218">
      <c r="A2218" t="n">
        <v>107621</v>
      </c>
      <c r="B2218" t="n">
        <v>182</v>
      </c>
      <c r="C2218" t="inlineStr">
        <is>
          <t>Love - Shibari - Kamino</t>
        </is>
      </c>
      <c r="D2218" t="n">
        <v>128</v>
      </c>
      <c r="E2218" t="inlineStr">
        <is>
          <t>Love Cabaret</t>
        </is>
      </c>
      <c r="F2218" s="27" t="n">
        <v>45812</v>
      </c>
      <c r="G2218" t="inlineStr">
        <is>
          <t>DEBITO</t>
        </is>
      </c>
      <c r="H2218" t="inlineStr">
        <is>
          <t>Easy Ice Solution Ltda Me</t>
        </is>
      </c>
      <c r="I2218" t="n">
        <v>-1600</v>
      </c>
    </row>
    <row r="2219">
      <c r="A2219" t="n">
        <v>107620</v>
      </c>
      <c r="B2219" t="n">
        <v>182</v>
      </c>
      <c r="C2219" t="inlineStr">
        <is>
          <t>Love - Shibari - Kamino</t>
        </is>
      </c>
      <c r="D2219" t="n">
        <v>128</v>
      </c>
      <c r="E2219" t="inlineStr">
        <is>
          <t>Love Cabaret</t>
        </is>
      </c>
      <c r="F2219" s="27" t="n">
        <v>45812</v>
      </c>
      <c r="G2219" t="inlineStr">
        <is>
          <t>DEBITO</t>
        </is>
      </c>
      <c r="H2219" t="inlineStr">
        <is>
          <t>Estaff Solucoes Tecnologicas de Agenciam</t>
        </is>
      </c>
      <c r="I2219" t="n">
        <v>-13068</v>
      </c>
    </row>
    <row r="2220">
      <c r="A2220" t="n">
        <v>107619</v>
      </c>
      <c r="B2220" t="n">
        <v>182</v>
      </c>
      <c r="C2220" t="inlineStr">
        <is>
          <t>Love - Shibari - Kamino</t>
        </is>
      </c>
      <c r="D2220" t="n">
        <v>128</v>
      </c>
      <c r="E2220" t="inlineStr">
        <is>
          <t>Love Cabaret</t>
        </is>
      </c>
      <c r="F2220" s="27" t="n">
        <v>45812</v>
      </c>
      <c r="G2220" t="inlineStr">
        <is>
          <t>DEBITO</t>
        </is>
      </c>
      <c r="H2220" t="inlineStr">
        <is>
          <t>Hortifrutigranjeiro Rodrigues</t>
        </is>
      </c>
      <c r="I2220" t="n">
        <v>-177.55</v>
      </c>
    </row>
    <row r="2221">
      <c r="A2221" t="n">
        <v>107618</v>
      </c>
      <c r="B2221" t="n">
        <v>182</v>
      </c>
      <c r="C2221" t="inlineStr">
        <is>
          <t>Love - Shibari - Kamino</t>
        </is>
      </c>
      <c r="D2221" t="n">
        <v>128</v>
      </c>
      <c r="E2221" t="inlineStr">
        <is>
          <t>Love Cabaret</t>
        </is>
      </c>
      <c r="F2221" s="27" t="n">
        <v>45812</v>
      </c>
      <c r="G2221" t="inlineStr">
        <is>
          <t>DEBITO</t>
        </is>
      </c>
      <c r="H2221" t="inlineStr">
        <is>
          <t>Cepel Comercio de Papeis e Emb</t>
        </is>
      </c>
      <c r="I2221" t="n">
        <v>-1025.5</v>
      </c>
    </row>
    <row r="2222">
      <c r="A2222" t="n">
        <v>107617</v>
      </c>
      <c r="B2222" t="n">
        <v>182</v>
      </c>
      <c r="C2222" t="inlineStr">
        <is>
          <t>Love - Shibari - Kamino</t>
        </is>
      </c>
      <c r="D2222" t="n">
        <v>128</v>
      </c>
      <c r="E2222" t="inlineStr">
        <is>
          <t>Love Cabaret</t>
        </is>
      </c>
      <c r="F2222" s="27" t="n">
        <v>45812</v>
      </c>
      <c r="G2222" t="inlineStr">
        <is>
          <t>DEBITO</t>
        </is>
      </c>
      <c r="H2222" t="inlineStr">
        <is>
          <t>Ecad</t>
        </is>
      </c>
      <c r="I2222" t="n">
        <v>-802.5</v>
      </c>
    </row>
    <row r="2223">
      <c r="A2223" t="n">
        <v>107616</v>
      </c>
      <c r="B2223" t="n">
        <v>182</v>
      </c>
      <c r="C2223" t="inlineStr">
        <is>
          <t>Love - Shibari - Kamino</t>
        </is>
      </c>
      <c r="D2223" t="n">
        <v>128</v>
      </c>
      <c r="E2223" t="inlineStr">
        <is>
          <t>Love Cabaret</t>
        </is>
      </c>
      <c r="F2223" s="27" t="n">
        <v>45812</v>
      </c>
      <c r="G2223" t="inlineStr">
        <is>
          <t>DEBITO</t>
        </is>
      </c>
      <c r="H2223" t="inlineStr">
        <is>
          <t>Paramu Comercio R P a Ltda</t>
        </is>
      </c>
      <c r="I2223" t="n">
        <v>-467.4</v>
      </c>
    </row>
    <row r="2224">
      <c r="A2224" t="n">
        <v>107615</v>
      </c>
      <c r="B2224" t="n">
        <v>182</v>
      </c>
      <c r="C2224" t="inlineStr">
        <is>
          <t>Love - Shibari - Kamino</t>
        </is>
      </c>
      <c r="D2224" t="n">
        <v>128</v>
      </c>
      <c r="E2224" t="inlineStr">
        <is>
          <t>Love Cabaret</t>
        </is>
      </c>
      <c r="F2224" s="27" t="n">
        <v>45812</v>
      </c>
      <c r="G2224" t="inlineStr">
        <is>
          <t>DEBITO</t>
        </is>
      </c>
      <c r="H2224" t="inlineStr">
        <is>
          <t>Comercial Imp e Exp Metapunto</t>
        </is>
      </c>
      <c r="I2224" t="n">
        <v>-332.9</v>
      </c>
    </row>
    <row r="2225">
      <c r="A2225" t="n">
        <v>107614</v>
      </c>
      <c r="B2225" t="n">
        <v>182</v>
      </c>
      <c r="C2225" t="inlineStr">
        <is>
          <t>Love - Shibari - Kamino</t>
        </is>
      </c>
      <c r="D2225" t="n">
        <v>128</v>
      </c>
      <c r="E2225" t="inlineStr">
        <is>
          <t>Love Cabaret</t>
        </is>
      </c>
      <c r="F2225" s="27" t="n">
        <v>45812</v>
      </c>
      <c r="G2225" t="inlineStr">
        <is>
          <t>DEBITO</t>
        </is>
      </c>
      <c r="H2225" t="inlineStr">
        <is>
          <t>Cecilia Tsuyaco Araki Silva Ltda</t>
        </is>
      </c>
      <c r="I2225" t="n">
        <v>-248.05</v>
      </c>
    </row>
    <row r="2226">
      <c r="A2226" t="n">
        <v>107613</v>
      </c>
      <c r="B2226" t="n">
        <v>182</v>
      </c>
      <c r="C2226" t="inlineStr">
        <is>
          <t>Love - Shibari - Kamino</t>
        </is>
      </c>
      <c r="D2226" t="n">
        <v>128</v>
      </c>
      <c r="E2226" t="inlineStr">
        <is>
          <t>Love Cabaret</t>
        </is>
      </c>
      <c r="F2226" s="27" t="n">
        <v>45812</v>
      </c>
      <c r="G2226" t="inlineStr">
        <is>
          <t>DEBITO</t>
        </is>
      </c>
      <c r="H2226" t="inlineStr">
        <is>
          <t>Andreia Santos Freitas Duarte</t>
        </is>
      </c>
      <c r="I2226" t="n">
        <v>-409.1</v>
      </c>
    </row>
    <row r="2227">
      <c r="A2227" t="n">
        <v>107612</v>
      </c>
      <c r="B2227" t="n">
        <v>182</v>
      </c>
      <c r="C2227" t="inlineStr">
        <is>
          <t>Love - Shibari - Kamino</t>
        </is>
      </c>
      <c r="D2227" t="n">
        <v>128</v>
      </c>
      <c r="E2227" t="inlineStr">
        <is>
          <t>Love Cabaret</t>
        </is>
      </c>
      <c r="F2227" s="27" t="n">
        <v>45812</v>
      </c>
      <c r="G2227" t="inlineStr">
        <is>
          <t>DEBITO</t>
        </is>
      </c>
      <c r="H2227" t="inlineStr">
        <is>
          <t>Versa - Comunicacao e Estrategia Digital</t>
        </is>
      </c>
      <c r="I2227" t="n">
        <v>-7000</v>
      </c>
    </row>
    <row r="2228">
      <c r="A2228" t="n">
        <v>107605</v>
      </c>
      <c r="B2228" t="n">
        <v>182</v>
      </c>
      <c r="C2228" t="inlineStr">
        <is>
          <t>Love - Shibari - Kamino</t>
        </is>
      </c>
      <c r="D2228" t="n">
        <v>128</v>
      </c>
      <c r="E2228" t="inlineStr">
        <is>
          <t>Love Cabaret</t>
        </is>
      </c>
      <c r="F2228" s="27" t="n">
        <v>45812</v>
      </c>
      <c r="G2228" t="inlineStr">
        <is>
          <t>DEBITO</t>
        </is>
      </c>
      <c r="H2228" t="inlineStr">
        <is>
          <t>Cia do Whisky</t>
        </is>
      </c>
      <c r="I2228" t="n">
        <v>-2623.9</v>
      </c>
    </row>
    <row r="2229">
      <c r="A2229" t="n">
        <v>107610</v>
      </c>
      <c r="B2229" t="n">
        <v>182</v>
      </c>
      <c r="C2229" t="inlineStr">
        <is>
          <t>Love - Shibari - Kamino</t>
        </is>
      </c>
      <c r="D2229" t="n">
        <v>128</v>
      </c>
      <c r="E2229" t="inlineStr">
        <is>
          <t>Love Cabaret</t>
        </is>
      </c>
      <c r="F2229" s="27" t="n">
        <v>45812</v>
      </c>
      <c r="G2229" t="inlineStr">
        <is>
          <t>DEBITO</t>
        </is>
      </c>
      <c r="H2229" t="inlineStr">
        <is>
          <t>Cia do Whisky</t>
        </is>
      </c>
      <c r="I2229" t="n">
        <v>-574.5</v>
      </c>
    </row>
    <row r="2230">
      <c r="A2230" t="n">
        <v>107609</v>
      </c>
      <c r="B2230" t="n">
        <v>182</v>
      </c>
      <c r="C2230" t="inlineStr">
        <is>
          <t>Love - Shibari - Kamino</t>
        </is>
      </c>
      <c r="D2230" t="n">
        <v>128</v>
      </c>
      <c r="E2230" t="inlineStr">
        <is>
          <t>Love Cabaret</t>
        </is>
      </c>
      <c r="F2230" s="27" t="n">
        <v>45812</v>
      </c>
      <c r="G2230" t="inlineStr">
        <is>
          <t>DEBITO</t>
        </is>
      </c>
      <c r="H2230" t="inlineStr">
        <is>
          <t>Arena Bebidas</t>
        </is>
      </c>
      <c r="I2230" t="n">
        <v>-3747</v>
      </c>
    </row>
    <row r="2231">
      <c r="A2231" t="n">
        <v>107608</v>
      </c>
      <c r="B2231" t="n">
        <v>182</v>
      </c>
      <c r="C2231" t="inlineStr">
        <is>
          <t>Love - Shibari - Kamino</t>
        </is>
      </c>
      <c r="D2231" t="n">
        <v>128</v>
      </c>
      <c r="E2231" t="inlineStr">
        <is>
          <t>Love Cabaret</t>
        </is>
      </c>
      <c r="F2231" s="27" t="n">
        <v>45812</v>
      </c>
      <c r="G2231" t="inlineStr">
        <is>
          <t>DEBITO</t>
        </is>
      </c>
      <c r="H2231" t="inlineStr">
        <is>
          <t>Edimar Moura Tartaglioni</t>
        </is>
      </c>
      <c r="I2231" t="n">
        <v>-630</v>
      </c>
    </row>
    <row r="2232">
      <c r="A2232" t="n">
        <v>107607</v>
      </c>
      <c r="B2232" t="n">
        <v>182</v>
      </c>
      <c r="C2232" t="inlineStr">
        <is>
          <t>Love - Shibari - Kamino</t>
        </is>
      </c>
      <c r="D2232" t="n">
        <v>128</v>
      </c>
      <c r="E2232" t="inlineStr">
        <is>
          <t>Love Cabaret</t>
        </is>
      </c>
      <c r="F2232" s="27" t="n">
        <v>45812</v>
      </c>
      <c r="G2232" t="inlineStr">
        <is>
          <t>DEBITO</t>
        </is>
      </c>
      <c r="H2232" t="inlineStr">
        <is>
          <t>Machine Seguranca Patrimonial Ltda</t>
        </is>
      </c>
      <c r="I2232" t="n">
        <v>-8170</v>
      </c>
    </row>
    <row r="2233">
      <c r="A2233" t="n">
        <v>107606</v>
      </c>
      <c r="B2233" t="n">
        <v>182</v>
      </c>
      <c r="C2233" t="inlineStr">
        <is>
          <t>Love - Shibari - Kamino</t>
        </is>
      </c>
      <c r="D2233" t="n">
        <v>128</v>
      </c>
      <c r="E2233" t="inlineStr">
        <is>
          <t>Love Cabaret</t>
        </is>
      </c>
      <c r="F2233" s="27" t="n">
        <v>45812</v>
      </c>
      <c r="G2233" t="inlineStr">
        <is>
          <t>DEBITO</t>
        </is>
      </c>
      <c r="H2233" t="inlineStr">
        <is>
          <t>Arte do Click Producoes</t>
        </is>
      </c>
      <c r="I2233" t="n">
        <v>-1400</v>
      </c>
    </row>
    <row r="2234">
      <c r="A2234" t="n">
        <v>107623</v>
      </c>
      <c r="B2234" t="n">
        <v>182</v>
      </c>
      <c r="C2234" t="inlineStr">
        <is>
          <t>Love - Shibari - Kamino</t>
        </is>
      </c>
      <c r="D2234" t="n">
        <v>128</v>
      </c>
      <c r="E2234" t="inlineStr">
        <is>
          <t>Love Cabaret</t>
        </is>
      </c>
      <c r="F2234" s="27" t="n">
        <v>45812</v>
      </c>
      <c r="G2234" t="inlineStr">
        <is>
          <t>DEBITO</t>
        </is>
      </c>
      <c r="H2234" t="inlineStr">
        <is>
          <t>KAMINO INSTITUICAO DE PAGAMENTO LTDA</t>
        </is>
      </c>
      <c r="I2234" t="n">
        <v>-1142.54</v>
      </c>
    </row>
    <row r="2235">
      <c r="A2235" t="n">
        <v>107604</v>
      </c>
      <c r="B2235" t="n">
        <v>182</v>
      </c>
      <c r="C2235" t="inlineStr">
        <is>
          <t>Love - Shibari - Kamino</t>
        </is>
      </c>
      <c r="D2235" t="n">
        <v>128</v>
      </c>
      <c r="E2235" t="inlineStr">
        <is>
          <t>Love Cabaret</t>
        </is>
      </c>
      <c r="F2235" s="27" t="n">
        <v>45812</v>
      </c>
      <c r="G2235" t="inlineStr">
        <is>
          <t>CREDITO</t>
        </is>
      </c>
      <c r="H2235" t="inlineStr">
        <is>
          <t>SHIBARI ART E DIVERSAO LTDA</t>
        </is>
      </c>
      <c r="I2235" t="n">
        <v>46000</v>
      </c>
    </row>
    <row r="2236">
      <c r="A2236" t="n">
        <v>102466</v>
      </c>
      <c r="B2236" t="n">
        <v>115</v>
      </c>
      <c r="C2236" t="inlineStr">
        <is>
          <t>Love - Shibari - Bradesco</t>
        </is>
      </c>
      <c r="D2236" t="n">
        <v>128</v>
      </c>
      <c r="E2236" t="inlineStr">
        <is>
          <t>Love Cabaret</t>
        </is>
      </c>
      <c r="F2236" s="27" t="n">
        <v>45811.5</v>
      </c>
      <c r="G2236" t="inlineStr">
        <is>
          <t>CREDITO</t>
        </is>
      </c>
      <c r="H2236" t="inlineStr">
        <is>
          <t>TED-TRANSF ELET DISPON REMET.SYMPLA INTERNET SOLU</t>
        </is>
      </c>
      <c r="I2236" t="n">
        <v>2640</v>
      </c>
    </row>
    <row r="2237">
      <c r="A2237" t="n">
        <v>102467</v>
      </c>
      <c r="B2237" t="n">
        <v>115</v>
      </c>
      <c r="C2237" t="inlineStr">
        <is>
          <t>Love - Shibari - Bradesco</t>
        </is>
      </c>
      <c r="D2237" t="n">
        <v>128</v>
      </c>
      <c r="E2237" t="inlineStr">
        <is>
          <t>Love Cabaret</t>
        </is>
      </c>
      <c r="F2237" s="27" t="n">
        <v>45811.5</v>
      </c>
      <c r="G2237" t="inlineStr">
        <is>
          <t>CREDITO</t>
        </is>
      </c>
      <c r="H2237" t="inlineStr">
        <is>
          <t>TRANSFERENCIA PIX REM: SHIBARI ART E DIVERSA 03/06</t>
        </is>
      </c>
      <c r="I2237" t="n">
        <v>13249.68</v>
      </c>
    </row>
    <row r="2238">
      <c r="A2238" t="n">
        <v>102468</v>
      </c>
      <c r="B2238" t="n">
        <v>115</v>
      </c>
      <c r="C2238" t="inlineStr">
        <is>
          <t>Love - Shibari - Bradesco</t>
        </is>
      </c>
      <c r="D2238" t="n">
        <v>128</v>
      </c>
      <c r="E2238" t="inlineStr">
        <is>
          <t>Love Cabaret</t>
        </is>
      </c>
      <c r="F2238" s="27" t="n">
        <v>45811.5</v>
      </c>
      <c r="G2238" t="inlineStr">
        <is>
          <t>DEBITO</t>
        </is>
      </c>
      <c r="H2238" t="inlineStr">
        <is>
          <t>TRANSFERENCIA PIX DES: ESPACIAL              03/06</t>
        </is>
      </c>
      <c r="I2238" t="n">
        <v>-336.39</v>
      </c>
    </row>
    <row r="2239">
      <c r="A2239" t="n">
        <v>102469</v>
      </c>
      <c r="B2239" t="n">
        <v>115</v>
      </c>
      <c r="C2239" t="inlineStr">
        <is>
          <t>Love - Shibari - Bradesco</t>
        </is>
      </c>
      <c r="D2239" t="n">
        <v>128</v>
      </c>
      <c r="E2239" t="inlineStr">
        <is>
          <t>Love Cabaret</t>
        </is>
      </c>
      <c r="F2239" s="27" t="n">
        <v>45811.5</v>
      </c>
      <c r="G2239" t="inlineStr">
        <is>
          <t>DEBITO</t>
        </is>
      </c>
      <c r="H2239" t="inlineStr">
        <is>
          <t>TRANSFERENCIA PIX DES: 17833440 TIAGO FRANCO 03/06</t>
        </is>
      </c>
      <c r="I2239" t="n">
        <v>-711</v>
      </c>
    </row>
    <row r="2240">
      <c r="A2240" t="n">
        <v>102465</v>
      </c>
      <c r="B2240" t="n">
        <v>115</v>
      </c>
      <c r="C2240" t="inlineStr">
        <is>
          <t>Love - Shibari - Bradesco</t>
        </is>
      </c>
      <c r="D2240" t="n">
        <v>128</v>
      </c>
      <c r="E2240" t="inlineStr">
        <is>
          <t>Love Cabaret</t>
        </is>
      </c>
      <c r="F2240" s="27" t="n">
        <v>45810.5</v>
      </c>
      <c r="G2240" t="inlineStr">
        <is>
          <t>DEBITO</t>
        </is>
      </c>
      <c r="H2240" t="inlineStr">
        <is>
          <t>TRANSFERENCIA PIX DES: SHIBARI ART E DIVERSA 02/06</t>
        </is>
      </c>
      <c r="I2240" t="n">
        <v>-30500</v>
      </c>
    </row>
    <row r="2241">
      <c r="A2241" t="n">
        <v>102463</v>
      </c>
      <c r="B2241" t="n">
        <v>115</v>
      </c>
      <c r="C2241" t="inlineStr">
        <is>
          <t>Love - Shibari - Bradesco</t>
        </is>
      </c>
      <c r="D2241" t="n">
        <v>128</v>
      </c>
      <c r="E2241" t="inlineStr">
        <is>
          <t>Love Cabaret</t>
        </is>
      </c>
      <c r="F2241" s="27" t="n">
        <v>45810.5</v>
      </c>
      <c r="G2241" t="inlineStr">
        <is>
          <t>CREDITO</t>
        </is>
      </c>
      <c r="H2241" t="inlineStr">
        <is>
          <t>TRANSFERENCIA PIX REM: SHIBARI ART E DIVERSA 02/06</t>
        </is>
      </c>
      <c r="I2241" t="n">
        <v>58658.66</v>
      </c>
    </row>
    <row r="2242">
      <c r="A2242" t="n">
        <v>102464</v>
      </c>
      <c r="B2242" t="n">
        <v>115</v>
      </c>
      <c r="C2242" t="inlineStr">
        <is>
          <t>Love - Shibari - Bradesco</t>
        </is>
      </c>
      <c r="D2242" t="n">
        <v>128</v>
      </c>
      <c r="E2242" t="inlineStr">
        <is>
          <t>Love Cabaret</t>
        </is>
      </c>
      <c r="F2242" s="27" t="n">
        <v>45810.5</v>
      </c>
      <c r="G2242" t="inlineStr">
        <is>
          <t>CREDITO</t>
        </is>
      </c>
      <c r="H2242" t="inlineStr">
        <is>
          <t>TRANSFERENCIA PIX REM: IZABELLA MACIEL MACHA 02/06</t>
        </is>
      </c>
      <c r="I2242" t="n">
        <v>520</v>
      </c>
    </row>
    <row r="2243">
      <c r="A2243" t="n">
        <v>102404</v>
      </c>
      <c r="B2243" t="n">
        <v>182</v>
      </c>
      <c r="C2243" t="inlineStr">
        <is>
          <t>Love - Shibari - Kamino</t>
        </is>
      </c>
      <c r="D2243" t="n">
        <v>128</v>
      </c>
      <c r="E2243" t="inlineStr">
        <is>
          <t>Love Cabaret</t>
        </is>
      </c>
      <c r="F2243" s="27" t="n">
        <v>45810</v>
      </c>
      <c r="G2243" t="inlineStr">
        <is>
          <t>DEBITO</t>
        </is>
      </c>
      <c r="H2243" t="inlineStr">
        <is>
          <t>B. B. Distribuidora de Carnes Ltda</t>
        </is>
      </c>
      <c r="I2243" t="n">
        <v>-368.74</v>
      </c>
    </row>
    <row r="2244">
      <c r="A2244" t="n">
        <v>102403</v>
      </c>
      <c r="B2244" t="n">
        <v>182</v>
      </c>
      <c r="C2244" t="inlineStr">
        <is>
          <t>Love - Shibari - Kamino</t>
        </is>
      </c>
      <c r="D2244" t="n">
        <v>128</v>
      </c>
      <c r="E2244" t="inlineStr">
        <is>
          <t>Love Cabaret</t>
        </is>
      </c>
      <c r="F2244" s="27" t="n">
        <v>45810</v>
      </c>
      <c r="G2244" t="inlineStr">
        <is>
          <t>DEBITO</t>
        </is>
      </c>
      <c r="H2244" t="inlineStr">
        <is>
          <t>Stark Bank S.A.</t>
        </is>
      </c>
      <c r="I2244" t="n">
        <v>-39</v>
      </c>
    </row>
    <row r="2245">
      <c r="A2245" t="n">
        <v>102402</v>
      </c>
      <c r="B2245" t="n">
        <v>182</v>
      </c>
      <c r="C2245" t="inlineStr">
        <is>
          <t>Love - Shibari - Kamino</t>
        </is>
      </c>
      <c r="D2245" t="n">
        <v>128</v>
      </c>
      <c r="E2245" t="inlineStr">
        <is>
          <t>Love Cabaret</t>
        </is>
      </c>
      <c r="F2245" s="27" t="n">
        <v>45810</v>
      </c>
      <c r="G2245" t="inlineStr">
        <is>
          <t>DEBITO</t>
        </is>
      </c>
      <c r="H2245" t="inlineStr">
        <is>
          <t>Hnk Br Ind de Bebidas Ltda</t>
        </is>
      </c>
      <c r="I2245" t="n">
        <v>-10446.1</v>
      </c>
    </row>
    <row r="2246">
      <c r="A2246" t="n">
        <v>102387</v>
      </c>
      <c r="B2246" t="n">
        <v>182</v>
      </c>
      <c r="C2246" t="inlineStr">
        <is>
          <t>Love - Shibari - Kamino</t>
        </is>
      </c>
      <c r="D2246" t="n">
        <v>128</v>
      </c>
      <c r="E2246" t="inlineStr">
        <is>
          <t>Love Cabaret</t>
        </is>
      </c>
      <c r="F2246" s="27" t="n">
        <v>45810</v>
      </c>
      <c r="G2246" t="inlineStr">
        <is>
          <t>DEBITO</t>
        </is>
      </c>
      <c r="H2246" t="inlineStr">
        <is>
          <t>Cecilia Tsuyaco Araki Silva Ltda</t>
        </is>
      </c>
      <c r="I2246" t="n">
        <v>-151.68</v>
      </c>
    </row>
    <row r="2247">
      <c r="A2247" t="n">
        <v>102401</v>
      </c>
      <c r="B2247" t="n">
        <v>182</v>
      </c>
      <c r="C2247" t="inlineStr">
        <is>
          <t>Love - Shibari - Kamino</t>
        </is>
      </c>
      <c r="D2247" t="n">
        <v>128</v>
      </c>
      <c r="E2247" t="inlineStr">
        <is>
          <t>Love Cabaret</t>
        </is>
      </c>
      <c r="F2247" s="27" t="n">
        <v>45810</v>
      </c>
      <c r="G2247" t="inlineStr">
        <is>
          <t>DEBITO</t>
        </is>
      </c>
      <c r="H2247" t="inlineStr">
        <is>
          <t>Hnk Br Ind de Bebidas Ltda</t>
        </is>
      </c>
      <c r="I2247" t="n">
        <v>-724.38</v>
      </c>
    </row>
    <row r="2248">
      <c r="A2248" t="n">
        <v>102400</v>
      </c>
      <c r="B2248" t="n">
        <v>182</v>
      </c>
      <c r="C2248" t="inlineStr">
        <is>
          <t>Love - Shibari - Kamino</t>
        </is>
      </c>
      <c r="D2248" t="n">
        <v>128</v>
      </c>
      <c r="E2248" t="inlineStr">
        <is>
          <t>Love Cabaret</t>
        </is>
      </c>
      <c r="F2248" s="27" t="n">
        <v>45810</v>
      </c>
      <c r="G2248" t="inlineStr">
        <is>
          <t>DEBITO</t>
        </is>
      </c>
      <c r="H2248" t="inlineStr">
        <is>
          <t>Paramu Comercio R P a Ltda</t>
        </is>
      </c>
      <c r="I2248" t="n">
        <v>-1104.44</v>
      </c>
    </row>
    <row r="2249">
      <c r="A2249" t="n">
        <v>102399</v>
      </c>
      <c r="B2249" t="n">
        <v>182</v>
      </c>
      <c r="C2249" t="inlineStr">
        <is>
          <t>Love - Shibari - Kamino</t>
        </is>
      </c>
      <c r="D2249" t="n">
        <v>128</v>
      </c>
      <c r="E2249" t="inlineStr">
        <is>
          <t>Love Cabaret</t>
        </is>
      </c>
      <c r="F2249" s="27" t="n">
        <v>45810</v>
      </c>
      <c r="G2249" t="inlineStr">
        <is>
          <t>DEBITO</t>
        </is>
      </c>
      <c r="H2249" t="inlineStr">
        <is>
          <t>Aurora Alvorada Estacionamento e Lanchon</t>
        </is>
      </c>
      <c r="I2249" t="n">
        <v>-219.81</v>
      </c>
    </row>
    <row r="2250">
      <c r="A2250" t="n">
        <v>102398</v>
      </c>
      <c r="B2250" t="n">
        <v>182</v>
      </c>
      <c r="C2250" t="inlineStr">
        <is>
          <t>Love - Shibari - Kamino</t>
        </is>
      </c>
      <c r="D2250" t="n">
        <v>128</v>
      </c>
      <c r="E2250" t="inlineStr">
        <is>
          <t>Love Cabaret</t>
        </is>
      </c>
      <c r="F2250" s="27" t="n">
        <v>45810</v>
      </c>
      <c r="G2250" t="inlineStr">
        <is>
          <t>DEBITO</t>
        </is>
      </c>
      <c r="H2250" t="inlineStr">
        <is>
          <t>Proauto Industria Q Eireli</t>
        </is>
      </c>
      <c r="I2250" t="n">
        <v>-484.47</v>
      </c>
    </row>
    <row r="2251">
      <c r="A2251" t="n">
        <v>102397</v>
      </c>
      <c r="B2251" t="n">
        <v>182</v>
      </c>
      <c r="C2251" t="inlineStr">
        <is>
          <t>Love - Shibari - Kamino</t>
        </is>
      </c>
      <c r="D2251" t="n">
        <v>128</v>
      </c>
      <c r="E2251" t="inlineStr">
        <is>
          <t>Love Cabaret</t>
        </is>
      </c>
      <c r="F2251" s="27" t="n">
        <v>45810</v>
      </c>
      <c r="G2251" t="inlineStr">
        <is>
          <t>DEBITO</t>
        </is>
      </c>
      <c r="H2251" t="inlineStr">
        <is>
          <t>Nova Comercial do Peixe Eireli</t>
        </is>
      </c>
      <c r="I2251" t="n">
        <v>-588</v>
      </c>
    </row>
    <row r="2252">
      <c r="A2252" t="n">
        <v>102396</v>
      </c>
      <c r="B2252" t="n">
        <v>182</v>
      </c>
      <c r="C2252" t="inlineStr">
        <is>
          <t>Love - Shibari - Kamino</t>
        </is>
      </c>
      <c r="D2252" t="n">
        <v>128</v>
      </c>
      <c r="E2252" t="inlineStr">
        <is>
          <t>Love Cabaret</t>
        </is>
      </c>
      <c r="F2252" s="27" t="n">
        <v>45810</v>
      </c>
      <c r="G2252" t="inlineStr">
        <is>
          <t>DEBITO</t>
        </is>
      </c>
      <c r="H2252" t="inlineStr">
        <is>
          <t>Luiz Roberto da Silva Junior</t>
        </is>
      </c>
      <c r="I2252" t="n">
        <v>-1000</v>
      </c>
    </row>
    <row r="2253">
      <c r="A2253" t="n">
        <v>102395</v>
      </c>
      <c r="B2253" t="n">
        <v>182</v>
      </c>
      <c r="C2253" t="inlineStr">
        <is>
          <t>Love - Shibari - Kamino</t>
        </is>
      </c>
      <c r="D2253" t="n">
        <v>128</v>
      </c>
      <c r="E2253" t="inlineStr">
        <is>
          <t>Love Cabaret</t>
        </is>
      </c>
      <c r="F2253" s="27" t="n">
        <v>45810</v>
      </c>
      <c r="G2253" t="inlineStr">
        <is>
          <t>DEBITO</t>
        </is>
      </c>
      <c r="H2253" t="inlineStr">
        <is>
          <t>Edjane Dantas de Almeida Sousa</t>
        </is>
      </c>
      <c r="I2253" t="n">
        <v>-1200</v>
      </c>
    </row>
    <row r="2254">
      <c r="A2254" t="n">
        <v>102393</v>
      </c>
      <c r="B2254" t="n">
        <v>182</v>
      </c>
      <c r="C2254" t="inlineStr">
        <is>
          <t>Love - Shibari - Kamino</t>
        </is>
      </c>
      <c r="D2254" t="n">
        <v>128</v>
      </c>
      <c r="E2254" t="inlineStr">
        <is>
          <t>Love Cabaret</t>
        </is>
      </c>
      <c r="F2254" s="27" t="n">
        <v>45810</v>
      </c>
      <c r="G2254" t="inlineStr">
        <is>
          <t>DEBITO</t>
        </is>
      </c>
      <c r="H2254" t="inlineStr">
        <is>
          <t>Eduardo Jose da Silva Distribuicao de Produtos Alimenticios</t>
        </is>
      </c>
      <c r="I2254" t="n">
        <v>-403.6</v>
      </c>
    </row>
    <row r="2255">
      <c r="A2255" t="n">
        <v>102383</v>
      </c>
      <c r="B2255" t="n">
        <v>182</v>
      </c>
      <c r="C2255" t="inlineStr">
        <is>
          <t>Love - Shibari - Kamino</t>
        </is>
      </c>
      <c r="D2255" t="n">
        <v>128</v>
      </c>
      <c r="E2255" t="inlineStr">
        <is>
          <t>Love Cabaret</t>
        </is>
      </c>
      <c r="F2255" s="27" t="n">
        <v>45810</v>
      </c>
      <c r="G2255" t="inlineStr">
        <is>
          <t>CREDITO</t>
        </is>
      </c>
      <c r="H2255" t="inlineStr">
        <is>
          <t>SHIBARI ART E DIVERSAO LTDA</t>
        </is>
      </c>
      <c r="I2255" t="n">
        <v>30500</v>
      </c>
    </row>
    <row r="2256">
      <c r="A2256" t="n">
        <v>102384</v>
      </c>
      <c r="B2256" t="n">
        <v>182</v>
      </c>
      <c r="C2256" t="inlineStr">
        <is>
          <t>Love - Shibari - Kamino</t>
        </is>
      </c>
      <c r="D2256" t="n">
        <v>128</v>
      </c>
      <c r="E2256" t="inlineStr">
        <is>
          <t>Love Cabaret</t>
        </is>
      </c>
      <c r="F2256" s="27" t="n">
        <v>45810</v>
      </c>
      <c r="G2256" t="inlineStr">
        <is>
          <t>DEBITO</t>
        </is>
      </c>
      <c r="H2256" t="inlineStr">
        <is>
          <t>Arena Bebidas</t>
        </is>
      </c>
      <c r="I2256" t="n">
        <v>-352.8</v>
      </c>
    </row>
    <row r="2257">
      <c r="A2257" t="n">
        <v>102385</v>
      </c>
      <c r="B2257" t="n">
        <v>182</v>
      </c>
      <c r="C2257" t="inlineStr">
        <is>
          <t>Love - Shibari - Kamino</t>
        </is>
      </c>
      <c r="D2257" t="n">
        <v>128</v>
      </c>
      <c r="E2257" t="inlineStr">
        <is>
          <t>Love Cabaret</t>
        </is>
      </c>
      <c r="F2257" s="27" t="n">
        <v>45810</v>
      </c>
      <c r="G2257" t="inlineStr">
        <is>
          <t>DEBITO</t>
        </is>
      </c>
      <c r="H2257" t="inlineStr">
        <is>
          <t>Forte Alimentos Comercio e Importacao Lt</t>
        </is>
      </c>
      <c r="I2257" t="n">
        <v>-552.78</v>
      </c>
    </row>
    <row r="2258">
      <c r="A2258" t="n">
        <v>102386</v>
      </c>
      <c r="B2258" t="n">
        <v>182</v>
      </c>
      <c r="C2258" t="inlineStr">
        <is>
          <t>Love - Shibari - Kamino</t>
        </is>
      </c>
      <c r="D2258" t="n">
        <v>128</v>
      </c>
      <c r="E2258" t="inlineStr">
        <is>
          <t>Love Cabaret</t>
        </is>
      </c>
      <c r="F2258" s="27" t="n">
        <v>45810</v>
      </c>
      <c r="G2258" t="inlineStr">
        <is>
          <t>DEBITO</t>
        </is>
      </c>
      <c r="H2258" t="inlineStr">
        <is>
          <t>Dtk Comercio de Alimentos Ltda Epp</t>
        </is>
      </c>
      <c r="I2258" t="n">
        <v>-116.38</v>
      </c>
    </row>
    <row r="2259">
      <c r="A2259" t="n">
        <v>102388</v>
      </c>
      <c r="B2259" t="n">
        <v>182</v>
      </c>
      <c r="C2259" t="inlineStr">
        <is>
          <t>Love - Shibari - Kamino</t>
        </is>
      </c>
      <c r="D2259" t="n">
        <v>128</v>
      </c>
      <c r="E2259" t="inlineStr">
        <is>
          <t>Love Cabaret</t>
        </is>
      </c>
      <c r="F2259" s="27" t="n">
        <v>45810</v>
      </c>
      <c r="G2259" t="inlineStr">
        <is>
          <t>DEBITO</t>
        </is>
      </c>
      <c r="H2259" t="inlineStr">
        <is>
          <t>Laticinios Fior D Italia Ltda</t>
        </is>
      </c>
      <c r="I2259" t="n">
        <v>-326.75</v>
      </c>
    </row>
    <row r="2260">
      <c r="A2260" t="n">
        <v>102389</v>
      </c>
      <c r="B2260" t="n">
        <v>182</v>
      </c>
      <c r="C2260" t="inlineStr">
        <is>
          <t>Love - Shibari - Kamino</t>
        </is>
      </c>
      <c r="D2260" t="n">
        <v>128</v>
      </c>
      <c r="E2260" t="inlineStr">
        <is>
          <t>Love Cabaret</t>
        </is>
      </c>
      <c r="F2260" s="27" t="n">
        <v>45810</v>
      </c>
      <c r="G2260" t="inlineStr">
        <is>
          <t>DEBITO</t>
        </is>
      </c>
      <c r="H2260" t="inlineStr">
        <is>
          <t>Eletropaulo Metropolitana</t>
        </is>
      </c>
      <c r="I2260" t="n">
        <v>-11975.18</v>
      </c>
    </row>
    <row r="2261">
      <c r="A2261" t="n">
        <v>102390</v>
      </c>
      <c r="B2261" t="n">
        <v>182</v>
      </c>
      <c r="C2261" t="inlineStr">
        <is>
          <t>Love - Shibari - Kamino</t>
        </is>
      </c>
      <c r="D2261" t="n">
        <v>128</v>
      </c>
      <c r="E2261" t="inlineStr">
        <is>
          <t>Love Cabaret</t>
        </is>
      </c>
      <c r="F2261" s="27" t="n">
        <v>45810</v>
      </c>
      <c r="G2261" t="inlineStr">
        <is>
          <t>DEBITO</t>
        </is>
      </c>
      <c r="H2261" t="inlineStr">
        <is>
          <t>Eletropaulo Metropolitana</t>
        </is>
      </c>
      <c r="I2261" t="n">
        <v>-88.04000000000001</v>
      </c>
    </row>
    <row r="2262">
      <c r="A2262" t="n">
        <v>102391</v>
      </c>
      <c r="B2262" t="n">
        <v>182</v>
      </c>
      <c r="C2262" t="inlineStr">
        <is>
          <t>Love - Shibari - Kamino</t>
        </is>
      </c>
      <c r="D2262" t="n">
        <v>128</v>
      </c>
      <c r="E2262" t="inlineStr">
        <is>
          <t>Love Cabaret</t>
        </is>
      </c>
      <c r="F2262" s="27" t="n">
        <v>45810</v>
      </c>
      <c r="G2262" t="inlineStr">
        <is>
          <t>DEBITO</t>
        </is>
      </c>
      <c r="H2262" t="inlineStr">
        <is>
          <t>Arena Bebidas</t>
        </is>
      </c>
      <c r="I2262" t="n">
        <v>-2255.76</v>
      </c>
    </row>
    <row r="2263">
      <c r="A2263" t="n">
        <v>102392</v>
      </c>
      <c r="B2263" t="n">
        <v>182</v>
      </c>
      <c r="C2263" t="inlineStr">
        <is>
          <t>Love - Shibari - Kamino</t>
        </is>
      </c>
      <c r="D2263" t="n">
        <v>128</v>
      </c>
      <c r="E2263" t="inlineStr">
        <is>
          <t>Love Cabaret</t>
        </is>
      </c>
      <c r="F2263" s="27" t="n">
        <v>45810</v>
      </c>
      <c r="G2263" t="inlineStr">
        <is>
          <t>DEBITO</t>
        </is>
      </c>
      <c r="H2263" t="inlineStr">
        <is>
          <t>Pagcerto Instituicao de Pagamento L</t>
        </is>
      </c>
      <c r="I2263" t="n">
        <v>-192.5</v>
      </c>
    </row>
    <row r="2264">
      <c r="A2264" t="n">
        <v>102394</v>
      </c>
      <c r="B2264" t="n">
        <v>182</v>
      </c>
      <c r="C2264" t="inlineStr">
        <is>
          <t>Love - Shibari - Kamino</t>
        </is>
      </c>
      <c r="D2264" t="n">
        <v>128</v>
      </c>
      <c r="E2264" t="inlineStr">
        <is>
          <t>Love Cabaret</t>
        </is>
      </c>
      <c r="F2264" s="27" t="n">
        <v>45810</v>
      </c>
      <c r="G2264" t="inlineStr">
        <is>
          <t>DEBITO</t>
        </is>
      </c>
      <c r="H2264" t="inlineStr">
        <is>
          <t>Renato Ricci Paulino</t>
        </is>
      </c>
      <c r="I2264" t="n">
        <v>-1380.4</v>
      </c>
    </row>
    <row r="2265">
      <c r="A2265" t="n">
        <v>102459</v>
      </c>
      <c r="B2265" t="n">
        <v>115</v>
      </c>
      <c r="C2265" t="inlineStr">
        <is>
          <t>Love - Shibari - Bradesco</t>
        </is>
      </c>
      <c r="D2265" t="n">
        <v>128</v>
      </c>
      <c r="E2265" t="inlineStr">
        <is>
          <t>Love Cabaret</t>
        </is>
      </c>
      <c r="F2265" s="27" t="n">
        <v>45807.5</v>
      </c>
      <c r="G2265" t="inlineStr">
        <is>
          <t>DEBITO</t>
        </is>
      </c>
      <c r="H2265" t="inlineStr">
        <is>
          <t>PAGTO ELETRON  COBRANCA 014275425352771</t>
        </is>
      </c>
      <c r="I2265" t="n">
        <v>-8000</v>
      </c>
    </row>
    <row r="2266">
      <c r="A2266" t="n">
        <v>102460</v>
      </c>
      <c r="B2266" t="n">
        <v>115</v>
      </c>
      <c r="C2266" t="inlineStr">
        <is>
          <t>Love - Shibari - Bradesco</t>
        </is>
      </c>
      <c r="D2266" t="n">
        <v>128</v>
      </c>
      <c r="E2266" t="inlineStr">
        <is>
          <t>Love Cabaret</t>
        </is>
      </c>
      <c r="F2266" s="27" t="n">
        <v>45807.5</v>
      </c>
      <c r="G2266" t="inlineStr">
        <is>
          <t>DEBITO</t>
        </is>
      </c>
      <c r="H2266" t="inlineStr">
        <is>
          <t>TARIFA BANCARIA TRANSF PGTO PIX</t>
        </is>
      </c>
      <c r="I2266" t="n">
        <v>-9.800000000000001</v>
      </c>
    </row>
    <row r="2267">
      <c r="A2267" t="n">
        <v>102461</v>
      </c>
      <c r="B2267" t="n">
        <v>115</v>
      </c>
      <c r="C2267" t="inlineStr">
        <is>
          <t>Love - Shibari - Bradesco</t>
        </is>
      </c>
      <c r="D2267" t="n">
        <v>128</v>
      </c>
      <c r="E2267" t="inlineStr">
        <is>
          <t>Love Cabaret</t>
        </is>
      </c>
      <c r="F2267" s="27" t="n">
        <v>45807.5</v>
      </c>
      <c r="G2267" t="inlineStr">
        <is>
          <t>DEBITO</t>
        </is>
      </c>
      <c r="H2267" t="inlineStr">
        <is>
          <t>PAGTO ELETRONICO TRIBUTO INTERNET --RECEITA FEDERAL/SP</t>
        </is>
      </c>
      <c r="I2267" t="n">
        <v>-89.45</v>
      </c>
    </row>
    <row r="2268">
      <c r="A2268" t="n">
        <v>102462</v>
      </c>
      <c r="B2268" t="n">
        <v>115</v>
      </c>
      <c r="C2268" t="inlineStr">
        <is>
          <t>Love - Shibari - Bradesco</t>
        </is>
      </c>
      <c r="D2268" t="n">
        <v>128</v>
      </c>
      <c r="E2268" t="inlineStr">
        <is>
          <t>Love Cabaret</t>
        </is>
      </c>
      <c r="F2268" s="27" t="n">
        <v>45807.5</v>
      </c>
      <c r="G2268" t="inlineStr">
        <is>
          <t>DEBITO</t>
        </is>
      </c>
      <c r="H2268" t="inlineStr">
        <is>
          <t>PAGTO ELETRONICO TRIBUTO INTERNET --RECEITA FEDERAL/SP</t>
        </is>
      </c>
      <c r="I2268" t="n">
        <v>-25.05</v>
      </c>
    </row>
    <row r="2269">
      <c r="A2269" t="n">
        <v>102457</v>
      </c>
      <c r="B2269" t="n">
        <v>115</v>
      </c>
      <c r="C2269" t="inlineStr">
        <is>
          <t>Love - Shibari - Bradesco</t>
        </is>
      </c>
      <c r="D2269" t="n">
        <v>128</v>
      </c>
      <c r="E2269" t="inlineStr">
        <is>
          <t>Love Cabaret</t>
        </is>
      </c>
      <c r="F2269" s="27" t="n">
        <v>45806.5</v>
      </c>
      <c r="G2269" t="inlineStr">
        <is>
          <t>CREDITO</t>
        </is>
      </c>
      <c r="H2269" t="inlineStr">
        <is>
          <t>TRANSFERENCIA PIX REM: Mayumi Iwasse de Fari 29/05</t>
        </is>
      </c>
      <c r="I2269" t="n">
        <v>720</v>
      </c>
    </row>
    <row r="2270">
      <c r="A2270" t="n">
        <v>102450</v>
      </c>
      <c r="B2270" t="n">
        <v>115</v>
      </c>
      <c r="C2270" t="inlineStr">
        <is>
          <t>Love - Shibari - Bradesco</t>
        </is>
      </c>
      <c r="D2270" t="n">
        <v>128</v>
      </c>
      <c r="E2270" t="inlineStr">
        <is>
          <t>Love Cabaret</t>
        </is>
      </c>
      <c r="F2270" s="27" t="n">
        <v>45805.5</v>
      </c>
      <c r="G2270" t="inlineStr">
        <is>
          <t>CREDITO</t>
        </is>
      </c>
      <c r="H2270" t="inlineStr">
        <is>
          <t>TED-TRANSF ELET DISPON REMET.SYMPLA INTERNET SOLU</t>
        </is>
      </c>
      <c r="I2270" t="n">
        <v>11995</v>
      </c>
    </row>
    <row r="2271">
      <c r="A2271" t="n">
        <v>102455</v>
      </c>
      <c r="B2271" t="n">
        <v>115</v>
      </c>
      <c r="C2271" t="inlineStr">
        <is>
          <t>Love - Shibari - Bradesco</t>
        </is>
      </c>
      <c r="D2271" t="n">
        <v>128</v>
      </c>
      <c r="E2271" t="inlineStr">
        <is>
          <t>Love Cabaret</t>
        </is>
      </c>
      <c r="F2271" s="27" t="n">
        <v>45805.5</v>
      </c>
      <c r="G2271" t="inlineStr">
        <is>
          <t>DEBITO</t>
        </is>
      </c>
      <c r="H2271" t="inlineStr">
        <is>
          <t>TARIFA BANCARIA TRANSF PGTO PIX</t>
        </is>
      </c>
      <c r="I2271" t="n">
        <v>-9.800000000000001</v>
      </c>
    </row>
    <row r="2272">
      <c r="A2272" t="n">
        <v>102456</v>
      </c>
      <c r="B2272" t="n">
        <v>115</v>
      </c>
      <c r="C2272" t="inlineStr">
        <is>
          <t>Love - Shibari - Bradesco</t>
        </is>
      </c>
      <c r="D2272" t="n">
        <v>128</v>
      </c>
      <c r="E2272" t="inlineStr">
        <is>
          <t>Love Cabaret</t>
        </is>
      </c>
      <c r="F2272" s="27" t="n">
        <v>45805.5</v>
      </c>
      <c r="G2272" t="inlineStr">
        <is>
          <t>DEBITO</t>
        </is>
      </c>
      <c r="H2272" t="inlineStr">
        <is>
          <t>TRANSFERENCIA PIX DES: SHIBARI ART E DIVERSA 28/05</t>
        </is>
      </c>
      <c r="I2272" t="n">
        <v>-73500</v>
      </c>
    </row>
    <row r="2273">
      <c r="A2273" t="n">
        <v>102361</v>
      </c>
      <c r="B2273" t="n">
        <v>182</v>
      </c>
      <c r="C2273" t="inlineStr">
        <is>
          <t>Love - Shibari - Kamino</t>
        </is>
      </c>
      <c r="D2273" t="n">
        <v>128</v>
      </c>
      <c r="E2273" t="inlineStr">
        <is>
          <t>Love Cabaret</t>
        </is>
      </c>
      <c r="F2273" s="27" t="n">
        <v>45805</v>
      </c>
      <c r="G2273" t="inlineStr">
        <is>
          <t>DEBITO</t>
        </is>
      </c>
      <c r="H2273" t="inlineStr">
        <is>
          <t>Flavio Rodrigues de Moura</t>
        </is>
      </c>
      <c r="I2273" t="n">
        <v>-1500</v>
      </c>
    </row>
    <row r="2274">
      <c r="A2274" t="n">
        <v>102377</v>
      </c>
      <c r="B2274" t="n">
        <v>182</v>
      </c>
      <c r="C2274" t="inlineStr">
        <is>
          <t>Love - Shibari - Kamino</t>
        </is>
      </c>
      <c r="D2274" t="n">
        <v>128</v>
      </c>
      <c r="E2274" t="inlineStr">
        <is>
          <t>Love Cabaret</t>
        </is>
      </c>
      <c r="F2274" s="27" t="n">
        <v>45805</v>
      </c>
      <c r="G2274" t="inlineStr">
        <is>
          <t>DEBITO</t>
        </is>
      </c>
      <c r="H2274" t="inlineStr">
        <is>
          <t>Sao Paulo Transporte Sa</t>
        </is>
      </c>
      <c r="I2274" t="n">
        <v>-771.21</v>
      </c>
    </row>
    <row r="2275">
      <c r="A2275" t="n">
        <v>102365</v>
      </c>
      <c r="B2275" t="n">
        <v>182</v>
      </c>
      <c r="C2275" t="inlineStr">
        <is>
          <t>Love - Shibari - Kamino</t>
        </is>
      </c>
      <c r="D2275" t="n">
        <v>128</v>
      </c>
      <c r="E2275" t="inlineStr">
        <is>
          <t>Love Cabaret</t>
        </is>
      </c>
      <c r="F2275" s="27" t="n">
        <v>45805</v>
      </c>
      <c r="G2275" t="inlineStr">
        <is>
          <t>DEBITO</t>
        </is>
      </c>
      <c r="H2275" t="inlineStr">
        <is>
          <t>Proauto Industria Q Eireli</t>
        </is>
      </c>
      <c r="I2275" t="n">
        <v>-2406.81</v>
      </c>
    </row>
    <row r="2276">
      <c r="A2276" t="n">
        <v>102366</v>
      </c>
      <c r="B2276" t="n">
        <v>182</v>
      </c>
      <c r="C2276" t="inlineStr">
        <is>
          <t>Love - Shibari - Kamino</t>
        </is>
      </c>
      <c r="D2276" t="n">
        <v>128</v>
      </c>
      <c r="E2276" t="inlineStr">
        <is>
          <t>Love Cabaret</t>
        </is>
      </c>
      <c r="F2276" s="27" t="n">
        <v>45805</v>
      </c>
      <c r="G2276" t="inlineStr">
        <is>
          <t>DEBITO</t>
        </is>
      </c>
      <c r="H2276" t="inlineStr">
        <is>
          <t>T. F. Ciuffi Hortifruti Ltda</t>
        </is>
      </c>
      <c r="I2276" t="n">
        <v>-295.75</v>
      </c>
    </row>
    <row r="2277">
      <c r="A2277" t="n">
        <v>102367</v>
      </c>
      <c r="B2277" t="n">
        <v>182</v>
      </c>
      <c r="C2277" t="inlineStr">
        <is>
          <t>Love - Shibari - Kamino</t>
        </is>
      </c>
      <c r="D2277" t="n">
        <v>128</v>
      </c>
      <c r="E2277" t="inlineStr">
        <is>
          <t>Love Cabaret</t>
        </is>
      </c>
      <c r="F2277" s="27" t="n">
        <v>45805</v>
      </c>
      <c r="G2277" t="inlineStr">
        <is>
          <t>DEBITO</t>
        </is>
      </c>
      <c r="H2277" t="inlineStr">
        <is>
          <t>Receita Federal</t>
        </is>
      </c>
      <c r="I2277" t="n">
        <v>-978.04</v>
      </c>
    </row>
    <row r="2278">
      <c r="A2278" t="n">
        <v>102368</v>
      </c>
      <c r="B2278" t="n">
        <v>182</v>
      </c>
      <c r="C2278" t="inlineStr">
        <is>
          <t>Love - Shibari - Kamino</t>
        </is>
      </c>
      <c r="D2278" t="n">
        <v>128</v>
      </c>
      <c r="E2278" t="inlineStr">
        <is>
          <t>Love Cabaret</t>
        </is>
      </c>
      <c r="F2278" s="27" t="n">
        <v>45805</v>
      </c>
      <c r="G2278" t="inlineStr">
        <is>
          <t>DEBITO</t>
        </is>
      </c>
      <c r="H2278" t="inlineStr">
        <is>
          <t>Cia do Whisky</t>
        </is>
      </c>
      <c r="I2278" t="n">
        <v>-1201.83</v>
      </c>
    </row>
    <row r="2279">
      <c r="A2279" t="n">
        <v>102369</v>
      </c>
      <c r="B2279" t="n">
        <v>182</v>
      </c>
      <c r="C2279" t="inlineStr">
        <is>
          <t>Love - Shibari - Kamino</t>
        </is>
      </c>
      <c r="D2279" t="n">
        <v>128</v>
      </c>
      <c r="E2279" t="inlineStr">
        <is>
          <t>Love Cabaret</t>
        </is>
      </c>
      <c r="F2279" s="27" t="n">
        <v>45805</v>
      </c>
      <c r="G2279" t="inlineStr">
        <is>
          <t>DEBITO</t>
        </is>
      </c>
      <c r="H2279" t="inlineStr">
        <is>
          <t>Receita Federal</t>
        </is>
      </c>
      <c r="I2279" t="n">
        <v>-1896.91</v>
      </c>
    </row>
    <row r="2280">
      <c r="A2280" t="n">
        <v>102370</v>
      </c>
      <c r="B2280" t="n">
        <v>182</v>
      </c>
      <c r="C2280" t="inlineStr">
        <is>
          <t>Love - Shibari - Kamino</t>
        </is>
      </c>
      <c r="D2280" t="n">
        <v>128</v>
      </c>
      <c r="E2280" t="inlineStr">
        <is>
          <t>Love Cabaret</t>
        </is>
      </c>
      <c r="F2280" s="27" t="n">
        <v>45805</v>
      </c>
      <c r="G2280" t="inlineStr">
        <is>
          <t>DEBITO</t>
        </is>
      </c>
      <c r="H2280" t="inlineStr">
        <is>
          <t>Arena Bebidas</t>
        </is>
      </c>
      <c r="I2280" t="n">
        <v>-2940</v>
      </c>
    </row>
    <row r="2281">
      <c r="A2281" t="n">
        <v>102371</v>
      </c>
      <c r="B2281" t="n">
        <v>182</v>
      </c>
      <c r="C2281" t="inlineStr">
        <is>
          <t>Love - Shibari - Kamino</t>
        </is>
      </c>
      <c r="D2281" t="n">
        <v>128</v>
      </c>
      <c r="E2281" t="inlineStr">
        <is>
          <t>Love Cabaret</t>
        </is>
      </c>
      <c r="F2281" s="27" t="n">
        <v>45805</v>
      </c>
      <c r="G2281" t="inlineStr">
        <is>
          <t>DEBITO</t>
        </is>
      </c>
      <c r="H2281" t="inlineStr">
        <is>
          <t>Cia do Whisky</t>
        </is>
      </c>
      <c r="I2281" t="n">
        <v>-3145.65</v>
      </c>
    </row>
    <row r="2282">
      <c r="A2282" t="n">
        <v>102372</v>
      </c>
      <c r="B2282" t="n">
        <v>182</v>
      </c>
      <c r="C2282" t="inlineStr">
        <is>
          <t>Love - Shibari - Kamino</t>
        </is>
      </c>
      <c r="D2282" t="n">
        <v>128</v>
      </c>
      <c r="E2282" t="inlineStr">
        <is>
          <t>Love Cabaret</t>
        </is>
      </c>
      <c r="F2282" s="27" t="n">
        <v>45805</v>
      </c>
      <c r="G2282" t="inlineStr">
        <is>
          <t>DEBITO</t>
        </is>
      </c>
      <c r="H2282" t="inlineStr">
        <is>
          <t>Wide Stock com e Rep Ltda</t>
        </is>
      </c>
      <c r="I2282" t="n">
        <v>-690.48</v>
      </c>
    </row>
    <row r="2283">
      <c r="A2283" t="n">
        <v>102373</v>
      </c>
      <c r="B2283" t="n">
        <v>182</v>
      </c>
      <c r="C2283" t="inlineStr">
        <is>
          <t>Love - Shibari - Kamino</t>
        </is>
      </c>
      <c r="D2283" t="n">
        <v>128</v>
      </c>
      <c r="E2283" t="inlineStr">
        <is>
          <t>Love Cabaret</t>
        </is>
      </c>
      <c r="F2283" s="27" t="n">
        <v>45805</v>
      </c>
      <c r="G2283" t="inlineStr">
        <is>
          <t>DEBITO</t>
        </is>
      </c>
      <c r="H2283" t="inlineStr">
        <is>
          <t>Cem Engenharia da Manutencao L</t>
        </is>
      </c>
      <c r="I2283" t="n">
        <v>-8500</v>
      </c>
    </row>
    <row r="2284">
      <c r="A2284" t="n">
        <v>102374</v>
      </c>
      <c r="B2284" t="n">
        <v>182</v>
      </c>
      <c r="C2284" t="inlineStr">
        <is>
          <t>Love - Shibari - Kamino</t>
        </is>
      </c>
      <c r="D2284" t="n">
        <v>128</v>
      </c>
      <c r="E2284" t="inlineStr">
        <is>
          <t>Love Cabaret</t>
        </is>
      </c>
      <c r="F2284" s="27" t="n">
        <v>45805</v>
      </c>
      <c r="G2284" t="inlineStr">
        <is>
          <t>DEBITO</t>
        </is>
      </c>
      <c r="H2284" t="inlineStr">
        <is>
          <t>Hortifrutigranjeiro Rodrigues</t>
        </is>
      </c>
      <c r="I2284" t="n">
        <v>-135</v>
      </c>
    </row>
    <row r="2285">
      <c r="A2285" t="n">
        <v>102375</v>
      </c>
      <c r="B2285" t="n">
        <v>182</v>
      </c>
      <c r="C2285" t="inlineStr">
        <is>
          <t>Love - Shibari - Kamino</t>
        </is>
      </c>
      <c r="D2285" t="n">
        <v>128</v>
      </c>
      <c r="E2285" t="inlineStr">
        <is>
          <t>Love Cabaret</t>
        </is>
      </c>
      <c r="F2285" s="27" t="n">
        <v>45805</v>
      </c>
      <c r="G2285" t="inlineStr">
        <is>
          <t>DEBITO</t>
        </is>
      </c>
      <c r="H2285" t="inlineStr">
        <is>
          <t>Andreia Santos Freitas Duarte</t>
        </is>
      </c>
      <c r="I2285" t="n">
        <v>-112</v>
      </c>
    </row>
    <row r="2286">
      <c r="A2286" t="n">
        <v>102376</v>
      </c>
      <c r="B2286" t="n">
        <v>182</v>
      </c>
      <c r="C2286" t="inlineStr">
        <is>
          <t>Love - Shibari - Kamino</t>
        </is>
      </c>
      <c r="D2286" t="n">
        <v>128</v>
      </c>
      <c r="E2286" t="inlineStr">
        <is>
          <t>Love Cabaret</t>
        </is>
      </c>
      <c r="F2286" s="27" t="n">
        <v>45805</v>
      </c>
      <c r="G2286" t="inlineStr">
        <is>
          <t>DEBITO</t>
        </is>
      </c>
      <c r="H2286" t="inlineStr">
        <is>
          <t>Free Som - Locacao de Som e Luz Ltda</t>
        </is>
      </c>
      <c r="I2286" t="n">
        <v>-6000</v>
      </c>
    </row>
    <row r="2287">
      <c r="A2287" t="n">
        <v>102378</v>
      </c>
      <c r="B2287" t="n">
        <v>182</v>
      </c>
      <c r="C2287" t="inlineStr">
        <is>
          <t>Love - Shibari - Kamino</t>
        </is>
      </c>
      <c r="D2287" t="n">
        <v>128</v>
      </c>
      <c r="E2287" t="inlineStr">
        <is>
          <t>Love Cabaret</t>
        </is>
      </c>
      <c r="F2287" s="27" t="n">
        <v>45805</v>
      </c>
      <c r="G2287" t="inlineStr">
        <is>
          <t>DEBITO</t>
        </is>
      </c>
      <c r="H2287" t="inlineStr">
        <is>
          <t>Tarifa Transf Bancaria Enviada</t>
        </is>
      </c>
      <c r="I2287" t="n">
        <v>-2</v>
      </c>
    </row>
    <row r="2288">
      <c r="A2288" t="n">
        <v>102379</v>
      </c>
      <c r="B2288" t="n">
        <v>182</v>
      </c>
      <c r="C2288" t="inlineStr">
        <is>
          <t>Love - Shibari - Kamino</t>
        </is>
      </c>
      <c r="D2288" t="n">
        <v>128</v>
      </c>
      <c r="E2288" t="inlineStr">
        <is>
          <t>Love Cabaret</t>
        </is>
      </c>
      <c r="F2288" s="27" t="n">
        <v>45805</v>
      </c>
      <c r="G2288" t="inlineStr">
        <is>
          <t>DEBITO</t>
        </is>
      </c>
      <c r="H2288" t="inlineStr">
        <is>
          <t>Paulo Cesar Medeiros Eyzano</t>
        </is>
      </c>
      <c r="I2288" t="n">
        <v>-3200</v>
      </c>
    </row>
    <row r="2289">
      <c r="A2289" t="n">
        <v>102380</v>
      </c>
      <c r="B2289" t="n">
        <v>182</v>
      </c>
      <c r="C2289" t="inlineStr">
        <is>
          <t>Love - Shibari - Kamino</t>
        </is>
      </c>
      <c r="D2289" t="n">
        <v>128</v>
      </c>
      <c r="E2289" t="inlineStr">
        <is>
          <t>Love Cabaret</t>
        </is>
      </c>
      <c r="F2289" s="27" t="n">
        <v>45805</v>
      </c>
      <c r="G2289" t="inlineStr">
        <is>
          <t>DEBITO</t>
        </is>
      </c>
      <c r="H2289" t="inlineStr">
        <is>
          <t>Flavio Rodrigues de Moura</t>
        </is>
      </c>
      <c r="I2289" t="n">
        <v>-1500</v>
      </c>
    </row>
    <row r="2290">
      <c r="A2290" t="n">
        <v>102381</v>
      </c>
      <c r="B2290" t="n">
        <v>182</v>
      </c>
      <c r="C2290" t="inlineStr">
        <is>
          <t>Love - Shibari - Kamino</t>
        </is>
      </c>
      <c r="D2290" t="n">
        <v>128</v>
      </c>
      <c r="E2290" t="inlineStr">
        <is>
          <t>Love Cabaret</t>
        </is>
      </c>
      <c r="F2290" s="27" t="n">
        <v>45805</v>
      </c>
      <c r="G2290" t="inlineStr">
        <is>
          <t>DEBITO</t>
        </is>
      </c>
      <c r="H2290" t="inlineStr">
        <is>
          <t>Google Brasil Internet Ltda</t>
        </is>
      </c>
      <c r="I2290" t="n">
        <v>-1000</v>
      </c>
    </row>
    <row r="2291">
      <c r="A2291" t="n">
        <v>102382</v>
      </c>
      <c r="B2291" t="n">
        <v>182</v>
      </c>
      <c r="C2291" t="inlineStr">
        <is>
          <t>Love - Shibari - Kamino</t>
        </is>
      </c>
      <c r="D2291" t="n">
        <v>128</v>
      </c>
      <c r="E2291" t="inlineStr">
        <is>
          <t>Love Cabaret</t>
        </is>
      </c>
      <c r="F2291" s="27" t="n">
        <v>45805</v>
      </c>
      <c r="G2291" t="inlineStr">
        <is>
          <t>DEBITO</t>
        </is>
      </c>
      <c r="H2291" t="inlineStr">
        <is>
          <t>Estaff Solucoes Tecnologicas de Agenciam</t>
        </is>
      </c>
      <c r="I2291" t="n">
        <v>-13101.79</v>
      </c>
    </row>
    <row r="2292">
      <c r="A2292" t="n">
        <v>102364</v>
      </c>
      <c r="B2292" t="n">
        <v>182</v>
      </c>
      <c r="C2292" t="inlineStr">
        <is>
          <t>Love - Shibari - Kamino</t>
        </is>
      </c>
      <c r="D2292" t="n">
        <v>128</v>
      </c>
      <c r="E2292" t="inlineStr">
        <is>
          <t>Love Cabaret</t>
        </is>
      </c>
      <c r="F2292" s="27" t="n">
        <v>45805</v>
      </c>
      <c r="G2292" t="inlineStr">
        <is>
          <t>DEBITO</t>
        </is>
      </c>
      <c r="H2292" t="inlineStr">
        <is>
          <t>Zoop Brasil</t>
        </is>
      </c>
      <c r="I2292" t="n">
        <v>-561.84</v>
      </c>
    </row>
    <row r="2293">
      <c r="A2293" t="n">
        <v>102363</v>
      </c>
      <c r="B2293" t="n">
        <v>182</v>
      </c>
      <c r="C2293" t="inlineStr">
        <is>
          <t>Love - Shibari - Kamino</t>
        </is>
      </c>
      <c r="D2293" t="n">
        <v>128</v>
      </c>
      <c r="E2293" t="inlineStr">
        <is>
          <t>Love Cabaret</t>
        </is>
      </c>
      <c r="F2293" s="27" t="n">
        <v>45805</v>
      </c>
      <c r="G2293" t="inlineStr">
        <is>
          <t>DEBITO</t>
        </is>
      </c>
      <c r="H2293" t="inlineStr">
        <is>
          <t>Cecilia Tsuyaco Araki Silva Ltda</t>
        </is>
      </c>
      <c r="I2293" t="n">
        <v>-171.15</v>
      </c>
    </row>
    <row r="2294">
      <c r="A2294" t="n">
        <v>102362</v>
      </c>
      <c r="B2294" t="n">
        <v>182</v>
      </c>
      <c r="C2294" t="inlineStr">
        <is>
          <t>Love - Shibari - Kamino</t>
        </is>
      </c>
      <c r="D2294" t="n">
        <v>128</v>
      </c>
      <c r="E2294" t="inlineStr">
        <is>
          <t>Love Cabaret</t>
        </is>
      </c>
      <c r="F2294" s="27" t="n">
        <v>45805</v>
      </c>
      <c r="G2294" t="inlineStr">
        <is>
          <t>DEBITO</t>
        </is>
      </c>
      <c r="H2294" t="inlineStr">
        <is>
          <t>Andreia Santos Freitas Duarte</t>
        </is>
      </c>
      <c r="I2294" t="n">
        <v>-523.4</v>
      </c>
    </row>
    <row r="2295">
      <c r="A2295" t="n">
        <v>102360</v>
      </c>
      <c r="B2295" t="n">
        <v>182</v>
      </c>
      <c r="C2295" t="inlineStr">
        <is>
          <t>Love - Shibari - Kamino</t>
        </is>
      </c>
      <c r="D2295" t="n">
        <v>128</v>
      </c>
      <c r="E2295" t="inlineStr">
        <is>
          <t>Love Cabaret</t>
        </is>
      </c>
      <c r="F2295" s="27" t="n">
        <v>45805</v>
      </c>
      <c r="G2295" t="inlineStr">
        <is>
          <t>DEBITO</t>
        </is>
      </c>
      <c r="H2295" t="inlineStr">
        <is>
          <t>Neumara Solidade de Jesus</t>
        </is>
      </c>
      <c r="I2295" t="n">
        <v>-425</v>
      </c>
    </row>
    <row r="2296">
      <c r="A2296" t="n">
        <v>102359</v>
      </c>
      <c r="B2296" t="n">
        <v>182</v>
      </c>
      <c r="C2296" t="inlineStr">
        <is>
          <t>Love - Shibari - Kamino</t>
        </is>
      </c>
      <c r="D2296" t="n">
        <v>128</v>
      </c>
      <c r="E2296" t="inlineStr">
        <is>
          <t>Love Cabaret</t>
        </is>
      </c>
      <c r="F2296" s="27" t="n">
        <v>45805</v>
      </c>
      <c r="G2296" t="inlineStr">
        <is>
          <t>CREDITO</t>
        </is>
      </c>
      <c r="H2296" t="inlineStr">
        <is>
          <t>Pix Env No Processado</t>
        </is>
      </c>
      <c r="I2296" t="n">
        <v>1500</v>
      </c>
    </row>
    <row r="2297">
      <c r="A2297" t="n">
        <v>102358</v>
      </c>
      <c r="B2297" t="n">
        <v>182</v>
      </c>
      <c r="C2297" t="inlineStr">
        <is>
          <t>Love - Shibari - Kamino</t>
        </is>
      </c>
      <c r="D2297" t="n">
        <v>128</v>
      </c>
      <c r="E2297" t="inlineStr">
        <is>
          <t>Love Cabaret</t>
        </is>
      </c>
      <c r="F2297" s="27" t="n">
        <v>45805</v>
      </c>
      <c r="G2297" t="inlineStr">
        <is>
          <t>DEBITO</t>
        </is>
      </c>
      <c r="H2297" t="inlineStr">
        <is>
          <t>Receita Federal</t>
        </is>
      </c>
      <c r="I2297" t="n">
        <v>-20326.88</v>
      </c>
    </row>
    <row r="2298">
      <c r="A2298" t="n">
        <v>102357</v>
      </c>
      <c r="B2298" t="n">
        <v>182</v>
      </c>
      <c r="C2298" t="inlineStr">
        <is>
          <t>Love - Shibari - Kamino</t>
        </is>
      </c>
      <c r="D2298" t="n">
        <v>128</v>
      </c>
      <c r="E2298" t="inlineStr">
        <is>
          <t>Love Cabaret</t>
        </is>
      </c>
      <c r="F2298" s="27" t="n">
        <v>45805</v>
      </c>
      <c r="G2298" t="inlineStr">
        <is>
          <t>CREDITO</t>
        </is>
      </c>
      <c r="H2298" t="inlineStr">
        <is>
          <t>SHIBARI ART E DIVERSAO LTDA</t>
        </is>
      </c>
      <c r="I2298" t="n">
        <v>73500</v>
      </c>
    </row>
    <row r="2299">
      <c r="A2299" t="n">
        <v>102449</v>
      </c>
      <c r="B2299" t="n">
        <v>115</v>
      </c>
      <c r="C2299" t="inlineStr">
        <is>
          <t>Love - Shibari - Bradesco</t>
        </is>
      </c>
      <c r="D2299" t="n">
        <v>128</v>
      </c>
      <c r="E2299" t="inlineStr">
        <is>
          <t>Love Cabaret</t>
        </is>
      </c>
      <c r="F2299" s="27" t="n">
        <v>45804.5</v>
      </c>
      <c r="G2299" t="inlineStr">
        <is>
          <t>CREDITO</t>
        </is>
      </c>
      <c r="H2299" t="inlineStr">
        <is>
          <t>TRANSFERENCIA PIX REM: MARIA CECILIA LERNER  27/05</t>
        </is>
      </c>
      <c r="I2299" t="n">
        <v>1040</v>
      </c>
    </row>
    <row r="2300">
      <c r="A2300" t="n">
        <v>102445</v>
      </c>
      <c r="B2300" t="n">
        <v>115</v>
      </c>
      <c r="C2300" t="inlineStr">
        <is>
          <t>Love - Shibari - Bradesco</t>
        </is>
      </c>
      <c r="D2300" t="n">
        <v>128</v>
      </c>
      <c r="E2300" t="inlineStr">
        <is>
          <t>Love Cabaret</t>
        </is>
      </c>
      <c r="F2300" s="27" t="n">
        <v>45804.5</v>
      </c>
      <c r="G2300" t="inlineStr">
        <is>
          <t>CREDITO</t>
        </is>
      </c>
      <c r="H2300" t="inlineStr">
        <is>
          <t>TED-TRANSF ELET DISPON REMET.SYMPLA INTERNET SOLU</t>
        </is>
      </c>
      <c r="I2300" t="n">
        <v>5915</v>
      </c>
    </row>
    <row r="2301">
      <c r="A2301" t="n">
        <v>102446</v>
      </c>
      <c r="B2301" t="n">
        <v>115</v>
      </c>
      <c r="C2301" t="inlineStr">
        <is>
          <t>Love - Shibari - Bradesco</t>
        </is>
      </c>
      <c r="D2301" t="n">
        <v>128</v>
      </c>
      <c r="E2301" t="inlineStr">
        <is>
          <t>Love Cabaret</t>
        </is>
      </c>
      <c r="F2301" s="27" t="n">
        <v>45804.5</v>
      </c>
      <c r="G2301" t="inlineStr">
        <is>
          <t>CREDITO</t>
        </is>
      </c>
      <c r="H2301" t="inlineStr">
        <is>
          <t>DEP DINHEIRO ATM AG00117MAQ061059SEQ04755</t>
        </is>
      </c>
      <c r="I2301" t="n">
        <v>1175</v>
      </c>
    </row>
    <row r="2302">
      <c r="A2302" t="n">
        <v>102447</v>
      </c>
      <c r="B2302" t="n">
        <v>115</v>
      </c>
      <c r="C2302" t="inlineStr">
        <is>
          <t>Love - Shibari - Bradesco</t>
        </is>
      </c>
      <c r="D2302" t="n">
        <v>128</v>
      </c>
      <c r="E2302" t="inlineStr">
        <is>
          <t>Love Cabaret</t>
        </is>
      </c>
      <c r="F2302" s="27" t="n">
        <v>45804.5</v>
      </c>
      <c r="G2302" t="inlineStr">
        <is>
          <t>CREDITO</t>
        </is>
      </c>
      <c r="H2302" t="inlineStr">
        <is>
          <t>TRANSFERENCIA PIX REM: NATHALIA PINHEIRO SIL 27/05</t>
        </is>
      </c>
      <c r="I2302" t="n">
        <v>520</v>
      </c>
    </row>
    <row r="2303">
      <c r="A2303" t="n">
        <v>102448</v>
      </c>
      <c r="B2303" t="n">
        <v>115</v>
      </c>
      <c r="C2303" t="inlineStr">
        <is>
          <t>Love - Shibari - Bradesco</t>
        </is>
      </c>
      <c r="D2303" t="n">
        <v>128</v>
      </c>
      <c r="E2303" t="inlineStr">
        <is>
          <t>Love Cabaret</t>
        </is>
      </c>
      <c r="F2303" s="27" t="n">
        <v>45804.5</v>
      </c>
      <c r="G2303" t="inlineStr">
        <is>
          <t>CREDITO</t>
        </is>
      </c>
      <c r="H2303" t="inlineStr">
        <is>
          <t>TRANSFERENCIA PIX REM: SHIBARI ART E DIVERSA 27/05</t>
        </is>
      </c>
      <c r="I2303" t="n">
        <v>18239.77</v>
      </c>
    </row>
    <row r="2304">
      <c r="A2304" t="n">
        <v>102443</v>
      </c>
      <c r="B2304" t="n">
        <v>115</v>
      </c>
      <c r="C2304" t="inlineStr">
        <is>
          <t>Love - Shibari - Bradesco</t>
        </is>
      </c>
      <c r="D2304" t="n">
        <v>128</v>
      </c>
      <c r="E2304" t="inlineStr">
        <is>
          <t>Love Cabaret</t>
        </is>
      </c>
      <c r="F2304" s="27" t="n">
        <v>45803.5</v>
      </c>
      <c r="G2304" t="inlineStr">
        <is>
          <t>CREDITO</t>
        </is>
      </c>
      <c r="H2304" t="inlineStr">
        <is>
          <t>TRANSFERENCIA PIX REM: SHIBARI ART E DIVERSA 26/05</t>
        </is>
      </c>
      <c r="I2304" t="n">
        <v>54683.01</v>
      </c>
    </row>
    <row r="2305">
      <c r="A2305" t="n">
        <v>102444</v>
      </c>
      <c r="B2305" t="n">
        <v>115</v>
      </c>
      <c r="C2305" t="inlineStr">
        <is>
          <t>Love - Shibari - Bradesco</t>
        </is>
      </c>
      <c r="D2305" t="n">
        <v>128</v>
      </c>
      <c r="E2305" t="inlineStr">
        <is>
          <t>Love Cabaret</t>
        </is>
      </c>
      <c r="F2305" s="27" t="n">
        <v>45803.5</v>
      </c>
      <c r="G2305" t="inlineStr">
        <is>
          <t>DEBITO</t>
        </is>
      </c>
      <c r="H2305" t="inlineStr">
        <is>
          <t>TRANSFERENCIA PIX DES: SHIBARI ART E DIVERSA 26/05</t>
        </is>
      </c>
      <c r="I2305" t="n">
        <v>-22300</v>
      </c>
    </row>
    <row r="2306">
      <c r="A2306" t="n">
        <v>102319</v>
      </c>
      <c r="B2306" t="n">
        <v>182</v>
      </c>
      <c r="C2306" t="inlineStr">
        <is>
          <t>Love - Shibari - Kamino</t>
        </is>
      </c>
      <c r="D2306" t="n">
        <v>128</v>
      </c>
      <c r="E2306" t="inlineStr">
        <is>
          <t>Love Cabaret</t>
        </is>
      </c>
      <c r="F2306" s="27" t="n">
        <v>45803</v>
      </c>
      <c r="G2306" t="inlineStr">
        <is>
          <t>DEBITO</t>
        </is>
      </c>
      <c r="H2306" t="inlineStr">
        <is>
          <t>Cvt Locacoes e Eventos Ltda</t>
        </is>
      </c>
      <c r="I2306" t="n">
        <v>-550</v>
      </c>
    </row>
    <row r="2307">
      <c r="A2307" t="n">
        <v>102356</v>
      </c>
      <c r="B2307" t="n">
        <v>182</v>
      </c>
      <c r="C2307" t="inlineStr">
        <is>
          <t>Love - Shibari - Kamino</t>
        </is>
      </c>
      <c r="D2307" t="n">
        <v>128</v>
      </c>
      <c r="E2307" t="inlineStr">
        <is>
          <t>Love Cabaret</t>
        </is>
      </c>
      <c r="F2307" s="27" t="n">
        <v>45803</v>
      </c>
      <c r="G2307" t="inlineStr">
        <is>
          <t>DEBITO</t>
        </is>
      </c>
      <c r="H2307" t="inlineStr">
        <is>
          <t>Cepel Comercio de Papeis e Emb</t>
        </is>
      </c>
      <c r="I2307" t="n">
        <v>-649.46</v>
      </c>
    </row>
    <row r="2308">
      <c r="A2308" t="n">
        <v>102355</v>
      </c>
      <c r="B2308" t="n">
        <v>182</v>
      </c>
      <c r="C2308" t="inlineStr">
        <is>
          <t>Love - Shibari - Kamino</t>
        </is>
      </c>
      <c r="D2308" t="n">
        <v>128</v>
      </c>
      <c r="E2308" t="inlineStr">
        <is>
          <t>Love Cabaret</t>
        </is>
      </c>
      <c r="F2308" s="27" t="n">
        <v>45803</v>
      </c>
      <c r="G2308" t="inlineStr">
        <is>
          <t>DEBITO</t>
        </is>
      </c>
      <c r="H2308" t="inlineStr">
        <is>
          <t>Zahil Importadora Ltda</t>
        </is>
      </c>
      <c r="I2308" t="n">
        <v>-1761.08</v>
      </c>
    </row>
    <row r="2309">
      <c r="A2309" t="n">
        <v>102354</v>
      </c>
      <c r="B2309" t="n">
        <v>182</v>
      </c>
      <c r="C2309" t="inlineStr">
        <is>
          <t>Love - Shibari - Kamino</t>
        </is>
      </c>
      <c r="D2309" t="n">
        <v>128</v>
      </c>
      <c r="E2309" t="inlineStr">
        <is>
          <t>Love Cabaret</t>
        </is>
      </c>
      <c r="F2309" s="27" t="n">
        <v>45803</v>
      </c>
      <c r="G2309" t="inlineStr">
        <is>
          <t>DEBITO</t>
        </is>
      </c>
      <c r="H2309" t="inlineStr">
        <is>
          <t>Felipe da Costa Santos</t>
        </is>
      </c>
      <c r="I2309" t="n">
        <v>-35.58</v>
      </c>
    </row>
    <row r="2310">
      <c r="A2310" t="n">
        <v>102327</v>
      </c>
      <c r="B2310" t="n">
        <v>182</v>
      </c>
      <c r="C2310" t="inlineStr">
        <is>
          <t>Love - Shibari - Kamino</t>
        </is>
      </c>
      <c r="D2310" t="n">
        <v>128</v>
      </c>
      <c r="E2310" t="inlineStr">
        <is>
          <t>Love Cabaret</t>
        </is>
      </c>
      <c r="F2310" s="27" t="n">
        <v>45803</v>
      </c>
      <c r="G2310" t="inlineStr">
        <is>
          <t>DEBITO</t>
        </is>
      </c>
      <c r="H2310" t="inlineStr">
        <is>
          <t>Psss Ltda</t>
        </is>
      </c>
      <c r="I2310" t="n">
        <v>-536.9</v>
      </c>
    </row>
    <row r="2311">
      <c r="A2311" t="n">
        <v>102335</v>
      </c>
      <c r="B2311" t="n">
        <v>182</v>
      </c>
      <c r="C2311" t="inlineStr">
        <is>
          <t>Love - Shibari - Kamino</t>
        </is>
      </c>
      <c r="D2311" t="n">
        <v>128</v>
      </c>
      <c r="E2311" t="inlineStr">
        <is>
          <t>Love Cabaret</t>
        </is>
      </c>
      <c r="F2311" s="27" t="n">
        <v>45803</v>
      </c>
      <c r="G2311" t="inlineStr">
        <is>
          <t>DEBITO</t>
        </is>
      </c>
      <c r="H2311" t="inlineStr">
        <is>
          <t>Wide Stock com e Rep Ltda</t>
        </is>
      </c>
      <c r="I2311" t="n">
        <v>-911.1</v>
      </c>
    </row>
    <row r="2312">
      <c r="A2312" t="n">
        <v>102334</v>
      </c>
      <c r="B2312" t="n">
        <v>182</v>
      </c>
      <c r="C2312" t="inlineStr">
        <is>
          <t>Love - Shibari - Kamino</t>
        </is>
      </c>
      <c r="D2312" t="n">
        <v>128</v>
      </c>
      <c r="E2312" t="inlineStr">
        <is>
          <t>Love Cabaret</t>
        </is>
      </c>
      <c r="F2312" s="27" t="n">
        <v>45803</v>
      </c>
      <c r="G2312" t="inlineStr">
        <is>
          <t>DEBITO</t>
        </is>
      </c>
      <c r="H2312" t="inlineStr">
        <is>
          <t>B. B. Distribuidora de Carnes Ltda</t>
        </is>
      </c>
      <c r="I2312" t="n">
        <v>-807.36</v>
      </c>
    </row>
    <row r="2313">
      <c r="A2313" t="n">
        <v>102333</v>
      </c>
      <c r="B2313" t="n">
        <v>182</v>
      </c>
      <c r="C2313" t="inlineStr">
        <is>
          <t>Love - Shibari - Kamino</t>
        </is>
      </c>
      <c r="D2313" t="n">
        <v>128</v>
      </c>
      <c r="E2313" t="inlineStr">
        <is>
          <t>Love Cabaret</t>
        </is>
      </c>
      <c r="F2313" s="27" t="n">
        <v>45803</v>
      </c>
      <c r="G2313" t="inlineStr">
        <is>
          <t>DEBITO</t>
        </is>
      </c>
      <c r="H2313" t="inlineStr">
        <is>
          <t>Paramu Comercio R P a Ltda</t>
        </is>
      </c>
      <c r="I2313" t="n">
        <v>-1103.36</v>
      </c>
    </row>
    <row r="2314">
      <c r="A2314" t="n">
        <v>102332</v>
      </c>
      <c r="B2314" t="n">
        <v>182</v>
      </c>
      <c r="C2314" t="inlineStr">
        <is>
          <t>Love - Shibari - Kamino</t>
        </is>
      </c>
      <c r="D2314" t="n">
        <v>128</v>
      </c>
      <c r="E2314" t="inlineStr">
        <is>
          <t>Love Cabaret</t>
        </is>
      </c>
      <c r="F2314" s="27" t="n">
        <v>45803</v>
      </c>
      <c r="G2314" t="inlineStr">
        <is>
          <t>DEBITO</t>
        </is>
      </c>
      <c r="H2314" t="inlineStr">
        <is>
          <t>Ng27 Consultoria e Gestao Empr</t>
        </is>
      </c>
      <c r="I2314" t="n">
        <v>-99.93000000000001</v>
      </c>
    </row>
    <row r="2315">
      <c r="A2315" t="n">
        <v>102331</v>
      </c>
      <c r="B2315" t="n">
        <v>182</v>
      </c>
      <c r="C2315" t="inlineStr">
        <is>
          <t>Love - Shibari - Kamino</t>
        </is>
      </c>
      <c r="D2315" t="n">
        <v>128</v>
      </c>
      <c r="E2315" t="inlineStr">
        <is>
          <t>Love Cabaret</t>
        </is>
      </c>
      <c r="F2315" s="27" t="n">
        <v>45803</v>
      </c>
      <c r="G2315" t="inlineStr">
        <is>
          <t>DEBITO</t>
        </is>
      </c>
      <c r="H2315" t="inlineStr">
        <is>
          <t>Proauto Industria Q Eireli</t>
        </is>
      </c>
      <c r="I2315" t="n">
        <v>-927.9</v>
      </c>
    </row>
    <row r="2316">
      <c r="A2316" t="n">
        <v>102330</v>
      </c>
      <c r="B2316" t="n">
        <v>182</v>
      </c>
      <c r="C2316" t="inlineStr">
        <is>
          <t>Love - Shibari - Kamino</t>
        </is>
      </c>
      <c r="D2316" t="n">
        <v>128</v>
      </c>
      <c r="E2316" t="inlineStr">
        <is>
          <t>Love Cabaret</t>
        </is>
      </c>
      <c r="F2316" s="27" t="n">
        <v>45803</v>
      </c>
      <c r="G2316" t="inlineStr">
        <is>
          <t>DEBITO</t>
        </is>
      </c>
      <c r="H2316" t="inlineStr">
        <is>
          <t>Comercial Imp e Exp Metapunto</t>
        </is>
      </c>
      <c r="I2316" t="n">
        <v>-659</v>
      </c>
    </row>
    <row r="2317">
      <c r="A2317" t="n">
        <v>102329</v>
      </c>
      <c r="B2317" t="n">
        <v>182</v>
      </c>
      <c r="C2317" t="inlineStr">
        <is>
          <t>Love - Shibari - Kamino</t>
        </is>
      </c>
      <c r="D2317" t="n">
        <v>128</v>
      </c>
      <c r="E2317" t="inlineStr">
        <is>
          <t>Love Cabaret</t>
        </is>
      </c>
      <c r="F2317" s="27" t="n">
        <v>45803</v>
      </c>
      <c r="G2317" t="inlineStr">
        <is>
          <t>DEBITO</t>
        </is>
      </c>
      <c r="H2317" t="inlineStr">
        <is>
          <t>Bruno Mercearia Ltda</t>
        </is>
      </c>
      <c r="I2317" t="n">
        <v>-996</v>
      </c>
    </row>
    <row r="2318">
      <c r="A2318" t="n">
        <v>102328</v>
      </c>
      <c r="B2318" t="n">
        <v>182</v>
      </c>
      <c r="C2318" t="inlineStr">
        <is>
          <t>Love - Shibari - Kamino</t>
        </is>
      </c>
      <c r="D2318" t="n">
        <v>128</v>
      </c>
      <c r="E2318" t="inlineStr">
        <is>
          <t>Love Cabaret</t>
        </is>
      </c>
      <c r="F2318" s="27" t="n">
        <v>45803</v>
      </c>
      <c r="G2318" t="inlineStr">
        <is>
          <t>DEBITO</t>
        </is>
      </c>
      <c r="H2318" t="inlineStr">
        <is>
          <t>Dtk Comercio de Alimentos Ltda Epp</t>
        </is>
      </c>
      <c r="I2318" t="n">
        <v>-905.39</v>
      </c>
    </row>
    <row r="2319">
      <c r="A2319" t="n">
        <v>102352</v>
      </c>
      <c r="B2319" t="n">
        <v>182</v>
      </c>
      <c r="C2319" t="inlineStr">
        <is>
          <t>Love - Shibari - Kamino</t>
        </is>
      </c>
      <c r="D2319" t="n">
        <v>128</v>
      </c>
      <c r="E2319" t="inlineStr">
        <is>
          <t>Love Cabaret</t>
        </is>
      </c>
      <c r="F2319" s="27" t="n">
        <v>45803</v>
      </c>
      <c r="G2319" t="inlineStr">
        <is>
          <t>DEBITO</t>
        </is>
      </c>
      <c r="H2319" t="inlineStr">
        <is>
          <t>Receita Federal</t>
        </is>
      </c>
      <c r="I2319" t="n">
        <v>-597.03</v>
      </c>
    </row>
    <row r="2320">
      <c r="A2320" t="n">
        <v>102326</v>
      </c>
      <c r="B2320" t="n">
        <v>182</v>
      </c>
      <c r="C2320" t="inlineStr">
        <is>
          <t>Love - Shibari - Kamino</t>
        </is>
      </c>
      <c r="D2320" t="n">
        <v>128</v>
      </c>
      <c r="E2320" t="inlineStr">
        <is>
          <t>Love Cabaret</t>
        </is>
      </c>
      <c r="F2320" s="27" t="n">
        <v>45803</v>
      </c>
      <c r="G2320" t="inlineStr">
        <is>
          <t>DEBITO</t>
        </is>
      </c>
      <c r="H2320" t="inlineStr">
        <is>
          <t>Telefonica Brasil S.A.</t>
        </is>
      </c>
      <c r="I2320" t="n">
        <v>-487.66</v>
      </c>
    </row>
    <row r="2321">
      <c r="A2321" t="n">
        <v>102325</v>
      </c>
      <c r="B2321" t="n">
        <v>182</v>
      </c>
      <c r="C2321" t="inlineStr">
        <is>
          <t>Love - Shibari - Kamino</t>
        </is>
      </c>
      <c r="D2321" t="n">
        <v>128</v>
      </c>
      <c r="E2321" t="inlineStr">
        <is>
          <t>Love Cabaret</t>
        </is>
      </c>
      <c r="F2321" s="27" t="n">
        <v>45803</v>
      </c>
      <c r="G2321" t="inlineStr">
        <is>
          <t>DEBITO</t>
        </is>
      </c>
      <c r="H2321" t="inlineStr">
        <is>
          <t>Receita Federal</t>
        </is>
      </c>
      <c r="I2321" t="n">
        <v>-782.0700000000001</v>
      </c>
    </row>
    <row r="2322">
      <c r="A2322" t="n">
        <v>102324</v>
      </c>
      <c r="B2322" t="n">
        <v>182</v>
      </c>
      <c r="C2322" t="inlineStr">
        <is>
          <t>Love - Shibari - Kamino</t>
        </is>
      </c>
      <c r="D2322" t="n">
        <v>128</v>
      </c>
      <c r="E2322" t="inlineStr">
        <is>
          <t>Love Cabaret</t>
        </is>
      </c>
      <c r="F2322" s="27" t="n">
        <v>45803</v>
      </c>
      <c r="G2322" t="inlineStr">
        <is>
          <t>DEBITO</t>
        </is>
      </c>
      <c r="H2322" t="inlineStr">
        <is>
          <t>Cecilia Tsuyaco Araki Silva Ltda</t>
        </is>
      </c>
      <c r="I2322" t="n">
        <v>-137.6</v>
      </c>
    </row>
    <row r="2323">
      <c r="A2323" t="n">
        <v>102323</v>
      </c>
      <c r="B2323" t="n">
        <v>182</v>
      </c>
      <c r="C2323" t="inlineStr">
        <is>
          <t>Love - Shibari - Kamino</t>
        </is>
      </c>
      <c r="D2323" t="n">
        <v>128</v>
      </c>
      <c r="E2323" t="inlineStr">
        <is>
          <t>Love Cabaret</t>
        </is>
      </c>
      <c r="F2323" s="27" t="n">
        <v>45803</v>
      </c>
      <c r="G2323" t="inlineStr">
        <is>
          <t>DEBITO</t>
        </is>
      </c>
      <c r="H2323" t="inlineStr">
        <is>
          <t>Invye Capital Ltda</t>
        </is>
      </c>
      <c r="I2323" t="n">
        <v>-1200</v>
      </c>
    </row>
    <row r="2324">
      <c r="A2324" t="n">
        <v>102322</v>
      </c>
      <c r="B2324" t="n">
        <v>182</v>
      </c>
      <c r="C2324" t="inlineStr">
        <is>
          <t>Love - Shibari - Kamino</t>
        </is>
      </c>
      <c r="D2324" t="n">
        <v>128</v>
      </c>
      <c r="E2324" t="inlineStr">
        <is>
          <t>Love Cabaret</t>
        </is>
      </c>
      <c r="F2324" s="27" t="n">
        <v>45803</v>
      </c>
      <c r="G2324" t="inlineStr">
        <is>
          <t>DEBITO</t>
        </is>
      </c>
      <c r="H2324" t="inlineStr">
        <is>
          <t>Receita Federal</t>
        </is>
      </c>
      <c r="I2324" t="n">
        <v>-574.53</v>
      </c>
    </row>
    <row r="2325">
      <c r="A2325" t="n">
        <v>102321</v>
      </c>
      <c r="B2325" t="n">
        <v>182</v>
      </c>
      <c r="C2325" t="inlineStr">
        <is>
          <t>Love - Shibari - Kamino</t>
        </is>
      </c>
      <c r="D2325" t="n">
        <v>128</v>
      </c>
      <c r="E2325" t="inlineStr">
        <is>
          <t>Love Cabaret</t>
        </is>
      </c>
      <c r="F2325" s="27" t="n">
        <v>45803</v>
      </c>
      <c r="G2325" t="inlineStr">
        <is>
          <t>DEBITO</t>
        </is>
      </c>
      <c r="H2325" t="inlineStr">
        <is>
          <t>Andreia Santos Freitas Duarte</t>
        </is>
      </c>
      <c r="I2325" t="n">
        <v>-197.67</v>
      </c>
    </row>
    <row r="2326">
      <c r="A2326" t="n">
        <v>102320</v>
      </c>
      <c r="B2326" t="n">
        <v>182</v>
      </c>
      <c r="C2326" t="inlineStr">
        <is>
          <t>Love - Shibari - Kamino</t>
        </is>
      </c>
      <c r="D2326" t="n">
        <v>128</v>
      </c>
      <c r="E2326" t="inlineStr">
        <is>
          <t>Love Cabaret</t>
        </is>
      </c>
      <c r="F2326" s="27" t="n">
        <v>45803</v>
      </c>
      <c r="G2326" t="inlineStr">
        <is>
          <t>DEBITO</t>
        </is>
      </c>
      <c r="H2326" t="inlineStr">
        <is>
          <t>Telefonica Brasil S.A.</t>
        </is>
      </c>
      <c r="I2326" t="n">
        <v>-21.71</v>
      </c>
    </row>
    <row r="2327">
      <c r="A2327" t="n">
        <v>102318</v>
      </c>
      <c r="B2327" t="n">
        <v>182</v>
      </c>
      <c r="C2327" t="inlineStr">
        <is>
          <t>Love - Shibari - Kamino</t>
        </is>
      </c>
      <c r="D2327" t="n">
        <v>128</v>
      </c>
      <c r="E2327" t="inlineStr">
        <is>
          <t>Love Cabaret</t>
        </is>
      </c>
      <c r="F2327" s="27" t="n">
        <v>45803</v>
      </c>
      <c r="G2327" t="inlineStr">
        <is>
          <t>CREDITO</t>
        </is>
      </c>
      <c r="H2327" t="inlineStr">
        <is>
          <t>SHIBARI ART E DIVERSAO LTDA</t>
        </is>
      </c>
      <c r="I2327" t="n">
        <v>22300</v>
      </c>
    </row>
    <row r="2328">
      <c r="A2328" t="n">
        <v>102345</v>
      </c>
      <c r="B2328" t="n">
        <v>182</v>
      </c>
      <c r="C2328" t="inlineStr">
        <is>
          <t>Love - Shibari - Kamino</t>
        </is>
      </c>
      <c r="D2328" t="n">
        <v>128</v>
      </c>
      <c r="E2328" t="inlineStr">
        <is>
          <t>Love Cabaret</t>
        </is>
      </c>
      <c r="F2328" s="27" t="n">
        <v>45803</v>
      </c>
      <c r="G2328" t="inlineStr">
        <is>
          <t>DEBITO</t>
        </is>
      </c>
      <c r="H2328" t="inlineStr">
        <is>
          <t>Roberta Maria Santana</t>
        </is>
      </c>
      <c r="I2328" t="n">
        <v>-47.76</v>
      </c>
    </row>
    <row r="2329">
      <c r="A2329" t="n">
        <v>102346</v>
      </c>
      <c r="B2329" t="n">
        <v>182</v>
      </c>
      <c r="C2329" t="inlineStr">
        <is>
          <t>Love - Shibari - Kamino</t>
        </is>
      </c>
      <c r="D2329" t="n">
        <v>128</v>
      </c>
      <c r="E2329" t="inlineStr">
        <is>
          <t>Love Cabaret</t>
        </is>
      </c>
      <c r="F2329" s="27" t="n">
        <v>45803</v>
      </c>
      <c r="G2329" t="inlineStr">
        <is>
          <t>CREDITO</t>
        </is>
      </c>
      <c r="H2329" t="inlineStr">
        <is>
          <t>Pix Env No Processado</t>
        </is>
      </c>
      <c r="I2329" t="n">
        <v>35.58</v>
      </c>
    </row>
    <row r="2330">
      <c r="A2330" t="n">
        <v>102347</v>
      </c>
      <c r="B2330" t="n">
        <v>182</v>
      </c>
      <c r="C2330" t="inlineStr">
        <is>
          <t>Love - Shibari - Kamino</t>
        </is>
      </c>
      <c r="D2330" t="n">
        <v>128</v>
      </c>
      <c r="E2330" t="inlineStr">
        <is>
          <t>Love Cabaret</t>
        </is>
      </c>
      <c r="F2330" s="27" t="n">
        <v>45803</v>
      </c>
      <c r="G2330" t="inlineStr">
        <is>
          <t>DEBITO</t>
        </is>
      </c>
      <c r="H2330" t="inlineStr">
        <is>
          <t>55.214.822 Wagner da Silva Franca</t>
        </is>
      </c>
      <c r="I2330" t="n">
        <v>-52.38</v>
      </c>
    </row>
    <row r="2331">
      <c r="A2331" t="n">
        <v>102348</v>
      </c>
      <c r="B2331" t="n">
        <v>182</v>
      </c>
      <c r="C2331" t="inlineStr">
        <is>
          <t>Love - Shibari - Kamino</t>
        </is>
      </c>
      <c r="D2331" t="n">
        <v>128</v>
      </c>
      <c r="E2331" t="inlineStr">
        <is>
          <t>Love Cabaret</t>
        </is>
      </c>
      <c r="F2331" s="27" t="n">
        <v>45803</v>
      </c>
      <c r="G2331" t="inlineStr">
        <is>
          <t>DEBITO</t>
        </is>
      </c>
      <c r="H2331" t="inlineStr">
        <is>
          <t>Preshh Bar Ltda</t>
        </is>
      </c>
      <c r="I2331" t="n">
        <v>-198</v>
      </c>
    </row>
    <row r="2332">
      <c r="A2332" t="n">
        <v>102349</v>
      </c>
      <c r="B2332" t="n">
        <v>182</v>
      </c>
      <c r="C2332" t="inlineStr">
        <is>
          <t>Love - Shibari - Kamino</t>
        </is>
      </c>
      <c r="D2332" t="n">
        <v>128</v>
      </c>
      <c r="E2332" t="inlineStr">
        <is>
          <t>Love Cabaret</t>
        </is>
      </c>
      <c r="F2332" s="27" t="n">
        <v>45803</v>
      </c>
      <c r="G2332" t="inlineStr">
        <is>
          <t>CREDITO</t>
        </is>
      </c>
      <c r="H2332" t="inlineStr">
        <is>
          <t>Pix Env No Processado</t>
        </is>
      </c>
      <c r="I2332" t="n">
        <v>52.38</v>
      </c>
    </row>
    <row r="2333">
      <c r="A2333" t="n">
        <v>102336</v>
      </c>
      <c r="B2333" t="n">
        <v>182</v>
      </c>
      <c r="C2333" t="inlineStr">
        <is>
          <t>Love - Shibari - Kamino</t>
        </is>
      </c>
      <c r="D2333" t="n">
        <v>128</v>
      </c>
      <c r="E2333" t="inlineStr">
        <is>
          <t>Love Cabaret</t>
        </is>
      </c>
      <c r="F2333" s="27" t="n">
        <v>45803</v>
      </c>
      <c r="G2333" t="inlineStr">
        <is>
          <t>DEBITO</t>
        </is>
      </c>
      <c r="H2333" t="inlineStr">
        <is>
          <t>Cg Food S Distr Alimentos Ltda</t>
        </is>
      </c>
      <c r="I2333" t="n">
        <v>-296.9</v>
      </c>
    </row>
    <row r="2334">
      <c r="A2334" t="n">
        <v>102350</v>
      </c>
      <c r="B2334" t="n">
        <v>182</v>
      </c>
      <c r="C2334" t="inlineStr">
        <is>
          <t>Love - Shibari - Kamino</t>
        </is>
      </c>
      <c r="D2334" t="n">
        <v>128</v>
      </c>
      <c r="E2334" t="inlineStr">
        <is>
          <t>Love Cabaret</t>
        </is>
      </c>
      <c r="F2334" s="27" t="n">
        <v>45803</v>
      </c>
      <c r="G2334" t="inlineStr">
        <is>
          <t>DEBITO</t>
        </is>
      </c>
      <c r="H2334" t="inlineStr">
        <is>
          <t>Companhia de Gas de Sp Comgas</t>
        </is>
      </c>
      <c r="I2334" t="n">
        <v>-1819.31</v>
      </c>
    </row>
    <row r="2335">
      <c r="A2335" t="n">
        <v>102351</v>
      </c>
      <c r="B2335" t="n">
        <v>182</v>
      </c>
      <c r="C2335" t="inlineStr">
        <is>
          <t>Love - Shibari - Kamino</t>
        </is>
      </c>
      <c r="D2335" t="n">
        <v>128</v>
      </c>
      <c r="E2335" t="inlineStr">
        <is>
          <t>Love Cabaret</t>
        </is>
      </c>
      <c r="F2335" s="27" t="n">
        <v>45803</v>
      </c>
      <c r="G2335" t="inlineStr">
        <is>
          <t>DEBITO</t>
        </is>
      </c>
      <c r="H2335" t="inlineStr">
        <is>
          <t>Forte Alimentos Comercio e Importacao Lt</t>
        </is>
      </c>
      <c r="I2335" t="n">
        <v>-286.16</v>
      </c>
    </row>
    <row r="2336">
      <c r="A2336" t="n">
        <v>102353</v>
      </c>
      <c r="B2336" t="n">
        <v>182</v>
      </c>
      <c r="C2336" t="inlineStr">
        <is>
          <t>Love - Shibari - Kamino</t>
        </is>
      </c>
      <c r="D2336" t="n">
        <v>128</v>
      </c>
      <c r="E2336" t="inlineStr">
        <is>
          <t>Love Cabaret</t>
        </is>
      </c>
      <c r="F2336" s="27" t="n">
        <v>45803</v>
      </c>
      <c r="G2336" t="inlineStr">
        <is>
          <t>DEBITO</t>
        </is>
      </c>
      <c r="H2336" t="inlineStr">
        <is>
          <t>55 214 822 Wagner da Silva Franca</t>
        </is>
      </c>
      <c r="I2336" t="n">
        <v>-52.38</v>
      </c>
    </row>
    <row r="2337">
      <c r="A2337" t="n">
        <v>102344</v>
      </c>
      <c r="B2337" t="n">
        <v>182</v>
      </c>
      <c r="C2337" t="inlineStr">
        <is>
          <t>Love - Shibari - Kamino</t>
        </is>
      </c>
      <c r="D2337" t="n">
        <v>128</v>
      </c>
      <c r="E2337" t="inlineStr">
        <is>
          <t>Love Cabaret</t>
        </is>
      </c>
      <c r="F2337" s="27" t="n">
        <v>45803</v>
      </c>
      <c r="G2337" t="inlineStr">
        <is>
          <t>DEBITO</t>
        </is>
      </c>
      <c r="H2337" t="inlineStr">
        <is>
          <t>23.824.129 Felipe da Costa Santos</t>
        </is>
      </c>
      <c r="I2337" t="n">
        <v>-35.58</v>
      </c>
    </row>
    <row r="2338">
      <c r="A2338" t="n">
        <v>102343</v>
      </c>
      <c r="B2338" t="n">
        <v>182</v>
      </c>
      <c r="C2338" t="inlineStr">
        <is>
          <t>Love - Shibari - Kamino</t>
        </is>
      </c>
      <c r="D2338" t="n">
        <v>128</v>
      </c>
      <c r="E2338" t="inlineStr">
        <is>
          <t>Love Cabaret</t>
        </is>
      </c>
      <c r="F2338" s="27" t="n">
        <v>45803</v>
      </c>
      <c r="G2338" t="inlineStr">
        <is>
          <t>DEBITO</t>
        </is>
      </c>
      <c r="H2338" t="inlineStr">
        <is>
          <t>Aurora Alvorada Estacionamento e Lanchon</t>
        </is>
      </c>
      <c r="I2338" t="n">
        <v>-201.5</v>
      </c>
    </row>
    <row r="2339">
      <c r="A2339" t="n">
        <v>102342</v>
      </c>
      <c r="B2339" t="n">
        <v>182</v>
      </c>
      <c r="C2339" t="inlineStr">
        <is>
          <t>Love - Shibari - Kamino</t>
        </is>
      </c>
      <c r="D2339" t="n">
        <v>128</v>
      </c>
      <c r="E2339" t="inlineStr">
        <is>
          <t>Love Cabaret</t>
        </is>
      </c>
      <c r="F2339" s="27" t="n">
        <v>45803</v>
      </c>
      <c r="G2339" t="inlineStr">
        <is>
          <t>DEBITO</t>
        </is>
      </c>
      <c r="H2339" t="inlineStr">
        <is>
          <t>Aurora Alvorada Estacionamento e Lanchon</t>
        </is>
      </c>
      <c r="I2339" t="n">
        <v>-209.36</v>
      </c>
    </row>
    <row r="2340">
      <c r="A2340" t="n">
        <v>102341</v>
      </c>
      <c r="B2340" t="n">
        <v>182</v>
      </c>
      <c r="C2340" t="inlineStr">
        <is>
          <t>Love - Shibari - Kamino</t>
        </is>
      </c>
      <c r="D2340" t="n">
        <v>128</v>
      </c>
      <c r="E2340" t="inlineStr">
        <is>
          <t>Love Cabaret</t>
        </is>
      </c>
      <c r="F2340" s="27" t="n">
        <v>45803</v>
      </c>
      <c r="G2340" t="inlineStr">
        <is>
          <t>DEBITO</t>
        </is>
      </c>
      <c r="H2340" t="inlineStr">
        <is>
          <t>Stark Bank S.A.</t>
        </is>
      </c>
      <c r="I2340" t="n">
        <v>-29.5</v>
      </c>
    </row>
    <row r="2341">
      <c r="A2341" t="n">
        <v>102340</v>
      </c>
      <c r="B2341" t="n">
        <v>182</v>
      </c>
      <c r="C2341" t="inlineStr">
        <is>
          <t>Love - Shibari - Kamino</t>
        </is>
      </c>
      <c r="D2341" t="n">
        <v>128</v>
      </c>
      <c r="E2341" t="inlineStr">
        <is>
          <t>Love Cabaret</t>
        </is>
      </c>
      <c r="F2341" s="27" t="n">
        <v>45803</v>
      </c>
      <c r="G2341" t="inlineStr">
        <is>
          <t>DEBITO</t>
        </is>
      </c>
      <c r="H2341" t="inlineStr">
        <is>
          <t>Joo Vitor Mendes Salustiano</t>
        </is>
      </c>
      <c r="I2341" t="n">
        <v>-136.1</v>
      </c>
    </row>
    <row r="2342">
      <c r="A2342" t="n">
        <v>102339</v>
      </c>
      <c r="B2342" t="n">
        <v>182</v>
      </c>
      <c r="C2342" t="inlineStr">
        <is>
          <t>Love - Shibari - Kamino</t>
        </is>
      </c>
      <c r="D2342" t="n">
        <v>128</v>
      </c>
      <c r="E2342" t="inlineStr">
        <is>
          <t>Love Cabaret</t>
        </is>
      </c>
      <c r="F2342" s="27" t="n">
        <v>45803</v>
      </c>
      <c r="G2342" t="inlineStr">
        <is>
          <t>DEBITO</t>
        </is>
      </c>
      <c r="H2342" t="inlineStr">
        <is>
          <t>Facundo Guerra Rivero</t>
        </is>
      </c>
      <c r="I2342" t="n">
        <v>-1792</v>
      </c>
    </row>
    <row r="2343">
      <c r="A2343" t="n">
        <v>102338</v>
      </c>
      <c r="B2343" t="n">
        <v>182</v>
      </c>
      <c r="C2343" t="inlineStr">
        <is>
          <t>Love - Shibari - Kamino</t>
        </is>
      </c>
      <c r="D2343" t="n">
        <v>128</v>
      </c>
      <c r="E2343" t="inlineStr">
        <is>
          <t>Love Cabaret</t>
        </is>
      </c>
      <c r="F2343" s="27" t="n">
        <v>45803</v>
      </c>
      <c r="G2343" t="inlineStr">
        <is>
          <t>DEBITO</t>
        </is>
      </c>
      <c r="H2343" t="inlineStr">
        <is>
          <t>Hnk Br Ind de Bebidas Ltda</t>
        </is>
      </c>
      <c r="I2343" t="n">
        <v>-2215.53</v>
      </c>
    </row>
    <row r="2344">
      <c r="A2344" t="n">
        <v>102337</v>
      </c>
      <c r="B2344" t="n">
        <v>182</v>
      </c>
      <c r="C2344" t="inlineStr">
        <is>
          <t>Love - Shibari - Kamino</t>
        </is>
      </c>
      <c r="D2344" t="n">
        <v>128</v>
      </c>
      <c r="E2344" t="inlineStr">
        <is>
          <t>Love Cabaret</t>
        </is>
      </c>
      <c r="F2344" s="27" t="n">
        <v>45803</v>
      </c>
      <c r="G2344" t="inlineStr">
        <is>
          <t>DEBITO</t>
        </is>
      </c>
      <c r="H2344" t="inlineStr">
        <is>
          <t>Fg7 Comercio D B Eireli Epp</t>
        </is>
      </c>
      <c r="I2344" t="n">
        <v>-965.85</v>
      </c>
    </row>
    <row r="2345">
      <c r="A2345" t="n">
        <v>102436</v>
      </c>
      <c r="B2345" t="n">
        <v>115</v>
      </c>
      <c r="C2345" t="inlineStr">
        <is>
          <t>Love - Shibari - Bradesco</t>
        </is>
      </c>
      <c r="D2345" t="n">
        <v>128</v>
      </c>
      <c r="E2345" t="inlineStr">
        <is>
          <t>Love Cabaret</t>
        </is>
      </c>
      <c r="F2345" s="27" t="n">
        <v>45800.5</v>
      </c>
      <c r="G2345" t="inlineStr">
        <is>
          <t>CREDITO</t>
        </is>
      </c>
      <c r="H2345" t="inlineStr">
        <is>
          <t>TED-TRANSF ELET DISPON REMET.DIVERTI TICKETS COME</t>
        </is>
      </c>
      <c r="I2345" t="n">
        <v>191.34</v>
      </c>
    </row>
    <row r="2346">
      <c r="A2346" t="n">
        <v>102442</v>
      </c>
      <c r="B2346" t="n">
        <v>115</v>
      </c>
      <c r="C2346" t="inlineStr">
        <is>
          <t>Love - Shibari - Bradesco</t>
        </is>
      </c>
      <c r="D2346" t="n">
        <v>128</v>
      </c>
      <c r="E2346" t="inlineStr">
        <is>
          <t>Love Cabaret</t>
        </is>
      </c>
      <c r="F2346" s="27" t="n">
        <v>45800.5</v>
      </c>
      <c r="G2346" t="inlineStr">
        <is>
          <t>DEBITO</t>
        </is>
      </c>
      <c r="H2346" t="inlineStr">
        <is>
          <t>PAGTO ELETRONICO TRIBUTO INTERNET --RECEITA FEDERAL/SP</t>
        </is>
      </c>
      <c r="I2346" t="n">
        <v>-2487.82</v>
      </c>
    </row>
    <row r="2347">
      <c r="A2347" t="n">
        <v>102441</v>
      </c>
      <c r="B2347" t="n">
        <v>115</v>
      </c>
      <c r="C2347" t="inlineStr">
        <is>
          <t>Love - Shibari - Bradesco</t>
        </is>
      </c>
      <c r="D2347" t="n">
        <v>128</v>
      </c>
      <c r="E2347" t="inlineStr">
        <is>
          <t>Love Cabaret</t>
        </is>
      </c>
      <c r="F2347" s="27" t="n">
        <v>45800.5</v>
      </c>
      <c r="G2347" t="inlineStr">
        <is>
          <t>DEBITO</t>
        </is>
      </c>
      <c r="H2347" t="inlineStr">
        <is>
          <t>PAGTO ELETRONICO TRIBUTO INTERNET --RECEITA FEDERAL/SP</t>
        </is>
      </c>
      <c r="I2347" t="n">
        <v>-11482.26</v>
      </c>
    </row>
    <row r="2348">
      <c r="A2348" t="n">
        <v>102440</v>
      </c>
      <c r="B2348" t="n">
        <v>115</v>
      </c>
      <c r="C2348" t="inlineStr">
        <is>
          <t>Love - Shibari - Bradesco</t>
        </is>
      </c>
      <c r="D2348" t="n">
        <v>128</v>
      </c>
      <c r="E2348" t="inlineStr">
        <is>
          <t>Love Cabaret</t>
        </is>
      </c>
      <c r="F2348" s="27" t="n">
        <v>45800.5</v>
      </c>
      <c r="G2348" t="inlineStr">
        <is>
          <t>DEBITO</t>
        </is>
      </c>
      <c r="H2348" t="inlineStr">
        <is>
          <t>TARIFA BANCARIA TRANSF PGTO PIX</t>
        </is>
      </c>
      <c r="I2348" t="n">
        <v>-9.800000000000001</v>
      </c>
    </row>
    <row r="2349">
      <c r="A2349" t="n">
        <v>102437</v>
      </c>
      <c r="B2349" t="n">
        <v>115</v>
      </c>
      <c r="C2349" t="inlineStr">
        <is>
          <t>Love - Shibari - Bradesco</t>
        </is>
      </c>
      <c r="D2349" t="n">
        <v>128</v>
      </c>
      <c r="E2349" t="inlineStr">
        <is>
          <t>Love Cabaret</t>
        </is>
      </c>
      <c r="F2349" s="27" t="n">
        <v>45800.5</v>
      </c>
      <c r="G2349" t="inlineStr">
        <is>
          <t>CREDITO</t>
        </is>
      </c>
      <c r="H2349" t="inlineStr">
        <is>
          <t>TRANSFERENCIA PIX REM: Renata Ambrsio de Ca 23/05</t>
        </is>
      </c>
      <c r="I2349" t="n">
        <v>520</v>
      </c>
    </row>
    <row r="2350">
      <c r="A2350" t="n">
        <v>102435</v>
      </c>
      <c r="B2350" t="n">
        <v>115</v>
      </c>
      <c r="C2350" t="inlineStr">
        <is>
          <t>Love - Shibari - Bradesco</t>
        </is>
      </c>
      <c r="D2350" t="n">
        <v>128</v>
      </c>
      <c r="E2350" t="inlineStr">
        <is>
          <t>Love Cabaret</t>
        </is>
      </c>
      <c r="F2350" s="27" t="n">
        <v>45799.5</v>
      </c>
      <c r="G2350" t="inlineStr">
        <is>
          <t>DEBITO</t>
        </is>
      </c>
      <c r="H2350" t="inlineStr">
        <is>
          <t>PAGTO ELETRON  COBRANCA 568279806</t>
        </is>
      </c>
      <c r="I2350" t="n">
        <v>-20310</v>
      </c>
    </row>
    <row r="2351">
      <c r="A2351" t="n">
        <v>102432</v>
      </c>
      <c r="B2351" t="n">
        <v>115</v>
      </c>
      <c r="C2351" t="inlineStr">
        <is>
          <t>Love - Shibari - Bradesco</t>
        </is>
      </c>
      <c r="D2351" t="n">
        <v>128</v>
      </c>
      <c r="E2351" t="inlineStr">
        <is>
          <t>Love Cabaret</t>
        </is>
      </c>
      <c r="F2351" s="27" t="n">
        <v>45799.5</v>
      </c>
      <c r="G2351" t="inlineStr">
        <is>
          <t>CREDITO</t>
        </is>
      </c>
      <c r="H2351" t="inlineStr">
        <is>
          <t>DEP DINHEIRO ATM AG00117MAQ061059SEQ09688</t>
        </is>
      </c>
      <c r="I2351" t="n">
        <v>1430</v>
      </c>
    </row>
    <row r="2352">
      <c r="A2352" t="n">
        <v>102431</v>
      </c>
      <c r="B2352" t="n">
        <v>115</v>
      </c>
      <c r="C2352" t="inlineStr">
        <is>
          <t>Love - Shibari - Bradesco</t>
        </is>
      </c>
      <c r="D2352" t="n">
        <v>128</v>
      </c>
      <c r="E2352" t="inlineStr">
        <is>
          <t>Love Cabaret</t>
        </is>
      </c>
      <c r="F2352" s="27" t="n">
        <v>45799.5</v>
      </c>
      <c r="G2352" t="inlineStr">
        <is>
          <t>CREDITO</t>
        </is>
      </c>
      <c r="H2352" t="inlineStr">
        <is>
          <t>DEP DINHEIRO ATM AG00117MAQ061059SEQ09684</t>
        </is>
      </c>
      <c r="I2352" t="n">
        <v>390</v>
      </c>
    </row>
    <row r="2353">
      <c r="A2353" t="n">
        <v>102430</v>
      </c>
      <c r="B2353" t="n">
        <v>115</v>
      </c>
      <c r="C2353" t="inlineStr">
        <is>
          <t>Love - Shibari - Bradesco</t>
        </is>
      </c>
      <c r="D2353" t="n">
        <v>128</v>
      </c>
      <c r="E2353" t="inlineStr">
        <is>
          <t>Love Cabaret</t>
        </is>
      </c>
      <c r="F2353" s="27" t="n">
        <v>45798.5</v>
      </c>
      <c r="G2353" t="inlineStr">
        <is>
          <t>DEBITO</t>
        </is>
      </c>
      <c r="H2353" t="inlineStr">
        <is>
          <t>CONTA DE TELEFONE INTERNET --VIVO/SP</t>
        </is>
      </c>
      <c r="I2353" t="n">
        <v>-95.65000000000001</v>
      </c>
    </row>
    <row r="2354">
      <c r="A2354" t="n">
        <v>102417</v>
      </c>
      <c r="B2354" t="n">
        <v>115</v>
      </c>
      <c r="C2354" t="inlineStr">
        <is>
          <t>Love - Shibari - Bradesco</t>
        </is>
      </c>
      <c r="D2354" t="n">
        <v>128</v>
      </c>
      <c r="E2354" t="inlineStr">
        <is>
          <t>Love Cabaret</t>
        </is>
      </c>
      <c r="F2354" s="27" t="n">
        <v>45798.5</v>
      </c>
      <c r="G2354" t="inlineStr">
        <is>
          <t>DEBITO</t>
        </is>
      </c>
      <c r="H2354" t="inlineStr">
        <is>
          <t>PAGTO ELETRON  COBRANCA 449363-1</t>
        </is>
      </c>
      <c r="I2354" t="n">
        <v>-229.9</v>
      </c>
    </row>
    <row r="2355">
      <c r="A2355" t="n">
        <v>102428</v>
      </c>
      <c r="B2355" t="n">
        <v>115</v>
      </c>
      <c r="C2355" t="inlineStr">
        <is>
          <t>Love - Shibari - Bradesco</t>
        </is>
      </c>
      <c r="D2355" t="n">
        <v>128</v>
      </c>
      <c r="E2355" t="inlineStr">
        <is>
          <t>Love Cabaret</t>
        </is>
      </c>
      <c r="F2355" s="27" t="n">
        <v>45798.5</v>
      </c>
      <c r="G2355" t="inlineStr">
        <is>
          <t>DEBITO</t>
        </is>
      </c>
      <c r="H2355" t="inlineStr">
        <is>
          <t>TRANSFERENCIA PIX DES: MACHINE SEGURANCA PAT 21/05</t>
        </is>
      </c>
      <c r="I2355" t="n">
        <v>-6650</v>
      </c>
    </row>
    <row r="2356">
      <c r="A2356" t="n">
        <v>102427</v>
      </c>
      <c r="B2356" t="n">
        <v>115</v>
      </c>
      <c r="C2356" t="inlineStr">
        <is>
          <t>Love - Shibari - Bradesco</t>
        </is>
      </c>
      <c r="D2356" t="n">
        <v>128</v>
      </c>
      <c r="E2356" t="inlineStr">
        <is>
          <t>Love Cabaret</t>
        </is>
      </c>
      <c r="F2356" s="27" t="n">
        <v>45798.5</v>
      </c>
      <c r="G2356" t="inlineStr">
        <is>
          <t>DEBITO</t>
        </is>
      </c>
      <c r="H2356" t="inlineStr">
        <is>
          <t>TARIFA BANCARIA TRANSF PGTO PIX</t>
        </is>
      </c>
      <c r="I2356" t="n">
        <v>-9.800000000000001</v>
      </c>
    </row>
    <row r="2357">
      <c r="A2357" t="n">
        <v>102426</v>
      </c>
      <c r="B2357" t="n">
        <v>115</v>
      </c>
      <c r="C2357" t="inlineStr">
        <is>
          <t>Love - Shibari - Bradesco</t>
        </is>
      </c>
      <c r="D2357" t="n">
        <v>128</v>
      </c>
      <c r="E2357" t="inlineStr">
        <is>
          <t>Love Cabaret</t>
        </is>
      </c>
      <c r="F2357" s="27" t="n">
        <v>45798.5</v>
      </c>
      <c r="G2357" t="inlineStr">
        <is>
          <t>DEBITO</t>
        </is>
      </c>
      <c r="H2357" t="inlineStr">
        <is>
          <t>TARIFA BANCARIA TRANSF PGTO PIX</t>
        </is>
      </c>
      <c r="I2357" t="n">
        <v>-8.26</v>
      </c>
    </row>
    <row r="2358">
      <c r="A2358" t="n">
        <v>102425</v>
      </c>
      <c r="B2358" t="n">
        <v>115</v>
      </c>
      <c r="C2358" t="inlineStr">
        <is>
          <t>Love - Shibari - Bradesco</t>
        </is>
      </c>
      <c r="D2358" t="n">
        <v>128</v>
      </c>
      <c r="E2358" t="inlineStr">
        <is>
          <t>Love Cabaret</t>
        </is>
      </c>
      <c r="F2358" s="27" t="n">
        <v>45798.5</v>
      </c>
      <c r="G2358" t="inlineStr">
        <is>
          <t>DEBITO</t>
        </is>
      </c>
      <c r="H2358" t="inlineStr">
        <is>
          <t>TARIFA BANCARIA TRANSF PGTO PIX</t>
        </is>
      </c>
      <c r="I2358" t="n">
        <v>-1.75</v>
      </c>
    </row>
    <row r="2359">
      <c r="A2359" t="n">
        <v>102424</v>
      </c>
      <c r="B2359" t="n">
        <v>115</v>
      </c>
      <c r="C2359" t="inlineStr">
        <is>
          <t>Love - Shibari - Bradesco</t>
        </is>
      </c>
      <c r="D2359" t="n">
        <v>128</v>
      </c>
      <c r="E2359" t="inlineStr">
        <is>
          <t>Love Cabaret</t>
        </is>
      </c>
      <c r="F2359" s="27" t="n">
        <v>45798.5</v>
      </c>
      <c r="G2359" t="inlineStr">
        <is>
          <t>DEBITO</t>
        </is>
      </c>
      <c r="H2359" t="inlineStr">
        <is>
          <t>TARIFA BANCARIA TRANSF PGTO PIX</t>
        </is>
      </c>
      <c r="I2359" t="n">
        <v>-1.75</v>
      </c>
    </row>
    <row r="2360">
      <c r="A2360" t="n">
        <v>102423</v>
      </c>
      <c r="B2360" t="n">
        <v>115</v>
      </c>
      <c r="C2360" t="inlineStr">
        <is>
          <t>Love - Shibari - Bradesco</t>
        </is>
      </c>
      <c r="D2360" t="n">
        <v>128</v>
      </c>
      <c r="E2360" t="inlineStr">
        <is>
          <t>Love Cabaret</t>
        </is>
      </c>
      <c r="F2360" s="27" t="n">
        <v>45798.5</v>
      </c>
      <c r="G2360" t="inlineStr">
        <is>
          <t>DEBITO</t>
        </is>
      </c>
      <c r="H2360" t="inlineStr">
        <is>
          <t>PAGTO ELETRON  COBRANCA 245166</t>
        </is>
      </c>
      <c r="I2360" t="n">
        <v>-964.4</v>
      </c>
    </row>
    <row r="2361">
      <c r="A2361" t="n">
        <v>102422</v>
      </c>
      <c r="B2361" t="n">
        <v>115</v>
      </c>
      <c r="C2361" t="inlineStr">
        <is>
          <t>Love - Shibari - Bradesco</t>
        </is>
      </c>
      <c r="D2361" t="n">
        <v>128</v>
      </c>
      <c r="E2361" t="inlineStr">
        <is>
          <t>Love Cabaret</t>
        </is>
      </c>
      <c r="F2361" s="27" t="n">
        <v>45798.5</v>
      </c>
      <c r="G2361" t="inlineStr">
        <is>
          <t>DEBITO</t>
        </is>
      </c>
      <c r="H2361" t="inlineStr">
        <is>
          <t>PAGTO ELETRON  COBRANCA 450570</t>
        </is>
      </c>
      <c r="I2361" t="n">
        <v>-3145.65</v>
      </c>
    </row>
    <row r="2362">
      <c r="A2362" t="n">
        <v>102421</v>
      </c>
      <c r="B2362" t="n">
        <v>115</v>
      </c>
      <c r="C2362" t="inlineStr">
        <is>
          <t>Love - Shibari - Bradesco</t>
        </is>
      </c>
      <c r="D2362" t="n">
        <v>128</v>
      </c>
      <c r="E2362" t="inlineStr">
        <is>
          <t>Love Cabaret</t>
        </is>
      </c>
      <c r="F2362" s="27" t="n">
        <v>45798.5</v>
      </c>
      <c r="G2362" t="inlineStr">
        <is>
          <t>DEBITO</t>
        </is>
      </c>
      <c r="H2362" t="inlineStr">
        <is>
          <t>PAGTO ELETRON  COBRANCA 370712</t>
        </is>
      </c>
      <c r="I2362" t="n">
        <v>-51.6</v>
      </c>
    </row>
    <row r="2363">
      <c r="A2363" t="n">
        <v>102420</v>
      </c>
      <c r="B2363" t="n">
        <v>115</v>
      </c>
      <c r="C2363" t="inlineStr">
        <is>
          <t>Love - Shibari - Bradesco</t>
        </is>
      </c>
      <c r="D2363" t="n">
        <v>128</v>
      </c>
      <c r="E2363" t="inlineStr">
        <is>
          <t>Love Cabaret</t>
        </is>
      </c>
      <c r="F2363" s="27" t="n">
        <v>45798.5</v>
      </c>
      <c r="G2363" t="inlineStr">
        <is>
          <t>DEBITO</t>
        </is>
      </c>
      <c r="H2363" t="inlineStr">
        <is>
          <t>PAGTO ELETRON  COBRANCA 10251</t>
        </is>
      </c>
      <c r="I2363" t="n">
        <v>-118.6</v>
      </c>
    </row>
    <row r="2364">
      <c r="A2364" t="n">
        <v>102419</v>
      </c>
      <c r="B2364" t="n">
        <v>115</v>
      </c>
      <c r="C2364" t="inlineStr">
        <is>
          <t>Love - Shibari - Bradesco</t>
        </is>
      </c>
      <c r="D2364" t="n">
        <v>128</v>
      </c>
      <c r="E2364" t="inlineStr">
        <is>
          <t>Love Cabaret</t>
        </is>
      </c>
      <c r="F2364" s="27" t="n">
        <v>45798.5</v>
      </c>
      <c r="G2364" t="inlineStr">
        <is>
          <t>DEBITO</t>
        </is>
      </c>
      <c r="H2364" t="inlineStr">
        <is>
          <t>PAGTO ELETRON  COBRANCA 23269</t>
        </is>
      </c>
      <c r="I2364" t="n">
        <v>-143.4</v>
      </c>
    </row>
    <row r="2365">
      <c r="A2365" t="n">
        <v>102418</v>
      </c>
      <c r="B2365" t="n">
        <v>115</v>
      </c>
      <c r="C2365" t="inlineStr">
        <is>
          <t>Love - Shibari - Bradesco</t>
        </is>
      </c>
      <c r="D2365" t="n">
        <v>128</v>
      </c>
      <c r="E2365" t="inlineStr">
        <is>
          <t>Love Cabaret</t>
        </is>
      </c>
      <c r="F2365" s="27" t="n">
        <v>45798.5</v>
      </c>
      <c r="G2365" t="inlineStr">
        <is>
          <t>DEBITO</t>
        </is>
      </c>
      <c r="H2365" t="inlineStr">
        <is>
          <t>PAGTO ELETRON  COBRANCA 10737</t>
        </is>
      </c>
      <c r="I2365" t="n">
        <v>-168</v>
      </c>
    </row>
    <row r="2366">
      <c r="A2366" t="n">
        <v>102416</v>
      </c>
      <c r="B2366" t="n">
        <v>115</v>
      </c>
      <c r="C2366" t="inlineStr">
        <is>
          <t>Love - Shibari - Bradesco</t>
        </is>
      </c>
      <c r="D2366" t="n">
        <v>128</v>
      </c>
      <c r="E2366" t="inlineStr">
        <is>
          <t>Love Cabaret</t>
        </is>
      </c>
      <c r="F2366" s="27" t="n">
        <v>45798.5</v>
      </c>
      <c r="G2366" t="inlineStr">
        <is>
          <t>DEBITO</t>
        </is>
      </c>
      <c r="H2366" t="inlineStr">
        <is>
          <t>PAGTO ELETRON  COBRANCA 26557</t>
        </is>
      </c>
      <c r="I2366" t="n">
        <v>-337.5</v>
      </c>
    </row>
    <row r="2367">
      <c r="A2367" t="n">
        <v>102415</v>
      </c>
      <c r="B2367" t="n">
        <v>115</v>
      </c>
      <c r="C2367" t="inlineStr">
        <is>
          <t>Love - Shibari - Bradesco</t>
        </is>
      </c>
      <c r="D2367" t="n">
        <v>128</v>
      </c>
      <c r="E2367" t="inlineStr">
        <is>
          <t>Love Cabaret</t>
        </is>
      </c>
      <c r="F2367" s="27" t="n">
        <v>45798.5</v>
      </c>
      <c r="G2367" t="inlineStr">
        <is>
          <t>DEBITO</t>
        </is>
      </c>
      <c r="H2367" t="inlineStr">
        <is>
          <t>PAGTO ELETRON  COBRANCA 449196</t>
        </is>
      </c>
      <c r="I2367" t="n">
        <v>-492.7</v>
      </c>
    </row>
    <row r="2368">
      <c r="A2368" t="n">
        <v>102414</v>
      </c>
      <c r="B2368" t="n">
        <v>115</v>
      </c>
      <c r="C2368" t="inlineStr">
        <is>
          <t>Love - Shibari - Bradesco</t>
        </is>
      </c>
      <c r="D2368" t="n">
        <v>128</v>
      </c>
      <c r="E2368" t="inlineStr">
        <is>
          <t>Love Cabaret</t>
        </is>
      </c>
      <c r="F2368" s="27" t="n">
        <v>45798.5</v>
      </c>
      <c r="G2368" t="inlineStr">
        <is>
          <t>DEBITO</t>
        </is>
      </c>
      <c r="H2368" t="inlineStr">
        <is>
          <t>PAGTO ELETRON  COBRANCA 246145/A</t>
        </is>
      </c>
      <c r="I2368" t="n">
        <v>-880.54</v>
      </c>
    </row>
    <row r="2369">
      <c r="A2369" t="n">
        <v>102413</v>
      </c>
      <c r="B2369" t="n">
        <v>115</v>
      </c>
      <c r="C2369" t="inlineStr">
        <is>
          <t>Love - Shibari - Bradesco</t>
        </is>
      </c>
      <c r="D2369" t="n">
        <v>128</v>
      </c>
      <c r="E2369" t="inlineStr">
        <is>
          <t>Love Cabaret</t>
        </is>
      </c>
      <c r="F2369" s="27" t="n">
        <v>45798.5</v>
      </c>
      <c r="G2369" t="inlineStr">
        <is>
          <t>DEBITO</t>
        </is>
      </c>
      <c r="H2369" t="inlineStr">
        <is>
          <t>PAGTO ELETRON  COBRANCA 137126</t>
        </is>
      </c>
      <c r="I2369" t="n">
        <v>-927.9</v>
      </c>
    </row>
    <row r="2370">
      <c r="A2370" t="n">
        <v>102412</v>
      </c>
      <c r="B2370" t="n">
        <v>115</v>
      </c>
      <c r="C2370" t="inlineStr">
        <is>
          <t>Love - Shibari - Bradesco</t>
        </is>
      </c>
      <c r="D2370" t="n">
        <v>128</v>
      </c>
      <c r="E2370" t="inlineStr">
        <is>
          <t>Love Cabaret</t>
        </is>
      </c>
      <c r="F2370" s="27" t="n">
        <v>45798.5</v>
      </c>
      <c r="G2370" t="inlineStr">
        <is>
          <t>DEBITO</t>
        </is>
      </c>
      <c r="H2370" t="inlineStr">
        <is>
          <t>PAGTO ELETRON  COBRANCA 00448781/1</t>
        </is>
      </c>
      <c r="I2370" t="n">
        <v>-1448.46</v>
      </c>
    </row>
    <row r="2371">
      <c r="A2371" t="n">
        <v>102411</v>
      </c>
      <c r="B2371" t="n">
        <v>115</v>
      </c>
      <c r="C2371" t="inlineStr">
        <is>
          <t>Love - Shibari - Bradesco</t>
        </is>
      </c>
      <c r="D2371" t="n">
        <v>128</v>
      </c>
      <c r="E2371" t="inlineStr">
        <is>
          <t>Love Cabaret</t>
        </is>
      </c>
      <c r="F2371" s="27" t="n">
        <v>45798.5</v>
      </c>
      <c r="G2371" t="inlineStr">
        <is>
          <t>DEBITO</t>
        </is>
      </c>
      <c r="H2371" t="inlineStr">
        <is>
          <t>PAGTO ELETRON  COBRANCA 567217119</t>
        </is>
      </c>
      <c r="I2371" t="n">
        <v>-13937</v>
      </c>
    </row>
    <row r="2372">
      <c r="A2372" t="n">
        <v>102408</v>
      </c>
      <c r="B2372" t="n">
        <v>115</v>
      </c>
      <c r="C2372" t="inlineStr">
        <is>
          <t>Love - Shibari - Bradesco</t>
        </is>
      </c>
      <c r="D2372" t="n">
        <v>128</v>
      </c>
      <c r="E2372" t="inlineStr">
        <is>
          <t>Love Cabaret</t>
        </is>
      </c>
      <c r="F2372" s="27" t="n">
        <v>45798.5</v>
      </c>
      <c r="G2372" t="inlineStr">
        <is>
          <t>CREDITO</t>
        </is>
      </c>
      <c r="H2372" t="inlineStr">
        <is>
          <t>TED-TRANSF ELET DISPON REMET.SYMPLA INTERNET SOLU</t>
        </is>
      </c>
      <c r="I2372" t="n">
        <v>9490</v>
      </c>
    </row>
    <row r="2373">
      <c r="A2373" t="n">
        <v>102407</v>
      </c>
      <c r="B2373" t="n">
        <v>115</v>
      </c>
      <c r="C2373" t="inlineStr">
        <is>
          <t>Love - Shibari - Bradesco</t>
        </is>
      </c>
      <c r="D2373" t="n">
        <v>128</v>
      </c>
      <c r="E2373" t="inlineStr">
        <is>
          <t>Love Cabaret</t>
        </is>
      </c>
      <c r="F2373" s="27" t="n">
        <v>45798.5</v>
      </c>
      <c r="G2373" t="inlineStr">
        <is>
          <t>CREDITO</t>
        </is>
      </c>
      <c r="H2373" t="inlineStr">
        <is>
          <t>TED-TRANSF ELET DISPON REMET.SYMPLA INTERNET SOLU</t>
        </is>
      </c>
      <c r="I2373" t="n">
        <v>8220</v>
      </c>
    </row>
    <row r="2374">
      <c r="A2374" t="n">
        <v>102429</v>
      </c>
      <c r="B2374" t="n">
        <v>115</v>
      </c>
      <c r="C2374" t="inlineStr">
        <is>
          <t>Love - Shibari - Bradesco</t>
        </is>
      </c>
      <c r="D2374" t="n">
        <v>128</v>
      </c>
      <c r="E2374" t="inlineStr">
        <is>
          <t>Love Cabaret</t>
        </is>
      </c>
      <c r="F2374" s="27" t="n">
        <v>45798.5</v>
      </c>
      <c r="G2374" t="inlineStr">
        <is>
          <t>DEBITO</t>
        </is>
      </c>
      <c r="H2374" t="inlineStr">
        <is>
          <t>CONTA DE TELEFONE INTERNET --VIVO/SP</t>
        </is>
      </c>
      <c r="I2374" t="n">
        <v>-333.93</v>
      </c>
    </row>
    <row r="2375">
      <c r="A2375" t="n">
        <v>102406</v>
      </c>
      <c r="B2375" t="n">
        <v>115</v>
      </c>
      <c r="C2375" t="inlineStr">
        <is>
          <t>Love - Shibari - Bradesco</t>
        </is>
      </c>
      <c r="D2375" t="n">
        <v>128</v>
      </c>
      <c r="E2375" t="inlineStr">
        <is>
          <t>Love Cabaret</t>
        </is>
      </c>
      <c r="F2375" s="27" t="n">
        <v>45797.5</v>
      </c>
      <c r="G2375" t="inlineStr">
        <is>
          <t>CREDITO</t>
        </is>
      </c>
      <c r="H2375" t="inlineStr">
        <is>
          <t>TRANSFERENCIA PIX REM: SHIBARI ART E DIVERSA 20/05</t>
        </is>
      </c>
      <c r="I2375" t="n">
        <v>18342.06</v>
      </c>
    </row>
    <row r="2376">
      <c r="A2376" t="n">
        <v>102405</v>
      </c>
      <c r="B2376" t="n">
        <v>115</v>
      </c>
      <c r="C2376" t="inlineStr">
        <is>
          <t>Love - Shibari - Bradesco</t>
        </is>
      </c>
      <c r="D2376" t="n">
        <v>128</v>
      </c>
      <c r="E2376" t="inlineStr">
        <is>
          <t>Love Cabaret</t>
        </is>
      </c>
      <c r="F2376" s="27" t="n">
        <v>45797.5</v>
      </c>
      <c r="G2376" t="inlineStr">
        <is>
          <t>CREDITO</t>
        </is>
      </c>
      <c r="H2376" t="inlineStr">
        <is>
          <t>TED-TRANSF ELET DISPON REMET.SYMPLA INTERNET SOLU</t>
        </is>
      </c>
      <c r="I2376" t="n">
        <v>1345</v>
      </c>
    </row>
    <row r="2377">
      <c r="A2377" t="n">
        <v>96951</v>
      </c>
      <c r="B2377" t="n">
        <v>115</v>
      </c>
      <c r="C2377" t="inlineStr">
        <is>
          <t>Love - Shibari - Bradesco</t>
        </is>
      </c>
      <c r="D2377" t="n">
        <v>128</v>
      </c>
      <c r="E2377" t="inlineStr">
        <is>
          <t>Love Cabaret</t>
        </is>
      </c>
      <c r="F2377" s="27" t="n">
        <v>45796.5</v>
      </c>
      <c r="G2377" t="inlineStr">
        <is>
          <t>DEBITO</t>
        </is>
      </c>
      <c r="H2377" t="inlineStr">
        <is>
          <t>PAGTO ELETRON  COBRANCA 96248</t>
        </is>
      </c>
      <c r="I2377" t="n">
        <v>-352.24</v>
      </c>
    </row>
    <row r="2378">
      <c r="A2378" t="n">
        <v>96947</v>
      </c>
      <c r="B2378" t="n">
        <v>115</v>
      </c>
      <c r="C2378" t="inlineStr">
        <is>
          <t>Love - Shibari - Bradesco</t>
        </is>
      </c>
      <c r="D2378" t="n">
        <v>128</v>
      </c>
      <c r="E2378" t="inlineStr">
        <is>
          <t>Love Cabaret</t>
        </is>
      </c>
      <c r="F2378" s="27" t="n">
        <v>45796.5</v>
      </c>
      <c r="G2378" t="inlineStr">
        <is>
          <t>DEBITO</t>
        </is>
      </c>
      <c r="H2378" t="inlineStr">
        <is>
          <t>PAGTO ELETRON  COBRANCA 98</t>
        </is>
      </c>
      <c r="I2378" t="n">
        <v>-360</v>
      </c>
    </row>
    <row r="2379">
      <c r="A2379" t="n">
        <v>96949</v>
      </c>
      <c r="B2379" t="n">
        <v>115</v>
      </c>
      <c r="C2379" t="inlineStr">
        <is>
          <t>Love - Shibari - Bradesco</t>
        </is>
      </c>
      <c r="D2379" t="n">
        <v>128</v>
      </c>
      <c r="E2379" t="inlineStr">
        <is>
          <t>Love Cabaret</t>
        </is>
      </c>
      <c r="F2379" s="27" t="n">
        <v>45796.5</v>
      </c>
      <c r="G2379" t="inlineStr">
        <is>
          <t>DEBITO</t>
        </is>
      </c>
      <c r="H2379" t="inlineStr">
        <is>
          <t>PAGTO ELETRON  COBRANCA 220935</t>
        </is>
      </c>
      <c r="I2379" t="n">
        <v>-355.5</v>
      </c>
    </row>
    <row r="2380">
      <c r="A2380" t="n">
        <v>96979</v>
      </c>
      <c r="B2380" t="n">
        <v>115</v>
      </c>
      <c r="C2380" t="inlineStr">
        <is>
          <t>Love - Shibari - Bradesco</t>
        </is>
      </c>
      <c r="D2380" t="n">
        <v>128</v>
      </c>
      <c r="E2380" t="inlineStr">
        <is>
          <t>Love Cabaret</t>
        </is>
      </c>
      <c r="F2380" s="27" t="n">
        <v>45796.5</v>
      </c>
      <c r="G2380" t="inlineStr">
        <is>
          <t>DEBITO</t>
        </is>
      </c>
      <c r="H2380" t="inlineStr">
        <is>
          <t>PAGTO ELETRONICO TRIBUTO INTERNET --RECEITA FEDERAL/SP</t>
        </is>
      </c>
      <c r="I2380" t="n">
        <v>-1309</v>
      </c>
    </row>
    <row r="2381">
      <c r="A2381" t="n">
        <v>96946</v>
      </c>
      <c r="B2381" t="n">
        <v>115</v>
      </c>
      <c r="C2381" t="inlineStr">
        <is>
          <t>Love - Shibari - Bradesco</t>
        </is>
      </c>
      <c r="D2381" t="n">
        <v>128</v>
      </c>
      <c r="E2381" t="inlineStr">
        <is>
          <t>Love Cabaret</t>
        </is>
      </c>
      <c r="F2381" s="27" t="n">
        <v>45796.5</v>
      </c>
      <c r="G2381" t="inlineStr">
        <is>
          <t>DEBITO</t>
        </is>
      </c>
      <c r="H2381" t="inlineStr">
        <is>
          <t>PAGTO ELETRON  COBRANCA 149726</t>
        </is>
      </c>
      <c r="I2381" t="n">
        <v>-383.95</v>
      </c>
    </row>
    <row r="2382">
      <c r="A2382" t="n">
        <v>96945</v>
      </c>
      <c r="B2382" t="n">
        <v>115</v>
      </c>
      <c r="C2382" t="inlineStr">
        <is>
          <t>Love - Shibari - Bradesco</t>
        </is>
      </c>
      <c r="D2382" t="n">
        <v>128</v>
      </c>
      <c r="E2382" t="inlineStr">
        <is>
          <t>Love Cabaret</t>
        </is>
      </c>
      <c r="F2382" s="27" t="n">
        <v>45796.5</v>
      </c>
      <c r="G2382" t="inlineStr">
        <is>
          <t>DEBITO</t>
        </is>
      </c>
      <c r="H2382" t="inlineStr">
        <is>
          <t>PAGTO ELETRON  COBRANCA 29336</t>
        </is>
      </c>
      <c r="I2382" t="n">
        <v>-511.51</v>
      </c>
    </row>
    <row r="2383">
      <c r="A2383" t="n">
        <v>96944</v>
      </c>
      <c r="B2383" t="n">
        <v>115</v>
      </c>
      <c r="C2383" t="inlineStr">
        <is>
          <t>Love - Shibari - Bradesco</t>
        </is>
      </c>
      <c r="D2383" t="n">
        <v>128</v>
      </c>
      <c r="E2383" t="inlineStr">
        <is>
          <t>Love Cabaret</t>
        </is>
      </c>
      <c r="F2383" s="27" t="n">
        <v>45796.5</v>
      </c>
      <c r="G2383" t="inlineStr">
        <is>
          <t>DEBITO</t>
        </is>
      </c>
      <c r="H2383" t="inlineStr">
        <is>
          <t>PAGTO ELETRON  COBRANCA 177382</t>
        </is>
      </c>
      <c r="I2383" t="n">
        <v>-515</v>
      </c>
    </row>
    <row r="2384">
      <c r="A2384" t="n">
        <v>96943</v>
      </c>
      <c r="B2384" t="n">
        <v>115</v>
      </c>
      <c r="C2384" t="inlineStr">
        <is>
          <t>Love - Shibari - Bradesco</t>
        </is>
      </c>
      <c r="D2384" t="n">
        <v>128</v>
      </c>
      <c r="E2384" t="inlineStr">
        <is>
          <t>Love Cabaret</t>
        </is>
      </c>
      <c r="F2384" s="27" t="n">
        <v>45796.5</v>
      </c>
      <c r="G2384" t="inlineStr">
        <is>
          <t>DEBITO</t>
        </is>
      </c>
      <c r="H2384" t="inlineStr">
        <is>
          <t>PAGTO ELETRON  COBRANCA 310380</t>
        </is>
      </c>
      <c r="I2384" t="n">
        <v>-534.5</v>
      </c>
    </row>
    <row r="2385">
      <c r="A2385" t="n">
        <v>96942</v>
      </c>
      <c r="B2385" t="n">
        <v>115</v>
      </c>
      <c r="C2385" t="inlineStr">
        <is>
          <t>Love - Shibari - Bradesco</t>
        </is>
      </c>
      <c r="D2385" t="n">
        <v>128</v>
      </c>
      <c r="E2385" t="inlineStr">
        <is>
          <t>Love Cabaret</t>
        </is>
      </c>
      <c r="F2385" s="27" t="n">
        <v>45796.5</v>
      </c>
      <c r="G2385" t="inlineStr">
        <is>
          <t>DEBITO</t>
        </is>
      </c>
      <c r="H2385" t="inlineStr">
        <is>
          <t>PAGTO ELETRON  COBRANCA 399284</t>
        </is>
      </c>
      <c r="I2385" t="n">
        <v>-741.89</v>
      </c>
    </row>
    <row r="2386">
      <c r="A2386" t="n">
        <v>96941</v>
      </c>
      <c r="B2386" t="n">
        <v>115</v>
      </c>
      <c r="C2386" t="inlineStr">
        <is>
          <t>Love - Shibari - Bradesco</t>
        </is>
      </c>
      <c r="D2386" t="n">
        <v>128</v>
      </c>
      <c r="E2386" t="inlineStr">
        <is>
          <t>Love Cabaret</t>
        </is>
      </c>
      <c r="F2386" s="27" t="n">
        <v>45796.5</v>
      </c>
      <c r="G2386" t="inlineStr">
        <is>
          <t>DEBITO</t>
        </is>
      </c>
      <c r="H2386" t="inlineStr">
        <is>
          <t>PAGTO ELETRON  COBRANCA 13765</t>
        </is>
      </c>
      <c r="I2386" t="n">
        <v>-962.3099999999999</v>
      </c>
    </row>
    <row r="2387">
      <c r="A2387" t="n">
        <v>96940</v>
      </c>
      <c r="B2387" t="n">
        <v>115</v>
      </c>
      <c r="C2387" t="inlineStr">
        <is>
          <t>Love - Shibari - Bradesco</t>
        </is>
      </c>
      <c r="D2387" t="n">
        <v>128</v>
      </c>
      <c r="E2387" t="inlineStr">
        <is>
          <t>Love Cabaret</t>
        </is>
      </c>
      <c r="F2387" s="27" t="n">
        <v>45796.5</v>
      </c>
      <c r="G2387" t="inlineStr">
        <is>
          <t>DEBITO</t>
        </is>
      </c>
      <c r="H2387" t="inlineStr">
        <is>
          <t>PAGTO ELETRON  COBRANCA 244646</t>
        </is>
      </c>
      <c r="I2387" t="n">
        <v>-965.85</v>
      </c>
    </row>
    <row r="2388">
      <c r="A2388" t="n">
        <v>96939</v>
      </c>
      <c r="B2388" t="n">
        <v>115</v>
      </c>
      <c r="C2388" t="inlineStr">
        <is>
          <t>Love - Shibari - Bradesco</t>
        </is>
      </c>
      <c r="D2388" t="n">
        <v>128</v>
      </c>
      <c r="E2388" t="inlineStr">
        <is>
          <t>Love Cabaret</t>
        </is>
      </c>
      <c r="F2388" s="27" t="n">
        <v>45796.5</v>
      </c>
      <c r="G2388" t="inlineStr">
        <is>
          <t>DEBITO</t>
        </is>
      </c>
      <c r="H2388" t="inlineStr">
        <is>
          <t>PAGTO ELETRON  COBRANCA 244647</t>
        </is>
      </c>
      <c r="I2388" t="n">
        <v>-1626.84</v>
      </c>
    </row>
    <row r="2389">
      <c r="A2389" t="n">
        <v>96938</v>
      </c>
      <c r="B2389" t="n">
        <v>115</v>
      </c>
      <c r="C2389" t="inlineStr">
        <is>
          <t>Love - Shibari - Bradesco</t>
        </is>
      </c>
      <c r="D2389" t="n">
        <v>128</v>
      </c>
      <c r="E2389" t="inlineStr">
        <is>
          <t>Love Cabaret</t>
        </is>
      </c>
      <c r="F2389" s="27" t="n">
        <v>45796.5</v>
      </c>
      <c r="G2389" t="inlineStr">
        <is>
          <t>CREDITO</t>
        </is>
      </c>
      <c r="H2389" t="inlineStr">
        <is>
          <t>TRANSFERENCIA PIX REM: SHIBARI ART E DIVERSA 19/05</t>
        </is>
      </c>
      <c r="I2389" t="n">
        <v>41657.41</v>
      </c>
    </row>
    <row r="2390">
      <c r="A2390" t="n">
        <v>96937</v>
      </c>
      <c r="B2390" t="n">
        <v>115</v>
      </c>
      <c r="C2390" t="inlineStr">
        <is>
          <t>Love - Shibari - Bradesco</t>
        </is>
      </c>
      <c r="D2390" t="n">
        <v>128</v>
      </c>
      <c r="E2390" t="inlineStr">
        <is>
          <t>Love Cabaret</t>
        </is>
      </c>
      <c r="F2390" s="27" t="n">
        <v>45796.5</v>
      </c>
      <c r="G2390" t="inlineStr">
        <is>
          <t>CREDITO</t>
        </is>
      </c>
      <c r="H2390" t="inlineStr">
        <is>
          <t>TRANSF CC PARA CC PJ ATENAS COMUNICACAO LTDA EPP</t>
        </is>
      </c>
      <c r="I2390" t="n">
        <v>22200</v>
      </c>
    </row>
    <row r="2391">
      <c r="A2391" t="n">
        <v>96936</v>
      </c>
      <c r="B2391" t="n">
        <v>115</v>
      </c>
      <c r="C2391" t="inlineStr">
        <is>
          <t>Love - Shibari - Bradesco</t>
        </is>
      </c>
      <c r="D2391" t="n">
        <v>128</v>
      </c>
      <c r="E2391" t="inlineStr">
        <is>
          <t>Love Cabaret</t>
        </is>
      </c>
      <c r="F2391" s="27" t="n">
        <v>45796.5</v>
      </c>
      <c r="G2391" t="inlineStr">
        <is>
          <t>CREDITO</t>
        </is>
      </c>
      <c r="H2391" t="inlineStr">
        <is>
          <t>TED-TRANSF ELET DISPON REMET.LOVE SUITES LTDA</t>
        </is>
      </c>
      <c r="I2391" t="n">
        <v>2953.14</v>
      </c>
    </row>
    <row r="2392">
      <c r="A2392" t="n">
        <v>96997</v>
      </c>
      <c r="B2392" t="n">
        <v>115</v>
      </c>
      <c r="C2392" t="inlineStr">
        <is>
          <t>Love - Shibari - Bradesco</t>
        </is>
      </c>
      <c r="D2392" t="n">
        <v>128</v>
      </c>
      <c r="E2392" t="inlineStr">
        <is>
          <t>Love Cabaret</t>
        </is>
      </c>
      <c r="F2392" s="27" t="n">
        <v>45796.5</v>
      </c>
      <c r="G2392" t="inlineStr">
        <is>
          <t>DEBITO</t>
        </is>
      </c>
      <c r="H2392" t="inlineStr">
        <is>
          <t>PIX QR CODE DINAMICO DES: CAIXA ECONOMICA FEDER 19/05</t>
        </is>
      </c>
      <c r="I2392" t="n">
        <v>-615.0599999999999</v>
      </c>
    </row>
    <row r="2393">
      <c r="A2393" t="n">
        <v>96981</v>
      </c>
      <c r="B2393" t="n">
        <v>115</v>
      </c>
      <c r="C2393" t="inlineStr">
        <is>
          <t>Love - Shibari - Bradesco</t>
        </is>
      </c>
      <c r="D2393" t="n">
        <v>128</v>
      </c>
      <c r="E2393" t="inlineStr">
        <is>
          <t>Love Cabaret</t>
        </is>
      </c>
      <c r="F2393" s="27" t="n">
        <v>45796.5</v>
      </c>
      <c r="G2393" t="inlineStr">
        <is>
          <t>DEBITO</t>
        </is>
      </c>
      <c r="H2393" t="inlineStr">
        <is>
          <t>PAGTO ELETRONICO TRIBUTO INTERNET --RECEITA FEDERAL/SP</t>
        </is>
      </c>
      <c r="I2393" t="n">
        <v>-2214.22</v>
      </c>
    </row>
    <row r="2394">
      <c r="A2394" t="n">
        <v>96983</v>
      </c>
      <c r="B2394" t="n">
        <v>115</v>
      </c>
      <c r="C2394" t="inlineStr">
        <is>
          <t>Love - Shibari - Bradesco</t>
        </is>
      </c>
      <c r="D2394" t="n">
        <v>128</v>
      </c>
      <c r="E2394" t="inlineStr">
        <is>
          <t>Love Cabaret</t>
        </is>
      </c>
      <c r="F2394" s="27" t="n">
        <v>45796.5</v>
      </c>
      <c r="G2394" t="inlineStr">
        <is>
          <t>DEBITO</t>
        </is>
      </c>
      <c r="H2394" t="inlineStr">
        <is>
          <t>PAGTO ELETRONICO TRIBUTO INTERNET --RECEITA FEDERAL/SP</t>
        </is>
      </c>
      <c r="I2394" t="n">
        <v>-165.22</v>
      </c>
    </row>
    <row r="2395">
      <c r="A2395" t="n">
        <v>96985</v>
      </c>
      <c r="B2395" t="n">
        <v>115</v>
      </c>
      <c r="C2395" t="inlineStr">
        <is>
          <t>Love - Shibari - Bradesco</t>
        </is>
      </c>
      <c r="D2395" t="n">
        <v>128</v>
      </c>
      <c r="E2395" t="inlineStr">
        <is>
          <t>Love Cabaret</t>
        </is>
      </c>
      <c r="F2395" s="27" t="n">
        <v>45796.5</v>
      </c>
      <c r="G2395" t="inlineStr">
        <is>
          <t>DEBITO</t>
        </is>
      </c>
      <c r="H2395" t="inlineStr">
        <is>
          <t>PAGTO ELETRONICO TRIBUTO INTERNET --SP/SEFAZ-DARE</t>
        </is>
      </c>
      <c r="I2395" t="n">
        <v>-10342.14</v>
      </c>
    </row>
    <row r="2396">
      <c r="A2396" t="n">
        <v>96987</v>
      </c>
      <c r="B2396" t="n">
        <v>115</v>
      </c>
      <c r="C2396" t="inlineStr">
        <is>
          <t>Love - Shibari - Bradesco</t>
        </is>
      </c>
      <c r="D2396" t="n">
        <v>128</v>
      </c>
      <c r="E2396" t="inlineStr">
        <is>
          <t>Love Cabaret</t>
        </is>
      </c>
      <c r="F2396" s="27" t="n">
        <v>45796.5</v>
      </c>
      <c r="G2396" t="inlineStr">
        <is>
          <t>DEBITO</t>
        </is>
      </c>
      <c r="H2396" t="inlineStr">
        <is>
          <t>ADIANT SALARIO VIA NET</t>
        </is>
      </c>
      <c r="I2396" t="n">
        <v>-1703.59</v>
      </c>
    </row>
    <row r="2397">
      <c r="A2397" t="n">
        <v>96989</v>
      </c>
      <c r="B2397" t="n">
        <v>115</v>
      </c>
      <c r="C2397" t="inlineStr">
        <is>
          <t>Love - Shibari - Bradesco</t>
        </is>
      </c>
      <c r="D2397" t="n">
        <v>128</v>
      </c>
      <c r="E2397" t="inlineStr">
        <is>
          <t>Love Cabaret</t>
        </is>
      </c>
      <c r="F2397" s="27" t="n">
        <v>45796.5</v>
      </c>
      <c r="G2397" t="inlineStr">
        <is>
          <t>DEBITO</t>
        </is>
      </c>
      <c r="H2397" t="inlineStr">
        <is>
          <t>TRANSFERENCIA PIX DES: FABRICA DE BARES SERV 19/05</t>
        </is>
      </c>
      <c r="I2397" t="n">
        <v>-7169.59</v>
      </c>
    </row>
    <row r="2398">
      <c r="A2398" t="n">
        <v>96991</v>
      </c>
      <c r="B2398" t="n">
        <v>115</v>
      </c>
      <c r="C2398" t="inlineStr">
        <is>
          <t>Love - Shibari - Bradesco</t>
        </is>
      </c>
      <c r="D2398" t="n">
        <v>128</v>
      </c>
      <c r="E2398" t="inlineStr">
        <is>
          <t>Love Cabaret</t>
        </is>
      </c>
      <c r="F2398" s="27" t="n">
        <v>45796.5</v>
      </c>
      <c r="G2398" t="inlineStr">
        <is>
          <t>DEBITO</t>
        </is>
      </c>
      <c r="H2398" t="inlineStr">
        <is>
          <t>TRANSFERENCIA PIX DES: FGL NEON              19/05</t>
        </is>
      </c>
      <c r="I2398" t="n">
        <v>-570</v>
      </c>
    </row>
    <row r="2399">
      <c r="A2399" t="n">
        <v>96993</v>
      </c>
      <c r="B2399" t="n">
        <v>115</v>
      </c>
      <c r="C2399" t="inlineStr">
        <is>
          <t>Love - Shibari - Bradesco</t>
        </is>
      </c>
      <c r="D2399" t="n">
        <v>128</v>
      </c>
      <c r="E2399" t="inlineStr">
        <is>
          <t>Love Cabaret</t>
        </is>
      </c>
      <c r="F2399" s="27" t="n">
        <v>45796.5</v>
      </c>
      <c r="G2399" t="inlineStr">
        <is>
          <t>DEBITO</t>
        </is>
      </c>
      <c r="H2399" t="inlineStr">
        <is>
          <t>TRANSFERENCIA PIX DES: FABRICA DE BARES SERV 19/05</t>
        </is>
      </c>
      <c r="I2399" t="n">
        <v>-102.23</v>
      </c>
    </row>
    <row r="2400">
      <c r="A2400" t="n">
        <v>96995</v>
      </c>
      <c r="B2400" t="n">
        <v>115</v>
      </c>
      <c r="C2400" t="inlineStr">
        <is>
          <t>Love - Shibari - Bradesco</t>
        </is>
      </c>
      <c r="D2400" t="n">
        <v>128</v>
      </c>
      <c r="E2400" t="inlineStr">
        <is>
          <t>Love Cabaret</t>
        </is>
      </c>
      <c r="F2400" s="27" t="n">
        <v>45796.5</v>
      </c>
      <c r="G2400" t="inlineStr">
        <is>
          <t>DEBITO</t>
        </is>
      </c>
      <c r="H2400" t="inlineStr">
        <is>
          <t>TRANSFERENCIA PIX DES: FABRICA DE BARES SERV 19/05</t>
        </is>
      </c>
      <c r="I2400" t="n">
        <v>-100</v>
      </c>
    </row>
    <row r="2401">
      <c r="A2401" t="n">
        <v>96953</v>
      </c>
      <c r="B2401" t="n">
        <v>115</v>
      </c>
      <c r="C2401" t="inlineStr">
        <is>
          <t>Love - Shibari - Bradesco</t>
        </is>
      </c>
      <c r="D2401" t="n">
        <v>128</v>
      </c>
      <c r="E2401" t="inlineStr">
        <is>
          <t>Love Cabaret</t>
        </is>
      </c>
      <c r="F2401" s="27" t="n">
        <v>45796.5</v>
      </c>
      <c r="G2401" t="inlineStr">
        <is>
          <t>DEBITO</t>
        </is>
      </c>
      <c r="H2401" t="inlineStr">
        <is>
          <t>PAGTO ELETRON  COBRANCA 2348</t>
        </is>
      </c>
      <c r="I2401" t="n">
        <v>-349.18</v>
      </c>
    </row>
    <row r="2402">
      <c r="A2402" t="n">
        <v>96999</v>
      </c>
      <c r="B2402" t="n">
        <v>115</v>
      </c>
      <c r="C2402" t="inlineStr">
        <is>
          <t>Love - Shibari - Bradesco</t>
        </is>
      </c>
      <c r="D2402" t="n">
        <v>128</v>
      </c>
      <c r="E2402" t="inlineStr">
        <is>
          <t>Love Cabaret</t>
        </is>
      </c>
      <c r="F2402" s="27" t="n">
        <v>45796.5</v>
      </c>
      <c r="G2402" t="inlineStr">
        <is>
          <t>DEBITO</t>
        </is>
      </c>
      <c r="H2402" t="inlineStr">
        <is>
          <t>CONTA DE AGUA E ESGOTO INTERNET --SABESP/SP</t>
        </is>
      </c>
      <c r="I2402" t="n">
        <v>-153.96</v>
      </c>
    </row>
    <row r="2403">
      <c r="A2403" t="n">
        <v>96977</v>
      </c>
      <c r="B2403" t="n">
        <v>115</v>
      </c>
      <c r="C2403" t="inlineStr">
        <is>
          <t>Love - Shibari - Bradesco</t>
        </is>
      </c>
      <c r="D2403" t="n">
        <v>128</v>
      </c>
      <c r="E2403" t="inlineStr">
        <is>
          <t>Love Cabaret</t>
        </is>
      </c>
      <c r="F2403" s="27" t="n">
        <v>45796.5</v>
      </c>
      <c r="G2403" t="inlineStr">
        <is>
          <t>DEBITO</t>
        </is>
      </c>
      <c r="H2403" t="inlineStr">
        <is>
          <t>PAGTO ELETRONICO TRIBUTO INTERNET --RECEITA FEDERAL/SP</t>
        </is>
      </c>
      <c r="I2403" t="n">
        <v>-699.51</v>
      </c>
    </row>
    <row r="2404">
      <c r="A2404" t="n">
        <v>96973</v>
      </c>
      <c r="B2404" t="n">
        <v>115</v>
      </c>
      <c r="C2404" t="inlineStr">
        <is>
          <t>Love - Shibari - Bradesco</t>
        </is>
      </c>
      <c r="D2404" t="n">
        <v>128</v>
      </c>
      <c r="E2404" t="inlineStr">
        <is>
          <t>Love Cabaret</t>
        </is>
      </c>
      <c r="F2404" s="27" t="n">
        <v>45796.5</v>
      </c>
      <c r="G2404" t="inlineStr">
        <is>
          <t>DEBITO</t>
        </is>
      </c>
      <c r="H2404" t="inlineStr">
        <is>
          <t>PAGTO ELETRONICO TRIBUTO INTERNET --RECEITA FEDERAL/SP</t>
        </is>
      </c>
      <c r="I2404" t="n">
        <v>-42.23</v>
      </c>
    </row>
    <row r="2405">
      <c r="A2405" t="n">
        <v>96955</v>
      </c>
      <c r="B2405" t="n">
        <v>115</v>
      </c>
      <c r="C2405" t="inlineStr">
        <is>
          <t>Love - Shibari - Bradesco</t>
        </is>
      </c>
      <c r="D2405" t="n">
        <v>128</v>
      </c>
      <c r="E2405" t="inlineStr">
        <is>
          <t>Love Cabaret</t>
        </is>
      </c>
      <c r="F2405" s="27" t="n">
        <v>45796.5</v>
      </c>
      <c r="G2405" t="inlineStr">
        <is>
          <t>DEBITO</t>
        </is>
      </c>
      <c r="H2405" t="inlineStr">
        <is>
          <t>PAGTO ELETRON  COBRANCA 36014</t>
        </is>
      </c>
      <c r="I2405" t="n">
        <v>-326.75</v>
      </c>
    </row>
    <row r="2406">
      <c r="A2406" t="n">
        <v>96957</v>
      </c>
      <c r="B2406" t="n">
        <v>115</v>
      </c>
      <c r="C2406" t="inlineStr">
        <is>
          <t>Love - Shibari - Bradesco</t>
        </is>
      </c>
      <c r="D2406" t="n">
        <v>128</v>
      </c>
      <c r="E2406" t="inlineStr">
        <is>
          <t>Love Cabaret</t>
        </is>
      </c>
      <c r="F2406" s="27" t="n">
        <v>45796.5</v>
      </c>
      <c r="G2406" t="inlineStr">
        <is>
          <t>DEBITO</t>
        </is>
      </c>
      <c r="H2406" t="inlineStr">
        <is>
          <t>PAGTO ELETRON  COBRANCA 482</t>
        </is>
      </c>
      <c r="I2406" t="n">
        <v>-300</v>
      </c>
    </row>
    <row r="2407">
      <c r="A2407" t="n">
        <v>96959</v>
      </c>
      <c r="B2407" t="n">
        <v>115</v>
      </c>
      <c r="C2407" t="inlineStr">
        <is>
          <t>Love - Shibari - Bradesco</t>
        </is>
      </c>
      <c r="D2407" t="n">
        <v>128</v>
      </c>
      <c r="E2407" t="inlineStr">
        <is>
          <t>Love Cabaret</t>
        </is>
      </c>
      <c r="F2407" s="27" t="n">
        <v>45796.5</v>
      </c>
      <c r="G2407" t="inlineStr">
        <is>
          <t>DEBITO</t>
        </is>
      </c>
      <c r="H2407" t="inlineStr">
        <is>
          <t>PAGTO ELETRON  COBRANCA 239669</t>
        </is>
      </c>
      <c r="I2407" t="n">
        <v>-296.25</v>
      </c>
    </row>
    <row r="2408">
      <c r="A2408" t="n">
        <v>96961</v>
      </c>
      <c r="B2408" t="n">
        <v>115</v>
      </c>
      <c r="C2408" t="inlineStr">
        <is>
          <t>Love - Shibari - Bradesco</t>
        </is>
      </c>
      <c r="D2408" t="n">
        <v>128</v>
      </c>
      <c r="E2408" t="inlineStr">
        <is>
          <t>Love Cabaret</t>
        </is>
      </c>
      <c r="F2408" s="27" t="n">
        <v>45796.5</v>
      </c>
      <c r="G2408" t="inlineStr">
        <is>
          <t>DEBITO</t>
        </is>
      </c>
      <c r="H2408" t="inlineStr">
        <is>
          <t>PAGTO ELETRON  COBRANCA 401675</t>
        </is>
      </c>
      <c r="I2408" t="n">
        <v>-263.7</v>
      </c>
    </row>
    <row r="2409">
      <c r="A2409" t="n">
        <v>96963</v>
      </c>
      <c r="B2409" t="n">
        <v>115</v>
      </c>
      <c r="C2409" t="inlineStr">
        <is>
          <t>Love - Shibari - Bradesco</t>
        </is>
      </c>
      <c r="D2409" t="n">
        <v>128</v>
      </c>
      <c r="E2409" t="inlineStr">
        <is>
          <t>Love Cabaret</t>
        </is>
      </c>
      <c r="F2409" s="27" t="n">
        <v>45796.5</v>
      </c>
      <c r="G2409" t="inlineStr">
        <is>
          <t>DEBITO</t>
        </is>
      </c>
      <c r="H2409" t="inlineStr">
        <is>
          <t>PAGTO ELETRON  COBRANCA 10143</t>
        </is>
      </c>
      <c r="I2409" t="n">
        <v>-229.2</v>
      </c>
    </row>
    <row r="2410">
      <c r="A2410" t="n">
        <v>96965</v>
      </c>
      <c r="B2410" t="n">
        <v>115</v>
      </c>
      <c r="C2410" t="inlineStr">
        <is>
          <t>Love - Shibari - Bradesco</t>
        </is>
      </c>
      <c r="D2410" t="n">
        <v>128</v>
      </c>
      <c r="E2410" t="inlineStr">
        <is>
          <t>Love Cabaret</t>
        </is>
      </c>
      <c r="F2410" s="27" t="n">
        <v>45796.5</v>
      </c>
      <c r="G2410" t="inlineStr">
        <is>
          <t>DEBITO</t>
        </is>
      </c>
      <c r="H2410" t="inlineStr">
        <is>
          <t>PAGTO ELETRON  COBRANCA 576296</t>
        </is>
      </c>
      <c r="I2410" t="n">
        <v>-185.92</v>
      </c>
    </row>
    <row r="2411">
      <c r="A2411" t="n">
        <v>96967</v>
      </c>
      <c r="B2411" t="n">
        <v>115</v>
      </c>
      <c r="C2411" t="inlineStr">
        <is>
          <t>Love - Shibari - Bradesco</t>
        </is>
      </c>
      <c r="D2411" t="n">
        <v>128</v>
      </c>
      <c r="E2411" t="inlineStr">
        <is>
          <t>Love Cabaret</t>
        </is>
      </c>
      <c r="F2411" s="27" t="n">
        <v>45796.5</v>
      </c>
      <c r="G2411" t="inlineStr">
        <is>
          <t>DEBITO</t>
        </is>
      </c>
      <c r="H2411" t="inlineStr">
        <is>
          <t>PAGTO ELETRON  COBRANCA 26495</t>
        </is>
      </c>
      <c r="I2411" t="n">
        <v>-110.63</v>
      </c>
    </row>
    <row r="2412">
      <c r="A2412" t="n">
        <v>96969</v>
      </c>
      <c r="B2412" t="n">
        <v>115</v>
      </c>
      <c r="C2412" t="inlineStr">
        <is>
          <t>Love - Shibari - Bradesco</t>
        </is>
      </c>
      <c r="D2412" t="n">
        <v>128</v>
      </c>
      <c r="E2412" t="inlineStr">
        <is>
          <t>Love Cabaret</t>
        </is>
      </c>
      <c r="F2412" s="27" t="n">
        <v>45796.5</v>
      </c>
      <c r="G2412" t="inlineStr">
        <is>
          <t>DEBITO</t>
        </is>
      </c>
      <c r="H2412" t="inlineStr">
        <is>
          <t>PAGTO ELETRON  COBRANCA 77488</t>
        </is>
      </c>
      <c r="I2412" t="n">
        <v>-28.92</v>
      </c>
    </row>
    <row r="2413">
      <c r="A2413" t="n">
        <v>96971</v>
      </c>
      <c r="B2413" t="n">
        <v>115</v>
      </c>
      <c r="C2413" t="inlineStr">
        <is>
          <t>Love - Shibari - Bradesco</t>
        </is>
      </c>
      <c r="D2413" t="n">
        <v>128</v>
      </c>
      <c r="E2413" t="inlineStr">
        <is>
          <t>Love Cabaret</t>
        </is>
      </c>
      <c r="F2413" s="27" t="n">
        <v>45796.5</v>
      </c>
      <c r="G2413" t="inlineStr">
        <is>
          <t>DEBITO</t>
        </is>
      </c>
      <c r="H2413" t="inlineStr">
        <is>
          <t>PAGTO ELETRON  COBRANCA 370438</t>
        </is>
      </c>
      <c r="I2413" t="n">
        <v>-182.3</v>
      </c>
    </row>
    <row r="2414">
      <c r="A2414" t="n">
        <v>96975</v>
      </c>
      <c r="B2414" t="n">
        <v>115</v>
      </c>
      <c r="C2414" t="inlineStr">
        <is>
          <t>Love - Shibari - Bradesco</t>
        </is>
      </c>
      <c r="D2414" t="n">
        <v>128</v>
      </c>
      <c r="E2414" t="inlineStr">
        <is>
          <t>Love Cabaret</t>
        </is>
      </c>
      <c r="F2414" s="27" t="n">
        <v>45796.5</v>
      </c>
      <c r="G2414" t="inlineStr">
        <is>
          <t>DEBITO</t>
        </is>
      </c>
      <c r="H2414" t="inlineStr">
        <is>
          <t>PAGTO ELETRONICO TRIBUTO INTERNET --RECEITA FEDERAL/SP</t>
        </is>
      </c>
      <c r="I2414" t="n">
        <v>-712.86</v>
      </c>
    </row>
    <row r="2415">
      <c r="A2415" t="n">
        <v>96933</v>
      </c>
      <c r="B2415" t="n">
        <v>115</v>
      </c>
      <c r="C2415" t="inlineStr">
        <is>
          <t>Love - Shibari - Bradesco</t>
        </is>
      </c>
      <c r="D2415" t="n">
        <v>128</v>
      </c>
      <c r="E2415" t="inlineStr">
        <is>
          <t>Love Cabaret</t>
        </is>
      </c>
      <c r="F2415" s="27" t="n">
        <v>45793.5</v>
      </c>
      <c r="G2415" t="inlineStr">
        <is>
          <t>CREDITO</t>
        </is>
      </c>
      <c r="H2415" t="inlineStr">
        <is>
          <t>TED-TRANSF ELET DISPON REMET.DIVERTI TICKETS COME</t>
        </is>
      </c>
      <c r="I2415" t="n">
        <v>159.46</v>
      </c>
    </row>
    <row r="2416">
      <c r="A2416" t="n">
        <v>96934</v>
      </c>
      <c r="B2416" t="n">
        <v>115</v>
      </c>
      <c r="C2416" t="inlineStr">
        <is>
          <t>Love - Shibari - Bradesco</t>
        </is>
      </c>
      <c r="D2416" t="n">
        <v>128</v>
      </c>
      <c r="E2416" t="inlineStr">
        <is>
          <t>Love Cabaret</t>
        </is>
      </c>
      <c r="F2416" s="27" t="n">
        <v>45793.5</v>
      </c>
      <c r="G2416" t="inlineStr">
        <is>
          <t>DEBITO</t>
        </is>
      </c>
      <c r="H2416" t="inlineStr">
        <is>
          <t>TARIFA BANCARIA TRANSF PGTO PIX</t>
        </is>
      </c>
      <c r="I2416" t="n">
        <v>-9.800000000000001</v>
      </c>
    </row>
    <row r="2417">
      <c r="A2417" t="n">
        <v>96935</v>
      </c>
      <c r="B2417" t="n">
        <v>115</v>
      </c>
      <c r="C2417" t="inlineStr">
        <is>
          <t>Love - Shibari - Bradesco</t>
        </is>
      </c>
      <c r="D2417" t="n">
        <v>128</v>
      </c>
      <c r="E2417" t="inlineStr">
        <is>
          <t>Love Cabaret</t>
        </is>
      </c>
      <c r="F2417" s="27" t="n">
        <v>45793.5</v>
      </c>
      <c r="G2417" t="inlineStr">
        <is>
          <t>DEBITO</t>
        </is>
      </c>
      <c r="H2417" t="inlineStr">
        <is>
          <t>TARIFA BANCARIA TRANSF PGTO PIX</t>
        </is>
      </c>
      <c r="I2417" t="n">
        <v>-9.800000000000001</v>
      </c>
    </row>
    <row r="2418">
      <c r="A2418" t="n">
        <v>96931</v>
      </c>
      <c r="B2418" t="n">
        <v>115</v>
      </c>
      <c r="C2418" t="inlineStr">
        <is>
          <t>Love - Shibari - Bradesco</t>
        </is>
      </c>
      <c r="D2418" t="n">
        <v>128</v>
      </c>
      <c r="E2418" t="inlineStr">
        <is>
          <t>Love Cabaret</t>
        </is>
      </c>
      <c r="F2418" s="27" t="n">
        <v>45792.5</v>
      </c>
      <c r="G2418" t="inlineStr">
        <is>
          <t>DEBITO</t>
        </is>
      </c>
      <c r="H2418" t="inlineStr">
        <is>
          <t>TARIFA BANCARIA Max Empresarial 1</t>
        </is>
      </c>
      <c r="I2418" t="n">
        <v>-171.7</v>
      </c>
    </row>
    <row r="2419">
      <c r="A2419" t="n">
        <v>96932</v>
      </c>
      <c r="B2419" t="n">
        <v>115</v>
      </c>
      <c r="C2419" t="inlineStr">
        <is>
          <t>Love - Shibari - Bradesco</t>
        </is>
      </c>
      <c r="D2419" t="n">
        <v>128</v>
      </c>
      <c r="E2419" t="inlineStr">
        <is>
          <t>Love Cabaret</t>
        </is>
      </c>
      <c r="F2419" s="27" t="n">
        <v>45792.5</v>
      </c>
      <c r="G2419" t="inlineStr">
        <is>
          <t>DEBITO</t>
        </is>
      </c>
      <c r="H2419" t="inlineStr">
        <is>
          <t>TARIFA BANCARIA TRANSF PGTO PIX</t>
        </is>
      </c>
      <c r="I2419" t="n">
        <v>-2.82</v>
      </c>
    </row>
    <row r="2420">
      <c r="A2420" t="n">
        <v>96921</v>
      </c>
      <c r="B2420" t="n">
        <v>115</v>
      </c>
      <c r="C2420" t="inlineStr">
        <is>
          <t>Love - Shibari - Bradesco</t>
        </is>
      </c>
      <c r="D2420" t="n">
        <v>128</v>
      </c>
      <c r="E2420" t="inlineStr">
        <is>
          <t>Love Cabaret</t>
        </is>
      </c>
      <c r="F2420" s="27" t="n">
        <v>45791.5</v>
      </c>
      <c r="G2420" t="inlineStr">
        <is>
          <t>DEBITO</t>
        </is>
      </c>
      <c r="H2420" t="inlineStr">
        <is>
          <t>PAGTO ELETRON  COBRANCA 10094</t>
        </is>
      </c>
      <c r="I2420" t="n">
        <v>-333.2</v>
      </c>
    </row>
    <row r="2421">
      <c r="A2421" t="n">
        <v>96928</v>
      </c>
      <c r="B2421" t="n">
        <v>115</v>
      </c>
      <c r="C2421" t="inlineStr">
        <is>
          <t>Love - Shibari - Bradesco</t>
        </is>
      </c>
      <c r="D2421" t="n">
        <v>128</v>
      </c>
      <c r="E2421" t="inlineStr">
        <is>
          <t>Love Cabaret</t>
        </is>
      </c>
      <c r="F2421" s="27" t="n">
        <v>45791.5</v>
      </c>
      <c r="G2421" t="inlineStr">
        <is>
          <t>DEBITO</t>
        </is>
      </c>
      <c r="H2421" t="inlineStr">
        <is>
          <t>TRANSFERENCIA PIX DES: 51.083.821 AKIRA NAWA 14/05</t>
        </is>
      </c>
      <c r="I2421" t="n">
        <v>-4084</v>
      </c>
    </row>
    <row r="2422">
      <c r="A2422" t="n">
        <v>96901</v>
      </c>
      <c r="B2422" t="n">
        <v>115</v>
      </c>
      <c r="C2422" t="inlineStr">
        <is>
          <t>Love - Shibari - Bradesco</t>
        </is>
      </c>
      <c r="D2422" t="n">
        <v>128</v>
      </c>
      <c r="E2422" t="inlineStr">
        <is>
          <t>Love Cabaret</t>
        </is>
      </c>
      <c r="F2422" s="27" t="n">
        <v>45791.5</v>
      </c>
      <c r="G2422" t="inlineStr">
        <is>
          <t>CREDITO</t>
        </is>
      </c>
      <c r="H2422" t="inlineStr">
        <is>
          <t>TED-TRANSF ELET DISPON REMET.SYMPLA INTERNET SOLU</t>
        </is>
      </c>
      <c r="I2422" t="n">
        <v>13610</v>
      </c>
    </row>
    <row r="2423">
      <c r="A2423" t="n">
        <v>96902</v>
      </c>
      <c r="B2423" t="n">
        <v>115</v>
      </c>
      <c r="C2423" t="inlineStr">
        <is>
          <t>Love - Shibari - Bradesco</t>
        </is>
      </c>
      <c r="D2423" t="n">
        <v>128</v>
      </c>
      <c r="E2423" t="inlineStr">
        <is>
          <t>Love Cabaret</t>
        </is>
      </c>
      <c r="F2423" s="27" t="n">
        <v>45791.5</v>
      </c>
      <c r="G2423" t="inlineStr">
        <is>
          <t>CREDITO</t>
        </is>
      </c>
      <c r="H2423" t="inlineStr">
        <is>
          <t>TED-TRANSF ELET DISPON REMET.SYMPLA INTERNET SOLU</t>
        </is>
      </c>
      <c r="I2423" t="n">
        <v>6045</v>
      </c>
    </row>
    <row r="2424">
      <c r="A2424" t="n">
        <v>96903</v>
      </c>
      <c r="B2424" t="n">
        <v>115</v>
      </c>
      <c r="C2424" t="inlineStr">
        <is>
          <t>Love - Shibari - Bradesco</t>
        </is>
      </c>
      <c r="D2424" t="n">
        <v>128</v>
      </c>
      <c r="E2424" t="inlineStr">
        <is>
          <t>Love Cabaret</t>
        </is>
      </c>
      <c r="F2424" s="27" t="n">
        <v>45791.5</v>
      </c>
      <c r="G2424" t="inlineStr">
        <is>
          <t>CREDITO</t>
        </is>
      </c>
      <c r="H2424" t="inlineStr">
        <is>
          <t>TRANSFERENCIA PIX REM: ARCOS B RESTAURANTE L 14/05</t>
        </is>
      </c>
      <c r="I2424" t="n">
        <v>21785</v>
      </c>
    </row>
    <row r="2425">
      <c r="A2425" t="n">
        <v>96904</v>
      </c>
      <c r="B2425" t="n">
        <v>115</v>
      </c>
      <c r="C2425" t="inlineStr">
        <is>
          <t>Love - Shibari - Bradesco</t>
        </is>
      </c>
      <c r="D2425" t="n">
        <v>128</v>
      </c>
      <c r="E2425" t="inlineStr">
        <is>
          <t>Love Cabaret</t>
        </is>
      </c>
      <c r="F2425" s="27" t="n">
        <v>45791.5</v>
      </c>
      <c r="G2425" t="inlineStr">
        <is>
          <t>CREDITO</t>
        </is>
      </c>
      <c r="H2425" t="inlineStr">
        <is>
          <t>TRANSFERENCIA PIX REM: TAMYRIS HERNANDES CHA 14/05</t>
        </is>
      </c>
      <c r="I2425" t="n">
        <v>1540</v>
      </c>
    </row>
    <row r="2426">
      <c r="A2426" t="n">
        <v>96906</v>
      </c>
      <c r="B2426" t="n">
        <v>115</v>
      </c>
      <c r="C2426" t="inlineStr">
        <is>
          <t>Love - Shibari - Bradesco</t>
        </is>
      </c>
      <c r="D2426" t="n">
        <v>128</v>
      </c>
      <c r="E2426" t="inlineStr">
        <is>
          <t>Love Cabaret</t>
        </is>
      </c>
      <c r="F2426" s="27" t="n">
        <v>45791.5</v>
      </c>
      <c r="G2426" t="inlineStr">
        <is>
          <t>DEBITO</t>
        </is>
      </c>
      <c r="H2426" t="inlineStr">
        <is>
          <t>PAGTO ELETRON  COBRANCA 563782021</t>
        </is>
      </c>
      <c r="I2426" t="n">
        <v>-13898.5</v>
      </c>
    </row>
    <row r="2427">
      <c r="A2427" t="n">
        <v>96907</v>
      </c>
      <c r="B2427" t="n">
        <v>115</v>
      </c>
      <c r="C2427" t="inlineStr">
        <is>
          <t>Love - Shibari - Bradesco</t>
        </is>
      </c>
      <c r="D2427" t="n">
        <v>128</v>
      </c>
      <c r="E2427" t="inlineStr">
        <is>
          <t>Love Cabaret</t>
        </is>
      </c>
      <c r="F2427" s="27" t="n">
        <v>45791.5</v>
      </c>
      <c r="G2427" t="inlineStr">
        <is>
          <t>DEBITO</t>
        </is>
      </c>
      <c r="H2427" t="inlineStr">
        <is>
          <t>PAGTO ELETRON  COBRANCA 2554</t>
        </is>
      </c>
      <c r="I2427" t="n">
        <v>-6252.94</v>
      </c>
    </row>
    <row r="2428">
      <c r="A2428" t="n">
        <v>96908</v>
      </c>
      <c r="B2428" t="n">
        <v>115</v>
      </c>
      <c r="C2428" t="inlineStr">
        <is>
          <t>Love - Shibari - Bradesco</t>
        </is>
      </c>
      <c r="D2428" t="n">
        <v>128</v>
      </c>
      <c r="E2428" t="inlineStr">
        <is>
          <t>Love Cabaret</t>
        </is>
      </c>
      <c r="F2428" s="27" t="n">
        <v>45791.5</v>
      </c>
      <c r="G2428" t="inlineStr">
        <is>
          <t>DEBITO</t>
        </is>
      </c>
      <c r="H2428" t="inlineStr">
        <is>
          <t>PAGTO ELETRON  COBRANCA 28657</t>
        </is>
      </c>
      <c r="I2428" t="n">
        <v>-4359.71</v>
      </c>
    </row>
    <row r="2429">
      <c r="A2429" t="n">
        <v>96909</v>
      </c>
      <c r="B2429" t="n">
        <v>115</v>
      </c>
      <c r="C2429" t="inlineStr">
        <is>
          <t>Love - Shibari - Bradesco</t>
        </is>
      </c>
      <c r="D2429" t="n">
        <v>128</v>
      </c>
      <c r="E2429" t="inlineStr">
        <is>
          <t>Love Cabaret</t>
        </is>
      </c>
      <c r="F2429" s="27" t="n">
        <v>45791.5</v>
      </c>
      <c r="G2429" t="inlineStr">
        <is>
          <t>DEBITO</t>
        </is>
      </c>
      <c r="H2429" t="inlineStr">
        <is>
          <t>PAGTO ELETRON  COBRANCA 7769</t>
        </is>
      </c>
      <c r="I2429" t="n">
        <v>-3204.47</v>
      </c>
    </row>
    <row r="2430">
      <c r="A2430" t="n">
        <v>96910</v>
      </c>
      <c r="B2430" t="n">
        <v>115</v>
      </c>
      <c r="C2430" t="inlineStr">
        <is>
          <t>Love - Shibari - Bradesco</t>
        </is>
      </c>
      <c r="D2430" t="n">
        <v>128</v>
      </c>
      <c r="E2430" t="inlineStr">
        <is>
          <t>Love Cabaret</t>
        </is>
      </c>
      <c r="F2430" s="27" t="n">
        <v>45791.5</v>
      </c>
      <c r="G2430" t="inlineStr">
        <is>
          <t>DEBITO</t>
        </is>
      </c>
      <c r="H2430" t="inlineStr">
        <is>
          <t>PAGTO ELETRON  COBRANCA 01353101</t>
        </is>
      </c>
      <c r="I2430" t="n">
        <v>-1822.5</v>
      </c>
    </row>
    <row r="2431">
      <c r="A2431" t="n">
        <v>96911</v>
      </c>
      <c r="B2431" t="n">
        <v>115</v>
      </c>
      <c r="C2431" t="inlineStr">
        <is>
          <t>Love - Shibari - Bradesco</t>
        </is>
      </c>
      <c r="D2431" t="n">
        <v>128</v>
      </c>
      <c r="E2431" t="inlineStr">
        <is>
          <t>Love Cabaret</t>
        </is>
      </c>
      <c r="F2431" s="27" t="n">
        <v>45791.5</v>
      </c>
      <c r="G2431" t="inlineStr">
        <is>
          <t>DEBITO</t>
        </is>
      </c>
      <c r="H2431" t="inlineStr">
        <is>
          <t>PAGTO ELETRON  COBRANCA 448088</t>
        </is>
      </c>
      <c r="I2431" t="n">
        <v>-1176.16</v>
      </c>
    </row>
    <row r="2432">
      <c r="A2432" t="n">
        <v>96912</v>
      </c>
      <c r="B2432" t="n">
        <v>115</v>
      </c>
      <c r="C2432" t="inlineStr">
        <is>
          <t>Love - Shibari - Bradesco</t>
        </is>
      </c>
      <c r="D2432" t="n">
        <v>128</v>
      </c>
      <c r="E2432" t="inlineStr">
        <is>
          <t>Love Cabaret</t>
        </is>
      </c>
      <c r="F2432" s="27" t="n">
        <v>45791.5</v>
      </c>
      <c r="G2432" t="inlineStr">
        <is>
          <t>DEBITO</t>
        </is>
      </c>
      <c r="H2432" t="inlineStr">
        <is>
          <t>PAGTO ELETRON  COBRANCA 449220</t>
        </is>
      </c>
      <c r="I2432" t="n">
        <v>-1101</v>
      </c>
    </row>
    <row r="2433">
      <c r="A2433" t="n">
        <v>96913</v>
      </c>
      <c r="B2433" t="n">
        <v>115</v>
      </c>
      <c r="C2433" t="inlineStr">
        <is>
          <t>Love - Shibari - Bradesco</t>
        </is>
      </c>
      <c r="D2433" t="n">
        <v>128</v>
      </c>
      <c r="E2433" t="inlineStr">
        <is>
          <t>Love Cabaret</t>
        </is>
      </c>
      <c r="F2433" s="27" t="n">
        <v>45791.5</v>
      </c>
      <c r="G2433" t="inlineStr">
        <is>
          <t>DEBITO</t>
        </is>
      </c>
      <c r="H2433" t="inlineStr">
        <is>
          <t>PAGTO ELETRON  COBRANCA 19557</t>
        </is>
      </c>
      <c r="I2433" t="n">
        <v>-955.2</v>
      </c>
    </row>
    <row r="2434">
      <c r="A2434" t="n">
        <v>96914</v>
      </c>
      <c r="B2434" t="n">
        <v>115</v>
      </c>
      <c r="C2434" t="inlineStr">
        <is>
          <t>Love - Shibari - Bradesco</t>
        </is>
      </c>
      <c r="D2434" t="n">
        <v>128</v>
      </c>
      <c r="E2434" t="inlineStr">
        <is>
          <t>Love Cabaret</t>
        </is>
      </c>
      <c r="F2434" s="27" t="n">
        <v>45791.5</v>
      </c>
      <c r="G2434" t="inlineStr">
        <is>
          <t>DEBITO</t>
        </is>
      </c>
      <c r="H2434" t="inlineStr">
        <is>
          <t>PAGTO ELETRON  COBRANCA 1361</t>
        </is>
      </c>
      <c r="I2434" t="n">
        <v>-891.0599999999999</v>
      </c>
    </row>
    <row r="2435">
      <c r="A2435" t="n">
        <v>96916</v>
      </c>
      <c r="B2435" t="n">
        <v>115</v>
      </c>
      <c r="C2435" t="inlineStr">
        <is>
          <t>Love - Shibari - Bradesco</t>
        </is>
      </c>
      <c r="D2435" t="n">
        <v>128</v>
      </c>
      <c r="E2435" t="inlineStr">
        <is>
          <t>Love Cabaret</t>
        </is>
      </c>
      <c r="F2435" s="27" t="n">
        <v>45791.5</v>
      </c>
      <c r="G2435" t="inlineStr">
        <is>
          <t>DEBITO</t>
        </is>
      </c>
      <c r="H2435" t="inlineStr">
        <is>
          <t>PAGTO ELETRON  COBRANCA 22700</t>
        </is>
      </c>
      <c r="I2435" t="n">
        <v>-609.33</v>
      </c>
    </row>
    <row r="2436">
      <c r="A2436" t="n">
        <v>96929</v>
      </c>
      <c r="B2436" t="n">
        <v>115</v>
      </c>
      <c r="C2436" t="inlineStr">
        <is>
          <t>Love - Shibari - Bradesco</t>
        </is>
      </c>
      <c r="D2436" t="n">
        <v>128</v>
      </c>
      <c r="E2436" t="inlineStr">
        <is>
          <t>Love Cabaret</t>
        </is>
      </c>
      <c r="F2436" s="27" t="n">
        <v>45791.5</v>
      </c>
      <c r="G2436" t="inlineStr">
        <is>
          <t>DEBITO</t>
        </is>
      </c>
      <c r="H2436" t="inlineStr">
        <is>
          <t>TRANSFERENCIA PIX DES: MACHINE SEGURANCA PAT 14/05</t>
        </is>
      </c>
      <c r="I2436" t="n">
        <v>-4636.95</v>
      </c>
    </row>
    <row r="2437">
      <c r="A2437" t="n">
        <v>96927</v>
      </c>
      <c r="B2437" t="n">
        <v>115</v>
      </c>
      <c r="C2437" t="inlineStr">
        <is>
          <t>Love - Shibari - Bradesco</t>
        </is>
      </c>
      <c r="D2437" t="n">
        <v>128</v>
      </c>
      <c r="E2437" t="inlineStr">
        <is>
          <t>Love Cabaret</t>
        </is>
      </c>
      <c r="F2437" s="27" t="n">
        <v>45791.5</v>
      </c>
      <c r="G2437" t="inlineStr">
        <is>
          <t>DEBITO</t>
        </is>
      </c>
      <c r="H2437" t="inlineStr">
        <is>
          <t>TARIFA BANCARIA TRANSF PGTO PIX</t>
        </is>
      </c>
      <c r="I2437" t="n">
        <v>-9.800000000000001</v>
      </c>
    </row>
    <row r="2438">
      <c r="A2438" t="n">
        <v>96926</v>
      </c>
      <c r="B2438" t="n">
        <v>115</v>
      </c>
      <c r="C2438" t="inlineStr">
        <is>
          <t>Love - Shibari - Bradesco</t>
        </is>
      </c>
      <c r="D2438" t="n">
        <v>128</v>
      </c>
      <c r="E2438" t="inlineStr">
        <is>
          <t>Love Cabaret</t>
        </is>
      </c>
      <c r="F2438" s="27" t="n">
        <v>45791.5</v>
      </c>
      <c r="G2438" t="inlineStr">
        <is>
          <t>DEBITO</t>
        </is>
      </c>
      <c r="H2438" t="inlineStr">
        <is>
          <t>TARIFA BANCARIA TRANSF PGTO PIX</t>
        </is>
      </c>
      <c r="I2438" t="n">
        <v>-7.25</v>
      </c>
    </row>
    <row r="2439">
      <c r="A2439" t="n">
        <v>96925</v>
      </c>
      <c r="B2439" t="n">
        <v>115</v>
      </c>
      <c r="C2439" t="inlineStr">
        <is>
          <t>Love - Shibari - Bradesco</t>
        </is>
      </c>
      <c r="D2439" t="n">
        <v>128</v>
      </c>
      <c r="E2439" t="inlineStr">
        <is>
          <t>Love Cabaret</t>
        </is>
      </c>
      <c r="F2439" s="27" t="n">
        <v>45791.5</v>
      </c>
      <c r="G2439" t="inlineStr">
        <is>
          <t>DEBITO</t>
        </is>
      </c>
      <c r="H2439" t="inlineStr">
        <is>
          <t>TARIFA BANCARIA TRANSF PGTO PIX</t>
        </is>
      </c>
      <c r="I2439" t="n">
        <v>-7.25</v>
      </c>
    </row>
    <row r="2440">
      <c r="A2440" t="n">
        <v>96924</v>
      </c>
      <c r="B2440" t="n">
        <v>115</v>
      </c>
      <c r="C2440" t="inlineStr">
        <is>
          <t>Love - Shibari - Bradesco</t>
        </is>
      </c>
      <c r="D2440" t="n">
        <v>128</v>
      </c>
      <c r="E2440" t="inlineStr">
        <is>
          <t>Love Cabaret</t>
        </is>
      </c>
      <c r="F2440" s="27" t="n">
        <v>45791.5</v>
      </c>
      <c r="G2440" t="inlineStr">
        <is>
          <t>DEBITO</t>
        </is>
      </c>
      <c r="H2440" t="inlineStr">
        <is>
          <t>TARIFA BANCARIA TRANSF PGTO PIX</t>
        </is>
      </c>
      <c r="I2440" t="n">
        <v>-4.35</v>
      </c>
    </row>
    <row r="2441">
      <c r="A2441" t="n">
        <v>96923</v>
      </c>
      <c r="B2441" t="n">
        <v>115</v>
      </c>
      <c r="C2441" t="inlineStr">
        <is>
          <t>Love - Shibari - Bradesco</t>
        </is>
      </c>
      <c r="D2441" t="n">
        <v>128</v>
      </c>
      <c r="E2441" t="inlineStr">
        <is>
          <t>Love Cabaret</t>
        </is>
      </c>
      <c r="F2441" s="27" t="n">
        <v>45791.5</v>
      </c>
      <c r="G2441" t="inlineStr">
        <is>
          <t>DEBITO</t>
        </is>
      </c>
      <c r="H2441" t="inlineStr">
        <is>
          <t>TARIFA BANCARIA TRANSF PGTO PIX</t>
        </is>
      </c>
      <c r="I2441" t="n">
        <v>-3.98</v>
      </c>
    </row>
    <row r="2442">
      <c r="A2442" t="n">
        <v>96922</v>
      </c>
      <c r="B2442" t="n">
        <v>115</v>
      </c>
      <c r="C2442" t="inlineStr">
        <is>
          <t>Love - Shibari - Bradesco</t>
        </is>
      </c>
      <c r="D2442" t="n">
        <v>128</v>
      </c>
      <c r="E2442" t="inlineStr">
        <is>
          <t>Love Cabaret</t>
        </is>
      </c>
      <c r="F2442" s="27" t="n">
        <v>45791.5</v>
      </c>
      <c r="G2442" t="inlineStr">
        <is>
          <t>DEBITO</t>
        </is>
      </c>
      <c r="H2442" t="inlineStr">
        <is>
          <t>PAGTO ELETRON  COBRANCA 401504</t>
        </is>
      </c>
      <c r="I2442" t="n">
        <v>-290.3</v>
      </c>
    </row>
    <row r="2443">
      <c r="A2443" t="n">
        <v>96920</v>
      </c>
      <c r="B2443" t="n">
        <v>115</v>
      </c>
      <c r="C2443" t="inlineStr">
        <is>
          <t>Love - Shibari - Bradesco</t>
        </is>
      </c>
      <c r="D2443" t="n">
        <v>128</v>
      </c>
      <c r="E2443" t="inlineStr">
        <is>
          <t>Love Cabaret</t>
        </is>
      </c>
      <c r="F2443" s="27" t="n">
        <v>45791.5</v>
      </c>
      <c r="G2443" t="inlineStr">
        <is>
          <t>DEBITO</t>
        </is>
      </c>
      <c r="H2443" t="inlineStr">
        <is>
          <t>PAGTO ELETRON  COBRANCA 18906</t>
        </is>
      </c>
      <c r="I2443" t="n">
        <v>-400</v>
      </c>
    </row>
    <row r="2444">
      <c r="A2444" t="n">
        <v>96919</v>
      </c>
      <c r="B2444" t="n">
        <v>115</v>
      </c>
      <c r="C2444" t="inlineStr">
        <is>
          <t>Love - Shibari - Bradesco</t>
        </is>
      </c>
      <c r="D2444" t="n">
        <v>128</v>
      </c>
      <c r="E2444" t="inlineStr">
        <is>
          <t>Love Cabaret</t>
        </is>
      </c>
      <c r="F2444" s="27" t="n">
        <v>45791.5</v>
      </c>
      <c r="G2444" t="inlineStr">
        <is>
          <t>DEBITO</t>
        </is>
      </c>
      <c r="H2444" t="inlineStr">
        <is>
          <t>PAGTO ELETRON  COBRANCA 26457</t>
        </is>
      </c>
      <c r="I2444" t="n">
        <v>-475.45</v>
      </c>
    </row>
    <row r="2445">
      <c r="A2445" t="n">
        <v>96918</v>
      </c>
      <c r="B2445" t="n">
        <v>115</v>
      </c>
      <c r="C2445" t="inlineStr">
        <is>
          <t>Love - Shibari - Bradesco</t>
        </is>
      </c>
      <c r="D2445" t="n">
        <v>128</v>
      </c>
      <c r="E2445" t="inlineStr">
        <is>
          <t>Love Cabaret</t>
        </is>
      </c>
      <c r="F2445" s="27" t="n">
        <v>45791.5</v>
      </c>
      <c r="G2445" t="inlineStr">
        <is>
          <t>DEBITO</t>
        </is>
      </c>
      <c r="H2445" t="inlineStr">
        <is>
          <t>PAGTO ELETRON  COBRANCA 602253</t>
        </is>
      </c>
      <c r="I2445" t="n">
        <v>-481.8</v>
      </c>
    </row>
    <row r="2446">
      <c r="A2446" t="n">
        <v>96917</v>
      </c>
      <c r="B2446" t="n">
        <v>115</v>
      </c>
      <c r="C2446" t="inlineStr">
        <is>
          <t>Love - Shibari - Bradesco</t>
        </is>
      </c>
      <c r="D2446" t="n">
        <v>128</v>
      </c>
      <c r="E2446" t="inlineStr">
        <is>
          <t>Love Cabaret</t>
        </is>
      </c>
      <c r="F2446" s="27" t="n">
        <v>45791.5</v>
      </c>
      <c r="G2446" t="inlineStr">
        <is>
          <t>DEBITO</t>
        </is>
      </c>
      <c r="H2446" t="inlineStr">
        <is>
          <t>PAGTO ELETRON  COBRANCA 78788</t>
        </is>
      </c>
      <c r="I2446" t="n">
        <v>-494</v>
      </c>
    </row>
    <row r="2447">
      <c r="A2447" t="n">
        <v>96915</v>
      </c>
      <c r="B2447" t="n">
        <v>115</v>
      </c>
      <c r="C2447" t="inlineStr">
        <is>
          <t>Love - Shibari - Bradesco</t>
        </is>
      </c>
      <c r="D2447" t="n">
        <v>128</v>
      </c>
      <c r="E2447" t="inlineStr">
        <is>
          <t>Love Cabaret</t>
        </is>
      </c>
      <c r="F2447" s="27" t="n">
        <v>45791.5</v>
      </c>
      <c r="G2447" t="inlineStr">
        <is>
          <t>DEBITO</t>
        </is>
      </c>
      <c r="H2447" t="inlineStr">
        <is>
          <t>PAGTO ELETRON  COBRANCA 0006354330</t>
        </is>
      </c>
      <c r="I2447" t="n">
        <v>-700</v>
      </c>
    </row>
    <row r="2448">
      <c r="A2448" t="n">
        <v>91725</v>
      </c>
      <c r="B2448" t="n">
        <v>115</v>
      </c>
      <c r="C2448" t="inlineStr">
        <is>
          <t>Love - Shibari - Bradesco</t>
        </is>
      </c>
      <c r="D2448" t="n">
        <v>128</v>
      </c>
      <c r="E2448" t="inlineStr">
        <is>
          <t>Love Cabaret</t>
        </is>
      </c>
      <c r="F2448" s="27" t="n">
        <v>45790.5</v>
      </c>
      <c r="G2448" t="inlineStr">
        <is>
          <t>DEBITO</t>
        </is>
      </c>
      <c r="H2448" t="inlineStr">
        <is>
          <t>TARIFA BANCARIA TRANSF PGTO PIX</t>
        </is>
      </c>
      <c r="I2448" t="n">
        <v>-9.800000000000001</v>
      </c>
    </row>
    <row r="2449">
      <c r="A2449" t="n">
        <v>91724</v>
      </c>
      <c r="B2449" t="n">
        <v>115</v>
      </c>
      <c r="C2449" t="inlineStr">
        <is>
          <t>Love - Shibari - Bradesco</t>
        </is>
      </c>
      <c r="D2449" t="n">
        <v>128</v>
      </c>
      <c r="E2449" t="inlineStr">
        <is>
          <t>Love Cabaret</t>
        </is>
      </c>
      <c r="F2449" s="27" t="n">
        <v>45790.5</v>
      </c>
      <c r="G2449" t="inlineStr">
        <is>
          <t>CREDITO</t>
        </is>
      </c>
      <c r="H2449" t="inlineStr">
        <is>
          <t>TRANSFERENCIA PIX REM: PRISCILLA CICCONI     13/05</t>
        </is>
      </c>
      <c r="I2449" t="n">
        <v>845</v>
      </c>
    </row>
    <row r="2450">
      <c r="A2450" t="n">
        <v>91726</v>
      </c>
      <c r="B2450" t="n">
        <v>115</v>
      </c>
      <c r="C2450" t="inlineStr">
        <is>
          <t>Love - Shibari - Bradesco</t>
        </is>
      </c>
      <c r="D2450" t="n">
        <v>128</v>
      </c>
      <c r="E2450" t="inlineStr">
        <is>
          <t>Love Cabaret</t>
        </is>
      </c>
      <c r="F2450" s="27" t="n">
        <v>45790.5</v>
      </c>
      <c r="G2450" t="inlineStr">
        <is>
          <t>DEBITO</t>
        </is>
      </c>
      <c r="H2450" t="inlineStr">
        <is>
          <t>TRANSFERENCIA PIX DES: FUNCHAL INDUSTRIA E C 13/05</t>
        </is>
      </c>
      <c r="I2450" t="n">
        <v>-194.99</v>
      </c>
    </row>
    <row r="2451">
      <c r="A2451" t="n">
        <v>91723</v>
      </c>
      <c r="B2451" t="n">
        <v>115</v>
      </c>
      <c r="C2451" t="inlineStr">
        <is>
          <t>Love - Shibari - Bradesco</t>
        </is>
      </c>
      <c r="D2451" t="n">
        <v>128</v>
      </c>
      <c r="E2451" t="inlineStr">
        <is>
          <t>Love Cabaret</t>
        </is>
      </c>
      <c r="F2451" s="27" t="n">
        <v>45790.5</v>
      </c>
      <c r="G2451" t="inlineStr">
        <is>
          <t>CREDITO</t>
        </is>
      </c>
      <c r="H2451" t="inlineStr">
        <is>
          <t>TRANSFERENCIA PIX REM: SHIBARI ART E DIVERSA 13/05</t>
        </is>
      </c>
      <c r="I2451" t="n">
        <v>21197.08</v>
      </c>
    </row>
    <row r="2452">
      <c r="A2452" t="n">
        <v>91722</v>
      </c>
      <c r="B2452" t="n">
        <v>115</v>
      </c>
      <c r="C2452" t="inlineStr">
        <is>
          <t>Love - Shibari - Bradesco</t>
        </is>
      </c>
      <c r="D2452" t="n">
        <v>128</v>
      </c>
      <c r="E2452" t="inlineStr">
        <is>
          <t>Love Cabaret</t>
        </is>
      </c>
      <c r="F2452" s="27" t="n">
        <v>45790.5</v>
      </c>
      <c r="G2452" t="inlineStr">
        <is>
          <t>CREDITO</t>
        </is>
      </c>
      <c r="H2452" t="inlineStr">
        <is>
          <t>TED-TRANSF ELET DISPON REMET.SYMPLA INTERNET SOLU</t>
        </is>
      </c>
      <c r="I2452" t="n">
        <v>1595</v>
      </c>
    </row>
    <row r="2453">
      <c r="A2453" t="n">
        <v>91706</v>
      </c>
      <c r="B2453" t="n">
        <v>115</v>
      </c>
      <c r="C2453" t="inlineStr">
        <is>
          <t>Love - Shibari - Bradesco</t>
        </is>
      </c>
      <c r="D2453" t="n">
        <v>128</v>
      </c>
      <c r="E2453" t="inlineStr">
        <is>
          <t>Love Cabaret</t>
        </is>
      </c>
      <c r="F2453" s="27" t="n">
        <v>45789.5</v>
      </c>
      <c r="G2453" t="inlineStr">
        <is>
          <t>DEBITO</t>
        </is>
      </c>
      <c r="H2453" t="inlineStr">
        <is>
          <t>PAGTO ELETRON  COBRANCA 40</t>
        </is>
      </c>
      <c r="I2453" t="n">
        <v>-385</v>
      </c>
    </row>
    <row r="2454">
      <c r="A2454" t="n">
        <v>91694</v>
      </c>
      <c r="B2454" t="n">
        <v>115</v>
      </c>
      <c r="C2454" t="inlineStr">
        <is>
          <t>Love - Shibari - Bradesco</t>
        </is>
      </c>
      <c r="D2454" t="n">
        <v>128</v>
      </c>
      <c r="E2454" t="inlineStr">
        <is>
          <t>Love Cabaret</t>
        </is>
      </c>
      <c r="F2454" s="27" t="n">
        <v>45789.5</v>
      </c>
      <c r="G2454" t="inlineStr">
        <is>
          <t>DEBITO</t>
        </is>
      </c>
      <c r="H2454" t="inlineStr">
        <is>
          <t>PAGTO ELETRON  COBRANCA 158025</t>
        </is>
      </c>
      <c r="I2454" t="n">
        <v>-31634.64</v>
      </c>
    </row>
    <row r="2455">
      <c r="A2455" t="n">
        <v>91705</v>
      </c>
      <c r="B2455" t="n">
        <v>115</v>
      </c>
      <c r="C2455" t="inlineStr">
        <is>
          <t>Love - Shibari - Bradesco</t>
        </is>
      </c>
      <c r="D2455" t="n">
        <v>128</v>
      </c>
      <c r="E2455" t="inlineStr">
        <is>
          <t>Love Cabaret</t>
        </is>
      </c>
      <c r="F2455" s="27" t="n">
        <v>45789.5</v>
      </c>
      <c r="G2455" t="inlineStr">
        <is>
          <t>DEBITO</t>
        </is>
      </c>
      <c r="H2455" t="inlineStr">
        <is>
          <t>PAGTO ELETRON  COBRANCA 136636</t>
        </is>
      </c>
      <c r="I2455" t="n">
        <v>-382.69</v>
      </c>
    </row>
    <row r="2456">
      <c r="A2456" t="n">
        <v>91704</v>
      </c>
      <c r="B2456" t="n">
        <v>115</v>
      </c>
      <c r="C2456" t="inlineStr">
        <is>
          <t>Love - Shibari - Bradesco</t>
        </is>
      </c>
      <c r="D2456" t="n">
        <v>128</v>
      </c>
      <c r="E2456" t="inlineStr">
        <is>
          <t>Love Cabaret</t>
        </is>
      </c>
      <c r="F2456" s="27" t="n">
        <v>45789.5</v>
      </c>
      <c r="G2456" t="inlineStr">
        <is>
          <t>DEBITO</t>
        </is>
      </c>
      <c r="H2456" t="inlineStr">
        <is>
          <t>PAGTO ELETRON  COBRANCA 149184</t>
        </is>
      </c>
      <c r="I2456" t="n">
        <v>-407.7</v>
      </c>
    </row>
    <row r="2457">
      <c r="A2457" t="n">
        <v>91703</v>
      </c>
      <c r="B2457" t="n">
        <v>115</v>
      </c>
      <c r="C2457" t="inlineStr">
        <is>
          <t>Love - Shibari - Bradesco</t>
        </is>
      </c>
      <c r="D2457" t="n">
        <v>128</v>
      </c>
      <c r="E2457" t="inlineStr">
        <is>
          <t>Love Cabaret</t>
        </is>
      </c>
      <c r="F2457" s="27" t="n">
        <v>45789.5</v>
      </c>
      <c r="G2457" t="inlineStr">
        <is>
          <t>DEBITO</t>
        </is>
      </c>
      <c r="H2457" t="inlineStr">
        <is>
          <t>PAGTO ELETRON  COBRANCA 309155</t>
        </is>
      </c>
      <c r="I2457" t="n">
        <v>-450.45</v>
      </c>
    </row>
    <row r="2458">
      <c r="A2458" t="n">
        <v>91702</v>
      </c>
      <c r="B2458" t="n">
        <v>115</v>
      </c>
      <c r="C2458" t="inlineStr">
        <is>
          <t>Love - Shibari - Bradesco</t>
        </is>
      </c>
      <c r="D2458" t="n">
        <v>128</v>
      </c>
      <c r="E2458" t="inlineStr">
        <is>
          <t>Love Cabaret</t>
        </is>
      </c>
      <c r="F2458" s="27" t="n">
        <v>45789.5</v>
      </c>
      <c r="G2458" t="inlineStr">
        <is>
          <t>DEBITO</t>
        </is>
      </c>
      <c r="H2458" t="inlineStr">
        <is>
          <t>PAGTO ELETRON  COBRANCA 37775</t>
        </is>
      </c>
      <c r="I2458" t="n">
        <v>-561.84</v>
      </c>
    </row>
    <row r="2459">
      <c r="A2459" t="n">
        <v>91701</v>
      </c>
      <c r="B2459" t="n">
        <v>115</v>
      </c>
      <c r="C2459" t="inlineStr">
        <is>
          <t>Love - Shibari - Bradesco</t>
        </is>
      </c>
      <c r="D2459" t="n">
        <v>128</v>
      </c>
      <c r="E2459" t="inlineStr">
        <is>
          <t>Love Cabaret</t>
        </is>
      </c>
      <c r="F2459" s="27" t="n">
        <v>45789.5</v>
      </c>
      <c r="G2459" t="inlineStr">
        <is>
          <t>DEBITO</t>
        </is>
      </c>
      <c r="H2459" t="inlineStr">
        <is>
          <t>PAGTO ELETRON  COBRANCA 24406</t>
        </is>
      </c>
      <c r="I2459" t="n">
        <v>-588</v>
      </c>
    </row>
    <row r="2460">
      <c r="A2460" t="n">
        <v>91700</v>
      </c>
      <c r="B2460" t="n">
        <v>115</v>
      </c>
      <c r="C2460" t="inlineStr">
        <is>
          <t>Love - Shibari - Bradesco</t>
        </is>
      </c>
      <c r="D2460" t="n">
        <v>128</v>
      </c>
      <c r="E2460" t="inlineStr">
        <is>
          <t>Love Cabaret</t>
        </is>
      </c>
      <c r="F2460" s="27" t="n">
        <v>45789.5</v>
      </c>
      <c r="G2460" t="inlineStr">
        <is>
          <t>DEBITO</t>
        </is>
      </c>
      <c r="H2460" t="inlineStr">
        <is>
          <t>PAGTO ELETRON  COBRANCA 543996818</t>
        </is>
      </c>
      <c r="I2460" t="n">
        <v>-808</v>
      </c>
    </row>
    <row r="2461">
      <c r="A2461" t="n">
        <v>91699</v>
      </c>
      <c r="B2461" t="n">
        <v>115</v>
      </c>
      <c r="C2461" t="inlineStr">
        <is>
          <t>Love - Shibari - Bradesco</t>
        </is>
      </c>
      <c r="D2461" t="n">
        <v>128</v>
      </c>
      <c r="E2461" t="inlineStr">
        <is>
          <t>Love Cabaret</t>
        </is>
      </c>
      <c r="F2461" s="27" t="n">
        <v>45789.5</v>
      </c>
      <c r="G2461" t="inlineStr">
        <is>
          <t>DEBITO</t>
        </is>
      </c>
      <c r="H2461" t="inlineStr">
        <is>
          <t>PAGTO ELETRON  COBRANCA 390818</t>
        </is>
      </c>
      <c r="I2461" t="n">
        <v>-775.55</v>
      </c>
    </row>
    <row r="2462">
      <c r="A2462" t="n">
        <v>91698</v>
      </c>
      <c r="B2462" t="n">
        <v>115</v>
      </c>
      <c r="C2462" t="inlineStr">
        <is>
          <t>Love - Shibari - Bradesco</t>
        </is>
      </c>
      <c r="D2462" t="n">
        <v>128</v>
      </c>
      <c r="E2462" t="inlineStr">
        <is>
          <t>Love Cabaret</t>
        </is>
      </c>
      <c r="F2462" s="27" t="n">
        <v>45789.5</v>
      </c>
      <c r="G2462" t="inlineStr">
        <is>
          <t>DEBITO</t>
        </is>
      </c>
      <c r="H2462" t="inlineStr">
        <is>
          <t>PAGTO ELETRON  COBRANCA 29060</t>
        </is>
      </c>
      <c r="I2462" t="n">
        <v>-879.83</v>
      </c>
    </row>
    <row r="2463">
      <c r="A2463" t="n">
        <v>91697</v>
      </c>
      <c r="B2463" t="n">
        <v>115</v>
      </c>
      <c r="C2463" t="inlineStr">
        <is>
          <t>Love - Shibari - Bradesco</t>
        </is>
      </c>
      <c r="D2463" t="n">
        <v>128</v>
      </c>
      <c r="E2463" t="inlineStr">
        <is>
          <t>Love Cabaret</t>
        </is>
      </c>
      <c r="F2463" s="27" t="n">
        <v>45789.5</v>
      </c>
      <c r="G2463" t="inlineStr">
        <is>
          <t>DEBITO</t>
        </is>
      </c>
      <c r="H2463" t="inlineStr">
        <is>
          <t>PAGTO ELETRON  COBRANCA 309112</t>
        </is>
      </c>
      <c r="I2463" t="n">
        <v>-912.41</v>
      </c>
    </row>
    <row r="2464">
      <c r="A2464" t="n">
        <v>91696</v>
      </c>
      <c r="B2464" t="n">
        <v>115</v>
      </c>
      <c r="C2464" t="inlineStr">
        <is>
          <t>Love - Shibari - Bradesco</t>
        </is>
      </c>
      <c r="D2464" t="n">
        <v>128</v>
      </c>
      <c r="E2464" t="inlineStr">
        <is>
          <t>Love Cabaret</t>
        </is>
      </c>
      <c r="F2464" s="27" t="n">
        <v>45789.5</v>
      </c>
      <c r="G2464" t="inlineStr">
        <is>
          <t>DEBITO</t>
        </is>
      </c>
      <c r="H2464" t="inlineStr">
        <is>
          <t>PAGTO ELETRON  COBRANCA 239251</t>
        </is>
      </c>
      <c r="I2464" t="n">
        <v>-1428.42</v>
      </c>
    </row>
    <row r="2465">
      <c r="A2465" t="n">
        <v>91695</v>
      </c>
      <c r="B2465" t="n">
        <v>115</v>
      </c>
      <c r="C2465" t="inlineStr">
        <is>
          <t>Love - Shibari - Bradesco</t>
        </is>
      </c>
      <c r="D2465" t="n">
        <v>128</v>
      </c>
      <c r="E2465" t="inlineStr">
        <is>
          <t>Love Cabaret</t>
        </is>
      </c>
      <c r="F2465" s="27" t="n">
        <v>45789.5</v>
      </c>
      <c r="G2465" t="inlineStr">
        <is>
          <t>DEBITO</t>
        </is>
      </c>
      <c r="H2465" t="inlineStr">
        <is>
          <t>PAGTO ELETRON  COBRANCA 241746</t>
        </is>
      </c>
      <c r="I2465" t="n">
        <v>-3692.57</v>
      </c>
    </row>
    <row r="2466">
      <c r="A2466" t="n">
        <v>91691</v>
      </c>
      <c r="B2466" t="n">
        <v>115</v>
      </c>
      <c r="C2466" t="inlineStr">
        <is>
          <t>Love - Shibari - Bradesco</t>
        </is>
      </c>
      <c r="D2466" t="n">
        <v>128</v>
      </c>
      <c r="E2466" t="inlineStr">
        <is>
          <t>Love Cabaret</t>
        </is>
      </c>
      <c r="F2466" s="27" t="n">
        <v>45789.5</v>
      </c>
      <c r="G2466" t="inlineStr">
        <is>
          <t>CREDITO</t>
        </is>
      </c>
      <c r="H2466" t="inlineStr">
        <is>
          <t>TRANSFERENCIA PIX REM: VICTORIA NALINI       12/05</t>
        </is>
      </c>
      <c r="I2466" t="n">
        <v>520</v>
      </c>
    </row>
    <row r="2467">
      <c r="A2467" t="n">
        <v>91707</v>
      </c>
      <c r="B2467" t="n">
        <v>115</v>
      </c>
      <c r="C2467" t="inlineStr">
        <is>
          <t>Love - Shibari - Bradesco</t>
        </is>
      </c>
      <c r="D2467" t="n">
        <v>128</v>
      </c>
      <c r="E2467" t="inlineStr">
        <is>
          <t>Love Cabaret</t>
        </is>
      </c>
      <c r="F2467" s="27" t="n">
        <v>45789.5</v>
      </c>
      <c r="G2467" t="inlineStr">
        <is>
          <t>DEBITO</t>
        </is>
      </c>
      <c r="H2467" t="inlineStr">
        <is>
          <t>PAGTO ELETRON  COBRANCA 9996</t>
        </is>
      </c>
      <c r="I2467" t="n">
        <v>-243.75</v>
      </c>
    </row>
    <row r="2468">
      <c r="A2468" t="n">
        <v>91708</v>
      </c>
      <c r="B2468" t="n">
        <v>115</v>
      </c>
      <c r="C2468" t="inlineStr">
        <is>
          <t>Love - Shibari - Bradesco</t>
        </is>
      </c>
      <c r="D2468" t="n">
        <v>128</v>
      </c>
      <c r="E2468" t="inlineStr">
        <is>
          <t>Love Cabaret</t>
        </is>
      </c>
      <c r="F2468" s="27" t="n">
        <v>45789.5</v>
      </c>
      <c r="G2468" t="inlineStr">
        <is>
          <t>DEBITO</t>
        </is>
      </c>
      <c r="H2468" t="inlineStr">
        <is>
          <t>PAGTO ELETRON  COBRANCA 10546</t>
        </is>
      </c>
      <c r="I2468" t="n">
        <v>-227.96</v>
      </c>
    </row>
    <row r="2469">
      <c r="A2469" t="n">
        <v>91709</v>
      </c>
      <c r="B2469" t="n">
        <v>115</v>
      </c>
      <c r="C2469" t="inlineStr">
        <is>
          <t>Love - Shibari - Bradesco</t>
        </is>
      </c>
      <c r="D2469" t="n">
        <v>128</v>
      </c>
      <c r="E2469" t="inlineStr">
        <is>
          <t>Love Cabaret</t>
        </is>
      </c>
      <c r="F2469" s="27" t="n">
        <v>45789.5</v>
      </c>
      <c r="G2469" t="inlineStr">
        <is>
          <t>DEBITO</t>
        </is>
      </c>
      <c r="H2469" t="inlineStr">
        <is>
          <t>PAGTO ELETRON  COBRANCA 49866A</t>
        </is>
      </c>
      <c r="I2469" t="n">
        <v>-184.63</v>
      </c>
    </row>
    <row r="2470">
      <c r="A2470" t="n">
        <v>91710</v>
      </c>
      <c r="B2470" t="n">
        <v>115</v>
      </c>
      <c r="C2470" t="inlineStr">
        <is>
          <t>Love - Shibari - Bradesco</t>
        </is>
      </c>
      <c r="D2470" t="n">
        <v>128</v>
      </c>
      <c r="E2470" t="inlineStr">
        <is>
          <t>Love Cabaret</t>
        </is>
      </c>
      <c r="F2470" s="27" t="n">
        <v>45789.5</v>
      </c>
      <c r="G2470" t="inlineStr">
        <is>
          <t>DEBITO</t>
        </is>
      </c>
      <c r="H2470" t="inlineStr">
        <is>
          <t>PAGTO ELETRON  COBRANCA 22388</t>
        </is>
      </c>
      <c r="I2470" t="n">
        <v>-114.66</v>
      </c>
    </row>
    <row r="2471">
      <c r="A2471" t="n">
        <v>91711</v>
      </c>
      <c r="B2471" t="n">
        <v>115</v>
      </c>
      <c r="C2471" t="inlineStr">
        <is>
          <t>Love - Shibari - Bradesco</t>
        </is>
      </c>
      <c r="D2471" t="n">
        <v>128</v>
      </c>
      <c r="E2471" t="inlineStr">
        <is>
          <t>Love Cabaret</t>
        </is>
      </c>
      <c r="F2471" s="27" t="n">
        <v>45789.5</v>
      </c>
      <c r="G2471" t="inlineStr">
        <is>
          <t>DEBITO</t>
        </is>
      </c>
      <c r="H2471" t="inlineStr">
        <is>
          <t>PAGTO ELETRON  COBRANCA 370047</t>
        </is>
      </c>
      <c r="I2471" t="n">
        <v>-76</v>
      </c>
    </row>
    <row r="2472">
      <c r="A2472" t="n">
        <v>91712</v>
      </c>
      <c r="B2472" t="n">
        <v>115</v>
      </c>
      <c r="C2472" t="inlineStr">
        <is>
          <t>Love - Shibari - Bradesco</t>
        </is>
      </c>
      <c r="D2472" t="n">
        <v>128</v>
      </c>
      <c r="E2472" t="inlineStr">
        <is>
          <t>Love Cabaret</t>
        </is>
      </c>
      <c r="F2472" s="27" t="n">
        <v>45789.5</v>
      </c>
      <c r="G2472" t="inlineStr">
        <is>
          <t>DEBITO</t>
        </is>
      </c>
      <c r="H2472" t="inlineStr">
        <is>
          <t>PAGTO ELETRON  COBRANCA 20231</t>
        </is>
      </c>
      <c r="I2472" t="n">
        <v>-30.5</v>
      </c>
    </row>
    <row r="2473">
      <c r="A2473" t="n">
        <v>91713</v>
      </c>
      <c r="B2473" t="n">
        <v>115</v>
      </c>
      <c r="C2473" t="inlineStr">
        <is>
          <t>Love - Shibari - Bradesco</t>
        </is>
      </c>
      <c r="D2473" t="n">
        <v>128</v>
      </c>
      <c r="E2473" t="inlineStr">
        <is>
          <t>Love Cabaret</t>
        </is>
      </c>
      <c r="F2473" s="27" t="n">
        <v>45789.5</v>
      </c>
      <c r="G2473" t="inlineStr">
        <is>
          <t>DEBITO</t>
        </is>
      </c>
      <c r="H2473" t="inlineStr">
        <is>
          <t>TARIFA BANCARIA TRANSF PGTO PIX</t>
        </is>
      </c>
      <c r="I2473" t="n">
        <v>-9.800000000000001</v>
      </c>
    </row>
    <row r="2474">
      <c r="A2474" t="n">
        <v>91714</v>
      </c>
      <c r="B2474" t="n">
        <v>115</v>
      </c>
      <c r="C2474" t="inlineStr">
        <is>
          <t>Love - Shibari - Bradesco</t>
        </is>
      </c>
      <c r="D2474" t="n">
        <v>128</v>
      </c>
      <c r="E2474" t="inlineStr">
        <is>
          <t>Love Cabaret</t>
        </is>
      </c>
      <c r="F2474" s="27" t="n">
        <v>45789.5</v>
      </c>
      <c r="G2474" t="inlineStr">
        <is>
          <t>DEBITO</t>
        </is>
      </c>
      <c r="H2474" t="inlineStr">
        <is>
          <t>TARIFA BANCARIA TRANSF PGTO PIX</t>
        </is>
      </c>
      <c r="I2474" t="n">
        <v>-9.800000000000001</v>
      </c>
    </row>
    <row r="2475">
      <c r="A2475" t="n">
        <v>91715</v>
      </c>
      <c r="B2475" t="n">
        <v>115</v>
      </c>
      <c r="C2475" t="inlineStr">
        <is>
          <t>Love - Shibari - Bradesco</t>
        </is>
      </c>
      <c r="D2475" t="n">
        <v>128</v>
      </c>
      <c r="E2475" t="inlineStr">
        <is>
          <t>Love Cabaret</t>
        </is>
      </c>
      <c r="F2475" s="27" t="n">
        <v>45789.5</v>
      </c>
      <c r="G2475" t="inlineStr">
        <is>
          <t>DEBITO</t>
        </is>
      </c>
      <c r="H2475" t="inlineStr">
        <is>
          <t>PAGTO ELETRONICO TRIBUTO INTERNET --PMSP SP</t>
        </is>
      </c>
      <c r="I2475" t="n">
        <v>-232.58</v>
      </c>
    </row>
    <row r="2476">
      <c r="A2476" t="n">
        <v>91716</v>
      </c>
      <c r="B2476" t="n">
        <v>115</v>
      </c>
      <c r="C2476" t="inlineStr">
        <is>
          <t>Love - Shibari - Bradesco</t>
        </is>
      </c>
      <c r="D2476" t="n">
        <v>128</v>
      </c>
      <c r="E2476" t="inlineStr">
        <is>
          <t>Love Cabaret</t>
        </is>
      </c>
      <c r="F2476" s="27" t="n">
        <v>45789.5</v>
      </c>
      <c r="G2476" t="inlineStr">
        <is>
          <t>DEBITO</t>
        </is>
      </c>
      <c r="H2476" t="inlineStr">
        <is>
          <t>TRANSFERENCIA PIX DES: DUO COMUNICA LTDA     12/05</t>
        </is>
      </c>
      <c r="I2476" t="n">
        <v>-2000</v>
      </c>
    </row>
    <row r="2477">
      <c r="A2477" t="n">
        <v>91717</v>
      </c>
      <c r="B2477" t="n">
        <v>115</v>
      </c>
      <c r="C2477" t="inlineStr">
        <is>
          <t>Love - Shibari - Bradesco</t>
        </is>
      </c>
      <c r="D2477" t="n">
        <v>128</v>
      </c>
      <c r="E2477" t="inlineStr">
        <is>
          <t>Love Cabaret</t>
        </is>
      </c>
      <c r="F2477" s="27" t="n">
        <v>45789.5</v>
      </c>
      <c r="G2477" t="inlineStr">
        <is>
          <t>DEBITO</t>
        </is>
      </c>
      <c r="H2477" t="inlineStr">
        <is>
          <t>TRANSFERENCIA PIX DES: FLAVIO RODRIGUES DE M 12/05</t>
        </is>
      </c>
      <c r="I2477" t="n">
        <v>-500</v>
      </c>
    </row>
    <row r="2478">
      <c r="A2478" t="n">
        <v>91718</v>
      </c>
      <c r="B2478" t="n">
        <v>115</v>
      </c>
      <c r="C2478" t="inlineStr">
        <is>
          <t>Love - Shibari - Bradesco</t>
        </is>
      </c>
      <c r="D2478" t="n">
        <v>128</v>
      </c>
      <c r="E2478" t="inlineStr">
        <is>
          <t>Love Cabaret</t>
        </is>
      </c>
      <c r="F2478" s="27" t="n">
        <v>45789.5</v>
      </c>
      <c r="G2478" t="inlineStr">
        <is>
          <t>DEBITO</t>
        </is>
      </c>
      <c r="H2478" t="inlineStr">
        <is>
          <t>TRANSFERENCIA PIX DES: MATHEUS MOREIRA DE MI 12/05</t>
        </is>
      </c>
      <c r="I2478" t="n">
        <v>-500</v>
      </c>
    </row>
    <row r="2479">
      <c r="A2479" t="n">
        <v>91719</v>
      </c>
      <c r="B2479" t="n">
        <v>115</v>
      </c>
      <c r="C2479" t="inlineStr">
        <is>
          <t>Love - Shibari - Bradesco</t>
        </is>
      </c>
      <c r="D2479" t="n">
        <v>128</v>
      </c>
      <c r="E2479" t="inlineStr">
        <is>
          <t>Love Cabaret</t>
        </is>
      </c>
      <c r="F2479" s="27" t="n">
        <v>45789.5</v>
      </c>
      <c r="G2479" t="inlineStr">
        <is>
          <t>DEBITO</t>
        </is>
      </c>
      <c r="H2479" t="inlineStr">
        <is>
          <t>TRANSFERENCIA PIX DES: Marcos Vinicius Cicon 12/05</t>
        </is>
      </c>
      <c r="I2479" t="n">
        <v>-300</v>
      </c>
    </row>
    <row r="2480">
      <c r="A2480" t="n">
        <v>91720</v>
      </c>
      <c r="B2480" t="n">
        <v>115</v>
      </c>
      <c r="C2480" t="inlineStr">
        <is>
          <t>Love - Shibari - Bradesco</t>
        </is>
      </c>
      <c r="D2480" t="n">
        <v>128</v>
      </c>
      <c r="E2480" t="inlineStr">
        <is>
          <t>Love Cabaret</t>
        </is>
      </c>
      <c r="F2480" s="27" t="n">
        <v>45789.5</v>
      </c>
      <c r="G2480" t="inlineStr">
        <is>
          <t>DEBITO</t>
        </is>
      </c>
      <c r="H2480" t="inlineStr">
        <is>
          <t>TRANSFERENCIA PIX DES: LUCAS KENZO YOKOTOBI  12/05</t>
        </is>
      </c>
      <c r="I2480" t="n">
        <v>-275</v>
      </c>
    </row>
    <row r="2481">
      <c r="A2481" t="n">
        <v>91693</v>
      </c>
      <c r="B2481" t="n">
        <v>115</v>
      </c>
      <c r="C2481" t="inlineStr">
        <is>
          <t>Love - Shibari - Bradesco</t>
        </is>
      </c>
      <c r="D2481" t="n">
        <v>128</v>
      </c>
      <c r="E2481" t="inlineStr">
        <is>
          <t>Love Cabaret</t>
        </is>
      </c>
      <c r="F2481" s="27" t="n">
        <v>45789.5</v>
      </c>
      <c r="G2481" t="inlineStr">
        <is>
          <t>DEBITO</t>
        </is>
      </c>
      <c r="H2481" t="inlineStr">
        <is>
          <t>PAGTO ELETRON  COBRANCA 3754092042025</t>
        </is>
      </c>
      <c r="I2481" t="n">
        <v>-37540.92</v>
      </c>
    </row>
    <row r="2482">
      <c r="A2482" t="n">
        <v>91690</v>
      </c>
      <c r="B2482" t="n">
        <v>115</v>
      </c>
      <c r="C2482" t="inlineStr">
        <is>
          <t>Love - Shibari - Bradesco</t>
        </is>
      </c>
      <c r="D2482" t="n">
        <v>128</v>
      </c>
      <c r="E2482" t="inlineStr">
        <is>
          <t>Love Cabaret</t>
        </is>
      </c>
      <c r="F2482" s="27" t="n">
        <v>45789.5</v>
      </c>
      <c r="G2482" t="inlineStr">
        <is>
          <t>CREDITO</t>
        </is>
      </c>
      <c r="H2482" t="inlineStr">
        <is>
          <t>TRANSFERENCIA PIX REM: SHIBARI ART E DIVERSA 12/05</t>
        </is>
      </c>
      <c r="I2482" t="n">
        <v>48704.97</v>
      </c>
    </row>
    <row r="2483">
      <c r="A2483" t="n">
        <v>91689</v>
      </c>
      <c r="B2483" t="n">
        <v>115</v>
      </c>
      <c r="C2483" t="inlineStr">
        <is>
          <t>Love - Shibari - Bradesco</t>
        </is>
      </c>
      <c r="D2483" t="n">
        <v>128</v>
      </c>
      <c r="E2483" t="inlineStr">
        <is>
          <t>Love Cabaret</t>
        </is>
      </c>
      <c r="F2483" s="27" t="n">
        <v>45789.5</v>
      </c>
      <c r="G2483" t="inlineStr">
        <is>
          <t>CREDITO</t>
        </is>
      </c>
      <c r="H2483" t="inlineStr">
        <is>
          <t>TED-TRANSF ELET DISPON REMET.LOVE SUITES</t>
        </is>
      </c>
      <c r="I2483" t="n">
        <v>1292.39</v>
      </c>
    </row>
    <row r="2484">
      <c r="A2484" t="n">
        <v>91688</v>
      </c>
      <c r="B2484" t="n">
        <v>115</v>
      </c>
      <c r="C2484" t="inlineStr">
        <is>
          <t>Love - Shibari - Bradesco</t>
        </is>
      </c>
      <c r="D2484" t="n">
        <v>128</v>
      </c>
      <c r="E2484" t="inlineStr">
        <is>
          <t>Love Cabaret</t>
        </is>
      </c>
      <c r="F2484" s="27" t="n">
        <v>45789.5</v>
      </c>
      <c r="G2484" t="inlineStr">
        <is>
          <t>CREDITO</t>
        </is>
      </c>
      <c r="H2484" t="inlineStr">
        <is>
          <t>TED-TRANSF ELET DISPON REMET.LOVE SUITES</t>
        </is>
      </c>
      <c r="I2484" t="n">
        <v>31634.64</v>
      </c>
    </row>
    <row r="2485">
      <c r="A2485" t="n">
        <v>91687</v>
      </c>
      <c r="B2485" t="n">
        <v>115</v>
      </c>
      <c r="C2485" t="inlineStr">
        <is>
          <t>Love - Shibari - Bradesco</t>
        </is>
      </c>
      <c r="D2485" t="n">
        <v>128</v>
      </c>
      <c r="E2485" t="inlineStr">
        <is>
          <t>Love Cabaret</t>
        </is>
      </c>
      <c r="F2485" s="27" t="n">
        <v>45789.5</v>
      </c>
      <c r="G2485" t="inlineStr">
        <is>
          <t>CREDITO</t>
        </is>
      </c>
      <c r="H2485" t="inlineStr">
        <is>
          <t>TED-TRANSF ELET DISPON REMET.LIRIUM INDUSTRIA E C</t>
        </is>
      </c>
      <c r="I2485" t="n">
        <v>270</v>
      </c>
    </row>
    <row r="2486">
      <c r="A2486" t="n">
        <v>91674</v>
      </c>
      <c r="B2486" t="n">
        <v>115</v>
      </c>
      <c r="C2486" t="inlineStr">
        <is>
          <t>Love - Shibari - Bradesco</t>
        </is>
      </c>
      <c r="D2486" t="n">
        <v>128</v>
      </c>
      <c r="E2486" t="inlineStr">
        <is>
          <t>Love Cabaret</t>
        </is>
      </c>
      <c r="F2486" s="27" t="n">
        <v>45786.5</v>
      </c>
      <c r="G2486" t="inlineStr">
        <is>
          <t>DEBITO</t>
        </is>
      </c>
      <c r="H2486" t="inlineStr">
        <is>
          <t>TARIFA BANCARIA TRANSF PGTO PIX</t>
        </is>
      </c>
      <c r="I2486" t="n">
        <v>-9.800000000000001</v>
      </c>
    </row>
    <row r="2487">
      <c r="A2487" t="n">
        <v>91673</v>
      </c>
      <c r="B2487" t="n">
        <v>115</v>
      </c>
      <c r="C2487" t="inlineStr">
        <is>
          <t>Love - Shibari - Bradesco</t>
        </is>
      </c>
      <c r="D2487" t="n">
        <v>128</v>
      </c>
      <c r="E2487" t="inlineStr">
        <is>
          <t>Love Cabaret</t>
        </is>
      </c>
      <c r="F2487" s="27" t="n">
        <v>45786.5</v>
      </c>
      <c r="G2487" t="inlineStr">
        <is>
          <t>DEBITO</t>
        </is>
      </c>
      <c r="H2487" t="inlineStr">
        <is>
          <t>TARIFA BANCARIA TRANSF PGTO PIX</t>
        </is>
      </c>
      <c r="I2487" t="n">
        <v>-9.800000000000001</v>
      </c>
    </row>
    <row r="2488">
      <c r="A2488" t="n">
        <v>91672</v>
      </c>
      <c r="B2488" t="n">
        <v>115</v>
      </c>
      <c r="C2488" t="inlineStr">
        <is>
          <t>Love - Shibari - Bradesco</t>
        </is>
      </c>
      <c r="D2488" t="n">
        <v>128</v>
      </c>
      <c r="E2488" t="inlineStr">
        <is>
          <t>Love Cabaret</t>
        </is>
      </c>
      <c r="F2488" s="27" t="n">
        <v>45786.5</v>
      </c>
      <c r="G2488" t="inlineStr">
        <is>
          <t>DEBITO</t>
        </is>
      </c>
      <c r="H2488" t="inlineStr">
        <is>
          <t>TARIFA BANCARIA TRANSF PGTO PIX</t>
        </is>
      </c>
      <c r="I2488" t="n">
        <v>-9.800000000000001</v>
      </c>
    </row>
    <row r="2489">
      <c r="A2489" t="n">
        <v>91671</v>
      </c>
      <c r="B2489" t="n">
        <v>115</v>
      </c>
      <c r="C2489" t="inlineStr">
        <is>
          <t>Love - Shibari - Bradesco</t>
        </is>
      </c>
      <c r="D2489" t="n">
        <v>128</v>
      </c>
      <c r="E2489" t="inlineStr">
        <is>
          <t>Love Cabaret</t>
        </is>
      </c>
      <c r="F2489" s="27" t="n">
        <v>45786.5</v>
      </c>
      <c r="G2489" t="inlineStr">
        <is>
          <t>DEBITO</t>
        </is>
      </c>
      <c r="H2489" t="inlineStr">
        <is>
          <t>TARIFA BANCARIA TRANSF PGTO PIX</t>
        </is>
      </c>
      <c r="I2489" t="n">
        <v>-9.800000000000001</v>
      </c>
    </row>
    <row r="2490">
      <c r="A2490" t="n">
        <v>91670</v>
      </c>
      <c r="B2490" t="n">
        <v>115</v>
      </c>
      <c r="C2490" t="inlineStr">
        <is>
          <t>Love - Shibari - Bradesco</t>
        </is>
      </c>
      <c r="D2490" t="n">
        <v>128</v>
      </c>
      <c r="E2490" t="inlineStr">
        <is>
          <t>Love Cabaret</t>
        </is>
      </c>
      <c r="F2490" s="27" t="n">
        <v>45786.5</v>
      </c>
      <c r="G2490" t="inlineStr">
        <is>
          <t>DEBITO</t>
        </is>
      </c>
      <c r="H2490" t="inlineStr">
        <is>
          <t>TARIFA BANCARIA TRANSF PGTO PIX</t>
        </is>
      </c>
      <c r="I2490" t="n">
        <v>-9.800000000000001</v>
      </c>
    </row>
    <row r="2491">
      <c r="A2491" t="n">
        <v>91669</v>
      </c>
      <c r="B2491" t="n">
        <v>115</v>
      </c>
      <c r="C2491" t="inlineStr">
        <is>
          <t>Love - Shibari - Bradesco</t>
        </is>
      </c>
      <c r="D2491" t="n">
        <v>128</v>
      </c>
      <c r="E2491" t="inlineStr">
        <is>
          <t>Love Cabaret</t>
        </is>
      </c>
      <c r="F2491" s="27" t="n">
        <v>45786.5</v>
      </c>
      <c r="G2491" t="inlineStr">
        <is>
          <t>DEBITO</t>
        </is>
      </c>
      <c r="H2491" t="inlineStr">
        <is>
          <t>TARIFA BANCARIA TRANSF PGTO PIX</t>
        </is>
      </c>
      <c r="I2491" t="n">
        <v>-9.800000000000001</v>
      </c>
    </row>
    <row r="2492">
      <c r="A2492" t="n">
        <v>91668</v>
      </c>
      <c r="B2492" t="n">
        <v>115</v>
      </c>
      <c r="C2492" t="inlineStr">
        <is>
          <t>Love - Shibari - Bradesco</t>
        </is>
      </c>
      <c r="D2492" t="n">
        <v>128</v>
      </c>
      <c r="E2492" t="inlineStr">
        <is>
          <t>Love Cabaret</t>
        </is>
      </c>
      <c r="F2492" s="27" t="n">
        <v>45786.5</v>
      </c>
      <c r="G2492" t="inlineStr">
        <is>
          <t>DEBITO</t>
        </is>
      </c>
      <c r="H2492" t="inlineStr">
        <is>
          <t>TARIFA BANCARIA TRANSF PGTO PIX</t>
        </is>
      </c>
      <c r="I2492" t="n">
        <v>-9.800000000000001</v>
      </c>
    </row>
    <row r="2493">
      <c r="A2493" t="n">
        <v>91667</v>
      </c>
      <c r="B2493" t="n">
        <v>115</v>
      </c>
      <c r="C2493" t="inlineStr">
        <is>
          <t>Love - Shibari - Bradesco</t>
        </is>
      </c>
      <c r="D2493" t="n">
        <v>128</v>
      </c>
      <c r="E2493" t="inlineStr">
        <is>
          <t>Love Cabaret</t>
        </is>
      </c>
      <c r="F2493" s="27" t="n">
        <v>45786.5</v>
      </c>
      <c r="G2493" t="inlineStr">
        <is>
          <t>DEBITO</t>
        </is>
      </c>
      <c r="H2493" t="inlineStr">
        <is>
          <t>TARIFA BANCARIA TRANSF PGTO PIX</t>
        </is>
      </c>
      <c r="I2493" t="n">
        <v>-8.99</v>
      </c>
    </row>
    <row r="2494">
      <c r="A2494" t="n">
        <v>91666</v>
      </c>
      <c r="B2494" t="n">
        <v>115</v>
      </c>
      <c r="C2494" t="inlineStr">
        <is>
          <t>Love - Shibari - Bradesco</t>
        </is>
      </c>
      <c r="D2494" t="n">
        <v>128</v>
      </c>
      <c r="E2494" t="inlineStr">
        <is>
          <t>Love Cabaret</t>
        </is>
      </c>
      <c r="F2494" s="27" t="n">
        <v>45786.5</v>
      </c>
      <c r="G2494" t="inlineStr">
        <is>
          <t>DEBITO</t>
        </is>
      </c>
      <c r="H2494" t="inlineStr">
        <is>
          <t>TARIFA BANCARIA TRANSF PGTO PIX</t>
        </is>
      </c>
      <c r="I2494" t="n">
        <v>-6.45</v>
      </c>
    </row>
    <row r="2495">
      <c r="A2495" t="n">
        <v>91663</v>
      </c>
      <c r="B2495" t="n">
        <v>115</v>
      </c>
      <c r="C2495" t="inlineStr">
        <is>
          <t>Love - Shibari - Bradesco</t>
        </is>
      </c>
      <c r="D2495" t="n">
        <v>128</v>
      </c>
      <c r="E2495" t="inlineStr">
        <is>
          <t>Love Cabaret</t>
        </is>
      </c>
      <c r="F2495" s="27" t="n">
        <v>45786.5</v>
      </c>
      <c r="G2495" t="inlineStr">
        <is>
          <t>CREDITO</t>
        </is>
      </c>
      <c r="H2495" t="inlineStr">
        <is>
          <t>TED-TRANSF ELET DISPON REMET.DIVERTI TICKETS COME</t>
        </is>
      </c>
      <c r="I2495" t="n">
        <v>382.68</v>
      </c>
    </row>
    <row r="2496">
      <c r="A2496" t="n">
        <v>91662</v>
      </c>
      <c r="B2496" t="n">
        <v>115</v>
      </c>
      <c r="C2496" t="inlineStr">
        <is>
          <t>Love - Shibari - Bradesco</t>
        </is>
      </c>
      <c r="D2496" t="n">
        <v>128</v>
      </c>
      <c r="E2496" t="inlineStr">
        <is>
          <t>Love Cabaret</t>
        </is>
      </c>
      <c r="F2496" s="27" t="n">
        <v>45786.5</v>
      </c>
      <c r="G2496" t="inlineStr">
        <is>
          <t>CREDITO</t>
        </is>
      </c>
      <c r="H2496" t="inlineStr">
        <is>
          <t>TED-TRANSF ELET DISPON REMET.DIVERTI TICKETS COME</t>
        </is>
      </c>
      <c r="I2496" t="n">
        <v>175.39</v>
      </c>
    </row>
    <row r="2497">
      <c r="A2497" t="n">
        <v>91661</v>
      </c>
      <c r="B2497" t="n">
        <v>115</v>
      </c>
      <c r="C2497" t="inlineStr">
        <is>
          <t>Love - Shibari - Bradesco</t>
        </is>
      </c>
      <c r="D2497" t="n">
        <v>128</v>
      </c>
      <c r="E2497" t="inlineStr">
        <is>
          <t>Love Cabaret</t>
        </is>
      </c>
      <c r="F2497" s="27" t="n">
        <v>45786.5</v>
      </c>
      <c r="G2497" t="inlineStr">
        <is>
          <t>CREDITO</t>
        </is>
      </c>
      <c r="H2497" t="inlineStr">
        <is>
          <t>TED-TRANSF ELET DISPON REMET.DIVERTI TICKETS COME</t>
        </is>
      </c>
      <c r="I2497" t="n">
        <v>116.92</v>
      </c>
    </row>
    <row r="2498">
      <c r="A2498" t="n">
        <v>91676</v>
      </c>
      <c r="B2498" t="n">
        <v>115</v>
      </c>
      <c r="C2498" t="inlineStr">
        <is>
          <t>Love - Shibari - Bradesco</t>
        </is>
      </c>
      <c r="D2498" t="n">
        <v>128</v>
      </c>
      <c r="E2498" t="inlineStr">
        <is>
          <t>Love Cabaret</t>
        </is>
      </c>
      <c r="F2498" s="27" t="n">
        <v>45786.5</v>
      </c>
      <c r="G2498" t="inlineStr">
        <is>
          <t>DEBITO</t>
        </is>
      </c>
      <c r="H2498" t="inlineStr">
        <is>
          <t>TARIFA BANCARIA TRANSF PGTO PIX</t>
        </is>
      </c>
      <c r="I2498" t="n">
        <v>-9.800000000000001</v>
      </c>
    </row>
    <row r="2499">
      <c r="A2499" t="n">
        <v>91686</v>
      </c>
      <c r="B2499" t="n">
        <v>115</v>
      </c>
      <c r="C2499" t="inlineStr">
        <is>
          <t>Love - Shibari - Bradesco</t>
        </is>
      </c>
      <c r="D2499" t="n">
        <v>128</v>
      </c>
      <c r="E2499" t="inlineStr">
        <is>
          <t>Love Cabaret</t>
        </is>
      </c>
      <c r="F2499" s="27" t="n">
        <v>45786.5</v>
      </c>
      <c r="G2499" t="inlineStr">
        <is>
          <t>DEBITO</t>
        </is>
      </c>
      <c r="H2499" t="inlineStr">
        <is>
          <t>TRANSFERENCIA PIX DES: Deborah Rizzo Serrado 09/05</t>
        </is>
      </c>
      <c r="I2499" t="n">
        <v>-11403</v>
      </c>
    </row>
    <row r="2500">
      <c r="A2500" t="n">
        <v>91685</v>
      </c>
      <c r="B2500" t="n">
        <v>115</v>
      </c>
      <c r="C2500" t="inlineStr">
        <is>
          <t>Love - Shibari - Bradesco</t>
        </is>
      </c>
      <c r="D2500" t="n">
        <v>128</v>
      </c>
      <c r="E2500" t="inlineStr">
        <is>
          <t>Love Cabaret</t>
        </is>
      </c>
      <c r="F2500" s="27" t="n">
        <v>45786.5</v>
      </c>
      <c r="G2500" t="inlineStr">
        <is>
          <t>DEBITO</t>
        </is>
      </c>
      <c r="H2500" t="inlineStr">
        <is>
          <t>TARIFA BANCARIA TRANSF PGTO PIX</t>
        </is>
      </c>
      <c r="I2500" t="n">
        <v>-9.800000000000001</v>
      </c>
    </row>
    <row r="2501">
      <c r="A2501" t="n">
        <v>91684</v>
      </c>
      <c r="B2501" t="n">
        <v>115</v>
      </c>
      <c r="C2501" t="inlineStr">
        <is>
          <t>Love - Shibari - Bradesco</t>
        </is>
      </c>
      <c r="D2501" t="n">
        <v>128</v>
      </c>
      <c r="E2501" t="inlineStr">
        <is>
          <t>Love Cabaret</t>
        </is>
      </c>
      <c r="F2501" s="27" t="n">
        <v>45786.5</v>
      </c>
      <c r="G2501" t="inlineStr">
        <is>
          <t>DEBITO</t>
        </is>
      </c>
      <c r="H2501" t="inlineStr">
        <is>
          <t>TARIFA BANCARIA TRANSF PGTO PIX</t>
        </is>
      </c>
      <c r="I2501" t="n">
        <v>-9.800000000000001</v>
      </c>
    </row>
    <row r="2502">
      <c r="A2502" t="n">
        <v>91683</v>
      </c>
      <c r="B2502" t="n">
        <v>115</v>
      </c>
      <c r="C2502" t="inlineStr">
        <is>
          <t>Love - Shibari - Bradesco</t>
        </is>
      </c>
      <c r="D2502" t="n">
        <v>128</v>
      </c>
      <c r="E2502" t="inlineStr">
        <is>
          <t>Love Cabaret</t>
        </is>
      </c>
      <c r="F2502" s="27" t="n">
        <v>45786.5</v>
      </c>
      <c r="G2502" t="inlineStr">
        <is>
          <t>DEBITO</t>
        </is>
      </c>
      <c r="H2502" t="inlineStr">
        <is>
          <t>TARIFA BANCARIA TRANSF PGTO PIX</t>
        </is>
      </c>
      <c r="I2502" t="n">
        <v>-9.800000000000001</v>
      </c>
    </row>
    <row r="2503">
      <c r="A2503" t="n">
        <v>91682</v>
      </c>
      <c r="B2503" t="n">
        <v>115</v>
      </c>
      <c r="C2503" t="inlineStr">
        <is>
          <t>Love - Shibari - Bradesco</t>
        </is>
      </c>
      <c r="D2503" t="n">
        <v>128</v>
      </c>
      <c r="E2503" t="inlineStr">
        <is>
          <t>Love Cabaret</t>
        </is>
      </c>
      <c r="F2503" s="27" t="n">
        <v>45786.5</v>
      </c>
      <c r="G2503" t="inlineStr">
        <is>
          <t>DEBITO</t>
        </is>
      </c>
      <c r="H2503" t="inlineStr">
        <is>
          <t>TARIFA BANCARIA TRANSF PGTO PIX</t>
        </is>
      </c>
      <c r="I2503" t="n">
        <v>-9.800000000000001</v>
      </c>
    </row>
    <row r="2504">
      <c r="A2504" t="n">
        <v>91681</v>
      </c>
      <c r="B2504" t="n">
        <v>115</v>
      </c>
      <c r="C2504" t="inlineStr">
        <is>
          <t>Love - Shibari - Bradesco</t>
        </is>
      </c>
      <c r="D2504" t="n">
        <v>128</v>
      </c>
      <c r="E2504" t="inlineStr">
        <is>
          <t>Love Cabaret</t>
        </is>
      </c>
      <c r="F2504" s="27" t="n">
        <v>45786.5</v>
      </c>
      <c r="G2504" t="inlineStr">
        <is>
          <t>DEBITO</t>
        </is>
      </c>
      <c r="H2504" t="inlineStr">
        <is>
          <t>TARIFA BANCARIA TRANSF PGTO PIX</t>
        </is>
      </c>
      <c r="I2504" t="n">
        <v>-9.800000000000001</v>
      </c>
    </row>
    <row r="2505">
      <c r="A2505" t="n">
        <v>91680</v>
      </c>
      <c r="B2505" t="n">
        <v>115</v>
      </c>
      <c r="C2505" t="inlineStr">
        <is>
          <t>Love - Shibari - Bradesco</t>
        </is>
      </c>
      <c r="D2505" t="n">
        <v>128</v>
      </c>
      <c r="E2505" t="inlineStr">
        <is>
          <t>Love Cabaret</t>
        </is>
      </c>
      <c r="F2505" s="27" t="n">
        <v>45786.5</v>
      </c>
      <c r="G2505" t="inlineStr">
        <is>
          <t>DEBITO</t>
        </is>
      </c>
      <c r="H2505" t="inlineStr">
        <is>
          <t>TARIFA BANCARIA TRANSF PGTO PIX</t>
        </is>
      </c>
      <c r="I2505" t="n">
        <v>-9.800000000000001</v>
      </c>
    </row>
    <row r="2506">
      <c r="A2506" t="n">
        <v>91679</v>
      </c>
      <c r="B2506" t="n">
        <v>115</v>
      </c>
      <c r="C2506" t="inlineStr">
        <is>
          <t>Love - Shibari - Bradesco</t>
        </is>
      </c>
      <c r="D2506" t="n">
        <v>128</v>
      </c>
      <c r="E2506" t="inlineStr">
        <is>
          <t>Love Cabaret</t>
        </is>
      </c>
      <c r="F2506" s="27" t="n">
        <v>45786.5</v>
      </c>
      <c r="G2506" t="inlineStr">
        <is>
          <t>DEBITO</t>
        </is>
      </c>
      <c r="H2506" t="inlineStr">
        <is>
          <t>TARIFA BANCARIA TRANSF PGTO PIX</t>
        </is>
      </c>
      <c r="I2506" t="n">
        <v>-9.800000000000001</v>
      </c>
    </row>
    <row r="2507">
      <c r="A2507" t="n">
        <v>91678</v>
      </c>
      <c r="B2507" t="n">
        <v>115</v>
      </c>
      <c r="C2507" t="inlineStr">
        <is>
          <t>Love - Shibari - Bradesco</t>
        </is>
      </c>
      <c r="D2507" t="n">
        <v>128</v>
      </c>
      <c r="E2507" t="inlineStr">
        <is>
          <t>Love Cabaret</t>
        </is>
      </c>
      <c r="F2507" s="27" t="n">
        <v>45786.5</v>
      </c>
      <c r="G2507" t="inlineStr">
        <is>
          <t>DEBITO</t>
        </is>
      </c>
      <c r="H2507" t="inlineStr">
        <is>
          <t>TARIFA BANCARIA TRANSF PGTO PIX</t>
        </is>
      </c>
      <c r="I2507" t="n">
        <v>-9.800000000000001</v>
      </c>
    </row>
    <row r="2508">
      <c r="A2508" t="n">
        <v>91677</v>
      </c>
      <c r="B2508" t="n">
        <v>115</v>
      </c>
      <c r="C2508" t="inlineStr">
        <is>
          <t>Love - Shibari - Bradesco</t>
        </is>
      </c>
      <c r="D2508" t="n">
        <v>128</v>
      </c>
      <c r="E2508" t="inlineStr">
        <is>
          <t>Love Cabaret</t>
        </is>
      </c>
      <c r="F2508" s="27" t="n">
        <v>45786.5</v>
      </c>
      <c r="G2508" t="inlineStr">
        <is>
          <t>DEBITO</t>
        </is>
      </c>
      <c r="H2508" t="inlineStr">
        <is>
          <t>TARIFA BANCARIA TRANSF PGTO PIX</t>
        </is>
      </c>
      <c r="I2508" t="n">
        <v>-9.800000000000001</v>
      </c>
    </row>
    <row r="2509">
      <c r="A2509" t="n">
        <v>91675</v>
      </c>
      <c r="B2509" t="n">
        <v>115</v>
      </c>
      <c r="C2509" t="inlineStr">
        <is>
          <t>Love - Shibari - Bradesco</t>
        </is>
      </c>
      <c r="D2509" t="n">
        <v>128</v>
      </c>
      <c r="E2509" t="inlineStr">
        <is>
          <t>Love Cabaret</t>
        </is>
      </c>
      <c r="F2509" s="27" t="n">
        <v>45786.5</v>
      </c>
      <c r="G2509" t="inlineStr">
        <is>
          <t>DEBITO</t>
        </is>
      </c>
      <c r="H2509" t="inlineStr">
        <is>
          <t>TARIFA BANCARIA TRANSF PGTO PIX</t>
        </is>
      </c>
      <c r="I2509" t="n">
        <v>-9.800000000000001</v>
      </c>
    </row>
    <row r="2510">
      <c r="A2510" t="n">
        <v>91660</v>
      </c>
      <c r="B2510" t="n">
        <v>115</v>
      </c>
      <c r="C2510" t="inlineStr">
        <is>
          <t>Love - Shibari - Bradesco</t>
        </is>
      </c>
      <c r="D2510" t="n">
        <v>128</v>
      </c>
      <c r="E2510" t="inlineStr">
        <is>
          <t>Love Cabaret</t>
        </is>
      </c>
      <c r="F2510" s="27" t="n">
        <v>45785.5</v>
      </c>
      <c r="G2510" t="inlineStr">
        <is>
          <t>DEBITO</t>
        </is>
      </c>
      <c r="H2510" t="inlineStr">
        <is>
          <t>TRANSFERENCIA PIX DES: LEON FRANZ            08/05</t>
        </is>
      </c>
      <c r="I2510" t="n">
        <v>-8500</v>
      </c>
    </row>
    <row r="2511">
      <c r="A2511" t="n">
        <v>91659</v>
      </c>
      <c r="B2511" t="n">
        <v>115</v>
      </c>
      <c r="C2511" t="inlineStr">
        <is>
          <t>Love - Shibari - Bradesco</t>
        </is>
      </c>
      <c r="D2511" t="n">
        <v>128</v>
      </c>
      <c r="E2511" t="inlineStr">
        <is>
          <t>Love Cabaret</t>
        </is>
      </c>
      <c r="F2511" s="27" t="n">
        <v>45785.5</v>
      </c>
      <c r="G2511" t="inlineStr">
        <is>
          <t>DEBITO</t>
        </is>
      </c>
      <c r="H2511" t="inlineStr">
        <is>
          <t>TRANSFERENCIA PIX DES: FELIPE DA COSTA SANTO 08/05</t>
        </is>
      </c>
      <c r="I2511" t="n">
        <v>-2180</v>
      </c>
    </row>
    <row r="2512">
      <c r="A2512" t="n">
        <v>91655</v>
      </c>
      <c r="B2512" t="n">
        <v>115</v>
      </c>
      <c r="C2512" t="inlineStr">
        <is>
          <t>Love - Shibari - Bradesco</t>
        </is>
      </c>
      <c r="D2512" t="n">
        <v>128</v>
      </c>
      <c r="E2512" t="inlineStr">
        <is>
          <t>Love Cabaret</t>
        </is>
      </c>
      <c r="F2512" s="27" t="n">
        <v>45784.5</v>
      </c>
      <c r="G2512" t="inlineStr">
        <is>
          <t>DEBITO</t>
        </is>
      </c>
      <c r="H2512" t="inlineStr">
        <is>
          <t>TRANSFERENCIA PIX DES: Diego Oliveira Santan 07/05</t>
        </is>
      </c>
      <c r="I2512" t="n">
        <v>-620</v>
      </c>
    </row>
    <row r="2513">
      <c r="A2513" t="n">
        <v>91604</v>
      </c>
      <c r="B2513" t="n">
        <v>115</v>
      </c>
      <c r="C2513" t="inlineStr">
        <is>
          <t>Love - Shibari - Bradesco</t>
        </is>
      </c>
      <c r="D2513" t="n">
        <v>128</v>
      </c>
      <c r="E2513" t="inlineStr">
        <is>
          <t>Love Cabaret</t>
        </is>
      </c>
      <c r="F2513" s="27" t="n">
        <v>45784.5</v>
      </c>
      <c r="G2513" t="inlineStr">
        <is>
          <t>CREDITO</t>
        </is>
      </c>
      <c r="H2513" t="inlineStr">
        <is>
          <t>DEP DINHEIRO ATM AG00117MAQ061059SEQ05327</t>
        </is>
      </c>
      <c r="I2513" t="n">
        <v>2000</v>
      </c>
    </row>
    <row r="2514">
      <c r="A2514" t="n">
        <v>91612</v>
      </c>
      <c r="B2514" t="n">
        <v>115</v>
      </c>
      <c r="C2514" t="inlineStr">
        <is>
          <t>Love - Shibari - Bradesco</t>
        </is>
      </c>
      <c r="D2514" t="n">
        <v>128</v>
      </c>
      <c r="E2514" t="inlineStr">
        <is>
          <t>Love Cabaret</t>
        </is>
      </c>
      <c r="F2514" s="27" t="n">
        <v>45784.5</v>
      </c>
      <c r="G2514" t="inlineStr">
        <is>
          <t>DEBITO</t>
        </is>
      </c>
      <c r="H2514" t="inlineStr">
        <is>
          <t>PAGTO ELETRON  COBRANCA 561024978</t>
        </is>
      </c>
      <c r="I2514" t="n">
        <v>-19125</v>
      </c>
    </row>
    <row r="2515">
      <c r="A2515" t="n">
        <v>91613</v>
      </c>
      <c r="B2515" t="n">
        <v>115</v>
      </c>
      <c r="C2515" t="inlineStr">
        <is>
          <t>Love - Shibari - Bradesco</t>
        </is>
      </c>
      <c r="D2515" t="n">
        <v>128</v>
      </c>
      <c r="E2515" t="inlineStr">
        <is>
          <t>Love Cabaret</t>
        </is>
      </c>
      <c r="F2515" s="27" t="n">
        <v>45784.5</v>
      </c>
      <c r="G2515" t="inlineStr">
        <is>
          <t>DEBITO</t>
        </is>
      </c>
      <c r="H2515" t="inlineStr">
        <is>
          <t>PAGTO ELETRON  COBRANCA 559944384</t>
        </is>
      </c>
      <c r="I2515" t="n">
        <v>-13750</v>
      </c>
    </row>
    <row r="2516">
      <c r="A2516" t="n">
        <v>91614</v>
      </c>
      <c r="B2516" t="n">
        <v>115</v>
      </c>
      <c r="C2516" t="inlineStr">
        <is>
          <t>Love - Shibari - Bradesco</t>
        </is>
      </c>
      <c r="D2516" t="n">
        <v>128</v>
      </c>
      <c r="E2516" t="inlineStr">
        <is>
          <t>Love Cabaret</t>
        </is>
      </c>
      <c r="F2516" s="27" t="n">
        <v>45784.5</v>
      </c>
      <c r="G2516" t="inlineStr">
        <is>
          <t>DEBITO</t>
        </is>
      </c>
      <c r="H2516" t="inlineStr">
        <is>
          <t>PAGTO ELETRON  COBRANCA 238233</t>
        </is>
      </c>
      <c r="I2516" t="n">
        <v>-4431.08</v>
      </c>
    </row>
    <row r="2517">
      <c r="A2517" t="n">
        <v>91615</v>
      </c>
      <c r="B2517" t="n">
        <v>115</v>
      </c>
      <c r="C2517" t="inlineStr">
        <is>
          <t>Love - Shibari - Bradesco</t>
        </is>
      </c>
      <c r="D2517" t="n">
        <v>128</v>
      </c>
      <c r="E2517" t="inlineStr">
        <is>
          <t>Love Cabaret</t>
        </is>
      </c>
      <c r="F2517" s="27" t="n">
        <v>45784.5</v>
      </c>
      <c r="G2517" t="inlineStr">
        <is>
          <t>DEBITO</t>
        </is>
      </c>
      <c r="H2517" t="inlineStr">
        <is>
          <t>PAGTO ELETRON  COBRANCA 03250226</t>
        </is>
      </c>
      <c r="I2517" t="n">
        <v>-2117.46</v>
      </c>
    </row>
    <row r="2518">
      <c r="A2518" t="n">
        <v>91616</v>
      </c>
      <c r="B2518" t="n">
        <v>115</v>
      </c>
      <c r="C2518" t="inlineStr">
        <is>
          <t>Love - Shibari - Bradesco</t>
        </is>
      </c>
      <c r="D2518" t="n">
        <v>128</v>
      </c>
      <c r="E2518" t="inlineStr">
        <is>
          <t>Love Cabaret</t>
        </is>
      </c>
      <c r="F2518" s="27" t="n">
        <v>45784.5</v>
      </c>
      <c r="G2518" t="inlineStr">
        <is>
          <t>DEBITO</t>
        </is>
      </c>
      <c r="H2518" t="inlineStr">
        <is>
          <t>PAGTO ELETRON  COBRANCA 239121</t>
        </is>
      </c>
      <c r="I2518" t="n">
        <v>-1252.92</v>
      </c>
    </row>
    <row r="2519">
      <c r="A2519" t="n">
        <v>91617</v>
      </c>
      <c r="B2519" t="n">
        <v>115</v>
      </c>
      <c r="C2519" t="inlineStr">
        <is>
          <t>Love - Shibari - Bradesco</t>
        </is>
      </c>
      <c r="D2519" t="n">
        <v>128</v>
      </c>
      <c r="E2519" t="inlineStr">
        <is>
          <t>Love Cabaret</t>
        </is>
      </c>
      <c r="F2519" s="27" t="n">
        <v>45784.5</v>
      </c>
      <c r="G2519" t="inlineStr">
        <is>
          <t>DEBITO</t>
        </is>
      </c>
      <c r="H2519" t="inlineStr">
        <is>
          <t>PAGTO ELETRON  COBRANCA 240</t>
        </is>
      </c>
      <c r="I2519" t="n">
        <v>-1000</v>
      </c>
    </row>
    <row r="2520">
      <c r="A2520" t="n">
        <v>91640</v>
      </c>
      <c r="B2520" t="n">
        <v>115</v>
      </c>
      <c r="C2520" t="inlineStr">
        <is>
          <t>Love - Shibari - Bradesco</t>
        </is>
      </c>
      <c r="D2520" t="n">
        <v>128</v>
      </c>
      <c r="E2520" t="inlineStr">
        <is>
          <t>Love Cabaret</t>
        </is>
      </c>
      <c r="F2520" s="27" t="n">
        <v>45784.5</v>
      </c>
      <c r="G2520" t="inlineStr">
        <is>
          <t>DEBITO</t>
        </is>
      </c>
      <c r="H2520" t="inlineStr">
        <is>
          <t>TRANSFERENCIA PIX DES: ROBERTA MARIA SANTANA 07/05</t>
        </is>
      </c>
      <c r="I2520" t="n">
        <v>-6020</v>
      </c>
    </row>
    <row r="2521">
      <c r="A2521" t="n">
        <v>91625</v>
      </c>
      <c r="B2521" t="n">
        <v>115</v>
      </c>
      <c r="C2521" t="inlineStr">
        <is>
          <t>Love - Shibari - Bradesco</t>
        </is>
      </c>
      <c r="D2521" t="n">
        <v>128</v>
      </c>
      <c r="E2521" t="inlineStr">
        <is>
          <t>Love Cabaret</t>
        </is>
      </c>
      <c r="F2521" s="27" t="n">
        <v>45784.5</v>
      </c>
      <c r="G2521" t="inlineStr">
        <is>
          <t>DEBITO</t>
        </is>
      </c>
      <c r="H2521" t="inlineStr">
        <is>
          <t>PAGTO ELETRON  COBRANCA 35814</t>
        </is>
      </c>
      <c r="I2521" t="n">
        <v>-326.75</v>
      </c>
    </row>
    <row r="2522">
      <c r="A2522" t="n">
        <v>91626</v>
      </c>
      <c r="B2522" t="n">
        <v>115</v>
      </c>
      <c r="C2522" t="inlineStr">
        <is>
          <t>Love - Shibari - Bradesco</t>
        </is>
      </c>
      <c r="D2522" t="n">
        <v>128</v>
      </c>
      <c r="E2522" t="inlineStr">
        <is>
          <t>Love Cabaret</t>
        </is>
      </c>
      <c r="F2522" s="27" t="n">
        <v>45784.5</v>
      </c>
      <c r="G2522" t="inlineStr">
        <is>
          <t>DEBITO</t>
        </is>
      </c>
      <c r="H2522" t="inlineStr">
        <is>
          <t>PAGTO ELETRON  COBRANCA 3976</t>
        </is>
      </c>
      <c r="I2522" t="n">
        <v>-220</v>
      </c>
    </row>
    <row r="2523">
      <c r="A2523" t="n">
        <v>91627</v>
      </c>
      <c r="B2523" t="n">
        <v>115</v>
      </c>
      <c r="C2523" t="inlineStr">
        <is>
          <t>Love - Shibari - Bradesco</t>
        </is>
      </c>
      <c r="D2523" t="n">
        <v>128</v>
      </c>
      <c r="E2523" t="inlineStr">
        <is>
          <t>Love Cabaret</t>
        </is>
      </c>
      <c r="F2523" s="27" t="n">
        <v>45784.5</v>
      </c>
      <c r="G2523" t="inlineStr">
        <is>
          <t>DEBITO</t>
        </is>
      </c>
      <c r="H2523" t="inlineStr">
        <is>
          <t>PAGTO ELETRON  COBRANCA 10606</t>
        </is>
      </c>
      <c r="I2523" t="n">
        <v>-168</v>
      </c>
    </row>
    <row r="2524">
      <c r="A2524" t="n">
        <v>91628</v>
      </c>
      <c r="B2524" t="n">
        <v>115</v>
      </c>
      <c r="C2524" t="inlineStr">
        <is>
          <t>Love - Shibari - Bradesco</t>
        </is>
      </c>
      <c r="D2524" t="n">
        <v>128</v>
      </c>
      <c r="E2524" t="inlineStr">
        <is>
          <t>Love Cabaret</t>
        </is>
      </c>
      <c r="F2524" s="27" t="n">
        <v>45784.5</v>
      </c>
      <c r="G2524" t="inlineStr">
        <is>
          <t>DEBITO</t>
        </is>
      </c>
      <c r="H2524" t="inlineStr">
        <is>
          <t>PAGTO ELETRON  COBRANCA 28265</t>
        </is>
      </c>
      <c r="I2524" t="n">
        <v>-940.8200000000001</v>
      </c>
    </row>
    <row r="2525">
      <c r="A2525" t="n">
        <v>91629</v>
      </c>
      <c r="B2525" t="n">
        <v>115</v>
      </c>
      <c r="C2525" t="inlineStr">
        <is>
          <t>Love - Shibari - Bradesco</t>
        </is>
      </c>
      <c r="D2525" t="n">
        <v>128</v>
      </c>
      <c r="E2525" t="inlineStr">
        <is>
          <t>Love Cabaret</t>
        </is>
      </c>
      <c r="F2525" s="27" t="n">
        <v>45784.5</v>
      </c>
      <c r="G2525" t="inlineStr">
        <is>
          <t>DEBITO</t>
        </is>
      </c>
      <c r="H2525" t="inlineStr">
        <is>
          <t>PAGTO ELETRON  COBRANCA 245166</t>
        </is>
      </c>
      <c r="I2525" t="n">
        <v>-964.41</v>
      </c>
    </row>
    <row r="2526">
      <c r="A2526" t="n">
        <v>91630</v>
      </c>
      <c r="B2526" t="n">
        <v>115</v>
      </c>
      <c r="C2526" t="inlineStr">
        <is>
          <t>Love - Shibari - Bradesco</t>
        </is>
      </c>
      <c r="D2526" t="n">
        <v>128</v>
      </c>
      <c r="E2526" t="inlineStr">
        <is>
          <t>Love Cabaret</t>
        </is>
      </c>
      <c r="F2526" s="27" t="n">
        <v>45784.5</v>
      </c>
      <c r="G2526" t="inlineStr">
        <is>
          <t>DEBITO</t>
        </is>
      </c>
      <c r="H2526" t="inlineStr">
        <is>
          <t>PAGTO ELETRON  COBRANCA 7847</t>
        </is>
      </c>
      <c r="I2526" t="n">
        <v>-299.99</v>
      </c>
    </row>
    <row r="2527">
      <c r="A2527" t="n">
        <v>91631</v>
      </c>
      <c r="B2527" t="n">
        <v>115</v>
      </c>
      <c r="C2527" t="inlineStr">
        <is>
          <t>Love - Shibari - Bradesco</t>
        </is>
      </c>
      <c r="D2527" t="n">
        <v>128</v>
      </c>
      <c r="E2527" t="inlineStr">
        <is>
          <t>Love Cabaret</t>
        </is>
      </c>
      <c r="F2527" s="27" t="n">
        <v>45784.5</v>
      </c>
      <c r="G2527" t="inlineStr">
        <is>
          <t>DEBITO</t>
        </is>
      </c>
      <c r="H2527" t="inlineStr">
        <is>
          <t>TARIFA BANCARIA TRANSF PGTO PIX</t>
        </is>
      </c>
      <c r="I2527" t="n">
        <v>-9.800000000000001</v>
      </c>
    </row>
    <row r="2528">
      <c r="A2528" t="n">
        <v>91632</v>
      </c>
      <c r="B2528" t="n">
        <v>115</v>
      </c>
      <c r="C2528" t="inlineStr">
        <is>
          <t>Love - Shibari - Bradesco</t>
        </is>
      </c>
      <c r="D2528" t="n">
        <v>128</v>
      </c>
      <c r="E2528" t="inlineStr">
        <is>
          <t>Love Cabaret</t>
        </is>
      </c>
      <c r="F2528" s="27" t="n">
        <v>45784.5</v>
      </c>
      <c r="G2528" t="inlineStr">
        <is>
          <t>DEBITO</t>
        </is>
      </c>
      <c r="H2528" t="inlineStr">
        <is>
          <t>TARIFA BANCARIA TRANSF PGTO PIX</t>
        </is>
      </c>
      <c r="I2528" t="n">
        <v>-9.800000000000001</v>
      </c>
    </row>
    <row r="2529">
      <c r="A2529" t="n">
        <v>91633</v>
      </c>
      <c r="B2529" t="n">
        <v>115</v>
      </c>
      <c r="C2529" t="inlineStr">
        <is>
          <t>Love - Shibari - Bradesco</t>
        </is>
      </c>
      <c r="D2529" t="n">
        <v>128</v>
      </c>
      <c r="E2529" t="inlineStr">
        <is>
          <t>Love Cabaret</t>
        </is>
      </c>
      <c r="F2529" s="27" t="n">
        <v>45784.5</v>
      </c>
      <c r="G2529" t="inlineStr">
        <is>
          <t>DEBITO</t>
        </is>
      </c>
      <c r="H2529" t="inlineStr">
        <is>
          <t>TARIFA BANCARIA TRANSF PGTO PIX</t>
        </is>
      </c>
      <c r="I2529" t="n">
        <v>-9.800000000000001</v>
      </c>
    </row>
    <row r="2530">
      <c r="A2530" t="n">
        <v>91634</v>
      </c>
      <c r="B2530" t="n">
        <v>115</v>
      </c>
      <c r="C2530" t="inlineStr">
        <is>
          <t>Love - Shibari - Bradesco</t>
        </is>
      </c>
      <c r="D2530" t="n">
        <v>128</v>
      </c>
      <c r="E2530" t="inlineStr">
        <is>
          <t>Love Cabaret</t>
        </is>
      </c>
      <c r="F2530" s="27" t="n">
        <v>45784.5</v>
      </c>
      <c r="G2530" t="inlineStr">
        <is>
          <t>DEBITO</t>
        </is>
      </c>
      <c r="H2530" t="inlineStr">
        <is>
          <t>TARIFA BANCARIA TRANSF PGTO PIX</t>
        </is>
      </c>
      <c r="I2530" t="n">
        <v>-9.800000000000001</v>
      </c>
    </row>
    <row r="2531">
      <c r="A2531" t="n">
        <v>91635</v>
      </c>
      <c r="B2531" t="n">
        <v>115</v>
      </c>
      <c r="C2531" t="inlineStr">
        <is>
          <t>Love - Shibari - Bradesco</t>
        </is>
      </c>
      <c r="D2531" t="n">
        <v>128</v>
      </c>
      <c r="E2531" t="inlineStr">
        <is>
          <t>Love Cabaret</t>
        </is>
      </c>
      <c r="F2531" s="27" t="n">
        <v>45784.5</v>
      </c>
      <c r="G2531" t="inlineStr">
        <is>
          <t>DEBITO</t>
        </is>
      </c>
      <c r="H2531" t="inlineStr">
        <is>
          <t>TARIFA BANCARIA TRANSF PGTO PIX</t>
        </is>
      </c>
      <c r="I2531" t="n">
        <v>-9.800000000000001</v>
      </c>
    </row>
    <row r="2532">
      <c r="A2532" t="n">
        <v>91636</v>
      </c>
      <c r="B2532" t="n">
        <v>115</v>
      </c>
      <c r="C2532" t="inlineStr">
        <is>
          <t>Love - Shibari - Bradesco</t>
        </is>
      </c>
      <c r="D2532" t="n">
        <v>128</v>
      </c>
      <c r="E2532" t="inlineStr">
        <is>
          <t>Love Cabaret</t>
        </is>
      </c>
      <c r="F2532" s="27" t="n">
        <v>45784.5</v>
      </c>
      <c r="G2532" t="inlineStr">
        <is>
          <t>DEBITO</t>
        </is>
      </c>
      <c r="H2532" t="inlineStr">
        <is>
          <t>TARIFA BANCARIA TRANSF PGTO PIX</t>
        </is>
      </c>
      <c r="I2532" t="n">
        <v>-9.800000000000001</v>
      </c>
    </row>
    <row r="2533">
      <c r="A2533" t="n">
        <v>91637</v>
      </c>
      <c r="B2533" t="n">
        <v>115</v>
      </c>
      <c r="C2533" t="inlineStr">
        <is>
          <t>Love - Shibari - Bradesco</t>
        </is>
      </c>
      <c r="D2533" t="n">
        <v>128</v>
      </c>
      <c r="E2533" t="inlineStr">
        <is>
          <t>Love Cabaret</t>
        </is>
      </c>
      <c r="F2533" s="27" t="n">
        <v>45784.5</v>
      </c>
      <c r="G2533" t="inlineStr">
        <is>
          <t>DEBITO</t>
        </is>
      </c>
      <c r="H2533" t="inlineStr">
        <is>
          <t>TRANSFERENCIA PIX DES: MACHINE SEGURANCA PAT 07/05</t>
        </is>
      </c>
      <c r="I2533" t="n">
        <v>-6650</v>
      </c>
    </row>
    <row r="2534">
      <c r="A2534" t="n">
        <v>91638</v>
      </c>
      <c r="B2534" t="n">
        <v>115</v>
      </c>
      <c r="C2534" t="inlineStr">
        <is>
          <t>Love - Shibari - Bradesco</t>
        </is>
      </c>
      <c r="D2534" t="n">
        <v>128</v>
      </c>
      <c r="E2534" t="inlineStr">
        <is>
          <t>Love Cabaret</t>
        </is>
      </c>
      <c r="F2534" s="27" t="n">
        <v>45784.5</v>
      </c>
      <c r="G2534" t="inlineStr">
        <is>
          <t>DEBITO</t>
        </is>
      </c>
      <c r="H2534" t="inlineStr">
        <is>
          <t>TRANSFERENCIA PIX DES: EDJANE DANTAS SANTOS  07/05</t>
        </is>
      </c>
      <c r="I2534" t="n">
        <v>-1200</v>
      </c>
    </row>
    <row r="2535">
      <c r="A2535" t="n">
        <v>91639</v>
      </c>
      <c r="B2535" t="n">
        <v>115</v>
      </c>
      <c r="C2535" t="inlineStr">
        <is>
          <t>Love - Shibari - Bradesco</t>
        </is>
      </c>
      <c r="D2535" t="n">
        <v>128</v>
      </c>
      <c r="E2535" t="inlineStr">
        <is>
          <t>Love Cabaret</t>
        </is>
      </c>
      <c r="F2535" s="27" t="n">
        <v>45784.5</v>
      </c>
      <c r="G2535" t="inlineStr">
        <is>
          <t>DEBITO</t>
        </is>
      </c>
      <c r="H2535" t="inlineStr">
        <is>
          <t>TRANSFERENCIA PIX DES: TAKUAROBI             07/05</t>
        </is>
      </c>
      <c r="I2535" t="n">
        <v>-445</v>
      </c>
    </row>
    <row r="2536">
      <c r="A2536" t="n">
        <v>91619</v>
      </c>
      <c r="B2536" t="n">
        <v>115</v>
      </c>
      <c r="C2536" t="inlineStr">
        <is>
          <t>Love - Shibari - Bradesco</t>
        </is>
      </c>
      <c r="D2536" t="n">
        <v>128</v>
      </c>
      <c r="E2536" t="inlineStr">
        <is>
          <t>Love Cabaret</t>
        </is>
      </c>
      <c r="F2536" s="27" t="n">
        <v>45784.5</v>
      </c>
      <c r="G2536" t="inlineStr">
        <is>
          <t>DEBITO</t>
        </is>
      </c>
      <c r="H2536" t="inlineStr">
        <is>
          <t>PAGTO ELETRON  COBRANCA 13660</t>
        </is>
      </c>
      <c r="I2536" t="n">
        <v>-744.4</v>
      </c>
    </row>
    <row r="2537">
      <c r="A2537" t="n">
        <v>91641</v>
      </c>
      <c r="B2537" t="n">
        <v>115</v>
      </c>
      <c r="C2537" t="inlineStr">
        <is>
          <t>Love - Shibari - Bradesco</t>
        </is>
      </c>
      <c r="D2537" t="n">
        <v>128</v>
      </c>
      <c r="E2537" t="inlineStr">
        <is>
          <t>Love Cabaret</t>
        </is>
      </c>
      <c r="F2537" s="27" t="n">
        <v>45784.5</v>
      </c>
      <c r="G2537" t="inlineStr">
        <is>
          <t>DEBITO</t>
        </is>
      </c>
      <c r="H2537" t="inlineStr">
        <is>
          <t>TRANSFERENCIA PIX DES: DOUGLAS FELIPE DOMING 07/05</t>
        </is>
      </c>
      <c r="I2537" t="n">
        <v>-5360</v>
      </c>
    </row>
    <row r="2538">
      <c r="A2538" t="n">
        <v>91642</v>
      </c>
      <c r="B2538" t="n">
        <v>115</v>
      </c>
      <c r="C2538" t="inlineStr">
        <is>
          <t>Love - Shibari - Bradesco</t>
        </is>
      </c>
      <c r="D2538" t="n">
        <v>128</v>
      </c>
      <c r="E2538" t="inlineStr">
        <is>
          <t>Love Cabaret</t>
        </is>
      </c>
      <c r="F2538" s="27" t="n">
        <v>45784.5</v>
      </c>
      <c r="G2538" t="inlineStr">
        <is>
          <t>DEBITO</t>
        </is>
      </c>
      <c r="H2538" t="inlineStr">
        <is>
          <t>TRANSFERENCIA PIX DES: TELES DE ALMEIDA PINT 07/05</t>
        </is>
      </c>
      <c r="I2538" t="n">
        <v>-2480</v>
      </c>
    </row>
    <row r="2539">
      <c r="A2539" t="n">
        <v>91643</v>
      </c>
      <c r="B2539" t="n">
        <v>115</v>
      </c>
      <c r="C2539" t="inlineStr">
        <is>
          <t>Love - Shibari - Bradesco</t>
        </is>
      </c>
      <c r="D2539" t="n">
        <v>128</v>
      </c>
      <c r="E2539" t="inlineStr">
        <is>
          <t>Love Cabaret</t>
        </is>
      </c>
      <c r="F2539" s="27" t="n">
        <v>45784.5</v>
      </c>
      <c r="G2539" t="inlineStr">
        <is>
          <t>DEBITO</t>
        </is>
      </c>
      <c r="H2539" t="inlineStr">
        <is>
          <t>TRANSFERENCIA PIX DES: 55 214 822 WAGNER DA  07/05</t>
        </is>
      </c>
      <c r="I2539" t="n">
        <v>-6020</v>
      </c>
    </row>
    <row r="2540">
      <c r="A2540" t="n">
        <v>91644</v>
      </c>
      <c r="B2540" t="n">
        <v>115</v>
      </c>
      <c r="C2540" t="inlineStr">
        <is>
          <t>Love - Shibari - Bradesco</t>
        </is>
      </c>
      <c r="D2540" t="n">
        <v>128</v>
      </c>
      <c r="E2540" t="inlineStr">
        <is>
          <t>Love Cabaret</t>
        </is>
      </c>
      <c r="F2540" s="27" t="n">
        <v>45784.5</v>
      </c>
      <c r="G2540" t="inlineStr">
        <is>
          <t>DEBITO</t>
        </is>
      </c>
      <c r="H2540" t="inlineStr">
        <is>
          <t>TRANSFERENCIA PIX DES: DUDOM                 07/05</t>
        </is>
      </c>
      <c r="I2540" t="n">
        <v>-1600</v>
      </c>
    </row>
    <row r="2541">
      <c r="A2541" t="n">
        <v>91645</v>
      </c>
      <c r="B2541" t="n">
        <v>115</v>
      </c>
      <c r="C2541" t="inlineStr">
        <is>
          <t>Love - Shibari - Bradesco</t>
        </is>
      </c>
      <c r="D2541" t="n">
        <v>128</v>
      </c>
      <c r="E2541" t="inlineStr">
        <is>
          <t>Love Cabaret</t>
        </is>
      </c>
      <c r="F2541" s="27" t="n">
        <v>45784.5</v>
      </c>
      <c r="G2541" t="inlineStr">
        <is>
          <t>DEBITO</t>
        </is>
      </c>
      <c r="H2541" t="inlineStr">
        <is>
          <t>TRANSFERENCIA PIX DES: VANESSA DEL SANTOS DE 07/05</t>
        </is>
      </c>
      <c r="I2541" t="n">
        <v>-3000</v>
      </c>
    </row>
    <row r="2542">
      <c r="A2542" t="n">
        <v>91646</v>
      </c>
      <c r="B2542" t="n">
        <v>115</v>
      </c>
      <c r="C2542" t="inlineStr">
        <is>
          <t>Love - Shibari - Bradesco</t>
        </is>
      </c>
      <c r="D2542" t="n">
        <v>128</v>
      </c>
      <c r="E2542" t="inlineStr">
        <is>
          <t>Love Cabaret</t>
        </is>
      </c>
      <c r="F2542" s="27" t="n">
        <v>45784.5</v>
      </c>
      <c r="G2542" t="inlineStr">
        <is>
          <t>DEBITO</t>
        </is>
      </c>
      <c r="H2542" t="inlineStr">
        <is>
          <t>TRANSFERENCIA PIX DES: 55774785 THIAGO PINHE 07/05</t>
        </is>
      </c>
      <c r="I2542" t="n">
        <v>-1125</v>
      </c>
    </row>
    <row r="2543">
      <c r="A2543" t="n">
        <v>91647</v>
      </c>
      <c r="B2543" t="n">
        <v>115</v>
      </c>
      <c r="C2543" t="inlineStr">
        <is>
          <t>Love - Shibari - Bradesco</t>
        </is>
      </c>
      <c r="D2543" t="n">
        <v>128</v>
      </c>
      <c r="E2543" t="inlineStr">
        <is>
          <t>Love Cabaret</t>
        </is>
      </c>
      <c r="F2543" s="27" t="n">
        <v>45784.5</v>
      </c>
      <c r="G2543" t="inlineStr">
        <is>
          <t>DEBITO</t>
        </is>
      </c>
      <c r="H2543" t="inlineStr">
        <is>
          <t>TRANSFERENCIA PIX DES: Tamara Santos Ribeiro 07/05</t>
        </is>
      </c>
      <c r="I2543" t="n">
        <v>-3500</v>
      </c>
    </row>
    <row r="2544">
      <c r="A2544" t="n">
        <v>91648</v>
      </c>
      <c r="B2544" t="n">
        <v>115</v>
      </c>
      <c r="C2544" t="inlineStr">
        <is>
          <t>Love - Shibari - Bradesco</t>
        </is>
      </c>
      <c r="D2544" t="n">
        <v>128</v>
      </c>
      <c r="E2544" t="inlineStr">
        <is>
          <t>Love Cabaret</t>
        </is>
      </c>
      <c r="F2544" s="27" t="n">
        <v>45784.5</v>
      </c>
      <c r="G2544" t="inlineStr">
        <is>
          <t>DEBITO</t>
        </is>
      </c>
      <c r="H2544" t="inlineStr">
        <is>
          <t>TRANSFERENCIA PIX DES: Laisa Larangeira      07/05</t>
        </is>
      </c>
      <c r="I2544" t="n">
        <v>-1600</v>
      </c>
    </row>
    <row r="2545">
      <c r="A2545" t="n">
        <v>91649</v>
      </c>
      <c r="B2545" t="n">
        <v>115</v>
      </c>
      <c r="C2545" t="inlineStr">
        <is>
          <t>Love - Shibari - Bradesco</t>
        </is>
      </c>
      <c r="D2545" t="n">
        <v>128</v>
      </c>
      <c r="E2545" t="inlineStr">
        <is>
          <t>Love Cabaret</t>
        </is>
      </c>
      <c r="F2545" s="27" t="n">
        <v>45784.5</v>
      </c>
      <c r="G2545" t="inlineStr">
        <is>
          <t>DEBITO</t>
        </is>
      </c>
      <c r="H2545" t="inlineStr">
        <is>
          <t>TRANSFERENCIA PIX DES: JOAO VITOR MENDES SAL 07/05</t>
        </is>
      </c>
      <c r="I2545" t="n">
        <v>-4800</v>
      </c>
    </row>
    <row r="2546">
      <c r="A2546" t="n">
        <v>91650</v>
      </c>
      <c r="B2546" t="n">
        <v>115</v>
      </c>
      <c r="C2546" t="inlineStr">
        <is>
          <t>Love - Shibari - Bradesco</t>
        </is>
      </c>
      <c r="D2546" t="n">
        <v>128</v>
      </c>
      <c r="E2546" t="inlineStr">
        <is>
          <t>Love Cabaret</t>
        </is>
      </c>
      <c r="F2546" s="27" t="n">
        <v>45784.5</v>
      </c>
      <c r="G2546" t="inlineStr">
        <is>
          <t>DEBITO</t>
        </is>
      </c>
      <c r="H2546" t="inlineStr">
        <is>
          <t>TRANSFERENCIA PIX DES: 49.635.085 JESSICA IZ 07/05</t>
        </is>
      </c>
      <c r="I2546" t="n">
        <v>-1250</v>
      </c>
    </row>
    <row r="2547">
      <c r="A2547" t="n">
        <v>91651</v>
      </c>
      <c r="B2547" t="n">
        <v>115</v>
      </c>
      <c r="C2547" t="inlineStr">
        <is>
          <t>Love - Shibari - Bradesco</t>
        </is>
      </c>
      <c r="D2547" t="n">
        <v>128</v>
      </c>
      <c r="E2547" t="inlineStr">
        <is>
          <t>Love Cabaret</t>
        </is>
      </c>
      <c r="F2547" s="27" t="n">
        <v>45784.5</v>
      </c>
      <c r="G2547" t="inlineStr">
        <is>
          <t>DEBITO</t>
        </is>
      </c>
      <c r="H2547" t="inlineStr">
        <is>
          <t>TRANSFERENCIA PIX DES: 53.068.043 ISABELLA F 07/05</t>
        </is>
      </c>
      <c r="I2547" t="n">
        <v>-1200</v>
      </c>
    </row>
    <row r="2548">
      <c r="A2548" t="n">
        <v>91652</v>
      </c>
      <c r="B2548" t="n">
        <v>115</v>
      </c>
      <c r="C2548" t="inlineStr">
        <is>
          <t>Love - Shibari - Bradesco</t>
        </is>
      </c>
      <c r="D2548" t="n">
        <v>128</v>
      </c>
      <c r="E2548" t="inlineStr">
        <is>
          <t>Love Cabaret</t>
        </is>
      </c>
      <c r="F2548" s="27" t="n">
        <v>45784.5</v>
      </c>
      <c r="G2548" t="inlineStr">
        <is>
          <t>DEBITO</t>
        </is>
      </c>
      <c r="H2548" t="inlineStr">
        <is>
          <t>TRANSFERENCIA PIX DES: GABRIELA TOLEDO MONTE 07/05</t>
        </is>
      </c>
      <c r="I2548" t="n">
        <v>-4000</v>
      </c>
    </row>
    <row r="2549">
      <c r="A2549" t="n">
        <v>91653</v>
      </c>
      <c r="B2549" t="n">
        <v>115</v>
      </c>
      <c r="C2549" t="inlineStr">
        <is>
          <t>Love - Shibari - Bradesco</t>
        </is>
      </c>
      <c r="D2549" t="n">
        <v>128</v>
      </c>
      <c r="E2549" t="inlineStr">
        <is>
          <t>Love Cabaret</t>
        </is>
      </c>
      <c r="F2549" s="27" t="n">
        <v>45784.5</v>
      </c>
      <c r="G2549" t="inlineStr">
        <is>
          <t>DEBITO</t>
        </is>
      </c>
      <c r="H2549" t="inlineStr">
        <is>
          <t>TRANSFERENCIA PIX DES: INDRA HARETRAVA       07/05</t>
        </is>
      </c>
      <c r="I2549" t="n">
        <v>-7420</v>
      </c>
    </row>
    <row r="2550">
      <c r="A2550" t="n">
        <v>91654</v>
      </c>
      <c r="B2550" t="n">
        <v>115</v>
      </c>
      <c r="C2550" t="inlineStr">
        <is>
          <t>Love - Shibari - Bradesco</t>
        </is>
      </c>
      <c r="D2550" t="n">
        <v>128</v>
      </c>
      <c r="E2550" t="inlineStr">
        <is>
          <t>Love Cabaret</t>
        </is>
      </c>
      <c r="F2550" s="27" t="n">
        <v>45784.5</v>
      </c>
      <c r="G2550" t="inlineStr">
        <is>
          <t>DEBITO</t>
        </is>
      </c>
      <c r="H2550" t="inlineStr">
        <is>
          <t>TRANSFERENCIA PIX DES: AGNES RODRIGUES DE OL 07/05</t>
        </is>
      </c>
      <c r="I2550" t="n">
        <v>-5000</v>
      </c>
    </row>
    <row r="2551">
      <c r="A2551" t="n">
        <v>91656</v>
      </c>
      <c r="B2551" t="n">
        <v>115</v>
      </c>
      <c r="C2551" t="inlineStr">
        <is>
          <t>Love - Shibari - Bradesco</t>
        </is>
      </c>
      <c r="D2551" t="n">
        <v>128</v>
      </c>
      <c r="E2551" t="inlineStr">
        <is>
          <t>Love Cabaret</t>
        </is>
      </c>
      <c r="F2551" s="27" t="n">
        <v>45784.5</v>
      </c>
      <c r="G2551" t="inlineStr">
        <is>
          <t>DEBITO</t>
        </is>
      </c>
      <c r="H2551" t="inlineStr">
        <is>
          <t>TRANSFERENCIA PIX DES: FELIPE DA COSTA SANTO 07/05</t>
        </is>
      </c>
      <c r="I2551" t="n">
        <v>-5100</v>
      </c>
    </row>
    <row r="2552">
      <c r="A2552" t="n">
        <v>91618</v>
      </c>
      <c r="B2552" t="n">
        <v>115</v>
      </c>
      <c r="C2552" t="inlineStr">
        <is>
          <t>Love - Shibari - Bradesco</t>
        </is>
      </c>
      <c r="D2552" t="n">
        <v>128</v>
      </c>
      <c r="E2552" t="inlineStr">
        <is>
          <t>Love Cabaret</t>
        </is>
      </c>
      <c r="F2552" s="27" t="n">
        <v>45784.5</v>
      </c>
      <c r="G2552" t="inlineStr">
        <is>
          <t>DEBITO</t>
        </is>
      </c>
      <c r="H2552" t="inlineStr">
        <is>
          <t>PAGTO ELETRON  COBRANCA 447024</t>
        </is>
      </c>
      <c r="I2552" t="n">
        <v>-830.35</v>
      </c>
    </row>
    <row r="2553">
      <c r="A2553" t="n">
        <v>91620</v>
      </c>
      <c r="B2553" t="n">
        <v>115</v>
      </c>
      <c r="C2553" t="inlineStr">
        <is>
          <t>Love - Shibari - Bradesco</t>
        </is>
      </c>
      <c r="D2553" t="n">
        <v>128</v>
      </c>
      <c r="E2553" t="inlineStr">
        <is>
          <t>Love Cabaret</t>
        </is>
      </c>
      <c r="F2553" s="27" t="n">
        <v>45784.5</v>
      </c>
      <c r="G2553" t="inlineStr">
        <is>
          <t>DEBITO</t>
        </is>
      </c>
      <c r="H2553" t="inlineStr">
        <is>
          <t>PAGTO ELETRON  COBRANCA 78395</t>
        </is>
      </c>
      <c r="I2553" t="n">
        <v>-731.5</v>
      </c>
    </row>
    <row r="2554">
      <c r="A2554" t="n">
        <v>91621</v>
      </c>
      <c r="B2554" t="n">
        <v>115</v>
      </c>
      <c r="C2554" t="inlineStr">
        <is>
          <t>Love - Shibari - Bradesco</t>
        </is>
      </c>
      <c r="D2554" t="n">
        <v>128</v>
      </c>
      <c r="E2554" t="inlineStr">
        <is>
          <t>Love Cabaret</t>
        </is>
      </c>
      <c r="F2554" s="27" t="n">
        <v>45784.5</v>
      </c>
      <c r="G2554" t="inlineStr">
        <is>
          <t>DEBITO</t>
        </is>
      </c>
      <c r="H2554" t="inlineStr">
        <is>
          <t>PAGTO ELETRON  COBRANCA 238232</t>
        </is>
      </c>
      <c r="I2554" t="n">
        <v>-724.39</v>
      </c>
    </row>
    <row r="2555">
      <c r="A2555" t="n">
        <v>91622</v>
      </c>
      <c r="B2555" t="n">
        <v>115</v>
      </c>
      <c r="C2555" t="inlineStr">
        <is>
          <t>Love - Shibari - Bradesco</t>
        </is>
      </c>
      <c r="D2555" t="n">
        <v>128</v>
      </c>
      <c r="E2555" t="inlineStr">
        <is>
          <t>Love Cabaret</t>
        </is>
      </c>
      <c r="F2555" s="27" t="n">
        <v>45784.5</v>
      </c>
      <c r="G2555" t="inlineStr">
        <is>
          <t>DEBITO</t>
        </is>
      </c>
      <c r="H2555" t="inlineStr">
        <is>
          <t>PAGTO ELETRON  COBRANCA 26407</t>
        </is>
      </c>
      <c r="I2555" t="n">
        <v>-441.95</v>
      </c>
    </row>
    <row r="2556">
      <c r="A2556" t="n">
        <v>91623</v>
      </c>
      <c r="B2556" t="n">
        <v>115</v>
      </c>
      <c r="C2556" t="inlineStr">
        <is>
          <t>Love - Shibari - Bradesco</t>
        </is>
      </c>
      <c r="D2556" t="n">
        <v>128</v>
      </c>
      <c r="E2556" t="inlineStr">
        <is>
          <t>Love Cabaret</t>
        </is>
      </c>
      <c r="F2556" s="27" t="n">
        <v>45784.5</v>
      </c>
      <c r="G2556" t="inlineStr">
        <is>
          <t>DEBITO</t>
        </is>
      </c>
      <c r="H2556" t="inlineStr">
        <is>
          <t>PAGTO ELETRON  COBRANCA 447017</t>
        </is>
      </c>
      <c r="I2556" t="n">
        <v>-431.4</v>
      </c>
    </row>
    <row r="2557">
      <c r="A2557" t="n">
        <v>91624</v>
      </c>
      <c r="B2557" t="n">
        <v>115</v>
      </c>
      <c r="C2557" t="inlineStr">
        <is>
          <t>Love - Shibari - Bradesco</t>
        </is>
      </c>
      <c r="D2557" t="n">
        <v>128</v>
      </c>
      <c r="E2557" t="inlineStr">
        <is>
          <t>Love Cabaret</t>
        </is>
      </c>
      <c r="F2557" s="27" t="n">
        <v>45784.5</v>
      </c>
      <c r="G2557" t="inlineStr">
        <is>
          <t>DEBITO</t>
        </is>
      </c>
      <c r="H2557" t="inlineStr">
        <is>
          <t>PAGTO ELETRON  COBRANCA 308613</t>
        </is>
      </c>
      <c r="I2557" t="n">
        <v>-421.54</v>
      </c>
    </row>
    <row r="2558">
      <c r="A2558" t="n">
        <v>91603</v>
      </c>
      <c r="B2558" t="n">
        <v>115</v>
      </c>
      <c r="C2558" t="inlineStr">
        <is>
          <t>Love - Shibari - Bradesco</t>
        </is>
      </c>
      <c r="D2558" t="n">
        <v>128</v>
      </c>
      <c r="E2558" t="inlineStr">
        <is>
          <t>Love Cabaret</t>
        </is>
      </c>
      <c r="F2558" s="27" t="n">
        <v>45783.5</v>
      </c>
      <c r="G2558" t="inlineStr">
        <is>
          <t>DEBITO</t>
        </is>
      </c>
      <c r="H2558" t="inlineStr">
        <is>
          <t>PGTO SALARIO VIA NET EMP</t>
        </is>
      </c>
      <c r="I2558" t="n">
        <v>-5020.51</v>
      </c>
    </row>
    <row r="2559">
      <c r="A2559" t="n">
        <v>91602</v>
      </c>
      <c r="B2559" t="n">
        <v>115</v>
      </c>
      <c r="C2559" t="inlineStr">
        <is>
          <t>Love - Shibari - Bradesco</t>
        </is>
      </c>
      <c r="D2559" t="n">
        <v>128</v>
      </c>
      <c r="E2559" t="inlineStr">
        <is>
          <t>Love Cabaret</t>
        </is>
      </c>
      <c r="F2559" s="27" t="n">
        <v>45783.5</v>
      </c>
      <c r="G2559" t="inlineStr">
        <is>
          <t>CREDITO</t>
        </is>
      </c>
      <c r="H2559" t="inlineStr">
        <is>
          <t>TRANSFERENCIA PIX REM: SHIBARI ART E DIVERSA 06/05</t>
        </is>
      </c>
      <c r="I2559" t="n">
        <v>17115.08</v>
      </c>
    </row>
    <row r="2560">
      <c r="A2560" t="n">
        <v>91589</v>
      </c>
      <c r="B2560" t="n">
        <v>115</v>
      </c>
      <c r="C2560" t="inlineStr">
        <is>
          <t>Love - Shibari - Bradesco</t>
        </is>
      </c>
      <c r="D2560" t="n">
        <v>128</v>
      </c>
      <c r="E2560" t="inlineStr">
        <is>
          <t>Love Cabaret</t>
        </is>
      </c>
      <c r="F2560" s="27" t="n">
        <v>45782.5</v>
      </c>
      <c r="G2560" t="inlineStr">
        <is>
          <t>DEBITO</t>
        </is>
      </c>
      <c r="H2560" t="inlineStr">
        <is>
          <t>PAGTO ELETRON  COBRANCA NF 13596</t>
        </is>
      </c>
      <c r="I2560" t="n">
        <v>-368.35</v>
      </c>
    </row>
    <row r="2561">
      <c r="A2561" t="n">
        <v>91579</v>
      </c>
      <c r="B2561" t="n">
        <v>115</v>
      </c>
      <c r="C2561" t="inlineStr">
        <is>
          <t>Love - Shibari - Bradesco</t>
        </is>
      </c>
      <c r="D2561" t="n">
        <v>128</v>
      </c>
      <c r="E2561" t="inlineStr">
        <is>
          <t>Love Cabaret</t>
        </is>
      </c>
      <c r="F2561" s="27" t="n">
        <v>45782.5</v>
      </c>
      <c r="G2561" t="inlineStr">
        <is>
          <t>DEBITO</t>
        </is>
      </c>
      <c r="H2561" t="inlineStr">
        <is>
          <t>PAGTO ELETRON  COBRANCA 703741740</t>
        </is>
      </c>
      <c r="I2561" t="n">
        <v>-13227.33</v>
      </c>
    </row>
    <row r="2562">
      <c r="A2562" t="n">
        <v>91588</v>
      </c>
      <c r="B2562" t="n">
        <v>115</v>
      </c>
      <c r="C2562" t="inlineStr">
        <is>
          <t>Love - Shibari - Bradesco</t>
        </is>
      </c>
      <c r="D2562" t="n">
        <v>128</v>
      </c>
      <c r="E2562" t="inlineStr">
        <is>
          <t>Love Cabaret</t>
        </is>
      </c>
      <c r="F2562" s="27" t="n">
        <v>45782.5</v>
      </c>
      <c r="G2562" t="inlineStr">
        <is>
          <t>DEBITO</t>
        </is>
      </c>
      <c r="H2562" t="inlineStr">
        <is>
          <t>PAGTO ELETRON  COBRANCA 146382</t>
        </is>
      </c>
      <c r="I2562" t="n">
        <v>-375</v>
      </c>
    </row>
    <row r="2563">
      <c r="A2563" t="n">
        <v>91587</v>
      </c>
      <c r="B2563" t="n">
        <v>115</v>
      </c>
      <c r="C2563" t="inlineStr">
        <is>
          <t>Love - Shibari - Bradesco</t>
        </is>
      </c>
      <c r="D2563" t="n">
        <v>128</v>
      </c>
      <c r="E2563" t="inlineStr">
        <is>
          <t>Love Cabaret</t>
        </is>
      </c>
      <c r="F2563" s="27" t="n">
        <v>45782.5</v>
      </c>
      <c r="G2563" t="inlineStr">
        <is>
          <t>DEBITO</t>
        </is>
      </c>
      <c r="H2563" t="inlineStr">
        <is>
          <t>PAGTO ELETRON  COBRANCA NF 133386</t>
        </is>
      </c>
      <c r="I2563" t="n">
        <v>-380.12</v>
      </c>
    </row>
    <row r="2564">
      <c r="A2564" t="n">
        <v>91586</v>
      </c>
      <c r="B2564" t="n">
        <v>115</v>
      </c>
      <c r="C2564" t="inlineStr">
        <is>
          <t>Love - Shibari - Bradesco</t>
        </is>
      </c>
      <c r="D2564" t="n">
        <v>128</v>
      </c>
      <c r="E2564" t="inlineStr">
        <is>
          <t>Love Cabaret</t>
        </is>
      </c>
      <c r="F2564" s="27" t="n">
        <v>45782.5</v>
      </c>
      <c r="G2564" t="inlineStr">
        <is>
          <t>DEBITO</t>
        </is>
      </c>
      <c r="H2564" t="inlineStr">
        <is>
          <t>PAGTO ELETRON  COBRANCA 9971</t>
        </is>
      </c>
      <c r="I2564" t="n">
        <v>-382.25</v>
      </c>
    </row>
    <row r="2565">
      <c r="A2565" t="n">
        <v>91585</v>
      </c>
      <c r="B2565" t="n">
        <v>115</v>
      </c>
      <c r="C2565" t="inlineStr">
        <is>
          <t>Love - Shibari - Bradesco</t>
        </is>
      </c>
      <c r="D2565" t="n">
        <v>128</v>
      </c>
      <c r="E2565" t="inlineStr">
        <is>
          <t>Love Cabaret</t>
        </is>
      </c>
      <c r="F2565" s="27" t="n">
        <v>45782.5</v>
      </c>
      <c r="G2565" t="inlineStr">
        <is>
          <t>DEBITO</t>
        </is>
      </c>
      <c r="H2565" t="inlineStr">
        <is>
          <t>PAGTO ELETRON  COBRANCA NF 13638</t>
        </is>
      </c>
      <c r="I2565" t="n">
        <v>-488.24</v>
      </c>
    </row>
    <row r="2566">
      <c r="A2566" t="n">
        <v>91584</v>
      </c>
      <c r="B2566" t="n">
        <v>115</v>
      </c>
      <c r="C2566" t="inlineStr">
        <is>
          <t>Love - Shibari - Bradesco</t>
        </is>
      </c>
      <c r="D2566" t="n">
        <v>128</v>
      </c>
      <c r="E2566" t="inlineStr">
        <is>
          <t>Love Cabaret</t>
        </is>
      </c>
      <c r="F2566" s="27" t="n">
        <v>45782.5</v>
      </c>
      <c r="G2566" t="inlineStr">
        <is>
          <t>DEBITO</t>
        </is>
      </c>
      <c r="H2566" t="inlineStr">
        <is>
          <t>PAGTO ELETRON  COBRANCA NF 134996</t>
        </is>
      </c>
      <c r="I2566" t="n">
        <v>-685.76</v>
      </c>
    </row>
    <row r="2567">
      <c r="A2567" t="n">
        <v>91583</v>
      </c>
      <c r="B2567" t="n">
        <v>115</v>
      </c>
      <c r="C2567" t="inlineStr">
        <is>
          <t>Love - Shibari - Bradesco</t>
        </is>
      </c>
      <c r="D2567" t="n">
        <v>128</v>
      </c>
      <c r="E2567" t="inlineStr">
        <is>
          <t>Love Cabaret</t>
        </is>
      </c>
      <c r="F2567" s="27" t="n">
        <v>45782.5</v>
      </c>
      <c r="G2567" t="inlineStr">
        <is>
          <t>DEBITO</t>
        </is>
      </c>
      <c r="H2567" t="inlineStr">
        <is>
          <t>PAGTO ELETRON  COBRANCA NF 9922013813</t>
        </is>
      </c>
      <c r="I2567" t="n">
        <v>-802.5</v>
      </c>
    </row>
    <row r="2568">
      <c r="A2568" t="n">
        <v>91578</v>
      </c>
      <c r="B2568" t="n">
        <v>115</v>
      </c>
      <c r="C2568" t="inlineStr">
        <is>
          <t>Love - Shibari - Bradesco</t>
        </is>
      </c>
      <c r="D2568" t="n">
        <v>128</v>
      </c>
      <c r="E2568" t="inlineStr">
        <is>
          <t>Love Cabaret</t>
        </is>
      </c>
      <c r="F2568" s="27" t="n">
        <v>45782.5</v>
      </c>
      <c r="G2568" t="inlineStr">
        <is>
          <t>DEBITO</t>
        </is>
      </c>
      <c r="H2568" t="inlineStr">
        <is>
          <t>PAGTO ELETRON  COBRANCA VERISURE BRASIL MONITORAMENTO DE</t>
        </is>
      </c>
      <c r="I2568" t="n">
        <v>-263.78</v>
      </c>
    </row>
    <row r="2569">
      <c r="A2569" t="n">
        <v>91581</v>
      </c>
      <c r="B2569" t="n">
        <v>115</v>
      </c>
      <c r="C2569" t="inlineStr">
        <is>
          <t>Love - Shibari - Bradesco</t>
        </is>
      </c>
      <c r="D2569" t="n">
        <v>128</v>
      </c>
      <c r="E2569" t="inlineStr">
        <is>
          <t>Love Cabaret</t>
        </is>
      </c>
      <c r="F2569" s="27" t="n">
        <v>45782.5</v>
      </c>
      <c r="G2569" t="inlineStr">
        <is>
          <t>DEBITO</t>
        </is>
      </c>
      <c r="H2569" t="inlineStr">
        <is>
          <t>PAGTO ELETRON  COBRANCA NF 28511</t>
        </is>
      </c>
      <c r="I2569" t="n">
        <v>-2199.38</v>
      </c>
    </row>
    <row r="2570">
      <c r="A2570" t="n">
        <v>91580</v>
      </c>
      <c r="B2570" t="n">
        <v>115</v>
      </c>
      <c r="C2570" t="inlineStr">
        <is>
          <t>Love - Shibari - Bradesco</t>
        </is>
      </c>
      <c r="D2570" t="n">
        <v>128</v>
      </c>
      <c r="E2570" t="inlineStr">
        <is>
          <t>Love Cabaret</t>
        </is>
      </c>
      <c r="F2570" s="27" t="n">
        <v>45782.5</v>
      </c>
      <c r="G2570" t="inlineStr">
        <is>
          <t>DEBITO</t>
        </is>
      </c>
      <c r="H2570" t="inlineStr">
        <is>
          <t>PAGTO ELETRON  COBRANCA NF 62</t>
        </is>
      </c>
      <c r="I2570" t="n">
        <v>-4200</v>
      </c>
    </row>
    <row r="2571">
      <c r="A2571" t="n">
        <v>91582</v>
      </c>
      <c r="B2571" t="n">
        <v>115</v>
      </c>
      <c r="C2571" t="inlineStr">
        <is>
          <t>Love - Shibari - Bradesco</t>
        </is>
      </c>
      <c r="D2571" t="n">
        <v>128</v>
      </c>
      <c r="E2571" t="inlineStr">
        <is>
          <t>Love Cabaret</t>
        </is>
      </c>
      <c r="F2571" s="27" t="n">
        <v>45782.5</v>
      </c>
      <c r="G2571" t="inlineStr">
        <is>
          <t>DEBITO</t>
        </is>
      </c>
      <c r="H2571" t="inlineStr">
        <is>
          <t>PAGTO ELETRON  COBRANCA NF 8223</t>
        </is>
      </c>
      <c r="I2571" t="n">
        <v>-1600</v>
      </c>
    </row>
    <row r="2572">
      <c r="A2572" t="n">
        <v>91590</v>
      </c>
      <c r="B2572" t="n">
        <v>115</v>
      </c>
      <c r="C2572" t="inlineStr">
        <is>
          <t>Love - Shibari - Bradesco</t>
        </is>
      </c>
      <c r="D2572" t="n">
        <v>128</v>
      </c>
      <c r="E2572" t="inlineStr">
        <is>
          <t>Love Cabaret</t>
        </is>
      </c>
      <c r="F2572" s="27" t="n">
        <v>45782.5</v>
      </c>
      <c r="G2572" t="inlineStr">
        <is>
          <t>DEBITO</t>
        </is>
      </c>
      <c r="H2572" t="inlineStr">
        <is>
          <t>PAGTO ELETRON  COBRANCA NF 9859</t>
        </is>
      </c>
      <c r="I2572" t="n">
        <v>-307.9</v>
      </c>
    </row>
    <row r="2573">
      <c r="A2573" t="n">
        <v>91591</v>
      </c>
      <c r="B2573" t="n">
        <v>115</v>
      </c>
      <c r="C2573" t="inlineStr">
        <is>
          <t>Love - Shibari - Bradesco</t>
        </is>
      </c>
      <c r="D2573" t="n">
        <v>128</v>
      </c>
      <c r="E2573" t="inlineStr">
        <is>
          <t>Love Cabaret</t>
        </is>
      </c>
      <c r="F2573" s="27" t="n">
        <v>45782.5</v>
      </c>
      <c r="G2573" t="inlineStr">
        <is>
          <t>DEBITO</t>
        </is>
      </c>
      <c r="H2573" t="inlineStr">
        <is>
          <t>PAGTO ELETRON  COBRANCA NF 10522</t>
        </is>
      </c>
      <c r="I2573" t="n">
        <v>-280.22</v>
      </c>
    </row>
    <row r="2574">
      <c r="A2574" t="n">
        <v>91592</v>
      </c>
      <c r="B2574" t="n">
        <v>115</v>
      </c>
      <c r="C2574" t="inlineStr">
        <is>
          <t>Love - Shibari - Bradesco</t>
        </is>
      </c>
      <c r="D2574" t="n">
        <v>128</v>
      </c>
      <c r="E2574" t="inlineStr">
        <is>
          <t>Love Cabaret</t>
        </is>
      </c>
      <c r="F2574" s="27" t="n">
        <v>45782.5</v>
      </c>
      <c r="G2574" t="inlineStr">
        <is>
          <t>DEBITO</t>
        </is>
      </c>
      <c r="H2574" t="inlineStr">
        <is>
          <t>PAGTO ELETRON  COBRANCA NF 26376</t>
        </is>
      </c>
      <c r="I2574" t="n">
        <v>-258.78</v>
      </c>
    </row>
    <row r="2575">
      <c r="A2575" t="n">
        <v>91593</v>
      </c>
      <c r="B2575" t="n">
        <v>115</v>
      </c>
      <c r="C2575" t="inlineStr">
        <is>
          <t>Love - Shibari - Bradesco</t>
        </is>
      </c>
      <c r="D2575" t="n">
        <v>128</v>
      </c>
      <c r="E2575" t="inlineStr">
        <is>
          <t>Love Cabaret</t>
        </is>
      </c>
      <c r="F2575" s="27" t="n">
        <v>45782.5</v>
      </c>
      <c r="G2575" t="inlineStr">
        <is>
          <t>DEBITO</t>
        </is>
      </c>
      <c r="H2575" t="inlineStr">
        <is>
          <t>PAGTO ELETRON  COBRANCA NF 574861</t>
        </is>
      </c>
      <c r="I2575" t="n">
        <v>-114.72</v>
      </c>
    </row>
    <row r="2576">
      <c r="A2576" t="n">
        <v>91594</v>
      </c>
      <c r="B2576" t="n">
        <v>115</v>
      </c>
      <c r="C2576" t="inlineStr">
        <is>
          <t>Love - Shibari - Bradesco</t>
        </is>
      </c>
      <c r="D2576" t="n">
        <v>128</v>
      </c>
      <c r="E2576" t="inlineStr">
        <is>
          <t>Love Cabaret</t>
        </is>
      </c>
      <c r="F2576" s="27" t="n">
        <v>45782.5</v>
      </c>
      <c r="G2576" t="inlineStr">
        <is>
          <t>DEBITO</t>
        </is>
      </c>
      <c r="H2576" t="inlineStr">
        <is>
          <t>PAGTO ELETRON  COBRANCA NF 704172013</t>
        </is>
      </c>
      <c r="I2576" t="n">
        <v>-87.67</v>
      </c>
    </row>
    <row r="2577">
      <c r="A2577" t="n">
        <v>91595</v>
      </c>
      <c r="B2577" t="n">
        <v>115</v>
      </c>
      <c r="C2577" t="inlineStr">
        <is>
          <t>Love - Shibari - Bradesco</t>
        </is>
      </c>
      <c r="D2577" t="n">
        <v>128</v>
      </c>
      <c r="E2577" t="inlineStr">
        <is>
          <t>Love Cabaret</t>
        </is>
      </c>
      <c r="F2577" s="27" t="n">
        <v>45782.5</v>
      </c>
      <c r="G2577" t="inlineStr">
        <is>
          <t>DEBITO</t>
        </is>
      </c>
      <c r="H2577" t="inlineStr">
        <is>
          <t>PAGTO ELETRON  COBRANCA NF 5368</t>
        </is>
      </c>
      <c r="I2577" t="n">
        <v>-238.41</v>
      </c>
    </row>
    <row r="2578">
      <c r="A2578" t="n">
        <v>91596</v>
      </c>
      <c r="B2578" t="n">
        <v>115</v>
      </c>
      <c r="C2578" t="inlineStr">
        <is>
          <t>Love - Shibari - Bradesco</t>
        </is>
      </c>
      <c r="D2578" t="n">
        <v>128</v>
      </c>
      <c r="E2578" t="inlineStr">
        <is>
          <t>Love Cabaret</t>
        </is>
      </c>
      <c r="F2578" s="27" t="n">
        <v>45782.5</v>
      </c>
      <c r="G2578" t="inlineStr">
        <is>
          <t>DEBITO</t>
        </is>
      </c>
      <c r="H2578" t="inlineStr">
        <is>
          <t>TRANSFERENCIA PIX DES: AGENCIA BIOMA PUBLICI 05/05</t>
        </is>
      </c>
      <c r="I2578" t="n">
        <v>-7000</v>
      </c>
    </row>
    <row r="2579">
      <c r="A2579" t="n">
        <v>91597</v>
      </c>
      <c r="B2579" t="n">
        <v>115</v>
      </c>
      <c r="C2579" t="inlineStr">
        <is>
          <t>Love - Shibari - Bradesco</t>
        </is>
      </c>
      <c r="D2579" t="n">
        <v>128</v>
      </c>
      <c r="E2579" t="inlineStr">
        <is>
          <t>Love Cabaret</t>
        </is>
      </c>
      <c r="F2579" s="27" t="n">
        <v>45782.5</v>
      </c>
      <c r="G2579" t="inlineStr">
        <is>
          <t>DEBITO</t>
        </is>
      </c>
      <c r="H2579" t="inlineStr">
        <is>
          <t>TRANSFERENCIA PIX DES: Alexandre Santos da c 05/05</t>
        </is>
      </c>
      <c r="I2579" t="n">
        <v>-4837.28</v>
      </c>
    </row>
    <row r="2580">
      <c r="A2580" t="n">
        <v>91598</v>
      </c>
      <c r="B2580" t="n">
        <v>115</v>
      </c>
      <c r="C2580" t="inlineStr">
        <is>
          <t>Love - Shibari - Bradesco</t>
        </is>
      </c>
      <c r="D2580" t="n">
        <v>128</v>
      </c>
      <c r="E2580" t="inlineStr">
        <is>
          <t>Love Cabaret</t>
        </is>
      </c>
      <c r="F2580" s="27" t="n">
        <v>45782.5</v>
      </c>
      <c r="G2580" t="inlineStr">
        <is>
          <t>DEBITO</t>
        </is>
      </c>
      <c r="H2580" t="inlineStr">
        <is>
          <t>TRANSFERENCIA PIX DES: JULIANA DANTAS GONCAL 05/05</t>
        </is>
      </c>
      <c r="I2580" t="n">
        <v>-2200</v>
      </c>
    </row>
    <row r="2581">
      <c r="A2581" t="n">
        <v>91599</v>
      </c>
      <c r="B2581" t="n">
        <v>115</v>
      </c>
      <c r="C2581" t="inlineStr">
        <is>
          <t>Love - Shibari - Bradesco</t>
        </is>
      </c>
      <c r="D2581" t="n">
        <v>128</v>
      </c>
      <c r="E2581" t="inlineStr">
        <is>
          <t>Love Cabaret</t>
        </is>
      </c>
      <c r="F2581" s="27" t="n">
        <v>45782.5</v>
      </c>
      <c r="G2581" t="inlineStr">
        <is>
          <t>DEBITO</t>
        </is>
      </c>
      <c r="H2581" t="inlineStr">
        <is>
          <t>TRANSFERENCIA PIX DES: ARTE DO CLICK PRODUCO 05/05</t>
        </is>
      </c>
      <c r="I2581" t="n">
        <v>-1900</v>
      </c>
    </row>
    <row r="2582">
      <c r="A2582" t="n">
        <v>91600</v>
      </c>
      <c r="B2582" t="n">
        <v>115</v>
      </c>
      <c r="C2582" t="inlineStr">
        <is>
          <t>Love - Shibari - Bradesco</t>
        </is>
      </c>
      <c r="D2582" t="n">
        <v>128</v>
      </c>
      <c r="E2582" t="inlineStr">
        <is>
          <t>Love Cabaret</t>
        </is>
      </c>
      <c r="F2582" s="27" t="n">
        <v>45782.5</v>
      </c>
      <c r="G2582" t="inlineStr">
        <is>
          <t>DEBITO</t>
        </is>
      </c>
      <c r="H2582" t="inlineStr">
        <is>
          <t>TRANSFERENCIA PIX DES: FLAVIO RODRIGUES DE M 05/05</t>
        </is>
      </c>
      <c r="I2582" t="n">
        <v>-1000</v>
      </c>
    </row>
    <row r="2583">
      <c r="A2583" t="n">
        <v>91601</v>
      </c>
      <c r="B2583" t="n">
        <v>115</v>
      </c>
      <c r="C2583" t="inlineStr">
        <is>
          <t>Love - Shibari - Bradesco</t>
        </is>
      </c>
      <c r="D2583" t="n">
        <v>128</v>
      </c>
      <c r="E2583" t="inlineStr">
        <is>
          <t>Love Cabaret</t>
        </is>
      </c>
      <c r="F2583" s="27" t="n">
        <v>45782.5</v>
      </c>
      <c r="G2583" t="inlineStr">
        <is>
          <t>DEBITO</t>
        </is>
      </c>
      <c r="H2583" t="inlineStr">
        <is>
          <t>TRANSFERENCIA PIX DES: SHIBARI ART E DIVERSA 05/05</t>
        </is>
      </c>
      <c r="I2583" t="n">
        <v>-1307.46</v>
      </c>
    </row>
    <row r="2584">
      <c r="A2584" t="n">
        <v>91577</v>
      </c>
      <c r="B2584" t="n">
        <v>115</v>
      </c>
      <c r="C2584" t="inlineStr">
        <is>
          <t>Love - Shibari - Bradesco</t>
        </is>
      </c>
      <c r="D2584" t="n">
        <v>128</v>
      </c>
      <c r="E2584" t="inlineStr">
        <is>
          <t>Love Cabaret</t>
        </is>
      </c>
      <c r="F2584" s="27" t="n">
        <v>45782.5</v>
      </c>
      <c r="G2584" t="inlineStr">
        <is>
          <t>CREDITO</t>
        </is>
      </c>
      <c r="H2584" t="inlineStr">
        <is>
          <t>TRANSFERENCIA PIX REM: SHIBARI ART E DIVERSA 05/05</t>
        </is>
      </c>
      <c r="I2584" t="n">
        <v>49206.74</v>
      </c>
    </row>
    <row r="2585">
      <c r="A2585" t="n">
        <v>102317</v>
      </c>
      <c r="B2585" t="n">
        <v>182</v>
      </c>
      <c r="C2585" t="inlineStr">
        <is>
          <t>Love - Shibari - Kamino</t>
        </is>
      </c>
      <c r="D2585" t="n">
        <v>128</v>
      </c>
      <c r="E2585" t="inlineStr">
        <is>
          <t>Love Cabaret</t>
        </is>
      </c>
      <c r="F2585" s="27" t="n">
        <v>45782</v>
      </c>
      <c r="G2585" t="inlineStr">
        <is>
          <t>DEBITO</t>
        </is>
      </c>
      <c r="H2585" t="inlineStr">
        <is>
          <t>KAMINO INSTITUICAO DE PAGAMENTO LTDA</t>
        </is>
      </c>
      <c r="I2585" t="n">
        <v>-1307.46</v>
      </c>
    </row>
    <row r="2586">
      <c r="A2586" t="n">
        <v>102316</v>
      </c>
      <c r="B2586" t="n">
        <v>182</v>
      </c>
      <c r="C2586" t="inlineStr">
        <is>
          <t>Love - Shibari - Kamino</t>
        </is>
      </c>
      <c r="D2586" t="n">
        <v>128</v>
      </c>
      <c r="E2586" t="inlineStr">
        <is>
          <t>Love Cabaret</t>
        </is>
      </c>
      <c r="F2586" s="27" t="n">
        <v>45782</v>
      </c>
      <c r="G2586" t="inlineStr">
        <is>
          <t>CREDITO</t>
        </is>
      </c>
      <c r="H2586" t="inlineStr">
        <is>
          <t>SHIBARI ART E DIVERSAO LTDA</t>
        </is>
      </c>
      <c r="I2586" t="n">
        <v>1307.46</v>
      </c>
    </row>
    <row r="2587">
      <c r="A2587" t="n">
        <v>91576</v>
      </c>
      <c r="B2587" t="n">
        <v>115</v>
      </c>
      <c r="C2587" t="inlineStr">
        <is>
          <t>Love - Shibari - Bradesco</t>
        </is>
      </c>
      <c r="D2587" t="n">
        <v>128</v>
      </c>
      <c r="E2587" t="inlineStr">
        <is>
          <t>Love Cabaret</t>
        </is>
      </c>
      <c r="F2587" s="27" t="n">
        <v>45779.5</v>
      </c>
      <c r="G2587" t="inlineStr">
        <is>
          <t>CREDITO</t>
        </is>
      </c>
      <c r="H2587" t="inlineStr">
        <is>
          <t>TED-TRANSF ELET DISPON REMET.DIVERTI TICKETS COME</t>
        </is>
      </c>
      <c r="I2587" t="n">
        <v>5788.04</v>
      </c>
    </row>
    <row r="2588">
      <c r="A2588" t="n">
        <v>91575</v>
      </c>
      <c r="B2588" t="n">
        <v>115</v>
      </c>
      <c r="C2588" t="inlineStr">
        <is>
          <t>Love - Shibari - Bradesco</t>
        </is>
      </c>
      <c r="D2588" t="n">
        <v>128</v>
      </c>
      <c r="E2588" t="inlineStr">
        <is>
          <t>Love Cabaret</t>
        </is>
      </c>
      <c r="F2588" s="27" t="n">
        <v>45779.5</v>
      </c>
      <c r="G2588" t="inlineStr">
        <is>
          <t>CREDITO</t>
        </is>
      </c>
      <c r="H2588" t="inlineStr">
        <is>
          <t>TED-TRANSF ELET DISPON REMET.DIVERTI TICKETS COME</t>
        </is>
      </c>
      <c r="I2588" t="n">
        <v>5915.6</v>
      </c>
    </row>
    <row r="2589">
      <c r="A2589" t="n">
        <v>91574</v>
      </c>
      <c r="B2589" t="n">
        <v>115</v>
      </c>
      <c r="C2589" t="inlineStr">
        <is>
          <t>Love - Shibari - Bradesco</t>
        </is>
      </c>
      <c r="D2589" t="n">
        <v>128</v>
      </c>
      <c r="E2589" t="inlineStr">
        <is>
          <t>Love Cabaret</t>
        </is>
      </c>
      <c r="F2589" s="27" t="n">
        <v>45779.5</v>
      </c>
      <c r="G2589" t="inlineStr">
        <is>
          <t>CREDITO</t>
        </is>
      </c>
      <c r="H2589" t="inlineStr">
        <is>
          <t>TED-TRANSF ELET DISPON REMET.DIVERTI TICKETS COME</t>
        </is>
      </c>
      <c r="I2589" t="n">
        <v>10172.91</v>
      </c>
    </row>
    <row r="2590">
      <c r="A2590" t="n">
        <v>91573</v>
      </c>
      <c r="B2590" t="n">
        <v>115</v>
      </c>
      <c r="C2590" t="inlineStr">
        <is>
          <t>Love - Shibari - Bradesco</t>
        </is>
      </c>
      <c r="D2590" t="n">
        <v>128</v>
      </c>
      <c r="E2590" t="inlineStr">
        <is>
          <t>Love Cabaret</t>
        </is>
      </c>
      <c r="F2590" s="27" t="n">
        <v>45779.5</v>
      </c>
      <c r="G2590" t="inlineStr">
        <is>
          <t>CREDITO</t>
        </is>
      </c>
      <c r="H2590" t="inlineStr">
        <is>
          <t>TED-TRANSF ELET DISPON REMET.DIVERTI TICKETS COME</t>
        </is>
      </c>
      <c r="I2590" t="n">
        <v>18272.97</v>
      </c>
    </row>
    <row r="2591">
      <c r="A2591" t="n">
        <v>91562</v>
      </c>
      <c r="B2591" t="n">
        <v>115</v>
      </c>
      <c r="C2591" t="inlineStr">
        <is>
          <t>Love - Shibari - Bradesco</t>
        </is>
      </c>
      <c r="D2591" t="n">
        <v>128</v>
      </c>
      <c r="E2591" t="inlineStr">
        <is>
          <t>Love Cabaret</t>
        </is>
      </c>
      <c r="F2591" s="27" t="n">
        <v>45777.5</v>
      </c>
      <c r="G2591" t="inlineStr">
        <is>
          <t>DEBITO</t>
        </is>
      </c>
      <c r="H2591" t="inlineStr">
        <is>
          <t>TARIFA BANCARIA TRANSF PGTO PIX</t>
        </is>
      </c>
      <c r="I2591" t="n">
        <v>-9</v>
      </c>
    </row>
    <row r="2592">
      <c r="A2592" t="n">
        <v>91555</v>
      </c>
      <c r="B2592" t="n">
        <v>115</v>
      </c>
      <c r="C2592" t="inlineStr">
        <is>
          <t>Love - Shibari - Bradesco</t>
        </is>
      </c>
      <c r="D2592" t="n">
        <v>128</v>
      </c>
      <c r="E2592" t="inlineStr">
        <is>
          <t>Love Cabaret</t>
        </is>
      </c>
      <c r="F2592" s="27" t="n">
        <v>45777.5</v>
      </c>
      <c r="G2592" t="inlineStr">
        <is>
          <t>DEBITO</t>
        </is>
      </c>
      <c r="H2592" t="inlineStr">
        <is>
          <t>PAGTO ELETRON  COBRANCA NF 556008156</t>
        </is>
      </c>
      <c r="I2592" t="n">
        <v>-18216</v>
      </c>
    </row>
    <row r="2593">
      <c r="A2593" t="n">
        <v>91556</v>
      </c>
      <c r="B2593" t="n">
        <v>115</v>
      </c>
      <c r="C2593" t="inlineStr">
        <is>
          <t>Love - Shibari - Bradesco</t>
        </is>
      </c>
      <c r="D2593" t="n">
        <v>128</v>
      </c>
      <c r="E2593" t="inlineStr">
        <is>
          <t>Love Cabaret</t>
        </is>
      </c>
      <c r="F2593" s="27" t="n">
        <v>45777.5</v>
      </c>
      <c r="G2593" t="inlineStr">
        <is>
          <t>DEBITO</t>
        </is>
      </c>
      <c r="H2593" t="inlineStr">
        <is>
          <t>PAGTO ELETRON  COBRANCA NF 446090</t>
        </is>
      </c>
      <c r="I2593" t="n">
        <v>-1138.6</v>
      </c>
    </row>
    <row r="2594">
      <c r="A2594" t="n">
        <v>91557</v>
      </c>
      <c r="B2594" t="n">
        <v>115</v>
      </c>
      <c r="C2594" t="inlineStr">
        <is>
          <t>Love - Shibari - Bradesco</t>
        </is>
      </c>
      <c r="D2594" t="n">
        <v>128</v>
      </c>
      <c r="E2594" t="inlineStr">
        <is>
          <t>Love Cabaret</t>
        </is>
      </c>
      <c r="F2594" s="27" t="n">
        <v>45777.5</v>
      </c>
      <c r="G2594" t="inlineStr">
        <is>
          <t>DEBITO</t>
        </is>
      </c>
      <c r="H2594" t="inlineStr">
        <is>
          <t>PAGTO ELETRON  COBRANCA NF 2206</t>
        </is>
      </c>
      <c r="I2594" t="n">
        <v>-805.08</v>
      </c>
    </row>
    <row r="2595">
      <c r="A2595" t="n">
        <v>91558</v>
      </c>
      <c r="B2595" t="n">
        <v>115</v>
      </c>
      <c r="C2595" t="inlineStr">
        <is>
          <t>Love - Shibari - Bradesco</t>
        </is>
      </c>
      <c r="D2595" t="n">
        <v>128</v>
      </c>
      <c r="E2595" t="inlineStr">
        <is>
          <t>Love Cabaret</t>
        </is>
      </c>
      <c r="F2595" s="27" t="n">
        <v>45777.5</v>
      </c>
      <c r="G2595" t="inlineStr">
        <is>
          <t>DEBITO</t>
        </is>
      </c>
      <c r="H2595" t="inlineStr">
        <is>
          <t>PAGTO ELETRON  COBRANCA NF 243793</t>
        </is>
      </c>
      <c r="I2595" t="n">
        <v>-1121.44</v>
      </c>
    </row>
    <row r="2596">
      <c r="A2596" t="n">
        <v>91559</v>
      </c>
      <c r="B2596" t="n">
        <v>115</v>
      </c>
      <c r="C2596" t="inlineStr">
        <is>
          <t>Love - Shibari - Bradesco</t>
        </is>
      </c>
      <c r="D2596" t="n">
        <v>128</v>
      </c>
      <c r="E2596" t="inlineStr">
        <is>
          <t>Love Cabaret</t>
        </is>
      </c>
      <c r="F2596" s="27" t="n">
        <v>45777.5</v>
      </c>
      <c r="G2596" t="inlineStr">
        <is>
          <t>DEBITO</t>
        </is>
      </c>
      <c r="H2596" t="inlineStr">
        <is>
          <t>TARIFA BANCARIA TRANSF PGTO PIX</t>
        </is>
      </c>
      <c r="I2596" t="n">
        <v>-9</v>
      </c>
    </row>
    <row r="2597">
      <c r="A2597" t="n">
        <v>91560</v>
      </c>
      <c r="B2597" t="n">
        <v>115</v>
      </c>
      <c r="C2597" t="inlineStr">
        <is>
          <t>Love - Shibari - Bradesco</t>
        </is>
      </c>
      <c r="D2597" t="n">
        <v>128</v>
      </c>
      <c r="E2597" t="inlineStr">
        <is>
          <t>Love Cabaret</t>
        </is>
      </c>
      <c r="F2597" s="27" t="n">
        <v>45777.5</v>
      </c>
      <c r="G2597" t="inlineStr">
        <is>
          <t>DEBITO</t>
        </is>
      </c>
      <c r="H2597" t="inlineStr">
        <is>
          <t>TARIFA BANCARIA TRANSF PGTO PIX</t>
        </is>
      </c>
      <c r="I2597" t="n">
        <v>-9</v>
      </c>
    </row>
    <row r="2598">
      <c r="A2598" t="n">
        <v>91561</v>
      </c>
      <c r="B2598" t="n">
        <v>115</v>
      </c>
      <c r="C2598" t="inlineStr">
        <is>
          <t>Love - Shibari - Bradesco</t>
        </is>
      </c>
      <c r="D2598" t="n">
        <v>128</v>
      </c>
      <c r="E2598" t="inlineStr">
        <is>
          <t>Love Cabaret</t>
        </is>
      </c>
      <c r="F2598" s="27" t="n">
        <v>45777.5</v>
      </c>
      <c r="G2598" t="inlineStr">
        <is>
          <t>DEBITO</t>
        </is>
      </c>
      <c r="H2598" t="inlineStr">
        <is>
          <t>TARIFA BANCARIA TRANSF PGTO PIX</t>
        </is>
      </c>
      <c r="I2598" t="n">
        <v>-9</v>
      </c>
    </row>
    <row r="2599">
      <c r="A2599" t="n">
        <v>91563</v>
      </c>
      <c r="B2599" t="n">
        <v>115</v>
      </c>
      <c r="C2599" t="inlineStr">
        <is>
          <t>Love - Shibari - Bradesco</t>
        </is>
      </c>
      <c r="D2599" t="n">
        <v>128</v>
      </c>
      <c r="E2599" t="inlineStr">
        <is>
          <t>Love Cabaret</t>
        </is>
      </c>
      <c r="F2599" s="27" t="n">
        <v>45777.5</v>
      </c>
      <c r="G2599" t="inlineStr">
        <is>
          <t>DEBITO</t>
        </is>
      </c>
      <c r="H2599" t="inlineStr">
        <is>
          <t>PAGTO ELETRONICO TRIBUTO INTERNET --RECEITA FEDERAL/SP</t>
        </is>
      </c>
      <c r="I2599" t="n">
        <v>-29851.86</v>
      </c>
    </row>
    <row r="2600">
      <c r="A2600" t="n">
        <v>91565</v>
      </c>
      <c r="B2600" t="n">
        <v>115</v>
      </c>
      <c r="C2600" t="inlineStr">
        <is>
          <t>Love - Shibari - Bradesco</t>
        </is>
      </c>
      <c r="D2600" t="n">
        <v>128</v>
      </c>
      <c r="E2600" t="inlineStr">
        <is>
          <t>Love Cabaret</t>
        </is>
      </c>
      <c r="F2600" s="27" t="n">
        <v>45777.5</v>
      </c>
      <c r="G2600" t="inlineStr">
        <is>
          <t>DEBITO</t>
        </is>
      </c>
      <c r="H2600" t="inlineStr">
        <is>
          <t>PAGTO ELETRONICO TRIBUTO INTERNET --RECEITA FEDERAL/SP</t>
        </is>
      </c>
      <c r="I2600" t="n">
        <v>-19880.43</v>
      </c>
    </row>
    <row r="2601">
      <c r="A2601" t="n">
        <v>91572</v>
      </c>
      <c r="B2601" t="n">
        <v>115</v>
      </c>
      <c r="C2601" t="inlineStr">
        <is>
          <t>Love - Shibari - Bradesco</t>
        </is>
      </c>
      <c r="D2601" t="n">
        <v>128</v>
      </c>
      <c r="E2601" t="inlineStr">
        <is>
          <t>Love Cabaret</t>
        </is>
      </c>
      <c r="F2601" s="27" t="n">
        <v>45777.5</v>
      </c>
      <c r="G2601" t="inlineStr">
        <is>
          <t>DEBITO</t>
        </is>
      </c>
      <c r="H2601" t="inlineStr">
        <is>
          <t>PARCELAMENTO DE DARF PARCELAMENTO DE DARF-207024</t>
        </is>
      </c>
      <c r="I2601" t="n">
        <v>-19880.43</v>
      </c>
    </row>
    <row r="2602">
      <c r="A2602" t="n">
        <v>91571</v>
      </c>
      <c r="B2602" t="n">
        <v>115</v>
      </c>
      <c r="C2602" t="inlineStr">
        <is>
          <t>Love - Shibari - Bradesco</t>
        </is>
      </c>
      <c r="D2602" t="n">
        <v>128</v>
      </c>
      <c r="E2602" t="inlineStr">
        <is>
          <t>Love Cabaret</t>
        </is>
      </c>
      <c r="F2602" s="27" t="n">
        <v>45777.5</v>
      </c>
      <c r="G2602" t="inlineStr">
        <is>
          <t>DEBITO</t>
        </is>
      </c>
      <c r="H2602" t="inlineStr">
        <is>
          <t>PAGTO ELETRONICO TRIBUTO INTERNET --PMSP SP</t>
        </is>
      </c>
      <c r="I2602" t="n">
        <v>-1877.09</v>
      </c>
    </row>
    <row r="2603">
      <c r="A2603" t="n">
        <v>91570</v>
      </c>
      <c r="B2603" t="n">
        <v>115</v>
      </c>
      <c r="C2603" t="inlineStr">
        <is>
          <t>Love - Shibari - Bradesco</t>
        </is>
      </c>
      <c r="D2603" t="n">
        <v>128</v>
      </c>
      <c r="E2603" t="inlineStr">
        <is>
          <t>Love Cabaret</t>
        </is>
      </c>
      <c r="F2603" s="27" t="n">
        <v>45777.5</v>
      </c>
      <c r="G2603" t="inlineStr">
        <is>
          <t>DEBITO</t>
        </is>
      </c>
      <c r="H2603" t="inlineStr">
        <is>
          <t>PAGTO ELETRONICO TRIBUTO INTERNET --SP/SEFAZ-DARE</t>
        </is>
      </c>
      <c r="I2603" t="n">
        <v>-774.72</v>
      </c>
    </row>
    <row r="2604">
      <c r="A2604" t="n">
        <v>91569</v>
      </c>
      <c r="B2604" t="n">
        <v>115</v>
      </c>
      <c r="C2604" t="inlineStr">
        <is>
          <t>Love - Shibari - Bradesco</t>
        </is>
      </c>
      <c r="D2604" t="n">
        <v>128</v>
      </c>
      <c r="E2604" t="inlineStr">
        <is>
          <t>Love Cabaret</t>
        </is>
      </c>
      <c r="F2604" s="27" t="n">
        <v>45777.5</v>
      </c>
      <c r="G2604" t="inlineStr">
        <is>
          <t>DEBITO</t>
        </is>
      </c>
      <c r="H2604" t="inlineStr">
        <is>
          <t>PAGTO ELETRONICO TRIBUTO INTERNET --SP/SEFAZ-DARE</t>
        </is>
      </c>
      <c r="I2604" t="n">
        <v>-591.37</v>
      </c>
    </row>
    <row r="2605">
      <c r="A2605" t="n">
        <v>91568</v>
      </c>
      <c r="B2605" t="n">
        <v>115</v>
      </c>
      <c r="C2605" t="inlineStr">
        <is>
          <t>Love - Shibari - Bradesco</t>
        </is>
      </c>
      <c r="D2605" t="n">
        <v>128</v>
      </c>
      <c r="E2605" t="inlineStr">
        <is>
          <t>Love Cabaret</t>
        </is>
      </c>
      <c r="F2605" s="27" t="n">
        <v>45777.5</v>
      </c>
      <c r="G2605" t="inlineStr">
        <is>
          <t>DEBITO</t>
        </is>
      </c>
      <c r="H2605" t="inlineStr">
        <is>
          <t>PAGTO ELETRONICO TRIBUTO INTERNET --RECEITA FEDERAL/SP</t>
        </is>
      </c>
      <c r="I2605" t="n">
        <v>-20115.76</v>
      </c>
    </row>
    <row r="2606">
      <c r="A2606" t="n">
        <v>91567</v>
      </c>
      <c r="B2606" t="n">
        <v>115</v>
      </c>
      <c r="C2606" t="inlineStr">
        <is>
          <t>Love - Shibari - Bradesco</t>
        </is>
      </c>
      <c r="D2606" t="n">
        <v>128</v>
      </c>
      <c r="E2606" t="inlineStr">
        <is>
          <t>Love Cabaret</t>
        </is>
      </c>
      <c r="F2606" s="27" t="n">
        <v>45777.5</v>
      </c>
      <c r="G2606" t="inlineStr">
        <is>
          <t>DEBITO</t>
        </is>
      </c>
      <c r="H2606" t="inlineStr">
        <is>
          <t>PAGTO ELETRONICO TRIBUTO INTERNET --RECEITA FEDERAL/SP</t>
        </is>
      </c>
      <c r="I2606" t="n">
        <v>-15286.03</v>
      </c>
    </row>
    <row r="2607">
      <c r="A2607" t="n">
        <v>91566</v>
      </c>
      <c r="B2607" t="n">
        <v>115</v>
      </c>
      <c r="C2607" t="inlineStr">
        <is>
          <t>Love - Shibari - Bradesco</t>
        </is>
      </c>
      <c r="D2607" t="n">
        <v>128</v>
      </c>
      <c r="E2607" t="inlineStr">
        <is>
          <t>Love Cabaret</t>
        </is>
      </c>
      <c r="F2607" s="27" t="n">
        <v>45777.5</v>
      </c>
      <c r="G2607" t="inlineStr">
        <is>
          <t>DEBITO</t>
        </is>
      </c>
      <c r="H2607" t="inlineStr">
        <is>
          <t>PAGTO ELETRONICO TRIBUTO INTERNET --RECEITA FEDERAL/SP</t>
        </is>
      </c>
      <c r="I2607" t="n">
        <v>-968.33</v>
      </c>
    </row>
    <row r="2608">
      <c r="A2608" t="n">
        <v>91564</v>
      </c>
      <c r="B2608" t="n">
        <v>115</v>
      </c>
      <c r="C2608" t="inlineStr">
        <is>
          <t>Love - Shibari - Bradesco</t>
        </is>
      </c>
      <c r="D2608" t="n">
        <v>128</v>
      </c>
      <c r="E2608" t="inlineStr">
        <is>
          <t>Love Cabaret</t>
        </is>
      </c>
      <c r="F2608" s="27" t="n">
        <v>45777.5</v>
      </c>
      <c r="G2608" t="inlineStr">
        <is>
          <t>DEBITO</t>
        </is>
      </c>
      <c r="H2608" t="inlineStr">
        <is>
          <t>PAGTO ELETRONICO TRIBUTO INTERNET --RECEITA FEDERAL/SP</t>
        </is>
      </c>
      <c r="I2608" t="n">
        <v>-569.13</v>
      </c>
    </row>
    <row r="2609">
      <c r="A2609" t="n">
        <v>91547</v>
      </c>
      <c r="B2609" t="n">
        <v>115</v>
      </c>
      <c r="C2609" t="inlineStr">
        <is>
          <t>Love - Shibari - Bradesco</t>
        </is>
      </c>
      <c r="D2609" t="n">
        <v>128</v>
      </c>
      <c r="E2609" t="inlineStr">
        <is>
          <t>Love Cabaret</t>
        </is>
      </c>
      <c r="F2609" s="27" t="n">
        <v>45776.5</v>
      </c>
      <c r="G2609" t="inlineStr">
        <is>
          <t>CREDITO</t>
        </is>
      </c>
      <c r="H2609" t="inlineStr">
        <is>
          <t>DEP DINHEIRO ATM AG00117MAQ061059SEQ01589</t>
        </is>
      </c>
      <c r="I2609" t="n">
        <v>2970</v>
      </c>
    </row>
    <row r="2610">
      <c r="A2610" t="n">
        <v>91538</v>
      </c>
      <c r="B2610" t="n">
        <v>115</v>
      </c>
      <c r="C2610" t="inlineStr">
        <is>
          <t>Love - Shibari - Bradesco</t>
        </is>
      </c>
      <c r="D2610" t="n">
        <v>128</v>
      </c>
      <c r="E2610" t="inlineStr">
        <is>
          <t>Love Cabaret</t>
        </is>
      </c>
      <c r="F2610" s="27" t="n">
        <v>45775.5</v>
      </c>
      <c r="G2610" t="inlineStr">
        <is>
          <t>DEBITO</t>
        </is>
      </c>
      <c r="H2610" t="inlineStr">
        <is>
          <t>PAGTO ELETRON  COBRANCA NF 220731079</t>
        </is>
      </c>
      <c r="I2610" t="n">
        <v>-886.89</v>
      </c>
    </row>
    <row r="2611">
      <c r="A2611" t="n">
        <v>91546</v>
      </c>
      <c r="B2611" t="n">
        <v>115</v>
      </c>
      <c r="C2611" t="inlineStr">
        <is>
          <t>Love - Shibari - Bradesco</t>
        </is>
      </c>
      <c r="D2611" t="n">
        <v>128</v>
      </c>
      <c r="E2611" t="inlineStr">
        <is>
          <t>Love Cabaret</t>
        </is>
      </c>
      <c r="F2611" s="27" t="n">
        <v>45775.5</v>
      </c>
      <c r="G2611" t="inlineStr">
        <is>
          <t>DEBITO</t>
        </is>
      </c>
      <c r="H2611" t="inlineStr">
        <is>
          <t>CONTA DE TELEFONE INTERNET --VIVO/SP</t>
        </is>
      </c>
      <c r="I2611" t="n">
        <v>-487.66</v>
      </c>
    </row>
    <row r="2612">
      <c r="A2612" t="n">
        <v>91545</v>
      </c>
      <c r="B2612" t="n">
        <v>115</v>
      </c>
      <c r="C2612" t="inlineStr">
        <is>
          <t>Love - Shibari - Bradesco</t>
        </is>
      </c>
      <c r="D2612" t="n">
        <v>128</v>
      </c>
      <c r="E2612" t="inlineStr">
        <is>
          <t>Love Cabaret</t>
        </is>
      </c>
      <c r="F2612" s="27" t="n">
        <v>45775.5</v>
      </c>
      <c r="G2612" t="inlineStr">
        <is>
          <t>DEBITO</t>
        </is>
      </c>
      <c r="H2612" t="inlineStr">
        <is>
          <t>CONTA DE TELEFONE INTERNET --TELEFONICA BRASIL</t>
        </is>
      </c>
      <c r="I2612" t="n">
        <v>-21.71</v>
      </c>
    </row>
    <row r="2613">
      <c r="A2613" t="n">
        <v>91544</v>
      </c>
      <c r="B2613" t="n">
        <v>115</v>
      </c>
      <c r="C2613" t="inlineStr">
        <is>
          <t>Love - Shibari - Bradesco</t>
        </is>
      </c>
      <c r="D2613" t="n">
        <v>128</v>
      </c>
      <c r="E2613" t="inlineStr">
        <is>
          <t>Love Cabaret</t>
        </is>
      </c>
      <c r="F2613" s="27" t="n">
        <v>45775.5</v>
      </c>
      <c r="G2613" t="inlineStr">
        <is>
          <t>DEBITO</t>
        </is>
      </c>
      <c r="H2613" t="inlineStr">
        <is>
          <t>CONTA DE TELEFONE INTERNET --VIVO/SP</t>
        </is>
      </c>
      <c r="I2613" t="n">
        <v>-93.7</v>
      </c>
    </row>
    <row r="2614">
      <c r="A2614" t="n">
        <v>91543</v>
      </c>
      <c r="B2614" t="n">
        <v>115</v>
      </c>
      <c r="C2614" t="inlineStr">
        <is>
          <t>Love - Shibari - Bradesco</t>
        </is>
      </c>
      <c r="D2614" t="n">
        <v>128</v>
      </c>
      <c r="E2614" t="inlineStr">
        <is>
          <t>Love Cabaret</t>
        </is>
      </c>
      <c r="F2614" s="27" t="n">
        <v>45775.5</v>
      </c>
      <c r="G2614" t="inlineStr">
        <is>
          <t>DEBITO</t>
        </is>
      </c>
      <c r="H2614" t="inlineStr">
        <is>
          <t>CONTA DE TELEFONE INTERNET --VIVO/SP</t>
        </is>
      </c>
      <c r="I2614" t="n">
        <v>-327.09</v>
      </c>
    </row>
    <row r="2615">
      <c r="A2615" t="n">
        <v>91542</v>
      </c>
      <c r="B2615" t="n">
        <v>115</v>
      </c>
      <c r="C2615" t="inlineStr">
        <is>
          <t>Love - Shibari - Bradesco</t>
        </is>
      </c>
      <c r="D2615" t="n">
        <v>128</v>
      </c>
      <c r="E2615" t="inlineStr">
        <is>
          <t>Love Cabaret</t>
        </is>
      </c>
      <c r="F2615" s="27" t="n">
        <v>45775.5</v>
      </c>
      <c r="G2615" t="inlineStr">
        <is>
          <t>DEBITO</t>
        </is>
      </c>
      <c r="H2615" t="inlineStr">
        <is>
          <t>TRANSFERENCIA PIX DES: PAULO CESAR MEDEIROS  28/04</t>
        </is>
      </c>
      <c r="I2615" t="n">
        <v>-700</v>
      </c>
    </row>
    <row r="2616">
      <c r="A2616" t="n">
        <v>91541</v>
      </c>
      <c r="B2616" t="n">
        <v>115</v>
      </c>
      <c r="C2616" t="inlineStr">
        <is>
          <t>Love - Shibari - Bradesco</t>
        </is>
      </c>
      <c r="D2616" t="n">
        <v>128</v>
      </c>
      <c r="E2616" t="inlineStr">
        <is>
          <t>Love Cabaret</t>
        </is>
      </c>
      <c r="F2616" s="27" t="n">
        <v>45775.5</v>
      </c>
      <c r="G2616" t="inlineStr">
        <is>
          <t>DEBITO</t>
        </is>
      </c>
      <c r="H2616" t="inlineStr">
        <is>
          <t>TRANSFERENCIA PIX DES: MACHINE SEGURANCA PAT 28/04</t>
        </is>
      </c>
      <c r="I2616" t="n">
        <v>-5700</v>
      </c>
    </row>
    <row r="2617">
      <c r="A2617" t="n">
        <v>91540</v>
      </c>
      <c r="B2617" t="n">
        <v>115</v>
      </c>
      <c r="C2617" t="inlineStr">
        <is>
          <t>Love - Shibari - Bradesco</t>
        </is>
      </c>
      <c r="D2617" t="n">
        <v>128</v>
      </c>
      <c r="E2617" t="inlineStr">
        <is>
          <t>Love Cabaret</t>
        </is>
      </c>
      <c r="F2617" s="27" t="n">
        <v>45775.5</v>
      </c>
      <c r="G2617" t="inlineStr">
        <is>
          <t>DEBITO</t>
        </is>
      </c>
      <c r="H2617" t="inlineStr">
        <is>
          <t>TRANSFERENCIA PIX DES: Alexandre Santos da c 28/04</t>
        </is>
      </c>
      <c r="I2617" t="n">
        <v>-4908</v>
      </c>
    </row>
    <row r="2618">
      <c r="A2618" t="n">
        <v>91529</v>
      </c>
      <c r="B2618" t="n">
        <v>115</v>
      </c>
      <c r="C2618" t="inlineStr">
        <is>
          <t>Love - Shibari - Bradesco</t>
        </is>
      </c>
      <c r="D2618" t="n">
        <v>128</v>
      </c>
      <c r="E2618" t="inlineStr">
        <is>
          <t>Love Cabaret</t>
        </is>
      </c>
      <c r="F2618" s="27" t="n">
        <v>45775.5</v>
      </c>
      <c r="G2618" t="inlineStr">
        <is>
          <t>DEBITO</t>
        </is>
      </c>
      <c r="H2618" t="inlineStr">
        <is>
          <t>PAGTO ELETRON  COBRANCA NF 400215</t>
        </is>
      </c>
      <c r="I2618" t="n">
        <v>-358</v>
      </c>
    </row>
    <row r="2619">
      <c r="A2619" t="n">
        <v>91518</v>
      </c>
      <c r="B2619" t="n">
        <v>115</v>
      </c>
      <c r="C2619" t="inlineStr">
        <is>
          <t>Love - Shibari - Bradesco</t>
        </is>
      </c>
      <c r="D2619" t="n">
        <v>128</v>
      </c>
      <c r="E2619" t="inlineStr">
        <is>
          <t>Love Cabaret</t>
        </is>
      </c>
      <c r="F2619" s="27" t="n">
        <v>45775.5</v>
      </c>
      <c r="G2619" t="inlineStr">
        <is>
          <t>DEBITO</t>
        </is>
      </c>
      <c r="H2619" t="inlineStr">
        <is>
          <t>PAGTO ELETRON  COBRANCA NF 116403</t>
        </is>
      </c>
      <c r="I2619" t="n">
        <v>-6960.12</v>
      </c>
    </row>
    <row r="2620">
      <c r="A2620" t="n">
        <v>91519</v>
      </c>
      <c r="B2620" t="n">
        <v>115</v>
      </c>
      <c r="C2620" t="inlineStr">
        <is>
          <t>Love - Shibari - Bradesco</t>
        </is>
      </c>
      <c r="D2620" t="n">
        <v>128</v>
      </c>
      <c r="E2620" t="inlineStr">
        <is>
          <t>Love Cabaret</t>
        </is>
      </c>
      <c r="F2620" s="27" t="n">
        <v>45775.5</v>
      </c>
      <c r="G2620" t="inlineStr">
        <is>
          <t>DEBITO</t>
        </is>
      </c>
      <c r="H2620" t="inlineStr">
        <is>
          <t>PAGTO ELETRON  COBRANCA NF 494</t>
        </is>
      </c>
      <c r="I2620" t="n">
        <v>-6000</v>
      </c>
    </row>
    <row r="2621">
      <c r="A2621" t="n">
        <v>91520</v>
      </c>
      <c r="B2621" t="n">
        <v>115</v>
      </c>
      <c r="C2621" t="inlineStr">
        <is>
          <t>Love - Shibari - Bradesco</t>
        </is>
      </c>
      <c r="D2621" t="n">
        <v>128</v>
      </c>
      <c r="E2621" t="inlineStr">
        <is>
          <t>Love Cabaret</t>
        </is>
      </c>
      <c r="F2621" s="27" t="n">
        <v>45775.5</v>
      </c>
      <c r="G2621" t="inlineStr">
        <is>
          <t>DEBITO</t>
        </is>
      </c>
      <c r="H2621" t="inlineStr">
        <is>
          <t>PAGTO ELETRON  COBRANCA NF 28089</t>
        </is>
      </c>
      <c r="I2621" t="n">
        <v>-2003.12</v>
      </c>
    </row>
    <row r="2622">
      <c r="A2622" t="n">
        <v>91521</v>
      </c>
      <c r="B2622" t="n">
        <v>115</v>
      </c>
      <c r="C2622" t="inlineStr">
        <is>
          <t>Love - Shibari - Bradesco</t>
        </is>
      </c>
      <c r="D2622" t="n">
        <v>128</v>
      </c>
      <c r="E2622" t="inlineStr">
        <is>
          <t>Love Cabaret</t>
        </is>
      </c>
      <c r="F2622" s="27" t="n">
        <v>45775.5</v>
      </c>
      <c r="G2622" t="inlineStr">
        <is>
          <t>DEBITO</t>
        </is>
      </c>
      <c r="H2622" t="inlineStr">
        <is>
          <t>PAGTO ELETRON  COBRANCA NF 14614</t>
        </is>
      </c>
      <c r="I2622" t="n">
        <v>-1350.8</v>
      </c>
    </row>
    <row r="2623">
      <c r="A2623" t="n">
        <v>91522</v>
      </c>
      <c r="B2623" t="n">
        <v>115</v>
      </c>
      <c r="C2623" t="inlineStr">
        <is>
          <t>Love - Shibari - Bradesco</t>
        </is>
      </c>
      <c r="D2623" t="n">
        <v>128</v>
      </c>
      <c r="E2623" t="inlineStr">
        <is>
          <t>Love Cabaret</t>
        </is>
      </c>
      <c r="F2623" s="27" t="n">
        <v>45775.5</v>
      </c>
      <c r="G2623" t="inlineStr">
        <is>
          <t>DEBITO</t>
        </is>
      </c>
      <c r="H2623" t="inlineStr">
        <is>
          <t>PAGTO ELETRON  COBRANCA NF 136032</t>
        </is>
      </c>
      <c r="I2623" t="n">
        <v>-1256.32</v>
      </c>
    </row>
    <row r="2624">
      <c r="A2624" t="n">
        <v>91523</v>
      </c>
      <c r="B2624" t="n">
        <v>115</v>
      </c>
      <c r="C2624" t="inlineStr">
        <is>
          <t>Love - Shibari - Bradesco</t>
        </is>
      </c>
      <c r="D2624" t="n">
        <v>128</v>
      </c>
      <c r="E2624" t="inlineStr">
        <is>
          <t>Love Cabaret</t>
        </is>
      </c>
      <c r="F2624" s="27" t="n">
        <v>45775.5</v>
      </c>
      <c r="G2624" t="inlineStr">
        <is>
          <t>DEBITO</t>
        </is>
      </c>
      <c r="H2624" t="inlineStr">
        <is>
          <t>PAGTO ELETRON  COBRANCA NF 235106</t>
        </is>
      </c>
      <c r="I2624" t="n">
        <v>-1064.16</v>
      </c>
    </row>
    <row r="2625">
      <c r="A2625" t="n">
        <v>91524</v>
      </c>
      <c r="B2625" t="n">
        <v>115</v>
      </c>
      <c r="C2625" t="inlineStr">
        <is>
          <t>Love - Shibari - Bradesco</t>
        </is>
      </c>
      <c r="D2625" t="n">
        <v>128</v>
      </c>
      <c r="E2625" t="inlineStr">
        <is>
          <t>Love Cabaret</t>
        </is>
      </c>
      <c r="F2625" s="27" t="n">
        <v>45775.5</v>
      </c>
      <c r="G2625" t="inlineStr">
        <is>
          <t>DEBITO</t>
        </is>
      </c>
      <c r="H2625" t="inlineStr">
        <is>
          <t>PAGTO ELETRON  COBRANCA NF 27795</t>
        </is>
      </c>
      <c r="I2625" t="n">
        <v>-899.09</v>
      </c>
    </row>
    <row r="2626">
      <c r="A2626" t="n">
        <v>91525</v>
      </c>
      <c r="B2626" t="n">
        <v>115</v>
      </c>
      <c r="C2626" t="inlineStr">
        <is>
          <t>Love - Shibari - Bradesco</t>
        </is>
      </c>
      <c r="D2626" t="n">
        <v>128</v>
      </c>
      <c r="E2626" t="inlineStr">
        <is>
          <t>Love Cabaret</t>
        </is>
      </c>
      <c r="F2626" s="27" t="n">
        <v>45775.5</v>
      </c>
      <c r="G2626" t="inlineStr">
        <is>
          <t>DEBITO</t>
        </is>
      </c>
      <c r="H2626" t="inlineStr">
        <is>
          <t>PAGTO ELETRON  COBRANCA NF 12524</t>
        </is>
      </c>
      <c r="I2626" t="n">
        <v>-676.3</v>
      </c>
    </row>
    <row r="2627">
      <c r="A2627" t="n">
        <v>91526</v>
      </c>
      <c r="B2627" t="n">
        <v>115</v>
      </c>
      <c r="C2627" t="inlineStr">
        <is>
          <t>Love - Shibari - Bradesco</t>
        </is>
      </c>
      <c r="D2627" t="n">
        <v>128</v>
      </c>
      <c r="E2627" t="inlineStr">
        <is>
          <t>Love Cabaret</t>
        </is>
      </c>
      <c r="F2627" s="27" t="n">
        <v>45775.5</v>
      </c>
      <c r="G2627" t="inlineStr">
        <is>
          <t>DEBITO</t>
        </is>
      </c>
      <c r="H2627" t="inlineStr">
        <is>
          <t>PAGTO ELETRON  COBRANCA NF 594082</t>
        </is>
      </c>
      <c r="I2627" t="n">
        <v>-621.04</v>
      </c>
    </row>
    <row r="2628">
      <c r="A2628" t="n">
        <v>91527</v>
      </c>
      <c r="B2628" t="n">
        <v>115</v>
      </c>
      <c r="C2628" t="inlineStr">
        <is>
          <t>Love - Shibari - Bradesco</t>
        </is>
      </c>
      <c r="D2628" t="n">
        <v>128</v>
      </c>
      <c r="E2628" t="inlineStr">
        <is>
          <t>Love Cabaret</t>
        </is>
      </c>
      <c r="F2628" s="27" t="n">
        <v>45775.5</v>
      </c>
      <c r="G2628" t="inlineStr">
        <is>
          <t>DEBITO</t>
        </is>
      </c>
      <c r="H2628" t="inlineStr">
        <is>
          <t>PAGTO ELETRON  COBRANCA NF 306973</t>
        </is>
      </c>
      <c r="I2628" t="n">
        <v>-523.05</v>
      </c>
    </row>
    <row r="2629">
      <c r="A2629" t="n">
        <v>91528</v>
      </c>
      <c r="B2629" t="n">
        <v>115</v>
      </c>
      <c r="C2629" t="inlineStr">
        <is>
          <t>Love - Shibari - Bradesco</t>
        </is>
      </c>
      <c r="D2629" t="n">
        <v>128</v>
      </c>
      <c r="E2629" t="inlineStr">
        <is>
          <t>Love Cabaret</t>
        </is>
      </c>
      <c r="F2629" s="27" t="n">
        <v>45775.5</v>
      </c>
      <c r="G2629" t="inlineStr">
        <is>
          <t>DEBITO</t>
        </is>
      </c>
      <c r="H2629" t="inlineStr">
        <is>
          <t>PAGTO ELETRON  COBRANCA NF 13563</t>
        </is>
      </c>
      <c r="I2629" t="n">
        <v>-417.15</v>
      </c>
    </row>
    <row r="2630">
      <c r="A2630" t="n">
        <v>91530</v>
      </c>
      <c r="B2630" t="n">
        <v>115</v>
      </c>
      <c r="C2630" t="inlineStr">
        <is>
          <t>Love - Shibari - Bradesco</t>
        </is>
      </c>
      <c r="D2630" t="n">
        <v>128</v>
      </c>
      <c r="E2630" t="inlineStr">
        <is>
          <t>Love Cabaret</t>
        </is>
      </c>
      <c r="F2630" s="27" t="n">
        <v>45775.5</v>
      </c>
      <c r="G2630" t="inlineStr">
        <is>
          <t>DEBITO</t>
        </is>
      </c>
      <c r="H2630" t="inlineStr">
        <is>
          <t>PAGTO ELETRON  COBRANCA NF 35519</t>
        </is>
      </c>
      <c r="I2630" t="n">
        <v>-326.75</v>
      </c>
    </row>
    <row r="2631">
      <c r="A2631" t="n">
        <v>91517</v>
      </c>
      <c r="B2631" t="n">
        <v>115</v>
      </c>
      <c r="C2631" t="inlineStr">
        <is>
          <t>Love - Shibari - Bradesco</t>
        </is>
      </c>
      <c r="D2631" t="n">
        <v>128</v>
      </c>
      <c r="E2631" t="inlineStr">
        <is>
          <t>Love Cabaret</t>
        </is>
      </c>
      <c r="F2631" s="27" t="n">
        <v>45775.5</v>
      </c>
      <c r="G2631" t="inlineStr">
        <is>
          <t>CREDITO</t>
        </is>
      </c>
      <c r="H2631" t="inlineStr">
        <is>
          <t>TRANSFERENCIA PIX REM: SHIBARI ART E DIVERSA 28/04</t>
        </is>
      </c>
      <c r="I2631" t="n">
        <v>51707.91</v>
      </c>
    </row>
    <row r="2632">
      <c r="A2632" t="n">
        <v>91531</v>
      </c>
      <c r="B2632" t="n">
        <v>115</v>
      </c>
      <c r="C2632" t="inlineStr">
        <is>
          <t>Love - Shibari - Bradesco</t>
        </is>
      </c>
      <c r="D2632" t="n">
        <v>128</v>
      </c>
      <c r="E2632" t="inlineStr">
        <is>
          <t>Love Cabaret</t>
        </is>
      </c>
      <c r="F2632" s="27" t="n">
        <v>45775.5</v>
      </c>
      <c r="G2632" t="inlineStr">
        <is>
          <t>DEBITO</t>
        </is>
      </c>
      <c r="H2632" t="inlineStr">
        <is>
          <t>PAGTO ELETRON  COBRANCA NF 147509</t>
        </is>
      </c>
      <c r="I2632" t="n">
        <v>-301.6</v>
      </c>
    </row>
    <row r="2633">
      <c r="A2633" t="n">
        <v>91532</v>
      </c>
      <c r="B2633" t="n">
        <v>115</v>
      </c>
      <c r="C2633" t="inlineStr">
        <is>
          <t>Love - Shibari - Bradesco</t>
        </is>
      </c>
      <c r="D2633" t="n">
        <v>128</v>
      </c>
      <c r="E2633" t="inlineStr">
        <is>
          <t>Love Cabaret</t>
        </is>
      </c>
      <c r="F2633" s="27" t="n">
        <v>45775.5</v>
      </c>
      <c r="G2633" t="inlineStr">
        <is>
          <t>DEBITO</t>
        </is>
      </c>
      <c r="H2633" t="inlineStr">
        <is>
          <t>PAGTO ELETRON  COBRANCA NF 573830</t>
        </is>
      </c>
      <c r="I2633" t="n">
        <v>-216.6</v>
      </c>
    </row>
    <row r="2634">
      <c r="A2634" t="n">
        <v>91533</v>
      </c>
      <c r="B2634" t="n">
        <v>115</v>
      </c>
      <c r="C2634" t="inlineStr">
        <is>
          <t>Love - Shibari - Bradesco</t>
        </is>
      </c>
      <c r="D2634" t="n">
        <v>128</v>
      </c>
      <c r="E2634" t="inlineStr">
        <is>
          <t>Love Cabaret</t>
        </is>
      </c>
      <c r="F2634" s="27" t="n">
        <v>45775.5</v>
      </c>
      <c r="G2634" t="inlineStr">
        <is>
          <t>DEBITO</t>
        </is>
      </c>
      <c r="H2634" t="inlineStr">
        <is>
          <t>PAGTO ELETRON  COBRANCA NF 10507</t>
        </is>
      </c>
      <c r="I2634" t="n">
        <v>-211.55</v>
      </c>
    </row>
    <row r="2635">
      <c r="A2635" t="n">
        <v>91534</v>
      </c>
      <c r="B2635" t="n">
        <v>115</v>
      </c>
      <c r="C2635" t="inlineStr">
        <is>
          <t>Love - Shibari - Bradesco</t>
        </is>
      </c>
      <c r="D2635" t="n">
        <v>128</v>
      </c>
      <c r="E2635" t="inlineStr">
        <is>
          <t>Love Cabaret</t>
        </is>
      </c>
      <c r="F2635" s="27" t="n">
        <v>45775.5</v>
      </c>
      <c r="G2635" t="inlineStr">
        <is>
          <t>DEBITO</t>
        </is>
      </c>
      <c r="H2635" t="inlineStr">
        <is>
          <t>PAGTO ELETRON  COBRANCA NF 1433</t>
        </is>
      </c>
      <c r="I2635" t="n">
        <v>-176</v>
      </c>
    </row>
    <row r="2636">
      <c r="A2636" t="n">
        <v>91535</v>
      </c>
      <c r="B2636" t="n">
        <v>115</v>
      </c>
      <c r="C2636" t="inlineStr">
        <is>
          <t>Love - Shibari - Bradesco</t>
        </is>
      </c>
      <c r="D2636" t="n">
        <v>128</v>
      </c>
      <c r="E2636" t="inlineStr">
        <is>
          <t>Love Cabaret</t>
        </is>
      </c>
      <c r="F2636" s="27" t="n">
        <v>45775.5</v>
      </c>
      <c r="G2636" t="inlineStr">
        <is>
          <t>DEBITO</t>
        </is>
      </c>
      <c r="H2636" t="inlineStr">
        <is>
          <t>PAGTO ELETRON  COBRANCA NF 369286</t>
        </is>
      </c>
      <c r="I2636" t="n">
        <v>-157.95</v>
      </c>
    </row>
    <row r="2637">
      <c r="A2637" t="n">
        <v>91536</v>
      </c>
      <c r="B2637" t="n">
        <v>115</v>
      </c>
      <c r="C2637" t="inlineStr">
        <is>
          <t>Love - Shibari - Bradesco</t>
        </is>
      </c>
      <c r="D2637" t="n">
        <v>128</v>
      </c>
      <c r="E2637" t="inlineStr">
        <is>
          <t>Love Cabaret</t>
        </is>
      </c>
      <c r="F2637" s="27" t="n">
        <v>45775.5</v>
      </c>
      <c r="G2637" t="inlineStr">
        <is>
          <t>DEBITO</t>
        </is>
      </c>
      <c r="H2637" t="inlineStr">
        <is>
          <t>PAGTO ELETRON  COBRANCA NF 36832</t>
        </is>
      </c>
      <c r="I2637" t="n">
        <v>-147</v>
      </c>
    </row>
    <row r="2638">
      <c r="A2638" t="n">
        <v>91537</v>
      </c>
      <c r="B2638" t="n">
        <v>115</v>
      </c>
      <c r="C2638" t="inlineStr">
        <is>
          <t>Love - Shibari - Bradesco</t>
        </is>
      </c>
      <c r="D2638" t="n">
        <v>128</v>
      </c>
      <c r="E2638" t="inlineStr">
        <is>
          <t>Love Cabaret</t>
        </is>
      </c>
      <c r="F2638" s="27" t="n">
        <v>45775.5</v>
      </c>
      <c r="G2638" t="inlineStr">
        <is>
          <t>DEBITO</t>
        </is>
      </c>
      <c r="H2638" t="inlineStr">
        <is>
          <t>PAGTO ELETRON  COBRANCA NF 19941</t>
        </is>
      </c>
      <c r="I2638" t="n">
        <v>-28.25</v>
      </c>
    </row>
    <row r="2639">
      <c r="A2639" t="n">
        <v>91539</v>
      </c>
      <c r="B2639" t="n">
        <v>115</v>
      </c>
      <c r="C2639" t="inlineStr">
        <is>
          <t>Love - Shibari - Bradesco</t>
        </is>
      </c>
      <c r="D2639" t="n">
        <v>128</v>
      </c>
      <c r="E2639" t="inlineStr">
        <is>
          <t>Love Cabaret</t>
        </is>
      </c>
      <c r="F2639" s="27" t="n">
        <v>45775.5</v>
      </c>
      <c r="G2639" t="inlineStr">
        <is>
          <t>DEBITO</t>
        </is>
      </c>
      <c r="H2639" t="inlineStr">
        <is>
          <t>TRANSFERENCIA PIX DES: PAULO CESAR MEDEIROS  28/04</t>
        </is>
      </c>
      <c r="I2639" t="n">
        <v>-2500</v>
      </c>
    </row>
    <row r="2640">
      <c r="A2640" t="n">
        <v>91509</v>
      </c>
      <c r="B2640" t="n">
        <v>115</v>
      </c>
      <c r="C2640" t="inlineStr">
        <is>
          <t>Love - Shibari - Bradesco</t>
        </is>
      </c>
      <c r="D2640" t="n">
        <v>128</v>
      </c>
      <c r="E2640" t="inlineStr">
        <is>
          <t>Love Cabaret</t>
        </is>
      </c>
      <c r="F2640" s="27" t="n">
        <v>45772.5</v>
      </c>
      <c r="G2640" t="inlineStr">
        <is>
          <t>CREDITO</t>
        </is>
      </c>
      <c r="H2640" t="inlineStr">
        <is>
          <t>TED-TRANSF ELET DISPON REMET.DIVERTI TICKETS COME</t>
        </is>
      </c>
      <c r="I2640" t="n">
        <v>11097.72</v>
      </c>
    </row>
    <row r="2641">
      <c r="A2641" t="n">
        <v>91508</v>
      </c>
      <c r="B2641" t="n">
        <v>115</v>
      </c>
      <c r="C2641" t="inlineStr">
        <is>
          <t>Love - Shibari - Bradesco</t>
        </is>
      </c>
      <c r="D2641" t="n">
        <v>128</v>
      </c>
      <c r="E2641" t="inlineStr">
        <is>
          <t>Love Cabaret</t>
        </is>
      </c>
      <c r="F2641" s="27" t="n">
        <v>45772.5</v>
      </c>
      <c r="G2641" t="inlineStr">
        <is>
          <t>CREDITO</t>
        </is>
      </c>
      <c r="H2641" t="inlineStr">
        <is>
          <t>TED-TRANSF ELET DISPON REMET.DIVERTI TICKETS COME</t>
        </is>
      </c>
      <c r="I2641" t="n">
        <v>15328.46</v>
      </c>
    </row>
    <row r="2642">
      <c r="A2642" t="n">
        <v>91510</v>
      </c>
      <c r="B2642" t="n">
        <v>115</v>
      </c>
      <c r="C2642" t="inlineStr">
        <is>
          <t>Love - Shibari - Bradesco</t>
        </is>
      </c>
      <c r="D2642" t="n">
        <v>128</v>
      </c>
      <c r="E2642" t="inlineStr">
        <is>
          <t>Love Cabaret</t>
        </is>
      </c>
      <c r="F2642" s="27" t="n">
        <v>45772.5</v>
      </c>
      <c r="G2642" t="inlineStr">
        <is>
          <t>CREDITO</t>
        </is>
      </c>
      <c r="H2642" t="inlineStr">
        <is>
          <t>TED-TRANSF ELET DISPON REMET.DIVERTI TICKETS COME</t>
        </is>
      </c>
      <c r="I2642" t="n">
        <v>9092.9</v>
      </c>
    </row>
    <row r="2643">
      <c r="A2643" t="n">
        <v>91511</v>
      </c>
      <c r="B2643" t="n">
        <v>115</v>
      </c>
      <c r="C2643" t="inlineStr">
        <is>
          <t>Love - Shibari - Bradesco</t>
        </is>
      </c>
      <c r="D2643" t="n">
        <v>128</v>
      </c>
      <c r="E2643" t="inlineStr">
        <is>
          <t>Love Cabaret</t>
        </is>
      </c>
      <c r="F2643" s="27" t="n">
        <v>45772.5</v>
      </c>
      <c r="G2643" t="inlineStr">
        <is>
          <t>DEBITO</t>
        </is>
      </c>
      <c r="H2643" t="inlineStr">
        <is>
          <t>TARIFA BANCARIA TRANSF PGTO PIX</t>
        </is>
      </c>
      <c r="I2643" t="n">
        <v>-1.65</v>
      </c>
    </row>
    <row r="2644">
      <c r="A2644" t="n">
        <v>91512</v>
      </c>
      <c r="B2644" t="n">
        <v>115</v>
      </c>
      <c r="C2644" t="inlineStr">
        <is>
          <t>Love - Shibari - Bradesco</t>
        </is>
      </c>
      <c r="D2644" t="n">
        <v>128</v>
      </c>
      <c r="E2644" t="inlineStr">
        <is>
          <t>Love Cabaret</t>
        </is>
      </c>
      <c r="F2644" s="27" t="n">
        <v>45772.5</v>
      </c>
      <c r="G2644" t="inlineStr">
        <is>
          <t>DEBITO</t>
        </is>
      </c>
      <c r="H2644" t="inlineStr">
        <is>
          <t>TARIFA BANCARIA TRANSF PGTO PIX</t>
        </is>
      </c>
      <c r="I2644" t="n">
        <v>-9</v>
      </c>
    </row>
    <row r="2645">
      <c r="A2645" t="n">
        <v>91513</v>
      </c>
      <c r="B2645" t="n">
        <v>115</v>
      </c>
      <c r="C2645" t="inlineStr">
        <is>
          <t>Love - Shibari - Bradesco</t>
        </is>
      </c>
      <c r="D2645" t="n">
        <v>128</v>
      </c>
      <c r="E2645" t="inlineStr">
        <is>
          <t>Love Cabaret</t>
        </is>
      </c>
      <c r="F2645" s="27" t="n">
        <v>45772.5</v>
      </c>
      <c r="G2645" t="inlineStr">
        <is>
          <t>DEBITO</t>
        </is>
      </c>
      <c r="H2645" t="inlineStr">
        <is>
          <t>TARIFA BANCARIA TRANSF PGTO PIX</t>
        </is>
      </c>
      <c r="I2645" t="n">
        <v>-9</v>
      </c>
    </row>
    <row r="2646">
      <c r="A2646" t="n">
        <v>91514</v>
      </c>
      <c r="B2646" t="n">
        <v>115</v>
      </c>
      <c r="C2646" t="inlineStr">
        <is>
          <t>Love - Shibari - Bradesco</t>
        </is>
      </c>
      <c r="D2646" t="n">
        <v>128</v>
      </c>
      <c r="E2646" t="inlineStr">
        <is>
          <t>Love Cabaret</t>
        </is>
      </c>
      <c r="F2646" s="27" t="n">
        <v>45772.5</v>
      </c>
      <c r="G2646" t="inlineStr">
        <is>
          <t>DEBITO</t>
        </is>
      </c>
      <c r="H2646" t="inlineStr">
        <is>
          <t>TARIFA BANCARIA TRANSF PGTO PIX</t>
        </is>
      </c>
      <c r="I2646" t="n">
        <v>-9</v>
      </c>
    </row>
    <row r="2647">
      <c r="A2647" t="n">
        <v>91515</v>
      </c>
      <c r="B2647" t="n">
        <v>115</v>
      </c>
      <c r="C2647" t="inlineStr">
        <is>
          <t>Love - Shibari - Bradesco</t>
        </is>
      </c>
      <c r="D2647" t="n">
        <v>128</v>
      </c>
      <c r="E2647" t="inlineStr">
        <is>
          <t>Love Cabaret</t>
        </is>
      </c>
      <c r="F2647" s="27" t="n">
        <v>45772.5</v>
      </c>
      <c r="G2647" t="inlineStr">
        <is>
          <t>DEBITO</t>
        </is>
      </c>
      <c r="H2647" t="inlineStr">
        <is>
          <t>PAGTO ELETRONICO TRIBUTO INTERNET --RECEITA FEDERAL/SP</t>
        </is>
      </c>
      <c r="I2647" t="n">
        <v>-1659.64</v>
      </c>
    </row>
    <row r="2648">
      <c r="A2648" t="n">
        <v>91516</v>
      </c>
      <c r="B2648" t="n">
        <v>115</v>
      </c>
      <c r="C2648" t="inlineStr">
        <is>
          <t>Love - Shibari - Bradesco</t>
        </is>
      </c>
      <c r="D2648" t="n">
        <v>128</v>
      </c>
      <c r="E2648" t="inlineStr">
        <is>
          <t>Love Cabaret</t>
        </is>
      </c>
      <c r="F2648" s="27" t="n">
        <v>45772.5</v>
      </c>
      <c r="G2648" t="inlineStr">
        <is>
          <t>DEBITO</t>
        </is>
      </c>
      <c r="H2648" t="inlineStr">
        <is>
          <t>PAGTO ELETRONICO TRIBUTO INTERNET --RECEITA FEDERAL/SP</t>
        </is>
      </c>
      <c r="I2648" t="n">
        <v>-7659.86</v>
      </c>
    </row>
    <row r="2649">
      <c r="A2649" t="n">
        <v>86551</v>
      </c>
      <c r="B2649" t="n">
        <v>115</v>
      </c>
      <c r="C2649" t="inlineStr">
        <is>
          <t>Love - Shibari - Bradesco</t>
        </is>
      </c>
      <c r="D2649" t="n">
        <v>128</v>
      </c>
      <c r="E2649" t="inlineStr">
        <is>
          <t>Love Cabaret</t>
        </is>
      </c>
      <c r="F2649" s="27" t="n">
        <v>45771.5</v>
      </c>
      <c r="G2649" t="inlineStr">
        <is>
          <t>DEBITO</t>
        </is>
      </c>
      <c r="H2649" t="inlineStr">
        <is>
          <t>TARIFA BANCARIA TRANSF PGTO PIX</t>
        </is>
      </c>
      <c r="I2649" t="n">
        <v>-1.65</v>
      </c>
    </row>
    <row r="2650">
      <c r="A2650" t="n">
        <v>86552</v>
      </c>
      <c r="B2650" t="n">
        <v>115</v>
      </c>
      <c r="C2650" t="inlineStr">
        <is>
          <t>Love - Shibari - Bradesco</t>
        </is>
      </c>
      <c r="D2650" t="n">
        <v>128</v>
      </c>
      <c r="E2650" t="inlineStr">
        <is>
          <t>Love Cabaret</t>
        </is>
      </c>
      <c r="F2650" s="27" t="n">
        <v>45771.5</v>
      </c>
      <c r="G2650" t="inlineStr">
        <is>
          <t>DEBITO</t>
        </is>
      </c>
      <c r="H2650" t="inlineStr">
        <is>
          <t>TARIFA BANCARIA TRANSF PGTO PIX</t>
        </is>
      </c>
      <c r="I2650" t="n">
        <v>-9</v>
      </c>
    </row>
    <row r="2651">
      <c r="A2651" t="n">
        <v>86532</v>
      </c>
      <c r="B2651" t="n">
        <v>115</v>
      </c>
      <c r="C2651" t="inlineStr">
        <is>
          <t>Love - Shibari - Bradesco</t>
        </is>
      </c>
      <c r="D2651" t="n">
        <v>128</v>
      </c>
      <c r="E2651" t="inlineStr">
        <is>
          <t>Love Cabaret</t>
        </is>
      </c>
      <c r="F2651" s="27" t="n">
        <v>45770.5</v>
      </c>
      <c r="G2651" t="inlineStr">
        <is>
          <t>CREDITO</t>
        </is>
      </c>
      <c r="H2651" t="inlineStr">
        <is>
          <t>TED-TRANSF ELET DISPON REMET.LOVE SUITES</t>
        </is>
      </c>
      <c r="I2651" t="n">
        <v>2953.14</v>
      </c>
    </row>
    <row r="2652">
      <c r="A2652" t="n">
        <v>86531</v>
      </c>
      <c r="B2652" t="n">
        <v>115</v>
      </c>
      <c r="C2652" t="inlineStr">
        <is>
          <t>Love - Shibari - Bradesco</t>
        </is>
      </c>
      <c r="D2652" t="n">
        <v>128</v>
      </c>
      <c r="E2652" t="inlineStr">
        <is>
          <t>Love Cabaret</t>
        </is>
      </c>
      <c r="F2652" s="27" t="n">
        <v>45770.5</v>
      </c>
      <c r="G2652" t="inlineStr">
        <is>
          <t>CREDITO</t>
        </is>
      </c>
      <c r="H2652" t="inlineStr">
        <is>
          <t>TED-TRANSF ELET DISPON REMET.LOVE SUITES</t>
        </is>
      </c>
      <c r="I2652" t="n">
        <v>1292.39</v>
      </c>
    </row>
    <row r="2653">
      <c r="A2653" t="n">
        <v>86550</v>
      </c>
      <c r="B2653" t="n">
        <v>115</v>
      </c>
      <c r="C2653" t="inlineStr">
        <is>
          <t>Love - Shibari - Bradesco</t>
        </is>
      </c>
      <c r="D2653" t="n">
        <v>128</v>
      </c>
      <c r="E2653" t="inlineStr">
        <is>
          <t>Love Cabaret</t>
        </is>
      </c>
      <c r="F2653" s="27" t="n">
        <v>45770.5</v>
      </c>
      <c r="G2653" t="inlineStr">
        <is>
          <t>DEBITO</t>
        </is>
      </c>
      <c r="H2653" t="inlineStr">
        <is>
          <t>TRANSFERENCIA PIX DES: FABRICA DE BARES SERV 23/04</t>
        </is>
      </c>
      <c r="I2653" t="n">
        <v>-100</v>
      </c>
    </row>
    <row r="2654">
      <c r="A2654" t="n">
        <v>86549</v>
      </c>
      <c r="B2654" t="n">
        <v>115</v>
      </c>
      <c r="C2654" t="inlineStr">
        <is>
          <t>Love - Shibari - Bradesco</t>
        </is>
      </c>
      <c r="D2654" t="n">
        <v>128</v>
      </c>
      <c r="E2654" t="inlineStr">
        <is>
          <t>Love Cabaret</t>
        </is>
      </c>
      <c r="F2654" s="27" t="n">
        <v>45770.5</v>
      </c>
      <c r="G2654" t="inlineStr">
        <is>
          <t>DEBITO</t>
        </is>
      </c>
      <c r="H2654" t="inlineStr">
        <is>
          <t>TRANSFERENCIA PIX DES: LUIZ ROBERTO MOREIRA  23/04</t>
        </is>
      </c>
      <c r="I2654" t="n">
        <v>-800</v>
      </c>
    </row>
    <row r="2655">
      <c r="A2655" t="n">
        <v>86548</v>
      </c>
      <c r="B2655" t="n">
        <v>115</v>
      </c>
      <c r="C2655" t="inlineStr">
        <is>
          <t>Love - Shibari - Bradesco</t>
        </is>
      </c>
      <c r="D2655" t="n">
        <v>128</v>
      </c>
      <c r="E2655" t="inlineStr">
        <is>
          <t>Love Cabaret</t>
        </is>
      </c>
      <c r="F2655" s="27" t="n">
        <v>45770.5</v>
      </c>
      <c r="G2655" t="inlineStr">
        <is>
          <t>DEBITO</t>
        </is>
      </c>
      <c r="H2655" t="inlineStr">
        <is>
          <t>TRANSFERENCIA PIX DES: 53 409 099 RENAN SANT 23/04</t>
        </is>
      </c>
      <c r="I2655" t="n">
        <v>-1300</v>
      </c>
    </row>
    <row r="2656">
      <c r="A2656" t="n">
        <v>86547</v>
      </c>
      <c r="B2656" t="n">
        <v>115</v>
      </c>
      <c r="C2656" t="inlineStr">
        <is>
          <t>Love - Shibari - Bradesco</t>
        </is>
      </c>
      <c r="D2656" t="n">
        <v>128</v>
      </c>
      <c r="E2656" t="inlineStr">
        <is>
          <t>Love Cabaret</t>
        </is>
      </c>
      <c r="F2656" s="27" t="n">
        <v>45770.5</v>
      </c>
      <c r="G2656" t="inlineStr">
        <is>
          <t>DEBITO</t>
        </is>
      </c>
      <c r="H2656" t="inlineStr">
        <is>
          <t>TRANSFERENCIA PIX DES: MACHINE SEGURANCA PAT 23/04</t>
        </is>
      </c>
      <c r="I2656" t="n">
        <v>-5700</v>
      </c>
    </row>
    <row r="2657">
      <c r="A2657" t="n">
        <v>86546</v>
      </c>
      <c r="B2657" t="n">
        <v>115</v>
      </c>
      <c r="C2657" t="inlineStr">
        <is>
          <t>Love - Shibari - Bradesco</t>
        </is>
      </c>
      <c r="D2657" t="n">
        <v>128</v>
      </c>
      <c r="E2657" t="inlineStr">
        <is>
          <t>Love Cabaret</t>
        </is>
      </c>
      <c r="F2657" s="27" t="n">
        <v>45770.5</v>
      </c>
      <c r="G2657" t="inlineStr">
        <is>
          <t>DEBITO</t>
        </is>
      </c>
      <c r="H2657" t="inlineStr">
        <is>
          <t>PAGTO ELETRON  COBRANCA 238311</t>
        </is>
      </c>
      <c r="I2657" t="n">
        <v>-644.26</v>
      </c>
    </row>
    <row r="2658">
      <c r="A2658" t="n">
        <v>86545</v>
      </c>
      <c r="B2658" t="n">
        <v>115</v>
      </c>
      <c r="C2658" t="inlineStr">
        <is>
          <t>Love - Shibari - Bradesco</t>
        </is>
      </c>
      <c r="D2658" t="n">
        <v>128</v>
      </c>
      <c r="E2658" t="inlineStr">
        <is>
          <t>Love Cabaret</t>
        </is>
      </c>
      <c r="F2658" s="27" t="n">
        <v>45770.5</v>
      </c>
      <c r="G2658" t="inlineStr">
        <is>
          <t>DEBITO</t>
        </is>
      </c>
      <c r="H2658" t="inlineStr">
        <is>
          <t>PAGTO ELETRON  COBRANCA 122934243</t>
        </is>
      </c>
      <c r="I2658" t="n">
        <v>-1530.38</v>
      </c>
    </row>
    <row r="2659">
      <c r="A2659" t="n">
        <v>86544</v>
      </c>
      <c r="B2659" t="n">
        <v>115</v>
      </c>
      <c r="C2659" t="inlineStr">
        <is>
          <t>Love - Shibari - Bradesco</t>
        </is>
      </c>
      <c r="D2659" t="n">
        <v>128</v>
      </c>
      <c r="E2659" t="inlineStr">
        <is>
          <t>Love Cabaret</t>
        </is>
      </c>
      <c r="F2659" s="27" t="n">
        <v>45770.5</v>
      </c>
      <c r="G2659" t="inlineStr">
        <is>
          <t>DEBITO</t>
        </is>
      </c>
      <c r="H2659" t="inlineStr">
        <is>
          <t>PAGTO ELETRON  COBRANCA 77157</t>
        </is>
      </c>
      <c r="I2659" t="n">
        <v>-28.92</v>
      </c>
    </row>
    <row r="2660">
      <c r="A2660" t="n">
        <v>86543</v>
      </c>
      <c r="B2660" t="n">
        <v>115</v>
      </c>
      <c r="C2660" t="inlineStr">
        <is>
          <t>Love - Shibari - Bradesco</t>
        </is>
      </c>
      <c r="D2660" t="n">
        <v>128</v>
      </c>
      <c r="E2660" t="inlineStr">
        <is>
          <t>Love Cabaret</t>
        </is>
      </c>
      <c r="F2660" s="27" t="n">
        <v>45770.5</v>
      </c>
      <c r="G2660" t="inlineStr">
        <is>
          <t>DEBITO</t>
        </is>
      </c>
      <c r="H2660" t="inlineStr">
        <is>
          <t>PAGTO ELETRON  COBRANCA 19802</t>
        </is>
      </c>
      <c r="I2660" t="n">
        <v>-88.25</v>
      </c>
    </row>
    <row r="2661">
      <c r="A2661" t="n">
        <v>86542</v>
      </c>
      <c r="B2661" t="n">
        <v>115</v>
      </c>
      <c r="C2661" t="inlineStr">
        <is>
          <t>Love - Shibari - Bradesco</t>
        </is>
      </c>
      <c r="D2661" t="n">
        <v>128</v>
      </c>
      <c r="E2661" t="inlineStr">
        <is>
          <t>Love Cabaret</t>
        </is>
      </c>
      <c r="F2661" s="27" t="n">
        <v>45770.5</v>
      </c>
      <c r="G2661" t="inlineStr">
        <is>
          <t>DEBITO</t>
        </is>
      </c>
      <c r="H2661" t="inlineStr">
        <is>
          <t>PAGTO ELETRON  COBRANCA 9653</t>
        </is>
      </c>
      <c r="I2661" t="n">
        <v>-163.7</v>
      </c>
    </row>
    <row r="2662">
      <c r="A2662" t="n">
        <v>86541</v>
      </c>
      <c r="B2662" t="n">
        <v>115</v>
      </c>
      <c r="C2662" t="inlineStr">
        <is>
          <t>Love - Shibari - Bradesco</t>
        </is>
      </c>
      <c r="D2662" t="n">
        <v>128</v>
      </c>
      <c r="E2662" t="inlineStr">
        <is>
          <t>Love Cabaret</t>
        </is>
      </c>
      <c r="F2662" s="27" t="n">
        <v>45770.5</v>
      </c>
      <c r="G2662" t="inlineStr">
        <is>
          <t>DEBITO</t>
        </is>
      </c>
      <c r="H2662" t="inlineStr">
        <is>
          <t>PAGTO ELETRON  COBRANCA 445129</t>
        </is>
      </c>
      <c r="I2662" t="n">
        <v>-355.13</v>
      </c>
    </row>
    <row r="2663">
      <c r="A2663" t="n">
        <v>86540</v>
      </c>
      <c r="B2663" t="n">
        <v>115</v>
      </c>
      <c r="C2663" t="inlineStr">
        <is>
          <t>Love - Shibari - Bradesco</t>
        </is>
      </c>
      <c r="D2663" t="n">
        <v>128</v>
      </c>
      <c r="E2663" t="inlineStr">
        <is>
          <t>Love Cabaret</t>
        </is>
      </c>
      <c r="F2663" s="27" t="n">
        <v>45770.5</v>
      </c>
      <c r="G2663" t="inlineStr">
        <is>
          <t>DEBITO</t>
        </is>
      </c>
      <c r="H2663" t="inlineStr">
        <is>
          <t>PAGTO ELETRON  COBRANCA 445156</t>
        </is>
      </c>
      <c r="I2663" t="n">
        <v>-439.9</v>
      </c>
    </row>
    <row r="2664">
      <c r="A2664" t="n">
        <v>86539</v>
      </c>
      <c r="B2664" t="n">
        <v>115</v>
      </c>
      <c r="C2664" t="inlineStr">
        <is>
          <t>Love - Shibari - Bradesco</t>
        </is>
      </c>
      <c r="D2664" t="n">
        <v>128</v>
      </c>
      <c r="E2664" t="inlineStr">
        <is>
          <t>Love Cabaret</t>
        </is>
      </c>
      <c r="F2664" s="27" t="n">
        <v>45770.5</v>
      </c>
      <c r="G2664" t="inlineStr">
        <is>
          <t>DEBITO</t>
        </is>
      </c>
      <c r="H2664" t="inlineStr">
        <is>
          <t>PAGTO ELETRON  COBRANCA 26257</t>
        </is>
      </c>
      <c r="I2664" t="n">
        <v>-513.86</v>
      </c>
    </row>
    <row r="2665">
      <c r="A2665" t="n">
        <v>86538</v>
      </c>
      <c r="B2665" t="n">
        <v>115</v>
      </c>
      <c r="C2665" t="inlineStr">
        <is>
          <t>Love - Shibari - Bradesco</t>
        </is>
      </c>
      <c r="D2665" t="n">
        <v>128</v>
      </c>
      <c r="E2665" t="inlineStr">
        <is>
          <t>Love Cabaret</t>
        </is>
      </c>
      <c r="F2665" s="27" t="n">
        <v>45770.5</v>
      </c>
      <c r="G2665" t="inlineStr">
        <is>
          <t>DEBITO</t>
        </is>
      </c>
      <c r="H2665" t="inlineStr">
        <is>
          <t>PAGTO ELETRON  COBRANCA 77694</t>
        </is>
      </c>
      <c r="I2665" t="n">
        <v>-589</v>
      </c>
    </row>
    <row r="2666">
      <c r="A2666" t="n">
        <v>86537</v>
      </c>
      <c r="B2666" t="n">
        <v>115</v>
      </c>
      <c r="C2666" t="inlineStr">
        <is>
          <t>Love - Shibari - Bradesco</t>
        </is>
      </c>
      <c r="D2666" t="n">
        <v>128</v>
      </c>
      <c r="E2666" t="inlineStr">
        <is>
          <t>Love Cabaret</t>
        </is>
      </c>
      <c r="F2666" s="27" t="n">
        <v>45770.5</v>
      </c>
      <c r="G2666" t="inlineStr">
        <is>
          <t>DEBITO</t>
        </is>
      </c>
      <c r="H2666" t="inlineStr">
        <is>
          <t>PAGTO ELETRON  COBRANCA 1407</t>
        </is>
      </c>
      <c r="I2666" t="n">
        <v>-680</v>
      </c>
    </row>
    <row r="2667">
      <c r="A2667" t="n">
        <v>86536</v>
      </c>
      <c r="B2667" t="n">
        <v>115</v>
      </c>
      <c r="C2667" t="inlineStr">
        <is>
          <t>Love - Shibari - Bradesco</t>
        </is>
      </c>
      <c r="D2667" t="n">
        <v>128</v>
      </c>
      <c r="E2667" t="inlineStr">
        <is>
          <t>Love Cabaret</t>
        </is>
      </c>
      <c r="F2667" s="27" t="n">
        <v>45770.5</v>
      </c>
      <c r="G2667" t="inlineStr">
        <is>
          <t>DEBITO</t>
        </is>
      </c>
      <c r="H2667" t="inlineStr">
        <is>
          <t>PAGTO ELETRON  COBRANCA 2431</t>
        </is>
      </c>
      <c r="I2667" t="n">
        <v>-1200</v>
      </c>
    </row>
    <row r="2668">
      <c r="A2668" t="n">
        <v>86535</v>
      </c>
      <c r="B2668" t="n">
        <v>115</v>
      </c>
      <c r="C2668" t="inlineStr">
        <is>
          <t>Love - Shibari - Bradesco</t>
        </is>
      </c>
      <c r="D2668" t="n">
        <v>128</v>
      </c>
      <c r="E2668" t="inlineStr">
        <is>
          <t>Love Cabaret</t>
        </is>
      </c>
      <c r="F2668" s="27" t="n">
        <v>45770.5</v>
      </c>
      <c r="G2668" t="inlineStr">
        <is>
          <t>DEBITO</t>
        </is>
      </c>
      <c r="H2668" t="inlineStr">
        <is>
          <t>PAGTO ELETRON  COBRANCA 20511</t>
        </is>
      </c>
      <c r="I2668" t="n">
        <v>-1824</v>
      </c>
    </row>
    <row r="2669">
      <c r="A2669" t="n">
        <v>86534</v>
      </c>
      <c r="B2669" t="n">
        <v>115</v>
      </c>
      <c r="C2669" t="inlineStr">
        <is>
          <t>Love - Shibari - Bradesco</t>
        </is>
      </c>
      <c r="D2669" t="n">
        <v>128</v>
      </c>
      <c r="E2669" t="inlineStr">
        <is>
          <t>Love Cabaret</t>
        </is>
      </c>
      <c r="F2669" s="27" t="n">
        <v>45770.5</v>
      </c>
      <c r="G2669" t="inlineStr">
        <is>
          <t>DEBITO</t>
        </is>
      </c>
      <c r="H2669" t="inlineStr">
        <is>
          <t>PAGTO ELETRON  COBRANCA 552710651</t>
        </is>
      </c>
      <c r="I2669" t="n">
        <v>-12903</v>
      </c>
    </row>
    <row r="2670">
      <c r="A2670" t="n">
        <v>86533</v>
      </c>
      <c r="B2670" t="n">
        <v>115</v>
      </c>
      <c r="C2670" t="inlineStr">
        <is>
          <t>Love - Shibari - Bradesco</t>
        </is>
      </c>
      <c r="D2670" t="n">
        <v>128</v>
      </c>
      <c r="E2670" t="inlineStr">
        <is>
          <t>Love Cabaret</t>
        </is>
      </c>
      <c r="F2670" s="27" t="n">
        <v>45770.5</v>
      </c>
      <c r="G2670" t="inlineStr">
        <is>
          <t>CREDITO</t>
        </is>
      </c>
      <c r="H2670" t="inlineStr">
        <is>
          <t>DEP DINHEIRO ATM AG00117MAQ061059SEQ04026</t>
        </is>
      </c>
      <c r="I2670" t="n">
        <v>914</v>
      </c>
    </row>
    <row r="2671">
      <c r="A2671" t="n">
        <v>86530</v>
      </c>
      <c r="B2671" t="n">
        <v>115</v>
      </c>
      <c r="C2671" t="inlineStr">
        <is>
          <t>Love - Shibari - Bradesco</t>
        </is>
      </c>
      <c r="D2671" t="n">
        <v>128</v>
      </c>
      <c r="E2671" t="inlineStr">
        <is>
          <t>Love Cabaret</t>
        </is>
      </c>
      <c r="F2671" s="27" t="n">
        <v>45770.5</v>
      </c>
      <c r="G2671" t="inlineStr">
        <is>
          <t>CREDITO</t>
        </is>
      </c>
      <c r="H2671" t="inlineStr">
        <is>
          <t>TED-TRANSF ELET DISPON REMET.LOVE SUITES</t>
        </is>
      </c>
      <c r="I2671" t="n">
        <v>31634.64</v>
      </c>
    </row>
    <row r="2672">
      <c r="A2672" t="n">
        <v>86509</v>
      </c>
      <c r="B2672" t="n">
        <v>115</v>
      </c>
      <c r="C2672" t="inlineStr">
        <is>
          <t>Love - Shibari - Bradesco</t>
        </is>
      </c>
      <c r="D2672" t="n">
        <v>128</v>
      </c>
      <c r="E2672" t="inlineStr">
        <is>
          <t>Love Cabaret</t>
        </is>
      </c>
      <c r="F2672" s="27" t="n">
        <v>45769.5</v>
      </c>
      <c r="G2672" t="inlineStr">
        <is>
          <t>DEBITO</t>
        </is>
      </c>
      <c r="H2672" t="inlineStr">
        <is>
          <t>PAGTO ELETRON  COBRANCA NF 91890</t>
        </is>
      </c>
      <c r="I2672" t="n">
        <v>-407.04</v>
      </c>
    </row>
    <row r="2673">
      <c r="A2673" t="n">
        <v>86522</v>
      </c>
      <c r="B2673" t="n">
        <v>115</v>
      </c>
      <c r="C2673" t="inlineStr">
        <is>
          <t>Love - Shibari - Bradesco</t>
        </is>
      </c>
      <c r="D2673" t="n">
        <v>128</v>
      </c>
      <c r="E2673" t="inlineStr">
        <is>
          <t>Love Cabaret</t>
        </is>
      </c>
      <c r="F2673" s="27" t="n">
        <v>45769.5</v>
      </c>
      <c r="G2673" t="inlineStr">
        <is>
          <t>DEBITO</t>
        </is>
      </c>
      <c r="H2673" t="inlineStr">
        <is>
          <t>PAGTO ELETRON  COBRANCA NF 19770</t>
        </is>
      </c>
      <c r="I2673" t="n">
        <v>-30.25</v>
      </c>
    </row>
    <row r="2674">
      <c r="A2674" t="n">
        <v>86514</v>
      </c>
      <c r="B2674" t="n">
        <v>115</v>
      </c>
      <c r="C2674" t="inlineStr">
        <is>
          <t>Love - Shibari - Bradesco</t>
        </is>
      </c>
      <c r="D2674" t="n">
        <v>128</v>
      </c>
      <c r="E2674" t="inlineStr">
        <is>
          <t>Love Cabaret</t>
        </is>
      </c>
      <c r="F2674" s="27" t="n">
        <v>45769.5</v>
      </c>
      <c r="G2674" t="inlineStr">
        <is>
          <t>DEBITO</t>
        </is>
      </c>
      <c r="H2674" t="inlineStr">
        <is>
          <t>PAGTO ELETRON  COBRANCA NF 104752</t>
        </is>
      </c>
      <c r="I2674" t="n">
        <v>-274.08</v>
      </c>
    </row>
    <row r="2675">
      <c r="A2675" t="n">
        <v>86515</v>
      </c>
      <c r="B2675" t="n">
        <v>115</v>
      </c>
      <c r="C2675" t="inlineStr">
        <is>
          <t>Love - Shibari - Bradesco</t>
        </is>
      </c>
      <c r="D2675" t="n">
        <v>128</v>
      </c>
      <c r="E2675" t="inlineStr">
        <is>
          <t>Love Cabaret</t>
        </is>
      </c>
      <c r="F2675" s="27" t="n">
        <v>45769.5</v>
      </c>
      <c r="G2675" t="inlineStr">
        <is>
          <t>DEBITO</t>
        </is>
      </c>
      <c r="H2675" t="inlineStr">
        <is>
          <t>PAGTO ELETRON  COBRANCA NF 368823</t>
        </is>
      </c>
      <c r="I2675" t="n">
        <v>-266.9</v>
      </c>
    </row>
    <row r="2676">
      <c r="A2676" t="n">
        <v>86516</v>
      </c>
      <c r="B2676" t="n">
        <v>115</v>
      </c>
      <c r="C2676" t="inlineStr">
        <is>
          <t>Love - Shibari - Bradesco</t>
        </is>
      </c>
      <c r="D2676" t="n">
        <v>128</v>
      </c>
      <c r="E2676" t="inlineStr">
        <is>
          <t>Love Cabaret</t>
        </is>
      </c>
      <c r="F2676" s="27" t="n">
        <v>45769.5</v>
      </c>
      <c r="G2676" t="inlineStr">
        <is>
          <t>DEBITO</t>
        </is>
      </c>
      <c r="H2676" t="inlineStr">
        <is>
          <t>PAGTO ELETRON  COBRANCA NF 230990</t>
        </is>
      </c>
      <c r="I2676" t="n">
        <v>-213.82</v>
      </c>
    </row>
    <row r="2677">
      <c r="A2677" t="n">
        <v>86517</v>
      </c>
      <c r="B2677" t="n">
        <v>115</v>
      </c>
      <c r="C2677" t="inlineStr">
        <is>
          <t>Love - Shibari - Bradesco</t>
        </is>
      </c>
      <c r="D2677" t="n">
        <v>128</v>
      </c>
      <c r="E2677" t="inlineStr">
        <is>
          <t>Love Cabaret</t>
        </is>
      </c>
      <c r="F2677" s="27" t="n">
        <v>45769.5</v>
      </c>
      <c r="G2677" t="inlineStr">
        <is>
          <t>DEBITO</t>
        </is>
      </c>
      <c r="H2677" t="inlineStr">
        <is>
          <t>PAGTO ELETRON  COBRANCA NF 27843</t>
        </is>
      </c>
      <c r="I2677" t="n">
        <v>-198</v>
      </c>
    </row>
    <row r="2678">
      <c r="A2678" t="n">
        <v>86518</v>
      </c>
      <c r="B2678" t="n">
        <v>115</v>
      </c>
      <c r="C2678" t="inlineStr">
        <is>
          <t>Love - Shibari - Bradesco</t>
        </is>
      </c>
      <c r="D2678" t="n">
        <v>128</v>
      </c>
      <c r="E2678" t="inlineStr">
        <is>
          <t>Love Cabaret</t>
        </is>
      </c>
      <c r="F2678" s="27" t="n">
        <v>45769.5</v>
      </c>
      <c r="G2678" t="inlineStr">
        <is>
          <t>DEBITO</t>
        </is>
      </c>
      <c r="H2678" t="inlineStr">
        <is>
          <t>PAGTO ELETRON  COBRANCA NF 1509</t>
        </is>
      </c>
      <c r="I2678" t="n">
        <v>-195</v>
      </c>
    </row>
    <row r="2679">
      <c r="A2679" t="n">
        <v>86519</v>
      </c>
      <c r="B2679" t="n">
        <v>115</v>
      </c>
      <c r="C2679" t="inlineStr">
        <is>
          <t>Love - Shibari - Bradesco</t>
        </is>
      </c>
      <c r="D2679" t="n">
        <v>128</v>
      </c>
      <c r="E2679" t="inlineStr">
        <is>
          <t>Love Cabaret</t>
        </is>
      </c>
      <c r="F2679" s="27" t="n">
        <v>45769.5</v>
      </c>
      <c r="G2679" t="inlineStr">
        <is>
          <t>DEBITO</t>
        </is>
      </c>
      <c r="H2679" t="inlineStr">
        <is>
          <t>PAGTO ELETRON  COBRANCA NF 573311</t>
        </is>
      </c>
      <c r="I2679" t="n">
        <v>-163.15</v>
      </c>
    </row>
    <row r="2680">
      <c r="A2680" t="n">
        <v>86520</v>
      </c>
      <c r="B2680" t="n">
        <v>115</v>
      </c>
      <c r="C2680" t="inlineStr">
        <is>
          <t>Love - Shibari - Bradesco</t>
        </is>
      </c>
      <c r="D2680" t="n">
        <v>128</v>
      </c>
      <c r="E2680" t="inlineStr">
        <is>
          <t>Love Cabaret</t>
        </is>
      </c>
      <c r="F2680" s="27" t="n">
        <v>45769.5</v>
      </c>
      <c r="G2680" t="inlineStr">
        <is>
          <t>DEBITO</t>
        </is>
      </c>
      <c r="H2680" t="inlineStr">
        <is>
          <t>PAGTO ELETRON  COBRANCA NF 26211</t>
        </is>
      </c>
      <c r="I2680" t="n">
        <v>-161.85</v>
      </c>
    </row>
    <row r="2681">
      <c r="A2681" t="n">
        <v>86521</v>
      </c>
      <c r="B2681" t="n">
        <v>115</v>
      </c>
      <c r="C2681" t="inlineStr">
        <is>
          <t>Love - Shibari - Bradesco</t>
        </is>
      </c>
      <c r="D2681" t="n">
        <v>128</v>
      </c>
      <c r="E2681" t="inlineStr">
        <is>
          <t>Love Cabaret</t>
        </is>
      </c>
      <c r="F2681" s="27" t="n">
        <v>45769.5</v>
      </c>
      <c r="G2681" t="inlineStr">
        <is>
          <t>DEBITO</t>
        </is>
      </c>
      <c r="H2681" t="inlineStr">
        <is>
          <t>PAGTO ELETRON  COBRANCA NF 20689</t>
        </is>
      </c>
      <c r="I2681" t="n">
        <v>-147.78</v>
      </c>
    </row>
    <row r="2682">
      <c r="A2682" t="n">
        <v>86513</v>
      </c>
      <c r="B2682" t="n">
        <v>115</v>
      </c>
      <c r="C2682" t="inlineStr">
        <is>
          <t>Love - Shibari - Bradesco</t>
        </is>
      </c>
      <c r="D2682" t="n">
        <v>128</v>
      </c>
      <c r="E2682" t="inlineStr">
        <is>
          <t>Love Cabaret</t>
        </is>
      </c>
      <c r="F2682" s="27" t="n">
        <v>45769.5</v>
      </c>
      <c r="G2682" t="inlineStr">
        <is>
          <t>DEBITO</t>
        </is>
      </c>
      <c r="H2682" t="inlineStr">
        <is>
          <t>PAGTO ELETRON  COBRANCA NF  92386</t>
        </is>
      </c>
      <c r="I2682" t="n">
        <v>-299.92</v>
      </c>
    </row>
    <row r="2683">
      <c r="A2683" t="n">
        <v>86523</v>
      </c>
      <c r="B2683" t="n">
        <v>115</v>
      </c>
      <c r="C2683" t="inlineStr">
        <is>
          <t>Love - Shibari - Bradesco</t>
        </is>
      </c>
      <c r="D2683" t="n">
        <v>128</v>
      </c>
      <c r="E2683" t="inlineStr">
        <is>
          <t>Love Cabaret</t>
        </is>
      </c>
      <c r="F2683" s="27" t="n">
        <v>45769.5</v>
      </c>
      <c r="G2683" t="inlineStr">
        <is>
          <t>DEBITO</t>
        </is>
      </c>
      <c r="H2683" t="inlineStr">
        <is>
          <t>PAGTO ELETRON  COBRANCA NF 27643</t>
        </is>
      </c>
      <c r="I2683" t="n">
        <v>-1862.84</v>
      </c>
    </row>
    <row r="2684">
      <c r="A2684" t="n">
        <v>86524</v>
      </c>
      <c r="B2684" t="n">
        <v>115</v>
      </c>
      <c r="C2684" t="inlineStr">
        <is>
          <t>Love - Shibari - Bradesco</t>
        </is>
      </c>
      <c r="D2684" t="n">
        <v>128</v>
      </c>
      <c r="E2684" t="inlineStr">
        <is>
          <t>Love Cabaret</t>
        </is>
      </c>
      <c r="F2684" s="27" t="n">
        <v>45769.5</v>
      </c>
      <c r="G2684" t="inlineStr">
        <is>
          <t>DEBITO</t>
        </is>
      </c>
      <c r="H2684" t="inlineStr">
        <is>
          <t>TARIFA BANCARIA TRANSF PGTO PIX</t>
        </is>
      </c>
      <c r="I2684" t="n">
        <v>-5.95</v>
      </c>
    </row>
    <row r="2685">
      <c r="A2685" t="n">
        <v>86525</v>
      </c>
      <c r="B2685" t="n">
        <v>115</v>
      </c>
      <c r="C2685" t="inlineStr">
        <is>
          <t>Love - Shibari - Bradesco</t>
        </is>
      </c>
      <c r="D2685" t="n">
        <v>128</v>
      </c>
      <c r="E2685" t="inlineStr">
        <is>
          <t>Love Cabaret</t>
        </is>
      </c>
      <c r="F2685" s="27" t="n">
        <v>45769.5</v>
      </c>
      <c r="G2685" t="inlineStr">
        <is>
          <t>DEBITO</t>
        </is>
      </c>
      <c r="H2685" t="inlineStr">
        <is>
          <t>TARIFA BANCARIA TRANSF PGTO PIX</t>
        </is>
      </c>
      <c r="I2685" t="n">
        <v>-7.84</v>
      </c>
    </row>
    <row r="2686">
      <c r="A2686" t="n">
        <v>86526</v>
      </c>
      <c r="B2686" t="n">
        <v>115</v>
      </c>
      <c r="C2686" t="inlineStr">
        <is>
          <t>Love - Shibari - Bradesco</t>
        </is>
      </c>
      <c r="D2686" t="n">
        <v>128</v>
      </c>
      <c r="E2686" t="inlineStr">
        <is>
          <t>Love Cabaret</t>
        </is>
      </c>
      <c r="F2686" s="27" t="n">
        <v>45769.5</v>
      </c>
      <c r="G2686" t="inlineStr">
        <is>
          <t>DEBITO</t>
        </is>
      </c>
      <c r="H2686" t="inlineStr">
        <is>
          <t>TARIFA BANCARIA TRANSF PGTO PIX</t>
        </is>
      </c>
      <c r="I2686" t="n">
        <v>-8.82</v>
      </c>
    </row>
    <row r="2687">
      <c r="A2687" t="n">
        <v>86527</v>
      </c>
      <c r="B2687" t="n">
        <v>115</v>
      </c>
      <c r="C2687" t="inlineStr">
        <is>
          <t>Love - Shibari - Bradesco</t>
        </is>
      </c>
      <c r="D2687" t="n">
        <v>128</v>
      </c>
      <c r="E2687" t="inlineStr">
        <is>
          <t>Love Cabaret</t>
        </is>
      </c>
      <c r="F2687" s="27" t="n">
        <v>45769.5</v>
      </c>
      <c r="G2687" t="inlineStr">
        <is>
          <t>DEBITO</t>
        </is>
      </c>
      <c r="H2687" t="inlineStr">
        <is>
          <t>TARIFA BANCARIA TRANSF PGTO PIX</t>
        </is>
      </c>
      <c r="I2687" t="n">
        <v>-9</v>
      </c>
    </row>
    <row r="2688">
      <c r="A2688" t="n">
        <v>86528</v>
      </c>
      <c r="B2688" t="n">
        <v>115</v>
      </c>
      <c r="C2688" t="inlineStr">
        <is>
          <t>Love - Shibari - Bradesco</t>
        </is>
      </c>
      <c r="D2688" t="n">
        <v>128</v>
      </c>
      <c r="E2688" t="inlineStr">
        <is>
          <t>Love Cabaret</t>
        </is>
      </c>
      <c r="F2688" s="27" t="n">
        <v>45769.5</v>
      </c>
      <c r="G2688" t="inlineStr">
        <is>
          <t>DEBITO</t>
        </is>
      </c>
      <c r="H2688" t="inlineStr">
        <is>
          <t>TRANSFERENCIA PIX DES: FABRICA DE BARES SERV 22/04</t>
        </is>
      </c>
      <c r="I2688" t="n">
        <v>-15.19</v>
      </c>
    </row>
    <row r="2689">
      <c r="A2689" t="n">
        <v>86529</v>
      </c>
      <c r="B2689" t="n">
        <v>115</v>
      </c>
      <c r="C2689" t="inlineStr">
        <is>
          <t>Love - Shibari - Bradesco</t>
        </is>
      </c>
      <c r="D2689" t="n">
        <v>128</v>
      </c>
      <c r="E2689" t="inlineStr">
        <is>
          <t>Love Cabaret</t>
        </is>
      </c>
      <c r="F2689" s="27" t="n">
        <v>45769.5</v>
      </c>
      <c r="G2689" t="inlineStr">
        <is>
          <t>DEBITO</t>
        </is>
      </c>
      <c r="H2689" t="inlineStr">
        <is>
          <t>TRANSFERENCIA PIX DES: FACUNDO GUERRA RIVERO 22/04</t>
        </is>
      </c>
      <c r="I2689" t="n">
        <v>-2000</v>
      </c>
    </row>
    <row r="2690">
      <c r="A2690" t="n">
        <v>86505</v>
      </c>
      <c r="B2690" t="n">
        <v>115</v>
      </c>
      <c r="C2690" t="inlineStr">
        <is>
          <t>Love - Shibari - Bradesco</t>
        </is>
      </c>
      <c r="D2690" t="n">
        <v>128</v>
      </c>
      <c r="E2690" t="inlineStr">
        <is>
          <t>Love Cabaret</t>
        </is>
      </c>
      <c r="F2690" s="27" t="n">
        <v>45769.5</v>
      </c>
      <c r="G2690" t="inlineStr">
        <is>
          <t>DEBITO</t>
        </is>
      </c>
      <c r="H2690" t="inlineStr">
        <is>
          <t>PAGTO ELETRON  COBRANCA NF 135718</t>
        </is>
      </c>
      <c r="I2690" t="n">
        <v>-574.02</v>
      </c>
    </row>
    <row r="2691">
      <c r="A2691" t="n">
        <v>86497</v>
      </c>
      <c r="B2691" t="n">
        <v>115</v>
      </c>
      <c r="C2691" t="inlineStr">
        <is>
          <t>Love - Shibari - Bradesco</t>
        </is>
      </c>
      <c r="D2691" t="n">
        <v>128</v>
      </c>
      <c r="E2691" t="inlineStr">
        <is>
          <t>Love Cabaret</t>
        </is>
      </c>
      <c r="F2691" s="27" t="n">
        <v>45769.5</v>
      </c>
      <c r="G2691" t="inlineStr">
        <is>
          <t>DEBITO</t>
        </is>
      </c>
      <c r="H2691" t="inlineStr">
        <is>
          <t>PAGTO ELETRON  COBRANCA NF 13450</t>
        </is>
      </c>
      <c r="I2691" t="n">
        <v>-1389.4</v>
      </c>
    </row>
    <row r="2692">
      <c r="A2692" t="n">
        <v>86498</v>
      </c>
      <c r="B2692" t="n">
        <v>115</v>
      </c>
      <c r="C2692" t="inlineStr">
        <is>
          <t>Love - Shibari - Bradesco</t>
        </is>
      </c>
      <c r="D2692" t="n">
        <v>128</v>
      </c>
      <c r="E2692" t="inlineStr">
        <is>
          <t>Love Cabaret</t>
        </is>
      </c>
      <c r="F2692" s="27" t="n">
        <v>45769.5</v>
      </c>
      <c r="G2692" t="inlineStr">
        <is>
          <t>DEBITO</t>
        </is>
      </c>
      <c r="H2692" t="inlineStr">
        <is>
          <t>PAGTO ELETRON  COBRANCA NF 116179</t>
        </is>
      </c>
      <c r="I2692" t="n">
        <v>-1255.44</v>
      </c>
    </row>
    <row r="2693">
      <c r="A2693" t="n">
        <v>86499</v>
      </c>
      <c r="B2693" t="n">
        <v>115</v>
      </c>
      <c r="C2693" t="inlineStr">
        <is>
          <t>Love - Shibari - Bradesco</t>
        </is>
      </c>
      <c r="D2693" t="n">
        <v>128</v>
      </c>
      <c r="E2693" t="inlineStr">
        <is>
          <t>Love Cabaret</t>
        </is>
      </c>
      <c r="F2693" s="27" t="n">
        <v>45769.5</v>
      </c>
      <c r="G2693" t="inlineStr">
        <is>
          <t>DEBITO</t>
        </is>
      </c>
      <c r="H2693" t="inlineStr">
        <is>
          <t>PAGTO ELETRON  COBRANCA NF 1965</t>
        </is>
      </c>
      <c r="I2693" t="n">
        <v>-1092</v>
      </c>
    </row>
    <row r="2694">
      <c r="A2694" t="n">
        <v>86500</v>
      </c>
      <c r="B2694" t="n">
        <v>115</v>
      </c>
      <c r="C2694" t="inlineStr">
        <is>
          <t>Love - Shibari - Bradesco</t>
        </is>
      </c>
      <c r="D2694" t="n">
        <v>128</v>
      </c>
      <c r="E2694" t="inlineStr">
        <is>
          <t>Love Cabaret</t>
        </is>
      </c>
      <c r="F2694" s="27" t="n">
        <v>45769.5</v>
      </c>
      <c r="G2694" t="inlineStr">
        <is>
          <t>DEBITO</t>
        </is>
      </c>
      <c r="H2694" t="inlineStr">
        <is>
          <t>PAGTO ELETRON  COBRANCA NF 26986</t>
        </is>
      </c>
      <c r="I2694" t="n">
        <v>-1080.74</v>
      </c>
    </row>
    <row r="2695">
      <c r="A2695" t="n">
        <v>86501</v>
      </c>
      <c r="B2695" t="n">
        <v>115</v>
      </c>
      <c r="C2695" t="inlineStr">
        <is>
          <t>Love - Shibari - Bradesco</t>
        </is>
      </c>
      <c r="D2695" t="n">
        <v>128</v>
      </c>
      <c r="E2695" t="inlineStr">
        <is>
          <t>Love Cabaret</t>
        </is>
      </c>
      <c r="F2695" s="27" t="n">
        <v>45769.5</v>
      </c>
      <c r="G2695" t="inlineStr">
        <is>
          <t>DEBITO</t>
        </is>
      </c>
      <c r="H2695" t="inlineStr">
        <is>
          <t>PAGTO ELETRON  COBRANCA NF 13910</t>
        </is>
      </c>
      <c r="I2695" t="n">
        <v>-1078.8</v>
      </c>
    </row>
    <row r="2696">
      <c r="A2696" t="n">
        <v>86502</v>
      </c>
      <c r="B2696" t="n">
        <v>115</v>
      </c>
      <c r="C2696" t="inlineStr">
        <is>
          <t>Love - Shibari - Bradesco</t>
        </is>
      </c>
      <c r="D2696" t="n">
        <v>128</v>
      </c>
      <c r="E2696" t="inlineStr">
        <is>
          <t>Love Cabaret</t>
        </is>
      </c>
      <c r="F2696" s="27" t="n">
        <v>45769.5</v>
      </c>
      <c r="G2696" t="inlineStr">
        <is>
          <t>DEBITO</t>
        </is>
      </c>
      <c r="H2696" t="inlineStr">
        <is>
          <t>PAGTO ELETRON  COBRANCA NF 43899</t>
        </is>
      </c>
      <c r="I2696" t="n">
        <v>-1013.17</v>
      </c>
    </row>
    <row r="2697">
      <c r="A2697" t="n">
        <v>86503</v>
      </c>
      <c r="B2697" t="n">
        <v>115</v>
      </c>
      <c r="C2697" t="inlineStr">
        <is>
          <t>Love - Shibari - Bradesco</t>
        </is>
      </c>
      <c r="D2697" t="n">
        <v>128</v>
      </c>
      <c r="E2697" t="inlineStr">
        <is>
          <t>Love Cabaret</t>
        </is>
      </c>
      <c r="F2697" s="27" t="n">
        <v>45769.5</v>
      </c>
      <c r="G2697" t="inlineStr">
        <is>
          <t>DEBITO</t>
        </is>
      </c>
      <c r="H2697" t="inlineStr">
        <is>
          <t>PAGTO ELETRON  COBRANCA NF 244205</t>
        </is>
      </c>
      <c r="I2697" t="n">
        <v>-791.7</v>
      </c>
    </row>
    <row r="2698">
      <c r="A2698" t="n">
        <v>86504</v>
      </c>
      <c r="B2698" t="n">
        <v>115</v>
      </c>
      <c r="C2698" t="inlineStr">
        <is>
          <t>Love - Shibari - Bradesco</t>
        </is>
      </c>
      <c r="D2698" t="n">
        <v>128</v>
      </c>
      <c r="E2698" t="inlineStr">
        <is>
          <t>Love Cabaret</t>
        </is>
      </c>
      <c r="F2698" s="27" t="n">
        <v>45769.5</v>
      </c>
      <c r="G2698" t="inlineStr">
        <is>
          <t>DEBITO</t>
        </is>
      </c>
      <c r="H2698" t="inlineStr">
        <is>
          <t>PAGTO ELETRON  COBRANCA NF 23846</t>
        </is>
      </c>
      <c r="I2698" t="n">
        <v>-588</v>
      </c>
    </row>
    <row r="2699">
      <c r="A2699" t="n">
        <v>86506</v>
      </c>
      <c r="B2699" t="n">
        <v>115</v>
      </c>
      <c r="C2699" t="inlineStr">
        <is>
          <t>Love - Shibari - Bradesco</t>
        </is>
      </c>
      <c r="D2699" t="n">
        <v>128</v>
      </c>
      <c r="E2699" t="inlineStr">
        <is>
          <t>Love Cabaret</t>
        </is>
      </c>
      <c r="F2699" s="27" t="n">
        <v>45769.5</v>
      </c>
      <c r="G2699" t="inlineStr">
        <is>
          <t>DEBITO</t>
        </is>
      </c>
      <c r="H2699" t="inlineStr">
        <is>
          <t>PAGTO ELETRON  COBRANCA NF 399312</t>
        </is>
      </c>
      <c r="I2699" t="n">
        <v>-544.4</v>
      </c>
    </row>
    <row r="2700">
      <c r="A2700" t="n">
        <v>86507</v>
      </c>
      <c r="B2700" t="n">
        <v>115</v>
      </c>
      <c r="C2700" t="inlineStr">
        <is>
          <t>Love - Shibari - Bradesco</t>
        </is>
      </c>
      <c r="D2700" t="n">
        <v>128</v>
      </c>
      <c r="E2700" t="inlineStr">
        <is>
          <t>Love Cabaret</t>
        </is>
      </c>
      <c r="F2700" s="27" t="n">
        <v>45769.5</v>
      </c>
      <c r="G2700" t="inlineStr">
        <is>
          <t>DEBITO</t>
        </is>
      </c>
      <c r="H2700" t="inlineStr">
        <is>
          <t>PAGTO ELETRON  COBRANCA NF 306200</t>
        </is>
      </c>
      <c r="I2700" t="n">
        <v>-482.55</v>
      </c>
    </row>
    <row r="2701">
      <c r="A2701" t="n">
        <v>86508</v>
      </c>
      <c r="B2701" t="n">
        <v>115</v>
      </c>
      <c r="C2701" t="inlineStr">
        <is>
          <t>Love - Shibari - Bradesco</t>
        </is>
      </c>
      <c r="D2701" t="n">
        <v>128</v>
      </c>
      <c r="E2701" t="inlineStr">
        <is>
          <t>Love Cabaret</t>
        </is>
      </c>
      <c r="F2701" s="27" t="n">
        <v>45769.5</v>
      </c>
      <c r="G2701" t="inlineStr">
        <is>
          <t>DEBITO</t>
        </is>
      </c>
      <c r="H2701" t="inlineStr">
        <is>
          <t>PAGTO ELETRON  COBRANCA NF 591182</t>
        </is>
      </c>
      <c r="I2701" t="n">
        <v>-414.03</v>
      </c>
    </row>
    <row r="2702">
      <c r="A2702" t="n">
        <v>86510</v>
      </c>
      <c r="B2702" t="n">
        <v>115</v>
      </c>
      <c r="C2702" t="inlineStr">
        <is>
          <t>Love - Shibari - Bradesco</t>
        </is>
      </c>
      <c r="D2702" t="n">
        <v>128</v>
      </c>
      <c r="E2702" t="inlineStr">
        <is>
          <t>Love Cabaret</t>
        </is>
      </c>
      <c r="F2702" s="27" t="n">
        <v>45769.5</v>
      </c>
      <c r="G2702" t="inlineStr">
        <is>
          <t>DEBITO</t>
        </is>
      </c>
      <c r="H2702" t="inlineStr">
        <is>
          <t>PAGTO ELETRON  COBRANCA NF 84</t>
        </is>
      </c>
      <c r="I2702" t="n">
        <v>-360</v>
      </c>
    </row>
    <row r="2703">
      <c r="A2703" t="n">
        <v>86511</v>
      </c>
      <c r="B2703" t="n">
        <v>115</v>
      </c>
      <c r="C2703" t="inlineStr">
        <is>
          <t>Love - Shibari - Bradesco</t>
        </is>
      </c>
      <c r="D2703" t="n">
        <v>128</v>
      </c>
      <c r="E2703" t="inlineStr">
        <is>
          <t>Love Cabaret</t>
        </is>
      </c>
      <c r="F2703" s="27" t="n">
        <v>45769.5</v>
      </c>
      <c r="G2703" t="inlineStr">
        <is>
          <t>DEBITO</t>
        </is>
      </c>
      <c r="H2703" t="inlineStr">
        <is>
          <t>PAGTO ELETRON  COBRANCA NF 146830</t>
        </is>
      </c>
      <c r="I2703" t="n">
        <v>-316.25</v>
      </c>
    </row>
    <row r="2704">
      <c r="A2704" t="n">
        <v>86496</v>
      </c>
      <c r="B2704" t="n">
        <v>115</v>
      </c>
      <c r="C2704" t="inlineStr">
        <is>
          <t>Love - Shibari - Bradesco</t>
        </is>
      </c>
      <c r="D2704" t="n">
        <v>128</v>
      </c>
      <c r="E2704" t="inlineStr">
        <is>
          <t>Love Cabaret</t>
        </is>
      </c>
      <c r="F2704" s="27" t="n">
        <v>45769.5</v>
      </c>
      <c r="G2704" t="inlineStr">
        <is>
          <t>CREDITO</t>
        </is>
      </c>
      <c r="H2704" t="inlineStr">
        <is>
          <t>TRANSFERENCIA PIX REM: SHIBARI ART E DIVERSA 22/04</t>
        </is>
      </c>
      <c r="I2704" t="n">
        <v>78322.05</v>
      </c>
    </row>
    <row r="2705">
      <c r="A2705" t="n">
        <v>86512</v>
      </c>
      <c r="B2705" t="n">
        <v>115</v>
      </c>
      <c r="C2705" t="inlineStr">
        <is>
          <t>Love - Shibari - Bradesco</t>
        </is>
      </c>
      <c r="D2705" t="n">
        <v>128</v>
      </c>
      <c r="E2705" t="inlineStr">
        <is>
          <t>Love Cabaret</t>
        </is>
      </c>
      <c r="F2705" s="27" t="n">
        <v>45769.5</v>
      </c>
      <c r="G2705" t="inlineStr">
        <is>
          <t>DEBITO</t>
        </is>
      </c>
      <c r="H2705" t="inlineStr">
        <is>
          <t>PAGTO ELETRON  COBRANCA NF 44</t>
        </is>
      </c>
      <c r="I2705" t="n">
        <v>-300</v>
      </c>
    </row>
    <row r="2706">
      <c r="A2706" t="n">
        <v>86495</v>
      </c>
      <c r="B2706" t="n">
        <v>115</v>
      </c>
      <c r="C2706" t="inlineStr">
        <is>
          <t>Love - Shibari - Bradesco</t>
        </is>
      </c>
      <c r="D2706" t="n">
        <v>128</v>
      </c>
      <c r="E2706" t="inlineStr">
        <is>
          <t>Love Cabaret</t>
        </is>
      </c>
      <c r="F2706" s="27" t="n">
        <v>45764.5</v>
      </c>
      <c r="G2706" t="inlineStr">
        <is>
          <t>DEBITO</t>
        </is>
      </c>
      <c r="H2706" t="inlineStr">
        <is>
          <t>PAGTO ELETRON  COBRANCA NF 551677179</t>
        </is>
      </c>
      <c r="I2706" t="n">
        <v>-17010</v>
      </c>
    </row>
    <row r="2707">
      <c r="A2707" t="n">
        <v>86494</v>
      </c>
      <c r="B2707" t="n">
        <v>115</v>
      </c>
      <c r="C2707" t="inlineStr">
        <is>
          <t>Love - Shibari - Bradesco</t>
        </is>
      </c>
      <c r="D2707" t="n">
        <v>128</v>
      </c>
      <c r="E2707" t="inlineStr">
        <is>
          <t>Love Cabaret</t>
        </is>
      </c>
      <c r="F2707" s="27" t="n">
        <v>45764.5</v>
      </c>
      <c r="G2707" t="inlineStr">
        <is>
          <t>CREDITO</t>
        </is>
      </c>
      <c r="H2707" t="inlineStr">
        <is>
          <t>TED-TRANSF ELET DISPON REMET.DIVERTI TICKETS COME</t>
        </is>
      </c>
      <c r="I2707" t="n">
        <v>10927.64</v>
      </c>
    </row>
    <row r="2708">
      <c r="A2708" t="n">
        <v>86493</v>
      </c>
      <c r="B2708" t="n">
        <v>115</v>
      </c>
      <c r="C2708" t="inlineStr">
        <is>
          <t>Love - Shibari - Bradesco</t>
        </is>
      </c>
      <c r="D2708" t="n">
        <v>128</v>
      </c>
      <c r="E2708" t="inlineStr">
        <is>
          <t>Love Cabaret</t>
        </is>
      </c>
      <c r="F2708" s="27" t="n">
        <v>45764.5</v>
      </c>
      <c r="G2708" t="inlineStr">
        <is>
          <t>CREDITO</t>
        </is>
      </c>
      <c r="H2708" t="inlineStr">
        <is>
          <t>TED-TRANSF ELET DISPON REMET.DIVERTI TICKETS COME</t>
        </is>
      </c>
      <c r="I2708" t="n">
        <v>9327.83</v>
      </c>
    </row>
    <row r="2709">
      <c r="A2709" t="n">
        <v>86492</v>
      </c>
      <c r="B2709" t="n">
        <v>115</v>
      </c>
      <c r="C2709" t="inlineStr">
        <is>
          <t>Love - Shibari - Bradesco</t>
        </is>
      </c>
      <c r="D2709" t="n">
        <v>128</v>
      </c>
      <c r="E2709" t="inlineStr">
        <is>
          <t>Love Cabaret</t>
        </is>
      </c>
      <c r="F2709" s="27" t="n">
        <v>45764.5</v>
      </c>
      <c r="G2709" t="inlineStr">
        <is>
          <t>CREDITO</t>
        </is>
      </c>
      <c r="H2709" t="inlineStr">
        <is>
          <t>TED-TRANSF ELET DISPON REMET.DIVERTI TICKETS COME</t>
        </is>
      </c>
      <c r="I2709" t="n">
        <v>12001.27</v>
      </c>
    </row>
    <row r="2710">
      <c r="A2710" t="n">
        <v>86491</v>
      </c>
      <c r="B2710" t="n">
        <v>115</v>
      </c>
      <c r="C2710" t="inlineStr">
        <is>
          <t>Love - Shibari - Bradesco</t>
        </is>
      </c>
      <c r="D2710" t="n">
        <v>128</v>
      </c>
      <c r="E2710" t="inlineStr">
        <is>
          <t>Love Cabaret</t>
        </is>
      </c>
      <c r="F2710" s="27" t="n">
        <v>45764.5</v>
      </c>
      <c r="G2710" t="inlineStr">
        <is>
          <t>CREDITO</t>
        </is>
      </c>
      <c r="H2710" t="inlineStr">
        <is>
          <t>TED-TRANSF ELET DISPON REMET.LIRIUM INDUSTRIA E C</t>
        </is>
      </c>
      <c r="I2710" t="n">
        <v>135</v>
      </c>
    </row>
    <row r="2711">
      <c r="A2711" t="n">
        <v>86490</v>
      </c>
      <c r="B2711" t="n">
        <v>115</v>
      </c>
      <c r="C2711" t="inlineStr">
        <is>
          <t>Love - Shibari - Bradesco</t>
        </is>
      </c>
      <c r="D2711" t="n">
        <v>128</v>
      </c>
      <c r="E2711" t="inlineStr">
        <is>
          <t>Love Cabaret</t>
        </is>
      </c>
      <c r="F2711" s="27" t="n">
        <v>45764.5</v>
      </c>
      <c r="G2711" t="inlineStr">
        <is>
          <t>CREDITO</t>
        </is>
      </c>
      <c r="H2711" t="inlineStr">
        <is>
          <t>TED-TRANSF ELET DISPON REMET.INTERFOOD IMPORTACAO</t>
        </is>
      </c>
      <c r="I2711" t="n">
        <v>813.24</v>
      </c>
    </row>
    <row r="2712">
      <c r="A2712" t="n">
        <v>86478</v>
      </c>
      <c r="B2712" t="n">
        <v>115</v>
      </c>
      <c r="C2712" t="inlineStr">
        <is>
          <t>Love - Shibari - Bradesco</t>
        </is>
      </c>
      <c r="D2712" t="n">
        <v>128</v>
      </c>
      <c r="E2712" t="inlineStr">
        <is>
          <t>Love Cabaret</t>
        </is>
      </c>
      <c r="F2712" s="27" t="n">
        <v>45763.5</v>
      </c>
      <c r="G2712" t="inlineStr">
        <is>
          <t>DEBITO</t>
        </is>
      </c>
      <c r="H2712" t="inlineStr">
        <is>
          <t>PAGTO ELETRONICO TRIBUTO INTERNET --RECEITA FEDERAL/SP</t>
        </is>
      </c>
      <c r="I2712" t="n">
        <v>-106.38</v>
      </c>
    </row>
    <row r="2713">
      <c r="A2713" t="n">
        <v>86481</v>
      </c>
      <c r="B2713" t="n">
        <v>115</v>
      </c>
      <c r="C2713" t="inlineStr">
        <is>
          <t>Love - Shibari - Bradesco</t>
        </is>
      </c>
      <c r="D2713" t="n">
        <v>128</v>
      </c>
      <c r="E2713" t="inlineStr">
        <is>
          <t>Love Cabaret</t>
        </is>
      </c>
      <c r="F2713" s="27" t="n">
        <v>45763.5</v>
      </c>
      <c r="G2713" t="inlineStr">
        <is>
          <t>DEBITO</t>
        </is>
      </c>
      <c r="H2713" t="inlineStr">
        <is>
          <t>PAGTO ELETRONICO TRIBUTO INTERNET --RECEITA FEDERAL/SP</t>
        </is>
      </c>
      <c r="I2713" t="n">
        <v>-428.79</v>
      </c>
    </row>
    <row r="2714">
      <c r="A2714" t="n">
        <v>86477</v>
      </c>
      <c r="B2714" t="n">
        <v>115</v>
      </c>
      <c r="C2714" t="inlineStr">
        <is>
          <t>Love - Shibari - Bradesco</t>
        </is>
      </c>
      <c r="D2714" t="n">
        <v>128</v>
      </c>
      <c r="E2714" t="inlineStr">
        <is>
          <t>Love Cabaret</t>
        </is>
      </c>
      <c r="F2714" s="27" t="n">
        <v>45763.5</v>
      </c>
      <c r="G2714" t="inlineStr">
        <is>
          <t>DEBITO</t>
        </is>
      </c>
      <c r="H2714" t="inlineStr">
        <is>
          <t>PAGTO ELETRONICO TRIBUTO INTERNET --RECEITA FEDERAL/SP</t>
        </is>
      </c>
      <c r="I2714" t="n">
        <v>-682</v>
      </c>
    </row>
    <row r="2715">
      <c r="A2715" t="n">
        <v>86476</v>
      </c>
      <c r="B2715" t="n">
        <v>115</v>
      </c>
      <c r="C2715" t="inlineStr">
        <is>
          <t>Love - Shibari - Bradesco</t>
        </is>
      </c>
      <c r="D2715" t="n">
        <v>128</v>
      </c>
      <c r="E2715" t="inlineStr">
        <is>
          <t>Love Cabaret</t>
        </is>
      </c>
      <c r="F2715" s="27" t="n">
        <v>45763.5</v>
      </c>
      <c r="G2715" t="inlineStr">
        <is>
          <t>DEBITO</t>
        </is>
      </c>
      <c r="H2715" t="inlineStr">
        <is>
          <t>PAGTO ELETRONICO TRIBUTO INTERNET --RECEITA FEDERAL/SP</t>
        </is>
      </c>
      <c r="I2715" t="n">
        <v>-1714.19</v>
      </c>
    </row>
    <row r="2716">
      <c r="A2716" t="n">
        <v>86475</v>
      </c>
      <c r="B2716" t="n">
        <v>115</v>
      </c>
      <c r="C2716" t="inlineStr">
        <is>
          <t>Love - Shibari - Bradesco</t>
        </is>
      </c>
      <c r="D2716" t="n">
        <v>128</v>
      </c>
      <c r="E2716" t="inlineStr">
        <is>
          <t>Love Cabaret</t>
        </is>
      </c>
      <c r="F2716" s="27" t="n">
        <v>45763.5</v>
      </c>
      <c r="G2716" t="inlineStr">
        <is>
          <t>DEBITO</t>
        </is>
      </c>
      <c r="H2716" t="inlineStr">
        <is>
          <t>TARIFA BANCARIA TRANSF PGTO PIX</t>
        </is>
      </c>
      <c r="I2716" t="n">
        <v>-9</v>
      </c>
    </row>
    <row r="2717">
      <c r="A2717" t="n">
        <v>86474</v>
      </c>
      <c r="B2717" t="n">
        <v>115</v>
      </c>
      <c r="C2717" t="inlineStr">
        <is>
          <t>Love - Shibari - Bradesco</t>
        </is>
      </c>
      <c r="D2717" t="n">
        <v>128</v>
      </c>
      <c r="E2717" t="inlineStr">
        <is>
          <t>Love Cabaret</t>
        </is>
      </c>
      <c r="F2717" s="27" t="n">
        <v>45763.5</v>
      </c>
      <c r="G2717" t="inlineStr">
        <is>
          <t>DEBITO</t>
        </is>
      </c>
      <c r="H2717" t="inlineStr">
        <is>
          <t>TARIFA BANCARIA TRANSF PGTO PIX</t>
        </is>
      </c>
      <c r="I2717" t="n">
        <v>-9</v>
      </c>
    </row>
    <row r="2718">
      <c r="A2718" t="n">
        <v>86473</v>
      </c>
      <c r="B2718" t="n">
        <v>115</v>
      </c>
      <c r="C2718" t="inlineStr">
        <is>
          <t>Love - Shibari - Bradesco</t>
        </is>
      </c>
      <c r="D2718" t="n">
        <v>128</v>
      </c>
      <c r="E2718" t="inlineStr">
        <is>
          <t>Love Cabaret</t>
        </is>
      </c>
      <c r="F2718" s="27" t="n">
        <v>45763.5</v>
      </c>
      <c r="G2718" t="inlineStr">
        <is>
          <t>DEBITO</t>
        </is>
      </c>
      <c r="H2718" t="inlineStr">
        <is>
          <t>TARIFA BANCARIA TRANSF PGTO PIX</t>
        </is>
      </c>
      <c r="I2718" t="n">
        <v>-9</v>
      </c>
    </row>
    <row r="2719">
      <c r="A2719" t="n">
        <v>86472</v>
      </c>
      <c r="B2719" t="n">
        <v>115</v>
      </c>
      <c r="C2719" t="inlineStr">
        <is>
          <t>Love - Shibari - Bradesco</t>
        </is>
      </c>
      <c r="D2719" t="n">
        <v>128</v>
      </c>
      <c r="E2719" t="inlineStr">
        <is>
          <t>Love Cabaret</t>
        </is>
      </c>
      <c r="F2719" s="27" t="n">
        <v>45763.5</v>
      </c>
      <c r="G2719" t="inlineStr">
        <is>
          <t>DEBITO</t>
        </is>
      </c>
      <c r="H2719" t="inlineStr">
        <is>
          <t>TARIFA BANCARIA TRANSF PGTO PIX</t>
        </is>
      </c>
      <c r="I2719" t="n">
        <v>-7</v>
      </c>
    </row>
    <row r="2720">
      <c r="A2720" t="n">
        <v>86471</v>
      </c>
      <c r="B2720" t="n">
        <v>115</v>
      </c>
      <c r="C2720" t="inlineStr">
        <is>
          <t>Love - Shibari - Bradesco</t>
        </is>
      </c>
      <c r="D2720" t="n">
        <v>128</v>
      </c>
      <c r="E2720" t="inlineStr">
        <is>
          <t>Love Cabaret</t>
        </is>
      </c>
      <c r="F2720" s="27" t="n">
        <v>45763.5</v>
      </c>
      <c r="G2720" t="inlineStr">
        <is>
          <t>DEBITO</t>
        </is>
      </c>
      <c r="H2720" t="inlineStr">
        <is>
          <t>PAGTO ELETRON  COBRANCA NF 6320263</t>
        </is>
      </c>
      <c r="I2720" t="n">
        <v>-700</v>
      </c>
    </row>
    <row r="2721">
      <c r="A2721" t="n">
        <v>86470</v>
      </c>
      <c r="B2721" t="n">
        <v>115</v>
      </c>
      <c r="C2721" t="inlineStr">
        <is>
          <t>Love - Shibari - Bradesco</t>
        </is>
      </c>
      <c r="D2721" t="n">
        <v>128</v>
      </c>
      <c r="E2721" t="inlineStr">
        <is>
          <t>Love Cabaret</t>
        </is>
      </c>
      <c r="F2721" s="27" t="n">
        <v>45763.5</v>
      </c>
      <c r="G2721" t="inlineStr">
        <is>
          <t>DEBITO</t>
        </is>
      </c>
      <c r="H2721" t="inlineStr">
        <is>
          <t>PAGTO ELETRON  COBRANCA NF 500042025</t>
        </is>
      </c>
      <c r="I2721" t="n">
        <v>-500</v>
      </c>
    </row>
    <row r="2722">
      <c r="A2722" t="n">
        <v>86469</v>
      </c>
      <c r="B2722" t="n">
        <v>115</v>
      </c>
      <c r="C2722" t="inlineStr">
        <is>
          <t>Love - Shibari - Bradesco</t>
        </is>
      </c>
      <c r="D2722" t="n">
        <v>128</v>
      </c>
      <c r="E2722" t="inlineStr">
        <is>
          <t>Love Cabaret</t>
        </is>
      </c>
      <c r="F2722" s="27" t="n">
        <v>45763.5</v>
      </c>
      <c r="G2722" t="inlineStr">
        <is>
          <t>DEBITO</t>
        </is>
      </c>
      <c r="H2722" t="inlineStr">
        <is>
          <t>PAGTO ELETRON  COBRANCA NF 19662</t>
        </is>
      </c>
      <c r="I2722" t="n">
        <v>-29.75</v>
      </c>
    </row>
    <row r="2723">
      <c r="A2723" t="n">
        <v>86468</v>
      </c>
      <c r="B2723" t="n">
        <v>115</v>
      </c>
      <c r="C2723" t="inlineStr">
        <is>
          <t>Love - Shibari - Bradesco</t>
        </is>
      </c>
      <c r="D2723" t="n">
        <v>128</v>
      </c>
      <c r="E2723" t="inlineStr">
        <is>
          <t>Love Cabaret</t>
        </is>
      </c>
      <c r="F2723" s="27" t="n">
        <v>45763.5</v>
      </c>
      <c r="G2723" t="inlineStr">
        <is>
          <t>DEBITO</t>
        </is>
      </c>
      <c r="H2723" t="inlineStr">
        <is>
          <t>PAGTO ELETRON  COBRANCA NF 10427</t>
        </is>
      </c>
      <c r="I2723" t="n">
        <v>-127</v>
      </c>
    </row>
    <row r="2724">
      <c r="A2724" t="n">
        <v>86462</v>
      </c>
      <c r="B2724" t="n">
        <v>115</v>
      </c>
      <c r="C2724" t="inlineStr">
        <is>
          <t>Love - Shibari - Bradesco</t>
        </is>
      </c>
      <c r="D2724" t="n">
        <v>128</v>
      </c>
      <c r="E2724" t="inlineStr">
        <is>
          <t>Love Cabaret</t>
        </is>
      </c>
      <c r="F2724" s="27" t="n">
        <v>45763.5</v>
      </c>
      <c r="G2724" t="inlineStr">
        <is>
          <t>DEBITO</t>
        </is>
      </c>
      <c r="H2724" t="inlineStr">
        <is>
          <t>PAGTO ELETRON  COBRANCA NF 13349</t>
        </is>
      </c>
      <c r="I2724" t="n">
        <v>-1215</v>
      </c>
    </row>
    <row r="2725">
      <c r="A2725" t="n">
        <v>86463</v>
      </c>
      <c r="B2725" t="n">
        <v>115</v>
      </c>
      <c r="C2725" t="inlineStr">
        <is>
          <t>Love - Shibari - Bradesco</t>
        </is>
      </c>
      <c r="D2725" t="n">
        <v>128</v>
      </c>
      <c r="E2725" t="inlineStr">
        <is>
          <t>Love Cabaret</t>
        </is>
      </c>
      <c r="F2725" s="27" t="n">
        <v>45763.5</v>
      </c>
      <c r="G2725" t="inlineStr">
        <is>
          <t>DEBITO</t>
        </is>
      </c>
      <c r="H2725" t="inlineStr">
        <is>
          <t>PAGTO ELETRON  COBRANCA NF 1852</t>
        </is>
      </c>
      <c r="I2725" t="n">
        <v>-916</v>
      </c>
    </row>
    <row r="2726">
      <c r="A2726" t="n">
        <v>86464</v>
      </c>
      <c r="B2726" t="n">
        <v>115</v>
      </c>
      <c r="C2726" t="inlineStr">
        <is>
          <t>Love - Shibari - Bradesco</t>
        </is>
      </c>
      <c r="D2726" t="n">
        <v>128</v>
      </c>
      <c r="E2726" t="inlineStr">
        <is>
          <t>Love Cabaret</t>
        </is>
      </c>
      <c r="F2726" s="27" t="n">
        <v>45763.5</v>
      </c>
      <c r="G2726" t="inlineStr">
        <is>
          <t>DEBITO</t>
        </is>
      </c>
      <c r="H2726" t="inlineStr">
        <is>
          <t>PAGTO ELETRON  COBRANCA NF 176243</t>
        </is>
      </c>
      <c r="I2726" t="n">
        <v>-515</v>
      </c>
    </row>
    <row r="2727">
      <c r="A2727" t="n">
        <v>86465</v>
      </c>
      <c r="B2727" t="n">
        <v>115</v>
      </c>
      <c r="C2727" t="inlineStr">
        <is>
          <t>Love - Shibari - Bradesco</t>
        </is>
      </c>
      <c r="D2727" t="n">
        <v>128</v>
      </c>
      <c r="E2727" t="inlineStr">
        <is>
          <t>Love Cabaret</t>
        </is>
      </c>
      <c r="F2727" s="27" t="n">
        <v>45763.5</v>
      </c>
      <c r="G2727" t="inlineStr">
        <is>
          <t>DEBITO</t>
        </is>
      </c>
      <c r="H2727" t="inlineStr">
        <is>
          <t>PAGTO ELETRON  COBRANCA NF 36</t>
        </is>
      </c>
      <c r="I2727" t="n">
        <v>-387.25</v>
      </c>
    </row>
    <row r="2728">
      <c r="A2728" t="n">
        <v>86466</v>
      </c>
      <c r="B2728" t="n">
        <v>115</v>
      </c>
      <c r="C2728" t="inlineStr">
        <is>
          <t>Love - Shibari - Bradesco</t>
        </is>
      </c>
      <c r="D2728" t="n">
        <v>128</v>
      </c>
      <c r="E2728" t="inlineStr">
        <is>
          <t>Love Cabaret</t>
        </is>
      </c>
      <c r="F2728" s="27" t="n">
        <v>45763.5</v>
      </c>
      <c r="G2728" t="inlineStr">
        <is>
          <t>DEBITO</t>
        </is>
      </c>
      <c r="H2728" t="inlineStr">
        <is>
          <t>PAGTO ELETRON  COBRANCA NF 399051</t>
        </is>
      </c>
      <c r="I2728" t="n">
        <v>-280.9</v>
      </c>
    </row>
    <row r="2729">
      <c r="A2729" t="n">
        <v>86467</v>
      </c>
      <c r="B2729" t="n">
        <v>115</v>
      </c>
      <c r="C2729" t="inlineStr">
        <is>
          <t>Love - Shibari - Bradesco</t>
        </is>
      </c>
      <c r="D2729" t="n">
        <v>128</v>
      </c>
      <c r="E2729" t="inlineStr">
        <is>
          <t>Love Cabaret</t>
        </is>
      </c>
      <c r="F2729" s="27" t="n">
        <v>45763.5</v>
      </c>
      <c r="G2729" t="inlineStr">
        <is>
          <t>DEBITO</t>
        </is>
      </c>
      <c r="H2729" t="inlineStr">
        <is>
          <t>PAGTO ELETRON  COBRANCA NF 9546</t>
        </is>
      </c>
      <c r="I2729" t="n">
        <v>-177.9</v>
      </c>
    </row>
    <row r="2730">
      <c r="A2730" t="n">
        <v>86487</v>
      </c>
      <c r="B2730" t="n">
        <v>115</v>
      </c>
      <c r="C2730" t="inlineStr">
        <is>
          <t>Love - Shibari - Bradesco</t>
        </is>
      </c>
      <c r="D2730" t="n">
        <v>128</v>
      </c>
      <c r="E2730" t="inlineStr">
        <is>
          <t>Love Cabaret</t>
        </is>
      </c>
      <c r="F2730" s="27" t="n">
        <v>45763.5</v>
      </c>
      <c r="G2730" t="inlineStr">
        <is>
          <t>DEBITO</t>
        </is>
      </c>
      <c r="H2730" t="inlineStr">
        <is>
          <t>TRANSFERENCIA PIX DES: FABRICA DE BARES SERV 16/04</t>
        </is>
      </c>
      <c r="I2730" t="n">
        <v>-5755.03</v>
      </c>
    </row>
    <row r="2731">
      <c r="A2731" t="n">
        <v>86461</v>
      </c>
      <c r="B2731" t="n">
        <v>115</v>
      </c>
      <c r="C2731" t="inlineStr">
        <is>
          <t>Love - Shibari - Bradesco</t>
        </is>
      </c>
      <c r="D2731" t="n">
        <v>128</v>
      </c>
      <c r="E2731" t="inlineStr">
        <is>
          <t>Love Cabaret</t>
        </is>
      </c>
      <c r="F2731" s="27" t="n">
        <v>45763.5</v>
      </c>
      <c r="G2731" t="inlineStr">
        <is>
          <t>DEBITO</t>
        </is>
      </c>
      <c r="H2731" t="inlineStr">
        <is>
          <t>PAGTO ELETRON  COBRANCA NF 444276</t>
        </is>
      </c>
      <c r="I2731" t="n">
        <v>-1393.14</v>
      </c>
    </row>
    <row r="2732">
      <c r="A2732" t="n">
        <v>86460</v>
      </c>
      <c r="B2732" t="n">
        <v>115</v>
      </c>
      <c r="C2732" t="inlineStr">
        <is>
          <t>Love - Shibari - Bradesco</t>
        </is>
      </c>
      <c r="D2732" t="n">
        <v>128</v>
      </c>
      <c r="E2732" t="inlineStr">
        <is>
          <t>Love Cabaret</t>
        </is>
      </c>
      <c r="F2732" s="27" t="n">
        <v>45763.5</v>
      </c>
      <c r="G2732" t="inlineStr">
        <is>
          <t>DEBITO</t>
        </is>
      </c>
      <c r="H2732" t="inlineStr">
        <is>
          <t>PAGTO ELETRON  COBRANCA NF 549905229</t>
        </is>
      </c>
      <c r="I2732" t="n">
        <v>-16494.5</v>
      </c>
    </row>
    <row r="2733">
      <c r="A2733" t="n">
        <v>86455</v>
      </c>
      <c r="B2733" t="n">
        <v>115</v>
      </c>
      <c r="C2733" t="inlineStr">
        <is>
          <t>Love - Shibari - Bradesco</t>
        </is>
      </c>
      <c r="D2733" t="n">
        <v>128</v>
      </c>
      <c r="E2733" t="inlineStr">
        <is>
          <t>Love Cabaret</t>
        </is>
      </c>
      <c r="F2733" s="27" t="n">
        <v>45763.5</v>
      </c>
      <c r="G2733" t="inlineStr">
        <is>
          <t>CREDITO</t>
        </is>
      </c>
      <c r="H2733" t="inlineStr">
        <is>
          <t>DEVOLUCAO PIX REM: JOAO VITOR MENDES SAL 16/04</t>
        </is>
      </c>
      <c r="I2733" t="n">
        <v>4800</v>
      </c>
    </row>
    <row r="2734">
      <c r="A2734" t="n">
        <v>86489</v>
      </c>
      <c r="B2734" t="n">
        <v>115</v>
      </c>
      <c r="C2734" t="inlineStr">
        <is>
          <t>Love - Shibari - Bradesco</t>
        </is>
      </c>
      <c r="D2734" t="n">
        <v>128</v>
      </c>
      <c r="E2734" t="inlineStr">
        <is>
          <t>Love Cabaret</t>
        </is>
      </c>
      <c r="F2734" s="27" t="n">
        <v>45763.5</v>
      </c>
      <c r="G2734" t="inlineStr">
        <is>
          <t>DEBITO</t>
        </is>
      </c>
      <c r="H2734" t="inlineStr">
        <is>
          <t>CONTA DE AGUA E ESGOTO INTERNET --SABESP/SP</t>
        </is>
      </c>
      <c r="I2734" t="n">
        <v>-153.96</v>
      </c>
    </row>
    <row r="2735">
      <c r="A2735" t="n">
        <v>86488</v>
      </c>
      <c r="B2735" t="n">
        <v>115</v>
      </c>
      <c r="C2735" t="inlineStr">
        <is>
          <t>Love - Shibari - Bradesco</t>
        </is>
      </c>
      <c r="D2735" t="n">
        <v>128</v>
      </c>
      <c r="E2735" t="inlineStr">
        <is>
          <t>Love Cabaret</t>
        </is>
      </c>
      <c r="F2735" s="27" t="n">
        <v>45763.5</v>
      </c>
      <c r="G2735" t="inlineStr">
        <is>
          <t>DEBITO</t>
        </is>
      </c>
      <c r="H2735" t="inlineStr">
        <is>
          <t>PIX QR CODE DINAMICO DES: CAIXA ECONOMICA FEDER 16/04</t>
        </is>
      </c>
      <c r="I2735" t="n">
        <v>-596.23</v>
      </c>
    </row>
    <row r="2736">
      <c r="A2736" t="n">
        <v>86479</v>
      </c>
      <c r="B2736" t="n">
        <v>115</v>
      </c>
      <c r="C2736" t="inlineStr">
        <is>
          <t>Love - Shibari - Bradesco</t>
        </is>
      </c>
      <c r="D2736" t="n">
        <v>128</v>
      </c>
      <c r="E2736" t="inlineStr">
        <is>
          <t>Love Cabaret</t>
        </is>
      </c>
      <c r="F2736" s="27" t="n">
        <v>45763.5</v>
      </c>
      <c r="G2736" t="inlineStr">
        <is>
          <t>DEBITO</t>
        </is>
      </c>
      <c r="H2736" t="inlineStr">
        <is>
          <t>PAGTO ELETRONICO TRIBUTO INTERNET --RECEITA FEDERAL/SP</t>
        </is>
      </c>
      <c r="I2736" t="n">
        <v>-681.51</v>
      </c>
    </row>
    <row r="2737">
      <c r="A2737" t="n">
        <v>86486</v>
      </c>
      <c r="B2737" t="n">
        <v>115</v>
      </c>
      <c r="C2737" t="inlineStr">
        <is>
          <t>Love - Shibari - Bradesco</t>
        </is>
      </c>
      <c r="D2737" t="n">
        <v>128</v>
      </c>
      <c r="E2737" t="inlineStr">
        <is>
          <t>Love Cabaret</t>
        </is>
      </c>
      <c r="F2737" s="27" t="n">
        <v>45763.5</v>
      </c>
      <c r="G2737" t="inlineStr">
        <is>
          <t>DEBITO</t>
        </is>
      </c>
      <c r="H2737" t="inlineStr">
        <is>
          <t>TRANSFERENCIA PIX DES: EDIMAR MOURA TARTAGLI 16/04</t>
        </is>
      </c>
      <c r="I2737" t="n">
        <v>-630</v>
      </c>
    </row>
    <row r="2738">
      <c r="A2738" t="n">
        <v>86485</v>
      </c>
      <c r="B2738" t="n">
        <v>115</v>
      </c>
      <c r="C2738" t="inlineStr">
        <is>
          <t>Love - Shibari - Bradesco</t>
        </is>
      </c>
      <c r="D2738" t="n">
        <v>128</v>
      </c>
      <c r="E2738" t="inlineStr">
        <is>
          <t>Love Cabaret</t>
        </is>
      </c>
      <c r="F2738" s="27" t="n">
        <v>45763.5</v>
      </c>
      <c r="G2738" t="inlineStr">
        <is>
          <t>DEBITO</t>
        </is>
      </c>
      <c r="H2738" t="inlineStr">
        <is>
          <t>TRANSFERENCIA PIX DES: Diego Oliveira Santan 16/04</t>
        </is>
      </c>
      <c r="I2738" t="n">
        <v>-560</v>
      </c>
    </row>
    <row r="2739">
      <c r="A2739" t="n">
        <v>86484</v>
      </c>
      <c r="B2739" t="n">
        <v>115</v>
      </c>
      <c r="C2739" t="inlineStr">
        <is>
          <t>Love - Shibari - Bradesco</t>
        </is>
      </c>
      <c r="D2739" t="n">
        <v>128</v>
      </c>
      <c r="E2739" t="inlineStr">
        <is>
          <t>Love Cabaret</t>
        </is>
      </c>
      <c r="F2739" s="27" t="n">
        <v>45763.5</v>
      </c>
      <c r="G2739" t="inlineStr">
        <is>
          <t>DEBITO</t>
        </is>
      </c>
      <c r="H2739" t="inlineStr">
        <is>
          <t>TRANSFERENCIA PIX DES: Neumara Solidade De J 16/04</t>
        </is>
      </c>
      <c r="I2739" t="n">
        <v>-425</v>
      </c>
    </row>
    <row r="2740">
      <c r="A2740" t="n">
        <v>86483</v>
      </c>
      <c r="B2740" t="n">
        <v>115</v>
      </c>
      <c r="C2740" t="inlineStr">
        <is>
          <t>Love - Shibari - Bradesco</t>
        </is>
      </c>
      <c r="D2740" t="n">
        <v>128</v>
      </c>
      <c r="E2740" t="inlineStr">
        <is>
          <t>Love Cabaret</t>
        </is>
      </c>
      <c r="F2740" s="27" t="n">
        <v>45763.5</v>
      </c>
      <c r="G2740" t="inlineStr">
        <is>
          <t>DEBITO</t>
        </is>
      </c>
      <c r="H2740" t="inlineStr">
        <is>
          <t>ADIANT SALARIO VIA NET</t>
        </is>
      </c>
      <c r="I2740" t="n">
        <v>-1865.48</v>
      </c>
    </row>
    <row r="2741">
      <c r="A2741" t="n">
        <v>86482</v>
      </c>
      <c r="B2741" t="n">
        <v>115</v>
      </c>
      <c r="C2741" t="inlineStr">
        <is>
          <t>Love - Shibari - Bradesco</t>
        </is>
      </c>
      <c r="D2741" t="n">
        <v>128</v>
      </c>
      <c r="E2741" t="inlineStr">
        <is>
          <t>Love Cabaret</t>
        </is>
      </c>
      <c r="F2741" s="27" t="n">
        <v>45763.5</v>
      </c>
      <c r="G2741" t="inlineStr">
        <is>
          <t>DEBITO</t>
        </is>
      </c>
      <c r="H2741" t="inlineStr">
        <is>
          <t>PAGTO ELETRONICO TRIBUTO INTERNET --SP/SEFAZ-DARE</t>
        </is>
      </c>
      <c r="I2741" t="n">
        <v>-8049.38</v>
      </c>
    </row>
    <row r="2742">
      <c r="A2742" t="n">
        <v>86480</v>
      </c>
      <c r="B2742" t="n">
        <v>115</v>
      </c>
      <c r="C2742" t="inlineStr">
        <is>
          <t>Love - Shibari - Bradesco</t>
        </is>
      </c>
      <c r="D2742" t="n">
        <v>128</v>
      </c>
      <c r="E2742" t="inlineStr">
        <is>
          <t>Love Cabaret</t>
        </is>
      </c>
      <c r="F2742" s="27" t="n">
        <v>45763.5</v>
      </c>
      <c r="G2742" t="inlineStr">
        <is>
          <t>DEBITO</t>
        </is>
      </c>
      <c r="H2742" t="inlineStr">
        <is>
          <t>PAGTO ELETRONICO TRIBUTO INTERNET --RECEITA FEDERAL/SP</t>
        </is>
      </c>
      <c r="I2742" t="n">
        <v>-122.23</v>
      </c>
    </row>
    <row r="2743">
      <c r="A2743" t="n">
        <v>86452</v>
      </c>
      <c r="B2743" t="n">
        <v>115</v>
      </c>
      <c r="C2743" t="inlineStr">
        <is>
          <t>Love - Shibari - Bradesco</t>
        </is>
      </c>
      <c r="D2743" t="n">
        <v>128</v>
      </c>
      <c r="E2743" t="inlineStr">
        <is>
          <t>Love Cabaret</t>
        </is>
      </c>
      <c r="F2743" s="27" t="n">
        <v>45762.5</v>
      </c>
      <c r="G2743" t="inlineStr">
        <is>
          <t>CREDITO</t>
        </is>
      </c>
      <c r="H2743" t="inlineStr">
        <is>
          <t>DEP DINHEIRO ATM AG00117MAQ061059SEQ06003</t>
        </is>
      </c>
      <c r="I2743" t="n">
        <v>370</v>
      </c>
    </row>
    <row r="2744">
      <c r="A2744" t="n">
        <v>86453</v>
      </c>
      <c r="B2744" t="n">
        <v>115</v>
      </c>
      <c r="C2744" t="inlineStr">
        <is>
          <t>Love - Shibari - Bradesco</t>
        </is>
      </c>
      <c r="D2744" t="n">
        <v>128</v>
      </c>
      <c r="E2744" t="inlineStr">
        <is>
          <t>Love Cabaret</t>
        </is>
      </c>
      <c r="F2744" s="27" t="n">
        <v>45762.5</v>
      </c>
      <c r="G2744" t="inlineStr">
        <is>
          <t>CREDITO</t>
        </is>
      </c>
      <c r="H2744" t="inlineStr">
        <is>
          <t>TRANSFERENCIA PIX REM: SHIBARI ART E DIVERSA 15/04</t>
        </is>
      </c>
      <c r="I2744" t="n">
        <v>10628.23</v>
      </c>
    </row>
    <row r="2745">
      <c r="A2745" t="n">
        <v>86454</v>
      </c>
      <c r="B2745" t="n">
        <v>115</v>
      </c>
      <c r="C2745" t="inlineStr">
        <is>
          <t>Love - Shibari - Bradesco</t>
        </is>
      </c>
      <c r="D2745" t="n">
        <v>128</v>
      </c>
      <c r="E2745" t="inlineStr">
        <is>
          <t>Love Cabaret</t>
        </is>
      </c>
      <c r="F2745" s="27" t="n">
        <v>45762.5</v>
      </c>
      <c r="G2745" t="inlineStr">
        <is>
          <t>DEBITO</t>
        </is>
      </c>
      <c r="H2745" t="inlineStr">
        <is>
          <t>TARIFA BANCARIA Max Empresarial 1</t>
        </is>
      </c>
      <c r="I2745" t="n">
        <v>-171.7</v>
      </c>
    </row>
    <row r="2746">
      <c r="A2746" t="n">
        <v>86424</v>
      </c>
      <c r="B2746" t="n">
        <v>115</v>
      </c>
      <c r="C2746" t="inlineStr">
        <is>
          <t>Love - Shibari - Bradesco</t>
        </is>
      </c>
      <c r="D2746" t="n">
        <v>128</v>
      </c>
      <c r="E2746" t="inlineStr">
        <is>
          <t>Love Cabaret</t>
        </is>
      </c>
      <c r="F2746" s="27" t="n">
        <v>45761.5</v>
      </c>
      <c r="G2746" t="inlineStr">
        <is>
          <t>CREDITO</t>
        </is>
      </c>
      <c r="H2746" t="inlineStr">
        <is>
          <t>TRANSFERENCIA PIX REM: SHIBARI ART E DIVERSA 14/04</t>
        </is>
      </c>
      <c r="I2746" t="n">
        <v>51822.9</v>
      </c>
    </row>
    <row r="2747">
      <c r="A2747" t="n">
        <v>86426</v>
      </c>
      <c r="B2747" t="n">
        <v>115</v>
      </c>
      <c r="C2747" t="inlineStr">
        <is>
          <t>Love - Shibari - Bradesco</t>
        </is>
      </c>
      <c r="D2747" t="n">
        <v>128</v>
      </c>
      <c r="E2747" t="inlineStr">
        <is>
          <t>Love Cabaret</t>
        </is>
      </c>
      <c r="F2747" s="27" t="n">
        <v>45761.5</v>
      </c>
      <c r="G2747" t="inlineStr">
        <is>
          <t>DEBITO</t>
        </is>
      </c>
      <c r="H2747" t="inlineStr">
        <is>
          <t>PAGTO ELETRON  COBRANCA NF 225364</t>
        </is>
      </c>
      <c r="I2747" t="n">
        <v>-3409.82</v>
      </c>
    </row>
    <row r="2748">
      <c r="A2748" t="n">
        <v>86451</v>
      </c>
      <c r="B2748" t="n">
        <v>115</v>
      </c>
      <c r="C2748" t="inlineStr">
        <is>
          <t>Love - Shibari - Bradesco</t>
        </is>
      </c>
      <c r="D2748" t="n">
        <v>128</v>
      </c>
      <c r="E2748" t="inlineStr">
        <is>
          <t>Love Cabaret</t>
        </is>
      </c>
      <c r="F2748" s="27" t="n">
        <v>45761.5</v>
      </c>
      <c r="G2748" t="inlineStr">
        <is>
          <t>DEBITO</t>
        </is>
      </c>
      <c r="H2748" t="inlineStr">
        <is>
          <t>TRANSFERENCIA PIX DES: JOAO VITOR MENDES SAL 14/04</t>
        </is>
      </c>
      <c r="I2748" t="n">
        <v>-4800</v>
      </c>
    </row>
    <row r="2749">
      <c r="A2749" t="n">
        <v>86450</v>
      </c>
      <c r="B2749" t="n">
        <v>115</v>
      </c>
      <c r="C2749" t="inlineStr">
        <is>
          <t>Love - Shibari - Bradesco</t>
        </is>
      </c>
      <c r="D2749" t="n">
        <v>128</v>
      </c>
      <c r="E2749" t="inlineStr">
        <is>
          <t>Love Cabaret</t>
        </is>
      </c>
      <c r="F2749" s="27" t="n">
        <v>45761.5</v>
      </c>
      <c r="G2749" t="inlineStr">
        <is>
          <t>DEBITO</t>
        </is>
      </c>
      <c r="H2749" t="inlineStr">
        <is>
          <t>TRANSFERENCIA PIX DES: STUDIO METROPOLE      14/04</t>
        </is>
      </c>
      <c r="I2749" t="n">
        <v>-2703.52</v>
      </c>
    </row>
    <row r="2750">
      <c r="A2750" t="n">
        <v>86449</v>
      </c>
      <c r="B2750" t="n">
        <v>115</v>
      </c>
      <c r="C2750" t="inlineStr">
        <is>
          <t>Love - Shibari - Bradesco</t>
        </is>
      </c>
      <c r="D2750" t="n">
        <v>128</v>
      </c>
      <c r="E2750" t="inlineStr">
        <is>
          <t>Love Cabaret</t>
        </is>
      </c>
      <c r="F2750" s="27" t="n">
        <v>45761.5</v>
      </c>
      <c r="G2750" t="inlineStr">
        <is>
          <t>DEBITO</t>
        </is>
      </c>
      <c r="H2750" t="inlineStr">
        <is>
          <t>TRANSFERENCIA PIX DES: DUO COMUNICA LTDA     14/04</t>
        </is>
      </c>
      <c r="I2750" t="n">
        <v>-2000</v>
      </c>
    </row>
    <row r="2751">
      <c r="A2751" t="n">
        <v>86448</v>
      </c>
      <c r="B2751" t="n">
        <v>115</v>
      </c>
      <c r="C2751" t="inlineStr">
        <is>
          <t>Love - Shibari - Bradesco</t>
        </is>
      </c>
      <c r="D2751" t="n">
        <v>128</v>
      </c>
      <c r="E2751" t="inlineStr">
        <is>
          <t>Love Cabaret</t>
        </is>
      </c>
      <c r="F2751" s="27" t="n">
        <v>45761.5</v>
      </c>
      <c r="G2751" t="inlineStr">
        <is>
          <t>DEBITO</t>
        </is>
      </c>
      <c r="H2751" t="inlineStr">
        <is>
          <t>TRANSFERENCIA PIX DES: FLAVIO RODRIGUES DE M 14/04</t>
        </is>
      </c>
      <c r="I2751" t="n">
        <v>-500</v>
      </c>
    </row>
    <row r="2752">
      <c r="A2752" t="n">
        <v>86447</v>
      </c>
      <c r="B2752" t="n">
        <v>115</v>
      </c>
      <c r="C2752" t="inlineStr">
        <is>
          <t>Love - Shibari - Bradesco</t>
        </is>
      </c>
      <c r="D2752" t="n">
        <v>128</v>
      </c>
      <c r="E2752" t="inlineStr">
        <is>
          <t>Love Cabaret</t>
        </is>
      </c>
      <c r="F2752" s="27" t="n">
        <v>45761.5</v>
      </c>
      <c r="G2752" t="inlineStr">
        <is>
          <t>DEBITO</t>
        </is>
      </c>
      <c r="H2752" t="inlineStr">
        <is>
          <t>PAGTO ELETRONICO TRIBUTO INTERNET --P.M SAO PAULO/SP</t>
        </is>
      </c>
      <c r="I2752" t="n">
        <v>-314</v>
      </c>
    </row>
    <row r="2753">
      <c r="A2753" t="n">
        <v>86446</v>
      </c>
      <c r="B2753" t="n">
        <v>115</v>
      </c>
      <c r="C2753" t="inlineStr">
        <is>
          <t>Love - Shibari - Bradesco</t>
        </is>
      </c>
      <c r="D2753" t="n">
        <v>128</v>
      </c>
      <c r="E2753" t="inlineStr">
        <is>
          <t>Love Cabaret</t>
        </is>
      </c>
      <c r="F2753" s="27" t="n">
        <v>45761.5</v>
      </c>
      <c r="G2753" t="inlineStr">
        <is>
          <t>DEBITO</t>
        </is>
      </c>
      <c r="H2753" t="inlineStr">
        <is>
          <t>TARIFA BANCARIA TRANSF PGTO PIX</t>
        </is>
      </c>
      <c r="I2753" t="n">
        <v>-9</v>
      </c>
    </row>
    <row r="2754">
      <c r="A2754" t="n">
        <v>86445</v>
      </c>
      <c r="B2754" t="n">
        <v>115</v>
      </c>
      <c r="C2754" t="inlineStr">
        <is>
          <t>Love - Shibari - Bradesco</t>
        </is>
      </c>
      <c r="D2754" t="n">
        <v>128</v>
      </c>
      <c r="E2754" t="inlineStr">
        <is>
          <t>Love Cabaret</t>
        </is>
      </c>
      <c r="F2754" s="27" t="n">
        <v>45761.5</v>
      </c>
      <c r="G2754" t="inlineStr">
        <is>
          <t>DEBITO</t>
        </is>
      </c>
      <c r="H2754" t="inlineStr">
        <is>
          <t>TARIFA BANCARIA TRANSF PGTO PIX</t>
        </is>
      </c>
      <c r="I2754" t="n">
        <v>-5.78</v>
      </c>
    </row>
    <row r="2755">
      <c r="A2755" t="n">
        <v>86444</v>
      </c>
      <c r="B2755" t="n">
        <v>115</v>
      </c>
      <c r="C2755" t="inlineStr">
        <is>
          <t>Love - Shibari - Bradesco</t>
        </is>
      </c>
      <c r="D2755" t="n">
        <v>128</v>
      </c>
      <c r="E2755" t="inlineStr">
        <is>
          <t>Love Cabaret</t>
        </is>
      </c>
      <c r="F2755" s="27" t="n">
        <v>45761.5</v>
      </c>
      <c r="G2755" t="inlineStr">
        <is>
          <t>DEBITO</t>
        </is>
      </c>
      <c r="H2755" t="inlineStr">
        <is>
          <t>PAGTO ELETRON  COBRANCA NF 243793</t>
        </is>
      </c>
      <c r="I2755" t="n">
        <v>-1121.45</v>
      </c>
    </row>
    <row r="2756">
      <c r="A2756" t="n">
        <v>86443</v>
      </c>
      <c r="B2756" t="n">
        <v>115</v>
      </c>
      <c r="C2756" t="inlineStr">
        <is>
          <t>Love - Shibari - Bradesco</t>
        </is>
      </c>
      <c r="D2756" t="n">
        <v>128</v>
      </c>
      <c r="E2756" t="inlineStr">
        <is>
          <t>Love Cabaret</t>
        </is>
      </c>
      <c r="F2756" s="27" t="n">
        <v>45761.5</v>
      </c>
      <c r="G2756" t="inlineStr">
        <is>
          <t>DEBITO</t>
        </is>
      </c>
      <c r="H2756" t="inlineStr">
        <is>
          <t>PAGTO ELETRON  COBRANCA NF 7580</t>
        </is>
      </c>
      <c r="I2756" t="n">
        <v>-3204.47</v>
      </c>
    </row>
    <row r="2757">
      <c r="A2757" t="n">
        <v>86442</v>
      </c>
      <c r="B2757" t="n">
        <v>115</v>
      </c>
      <c r="C2757" t="inlineStr">
        <is>
          <t>Love - Shibari - Bradesco</t>
        </is>
      </c>
      <c r="D2757" t="n">
        <v>128</v>
      </c>
      <c r="E2757" t="inlineStr">
        <is>
          <t>Love Cabaret</t>
        </is>
      </c>
      <c r="F2757" s="27" t="n">
        <v>45761.5</v>
      </c>
      <c r="G2757" t="inlineStr">
        <is>
          <t>DEBITO</t>
        </is>
      </c>
      <c r="H2757" t="inlineStr">
        <is>
          <t>PAGTO ELETRON  COBRANCA NF 368362</t>
        </is>
      </c>
      <c r="I2757" t="n">
        <v>-104.4</v>
      </c>
    </row>
    <row r="2758">
      <c r="A2758" t="n">
        <v>86441</v>
      </c>
      <c r="B2758" t="n">
        <v>115</v>
      </c>
      <c r="C2758" t="inlineStr">
        <is>
          <t>Love - Shibari - Bradesco</t>
        </is>
      </c>
      <c r="D2758" t="n">
        <v>128</v>
      </c>
      <c r="E2758" t="inlineStr">
        <is>
          <t>Love Cabaret</t>
        </is>
      </c>
      <c r="F2758" s="27" t="n">
        <v>45761.5</v>
      </c>
      <c r="G2758" t="inlineStr">
        <is>
          <t>DEBITO</t>
        </is>
      </c>
      <c r="H2758" t="inlineStr">
        <is>
          <t>PAGTO ELETRON  COBRANCA NF 26595</t>
        </is>
      </c>
      <c r="I2758" t="n">
        <v>-148.56</v>
      </c>
    </row>
    <row r="2759">
      <c r="A2759" t="n">
        <v>86440</v>
      </c>
      <c r="B2759" t="n">
        <v>115</v>
      </c>
      <c r="C2759" t="inlineStr">
        <is>
          <t>Love - Shibari - Bradesco</t>
        </is>
      </c>
      <c r="D2759" t="n">
        <v>128</v>
      </c>
      <c r="E2759" t="inlineStr">
        <is>
          <t>Love Cabaret</t>
        </is>
      </c>
      <c r="F2759" s="27" t="n">
        <v>45761.5</v>
      </c>
      <c r="G2759" t="inlineStr">
        <is>
          <t>DEBITO</t>
        </is>
      </c>
      <c r="H2759" t="inlineStr">
        <is>
          <t>PAGTO ELETRON  COBRANCA NF 9449</t>
        </is>
      </c>
      <c r="I2759" t="n">
        <v>-152</v>
      </c>
    </row>
    <row r="2760">
      <c r="A2760" t="n">
        <v>86439</v>
      </c>
      <c r="B2760" t="n">
        <v>115</v>
      </c>
      <c r="C2760" t="inlineStr">
        <is>
          <t>Love - Shibari - Bradesco</t>
        </is>
      </c>
      <c r="D2760" t="n">
        <v>128</v>
      </c>
      <c r="E2760" t="inlineStr">
        <is>
          <t>Love Cabaret</t>
        </is>
      </c>
      <c r="F2760" s="27" t="n">
        <v>45761.5</v>
      </c>
      <c r="G2760" t="inlineStr">
        <is>
          <t>DEBITO</t>
        </is>
      </c>
      <c r="H2760" t="inlineStr">
        <is>
          <t>PAGTO ELETRON  COBRANCA NF 26165</t>
        </is>
      </c>
      <c r="I2760" t="n">
        <v>-153</v>
      </c>
    </row>
    <row r="2761">
      <c r="A2761" t="n">
        <v>86438</v>
      </c>
      <c r="B2761" t="n">
        <v>115</v>
      </c>
      <c r="C2761" t="inlineStr">
        <is>
          <t>Love - Shibari - Bradesco</t>
        </is>
      </c>
      <c r="D2761" t="n">
        <v>128</v>
      </c>
      <c r="E2761" t="inlineStr">
        <is>
          <t>Love Cabaret</t>
        </is>
      </c>
      <c r="F2761" s="27" t="n">
        <v>45761.5</v>
      </c>
      <c r="G2761" t="inlineStr">
        <is>
          <t>DEBITO</t>
        </is>
      </c>
      <c r="H2761" t="inlineStr">
        <is>
          <t>PAGTO ELETRON  COBRANCA NF 36691</t>
        </is>
      </c>
      <c r="I2761" t="n">
        <v>-210.5</v>
      </c>
    </row>
    <row r="2762">
      <c r="A2762" t="n">
        <v>86437</v>
      </c>
      <c r="B2762" t="n">
        <v>115</v>
      </c>
      <c r="C2762" t="inlineStr">
        <is>
          <t>Love - Shibari - Bradesco</t>
        </is>
      </c>
      <c r="D2762" t="n">
        <v>128</v>
      </c>
      <c r="E2762" t="inlineStr">
        <is>
          <t>Love Cabaret</t>
        </is>
      </c>
      <c r="F2762" s="27" t="n">
        <v>45761.5</v>
      </c>
      <c r="G2762" t="inlineStr">
        <is>
          <t>DEBITO</t>
        </is>
      </c>
      <c r="H2762" t="inlineStr">
        <is>
          <t>PAGTO ELETRON  COBRANCA NF 10455</t>
        </is>
      </c>
      <c r="I2762" t="n">
        <v>-212.77</v>
      </c>
    </row>
    <row r="2763">
      <c r="A2763" t="n">
        <v>86436</v>
      </c>
      <c r="B2763" t="n">
        <v>115</v>
      </c>
      <c r="C2763" t="inlineStr">
        <is>
          <t>Love - Shibari - Bradesco</t>
        </is>
      </c>
      <c r="D2763" t="n">
        <v>128</v>
      </c>
      <c r="E2763" t="inlineStr">
        <is>
          <t>Love Cabaret</t>
        </is>
      </c>
      <c r="F2763" s="27" t="n">
        <v>45761.5</v>
      </c>
      <c r="G2763" t="inlineStr">
        <is>
          <t>DEBITO</t>
        </is>
      </c>
      <c r="H2763" t="inlineStr">
        <is>
          <t>PAGTO ELETRON  COBRANCA NF 18618</t>
        </is>
      </c>
      <c r="I2763" t="n">
        <v>-400</v>
      </c>
    </row>
    <row r="2764">
      <c r="A2764" t="n">
        <v>86435</v>
      </c>
      <c r="B2764" t="n">
        <v>115</v>
      </c>
      <c r="C2764" t="inlineStr">
        <is>
          <t>Love - Shibari - Bradesco</t>
        </is>
      </c>
      <c r="D2764" t="n">
        <v>128</v>
      </c>
      <c r="E2764" t="inlineStr">
        <is>
          <t>Love Cabaret</t>
        </is>
      </c>
      <c r="F2764" s="27" t="n">
        <v>45761.5</v>
      </c>
      <c r="G2764" t="inlineStr">
        <is>
          <t>DEBITO</t>
        </is>
      </c>
      <c r="H2764" t="inlineStr">
        <is>
          <t>PAGTO ELETRON  COBRANCA NF 26144</t>
        </is>
      </c>
      <c r="I2764" t="n">
        <v>-466.55</v>
      </c>
    </row>
    <row r="2765">
      <c r="A2765" t="n">
        <v>86434</v>
      </c>
      <c r="B2765" t="n">
        <v>115</v>
      </c>
      <c r="C2765" t="inlineStr">
        <is>
          <t>Love - Shibari - Bradesco</t>
        </is>
      </c>
      <c r="D2765" t="n">
        <v>128</v>
      </c>
      <c r="E2765" t="inlineStr">
        <is>
          <t>Love Cabaret</t>
        </is>
      </c>
      <c r="F2765" s="27" t="n">
        <v>45761.5</v>
      </c>
      <c r="G2765" t="inlineStr">
        <is>
          <t>DEBITO</t>
        </is>
      </c>
      <c r="H2765" t="inlineStr">
        <is>
          <t>PAGTO ELETRON  COBRANCA NF 304785</t>
        </is>
      </c>
      <c r="I2765" t="n">
        <v>-470.42</v>
      </c>
    </row>
    <row r="2766">
      <c r="A2766" t="n">
        <v>86433</v>
      </c>
      <c r="B2766" t="n">
        <v>115</v>
      </c>
      <c r="C2766" t="inlineStr">
        <is>
          <t>Love - Shibari - Bradesco</t>
        </is>
      </c>
      <c r="D2766" t="n">
        <v>128</v>
      </c>
      <c r="E2766" t="inlineStr">
        <is>
          <t>Love Cabaret</t>
        </is>
      </c>
      <c r="F2766" s="27" t="n">
        <v>45761.5</v>
      </c>
      <c r="G2766" t="inlineStr">
        <is>
          <t>DEBITO</t>
        </is>
      </c>
      <c r="H2766" t="inlineStr">
        <is>
          <t>PAGTO ELETRON  COBRANCA NF 1183</t>
        </is>
      </c>
      <c r="I2766" t="n">
        <v>-891.0599999999999</v>
      </c>
    </row>
    <row r="2767">
      <c r="A2767" t="n">
        <v>86432</v>
      </c>
      <c r="B2767" t="n">
        <v>115</v>
      </c>
      <c r="C2767" t="inlineStr">
        <is>
          <t>Love - Shibari - Bradesco</t>
        </is>
      </c>
      <c r="D2767" t="n">
        <v>128</v>
      </c>
      <c r="E2767" t="inlineStr">
        <is>
          <t>Love Cabaret</t>
        </is>
      </c>
      <c r="F2767" s="27" t="n">
        <v>45761.5</v>
      </c>
      <c r="G2767" t="inlineStr">
        <is>
          <t>DEBITO</t>
        </is>
      </c>
      <c r="H2767" t="inlineStr">
        <is>
          <t>PAGTO ELETRON  COBRANCA NF 587987</t>
        </is>
      </c>
      <c r="I2767" t="n">
        <v>-1006.87</v>
      </c>
    </row>
    <row r="2768">
      <c r="A2768" t="n">
        <v>86431</v>
      </c>
      <c r="B2768" t="n">
        <v>115</v>
      </c>
      <c r="C2768" t="inlineStr">
        <is>
          <t>Love - Shibari - Bradesco</t>
        </is>
      </c>
      <c r="D2768" t="n">
        <v>128</v>
      </c>
      <c r="E2768" t="inlineStr">
        <is>
          <t>Love Cabaret</t>
        </is>
      </c>
      <c r="F2768" s="27" t="n">
        <v>45761.5</v>
      </c>
      <c r="G2768" t="inlineStr">
        <is>
          <t>DEBITO</t>
        </is>
      </c>
      <c r="H2768" t="inlineStr">
        <is>
          <t>PAGTO ELETRON  COBRANCA NF 237535</t>
        </is>
      </c>
      <c r="I2768" t="n">
        <v>-1202.92</v>
      </c>
    </row>
    <row r="2769">
      <c r="A2769" t="n">
        <v>86430</v>
      </c>
      <c r="B2769" t="n">
        <v>115</v>
      </c>
      <c r="C2769" t="inlineStr">
        <is>
          <t>Love - Shibari - Bradesco</t>
        </is>
      </c>
      <c r="D2769" t="n">
        <v>128</v>
      </c>
      <c r="E2769" t="inlineStr">
        <is>
          <t>Love Cabaret</t>
        </is>
      </c>
      <c r="F2769" s="27" t="n">
        <v>45761.5</v>
      </c>
      <c r="G2769" t="inlineStr">
        <is>
          <t>DEBITO</t>
        </is>
      </c>
      <c r="H2769" t="inlineStr">
        <is>
          <t>PAGTO ELETRON  COBRANCA NF 225365</t>
        </is>
      </c>
      <c r="I2769" t="n">
        <v>-1207.31</v>
      </c>
    </row>
    <row r="2770">
      <c r="A2770" t="n">
        <v>86429</v>
      </c>
      <c r="B2770" t="n">
        <v>115</v>
      </c>
      <c r="C2770" t="inlineStr">
        <is>
          <t>Love - Shibari - Bradesco</t>
        </is>
      </c>
      <c r="D2770" t="n">
        <v>128</v>
      </c>
      <c r="E2770" t="inlineStr">
        <is>
          <t>Love Cabaret</t>
        </is>
      </c>
      <c r="F2770" s="27" t="n">
        <v>45761.5</v>
      </c>
      <c r="G2770" t="inlineStr">
        <is>
          <t>DEBITO</t>
        </is>
      </c>
      <c r="H2770" t="inlineStr">
        <is>
          <t>PAGTO ELETRON  COBRANCA NF 116074</t>
        </is>
      </c>
      <c r="I2770" t="n">
        <v>-1381.13</v>
      </c>
    </row>
    <row r="2771">
      <c r="A2771" t="n">
        <v>86428</v>
      </c>
      <c r="B2771" t="n">
        <v>115</v>
      </c>
      <c r="C2771" t="inlineStr">
        <is>
          <t>Love - Shibari - Bradesco</t>
        </is>
      </c>
      <c r="D2771" t="n">
        <v>128</v>
      </c>
      <c r="E2771" t="inlineStr">
        <is>
          <t>Love Cabaret</t>
        </is>
      </c>
      <c r="F2771" s="27" t="n">
        <v>45761.5</v>
      </c>
      <c r="G2771" t="inlineStr">
        <is>
          <t>DEBITO</t>
        </is>
      </c>
      <c r="H2771" t="inlineStr">
        <is>
          <t>PAGTO ELETRON  COBRANCA NF 13357</t>
        </is>
      </c>
      <c r="I2771" t="n">
        <v>-1575.57</v>
      </c>
    </row>
    <row r="2772">
      <c r="A2772" t="n">
        <v>86427</v>
      </c>
      <c r="B2772" t="n">
        <v>115</v>
      </c>
      <c r="C2772" t="inlineStr">
        <is>
          <t>Love - Shibari - Bradesco</t>
        </is>
      </c>
      <c r="D2772" t="n">
        <v>128</v>
      </c>
      <c r="E2772" t="inlineStr">
        <is>
          <t>Love Cabaret</t>
        </is>
      </c>
      <c r="F2772" s="27" t="n">
        <v>45761.5</v>
      </c>
      <c r="G2772" t="inlineStr">
        <is>
          <t>DEBITO</t>
        </is>
      </c>
      <c r="H2772" t="inlineStr">
        <is>
          <t>PAGTO ELETRON  COBRANCA NF 115988</t>
        </is>
      </c>
      <c r="I2772" t="n">
        <v>-4528.9</v>
      </c>
    </row>
    <row r="2773">
      <c r="A2773" t="n">
        <v>86425</v>
      </c>
      <c r="B2773" t="n">
        <v>115</v>
      </c>
      <c r="C2773" t="inlineStr">
        <is>
          <t>Love - Shibari - Bradesco</t>
        </is>
      </c>
      <c r="D2773" t="n">
        <v>128</v>
      </c>
      <c r="E2773" t="inlineStr">
        <is>
          <t>Love Cabaret</t>
        </is>
      </c>
      <c r="F2773" s="27" t="n">
        <v>45761.5</v>
      </c>
      <c r="G2773" t="inlineStr">
        <is>
          <t>DEBITO</t>
        </is>
      </c>
      <c r="H2773" t="inlineStr">
        <is>
          <t>PAGTO ELETRON  COBRANCA NF 2459</t>
        </is>
      </c>
      <c r="I2773" t="n">
        <v>-6252.94</v>
      </c>
    </row>
    <row r="2774">
      <c r="A2774" t="n">
        <v>86405</v>
      </c>
      <c r="B2774" t="n">
        <v>115</v>
      </c>
      <c r="C2774" t="inlineStr">
        <is>
          <t>Love - Shibari - Bradesco</t>
        </is>
      </c>
      <c r="D2774" t="n">
        <v>128</v>
      </c>
      <c r="E2774" t="inlineStr">
        <is>
          <t>Love Cabaret</t>
        </is>
      </c>
      <c r="F2774" s="27" t="n">
        <v>45758.5</v>
      </c>
      <c r="G2774" t="inlineStr">
        <is>
          <t>CREDITO</t>
        </is>
      </c>
      <c r="H2774" t="inlineStr">
        <is>
          <t>TED-TRANSF ELET DISPON REMET.DIVERTI TICKETS COME</t>
        </is>
      </c>
      <c r="I2774" t="n">
        <v>1812.41</v>
      </c>
    </row>
    <row r="2775">
      <c r="A2775" t="n">
        <v>86423</v>
      </c>
      <c r="B2775" t="n">
        <v>115</v>
      </c>
      <c r="C2775" t="inlineStr">
        <is>
          <t>Love - Shibari - Bradesco</t>
        </is>
      </c>
      <c r="D2775" t="n">
        <v>128</v>
      </c>
      <c r="E2775" t="inlineStr">
        <is>
          <t>Love Cabaret</t>
        </is>
      </c>
      <c r="F2775" s="27" t="n">
        <v>45758.5</v>
      </c>
      <c r="G2775" t="inlineStr">
        <is>
          <t>DEBITO</t>
        </is>
      </c>
      <c r="H2775" t="inlineStr">
        <is>
          <t>TARIFA BANCARIA TRANSF PGTO PIX</t>
        </is>
      </c>
      <c r="I2775" t="n">
        <v>-9</v>
      </c>
    </row>
    <row r="2776">
      <c r="A2776" t="n">
        <v>86403</v>
      </c>
      <c r="B2776" t="n">
        <v>115</v>
      </c>
      <c r="C2776" t="inlineStr">
        <is>
          <t>Love - Shibari - Bradesco</t>
        </is>
      </c>
      <c r="D2776" t="n">
        <v>128</v>
      </c>
      <c r="E2776" t="inlineStr">
        <is>
          <t>Love Cabaret</t>
        </is>
      </c>
      <c r="F2776" s="27" t="n">
        <v>45758.5</v>
      </c>
      <c r="G2776" t="inlineStr">
        <is>
          <t>CREDITO</t>
        </is>
      </c>
      <c r="H2776" t="inlineStr">
        <is>
          <t>TED-TRANSF ELET DISPON REMET.DIVERTI TICKETS COME</t>
        </is>
      </c>
      <c r="I2776" t="n">
        <v>11081.77</v>
      </c>
    </row>
    <row r="2777">
      <c r="A2777" t="n">
        <v>86404</v>
      </c>
      <c r="B2777" t="n">
        <v>115</v>
      </c>
      <c r="C2777" t="inlineStr">
        <is>
          <t>Love - Shibari - Bradesco</t>
        </is>
      </c>
      <c r="D2777" t="n">
        <v>128</v>
      </c>
      <c r="E2777" t="inlineStr">
        <is>
          <t>Love Cabaret</t>
        </is>
      </c>
      <c r="F2777" s="27" t="n">
        <v>45758.5</v>
      </c>
      <c r="G2777" t="inlineStr">
        <is>
          <t>CREDITO</t>
        </is>
      </c>
      <c r="H2777" t="inlineStr">
        <is>
          <t>TED-TRANSF ELET DISPON REMET.DIVERTI TICKETS COME</t>
        </is>
      </c>
      <c r="I2777" t="n">
        <v>9179</v>
      </c>
    </row>
    <row r="2778">
      <c r="A2778" t="n">
        <v>86406</v>
      </c>
      <c r="B2778" t="n">
        <v>115</v>
      </c>
      <c r="C2778" t="inlineStr">
        <is>
          <t>Love - Shibari - Bradesco</t>
        </is>
      </c>
      <c r="D2778" t="n">
        <v>128</v>
      </c>
      <c r="E2778" t="inlineStr">
        <is>
          <t>Love Cabaret</t>
        </is>
      </c>
      <c r="F2778" s="27" t="n">
        <v>45758.5</v>
      </c>
      <c r="G2778" t="inlineStr">
        <is>
          <t>DEBITO</t>
        </is>
      </c>
      <c r="H2778" t="inlineStr">
        <is>
          <t>TARIFA BANCARIA TRANSF PGTO PIX</t>
        </is>
      </c>
      <c r="I2778" t="n">
        <v>-9</v>
      </c>
    </row>
    <row r="2779">
      <c r="A2779" t="n">
        <v>86407</v>
      </c>
      <c r="B2779" t="n">
        <v>115</v>
      </c>
      <c r="C2779" t="inlineStr">
        <is>
          <t>Love - Shibari - Bradesco</t>
        </is>
      </c>
      <c r="D2779" t="n">
        <v>128</v>
      </c>
      <c r="E2779" t="inlineStr">
        <is>
          <t>Love Cabaret</t>
        </is>
      </c>
      <c r="F2779" s="27" t="n">
        <v>45758.5</v>
      </c>
      <c r="G2779" t="inlineStr">
        <is>
          <t>DEBITO</t>
        </is>
      </c>
      <c r="H2779" t="inlineStr">
        <is>
          <t>TARIFA BANCARIA TRANSF PGTO PIX</t>
        </is>
      </c>
      <c r="I2779" t="n">
        <v>-9</v>
      </c>
    </row>
    <row r="2780">
      <c r="A2780" t="n">
        <v>86408</v>
      </c>
      <c r="B2780" t="n">
        <v>115</v>
      </c>
      <c r="C2780" t="inlineStr">
        <is>
          <t>Love - Shibari - Bradesco</t>
        </is>
      </c>
      <c r="D2780" t="n">
        <v>128</v>
      </c>
      <c r="E2780" t="inlineStr">
        <is>
          <t>Love Cabaret</t>
        </is>
      </c>
      <c r="F2780" s="27" t="n">
        <v>45758.5</v>
      </c>
      <c r="G2780" t="inlineStr">
        <is>
          <t>DEBITO</t>
        </is>
      </c>
      <c r="H2780" t="inlineStr">
        <is>
          <t>TARIFA BANCARIA TRANSF PGTO PIX</t>
        </is>
      </c>
      <c r="I2780" t="n">
        <v>-9</v>
      </c>
    </row>
    <row r="2781">
      <c r="A2781" t="n">
        <v>86409</v>
      </c>
      <c r="B2781" t="n">
        <v>115</v>
      </c>
      <c r="C2781" t="inlineStr">
        <is>
          <t>Love - Shibari - Bradesco</t>
        </is>
      </c>
      <c r="D2781" t="n">
        <v>128</v>
      </c>
      <c r="E2781" t="inlineStr">
        <is>
          <t>Love Cabaret</t>
        </is>
      </c>
      <c r="F2781" s="27" t="n">
        <v>45758.5</v>
      </c>
      <c r="G2781" t="inlineStr">
        <is>
          <t>DEBITO</t>
        </is>
      </c>
      <c r="H2781" t="inlineStr">
        <is>
          <t>TARIFA BANCARIA TRANSF PGTO PIX</t>
        </is>
      </c>
      <c r="I2781" t="n">
        <v>-9</v>
      </c>
    </row>
    <row r="2782">
      <c r="A2782" t="n">
        <v>86410</v>
      </c>
      <c r="B2782" t="n">
        <v>115</v>
      </c>
      <c r="C2782" t="inlineStr">
        <is>
          <t>Love - Shibari - Bradesco</t>
        </is>
      </c>
      <c r="D2782" t="n">
        <v>128</v>
      </c>
      <c r="E2782" t="inlineStr">
        <is>
          <t>Love Cabaret</t>
        </is>
      </c>
      <c r="F2782" s="27" t="n">
        <v>45758.5</v>
      </c>
      <c r="G2782" t="inlineStr">
        <is>
          <t>DEBITO</t>
        </is>
      </c>
      <c r="H2782" t="inlineStr">
        <is>
          <t>TARIFA BANCARIA TRANSF PGTO PIX</t>
        </is>
      </c>
      <c r="I2782" t="n">
        <v>-9</v>
      </c>
    </row>
    <row r="2783">
      <c r="A2783" t="n">
        <v>86411</v>
      </c>
      <c r="B2783" t="n">
        <v>115</v>
      </c>
      <c r="C2783" t="inlineStr">
        <is>
          <t>Love - Shibari - Bradesco</t>
        </is>
      </c>
      <c r="D2783" t="n">
        <v>128</v>
      </c>
      <c r="E2783" t="inlineStr">
        <is>
          <t>Love Cabaret</t>
        </is>
      </c>
      <c r="F2783" s="27" t="n">
        <v>45758.5</v>
      </c>
      <c r="G2783" t="inlineStr">
        <is>
          <t>DEBITO</t>
        </is>
      </c>
      <c r="H2783" t="inlineStr">
        <is>
          <t>TARIFA BANCARIA TRANSF PGTO PIX</t>
        </is>
      </c>
      <c r="I2783" t="n">
        <v>-9</v>
      </c>
    </row>
    <row r="2784">
      <c r="A2784" t="n">
        <v>86412</v>
      </c>
      <c r="B2784" t="n">
        <v>115</v>
      </c>
      <c r="C2784" t="inlineStr">
        <is>
          <t>Love - Shibari - Bradesco</t>
        </is>
      </c>
      <c r="D2784" t="n">
        <v>128</v>
      </c>
      <c r="E2784" t="inlineStr">
        <is>
          <t>Love Cabaret</t>
        </is>
      </c>
      <c r="F2784" s="27" t="n">
        <v>45758.5</v>
      </c>
      <c r="G2784" t="inlineStr">
        <is>
          <t>DEBITO</t>
        </is>
      </c>
      <c r="H2784" t="inlineStr">
        <is>
          <t>TARIFA BANCARIA TRANSF PGTO PIX</t>
        </is>
      </c>
      <c r="I2784" t="n">
        <v>-9</v>
      </c>
    </row>
    <row r="2785">
      <c r="A2785" t="n">
        <v>86413</v>
      </c>
      <c r="B2785" t="n">
        <v>115</v>
      </c>
      <c r="C2785" t="inlineStr">
        <is>
          <t>Love - Shibari - Bradesco</t>
        </is>
      </c>
      <c r="D2785" t="n">
        <v>128</v>
      </c>
      <c r="E2785" t="inlineStr">
        <is>
          <t>Love Cabaret</t>
        </is>
      </c>
      <c r="F2785" s="27" t="n">
        <v>45758.5</v>
      </c>
      <c r="G2785" t="inlineStr">
        <is>
          <t>DEBITO</t>
        </is>
      </c>
      <c r="H2785" t="inlineStr">
        <is>
          <t>TARIFA BANCARIA TRANSF PGTO PIX</t>
        </is>
      </c>
      <c r="I2785" t="n">
        <v>-9</v>
      </c>
    </row>
    <row r="2786">
      <c r="A2786" t="n">
        <v>86415</v>
      </c>
      <c r="B2786" t="n">
        <v>115</v>
      </c>
      <c r="C2786" t="inlineStr">
        <is>
          <t>Love - Shibari - Bradesco</t>
        </is>
      </c>
      <c r="D2786" t="n">
        <v>128</v>
      </c>
      <c r="E2786" t="inlineStr">
        <is>
          <t>Love Cabaret</t>
        </is>
      </c>
      <c r="F2786" s="27" t="n">
        <v>45758.5</v>
      </c>
      <c r="G2786" t="inlineStr">
        <is>
          <t>DEBITO</t>
        </is>
      </c>
      <c r="H2786" t="inlineStr">
        <is>
          <t>TARIFA BANCARIA TRANSF PGTO PIX</t>
        </is>
      </c>
      <c r="I2786" t="n">
        <v>-9</v>
      </c>
    </row>
    <row r="2787">
      <c r="A2787" t="n">
        <v>86416</v>
      </c>
      <c r="B2787" t="n">
        <v>115</v>
      </c>
      <c r="C2787" t="inlineStr">
        <is>
          <t>Love - Shibari - Bradesco</t>
        </is>
      </c>
      <c r="D2787" t="n">
        <v>128</v>
      </c>
      <c r="E2787" t="inlineStr">
        <is>
          <t>Love Cabaret</t>
        </is>
      </c>
      <c r="F2787" s="27" t="n">
        <v>45758.5</v>
      </c>
      <c r="G2787" t="inlineStr">
        <is>
          <t>DEBITO</t>
        </is>
      </c>
      <c r="H2787" t="inlineStr">
        <is>
          <t>TARIFA BANCARIA TRANSF PGTO PIX</t>
        </is>
      </c>
      <c r="I2787" t="n">
        <v>-9</v>
      </c>
    </row>
    <row r="2788">
      <c r="A2788" t="n">
        <v>86417</v>
      </c>
      <c r="B2788" t="n">
        <v>115</v>
      </c>
      <c r="C2788" t="inlineStr">
        <is>
          <t>Love - Shibari - Bradesco</t>
        </is>
      </c>
      <c r="D2788" t="n">
        <v>128</v>
      </c>
      <c r="E2788" t="inlineStr">
        <is>
          <t>Love Cabaret</t>
        </is>
      </c>
      <c r="F2788" s="27" t="n">
        <v>45758.5</v>
      </c>
      <c r="G2788" t="inlineStr">
        <is>
          <t>DEBITO</t>
        </is>
      </c>
      <c r="H2788" t="inlineStr">
        <is>
          <t>TARIFA BANCARIA TRANSF PGTO PIX</t>
        </is>
      </c>
      <c r="I2788" t="n">
        <v>-9</v>
      </c>
    </row>
    <row r="2789">
      <c r="A2789" t="n">
        <v>86418</v>
      </c>
      <c r="B2789" t="n">
        <v>115</v>
      </c>
      <c r="C2789" t="inlineStr">
        <is>
          <t>Love - Shibari - Bradesco</t>
        </is>
      </c>
      <c r="D2789" t="n">
        <v>128</v>
      </c>
      <c r="E2789" t="inlineStr">
        <is>
          <t>Love Cabaret</t>
        </is>
      </c>
      <c r="F2789" s="27" t="n">
        <v>45758.5</v>
      </c>
      <c r="G2789" t="inlineStr">
        <is>
          <t>DEBITO</t>
        </is>
      </c>
      <c r="H2789" t="inlineStr">
        <is>
          <t>TARIFA BANCARIA TRANSF PGTO PIX</t>
        </is>
      </c>
      <c r="I2789" t="n">
        <v>-9</v>
      </c>
    </row>
    <row r="2790">
      <c r="A2790" t="n">
        <v>86419</v>
      </c>
      <c r="B2790" t="n">
        <v>115</v>
      </c>
      <c r="C2790" t="inlineStr">
        <is>
          <t>Love - Shibari - Bradesco</t>
        </is>
      </c>
      <c r="D2790" t="n">
        <v>128</v>
      </c>
      <c r="E2790" t="inlineStr">
        <is>
          <t>Love Cabaret</t>
        </is>
      </c>
      <c r="F2790" s="27" t="n">
        <v>45758.5</v>
      </c>
      <c r="G2790" t="inlineStr">
        <is>
          <t>DEBITO</t>
        </is>
      </c>
      <c r="H2790" t="inlineStr">
        <is>
          <t>TARIFA BANCARIA TRANSF PGTO PIX</t>
        </is>
      </c>
      <c r="I2790" t="n">
        <v>-9</v>
      </c>
    </row>
    <row r="2791">
      <c r="A2791" t="n">
        <v>86420</v>
      </c>
      <c r="B2791" t="n">
        <v>115</v>
      </c>
      <c r="C2791" t="inlineStr">
        <is>
          <t>Love - Shibari - Bradesco</t>
        </is>
      </c>
      <c r="D2791" t="n">
        <v>128</v>
      </c>
      <c r="E2791" t="inlineStr">
        <is>
          <t>Love Cabaret</t>
        </is>
      </c>
      <c r="F2791" s="27" t="n">
        <v>45758.5</v>
      </c>
      <c r="G2791" t="inlineStr">
        <is>
          <t>DEBITO</t>
        </is>
      </c>
      <c r="H2791" t="inlineStr">
        <is>
          <t>TARIFA BANCARIA TRANSF PGTO PIX</t>
        </is>
      </c>
      <c r="I2791" t="n">
        <v>-9</v>
      </c>
    </row>
    <row r="2792">
      <c r="A2792" t="n">
        <v>86421</v>
      </c>
      <c r="B2792" t="n">
        <v>115</v>
      </c>
      <c r="C2792" t="inlineStr">
        <is>
          <t>Love - Shibari - Bradesco</t>
        </is>
      </c>
      <c r="D2792" t="n">
        <v>128</v>
      </c>
      <c r="E2792" t="inlineStr">
        <is>
          <t>Love Cabaret</t>
        </is>
      </c>
      <c r="F2792" s="27" t="n">
        <v>45758.5</v>
      </c>
      <c r="G2792" t="inlineStr">
        <is>
          <t>DEBITO</t>
        </is>
      </c>
      <c r="H2792" t="inlineStr">
        <is>
          <t>TARIFA BANCARIA TRANSF PGTO PIX</t>
        </is>
      </c>
      <c r="I2792" t="n">
        <v>-9</v>
      </c>
    </row>
    <row r="2793">
      <c r="A2793" t="n">
        <v>86422</v>
      </c>
      <c r="B2793" t="n">
        <v>115</v>
      </c>
      <c r="C2793" t="inlineStr">
        <is>
          <t>Love - Shibari - Bradesco</t>
        </is>
      </c>
      <c r="D2793" t="n">
        <v>128</v>
      </c>
      <c r="E2793" t="inlineStr">
        <is>
          <t>Love Cabaret</t>
        </is>
      </c>
      <c r="F2793" s="27" t="n">
        <v>45758.5</v>
      </c>
      <c r="G2793" t="inlineStr">
        <is>
          <t>DEBITO</t>
        </is>
      </c>
      <c r="H2793" t="inlineStr">
        <is>
          <t>TARIFA BANCARIA TRANSF PGTO PIX</t>
        </is>
      </c>
      <c r="I2793" t="n">
        <v>-9</v>
      </c>
    </row>
    <row r="2794">
      <c r="A2794" t="n">
        <v>86414</v>
      </c>
      <c r="B2794" t="n">
        <v>115</v>
      </c>
      <c r="C2794" t="inlineStr">
        <is>
          <t>Love - Shibari - Bradesco</t>
        </is>
      </c>
      <c r="D2794" t="n">
        <v>128</v>
      </c>
      <c r="E2794" t="inlineStr">
        <is>
          <t>Love Cabaret</t>
        </is>
      </c>
      <c r="F2794" s="27" t="n">
        <v>45758.5</v>
      </c>
      <c r="G2794" t="inlineStr">
        <is>
          <t>DEBITO</t>
        </is>
      </c>
      <c r="H2794" t="inlineStr">
        <is>
          <t>TARIFA BANCARIA TRANSF PGTO PIX</t>
        </is>
      </c>
      <c r="I2794" t="n">
        <v>-9</v>
      </c>
    </row>
    <row r="2795">
      <c r="A2795" t="n">
        <v>80379</v>
      </c>
      <c r="B2795" t="n">
        <v>115</v>
      </c>
      <c r="C2795" t="inlineStr">
        <is>
          <t>Love - Shibari - Bradesco</t>
        </is>
      </c>
      <c r="D2795" t="n">
        <v>128</v>
      </c>
      <c r="E2795" t="inlineStr">
        <is>
          <t>Love Cabaret</t>
        </is>
      </c>
      <c r="F2795" s="27" t="n">
        <v>45757.5</v>
      </c>
      <c r="G2795" t="inlineStr">
        <is>
          <t>DEBITO</t>
        </is>
      </c>
      <c r="H2795" t="inlineStr">
        <is>
          <t>TRANSFERENCIA PIX DES: DUDOM                 10/04</t>
        </is>
      </c>
      <c r="I2795" t="n">
        <v>-412.9</v>
      </c>
    </row>
    <row r="2796">
      <c r="A2796" t="n">
        <v>80380</v>
      </c>
      <c r="B2796" t="n">
        <v>115</v>
      </c>
      <c r="C2796" t="inlineStr">
        <is>
          <t>Love - Shibari - Bradesco</t>
        </is>
      </c>
      <c r="D2796" t="n">
        <v>128</v>
      </c>
      <c r="E2796" t="inlineStr">
        <is>
          <t>Love Cabaret</t>
        </is>
      </c>
      <c r="F2796" s="27" t="n">
        <v>45757.5</v>
      </c>
      <c r="G2796" t="inlineStr">
        <is>
          <t>DEBITO</t>
        </is>
      </c>
      <c r="H2796" t="inlineStr">
        <is>
          <t>TRANSFERENCIA PIX DES: JOAO VITOR MENDES SAL 10/04</t>
        </is>
      </c>
      <c r="I2796" t="n">
        <v>-4800</v>
      </c>
    </row>
    <row r="2797">
      <c r="A2797" t="n">
        <v>80353</v>
      </c>
      <c r="B2797" t="n">
        <v>115</v>
      </c>
      <c r="C2797" t="inlineStr">
        <is>
          <t>Love - Shibari - Bradesco</t>
        </is>
      </c>
      <c r="D2797" t="n">
        <v>128</v>
      </c>
      <c r="E2797" t="inlineStr">
        <is>
          <t>Love Cabaret</t>
        </is>
      </c>
      <c r="F2797" s="27" t="n">
        <v>45756.5</v>
      </c>
      <c r="G2797" t="inlineStr">
        <is>
          <t>DEBITO</t>
        </is>
      </c>
      <c r="H2797" t="inlineStr">
        <is>
          <t>PAGTO ELETRON  COBRANCA NF 37540920032025</t>
        </is>
      </c>
      <c r="I2797" t="n">
        <v>-37540.92</v>
      </c>
    </row>
    <row r="2798">
      <c r="A2798" t="n">
        <v>80361</v>
      </c>
      <c r="B2798" t="n">
        <v>115</v>
      </c>
      <c r="C2798" t="inlineStr">
        <is>
          <t>Love - Shibari - Bradesco</t>
        </is>
      </c>
      <c r="D2798" t="n">
        <v>128</v>
      </c>
      <c r="E2798" t="inlineStr">
        <is>
          <t>Love Cabaret</t>
        </is>
      </c>
      <c r="F2798" s="27" t="n">
        <v>45756.5</v>
      </c>
      <c r="G2798" t="inlineStr">
        <is>
          <t>DEBITO</t>
        </is>
      </c>
      <c r="H2798" t="inlineStr">
        <is>
          <t>TRANSFERENCIA PIX DES: ROBERTA MARIA SANTANA 09/04</t>
        </is>
      </c>
      <c r="I2798" t="n">
        <v>-4860</v>
      </c>
    </row>
    <row r="2799">
      <c r="A2799" t="n">
        <v>80360</v>
      </c>
      <c r="B2799" t="n">
        <v>115</v>
      </c>
      <c r="C2799" t="inlineStr">
        <is>
          <t>Love - Shibari - Bradesco</t>
        </is>
      </c>
      <c r="D2799" t="n">
        <v>128</v>
      </c>
      <c r="E2799" t="inlineStr">
        <is>
          <t>Love Cabaret</t>
        </is>
      </c>
      <c r="F2799" s="27" t="n">
        <v>45756.5</v>
      </c>
      <c r="G2799" t="inlineStr">
        <is>
          <t>DEBITO</t>
        </is>
      </c>
      <c r="H2799" t="inlineStr">
        <is>
          <t>TRANSFERENCIA PIX DES: 55 214 822 WAGNER DA  09/04</t>
        </is>
      </c>
      <c r="I2799" t="n">
        <v>-4860</v>
      </c>
    </row>
    <row r="2800">
      <c r="A2800" t="n">
        <v>80359</v>
      </c>
      <c r="B2800" t="n">
        <v>115</v>
      </c>
      <c r="C2800" t="inlineStr">
        <is>
          <t>Love - Shibari - Bradesco</t>
        </is>
      </c>
      <c r="D2800" t="n">
        <v>128</v>
      </c>
      <c r="E2800" t="inlineStr">
        <is>
          <t>Love Cabaret</t>
        </is>
      </c>
      <c r="F2800" s="27" t="n">
        <v>45756.5</v>
      </c>
      <c r="G2800" t="inlineStr">
        <is>
          <t>DEBITO</t>
        </is>
      </c>
      <c r="H2800" t="inlineStr">
        <is>
          <t>TRANSFERENCIA PIX DES: DOUGLAS FELIPE DOMING 09/04</t>
        </is>
      </c>
      <c r="I2800" t="n">
        <v>-3970</v>
      </c>
    </row>
    <row r="2801">
      <c r="A2801" t="n">
        <v>80358</v>
      </c>
      <c r="B2801" t="n">
        <v>115</v>
      </c>
      <c r="C2801" t="inlineStr">
        <is>
          <t>Love - Shibari - Bradesco</t>
        </is>
      </c>
      <c r="D2801" t="n">
        <v>128</v>
      </c>
      <c r="E2801" t="inlineStr">
        <is>
          <t>Love Cabaret</t>
        </is>
      </c>
      <c r="F2801" s="27" t="n">
        <v>45756.5</v>
      </c>
      <c r="G2801" t="inlineStr">
        <is>
          <t>DEBITO</t>
        </is>
      </c>
      <c r="H2801" t="inlineStr">
        <is>
          <t>TRANSFERENCIA PIX DES: TELES DE ALMEIDA PINT 09/04</t>
        </is>
      </c>
      <c r="I2801" t="n">
        <v>-1910</v>
      </c>
    </row>
    <row r="2802">
      <c r="A2802" t="n">
        <v>80357</v>
      </c>
      <c r="B2802" t="n">
        <v>115</v>
      </c>
      <c r="C2802" t="inlineStr">
        <is>
          <t>Love - Shibari - Bradesco</t>
        </is>
      </c>
      <c r="D2802" t="n">
        <v>128</v>
      </c>
      <c r="E2802" t="inlineStr">
        <is>
          <t>Love Cabaret</t>
        </is>
      </c>
      <c r="F2802" s="27" t="n">
        <v>45756.5</v>
      </c>
      <c r="G2802" t="inlineStr">
        <is>
          <t>DEBITO</t>
        </is>
      </c>
      <c r="H2802" t="inlineStr">
        <is>
          <t>PAGTO ELETRONICO TRIBUTO INTERNET --PMSP SP</t>
        </is>
      </c>
      <c r="I2802" t="n">
        <v>-118.58</v>
      </c>
    </row>
    <row r="2803">
      <c r="A2803" t="n">
        <v>80356</v>
      </c>
      <c r="B2803" t="n">
        <v>115</v>
      </c>
      <c r="C2803" t="inlineStr">
        <is>
          <t>Love - Shibari - Bradesco</t>
        </is>
      </c>
      <c r="D2803" t="n">
        <v>128</v>
      </c>
      <c r="E2803" t="inlineStr">
        <is>
          <t>Love Cabaret</t>
        </is>
      </c>
      <c r="F2803" s="27" t="n">
        <v>45756.5</v>
      </c>
      <c r="G2803" t="inlineStr">
        <is>
          <t>DEBITO</t>
        </is>
      </c>
      <c r="H2803" t="inlineStr">
        <is>
          <t>TARIFA BANCARIA TRANSF PGTO PIX</t>
        </is>
      </c>
      <c r="I2803" t="n">
        <v>-9</v>
      </c>
    </row>
    <row r="2804">
      <c r="A2804" t="n">
        <v>80355</v>
      </c>
      <c r="B2804" t="n">
        <v>115</v>
      </c>
      <c r="C2804" t="inlineStr">
        <is>
          <t>Love - Shibari - Bradesco</t>
        </is>
      </c>
      <c r="D2804" t="n">
        <v>128</v>
      </c>
      <c r="E2804" t="inlineStr">
        <is>
          <t>Love Cabaret</t>
        </is>
      </c>
      <c r="F2804" s="27" t="n">
        <v>45756.5</v>
      </c>
      <c r="G2804" t="inlineStr">
        <is>
          <t>DEBITO</t>
        </is>
      </c>
      <c r="H2804" t="inlineStr">
        <is>
          <t>TARIFA BANCARIA TRANSF PGTO PIX</t>
        </is>
      </c>
      <c r="I2804" t="n">
        <v>-9</v>
      </c>
    </row>
    <row r="2805">
      <c r="A2805" t="n">
        <v>80354</v>
      </c>
      <c r="B2805" t="n">
        <v>115</v>
      </c>
      <c r="C2805" t="inlineStr">
        <is>
          <t>Love - Shibari - Bradesco</t>
        </is>
      </c>
      <c r="D2805" t="n">
        <v>128</v>
      </c>
      <c r="E2805" t="inlineStr">
        <is>
          <t>Love Cabaret</t>
        </is>
      </c>
      <c r="F2805" s="27" t="n">
        <v>45756.5</v>
      </c>
      <c r="G2805" t="inlineStr">
        <is>
          <t>DEBITO</t>
        </is>
      </c>
      <c r="H2805" t="inlineStr">
        <is>
          <t>TARIFA BANCARIA TRANSF PGTO PIX</t>
        </is>
      </c>
      <c r="I2805" t="n">
        <v>-6.23</v>
      </c>
    </row>
    <row r="2806">
      <c r="A2806" t="n">
        <v>80362</v>
      </c>
      <c r="B2806" t="n">
        <v>115</v>
      </c>
      <c r="C2806" t="inlineStr">
        <is>
          <t>Love - Shibari - Bradesco</t>
        </is>
      </c>
      <c r="D2806" t="n">
        <v>128</v>
      </c>
      <c r="E2806" t="inlineStr">
        <is>
          <t>Love Cabaret</t>
        </is>
      </c>
      <c r="F2806" s="27" t="n">
        <v>45756.5</v>
      </c>
      <c r="G2806" t="inlineStr">
        <is>
          <t>DEBITO</t>
        </is>
      </c>
      <c r="H2806" t="inlineStr">
        <is>
          <t>TRANSFERENCIA PIX DES: Diego Oliveira Santan 09/04</t>
        </is>
      </c>
      <c r="I2806" t="n">
        <v>-5060</v>
      </c>
    </row>
    <row r="2807">
      <c r="A2807" t="n">
        <v>80352</v>
      </c>
      <c r="B2807" t="n">
        <v>115</v>
      </c>
      <c r="C2807" t="inlineStr">
        <is>
          <t>Love - Shibari - Bradesco</t>
        </is>
      </c>
      <c r="D2807" t="n">
        <v>128</v>
      </c>
      <c r="E2807" t="inlineStr">
        <is>
          <t>Love Cabaret</t>
        </is>
      </c>
      <c r="F2807" s="27" t="n">
        <v>45756.5</v>
      </c>
      <c r="G2807" t="inlineStr">
        <is>
          <t>DEBITO</t>
        </is>
      </c>
      <c r="H2807" t="inlineStr">
        <is>
          <t>PAGTO ELETRON  COBRANCA NF 157798</t>
        </is>
      </c>
      <c r="I2807" t="n">
        <v>-31634.64</v>
      </c>
    </row>
    <row r="2808">
      <c r="A2808" t="n">
        <v>80351</v>
      </c>
      <c r="B2808" t="n">
        <v>115</v>
      </c>
      <c r="C2808" t="inlineStr">
        <is>
          <t>Love - Shibari - Bradesco</t>
        </is>
      </c>
      <c r="D2808" t="n">
        <v>128</v>
      </c>
      <c r="E2808" t="inlineStr">
        <is>
          <t>Love Cabaret</t>
        </is>
      </c>
      <c r="F2808" s="27" t="n">
        <v>45756.5</v>
      </c>
      <c r="G2808" t="inlineStr">
        <is>
          <t>DEBITO</t>
        </is>
      </c>
      <c r="H2808" t="inlineStr">
        <is>
          <t>PAGTO ELETRON  COBRANCA NF 546205088</t>
        </is>
      </c>
      <c r="I2808" t="n">
        <v>-13561.9</v>
      </c>
    </row>
    <row r="2809">
      <c r="A2809" t="n">
        <v>80350</v>
      </c>
      <c r="B2809" t="n">
        <v>115</v>
      </c>
      <c r="C2809" t="inlineStr">
        <is>
          <t>Love - Shibari - Bradesco</t>
        </is>
      </c>
      <c r="D2809" t="n">
        <v>128</v>
      </c>
      <c r="E2809" t="inlineStr">
        <is>
          <t>Love Cabaret</t>
        </is>
      </c>
      <c r="F2809" s="27" t="n">
        <v>45756.5</v>
      </c>
      <c r="G2809" t="inlineStr">
        <is>
          <t>DEBITO</t>
        </is>
      </c>
      <c r="H2809" t="inlineStr">
        <is>
          <t>PAGTO ELETRON  COBRANCA NF 229</t>
        </is>
      </c>
      <c r="I2809" t="n">
        <v>-1000</v>
      </c>
    </row>
    <row r="2810">
      <c r="A2810" t="n">
        <v>80349</v>
      </c>
      <c r="B2810" t="n">
        <v>115</v>
      </c>
      <c r="C2810" t="inlineStr">
        <is>
          <t>Love - Shibari - Bradesco</t>
        </is>
      </c>
      <c r="D2810" t="n">
        <v>128</v>
      </c>
      <c r="E2810" t="inlineStr">
        <is>
          <t>Love Cabaret</t>
        </is>
      </c>
      <c r="F2810" s="27" t="n">
        <v>45756.5</v>
      </c>
      <c r="G2810" t="inlineStr">
        <is>
          <t>DEBITO</t>
        </is>
      </c>
      <c r="H2810" t="inlineStr">
        <is>
          <t>PAGTO ELETRON  COBRANCA NF 443290</t>
        </is>
      </c>
      <c r="I2810" t="n">
        <v>-722.13</v>
      </c>
    </row>
    <row r="2811">
      <c r="A2811" t="n">
        <v>80348</v>
      </c>
      <c r="B2811" t="n">
        <v>115</v>
      </c>
      <c r="C2811" t="inlineStr">
        <is>
          <t>Love - Shibari - Bradesco</t>
        </is>
      </c>
      <c r="D2811" t="n">
        <v>128</v>
      </c>
      <c r="E2811" t="inlineStr">
        <is>
          <t>Love Cabaret</t>
        </is>
      </c>
      <c r="F2811" s="27" t="n">
        <v>45756.5</v>
      </c>
      <c r="G2811" t="inlineStr">
        <is>
          <t>DEBITO</t>
        </is>
      </c>
      <c r="H2811" t="inlineStr">
        <is>
          <t>PAGTO ELETRON  COBRANCA NF 515637399</t>
        </is>
      </c>
      <c r="I2811" t="n">
        <v>-708</v>
      </c>
    </row>
    <row r="2812">
      <c r="A2812" t="n">
        <v>80347</v>
      </c>
      <c r="B2812" t="n">
        <v>115</v>
      </c>
      <c r="C2812" t="inlineStr">
        <is>
          <t>Love - Shibari - Bradesco</t>
        </is>
      </c>
      <c r="D2812" t="n">
        <v>128</v>
      </c>
      <c r="E2812" t="inlineStr">
        <is>
          <t>Love Cabaret</t>
        </is>
      </c>
      <c r="F2812" s="27" t="n">
        <v>45756.5</v>
      </c>
      <c r="G2812" t="inlineStr">
        <is>
          <t>DEBITO</t>
        </is>
      </c>
      <c r="H2812" t="inlineStr">
        <is>
          <t>PAGTO ELETRON  COBRANCA NF 34350</t>
        </is>
      </c>
      <c r="I2812" t="n">
        <v>-561.84</v>
      </c>
    </row>
    <row r="2813">
      <c r="A2813" t="n">
        <v>80346</v>
      </c>
      <c r="B2813" t="n">
        <v>115</v>
      </c>
      <c r="C2813" t="inlineStr">
        <is>
          <t>Love - Shibari - Bradesco</t>
        </is>
      </c>
      <c r="D2813" t="n">
        <v>128</v>
      </c>
      <c r="E2813" t="inlineStr">
        <is>
          <t>Love Cabaret</t>
        </is>
      </c>
      <c r="F2813" s="27" t="n">
        <v>45756.5</v>
      </c>
      <c r="G2813" t="inlineStr">
        <is>
          <t>DEBITO</t>
        </is>
      </c>
      <c r="H2813" t="inlineStr">
        <is>
          <t>PAGTO ELETRON  COBRANCA NF 76852</t>
        </is>
      </c>
      <c r="I2813" t="n">
        <v>-494</v>
      </c>
    </row>
    <row r="2814">
      <c r="A2814" t="n">
        <v>80370</v>
      </c>
      <c r="B2814" t="n">
        <v>115</v>
      </c>
      <c r="C2814" t="inlineStr">
        <is>
          <t>Love - Shibari - Bradesco</t>
        </is>
      </c>
      <c r="D2814" t="n">
        <v>128</v>
      </c>
      <c r="E2814" t="inlineStr">
        <is>
          <t>Love Cabaret</t>
        </is>
      </c>
      <c r="F2814" s="27" t="n">
        <v>45756.5</v>
      </c>
      <c r="G2814" t="inlineStr">
        <is>
          <t>DEBITO</t>
        </is>
      </c>
      <c r="H2814" t="inlineStr">
        <is>
          <t>TRANSFERENCIA PIX DES: 49.635.085 JESSICA IZ 09/04</t>
        </is>
      </c>
      <c r="I2814" t="n">
        <v>-1250</v>
      </c>
    </row>
    <row r="2815">
      <c r="A2815" t="n">
        <v>80344</v>
      </c>
      <c r="B2815" t="n">
        <v>115</v>
      </c>
      <c r="C2815" t="inlineStr">
        <is>
          <t>Love - Shibari - Bradesco</t>
        </is>
      </c>
      <c r="D2815" t="n">
        <v>128</v>
      </c>
      <c r="E2815" t="inlineStr">
        <is>
          <t>Love Cabaret</t>
        </is>
      </c>
      <c r="F2815" s="27" t="n">
        <v>45756.5</v>
      </c>
      <c r="G2815" t="inlineStr">
        <is>
          <t>DEBITO</t>
        </is>
      </c>
      <c r="H2815" t="inlineStr">
        <is>
          <t>PAGTO ELETRON  COBRANCA NF 26097</t>
        </is>
      </c>
      <c r="I2815" t="n">
        <v>-91.33</v>
      </c>
    </row>
    <row r="2816">
      <c r="A2816" t="n">
        <v>80340</v>
      </c>
      <c r="B2816" t="n">
        <v>115</v>
      </c>
      <c r="C2816" t="inlineStr">
        <is>
          <t>Love - Shibari - Bradesco</t>
        </is>
      </c>
      <c r="D2816" t="n">
        <v>128</v>
      </c>
      <c r="E2816" t="inlineStr">
        <is>
          <t>Love Cabaret</t>
        </is>
      </c>
      <c r="F2816" s="27" t="n">
        <v>45756.5</v>
      </c>
      <c r="G2816" t="inlineStr">
        <is>
          <t>CREDITO</t>
        </is>
      </c>
      <c r="H2816" t="inlineStr">
        <is>
          <t>DEP DINHEIRO ATM AG00117MAQ061059SEQ06995</t>
        </is>
      </c>
      <c r="I2816" t="n">
        <v>476</v>
      </c>
    </row>
    <row r="2817">
      <c r="A2817" t="n">
        <v>80375</v>
      </c>
      <c r="B2817" t="n">
        <v>115</v>
      </c>
      <c r="C2817" t="inlineStr">
        <is>
          <t>Love - Shibari - Bradesco</t>
        </is>
      </c>
      <c r="D2817" t="n">
        <v>128</v>
      </c>
      <c r="E2817" t="inlineStr">
        <is>
          <t>Love Cabaret</t>
        </is>
      </c>
      <c r="F2817" s="27" t="n">
        <v>45756.5</v>
      </c>
      <c r="G2817" t="inlineStr">
        <is>
          <t>DEBITO</t>
        </is>
      </c>
      <c r="H2817" t="inlineStr">
        <is>
          <t>TRANSFERENCIA PIX DES: INDRA HARETRAVA       09/04</t>
        </is>
      </c>
      <c r="I2817" t="n">
        <v>-7420</v>
      </c>
    </row>
    <row r="2818">
      <c r="A2818" t="n">
        <v>80374</v>
      </c>
      <c r="B2818" t="n">
        <v>115</v>
      </c>
      <c r="C2818" t="inlineStr">
        <is>
          <t>Love - Shibari - Bradesco</t>
        </is>
      </c>
      <c r="D2818" t="n">
        <v>128</v>
      </c>
      <c r="E2818" t="inlineStr">
        <is>
          <t>Love Cabaret</t>
        </is>
      </c>
      <c r="F2818" s="27" t="n">
        <v>45756.5</v>
      </c>
      <c r="G2818" t="inlineStr">
        <is>
          <t>DEBITO</t>
        </is>
      </c>
      <c r="H2818" t="inlineStr">
        <is>
          <t>TRANSFERENCIA PIX DES: ANNA WOORTMANN        09/04</t>
        </is>
      </c>
      <c r="I2818" t="n">
        <v>-3600</v>
      </c>
    </row>
    <row r="2819">
      <c r="A2819" t="n">
        <v>80373</v>
      </c>
      <c r="B2819" t="n">
        <v>115</v>
      </c>
      <c r="C2819" t="inlineStr">
        <is>
          <t>Love - Shibari - Bradesco</t>
        </is>
      </c>
      <c r="D2819" t="n">
        <v>128</v>
      </c>
      <c r="E2819" t="inlineStr">
        <is>
          <t>Love Cabaret</t>
        </is>
      </c>
      <c r="F2819" s="27" t="n">
        <v>45756.5</v>
      </c>
      <c r="G2819" t="inlineStr">
        <is>
          <t>DEBITO</t>
        </is>
      </c>
      <c r="H2819" t="inlineStr">
        <is>
          <t>TRANSFERENCIA PIX DES: AGNES RODRIGUES DE OL 09/04</t>
        </is>
      </c>
      <c r="I2819" t="n">
        <v>-5000</v>
      </c>
    </row>
    <row r="2820">
      <c r="A2820" t="n">
        <v>80372</v>
      </c>
      <c r="B2820" t="n">
        <v>115</v>
      </c>
      <c r="C2820" t="inlineStr">
        <is>
          <t>Love - Shibari - Bradesco</t>
        </is>
      </c>
      <c r="D2820" t="n">
        <v>128</v>
      </c>
      <c r="E2820" t="inlineStr">
        <is>
          <t>Love Cabaret</t>
        </is>
      </c>
      <c r="F2820" s="27" t="n">
        <v>45756.5</v>
      </c>
      <c r="G2820" t="inlineStr">
        <is>
          <t>DEBITO</t>
        </is>
      </c>
      <c r="H2820" t="inlineStr">
        <is>
          <t>TRANSFERENCIA PIX DES: 55774785 THIAGO PINHE 09/04</t>
        </is>
      </c>
      <c r="I2820" t="n">
        <v>-1125</v>
      </c>
    </row>
    <row r="2821">
      <c r="A2821" t="n">
        <v>80371</v>
      </c>
      <c r="B2821" t="n">
        <v>115</v>
      </c>
      <c r="C2821" t="inlineStr">
        <is>
          <t>Love - Shibari - Bradesco</t>
        </is>
      </c>
      <c r="D2821" t="n">
        <v>128</v>
      </c>
      <c r="E2821" t="inlineStr">
        <is>
          <t>Love Cabaret</t>
        </is>
      </c>
      <c r="F2821" s="27" t="n">
        <v>45756.5</v>
      </c>
      <c r="G2821" t="inlineStr">
        <is>
          <t>DEBITO</t>
        </is>
      </c>
      <c r="H2821" t="inlineStr">
        <is>
          <t>TRANSFERENCIA PIX DES: 53.068.043 ISABELLA F 09/04</t>
        </is>
      </c>
      <c r="I2821" t="n">
        <v>-1200</v>
      </c>
    </row>
    <row r="2822">
      <c r="A2822" t="n">
        <v>80345</v>
      </c>
      <c r="B2822" t="n">
        <v>115</v>
      </c>
      <c r="C2822" t="inlineStr">
        <is>
          <t>Love - Shibari - Bradesco</t>
        </is>
      </c>
      <c r="D2822" t="n">
        <v>128</v>
      </c>
      <c r="E2822" t="inlineStr">
        <is>
          <t>Love Cabaret</t>
        </is>
      </c>
      <c r="F2822" s="27" t="n">
        <v>45756.5</v>
      </c>
      <c r="G2822" t="inlineStr">
        <is>
          <t>DEBITO</t>
        </is>
      </c>
      <c r="H2822" t="inlineStr">
        <is>
          <t>PAGTO ELETRON  COBRANCA NF 7684</t>
        </is>
      </c>
      <c r="I2822" t="n">
        <v>-299.99</v>
      </c>
    </row>
    <row r="2823">
      <c r="A2823" t="n">
        <v>80369</v>
      </c>
      <c r="B2823" t="n">
        <v>115</v>
      </c>
      <c r="C2823" t="inlineStr">
        <is>
          <t>Love - Shibari - Bradesco</t>
        </is>
      </c>
      <c r="D2823" t="n">
        <v>128</v>
      </c>
      <c r="E2823" t="inlineStr">
        <is>
          <t>Love Cabaret</t>
        </is>
      </c>
      <c r="F2823" s="27" t="n">
        <v>45756.5</v>
      </c>
      <c r="G2823" t="inlineStr">
        <is>
          <t>DEBITO</t>
        </is>
      </c>
      <c r="H2823" t="inlineStr">
        <is>
          <t>TRANSFERENCIA PIX DES: VANESSA DEL SANTOS DE 09/04</t>
        </is>
      </c>
      <c r="I2823" t="n">
        <v>-3000</v>
      </c>
    </row>
    <row r="2824">
      <c r="A2824" t="n">
        <v>80368</v>
      </c>
      <c r="B2824" t="n">
        <v>115</v>
      </c>
      <c r="C2824" t="inlineStr">
        <is>
          <t>Love - Shibari - Bradesco</t>
        </is>
      </c>
      <c r="D2824" t="n">
        <v>128</v>
      </c>
      <c r="E2824" t="inlineStr">
        <is>
          <t>Love Cabaret</t>
        </is>
      </c>
      <c r="F2824" s="27" t="n">
        <v>45756.5</v>
      </c>
      <c r="G2824" t="inlineStr">
        <is>
          <t>DEBITO</t>
        </is>
      </c>
      <c r="H2824" t="inlineStr">
        <is>
          <t>TRANSFERENCIA PIX DES: Tamara Santos Ribeiro 09/04</t>
        </is>
      </c>
      <c r="I2824" t="n">
        <v>-3500</v>
      </c>
    </row>
    <row r="2825">
      <c r="A2825" t="n">
        <v>80367</v>
      </c>
      <c r="B2825" t="n">
        <v>115</v>
      </c>
      <c r="C2825" t="inlineStr">
        <is>
          <t>Love - Shibari - Bradesco</t>
        </is>
      </c>
      <c r="D2825" t="n">
        <v>128</v>
      </c>
      <c r="E2825" t="inlineStr">
        <is>
          <t>Love Cabaret</t>
        </is>
      </c>
      <c r="F2825" s="27" t="n">
        <v>45756.5</v>
      </c>
      <c r="G2825" t="inlineStr">
        <is>
          <t>DEBITO</t>
        </is>
      </c>
      <c r="H2825" t="inlineStr">
        <is>
          <t>TRANSFERENCIA PIX DES: JULIA BAISCH FRANZ 02 09/04</t>
        </is>
      </c>
      <c r="I2825" t="n">
        <v>-8500</v>
      </c>
    </row>
    <row r="2826">
      <c r="A2826" t="n">
        <v>80366</v>
      </c>
      <c r="B2826" t="n">
        <v>115</v>
      </c>
      <c r="C2826" t="inlineStr">
        <is>
          <t>Love - Shibari - Bradesco</t>
        </is>
      </c>
      <c r="D2826" t="n">
        <v>128</v>
      </c>
      <c r="E2826" t="inlineStr">
        <is>
          <t>Love Cabaret</t>
        </is>
      </c>
      <c r="F2826" s="27" t="n">
        <v>45756.5</v>
      </c>
      <c r="G2826" t="inlineStr">
        <is>
          <t>DEBITO</t>
        </is>
      </c>
      <c r="H2826" t="inlineStr">
        <is>
          <t>TRANSFERENCIA PIX DES: GABRIELA TOLEDO MONTE 09/04</t>
        </is>
      </c>
      <c r="I2826" t="n">
        <v>-4000</v>
      </c>
    </row>
    <row r="2827">
      <c r="A2827" t="n">
        <v>80365</v>
      </c>
      <c r="B2827" t="n">
        <v>115</v>
      </c>
      <c r="C2827" t="inlineStr">
        <is>
          <t>Love - Shibari - Bradesco</t>
        </is>
      </c>
      <c r="D2827" t="n">
        <v>128</v>
      </c>
      <c r="E2827" t="inlineStr">
        <is>
          <t>Love Cabaret</t>
        </is>
      </c>
      <c r="F2827" s="27" t="n">
        <v>45756.5</v>
      </c>
      <c r="G2827" t="inlineStr">
        <is>
          <t>DEBITO</t>
        </is>
      </c>
      <c r="H2827" t="inlineStr">
        <is>
          <t>TRANSFERENCIA PIX DES: JULIANA DANTAS GONCAL 09/04</t>
        </is>
      </c>
      <c r="I2827" t="n">
        <v>-3000</v>
      </c>
    </row>
    <row r="2828">
      <c r="A2828" t="n">
        <v>80364</v>
      </c>
      <c r="B2828" t="n">
        <v>115</v>
      </c>
      <c r="C2828" t="inlineStr">
        <is>
          <t>Love - Shibari - Bradesco</t>
        </is>
      </c>
      <c r="D2828" t="n">
        <v>128</v>
      </c>
      <c r="E2828" t="inlineStr">
        <is>
          <t>Love Cabaret</t>
        </is>
      </c>
      <c r="F2828" s="27" t="n">
        <v>45756.5</v>
      </c>
      <c r="G2828" t="inlineStr">
        <is>
          <t>DEBITO</t>
        </is>
      </c>
      <c r="H2828" t="inlineStr">
        <is>
          <t>TRANSFERENCIA PIX DES: Laisa Larangeira      09/04</t>
        </is>
      </c>
      <c r="I2828" t="n">
        <v>-1600</v>
      </c>
    </row>
    <row r="2829">
      <c r="A2829" t="n">
        <v>80363</v>
      </c>
      <c r="B2829" t="n">
        <v>115</v>
      </c>
      <c r="C2829" t="inlineStr">
        <is>
          <t>Love - Shibari - Bradesco</t>
        </is>
      </c>
      <c r="D2829" t="n">
        <v>128</v>
      </c>
      <c r="E2829" t="inlineStr">
        <is>
          <t>Love Cabaret</t>
        </is>
      </c>
      <c r="F2829" s="27" t="n">
        <v>45756.5</v>
      </c>
      <c r="G2829" t="inlineStr">
        <is>
          <t>DEBITO</t>
        </is>
      </c>
      <c r="H2829" t="inlineStr">
        <is>
          <t>TRANSFERENCIA PIX DES: FELIPE DA COSTA SANTO 09/04</t>
        </is>
      </c>
      <c r="I2829" t="n">
        <v>-6030</v>
      </c>
    </row>
    <row r="2830">
      <c r="A2830" t="n">
        <v>80314</v>
      </c>
      <c r="B2830" t="n">
        <v>115</v>
      </c>
      <c r="C2830" t="inlineStr">
        <is>
          <t>Love - Shibari - Bradesco</t>
        </is>
      </c>
      <c r="D2830" t="n">
        <v>128</v>
      </c>
      <c r="E2830" t="inlineStr">
        <is>
          <t>Love Cabaret</t>
        </is>
      </c>
      <c r="F2830" s="27" t="n">
        <v>45754.5</v>
      </c>
      <c r="G2830" t="inlineStr">
        <is>
          <t>CREDITO</t>
        </is>
      </c>
      <c r="H2830" t="inlineStr">
        <is>
          <t>DEP DINHEIRO ATM AG00117MAQ061059SEQ00186</t>
        </is>
      </c>
      <c r="I2830" t="n">
        <v>2160</v>
      </c>
    </row>
    <row r="2831">
      <c r="A2831" t="n">
        <v>80329</v>
      </c>
      <c r="B2831" t="n">
        <v>115</v>
      </c>
      <c r="C2831" t="inlineStr">
        <is>
          <t>Love - Shibari - Bradesco</t>
        </is>
      </c>
      <c r="D2831" t="n">
        <v>128</v>
      </c>
      <c r="E2831" t="inlineStr">
        <is>
          <t>Love Cabaret</t>
        </is>
      </c>
      <c r="F2831" s="27" t="n">
        <v>45754.5</v>
      </c>
      <c r="G2831" t="inlineStr">
        <is>
          <t>DEBITO</t>
        </is>
      </c>
      <c r="H2831" t="inlineStr">
        <is>
          <t>PAGTO ELETRON  COBRANCA NF 134106</t>
        </is>
      </c>
      <c r="I2831" t="n">
        <v>-403.14</v>
      </c>
    </row>
    <row r="2832">
      <c r="A2832" t="n">
        <v>80317</v>
      </c>
      <c r="B2832" t="n">
        <v>115</v>
      </c>
      <c r="C2832" t="inlineStr">
        <is>
          <t>Love - Shibari - Bradesco</t>
        </is>
      </c>
      <c r="D2832" t="n">
        <v>128</v>
      </c>
      <c r="E2832" t="inlineStr">
        <is>
          <t>Love Cabaret</t>
        </is>
      </c>
      <c r="F2832" s="27" t="n">
        <v>45754.5</v>
      </c>
      <c r="G2832" t="inlineStr">
        <is>
          <t>DEBITO</t>
        </is>
      </c>
      <c r="H2832" t="inlineStr">
        <is>
          <t>PAGTO ELETRON  COBRANCA VERISURE BRASIL MONITORAMENTO DE</t>
        </is>
      </c>
      <c r="I2832" t="n">
        <v>-263.78</v>
      </c>
    </row>
    <row r="2833">
      <c r="A2833" t="n">
        <v>80318</v>
      </c>
      <c r="B2833" t="n">
        <v>115</v>
      </c>
      <c r="C2833" t="inlineStr">
        <is>
          <t>Love - Shibari - Bradesco</t>
        </is>
      </c>
      <c r="D2833" t="n">
        <v>128</v>
      </c>
      <c r="E2833" t="inlineStr">
        <is>
          <t>Love Cabaret</t>
        </is>
      </c>
      <c r="F2833" s="27" t="n">
        <v>45754.5</v>
      </c>
      <c r="G2833" t="inlineStr">
        <is>
          <t>DEBITO</t>
        </is>
      </c>
      <c r="H2833" t="inlineStr">
        <is>
          <t>PAGTO ELETRON  COBRANCA NF 544277110</t>
        </is>
      </c>
      <c r="I2833" t="n">
        <v>-19250</v>
      </c>
    </row>
    <row r="2834">
      <c r="A2834" t="n">
        <v>80319</v>
      </c>
      <c r="B2834" t="n">
        <v>115</v>
      </c>
      <c r="C2834" t="inlineStr">
        <is>
          <t>Love - Shibari - Bradesco</t>
        </is>
      </c>
      <c r="D2834" t="n">
        <v>128</v>
      </c>
      <c r="E2834" t="inlineStr">
        <is>
          <t>Love Cabaret</t>
        </is>
      </c>
      <c r="F2834" s="27" t="n">
        <v>45754.5</v>
      </c>
      <c r="G2834" t="inlineStr">
        <is>
          <t>DEBITO</t>
        </is>
      </c>
      <c r="H2834" t="inlineStr">
        <is>
          <t>PAGTO ELETRON  COBRANCA NF 418</t>
        </is>
      </c>
      <c r="I2834" t="n">
        <v>-9726</v>
      </c>
    </row>
    <row r="2835">
      <c r="A2835" t="n">
        <v>80320</v>
      </c>
      <c r="B2835" t="n">
        <v>115</v>
      </c>
      <c r="C2835" t="inlineStr">
        <is>
          <t>Love - Shibari - Bradesco</t>
        </is>
      </c>
      <c r="D2835" t="n">
        <v>128</v>
      </c>
      <c r="E2835" t="inlineStr">
        <is>
          <t>Love Cabaret</t>
        </is>
      </c>
      <c r="F2835" s="27" t="n">
        <v>45754.5</v>
      </c>
      <c r="G2835" t="inlineStr">
        <is>
          <t>DEBITO</t>
        </is>
      </c>
      <c r="H2835" t="inlineStr">
        <is>
          <t>PAGTO ELETRON  COBRANCA NF 134957</t>
        </is>
      </c>
      <c r="I2835" t="n">
        <v>-2240.49</v>
      </c>
    </row>
    <row r="2836">
      <c r="A2836" t="n">
        <v>80321</v>
      </c>
      <c r="B2836" t="n">
        <v>115</v>
      </c>
      <c r="C2836" t="inlineStr">
        <is>
          <t>Love - Shibari - Bradesco</t>
        </is>
      </c>
      <c r="D2836" t="n">
        <v>128</v>
      </c>
      <c r="E2836" t="inlineStr">
        <is>
          <t>Love Cabaret</t>
        </is>
      </c>
      <c r="F2836" s="27" t="n">
        <v>45754.5</v>
      </c>
      <c r="G2836" t="inlineStr">
        <is>
          <t>DEBITO</t>
        </is>
      </c>
      <c r="H2836" t="inlineStr">
        <is>
          <t>PAGTO ELETRON  COBRANCA NF 3250226</t>
        </is>
      </c>
      <c r="I2836" t="n">
        <v>-2117.46</v>
      </c>
    </row>
    <row r="2837">
      <c r="A2837" t="n">
        <v>80322</v>
      </c>
      <c r="B2837" t="n">
        <v>115</v>
      </c>
      <c r="C2837" t="inlineStr">
        <is>
          <t>Love - Shibari - Bradesco</t>
        </is>
      </c>
      <c r="D2837" t="n">
        <v>128</v>
      </c>
      <c r="E2837" t="inlineStr">
        <is>
          <t>Love Cabaret</t>
        </is>
      </c>
      <c r="F2837" s="27" t="n">
        <v>45754.5</v>
      </c>
      <c r="G2837" t="inlineStr">
        <is>
          <t>DEBITO</t>
        </is>
      </c>
      <c r="H2837" t="inlineStr">
        <is>
          <t>PAGTO ELETRON  COBRANCA NF 398041</t>
        </is>
      </c>
      <c r="I2837" t="n">
        <v>-1588.7</v>
      </c>
    </row>
    <row r="2838">
      <c r="A2838" t="n">
        <v>80323</v>
      </c>
      <c r="B2838" t="n">
        <v>115</v>
      </c>
      <c r="C2838" t="inlineStr">
        <is>
          <t>Love - Shibari - Bradesco</t>
        </is>
      </c>
      <c r="D2838" t="n">
        <v>128</v>
      </c>
      <c r="E2838" t="inlineStr">
        <is>
          <t>Love Cabaret</t>
        </is>
      </c>
      <c r="F2838" s="27" t="n">
        <v>45754.5</v>
      </c>
      <c r="G2838" t="inlineStr">
        <is>
          <t>DEBITO</t>
        </is>
      </c>
      <c r="H2838" t="inlineStr">
        <is>
          <t>PAGTO ELETRON  COBRANCA NF 237075</t>
        </is>
      </c>
      <c r="I2838" t="n">
        <v>-1318</v>
      </c>
    </row>
    <row r="2839">
      <c r="A2839" t="n">
        <v>80324</v>
      </c>
      <c r="B2839" t="n">
        <v>115</v>
      </c>
      <c r="C2839" t="inlineStr">
        <is>
          <t>Love - Shibari - Bradesco</t>
        </is>
      </c>
      <c r="D2839" t="n">
        <v>128</v>
      </c>
      <c r="E2839" t="inlineStr">
        <is>
          <t>Love Cabaret</t>
        </is>
      </c>
      <c r="F2839" s="27" t="n">
        <v>45754.5</v>
      </c>
      <c r="G2839" t="inlineStr">
        <is>
          <t>DEBITO</t>
        </is>
      </c>
      <c r="H2839" t="inlineStr">
        <is>
          <t>PAGTO ELETRON  COBRANCA NF 1374</t>
        </is>
      </c>
      <c r="I2839" t="n">
        <v>-722.59</v>
      </c>
    </row>
    <row r="2840">
      <c r="A2840" t="n">
        <v>80325</v>
      </c>
      <c r="B2840" t="n">
        <v>115</v>
      </c>
      <c r="C2840" t="inlineStr">
        <is>
          <t>Love - Shibari - Bradesco</t>
        </is>
      </c>
      <c r="D2840" t="n">
        <v>128</v>
      </c>
      <c r="E2840" t="inlineStr">
        <is>
          <t>Love Cabaret</t>
        </is>
      </c>
      <c r="F2840" s="27" t="n">
        <v>45754.5</v>
      </c>
      <c r="G2840" t="inlineStr">
        <is>
          <t>DEBITO</t>
        </is>
      </c>
      <c r="H2840" t="inlineStr">
        <is>
          <t>PAGTO ELETRON  COBRANCA NF 585299</t>
        </is>
      </c>
      <c r="I2840" t="n">
        <v>-621.04</v>
      </c>
    </row>
    <row r="2841">
      <c r="A2841" t="n">
        <v>80327</v>
      </c>
      <c r="B2841" t="n">
        <v>115</v>
      </c>
      <c r="C2841" t="inlineStr">
        <is>
          <t>Love - Shibari - Bradesco</t>
        </is>
      </c>
      <c r="D2841" t="n">
        <v>128</v>
      </c>
      <c r="E2841" t="inlineStr">
        <is>
          <t>Love Cabaret</t>
        </is>
      </c>
      <c r="F2841" s="27" t="n">
        <v>45754.5</v>
      </c>
      <c r="G2841" t="inlineStr">
        <is>
          <t>DEBITO</t>
        </is>
      </c>
      <c r="H2841" t="inlineStr">
        <is>
          <t>PAGTO ELETRON  COBRANCA NF 13270</t>
        </is>
      </c>
      <c r="I2841" t="n">
        <v>-854.49</v>
      </c>
    </row>
    <row r="2842">
      <c r="A2842" t="n">
        <v>80328</v>
      </c>
      <c r="B2842" t="n">
        <v>115</v>
      </c>
      <c r="C2842" t="inlineStr">
        <is>
          <t>Love - Shibari - Bradesco</t>
        </is>
      </c>
      <c r="D2842" t="n">
        <v>128</v>
      </c>
      <c r="E2842" t="inlineStr">
        <is>
          <t>Love Cabaret</t>
        </is>
      </c>
      <c r="F2842" s="27" t="n">
        <v>45754.5</v>
      </c>
      <c r="G2842" t="inlineStr">
        <is>
          <t>DEBITO</t>
        </is>
      </c>
      <c r="H2842" t="inlineStr">
        <is>
          <t>PAGTO ELETRON  COBRANCA NF 303669</t>
        </is>
      </c>
      <c r="I2842" t="n">
        <v>-435.51</v>
      </c>
    </row>
    <row r="2843">
      <c r="A2843" t="n">
        <v>80326</v>
      </c>
      <c r="B2843" t="n">
        <v>115</v>
      </c>
      <c r="C2843" t="inlineStr">
        <is>
          <t>Love - Shibari - Bradesco</t>
        </is>
      </c>
      <c r="D2843" t="n">
        <v>128</v>
      </c>
      <c r="E2843" t="inlineStr">
        <is>
          <t>Love Cabaret</t>
        </is>
      </c>
      <c r="F2843" s="27" t="n">
        <v>45754.5</v>
      </c>
      <c r="G2843" t="inlineStr">
        <is>
          <t>DEBITO</t>
        </is>
      </c>
      <c r="H2843" t="inlineStr">
        <is>
          <t>PAGTO ELETRON  COBRANCA NF 367956</t>
        </is>
      </c>
      <c r="I2843" t="n">
        <v>-534.63</v>
      </c>
    </row>
    <row r="2844">
      <c r="A2844" t="n">
        <v>80330</v>
      </c>
      <c r="B2844" t="n">
        <v>115</v>
      </c>
      <c r="C2844" t="inlineStr">
        <is>
          <t>Love - Shibari - Bradesco</t>
        </is>
      </c>
      <c r="D2844" t="n">
        <v>128</v>
      </c>
      <c r="E2844" t="inlineStr">
        <is>
          <t>Love Cabaret</t>
        </is>
      </c>
      <c r="F2844" s="27" t="n">
        <v>45754.5</v>
      </c>
      <c r="G2844" t="inlineStr">
        <is>
          <t>DEBITO</t>
        </is>
      </c>
      <c r="H2844" t="inlineStr">
        <is>
          <t>PAGTO ELETRON  COBRANCA NF 218641</t>
        </is>
      </c>
      <c r="I2844" t="n">
        <v>-327</v>
      </c>
    </row>
    <row r="2845">
      <c r="A2845" t="n">
        <v>80331</v>
      </c>
      <c r="B2845" t="n">
        <v>115</v>
      </c>
      <c r="C2845" t="inlineStr">
        <is>
          <t>Love - Shibari - Bradesco</t>
        </is>
      </c>
      <c r="D2845" t="n">
        <v>128</v>
      </c>
      <c r="E2845" t="inlineStr">
        <is>
          <t>Love Cabaret</t>
        </is>
      </c>
      <c r="F2845" s="27" t="n">
        <v>45754.5</v>
      </c>
      <c r="G2845" t="inlineStr">
        <is>
          <t>DEBITO</t>
        </is>
      </c>
      <c r="H2845" t="inlineStr">
        <is>
          <t>PAGTO ELETRON  COBRANCA NF 35113</t>
        </is>
      </c>
      <c r="I2845" t="n">
        <v>-326.75</v>
      </c>
    </row>
    <row r="2846">
      <c r="A2846" t="n">
        <v>80339</v>
      </c>
      <c r="B2846" t="n">
        <v>115</v>
      </c>
      <c r="C2846" t="inlineStr">
        <is>
          <t>Love - Shibari - Bradesco</t>
        </is>
      </c>
      <c r="D2846" t="n">
        <v>128</v>
      </c>
      <c r="E2846" t="inlineStr">
        <is>
          <t>Love Cabaret</t>
        </is>
      </c>
      <c r="F2846" s="27" t="n">
        <v>45754.5</v>
      </c>
      <c r="G2846" t="inlineStr">
        <is>
          <t>DEBITO</t>
        </is>
      </c>
      <c r="H2846" t="inlineStr">
        <is>
          <t>TRANSFERENCIA PIX DES: MACHINE SEGURANCA PAT 07/04</t>
        </is>
      </c>
      <c r="I2846" t="n">
        <v>-6270</v>
      </c>
    </row>
    <row r="2847">
      <c r="A2847" t="n">
        <v>80338</v>
      </c>
      <c r="B2847" t="n">
        <v>115</v>
      </c>
      <c r="C2847" t="inlineStr">
        <is>
          <t>Love - Shibari - Bradesco</t>
        </is>
      </c>
      <c r="D2847" t="n">
        <v>128</v>
      </c>
      <c r="E2847" t="inlineStr">
        <is>
          <t>Love Cabaret</t>
        </is>
      </c>
      <c r="F2847" s="27" t="n">
        <v>45754.5</v>
      </c>
      <c r="G2847" t="inlineStr">
        <is>
          <t>DEBITO</t>
        </is>
      </c>
      <c r="H2847" t="inlineStr">
        <is>
          <t>TRANSFERENCIA PIX DES: TAKUAROBI             07/04</t>
        </is>
      </c>
      <c r="I2847" t="n">
        <v>-445</v>
      </c>
    </row>
    <row r="2848">
      <c r="A2848" t="n">
        <v>80337</v>
      </c>
      <c r="B2848" t="n">
        <v>115</v>
      </c>
      <c r="C2848" t="inlineStr">
        <is>
          <t>Love - Shibari - Bradesco</t>
        </is>
      </c>
      <c r="D2848" t="n">
        <v>128</v>
      </c>
      <c r="E2848" t="inlineStr">
        <is>
          <t>Love Cabaret</t>
        </is>
      </c>
      <c r="F2848" s="27" t="n">
        <v>45754.5</v>
      </c>
      <c r="G2848" t="inlineStr">
        <is>
          <t>DEBITO</t>
        </is>
      </c>
      <c r="H2848" t="inlineStr">
        <is>
          <t>TRANSFERENCIA PIX DES: EDJANE DANTAS SANTOS  07/04</t>
        </is>
      </c>
      <c r="I2848" t="n">
        <v>-1200</v>
      </c>
    </row>
    <row r="2849">
      <c r="A2849" t="n">
        <v>80332</v>
      </c>
      <c r="B2849" t="n">
        <v>115</v>
      </c>
      <c r="C2849" t="inlineStr">
        <is>
          <t>Love - Shibari - Bradesco</t>
        </is>
      </c>
      <c r="D2849" t="n">
        <v>128</v>
      </c>
      <c r="E2849" t="inlineStr">
        <is>
          <t>Love Cabaret</t>
        </is>
      </c>
      <c r="F2849" s="27" t="n">
        <v>45754.5</v>
      </c>
      <c r="G2849" t="inlineStr">
        <is>
          <t>DEBITO</t>
        </is>
      </c>
      <c r="H2849" t="inlineStr">
        <is>
          <t>PAGTO ELETRON  COBRANCA NF 1753</t>
        </is>
      </c>
      <c r="I2849" t="n">
        <v>-287.6</v>
      </c>
    </row>
    <row r="2850">
      <c r="A2850" t="n">
        <v>80333</v>
      </c>
      <c r="B2850" t="n">
        <v>115</v>
      </c>
      <c r="C2850" t="inlineStr">
        <is>
          <t>Love - Shibari - Bradesco</t>
        </is>
      </c>
      <c r="D2850" t="n">
        <v>128</v>
      </c>
      <c r="E2850" t="inlineStr">
        <is>
          <t>Love Cabaret</t>
        </is>
      </c>
      <c r="F2850" s="27" t="n">
        <v>45754.5</v>
      </c>
      <c r="G2850" t="inlineStr">
        <is>
          <t>DEBITO</t>
        </is>
      </c>
      <c r="H2850" t="inlineStr">
        <is>
          <t>PAGTO ELETRON  COBRANCA NF 26058</t>
        </is>
      </c>
      <c r="I2850" t="n">
        <v>-119.02</v>
      </c>
    </row>
    <row r="2851">
      <c r="A2851" t="n">
        <v>80334</v>
      </c>
      <c r="B2851" t="n">
        <v>115</v>
      </c>
      <c r="C2851" t="inlineStr">
        <is>
          <t>Love - Shibari - Bradesco</t>
        </is>
      </c>
      <c r="D2851" t="n">
        <v>128</v>
      </c>
      <c r="E2851" t="inlineStr">
        <is>
          <t>Love Cabaret</t>
        </is>
      </c>
      <c r="F2851" s="27" t="n">
        <v>45754.5</v>
      </c>
      <c r="G2851" t="inlineStr">
        <is>
          <t>DEBITO</t>
        </is>
      </c>
      <c r="H2851" t="inlineStr">
        <is>
          <t>PAGTO ELETRON  COBRANCA NF 19441</t>
        </is>
      </c>
      <c r="I2851" t="n">
        <v>-46.75</v>
      </c>
    </row>
    <row r="2852">
      <c r="A2852" t="n">
        <v>80335</v>
      </c>
      <c r="B2852" t="n">
        <v>115</v>
      </c>
      <c r="C2852" t="inlineStr">
        <is>
          <t>Love - Shibari - Bradesco</t>
        </is>
      </c>
      <c r="D2852" t="n">
        <v>128</v>
      </c>
      <c r="E2852" t="inlineStr">
        <is>
          <t>Love Cabaret</t>
        </is>
      </c>
      <c r="F2852" s="27" t="n">
        <v>45754.5</v>
      </c>
      <c r="G2852" t="inlineStr">
        <is>
          <t>DEBITO</t>
        </is>
      </c>
      <c r="H2852" t="inlineStr">
        <is>
          <t>PAGTO ELETRON  COBRANCA NF 3869</t>
        </is>
      </c>
      <c r="I2852" t="n">
        <v>-220</v>
      </c>
    </row>
    <row r="2853">
      <c r="A2853" t="n">
        <v>80336</v>
      </c>
      <c r="B2853" t="n">
        <v>115</v>
      </c>
      <c r="C2853" t="inlineStr">
        <is>
          <t>Love - Shibari - Bradesco</t>
        </is>
      </c>
      <c r="D2853" t="n">
        <v>128</v>
      </c>
      <c r="E2853" t="inlineStr">
        <is>
          <t>Love Cabaret</t>
        </is>
      </c>
      <c r="F2853" s="27" t="n">
        <v>45754.5</v>
      </c>
      <c r="G2853" t="inlineStr">
        <is>
          <t>DEBITO</t>
        </is>
      </c>
      <c r="H2853" t="inlineStr">
        <is>
          <t>PAGTO ELETRON  COBRANCA NF 10426</t>
        </is>
      </c>
      <c r="I2853" t="n">
        <v>-155.39</v>
      </c>
    </row>
    <row r="2854">
      <c r="A2854" t="n">
        <v>80315</v>
      </c>
      <c r="B2854" t="n">
        <v>115</v>
      </c>
      <c r="C2854" t="inlineStr">
        <is>
          <t>Love - Shibari - Bradesco</t>
        </is>
      </c>
      <c r="D2854" t="n">
        <v>128</v>
      </c>
      <c r="E2854" t="inlineStr">
        <is>
          <t>Love Cabaret</t>
        </is>
      </c>
      <c r="F2854" s="27" t="n">
        <v>45754.5</v>
      </c>
      <c r="G2854" t="inlineStr">
        <is>
          <t>CREDITO</t>
        </is>
      </c>
      <c r="H2854" t="inlineStr">
        <is>
          <t>TRANSFERENCIA PIX REM: SHIBARI ART E DIVERSA 07/04</t>
        </is>
      </c>
      <c r="I2854" t="n">
        <v>32921.64</v>
      </c>
    </row>
    <row r="2855">
      <c r="A2855" t="n">
        <v>80313</v>
      </c>
      <c r="B2855" t="n">
        <v>115</v>
      </c>
      <c r="C2855" t="inlineStr">
        <is>
          <t>Love - Shibari - Bradesco</t>
        </is>
      </c>
      <c r="D2855" t="n">
        <v>128</v>
      </c>
      <c r="E2855" t="inlineStr">
        <is>
          <t>Love Cabaret</t>
        </is>
      </c>
      <c r="F2855" s="27" t="n">
        <v>45751.5</v>
      </c>
      <c r="G2855" t="inlineStr">
        <is>
          <t>DEBITO</t>
        </is>
      </c>
      <c r="H2855" t="inlineStr">
        <is>
          <t>TARIFA BANCARIA TRANSF PGTO PIX</t>
        </is>
      </c>
      <c r="I2855" t="n">
        <v>-9</v>
      </c>
    </row>
    <row r="2856">
      <c r="A2856" t="n">
        <v>80312</v>
      </c>
      <c r="B2856" t="n">
        <v>115</v>
      </c>
      <c r="C2856" t="inlineStr">
        <is>
          <t>Love - Shibari - Bradesco</t>
        </is>
      </c>
      <c r="D2856" t="n">
        <v>128</v>
      </c>
      <c r="E2856" t="inlineStr">
        <is>
          <t>Love Cabaret</t>
        </is>
      </c>
      <c r="F2856" s="27" t="n">
        <v>45751.5</v>
      </c>
      <c r="G2856" t="inlineStr">
        <is>
          <t>DEBITO</t>
        </is>
      </c>
      <c r="H2856" t="inlineStr">
        <is>
          <t>TARIFA BANCARIA TRANSF PGTO PIX</t>
        </is>
      </c>
      <c r="I2856" t="n">
        <v>-9</v>
      </c>
    </row>
    <row r="2857">
      <c r="A2857" t="n">
        <v>80311</v>
      </c>
      <c r="B2857" t="n">
        <v>115</v>
      </c>
      <c r="C2857" t="inlineStr">
        <is>
          <t>Love - Shibari - Bradesco</t>
        </is>
      </c>
      <c r="D2857" t="n">
        <v>128</v>
      </c>
      <c r="E2857" t="inlineStr">
        <is>
          <t>Love Cabaret</t>
        </is>
      </c>
      <c r="F2857" s="27" t="n">
        <v>45751.5</v>
      </c>
      <c r="G2857" t="inlineStr">
        <is>
          <t>CREDITO</t>
        </is>
      </c>
      <c r="H2857" t="inlineStr">
        <is>
          <t>TED-TRANSF ELET DISPON REMET.DIVERTI TICKETS COME</t>
        </is>
      </c>
      <c r="I2857" t="n">
        <v>4396.57</v>
      </c>
    </row>
    <row r="2858">
      <c r="A2858" t="n">
        <v>80310</v>
      </c>
      <c r="B2858" t="n">
        <v>115</v>
      </c>
      <c r="C2858" t="inlineStr">
        <is>
          <t>Love - Shibari - Bradesco</t>
        </is>
      </c>
      <c r="D2858" t="n">
        <v>128</v>
      </c>
      <c r="E2858" t="inlineStr">
        <is>
          <t>Love Cabaret</t>
        </is>
      </c>
      <c r="F2858" s="27" t="n">
        <v>45751.5</v>
      </c>
      <c r="G2858" t="inlineStr">
        <is>
          <t>CREDITO</t>
        </is>
      </c>
      <c r="H2858" t="inlineStr">
        <is>
          <t>TED-TRANSF ELET DISPON REMET.DIVERTI TICKETS COME</t>
        </is>
      </c>
      <c r="I2858" t="n">
        <v>6574.66</v>
      </c>
    </row>
    <row r="2859">
      <c r="A2859" t="n">
        <v>80309</v>
      </c>
      <c r="B2859" t="n">
        <v>115</v>
      </c>
      <c r="C2859" t="inlineStr">
        <is>
          <t>Love - Shibari - Bradesco</t>
        </is>
      </c>
      <c r="D2859" t="n">
        <v>128</v>
      </c>
      <c r="E2859" t="inlineStr">
        <is>
          <t>Love Cabaret</t>
        </is>
      </c>
      <c r="F2859" s="27" t="n">
        <v>45751.5</v>
      </c>
      <c r="G2859" t="inlineStr">
        <is>
          <t>CREDITO</t>
        </is>
      </c>
      <c r="H2859" t="inlineStr">
        <is>
          <t>TED-TRANSF ELET DISPON REMET.DIVERTI TICKETS COME</t>
        </is>
      </c>
      <c r="I2859" t="n">
        <v>8918.57</v>
      </c>
    </row>
    <row r="2860">
      <c r="A2860" t="n">
        <v>80297</v>
      </c>
      <c r="B2860" t="n">
        <v>115</v>
      </c>
      <c r="C2860" t="inlineStr">
        <is>
          <t>Love - Shibari - Bradesco</t>
        </is>
      </c>
      <c r="D2860" t="n">
        <v>128</v>
      </c>
      <c r="E2860" t="inlineStr">
        <is>
          <t>Love Cabaret</t>
        </is>
      </c>
      <c r="F2860" s="27" t="n">
        <v>45749.5</v>
      </c>
      <c r="G2860" t="inlineStr">
        <is>
          <t>DEBITO</t>
        </is>
      </c>
      <c r="H2860" t="inlineStr">
        <is>
          <t>PAGTO ELETRON  COBRANCA NF 8040</t>
        </is>
      </c>
      <c r="I2860" t="n">
        <v>-1600</v>
      </c>
    </row>
    <row r="2861">
      <c r="A2861" t="n">
        <v>80287</v>
      </c>
      <c r="B2861" t="n">
        <v>115</v>
      </c>
      <c r="C2861" t="inlineStr">
        <is>
          <t>Love - Shibari - Bradesco</t>
        </is>
      </c>
      <c r="D2861" t="n">
        <v>128</v>
      </c>
      <c r="E2861" t="inlineStr">
        <is>
          <t>Love Cabaret</t>
        </is>
      </c>
      <c r="F2861" s="27" t="n">
        <v>45749.5</v>
      </c>
      <c r="G2861" t="inlineStr">
        <is>
          <t>DEBITO</t>
        </is>
      </c>
      <c r="H2861" t="inlineStr">
        <is>
          <t>PAGTO ELETRON  COBRANCA NF 54941285</t>
        </is>
      </c>
      <c r="I2861" t="n">
        <v>-13431</v>
      </c>
    </row>
    <row r="2862">
      <c r="A2862" t="n">
        <v>80284</v>
      </c>
      <c r="B2862" t="n">
        <v>115</v>
      </c>
      <c r="C2862" t="inlineStr">
        <is>
          <t>Love - Shibari - Bradesco</t>
        </is>
      </c>
      <c r="D2862" t="n">
        <v>128</v>
      </c>
      <c r="E2862" t="inlineStr">
        <is>
          <t>Love Cabaret</t>
        </is>
      </c>
      <c r="F2862" s="27" t="n">
        <v>45749.5</v>
      </c>
      <c r="G2862" t="inlineStr">
        <is>
          <t>CREDITO</t>
        </is>
      </c>
      <c r="H2862" t="inlineStr">
        <is>
          <t>DEP DINHEIRO ATM AG00117MAQ004723SEQ05655</t>
        </is>
      </c>
      <c r="I2862" t="n">
        <v>20</v>
      </c>
    </row>
    <row r="2863">
      <c r="A2863" t="n">
        <v>80283</v>
      </c>
      <c r="B2863" t="n">
        <v>115</v>
      </c>
      <c r="C2863" t="inlineStr">
        <is>
          <t>Love - Shibari - Bradesco</t>
        </is>
      </c>
      <c r="D2863" t="n">
        <v>128</v>
      </c>
      <c r="E2863" t="inlineStr">
        <is>
          <t>Love Cabaret</t>
        </is>
      </c>
      <c r="F2863" s="27" t="n">
        <v>45749.5</v>
      </c>
      <c r="G2863" t="inlineStr">
        <is>
          <t>CREDITO</t>
        </is>
      </c>
      <c r="H2863" t="inlineStr">
        <is>
          <t>DEP DINHEIRO ATM AG00117MAQ004723SEQ05651</t>
        </is>
      </c>
      <c r="I2863" t="n">
        <v>262</v>
      </c>
    </row>
    <row r="2864">
      <c r="A2864" t="n">
        <v>80293</v>
      </c>
      <c r="B2864" t="n">
        <v>115</v>
      </c>
      <c r="C2864" t="inlineStr">
        <is>
          <t>Love - Shibari - Bradesco</t>
        </is>
      </c>
      <c r="D2864" t="n">
        <v>128</v>
      </c>
      <c r="E2864" t="inlineStr">
        <is>
          <t>Love Cabaret</t>
        </is>
      </c>
      <c r="F2864" s="27" t="n">
        <v>45749.5</v>
      </c>
      <c r="G2864" t="inlineStr">
        <is>
          <t>DEBITO</t>
        </is>
      </c>
      <c r="H2864" t="inlineStr">
        <is>
          <t>PAGTO ELETRON  COBRANCA NF 27139</t>
        </is>
      </c>
      <c r="I2864" t="n">
        <v>-198</v>
      </c>
    </row>
    <row r="2865">
      <c r="A2865" t="n">
        <v>80301</v>
      </c>
      <c r="B2865" t="n">
        <v>115</v>
      </c>
      <c r="C2865" t="inlineStr">
        <is>
          <t>Love - Shibari - Bradesco</t>
        </is>
      </c>
      <c r="D2865" t="n">
        <v>128</v>
      </c>
      <c r="E2865" t="inlineStr">
        <is>
          <t>Love Cabaret</t>
        </is>
      </c>
      <c r="F2865" s="27" t="n">
        <v>45749.5</v>
      </c>
      <c r="G2865" t="inlineStr">
        <is>
          <t>DEBITO</t>
        </is>
      </c>
      <c r="H2865" t="inlineStr">
        <is>
          <t>TARIFA BANCARIA TRANSF PGTO PIX</t>
        </is>
      </c>
      <c r="I2865" t="n">
        <v>-7</v>
      </c>
    </row>
    <row r="2866">
      <c r="A2866" t="n">
        <v>80300</v>
      </c>
      <c r="B2866" t="n">
        <v>115</v>
      </c>
      <c r="C2866" t="inlineStr">
        <is>
          <t>Love - Shibari - Bradesco</t>
        </is>
      </c>
      <c r="D2866" t="n">
        <v>128</v>
      </c>
      <c r="E2866" t="inlineStr">
        <is>
          <t>Love Cabaret</t>
        </is>
      </c>
      <c r="F2866" s="27" t="n">
        <v>45749.5</v>
      </c>
      <c r="G2866" t="inlineStr">
        <is>
          <t>DEBITO</t>
        </is>
      </c>
      <c r="H2866" t="inlineStr">
        <is>
          <t>TARIFA BANCARIA TRANSF PGTO PIX</t>
        </is>
      </c>
      <c r="I2866" t="n">
        <v>-5.28</v>
      </c>
    </row>
    <row r="2867">
      <c r="A2867" t="n">
        <v>80299</v>
      </c>
      <c r="B2867" t="n">
        <v>115</v>
      </c>
      <c r="C2867" t="inlineStr">
        <is>
          <t>Love - Shibari - Bradesco</t>
        </is>
      </c>
      <c r="D2867" t="n">
        <v>128</v>
      </c>
      <c r="E2867" t="inlineStr">
        <is>
          <t>Love Cabaret</t>
        </is>
      </c>
      <c r="F2867" s="27" t="n">
        <v>45749.5</v>
      </c>
      <c r="G2867" t="inlineStr">
        <is>
          <t>DEBITO</t>
        </is>
      </c>
      <c r="H2867" t="inlineStr">
        <is>
          <t>PAGTO ELETRON  COBRANCA NF 5637</t>
        </is>
      </c>
      <c r="I2867" t="n">
        <v>-766.4</v>
      </c>
    </row>
    <row r="2868">
      <c r="A2868" t="n">
        <v>80298</v>
      </c>
      <c r="B2868" t="n">
        <v>115</v>
      </c>
      <c r="C2868" t="inlineStr">
        <is>
          <t>Love - Shibari - Bradesco</t>
        </is>
      </c>
      <c r="D2868" t="n">
        <v>128</v>
      </c>
      <c r="E2868" t="inlineStr">
        <is>
          <t>Love Cabaret</t>
        </is>
      </c>
      <c r="F2868" s="27" t="n">
        <v>45749.5</v>
      </c>
      <c r="G2868" t="inlineStr">
        <is>
          <t>DEBITO</t>
        </is>
      </c>
      <c r="H2868" t="inlineStr">
        <is>
          <t>PAGTO ELETRON  COBRANCA NF 9021927636</t>
        </is>
      </c>
      <c r="I2868" t="n">
        <v>-802.5</v>
      </c>
    </row>
    <row r="2869">
      <c r="A2869" t="n">
        <v>80285</v>
      </c>
      <c r="B2869" t="n">
        <v>115</v>
      </c>
      <c r="C2869" t="inlineStr">
        <is>
          <t>Love - Shibari - Bradesco</t>
        </is>
      </c>
      <c r="D2869" t="n">
        <v>128</v>
      </c>
      <c r="E2869" t="inlineStr">
        <is>
          <t>Love Cabaret</t>
        </is>
      </c>
      <c r="F2869" s="27" t="n">
        <v>45749.5</v>
      </c>
      <c r="G2869" t="inlineStr">
        <is>
          <t>CREDITO</t>
        </is>
      </c>
      <c r="H2869" t="inlineStr">
        <is>
          <t>DEP DINHEIRO ATM AG00117MAQ004723SEQ05659</t>
        </is>
      </c>
      <c r="I2869" t="n">
        <v>50</v>
      </c>
    </row>
    <row r="2870">
      <c r="A2870" t="n">
        <v>80296</v>
      </c>
      <c r="B2870" t="n">
        <v>115</v>
      </c>
      <c r="C2870" t="inlineStr">
        <is>
          <t>Love - Shibari - Bradesco</t>
        </is>
      </c>
      <c r="D2870" t="n">
        <v>128</v>
      </c>
      <c r="E2870" t="inlineStr">
        <is>
          <t>Love Cabaret</t>
        </is>
      </c>
      <c r="F2870" s="27" t="n">
        <v>45749.5</v>
      </c>
      <c r="G2870" t="inlineStr">
        <is>
          <t>DEBITO</t>
        </is>
      </c>
      <c r="H2870" t="inlineStr">
        <is>
          <t>PAGTO ELETRON  COBRANCA NF 695364448</t>
        </is>
      </c>
      <c r="I2870" t="n">
        <v>-88.04000000000001</v>
      </c>
    </row>
    <row r="2871">
      <c r="A2871" t="n">
        <v>80295</v>
      </c>
      <c r="B2871" t="n">
        <v>115</v>
      </c>
      <c r="C2871" t="inlineStr">
        <is>
          <t>Love - Shibari - Bradesco</t>
        </is>
      </c>
      <c r="D2871" t="n">
        <v>128</v>
      </c>
      <c r="E2871" t="inlineStr">
        <is>
          <t>Love Cabaret</t>
        </is>
      </c>
      <c r="F2871" s="27" t="n">
        <v>45749.5</v>
      </c>
      <c r="G2871" t="inlineStr">
        <is>
          <t>DEBITO</t>
        </is>
      </c>
      <c r="H2871" t="inlineStr">
        <is>
          <t>PAGTO ELETRON  COBRANCA NF 695364452</t>
        </is>
      </c>
      <c r="I2871" t="n">
        <v>-12830.67</v>
      </c>
    </row>
    <row r="2872">
      <c r="A2872" t="n">
        <v>80294</v>
      </c>
      <c r="B2872" t="n">
        <v>115</v>
      </c>
      <c r="C2872" t="inlineStr">
        <is>
          <t>Love - Shibari - Bradesco</t>
        </is>
      </c>
      <c r="D2872" t="n">
        <v>128</v>
      </c>
      <c r="E2872" t="inlineStr">
        <is>
          <t>Love Cabaret</t>
        </is>
      </c>
      <c r="F2872" s="27" t="n">
        <v>45749.5</v>
      </c>
      <c r="G2872" t="inlineStr">
        <is>
          <t>DEBITO</t>
        </is>
      </c>
      <c r="H2872" t="inlineStr">
        <is>
          <t>PAGTO ELETRON  COBRANCA NF 26853</t>
        </is>
      </c>
      <c r="I2872" t="n">
        <v>-168.84</v>
      </c>
    </row>
    <row r="2873">
      <c r="A2873" t="n">
        <v>80289</v>
      </c>
      <c r="B2873" t="n">
        <v>115</v>
      </c>
      <c r="C2873" t="inlineStr">
        <is>
          <t>Love - Shibari - Bradesco</t>
        </is>
      </c>
      <c r="D2873" t="n">
        <v>128</v>
      </c>
      <c r="E2873" t="inlineStr">
        <is>
          <t>Love Cabaret</t>
        </is>
      </c>
      <c r="F2873" s="27" t="n">
        <v>45749.5</v>
      </c>
      <c r="G2873" t="inlineStr">
        <is>
          <t>DEBITO</t>
        </is>
      </c>
      <c r="H2873" t="inlineStr">
        <is>
          <t>PAGTO ELETRON  COBRANCA NF 13228</t>
        </is>
      </c>
      <c r="I2873" t="n">
        <v>-906.1799999999999</v>
      </c>
    </row>
    <row r="2874">
      <c r="A2874" t="n">
        <v>80290</v>
      </c>
      <c r="B2874" t="n">
        <v>115</v>
      </c>
      <c r="C2874" t="inlineStr">
        <is>
          <t>Love - Shibari - Bradesco</t>
        </is>
      </c>
      <c r="D2874" t="n">
        <v>128</v>
      </c>
      <c r="E2874" t="inlineStr">
        <is>
          <t>Love Cabaret</t>
        </is>
      </c>
      <c r="F2874" s="27" t="n">
        <v>45749.5</v>
      </c>
      <c r="G2874" t="inlineStr">
        <is>
          <t>DEBITO</t>
        </is>
      </c>
      <c r="H2874" t="inlineStr">
        <is>
          <t>PAGTO ELETRON  COBRANCA NF 9272</t>
        </is>
      </c>
      <c r="I2874" t="n">
        <v>-748.3</v>
      </c>
    </row>
    <row r="2875">
      <c r="A2875" t="n">
        <v>80291</v>
      </c>
      <c r="B2875" t="n">
        <v>115</v>
      </c>
      <c r="C2875" t="inlineStr">
        <is>
          <t>Love - Shibari - Bradesco</t>
        </is>
      </c>
      <c r="D2875" t="n">
        <v>128</v>
      </c>
      <c r="E2875" t="inlineStr">
        <is>
          <t>Love Cabaret</t>
        </is>
      </c>
      <c r="F2875" s="27" t="n">
        <v>45749.5</v>
      </c>
      <c r="G2875" t="inlineStr">
        <is>
          <t>DEBITO</t>
        </is>
      </c>
      <c r="H2875" t="inlineStr">
        <is>
          <t>PAGTO ELETRON  COBRANCA NF 303227</t>
        </is>
      </c>
      <c r="I2875" t="n">
        <v>-589.9299999999999</v>
      </c>
    </row>
    <row r="2876">
      <c r="A2876" t="n">
        <v>80292</v>
      </c>
      <c r="B2876" t="n">
        <v>115</v>
      </c>
      <c r="C2876" t="inlineStr">
        <is>
          <t>Love - Shibari - Bradesco</t>
        </is>
      </c>
      <c r="D2876" t="n">
        <v>128</v>
      </c>
      <c r="E2876" t="inlineStr">
        <is>
          <t>Love Cabaret</t>
        </is>
      </c>
      <c r="F2876" s="27" t="n">
        <v>45749.5</v>
      </c>
      <c r="G2876" t="inlineStr">
        <is>
          <t>DEBITO</t>
        </is>
      </c>
      <c r="H2876" t="inlineStr">
        <is>
          <t>PAGTO ELETRON  COBRANCA NF 1314</t>
        </is>
      </c>
      <c r="I2876" t="n">
        <v>-503.34</v>
      </c>
    </row>
    <row r="2877">
      <c r="A2877" t="n">
        <v>80288</v>
      </c>
      <c r="B2877" t="n">
        <v>115</v>
      </c>
      <c r="C2877" t="inlineStr">
        <is>
          <t>Love - Shibari - Bradesco</t>
        </is>
      </c>
      <c r="D2877" t="n">
        <v>128</v>
      </c>
      <c r="E2877" t="inlineStr">
        <is>
          <t>Love Cabaret</t>
        </is>
      </c>
      <c r="F2877" s="27" t="n">
        <v>45749.5</v>
      </c>
      <c r="G2877" t="inlineStr">
        <is>
          <t>DEBITO</t>
        </is>
      </c>
      <c r="H2877" t="inlineStr">
        <is>
          <t>PAGTO ELETRON  COBRANCA NF 218584</t>
        </is>
      </c>
      <c r="I2877" t="n">
        <v>-4431.08</v>
      </c>
    </row>
    <row r="2878">
      <c r="A2878" t="n">
        <v>80308</v>
      </c>
      <c r="B2878" t="n">
        <v>115</v>
      </c>
      <c r="C2878" t="inlineStr">
        <is>
          <t>Love - Shibari - Bradesco</t>
        </is>
      </c>
      <c r="D2878" t="n">
        <v>128</v>
      </c>
      <c r="E2878" t="inlineStr">
        <is>
          <t>Love Cabaret</t>
        </is>
      </c>
      <c r="F2878" s="27" t="n">
        <v>45749.5</v>
      </c>
      <c r="G2878" t="inlineStr">
        <is>
          <t>DEBITO</t>
        </is>
      </c>
      <c r="H2878" t="inlineStr">
        <is>
          <t>TRANSFERENCIA PIX DES: FACUNDO GUERRA RIVERO 02/04</t>
        </is>
      </c>
      <c r="I2878" t="n">
        <v>-2000</v>
      </c>
    </row>
    <row r="2879">
      <c r="A2879" t="n">
        <v>80302</v>
      </c>
      <c r="B2879" t="n">
        <v>115</v>
      </c>
      <c r="C2879" t="inlineStr">
        <is>
          <t>Love - Shibari - Bradesco</t>
        </is>
      </c>
      <c r="D2879" t="n">
        <v>128</v>
      </c>
      <c r="E2879" t="inlineStr">
        <is>
          <t>Love Cabaret</t>
        </is>
      </c>
      <c r="F2879" s="27" t="n">
        <v>45749.5</v>
      </c>
      <c r="G2879" t="inlineStr">
        <is>
          <t>DEBITO</t>
        </is>
      </c>
      <c r="H2879" t="inlineStr">
        <is>
          <t>TARIFA BANCARIA TRANSF PGTO PIX</t>
        </is>
      </c>
      <c r="I2879" t="n">
        <v>-7.35</v>
      </c>
    </row>
    <row r="2880">
      <c r="A2880" t="n">
        <v>80307</v>
      </c>
      <c r="B2880" t="n">
        <v>115</v>
      </c>
      <c r="C2880" t="inlineStr">
        <is>
          <t>Love - Shibari - Bradesco</t>
        </is>
      </c>
      <c r="D2880" t="n">
        <v>128</v>
      </c>
      <c r="E2880" t="inlineStr">
        <is>
          <t>Love Cabaret</t>
        </is>
      </c>
      <c r="F2880" s="27" t="n">
        <v>45749.5</v>
      </c>
      <c r="G2880" t="inlineStr">
        <is>
          <t>DEBITO</t>
        </is>
      </c>
      <c r="H2880" t="inlineStr">
        <is>
          <t>TRANSFERENCIA PIX DES: AGENCIA BIOMA PUBLICI 02/04</t>
        </is>
      </c>
      <c r="I2880" t="n">
        <v>-7000</v>
      </c>
    </row>
    <row r="2881">
      <c r="A2881" t="n">
        <v>80306</v>
      </c>
      <c r="B2881" t="n">
        <v>115</v>
      </c>
      <c r="C2881" t="inlineStr">
        <is>
          <t>Love - Shibari - Bradesco</t>
        </is>
      </c>
      <c r="D2881" t="n">
        <v>128</v>
      </c>
      <c r="E2881" t="inlineStr">
        <is>
          <t>Love Cabaret</t>
        </is>
      </c>
      <c r="F2881" s="27" t="n">
        <v>45749.5</v>
      </c>
      <c r="G2881" t="inlineStr">
        <is>
          <t>DEBITO</t>
        </is>
      </c>
      <c r="H2881" t="inlineStr">
        <is>
          <t>PGTO SALARIO VIA NET EMP</t>
        </is>
      </c>
      <c r="I2881" t="n">
        <v>-1944.45</v>
      </c>
    </row>
    <row r="2882">
      <c r="A2882" t="n">
        <v>80305</v>
      </c>
      <c r="B2882" t="n">
        <v>115</v>
      </c>
      <c r="C2882" t="inlineStr">
        <is>
          <t>Love - Shibari - Bradesco</t>
        </is>
      </c>
      <c r="D2882" t="n">
        <v>128</v>
      </c>
      <c r="E2882" t="inlineStr">
        <is>
          <t>Love Cabaret</t>
        </is>
      </c>
      <c r="F2882" s="27" t="n">
        <v>45749.5</v>
      </c>
      <c r="G2882" t="inlineStr">
        <is>
          <t>DEBITO</t>
        </is>
      </c>
      <c r="H2882" t="inlineStr">
        <is>
          <t>TARIFA BANCARIA TRANSF PGTO PIX</t>
        </is>
      </c>
      <c r="I2882" t="n">
        <v>-9</v>
      </c>
    </row>
    <row r="2883">
      <c r="A2883" t="n">
        <v>80304</v>
      </c>
      <c r="B2883" t="n">
        <v>115</v>
      </c>
      <c r="C2883" t="inlineStr">
        <is>
          <t>Love - Shibari - Bradesco</t>
        </is>
      </c>
      <c r="D2883" t="n">
        <v>128</v>
      </c>
      <c r="E2883" t="inlineStr">
        <is>
          <t>Love Cabaret</t>
        </is>
      </c>
      <c r="F2883" s="27" t="n">
        <v>45749.5</v>
      </c>
      <c r="G2883" t="inlineStr">
        <is>
          <t>DEBITO</t>
        </is>
      </c>
      <c r="H2883" t="inlineStr">
        <is>
          <t>TARIFA BANCARIA TRANSF PGTO PIX</t>
        </is>
      </c>
      <c r="I2883" t="n">
        <v>-9</v>
      </c>
    </row>
    <row r="2884">
      <c r="A2884" t="n">
        <v>80303</v>
      </c>
      <c r="B2884" t="n">
        <v>115</v>
      </c>
      <c r="C2884" t="inlineStr">
        <is>
          <t>Love - Shibari - Bradesco</t>
        </is>
      </c>
      <c r="D2884" t="n">
        <v>128</v>
      </c>
      <c r="E2884" t="inlineStr">
        <is>
          <t>Love Cabaret</t>
        </is>
      </c>
      <c r="F2884" s="27" t="n">
        <v>45749.5</v>
      </c>
      <c r="G2884" t="inlineStr">
        <is>
          <t>DEBITO</t>
        </is>
      </c>
      <c r="H2884" t="inlineStr">
        <is>
          <t>TARIFA BANCARIA TRANSF PGTO PIX</t>
        </is>
      </c>
      <c r="I2884" t="n">
        <v>-9</v>
      </c>
    </row>
    <row r="2885">
      <c r="A2885" t="n">
        <v>80264</v>
      </c>
      <c r="B2885" t="n">
        <v>115</v>
      </c>
      <c r="C2885" t="inlineStr">
        <is>
          <t>Love - Shibari - Bradesco</t>
        </is>
      </c>
      <c r="D2885" t="n">
        <v>128</v>
      </c>
      <c r="E2885" t="inlineStr">
        <is>
          <t>Love Cabaret</t>
        </is>
      </c>
      <c r="F2885" s="27" t="n">
        <v>45747.5</v>
      </c>
      <c r="G2885" t="inlineStr">
        <is>
          <t>DEBITO</t>
        </is>
      </c>
      <c r="H2885" t="inlineStr">
        <is>
          <t>PAGTO ELETRON  COBRANCA NF 23318</t>
        </is>
      </c>
      <c r="I2885" t="n">
        <v>-588</v>
      </c>
    </row>
    <row r="2886">
      <c r="A2886" t="n">
        <v>80280</v>
      </c>
      <c r="B2886" t="n">
        <v>115</v>
      </c>
      <c r="C2886" t="inlineStr">
        <is>
          <t>Love - Shibari - Bradesco</t>
        </is>
      </c>
      <c r="D2886" t="n">
        <v>128</v>
      </c>
      <c r="E2886" t="inlineStr">
        <is>
          <t>Love Cabaret</t>
        </is>
      </c>
      <c r="F2886" s="27" t="n">
        <v>45747.5</v>
      </c>
      <c r="G2886" t="inlineStr">
        <is>
          <t>DEBITO</t>
        </is>
      </c>
      <c r="H2886" t="inlineStr">
        <is>
          <t>TRANSFERENCIA PIX DES: LEANDRO DE OLIVEIRA M 31/03</t>
        </is>
      </c>
      <c r="I2886" t="n">
        <v>-377.42</v>
      </c>
    </row>
    <row r="2887">
      <c r="A2887" t="n">
        <v>80263</v>
      </c>
      <c r="B2887" t="n">
        <v>115</v>
      </c>
      <c r="C2887" t="inlineStr">
        <is>
          <t>Love - Shibari - Bradesco</t>
        </is>
      </c>
      <c r="D2887" t="n">
        <v>128</v>
      </c>
      <c r="E2887" t="inlineStr">
        <is>
          <t>Love Cabaret</t>
        </is>
      </c>
      <c r="F2887" s="27" t="n">
        <v>45747.5</v>
      </c>
      <c r="G2887" t="inlineStr">
        <is>
          <t>DEBITO</t>
        </is>
      </c>
      <c r="H2887" t="inlineStr">
        <is>
          <t>PAGTO ELETRON  COBRANCA NF 13171</t>
        </is>
      </c>
      <c r="I2887" t="n">
        <v>-768.87</v>
      </c>
    </row>
    <row r="2888">
      <c r="A2888" t="n">
        <v>80262</v>
      </c>
      <c r="B2888" t="n">
        <v>115</v>
      </c>
      <c r="C2888" t="inlineStr">
        <is>
          <t>Love - Shibari - Bradesco</t>
        </is>
      </c>
      <c r="D2888" t="n">
        <v>128</v>
      </c>
      <c r="E2888" t="inlineStr">
        <is>
          <t>Love Cabaret</t>
        </is>
      </c>
      <c r="F2888" s="27" t="n">
        <v>45747.5</v>
      </c>
      <c r="G2888" t="inlineStr">
        <is>
          <t>DEBITO</t>
        </is>
      </c>
      <c r="H2888" t="inlineStr">
        <is>
          <t>PAGTO ELETRON  COBRANCA NF 492</t>
        </is>
      </c>
      <c r="I2888" t="n">
        <v>-6000</v>
      </c>
    </row>
    <row r="2889">
      <c r="A2889" t="n">
        <v>80260</v>
      </c>
      <c r="B2889" t="n">
        <v>115</v>
      </c>
      <c r="C2889" t="inlineStr">
        <is>
          <t>Love - Shibari - Bradesco</t>
        </is>
      </c>
      <c r="D2889" t="n">
        <v>128</v>
      </c>
      <c r="E2889" t="inlineStr">
        <is>
          <t>Love Cabaret</t>
        </is>
      </c>
      <c r="F2889" s="27" t="n">
        <v>45747.5</v>
      </c>
      <c r="G2889" t="inlineStr">
        <is>
          <t>CREDITO</t>
        </is>
      </c>
      <c r="H2889" t="inlineStr">
        <is>
          <t>TRANSFERENCIA PIX REM: SHIBARI ART E DIVERSA 31/03</t>
        </is>
      </c>
      <c r="I2889" t="n">
        <v>33424.35</v>
      </c>
    </row>
    <row r="2890">
      <c r="A2890" t="n">
        <v>80270</v>
      </c>
      <c r="B2890" t="n">
        <v>115</v>
      </c>
      <c r="C2890" t="inlineStr">
        <is>
          <t>Love - Shibari - Bradesco</t>
        </is>
      </c>
      <c r="D2890" t="n">
        <v>128</v>
      </c>
      <c r="E2890" t="inlineStr">
        <is>
          <t>Love Cabaret</t>
        </is>
      </c>
      <c r="F2890" s="27" t="n">
        <v>45747.5</v>
      </c>
      <c r="G2890" t="inlineStr">
        <is>
          <t>DEBITO</t>
        </is>
      </c>
      <c r="H2890" t="inlineStr">
        <is>
          <t>PAGTO ELETRON  COBRANCA NF 144460</t>
        </is>
      </c>
      <c r="I2890" t="n">
        <v>-353.2</v>
      </c>
    </row>
    <row r="2891">
      <c r="A2891" t="n">
        <v>80269</v>
      </c>
      <c r="B2891" t="n">
        <v>115</v>
      </c>
      <c r="C2891" t="inlineStr">
        <is>
          <t>Love - Shibari - Bradesco</t>
        </is>
      </c>
      <c r="D2891" t="n">
        <v>128</v>
      </c>
      <c r="E2891" t="inlineStr">
        <is>
          <t>Love Cabaret</t>
        </is>
      </c>
      <c r="F2891" s="27" t="n">
        <v>45747.5</v>
      </c>
      <c r="G2891" t="inlineStr">
        <is>
          <t>DEBITO</t>
        </is>
      </c>
      <c r="H2891" t="inlineStr">
        <is>
          <t>PAGTO ELETRON  COBRANCA NF 9181</t>
        </is>
      </c>
      <c r="I2891" t="n">
        <v>-367.28</v>
      </c>
    </row>
    <row r="2892">
      <c r="A2892" t="n">
        <v>80268</v>
      </c>
      <c r="B2892" t="n">
        <v>115</v>
      </c>
      <c r="C2892" t="inlineStr">
        <is>
          <t>Love - Shibari - Bradesco</t>
        </is>
      </c>
      <c r="D2892" t="n">
        <v>128</v>
      </c>
      <c r="E2892" t="inlineStr">
        <is>
          <t>Love Cabaret</t>
        </is>
      </c>
      <c r="F2892" s="27" t="n">
        <v>45747.5</v>
      </c>
      <c r="G2892" t="inlineStr">
        <is>
          <t>DEBITO</t>
        </is>
      </c>
      <c r="H2892" t="inlineStr">
        <is>
          <t>PAGTO ELETRON  COBRANCA NF 25310</t>
        </is>
      </c>
      <c r="I2892" t="n">
        <v>-409.21</v>
      </c>
    </row>
    <row r="2893">
      <c r="A2893" t="n">
        <v>80267</v>
      </c>
      <c r="B2893" t="n">
        <v>115</v>
      </c>
      <c r="C2893" t="inlineStr">
        <is>
          <t>Love - Shibari - Bradesco</t>
        </is>
      </c>
      <c r="D2893" t="n">
        <v>128</v>
      </c>
      <c r="E2893" t="inlineStr">
        <is>
          <t>Love Cabaret</t>
        </is>
      </c>
      <c r="F2893" s="27" t="n">
        <v>45747.5</v>
      </c>
      <c r="G2893" t="inlineStr">
        <is>
          <t>DEBITO</t>
        </is>
      </c>
      <c r="H2893" t="inlineStr">
        <is>
          <t>PAGTO ELETRON  COBRANCA NF 133910</t>
        </is>
      </c>
      <c r="I2893" t="n">
        <v>-415.95</v>
      </c>
    </row>
    <row r="2894">
      <c r="A2894" t="n">
        <v>80266</v>
      </c>
      <c r="B2894" t="n">
        <v>115</v>
      </c>
      <c r="C2894" t="inlineStr">
        <is>
          <t>Love - Shibari - Bradesco</t>
        </is>
      </c>
      <c r="D2894" t="n">
        <v>128</v>
      </c>
      <c r="E2894" t="inlineStr">
        <is>
          <t>Love Cabaret</t>
        </is>
      </c>
      <c r="F2894" s="27" t="n">
        <v>45747.5</v>
      </c>
      <c r="G2894" t="inlineStr">
        <is>
          <t>DEBITO</t>
        </is>
      </c>
      <c r="H2894" t="inlineStr">
        <is>
          <t>PAGTO ELETRON  COBRANCA NF 88084</t>
        </is>
      </c>
      <c r="I2894" t="n">
        <v>-438.34</v>
      </c>
    </row>
    <row r="2895">
      <c r="A2895" t="n">
        <v>80265</v>
      </c>
      <c r="B2895" t="n">
        <v>115</v>
      </c>
      <c r="C2895" t="inlineStr">
        <is>
          <t>Love - Shibari - Bradesco</t>
        </is>
      </c>
      <c r="D2895" t="n">
        <v>128</v>
      </c>
      <c r="E2895" t="inlineStr">
        <is>
          <t>Love Cabaret</t>
        </is>
      </c>
      <c r="F2895" s="27" t="n">
        <v>45747.5</v>
      </c>
      <c r="G2895" t="inlineStr">
        <is>
          <t>DEBITO</t>
        </is>
      </c>
      <c r="H2895" t="inlineStr">
        <is>
          <t>PAGTO ELETRON  COBRANCA NF 302595</t>
        </is>
      </c>
      <c r="I2895" t="n">
        <v>-459.08</v>
      </c>
    </row>
    <row r="2896">
      <c r="A2896" t="n">
        <v>80271</v>
      </c>
      <c r="B2896" t="n">
        <v>115</v>
      </c>
      <c r="C2896" t="inlineStr">
        <is>
          <t>Love - Shibari - Bradesco</t>
        </is>
      </c>
      <c r="D2896" t="n">
        <v>128</v>
      </c>
      <c r="E2896" t="inlineStr">
        <is>
          <t>Love Cabaret</t>
        </is>
      </c>
      <c r="F2896" s="27" t="n">
        <v>45747.5</v>
      </c>
      <c r="G2896" t="inlineStr">
        <is>
          <t>DEBITO</t>
        </is>
      </c>
      <c r="H2896" t="inlineStr">
        <is>
          <t>PAGTO ELETRON  COBRANCA NF 25908</t>
        </is>
      </c>
      <c r="I2896" t="n">
        <v>-288.25</v>
      </c>
    </row>
    <row r="2897">
      <c r="A2897" t="n">
        <v>80276</v>
      </c>
      <c r="B2897" t="n">
        <v>115</v>
      </c>
      <c r="C2897" t="inlineStr">
        <is>
          <t>Love - Shibari - Bradesco</t>
        </is>
      </c>
      <c r="D2897" t="n">
        <v>128</v>
      </c>
      <c r="E2897" t="inlineStr">
        <is>
          <t>Love Cabaret</t>
        </is>
      </c>
      <c r="F2897" s="27" t="n">
        <v>45747.5</v>
      </c>
      <c r="G2897" t="inlineStr">
        <is>
          <t>DEBITO</t>
        </is>
      </c>
      <c r="H2897" t="inlineStr">
        <is>
          <t>TRANSFERENCIA PIX DES: 51.083.821 AKIRA NAWA 31/03</t>
        </is>
      </c>
      <c r="I2897" t="n">
        <v>-3767.2</v>
      </c>
    </row>
    <row r="2898">
      <c r="A2898" t="n">
        <v>80277</v>
      </c>
      <c r="B2898" t="n">
        <v>115</v>
      </c>
      <c r="C2898" t="inlineStr">
        <is>
          <t>Love - Shibari - Bradesco</t>
        </is>
      </c>
      <c r="D2898" t="n">
        <v>128</v>
      </c>
      <c r="E2898" t="inlineStr">
        <is>
          <t>Love Cabaret</t>
        </is>
      </c>
      <c r="F2898" s="27" t="n">
        <v>45747.5</v>
      </c>
      <c r="G2898" t="inlineStr">
        <is>
          <t>DEBITO</t>
        </is>
      </c>
      <c r="H2898" t="inlineStr">
        <is>
          <t>TRANSFERENCIA PIX DES: PAULO CESAR MEDEIROS  31/03</t>
        </is>
      </c>
      <c r="I2898" t="n">
        <v>-2500</v>
      </c>
    </row>
    <row r="2899">
      <c r="A2899" t="n">
        <v>80278</v>
      </c>
      <c r="B2899" t="n">
        <v>115</v>
      </c>
      <c r="C2899" t="inlineStr">
        <is>
          <t>Love - Shibari - Bradesco</t>
        </is>
      </c>
      <c r="D2899" t="n">
        <v>128</v>
      </c>
      <c r="E2899" t="inlineStr">
        <is>
          <t>Love Cabaret</t>
        </is>
      </c>
      <c r="F2899" s="27" t="n">
        <v>45747.5</v>
      </c>
      <c r="G2899" t="inlineStr">
        <is>
          <t>DEBITO</t>
        </is>
      </c>
      <c r="H2899" t="inlineStr">
        <is>
          <t>TRANSFERENCIA PIX DES: FLAVIO RODRIGUES DE M 31/03</t>
        </is>
      </c>
      <c r="I2899" t="n">
        <v>-500</v>
      </c>
    </row>
    <row r="2900">
      <c r="A2900" t="n">
        <v>80279</v>
      </c>
      <c r="B2900" t="n">
        <v>115</v>
      </c>
      <c r="C2900" t="inlineStr">
        <is>
          <t>Love - Shibari - Bradesco</t>
        </is>
      </c>
      <c r="D2900" t="n">
        <v>128</v>
      </c>
      <c r="E2900" t="inlineStr">
        <is>
          <t>Love Cabaret</t>
        </is>
      </c>
      <c r="F2900" s="27" t="n">
        <v>45747.5</v>
      </c>
      <c r="G2900" t="inlineStr">
        <is>
          <t>DEBITO</t>
        </is>
      </c>
      <c r="H2900" t="inlineStr">
        <is>
          <t>TRANSFERENCIA PIX DES: LUCAS KENZO YOKOTOBI  31/03</t>
        </is>
      </c>
      <c r="I2900" t="n">
        <v>-525</v>
      </c>
    </row>
    <row r="2901">
      <c r="A2901" t="n">
        <v>80281</v>
      </c>
      <c r="B2901" t="n">
        <v>115</v>
      </c>
      <c r="C2901" t="inlineStr">
        <is>
          <t>Love - Shibari - Bradesco</t>
        </is>
      </c>
      <c r="D2901" t="n">
        <v>128</v>
      </c>
      <c r="E2901" t="inlineStr">
        <is>
          <t>Love Cabaret</t>
        </is>
      </c>
      <c r="F2901" s="27" t="n">
        <v>45747.5</v>
      </c>
      <c r="G2901" t="inlineStr">
        <is>
          <t>DEBITO</t>
        </is>
      </c>
      <c r="H2901" t="inlineStr">
        <is>
          <t>TRANSFERENCIA PIX DES: TEMPUS FUGIT PARTICIP 31/03</t>
        </is>
      </c>
      <c r="I2901" t="n">
        <v>-3000</v>
      </c>
    </row>
    <row r="2902">
      <c r="A2902" t="n">
        <v>80282</v>
      </c>
      <c r="B2902" t="n">
        <v>115</v>
      </c>
      <c r="C2902" t="inlineStr">
        <is>
          <t>Love - Shibari - Bradesco</t>
        </is>
      </c>
      <c r="D2902" t="n">
        <v>128</v>
      </c>
      <c r="E2902" t="inlineStr">
        <is>
          <t>Love Cabaret</t>
        </is>
      </c>
      <c r="F2902" s="27" t="n">
        <v>45747.5</v>
      </c>
      <c r="G2902" t="inlineStr">
        <is>
          <t>DEBITO</t>
        </is>
      </c>
      <c r="H2902" t="inlineStr">
        <is>
          <t>PARCELAMENTO DE DARF PARCELAMENTO DE DARF-207024</t>
        </is>
      </c>
      <c r="I2902" t="n">
        <v>-19709.63</v>
      </c>
    </row>
    <row r="2903">
      <c r="A2903" t="n">
        <v>80275</v>
      </c>
      <c r="B2903" t="n">
        <v>115</v>
      </c>
      <c r="C2903" t="inlineStr">
        <is>
          <t>Love - Shibari - Bradesco</t>
        </is>
      </c>
      <c r="D2903" t="n">
        <v>128</v>
      </c>
      <c r="E2903" t="inlineStr">
        <is>
          <t>Love Cabaret</t>
        </is>
      </c>
      <c r="F2903" s="27" t="n">
        <v>45747.5</v>
      </c>
      <c r="G2903" t="inlineStr">
        <is>
          <t>DEBITO</t>
        </is>
      </c>
      <c r="H2903" t="inlineStr">
        <is>
          <t>PAGTO ELETRONICO TRIBUTO INTERNET --PMSP SP</t>
        </is>
      </c>
      <c r="I2903" t="n">
        <v>-1859.17</v>
      </c>
    </row>
    <row r="2904">
      <c r="A2904" t="n">
        <v>80274</v>
      </c>
      <c r="B2904" t="n">
        <v>115</v>
      </c>
      <c r="C2904" t="inlineStr">
        <is>
          <t>Love - Shibari - Bradesco</t>
        </is>
      </c>
      <c r="D2904" t="n">
        <v>128</v>
      </c>
      <c r="E2904" t="inlineStr">
        <is>
          <t>Love Cabaret</t>
        </is>
      </c>
      <c r="F2904" s="27" t="n">
        <v>45747.5</v>
      </c>
      <c r="G2904" t="inlineStr">
        <is>
          <t>DEBITO</t>
        </is>
      </c>
      <c r="H2904" t="inlineStr">
        <is>
          <t>PAGTO ELETRON  COBRANCA NF 215379517</t>
        </is>
      </c>
      <c r="I2904" t="n">
        <v>-848.33</v>
      </c>
    </row>
    <row r="2905">
      <c r="A2905" t="n">
        <v>80273</v>
      </c>
      <c r="B2905" t="n">
        <v>115</v>
      </c>
      <c r="C2905" t="inlineStr">
        <is>
          <t>Love - Shibari - Bradesco</t>
        </is>
      </c>
      <c r="D2905" t="n">
        <v>128</v>
      </c>
      <c r="E2905" t="inlineStr">
        <is>
          <t>Love Cabaret</t>
        </is>
      </c>
      <c r="F2905" s="27" t="n">
        <v>45747.5</v>
      </c>
      <c r="G2905" t="inlineStr">
        <is>
          <t>DEBITO</t>
        </is>
      </c>
      <c r="H2905" t="inlineStr">
        <is>
          <t>PAGTO ELETRON  COBRANCA NF 36555</t>
        </is>
      </c>
      <c r="I2905" t="n">
        <v>-153</v>
      </c>
    </row>
    <row r="2906">
      <c r="A2906" t="n">
        <v>80272</v>
      </c>
      <c r="B2906" t="n">
        <v>115</v>
      </c>
      <c r="C2906" t="inlineStr">
        <is>
          <t>Love - Shibari - Bradesco</t>
        </is>
      </c>
      <c r="D2906" t="n">
        <v>128</v>
      </c>
      <c r="E2906" t="inlineStr">
        <is>
          <t>Love Cabaret</t>
        </is>
      </c>
      <c r="F2906" s="27" t="n">
        <v>45747.5</v>
      </c>
      <c r="G2906" t="inlineStr">
        <is>
          <t>DEBITO</t>
        </is>
      </c>
      <c r="H2906" t="inlineStr">
        <is>
          <t>PAGTO ELETRON  COBRANCA NF 10411</t>
        </is>
      </c>
      <c r="I2906" t="n">
        <v>-226.21</v>
      </c>
    </row>
    <row r="2907">
      <c r="A2907" t="n">
        <v>81664</v>
      </c>
      <c r="B2907" t="n">
        <v>182</v>
      </c>
      <c r="C2907" t="inlineStr">
        <is>
          <t>Love - Shibari - Kamino</t>
        </is>
      </c>
      <c r="D2907" t="n">
        <v>128</v>
      </c>
      <c r="E2907" t="inlineStr">
        <is>
          <t>Love Cabaret</t>
        </is>
      </c>
      <c r="F2907" s="27" t="n">
        <v>45747</v>
      </c>
      <c r="G2907" t="inlineStr">
        <is>
          <t>CREDITO</t>
        </is>
      </c>
      <c r="H2907" t="inlineStr">
        <is>
          <t>TEMPUS FUGIT PARTICIPACOES E EMPREENDIMENTOS LTDA</t>
        </is>
      </c>
      <c r="I2907" t="n">
        <v>3000</v>
      </c>
    </row>
    <row r="2908">
      <c r="A2908" t="n">
        <v>81665</v>
      </c>
      <c r="B2908" t="n">
        <v>182</v>
      </c>
      <c r="C2908" t="inlineStr">
        <is>
          <t>Love - Shibari - Kamino</t>
        </is>
      </c>
      <c r="D2908" t="n">
        <v>128</v>
      </c>
      <c r="E2908" t="inlineStr">
        <is>
          <t>Love Cabaret</t>
        </is>
      </c>
      <c r="F2908" s="27" t="n">
        <v>45747</v>
      </c>
      <c r="G2908" t="inlineStr">
        <is>
          <t>DEBITO</t>
        </is>
      </c>
      <c r="H2908" t="inlineStr">
        <is>
          <t>Transf entre Contas-Favorecido</t>
        </is>
      </c>
      <c r="I2908" t="n">
        <v>-3000</v>
      </c>
    </row>
    <row r="2909">
      <c r="A2909" t="n">
        <v>80259</v>
      </c>
      <c r="B2909" t="n">
        <v>115</v>
      </c>
      <c r="C2909" t="inlineStr">
        <is>
          <t>Love - Shibari - Bradesco</t>
        </is>
      </c>
      <c r="D2909" t="n">
        <v>128</v>
      </c>
      <c r="E2909" t="inlineStr">
        <is>
          <t>Love Cabaret</t>
        </is>
      </c>
      <c r="F2909" s="27" t="n">
        <v>45744.5</v>
      </c>
      <c r="G2909" t="inlineStr">
        <is>
          <t>CREDITO</t>
        </is>
      </c>
      <c r="H2909" t="inlineStr">
        <is>
          <t>TRANSFERENCIA PIX REM: DIVERTI TICKETS COMER 28/03</t>
        </is>
      </c>
      <c r="I2909" t="n">
        <v>10608.74</v>
      </c>
    </row>
    <row r="2910">
      <c r="A2910" t="n">
        <v>80258</v>
      </c>
      <c r="B2910" t="n">
        <v>115</v>
      </c>
      <c r="C2910" t="inlineStr">
        <is>
          <t>Love - Shibari - Bradesco</t>
        </is>
      </c>
      <c r="D2910" t="n">
        <v>128</v>
      </c>
      <c r="E2910" t="inlineStr">
        <is>
          <t>Love Cabaret</t>
        </is>
      </c>
      <c r="F2910" s="27" t="n">
        <v>45744.5</v>
      </c>
      <c r="G2910" t="inlineStr">
        <is>
          <t>CREDITO</t>
        </is>
      </c>
      <c r="H2910" t="inlineStr">
        <is>
          <t>TED-TRANSF ELET DISPON REMET.DIVERTI TICKETS COME</t>
        </is>
      </c>
      <c r="I2910" t="n">
        <v>3858.69</v>
      </c>
    </row>
    <row r="2911">
      <c r="A2911" t="n">
        <v>80241</v>
      </c>
      <c r="B2911" t="n">
        <v>115</v>
      </c>
      <c r="C2911" t="inlineStr">
        <is>
          <t>Love - Shibari - Bradesco</t>
        </is>
      </c>
      <c r="D2911" t="n">
        <v>128</v>
      </c>
      <c r="E2911" t="inlineStr">
        <is>
          <t>Love Cabaret</t>
        </is>
      </c>
      <c r="F2911" s="27" t="n">
        <v>45742.5</v>
      </c>
      <c r="G2911" t="inlineStr">
        <is>
          <t>DEBITO</t>
        </is>
      </c>
      <c r="H2911" t="inlineStr">
        <is>
          <t>PAGTO ELETRON  COBRANCA NF 9095</t>
        </is>
      </c>
      <c r="I2911" t="n">
        <v>-244.3</v>
      </c>
    </row>
    <row r="2912">
      <c r="A2912" t="n">
        <v>80240</v>
      </c>
      <c r="B2912" t="n">
        <v>115</v>
      </c>
      <c r="C2912" t="inlineStr">
        <is>
          <t>Love - Shibari - Bradesco</t>
        </is>
      </c>
      <c r="D2912" t="n">
        <v>128</v>
      </c>
      <c r="E2912" t="inlineStr">
        <is>
          <t>Love Cabaret</t>
        </is>
      </c>
      <c r="F2912" s="27" t="n">
        <v>45742.5</v>
      </c>
      <c r="G2912" t="inlineStr">
        <is>
          <t>DEBITO</t>
        </is>
      </c>
      <c r="H2912" t="inlineStr">
        <is>
          <t>PAGTO ELETRON  COBRANCA NF 25973</t>
        </is>
      </c>
      <c r="I2912" t="n">
        <v>-373.53</v>
      </c>
    </row>
    <row r="2913">
      <c r="A2913" t="n">
        <v>80246</v>
      </c>
      <c r="B2913" t="n">
        <v>115</v>
      </c>
      <c r="C2913" t="inlineStr">
        <is>
          <t>Love - Shibari - Bradesco</t>
        </is>
      </c>
      <c r="D2913" t="n">
        <v>128</v>
      </c>
      <c r="E2913" t="inlineStr">
        <is>
          <t>Love Cabaret</t>
        </is>
      </c>
      <c r="F2913" s="27" t="n">
        <v>45742.5</v>
      </c>
      <c r="G2913" t="inlineStr">
        <is>
          <t>DEBITO</t>
        </is>
      </c>
      <c r="H2913" t="inlineStr">
        <is>
          <t>TARIFA BANCARIA TRANSF PGTO PIX</t>
        </is>
      </c>
      <c r="I2913" t="n">
        <v>-1.65</v>
      </c>
    </row>
    <row r="2914">
      <c r="A2914" t="n">
        <v>80239</v>
      </c>
      <c r="B2914" t="n">
        <v>115</v>
      </c>
      <c r="C2914" t="inlineStr">
        <is>
          <t>Love - Shibari - Bradesco</t>
        </is>
      </c>
      <c r="D2914" t="n">
        <v>128</v>
      </c>
      <c r="E2914" t="inlineStr">
        <is>
          <t>Love Cabaret</t>
        </is>
      </c>
      <c r="F2914" s="27" t="n">
        <v>45742.5</v>
      </c>
      <c r="G2914" t="inlineStr">
        <is>
          <t>DEBITO</t>
        </is>
      </c>
      <c r="H2914" t="inlineStr">
        <is>
          <t>PAGTO ELETRON  COBRANCA NF 76076</t>
        </is>
      </c>
      <c r="I2914" t="n">
        <v>-494</v>
      </c>
    </row>
    <row r="2915">
      <c r="A2915" t="n">
        <v>80242</v>
      </c>
      <c r="B2915" t="n">
        <v>115</v>
      </c>
      <c r="C2915" t="inlineStr">
        <is>
          <t>Love - Shibari - Bradesco</t>
        </is>
      </c>
      <c r="D2915" t="n">
        <v>128</v>
      </c>
      <c r="E2915" t="inlineStr">
        <is>
          <t>Love Cabaret</t>
        </is>
      </c>
      <c r="F2915" s="27" t="n">
        <v>45742.5</v>
      </c>
      <c r="G2915" t="inlineStr">
        <is>
          <t>DEBITO</t>
        </is>
      </c>
      <c r="H2915" t="inlineStr">
        <is>
          <t>PAGTO ELETRON  COBRANCA NF 1283</t>
        </is>
      </c>
      <c r="I2915" t="n">
        <v>-223</v>
      </c>
    </row>
    <row r="2916">
      <c r="A2916" t="n">
        <v>80247</v>
      </c>
      <c r="B2916" t="n">
        <v>115</v>
      </c>
      <c r="C2916" t="inlineStr">
        <is>
          <t>Love - Shibari - Bradesco</t>
        </is>
      </c>
      <c r="D2916" t="n">
        <v>128</v>
      </c>
      <c r="E2916" t="inlineStr">
        <is>
          <t>Love Cabaret</t>
        </is>
      </c>
      <c r="F2916" s="27" t="n">
        <v>45742.5</v>
      </c>
      <c r="G2916" t="inlineStr">
        <is>
          <t>DEBITO</t>
        </is>
      </c>
      <c r="H2916" t="inlineStr">
        <is>
          <t>TARIFA BANCARIA TRANSF PGTO PIX</t>
        </is>
      </c>
      <c r="I2916" t="n">
        <v>-7</v>
      </c>
    </row>
    <row r="2917">
      <c r="A2917" t="n">
        <v>80248</v>
      </c>
      <c r="B2917" t="n">
        <v>115</v>
      </c>
      <c r="C2917" t="inlineStr">
        <is>
          <t>Love - Shibari - Bradesco</t>
        </is>
      </c>
      <c r="D2917" t="n">
        <v>128</v>
      </c>
      <c r="E2917" t="inlineStr">
        <is>
          <t>Love Cabaret</t>
        </is>
      </c>
      <c r="F2917" s="27" t="n">
        <v>45742.5</v>
      </c>
      <c r="G2917" t="inlineStr">
        <is>
          <t>DEBITO</t>
        </is>
      </c>
      <c r="H2917" t="inlineStr">
        <is>
          <t>TARIFA BANCARIA TRANSF PGTO PIX</t>
        </is>
      </c>
      <c r="I2917" t="n">
        <v>-7</v>
      </c>
    </row>
    <row r="2918">
      <c r="A2918" t="n">
        <v>80249</v>
      </c>
      <c r="B2918" t="n">
        <v>115</v>
      </c>
      <c r="C2918" t="inlineStr">
        <is>
          <t>Love - Shibari - Bradesco</t>
        </is>
      </c>
      <c r="D2918" t="n">
        <v>128</v>
      </c>
      <c r="E2918" t="inlineStr">
        <is>
          <t>Love Cabaret</t>
        </is>
      </c>
      <c r="F2918" s="27" t="n">
        <v>45742.5</v>
      </c>
      <c r="G2918" t="inlineStr">
        <is>
          <t>DEBITO</t>
        </is>
      </c>
      <c r="H2918" t="inlineStr">
        <is>
          <t>TARIFA BANCARIA TRANSF PGTO PIX</t>
        </is>
      </c>
      <c r="I2918" t="n">
        <v>-7</v>
      </c>
    </row>
    <row r="2919">
      <c r="A2919" t="n">
        <v>80250</v>
      </c>
      <c r="B2919" t="n">
        <v>115</v>
      </c>
      <c r="C2919" t="inlineStr">
        <is>
          <t>Love - Shibari - Bradesco</t>
        </is>
      </c>
      <c r="D2919" t="n">
        <v>128</v>
      </c>
      <c r="E2919" t="inlineStr">
        <is>
          <t>Love Cabaret</t>
        </is>
      </c>
      <c r="F2919" s="27" t="n">
        <v>45742.5</v>
      </c>
      <c r="G2919" t="inlineStr">
        <is>
          <t>DEBITO</t>
        </is>
      </c>
      <c r="H2919" t="inlineStr">
        <is>
          <t>TARIFA BANCARIA TRANSF PGTO PIX</t>
        </is>
      </c>
      <c r="I2919" t="n">
        <v>-7</v>
      </c>
    </row>
    <row r="2920">
      <c r="A2920" t="n">
        <v>80251</v>
      </c>
      <c r="B2920" t="n">
        <v>115</v>
      </c>
      <c r="C2920" t="inlineStr">
        <is>
          <t>Love - Shibari - Bradesco</t>
        </is>
      </c>
      <c r="D2920" t="n">
        <v>128</v>
      </c>
      <c r="E2920" t="inlineStr">
        <is>
          <t>Love Cabaret</t>
        </is>
      </c>
      <c r="F2920" s="27" t="n">
        <v>45742.5</v>
      </c>
      <c r="G2920" t="inlineStr">
        <is>
          <t>DEBITO</t>
        </is>
      </c>
      <c r="H2920" t="inlineStr">
        <is>
          <t>TARIFA BANCARIA TRANSF PGTO PIX</t>
        </is>
      </c>
      <c r="I2920" t="n">
        <v>-7</v>
      </c>
    </row>
    <row r="2921">
      <c r="A2921" t="n">
        <v>80252</v>
      </c>
      <c r="B2921" t="n">
        <v>115</v>
      </c>
      <c r="C2921" t="inlineStr">
        <is>
          <t>Love - Shibari - Bradesco</t>
        </is>
      </c>
      <c r="D2921" t="n">
        <v>128</v>
      </c>
      <c r="E2921" t="inlineStr">
        <is>
          <t>Love Cabaret</t>
        </is>
      </c>
      <c r="F2921" s="27" t="n">
        <v>45742.5</v>
      </c>
      <c r="G2921" t="inlineStr">
        <is>
          <t>DEBITO</t>
        </is>
      </c>
      <c r="H2921" t="inlineStr">
        <is>
          <t>PAGTO ELETRONICO TRIBUTO INTERNET --RECEITA FEDERAL/SP</t>
        </is>
      </c>
      <c r="I2921" t="n">
        <v>-564.24</v>
      </c>
    </row>
    <row r="2922">
      <c r="A2922" t="n">
        <v>80253</v>
      </c>
      <c r="B2922" t="n">
        <v>115</v>
      </c>
      <c r="C2922" t="inlineStr">
        <is>
          <t>Love - Shibari - Bradesco</t>
        </is>
      </c>
      <c r="D2922" t="n">
        <v>128</v>
      </c>
      <c r="E2922" t="inlineStr">
        <is>
          <t>Love Cabaret</t>
        </is>
      </c>
      <c r="F2922" s="27" t="n">
        <v>45742.5</v>
      </c>
      <c r="G2922" t="inlineStr">
        <is>
          <t>DEBITO</t>
        </is>
      </c>
      <c r="H2922" t="inlineStr">
        <is>
          <t>PAGTO ELETRONICO TRIBUTO INTERNET --RECEITA FEDERAL/SP</t>
        </is>
      </c>
      <c r="I2922" t="n">
        <v>-1601.6</v>
      </c>
    </row>
    <row r="2923">
      <c r="A2923" t="n">
        <v>80254</v>
      </c>
      <c r="B2923" t="n">
        <v>115</v>
      </c>
      <c r="C2923" t="inlineStr">
        <is>
          <t>Love - Shibari - Bradesco</t>
        </is>
      </c>
      <c r="D2923" t="n">
        <v>128</v>
      </c>
      <c r="E2923" t="inlineStr">
        <is>
          <t>Love Cabaret</t>
        </is>
      </c>
      <c r="F2923" s="27" t="n">
        <v>45742.5</v>
      </c>
      <c r="G2923" t="inlineStr">
        <is>
          <t>DEBITO</t>
        </is>
      </c>
      <c r="H2923" t="inlineStr">
        <is>
          <t>PAGTO ELETRONICO TRIBUTO INTERNET --SP/SEFAZ-DARE</t>
        </is>
      </c>
      <c r="I2923" t="n">
        <v>-586.25</v>
      </c>
    </row>
    <row r="2924">
      <c r="A2924" t="n">
        <v>80255</v>
      </c>
      <c r="B2924" t="n">
        <v>115</v>
      </c>
      <c r="C2924" t="inlineStr">
        <is>
          <t>Love - Shibari - Bradesco</t>
        </is>
      </c>
      <c r="D2924" t="n">
        <v>128</v>
      </c>
      <c r="E2924" t="inlineStr">
        <is>
          <t>Love Cabaret</t>
        </is>
      </c>
      <c r="F2924" s="27" t="n">
        <v>45742.5</v>
      </c>
      <c r="G2924" t="inlineStr">
        <is>
          <t>DEBITO</t>
        </is>
      </c>
      <c r="H2924" t="inlineStr">
        <is>
          <t>PAGTO ELETRONICO TRIBUTO INTERNET --SP/SEFAZ-DARE</t>
        </is>
      </c>
      <c r="I2924" t="n">
        <v>-768.0599999999999</v>
      </c>
    </row>
    <row r="2925">
      <c r="A2925" t="n">
        <v>80256</v>
      </c>
      <c r="B2925" t="n">
        <v>115</v>
      </c>
      <c r="C2925" t="inlineStr">
        <is>
          <t>Love - Shibari - Bradesco</t>
        </is>
      </c>
      <c r="D2925" t="n">
        <v>128</v>
      </c>
      <c r="E2925" t="inlineStr">
        <is>
          <t>Love Cabaret</t>
        </is>
      </c>
      <c r="F2925" s="27" t="n">
        <v>45742.5</v>
      </c>
      <c r="G2925" t="inlineStr">
        <is>
          <t>DEBITO</t>
        </is>
      </c>
      <c r="H2925" t="inlineStr">
        <is>
          <t>CONTA DE TELEFONE INTERNET --TELEFONICA BRASIL</t>
        </is>
      </c>
      <c r="I2925" t="n">
        <v>-20</v>
      </c>
    </row>
    <row r="2926">
      <c r="A2926" t="n">
        <v>80257</v>
      </c>
      <c r="B2926" t="n">
        <v>115</v>
      </c>
      <c r="C2926" t="inlineStr">
        <is>
          <t>Love - Shibari - Bradesco</t>
        </is>
      </c>
      <c r="D2926" t="n">
        <v>128</v>
      </c>
      <c r="E2926" t="inlineStr">
        <is>
          <t>Love Cabaret</t>
        </is>
      </c>
      <c r="F2926" s="27" t="n">
        <v>45742.5</v>
      </c>
      <c r="G2926" t="inlineStr">
        <is>
          <t>DEBITO</t>
        </is>
      </c>
      <c r="H2926" t="inlineStr">
        <is>
          <t>CONTA DE TELEFONE INTERNET --VIVO/SP</t>
        </is>
      </c>
      <c r="I2926" t="n">
        <v>-449.21</v>
      </c>
    </row>
    <row r="2927">
      <c r="A2927" t="n">
        <v>80237</v>
      </c>
      <c r="B2927" t="n">
        <v>115</v>
      </c>
      <c r="C2927" t="inlineStr">
        <is>
          <t>Love - Shibari - Bradesco</t>
        </is>
      </c>
      <c r="D2927" t="n">
        <v>128</v>
      </c>
      <c r="E2927" t="inlineStr">
        <is>
          <t>Love Cabaret</t>
        </is>
      </c>
      <c r="F2927" s="27" t="n">
        <v>45742.5</v>
      </c>
      <c r="G2927" t="inlineStr">
        <is>
          <t>DEBITO</t>
        </is>
      </c>
      <c r="H2927" t="inlineStr">
        <is>
          <t>PAGTO ELETRON  COBRANCA NF 441756</t>
        </is>
      </c>
      <c r="I2927" t="n">
        <v>-1061.46</v>
      </c>
    </row>
    <row r="2928">
      <c r="A2928" t="n">
        <v>80238</v>
      </c>
      <c r="B2928" t="n">
        <v>115</v>
      </c>
      <c r="C2928" t="inlineStr">
        <is>
          <t>Love - Shibari - Bradesco</t>
        </is>
      </c>
      <c r="D2928" t="n">
        <v>128</v>
      </c>
      <c r="E2928" t="inlineStr">
        <is>
          <t>Love Cabaret</t>
        </is>
      </c>
      <c r="F2928" s="27" t="n">
        <v>45742.5</v>
      </c>
      <c r="G2928" t="inlineStr">
        <is>
          <t>DEBITO</t>
        </is>
      </c>
      <c r="H2928" t="inlineStr">
        <is>
          <t>PAGTO ELETRON  COBRANCA NF 441806</t>
        </is>
      </c>
      <c r="I2928" t="n">
        <v>-1020</v>
      </c>
    </row>
    <row r="2929">
      <c r="A2929" t="n">
        <v>80245</v>
      </c>
      <c r="B2929" t="n">
        <v>115</v>
      </c>
      <c r="C2929" t="inlineStr">
        <is>
          <t>Love - Shibari - Bradesco</t>
        </is>
      </c>
      <c r="D2929" t="n">
        <v>128</v>
      </c>
      <c r="E2929" t="inlineStr">
        <is>
          <t>Love Cabaret</t>
        </is>
      </c>
      <c r="F2929" s="27" t="n">
        <v>45742.5</v>
      </c>
      <c r="G2929" t="inlineStr">
        <is>
          <t>DEBITO</t>
        </is>
      </c>
      <c r="H2929" t="inlineStr">
        <is>
          <t>PAGTO ELETRON  COBRANCA NF 121341119</t>
        </is>
      </c>
      <c r="I2929" t="n">
        <v>-1380.14</v>
      </c>
    </row>
    <row r="2930">
      <c r="A2930" t="n">
        <v>80243</v>
      </c>
      <c r="B2930" t="n">
        <v>115</v>
      </c>
      <c r="C2930" t="inlineStr">
        <is>
          <t>Love - Shibari - Bradesco</t>
        </is>
      </c>
      <c r="D2930" t="n">
        <v>128</v>
      </c>
      <c r="E2930" t="inlineStr">
        <is>
          <t>Love Cabaret</t>
        </is>
      </c>
      <c r="F2930" s="27" t="n">
        <v>45742.5</v>
      </c>
      <c r="G2930" t="inlineStr">
        <is>
          <t>DEBITO</t>
        </is>
      </c>
      <c r="H2930" t="inlineStr">
        <is>
          <t>PAGTO ELETRON  COBRANCA NF 19127</t>
        </is>
      </c>
      <c r="I2930" t="n">
        <v>-50.5</v>
      </c>
    </row>
    <row r="2931">
      <c r="A2931" t="n">
        <v>80244</v>
      </c>
      <c r="B2931" t="n">
        <v>115</v>
      </c>
      <c r="C2931" t="inlineStr">
        <is>
          <t>Love - Shibari - Bradesco</t>
        </is>
      </c>
      <c r="D2931" t="n">
        <v>128</v>
      </c>
      <c r="E2931" t="inlineStr">
        <is>
          <t>Love Cabaret</t>
        </is>
      </c>
      <c r="F2931" s="27" t="n">
        <v>45742.5</v>
      </c>
      <c r="G2931" t="inlineStr">
        <is>
          <t>DEBITO</t>
        </is>
      </c>
      <c r="H2931" t="inlineStr">
        <is>
          <t>PAGTO ELETRON  COBRANCA NF 538518470</t>
        </is>
      </c>
      <c r="I2931" t="n">
        <v>-13106.5</v>
      </c>
    </row>
    <row r="2932">
      <c r="A2932" t="n">
        <v>80235</v>
      </c>
      <c r="B2932" t="n">
        <v>115</v>
      </c>
      <c r="C2932" t="inlineStr">
        <is>
          <t>Love - Shibari - Bradesco</t>
        </is>
      </c>
      <c r="D2932" t="n">
        <v>128</v>
      </c>
      <c r="E2932" t="inlineStr">
        <is>
          <t>Love Cabaret</t>
        </is>
      </c>
      <c r="F2932" s="27" t="n">
        <v>45741.5</v>
      </c>
      <c r="G2932" t="inlineStr">
        <is>
          <t>CREDITO</t>
        </is>
      </c>
      <c r="H2932" t="inlineStr">
        <is>
          <t>TRANSFERENCIA PIX REM: SHIBARI ART E DIVERSA 25/03</t>
        </is>
      </c>
      <c r="I2932" t="n">
        <v>10634.3</v>
      </c>
    </row>
    <row r="2933">
      <c r="A2933" t="n">
        <v>80223</v>
      </c>
      <c r="B2933" t="n">
        <v>115</v>
      </c>
      <c r="C2933" t="inlineStr">
        <is>
          <t>Love - Shibari - Bradesco</t>
        </is>
      </c>
      <c r="D2933" t="n">
        <v>128</v>
      </c>
      <c r="E2933" t="inlineStr">
        <is>
          <t>Love Cabaret</t>
        </is>
      </c>
      <c r="F2933" s="27" t="n">
        <v>45740.5</v>
      </c>
      <c r="G2933" t="inlineStr">
        <is>
          <t>DEBITO</t>
        </is>
      </c>
      <c r="H2933" t="inlineStr">
        <is>
          <t>PAGTO ELETRON  COBRANCA 1864</t>
        </is>
      </c>
      <c r="I2933" t="n">
        <v>-202</v>
      </c>
    </row>
    <row r="2934">
      <c r="A2934" t="n">
        <v>80222</v>
      </c>
      <c r="B2934" t="n">
        <v>115</v>
      </c>
      <c r="C2934" t="inlineStr">
        <is>
          <t>Love - Shibari - Bradesco</t>
        </is>
      </c>
      <c r="D2934" t="n">
        <v>128</v>
      </c>
      <c r="E2934" t="inlineStr">
        <is>
          <t>Love Cabaret</t>
        </is>
      </c>
      <c r="F2934" s="27" t="n">
        <v>45740.5</v>
      </c>
      <c r="G2934" t="inlineStr">
        <is>
          <t>DEBITO</t>
        </is>
      </c>
      <c r="H2934" t="inlineStr">
        <is>
          <t>PAGTO ELETRON  COBRANCA 366388</t>
        </is>
      </c>
      <c r="I2934" t="n">
        <v>-216.15</v>
      </c>
    </row>
    <row r="2935">
      <c r="A2935" t="n">
        <v>80224</v>
      </c>
      <c r="B2935" t="n">
        <v>115</v>
      </c>
      <c r="C2935" t="inlineStr">
        <is>
          <t>Love - Shibari - Bradesco</t>
        </is>
      </c>
      <c r="D2935" t="n">
        <v>128</v>
      </c>
      <c r="E2935" t="inlineStr">
        <is>
          <t>Love Cabaret</t>
        </is>
      </c>
      <c r="F2935" s="27" t="n">
        <v>45740.5</v>
      </c>
      <c r="G2935" t="inlineStr">
        <is>
          <t>DEBITO</t>
        </is>
      </c>
      <c r="H2935" t="inlineStr">
        <is>
          <t>PAGTO ELETRON  COBRANCA 536499321</t>
        </is>
      </c>
      <c r="I2935" t="n">
        <v>-6765</v>
      </c>
    </row>
    <row r="2936">
      <c r="A2936" t="n">
        <v>80225</v>
      </c>
      <c r="B2936" t="n">
        <v>115</v>
      </c>
      <c r="C2936" t="inlineStr">
        <is>
          <t>Love - Shibari - Bradesco</t>
        </is>
      </c>
      <c r="D2936" t="n">
        <v>128</v>
      </c>
      <c r="E2936" t="inlineStr">
        <is>
          <t>Love Cabaret</t>
        </is>
      </c>
      <c r="F2936" s="27" t="n">
        <v>45740.5</v>
      </c>
      <c r="G2936" t="inlineStr">
        <is>
          <t>DEBITO</t>
        </is>
      </c>
      <c r="H2936" t="inlineStr">
        <is>
          <t>PAGTO ELETRONICO TRIBUTO INTERNET --RECEITA FEDERAL/SP</t>
        </is>
      </c>
      <c r="I2936" t="n">
        <v>-1727.77</v>
      </c>
    </row>
    <row r="2937">
      <c r="A2937" t="n">
        <v>80226</v>
      </c>
      <c r="B2937" t="n">
        <v>115</v>
      </c>
      <c r="C2937" t="inlineStr">
        <is>
          <t>Love - Shibari - Bradesco</t>
        </is>
      </c>
      <c r="D2937" t="n">
        <v>128</v>
      </c>
      <c r="E2937" t="inlineStr">
        <is>
          <t>Love Cabaret</t>
        </is>
      </c>
      <c r="F2937" s="27" t="n">
        <v>45740.5</v>
      </c>
      <c r="G2937" t="inlineStr">
        <is>
          <t>DEBITO</t>
        </is>
      </c>
      <c r="H2937" t="inlineStr">
        <is>
          <t>PAGTO ELETRONICO TRIBUTO INTERNET --RECEITA FEDERAL/SP</t>
        </is>
      </c>
      <c r="I2937" t="n">
        <v>-7974.31</v>
      </c>
    </row>
    <row r="2938">
      <c r="A2938" t="n">
        <v>80227</v>
      </c>
      <c r="B2938" t="n">
        <v>115</v>
      </c>
      <c r="C2938" t="inlineStr">
        <is>
          <t>Love - Shibari - Bradesco</t>
        </is>
      </c>
      <c r="D2938" t="n">
        <v>128</v>
      </c>
      <c r="E2938" t="inlineStr">
        <is>
          <t>Love Cabaret</t>
        </is>
      </c>
      <c r="F2938" s="27" t="n">
        <v>45740.5</v>
      </c>
      <c r="G2938" t="inlineStr">
        <is>
          <t>DEBITO</t>
        </is>
      </c>
      <c r="H2938" t="inlineStr">
        <is>
          <t>TRANSFERENCIA PIX DES: 55 214 822 WAGNER DA  24/03</t>
        </is>
      </c>
      <c r="I2938" t="n">
        <v>-500</v>
      </c>
    </row>
    <row r="2939">
      <c r="A2939" t="n">
        <v>80228</v>
      </c>
      <c r="B2939" t="n">
        <v>115</v>
      </c>
      <c r="C2939" t="inlineStr">
        <is>
          <t>Love - Shibari - Bradesco</t>
        </is>
      </c>
      <c r="D2939" t="n">
        <v>128</v>
      </c>
      <c r="E2939" t="inlineStr">
        <is>
          <t>Love Cabaret</t>
        </is>
      </c>
      <c r="F2939" s="27" t="n">
        <v>45740.5</v>
      </c>
      <c r="G2939" t="inlineStr">
        <is>
          <t>DEBITO</t>
        </is>
      </c>
      <c r="H2939" t="inlineStr">
        <is>
          <t>TRANSFERENCIA PIX DES: Diego Oliveira Santan 24/03</t>
        </is>
      </c>
      <c r="I2939" t="n">
        <v>-500</v>
      </c>
    </row>
    <row r="2940">
      <c r="A2940" t="n">
        <v>80229</v>
      </c>
      <c r="B2940" t="n">
        <v>115</v>
      </c>
      <c r="C2940" t="inlineStr">
        <is>
          <t>Love - Shibari - Bradesco</t>
        </is>
      </c>
      <c r="D2940" t="n">
        <v>128</v>
      </c>
      <c r="E2940" t="inlineStr">
        <is>
          <t>Love Cabaret</t>
        </is>
      </c>
      <c r="F2940" s="27" t="n">
        <v>45740.5</v>
      </c>
      <c r="G2940" t="inlineStr">
        <is>
          <t>DEBITO</t>
        </is>
      </c>
      <c r="H2940" t="inlineStr">
        <is>
          <t>TRANSFERENCIA PIX DES: GABRIELA TOLEDO MONTE 24/03</t>
        </is>
      </c>
      <c r="I2940" t="n">
        <v>-500</v>
      </c>
    </row>
    <row r="2941">
      <c r="A2941" t="n">
        <v>80230</v>
      </c>
      <c r="B2941" t="n">
        <v>115</v>
      </c>
      <c r="C2941" t="inlineStr">
        <is>
          <t>Love - Shibari - Bradesco</t>
        </is>
      </c>
      <c r="D2941" t="n">
        <v>128</v>
      </c>
      <c r="E2941" t="inlineStr">
        <is>
          <t>Love Cabaret</t>
        </is>
      </c>
      <c r="F2941" s="27" t="n">
        <v>45740.5</v>
      </c>
      <c r="G2941" t="inlineStr">
        <is>
          <t>DEBITO</t>
        </is>
      </c>
      <c r="H2941" t="inlineStr">
        <is>
          <t>TRANSFERENCIA PIX DES: ROBERTA MARIA SANTANA 24/03</t>
        </is>
      </c>
      <c r="I2941" t="n">
        <v>-500</v>
      </c>
    </row>
    <row r="2942">
      <c r="A2942" t="n">
        <v>80231</v>
      </c>
      <c r="B2942" t="n">
        <v>115</v>
      </c>
      <c r="C2942" t="inlineStr">
        <is>
          <t>Love - Shibari - Bradesco</t>
        </is>
      </c>
      <c r="D2942" t="n">
        <v>128</v>
      </c>
      <c r="E2942" t="inlineStr">
        <is>
          <t>Love Cabaret</t>
        </is>
      </c>
      <c r="F2942" s="27" t="n">
        <v>45740.5</v>
      </c>
      <c r="G2942" t="inlineStr">
        <is>
          <t>DEBITO</t>
        </is>
      </c>
      <c r="H2942" t="inlineStr">
        <is>
          <t>TRANSFERENCIA PIX DES: DOUGLAS FELIPE DOMING 24/03</t>
        </is>
      </c>
      <c r="I2942" t="n">
        <v>-500</v>
      </c>
    </row>
    <row r="2943">
      <c r="A2943" t="n">
        <v>80232</v>
      </c>
      <c r="B2943" t="n">
        <v>115</v>
      </c>
      <c r="C2943" t="inlineStr">
        <is>
          <t>Love - Shibari - Bradesco</t>
        </is>
      </c>
      <c r="D2943" t="n">
        <v>128</v>
      </c>
      <c r="E2943" t="inlineStr">
        <is>
          <t>Love Cabaret</t>
        </is>
      </c>
      <c r="F2943" s="27" t="n">
        <v>45740.5</v>
      </c>
      <c r="G2943" t="inlineStr">
        <is>
          <t>DEBITO</t>
        </is>
      </c>
      <c r="H2943" t="inlineStr">
        <is>
          <t>TRANSFERENCIA PIX DES: FABRICA DE BARES SERV 24/03</t>
        </is>
      </c>
      <c r="I2943" t="n">
        <v>-15.74</v>
      </c>
    </row>
    <row r="2944">
      <c r="A2944" t="n">
        <v>80233</v>
      </c>
      <c r="B2944" t="n">
        <v>115</v>
      </c>
      <c r="C2944" t="inlineStr">
        <is>
          <t>Love - Shibari - Bradesco</t>
        </is>
      </c>
      <c r="D2944" t="n">
        <v>128</v>
      </c>
      <c r="E2944" t="inlineStr">
        <is>
          <t>Love Cabaret</t>
        </is>
      </c>
      <c r="F2944" s="27" t="n">
        <v>45740.5</v>
      </c>
      <c r="G2944" t="inlineStr">
        <is>
          <t>DEBITO</t>
        </is>
      </c>
      <c r="H2944" t="inlineStr">
        <is>
          <t>CONTA DE TELEFONE INTERNET --VIVO/SP</t>
        </is>
      </c>
      <c r="I2944" t="n">
        <v>-327.09</v>
      </c>
    </row>
    <row r="2945">
      <c r="A2945" t="n">
        <v>80234</v>
      </c>
      <c r="B2945" t="n">
        <v>115</v>
      </c>
      <c r="C2945" t="inlineStr">
        <is>
          <t>Love - Shibari - Bradesco</t>
        </is>
      </c>
      <c r="D2945" t="n">
        <v>128</v>
      </c>
      <c r="E2945" t="inlineStr">
        <is>
          <t>Love Cabaret</t>
        </is>
      </c>
      <c r="F2945" s="27" t="n">
        <v>45740.5</v>
      </c>
      <c r="G2945" t="inlineStr">
        <is>
          <t>DEBITO</t>
        </is>
      </c>
      <c r="H2945" t="inlineStr">
        <is>
          <t>CONTA DE TELEFONE INTERNET --VIVO/SP</t>
        </is>
      </c>
      <c r="I2945" t="n">
        <v>-93.7</v>
      </c>
    </row>
    <row r="2946">
      <c r="A2946" t="n">
        <v>80221</v>
      </c>
      <c r="B2946" t="n">
        <v>115</v>
      </c>
      <c r="C2946" t="inlineStr">
        <is>
          <t>Love - Shibari - Bradesco</t>
        </is>
      </c>
      <c r="D2946" t="n">
        <v>128</v>
      </c>
      <c r="E2946" t="inlineStr">
        <is>
          <t>Love Cabaret</t>
        </is>
      </c>
      <c r="F2946" s="27" t="n">
        <v>45740.5</v>
      </c>
      <c r="G2946" t="inlineStr">
        <is>
          <t>DEBITO</t>
        </is>
      </c>
      <c r="H2946" t="inlineStr">
        <is>
          <t>PAGTO ELETRON  COBRANCA 25927</t>
        </is>
      </c>
      <c r="I2946" t="n">
        <v>-233.96</v>
      </c>
    </row>
    <row r="2947">
      <c r="A2947" t="n">
        <v>80220</v>
      </c>
      <c r="B2947" t="n">
        <v>115</v>
      </c>
      <c r="C2947" t="inlineStr">
        <is>
          <t>Love - Shibari - Bradesco</t>
        </is>
      </c>
      <c r="D2947" t="n">
        <v>128</v>
      </c>
      <c r="E2947" t="inlineStr">
        <is>
          <t>Love Cabaret</t>
        </is>
      </c>
      <c r="F2947" s="27" t="n">
        <v>45740.5</v>
      </c>
      <c r="G2947" t="inlineStr">
        <is>
          <t>DEBITO</t>
        </is>
      </c>
      <c r="H2947" t="inlineStr">
        <is>
          <t>PAGTO ELETRON  COBRANCA 10388</t>
        </is>
      </c>
      <c r="I2947" t="n">
        <v>-234</v>
      </c>
    </row>
    <row r="2948">
      <c r="A2948" t="n">
        <v>80219</v>
      </c>
      <c r="B2948" t="n">
        <v>115</v>
      </c>
      <c r="C2948" t="inlineStr">
        <is>
          <t>Love - Shibari - Bradesco</t>
        </is>
      </c>
      <c r="D2948" t="n">
        <v>128</v>
      </c>
      <c r="E2948" t="inlineStr">
        <is>
          <t>Love Cabaret</t>
        </is>
      </c>
      <c r="F2948" s="27" t="n">
        <v>45740.5</v>
      </c>
      <c r="G2948" t="inlineStr">
        <is>
          <t>DEBITO</t>
        </is>
      </c>
      <c r="H2948" t="inlineStr">
        <is>
          <t>PAGTO ELETRON  COBRANCA 569583</t>
        </is>
      </c>
      <c r="I2948" t="n">
        <v>-277.48</v>
      </c>
    </row>
    <row r="2949">
      <c r="A2949" t="n">
        <v>80218</v>
      </c>
      <c r="B2949" t="n">
        <v>115</v>
      </c>
      <c r="C2949" t="inlineStr">
        <is>
          <t>Love - Shibari - Bradesco</t>
        </is>
      </c>
      <c r="D2949" t="n">
        <v>128</v>
      </c>
      <c r="E2949" t="inlineStr">
        <is>
          <t>Love Cabaret</t>
        </is>
      </c>
      <c r="F2949" s="27" t="n">
        <v>45740.5</v>
      </c>
      <c r="G2949" t="inlineStr">
        <is>
          <t>DEBITO</t>
        </is>
      </c>
      <c r="H2949" t="inlineStr">
        <is>
          <t>PAGTO ELETRON  COBRANCA 34807</t>
        </is>
      </c>
      <c r="I2949" t="n">
        <v>-326.75</v>
      </c>
    </row>
    <row r="2950">
      <c r="A2950" t="n">
        <v>80217</v>
      </c>
      <c r="B2950" t="n">
        <v>115</v>
      </c>
      <c r="C2950" t="inlineStr">
        <is>
          <t>Love - Shibari - Bradesco</t>
        </is>
      </c>
      <c r="D2950" t="n">
        <v>128</v>
      </c>
      <c r="E2950" t="inlineStr">
        <is>
          <t>Love Cabaret</t>
        </is>
      </c>
      <c r="F2950" s="27" t="n">
        <v>45740.5</v>
      </c>
      <c r="G2950" t="inlineStr">
        <is>
          <t>DEBITO</t>
        </is>
      </c>
      <c r="H2950" t="inlineStr">
        <is>
          <t>PAGTO ELETRON  COBRANCA 236261</t>
        </is>
      </c>
      <c r="I2950" t="n">
        <v>-417.4</v>
      </c>
    </row>
    <row r="2951">
      <c r="A2951" t="n">
        <v>80216</v>
      </c>
      <c r="B2951" t="n">
        <v>115</v>
      </c>
      <c r="C2951" t="inlineStr">
        <is>
          <t>Love - Shibari - Bradesco</t>
        </is>
      </c>
      <c r="D2951" t="n">
        <v>128</v>
      </c>
      <c r="E2951" t="inlineStr">
        <is>
          <t>Love Cabaret</t>
        </is>
      </c>
      <c r="F2951" s="27" t="n">
        <v>45740.5</v>
      </c>
      <c r="G2951" t="inlineStr">
        <is>
          <t>DEBITO</t>
        </is>
      </c>
      <c r="H2951" t="inlineStr">
        <is>
          <t>PAGTO ELETRON  COBRANCA 75938</t>
        </is>
      </c>
      <c r="I2951" t="n">
        <v>-494</v>
      </c>
    </row>
    <row r="2952">
      <c r="A2952" t="n">
        <v>80215</v>
      </c>
      <c r="B2952" t="n">
        <v>115</v>
      </c>
      <c r="C2952" t="inlineStr">
        <is>
          <t>Love - Shibari - Bradesco</t>
        </is>
      </c>
      <c r="D2952" t="n">
        <v>128</v>
      </c>
      <c r="E2952" t="inlineStr">
        <is>
          <t>Love Cabaret</t>
        </is>
      </c>
      <c r="F2952" s="27" t="n">
        <v>45740.5</v>
      </c>
      <c r="G2952" t="inlineStr">
        <is>
          <t>DEBITO</t>
        </is>
      </c>
      <c r="H2952" t="inlineStr">
        <is>
          <t>PAGTO ELETRON  COBRANCA 13068</t>
        </is>
      </c>
      <c r="I2952" t="n">
        <v>-710.29</v>
      </c>
    </row>
    <row r="2953">
      <c r="A2953" t="n">
        <v>80214</v>
      </c>
      <c r="B2953" t="n">
        <v>115</v>
      </c>
      <c r="C2953" t="inlineStr">
        <is>
          <t>Love - Shibari - Bradesco</t>
        </is>
      </c>
      <c r="D2953" t="n">
        <v>128</v>
      </c>
      <c r="E2953" t="inlineStr">
        <is>
          <t>Love Cabaret</t>
        </is>
      </c>
      <c r="F2953" s="27" t="n">
        <v>45740.5</v>
      </c>
      <c r="G2953" t="inlineStr">
        <is>
          <t>DEBITO</t>
        </is>
      </c>
      <c r="H2953" t="inlineStr">
        <is>
          <t>PAGTO ELETRON  COBRANCA 42914</t>
        </is>
      </c>
      <c r="I2953" t="n">
        <v>-1170.78</v>
      </c>
    </row>
    <row r="2954">
      <c r="A2954" t="n">
        <v>80213</v>
      </c>
      <c r="B2954" t="n">
        <v>115</v>
      </c>
      <c r="C2954" t="inlineStr">
        <is>
          <t>Love - Shibari - Bradesco</t>
        </is>
      </c>
      <c r="D2954" t="n">
        <v>128</v>
      </c>
      <c r="E2954" t="inlineStr">
        <is>
          <t>Love Cabaret</t>
        </is>
      </c>
      <c r="F2954" s="27" t="n">
        <v>45740.5</v>
      </c>
      <c r="G2954" t="inlineStr">
        <is>
          <t>DEBITO</t>
        </is>
      </c>
      <c r="H2954" t="inlineStr">
        <is>
          <t>PAGTO ELETRON  COBRANCA 2359</t>
        </is>
      </c>
      <c r="I2954" t="n">
        <v>-1200</v>
      </c>
    </row>
    <row r="2955">
      <c r="A2955" t="n">
        <v>80212</v>
      </c>
      <c r="B2955" t="n">
        <v>115</v>
      </c>
      <c r="C2955" t="inlineStr">
        <is>
          <t>Love - Shibari - Bradesco</t>
        </is>
      </c>
      <c r="D2955" t="n">
        <v>128</v>
      </c>
      <c r="E2955" t="inlineStr">
        <is>
          <t>Love Cabaret</t>
        </is>
      </c>
      <c r="F2955" s="27" t="n">
        <v>45740.5</v>
      </c>
      <c r="G2955" t="inlineStr">
        <is>
          <t>DEBITO</t>
        </is>
      </c>
      <c r="H2955" t="inlineStr">
        <is>
          <t>PAGTO ELETRON  COBRANCA 2302</t>
        </is>
      </c>
      <c r="I2955" t="n">
        <v>-1446.95</v>
      </c>
    </row>
    <row r="2956">
      <c r="A2956" t="n">
        <v>80211</v>
      </c>
      <c r="B2956" t="n">
        <v>115</v>
      </c>
      <c r="C2956" t="inlineStr">
        <is>
          <t>Love - Shibari - Bradesco</t>
        </is>
      </c>
      <c r="D2956" t="n">
        <v>128</v>
      </c>
      <c r="E2956" t="inlineStr">
        <is>
          <t>Love Cabaret</t>
        </is>
      </c>
      <c r="F2956" s="27" t="n">
        <v>45740.5</v>
      </c>
      <c r="G2956" t="inlineStr">
        <is>
          <t>DEBITO</t>
        </is>
      </c>
      <c r="H2956" t="inlineStr">
        <is>
          <t>PAGTO ELETRON  COBRANCA 115417</t>
        </is>
      </c>
      <c r="I2956" t="n">
        <v>-2418.42</v>
      </c>
    </row>
    <row r="2957">
      <c r="A2957" t="n">
        <v>80210</v>
      </c>
      <c r="B2957" t="n">
        <v>115</v>
      </c>
      <c r="C2957" t="inlineStr">
        <is>
          <t>Love - Shibari - Bradesco</t>
        </is>
      </c>
      <c r="D2957" t="n">
        <v>128</v>
      </c>
      <c r="E2957" t="inlineStr">
        <is>
          <t>Love Cabaret</t>
        </is>
      </c>
      <c r="F2957" s="27" t="n">
        <v>45740.5</v>
      </c>
      <c r="G2957" t="inlineStr">
        <is>
          <t>DEBITO</t>
        </is>
      </c>
      <c r="H2957" t="inlineStr">
        <is>
          <t>PAGTO ELETRON  COBRANCA 2739</t>
        </is>
      </c>
      <c r="I2957" t="n">
        <v>-2450</v>
      </c>
    </row>
    <row r="2958">
      <c r="A2958" t="n">
        <v>80209</v>
      </c>
      <c r="B2958" t="n">
        <v>115</v>
      </c>
      <c r="C2958" t="inlineStr">
        <is>
          <t>Love - Shibari - Bradesco</t>
        </is>
      </c>
      <c r="D2958" t="n">
        <v>128</v>
      </c>
      <c r="E2958" t="inlineStr">
        <is>
          <t>Love Cabaret</t>
        </is>
      </c>
      <c r="F2958" s="27" t="n">
        <v>45740.5</v>
      </c>
      <c r="G2958" t="inlineStr">
        <is>
          <t>CREDITO</t>
        </is>
      </c>
      <c r="H2958" t="inlineStr">
        <is>
          <t>TRANSFERENCIA PIX REM: SHIBARI ART E DIVERSA 24/03</t>
        </is>
      </c>
      <c r="I2958" t="n">
        <v>41601.91</v>
      </c>
    </row>
    <row r="2959">
      <c r="A2959" t="n">
        <v>80204</v>
      </c>
      <c r="B2959" t="n">
        <v>115</v>
      </c>
      <c r="C2959" t="inlineStr">
        <is>
          <t>Love - Shibari - Bradesco</t>
        </is>
      </c>
      <c r="D2959" t="n">
        <v>128</v>
      </c>
      <c r="E2959" t="inlineStr">
        <is>
          <t>Love Cabaret</t>
        </is>
      </c>
      <c r="F2959" s="27" t="n">
        <v>45737.5</v>
      </c>
      <c r="G2959" t="inlineStr">
        <is>
          <t>CREDITO</t>
        </is>
      </c>
      <c r="H2959" t="inlineStr">
        <is>
          <t>TED-TRANSF ELET DISPON REMET.DIVERTI TICKETS COME</t>
        </is>
      </c>
      <c r="I2959" t="n">
        <v>7839.62</v>
      </c>
    </row>
    <row r="2960">
      <c r="A2960" t="n">
        <v>80203</v>
      </c>
      <c r="B2960" t="n">
        <v>115</v>
      </c>
      <c r="C2960" t="inlineStr">
        <is>
          <t>Love - Shibari - Bradesco</t>
        </is>
      </c>
      <c r="D2960" t="n">
        <v>128</v>
      </c>
      <c r="E2960" t="inlineStr">
        <is>
          <t>Love Cabaret</t>
        </is>
      </c>
      <c r="F2960" s="27" t="n">
        <v>45737.5</v>
      </c>
      <c r="G2960" t="inlineStr">
        <is>
          <t>CREDITO</t>
        </is>
      </c>
      <c r="H2960" t="inlineStr">
        <is>
          <t>TED-TRANSF ELET DISPON REMET.DIVERTI TICKETS COME</t>
        </is>
      </c>
      <c r="I2960" t="n">
        <v>9455.379999999999</v>
      </c>
    </row>
    <row r="2961">
      <c r="A2961" t="n">
        <v>80205</v>
      </c>
      <c r="B2961" t="n">
        <v>115</v>
      </c>
      <c r="C2961" t="inlineStr">
        <is>
          <t>Love - Shibari - Bradesco</t>
        </is>
      </c>
      <c r="D2961" t="n">
        <v>128</v>
      </c>
      <c r="E2961" t="inlineStr">
        <is>
          <t>Love Cabaret</t>
        </is>
      </c>
      <c r="F2961" s="27" t="n">
        <v>45737.5</v>
      </c>
      <c r="G2961" t="inlineStr">
        <is>
          <t>CREDITO</t>
        </is>
      </c>
      <c r="H2961" t="inlineStr">
        <is>
          <t>TED-TRANSF ELET DISPON REMET.DIVERTI TICKETS COME</t>
        </is>
      </c>
      <c r="I2961" t="n">
        <v>7132.72</v>
      </c>
    </row>
    <row r="2962">
      <c r="A2962" t="n">
        <v>80206</v>
      </c>
      <c r="B2962" t="n">
        <v>115</v>
      </c>
      <c r="C2962" t="inlineStr">
        <is>
          <t>Love - Shibari - Bradesco</t>
        </is>
      </c>
      <c r="D2962" t="n">
        <v>128</v>
      </c>
      <c r="E2962" t="inlineStr">
        <is>
          <t>Love Cabaret</t>
        </is>
      </c>
      <c r="F2962" s="27" t="n">
        <v>45737.5</v>
      </c>
      <c r="G2962" t="inlineStr">
        <is>
          <t>DEBITO</t>
        </is>
      </c>
      <c r="H2962" t="inlineStr">
        <is>
          <t>TARIFA BANCARIA TRANSF PGTO PIX</t>
        </is>
      </c>
      <c r="I2962" t="n">
        <v>-1.65</v>
      </c>
    </row>
    <row r="2963">
      <c r="A2963" t="n">
        <v>80208</v>
      </c>
      <c r="B2963" t="n">
        <v>115</v>
      </c>
      <c r="C2963" t="inlineStr">
        <is>
          <t>Love - Shibari - Bradesco</t>
        </is>
      </c>
      <c r="D2963" t="n">
        <v>128</v>
      </c>
      <c r="E2963" t="inlineStr">
        <is>
          <t>Love Cabaret</t>
        </is>
      </c>
      <c r="F2963" s="27" t="n">
        <v>45737.5</v>
      </c>
      <c r="G2963" t="inlineStr">
        <is>
          <t>DEBITO</t>
        </is>
      </c>
      <c r="H2963" t="inlineStr">
        <is>
          <t>TARIFA BANCARIA TRANSF PGTO PIX</t>
        </is>
      </c>
      <c r="I2963" t="n">
        <v>-9</v>
      </c>
    </row>
    <row r="2964">
      <c r="A2964" t="n">
        <v>80207</v>
      </c>
      <c r="B2964" t="n">
        <v>115</v>
      </c>
      <c r="C2964" t="inlineStr">
        <is>
          <t>Love - Shibari - Bradesco</t>
        </is>
      </c>
      <c r="D2964" t="n">
        <v>128</v>
      </c>
      <c r="E2964" t="inlineStr">
        <is>
          <t>Love Cabaret</t>
        </is>
      </c>
      <c r="F2964" s="27" t="n">
        <v>45737.5</v>
      </c>
      <c r="G2964" t="inlineStr">
        <is>
          <t>DEBITO</t>
        </is>
      </c>
      <c r="H2964" t="inlineStr">
        <is>
          <t>TARIFA BANCARIA TRANSF PGTO PIX</t>
        </is>
      </c>
      <c r="I2964" t="n">
        <v>-9</v>
      </c>
    </row>
    <row r="2965">
      <c r="A2965" t="n">
        <v>72091</v>
      </c>
      <c r="B2965" t="n">
        <v>115</v>
      </c>
      <c r="C2965" t="inlineStr">
        <is>
          <t>Love - Shibari - Bradesco</t>
        </is>
      </c>
      <c r="D2965" t="n">
        <v>128</v>
      </c>
      <c r="E2965" t="inlineStr">
        <is>
          <t>Love Cabaret</t>
        </is>
      </c>
      <c r="F2965" s="27" t="n">
        <v>45735.5</v>
      </c>
      <c r="G2965" t="inlineStr">
        <is>
          <t>DEBITO</t>
        </is>
      </c>
      <c r="H2965" t="inlineStr">
        <is>
          <t>CONTA DE AGUA E ESGOTO INTERNET --SABESP/SP</t>
        </is>
      </c>
      <c r="I2965" t="n">
        <v>-153.96</v>
      </c>
    </row>
    <row r="2966">
      <c r="A2966" t="n">
        <v>72090</v>
      </c>
      <c r="B2966" t="n">
        <v>115</v>
      </c>
      <c r="C2966" t="inlineStr">
        <is>
          <t>Love - Shibari - Bradesco</t>
        </is>
      </c>
      <c r="D2966" t="n">
        <v>128</v>
      </c>
      <c r="E2966" t="inlineStr">
        <is>
          <t>Love Cabaret</t>
        </is>
      </c>
      <c r="F2966" s="27" t="n">
        <v>45735.5</v>
      </c>
      <c r="G2966" t="inlineStr">
        <is>
          <t>DEBITO</t>
        </is>
      </c>
      <c r="H2966" t="inlineStr">
        <is>
          <t>PIX QR CODE DINAMICO DES: CAIXA ECONOMICA FEDER 19/03</t>
        </is>
      </c>
      <c r="I2966" t="n">
        <v>-611.91</v>
      </c>
    </row>
    <row r="2967">
      <c r="A2967" t="n">
        <v>72071</v>
      </c>
      <c r="B2967" t="n">
        <v>115</v>
      </c>
      <c r="C2967" t="inlineStr">
        <is>
          <t>Love - Shibari - Bradesco</t>
        </is>
      </c>
      <c r="D2967" t="n">
        <v>128</v>
      </c>
      <c r="E2967" t="inlineStr">
        <is>
          <t>Love Cabaret</t>
        </is>
      </c>
      <c r="F2967" s="27" t="n">
        <v>45735.5</v>
      </c>
      <c r="G2967" t="inlineStr">
        <is>
          <t>CREDITO</t>
        </is>
      </c>
      <c r="H2967" t="inlineStr">
        <is>
          <t>TED-TRANSF ELET DISPON REMET.LOVE SUITES</t>
        </is>
      </c>
      <c r="I2967" t="n">
        <v>2953.14</v>
      </c>
    </row>
    <row r="2968">
      <c r="A2968" t="n">
        <v>72072</v>
      </c>
      <c r="B2968" t="n">
        <v>115</v>
      </c>
      <c r="C2968" t="inlineStr">
        <is>
          <t>Love - Shibari - Bradesco</t>
        </is>
      </c>
      <c r="D2968" t="n">
        <v>128</v>
      </c>
      <c r="E2968" t="inlineStr">
        <is>
          <t>Love Cabaret</t>
        </is>
      </c>
      <c r="F2968" s="27" t="n">
        <v>45735.5</v>
      </c>
      <c r="G2968" t="inlineStr">
        <is>
          <t>DEBITO</t>
        </is>
      </c>
      <c r="H2968" t="inlineStr">
        <is>
          <t>PAGTO ELETRON  COBRANCA 418/1</t>
        </is>
      </c>
      <c r="I2968" t="n">
        <v>-9726</v>
      </c>
    </row>
    <row r="2969">
      <c r="A2969" t="n">
        <v>72073</v>
      </c>
      <c r="B2969" t="n">
        <v>115</v>
      </c>
      <c r="C2969" t="inlineStr">
        <is>
          <t>Love - Shibari - Bradesco</t>
        </is>
      </c>
      <c r="D2969" t="n">
        <v>128</v>
      </c>
      <c r="E2969" t="inlineStr">
        <is>
          <t>Love Cabaret</t>
        </is>
      </c>
      <c r="F2969" s="27" t="n">
        <v>45735.5</v>
      </c>
      <c r="G2969" t="inlineStr">
        <is>
          <t>DEBITO</t>
        </is>
      </c>
      <c r="H2969" t="inlineStr">
        <is>
          <t>PAGTO ELETRON  COBRANCA 535350664</t>
        </is>
      </c>
      <c r="I2969" t="n">
        <v>-13662</v>
      </c>
    </row>
    <row r="2970">
      <c r="A2970" t="n">
        <v>72074</v>
      </c>
      <c r="B2970" t="n">
        <v>115</v>
      </c>
      <c r="C2970" t="inlineStr">
        <is>
          <t>Love - Shibari - Bradesco</t>
        </is>
      </c>
      <c r="D2970" t="n">
        <v>128</v>
      </c>
      <c r="E2970" t="inlineStr">
        <is>
          <t>Love Cabaret</t>
        </is>
      </c>
      <c r="F2970" s="27" t="n">
        <v>45735.5</v>
      </c>
      <c r="G2970" t="inlineStr">
        <is>
          <t>DEBITO</t>
        </is>
      </c>
      <c r="H2970" t="inlineStr">
        <is>
          <t>PAGTO ELETRON  COBRANCA 25909</t>
        </is>
      </c>
      <c r="I2970" t="n">
        <v>-1011.71</v>
      </c>
    </row>
    <row r="2971">
      <c r="A2971" t="n">
        <v>72075</v>
      </c>
      <c r="B2971" t="n">
        <v>115</v>
      </c>
      <c r="C2971" t="inlineStr">
        <is>
          <t>Love - Shibari - Bradesco</t>
        </is>
      </c>
      <c r="D2971" t="n">
        <v>128</v>
      </c>
      <c r="E2971" t="inlineStr">
        <is>
          <t>Love Cabaret</t>
        </is>
      </c>
      <c r="F2971" s="27" t="n">
        <v>45735.5</v>
      </c>
      <c r="G2971" t="inlineStr">
        <is>
          <t>DEBITO</t>
        </is>
      </c>
      <c r="H2971" t="inlineStr">
        <is>
          <t>PAGTO ELETRON  COBRANCA 171606</t>
        </is>
      </c>
      <c r="I2971" t="n">
        <v>-515</v>
      </c>
    </row>
    <row r="2972">
      <c r="A2972" t="n">
        <v>72077</v>
      </c>
      <c r="B2972" t="n">
        <v>115</v>
      </c>
      <c r="C2972" t="inlineStr">
        <is>
          <t>Love - Shibari - Bradesco</t>
        </is>
      </c>
      <c r="D2972" t="n">
        <v>128</v>
      </c>
      <c r="E2972" t="inlineStr">
        <is>
          <t>Love Cabaret</t>
        </is>
      </c>
      <c r="F2972" s="27" t="n">
        <v>45735.5</v>
      </c>
      <c r="G2972" t="inlineStr">
        <is>
          <t>DEBITO</t>
        </is>
      </c>
      <c r="H2972" t="inlineStr">
        <is>
          <t>PAGTO ELETRON  COBRANCA 440943</t>
        </is>
      </c>
      <c r="I2972" t="n">
        <v>-283.83</v>
      </c>
    </row>
    <row r="2973">
      <c r="A2973" t="n">
        <v>72089</v>
      </c>
      <c r="B2973" t="n">
        <v>115</v>
      </c>
      <c r="C2973" t="inlineStr">
        <is>
          <t>Love - Shibari - Bradesco</t>
        </is>
      </c>
      <c r="D2973" t="n">
        <v>128</v>
      </c>
      <c r="E2973" t="inlineStr">
        <is>
          <t>Love Cabaret</t>
        </is>
      </c>
      <c r="F2973" s="27" t="n">
        <v>45735.5</v>
      </c>
      <c r="G2973" t="inlineStr">
        <is>
          <t>DEBITO</t>
        </is>
      </c>
      <c r="H2973" t="inlineStr">
        <is>
          <t>TRANSFERENCIA PIX DES: FABRICA DE BARES SERV 19/03</t>
        </is>
      </c>
      <c r="I2973" t="n">
        <v>-100</v>
      </c>
    </row>
    <row r="2974">
      <c r="A2974" t="n">
        <v>72088</v>
      </c>
      <c r="B2974" t="n">
        <v>115</v>
      </c>
      <c r="C2974" t="inlineStr">
        <is>
          <t>Love - Shibari - Bradesco</t>
        </is>
      </c>
      <c r="D2974" t="n">
        <v>128</v>
      </c>
      <c r="E2974" t="inlineStr">
        <is>
          <t>Love Cabaret</t>
        </is>
      </c>
      <c r="F2974" s="27" t="n">
        <v>45735.5</v>
      </c>
      <c r="G2974" t="inlineStr">
        <is>
          <t>DEBITO</t>
        </is>
      </c>
      <c r="H2974" t="inlineStr">
        <is>
          <t>TRANSFERENCIA PIX DES: MACHINE SEGURANCA PAT 19/03</t>
        </is>
      </c>
      <c r="I2974" t="n">
        <v>-3990</v>
      </c>
    </row>
    <row r="2975">
      <c r="A2975" t="n">
        <v>72087</v>
      </c>
      <c r="B2975" t="n">
        <v>115</v>
      </c>
      <c r="C2975" t="inlineStr">
        <is>
          <t>Love - Shibari - Bradesco</t>
        </is>
      </c>
      <c r="D2975" t="n">
        <v>128</v>
      </c>
      <c r="E2975" t="inlineStr">
        <is>
          <t>Love Cabaret</t>
        </is>
      </c>
      <c r="F2975" s="27" t="n">
        <v>45735.5</v>
      </c>
      <c r="G2975" t="inlineStr">
        <is>
          <t>DEBITO</t>
        </is>
      </c>
      <c r="H2975" t="inlineStr">
        <is>
          <t>TRANSFERENCIA PIX DES: FABRICA DE BARES SERV 19/03</t>
        </is>
      </c>
      <c r="I2975" t="n">
        <v>-6494.9</v>
      </c>
    </row>
    <row r="2976">
      <c r="A2976" t="n">
        <v>72086</v>
      </c>
      <c r="B2976" t="n">
        <v>115</v>
      </c>
      <c r="C2976" t="inlineStr">
        <is>
          <t>Love - Shibari - Bradesco</t>
        </is>
      </c>
      <c r="D2976" t="n">
        <v>128</v>
      </c>
      <c r="E2976" t="inlineStr">
        <is>
          <t>Love Cabaret</t>
        </is>
      </c>
      <c r="F2976" s="27" t="n">
        <v>45735.5</v>
      </c>
      <c r="G2976" t="inlineStr">
        <is>
          <t>DEBITO</t>
        </is>
      </c>
      <c r="H2976" t="inlineStr">
        <is>
          <t>ADIANT SALARIO VIA NET</t>
        </is>
      </c>
      <c r="I2976" t="n">
        <v>-1743.25</v>
      </c>
    </row>
    <row r="2977">
      <c r="A2977" t="n">
        <v>72085</v>
      </c>
      <c r="B2977" t="n">
        <v>115</v>
      </c>
      <c r="C2977" t="inlineStr">
        <is>
          <t>Love - Shibari - Bradesco</t>
        </is>
      </c>
      <c r="D2977" t="n">
        <v>128</v>
      </c>
      <c r="E2977" t="inlineStr">
        <is>
          <t>Love Cabaret</t>
        </is>
      </c>
      <c r="F2977" s="27" t="n">
        <v>45735.5</v>
      </c>
      <c r="G2977" t="inlineStr">
        <is>
          <t>DEBITO</t>
        </is>
      </c>
      <c r="H2977" t="inlineStr">
        <is>
          <t>PAGTO ELETRONICO TRIBUTO INTERNET --SP/SEFAZ-DARE</t>
        </is>
      </c>
      <c r="I2977" t="n">
        <v>-7214.69</v>
      </c>
    </row>
    <row r="2978">
      <c r="A2978" t="n">
        <v>72084</v>
      </c>
      <c r="B2978" t="n">
        <v>115</v>
      </c>
      <c r="C2978" t="inlineStr">
        <is>
          <t>Love - Shibari - Bradesco</t>
        </is>
      </c>
      <c r="D2978" t="n">
        <v>128</v>
      </c>
      <c r="E2978" t="inlineStr">
        <is>
          <t>Love Cabaret</t>
        </is>
      </c>
      <c r="F2978" s="27" t="n">
        <v>45735.5</v>
      </c>
      <c r="G2978" t="inlineStr">
        <is>
          <t>DEBITO</t>
        </is>
      </c>
      <c r="H2978" t="inlineStr">
        <is>
          <t>PAGTO ELETRONICO TRIBUTO INTERNET --RECEITA FEDERAL/SP</t>
        </is>
      </c>
      <c r="I2978" t="n">
        <v>-2202.9</v>
      </c>
    </row>
    <row r="2979">
      <c r="A2979" t="n">
        <v>72083</v>
      </c>
      <c r="B2979" t="n">
        <v>115</v>
      </c>
      <c r="C2979" t="inlineStr">
        <is>
          <t>Love - Shibari - Bradesco</t>
        </is>
      </c>
      <c r="D2979" t="n">
        <v>128</v>
      </c>
      <c r="E2979" t="inlineStr">
        <is>
          <t>Love Cabaret</t>
        </is>
      </c>
      <c r="F2979" s="27" t="n">
        <v>45735.5</v>
      </c>
      <c r="G2979" t="inlineStr">
        <is>
          <t>DEBITO</t>
        </is>
      </c>
      <c r="H2979" t="inlineStr">
        <is>
          <t>PAGTO ELETRONICO TRIBUTO INTERNET --RECEITA FEDERAL/SP</t>
        </is>
      </c>
      <c r="I2979" t="n">
        <v>-682</v>
      </c>
    </row>
    <row r="2980">
      <c r="A2980" t="n">
        <v>72082</v>
      </c>
      <c r="B2980" t="n">
        <v>115</v>
      </c>
      <c r="C2980" t="inlineStr">
        <is>
          <t>Love - Shibari - Bradesco</t>
        </is>
      </c>
      <c r="D2980" t="n">
        <v>128</v>
      </c>
      <c r="E2980" t="inlineStr">
        <is>
          <t>Love Cabaret</t>
        </is>
      </c>
      <c r="F2980" s="27" t="n">
        <v>45735.5</v>
      </c>
      <c r="G2980" t="inlineStr">
        <is>
          <t>DEBITO</t>
        </is>
      </c>
      <c r="H2980" t="inlineStr">
        <is>
          <t>PAGTO ELETRONICO TRIBUTO INTERNET --RECEITA FEDERAL/SP</t>
        </is>
      </c>
      <c r="I2980" t="n">
        <v>-434.46</v>
      </c>
    </row>
    <row r="2981">
      <c r="A2981" t="n">
        <v>72081</v>
      </c>
      <c r="B2981" t="n">
        <v>115</v>
      </c>
      <c r="C2981" t="inlineStr">
        <is>
          <t>Love - Shibari - Bradesco</t>
        </is>
      </c>
      <c r="D2981" t="n">
        <v>128</v>
      </c>
      <c r="E2981" t="inlineStr">
        <is>
          <t>Love Cabaret</t>
        </is>
      </c>
      <c r="F2981" s="27" t="n">
        <v>45735.5</v>
      </c>
      <c r="G2981" t="inlineStr">
        <is>
          <t>DEBITO</t>
        </is>
      </c>
      <c r="H2981" t="inlineStr">
        <is>
          <t>PAGTO ELETRONICO TRIBUTO INTERNET --RECEITA FEDERAL/SP</t>
        </is>
      </c>
      <c r="I2981" t="n">
        <v>-705.5700000000001</v>
      </c>
    </row>
    <row r="2982">
      <c r="A2982" t="n">
        <v>72080</v>
      </c>
      <c r="B2982" t="n">
        <v>115</v>
      </c>
      <c r="C2982" t="inlineStr">
        <is>
          <t>Love - Shibari - Bradesco</t>
        </is>
      </c>
      <c r="D2982" t="n">
        <v>128</v>
      </c>
      <c r="E2982" t="inlineStr">
        <is>
          <t>Love Cabaret</t>
        </is>
      </c>
      <c r="F2982" s="27" t="n">
        <v>45735.5</v>
      </c>
      <c r="G2982" t="inlineStr">
        <is>
          <t>DEBITO</t>
        </is>
      </c>
      <c r="H2982" t="inlineStr">
        <is>
          <t>PAGTO ELETRONICO TRIBUTO INTERNET --RECEITA FEDERAL/SP</t>
        </is>
      </c>
      <c r="I2982" t="n">
        <v>-108.22</v>
      </c>
    </row>
    <row r="2983">
      <c r="A2983" t="n">
        <v>72079</v>
      </c>
      <c r="B2983" t="n">
        <v>115</v>
      </c>
      <c r="C2983" t="inlineStr">
        <is>
          <t>Love - Shibari - Bradesco</t>
        </is>
      </c>
      <c r="D2983" t="n">
        <v>128</v>
      </c>
      <c r="E2983" t="inlineStr">
        <is>
          <t>Love Cabaret</t>
        </is>
      </c>
      <c r="F2983" s="27" t="n">
        <v>45735.5</v>
      </c>
      <c r="G2983" t="inlineStr">
        <is>
          <t>DEBITO</t>
        </is>
      </c>
      <c r="H2983" t="inlineStr">
        <is>
          <t>TARIFA BANCARIA TRANSF PGTO PIX</t>
        </is>
      </c>
      <c r="I2983" t="n">
        <v>-8.82</v>
      </c>
    </row>
    <row r="2984">
      <c r="A2984" t="n">
        <v>72078</v>
      </c>
      <c r="B2984" t="n">
        <v>115</v>
      </c>
      <c r="C2984" t="inlineStr">
        <is>
          <t>Love - Shibari - Bradesco</t>
        </is>
      </c>
      <c r="D2984" t="n">
        <v>128</v>
      </c>
      <c r="E2984" t="inlineStr">
        <is>
          <t>Love Cabaret</t>
        </is>
      </c>
      <c r="F2984" s="27" t="n">
        <v>45735.5</v>
      </c>
      <c r="G2984" t="inlineStr">
        <is>
          <t>DEBITO</t>
        </is>
      </c>
      <c r="H2984" t="inlineStr">
        <is>
          <t>PAGTO ELETRON  COBRANCA 367119</t>
        </is>
      </c>
      <c r="I2984" t="n">
        <v>-205</v>
      </c>
    </row>
    <row r="2985">
      <c r="A2985" t="n">
        <v>72076</v>
      </c>
      <c r="B2985" t="n">
        <v>115</v>
      </c>
      <c r="C2985" t="inlineStr">
        <is>
          <t>Love - Shibari - Bradesco</t>
        </is>
      </c>
      <c r="D2985" t="n">
        <v>128</v>
      </c>
      <c r="E2985" t="inlineStr">
        <is>
          <t>Love Cabaret</t>
        </is>
      </c>
      <c r="F2985" s="27" t="n">
        <v>45735.5</v>
      </c>
      <c r="G2985" t="inlineStr">
        <is>
          <t>DEBITO</t>
        </is>
      </c>
      <c r="H2985" t="inlineStr">
        <is>
          <t>PAGTO ELETRON  COBRANCA 69</t>
        </is>
      </c>
      <c r="I2985" t="n">
        <v>-360</v>
      </c>
    </row>
    <row r="2986">
      <c r="A2986" t="n">
        <v>72070</v>
      </c>
      <c r="B2986" t="n">
        <v>115</v>
      </c>
      <c r="C2986" t="inlineStr">
        <is>
          <t>Love - Shibari - Bradesco</t>
        </is>
      </c>
      <c r="D2986" t="n">
        <v>128</v>
      </c>
      <c r="E2986" t="inlineStr">
        <is>
          <t>Love Cabaret</t>
        </is>
      </c>
      <c r="F2986" s="27" t="n">
        <v>45734.5</v>
      </c>
      <c r="G2986" t="inlineStr">
        <is>
          <t>CREDITO</t>
        </is>
      </c>
      <c r="H2986" t="inlineStr">
        <is>
          <t>TRANSFERENCIA PIX REM: SHIBARI ART E DIVERSA 18/03</t>
        </is>
      </c>
      <c r="I2986" t="n">
        <v>63245.45</v>
      </c>
    </row>
    <row r="2987">
      <c r="A2987" t="n">
        <v>72059</v>
      </c>
      <c r="B2987" t="n">
        <v>115</v>
      </c>
      <c r="C2987" t="inlineStr">
        <is>
          <t>Love - Shibari - Bradesco</t>
        </is>
      </c>
      <c r="D2987" t="n">
        <v>128</v>
      </c>
      <c r="E2987" t="inlineStr">
        <is>
          <t>Love Cabaret</t>
        </is>
      </c>
      <c r="F2987" s="27" t="n">
        <v>45733.5</v>
      </c>
      <c r="G2987" t="inlineStr">
        <is>
          <t>DEBITO</t>
        </is>
      </c>
      <c r="H2987" t="inlineStr">
        <is>
          <t>PAGTO ELETRON  COBRANCA 20061</t>
        </is>
      </c>
      <c r="I2987" t="n">
        <v>-124.05</v>
      </c>
    </row>
    <row r="2988">
      <c r="A2988" t="n">
        <v>72057</v>
      </c>
      <c r="B2988" t="n">
        <v>115</v>
      </c>
      <c r="C2988" t="inlineStr">
        <is>
          <t>Love - Shibari - Bradesco</t>
        </is>
      </c>
      <c r="D2988" t="n">
        <v>128</v>
      </c>
      <c r="E2988" t="inlineStr">
        <is>
          <t>Love Cabaret</t>
        </is>
      </c>
      <c r="F2988" s="27" t="n">
        <v>45733.5</v>
      </c>
      <c r="G2988" t="inlineStr">
        <is>
          <t>DEBITO</t>
        </is>
      </c>
      <c r="H2988" t="inlineStr">
        <is>
          <t>PAGTO ELETRON  COBRANCA 10361</t>
        </is>
      </c>
      <c r="I2988" t="n">
        <v>-68.06</v>
      </c>
    </row>
    <row r="2989">
      <c r="A2989" t="n">
        <v>72058</v>
      </c>
      <c r="B2989" t="n">
        <v>115</v>
      </c>
      <c r="C2989" t="inlineStr">
        <is>
          <t>Love - Shibari - Bradesco</t>
        </is>
      </c>
      <c r="D2989" t="n">
        <v>128</v>
      </c>
      <c r="E2989" t="inlineStr">
        <is>
          <t>Love Cabaret</t>
        </is>
      </c>
      <c r="F2989" s="27" t="n">
        <v>45733.5</v>
      </c>
      <c r="G2989" t="inlineStr">
        <is>
          <t>DEBITO</t>
        </is>
      </c>
      <c r="H2989" t="inlineStr">
        <is>
          <t>PAGTO ELETRON  COBRANCA 75954</t>
        </is>
      </c>
      <c r="I2989" t="n">
        <v>-87.63</v>
      </c>
    </row>
    <row r="2990">
      <c r="A2990" t="n">
        <v>72060</v>
      </c>
      <c r="B2990" t="n">
        <v>115</v>
      </c>
      <c r="C2990" t="inlineStr">
        <is>
          <t>Love - Shibari - Bradesco</t>
        </is>
      </c>
      <c r="D2990" t="n">
        <v>128</v>
      </c>
      <c r="E2990" t="inlineStr">
        <is>
          <t>Love Cabaret</t>
        </is>
      </c>
      <c r="F2990" s="27" t="n">
        <v>45733.5</v>
      </c>
      <c r="G2990" t="inlineStr">
        <is>
          <t>DEBITO</t>
        </is>
      </c>
      <c r="H2990" t="inlineStr">
        <is>
          <t>PAGTO ELETRON  COBRANCA NF 576129</t>
        </is>
      </c>
      <c r="I2990" t="n">
        <v>-205.84</v>
      </c>
    </row>
    <row r="2991">
      <c r="A2991" t="n">
        <v>72069</v>
      </c>
      <c r="B2991" t="n">
        <v>115</v>
      </c>
      <c r="C2991" t="inlineStr">
        <is>
          <t>Love - Shibari - Bradesco</t>
        </is>
      </c>
      <c r="D2991" t="n">
        <v>128</v>
      </c>
      <c r="E2991" t="inlineStr">
        <is>
          <t>Love Cabaret</t>
        </is>
      </c>
      <c r="F2991" s="27" t="n">
        <v>45733.5</v>
      </c>
      <c r="G2991" t="inlineStr">
        <is>
          <t>DEBITO</t>
        </is>
      </c>
      <c r="H2991" t="inlineStr">
        <is>
          <t>TRANSFERENCIA PIX DES: EDIMAR MOURA TARTAGLI 17/03</t>
        </is>
      </c>
      <c r="I2991" t="n">
        <v>-630</v>
      </c>
    </row>
    <row r="2992">
      <c r="A2992" t="n">
        <v>72068</v>
      </c>
      <c r="B2992" t="n">
        <v>115</v>
      </c>
      <c r="C2992" t="inlineStr">
        <is>
          <t>Love - Shibari - Bradesco</t>
        </is>
      </c>
      <c r="D2992" t="n">
        <v>128</v>
      </c>
      <c r="E2992" t="inlineStr">
        <is>
          <t>Love Cabaret</t>
        </is>
      </c>
      <c r="F2992" s="27" t="n">
        <v>45733.5</v>
      </c>
      <c r="G2992" t="inlineStr">
        <is>
          <t>DEBITO</t>
        </is>
      </c>
      <c r="H2992" t="inlineStr">
        <is>
          <t>PAGTO ELETRON  COBRANCA 24228</t>
        </is>
      </c>
      <c r="I2992" t="n">
        <v>-1206.43</v>
      </c>
    </row>
    <row r="2993">
      <c r="A2993" t="n">
        <v>72067</v>
      </c>
      <c r="B2993" t="n">
        <v>115</v>
      </c>
      <c r="C2993" t="inlineStr">
        <is>
          <t>Love - Shibari - Bradesco</t>
        </is>
      </c>
      <c r="D2993" t="n">
        <v>128</v>
      </c>
      <c r="E2993" t="inlineStr">
        <is>
          <t>Love Cabaret</t>
        </is>
      </c>
      <c r="F2993" s="27" t="n">
        <v>45733.5</v>
      </c>
      <c r="G2993" t="inlineStr">
        <is>
          <t>DEBITO</t>
        </is>
      </c>
      <c r="H2993" t="inlineStr">
        <is>
          <t>PAGTO ELETRON  COBRANCA 3689</t>
        </is>
      </c>
      <c r="I2993" t="n">
        <v>-700</v>
      </c>
    </row>
    <row r="2994">
      <c r="A2994" t="n">
        <v>72066</v>
      </c>
      <c r="B2994" t="n">
        <v>115</v>
      </c>
      <c r="C2994" t="inlineStr">
        <is>
          <t>Love - Shibari - Bradesco</t>
        </is>
      </c>
      <c r="D2994" t="n">
        <v>128</v>
      </c>
      <c r="E2994" t="inlineStr">
        <is>
          <t>Love Cabaret</t>
        </is>
      </c>
      <c r="F2994" s="27" t="n">
        <v>45733.5</v>
      </c>
      <c r="G2994" t="inlineStr">
        <is>
          <t>DEBITO</t>
        </is>
      </c>
      <c r="H2994" t="inlineStr">
        <is>
          <t>PAGTO ELETRON  COBRANCA 25687</t>
        </is>
      </c>
      <c r="I2994" t="n">
        <v>-578.52</v>
      </c>
    </row>
    <row r="2995">
      <c r="A2995" t="n">
        <v>72065</v>
      </c>
      <c r="B2995" t="n">
        <v>115</v>
      </c>
      <c r="C2995" t="inlineStr">
        <is>
          <t>Love - Shibari - Bradesco</t>
        </is>
      </c>
      <c r="D2995" t="n">
        <v>128</v>
      </c>
      <c r="E2995" t="inlineStr">
        <is>
          <t>Love Cabaret</t>
        </is>
      </c>
      <c r="F2995" s="27" t="n">
        <v>45733.5</v>
      </c>
      <c r="G2995" t="inlineStr">
        <is>
          <t>DEBITO</t>
        </is>
      </c>
      <c r="H2995" t="inlineStr">
        <is>
          <t>PAGTO ELETRON  COBRANCA 20</t>
        </is>
      </c>
      <c r="I2995" t="n">
        <v>-500</v>
      </c>
    </row>
    <row r="2996">
      <c r="A2996" t="n">
        <v>72064</v>
      </c>
      <c r="B2996" t="n">
        <v>115</v>
      </c>
      <c r="C2996" t="inlineStr">
        <is>
          <t>Love - Shibari - Bradesco</t>
        </is>
      </c>
      <c r="D2996" t="n">
        <v>128</v>
      </c>
      <c r="E2996" t="inlineStr">
        <is>
          <t>Love Cabaret</t>
        </is>
      </c>
      <c r="F2996" s="27" t="n">
        <v>45733.5</v>
      </c>
      <c r="G2996" t="inlineStr">
        <is>
          <t>DEBITO</t>
        </is>
      </c>
      <c r="H2996" t="inlineStr">
        <is>
          <t>PAGTO ELETRON  COBRANCA 143341</t>
        </is>
      </c>
      <c r="I2996" t="n">
        <v>-456.52</v>
      </c>
    </row>
    <row r="2997">
      <c r="A2997" t="n">
        <v>72063</v>
      </c>
      <c r="B2997" t="n">
        <v>115</v>
      </c>
      <c r="C2997" t="inlineStr">
        <is>
          <t>Love - Shibari - Bradesco</t>
        </is>
      </c>
      <c r="D2997" t="n">
        <v>128</v>
      </c>
      <c r="E2997" t="inlineStr">
        <is>
          <t>Love Cabaret</t>
        </is>
      </c>
      <c r="F2997" s="27" t="n">
        <v>45733.5</v>
      </c>
      <c r="G2997" t="inlineStr">
        <is>
          <t>DEBITO</t>
        </is>
      </c>
      <c r="H2997" t="inlineStr">
        <is>
          <t>PAGTO ELETRON  COBRANCA 18300</t>
        </is>
      </c>
      <c r="I2997" t="n">
        <v>-400</v>
      </c>
    </row>
    <row r="2998">
      <c r="A2998" t="n">
        <v>72062</v>
      </c>
      <c r="B2998" t="n">
        <v>115</v>
      </c>
      <c r="C2998" t="inlineStr">
        <is>
          <t>Love - Shibari - Bradesco</t>
        </is>
      </c>
      <c r="D2998" t="n">
        <v>128</v>
      </c>
      <c r="E2998" t="inlineStr">
        <is>
          <t>Love Cabaret</t>
        </is>
      </c>
      <c r="F2998" s="27" t="n">
        <v>45733.5</v>
      </c>
      <c r="G2998" t="inlineStr">
        <is>
          <t>DEBITO</t>
        </is>
      </c>
      <c r="H2998" t="inlineStr">
        <is>
          <t>PAGTO ELETRON  COBRANCA 31677</t>
        </is>
      </c>
      <c r="I2998" t="n">
        <v>-374.55</v>
      </c>
    </row>
    <row r="2999">
      <c r="A2999" t="n">
        <v>72061</v>
      </c>
      <c r="B2999" t="n">
        <v>115</v>
      </c>
      <c r="C2999" t="inlineStr">
        <is>
          <t>Love - Shibari - Bradesco</t>
        </is>
      </c>
      <c r="D2999" t="n">
        <v>128</v>
      </c>
      <c r="E2999" t="inlineStr">
        <is>
          <t>Love Cabaret</t>
        </is>
      </c>
      <c r="F2999" s="27" t="n">
        <v>45733.5</v>
      </c>
      <c r="G2999" t="inlineStr">
        <is>
          <t>DEBITO</t>
        </is>
      </c>
      <c r="H2999" t="inlineStr">
        <is>
          <t>PAGTO ELETRON  COBRANCA 25874</t>
        </is>
      </c>
      <c r="I2999" t="n">
        <v>-312.12</v>
      </c>
    </row>
    <row r="3000">
      <c r="A3000" t="n">
        <v>72051</v>
      </c>
      <c r="B3000" t="n">
        <v>115</v>
      </c>
      <c r="C3000" t="inlineStr">
        <is>
          <t>Love - Shibari - Bradesco</t>
        </is>
      </c>
      <c r="D3000" t="n">
        <v>128</v>
      </c>
      <c r="E3000" t="inlineStr">
        <is>
          <t>Love Cabaret</t>
        </is>
      </c>
      <c r="F3000" s="27" t="n">
        <v>45730.5</v>
      </c>
      <c r="G3000" t="inlineStr">
        <is>
          <t>CREDITO</t>
        </is>
      </c>
      <c r="H3000" t="inlineStr">
        <is>
          <t>TED-TRANSF ELET DISPON REMET.DIVERTI TICKETS COME</t>
        </is>
      </c>
      <c r="I3000" t="n">
        <v>2519.31</v>
      </c>
    </row>
    <row r="3001">
      <c r="A3001" t="n">
        <v>72052</v>
      </c>
      <c r="B3001" t="n">
        <v>115</v>
      </c>
      <c r="C3001" t="inlineStr">
        <is>
          <t>Love - Shibari - Bradesco</t>
        </is>
      </c>
      <c r="D3001" t="n">
        <v>128</v>
      </c>
      <c r="E3001" t="inlineStr">
        <is>
          <t>Love Cabaret</t>
        </is>
      </c>
      <c r="F3001" s="27" t="n">
        <v>45730.5</v>
      </c>
      <c r="G3001" t="inlineStr">
        <is>
          <t>DEBITO</t>
        </is>
      </c>
      <c r="H3001" t="inlineStr">
        <is>
          <t>TARIFA BANCARIA Max Empresarial 1</t>
        </is>
      </c>
      <c r="I3001" t="n">
        <v>-171.7</v>
      </c>
    </row>
    <row r="3002">
      <c r="A3002" t="n">
        <v>72053</v>
      </c>
      <c r="B3002" t="n">
        <v>115</v>
      </c>
      <c r="C3002" t="inlineStr">
        <is>
          <t>Love - Shibari - Bradesco</t>
        </is>
      </c>
      <c r="D3002" t="n">
        <v>128</v>
      </c>
      <c r="E3002" t="inlineStr">
        <is>
          <t>Love Cabaret</t>
        </is>
      </c>
      <c r="F3002" s="27" t="n">
        <v>45730.5</v>
      </c>
      <c r="G3002" t="inlineStr">
        <is>
          <t>DEBITO</t>
        </is>
      </c>
      <c r="H3002" t="inlineStr">
        <is>
          <t>TARIFA BANCARIA TRANSF PGTO PIX</t>
        </is>
      </c>
      <c r="I3002" t="n">
        <v>-4.66</v>
      </c>
    </row>
    <row r="3003">
      <c r="A3003" t="n">
        <v>72054</v>
      </c>
      <c r="B3003" t="n">
        <v>115</v>
      </c>
      <c r="C3003" t="inlineStr">
        <is>
          <t>Love - Shibari - Bradesco</t>
        </is>
      </c>
      <c r="D3003" t="n">
        <v>128</v>
      </c>
      <c r="E3003" t="inlineStr">
        <is>
          <t>Love Cabaret</t>
        </is>
      </c>
      <c r="F3003" s="27" t="n">
        <v>45730.5</v>
      </c>
      <c r="G3003" t="inlineStr">
        <is>
          <t>DEBITO</t>
        </is>
      </c>
      <c r="H3003" t="inlineStr">
        <is>
          <t>TARIFA BANCARIA TRANSF PGTO PIX</t>
        </is>
      </c>
      <c r="I3003" t="n">
        <v>-5.95</v>
      </c>
    </row>
    <row r="3004">
      <c r="A3004" t="n">
        <v>72055</v>
      </c>
      <c r="B3004" t="n">
        <v>115</v>
      </c>
      <c r="C3004" t="inlineStr">
        <is>
          <t>Love - Shibari - Bradesco</t>
        </is>
      </c>
      <c r="D3004" t="n">
        <v>128</v>
      </c>
      <c r="E3004" t="inlineStr">
        <is>
          <t>Love Cabaret</t>
        </is>
      </c>
      <c r="F3004" s="27" t="n">
        <v>45730.5</v>
      </c>
      <c r="G3004" t="inlineStr">
        <is>
          <t>DEBITO</t>
        </is>
      </c>
      <c r="H3004" t="inlineStr">
        <is>
          <t>TARIFA BANCARIA TRANSF PGTO PIX</t>
        </is>
      </c>
      <c r="I3004" t="n">
        <v>-9</v>
      </c>
    </row>
    <row r="3005">
      <c r="A3005" t="n">
        <v>72050</v>
      </c>
      <c r="B3005" t="n">
        <v>115</v>
      </c>
      <c r="C3005" t="inlineStr">
        <is>
          <t>Love - Shibari - Bradesco</t>
        </is>
      </c>
      <c r="D3005" t="n">
        <v>128</v>
      </c>
      <c r="E3005" t="inlineStr">
        <is>
          <t>Love Cabaret</t>
        </is>
      </c>
      <c r="F3005" s="27" t="n">
        <v>45729.5</v>
      </c>
      <c r="G3005" t="inlineStr">
        <is>
          <t>DEBITO</t>
        </is>
      </c>
      <c r="H3005" t="inlineStr">
        <is>
          <t>TARIFA BANCARIA TRANSF PGTO PIX</t>
        </is>
      </c>
      <c r="I3005" t="n">
        <v>-9</v>
      </c>
    </row>
    <row r="3006">
      <c r="A3006" t="n">
        <v>72018</v>
      </c>
      <c r="B3006" t="n">
        <v>115</v>
      </c>
      <c r="C3006" t="inlineStr">
        <is>
          <t>Love - Shibari - Bradesco</t>
        </is>
      </c>
      <c r="D3006" t="n">
        <v>128</v>
      </c>
      <c r="E3006" t="inlineStr">
        <is>
          <t>Love Cabaret</t>
        </is>
      </c>
      <c r="F3006" s="27" t="n">
        <v>45728.5</v>
      </c>
      <c r="G3006" t="inlineStr">
        <is>
          <t>DEBITO</t>
        </is>
      </c>
      <c r="H3006" t="inlineStr">
        <is>
          <t>PAGTO ELETRON  COBRANCA 7224</t>
        </is>
      </c>
      <c r="I3006" t="n">
        <v>-3089.81</v>
      </c>
    </row>
    <row r="3007">
      <c r="A3007" t="n">
        <v>72022</v>
      </c>
      <c r="B3007" t="n">
        <v>115</v>
      </c>
      <c r="C3007" t="inlineStr">
        <is>
          <t>Love - Shibari - Bradesco</t>
        </is>
      </c>
      <c r="D3007" t="n">
        <v>128</v>
      </c>
      <c r="E3007" t="inlineStr">
        <is>
          <t>Love Cabaret</t>
        </is>
      </c>
      <c r="F3007" s="27" t="n">
        <v>45728.5</v>
      </c>
      <c r="G3007" t="inlineStr">
        <is>
          <t>DEBITO</t>
        </is>
      </c>
      <c r="H3007" t="inlineStr">
        <is>
          <t>PAGTO ELETRON  COBRANCA 531901319</t>
        </is>
      </c>
      <c r="I3007" t="n">
        <v>-4268</v>
      </c>
    </row>
    <row r="3008">
      <c r="A3008" t="n">
        <v>72021</v>
      </c>
      <c r="B3008" t="n">
        <v>115</v>
      </c>
      <c r="C3008" t="inlineStr">
        <is>
          <t>Love - Shibari - Bradesco</t>
        </is>
      </c>
      <c r="D3008" t="n">
        <v>128</v>
      </c>
      <c r="E3008" t="inlineStr">
        <is>
          <t>Love Cabaret</t>
        </is>
      </c>
      <c r="F3008" s="27" t="n">
        <v>45728.5</v>
      </c>
      <c r="G3008" t="inlineStr">
        <is>
          <t>DEBITO</t>
        </is>
      </c>
      <c r="H3008" t="inlineStr">
        <is>
          <t>PAGTO ELETRON  COBRANCA 12089</t>
        </is>
      </c>
      <c r="I3008" t="n">
        <v>-7744.1</v>
      </c>
    </row>
    <row r="3009">
      <c r="A3009" t="n">
        <v>72020</v>
      </c>
      <c r="B3009" t="n">
        <v>115</v>
      </c>
      <c r="C3009" t="inlineStr">
        <is>
          <t>Love - Shibari - Bradesco</t>
        </is>
      </c>
      <c r="D3009" t="n">
        <v>128</v>
      </c>
      <c r="E3009" t="inlineStr">
        <is>
          <t>Love Cabaret</t>
        </is>
      </c>
      <c r="F3009" s="27" t="n">
        <v>45728.5</v>
      </c>
      <c r="G3009" t="inlineStr">
        <is>
          <t>DEBITO</t>
        </is>
      </c>
      <c r="H3009" t="inlineStr">
        <is>
          <t>PAGTO ELETRON  COBRANCA 205452</t>
        </is>
      </c>
      <c r="I3009" t="n">
        <v>-7385.13</v>
      </c>
    </row>
    <row r="3010">
      <c r="A3010" t="n">
        <v>72019</v>
      </c>
      <c r="B3010" t="n">
        <v>115</v>
      </c>
      <c r="C3010" t="inlineStr">
        <is>
          <t>Love - Shibari - Bradesco</t>
        </is>
      </c>
      <c r="D3010" t="n">
        <v>128</v>
      </c>
      <c r="E3010" t="inlineStr">
        <is>
          <t>Love Cabaret</t>
        </is>
      </c>
      <c r="F3010" s="27" t="n">
        <v>45728.5</v>
      </c>
      <c r="G3010" t="inlineStr">
        <is>
          <t>DEBITO</t>
        </is>
      </c>
      <c r="H3010" t="inlineStr">
        <is>
          <t>PAGTO ELETRON  COBRANCA 2360</t>
        </is>
      </c>
      <c r="I3010" t="n">
        <v>-6252.94</v>
      </c>
    </row>
    <row r="3011">
      <c r="A3011" t="n">
        <v>72023</v>
      </c>
      <c r="B3011" t="n">
        <v>115</v>
      </c>
      <c r="C3011" t="inlineStr">
        <is>
          <t>Love - Shibari - Bradesco</t>
        </is>
      </c>
      <c r="D3011" t="n">
        <v>128</v>
      </c>
      <c r="E3011" t="inlineStr">
        <is>
          <t>Love Cabaret</t>
        </is>
      </c>
      <c r="F3011" s="27" t="n">
        <v>45728.5</v>
      </c>
      <c r="G3011" t="inlineStr">
        <is>
          <t>DEBITO</t>
        </is>
      </c>
      <c r="H3011" t="inlineStr">
        <is>
          <t>TARIFA BANCARIA TRANSF PGTO PIX</t>
        </is>
      </c>
      <c r="I3011" t="n">
        <v>-3.77</v>
      </c>
    </row>
    <row r="3012">
      <c r="A3012" t="n">
        <v>72017</v>
      </c>
      <c r="B3012" t="n">
        <v>115</v>
      </c>
      <c r="C3012" t="inlineStr">
        <is>
          <t>Love - Shibari - Bradesco</t>
        </is>
      </c>
      <c r="D3012" t="n">
        <v>128</v>
      </c>
      <c r="E3012" t="inlineStr">
        <is>
          <t>Love Cabaret</t>
        </is>
      </c>
      <c r="F3012" s="27" t="n">
        <v>45728.5</v>
      </c>
      <c r="G3012" t="inlineStr">
        <is>
          <t>DEBITO</t>
        </is>
      </c>
      <c r="H3012" t="inlineStr">
        <is>
          <t>PAGTO ELETRON  COBRANCA 133966</t>
        </is>
      </c>
      <c r="I3012" t="n">
        <v>-2167.57</v>
      </c>
    </row>
    <row r="3013">
      <c r="A3013" t="n">
        <v>72016</v>
      </c>
      <c r="B3013" t="n">
        <v>115</v>
      </c>
      <c r="C3013" t="inlineStr">
        <is>
          <t>Love - Shibari - Bradesco</t>
        </is>
      </c>
      <c r="D3013" t="n">
        <v>128</v>
      </c>
      <c r="E3013" t="inlineStr">
        <is>
          <t>Love Cabaret</t>
        </is>
      </c>
      <c r="F3013" s="27" t="n">
        <v>45728.5</v>
      </c>
      <c r="G3013" t="inlineStr">
        <is>
          <t>DEBITO</t>
        </is>
      </c>
      <c r="H3013" t="inlineStr">
        <is>
          <t>PAGTO ELETRON  COBRANCA 439662</t>
        </is>
      </c>
      <c r="I3013" t="n">
        <v>-1567</v>
      </c>
    </row>
    <row r="3014">
      <c r="A3014" t="n">
        <v>72015</v>
      </c>
      <c r="B3014" t="n">
        <v>115</v>
      </c>
      <c r="C3014" t="inlineStr">
        <is>
          <t>Love - Shibari - Bradesco</t>
        </is>
      </c>
      <c r="D3014" t="n">
        <v>128</v>
      </c>
      <c r="E3014" t="inlineStr">
        <is>
          <t>Love Cabaret</t>
        </is>
      </c>
      <c r="F3014" s="27" t="n">
        <v>45728.5</v>
      </c>
      <c r="G3014" t="inlineStr">
        <is>
          <t>DEBITO</t>
        </is>
      </c>
      <c r="H3014" t="inlineStr">
        <is>
          <t>PAGTO ELETRON  COBRANCA 439691</t>
        </is>
      </c>
      <c r="I3014" t="n">
        <v>-1081.44</v>
      </c>
    </row>
    <row r="3015">
      <c r="A3015" t="n">
        <v>72014</v>
      </c>
      <c r="B3015" t="n">
        <v>115</v>
      </c>
      <c r="C3015" t="inlineStr">
        <is>
          <t>Love - Shibari - Bradesco</t>
        </is>
      </c>
      <c r="D3015" t="n">
        <v>128</v>
      </c>
      <c r="E3015" t="inlineStr">
        <is>
          <t>Love Cabaret</t>
        </is>
      </c>
      <c r="F3015" s="27" t="n">
        <v>45728.5</v>
      </c>
      <c r="G3015" t="inlineStr">
        <is>
          <t>DEBITO</t>
        </is>
      </c>
      <c r="H3015" t="inlineStr">
        <is>
          <t>PAGTO ELETRON  COBRANCA 1129</t>
        </is>
      </c>
      <c r="I3015" t="n">
        <v>-891.0599999999999</v>
      </c>
    </row>
    <row r="3016">
      <c r="A3016" t="n">
        <v>72013</v>
      </c>
      <c r="B3016" t="n">
        <v>115</v>
      </c>
      <c r="C3016" t="inlineStr">
        <is>
          <t>Love - Shibari - Bradesco</t>
        </is>
      </c>
      <c r="D3016" t="n">
        <v>128</v>
      </c>
      <c r="E3016" t="inlineStr">
        <is>
          <t>Love Cabaret</t>
        </is>
      </c>
      <c r="F3016" s="27" t="n">
        <v>45728.5</v>
      </c>
      <c r="G3016" t="inlineStr">
        <is>
          <t>DEBITO</t>
        </is>
      </c>
      <c r="H3016" t="inlineStr">
        <is>
          <t>PAGTO ELETRON  COBRANCA 205451</t>
        </is>
      </c>
      <c r="I3016" t="n">
        <v>-482.93</v>
      </c>
    </row>
    <row r="3017">
      <c r="A3017" t="n">
        <v>72012</v>
      </c>
      <c r="B3017" t="n">
        <v>115</v>
      </c>
      <c r="C3017" t="inlineStr">
        <is>
          <t>Love - Shibari - Bradesco</t>
        </is>
      </c>
      <c r="D3017" t="n">
        <v>128</v>
      </c>
      <c r="E3017" t="inlineStr">
        <is>
          <t>Love Cabaret</t>
        </is>
      </c>
      <c r="F3017" s="27" t="n">
        <v>45728.5</v>
      </c>
      <c r="G3017" t="inlineStr">
        <is>
          <t>DEBITO</t>
        </is>
      </c>
      <c r="H3017" t="inlineStr">
        <is>
          <t>PAGTO ELETRON  COBRANCA 31295</t>
        </is>
      </c>
      <c r="I3017" t="n">
        <v>-374.55</v>
      </c>
    </row>
    <row r="3018">
      <c r="A3018" t="n">
        <v>72011</v>
      </c>
      <c r="B3018" t="n">
        <v>115</v>
      </c>
      <c r="C3018" t="inlineStr">
        <is>
          <t>Love - Shibari - Bradesco</t>
        </is>
      </c>
      <c r="D3018" t="n">
        <v>128</v>
      </c>
      <c r="E3018" t="inlineStr">
        <is>
          <t>Love Cabaret</t>
        </is>
      </c>
      <c r="F3018" s="27" t="n">
        <v>45728.5</v>
      </c>
      <c r="G3018" t="inlineStr">
        <is>
          <t>DEBITO</t>
        </is>
      </c>
      <c r="H3018" t="inlineStr">
        <is>
          <t>PAGTO ELETRON  COBRANCA 12942</t>
        </is>
      </c>
      <c r="I3018" t="n">
        <v>-312.09</v>
      </c>
    </row>
    <row r="3019">
      <c r="A3019" t="n">
        <v>72010</v>
      </c>
      <c r="B3019" t="n">
        <v>115</v>
      </c>
      <c r="C3019" t="inlineStr">
        <is>
          <t>Love - Shibari - Bradesco</t>
        </is>
      </c>
      <c r="D3019" t="n">
        <v>128</v>
      </c>
      <c r="E3019" t="inlineStr">
        <is>
          <t>Love Cabaret</t>
        </is>
      </c>
      <c r="F3019" s="27" t="n">
        <v>45728.5</v>
      </c>
      <c r="G3019" t="inlineStr">
        <is>
          <t>DEBITO</t>
        </is>
      </c>
      <c r="H3019" t="inlineStr">
        <is>
          <t>PAGTO ELETRON  COBRANCA 19952</t>
        </is>
      </c>
      <c r="I3019" t="n">
        <v>-170.45</v>
      </c>
    </row>
    <row r="3020">
      <c r="A3020" t="n">
        <v>72009</v>
      </c>
      <c r="B3020" t="n">
        <v>115</v>
      </c>
      <c r="C3020" t="inlineStr">
        <is>
          <t>Love - Shibari - Bradesco</t>
        </is>
      </c>
      <c r="D3020" t="n">
        <v>128</v>
      </c>
      <c r="E3020" t="inlineStr">
        <is>
          <t>Love Cabaret</t>
        </is>
      </c>
      <c r="F3020" s="27" t="n">
        <v>45728.5</v>
      </c>
      <c r="G3020" t="inlineStr">
        <is>
          <t>DEBITO</t>
        </is>
      </c>
      <c r="H3020" t="inlineStr">
        <is>
          <t>PAGTO ELETRON  COBRANCA 1841</t>
        </is>
      </c>
      <c r="I3020" t="n">
        <v>-203.5</v>
      </c>
    </row>
    <row r="3021">
      <c r="A3021" t="n">
        <v>72008</v>
      </c>
      <c r="B3021" t="n">
        <v>115</v>
      </c>
      <c r="C3021" t="inlineStr">
        <is>
          <t>Love - Shibari - Bradesco</t>
        </is>
      </c>
      <c r="D3021" t="n">
        <v>128</v>
      </c>
      <c r="E3021" t="inlineStr">
        <is>
          <t>Love Cabaret</t>
        </is>
      </c>
      <c r="F3021" s="27" t="n">
        <v>45728.5</v>
      </c>
      <c r="G3021" t="inlineStr">
        <is>
          <t>DEBITO</t>
        </is>
      </c>
      <c r="H3021" t="inlineStr">
        <is>
          <t>PAGTO ELETRON  COBRANCA NF 10055</t>
        </is>
      </c>
      <c r="I3021" t="n">
        <v>-127</v>
      </c>
    </row>
    <row r="3022">
      <c r="A3022" t="n">
        <v>72025</v>
      </c>
      <c r="B3022" t="n">
        <v>115</v>
      </c>
      <c r="C3022" t="inlineStr">
        <is>
          <t>Love - Shibari - Bradesco</t>
        </is>
      </c>
      <c r="D3022" t="n">
        <v>128</v>
      </c>
      <c r="E3022" t="inlineStr">
        <is>
          <t>Love Cabaret</t>
        </is>
      </c>
      <c r="F3022" s="27" t="n">
        <v>45728.5</v>
      </c>
      <c r="G3022" t="inlineStr">
        <is>
          <t>DEBITO</t>
        </is>
      </c>
      <c r="H3022" t="inlineStr">
        <is>
          <t>TARIFA BANCARIA TRANSF PGTO PIX</t>
        </is>
      </c>
      <c r="I3022" t="n">
        <v>-5.95</v>
      </c>
    </row>
    <row r="3023">
      <c r="A3023" t="n">
        <v>72024</v>
      </c>
      <c r="B3023" t="n">
        <v>115</v>
      </c>
      <c r="C3023" t="inlineStr">
        <is>
          <t>Love - Shibari - Bradesco</t>
        </is>
      </c>
      <c r="D3023" t="n">
        <v>128</v>
      </c>
      <c r="E3023" t="inlineStr">
        <is>
          <t>Love Cabaret</t>
        </is>
      </c>
      <c r="F3023" s="27" t="n">
        <v>45728.5</v>
      </c>
      <c r="G3023" t="inlineStr">
        <is>
          <t>DEBITO</t>
        </is>
      </c>
      <c r="H3023" t="inlineStr">
        <is>
          <t>TARIFA BANCARIA TRANSF PGTO PIX</t>
        </is>
      </c>
      <c r="I3023" t="n">
        <v>-5.95</v>
      </c>
    </row>
    <row r="3024">
      <c r="A3024" t="n">
        <v>72041</v>
      </c>
      <c r="B3024" t="n">
        <v>115</v>
      </c>
      <c r="C3024" t="inlineStr">
        <is>
          <t>Love - Shibari - Bradesco</t>
        </is>
      </c>
      <c r="D3024" t="n">
        <v>128</v>
      </c>
      <c r="E3024" t="inlineStr">
        <is>
          <t>Love Cabaret</t>
        </is>
      </c>
      <c r="F3024" s="27" t="n">
        <v>45728.5</v>
      </c>
      <c r="G3024" t="inlineStr">
        <is>
          <t>DEBITO</t>
        </is>
      </c>
      <c r="H3024" t="inlineStr">
        <is>
          <t>TARIFA BANCARIA TRANSF PGTO PIX</t>
        </is>
      </c>
      <c r="I3024" t="n">
        <v>-9</v>
      </c>
    </row>
    <row r="3025">
      <c r="A3025" t="n">
        <v>72042</v>
      </c>
      <c r="B3025" t="n">
        <v>115</v>
      </c>
      <c r="C3025" t="inlineStr">
        <is>
          <t>Love - Shibari - Bradesco</t>
        </is>
      </c>
      <c r="D3025" t="n">
        <v>128</v>
      </c>
      <c r="E3025" t="inlineStr">
        <is>
          <t>Love Cabaret</t>
        </is>
      </c>
      <c r="F3025" s="27" t="n">
        <v>45728.5</v>
      </c>
      <c r="G3025" t="inlineStr">
        <is>
          <t>DEBITO</t>
        </is>
      </c>
      <c r="H3025" t="inlineStr">
        <is>
          <t>TARIFA BANCARIA TRANSF PGTO PIX</t>
        </is>
      </c>
      <c r="I3025" t="n">
        <v>-9</v>
      </c>
    </row>
    <row r="3026">
      <c r="A3026" t="n">
        <v>72043</v>
      </c>
      <c r="B3026" t="n">
        <v>115</v>
      </c>
      <c r="C3026" t="inlineStr">
        <is>
          <t>Love - Shibari - Bradesco</t>
        </is>
      </c>
      <c r="D3026" t="n">
        <v>128</v>
      </c>
      <c r="E3026" t="inlineStr">
        <is>
          <t>Love Cabaret</t>
        </is>
      </c>
      <c r="F3026" s="27" t="n">
        <v>45728.5</v>
      </c>
      <c r="G3026" t="inlineStr">
        <is>
          <t>DEBITO</t>
        </is>
      </c>
      <c r="H3026" t="inlineStr">
        <is>
          <t>TARIFA BANCARIA TRANSF PGTO PIX</t>
        </is>
      </c>
      <c r="I3026" t="n">
        <v>-9</v>
      </c>
    </row>
    <row r="3027">
      <c r="A3027" t="n">
        <v>72044</v>
      </c>
      <c r="B3027" t="n">
        <v>115</v>
      </c>
      <c r="C3027" t="inlineStr">
        <is>
          <t>Love - Shibari - Bradesco</t>
        </is>
      </c>
      <c r="D3027" t="n">
        <v>128</v>
      </c>
      <c r="E3027" t="inlineStr">
        <is>
          <t>Love Cabaret</t>
        </is>
      </c>
      <c r="F3027" s="27" t="n">
        <v>45728.5</v>
      </c>
      <c r="G3027" t="inlineStr">
        <is>
          <t>DEBITO</t>
        </is>
      </c>
      <c r="H3027" t="inlineStr">
        <is>
          <t>TARIFA BANCARIA TRANSF PGTO PIX</t>
        </is>
      </c>
      <c r="I3027" t="n">
        <v>-9</v>
      </c>
    </row>
    <row r="3028">
      <c r="A3028" t="n">
        <v>72045</v>
      </c>
      <c r="B3028" t="n">
        <v>115</v>
      </c>
      <c r="C3028" t="inlineStr">
        <is>
          <t>Love - Shibari - Bradesco</t>
        </is>
      </c>
      <c r="D3028" t="n">
        <v>128</v>
      </c>
      <c r="E3028" t="inlineStr">
        <is>
          <t>Love Cabaret</t>
        </is>
      </c>
      <c r="F3028" s="27" t="n">
        <v>45728.5</v>
      </c>
      <c r="G3028" t="inlineStr">
        <is>
          <t>DEBITO</t>
        </is>
      </c>
      <c r="H3028" t="inlineStr">
        <is>
          <t>TARIFA BANCARIA TRANSF PGTO PIX</t>
        </is>
      </c>
      <c r="I3028" t="n">
        <v>-9</v>
      </c>
    </row>
    <row r="3029">
      <c r="A3029" t="n">
        <v>72046</v>
      </c>
      <c r="B3029" t="n">
        <v>115</v>
      </c>
      <c r="C3029" t="inlineStr">
        <is>
          <t>Love - Shibari - Bradesco</t>
        </is>
      </c>
      <c r="D3029" t="n">
        <v>128</v>
      </c>
      <c r="E3029" t="inlineStr">
        <is>
          <t>Love Cabaret</t>
        </is>
      </c>
      <c r="F3029" s="27" t="n">
        <v>45728.5</v>
      </c>
      <c r="G3029" t="inlineStr">
        <is>
          <t>DEBITO</t>
        </is>
      </c>
      <c r="H3029" t="inlineStr">
        <is>
          <t>TRANSFERENCIA PIX DES: Neumara Solidade De J 12/03</t>
        </is>
      </c>
      <c r="I3029" t="n">
        <v>-425</v>
      </c>
    </row>
    <row r="3030">
      <c r="A3030" t="n">
        <v>72047</v>
      </c>
      <c r="B3030" t="n">
        <v>115</v>
      </c>
      <c r="C3030" t="inlineStr">
        <is>
          <t>Love - Shibari - Bradesco</t>
        </is>
      </c>
      <c r="D3030" t="n">
        <v>128</v>
      </c>
      <c r="E3030" t="inlineStr">
        <is>
          <t>Love Cabaret</t>
        </is>
      </c>
      <c r="F3030" s="27" t="n">
        <v>45728.5</v>
      </c>
      <c r="G3030" t="inlineStr">
        <is>
          <t>DEBITO</t>
        </is>
      </c>
      <c r="H3030" t="inlineStr">
        <is>
          <t>TRANSFERENCIA PIX DES: MACHINE SEGURANCA PAT 12/03</t>
        </is>
      </c>
      <c r="I3030" t="n">
        <v>-4636.95</v>
      </c>
    </row>
    <row r="3031">
      <c r="A3031" t="n">
        <v>72048</v>
      </c>
      <c r="B3031" t="n">
        <v>115</v>
      </c>
      <c r="C3031" t="inlineStr">
        <is>
          <t>Love - Shibari - Bradesco</t>
        </is>
      </c>
      <c r="D3031" t="n">
        <v>128</v>
      </c>
      <c r="E3031" t="inlineStr">
        <is>
          <t>Love Cabaret</t>
        </is>
      </c>
      <c r="F3031" s="27" t="n">
        <v>45728.5</v>
      </c>
      <c r="G3031" t="inlineStr">
        <is>
          <t>DEBITO</t>
        </is>
      </c>
      <c r="H3031" t="inlineStr">
        <is>
          <t>TRANSFERENCIA PIX DES: DUO COMUNICA LTDA     12/03</t>
        </is>
      </c>
      <c r="I3031" t="n">
        <v>-333</v>
      </c>
    </row>
    <row r="3032">
      <c r="A3032" t="n">
        <v>72040</v>
      </c>
      <c r="B3032" t="n">
        <v>115</v>
      </c>
      <c r="C3032" t="inlineStr">
        <is>
          <t>Love - Shibari - Bradesco</t>
        </is>
      </c>
      <c r="D3032" t="n">
        <v>128</v>
      </c>
      <c r="E3032" t="inlineStr">
        <is>
          <t>Love Cabaret</t>
        </is>
      </c>
      <c r="F3032" s="27" t="n">
        <v>45728.5</v>
      </c>
      <c r="G3032" t="inlineStr">
        <is>
          <t>DEBITO</t>
        </is>
      </c>
      <c r="H3032" t="inlineStr">
        <is>
          <t>TARIFA BANCARIA TRANSF PGTO PIX</t>
        </is>
      </c>
      <c r="I3032" t="n">
        <v>-9</v>
      </c>
    </row>
    <row r="3033">
      <c r="A3033" t="n">
        <v>72039</v>
      </c>
      <c r="B3033" t="n">
        <v>115</v>
      </c>
      <c r="C3033" t="inlineStr">
        <is>
          <t>Love - Shibari - Bradesco</t>
        </is>
      </c>
      <c r="D3033" t="n">
        <v>128</v>
      </c>
      <c r="E3033" t="inlineStr">
        <is>
          <t>Love Cabaret</t>
        </is>
      </c>
      <c r="F3033" s="27" t="n">
        <v>45728.5</v>
      </c>
      <c r="G3033" t="inlineStr">
        <is>
          <t>DEBITO</t>
        </is>
      </c>
      <c r="H3033" t="inlineStr">
        <is>
          <t>TARIFA BANCARIA TRANSF PGTO PIX</t>
        </is>
      </c>
      <c r="I3033" t="n">
        <v>-9</v>
      </c>
    </row>
    <row r="3034">
      <c r="A3034" t="n">
        <v>72038</v>
      </c>
      <c r="B3034" t="n">
        <v>115</v>
      </c>
      <c r="C3034" t="inlineStr">
        <is>
          <t>Love - Shibari - Bradesco</t>
        </is>
      </c>
      <c r="D3034" t="n">
        <v>128</v>
      </c>
      <c r="E3034" t="inlineStr">
        <is>
          <t>Love Cabaret</t>
        </is>
      </c>
      <c r="F3034" s="27" t="n">
        <v>45728.5</v>
      </c>
      <c r="G3034" t="inlineStr">
        <is>
          <t>DEBITO</t>
        </is>
      </c>
      <c r="H3034" t="inlineStr">
        <is>
          <t>TARIFA BANCARIA TRANSF PGTO PIX</t>
        </is>
      </c>
      <c r="I3034" t="n">
        <v>-9</v>
      </c>
    </row>
    <row r="3035">
      <c r="A3035" t="n">
        <v>72036</v>
      </c>
      <c r="B3035" t="n">
        <v>115</v>
      </c>
      <c r="C3035" t="inlineStr">
        <is>
          <t>Love - Shibari - Bradesco</t>
        </is>
      </c>
      <c r="D3035" t="n">
        <v>128</v>
      </c>
      <c r="E3035" t="inlineStr">
        <is>
          <t>Love Cabaret</t>
        </is>
      </c>
      <c r="F3035" s="27" t="n">
        <v>45728.5</v>
      </c>
      <c r="G3035" t="inlineStr">
        <is>
          <t>DEBITO</t>
        </is>
      </c>
      <c r="H3035" t="inlineStr">
        <is>
          <t>TARIFA BANCARIA TRANSF PGTO PIX</t>
        </is>
      </c>
      <c r="I3035" t="n">
        <v>-9</v>
      </c>
    </row>
    <row r="3036">
      <c r="A3036" t="n">
        <v>72037</v>
      </c>
      <c r="B3036" t="n">
        <v>115</v>
      </c>
      <c r="C3036" t="inlineStr">
        <is>
          <t>Love - Shibari - Bradesco</t>
        </is>
      </c>
      <c r="D3036" t="n">
        <v>128</v>
      </c>
      <c r="E3036" t="inlineStr">
        <is>
          <t>Love Cabaret</t>
        </is>
      </c>
      <c r="F3036" s="27" t="n">
        <v>45728.5</v>
      </c>
      <c r="G3036" t="inlineStr">
        <is>
          <t>DEBITO</t>
        </is>
      </c>
      <c r="H3036" t="inlineStr">
        <is>
          <t>TARIFA BANCARIA TRANSF PGTO PIX</t>
        </is>
      </c>
      <c r="I3036" t="n">
        <v>-9</v>
      </c>
    </row>
    <row r="3037">
      <c r="A3037" t="n">
        <v>72026</v>
      </c>
      <c r="B3037" t="n">
        <v>115</v>
      </c>
      <c r="C3037" t="inlineStr">
        <is>
          <t>Love - Shibari - Bradesco</t>
        </is>
      </c>
      <c r="D3037" t="n">
        <v>128</v>
      </c>
      <c r="E3037" t="inlineStr">
        <is>
          <t>Love Cabaret</t>
        </is>
      </c>
      <c r="F3037" s="27" t="n">
        <v>45728.5</v>
      </c>
      <c r="G3037" t="inlineStr">
        <is>
          <t>DEBITO</t>
        </is>
      </c>
      <c r="H3037" t="inlineStr">
        <is>
          <t>TARIFA BANCARIA TRANSF PGTO PIX</t>
        </is>
      </c>
      <c r="I3037" t="n">
        <v>-9</v>
      </c>
    </row>
    <row r="3038">
      <c r="A3038" t="n">
        <v>72027</v>
      </c>
      <c r="B3038" t="n">
        <v>115</v>
      </c>
      <c r="C3038" t="inlineStr">
        <is>
          <t>Love - Shibari - Bradesco</t>
        </is>
      </c>
      <c r="D3038" t="n">
        <v>128</v>
      </c>
      <c r="E3038" t="inlineStr">
        <is>
          <t>Love Cabaret</t>
        </is>
      </c>
      <c r="F3038" s="27" t="n">
        <v>45728.5</v>
      </c>
      <c r="G3038" t="inlineStr">
        <is>
          <t>DEBITO</t>
        </is>
      </c>
      <c r="H3038" t="inlineStr">
        <is>
          <t>TARIFA BANCARIA TRANSF PGTO PIX</t>
        </is>
      </c>
      <c r="I3038" t="n">
        <v>-9</v>
      </c>
    </row>
    <row r="3039">
      <c r="A3039" t="n">
        <v>72028</v>
      </c>
      <c r="B3039" t="n">
        <v>115</v>
      </c>
      <c r="C3039" t="inlineStr">
        <is>
          <t>Love - Shibari - Bradesco</t>
        </is>
      </c>
      <c r="D3039" t="n">
        <v>128</v>
      </c>
      <c r="E3039" t="inlineStr">
        <is>
          <t>Love Cabaret</t>
        </is>
      </c>
      <c r="F3039" s="27" t="n">
        <v>45728.5</v>
      </c>
      <c r="G3039" t="inlineStr">
        <is>
          <t>DEBITO</t>
        </is>
      </c>
      <c r="H3039" t="inlineStr">
        <is>
          <t>TARIFA BANCARIA TRANSF PGTO PIX</t>
        </is>
      </c>
      <c r="I3039" t="n">
        <v>-9</v>
      </c>
    </row>
    <row r="3040">
      <c r="A3040" t="n">
        <v>72029</v>
      </c>
      <c r="B3040" t="n">
        <v>115</v>
      </c>
      <c r="C3040" t="inlineStr">
        <is>
          <t>Love - Shibari - Bradesco</t>
        </is>
      </c>
      <c r="D3040" t="n">
        <v>128</v>
      </c>
      <c r="E3040" t="inlineStr">
        <is>
          <t>Love Cabaret</t>
        </is>
      </c>
      <c r="F3040" s="27" t="n">
        <v>45728.5</v>
      </c>
      <c r="G3040" t="inlineStr">
        <is>
          <t>DEBITO</t>
        </is>
      </c>
      <c r="H3040" t="inlineStr">
        <is>
          <t>TARIFA BANCARIA TRANSF PGTO PIX</t>
        </is>
      </c>
      <c r="I3040" t="n">
        <v>-9</v>
      </c>
    </row>
    <row r="3041">
      <c r="A3041" t="n">
        <v>72030</v>
      </c>
      <c r="B3041" t="n">
        <v>115</v>
      </c>
      <c r="C3041" t="inlineStr">
        <is>
          <t>Love - Shibari - Bradesco</t>
        </is>
      </c>
      <c r="D3041" t="n">
        <v>128</v>
      </c>
      <c r="E3041" t="inlineStr">
        <is>
          <t>Love Cabaret</t>
        </is>
      </c>
      <c r="F3041" s="27" t="n">
        <v>45728.5</v>
      </c>
      <c r="G3041" t="inlineStr">
        <is>
          <t>DEBITO</t>
        </is>
      </c>
      <c r="H3041" t="inlineStr">
        <is>
          <t>TARIFA BANCARIA TRANSF PGTO PIX</t>
        </is>
      </c>
      <c r="I3041" t="n">
        <v>-9</v>
      </c>
    </row>
    <row r="3042">
      <c r="A3042" t="n">
        <v>72031</v>
      </c>
      <c r="B3042" t="n">
        <v>115</v>
      </c>
      <c r="C3042" t="inlineStr">
        <is>
          <t>Love - Shibari - Bradesco</t>
        </is>
      </c>
      <c r="D3042" t="n">
        <v>128</v>
      </c>
      <c r="E3042" t="inlineStr">
        <is>
          <t>Love Cabaret</t>
        </is>
      </c>
      <c r="F3042" s="27" t="n">
        <v>45728.5</v>
      </c>
      <c r="G3042" t="inlineStr">
        <is>
          <t>DEBITO</t>
        </is>
      </c>
      <c r="H3042" t="inlineStr">
        <is>
          <t>TARIFA BANCARIA TRANSF PGTO PIX</t>
        </is>
      </c>
      <c r="I3042" t="n">
        <v>-9</v>
      </c>
    </row>
    <row r="3043">
      <c r="A3043" t="n">
        <v>72032</v>
      </c>
      <c r="B3043" t="n">
        <v>115</v>
      </c>
      <c r="C3043" t="inlineStr">
        <is>
          <t>Love - Shibari - Bradesco</t>
        </is>
      </c>
      <c r="D3043" t="n">
        <v>128</v>
      </c>
      <c r="E3043" t="inlineStr">
        <is>
          <t>Love Cabaret</t>
        </is>
      </c>
      <c r="F3043" s="27" t="n">
        <v>45728.5</v>
      </c>
      <c r="G3043" t="inlineStr">
        <is>
          <t>DEBITO</t>
        </is>
      </c>
      <c r="H3043" t="inlineStr">
        <is>
          <t>TARIFA BANCARIA TRANSF PGTO PIX</t>
        </is>
      </c>
      <c r="I3043" t="n">
        <v>-9</v>
      </c>
    </row>
    <row r="3044">
      <c r="A3044" t="n">
        <v>72034</v>
      </c>
      <c r="B3044" t="n">
        <v>115</v>
      </c>
      <c r="C3044" t="inlineStr">
        <is>
          <t>Love - Shibari - Bradesco</t>
        </is>
      </c>
      <c r="D3044" t="n">
        <v>128</v>
      </c>
      <c r="E3044" t="inlineStr">
        <is>
          <t>Love Cabaret</t>
        </is>
      </c>
      <c r="F3044" s="27" t="n">
        <v>45728.5</v>
      </c>
      <c r="G3044" t="inlineStr">
        <is>
          <t>DEBITO</t>
        </is>
      </c>
      <c r="H3044" t="inlineStr">
        <is>
          <t>TARIFA BANCARIA TRANSF PGTO PIX</t>
        </is>
      </c>
      <c r="I3044" t="n">
        <v>-9</v>
      </c>
    </row>
    <row r="3045">
      <c r="A3045" t="n">
        <v>72035</v>
      </c>
      <c r="B3045" t="n">
        <v>115</v>
      </c>
      <c r="C3045" t="inlineStr">
        <is>
          <t>Love - Shibari - Bradesco</t>
        </is>
      </c>
      <c r="D3045" t="n">
        <v>128</v>
      </c>
      <c r="E3045" t="inlineStr">
        <is>
          <t>Love Cabaret</t>
        </is>
      </c>
      <c r="F3045" s="27" t="n">
        <v>45728.5</v>
      </c>
      <c r="G3045" t="inlineStr">
        <is>
          <t>DEBITO</t>
        </is>
      </c>
      <c r="H3045" t="inlineStr">
        <is>
          <t>TARIFA BANCARIA TRANSF PGTO PIX</t>
        </is>
      </c>
      <c r="I3045" t="n">
        <v>-9</v>
      </c>
    </row>
    <row r="3046">
      <c r="A3046" t="n">
        <v>72033</v>
      </c>
      <c r="B3046" t="n">
        <v>115</v>
      </c>
      <c r="C3046" t="inlineStr">
        <is>
          <t>Love - Shibari - Bradesco</t>
        </is>
      </c>
      <c r="D3046" t="n">
        <v>128</v>
      </c>
      <c r="E3046" t="inlineStr">
        <is>
          <t>Love Cabaret</t>
        </is>
      </c>
      <c r="F3046" s="27" t="n">
        <v>45728.5</v>
      </c>
      <c r="G3046" t="inlineStr">
        <is>
          <t>DEBITO</t>
        </is>
      </c>
      <c r="H3046" t="inlineStr">
        <is>
          <t>TARIFA BANCARIA TRANSF PGTO PIX</t>
        </is>
      </c>
      <c r="I3046" t="n">
        <v>-9</v>
      </c>
    </row>
    <row r="3047">
      <c r="A3047" t="n">
        <v>72003</v>
      </c>
      <c r="B3047" t="n">
        <v>115</v>
      </c>
      <c r="C3047" t="inlineStr">
        <is>
          <t>Love - Shibari - Bradesco</t>
        </is>
      </c>
      <c r="D3047" t="n">
        <v>128</v>
      </c>
      <c r="E3047" t="inlineStr">
        <is>
          <t>Love Cabaret</t>
        </is>
      </c>
      <c r="F3047" s="27" t="n">
        <v>45727.5</v>
      </c>
      <c r="G3047" t="inlineStr">
        <is>
          <t>CREDITO</t>
        </is>
      </c>
      <c r="H3047" t="inlineStr">
        <is>
          <t>TED-TRANSF ELET DISPON REMET.LIRIUM INDUSTRIA E C</t>
        </is>
      </c>
      <c r="I3047" t="n">
        <v>135</v>
      </c>
    </row>
    <row r="3048">
      <c r="A3048" t="n">
        <v>72004</v>
      </c>
      <c r="B3048" t="n">
        <v>115</v>
      </c>
      <c r="C3048" t="inlineStr">
        <is>
          <t>Love - Shibari - Bradesco</t>
        </is>
      </c>
      <c r="D3048" t="n">
        <v>128</v>
      </c>
      <c r="E3048" t="inlineStr">
        <is>
          <t>Love Cabaret</t>
        </is>
      </c>
      <c r="F3048" s="27" t="n">
        <v>45727.5</v>
      </c>
      <c r="G3048" t="inlineStr">
        <is>
          <t>CREDITO</t>
        </is>
      </c>
      <c r="H3048" t="inlineStr">
        <is>
          <t>TRANSFERENCIA PIX REM: SHIBARI ART E DIVERSA 11/03</t>
        </is>
      </c>
      <c r="I3048" t="n">
        <v>9674.74</v>
      </c>
    </row>
    <row r="3049">
      <c r="A3049" t="n">
        <v>72005</v>
      </c>
      <c r="B3049" t="n">
        <v>115</v>
      </c>
      <c r="C3049" t="inlineStr">
        <is>
          <t>Love - Shibari - Bradesco</t>
        </is>
      </c>
      <c r="D3049" t="n">
        <v>128</v>
      </c>
      <c r="E3049" t="inlineStr">
        <is>
          <t>Love Cabaret</t>
        </is>
      </c>
      <c r="F3049" s="27" t="n">
        <v>45727.5</v>
      </c>
      <c r="G3049" t="inlineStr">
        <is>
          <t>DEBITO</t>
        </is>
      </c>
      <c r="H3049" t="inlineStr">
        <is>
          <t>TED DIF.TITUL.CC H.BANK DEST. DOUGLAS FELIPE DOMIN</t>
        </is>
      </c>
      <c r="I3049" t="n">
        <v>-4340</v>
      </c>
    </row>
    <row r="3050">
      <c r="A3050" t="n">
        <v>72006</v>
      </c>
      <c r="B3050" t="n">
        <v>115</v>
      </c>
      <c r="C3050" t="inlineStr">
        <is>
          <t>Love - Shibari - Bradesco</t>
        </is>
      </c>
      <c r="D3050" t="n">
        <v>128</v>
      </c>
      <c r="E3050" t="inlineStr">
        <is>
          <t>Love Cabaret</t>
        </is>
      </c>
      <c r="F3050" s="27" t="n">
        <v>45727.5</v>
      </c>
      <c r="G3050" t="inlineStr">
        <is>
          <t>DEBITO</t>
        </is>
      </c>
      <c r="H3050" t="inlineStr">
        <is>
          <t>TRANSFERENCIA PIX DES: MACHINE SEGURANCA PAT 11/03</t>
        </is>
      </c>
      <c r="I3050" t="n">
        <v>-4750</v>
      </c>
    </row>
    <row r="3051">
      <c r="A3051" t="n">
        <v>71965</v>
      </c>
      <c r="B3051" t="n">
        <v>115</v>
      </c>
      <c r="C3051" t="inlineStr">
        <is>
          <t>Love - Shibari - Bradesco</t>
        </is>
      </c>
      <c r="D3051" t="n">
        <v>128</v>
      </c>
      <c r="E3051" t="inlineStr">
        <is>
          <t>Love Cabaret</t>
        </is>
      </c>
      <c r="F3051" s="27" t="n">
        <v>45726.5</v>
      </c>
      <c r="G3051" t="inlineStr">
        <is>
          <t>DEBITO</t>
        </is>
      </c>
      <c r="H3051" t="inlineStr">
        <is>
          <t>PAGTO ELETRON  COBRANCA 1806</t>
        </is>
      </c>
      <c r="I3051" t="n">
        <v>-685</v>
      </c>
    </row>
    <row r="3052">
      <c r="A3052" t="n">
        <v>71966</v>
      </c>
      <c r="B3052" t="n">
        <v>115</v>
      </c>
      <c r="C3052" t="inlineStr">
        <is>
          <t>Love - Shibari - Bradesco</t>
        </is>
      </c>
      <c r="D3052" t="n">
        <v>128</v>
      </c>
      <c r="E3052" t="inlineStr">
        <is>
          <t>Love Cabaret</t>
        </is>
      </c>
      <c r="F3052" s="27" t="n">
        <v>45726.5</v>
      </c>
      <c r="G3052" t="inlineStr">
        <is>
          <t>DEBITO</t>
        </is>
      </c>
      <c r="H3052" t="inlineStr">
        <is>
          <t>PAGTO ELETRON  COBRANCA 13201</t>
        </is>
      </c>
      <c r="I3052" t="n">
        <v>-607.5</v>
      </c>
    </row>
    <row r="3053">
      <c r="A3053" t="n">
        <v>71967</v>
      </c>
      <c r="B3053" t="n">
        <v>115</v>
      </c>
      <c r="C3053" t="inlineStr">
        <is>
          <t>Love - Shibari - Bradesco</t>
        </is>
      </c>
      <c r="D3053" t="n">
        <v>128</v>
      </c>
      <c r="E3053" t="inlineStr">
        <is>
          <t>Love Cabaret</t>
        </is>
      </c>
      <c r="F3053" s="27" t="n">
        <v>45726.5</v>
      </c>
      <c r="G3053" t="inlineStr">
        <is>
          <t>DEBITO</t>
        </is>
      </c>
      <c r="H3053" t="inlineStr">
        <is>
          <t>PAGTO ELETRON  COBRANCA 25794</t>
        </is>
      </c>
      <c r="I3053" t="n">
        <v>-600.64</v>
      </c>
    </row>
    <row r="3054">
      <c r="A3054" t="n">
        <v>71968</v>
      </c>
      <c r="B3054" t="n">
        <v>115</v>
      </c>
      <c r="C3054" t="inlineStr">
        <is>
          <t>Love - Shibari - Bradesco</t>
        </is>
      </c>
      <c r="D3054" t="n">
        <v>128</v>
      </c>
      <c r="E3054" t="inlineStr">
        <is>
          <t>Love Cabaret</t>
        </is>
      </c>
      <c r="F3054" s="27" t="n">
        <v>45726.5</v>
      </c>
      <c r="G3054" t="inlineStr">
        <is>
          <t>DEBITO</t>
        </is>
      </c>
      <c r="H3054" t="inlineStr">
        <is>
          <t>PAGTO ELETRON  COBRANCA 12897</t>
        </is>
      </c>
      <c r="I3054" t="n">
        <v>-583.7</v>
      </c>
    </row>
    <row r="3055">
      <c r="A3055" t="n">
        <v>71969</v>
      </c>
      <c r="B3055" t="n">
        <v>115</v>
      </c>
      <c r="C3055" t="inlineStr">
        <is>
          <t>Love - Shibari - Bradesco</t>
        </is>
      </c>
      <c r="D3055" t="n">
        <v>128</v>
      </c>
      <c r="E3055" t="inlineStr">
        <is>
          <t>Love Cabaret</t>
        </is>
      </c>
      <c r="F3055" s="27" t="n">
        <v>45726.5</v>
      </c>
      <c r="G3055" t="inlineStr">
        <is>
          <t>DEBITO</t>
        </is>
      </c>
      <c r="H3055" t="inlineStr">
        <is>
          <t>PAGTO ELETRON  COBRANCA 23797</t>
        </is>
      </c>
      <c r="I3055" t="n">
        <v>-456.25</v>
      </c>
    </row>
    <row r="3056">
      <c r="A3056" t="n">
        <v>71970</v>
      </c>
      <c r="B3056" t="n">
        <v>115</v>
      </c>
      <c r="C3056" t="inlineStr">
        <is>
          <t>Love - Shibari - Bradesco</t>
        </is>
      </c>
      <c r="D3056" t="n">
        <v>128</v>
      </c>
      <c r="E3056" t="inlineStr">
        <is>
          <t>Love Cabaret</t>
        </is>
      </c>
      <c r="F3056" s="27" t="n">
        <v>45726.5</v>
      </c>
      <c r="G3056" t="inlineStr">
        <is>
          <t>DEBITO</t>
        </is>
      </c>
      <c r="H3056" t="inlineStr">
        <is>
          <t>PAGTO ELETRON  COBRANCA 203467</t>
        </is>
      </c>
      <c r="I3056" t="n">
        <v>-338.04</v>
      </c>
    </row>
    <row r="3057">
      <c r="A3057" t="n">
        <v>71971</v>
      </c>
      <c r="B3057" t="n">
        <v>115</v>
      </c>
      <c r="C3057" t="inlineStr">
        <is>
          <t>Love - Shibari - Bradesco</t>
        </is>
      </c>
      <c r="D3057" t="n">
        <v>128</v>
      </c>
      <c r="E3057" t="inlineStr">
        <is>
          <t>Love Cabaret</t>
        </is>
      </c>
      <c r="F3057" s="27" t="n">
        <v>45726.5</v>
      </c>
      <c r="G3057" t="inlineStr">
        <is>
          <t>DEBITO</t>
        </is>
      </c>
      <c r="H3057" t="inlineStr">
        <is>
          <t>PAGTO ELETRON  COBRANCA 203470</t>
        </is>
      </c>
      <c r="I3057" t="n">
        <v>-338.04</v>
      </c>
    </row>
    <row r="3058">
      <c r="A3058" t="n">
        <v>71972</v>
      </c>
      <c r="B3058" t="n">
        <v>115</v>
      </c>
      <c r="C3058" t="inlineStr">
        <is>
          <t>Love - Shibari - Bradesco</t>
        </is>
      </c>
      <c r="D3058" t="n">
        <v>128</v>
      </c>
      <c r="E3058" t="inlineStr">
        <is>
          <t>Love Cabaret</t>
        </is>
      </c>
      <c r="F3058" s="27" t="n">
        <v>45726.5</v>
      </c>
      <c r="G3058" t="inlineStr">
        <is>
          <t>DEBITO</t>
        </is>
      </c>
      <c r="H3058" t="inlineStr">
        <is>
          <t>PAGTO ELETRON  COBRANCA 142486</t>
        </is>
      </c>
      <c r="I3058" t="n">
        <v>-310.5</v>
      </c>
    </row>
    <row r="3059">
      <c r="A3059" t="n">
        <v>71973</v>
      </c>
      <c r="B3059" t="n">
        <v>115</v>
      </c>
      <c r="C3059" t="inlineStr">
        <is>
          <t>Love - Shibari - Bradesco</t>
        </is>
      </c>
      <c r="D3059" t="n">
        <v>128</v>
      </c>
      <c r="E3059" t="inlineStr">
        <is>
          <t>Love Cabaret</t>
        </is>
      </c>
      <c r="F3059" s="27" t="n">
        <v>45726.5</v>
      </c>
      <c r="G3059" t="inlineStr">
        <is>
          <t>DEBITO</t>
        </is>
      </c>
      <c r="H3059" t="inlineStr">
        <is>
          <t>PAGTO ELETRON  COBRANCA 299410</t>
        </is>
      </c>
      <c r="I3059" t="n">
        <v>-303.28</v>
      </c>
    </row>
    <row r="3060">
      <c r="A3060" t="n">
        <v>71974</v>
      </c>
      <c r="B3060" t="n">
        <v>115</v>
      </c>
      <c r="C3060" t="inlineStr">
        <is>
          <t>Love - Shibari - Bradesco</t>
        </is>
      </c>
      <c r="D3060" t="n">
        <v>128</v>
      </c>
      <c r="E3060" t="inlineStr">
        <is>
          <t>Love Cabaret</t>
        </is>
      </c>
      <c r="F3060" s="27" t="n">
        <v>45726.5</v>
      </c>
      <c r="G3060" t="inlineStr">
        <is>
          <t>DEBITO</t>
        </is>
      </c>
      <c r="H3060" t="inlineStr">
        <is>
          <t>PAGTO ELETRON  COBRANCA 522680039</t>
        </is>
      </c>
      <c r="I3060" t="n">
        <v>-198</v>
      </c>
    </row>
    <row r="3061">
      <c r="A3061" t="n">
        <v>71985</v>
      </c>
      <c r="B3061" t="n">
        <v>115</v>
      </c>
      <c r="C3061" t="inlineStr">
        <is>
          <t>Love - Shibari - Bradesco</t>
        </is>
      </c>
      <c r="D3061" t="n">
        <v>128</v>
      </c>
      <c r="E3061" t="inlineStr">
        <is>
          <t>Love Cabaret</t>
        </is>
      </c>
      <c r="F3061" s="27" t="n">
        <v>45726.5</v>
      </c>
      <c r="G3061" t="inlineStr">
        <is>
          <t>DEBITO</t>
        </is>
      </c>
      <c r="H3061" t="inlineStr">
        <is>
          <t>TRANSFERENCIA PIX DES: Diego Oliveira Santan 10/03</t>
        </is>
      </c>
      <c r="I3061" t="n">
        <v>-5730</v>
      </c>
    </row>
    <row r="3062">
      <c r="A3062" t="n">
        <v>71964</v>
      </c>
      <c r="B3062" t="n">
        <v>115</v>
      </c>
      <c r="C3062" t="inlineStr">
        <is>
          <t>Love - Shibari - Bradesco</t>
        </is>
      </c>
      <c r="D3062" t="n">
        <v>128</v>
      </c>
      <c r="E3062" t="inlineStr">
        <is>
          <t>Love Cabaret</t>
        </is>
      </c>
      <c r="F3062" s="27" t="n">
        <v>45726.5</v>
      </c>
      <c r="G3062" t="inlineStr">
        <is>
          <t>DEBITO</t>
        </is>
      </c>
      <c r="H3062" t="inlineStr">
        <is>
          <t>PAGTO ELETRON  COBRANCA 511734742</t>
        </is>
      </c>
      <c r="I3062" t="n">
        <v>-708</v>
      </c>
    </row>
    <row r="3063">
      <c r="A3063" t="n">
        <v>71963</v>
      </c>
      <c r="B3063" t="n">
        <v>115</v>
      </c>
      <c r="C3063" t="inlineStr">
        <is>
          <t>Love - Shibari - Bradesco</t>
        </is>
      </c>
      <c r="D3063" t="n">
        <v>128</v>
      </c>
      <c r="E3063" t="inlineStr">
        <is>
          <t>Love Cabaret</t>
        </is>
      </c>
      <c r="F3063" s="27" t="n">
        <v>45726.5</v>
      </c>
      <c r="G3063" t="inlineStr">
        <is>
          <t>DEBITO</t>
        </is>
      </c>
      <c r="H3063" t="inlineStr">
        <is>
          <t>PAGTO ELETRON  COBRANCA 221</t>
        </is>
      </c>
      <c r="I3063" t="n">
        <v>-1000</v>
      </c>
    </row>
    <row r="3064">
      <c r="A3064" t="n">
        <v>71962</v>
      </c>
      <c r="B3064" t="n">
        <v>115</v>
      </c>
      <c r="C3064" t="inlineStr">
        <is>
          <t>Love - Shibari - Bradesco</t>
        </is>
      </c>
      <c r="D3064" t="n">
        <v>128</v>
      </c>
      <c r="E3064" t="inlineStr">
        <is>
          <t>Love Cabaret</t>
        </is>
      </c>
      <c r="F3064" s="27" t="n">
        <v>45726.5</v>
      </c>
      <c r="G3064" t="inlineStr">
        <is>
          <t>DEBITO</t>
        </is>
      </c>
      <c r="H3064" t="inlineStr">
        <is>
          <t>PAGTO ELETRON  COBRANCA NF 25279</t>
        </is>
      </c>
      <c r="I3064" t="n">
        <v>-1468.08</v>
      </c>
    </row>
    <row r="3065">
      <c r="A3065" t="n">
        <v>71961</v>
      </c>
      <c r="B3065" t="n">
        <v>115</v>
      </c>
      <c r="C3065" t="inlineStr">
        <is>
          <t>Love - Shibari - Bradesco</t>
        </is>
      </c>
      <c r="D3065" t="n">
        <v>128</v>
      </c>
      <c r="E3065" t="inlineStr">
        <is>
          <t>Love Cabaret</t>
        </is>
      </c>
      <c r="F3065" s="27" t="n">
        <v>45726.5</v>
      </c>
      <c r="G3065" t="inlineStr">
        <is>
          <t>DEBITO</t>
        </is>
      </c>
      <c r="H3065" t="inlineStr">
        <is>
          <t>PAGTO ELETRON  COBRANCA 530245568</t>
        </is>
      </c>
      <c r="I3065" t="n">
        <v>-18770</v>
      </c>
    </row>
    <row r="3066">
      <c r="A3066" t="n">
        <v>71960</v>
      </c>
      <c r="B3066" t="n">
        <v>115</v>
      </c>
      <c r="C3066" t="inlineStr">
        <is>
          <t>Love - Shibari - Bradesco</t>
        </is>
      </c>
      <c r="D3066" t="n">
        <v>128</v>
      </c>
      <c r="E3066" t="inlineStr">
        <is>
          <t>Love Cabaret</t>
        </is>
      </c>
      <c r="F3066" s="27" t="n">
        <v>45726.5</v>
      </c>
      <c r="G3066" t="inlineStr">
        <is>
          <t>DEBITO</t>
        </is>
      </c>
      <c r="H3066" t="inlineStr">
        <is>
          <t>PAGTO ELETRON  COBRANCA 524698284</t>
        </is>
      </c>
      <c r="I3066" t="n">
        <v>-37540.92</v>
      </c>
    </row>
    <row r="3067">
      <c r="A3067" t="n">
        <v>71959</v>
      </c>
      <c r="B3067" t="n">
        <v>115</v>
      </c>
      <c r="C3067" t="inlineStr">
        <is>
          <t>Love - Shibari - Bradesco</t>
        </is>
      </c>
      <c r="D3067" t="n">
        <v>128</v>
      </c>
      <c r="E3067" t="inlineStr">
        <is>
          <t>Love Cabaret</t>
        </is>
      </c>
      <c r="F3067" s="27" t="n">
        <v>45726.5</v>
      </c>
      <c r="G3067" t="inlineStr">
        <is>
          <t>DEBITO</t>
        </is>
      </c>
      <c r="H3067" t="inlineStr">
        <is>
          <t>PAGTO ELETRON  COBRANCA 157556P</t>
        </is>
      </c>
      <c r="I3067" t="n">
        <v>-31634.64</v>
      </c>
    </row>
    <row r="3068">
      <c r="A3068" t="n">
        <v>71957</v>
      </c>
      <c r="B3068" t="n">
        <v>115</v>
      </c>
      <c r="C3068" t="inlineStr">
        <is>
          <t>Love - Shibari - Bradesco</t>
        </is>
      </c>
      <c r="D3068" t="n">
        <v>128</v>
      </c>
      <c r="E3068" t="inlineStr">
        <is>
          <t>Love Cabaret</t>
        </is>
      </c>
      <c r="F3068" s="27" t="n">
        <v>45726.5</v>
      </c>
      <c r="G3068" t="inlineStr">
        <is>
          <t>CREDITO</t>
        </is>
      </c>
      <c r="H3068" t="inlineStr">
        <is>
          <t>TRANSFERENCIA PIX REM: SHIBARI ART E DIVERSA 10/03</t>
        </is>
      </c>
      <c r="I3068" t="n">
        <v>30604.66</v>
      </c>
    </row>
    <row r="3069">
      <c r="A3069" t="n">
        <v>71956</v>
      </c>
      <c r="B3069" t="n">
        <v>115</v>
      </c>
      <c r="C3069" t="inlineStr">
        <is>
          <t>Love - Shibari - Bradesco</t>
        </is>
      </c>
      <c r="D3069" t="n">
        <v>128</v>
      </c>
      <c r="E3069" t="inlineStr">
        <is>
          <t>Love Cabaret</t>
        </is>
      </c>
      <c r="F3069" s="27" t="n">
        <v>45726.5</v>
      </c>
      <c r="G3069" t="inlineStr">
        <is>
          <t>CREDITO</t>
        </is>
      </c>
      <c r="H3069" t="inlineStr">
        <is>
          <t>TED-TRANSF ELET DISPON REMET.LOVE SUITES</t>
        </is>
      </c>
      <c r="I3069" t="n">
        <v>31634.64</v>
      </c>
    </row>
    <row r="3070">
      <c r="A3070" t="n">
        <v>71955</v>
      </c>
      <c r="B3070" t="n">
        <v>115</v>
      </c>
      <c r="C3070" t="inlineStr">
        <is>
          <t>Love - Shibari - Bradesco</t>
        </is>
      </c>
      <c r="D3070" t="n">
        <v>128</v>
      </c>
      <c r="E3070" t="inlineStr">
        <is>
          <t>Love Cabaret</t>
        </is>
      </c>
      <c r="F3070" s="27" t="n">
        <v>45726.5</v>
      </c>
      <c r="G3070" t="inlineStr">
        <is>
          <t>CREDITO</t>
        </is>
      </c>
      <c r="H3070" t="inlineStr">
        <is>
          <t>TED-TRANSF ELET DISPON REMET.LOVE SUITES</t>
        </is>
      </c>
      <c r="I3070" t="n">
        <v>1292.39</v>
      </c>
    </row>
    <row r="3071">
      <c r="A3071" t="n">
        <v>71976</v>
      </c>
      <c r="B3071" t="n">
        <v>115</v>
      </c>
      <c r="C3071" t="inlineStr">
        <is>
          <t>Love - Shibari - Bradesco</t>
        </is>
      </c>
      <c r="D3071" t="n">
        <v>128</v>
      </c>
      <c r="E3071" t="inlineStr">
        <is>
          <t>Love Cabaret</t>
        </is>
      </c>
      <c r="F3071" s="27" t="n">
        <v>45726.5</v>
      </c>
      <c r="G3071" t="inlineStr">
        <is>
          <t>DEBITO</t>
        </is>
      </c>
      <c r="H3071" t="inlineStr">
        <is>
          <t>PAGTO ELETRON  COBRANCA 568283</t>
        </is>
      </c>
      <c r="I3071" t="n">
        <v>-119.79</v>
      </c>
    </row>
    <row r="3072">
      <c r="A3072" t="n">
        <v>72002</v>
      </c>
      <c r="B3072" t="n">
        <v>115</v>
      </c>
      <c r="C3072" t="inlineStr">
        <is>
          <t>Love - Shibari - Bradesco</t>
        </is>
      </c>
      <c r="D3072" t="n">
        <v>128</v>
      </c>
      <c r="E3072" t="inlineStr">
        <is>
          <t>Love Cabaret</t>
        </is>
      </c>
      <c r="F3072" s="27" t="n">
        <v>45726.5</v>
      </c>
      <c r="G3072" t="inlineStr">
        <is>
          <t>DEBITO</t>
        </is>
      </c>
      <c r="H3072" t="inlineStr">
        <is>
          <t>TRANSFERENCIA PIX DES: GABRIELA TOLEDO MONTE 10/03</t>
        </is>
      </c>
      <c r="I3072" t="n">
        <v>-4000</v>
      </c>
    </row>
    <row r="3073">
      <c r="A3073" t="n">
        <v>72001</v>
      </c>
      <c r="B3073" t="n">
        <v>115</v>
      </c>
      <c r="C3073" t="inlineStr">
        <is>
          <t>Love - Shibari - Bradesco</t>
        </is>
      </c>
      <c r="D3073" t="n">
        <v>128</v>
      </c>
      <c r="E3073" t="inlineStr">
        <is>
          <t>Love Cabaret</t>
        </is>
      </c>
      <c r="F3073" s="27" t="n">
        <v>45726.5</v>
      </c>
      <c r="G3073" t="inlineStr">
        <is>
          <t>DEBITO</t>
        </is>
      </c>
      <c r="H3073" t="inlineStr">
        <is>
          <t>TRANSFERENCIA PIX DES: JOAO VITOR MENDES SAL 10/03</t>
        </is>
      </c>
      <c r="I3073" t="n">
        <v>-269.9</v>
      </c>
    </row>
    <row r="3074">
      <c r="A3074" t="n">
        <v>72000</v>
      </c>
      <c r="B3074" t="n">
        <v>115</v>
      </c>
      <c r="C3074" t="inlineStr">
        <is>
          <t>Love - Shibari - Bradesco</t>
        </is>
      </c>
      <c r="D3074" t="n">
        <v>128</v>
      </c>
      <c r="E3074" t="inlineStr">
        <is>
          <t>Love Cabaret</t>
        </is>
      </c>
      <c r="F3074" s="27" t="n">
        <v>45726.5</v>
      </c>
      <c r="G3074" t="inlineStr">
        <is>
          <t>DEBITO</t>
        </is>
      </c>
      <c r="H3074" t="inlineStr">
        <is>
          <t>TRANSFERENCIA PIX DES: Neumara Solidade De J 10/03</t>
        </is>
      </c>
      <c r="I3074" t="n">
        <v>-425</v>
      </c>
    </row>
    <row r="3075">
      <c r="A3075" t="n">
        <v>71999</v>
      </c>
      <c r="B3075" t="n">
        <v>115</v>
      </c>
      <c r="C3075" t="inlineStr">
        <is>
          <t>Love - Shibari - Bradesco</t>
        </is>
      </c>
      <c r="D3075" t="n">
        <v>128</v>
      </c>
      <c r="E3075" t="inlineStr">
        <is>
          <t>Love Cabaret</t>
        </is>
      </c>
      <c r="F3075" s="27" t="n">
        <v>45726.5</v>
      </c>
      <c r="G3075" t="inlineStr">
        <is>
          <t>DEBITO</t>
        </is>
      </c>
      <c r="H3075" t="inlineStr">
        <is>
          <t>TRANSFERENCIA PIX DES: ODARA PRODUCOES LTDA  10/03</t>
        </is>
      </c>
      <c r="I3075" t="n">
        <v>-425</v>
      </c>
    </row>
    <row r="3076">
      <c r="A3076" t="n">
        <v>71998</v>
      </c>
      <c r="B3076" t="n">
        <v>115</v>
      </c>
      <c r="C3076" t="inlineStr">
        <is>
          <t>Love - Shibari - Bradesco</t>
        </is>
      </c>
      <c r="D3076" t="n">
        <v>128</v>
      </c>
      <c r="E3076" t="inlineStr">
        <is>
          <t>Love Cabaret</t>
        </is>
      </c>
      <c r="F3076" s="27" t="n">
        <v>45726.5</v>
      </c>
      <c r="G3076" t="inlineStr">
        <is>
          <t>DEBITO</t>
        </is>
      </c>
      <c r="H3076" t="inlineStr">
        <is>
          <t>TRANSFERENCIA PIX DES: 55774785 THIAGO PINHE 10/03</t>
        </is>
      </c>
      <c r="I3076" t="n">
        <v>-1125</v>
      </c>
    </row>
    <row r="3077">
      <c r="A3077" t="n">
        <v>71997</v>
      </c>
      <c r="B3077" t="n">
        <v>115</v>
      </c>
      <c r="C3077" t="inlineStr">
        <is>
          <t>Love - Shibari - Bradesco</t>
        </is>
      </c>
      <c r="D3077" t="n">
        <v>128</v>
      </c>
      <c r="E3077" t="inlineStr">
        <is>
          <t>Love Cabaret</t>
        </is>
      </c>
      <c r="F3077" s="27" t="n">
        <v>45726.5</v>
      </c>
      <c r="G3077" t="inlineStr">
        <is>
          <t>DEBITO</t>
        </is>
      </c>
      <c r="H3077" t="inlineStr">
        <is>
          <t>TRANSFERENCIA PIX DES: 53.068.043 ISABELLA F 10/03</t>
        </is>
      </c>
      <c r="I3077" t="n">
        <v>-1200</v>
      </c>
    </row>
    <row r="3078">
      <c r="A3078" t="n">
        <v>71996</v>
      </c>
      <c r="B3078" t="n">
        <v>115</v>
      </c>
      <c r="C3078" t="inlineStr">
        <is>
          <t>Love - Shibari - Bradesco</t>
        </is>
      </c>
      <c r="D3078" t="n">
        <v>128</v>
      </c>
      <c r="E3078" t="inlineStr">
        <is>
          <t>Love Cabaret</t>
        </is>
      </c>
      <c r="F3078" s="27" t="n">
        <v>45726.5</v>
      </c>
      <c r="G3078" t="inlineStr">
        <is>
          <t>DEBITO</t>
        </is>
      </c>
      <c r="H3078" t="inlineStr">
        <is>
          <t>TRANSFERENCIA PIX DES: 49.635.085 JESSICA IZ 10/03</t>
        </is>
      </c>
      <c r="I3078" t="n">
        <v>-1250</v>
      </c>
    </row>
    <row r="3079">
      <c r="A3079" t="n">
        <v>71995</v>
      </c>
      <c r="B3079" t="n">
        <v>115</v>
      </c>
      <c r="C3079" t="inlineStr">
        <is>
          <t>Love - Shibari - Bradesco</t>
        </is>
      </c>
      <c r="D3079" t="n">
        <v>128</v>
      </c>
      <c r="E3079" t="inlineStr">
        <is>
          <t>Love Cabaret</t>
        </is>
      </c>
      <c r="F3079" s="27" t="n">
        <v>45726.5</v>
      </c>
      <c r="G3079" t="inlineStr">
        <is>
          <t>DEBITO</t>
        </is>
      </c>
      <c r="H3079" t="inlineStr">
        <is>
          <t>TRANSFERENCIA PIX DES: Luiz Roberto Moreira  10/03</t>
        </is>
      </c>
      <c r="I3079" t="n">
        <v>-1400</v>
      </c>
    </row>
    <row r="3080">
      <c r="A3080" t="n">
        <v>71994</v>
      </c>
      <c r="B3080" t="n">
        <v>115</v>
      </c>
      <c r="C3080" t="inlineStr">
        <is>
          <t>Love - Shibari - Bradesco</t>
        </is>
      </c>
      <c r="D3080" t="n">
        <v>128</v>
      </c>
      <c r="E3080" t="inlineStr">
        <is>
          <t>Love Cabaret</t>
        </is>
      </c>
      <c r="F3080" s="27" t="n">
        <v>45726.5</v>
      </c>
      <c r="G3080" t="inlineStr">
        <is>
          <t>DEBITO</t>
        </is>
      </c>
      <c r="H3080" t="inlineStr">
        <is>
          <t>TRANSFERENCIA PIX DES: Laisa Larangeira      10/03</t>
        </is>
      </c>
      <c r="I3080" t="n">
        <v>-1600</v>
      </c>
    </row>
    <row r="3081">
      <c r="A3081" t="n">
        <v>71993</v>
      </c>
      <c r="B3081" t="n">
        <v>115</v>
      </c>
      <c r="C3081" t="inlineStr">
        <is>
          <t>Love - Shibari - Bradesco</t>
        </is>
      </c>
      <c r="D3081" t="n">
        <v>128</v>
      </c>
      <c r="E3081" t="inlineStr">
        <is>
          <t>Love Cabaret</t>
        </is>
      </c>
      <c r="F3081" s="27" t="n">
        <v>45726.5</v>
      </c>
      <c r="G3081" t="inlineStr">
        <is>
          <t>DEBITO</t>
        </is>
      </c>
      <c r="H3081" t="inlineStr">
        <is>
          <t>TRANSFERENCIA PIX DES: TELES DE ALMEIDA PINT 10/03</t>
        </is>
      </c>
      <c r="I3081" t="n">
        <v>-2160</v>
      </c>
    </row>
    <row r="3082">
      <c r="A3082" t="n">
        <v>71992</v>
      </c>
      <c r="B3082" t="n">
        <v>115</v>
      </c>
      <c r="C3082" t="inlineStr">
        <is>
          <t>Love - Shibari - Bradesco</t>
        </is>
      </c>
      <c r="D3082" t="n">
        <v>128</v>
      </c>
      <c r="E3082" t="inlineStr">
        <is>
          <t>Love Cabaret</t>
        </is>
      </c>
      <c r="F3082" s="27" t="n">
        <v>45726.5</v>
      </c>
      <c r="G3082" t="inlineStr">
        <is>
          <t>DEBITO</t>
        </is>
      </c>
      <c r="H3082" t="inlineStr">
        <is>
          <t>TRANSFERENCIA PIX DES: Larissa Rosa de Souza 10/03</t>
        </is>
      </c>
      <c r="I3082" t="n">
        <v>-2412</v>
      </c>
    </row>
    <row r="3083">
      <c r="A3083" t="n">
        <v>71991</v>
      </c>
      <c r="B3083" t="n">
        <v>115</v>
      </c>
      <c r="C3083" t="inlineStr">
        <is>
          <t>Love - Shibari - Bradesco</t>
        </is>
      </c>
      <c r="D3083" t="n">
        <v>128</v>
      </c>
      <c r="E3083" t="inlineStr">
        <is>
          <t>Love Cabaret</t>
        </is>
      </c>
      <c r="F3083" s="27" t="n">
        <v>45726.5</v>
      </c>
      <c r="G3083" t="inlineStr">
        <is>
          <t>DEBITO</t>
        </is>
      </c>
      <c r="H3083" t="inlineStr">
        <is>
          <t>TRANSFERENCIA PIX DES: JULIANA DANTAS GONCAL 10/03</t>
        </is>
      </c>
      <c r="I3083" t="n">
        <v>-3000</v>
      </c>
    </row>
    <row r="3084">
      <c r="A3084" t="n">
        <v>71990</v>
      </c>
      <c r="B3084" t="n">
        <v>115</v>
      </c>
      <c r="C3084" t="inlineStr">
        <is>
          <t>Love - Shibari - Bradesco</t>
        </is>
      </c>
      <c r="D3084" t="n">
        <v>128</v>
      </c>
      <c r="E3084" t="inlineStr">
        <is>
          <t>Love Cabaret</t>
        </is>
      </c>
      <c r="F3084" s="27" t="n">
        <v>45726.5</v>
      </c>
      <c r="G3084" t="inlineStr">
        <is>
          <t>DEBITO</t>
        </is>
      </c>
      <c r="H3084" t="inlineStr">
        <is>
          <t>TRANSFERENCIA PIX DES: VANESSA DEL SANTOS DE 10/03</t>
        </is>
      </c>
      <c r="I3084" t="n">
        <v>-3000</v>
      </c>
    </row>
    <row r="3085">
      <c r="A3085" t="n">
        <v>71989</v>
      </c>
      <c r="B3085" t="n">
        <v>115</v>
      </c>
      <c r="C3085" t="inlineStr">
        <is>
          <t>Love - Shibari - Bradesco</t>
        </is>
      </c>
      <c r="D3085" t="n">
        <v>128</v>
      </c>
      <c r="E3085" t="inlineStr">
        <is>
          <t>Love Cabaret</t>
        </is>
      </c>
      <c r="F3085" s="27" t="n">
        <v>45726.5</v>
      </c>
      <c r="G3085" t="inlineStr">
        <is>
          <t>DEBITO</t>
        </is>
      </c>
      <c r="H3085" t="inlineStr">
        <is>
          <t>TRANSFERENCIA PIX DES: Tamara Santos Ribeiro 10/03</t>
        </is>
      </c>
      <c r="I3085" t="n">
        <v>-3500</v>
      </c>
    </row>
    <row r="3086">
      <c r="A3086" t="n">
        <v>71988</v>
      </c>
      <c r="B3086" t="n">
        <v>115</v>
      </c>
      <c r="C3086" t="inlineStr">
        <is>
          <t>Love - Shibari - Bradesco</t>
        </is>
      </c>
      <c r="D3086" t="n">
        <v>128</v>
      </c>
      <c r="E3086" t="inlineStr">
        <is>
          <t>Love Cabaret</t>
        </is>
      </c>
      <c r="F3086" s="27" t="n">
        <v>45726.5</v>
      </c>
      <c r="G3086" t="inlineStr">
        <is>
          <t>DEBITO</t>
        </is>
      </c>
      <c r="H3086" t="inlineStr">
        <is>
          <t>TRANSFERENCIA PIX DES: ANNA WOORTMANN        10/03</t>
        </is>
      </c>
      <c r="I3086" t="n">
        <v>-3600</v>
      </c>
    </row>
    <row r="3087">
      <c r="A3087" t="n">
        <v>71987</v>
      </c>
      <c r="B3087" t="n">
        <v>115</v>
      </c>
      <c r="C3087" t="inlineStr">
        <is>
          <t>Love - Shibari - Bradesco</t>
        </is>
      </c>
      <c r="D3087" t="n">
        <v>128</v>
      </c>
      <c r="E3087" t="inlineStr">
        <is>
          <t>Love Cabaret</t>
        </is>
      </c>
      <c r="F3087" s="27" t="n">
        <v>45726.5</v>
      </c>
      <c r="G3087" t="inlineStr">
        <is>
          <t>DEBITO</t>
        </is>
      </c>
      <c r="H3087" t="inlineStr">
        <is>
          <t>TRANSFERENCIA PIX DES: ROBERTA MARIA SANTANA 10/03</t>
        </is>
      </c>
      <c r="I3087" t="n">
        <v>-5530</v>
      </c>
    </row>
    <row r="3088">
      <c r="A3088" t="n">
        <v>71986</v>
      </c>
      <c r="B3088" t="n">
        <v>115</v>
      </c>
      <c r="C3088" t="inlineStr">
        <is>
          <t>Love - Shibari - Bradesco</t>
        </is>
      </c>
      <c r="D3088" t="n">
        <v>128</v>
      </c>
      <c r="E3088" t="inlineStr">
        <is>
          <t>Love Cabaret</t>
        </is>
      </c>
      <c r="F3088" s="27" t="n">
        <v>45726.5</v>
      </c>
      <c r="G3088" t="inlineStr">
        <is>
          <t>DEBITO</t>
        </is>
      </c>
      <c r="H3088" t="inlineStr">
        <is>
          <t>TRANSFERENCIA PIX DES: 55 214 822 WAGNER DA  10/03</t>
        </is>
      </c>
      <c r="I3088" t="n">
        <v>-5530</v>
      </c>
    </row>
    <row r="3089">
      <c r="A3089" t="n">
        <v>71984</v>
      </c>
      <c r="B3089" t="n">
        <v>115</v>
      </c>
      <c r="C3089" t="inlineStr">
        <is>
          <t>Love - Shibari - Bradesco</t>
        </is>
      </c>
      <c r="D3089" t="n">
        <v>128</v>
      </c>
      <c r="E3089" t="inlineStr">
        <is>
          <t>Love Cabaret</t>
        </is>
      </c>
      <c r="F3089" s="27" t="n">
        <v>45726.5</v>
      </c>
      <c r="G3089" t="inlineStr">
        <is>
          <t>DEBITO</t>
        </is>
      </c>
      <c r="H3089" t="inlineStr">
        <is>
          <t>TRANSFERENCIA PIX DES: JOAO VITOR MENDES SAL 10/03</t>
        </is>
      </c>
      <c r="I3089" t="n">
        <v>-4800</v>
      </c>
    </row>
    <row r="3090">
      <c r="A3090" t="n">
        <v>71983</v>
      </c>
      <c r="B3090" t="n">
        <v>115</v>
      </c>
      <c r="C3090" t="inlineStr">
        <is>
          <t>Love - Shibari - Bradesco</t>
        </is>
      </c>
      <c r="D3090" t="n">
        <v>128</v>
      </c>
      <c r="E3090" t="inlineStr">
        <is>
          <t>Love Cabaret</t>
        </is>
      </c>
      <c r="F3090" s="27" t="n">
        <v>45726.5</v>
      </c>
      <c r="G3090" t="inlineStr">
        <is>
          <t>DEBITO</t>
        </is>
      </c>
      <c r="H3090" t="inlineStr">
        <is>
          <t>TRANSFERENCIA PIX DES: AGNES RODRIGUES DE OL 10/03</t>
        </is>
      </c>
      <c r="I3090" t="n">
        <v>-5000</v>
      </c>
    </row>
    <row r="3091">
      <c r="A3091" t="n">
        <v>71982</v>
      </c>
      <c r="B3091" t="n">
        <v>115</v>
      </c>
      <c r="C3091" t="inlineStr">
        <is>
          <t>Love - Shibari - Bradesco</t>
        </is>
      </c>
      <c r="D3091" t="n">
        <v>128</v>
      </c>
      <c r="E3091" t="inlineStr">
        <is>
          <t>Love Cabaret</t>
        </is>
      </c>
      <c r="F3091" s="27" t="n">
        <v>45726.5</v>
      </c>
      <c r="G3091" t="inlineStr">
        <is>
          <t>DEBITO</t>
        </is>
      </c>
      <c r="H3091" t="inlineStr">
        <is>
          <t>TRANSFERENCIA PIX DES: FELIPE DA COSTA SANTO 10/03</t>
        </is>
      </c>
      <c r="I3091" t="n">
        <v>-6770</v>
      </c>
    </row>
    <row r="3092">
      <c r="A3092" t="n">
        <v>71981</v>
      </c>
      <c r="B3092" t="n">
        <v>115</v>
      </c>
      <c r="C3092" t="inlineStr">
        <is>
          <t>Love - Shibari - Bradesco</t>
        </is>
      </c>
      <c r="D3092" t="n">
        <v>128</v>
      </c>
      <c r="E3092" t="inlineStr">
        <is>
          <t>Love Cabaret</t>
        </is>
      </c>
      <c r="F3092" s="27" t="n">
        <v>45726.5</v>
      </c>
      <c r="G3092" t="inlineStr">
        <is>
          <t>DEBITO</t>
        </is>
      </c>
      <c r="H3092" t="inlineStr">
        <is>
          <t>TRANSFERENCIA PIX DES: INDRA HARETRAVA       10/03</t>
        </is>
      </c>
      <c r="I3092" t="n">
        <v>-7420</v>
      </c>
    </row>
    <row r="3093">
      <c r="A3093" t="n">
        <v>71980</v>
      </c>
      <c r="B3093" t="n">
        <v>115</v>
      </c>
      <c r="C3093" t="inlineStr">
        <is>
          <t>Love - Shibari - Bradesco</t>
        </is>
      </c>
      <c r="D3093" t="n">
        <v>128</v>
      </c>
      <c r="E3093" t="inlineStr">
        <is>
          <t>Love Cabaret</t>
        </is>
      </c>
      <c r="F3093" s="27" t="n">
        <v>45726.5</v>
      </c>
      <c r="G3093" t="inlineStr">
        <is>
          <t>DEBITO</t>
        </is>
      </c>
      <c r="H3093" t="inlineStr">
        <is>
          <t>TRANSFERENCIA PIX DES: JULIA BAISCH FRANZ 02 10/03</t>
        </is>
      </c>
      <c r="I3093" t="n">
        <v>-8500</v>
      </c>
    </row>
    <row r="3094">
      <c r="A3094" t="n">
        <v>71979</v>
      </c>
      <c r="B3094" t="n">
        <v>115</v>
      </c>
      <c r="C3094" t="inlineStr">
        <is>
          <t>Love - Shibari - Bradesco</t>
        </is>
      </c>
      <c r="D3094" t="n">
        <v>128</v>
      </c>
      <c r="E3094" t="inlineStr">
        <is>
          <t>Love Cabaret</t>
        </is>
      </c>
      <c r="F3094" s="27" t="n">
        <v>45726.5</v>
      </c>
      <c r="G3094" t="inlineStr">
        <is>
          <t>DEBITO</t>
        </is>
      </c>
      <c r="H3094" t="inlineStr">
        <is>
          <t>PAGTO ELETRONICO TRIBUTO INTERNET --PMSP SP</t>
        </is>
      </c>
      <c r="I3094" t="n">
        <v>-4.58</v>
      </c>
    </row>
    <row r="3095">
      <c r="A3095" t="n">
        <v>71978</v>
      </c>
      <c r="B3095" t="n">
        <v>115</v>
      </c>
      <c r="C3095" t="inlineStr">
        <is>
          <t>Love - Shibari - Bradesco</t>
        </is>
      </c>
      <c r="D3095" t="n">
        <v>128</v>
      </c>
      <c r="E3095" t="inlineStr">
        <is>
          <t>Love Cabaret</t>
        </is>
      </c>
      <c r="F3095" s="27" t="n">
        <v>45726.5</v>
      </c>
      <c r="G3095" t="inlineStr">
        <is>
          <t>DEBITO</t>
        </is>
      </c>
      <c r="H3095" t="inlineStr">
        <is>
          <t>PAGTO ELETRON  COBRANCA 7539</t>
        </is>
      </c>
      <c r="I3095" t="n">
        <v>-299.99</v>
      </c>
    </row>
    <row r="3096">
      <c r="A3096" t="n">
        <v>71977</v>
      </c>
      <c r="B3096" t="n">
        <v>115</v>
      </c>
      <c r="C3096" t="inlineStr">
        <is>
          <t>Love - Shibari - Bradesco</t>
        </is>
      </c>
      <c r="D3096" t="n">
        <v>128</v>
      </c>
      <c r="E3096" t="inlineStr">
        <is>
          <t>Love Cabaret</t>
        </is>
      </c>
      <c r="F3096" s="27" t="n">
        <v>45726.5</v>
      </c>
      <c r="G3096" t="inlineStr">
        <is>
          <t>DEBITO</t>
        </is>
      </c>
      <c r="H3096" t="inlineStr">
        <is>
          <t>PAGTO ELETRON  COBRANCA 299411</t>
        </is>
      </c>
      <c r="I3096" t="n">
        <v>-96.16</v>
      </c>
    </row>
    <row r="3097">
      <c r="A3097" t="n">
        <v>71975</v>
      </c>
      <c r="B3097" t="n">
        <v>115</v>
      </c>
      <c r="C3097" t="inlineStr">
        <is>
          <t>Love - Shibari - Bradesco</t>
        </is>
      </c>
      <c r="D3097" t="n">
        <v>128</v>
      </c>
      <c r="E3097" t="inlineStr">
        <is>
          <t>Love Cabaret</t>
        </is>
      </c>
      <c r="F3097" s="27" t="n">
        <v>45726.5</v>
      </c>
      <c r="G3097" t="inlineStr">
        <is>
          <t>DEBITO</t>
        </is>
      </c>
      <c r="H3097" t="inlineStr">
        <is>
          <t>PAGTO ELETRON  COBRANCA 10351</t>
        </is>
      </c>
      <c r="I3097" t="n">
        <v>-148.63</v>
      </c>
    </row>
    <row r="3098">
      <c r="A3098" t="n">
        <v>69259</v>
      </c>
      <c r="B3098" t="n">
        <v>115</v>
      </c>
      <c r="C3098" t="inlineStr">
        <is>
          <t>Love - Shibari - Bradesco</t>
        </is>
      </c>
      <c r="D3098" t="n">
        <v>128</v>
      </c>
      <c r="E3098" t="inlineStr">
        <is>
          <t>Love Cabaret</t>
        </is>
      </c>
      <c r="F3098" s="27" t="n">
        <v>45723.5</v>
      </c>
      <c r="G3098" t="inlineStr">
        <is>
          <t>DEBITO</t>
        </is>
      </c>
      <c r="H3098" t="inlineStr">
        <is>
          <t>TARIFA BANCARIA TRANSF PGTO PIX</t>
        </is>
      </c>
      <c r="I3098" t="n">
        <v>-5.95</v>
      </c>
    </row>
    <row r="3099">
      <c r="A3099" t="n">
        <v>69258</v>
      </c>
      <c r="B3099" t="n">
        <v>115</v>
      </c>
      <c r="C3099" t="inlineStr">
        <is>
          <t>Love - Shibari - Bradesco</t>
        </is>
      </c>
      <c r="D3099" t="n">
        <v>128</v>
      </c>
      <c r="E3099" t="inlineStr">
        <is>
          <t>Love Cabaret</t>
        </is>
      </c>
      <c r="F3099" s="27" t="n">
        <v>45723.5</v>
      </c>
      <c r="G3099" t="inlineStr">
        <is>
          <t>CREDITO</t>
        </is>
      </c>
      <c r="H3099" t="inlineStr">
        <is>
          <t>TED-TRANSF ELET DISPON REMET.DIVERTI TICKETS COME</t>
        </is>
      </c>
      <c r="I3099" t="n">
        <v>2514</v>
      </c>
    </row>
    <row r="3100">
      <c r="A3100" t="n">
        <v>69257</v>
      </c>
      <c r="B3100" t="n">
        <v>115</v>
      </c>
      <c r="C3100" t="inlineStr">
        <is>
          <t>Love - Shibari - Bradesco</t>
        </is>
      </c>
      <c r="D3100" t="n">
        <v>128</v>
      </c>
      <c r="E3100" t="inlineStr">
        <is>
          <t>Love Cabaret</t>
        </is>
      </c>
      <c r="F3100" s="27" t="n">
        <v>45723.5</v>
      </c>
      <c r="G3100" t="inlineStr">
        <is>
          <t>CREDITO</t>
        </is>
      </c>
      <c r="H3100" t="inlineStr">
        <is>
          <t>TED-TRANSF ELET DISPON REMET.DIVERTI TICKETS COME</t>
        </is>
      </c>
      <c r="I3100" t="n">
        <v>7541.99</v>
      </c>
    </row>
    <row r="3101">
      <c r="A3101" t="n">
        <v>69255</v>
      </c>
      <c r="B3101" t="n">
        <v>115</v>
      </c>
      <c r="C3101" t="inlineStr">
        <is>
          <t>Love - Shibari - Bradesco</t>
        </is>
      </c>
      <c r="D3101" t="n">
        <v>128</v>
      </c>
      <c r="E3101" t="inlineStr">
        <is>
          <t>Love Cabaret</t>
        </is>
      </c>
      <c r="F3101" s="27" t="n">
        <v>45722.5</v>
      </c>
      <c r="G3101" t="inlineStr">
        <is>
          <t>DEBITO</t>
        </is>
      </c>
      <c r="H3101" t="inlineStr">
        <is>
          <t>PAGTO ELETRONICO TRIBUTO INTERNET --RECEITA FEDERAL/SP</t>
        </is>
      </c>
      <c r="I3101" t="n">
        <v>-19916.6</v>
      </c>
    </row>
    <row r="3102">
      <c r="A3102" t="n">
        <v>69256</v>
      </c>
      <c r="B3102" t="n">
        <v>115</v>
      </c>
      <c r="C3102" t="inlineStr">
        <is>
          <t>Love - Shibari - Bradesco</t>
        </is>
      </c>
      <c r="D3102" t="n">
        <v>128</v>
      </c>
      <c r="E3102" t="inlineStr">
        <is>
          <t>Love Cabaret</t>
        </is>
      </c>
      <c r="F3102" s="27" t="n">
        <v>45722.5</v>
      </c>
      <c r="G3102" t="inlineStr">
        <is>
          <t>DEBITO</t>
        </is>
      </c>
      <c r="H3102" t="inlineStr">
        <is>
          <t>PGTO SALARIO VIA NET EMP</t>
        </is>
      </c>
      <c r="I3102" t="n">
        <v>-4465.63</v>
      </c>
    </row>
    <row r="3103">
      <c r="A3103" t="n">
        <v>69254</v>
      </c>
      <c r="B3103" t="n">
        <v>115</v>
      </c>
      <c r="C3103" t="inlineStr">
        <is>
          <t>Love - Shibari - Bradesco</t>
        </is>
      </c>
      <c r="D3103" t="n">
        <v>128</v>
      </c>
      <c r="E3103" t="inlineStr">
        <is>
          <t>Love Cabaret</t>
        </is>
      </c>
      <c r="F3103" s="27" t="n">
        <v>45722.5</v>
      </c>
      <c r="G3103" t="inlineStr">
        <is>
          <t>DEBITO</t>
        </is>
      </c>
      <c r="H3103" t="inlineStr">
        <is>
          <t>TARIFA BANCARIA TRANSF PGTO PIX</t>
        </is>
      </c>
      <c r="I3103" t="n">
        <v>-9</v>
      </c>
    </row>
    <row r="3104">
      <c r="A3104" t="n">
        <v>69253</v>
      </c>
      <c r="B3104" t="n">
        <v>115</v>
      </c>
      <c r="C3104" t="inlineStr">
        <is>
          <t>Love - Shibari - Bradesco</t>
        </is>
      </c>
      <c r="D3104" t="n">
        <v>128</v>
      </c>
      <c r="E3104" t="inlineStr">
        <is>
          <t>Love Cabaret</t>
        </is>
      </c>
      <c r="F3104" s="27" t="n">
        <v>45722.5</v>
      </c>
      <c r="G3104" t="inlineStr">
        <is>
          <t>DEBITO</t>
        </is>
      </c>
      <c r="H3104" t="inlineStr">
        <is>
          <t>TARIFA BANCARIA TRANSF PGTO PIX</t>
        </is>
      </c>
      <c r="I3104" t="n">
        <v>-9</v>
      </c>
    </row>
    <row r="3105">
      <c r="A3105" t="n">
        <v>69252</v>
      </c>
      <c r="B3105" t="n">
        <v>115</v>
      </c>
      <c r="C3105" t="inlineStr">
        <is>
          <t>Love - Shibari - Bradesco</t>
        </is>
      </c>
      <c r="D3105" t="n">
        <v>128</v>
      </c>
      <c r="E3105" t="inlineStr">
        <is>
          <t>Love Cabaret</t>
        </is>
      </c>
      <c r="F3105" s="27" t="n">
        <v>45722.5</v>
      </c>
      <c r="G3105" t="inlineStr">
        <is>
          <t>DEBITO</t>
        </is>
      </c>
      <c r="H3105" t="inlineStr">
        <is>
          <t>TARIFA BANCARIA TRANSF PGTO PIX</t>
        </is>
      </c>
      <c r="I3105" t="n">
        <v>-9</v>
      </c>
    </row>
    <row r="3106">
      <c r="A3106" t="n">
        <v>69251</v>
      </c>
      <c r="B3106" t="n">
        <v>115</v>
      </c>
      <c r="C3106" t="inlineStr">
        <is>
          <t>Love - Shibari - Bradesco</t>
        </is>
      </c>
      <c r="D3106" t="n">
        <v>128</v>
      </c>
      <c r="E3106" t="inlineStr">
        <is>
          <t>Love Cabaret</t>
        </is>
      </c>
      <c r="F3106" s="27" t="n">
        <v>45722.5</v>
      </c>
      <c r="G3106" t="inlineStr">
        <is>
          <t>DEBITO</t>
        </is>
      </c>
      <c r="H3106" t="inlineStr">
        <is>
          <t>TARIFA BANCARIA TRANSF PGTO PIX</t>
        </is>
      </c>
      <c r="I3106" t="n">
        <v>-9</v>
      </c>
    </row>
    <row r="3107">
      <c r="A3107" t="n">
        <v>69250</v>
      </c>
      <c r="B3107" t="n">
        <v>115</v>
      </c>
      <c r="C3107" t="inlineStr">
        <is>
          <t>Love - Shibari - Bradesco</t>
        </is>
      </c>
      <c r="D3107" t="n">
        <v>128</v>
      </c>
      <c r="E3107" t="inlineStr">
        <is>
          <t>Love Cabaret</t>
        </is>
      </c>
      <c r="F3107" s="27" t="n">
        <v>45722.5</v>
      </c>
      <c r="G3107" t="inlineStr">
        <is>
          <t>DEBITO</t>
        </is>
      </c>
      <c r="H3107" t="inlineStr">
        <is>
          <t>TARIFA BANCARIA TRANSF PGTO PIX</t>
        </is>
      </c>
      <c r="I3107" t="n">
        <v>-6.23</v>
      </c>
    </row>
    <row r="3108">
      <c r="A3108" t="n">
        <v>69249</v>
      </c>
      <c r="B3108" t="n">
        <v>115</v>
      </c>
      <c r="C3108" t="inlineStr">
        <is>
          <t>Love - Shibari - Bradesco</t>
        </is>
      </c>
      <c r="D3108" t="n">
        <v>128</v>
      </c>
      <c r="E3108" t="inlineStr">
        <is>
          <t>Love Cabaret</t>
        </is>
      </c>
      <c r="F3108" s="27" t="n">
        <v>45722.5</v>
      </c>
      <c r="G3108" t="inlineStr">
        <is>
          <t>DEBITO</t>
        </is>
      </c>
      <c r="H3108" t="inlineStr">
        <is>
          <t>TARIFA BANCARIA TRANSF PGTO PIX</t>
        </is>
      </c>
      <c r="I3108" t="n">
        <v>-5.95</v>
      </c>
    </row>
    <row r="3109">
      <c r="A3109" t="n">
        <v>69248</v>
      </c>
      <c r="B3109" t="n">
        <v>115</v>
      </c>
      <c r="C3109" t="inlineStr">
        <is>
          <t>Love - Shibari - Bradesco</t>
        </is>
      </c>
      <c r="D3109" t="n">
        <v>128</v>
      </c>
      <c r="E3109" t="inlineStr">
        <is>
          <t>Love Cabaret</t>
        </is>
      </c>
      <c r="F3109" s="27" t="n">
        <v>45722.5</v>
      </c>
      <c r="G3109" t="inlineStr">
        <is>
          <t>CREDITO</t>
        </is>
      </c>
      <c r="H3109" t="inlineStr">
        <is>
          <t>TRANSFERENCIA PIX REM: SHIBARI ART E DIVERSA 06/03</t>
        </is>
      </c>
      <c r="I3109" t="n">
        <v>45971.42</v>
      </c>
    </row>
    <row r="3110">
      <c r="A3110" t="n">
        <v>69247</v>
      </c>
      <c r="B3110" t="n">
        <v>115</v>
      </c>
      <c r="C3110" t="inlineStr">
        <is>
          <t>Love - Shibari - Bradesco</t>
        </is>
      </c>
      <c r="D3110" t="n">
        <v>128</v>
      </c>
      <c r="E3110" t="inlineStr">
        <is>
          <t>Love Cabaret</t>
        </is>
      </c>
      <c r="F3110" s="27" t="n">
        <v>45721.5</v>
      </c>
      <c r="G3110" t="inlineStr">
        <is>
          <t>DEBITO</t>
        </is>
      </c>
      <c r="H3110" t="inlineStr">
        <is>
          <t>TRANSFERENCIA PIX DES: Raiane Natalia de Sou 05/03</t>
        </is>
      </c>
      <c r="I3110" t="n">
        <v>-425</v>
      </c>
    </row>
    <row r="3111">
      <c r="A3111" t="n">
        <v>69246</v>
      </c>
      <c r="B3111" t="n">
        <v>115</v>
      </c>
      <c r="C3111" t="inlineStr">
        <is>
          <t>Love - Shibari - Bradesco</t>
        </is>
      </c>
      <c r="D3111" t="n">
        <v>128</v>
      </c>
      <c r="E3111" t="inlineStr">
        <is>
          <t>Love Cabaret</t>
        </is>
      </c>
      <c r="F3111" s="27" t="n">
        <v>45721.5</v>
      </c>
      <c r="G3111" t="inlineStr">
        <is>
          <t>DEBITO</t>
        </is>
      </c>
      <c r="H3111" t="inlineStr">
        <is>
          <t>PAGTO ELETRON  COBRANCA 528427437</t>
        </is>
      </c>
      <c r="I3111" t="n">
        <v>-6754</v>
      </c>
    </row>
    <row r="3112">
      <c r="A3112" t="n">
        <v>69245</v>
      </c>
      <c r="B3112" t="n">
        <v>115</v>
      </c>
      <c r="C3112" t="inlineStr">
        <is>
          <t>Love - Shibari - Bradesco</t>
        </is>
      </c>
      <c r="D3112" t="n">
        <v>128</v>
      </c>
      <c r="E3112" t="inlineStr">
        <is>
          <t>Love Cabaret</t>
        </is>
      </c>
      <c r="F3112" s="27" t="n">
        <v>45721.5</v>
      </c>
      <c r="G3112" t="inlineStr">
        <is>
          <t>DEBITO</t>
        </is>
      </c>
      <c r="H3112" t="inlineStr">
        <is>
          <t>PAGTO ELETRON  COBRANCA VERISURE BRASIL MONITORAMENTO DE</t>
        </is>
      </c>
      <c r="I3112" t="n">
        <v>-263.78</v>
      </c>
    </row>
    <row r="3113">
      <c r="A3113" t="n">
        <v>68163</v>
      </c>
      <c r="B3113" t="n">
        <v>115</v>
      </c>
      <c r="C3113" t="inlineStr">
        <is>
          <t>Love - Shibari - Bradesco</t>
        </is>
      </c>
      <c r="D3113" t="n">
        <v>128</v>
      </c>
      <c r="E3113" t="inlineStr">
        <is>
          <t>Love Cabaret</t>
        </is>
      </c>
      <c r="F3113" s="27" t="n">
        <v>45716.5</v>
      </c>
      <c r="G3113" t="inlineStr">
        <is>
          <t>DEBITO</t>
        </is>
      </c>
      <c r="H3113" t="inlineStr">
        <is>
          <t>PAGTO ELETRON  COBRANCA 3250226</t>
        </is>
      </c>
      <c r="I3113" t="n">
        <v>-2117.46</v>
      </c>
    </row>
    <row r="3114">
      <c r="A3114" t="n">
        <v>68137</v>
      </c>
      <c r="B3114" t="n">
        <v>115</v>
      </c>
      <c r="C3114" t="inlineStr">
        <is>
          <t>Love - Shibari - Bradesco</t>
        </is>
      </c>
      <c r="D3114" t="n">
        <v>128</v>
      </c>
      <c r="E3114" t="inlineStr">
        <is>
          <t>Love Cabaret</t>
        </is>
      </c>
      <c r="F3114" s="27" t="n">
        <v>45716.5</v>
      </c>
      <c r="G3114" t="inlineStr">
        <is>
          <t>CREDITO</t>
        </is>
      </c>
      <c r="H3114" t="inlineStr">
        <is>
          <t>TED-TRANSF ELET DISPON REMET.DIVERTI TICKETS COME</t>
        </is>
      </c>
      <c r="I3114" t="n">
        <v>3040.18</v>
      </c>
    </row>
    <row r="3115">
      <c r="A3115" t="n">
        <v>68162</v>
      </c>
      <c r="B3115" t="n">
        <v>115</v>
      </c>
      <c r="C3115" t="inlineStr">
        <is>
          <t>Love - Shibari - Bradesco</t>
        </is>
      </c>
      <c r="D3115" t="n">
        <v>128</v>
      </c>
      <c r="E3115" t="inlineStr">
        <is>
          <t>Love Cabaret</t>
        </is>
      </c>
      <c r="F3115" s="27" t="n">
        <v>45716.5</v>
      </c>
      <c r="G3115" t="inlineStr">
        <is>
          <t>DEBITO</t>
        </is>
      </c>
      <c r="H3115" t="inlineStr">
        <is>
          <t>PAGTO ELETRON  COBRANCA 438715</t>
        </is>
      </c>
      <c r="I3115" t="n">
        <v>-1033.89</v>
      </c>
    </row>
    <row r="3116">
      <c r="A3116" t="n">
        <v>68161</v>
      </c>
      <c r="B3116" t="n">
        <v>115</v>
      </c>
      <c r="C3116" t="inlineStr">
        <is>
          <t>Love - Shibari - Bradesco</t>
        </is>
      </c>
      <c r="D3116" t="n">
        <v>128</v>
      </c>
      <c r="E3116" t="inlineStr">
        <is>
          <t>Love Cabaret</t>
        </is>
      </c>
      <c r="F3116" s="27" t="n">
        <v>45716.5</v>
      </c>
      <c r="G3116" t="inlineStr">
        <is>
          <t>DEBITO</t>
        </is>
      </c>
      <c r="H3116" t="inlineStr">
        <is>
          <t>PAGTO ELETRON  COBRANCA 438657</t>
        </is>
      </c>
      <c r="I3116" t="n">
        <v>-998.6</v>
      </c>
    </row>
    <row r="3117">
      <c r="A3117" t="n">
        <v>68160</v>
      </c>
      <c r="B3117" t="n">
        <v>115</v>
      </c>
      <c r="C3117" t="inlineStr">
        <is>
          <t>Love - Shibari - Bradesco</t>
        </is>
      </c>
      <c r="D3117" t="n">
        <v>128</v>
      </c>
      <c r="E3117" t="inlineStr">
        <is>
          <t>Love Cabaret</t>
        </is>
      </c>
      <c r="F3117" s="27" t="n">
        <v>45716.5</v>
      </c>
      <c r="G3117" t="inlineStr">
        <is>
          <t>DEBITO</t>
        </is>
      </c>
      <c r="H3117" t="inlineStr">
        <is>
          <t>PAGTO ELETRON  COBRANCA 23106</t>
        </is>
      </c>
      <c r="I3117" t="n">
        <v>-889.9400000000001</v>
      </c>
    </row>
    <row r="3118">
      <c r="A3118" t="n">
        <v>68159</v>
      </c>
      <c r="B3118" t="n">
        <v>115</v>
      </c>
      <c r="C3118" t="inlineStr">
        <is>
          <t>Love - Shibari - Bradesco</t>
        </is>
      </c>
      <c r="D3118" t="n">
        <v>128</v>
      </c>
      <c r="E3118" t="inlineStr">
        <is>
          <t>Love Cabaret</t>
        </is>
      </c>
      <c r="F3118" s="27" t="n">
        <v>45716.5</v>
      </c>
      <c r="G3118" t="inlineStr">
        <is>
          <t>DEBITO</t>
        </is>
      </c>
      <c r="H3118" t="inlineStr">
        <is>
          <t>PAGTO ELETRON  COBRANCA 9021840704</t>
        </is>
      </c>
      <c r="I3118" t="n">
        <v>-802.5</v>
      </c>
    </row>
    <row r="3119">
      <c r="A3119" t="n">
        <v>68158</v>
      </c>
      <c r="B3119" t="n">
        <v>115</v>
      </c>
      <c r="C3119" t="inlineStr">
        <is>
          <t>Love - Shibari - Bradesco</t>
        </is>
      </c>
      <c r="D3119" t="n">
        <v>128</v>
      </c>
      <c r="E3119" t="inlineStr">
        <is>
          <t>Love Cabaret</t>
        </is>
      </c>
      <c r="F3119" s="27" t="n">
        <v>45716.5</v>
      </c>
      <c r="G3119" t="inlineStr">
        <is>
          <t>DEBITO</t>
        </is>
      </c>
      <c r="H3119" t="inlineStr">
        <is>
          <t>PAGTO ELETRON  COBRANCA 118206</t>
        </is>
      </c>
      <c r="I3119" t="n">
        <v>-680</v>
      </c>
    </row>
    <row r="3120">
      <c r="A3120" t="n">
        <v>68157</v>
      </c>
      <c r="B3120" t="n">
        <v>115</v>
      </c>
      <c r="C3120" t="inlineStr">
        <is>
          <t>Love - Shibari - Bradesco</t>
        </is>
      </c>
      <c r="D3120" t="n">
        <v>128</v>
      </c>
      <c r="E3120" t="inlineStr">
        <is>
          <t>Love Cabaret</t>
        </is>
      </c>
      <c r="F3120" s="27" t="n">
        <v>45716.5</v>
      </c>
      <c r="G3120" t="inlineStr">
        <is>
          <t>DEBITO</t>
        </is>
      </c>
      <c r="H3120" t="inlineStr">
        <is>
          <t>PAGTO ELETRON  COBRANCA 12797</t>
        </is>
      </c>
      <c r="I3120" t="n">
        <v>-623.72</v>
      </c>
    </row>
    <row r="3121">
      <c r="A3121" t="n">
        <v>68156</v>
      </c>
      <c r="B3121" t="n">
        <v>115</v>
      </c>
      <c r="C3121" t="inlineStr">
        <is>
          <t>Love - Shibari - Bradesco</t>
        </is>
      </c>
      <c r="D3121" t="n">
        <v>128</v>
      </c>
      <c r="E3121" t="inlineStr">
        <is>
          <t>Love Cabaret</t>
        </is>
      </c>
      <c r="F3121" s="27" t="n">
        <v>45716.5</v>
      </c>
      <c r="G3121" t="inlineStr">
        <is>
          <t>DEBITO</t>
        </is>
      </c>
      <c r="H3121" t="inlineStr">
        <is>
          <t>PAGTO ELETRON  COBRANCA 133504</t>
        </is>
      </c>
      <c r="I3121" t="n">
        <v>-545.21</v>
      </c>
    </row>
    <row r="3122">
      <c r="A3122" t="n">
        <v>68155</v>
      </c>
      <c r="B3122" t="n">
        <v>115</v>
      </c>
      <c r="C3122" t="inlineStr">
        <is>
          <t>Love - Shibari - Bradesco</t>
        </is>
      </c>
      <c r="D3122" t="n">
        <v>128</v>
      </c>
      <c r="E3122" t="inlineStr">
        <is>
          <t>Love Cabaret</t>
        </is>
      </c>
      <c r="F3122" s="27" t="n">
        <v>45716.5</v>
      </c>
      <c r="G3122" t="inlineStr">
        <is>
          <t>DEBITO</t>
        </is>
      </c>
      <c r="H3122" t="inlineStr">
        <is>
          <t>PAGTO ELETRON  COBRANCA 298316</t>
        </is>
      </c>
      <c r="I3122" t="n">
        <v>-510.96</v>
      </c>
    </row>
    <row r="3123">
      <c r="A3123" t="n">
        <v>68154</v>
      </c>
      <c r="B3123" t="n">
        <v>115</v>
      </c>
      <c r="C3123" t="inlineStr">
        <is>
          <t>Love - Shibari - Bradesco</t>
        </is>
      </c>
      <c r="D3123" t="n">
        <v>128</v>
      </c>
      <c r="E3123" t="inlineStr">
        <is>
          <t>Love Cabaret</t>
        </is>
      </c>
      <c r="F3123" s="27" t="n">
        <v>45716.5</v>
      </c>
      <c r="G3123" t="inlineStr">
        <is>
          <t>DEBITO</t>
        </is>
      </c>
      <c r="H3123" t="inlineStr">
        <is>
          <t>PAGTO ELETRON  COBRANCA NF 298346</t>
        </is>
      </c>
      <c r="I3123" t="n">
        <v>-460.31</v>
      </c>
    </row>
    <row r="3124">
      <c r="A3124" t="n">
        <v>68153</v>
      </c>
      <c r="B3124" t="n">
        <v>115</v>
      </c>
      <c r="C3124" t="inlineStr">
        <is>
          <t>Love - Shibari - Bradesco</t>
        </is>
      </c>
      <c r="D3124" t="n">
        <v>128</v>
      </c>
      <c r="E3124" t="inlineStr">
        <is>
          <t>Love Cabaret</t>
        </is>
      </c>
      <c r="F3124" s="27" t="n">
        <v>45716.5</v>
      </c>
      <c r="G3124" t="inlineStr">
        <is>
          <t>DEBITO</t>
        </is>
      </c>
      <c r="H3124" t="inlineStr">
        <is>
          <t>PAGTO ELETRON  COBRANCA 19428</t>
        </is>
      </c>
      <c r="I3124" t="n">
        <v>-400.91</v>
      </c>
    </row>
    <row r="3125">
      <c r="A3125" t="n">
        <v>68152</v>
      </c>
      <c r="B3125" t="n">
        <v>115</v>
      </c>
      <c r="C3125" t="inlineStr">
        <is>
          <t>Love - Shibari - Bradesco</t>
        </is>
      </c>
      <c r="D3125" t="n">
        <v>128</v>
      </c>
      <c r="E3125" t="inlineStr">
        <is>
          <t>Love Cabaret</t>
        </is>
      </c>
      <c r="F3125" s="27" t="n">
        <v>45716.5</v>
      </c>
      <c r="G3125" t="inlineStr">
        <is>
          <t>DEBITO</t>
        </is>
      </c>
      <c r="H3125" t="inlineStr">
        <is>
          <t>PAGTO ELETRON  COBRANCA NF 30</t>
        </is>
      </c>
      <c r="I3125" t="n">
        <v>-387</v>
      </c>
    </row>
    <row r="3126">
      <c r="A3126" t="n">
        <v>68151</v>
      </c>
      <c r="B3126" t="n">
        <v>115</v>
      </c>
      <c r="C3126" t="inlineStr">
        <is>
          <t>Love - Shibari - Bradesco</t>
        </is>
      </c>
      <c r="D3126" t="n">
        <v>128</v>
      </c>
      <c r="E3126" t="inlineStr">
        <is>
          <t>Love Cabaret</t>
        </is>
      </c>
      <c r="F3126" s="27" t="n">
        <v>45716.5</v>
      </c>
      <c r="G3126" t="inlineStr">
        <is>
          <t>DEBITO</t>
        </is>
      </c>
      <c r="H3126" t="inlineStr">
        <is>
          <t>PAGTO ELETRON  COBRANCA 34388</t>
        </is>
      </c>
      <c r="I3126" t="n">
        <v>-326.75</v>
      </c>
    </row>
    <row r="3127">
      <c r="A3127" t="n">
        <v>68150</v>
      </c>
      <c r="B3127" t="n">
        <v>115</v>
      </c>
      <c r="C3127" t="inlineStr">
        <is>
          <t>Love - Shibari - Bradesco</t>
        </is>
      </c>
      <c r="D3127" t="n">
        <v>128</v>
      </c>
      <c r="E3127" t="inlineStr">
        <is>
          <t>Love Cabaret</t>
        </is>
      </c>
      <c r="F3127" s="27" t="n">
        <v>45716.5</v>
      </c>
      <c r="G3127" t="inlineStr">
        <is>
          <t>DEBITO</t>
        </is>
      </c>
      <c r="H3127" t="inlineStr">
        <is>
          <t>PAGTO ELETRON  COBRANCA NF 395458</t>
        </is>
      </c>
      <c r="I3127" t="n">
        <v>-313.94</v>
      </c>
    </row>
    <row r="3128">
      <c r="A3128" t="n">
        <v>68149</v>
      </c>
      <c r="B3128" t="n">
        <v>115</v>
      </c>
      <c r="C3128" t="inlineStr">
        <is>
          <t>Love - Shibari - Bradesco</t>
        </is>
      </c>
      <c r="D3128" t="n">
        <v>128</v>
      </c>
      <c r="E3128" t="inlineStr">
        <is>
          <t>Love Cabaret</t>
        </is>
      </c>
      <c r="F3128" s="27" t="n">
        <v>45716.5</v>
      </c>
      <c r="G3128" t="inlineStr">
        <is>
          <t>DEBITO</t>
        </is>
      </c>
      <c r="H3128" t="inlineStr">
        <is>
          <t>PAGTO ELETRON  COBRANCA NF 198382</t>
        </is>
      </c>
      <c r="I3128" t="n">
        <v>-289.76</v>
      </c>
    </row>
    <row r="3129">
      <c r="A3129" t="n">
        <v>68148</v>
      </c>
      <c r="B3129" t="n">
        <v>115</v>
      </c>
      <c r="C3129" t="inlineStr">
        <is>
          <t>Love - Shibari - Bradesco</t>
        </is>
      </c>
      <c r="D3129" t="n">
        <v>128</v>
      </c>
      <c r="E3129" t="inlineStr">
        <is>
          <t>Love Cabaret</t>
        </is>
      </c>
      <c r="F3129" s="27" t="n">
        <v>45716.5</v>
      </c>
      <c r="G3129" t="inlineStr">
        <is>
          <t>DEBITO</t>
        </is>
      </c>
      <c r="H3129" t="inlineStr">
        <is>
          <t>PAGTO ELETRON  COBRANCA 1804</t>
        </is>
      </c>
      <c r="I3129" t="n">
        <v>-232.2</v>
      </c>
    </row>
    <row r="3130">
      <c r="A3130" t="n">
        <v>68147</v>
      </c>
      <c r="B3130" t="n">
        <v>115</v>
      </c>
      <c r="C3130" t="inlineStr">
        <is>
          <t>Love - Shibari - Bradesco</t>
        </is>
      </c>
      <c r="D3130" t="n">
        <v>128</v>
      </c>
      <c r="E3130" t="inlineStr">
        <is>
          <t>Love Cabaret</t>
        </is>
      </c>
      <c r="F3130" s="27" t="n">
        <v>45716.5</v>
      </c>
      <c r="G3130" t="inlineStr">
        <is>
          <t>DEBITO</t>
        </is>
      </c>
      <c r="H3130" t="inlineStr">
        <is>
          <t>PAGTO ELETRON  COBRANCA 23931</t>
        </is>
      </c>
      <c r="I3130" t="n">
        <v>-210.82</v>
      </c>
    </row>
    <row r="3131">
      <c r="A3131" t="n">
        <v>68146</v>
      </c>
      <c r="B3131" t="n">
        <v>115</v>
      </c>
      <c r="C3131" t="inlineStr">
        <is>
          <t>Love - Shibari - Bradesco</t>
        </is>
      </c>
      <c r="D3131" t="n">
        <v>128</v>
      </c>
      <c r="E3131" t="inlineStr">
        <is>
          <t>Love Cabaret</t>
        </is>
      </c>
      <c r="F3131" s="27" t="n">
        <v>45716.5</v>
      </c>
      <c r="G3131" t="inlineStr">
        <is>
          <t>DEBITO</t>
        </is>
      </c>
      <c r="H3131" t="inlineStr">
        <is>
          <t>PAGTO ELETRON  COBRANCA 10318</t>
        </is>
      </c>
      <c r="I3131" t="n">
        <v>-209.91</v>
      </c>
    </row>
    <row r="3132">
      <c r="A3132" t="n">
        <v>68145</v>
      </c>
      <c r="B3132" t="n">
        <v>115</v>
      </c>
      <c r="C3132" t="inlineStr">
        <is>
          <t>Love - Shibari - Bradesco</t>
        </is>
      </c>
      <c r="D3132" t="n">
        <v>128</v>
      </c>
      <c r="E3132" t="inlineStr">
        <is>
          <t>Love Cabaret</t>
        </is>
      </c>
      <c r="F3132" s="27" t="n">
        <v>45716.5</v>
      </c>
      <c r="G3132" t="inlineStr">
        <is>
          <t>DEBITO</t>
        </is>
      </c>
      <c r="H3132" t="inlineStr">
        <is>
          <t>PAGTO ELETRON  COBRANCA DOC 25767</t>
        </is>
      </c>
      <c r="I3132" t="n">
        <v>-140.99</v>
      </c>
    </row>
    <row r="3133">
      <c r="A3133" t="n">
        <v>68144</v>
      </c>
      <c r="B3133" t="n">
        <v>115</v>
      </c>
      <c r="C3133" t="inlineStr">
        <is>
          <t>Love - Shibari - Bradesco</t>
        </is>
      </c>
      <c r="D3133" t="n">
        <v>128</v>
      </c>
      <c r="E3133" t="inlineStr">
        <is>
          <t>Love Cabaret</t>
        </is>
      </c>
      <c r="F3133" s="27" t="n">
        <v>45716.5</v>
      </c>
      <c r="G3133" t="inlineStr">
        <is>
          <t>DEBITO</t>
        </is>
      </c>
      <c r="H3133" t="inlineStr">
        <is>
          <t>PAGTO ELETRON  COBRANCA DOC 686961133</t>
        </is>
      </c>
      <c r="I3133" t="n">
        <v>-87.13</v>
      </c>
    </row>
    <row r="3134">
      <c r="A3134" t="n">
        <v>68143</v>
      </c>
      <c r="B3134" t="n">
        <v>115</v>
      </c>
      <c r="C3134" t="inlineStr">
        <is>
          <t>Love - Shibari - Bradesco</t>
        </is>
      </c>
      <c r="D3134" t="n">
        <v>128</v>
      </c>
      <c r="E3134" t="inlineStr">
        <is>
          <t>Love Cabaret</t>
        </is>
      </c>
      <c r="F3134" s="27" t="n">
        <v>45716.5</v>
      </c>
      <c r="G3134" t="inlineStr">
        <is>
          <t>DEBITO</t>
        </is>
      </c>
      <c r="H3134" t="inlineStr">
        <is>
          <t>PAGTO ELETRON  COBRANCA 18620</t>
        </is>
      </c>
      <c r="I3134" t="n">
        <v>-73.5</v>
      </c>
    </row>
    <row r="3135">
      <c r="A3135" t="n">
        <v>68139</v>
      </c>
      <c r="B3135" t="n">
        <v>115</v>
      </c>
      <c r="C3135" t="inlineStr">
        <is>
          <t>Love - Shibari - Bradesco</t>
        </is>
      </c>
      <c r="D3135" t="n">
        <v>128</v>
      </c>
      <c r="E3135" t="inlineStr">
        <is>
          <t>Love Cabaret</t>
        </is>
      </c>
      <c r="F3135" s="27" t="n">
        <v>45716.5</v>
      </c>
      <c r="G3135" t="inlineStr">
        <is>
          <t>CREDITO</t>
        </is>
      </c>
      <c r="H3135" t="inlineStr">
        <is>
          <t>TED-TRANSF ELET DISPON REMET.DIVERTI TICKETS COME</t>
        </is>
      </c>
      <c r="I3135" t="n">
        <v>20604</v>
      </c>
    </row>
    <row r="3136">
      <c r="A3136" t="n">
        <v>68138</v>
      </c>
      <c r="B3136" t="n">
        <v>115</v>
      </c>
      <c r="C3136" t="inlineStr">
        <is>
          <t>Love - Shibari - Bradesco</t>
        </is>
      </c>
      <c r="D3136" t="n">
        <v>128</v>
      </c>
      <c r="E3136" t="inlineStr">
        <is>
          <t>Love Cabaret</t>
        </is>
      </c>
      <c r="F3136" s="27" t="n">
        <v>45716.5</v>
      </c>
      <c r="G3136" t="inlineStr">
        <is>
          <t>CREDITO</t>
        </is>
      </c>
      <c r="H3136" t="inlineStr">
        <is>
          <t>TED-TRANSF ELET DISPON REMET.DIVERTI TICKETS COME</t>
        </is>
      </c>
      <c r="I3136" t="n">
        <v>7180.57</v>
      </c>
    </row>
    <row r="3137">
      <c r="A3137" t="n">
        <v>68165</v>
      </c>
      <c r="B3137" t="n">
        <v>115</v>
      </c>
      <c r="C3137" t="inlineStr">
        <is>
          <t>Love - Shibari - Bradesco</t>
        </is>
      </c>
      <c r="D3137" t="n">
        <v>128</v>
      </c>
      <c r="E3137" t="inlineStr">
        <is>
          <t>Love Cabaret</t>
        </is>
      </c>
      <c r="F3137" s="27" t="n">
        <v>45716.5</v>
      </c>
      <c r="G3137" t="inlineStr">
        <is>
          <t>DEBITO</t>
        </is>
      </c>
      <c r="H3137" t="inlineStr">
        <is>
          <t>PAGTO ELETRON  COBRANCA 198380</t>
        </is>
      </c>
      <c r="I3137" t="n">
        <v>-3114.41</v>
      </c>
    </row>
    <row r="3138">
      <c r="A3138" t="n">
        <v>68179</v>
      </c>
      <c r="B3138" t="n">
        <v>115</v>
      </c>
      <c r="C3138" t="inlineStr">
        <is>
          <t>Love - Shibari - Bradesco</t>
        </is>
      </c>
      <c r="D3138" t="n">
        <v>128</v>
      </c>
      <c r="E3138" t="inlineStr">
        <is>
          <t>Love Cabaret</t>
        </is>
      </c>
      <c r="F3138" s="27" t="n">
        <v>45716.5</v>
      </c>
      <c r="G3138" t="inlineStr">
        <is>
          <t>DEBITO</t>
        </is>
      </c>
      <c r="H3138" t="inlineStr">
        <is>
          <t>PARCELAMENTO DE DARF PARCELAMENTO DE DARF-207024</t>
        </is>
      </c>
      <c r="I3138" t="n">
        <v>-19533.49</v>
      </c>
    </row>
    <row r="3139">
      <c r="A3139" t="n">
        <v>68178</v>
      </c>
      <c r="B3139" t="n">
        <v>115</v>
      </c>
      <c r="C3139" t="inlineStr">
        <is>
          <t>Love - Shibari - Bradesco</t>
        </is>
      </c>
      <c r="D3139" t="n">
        <v>128</v>
      </c>
      <c r="E3139" t="inlineStr">
        <is>
          <t>Love Cabaret</t>
        </is>
      </c>
      <c r="F3139" s="27" t="n">
        <v>45716.5</v>
      </c>
      <c r="G3139" t="inlineStr">
        <is>
          <t>DEBITO</t>
        </is>
      </c>
      <c r="H3139" t="inlineStr">
        <is>
          <t>TRANSFERENCIA PIX DES: TAKUAROBI             28/02</t>
        </is>
      </c>
      <c r="I3139" t="n">
        <v>-445</v>
      </c>
    </row>
    <row r="3140">
      <c r="A3140" t="n">
        <v>68177</v>
      </c>
      <c r="B3140" t="n">
        <v>115</v>
      </c>
      <c r="C3140" t="inlineStr">
        <is>
          <t>Love - Shibari - Bradesco</t>
        </is>
      </c>
      <c r="D3140" t="n">
        <v>128</v>
      </c>
      <c r="E3140" t="inlineStr">
        <is>
          <t>Love Cabaret</t>
        </is>
      </c>
      <c r="F3140" s="27" t="n">
        <v>45716.5</v>
      </c>
      <c r="G3140" t="inlineStr">
        <is>
          <t>DEBITO</t>
        </is>
      </c>
      <c r="H3140" t="inlineStr">
        <is>
          <t>TRANSFERENCIA PIX DES: FELIPE PAES SEABRA 84 28/02</t>
        </is>
      </c>
      <c r="I3140" t="n">
        <v>-800</v>
      </c>
    </row>
    <row r="3141">
      <c r="A3141" t="n">
        <v>68176</v>
      </c>
      <c r="B3141" t="n">
        <v>115</v>
      </c>
      <c r="C3141" t="inlineStr">
        <is>
          <t>Love - Shibari - Bradesco</t>
        </is>
      </c>
      <c r="D3141" t="n">
        <v>128</v>
      </c>
      <c r="E3141" t="inlineStr">
        <is>
          <t>Love Cabaret</t>
        </is>
      </c>
      <c r="F3141" s="27" t="n">
        <v>45716.5</v>
      </c>
      <c r="G3141" t="inlineStr">
        <is>
          <t>DEBITO</t>
        </is>
      </c>
      <c r="H3141" t="inlineStr">
        <is>
          <t>TRANSFERENCIA PIX DES: EDJANE DANTAS SANTOS  28/02</t>
        </is>
      </c>
      <c r="I3141" t="n">
        <v>-1200</v>
      </c>
    </row>
    <row r="3142">
      <c r="A3142" t="n">
        <v>68175</v>
      </c>
      <c r="B3142" t="n">
        <v>115</v>
      </c>
      <c r="C3142" t="inlineStr">
        <is>
          <t>Love - Shibari - Bradesco</t>
        </is>
      </c>
      <c r="D3142" t="n">
        <v>128</v>
      </c>
      <c r="E3142" t="inlineStr">
        <is>
          <t>Love Cabaret</t>
        </is>
      </c>
      <c r="F3142" s="27" t="n">
        <v>45716.5</v>
      </c>
      <c r="G3142" t="inlineStr">
        <is>
          <t>DEBITO</t>
        </is>
      </c>
      <c r="H3142" t="inlineStr">
        <is>
          <t>TRANSFERENCIA PIX DES: AGENCIA BIOMA PUBLICI 28/02</t>
        </is>
      </c>
      <c r="I3142" t="n">
        <v>-7000</v>
      </c>
    </row>
    <row r="3143">
      <c r="A3143" t="n">
        <v>68174</v>
      </c>
      <c r="B3143" t="n">
        <v>115</v>
      </c>
      <c r="C3143" t="inlineStr">
        <is>
          <t>Love - Shibari - Bradesco</t>
        </is>
      </c>
      <c r="D3143" t="n">
        <v>128</v>
      </c>
      <c r="E3143" t="inlineStr">
        <is>
          <t>Love Cabaret</t>
        </is>
      </c>
      <c r="F3143" s="27" t="n">
        <v>45716.5</v>
      </c>
      <c r="G3143" t="inlineStr">
        <is>
          <t>DEBITO</t>
        </is>
      </c>
      <c r="H3143" t="inlineStr">
        <is>
          <t>TRANSFERENCIA PIX DES: EDUARDO VASQUES SOCIE 28/02</t>
        </is>
      </c>
      <c r="I3143" t="n">
        <v>-1480</v>
      </c>
    </row>
    <row r="3144">
      <c r="A3144" t="n">
        <v>68173</v>
      </c>
      <c r="B3144" t="n">
        <v>115</v>
      </c>
      <c r="C3144" t="inlineStr">
        <is>
          <t>Love - Shibari - Bradesco</t>
        </is>
      </c>
      <c r="D3144" t="n">
        <v>128</v>
      </c>
      <c r="E3144" t="inlineStr">
        <is>
          <t>Love Cabaret</t>
        </is>
      </c>
      <c r="F3144" s="27" t="n">
        <v>45716.5</v>
      </c>
      <c r="G3144" t="inlineStr">
        <is>
          <t>DEBITO</t>
        </is>
      </c>
      <c r="H3144" t="inlineStr">
        <is>
          <t>TRANSFERENCIA PIX DES: IVI MARGARETE MESQUIT 28/02</t>
        </is>
      </c>
      <c r="I3144" t="n">
        <v>-425</v>
      </c>
    </row>
    <row r="3145">
      <c r="A3145" t="n">
        <v>68171</v>
      </c>
      <c r="B3145" t="n">
        <v>115</v>
      </c>
      <c r="C3145" t="inlineStr">
        <is>
          <t>Love - Shibari - Bradesco</t>
        </is>
      </c>
      <c r="D3145" t="n">
        <v>128</v>
      </c>
      <c r="E3145" t="inlineStr">
        <is>
          <t>Love Cabaret</t>
        </is>
      </c>
      <c r="F3145" s="27" t="n">
        <v>45716.5</v>
      </c>
      <c r="G3145" t="inlineStr">
        <is>
          <t>DEBITO</t>
        </is>
      </c>
      <c r="H3145" t="inlineStr">
        <is>
          <t>TARIFA BANCARIA TRANSF PGTO PIX</t>
        </is>
      </c>
      <c r="I3145" t="n">
        <v>-5.1</v>
      </c>
    </row>
    <row r="3146">
      <c r="A3146" t="n">
        <v>68170</v>
      </c>
      <c r="B3146" t="n">
        <v>115</v>
      </c>
      <c r="C3146" t="inlineStr">
        <is>
          <t>Love - Shibari - Bradesco</t>
        </is>
      </c>
      <c r="D3146" t="n">
        <v>128</v>
      </c>
      <c r="E3146" t="inlineStr">
        <is>
          <t>Love Cabaret</t>
        </is>
      </c>
      <c r="F3146" s="27" t="n">
        <v>45716.5</v>
      </c>
      <c r="G3146" t="inlineStr">
        <is>
          <t>DEBITO</t>
        </is>
      </c>
      <c r="H3146" t="inlineStr">
        <is>
          <t>PAGTO ELETRON  COBRANCA 3767</t>
        </is>
      </c>
      <c r="I3146" t="n">
        <v>-220</v>
      </c>
    </row>
    <row r="3147">
      <c r="A3147" t="n">
        <v>68169</v>
      </c>
      <c r="B3147" t="n">
        <v>115</v>
      </c>
      <c r="C3147" t="inlineStr">
        <is>
          <t>Love - Shibari - Bradesco</t>
        </is>
      </c>
      <c r="D3147" t="n">
        <v>128</v>
      </c>
      <c r="E3147" t="inlineStr">
        <is>
          <t>Love Cabaret</t>
        </is>
      </c>
      <c r="F3147" s="27" t="n">
        <v>45716.5</v>
      </c>
      <c r="G3147" t="inlineStr">
        <is>
          <t>DEBITO</t>
        </is>
      </c>
      <c r="H3147" t="inlineStr">
        <is>
          <t>PAGTO ELETRON  COBRANCA 7852</t>
        </is>
      </c>
      <c r="I3147" t="n">
        <v>-1600</v>
      </c>
    </row>
    <row r="3148">
      <c r="A3148" t="n">
        <v>68168</v>
      </c>
      <c r="B3148" t="n">
        <v>115</v>
      </c>
      <c r="C3148" t="inlineStr">
        <is>
          <t>Love - Shibari - Bradesco</t>
        </is>
      </c>
      <c r="D3148" t="n">
        <v>128</v>
      </c>
      <c r="E3148" t="inlineStr">
        <is>
          <t>Love Cabaret</t>
        </is>
      </c>
      <c r="F3148" s="27" t="n">
        <v>45716.5</v>
      </c>
      <c r="G3148" t="inlineStr">
        <is>
          <t>DEBITO</t>
        </is>
      </c>
      <c r="H3148" t="inlineStr">
        <is>
          <t>PAGTO ELETRON  COBRANCA DOC 686961137</t>
        </is>
      </c>
      <c r="I3148" t="n">
        <v>-13732.67</v>
      </c>
    </row>
    <row r="3149">
      <c r="A3149" t="n">
        <v>68167</v>
      </c>
      <c r="B3149" t="n">
        <v>115</v>
      </c>
      <c r="C3149" t="inlineStr">
        <is>
          <t>Love - Shibari - Bradesco</t>
        </is>
      </c>
      <c r="D3149" t="n">
        <v>128</v>
      </c>
      <c r="E3149" t="inlineStr">
        <is>
          <t>Love Cabaret</t>
        </is>
      </c>
      <c r="F3149" s="27" t="n">
        <v>45716.5</v>
      </c>
      <c r="G3149" t="inlineStr">
        <is>
          <t>DEBITO</t>
        </is>
      </c>
      <c r="H3149" t="inlineStr">
        <is>
          <t>PAGTO ELETRON  COBRANCA 2332</t>
        </is>
      </c>
      <c r="I3149" t="n">
        <v>-6500</v>
      </c>
    </row>
    <row r="3150">
      <c r="A3150" t="n">
        <v>68166</v>
      </c>
      <c r="B3150" t="n">
        <v>115</v>
      </c>
      <c r="C3150" t="inlineStr">
        <is>
          <t>Love - Shibari - Bradesco</t>
        </is>
      </c>
      <c r="D3150" t="n">
        <v>128</v>
      </c>
      <c r="E3150" t="inlineStr">
        <is>
          <t>Love Cabaret</t>
        </is>
      </c>
      <c r="F3150" s="27" t="n">
        <v>45716.5</v>
      </c>
      <c r="G3150" t="inlineStr">
        <is>
          <t>DEBITO</t>
        </is>
      </c>
      <c r="H3150" t="inlineStr">
        <is>
          <t>PAGTO ELETRON  COBRANCA 114932</t>
        </is>
      </c>
      <c r="I3150" t="n">
        <v>-4753.11</v>
      </c>
    </row>
    <row r="3151">
      <c r="A3151" t="n">
        <v>68164</v>
      </c>
      <c r="B3151" t="n">
        <v>115</v>
      </c>
      <c r="C3151" t="inlineStr">
        <is>
          <t>Love - Shibari - Bradesco</t>
        </is>
      </c>
      <c r="D3151" t="n">
        <v>128</v>
      </c>
      <c r="E3151" t="inlineStr">
        <is>
          <t>Love Cabaret</t>
        </is>
      </c>
      <c r="F3151" s="27" t="n">
        <v>45716.5</v>
      </c>
      <c r="G3151" t="inlineStr">
        <is>
          <t>DEBITO</t>
        </is>
      </c>
      <c r="H3151" t="inlineStr">
        <is>
          <t>PAGTO ELETRON  COBRANCA 115029</t>
        </is>
      </c>
      <c r="I3151" t="n">
        <v>-2454.32</v>
      </c>
    </row>
    <row r="3152">
      <c r="A3152" t="n">
        <v>68172</v>
      </c>
      <c r="B3152" t="n">
        <v>115</v>
      </c>
      <c r="C3152" t="inlineStr">
        <is>
          <t>Love - Shibari - Bradesco</t>
        </is>
      </c>
      <c r="D3152" t="n">
        <v>128</v>
      </c>
      <c r="E3152" t="inlineStr">
        <is>
          <t>Love Cabaret</t>
        </is>
      </c>
      <c r="F3152" s="27" t="n">
        <v>45716.5</v>
      </c>
      <c r="G3152" t="inlineStr">
        <is>
          <t>DEBITO</t>
        </is>
      </c>
      <c r="H3152" t="inlineStr">
        <is>
          <t>TARIFA BANCARIA TRANSF PGTO PIX</t>
        </is>
      </c>
      <c r="I3152" t="n">
        <v>-9</v>
      </c>
    </row>
    <row r="3153">
      <c r="A3153" t="n">
        <v>66519</v>
      </c>
      <c r="B3153" t="n">
        <v>115</v>
      </c>
      <c r="C3153" t="inlineStr">
        <is>
          <t>Love - Shibari - Bradesco</t>
        </is>
      </c>
      <c r="D3153" t="n">
        <v>128</v>
      </c>
      <c r="E3153" t="inlineStr">
        <is>
          <t>Love Cabaret</t>
        </is>
      </c>
      <c r="F3153" s="27" t="n">
        <v>45714.5</v>
      </c>
      <c r="G3153" t="inlineStr">
        <is>
          <t>DEBITO</t>
        </is>
      </c>
      <c r="H3153" t="inlineStr">
        <is>
          <t>CONTA DE TELEFONE INTERNET --VIVO/SP</t>
        </is>
      </c>
      <c r="I3153" t="n">
        <v>-449.21</v>
      </c>
    </row>
    <row r="3154">
      <c r="A3154" t="n">
        <v>66495</v>
      </c>
      <c r="B3154" t="n">
        <v>115</v>
      </c>
      <c r="C3154" t="inlineStr">
        <is>
          <t>Love - Shibari - Bradesco</t>
        </is>
      </c>
      <c r="D3154" t="n">
        <v>128</v>
      </c>
      <c r="E3154" t="inlineStr">
        <is>
          <t>Love Cabaret</t>
        </is>
      </c>
      <c r="F3154" s="27" t="n">
        <v>45714.5</v>
      </c>
      <c r="G3154" t="inlineStr">
        <is>
          <t>DEBITO</t>
        </is>
      </c>
      <c r="H3154" t="inlineStr">
        <is>
          <t>PAGTO ELETRON  COBRANCA DOC 568223</t>
        </is>
      </c>
      <c r="I3154" t="n">
        <v>-605.92</v>
      </c>
    </row>
    <row r="3155">
      <c r="A3155" t="n">
        <v>66508</v>
      </c>
      <c r="B3155" t="n">
        <v>115</v>
      </c>
      <c r="C3155" t="inlineStr">
        <is>
          <t>Love - Shibari - Bradesco</t>
        </is>
      </c>
      <c r="D3155" t="n">
        <v>128</v>
      </c>
      <c r="E3155" t="inlineStr">
        <is>
          <t>Love Cabaret</t>
        </is>
      </c>
      <c r="F3155" s="27" t="n">
        <v>45714.5</v>
      </c>
      <c r="G3155" t="inlineStr">
        <is>
          <t>DEBITO</t>
        </is>
      </c>
      <c r="H3155" t="inlineStr">
        <is>
          <t>TARIFA BANCARIA TRANSF PGTO PIX</t>
        </is>
      </c>
      <c r="I3155" t="n">
        <v>-9</v>
      </c>
    </row>
    <row r="3156">
      <c r="A3156" t="n">
        <v>66507</v>
      </c>
      <c r="B3156" t="n">
        <v>115</v>
      </c>
      <c r="C3156" t="inlineStr">
        <is>
          <t>Love - Shibari - Bradesco</t>
        </is>
      </c>
      <c r="D3156" t="n">
        <v>128</v>
      </c>
      <c r="E3156" t="inlineStr">
        <is>
          <t>Love Cabaret</t>
        </is>
      </c>
      <c r="F3156" s="27" t="n">
        <v>45714.5</v>
      </c>
      <c r="G3156" t="inlineStr">
        <is>
          <t>DEBITO</t>
        </is>
      </c>
      <c r="H3156" t="inlineStr">
        <is>
          <t>TARIFA BANCARIA TRANSF PGTO PIX</t>
        </is>
      </c>
      <c r="I3156" t="n">
        <v>-9</v>
      </c>
    </row>
    <row r="3157">
      <c r="A3157" t="n">
        <v>66506</v>
      </c>
      <c r="B3157" t="n">
        <v>115</v>
      </c>
      <c r="C3157" t="inlineStr">
        <is>
          <t>Love - Shibari - Bradesco</t>
        </is>
      </c>
      <c r="D3157" t="n">
        <v>128</v>
      </c>
      <c r="E3157" t="inlineStr">
        <is>
          <t>Love Cabaret</t>
        </is>
      </c>
      <c r="F3157" s="27" t="n">
        <v>45714.5</v>
      </c>
      <c r="G3157" t="inlineStr">
        <is>
          <t>DEBITO</t>
        </is>
      </c>
      <c r="H3157" t="inlineStr">
        <is>
          <t>TARIFA BANCARIA TRANSF PGTO PIX</t>
        </is>
      </c>
      <c r="I3157" t="n">
        <v>-9</v>
      </c>
    </row>
    <row r="3158">
      <c r="A3158" t="n">
        <v>66505</v>
      </c>
      <c r="B3158" t="n">
        <v>115</v>
      </c>
      <c r="C3158" t="inlineStr">
        <is>
          <t>Love - Shibari - Bradesco</t>
        </is>
      </c>
      <c r="D3158" t="n">
        <v>128</v>
      </c>
      <c r="E3158" t="inlineStr">
        <is>
          <t>Love Cabaret</t>
        </is>
      </c>
      <c r="F3158" s="27" t="n">
        <v>45714.5</v>
      </c>
      <c r="G3158" t="inlineStr">
        <is>
          <t>DEBITO</t>
        </is>
      </c>
      <c r="H3158" t="inlineStr">
        <is>
          <t>TARIFA BANCARIA TRANSF PGTO PIX</t>
        </is>
      </c>
      <c r="I3158" t="n">
        <v>-8.82</v>
      </c>
    </row>
    <row r="3159">
      <c r="A3159" t="n">
        <v>66504</v>
      </c>
      <c r="B3159" t="n">
        <v>115</v>
      </c>
      <c r="C3159" t="inlineStr">
        <is>
          <t>Love - Shibari - Bradesco</t>
        </is>
      </c>
      <c r="D3159" t="n">
        <v>128</v>
      </c>
      <c r="E3159" t="inlineStr">
        <is>
          <t>Love Cabaret</t>
        </is>
      </c>
      <c r="F3159" s="27" t="n">
        <v>45714.5</v>
      </c>
      <c r="G3159" t="inlineStr">
        <is>
          <t>DEBITO</t>
        </is>
      </c>
      <c r="H3159" t="inlineStr">
        <is>
          <t>PAGTO ELETRON  COBRANCA 20</t>
        </is>
      </c>
      <c r="I3159" t="n">
        <v>-500</v>
      </c>
    </row>
    <row r="3160">
      <c r="A3160" t="n">
        <v>66492</v>
      </c>
      <c r="B3160" t="n">
        <v>115</v>
      </c>
      <c r="C3160" t="inlineStr">
        <is>
          <t>Love - Shibari - Bradesco</t>
        </is>
      </c>
      <c r="D3160" t="n">
        <v>128</v>
      </c>
      <c r="E3160" t="inlineStr">
        <is>
          <t>Love Cabaret</t>
        </is>
      </c>
      <c r="F3160" s="27" t="n">
        <v>45714.5</v>
      </c>
      <c r="G3160" t="inlineStr">
        <is>
          <t>DEBITO</t>
        </is>
      </c>
      <c r="H3160" t="inlineStr">
        <is>
          <t>PAGTO ELETRON  COBRANCA DOC 524698284</t>
        </is>
      </c>
      <c r="I3160" t="n">
        <v>-10945</v>
      </c>
    </row>
    <row r="3161">
      <c r="A3161" t="n">
        <v>66493</v>
      </c>
      <c r="B3161" t="n">
        <v>115</v>
      </c>
      <c r="C3161" t="inlineStr">
        <is>
          <t>Love - Shibari - Bradesco</t>
        </is>
      </c>
      <c r="D3161" t="n">
        <v>128</v>
      </c>
      <c r="E3161" t="inlineStr">
        <is>
          <t>Love Cabaret</t>
        </is>
      </c>
      <c r="F3161" s="27" t="n">
        <v>45714.5</v>
      </c>
      <c r="G3161" t="inlineStr">
        <is>
          <t>DEBITO</t>
        </is>
      </c>
      <c r="H3161" t="inlineStr">
        <is>
          <t>PAGTO ELETRON  COBRANCA DOC 486</t>
        </is>
      </c>
      <c r="I3161" t="n">
        <v>-6000</v>
      </c>
    </row>
    <row r="3162">
      <c r="A3162" t="n">
        <v>66494</v>
      </c>
      <c r="B3162" t="n">
        <v>115</v>
      </c>
      <c r="C3162" t="inlineStr">
        <is>
          <t>Love - Shibari - Bradesco</t>
        </is>
      </c>
      <c r="D3162" t="n">
        <v>128</v>
      </c>
      <c r="E3162" t="inlineStr">
        <is>
          <t>Love Cabaret</t>
        </is>
      </c>
      <c r="F3162" s="27" t="n">
        <v>45714.5</v>
      </c>
      <c r="G3162" t="inlineStr">
        <is>
          <t>DEBITO</t>
        </is>
      </c>
      <c r="H3162" t="inlineStr">
        <is>
          <t>PAGTO ELETRON  COBRANCA NF 437873</t>
        </is>
      </c>
      <c r="I3162" t="n">
        <v>-1997.33</v>
      </c>
    </row>
    <row r="3163">
      <c r="A3163" t="n">
        <v>66509</v>
      </c>
      <c r="B3163" t="n">
        <v>115</v>
      </c>
      <c r="C3163" t="inlineStr">
        <is>
          <t>Love - Shibari - Bradesco</t>
        </is>
      </c>
      <c r="D3163" t="n">
        <v>128</v>
      </c>
      <c r="E3163" t="inlineStr">
        <is>
          <t>Love Cabaret</t>
        </is>
      </c>
      <c r="F3163" s="27" t="n">
        <v>45714.5</v>
      </c>
      <c r="G3163" t="inlineStr">
        <is>
          <t>DEBITO</t>
        </is>
      </c>
      <c r="H3163" t="inlineStr">
        <is>
          <t>PAGTO ELETRONICO TRIBUTO INTERNET --RECEITA FEDERAL/SP</t>
        </is>
      </c>
      <c r="I3163" t="n">
        <v>-559.2</v>
      </c>
    </row>
    <row r="3164">
      <c r="A3164" t="n">
        <v>66496</v>
      </c>
      <c r="B3164" t="n">
        <v>115</v>
      </c>
      <c r="C3164" t="inlineStr">
        <is>
          <t>Love - Shibari - Bradesco</t>
        </is>
      </c>
      <c r="D3164" t="n">
        <v>128</v>
      </c>
      <c r="E3164" t="inlineStr">
        <is>
          <t>Love Cabaret</t>
        </is>
      </c>
      <c r="F3164" s="27" t="n">
        <v>45714.5</v>
      </c>
      <c r="G3164" t="inlineStr">
        <is>
          <t>DEBITO</t>
        </is>
      </c>
      <c r="H3164" t="inlineStr">
        <is>
          <t>PAGTO ELETRON  COBRANCA NF 234758</t>
        </is>
      </c>
      <c r="I3164" t="n">
        <v>-389.78</v>
      </c>
    </row>
    <row r="3165">
      <c r="A3165" t="n">
        <v>66497</v>
      </c>
      <c r="B3165" t="n">
        <v>115</v>
      </c>
      <c r="C3165" t="inlineStr">
        <is>
          <t>Love - Shibari - Bradesco</t>
        </is>
      </c>
      <c r="D3165" t="n">
        <v>128</v>
      </c>
      <c r="E3165" t="inlineStr">
        <is>
          <t>Love Cabaret</t>
        </is>
      </c>
      <c r="F3165" s="27" t="n">
        <v>45714.5</v>
      </c>
      <c r="G3165" t="inlineStr">
        <is>
          <t>DEBITO</t>
        </is>
      </c>
      <c r="H3165" t="inlineStr">
        <is>
          <t>PAGTO ELETRON  COBRANCA NF 29800</t>
        </is>
      </c>
      <c r="I3165" t="n">
        <v>-374.55</v>
      </c>
    </row>
    <row r="3166">
      <c r="A3166" t="n">
        <v>66503</v>
      </c>
      <c r="B3166" t="n">
        <v>115</v>
      </c>
      <c r="C3166" t="inlineStr">
        <is>
          <t>Love - Shibari - Bradesco</t>
        </is>
      </c>
      <c r="D3166" t="n">
        <v>128</v>
      </c>
      <c r="E3166" t="inlineStr">
        <is>
          <t>Love Cabaret</t>
        </is>
      </c>
      <c r="F3166" s="27" t="n">
        <v>45714.5</v>
      </c>
      <c r="G3166" t="inlineStr">
        <is>
          <t>DEBITO</t>
        </is>
      </c>
      <c r="H3166" t="inlineStr">
        <is>
          <t>PAGTO ELETRON  COBRANCA DOC 240994</t>
        </is>
      </c>
      <c r="I3166" t="n">
        <v>-1009.3</v>
      </c>
    </row>
    <row r="3167">
      <c r="A3167" t="n">
        <v>66498</v>
      </c>
      <c r="B3167" t="n">
        <v>115</v>
      </c>
      <c r="C3167" t="inlineStr">
        <is>
          <t>Love - Shibari - Bradesco</t>
        </is>
      </c>
      <c r="D3167" t="n">
        <v>128</v>
      </c>
      <c r="E3167" t="inlineStr">
        <is>
          <t>Love Cabaret</t>
        </is>
      </c>
      <c r="F3167" s="27" t="n">
        <v>45714.5</v>
      </c>
      <c r="G3167" t="inlineStr">
        <is>
          <t>DEBITO</t>
        </is>
      </c>
      <c r="H3167" t="inlineStr">
        <is>
          <t>PAGTO ELETRON  COBRANCA DOC 216843</t>
        </is>
      </c>
      <c r="I3167" t="n">
        <v>-327</v>
      </c>
    </row>
    <row r="3168">
      <c r="A3168" t="n">
        <v>66499</v>
      </c>
      <c r="B3168" t="n">
        <v>115</v>
      </c>
      <c r="C3168" t="inlineStr">
        <is>
          <t>Love - Shibari - Bradesco</t>
        </is>
      </c>
      <c r="D3168" t="n">
        <v>128</v>
      </c>
      <c r="E3168" t="inlineStr">
        <is>
          <t>Love Cabaret</t>
        </is>
      </c>
      <c r="F3168" s="27" t="n">
        <v>45714.5</v>
      </c>
      <c r="G3168" t="inlineStr">
        <is>
          <t>DEBITO</t>
        </is>
      </c>
      <c r="H3168" t="inlineStr">
        <is>
          <t>PAGTO ELETRON  COBRANCA NF 19316</t>
        </is>
      </c>
      <c r="I3168" t="n">
        <v>-311.5</v>
      </c>
    </row>
    <row r="3169">
      <c r="A3169" t="n">
        <v>66500</v>
      </c>
      <c r="B3169" t="n">
        <v>115</v>
      </c>
      <c r="C3169" t="inlineStr">
        <is>
          <t>Love - Shibari - Bradesco</t>
        </is>
      </c>
      <c r="D3169" t="n">
        <v>128</v>
      </c>
      <c r="E3169" t="inlineStr">
        <is>
          <t>Love Cabaret</t>
        </is>
      </c>
      <c r="F3169" s="27" t="n">
        <v>45714.5</v>
      </c>
      <c r="G3169" t="inlineStr">
        <is>
          <t>DEBITO</t>
        </is>
      </c>
      <c r="H3169" t="inlineStr">
        <is>
          <t>PAGTO ELETRON  COBRANCA NF 8576</t>
        </is>
      </c>
      <c r="I3169" t="n">
        <v>-190</v>
      </c>
    </row>
    <row r="3170">
      <c r="A3170" t="n">
        <v>66501</v>
      </c>
      <c r="B3170" t="n">
        <v>115</v>
      </c>
      <c r="C3170" t="inlineStr">
        <is>
          <t>Love - Shibari - Bradesco</t>
        </is>
      </c>
      <c r="D3170" t="n">
        <v>128</v>
      </c>
      <c r="E3170" t="inlineStr">
        <is>
          <t>Love Cabaret</t>
        </is>
      </c>
      <c r="F3170" s="27" t="n">
        <v>45714.5</v>
      </c>
      <c r="G3170" t="inlineStr">
        <is>
          <t>DEBITO</t>
        </is>
      </c>
      <c r="H3170" t="inlineStr">
        <is>
          <t>PAGTO ELETRON  COBRANCA DOC 2099 032025</t>
        </is>
      </c>
      <c r="I3170" t="n">
        <v>-20.99</v>
      </c>
    </row>
    <row r="3171">
      <c r="A3171" t="n">
        <v>66502</v>
      </c>
      <c r="B3171" t="n">
        <v>115</v>
      </c>
      <c r="C3171" t="inlineStr">
        <is>
          <t>Love - Shibari - Bradesco</t>
        </is>
      </c>
      <c r="D3171" t="n">
        <v>128</v>
      </c>
      <c r="E3171" t="inlineStr">
        <is>
          <t>Love Cabaret</t>
        </is>
      </c>
      <c r="F3171" s="27" t="n">
        <v>45714.5</v>
      </c>
      <c r="G3171" t="inlineStr">
        <is>
          <t>DEBITO</t>
        </is>
      </c>
      <c r="H3171" t="inlineStr">
        <is>
          <t>PAGTO ELETRON  COBRANCA DOC 210882285</t>
        </is>
      </c>
      <c r="I3171" t="n">
        <v>-556.45</v>
      </c>
    </row>
    <row r="3172">
      <c r="A3172" t="n">
        <v>66510</v>
      </c>
      <c r="B3172" t="n">
        <v>115</v>
      </c>
      <c r="C3172" t="inlineStr">
        <is>
          <t>Love - Shibari - Bradesco</t>
        </is>
      </c>
      <c r="D3172" t="n">
        <v>128</v>
      </c>
      <c r="E3172" t="inlineStr">
        <is>
          <t>Love Cabaret</t>
        </is>
      </c>
      <c r="F3172" s="27" t="n">
        <v>45714.5</v>
      </c>
      <c r="G3172" t="inlineStr">
        <is>
          <t>DEBITO</t>
        </is>
      </c>
      <c r="H3172" t="inlineStr">
        <is>
          <t>PAGTO ELETRONICO TRIBUTO INTERNET --RECEITA FEDERAL/SP</t>
        </is>
      </c>
      <c r="I3172" t="n">
        <v>-1586.46</v>
      </c>
    </row>
    <row r="3173">
      <c r="A3173" t="n">
        <v>66518</v>
      </c>
      <c r="B3173" t="n">
        <v>115</v>
      </c>
      <c r="C3173" t="inlineStr">
        <is>
          <t>Love - Shibari - Bradesco</t>
        </is>
      </c>
      <c r="D3173" t="n">
        <v>128</v>
      </c>
      <c r="E3173" t="inlineStr">
        <is>
          <t>Love Cabaret</t>
        </is>
      </c>
      <c r="F3173" s="27" t="n">
        <v>45714.5</v>
      </c>
      <c r="G3173" t="inlineStr">
        <is>
          <t>DEBITO</t>
        </is>
      </c>
      <c r="H3173" t="inlineStr">
        <is>
          <t>CONTA DE TELEFONE INTERNET --TELEFONICA BRASIL</t>
        </is>
      </c>
      <c r="I3173" t="n">
        <v>-20</v>
      </c>
    </row>
    <row r="3174">
      <c r="A3174" t="n">
        <v>66517</v>
      </c>
      <c r="B3174" t="n">
        <v>115</v>
      </c>
      <c r="C3174" t="inlineStr">
        <is>
          <t>Love - Shibari - Bradesco</t>
        </is>
      </c>
      <c r="D3174" t="n">
        <v>128</v>
      </c>
      <c r="E3174" t="inlineStr">
        <is>
          <t>Love Cabaret</t>
        </is>
      </c>
      <c r="F3174" s="27" t="n">
        <v>45714.5</v>
      </c>
      <c r="G3174" t="inlineStr">
        <is>
          <t>DEBITO</t>
        </is>
      </c>
      <c r="H3174" t="inlineStr">
        <is>
          <t>TRANSFERENCIA PIX DES: ARCOS BAR E RESTAURAN 26/02</t>
        </is>
      </c>
      <c r="I3174" t="n">
        <v>-364.83</v>
      </c>
    </row>
    <row r="3175">
      <c r="A3175" t="n">
        <v>66516</v>
      </c>
      <c r="B3175" t="n">
        <v>115</v>
      </c>
      <c r="C3175" t="inlineStr">
        <is>
          <t>Love - Shibari - Bradesco</t>
        </is>
      </c>
      <c r="D3175" t="n">
        <v>128</v>
      </c>
      <c r="E3175" t="inlineStr">
        <is>
          <t>Love Cabaret</t>
        </is>
      </c>
      <c r="F3175" s="27" t="n">
        <v>45714.5</v>
      </c>
      <c r="G3175" t="inlineStr">
        <is>
          <t>DEBITO</t>
        </is>
      </c>
      <c r="H3175" t="inlineStr">
        <is>
          <t>TRANSFERENCIA PIX DES: F BRICA DE BARES MORU 26/02</t>
        </is>
      </c>
      <c r="I3175" t="n">
        <v>-5920.79</v>
      </c>
    </row>
    <row r="3176">
      <c r="A3176" t="n">
        <v>66515</v>
      </c>
      <c r="B3176" t="n">
        <v>115</v>
      </c>
      <c r="C3176" t="inlineStr">
        <is>
          <t>Love - Shibari - Bradesco</t>
        </is>
      </c>
      <c r="D3176" t="n">
        <v>128</v>
      </c>
      <c r="E3176" t="inlineStr">
        <is>
          <t>Love Cabaret</t>
        </is>
      </c>
      <c r="F3176" s="27" t="n">
        <v>45714.5</v>
      </c>
      <c r="G3176" t="inlineStr">
        <is>
          <t>DEBITO</t>
        </is>
      </c>
      <c r="H3176" t="inlineStr">
        <is>
          <t>PGTO FERIAS VIA NET EMPR</t>
        </is>
      </c>
      <c r="I3176" t="n">
        <v>-1374.79</v>
      </c>
    </row>
    <row r="3177">
      <c r="A3177" t="n">
        <v>66514</v>
      </c>
      <c r="B3177" t="n">
        <v>115</v>
      </c>
      <c r="C3177" t="inlineStr">
        <is>
          <t>Love - Shibari - Bradesco</t>
        </is>
      </c>
      <c r="D3177" t="n">
        <v>128</v>
      </c>
      <c r="E3177" t="inlineStr">
        <is>
          <t>Love Cabaret</t>
        </is>
      </c>
      <c r="F3177" s="27" t="n">
        <v>45714.5</v>
      </c>
      <c r="G3177" t="inlineStr">
        <is>
          <t>DEBITO</t>
        </is>
      </c>
      <c r="H3177" t="inlineStr">
        <is>
          <t>TED DIF.TITUL.CC H.BANK DEST. PAULO CESAR MEDEIROS</t>
        </is>
      </c>
      <c r="I3177" t="n">
        <v>-2500</v>
      </c>
    </row>
    <row r="3178">
      <c r="A3178" t="n">
        <v>66513</v>
      </c>
      <c r="B3178" t="n">
        <v>115</v>
      </c>
      <c r="C3178" t="inlineStr">
        <is>
          <t>Love - Shibari - Bradesco</t>
        </is>
      </c>
      <c r="D3178" t="n">
        <v>128</v>
      </c>
      <c r="E3178" t="inlineStr">
        <is>
          <t>Love Cabaret</t>
        </is>
      </c>
      <c r="F3178" s="27" t="n">
        <v>45714.5</v>
      </c>
      <c r="G3178" t="inlineStr">
        <is>
          <t>DEBITO</t>
        </is>
      </c>
      <c r="H3178" t="inlineStr">
        <is>
          <t>PAGTO ELETRONICO TRIBUTO INTERNET --PMSP SP</t>
        </is>
      </c>
      <c r="I3178" t="n">
        <v>-1841.02</v>
      </c>
    </row>
    <row r="3179">
      <c r="A3179" t="n">
        <v>66512</v>
      </c>
      <c r="B3179" t="n">
        <v>115</v>
      </c>
      <c r="C3179" t="inlineStr">
        <is>
          <t>Love - Shibari - Bradesco</t>
        </is>
      </c>
      <c r="D3179" t="n">
        <v>128</v>
      </c>
      <c r="E3179" t="inlineStr">
        <is>
          <t>Love Cabaret</t>
        </is>
      </c>
      <c r="F3179" s="27" t="n">
        <v>45714.5</v>
      </c>
      <c r="G3179" t="inlineStr">
        <is>
          <t>DEBITO</t>
        </is>
      </c>
      <c r="H3179" t="inlineStr">
        <is>
          <t>PAGTO ELETRONICO TRIBUTO INTERNET --SP/SEFAZ-DARE</t>
        </is>
      </c>
      <c r="I3179" t="n">
        <v>-761.2</v>
      </c>
    </row>
    <row r="3180">
      <c r="A3180" t="n">
        <v>66511</v>
      </c>
      <c r="B3180" t="n">
        <v>115</v>
      </c>
      <c r="C3180" t="inlineStr">
        <is>
          <t>Love - Shibari - Bradesco</t>
        </is>
      </c>
      <c r="D3180" t="n">
        <v>128</v>
      </c>
      <c r="E3180" t="inlineStr">
        <is>
          <t>Love Cabaret</t>
        </is>
      </c>
      <c r="F3180" s="27" t="n">
        <v>45714.5</v>
      </c>
      <c r="G3180" t="inlineStr">
        <is>
          <t>DEBITO</t>
        </is>
      </c>
      <c r="H3180" t="inlineStr">
        <is>
          <t>PAGTO ELETRONICO TRIBUTO INTERNET --SP/SEFAZ-DARE</t>
        </is>
      </c>
      <c r="I3180" t="n">
        <v>-580.97</v>
      </c>
    </row>
    <row r="3181">
      <c r="A3181" t="n">
        <v>66491</v>
      </c>
      <c r="B3181" t="n">
        <v>115</v>
      </c>
      <c r="C3181" t="inlineStr">
        <is>
          <t>Love - Shibari - Bradesco</t>
        </is>
      </c>
      <c r="D3181" t="n">
        <v>128</v>
      </c>
      <c r="E3181" t="inlineStr">
        <is>
          <t>Love Cabaret</t>
        </is>
      </c>
      <c r="F3181" s="27" t="n">
        <v>45713.5</v>
      </c>
      <c r="G3181" t="inlineStr">
        <is>
          <t>CREDITO</t>
        </is>
      </c>
      <c r="H3181" t="inlineStr">
        <is>
          <t>TRANSFERENCIA PIX REM: Zig Tecnologia S.A.   25/02</t>
        </is>
      </c>
      <c r="I3181" t="n">
        <v>18578.13</v>
      </c>
    </row>
    <row r="3182">
      <c r="A3182" t="n">
        <v>65020</v>
      </c>
      <c r="B3182" t="n">
        <v>115</v>
      </c>
      <c r="C3182" t="inlineStr">
        <is>
          <t>Love - Shibari - Bradesco</t>
        </is>
      </c>
      <c r="D3182" t="n">
        <v>128</v>
      </c>
      <c r="E3182" t="inlineStr">
        <is>
          <t>Love Cabaret</t>
        </is>
      </c>
      <c r="F3182" s="27" t="n">
        <v>45712.5</v>
      </c>
      <c r="G3182" t="inlineStr">
        <is>
          <t>DEBITO</t>
        </is>
      </c>
      <c r="H3182" t="inlineStr">
        <is>
          <t>CONTA DE TELEFONE INTERNET --VIVO/SP</t>
        </is>
      </c>
      <c r="I3182" t="n">
        <v>-327.09</v>
      </c>
    </row>
    <row r="3183">
      <c r="A3183" t="n">
        <v>65014</v>
      </c>
      <c r="B3183" t="n">
        <v>115</v>
      </c>
      <c r="C3183" t="inlineStr">
        <is>
          <t>Love - Shibari - Bradesco</t>
        </is>
      </c>
      <c r="D3183" t="n">
        <v>128</v>
      </c>
      <c r="E3183" t="inlineStr">
        <is>
          <t>Love Cabaret</t>
        </is>
      </c>
      <c r="F3183" s="27" t="n">
        <v>45712.5</v>
      </c>
      <c r="G3183" t="inlineStr">
        <is>
          <t>DEBITO</t>
        </is>
      </c>
      <c r="H3183" t="inlineStr">
        <is>
          <t>PAGTO ELETRONICO TRIBUTO INTERNET --RECEITA FEDERAL/SP</t>
        </is>
      </c>
      <c r="I3183" t="n">
        <v>-9049.469999999999</v>
      </c>
    </row>
    <row r="3184">
      <c r="A3184" t="n">
        <v>65015</v>
      </c>
      <c r="B3184" t="n">
        <v>115</v>
      </c>
      <c r="C3184" t="inlineStr">
        <is>
          <t>Love - Shibari - Bradesco</t>
        </is>
      </c>
      <c r="D3184" t="n">
        <v>128</v>
      </c>
      <c r="E3184" t="inlineStr">
        <is>
          <t>Love Cabaret</t>
        </is>
      </c>
      <c r="F3184" s="27" t="n">
        <v>45712.5</v>
      </c>
      <c r="G3184" t="inlineStr">
        <is>
          <t>DEBITO</t>
        </is>
      </c>
      <c r="H3184" t="inlineStr">
        <is>
          <t>PAGTO ELETRONICO TRIBUTO INTERNET --RECEITA FEDERAL/SP</t>
        </is>
      </c>
      <c r="I3184" t="n">
        <v>-1960.72</v>
      </c>
    </row>
    <row r="3185">
      <c r="A3185" t="n">
        <v>65016</v>
      </c>
      <c r="B3185" t="n">
        <v>115</v>
      </c>
      <c r="C3185" t="inlineStr">
        <is>
          <t>Love - Shibari - Bradesco</t>
        </is>
      </c>
      <c r="D3185" t="n">
        <v>128</v>
      </c>
      <c r="E3185" t="inlineStr">
        <is>
          <t>Love Cabaret</t>
        </is>
      </c>
      <c r="F3185" s="27" t="n">
        <v>45712.5</v>
      </c>
      <c r="G3185" t="inlineStr">
        <is>
          <t>DEBITO</t>
        </is>
      </c>
      <c r="H3185" t="inlineStr">
        <is>
          <t>TRANSFERENCIA PIX DES: EDIMAR MOURA TARTAGLI 24/02</t>
        </is>
      </c>
      <c r="I3185" t="n">
        <v>-630</v>
      </c>
    </row>
    <row r="3186">
      <c r="A3186" t="n">
        <v>65017</v>
      </c>
      <c r="B3186" t="n">
        <v>115</v>
      </c>
      <c r="C3186" t="inlineStr">
        <is>
          <t>Love - Shibari - Bradesco</t>
        </is>
      </c>
      <c r="D3186" t="n">
        <v>128</v>
      </c>
      <c r="E3186" t="inlineStr">
        <is>
          <t>Love Cabaret</t>
        </is>
      </c>
      <c r="F3186" s="27" t="n">
        <v>45712.5</v>
      </c>
      <c r="G3186" t="inlineStr">
        <is>
          <t>DEBITO</t>
        </is>
      </c>
      <c r="H3186" t="inlineStr">
        <is>
          <t>TRANSFERENCIA PIX DES: FLAVIO RODRIGUES DE M 24/02</t>
        </is>
      </c>
      <c r="I3186" t="n">
        <v>-1500</v>
      </c>
    </row>
    <row r="3187">
      <c r="A3187" t="n">
        <v>65018</v>
      </c>
      <c r="B3187" t="n">
        <v>115</v>
      </c>
      <c r="C3187" t="inlineStr">
        <is>
          <t>Love - Shibari - Bradesco</t>
        </is>
      </c>
      <c r="D3187" t="n">
        <v>128</v>
      </c>
      <c r="E3187" t="inlineStr">
        <is>
          <t>Love Cabaret</t>
        </is>
      </c>
      <c r="F3187" s="27" t="n">
        <v>45712.5</v>
      </c>
      <c r="G3187" t="inlineStr">
        <is>
          <t>DEBITO</t>
        </is>
      </c>
      <c r="H3187" t="inlineStr">
        <is>
          <t>TRANSFERENCIA PIX DES: ALEXANDRE CRUZ        24/02</t>
        </is>
      </c>
      <c r="I3187" t="n">
        <v>-9234.799999999999</v>
      </c>
    </row>
    <row r="3188">
      <c r="A3188" t="n">
        <v>65019</v>
      </c>
      <c r="B3188" t="n">
        <v>115</v>
      </c>
      <c r="C3188" t="inlineStr">
        <is>
          <t>Love - Shibari - Bradesco</t>
        </is>
      </c>
      <c r="D3188" t="n">
        <v>128</v>
      </c>
      <c r="E3188" t="inlineStr">
        <is>
          <t>Love Cabaret</t>
        </is>
      </c>
      <c r="F3188" s="27" t="n">
        <v>45712.5</v>
      </c>
      <c r="G3188" t="inlineStr">
        <is>
          <t>DEBITO</t>
        </is>
      </c>
      <c r="H3188" t="inlineStr">
        <is>
          <t>TRANSFERENCIA PIX DES: JOAO VITOR MENDES SAL 24/02</t>
        </is>
      </c>
      <c r="I3188" t="n">
        <v>-830</v>
      </c>
    </row>
    <row r="3189">
      <c r="A3189" t="n">
        <v>65021</v>
      </c>
      <c r="B3189" t="n">
        <v>115</v>
      </c>
      <c r="C3189" t="inlineStr">
        <is>
          <t>Love - Shibari - Bradesco</t>
        </is>
      </c>
      <c r="D3189" t="n">
        <v>128</v>
      </c>
      <c r="E3189" t="inlineStr">
        <is>
          <t>Love Cabaret</t>
        </is>
      </c>
      <c r="F3189" s="27" t="n">
        <v>45712.5</v>
      </c>
      <c r="G3189" t="inlineStr">
        <is>
          <t>DEBITO</t>
        </is>
      </c>
      <c r="H3189" t="inlineStr">
        <is>
          <t>CONTA DE TELEFONE INTERNET --VIVO/SP</t>
        </is>
      </c>
      <c r="I3189" t="n">
        <v>-93.7</v>
      </c>
    </row>
    <row r="3190">
      <c r="A3190" t="n">
        <v>65000</v>
      </c>
      <c r="B3190" t="n">
        <v>115</v>
      </c>
      <c r="C3190" t="inlineStr">
        <is>
          <t>Love - Shibari - Bradesco</t>
        </is>
      </c>
      <c r="D3190" t="n">
        <v>128</v>
      </c>
      <c r="E3190" t="inlineStr">
        <is>
          <t>Love Cabaret</t>
        </is>
      </c>
      <c r="F3190" s="27" t="n">
        <v>45712.5</v>
      </c>
      <c r="G3190" t="inlineStr">
        <is>
          <t>DEBITO</t>
        </is>
      </c>
      <c r="H3190" t="inlineStr">
        <is>
          <t>PAGTO ELETRON  COBRANCA NF 2280</t>
        </is>
      </c>
      <c r="I3190" t="n">
        <v>-1200</v>
      </c>
    </row>
    <row r="3191">
      <c r="A3191" t="n">
        <v>65013</v>
      </c>
      <c r="B3191" t="n">
        <v>115</v>
      </c>
      <c r="C3191" t="inlineStr">
        <is>
          <t>Love - Shibari - Bradesco</t>
        </is>
      </c>
      <c r="D3191" t="n">
        <v>128</v>
      </c>
      <c r="E3191" t="inlineStr">
        <is>
          <t>Love Cabaret</t>
        </is>
      </c>
      <c r="F3191" s="27" t="n">
        <v>45712.5</v>
      </c>
      <c r="G3191" t="inlineStr">
        <is>
          <t>DEBITO</t>
        </is>
      </c>
      <c r="H3191" t="inlineStr">
        <is>
          <t>PAGTO ELETRON  COBRANCA NF18452</t>
        </is>
      </c>
      <c r="I3191" t="n">
        <v>-75.25</v>
      </c>
    </row>
    <row r="3192">
      <c r="A3192" t="n">
        <v>65006</v>
      </c>
      <c r="B3192" t="n">
        <v>115</v>
      </c>
      <c r="C3192" t="inlineStr">
        <is>
          <t>Love - Shibari - Bradesco</t>
        </is>
      </c>
      <c r="D3192" t="n">
        <v>128</v>
      </c>
      <c r="E3192" t="inlineStr">
        <is>
          <t>Love Cabaret</t>
        </is>
      </c>
      <c r="F3192" s="27" t="n">
        <v>45712.5</v>
      </c>
      <c r="G3192" t="inlineStr">
        <is>
          <t>DEBITO</t>
        </is>
      </c>
      <c r="H3192" t="inlineStr">
        <is>
          <t>PAGTO ELETRON  COBRANCA NF 25660</t>
        </is>
      </c>
      <c r="I3192" t="n">
        <v>-306.53</v>
      </c>
    </row>
    <row r="3193">
      <c r="A3193" t="n">
        <v>65007</v>
      </c>
      <c r="B3193" t="n">
        <v>115</v>
      </c>
      <c r="C3193" t="inlineStr">
        <is>
          <t>Love - Shibari - Bradesco</t>
        </is>
      </c>
      <c r="D3193" t="n">
        <v>128</v>
      </c>
      <c r="E3193" t="inlineStr">
        <is>
          <t>Love Cabaret</t>
        </is>
      </c>
      <c r="F3193" s="27" t="n">
        <v>45712.5</v>
      </c>
      <c r="G3193" t="inlineStr">
        <is>
          <t>DEBITO</t>
        </is>
      </c>
      <c r="H3193" t="inlineStr">
        <is>
          <t>PAGTO ELETRON  COBRANCA NF 394542</t>
        </is>
      </c>
      <c r="I3193" t="n">
        <v>-281.85</v>
      </c>
    </row>
    <row r="3194">
      <c r="A3194" t="n">
        <v>65008</v>
      </c>
      <c r="B3194" t="n">
        <v>115</v>
      </c>
      <c r="C3194" t="inlineStr">
        <is>
          <t>Love - Shibari - Bradesco</t>
        </is>
      </c>
      <c r="D3194" t="n">
        <v>128</v>
      </c>
      <c r="E3194" t="inlineStr">
        <is>
          <t>Love Cabaret</t>
        </is>
      </c>
      <c r="F3194" s="27" t="n">
        <v>45712.5</v>
      </c>
      <c r="G3194" t="inlineStr">
        <is>
          <t>DEBITO</t>
        </is>
      </c>
      <c r="H3194" t="inlineStr">
        <is>
          <t>PAGTO ELETRON  COBRANCA NF 82538</t>
        </is>
      </c>
      <c r="I3194" t="n">
        <v>-265.6</v>
      </c>
    </row>
    <row r="3195">
      <c r="A3195" t="n">
        <v>65005</v>
      </c>
      <c r="B3195" t="n">
        <v>115</v>
      </c>
      <c r="C3195" t="inlineStr">
        <is>
          <t>Love - Shibari - Bradesco</t>
        </is>
      </c>
      <c r="D3195" t="n">
        <v>128</v>
      </c>
      <c r="E3195" t="inlineStr">
        <is>
          <t>Love Cabaret</t>
        </is>
      </c>
      <c r="F3195" s="27" t="n">
        <v>45712.5</v>
      </c>
      <c r="G3195" t="inlineStr">
        <is>
          <t>DEBITO</t>
        </is>
      </c>
      <c r="H3195" t="inlineStr">
        <is>
          <t>PAGTO ELETRON  COBRANCA NF 385172</t>
        </is>
      </c>
      <c r="I3195" t="n">
        <v>-348.14</v>
      </c>
    </row>
    <row r="3196">
      <c r="A3196" t="n">
        <v>65004</v>
      </c>
      <c r="B3196" t="n">
        <v>115</v>
      </c>
      <c r="C3196" t="inlineStr">
        <is>
          <t>Love - Shibari - Bradesco</t>
        </is>
      </c>
      <c r="D3196" t="n">
        <v>128</v>
      </c>
      <c r="E3196" t="inlineStr">
        <is>
          <t>Love Cabaret</t>
        </is>
      </c>
      <c r="F3196" s="27" t="n">
        <v>45712.5</v>
      </c>
      <c r="G3196" t="inlineStr">
        <is>
          <t>DEBITO</t>
        </is>
      </c>
      <c r="H3196" t="inlineStr">
        <is>
          <t>PAGTO ELETRON  COBRANCA NF 118206</t>
        </is>
      </c>
      <c r="I3196" t="n">
        <v>-680</v>
      </c>
    </row>
    <row r="3197">
      <c r="A3197" t="n">
        <v>65003</v>
      </c>
      <c r="B3197" t="n">
        <v>115</v>
      </c>
      <c r="C3197" t="inlineStr">
        <is>
          <t>Love - Shibari - Bradesco</t>
        </is>
      </c>
      <c r="D3197" t="n">
        <v>128</v>
      </c>
      <c r="E3197" t="inlineStr">
        <is>
          <t>Love Cabaret</t>
        </is>
      </c>
      <c r="F3197" s="27" t="n">
        <v>45712.5</v>
      </c>
      <c r="G3197" t="inlineStr">
        <is>
          <t>DEBITO</t>
        </is>
      </c>
      <c r="H3197" t="inlineStr">
        <is>
          <t>PAGTO ELETRON  COBRANCA NF 22551</t>
        </is>
      </c>
      <c r="I3197" t="n">
        <v>-825.64</v>
      </c>
    </row>
    <row r="3198">
      <c r="A3198" t="n">
        <v>65002</v>
      </c>
      <c r="B3198" t="n">
        <v>115</v>
      </c>
      <c r="C3198" t="inlineStr">
        <is>
          <t>Love - Shibari - Bradesco</t>
        </is>
      </c>
      <c r="D3198" t="n">
        <v>128</v>
      </c>
      <c r="E3198" t="inlineStr">
        <is>
          <t>Love Cabaret</t>
        </is>
      </c>
      <c r="F3198" s="27" t="n">
        <v>45712.5</v>
      </c>
      <c r="G3198" t="inlineStr">
        <is>
          <t>DEBITO</t>
        </is>
      </c>
      <c r="H3198" t="inlineStr">
        <is>
          <t>PAGTO ELETRON  COBRANCA NF 329</t>
        </is>
      </c>
      <c r="I3198" t="n">
        <v>-952</v>
      </c>
    </row>
    <row r="3199">
      <c r="A3199" t="n">
        <v>65009</v>
      </c>
      <c r="B3199" t="n">
        <v>115</v>
      </c>
      <c r="C3199" t="inlineStr">
        <is>
          <t>Love - Shibari - Bradesco</t>
        </is>
      </c>
      <c r="D3199" t="n">
        <v>128</v>
      </c>
      <c r="E3199" t="inlineStr">
        <is>
          <t>Love Cabaret</t>
        </is>
      </c>
      <c r="F3199" s="27" t="n">
        <v>45712.5</v>
      </c>
      <c r="G3199" t="inlineStr">
        <is>
          <t>DEBITO</t>
        </is>
      </c>
      <c r="H3199" t="inlineStr">
        <is>
          <t>PAGTO ELETRON  COBRANCA NF 10306</t>
        </is>
      </c>
      <c r="I3199" t="n">
        <v>-230.2</v>
      </c>
    </row>
    <row r="3200">
      <c r="A3200" t="n">
        <v>65010</v>
      </c>
      <c r="B3200" t="n">
        <v>115</v>
      </c>
      <c r="C3200" t="inlineStr">
        <is>
          <t>Love - Shibari - Bradesco</t>
        </is>
      </c>
      <c r="D3200" t="n">
        <v>128</v>
      </c>
      <c r="E3200" t="inlineStr">
        <is>
          <t>Love Cabaret</t>
        </is>
      </c>
      <c r="F3200" s="27" t="n">
        <v>45712.5</v>
      </c>
      <c r="G3200" t="inlineStr">
        <is>
          <t>DEBITO</t>
        </is>
      </c>
      <c r="H3200" t="inlineStr">
        <is>
          <t>PAGTO ELETRON  COBRANCA NF 42040</t>
        </is>
      </c>
      <c r="I3200" t="n">
        <v>-135.56</v>
      </c>
    </row>
    <row r="3201">
      <c r="A3201" t="n">
        <v>65011</v>
      </c>
      <c r="B3201" t="n">
        <v>115</v>
      </c>
      <c r="C3201" t="inlineStr">
        <is>
          <t>Love - Shibari - Bradesco</t>
        </is>
      </c>
      <c r="D3201" t="n">
        <v>128</v>
      </c>
      <c r="E3201" t="inlineStr">
        <is>
          <t>Love Cabaret</t>
        </is>
      </c>
      <c r="F3201" s="27" t="n">
        <v>45712.5</v>
      </c>
      <c r="G3201" t="inlineStr">
        <is>
          <t>DEBITO</t>
        </is>
      </c>
      <c r="H3201" t="inlineStr">
        <is>
          <t>PAGTO ELETRON  COBRANCA NF 19239</t>
        </is>
      </c>
      <c r="I3201" t="n">
        <v>-108.78</v>
      </c>
    </row>
    <row r="3202">
      <c r="A3202" t="n">
        <v>65012</v>
      </c>
      <c r="B3202" t="n">
        <v>115</v>
      </c>
      <c r="C3202" t="inlineStr">
        <is>
          <t>Love - Shibari - Bradesco</t>
        </is>
      </c>
      <c r="D3202" t="n">
        <v>128</v>
      </c>
      <c r="E3202" t="inlineStr">
        <is>
          <t>Love Cabaret</t>
        </is>
      </c>
      <c r="F3202" s="27" t="n">
        <v>45712.5</v>
      </c>
      <c r="G3202" t="inlineStr">
        <is>
          <t>DEBITO</t>
        </is>
      </c>
      <c r="H3202" t="inlineStr">
        <is>
          <t>PAGTO ELETRON  COBRANCA NF 75319</t>
        </is>
      </c>
      <c r="I3202" t="n">
        <v>-38.56</v>
      </c>
    </row>
    <row r="3203">
      <c r="A3203" t="n">
        <v>64999</v>
      </c>
      <c r="B3203" t="n">
        <v>115</v>
      </c>
      <c r="C3203" t="inlineStr">
        <is>
          <t>Love - Shibari - Bradesco</t>
        </is>
      </c>
      <c r="D3203" t="n">
        <v>128</v>
      </c>
      <c r="E3203" t="inlineStr">
        <is>
          <t>Love Cabaret</t>
        </is>
      </c>
      <c r="F3203" s="27" t="n">
        <v>45712.5</v>
      </c>
      <c r="G3203" t="inlineStr">
        <is>
          <t>DEBITO</t>
        </is>
      </c>
      <c r="H3203" t="inlineStr">
        <is>
          <t>PAGTO ELETRON  COBRANCA NF 12685</t>
        </is>
      </c>
      <c r="I3203" t="n">
        <v>-1568.08</v>
      </c>
    </row>
    <row r="3204">
      <c r="A3204" t="n">
        <v>64998</v>
      </c>
      <c r="B3204" t="n">
        <v>115</v>
      </c>
      <c r="C3204" t="inlineStr">
        <is>
          <t>Love - Shibari - Bradesco</t>
        </is>
      </c>
      <c r="D3204" t="n">
        <v>128</v>
      </c>
      <c r="E3204" t="inlineStr">
        <is>
          <t>Love Cabaret</t>
        </is>
      </c>
      <c r="F3204" s="27" t="n">
        <v>45712.5</v>
      </c>
      <c r="G3204" t="inlineStr">
        <is>
          <t>DEBITO</t>
        </is>
      </c>
      <c r="H3204" t="inlineStr">
        <is>
          <t>PAGTO ELETRON  COBRANCA NF 192002</t>
        </is>
      </c>
      <c r="I3204" t="n">
        <v>-3221.33</v>
      </c>
    </row>
    <row r="3205">
      <c r="A3205" t="n">
        <v>64997</v>
      </c>
      <c r="B3205" t="n">
        <v>115</v>
      </c>
      <c r="C3205" t="inlineStr">
        <is>
          <t>Love - Shibari - Bradesco</t>
        </is>
      </c>
      <c r="D3205" t="n">
        <v>128</v>
      </c>
      <c r="E3205" t="inlineStr">
        <is>
          <t>Love Cabaret</t>
        </is>
      </c>
      <c r="F3205" s="27" t="n">
        <v>45712.5</v>
      </c>
      <c r="G3205" t="inlineStr">
        <is>
          <t>CREDITO</t>
        </is>
      </c>
      <c r="H3205" t="inlineStr">
        <is>
          <t>TRANSFERENCIA PIX REM: Zig Tecnologia S.A.   24/02</t>
        </is>
      </c>
      <c r="I3205" t="n">
        <v>40174.89</v>
      </c>
    </row>
    <row r="3206">
      <c r="A3206" t="n">
        <v>65001</v>
      </c>
      <c r="B3206" t="n">
        <v>115</v>
      </c>
      <c r="C3206" t="inlineStr">
        <is>
          <t>Love - Shibari - Bradesco</t>
        </is>
      </c>
      <c r="D3206" t="n">
        <v>128</v>
      </c>
      <c r="E3206" t="inlineStr">
        <is>
          <t>Love Cabaret</t>
        </is>
      </c>
      <c r="F3206" s="27" t="n">
        <v>45712.5</v>
      </c>
      <c r="G3206" t="inlineStr">
        <is>
          <t>DEBITO</t>
        </is>
      </c>
      <c r="H3206" t="inlineStr">
        <is>
          <t>PAGTO ELETRON  COBRANCA NF 437892</t>
        </is>
      </c>
      <c r="I3206" t="n">
        <v>-1122.6</v>
      </c>
    </row>
    <row r="3207">
      <c r="A3207" t="n">
        <v>64996</v>
      </c>
      <c r="B3207" t="n">
        <v>115</v>
      </c>
      <c r="C3207" t="inlineStr">
        <is>
          <t>Love - Shibari - Bradesco</t>
        </is>
      </c>
      <c r="D3207" t="n">
        <v>128</v>
      </c>
      <c r="E3207" t="inlineStr">
        <is>
          <t>Love Cabaret</t>
        </is>
      </c>
      <c r="F3207" s="27" t="n">
        <v>45709.5</v>
      </c>
      <c r="G3207" t="inlineStr">
        <is>
          <t>DEBITO</t>
        </is>
      </c>
      <c r="H3207" t="inlineStr">
        <is>
          <t>TARIFA BANCARIA TRANSF PGTO PIX</t>
        </is>
      </c>
      <c r="I3207" t="n">
        <v>-9</v>
      </c>
    </row>
    <row r="3208">
      <c r="A3208" t="n">
        <v>64995</v>
      </c>
      <c r="B3208" t="n">
        <v>115</v>
      </c>
      <c r="C3208" t="inlineStr">
        <is>
          <t>Love - Shibari - Bradesco</t>
        </is>
      </c>
      <c r="D3208" t="n">
        <v>128</v>
      </c>
      <c r="E3208" t="inlineStr">
        <is>
          <t>Love Cabaret</t>
        </is>
      </c>
      <c r="F3208" s="27" t="n">
        <v>45709.5</v>
      </c>
      <c r="G3208" t="inlineStr">
        <is>
          <t>DEBITO</t>
        </is>
      </c>
      <c r="H3208" t="inlineStr">
        <is>
          <t>TARIFA BANCARIA TRANSF PGTO PIX</t>
        </is>
      </c>
      <c r="I3208" t="n">
        <v>-8.4</v>
      </c>
    </row>
    <row r="3209">
      <c r="A3209" t="n">
        <v>64994</v>
      </c>
      <c r="B3209" t="n">
        <v>115</v>
      </c>
      <c r="C3209" t="inlineStr">
        <is>
          <t>Love - Shibari - Bradesco</t>
        </is>
      </c>
      <c r="D3209" t="n">
        <v>128</v>
      </c>
      <c r="E3209" t="inlineStr">
        <is>
          <t>Love Cabaret</t>
        </is>
      </c>
      <c r="F3209" s="27" t="n">
        <v>45709.5</v>
      </c>
      <c r="G3209" t="inlineStr">
        <is>
          <t>DEBITO</t>
        </is>
      </c>
      <c r="H3209" t="inlineStr">
        <is>
          <t>TARIFA BANCARIA TRANSF PGTO PIX</t>
        </is>
      </c>
      <c r="I3209" t="n">
        <v>-1.65</v>
      </c>
    </row>
    <row r="3210">
      <c r="A3210" t="n">
        <v>64993</v>
      </c>
      <c r="B3210" t="n">
        <v>115</v>
      </c>
      <c r="C3210" t="inlineStr">
        <is>
          <t>Love - Shibari - Bradesco</t>
        </is>
      </c>
      <c r="D3210" t="n">
        <v>128</v>
      </c>
      <c r="E3210" t="inlineStr">
        <is>
          <t>Love Cabaret</t>
        </is>
      </c>
      <c r="F3210" s="27" t="n">
        <v>45709.5</v>
      </c>
      <c r="G3210" t="inlineStr">
        <is>
          <t>CREDITO</t>
        </is>
      </c>
      <c r="H3210" t="inlineStr">
        <is>
          <t>TED-TRANSF ELET DISPON REMET.DIVERTI TICKETS COME</t>
        </is>
      </c>
      <c r="I3210" t="n">
        <v>33348.96</v>
      </c>
    </row>
    <row r="3211">
      <c r="A3211" t="n">
        <v>64992</v>
      </c>
      <c r="B3211" t="n">
        <v>115</v>
      </c>
      <c r="C3211" t="inlineStr">
        <is>
          <t>Love - Shibari - Bradesco</t>
        </is>
      </c>
      <c r="D3211" t="n">
        <v>128</v>
      </c>
      <c r="E3211" t="inlineStr">
        <is>
          <t>Love Cabaret</t>
        </is>
      </c>
      <c r="F3211" s="27" t="n">
        <v>45709.5</v>
      </c>
      <c r="G3211" t="inlineStr">
        <is>
          <t>CREDITO</t>
        </is>
      </c>
      <c r="H3211" t="inlineStr">
        <is>
          <t>TED-TRANSF ELET DISPON REMET.DIVERTI TICKETS COME</t>
        </is>
      </c>
      <c r="I3211" t="n">
        <v>12826.76</v>
      </c>
    </row>
    <row r="3212">
      <c r="A3212" t="n">
        <v>64991</v>
      </c>
      <c r="B3212" t="n">
        <v>115</v>
      </c>
      <c r="C3212" t="inlineStr">
        <is>
          <t>Love - Shibari - Bradesco</t>
        </is>
      </c>
      <c r="D3212" t="n">
        <v>128</v>
      </c>
      <c r="E3212" t="inlineStr">
        <is>
          <t>Love Cabaret</t>
        </is>
      </c>
      <c r="F3212" s="27" t="n">
        <v>45709.5</v>
      </c>
      <c r="G3212" t="inlineStr">
        <is>
          <t>CREDITO</t>
        </is>
      </c>
      <c r="H3212" t="inlineStr">
        <is>
          <t>TED-TRANSF ELET DISPON REMET.DIVERTI TICKETS COME</t>
        </is>
      </c>
      <c r="I3212" t="n">
        <v>26941.74</v>
      </c>
    </row>
    <row r="3213">
      <c r="A3213" t="n">
        <v>64990</v>
      </c>
      <c r="B3213" t="n">
        <v>115</v>
      </c>
      <c r="C3213" t="inlineStr">
        <is>
          <t>Love - Shibari - Bradesco</t>
        </is>
      </c>
      <c r="D3213" t="n">
        <v>128</v>
      </c>
      <c r="E3213" t="inlineStr">
        <is>
          <t>Love Cabaret</t>
        </is>
      </c>
      <c r="F3213" s="27" t="n">
        <v>45708.5</v>
      </c>
      <c r="G3213" t="inlineStr">
        <is>
          <t>DEBITO</t>
        </is>
      </c>
      <c r="H3213" t="inlineStr">
        <is>
          <t>PAGTO ELETRON  COBRANCA 522670643</t>
        </is>
      </c>
      <c r="I3213" t="n">
        <v>-20190</v>
      </c>
    </row>
    <row r="3214">
      <c r="A3214" t="n">
        <v>64281</v>
      </c>
      <c r="B3214" t="n">
        <v>115</v>
      </c>
      <c r="C3214" t="inlineStr">
        <is>
          <t>Love - Shibari - Bradesco</t>
        </is>
      </c>
      <c r="D3214" t="n">
        <v>128</v>
      </c>
      <c r="E3214" t="inlineStr">
        <is>
          <t>Love Cabaret</t>
        </is>
      </c>
      <c r="F3214" s="27" t="n">
        <v>45707.5</v>
      </c>
      <c r="G3214" t="inlineStr">
        <is>
          <t>DEBITO</t>
        </is>
      </c>
      <c r="H3214" t="inlineStr">
        <is>
          <t>PAGTO ELETRON  COBRANCA NF 437232</t>
        </is>
      </c>
      <c r="I3214" t="n">
        <v>-1318.71</v>
      </c>
    </row>
    <row r="3215">
      <c r="A3215" t="n">
        <v>64304</v>
      </c>
      <c r="B3215" t="n">
        <v>115</v>
      </c>
      <c r="C3215" t="inlineStr">
        <is>
          <t>Love - Shibari - Bradesco</t>
        </is>
      </c>
      <c r="D3215" t="n">
        <v>128</v>
      </c>
      <c r="E3215" t="inlineStr">
        <is>
          <t>Love Cabaret</t>
        </is>
      </c>
      <c r="F3215" s="27" t="n">
        <v>45707.5</v>
      </c>
      <c r="G3215" t="inlineStr">
        <is>
          <t>DEBITO</t>
        </is>
      </c>
      <c r="H3215" t="inlineStr">
        <is>
          <t>PIX QR CODE DINAMICO DES: CAIXA ECONOMICA FEDER 19/02</t>
        </is>
      </c>
      <c r="I3215" t="n">
        <v>-584.29</v>
      </c>
    </row>
    <row r="3216">
      <c r="A3216" t="n">
        <v>64305</v>
      </c>
      <c r="B3216" t="n">
        <v>115</v>
      </c>
      <c r="C3216" t="inlineStr">
        <is>
          <t>Love - Shibari - Bradesco</t>
        </is>
      </c>
      <c r="D3216" t="n">
        <v>128</v>
      </c>
      <c r="E3216" t="inlineStr">
        <is>
          <t>Love Cabaret</t>
        </is>
      </c>
      <c r="F3216" s="27" t="n">
        <v>45707.5</v>
      </c>
      <c r="G3216" t="inlineStr">
        <is>
          <t>DEBITO</t>
        </is>
      </c>
      <c r="H3216" t="inlineStr">
        <is>
          <t>CONTA DE AGUA E ESGOTO INTERNET --SABESP/SP</t>
        </is>
      </c>
      <c r="I3216" t="n">
        <v>-153.96</v>
      </c>
    </row>
    <row r="3217">
      <c r="A3217" t="n">
        <v>64277</v>
      </c>
      <c r="B3217" t="n">
        <v>115</v>
      </c>
      <c r="C3217" t="inlineStr">
        <is>
          <t>Love - Shibari - Bradesco</t>
        </is>
      </c>
      <c r="D3217" t="n">
        <v>128</v>
      </c>
      <c r="E3217" t="inlineStr">
        <is>
          <t>Love Cabaret</t>
        </is>
      </c>
      <c r="F3217" s="27" t="n">
        <v>45707.5</v>
      </c>
      <c r="G3217" t="inlineStr">
        <is>
          <t>CREDITO</t>
        </is>
      </c>
      <c r="H3217" t="inlineStr">
        <is>
          <t>TRANSFERENCIA PIX REM: Zig Tecnologia S.A.   19/02</t>
        </is>
      </c>
      <c r="I3217" t="n">
        <v>64114.16</v>
      </c>
    </row>
    <row r="3218">
      <c r="A3218" t="n">
        <v>64278</v>
      </c>
      <c r="B3218" t="n">
        <v>115</v>
      </c>
      <c r="C3218" t="inlineStr">
        <is>
          <t>Love - Shibari - Bradesco</t>
        </is>
      </c>
      <c r="D3218" t="n">
        <v>128</v>
      </c>
      <c r="E3218" t="inlineStr">
        <is>
          <t>Love Cabaret</t>
        </is>
      </c>
      <c r="F3218" s="27" t="n">
        <v>45707.5</v>
      </c>
      <c r="G3218" t="inlineStr">
        <is>
          <t>DEBITO</t>
        </is>
      </c>
      <c r="H3218" t="inlineStr">
        <is>
          <t>PAGTO ELETRON  COBRANCA ESTAFF 521202856</t>
        </is>
      </c>
      <c r="I3218" t="n">
        <v>-11363</v>
      </c>
    </row>
    <row r="3219">
      <c r="A3219" t="n">
        <v>64279</v>
      </c>
      <c r="B3219" t="n">
        <v>115</v>
      </c>
      <c r="C3219" t="inlineStr">
        <is>
          <t>Love - Shibari - Bradesco</t>
        </is>
      </c>
      <c r="D3219" t="n">
        <v>128</v>
      </c>
      <c r="E3219" t="inlineStr">
        <is>
          <t>Love Cabaret</t>
        </is>
      </c>
      <c r="F3219" s="27" t="n">
        <v>45707.5</v>
      </c>
      <c r="G3219" t="inlineStr">
        <is>
          <t>DEBITO</t>
        </is>
      </c>
      <c r="H3219" t="inlineStr">
        <is>
          <t>PAGTO ELETRON  COBRANCA NF 114647</t>
        </is>
      </c>
      <c r="I3219" t="n">
        <v>-3855.44</v>
      </c>
    </row>
    <row r="3220">
      <c r="A3220" t="n">
        <v>64280</v>
      </c>
      <c r="B3220" t="n">
        <v>115</v>
      </c>
      <c r="C3220" t="inlineStr">
        <is>
          <t>Love - Shibari - Bradesco</t>
        </is>
      </c>
      <c r="D3220" t="n">
        <v>128</v>
      </c>
      <c r="E3220" t="inlineStr">
        <is>
          <t>Love Cabaret</t>
        </is>
      </c>
      <c r="F3220" s="27" t="n">
        <v>45707.5</v>
      </c>
      <c r="G3220" t="inlineStr">
        <is>
          <t>DEBITO</t>
        </is>
      </c>
      <c r="H3220" t="inlineStr">
        <is>
          <t>PAGTO ELETRON  COBRANCA NF 114739</t>
        </is>
      </c>
      <c r="I3220" t="n">
        <v>-3726.62</v>
      </c>
    </row>
    <row r="3221">
      <c r="A3221" t="n">
        <v>64282</v>
      </c>
      <c r="B3221" t="n">
        <v>115</v>
      </c>
      <c r="C3221" t="inlineStr">
        <is>
          <t>Love - Shibari - Bradesco</t>
        </is>
      </c>
      <c r="D3221" t="n">
        <v>128</v>
      </c>
      <c r="E3221" t="inlineStr">
        <is>
          <t>Love Cabaret</t>
        </is>
      </c>
      <c r="F3221" s="27" t="n">
        <v>45707.5</v>
      </c>
      <c r="G3221" t="inlineStr">
        <is>
          <t>DEBITO</t>
        </is>
      </c>
      <c r="H3221" t="inlineStr">
        <is>
          <t>PAGTO ELETRON  COBRANCA NF 394235</t>
        </is>
      </c>
      <c r="I3221" t="n">
        <v>-854.1</v>
      </c>
    </row>
    <row r="3222">
      <c r="A3222" t="n">
        <v>64283</v>
      </c>
      <c r="B3222" t="n">
        <v>115</v>
      </c>
      <c r="C3222" t="inlineStr">
        <is>
          <t>Love - Shibari - Bradesco</t>
        </is>
      </c>
      <c r="D3222" t="n">
        <v>128</v>
      </c>
      <c r="E3222" t="inlineStr">
        <is>
          <t>Love Cabaret</t>
        </is>
      </c>
      <c r="F3222" s="27" t="n">
        <v>45707.5</v>
      </c>
      <c r="G3222" t="inlineStr">
        <is>
          <t>DEBITO</t>
        </is>
      </c>
      <c r="H3222" t="inlineStr">
        <is>
          <t>PAGTO ELETRON  COBRANCA NF 240650</t>
        </is>
      </c>
      <c r="I3222" t="n">
        <v>-779.5700000000001</v>
      </c>
    </row>
    <row r="3223">
      <c r="A3223" t="n">
        <v>64284</v>
      </c>
      <c r="B3223" t="n">
        <v>115</v>
      </c>
      <c r="C3223" t="inlineStr">
        <is>
          <t>Love - Shibari - Bradesco</t>
        </is>
      </c>
      <c r="D3223" t="n">
        <v>128</v>
      </c>
      <c r="E3223" t="inlineStr">
        <is>
          <t>Love Cabaret</t>
        </is>
      </c>
      <c r="F3223" s="27" t="n">
        <v>45707.5</v>
      </c>
      <c r="G3223" t="inlineStr">
        <is>
          <t>DEBITO</t>
        </is>
      </c>
      <c r="H3223" t="inlineStr">
        <is>
          <t>PAGTO ELETRON  COBRANCA NF 19013</t>
        </is>
      </c>
      <c r="I3223" t="n">
        <v>-539.9</v>
      </c>
    </row>
    <row r="3224">
      <c r="A3224" t="n">
        <v>64285</v>
      </c>
      <c r="B3224" t="n">
        <v>115</v>
      </c>
      <c r="C3224" t="inlineStr">
        <is>
          <t>Love - Shibari - Bradesco</t>
        </is>
      </c>
      <c r="D3224" t="n">
        <v>128</v>
      </c>
      <c r="E3224" t="inlineStr">
        <is>
          <t>Love Cabaret</t>
        </is>
      </c>
      <c r="F3224" s="27" t="n">
        <v>45707.5</v>
      </c>
      <c r="G3224" t="inlineStr">
        <is>
          <t>DEBITO</t>
        </is>
      </c>
      <c r="H3224" t="inlineStr">
        <is>
          <t>PAGTO ELETRON  COBRANCA 1737025</t>
        </is>
      </c>
      <c r="I3224" t="n">
        <v>-515</v>
      </c>
    </row>
    <row r="3225">
      <c r="A3225" t="n">
        <v>64286</v>
      </c>
      <c r="B3225" t="n">
        <v>115</v>
      </c>
      <c r="C3225" t="inlineStr">
        <is>
          <t>Love - Shibari - Bradesco</t>
        </is>
      </c>
      <c r="D3225" t="n">
        <v>128</v>
      </c>
      <c r="E3225" t="inlineStr">
        <is>
          <t>Love Cabaret</t>
        </is>
      </c>
      <c r="F3225" s="27" t="n">
        <v>45707.5</v>
      </c>
      <c r="G3225" t="inlineStr">
        <is>
          <t>DEBITO</t>
        </is>
      </c>
      <c r="H3225" t="inlineStr">
        <is>
          <t>PAGTO ELETRON  COBRANCA NF 299</t>
        </is>
      </c>
      <c r="I3225" t="n">
        <v>-471.42</v>
      </c>
    </row>
    <row r="3226">
      <c r="A3226" t="n">
        <v>64287</v>
      </c>
      <c r="B3226" t="n">
        <v>115</v>
      </c>
      <c r="C3226" t="inlineStr">
        <is>
          <t>Love - Shibari - Bradesco</t>
        </is>
      </c>
      <c r="D3226" t="n">
        <v>128</v>
      </c>
      <c r="E3226" t="inlineStr">
        <is>
          <t>Love Cabaret</t>
        </is>
      </c>
      <c r="F3226" s="27" t="n">
        <v>45707.5</v>
      </c>
      <c r="G3226" t="inlineStr">
        <is>
          <t>DEBITO</t>
        </is>
      </c>
      <c r="H3226" t="inlineStr">
        <is>
          <t>PAGTO ELETRON  COBRANCA NF 54</t>
        </is>
      </c>
      <c r="I3226" t="n">
        <v>-360</v>
      </c>
    </row>
    <row r="3227">
      <c r="A3227" t="n">
        <v>64288</v>
      </c>
      <c r="B3227" t="n">
        <v>115</v>
      </c>
      <c r="C3227" t="inlineStr">
        <is>
          <t>Love - Shibari - Bradesco</t>
        </is>
      </c>
      <c r="D3227" t="n">
        <v>128</v>
      </c>
      <c r="E3227" t="inlineStr">
        <is>
          <t>Love Cabaret</t>
        </is>
      </c>
      <c r="F3227" s="27" t="n">
        <v>45707.5</v>
      </c>
      <c r="G3227" t="inlineStr">
        <is>
          <t>DEBITO</t>
        </is>
      </c>
      <c r="H3227" t="inlineStr">
        <is>
          <t>PAGTO ELETRON  COBRANCA NF 365531</t>
        </is>
      </c>
      <c r="I3227" t="n">
        <v>-281.35</v>
      </c>
    </row>
    <row r="3228">
      <c r="A3228" t="n">
        <v>64289</v>
      </c>
      <c r="B3228" t="n">
        <v>115</v>
      </c>
      <c r="C3228" t="inlineStr">
        <is>
          <t>Love - Shibari - Bradesco</t>
        </is>
      </c>
      <c r="D3228" t="n">
        <v>128</v>
      </c>
      <c r="E3228" t="inlineStr">
        <is>
          <t>Love Cabaret</t>
        </is>
      </c>
      <c r="F3228" s="27" t="n">
        <v>45707.5</v>
      </c>
      <c r="G3228" t="inlineStr">
        <is>
          <t>DEBITO</t>
        </is>
      </c>
      <c r="H3228" t="inlineStr">
        <is>
          <t>PAGTO ELETRON  COBRANCA 000018</t>
        </is>
      </c>
      <c r="I3228" t="n">
        <v>-1731.27</v>
      </c>
    </row>
    <row r="3229">
      <c r="A3229" t="n">
        <v>64290</v>
      </c>
      <c r="B3229" t="n">
        <v>115</v>
      </c>
      <c r="C3229" t="inlineStr">
        <is>
          <t>Love - Shibari - Bradesco</t>
        </is>
      </c>
      <c r="D3229" t="n">
        <v>128</v>
      </c>
      <c r="E3229" t="inlineStr">
        <is>
          <t>Love Cabaret</t>
        </is>
      </c>
      <c r="F3229" s="27" t="n">
        <v>45707.5</v>
      </c>
      <c r="G3229" t="inlineStr">
        <is>
          <t>DEBITO</t>
        </is>
      </c>
      <c r="H3229" t="inlineStr">
        <is>
          <t>TARIFA BANCARIA TRANSF PGTO PIX</t>
        </is>
      </c>
      <c r="I3229" t="n">
        <v>-1.65</v>
      </c>
    </row>
    <row r="3230">
      <c r="A3230" t="n">
        <v>64292</v>
      </c>
      <c r="B3230" t="n">
        <v>115</v>
      </c>
      <c r="C3230" t="inlineStr">
        <is>
          <t>Love - Shibari - Bradesco</t>
        </is>
      </c>
      <c r="D3230" t="n">
        <v>128</v>
      </c>
      <c r="E3230" t="inlineStr">
        <is>
          <t>Love Cabaret</t>
        </is>
      </c>
      <c r="F3230" s="27" t="n">
        <v>45707.5</v>
      </c>
      <c r="G3230" t="inlineStr">
        <is>
          <t>DEBITO</t>
        </is>
      </c>
      <c r="H3230" t="inlineStr">
        <is>
          <t>PAGTO ELETRONICO TRIBUTO INTERNET --RECEITA FEDERAL/SP</t>
        </is>
      </c>
      <c r="I3230" t="n">
        <v>-249.83</v>
      </c>
    </row>
    <row r="3231">
      <c r="A3231" t="n">
        <v>64293</v>
      </c>
      <c r="B3231" t="n">
        <v>115</v>
      </c>
      <c r="C3231" t="inlineStr">
        <is>
          <t>Love - Shibari - Bradesco</t>
        </is>
      </c>
      <c r="D3231" t="n">
        <v>128</v>
      </c>
      <c r="E3231" t="inlineStr">
        <is>
          <t>Love Cabaret</t>
        </is>
      </c>
      <c r="F3231" s="27" t="n">
        <v>45707.5</v>
      </c>
      <c r="G3231" t="inlineStr">
        <is>
          <t>DEBITO</t>
        </is>
      </c>
      <c r="H3231" t="inlineStr">
        <is>
          <t>PAGTO ELETRONICO TRIBUTO INTERNET --RECEITA FEDERAL/SP</t>
        </is>
      </c>
      <c r="I3231" t="n">
        <v>-1081.85</v>
      </c>
    </row>
    <row r="3232">
      <c r="A3232" t="n">
        <v>64294</v>
      </c>
      <c r="B3232" t="n">
        <v>115</v>
      </c>
      <c r="C3232" t="inlineStr">
        <is>
          <t>Love - Shibari - Bradesco</t>
        </is>
      </c>
      <c r="D3232" t="n">
        <v>128</v>
      </c>
      <c r="E3232" t="inlineStr">
        <is>
          <t>Love Cabaret</t>
        </is>
      </c>
      <c r="F3232" s="27" t="n">
        <v>45707.5</v>
      </c>
      <c r="G3232" t="inlineStr">
        <is>
          <t>DEBITO</t>
        </is>
      </c>
      <c r="H3232" t="inlineStr">
        <is>
          <t>PAGTO ELETRONICO TRIBUTO INTERNET --RECEITA FEDERAL/SP</t>
        </is>
      </c>
      <c r="I3232" t="n">
        <v>-55</v>
      </c>
    </row>
    <row r="3233">
      <c r="A3233" t="n">
        <v>64295</v>
      </c>
      <c r="B3233" t="n">
        <v>115</v>
      </c>
      <c r="C3233" t="inlineStr">
        <is>
          <t>Love - Shibari - Bradesco</t>
        </is>
      </c>
      <c r="D3233" t="n">
        <v>128</v>
      </c>
      <c r="E3233" t="inlineStr">
        <is>
          <t>Love Cabaret</t>
        </is>
      </c>
      <c r="F3233" s="27" t="n">
        <v>45707.5</v>
      </c>
      <c r="G3233" t="inlineStr">
        <is>
          <t>DEBITO</t>
        </is>
      </c>
      <c r="H3233" t="inlineStr">
        <is>
          <t>PAGTO ELETRONICO TRIBUTO INTERNET --RECEITA FEDERAL/SP</t>
        </is>
      </c>
      <c r="I3233" t="n">
        <v>-43.11</v>
      </c>
    </row>
    <row r="3234">
      <c r="A3234" t="n">
        <v>64296</v>
      </c>
      <c r="B3234" t="n">
        <v>115</v>
      </c>
      <c r="C3234" t="inlineStr">
        <is>
          <t>Love - Shibari - Bradesco</t>
        </is>
      </c>
      <c r="D3234" t="n">
        <v>128</v>
      </c>
      <c r="E3234" t="inlineStr">
        <is>
          <t>Love Cabaret</t>
        </is>
      </c>
      <c r="F3234" s="27" t="n">
        <v>45707.5</v>
      </c>
      <c r="G3234" t="inlineStr">
        <is>
          <t>DEBITO</t>
        </is>
      </c>
      <c r="H3234" t="inlineStr">
        <is>
          <t>PAGTO ELETRONICO TRIBUTO INTERNET --RECEITA FEDERAL/SP</t>
        </is>
      </c>
      <c r="I3234" t="n">
        <v>-434.46</v>
      </c>
    </row>
    <row r="3235">
      <c r="A3235" t="n">
        <v>64297</v>
      </c>
      <c r="B3235" t="n">
        <v>115</v>
      </c>
      <c r="C3235" t="inlineStr">
        <is>
          <t>Love - Shibari - Bradesco</t>
        </is>
      </c>
      <c r="D3235" t="n">
        <v>128</v>
      </c>
      <c r="E3235" t="inlineStr">
        <is>
          <t>Love Cabaret</t>
        </is>
      </c>
      <c r="F3235" s="27" t="n">
        <v>45707.5</v>
      </c>
      <c r="G3235" t="inlineStr">
        <is>
          <t>DEBITO</t>
        </is>
      </c>
      <c r="H3235" t="inlineStr">
        <is>
          <t>PAGTO ELETRONICO TRIBUTO INTERNET --RECEITA FEDERAL/SP</t>
        </is>
      </c>
      <c r="I3235" t="n">
        <v>-3407.88</v>
      </c>
    </row>
    <row r="3236">
      <c r="A3236" t="n">
        <v>64298</v>
      </c>
      <c r="B3236" t="n">
        <v>115</v>
      </c>
      <c r="C3236" t="inlineStr">
        <is>
          <t>Love - Shibari - Bradesco</t>
        </is>
      </c>
      <c r="D3236" t="n">
        <v>128</v>
      </c>
      <c r="E3236" t="inlineStr">
        <is>
          <t>Love Cabaret</t>
        </is>
      </c>
      <c r="F3236" s="27" t="n">
        <v>45707.5</v>
      </c>
      <c r="G3236" t="inlineStr">
        <is>
          <t>DEBITO</t>
        </is>
      </c>
      <c r="H3236" t="inlineStr">
        <is>
          <t>PAGTO ELETRONICO TRIBUTO INTERNET --SP/SEFAZ-DARE</t>
        </is>
      </c>
      <c r="I3236" t="n">
        <v>-7700.16</v>
      </c>
    </row>
    <row r="3237">
      <c r="A3237" t="n">
        <v>64299</v>
      </c>
      <c r="B3237" t="n">
        <v>115</v>
      </c>
      <c r="C3237" t="inlineStr">
        <is>
          <t>Love - Shibari - Bradesco</t>
        </is>
      </c>
      <c r="D3237" t="n">
        <v>128</v>
      </c>
      <c r="E3237" t="inlineStr">
        <is>
          <t>Love Cabaret</t>
        </is>
      </c>
      <c r="F3237" s="27" t="n">
        <v>45707.5</v>
      </c>
      <c r="G3237" t="inlineStr">
        <is>
          <t>DEBITO</t>
        </is>
      </c>
      <c r="H3237" t="inlineStr">
        <is>
          <t>PGTO FERIAS VIA NET EMPR</t>
        </is>
      </c>
      <c r="I3237" t="n">
        <v>-2134.28</v>
      </c>
    </row>
    <row r="3238">
      <c r="A3238" t="n">
        <v>64300</v>
      </c>
      <c r="B3238" t="n">
        <v>115</v>
      </c>
      <c r="C3238" t="inlineStr">
        <is>
          <t>Love - Shibari - Bradesco</t>
        </is>
      </c>
      <c r="D3238" t="n">
        <v>128</v>
      </c>
      <c r="E3238" t="inlineStr">
        <is>
          <t>Love Cabaret</t>
        </is>
      </c>
      <c r="F3238" s="27" t="n">
        <v>45707.5</v>
      </c>
      <c r="G3238" t="inlineStr">
        <is>
          <t>DEBITO</t>
        </is>
      </c>
      <c r="H3238" t="inlineStr">
        <is>
          <t>ADIANT SALARIO VIA NET</t>
        </is>
      </c>
      <c r="I3238" t="n">
        <v>-1865.48</v>
      </c>
    </row>
    <row r="3239">
      <c r="A3239" t="n">
        <v>64301</v>
      </c>
      <c r="B3239" t="n">
        <v>115</v>
      </c>
      <c r="C3239" t="inlineStr">
        <is>
          <t>Love - Shibari - Bradesco</t>
        </is>
      </c>
      <c r="D3239" t="n">
        <v>128</v>
      </c>
      <c r="E3239" t="inlineStr">
        <is>
          <t>Love Cabaret</t>
        </is>
      </c>
      <c r="F3239" s="27" t="n">
        <v>45707.5</v>
      </c>
      <c r="G3239" t="inlineStr">
        <is>
          <t>DEBITO</t>
        </is>
      </c>
      <c r="H3239" t="inlineStr">
        <is>
          <t>TRANSFERENCIA PIX DES: MACHINE SEGURANCA PAT 19/02</t>
        </is>
      </c>
      <c r="I3239" t="n">
        <v>-6460</v>
      </c>
    </row>
    <row r="3240">
      <c r="A3240" t="n">
        <v>64302</v>
      </c>
      <c r="B3240" t="n">
        <v>115</v>
      </c>
      <c r="C3240" t="inlineStr">
        <is>
          <t>Love - Shibari - Bradesco</t>
        </is>
      </c>
      <c r="D3240" t="n">
        <v>128</v>
      </c>
      <c r="E3240" t="inlineStr">
        <is>
          <t>Love Cabaret</t>
        </is>
      </c>
      <c r="F3240" s="27" t="n">
        <v>45707.5</v>
      </c>
      <c r="G3240" t="inlineStr">
        <is>
          <t>DEBITO</t>
        </is>
      </c>
      <c r="H3240" t="inlineStr">
        <is>
          <t>TRANSFERENCIA PIX DES: DINA APOSTOLAKIS MALF 19/02</t>
        </is>
      </c>
      <c r="I3240" t="n">
        <v>-600</v>
      </c>
    </row>
    <row r="3241">
      <c r="A3241" t="n">
        <v>64303</v>
      </c>
      <c r="B3241" t="n">
        <v>115</v>
      </c>
      <c r="C3241" t="inlineStr">
        <is>
          <t>Love - Shibari - Bradesco</t>
        </is>
      </c>
      <c r="D3241" t="n">
        <v>128</v>
      </c>
      <c r="E3241" t="inlineStr">
        <is>
          <t>Love Cabaret</t>
        </is>
      </c>
      <c r="F3241" s="27" t="n">
        <v>45707.5</v>
      </c>
      <c r="G3241" t="inlineStr">
        <is>
          <t>DEBITO</t>
        </is>
      </c>
      <c r="H3241" t="inlineStr">
        <is>
          <t>TRANSFERENCIA PIX DES: TEMPUS FUGIT PARTICIP 19/02</t>
        </is>
      </c>
      <c r="I3241" t="n">
        <v>-100</v>
      </c>
    </row>
    <row r="3242">
      <c r="A3242" t="n">
        <v>64291</v>
      </c>
      <c r="B3242" t="n">
        <v>115</v>
      </c>
      <c r="C3242" t="inlineStr">
        <is>
          <t>Love - Shibari - Bradesco</t>
        </is>
      </c>
      <c r="D3242" t="n">
        <v>128</v>
      </c>
      <c r="E3242" t="inlineStr">
        <is>
          <t>Love Cabaret</t>
        </is>
      </c>
      <c r="F3242" s="27" t="n">
        <v>45707.5</v>
      </c>
      <c r="G3242" t="inlineStr">
        <is>
          <t>DEBITO</t>
        </is>
      </c>
      <c r="H3242" t="inlineStr">
        <is>
          <t>PAGTO ELETRONICO TRIBUTO INTERNET --RECEITA FEDERAL/SP</t>
        </is>
      </c>
      <c r="I3242" t="n">
        <v>-51.22</v>
      </c>
    </row>
    <row r="3243">
      <c r="A3243" t="n">
        <v>64275</v>
      </c>
      <c r="B3243" t="n">
        <v>115</v>
      </c>
      <c r="C3243" t="inlineStr">
        <is>
          <t>Love - Shibari - Bradesco</t>
        </is>
      </c>
      <c r="D3243" t="n">
        <v>128</v>
      </c>
      <c r="E3243" t="inlineStr">
        <is>
          <t>Love Cabaret</t>
        </is>
      </c>
      <c r="F3243" s="27" t="n">
        <v>45706.5</v>
      </c>
      <c r="G3243" t="inlineStr">
        <is>
          <t>DEBITO</t>
        </is>
      </c>
      <c r="H3243" t="inlineStr">
        <is>
          <t>PAGTO ELETRONICO TRIBUTO INTERNET --SP/SEFAZ-DARE</t>
        </is>
      </c>
      <c r="I3243" t="n">
        <v>-122.17</v>
      </c>
    </row>
    <row r="3244">
      <c r="A3244" t="n">
        <v>63810</v>
      </c>
      <c r="B3244" t="n">
        <v>115</v>
      </c>
      <c r="C3244" t="inlineStr">
        <is>
          <t>Love - Shibari - Bradesco</t>
        </is>
      </c>
      <c r="D3244" t="n">
        <v>128</v>
      </c>
      <c r="E3244" t="inlineStr">
        <is>
          <t>Love Cabaret</t>
        </is>
      </c>
      <c r="F3244" s="27" t="n">
        <v>45705.5</v>
      </c>
      <c r="G3244" t="inlineStr">
        <is>
          <t>DEBITO</t>
        </is>
      </c>
      <c r="H3244" t="inlineStr">
        <is>
          <t>TRANSFERENCIA PIX DES: TEMPUS FUGIT PARTICIP 17/02</t>
        </is>
      </c>
      <c r="I3244" t="n">
        <v>-25.18</v>
      </c>
    </row>
    <row r="3245">
      <c r="A3245" t="n">
        <v>63809</v>
      </c>
      <c r="B3245" t="n">
        <v>115</v>
      </c>
      <c r="C3245" t="inlineStr">
        <is>
          <t>Love - Shibari - Bradesco</t>
        </is>
      </c>
      <c r="D3245" t="n">
        <v>128</v>
      </c>
      <c r="E3245" t="inlineStr">
        <is>
          <t>Love Cabaret</t>
        </is>
      </c>
      <c r="F3245" s="27" t="n">
        <v>45705.5</v>
      </c>
      <c r="G3245" t="inlineStr">
        <is>
          <t>DEBITO</t>
        </is>
      </c>
      <c r="H3245" t="inlineStr">
        <is>
          <t>PAGTO ELETRON  COBRANCA NF 18262</t>
        </is>
      </c>
      <c r="I3245" t="n">
        <v>-30.5</v>
      </c>
    </row>
    <row r="3246">
      <c r="A3246" t="n">
        <v>63808</v>
      </c>
      <c r="B3246" t="n">
        <v>115</v>
      </c>
      <c r="C3246" t="inlineStr">
        <is>
          <t>Love - Shibari - Bradesco</t>
        </is>
      </c>
      <c r="D3246" t="n">
        <v>128</v>
      </c>
      <c r="E3246" t="inlineStr">
        <is>
          <t>Love Cabaret</t>
        </is>
      </c>
      <c r="F3246" s="27" t="n">
        <v>45705.5</v>
      </c>
      <c r="G3246" t="inlineStr">
        <is>
          <t>DEBITO</t>
        </is>
      </c>
      <c r="H3246" t="inlineStr">
        <is>
          <t>PAGTO ELETRON  COBRANCA NF 27</t>
        </is>
      </c>
      <c r="I3246" t="n">
        <v>-173</v>
      </c>
    </row>
    <row r="3247">
      <c r="A3247" t="n">
        <v>63807</v>
      </c>
      <c r="B3247" t="n">
        <v>115</v>
      </c>
      <c r="C3247" t="inlineStr">
        <is>
          <t>Love - Shibari - Bradesco</t>
        </is>
      </c>
      <c r="D3247" t="n">
        <v>128</v>
      </c>
      <c r="E3247" t="inlineStr">
        <is>
          <t>Love Cabaret</t>
        </is>
      </c>
      <c r="F3247" s="27" t="n">
        <v>45705.5</v>
      </c>
      <c r="G3247" t="inlineStr">
        <is>
          <t>DEBITO</t>
        </is>
      </c>
      <c r="H3247" t="inlineStr">
        <is>
          <t>PAGTO ELETRON  COBRANCA NF 102706</t>
        </is>
      </c>
      <c r="I3247" t="n">
        <v>-217.82</v>
      </c>
    </row>
    <row r="3248">
      <c r="A3248" t="n">
        <v>63806</v>
      </c>
      <c r="B3248" t="n">
        <v>115</v>
      </c>
      <c r="C3248" t="inlineStr">
        <is>
          <t>Love - Shibari - Bradesco</t>
        </is>
      </c>
      <c r="D3248" t="n">
        <v>128</v>
      </c>
      <c r="E3248" t="inlineStr">
        <is>
          <t>Love Cabaret</t>
        </is>
      </c>
      <c r="F3248" s="27" t="n">
        <v>45705.5</v>
      </c>
      <c r="G3248" t="inlineStr">
        <is>
          <t>DEBITO</t>
        </is>
      </c>
      <c r="H3248" t="inlineStr">
        <is>
          <t>PAGTO ELETRON  COBRANCA NF 140376</t>
        </is>
      </c>
      <c r="I3248" t="n">
        <v>-324.4</v>
      </c>
    </row>
    <row r="3249">
      <c r="A3249" t="n">
        <v>63805</v>
      </c>
      <c r="B3249" t="n">
        <v>115</v>
      </c>
      <c r="C3249" t="inlineStr">
        <is>
          <t>Love - Shibari - Bradesco</t>
        </is>
      </c>
      <c r="D3249" t="n">
        <v>128</v>
      </c>
      <c r="E3249" t="inlineStr">
        <is>
          <t>Love Cabaret</t>
        </is>
      </c>
      <c r="F3249" s="27" t="n">
        <v>45705.5</v>
      </c>
      <c r="G3249" t="inlineStr">
        <is>
          <t>DEBITO</t>
        </is>
      </c>
      <c r="H3249" t="inlineStr">
        <is>
          <t>PAGTO ELETRON  COBRANCA NF 34096</t>
        </is>
      </c>
      <c r="I3249" t="n">
        <v>-326.75</v>
      </c>
    </row>
    <row r="3250">
      <c r="A3250" t="n">
        <v>63804</v>
      </c>
      <c r="B3250" t="n">
        <v>115</v>
      </c>
      <c r="C3250" t="inlineStr">
        <is>
          <t>Love - Shibari - Bradesco</t>
        </is>
      </c>
      <c r="D3250" t="n">
        <v>128</v>
      </c>
      <c r="E3250" t="inlineStr">
        <is>
          <t>Love Cabaret</t>
        </is>
      </c>
      <c r="F3250" s="27" t="n">
        <v>45705.5</v>
      </c>
      <c r="G3250" t="inlineStr">
        <is>
          <t>DEBITO</t>
        </is>
      </c>
      <c r="H3250" t="inlineStr">
        <is>
          <t>PAGTO ELETRON  COBRANCA NF 296132</t>
        </is>
      </c>
      <c r="I3250" t="n">
        <v>-461.1</v>
      </c>
    </row>
    <row r="3251">
      <c r="A3251" t="n">
        <v>63803</v>
      </c>
      <c r="B3251" t="n">
        <v>115</v>
      </c>
      <c r="C3251" t="inlineStr">
        <is>
          <t>Love - Shibari - Bradesco</t>
        </is>
      </c>
      <c r="D3251" t="n">
        <v>128</v>
      </c>
      <c r="E3251" t="inlineStr">
        <is>
          <t>Love Cabaret</t>
        </is>
      </c>
      <c r="F3251" s="27" t="n">
        <v>45705.5</v>
      </c>
      <c r="G3251" t="inlineStr">
        <is>
          <t>DEBITO</t>
        </is>
      </c>
      <c r="H3251" t="inlineStr">
        <is>
          <t>PAGTO ELETRON  COBRANCA NF 187243</t>
        </is>
      </c>
      <c r="I3251" t="n">
        <v>-482.93</v>
      </c>
    </row>
    <row r="3252">
      <c r="A3252" t="n">
        <v>63802</v>
      </c>
      <c r="B3252" t="n">
        <v>115</v>
      </c>
      <c r="C3252" t="inlineStr">
        <is>
          <t>Love - Shibari - Bradesco</t>
        </is>
      </c>
      <c r="D3252" t="n">
        <v>128</v>
      </c>
      <c r="E3252" t="inlineStr">
        <is>
          <t>Love Cabaret</t>
        </is>
      </c>
      <c r="F3252" s="27" t="n">
        <v>45705.5</v>
      </c>
      <c r="G3252" t="inlineStr">
        <is>
          <t>DEBITO</t>
        </is>
      </c>
      <c r="H3252" t="inlineStr">
        <is>
          <t>PAGTO ELETRON  COBRANCA NF 1075</t>
        </is>
      </c>
      <c r="I3252" t="n">
        <v>-520.6799999999999</v>
      </c>
    </row>
    <row r="3253">
      <c r="A3253" t="n">
        <v>63801</v>
      </c>
      <c r="B3253" t="n">
        <v>115</v>
      </c>
      <c r="C3253" t="inlineStr">
        <is>
          <t>Love - Shibari - Bradesco</t>
        </is>
      </c>
      <c r="D3253" t="n">
        <v>128</v>
      </c>
      <c r="E3253" t="inlineStr">
        <is>
          <t>Love Cabaret</t>
        </is>
      </c>
      <c r="F3253" s="27" t="n">
        <v>45705.5</v>
      </c>
      <c r="G3253" t="inlineStr">
        <is>
          <t>DEBITO</t>
        </is>
      </c>
      <c r="H3253" t="inlineStr">
        <is>
          <t>PAGTO ELETRON  COBRANCA NF 233945</t>
        </is>
      </c>
      <c r="I3253" t="n">
        <v>-523.3200000000001</v>
      </c>
    </row>
    <row r="3254">
      <c r="A3254" t="n">
        <v>63800</v>
      </c>
      <c r="B3254" t="n">
        <v>115</v>
      </c>
      <c r="C3254" t="inlineStr">
        <is>
          <t>Love - Shibari - Bradesco</t>
        </is>
      </c>
      <c r="D3254" t="n">
        <v>128</v>
      </c>
      <c r="E3254" t="inlineStr">
        <is>
          <t>Love Cabaret</t>
        </is>
      </c>
      <c r="F3254" s="27" t="n">
        <v>45705.5</v>
      </c>
      <c r="G3254" t="inlineStr">
        <is>
          <t>DEBITO</t>
        </is>
      </c>
      <c r="H3254" t="inlineStr">
        <is>
          <t>PAGTO ELETRON  COBRANCA NF 132824</t>
        </is>
      </c>
      <c r="I3254" t="n">
        <v>-534.04</v>
      </c>
    </row>
    <row r="3255">
      <c r="A3255" t="n">
        <v>63799</v>
      </c>
      <c r="B3255" t="n">
        <v>115</v>
      </c>
      <c r="C3255" t="inlineStr">
        <is>
          <t>Love - Shibari - Bradesco</t>
        </is>
      </c>
      <c r="D3255" t="n">
        <v>128</v>
      </c>
      <c r="E3255" t="inlineStr">
        <is>
          <t>Love Cabaret</t>
        </is>
      </c>
      <c r="F3255" s="27" t="n">
        <v>45705.5</v>
      </c>
      <c r="G3255" t="inlineStr">
        <is>
          <t>DEBITO</t>
        </is>
      </c>
      <c r="H3255" t="inlineStr">
        <is>
          <t>PAGTO ELETRON  COBRANCA NF 22253</t>
        </is>
      </c>
      <c r="I3255" t="n">
        <v>-588</v>
      </c>
    </row>
    <row r="3256">
      <c r="A3256" t="n">
        <v>63798</v>
      </c>
      <c r="B3256" t="n">
        <v>115</v>
      </c>
      <c r="C3256" t="inlineStr">
        <is>
          <t>Love - Shibari - Bradesco</t>
        </is>
      </c>
      <c r="D3256" t="n">
        <v>128</v>
      </c>
      <c r="E3256" t="inlineStr">
        <is>
          <t>Love Cabaret</t>
        </is>
      </c>
      <c r="F3256" s="27" t="n">
        <v>45705.5</v>
      </c>
      <c r="G3256" t="inlineStr">
        <is>
          <t>DEBITO</t>
        </is>
      </c>
      <c r="H3256" t="inlineStr">
        <is>
          <t>PAGTO ELETRON  COBRANCA NF 12576</t>
        </is>
      </c>
      <c r="I3256" t="n">
        <v>-645.65</v>
      </c>
    </row>
    <row r="3257">
      <c r="A3257" t="n">
        <v>63797</v>
      </c>
      <c r="B3257" t="n">
        <v>115</v>
      </c>
      <c r="C3257" t="inlineStr">
        <is>
          <t>Love - Shibari - Bradesco</t>
        </is>
      </c>
      <c r="D3257" t="n">
        <v>128</v>
      </c>
      <c r="E3257" t="inlineStr">
        <is>
          <t>Love Cabaret</t>
        </is>
      </c>
      <c r="F3257" s="27" t="n">
        <v>45705.5</v>
      </c>
      <c r="G3257" t="inlineStr">
        <is>
          <t>DEBITO</t>
        </is>
      </c>
      <c r="H3257" t="inlineStr">
        <is>
          <t>PAGTO ELETRON  COBRANCA NF 3392</t>
        </is>
      </c>
      <c r="I3257" t="n">
        <v>-700</v>
      </c>
    </row>
    <row r="3258">
      <c r="A3258" t="n">
        <v>63796</v>
      </c>
      <c r="B3258" t="n">
        <v>115</v>
      </c>
      <c r="C3258" t="inlineStr">
        <is>
          <t>Love - Shibari - Bradesco</t>
        </is>
      </c>
      <c r="D3258" t="n">
        <v>128</v>
      </c>
      <c r="E3258" t="inlineStr">
        <is>
          <t>Love Cabaret</t>
        </is>
      </c>
      <c r="F3258" s="27" t="n">
        <v>45705.5</v>
      </c>
      <c r="G3258" t="inlineStr">
        <is>
          <t>DEBITO</t>
        </is>
      </c>
      <c r="H3258" t="inlineStr">
        <is>
          <t>PAGTO ELETRON  COBRANCA NF 389904</t>
        </is>
      </c>
      <c r="I3258" t="n">
        <v>-741.89</v>
      </c>
    </row>
    <row r="3259">
      <c r="A3259" t="n">
        <v>63795</v>
      </c>
      <c r="B3259" t="n">
        <v>115</v>
      </c>
      <c r="C3259" t="inlineStr">
        <is>
          <t>Love - Shibari - Bradesco</t>
        </is>
      </c>
      <c r="D3259" t="n">
        <v>128</v>
      </c>
      <c r="E3259" t="inlineStr">
        <is>
          <t>Love Cabaret</t>
        </is>
      </c>
      <c r="F3259" s="27" t="n">
        <v>45705.5</v>
      </c>
      <c r="G3259" t="inlineStr">
        <is>
          <t>DEBITO</t>
        </is>
      </c>
      <c r="H3259" t="inlineStr">
        <is>
          <t>PAGTO ELETRON  COBRANCA NF 41880</t>
        </is>
      </c>
      <c r="I3259" t="n">
        <v>-750.5</v>
      </c>
    </row>
    <row r="3260">
      <c r="A3260" t="n">
        <v>63794</v>
      </c>
      <c r="B3260" t="n">
        <v>115</v>
      </c>
      <c r="C3260" t="inlineStr">
        <is>
          <t>Love - Shibari - Bradesco</t>
        </is>
      </c>
      <c r="D3260" t="n">
        <v>128</v>
      </c>
      <c r="E3260" t="inlineStr">
        <is>
          <t>Love Cabaret</t>
        </is>
      </c>
      <c r="F3260" s="27" t="n">
        <v>45705.5</v>
      </c>
      <c r="G3260" t="inlineStr">
        <is>
          <t>DEBITO</t>
        </is>
      </c>
      <c r="H3260" t="inlineStr">
        <is>
          <t>PAGTO ELETRON  COBRANCA NF 21879</t>
        </is>
      </c>
      <c r="I3260" t="n">
        <v>-808.55</v>
      </c>
    </row>
    <row r="3261">
      <c r="A3261" t="n">
        <v>63793</v>
      </c>
      <c r="B3261" t="n">
        <v>115</v>
      </c>
      <c r="C3261" t="inlineStr">
        <is>
          <t>Love - Shibari - Bradesco</t>
        </is>
      </c>
      <c r="D3261" t="n">
        <v>128</v>
      </c>
      <c r="E3261" t="inlineStr">
        <is>
          <t>Love Cabaret</t>
        </is>
      </c>
      <c r="F3261" s="27" t="n">
        <v>45705.5</v>
      </c>
      <c r="G3261" t="inlineStr">
        <is>
          <t>DEBITO</t>
        </is>
      </c>
      <c r="H3261" t="inlineStr">
        <is>
          <t>PAGTO ELETRON  COBRANCA NF 114556</t>
        </is>
      </c>
      <c r="I3261" t="n">
        <v>-2835.49</v>
      </c>
    </row>
    <row r="3262">
      <c r="A3262" t="n">
        <v>63792</v>
      </c>
      <c r="B3262" t="n">
        <v>115</v>
      </c>
      <c r="C3262" t="inlineStr">
        <is>
          <t>Love - Shibari - Bradesco</t>
        </is>
      </c>
      <c r="D3262" t="n">
        <v>128</v>
      </c>
      <c r="E3262" t="inlineStr">
        <is>
          <t>Love Cabaret</t>
        </is>
      </c>
      <c r="F3262" s="27" t="n">
        <v>45702.5</v>
      </c>
      <c r="G3262" t="inlineStr">
        <is>
          <t>DEBITO</t>
        </is>
      </c>
      <c r="H3262" t="inlineStr">
        <is>
          <t>TARIFA BANCARIA TRANSF PGTO PIX</t>
        </is>
      </c>
      <c r="I3262" t="n">
        <v>-9</v>
      </c>
    </row>
    <row r="3263">
      <c r="A3263" t="n">
        <v>63791</v>
      </c>
      <c r="B3263" t="n">
        <v>115</v>
      </c>
      <c r="C3263" t="inlineStr">
        <is>
          <t>Love - Shibari - Bradesco</t>
        </is>
      </c>
      <c r="D3263" t="n">
        <v>128</v>
      </c>
      <c r="E3263" t="inlineStr">
        <is>
          <t>Love Cabaret</t>
        </is>
      </c>
      <c r="F3263" s="27" t="n">
        <v>45702.5</v>
      </c>
      <c r="G3263" t="inlineStr">
        <is>
          <t>DEBITO</t>
        </is>
      </c>
      <c r="H3263" t="inlineStr">
        <is>
          <t>TARIFA BANCARIA TRANSF PGTO PIX</t>
        </is>
      </c>
      <c r="I3263" t="n">
        <v>-9</v>
      </c>
    </row>
    <row r="3264">
      <c r="A3264" t="n">
        <v>63790</v>
      </c>
      <c r="B3264" t="n">
        <v>115</v>
      </c>
      <c r="C3264" t="inlineStr">
        <is>
          <t>Love - Shibari - Bradesco</t>
        </is>
      </c>
      <c r="D3264" t="n">
        <v>128</v>
      </c>
      <c r="E3264" t="inlineStr">
        <is>
          <t>Love Cabaret</t>
        </is>
      </c>
      <c r="F3264" s="27" t="n">
        <v>45702.5</v>
      </c>
      <c r="G3264" t="inlineStr">
        <is>
          <t>DEBITO</t>
        </is>
      </c>
      <c r="H3264" t="inlineStr">
        <is>
          <t>TARIFA BANCARIA TRANSF PGTO PIX</t>
        </is>
      </c>
      <c r="I3264" t="n">
        <v>-9</v>
      </c>
    </row>
    <row r="3265">
      <c r="A3265" t="n">
        <v>63789</v>
      </c>
      <c r="B3265" t="n">
        <v>115</v>
      </c>
      <c r="C3265" t="inlineStr">
        <is>
          <t>Love - Shibari - Bradesco</t>
        </is>
      </c>
      <c r="D3265" t="n">
        <v>128</v>
      </c>
      <c r="E3265" t="inlineStr">
        <is>
          <t>Love Cabaret</t>
        </is>
      </c>
      <c r="F3265" s="27" t="n">
        <v>45702.5</v>
      </c>
      <c r="G3265" t="inlineStr">
        <is>
          <t>DEBITO</t>
        </is>
      </c>
      <c r="H3265" t="inlineStr">
        <is>
          <t>TARIFA BANCARIA TRANSF PGTO PIX</t>
        </is>
      </c>
      <c r="I3265" t="n">
        <v>-8.4</v>
      </c>
    </row>
    <row r="3266">
      <c r="A3266" t="n">
        <v>63788</v>
      </c>
      <c r="B3266" t="n">
        <v>115</v>
      </c>
      <c r="C3266" t="inlineStr">
        <is>
          <t>Love - Shibari - Bradesco</t>
        </is>
      </c>
      <c r="D3266" t="n">
        <v>128</v>
      </c>
      <c r="E3266" t="inlineStr">
        <is>
          <t>Love Cabaret</t>
        </is>
      </c>
      <c r="F3266" s="27" t="n">
        <v>45702.5</v>
      </c>
      <c r="G3266" t="inlineStr">
        <is>
          <t>DEBITO</t>
        </is>
      </c>
      <c r="H3266" t="inlineStr">
        <is>
          <t>TARIFA BANCARIA TRANSF PGTO PIX</t>
        </is>
      </c>
      <c r="I3266" t="n">
        <v>-5.95</v>
      </c>
    </row>
    <row r="3267">
      <c r="A3267" t="n">
        <v>63787</v>
      </c>
      <c r="B3267" t="n">
        <v>115</v>
      </c>
      <c r="C3267" t="inlineStr">
        <is>
          <t>Love - Shibari - Bradesco</t>
        </is>
      </c>
      <c r="D3267" t="n">
        <v>128</v>
      </c>
      <c r="E3267" t="inlineStr">
        <is>
          <t>Love Cabaret</t>
        </is>
      </c>
      <c r="F3267" s="27" t="n">
        <v>45702.5</v>
      </c>
      <c r="G3267" t="inlineStr">
        <is>
          <t>DEBITO</t>
        </is>
      </c>
      <c r="H3267" t="inlineStr">
        <is>
          <t>TARIFA BANCARIA Max Empresarial 1</t>
        </is>
      </c>
      <c r="I3267" t="n">
        <v>-171.7</v>
      </c>
    </row>
    <row r="3268">
      <c r="A3268" t="n">
        <v>63786</v>
      </c>
      <c r="B3268" t="n">
        <v>115</v>
      </c>
      <c r="C3268" t="inlineStr">
        <is>
          <t>Love - Shibari - Bradesco</t>
        </is>
      </c>
      <c r="D3268" t="n">
        <v>128</v>
      </c>
      <c r="E3268" t="inlineStr">
        <is>
          <t>Love Cabaret</t>
        </is>
      </c>
      <c r="F3268" s="27" t="n">
        <v>45702.5</v>
      </c>
      <c r="G3268" t="inlineStr">
        <is>
          <t>CREDITO</t>
        </is>
      </c>
      <c r="H3268" t="inlineStr">
        <is>
          <t>TED-TRANSF ELET DISPON REMET.DIVERTI TICKETS COME</t>
        </is>
      </c>
      <c r="I3268" t="n">
        <v>4846.84</v>
      </c>
    </row>
    <row r="3269">
      <c r="A3269" t="n">
        <v>63785</v>
      </c>
      <c r="B3269" t="n">
        <v>115</v>
      </c>
      <c r="C3269" t="inlineStr">
        <is>
          <t>Love - Shibari - Bradesco</t>
        </is>
      </c>
      <c r="D3269" t="n">
        <v>128</v>
      </c>
      <c r="E3269" t="inlineStr">
        <is>
          <t>Love Cabaret</t>
        </is>
      </c>
      <c r="F3269" s="27" t="n">
        <v>45701.5</v>
      </c>
      <c r="G3269" t="inlineStr">
        <is>
          <t>DEBITO</t>
        </is>
      </c>
      <c r="H3269" t="inlineStr">
        <is>
          <t>PIX QR CODE DINAMICO DES: Divify Operacao de Pl 13/02</t>
        </is>
      </c>
      <c r="I3269" t="n">
        <v>-200000</v>
      </c>
    </row>
    <row r="3270">
      <c r="A3270" t="n">
        <v>61875</v>
      </c>
      <c r="B3270" t="n">
        <v>115</v>
      </c>
      <c r="C3270" t="inlineStr">
        <is>
          <t>Love - Shibari - Bradesco</t>
        </is>
      </c>
      <c r="D3270" t="n">
        <v>128</v>
      </c>
      <c r="E3270" t="inlineStr">
        <is>
          <t>Love Cabaret</t>
        </is>
      </c>
      <c r="F3270" s="27" t="n">
        <v>45700.5</v>
      </c>
      <c r="G3270" t="inlineStr">
        <is>
          <t>DEBITO</t>
        </is>
      </c>
      <c r="H3270" t="inlineStr">
        <is>
          <t>TRANSFERENCIA PIX DES: Neumara Solidade De J 12/02</t>
        </is>
      </c>
      <c r="I3270" t="n">
        <v>-425</v>
      </c>
    </row>
    <row r="3271">
      <c r="A3271" t="n">
        <v>61870</v>
      </c>
      <c r="B3271" t="n">
        <v>115</v>
      </c>
      <c r="C3271" t="inlineStr">
        <is>
          <t>Love - Shibari - Bradesco</t>
        </is>
      </c>
      <c r="D3271" t="n">
        <v>128</v>
      </c>
      <c r="E3271" t="inlineStr">
        <is>
          <t>Love Cabaret</t>
        </is>
      </c>
      <c r="F3271" s="27" t="n">
        <v>45700.5</v>
      </c>
      <c r="G3271" t="inlineStr">
        <is>
          <t>DEBITO</t>
        </is>
      </c>
      <c r="H3271" t="inlineStr">
        <is>
          <t>TARIFA BANCARIA TRANSF PGTO PIX</t>
        </is>
      </c>
      <c r="I3271" t="n">
        <v>-9</v>
      </c>
    </row>
    <row r="3272">
      <c r="A3272" t="n">
        <v>61871</v>
      </c>
      <c r="B3272" t="n">
        <v>115</v>
      </c>
      <c r="C3272" t="inlineStr">
        <is>
          <t>Love - Shibari - Bradesco</t>
        </is>
      </c>
      <c r="D3272" t="n">
        <v>128</v>
      </c>
      <c r="E3272" t="inlineStr">
        <is>
          <t>Love Cabaret</t>
        </is>
      </c>
      <c r="F3272" s="27" t="n">
        <v>45700.5</v>
      </c>
      <c r="G3272" t="inlineStr">
        <is>
          <t>DEBITO</t>
        </is>
      </c>
      <c r="H3272" t="inlineStr">
        <is>
          <t>TRANSFERENCIA PIX DES: MAURICIO MEDEIROS     12/02</t>
        </is>
      </c>
      <c r="I3272" t="n">
        <v>-5205</v>
      </c>
    </row>
    <row r="3273">
      <c r="A3273" t="n">
        <v>61872</v>
      </c>
      <c r="B3273" t="n">
        <v>115</v>
      </c>
      <c r="C3273" t="inlineStr">
        <is>
          <t>Love - Shibari - Bradesco</t>
        </is>
      </c>
      <c r="D3273" t="n">
        <v>128</v>
      </c>
      <c r="E3273" t="inlineStr">
        <is>
          <t>Love Cabaret</t>
        </is>
      </c>
      <c r="F3273" s="27" t="n">
        <v>45700.5</v>
      </c>
      <c r="G3273" t="inlineStr">
        <is>
          <t>DEBITO</t>
        </is>
      </c>
      <c r="H3273" t="inlineStr">
        <is>
          <t>TRANSFERENCIA PIX DES: MACHINE SEGURANCA PAT 12/02</t>
        </is>
      </c>
      <c r="I3273" t="n">
        <v>-4636.95</v>
      </c>
    </row>
    <row r="3274">
      <c r="A3274" t="n">
        <v>61873</v>
      </c>
      <c r="B3274" t="n">
        <v>115</v>
      </c>
      <c r="C3274" t="inlineStr">
        <is>
          <t>Love - Shibari - Bradesco</t>
        </is>
      </c>
      <c r="D3274" t="n">
        <v>128</v>
      </c>
      <c r="E3274" t="inlineStr">
        <is>
          <t>Love Cabaret</t>
        </is>
      </c>
      <c r="F3274" s="27" t="n">
        <v>45700.5</v>
      </c>
      <c r="G3274" t="inlineStr">
        <is>
          <t>DEBITO</t>
        </is>
      </c>
      <c r="H3274" t="inlineStr">
        <is>
          <t>TRANSFERENCIA PIX DES: MARIANA APOSTOLAKIS M 12/02</t>
        </is>
      </c>
      <c r="I3274" t="n">
        <v>-3600</v>
      </c>
    </row>
    <row r="3275">
      <c r="A3275" t="n">
        <v>61874</v>
      </c>
      <c r="B3275" t="n">
        <v>115</v>
      </c>
      <c r="C3275" t="inlineStr">
        <is>
          <t>Love - Shibari - Bradesco</t>
        </is>
      </c>
      <c r="D3275" t="n">
        <v>128</v>
      </c>
      <c r="E3275" t="inlineStr">
        <is>
          <t>Love Cabaret</t>
        </is>
      </c>
      <c r="F3275" s="27" t="n">
        <v>45700.5</v>
      </c>
      <c r="G3275" t="inlineStr">
        <is>
          <t>DEBITO</t>
        </is>
      </c>
      <c r="H3275" t="inlineStr">
        <is>
          <t>TRANSFERENCIA PIX DES: FELIPE PAES SEABRA 84 12/02</t>
        </is>
      </c>
      <c r="I3275" t="n">
        <v>-600</v>
      </c>
    </row>
    <row r="3276">
      <c r="A3276" t="n">
        <v>61829</v>
      </c>
      <c r="B3276" t="n">
        <v>115</v>
      </c>
      <c r="C3276" t="inlineStr">
        <is>
          <t>Love - Shibari - Bradesco</t>
        </is>
      </c>
      <c r="D3276" t="n">
        <v>128</v>
      </c>
      <c r="E3276" t="inlineStr">
        <is>
          <t>Love Cabaret</t>
        </is>
      </c>
      <c r="F3276" s="27" t="n">
        <v>45700.5</v>
      </c>
      <c r="G3276" t="inlineStr">
        <is>
          <t>CREDITO</t>
        </is>
      </c>
      <c r="H3276" t="inlineStr">
        <is>
          <t>TRANSFERENCIA PIX REM: Zig Tecnologia S.A.   12/02</t>
        </is>
      </c>
      <c r="I3276" t="n">
        <v>14569.91</v>
      </c>
    </row>
    <row r="3277">
      <c r="A3277" t="n">
        <v>61839</v>
      </c>
      <c r="B3277" t="n">
        <v>115</v>
      </c>
      <c r="C3277" t="inlineStr">
        <is>
          <t>Love - Shibari - Bradesco</t>
        </is>
      </c>
      <c r="D3277" t="n">
        <v>128</v>
      </c>
      <c r="E3277" t="inlineStr">
        <is>
          <t>Love Cabaret</t>
        </is>
      </c>
      <c r="F3277" s="27" t="n">
        <v>45700.5</v>
      </c>
      <c r="G3277" t="inlineStr">
        <is>
          <t>DEBITO</t>
        </is>
      </c>
      <c r="H3277" t="inlineStr">
        <is>
          <t>PAGTO ELETRON  COBRANCA NF 436752</t>
        </is>
      </c>
      <c r="I3277" t="n">
        <v>-239.75</v>
      </c>
    </row>
    <row r="3278">
      <c r="A3278" t="n">
        <v>61848</v>
      </c>
      <c r="B3278" t="n">
        <v>115</v>
      </c>
      <c r="C3278" t="inlineStr">
        <is>
          <t>Love - Shibari - Bradesco</t>
        </is>
      </c>
      <c r="D3278" t="n">
        <v>128</v>
      </c>
      <c r="E3278" t="inlineStr">
        <is>
          <t>Love Cabaret</t>
        </is>
      </c>
      <c r="F3278" s="27" t="n">
        <v>45700.5</v>
      </c>
      <c r="G3278" t="inlineStr">
        <is>
          <t>DEBITO</t>
        </is>
      </c>
      <c r="H3278" t="inlineStr">
        <is>
          <t>TARIFA BANCARIA TRANSF PGTO PIX</t>
        </is>
      </c>
      <c r="I3278" t="n">
        <v>-9</v>
      </c>
    </row>
    <row r="3279">
      <c r="A3279" t="n">
        <v>61847</v>
      </c>
      <c r="B3279" t="n">
        <v>115</v>
      </c>
      <c r="C3279" t="inlineStr">
        <is>
          <t>Love - Shibari - Bradesco</t>
        </is>
      </c>
      <c r="D3279" t="n">
        <v>128</v>
      </c>
      <c r="E3279" t="inlineStr">
        <is>
          <t>Love Cabaret</t>
        </is>
      </c>
      <c r="F3279" s="27" t="n">
        <v>45700.5</v>
      </c>
      <c r="G3279" t="inlineStr">
        <is>
          <t>DEBITO</t>
        </is>
      </c>
      <c r="H3279" t="inlineStr">
        <is>
          <t>TARIFA BANCARIA TRANSF PGTO PIX</t>
        </is>
      </c>
      <c r="I3279" t="n">
        <v>-9</v>
      </c>
    </row>
    <row r="3280">
      <c r="A3280" t="n">
        <v>61846</v>
      </c>
      <c r="B3280" t="n">
        <v>115</v>
      </c>
      <c r="C3280" t="inlineStr">
        <is>
          <t>Love - Shibari - Bradesco</t>
        </is>
      </c>
      <c r="D3280" t="n">
        <v>128</v>
      </c>
      <c r="E3280" t="inlineStr">
        <is>
          <t>Love Cabaret</t>
        </is>
      </c>
      <c r="F3280" s="27" t="n">
        <v>45700.5</v>
      </c>
      <c r="G3280" t="inlineStr">
        <is>
          <t>DEBITO</t>
        </is>
      </c>
      <c r="H3280" t="inlineStr">
        <is>
          <t>TARIFA BANCARIA TRANSF PGTO PIX</t>
        </is>
      </c>
      <c r="I3280" t="n">
        <v>-9</v>
      </c>
    </row>
    <row r="3281">
      <c r="A3281" t="n">
        <v>61845</v>
      </c>
      <c r="B3281" t="n">
        <v>115</v>
      </c>
      <c r="C3281" t="inlineStr">
        <is>
          <t>Love - Shibari - Bradesco</t>
        </is>
      </c>
      <c r="D3281" t="n">
        <v>128</v>
      </c>
      <c r="E3281" t="inlineStr">
        <is>
          <t>Love Cabaret</t>
        </is>
      </c>
      <c r="F3281" s="27" t="n">
        <v>45700.5</v>
      </c>
      <c r="G3281" t="inlineStr">
        <is>
          <t>DEBITO</t>
        </is>
      </c>
      <c r="H3281" t="inlineStr">
        <is>
          <t>TARIFA BANCARIA TRANSF PGTO PIX</t>
        </is>
      </c>
      <c r="I3281" t="n">
        <v>-9</v>
      </c>
    </row>
    <row r="3282">
      <c r="A3282" t="n">
        <v>61844</v>
      </c>
      <c r="B3282" t="n">
        <v>115</v>
      </c>
      <c r="C3282" t="inlineStr">
        <is>
          <t>Love - Shibari - Bradesco</t>
        </is>
      </c>
      <c r="D3282" t="n">
        <v>128</v>
      </c>
      <c r="E3282" t="inlineStr">
        <is>
          <t>Love Cabaret</t>
        </is>
      </c>
      <c r="F3282" s="27" t="n">
        <v>45700.5</v>
      </c>
      <c r="G3282" t="inlineStr">
        <is>
          <t>DEBITO</t>
        </is>
      </c>
      <c r="H3282" t="inlineStr">
        <is>
          <t>TARIFA BANCARIA TRANSF PGTO PIX</t>
        </is>
      </c>
      <c r="I3282" t="n">
        <v>-9</v>
      </c>
    </row>
    <row r="3283">
      <c r="A3283" t="n">
        <v>61843</v>
      </c>
      <c r="B3283" t="n">
        <v>115</v>
      </c>
      <c r="C3283" t="inlineStr">
        <is>
          <t>Love - Shibari - Bradesco</t>
        </is>
      </c>
      <c r="D3283" t="n">
        <v>128</v>
      </c>
      <c r="E3283" t="inlineStr">
        <is>
          <t>Love Cabaret</t>
        </is>
      </c>
      <c r="F3283" s="27" t="n">
        <v>45700.5</v>
      </c>
      <c r="G3283" t="inlineStr">
        <is>
          <t>DEBITO</t>
        </is>
      </c>
      <c r="H3283" t="inlineStr">
        <is>
          <t>TARIFA BANCARIA TRANSF PGTO PIX</t>
        </is>
      </c>
      <c r="I3283" t="n">
        <v>-5.46</v>
      </c>
    </row>
    <row r="3284">
      <c r="A3284" t="n">
        <v>61842</v>
      </c>
      <c r="B3284" t="n">
        <v>115</v>
      </c>
      <c r="C3284" t="inlineStr">
        <is>
          <t>Love - Shibari - Bradesco</t>
        </is>
      </c>
      <c r="D3284" t="n">
        <v>128</v>
      </c>
      <c r="E3284" t="inlineStr">
        <is>
          <t>Love Cabaret</t>
        </is>
      </c>
      <c r="F3284" s="27" t="n">
        <v>45700.5</v>
      </c>
      <c r="G3284" t="inlineStr">
        <is>
          <t>DEBITO</t>
        </is>
      </c>
      <c r="H3284" t="inlineStr">
        <is>
          <t>PAGTO ELETRON  COBRANCA NF 2300</t>
        </is>
      </c>
      <c r="I3284" t="n">
        <v>-6252.94</v>
      </c>
    </row>
    <row r="3285">
      <c r="A3285" t="n">
        <v>61841</v>
      </c>
      <c r="B3285" t="n">
        <v>115</v>
      </c>
      <c r="C3285" t="inlineStr">
        <is>
          <t>Love - Shibari - Bradesco</t>
        </is>
      </c>
      <c r="D3285" t="n">
        <v>128</v>
      </c>
      <c r="E3285" t="inlineStr">
        <is>
          <t>Love Cabaret</t>
        </is>
      </c>
      <c r="F3285" s="27" t="n">
        <v>45700.5</v>
      </c>
      <c r="G3285" t="inlineStr">
        <is>
          <t>DEBITO</t>
        </is>
      </c>
      <c r="H3285" t="inlineStr">
        <is>
          <t>PAGTO ELETRON  COBRANCA 114647</t>
        </is>
      </c>
      <c r="I3285" t="n">
        <v>-3855.43</v>
      </c>
    </row>
    <row r="3286">
      <c r="A3286" t="n">
        <v>61840</v>
      </c>
      <c r="B3286" t="n">
        <v>115</v>
      </c>
      <c r="C3286" t="inlineStr">
        <is>
          <t>Love - Shibari - Bradesco</t>
        </is>
      </c>
      <c r="D3286" t="n">
        <v>128</v>
      </c>
      <c r="E3286" t="inlineStr">
        <is>
          <t>Love Cabaret</t>
        </is>
      </c>
      <c r="F3286" s="27" t="n">
        <v>45700.5</v>
      </c>
      <c r="G3286" t="inlineStr">
        <is>
          <t>DEBITO</t>
        </is>
      </c>
      <c r="H3286" t="inlineStr">
        <is>
          <t>PAGTO ELETRON  COBRANCA NF 393722</t>
        </is>
      </c>
      <c r="I3286" t="n">
        <v>-75.64</v>
      </c>
    </row>
    <row r="3287">
      <c r="A3287" t="n">
        <v>61849</v>
      </c>
      <c r="B3287" t="n">
        <v>115</v>
      </c>
      <c r="C3287" t="inlineStr">
        <is>
          <t>Love - Shibari - Bradesco</t>
        </is>
      </c>
      <c r="D3287" t="n">
        <v>128</v>
      </c>
      <c r="E3287" t="inlineStr">
        <is>
          <t>Love Cabaret</t>
        </is>
      </c>
      <c r="F3287" s="27" t="n">
        <v>45700.5</v>
      </c>
      <c r="G3287" t="inlineStr">
        <is>
          <t>DEBITO</t>
        </is>
      </c>
      <c r="H3287" t="inlineStr">
        <is>
          <t>TARIFA BANCARIA TRANSF PGTO PIX</t>
        </is>
      </c>
      <c r="I3287" t="n">
        <v>-9</v>
      </c>
    </row>
    <row r="3288">
      <c r="A3288" t="n">
        <v>61838</v>
      </c>
      <c r="B3288" t="n">
        <v>115</v>
      </c>
      <c r="C3288" t="inlineStr">
        <is>
          <t>Love - Shibari - Bradesco</t>
        </is>
      </c>
      <c r="D3288" t="n">
        <v>128</v>
      </c>
      <c r="E3288" t="inlineStr">
        <is>
          <t>Love Cabaret</t>
        </is>
      </c>
      <c r="F3288" s="27" t="n">
        <v>45700.5</v>
      </c>
      <c r="G3288" t="inlineStr">
        <is>
          <t>DEBITO</t>
        </is>
      </c>
      <c r="H3288" t="inlineStr">
        <is>
          <t>PAGTO ELETRON  COBRANCA DOC 17994</t>
        </is>
      </c>
      <c r="I3288" t="n">
        <v>-400</v>
      </c>
    </row>
    <row r="3289">
      <c r="A3289" t="n">
        <v>61837</v>
      </c>
      <c r="B3289" t="n">
        <v>115</v>
      </c>
      <c r="C3289" t="inlineStr">
        <is>
          <t>Love - Shibari - Bradesco</t>
        </is>
      </c>
      <c r="D3289" t="n">
        <v>128</v>
      </c>
      <c r="E3289" t="inlineStr">
        <is>
          <t>Love Cabaret</t>
        </is>
      </c>
      <c r="F3289" s="27" t="n">
        <v>45700.5</v>
      </c>
      <c r="G3289" t="inlineStr">
        <is>
          <t>DEBITO</t>
        </is>
      </c>
      <c r="H3289" t="inlineStr">
        <is>
          <t>PAGTO ELETRON  COBRANCA NF 73817</t>
        </is>
      </c>
      <c r="I3289" t="n">
        <v>-494</v>
      </c>
    </row>
    <row r="3290">
      <c r="A3290" t="n">
        <v>61836</v>
      </c>
      <c r="B3290" t="n">
        <v>115</v>
      </c>
      <c r="C3290" t="inlineStr">
        <is>
          <t>Love - Shibari - Bradesco</t>
        </is>
      </c>
      <c r="D3290" t="n">
        <v>128</v>
      </c>
      <c r="E3290" t="inlineStr">
        <is>
          <t>Love Cabaret</t>
        </is>
      </c>
      <c r="F3290" s="27" t="n">
        <v>45700.5</v>
      </c>
      <c r="G3290" t="inlineStr">
        <is>
          <t>DEBITO</t>
        </is>
      </c>
      <c r="H3290" t="inlineStr">
        <is>
          <t>PAGTO ELETRON  COBRANCA NF 23522</t>
        </is>
      </c>
      <c r="I3290" t="n">
        <v>-515.46</v>
      </c>
    </row>
    <row r="3291">
      <c r="A3291" t="n">
        <v>61835</v>
      </c>
      <c r="B3291" t="n">
        <v>115</v>
      </c>
      <c r="C3291" t="inlineStr">
        <is>
          <t>Love - Shibari - Bradesco</t>
        </is>
      </c>
      <c r="D3291" t="n">
        <v>128</v>
      </c>
      <c r="E3291" t="inlineStr">
        <is>
          <t>Love Cabaret</t>
        </is>
      </c>
      <c r="F3291" s="27" t="n">
        <v>45700.5</v>
      </c>
      <c r="G3291" t="inlineStr">
        <is>
          <t>DEBITO</t>
        </is>
      </c>
      <c r="H3291" t="inlineStr">
        <is>
          <t>PAGTO ELETRON  COBRANCA NF 25613</t>
        </is>
      </c>
      <c r="I3291" t="n">
        <v>-690.4299999999999</v>
      </c>
    </row>
    <row r="3292">
      <c r="A3292" t="n">
        <v>61834</v>
      </c>
      <c r="B3292" t="n">
        <v>115</v>
      </c>
      <c r="C3292" t="inlineStr">
        <is>
          <t>Love - Shibari - Bradesco</t>
        </is>
      </c>
      <c r="D3292" t="n">
        <v>128</v>
      </c>
      <c r="E3292" t="inlineStr">
        <is>
          <t>Love Cabaret</t>
        </is>
      </c>
      <c r="F3292" s="27" t="n">
        <v>45700.5</v>
      </c>
      <c r="G3292" t="inlineStr">
        <is>
          <t>DEBITO</t>
        </is>
      </c>
      <c r="H3292" t="inlineStr">
        <is>
          <t>PAGTO ELETRON  COBRANCA NF 393670</t>
        </is>
      </c>
      <c r="I3292" t="n">
        <v>-731.8</v>
      </c>
    </row>
    <row r="3293">
      <c r="A3293" t="n">
        <v>61833</v>
      </c>
      <c r="B3293" t="n">
        <v>115</v>
      </c>
      <c r="C3293" t="inlineStr">
        <is>
          <t>Love - Shibari - Bradesco</t>
        </is>
      </c>
      <c r="D3293" t="n">
        <v>128</v>
      </c>
      <c r="E3293" t="inlineStr">
        <is>
          <t>Love Cabaret</t>
        </is>
      </c>
      <c r="F3293" s="27" t="n">
        <v>45700.5</v>
      </c>
      <c r="G3293" t="inlineStr">
        <is>
          <t>DEBITO</t>
        </is>
      </c>
      <c r="H3293" t="inlineStr">
        <is>
          <t>PAGTO ELETRON  COBRANCA NF 1099</t>
        </is>
      </c>
      <c r="I3293" t="n">
        <v>-891.0599999999999</v>
      </c>
    </row>
    <row r="3294">
      <c r="A3294" t="n">
        <v>61832</v>
      </c>
      <c r="B3294" t="n">
        <v>115</v>
      </c>
      <c r="C3294" t="inlineStr">
        <is>
          <t>Love - Shibari - Bradesco</t>
        </is>
      </c>
      <c r="D3294" t="n">
        <v>128</v>
      </c>
      <c r="E3294" t="inlineStr">
        <is>
          <t>Love Cabaret</t>
        </is>
      </c>
      <c r="F3294" s="27" t="n">
        <v>45700.5</v>
      </c>
      <c r="G3294" t="inlineStr">
        <is>
          <t>DEBITO</t>
        </is>
      </c>
      <c r="H3294" t="inlineStr">
        <is>
          <t>PAGTO ELETRON  COBRANCA NF 436549</t>
        </is>
      </c>
      <c r="I3294" t="n">
        <v>-963.8</v>
      </c>
    </row>
    <row r="3295">
      <c r="A3295" t="n">
        <v>61831</v>
      </c>
      <c r="B3295" t="n">
        <v>115</v>
      </c>
      <c r="C3295" t="inlineStr">
        <is>
          <t>Love - Shibari - Bradesco</t>
        </is>
      </c>
      <c r="D3295" t="n">
        <v>128</v>
      </c>
      <c r="E3295" t="inlineStr">
        <is>
          <t>Love Cabaret</t>
        </is>
      </c>
      <c r="F3295" s="27" t="n">
        <v>45700.5</v>
      </c>
      <c r="G3295" t="inlineStr">
        <is>
          <t>DEBITO</t>
        </is>
      </c>
      <c r="H3295" t="inlineStr">
        <is>
          <t>PAGTO ELETRON  COBRANCA NF 6879</t>
        </is>
      </c>
      <c r="I3295" t="n">
        <v>-3204.47</v>
      </c>
    </row>
    <row r="3296">
      <c r="A3296" t="n">
        <v>61830</v>
      </c>
      <c r="B3296" t="n">
        <v>115</v>
      </c>
      <c r="C3296" t="inlineStr">
        <is>
          <t>Love - Shibari - Bradesco</t>
        </is>
      </c>
      <c r="D3296" t="n">
        <v>128</v>
      </c>
      <c r="E3296" t="inlineStr">
        <is>
          <t>Love Cabaret</t>
        </is>
      </c>
      <c r="F3296" s="27" t="n">
        <v>45700.5</v>
      </c>
      <c r="G3296" t="inlineStr">
        <is>
          <t>DEBITO</t>
        </is>
      </c>
      <c r="H3296" t="inlineStr">
        <is>
          <t>PAGTO ELETRON  COBRANCA DOC 517739870</t>
        </is>
      </c>
      <c r="I3296" t="n">
        <v>-13161.5</v>
      </c>
    </row>
    <row r="3297">
      <c r="A3297" t="n">
        <v>61859</v>
      </c>
      <c r="B3297" t="n">
        <v>115</v>
      </c>
      <c r="C3297" t="inlineStr">
        <is>
          <t>Love - Shibari - Bradesco</t>
        </is>
      </c>
      <c r="D3297" t="n">
        <v>128</v>
      </c>
      <c r="E3297" t="inlineStr">
        <is>
          <t>Love Cabaret</t>
        </is>
      </c>
      <c r="F3297" s="27" t="n">
        <v>45700.5</v>
      </c>
      <c r="G3297" t="inlineStr">
        <is>
          <t>DEBITO</t>
        </is>
      </c>
      <c r="H3297" t="inlineStr">
        <is>
          <t>TARIFA BANCARIA TRANSF PGTO PIX</t>
        </is>
      </c>
      <c r="I3297" t="n">
        <v>-9</v>
      </c>
    </row>
    <row r="3298">
      <c r="A3298" t="n">
        <v>61868</v>
      </c>
      <c r="B3298" t="n">
        <v>115</v>
      </c>
      <c r="C3298" t="inlineStr">
        <is>
          <t>Love - Shibari - Bradesco</t>
        </is>
      </c>
      <c r="D3298" t="n">
        <v>128</v>
      </c>
      <c r="E3298" t="inlineStr">
        <is>
          <t>Love Cabaret</t>
        </is>
      </c>
      <c r="F3298" s="27" t="n">
        <v>45700.5</v>
      </c>
      <c r="G3298" t="inlineStr">
        <is>
          <t>DEBITO</t>
        </is>
      </c>
      <c r="H3298" t="inlineStr">
        <is>
          <t>TARIFA BANCARIA TRANSF PGTO PIX</t>
        </is>
      </c>
      <c r="I3298" t="n">
        <v>-9</v>
      </c>
    </row>
    <row r="3299">
      <c r="A3299" t="n">
        <v>61867</v>
      </c>
      <c r="B3299" t="n">
        <v>115</v>
      </c>
      <c r="C3299" t="inlineStr">
        <is>
          <t>Love - Shibari - Bradesco</t>
        </is>
      </c>
      <c r="D3299" t="n">
        <v>128</v>
      </c>
      <c r="E3299" t="inlineStr">
        <is>
          <t>Love Cabaret</t>
        </is>
      </c>
      <c r="F3299" s="27" t="n">
        <v>45700.5</v>
      </c>
      <c r="G3299" t="inlineStr">
        <is>
          <t>DEBITO</t>
        </is>
      </c>
      <c r="H3299" t="inlineStr">
        <is>
          <t>TARIFA BANCARIA TRANSF PGTO PIX</t>
        </is>
      </c>
      <c r="I3299" t="n">
        <v>-9</v>
      </c>
    </row>
    <row r="3300">
      <c r="A3300" t="n">
        <v>61866</v>
      </c>
      <c r="B3300" t="n">
        <v>115</v>
      </c>
      <c r="C3300" t="inlineStr">
        <is>
          <t>Love - Shibari - Bradesco</t>
        </is>
      </c>
      <c r="D3300" t="n">
        <v>128</v>
      </c>
      <c r="E3300" t="inlineStr">
        <is>
          <t>Love Cabaret</t>
        </is>
      </c>
      <c r="F3300" s="27" t="n">
        <v>45700.5</v>
      </c>
      <c r="G3300" t="inlineStr">
        <is>
          <t>DEBITO</t>
        </is>
      </c>
      <c r="H3300" t="inlineStr">
        <is>
          <t>TARIFA BANCARIA TRANSF PGTO PIX</t>
        </is>
      </c>
      <c r="I3300" t="n">
        <v>-9</v>
      </c>
    </row>
    <row r="3301">
      <c r="A3301" t="n">
        <v>61865</v>
      </c>
      <c r="B3301" t="n">
        <v>115</v>
      </c>
      <c r="C3301" t="inlineStr">
        <is>
          <t>Love - Shibari - Bradesco</t>
        </is>
      </c>
      <c r="D3301" t="n">
        <v>128</v>
      </c>
      <c r="E3301" t="inlineStr">
        <is>
          <t>Love Cabaret</t>
        </is>
      </c>
      <c r="F3301" s="27" t="n">
        <v>45700.5</v>
      </c>
      <c r="G3301" t="inlineStr">
        <is>
          <t>DEBITO</t>
        </is>
      </c>
      <c r="H3301" t="inlineStr">
        <is>
          <t>TARIFA BANCARIA TRANSF PGTO PIX</t>
        </is>
      </c>
      <c r="I3301" t="n">
        <v>-9</v>
      </c>
    </row>
    <row r="3302">
      <c r="A3302" t="n">
        <v>61864</v>
      </c>
      <c r="B3302" t="n">
        <v>115</v>
      </c>
      <c r="C3302" t="inlineStr">
        <is>
          <t>Love - Shibari - Bradesco</t>
        </is>
      </c>
      <c r="D3302" t="n">
        <v>128</v>
      </c>
      <c r="E3302" t="inlineStr">
        <is>
          <t>Love Cabaret</t>
        </is>
      </c>
      <c r="F3302" s="27" t="n">
        <v>45700.5</v>
      </c>
      <c r="G3302" t="inlineStr">
        <is>
          <t>DEBITO</t>
        </is>
      </c>
      <c r="H3302" t="inlineStr">
        <is>
          <t>TARIFA BANCARIA TRANSF PGTO PIX</t>
        </is>
      </c>
      <c r="I3302" t="n">
        <v>-9</v>
      </c>
    </row>
    <row r="3303">
      <c r="A3303" t="n">
        <v>61863</v>
      </c>
      <c r="B3303" t="n">
        <v>115</v>
      </c>
      <c r="C3303" t="inlineStr">
        <is>
          <t>Love - Shibari - Bradesco</t>
        </is>
      </c>
      <c r="D3303" t="n">
        <v>128</v>
      </c>
      <c r="E3303" t="inlineStr">
        <is>
          <t>Love Cabaret</t>
        </is>
      </c>
      <c r="F3303" s="27" t="n">
        <v>45700.5</v>
      </c>
      <c r="G3303" t="inlineStr">
        <is>
          <t>DEBITO</t>
        </is>
      </c>
      <c r="H3303" t="inlineStr">
        <is>
          <t>TARIFA BANCARIA TRANSF PGTO PIX</t>
        </is>
      </c>
      <c r="I3303" t="n">
        <v>-9</v>
      </c>
    </row>
    <row r="3304">
      <c r="A3304" t="n">
        <v>61862</v>
      </c>
      <c r="B3304" t="n">
        <v>115</v>
      </c>
      <c r="C3304" t="inlineStr">
        <is>
          <t>Love - Shibari - Bradesco</t>
        </is>
      </c>
      <c r="D3304" t="n">
        <v>128</v>
      </c>
      <c r="E3304" t="inlineStr">
        <is>
          <t>Love Cabaret</t>
        </is>
      </c>
      <c r="F3304" s="27" t="n">
        <v>45700.5</v>
      </c>
      <c r="G3304" t="inlineStr">
        <is>
          <t>DEBITO</t>
        </is>
      </c>
      <c r="H3304" t="inlineStr">
        <is>
          <t>TARIFA BANCARIA TRANSF PGTO PIX</t>
        </is>
      </c>
      <c r="I3304" t="n">
        <v>-9</v>
      </c>
    </row>
    <row r="3305">
      <c r="A3305" t="n">
        <v>61861</v>
      </c>
      <c r="B3305" t="n">
        <v>115</v>
      </c>
      <c r="C3305" t="inlineStr">
        <is>
          <t>Love - Shibari - Bradesco</t>
        </is>
      </c>
      <c r="D3305" t="n">
        <v>128</v>
      </c>
      <c r="E3305" t="inlineStr">
        <is>
          <t>Love Cabaret</t>
        </is>
      </c>
      <c r="F3305" s="27" t="n">
        <v>45700.5</v>
      </c>
      <c r="G3305" t="inlineStr">
        <is>
          <t>DEBITO</t>
        </is>
      </c>
      <c r="H3305" t="inlineStr">
        <is>
          <t>TARIFA BANCARIA TRANSF PGTO PIX</t>
        </is>
      </c>
      <c r="I3305" t="n">
        <v>-9</v>
      </c>
    </row>
    <row r="3306">
      <c r="A3306" t="n">
        <v>61860</v>
      </c>
      <c r="B3306" t="n">
        <v>115</v>
      </c>
      <c r="C3306" t="inlineStr">
        <is>
          <t>Love - Shibari - Bradesco</t>
        </is>
      </c>
      <c r="D3306" t="n">
        <v>128</v>
      </c>
      <c r="E3306" t="inlineStr">
        <is>
          <t>Love Cabaret</t>
        </is>
      </c>
      <c r="F3306" s="27" t="n">
        <v>45700.5</v>
      </c>
      <c r="G3306" t="inlineStr">
        <is>
          <t>DEBITO</t>
        </is>
      </c>
      <c r="H3306" t="inlineStr">
        <is>
          <t>TARIFA BANCARIA TRANSF PGTO PIX</t>
        </is>
      </c>
      <c r="I3306" t="n">
        <v>-9</v>
      </c>
    </row>
    <row r="3307">
      <c r="A3307" t="n">
        <v>61869</v>
      </c>
      <c r="B3307" t="n">
        <v>115</v>
      </c>
      <c r="C3307" t="inlineStr">
        <is>
          <t>Love - Shibari - Bradesco</t>
        </is>
      </c>
      <c r="D3307" t="n">
        <v>128</v>
      </c>
      <c r="E3307" t="inlineStr">
        <is>
          <t>Love Cabaret</t>
        </is>
      </c>
      <c r="F3307" s="27" t="n">
        <v>45700.5</v>
      </c>
      <c r="G3307" t="inlineStr">
        <is>
          <t>DEBITO</t>
        </is>
      </c>
      <c r="H3307" t="inlineStr">
        <is>
          <t>TARIFA BANCARIA TRANSF PGTO PIX</t>
        </is>
      </c>
      <c r="I3307" t="n">
        <v>-9</v>
      </c>
    </row>
    <row r="3308">
      <c r="A3308" t="n">
        <v>61858</v>
      </c>
      <c r="B3308" t="n">
        <v>115</v>
      </c>
      <c r="C3308" t="inlineStr">
        <is>
          <t>Love - Shibari - Bradesco</t>
        </is>
      </c>
      <c r="D3308" t="n">
        <v>128</v>
      </c>
      <c r="E3308" t="inlineStr">
        <is>
          <t>Love Cabaret</t>
        </is>
      </c>
      <c r="F3308" s="27" t="n">
        <v>45700.5</v>
      </c>
      <c r="G3308" t="inlineStr">
        <is>
          <t>DEBITO</t>
        </is>
      </c>
      <c r="H3308" t="inlineStr">
        <is>
          <t>TARIFA BANCARIA TRANSF PGTO PIX</t>
        </is>
      </c>
      <c r="I3308" t="n">
        <v>-9</v>
      </c>
    </row>
    <row r="3309">
      <c r="A3309" t="n">
        <v>61857</v>
      </c>
      <c r="B3309" t="n">
        <v>115</v>
      </c>
      <c r="C3309" t="inlineStr">
        <is>
          <t>Love - Shibari - Bradesco</t>
        </is>
      </c>
      <c r="D3309" t="n">
        <v>128</v>
      </c>
      <c r="E3309" t="inlineStr">
        <is>
          <t>Love Cabaret</t>
        </is>
      </c>
      <c r="F3309" s="27" t="n">
        <v>45700.5</v>
      </c>
      <c r="G3309" t="inlineStr">
        <is>
          <t>DEBITO</t>
        </is>
      </c>
      <c r="H3309" t="inlineStr">
        <is>
          <t>TARIFA BANCARIA TRANSF PGTO PIX</t>
        </is>
      </c>
      <c r="I3309" t="n">
        <v>-9</v>
      </c>
    </row>
    <row r="3310">
      <c r="A3310" t="n">
        <v>61856</v>
      </c>
      <c r="B3310" t="n">
        <v>115</v>
      </c>
      <c r="C3310" t="inlineStr">
        <is>
          <t>Love - Shibari - Bradesco</t>
        </is>
      </c>
      <c r="D3310" t="n">
        <v>128</v>
      </c>
      <c r="E3310" t="inlineStr">
        <is>
          <t>Love Cabaret</t>
        </is>
      </c>
      <c r="F3310" s="27" t="n">
        <v>45700.5</v>
      </c>
      <c r="G3310" t="inlineStr">
        <is>
          <t>DEBITO</t>
        </is>
      </c>
      <c r="H3310" t="inlineStr">
        <is>
          <t>TARIFA BANCARIA TRANSF PGTO PIX</t>
        </is>
      </c>
      <c r="I3310" t="n">
        <v>-9</v>
      </c>
    </row>
    <row r="3311">
      <c r="A3311" t="n">
        <v>61855</v>
      </c>
      <c r="B3311" t="n">
        <v>115</v>
      </c>
      <c r="C3311" t="inlineStr">
        <is>
          <t>Love - Shibari - Bradesco</t>
        </is>
      </c>
      <c r="D3311" t="n">
        <v>128</v>
      </c>
      <c r="E3311" t="inlineStr">
        <is>
          <t>Love Cabaret</t>
        </is>
      </c>
      <c r="F3311" s="27" t="n">
        <v>45700.5</v>
      </c>
      <c r="G3311" t="inlineStr">
        <is>
          <t>DEBITO</t>
        </is>
      </c>
      <c r="H3311" t="inlineStr">
        <is>
          <t>TARIFA BANCARIA TRANSF PGTO PIX</t>
        </is>
      </c>
      <c r="I3311" t="n">
        <v>-9</v>
      </c>
    </row>
    <row r="3312">
      <c r="A3312" t="n">
        <v>61854</v>
      </c>
      <c r="B3312" t="n">
        <v>115</v>
      </c>
      <c r="C3312" t="inlineStr">
        <is>
          <t>Love - Shibari - Bradesco</t>
        </is>
      </c>
      <c r="D3312" t="n">
        <v>128</v>
      </c>
      <c r="E3312" t="inlineStr">
        <is>
          <t>Love Cabaret</t>
        </is>
      </c>
      <c r="F3312" s="27" t="n">
        <v>45700.5</v>
      </c>
      <c r="G3312" t="inlineStr">
        <is>
          <t>DEBITO</t>
        </is>
      </c>
      <c r="H3312" t="inlineStr">
        <is>
          <t>TARIFA BANCARIA TRANSF PGTO PIX</t>
        </is>
      </c>
      <c r="I3312" t="n">
        <v>-9</v>
      </c>
    </row>
    <row r="3313">
      <c r="A3313" t="n">
        <v>61853</v>
      </c>
      <c r="B3313" t="n">
        <v>115</v>
      </c>
      <c r="C3313" t="inlineStr">
        <is>
          <t>Love - Shibari - Bradesco</t>
        </is>
      </c>
      <c r="D3313" t="n">
        <v>128</v>
      </c>
      <c r="E3313" t="inlineStr">
        <is>
          <t>Love Cabaret</t>
        </is>
      </c>
      <c r="F3313" s="27" t="n">
        <v>45700.5</v>
      </c>
      <c r="G3313" t="inlineStr">
        <is>
          <t>DEBITO</t>
        </is>
      </c>
      <c r="H3313" t="inlineStr">
        <is>
          <t>TARIFA BANCARIA TRANSF PGTO PIX</t>
        </is>
      </c>
      <c r="I3313" t="n">
        <v>-9</v>
      </c>
    </row>
    <row r="3314">
      <c r="A3314" t="n">
        <v>61852</v>
      </c>
      <c r="B3314" t="n">
        <v>115</v>
      </c>
      <c r="C3314" t="inlineStr">
        <is>
          <t>Love - Shibari - Bradesco</t>
        </is>
      </c>
      <c r="D3314" t="n">
        <v>128</v>
      </c>
      <c r="E3314" t="inlineStr">
        <is>
          <t>Love Cabaret</t>
        </is>
      </c>
      <c r="F3314" s="27" t="n">
        <v>45700.5</v>
      </c>
      <c r="G3314" t="inlineStr">
        <is>
          <t>DEBITO</t>
        </is>
      </c>
      <c r="H3314" t="inlineStr">
        <is>
          <t>TARIFA BANCARIA TRANSF PGTO PIX</t>
        </is>
      </c>
      <c r="I3314" t="n">
        <v>-9</v>
      </c>
    </row>
    <row r="3315">
      <c r="A3315" t="n">
        <v>61851</v>
      </c>
      <c r="B3315" t="n">
        <v>115</v>
      </c>
      <c r="C3315" t="inlineStr">
        <is>
          <t>Love - Shibari - Bradesco</t>
        </is>
      </c>
      <c r="D3315" t="n">
        <v>128</v>
      </c>
      <c r="E3315" t="inlineStr">
        <is>
          <t>Love Cabaret</t>
        </is>
      </c>
      <c r="F3315" s="27" t="n">
        <v>45700.5</v>
      </c>
      <c r="G3315" t="inlineStr">
        <is>
          <t>DEBITO</t>
        </is>
      </c>
      <c r="H3315" t="inlineStr">
        <is>
          <t>TARIFA BANCARIA TRANSF PGTO PIX</t>
        </is>
      </c>
      <c r="I3315" t="n">
        <v>-9</v>
      </c>
    </row>
    <row r="3316">
      <c r="A3316" t="n">
        <v>61850</v>
      </c>
      <c r="B3316" t="n">
        <v>115</v>
      </c>
      <c r="C3316" t="inlineStr">
        <is>
          <t>Love - Shibari - Bradesco</t>
        </is>
      </c>
      <c r="D3316" t="n">
        <v>128</v>
      </c>
      <c r="E3316" t="inlineStr">
        <is>
          <t>Love Cabaret</t>
        </is>
      </c>
      <c r="F3316" s="27" t="n">
        <v>45700.5</v>
      </c>
      <c r="G3316" t="inlineStr">
        <is>
          <t>DEBITO</t>
        </is>
      </c>
      <c r="H3316" t="inlineStr">
        <is>
          <t>TARIFA BANCARIA TRANSF PGTO PIX</t>
        </is>
      </c>
      <c r="I3316" t="n">
        <v>-9</v>
      </c>
    </row>
    <row r="3317">
      <c r="A3317" t="n">
        <v>61582</v>
      </c>
      <c r="B3317" t="n">
        <v>115</v>
      </c>
      <c r="C3317" t="inlineStr">
        <is>
          <t>Love - Shibari - Bradesco</t>
        </is>
      </c>
      <c r="D3317" t="n">
        <v>128</v>
      </c>
      <c r="E3317" t="inlineStr">
        <is>
          <t>Love Cabaret</t>
        </is>
      </c>
      <c r="F3317" s="27" t="n">
        <v>45698.5</v>
      </c>
      <c r="G3317" t="inlineStr">
        <is>
          <t>DEBITO</t>
        </is>
      </c>
      <c r="H3317" t="inlineStr">
        <is>
          <t>TRANSFERENCIA PIX DES: JOAO VITOR MENDES SAL 10/02</t>
        </is>
      </c>
      <c r="I3317" t="n">
        <v>-2258</v>
      </c>
    </row>
    <row r="3318">
      <c r="A3318" t="n">
        <v>61590</v>
      </c>
      <c r="B3318" t="n">
        <v>115</v>
      </c>
      <c r="C3318" t="inlineStr">
        <is>
          <t>Love - Shibari - Bradesco</t>
        </is>
      </c>
      <c r="D3318" t="n">
        <v>128</v>
      </c>
      <c r="E3318" t="inlineStr">
        <is>
          <t>Love Cabaret</t>
        </is>
      </c>
      <c r="F3318" s="27" t="n">
        <v>45698.5</v>
      </c>
      <c r="G3318" t="inlineStr">
        <is>
          <t>DEBITO</t>
        </is>
      </c>
      <c r="H3318" t="inlineStr">
        <is>
          <t>TRANSFERENCIA PIX DES: 52794972 D F D GONCAL 10/02</t>
        </is>
      </c>
      <c r="I3318" t="n">
        <v>-4050</v>
      </c>
    </row>
    <row r="3319">
      <c r="A3319" t="n">
        <v>61589</v>
      </c>
      <c r="B3319" t="n">
        <v>115</v>
      </c>
      <c r="C3319" t="inlineStr">
        <is>
          <t>Love - Shibari - Bradesco</t>
        </is>
      </c>
      <c r="D3319" t="n">
        <v>128</v>
      </c>
      <c r="E3319" t="inlineStr">
        <is>
          <t>Love Cabaret</t>
        </is>
      </c>
      <c r="F3319" s="27" t="n">
        <v>45698.5</v>
      </c>
      <c r="G3319" t="inlineStr">
        <is>
          <t>DEBITO</t>
        </is>
      </c>
      <c r="H3319" t="inlineStr">
        <is>
          <t>TRANSFERENCIA PIX DES: Diego Oliveira Santan 10/02</t>
        </is>
      </c>
      <c r="I3319" t="n">
        <v>-5150</v>
      </c>
    </row>
    <row r="3320">
      <c r="A3320" t="n">
        <v>61588</v>
      </c>
      <c r="B3320" t="n">
        <v>115</v>
      </c>
      <c r="C3320" t="inlineStr">
        <is>
          <t>Love - Shibari - Bradesco</t>
        </is>
      </c>
      <c r="D3320" t="n">
        <v>128</v>
      </c>
      <c r="E3320" t="inlineStr">
        <is>
          <t>Love Cabaret</t>
        </is>
      </c>
      <c r="F3320" s="27" t="n">
        <v>45698.5</v>
      </c>
      <c r="G3320" t="inlineStr">
        <is>
          <t>DEBITO</t>
        </is>
      </c>
      <c r="H3320" t="inlineStr">
        <is>
          <t>TRANSFERENCIA PIX DES: ANNA WOORTMANN        10/02</t>
        </is>
      </c>
      <c r="I3320" t="n">
        <v>-3600</v>
      </c>
    </row>
    <row r="3321">
      <c r="A3321" t="n">
        <v>61587</v>
      </c>
      <c r="B3321" t="n">
        <v>115</v>
      </c>
      <c r="C3321" t="inlineStr">
        <is>
          <t>Love - Shibari - Bradesco</t>
        </is>
      </c>
      <c r="D3321" t="n">
        <v>128</v>
      </c>
      <c r="E3321" t="inlineStr">
        <is>
          <t>Love Cabaret</t>
        </is>
      </c>
      <c r="F3321" s="27" t="n">
        <v>45698.5</v>
      </c>
      <c r="G3321" t="inlineStr">
        <is>
          <t>DEBITO</t>
        </is>
      </c>
      <c r="H3321" t="inlineStr">
        <is>
          <t>TRANSFERENCIA PIX DES: AGNES RODRIGUES DE OL 10/02</t>
        </is>
      </c>
      <c r="I3321" t="n">
        <v>-5000</v>
      </c>
    </row>
    <row r="3322">
      <c r="A3322" t="n">
        <v>61586</v>
      </c>
      <c r="B3322" t="n">
        <v>115</v>
      </c>
      <c r="C3322" t="inlineStr">
        <is>
          <t>Love - Shibari - Bradesco</t>
        </is>
      </c>
      <c r="D3322" t="n">
        <v>128</v>
      </c>
      <c r="E3322" t="inlineStr">
        <is>
          <t>Love Cabaret</t>
        </is>
      </c>
      <c r="F3322" s="27" t="n">
        <v>45698.5</v>
      </c>
      <c r="G3322" t="inlineStr">
        <is>
          <t>DEBITO</t>
        </is>
      </c>
      <c r="H3322" t="inlineStr">
        <is>
          <t>TRANSFERENCIA PIX DES: 53.068.043 ISABELLA F 10/02</t>
        </is>
      </c>
      <c r="I3322" t="n">
        <v>-932</v>
      </c>
    </row>
    <row r="3323">
      <c r="A3323" t="n">
        <v>61585</v>
      </c>
      <c r="B3323" t="n">
        <v>115</v>
      </c>
      <c r="C3323" t="inlineStr">
        <is>
          <t>Love - Shibari - Bradesco</t>
        </is>
      </c>
      <c r="D3323" t="n">
        <v>128</v>
      </c>
      <c r="E3323" t="inlineStr">
        <is>
          <t>Love Cabaret</t>
        </is>
      </c>
      <c r="F3323" s="27" t="n">
        <v>45698.5</v>
      </c>
      <c r="G3323" t="inlineStr">
        <is>
          <t>DEBITO</t>
        </is>
      </c>
      <c r="H3323" t="inlineStr">
        <is>
          <t>TRANSFERENCIA PIX DES: VANESSA DEL SANTOS DE 10/02</t>
        </is>
      </c>
      <c r="I3323" t="n">
        <v>-2800</v>
      </c>
    </row>
    <row r="3324">
      <c r="A3324" t="n">
        <v>61584</v>
      </c>
      <c r="B3324" t="n">
        <v>115</v>
      </c>
      <c r="C3324" t="inlineStr">
        <is>
          <t>Love - Shibari - Bradesco</t>
        </is>
      </c>
      <c r="D3324" t="n">
        <v>128</v>
      </c>
      <c r="E3324" t="inlineStr">
        <is>
          <t>Love Cabaret</t>
        </is>
      </c>
      <c r="F3324" s="27" t="n">
        <v>45698.5</v>
      </c>
      <c r="G3324" t="inlineStr">
        <is>
          <t>DEBITO</t>
        </is>
      </c>
      <c r="H3324" t="inlineStr">
        <is>
          <t>TRANSFERENCIA PIX DES: FELIPE DA COSTA SANTO 10/02</t>
        </is>
      </c>
      <c r="I3324" t="n">
        <v>-390</v>
      </c>
    </row>
    <row r="3325">
      <c r="A3325" t="n">
        <v>61583</v>
      </c>
      <c r="B3325" t="n">
        <v>115</v>
      </c>
      <c r="C3325" t="inlineStr">
        <is>
          <t>Love - Shibari - Bradesco</t>
        </is>
      </c>
      <c r="D3325" t="n">
        <v>128</v>
      </c>
      <c r="E3325" t="inlineStr">
        <is>
          <t>Love Cabaret</t>
        </is>
      </c>
      <c r="F3325" s="27" t="n">
        <v>45698.5</v>
      </c>
      <c r="G3325" t="inlineStr">
        <is>
          <t>DEBITO</t>
        </is>
      </c>
      <c r="H3325" t="inlineStr">
        <is>
          <t>TRANSFERENCIA PIX DES: JULIA BAISCH FRANZ    10/02</t>
        </is>
      </c>
      <c r="I3325" t="n">
        <v>-940.9</v>
      </c>
    </row>
    <row r="3326">
      <c r="A3326" t="n">
        <v>61591</v>
      </c>
      <c r="B3326" t="n">
        <v>115</v>
      </c>
      <c r="C3326" t="inlineStr">
        <is>
          <t>Love - Shibari - Bradesco</t>
        </is>
      </c>
      <c r="D3326" t="n">
        <v>128</v>
      </c>
      <c r="E3326" t="inlineStr">
        <is>
          <t>Love Cabaret</t>
        </is>
      </c>
      <c r="F3326" s="27" t="n">
        <v>45698.5</v>
      </c>
      <c r="G3326" t="inlineStr">
        <is>
          <t>DEBITO</t>
        </is>
      </c>
      <c r="H3326" t="inlineStr">
        <is>
          <t>TRANSFERENCIA PIX DES: FELIPE DA COSTA SANTO 10/02</t>
        </is>
      </c>
      <c r="I3326" t="n">
        <v>-6130</v>
      </c>
    </row>
    <row r="3327">
      <c r="A3327" t="n">
        <v>61581</v>
      </c>
      <c r="B3327" t="n">
        <v>115</v>
      </c>
      <c r="C3327" t="inlineStr">
        <is>
          <t>Love - Shibari - Bradesco</t>
        </is>
      </c>
      <c r="D3327" t="n">
        <v>128</v>
      </c>
      <c r="E3327" t="inlineStr">
        <is>
          <t>Love Cabaret</t>
        </is>
      </c>
      <c r="F3327" s="27" t="n">
        <v>45698.5</v>
      </c>
      <c r="G3327" t="inlineStr">
        <is>
          <t>DEBITO</t>
        </is>
      </c>
      <c r="H3327" t="inlineStr">
        <is>
          <t>TRANSFERENCIA PIX DES: SANDRA PEREIRA DE SOU 10/02</t>
        </is>
      </c>
      <c r="I3327" t="n">
        <v>-1470</v>
      </c>
    </row>
    <row r="3328">
      <c r="A3328" t="n">
        <v>61580</v>
      </c>
      <c r="B3328" t="n">
        <v>115</v>
      </c>
      <c r="C3328" t="inlineStr">
        <is>
          <t>Love - Shibari - Bradesco</t>
        </is>
      </c>
      <c r="D3328" t="n">
        <v>128</v>
      </c>
      <c r="E3328" t="inlineStr">
        <is>
          <t>Love Cabaret</t>
        </is>
      </c>
      <c r="F3328" s="27" t="n">
        <v>45698.5</v>
      </c>
      <c r="G3328" t="inlineStr">
        <is>
          <t>DEBITO</t>
        </is>
      </c>
      <c r="H3328" t="inlineStr">
        <is>
          <t>TRANSFERENCIA PIX DES: MACHINE SEGURANCA PAT 10/02</t>
        </is>
      </c>
      <c r="I3328" t="n">
        <v>-7790</v>
      </c>
    </row>
    <row r="3329">
      <c r="A3329" t="n">
        <v>61579</v>
      </c>
      <c r="B3329" t="n">
        <v>115</v>
      </c>
      <c r="C3329" t="inlineStr">
        <is>
          <t>Love - Shibari - Bradesco</t>
        </is>
      </c>
      <c r="D3329" t="n">
        <v>128</v>
      </c>
      <c r="E3329" t="inlineStr">
        <is>
          <t>Love Cabaret</t>
        </is>
      </c>
      <c r="F3329" s="27" t="n">
        <v>45698.5</v>
      </c>
      <c r="G3329" t="inlineStr">
        <is>
          <t>DEBITO</t>
        </is>
      </c>
      <c r="H3329" t="inlineStr">
        <is>
          <t>PAGTO ELETRONICO TRIBUTO INTERNET --PMSP SP</t>
        </is>
      </c>
      <c r="I3329" t="n">
        <v>-61.06</v>
      </c>
    </row>
    <row r="3330">
      <c r="A3330" t="n">
        <v>61578</v>
      </c>
      <c r="B3330" t="n">
        <v>115</v>
      </c>
      <c r="C3330" t="inlineStr">
        <is>
          <t>Love - Shibari - Bradesco</t>
        </is>
      </c>
      <c r="D3330" t="n">
        <v>128</v>
      </c>
      <c r="E3330" t="inlineStr">
        <is>
          <t>Love Cabaret</t>
        </is>
      </c>
      <c r="F3330" s="27" t="n">
        <v>45698.5</v>
      </c>
      <c r="G3330" t="inlineStr">
        <is>
          <t>DEBITO</t>
        </is>
      </c>
      <c r="H3330" t="inlineStr">
        <is>
          <t>PAGTO ELETRONICO TRIBUTO INTERNET --PMSP SP</t>
        </is>
      </c>
      <c r="I3330" t="n">
        <v>-4.58</v>
      </c>
    </row>
    <row r="3331">
      <c r="A3331" t="n">
        <v>61577</v>
      </c>
      <c r="B3331" t="n">
        <v>115</v>
      </c>
      <c r="C3331" t="inlineStr">
        <is>
          <t>Love - Shibari - Bradesco</t>
        </is>
      </c>
      <c r="D3331" t="n">
        <v>128</v>
      </c>
      <c r="E3331" t="inlineStr">
        <is>
          <t>Love Cabaret</t>
        </is>
      </c>
      <c r="F3331" s="27" t="n">
        <v>45698.5</v>
      </c>
      <c r="G3331" t="inlineStr">
        <is>
          <t>DEBITO</t>
        </is>
      </c>
      <c r="H3331" t="inlineStr">
        <is>
          <t>PAGTO ELETRONICO TRIBUTO INTERNET --PMSP SP</t>
        </is>
      </c>
      <c r="I3331" t="n">
        <v>-2605.89</v>
      </c>
    </row>
    <row r="3332">
      <c r="A3332" t="n">
        <v>61576</v>
      </c>
      <c r="B3332" t="n">
        <v>115</v>
      </c>
      <c r="C3332" t="inlineStr">
        <is>
          <t>Love - Shibari - Bradesco</t>
        </is>
      </c>
      <c r="D3332" t="n">
        <v>128</v>
      </c>
      <c r="E3332" t="inlineStr">
        <is>
          <t>Love Cabaret</t>
        </is>
      </c>
      <c r="F3332" s="27" t="n">
        <v>45698.5</v>
      </c>
      <c r="G3332" t="inlineStr">
        <is>
          <t>DEBITO</t>
        </is>
      </c>
      <c r="H3332" t="inlineStr">
        <is>
          <t>TARIFA BANCARIA TRANSF PGTO PIX</t>
        </is>
      </c>
      <c r="I3332" t="n">
        <v>-9</v>
      </c>
    </row>
    <row r="3333">
      <c r="A3333" t="n">
        <v>61575</v>
      </c>
      <c r="B3333" t="n">
        <v>115</v>
      </c>
      <c r="C3333" t="inlineStr">
        <is>
          <t>Love - Shibari - Bradesco</t>
        </is>
      </c>
      <c r="D3333" t="n">
        <v>128</v>
      </c>
      <c r="E3333" t="inlineStr">
        <is>
          <t>Love Cabaret</t>
        </is>
      </c>
      <c r="F3333" s="27" t="n">
        <v>45698.5</v>
      </c>
      <c r="G3333" t="inlineStr">
        <is>
          <t>DEBITO</t>
        </is>
      </c>
      <c r="H3333" t="inlineStr">
        <is>
          <t>PAGTO ELETRON  COBRANCA NF 23025</t>
        </is>
      </c>
      <c r="I3333" t="n">
        <v>-949.2</v>
      </c>
    </row>
    <row r="3334">
      <c r="A3334" t="n">
        <v>61599</v>
      </c>
      <c r="B3334" t="n">
        <v>115</v>
      </c>
      <c r="C3334" t="inlineStr">
        <is>
          <t>Love - Shibari - Bradesco</t>
        </is>
      </c>
      <c r="D3334" t="n">
        <v>128</v>
      </c>
      <c r="E3334" t="inlineStr">
        <is>
          <t>Love Cabaret</t>
        </is>
      </c>
      <c r="F3334" s="27" t="n">
        <v>45698.5</v>
      </c>
      <c r="G3334" t="inlineStr">
        <is>
          <t>DEBITO</t>
        </is>
      </c>
      <c r="H3334" t="inlineStr">
        <is>
          <t>TRANSFERENCIA PIX DES: JULIA BAISCH FRANZ 02 10/02</t>
        </is>
      </c>
      <c r="I3334" t="n">
        <v>-8500</v>
      </c>
    </row>
    <row r="3335">
      <c r="A3335" t="n">
        <v>61607</v>
      </c>
      <c r="B3335" t="n">
        <v>115</v>
      </c>
      <c r="C3335" t="inlineStr">
        <is>
          <t>Love - Shibari - Bradesco</t>
        </is>
      </c>
      <c r="D3335" t="n">
        <v>128</v>
      </c>
      <c r="E3335" t="inlineStr">
        <is>
          <t>Love Cabaret</t>
        </is>
      </c>
      <c r="F3335" s="27" t="n">
        <v>45698.5</v>
      </c>
      <c r="G3335" t="inlineStr">
        <is>
          <t>DEBITO</t>
        </is>
      </c>
      <c r="H3335" t="inlineStr">
        <is>
          <t>TRANSFERENCIA PIX DES: LUIZ ROBERTO MOREIRA  10/02</t>
        </is>
      </c>
      <c r="I3335" t="n">
        <v>-2300</v>
      </c>
    </row>
    <row r="3336">
      <c r="A3336" t="n">
        <v>61606</v>
      </c>
      <c r="B3336" t="n">
        <v>115</v>
      </c>
      <c r="C3336" t="inlineStr">
        <is>
          <t>Love - Shibari - Bradesco</t>
        </is>
      </c>
      <c r="D3336" t="n">
        <v>128</v>
      </c>
      <c r="E3336" t="inlineStr">
        <is>
          <t>Love Cabaret</t>
        </is>
      </c>
      <c r="F3336" s="27" t="n">
        <v>45698.5</v>
      </c>
      <c r="G3336" t="inlineStr">
        <is>
          <t>DEBITO</t>
        </is>
      </c>
      <c r="H3336" t="inlineStr">
        <is>
          <t>TRANSFERENCIA PIX DES: 51.083.821 AKIRA NAWA 10/02</t>
        </is>
      </c>
      <c r="I3336" t="n">
        <v>-5104.8</v>
      </c>
    </row>
    <row r="3337">
      <c r="A3337" t="n">
        <v>61605</v>
      </c>
      <c r="B3337" t="n">
        <v>115</v>
      </c>
      <c r="C3337" t="inlineStr">
        <is>
          <t>Love - Shibari - Bradesco</t>
        </is>
      </c>
      <c r="D3337" t="n">
        <v>128</v>
      </c>
      <c r="E3337" t="inlineStr">
        <is>
          <t>Love Cabaret</t>
        </is>
      </c>
      <c r="F3337" s="27" t="n">
        <v>45698.5</v>
      </c>
      <c r="G3337" t="inlineStr">
        <is>
          <t>DEBITO</t>
        </is>
      </c>
      <c r="H3337" t="inlineStr">
        <is>
          <t>TRANSFERENCIA PIX DES: ROBERTA MARIA SANTANA 10/02</t>
        </is>
      </c>
      <c r="I3337" t="n">
        <v>-3843.33</v>
      </c>
    </row>
    <row r="3338">
      <c r="A3338" t="n">
        <v>61604</v>
      </c>
      <c r="B3338" t="n">
        <v>115</v>
      </c>
      <c r="C3338" t="inlineStr">
        <is>
          <t>Love - Shibari - Bradesco</t>
        </is>
      </c>
      <c r="D3338" t="n">
        <v>128</v>
      </c>
      <c r="E3338" t="inlineStr">
        <is>
          <t>Love Cabaret</t>
        </is>
      </c>
      <c r="F3338" s="27" t="n">
        <v>45698.5</v>
      </c>
      <c r="G3338" t="inlineStr">
        <is>
          <t>DEBITO</t>
        </is>
      </c>
      <c r="H3338" t="inlineStr">
        <is>
          <t>TRANSFERENCIA PIX DES: TELES DE ALMEIDA PINT 10/02</t>
        </is>
      </c>
      <c r="I3338" t="n">
        <v>-1990</v>
      </c>
    </row>
    <row r="3339">
      <c r="A3339" t="n">
        <v>61603</v>
      </c>
      <c r="B3339" t="n">
        <v>115</v>
      </c>
      <c r="C3339" t="inlineStr">
        <is>
          <t>Love - Shibari - Bradesco</t>
        </is>
      </c>
      <c r="D3339" t="n">
        <v>128</v>
      </c>
      <c r="E3339" t="inlineStr">
        <is>
          <t>Love Cabaret</t>
        </is>
      </c>
      <c r="F3339" s="27" t="n">
        <v>45698.5</v>
      </c>
      <c r="G3339" t="inlineStr">
        <is>
          <t>DEBITO</t>
        </is>
      </c>
      <c r="H3339" t="inlineStr">
        <is>
          <t>TRANSFERENCIA PIX DES: 55 214 822 WAGNER DA  10/02</t>
        </is>
      </c>
      <c r="I3339" t="n">
        <v>-4950</v>
      </c>
    </row>
    <row r="3340">
      <c r="A3340" t="n">
        <v>61602</v>
      </c>
      <c r="B3340" t="n">
        <v>115</v>
      </c>
      <c r="C3340" t="inlineStr">
        <is>
          <t>Love - Shibari - Bradesco</t>
        </is>
      </c>
      <c r="D3340" t="n">
        <v>128</v>
      </c>
      <c r="E3340" t="inlineStr">
        <is>
          <t>Love Cabaret</t>
        </is>
      </c>
      <c r="F3340" s="27" t="n">
        <v>45698.5</v>
      </c>
      <c r="G3340" t="inlineStr">
        <is>
          <t>DEBITO</t>
        </is>
      </c>
      <c r="H3340" t="inlineStr">
        <is>
          <t>TRANSFERENCIA PIX DES: 55774785 THIAGO PINHE 10/02</t>
        </is>
      </c>
      <c r="I3340" t="n">
        <v>-1125</v>
      </c>
    </row>
    <row r="3341">
      <c r="A3341" t="n">
        <v>61601</v>
      </c>
      <c r="B3341" t="n">
        <v>115</v>
      </c>
      <c r="C3341" t="inlineStr">
        <is>
          <t>Love - Shibari - Bradesco</t>
        </is>
      </c>
      <c r="D3341" t="n">
        <v>128</v>
      </c>
      <c r="E3341" t="inlineStr">
        <is>
          <t>Love Cabaret</t>
        </is>
      </c>
      <c r="F3341" s="27" t="n">
        <v>45698.5</v>
      </c>
      <c r="G3341" t="inlineStr">
        <is>
          <t>DEBITO</t>
        </is>
      </c>
      <c r="H3341" t="inlineStr">
        <is>
          <t>TRANSFERENCIA PIX DES: Tamara Santos Ribeiro 10/02</t>
        </is>
      </c>
      <c r="I3341" t="n">
        <v>-3500</v>
      </c>
    </row>
    <row r="3342">
      <c r="A3342" t="n">
        <v>61600</v>
      </c>
      <c r="B3342" t="n">
        <v>115</v>
      </c>
      <c r="C3342" t="inlineStr">
        <is>
          <t>Love - Shibari - Bradesco</t>
        </is>
      </c>
      <c r="D3342" t="n">
        <v>128</v>
      </c>
      <c r="E3342" t="inlineStr">
        <is>
          <t>Love Cabaret</t>
        </is>
      </c>
      <c r="F3342" s="27" t="n">
        <v>45698.5</v>
      </c>
      <c r="G3342" t="inlineStr">
        <is>
          <t>DEBITO</t>
        </is>
      </c>
      <c r="H3342" t="inlineStr">
        <is>
          <t>TRANSFERENCIA PIX DES: MICHELLY ROSSI COUTO  10/02</t>
        </is>
      </c>
      <c r="I3342" t="n">
        <v>-3000</v>
      </c>
    </row>
    <row r="3343">
      <c r="A3343" t="n">
        <v>61573</v>
      </c>
      <c r="B3343" t="n">
        <v>115</v>
      </c>
      <c r="C3343" t="inlineStr">
        <is>
          <t>Love - Shibari - Bradesco</t>
        </is>
      </c>
      <c r="D3343" t="n">
        <v>128</v>
      </c>
      <c r="E3343" t="inlineStr">
        <is>
          <t>Love Cabaret</t>
        </is>
      </c>
      <c r="F3343" s="27" t="n">
        <v>45698.5</v>
      </c>
      <c r="G3343" t="inlineStr">
        <is>
          <t>DEBITO</t>
        </is>
      </c>
      <c r="H3343" t="inlineStr">
        <is>
          <t>PAGTO ELETRON  COBRANCA NF 139620</t>
        </is>
      </c>
      <c r="I3343" t="n">
        <v>-329.2</v>
      </c>
    </row>
    <row r="3344">
      <c r="A3344" t="n">
        <v>61598</v>
      </c>
      <c r="B3344" t="n">
        <v>115</v>
      </c>
      <c r="C3344" t="inlineStr">
        <is>
          <t>Love - Shibari - Bradesco</t>
        </is>
      </c>
      <c r="D3344" t="n">
        <v>128</v>
      </c>
      <c r="E3344" t="inlineStr">
        <is>
          <t>Love Cabaret</t>
        </is>
      </c>
      <c r="F3344" s="27" t="n">
        <v>45698.5</v>
      </c>
      <c r="G3344" t="inlineStr">
        <is>
          <t>DEBITO</t>
        </is>
      </c>
      <c r="H3344" t="inlineStr">
        <is>
          <t>TRANSFERENCIA PIX DES: LARISSA ROSA DE SOUZA 10/02</t>
        </is>
      </c>
      <c r="I3344" t="n">
        <v>-1206</v>
      </c>
    </row>
    <row r="3345">
      <c r="A3345" t="n">
        <v>61597</v>
      </c>
      <c r="B3345" t="n">
        <v>115</v>
      </c>
      <c r="C3345" t="inlineStr">
        <is>
          <t>Love - Shibari - Bradesco</t>
        </is>
      </c>
      <c r="D3345" t="n">
        <v>128</v>
      </c>
      <c r="E3345" t="inlineStr">
        <is>
          <t>Love Cabaret</t>
        </is>
      </c>
      <c r="F3345" s="27" t="n">
        <v>45698.5</v>
      </c>
      <c r="G3345" t="inlineStr">
        <is>
          <t>DEBITO</t>
        </is>
      </c>
      <c r="H3345" t="inlineStr">
        <is>
          <t>TRANSFERENCIA PIX DES: Laisa Larangeira      10/02</t>
        </is>
      </c>
      <c r="I3345" t="n">
        <v>-1600</v>
      </c>
    </row>
    <row r="3346">
      <c r="A3346" t="n">
        <v>61596</v>
      </c>
      <c r="B3346" t="n">
        <v>115</v>
      </c>
      <c r="C3346" t="inlineStr">
        <is>
          <t>Love - Shibari - Bradesco</t>
        </is>
      </c>
      <c r="D3346" t="n">
        <v>128</v>
      </c>
      <c r="E3346" t="inlineStr">
        <is>
          <t>Love Cabaret</t>
        </is>
      </c>
      <c r="F3346" s="27" t="n">
        <v>45698.5</v>
      </c>
      <c r="G3346" t="inlineStr">
        <is>
          <t>DEBITO</t>
        </is>
      </c>
      <c r="H3346" t="inlineStr">
        <is>
          <t>TRANSFERENCIA PIX DES: JULIANA DANTAS GONCAL 10/02</t>
        </is>
      </c>
      <c r="I3346" t="n">
        <v>-3000</v>
      </c>
    </row>
    <row r="3347">
      <c r="A3347" t="n">
        <v>61595</v>
      </c>
      <c r="B3347" t="n">
        <v>115</v>
      </c>
      <c r="C3347" t="inlineStr">
        <is>
          <t>Love - Shibari - Bradesco</t>
        </is>
      </c>
      <c r="D3347" t="n">
        <v>128</v>
      </c>
      <c r="E3347" t="inlineStr">
        <is>
          <t>Love Cabaret</t>
        </is>
      </c>
      <c r="F3347" s="27" t="n">
        <v>45698.5</v>
      </c>
      <c r="G3347" t="inlineStr">
        <is>
          <t>DEBITO</t>
        </is>
      </c>
      <c r="H3347" t="inlineStr">
        <is>
          <t>TRANSFERENCIA PIX DES: JOAO VITOR MENDES SAL 10/02</t>
        </is>
      </c>
      <c r="I3347" t="n">
        <v>-4800</v>
      </c>
    </row>
    <row r="3348">
      <c r="A3348" t="n">
        <v>61594</v>
      </c>
      <c r="B3348" t="n">
        <v>115</v>
      </c>
      <c r="C3348" t="inlineStr">
        <is>
          <t>Love - Shibari - Bradesco</t>
        </is>
      </c>
      <c r="D3348" t="n">
        <v>128</v>
      </c>
      <c r="E3348" t="inlineStr">
        <is>
          <t>Love Cabaret</t>
        </is>
      </c>
      <c r="F3348" s="27" t="n">
        <v>45698.5</v>
      </c>
      <c r="G3348" t="inlineStr">
        <is>
          <t>DEBITO</t>
        </is>
      </c>
      <c r="H3348" t="inlineStr">
        <is>
          <t>TRANSFERENCIA PIX DES: 49.635.085 JESSICA IZ 10/02</t>
        </is>
      </c>
      <c r="I3348" t="n">
        <v>-1250</v>
      </c>
    </row>
    <row r="3349">
      <c r="A3349" t="n">
        <v>61593</v>
      </c>
      <c r="B3349" t="n">
        <v>115</v>
      </c>
      <c r="C3349" t="inlineStr">
        <is>
          <t>Love - Shibari - Bradesco</t>
        </is>
      </c>
      <c r="D3349" t="n">
        <v>128</v>
      </c>
      <c r="E3349" t="inlineStr">
        <is>
          <t>Love Cabaret</t>
        </is>
      </c>
      <c r="F3349" s="27" t="n">
        <v>45698.5</v>
      </c>
      <c r="G3349" t="inlineStr">
        <is>
          <t>DEBITO</t>
        </is>
      </c>
      <c r="H3349" t="inlineStr">
        <is>
          <t>TRANSFERENCIA PIX DES: INDRA HARETRAVA       10/02</t>
        </is>
      </c>
      <c r="I3349" t="n">
        <v>-7420</v>
      </c>
    </row>
    <row r="3350">
      <c r="A3350" t="n">
        <v>61592</v>
      </c>
      <c r="B3350" t="n">
        <v>115</v>
      </c>
      <c r="C3350" t="inlineStr">
        <is>
          <t>Love - Shibari - Bradesco</t>
        </is>
      </c>
      <c r="D3350" t="n">
        <v>128</v>
      </c>
      <c r="E3350" t="inlineStr">
        <is>
          <t>Love Cabaret</t>
        </is>
      </c>
      <c r="F3350" s="27" t="n">
        <v>45698.5</v>
      </c>
      <c r="G3350" t="inlineStr">
        <is>
          <t>DEBITO</t>
        </is>
      </c>
      <c r="H3350" t="inlineStr">
        <is>
          <t>TRANSFERENCIA PIX DES: GABRIELA TOLEDO MONTE 10/02</t>
        </is>
      </c>
      <c r="I3350" t="n">
        <v>-4000</v>
      </c>
    </row>
    <row r="3351">
      <c r="A3351" t="n">
        <v>61561</v>
      </c>
      <c r="B3351" t="n">
        <v>115</v>
      </c>
      <c r="C3351" t="inlineStr">
        <is>
          <t>Love - Shibari - Bradesco</t>
        </is>
      </c>
      <c r="D3351" t="n">
        <v>128</v>
      </c>
      <c r="E3351" t="inlineStr">
        <is>
          <t>Love Cabaret</t>
        </is>
      </c>
      <c r="F3351" s="27" t="n">
        <v>45698.5</v>
      </c>
      <c r="G3351" t="inlineStr">
        <is>
          <t>DEBITO</t>
        </is>
      </c>
      <c r="H3351" t="inlineStr">
        <is>
          <t>PAGTO ELETRON  COBRANCA NF 36080</t>
        </is>
      </c>
      <c r="I3351" t="n">
        <v>-331</v>
      </c>
    </row>
    <row r="3352">
      <c r="A3352" t="n">
        <v>61548</v>
      </c>
      <c r="B3352" t="n">
        <v>115</v>
      </c>
      <c r="C3352" t="inlineStr">
        <is>
          <t>Love - Shibari - Bradesco</t>
        </is>
      </c>
      <c r="D3352" t="n">
        <v>128</v>
      </c>
      <c r="E3352" t="inlineStr">
        <is>
          <t>Love Cabaret</t>
        </is>
      </c>
      <c r="F3352" s="27" t="n">
        <v>45698.5</v>
      </c>
      <c r="G3352" t="inlineStr">
        <is>
          <t>CREDITO</t>
        </is>
      </c>
      <c r="H3352" t="inlineStr">
        <is>
          <t>TED-TRANSF ELET DISPON REMET.LOVE SUITES LTDA</t>
        </is>
      </c>
      <c r="I3352" t="n">
        <v>30342.25</v>
      </c>
    </row>
    <row r="3353">
      <c r="A3353" t="n">
        <v>61549</v>
      </c>
      <c r="B3353" t="n">
        <v>115</v>
      </c>
      <c r="C3353" t="inlineStr">
        <is>
          <t>Love - Shibari - Bradesco</t>
        </is>
      </c>
      <c r="D3353" t="n">
        <v>128</v>
      </c>
      <c r="E3353" t="inlineStr">
        <is>
          <t>Love Cabaret</t>
        </is>
      </c>
      <c r="F3353" s="27" t="n">
        <v>45698.5</v>
      </c>
      <c r="G3353" t="inlineStr">
        <is>
          <t>CREDITO</t>
        </is>
      </c>
      <c r="H3353" t="inlineStr">
        <is>
          <t>TRANSFERENCIA PIX REM: Zig Tecnologia S.A.   10/02</t>
        </is>
      </c>
      <c r="I3353" t="n">
        <v>46969.17</v>
      </c>
    </row>
    <row r="3354">
      <c r="A3354" t="n">
        <v>61551</v>
      </c>
      <c r="B3354" t="n">
        <v>115</v>
      </c>
      <c r="C3354" t="inlineStr">
        <is>
          <t>Love - Shibari - Bradesco</t>
        </is>
      </c>
      <c r="D3354" t="n">
        <v>128</v>
      </c>
      <c r="E3354" t="inlineStr">
        <is>
          <t>Love Cabaret</t>
        </is>
      </c>
      <c r="F3354" s="27" t="n">
        <v>45698.5</v>
      </c>
      <c r="G3354" t="inlineStr">
        <is>
          <t>DEBITO</t>
        </is>
      </c>
      <c r="H3354" t="inlineStr">
        <is>
          <t>PAGTO ELETRON  COBRANCA ALUGUEL JANEIRO</t>
        </is>
      </c>
      <c r="I3354" t="n">
        <v>-31634.64</v>
      </c>
    </row>
    <row r="3355">
      <c r="A3355" t="n">
        <v>61552</v>
      </c>
      <c r="B3355" t="n">
        <v>115</v>
      </c>
      <c r="C3355" t="inlineStr">
        <is>
          <t>Love - Shibari - Bradesco</t>
        </is>
      </c>
      <c r="D3355" t="n">
        <v>128</v>
      </c>
      <c r="E3355" t="inlineStr">
        <is>
          <t>Love Cabaret</t>
        </is>
      </c>
      <c r="F3355" s="27" t="n">
        <v>45698.5</v>
      </c>
      <c r="G3355" t="inlineStr">
        <is>
          <t>DEBITO</t>
        </is>
      </c>
      <c r="H3355" t="inlineStr">
        <is>
          <t>PAGTO ELETRON  COBRANCA NF 182537</t>
        </is>
      </c>
      <c r="I3355" t="n">
        <v>-2954.05</v>
      </c>
    </row>
    <row r="3356">
      <c r="A3356" t="n">
        <v>61553</v>
      </c>
      <c r="B3356" t="n">
        <v>115</v>
      </c>
      <c r="C3356" t="inlineStr">
        <is>
          <t>Love - Shibari - Bradesco</t>
        </is>
      </c>
      <c r="D3356" t="n">
        <v>128</v>
      </c>
      <c r="E3356" t="inlineStr">
        <is>
          <t>Love Cabaret</t>
        </is>
      </c>
      <c r="F3356" s="27" t="n">
        <v>45698.5</v>
      </c>
      <c r="G3356" t="inlineStr">
        <is>
          <t>DEBITO</t>
        </is>
      </c>
      <c r="H3356" t="inlineStr">
        <is>
          <t>PAGTO ELETRON  COBRANCA NF 12474</t>
        </is>
      </c>
      <c r="I3356" t="n">
        <v>-1347.15</v>
      </c>
    </row>
    <row r="3357">
      <c r="A3357" t="n">
        <v>61554</v>
      </c>
      <c r="B3357" t="n">
        <v>115</v>
      </c>
      <c r="C3357" t="inlineStr">
        <is>
          <t>Love - Shibari - Bradesco</t>
        </is>
      </c>
      <c r="D3357" t="n">
        <v>128</v>
      </c>
      <c r="E3357" t="inlineStr">
        <is>
          <t>Love Cabaret</t>
        </is>
      </c>
      <c r="F3357" s="27" t="n">
        <v>45698.5</v>
      </c>
      <c r="G3357" t="inlineStr">
        <is>
          <t>DEBITO</t>
        </is>
      </c>
      <c r="H3357" t="inlineStr">
        <is>
          <t>PAGTO ELETRON  COBRANCA 240994</t>
        </is>
      </c>
      <c r="I3357" t="n">
        <v>-1009.31</v>
      </c>
    </row>
    <row r="3358">
      <c r="A3358" t="n">
        <v>61555</v>
      </c>
      <c r="B3358" t="n">
        <v>115</v>
      </c>
      <c r="C3358" t="inlineStr">
        <is>
          <t>Love - Shibari - Bradesco</t>
        </is>
      </c>
      <c r="D3358" t="n">
        <v>128</v>
      </c>
      <c r="E3358" t="inlineStr">
        <is>
          <t>Love Cabaret</t>
        </is>
      </c>
      <c r="F3358" s="27" t="n">
        <v>45698.5</v>
      </c>
      <c r="G3358" t="inlineStr">
        <is>
          <t>DEBITO</t>
        </is>
      </c>
      <c r="H3358" t="inlineStr">
        <is>
          <t>PAGTO ELETRON  COBRANCA NF 218</t>
        </is>
      </c>
      <c r="I3358" t="n">
        <v>-1000</v>
      </c>
    </row>
    <row r="3359">
      <c r="A3359" t="n">
        <v>61556</v>
      </c>
      <c r="B3359" t="n">
        <v>115</v>
      </c>
      <c r="C3359" t="inlineStr">
        <is>
          <t>Love - Shibari - Bradesco</t>
        </is>
      </c>
      <c r="D3359" t="n">
        <v>128</v>
      </c>
      <c r="E3359" t="inlineStr">
        <is>
          <t>Love Cabaret</t>
        </is>
      </c>
      <c r="F3359" s="27" t="n">
        <v>45698.5</v>
      </c>
      <c r="G3359" t="inlineStr">
        <is>
          <t>DEBITO</t>
        </is>
      </c>
      <c r="H3359" t="inlineStr">
        <is>
          <t>PAGTO ELETRON  COBRANCA NF 182567</t>
        </is>
      </c>
      <c r="I3359" t="n">
        <v>-965.85</v>
      </c>
    </row>
    <row r="3360">
      <c r="A3360" t="n">
        <v>61557</v>
      </c>
      <c r="B3360" t="n">
        <v>115</v>
      </c>
      <c r="C3360" t="inlineStr">
        <is>
          <t>Love - Shibari - Bradesco</t>
        </is>
      </c>
      <c r="D3360" t="n">
        <v>128</v>
      </c>
      <c r="E3360" t="inlineStr">
        <is>
          <t>Love Cabaret</t>
        </is>
      </c>
      <c r="F3360" s="27" t="n">
        <v>45698.5</v>
      </c>
      <c r="G3360" t="inlineStr">
        <is>
          <t>DEBITO</t>
        </is>
      </c>
      <c r="H3360" t="inlineStr">
        <is>
          <t>PAGTO ELETRON  COBRANCA NF 132385</t>
        </is>
      </c>
      <c r="I3360" t="n">
        <v>-486.28</v>
      </c>
    </row>
    <row r="3361">
      <c r="A3361" t="n">
        <v>61558</v>
      </c>
      <c r="B3361" t="n">
        <v>115</v>
      </c>
      <c r="C3361" t="inlineStr">
        <is>
          <t>Love - Shibari - Bradesco</t>
        </is>
      </c>
      <c r="D3361" t="n">
        <v>128</v>
      </c>
      <c r="E3361" t="inlineStr">
        <is>
          <t>Love Cabaret</t>
        </is>
      </c>
      <c r="F3361" s="27" t="n">
        <v>45698.5</v>
      </c>
      <c r="G3361" t="inlineStr">
        <is>
          <t>DEBITO</t>
        </is>
      </c>
      <c r="H3361" t="inlineStr">
        <is>
          <t>PAGTO ELETRON  COBRANCA NF 182545</t>
        </is>
      </c>
      <c r="I3361" t="n">
        <v>-482.93</v>
      </c>
    </row>
    <row r="3362">
      <c r="A3362" t="n">
        <v>61559</v>
      </c>
      <c r="B3362" t="n">
        <v>115</v>
      </c>
      <c r="C3362" t="inlineStr">
        <is>
          <t>Love - Shibari - Bradesco</t>
        </is>
      </c>
      <c r="D3362" t="n">
        <v>128</v>
      </c>
      <c r="E3362" t="inlineStr">
        <is>
          <t>Love Cabaret</t>
        </is>
      </c>
      <c r="F3362" s="27" t="n">
        <v>45698.5</v>
      </c>
      <c r="G3362" t="inlineStr">
        <is>
          <t>DEBITO</t>
        </is>
      </c>
      <c r="H3362" t="inlineStr">
        <is>
          <t>PAGTO ELETRON  COBRANCA NF 182536</t>
        </is>
      </c>
      <c r="I3362" t="n">
        <v>-380.23</v>
      </c>
    </row>
    <row r="3363">
      <c r="A3363" t="n">
        <v>61560</v>
      </c>
      <c r="B3363" t="n">
        <v>115</v>
      </c>
      <c r="C3363" t="inlineStr">
        <is>
          <t>Love - Shibari - Bradesco</t>
        </is>
      </c>
      <c r="D3363" t="n">
        <v>128</v>
      </c>
      <c r="E3363" t="inlineStr">
        <is>
          <t>Love Cabaret</t>
        </is>
      </c>
      <c r="F3363" s="27" t="n">
        <v>45698.5</v>
      </c>
      <c r="G3363" t="inlineStr">
        <is>
          <t>DEBITO</t>
        </is>
      </c>
      <c r="H3363" t="inlineStr">
        <is>
          <t>PAGTO ELETRON  COBRANCA NF 128835</t>
        </is>
      </c>
      <c r="I3363" t="n">
        <v>-368.7</v>
      </c>
    </row>
    <row r="3364">
      <c r="A3364" t="n">
        <v>61547</v>
      </c>
      <c r="B3364" t="n">
        <v>115</v>
      </c>
      <c r="C3364" t="inlineStr">
        <is>
          <t>Love - Shibari - Bradesco</t>
        </is>
      </c>
      <c r="D3364" t="n">
        <v>128</v>
      </c>
      <c r="E3364" t="inlineStr">
        <is>
          <t>Love Cabaret</t>
        </is>
      </c>
      <c r="F3364" s="27" t="n">
        <v>45698.5</v>
      </c>
      <c r="G3364" t="inlineStr">
        <is>
          <t>CREDITO</t>
        </is>
      </c>
      <c r="H3364" t="inlineStr">
        <is>
          <t>TED-TRANSF ELET DISPON REMET.LIRIUM INDUSTRIA E C</t>
        </is>
      </c>
      <c r="I3364" t="n">
        <v>202.5</v>
      </c>
    </row>
    <row r="3365">
      <c r="A3365" t="n">
        <v>61562</v>
      </c>
      <c r="B3365" t="n">
        <v>115</v>
      </c>
      <c r="C3365" t="inlineStr">
        <is>
          <t>Love - Shibari - Bradesco</t>
        </is>
      </c>
      <c r="D3365" t="n">
        <v>128</v>
      </c>
      <c r="E3365" t="inlineStr">
        <is>
          <t>Love Cabaret</t>
        </is>
      </c>
      <c r="F3365" s="27" t="n">
        <v>45698.5</v>
      </c>
      <c r="G3365" t="inlineStr">
        <is>
          <t>DEBITO</t>
        </is>
      </c>
      <c r="H3365" t="inlineStr">
        <is>
          <t>PAGTO ELETRON  COBRANCA NF 10262</t>
        </is>
      </c>
      <c r="I3365" t="n">
        <v>-227.43</v>
      </c>
    </row>
    <row r="3366">
      <c r="A3366" t="n">
        <v>61563</v>
      </c>
      <c r="B3366" t="n">
        <v>115</v>
      </c>
      <c r="C3366" t="inlineStr">
        <is>
          <t>Love - Shibari - Bradesco</t>
        </is>
      </c>
      <c r="D3366" t="n">
        <v>128</v>
      </c>
      <c r="E3366" t="inlineStr">
        <is>
          <t>Love Cabaret</t>
        </is>
      </c>
      <c r="F3366" s="27" t="n">
        <v>45698.5</v>
      </c>
      <c r="G3366" t="inlineStr">
        <is>
          <t>DEBITO</t>
        </is>
      </c>
      <c r="H3366" t="inlineStr">
        <is>
          <t>PAGTO ELETRON  COBRANCA NF 215457</t>
        </is>
      </c>
      <c r="I3366" t="n">
        <v>-299.99</v>
      </c>
    </row>
    <row r="3367">
      <c r="A3367" t="n">
        <v>61564</v>
      </c>
      <c r="B3367" t="n">
        <v>115</v>
      </c>
      <c r="C3367" t="inlineStr">
        <is>
          <t>Love - Shibari - Bradesco</t>
        </is>
      </c>
      <c r="D3367" t="n">
        <v>128</v>
      </c>
      <c r="E3367" t="inlineStr">
        <is>
          <t>Love Cabaret</t>
        </is>
      </c>
      <c r="F3367" s="27" t="n">
        <v>45698.5</v>
      </c>
      <c r="G3367" t="inlineStr">
        <is>
          <t>DEBITO</t>
        </is>
      </c>
      <c r="H3367" t="inlineStr">
        <is>
          <t>PAGTO ELETRON  COBRANCA NF 38547</t>
        </is>
      </c>
      <c r="I3367" t="n">
        <v>-241.28</v>
      </c>
    </row>
    <row r="3368">
      <c r="A3368" t="n">
        <v>61574</v>
      </c>
      <c r="B3368" t="n">
        <v>115</v>
      </c>
      <c r="C3368" t="inlineStr">
        <is>
          <t>Love - Shibari - Bradesco</t>
        </is>
      </c>
      <c r="D3368" t="n">
        <v>128</v>
      </c>
      <c r="E3368" t="inlineStr">
        <is>
          <t>Love Cabaret</t>
        </is>
      </c>
      <c r="F3368" s="27" t="n">
        <v>45698.5</v>
      </c>
      <c r="G3368" t="inlineStr">
        <is>
          <t>DEBITO</t>
        </is>
      </c>
      <c r="H3368" t="inlineStr">
        <is>
          <t>PAGTO ELETRON  COBRANCA NF 21483</t>
        </is>
      </c>
      <c r="I3368" t="n">
        <v>-791.27</v>
      </c>
    </row>
    <row r="3369">
      <c r="A3369" t="n">
        <v>61572</v>
      </c>
      <c r="B3369" t="n">
        <v>115</v>
      </c>
      <c r="C3369" t="inlineStr">
        <is>
          <t>Love - Shibari - Bradesco</t>
        </is>
      </c>
      <c r="D3369" t="n">
        <v>128</v>
      </c>
      <c r="E3369" t="inlineStr">
        <is>
          <t>Love Cabaret</t>
        </is>
      </c>
      <c r="F3369" s="27" t="n">
        <v>45698.5</v>
      </c>
      <c r="G3369" t="inlineStr">
        <is>
          <t>DEBITO</t>
        </is>
      </c>
      <c r="H3369" t="inlineStr">
        <is>
          <t>PAGTO ELETRON  COBRANCA NF 561596</t>
        </is>
      </c>
      <c r="I3369" t="n">
        <v>-548.49</v>
      </c>
    </row>
    <row r="3370">
      <c r="A3370" t="n">
        <v>61571</v>
      </c>
      <c r="B3370" t="n">
        <v>115</v>
      </c>
      <c r="C3370" t="inlineStr">
        <is>
          <t>Love - Shibari - Bradesco</t>
        </is>
      </c>
      <c r="D3370" t="n">
        <v>128</v>
      </c>
      <c r="E3370" t="inlineStr">
        <is>
          <t>Love Cabaret</t>
        </is>
      </c>
      <c r="F3370" s="27" t="n">
        <v>45698.5</v>
      </c>
      <c r="G3370" t="inlineStr">
        <is>
          <t>DEBITO</t>
        </is>
      </c>
      <c r="H3370" t="inlineStr">
        <is>
          <t>PAGTO ELETRON  COBRANCA 157320</t>
        </is>
      </c>
      <c r="I3370" t="n">
        <v>-31634.64</v>
      </c>
    </row>
    <row r="3371">
      <c r="A3371" t="n">
        <v>61570</v>
      </c>
      <c r="B3371" t="n">
        <v>115</v>
      </c>
      <c r="C3371" t="inlineStr">
        <is>
          <t>Love - Shibari - Bradesco</t>
        </is>
      </c>
      <c r="D3371" t="n">
        <v>128</v>
      </c>
      <c r="E3371" t="inlineStr">
        <is>
          <t>Love Cabaret</t>
        </is>
      </c>
      <c r="F3371" s="27" t="n">
        <v>45698.5</v>
      </c>
      <c r="G3371" t="inlineStr">
        <is>
          <t>DEBITO</t>
        </is>
      </c>
      <c r="H3371" t="inlineStr">
        <is>
          <t>PAGTO ELETRON  COBRANCA NF 8176</t>
        </is>
      </c>
      <c r="I3371" t="n">
        <v>-1494</v>
      </c>
    </row>
    <row r="3372">
      <c r="A3372" t="n">
        <v>61569</v>
      </c>
      <c r="B3372" t="n">
        <v>115</v>
      </c>
      <c r="C3372" t="inlineStr">
        <is>
          <t>Love - Shibari - Bradesco</t>
        </is>
      </c>
      <c r="D3372" t="n">
        <v>128</v>
      </c>
      <c r="E3372" t="inlineStr">
        <is>
          <t>Love Cabaret</t>
        </is>
      </c>
      <c r="F3372" s="27" t="n">
        <v>45698.5</v>
      </c>
      <c r="G3372" t="inlineStr">
        <is>
          <t>DEBITO</t>
        </is>
      </c>
      <c r="H3372" t="inlineStr">
        <is>
          <t>PAGTO ELETRON  COBRANCA NF 114556</t>
        </is>
      </c>
      <c r="I3372" t="n">
        <v>-2835.49</v>
      </c>
    </row>
    <row r="3373">
      <c r="A3373" t="n">
        <v>61568</v>
      </c>
      <c r="B3373" t="n">
        <v>115</v>
      </c>
      <c r="C3373" t="inlineStr">
        <is>
          <t>Love - Shibari - Bradesco</t>
        </is>
      </c>
      <c r="D3373" t="n">
        <v>128</v>
      </c>
      <c r="E3373" t="inlineStr">
        <is>
          <t>Love Cabaret</t>
        </is>
      </c>
      <c r="F3373" s="27" t="n">
        <v>45698.5</v>
      </c>
      <c r="G3373" t="inlineStr">
        <is>
          <t>DEBITO</t>
        </is>
      </c>
      <c r="H3373" t="inlineStr">
        <is>
          <t>PAGTO ELETRON  COBRANCA NF 22629</t>
        </is>
      </c>
      <c r="I3373" t="n">
        <v>-4231.22</v>
      </c>
    </row>
    <row r="3374">
      <c r="A3374" t="n">
        <v>61565</v>
      </c>
      <c r="B3374" t="n">
        <v>115</v>
      </c>
      <c r="C3374" t="inlineStr">
        <is>
          <t>Love - Shibari - Bradesco</t>
        </is>
      </c>
      <c r="D3374" t="n">
        <v>128</v>
      </c>
      <c r="E3374" t="inlineStr">
        <is>
          <t>Love Cabaret</t>
        </is>
      </c>
      <c r="F3374" s="27" t="n">
        <v>45698.5</v>
      </c>
      <c r="G3374" t="inlineStr">
        <is>
          <t>DEBITO</t>
        </is>
      </c>
      <c r="H3374" t="inlineStr">
        <is>
          <t>PAGTO ELETRON  COBRANCA NF 565224</t>
        </is>
      </c>
      <c r="I3374" t="n">
        <v>-184.93</v>
      </c>
    </row>
    <row r="3375">
      <c r="A3375" t="n">
        <v>61566</v>
      </c>
      <c r="B3375" t="n">
        <v>115</v>
      </c>
      <c r="C3375" t="inlineStr">
        <is>
          <t>Love - Shibari - Bradesco</t>
        </is>
      </c>
      <c r="D3375" t="n">
        <v>128</v>
      </c>
      <c r="E3375" t="inlineStr">
        <is>
          <t>Love Cabaret</t>
        </is>
      </c>
      <c r="F3375" s="27" t="n">
        <v>45698.5</v>
      </c>
      <c r="G3375" t="inlineStr">
        <is>
          <t>DEBITO</t>
        </is>
      </c>
      <c r="H3375" t="inlineStr">
        <is>
          <t>PAGTO ELETRON  COBRANCA CERTIFICADO</t>
        </is>
      </c>
      <c r="I3375" t="n">
        <v>-219</v>
      </c>
    </row>
    <row r="3376">
      <c r="A3376" t="n">
        <v>61567</v>
      </c>
      <c r="B3376" t="n">
        <v>115</v>
      </c>
      <c r="C3376" t="inlineStr">
        <is>
          <t>Love - Shibari - Bradesco</t>
        </is>
      </c>
      <c r="D3376" t="n">
        <v>128</v>
      </c>
      <c r="E3376" t="inlineStr">
        <is>
          <t>Love Cabaret</t>
        </is>
      </c>
      <c r="F3376" s="27" t="n">
        <v>45698.5</v>
      </c>
      <c r="G3376" t="inlineStr">
        <is>
          <t>DEBITO</t>
        </is>
      </c>
      <c r="H3376" t="inlineStr">
        <is>
          <t>PAGTO ELETRON  COBRANCA 496548524</t>
        </is>
      </c>
      <c r="I3376" t="n">
        <v>-708</v>
      </c>
    </row>
    <row r="3377">
      <c r="A3377" t="n">
        <v>61541</v>
      </c>
      <c r="B3377" t="n">
        <v>115</v>
      </c>
      <c r="C3377" t="inlineStr">
        <is>
          <t>Love - Shibari - Bradesco</t>
        </is>
      </c>
      <c r="D3377" t="n">
        <v>128</v>
      </c>
      <c r="E3377" t="inlineStr">
        <is>
          <t>Love Cabaret</t>
        </is>
      </c>
      <c r="F3377" s="27" t="n">
        <v>45695.5</v>
      </c>
      <c r="G3377" t="inlineStr">
        <is>
          <t>DEBITO</t>
        </is>
      </c>
      <c r="H3377" t="inlineStr">
        <is>
          <t>PAGTO ELETRON  COBRANCA 6220858</t>
        </is>
      </c>
      <c r="I3377" t="n">
        <v>-700</v>
      </c>
    </row>
    <row r="3378">
      <c r="A3378" t="n">
        <v>61542</v>
      </c>
      <c r="B3378" t="n">
        <v>115</v>
      </c>
      <c r="C3378" t="inlineStr">
        <is>
          <t>Love - Shibari - Bradesco</t>
        </is>
      </c>
      <c r="D3378" t="n">
        <v>128</v>
      </c>
      <c r="E3378" t="inlineStr">
        <is>
          <t>Love Cabaret</t>
        </is>
      </c>
      <c r="F3378" s="27" t="n">
        <v>45695.5</v>
      </c>
      <c r="G3378" t="inlineStr">
        <is>
          <t>DEBITO</t>
        </is>
      </c>
      <c r="H3378" t="inlineStr">
        <is>
          <t>PAGTO ELETRON  COBRANCA 515189643</t>
        </is>
      </c>
      <c r="I3378" t="n">
        <v>-23430</v>
      </c>
    </row>
    <row r="3379">
      <c r="A3379" t="n">
        <v>61543</v>
      </c>
      <c r="B3379" t="n">
        <v>115</v>
      </c>
      <c r="C3379" t="inlineStr">
        <is>
          <t>Love - Shibari - Bradesco</t>
        </is>
      </c>
      <c r="D3379" t="n">
        <v>128</v>
      </c>
      <c r="E3379" t="inlineStr">
        <is>
          <t>Love Cabaret</t>
        </is>
      </c>
      <c r="F3379" s="27" t="n">
        <v>45695.5</v>
      </c>
      <c r="G3379" t="inlineStr">
        <is>
          <t>DEBITO</t>
        </is>
      </c>
      <c r="H3379" t="inlineStr">
        <is>
          <t>TARIFA BANCARIA TRANSF PGTO PIX</t>
        </is>
      </c>
      <c r="I3379" t="n">
        <v>-6.23</v>
      </c>
    </row>
    <row r="3380">
      <c r="A3380" t="n">
        <v>61544</v>
      </c>
      <c r="B3380" t="n">
        <v>115</v>
      </c>
      <c r="C3380" t="inlineStr">
        <is>
          <t>Love - Shibari - Bradesco</t>
        </is>
      </c>
      <c r="D3380" t="n">
        <v>128</v>
      </c>
      <c r="E3380" t="inlineStr">
        <is>
          <t>Love Cabaret</t>
        </is>
      </c>
      <c r="F3380" s="27" t="n">
        <v>45695.5</v>
      </c>
      <c r="G3380" t="inlineStr">
        <is>
          <t>DEBITO</t>
        </is>
      </c>
      <c r="H3380" t="inlineStr">
        <is>
          <t>TARIFA BANCARIA TRANSF PGTO PIX</t>
        </is>
      </c>
      <c r="I3380" t="n">
        <v>-9</v>
      </c>
    </row>
    <row r="3381">
      <c r="A3381" t="n">
        <v>61545</v>
      </c>
      <c r="B3381" t="n">
        <v>115</v>
      </c>
      <c r="C3381" t="inlineStr">
        <is>
          <t>Love - Shibari - Bradesco</t>
        </is>
      </c>
      <c r="D3381" t="n">
        <v>128</v>
      </c>
      <c r="E3381" t="inlineStr">
        <is>
          <t>Love Cabaret</t>
        </is>
      </c>
      <c r="F3381" s="27" t="n">
        <v>45695.5</v>
      </c>
      <c r="G3381" t="inlineStr">
        <is>
          <t>DEBITO</t>
        </is>
      </c>
      <c r="H3381" t="inlineStr">
        <is>
          <t>TARIFA BANCARIA TRANSF PGTO PIX</t>
        </is>
      </c>
      <c r="I3381" t="n">
        <v>-9</v>
      </c>
    </row>
    <row r="3382">
      <c r="A3382" t="n">
        <v>61546</v>
      </c>
      <c r="B3382" t="n">
        <v>115</v>
      </c>
      <c r="C3382" t="inlineStr">
        <is>
          <t>Love - Shibari - Bradesco</t>
        </is>
      </c>
      <c r="D3382" t="n">
        <v>128</v>
      </c>
      <c r="E3382" t="inlineStr">
        <is>
          <t>Love Cabaret</t>
        </is>
      </c>
      <c r="F3382" s="27" t="n">
        <v>45695.5</v>
      </c>
      <c r="G3382" t="inlineStr">
        <is>
          <t>DEBITO</t>
        </is>
      </c>
      <c r="H3382" t="inlineStr">
        <is>
          <t>TARIFA BANCARIA TRANSF PGTO PIX</t>
        </is>
      </c>
      <c r="I3382" t="n">
        <v>-9</v>
      </c>
    </row>
    <row r="3383">
      <c r="A3383" t="n">
        <v>61539</v>
      </c>
      <c r="B3383" t="n">
        <v>115</v>
      </c>
      <c r="C3383" t="inlineStr">
        <is>
          <t>Love - Shibari - Bradesco</t>
        </is>
      </c>
      <c r="D3383" t="n">
        <v>128</v>
      </c>
      <c r="E3383" t="inlineStr">
        <is>
          <t>Love Cabaret</t>
        </is>
      </c>
      <c r="F3383" s="27" t="n">
        <v>45695.5</v>
      </c>
      <c r="G3383" t="inlineStr">
        <is>
          <t>CREDITO</t>
        </is>
      </c>
      <c r="H3383" t="inlineStr">
        <is>
          <t>TED-TRANSF ELET DISPON REMET.DIVERTI TICKETS COME</t>
        </is>
      </c>
      <c r="I3383" t="n">
        <v>1086.77</v>
      </c>
    </row>
    <row r="3384">
      <c r="A3384" t="n">
        <v>61537</v>
      </c>
      <c r="B3384" t="n">
        <v>115</v>
      </c>
      <c r="C3384" t="inlineStr">
        <is>
          <t>Love - Shibari - Bradesco</t>
        </is>
      </c>
      <c r="D3384" t="n">
        <v>128</v>
      </c>
      <c r="E3384" t="inlineStr">
        <is>
          <t>Love Cabaret</t>
        </is>
      </c>
      <c r="F3384" s="27" t="n">
        <v>45694.5</v>
      </c>
      <c r="G3384" t="inlineStr">
        <is>
          <t>DEBITO</t>
        </is>
      </c>
      <c r="H3384" t="inlineStr">
        <is>
          <t>TARIFA BANCARIA TRANSF PGTO PIX</t>
        </is>
      </c>
      <c r="I3384" t="n">
        <v>-9</v>
      </c>
    </row>
    <row r="3385">
      <c r="A3385" t="n">
        <v>61538</v>
      </c>
      <c r="B3385" t="n">
        <v>115</v>
      </c>
      <c r="C3385" t="inlineStr">
        <is>
          <t>Love - Shibari - Bradesco</t>
        </is>
      </c>
      <c r="D3385" t="n">
        <v>128</v>
      </c>
      <c r="E3385" t="inlineStr">
        <is>
          <t>Love Cabaret</t>
        </is>
      </c>
      <c r="F3385" s="27" t="n">
        <v>45694.5</v>
      </c>
      <c r="G3385" t="inlineStr">
        <is>
          <t>DEBITO</t>
        </is>
      </c>
      <c r="H3385" t="inlineStr">
        <is>
          <t>TRANSFERENCIA PIX DES: WINES4U COM IMP EXP V 06/02</t>
        </is>
      </c>
      <c r="I3385" t="n">
        <v>-2047.5</v>
      </c>
    </row>
    <row r="3386">
      <c r="A3386" t="n">
        <v>60259</v>
      </c>
      <c r="B3386" t="n">
        <v>115</v>
      </c>
      <c r="C3386" t="inlineStr">
        <is>
          <t>Love - Shibari - Bradesco</t>
        </is>
      </c>
      <c r="D3386" t="n">
        <v>128</v>
      </c>
      <c r="E3386" t="inlineStr">
        <is>
          <t>Love Cabaret</t>
        </is>
      </c>
      <c r="F3386" s="27" t="n">
        <v>45693.5</v>
      </c>
      <c r="G3386" t="inlineStr">
        <is>
          <t>DEBITO</t>
        </is>
      </c>
      <c r="H3386" t="inlineStr">
        <is>
          <t>PAGTO ELETRON  COBRANCA NF 435937</t>
        </is>
      </c>
      <c r="I3386" t="n">
        <v>-576.39</v>
      </c>
    </row>
    <row r="3387">
      <c r="A3387" t="n">
        <v>60251</v>
      </c>
      <c r="B3387" t="n">
        <v>115</v>
      </c>
      <c r="C3387" t="inlineStr">
        <is>
          <t>Love - Shibari - Bradesco</t>
        </is>
      </c>
      <c r="D3387" t="n">
        <v>128</v>
      </c>
      <c r="E3387" t="inlineStr">
        <is>
          <t>Love Cabaret</t>
        </is>
      </c>
      <c r="F3387" s="27" t="n">
        <v>45693.5</v>
      </c>
      <c r="G3387" t="inlineStr">
        <is>
          <t>DEBITO</t>
        </is>
      </c>
      <c r="H3387" t="inlineStr">
        <is>
          <t>PAGTO ELETRON  COBRANCA NF 233408</t>
        </is>
      </c>
      <c r="I3387" t="n">
        <v>-613.48</v>
      </c>
    </row>
    <row r="3388">
      <c r="A3388" t="n">
        <v>60258</v>
      </c>
      <c r="B3388" t="n">
        <v>115</v>
      </c>
      <c r="C3388" t="inlineStr">
        <is>
          <t>Love - Shibari - Bradesco</t>
        </is>
      </c>
      <c r="D3388" t="n">
        <v>128</v>
      </c>
      <c r="E3388" t="inlineStr">
        <is>
          <t>Love Cabaret</t>
        </is>
      </c>
      <c r="F3388" s="27" t="n">
        <v>45693.5</v>
      </c>
      <c r="G3388" t="inlineStr">
        <is>
          <t>DEBITO</t>
        </is>
      </c>
      <c r="H3388" t="inlineStr">
        <is>
          <t>PAGTO ELETRON  COBRANCA NF 436092</t>
        </is>
      </c>
      <c r="I3388" t="n">
        <v>-369.8</v>
      </c>
    </row>
    <row r="3389">
      <c r="A3389" t="n">
        <v>60257</v>
      </c>
      <c r="B3389" t="n">
        <v>115</v>
      </c>
      <c r="C3389" t="inlineStr">
        <is>
          <t>Love - Shibari - Bradesco</t>
        </is>
      </c>
      <c r="D3389" t="n">
        <v>128</v>
      </c>
      <c r="E3389" t="inlineStr">
        <is>
          <t>Love Cabaret</t>
        </is>
      </c>
      <c r="F3389" s="27" t="n">
        <v>45693.5</v>
      </c>
      <c r="G3389" t="inlineStr">
        <is>
          <t>DEBITO</t>
        </is>
      </c>
      <c r="H3389" t="inlineStr">
        <is>
          <t>PAGTO ELETRON  COBRANCA T-24032</t>
        </is>
      </c>
      <c r="I3389" t="n">
        <v>-198</v>
      </c>
    </row>
    <row r="3390">
      <c r="A3390" t="n">
        <v>60256</v>
      </c>
      <c r="B3390" t="n">
        <v>115</v>
      </c>
      <c r="C3390" t="inlineStr">
        <is>
          <t>Love - Shibari - Bradesco</t>
        </is>
      </c>
      <c r="D3390" t="n">
        <v>128</v>
      </c>
      <c r="E3390" t="inlineStr">
        <is>
          <t>Love Cabaret</t>
        </is>
      </c>
      <c r="F3390" s="27" t="n">
        <v>45693.5</v>
      </c>
      <c r="G3390" t="inlineStr">
        <is>
          <t>DEBITO</t>
        </is>
      </c>
      <c r="H3390" t="inlineStr">
        <is>
          <t>PAGTO ELETRON  COBRANCA NF 1020</t>
        </is>
      </c>
      <c r="I3390" t="n">
        <v>-1036.82</v>
      </c>
    </row>
    <row r="3391">
      <c r="A3391" t="n">
        <v>60255</v>
      </c>
      <c r="B3391" t="n">
        <v>115</v>
      </c>
      <c r="C3391" t="inlineStr">
        <is>
          <t>Love - Shibari - Bradesco</t>
        </is>
      </c>
      <c r="D3391" t="n">
        <v>128</v>
      </c>
      <c r="E3391" t="inlineStr">
        <is>
          <t>Love Cabaret</t>
        </is>
      </c>
      <c r="F3391" s="27" t="n">
        <v>45693.5</v>
      </c>
      <c r="G3391" t="inlineStr">
        <is>
          <t>DEBITO</t>
        </is>
      </c>
      <c r="H3391" t="inlineStr">
        <is>
          <t>PAGTO ELETRON  COBRANCA NF 364567</t>
        </is>
      </c>
      <c r="I3391" t="n">
        <v>-125</v>
      </c>
    </row>
    <row r="3392">
      <c r="A3392" t="n">
        <v>60254</v>
      </c>
      <c r="B3392" t="n">
        <v>115</v>
      </c>
      <c r="C3392" t="inlineStr">
        <is>
          <t>Love - Shibari - Bradesco</t>
        </is>
      </c>
      <c r="D3392" t="n">
        <v>128</v>
      </c>
      <c r="E3392" t="inlineStr">
        <is>
          <t>Love Cabaret</t>
        </is>
      </c>
      <c r="F3392" s="27" t="n">
        <v>45693.5</v>
      </c>
      <c r="G3392" t="inlineStr">
        <is>
          <t>DEBITO</t>
        </is>
      </c>
      <c r="H3392" t="inlineStr">
        <is>
          <t>PAGTO ELETRON  COBRANCA NF 364704</t>
        </is>
      </c>
      <c r="I3392" t="n">
        <v>-201.9</v>
      </c>
    </row>
    <row r="3393">
      <c r="A3393" t="n">
        <v>60253</v>
      </c>
      <c r="B3393" t="n">
        <v>115</v>
      </c>
      <c r="C3393" t="inlineStr">
        <is>
          <t>Love - Shibari - Bradesco</t>
        </is>
      </c>
      <c r="D3393" t="n">
        <v>128</v>
      </c>
      <c r="E3393" t="inlineStr">
        <is>
          <t>Love Cabaret</t>
        </is>
      </c>
      <c r="F3393" s="27" t="n">
        <v>45693.5</v>
      </c>
      <c r="G3393" t="inlineStr">
        <is>
          <t>DEBITO</t>
        </is>
      </c>
      <c r="H3393" t="inlineStr">
        <is>
          <t>PAGTO ELETRON  COBRANCA NF 3638</t>
        </is>
      </c>
      <c r="I3393" t="n">
        <v>-210</v>
      </c>
    </row>
    <row r="3394">
      <c r="A3394" t="n">
        <v>60252</v>
      </c>
      <c r="B3394" t="n">
        <v>115</v>
      </c>
      <c r="C3394" t="inlineStr">
        <is>
          <t>Love - Shibari - Bradesco</t>
        </is>
      </c>
      <c r="D3394" t="n">
        <v>128</v>
      </c>
      <c r="E3394" t="inlineStr">
        <is>
          <t>Love Cabaret</t>
        </is>
      </c>
      <c r="F3394" s="27" t="n">
        <v>45693.5</v>
      </c>
      <c r="G3394" t="inlineStr">
        <is>
          <t>DEBITO</t>
        </is>
      </c>
      <c r="H3394" t="inlineStr">
        <is>
          <t>PAGTO ELETRON  COBRANCA NF 73473</t>
        </is>
      </c>
      <c r="I3394" t="n">
        <v>-589</v>
      </c>
    </row>
    <row r="3395">
      <c r="A3395" t="n">
        <v>60269</v>
      </c>
      <c r="B3395" t="n">
        <v>115</v>
      </c>
      <c r="C3395" t="inlineStr">
        <is>
          <t>Love - Shibari - Bradesco</t>
        </is>
      </c>
      <c r="D3395" t="n">
        <v>128</v>
      </c>
      <c r="E3395" t="inlineStr">
        <is>
          <t>Love Cabaret</t>
        </is>
      </c>
      <c r="F3395" s="27" t="n">
        <v>45693.5</v>
      </c>
      <c r="G3395" t="inlineStr">
        <is>
          <t>DEBITO</t>
        </is>
      </c>
      <c r="H3395" t="inlineStr">
        <is>
          <t>TRANSFERENCIA PIX DES: ELETRO TERRIVEL LTDA  05/02</t>
        </is>
      </c>
      <c r="I3395" t="n">
        <v>-1955</v>
      </c>
    </row>
    <row r="3396">
      <c r="A3396" t="n">
        <v>60260</v>
      </c>
      <c r="B3396" t="n">
        <v>115</v>
      </c>
      <c r="C3396" t="inlineStr">
        <is>
          <t>Love - Shibari - Bradesco</t>
        </is>
      </c>
      <c r="D3396" t="n">
        <v>128</v>
      </c>
      <c r="E3396" t="inlineStr">
        <is>
          <t>Love Cabaret</t>
        </is>
      </c>
      <c r="F3396" s="27" t="n">
        <v>45693.5</v>
      </c>
      <c r="G3396" t="inlineStr">
        <is>
          <t>DEBITO</t>
        </is>
      </c>
      <c r="H3396" t="inlineStr">
        <is>
          <t>PAGTO ELETRON  COBRANCA NF 1688</t>
        </is>
      </c>
      <c r="I3396" t="n">
        <v>-452.8</v>
      </c>
    </row>
    <row r="3397">
      <c r="A3397" t="n">
        <v>60261</v>
      </c>
      <c r="B3397" t="n">
        <v>115</v>
      </c>
      <c r="C3397" t="inlineStr">
        <is>
          <t>Love - Shibari - Bradesco</t>
        </is>
      </c>
      <c r="D3397" t="n">
        <v>128</v>
      </c>
      <c r="E3397" t="inlineStr">
        <is>
          <t>Love Cabaret</t>
        </is>
      </c>
      <c r="F3397" s="27" t="n">
        <v>45693.5</v>
      </c>
      <c r="G3397" t="inlineStr">
        <is>
          <t>DEBITO</t>
        </is>
      </c>
      <c r="H3397" t="inlineStr">
        <is>
          <t>PAGTO ELETRON  COBRANCA NF 132207</t>
        </is>
      </c>
      <c r="I3397" t="n">
        <v>-2561.29</v>
      </c>
    </row>
    <row r="3398">
      <c r="A3398" t="n">
        <v>60262</v>
      </c>
      <c r="B3398" t="n">
        <v>115</v>
      </c>
      <c r="C3398" t="inlineStr">
        <is>
          <t>Love - Shibari - Bradesco</t>
        </is>
      </c>
      <c r="D3398" t="n">
        <v>128</v>
      </c>
      <c r="E3398" t="inlineStr">
        <is>
          <t>Love Cabaret</t>
        </is>
      </c>
      <c r="F3398" s="27" t="n">
        <v>45693.5</v>
      </c>
      <c r="G3398" t="inlineStr">
        <is>
          <t>DEBITO</t>
        </is>
      </c>
      <c r="H3398" t="inlineStr">
        <is>
          <t>PAGTO ELETRON  COBRANCA NF 25576</t>
        </is>
      </c>
      <c r="I3398" t="n">
        <v>-646.6</v>
      </c>
    </row>
    <row r="3399">
      <c r="A3399" t="n">
        <v>60263</v>
      </c>
      <c r="B3399" t="n">
        <v>115</v>
      </c>
      <c r="C3399" t="inlineStr">
        <is>
          <t>Love - Shibari - Bradesco</t>
        </is>
      </c>
      <c r="D3399" t="n">
        <v>128</v>
      </c>
      <c r="E3399" t="inlineStr">
        <is>
          <t>Love Cabaret</t>
        </is>
      </c>
      <c r="F3399" s="27" t="n">
        <v>45693.5</v>
      </c>
      <c r="G3399" t="inlineStr">
        <is>
          <t>DEBITO</t>
        </is>
      </c>
      <c r="H3399" t="inlineStr">
        <is>
          <t>PAGTO ELETRON  COBRANCA NF 215421</t>
        </is>
      </c>
      <c r="I3399" t="n">
        <v>-374.5</v>
      </c>
    </row>
    <row r="3400">
      <c r="A3400" t="n">
        <v>60264</v>
      </c>
      <c r="B3400" t="n">
        <v>115</v>
      </c>
      <c r="C3400" t="inlineStr">
        <is>
          <t>Love - Shibari - Bradesco</t>
        </is>
      </c>
      <c r="D3400" t="n">
        <v>128</v>
      </c>
      <c r="E3400" t="inlineStr">
        <is>
          <t>Love Cabaret</t>
        </is>
      </c>
      <c r="F3400" s="27" t="n">
        <v>45693.5</v>
      </c>
      <c r="G3400" t="inlineStr">
        <is>
          <t>DEBITO</t>
        </is>
      </c>
      <c r="H3400" t="inlineStr">
        <is>
          <t>PAGTO ELETRON  COBRANCA 0103240225</t>
        </is>
      </c>
      <c r="I3400" t="n">
        <v>-2019.9</v>
      </c>
    </row>
    <row r="3401">
      <c r="A3401" t="n">
        <v>60265</v>
      </c>
      <c r="B3401" t="n">
        <v>115</v>
      </c>
      <c r="C3401" t="inlineStr">
        <is>
          <t>Love - Shibari - Bradesco</t>
        </is>
      </c>
      <c r="D3401" t="n">
        <v>128</v>
      </c>
      <c r="E3401" t="inlineStr">
        <is>
          <t>Love Cabaret</t>
        </is>
      </c>
      <c r="F3401" s="27" t="n">
        <v>45693.5</v>
      </c>
      <c r="G3401" t="inlineStr">
        <is>
          <t>DEBITO</t>
        </is>
      </c>
      <c r="H3401" t="inlineStr">
        <is>
          <t>PGTO SALARIO VIA NET EMP</t>
        </is>
      </c>
      <c r="I3401" t="n">
        <v>-2786.89</v>
      </c>
    </row>
    <row r="3402">
      <c r="A3402" t="n">
        <v>60266</v>
      </c>
      <c r="B3402" t="n">
        <v>115</v>
      </c>
      <c r="C3402" t="inlineStr">
        <is>
          <t>Love - Shibari - Bradesco</t>
        </is>
      </c>
      <c r="D3402" t="n">
        <v>128</v>
      </c>
      <c r="E3402" t="inlineStr">
        <is>
          <t>Love Cabaret</t>
        </is>
      </c>
      <c r="F3402" s="27" t="n">
        <v>45693.5</v>
      </c>
      <c r="G3402" t="inlineStr">
        <is>
          <t>DEBITO</t>
        </is>
      </c>
      <c r="H3402" t="inlineStr">
        <is>
          <t>TRANSFERENCIA PIX DES: TAKUAROBI             05/02</t>
        </is>
      </c>
      <c r="I3402" t="n">
        <v>-445</v>
      </c>
    </row>
    <row r="3403">
      <c r="A3403" t="n">
        <v>60267</v>
      </c>
      <c r="B3403" t="n">
        <v>115</v>
      </c>
      <c r="C3403" t="inlineStr">
        <is>
          <t>Love - Shibari - Bradesco</t>
        </is>
      </c>
      <c r="D3403" t="n">
        <v>128</v>
      </c>
      <c r="E3403" t="inlineStr">
        <is>
          <t>Love Cabaret</t>
        </is>
      </c>
      <c r="F3403" s="27" t="n">
        <v>45693.5</v>
      </c>
      <c r="G3403" t="inlineStr">
        <is>
          <t>DEBITO</t>
        </is>
      </c>
      <c r="H3403" t="inlineStr">
        <is>
          <t>TRANSFERENCIA PIX DES: STUDIO METROPOLE      05/02</t>
        </is>
      </c>
      <c r="I3403" t="n">
        <v>-4120.32</v>
      </c>
    </row>
    <row r="3404">
      <c r="A3404" t="n">
        <v>60268</v>
      </c>
      <c r="B3404" t="n">
        <v>115</v>
      </c>
      <c r="C3404" t="inlineStr">
        <is>
          <t>Love - Shibari - Bradesco</t>
        </is>
      </c>
      <c r="D3404" t="n">
        <v>128</v>
      </c>
      <c r="E3404" t="inlineStr">
        <is>
          <t>Love Cabaret</t>
        </is>
      </c>
      <c r="F3404" s="27" t="n">
        <v>45693.5</v>
      </c>
      <c r="G3404" t="inlineStr">
        <is>
          <t>DEBITO</t>
        </is>
      </c>
      <c r="H3404" t="inlineStr">
        <is>
          <t>TRANSFERENCIA PIX DES: ARCOS BAR E RESTAURAN 05/02</t>
        </is>
      </c>
      <c r="I3404" t="n">
        <v>-286617.74</v>
      </c>
    </row>
    <row r="3405">
      <c r="A3405" t="n">
        <v>60249</v>
      </c>
      <c r="B3405" t="n">
        <v>115</v>
      </c>
      <c r="C3405" t="inlineStr">
        <is>
          <t>Love - Shibari - Bradesco</t>
        </is>
      </c>
      <c r="D3405" t="n">
        <v>128</v>
      </c>
      <c r="E3405" t="inlineStr">
        <is>
          <t>Love Cabaret</t>
        </is>
      </c>
      <c r="F3405" s="27" t="n">
        <v>45693.5</v>
      </c>
      <c r="G3405" t="inlineStr">
        <is>
          <t>DEBITO</t>
        </is>
      </c>
      <c r="H3405" t="inlineStr">
        <is>
          <t>PAGTO ELETRON  COBRANCA VERISURE BRASIL MONITORAMENTO DE</t>
        </is>
      </c>
      <c r="I3405" t="n">
        <v>-263.78</v>
      </c>
    </row>
    <row r="3406">
      <c r="A3406" t="n">
        <v>60250</v>
      </c>
      <c r="B3406" t="n">
        <v>115</v>
      </c>
      <c r="C3406" t="inlineStr">
        <is>
          <t>Love - Shibari - Bradesco</t>
        </is>
      </c>
      <c r="D3406" t="n">
        <v>128</v>
      </c>
      <c r="E3406" t="inlineStr">
        <is>
          <t>Love Cabaret</t>
        </is>
      </c>
      <c r="F3406" s="27" t="n">
        <v>45693.5</v>
      </c>
      <c r="G3406" t="inlineStr">
        <is>
          <t>DEBITO</t>
        </is>
      </c>
      <c r="H3406" t="inlineStr">
        <is>
          <t>PAGTO ELETRON  COBRANCA 513564547</t>
        </is>
      </c>
      <c r="I3406" t="n">
        <v>-12144</v>
      </c>
    </row>
    <row r="3407">
      <c r="A3407" t="n">
        <v>60238</v>
      </c>
      <c r="B3407" t="n">
        <v>115</v>
      </c>
      <c r="C3407" t="inlineStr">
        <is>
          <t>Love - Shibari - Bradesco</t>
        </is>
      </c>
      <c r="D3407" t="n">
        <v>128</v>
      </c>
      <c r="E3407" t="inlineStr">
        <is>
          <t>Love Cabaret</t>
        </is>
      </c>
      <c r="F3407" s="27" t="n">
        <v>45692.5</v>
      </c>
      <c r="G3407" t="inlineStr">
        <is>
          <t>DEBITO</t>
        </is>
      </c>
      <c r="H3407" t="inlineStr">
        <is>
          <t>PAGTO ELETRON  COBRANCA NF 25554</t>
        </is>
      </c>
      <c r="I3407" t="n">
        <v>-536.6900000000001</v>
      </c>
    </row>
    <row r="3408">
      <c r="A3408" t="n">
        <v>60229</v>
      </c>
      <c r="B3408" t="n">
        <v>115</v>
      </c>
      <c r="C3408" t="inlineStr">
        <is>
          <t>Love - Shibari - Bradesco</t>
        </is>
      </c>
      <c r="D3408" t="n">
        <v>128</v>
      </c>
      <c r="E3408" t="inlineStr">
        <is>
          <t>Love Cabaret</t>
        </is>
      </c>
      <c r="F3408" s="27" t="n">
        <v>45692.5</v>
      </c>
      <c r="G3408" t="inlineStr">
        <is>
          <t>CREDITO</t>
        </is>
      </c>
      <c r="H3408" t="inlineStr">
        <is>
          <t>TED-TRANSF ELET DISPON REMET.KZEMOS BRASIL EVENTO</t>
        </is>
      </c>
      <c r="I3408" t="n">
        <v>1139.4</v>
      </c>
    </row>
    <row r="3409">
      <c r="A3409" t="n">
        <v>60230</v>
      </c>
      <c r="B3409" t="n">
        <v>115</v>
      </c>
      <c r="C3409" t="inlineStr">
        <is>
          <t>Love - Shibari - Bradesco</t>
        </is>
      </c>
      <c r="D3409" t="n">
        <v>128</v>
      </c>
      <c r="E3409" t="inlineStr">
        <is>
          <t>Love Cabaret</t>
        </is>
      </c>
      <c r="F3409" s="27" t="n">
        <v>45692.5</v>
      </c>
      <c r="G3409" t="inlineStr">
        <is>
          <t>CREDITO</t>
        </is>
      </c>
      <c r="H3409" t="inlineStr">
        <is>
          <t>TRANSFERENCIA PIX REM: Zig Tecnologia S.A.   04/02</t>
        </is>
      </c>
      <c r="I3409" t="n">
        <v>18347</v>
      </c>
    </row>
    <row r="3410">
      <c r="A3410" t="n">
        <v>60233</v>
      </c>
      <c r="B3410" t="n">
        <v>115</v>
      </c>
      <c r="C3410" t="inlineStr">
        <is>
          <t>Love - Shibari - Bradesco</t>
        </is>
      </c>
      <c r="D3410" t="n">
        <v>128</v>
      </c>
      <c r="E3410" t="inlineStr">
        <is>
          <t>Love Cabaret</t>
        </is>
      </c>
      <c r="F3410" s="27" t="n">
        <v>45692.5</v>
      </c>
      <c r="G3410" t="inlineStr">
        <is>
          <t>DEBITO</t>
        </is>
      </c>
      <c r="H3410" t="inlineStr">
        <is>
          <t>PAGTO ELETRON  COBRANCA NF 294178</t>
        </is>
      </c>
      <c r="I3410" t="n">
        <v>-532.33</v>
      </c>
    </row>
    <row r="3411">
      <c r="A3411" t="n">
        <v>60234</v>
      </c>
      <c r="B3411" t="n">
        <v>115</v>
      </c>
      <c r="C3411" t="inlineStr">
        <is>
          <t>Love - Shibari - Bradesco</t>
        </is>
      </c>
      <c r="D3411" t="n">
        <v>128</v>
      </c>
      <c r="E3411" t="inlineStr">
        <is>
          <t>Love Cabaret</t>
        </is>
      </c>
      <c r="F3411" s="27" t="n">
        <v>45692.5</v>
      </c>
      <c r="G3411" t="inlineStr">
        <is>
          <t>DEBITO</t>
        </is>
      </c>
      <c r="H3411" t="inlineStr">
        <is>
          <t>PAGTO ELETRON  COBRANCA NF 392929</t>
        </is>
      </c>
      <c r="I3411" t="n">
        <v>-210</v>
      </c>
    </row>
    <row r="3412">
      <c r="A3412" t="n">
        <v>60235</v>
      </c>
      <c r="B3412" t="n">
        <v>115</v>
      </c>
      <c r="C3412" t="inlineStr">
        <is>
          <t>Love - Shibari - Bradesco</t>
        </is>
      </c>
      <c r="D3412" t="n">
        <v>128</v>
      </c>
      <c r="E3412" t="inlineStr">
        <is>
          <t>Love Cabaret</t>
        </is>
      </c>
      <c r="F3412" s="27" t="n">
        <v>45692.5</v>
      </c>
      <c r="G3412" t="inlineStr">
        <is>
          <t>DEBITO</t>
        </is>
      </c>
      <c r="H3412" t="inlineStr">
        <is>
          <t>PAGTO ELETRON  COBRANCA NF 36029</t>
        </is>
      </c>
      <c r="I3412" t="n">
        <v>-148.3</v>
      </c>
    </row>
    <row r="3413">
      <c r="A3413" t="n">
        <v>60236</v>
      </c>
      <c r="B3413" t="n">
        <v>115</v>
      </c>
      <c r="C3413" t="inlineStr">
        <is>
          <t>Love - Shibari - Bradesco</t>
        </is>
      </c>
      <c r="D3413" t="n">
        <v>128</v>
      </c>
      <c r="E3413" t="inlineStr">
        <is>
          <t>Love Cabaret</t>
        </is>
      </c>
      <c r="F3413" s="27" t="n">
        <v>45692.5</v>
      </c>
      <c r="G3413" t="inlineStr">
        <is>
          <t>DEBITO</t>
        </is>
      </c>
      <c r="H3413" t="inlineStr">
        <is>
          <t>PAGTO ELETRON  COBRANCA NF 114427</t>
        </is>
      </c>
      <c r="I3413" t="n">
        <v>-3596.4</v>
      </c>
    </row>
    <row r="3414">
      <c r="A3414" t="n">
        <v>60237</v>
      </c>
      <c r="B3414" t="n">
        <v>115</v>
      </c>
      <c r="C3414" t="inlineStr">
        <is>
          <t>Love - Shibari - Bradesco</t>
        </is>
      </c>
      <c r="D3414" t="n">
        <v>128</v>
      </c>
      <c r="E3414" t="inlineStr">
        <is>
          <t>Love Cabaret</t>
        </is>
      </c>
      <c r="F3414" s="27" t="n">
        <v>45692.5</v>
      </c>
      <c r="G3414" t="inlineStr">
        <is>
          <t>DEBITO</t>
        </is>
      </c>
      <c r="H3414" t="inlineStr">
        <is>
          <t>PAGTO ELETRON  COBRANCA NF 22362</t>
        </is>
      </c>
      <c r="I3414" t="n">
        <v>-242.34</v>
      </c>
    </row>
    <row r="3415">
      <c r="A3415" t="n">
        <v>60239</v>
      </c>
      <c r="B3415" t="n">
        <v>115</v>
      </c>
      <c r="C3415" t="inlineStr">
        <is>
          <t>Love - Shibari - Bradesco</t>
        </is>
      </c>
      <c r="D3415" t="n">
        <v>128</v>
      </c>
      <c r="E3415" t="inlineStr">
        <is>
          <t>Love Cabaret</t>
        </is>
      </c>
      <c r="F3415" s="27" t="n">
        <v>45692.5</v>
      </c>
      <c r="G3415" t="inlineStr">
        <is>
          <t>DEBITO</t>
        </is>
      </c>
      <c r="H3415" t="inlineStr">
        <is>
          <t>PAGTO ELETRON  COBRANCA NF 17896</t>
        </is>
      </c>
      <c r="I3415" t="n">
        <v>-37</v>
      </c>
    </row>
    <row r="3416">
      <c r="A3416" t="n">
        <v>60240</v>
      </c>
      <c r="B3416" t="n">
        <v>115</v>
      </c>
      <c r="C3416" t="inlineStr">
        <is>
          <t>Love - Shibari - Bradesco</t>
        </is>
      </c>
      <c r="D3416" t="n">
        <v>128</v>
      </c>
      <c r="E3416" t="inlineStr">
        <is>
          <t>Love Cabaret</t>
        </is>
      </c>
      <c r="F3416" s="27" t="n">
        <v>45692.5</v>
      </c>
      <c r="G3416" t="inlineStr">
        <is>
          <t>DEBITO</t>
        </is>
      </c>
      <c r="H3416" t="inlineStr">
        <is>
          <t>PAGTO ELETRON  COBRANCA NF 33808</t>
        </is>
      </c>
      <c r="I3416" t="n">
        <v>-326.75</v>
      </c>
    </row>
    <row r="3417">
      <c r="A3417" t="n">
        <v>60241</v>
      </c>
      <c r="B3417" t="n">
        <v>115</v>
      </c>
      <c r="C3417" t="inlineStr">
        <is>
          <t>Love - Shibari - Bradesco</t>
        </is>
      </c>
      <c r="D3417" t="n">
        <v>128</v>
      </c>
      <c r="E3417" t="inlineStr">
        <is>
          <t>Love Cabaret</t>
        </is>
      </c>
      <c r="F3417" s="27" t="n">
        <v>45692.5</v>
      </c>
      <c r="G3417" t="inlineStr">
        <is>
          <t>DEBITO</t>
        </is>
      </c>
      <c r="H3417" t="inlineStr">
        <is>
          <t>PAGTO ELETRON  COBRANCA 7667</t>
        </is>
      </c>
      <c r="I3417" t="n">
        <v>-1600</v>
      </c>
    </row>
    <row r="3418">
      <c r="A3418" t="n">
        <v>60242</v>
      </c>
      <c r="B3418" t="n">
        <v>115</v>
      </c>
      <c r="C3418" t="inlineStr">
        <is>
          <t>Love - Shibari - Bradesco</t>
        </is>
      </c>
      <c r="D3418" t="n">
        <v>128</v>
      </c>
      <c r="E3418" t="inlineStr">
        <is>
          <t>Love Cabaret</t>
        </is>
      </c>
      <c r="F3418" s="27" t="n">
        <v>45692.5</v>
      </c>
      <c r="G3418" t="inlineStr">
        <is>
          <t>DEBITO</t>
        </is>
      </c>
      <c r="H3418" t="inlineStr">
        <is>
          <t>PAGTO ELETRON  COBRANCA 9021757085</t>
        </is>
      </c>
      <c r="I3418" t="n">
        <v>-802.5</v>
      </c>
    </row>
    <row r="3419">
      <c r="A3419" t="n">
        <v>60243</v>
      </c>
      <c r="B3419" t="n">
        <v>115</v>
      </c>
      <c r="C3419" t="inlineStr">
        <is>
          <t>Love - Shibari - Bradesco</t>
        </is>
      </c>
      <c r="D3419" t="n">
        <v>128</v>
      </c>
      <c r="E3419" t="inlineStr">
        <is>
          <t>Love Cabaret</t>
        </is>
      </c>
      <c r="F3419" s="27" t="n">
        <v>45692.5</v>
      </c>
      <c r="G3419" t="inlineStr">
        <is>
          <t>DEBITO</t>
        </is>
      </c>
      <c r="H3419" t="inlineStr">
        <is>
          <t>PAGTO ELETRON  COBRANCA NF 240650</t>
        </is>
      </c>
      <c r="I3419" t="n">
        <v>-779.5700000000001</v>
      </c>
    </row>
    <row r="3420">
      <c r="A3420" t="n">
        <v>60244</v>
      </c>
      <c r="B3420" t="n">
        <v>115</v>
      </c>
      <c r="C3420" t="inlineStr">
        <is>
          <t>Love - Shibari - Bradesco</t>
        </is>
      </c>
      <c r="D3420" t="n">
        <v>128</v>
      </c>
      <c r="E3420" t="inlineStr">
        <is>
          <t>Love Cabaret</t>
        </is>
      </c>
      <c r="F3420" s="27" t="n">
        <v>45692.5</v>
      </c>
      <c r="G3420" t="inlineStr">
        <is>
          <t>DEBITO</t>
        </is>
      </c>
      <c r="H3420" t="inlineStr">
        <is>
          <t>PAGTO ELETRON  COBRANCA DOC 678461517</t>
        </is>
      </c>
      <c r="I3420" t="n">
        <v>-10149.46</v>
      </c>
    </row>
    <row r="3421">
      <c r="A3421" t="n">
        <v>60245</v>
      </c>
      <c r="B3421" t="n">
        <v>115</v>
      </c>
      <c r="C3421" t="inlineStr">
        <is>
          <t>Love - Shibari - Bradesco</t>
        </is>
      </c>
      <c r="D3421" t="n">
        <v>128</v>
      </c>
      <c r="E3421" t="inlineStr">
        <is>
          <t>Love Cabaret</t>
        </is>
      </c>
      <c r="F3421" s="27" t="n">
        <v>45692.5</v>
      </c>
      <c r="G3421" t="inlineStr">
        <is>
          <t>DEBITO</t>
        </is>
      </c>
      <c r="H3421" t="inlineStr">
        <is>
          <t>PAGTO ELETRON  COBRANCA NF 678461514</t>
        </is>
      </c>
      <c r="I3421" t="n">
        <v>-87.15000000000001</v>
      </c>
    </row>
    <row r="3422">
      <c r="A3422" t="n">
        <v>60246</v>
      </c>
      <c r="B3422" t="n">
        <v>115</v>
      </c>
      <c r="C3422" t="inlineStr">
        <is>
          <t>Love - Shibari - Bradesco</t>
        </is>
      </c>
      <c r="D3422" t="n">
        <v>128</v>
      </c>
      <c r="E3422" t="inlineStr">
        <is>
          <t>Love Cabaret</t>
        </is>
      </c>
      <c r="F3422" s="27" t="n">
        <v>45692.5</v>
      </c>
      <c r="G3422" t="inlineStr">
        <is>
          <t>DEBITO</t>
        </is>
      </c>
      <c r="H3422" t="inlineStr">
        <is>
          <t>TRANSFERENCIA PIX DES: AGENCIA BIOMA PUBLICI 04/02</t>
        </is>
      </c>
      <c r="I3422" t="n">
        <v>-7000</v>
      </c>
    </row>
    <row r="3423">
      <c r="A3423" t="n">
        <v>59130</v>
      </c>
      <c r="B3423" t="n">
        <v>115</v>
      </c>
      <c r="C3423" t="inlineStr">
        <is>
          <t>Love - Shibari - Bradesco</t>
        </is>
      </c>
      <c r="D3423" t="n">
        <v>128</v>
      </c>
      <c r="E3423" t="inlineStr">
        <is>
          <t>Love Cabaret</t>
        </is>
      </c>
      <c r="F3423" s="27" t="n">
        <v>45688.5</v>
      </c>
      <c r="G3423" t="inlineStr">
        <is>
          <t>DEBITO</t>
        </is>
      </c>
      <c r="H3423" t="inlineStr">
        <is>
          <t>PAGTO ELETRON  COBRANCA NF 364284</t>
        </is>
      </c>
      <c r="I3423" t="n">
        <v>-378.5</v>
      </c>
    </row>
    <row r="3424">
      <c r="A3424" t="n">
        <v>59131</v>
      </c>
      <c r="B3424" t="n">
        <v>115</v>
      </c>
      <c r="C3424" t="inlineStr">
        <is>
          <t>Love - Shibari - Bradesco</t>
        </is>
      </c>
      <c r="D3424" t="n">
        <v>128</v>
      </c>
      <c r="E3424" t="inlineStr">
        <is>
          <t>Love Cabaret</t>
        </is>
      </c>
      <c r="F3424" s="27" t="n">
        <v>45688.5</v>
      </c>
      <c r="G3424" t="inlineStr">
        <is>
          <t>DEBITO</t>
        </is>
      </c>
      <c r="H3424" t="inlineStr">
        <is>
          <t>PAGTO ELETRON  COBRANCA NF 436489</t>
        </is>
      </c>
      <c r="I3424" t="n">
        <v>-1820.12</v>
      </c>
    </row>
    <row r="3425">
      <c r="A3425" t="n">
        <v>59135</v>
      </c>
      <c r="B3425" t="n">
        <v>115</v>
      </c>
      <c r="C3425" t="inlineStr">
        <is>
          <t>Love - Shibari - Bradesco</t>
        </is>
      </c>
      <c r="D3425" t="n">
        <v>128</v>
      </c>
      <c r="E3425" t="inlineStr">
        <is>
          <t>Love Cabaret</t>
        </is>
      </c>
      <c r="F3425" s="27" t="n">
        <v>45688.5</v>
      </c>
      <c r="G3425" t="inlineStr">
        <is>
          <t>DEBITO</t>
        </is>
      </c>
      <c r="H3425" t="inlineStr">
        <is>
          <t>TARIFA BANCARIA TRANSF PGTO PIX</t>
        </is>
      </c>
      <c r="I3425" t="n">
        <v>-9</v>
      </c>
    </row>
    <row r="3426">
      <c r="A3426" t="n">
        <v>59132</v>
      </c>
      <c r="B3426" t="n">
        <v>115</v>
      </c>
      <c r="C3426" t="inlineStr">
        <is>
          <t>Love - Shibari - Bradesco</t>
        </is>
      </c>
      <c r="D3426" t="n">
        <v>128</v>
      </c>
      <c r="E3426" t="inlineStr">
        <is>
          <t>Love Cabaret</t>
        </is>
      </c>
      <c r="F3426" s="27" t="n">
        <v>45688.5</v>
      </c>
      <c r="G3426" t="inlineStr">
        <is>
          <t>DEBITO</t>
        </is>
      </c>
      <c r="H3426" t="inlineStr">
        <is>
          <t>PAGTO ELETRON  COBRANCA NF 20909</t>
        </is>
      </c>
      <c r="I3426" t="n">
        <v>-545.46</v>
      </c>
    </row>
    <row r="3427">
      <c r="A3427" t="n">
        <v>59133</v>
      </c>
      <c r="B3427" t="n">
        <v>115</v>
      </c>
      <c r="C3427" t="inlineStr">
        <is>
          <t>Love - Shibari - Bradesco</t>
        </is>
      </c>
      <c r="D3427" t="n">
        <v>128</v>
      </c>
      <c r="E3427" t="inlineStr">
        <is>
          <t>Love Cabaret</t>
        </is>
      </c>
      <c r="F3427" s="27" t="n">
        <v>45688.5</v>
      </c>
      <c r="G3427" t="inlineStr">
        <is>
          <t>DEBITO</t>
        </is>
      </c>
      <c r="H3427" t="inlineStr">
        <is>
          <t>PAGTO ELETRON  COBRANCA NF 392802</t>
        </is>
      </c>
      <c r="I3427" t="n">
        <v>-1102.5</v>
      </c>
    </row>
    <row r="3428">
      <c r="A3428" t="n">
        <v>59134</v>
      </c>
      <c r="B3428" t="n">
        <v>115</v>
      </c>
      <c r="C3428" t="inlineStr">
        <is>
          <t>Love - Shibari - Bradesco</t>
        </is>
      </c>
      <c r="D3428" t="n">
        <v>128</v>
      </c>
      <c r="E3428" t="inlineStr">
        <is>
          <t>Love Cabaret</t>
        </is>
      </c>
      <c r="F3428" s="27" t="n">
        <v>45688.5</v>
      </c>
      <c r="G3428" t="inlineStr">
        <is>
          <t>DEBITO</t>
        </is>
      </c>
      <c r="H3428" t="inlineStr">
        <is>
          <t>PAGTO ELETRON  COBRANCA NF 33</t>
        </is>
      </c>
      <c r="I3428" t="n">
        <v>-4200</v>
      </c>
    </row>
    <row r="3429">
      <c r="A3429" t="n">
        <v>59129</v>
      </c>
      <c r="B3429" t="n">
        <v>115</v>
      </c>
      <c r="C3429" t="inlineStr">
        <is>
          <t>Love - Shibari - Bradesco</t>
        </is>
      </c>
      <c r="D3429" t="n">
        <v>128</v>
      </c>
      <c r="E3429" t="inlineStr">
        <is>
          <t>Love Cabaret</t>
        </is>
      </c>
      <c r="F3429" s="27" t="n">
        <v>45688.5</v>
      </c>
      <c r="G3429" t="inlineStr">
        <is>
          <t>DEBITO</t>
        </is>
      </c>
      <c r="H3429" t="inlineStr">
        <is>
          <t>PAGTO ELETRON  COBRANCA NF 12379</t>
        </is>
      </c>
      <c r="I3429" t="n">
        <v>-2108.05</v>
      </c>
    </row>
    <row r="3430">
      <c r="A3430" t="n">
        <v>59128</v>
      </c>
      <c r="B3430" t="n">
        <v>115</v>
      </c>
      <c r="C3430" t="inlineStr">
        <is>
          <t>Love - Shibari - Bradesco</t>
        </is>
      </c>
      <c r="D3430" t="n">
        <v>128</v>
      </c>
      <c r="E3430" t="inlineStr">
        <is>
          <t>Love Cabaret</t>
        </is>
      </c>
      <c r="F3430" s="27" t="n">
        <v>45688.5</v>
      </c>
      <c r="G3430" t="inlineStr">
        <is>
          <t>DEBITO</t>
        </is>
      </c>
      <c r="H3430" t="inlineStr">
        <is>
          <t>PAGTO ELETRON  COBRANCA NF 132192</t>
        </is>
      </c>
      <c r="I3430" t="n">
        <v>-409.5</v>
      </c>
    </row>
    <row r="3431">
      <c r="A3431" t="n">
        <v>59127</v>
      </c>
      <c r="B3431" t="n">
        <v>115</v>
      </c>
      <c r="C3431" t="inlineStr">
        <is>
          <t>Love - Shibari - Bradesco</t>
        </is>
      </c>
      <c r="D3431" t="n">
        <v>128</v>
      </c>
      <c r="E3431" t="inlineStr">
        <is>
          <t>Love Cabaret</t>
        </is>
      </c>
      <c r="F3431" s="27" t="n">
        <v>45688.5</v>
      </c>
      <c r="G3431" t="inlineStr">
        <is>
          <t>DEBITO</t>
        </is>
      </c>
      <c r="H3431" t="inlineStr">
        <is>
          <t>PAGTO ELETRON  COBRANCA NF 10237</t>
        </is>
      </c>
      <c r="I3431" t="n">
        <v>-207.46</v>
      </c>
    </row>
    <row r="3432">
      <c r="A3432" t="n">
        <v>59125</v>
      </c>
      <c r="B3432" t="n">
        <v>115</v>
      </c>
      <c r="C3432" t="inlineStr">
        <is>
          <t>Love - Shibari - Bradesco</t>
        </is>
      </c>
      <c r="D3432" t="n">
        <v>128</v>
      </c>
      <c r="E3432" t="inlineStr">
        <is>
          <t>Love Cabaret</t>
        </is>
      </c>
      <c r="F3432" s="27" t="n">
        <v>45688.5</v>
      </c>
      <c r="G3432" t="inlineStr">
        <is>
          <t>CREDITO</t>
        </is>
      </c>
      <c r="H3432" t="inlineStr">
        <is>
          <t>TED-TRANSF ELET DISPON REMET.DIVERTI TICKETS COME</t>
        </is>
      </c>
      <c r="I3432" t="n">
        <v>8716</v>
      </c>
    </row>
    <row r="3433">
      <c r="A3433" t="n">
        <v>59124</v>
      </c>
      <c r="B3433" t="n">
        <v>115</v>
      </c>
      <c r="C3433" t="inlineStr">
        <is>
          <t>Love - Shibari - Bradesco</t>
        </is>
      </c>
      <c r="D3433" t="n">
        <v>128</v>
      </c>
      <c r="E3433" t="inlineStr">
        <is>
          <t>Love Cabaret</t>
        </is>
      </c>
      <c r="F3433" s="27" t="n">
        <v>45688.5</v>
      </c>
      <c r="G3433" t="inlineStr">
        <is>
          <t>CREDITO</t>
        </is>
      </c>
      <c r="H3433" t="inlineStr">
        <is>
          <t>TED-TRANSF ELET DISPON REMET.DIVERTI TICKETS COME</t>
        </is>
      </c>
      <c r="I3433" t="n">
        <v>1883.4</v>
      </c>
    </row>
    <row r="3434">
      <c r="A3434" t="n">
        <v>59136</v>
      </c>
      <c r="B3434" t="n">
        <v>115</v>
      </c>
      <c r="C3434" t="inlineStr">
        <is>
          <t>Love - Shibari - Bradesco</t>
        </is>
      </c>
      <c r="D3434" t="n">
        <v>128</v>
      </c>
      <c r="E3434" t="inlineStr">
        <is>
          <t>Love Cabaret</t>
        </is>
      </c>
      <c r="F3434" s="27" t="n">
        <v>45688.5</v>
      </c>
      <c r="G3434" t="inlineStr">
        <is>
          <t>DEBITO</t>
        </is>
      </c>
      <c r="H3434" t="inlineStr">
        <is>
          <t>TARIFA BANCARIA TRANSF PGTO PIX</t>
        </is>
      </c>
      <c r="I3434" t="n">
        <v>-9</v>
      </c>
    </row>
    <row r="3435">
      <c r="A3435" t="n">
        <v>59122</v>
      </c>
      <c r="B3435" t="n">
        <v>115</v>
      </c>
      <c r="C3435" t="inlineStr">
        <is>
          <t>Love - Shibari - Bradesco</t>
        </is>
      </c>
      <c r="D3435" t="n">
        <v>128</v>
      </c>
      <c r="E3435" t="inlineStr">
        <is>
          <t>Love Cabaret</t>
        </is>
      </c>
      <c r="F3435" s="27" t="n">
        <v>45687.5</v>
      </c>
      <c r="G3435" t="inlineStr">
        <is>
          <t>DEBITO</t>
        </is>
      </c>
      <c r="H3435" t="inlineStr">
        <is>
          <t>PAGTO ELETRONICO TRIBUTO INTERNET --SP/SEFAZ-DARE</t>
        </is>
      </c>
      <c r="I3435" t="n">
        <v>-575.58</v>
      </c>
    </row>
    <row r="3436">
      <c r="A3436" t="n">
        <v>59123</v>
      </c>
      <c r="B3436" t="n">
        <v>115</v>
      </c>
      <c r="C3436" t="inlineStr">
        <is>
          <t>Love - Shibari - Bradesco</t>
        </is>
      </c>
      <c r="D3436" t="n">
        <v>128</v>
      </c>
      <c r="E3436" t="inlineStr">
        <is>
          <t>Love Cabaret</t>
        </is>
      </c>
      <c r="F3436" s="27" t="n">
        <v>45687.5</v>
      </c>
      <c r="G3436" t="inlineStr">
        <is>
          <t>DEBITO</t>
        </is>
      </c>
      <c r="H3436" t="inlineStr">
        <is>
          <t>PAGTO ELETRONICO TRIBUTO INTERNET --SP/SEFAZ-DARE</t>
        </is>
      </c>
      <c r="I3436" t="n">
        <v>-754.2</v>
      </c>
    </row>
    <row r="3437">
      <c r="A3437" t="n">
        <v>57913</v>
      </c>
      <c r="B3437" t="n">
        <v>115</v>
      </c>
      <c r="C3437" t="inlineStr">
        <is>
          <t>Love - Shibari - Bradesco</t>
        </is>
      </c>
      <c r="D3437" t="n">
        <v>128</v>
      </c>
      <c r="E3437" t="inlineStr">
        <is>
          <t>Love Cabaret</t>
        </is>
      </c>
      <c r="F3437" s="27" t="n">
        <v>45686.5</v>
      </c>
      <c r="G3437" t="inlineStr">
        <is>
          <t>DEBITO</t>
        </is>
      </c>
      <c r="H3437" t="inlineStr">
        <is>
          <t>PIX QR CODE DINAMICO DES: CAIXA ECONOMICA FEDER 29/01</t>
        </is>
      </c>
      <c r="I3437" t="n">
        <v>-3628.64</v>
      </c>
    </row>
    <row r="3438">
      <c r="A3438" t="n">
        <v>57912</v>
      </c>
      <c r="B3438" t="n">
        <v>115</v>
      </c>
      <c r="C3438" t="inlineStr">
        <is>
          <t>Love - Shibari - Bradesco</t>
        </is>
      </c>
      <c r="D3438" t="n">
        <v>128</v>
      </c>
      <c r="E3438" t="inlineStr">
        <is>
          <t>Love Cabaret</t>
        </is>
      </c>
      <c r="F3438" s="27" t="n">
        <v>45686.5</v>
      </c>
      <c r="G3438" t="inlineStr">
        <is>
          <t>DEBITO</t>
        </is>
      </c>
      <c r="H3438" t="inlineStr">
        <is>
          <t>TRANSFERENCIA PIX DES: PAULO CESAR MEDEIROS  29/01</t>
        </is>
      </c>
      <c r="I3438" t="n">
        <v>-2500</v>
      </c>
    </row>
    <row r="3439">
      <c r="A3439" t="n">
        <v>57911</v>
      </c>
      <c r="B3439" t="n">
        <v>115</v>
      </c>
      <c r="C3439" t="inlineStr">
        <is>
          <t>Love - Shibari - Bradesco</t>
        </is>
      </c>
      <c r="D3439" t="n">
        <v>128</v>
      </c>
      <c r="E3439" t="inlineStr">
        <is>
          <t>Love Cabaret</t>
        </is>
      </c>
      <c r="F3439" s="27" t="n">
        <v>45686.5</v>
      </c>
      <c r="G3439" t="inlineStr">
        <is>
          <t>DEBITO</t>
        </is>
      </c>
      <c r="H3439" t="inlineStr">
        <is>
          <t>TRANSFERENCIA PIX DES: EDJANE DANTAS SANTOS  29/01</t>
        </is>
      </c>
      <c r="I3439" t="n">
        <v>-1200</v>
      </c>
    </row>
    <row r="3440">
      <c r="A3440" t="n">
        <v>57910</v>
      </c>
      <c r="B3440" t="n">
        <v>115</v>
      </c>
      <c r="C3440" t="inlineStr">
        <is>
          <t>Love - Shibari - Bradesco</t>
        </is>
      </c>
      <c r="D3440" t="n">
        <v>128</v>
      </c>
      <c r="E3440" t="inlineStr">
        <is>
          <t>Love Cabaret</t>
        </is>
      </c>
      <c r="F3440" s="27" t="n">
        <v>45686.5</v>
      </c>
      <c r="G3440" t="inlineStr">
        <is>
          <t>DEBITO</t>
        </is>
      </c>
      <c r="H3440" t="inlineStr">
        <is>
          <t>PGTO RESCISAO CONTRATO</t>
        </is>
      </c>
      <c r="I3440" t="n">
        <v>-8231.049999999999</v>
      </c>
    </row>
    <row r="3441">
      <c r="A3441" t="n">
        <v>57909</v>
      </c>
      <c r="B3441" t="n">
        <v>115</v>
      </c>
      <c r="C3441" t="inlineStr">
        <is>
          <t>Love - Shibari - Bradesco</t>
        </is>
      </c>
      <c r="D3441" t="n">
        <v>128</v>
      </c>
      <c r="E3441" t="inlineStr">
        <is>
          <t>Love Cabaret</t>
        </is>
      </c>
      <c r="F3441" s="27" t="n">
        <v>45686.5</v>
      </c>
      <c r="G3441" t="inlineStr">
        <is>
          <t>DEBITO</t>
        </is>
      </c>
      <c r="H3441" t="inlineStr">
        <is>
          <t>PAGTO ELETRONICO TRIBUTO INTERNET --RECEITA FEDERAL/SP</t>
        </is>
      </c>
      <c r="I3441" t="n">
        <v>-554.05</v>
      </c>
    </row>
    <row r="3442">
      <c r="A3442" t="n">
        <v>57908</v>
      </c>
      <c r="B3442" t="n">
        <v>115</v>
      </c>
      <c r="C3442" t="inlineStr">
        <is>
          <t>Love - Shibari - Bradesco</t>
        </is>
      </c>
      <c r="D3442" t="n">
        <v>128</v>
      </c>
      <c r="E3442" t="inlineStr">
        <is>
          <t>Love Cabaret</t>
        </is>
      </c>
      <c r="F3442" s="27" t="n">
        <v>45686.5</v>
      </c>
      <c r="G3442" t="inlineStr">
        <is>
          <t>DEBITO</t>
        </is>
      </c>
      <c r="H3442" t="inlineStr">
        <is>
          <t>PAGTO ELETRONICO TRIBUTO INTERNET --RECEITA FEDERAL/SP</t>
        </is>
      </c>
      <c r="I3442" t="n">
        <v>-1571.01</v>
      </c>
    </row>
    <row r="3443">
      <c r="A3443" t="n">
        <v>57907</v>
      </c>
      <c r="B3443" t="n">
        <v>115</v>
      </c>
      <c r="C3443" t="inlineStr">
        <is>
          <t>Love - Shibari - Bradesco</t>
        </is>
      </c>
      <c r="D3443" t="n">
        <v>128</v>
      </c>
      <c r="E3443" t="inlineStr">
        <is>
          <t>Love Cabaret</t>
        </is>
      </c>
      <c r="F3443" s="27" t="n">
        <v>45686.5</v>
      </c>
      <c r="G3443" t="inlineStr">
        <is>
          <t>DEBITO</t>
        </is>
      </c>
      <c r="H3443" t="inlineStr">
        <is>
          <t>TARIFA BANCARIA TRANSF PGTO PIX</t>
        </is>
      </c>
      <c r="I3443" t="n">
        <v>-9</v>
      </c>
    </row>
    <row r="3444">
      <c r="A3444" t="n">
        <v>57906</v>
      </c>
      <c r="B3444" t="n">
        <v>115</v>
      </c>
      <c r="C3444" t="inlineStr">
        <is>
          <t>Love - Shibari - Bradesco</t>
        </is>
      </c>
      <c r="D3444" t="n">
        <v>128</v>
      </c>
      <c r="E3444" t="inlineStr">
        <is>
          <t>Love Cabaret</t>
        </is>
      </c>
      <c r="F3444" s="27" t="n">
        <v>45686.5</v>
      </c>
      <c r="G3444" t="inlineStr">
        <is>
          <t>DEBITO</t>
        </is>
      </c>
      <c r="H3444" t="inlineStr">
        <is>
          <t>TARIFA BANCARIA TRANSF PGTO PIX</t>
        </is>
      </c>
      <c r="I3444" t="n">
        <v>-9</v>
      </c>
    </row>
    <row r="3445">
      <c r="A3445" t="n">
        <v>57905</v>
      </c>
      <c r="B3445" t="n">
        <v>115</v>
      </c>
      <c r="C3445" t="inlineStr">
        <is>
          <t>Love - Shibari - Bradesco</t>
        </is>
      </c>
      <c r="D3445" t="n">
        <v>128</v>
      </c>
      <c r="E3445" t="inlineStr">
        <is>
          <t>Love Cabaret</t>
        </is>
      </c>
      <c r="F3445" s="27" t="n">
        <v>45686.5</v>
      </c>
      <c r="G3445" t="inlineStr">
        <is>
          <t>DEBITO</t>
        </is>
      </c>
      <c r="H3445" t="inlineStr">
        <is>
          <t>TARIFA BANCARIA TRANSF PGTO PIX</t>
        </is>
      </c>
      <c r="I3445" t="n">
        <v>-5.1</v>
      </c>
    </row>
    <row r="3446">
      <c r="A3446" t="n">
        <v>57904</v>
      </c>
      <c r="B3446" t="n">
        <v>115</v>
      </c>
      <c r="C3446" t="inlineStr">
        <is>
          <t>Love - Shibari - Bradesco</t>
        </is>
      </c>
      <c r="D3446" t="n">
        <v>128</v>
      </c>
      <c r="E3446" t="inlineStr">
        <is>
          <t>Love Cabaret</t>
        </is>
      </c>
      <c r="F3446" s="27" t="n">
        <v>45686.5</v>
      </c>
      <c r="G3446" t="inlineStr">
        <is>
          <t>DEBITO</t>
        </is>
      </c>
      <c r="H3446" t="inlineStr">
        <is>
          <t>PAGTO ELETRON  COBRANCA NF 5175</t>
        </is>
      </c>
      <c r="I3446" t="n">
        <v>-1149.2</v>
      </c>
    </row>
    <row r="3447">
      <c r="A3447" t="n">
        <v>57903</v>
      </c>
      <c r="B3447" t="n">
        <v>115</v>
      </c>
      <c r="C3447" t="inlineStr">
        <is>
          <t>Love - Shibari - Bradesco</t>
        </is>
      </c>
      <c r="D3447" t="n">
        <v>128</v>
      </c>
      <c r="E3447" t="inlineStr">
        <is>
          <t>Love Cabaret</t>
        </is>
      </c>
      <c r="F3447" s="27" t="n">
        <v>45686.5</v>
      </c>
      <c r="G3447" t="inlineStr">
        <is>
          <t>DEBITO</t>
        </is>
      </c>
      <c r="H3447" t="inlineStr">
        <is>
          <t>PAGTO ELETRON  COBRANCA NF 73099</t>
        </is>
      </c>
      <c r="I3447" t="n">
        <v>-494</v>
      </c>
    </row>
    <row r="3448">
      <c r="A3448" t="n">
        <v>57902</v>
      </c>
      <c r="B3448" t="n">
        <v>115</v>
      </c>
      <c r="C3448" t="inlineStr">
        <is>
          <t>Love - Shibari - Bradesco</t>
        </is>
      </c>
      <c r="D3448" t="n">
        <v>128</v>
      </c>
      <c r="E3448" t="inlineStr">
        <is>
          <t>Love Cabaret</t>
        </is>
      </c>
      <c r="F3448" s="27" t="n">
        <v>45686.5</v>
      </c>
      <c r="G3448" t="inlineStr">
        <is>
          <t>DEBITO</t>
        </is>
      </c>
      <c r="H3448" t="inlineStr">
        <is>
          <t>PAGTO ELETRON  COBRANCA NF 33752</t>
        </is>
      </c>
      <c r="I3448" t="n">
        <v>-326.75</v>
      </c>
    </row>
    <row r="3449">
      <c r="A3449" t="n">
        <v>57901</v>
      </c>
      <c r="B3449" t="n">
        <v>115</v>
      </c>
      <c r="C3449" t="inlineStr">
        <is>
          <t>Love - Shibari - Bradesco</t>
        </is>
      </c>
      <c r="D3449" t="n">
        <v>128</v>
      </c>
      <c r="E3449" t="inlineStr">
        <is>
          <t>Love Cabaret</t>
        </is>
      </c>
      <c r="F3449" s="27" t="n">
        <v>45686.5</v>
      </c>
      <c r="G3449" t="inlineStr">
        <is>
          <t>DEBITO</t>
        </is>
      </c>
      <c r="H3449" t="inlineStr">
        <is>
          <t>PAGTO ELETRON  COBRANCA NF 0480</t>
        </is>
      </c>
      <c r="I3449" t="n">
        <v>-6000</v>
      </c>
    </row>
    <row r="3450">
      <c r="A3450" t="n">
        <v>57895</v>
      </c>
      <c r="B3450" t="n">
        <v>115</v>
      </c>
      <c r="C3450" t="inlineStr">
        <is>
          <t>Love - Shibari - Bradesco</t>
        </is>
      </c>
      <c r="D3450" t="n">
        <v>128</v>
      </c>
      <c r="E3450" t="inlineStr">
        <is>
          <t>Love Cabaret</t>
        </is>
      </c>
      <c r="F3450" s="27" t="n">
        <v>45686.5</v>
      </c>
      <c r="G3450" t="inlineStr">
        <is>
          <t>DEBITO</t>
        </is>
      </c>
      <c r="H3450" t="inlineStr">
        <is>
          <t>PAGTO ELETRON  COBRANCA NF 239831</t>
        </is>
      </c>
      <c r="I3450" t="n">
        <v>-729.04</v>
      </c>
    </row>
    <row r="3451">
      <c r="A3451" t="n">
        <v>57896</v>
      </c>
      <c r="B3451" t="n">
        <v>115</v>
      </c>
      <c r="C3451" t="inlineStr">
        <is>
          <t>Love - Shibari - Bradesco</t>
        </is>
      </c>
      <c r="D3451" t="n">
        <v>128</v>
      </c>
      <c r="E3451" t="inlineStr">
        <is>
          <t>Love Cabaret</t>
        </is>
      </c>
      <c r="F3451" s="27" t="n">
        <v>45686.5</v>
      </c>
      <c r="G3451" t="inlineStr">
        <is>
          <t>DEBITO</t>
        </is>
      </c>
      <c r="H3451" t="inlineStr">
        <is>
          <t>PAGTO ELETRON  COBRANCA DOC 206380299</t>
        </is>
      </c>
      <c r="I3451" t="n">
        <v>-661.4299999999999</v>
      </c>
    </row>
    <row r="3452">
      <c r="A3452" t="n">
        <v>57897</v>
      </c>
      <c r="B3452" t="n">
        <v>115</v>
      </c>
      <c r="C3452" t="inlineStr">
        <is>
          <t>Love - Shibari - Bradesco</t>
        </is>
      </c>
      <c r="D3452" t="n">
        <v>128</v>
      </c>
      <c r="E3452" t="inlineStr">
        <is>
          <t>Love Cabaret</t>
        </is>
      </c>
      <c r="F3452" s="27" t="n">
        <v>45686.5</v>
      </c>
      <c r="G3452" t="inlineStr">
        <is>
          <t>DEBITO</t>
        </is>
      </c>
      <c r="H3452" t="inlineStr">
        <is>
          <t>PAGTO ELETRON  COBRANCA DOC 509410883</t>
        </is>
      </c>
      <c r="I3452" t="n">
        <v>-12628</v>
      </c>
    </row>
    <row r="3453">
      <c r="A3453" t="n">
        <v>57898</v>
      </c>
      <c r="B3453" t="n">
        <v>115</v>
      </c>
      <c r="C3453" t="inlineStr">
        <is>
          <t>Love - Shibari - Bradesco</t>
        </is>
      </c>
      <c r="D3453" t="n">
        <v>128</v>
      </c>
      <c r="E3453" t="inlineStr">
        <is>
          <t>Love Cabaret</t>
        </is>
      </c>
      <c r="F3453" s="27" t="n">
        <v>45686.5</v>
      </c>
      <c r="G3453" t="inlineStr">
        <is>
          <t>DEBITO</t>
        </is>
      </c>
      <c r="H3453" t="inlineStr">
        <is>
          <t>PAGTO ELETRON  COBRANCA DOC 20</t>
        </is>
      </c>
      <c r="I3453" t="n">
        <v>-500</v>
      </c>
    </row>
    <row r="3454">
      <c r="A3454" t="n">
        <v>57899</v>
      </c>
      <c r="B3454" t="n">
        <v>115</v>
      </c>
      <c r="C3454" t="inlineStr">
        <is>
          <t>Love - Shibari - Bradesco</t>
        </is>
      </c>
      <c r="D3454" t="n">
        <v>128</v>
      </c>
      <c r="E3454" t="inlineStr">
        <is>
          <t>Love Cabaret</t>
        </is>
      </c>
      <c r="F3454" s="27" t="n">
        <v>45686.5</v>
      </c>
      <c r="G3454" t="inlineStr">
        <is>
          <t>DEBITO</t>
        </is>
      </c>
      <c r="H3454" t="inlineStr">
        <is>
          <t>PAGTO ELETRON  COBRANCA DOC 194303624016626</t>
        </is>
      </c>
      <c r="I3454" t="n">
        <v>-2000</v>
      </c>
    </row>
    <row r="3455">
      <c r="A3455" t="n">
        <v>57900</v>
      </c>
      <c r="B3455" t="n">
        <v>115</v>
      </c>
      <c r="C3455" t="inlineStr">
        <is>
          <t>Love - Shibari - Bradesco</t>
        </is>
      </c>
      <c r="D3455" t="n">
        <v>128</v>
      </c>
      <c r="E3455" t="inlineStr">
        <is>
          <t>Love Cabaret</t>
        </is>
      </c>
      <c r="F3455" s="27" t="n">
        <v>45686.5</v>
      </c>
      <c r="G3455" t="inlineStr">
        <is>
          <t>DEBITO</t>
        </is>
      </c>
      <c r="H3455" t="inlineStr">
        <is>
          <t>PAGTO ELETRON  COBRANCA NF 2714</t>
        </is>
      </c>
      <c r="I3455" t="n">
        <v>-2600</v>
      </c>
    </row>
    <row r="3456">
      <c r="A3456" t="n">
        <v>57893</v>
      </c>
      <c r="B3456" t="n">
        <v>115</v>
      </c>
      <c r="C3456" t="inlineStr">
        <is>
          <t>Love - Shibari - Bradesco</t>
        </is>
      </c>
      <c r="D3456" t="n">
        <v>128</v>
      </c>
      <c r="E3456" t="inlineStr">
        <is>
          <t>Love Cabaret</t>
        </is>
      </c>
      <c r="F3456" s="27" t="n">
        <v>45685.5</v>
      </c>
      <c r="G3456" t="inlineStr">
        <is>
          <t>CREDITO</t>
        </is>
      </c>
      <c r="H3456" t="inlineStr">
        <is>
          <t>TED-TRANSF ELET DISPON REMET.LIRIUM INDUSTRIA E C</t>
        </is>
      </c>
      <c r="I3456" t="n">
        <v>270</v>
      </c>
    </row>
    <row r="3457">
      <c r="A3457" t="n">
        <v>57894</v>
      </c>
      <c r="B3457" t="n">
        <v>115</v>
      </c>
      <c r="C3457" t="inlineStr">
        <is>
          <t>Love - Shibari - Bradesco</t>
        </is>
      </c>
      <c r="D3457" t="n">
        <v>128</v>
      </c>
      <c r="E3457" t="inlineStr">
        <is>
          <t>Love Cabaret</t>
        </is>
      </c>
      <c r="F3457" s="27" t="n">
        <v>45685.5</v>
      </c>
      <c r="G3457" t="inlineStr">
        <is>
          <t>CREDITO</t>
        </is>
      </c>
      <c r="H3457" t="inlineStr">
        <is>
          <t>TED-TRANSF ELET DISPON REMET.KZEMOS BRASIL EVENTO</t>
        </is>
      </c>
      <c r="I3457" t="n">
        <v>5755.87</v>
      </c>
    </row>
    <row r="3458">
      <c r="A3458" t="n">
        <v>57890</v>
      </c>
      <c r="B3458" t="n">
        <v>115</v>
      </c>
      <c r="C3458" t="inlineStr">
        <is>
          <t>Love - Shibari - Bradesco</t>
        </is>
      </c>
      <c r="D3458" t="n">
        <v>128</v>
      </c>
      <c r="E3458" t="inlineStr">
        <is>
          <t>Love Cabaret</t>
        </is>
      </c>
      <c r="F3458" s="27" t="n">
        <v>45684.5</v>
      </c>
      <c r="G3458" t="inlineStr">
        <is>
          <t>DEBITO</t>
        </is>
      </c>
      <c r="H3458" t="inlineStr">
        <is>
          <t>TRANSFERENCIA PIX DES: FLAVIO RODRIGUES DE M 27/01</t>
        </is>
      </c>
      <c r="I3458" t="n">
        <v>-1000</v>
      </c>
    </row>
    <row r="3459">
      <c r="A3459" t="n">
        <v>57891</v>
      </c>
      <c r="B3459" t="n">
        <v>115</v>
      </c>
      <c r="C3459" t="inlineStr">
        <is>
          <t>Love - Shibari - Bradesco</t>
        </is>
      </c>
      <c r="D3459" t="n">
        <v>128</v>
      </c>
      <c r="E3459" t="inlineStr">
        <is>
          <t>Love Cabaret</t>
        </is>
      </c>
      <c r="F3459" s="27" t="n">
        <v>45684.5</v>
      </c>
      <c r="G3459" t="inlineStr">
        <is>
          <t>DEBITO</t>
        </is>
      </c>
      <c r="H3459" t="inlineStr">
        <is>
          <t>CONTA DE TELEFONE INTERNET --TELEFONICA BRASIL</t>
        </is>
      </c>
      <c r="I3459" t="n">
        <v>-20</v>
      </c>
    </row>
    <row r="3460">
      <c r="A3460" t="n">
        <v>57874</v>
      </c>
      <c r="B3460" t="n">
        <v>115</v>
      </c>
      <c r="C3460" t="inlineStr">
        <is>
          <t>Love - Shibari - Bradesco</t>
        </is>
      </c>
      <c r="D3460" t="n">
        <v>128</v>
      </c>
      <c r="E3460" t="inlineStr">
        <is>
          <t>Love Cabaret</t>
        </is>
      </c>
      <c r="F3460" s="27" t="n">
        <v>45684.5</v>
      </c>
      <c r="G3460" t="inlineStr">
        <is>
          <t>CREDITO</t>
        </is>
      </c>
      <c r="H3460" t="inlineStr">
        <is>
          <t>TRANSFERENCIA PIX REM: Zig Tecnologia S.A.   27/01</t>
        </is>
      </c>
      <c r="I3460" t="n">
        <v>20199.14</v>
      </c>
    </row>
    <row r="3461">
      <c r="A3461" t="n">
        <v>57875</v>
      </c>
      <c r="B3461" t="n">
        <v>115</v>
      </c>
      <c r="C3461" t="inlineStr">
        <is>
          <t>Love - Shibari - Bradesco</t>
        </is>
      </c>
      <c r="D3461" t="n">
        <v>128</v>
      </c>
      <c r="E3461" t="inlineStr">
        <is>
          <t>Love Cabaret</t>
        </is>
      </c>
      <c r="F3461" s="27" t="n">
        <v>45684.5</v>
      </c>
      <c r="G3461" t="inlineStr">
        <is>
          <t>DEBITO</t>
        </is>
      </c>
      <c r="H3461" t="inlineStr">
        <is>
          <t>PAGTO ELETRON  COBRANCA NF 72869</t>
        </is>
      </c>
      <c r="I3461" t="n">
        <v>-494</v>
      </c>
    </row>
    <row r="3462">
      <c r="A3462" t="n">
        <v>57876</v>
      </c>
      <c r="B3462" t="n">
        <v>115</v>
      </c>
      <c r="C3462" t="inlineStr">
        <is>
          <t>Love - Shibari - Bradesco</t>
        </is>
      </c>
      <c r="D3462" t="n">
        <v>128</v>
      </c>
      <c r="E3462" t="inlineStr">
        <is>
          <t>Love Cabaret</t>
        </is>
      </c>
      <c r="F3462" s="27" t="n">
        <v>45684.5</v>
      </c>
      <c r="G3462" t="inlineStr">
        <is>
          <t>DEBITO</t>
        </is>
      </c>
      <c r="H3462" t="inlineStr">
        <is>
          <t>PAGTO ELETRON  COBRANCA NF 12258</t>
        </is>
      </c>
      <c r="I3462" t="n">
        <v>-504.8</v>
      </c>
    </row>
    <row r="3463">
      <c r="A3463" t="n">
        <v>57877</v>
      </c>
      <c r="B3463" t="n">
        <v>115</v>
      </c>
      <c r="C3463" t="inlineStr">
        <is>
          <t>Love - Shibari - Bradesco</t>
        </is>
      </c>
      <c r="D3463" t="n">
        <v>128</v>
      </c>
      <c r="E3463" t="inlineStr">
        <is>
          <t>Love Cabaret</t>
        </is>
      </c>
      <c r="F3463" s="27" t="n">
        <v>45684.5</v>
      </c>
      <c r="G3463" t="inlineStr">
        <is>
          <t>DEBITO</t>
        </is>
      </c>
      <c r="H3463" t="inlineStr">
        <is>
          <t>PAGTO ELETRON  COBRANCA NF 363961</t>
        </is>
      </c>
      <c r="I3463" t="n">
        <v>-303.7</v>
      </c>
    </row>
    <row r="3464">
      <c r="A3464" t="n">
        <v>57878</v>
      </c>
      <c r="B3464" t="n">
        <v>115</v>
      </c>
      <c r="C3464" t="inlineStr">
        <is>
          <t>Love - Shibari - Bradesco</t>
        </is>
      </c>
      <c r="D3464" t="n">
        <v>128</v>
      </c>
      <c r="E3464" t="inlineStr">
        <is>
          <t>Love Cabaret</t>
        </is>
      </c>
      <c r="F3464" s="27" t="n">
        <v>45684.5</v>
      </c>
      <c r="G3464" t="inlineStr">
        <is>
          <t>DEBITO</t>
        </is>
      </c>
      <c r="H3464" t="inlineStr">
        <is>
          <t>PAGTO ELETRON  COBRANCA NF 37870</t>
        </is>
      </c>
      <c r="I3464" t="n">
        <v>-220.48</v>
      </c>
    </row>
    <row r="3465">
      <c r="A3465" t="n">
        <v>57879</v>
      </c>
      <c r="B3465" t="n">
        <v>115</v>
      </c>
      <c r="C3465" t="inlineStr">
        <is>
          <t>Love - Shibari - Bradesco</t>
        </is>
      </c>
      <c r="D3465" t="n">
        <v>128</v>
      </c>
      <c r="E3465" t="inlineStr">
        <is>
          <t>Love Cabaret</t>
        </is>
      </c>
      <c r="F3465" s="27" t="n">
        <v>45684.5</v>
      </c>
      <c r="G3465" t="inlineStr">
        <is>
          <t>DEBITO</t>
        </is>
      </c>
      <c r="H3465" t="inlineStr">
        <is>
          <t>PAGTO ELETRON  COBRANCA NF 77409</t>
        </is>
      </c>
      <c r="I3465" t="n">
        <v>-332</v>
      </c>
    </row>
    <row r="3466">
      <c r="A3466" t="n">
        <v>57880</v>
      </c>
      <c r="B3466" t="n">
        <v>115</v>
      </c>
      <c r="C3466" t="inlineStr">
        <is>
          <t>Love - Shibari - Bradesco</t>
        </is>
      </c>
      <c r="D3466" t="n">
        <v>128</v>
      </c>
      <c r="E3466" t="inlineStr">
        <is>
          <t>Love Cabaret</t>
        </is>
      </c>
      <c r="F3466" s="27" t="n">
        <v>45684.5</v>
      </c>
      <c r="G3466" t="inlineStr">
        <is>
          <t>DEBITO</t>
        </is>
      </c>
      <c r="H3466" t="inlineStr">
        <is>
          <t>PAGTO ELETRON  COBRANCA NF 35978</t>
        </is>
      </c>
      <c r="I3466" t="n">
        <v>-285.4</v>
      </c>
    </row>
    <row r="3467">
      <c r="A3467" t="n">
        <v>57881</v>
      </c>
      <c r="B3467" t="n">
        <v>115</v>
      </c>
      <c r="C3467" t="inlineStr">
        <is>
          <t>Love - Shibari - Bradesco</t>
        </is>
      </c>
      <c r="D3467" t="n">
        <v>128</v>
      </c>
      <c r="E3467" t="inlineStr">
        <is>
          <t>Love Cabaret</t>
        </is>
      </c>
      <c r="F3467" s="27" t="n">
        <v>45684.5</v>
      </c>
      <c r="G3467" t="inlineStr">
        <is>
          <t>DEBITO</t>
        </is>
      </c>
      <c r="H3467" t="inlineStr">
        <is>
          <t>PAGTO ELETRON  COBRANCA NF 563801</t>
        </is>
      </c>
      <c r="I3467" t="n">
        <v>-186.52</v>
      </c>
    </row>
    <row r="3468">
      <c r="A3468" t="n">
        <v>57882</v>
      </c>
      <c r="B3468" t="n">
        <v>115</v>
      </c>
      <c r="C3468" t="inlineStr">
        <is>
          <t>Love - Shibari - Bradesco</t>
        </is>
      </c>
      <c r="D3468" t="n">
        <v>128</v>
      </c>
      <c r="E3468" t="inlineStr">
        <is>
          <t>Love Cabaret</t>
        </is>
      </c>
      <c r="F3468" s="27" t="n">
        <v>45684.5</v>
      </c>
      <c r="G3468" t="inlineStr">
        <is>
          <t>DEBITO</t>
        </is>
      </c>
      <c r="H3468" t="inlineStr">
        <is>
          <t>PAGTO ELETRON  COBRANCA NF 983</t>
        </is>
      </c>
      <c r="I3468" t="n">
        <v>-198.68</v>
      </c>
    </row>
    <row r="3469">
      <c r="A3469" t="n">
        <v>57883</v>
      </c>
      <c r="B3469" t="n">
        <v>115</v>
      </c>
      <c r="C3469" t="inlineStr">
        <is>
          <t>Love - Shibari - Bradesco</t>
        </is>
      </c>
      <c r="D3469" t="n">
        <v>128</v>
      </c>
      <c r="E3469" t="inlineStr">
        <is>
          <t>Love Cabaret</t>
        </is>
      </c>
      <c r="F3469" s="27" t="n">
        <v>45684.5</v>
      </c>
      <c r="G3469" t="inlineStr">
        <is>
          <t>DEBITO</t>
        </is>
      </c>
      <c r="H3469" t="inlineStr">
        <is>
          <t>PAGTO ELETRON  COBRANCA NF 17724</t>
        </is>
      </c>
      <c r="I3469" t="n">
        <v>-47.25</v>
      </c>
    </row>
    <row r="3470">
      <c r="A3470" t="n">
        <v>57884</v>
      </c>
      <c r="B3470" t="n">
        <v>115</v>
      </c>
      <c r="C3470" t="inlineStr">
        <is>
          <t>Love - Shibari - Bradesco</t>
        </is>
      </c>
      <c r="D3470" t="n">
        <v>128</v>
      </c>
      <c r="E3470" t="inlineStr">
        <is>
          <t>Love Cabaret</t>
        </is>
      </c>
      <c r="F3470" s="27" t="n">
        <v>45684.5</v>
      </c>
      <c r="G3470" t="inlineStr">
        <is>
          <t>DEBITO</t>
        </is>
      </c>
      <c r="H3470" t="inlineStr">
        <is>
          <t>PAGTO ELETRON  COBRANCA NF 138637</t>
        </is>
      </c>
      <c r="I3470" t="n">
        <v>-207.6</v>
      </c>
    </row>
    <row r="3471">
      <c r="A3471" t="n">
        <v>57885</v>
      </c>
      <c r="B3471" t="n">
        <v>115</v>
      </c>
      <c r="C3471" t="inlineStr">
        <is>
          <t>Love - Shibari - Bradesco</t>
        </is>
      </c>
      <c r="D3471" t="n">
        <v>128</v>
      </c>
      <c r="E3471" t="inlineStr">
        <is>
          <t>Love Cabaret</t>
        </is>
      </c>
      <c r="F3471" s="27" t="n">
        <v>45684.5</v>
      </c>
      <c r="G3471" t="inlineStr">
        <is>
          <t>DEBITO</t>
        </is>
      </c>
      <c r="H3471" t="inlineStr">
        <is>
          <t>PAGTO ELETRON  COBRANCA NF 556356</t>
        </is>
      </c>
      <c r="I3471" t="n">
        <v>-1537.9</v>
      </c>
    </row>
    <row r="3472">
      <c r="A3472" t="n">
        <v>57886</v>
      </c>
      <c r="B3472" t="n">
        <v>115</v>
      </c>
      <c r="C3472" t="inlineStr">
        <is>
          <t>Love - Shibari - Bradesco</t>
        </is>
      </c>
      <c r="D3472" t="n">
        <v>128</v>
      </c>
      <c r="E3472" t="inlineStr">
        <is>
          <t>Love Cabaret</t>
        </is>
      </c>
      <c r="F3472" s="27" t="n">
        <v>45684.5</v>
      </c>
      <c r="G3472" t="inlineStr">
        <is>
          <t>DEBITO</t>
        </is>
      </c>
      <c r="H3472" t="inlineStr">
        <is>
          <t>PAGTO ELETRON  COBRANCA NF 10224</t>
        </is>
      </c>
      <c r="I3472" t="n">
        <v>-207.97</v>
      </c>
    </row>
    <row r="3473">
      <c r="A3473" t="n">
        <v>57887</v>
      </c>
      <c r="B3473" t="n">
        <v>115</v>
      </c>
      <c r="C3473" t="inlineStr">
        <is>
          <t>Love - Shibari - Bradesco</t>
        </is>
      </c>
      <c r="D3473" t="n">
        <v>128</v>
      </c>
      <c r="E3473" t="inlineStr">
        <is>
          <t>Love Cabaret</t>
        </is>
      </c>
      <c r="F3473" s="27" t="n">
        <v>45684.5</v>
      </c>
      <c r="G3473" t="inlineStr">
        <is>
          <t>DEBITO</t>
        </is>
      </c>
      <c r="H3473" t="inlineStr">
        <is>
          <t>PAGTO ELETRON  COBRANCA NF 18419</t>
        </is>
      </c>
      <c r="I3473" t="n">
        <v>-87.28</v>
      </c>
    </row>
    <row r="3474">
      <c r="A3474" t="n">
        <v>57888</v>
      </c>
      <c r="B3474" t="n">
        <v>115</v>
      </c>
      <c r="C3474" t="inlineStr">
        <is>
          <t>Love - Shibari - Bradesco</t>
        </is>
      </c>
      <c r="D3474" t="n">
        <v>128</v>
      </c>
      <c r="E3474" t="inlineStr">
        <is>
          <t>Love Cabaret</t>
        </is>
      </c>
      <c r="F3474" s="27" t="n">
        <v>45684.5</v>
      </c>
      <c r="G3474" t="inlineStr">
        <is>
          <t>DEBITO</t>
        </is>
      </c>
      <c r="H3474" t="inlineStr">
        <is>
          <t>TRANSFERENCIA PIX DES: ARCOS BAR E RESTAURAN 27/01</t>
        </is>
      </c>
      <c r="I3474" t="n">
        <v>-364.83</v>
      </c>
    </row>
    <row r="3475">
      <c r="A3475" t="n">
        <v>57889</v>
      </c>
      <c r="B3475" t="n">
        <v>115</v>
      </c>
      <c r="C3475" t="inlineStr">
        <is>
          <t>Love - Shibari - Bradesco</t>
        </is>
      </c>
      <c r="D3475" t="n">
        <v>128</v>
      </c>
      <c r="E3475" t="inlineStr">
        <is>
          <t>Love Cabaret</t>
        </is>
      </c>
      <c r="F3475" s="27" t="n">
        <v>45684.5</v>
      </c>
      <c r="G3475" t="inlineStr">
        <is>
          <t>DEBITO</t>
        </is>
      </c>
      <c r="H3475" t="inlineStr">
        <is>
          <t>TRANSFERENCIA PIX DES: TEMPUS FUGIT PARTICIP 27/01</t>
        </is>
      </c>
      <c r="I3475" t="n">
        <v>-5715.27</v>
      </c>
    </row>
    <row r="3476">
      <c r="A3476" t="n">
        <v>57892</v>
      </c>
      <c r="B3476" t="n">
        <v>115</v>
      </c>
      <c r="C3476" t="inlineStr">
        <is>
          <t>Love - Shibari - Bradesco</t>
        </is>
      </c>
      <c r="D3476" t="n">
        <v>128</v>
      </c>
      <c r="E3476" t="inlineStr">
        <is>
          <t>Love Cabaret</t>
        </is>
      </c>
      <c r="F3476" s="27" t="n">
        <v>45684.5</v>
      </c>
      <c r="G3476" t="inlineStr">
        <is>
          <t>DEBITO</t>
        </is>
      </c>
      <c r="H3476" t="inlineStr">
        <is>
          <t>CONTA DE TELEFONE INTERNET --VIVO/SP</t>
        </is>
      </c>
      <c r="I3476" t="n">
        <v>-449.21</v>
      </c>
    </row>
    <row r="3477">
      <c r="A3477" t="n">
        <v>57273</v>
      </c>
      <c r="B3477" t="n">
        <v>115</v>
      </c>
      <c r="C3477" t="inlineStr">
        <is>
          <t>Love - Shibari - Bradesco</t>
        </is>
      </c>
      <c r="D3477" t="n">
        <v>128</v>
      </c>
      <c r="E3477" t="inlineStr">
        <is>
          <t>Love Cabaret</t>
        </is>
      </c>
      <c r="F3477" s="27" t="n">
        <v>45681.5</v>
      </c>
      <c r="G3477" t="inlineStr">
        <is>
          <t>CREDITO</t>
        </is>
      </c>
      <c r="H3477" t="inlineStr">
        <is>
          <t>TED-TRANSF ELET DISPON REMET.DIVERTI TICKETS COME</t>
        </is>
      </c>
      <c r="I3477" t="n">
        <v>1553.93</v>
      </c>
    </row>
    <row r="3478">
      <c r="A3478" t="n">
        <v>57274</v>
      </c>
      <c r="B3478" t="n">
        <v>115</v>
      </c>
      <c r="C3478" t="inlineStr">
        <is>
          <t>Love - Shibari - Bradesco</t>
        </is>
      </c>
      <c r="D3478" t="n">
        <v>128</v>
      </c>
      <c r="E3478" t="inlineStr">
        <is>
          <t>Love Cabaret</t>
        </is>
      </c>
      <c r="F3478" s="27" t="n">
        <v>45681.5</v>
      </c>
      <c r="G3478" t="inlineStr">
        <is>
          <t>CREDITO</t>
        </is>
      </c>
      <c r="H3478" t="inlineStr">
        <is>
          <t>TED-TRANSF ELET DISPON REMET.DIVERTI TICKETS COME</t>
        </is>
      </c>
      <c r="I3478" t="n">
        <v>9219.93</v>
      </c>
    </row>
    <row r="3479">
      <c r="A3479" t="n">
        <v>57275</v>
      </c>
      <c r="B3479" t="n">
        <v>115</v>
      </c>
      <c r="C3479" t="inlineStr">
        <is>
          <t>Love - Shibari - Bradesco</t>
        </is>
      </c>
      <c r="D3479" t="n">
        <v>128</v>
      </c>
      <c r="E3479" t="inlineStr">
        <is>
          <t>Love Cabaret</t>
        </is>
      </c>
      <c r="F3479" s="27" t="n">
        <v>45681.5</v>
      </c>
      <c r="G3479" t="inlineStr">
        <is>
          <t>CREDITO</t>
        </is>
      </c>
      <c r="H3479" t="inlineStr">
        <is>
          <t>TED-TRANSF ELET DISPON REMET.DIVERTI TICKETS COME</t>
        </is>
      </c>
      <c r="I3479" t="n">
        <v>9466.02</v>
      </c>
    </row>
    <row r="3480">
      <c r="A3480" t="n">
        <v>57276</v>
      </c>
      <c r="B3480" t="n">
        <v>115</v>
      </c>
      <c r="C3480" t="inlineStr">
        <is>
          <t>Love - Shibari - Bradesco</t>
        </is>
      </c>
      <c r="D3480" t="n">
        <v>128</v>
      </c>
      <c r="E3480" t="inlineStr">
        <is>
          <t>Love Cabaret</t>
        </is>
      </c>
      <c r="F3480" s="27" t="n">
        <v>45681.5</v>
      </c>
      <c r="G3480" t="inlineStr">
        <is>
          <t>DEBITO</t>
        </is>
      </c>
      <c r="H3480" t="inlineStr">
        <is>
          <t>TARIFA BANCARIA TRANSF PGTO PIX</t>
        </is>
      </c>
      <c r="I3480" t="n">
        <v>-8.82</v>
      </c>
    </row>
    <row r="3481">
      <c r="A3481" t="n">
        <v>57277</v>
      </c>
      <c r="B3481" t="n">
        <v>115</v>
      </c>
      <c r="C3481" t="inlineStr">
        <is>
          <t>Love - Shibari - Bradesco</t>
        </is>
      </c>
      <c r="D3481" t="n">
        <v>128</v>
      </c>
      <c r="E3481" t="inlineStr">
        <is>
          <t>Love Cabaret</t>
        </is>
      </c>
      <c r="F3481" s="27" t="n">
        <v>45681.5</v>
      </c>
      <c r="G3481" t="inlineStr">
        <is>
          <t>DEBITO</t>
        </is>
      </c>
      <c r="H3481" t="inlineStr">
        <is>
          <t>TARIFA BANCARIA TRANSF PGTO PIX</t>
        </is>
      </c>
      <c r="I3481" t="n">
        <v>-9</v>
      </c>
    </row>
    <row r="3482">
      <c r="A3482" t="n">
        <v>56453</v>
      </c>
      <c r="B3482" t="n">
        <v>115</v>
      </c>
      <c r="C3482" t="inlineStr">
        <is>
          <t>Love - Shibari - Bradesco</t>
        </is>
      </c>
      <c r="D3482" t="n">
        <v>128</v>
      </c>
      <c r="E3482" t="inlineStr">
        <is>
          <t>Love Cabaret</t>
        </is>
      </c>
      <c r="F3482" s="27" t="n">
        <v>45679.5</v>
      </c>
      <c r="G3482" t="inlineStr">
        <is>
          <t>DEBITO</t>
        </is>
      </c>
      <c r="H3482" t="inlineStr">
        <is>
          <t>PAGTO ELETRON  COBRANCA DOC 505621068</t>
        </is>
      </c>
      <c r="I3482" t="n">
        <v>-12985.5</v>
      </c>
    </row>
    <row r="3483">
      <c r="A3483" t="n">
        <v>56454</v>
      </c>
      <c r="B3483" t="n">
        <v>115</v>
      </c>
      <c r="C3483" t="inlineStr">
        <is>
          <t>Love - Shibari - Bradesco</t>
        </is>
      </c>
      <c r="D3483" t="n">
        <v>128</v>
      </c>
      <c r="E3483" t="inlineStr">
        <is>
          <t>Love Cabaret</t>
        </is>
      </c>
      <c r="F3483" s="27" t="n">
        <v>45679.5</v>
      </c>
      <c r="G3483" t="inlineStr">
        <is>
          <t>DEBITO</t>
        </is>
      </c>
      <c r="H3483" t="inlineStr">
        <is>
          <t>TARIFA BANCARIA TRANSF PGTO PIX</t>
        </is>
      </c>
      <c r="I3483" t="n">
        <v>-2.1</v>
      </c>
    </row>
    <row r="3484">
      <c r="A3484" t="n">
        <v>56455</v>
      </c>
      <c r="B3484" t="n">
        <v>115</v>
      </c>
      <c r="C3484" t="inlineStr">
        <is>
          <t>Love - Shibari - Bradesco</t>
        </is>
      </c>
      <c r="D3484" t="n">
        <v>128</v>
      </c>
      <c r="E3484" t="inlineStr">
        <is>
          <t>Love Cabaret</t>
        </is>
      </c>
      <c r="F3484" s="27" t="n">
        <v>45679.5</v>
      </c>
      <c r="G3484" t="inlineStr">
        <is>
          <t>DEBITO</t>
        </is>
      </c>
      <c r="H3484" t="inlineStr">
        <is>
          <t>TARIFA BANCARIA TRANSF PGTO PIX</t>
        </is>
      </c>
      <c r="I3484" t="n">
        <v>-9</v>
      </c>
    </row>
    <row r="3485">
      <c r="A3485" t="n">
        <v>56462</v>
      </c>
      <c r="B3485" t="n">
        <v>115</v>
      </c>
      <c r="C3485" t="inlineStr">
        <is>
          <t>Love - Shibari - Bradesco</t>
        </is>
      </c>
      <c r="D3485" t="n">
        <v>128</v>
      </c>
      <c r="E3485" t="inlineStr">
        <is>
          <t>Love Cabaret</t>
        </is>
      </c>
      <c r="F3485" s="27" t="n">
        <v>45679.5</v>
      </c>
      <c r="G3485" t="inlineStr">
        <is>
          <t>DEBITO</t>
        </is>
      </c>
      <c r="H3485" t="inlineStr">
        <is>
          <t>CONTA DE TELEFONE INTERNET --VIVO/SP</t>
        </is>
      </c>
      <c r="I3485" t="n">
        <v>-93.7</v>
      </c>
    </row>
    <row r="3486">
      <c r="A3486" t="n">
        <v>56461</v>
      </c>
      <c r="B3486" t="n">
        <v>115</v>
      </c>
      <c r="C3486" t="inlineStr">
        <is>
          <t>Love - Shibari - Bradesco</t>
        </is>
      </c>
      <c r="D3486" t="n">
        <v>128</v>
      </c>
      <c r="E3486" t="inlineStr">
        <is>
          <t>Love Cabaret</t>
        </is>
      </c>
      <c r="F3486" s="27" t="n">
        <v>45679.5</v>
      </c>
      <c r="G3486" t="inlineStr">
        <is>
          <t>DEBITO</t>
        </is>
      </c>
      <c r="H3486" t="inlineStr">
        <is>
          <t>CONTA DE TELEFONE INTERNET --VIVO/SP</t>
        </is>
      </c>
      <c r="I3486" t="n">
        <v>-327.09</v>
      </c>
    </row>
    <row r="3487">
      <c r="A3487" t="n">
        <v>56460</v>
      </c>
      <c r="B3487" t="n">
        <v>115</v>
      </c>
      <c r="C3487" t="inlineStr">
        <is>
          <t>Love - Shibari - Bradesco</t>
        </is>
      </c>
      <c r="D3487" t="n">
        <v>128</v>
      </c>
      <c r="E3487" t="inlineStr">
        <is>
          <t>Love Cabaret</t>
        </is>
      </c>
      <c r="F3487" s="27" t="n">
        <v>45679.5</v>
      </c>
      <c r="G3487" t="inlineStr">
        <is>
          <t>DEBITO</t>
        </is>
      </c>
      <c r="H3487" t="inlineStr">
        <is>
          <t>CONTA DE GAS INTERNET --COMGAS/SP</t>
        </is>
      </c>
      <c r="I3487" t="n">
        <v>-1086.01</v>
      </c>
    </row>
    <row r="3488">
      <c r="A3488" t="n">
        <v>56459</v>
      </c>
      <c r="B3488" t="n">
        <v>115</v>
      </c>
      <c r="C3488" t="inlineStr">
        <is>
          <t>Love - Shibari - Bradesco</t>
        </is>
      </c>
      <c r="D3488" t="n">
        <v>128</v>
      </c>
      <c r="E3488" t="inlineStr">
        <is>
          <t>Love Cabaret</t>
        </is>
      </c>
      <c r="F3488" s="27" t="n">
        <v>45679.5</v>
      </c>
      <c r="G3488" t="inlineStr">
        <is>
          <t>DEBITO</t>
        </is>
      </c>
      <c r="H3488" t="inlineStr">
        <is>
          <t>TRANSFERENCIA PIX DES: EDIMAR MOURA TARTAGLI 22/01</t>
        </is>
      </c>
      <c r="I3488" t="n">
        <v>-630</v>
      </c>
    </row>
    <row r="3489">
      <c r="A3489" t="n">
        <v>56458</v>
      </c>
      <c r="B3489" t="n">
        <v>115</v>
      </c>
      <c r="C3489" t="inlineStr">
        <is>
          <t>Love - Shibari - Bradesco</t>
        </is>
      </c>
      <c r="D3489" t="n">
        <v>128</v>
      </c>
      <c r="E3489" t="inlineStr">
        <is>
          <t>Love Cabaret</t>
        </is>
      </c>
      <c r="F3489" s="27" t="n">
        <v>45679.5</v>
      </c>
      <c r="G3489" t="inlineStr">
        <is>
          <t>DEBITO</t>
        </is>
      </c>
      <c r="H3489" t="inlineStr">
        <is>
          <t>TRANSFERENCIA PIX DES: MACHINE SEGURANCA PAT 22/01</t>
        </is>
      </c>
      <c r="I3489" t="n">
        <v>-2850</v>
      </c>
    </row>
    <row r="3490">
      <c r="A3490" t="n">
        <v>56457</v>
      </c>
      <c r="B3490" t="n">
        <v>115</v>
      </c>
      <c r="C3490" t="inlineStr">
        <is>
          <t>Love - Shibari - Bradesco</t>
        </is>
      </c>
      <c r="D3490" t="n">
        <v>128</v>
      </c>
      <c r="E3490" t="inlineStr">
        <is>
          <t>Love Cabaret</t>
        </is>
      </c>
      <c r="F3490" s="27" t="n">
        <v>45679.5</v>
      </c>
      <c r="G3490" t="inlineStr">
        <is>
          <t>DEBITO</t>
        </is>
      </c>
      <c r="H3490" t="inlineStr">
        <is>
          <t>TARIFA BANCARIA TRANSF PGTO PIX</t>
        </is>
      </c>
      <c r="I3490" t="n">
        <v>-9</v>
      </c>
    </row>
    <row r="3491">
      <c r="A3491" t="n">
        <v>56456</v>
      </c>
      <c r="B3491" t="n">
        <v>115</v>
      </c>
      <c r="C3491" t="inlineStr">
        <is>
          <t>Love - Shibari - Bradesco</t>
        </is>
      </c>
      <c r="D3491" t="n">
        <v>128</v>
      </c>
      <c r="E3491" t="inlineStr">
        <is>
          <t>Love Cabaret</t>
        </is>
      </c>
      <c r="F3491" s="27" t="n">
        <v>45679.5</v>
      </c>
      <c r="G3491" t="inlineStr">
        <is>
          <t>DEBITO</t>
        </is>
      </c>
      <c r="H3491" t="inlineStr">
        <is>
          <t>TARIFA BANCARIA TRANSF PGTO PIX</t>
        </is>
      </c>
      <c r="I3491" t="n">
        <v>-9</v>
      </c>
    </row>
    <row r="3492">
      <c r="A3492" t="n">
        <v>56451</v>
      </c>
      <c r="B3492" t="n">
        <v>115</v>
      </c>
      <c r="C3492" t="inlineStr">
        <is>
          <t>Love - Shibari - Bradesco</t>
        </is>
      </c>
      <c r="D3492" t="n">
        <v>128</v>
      </c>
      <c r="E3492" t="inlineStr">
        <is>
          <t>Love Cabaret</t>
        </is>
      </c>
      <c r="F3492" s="27" t="n">
        <v>45679.5</v>
      </c>
      <c r="G3492" t="inlineStr">
        <is>
          <t>DEBITO</t>
        </is>
      </c>
      <c r="H3492" t="inlineStr">
        <is>
          <t>PAGTO ELETRON  COBRANCA NF 26155</t>
        </is>
      </c>
      <c r="I3492" t="n">
        <v>-374.55</v>
      </c>
    </row>
    <row r="3493">
      <c r="A3493" t="n">
        <v>56452</v>
      </c>
      <c r="B3493" t="n">
        <v>115</v>
      </c>
      <c r="C3493" t="inlineStr">
        <is>
          <t>Love - Shibari - Bradesco</t>
        </is>
      </c>
      <c r="D3493" t="n">
        <v>128</v>
      </c>
      <c r="E3493" t="inlineStr">
        <is>
          <t>Love Cabaret</t>
        </is>
      </c>
      <c r="F3493" s="27" t="n">
        <v>45679.5</v>
      </c>
      <c r="G3493" t="inlineStr">
        <is>
          <t>DEBITO</t>
        </is>
      </c>
      <c r="H3493" t="inlineStr">
        <is>
          <t>PAGTO ELETRON  COBRANCA NF 2208</t>
        </is>
      </c>
      <c r="I3493" t="n">
        <v>-1200</v>
      </c>
    </row>
    <row r="3494">
      <c r="A3494" t="n">
        <v>56447</v>
      </c>
      <c r="B3494" t="n">
        <v>115</v>
      </c>
      <c r="C3494" t="inlineStr">
        <is>
          <t>Love - Shibari - Bradesco</t>
        </is>
      </c>
      <c r="D3494" t="n">
        <v>128</v>
      </c>
      <c r="E3494" t="inlineStr">
        <is>
          <t>Love Cabaret</t>
        </is>
      </c>
      <c r="F3494" s="27" t="n">
        <v>45679.5</v>
      </c>
      <c r="G3494" t="inlineStr">
        <is>
          <t>DEBITO</t>
        </is>
      </c>
      <c r="H3494" t="inlineStr">
        <is>
          <t>PAGTO ELETRON  COBRANCA NF 25</t>
        </is>
      </c>
      <c r="I3494" t="n">
        <v>-170</v>
      </c>
    </row>
    <row r="3495">
      <c r="A3495" t="n">
        <v>56448</v>
      </c>
      <c r="B3495" t="n">
        <v>115</v>
      </c>
      <c r="C3495" t="inlineStr">
        <is>
          <t>Love - Shibari - Bradesco</t>
        </is>
      </c>
      <c r="D3495" t="n">
        <v>128</v>
      </c>
      <c r="E3495" t="inlineStr">
        <is>
          <t>Love Cabaret</t>
        </is>
      </c>
      <c r="F3495" s="27" t="n">
        <v>45679.5</v>
      </c>
      <c r="G3495" t="inlineStr">
        <is>
          <t>DEBITO</t>
        </is>
      </c>
      <c r="H3495" t="inlineStr">
        <is>
          <t>PAGTO ELETRON  COBRANCA NF 17587</t>
        </is>
      </c>
      <c r="I3495" t="n">
        <v>-83.25</v>
      </c>
    </row>
    <row r="3496">
      <c r="A3496" t="n">
        <v>56449</v>
      </c>
      <c r="B3496" t="n">
        <v>115</v>
      </c>
      <c r="C3496" t="inlineStr">
        <is>
          <t>Love - Shibari - Bradesco</t>
        </is>
      </c>
      <c r="D3496" t="n">
        <v>128</v>
      </c>
      <c r="E3496" t="inlineStr">
        <is>
          <t>Love Cabaret</t>
        </is>
      </c>
      <c r="F3496" s="27" t="n">
        <v>45679.5</v>
      </c>
      <c r="G3496" t="inlineStr">
        <is>
          <t>DEBITO</t>
        </is>
      </c>
      <c r="H3496" t="inlineStr">
        <is>
          <t>PAGTO ELETRON  COBRANCA NF 40856</t>
        </is>
      </c>
      <c r="I3496" t="n">
        <v>-1160.23</v>
      </c>
    </row>
    <row r="3497">
      <c r="A3497" t="n">
        <v>56450</v>
      </c>
      <c r="B3497" t="n">
        <v>115</v>
      </c>
      <c r="C3497" t="inlineStr">
        <is>
          <t>Love - Shibari - Bradesco</t>
        </is>
      </c>
      <c r="D3497" t="n">
        <v>128</v>
      </c>
      <c r="E3497" t="inlineStr">
        <is>
          <t>Love Cabaret</t>
        </is>
      </c>
      <c r="F3497" s="27" t="n">
        <v>45679.5</v>
      </c>
      <c r="G3497" t="inlineStr">
        <is>
          <t>DEBITO</t>
        </is>
      </c>
      <c r="H3497" t="inlineStr">
        <is>
          <t>PAGTO ELETRON  COBRANCA NF 292779</t>
        </is>
      </c>
      <c r="I3497" t="n">
        <v>-457.65</v>
      </c>
    </row>
    <row r="3498">
      <c r="A3498" t="n">
        <v>56446</v>
      </c>
      <c r="B3498" t="n">
        <v>115</v>
      </c>
      <c r="C3498" t="inlineStr">
        <is>
          <t>Love - Shibari - Bradesco</t>
        </is>
      </c>
      <c r="D3498" t="n">
        <v>128</v>
      </c>
      <c r="E3498" t="inlineStr">
        <is>
          <t>Love Cabaret</t>
        </is>
      </c>
      <c r="F3498" s="27" t="n">
        <v>45678.5</v>
      </c>
      <c r="G3498" t="inlineStr">
        <is>
          <t>CREDITO</t>
        </is>
      </c>
      <c r="H3498" t="inlineStr">
        <is>
          <t>TRANSFERENCIA PIX REM: Zig Tecnologia S.A.   21/01</t>
        </is>
      </c>
      <c r="I3498" t="n">
        <v>9539.58</v>
      </c>
    </row>
    <row r="3499">
      <c r="A3499" t="n">
        <v>56445</v>
      </c>
      <c r="B3499" t="n">
        <v>115</v>
      </c>
      <c r="C3499" t="inlineStr">
        <is>
          <t>Love - Shibari - Bradesco</t>
        </is>
      </c>
      <c r="D3499" t="n">
        <v>128</v>
      </c>
      <c r="E3499" t="inlineStr">
        <is>
          <t>Love Cabaret</t>
        </is>
      </c>
      <c r="F3499" s="27" t="n">
        <v>45678.5</v>
      </c>
      <c r="G3499" t="inlineStr">
        <is>
          <t>CREDITO</t>
        </is>
      </c>
      <c r="H3499" t="inlineStr">
        <is>
          <t>TED-TRANSF ELET DISPON REMET.KZEMOS BRASIL EVENTO</t>
        </is>
      </c>
      <c r="I3499" t="n">
        <v>11805.94</v>
      </c>
    </row>
    <row r="3500">
      <c r="A3500" t="n">
        <v>56428</v>
      </c>
      <c r="B3500" t="n">
        <v>115</v>
      </c>
      <c r="C3500" t="inlineStr">
        <is>
          <t>Love - Shibari - Bradesco</t>
        </is>
      </c>
      <c r="D3500" t="n">
        <v>128</v>
      </c>
      <c r="E3500" t="inlineStr">
        <is>
          <t>Love Cabaret</t>
        </is>
      </c>
      <c r="F3500" s="27" t="n">
        <v>45677.5</v>
      </c>
      <c r="G3500" t="inlineStr">
        <is>
          <t>DEBITO</t>
        </is>
      </c>
      <c r="H3500" t="inlineStr">
        <is>
          <t>PAGTO ELETRON  COBRANCA NF 33528</t>
        </is>
      </c>
      <c r="I3500" t="n">
        <v>-326.75</v>
      </c>
    </row>
    <row r="3501">
      <c r="A3501" t="n">
        <v>56444</v>
      </c>
      <c r="B3501" t="n">
        <v>115</v>
      </c>
      <c r="C3501" t="inlineStr">
        <is>
          <t>Love - Shibari - Bradesco</t>
        </is>
      </c>
      <c r="D3501" t="n">
        <v>128</v>
      </c>
      <c r="E3501" t="inlineStr">
        <is>
          <t>Love Cabaret</t>
        </is>
      </c>
      <c r="F3501" s="27" t="n">
        <v>45677.5</v>
      </c>
      <c r="G3501" t="inlineStr">
        <is>
          <t>DEBITO</t>
        </is>
      </c>
      <c r="H3501" t="inlineStr">
        <is>
          <t>CONTA DE AGUA E ESGOTO INTERNET --SABESP/SP</t>
        </is>
      </c>
      <c r="I3501" t="n">
        <v>-153.96</v>
      </c>
    </row>
    <row r="3502">
      <c r="A3502" t="n">
        <v>56429</v>
      </c>
      <c r="B3502" t="n">
        <v>115</v>
      </c>
      <c r="C3502" t="inlineStr">
        <is>
          <t>Love - Shibari - Bradesco</t>
        </is>
      </c>
      <c r="D3502" t="n">
        <v>128</v>
      </c>
      <c r="E3502" t="inlineStr">
        <is>
          <t>Love Cabaret</t>
        </is>
      </c>
      <c r="F3502" s="27" t="n">
        <v>45677.5</v>
      </c>
      <c r="G3502" t="inlineStr">
        <is>
          <t>DEBITO</t>
        </is>
      </c>
      <c r="H3502" t="inlineStr">
        <is>
          <t>PAGTO ELETRONICO TRIBUTO INTERNET --RECEITA FEDERAL/SP</t>
        </is>
      </c>
      <c r="I3502" t="n">
        <v>-827.97</v>
      </c>
    </row>
    <row r="3503">
      <c r="A3503" t="n">
        <v>56430</v>
      </c>
      <c r="B3503" t="n">
        <v>115</v>
      </c>
      <c r="C3503" t="inlineStr">
        <is>
          <t>Love - Shibari - Bradesco</t>
        </is>
      </c>
      <c r="D3503" t="n">
        <v>128</v>
      </c>
      <c r="E3503" t="inlineStr">
        <is>
          <t>Love Cabaret</t>
        </is>
      </c>
      <c r="F3503" s="27" t="n">
        <v>45677.5</v>
      </c>
      <c r="G3503" t="inlineStr">
        <is>
          <t>DEBITO</t>
        </is>
      </c>
      <c r="H3503" t="inlineStr">
        <is>
          <t>PAGTO ELETRONICO TRIBUTO INTERNET --RECEITA FEDERAL/SP</t>
        </is>
      </c>
      <c r="I3503" t="n">
        <v>-509.37</v>
      </c>
    </row>
    <row r="3504">
      <c r="A3504" t="n">
        <v>56431</v>
      </c>
      <c r="B3504" t="n">
        <v>115</v>
      </c>
      <c r="C3504" t="inlineStr">
        <is>
          <t>Love - Shibari - Bradesco</t>
        </is>
      </c>
      <c r="D3504" t="n">
        <v>128</v>
      </c>
      <c r="E3504" t="inlineStr">
        <is>
          <t>Love Cabaret</t>
        </is>
      </c>
      <c r="F3504" s="27" t="n">
        <v>45677.5</v>
      </c>
      <c r="G3504" t="inlineStr">
        <is>
          <t>DEBITO</t>
        </is>
      </c>
      <c r="H3504" t="inlineStr">
        <is>
          <t>PAGTO ELETRONICO TRIBUTO INTERNET --RECEITA FEDERAL/SP</t>
        </is>
      </c>
      <c r="I3504" t="n">
        <v>-131.06</v>
      </c>
    </row>
    <row r="3505">
      <c r="A3505" t="n">
        <v>56432</v>
      </c>
      <c r="B3505" t="n">
        <v>115</v>
      </c>
      <c r="C3505" t="inlineStr">
        <is>
          <t>Love - Shibari - Bradesco</t>
        </is>
      </c>
      <c r="D3505" t="n">
        <v>128</v>
      </c>
      <c r="E3505" t="inlineStr">
        <is>
          <t>Love Cabaret</t>
        </is>
      </c>
      <c r="F3505" s="27" t="n">
        <v>45677.5</v>
      </c>
      <c r="G3505" t="inlineStr">
        <is>
          <t>DEBITO</t>
        </is>
      </c>
      <c r="H3505" t="inlineStr">
        <is>
          <t>PAGTO ELETRONICO TRIBUTO INTERNET --RECEITA FEDERAL/SP</t>
        </is>
      </c>
      <c r="I3505" t="n">
        <v>-682</v>
      </c>
    </row>
    <row r="3506">
      <c r="A3506" t="n">
        <v>56433</v>
      </c>
      <c r="B3506" t="n">
        <v>115</v>
      </c>
      <c r="C3506" t="inlineStr">
        <is>
          <t>Love - Shibari - Bradesco</t>
        </is>
      </c>
      <c r="D3506" t="n">
        <v>128</v>
      </c>
      <c r="E3506" t="inlineStr">
        <is>
          <t>Love Cabaret</t>
        </is>
      </c>
      <c r="F3506" s="27" t="n">
        <v>45677.5</v>
      </c>
      <c r="G3506" t="inlineStr">
        <is>
          <t>DEBITO</t>
        </is>
      </c>
      <c r="H3506" t="inlineStr">
        <is>
          <t>PAGTO ELETRONICO TRIBUTO INTERNET --RECEITA FEDERAL/SP</t>
        </is>
      </c>
      <c r="I3506" t="n">
        <v>-105.75</v>
      </c>
    </row>
    <row r="3507">
      <c r="A3507" t="n">
        <v>56434</v>
      </c>
      <c r="B3507" t="n">
        <v>115</v>
      </c>
      <c r="C3507" t="inlineStr">
        <is>
          <t>Love - Shibari - Bradesco</t>
        </is>
      </c>
      <c r="D3507" t="n">
        <v>128</v>
      </c>
      <c r="E3507" t="inlineStr">
        <is>
          <t>Love Cabaret</t>
        </is>
      </c>
      <c r="F3507" s="27" t="n">
        <v>45677.5</v>
      </c>
      <c r="G3507" t="inlineStr">
        <is>
          <t>DEBITO</t>
        </is>
      </c>
      <c r="H3507" t="inlineStr">
        <is>
          <t>PAGTO ELETRONICO TRIBUTO INTERNET --RECEITA FEDERAL/SP</t>
        </is>
      </c>
      <c r="I3507" t="n">
        <v>-1793.34</v>
      </c>
    </row>
    <row r="3508">
      <c r="A3508" t="n">
        <v>56435</v>
      </c>
      <c r="B3508" t="n">
        <v>115</v>
      </c>
      <c r="C3508" t="inlineStr">
        <is>
          <t>Love - Shibari - Bradesco</t>
        </is>
      </c>
      <c r="D3508" t="n">
        <v>128</v>
      </c>
      <c r="E3508" t="inlineStr">
        <is>
          <t>Love Cabaret</t>
        </is>
      </c>
      <c r="F3508" s="27" t="n">
        <v>45677.5</v>
      </c>
      <c r="G3508" t="inlineStr">
        <is>
          <t>DEBITO</t>
        </is>
      </c>
      <c r="H3508" t="inlineStr">
        <is>
          <t>PAGTO ELETRONICO TRIBUTO INTERNET --RECEITA FEDERAL/SP</t>
        </is>
      </c>
      <c r="I3508" t="n">
        <v>-4807.32</v>
      </c>
    </row>
    <row r="3509">
      <c r="A3509" t="n">
        <v>56436</v>
      </c>
      <c r="B3509" t="n">
        <v>115</v>
      </c>
      <c r="C3509" t="inlineStr">
        <is>
          <t>Love - Shibari - Bradesco</t>
        </is>
      </c>
      <c r="D3509" t="n">
        <v>128</v>
      </c>
      <c r="E3509" t="inlineStr">
        <is>
          <t>Love Cabaret</t>
        </is>
      </c>
      <c r="F3509" s="27" t="n">
        <v>45677.5</v>
      </c>
      <c r="G3509" t="inlineStr">
        <is>
          <t>DEBITO</t>
        </is>
      </c>
      <c r="H3509" t="inlineStr">
        <is>
          <t>PAGTO ELETRONICO TRIBUTO INTERNET --SP/SEFAZ-DARE</t>
        </is>
      </c>
      <c r="I3509" t="n">
        <v>-5642.48</v>
      </c>
    </row>
    <row r="3510">
      <c r="A3510" t="n">
        <v>56437</v>
      </c>
      <c r="B3510" t="n">
        <v>115</v>
      </c>
      <c r="C3510" t="inlineStr">
        <is>
          <t>Love - Shibari - Bradesco</t>
        </is>
      </c>
      <c r="D3510" t="n">
        <v>128</v>
      </c>
      <c r="E3510" t="inlineStr">
        <is>
          <t>Love Cabaret</t>
        </is>
      </c>
      <c r="F3510" s="27" t="n">
        <v>45677.5</v>
      </c>
      <c r="G3510" t="inlineStr">
        <is>
          <t>DEBITO</t>
        </is>
      </c>
      <c r="H3510" t="inlineStr">
        <is>
          <t>ADIANT SALARIO VIA NET</t>
        </is>
      </c>
      <c r="I3510" t="n">
        <v>-1615.65</v>
      </c>
    </row>
    <row r="3511">
      <c r="A3511" t="n">
        <v>56438</v>
      </c>
      <c r="B3511" t="n">
        <v>115</v>
      </c>
      <c r="C3511" t="inlineStr">
        <is>
          <t>Love - Shibari - Bradesco</t>
        </is>
      </c>
      <c r="D3511" t="n">
        <v>128</v>
      </c>
      <c r="E3511" t="inlineStr">
        <is>
          <t>Love Cabaret</t>
        </is>
      </c>
      <c r="F3511" s="27" t="n">
        <v>45677.5</v>
      </c>
      <c r="G3511" t="inlineStr">
        <is>
          <t>DEBITO</t>
        </is>
      </c>
      <c r="H3511" t="inlineStr">
        <is>
          <t>TRANSFERENCIA PIX DES: PHELLIP ATILA         20/01</t>
        </is>
      </c>
      <c r="I3511" t="n">
        <v>-1200</v>
      </c>
    </row>
    <row r="3512">
      <c r="A3512" t="n">
        <v>56439</v>
      </c>
      <c r="B3512" t="n">
        <v>115</v>
      </c>
      <c r="C3512" t="inlineStr">
        <is>
          <t>Love - Shibari - Bradesco</t>
        </is>
      </c>
      <c r="D3512" t="n">
        <v>128</v>
      </c>
      <c r="E3512" t="inlineStr">
        <is>
          <t>Love Cabaret</t>
        </is>
      </c>
      <c r="F3512" s="27" t="n">
        <v>45677.5</v>
      </c>
      <c r="G3512" t="inlineStr">
        <is>
          <t>DEBITO</t>
        </is>
      </c>
      <c r="H3512" t="inlineStr">
        <is>
          <t>TRANSFERENCIA PIX DES: STUDIO HIKE           20/01</t>
        </is>
      </c>
      <c r="I3512" t="n">
        <v>-2000</v>
      </c>
    </row>
    <row r="3513">
      <c r="A3513" t="n">
        <v>56440</v>
      </c>
      <c r="B3513" t="n">
        <v>115</v>
      </c>
      <c r="C3513" t="inlineStr">
        <is>
          <t>Love - Shibari - Bradesco</t>
        </is>
      </c>
      <c r="D3513" t="n">
        <v>128</v>
      </c>
      <c r="E3513" t="inlineStr">
        <is>
          <t>Love Cabaret</t>
        </is>
      </c>
      <c r="F3513" s="27" t="n">
        <v>45677.5</v>
      </c>
      <c r="G3513" t="inlineStr">
        <is>
          <t>DEBITO</t>
        </is>
      </c>
      <c r="H3513" t="inlineStr">
        <is>
          <t>TRANSFERENCIA PIX DES: AMANDA FUCCIA DE SOUZ 20/01</t>
        </is>
      </c>
      <c r="I3513" t="n">
        <v>-1350</v>
      </c>
    </row>
    <row r="3514">
      <c r="A3514" t="n">
        <v>56441</v>
      </c>
      <c r="B3514" t="n">
        <v>115</v>
      </c>
      <c r="C3514" t="inlineStr">
        <is>
          <t>Love - Shibari - Bradesco</t>
        </is>
      </c>
      <c r="D3514" t="n">
        <v>128</v>
      </c>
      <c r="E3514" t="inlineStr">
        <is>
          <t>Love Cabaret</t>
        </is>
      </c>
      <c r="F3514" s="27" t="n">
        <v>45677.5</v>
      </c>
      <c r="G3514" t="inlineStr">
        <is>
          <t>DEBITO</t>
        </is>
      </c>
      <c r="H3514" t="inlineStr">
        <is>
          <t>TRANSFERENCIA PIX DES: TEMPUS FUGIT PARTICIP 20/01</t>
        </is>
      </c>
      <c r="I3514" t="n">
        <v>-150</v>
      </c>
    </row>
    <row r="3515">
      <c r="A3515" t="n">
        <v>56442</v>
      </c>
      <c r="B3515" t="n">
        <v>115</v>
      </c>
      <c r="C3515" t="inlineStr">
        <is>
          <t>Love - Shibari - Bradesco</t>
        </is>
      </c>
      <c r="D3515" t="n">
        <v>128</v>
      </c>
      <c r="E3515" t="inlineStr">
        <is>
          <t>Love Cabaret</t>
        </is>
      </c>
      <c r="F3515" s="27" t="n">
        <v>45677.5</v>
      </c>
      <c r="G3515" t="inlineStr">
        <is>
          <t>DEBITO</t>
        </is>
      </c>
      <c r="H3515" t="inlineStr">
        <is>
          <t>PIX QR CODE DINAMICO DES: CAIXA ECONOMICA FEDER 20/01</t>
        </is>
      </c>
      <c r="I3515" t="n">
        <v>-1335.36</v>
      </c>
    </row>
    <row r="3516">
      <c r="A3516" t="n">
        <v>56443</v>
      </c>
      <c r="B3516" t="n">
        <v>115</v>
      </c>
      <c r="C3516" t="inlineStr">
        <is>
          <t>Love - Shibari - Bradesco</t>
        </is>
      </c>
      <c r="D3516" t="n">
        <v>128</v>
      </c>
      <c r="E3516" t="inlineStr">
        <is>
          <t>Love Cabaret</t>
        </is>
      </c>
      <c r="F3516" s="27" t="n">
        <v>45677.5</v>
      </c>
      <c r="G3516" t="inlineStr">
        <is>
          <t>DEBITO</t>
        </is>
      </c>
      <c r="H3516" t="inlineStr">
        <is>
          <t>PIX QR CODE DINAMICO DES: CAIXA ECONOMICA FEDER 20/01</t>
        </is>
      </c>
      <c r="I3516" t="n">
        <v>-477.44</v>
      </c>
    </row>
    <row r="3517">
      <c r="A3517" t="n">
        <v>56426</v>
      </c>
      <c r="B3517" t="n">
        <v>115</v>
      </c>
      <c r="C3517" t="inlineStr">
        <is>
          <t>Love - Shibari - Bradesco</t>
        </is>
      </c>
      <c r="D3517" t="n">
        <v>128</v>
      </c>
      <c r="E3517" t="inlineStr">
        <is>
          <t>Love Cabaret</t>
        </is>
      </c>
      <c r="F3517" s="27" t="n">
        <v>45677.5</v>
      </c>
      <c r="G3517" t="inlineStr">
        <is>
          <t>DEBITO</t>
        </is>
      </c>
      <c r="H3517" t="inlineStr">
        <is>
          <t>PAGTO ELETRON  COBRANCA NF 12203</t>
        </is>
      </c>
      <c r="I3517" t="n">
        <v>-1599.95</v>
      </c>
    </row>
    <row r="3518">
      <c r="A3518" t="n">
        <v>56419</v>
      </c>
      <c r="B3518" t="n">
        <v>115</v>
      </c>
      <c r="C3518" t="inlineStr">
        <is>
          <t>Love - Shibari - Bradesco</t>
        </is>
      </c>
      <c r="D3518" t="n">
        <v>128</v>
      </c>
      <c r="E3518" t="inlineStr">
        <is>
          <t>Love Cabaret</t>
        </is>
      </c>
      <c r="F3518" s="27" t="n">
        <v>45677.5</v>
      </c>
      <c r="G3518" t="inlineStr">
        <is>
          <t>CREDITO</t>
        </is>
      </c>
      <c r="H3518" t="inlineStr">
        <is>
          <t>TRANSFERENCIA PIX REM: Zig Tecnologia S.A.   20/01</t>
        </is>
      </c>
      <c r="I3518" t="n">
        <v>38846.8</v>
      </c>
    </row>
    <row r="3519">
      <c r="A3519" t="n">
        <v>56420</v>
      </c>
      <c r="B3519" t="n">
        <v>115</v>
      </c>
      <c r="C3519" t="inlineStr">
        <is>
          <t>Love - Shibari - Bradesco</t>
        </is>
      </c>
      <c r="D3519" t="n">
        <v>128</v>
      </c>
      <c r="E3519" t="inlineStr">
        <is>
          <t>Love Cabaret</t>
        </is>
      </c>
      <c r="F3519" s="27" t="n">
        <v>45677.5</v>
      </c>
      <c r="G3519" t="inlineStr">
        <is>
          <t>CREDITO</t>
        </is>
      </c>
      <c r="H3519" t="inlineStr">
        <is>
          <t>TRANSFERENCIA PIX REM: Henrique Baum Bertott 20/01</t>
        </is>
      </c>
      <c r="I3519" t="n">
        <v>289.28</v>
      </c>
    </row>
    <row r="3520">
      <c r="A3520" t="n">
        <v>56421</v>
      </c>
      <c r="B3520" t="n">
        <v>115</v>
      </c>
      <c r="C3520" t="inlineStr">
        <is>
          <t>Love - Shibari - Bradesco</t>
        </is>
      </c>
      <c r="D3520" t="n">
        <v>128</v>
      </c>
      <c r="E3520" t="inlineStr">
        <is>
          <t>Love Cabaret</t>
        </is>
      </c>
      <c r="F3520" s="27" t="n">
        <v>45677.5</v>
      </c>
      <c r="G3520" t="inlineStr">
        <is>
          <t>DEBITO</t>
        </is>
      </c>
      <c r="H3520" t="inlineStr">
        <is>
          <t>PAGTO ELETRON  COBRANCA NF 363676</t>
        </is>
      </c>
      <c r="I3520" t="n">
        <v>-218.8</v>
      </c>
    </row>
    <row r="3521">
      <c r="A3521" t="n">
        <v>56422</v>
      </c>
      <c r="B3521" t="n">
        <v>115</v>
      </c>
      <c r="C3521" t="inlineStr">
        <is>
          <t>Love - Shibari - Bradesco</t>
        </is>
      </c>
      <c r="D3521" t="n">
        <v>128</v>
      </c>
      <c r="E3521" t="inlineStr">
        <is>
          <t>Love Cabaret</t>
        </is>
      </c>
      <c r="F3521" s="27" t="n">
        <v>45677.5</v>
      </c>
      <c r="G3521" t="inlineStr">
        <is>
          <t>DEBITO</t>
        </is>
      </c>
      <c r="H3521" t="inlineStr">
        <is>
          <t>PAGTO ELETRON  COBRANCA NF 10197</t>
        </is>
      </c>
      <c r="I3521" t="n">
        <v>-193.1</v>
      </c>
    </row>
    <row r="3522">
      <c r="A3522" t="n">
        <v>56423</v>
      </c>
      <c r="B3522" t="n">
        <v>115</v>
      </c>
      <c r="C3522" t="inlineStr">
        <is>
          <t>Love - Shibari - Bradesco</t>
        </is>
      </c>
      <c r="D3522" t="n">
        <v>128</v>
      </c>
      <c r="E3522" t="inlineStr">
        <is>
          <t>Love Cabaret</t>
        </is>
      </c>
      <c r="F3522" s="27" t="n">
        <v>45677.5</v>
      </c>
      <c r="G3522" t="inlineStr">
        <is>
          <t>DEBITO</t>
        </is>
      </c>
      <c r="H3522" t="inlineStr">
        <is>
          <t>PAGTO ELETRON  COBRANCA NF 72562</t>
        </is>
      </c>
      <c r="I3522" t="n">
        <v>-399</v>
      </c>
    </row>
    <row r="3523">
      <c r="A3523" t="n">
        <v>56424</v>
      </c>
      <c r="B3523" t="n">
        <v>115</v>
      </c>
      <c r="C3523" t="inlineStr">
        <is>
          <t>Love - Shibari - Bradesco</t>
        </is>
      </c>
      <c r="D3523" t="n">
        <v>128</v>
      </c>
      <c r="E3523" t="inlineStr">
        <is>
          <t>Love Cabaret</t>
        </is>
      </c>
      <c r="F3523" s="27" t="n">
        <v>45677.5</v>
      </c>
      <c r="G3523" t="inlineStr">
        <is>
          <t>DEBITO</t>
        </is>
      </c>
      <c r="H3523" t="inlineStr">
        <is>
          <t>PAGTO ELETRON  COBRANCA RECIBO 174856</t>
        </is>
      </c>
      <c r="I3523" t="n">
        <v>-515</v>
      </c>
    </row>
    <row r="3524">
      <c r="A3524" t="n">
        <v>56425</v>
      </c>
      <c r="B3524" t="n">
        <v>115</v>
      </c>
      <c r="C3524" t="inlineStr">
        <is>
          <t>Love - Shibari - Bradesco</t>
        </is>
      </c>
      <c r="D3524" t="n">
        <v>128</v>
      </c>
      <c r="E3524" t="inlineStr">
        <is>
          <t>Love Cabaret</t>
        </is>
      </c>
      <c r="F3524" s="27" t="n">
        <v>45677.5</v>
      </c>
      <c r="G3524" t="inlineStr">
        <is>
          <t>DEBITO</t>
        </is>
      </c>
      <c r="H3524" t="inlineStr">
        <is>
          <t>PAGTO ELETRON  COBRANCA NF 21618</t>
        </is>
      </c>
      <c r="I3524" t="n">
        <v>-588</v>
      </c>
    </row>
    <row r="3525">
      <c r="A3525" t="n">
        <v>56427</v>
      </c>
      <c r="B3525" t="n">
        <v>115</v>
      </c>
      <c r="C3525" t="inlineStr">
        <is>
          <t>Love - Shibari - Bradesco</t>
        </is>
      </c>
      <c r="D3525" t="n">
        <v>128</v>
      </c>
      <c r="E3525" t="inlineStr">
        <is>
          <t>Love Cabaret</t>
        </is>
      </c>
      <c r="F3525" s="27" t="n">
        <v>45677.5</v>
      </c>
      <c r="G3525" t="inlineStr">
        <is>
          <t>DEBITO</t>
        </is>
      </c>
      <c r="H3525" t="inlineStr">
        <is>
          <t>PAGTO ELETRON  COBRANCA NF 35937</t>
        </is>
      </c>
      <c r="I3525" t="n">
        <v>-501.55</v>
      </c>
    </row>
    <row r="3526">
      <c r="A3526" t="n">
        <v>56271</v>
      </c>
      <c r="B3526" t="n">
        <v>115</v>
      </c>
      <c r="C3526" t="inlineStr">
        <is>
          <t>Love - Shibari - Bradesco</t>
        </is>
      </c>
      <c r="D3526" t="n">
        <v>128</v>
      </c>
      <c r="E3526" t="inlineStr">
        <is>
          <t>Love Cabaret</t>
        </is>
      </c>
      <c r="F3526" s="27" t="n">
        <v>45674.5</v>
      </c>
      <c r="G3526" t="inlineStr">
        <is>
          <t>DEBITO</t>
        </is>
      </c>
      <c r="H3526" t="inlineStr">
        <is>
          <t>TARIFA BANCARIA TRANSF PGTO PIX</t>
        </is>
      </c>
      <c r="I3526" t="n">
        <v>-9</v>
      </c>
    </row>
    <row r="3527">
      <c r="A3527" t="n">
        <v>56270</v>
      </c>
      <c r="B3527" t="n">
        <v>115</v>
      </c>
      <c r="C3527" t="inlineStr">
        <is>
          <t>Love - Shibari - Bradesco</t>
        </is>
      </c>
      <c r="D3527" t="n">
        <v>128</v>
      </c>
      <c r="E3527" t="inlineStr">
        <is>
          <t>Love Cabaret</t>
        </is>
      </c>
      <c r="F3527" s="27" t="n">
        <v>45674.5</v>
      </c>
      <c r="G3527" t="inlineStr">
        <is>
          <t>DEBITO</t>
        </is>
      </c>
      <c r="H3527" t="inlineStr">
        <is>
          <t>PAGTO ELETRON  COBRANCA DOC 504106542</t>
        </is>
      </c>
      <c r="I3527" t="n">
        <v>-8050</v>
      </c>
    </row>
    <row r="3528">
      <c r="A3528" t="n">
        <v>56269</v>
      </c>
      <c r="B3528" t="n">
        <v>115</v>
      </c>
      <c r="C3528" t="inlineStr">
        <is>
          <t>Love - Shibari - Bradesco</t>
        </is>
      </c>
      <c r="D3528" t="n">
        <v>128</v>
      </c>
      <c r="E3528" t="inlineStr">
        <is>
          <t>Love Cabaret</t>
        </is>
      </c>
      <c r="F3528" s="27" t="n">
        <v>45674.5</v>
      </c>
      <c r="G3528" t="inlineStr">
        <is>
          <t>CREDITO</t>
        </is>
      </c>
      <c r="H3528" t="inlineStr">
        <is>
          <t>TED-TRANSF ELET DISPON REMET.CKBR BEBIDAS LTDA</t>
        </is>
      </c>
      <c r="I3528" t="n">
        <v>454300</v>
      </c>
    </row>
    <row r="3529">
      <c r="A3529" t="n">
        <v>56267</v>
      </c>
      <c r="B3529" t="n">
        <v>115</v>
      </c>
      <c r="C3529" t="inlineStr">
        <is>
          <t>Love - Shibari - Bradesco</t>
        </is>
      </c>
      <c r="D3529" t="n">
        <v>128</v>
      </c>
      <c r="E3529" t="inlineStr">
        <is>
          <t>Love Cabaret</t>
        </is>
      </c>
      <c r="F3529" s="27" t="n">
        <v>45673.5</v>
      </c>
      <c r="G3529" t="inlineStr">
        <is>
          <t>DEBITO</t>
        </is>
      </c>
      <c r="H3529" t="inlineStr">
        <is>
          <t>TARIFA BANCARIA TRANSF PGTO PIX</t>
        </is>
      </c>
      <c r="I3529" t="n">
        <v>-9</v>
      </c>
    </row>
    <row r="3530">
      <c r="A3530" t="n">
        <v>56266</v>
      </c>
      <c r="B3530" t="n">
        <v>115</v>
      </c>
      <c r="C3530" t="inlineStr">
        <is>
          <t>Love - Shibari - Bradesco</t>
        </is>
      </c>
      <c r="D3530" t="n">
        <v>128</v>
      </c>
      <c r="E3530" t="inlineStr">
        <is>
          <t>Love Cabaret</t>
        </is>
      </c>
      <c r="F3530" s="27" t="n">
        <v>45673.5</v>
      </c>
      <c r="G3530" t="inlineStr">
        <is>
          <t>DEBITO</t>
        </is>
      </c>
      <c r="H3530" t="inlineStr">
        <is>
          <t>TARIFA BANCARIA TRANSF PGTO PIX</t>
        </is>
      </c>
      <c r="I3530" t="n">
        <v>-9</v>
      </c>
    </row>
    <row r="3531">
      <c r="A3531" t="n">
        <v>56265</v>
      </c>
      <c r="B3531" t="n">
        <v>115</v>
      </c>
      <c r="C3531" t="inlineStr">
        <is>
          <t>Love - Shibari - Bradesco</t>
        </is>
      </c>
      <c r="D3531" t="n">
        <v>128</v>
      </c>
      <c r="E3531" t="inlineStr">
        <is>
          <t>Love Cabaret</t>
        </is>
      </c>
      <c r="F3531" s="27" t="n">
        <v>45673.5</v>
      </c>
      <c r="G3531" t="inlineStr">
        <is>
          <t>DEBITO</t>
        </is>
      </c>
      <c r="H3531" t="inlineStr">
        <is>
          <t>TARIFA BANCARIA TRANSF PGTO PIX</t>
        </is>
      </c>
      <c r="I3531" t="n">
        <v>-5.3</v>
      </c>
    </row>
    <row r="3532">
      <c r="A3532" t="n">
        <v>55016</v>
      </c>
      <c r="B3532" t="n">
        <v>115</v>
      </c>
      <c r="C3532" t="inlineStr">
        <is>
          <t>Love - Shibari - Bradesco</t>
        </is>
      </c>
      <c r="D3532" t="n">
        <v>128</v>
      </c>
      <c r="E3532" t="inlineStr">
        <is>
          <t>Love Cabaret</t>
        </is>
      </c>
      <c r="F3532" s="27" t="n">
        <v>45672.5</v>
      </c>
      <c r="G3532" t="inlineStr">
        <is>
          <t>DEBITO</t>
        </is>
      </c>
      <c r="H3532" t="inlineStr">
        <is>
          <t>PAGTO ELETRON  COBRANCA NF 25503</t>
        </is>
      </c>
      <c r="I3532" t="n">
        <v>-305.32</v>
      </c>
    </row>
    <row r="3533">
      <c r="A3533" t="n">
        <v>55018</v>
      </c>
      <c r="B3533" t="n">
        <v>115</v>
      </c>
      <c r="C3533" t="inlineStr">
        <is>
          <t>Love - Shibari - Bradesco</t>
        </is>
      </c>
      <c r="D3533" t="n">
        <v>128</v>
      </c>
      <c r="E3533" t="inlineStr">
        <is>
          <t>Love Cabaret</t>
        </is>
      </c>
      <c r="F3533" s="27" t="n">
        <v>45672.5</v>
      </c>
      <c r="G3533" t="inlineStr">
        <is>
          <t>DEBITO</t>
        </is>
      </c>
      <c r="H3533" t="inlineStr">
        <is>
          <t>TARIFA BANCARIA Max Empresarial 1</t>
        </is>
      </c>
      <c r="I3533" t="n">
        <v>-171.7</v>
      </c>
    </row>
    <row r="3534">
      <c r="A3534" t="n">
        <v>55017</v>
      </c>
      <c r="B3534" t="n">
        <v>115</v>
      </c>
      <c r="C3534" t="inlineStr">
        <is>
          <t>Love - Shibari - Bradesco</t>
        </is>
      </c>
      <c r="D3534" t="n">
        <v>128</v>
      </c>
      <c r="E3534" t="inlineStr">
        <is>
          <t>Love Cabaret</t>
        </is>
      </c>
      <c r="F3534" s="27" t="n">
        <v>45672.5</v>
      </c>
      <c r="G3534" t="inlineStr">
        <is>
          <t>DEBITO</t>
        </is>
      </c>
      <c r="H3534" t="inlineStr">
        <is>
          <t>PAGTO ELETRON  COBRANCA NF 434149</t>
        </is>
      </c>
      <c r="I3534" t="n">
        <v>-261.5</v>
      </c>
    </row>
    <row r="3535">
      <c r="A3535" t="n">
        <v>55019</v>
      </c>
      <c r="B3535" t="n">
        <v>115</v>
      </c>
      <c r="C3535" t="inlineStr">
        <is>
          <t>Love - Shibari - Bradesco</t>
        </is>
      </c>
      <c r="D3535" t="n">
        <v>128</v>
      </c>
      <c r="E3535" t="inlineStr">
        <is>
          <t>Love Cabaret</t>
        </is>
      </c>
      <c r="F3535" s="27" t="n">
        <v>45672.5</v>
      </c>
      <c r="G3535" t="inlineStr">
        <is>
          <t>DEBITO</t>
        </is>
      </c>
      <c r="H3535" t="inlineStr">
        <is>
          <t>TRANSFERENCIA PIX DES: ELETRO TERRIVEL LTDA  15/01</t>
        </is>
      </c>
      <c r="I3535" t="n">
        <v>-923</v>
      </c>
    </row>
    <row r="3536">
      <c r="A3536" t="n">
        <v>55015</v>
      </c>
      <c r="B3536" t="n">
        <v>115</v>
      </c>
      <c r="C3536" t="inlineStr">
        <is>
          <t>Love - Shibari - Bradesco</t>
        </is>
      </c>
      <c r="D3536" t="n">
        <v>128</v>
      </c>
      <c r="E3536" t="inlineStr">
        <is>
          <t>Love Cabaret</t>
        </is>
      </c>
      <c r="F3536" s="27" t="n">
        <v>45672.5</v>
      </c>
      <c r="G3536" t="inlineStr">
        <is>
          <t>DEBITO</t>
        </is>
      </c>
      <c r="H3536" t="inlineStr">
        <is>
          <t>PAGTO ELETRON  COBRANCA 502267672</t>
        </is>
      </c>
      <c r="I3536" t="n">
        <v>-12001</v>
      </c>
    </row>
    <row r="3537">
      <c r="A3537" t="n">
        <v>55010</v>
      </c>
      <c r="B3537" t="n">
        <v>115</v>
      </c>
      <c r="C3537" t="inlineStr">
        <is>
          <t>Love - Shibari - Bradesco</t>
        </is>
      </c>
      <c r="D3537" t="n">
        <v>128</v>
      </c>
      <c r="E3537" t="inlineStr">
        <is>
          <t>Love Cabaret</t>
        </is>
      </c>
      <c r="F3537" s="27" t="n">
        <v>45671.5</v>
      </c>
      <c r="G3537" t="inlineStr">
        <is>
          <t>CREDITO</t>
        </is>
      </c>
      <c r="H3537" t="inlineStr">
        <is>
          <t>TRANSFERENCIA PIX REM: Zig Tecnologia S.A.   14/01</t>
        </is>
      </c>
      <c r="I3537" t="n">
        <v>17273.66</v>
      </c>
    </row>
    <row r="3538">
      <c r="A3538" t="n">
        <v>55013</v>
      </c>
      <c r="B3538" t="n">
        <v>115</v>
      </c>
      <c r="C3538" t="inlineStr">
        <is>
          <t>Love - Shibari - Bradesco</t>
        </is>
      </c>
      <c r="D3538" t="n">
        <v>128</v>
      </c>
      <c r="E3538" t="inlineStr">
        <is>
          <t>Love Cabaret</t>
        </is>
      </c>
      <c r="F3538" s="27" t="n">
        <v>45671.5</v>
      </c>
      <c r="G3538" t="inlineStr">
        <is>
          <t>DEBITO</t>
        </is>
      </c>
      <c r="H3538" t="inlineStr">
        <is>
          <t>TRANSFERENCIA PIX DES: FELIPE DA COSTA SANTO 14/01</t>
        </is>
      </c>
      <c r="I3538" t="n">
        <v>-379.14</v>
      </c>
    </row>
    <row r="3539">
      <c r="A3539" t="n">
        <v>55012</v>
      </c>
      <c r="B3539" t="n">
        <v>115</v>
      </c>
      <c r="C3539" t="inlineStr">
        <is>
          <t>Love - Shibari - Bradesco</t>
        </is>
      </c>
      <c r="D3539" t="n">
        <v>128</v>
      </c>
      <c r="E3539" t="inlineStr">
        <is>
          <t>Love Cabaret</t>
        </is>
      </c>
      <c r="F3539" s="27" t="n">
        <v>45671.5</v>
      </c>
      <c r="G3539" t="inlineStr">
        <is>
          <t>DEBITO</t>
        </is>
      </c>
      <c r="H3539" t="inlineStr">
        <is>
          <t>TRANSFERENCIA PIX DES: DUO COMUNICA LTDA     14/01</t>
        </is>
      </c>
      <c r="I3539" t="n">
        <v>-1200</v>
      </c>
    </row>
    <row r="3540">
      <c r="A3540" t="n">
        <v>55011</v>
      </c>
      <c r="B3540" t="n">
        <v>115</v>
      </c>
      <c r="C3540" t="inlineStr">
        <is>
          <t>Love - Shibari - Bradesco</t>
        </is>
      </c>
      <c r="D3540" t="n">
        <v>128</v>
      </c>
      <c r="E3540" t="inlineStr">
        <is>
          <t>Love Cabaret</t>
        </is>
      </c>
      <c r="F3540" s="27" t="n">
        <v>45671.5</v>
      </c>
      <c r="G3540" t="inlineStr">
        <is>
          <t>DEBITO</t>
        </is>
      </c>
      <c r="H3540" t="inlineStr">
        <is>
          <t>PAGTO ELETRON  COBRANCA NF 10185</t>
        </is>
      </c>
      <c r="I3540" t="n">
        <v>-200.79</v>
      </c>
    </row>
    <row r="3541">
      <c r="A3541" t="n">
        <v>55014</v>
      </c>
      <c r="B3541" t="n">
        <v>115</v>
      </c>
      <c r="C3541" t="inlineStr">
        <is>
          <t>Love - Shibari - Bradesco</t>
        </is>
      </c>
      <c r="D3541" t="n">
        <v>128</v>
      </c>
      <c r="E3541" t="inlineStr">
        <is>
          <t>Love Cabaret</t>
        </is>
      </c>
      <c r="F3541" s="27" t="n">
        <v>45671.5</v>
      </c>
      <c r="G3541" t="inlineStr">
        <is>
          <t>DEBITO</t>
        </is>
      </c>
      <c r="H3541" t="inlineStr">
        <is>
          <t>TRANSFERENCIA PIX DES: MACHINE SEGURANCA PAT 14/01</t>
        </is>
      </c>
      <c r="I3541" t="n">
        <v>-4636.95</v>
      </c>
    </row>
    <row r="3542">
      <c r="A3542" t="n">
        <v>55009</v>
      </c>
      <c r="B3542" t="n">
        <v>115</v>
      </c>
      <c r="C3542" t="inlineStr">
        <is>
          <t>Love - Shibari - Bradesco</t>
        </is>
      </c>
      <c r="D3542" t="n">
        <v>128</v>
      </c>
      <c r="E3542" t="inlineStr">
        <is>
          <t>Love Cabaret</t>
        </is>
      </c>
      <c r="F3542" s="27" t="n">
        <v>45671.5</v>
      </c>
      <c r="G3542" t="inlineStr">
        <is>
          <t>CREDITO</t>
        </is>
      </c>
      <c r="H3542" t="inlineStr">
        <is>
          <t>TED-TRANSF ELET DISPON REMET.KZEMOS BRASIL EVENTO</t>
        </is>
      </c>
      <c r="I3542" t="n">
        <v>26564.7</v>
      </c>
    </row>
    <row r="3543">
      <c r="A3543" t="n">
        <v>55003</v>
      </c>
      <c r="B3543" t="n">
        <v>115</v>
      </c>
      <c r="C3543" t="inlineStr">
        <is>
          <t>Love - Shibari - Bradesco</t>
        </is>
      </c>
      <c r="D3543" t="n">
        <v>128</v>
      </c>
      <c r="E3543" t="inlineStr">
        <is>
          <t>Love Cabaret</t>
        </is>
      </c>
      <c r="F3543" s="27" t="n">
        <v>45670.5</v>
      </c>
      <c r="G3543" t="inlineStr">
        <is>
          <t>DEBITO</t>
        </is>
      </c>
      <c r="H3543" t="inlineStr">
        <is>
          <t>PAGTO ELETRON  COBRANCA NF 17680</t>
        </is>
      </c>
      <c r="I3543" t="n">
        <v>-400</v>
      </c>
    </row>
    <row r="3544">
      <c r="A3544" t="n">
        <v>55001</v>
      </c>
      <c r="B3544" t="n">
        <v>115</v>
      </c>
      <c r="C3544" t="inlineStr">
        <is>
          <t>Love - Shibari - Bradesco</t>
        </is>
      </c>
      <c r="D3544" t="n">
        <v>128</v>
      </c>
      <c r="E3544" t="inlineStr">
        <is>
          <t>Love Cabaret</t>
        </is>
      </c>
      <c r="F3544" s="27" t="n">
        <v>45670.5</v>
      </c>
      <c r="G3544" t="inlineStr">
        <is>
          <t>DEBITO</t>
        </is>
      </c>
      <c r="H3544" t="inlineStr">
        <is>
          <t>PAGTO ELETRON  COBRANCA NF 131482</t>
        </is>
      </c>
      <c r="I3544" t="n">
        <v>-1389.39</v>
      </c>
    </row>
    <row r="3545">
      <c r="A3545" t="n">
        <v>55002</v>
      </c>
      <c r="B3545" t="n">
        <v>115</v>
      </c>
      <c r="C3545" t="inlineStr">
        <is>
          <t>Love - Shibari - Bradesco</t>
        </is>
      </c>
      <c r="D3545" t="n">
        <v>128</v>
      </c>
      <c r="E3545" t="inlineStr">
        <is>
          <t>Love Cabaret</t>
        </is>
      </c>
      <c r="F3545" s="27" t="n">
        <v>45670.5</v>
      </c>
      <c r="G3545" t="inlineStr">
        <is>
          <t>DEBITO</t>
        </is>
      </c>
      <c r="H3545" t="inlineStr">
        <is>
          <t>PAGTO ELETRON  COBRANCA NF 382820</t>
        </is>
      </c>
      <c r="I3545" t="n">
        <v>-1953.9</v>
      </c>
    </row>
    <row r="3546">
      <c r="A3546" t="n">
        <v>54996</v>
      </c>
      <c r="B3546" t="n">
        <v>115</v>
      </c>
      <c r="C3546" t="inlineStr">
        <is>
          <t>Love - Shibari - Bradesco</t>
        </is>
      </c>
      <c r="D3546" t="n">
        <v>128</v>
      </c>
      <c r="E3546" t="inlineStr">
        <is>
          <t>Love Cabaret</t>
        </is>
      </c>
      <c r="F3546" s="27" t="n">
        <v>45670.5</v>
      </c>
      <c r="G3546" t="inlineStr">
        <is>
          <t>CREDITO</t>
        </is>
      </c>
      <c r="H3546" t="inlineStr">
        <is>
          <t>TRANSFERENCIA PIX REM: Zig Tecnologia S.A.   13/01</t>
        </is>
      </c>
      <c r="I3546" t="n">
        <v>46064.53</v>
      </c>
    </row>
    <row r="3547">
      <c r="A3547" t="n">
        <v>55000</v>
      </c>
      <c r="B3547" t="n">
        <v>115</v>
      </c>
      <c r="C3547" t="inlineStr">
        <is>
          <t>Love - Shibari - Bradesco</t>
        </is>
      </c>
      <c r="D3547" t="n">
        <v>128</v>
      </c>
      <c r="E3547" t="inlineStr">
        <is>
          <t>Love Cabaret</t>
        </is>
      </c>
      <c r="F3547" s="27" t="n">
        <v>45670.5</v>
      </c>
      <c r="G3547" t="inlineStr">
        <is>
          <t>DEBITO</t>
        </is>
      </c>
      <c r="H3547" t="inlineStr">
        <is>
          <t>PAGTO ELETRON  COBRANCA NF 114062</t>
        </is>
      </c>
      <c r="I3547" t="n">
        <v>-936.26</v>
      </c>
    </row>
    <row r="3548">
      <c r="A3548" t="n">
        <v>54999</v>
      </c>
      <c r="B3548" t="n">
        <v>115</v>
      </c>
      <c r="C3548" t="inlineStr">
        <is>
          <t>Love - Shibari - Bradesco</t>
        </is>
      </c>
      <c r="D3548" t="n">
        <v>128</v>
      </c>
      <c r="E3548" t="inlineStr">
        <is>
          <t>Love Cabaret</t>
        </is>
      </c>
      <c r="F3548" s="27" t="n">
        <v>45670.5</v>
      </c>
      <c r="G3548" t="inlineStr">
        <is>
          <t>DEBITO</t>
        </is>
      </c>
      <c r="H3548" t="inlineStr">
        <is>
          <t>PAGTO ELETRON  COBRANCA NF 227458</t>
        </is>
      </c>
      <c r="I3548" t="n">
        <v>-182</v>
      </c>
    </row>
    <row r="3549">
      <c r="A3549" t="n">
        <v>54998</v>
      </c>
      <c r="B3549" t="n">
        <v>115</v>
      </c>
      <c r="C3549" t="inlineStr">
        <is>
          <t>Love - Shibari - Bradesco</t>
        </is>
      </c>
      <c r="D3549" t="n">
        <v>128</v>
      </c>
      <c r="E3549" t="inlineStr">
        <is>
          <t>Love Cabaret</t>
        </is>
      </c>
      <c r="F3549" s="27" t="n">
        <v>45670.5</v>
      </c>
      <c r="G3549" t="inlineStr">
        <is>
          <t>DEBITO</t>
        </is>
      </c>
      <c r="H3549" t="inlineStr">
        <is>
          <t>PAGTO ELETRON  COBRANCA NF 17597</t>
        </is>
      </c>
      <c r="I3549" t="n">
        <v>-379.08</v>
      </c>
    </row>
    <row r="3550">
      <c r="A3550" t="n">
        <v>54997</v>
      </c>
      <c r="B3550" t="n">
        <v>115</v>
      </c>
      <c r="C3550" t="inlineStr">
        <is>
          <t>Love - Shibari - Bradesco</t>
        </is>
      </c>
      <c r="D3550" t="n">
        <v>128</v>
      </c>
      <c r="E3550" t="inlineStr">
        <is>
          <t>Love Cabaret</t>
        </is>
      </c>
      <c r="F3550" s="27" t="n">
        <v>45670.5</v>
      </c>
      <c r="G3550" t="inlineStr">
        <is>
          <t>DEBITO</t>
        </is>
      </c>
      <c r="H3550" t="inlineStr">
        <is>
          <t>PAGTO ELETRON  COBRANCA NF 239831</t>
        </is>
      </c>
      <c r="I3550" t="n">
        <v>-729.05</v>
      </c>
    </row>
    <row r="3551">
      <c r="A3551" t="n">
        <v>55004</v>
      </c>
      <c r="B3551" t="n">
        <v>115</v>
      </c>
      <c r="C3551" t="inlineStr">
        <is>
          <t>Love - Shibari - Bradesco</t>
        </is>
      </c>
      <c r="D3551" t="n">
        <v>128</v>
      </c>
      <c r="E3551" t="inlineStr">
        <is>
          <t>Love Cabaret</t>
        </is>
      </c>
      <c r="F3551" s="27" t="n">
        <v>45670.5</v>
      </c>
      <c r="G3551" t="inlineStr">
        <is>
          <t>DEBITO</t>
        </is>
      </c>
      <c r="H3551" t="inlineStr">
        <is>
          <t>PAGTO ELETRON  COBRANCA NF 1038</t>
        </is>
      </c>
      <c r="I3551" t="n">
        <v>-180</v>
      </c>
    </row>
    <row r="3552">
      <c r="A3552" t="n">
        <v>55005</v>
      </c>
      <c r="B3552" t="n">
        <v>115</v>
      </c>
      <c r="C3552" t="inlineStr">
        <is>
          <t>Love - Shibari - Bradesco</t>
        </is>
      </c>
      <c r="D3552" t="n">
        <v>128</v>
      </c>
      <c r="E3552" t="inlineStr">
        <is>
          <t>Love Cabaret</t>
        </is>
      </c>
      <c r="F3552" s="27" t="n">
        <v>45670.5</v>
      </c>
      <c r="G3552" t="inlineStr">
        <is>
          <t>DEBITO</t>
        </is>
      </c>
      <c r="H3552" t="inlineStr">
        <is>
          <t>PAGTO ELETRON  COBRANCA NF 2208</t>
        </is>
      </c>
      <c r="I3552" t="n">
        <v>-6252.94</v>
      </c>
    </row>
    <row r="3553">
      <c r="A3553" t="n">
        <v>55006</v>
      </c>
      <c r="B3553" t="n">
        <v>115</v>
      </c>
      <c r="C3553" t="inlineStr">
        <is>
          <t>Love - Shibari - Bradesco</t>
        </is>
      </c>
      <c r="D3553" t="n">
        <v>128</v>
      </c>
      <c r="E3553" t="inlineStr">
        <is>
          <t>Love Cabaret</t>
        </is>
      </c>
      <c r="F3553" s="27" t="n">
        <v>45670.5</v>
      </c>
      <c r="G3553" t="inlineStr">
        <is>
          <t>DEBITO</t>
        </is>
      </c>
      <c r="H3553" t="inlineStr">
        <is>
          <t>PAGTO ELETRON  COBRANCA NF 6783</t>
        </is>
      </c>
      <c r="I3553" t="n">
        <v>-3204.47</v>
      </c>
    </row>
    <row r="3554">
      <c r="A3554" t="n">
        <v>55007</v>
      </c>
      <c r="B3554" t="n">
        <v>115</v>
      </c>
      <c r="C3554" t="inlineStr">
        <is>
          <t>Love - Shibari - Bradesco</t>
        </is>
      </c>
      <c r="D3554" t="n">
        <v>128</v>
      </c>
      <c r="E3554" t="inlineStr">
        <is>
          <t>Love Cabaret</t>
        </is>
      </c>
      <c r="F3554" s="27" t="n">
        <v>45670.5</v>
      </c>
      <c r="G3554" t="inlineStr">
        <is>
          <t>DEBITO</t>
        </is>
      </c>
      <c r="H3554" t="inlineStr">
        <is>
          <t>PAGTO ELETRON  COBRANCA NF 1016</t>
        </is>
      </c>
      <c r="I3554" t="n">
        <v>-850</v>
      </c>
    </row>
    <row r="3555">
      <c r="A3555" t="n">
        <v>55008</v>
      </c>
      <c r="B3555" t="n">
        <v>115</v>
      </c>
      <c r="C3555" t="inlineStr">
        <is>
          <t>Love - Shibari - Bradesco</t>
        </is>
      </c>
      <c r="D3555" t="n">
        <v>128</v>
      </c>
      <c r="E3555" t="inlineStr">
        <is>
          <t>Love Cabaret</t>
        </is>
      </c>
      <c r="F3555" s="27" t="n">
        <v>45670.5</v>
      </c>
      <c r="G3555" t="inlineStr">
        <is>
          <t>DEBITO</t>
        </is>
      </c>
      <c r="H3555" t="inlineStr">
        <is>
          <t>PAGTO ELETRON  COBRANCA NF 25476</t>
        </is>
      </c>
      <c r="I3555" t="n">
        <v>-141.55</v>
      </c>
    </row>
    <row r="3556">
      <c r="A3556" t="n">
        <v>53499</v>
      </c>
      <c r="B3556" t="n">
        <v>115</v>
      </c>
      <c r="C3556" t="inlineStr">
        <is>
          <t>Love - Shibari - Bradesco</t>
        </is>
      </c>
      <c r="D3556" t="n">
        <v>128</v>
      </c>
      <c r="E3556" t="inlineStr">
        <is>
          <t>Love Cabaret</t>
        </is>
      </c>
      <c r="F3556" s="27" t="n">
        <v>45667.5</v>
      </c>
      <c r="G3556" t="inlineStr">
        <is>
          <t>DEBITO</t>
        </is>
      </c>
      <c r="H3556" t="inlineStr">
        <is>
          <t>TARIFA BANCARIA TRANSF PGTO PIX</t>
        </is>
      </c>
      <c r="I3556" t="n">
        <v>-9</v>
      </c>
    </row>
    <row r="3557">
      <c r="A3557" t="n">
        <v>53487</v>
      </c>
      <c r="B3557" t="n">
        <v>115</v>
      </c>
      <c r="C3557" t="inlineStr">
        <is>
          <t>Love - Shibari - Bradesco</t>
        </is>
      </c>
      <c r="D3557" t="n">
        <v>128</v>
      </c>
      <c r="E3557" t="inlineStr">
        <is>
          <t>Love Cabaret</t>
        </is>
      </c>
      <c r="F3557" s="27" t="n">
        <v>45667.5</v>
      </c>
      <c r="G3557" t="inlineStr">
        <is>
          <t>DEBITO</t>
        </is>
      </c>
      <c r="H3557" t="inlineStr">
        <is>
          <t>TARIFA BANCARIA TRANSF PGTO PIX</t>
        </is>
      </c>
      <c r="I3557" t="n">
        <v>-9</v>
      </c>
    </row>
    <row r="3558">
      <c r="A3558" t="n">
        <v>53498</v>
      </c>
      <c r="B3558" t="n">
        <v>115</v>
      </c>
      <c r="C3558" t="inlineStr">
        <is>
          <t>Love - Shibari - Bradesco</t>
        </is>
      </c>
      <c r="D3558" t="n">
        <v>128</v>
      </c>
      <c r="E3558" t="inlineStr">
        <is>
          <t>Love Cabaret</t>
        </is>
      </c>
      <c r="F3558" s="27" t="n">
        <v>45667.5</v>
      </c>
      <c r="G3558" t="inlineStr">
        <is>
          <t>DEBITO</t>
        </is>
      </c>
      <c r="H3558" t="inlineStr">
        <is>
          <t>TARIFA BANCARIA TRANSF PGTO PIX</t>
        </is>
      </c>
      <c r="I3558" t="n">
        <v>-9</v>
      </c>
    </row>
    <row r="3559">
      <c r="A3559" t="n">
        <v>53497</v>
      </c>
      <c r="B3559" t="n">
        <v>115</v>
      </c>
      <c r="C3559" t="inlineStr">
        <is>
          <t>Love - Shibari - Bradesco</t>
        </is>
      </c>
      <c r="D3559" t="n">
        <v>128</v>
      </c>
      <c r="E3559" t="inlineStr">
        <is>
          <t>Love Cabaret</t>
        </is>
      </c>
      <c r="F3559" s="27" t="n">
        <v>45667.5</v>
      </c>
      <c r="G3559" t="inlineStr">
        <is>
          <t>DEBITO</t>
        </is>
      </c>
      <c r="H3559" t="inlineStr">
        <is>
          <t>TARIFA BANCARIA TRANSF PGTO PIX</t>
        </is>
      </c>
      <c r="I3559" t="n">
        <v>-9</v>
      </c>
    </row>
    <row r="3560">
      <c r="A3560" t="n">
        <v>53496</v>
      </c>
      <c r="B3560" t="n">
        <v>115</v>
      </c>
      <c r="C3560" t="inlineStr">
        <is>
          <t>Love - Shibari - Bradesco</t>
        </is>
      </c>
      <c r="D3560" t="n">
        <v>128</v>
      </c>
      <c r="E3560" t="inlineStr">
        <is>
          <t>Love Cabaret</t>
        </is>
      </c>
      <c r="F3560" s="27" t="n">
        <v>45667.5</v>
      </c>
      <c r="G3560" t="inlineStr">
        <is>
          <t>DEBITO</t>
        </is>
      </c>
      <c r="H3560" t="inlineStr">
        <is>
          <t>TARIFA BANCARIA TRANSF PGTO PIX</t>
        </is>
      </c>
      <c r="I3560" t="n">
        <v>-9</v>
      </c>
    </row>
    <row r="3561">
      <c r="A3561" t="n">
        <v>53495</v>
      </c>
      <c r="B3561" t="n">
        <v>115</v>
      </c>
      <c r="C3561" t="inlineStr">
        <is>
          <t>Love - Shibari - Bradesco</t>
        </is>
      </c>
      <c r="D3561" t="n">
        <v>128</v>
      </c>
      <c r="E3561" t="inlineStr">
        <is>
          <t>Love Cabaret</t>
        </is>
      </c>
      <c r="F3561" s="27" t="n">
        <v>45667.5</v>
      </c>
      <c r="G3561" t="inlineStr">
        <is>
          <t>DEBITO</t>
        </is>
      </c>
      <c r="H3561" t="inlineStr">
        <is>
          <t>TARIFA BANCARIA TRANSF PGTO PIX</t>
        </is>
      </c>
      <c r="I3561" t="n">
        <v>-9</v>
      </c>
    </row>
    <row r="3562">
      <c r="A3562" t="n">
        <v>53494</v>
      </c>
      <c r="B3562" t="n">
        <v>115</v>
      </c>
      <c r="C3562" t="inlineStr">
        <is>
          <t>Love - Shibari - Bradesco</t>
        </is>
      </c>
      <c r="D3562" t="n">
        <v>128</v>
      </c>
      <c r="E3562" t="inlineStr">
        <is>
          <t>Love Cabaret</t>
        </is>
      </c>
      <c r="F3562" s="27" t="n">
        <v>45667.5</v>
      </c>
      <c r="G3562" t="inlineStr">
        <is>
          <t>DEBITO</t>
        </is>
      </c>
      <c r="H3562" t="inlineStr">
        <is>
          <t>TARIFA BANCARIA TRANSF PGTO PIX</t>
        </is>
      </c>
      <c r="I3562" t="n">
        <v>-9</v>
      </c>
    </row>
    <row r="3563">
      <c r="A3563" t="n">
        <v>53493</v>
      </c>
      <c r="B3563" t="n">
        <v>115</v>
      </c>
      <c r="C3563" t="inlineStr">
        <is>
          <t>Love - Shibari - Bradesco</t>
        </is>
      </c>
      <c r="D3563" t="n">
        <v>128</v>
      </c>
      <c r="E3563" t="inlineStr">
        <is>
          <t>Love Cabaret</t>
        </is>
      </c>
      <c r="F3563" s="27" t="n">
        <v>45667.5</v>
      </c>
      <c r="G3563" t="inlineStr">
        <is>
          <t>DEBITO</t>
        </is>
      </c>
      <c r="H3563" t="inlineStr">
        <is>
          <t>TARIFA BANCARIA TRANSF PGTO PIX</t>
        </is>
      </c>
      <c r="I3563" t="n">
        <v>-9</v>
      </c>
    </row>
    <row r="3564">
      <c r="A3564" t="n">
        <v>53492</v>
      </c>
      <c r="B3564" t="n">
        <v>115</v>
      </c>
      <c r="C3564" t="inlineStr">
        <is>
          <t>Love - Shibari - Bradesco</t>
        </is>
      </c>
      <c r="D3564" t="n">
        <v>128</v>
      </c>
      <c r="E3564" t="inlineStr">
        <is>
          <t>Love Cabaret</t>
        </is>
      </c>
      <c r="F3564" s="27" t="n">
        <v>45667.5</v>
      </c>
      <c r="G3564" t="inlineStr">
        <is>
          <t>DEBITO</t>
        </is>
      </c>
      <c r="H3564" t="inlineStr">
        <is>
          <t>TARIFA BANCARIA TRANSF PGTO PIX</t>
        </is>
      </c>
      <c r="I3564" t="n">
        <v>-9</v>
      </c>
    </row>
    <row r="3565">
      <c r="A3565" t="n">
        <v>53491</v>
      </c>
      <c r="B3565" t="n">
        <v>115</v>
      </c>
      <c r="C3565" t="inlineStr">
        <is>
          <t>Love - Shibari - Bradesco</t>
        </is>
      </c>
      <c r="D3565" t="n">
        <v>128</v>
      </c>
      <c r="E3565" t="inlineStr">
        <is>
          <t>Love Cabaret</t>
        </is>
      </c>
      <c r="F3565" s="27" t="n">
        <v>45667.5</v>
      </c>
      <c r="G3565" t="inlineStr">
        <is>
          <t>DEBITO</t>
        </is>
      </c>
      <c r="H3565" t="inlineStr">
        <is>
          <t>TARIFA BANCARIA TRANSF PGTO PIX</t>
        </is>
      </c>
      <c r="I3565" t="n">
        <v>-9</v>
      </c>
    </row>
    <row r="3566">
      <c r="A3566" t="n">
        <v>53490</v>
      </c>
      <c r="B3566" t="n">
        <v>115</v>
      </c>
      <c r="C3566" t="inlineStr">
        <is>
          <t>Love - Shibari - Bradesco</t>
        </is>
      </c>
      <c r="D3566" t="n">
        <v>128</v>
      </c>
      <c r="E3566" t="inlineStr">
        <is>
          <t>Love Cabaret</t>
        </is>
      </c>
      <c r="F3566" s="27" t="n">
        <v>45667.5</v>
      </c>
      <c r="G3566" t="inlineStr">
        <is>
          <t>DEBITO</t>
        </is>
      </c>
      <c r="H3566" t="inlineStr">
        <is>
          <t>TARIFA BANCARIA TRANSF PGTO PIX</t>
        </is>
      </c>
      <c r="I3566" t="n">
        <v>-9</v>
      </c>
    </row>
    <row r="3567">
      <c r="A3567" t="n">
        <v>53489</v>
      </c>
      <c r="B3567" t="n">
        <v>115</v>
      </c>
      <c r="C3567" t="inlineStr">
        <is>
          <t>Love - Shibari - Bradesco</t>
        </is>
      </c>
      <c r="D3567" t="n">
        <v>128</v>
      </c>
      <c r="E3567" t="inlineStr">
        <is>
          <t>Love Cabaret</t>
        </is>
      </c>
      <c r="F3567" s="27" t="n">
        <v>45667.5</v>
      </c>
      <c r="G3567" t="inlineStr">
        <is>
          <t>DEBITO</t>
        </is>
      </c>
      <c r="H3567" t="inlineStr">
        <is>
          <t>TARIFA BANCARIA TRANSF PGTO PIX</t>
        </is>
      </c>
      <c r="I3567" t="n">
        <v>-9</v>
      </c>
    </row>
    <row r="3568">
      <c r="A3568" t="n">
        <v>53488</v>
      </c>
      <c r="B3568" t="n">
        <v>115</v>
      </c>
      <c r="C3568" t="inlineStr">
        <is>
          <t>Love - Shibari - Bradesco</t>
        </is>
      </c>
      <c r="D3568" t="n">
        <v>128</v>
      </c>
      <c r="E3568" t="inlineStr">
        <is>
          <t>Love Cabaret</t>
        </is>
      </c>
      <c r="F3568" s="27" t="n">
        <v>45667.5</v>
      </c>
      <c r="G3568" t="inlineStr">
        <is>
          <t>DEBITO</t>
        </is>
      </c>
      <c r="H3568" t="inlineStr">
        <is>
          <t>TARIFA BANCARIA TRANSF PGTO PIX</t>
        </is>
      </c>
      <c r="I3568" t="n">
        <v>-9</v>
      </c>
    </row>
    <row r="3569">
      <c r="A3569" t="n">
        <v>53486</v>
      </c>
      <c r="B3569" t="n">
        <v>115</v>
      </c>
      <c r="C3569" t="inlineStr">
        <is>
          <t>Love - Shibari - Bradesco</t>
        </is>
      </c>
      <c r="D3569" t="n">
        <v>128</v>
      </c>
      <c r="E3569" t="inlineStr">
        <is>
          <t>Love Cabaret</t>
        </is>
      </c>
      <c r="F3569" s="27" t="n">
        <v>45667.5</v>
      </c>
      <c r="G3569" t="inlineStr">
        <is>
          <t>DEBITO</t>
        </is>
      </c>
      <c r="H3569" t="inlineStr">
        <is>
          <t>TARIFA BANCARIA TRANSF PGTO PIX</t>
        </is>
      </c>
      <c r="I3569" t="n">
        <v>-9</v>
      </c>
    </row>
    <row r="3570">
      <c r="A3570" t="n">
        <v>53485</v>
      </c>
      <c r="B3570" t="n">
        <v>115</v>
      </c>
      <c r="C3570" t="inlineStr">
        <is>
          <t>Love - Shibari - Bradesco</t>
        </is>
      </c>
      <c r="D3570" t="n">
        <v>128</v>
      </c>
      <c r="E3570" t="inlineStr">
        <is>
          <t>Love Cabaret</t>
        </is>
      </c>
      <c r="F3570" s="27" t="n">
        <v>45667.5</v>
      </c>
      <c r="G3570" t="inlineStr">
        <is>
          <t>DEBITO</t>
        </is>
      </c>
      <c r="H3570" t="inlineStr">
        <is>
          <t>TARIFA BANCARIA TRANSF PGTO PIX</t>
        </is>
      </c>
      <c r="I3570" t="n">
        <v>-9</v>
      </c>
    </row>
    <row r="3571">
      <c r="A3571" t="n">
        <v>53484</v>
      </c>
      <c r="B3571" t="n">
        <v>115</v>
      </c>
      <c r="C3571" t="inlineStr">
        <is>
          <t>Love - Shibari - Bradesco</t>
        </is>
      </c>
      <c r="D3571" t="n">
        <v>128</v>
      </c>
      <c r="E3571" t="inlineStr">
        <is>
          <t>Love Cabaret</t>
        </is>
      </c>
      <c r="F3571" s="27" t="n">
        <v>45667.5</v>
      </c>
      <c r="G3571" t="inlineStr">
        <is>
          <t>DEBITO</t>
        </is>
      </c>
      <c r="H3571" t="inlineStr">
        <is>
          <t>TARIFA BANCARIA TRANSF PGTO PIX</t>
        </is>
      </c>
      <c r="I3571" t="n">
        <v>-9</v>
      </c>
    </row>
    <row r="3572">
      <c r="A3572" t="n">
        <v>53483</v>
      </c>
      <c r="B3572" t="n">
        <v>115</v>
      </c>
      <c r="C3572" t="inlineStr">
        <is>
          <t>Love - Shibari - Bradesco</t>
        </is>
      </c>
      <c r="D3572" t="n">
        <v>128</v>
      </c>
      <c r="E3572" t="inlineStr">
        <is>
          <t>Love Cabaret</t>
        </is>
      </c>
      <c r="F3572" s="27" t="n">
        <v>45667.5</v>
      </c>
      <c r="G3572" t="inlineStr">
        <is>
          <t>DEBITO</t>
        </is>
      </c>
      <c r="H3572" t="inlineStr">
        <is>
          <t>TARIFA BANCARIA TRANSF PGTO PIX</t>
        </is>
      </c>
      <c r="I3572" t="n">
        <v>-9</v>
      </c>
    </row>
    <row r="3573">
      <c r="A3573" t="n">
        <v>53479</v>
      </c>
      <c r="B3573" t="n">
        <v>115</v>
      </c>
      <c r="C3573" t="inlineStr">
        <is>
          <t>Love - Shibari - Bradesco</t>
        </is>
      </c>
      <c r="D3573" t="n">
        <v>128</v>
      </c>
      <c r="E3573" t="inlineStr">
        <is>
          <t>Love Cabaret</t>
        </is>
      </c>
      <c r="F3573" s="27" t="n">
        <v>45667.5</v>
      </c>
      <c r="G3573" t="inlineStr">
        <is>
          <t>CREDITO</t>
        </is>
      </c>
      <c r="H3573" t="inlineStr">
        <is>
          <t>TED-TRANSF ELET DISPON REMET.LOVE SUITES LTDA</t>
        </is>
      </c>
      <c r="I3573" t="n">
        <v>30342.25</v>
      </c>
    </row>
    <row r="3574">
      <c r="A3574" t="n">
        <v>53482</v>
      </c>
      <c r="B3574" t="n">
        <v>115</v>
      </c>
      <c r="C3574" t="inlineStr">
        <is>
          <t>Love - Shibari - Bradesco</t>
        </is>
      </c>
      <c r="D3574" t="n">
        <v>128</v>
      </c>
      <c r="E3574" t="inlineStr">
        <is>
          <t>Love Cabaret</t>
        </is>
      </c>
      <c r="F3574" s="27" t="n">
        <v>45667.5</v>
      </c>
      <c r="G3574" t="inlineStr">
        <is>
          <t>DEBITO</t>
        </is>
      </c>
      <c r="H3574" t="inlineStr">
        <is>
          <t>TARIFA BANCARIA TRANSF PGTO PIX</t>
        </is>
      </c>
      <c r="I3574" t="n">
        <v>-9</v>
      </c>
    </row>
    <row r="3575">
      <c r="A3575" t="n">
        <v>53481</v>
      </c>
      <c r="B3575" t="n">
        <v>115</v>
      </c>
      <c r="C3575" t="inlineStr">
        <is>
          <t>Love - Shibari - Bradesco</t>
        </is>
      </c>
      <c r="D3575" t="n">
        <v>128</v>
      </c>
      <c r="E3575" t="inlineStr">
        <is>
          <t>Love Cabaret</t>
        </is>
      </c>
      <c r="F3575" s="27" t="n">
        <v>45667.5</v>
      </c>
      <c r="G3575" t="inlineStr">
        <is>
          <t>DEBITO</t>
        </is>
      </c>
      <c r="H3575" t="inlineStr">
        <is>
          <t>TARIFA BANCARIA TRANSF PGTO PIX</t>
        </is>
      </c>
      <c r="I3575" t="n">
        <v>-9</v>
      </c>
    </row>
    <row r="3576">
      <c r="A3576" t="n">
        <v>53500</v>
      </c>
      <c r="B3576" t="n">
        <v>115</v>
      </c>
      <c r="C3576" t="inlineStr">
        <is>
          <t>Love - Shibari - Bradesco</t>
        </is>
      </c>
      <c r="D3576" t="n">
        <v>128</v>
      </c>
      <c r="E3576" t="inlineStr">
        <is>
          <t>Love Cabaret</t>
        </is>
      </c>
      <c r="F3576" s="27" t="n">
        <v>45667.5</v>
      </c>
      <c r="G3576" t="inlineStr">
        <is>
          <t>DEBITO</t>
        </is>
      </c>
      <c r="H3576" t="inlineStr">
        <is>
          <t>TARIFA BANCARIA TRANSF PGTO PIX</t>
        </is>
      </c>
      <c r="I3576" t="n">
        <v>-9</v>
      </c>
    </row>
    <row r="3577">
      <c r="A3577" t="n">
        <v>53480</v>
      </c>
      <c r="B3577" t="n">
        <v>115</v>
      </c>
      <c r="C3577" t="inlineStr">
        <is>
          <t>Love - Shibari - Bradesco</t>
        </is>
      </c>
      <c r="D3577" t="n">
        <v>128</v>
      </c>
      <c r="E3577" t="inlineStr">
        <is>
          <t>Love Cabaret</t>
        </is>
      </c>
      <c r="F3577" s="27" t="n">
        <v>45667.5</v>
      </c>
      <c r="G3577" t="inlineStr">
        <is>
          <t>DEBITO</t>
        </is>
      </c>
      <c r="H3577" t="inlineStr">
        <is>
          <t>TARIFA BANCARIA TRANSF PGTO PIX</t>
        </is>
      </c>
      <c r="I3577" t="n">
        <v>-6.23</v>
      </c>
    </row>
    <row r="3578">
      <c r="A3578" t="n">
        <v>53478</v>
      </c>
      <c r="B3578" t="n">
        <v>115</v>
      </c>
      <c r="C3578" t="inlineStr">
        <is>
          <t>Love - Shibari - Bradesco</t>
        </is>
      </c>
      <c r="D3578" t="n">
        <v>128</v>
      </c>
      <c r="E3578" t="inlineStr">
        <is>
          <t>Love Cabaret</t>
        </is>
      </c>
      <c r="F3578" s="27" t="n">
        <v>45666.5</v>
      </c>
      <c r="G3578" t="inlineStr">
        <is>
          <t>DEBITO</t>
        </is>
      </c>
      <c r="H3578" t="inlineStr">
        <is>
          <t>TARIFA BANCARIA TRANSF PGTO PIX</t>
        </is>
      </c>
      <c r="I3578" t="n">
        <v>-9</v>
      </c>
    </row>
    <row r="3579">
      <c r="A3579" t="n">
        <v>51473</v>
      </c>
      <c r="B3579" t="n">
        <v>115</v>
      </c>
      <c r="C3579" t="inlineStr">
        <is>
          <t>Love - Shibari - Bradesco</t>
        </is>
      </c>
      <c r="D3579" t="n">
        <v>128</v>
      </c>
      <c r="E3579" t="inlineStr">
        <is>
          <t>Love Cabaret</t>
        </is>
      </c>
      <c r="F3579" s="27" t="n">
        <v>45665.5</v>
      </c>
      <c r="G3579" t="inlineStr">
        <is>
          <t>DEBITO</t>
        </is>
      </c>
      <c r="H3579" t="inlineStr">
        <is>
          <t>TRANSFERENCIA PIX DES: JULIANA DANTAS GONCAL 08/01</t>
        </is>
      </c>
      <c r="I3579" t="n">
        <v>-3000</v>
      </c>
    </row>
    <row r="3580">
      <c r="A3580" t="n">
        <v>51471</v>
      </c>
      <c r="B3580" t="n">
        <v>115</v>
      </c>
      <c r="C3580" t="inlineStr">
        <is>
          <t>Love - Shibari - Bradesco</t>
        </is>
      </c>
      <c r="D3580" t="n">
        <v>128</v>
      </c>
      <c r="E3580" t="inlineStr">
        <is>
          <t>Love Cabaret</t>
        </is>
      </c>
      <c r="F3580" s="27" t="n">
        <v>45665.5</v>
      </c>
      <c r="G3580" t="inlineStr">
        <is>
          <t>DEBITO</t>
        </is>
      </c>
      <c r="H3580" t="inlineStr">
        <is>
          <t>PAGTO ELETRONICO TRIBUTO INTERNET --PMSP SP</t>
        </is>
      </c>
      <c r="I3580" t="n">
        <v>-118.58</v>
      </c>
    </row>
    <row r="3581">
      <c r="A3581" t="n">
        <v>51472</v>
      </c>
      <c r="B3581" t="n">
        <v>115</v>
      </c>
      <c r="C3581" t="inlineStr">
        <is>
          <t>Love - Shibari - Bradesco</t>
        </is>
      </c>
      <c r="D3581" t="n">
        <v>128</v>
      </c>
      <c r="E3581" t="inlineStr">
        <is>
          <t>Love Cabaret</t>
        </is>
      </c>
      <c r="F3581" s="27" t="n">
        <v>45665.5</v>
      </c>
      <c r="G3581" t="inlineStr">
        <is>
          <t>DEBITO</t>
        </is>
      </c>
      <c r="H3581" t="inlineStr">
        <is>
          <t>TRANSFERENCIA PIX DES: FELIPE DA COSTA SANTO 08/01</t>
        </is>
      </c>
      <c r="I3581" t="n">
        <v>-8460</v>
      </c>
    </row>
    <row r="3582">
      <c r="A3582" t="n">
        <v>51470</v>
      </c>
      <c r="B3582" t="n">
        <v>115</v>
      </c>
      <c r="C3582" t="inlineStr">
        <is>
          <t>Love - Shibari - Bradesco</t>
        </is>
      </c>
      <c r="D3582" t="n">
        <v>128</v>
      </c>
      <c r="E3582" t="inlineStr">
        <is>
          <t>Love Cabaret</t>
        </is>
      </c>
      <c r="F3582" s="27" t="n">
        <v>45665.5</v>
      </c>
      <c r="G3582" t="inlineStr">
        <is>
          <t>DEBITO</t>
        </is>
      </c>
      <c r="H3582" t="inlineStr">
        <is>
          <t>PAGTO ELETRONICO TRIBUTO INTERNET --PMSP SP</t>
        </is>
      </c>
      <c r="I3582" t="n">
        <v>-22550</v>
      </c>
    </row>
    <row r="3583">
      <c r="A3583" t="n">
        <v>51469</v>
      </c>
      <c r="B3583" t="n">
        <v>115</v>
      </c>
      <c r="C3583" t="inlineStr">
        <is>
          <t>Love - Shibari - Bradesco</t>
        </is>
      </c>
      <c r="D3583" t="n">
        <v>128</v>
      </c>
      <c r="E3583" t="inlineStr">
        <is>
          <t>Love Cabaret</t>
        </is>
      </c>
      <c r="F3583" s="27" t="n">
        <v>45665.5</v>
      </c>
      <c r="G3583" t="inlineStr">
        <is>
          <t>DEBITO</t>
        </is>
      </c>
      <c r="H3583" t="inlineStr">
        <is>
          <t>TARIFA BANCARIA TRANSF PGTO PIX</t>
        </is>
      </c>
      <c r="I3583" t="n">
        <v>-9</v>
      </c>
    </row>
    <row r="3584">
      <c r="A3584" t="n">
        <v>51468</v>
      </c>
      <c r="B3584" t="n">
        <v>115</v>
      </c>
      <c r="C3584" t="inlineStr">
        <is>
          <t>Love - Shibari - Bradesco</t>
        </is>
      </c>
      <c r="D3584" t="n">
        <v>128</v>
      </c>
      <c r="E3584" t="inlineStr">
        <is>
          <t>Love Cabaret</t>
        </is>
      </c>
      <c r="F3584" s="27" t="n">
        <v>45665.5</v>
      </c>
      <c r="G3584" t="inlineStr">
        <is>
          <t>DEBITO</t>
        </is>
      </c>
      <c r="H3584" t="inlineStr">
        <is>
          <t>PAGTO ELETRON  COBRANCA DOC 498327528</t>
        </is>
      </c>
      <c r="I3584" t="n">
        <v>-14290</v>
      </c>
    </row>
    <row r="3585">
      <c r="A3585" t="n">
        <v>51467</v>
      </c>
      <c r="B3585" t="n">
        <v>115</v>
      </c>
      <c r="C3585" t="inlineStr">
        <is>
          <t>Love - Shibari - Bradesco</t>
        </is>
      </c>
      <c r="D3585" t="n">
        <v>128</v>
      </c>
      <c r="E3585" t="inlineStr">
        <is>
          <t>Love Cabaret</t>
        </is>
      </c>
      <c r="F3585" s="27" t="n">
        <v>45665.5</v>
      </c>
      <c r="G3585" t="inlineStr">
        <is>
          <t>DEBITO</t>
        </is>
      </c>
      <c r="H3585" t="inlineStr">
        <is>
          <t>PAGTO ELETRON  COBRANCA DOC 00157054</t>
        </is>
      </c>
      <c r="I3585" t="n">
        <v>-31634.64</v>
      </c>
    </row>
    <row r="3586">
      <c r="A3586" t="n">
        <v>51466</v>
      </c>
      <c r="B3586" t="n">
        <v>115</v>
      </c>
      <c r="C3586" t="inlineStr">
        <is>
          <t>Love - Shibari - Bradesco</t>
        </is>
      </c>
      <c r="D3586" t="n">
        <v>128</v>
      </c>
      <c r="E3586" t="inlineStr">
        <is>
          <t>Love Cabaret</t>
        </is>
      </c>
      <c r="F3586" s="27" t="n">
        <v>45665.5</v>
      </c>
      <c r="G3586" t="inlineStr">
        <is>
          <t>DEBITO</t>
        </is>
      </c>
      <c r="H3586" t="inlineStr">
        <is>
          <t>PAGTO ELETRON  COBRANCA DOC 157</t>
        </is>
      </c>
      <c r="I3586" t="n">
        <v>-31634.64</v>
      </c>
    </row>
    <row r="3587">
      <c r="A3587" t="n">
        <v>51465</v>
      </c>
      <c r="B3587" t="n">
        <v>115</v>
      </c>
      <c r="C3587" t="inlineStr">
        <is>
          <t>Love - Shibari - Bradesco</t>
        </is>
      </c>
      <c r="D3587" t="n">
        <v>128</v>
      </c>
      <c r="E3587" t="inlineStr">
        <is>
          <t>Love Cabaret</t>
        </is>
      </c>
      <c r="F3587" s="27" t="n">
        <v>45665.5</v>
      </c>
      <c r="G3587" t="inlineStr">
        <is>
          <t>DEBITO</t>
        </is>
      </c>
      <c r="H3587" t="inlineStr">
        <is>
          <t>PAGTO ELETRON  COBRANCA 103240225</t>
        </is>
      </c>
      <c r="I3587" t="n">
        <v>-2019.9</v>
      </c>
    </row>
    <row r="3588">
      <c r="A3588" t="n">
        <v>51464</v>
      </c>
      <c r="B3588" t="n">
        <v>115</v>
      </c>
      <c r="C3588" t="inlineStr">
        <is>
          <t>Love - Shibari - Bradesco</t>
        </is>
      </c>
      <c r="D3588" t="n">
        <v>128</v>
      </c>
      <c r="E3588" t="inlineStr">
        <is>
          <t>Love Cabaret</t>
        </is>
      </c>
      <c r="F3588" s="27" t="n">
        <v>45665.5</v>
      </c>
      <c r="G3588" t="inlineStr">
        <is>
          <t>DEBITO</t>
        </is>
      </c>
      <c r="H3588" t="inlineStr">
        <is>
          <t>PAGTO ELETRON  COBRANCA NF 113666</t>
        </is>
      </c>
      <c r="I3588" t="n">
        <v>-3947.36</v>
      </c>
    </row>
    <row r="3589">
      <c r="A3589" t="n">
        <v>51463</v>
      </c>
      <c r="B3589" t="n">
        <v>115</v>
      </c>
      <c r="C3589" t="inlineStr">
        <is>
          <t>Love - Shibari - Bradesco</t>
        </is>
      </c>
      <c r="D3589" t="n">
        <v>128</v>
      </c>
      <c r="E3589" t="inlineStr">
        <is>
          <t>Love Cabaret</t>
        </is>
      </c>
      <c r="F3589" s="27" t="n">
        <v>45665.5</v>
      </c>
      <c r="G3589" t="inlineStr">
        <is>
          <t>DEBITO</t>
        </is>
      </c>
      <c r="H3589" t="inlineStr">
        <is>
          <t>PAGTO ELETRON  COBRANCA NF 24837</t>
        </is>
      </c>
      <c r="I3589" t="n">
        <v>-273.6</v>
      </c>
    </row>
    <row r="3590">
      <c r="A3590" t="n">
        <v>51462</v>
      </c>
      <c r="B3590" t="n">
        <v>115</v>
      </c>
      <c r="C3590" t="inlineStr">
        <is>
          <t>Love - Shibari - Bradesco</t>
        </is>
      </c>
      <c r="D3590" t="n">
        <v>128</v>
      </c>
      <c r="E3590" t="inlineStr">
        <is>
          <t>Love Cabaret</t>
        </is>
      </c>
      <c r="F3590" s="27" t="n">
        <v>45665.5</v>
      </c>
      <c r="G3590" t="inlineStr">
        <is>
          <t>DEBITO</t>
        </is>
      </c>
      <c r="H3590" t="inlineStr">
        <is>
          <t>PAGTO ELETRON  COBRANCA 0476</t>
        </is>
      </c>
      <c r="I3590" t="n">
        <v>-6000</v>
      </c>
    </row>
    <row r="3591">
      <c r="A3591" t="n">
        <v>51461</v>
      </c>
      <c r="B3591" t="n">
        <v>115</v>
      </c>
      <c r="C3591" t="inlineStr">
        <is>
          <t>Love - Shibari - Bradesco</t>
        </is>
      </c>
      <c r="D3591" t="n">
        <v>128</v>
      </c>
      <c r="E3591" t="inlineStr">
        <is>
          <t>Love Cabaret</t>
        </is>
      </c>
      <c r="F3591" s="27" t="n">
        <v>45665.5</v>
      </c>
      <c r="G3591" t="inlineStr">
        <is>
          <t>DEBITO</t>
        </is>
      </c>
      <c r="H3591" t="inlineStr">
        <is>
          <t>PAGTO ELETRON  COBRANCA NF 212</t>
        </is>
      </c>
      <c r="I3591" t="n">
        <v>-1000</v>
      </c>
    </row>
    <row r="3592">
      <c r="A3592" t="n">
        <v>51460</v>
      </c>
      <c r="B3592" t="n">
        <v>115</v>
      </c>
      <c r="C3592" t="inlineStr">
        <is>
          <t>Love - Shibari - Bradesco</t>
        </is>
      </c>
      <c r="D3592" t="n">
        <v>128</v>
      </c>
      <c r="E3592" t="inlineStr">
        <is>
          <t>Love Cabaret</t>
        </is>
      </c>
      <c r="F3592" s="27" t="n">
        <v>45665.5</v>
      </c>
      <c r="G3592" t="inlineStr">
        <is>
          <t>DEBITO</t>
        </is>
      </c>
      <c r="H3592" t="inlineStr">
        <is>
          <t>PAGTO ELETRON  COBRANCA 482634919</t>
        </is>
      </c>
      <c r="I3592" t="n">
        <v>-708</v>
      </c>
    </row>
    <row r="3593">
      <c r="A3593" t="n">
        <v>51459</v>
      </c>
      <c r="B3593" t="n">
        <v>115</v>
      </c>
      <c r="C3593" t="inlineStr">
        <is>
          <t>Love - Shibari - Bradesco</t>
        </is>
      </c>
      <c r="D3593" t="n">
        <v>128</v>
      </c>
      <c r="E3593" t="inlineStr">
        <is>
          <t>Love Cabaret</t>
        </is>
      </c>
      <c r="F3593" s="27" t="n">
        <v>45665.5</v>
      </c>
      <c r="G3593" t="inlineStr">
        <is>
          <t>DEBITO</t>
        </is>
      </c>
      <c r="H3593" t="inlineStr">
        <is>
          <t>PAGTO ELETRON  COBRANCA NF 7258</t>
        </is>
      </c>
      <c r="I3593" t="n">
        <v>-299.99</v>
      </c>
    </row>
    <row r="3594">
      <c r="A3594" t="n">
        <v>51458</v>
      </c>
      <c r="B3594" t="n">
        <v>115</v>
      </c>
      <c r="C3594" t="inlineStr">
        <is>
          <t>Love - Shibari - Bradesco</t>
        </is>
      </c>
      <c r="D3594" t="n">
        <v>128</v>
      </c>
      <c r="E3594" t="inlineStr">
        <is>
          <t>Love Cabaret</t>
        </is>
      </c>
      <c r="F3594" s="27" t="n">
        <v>45665.5</v>
      </c>
      <c r="G3594" t="inlineStr">
        <is>
          <t>DEBITO</t>
        </is>
      </c>
      <c r="H3594" t="inlineStr">
        <is>
          <t>PAGTO ELETRON  COBRANCA NF 25457</t>
        </is>
      </c>
      <c r="I3594" t="n">
        <v>-289.01</v>
      </c>
    </row>
    <row r="3595">
      <c r="A3595" t="n">
        <v>51483</v>
      </c>
      <c r="B3595" t="n">
        <v>115</v>
      </c>
      <c r="C3595" t="inlineStr">
        <is>
          <t>Love - Shibari - Bradesco</t>
        </is>
      </c>
      <c r="D3595" t="n">
        <v>128</v>
      </c>
      <c r="E3595" t="inlineStr">
        <is>
          <t>Love Cabaret</t>
        </is>
      </c>
      <c r="F3595" s="27" t="n">
        <v>45665.5</v>
      </c>
      <c r="G3595" t="inlineStr">
        <is>
          <t>DEBITO</t>
        </is>
      </c>
      <c r="H3595" t="inlineStr">
        <is>
          <t>TRANSFERENCIA PIX DES: ANNA WOORTMANN        08/01</t>
        </is>
      </c>
      <c r="I3595" t="n">
        <v>-5994.66</v>
      </c>
    </row>
    <row r="3596">
      <c r="A3596" t="n">
        <v>51489</v>
      </c>
      <c r="B3596" t="n">
        <v>115</v>
      </c>
      <c r="C3596" t="inlineStr">
        <is>
          <t>Love - Shibari - Bradesco</t>
        </is>
      </c>
      <c r="D3596" t="n">
        <v>128</v>
      </c>
      <c r="E3596" t="inlineStr">
        <is>
          <t>Love Cabaret</t>
        </is>
      </c>
      <c r="F3596" s="27" t="n">
        <v>45665.5</v>
      </c>
      <c r="G3596" t="inlineStr">
        <is>
          <t>DEBITO</t>
        </is>
      </c>
      <c r="H3596" t="inlineStr">
        <is>
          <t>TRANSFERENCIA PIX DES: 53.068.043 ISABELLA F 08/01</t>
        </is>
      </c>
      <c r="I3596" t="n">
        <v>-932</v>
      </c>
    </row>
    <row r="3597">
      <c r="A3597" t="n">
        <v>51490</v>
      </c>
      <c r="B3597" t="n">
        <v>115</v>
      </c>
      <c r="C3597" t="inlineStr">
        <is>
          <t>Love - Shibari - Bradesco</t>
        </is>
      </c>
      <c r="D3597" t="n">
        <v>128</v>
      </c>
      <c r="E3597" t="inlineStr">
        <is>
          <t>Love Cabaret</t>
        </is>
      </c>
      <c r="F3597" s="27" t="n">
        <v>45665.5</v>
      </c>
      <c r="G3597" t="inlineStr">
        <is>
          <t>DEBITO</t>
        </is>
      </c>
      <c r="H3597" t="inlineStr">
        <is>
          <t>TRANSFERENCIA PIX DES: AGNES RODRIGUES DE OL 08/01</t>
        </is>
      </c>
      <c r="I3597" t="n">
        <v>-5000</v>
      </c>
    </row>
    <row r="3598">
      <c r="A3598" t="n">
        <v>51474</v>
      </c>
      <c r="B3598" t="n">
        <v>115</v>
      </c>
      <c r="C3598" t="inlineStr">
        <is>
          <t>Love - Shibari - Bradesco</t>
        </is>
      </c>
      <c r="D3598" t="n">
        <v>128</v>
      </c>
      <c r="E3598" t="inlineStr">
        <is>
          <t>Love Cabaret</t>
        </is>
      </c>
      <c r="F3598" s="27" t="n">
        <v>45665.5</v>
      </c>
      <c r="G3598" t="inlineStr">
        <is>
          <t>DEBITO</t>
        </is>
      </c>
      <c r="H3598" t="inlineStr">
        <is>
          <t>TRANSFERENCIA PIX DES: JULIA BAISCH FRANZ    08/01</t>
        </is>
      </c>
      <c r="I3598" t="n">
        <v>-8500</v>
      </c>
    </row>
    <row r="3599">
      <c r="A3599" t="n">
        <v>51491</v>
      </c>
      <c r="B3599" t="n">
        <v>115</v>
      </c>
      <c r="C3599" t="inlineStr">
        <is>
          <t>Love - Shibari - Bradesco</t>
        </is>
      </c>
      <c r="D3599" t="n">
        <v>128</v>
      </c>
      <c r="E3599" t="inlineStr">
        <is>
          <t>Love Cabaret</t>
        </is>
      </c>
      <c r="F3599" s="27" t="n">
        <v>45665.5</v>
      </c>
      <c r="G3599" t="inlineStr">
        <is>
          <t>DEBITO</t>
        </is>
      </c>
      <c r="H3599" t="inlineStr">
        <is>
          <t>TRANSFERENCIA PIX DES: MICHELLY ROSSI COUTO  08/01</t>
        </is>
      </c>
      <c r="I3599" t="n">
        <v>-3000</v>
      </c>
    </row>
    <row r="3600">
      <c r="A3600" t="n">
        <v>51488</v>
      </c>
      <c r="B3600" t="n">
        <v>115</v>
      </c>
      <c r="C3600" t="inlineStr">
        <is>
          <t>Love - Shibari - Bradesco</t>
        </is>
      </c>
      <c r="D3600" t="n">
        <v>128</v>
      </c>
      <c r="E3600" t="inlineStr">
        <is>
          <t>Love Cabaret</t>
        </is>
      </c>
      <c r="F3600" s="27" t="n">
        <v>45665.5</v>
      </c>
      <c r="G3600" t="inlineStr">
        <is>
          <t>DEBITO</t>
        </is>
      </c>
      <c r="H3600" t="inlineStr">
        <is>
          <t>TRANSFERENCIA PIX DES: LARISSA ROSA DE SOUZA 08/01</t>
        </is>
      </c>
      <c r="I3600" t="n">
        <v>-1206</v>
      </c>
    </row>
    <row r="3601">
      <c r="A3601" t="n">
        <v>51487</v>
      </c>
      <c r="B3601" t="n">
        <v>115</v>
      </c>
      <c r="C3601" t="inlineStr">
        <is>
          <t>Love - Shibari - Bradesco</t>
        </is>
      </c>
      <c r="D3601" t="n">
        <v>128</v>
      </c>
      <c r="E3601" t="inlineStr">
        <is>
          <t>Love Cabaret</t>
        </is>
      </c>
      <c r="F3601" s="27" t="n">
        <v>45665.5</v>
      </c>
      <c r="G3601" t="inlineStr">
        <is>
          <t>DEBITO</t>
        </is>
      </c>
      <c r="H3601" t="inlineStr">
        <is>
          <t>TRANSFERENCIA PIX DES: 49.635.085 JESSICA IZ 08/01</t>
        </is>
      </c>
      <c r="I3601" t="n">
        <v>-1250</v>
      </c>
    </row>
    <row r="3602">
      <c r="A3602" t="n">
        <v>51486</v>
      </c>
      <c r="B3602" t="n">
        <v>115</v>
      </c>
      <c r="C3602" t="inlineStr">
        <is>
          <t>Love - Shibari - Bradesco</t>
        </is>
      </c>
      <c r="D3602" t="n">
        <v>128</v>
      </c>
      <c r="E3602" t="inlineStr">
        <is>
          <t>Love Cabaret</t>
        </is>
      </c>
      <c r="F3602" s="27" t="n">
        <v>45665.5</v>
      </c>
      <c r="G3602" t="inlineStr">
        <is>
          <t>DEBITO</t>
        </is>
      </c>
      <c r="H3602" t="inlineStr">
        <is>
          <t>TRANSFERENCIA PIX DES: Teles De Almeida Pint 08/01</t>
        </is>
      </c>
      <c r="I3602" t="n">
        <v>-3020</v>
      </c>
    </row>
    <row r="3603">
      <c r="A3603" t="n">
        <v>51485</v>
      </c>
      <c r="B3603" t="n">
        <v>115</v>
      </c>
      <c r="C3603" t="inlineStr">
        <is>
          <t>Love - Shibari - Bradesco</t>
        </is>
      </c>
      <c r="D3603" t="n">
        <v>128</v>
      </c>
      <c r="E3603" t="inlineStr">
        <is>
          <t>Love Cabaret</t>
        </is>
      </c>
      <c r="F3603" s="27" t="n">
        <v>45665.5</v>
      </c>
      <c r="G3603" t="inlineStr">
        <is>
          <t>DEBITO</t>
        </is>
      </c>
      <c r="H3603" t="inlineStr">
        <is>
          <t>TRANSFERENCIA PIX DES: Laisa Larangeira      08/01</t>
        </is>
      </c>
      <c r="I3603" t="n">
        <v>-1600</v>
      </c>
    </row>
    <row r="3604">
      <c r="A3604" t="n">
        <v>51484</v>
      </c>
      <c r="B3604" t="n">
        <v>115</v>
      </c>
      <c r="C3604" t="inlineStr">
        <is>
          <t>Love - Shibari - Bradesco</t>
        </is>
      </c>
      <c r="D3604" t="n">
        <v>128</v>
      </c>
      <c r="E3604" t="inlineStr">
        <is>
          <t>Love Cabaret</t>
        </is>
      </c>
      <c r="F3604" s="27" t="n">
        <v>45665.5</v>
      </c>
      <c r="G3604" t="inlineStr">
        <is>
          <t>DEBITO</t>
        </is>
      </c>
      <c r="H3604" t="inlineStr">
        <is>
          <t>TRANSFERENCIA PIX DES: Tamara Santos Ribeiro 08/01</t>
        </is>
      </c>
      <c r="I3604" t="n">
        <v>-3500</v>
      </c>
    </row>
    <row r="3605">
      <c r="A3605" t="n">
        <v>51482</v>
      </c>
      <c r="B3605" t="n">
        <v>115</v>
      </c>
      <c r="C3605" t="inlineStr">
        <is>
          <t>Love - Shibari - Bradesco</t>
        </is>
      </c>
      <c r="D3605" t="n">
        <v>128</v>
      </c>
      <c r="E3605" t="inlineStr">
        <is>
          <t>Love Cabaret</t>
        </is>
      </c>
      <c r="F3605" s="27" t="n">
        <v>45665.5</v>
      </c>
      <c r="G3605" t="inlineStr">
        <is>
          <t>DEBITO</t>
        </is>
      </c>
      <c r="H3605" t="inlineStr">
        <is>
          <t>TRANSFERENCIA PIX DES: 52794972 D F D GONCAL 08/01</t>
        </is>
      </c>
      <c r="I3605" t="n">
        <v>-5630</v>
      </c>
    </row>
    <row r="3606">
      <c r="A3606" t="n">
        <v>51481</v>
      </c>
      <c r="B3606" t="n">
        <v>115</v>
      </c>
      <c r="C3606" t="inlineStr">
        <is>
          <t>Love - Shibari - Bradesco</t>
        </is>
      </c>
      <c r="D3606" t="n">
        <v>128</v>
      </c>
      <c r="E3606" t="inlineStr">
        <is>
          <t>Love Cabaret</t>
        </is>
      </c>
      <c r="F3606" s="27" t="n">
        <v>45665.5</v>
      </c>
      <c r="G3606" t="inlineStr">
        <is>
          <t>DEBITO</t>
        </is>
      </c>
      <c r="H3606" t="inlineStr">
        <is>
          <t>TRANSFERENCIA PIX DES: WAGNER DA SILVA FRANC 08/01</t>
        </is>
      </c>
      <c r="I3606" t="n">
        <v>-7910</v>
      </c>
    </row>
    <row r="3607">
      <c r="A3607" t="n">
        <v>51480</v>
      </c>
      <c r="B3607" t="n">
        <v>115</v>
      </c>
      <c r="C3607" t="inlineStr">
        <is>
          <t>Love - Shibari - Bradesco</t>
        </is>
      </c>
      <c r="D3607" t="n">
        <v>128</v>
      </c>
      <c r="E3607" t="inlineStr">
        <is>
          <t>Love Cabaret</t>
        </is>
      </c>
      <c r="F3607" s="27" t="n">
        <v>45665.5</v>
      </c>
      <c r="G3607" t="inlineStr">
        <is>
          <t>DEBITO</t>
        </is>
      </c>
      <c r="H3607" t="inlineStr">
        <is>
          <t>TRANSFERENCIA PIX DES: GABRIELA TOLEDO MONTE 08/01</t>
        </is>
      </c>
      <c r="I3607" t="n">
        <v>-4000</v>
      </c>
    </row>
    <row r="3608">
      <c r="A3608" t="n">
        <v>51479</v>
      </c>
      <c r="B3608" t="n">
        <v>115</v>
      </c>
      <c r="C3608" t="inlineStr">
        <is>
          <t>Love - Shibari - Bradesco</t>
        </is>
      </c>
      <c r="D3608" t="n">
        <v>128</v>
      </c>
      <c r="E3608" t="inlineStr">
        <is>
          <t>Love Cabaret</t>
        </is>
      </c>
      <c r="F3608" s="27" t="n">
        <v>45665.5</v>
      </c>
      <c r="G3608" t="inlineStr">
        <is>
          <t>DEBITO</t>
        </is>
      </c>
      <c r="H3608" t="inlineStr">
        <is>
          <t>TRANSFERENCIA PIX DES: Diego Oliveira Santan 08/01</t>
        </is>
      </c>
      <c r="I3608" t="n">
        <v>-8110</v>
      </c>
    </row>
    <row r="3609">
      <c r="A3609" t="n">
        <v>51478</v>
      </c>
      <c r="B3609" t="n">
        <v>115</v>
      </c>
      <c r="C3609" t="inlineStr">
        <is>
          <t>Love - Shibari - Bradesco</t>
        </is>
      </c>
      <c r="D3609" t="n">
        <v>128</v>
      </c>
      <c r="E3609" t="inlineStr">
        <is>
          <t>Love Cabaret</t>
        </is>
      </c>
      <c r="F3609" s="27" t="n">
        <v>45665.5</v>
      </c>
      <c r="G3609" t="inlineStr">
        <is>
          <t>DEBITO</t>
        </is>
      </c>
      <c r="H3609" t="inlineStr">
        <is>
          <t>TRANSFERENCIA PIX DES: JOAO VITOR MENDES SAL 08/01</t>
        </is>
      </c>
      <c r="I3609" t="n">
        <v>-4800</v>
      </c>
    </row>
    <row r="3610">
      <c r="A3610" t="n">
        <v>51477</v>
      </c>
      <c r="B3610" t="n">
        <v>115</v>
      </c>
      <c r="C3610" t="inlineStr">
        <is>
          <t>Love - Shibari - Bradesco</t>
        </is>
      </c>
      <c r="D3610" t="n">
        <v>128</v>
      </c>
      <c r="E3610" t="inlineStr">
        <is>
          <t>Love Cabaret</t>
        </is>
      </c>
      <c r="F3610" s="27" t="n">
        <v>45665.5</v>
      </c>
      <c r="G3610" t="inlineStr">
        <is>
          <t>DEBITO</t>
        </is>
      </c>
      <c r="H3610" t="inlineStr">
        <is>
          <t>TRANSFERENCIA PIX DES: INDRA HARETRAVA       08/01</t>
        </is>
      </c>
      <c r="I3610" t="n">
        <v>-7420</v>
      </c>
    </row>
    <row r="3611">
      <c r="A3611" t="n">
        <v>51476</v>
      </c>
      <c r="B3611" t="n">
        <v>115</v>
      </c>
      <c r="C3611" t="inlineStr">
        <is>
          <t>Love - Shibari - Bradesco</t>
        </is>
      </c>
      <c r="D3611" t="n">
        <v>128</v>
      </c>
      <c r="E3611" t="inlineStr">
        <is>
          <t>Love Cabaret</t>
        </is>
      </c>
      <c r="F3611" s="27" t="n">
        <v>45665.5</v>
      </c>
      <c r="G3611" t="inlineStr">
        <is>
          <t>DEBITO</t>
        </is>
      </c>
      <c r="H3611" t="inlineStr">
        <is>
          <t>TRANSFERENCIA PIX DES: VANESSA DEL SANTOS DE 08/01</t>
        </is>
      </c>
      <c r="I3611" t="n">
        <v>-2800</v>
      </c>
    </row>
    <row r="3612">
      <c r="A3612" t="n">
        <v>51492</v>
      </c>
      <c r="B3612" t="n">
        <v>115</v>
      </c>
      <c r="C3612" t="inlineStr">
        <is>
          <t>Love - Shibari - Bradesco</t>
        </is>
      </c>
      <c r="D3612" t="n">
        <v>128</v>
      </c>
      <c r="E3612" t="inlineStr">
        <is>
          <t>Love Cabaret</t>
        </is>
      </c>
      <c r="F3612" s="27" t="n">
        <v>45665.5</v>
      </c>
      <c r="G3612" t="inlineStr">
        <is>
          <t>DEBITO</t>
        </is>
      </c>
      <c r="H3612" t="inlineStr">
        <is>
          <t>TRANSFERENCIA PIX DES: 55774785 THIAGO PINHE 08/01</t>
        </is>
      </c>
      <c r="I3612" t="n">
        <v>-1125</v>
      </c>
    </row>
    <row r="3613">
      <c r="A3613" t="n">
        <v>51475</v>
      </c>
      <c r="B3613" t="n">
        <v>115</v>
      </c>
      <c r="C3613" t="inlineStr">
        <is>
          <t>Love - Shibari - Bradesco</t>
        </is>
      </c>
      <c r="D3613" t="n">
        <v>128</v>
      </c>
      <c r="E3613" t="inlineStr">
        <is>
          <t>Love Cabaret</t>
        </is>
      </c>
      <c r="F3613" s="27" t="n">
        <v>45665.5</v>
      </c>
      <c r="G3613" t="inlineStr">
        <is>
          <t>DEBITO</t>
        </is>
      </c>
      <c r="H3613" t="inlineStr">
        <is>
          <t>TRANSFERENCIA PIX DES: TAKUAROBI             08/01</t>
        </is>
      </c>
      <c r="I3613" t="n">
        <v>-445</v>
      </c>
    </row>
    <row r="3614">
      <c r="A3614" t="n">
        <v>51456</v>
      </c>
      <c r="B3614" t="n">
        <v>115</v>
      </c>
      <c r="C3614" t="inlineStr">
        <is>
          <t>Love - Shibari - Bradesco</t>
        </is>
      </c>
      <c r="D3614" t="n">
        <v>128</v>
      </c>
      <c r="E3614" t="inlineStr">
        <is>
          <t>Love Cabaret</t>
        </is>
      </c>
      <c r="F3614" s="27" t="n">
        <v>45664.5</v>
      </c>
      <c r="G3614" t="inlineStr">
        <is>
          <t>DEBITO</t>
        </is>
      </c>
      <c r="H3614" t="inlineStr">
        <is>
          <t>PAGTO ELETRON  COBRANCA 50377692</t>
        </is>
      </c>
      <c r="I3614" t="n">
        <v>-353.34</v>
      </c>
    </row>
    <row r="3615">
      <c r="A3615" t="n">
        <v>51453</v>
      </c>
      <c r="B3615" t="n">
        <v>115</v>
      </c>
      <c r="C3615" t="inlineStr">
        <is>
          <t>Love - Shibari - Bradesco</t>
        </is>
      </c>
      <c r="D3615" t="n">
        <v>128</v>
      </c>
      <c r="E3615" t="inlineStr">
        <is>
          <t>Love Cabaret</t>
        </is>
      </c>
      <c r="F3615" s="27" t="n">
        <v>45664.5</v>
      </c>
      <c r="G3615" t="inlineStr">
        <is>
          <t>CREDITO</t>
        </is>
      </c>
      <c r="H3615" t="inlineStr">
        <is>
          <t>TED-TRANSF ELET DISPON REMET.SUNSET PUBLICIDADE E</t>
        </is>
      </c>
      <c r="I3615" t="n">
        <v>20000</v>
      </c>
    </row>
    <row r="3616">
      <c r="A3616" t="n">
        <v>51454</v>
      </c>
      <c r="B3616" t="n">
        <v>115</v>
      </c>
      <c r="C3616" t="inlineStr">
        <is>
          <t>Love - Shibari - Bradesco</t>
        </is>
      </c>
      <c r="D3616" t="n">
        <v>128</v>
      </c>
      <c r="E3616" t="inlineStr">
        <is>
          <t>Love Cabaret</t>
        </is>
      </c>
      <c r="F3616" s="27" t="n">
        <v>45664.5</v>
      </c>
      <c r="G3616" t="inlineStr">
        <is>
          <t>CREDITO</t>
        </is>
      </c>
      <c r="H3616" t="inlineStr">
        <is>
          <t>DEVOLUCAO PIX REM: Officina Do Vidro Art 07/01</t>
        </is>
      </c>
      <c r="I3616" t="n">
        <v>780</v>
      </c>
    </row>
    <row r="3617">
      <c r="A3617" t="n">
        <v>51455</v>
      </c>
      <c r="B3617" t="n">
        <v>115</v>
      </c>
      <c r="C3617" t="inlineStr">
        <is>
          <t>Love - Shibari - Bradesco</t>
        </is>
      </c>
      <c r="D3617" t="n">
        <v>128</v>
      </c>
      <c r="E3617" t="inlineStr">
        <is>
          <t>Love Cabaret</t>
        </is>
      </c>
      <c r="F3617" s="27" t="n">
        <v>45664.5</v>
      </c>
      <c r="G3617" t="inlineStr">
        <is>
          <t>CREDITO</t>
        </is>
      </c>
      <c r="H3617" t="inlineStr">
        <is>
          <t>TRANSFERENCIA PIX REM: Zig Tecnologia S.A.   07/01</t>
        </is>
      </c>
      <c r="I3617" t="n">
        <v>17217.01</v>
      </c>
    </row>
    <row r="3618">
      <c r="A3618" t="n">
        <v>51457</v>
      </c>
      <c r="B3618" t="n">
        <v>115</v>
      </c>
      <c r="C3618" t="inlineStr">
        <is>
          <t>Love - Shibari - Bradesco</t>
        </is>
      </c>
      <c r="D3618" t="n">
        <v>128</v>
      </c>
      <c r="E3618" t="inlineStr">
        <is>
          <t>Love Cabaret</t>
        </is>
      </c>
      <c r="F3618" s="27" t="n">
        <v>45664.5</v>
      </c>
      <c r="G3618" t="inlineStr">
        <is>
          <t>DEBITO</t>
        </is>
      </c>
      <c r="H3618" t="inlineStr">
        <is>
          <t>TRANSFERENCIA PIX DES: Officina Do Vidro Art 07/01</t>
        </is>
      </c>
      <c r="I3618" t="n">
        <v>-780</v>
      </c>
    </row>
    <row r="3619">
      <c r="A3619" t="n">
        <v>51445</v>
      </c>
      <c r="B3619" t="n">
        <v>115</v>
      </c>
      <c r="C3619" t="inlineStr">
        <is>
          <t>Love - Shibari - Bradesco</t>
        </is>
      </c>
      <c r="D3619" t="n">
        <v>128</v>
      </c>
      <c r="E3619" t="inlineStr">
        <is>
          <t>Love Cabaret</t>
        </is>
      </c>
      <c r="F3619" s="27" t="n">
        <v>45663.5</v>
      </c>
      <c r="G3619" t="inlineStr">
        <is>
          <t>DEBITO</t>
        </is>
      </c>
      <c r="H3619" t="inlineStr">
        <is>
          <t>PAGTO ELETRON  COBRANCA NF 113373</t>
        </is>
      </c>
      <c r="I3619" t="n">
        <v>-6279.85</v>
      </c>
    </row>
    <row r="3620">
      <c r="A3620" t="n">
        <v>51430</v>
      </c>
      <c r="B3620" t="n">
        <v>115</v>
      </c>
      <c r="C3620" t="inlineStr">
        <is>
          <t>Love - Shibari - Bradesco</t>
        </is>
      </c>
      <c r="D3620" t="n">
        <v>128</v>
      </c>
      <c r="E3620" t="inlineStr">
        <is>
          <t>Love Cabaret</t>
        </is>
      </c>
      <c r="F3620" s="27" t="n">
        <v>45663.5</v>
      </c>
      <c r="G3620" t="inlineStr">
        <is>
          <t>CREDITO</t>
        </is>
      </c>
      <c r="H3620" t="inlineStr">
        <is>
          <t>TED-TRANSF ELET DISPON REMET.CKBR BEBIDAS LTDA</t>
        </is>
      </c>
      <c r="I3620" t="n">
        <v>451000</v>
      </c>
    </row>
    <row r="3621">
      <c r="A3621" t="n">
        <v>51431</v>
      </c>
      <c r="B3621" t="n">
        <v>115</v>
      </c>
      <c r="C3621" t="inlineStr">
        <is>
          <t>Love - Shibari - Bradesco</t>
        </is>
      </c>
      <c r="D3621" t="n">
        <v>128</v>
      </c>
      <c r="E3621" t="inlineStr">
        <is>
          <t>Love Cabaret</t>
        </is>
      </c>
      <c r="F3621" s="27" t="n">
        <v>45663.5</v>
      </c>
      <c r="G3621" t="inlineStr">
        <is>
          <t>CREDITO</t>
        </is>
      </c>
      <c r="H3621" t="inlineStr">
        <is>
          <t>TED-TRANSF ELET DISPON REMET.ARCOS B RESTAURANTE</t>
        </is>
      </c>
      <c r="I3621" t="n">
        <v>6279.85</v>
      </c>
    </row>
    <row r="3622">
      <c r="A3622" t="n">
        <v>51432</v>
      </c>
      <c r="B3622" t="n">
        <v>115</v>
      </c>
      <c r="C3622" t="inlineStr">
        <is>
          <t>Love - Shibari - Bradesco</t>
        </is>
      </c>
      <c r="D3622" t="n">
        <v>128</v>
      </c>
      <c r="E3622" t="inlineStr">
        <is>
          <t>Love Cabaret</t>
        </is>
      </c>
      <c r="F3622" s="27" t="n">
        <v>45663.5</v>
      </c>
      <c r="G3622" t="inlineStr">
        <is>
          <t>CREDITO</t>
        </is>
      </c>
      <c r="H3622" t="inlineStr">
        <is>
          <t>TRANSFERENCIA PIX REM: Zig Tecnologia S.A.   06/01</t>
        </is>
      </c>
      <c r="I3622" t="n">
        <v>22812.7</v>
      </c>
    </row>
    <row r="3623">
      <c r="A3623" t="n">
        <v>51433</v>
      </c>
      <c r="B3623" t="n">
        <v>115</v>
      </c>
      <c r="C3623" t="inlineStr">
        <is>
          <t>Love - Shibari - Bradesco</t>
        </is>
      </c>
      <c r="D3623" t="n">
        <v>128</v>
      </c>
      <c r="E3623" t="inlineStr">
        <is>
          <t>Love Cabaret</t>
        </is>
      </c>
      <c r="F3623" s="27" t="n">
        <v>45663.5</v>
      </c>
      <c r="G3623" t="inlineStr">
        <is>
          <t>DEBITO</t>
        </is>
      </c>
      <c r="H3623" t="inlineStr">
        <is>
          <t>PAGTO ELETRON  COBRANCA VERISURE BRASIL MONITORAMENTO DE</t>
        </is>
      </c>
      <c r="I3623" t="n">
        <v>-263.78</v>
      </c>
    </row>
    <row r="3624">
      <c r="A3624" t="n">
        <v>51434</v>
      </c>
      <c r="B3624" t="n">
        <v>115</v>
      </c>
      <c r="C3624" t="inlineStr">
        <is>
          <t>Love - Shibari - Bradesco</t>
        </is>
      </c>
      <c r="D3624" t="n">
        <v>128</v>
      </c>
      <c r="E3624" t="inlineStr">
        <is>
          <t>Love Cabaret</t>
        </is>
      </c>
      <c r="F3624" s="27" t="n">
        <v>45663.5</v>
      </c>
      <c r="G3624" t="inlineStr">
        <is>
          <t>DEBITO</t>
        </is>
      </c>
      <c r="H3624" t="inlineStr">
        <is>
          <t>PAGTO ELETRON  COBRANCA DOC 670117918</t>
        </is>
      </c>
      <c r="I3624" t="n">
        <v>-13361.21</v>
      </c>
    </row>
    <row r="3625">
      <c r="A3625" t="n">
        <v>51435</v>
      </c>
      <c r="B3625" t="n">
        <v>115</v>
      </c>
      <c r="C3625" t="inlineStr">
        <is>
          <t>Love - Shibari - Bradesco</t>
        </is>
      </c>
      <c r="D3625" t="n">
        <v>128</v>
      </c>
      <c r="E3625" t="inlineStr">
        <is>
          <t>Love Cabaret</t>
        </is>
      </c>
      <c r="F3625" s="27" t="n">
        <v>45663.5</v>
      </c>
      <c r="G3625" t="inlineStr">
        <is>
          <t>DEBITO</t>
        </is>
      </c>
      <c r="H3625" t="inlineStr">
        <is>
          <t>PAGTO ELETRON  COBRANCA NF 670117914</t>
        </is>
      </c>
      <c r="I3625" t="n">
        <v>-87.25</v>
      </c>
    </row>
    <row r="3626">
      <c r="A3626" t="n">
        <v>51436</v>
      </c>
      <c r="B3626" t="n">
        <v>115</v>
      </c>
      <c r="C3626" t="inlineStr">
        <is>
          <t>Love - Shibari - Bradesco</t>
        </is>
      </c>
      <c r="D3626" t="n">
        <v>128</v>
      </c>
      <c r="E3626" t="inlineStr">
        <is>
          <t>Love Cabaret</t>
        </is>
      </c>
      <c r="F3626" s="27" t="n">
        <v>45663.5</v>
      </c>
      <c r="G3626" t="inlineStr">
        <is>
          <t>DEBITO</t>
        </is>
      </c>
      <c r="H3626" t="inlineStr">
        <is>
          <t>PAGTO ELETRON  COBRANCA NF 382175</t>
        </is>
      </c>
      <c r="I3626" t="n">
        <v>-974.83</v>
      </c>
    </row>
    <row r="3627">
      <c r="A3627" t="n">
        <v>51437</v>
      </c>
      <c r="B3627" t="n">
        <v>115</v>
      </c>
      <c r="C3627" t="inlineStr">
        <is>
          <t>Love - Shibari - Bradesco</t>
        </is>
      </c>
      <c r="D3627" t="n">
        <v>128</v>
      </c>
      <c r="E3627" t="inlineStr">
        <is>
          <t>Love Cabaret</t>
        </is>
      </c>
      <c r="F3627" s="27" t="n">
        <v>45663.5</v>
      </c>
      <c r="G3627" t="inlineStr">
        <is>
          <t>DEBITO</t>
        </is>
      </c>
      <c r="H3627" t="inlineStr">
        <is>
          <t>PAGTO ELETRON  COBRANCA NF 73777</t>
        </is>
      </c>
      <c r="I3627" t="n">
        <v>-106.54</v>
      </c>
    </row>
    <row r="3628">
      <c r="A3628" t="n">
        <v>51438</v>
      </c>
      <c r="B3628" t="n">
        <v>115</v>
      </c>
      <c r="C3628" t="inlineStr">
        <is>
          <t>Love - Shibari - Bradesco</t>
        </is>
      </c>
      <c r="D3628" t="n">
        <v>128</v>
      </c>
      <c r="E3628" t="inlineStr">
        <is>
          <t>Love Cabaret</t>
        </is>
      </c>
      <c r="F3628" s="27" t="n">
        <v>45663.5</v>
      </c>
      <c r="G3628" t="inlineStr">
        <is>
          <t>DEBITO</t>
        </is>
      </c>
      <c r="H3628" t="inlineStr">
        <is>
          <t>PAGTO ELETRON  COBRANCA NF 1724</t>
        </is>
      </c>
      <c r="I3628" t="n">
        <v>-331.4</v>
      </c>
    </row>
    <row r="3629">
      <c r="A3629" t="n">
        <v>51440</v>
      </c>
      <c r="B3629" t="n">
        <v>115</v>
      </c>
      <c r="C3629" t="inlineStr">
        <is>
          <t>Love - Shibari - Bradesco</t>
        </is>
      </c>
      <c r="D3629" t="n">
        <v>128</v>
      </c>
      <c r="E3629" t="inlineStr">
        <is>
          <t>Love Cabaret</t>
        </is>
      </c>
      <c r="F3629" s="27" t="n">
        <v>45663.5</v>
      </c>
      <c r="G3629" t="inlineStr">
        <is>
          <t>DEBITO</t>
        </is>
      </c>
      <c r="H3629" t="inlineStr">
        <is>
          <t>PAGTO ELETRON  COBRANCA NF 433538</t>
        </is>
      </c>
      <c r="I3629" t="n">
        <v>-1105.19</v>
      </c>
    </row>
    <row r="3630">
      <c r="A3630" t="n">
        <v>51439</v>
      </c>
      <c r="B3630" t="n">
        <v>115</v>
      </c>
      <c r="C3630" t="inlineStr">
        <is>
          <t>Love - Shibari - Bradesco</t>
        </is>
      </c>
      <c r="D3630" t="n">
        <v>128</v>
      </c>
      <c r="E3630" t="inlineStr">
        <is>
          <t>Love Cabaret</t>
        </is>
      </c>
      <c r="F3630" s="27" t="n">
        <v>45663.5</v>
      </c>
      <c r="G3630" t="inlineStr">
        <is>
          <t>DEBITO</t>
        </is>
      </c>
      <c r="H3630" t="inlineStr">
        <is>
          <t>PAGTO ELETRON  COBRANCA NF 17246</t>
        </is>
      </c>
      <c r="I3630" t="n">
        <v>-518.3</v>
      </c>
    </row>
    <row r="3631">
      <c r="A3631" t="n">
        <v>51449</v>
      </c>
      <c r="B3631" t="n">
        <v>115</v>
      </c>
      <c r="C3631" t="inlineStr">
        <is>
          <t>Love - Shibari - Bradesco</t>
        </is>
      </c>
      <c r="D3631" t="n">
        <v>128</v>
      </c>
      <c r="E3631" t="inlineStr">
        <is>
          <t>Love Cabaret</t>
        </is>
      </c>
      <c r="F3631" s="27" t="n">
        <v>45663.5</v>
      </c>
      <c r="G3631" t="inlineStr">
        <is>
          <t>DEBITO</t>
        </is>
      </c>
      <c r="H3631" t="inlineStr">
        <is>
          <t>TARIFA BANCARIA TRANSF PGTO PIX</t>
        </is>
      </c>
      <c r="I3631" t="n">
        <v>-9</v>
      </c>
    </row>
    <row r="3632">
      <c r="A3632" t="n">
        <v>51450</v>
      </c>
      <c r="B3632" t="n">
        <v>115</v>
      </c>
      <c r="C3632" t="inlineStr">
        <is>
          <t>Love - Shibari - Bradesco</t>
        </is>
      </c>
      <c r="D3632" t="n">
        <v>128</v>
      </c>
      <c r="E3632" t="inlineStr">
        <is>
          <t>Love Cabaret</t>
        </is>
      </c>
      <c r="F3632" s="27" t="n">
        <v>45663.5</v>
      </c>
      <c r="G3632" t="inlineStr">
        <is>
          <t>DEBITO</t>
        </is>
      </c>
      <c r="H3632" t="inlineStr">
        <is>
          <t>PGTO SALARIO VIA NET EMP</t>
        </is>
      </c>
      <c r="I3632" t="n">
        <v>-8394.67</v>
      </c>
    </row>
    <row r="3633">
      <c r="A3633" t="n">
        <v>51451</v>
      </c>
      <c r="B3633" t="n">
        <v>115</v>
      </c>
      <c r="C3633" t="inlineStr">
        <is>
          <t>Love - Shibari - Bradesco</t>
        </is>
      </c>
      <c r="D3633" t="n">
        <v>128</v>
      </c>
      <c r="E3633" t="inlineStr">
        <is>
          <t>Love Cabaret</t>
        </is>
      </c>
      <c r="F3633" s="27" t="n">
        <v>45663.5</v>
      </c>
      <c r="G3633" t="inlineStr">
        <is>
          <t>DEBITO</t>
        </is>
      </c>
      <c r="H3633" t="inlineStr">
        <is>
          <t>PGTO FERIAS VIA NET EMPR</t>
        </is>
      </c>
      <c r="I3633" t="n">
        <v>-2348.5</v>
      </c>
    </row>
    <row r="3634">
      <c r="A3634" t="n">
        <v>51448</v>
      </c>
      <c r="B3634" t="n">
        <v>115</v>
      </c>
      <c r="C3634" t="inlineStr">
        <is>
          <t>Love - Shibari - Bradesco</t>
        </is>
      </c>
      <c r="D3634" t="n">
        <v>128</v>
      </c>
      <c r="E3634" t="inlineStr">
        <is>
          <t>Love Cabaret</t>
        </is>
      </c>
      <c r="F3634" s="27" t="n">
        <v>45663.5</v>
      </c>
      <c r="G3634" t="inlineStr">
        <is>
          <t>DEBITO</t>
        </is>
      </c>
      <c r="H3634" t="inlineStr">
        <is>
          <t>TARIFA BANCARIA TRANSF PGTO PIX</t>
        </is>
      </c>
      <c r="I3634" t="n">
        <v>-9</v>
      </c>
    </row>
    <row r="3635">
      <c r="A3635" t="n">
        <v>51447</v>
      </c>
      <c r="B3635" t="n">
        <v>115</v>
      </c>
      <c r="C3635" t="inlineStr">
        <is>
          <t>Love - Shibari - Bradesco</t>
        </is>
      </c>
      <c r="D3635" t="n">
        <v>128</v>
      </c>
      <c r="E3635" t="inlineStr">
        <is>
          <t>Love Cabaret</t>
        </is>
      </c>
      <c r="F3635" s="27" t="n">
        <v>45663.5</v>
      </c>
      <c r="G3635" t="inlineStr">
        <is>
          <t>DEBITO</t>
        </is>
      </c>
      <c r="H3635" t="inlineStr">
        <is>
          <t>TARIFA BANCARIA TRANSF PGTO PIX</t>
        </is>
      </c>
      <c r="I3635" t="n">
        <v>-9</v>
      </c>
    </row>
    <row r="3636">
      <c r="A3636" t="n">
        <v>51446</v>
      </c>
      <c r="B3636" t="n">
        <v>115</v>
      </c>
      <c r="C3636" t="inlineStr">
        <is>
          <t>Love - Shibari - Bradesco</t>
        </is>
      </c>
      <c r="D3636" t="n">
        <v>128</v>
      </c>
      <c r="E3636" t="inlineStr">
        <is>
          <t>Love Cabaret</t>
        </is>
      </c>
      <c r="F3636" s="27" t="n">
        <v>45663.5</v>
      </c>
      <c r="G3636" t="inlineStr">
        <is>
          <t>DEBITO</t>
        </is>
      </c>
      <c r="H3636" t="inlineStr">
        <is>
          <t>TARIFA BANCARIA TRANSF PGTO PIX</t>
        </is>
      </c>
      <c r="I3636" t="n">
        <v>-9</v>
      </c>
    </row>
    <row r="3637">
      <c r="A3637" t="n">
        <v>51452</v>
      </c>
      <c r="B3637" t="n">
        <v>115</v>
      </c>
      <c r="C3637" t="inlineStr">
        <is>
          <t>Love - Shibari - Bradesco</t>
        </is>
      </c>
      <c r="D3637" t="n">
        <v>128</v>
      </c>
      <c r="E3637" t="inlineStr">
        <is>
          <t>Love Cabaret</t>
        </is>
      </c>
      <c r="F3637" s="27" t="n">
        <v>45663.5</v>
      </c>
      <c r="G3637" t="inlineStr">
        <is>
          <t>DEBITO</t>
        </is>
      </c>
      <c r="H3637" t="inlineStr">
        <is>
          <t>TRANSFERENCIA PIX DES: ART LINHO             06/01</t>
        </is>
      </c>
      <c r="I3637" t="n">
        <v>-1200</v>
      </c>
    </row>
    <row r="3638">
      <c r="A3638" t="n">
        <v>51444</v>
      </c>
      <c r="B3638" t="n">
        <v>115</v>
      </c>
      <c r="C3638" t="inlineStr">
        <is>
          <t>Love - Shibari - Bradesco</t>
        </is>
      </c>
      <c r="D3638" t="n">
        <v>128</v>
      </c>
      <c r="E3638" t="inlineStr">
        <is>
          <t>Love Cabaret</t>
        </is>
      </c>
      <c r="F3638" s="27" t="n">
        <v>45663.5</v>
      </c>
      <c r="G3638" t="inlineStr">
        <is>
          <t>DEBITO</t>
        </is>
      </c>
      <c r="H3638" t="inlineStr">
        <is>
          <t>PAGTO ELETRON  COBRANCA NF 433610</t>
        </is>
      </c>
      <c r="I3638" t="n">
        <v>-1520.3</v>
      </c>
    </row>
    <row r="3639">
      <c r="A3639" t="n">
        <v>51443</v>
      </c>
      <c r="B3639" t="n">
        <v>115</v>
      </c>
      <c r="C3639" t="inlineStr">
        <is>
          <t>Love - Shibari - Bradesco</t>
        </is>
      </c>
      <c r="D3639" t="n">
        <v>128</v>
      </c>
      <c r="E3639" t="inlineStr">
        <is>
          <t>Love Cabaret</t>
        </is>
      </c>
      <c r="F3639" s="27" t="n">
        <v>45663.5</v>
      </c>
      <c r="G3639" t="inlineStr">
        <is>
          <t>DEBITO</t>
        </is>
      </c>
      <c r="H3639" t="inlineStr">
        <is>
          <t>PAGTO ELETRON  COBRANCA NF 390917</t>
        </is>
      </c>
      <c r="I3639" t="n">
        <v>-1322</v>
      </c>
    </row>
    <row r="3640">
      <c r="A3640" t="n">
        <v>51442</v>
      </c>
      <c r="B3640" t="n">
        <v>115</v>
      </c>
      <c r="C3640" t="inlineStr">
        <is>
          <t>Love - Shibari - Bradesco</t>
        </is>
      </c>
      <c r="D3640" t="n">
        <v>128</v>
      </c>
      <c r="E3640" t="inlineStr">
        <is>
          <t>Love Cabaret</t>
        </is>
      </c>
      <c r="F3640" s="27" t="n">
        <v>45663.5</v>
      </c>
      <c r="G3640" t="inlineStr">
        <is>
          <t>DEBITO</t>
        </is>
      </c>
      <c r="H3640" t="inlineStr">
        <is>
          <t>PAGTO ELETRON  COBRANCA NF 19664</t>
        </is>
      </c>
      <c r="I3640" t="n">
        <v>-913.73</v>
      </c>
    </row>
    <row r="3641">
      <c r="A3641" t="n">
        <v>51441</v>
      </c>
      <c r="B3641" t="n">
        <v>115</v>
      </c>
      <c r="C3641" t="inlineStr">
        <is>
          <t>Love - Shibari - Bradesco</t>
        </is>
      </c>
      <c r="D3641" t="n">
        <v>128</v>
      </c>
      <c r="E3641" t="inlineStr">
        <is>
          <t>Love Cabaret</t>
        </is>
      </c>
      <c r="F3641" s="27" t="n">
        <v>45663.5</v>
      </c>
      <c r="G3641" t="inlineStr">
        <is>
          <t>DEBITO</t>
        </is>
      </c>
      <c r="H3641" t="inlineStr">
        <is>
          <t>PAGTO ELETRON  COBRANCA NF T-22480</t>
        </is>
      </c>
      <c r="I3641" t="n">
        <v>-198</v>
      </c>
    </row>
    <row r="3642">
      <c r="A3642" t="n">
        <v>51429</v>
      </c>
      <c r="B3642" t="n">
        <v>115</v>
      </c>
      <c r="C3642" t="inlineStr">
        <is>
          <t>Love - Shibari - Bradesco</t>
        </is>
      </c>
      <c r="D3642" t="n">
        <v>128</v>
      </c>
      <c r="E3642" t="inlineStr">
        <is>
          <t>Love Cabaret</t>
        </is>
      </c>
      <c r="F3642" s="27" t="n">
        <v>45660.5</v>
      </c>
      <c r="G3642" t="inlineStr">
        <is>
          <t>CREDITO</t>
        </is>
      </c>
      <c r="H3642" t="inlineStr">
        <is>
          <t>TED-TRANSF ELET DISPON REMET.DIAGEO BRASIL LTDA</t>
        </is>
      </c>
      <c r="I3642" t="n">
        <v>39455.14</v>
      </c>
    </row>
    <row r="3643">
      <c r="A3643" t="n">
        <v>51406</v>
      </c>
      <c r="B3643" t="n">
        <v>115</v>
      </c>
      <c r="C3643" t="inlineStr">
        <is>
          <t>Love - Shibari - Bradesco</t>
        </is>
      </c>
      <c r="D3643" t="n">
        <v>128</v>
      </c>
      <c r="E3643" t="inlineStr">
        <is>
          <t>Love Cabaret</t>
        </is>
      </c>
      <c r="F3643" s="27" t="n">
        <v>45659.5</v>
      </c>
      <c r="G3643" t="inlineStr">
        <is>
          <t>CREDITO</t>
        </is>
      </c>
      <c r="H3643" t="inlineStr">
        <is>
          <t>TRANSFERENCIA PIX REM: Zig Tecnologia S.A.   02/01</t>
        </is>
      </c>
      <c r="I3643" t="n">
        <v>15281.09</v>
      </c>
    </row>
    <row r="3644">
      <c r="A3644" t="n">
        <v>51408</v>
      </c>
      <c r="B3644" t="n">
        <v>115</v>
      </c>
      <c r="C3644" t="inlineStr">
        <is>
          <t>Love - Shibari - Bradesco</t>
        </is>
      </c>
      <c r="D3644" t="n">
        <v>128</v>
      </c>
      <c r="E3644" t="inlineStr">
        <is>
          <t>Love Cabaret</t>
        </is>
      </c>
      <c r="F3644" s="27" t="n">
        <v>45659.5</v>
      </c>
      <c r="G3644" t="inlineStr">
        <is>
          <t>DEBITO</t>
        </is>
      </c>
      <c r="H3644" t="inlineStr">
        <is>
          <t>PAGTO ELETRON  COBRANCA 546232</t>
        </is>
      </c>
      <c r="I3644" t="n">
        <v>-211.06</v>
      </c>
    </row>
    <row r="3645">
      <c r="A3645" t="n">
        <v>51409</v>
      </c>
      <c r="B3645" t="n">
        <v>115</v>
      </c>
      <c r="C3645" t="inlineStr">
        <is>
          <t>Love - Shibari - Bradesco</t>
        </is>
      </c>
      <c r="D3645" t="n">
        <v>128</v>
      </c>
      <c r="E3645" t="inlineStr">
        <is>
          <t>Love Cabaret</t>
        </is>
      </c>
      <c r="F3645" s="27" t="n">
        <v>45659.5</v>
      </c>
      <c r="G3645" t="inlineStr">
        <is>
          <t>DEBITO</t>
        </is>
      </c>
      <c r="H3645" t="inlineStr">
        <is>
          <t>PAGTO ELETRON  COBRANCA 546224</t>
        </is>
      </c>
      <c r="I3645" t="n">
        <v>-231.8</v>
      </c>
    </row>
    <row r="3646">
      <c r="A3646" t="n">
        <v>51410</v>
      </c>
      <c r="B3646" t="n">
        <v>115</v>
      </c>
      <c r="C3646" t="inlineStr">
        <is>
          <t>Love - Shibari - Bradesco</t>
        </is>
      </c>
      <c r="D3646" t="n">
        <v>128</v>
      </c>
      <c r="E3646" t="inlineStr">
        <is>
          <t>Love Cabaret</t>
        </is>
      </c>
      <c r="F3646" s="27" t="n">
        <v>45659.5</v>
      </c>
      <c r="G3646" t="inlineStr">
        <is>
          <t>DEBITO</t>
        </is>
      </c>
      <c r="H3646" t="inlineStr">
        <is>
          <t>PAGTO ELETRON  COBRANCA 5833</t>
        </is>
      </c>
      <c r="I3646" t="n">
        <v>-780</v>
      </c>
    </row>
    <row r="3647">
      <c r="A3647" t="n">
        <v>51411</v>
      </c>
      <c r="B3647" t="n">
        <v>115</v>
      </c>
      <c r="C3647" t="inlineStr">
        <is>
          <t>Love - Shibari - Bradesco</t>
        </is>
      </c>
      <c r="D3647" t="n">
        <v>128</v>
      </c>
      <c r="E3647" t="inlineStr">
        <is>
          <t>Love Cabaret</t>
        </is>
      </c>
      <c r="F3647" s="27" t="n">
        <v>45659.5</v>
      </c>
      <c r="G3647" t="inlineStr">
        <is>
          <t>DEBITO</t>
        </is>
      </c>
      <c r="H3647" t="inlineStr">
        <is>
          <t>PAGTO ELETRON  COBRANCA 7478</t>
        </is>
      </c>
      <c r="I3647" t="n">
        <v>-1600</v>
      </c>
    </row>
    <row r="3648">
      <c r="A3648" t="n">
        <v>51412</v>
      </c>
      <c r="B3648" t="n">
        <v>115</v>
      </c>
      <c r="C3648" t="inlineStr">
        <is>
          <t>Love - Shibari - Bradesco</t>
        </is>
      </c>
      <c r="D3648" t="n">
        <v>128</v>
      </c>
      <c r="E3648" t="inlineStr">
        <is>
          <t>Love Cabaret</t>
        </is>
      </c>
      <c r="F3648" s="27" t="n">
        <v>45659.5</v>
      </c>
      <c r="G3648" t="inlineStr">
        <is>
          <t>DEBITO</t>
        </is>
      </c>
      <c r="H3648" t="inlineStr">
        <is>
          <t>PAGTO ELETRON  COBRANCA ECAD</t>
        </is>
      </c>
      <c r="I3648" t="n">
        <v>-802.5</v>
      </c>
    </row>
    <row r="3649">
      <c r="A3649" t="n">
        <v>51413</v>
      </c>
      <c r="B3649" t="n">
        <v>115</v>
      </c>
      <c r="C3649" t="inlineStr">
        <is>
          <t>Love - Shibari - Bradesco</t>
        </is>
      </c>
      <c r="D3649" t="n">
        <v>128</v>
      </c>
      <c r="E3649" t="inlineStr">
        <is>
          <t>Love Cabaret</t>
        </is>
      </c>
      <c r="F3649" s="27" t="n">
        <v>45659.5</v>
      </c>
      <c r="G3649" t="inlineStr">
        <is>
          <t>DEBITO</t>
        </is>
      </c>
      <c r="H3649" t="inlineStr">
        <is>
          <t>PAGTO ELETRON  COBRANCA 161126</t>
        </is>
      </c>
      <c r="I3649" t="n">
        <v>-213.82</v>
      </c>
    </row>
    <row r="3650">
      <c r="A3650" t="n">
        <v>51414</v>
      </c>
      <c r="B3650" t="n">
        <v>115</v>
      </c>
      <c r="C3650" t="inlineStr">
        <is>
          <t>Love - Shibari - Bradesco</t>
        </is>
      </c>
      <c r="D3650" t="n">
        <v>128</v>
      </c>
      <c r="E3650" t="inlineStr">
        <is>
          <t>Love Cabaret</t>
        </is>
      </c>
      <c r="F3650" s="27" t="n">
        <v>45659.5</v>
      </c>
      <c r="G3650" t="inlineStr">
        <is>
          <t>DEBITO</t>
        </is>
      </c>
      <c r="H3650" t="inlineStr">
        <is>
          <t>PAGTO ELETRON  COBRANCA 25408</t>
        </is>
      </c>
      <c r="I3650" t="n">
        <v>-384.46</v>
      </c>
    </row>
    <row r="3651">
      <c r="A3651" t="n">
        <v>51415</v>
      </c>
      <c r="B3651" t="n">
        <v>115</v>
      </c>
      <c r="C3651" t="inlineStr">
        <is>
          <t>Love - Shibari - Bradesco</t>
        </is>
      </c>
      <c r="D3651" t="n">
        <v>128</v>
      </c>
      <c r="E3651" t="inlineStr">
        <is>
          <t>Love Cabaret</t>
        </is>
      </c>
      <c r="F3651" s="27" t="n">
        <v>45659.5</v>
      </c>
      <c r="G3651" t="inlineStr">
        <is>
          <t>DEBITO</t>
        </is>
      </c>
      <c r="H3651" t="inlineStr">
        <is>
          <t>PAGTO ELETRON  COBRANCA 873</t>
        </is>
      </c>
      <c r="I3651" t="n">
        <v>-540</v>
      </c>
    </row>
    <row r="3652">
      <c r="A3652" t="n">
        <v>51417</v>
      </c>
      <c r="B3652" t="n">
        <v>115</v>
      </c>
      <c r="C3652" t="inlineStr">
        <is>
          <t>Love - Shibari - Bradesco</t>
        </is>
      </c>
      <c r="D3652" t="n">
        <v>128</v>
      </c>
      <c r="E3652" t="inlineStr">
        <is>
          <t>Love Cabaret</t>
        </is>
      </c>
      <c r="F3652" s="27" t="n">
        <v>45659.5</v>
      </c>
      <c r="G3652" t="inlineStr">
        <is>
          <t>DEBITO</t>
        </is>
      </c>
      <c r="H3652" t="inlineStr">
        <is>
          <t>PAGTO ELETRON  COBRANCA 113666</t>
        </is>
      </c>
      <c r="I3652" t="n">
        <v>-3947.35</v>
      </c>
    </row>
    <row r="3653">
      <c r="A3653" t="n">
        <v>51416</v>
      </c>
      <c r="B3653" t="n">
        <v>115</v>
      </c>
      <c r="C3653" t="inlineStr">
        <is>
          <t>Love - Shibari - Bradesco</t>
        </is>
      </c>
      <c r="D3653" t="n">
        <v>128</v>
      </c>
      <c r="E3653" t="inlineStr">
        <is>
          <t>Love Cabaret</t>
        </is>
      </c>
      <c r="F3653" s="27" t="n">
        <v>45659.5</v>
      </c>
      <c r="G3653" t="inlineStr">
        <is>
          <t>DEBITO</t>
        </is>
      </c>
      <c r="H3653" t="inlineStr">
        <is>
          <t>PAGTO ELETRON  COBRANCA 130986</t>
        </is>
      </c>
      <c r="I3653" t="n">
        <v>-1147.57</v>
      </c>
    </row>
    <row r="3654">
      <c r="A3654" t="n">
        <v>51428</v>
      </c>
      <c r="B3654" t="n">
        <v>115</v>
      </c>
      <c r="C3654" t="inlineStr">
        <is>
          <t>Love - Shibari - Bradesco</t>
        </is>
      </c>
      <c r="D3654" t="n">
        <v>128</v>
      </c>
      <c r="E3654" t="inlineStr">
        <is>
          <t>Love Cabaret</t>
        </is>
      </c>
      <c r="F3654" s="27" t="n">
        <v>45659.5</v>
      </c>
      <c r="G3654" t="inlineStr">
        <is>
          <t>DEBITO</t>
        </is>
      </c>
      <c r="H3654" t="inlineStr">
        <is>
          <t>TRANSFERENCIA PIX DES: MACHINE SEGURANCA PAT 02/01</t>
        </is>
      </c>
      <c r="I3654" t="n">
        <v>-4940</v>
      </c>
    </row>
    <row r="3655">
      <c r="A3655" t="n">
        <v>51427</v>
      </c>
      <c r="B3655" t="n">
        <v>115</v>
      </c>
      <c r="C3655" t="inlineStr">
        <is>
          <t>Love - Shibari - Bradesco</t>
        </is>
      </c>
      <c r="D3655" t="n">
        <v>128</v>
      </c>
      <c r="E3655" t="inlineStr">
        <is>
          <t>Love Cabaret</t>
        </is>
      </c>
      <c r="F3655" s="27" t="n">
        <v>45659.5</v>
      </c>
      <c r="G3655" t="inlineStr">
        <is>
          <t>DEBITO</t>
        </is>
      </c>
      <c r="H3655" t="inlineStr">
        <is>
          <t>TRANSFERENCIA PIX DES: EDJANE DANTAS SANTOS  02/01</t>
        </is>
      </c>
      <c r="I3655" t="n">
        <v>-1200</v>
      </c>
    </row>
    <row r="3656">
      <c r="A3656" t="n">
        <v>51426</v>
      </c>
      <c r="B3656" t="n">
        <v>115</v>
      </c>
      <c r="C3656" t="inlineStr">
        <is>
          <t>Love - Shibari - Bradesco</t>
        </is>
      </c>
      <c r="D3656" t="n">
        <v>128</v>
      </c>
      <c r="E3656" t="inlineStr">
        <is>
          <t>Love Cabaret</t>
        </is>
      </c>
      <c r="F3656" s="27" t="n">
        <v>45659.5</v>
      </c>
      <c r="G3656" t="inlineStr">
        <is>
          <t>DEBITO</t>
        </is>
      </c>
      <c r="H3656" t="inlineStr">
        <is>
          <t>TRANSFERENCIA PIX DES: LUIZ ROBERTO MOREIRA  02/01</t>
        </is>
      </c>
      <c r="I3656" t="n">
        <v>-2900</v>
      </c>
    </row>
    <row r="3657">
      <c r="A3657" t="n">
        <v>51425</v>
      </c>
      <c r="B3657" t="n">
        <v>115</v>
      </c>
      <c r="C3657" t="inlineStr">
        <is>
          <t>Love - Shibari - Bradesco</t>
        </is>
      </c>
      <c r="D3657" t="n">
        <v>128</v>
      </c>
      <c r="E3657" t="inlineStr">
        <is>
          <t>Love Cabaret</t>
        </is>
      </c>
      <c r="F3657" s="27" t="n">
        <v>45659.5</v>
      </c>
      <c r="G3657" t="inlineStr">
        <is>
          <t>DEBITO</t>
        </is>
      </c>
      <c r="H3657" t="inlineStr">
        <is>
          <t>TRANSFERENCIA PIX DES: AGENCIA BIOMA PUBLICI 02/01</t>
        </is>
      </c>
      <c r="I3657" t="n">
        <v>-7000</v>
      </c>
    </row>
    <row r="3658">
      <c r="A3658" t="n">
        <v>51424</v>
      </c>
      <c r="B3658" t="n">
        <v>115</v>
      </c>
      <c r="C3658" t="inlineStr">
        <is>
          <t>Love - Shibari - Bradesco</t>
        </is>
      </c>
      <c r="D3658" t="n">
        <v>128</v>
      </c>
      <c r="E3658" t="inlineStr">
        <is>
          <t>Love Cabaret</t>
        </is>
      </c>
      <c r="F3658" s="27" t="n">
        <v>45659.5</v>
      </c>
      <c r="G3658" t="inlineStr">
        <is>
          <t>DEBITO</t>
        </is>
      </c>
      <c r="H3658" t="inlineStr">
        <is>
          <t>TARIFA BANCARIA TRANSF PGTO PIX</t>
        </is>
      </c>
      <c r="I3658" t="n">
        <v>-9</v>
      </c>
    </row>
    <row r="3659">
      <c r="A3659" t="n">
        <v>51423</v>
      </c>
      <c r="B3659" t="n">
        <v>115</v>
      </c>
      <c r="C3659" t="inlineStr">
        <is>
          <t>Love - Shibari - Bradesco</t>
        </is>
      </c>
      <c r="D3659" t="n">
        <v>128</v>
      </c>
      <c r="E3659" t="inlineStr">
        <is>
          <t>Love Cabaret</t>
        </is>
      </c>
      <c r="F3659" s="27" t="n">
        <v>45659.5</v>
      </c>
      <c r="G3659" t="inlineStr">
        <is>
          <t>DEBITO</t>
        </is>
      </c>
      <c r="H3659" t="inlineStr">
        <is>
          <t>TARIFA BANCARIA TRANSF PGTO PIX</t>
        </is>
      </c>
      <c r="I3659" t="n">
        <v>-9</v>
      </c>
    </row>
    <row r="3660">
      <c r="A3660" t="n">
        <v>51422</v>
      </c>
      <c r="B3660" t="n">
        <v>115</v>
      </c>
      <c r="C3660" t="inlineStr">
        <is>
          <t>Love - Shibari - Bradesco</t>
        </is>
      </c>
      <c r="D3660" t="n">
        <v>128</v>
      </c>
      <c r="E3660" t="inlineStr">
        <is>
          <t>Love Cabaret</t>
        </is>
      </c>
      <c r="F3660" s="27" t="n">
        <v>45659.5</v>
      </c>
      <c r="G3660" t="inlineStr">
        <is>
          <t>DEBITO</t>
        </is>
      </c>
      <c r="H3660" t="inlineStr">
        <is>
          <t>TARIFA BANCARIA TRANSF PGTO PIX</t>
        </is>
      </c>
      <c r="I3660" t="n">
        <v>-9</v>
      </c>
    </row>
    <row r="3661">
      <c r="A3661" t="n">
        <v>51421</v>
      </c>
      <c r="B3661" t="n">
        <v>115</v>
      </c>
      <c r="C3661" t="inlineStr">
        <is>
          <t>Love - Shibari - Bradesco</t>
        </is>
      </c>
      <c r="D3661" t="n">
        <v>128</v>
      </c>
      <c r="E3661" t="inlineStr">
        <is>
          <t>Love Cabaret</t>
        </is>
      </c>
      <c r="F3661" s="27" t="n">
        <v>45659.5</v>
      </c>
      <c r="G3661" t="inlineStr">
        <is>
          <t>DEBITO</t>
        </is>
      </c>
      <c r="H3661" t="inlineStr">
        <is>
          <t>TARIFA BANCARIA TRANSF PGTO PIX</t>
        </is>
      </c>
      <c r="I3661" t="n">
        <v>-9</v>
      </c>
    </row>
    <row r="3662">
      <c r="A3662" t="n">
        <v>51420</v>
      </c>
      <c r="B3662" t="n">
        <v>115</v>
      </c>
      <c r="C3662" t="inlineStr">
        <is>
          <t>Love - Shibari - Bradesco</t>
        </is>
      </c>
      <c r="D3662" t="n">
        <v>128</v>
      </c>
      <c r="E3662" t="inlineStr">
        <is>
          <t>Love Cabaret</t>
        </is>
      </c>
      <c r="F3662" s="27" t="n">
        <v>45659.5</v>
      </c>
      <c r="G3662" t="inlineStr">
        <is>
          <t>DEBITO</t>
        </is>
      </c>
      <c r="H3662" t="inlineStr">
        <is>
          <t>TARIFA BANCARIA TRANSF PGTO PIX</t>
        </is>
      </c>
      <c r="I3662" t="n">
        <v>-9</v>
      </c>
    </row>
    <row r="3663">
      <c r="A3663" t="n">
        <v>51419</v>
      </c>
      <c r="B3663" t="n">
        <v>115</v>
      </c>
      <c r="C3663" t="inlineStr">
        <is>
          <t>Love - Shibari - Bradesco</t>
        </is>
      </c>
      <c r="D3663" t="n">
        <v>128</v>
      </c>
      <c r="E3663" t="inlineStr">
        <is>
          <t>Love Cabaret</t>
        </is>
      </c>
      <c r="F3663" s="27" t="n">
        <v>45659.5</v>
      </c>
      <c r="G3663" t="inlineStr">
        <is>
          <t>DEBITO</t>
        </is>
      </c>
      <c r="H3663" t="inlineStr">
        <is>
          <t>TARIFA BANCARIA TRANSF PGTO PIX</t>
        </is>
      </c>
      <c r="I3663" t="n">
        <v>-8.4</v>
      </c>
    </row>
    <row r="3664">
      <c r="A3664" t="n">
        <v>51418</v>
      </c>
      <c r="B3664" t="n">
        <v>115</v>
      </c>
      <c r="C3664" t="inlineStr">
        <is>
          <t>Love - Shibari - Bradesco</t>
        </is>
      </c>
      <c r="D3664" t="n">
        <v>128</v>
      </c>
      <c r="E3664" t="inlineStr">
        <is>
          <t>Love Cabaret</t>
        </is>
      </c>
      <c r="F3664" s="27" t="n">
        <v>45659.5</v>
      </c>
      <c r="G3664" t="inlineStr">
        <is>
          <t>DEBITO</t>
        </is>
      </c>
      <c r="H3664" t="inlineStr">
        <is>
          <t>TARIFA BANCARIA TRANSF PGTO PIX</t>
        </is>
      </c>
      <c r="I3664" t="n">
        <v>-5.1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Mutuo_ID</t>
        </is>
      </c>
      <c r="B1" t="inlineStr">
        <is>
          <t>Data_Mutuo</t>
        </is>
      </c>
      <c r="C1" t="inlineStr">
        <is>
          <t>ID_Casa_Saida</t>
        </is>
      </c>
      <c r="D1" t="inlineStr">
        <is>
          <t>Casa_Saida</t>
        </is>
      </c>
      <c r="E1" t="inlineStr">
        <is>
          <t>ID_Conta_Saida</t>
        </is>
      </c>
      <c r="F1" t="inlineStr">
        <is>
          <t>Conta_Saida</t>
        </is>
      </c>
      <c r="G1" t="inlineStr">
        <is>
          <t>ID_Casa_Entrada</t>
        </is>
      </c>
      <c r="H1" t="inlineStr">
        <is>
          <t>Casa_Entrada</t>
        </is>
      </c>
      <c r="I1" t="inlineStr">
        <is>
          <t>ID_Conta_Entrada</t>
        </is>
      </c>
      <c r="J1" t="inlineStr">
        <is>
          <t>Conta_Entrada</t>
        </is>
      </c>
      <c r="K1" t="inlineStr">
        <is>
          <t>Tag_Faturam_Zig</t>
        </is>
      </c>
      <c r="L1" t="inlineStr">
        <is>
          <t>Observacoes</t>
        </is>
      </c>
      <c r="M1" t="inlineStr">
        <is>
          <t>Valor_Entrada</t>
        </is>
      </c>
      <c r="N1" t="inlineStr">
        <is>
          <t>Valor_Saida</t>
        </is>
      </c>
    </row>
    <row r="2">
      <c r="A2" t="n">
        <v>6186</v>
      </c>
      <c r="B2" s="27" t="n">
        <v>45834</v>
      </c>
      <c r="C2" t="n">
        <v>122</v>
      </c>
      <c r="D2" t="inlineStr">
        <is>
          <t>Arcos</t>
        </is>
      </c>
      <c r="G2" t="n">
        <v>128</v>
      </c>
      <c r="H2" t="inlineStr">
        <is>
          <t>Love Cabaret</t>
        </is>
      </c>
      <c r="K2" t="n">
        <v>0</v>
      </c>
      <c r="L2" t="inlineStr">
        <is>
          <t>VALOR REFERENTE A BILHETERIA DO LOVE QUE ENTRO ERRADO NO ARCOS ID 7.074</t>
        </is>
      </c>
      <c r="M2" t="n">
        <v>12610</v>
      </c>
      <c r="N2" t="n">
        <v>0</v>
      </c>
    </row>
    <row r="3">
      <c r="A3" t="n">
        <v>5202</v>
      </c>
      <c r="B3" s="27" t="n">
        <v>45791</v>
      </c>
      <c r="C3" t="n">
        <v>122</v>
      </c>
      <c r="D3" t="inlineStr">
        <is>
          <t>Arcos</t>
        </is>
      </c>
      <c r="G3" t="n">
        <v>128</v>
      </c>
      <c r="H3" t="inlineStr">
        <is>
          <t>Love Cabaret</t>
        </is>
      </c>
      <c r="K3" t="n">
        <v>0</v>
      </c>
      <c r="L3" t="inlineStr">
        <is>
          <t>DEVOLUÇÃO DE BILHETERIA PERTECENTE AO LOVE DEPOSITADO NA CONTA DO ARCOS</t>
        </is>
      </c>
      <c r="M3" t="n">
        <v>21785</v>
      </c>
      <c r="N3" t="n">
        <v>0</v>
      </c>
    </row>
    <row r="4">
      <c r="A4" t="n">
        <v>8650</v>
      </c>
      <c r="B4" s="27" t="n">
        <v>46013</v>
      </c>
      <c r="C4" t="n">
        <v>128</v>
      </c>
      <c r="D4" t="inlineStr">
        <is>
          <t>Love Cabaret</t>
        </is>
      </c>
      <c r="E4" t="n">
        <v>115</v>
      </c>
      <c r="F4" t="inlineStr">
        <is>
          <t>Love - Shibari - Bradesco</t>
        </is>
      </c>
      <c r="G4" t="n">
        <v>128</v>
      </c>
      <c r="H4" t="inlineStr">
        <is>
          <t>Love Cabaret</t>
        </is>
      </c>
      <c r="I4" t="n">
        <v>182</v>
      </c>
      <c r="J4" t="inlineStr">
        <is>
          <t>Love - Shibari - Kamino</t>
        </is>
      </c>
      <c r="K4" t="n">
        <v>0</v>
      </c>
      <c r="L4" t="inlineStr">
        <is>
          <t>MUTUO ISA</t>
        </is>
      </c>
      <c r="M4" t="n">
        <v>200000</v>
      </c>
      <c r="N4" t="n">
        <v>200000</v>
      </c>
    </row>
    <row r="5">
      <c r="A5" t="n">
        <v>8564</v>
      </c>
      <c r="B5" s="27" t="n">
        <v>46006</v>
      </c>
      <c r="C5" t="n">
        <v>128</v>
      </c>
      <c r="D5" t="inlineStr">
        <is>
          <t>Love Cabaret</t>
        </is>
      </c>
      <c r="E5" t="n">
        <v>115</v>
      </c>
      <c r="F5" t="inlineStr">
        <is>
          <t>Love - Shibari - Bradesco</t>
        </is>
      </c>
      <c r="G5" t="n">
        <v>128</v>
      </c>
      <c r="H5" t="inlineStr">
        <is>
          <t>Love Cabaret</t>
        </is>
      </c>
      <c r="I5" t="n">
        <v>182</v>
      </c>
      <c r="J5" t="inlineStr">
        <is>
          <t>Love - Shibari - Kamino</t>
        </is>
      </c>
      <c r="K5" t="n">
        <v>0</v>
      </c>
      <c r="L5" t="inlineStr">
        <is>
          <t>MUTUO ISA</t>
        </is>
      </c>
      <c r="M5" t="n">
        <v>100000</v>
      </c>
      <c r="N5" t="n">
        <v>100000</v>
      </c>
    </row>
    <row r="6">
      <c r="A6" t="n">
        <v>8496</v>
      </c>
      <c r="B6" s="27" t="n">
        <v>46001</v>
      </c>
      <c r="C6" t="n">
        <v>128</v>
      </c>
      <c r="D6" t="inlineStr">
        <is>
          <t>Love Cabaret</t>
        </is>
      </c>
      <c r="E6" t="n">
        <v>115</v>
      </c>
      <c r="F6" t="inlineStr">
        <is>
          <t>Love - Shibari - Bradesco</t>
        </is>
      </c>
      <c r="G6" t="n">
        <v>128</v>
      </c>
      <c r="H6" t="inlineStr">
        <is>
          <t>Love Cabaret</t>
        </is>
      </c>
      <c r="I6" t="n">
        <v>182</v>
      </c>
      <c r="J6" t="inlineStr">
        <is>
          <t>Love - Shibari - Kamino</t>
        </is>
      </c>
      <c r="K6" t="n">
        <v>0</v>
      </c>
      <c r="L6" t="inlineStr">
        <is>
          <t>MUTUO ISA</t>
        </is>
      </c>
      <c r="M6" t="n">
        <v>25000</v>
      </c>
      <c r="N6" t="n">
        <v>25000</v>
      </c>
    </row>
    <row r="7">
      <c r="A7" t="n">
        <v>8493</v>
      </c>
      <c r="B7" s="27" t="n">
        <v>45999</v>
      </c>
      <c r="C7" t="n">
        <v>128</v>
      </c>
      <c r="D7" t="inlineStr">
        <is>
          <t>Love Cabaret</t>
        </is>
      </c>
      <c r="E7" t="n">
        <v>115</v>
      </c>
      <c r="F7" t="inlineStr">
        <is>
          <t>Love - Shibari - Bradesco</t>
        </is>
      </c>
      <c r="G7" t="n">
        <v>128</v>
      </c>
      <c r="H7" t="inlineStr">
        <is>
          <t>Love Cabaret</t>
        </is>
      </c>
      <c r="I7" t="n">
        <v>182</v>
      </c>
      <c r="J7" t="inlineStr">
        <is>
          <t>Love - Shibari - Kamino</t>
        </is>
      </c>
      <c r="K7" t="n">
        <v>0</v>
      </c>
      <c r="L7" t="inlineStr">
        <is>
          <t>MUTUO ISA</t>
        </is>
      </c>
      <c r="M7" t="n">
        <v>210000</v>
      </c>
      <c r="N7" t="n">
        <v>210000</v>
      </c>
    </row>
    <row r="8">
      <c r="A8" t="n">
        <v>8406</v>
      </c>
      <c r="B8" s="27" t="n">
        <v>45992</v>
      </c>
      <c r="C8" t="n">
        <v>128</v>
      </c>
      <c r="D8" t="inlineStr">
        <is>
          <t>Love Cabaret</t>
        </is>
      </c>
      <c r="E8" t="n">
        <v>115</v>
      </c>
      <c r="F8" t="inlineStr">
        <is>
          <t>Love - Shibari - Bradesco</t>
        </is>
      </c>
      <c r="G8" t="n">
        <v>128</v>
      </c>
      <c r="H8" t="inlineStr">
        <is>
          <t>Love Cabaret</t>
        </is>
      </c>
      <c r="I8" t="n">
        <v>182</v>
      </c>
      <c r="J8" t="inlineStr">
        <is>
          <t>Love - Shibari - Kamino</t>
        </is>
      </c>
      <c r="K8" t="n">
        <v>0</v>
      </c>
      <c r="L8" t="inlineStr">
        <is>
          <t>MUTUO ISA</t>
        </is>
      </c>
      <c r="M8" t="n">
        <v>120000</v>
      </c>
      <c r="N8" t="n">
        <v>120000</v>
      </c>
    </row>
    <row r="9">
      <c r="A9" t="n">
        <v>8316</v>
      </c>
      <c r="B9" s="27" t="n">
        <v>45987</v>
      </c>
      <c r="C9" t="n">
        <v>128</v>
      </c>
      <c r="D9" t="inlineStr">
        <is>
          <t>Love Cabaret</t>
        </is>
      </c>
      <c r="E9" t="n">
        <v>115</v>
      </c>
      <c r="F9" t="inlineStr">
        <is>
          <t>Love - Shibari - Bradesco</t>
        </is>
      </c>
      <c r="G9" t="n">
        <v>128</v>
      </c>
      <c r="H9" t="inlineStr">
        <is>
          <t>Love Cabaret</t>
        </is>
      </c>
      <c r="I9" t="n">
        <v>182</v>
      </c>
      <c r="J9" t="inlineStr">
        <is>
          <t>Love - Shibari - Kamino</t>
        </is>
      </c>
      <c r="K9" t="n">
        <v>0</v>
      </c>
      <c r="L9" t="inlineStr">
        <is>
          <t>MUTUO ISA</t>
        </is>
      </c>
      <c r="M9" t="n">
        <v>5000</v>
      </c>
      <c r="N9" t="n">
        <v>5000</v>
      </c>
    </row>
    <row r="10">
      <c r="A10" t="n">
        <v>8314</v>
      </c>
      <c r="B10" s="27" t="n">
        <v>45985</v>
      </c>
      <c r="C10" t="n">
        <v>128</v>
      </c>
      <c r="D10" t="inlineStr">
        <is>
          <t>Love Cabaret</t>
        </is>
      </c>
      <c r="E10" t="n">
        <v>115</v>
      </c>
      <c r="F10" t="inlineStr">
        <is>
          <t>Love - Shibari - Bradesco</t>
        </is>
      </c>
      <c r="G10" t="n">
        <v>128</v>
      </c>
      <c r="H10" t="inlineStr">
        <is>
          <t>Love Cabaret</t>
        </is>
      </c>
      <c r="I10" t="n">
        <v>182</v>
      </c>
      <c r="J10" t="inlineStr">
        <is>
          <t>Love - Shibari - Kamino</t>
        </is>
      </c>
      <c r="K10" t="n">
        <v>0</v>
      </c>
      <c r="L10" t="inlineStr">
        <is>
          <t>MUTUO ISA</t>
        </is>
      </c>
      <c r="M10" t="n">
        <v>70000</v>
      </c>
      <c r="N10" t="n">
        <v>70000</v>
      </c>
    </row>
    <row r="11">
      <c r="A11" t="n">
        <v>8274</v>
      </c>
      <c r="B11" s="27" t="n">
        <v>45980</v>
      </c>
      <c r="C11" t="n">
        <v>128</v>
      </c>
      <c r="D11" t="inlineStr">
        <is>
          <t>Love Cabaret</t>
        </is>
      </c>
      <c r="E11" t="n">
        <v>115</v>
      </c>
      <c r="F11" t="inlineStr">
        <is>
          <t>Love - Shibari - Bradesco</t>
        </is>
      </c>
      <c r="G11" t="n">
        <v>128</v>
      </c>
      <c r="H11" t="inlineStr">
        <is>
          <t>Love Cabaret</t>
        </is>
      </c>
      <c r="I11" t="n">
        <v>182</v>
      </c>
      <c r="J11" t="inlineStr">
        <is>
          <t>Love - Shibari - Kamino</t>
        </is>
      </c>
      <c r="K11" t="n">
        <v>0</v>
      </c>
      <c r="L11" t="inlineStr">
        <is>
          <t xml:space="preserve">MUTUO ISA </t>
        </is>
      </c>
      <c r="M11" t="n">
        <v>30000</v>
      </c>
      <c r="N11" t="n">
        <v>30000</v>
      </c>
    </row>
    <row r="12">
      <c r="A12" t="n">
        <v>8188</v>
      </c>
      <c r="B12" s="27" t="n">
        <v>45978</v>
      </c>
      <c r="C12" t="n">
        <v>128</v>
      </c>
      <c r="D12" t="inlineStr">
        <is>
          <t>Love Cabaret</t>
        </is>
      </c>
      <c r="E12" t="n">
        <v>115</v>
      </c>
      <c r="F12" t="inlineStr">
        <is>
          <t>Love - Shibari - Bradesco</t>
        </is>
      </c>
      <c r="G12" t="n">
        <v>128</v>
      </c>
      <c r="H12" t="inlineStr">
        <is>
          <t>Love Cabaret</t>
        </is>
      </c>
      <c r="I12" t="n">
        <v>182</v>
      </c>
      <c r="J12" t="inlineStr">
        <is>
          <t>Love - Shibari - Kamino</t>
        </is>
      </c>
      <c r="K12" t="n">
        <v>0</v>
      </c>
      <c r="L12" t="inlineStr">
        <is>
          <t xml:space="preserve">MUTUO ISA </t>
        </is>
      </c>
      <c r="M12" t="n">
        <v>30000</v>
      </c>
      <c r="N12" t="n">
        <v>30000</v>
      </c>
    </row>
    <row r="13">
      <c r="A13" t="n">
        <v>8119</v>
      </c>
      <c r="B13" s="27" t="n">
        <v>45973</v>
      </c>
      <c r="C13" t="n">
        <v>128</v>
      </c>
      <c r="D13" t="inlineStr">
        <is>
          <t>Love Cabaret</t>
        </is>
      </c>
      <c r="E13" t="n">
        <v>115</v>
      </c>
      <c r="F13" t="inlineStr">
        <is>
          <t>Love - Shibari - Bradesco</t>
        </is>
      </c>
      <c r="G13" t="n">
        <v>128</v>
      </c>
      <c r="H13" t="inlineStr">
        <is>
          <t>Love Cabaret</t>
        </is>
      </c>
      <c r="I13" t="n">
        <v>182</v>
      </c>
      <c r="J13" t="inlineStr">
        <is>
          <t>Love - Shibari - Kamino</t>
        </is>
      </c>
      <c r="K13" t="n">
        <v>0</v>
      </c>
      <c r="L13" t="inlineStr">
        <is>
          <t>MUTUO ISA</t>
        </is>
      </c>
      <c r="M13" t="n">
        <v>17000</v>
      </c>
      <c r="N13" t="n">
        <v>17000</v>
      </c>
    </row>
    <row r="14">
      <c r="A14" t="n">
        <v>8094</v>
      </c>
      <c r="B14" s="27" t="n">
        <v>45971</v>
      </c>
      <c r="C14" t="n">
        <v>128</v>
      </c>
      <c r="D14" t="inlineStr">
        <is>
          <t>Love Cabaret</t>
        </is>
      </c>
      <c r="E14" t="n">
        <v>115</v>
      </c>
      <c r="F14" t="inlineStr">
        <is>
          <t>Love - Shibari - Bradesco</t>
        </is>
      </c>
      <c r="G14" t="n">
        <v>128</v>
      </c>
      <c r="H14" t="inlineStr">
        <is>
          <t>Love Cabaret</t>
        </is>
      </c>
      <c r="I14" t="n">
        <v>182</v>
      </c>
      <c r="J14" t="inlineStr">
        <is>
          <t>Love - Shibari - Kamino</t>
        </is>
      </c>
      <c r="K14" t="n">
        <v>0</v>
      </c>
      <c r="L14" t="inlineStr">
        <is>
          <t>MUTUO ISA</t>
        </is>
      </c>
      <c r="M14" t="n">
        <v>200000</v>
      </c>
      <c r="N14" t="n">
        <v>200000</v>
      </c>
    </row>
    <row r="15">
      <c r="A15" t="n">
        <v>8023</v>
      </c>
      <c r="B15" s="27" t="n">
        <v>45966</v>
      </c>
      <c r="C15" t="n">
        <v>128</v>
      </c>
      <c r="D15" t="inlineStr">
        <is>
          <t>Love Cabaret</t>
        </is>
      </c>
      <c r="E15" t="n">
        <v>115</v>
      </c>
      <c r="F15" t="inlineStr">
        <is>
          <t>Love - Shibari - Bradesco</t>
        </is>
      </c>
      <c r="G15" t="n">
        <v>128</v>
      </c>
      <c r="H15" t="inlineStr">
        <is>
          <t>Love Cabaret</t>
        </is>
      </c>
      <c r="I15" t="n">
        <v>182</v>
      </c>
      <c r="J15" t="inlineStr">
        <is>
          <t>Love - Shibari - Kamino</t>
        </is>
      </c>
      <c r="K15" t="n">
        <v>0</v>
      </c>
      <c r="L15" t="inlineStr">
        <is>
          <t>MUTUO ISA</t>
        </is>
      </c>
      <c r="M15" t="n">
        <v>15000</v>
      </c>
      <c r="N15" t="n">
        <v>15000</v>
      </c>
    </row>
    <row r="16">
      <c r="A16" t="n">
        <v>8019</v>
      </c>
      <c r="B16" s="27" t="n">
        <v>45966</v>
      </c>
      <c r="C16" t="n">
        <v>128</v>
      </c>
      <c r="D16" t="inlineStr">
        <is>
          <t>Love Cabaret</t>
        </is>
      </c>
      <c r="E16" t="n">
        <v>115</v>
      </c>
      <c r="F16" t="inlineStr">
        <is>
          <t>Love - Shibari - Bradesco</t>
        </is>
      </c>
      <c r="G16" t="n">
        <v>128</v>
      </c>
      <c r="H16" t="inlineStr">
        <is>
          <t>Love Cabaret</t>
        </is>
      </c>
      <c r="I16" t="n">
        <v>182</v>
      </c>
      <c r="J16" t="inlineStr">
        <is>
          <t>Love - Shibari - Kamino</t>
        </is>
      </c>
      <c r="K16" t="n">
        <v>0</v>
      </c>
      <c r="L16" t="inlineStr">
        <is>
          <t xml:space="preserve">MUTUO ISA </t>
        </is>
      </c>
      <c r="M16" t="n">
        <v>15000</v>
      </c>
      <c r="N16" t="n">
        <v>15000</v>
      </c>
    </row>
    <row r="17">
      <c r="A17" t="n">
        <v>8017</v>
      </c>
      <c r="B17" s="27" t="n">
        <v>45964</v>
      </c>
      <c r="C17" t="n">
        <v>128</v>
      </c>
      <c r="D17" t="inlineStr">
        <is>
          <t>Love Cabaret</t>
        </is>
      </c>
      <c r="E17" t="n">
        <v>115</v>
      </c>
      <c r="F17" t="inlineStr">
        <is>
          <t>Love - Shibari - Bradesco</t>
        </is>
      </c>
      <c r="G17" t="n">
        <v>128</v>
      </c>
      <c r="H17" t="inlineStr">
        <is>
          <t>Love Cabaret</t>
        </is>
      </c>
      <c r="I17" t="n">
        <v>182</v>
      </c>
      <c r="J17" t="inlineStr">
        <is>
          <t>Love - Shibari - Kamino</t>
        </is>
      </c>
      <c r="K17" t="n">
        <v>0</v>
      </c>
      <c r="L17" t="inlineStr">
        <is>
          <t>MUTUO ISA</t>
        </is>
      </c>
      <c r="M17" t="n">
        <v>100000</v>
      </c>
      <c r="N17" t="n">
        <v>100000</v>
      </c>
    </row>
    <row r="18">
      <c r="A18" t="n">
        <v>8022</v>
      </c>
      <c r="B18" s="27" t="n">
        <v>45960</v>
      </c>
      <c r="C18" t="n">
        <v>128</v>
      </c>
      <c r="D18" t="inlineStr">
        <is>
          <t>Love Cabaret</t>
        </is>
      </c>
      <c r="E18" t="n">
        <v>115</v>
      </c>
      <c r="F18" t="inlineStr">
        <is>
          <t>Love - Shibari - Bradesco</t>
        </is>
      </c>
      <c r="G18" t="n">
        <v>128</v>
      </c>
      <c r="H18" t="inlineStr">
        <is>
          <t>Love Cabaret</t>
        </is>
      </c>
      <c r="I18" t="n">
        <v>182</v>
      </c>
      <c r="J18" t="inlineStr">
        <is>
          <t>Love - Shibari - Kamino</t>
        </is>
      </c>
      <c r="K18" t="n">
        <v>0</v>
      </c>
      <c r="L18" t="inlineStr">
        <is>
          <t>MUTUO ISA</t>
        </is>
      </c>
      <c r="M18" t="n">
        <v>5000</v>
      </c>
      <c r="N18" t="n">
        <v>5000</v>
      </c>
    </row>
    <row r="19">
      <c r="A19" t="n">
        <v>8021</v>
      </c>
      <c r="B19" s="27" t="n">
        <v>45959</v>
      </c>
      <c r="C19" t="n">
        <v>128</v>
      </c>
      <c r="D19" t="inlineStr">
        <is>
          <t>Love Cabaret</t>
        </is>
      </c>
      <c r="E19" t="n">
        <v>115</v>
      </c>
      <c r="F19" t="inlineStr">
        <is>
          <t>Love - Shibari - Bradesco</t>
        </is>
      </c>
      <c r="G19" t="n">
        <v>128</v>
      </c>
      <c r="H19" t="inlineStr">
        <is>
          <t>Love Cabaret</t>
        </is>
      </c>
      <c r="I19" t="n">
        <v>182</v>
      </c>
      <c r="J19" t="inlineStr">
        <is>
          <t>Love - Shibari - Kamino</t>
        </is>
      </c>
      <c r="K19" t="n">
        <v>0</v>
      </c>
      <c r="L19" t="inlineStr">
        <is>
          <t xml:space="preserve">MUTUO ISA </t>
        </is>
      </c>
      <c r="M19" t="n">
        <v>13000</v>
      </c>
      <c r="N19" t="n">
        <v>13000</v>
      </c>
    </row>
    <row r="20">
      <c r="A20" t="n">
        <v>7628</v>
      </c>
      <c r="B20" s="27" t="n">
        <v>45938</v>
      </c>
      <c r="C20" t="n">
        <v>128</v>
      </c>
      <c r="D20" t="inlineStr">
        <is>
          <t>Love Cabaret</t>
        </is>
      </c>
      <c r="E20" t="n">
        <v>115</v>
      </c>
      <c r="F20" t="inlineStr">
        <is>
          <t>Love - Shibari - Bradesco</t>
        </is>
      </c>
      <c r="G20" t="n">
        <v>128</v>
      </c>
      <c r="H20" t="inlineStr">
        <is>
          <t>Love Cabaret</t>
        </is>
      </c>
      <c r="I20" t="n">
        <v>182</v>
      </c>
      <c r="J20" t="inlineStr">
        <is>
          <t>Love - Shibari - Kamino</t>
        </is>
      </c>
      <c r="K20" t="n">
        <v>0</v>
      </c>
      <c r="M20" t="n">
        <v>89000</v>
      </c>
      <c r="N20" t="n">
        <v>89000</v>
      </c>
    </row>
    <row r="21">
      <c r="A21" t="n">
        <v>7627</v>
      </c>
      <c r="B21" s="27" t="n">
        <v>45937</v>
      </c>
      <c r="C21" t="n">
        <v>128</v>
      </c>
      <c r="D21" t="inlineStr">
        <is>
          <t>Love Cabaret</t>
        </is>
      </c>
      <c r="E21" t="n">
        <v>115</v>
      </c>
      <c r="F21" t="inlineStr">
        <is>
          <t>Love - Shibari - Bradesco</t>
        </is>
      </c>
      <c r="G21" t="n">
        <v>128</v>
      </c>
      <c r="H21" t="inlineStr">
        <is>
          <t>Love Cabaret</t>
        </is>
      </c>
      <c r="I21" t="n">
        <v>182</v>
      </c>
      <c r="J21" t="inlineStr">
        <is>
          <t>Love - Shibari - Kamino</t>
        </is>
      </c>
      <c r="K21" t="n">
        <v>0</v>
      </c>
      <c r="M21" t="n">
        <v>51000</v>
      </c>
      <c r="N21" t="n">
        <v>51000</v>
      </c>
    </row>
    <row r="22">
      <c r="A22" t="n">
        <v>7587</v>
      </c>
      <c r="B22" s="27" t="n">
        <v>45936</v>
      </c>
      <c r="C22" t="n">
        <v>128</v>
      </c>
      <c r="D22" t="inlineStr">
        <is>
          <t>Love Cabaret</t>
        </is>
      </c>
      <c r="E22" t="n">
        <v>115</v>
      </c>
      <c r="F22" t="inlineStr">
        <is>
          <t>Love - Shibari - Bradesco</t>
        </is>
      </c>
      <c r="G22" t="n">
        <v>128</v>
      </c>
      <c r="H22" t="inlineStr">
        <is>
          <t>Love Cabaret</t>
        </is>
      </c>
      <c r="I22" t="n">
        <v>182</v>
      </c>
      <c r="J22" t="inlineStr">
        <is>
          <t>Love - Shibari - Kamino</t>
        </is>
      </c>
      <c r="K22" t="n">
        <v>0</v>
      </c>
      <c r="M22" t="n">
        <v>22000</v>
      </c>
      <c r="N22" t="n">
        <v>22000</v>
      </c>
    </row>
    <row r="23">
      <c r="A23" t="n">
        <v>7465</v>
      </c>
      <c r="B23" s="27" t="n">
        <v>45929</v>
      </c>
      <c r="C23" t="n">
        <v>128</v>
      </c>
      <c r="D23" t="inlineStr">
        <is>
          <t>Love Cabaret</t>
        </is>
      </c>
      <c r="E23" t="n">
        <v>115</v>
      </c>
      <c r="F23" t="inlineStr">
        <is>
          <t>Love - Shibari - Bradesco</t>
        </is>
      </c>
      <c r="G23" t="n">
        <v>128</v>
      </c>
      <c r="H23" t="inlineStr">
        <is>
          <t>Love Cabaret</t>
        </is>
      </c>
      <c r="I23" t="n">
        <v>182</v>
      </c>
      <c r="J23" t="inlineStr">
        <is>
          <t>Love - Shibari - Kamino</t>
        </is>
      </c>
      <c r="K23" t="n">
        <v>0</v>
      </c>
      <c r="L23" t="inlineStr">
        <is>
          <t xml:space="preserve">fluxo de pagamentos 29/09 a 05/10 </t>
        </is>
      </c>
      <c r="M23" t="n">
        <v>164000</v>
      </c>
      <c r="N23" t="n">
        <v>164000</v>
      </c>
    </row>
    <row r="24">
      <c r="A24" t="n">
        <v>7403</v>
      </c>
      <c r="B24" s="27" t="n">
        <v>45924</v>
      </c>
      <c r="C24" t="n">
        <v>128</v>
      </c>
      <c r="D24" t="inlineStr">
        <is>
          <t>Love Cabaret</t>
        </is>
      </c>
      <c r="E24" t="n">
        <v>115</v>
      </c>
      <c r="F24" t="inlineStr">
        <is>
          <t>Love - Shibari - Bradesco</t>
        </is>
      </c>
      <c r="G24" t="n">
        <v>128</v>
      </c>
      <c r="H24" t="inlineStr">
        <is>
          <t>Love Cabaret</t>
        </is>
      </c>
      <c r="I24" t="n">
        <v>182</v>
      </c>
      <c r="J24" t="inlineStr">
        <is>
          <t>Love - Shibari - Kamino</t>
        </is>
      </c>
      <c r="K24" t="n">
        <v>0</v>
      </c>
      <c r="L24" t="inlineStr">
        <is>
          <t xml:space="preserve">MUTUO ISA </t>
        </is>
      </c>
      <c r="M24" t="n">
        <v>30000</v>
      </c>
      <c r="N24" t="n">
        <v>30000</v>
      </c>
    </row>
    <row r="25">
      <c r="A25" t="n">
        <v>7277</v>
      </c>
      <c r="B25" s="27" t="n">
        <v>45915</v>
      </c>
      <c r="C25" t="n">
        <v>128</v>
      </c>
      <c r="D25" t="inlineStr">
        <is>
          <t>Love Cabaret</t>
        </is>
      </c>
      <c r="E25" t="n">
        <v>115</v>
      </c>
      <c r="F25" t="inlineStr">
        <is>
          <t>Love - Shibari - Bradesco</t>
        </is>
      </c>
      <c r="G25" t="n">
        <v>128</v>
      </c>
      <c r="H25" t="inlineStr">
        <is>
          <t>Love Cabaret</t>
        </is>
      </c>
      <c r="I25" t="n">
        <v>182</v>
      </c>
      <c r="J25" t="inlineStr">
        <is>
          <t>Love - Shibari - Kamino</t>
        </is>
      </c>
      <c r="K25" t="n">
        <v>0</v>
      </c>
      <c r="L25" t="inlineStr">
        <is>
          <t xml:space="preserve">MUTUO ISA </t>
        </is>
      </c>
      <c r="M25" t="n">
        <v>130000</v>
      </c>
      <c r="N25" t="n">
        <v>130000</v>
      </c>
    </row>
    <row r="26">
      <c r="A26" t="n">
        <v>7180</v>
      </c>
      <c r="B26" s="27" t="n">
        <v>45908</v>
      </c>
      <c r="C26" t="n">
        <v>128</v>
      </c>
      <c r="D26" t="inlineStr">
        <is>
          <t>Love Cabaret</t>
        </is>
      </c>
      <c r="E26" t="n">
        <v>115</v>
      </c>
      <c r="F26" t="inlineStr">
        <is>
          <t>Love - Shibari - Bradesco</t>
        </is>
      </c>
      <c r="G26" t="n">
        <v>128</v>
      </c>
      <c r="H26" t="inlineStr">
        <is>
          <t>Love Cabaret</t>
        </is>
      </c>
      <c r="I26" t="n">
        <v>182</v>
      </c>
      <c r="J26" t="inlineStr">
        <is>
          <t>Love - Shibari - Kamino</t>
        </is>
      </c>
      <c r="K26" t="n">
        <v>0</v>
      </c>
      <c r="L26" t="inlineStr">
        <is>
          <t>MUTUO ISA</t>
        </is>
      </c>
      <c r="M26" t="n">
        <v>160000</v>
      </c>
      <c r="N26" t="n">
        <v>160000</v>
      </c>
    </row>
    <row r="27">
      <c r="A27" t="n">
        <v>7089</v>
      </c>
      <c r="B27" s="27" t="n">
        <v>45901</v>
      </c>
      <c r="C27" t="n">
        <v>128</v>
      </c>
      <c r="D27" t="inlineStr">
        <is>
          <t>Love Cabaret</t>
        </is>
      </c>
      <c r="G27" t="n">
        <v>128</v>
      </c>
      <c r="H27" t="inlineStr">
        <is>
          <t>Love Cabaret</t>
        </is>
      </c>
      <c r="K27" t="n">
        <v>0</v>
      </c>
      <c r="L27" t="inlineStr">
        <is>
          <t>MUTUO ISA</t>
        </is>
      </c>
      <c r="M27" t="n">
        <v>90000</v>
      </c>
      <c r="N27" t="n">
        <v>90000</v>
      </c>
    </row>
    <row r="28">
      <c r="A28" t="n">
        <v>7005</v>
      </c>
      <c r="B28" s="27" t="n">
        <v>45894</v>
      </c>
      <c r="C28" t="n">
        <v>128</v>
      </c>
      <c r="D28" t="inlineStr">
        <is>
          <t>Love Cabaret</t>
        </is>
      </c>
      <c r="G28" t="n">
        <v>128</v>
      </c>
      <c r="H28" t="inlineStr">
        <is>
          <t>Love Cabaret</t>
        </is>
      </c>
      <c r="K28" t="n">
        <v>0</v>
      </c>
      <c r="L28" t="inlineStr">
        <is>
          <t xml:space="preserve">MUTUO ISA </t>
        </is>
      </c>
      <c r="M28" t="n">
        <v>80000</v>
      </c>
      <c r="N28" t="n">
        <v>80000</v>
      </c>
    </row>
    <row r="29">
      <c r="A29" t="n">
        <v>6945</v>
      </c>
      <c r="B29" s="27" t="n">
        <v>45889</v>
      </c>
      <c r="C29" t="n">
        <v>128</v>
      </c>
      <c r="D29" t="inlineStr">
        <is>
          <t>Love Cabaret</t>
        </is>
      </c>
      <c r="G29" t="n">
        <v>128</v>
      </c>
      <c r="H29" t="inlineStr">
        <is>
          <t>Love Cabaret</t>
        </is>
      </c>
      <c r="K29" t="n">
        <v>0</v>
      </c>
      <c r="L29" t="inlineStr">
        <is>
          <t xml:space="preserve">MUTUO ISA </t>
        </is>
      </c>
      <c r="M29" t="n">
        <v>40000</v>
      </c>
      <c r="N29" t="n">
        <v>40000</v>
      </c>
    </row>
    <row r="30">
      <c r="A30" t="n">
        <v>6912</v>
      </c>
      <c r="B30" s="27" t="n">
        <v>45887</v>
      </c>
      <c r="C30" t="n">
        <v>128</v>
      </c>
      <c r="D30" t="inlineStr">
        <is>
          <t>Love Cabaret</t>
        </is>
      </c>
      <c r="G30" t="n">
        <v>128</v>
      </c>
      <c r="H30" t="inlineStr">
        <is>
          <t>Love Cabaret</t>
        </is>
      </c>
      <c r="K30" t="n">
        <v>0</v>
      </c>
      <c r="L30" t="inlineStr">
        <is>
          <t>MUTUO ISA</t>
        </is>
      </c>
      <c r="M30" t="n">
        <v>60000</v>
      </c>
      <c r="N30" t="n">
        <v>60000</v>
      </c>
    </row>
    <row r="31">
      <c r="A31" t="n">
        <v>6821</v>
      </c>
      <c r="B31" s="27" t="n">
        <v>45880</v>
      </c>
      <c r="C31" t="n">
        <v>128</v>
      </c>
      <c r="D31" t="inlineStr">
        <is>
          <t>Love Cabaret</t>
        </is>
      </c>
      <c r="G31" t="n">
        <v>128</v>
      </c>
      <c r="H31" t="inlineStr">
        <is>
          <t>Love Cabaret</t>
        </is>
      </c>
      <c r="K31" t="n">
        <v>0</v>
      </c>
      <c r="L31" t="inlineStr">
        <is>
          <t>MUTUO ISA</t>
        </is>
      </c>
      <c r="M31" t="n">
        <v>100000</v>
      </c>
      <c r="N31" t="n">
        <v>100000</v>
      </c>
    </row>
    <row r="32">
      <c r="A32" t="n">
        <v>6708</v>
      </c>
      <c r="B32" s="27" t="n">
        <v>45873</v>
      </c>
      <c r="C32" t="n">
        <v>128</v>
      </c>
      <c r="D32" t="inlineStr">
        <is>
          <t>Love Cabaret</t>
        </is>
      </c>
      <c r="G32" t="n">
        <v>128</v>
      </c>
      <c r="H32" t="inlineStr">
        <is>
          <t>Love Cabaret</t>
        </is>
      </c>
      <c r="K32" t="n">
        <v>0</v>
      </c>
      <c r="L32" t="inlineStr">
        <is>
          <t>MUTUO ISA</t>
        </is>
      </c>
      <c r="M32" t="n">
        <v>150000</v>
      </c>
      <c r="N32" t="n">
        <v>150000</v>
      </c>
    </row>
    <row r="33">
      <c r="A33" t="n">
        <v>6738</v>
      </c>
      <c r="B33" s="27" t="n">
        <v>45873</v>
      </c>
      <c r="C33" t="n">
        <v>128</v>
      </c>
      <c r="D33" t="inlineStr">
        <is>
          <t>Love Cabaret</t>
        </is>
      </c>
      <c r="G33" t="n">
        <v>128</v>
      </c>
      <c r="H33" t="inlineStr">
        <is>
          <t>Love Cabaret</t>
        </is>
      </c>
      <c r="K33" t="n">
        <v>0</v>
      </c>
      <c r="L33" t="inlineStr">
        <is>
          <t xml:space="preserve">MUTUO ISA </t>
        </is>
      </c>
      <c r="M33" t="n">
        <v>150000</v>
      </c>
      <c r="N33" t="n">
        <v>150000</v>
      </c>
    </row>
    <row r="34">
      <c r="A34" t="n">
        <v>6573</v>
      </c>
      <c r="B34" s="27" t="n">
        <v>45866</v>
      </c>
      <c r="C34" t="n">
        <v>128</v>
      </c>
      <c r="D34" t="inlineStr">
        <is>
          <t>Love Cabaret</t>
        </is>
      </c>
      <c r="G34" t="n">
        <v>128</v>
      </c>
      <c r="H34" t="inlineStr">
        <is>
          <t>Love Cabaret</t>
        </is>
      </c>
      <c r="K34" t="n">
        <v>0</v>
      </c>
      <c r="L34" t="inlineStr">
        <is>
          <t>MUTUO ISA</t>
        </is>
      </c>
      <c r="M34" t="n">
        <v>105000</v>
      </c>
      <c r="N34" t="n">
        <v>105000</v>
      </c>
    </row>
    <row r="35">
      <c r="A35" t="n">
        <v>6506</v>
      </c>
      <c r="B35" s="27" t="n">
        <v>45861</v>
      </c>
      <c r="C35" t="n">
        <v>128</v>
      </c>
      <c r="D35" t="inlineStr">
        <is>
          <t>Love Cabaret</t>
        </is>
      </c>
      <c r="G35" t="n">
        <v>128</v>
      </c>
      <c r="H35" t="inlineStr">
        <is>
          <t>Love Cabaret</t>
        </is>
      </c>
      <c r="K35" t="n">
        <v>0</v>
      </c>
      <c r="L35" t="inlineStr">
        <is>
          <t>MUTUO</t>
        </is>
      </c>
      <c r="M35" t="n">
        <v>50000</v>
      </c>
      <c r="N35" t="n">
        <v>50000</v>
      </c>
    </row>
    <row r="36">
      <c r="A36" t="n">
        <v>6468</v>
      </c>
      <c r="B36" s="27" t="n">
        <v>45859</v>
      </c>
      <c r="C36" t="n">
        <v>128</v>
      </c>
      <c r="D36" t="inlineStr">
        <is>
          <t>Love Cabaret</t>
        </is>
      </c>
      <c r="G36" t="n">
        <v>128</v>
      </c>
      <c r="H36" t="inlineStr">
        <is>
          <t>Love Cabaret</t>
        </is>
      </c>
      <c r="K36" t="n">
        <v>0</v>
      </c>
      <c r="L36" t="inlineStr">
        <is>
          <t xml:space="preserve">Mutuo Bradesco P/ Kamino Love Caique  </t>
        </is>
      </c>
      <c r="M36" t="n">
        <v>22700</v>
      </c>
      <c r="N36" t="n">
        <v>22700</v>
      </c>
    </row>
    <row r="37">
      <c r="A37" t="n">
        <v>6495</v>
      </c>
      <c r="B37" s="27" t="n">
        <v>45859</v>
      </c>
      <c r="C37" t="n">
        <v>128</v>
      </c>
      <c r="D37" t="inlineStr">
        <is>
          <t>Love Cabaret</t>
        </is>
      </c>
      <c r="G37" t="n">
        <v>128</v>
      </c>
      <c r="H37" t="inlineStr">
        <is>
          <t>Love Cabaret</t>
        </is>
      </c>
      <c r="K37" t="n">
        <v>0</v>
      </c>
      <c r="L37" t="inlineStr">
        <is>
          <t>MUTUO ISA</t>
        </is>
      </c>
      <c r="M37" t="n">
        <v>22700</v>
      </c>
      <c r="N37" t="n">
        <v>22700</v>
      </c>
    </row>
    <row r="38">
      <c r="A38" t="n">
        <v>6439</v>
      </c>
      <c r="B38" s="27" t="n">
        <v>45855</v>
      </c>
      <c r="C38" t="n">
        <v>128</v>
      </c>
      <c r="D38" t="inlineStr">
        <is>
          <t>Love Cabaret</t>
        </is>
      </c>
      <c r="G38" t="n">
        <v>128</v>
      </c>
      <c r="H38" t="inlineStr">
        <is>
          <t>Love Cabaret</t>
        </is>
      </c>
      <c r="K38" t="n">
        <v>0</v>
      </c>
      <c r="L38" t="inlineStr">
        <is>
          <t xml:space="preserve">Mutuo Bradesco P/ Kamino </t>
        </is>
      </c>
      <c r="M38" t="n">
        <v>500</v>
      </c>
      <c r="N38" t="n">
        <v>500</v>
      </c>
    </row>
    <row r="39">
      <c r="A39" t="n">
        <v>6422</v>
      </c>
      <c r="B39" s="27" t="n">
        <v>45854</v>
      </c>
      <c r="C39" t="n">
        <v>128</v>
      </c>
      <c r="D39" t="inlineStr">
        <is>
          <t>Love Cabaret</t>
        </is>
      </c>
      <c r="G39" t="n">
        <v>128</v>
      </c>
      <c r="H39" t="inlineStr">
        <is>
          <t>Love Cabaret</t>
        </is>
      </c>
      <c r="K39" t="n">
        <v>0</v>
      </c>
      <c r="L39" t="inlineStr">
        <is>
          <t xml:space="preserve">MUTUO LOVE BRADESCO P/ KAMINO LOVE </t>
        </is>
      </c>
      <c r="M39" t="n">
        <v>16200</v>
      </c>
      <c r="N39" t="n">
        <v>16200</v>
      </c>
    </row>
    <row r="40">
      <c r="A40" t="n">
        <v>6373</v>
      </c>
      <c r="B40" s="27" t="n">
        <v>45852</v>
      </c>
      <c r="C40" t="n">
        <v>128</v>
      </c>
      <c r="D40" t="inlineStr">
        <is>
          <t>Love Cabaret</t>
        </is>
      </c>
      <c r="G40" t="n">
        <v>128</v>
      </c>
      <c r="H40" t="inlineStr">
        <is>
          <t>Love Cabaret</t>
        </is>
      </c>
      <c r="K40" t="n">
        <v>0</v>
      </c>
      <c r="L40" t="inlineStr">
        <is>
          <t xml:space="preserve">Mutuo Bradesco P/ Kamino Love Caique  </t>
        </is>
      </c>
      <c r="M40" t="n">
        <v>51000</v>
      </c>
      <c r="N40" t="n">
        <v>51000</v>
      </c>
    </row>
    <row r="41">
      <c r="A41" t="n">
        <v>6337</v>
      </c>
      <c r="B41" s="27" t="n">
        <v>45848</v>
      </c>
      <c r="C41" t="n">
        <v>128</v>
      </c>
      <c r="D41" t="inlineStr">
        <is>
          <t>Love Cabaret</t>
        </is>
      </c>
      <c r="G41" t="n">
        <v>128</v>
      </c>
      <c r="H41" t="inlineStr">
        <is>
          <t>Love Cabaret</t>
        </is>
      </c>
      <c r="K41" t="n">
        <v>0</v>
      </c>
      <c r="L41" t="inlineStr">
        <is>
          <t xml:space="preserve">Mutuo Bradesco P/ Kamino Love Caique  </t>
        </is>
      </c>
      <c r="M41" t="n">
        <v>15800</v>
      </c>
      <c r="N41" t="n">
        <v>15800</v>
      </c>
    </row>
    <row r="42">
      <c r="A42" t="n">
        <v>6300</v>
      </c>
      <c r="B42" s="27" t="n">
        <v>45845</v>
      </c>
      <c r="C42" t="n">
        <v>128</v>
      </c>
      <c r="D42" t="inlineStr">
        <is>
          <t>Love Cabaret</t>
        </is>
      </c>
      <c r="G42" t="n">
        <v>128</v>
      </c>
      <c r="H42" t="inlineStr">
        <is>
          <t>Love Cabaret</t>
        </is>
      </c>
      <c r="K42" t="n">
        <v>0</v>
      </c>
      <c r="L42" t="inlineStr">
        <is>
          <t xml:space="preserve">Mutuo Bradesco P/ Kamino Love Caique  </t>
        </is>
      </c>
      <c r="M42" t="n">
        <v>175000</v>
      </c>
      <c r="N42" t="n">
        <v>175000</v>
      </c>
    </row>
    <row r="43">
      <c r="A43" t="n">
        <v>6301</v>
      </c>
      <c r="B43" s="27" t="n">
        <v>45845</v>
      </c>
      <c r="C43" t="n">
        <v>128</v>
      </c>
      <c r="D43" t="inlineStr">
        <is>
          <t>Love Cabaret</t>
        </is>
      </c>
      <c r="G43" t="n">
        <v>128</v>
      </c>
      <c r="H43" t="inlineStr">
        <is>
          <t>Love Cabaret</t>
        </is>
      </c>
      <c r="K43" t="n">
        <v>0</v>
      </c>
      <c r="L43" t="inlineStr">
        <is>
          <t xml:space="preserve">Bradesco P/ Kamino love  Caique </t>
        </is>
      </c>
      <c r="M43" t="n">
        <v>6500</v>
      </c>
      <c r="N43" t="n">
        <v>6500</v>
      </c>
    </row>
    <row r="44">
      <c r="A44" t="n">
        <v>6302</v>
      </c>
      <c r="B44" s="27" t="n">
        <v>45845</v>
      </c>
      <c r="C44" t="n">
        <v>128</v>
      </c>
      <c r="D44" t="inlineStr">
        <is>
          <t>Love Cabaret</t>
        </is>
      </c>
      <c r="G44" t="n">
        <v>128</v>
      </c>
      <c r="H44" t="inlineStr">
        <is>
          <t>Love Cabaret</t>
        </is>
      </c>
      <c r="K44" t="n">
        <v>0</v>
      </c>
      <c r="L44" t="inlineStr">
        <is>
          <t xml:space="preserve">Bradesco  P/ Kamino Love Caique </t>
        </is>
      </c>
      <c r="M44" t="n">
        <v>1500</v>
      </c>
      <c r="N44" t="n">
        <v>1500</v>
      </c>
    </row>
    <row r="45">
      <c r="A45" t="n">
        <v>6268</v>
      </c>
      <c r="B45" s="27" t="n">
        <v>45840</v>
      </c>
      <c r="C45" t="n">
        <v>128</v>
      </c>
      <c r="D45" t="inlineStr">
        <is>
          <t>Love Cabaret</t>
        </is>
      </c>
      <c r="G45" t="n">
        <v>128</v>
      </c>
      <c r="H45" t="inlineStr">
        <is>
          <t>Love Cabaret</t>
        </is>
      </c>
      <c r="K45" t="n">
        <v>0</v>
      </c>
      <c r="L45" t="inlineStr">
        <is>
          <t>MUTUO ISA</t>
        </is>
      </c>
      <c r="M45" t="n">
        <v>40000</v>
      </c>
      <c r="N45" t="n">
        <v>40000</v>
      </c>
    </row>
    <row r="46">
      <c r="A46" t="n">
        <v>6255</v>
      </c>
      <c r="B46" s="27" t="n">
        <v>45838</v>
      </c>
      <c r="C46" t="n">
        <v>128</v>
      </c>
      <c r="D46" t="inlineStr">
        <is>
          <t>Love Cabaret</t>
        </is>
      </c>
      <c r="G46" t="n">
        <v>128</v>
      </c>
      <c r="H46" t="inlineStr">
        <is>
          <t>Love Cabaret</t>
        </is>
      </c>
      <c r="K46" t="n">
        <v>0</v>
      </c>
      <c r="L46" t="inlineStr">
        <is>
          <t>MUTUO ISA</t>
        </is>
      </c>
      <c r="M46" t="n">
        <v>60000</v>
      </c>
      <c r="N46" t="n">
        <v>60000</v>
      </c>
    </row>
    <row r="47">
      <c r="A47" t="n">
        <v>6153</v>
      </c>
      <c r="B47" s="27" t="n">
        <v>45831</v>
      </c>
      <c r="C47" t="n">
        <v>128</v>
      </c>
      <c r="D47" t="inlineStr">
        <is>
          <t>Love Cabaret</t>
        </is>
      </c>
      <c r="G47" t="n">
        <v>128</v>
      </c>
      <c r="H47" t="inlineStr">
        <is>
          <t>Love Cabaret</t>
        </is>
      </c>
      <c r="K47" t="n">
        <v>0</v>
      </c>
      <c r="L47" t="inlineStr">
        <is>
          <t>MUTUO ISA</t>
        </is>
      </c>
      <c r="M47" t="n">
        <v>18000</v>
      </c>
      <c r="N47" t="n">
        <v>18000</v>
      </c>
    </row>
    <row r="48">
      <c r="A48" t="n">
        <v>5977</v>
      </c>
      <c r="B48" s="27" t="n">
        <v>45826</v>
      </c>
      <c r="C48" t="n">
        <v>128</v>
      </c>
      <c r="D48" t="inlineStr">
        <is>
          <t>Love Cabaret</t>
        </is>
      </c>
      <c r="G48" t="n">
        <v>128</v>
      </c>
      <c r="H48" t="inlineStr">
        <is>
          <t>Love Cabaret</t>
        </is>
      </c>
      <c r="K48" t="n">
        <v>0</v>
      </c>
      <c r="L48" t="inlineStr">
        <is>
          <t>MUTUO ISA</t>
        </is>
      </c>
      <c r="M48" t="n">
        <v>64000</v>
      </c>
      <c r="N48" t="n">
        <v>64000</v>
      </c>
    </row>
    <row r="49">
      <c r="A49" t="n">
        <v>5958</v>
      </c>
      <c r="B49" s="27" t="n">
        <v>45824</v>
      </c>
      <c r="C49" t="n">
        <v>128</v>
      </c>
      <c r="D49" t="inlineStr">
        <is>
          <t>Love Cabaret</t>
        </is>
      </c>
      <c r="G49" t="n">
        <v>128</v>
      </c>
      <c r="H49" t="inlineStr">
        <is>
          <t>Love Cabaret</t>
        </is>
      </c>
      <c r="K49" t="n">
        <v>0</v>
      </c>
      <c r="L49" t="inlineStr">
        <is>
          <t>MUTUO ISA</t>
        </is>
      </c>
      <c r="M49" t="n">
        <v>22000</v>
      </c>
      <c r="N49" t="n">
        <v>22000</v>
      </c>
    </row>
    <row r="50">
      <c r="A50" t="n">
        <v>5894</v>
      </c>
      <c r="B50" s="27" t="n">
        <v>45819</v>
      </c>
      <c r="C50" t="n">
        <v>128</v>
      </c>
      <c r="D50" t="inlineStr">
        <is>
          <t>Love Cabaret</t>
        </is>
      </c>
      <c r="G50" t="n">
        <v>128</v>
      </c>
      <c r="H50" t="inlineStr">
        <is>
          <t>Love Cabaret</t>
        </is>
      </c>
      <c r="K50" t="n">
        <v>0</v>
      </c>
      <c r="L50" t="inlineStr">
        <is>
          <t>MUTUO ISA</t>
        </is>
      </c>
      <c r="M50" t="n">
        <v>36000</v>
      </c>
      <c r="N50" t="n">
        <v>36000</v>
      </c>
    </row>
    <row r="51">
      <c r="A51" t="n">
        <v>5859</v>
      </c>
      <c r="B51" s="27" t="n">
        <v>45817</v>
      </c>
      <c r="C51" t="n">
        <v>128</v>
      </c>
      <c r="D51" t="inlineStr">
        <is>
          <t>Love Cabaret</t>
        </is>
      </c>
      <c r="G51" t="n">
        <v>128</v>
      </c>
      <c r="H51" t="inlineStr">
        <is>
          <t>Love Cabaret</t>
        </is>
      </c>
      <c r="K51" t="n">
        <v>0</v>
      </c>
      <c r="L51" t="inlineStr">
        <is>
          <t>MUTUO</t>
        </is>
      </c>
      <c r="M51" t="n">
        <v>152000</v>
      </c>
      <c r="N51" t="n">
        <v>152000</v>
      </c>
    </row>
    <row r="52">
      <c r="A52" t="n">
        <v>5784</v>
      </c>
      <c r="B52" s="27" t="n">
        <v>45812</v>
      </c>
      <c r="C52" t="n">
        <v>128</v>
      </c>
      <c r="D52" t="inlineStr">
        <is>
          <t>Love Cabaret</t>
        </is>
      </c>
      <c r="G52" t="n">
        <v>128</v>
      </c>
      <c r="H52" t="inlineStr">
        <is>
          <t>Love Cabaret</t>
        </is>
      </c>
      <c r="K52" t="n">
        <v>0</v>
      </c>
      <c r="L52" t="inlineStr">
        <is>
          <t>MUTUO ISA</t>
        </is>
      </c>
      <c r="M52" t="n">
        <v>46000</v>
      </c>
      <c r="N52" t="n">
        <v>46000</v>
      </c>
    </row>
    <row r="53">
      <c r="A53" t="n">
        <v>5673</v>
      </c>
      <c r="B53" s="27" t="n">
        <v>45810</v>
      </c>
      <c r="C53" t="n">
        <v>128</v>
      </c>
      <c r="D53" t="inlineStr">
        <is>
          <t>Love Cabaret</t>
        </is>
      </c>
      <c r="G53" t="n">
        <v>128</v>
      </c>
      <c r="H53" t="inlineStr">
        <is>
          <t>Love Cabaret</t>
        </is>
      </c>
      <c r="K53" t="n">
        <v>0</v>
      </c>
      <c r="L53" t="inlineStr">
        <is>
          <t>MUTUO</t>
        </is>
      </c>
      <c r="M53" t="n">
        <v>30500</v>
      </c>
      <c r="N53" t="n">
        <v>30500</v>
      </c>
    </row>
    <row r="54">
      <c r="A54" t="n">
        <v>5540</v>
      </c>
      <c r="B54" s="27" t="n">
        <v>45803</v>
      </c>
      <c r="C54" t="n">
        <v>128</v>
      </c>
      <c r="D54" t="inlineStr">
        <is>
          <t>Love Cabaret</t>
        </is>
      </c>
      <c r="G54" t="n">
        <v>128</v>
      </c>
      <c r="H54" t="inlineStr">
        <is>
          <t>Love Cabaret</t>
        </is>
      </c>
      <c r="K54" t="n">
        <v>0</v>
      </c>
      <c r="L54" t="inlineStr">
        <is>
          <t>MUTUO</t>
        </is>
      </c>
      <c r="M54" t="n">
        <v>22300</v>
      </c>
      <c r="N54" t="n">
        <v>22300</v>
      </c>
    </row>
    <row r="55">
      <c r="A55" t="n">
        <v>4545</v>
      </c>
      <c r="B55" s="27" t="n">
        <v>45747</v>
      </c>
      <c r="C55" t="n">
        <v>128</v>
      </c>
      <c r="D55" t="inlineStr">
        <is>
          <t>Love Cabaret</t>
        </is>
      </c>
      <c r="G55" t="n">
        <v>143</v>
      </c>
      <c r="H55" t="inlineStr">
        <is>
          <t xml:space="preserve">Tempus Fugit  Ltda </t>
        </is>
      </c>
      <c r="K55" t="n">
        <v>0</v>
      </c>
      <c r="L55" t="inlineStr">
        <is>
          <t>MUTUO</t>
        </is>
      </c>
      <c r="M55" t="n">
        <v>0</v>
      </c>
      <c r="N55" t="n">
        <v>3000</v>
      </c>
    </row>
    <row r="56">
      <c r="A56" t="n">
        <v>4539</v>
      </c>
      <c r="B56" s="27" t="n">
        <v>45747</v>
      </c>
      <c r="C56" t="n">
        <v>143</v>
      </c>
      <c r="D56" t="inlineStr">
        <is>
          <t xml:space="preserve">Tempus Fugit  Ltda </t>
        </is>
      </c>
      <c r="G56" t="n">
        <v>128</v>
      </c>
      <c r="H56" t="inlineStr">
        <is>
          <t>Love Cabaret</t>
        </is>
      </c>
      <c r="K56" t="n">
        <v>0</v>
      </c>
      <c r="L56" t="inlineStr">
        <is>
          <t>MUTUO</t>
        </is>
      </c>
      <c r="M56" t="n">
        <v>3000</v>
      </c>
      <c r="N5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ID_Transacao_Tesouraria</t>
        </is>
      </c>
      <c r="B1" t="inlineStr">
        <is>
          <t>ID_Casa</t>
        </is>
      </c>
      <c r="C1" t="inlineStr">
        <is>
          <t>Casa</t>
        </is>
      </c>
      <c r="D1" t="inlineStr">
        <is>
          <t>ID_Empresa_Tesouraria</t>
        </is>
      </c>
      <c r="E1" t="inlineStr">
        <is>
          <t>Empresa_Tesouraria</t>
        </is>
      </c>
      <c r="F1" t="inlineStr">
        <is>
          <t>Data_Transacao</t>
        </is>
      </c>
      <c r="G1" t="inlineStr">
        <is>
          <t>Valor</t>
        </is>
      </c>
      <c r="H1" t="inlineStr">
        <is>
          <t>Descricao</t>
        </is>
      </c>
    </row>
    <row r="2">
      <c r="A2" t="n">
        <v>1238</v>
      </c>
      <c r="B2" t="n">
        <v>128</v>
      </c>
      <c r="C2" t="inlineStr">
        <is>
          <t>Love Cabaret</t>
        </is>
      </c>
      <c r="D2" t="n">
        <v>128</v>
      </c>
      <c r="E2" t="inlineStr">
        <is>
          <t>Love Cabaret</t>
        </is>
      </c>
      <c r="F2" s="27" t="n">
        <v>45938</v>
      </c>
      <c r="G2" t="n">
        <v>-152</v>
      </c>
    </row>
    <row r="3">
      <c r="A3" t="n">
        <v>1225</v>
      </c>
      <c r="B3" t="n">
        <v>128</v>
      </c>
      <c r="C3" t="inlineStr">
        <is>
          <t>Love Cabaret</t>
        </is>
      </c>
      <c r="D3" t="n">
        <v>128</v>
      </c>
      <c r="E3" t="inlineStr">
        <is>
          <t>Love Cabaret</t>
        </is>
      </c>
      <c r="F3" s="27" t="n">
        <v>45931</v>
      </c>
      <c r="G3" t="n">
        <v>-1513</v>
      </c>
    </row>
    <row r="4">
      <c r="A4" t="n">
        <v>1176</v>
      </c>
      <c r="B4" t="n">
        <v>128</v>
      </c>
      <c r="C4" t="inlineStr">
        <is>
          <t>Love Cabaret</t>
        </is>
      </c>
      <c r="D4" t="n">
        <v>128</v>
      </c>
      <c r="E4" t="inlineStr">
        <is>
          <t>Love Cabaret</t>
        </is>
      </c>
      <c r="F4" s="27" t="n">
        <v>45905</v>
      </c>
      <c r="G4" t="n">
        <v>-157</v>
      </c>
      <c r="H4" t="inlineStr">
        <is>
          <t>VENDAS 28-30/08</t>
        </is>
      </c>
    </row>
    <row r="5">
      <c r="A5" t="n">
        <v>1133</v>
      </c>
      <c r="B5" t="n">
        <v>128</v>
      </c>
      <c r="C5" t="inlineStr">
        <is>
          <t>Love Cabaret</t>
        </is>
      </c>
      <c r="D5" t="n">
        <v>128</v>
      </c>
      <c r="E5" t="inlineStr">
        <is>
          <t>Love Cabaret</t>
        </is>
      </c>
      <c r="F5" s="27" t="n">
        <v>45888</v>
      </c>
      <c r="G5" t="n">
        <v>-1350</v>
      </c>
      <c r="H5" t="inlineStr">
        <is>
          <t>VENDAS 15-16/08</t>
        </is>
      </c>
    </row>
    <row r="6">
      <c r="A6" t="n">
        <v>1105</v>
      </c>
      <c r="B6" t="n">
        <v>128</v>
      </c>
      <c r="C6" t="inlineStr">
        <is>
          <t>Love Cabaret</t>
        </is>
      </c>
      <c r="D6" t="n">
        <v>128</v>
      </c>
      <c r="E6" t="inlineStr">
        <is>
          <t>Love Cabaret</t>
        </is>
      </c>
      <c r="F6" s="27" t="n">
        <v>45875</v>
      </c>
      <c r="G6" t="n">
        <v>-150</v>
      </c>
      <c r="H6" t="inlineStr">
        <is>
          <t>DEPOSITO EM CONTA</t>
        </is>
      </c>
    </row>
    <row r="7">
      <c r="A7" t="n">
        <v>1104</v>
      </c>
      <c r="B7" t="n">
        <v>128</v>
      </c>
      <c r="C7" t="inlineStr">
        <is>
          <t>Love Cabaret</t>
        </is>
      </c>
      <c r="D7" t="n">
        <v>128</v>
      </c>
      <c r="E7" t="inlineStr">
        <is>
          <t>Love Cabaret</t>
        </is>
      </c>
      <c r="F7" s="27" t="n">
        <v>45873</v>
      </c>
      <c r="G7" t="n">
        <v>-839</v>
      </c>
      <c r="H7" t="inlineStr">
        <is>
          <t>DEPOSITO EM CONTA</t>
        </is>
      </c>
    </row>
    <row r="8">
      <c r="A8" t="n">
        <v>1097</v>
      </c>
      <c r="B8" t="n">
        <v>128</v>
      </c>
      <c r="C8" t="inlineStr">
        <is>
          <t>Love Cabaret</t>
        </is>
      </c>
      <c r="D8" t="n">
        <v>128</v>
      </c>
      <c r="E8" t="inlineStr">
        <is>
          <t>Love Cabaret</t>
        </is>
      </c>
      <c r="F8" s="27" t="n">
        <v>45873</v>
      </c>
      <c r="G8" t="n">
        <v>-839</v>
      </c>
      <c r="H8" t="inlineStr">
        <is>
          <t xml:space="preserve">VENDAS DIA 24-31/07 ISA </t>
        </is>
      </c>
    </row>
    <row r="9">
      <c r="A9" t="n">
        <v>1047</v>
      </c>
      <c r="B9" t="n">
        <v>128</v>
      </c>
      <c r="C9" t="inlineStr">
        <is>
          <t>Love Cabaret</t>
        </is>
      </c>
      <c r="D9" t="n">
        <v>128</v>
      </c>
      <c r="E9" t="inlineStr">
        <is>
          <t>Love Cabaret</t>
        </is>
      </c>
      <c r="F9" s="27" t="n">
        <v>45860</v>
      </c>
      <c r="G9" t="n">
        <v>-1037</v>
      </c>
      <c r="H9" t="inlineStr">
        <is>
          <t>VENDAS 17-19/07</t>
        </is>
      </c>
    </row>
    <row r="10">
      <c r="A10" t="n">
        <v>1018</v>
      </c>
      <c r="B10" t="n">
        <v>128</v>
      </c>
      <c r="C10" t="inlineStr">
        <is>
          <t>Love Cabaret</t>
        </is>
      </c>
      <c r="D10" t="n">
        <v>128</v>
      </c>
      <c r="E10" t="inlineStr">
        <is>
          <t>Love Cabaret</t>
        </is>
      </c>
      <c r="F10" s="27" t="n">
        <v>45839</v>
      </c>
      <c r="G10" t="n">
        <v>-1455</v>
      </c>
      <c r="H10" t="inlineStr">
        <is>
          <t>VENDAS 26-28/06/2025</t>
        </is>
      </c>
    </row>
    <row r="11">
      <c r="A11" t="n">
        <v>1011</v>
      </c>
      <c r="B11" t="n">
        <v>128</v>
      </c>
      <c r="C11" t="inlineStr">
        <is>
          <t>Love Cabaret</t>
        </is>
      </c>
      <c r="D11" t="n">
        <v>128</v>
      </c>
      <c r="E11" t="inlineStr">
        <is>
          <t>Love Cabaret</t>
        </is>
      </c>
      <c r="F11" s="27" t="n">
        <v>45835</v>
      </c>
      <c r="G11" t="n">
        <v>-185</v>
      </c>
      <c r="H11" t="inlineStr">
        <is>
          <t>VENDAS 19-21/06</t>
        </is>
      </c>
    </row>
    <row r="12">
      <c r="A12" t="n">
        <v>1002</v>
      </c>
      <c r="B12" t="n">
        <v>128</v>
      </c>
      <c r="C12" t="inlineStr">
        <is>
          <t>Love Cabaret</t>
        </is>
      </c>
      <c r="D12" t="n">
        <v>128</v>
      </c>
      <c r="E12" t="inlineStr">
        <is>
          <t>Love Cabaret</t>
        </is>
      </c>
      <c r="F12" s="27" t="n">
        <v>45828</v>
      </c>
      <c r="G12" t="n">
        <v>-630</v>
      </c>
      <c r="H12" t="inlineStr">
        <is>
          <t>VENDAS DIA 14/06</t>
        </is>
      </c>
    </row>
    <row r="13">
      <c r="A13" t="n">
        <v>992</v>
      </c>
      <c r="B13" t="n">
        <v>128</v>
      </c>
      <c r="C13" t="inlineStr">
        <is>
          <t>Love Cabaret</t>
        </is>
      </c>
      <c r="D13" t="n">
        <v>128</v>
      </c>
      <c r="E13" t="inlineStr">
        <is>
          <t>Love Cabaret</t>
        </is>
      </c>
      <c r="F13" s="27" t="n">
        <v>45820</v>
      </c>
      <c r="G13" t="n">
        <v>-1380</v>
      </c>
      <c r="H13" t="inlineStr">
        <is>
          <t>VENDAS DO DIA 05 Á 07/06</t>
        </is>
      </c>
    </row>
    <row r="14">
      <c r="A14" t="n">
        <v>980</v>
      </c>
      <c r="B14" t="n">
        <v>128</v>
      </c>
      <c r="C14" t="inlineStr">
        <is>
          <t>Love Cabaret</t>
        </is>
      </c>
      <c r="D14" t="n">
        <v>128</v>
      </c>
      <c r="E14" t="inlineStr">
        <is>
          <t>Love Cabaret</t>
        </is>
      </c>
      <c r="F14" s="27" t="n">
        <v>45812</v>
      </c>
      <c r="G14" t="n">
        <v>1915</v>
      </c>
      <c r="H14" t="inlineStr">
        <is>
          <t>VENDAS DIA 29 Á 31/05</t>
        </is>
      </c>
    </row>
    <row r="15">
      <c r="A15" t="n">
        <v>967</v>
      </c>
      <c r="B15" t="n">
        <v>128</v>
      </c>
      <c r="C15" t="inlineStr">
        <is>
          <t>Love Cabaret</t>
        </is>
      </c>
      <c r="F15" s="27" t="n">
        <v>45804</v>
      </c>
      <c r="G15" t="n">
        <v>-1175</v>
      </c>
      <c r="H15" t="inlineStr">
        <is>
          <t>VENDAR 22-24/05</t>
        </is>
      </c>
    </row>
    <row r="16">
      <c r="A16" t="n">
        <v>948</v>
      </c>
      <c r="B16" t="n">
        <v>128</v>
      </c>
      <c r="C16" t="inlineStr">
        <is>
          <t>Love Cabaret</t>
        </is>
      </c>
      <c r="F16" s="27" t="n">
        <v>45799</v>
      </c>
      <c r="G16" t="n">
        <v>-1820</v>
      </c>
      <c r="H16" t="inlineStr">
        <is>
          <t>VENDAS 09-17/05</t>
        </is>
      </c>
    </row>
    <row r="17">
      <c r="A17" t="n">
        <v>876</v>
      </c>
      <c r="B17" t="n">
        <v>128</v>
      </c>
      <c r="C17" t="inlineStr">
        <is>
          <t>Love Cabaret</t>
        </is>
      </c>
      <c r="F17" s="27" t="n">
        <v>45784</v>
      </c>
      <c r="G17" t="n">
        <v>-2000</v>
      </c>
      <c r="H17" t="inlineStr">
        <is>
          <t>VENDAS 01-03/05</t>
        </is>
      </c>
    </row>
    <row r="18">
      <c r="A18" t="n">
        <v>856</v>
      </c>
      <c r="B18" t="n">
        <v>128</v>
      </c>
      <c r="C18" t="inlineStr">
        <is>
          <t>Love Cabaret</t>
        </is>
      </c>
      <c r="F18" s="27" t="n">
        <v>45776</v>
      </c>
      <c r="G18" t="n">
        <v>2970</v>
      </c>
      <c r="H18" t="inlineStr">
        <is>
          <t xml:space="preserve">DEPOSITO - 04/2025 </t>
        </is>
      </c>
    </row>
    <row r="19">
      <c r="A19" t="n">
        <v>855</v>
      </c>
      <c r="B19" t="n">
        <v>128</v>
      </c>
      <c r="C19" t="inlineStr">
        <is>
          <t>Love Cabaret</t>
        </is>
      </c>
      <c r="F19" s="27" t="n">
        <v>45770</v>
      </c>
      <c r="G19" t="n">
        <v>914</v>
      </c>
      <c r="H19" t="inlineStr">
        <is>
          <t xml:space="preserve">DEPOSITO EM CONTA - 04/2025 </t>
        </is>
      </c>
    </row>
    <row r="20">
      <c r="A20" t="n">
        <v>834</v>
      </c>
      <c r="B20" t="n">
        <v>128</v>
      </c>
      <c r="C20" t="inlineStr">
        <is>
          <t>Love Cabaret</t>
        </is>
      </c>
      <c r="F20" s="27" t="n">
        <v>45762</v>
      </c>
      <c r="G20" t="n">
        <v>370</v>
      </c>
      <c r="H20" t="inlineStr">
        <is>
          <t xml:space="preserve">DEPOSITO EM CONTA REFERENTE A 10/04, 11/04 - 04/2025 </t>
        </is>
      </c>
    </row>
    <row r="21">
      <c r="A21" t="n">
        <v>828</v>
      </c>
      <c r="B21" t="n">
        <v>128</v>
      </c>
      <c r="C21" t="inlineStr">
        <is>
          <t>Love Cabaret</t>
        </is>
      </c>
      <c r="F21" s="27" t="n">
        <v>45756</v>
      </c>
      <c r="G21" t="n">
        <v>476</v>
      </c>
      <c r="H21" t="inlineStr">
        <is>
          <t>DEPOSITO EM CONTA - 04/2025</t>
        </is>
      </c>
    </row>
    <row r="22">
      <c r="A22" t="n">
        <v>827</v>
      </c>
      <c r="B22" t="n">
        <v>128</v>
      </c>
      <c r="C22" t="inlineStr">
        <is>
          <t>Love Cabaret</t>
        </is>
      </c>
      <c r="F22" s="27" t="n">
        <v>45749</v>
      </c>
      <c r="G22" t="n">
        <v>332</v>
      </c>
      <c r="H22" t="inlineStr">
        <is>
          <t>DEPOSITO EM CONTA - 04/2025</t>
        </is>
      </c>
    </row>
    <row r="23">
      <c r="A23" t="n">
        <v>825</v>
      </c>
      <c r="B23" t="n">
        <v>128</v>
      </c>
      <c r="C23" t="inlineStr">
        <is>
          <t>Love Cabaret</t>
        </is>
      </c>
      <c r="F23" s="27" t="n">
        <v>45754</v>
      </c>
      <c r="G23" t="n">
        <v>2160</v>
      </c>
      <c r="H23" t="inlineStr">
        <is>
          <t>DEPOSITO - 04/2025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Data_Ajuste</t>
        </is>
      </c>
      <c r="D1" t="inlineStr">
        <is>
          <t>Valor</t>
        </is>
      </c>
      <c r="E1" t="inlineStr">
        <is>
          <t>Categoria</t>
        </is>
      </c>
      <c r="F1" t="inlineStr">
        <is>
          <t>Descrição</t>
        </is>
      </c>
    </row>
    <row r="2">
      <c r="A2" t="n">
        <v>128</v>
      </c>
      <c r="B2" t="inlineStr">
        <is>
          <t>Love Cabaret</t>
        </is>
      </c>
      <c r="C2" s="27" t="n">
        <v>46021</v>
      </c>
      <c r="D2" t="n">
        <v>490</v>
      </c>
      <c r="E2" t="inlineStr">
        <is>
          <t>Tesouraria - Depósito em conta</t>
        </is>
      </c>
      <c r="F2" t="inlineStr">
        <is>
          <t>DEPOSITO EM CONTA 19-20/12</t>
        </is>
      </c>
    </row>
    <row r="3">
      <c r="A3" t="n">
        <v>128</v>
      </c>
      <c r="B3" t="inlineStr">
        <is>
          <t>Love Cabaret</t>
        </is>
      </c>
      <c r="C3" s="27" t="n">
        <v>46008</v>
      </c>
      <c r="D3" t="n">
        <v>380</v>
      </c>
      <c r="E3" t="inlineStr">
        <is>
          <t>Tesouraria - Depósito em conta</t>
        </is>
      </c>
      <c r="F3" t="inlineStr">
        <is>
          <t>VENDAS 12-13/12</t>
        </is>
      </c>
    </row>
    <row r="4">
      <c r="A4" t="n">
        <v>128</v>
      </c>
      <c r="B4" t="inlineStr">
        <is>
          <t>Love Cabaret</t>
        </is>
      </c>
      <c r="C4" s="27" t="n">
        <v>46002</v>
      </c>
      <c r="D4" t="n">
        <v>1146</v>
      </c>
      <c r="E4" t="inlineStr">
        <is>
          <t>Tesouraria - Depósito em conta</t>
        </is>
      </c>
      <c r="F4" t="inlineStr">
        <is>
          <t>VENDAS DIA 04-05/12</t>
        </is>
      </c>
    </row>
    <row r="5">
      <c r="A5" t="n">
        <v>128</v>
      </c>
      <c r="B5" t="inlineStr">
        <is>
          <t>Love Cabaret</t>
        </is>
      </c>
      <c r="C5" s="27" t="n">
        <v>45994</v>
      </c>
      <c r="D5" t="n">
        <v>1100</v>
      </c>
      <c r="E5" t="inlineStr">
        <is>
          <t>Tesouraria - Depósito em conta</t>
        </is>
      </c>
      <c r="F5" t="inlineStr">
        <is>
          <t>TESOURARIA</t>
        </is>
      </c>
    </row>
    <row r="6">
      <c r="A6" t="n">
        <v>128</v>
      </c>
      <c r="B6" t="inlineStr">
        <is>
          <t>Love Cabaret</t>
        </is>
      </c>
      <c r="C6" s="27" t="n">
        <v>45987</v>
      </c>
      <c r="D6" t="n">
        <v>1016</v>
      </c>
      <c r="E6" t="inlineStr">
        <is>
          <t>Tesouraria - Depósito em conta</t>
        </is>
      </c>
      <c r="F6" t="inlineStr">
        <is>
          <t>DEPOSITO EM CONTA</t>
        </is>
      </c>
    </row>
    <row r="7">
      <c r="A7" t="n">
        <v>128</v>
      </c>
      <c r="B7" t="inlineStr">
        <is>
          <t>Love Cabaret</t>
        </is>
      </c>
      <c r="C7" s="27" t="n">
        <v>45985</v>
      </c>
      <c r="D7" t="n">
        <v>7882.41</v>
      </c>
      <c r="E7" t="inlineStr">
        <is>
          <t>RESG/VENCTO CDB</t>
        </is>
      </c>
      <c r="F7" t="inlineStr">
        <is>
          <t>RESG/VENCTO CDB</t>
        </is>
      </c>
    </row>
    <row r="8">
      <c r="A8" t="n">
        <v>128</v>
      </c>
      <c r="B8" t="inlineStr">
        <is>
          <t>Love Cabaret</t>
        </is>
      </c>
      <c r="C8" s="27" t="n">
        <v>45982</v>
      </c>
      <c r="D8" t="n">
        <v>590</v>
      </c>
      <c r="E8" t="inlineStr">
        <is>
          <t>Tesouraria - Depósito em conta</t>
        </is>
      </c>
      <c r="F8" t="inlineStr">
        <is>
          <t>DEPOSITO EM CONTA</t>
        </is>
      </c>
    </row>
    <row r="9">
      <c r="A9" t="n">
        <v>128</v>
      </c>
      <c r="B9" t="inlineStr">
        <is>
          <t>Love Cabaret</t>
        </is>
      </c>
      <c r="C9" s="27" t="n">
        <v>45972</v>
      </c>
      <c r="D9" t="n">
        <v>747</v>
      </c>
      <c r="E9" t="inlineStr">
        <is>
          <t>Tesouraria - Depósito em conta</t>
        </is>
      </c>
      <c r="F9" t="inlineStr">
        <is>
          <t>VENDAS 06-08/11</t>
        </is>
      </c>
    </row>
    <row r="10">
      <c r="A10" t="n">
        <v>128</v>
      </c>
      <c r="B10" t="inlineStr">
        <is>
          <t>Love Cabaret</t>
        </is>
      </c>
      <c r="C10" s="27" t="n">
        <v>45971</v>
      </c>
      <c r="D10" t="n">
        <v>619.41</v>
      </c>
      <c r="E10" t="inlineStr">
        <is>
          <t>RESG/VENCTO CDB</t>
        </is>
      </c>
      <c r="F10" t="inlineStr">
        <is>
          <t>RESG/VENCTO CDB</t>
        </is>
      </c>
    </row>
    <row r="11">
      <c r="A11" t="n">
        <v>128</v>
      </c>
      <c r="B11" t="inlineStr">
        <is>
          <t>Love Cabaret</t>
        </is>
      </c>
      <c r="C11" s="27" t="n">
        <v>45965</v>
      </c>
      <c r="D11" t="n">
        <v>589</v>
      </c>
      <c r="E11" t="inlineStr">
        <is>
          <t>Tesouraria - Depósito em conta</t>
        </is>
      </c>
      <c r="F11" t="inlineStr">
        <is>
          <t>VENDA 30-31/10</t>
        </is>
      </c>
    </row>
    <row r="12">
      <c r="A12" t="n">
        <v>128</v>
      </c>
      <c r="B12" t="inlineStr">
        <is>
          <t>Love Cabaret</t>
        </is>
      </c>
      <c r="C12" s="27" t="n">
        <v>45961</v>
      </c>
      <c r="D12" t="n">
        <v>1085</v>
      </c>
      <c r="E12" t="inlineStr">
        <is>
          <t>Tesouraria - Depósito em conta</t>
        </is>
      </c>
      <c r="F12" t="inlineStr">
        <is>
          <t>23-25/10</t>
        </is>
      </c>
    </row>
    <row r="13">
      <c r="A13" t="n">
        <v>128</v>
      </c>
      <c r="B13" t="inlineStr">
        <is>
          <t>Love Cabaret</t>
        </is>
      </c>
      <c r="C13" s="27" t="n">
        <v>45952</v>
      </c>
      <c r="D13" t="n">
        <v>1811</v>
      </c>
      <c r="E13" t="inlineStr">
        <is>
          <t>Tesouraria - Depósito em conta</t>
        </is>
      </c>
      <c r="F13" t="inlineStr">
        <is>
          <t xml:space="preserve">DEP DINHEIRO </t>
        </is>
      </c>
    </row>
    <row r="14">
      <c r="A14" t="n">
        <v>128</v>
      </c>
      <c r="B14" t="inlineStr">
        <is>
          <t>Love Cabaret</t>
        </is>
      </c>
      <c r="C14" s="27" t="n">
        <v>45945</v>
      </c>
      <c r="D14" t="n">
        <v>810</v>
      </c>
      <c r="E14" t="inlineStr">
        <is>
          <t>Tesouraria - Depósito em conta</t>
        </is>
      </c>
      <c r="F14" t="inlineStr">
        <is>
          <t xml:space="preserve">DEP DINHEIRO </t>
        </is>
      </c>
    </row>
    <row r="15">
      <c r="A15" t="n">
        <v>128</v>
      </c>
      <c r="B15" t="inlineStr">
        <is>
          <t>Love Cabaret</t>
        </is>
      </c>
      <c r="C15" s="27" t="n">
        <v>45938</v>
      </c>
      <c r="D15" t="n">
        <v>152</v>
      </c>
      <c r="E15" t="inlineStr">
        <is>
          <t>Tesouraria - Depósito em conta</t>
        </is>
      </c>
      <c r="F15" t="inlineStr">
        <is>
          <t xml:space="preserve">DEP DINHEIRO </t>
        </is>
      </c>
    </row>
    <row r="16">
      <c r="A16" t="n">
        <v>128</v>
      </c>
      <c r="B16" t="inlineStr">
        <is>
          <t>Love Cabaret</t>
        </is>
      </c>
      <c r="C16" s="27" t="n">
        <v>45931</v>
      </c>
      <c r="D16" t="n">
        <v>1513</v>
      </c>
      <c r="E16" t="inlineStr">
        <is>
          <t>Tesouraria - Depósito em conta</t>
        </is>
      </c>
      <c r="F16" t="inlineStr">
        <is>
          <t xml:space="preserve">DEP DINHEIRO </t>
        </is>
      </c>
    </row>
    <row r="17">
      <c r="A17" t="n">
        <v>128</v>
      </c>
      <c r="B17" t="inlineStr">
        <is>
          <t>Love Cabaret</t>
        </is>
      </c>
      <c r="C17" s="27" t="n">
        <v>45924</v>
      </c>
      <c r="D17" t="n">
        <v>214</v>
      </c>
      <c r="E17" t="inlineStr">
        <is>
          <t>Tesouraria - Depósito em conta</t>
        </is>
      </c>
      <c r="F17" t="inlineStr">
        <is>
          <t>DEPOSITO EM CONTA</t>
        </is>
      </c>
    </row>
    <row r="18">
      <c r="A18" t="n">
        <v>128</v>
      </c>
      <c r="B18" t="inlineStr">
        <is>
          <t>Love Cabaret</t>
        </is>
      </c>
      <c r="C18" s="27" t="n">
        <v>45922</v>
      </c>
      <c r="D18" t="n">
        <v>42.35</v>
      </c>
      <c r="E18" t="inlineStr">
        <is>
          <t>Tesouraria - Despesa paga em dinheiro</t>
        </is>
      </c>
      <c r="F18" t="inlineStr">
        <is>
          <t>DESPESA PAGA EM DINHEIRO ID 81.786</t>
        </is>
      </c>
    </row>
    <row r="19">
      <c r="A19" t="n">
        <v>128</v>
      </c>
      <c r="B19" t="inlineStr">
        <is>
          <t>Love Cabaret</t>
        </is>
      </c>
      <c r="C19" s="27" t="n">
        <v>45918</v>
      </c>
      <c r="D19" t="n">
        <v>1100</v>
      </c>
      <c r="E19" t="inlineStr">
        <is>
          <t>Tesouraria - Depósito em conta</t>
        </is>
      </c>
      <c r="F19" t="inlineStr">
        <is>
          <t>VENDAS 11-13/09</t>
        </is>
      </c>
    </row>
    <row r="20">
      <c r="A20" t="n">
        <v>128</v>
      </c>
      <c r="B20" t="inlineStr">
        <is>
          <t>Love Cabaret</t>
        </is>
      </c>
      <c r="C20" s="27" t="n">
        <v>45912</v>
      </c>
      <c r="D20" t="n">
        <v>130</v>
      </c>
      <c r="E20" t="inlineStr">
        <is>
          <t>Tesouraria - Depósito em conta</t>
        </is>
      </c>
      <c r="F20" t="inlineStr">
        <is>
          <t>DEPOSITO EM CONTA 04-06/09</t>
        </is>
      </c>
    </row>
    <row r="21">
      <c r="A21" t="n">
        <v>128</v>
      </c>
      <c r="B21" t="inlineStr">
        <is>
          <t>Love Cabaret</t>
        </is>
      </c>
      <c r="C21" s="27" t="n">
        <v>45906</v>
      </c>
      <c r="D21" t="n">
        <v>-3000</v>
      </c>
      <c r="E21" t="inlineStr">
        <is>
          <t>APLICACAO CDB</t>
        </is>
      </c>
      <c r="F21" t="inlineStr">
        <is>
          <t>VALOR ACRESCENTADO NO CARTÃO DE CREDITO LOVE</t>
        </is>
      </c>
    </row>
    <row r="22">
      <c r="A22" t="n">
        <v>128</v>
      </c>
      <c r="B22" t="inlineStr">
        <is>
          <t>Love Cabaret</t>
        </is>
      </c>
      <c r="C22" s="27" t="n">
        <v>45905</v>
      </c>
      <c r="D22" t="n">
        <v>157</v>
      </c>
      <c r="E22" t="inlineStr">
        <is>
          <t>Tesouraria - Depósito em conta</t>
        </is>
      </c>
      <c r="F22" t="inlineStr">
        <is>
          <t>VENDAS 28-30/08</t>
        </is>
      </c>
    </row>
    <row r="23">
      <c r="A23" t="n">
        <v>128</v>
      </c>
      <c r="B23" t="inlineStr">
        <is>
          <t>Love Cabaret</t>
        </is>
      </c>
      <c r="C23" s="27" t="n">
        <v>45895</v>
      </c>
      <c r="D23" t="n">
        <v>991</v>
      </c>
      <c r="E23" t="inlineStr">
        <is>
          <t>Tesouraria - Depósito em conta</t>
        </is>
      </c>
      <c r="F23" t="inlineStr">
        <is>
          <t>VENDAS DIA 21-23/08</t>
        </is>
      </c>
    </row>
    <row r="24">
      <c r="A24" t="n">
        <v>128</v>
      </c>
      <c r="B24" t="inlineStr">
        <is>
          <t>Love Cabaret</t>
        </is>
      </c>
      <c r="C24" s="27" t="n">
        <v>45888</v>
      </c>
      <c r="D24" t="n">
        <v>1350</v>
      </c>
      <c r="E24" t="inlineStr">
        <is>
          <t>Tesouraria - Depósito em conta</t>
        </is>
      </c>
      <c r="F24" t="inlineStr">
        <is>
          <t>VENDAS 15-16/08</t>
        </is>
      </c>
    </row>
    <row r="25">
      <c r="A25" t="n">
        <v>128</v>
      </c>
      <c r="B25" t="inlineStr">
        <is>
          <t>Love Cabaret</t>
        </is>
      </c>
      <c r="C25" s="27" t="n">
        <v>45887</v>
      </c>
      <c r="D25" t="n">
        <v>436</v>
      </c>
      <c r="E25" t="inlineStr">
        <is>
          <t>Tesouraria - Depósito em conta</t>
        </is>
      </c>
      <c r="F25" t="inlineStr">
        <is>
          <t>DEPOSITO EM CONTA</t>
        </is>
      </c>
    </row>
    <row r="26">
      <c r="A26" t="n">
        <v>128</v>
      </c>
      <c r="B26" t="inlineStr">
        <is>
          <t>Love Cabaret</t>
        </is>
      </c>
      <c r="C26" s="27" t="n">
        <v>45883</v>
      </c>
      <c r="D26" t="n">
        <v>104.73</v>
      </c>
      <c r="F26" t="inlineStr">
        <is>
          <t>DESPESA EM DINHEIRO ID 153377 E 153384</t>
        </is>
      </c>
    </row>
    <row r="27">
      <c r="A27" t="n">
        <v>128</v>
      </c>
      <c r="B27" t="inlineStr">
        <is>
          <t>Love Cabaret</t>
        </is>
      </c>
      <c r="C27" s="27" t="n">
        <v>45875</v>
      </c>
      <c r="D27" t="n">
        <v>150</v>
      </c>
      <c r="F27" t="inlineStr">
        <is>
          <t>DEPOSITO EM CONTA</t>
        </is>
      </c>
    </row>
    <row r="28">
      <c r="A28" t="n">
        <v>128</v>
      </c>
      <c r="B28" t="inlineStr">
        <is>
          <t>Love Cabaret</t>
        </is>
      </c>
      <c r="C28" s="27" t="n">
        <v>45873</v>
      </c>
      <c r="D28" t="n">
        <v>839</v>
      </c>
      <c r="F28" t="inlineStr">
        <is>
          <t>DEPOSITO EM CONTA</t>
        </is>
      </c>
    </row>
    <row r="29">
      <c r="A29" t="n">
        <v>128</v>
      </c>
      <c r="B29" t="inlineStr">
        <is>
          <t>Love Cabaret</t>
        </is>
      </c>
      <c r="C29" s="27" t="n">
        <v>45860</v>
      </c>
      <c r="D29" t="n">
        <v>1037</v>
      </c>
      <c r="F29" t="inlineStr">
        <is>
          <t>DEPOSITO EM DINHEIRO VENDAS 17-19/07</t>
        </is>
      </c>
    </row>
    <row r="30">
      <c r="A30" t="n">
        <v>128</v>
      </c>
      <c r="B30" t="inlineStr">
        <is>
          <t>Love Cabaret</t>
        </is>
      </c>
      <c r="C30" s="27" t="n">
        <v>45854</v>
      </c>
      <c r="D30" t="n">
        <v>160</v>
      </c>
      <c r="F30" t="inlineStr">
        <is>
          <t>DEPOSITO EM CONTA</t>
        </is>
      </c>
    </row>
    <row r="31">
      <c r="A31" t="n">
        <v>128</v>
      </c>
      <c r="B31" t="inlineStr">
        <is>
          <t>Love Cabaret</t>
        </is>
      </c>
      <c r="C31" s="27" t="n">
        <v>45848</v>
      </c>
      <c r="D31" t="n">
        <v>1367</v>
      </c>
      <c r="F31" t="inlineStr">
        <is>
          <t>DEPOSITO EM CONTA</t>
        </is>
      </c>
    </row>
    <row r="32">
      <c r="A32" t="n">
        <v>128</v>
      </c>
      <c r="B32" t="inlineStr">
        <is>
          <t>Love Cabaret</t>
        </is>
      </c>
      <c r="C32" s="27" t="n">
        <v>45845</v>
      </c>
      <c r="D32" t="n">
        <v>6221.45</v>
      </c>
      <c r="F32" t="inlineStr">
        <is>
          <t>RESGATE CDB (APLICAÇÃO)</t>
        </is>
      </c>
    </row>
    <row r="33">
      <c r="A33" t="n">
        <v>128</v>
      </c>
      <c r="B33" t="inlineStr">
        <is>
          <t>Love Cabaret</t>
        </is>
      </c>
      <c r="C33" s="27" t="n">
        <v>45845</v>
      </c>
      <c r="D33" t="n">
        <v>84.86</v>
      </c>
      <c r="F33" t="inlineStr">
        <is>
          <t>DESPESA PAGA EM DINHEIRO ID 139.997 E ID 142.881</t>
        </is>
      </c>
    </row>
    <row r="34">
      <c r="A34" t="n">
        <v>128</v>
      </c>
      <c r="B34" t="inlineStr">
        <is>
          <t>Love Cabaret</t>
        </is>
      </c>
      <c r="C34" s="27" t="n">
        <v>45839</v>
      </c>
      <c r="D34" t="n">
        <v>1455</v>
      </c>
      <c r="F34" t="inlineStr">
        <is>
          <t>DEPOSITO EM CONTA</t>
        </is>
      </c>
    </row>
    <row r="35">
      <c r="A35" t="n">
        <v>128</v>
      </c>
      <c r="B35" t="inlineStr">
        <is>
          <t>Love Cabaret</t>
        </is>
      </c>
      <c r="C35" s="27" t="n">
        <v>45835</v>
      </c>
      <c r="D35" t="n">
        <v>185</v>
      </c>
      <c r="F35" t="inlineStr">
        <is>
          <t>DEPOSITO EM CONTA</t>
        </is>
      </c>
    </row>
    <row r="36">
      <c r="A36" t="n">
        <v>128</v>
      </c>
      <c r="B36" t="inlineStr">
        <is>
          <t>Love Cabaret</t>
        </is>
      </c>
      <c r="C36" s="27" t="n">
        <v>45828</v>
      </c>
      <c r="D36" t="n">
        <v>630</v>
      </c>
      <c r="F36" t="inlineStr">
        <is>
          <t>DEPOSITO EM CONTA</t>
        </is>
      </c>
    </row>
    <row r="37">
      <c r="A37" t="n">
        <v>128</v>
      </c>
      <c r="B37" t="inlineStr">
        <is>
          <t>Love Cabaret</t>
        </is>
      </c>
      <c r="C37" s="27" t="n">
        <v>45820</v>
      </c>
      <c r="D37" t="n">
        <v>1380</v>
      </c>
      <c r="F37" t="inlineStr">
        <is>
          <t>DEPOSITO EM CONTA</t>
        </is>
      </c>
    </row>
    <row r="38">
      <c r="A38" t="n">
        <v>128</v>
      </c>
      <c r="B38" t="inlineStr">
        <is>
          <t>Love Cabaret</t>
        </is>
      </c>
      <c r="C38" s="27" t="n">
        <v>45812</v>
      </c>
      <c r="D38" t="n">
        <v>1915</v>
      </c>
      <c r="F38" t="inlineStr">
        <is>
          <t>DEPOSITO EM CONTA</t>
        </is>
      </c>
    </row>
    <row r="39">
      <c r="A39" t="n">
        <v>128</v>
      </c>
      <c r="B39" t="inlineStr">
        <is>
          <t>Love Cabaret</t>
        </is>
      </c>
      <c r="C39" s="27" t="n">
        <v>45804</v>
      </c>
      <c r="D39" t="n">
        <v>1175</v>
      </c>
      <c r="F39" t="inlineStr">
        <is>
          <t>Depósito em Dinheiro</t>
        </is>
      </c>
    </row>
    <row r="40">
      <c r="A40" t="n">
        <v>128</v>
      </c>
      <c r="B40" t="inlineStr">
        <is>
          <t>Love Cabaret</t>
        </is>
      </c>
      <c r="C40" s="27" t="n">
        <v>45799</v>
      </c>
      <c r="D40" t="n">
        <v>390</v>
      </c>
      <c r="F40" t="inlineStr">
        <is>
          <t>Depósito em Dinheiro</t>
        </is>
      </c>
    </row>
    <row r="41">
      <c r="A41" t="n">
        <v>128</v>
      </c>
      <c r="B41" t="inlineStr">
        <is>
          <t>Love Cabaret</t>
        </is>
      </c>
      <c r="C41" s="27" t="n">
        <v>45799</v>
      </c>
      <c r="D41" t="n">
        <v>1430</v>
      </c>
      <c r="F41" t="inlineStr">
        <is>
          <t>Depósito em Dinheiro</t>
        </is>
      </c>
    </row>
    <row r="42">
      <c r="A42" t="n">
        <v>128</v>
      </c>
      <c r="B42" t="inlineStr">
        <is>
          <t>Love Cabaret</t>
        </is>
      </c>
      <c r="C42" s="27" t="n">
        <v>45784</v>
      </c>
      <c r="D42" t="n">
        <v>2000</v>
      </c>
      <c r="F42" t="inlineStr">
        <is>
          <t>Depósito em Dinheiro</t>
        </is>
      </c>
    </row>
    <row r="43">
      <c r="A43" t="n">
        <v>128</v>
      </c>
      <c r="B43" t="inlineStr">
        <is>
          <t>Love Cabaret</t>
        </is>
      </c>
      <c r="C43" s="27" t="n">
        <v>45777</v>
      </c>
      <c r="D43" t="n">
        <v>32.6</v>
      </c>
      <c r="F43" t="inlineStr">
        <is>
          <t>Despesa paga em dinheiro - ID 123943</t>
        </is>
      </c>
    </row>
    <row r="44">
      <c r="A44" t="n">
        <v>128</v>
      </c>
      <c r="B44" t="inlineStr">
        <is>
          <t>Love Cabaret</t>
        </is>
      </c>
      <c r="C44" s="27" t="n">
        <v>45777</v>
      </c>
      <c r="D44" t="n">
        <v>7.38</v>
      </c>
      <c r="F44" t="inlineStr">
        <is>
          <t>Despesa paga em dinheiro - ID 123942</t>
        </is>
      </c>
    </row>
    <row r="45">
      <c r="A45" t="n">
        <v>128</v>
      </c>
      <c r="B45" t="inlineStr">
        <is>
          <t>Love Cabaret</t>
        </is>
      </c>
      <c r="C45" s="27" t="n">
        <v>45776</v>
      </c>
      <c r="D45" t="n">
        <v>2970</v>
      </c>
      <c r="F45" t="inlineStr">
        <is>
          <t>Depósito em Dinheiro</t>
        </is>
      </c>
    </row>
    <row r="46">
      <c r="A46" t="n">
        <v>128</v>
      </c>
      <c r="B46" t="inlineStr">
        <is>
          <t>Love Cabaret</t>
        </is>
      </c>
      <c r="C46" s="27" t="n">
        <v>45770</v>
      </c>
      <c r="D46" t="n">
        <v>914</v>
      </c>
      <c r="F46" t="inlineStr">
        <is>
          <t>Depósito em Dinheiro</t>
        </is>
      </c>
    </row>
    <row r="47">
      <c r="A47" t="n">
        <v>128</v>
      </c>
      <c r="B47" t="inlineStr">
        <is>
          <t>Love Cabaret</t>
        </is>
      </c>
      <c r="C47" s="27" t="n">
        <v>45762</v>
      </c>
      <c r="D47" t="n">
        <v>370</v>
      </c>
      <c r="F47" t="inlineStr">
        <is>
          <t>Depósito em Dinheiro</t>
        </is>
      </c>
    </row>
    <row r="48">
      <c r="A48" t="n">
        <v>128</v>
      </c>
      <c r="B48" t="inlineStr">
        <is>
          <t>Love Cabaret</t>
        </is>
      </c>
      <c r="C48" s="27" t="n">
        <v>45756</v>
      </c>
      <c r="D48" t="n">
        <v>476</v>
      </c>
      <c r="F48" t="inlineStr">
        <is>
          <t>Depósito em Dinheiro</t>
        </is>
      </c>
    </row>
    <row r="49">
      <c r="A49" t="n">
        <v>128</v>
      </c>
      <c r="B49" t="inlineStr">
        <is>
          <t>Love Cabaret</t>
        </is>
      </c>
      <c r="C49" s="27" t="n">
        <v>45756</v>
      </c>
      <c r="D49" t="n">
        <v>-10000</v>
      </c>
      <c r="F49" t="inlineStr">
        <is>
          <t>PERMUTA DE EVENTO ID RECEITA 6.144</t>
        </is>
      </c>
    </row>
    <row r="50">
      <c r="A50" t="n">
        <v>128</v>
      </c>
      <c r="B50" t="inlineStr">
        <is>
          <t>Love Cabaret</t>
        </is>
      </c>
      <c r="C50" s="27" t="n">
        <v>45754</v>
      </c>
      <c r="D50" t="n">
        <v>2160</v>
      </c>
      <c r="F50" t="inlineStr">
        <is>
          <t>Depósito em Dinheiro</t>
        </is>
      </c>
    </row>
    <row r="51">
      <c r="A51" t="n">
        <v>128</v>
      </c>
      <c r="B51" t="inlineStr">
        <is>
          <t>Love Cabaret</t>
        </is>
      </c>
      <c r="C51" s="27" t="n">
        <v>45749</v>
      </c>
      <c r="D51" t="n">
        <v>262</v>
      </c>
      <c r="F51" t="inlineStr">
        <is>
          <t>Depósito em Dinheiro</t>
        </is>
      </c>
    </row>
    <row r="52">
      <c r="A52" t="n">
        <v>128</v>
      </c>
      <c r="B52" t="inlineStr">
        <is>
          <t>Love Cabaret</t>
        </is>
      </c>
      <c r="C52" s="27" t="n">
        <v>45749</v>
      </c>
      <c r="D52" t="n">
        <v>20</v>
      </c>
      <c r="F52" t="inlineStr">
        <is>
          <t>Depósito em Dinheiro</t>
        </is>
      </c>
    </row>
    <row r="53">
      <c r="A53" t="n">
        <v>128</v>
      </c>
      <c r="B53" t="inlineStr">
        <is>
          <t>Love Cabaret</t>
        </is>
      </c>
      <c r="C53" s="27" t="n">
        <v>45749</v>
      </c>
      <c r="D53" t="n">
        <v>50</v>
      </c>
      <c r="F53" t="inlineStr">
        <is>
          <t>Depósito em Dinheiro</t>
        </is>
      </c>
    </row>
    <row r="54">
      <c r="A54" t="n">
        <v>128</v>
      </c>
      <c r="B54" t="inlineStr">
        <is>
          <t>Love Cabaret</t>
        </is>
      </c>
      <c r="C54" s="27" t="n">
        <v>45747</v>
      </c>
      <c r="D54" t="n">
        <v>-3000</v>
      </c>
      <c r="F54" t="inlineStr">
        <is>
          <t>Adição de saldo no cartão pré-pago</t>
        </is>
      </c>
    </row>
    <row r="55">
      <c r="A55" t="n">
        <v>128</v>
      </c>
      <c r="B55" t="inlineStr">
        <is>
          <t>Love Cabaret</t>
        </is>
      </c>
      <c r="C55" s="27" t="n">
        <v>45747</v>
      </c>
      <c r="D55" t="n">
        <v>137.79</v>
      </c>
      <c r="F55" t="inlineStr">
        <is>
          <t>Despesa paga em dinheiro - ID 121242</t>
        </is>
      </c>
    </row>
    <row r="56">
      <c r="A56" t="n">
        <v>128</v>
      </c>
      <c r="B56" t="inlineStr">
        <is>
          <t>Love Cabaret</t>
        </is>
      </c>
      <c r="C56" s="27" t="n">
        <v>45747</v>
      </c>
      <c r="D56" t="n">
        <v>153.8</v>
      </c>
      <c r="F56" t="inlineStr">
        <is>
          <t>Despesa paga em dinheiro - ID 121245</t>
        </is>
      </c>
    </row>
    <row r="57">
      <c r="A57" t="n">
        <v>128</v>
      </c>
      <c r="B57" t="inlineStr">
        <is>
          <t>Love Cabaret</t>
        </is>
      </c>
      <c r="C57" s="27" t="n">
        <v>45747</v>
      </c>
      <c r="D57" t="n">
        <v>38.3</v>
      </c>
      <c r="F57" t="inlineStr">
        <is>
          <t>Despesa paga em dinheiro - ID 121246</t>
        </is>
      </c>
    </row>
    <row r="58">
      <c r="A58" t="n">
        <v>128</v>
      </c>
      <c r="B58" t="inlineStr">
        <is>
          <t>Love Cabaret</t>
        </is>
      </c>
      <c r="C58" s="27" t="n">
        <v>45747</v>
      </c>
      <c r="D58" t="n">
        <v>188.4</v>
      </c>
      <c r="F58" t="inlineStr">
        <is>
          <t>Despesa paga em dinheiro - ID 121259</t>
        </is>
      </c>
    </row>
    <row r="59">
      <c r="A59" t="n">
        <v>128</v>
      </c>
      <c r="B59" t="inlineStr">
        <is>
          <t>Love Cabaret</t>
        </is>
      </c>
      <c r="C59" s="27" t="n">
        <v>45747</v>
      </c>
      <c r="D59" t="n">
        <v>233.7</v>
      </c>
      <c r="F59" t="inlineStr">
        <is>
          <t>Despesa paga em dinheiro - ID 121250</t>
        </is>
      </c>
    </row>
    <row r="60">
      <c r="A60" t="n">
        <v>128</v>
      </c>
      <c r="B60" t="inlineStr">
        <is>
          <t>Love Cabaret</t>
        </is>
      </c>
      <c r="C60" s="27" t="n">
        <v>45747</v>
      </c>
      <c r="D60" t="n">
        <v>49.89</v>
      </c>
      <c r="F60" t="inlineStr">
        <is>
          <t>Despesa paga em dinheiro - ID 121248</t>
        </is>
      </c>
    </row>
    <row r="61">
      <c r="A61" t="n">
        <v>128</v>
      </c>
      <c r="B61" t="inlineStr">
        <is>
          <t>Love Cabaret</t>
        </is>
      </c>
      <c r="C61" s="27" t="n">
        <v>45716</v>
      </c>
      <c r="D61" t="n">
        <v>99.76000000000001</v>
      </c>
      <c r="F61" t="inlineStr">
        <is>
          <t>Despesa paga em dinheiro - ID 114925</t>
        </is>
      </c>
    </row>
    <row r="62">
      <c r="A62" t="n">
        <v>128</v>
      </c>
      <c r="B62" t="inlineStr">
        <is>
          <t>Love Cabaret</t>
        </is>
      </c>
      <c r="C62" s="27" t="n">
        <v>45716</v>
      </c>
      <c r="D62" t="n">
        <v>67.8</v>
      </c>
      <c r="F62" t="inlineStr">
        <is>
          <t>Despesa paga em dinheiro - ID 114926</t>
        </is>
      </c>
    </row>
    <row r="63">
      <c r="A63" t="n">
        <v>128</v>
      </c>
      <c r="B63" t="inlineStr">
        <is>
          <t>Love Cabaret</t>
        </is>
      </c>
      <c r="C63" s="27" t="n">
        <v>45716</v>
      </c>
      <c r="D63" t="n">
        <v>200</v>
      </c>
      <c r="F63" t="inlineStr">
        <is>
          <t>Despesa paga em dinheiro - ID 114927</t>
        </is>
      </c>
    </row>
    <row r="64">
      <c r="A64" t="n">
        <v>128</v>
      </c>
      <c r="B64" t="inlineStr">
        <is>
          <t>Love Cabaret</t>
        </is>
      </c>
      <c r="C64" s="27" t="n">
        <v>45716</v>
      </c>
      <c r="D64" t="n">
        <v>111.68</v>
      </c>
      <c r="F64" t="inlineStr">
        <is>
          <t>Despesa paga em dinheiro - ID 114928</t>
        </is>
      </c>
    </row>
    <row r="65">
      <c r="A65" t="n">
        <v>128</v>
      </c>
      <c r="B65" t="inlineStr">
        <is>
          <t>Love Cabaret</t>
        </is>
      </c>
      <c r="C65" s="27" t="n">
        <v>45716</v>
      </c>
      <c r="D65" t="n">
        <v>50.49</v>
      </c>
      <c r="F65" t="inlineStr">
        <is>
          <t>Despesa paga em dinheiro - ID 114929</t>
        </is>
      </c>
    </row>
    <row r="66">
      <c r="A66" t="n">
        <v>128</v>
      </c>
      <c r="B66" t="inlineStr">
        <is>
          <t>Love Cabaret</t>
        </is>
      </c>
      <c r="C66" s="27" t="n">
        <v>45716</v>
      </c>
      <c r="D66" t="n">
        <v>35</v>
      </c>
      <c r="F66" t="inlineStr">
        <is>
          <t>Despesa paga em dinheiro - ID 114930</t>
        </is>
      </c>
    </row>
    <row r="67">
      <c r="A67" t="n">
        <v>128</v>
      </c>
      <c r="B67" t="inlineStr">
        <is>
          <t>Love Cabaret</t>
        </is>
      </c>
      <c r="C67" s="27" t="n">
        <v>45716</v>
      </c>
      <c r="D67" t="n">
        <v>116.5</v>
      </c>
      <c r="F67" t="inlineStr">
        <is>
          <t>Despesa paga em dinheiro - ID 114931</t>
        </is>
      </c>
    </row>
    <row r="68">
      <c r="A68" t="n">
        <v>128</v>
      </c>
      <c r="B68" t="inlineStr">
        <is>
          <t>Love Cabaret</t>
        </is>
      </c>
      <c r="C68" s="27" t="n">
        <v>45716</v>
      </c>
      <c r="D68" t="n">
        <v>61.9</v>
      </c>
      <c r="F68" t="inlineStr">
        <is>
          <t>Despesa paga em dinheiro - ID 114932</t>
        </is>
      </c>
    </row>
    <row r="69">
      <c r="A69" t="n">
        <v>128</v>
      </c>
      <c r="B69" t="inlineStr">
        <is>
          <t>Love Cabaret</t>
        </is>
      </c>
      <c r="C69" s="27" t="n">
        <v>45688</v>
      </c>
      <c r="D69" t="n">
        <v>12.78</v>
      </c>
      <c r="F69" t="inlineStr">
        <is>
          <t>Despesa paga em dinheiro - ID 106832</t>
        </is>
      </c>
    </row>
    <row r="70">
      <c r="A70" t="n">
        <v>128</v>
      </c>
      <c r="B70" t="inlineStr">
        <is>
          <t>Love Cabaret</t>
        </is>
      </c>
      <c r="C70" s="27" t="n">
        <v>45688</v>
      </c>
      <c r="D70" t="n">
        <v>353.76</v>
      </c>
      <c r="F70" t="inlineStr">
        <is>
          <t>Despesa paga em dinheiro - ID 106831</t>
        </is>
      </c>
    </row>
    <row r="71">
      <c r="A71" t="n">
        <v>128</v>
      </c>
      <c r="B71" t="inlineStr">
        <is>
          <t>Love Cabaret</t>
        </is>
      </c>
      <c r="C71" s="27" t="n">
        <v>45688</v>
      </c>
      <c r="D71" t="n">
        <v>73.8</v>
      </c>
      <c r="F71" t="inlineStr">
        <is>
          <t>Despesa paga em dinheiro - ID 106833</t>
        </is>
      </c>
    </row>
    <row r="72">
      <c r="A72" t="n">
        <v>128</v>
      </c>
      <c r="B72" t="inlineStr">
        <is>
          <t>Love Cabaret</t>
        </is>
      </c>
      <c r="C72" s="27" t="n">
        <v>45688</v>
      </c>
      <c r="D72" t="n">
        <v>73.98</v>
      </c>
      <c r="F72" t="inlineStr">
        <is>
          <t>Despesa paga em dinheiro - ID 106834</t>
        </is>
      </c>
    </row>
    <row r="73">
      <c r="A73" t="n">
        <v>128</v>
      </c>
      <c r="B73" t="inlineStr">
        <is>
          <t>Love Cabaret</t>
        </is>
      </c>
      <c r="C73" s="27" t="n">
        <v>45688</v>
      </c>
      <c r="D73" t="n">
        <v>122.19</v>
      </c>
      <c r="F73" t="inlineStr">
        <is>
          <t>Despesa paga em dinheiro - ID 106838</t>
        </is>
      </c>
    </row>
    <row r="74">
      <c r="A74" t="n">
        <v>128</v>
      </c>
      <c r="B74" t="inlineStr">
        <is>
          <t>Love Cabaret</t>
        </is>
      </c>
      <c r="C74" s="27" t="n">
        <v>45688</v>
      </c>
      <c r="D74" t="n">
        <v>405.17</v>
      </c>
      <c r="F74" t="inlineStr">
        <is>
          <t>Despesa paga em dinheiro - ID 106842</t>
        </is>
      </c>
    </row>
    <row r="75">
      <c r="A75" t="n">
        <v>128</v>
      </c>
      <c r="B75" t="inlineStr">
        <is>
          <t>Love Cabaret</t>
        </is>
      </c>
      <c r="C75" s="27" t="n">
        <v>45688</v>
      </c>
      <c r="D75" t="n">
        <v>245.15</v>
      </c>
      <c r="F75" t="inlineStr">
        <is>
          <t>Despesa paga em dinheiro - ID 106843</t>
        </is>
      </c>
    </row>
    <row r="76">
      <c r="A76" t="n">
        <v>128</v>
      </c>
      <c r="B76" t="inlineStr">
        <is>
          <t>Love Cabaret</t>
        </is>
      </c>
      <c r="C76" s="27" t="n">
        <v>45659</v>
      </c>
      <c r="D76" t="n">
        <v>15281.09</v>
      </c>
      <c r="F76" t="inlineStr">
        <is>
          <t>Saque da Zig solicitado em 31/12/2024, mas efetivado em 02/01/2025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ID_Bloqueio</t>
        </is>
      </c>
      <c r="B1" t="inlineStr">
        <is>
          <t>ID_Casa</t>
        </is>
      </c>
      <c r="C1" t="inlineStr">
        <is>
          <t>Casa</t>
        </is>
      </c>
      <c r="D1" t="inlineStr">
        <is>
          <t>Data_Transacao</t>
        </is>
      </c>
      <c r="E1" t="inlineStr">
        <is>
          <t>ID_Conta_Bancaria</t>
        </is>
      </c>
      <c r="F1" t="inlineStr">
        <is>
          <t>Nome da Conta</t>
        </is>
      </c>
      <c r="G1" t="inlineStr">
        <is>
          <t>Valor</t>
        </is>
      </c>
      <c r="H1" t="inlineStr">
        <is>
          <t>Observacao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Gabriel Gomes da Cunha</dc:creator>
  <dcterms:created xsi:type="dcterms:W3CDTF">2023-11-14T17:21:36Z</dcterms:created>
  <dcterms:modified xsi:type="dcterms:W3CDTF">2026-01-10T19:44:27Z</dcterms:modified>
  <cp:lastModifiedBy>Catarina Scabelli</cp:lastModifiedBy>
</cp:coreProperties>
</file>